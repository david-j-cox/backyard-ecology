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50FEF6CC-10D3-C649-905A-9EAAE842395C}" xr6:coauthVersionLast="47" xr6:coauthVersionMax="47" xr10:uidLastSave="{00000000-0000-0000-0000-000000000000}"/>
  <bookViews>
    <workbookView xWindow="0" yWindow="620" windowWidth="33600" windowHeight="1922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0" i="2" l="1"/>
  <c r="D250" i="2"/>
  <c r="E250" i="2"/>
  <c r="C251" i="2"/>
  <c r="D251" i="2"/>
  <c r="E251" i="2"/>
  <c r="C252" i="2"/>
  <c r="D252" i="2"/>
  <c r="E252" i="2"/>
  <c r="C253" i="2"/>
  <c r="D253" i="2"/>
  <c r="E253" i="2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6964" i="1" l="1"/>
  <c r="C6965" i="1" s="1"/>
  <c r="C6966" i="1" s="1"/>
  <c r="C6967" i="1" s="1"/>
  <c r="C6968" i="1" s="1"/>
  <c r="C6969" i="1" s="1"/>
  <c r="C6970" i="1" s="1"/>
  <c r="C6971" i="1" s="1"/>
  <c r="C6972" i="1" s="1"/>
  <c r="C6973" i="1" s="1"/>
  <c r="C6974" i="1" s="1"/>
  <c r="C6975" i="1" s="1"/>
  <c r="C6976" i="1" s="1"/>
  <c r="C6977" i="1" s="1"/>
  <c r="C6978" i="1" s="1"/>
  <c r="C6979" i="1" s="1"/>
  <c r="C6980" i="1" s="1"/>
  <c r="C6981" i="1" s="1"/>
  <c r="C6982" i="1" s="1"/>
  <c r="C6983" i="1" s="1"/>
  <c r="C6984" i="1" s="1"/>
  <c r="C6985" i="1" s="1"/>
  <c r="C6986" i="1" s="1"/>
  <c r="C6987" i="1" s="1"/>
  <c r="C6988" i="1" s="1"/>
  <c r="C6989" i="1" s="1"/>
  <c r="C6990" i="1" s="1"/>
  <c r="C6991" i="1" s="1"/>
  <c r="C6992" i="1" s="1"/>
  <c r="C6993" i="1" s="1"/>
  <c r="C6994" i="1" s="1"/>
  <c r="C6995" i="1" s="1"/>
  <c r="C6996" i="1" s="1"/>
  <c r="C6997" i="1" s="1"/>
  <c r="C6998" i="1" s="1"/>
  <c r="C6999" i="1" s="1"/>
  <c r="C7000" i="1" s="1"/>
  <c r="C7001" i="1" s="1"/>
  <c r="C7002" i="1" s="1"/>
  <c r="C7003" i="1" s="1"/>
  <c r="C7004" i="1" s="1"/>
  <c r="C7005" i="1" s="1"/>
  <c r="C7006" i="1" s="1"/>
  <c r="C7007" i="1" s="1"/>
  <c r="C7008" i="1" s="1"/>
  <c r="C7009" i="1" s="1"/>
  <c r="C7010" i="1" s="1"/>
  <c r="C7011" i="1" s="1"/>
  <c r="C7012" i="1" s="1"/>
  <c r="C7013" i="1" s="1"/>
  <c r="C7014" i="1" s="1"/>
  <c r="C7015" i="1" s="1"/>
  <c r="C7016" i="1" s="1"/>
  <c r="C7017" i="1" s="1"/>
  <c r="C7018" i="1" s="1"/>
  <c r="C7019" i="1" s="1"/>
  <c r="C7020" i="1" s="1"/>
  <c r="C7021" i="1" s="1"/>
  <c r="C7022" i="1" s="1"/>
  <c r="C7023" i="1" s="1"/>
  <c r="C7024" i="1" s="1"/>
  <c r="C7025" i="1" s="1"/>
  <c r="C7026" i="1" s="1"/>
  <c r="C7027" i="1" s="1"/>
  <c r="C7028" i="1" s="1"/>
  <c r="C7029" i="1" s="1"/>
  <c r="C7030" i="1" s="1"/>
  <c r="C7031" i="1" s="1"/>
  <c r="C7032" i="1" s="1"/>
  <c r="C7033" i="1" s="1"/>
  <c r="C7034" i="1" s="1"/>
  <c r="C7035" i="1" s="1"/>
  <c r="C7036" i="1" s="1"/>
  <c r="C7037" i="1" s="1"/>
  <c r="C7038" i="1" s="1"/>
  <c r="C7039" i="1" s="1"/>
  <c r="C7040" i="1" s="1"/>
  <c r="C7041" i="1" s="1"/>
  <c r="C7042" i="1" s="1"/>
  <c r="C7043" i="1" s="1"/>
  <c r="C7044" i="1" s="1"/>
  <c r="C7045" i="1" s="1"/>
  <c r="C7046" i="1" s="1"/>
  <c r="C7047" i="1" s="1"/>
  <c r="C7048" i="1" s="1"/>
  <c r="C7049" i="1" s="1"/>
  <c r="C7050" i="1" s="1"/>
  <c r="C7051" i="1" s="1"/>
  <c r="C7052" i="1" s="1"/>
  <c r="C7053" i="1" s="1"/>
  <c r="C7054" i="1" s="1"/>
  <c r="C7055" i="1" s="1"/>
  <c r="C7056" i="1" s="1"/>
  <c r="C7057" i="1" s="1"/>
  <c r="C7058" i="1" s="1"/>
  <c r="C7059" i="1" s="1"/>
  <c r="C7060" i="1" s="1"/>
  <c r="C7061" i="1" s="1"/>
  <c r="C7062" i="1" s="1"/>
  <c r="C7063" i="1" s="1"/>
  <c r="C7064" i="1" s="1"/>
  <c r="C7065" i="1" s="1"/>
  <c r="C7066" i="1" s="1"/>
  <c r="C7067" i="1" s="1"/>
  <c r="C7068" i="1" s="1"/>
  <c r="C7069" i="1" s="1"/>
  <c r="C7070" i="1" s="1"/>
  <c r="C7071" i="1" s="1"/>
  <c r="C7072" i="1" s="1"/>
  <c r="C7073" i="1" s="1"/>
  <c r="C7074" i="1" s="1"/>
  <c r="C7075" i="1" s="1"/>
  <c r="C7076" i="1" s="1"/>
  <c r="C7077" i="1" s="1"/>
  <c r="C7078" i="1" s="1"/>
  <c r="C7079" i="1" s="1"/>
  <c r="C7080" i="1" s="1"/>
  <c r="C7081" i="1" s="1"/>
  <c r="C7082" i="1" s="1"/>
  <c r="C7083" i="1" s="1"/>
  <c r="C7084" i="1" s="1"/>
  <c r="C7085" i="1" s="1"/>
  <c r="C7086" i="1" s="1"/>
  <c r="C7087" i="1" s="1"/>
  <c r="C7088" i="1" s="1"/>
  <c r="C7089" i="1" s="1"/>
  <c r="C7090" i="1" s="1"/>
  <c r="C7091" i="1" s="1"/>
  <c r="C7092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C233" i="2" l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B6963" i="1" l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C230" i="2" l="1"/>
  <c r="C240" i="2"/>
  <c r="C231" i="2"/>
  <c r="C244" i="2"/>
  <c r="E247" i="2"/>
  <c r="C247" i="2"/>
  <c r="E249" i="2"/>
  <c r="E246" i="2"/>
  <c r="C249" i="2"/>
  <c r="C245" i="2"/>
  <c r="C246" i="2"/>
  <c r="E244" i="2"/>
  <c r="E227" i="2"/>
  <c r="E236" i="2"/>
  <c r="E245" i="2"/>
  <c r="C237" i="2"/>
  <c r="E231" i="2"/>
  <c r="C229" i="2"/>
  <c r="C227" i="2"/>
  <c r="E243" i="2"/>
  <c r="C241" i="2"/>
  <c r="E232" i="2"/>
  <c r="C232" i="2"/>
  <c r="E233" i="2"/>
  <c r="E237" i="2"/>
  <c r="E241" i="2"/>
  <c r="E230" i="2"/>
  <c r="E229" i="2"/>
  <c r="C236" i="2"/>
  <c r="C243" i="2"/>
  <c r="E240" i="2"/>
  <c r="A6964" i="1"/>
  <c r="H6963" i="1"/>
  <c r="K6963" i="1" a="1"/>
  <c r="K6963" i="1" s="1"/>
  <c r="L6963" i="1" a="1"/>
  <c r="L6963" i="1" s="1"/>
  <c r="B6964" i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B6965" i="1" l="1"/>
  <c r="P6964" i="1" a="1"/>
  <c r="P6964" i="1" s="1"/>
  <c r="M6964" i="1" a="1"/>
  <c r="M6964" i="1" s="1"/>
  <c r="N6964" i="1" a="1"/>
  <c r="N6964" i="1" s="1"/>
  <c r="I6964" i="1" a="1"/>
  <c r="I6964" i="1" s="1"/>
  <c r="O6964" i="1" a="1"/>
  <c r="O6964" i="1" s="1"/>
  <c r="J6964" i="1" a="1"/>
  <c r="J6964" i="1" s="1"/>
  <c r="Q6964" i="1" a="1"/>
  <c r="Q6964" i="1" s="1"/>
  <c r="R6964" i="1" a="1"/>
  <c r="R6964" i="1" s="1"/>
  <c r="S6964" i="1" a="1"/>
  <c r="S6964" i="1" s="1"/>
  <c r="K6964" i="1" a="1"/>
  <c r="K6964" i="1" s="1"/>
  <c r="L6964" i="1" a="1"/>
  <c r="L6964" i="1" s="1"/>
  <c r="H6964" i="1"/>
  <c r="A6965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6966" i="1" l="1"/>
  <c r="H6965" i="1"/>
  <c r="Q6965" i="1" a="1"/>
  <c r="Q6965" i="1" s="1"/>
  <c r="I6965" i="1" a="1"/>
  <c r="I6965" i="1" s="1"/>
  <c r="R6965" i="1" a="1"/>
  <c r="R6965" i="1" s="1"/>
  <c r="M6965" i="1" a="1"/>
  <c r="M6965" i="1" s="1"/>
  <c r="S6965" i="1" a="1"/>
  <c r="S6965" i="1" s="1"/>
  <c r="N6965" i="1" a="1"/>
  <c r="N6965" i="1" s="1"/>
  <c r="B6966" i="1"/>
  <c r="O6965" i="1" a="1"/>
  <c r="O6965" i="1" s="1"/>
  <c r="J6965" i="1" a="1"/>
  <c r="J6965" i="1" s="1"/>
  <c r="P6965" i="1" a="1"/>
  <c r="P6965" i="1" s="1"/>
  <c r="K6965" i="1" a="1"/>
  <c r="K6965" i="1" s="1"/>
  <c r="L6965" i="1" a="1"/>
  <c r="L696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B6967" i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B6968" i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B6972" i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6975" i="1" l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B6975" i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B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B6978" i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A6982" i="1"/>
  <c r="K6981" i="1" a="1"/>
  <c r="K6981" i="1" s="1"/>
  <c r="P6981" i="1" a="1"/>
  <c r="P6981" i="1" s="1"/>
  <c r="B6982" i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L6982" i="1" l="1" a="1"/>
  <c r="L6982" i="1" s="1"/>
  <c r="Q6982" i="1" a="1"/>
  <c r="Q6982" i="1" s="1"/>
  <c r="M6982" i="1" a="1"/>
  <c r="M6982" i="1" s="1"/>
  <c r="I6982" i="1" a="1"/>
  <c r="I6982" i="1" s="1"/>
  <c r="R6982" i="1" a="1"/>
  <c r="R6982" i="1" s="1"/>
  <c r="N6982" i="1" a="1"/>
  <c r="N6982" i="1" s="1"/>
  <c r="S6982" i="1" a="1"/>
  <c r="S6982" i="1" s="1"/>
  <c r="O6982" i="1" a="1"/>
  <c r="O6982" i="1" s="1"/>
  <c r="P6982" i="1" a="1"/>
  <c r="P6982" i="1" s="1"/>
  <c r="B6983" i="1"/>
  <c r="J6982" i="1" a="1"/>
  <c r="J6982" i="1" s="1"/>
  <c r="K6982" i="1" a="1"/>
  <c r="K6982" i="1" s="1"/>
  <c r="H6982" i="1"/>
  <c r="A6983" i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H6983" i="1" l="1"/>
  <c r="A6984" i="1"/>
  <c r="Q6983" i="1" a="1"/>
  <c r="Q6983" i="1" s="1"/>
  <c r="M6983" i="1" a="1"/>
  <c r="M6983" i="1" s="1"/>
  <c r="R6983" i="1" a="1"/>
  <c r="R6983" i="1" s="1"/>
  <c r="I6983" i="1" a="1"/>
  <c r="I6983" i="1" s="1"/>
  <c r="N6983" i="1" a="1"/>
  <c r="N6983" i="1" s="1"/>
  <c r="J6983" i="1" a="1"/>
  <c r="J6983" i="1" s="1"/>
  <c r="S6983" i="1" a="1"/>
  <c r="S6983" i="1" s="1"/>
  <c r="O6983" i="1" a="1"/>
  <c r="O6983" i="1" s="1"/>
  <c r="L6983" i="1" a="1"/>
  <c r="L6983" i="1" s="1"/>
  <c r="P6983" i="1" a="1"/>
  <c r="P6983" i="1" s="1"/>
  <c r="K6983" i="1" a="1"/>
  <c r="K6983" i="1" s="1"/>
  <c r="B6984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B6985" i="1" l="1"/>
  <c r="I6984" i="1" a="1"/>
  <c r="I6984" i="1" s="1"/>
  <c r="R6984" i="1" a="1"/>
  <c r="R6984" i="1" s="1"/>
  <c r="N6984" i="1" a="1"/>
  <c r="N6984" i="1" s="1"/>
  <c r="J6984" i="1" a="1"/>
  <c r="J6984" i="1" s="1"/>
  <c r="S6984" i="1" a="1"/>
  <c r="S6984" i="1" s="1"/>
  <c r="O6984" i="1" a="1"/>
  <c r="O6984" i="1" s="1"/>
  <c r="K6984" i="1" a="1"/>
  <c r="K6984" i="1" s="1"/>
  <c r="L6984" i="1" a="1"/>
  <c r="L6984" i="1" s="1"/>
  <c r="M6984" i="1" a="1"/>
  <c r="M6984" i="1" s="1"/>
  <c r="P6984" i="1" a="1"/>
  <c r="P6984" i="1" s="1"/>
  <c r="Q6984" i="1" a="1"/>
  <c r="Q6984" i="1" s="1"/>
  <c r="H6984" i="1"/>
  <c r="A6985" i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A6986" i="1" l="1"/>
  <c r="H6985" i="1"/>
  <c r="N6985" i="1" a="1"/>
  <c r="N6985" i="1" s="1"/>
  <c r="J6985" i="1" a="1"/>
  <c r="J6985" i="1" s="1"/>
  <c r="S6985" i="1" a="1"/>
  <c r="S6985" i="1" s="1"/>
  <c r="O6985" i="1" a="1"/>
  <c r="O6985" i="1" s="1"/>
  <c r="K6985" i="1" a="1"/>
  <c r="K6985" i="1" s="1"/>
  <c r="P6985" i="1" a="1"/>
  <c r="P6985" i="1" s="1"/>
  <c r="B6986" i="1"/>
  <c r="L6985" i="1" a="1"/>
  <c r="L6985" i="1" s="1"/>
  <c r="I6985" i="1" a="1"/>
  <c r="I6985" i="1" s="1"/>
  <c r="M6985" i="1" a="1"/>
  <c r="M6985" i="1" s="1"/>
  <c r="Q6985" i="1" a="1"/>
  <c r="Q6985" i="1" s="1"/>
  <c r="R6985" i="1" a="1"/>
  <c r="R6985" i="1" s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J6986" i="1" l="1" a="1"/>
  <c r="J6986" i="1" s="1"/>
  <c r="O6986" i="1" a="1"/>
  <c r="O6986" i="1" s="1"/>
  <c r="K6986" i="1" a="1"/>
  <c r="K6986" i="1" s="1"/>
  <c r="P6986" i="1" a="1"/>
  <c r="P6986" i="1" s="1"/>
  <c r="B6987" i="1"/>
  <c r="L6986" i="1" a="1"/>
  <c r="L6986" i="1" s="1"/>
  <c r="Q6986" i="1" a="1"/>
  <c r="Q6986" i="1" s="1"/>
  <c r="I6986" i="1" a="1"/>
  <c r="I6986" i="1" s="1"/>
  <c r="M6986" i="1" a="1"/>
  <c r="M6986" i="1" s="1"/>
  <c r="N6986" i="1" a="1"/>
  <c r="N6986" i="1" s="1"/>
  <c r="R6986" i="1" a="1"/>
  <c r="R6986" i="1" s="1"/>
  <c r="S6986" i="1" a="1"/>
  <c r="S6986" i="1" s="1"/>
  <c r="A6987" i="1"/>
  <c r="H6986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K6987" i="1" l="1" a="1"/>
  <c r="K6987" i="1" s="1"/>
  <c r="P6987" i="1" a="1"/>
  <c r="P6987" i="1" s="1"/>
  <c r="B6988" i="1"/>
  <c r="L6987" i="1" a="1"/>
  <c r="L6987" i="1" s="1"/>
  <c r="Q6987" i="1" a="1"/>
  <c r="Q6987" i="1" s="1"/>
  <c r="M6987" i="1" a="1"/>
  <c r="M6987" i="1" s="1"/>
  <c r="R6987" i="1" a="1"/>
  <c r="R6987" i="1" s="1"/>
  <c r="I6987" i="1" a="1"/>
  <c r="I6987" i="1" s="1"/>
  <c r="J6987" i="1" a="1"/>
  <c r="J6987" i="1" s="1"/>
  <c r="N6987" i="1" a="1"/>
  <c r="N6987" i="1" s="1"/>
  <c r="O6987" i="1" a="1"/>
  <c r="O6987" i="1" s="1"/>
  <c r="S6987" i="1" a="1"/>
  <c r="S6987" i="1" s="1"/>
  <c r="A6988" i="1"/>
  <c r="H698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H6988" i="1" l="1"/>
  <c r="A6989" i="1"/>
  <c r="B6989" i="1"/>
  <c r="P6988" i="1" a="1"/>
  <c r="P6988" i="1" s="1"/>
  <c r="L6988" i="1" a="1"/>
  <c r="L6988" i="1" s="1"/>
  <c r="Q6988" i="1" a="1"/>
  <c r="Q6988" i="1" s="1"/>
  <c r="M6988" i="1" a="1"/>
  <c r="M6988" i="1" s="1"/>
  <c r="I6988" i="1" a="1"/>
  <c r="I6988" i="1" s="1"/>
  <c r="R6988" i="1" a="1"/>
  <c r="R6988" i="1" s="1"/>
  <c r="N6988" i="1" a="1"/>
  <c r="N6988" i="1" s="1"/>
  <c r="J6988" i="1" a="1"/>
  <c r="J6988" i="1" s="1"/>
  <c r="K6988" i="1" a="1"/>
  <c r="K6988" i="1" s="1"/>
  <c r="O6988" i="1" a="1"/>
  <c r="O6988" i="1" s="1"/>
  <c r="S6988" i="1" a="1"/>
  <c r="S698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Q6989" i="1" l="1" a="1"/>
  <c r="Q6989" i="1" s="1"/>
  <c r="M6989" i="1" a="1"/>
  <c r="M6989" i="1" s="1"/>
  <c r="I6989" i="1" a="1"/>
  <c r="I6989" i="1" s="1"/>
  <c r="R6989" i="1" a="1"/>
  <c r="R6989" i="1" s="1"/>
  <c r="N6989" i="1" a="1"/>
  <c r="N6989" i="1" s="1"/>
  <c r="J6989" i="1" a="1"/>
  <c r="J6989" i="1" s="1"/>
  <c r="S6989" i="1" a="1"/>
  <c r="S6989" i="1" s="1"/>
  <c r="B6990" i="1"/>
  <c r="K6989" i="1" a="1"/>
  <c r="K6989" i="1" s="1"/>
  <c r="O6989" i="1" a="1"/>
  <c r="O6989" i="1" s="1"/>
  <c r="L6989" i="1" a="1"/>
  <c r="L6989" i="1" s="1"/>
  <c r="P6989" i="1" a="1"/>
  <c r="P6989" i="1" s="1"/>
  <c r="H6989" i="1"/>
  <c r="A6990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B6991" i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B6997" i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B6998" i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A6998" i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6999" i="1" l="1"/>
  <c r="H6998" i="1"/>
  <c r="K6998" i="1" a="1"/>
  <c r="K6998" i="1" s="1"/>
  <c r="O6998" i="1" a="1"/>
  <c r="O6998" i="1" s="1"/>
  <c r="S6998" i="1" a="1"/>
  <c r="S6998" i="1" s="1"/>
  <c r="L6998" i="1" a="1"/>
  <c r="L6998" i="1" s="1"/>
  <c r="P6998" i="1" a="1"/>
  <c r="P6998" i="1" s="1"/>
  <c r="B6999" i="1"/>
  <c r="I6998" i="1" a="1"/>
  <c r="I6998" i="1" s="1"/>
  <c r="M6998" i="1" a="1"/>
  <c r="M6998" i="1" s="1"/>
  <c r="Q6998" i="1" a="1"/>
  <c r="Q6998" i="1" s="1"/>
  <c r="N6998" i="1" a="1"/>
  <c r="N6998" i="1" s="1"/>
  <c r="R6998" i="1" a="1"/>
  <c r="R6998" i="1" s="1"/>
  <c r="J6998" i="1" a="1"/>
  <c r="J6998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J6999" i="1" l="1" a="1"/>
  <c r="J6999" i="1" s="1"/>
  <c r="N6999" i="1" a="1"/>
  <c r="N6999" i="1" s="1"/>
  <c r="R6999" i="1" a="1"/>
  <c r="R6999" i="1" s="1"/>
  <c r="K6999" i="1" a="1"/>
  <c r="K6999" i="1" s="1"/>
  <c r="O6999" i="1" a="1"/>
  <c r="O6999" i="1" s="1"/>
  <c r="S6999" i="1" a="1"/>
  <c r="S6999" i="1" s="1"/>
  <c r="L6999" i="1" a="1"/>
  <c r="L6999" i="1" s="1"/>
  <c r="P6999" i="1" a="1"/>
  <c r="P6999" i="1" s="1"/>
  <c r="I6999" i="1" a="1"/>
  <c r="I6999" i="1" s="1"/>
  <c r="B7000" i="1"/>
  <c r="M6999" i="1" a="1"/>
  <c r="M6999" i="1" s="1"/>
  <c r="Q6999" i="1" a="1"/>
  <c r="Q6999" i="1" s="1"/>
  <c r="A7000" i="1"/>
  <c r="H6999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H7000" i="1" l="1"/>
  <c r="A7001" i="1"/>
  <c r="I7000" i="1" a="1"/>
  <c r="I7000" i="1" s="1"/>
  <c r="M7000" i="1" a="1"/>
  <c r="M7000" i="1" s="1"/>
  <c r="Q7000" i="1" a="1"/>
  <c r="Q7000" i="1" s="1"/>
  <c r="J7000" i="1" a="1"/>
  <c r="J7000" i="1" s="1"/>
  <c r="N7000" i="1" a="1"/>
  <c r="N7000" i="1" s="1"/>
  <c r="R7000" i="1" a="1"/>
  <c r="R7000" i="1" s="1"/>
  <c r="K7000" i="1" a="1"/>
  <c r="K7000" i="1" s="1"/>
  <c r="O7000" i="1" a="1"/>
  <c r="O7000" i="1" s="1"/>
  <c r="S7000" i="1" a="1"/>
  <c r="S7000" i="1" s="1"/>
  <c r="B7001" i="1"/>
  <c r="L7000" i="1" a="1"/>
  <c r="L7000" i="1" s="1"/>
  <c r="P7000" i="1" a="1"/>
  <c r="P7000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L7001" i="1" l="1" a="1"/>
  <c r="L7001" i="1" s="1"/>
  <c r="P7001" i="1" a="1"/>
  <c r="P7001" i="1" s="1"/>
  <c r="B7002" i="1"/>
  <c r="I7001" i="1" a="1"/>
  <c r="I7001" i="1" s="1"/>
  <c r="M7001" i="1" a="1"/>
  <c r="M7001" i="1" s="1"/>
  <c r="Q7001" i="1" a="1"/>
  <c r="Q7001" i="1" s="1"/>
  <c r="J7001" i="1" a="1"/>
  <c r="J7001" i="1" s="1"/>
  <c r="O7001" i="1" a="1"/>
  <c r="O7001" i="1" s="1"/>
  <c r="R7001" i="1" a="1"/>
  <c r="R7001" i="1" s="1"/>
  <c r="K7001" i="1" a="1"/>
  <c r="K7001" i="1" s="1"/>
  <c r="S7001" i="1" a="1"/>
  <c r="S7001" i="1" s="1"/>
  <c r="N7001" i="1" a="1"/>
  <c r="N7001" i="1" s="1"/>
  <c r="A7002" i="1"/>
  <c r="H7001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H7002" i="1" l="1"/>
  <c r="A7003" i="1"/>
  <c r="K7002" i="1" a="1"/>
  <c r="K7002" i="1" s="1"/>
  <c r="O7002" i="1" a="1"/>
  <c r="O7002" i="1" s="1"/>
  <c r="S7002" i="1" a="1"/>
  <c r="S7002" i="1" s="1"/>
  <c r="B7003" i="1"/>
  <c r="I7002" i="1" a="1"/>
  <c r="I7002" i="1" s="1"/>
  <c r="P7002" i="1" a="1"/>
  <c r="P7002" i="1" s="1"/>
  <c r="J7002" i="1" a="1"/>
  <c r="J7002" i="1" s="1"/>
  <c r="Q7002" i="1" a="1"/>
  <c r="Q7002" i="1" s="1"/>
  <c r="M7002" i="1" a="1"/>
  <c r="M7002" i="1" s="1"/>
  <c r="L7002" i="1" a="1"/>
  <c r="L7002" i="1" s="1"/>
  <c r="N7002" i="1" a="1"/>
  <c r="N7002" i="1" s="1"/>
  <c r="R7002" i="1" a="1"/>
  <c r="R700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J7003" i="1" l="1" a="1"/>
  <c r="J7003" i="1" s="1"/>
  <c r="N7003" i="1" a="1"/>
  <c r="N7003" i="1" s="1"/>
  <c r="R7003" i="1" a="1"/>
  <c r="R7003" i="1" s="1"/>
  <c r="O7003" i="1" a="1"/>
  <c r="O7003" i="1" s="1"/>
  <c r="I7003" i="1" a="1"/>
  <c r="I7003" i="1" s="1"/>
  <c r="P7003" i="1" a="1"/>
  <c r="P7003" i="1" s="1"/>
  <c r="K7003" i="1" a="1"/>
  <c r="K7003" i="1" s="1"/>
  <c r="Q7003" i="1" a="1"/>
  <c r="Q7003" i="1" s="1"/>
  <c r="S7003" i="1" a="1"/>
  <c r="S7003" i="1" s="1"/>
  <c r="L7003" i="1" a="1"/>
  <c r="L7003" i="1" s="1"/>
  <c r="M7003" i="1" a="1"/>
  <c r="M7003" i="1" s="1"/>
  <c r="B7004" i="1"/>
  <c r="H7003" i="1"/>
  <c r="A700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7004" i="1" l="1"/>
  <c r="A7005" i="1"/>
  <c r="I7004" i="1" a="1"/>
  <c r="I7004" i="1" s="1"/>
  <c r="M7004" i="1" a="1"/>
  <c r="M7004" i="1" s="1"/>
  <c r="Q7004" i="1" a="1"/>
  <c r="Q7004" i="1" s="1"/>
  <c r="O7004" i="1" a="1"/>
  <c r="O7004" i="1" s="1"/>
  <c r="B7005" i="1"/>
  <c r="J7004" i="1" a="1"/>
  <c r="J7004" i="1" s="1"/>
  <c r="P7004" i="1" a="1"/>
  <c r="P7004" i="1" s="1"/>
  <c r="K7004" i="1" a="1"/>
  <c r="K7004" i="1" s="1"/>
  <c r="L7004" i="1" a="1"/>
  <c r="L7004" i="1" s="1"/>
  <c r="S7004" i="1" a="1"/>
  <c r="S7004" i="1" s="1"/>
  <c r="N7004" i="1" a="1"/>
  <c r="N7004" i="1" s="1"/>
  <c r="R7004" i="1" a="1"/>
  <c r="R7004" i="1" s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7005" i="1" l="1" a="1"/>
  <c r="L7005" i="1" s="1"/>
  <c r="P7005" i="1" a="1"/>
  <c r="P7005" i="1" s="1"/>
  <c r="B7006" i="1"/>
  <c r="I7005" i="1" a="1"/>
  <c r="I7005" i="1" s="1"/>
  <c r="O7005" i="1" a="1"/>
  <c r="O7005" i="1" s="1"/>
  <c r="J7005" i="1" a="1"/>
  <c r="J7005" i="1" s="1"/>
  <c r="Q7005" i="1" a="1"/>
  <c r="Q7005" i="1" s="1"/>
  <c r="S7005" i="1" a="1"/>
  <c r="S7005" i="1" s="1"/>
  <c r="K7005" i="1" a="1"/>
  <c r="K7005" i="1" s="1"/>
  <c r="M7005" i="1" a="1"/>
  <c r="M7005" i="1" s="1"/>
  <c r="N7005" i="1" a="1"/>
  <c r="N7005" i="1" s="1"/>
  <c r="R7005" i="1" a="1"/>
  <c r="R7005" i="1" s="1"/>
  <c r="A7006" i="1"/>
  <c r="H7005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H7006" i="1" l="1"/>
  <c r="A7007" i="1"/>
  <c r="K7006" i="1" a="1"/>
  <c r="K7006" i="1" s="1"/>
  <c r="O7006" i="1" a="1"/>
  <c r="O7006" i="1" s="1"/>
  <c r="S7006" i="1" a="1"/>
  <c r="S7006" i="1" s="1"/>
  <c r="B7007" i="1"/>
  <c r="N7006" i="1" a="1"/>
  <c r="N7006" i="1" s="1"/>
  <c r="I7006" i="1" a="1"/>
  <c r="I7006" i="1" s="1"/>
  <c r="P7006" i="1" a="1"/>
  <c r="P7006" i="1" s="1"/>
  <c r="J7006" i="1" a="1"/>
  <c r="J7006" i="1" s="1"/>
  <c r="Q7006" i="1" a="1"/>
  <c r="Q7006" i="1" s="1"/>
  <c r="L7006" i="1" a="1"/>
  <c r="L7006" i="1" s="1"/>
  <c r="R7006" i="1" a="1"/>
  <c r="R7006" i="1" s="1"/>
  <c r="M7006" i="1" a="1"/>
  <c r="M700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7007" i="1" l="1" a="1"/>
  <c r="J7007" i="1" s="1"/>
  <c r="N7007" i="1" a="1"/>
  <c r="N7007" i="1" s="1"/>
  <c r="R7007" i="1" a="1"/>
  <c r="R7007" i="1" s="1"/>
  <c r="S7007" i="1" a="1"/>
  <c r="S7007" i="1" s="1"/>
  <c r="O7007" i="1" a="1"/>
  <c r="O7007" i="1" s="1"/>
  <c r="I7007" i="1" a="1"/>
  <c r="I7007" i="1" s="1"/>
  <c r="P7007" i="1" a="1"/>
  <c r="P7007" i="1" s="1"/>
  <c r="B7008" i="1"/>
  <c r="L7007" i="1" a="1"/>
  <c r="L7007" i="1" s="1"/>
  <c r="Q7007" i="1" a="1"/>
  <c r="Q7007" i="1" s="1"/>
  <c r="K7007" i="1" a="1"/>
  <c r="K7007" i="1" s="1"/>
  <c r="M7007" i="1" a="1"/>
  <c r="M7007" i="1" s="1"/>
  <c r="H7007" i="1"/>
  <c r="A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B7018" i="1"/>
  <c r="A7018" i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7018" i="1" l="1"/>
  <c r="A7019" i="1"/>
  <c r="K7018" i="1" a="1"/>
  <c r="K7018" i="1" s="1"/>
  <c r="O7018" i="1" a="1"/>
  <c r="O7018" i="1" s="1"/>
  <c r="S7018" i="1" a="1"/>
  <c r="S7018" i="1" s="1"/>
  <c r="M7018" i="1" a="1"/>
  <c r="M7018" i="1" s="1"/>
  <c r="I7018" i="1" a="1"/>
  <c r="I7018" i="1" s="1"/>
  <c r="R7018" i="1" a="1"/>
  <c r="R7018" i="1" s="1"/>
  <c r="N7018" i="1" a="1"/>
  <c r="N7018" i="1" s="1"/>
  <c r="J7018" i="1" a="1"/>
  <c r="J7018" i="1" s="1"/>
  <c r="B7019" i="1"/>
  <c r="L7018" i="1" a="1"/>
  <c r="L7018" i="1" s="1"/>
  <c r="P7018" i="1" a="1"/>
  <c r="P7018" i="1" s="1"/>
  <c r="Q7018" i="1" a="1"/>
  <c r="Q701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7020" i="1" l="1"/>
  <c r="H7019" i="1"/>
  <c r="J7019" i="1" a="1"/>
  <c r="J7019" i="1" s="1"/>
  <c r="N7019" i="1" a="1"/>
  <c r="N7019" i="1" s="1"/>
  <c r="R7019" i="1" a="1"/>
  <c r="R7019" i="1" s="1"/>
  <c r="I7019" i="1" a="1"/>
  <c r="I7019" i="1" s="1"/>
  <c r="S7019" i="1" a="1"/>
  <c r="S7019" i="1" s="1"/>
  <c r="O7019" i="1" a="1"/>
  <c r="O7019" i="1" s="1"/>
  <c r="K7019" i="1" a="1"/>
  <c r="K7019" i="1" s="1"/>
  <c r="P7019" i="1" a="1"/>
  <c r="P7019" i="1" s="1"/>
  <c r="Q7019" i="1" a="1"/>
  <c r="Q7019" i="1" s="1"/>
  <c r="B7020" i="1"/>
  <c r="L7019" i="1" a="1"/>
  <c r="L7019" i="1" s="1"/>
  <c r="M7019" i="1" a="1"/>
  <c r="M7019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020" i="1" l="1" a="1"/>
  <c r="I7020" i="1" s="1"/>
  <c r="M7020" i="1" a="1"/>
  <c r="M7020" i="1" s="1"/>
  <c r="Q7020" i="1" a="1"/>
  <c r="Q7020" i="1" s="1"/>
  <c r="J7020" i="1" a="1"/>
  <c r="J7020" i="1" s="1"/>
  <c r="S7020" i="1" a="1"/>
  <c r="S7020" i="1" s="1"/>
  <c r="O7020" i="1" a="1"/>
  <c r="O7020" i="1" s="1"/>
  <c r="K7020" i="1" a="1"/>
  <c r="K7020" i="1" s="1"/>
  <c r="P7020" i="1" a="1"/>
  <c r="P7020" i="1" s="1"/>
  <c r="B7021" i="1"/>
  <c r="L7020" i="1" a="1"/>
  <c r="L7020" i="1" s="1"/>
  <c r="N7020" i="1" a="1"/>
  <c r="N7020" i="1" s="1"/>
  <c r="R7020" i="1" a="1"/>
  <c r="R7020" i="1" s="1"/>
  <c r="A7021" i="1"/>
  <c r="H702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022" i="1" l="1"/>
  <c r="H7021" i="1"/>
  <c r="L7021" i="1" a="1"/>
  <c r="L7021" i="1" s="1"/>
  <c r="P7021" i="1" a="1"/>
  <c r="P7021" i="1" s="1"/>
  <c r="O7021" i="1" a="1"/>
  <c r="O7021" i="1" s="1"/>
  <c r="K7021" i="1" a="1"/>
  <c r="K7021" i="1" s="1"/>
  <c r="B7022" i="1"/>
  <c r="Q7021" i="1" a="1"/>
  <c r="Q7021" i="1" s="1"/>
  <c r="I7021" i="1" a="1"/>
  <c r="I7021" i="1" s="1"/>
  <c r="R7021" i="1" a="1"/>
  <c r="R7021" i="1" s="1"/>
  <c r="J7021" i="1" a="1"/>
  <c r="J7021" i="1" s="1"/>
  <c r="S7021" i="1" a="1"/>
  <c r="S7021" i="1" s="1"/>
  <c r="M7021" i="1" a="1"/>
  <c r="M7021" i="1" s="1"/>
  <c r="N7021" i="1" a="1"/>
  <c r="N7021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022" i="1" l="1" a="1"/>
  <c r="K7022" i="1" s="1"/>
  <c r="O7022" i="1" a="1"/>
  <c r="O7022" i="1" s="1"/>
  <c r="S7022" i="1" a="1"/>
  <c r="S7022" i="1" s="1"/>
  <c r="P7022" i="1" a="1"/>
  <c r="P7022" i="1" s="1"/>
  <c r="B7023" i="1"/>
  <c r="L7022" i="1" a="1"/>
  <c r="L7022" i="1" s="1"/>
  <c r="Q7022" i="1" a="1"/>
  <c r="Q7022" i="1" s="1"/>
  <c r="M7022" i="1" a="1"/>
  <c r="M7022" i="1" s="1"/>
  <c r="N7022" i="1" a="1"/>
  <c r="N7022" i="1" s="1"/>
  <c r="I7022" i="1" a="1"/>
  <c r="I7022" i="1" s="1"/>
  <c r="R7022" i="1" a="1"/>
  <c r="R7022" i="1" s="1"/>
  <c r="J7022" i="1" a="1"/>
  <c r="J7022" i="1" s="1"/>
  <c r="H7022" i="1"/>
  <c r="A7023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H7023" i="1" l="1"/>
  <c r="A7024" i="1"/>
  <c r="J7023" i="1" a="1"/>
  <c r="J7023" i="1" s="1"/>
  <c r="N7023" i="1" a="1"/>
  <c r="N7023" i="1" s="1"/>
  <c r="R7023" i="1" a="1"/>
  <c r="R7023" i="1" s="1"/>
  <c r="L7023" i="1" a="1"/>
  <c r="L7023" i="1" s="1"/>
  <c r="Q7023" i="1" a="1"/>
  <c r="Q7023" i="1" s="1"/>
  <c r="M7023" i="1" a="1"/>
  <c r="M7023" i="1" s="1"/>
  <c r="I7023" i="1" a="1"/>
  <c r="I7023" i="1" s="1"/>
  <c r="S7023" i="1" a="1"/>
  <c r="S7023" i="1" s="1"/>
  <c r="K7023" i="1" a="1"/>
  <c r="K7023" i="1" s="1"/>
  <c r="B7024" i="1"/>
  <c r="O7023" i="1" a="1"/>
  <c r="O7023" i="1" s="1"/>
  <c r="P7023" i="1" a="1"/>
  <c r="P702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7024" i="1" l="1"/>
  <c r="A7025" i="1"/>
  <c r="I7024" i="1" a="1"/>
  <c r="I7024" i="1" s="1"/>
  <c r="M7024" i="1" a="1"/>
  <c r="M7024" i="1" s="1"/>
  <c r="Q7024" i="1" a="1"/>
  <c r="Q7024" i="1" s="1"/>
  <c r="R7024" i="1" a="1"/>
  <c r="R7024" i="1" s="1"/>
  <c r="N7024" i="1" a="1"/>
  <c r="N7024" i="1" s="1"/>
  <c r="J7024" i="1" a="1"/>
  <c r="J7024" i="1" s="1"/>
  <c r="S7024" i="1" a="1"/>
  <c r="S7024" i="1" s="1"/>
  <c r="O7024" i="1" a="1"/>
  <c r="O7024" i="1" s="1"/>
  <c r="P7024" i="1" a="1"/>
  <c r="P7024" i="1" s="1"/>
  <c r="K7024" i="1" a="1"/>
  <c r="K7024" i="1" s="1"/>
  <c r="B7025" i="1"/>
  <c r="L7024" i="1" a="1"/>
  <c r="L7024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025" i="1" l="1" a="1"/>
  <c r="L7025" i="1" s="1"/>
  <c r="P7025" i="1" a="1"/>
  <c r="P7025" i="1" s="1"/>
  <c r="I7025" i="1" a="1"/>
  <c r="I7025" i="1" s="1"/>
  <c r="R7025" i="1" a="1"/>
  <c r="R7025" i="1" s="1"/>
  <c r="N7025" i="1" a="1"/>
  <c r="N7025" i="1" s="1"/>
  <c r="J7025" i="1" a="1"/>
  <c r="J7025" i="1" s="1"/>
  <c r="S7025" i="1" a="1"/>
  <c r="S7025" i="1" s="1"/>
  <c r="O7025" i="1" a="1"/>
  <c r="O7025" i="1" s="1"/>
  <c r="K7025" i="1" a="1"/>
  <c r="K7025" i="1" s="1"/>
  <c r="B7026" i="1"/>
  <c r="M7025" i="1" a="1"/>
  <c r="M7025" i="1" s="1"/>
  <c r="Q7025" i="1" a="1"/>
  <c r="Q7025" i="1" s="1"/>
  <c r="A7026" i="1"/>
  <c r="H7025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7027" i="1" l="1"/>
  <c r="H7026" i="1"/>
  <c r="K7026" i="1" a="1"/>
  <c r="K7026" i="1" s="1"/>
  <c r="O7026" i="1" a="1"/>
  <c r="O7026" i="1" s="1"/>
  <c r="S7026" i="1" a="1"/>
  <c r="S7026" i="1" s="1"/>
  <c r="N7026" i="1" a="1"/>
  <c r="N7026" i="1" s="1"/>
  <c r="J7026" i="1" a="1"/>
  <c r="J7026" i="1" s="1"/>
  <c r="P7026" i="1" a="1"/>
  <c r="P7026" i="1" s="1"/>
  <c r="B7027" i="1"/>
  <c r="Q7026" i="1" a="1"/>
  <c r="Q7026" i="1" s="1"/>
  <c r="I7026" i="1" a="1"/>
  <c r="I7026" i="1" s="1"/>
  <c r="R7026" i="1" a="1"/>
  <c r="R7026" i="1" s="1"/>
  <c r="L7026" i="1" a="1"/>
  <c r="L7026" i="1" s="1"/>
  <c r="M7026" i="1" a="1"/>
  <c r="M7026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A7028" i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029" i="1" l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A7030" i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A7031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B7032" i="1"/>
  <c r="O7031" i="1" a="1"/>
  <c r="O7031" i="1" s="1"/>
  <c r="P7031" i="1" a="1"/>
  <c r="P7031" i="1" s="1"/>
  <c r="K7031" i="1" a="1"/>
  <c r="K7031" i="1" s="1"/>
  <c r="Q7031" i="1" a="1"/>
  <c r="Q7031" i="1" s="1"/>
  <c r="H7031" i="1"/>
  <c r="A7032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A7033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7034" i="1" l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A7035" i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A7036" i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A7037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7038" i="1" l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A7039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7040" i="1" l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A7041" i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A7042" i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A7043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A7044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A7045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7046" i="1" l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7047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A7048" i="1"/>
  <c r="H7047" i="1"/>
  <c r="A3527" i="1"/>
  <c r="L3526" i="1" a="1"/>
  <c r="L3526" i="1" s="1"/>
  <c r="H3526" i="1"/>
  <c r="H7048" i="1" l="1"/>
  <c r="A7049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A7050" i="1"/>
  <c r="H7049" i="1"/>
  <c r="A3529" i="1"/>
  <c r="O3528" i="1" a="1"/>
  <c r="O3528" i="1" s="1"/>
  <c r="H3528" i="1"/>
  <c r="H7050" i="1" l="1"/>
  <c r="A7051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7052" i="1"/>
  <c r="A3531" i="1"/>
  <c r="H3530" i="1"/>
  <c r="O3530" i="1" a="1"/>
  <c r="O3530" i="1" s="1"/>
  <c r="H7052" i="1" l="1"/>
  <c r="A7053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A7054" i="1"/>
  <c r="H7053" i="1"/>
  <c r="A3533" i="1"/>
  <c r="O3532" i="1" a="1"/>
  <c r="O3532" i="1" s="1"/>
  <c r="H3532" i="1"/>
  <c r="H7054" i="1" l="1"/>
  <c r="A7055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A7056" i="1" l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A7057" i="1"/>
  <c r="H7056" i="1"/>
  <c r="A3536" i="1"/>
  <c r="H3535" i="1"/>
  <c r="O3535" i="1" a="1"/>
  <c r="O3535" i="1" s="1"/>
  <c r="H7057" i="1" l="1"/>
  <c r="A7058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7059" i="1"/>
  <c r="A3538" i="1"/>
  <c r="H3537" i="1"/>
  <c r="O3537" i="1" a="1"/>
  <c r="O3537" i="1" s="1"/>
  <c r="H7059" i="1" l="1"/>
  <c r="A7060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7061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7062" i="1"/>
  <c r="A3541" i="1"/>
  <c r="O3540" i="1" a="1"/>
  <c r="O3540" i="1" s="1"/>
  <c r="H3540" i="1"/>
  <c r="I4438" i="1" a="1"/>
  <c r="I4438" i="1" s="1"/>
  <c r="A7063" i="1" l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A7064" i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7065" i="1" l="1"/>
  <c r="H7064" i="1"/>
  <c r="P7064" i="1" a="1"/>
  <c r="P7064" i="1" s="1"/>
  <c r="B7065" i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B7066" i="1" l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7066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A7067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7068" i="1"/>
  <c r="A3547" i="1"/>
  <c r="H3546" i="1"/>
  <c r="O3546" i="1" a="1"/>
  <c r="O3546" i="1" s="1"/>
  <c r="I4443" i="1" a="1"/>
  <c r="I4443" i="1" s="1"/>
  <c r="I4444" i="1" a="1"/>
  <c r="I4444" i="1" s="1"/>
  <c r="H4443" i="1"/>
  <c r="A7069" i="1" l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7070" i="1"/>
  <c r="A3549" i="1"/>
  <c r="O3548" i="1" a="1"/>
  <c r="O3548" i="1" s="1"/>
  <c r="H3548" i="1"/>
  <c r="I4446" i="1" a="1"/>
  <c r="I4446" i="1" s="1"/>
  <c r="H4445" i="1"/>
  <c r="H7070" i="1" l="1"/>
  <c r="A7071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A7072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A7073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A7074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A7075" i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7076" i="1" l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A7077" i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A7078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7079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7080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A7081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B7081" i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7082" i="1"/>
  <c r="A3561" i="1"/>
  <c r="I3560" i="1" a="1"/>
  <c r="I3560" i="1" s="1"/>
  <c r="H3560" i="1"/>
  <c r="I4457" i="1" a="1"/>
  <c r="I4457" i="1" s="1"/>
  <c r="K4457" i="1" a="1"/>
  <c r="K4457" i="1" s="1"/>
  <c r="H4457" i="1"/>
  <c r="A7083" i="1" l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A7084" i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A7085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7086" i="1"/>
  <c r="A3565" i="1"/>
  <c r="I3564" i="1" a="1"/>
  <c r="I3564" i="1" s="1"/>
  <c r="H3564" i="1"/>
  <c r="I4461" i="1" a="1"/>
  <c r="I4461" i="1" s="1"/>
  <c r="K4461" i="1" a="1"/>
  <c r="K4461" i="1" s="1"/>
  <c r="H4461" i="1"/>
  <c r="A7087" i="1" l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A7088" i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7089" i="1" l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7090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A7091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7092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7093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A7094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7095" i="1" l="1"/>
  <c r="H7094" i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A7096" i="1"/>
  <c r="H7095" i="1"/>
  <c r="I4471" i="1" a="1"/>
  <c r="I4471" i="1" s="1"/>
  <c r="K4471" i="1" a="1"/>
  <c r="K4471" i="1" s="1"/>
  <c r="C4472" i="1"/>
  <c r="H4471" i="1"/>
  <c r="O4471" i="1" a="1"/>
  <c r="O4471" i="1" s="1"/>
  <c r="A7097" i="1" l="1"/>
  <c r="H7096" i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A7098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A7099" i="1"/>
  <c r="I4474" i="1" a="1"/>
  <c r="I4474" i="1" s="1"/>
  <c r="K4474" i="1" a="1"/>
  <c r="K4474" i="1" s="1"/>
  <c r="C4475" i="1"/>
  <c r="H4474" i="1"/>
  <c r="O4474" i="1" a="1"/>
  <c r="O4474" i="1" s="1"/>
  <c r="H7099" i="1" l="1"/>
  <c r="A7100" i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A7101" i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A7102" i="1"/>
  <c r="I4477" i="1" a="1"/>
  <c r="I4477" i="1" s="1"/>
  <c r="K4477" i="1" a="1"/>
  <c r="K4477" i="1" s="1"/>
  <c r="C4478" i="1"/>
  <c r="H4477" i="1"/>
  <c r="O4477" i="1" a="1"/>
  <c r="O4477" i="1" s="1"/>
  <c r="H7102" i="1" l="1"/>
  <c r="A7103" i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A7104" i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A7105" i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A7106" i="1" l="1"/>
  <c r="H7105" i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A7107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A7108" i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A7109" i="1"/>
  <c r="I4484" i="1" a="1"/>
  <c r="I4484" i="1" s="1"/>
  <c r="K4484" i="1" a="1"/>
  <c r="K4484" i="1" s="1"/>
  <c r="C4485" i="1"/>
  <c r="H4484" i="1"/>
  <c r="O4484" i="1" a="1"/>
  <c r="O4484" i="1" s="1"/>
  <c r="A7110" i="1" l="1"/>
  <c r="H7109" i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7111" i="1" l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A7111" i="1"/>
  <c r="I4486" i="1" a="1"/>
  <c r="I4486" i="1" s="1"/>
  <c r="K4486" i="1" a="1"/>
  <c r="K4486" i="1" s="1"/>
  <c r="L4487" i="1" a="1"/>
  <c r="L4487" i="1" s="1"/>
  <c r="H4486" i="1"/>
  <c r="O4486" i="1" a="1"/>
  <c r="O4486" i="1" s="1"/>
  <c r="A7112" i="1" l="1"/>
  <c r="H7111" i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7112" i="1" l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A7113" i="1"/>
  <c r="I4488" i="1" a="1"/>
  <c r="I4488" i="1" s="1"/>
  <c r="K4488" i="1" a="1"/>
  <c r="K4488" i="1" s="1"/>
  <c r="H4488" i="1"/>
  <c r="O4488" i="1" a="1"/>
  <c r="O4488" i="1" s="1"/>
  <c r="H7113" i="1" l="1"/>
  <c r="A7114" i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B7115" i="1" l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A7115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7116" i="1" l="1"/>
  <c r="H7115" i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A7117" i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A7118" i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A7119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A7120" i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A7121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7122" i="1" l="1"/>
  <c r="H7121" i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A7123" i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A7124" i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A7125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7126" i="1" l="1"/>
  <c r="H7125" i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A7127" i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A7128" i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7129" i="1" l="1"/>
  <c r="H7128" i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A7130" i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A7131" i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A7132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7133" i="1" l="1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A7134" i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A7135" i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A7136" i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A7137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7138" i="1" l="1"/>
  <c r="H7137" i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A7139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7140" i="1" l="1"/>
  <c r="H7139" i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A7141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A7142" i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A7143" i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A7144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A7145" i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A7146" i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A7147" i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A7148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A7149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7150" i="1" l="1"/>
  <c r="H7149" i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A7151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A7152" i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D245" i="2" l="1"/>
  <c r="I7152" i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D246" i="2" s="1"/>
  <c r="H7152" i="1"/>
  <c r="A7153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D244" i="2" l="1"/>
  <c r="D240" i="2"/>
  <c r="D249" i="2"/>
  <c r="D247" i="2"/>
  <c r="D243" i="2"/>
  <c r="A7154" i="1"/>
  <c r="H7153" i="1"/>
  <c r="L7153" i="1" a="1"/>
  <c r="L7153" i="1" s="1"/>
  <c r="P7153" i="1" a="1"/>
  <c r="P7153" i="1" s="1"/>
  <c r="B7154" i="1"/>
  <c r="D241" i="2" s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A7155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7156" i="1" l="1"/>
  <c r="H7155" i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A7157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A7158" i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A7159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A7160" i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A7161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D233" i="2" l="1"/>
  <c r="A7162" i="1"/>
  <c r="H7161" i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D232" i="2" l="1"/>
  <c r="D229" i="2"/>
  <c r="D231" i="2"/>
  <c r="D236" i="2"/>
  <c r="D230" i="2"/>
  <c r="K7162" i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A7163" i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D237" i="2" l="1"/>
  <c r="D227" i="2"/>
  <c r="H7163" i="1"/>
  <c r="A7164" i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A7165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166" i="1" l="1"/>
  <c r="H7165" i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A7167" i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A7168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7169" i="1" l="1"/>
  <c r="H7168" i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A7170" i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A7171" i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A7172" i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A7173" i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A7174" i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A7175" i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7176" i="1" l="1"/>
  <c r="H7175" i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A7177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178" i="1" l="1"/>
  <c r="H7177" i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A7179" i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A7180" i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A7181" i="1" l="1"/>
  <c r="H7180" i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A7182" i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A7183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A7184" i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A7185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186" i="1" l="1"/>
  <c r="H7185" i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A7187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A7188" i="1" l="1"/>
  <c r="H7187" i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A7189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A7190" i="1" l="1"/>
  <c r="H7189" i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E234" i="2" l="1"/>
  <c r="C234" i="2"/>
  <c r="C242" i="2"/>
  <c r="E238" i="2"/>
  <c r="C238" i="2"/>
  <c r="E248" i="2"/>
  <c r="C248" i="2"/>
  <c r="E242" i="2"/>
  <c r="D242" i="2"/>
  <c r="D248" i="2"/>
  <c r="D238" i="2"/>
  <c r="D234" i="2"/>
  <c r="E239" i="2"/>
  <c r="D239" i="2"/>
  <c r="C239" i="2"/>
  <c r="E235" i="2"/>
  <c r="C235" i="2"/>
  <c r="D235" i="2"/>
  <c r="E228" i="2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<sst xmlns="http://schemas.openxmlformats.org/spreadsheetml/2006/main" count="68474" uniqueCount="26">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</sst>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tabSelected="1" zoomScale="90" zoomScaleNormal="90" workbookViewId="0">
      <pane ySplit="1" topLeftCell="A6951" activePane="bottomLeft" state="frozen"/>
      <selection pane="bottomLeft" activeCell="D6963" sqref="D6963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12">
        <v>45996</v>
      </c>
      <c r="B6963" s="5" t="str">
        <f t="shared" ref="A6963:C6963" si="1308">B6962</f>
        <v>Mourning Dove</v>
      </c>
      <c r="C6963" s="6">
        <v>0.4826388888888889</v>
      </c>
      <c r="D6963" s="5"/>
      <c r="E6963" s="5"/>
      <c r="F6963" s="5" t="s">
        <v>22</v>
      </c>
      <c r="G6963" s="15" t="s">
        <v>22</v>
      </c>
      <c r="H6963" s="24">
        <f t="shared" ref="H6953:H6999" si="1309">IFERROR((($A6963+$C6963) - ($A6962+$C6962))*24*60, "")</f>
        <v>1203.000000002794</v>
      </c>
      <c r="I6963" s="24" t="str" cm="1">
        <f t="array" ref="I6963">IFERROR(IF($B6963=I$1, ($A6963+$C6963) - MAX(IF($B$2:$B6962=$B6963, $A$2:$A6962+$C$2:$C6962)), "")*24*60, "")</f>
        <v/>
      </c>
      <c r="J6963" s="24" t="str" cm="1">
        <f t="array" ref="J6963">IFERROR(IF($B6963=J$1, ($A6963+$C6963) - MAX(IF($B$2:$B6962=$B6963, $A$2:$A6962+$C$2:$C6962)), "")*24*60, "")</f>
        <v/>
      </c>
      <c r="K6963" s="24" t="str" cm="1">
        <f t="array" ref="K6963">IFERROR(IF($B6963=K$1, ($A6963+$C6963) - MAX(IF($B$2:$B6962=$B6963, $A$2:$A6962+$C$2:$C6962)), "")*24*60, "")</f>
        <v/>
      </c>
      <c r="L6963" s="24" t="str" cm="1">
        <f t="array" ref="L6963">IFERROR(IF($B6963=L$1, ($A6963+$C6963) - MAX(IF($B$2:$B6962=$B6963, $A$2:$A6962+$C$2:$C6962)), "")*24*60, "")</f>
        <v/>
      </c>
      <c r="M6963" s="24" t="str" cm="1">
        <f t="array" ref="M6963">IFERROR(IF($B6963=M$1, ($A6963+$C6963) - MAX(IF($B$2:$B6962=$B6963, $A$2:$A6962+$C$2:$C6962)), "")*24*60, "")</f>
        <v/>
      </c>
      <c r="N6963" s="24" t="str" cm="1">
        <f t="array" ref="N6963">IFERROR(IF($B6963=N$1, ($A6963+$C6963) - MAX(IF($B$2:$B6962=$B6963, $A$2:$A6962+$C$2:$C6962)), "")*24*60, "")</f>
        <v/>
      </c>
      <c r="O6963" s="24" cm="1">
        <f t="array" ref="O6963">IFERROR(IF($B6963=O$1, ($A6963+$C6963) - MAX(IF($B$2:$B6962=$B6963, $A$2:$A6962+$C$2:$C6962)), "")*24*60, "")</f>
        <v>1203.000000002794</v>
      </c>
      <c r="P6963" s="24" t="str" cm="1">
        <f t="array" ref="P6963">IFERROR(IF($B6963=P$1, ($A6963+$C6963) - MAX(IF($B$2:$B6962=$B6963, $A$2:$A6962+$C$2:$C6962)), "")*24*60, "")</f>
        <v/>
      </c>
      <c r="Q6963" s="24" t="str" cm="1">
        <f t="array" ref="Q6963">IFERROR(IF($B6963=Q$1, ($A6963+$C6963) - MAX(IF($B$2:$B6962=$B6963, $A$2:$A6962+$C$2:$C6962)), "")*24*60, "")</f>
        <v/>
      </c>
      <c r="R6963" s="24" t="str" cm="1">
        <f t="array" ref="R6963">IFERROR(IF($B6963=R$1, ($A6963+$C6963) - MAX(IF($B$2:$B6962=$B6963, $A$2:$A6962+$C$2:$C6962)), "")*24*60, "")</f>
        <v/>
      </c>
      <c r="S6963" s="24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f t="shared" ref="A6964:C6964" si="1310">A6963</f>
        <v>45996</v>
      </c>
      <c r="B6964" s="5" t="str">
        <f t="shared" si="1310"/>
        <v>Mourning Dove</v>
      </c>
      <c r="C6964" s="6">
        <f t="shared" si="1310"/>
        <v>0.4826388888888889</v>
      </c>
      <c r="D6964" s="5"/>
      <c r="E6964" s="5"/>
      <c r="F6964" s="5" t="s">
        <v>22</v>
      </c>
      <c r="G6964" s="15" t="s">
        <v>22</v>
      </c>
      <c r="H6964" s="24">
        <f t="shared" si="1309"/>
        <v>0</v>
      </c>
      <c r="I6964" s="24" t="str" cm="1">
        <f t="array" ref="I6964">IFERROR(IF($B6964=I$1, ($A6964+$C6964) - MAX(IF($B$2:$B6963=$B6964, $A$2:$A6963+$C$2:$C6963)), "")*24*60, "")</f>
        <v/>
      </c>
      <c r="J6964" s="24" t="str" cm="1">
        <f t="array" ref="J6964">IFERROR(IF($B6964=J$1, ($A6964+$C6964) - MAX(IF($B$2:$B6963=$B6964, $A$2:$A6963+$C$2:$C6963)), "")*24*60, "")</f>
        <v/>
      </c>
      <c r="K6964" s="24" t="str" cm="1">
        <f t="array" ref="K6964">IFERROR(IF($B6964=K$1, ($A6964+$C6964) - MAX(IF($B$2:$B6963=$B6964, $A$2:$A6963+$C$2:$C6963)), "")*24*60, "")</f>
        <v/>
      </c>
      <c r="L6964" s="24" t="str" cm="1">
        <f t="array" ref="L6964">IFERROR(IF($B6964=L$1, ($A6964+$C6964) - MAX(IF($B$2:$B6963=$B6964, $A$2:$A6963+$C$2:$C6963)), "")*24*60, "")</f>
        <v/>
      </c>
      <c r="M6964" s="24" t="str" cm="1">
        <f t="array" ref="M6964">IFERROR(IF($B6964=M$1, ($A6964+$C6964) - MAX(IF($B$2:$B6963=$B6964, $A$2:$A6963+$C$2:$C6963)), "")*24*60, "")</f>
        <v/>
      </c>
      <c r="N6964" s="24" t="str" cm="1">
        <f t="array" ref="N6964">IFERROR(IF($B6964=N$1, ($A6964+$C6964) - MAX(IF($B$2:$B6963=$B6964, $A$2:$A6963+$C$2:$C6963)), "")*24*60, "")</f>
        <v/>
      </c>
      <c r="O6964" s="24" cm="1">
        <f t="array" ref="O6964">IFERROR(IF($B6964=O$1, ($A6964+$C6964) - MAX(IF($B$2:$B6963=$B6964, $A$2:$A6963+$C$2:$C6963)), "")*24*60, "")</f>
        <v>0</v>
      </c>
      <c r="P6964" s="24" t="str" cm="1">
        <f t="array" ref="P6964">IFERROR(IF($B6964=P$1, ($A6964+$C6964) - MAX(IF($B$2:$B6963=$B6964, $A$2:$A6963+$C$2:$C6963)), "")*24*60, "")</f>
        <v/>
      </c>
      <c r="Q6964" s="24" t="str" cm="1">
        <f t="array" ref="Q6964">IFERROR(IF($B6964=Q$1, ($A6964+$C6964) - MAX(IF($B$2:$B6963=$B6964, $A$2:$A6963+$C$2:$C6963)), "")*24*60, "")</f>
        <v/>
      </c>
      <c r="R6964" s="24" t="str" cm="1">
        <f t="array" ref="R6964">IFERROR(IF($B6964=R$1, ($A6964+$C6964) - MAX(IF($B$2:$B6963=$B6964, $A$2:$A6963+$C$2:$C6963)), "")*24*60, "")</f>
        <v/>
      </c>
      <c r="S6964" s="24" t="str" cm="1">
        <f t="array" ref="S6964">IFERROR(IF($B6964=S$1, ($A6964+$C6964) - MAX(IF($B$2:$B6963=$B6964, $A$2:$A6963+$C$2:$C6963)), "")*24*60, "")</f>
        <v/>
      </c>
    </row>
    <row r="6965" spans="1:19" x14ac:dyDescent="0.2">
      <c r="A6965" s="12">
        <f t="shared" ref="A6965:C6965" si="1311">A6964</f>
        <v>45996</v>
      </c>
      <c r="B6965" s="5" t="str">
        <f t="shared" si="1311"/>
        <v>Mourning Dove</v>
      </c>
      <c r="C6965" s="6">
        <f t="shared" si="1311"/>
        <v>0.4826388888888889</v>
      </c>
      <c r="D6965" s="5"/>
      <c r="E6965" s="5"/>
      <c r="F6965" s="5" t="s">
        <v>22</v>
      </c>
      <c r="G6965" s="15" t="s">
        <v>22</v>
      </c>
      <c r="H6965" s="24">
        <f t="shared" si="1309"/>
        <v>0</v>
      </c>
      <c r="I6965" s="24" t="str" cm="1">
        <f t="array" ref="I6965">IFERROR(IF($B6965=I$1, ($A6965+$C6965) - MAX(IF($B$2:$B6964=$B6965, $A$2:$A6964+$C$2:$C6964)), "")*24*60, "")</f>
        <v/>
      </c>
      <c r="J6965" s="24" t="str" cm="1">
        <f t="array" ref="J6965">IFERROR(IF($B6965=J$1, ($A6965+$C6965) - MAX(IF($B$2:$B6964=$B6965, $A$2:$A6964+$C$2:$C6964)), "")*24*60, "")</f>
        <v/>
      </c>
      <c r="K6965" s="24" t="str" cm="1">
        <f t="array" ref="K6965">IFERROR(IF($B6965=K$1, ($A6965+$C6965) - MAX(IF($B$2:$B6964=$B6965, $A$2:$A6964+$C$2:$C6964)), "")*24*60, "")</f>
        <v/>
      </c>
      <c r="L6965" s="24" t="str" cm="1">
        <f t="array" ref="L6965">IFERROR(IF($B6965=L$1, ($A6965+$C6965) - MAX(IF($B$2:$B6964=$B6965, $A$2:$A6964+$C$2:$C6964)), "")*24*60, "")</f>
        <v/>
      </c>
      <c r="M6965" s="24" t="str" cm="1">
        <f t="array" ref="M6965">IFERROR(IF($B6965=M$1, ($A6965+$C6965) - MAX(IF($B$2:$B6964=$B6965, $A$2:$A6964+$C$2:$C6964)), "")*24*60, "")</f>
        <v/>
      </c>
      <c r="N6965" s="24" t="str" cm="1">
        <f t="array" ref="N6965">IFERROR(IF($B6965=N$1, ($A6965+$C6965) - MAX(IF($B$2:$B6964=$B6965, $A$2:$A6964+$C$2:$C6964)), "")*24*60, "")</f>
        <v/>
      </c>
      <c r="O6965" s="24" cm="1">
        <f t="array" ref="O6965">IFERROR(IF($B6965=O$1, ($A6965+$C6965) - MAX(IF($B$2:$B6964=$B6965, $A$2:$A6964+$C$2:$C6964)), "")*24*60, "")</f>
        <v>0</v>
      </c>
      <c r="P6965" s="24" t="str" cm="1">
        <f t="array" ref="P6965">IFERROR(IF($B6965=P$1, ($A6965+$C6965) - MAX(IF($B$2:$B6964=$B6965, $A$2:$A6964+$C$2:$C6964)), "")*24*60, "")</f>
        <v/>
      </c>
      <c r="Q6965" s="24" t="str" cm="1">
        <f t="array" ref="Q6965">IFERROR(IF($B6965=Q$1, ($A6965+$C6965) - MAX(IF($B$2:$B6964=$B6965, $A$2:$A6964+$C$2:$C6964)), "")*24*60, "")</f>
        <v/>
      </c>
      <c r="R6965" s="24" t="str" cm="1">
        <f t="array" ref="R6965">IFERROR(IF($B6965=R$1, ($A6965+$C6965) - MAX(IF($B$2:$B6964=$B6965, $A$2:$A6964+$C$2:$C6964)), "")*24*60, "")</f>
        <v/>
      </c>
      <c r="S6965" s="24" t="str" cm="1">
        <f t="array" ref="S6965">IFERROR(IF($B6965=S$1, ($A6965+$C6965) - MAX(IF($B$2:$B6964=$B6965, $A$2:$A6964+$C$2:$C6964)), "")*24*60, "")</f>
        <v/>
      </c>
    </row>
    <row r="6966" spans="1:19" x14ac:dyDescent="0.2">
      <c r="A6966" s="12">
        <f t="shared" ref="A6966:C6966" si="1312">A6965</f>
        <v>45996</v>
      </c>
      <c r="B6966" s="5" t="str">
        <f t="shared" si="1312"/>
        <v>Mourning Dove</v>
      </c>
      <c r="C6966" s="6">
        <f t="shared" si="1312"/>
        <v>0.4826388888888889</v>
      </c>
      <c r="D6966" s="5"/>
      <c r="E6966" s="5"/>
      <c r="F6966" s="5" t="s">
        <v>22</v>
      </c>
      <c r="G6966" s="15" t="s">
        <v>22</v>
      </c>
      <c r="H6966" s="24">
        <f t="shared" si="1309"/>
        <v>0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t="str" cm="1">
        <f t="array" ref="N6966">IFERROR(IF($B6966=N$1, ($A6966+$C6966) - MAX(IF($B$2:$B6965=$B6966, $A$2:$A6965+$C$2:$C6965)), "")*24*60, "")</f>
        <v/>
      </c>
      <c r="O6966" s="24" cm="1">
        <f t="array" ref="O6966">IFERROR(IF($B6966=O$1, ($A6966+$C6966) - MAX(IF($B$2:$B6965=$B6966, $A$2:$A6965+$C$2:$C6965)), "")*24*60, "")</f>
        <v>0</v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:C6967" si="1313">A6966</f>
        <v>45996</v>
      </c>
      <c r="B6967" s="5" t="str">
        <f t="shared" si="1313"/>
        <v>Mourning Dove</v>
      </c>
      <c r="C6967" s="6">
        <f t="shared" si="1313"/>
        <v>0.4826388888888889</v>
      </c>
      <c r="D6967" s="5"/>
      <c r="E6967" s="5"/>
      <c r="F6967" s="5" t="s">
        <v>22</v>
      </c>
      <c r="G6967" s="15" t="s">
        <v>22</v>
      </c>
      <c r="H6967" s="24">
        <f t="shared" si="1309"/>
        <v>0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cm="1">
        <f t="array" ref="O6967">IFERROR(IF($B6967=O$1, ($A6967+$C6967) - MAX(IF($B$2:$B6966=$B6967, $A$2:$A6966+$C$2:$C6966)), "")*24*60, "")</f>
        <v>0</v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t="str" cm="1">
        <f t="array" ref="S6967">IFERROR(IF($B6967=S$1, ($A6967+$C6967) - MAX(IF($B$2:$B6966=$B6967, $A$2:$A6966+$C$2:$C6966)), "")*24*60, "")</f>
        <v/>
      </c>
    </row>
    <row r="6968" spans="1:19" x14ac:dyDescent="0.2">
      <c r="A6968" s="12">
        <f t="shared" ref="A6968:C6968" si="1314">A6967</f>
        <v>45996</v>
      </c>
      <c r="B6968" s="5" t="str">
        <f t="shared" si="1314"/>
        <v>Mourning Dove</v>
      </c>
      <c r="C6968" s="6">
        <f t="shared" si="1314"/>
        <v>0.4826388888888889</v>
      </c>
      <c r="D6968" s="5"/>
      <c r="E6968" s="5"/>
      <c r="F6968" s="5" t="s">
        <v>22</v>
      </c>
      <c r="G6968" s="15" t="s">
        <v>22</v>
      </c>
      <c r="H6968" s="24">
        <f t="shared" si="1309"/>
        <v>0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t="str" cm="1">
        <f t="array" ref="L6968">IFERROR(IF($B6968=L$1, ($A6968+$C6968) - MAX(IF($B$2:$B6967=$B6968, $A$2:$A6967+$C$2:$C6967)), "")*24*60, "")</f>
        <v/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cm="1">
        <f t="array" ref="O6968">IFERROR(IF($B6968=O$1, ($A6968+$C6968) - MAX(IF($B$2:$B6967=$B6968, $A$2:$A6967+$C$2:$C6967)), "")*24*60, "")</f>
        <v>0</v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C6969" si="1315">A6968</f>
        <v>45996</v>
      </c>
      <c r="B6969" s="5" t="str">
        <f t="shared" si="1315"/>
        <v>Mourning Dove</v>
      </c>
      <c r="C6969" s="6">
        <f t="shared" si="1315"/>
        <v>0.4826388888888889</v>
      </c>
      <c r="D6969" s="5"/>
      <c r="E6969" s="5"/>
      <c r="F6969" s="5" t="s">
        <v>22</v>
      </c>
      <c r="G6969" s="15" t="s">
        <v>22</v>
      </c>
      <c r="H6969" s="24">
        <f t="shared" si="1309"/>
        <v>0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t="str" cm="1">
        <f t="array" ref="L6969">IFERROR(IF($B6969=L$1, ($A6969+$C6969) - MAX(IF($B$2:$B6968=$B6969, $A$2:$A6968+$C$2:$C6968)), "")*24*60, "")</f>
        <v/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cm="1">
        <f t="array" ref="O6969">IFERROR(IF($B6969=O$1, ($A6969+$C6969) - MAX(IF($B$2:$B6968=$B6969, $A$2:$A6968+$C$2:$C6968)), "")*24*60, "")</f>
        <v>0</v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6">A6969</f>
        <v>45996</v>
      </c>
      <c r="B6970" s="5" t="str">
        <f t="shared" si="1316"/>
        <v>Mourning Dove</v>
      </c>
      <c r="C6970" s="6">
        <f t="shared" si="1316"/>
        <v>0.4826388888888889</v>
      </c>
      <c r="D6970" s="5"/>
      <c r="E6970" s="5"/>
      <c r="F6970" s="5" t="s">
        <v>22</v>
      </c>
      <c r="G6970" s="15" t="s">
        <v>22</v>
      </c>
      <c r="H6970" s="24">
        <f t="shared" si="1309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t="str" cm="1">
        <f t="array" ref="L6970">IFERROR(IF($B6970=L$1, ($A6970+$C6970) - MAX(IF($B$2:$B6969=$B6970, $A$2:$A6969+$C$2:$C6969)), "")*24*60, "")</f>
        <v/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cm="1">
        <f t="array" ref="O6970">IFERROR(IF($B6970=O$1, ($A6970+$C6970) - MAX(IF($B$2:$B6969=$B6970, $A$2:$A6969+$C$2:$C6969)), "")*24*60, "")</f>
        <v>0</v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C6971" si="1317">A6970</f>
        <v>45996</v>
      </c>
      <c r="B6971" s="5" t="str">
        <f t="shared" si="1317"/>
        <v>Mourning Dove</v>
      </c>
      <c r="C6971" s="6">
        <f t="shared" si="1317"/>
        <v>0.4826388888888889</v>
      </c>
      <c r="D6971" s="5"/>
      <c r="E6971" s="5"/>
      <c r="F6971" s="5" t="s">
        <v>22</v>
      </c>
      <c r="G6971" s="15" t="s">
        <v>22</v>
      </c>
      <c r="H6971" s="24">
        <f t="shared" si="1309"/>
        <v>0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t="str" cm="1">
        <f t="array" ref="L6971">IFERROR(IF($B6971=L$1, ($A6971+$C6971) - MAX(IF($B$2:$B6970=$B6971, $A$2:$A6970+$C$2:$C6970)), "")*24*60, "")</f>
        <v/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cm="1">
        <f t="array" ref="O6971">IFERROR(IF($B6971=O$1, ($A6971+$C6971) - MAX(IF($B$2:$B6970=$B6971, $A$2:$A6970+$C$2:$C6970)), "")*24*60, "")</f>
        <v>0</v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:C6972" si="1318">A6971</f>
        <v>45996</v>
      </c>
      <c r="B6972" s="5" t="str">
        <f t="shared" si="1318"/>
        <v>Mourning Dove</v>
      </c>
      <c r="C6972" s="6">
        <f t="shared" si="1318"/>
        <v>0.4826388888888889</v>
      </c>
      <c r="D6972" s="5"/>
      <c r="E6972" s="5"/>
      <c r="F6972" s="5" t="s">
        <v>22</v>
      </c>
      <c r="G6972" s="15" t="s">
        <v>22</v>
      </c>
      <c r="H6972" s="24">
        <f t="shared" si="1309"/>
        <v>0</v>
      </c>
      <c r="I6972" s="24" t="str" cm="1">
        <f t="array" ref="I6972">IFERROR(IF($B6972=I$1, ($A6972+$C6972) - MAX(IF($B$2:$B6971=$B6972, $A$2:$A6971+$C$2:$C6971)), "")*24*60, "")</f>
        <v/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cm="1">
        <f t="array" ref="O6972">IFERROR(IF($B6972=O$1, ($A6972+$C6972) - MAX(IF($B$2:$B6971=$B6972, $A$2:$A6971+$C$2:$C6971)), "")*24*60, "")</f>
        <v>0</v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9">A6972</f>
        <v>45996</v>
      </c>
      <c r="B6973" s="5" t="str">
        <f t="shared" si="1319"/>
        <v>Mourning Dove</v>
      </c>
      <c r="C6973" s="6">
        <f t="shared" si="1319"/>
        <v>0.4826388888888889</v>
      </c>
      <c r="D6973" s="5"/>
      <c r="E6973" s="5"/>
      <c r="F6973" s="5" t="s">
        <v>22</v>
      </c>
      <c r="G6973" s="15" t="s">
        <v>22</v>
      </c>
      <c r="H6973" s="24">
        <f t="shared" si="1309"/>
        <v>0</v>
      </c>
      <c r="I6973" s="24" t="str" cm="1">
        <f t="array" ref="I6973">IFERROR(IF($B6973=I$1, ($A6973+$C6973) - MAX(IF($B$2:$B6972=$B6973, $A$2:$A6972+$C$2:$C6972)), "")*24*60, "")</f>
        <v/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cm="1">
        <f t="array" ref="O6973">IFERROR(IF($B6973=O$1, ($A6973+$C6973) - MAX(IF($B$2:$B6972=$B6973, $A$2:$A6972+$C$2:$C6972)), "")*24*60, "")</f>
        <v>0</v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2">
        <f t="shared" ref="A6974:C6974" si="1320">A6973</f>
        <v>45996</v>
      </c>
      <c r="B6974" s="5" t="str">
        <f t="shared" si="1320"/>
        <v>Mourning Dove</v>
      </c>
      <c r="C6974" s="6">
        <f t="shared" si="1320"/>
        <v>0.4826388888888889</v>
      </c>
      <c r="D6974" s="5"/>
      <c r="E6974" s="5"/>
      <c r="F6974" s="5" t="s">
        <v>22</v>
      </c>
      <c r="G6974" s="15" t="s">
        <v>22</v>
      </c>
      <c r="H6974" s="24">
        <f t="shared" si="1309"/>
        <v>0</v>
      </c>
      <c r="I6974" s="24" t="str" cm="1">
        <f t="array" ref="I6974">IFERROR(IF($B6974=I$1, ($A6974+$C6974) - MAX(IF($B$2:$B6973=$B6974, $A$2:$A6973+$C$2:$C6973)), "")*24*60, "")</f>
        <v/>
      </c>
      <c r="J6974" s="24" t="str" cm="1">
        <f t="array" ref="J6974">IFERROR(IF($B6974=J$1, ($A6974+$C6974) - MAX(IF($B$2:$B6973=$B6974, $A$2:$A6973+$C$2:$C6973)), "")*24*60, "")</f>
        <v/>
      </c>
      <c r="K6974" s="24" t="str" cm="1">
        <f t="array" ref="K6974">IFERROR(IF($B6974=K$1, ($A6974+$C6974) - MAX(IF($B$2:$B6973=$B6974, $A$2:$A6973+$C$2:$C6973)), "")*24*60, "")</f>
        <v/>
      </c>
      <c r="L6974" s="24" t="str" cm="1">
        <f t="array" ref="L6974">IFERROR(IF($B6974=L$1, ($A6974+$C6974) - MAX(IF($B$2:$B6973=$B6974, $A$2:$A6973+$C$2:$C6973)), "")*24*60, "")</f>
        <v/>
      </c>
      <c r="M6974" s="24" t="str" cm="1">
        <f t="array" ref="M6974">IFERROR(IF($B6974=M$1, ($A6974+$C6974) - MAX(IF($B$2:$B6973=$B6974, $A$2:$A6973+$C$2:$C6973)), "")*24*60, "")</f>
        <v/>
      </c>
      <c r="N6974" s="24" t="str" cm="1">
        <f t="array" ref="N6974">IFERROR(IF($B6974=N$1, ($A6974+$C6974) - MAX(IF($B$2:$B6973=$B6974, $A$2:$A6973+$C$2:$C6973)), "")*24*60, "")</f>
        <v/>
      </c>
      <c r="O6974" s="24" cm="1">
        <f t="array" ref="O6974">IFERROR(IF($B6974=O$1, ($A6974+$C6974) - MAX(IF($B$2:$B6973=$B6974, $A$2:$A6973+$C$2:$C6973)), "")*24*60, "")</f>
        <v>0</v>
      </c>
      <c r="P6974" s="24" t="str" cm="1">
        <f t="array" ref="P6974">IFERROR(IF($B6974=P$1, ($A6974+$C6974) - MAX(IF($B$2:$B6973=$B6974, $A$2:$A6973+$C$2:$C6973)), "")*24*60, "")</f>
        <v/>
      </c>
      <c r="Q6974" s="24" t="str" cm="1">
        <f t="array" ref="Q6974">IFERROR(IF($B6974=Q$1, ($A6974+$C6974) - MAX(IF($B$2:$B6973=$B6974, $A$2:$A6973+$C$2:$C6973)), "")*24*60, "")</f>
        <v/>
      </c>
      <c r="R6974" s="24" t="str" cm="1">
        <f t="array" ref="R6974">IFERROR(IF($B6974=R$1, ($A6974+$C6974) - MAX(IF($B$2:$B6973=$B6974, $A$2:$A6973+$C$2:$C6973)), "")*24*60, "")</f>
        <v/>
      </c>
      <c r="S6974" s="24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f t="shared" ref="A6975:C6975" si="1321">A6974</f>
        <v>45996</v>
      </c>
      <c r="B6975" s="5" t="str">
        <f t="shared" si="1321"/>
        <v>Mourning Dove</v>
      </c>
      <c r="C6975" s="6">
        <f t="shared" si="1321"/>
        <v>0.4826388888888889</v>
      </c>
      <c r="D6975" s="5"/>
      <c r="E6975" s="5"/>
      <c r="F6975" s="5" t="s">
        <v>22</v>
      </c>
      <c r="G6975" s="15" t="s">
        <v>22</v>
      </c>
      <c r="H6975" s="24">
        <f t="shared" si="1309"/>
        <v>0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0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22">A6975</f>
        <v>45996</v>
      </c>
      <c r="B6976" s="5" t="str">
        <f t="shared" si="1322"/>
        <v>Mourning Dove</v>
      </c>
      <c r="C6976" s="6">
        <f t="shared" si="1322"/>
        <v>0.4826388888888889</v>
      </c>
      <c r="D6976" s="5"/>
      <c r="E6976" s="5"/>
      <c r="F6976" s="5" t="s">
        <v>22</v>
      </c>
      <c r="G6976" s="15" t="s">
        <v>22</v>
      </c>
      <c r="H6976" s="24">
        <f t="shared" si="1309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:C6977" si="1323">A6976</f>
        <v>45996</v>
      </c>
      <c r="B6977" s="5" t="str">
        <f t="shared" si="1323"/>
        <v>Mourning Dove</v>
      </c>
      <c r="C6977" s="6">
        <f t="shared" si="1323"/>
        <v>0.4826388888888889</v>
      </c>
      <c r="D6977" s="5"/>
      <c r="E6977" s="5"/>
      <c r="F6977" s="5" t="s">
        <v>22</v>
      </c>
      <c r="G6977" s="15" t="s">
        <v>22</v>
      </c>
      <c r="H6977" s="24">
        <f t="shared" si="1309"/>
        <v>0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t="str" cm="1">
        <f t="array" ref="K6977">IFERROR(IF($B6977=K$1, ($A6977+$C6977) - MAX(IF($B$2:$B6976=$B6977, $A$2:$A6976+$C$2:$C6976)), "")*24*60, "")</f>
        <v/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cm="1">
        <f t="array" ref="O6977">IFERROR(IF($B6977=O$1, ($A6977+$C6977) - MAX(IF($B$2:$B6976=$B6977, $A$2:$A6976+$C$2:$C6976)), "")*24*60, "")</f>
        <v>0</v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:C6978" si="1324">A6977</f>
        <v>45996</v>
      </c>
      <c r="B6978" s="5" t="str">
        <f t="shared" si="1324"/>
        <v>Mourning Dove</v>
      </c>
      <c r="C6978" s="6">
        <f t="shared" si="1324"/>
        <v>0.4826388888888889</v>
      </c>
      <c r="D6978" s="5"/>
      <c r="E6978" s="5"/>
      <c r="F6978" s="5" t="s">
        <v>22</v>
      </c>
      <c r="G6978" s="15" t="s">
        <v>22</v>
      </c>
      <c r="H6978" s="24">
        <f t="shared" si="1309"/>
        <v>0</v>
      </c>
      <c r="I6978" s="24" t="str" cm="1">
        <f t="array" ref="I6978">IFERROR(IF($B6978=I$1, ($A6978+$C6978) - MAX(IF($B$2:$B6977=$B6978, $A$2:$A6977+$C$2:$C6977)), "")*24*60, "")</f>
        <v/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cm="1">
        <f t="array" ref="O6978">IFERROR(IF($B6978=O$1, ($A6978+$C6978) - MAX(IF($B$2:$B6977=$B6978, $A$2:$A6977+$C$2:$C6977)), "")*24*60, "")</f>
        <v>0</v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5">A6978</f>
        <v>45996</v>
      </c>
      <c r="B6979" s="5" t="str">
        <f t="shared" si="1325"/>
        <v>Mourning Dove</v>
      </c>
      <c r="C6979" s="6">
        <f t="shared" si="1325"/>
        <v>0.4826388888888889</v>
      </c>
      <c r="D6979" s="5"/>
      <c r="E6979" s="5"/>
      <c r="F6979" s="5" t="s">
        <v>22</v>
      </c>
      <c r="G6979" s="15" t="s">
        <v>22</v>
      </c>
      <c r="H6979" s="24">
        <f t="shared" si="1309"/>
        <v>0</v>
      </c>
      <c r="I6979" s="24" t="str" cm="1">
        <f t="array" ref="I6979">IFERROR(IF($B6979=I$1, ($A6979+$C6979) - MAX(IF($B$2:$B6978=$B6979, $A$2:$A6978+$C$2:$C6978)), "")*24*60, "")</f>
        <v/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cm="1">
        <f t="array" ref="O6979">IFERROR(IF($B6979=O$1, ($A6979+$C6979) - MAX(IF($B$2:$B6978=$B6979, $A$2:$A6978+$C$2:$C6978)), "")*24*60, "")</f>
        <v>0</v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C6980" si="1326">A6979</f>
        <v>45996</v>
      </c>
      <c r="B6980" s="5" t="str">
        <f t="shared" si="1326"/>
        <v>Mourning Dove</v>
      </c>
      <c r="C6980" s="6">
        <f t="shared" si="1326"/>
        <v>0.4826388888888889</v>
      </c>
      <c r="D6980" s="5"/>
      <c r="E6980" s="5"/>
      <c r="F6980" s="5" t="s">
        <v>22</v>
      </c>
      <c r="G6980" s="15" t="s">
        <v>22</v>
      </c>
      <c r="H6980" s="24">
        <f t="shared" si="1309"/>
        <v>0</v>
      </c>
      <c r="I6980" s="24" t="str" cm="1">
        <f t="array" ref="I6980">IFERROR(IF($B6980=I$1, ($A6980+$C6980) - MAX(IF($B$2:$B6979=$B6980, $A$2:$A6979+$C$2:$C6979)), "")*24*60, "")</f>
        <v/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cm="1">
        <f t="array" ref="O6980">IFERROR(IF($B6980=O$1, ($A6980+$C6980) - MAX(IF($B$2:$B6979=$B6980, $A$2:$A6979+$C$2:$C6979)), "")*24*60, "")</f>
        <v>0</v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2">
        <f t="shared" ref="A6981:C6981" si="1327">A6980</f>
        <v>45996</v>
      </c>
      <c r="B6981" s="5" t="str">
        <f t="shared" si="1327"/>
        <v>Mourning Dove</v>
      </c>
      <c r="C6981" s="6">
        <f t="shared" si="1327"/>
        <v>0.4826388888888889</v>
      </c>
      <c r="D6981" s="5"/>
      <c r="E6981" s="5"/>
      <c r="F6981" s="5" t="s">
        <v>22</v>
      </c>
      <c r="G6981" s="15" t="s">
        <v>22</v>
      </c>
      <c r="H6981" s="24">
        <f t="shared" si="1309"/>
        <v>0</v>
      </c>
      <c r="I6981" s="24" t="str" cm="1">
        <f t="array" ref="I6981">IFERROR(IF($B6981=I$1, ($A6981+$C6981) - MAX(IF($B$2:$B6980=$B6981, $A$2:$A6980+$C$2:$C6980)), "")*24*60, "")</f>
        <v/>
      </c>
      <c r="J6981" s="24" t="str" cm="1">
        <f t="array" ref="J6981">IFERROR(IF($B6981=J$1, ($A6981+$C6981) - MAX(IF($B$2:$B6980=$B6981, $A$2:$A6980+$C$2:$C6980)), "")*24*60, "")</f>
        <v/>
      </c>
      <c r="K6981" s="24" t="str" cm="1">
        <f t="array" ref="K6981">IFERROR(IF($B6981=K$1, ($A6981+$C6981) - MAX(IF($B$2:$B6980=$B6981, $A$2:$A6980+$C$2:$C6980)), "")*24*60, "")</f>
        <v/>
      </c>
      <c r="L6981" s="24" t="str" cm="1">
        <f t="array" ref="L6981">IFERROR(IF($B6981=L$1, ($A6981+$C6981) - MAX(IF($B$2:$B6980=$B6981, $A$2:$A6980+$C$2:$C6980)), "")*24*60, "")</f>
        <v/>
      </c>
      <c r="M6981" s="24" t="str" cm="1">
        <f t="array" ref="M6981">IFERROR(IF($B6981=M$1, ($A6981+$C6981) - MAX(IF($B$2:$B6980=$B6981, $A$2:$A6980+$C$2:$C6980)), "")*24*60, "")</f>
        <v/>
      </c>
      <c r="N6981" s="24" t="str" cm="1">
        <f t="array" ref="N6981">IFERROR(IF($B6981=N$1, ($A6981+$C6981) - MAX(IF($B$2:$B6980=$B6981, $A$2:$A6980+$C$2:$C6980)), "")*24*60, "")</f>
        <v/>
      </c>
      <c r="O6981" s="24" cm="1">
        <f t="array" ref="O6981">IFERROR(IF($B6981=O$1, ($A6981+$C6981) - MAX(IF($B$2:$B6980=$B6981, $A$2:$A6980+$C$2:$C6980)), "")*24*60, "")</f>
        <v>0</v>
      </c>
      <c r="P6981" s="24" t="str" cm="1">
        <f t="array" ref="P6981">IFERROR(IF($B6981=P$1, ($A6981+$C6981) - MAX(IF($B$2:$B6980=$B6981, $A$2:$A6980+$C$2:$C6980)), "")*24*60, "")</f>
        <v/>
      </c>
      <c r="Q6981" s="24" t="str" cm="1">
        <f t="array" ref="Q6981">IFERROR(IF($B6981=Q$1, ($A6981+$C6981) - MAX(IF($B$2:$B6980=$B6981, $A$2:$A6980+$C$2:$C6980)), "")*24*60, "")</f>
        <v/>
      </c>
      <c r="R6981" s="24" t="str" cm="1">
        <f t="array" ref="R6981">IFERROR(IF($B6981=R$1, ($A6981+$C6981) - MAX(IF($B$2:$B6980=$B6981, $A$2:$A6980+$C$2:$C6980)), "")*24*60, "")</f>
        <v/>
      </c>
      <c r="S6981" s="24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f t="shared" ref="A6982:C6982" si="1328">A6981</f>
        <v>45996</v>
      </c>
      <c r="B6982" s="5" t="str">
        <f t="shared" si="1328"/>
        <v>Mourning Dove</v>
      </c>
      <c r="C6982" s="6">
        <f t="shared" si="1328"/>
        <v>0.4826388888888889</v>
      </c>
      <c r="D6982" s="5"/>
      <c r="E6982" s="5"/>
      <c r="F6982" s="5" t="s">
        <v>22</v>
      </c>
      <c r="G6982" s="15" t="s">
        <v>22</v>
      </c>
      <c r="H6982" s="24">
        <f t="shared" si="1309"/>
        <v>0</v>
      </c>
      <c r="I6982" s="24" t="str" cm="1">
        <f t="array" ref="I6982">IFERROR(IF($B6982=I$1, ($A6982+$C6982) - MAX(IF($B$2:$B6981=$B6982, $A$2:$A6981+$C$2:$C6981)), "")*24*60, "")</f>
        <v/>
      </c>
      <c r="J6982" s="24" t="str" cm="1">
        <f t="array" ref="J6982">IFERROR(IF($B6982=J$1, ($A6982+$C6982) - MAX(IF($B$2:$B6981=$B6982, $A$2:$A6981+$C$2:$C6981)), "")*24*60, "")</f>
        <v/>
      </c>
      <c r="K6982" s="24" t="str" cm="1">
        <f t="array" ref="K6982">IFERROR(IF($B6982=K$1, ($A6982+$C6982) - MAX(IF($B$2:$B6981=$B6982, $A$2:$A6981+$C$2:$C6981)), "")*24*60, "")</f>
        <v/>
      </c>
      <c r="L6982" s="24" t="str" cm="1">
        <f t="array" ref="L6982">IFERROR(IF($B6982=L$1, ($A6982+$C6982) - MAX(IF($B$2:$B6981=$B6982, $A$2:$A6981+$C$2:$C6981)), "")*24*60, "")</f>
        <v/>
      </c>
      <c r="M6982" s="24" t="str" cm="1">
        <f t="array" ref="M6982">IFERROR(IF($B6982=M$1, ($A6982+$C6982) - MAX(IF($B$2:$B6981=$B6982, $A$2:$A6981+$C$2:$C6981)), "")*24*60, "")</f>
        <v/>
      </c>
      <c r="N6982" s="24" t="str" cm="1">
        <f t="array" ref="N6982">IFERROR(IF($B6982=N$1, ($A6982+$C6982) - MAX(IF($B$2:$B6981=$B6982, $A$2:$A6981+$C$2:$C6981)), "")*24*60, "")</f>
        <v/>
      </c>
      <c r="O6982" s="24" cm="1">
        <f t="array" ref="O6982">IFERROR(IF($B6982=O$1, ($A6982+$C6982) - MAX(IF($B$2:$B6981=$B6982, $A$2:$A6981+$C$2:$C6981)), "")*24*60, "")</f>
        <v>0</v>
      </c>
      <c r="P6982" s="24" t="str" cm="1">
        <f t="array" ref="P6982">IFERROR(IF($B6982=P$1, ($A6982+$C6982) - MAX(IF($B$2:$B6981=$B6982, $A$2:$A6981+$C$2:$C6981)), "")*24*60, "")</f>
        <v/>
      </c>
      <c r="Q6982" s="24" t="str" cm="1">
        <f t="array" ref="Q6982">IFERROR(IF($B6982=Q$1, ($A6982+$C6982) - MAX(IF($B$2:$B6981=$B6982, $A$2:$A6981+$C$2:$C6981)), "")*24*60, "")</f>
        <v/>
      </c>
      <c r="R6982" s="24" t="str" cm="1">
        <f t="array" ref="R6982">IFERROR(IF($B6982=R$1, ($A6982+$C6982) - MAX(IF($B$2:$B6981=$B6982, $A$2:$A6981+$C$2:$C6981)), "")*24*60, "")</f>
        <v/>
      </c>
      <c r="S6982" s="24" t="str" cm="1">
        <f t="array" ref="S6982">IFERROR(IF($B6982=S$1, ($A6982+$C6982) - MAX(IF($B$2:$B6981=$B6982, $A$2:$A6981+$C$2:$C6981)), "")*24*60, "")</f>
        <v/>
      </c>
    </row>
    <row r="6983" spans="1:19" x14ac:dyDescent="0.2">
      <c r="A6983" s="12">
        <f t="shared" ref="A6983:C6983" si="1329">A6982</f>
        <v>45996</v>
      </c>
      <c r="B6983" s="5" t="str">
        <f t="shared" si="1329"/>
        <v>Mourning Dove</v>
      </c>
      <c r="C6983" s="6">
        <f t="shared" si="1329"/>
        <v>0.4826388888888889</v>
      </c>
      <c r="D6983" s="5"/>
      <c r="E6983" s="5"/>
      <c r="F6983" s="5" t="s">
        <v>22</v>
      </c>
      <c r="G6983" s="15" t="s">
        <v>22</v>
      </c>
      <c r="H6983" s="24">
        <f t="shared" si="1309"/>
        <v>0</v>
      </c>
      <c r="I6983" s="24" t="str" cm="1">
        <f t="array" ref="I6983">IFERROR(IF($B6983=I$1, ($A6983+$C6983) - MAX(IF($B$2:$B6982=$B6983, $A$2:$A6982+$C$2:$C6982)), "")*24*60, "")</f>
        <v/>
      </c>
      <c r="J6983" s="24" t="str" cm="1">
        <f t="array" ref="J6983">IFERROR(IF($B6983=J$1, ($A6983+$C6983) - MAX(IF($B$2:$B6982=$B6983, $A$2:$A6982+$C$2:$C6982)), "")*24*60, "")</f>
        <v/>
      </c>
      <c r="K6983" s="24" t="str" cm="1">
        <f t="array" ref="K6983">IFERROR(IF($B6983=K$1, ($A6983+$C6983) - MAX(IF($B$2:$B6982=$B6983, $A$2:$A6982+$C$2:$C6982)), "")*24*60, "")</f>
        <v/>
      </c>
      <c r="L6983" s="24" t="str" cm="1">
        <f t="array" ref="L6983">IFERROR(IF($B6983=L$1, ($A6983+$C6983) - MAX(IF($B$2:$B6982=$B6983, $A$2:$A6982+$C$2:$C6982)), "")*24*60, "")</f>
        <v/>
      </c>
      <c r="M6983" s="24" t="str" cm="1">
        <f t="array" ref="M6983">IFERROR(IF($B6983=M$1, ($A6983+$C6983) - MAX(IF($B$2:$B6982=$B6983, $A$2:$A6982+$C$2:$C6982)), "")*24*60, "")</f>
        <v/>
      </c>
      <c r="N6983" s="24" t="str" cm="1">
        <f t="array" ref="N6983">IFERROR(IF($B6983=N$1, ($A6983+$C6983) - MAX(IF($B$2:$B6982=$B6983, $A$2:$A6982+$C$2:$C6982)), "")*24*60, "")</f>
        <v/>
      </c>
      <c r="O6983" s="24" cm="1">
        <f t="array" ref="O6983">IFERROR(IF($B6983=O$1, ($A6983+$C6983) - MAX(IF($B$2:$B6982=$B6983, $A$2:$A6982+$C$2:$C6982)), "")*24*60, "")</f>
        <v>0</v>
      </c>
      <c r="P6983" s="24" t="str" cm="1">
        <f t="array" ref="P6983">IFERROR(IF($B6983=P$1, ($A6983+$C6983) - MAX(IF($B$2:$B6982=$B6983, $A$2:$A6982+$C$2:$C6982)), "")*24*60, "")</f>
        <v/>
      </c>
      <c r="Q6983" s="24" t="str" cm="1">
        <f t="array" ref="Q6983">IFERROR(IF($B6983=Q$1, ($A6983+$C6983) - MAX(IF($B$2:$B6982=$B6983, $A$2:$A6982+$C$2:$C6982)), "")*24*60, "")</f>
        <v/>
      </c>
      <c r="R6983" s="24" t="str" cm="1">
        <f t="array" ref="R6983">IFERROR(IF($B6983=R$1, ($A6983+$C6983) - MAX(IF($B$2:$B6982=$B6983, $A$2:$A6982+$C$2:$C6982)), "")*24*60, "")</f>
        <v/>
      </c>
      <c r="S6983" s="24" t="str" cm="1">
        <f t="array" ref="S6983">IFERROR(IF($B6983=S$1, ($A6983+$C6983) - MAX(IF($B$2:$B6982=$B6983, $A$2:$A6982+$C$2:$C6982)), "")*24*60, "")</f>
        <v/>
      </c>
    </row>
    <row r="6984" spans="1:19" x14ac:dyDescent="0.2">
      <c r="A6984" s="12">
        <f t="shared" ref="A6984:C6984" si="1330">A6983</f>
        <v>45996</v>
      </c>
      <c r="B6984" s="5" t="str">
        <f t="shared" si="1330"/>
        <v>Mourning Dove</v>
      </c>
      <c r="C6984" s="6">
        <f t="shared" si="1330"/>
        <v>0.4826388888888889</v>
      </c>
      <c r="D6984" s="5"/>
      <c r="E6984" s="5"/>
      <c r="F6984" s="5" t="s">
        <v>22</v>
      </c>
      <c r="G6984" s="15" t="s">
        <v>22</v>
      </c>
      <c r="H6984" s="24">
        <f t="shared" si="1309"/>
        <v>0</v>
      </c>
      <c r="I6984" s="24" t="str" cm="1">
        <f t="array" ref="I6984">IFERROR(IF($B6984=I$1, ($A6984+$C6984) - MAX(IF($B$2:$B6983=$B6984, $A$2:$A6983+$C$2:$C6983)), "")*24*60, "")</f>
        <v/>
      </c>
      <c r="J6984" s="24" t="str" cm="1">
        <f t="array" ref="J6984">IFERROR(IF($B6984=J$1, ($A6984+$C6984) - MAX(IF($B$2:$B6983=$B6984, $A$2:$A6983+$C$2:$C6983)), "")*24*60, "")</f>
        <v/>
      </c>
      <c r="K6984" s="24" t="str" cm="1">
        <f t="array" ref="K6984">IFERROR(IF($B6984=K$1, ($A6984+$C6984) - MAX(IF($B$2:$B6983=$B6984, $A$2:$A6983+$C$2:$C6983)), "")*24*60, "")</f>
        <v/>
      </c>
      <c r="L6984" s="24" t="str" cm="1">
        <f t="array" ref="L6984">IFERROR(IF($B6984=L$1, ($A6984+$C6984) - MAX(IF($B$2:$B6983=$B6984, $A$2:$A6983+$C$2:$C6983)), "")*24*60, "")</f>
        <v/>
      </c>
      <c r="M6984" s="24" t="str" cm="1">
        <f t="array" ref="M6984">IFERROR(IF($B6984=M$1, ($A6984+$C6984) - MAX(IF($B$2:$B6983=$B6984, $A$2:$A6983+$C$2:$C6983)), "")*24*60, "")</f>
        <v/>
      </c>
      <c r="N6984" s="24" t="str" cm="1">
        <f t="array" ref="N6984">IFERROR(IF($B6984=N$1, ($A6984+$C6984) - MAX(IF($B$2:$B6983=$B6984, $A$2:$A6983+$C$2:$C6983)), "")*24*60, "")</f>
        <v/>
      </c>
      <c r="O6984" s="24" cm="1">
        <f t="array" ref="O6984">IFERROR(IF($B6984=O$1, ($A6984+$C6984) - MAX(IF($B$2:$B6983=$B6984, $A$2:$A6983+$C$2:$C6983)), "")*24*60, "")</f>
        <v>0</v>
      </c>
      <c r="P6984" s="24" t="str" cm="1">
        <f t="array" ref="P6984">IFERROR(IF($B6984=P$1, ($A6984+$C6984) - MAX(IF($B$2:$B6983=$B6984, $A$2:$A6983+$C$2:$C6983)), "")*24*60, "")</f>
        <v/>
      </c>
      <c r="Q6984" s="24" t="str" cm="1">
        <f t="array" ref="Q6984">IFERROR(IF($B6984=Q$1, ($A6984+$C6984) - MAX(IF($B$2:$B6983=$B6984, $A$2:$A6983+$C$2:$C6983)), "")*24*60, "")</f>
        <v/>
      </c>
      <c r="R6984" s="24" t="str" cm="1">
        <f t="array" ref="R6984">IFERROR(IF($B6984=R$1, ($A6984+$C6984) - MAX(IF($B$2:$B6983=$B6984, $A$2:$A6983+$C$2:$C6983)), "")*24*60, "")</f>
        <v/>
      </c>
      <c r="S6984" s="24" t="str" cm="1">
        <f t="array" ref="S6984">IFERROR(IF($B6984=S$1, ($A6984+$C6984) - MAX(IF($B$2:$B6983=$B6984, $A$2:$A6983+$C$2:$C6983)), "")*24*60, "")</f>
        <v/>
      </c>
    </row>
    <row r="6985" spans="1:19" x14ac:dyDescent="0.2">
      <c r="A6985" s="12">
        <f t="shared" ref="A6985:C6985" si="1331">A6984</f>
        <v>45996</v>
      </c>
      <c r="B6985" s="5" t="str">
        <f t="shared" si="1331"/>
        <v>Mourning Dove</v>
      </c>
      <c r="C6985" s="6">
        <f t="shared" si="1331"/>
        <v>0.4826388888888889</v>
      </c>
      <c r="D6985" s="5"/>
      <c r="E6985" s="5"/>
      <c r="F6985" s="5" t="s">
        <v>22</v>
      </c>
      <c r="G6985" s="15" t="s">
        <v>22</v>
      </c>
      <c r="H6985" s="24">
        <f t="shared" si="1309"/>
        <v>0</v>
      </c>
      <c r="I6985" s="24" t="str" cm="1">
        <f t="array" ref="I6985">IFERROR(IF($B6985=I$1, ($A6985+$C6985) - MAX(IF($B$2:$B6984=$B6985, $A$2:$A6984+$C$2:$C6984)), "")*24*60, "")</f>
        <v/>
      </c>
      <c r="J6985" s="24" t="str" cm="1">
        <f t="array" ref="J6985">IFERROR(IF($B6985=J$1, ($A6985+$C6985) - MAX(IF($B$2:$B6984=$B6985, $A$2:$A6984+$C$2:$C6984)), "")*24*60, "")</f>
        <v/>
      </c>
      <c r="K6985" s="24" t="str" cm="1">
        <f t="array" ref="K6985">IFERROR(IF($B6985=K$1, ($A6985+$C6985) - MAX(IF($B$2:$B6984=$B6985, $A$2:$A6984+$C$2:$C6984)), "")*24*60, "")</f>
        <v/>
      </c>
      <c r="L6985" s="24" t="str" cm="1">
        <f t="array" ref="L6985">IFERROR(IF($B6985=L$1, ($A6985+$C6985) - MAX(IF($B$2:$B6984=$B6985, $A$2:$A6984+$C$2:$C6984)), "")*24*60, "")</f>
        <v/>
      </c>
      <c r="M6985" s="24" t="str" cm="1">
        <f t="array" ref="M6985">IFERROR(IF($B6985=M$1, ($A6985+$C6985) - MAX(IF($B$2:$B6984=$B6985, $A$2:$A6984+$C$2:$C6984)), "")*24*60, "")</f>
        <v/>
      </c>
      <c r="N6985" s="24" t="str" cm="1">
        <f t="array" ref="N6985">IFERROR(IF($B6985=N$1, ($A6985+$C6985) - MAX(IF($B$2:$B6984=$B6985, $A$2:$A6984+$C$2:$C6984)), "")*24*60, "")</f>
        <v/>
      </c>
      <c r="O6985" s="24" cm="1">
        <f t="array" ref="O6985">IFERROR(IF($B6985=O$1, ($A6985+$C6985) - MAX(IF($B$2:$B6984=$B6985, $A$2:$A6984+$C$2:$C6984)), "")*24*60, "")</f>
        <v>0</v>
      </c>
      <c r="P6985" s="24" t="str" cm="1">
        <f t="array" ref="P6985">IFERROR(IF($B6985=P$1, ($A6985+$C6985) - MAX(IF($B$2:$B6984=$B6985, $A$2:$A6984+$C$2:$C6984)), "")*24*60, "")</f>
        <v/>
      </c>
      <c r="Q6985" s="24" t="str" cm="1">
        <f t="array" ref="Q6985">IFERROR(IF($B6985=Q$1, ($A6985+$C6985) - MAX(IF($B$2:$B6984=$B6985, $A$2:$A6984+$C$2:$C6984)), "")*24*60, "")</f>
        <v/>
      </c>
      <c r="R6985" s="24" t="str" cm="1">
        <f t="array" ref="R6985">IFERROR(IF($B6985=R$1, ($A6985+$C6985) - MAX(IF($B$2:$B6984=$B6985, $A$2:$A6984+$C$2:$C6984)), "")*24*60, "")</f>
        <v/>
      </c>
      <c r="S6985" s="24" t="str" cm="1">
        <f t="array" ref="S6985">IFERROR(IF($B6985=S$1, ($A6985+$C6985) - MAX(IF($B$2:$B6984=$B6985, $A$2:$A6984+$C$2:$C6984)), "")*24*60, "")</f>
        <v/>
      </c>
    </row>
    <row r="6986" spans="1:19" x14ac:dyDescent="0.2">
      <c r="A6986" s="12">
        <f t="shared" ref="A6986:C6986" si="1332">A6985</f>
        <v>45996</v>
      </c>
      <c r="B6986" s="5" t="str">
        <f t="shared" si="1332"/>
        <v>Mourning Dove</v>
      </c>
      <c r="C6986" s="6">
        <f t="shared" si="1332"/>
        <v>0.4826388888888889</v>
      </c>
      <c r="D6986" s="5"/>
      <c r="E6986" s="5"/>
      <c r="F6986" s="5" t="s">
        <v>22</v>
      </c>
      <c r="G6986" s="15" t="s">
        <v>22</v>
      </c>
      <c r="H6986" s="24">
        <f t="shared" si="1309"/>
        <v>0</v>
      </c>
      <c r="I6986" s="24" t="str" cm="1">
        <f t="array" ref="I6986">IFERROR(IF($B6986=I$1, ($A6986+$C6986) - MAX(IF($B$2:$B6985=$B6986, $A$2:$A6985+$C$2:$C6985)), "")*24*60, "")</f>
        <v/>
      </c>
      <c r="J6986" s="24" t="str" cm="1">
        <f t="array" ref="J6986">IFERROR(IF($B6986=J$1, ($A6986+$C6986) - MAX(IF($B$2:$B6985=$B6986, $A$2:$A6985+$C$2:$C6985)), "")*24*60, "")</f>
        <v/>
      </c>
      <c r="K6986" s="24" t="str" cm="1">
        <f t="array" ref="K6986">IFERROR(IF($B6986=K$1, ($A6986+$C6986) - MAX(IF($B$2:$B6985=$B6986, $A$2:$A6985+$C$2:$C6985)), "")*24*60, "")</f>
        <v/>
      </c>
      <c r="L6986" s="24" t="str" cm="1">
        <f t="array" ref="L6986">IFERROR(IF($B6986=L$1, ($A6986+$C6986) - MAX(IF($B$2:$B6985=$B6986, $A$2:$A6985+$C$2:$C6985)), "")*24*60, "")</f>
        <v/>
      </c>
      <c r="M6986" s="24" t="str" cm="1">
        <f t="array" ref="M6986">IFERROR(IF($B6986=M$1, ($A6986+$C6986) - MAX(IF($B$2:$B6985=$B6986, $A$2:$A6985+$C$2:$C6985)), "")*24*60, "")</f>
        <v/>
      </c>
      <c r="N6986" s="24" t="str" cm="1">
        <f t="array" ref="N6986">IFERROR(IF($B6986=N$1, ($A6986+$C6986) - MAX(IF($B$2:$B6985=$B6986, $A$2:$A6985+$C$2:$C6985)), "")*24*60, "")</f>
        <v/>
      </c>
      <c r="O6986" s="24" cm="1">
        <f t="array" ref="O6986">IFERROR(IF($B6986=O$1, ($A6986+$C6986) - MAX(IF($B$2:$B6985=$B6986, $A$2:$A6985+$C$2:$C6985)), "")*24*60, "")</f>
        <v>0</v>
      </c>
      <c r="P6986" s="24" t="str" cm="1">
        <f t="array" ref="P6986">IFERROR(IF($B6986=P$1, ($A6986+$C6986) - MAX(IF($B$2:$B6985=$B6986, $A$2:$A6985+$C$2:$C6985)), "")*24*60, "")</f>
        <v/>
      </c>
      <c r="Q6986" s="24" t="str" cm="1">
        <f t="array" ref="Q6986">IFERROR(IF($B6986=Q$1, ($A6986+$C6986) - MAX(IF($B$2:$B6985=$B6986, $A$2:$A6985+$C$2:$C6985)), "")*24*60, "")</f>
        <v/>
      </c>
      <c r="R6986" s="24" t="str" cm="1">
        <f t="array" ref="R6986">IFERROR(IF($B6986=R$1, ($A6986+$C6986) - MAX(IF($B$2:$B6985=$B6986, $A$2:$A6985+$C$2:$C6985)), "")*24*60, "")</f>
        <v/>
      </c>
      <c r="S6986" s="24" t="str" cm="1">
        <f t="array" ref="S6986">IFERROR(IF($B6986=S$1, ($A6986+$C6986) - MAX(IF($B$2:$B6985=$B6986, $A$2:$A6985+$C$2:$C6985)), "")*24*60, "")</f>
        <v/>
      </c>
    </row>
    <row r="6987" spans="1:19" x14ac:dyDescent="0.2">
      <c r="A6987" s="12">
        <f t="shared" ref="A6987:C6987" si="1333">A6986</f>
        <v>45996</v>
      </c>
      <c r="B6987" s="5" t="str">
        <f t="shared" si="1333"/>
        <v>Mourning Dove</v>
      </c>
      <c r="C6987" s="6">
        <f t="shared" si="1333"/>
        <v>0.4826388888888889</v>
      </c>
      <c r="D6987" s="5"/>
      <c r="E6987" s="5"/>
      <c r="F6987" s="5" t="s">
        <v>22</v>
      </c>
      <c r="G6987" s="15" t="s">
        <v>22</v>
      </c>
      <c r="H6987" s="24">
        <f t="shared" si="1309"/>
        <v>0</v>
      </c>
      <c r="I6987" s="24" t="str" cm="1">
        <f t="array" ref="I6987">IFERROR(IF($B6987=I$1, ($A6987+$C6987) - MAX(IF($B$2:$B6986=$B6987, $A$2:$A6986+$C$2:$C6986)), "")*24*60, "")</f>
        <v/>
      </c>
      <c r="J6987" s="24" t="str" cm="1">
        <f t="array" ref="J6987">IFERROR(IF($B6987=J$1, ($A6987+$C6987) - MAX(IF($B$2:$B6986=$B6987, $A$2:$A6986+$C$2:$C6986)), "")*24*60, "")</f>
        <v/>
      </c>
      <c r="K6987" s="24" t="str" cm="1">
        <f t="array" ref="K6987">IFERROR(IF($B6987=K$1, ($A6987+$C6987) - MAX(IF($B$2:$B6986=$B6987, $A$2:$A6986+$C$2:$C6986)), "")*24*60, "")</f>
        <v/>
      </c>
      <c r="L6987" s="24" t="str" cm="1">
        <f t="array" ref="L6987">IFERROR(IF($B6987=L$1, ($A6987+$C6987) - MAX(IF($B$2:$B6986=$B6987, $A$2:$A6986+$C$2:$C6986)), "")*24*60, "")</f>
        <v/>
      </c>
      <c r="M6987" s="24" t="str" cm="1">
        <f t="array" ref="M6987">IFERROR(IF($B6987=M$1, ($A6987+$C6987) - MAX(IF($B$2:$B6986=$B6987, $A$2:$A6986+$C$2:$C6986)), "")*24*60, "")</f>
        <v/>
      </c>
      <c r="N6987" s="24" t="str" cm="1">
        <f t="array" ref="N6987">IFERROR(IF($B6987=N$1, ($A6987+$C6987) - MAX(IF($B$2:$B6986=$B6987, $A$2:$A6986+$C$2:$C6986)), "")*24*60, "")</f>
        <v/>
      </c>
      <c r="O6987" s="24" cm="1">
        <f t="array" ref="O6987">IFERROR(IF($B6987=O$1, ($A6987+$C6987) - MAX(IF($B$2:$B6986=$B6987, $A$2:$A6986+$C$2:$C6986)), "")*24*60, "")</f>
        <v>0</v>
      </c>
      <c r="P6987" s="24" t="str" cm="1">
        <f t="array" ref="P6987">IFERROR(IF($B6987=P$1, ($A6987+$C6987) - MAX(IF($B$2:$B6986=$B6987, $A$2:$A6986+$C$2:$C6986)), "")*24*60, "")</f>
        <v/>
      </c>
      <c r="Q6987" s="24" t="str" cm="1">
        <f t="array" ref="Q6987">IFERROR(IF($B6987=Q$1, ($A6987+$C6987) - MAX(IF($B$2:$B6986=$B6987, $A$2:$A6986+$C$2:$C6986)), "")*24*60, "")</f>
        <v/>
      </c>
      <c r="R6987" s="24" t="str" cm="1">
        <f t="array" ref="R6987">IFERROR(IF($B6987=R$1, ($A6987+$C6987) - MAX(IF($B$2:$B6986=$B6987, $A$2:$A6986+$C$2:$C6986)), "")*24*60, "")</f>
        <v/>
      </c>
      <c r="S6987" s="24" t="str" cm="1">
        <f t="array" ref="S6987">IFERROR(IF($B6987=S$1, ($A6987+$C6987) - MAX(IF($B$2:$B6986=$B6987, $A$2:$A6986+$C$2:$C6986)), "")*24*60, "")</f>
        <v/>
      </c>
    </row>
    <row r="6988" spans="1:19" x14ac:dyDescent="0.2">
      <c r="A6988" s="12">
        <f t="shared" ref="A6988:C6988" si="1334">A6987</f>
        <v>45996</v>
      </c>
      <c r="B6988" s="5" t="str">
        <f t="shared" si="1334"/>
        <v>Mourning Dove</v>
      </c>
      <c r="C6988" s="6">
        <f t="shared" si="1334"/>
        <v>0.4826388888888889</v>
      </c>
      <c r="D6988" s="5"/>
      <c r="E6988" s="5"/>
      <c r="F6988" s="5" t="s">
        <v>22</v>
      </c>
      <c r="G6988" s="15" t="s">
        <v>22</v>
      </c>
      <c r="H6988" s="24">
        <f t="shared" si="1309"/>
        <v>0</v>
      </c>
      <c r="I6988" s="24" t="str" cm="1">
        <f t="array" ref="I6988">IFERROR(IF($B6988=I$1, ($A6988+$C6988) - MAX(IF($B$2:$B6987=$B6988, $A$2:$A6987+$C$2:$C6987)), "")*24*60, "")</f>
        <v/>
      </c>
      <c r="J6988" s="24" t="str" cm="1">
        <f t="array" ref="J6988">IFERROR(IF($B6988=J$1, ($A6988+$C6988) - MAX(IF($B$2:$B6987=$B6988, $A$2:$A6987+$C$2:$C6987)), "")*24*60, "")</f>
        <v/>
      </c>
      <c r="K6988" s="24" t="str" cm="1">
        <f t="array" ref="K6988">IFERROR(IF($B6988=K$1, ($A6988+$C6988) - MAX(IF($B$2:$B6987=$B6988, $A$2:$A6987+$C$2:$C6987)), "")*24*60, "")</f>
        <v/>
      </c>
      <c r="L6988" s="24" t="str" cm="1">
        <f t="array" ref="L6988">IFERROR(IF($B6988=L$1, ($A6988+$C6988) - MAX(IF($B$2:$B6987=$B6988, $A$2:$A6987+$C$2:$C6987)), "")*24*60, "")</f>
        <v/>
      </c>
      <c r="M6988" s="24" t="str" cm="1">
        <f t="array" ref="M6988">IFERROR(IF($B6988=M$1, ($A6988+$C6988) - MAX(IF($B$2:$B6987=$B6988, $A$2:$A6987+$C$2:$C6987)), "")*24*60, "")</f>
        <v/>
      </c>
      <c r="N6988" s="24" t="str" cm="1">
        <f t="array" ref="N6988">IFERROR(IF($B6988=N$1, ($A6988+$C6988) - MAX(IF($B$2:$B6987=$B6988, $A$2:$A6987+$C$2:$C6987)), "")*24*60, "")</f>
        <v/>
      </c>
      <c r="O6988" s="24" cm="1">
        <f t="array" ref="O6988">IFERROR(IF($B6988=O$1, ($A6988+$C6988) - MAX(IF($B$2:$B6987=$B6988, $A$2:$A6987+$C$2:$C6987)), "")*24*60, "")</f>
        <v>0</v>
      </c>
      <c r="P6988" s="24" t="str" cm="1">
        <f t="array" ref="P6988">IFERROR(IF($B6988=P$1, ($A6988+$C6988) - MAX(IF($B$2:$B6987=$B6988, $A$2:$A6987+$C$2:$C6987)), "")*24*60, "")</f>
        <v/>
      </c>
      <c r="Q6988" s="24" t="str" cm="1">
        <f t="array" ref="Q6988">IFERROR(IF($B6988=Q$1, ($A6988+$C6988) - MAX(IF($B$2:$B6987=$B6988, $A$2:$A6987+$C$2:$C6987)), "")*24*60, "")</f>
        <v/>
      </c>
      <c r="R6988" s="24" t="str" cm="1">
        <f t="array" ref="R6988">IFERROR(IF($B6988=R$1, ($A6988+$C6988) - MAX(IF($B$2:$B6987=$B6988, $A$2:$A6987+$C$2:$C6987)), "")*24*60, "")</f>
        <v/>
      </c>
      <c r="S6988" s="24" t="str" cm="1">
        <f t="array" ref="S6988">IFERROR(IF($B6988=S$1, ($A6988+$C6988) - MAX(IF($B$2:$B6987=$B6988, $A$2:$A6987+$C$2:$C6987)), "")*24*60, "")</f>
        <v/>
      </c>
    </row>
    <row r="6989" spans="1:19" x14ac:dyDescent="0.2">
      <c r="A6989" s="12">
        <f t="shared" ref="A6989:C6989" si="1335">A6988</f>
        <v>45996</v>
      </c>
      <c r="B6989" s="5" t="str">
        <f t="shared" si="1335"/>
        <v>Mourning Dove</v>
      </c>
      <c r="C6989" s="6">
        <f t="shared" si="1335"/>
        <v>0.4826388888888889</v>
      </c>
      <c r="D6989" s="5"/>
      <c r="E6989" s="5"/>
      <c r="F6989" s="5" t="s">
        <v>22</v>
      </c>
      <c r="G6989" s="15" t="s">
        <v>22</v>
      </c>
      <c r="H6989" s="24">
        <f t="shared" si="1309"/>
        <v>0</v>
      </c>
      <c r="I6989" s="24" t="str" cm="1">
        <f t="array" ref="I6989">IFERROR(IF($B6989=I$1, ($A6989+$C6989) - MAX(IF($B$2:$B6988=$B6989, $A$2:$A6988+$C$2:$C6988)), "")*24*60, "")</f>
        <v/>
      </c>
      <c r="J6989" s="24" t="str" cm="1">
        <f t="array" ref="J6989">IFERROR(IF($B6989=J$1, ($A6989+$C6989) - MAX(IF($B$2:$B6988=$B6989, $A$2:$A6988+$C$2:$C6988)), "")*24*60, "")</f>
        <v/>
      </c>
      <c r="K6989" s="24" t="str" cm="1">
        <f t="array" ref="K6989">IFERROR(IF($B6989=K$1, ($A6989+$C6989) - MAX(IF($B$2:$B6988=$B6989, $A$2:$A6988+$C$2:$C6988)), "")*24*60, "")</f>
        <v/>
      </c>
      <c r="L6989" s="24" t="str" cm="1">
        <f t="array" ref="L6989">IFERROR(IF($B6989=L$1, ($A6989+$C6989) - MAX(IF($B$2:$B6988=$B6989, $A$2:$A6988+$C$2:$C6988)), "")*24*60, "")</f>
        <v/>
      </c>
      <c r="M6989" s="24" t="str" cm="1">
        <f t="array" ref="M6989">IFERROR(IF($B6989=M$1, ($A6989+$C6989) - MAX(IF($B$2:$B6988=$B6989, $A$2:$A6988+$C$2:$C6988)), "")*24*60, "")</f>
        <v/>
      </c>
      <c r="N6989" s="24" t="str" cm="1">
        <f t="array" ref="N6989">IFERROR(IF($B6989=N$1, ($A6989+$C6989) - MAX(IF($B$2:$B6988=$B6989, $A$2:$A6988+$C$2:$C6988)), "")*24*60, "")</f>
        <v/>
      </c>
      <c r="O6989" s="24" cm="1">
        <f t="array" ref="O6989">IFERROR(IF($B6989=O$1, ($A6989+$C6989) - MAX(IF($B$2:$B6988=$B6989, $A$2:$A6988+$C$2:$C6988)), "")*24*60, "")</f>
        <v>0</v>
      </c>
      <c r="P6989" s="24" t="str" cm="1">
        <f t="array" ref="P6989">IFERROR(IF($B6989=P$1, ($A6989+$C6989) - MAX(IF($B$2:$B6988=$B6989, $A$2:$A6988+$C$2:$C6988)), "")*24*60, "")</f>
        <v/>
      </c>
      <c r="Q6989" s="24" t="str" cm="1">
        <f t="array" ref="Q6989">IFERROR(IF($B6989=Q$1, ($A6989+$C6989) - MAX(IF($B$2:$B6988=$B6989, $A$2:$A6988+$C$2:$C6988)), "")*24*60, "")</f>
        <v/>
      </c>
      <c r="R6989" s="24" t="str" cm="1">
        <f t="array" ref="R6989">IFERROR(IF($B6989=R$1, ($A6989+$C6989) - MAX(IF($B$2:$B6988=$B6989, $A$2:$A6988+$C$2:$C6988)), "")*24*60, "")</f>
        <v/>
      </c>
      <c r="S6989" s="24" t="str" cm="1">
        <f t="array" ref="S6989">IFERROR(IF($B6989=S$1, ($A6989+$C6989) - MAX(IF($B$2:$B6988=$B6989, $A$2:$A6988+$C$2:$C6988)), "")*24*60, "")</f>
        <v/>
      </c>
    </row>
    <row r="6990" spans="1:19" x14ac:dyDescent="0.2">
      <c r="A6990" s="12">
        <f t="shared" ref="A6990:C6990" si="1336">A6989</f>
        <v>45996</v>
      </c>
      <c r="B6990" s="5" t="str">
        <f t="shared" si="1336"/>
        <v>Mourning Dove</v>
      </c>
      <c r="C6990" s="6">
        <f t="shared" si="1336"/>
        <v>0.4826388888888889</v>
      </c>
      <c r="D6990" s="5"/>
      <c r="E6990" s="5"/>
      <c r="F6990" s="5" t="s">
        <v>22</v>
      </c>
      <c r="G6990" s="15" t="s">
        <v>22</v>
      </c>
      <c r="H6990" s="24">
        <f t="shared" si="1309"/>
        <v>0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t="str" cm="1">
        <f t="array" ref="L6990">IFERROR(IF($B6990=L$1, ($A6990+$C6990) - MAX(IF($B$2:$B6989=$B6990, $A$2:$A6989+$C$2:$C6989)), "")*24*60, "")</f>
        <v/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cm="1">
        <f t="array" ref="O6990">IFERROR(IF($B6990=O$1, ($A6990+$C6990) - MAX(IF($B$2:$B6989=$B6990, $A$2:$A6989+$C$2:$C6989)), "")*24*60, "")</f>
        <v>0</v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:C6991" si="1337">A6990</f>
        <v>45996</v>
      </c>
      <c r="B6991" s="5" t="str">
        <f t="shared" si="1337"/>
        <v>Mourning Dove</v>
      </c>
      <c r="C6991" s="6">
        <f t="shared" si="1337"/>
        <v>0.4826388888888889</v>
      </c>
      <c r="D6991" s="5"/>
      <c r="E6991" s="5"/>
      <c r="F6991" s="5" t="s">
        <v>22</v>
      </c>
      <c r="G6991" s="15" t="s">
        <v>22</v>
      </c>
      <c r="H6991" s="24">
        <f t="shared" si="1309"/>
        <v>0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0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C6992" si="1338">A6991</f>
        <v>45996</v>
      </c>
      <c r="B6992" s="5" t="str">
        <f t="shared" si="1338"/>
        <v>Mourning Dove</v>
      </c>
      <c r="C6992" s="6">
        <f t="shared" si="1338"/>
        <v>0.4826388888888889</v>
      </c>
      <c r="D6992" s="5"/>
      <c r="E6992" s="5"/>
      <c r="F6992" s="5" t="s">
        <v>22</v>
      </c>
      <c r="G6992" s="15" t="s">
        <v>22</v>
      </c>
      <c r="H6992" s="24">
        <f t="shared" si="1309"/>
        <v>0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0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39">A6992</f>
        <v>45996</v>
      </c>
      <c r="B6993" s="5" t="str">
        <f t="shared" si="1339"/>
        <v>Mourning Dove</v>
      </c>
      <c r="C6993" s="6">
        <f t="shared" si="1339"/>
        <v>0.4826388888888889</v>
      </c>
      <c r="D6993" s="5"/>
      <c r="E6993" s="5"/>
      <c r="F6993" s="5" t="s">
        <v>22</v>
      </c>
      <c r="G6993" s="15" t="s">
        <v>22</v>
      </c>
      <c r="H6993" s="24">
        <f t="shared" si="1309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C6994" si="1340">A6993</f>
        <v>45996</v>
      </c>
      <c r="B6994" s="5" t="str">
        <f t="shared" si="1340"/>
        <v>Mourning Dove</v>
      </c>
      <c r="C6994" s="6">
        <f t="shared" si="1340"/>
        <v>0.4826388888888889</v>
      </c>
      <c r="D6994" s="5"/>
      <c r="E6994" s="5"/>
      <c r="F6994" s="5" t="s">
        <v>22</v>
      </c>
      <c r="G6994" s="15" t="s">
        <v>22</v>
      </c>
      <c r="H6994" s="24">
        <f t="shared" si="1309"/>
        <v>0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0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41">A6994</f>
        <v>45996</v>
      </c>
      <c r="B6995" s="5" t="str">
        <f t="shared" si="1341"/>
        <v>Mourning Dove</v>
      </c>
      <c r="C6995" s="6">
        <f t="shared" si="1341"/>
        <v>0.4826388888888889</v>
      </c>
      <c r="D6995" s="5"/>
      <c r="E6995" s="5"/>
      <c r="F6995" s="5" t="s">
        <v>22</v>
      </c>
      <c r="G6995" s="15" t="s">
        <v>22</v>
      </c>
      <c r="H6995" s="24">
        <f t="shared" si="1309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C6996" si="1342">A6995</f>
        <v>45996</v>
      </c>
      <c r="B6996" s="5" t="str">
        <f t="shared" si="1342"/>
        <v>Mourning Dove</v>
      </c>
      <c r="C6996" s="6">
        <f t="shared" si="1342"/>
        <v>0.4826388888888889</v>
      </c>
      <c r="D6996" s="5"/>
      <c r="E6996" s="5"/>
      <c r="F6996" s="5" t="s">
        <v>22</v>
      </c>
      <c r="G6996" s="15" t="s">
        <v>22</v>
      </c>
      <c r="H6996" s="24">
        <f t="shared" si="1309"/>
        <v>0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0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2">
        <f t="shared" ref="A6997:C6997" si="1343">A6996</f>
        <v>45996</v>
      </c>
      <c r="B6997" s="5" t="str">
        <f t="shared" si="1343"/>
        <v>Mourning Dove</v>
      </c>
      <c r="C6997" s="6">
        <f t="shared" si="1343"/>
        <v>0.4826388888888889</v>
      </c>
      <c r="D6997" s="5"/>
      <c r="E6997" s="5"/>
      <c r="F6997" s="5" t="s">
        <v>22</v>
      </c>
      <c r="G6997" s="15" t="s">
        <v>22</v>
      </c>
      <c r="H6997" s="24">
        <f t="shared" si="1309"/>
        <v>0</v>
      </c>
      <c r="I6997" s="24" t="str" cm="1">
        <f t="array" ref="I6997">IFERROR(IF($B6997=I$1, ($A6997+$C6997) - MAX(IF($B$2:$B6996=$B6997, $A$2:$A6996+$C$2:$C6996)), "")*24*60, "")</f>
        <v/>
      </c>
      <c r="J6997" s="24" t="str" cm="1">
        <f t="array" ref="J6997">IFERROR(IF($B6997=J$1, ($A6997+$C6997) - MAX(IF($B$2:$B6996=$B6997, $A$2:$A6996+$C$2:$C6996)), "")*24*60, "")</f>
        <v/>
      </c>
      <c r="K6997" s="24" t="str" cm="1">
        <f t="array" ref="K6997">IFERROR(IF($B6997=K$1, ($A6997+$C6997) - MAX(IF($B$2:$B6996=$B6997, $A$2:$A6996+$C$2:$C6996)), "")*24*60, "")</f>
        <v/>
      </c>
      <c r="L6997" s="24" t="str" cm="1">
        <f t="array" ref="L6997">IFERROR(IF($B6997=L$1, ($A6997+$C6997) - MAX(IF($B$2:$B6996=$B6997, $A$2:$A6996+$C$2:$C6996)), "")*24*60, "")</f>
        <v/>
      </c>
      <c r="M6997" s="24" t="str" cm="1">
        <f t="array" ref="M6997">IFERROR(IF($B6997=M$1, ($A6997+$C6997) - MAX(IF($B$2:$B6996=$B6997, $A$2:$A6996+$C$2:$C6996)), "")*24*60, "")</f>
        <v/>
      </c>
      <c r="N6997" s="24" t="str" cm="1">
        <f t="array" ref="N6997">IFERROR(IF($B6997=N$1, ($A6997+$C6997) - MAX(IF($B$2:$B6996=$B6997, $A$2:$A6996+$C$2:$C6996)), "")*24*60, "")</f>
        <v/>
      </c>
      <c r="O6997" s="24" cm="1">
        <f t="array" ref="O6997">IFERROR(IF($B6997=O$1, ($A6997+$C6997) - MAX(IF($B$2:$B6996=$B6997, $A$2:$A6996+$C$2:$C6996)), "")*24*60, "")</f>
        <v>0</v>
      </c>
      <c r="P6997" s="24" t="str" cm="1">
        <f t="array" ref="P6997">IFERROR(IF($B6997=P$1, ($A6997+$C6997) - MAX(IF($B$2:$B6996=$B6997, $A$2:$A6996+$C$2:$C6996)), "")*24*60, "")</f>
        <v/>
      </c>
      <c r="Q6997" s="24" t="str" cm="1">
        <f t="array" ref="Q6997">IFERROR(IF($B6997=Q$1, ($A6997+$C6997) - MAX(IF($B$2:$B6996=$B6997, $A$2:$A6996+$C$2:$C6996)), "")*24*60, "")</f>
        <v/>
      </c>
      <c r="R6997" s="24" t="str" cm="1">
        <f t="array" ref="R6997">IFERROR(IF($B6997=R$1, ($A6997+$C6997) - MAX(IF($B$2:$B6996=$B6997, $A$2:$A6996+$C$2:$C6996)), "")*24*60, "")</f>
        <v/>
      </c>
      <c r="S6997" s="24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f t="shared" ref="A6998:C6998" si="1344">A6997</f>
        <v>45996</v>
      </c>
      <c r="B6998" s="5" t="str">
        <f t="shared" si="1344"/>
        <v>Mourning Dove</v>
      </c>
      <c r="C6998" s="6">
        <f t="shared" si="1344"/>
        <v>0.4826388888888889</v>
      </c>
      <c r="D6998" s="5"/>
      <c r="E6998" s="5"/>
      <c r="F6998" s="5" t="s">
        <v>22</v>
      </c>
      <c r="G6998" s="15" t="s">
        <v>22</v>
      </c>
      <c r="H6998" s="24">
        <f t="shared" si="1309"/>
        <v>0</v>
      </c>
      <c r="I6998" s="24" t="str" cm="1">
        <f t="array" ref="I6998">IFERROR(IF($B6998=I$1, ($A6998+$C6998) - MAX(IF($B$2:$B6997=$B6998, $A$2:$A6997+$C$2:$C6997)), "")*24*60, "")</f>
        <v/>
      </c>
      <c r="J6998" s="24" t="str" cm="1">
        <f t="array" ref="J6998">IFERROR(IF($B6998=J$1, ($A6998+$C6998) - MAX(IF($B$2:$B6997=$B6998, $A$2:$A6997+$C$2:$C6997)), "")*24*60, "")</f>
        <v/>
      </c>
      <c r="K6998" s="24" t="str" cm="1">
        <f t="array" ref="K6998">IFERROR(IF($B6998=K$1, ($A6998+$C6998) - MAX(IF($B$2:$B6997=$B6998, $A$2:$A6997+$C$2:$C6997)), "")*24*60, "")</f>
        <v/>
      </c>
      <c r="L6998" s="24" t="str" cm="1">
        <f t="array" ref="L6998">IFERROR(IF($B6998=L$1, ($A6998+$C6998) - MAX(IF($B$2:$B6997=$B6998, $A$2:$A6997+$C$2:$C6997)), "")*24*60, "")</f>
        <v/>
      </c>
      <c r="M6998" s="24" t="str" cm="1">
        <f t="array" ref="M6998">IFERROR(IF($B6998=M$1, ($A6998+$C6998) - MAX(IF($B$2:$B6997=$B6998, $A$2:$A6997+$C$2:$C6997)), "")*24*60, "")</f>
        <v/>
      </c>
      <c r="N6998" s="24" t="str" cm="1">
        <f t="array" ref="N6998">IFERROR(IF($B6998=N$1, ($A6998+$C6998) - MAX(IF($B$2:$B6997=$B6998, $A$2:$A6997+$C$2:$C6997)), "")*24*60, "")</f>
        <v/>
      </c>
      <c r="O6998" s="24" cm="1">
        <f t="array" ref="O6998">IFERROR(IF($B6998=O$1, ($A6998+$C6998) - MAX(IF($B$2:$B6997=$B6998, $A$2:$A6997+$C$2:$C6997)), "")*24*60, "")</f>
        <v>0</v>
      </c>
      <c r="P6998" s="24" t="str" cm="1">
        <f t="array" ref="P6998">IFERROR(IF($B6998=P$1, ($A6998+$C6998) - MAX(IF($B$2:$B6997=$B6998, $A$2:$A6997+$C$2:$C6997)), "")*24*60, "")</f>
        <v/>
      </c>
      <c r="Q6998" s="24" t="str" cm="1">
        <f t="array" ref="Q6998">IFERROR(IF($B6998=Q$1, ($A6998+$C6998) - MAX(IF($B$2:$B6997=$B6998, $A$2:$A6997+$C$2:$C6997)), "")*24*60, "")</f>
        <v/>
      </c>
      <c r="R6998" s="24" t="str" cm="1">
        <f t="array" ref="R6998">IFERROR(IF($B6998=R$1, ($A6998+$C6998) - MAX(IF($B$2:$B6997=$B6998, $A$2:$A6997+$C$2:$C6997)), "")*24*60, "")</f>
        <v/>
      </c>
      <c r="S6998" s="24" t="str" cm="1">
        <f t="array" ref="S6998">IFERROR(IF($B6998=S$1, ($A6998+$C6998) - MAX(IF($B$2:$B6997=$B6998, $A$2:$A6997+$C$2:$C6997)), "")*24*60, "")</f>
        <v/>
      </c>
    </row>
    <row r="6999" spans="1:19" x14ac:dyDescent="0.2">
      <c r="A6999" s="12">
        <f t="shared" ref="A6999:C6999" si="1345">A6998</f>
        <v>45996</v>
      </c>
      <c r="B6999" s="5" t="str">
        <f t="shared" si="1345"/>
        <v>Mourning Dove</v>
      </c>
      <c r="C6999" s="6">
        <f t="shared" si="1345"/>
        <v>0.4826388888888889</v>
      </c>
      <c r="D6999" s="5"/>
      <c r="E6999" s="5"/>
      <c r="F6999" s="5" t="s">
        <v>22</v>
      </c>
      <c r="G6999" s="15" t="s">
        <v>22</v>
      </c>
      <c r="H6999" s="24">
        <f t="shared" si="1309"/>
        <v>0</v>
      </c>
      <c r="I6999" s="24" t="str" cm="1">
        <f t="array" ref="I6999">IFERROR(IF($B6999=I$1, ($A6999+$C6999) - MAX(IF($B$2:$B6998=$B6999, $A$2:$A6998+$C$2:$C6998)), "")*24*60, "")</f>
        <v/>
      </c>
      <c r="J6999" s="24" t="str" cm="1">
        <f t="array" ref="J6999">IFERROR(IF($B6999=J$1, ($A6999+$C6999) - MAX(IF($B$2:$B6998=$B6999, $A$2:$A6998+$C$2:$C6998)), "")*24*60, "")</f>
        <v/>
      </c>
      <c r="K6999" s="24" t="str" cm="1">
        <f t="array" ref="K6999">IFERROR(IF($B6999=K$1, ($A6999+$C6999) - MAX(IF($B$2:$B6998=$B6999, $A$2:$A6998+$C$2:$C6998)), "")*24*60, "")</f>
        <v/>
      </c>
      <c r="L6999" s="24" t="str" cm="1">
        <f t="array" ref="L6999">IFERROR(IF($B6999=L$1, ($A6999+$C6999) - MAX(IF($B$2:$B6998=$B6999, $A$2:$A6998+$C$2:$C6998)), "")*24*60, "")</f>
        <v/>
      </c>
      <c r="M6999" s="24" t="str" cm="1">
        <f t="array" ref="M6999">IFERROR(IF($B6999=M$1, ($A6999+$C6999) - MAX(IF($B$2:$B6998=$B6999, $A$2:$A6998+$C$2:$C6998)), "")*24*60, "")</f>
        <v/>
      </c>
      <c r="N6999" s="24" t="str" cm="1">
        <f t="array" ref="N6999">IFERROR(IF($B6999=N$1, ($A6999+$C6999) - MAX(IF($B$2:$B6998=$B6999, $A$2:$A6998+$C$2:$C6998)), "")*24*60, "")</f>
        <v/>
      </c>
      <c r="O6999" s="24" cm="1">
        <f t="array" ref="O6999">IFERROR(IF($B6999=O$1, ($A6999+$C6999) - MAX(IF($B$2:$B6998=$B6999, $A$2:$A6998+$C$2:$C6998)), "")*24*60, "")</f>
        <v>0</v>
      </c>
      <c r="P6999" s="24" t="str" cm="1">
        <f t="array" ref="P6999">IFERROR(IF($B6999=P$1, ($A6999+$C6999) - MAX(IF($B$2:$B6998=$B6999, $A$2:$A6998+$C$2:$C6998)), "")*24*60, "")</f>
        <v/>
      </c>
      <c r="Q6999" s="24" t="str" cm="1">
        <f t="array" ref="Q6999">IFERROR(IF($B6999=Q$1, ($A6999+$C6999) - MAX(IF($B$2:$B6998=$B6999, $A$2:$A6998+$C$2:$C6998)), "")*24*60, "")</f>
        <v/>
      </c>
      <c r="R6999" s="24" t="str" cm="1">
        <f t="array" ref="R6999">IFERROR(IF($B6999=R$1, ($A6999+$C6999) - MAX(IF($B$2:$B6998=$B6999, $A$2:$A6998+$C$2:$C6998)), "")*24*60, "")</f>
        <v/>
      </c>
      <c r="S6999" s="24" t="str" cm="1">
        <f t="array" ref="S6999">IFERROR(IF($B6999=S$1, ($A6999+$C6999) - MAX(IF($B$2:$B6998=$B6999, $A$2:$A6998+$C$2:$C6998)), "")*24*60, "")</f>
        <v/>
      </c>
    </row>
    <row r="7000" spans="1:19" x14ac:dyDescent="0.2">
      <c r="A7000" s="12">
        <f t="shared" ref="A7000:C7000" si="1346">A6999</f>
        <v>45996</v>
      </c>
      <c r="B7000" s="5" t="str">
        <f t="shared" si="1346"/>
        <v>Mourning Dove</v>
      </c>
      <c r="C7000" s="6">
        <f t="shared" si="1346"/>
        <v>0.4826388888888889</v>
      </c>
      <c r="D7000" s="5"/>
      <c r="E7000" s="5"/>
      <c r="F7000" s="5" t="s">
        <v>22</v>
      </c>
      <c r="G7000" s="15" t="s">
        <v>22</v>
      </c>
      <c r="H7000" s="24">
        <f t="shared" ref="H7000:H7063" si="1347">IFERROR((($A7000+$C7000) - ($A6999+$C6999))*24*60, "")</f>
        <v>0</v>
      </c>
      <c r="I7000" s="24" t="str" cm="1">
        <f t="array" ref="I7000">IFERROR(IF($B7000=I$1, ($A7000+$C7000) - MAX(IF($B$2:$B6999=$B7000, $A$2:$A6999+$C$2:$C6999)), "")*24*60, "")</f>
        <v/>
      </c>
      <c r="J7000" s="24" t="str" cm="1">
        <f t="array" ref="J7000">IFERROR(IF($B7000=J$1, ($A7000+$C7000) - MAX(IF($B$2:$B6999=$B7000, $A$2:$A6999+$C$2:$C6999)), "")*24*60, "")</f>
        <v/>
      </c>
      <c r="K7000" s="24" t="str" cm="1">
        <f t="array" ref="K7000">IFERROR(IF($B7000=K$1, ($A7000+$C7000) - MAX(IF($B$2:$B6999=$B7000, $A$2:$A6999+$C$2:$C6999)), "")*24*60, "")</f>
        <v/>
      </c>
      <c r="L7000" s="24" t="str" cm="1">
        <f t="array" ref="L7000">IFERROR(IF($B7000=L$1, ($A7000+$C7000) - MAX(IF($B$2:$B6999=$B7000, $A$2:$A6999+$C$2:$C6999)), "")*24*60, "")</f>
        <v/>
      </c>
      <c r="M7000" s="24" t="str" cm="1">
        <f t="array" ref="M7000">IFERROR(IF($B7000=M$1, ($A7000+$C7000) - MAX(IF($B$2:$B6999=$B7000, $A$2:$A6999+$C$2:$C6999)), "")*24*60, "")</f>
        <v/>
      </c>
      <c r="N7000" s="24" t="str" cm="1">
        <f t="array" ref="N7000">IFERROR(IF($B7000=N$1, ($A7000+$C7000) - MAX(IF($B$2:$B6999=$B7000, $A$2:$A6999+$C$2:$C6999)), "")*24*60, "")</f>
        <v/>
      </c>
      <c r="O7000" s="24" cm="1">
        <f t="array" ref="O7000">IFERROR(IF($B7000=O$1, ($A7000+$C7000) - MAX(IF($B$2:$B6999=$B7000, $A$2:$A6999+$C$2:$C6999)), "")*24*60, "")</f>
        <v>0</v>
      </c>
      <c r="P7000" s="24" t="str" cm="1">
        <f t="array" ref="P7000">IFERROR(IF($B7000=P$1, ($A7000+$C7000) - MAX(IF($B$2:$B6999=$B7000, $A$2:$A6999+$C$2:$C6999)), "")*24*60, "")</f>
        <v/>
      </c>
      <c r="Q7000" s="24" t="str" cm="1">
        <f t="array" ref="Q7000">IFERROR(IF($B7000=Q$1, ($A7000+$C7000) - MAX(IF($B$2:$B6999=$B7000, $A$2:$A6999+$C$2:$C6999)), "")*24*60, "")</f>
        <v/>
      </c>
      <c r="R7000" s="24" t="str" cm="1">
        <f t="array" ref="R7000">IFERROR(IF($B7000=R$1, ($A7000+$C7000) - MAX(IF($B$2:$B6999=$B7000, $A$2:$A6999+$C$2:$C6999)), "")*24*60, "")</f>
        <v/>
      </c>
      <c r="S7000" s="24" t="str" cm="1">
        <f t="array" ref="S7000">IFERROR(IF($B7000=S$1, ($A7000+$C7000) - MAX(IF($B$2:$B6999=$B7000, $A$2:$A6999+$C$2:$C6999)), "")*24*60, "")</f>
        <v/>
      </c>
    </row>
    <row r="7001" spans="1:19" x14ac:dyDescent="0.2">
      <c r="A7001" s="12">
        <f t="shared" ref="A7001:C7001" si="1348">A7000</f>
        <v>45996</v>
      </c>
      <c r="B7001" s="5" t="str">
        <f t="shared" si="1348"/>
        <v>Mourning Dove</v>
      </c>
      <c r="C7001" s="6">
        <f t="shared" si="1348"/>
        <v>0.4826388888888889</v>
      </c>
      <c r="D7001" s="5"/>
      <c r="E7001" s="5"/>
      <c r="F7001" s="5" t="s">
        <v>22</v>
      </c>
      <c r="G7001" s="15" t="s">
        <v>22</v>
      </c>
      <c r="H7001" s="24">
        <f t="shared" si="1347"/>
        <v>0</v>
      </c>
      <c r="I7001" s="24" t="str" cm="1">
        <f t="array" ref="I7001">IFERROR(IF($B7001=I$1, ($A7001+$C7001) - MAX(IF($B$2:$B7000=$B7001, $A$2:$A7000+$C$2:$C7000)), "")*24*60, "")</f>
        <v/>
      </c>
      <c r="J7001" s="24" t="str" cm="1">
        <f t="array" ref="J7001">IFERROR(IF($B7001=J$1, ($A7001+$C7001) - MAX(IF($B$2:$B7000=$B7001, $A$2:$A7000+$C$2:$C7000)), "")*24*60, "")</f>
        <v/>
      </c>
      <c r="K7001" s="24" t="str" cm="1">
        <f t="array" ref="K7001">IFERROR(IF($B7001=K$1, ($A7001+$C7001) - MAX(IF($B$2:$B7000=$B7001, $A$2:$A7000+$C$2:$C7000)), "")*24*60, "")</f>
        <v/>
      </c>
      <c r="L7001" s="24" t="str" cm="1">
        <f t="array" ref="L7001">IFERROR(IF($B7001=L$1, ($A7001+$C7001) - MAX(IF($B$2:$B7000=$B7001, $A$2:$A7000+$C$2:$C7000)), "")*24*60, "")</f>
        <v/>
      </c>
      <c r="M7001" s="24" t="str" cm="1">
        <f t="array" ref="M7001">IFERROR(IF($B7001=M$1, ($A7001+$C7001) - MAX(IF($B$2:$B7000=$B7001, $A$2:$A7000+$C$2:$C7000)), "")*24*60, "")</f>
        <v/>
      </c>
      <c r="N7001" s="24" t="str" cm="1">
        <f t="array" ref="N7001">IFERROR(IF($B7001=N$1, ($A7001+$C7001) - MAX(IF($B$2:$B7000=$B7001, $A$2:$A7000+$C$2:$C7000)), "")*24*60, "")</f>
        <v/>
      </c>
      <c r="O7001" s="24" cm="1">
        <f t="array" ref="O7001">IFERROR(IF($B7001=O$1, ($A7001+$C7001) - MAX(IF($B$2:$B7000=$B7001, $A$2:$A7000+$C$2:$C7000)), "")*24*60, "")</f>
        <v>0</v>
      </c>
      <c r="P7001" s="24" t="str" cm="1">
        <f t="array" ref="P7001">IFERROR(IF($B7001=P$1, ($A7001+$C7001) - MAX(IF($B$2:$B7000=$B7001, $A$2:$A7000+$C$2:$C7000)), "")*24*60, "")</f>
        <v/>
      </c>
      <c r="Q7001" s="24" t="str" cm="1">
        <f t="array" ref="Q7001">IFERROR(IF($B7001=Q$1, ($A7001+$C7001) - MAX(IF($B$2:$B7000=$B7001, $A$2:$A7000+$C$2:$C7000)), "")*24*60, "")</f>
        <v/>
      </c>
      <c r="R7001" s="24" t="str" cm="1">
        <f t="array" ref="R7001">IFERROR(IF($B7001=R$1, ($A7001+$C7001) - MAX(IF($B$2:$B7000=$B7001, $A$2:$A7000+$C$2:$C7000)), "")*24*60, "")</f>
        <v/>
      </c>
      <c r="S7001" s="24" t="str" cm="1">
        <f t="array" ref="S7001">IFERROR(IF($B7001=S$1, ($A7001+$C7001) - MAX(IF($B$2:$B7000=$B7001, $A$2:$A7000+$C$2:$C7000)), "")*24*60, "")</f>
        <v/>
      </c>
    </row>
    <row r="7002" spans="1:19" x14ac:dyDescent="0.2">
      <c r="A7002" s="12">
        <f t="shared" ref="A7002:C7002" si="1349">A7001</f>
        <v>45996</v>
      </c>
      <c r="B7002" s="5" t="str">
        <f t="shared" si="1349"/>
        <v>Mourning Dove</v>
      </c>
      <c r="C7002" s="6">
        <f t="shared" si="1349"/>
        <v>0.4826388888888889</v>
      </c>
      <c r="D7002" s="5"/>
      <c r="E7002" s="5"/>
      <c r="F7002" s="5" t="s">
        <v>22</v>
      </c>
      <c r="G7002" s="15" t="s">
        <v>22</v>
      </c>
      <c r="H7002" s="24">
        <f t="shared" si="1347"/>
        <v>0</v>
      </c>
      <c r="I7002" s="24" t="str" cm="1">
        <f t="array" ref="I7002">IFERROR(IF($B7002=I$1, ($A7002+$C7002) - MAX(IF($B$2:$B7001=$B7002, $A$2:$A7001+$C$2:$C7001)), "")*24*60, "")</f>
        <v/>
      </c>
      <c r="J7002" s="24" t="str" cm="1">
        <f t="array" ref="J7002">IFERROR(IF($B7002=J$1, ($A7002+$C7002) - MAX(IF($B$2:$B7001=$B7002, $A$2:$A7001+$C$2:$C7001)), "")*24*60, "")</f>
        <v/>
      </c>
      <c r="K7002" s="24" t="str" cm="1">
        <f t="array" ref="K7002">IFERROR(IF($B7002=K$1, ($A7002+$C7002) - MAX(IF($B$2:$B7001=$B7002, $A$2:$A7001+$C$2:$C7001)), "")*24*60, "")</f>
        <v/>
      </c>
      <c r="L7002" s="24" t="str" cm="1">
        <f t="array" ref="L7002">IFERROR(IF($B7002=L$1, ($A7002+$C7002) - MAX(IF($B$2:$B7001=$B7002, $A$2:$A7001+$C$2:$C7001)), "")*24*60, "")</f>
        <v/>
      </c>
      <c r="M7002" s="24" t="str" cm="1">
        <f t="array" ref="M7002">IFERROR(IF($B7002=M$1, ($A7002+$C7002) - MAX(IF($B$2:$B7001=$B7002, $A$2:$A7001+$C$2:$C7001)), "")*24*60, "")</f>
        <v/>
      </c>
      <c r="N7002" s="24" t="str" cm="1">
        <f t="array" ref="N7002">IFERROR(IF($B7002=N$1, ($A7002+$C7002) - MAX(IF($B$2:$B7001=$B7002, $A$2:$A7001+$C$2:$C7001)), "")*24*60, "")</f>
        <v/>
      </c>
      <c r="O7002" s="24" cm="1">
        <f t="array" ref="O7002">IFERROR(IF($B7002=O$1, ($A7002+$C7002) - MAX(IF($B$2:$B7001=$B7002, $A$2:$A7001+$C$2:$C7001)), "")*24*60, "")</f>
        <v>0</v>
      </c>
      <c r="P7002" s="24" t="str" cm="1">
        <f t="array" ref="P7002">IFERROR(IF($B7002=P$1, ($A7002+$C7002) - MAX(IF($B$2:$B7001=$B7002, $A$2:$A7001+$C$2:$C7001)), "")*24*60, "")</f>
        <v/>
      </c>
      <c r="Q7002" s="24" t="str" cm="1">
        <f t="array" ref="Q7002">IFERROR(IF($B7002=Q$1, ($A7002+$C7002) - MAX(IF($B$2:$B7001=$B7002, $A$2:$A7001+$C$2:$C7001)), "")*24*60, "")</f>
        <v/>
      </c>
      <c r="R7002" s="24" t="str" cm="1">
        <f t="array" ref="R7002">IFERROR(IF($B7002=R$1, ($A7002+$C7002) - MAX(IF($B$2:$B7001=$B7002, $A$2:$A7001+$C$2:$C7001)), "")*24*60, "")</f>
        <v/>
      </c>
      <c r="S7002" s="24" t="str" cm="1">
        <f t="array" ref="S7002">IFERROR(IF($B7002=S$1, ($A7002+$C7002) - MAX(IF($B$2:$B7001=$B7002, $A$2:$A7001+$C$2:$C7001)), "")*24*60, "")</f>
        <v/>
      </c>
    </row>
    <row r="7003" spans="1:19" x14ac:dyDescent="0.2">
      <c r="A7003" s="12">
        <f t="shared" ref="A7003:C7003" si="1350">A7002</f>
        <v>45996</v>
      </c>
      <c r="B7003" s="5" t="str">
        <f t="shared" si="1350"/>
        <v>Mourning Dove</v>
      </c>
      <c r="C7003" s="6">
        <f t="shared" si="1350"/>
        <v>0.4826388888888889</v>
      </c>
      <c r="D7003" s="5"/>
      <c r="E7003" s="5"/>
      <c r="F7003" s="5" t="s">
        <v>22</v>
      </c>
      <c r="G7003" s="15" t="s">
        <v>22</v>
      </c>
      <c r="H7003" s="24">
        <f t="shared" si="1347"/>
        <v>0</v>
      </c>
      <c r="I7003" s="24" t="str" cm="1">
        <f t="array" ref="I7003">IFERROR(IF($B7003=I$1, ($A7003+$C7003) - MAX(IF($B$2:$B7002=$B7003, $A$2:$A7002+$C$2:$C7002)), "")*24*60, "")</f>
        <v/>
      </c>
      <c r="J7003" s="24" t="str" cm="1">
        <f t="array" ref="J7003">IFERROR(IF($B7003=J$1, ($A7003+$C7003) - MAX(IF($B$2:$B7002=$B7003, $A$2:$A7002+$C$2:$C7002)), "")*24*60, "")</f>
        <v/>
      </c>
      <c r="K7003" s="24" t="str" cm="1">
        <f t="array" ref="K7003">IFERROR(IF($B7003=K$1, ($A7003+$C7003) - MAX(IF($B$2:$B7002=$B7003, $A$2:$A7002+$C$2:$C7002)), "")*24*60, "")</f>
        <v/>
      </c>
      <c r="L7003" s="24" t="str" cm="1">
        <f t="array" ref="L7003">IFERROR(IF($B7003=L$1, ($A7003+$C7003) - MAX(IF($B$2:$B7002=$B7003, $A$2:$A7002+$C$2:$C7002)), "")*24*60, "")</f>
        <v/>
      </c>
      <c r="M7003" s="24" t="str" cm="1">
        <f t="array" ref="M7003">IFERROR(IF($B7003=M$1, ($A7003+$C7003) - MAX(IF($B$2:$B7002=$B7003, $A$2:$A7002+$C$2:$C7002)), "")*24*60, "")</f>
        <v/>
      </c>
      <c r="N7003" s="24" t="str" cm="1">
        <f t="array" ref="N7003">IFERROR(IF($B7003=N$1, ($A7003+$C7003) - MAX(IF($B$2:$B7002=$B7003, $A$2:$A7002+$C$2:$C7002)), "")*24*60, "")</f>
        <v/>
      </c>
      <c r="O7003" s="24" cm="1">
        <f t="array" ref="O7003">IFERROR(IF($B7003=O$1, ($A7003+$C7003) - MAX(IF($B$2:$B7002=$B7003, $A$2:$A7002+$C$2:$C7002)), "")*24*60, "")</f>
        <v>0</v>
      </c>
      <c r="P7003" s="24" t="str" cm="1">
        <f t="array" ref="P7003">IFERROR(IF($B7003=P$1, ($A7003+$C7003) - MAX(IF($B$2:$B7002=$B7003, $A$2:$A7002+$C$2:$C7002)), "")*24*60, "")</f>
        <v/>
      </c>
      <c r="Q7003" s="24" t="str" cm="1">
        <f t="array" ref="Q7003">IFERROR(IF($B7003=Q$1, ($A7003+$C7003) - MAX(IF($B$2:$B7002=$B7003, $A$2:$A7002+$C$2:$C7002)), "")*24*60, "")</f>
        <v/>
      </c>
      <c r="R7003" s="24" t="str" cm="1">
        <f t="array" ref="R7003">IFERROR(IF($B7003=R$1, ($A7003+$C7003) - MAX(IF($B$2:$B7002=$B7003, $A$2:$A7002+$C$2:$C7002)), "")*24*60, "")</f>
        <v/>
      </c>
      <c r="S7003" s="24" t="str" cm="1">
        <f t="array" ref="S7003">IFERROR(IF($B7003=S$1, ($A7003+$C7003) - MAX(IF($B$2:$B7002=$B7003, $A$2:$A7002+$C$2:$C7002)), "")*24*60, "")</f>
        <v/>
      </c>
    </row>
    <row r="7004" spans="1:19" x14ac:dyDescent="0.2">
      <c r="A7004" s="12">
        <f t="shared" ref="A7004:C7004" si="1351">A7003</f>
        <v>45996</v>
      </c>
      <c r="B7004" s="5" t="str">
        <f t="shared" si="1351"/>
        <v>Mourning Dove</v>
      </c>
      <c r="C7004" s="6">
        <f t="shared" si="1351"/>
        <v>0.4826388888888889</v>
      </c>
      <c r="D7004" s="5"/>
      <c r="E7004" s="5"/>
      <c r="F7004" s="5" t="s">
        <v>22</v>
      </c>
      <c r="G7004" s="15" t="s">
        <v>22</v>
      </c>
      <c r="H7004" s="24">
        <f t="shared" si="1347"/>
        <v>0</v>
      </c>
      <c r="I7004" s="24" t="str" cm="1">
        <f t="array" ref="I7004">IFERROR(IF($B7004=I$1, ($A7004+$C7004) - MAX(IF($B$2:$B7003=$B7004, $A$2:$A7003+$C$2:$C7003)), "")*24*60, "")</f>
        <v/>
      </c>
      <c r="J7004" s="24" t="str" cm="1">
        <f t="array" ref="J7004">IFERROR(IF($B7004=J$1, ($A7004+$C7004) - MAX(IF($B$2:$B7003=$B7004, $A$2:$A7003+$C$2:$C7003)), "")*24*60, "")</f>
        <v/>
      </c>
      <c r="K7004" s="24" t="str" cm="1">
        <f t="array" ref="K7004">IFERROR(IF($B7004=K$1, ($A7004+$C7004) - MAX(IF($B$2:$B7003=$B7004, $A$2:$A7003+$C$2:$C7003)), "")*24*60, "")</f>
        <v/>
      </c>
      <c r="L7004" s="24" t="str" cm="1">
        <f t="array" ref="L7004">IFERROR(IF($B7004=L$1, ($A7004+$C7004) - MAX(IF($B$2:$B7003=$B7004, $A$2:$A7003+$C$2:$C7003)), "")*24*60, "")</f>
        <v/>
      </c>
      <c r="M7004" s="24" t="str" cm="1">
        <f t="array" ref="M7004">IFERROR(IF($B7004=M$1, ($A7004+$C7004) - MAX(IF($B$2:$B7003=$B7004, $A$2:$A7003+$C$2:$C7003)), "")*24*60, "")</f>
        <v/>
      </c>
      <c r="N7004" s="24" t="str" cm="1">
        <f t="array" ref="N7004">IFERROR(IF($B7004=N$1, ($A7004+$C7004) - MAX(IF($B$2:$B7003=$B7004, $A$2:$A7003+$C$2:$C7003)), "")*24*60, "")</f>
        <v/>
      </c>
      <c r="O7004" s="24" cm="1">
        <f t="array" ref="O7004">IFERROR(IF($B7004=O$1, ($A7004+$C7004) - MAX(IF($B$2:$B7003=$B7004, $A$2:$A7003+$C$2:$C7003)), "")*24*60, "")</f>
        <v>0</v>
      </c>
      <c r="P7004" s="24" t="str" cm="1">
        <f t="array" ref="P7004">IFERROR(IF($B7004=P$1, ($A7004+$C7004) - MAX(IF($B$2:$B7003=$B7004, $A$2:$A7003+$C$2:$C7003)), "")*24*60, "")</f>
        <v/>
      </c>
      <c r="Q7004" s="24" t="str" cm="1">
        <f t="array" ref="Q7004">IFERROR(IF($B7004=Q$1, ($A7004+$C7004) - MAX(IF($B$2:$B7003=$B7004, $A$2:$A7003+$C$2:$C7003)), "")*24*60, "")</f>
        <v/>
      </c>
      <c r="R7004" s="24" t="str" cm="1">
        <f t="array" ref="R7004">IFERROR(IF($B7004=R$1, ($A7004+$C7004) - MAX(IF($B$2:$B7003=$B7004, $A$2:$A7003+$C$2:$C7003)), "")*24*60, "")</f>
        <v/>
      </c>
      <c r="S7004" s="24" t="str" cm="1">
        <f t="array" ref="S7004">IFERROR(IF($B7004=S$1, ($A7004+$C7004) - MAX(IF($B$2:$B7003=$B7004, $A$2:$A7003+$C$2:$C7003)), "")*24*60, "")</f>
        <v/>
      </c>
    </row>
    <row r="7005" spans="1:19" x14ac:dyDescent="0.2">
      <c r="A7005" s="12">
        <f t="shared" ref="A7005:C7005" si="1352">A7004</f>
        <v>45996</v>
      </c>
      <c r="B7005" s="5" t="str">
        <f t="shared" si="1352"/>
        <v>Mourning Dove</v>
      </c>
      <c r="C7005" s="6">
        <f t="shared" si="1352"/>
        <v>0.4826388888888889</v>
      </c>
      <c r="D7005" s="5"/>
      <c r="E7005" s="5"/>
      <c r="F7005" s="5" t="s">
        <v>22</v>
      </c>
      <c r="G7005" s="15" t="s">
        <v>22</v>
      </c>
      <c r="H7005" s="24">
        <f t="shared" si="1347"/>
        <v>0</v>
      </c>
      <c r="I7005" s="24" t="str" cm="1">
        <f t="array" ref="I7005">IFERROR(IF($B7005=I$1, ($A7005+$C7005) - MAX(IF($B$2:$B7004=$B7005, $A$2:$A7004+$C$2:$C7004)), "")*24*60, "")</f>
        <v/>
      </c>
      <c r="J7005" s="24" t="str" cm="1">
        <f t="array" ref="J7005">IFERROR(IF($B7005=J$1, ($A7005+$C7005) - MAX(IF($B$2:$B7004=$B7005, $A$2:$A7004+$C$2:$C7004)), "")*24*60, "")</f>
        <v/>
      </c>
      <c r="K7005" s="24" t="str" cm="1">
        <f t="array" ref="K7005">IFERROR(IF($B7005=K$1, ($A7005+$C7005) - MAX(IF($B$2:$B7004=$B7005, $A$2:$A7004+$C$2:$C7004)), "")*24*60, "")</f>
        <v/>
      </c>
      <c r="L7005" s="24" t="str" cm="1">
        <f t="array" ref="L7005">IFERROR(IF($B7005=L$1, ($A7005+$C7005) - MAX(IF($B$2:$B7004=$B7005, $A$2:$A7004+$C$2:$C7004)), "")*24*60, "")</f>
        <v/>
      </c>
      <c r="M7005" s="24" t="str" cm="1">
        <f t="array" ref="M7005">IFERROR(IF($B7005=M$1, ($A7005+$C7005) - MAX(IF($B$2:$B7004=$B7005, $A$2:$A7004+$C$2:$C7004)), "")*24*60, "")</f>
        <v/>
      </c>
      <c r="N7005" s="24" t="str" cm="1">
        <f t="array" ref="N7005">IFERROR(IF($B7005=N$1, ($A7005+$C7005) - MAX(IF($B$2:$B7004=$B7005, $A$2:$A7004+$C$2:$C7004)), "")*24*60, "")</f>
        <v/>
      </c>
      <c r="O7005" s="24" cm="1">
        <f t="array" ref="O7005">IFERROR(IF($B7005=O$1, ($A7005+$C7005) - MAX(IF($B$2:$B7004=$B7005, $A$2:$A7004+$C$2:$C7004)), "")*24*60, "")</f>
        <v>0</v>
      </c>
      <c r="P7005" s="24" t="str" cm="1">
        <f t="array" ref="P7005">IFERROR(IF($B7005=P$1, ($A7005+$C7005) - MAX(IF($B$2:$B7004=$B7005, $A$2:$A7004+$C$2:$C7004)), "")*24*60, "")</f>
        <v/>
      </c>
      <c r="Q7005" s="24" t="str" cm="1">
        <f t="array" ref="Q7005">IFERROR(IF($B7005=Q$1, ($A7005+$C7005) - MAX(IF($B$2:$B7004=$B7005, $A$2:$A7004+$C$2:$C7004)), "")*24*60, "")</f>
        <v/>
      </c>
      <c r="R7005" s="24" t="str" cm="1">
        <f t="array" ref="R7005">IFERROR(IF($B7005=R$1, ($A7005+$C7005) - MAX(IF($B$2:$B7004=$B7005, $A$2:$A7004+$C$2:$C7004)), "")*24*60, "")</f>
        <v/>
      </c>
      <c r="S7005" s="24" t="str" cm="1">
        <f t="array" ref="S7005">IFERROR(IF($B7005=S$1, ($A7005+$C7005) - MAX(IF($B$2:$B7004=$B7005, $A$2:$A7004+$C$2:$C7004)), "")*24*60, "")</f>
        <v/>
      </c>
    </row>
    <row r="7006" spans="1:19" x14ac:dyDescent="0.2">
      <c r="A7006" s="12">
        <f t="shared" ref="A7006:C7006" si="1353">A7005</f>
        <v>45996</v>
      </c>
      <c r="B7006" s="5" t="str">
        <f t="shared" si="1353"/>
        <v>Mourning Dove</v>
      </c>
      <c r="C7006" s="6">
        <f t="shared" si="1353"/>
        <v>0.4826388888888889</v>
      </c>
      <c r="D7006" s="5"/>
      <c r="E7006" s="5"/>
      <c r="F7006" s="5" t="s">
        <v>22</v>
      </c>
      <c r="G7006" s="15" t="s">
        <v>22</v>
      </c>
      <c r="H7006" s="24">
        <f t="shared" si="1347"/>
        <v>0</v>
      </c>
      <c r="I7006" s="24" t="str" cm="1">
        <f t="array" ref="I7006">IFERROR(IF($B7006=I$1, ($A7006+$C7006) - MAX(IF($B$2:$B7005=$B7006, $A$2:$A7005+$C$2:$C7005)), "")*24*60, "")</f>
        <v/>
      </c>
      <c r="J7006" s="24" t="str" cm="1">
        <f t="array" ref="J7006">IFERROR(IF($B7006=J$1, ($A7006+$C7006) - MAX(IF($B$2:$B7005=$B7006, $A$2:$A7005+$C$2:$C7005)), "")*24*60, "")</f>
        <v/>
      </c>
      <c r="K7006" s="24" t="str" cm="1">
        <f t="array" ref="K7006">IFERROR(IF($B7006=K$1, ($A7006+$C7006) - MAX(IF($B$2:$B7005=$B7006, $A$2:$A7005+$C$2:$C7005)), "")*24*60, "")</f>
        <v/>
      </c>
      <c r="L7006" s="24" t="str" cm="1">
        <f t="array" ref="L7006">IFERROR(IF($B7006=L$1, ($A7006+$C7006) - MAX(IF($B$2:$B7005=$B7006, $A$2:$A7005+$C$2:$C7005)), "")*24*60, "")</f>
        <v/>
      </c>
      <c r="M7006" s="24" t="str" cm="1">
        <f t="array" ref="M7006">IFERROR(IF($B7006=M$1, ($A7006+$C7006) - MAX(IF($B$2:$B7005=$B7006, $A$2:$A7005+$C$2:$C7005)), "")*24*60, "")</f>
        <v/>
      </c>
      <c r="N7006" s="24" t="str" cm="1">
        <f t="array" ref="N7006">IFERROR(IF($B7006=N$1, ($A7006+$C7006) - MAX(IF($B$2:$B7005=$B7006, $A$2:$A7005+$C$2:$C7005)), "")*24*60, "")</f>
        <v/>
      </c>
      <c r="O7006" s="24" cm="1">
        <f t="array" ref="O7006">IFERROR(IF($B7006=O$1, ($A7006+$C7006) - MAX(IF($B$2:$B7005=$B7006, $A$2:$A7005+$C$2:$C7005)), "")*24*60, "")</f>
        <v>0</v>
      </c>
      <c r="P7006" s="24" t="str" cm="1">
        <f t="array" ref="P7006">IFERROR(IF($B7006=P$1, ($A7006+$C7006) - MAX(IF($B$2:$B7005=$B7006, $A$2:$A7005+$C$2:$C7005)), "")*24*60, "")</f>
        <v/>
      </c>
      <c r="Q7006" s="24" t="str" cm="1">
        <f t="array" ref="Q7006">IFERROR(IF($B7006=Q$1, ($A7006+$C7006) - MAX(IF($B$2:$B7005=$B7006, $A$2:$A7005+$C$2:$C7005)), "")*24*60, "")</f>
        <v/>
      </c>
      <c r="R7006" s="24" t="str" cm="1">
        <f t="array" ref="R7006">IFERROR(IF($B7006=R$1, ($A7006+$C7006) - MAX(IF($B$2:$B7005=$B7006, $A$2:$A7005+$C$2:$C7005)), "")*24*60, "")</f>
        <v/>
      </c>
      <c r="S7006" s="24" t="str" cm="1">
        <f t="array" ref="S7006">IFERROR(IF($B7006=S$1, ($A7006+$C7006) - MAX(IF($B$2:$B7005=$B7006, $A$2:$A7005+$C$2:$C7005)), "")*24*60, "")</f>
        <v/>
      </c>
    </row>
    <row r="7007" spans="1:19" x14ac:dyDescent="0.2">
      <c r="A7007" s="12">
        <f t="shared" ref="A7007:C7007" si="1354">A7006</f>
        <v>45996</v>
      </c>
      <c r="B7007" s="5" t="str">
        <f t="shared" si="1354"/>
        <v>Mourning Dove</v>
      </c>
      <c r="C7007" s="6">
        <f t="shared" si="1354"/>
        <v>0.4826388888888889</v>
      </c>
      <c r="D7007" s="5"/>
      <c r="E7007" s="5"/>
      <c r="F7007" s="5" t="s">
        <v>22</v>
      </c>
      <c r="G7007" s="15" t="s">
        <v>22</v>
      </c>
      <c r="H7007" s="24">
        <f t="shared" si="1347"/>
        <v>0</v>
      </c>
      <c r="I7007" s="24" t="str" cm="1">
        <f t="array" ref="I7007">IFERROR(IF($B7007=I$1, ($A7007+$C7007) - MAX(IF($B$2:$B7006=$B7007, $A$2:$A7006+$C$2:$C7006)), "")*24*60, "")</f>
        <v/>
      </c>
      <c r="J7007" s="24" t="str" cm="1">
        <f t="array" ref="J7007">IFERROR(IF($B7007=J$1, ($A7007+$C7007) - MAX(IF($B$2:$B7006=$B7007, $A$2:$A7006+$C$2:$C7006)), "")*24*60, "")</f>
        <v/>
      </c>
      <c r="K7007" s="24" t="str" cm="1">
        <f t="array" ref="K7007">IFERROR(IF($B7007=K$1, ($A7007+$C7007) - MAX(IF($B$2:$B7006=$B7007, $A$2:$A7006+$C$2:$C7006)), "")*24*60, "")</f>
        <v/>
      </c>
      <c r="L7007" s="24" t="str" cm="1">
        <f t="array" ref="L7007">IFERROR(IF($B7007=L$1, ($A7007+$C7007) - MAX(IF($B$2:$B7006=$B7007, $A$2:$A7006+$C$2:$C7006)), "")*24*60, "")</f>
        <v/>
      </c>
      <c r="M7007" s="24" t="str" cm="1">
        <f t="array" ref="M7007">IFERROR(IF($B7007=M$1, ($A7007+$C7007) - MAX(IF($B$2:$B7006=$B7007, $A$2:$A7006+$C$2:$C7006)), "")*24*60, "")</f>
        <v/>
      </c>
      <c r="N7007" s="24" t="str" cm="1">
        <f t="array" ref="N7007">IFERROR(IF($B7007=N$1, ($A7007+$C7007) - MAX(IF($B$2:$B7006=$B7007, $A$2:$A7006+$C$2:$C7006)), "")*24*60, "")</f>
        <v/>
      </c>
      <c r="O7007" s="24" cm="1">
        <f t="array" ref="O7007">IFERROR(IF($B7007=O$1, ($A7007+$C7007) - MAX(IF($B$2:$B7006=$B7007, $A$2:$A7006+$C$2:$C7006)), "")*24*60, "")</f>
        <v>0</v>
      </c>
      <c r="P7007" s="24" t="str" cm="1">
        <f t="array" ref="P7007">IFERROR(IF($B7007=P$1, ($A7007+$C7007) - MAX(IF($B$2:$B7006=$B7007, $A$2:$A7006+$C$2:$C7006)), "")*24*60, "")</f>
        <v/>
      </c>
      <c r="Q7007" s="24" t="str" cm="1">
        <f t="array" ref="Q7007">IFERROR(IF($B7007=Q$1, ($A7007+$C7007) - MAX(IF($B$2:$B7006=$B7007, $A$2:$A7006+$C$2:$C7006)), "")*24*60, "")</f>
        <v/>
      </c>
      <c r="R7007" s="24" t="str" cm="1">
        <f t="array" ref="R7007">IFERROR(IF($B7007=R$1, ($A7007+$C7007) - MAX(IF($B$2:$B7006=$B7007, $A$2:$A7006+$C$2:$C7006)), "")*24*60, "")</f>
        <v/>
      </c>
      <c r="S7007" s="24" t="str" cm="1">
        <f t="array" ref="S7007">IFERROR(IF($B7007=S$1, ($A7007+$C7007) - MAX(IF($B$2:$B7006=$B7007, $A$2:$A7006+$C$2:$C7006)), "")*24*60, "")</f>
        <v/>
      </c>
    </row>
    <row r="7008" spans="1:19" x14ac:dyDescent="0.2">
      <c r="A7008" s="12">
        <f t="shared" ref="A7008:C7008" si="1355">A7007</f>
        <v>45996</v>
      </c>
      <c r="B7008" s="5" t="str">
        <f t="shared" si="1355"/>
        <v>Mourning Dove</v>
      </c>
      <c r="C7008" s="6">
        <f t="shared" si="1355"/>
        <v>0.4826388888888889</v>
      </c>
      <c r="D7008" s="5"/>
      <c r="E7008" s="5"/>
      <c r="F7008" s="5" t="s">
        <v>22</v>
      </c>
      <c r="G7008" s="15" t="s">
        <v>22</v>
      </c>
      <c r="H7008" s="24">
        <f t="shared" si="1347"/>
        <v>0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0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C7009" si="1356">A7008</f>
        <v>45996</v>
      </c>
      <c r="B7009" s="5" t="str">
        <f t="shared" si="1356"/>
        <v>Mourning Dove</v>
      </c>
      <c r="C7009" s="6">
        <f t="shared" si="1356"/>
        <v>0.4826388888888889</v>
      </c>
      <c r="D7009" s="5"/>
      <c r="E7009" s="5"/>
      <c r="F7009" s="5" t="s">
        <v>22</v>
      </c>
      <c r="G7009" s="15" t="s">
        <v>22</v>
      </c>
      <c r="H7009" s="24">
        <f t="shared" si="1347"/>
        <v>0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0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C7010" si="1357">A7009</f>
        <v>45996</v>
      </c>
      <c r="B7010" s="5" t="str">
        <f t="shared" si="1357"/>
        <v>Mourning Dove</v>
      </c>
      <c r="C7010" s="6">
        <f t="shared" si="1357"/>
        <v>0.4826388888888889</v>
      </c>
      <c r="D7010" s="5"/>
      <c r="E7010" s="5"/>
      <c r="F7010" s="5" t="s">
        <v>22</v>
      </c>
      <c r="G7010" s="15" t="s">
        <v>22</v>
      </c>
      <c r="H7010" s="24">
        <f t="shared" si="1347"/>
        <v>0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0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C7011" si="1358">A7010</f>
        <v>45996</v>
      </c>
      <c r="B7011" s="5" t="str">
        <f t="shared" si="1358"/>
        <v>Mourning Dove</v>
      </c>
      <c r="C7011" s="6">
        <f t="shared" si="1358"/>
        <v>0.4826388888888889</v>
      </c>
      <c r="D7011" s="5"/>
      <c r="E7011" s="5"/>
      <c r="F7011" s="5" t="s">
        <v>22</v>
      </c>
      <c r="G7011" s="15" t="s">
        <v>22</v>
      </c>
      <c r="H7011" s="24">
        <f t="shared" si="1347"/>
        <v>0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59">A7011</f>
        <v>45996</v>
      </c>
      <c r="B7012" s="5" t="str">
        <f t="shared" si="1359"/>
        <v>Mourning Dove</v>
      </c>
      <c r="C7012" s="6">
        <f t="shared" si="1359"/>
        <v>0.4826388888888889</v>
      </c>
      <c r="D7012" s="5"/>
      <c r="E7012" s="5"/>
      <c r="F7012" s="5" t="s">
        <v>22</v>
      </c>
      <c r="G7012" s="15" t="s">
        <v>22</v>
      </c>
      <c r="H7012" s="24">
        <f t="shared" si="1347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C7013" si="1360">A7012</f>
        <v>45996</v>
      </c>
      <c r="B7013" s="5" t="str">
        <f t="shared" si="1360"/>
        <v>Mourning Dove</v>
      </c>
      <c r="C7013" s="6">
        <f t="shared" si="1360"/>
        <v>0.4826388888888889</v>
      </c>
      <c r="D7013" s="5"/>
      <c r="E7013" s="5"/>
      <c r="F7013" s="5" t="s">
        <v>22</v>
      </c>
      <c r="G7013" s="15" t="s">
        <v>22</v>
      </c>
      <c r="H7013" s="24">
        <f t="shared" si="1347"/>
        <v>0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0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61">A7013</f>
        <v>45996</v>
      </c>
      <c r="B7014" s="5" t="str">
        <f t="shared" si="1361"/>
        <v>Mourning Dove</v>
      </c>
      <c r="C7014" s="6">
        <f t="shared" si="1361"/>
        <v>0.4826388888888889</v>
      </c>
      <c r="D7014" s="5"/>
      <c r="E7014" s="5"/>
      <c r="F7014" s="5" t="s">
        <v>22</v>
      </c>
      <c r="G7014" s="15" t="s">
        <v>22</v>
      </c>
      <c r="H7014" s="24">
        <f t="shared" si="1347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C7015" si="1362">A7014</f>
        <v>45996</v>
      </c>
      <c r="B7015" s="5" t="str">
        <f t="shared" si="1362"/>
        <v>Mourning Dove</v>
      </c>
      <c r="C7015" s="6">
        <f t="shared" si="1362"/>
        <v>0.4826388888888889</v>
      </c>
      <c r="D7015" s="5"/>
      <c r="E7015" s="5"/>
      <c r="F7015" s="5" t="s">
        <v>22</v>
      </c>
      <c r="G7015" s="15" t="s">
        <v>22</v>
      </c>
      <c r="H7015" s="24">
        <f t="shared" si="1347"/>
        <v>0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0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C7016" si="1363">A7015</f>
        <v>45996</v>
      </c>
      <c r="B7016" s="5" t="str">
        <f t="shared" si="1363"/>
        <v>Mourning Dove</v>
      </c>
      <c r="C7016" s="6">
        <f t="shared" si="1363"/>
        <v>0.4826388888888889</v>
      </c>
      <c r="D7016" s="5"/>
      <c r="E7016" s="5"/>
      <c r="F7016" s="5" t="s">
        <v>22</v>
      </c>
      <c r="G7016" s="15" t="s">
        <v>22</v>
      </c>
      <c r="H7016" s="24">
        <f t="shared" si="1347"/>
        <v>0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2">
        <f t="shared" ref="A7017:C7017" si="1364">A7016</f>
        <v>45996</v>
      </c>
      <c r="B7017" s="5" t="str">
        <f t="shared" si="1364"/>
        <v>Mourning Dove</v>
      </c>
      <c r="C7017" s="6">
        <f t="shared" si="1364"/>
        <v>0.4826388888888889</v>
      </c>
      <c r="D7017" s="5"/>
      <c r="E7017" s="5"/>
      <c r="F7017" s="5" t="s">
        <v>22</v>
      </c>
      <c r="G7017" s="15" t="s">
        <v>22</v>
      </c>
      <c r="H7017" s="24">
        <f t="shared" si="1347"/>
        <v>0</v>
      </c>
      <c r="I7017" s="24" t="str" cm="1">
        <f t="array" ref="I7017">IFERROR(IF($B7017=I$1, ($A7017+$C7017) - MAX(IF($B$2:$B7016=$B7017, $A$2:$A7016+$C$2:$C7016)), "")*24*60, "")</f>
        <v/>
      </c>
      <c r="J7017" s="24" t="str" cm="1">
        <f t="array" ref="J7017">IFERROR(IF($B7017=J$1, ($A7017+$C7017) - MAX(IF($B$2:$B7016=$B7017, $A$2:$A7016+$C$2:$C7016)), "")*24*60, "")</f>
        <v/>
      </c>
      <c r="K7017" s="24" t="str" cm="1">
        <f t="array" ref="K7017">IFERROR(IF($B7017=K$1, ($A7017+$C7017) - MAX(IF($B$2:$B7016=$B7017, $A$2:$A7016+$C$2:$C7016)), "")*24*60, "")</f>
        <v/>
      </c>
      <c r="L7017" s="24" t="str" cm="1">
        <f t="array" ref="L7017">IFERROR(IF($B7017=L$1, ($A7017+$C7017) - MAX(IF($B$2:$B7016=$B7017, $A$2:$A7016+$C$2:$C7016)), "")*24*60, "")</f>
        <v/>
      </c>
      <c r="M7017" s="24" t="str" cm="1">
        <f t="array" ref="M7017">IFERROR(IF($B7017=M$1, ($A7017+$C7017) - MAX(IF($B$2:$B7016=$B7017, $A$2:$A7016+$C$2:$C7016)), "")*24*60, "")</f>
        <v/>
      </c>
      <c r="N7017" s="24" t="str" cm="1">
        <f t="array" ref="N7017">IFERROR(IF($B7017=N$1, ($A7017+$C7017) - MAX(IF($B$2:$B7016=$B7017, $A$2:$A7016+$C$2:$C7016)), "")*24*60, "")</f>
        <v/>
      </c>
      <c r="O7017" s="24" cm="1">
        <f t="array" ref="O7017">IFERROR(IF($B7017=O$1, ($A7017+$C7017) - MAX(IF($B$2:$B7016=$B7017, $A$2:$A7016+$C$2:$C7016)), "")*24*60, "")</f>
        <v>0</v>
      </c>
      <c r="P7017" s="24" t="str" cm="1">
        <f t="array" ref="P7017">IFERROR(IF($B7017=P$1, ($A7017+$C7017) - MAX(IF($B$2:$B7016=$B7017, $A$2:$A7016+$C$2:$C7016)), "")*24*60, "")</f>
        <v/>
      </c>
      <c r="Q7017" s="24" t="str" cm="1">
        <f t="array" ref="Q7017">IFERROR(IF($B7017=Q$1, ($A7017+$C7017) - MAX(IF($B$2:$B7016=$B7017, $A$2:$A7016+$C$2:$C7016)), "")*24*60, "")</f>
        <v/>
      </c>
      <c r="R7017" s="24" t="str" cm="1">
        <f t="array" ref="R7017">IFERROR(IF($B7017=R$1, ($A7017+$C7017) - MAX(IF($B$2:$B7016=$B7017, $A$2:$A7016+$C$2:$C7016)), "")*24*60, "")</f>
        <v/>
      </c>
      <c r="S7017" s="24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f t="shared" ref="A7018:C7018" si="1365">A7017</f>
        <v>45996</v>
      </c>
      <c r="B7018" s="5" t="str">
        <f t="shared" si="1365"/>
        <v>Mourning Dove</v>
      </c>
      <c r="C7018" s="6">
        <f t="shared" si="1365"/>
        <v>0.4826388888888889</v>
      </c>
      <c r="D7018" s="5"/>
      <c r="E7018" s="5"/>
      <c r="F7018" s="5" t="s">
        <v>22</v>
      </c>
      <c r="G7018" s="15" t="s">
        <v>22</v>
      </c>
      <c r="H7018" s="24">
        <f t="shared" si="1347"/>
        <v>0</v>
      </c>
      <c r="I7018" s="24" t="str" cm="1">
        <f t="array" ref="I7018">IFERROR(IF($B7018=I$1, ($A7018+$C7018) - MAX(IF($B$2:$B7017=$B7018, $A$2:$A7017+$C$2:$C7017)), "")*24*60, "")</f>
        <v/>
      </c>
      <c r="J7018" s="24" t="str" cm="1">
        <f t="array" ref="J7018">IFERROR(IF($B7018=J$1, ($A7018+$C7018) - MAX(IF($B$2:$B7017=$B7018, $A$2:$A7017+$C$2:$C7017)), "")*24*60, "")</f>
        <v/>
      </c>
      <c r="K7018" s="24" t="str" cm="1">
        <f t="array" ref="K7018">IFERROR(IF($B7018=K$1, ($A7018+$C7018) - MAX(IF($B$2:$B7017=$B7018, $A$2:$A7017+$C$2:$C7017)), "")*24*60, "")</f>
        <v/>
      </c>
      <c r="L7018" s="24" t="str" cm="1">
        <f t="array" ref="L7018">IFERROR(IF($B7018=L$1, ($A7018+$C7018) - MAX(IF($B$2:$B7017=$B7018, $A$2:$A7017+$C$2:$C7017)), "")*24*60, "")</f>
        <v/>
      </c>
      <c r="M7018" s="24" t="str" cm="1">
        <f t="array" ref="M7018">IFERROR(IF($B7018=M$1, ($A7018+$C7018) - MAX(IF($B$2:$B7017=$B7018, $A$2:$A7017+$C$2:$C7017)), "")*24*60, "")</f>
        <v/>
      </c>
      <c r="N7018" s="24" t="str" cm="1">
        <f t="array" ref="N7018">IFERROR(IF($B7018=N$1, ($A7018+$C7018) - MAX(IF($B$2:$B7017=$B7018, $A$2:$A7017+$C$2:$C7017)), "")*24*60, "")</f>
        <v/>
      </c>
      <c r="O7018" s="24" cm="1">
        <f t="array" ref="O7018">IFERROR(IF($B7018=O$1, ($A7018+$C7018) - MAX(IF($B$2:$B7017=$B7018, $A$2:$A7017+$C$2:$C7017)), "")*24*60, "")</f>
        <v>0</v>
      </c>
      <c r="P7018" s="24" t="str" cm="1">
        <f t="array" ref="P7018">IFERROR(IF($B7018=P$1, ($A7018+$C7018) - MAX(IF($B$2:$B7017=$B7018, $A$2:$A7017+$C$2:$C7017)), "")*24*60, "")</f>
        <v/>
      </c>
      <c r="Q7018" s="24" t="str" cm="1">
        <f t="array" ref="Q7018">IFERROR(IF($B7018=Q$1, ($A7018+$C7018) - MAX(IF($B$2:$B7017=$B7018, $A$2:$A7017+$C$2:$C7017)), "")*24*60, "")</f>
        <v/>
      </c>
      <c r="R7018" s="24" t="str" cm="1">
        <f t="array" ref="R7018">IFERROR(IF($B7018=R$1, ($A7018+$C7018) - MAX(IF($B$2:$B7017=$B7018, $A$2:$A7017+$C$2:$C7017)), "")*24*60, "")</f>
        <v/>
      </c>
      <c r="S7018" s="24" t="str" cm="1">
        <f t="array" ref="S7018">IFERROR(IF($B7018=S$1, ($A7018+$C7018) - MAX(IF($B$2:$B7017=$B7018, $A$2:$A7017+$C$2:$C7017)), "")*24*60, "")</f>
        <v/>
      </c>
    </row>
    <row r="7019" spans="1:19" x14ac:dyDescent="0.2">
      <c r="A7019" s="12">
        <f t="shared" ref="A7019:C7019" si="1366">A7018</f>
        <v>45996</v>
      </c>
      <c r="B7019" s="5" t="str">
        <f t="shared" si="1366"/>
        <v>Mourning Dove</v>
      </c>
      <c r="C7019" s="6">
        <f t="shared" si="1366"/>
        <v>0.4826388888888889</v>
      </c>
      <c r="D7019" s="5"/>
      <c r="E7019" s="5"/>
      <c r="F7019" s="5" t="s">
        <v>22</v>
      </c>
      <c r="G7019" s="15" t="s">
        <v>22</v>
      </c>
      <c r="H7019" s="24">
        <f t="shared" si="1347"/>
        <v>0</v>
      </c>
      <c r="I7019" s="24" t="str" cm="1">
        <f t="array" ref="I7019">IFERROR(IF($B7019=I$1, ($A7019+$C7019) - MAX(IF($B$2:$B7018=$B7019, $A$2:$A7018+$C$2:$C7018)), "")*24*60, "")</f>
        <v/>
      </c>
      <c r="J7019" s="24" t="str" cm="1">
        <f t="array" ref="J7019">IFERROR(IF($B7019=J$1, ($A7019+$C7019) - MAX(IF($B$2:$B7018=$B7019, $A$2:$A7018+$C$2:$C7018)), "")*24*60, "")</f>
        <v/>
      </c>
      <c r="K7019" s="24" t="str" cm="1">
        <f t="array" ref="K7019">IFERROR(IF($B7019=K$1, ($A7019+$C7019) - MAX(IF($B$2:$B7018=$B7019, $A$2:$A7018+$C$2:$C7018)), "")*24*60, "")</f>
        <v/>
      </c>
      <c r="L7019" s="24" t="str" cm="1">
        <f t="array" ref="L7019">IFERROR(IF($B7019=L$1, ($A7019+$C7019) - MAX(IF($B$2:$B7018=$B7019, $A$2:$A7018+$C$2:$C7018)), "")*24*60, "")</f>
        <v/>
      </c>
      <c r="M7019" s="24" t="str" cm="1">
        <f t="array" ref="M7019">IFERROR(IF($B7019=M$1, ($A7019+$C7019) - MAX(IF($B$2:$B7018=$B7019, $A$2:$A7018+$C$2:$C7018)), "")*24*60, "")</f>
        <v/>
      </c>
      <c r="N7019" s="24" t="str" cm="1">
        <f t="array" ref="N7019">IFERROR(IF($B7019=N$1, ($A7019+$C7019) - MAX(IF($B$2:$B7018=$B7019, $A$2:$A7018+$C$2:$C7018)), "")*24*60, "")</f>
        <v/>
      </c>
      <c r="O7019" s="24" cm="1">
        <f t="array" ref="O7019">IFERROR(IF($B7019=O$1, ($A7019+$C7019) - MAX(IF($B$2:$B7018=$B7019, $A$2:$A7018+$C$2:$C7018)), "")*24*60, "")</f>
        <v>0</v>
      </c>
      <c r="P7019" s="24" t="str" cm="1">
        <f t="array" ref="P7019">IFERROR(IF($B7019=P$1, ($A7019+$C7019) - MAX(IF($B$2:$B7018=$B7019, $A$2:$A7018+$C$2:$C7018)), "")*24*60, "")</f>
        <v/>
      </c>
      <c r="Q7019" s="24" t="str" cm="1">
        <f t="array" ref="Q7019">IFERROR(IF($B7019=Q$1, ($A7019+$C7019) - MAX(IF($B$2:$B7018=$B7019, $A$2:$A7018+$C$2:$C7018)), "")*24*60, "")</f>
        <v/>
      </c>
      <c r="R7019" s="24" t="str" cm="1">
        <f t="array" ref="R7019">IFERROR(IF($B7019=R$1, ($A7019+$C7019) - MAX(IF($B$2:$B7018=$B7019, $A$2:$A7018+$C$2:$C7018)), "")*24*60, "")</f>
        <v/>
      </c>
      <c r="S7019" s="24" t="str" cm="1">
        <f t="array" ref="S7019">IFERROR(IF($B7019=S$1, ($A7019+$C7019) - MAX(IF($B$2:$B7018=$B7019, $A$2:$A7018+$C$2:$C7018)), "")*24*60, "")</f>
        <v/>
      </c>
    </row>
    <row r="7020" spans="1:19" x14ac:dyDescent="0.2">
      <c r="A7020" s="12">
        <f t="shared" ref="A7020:C7020" si="1367">A7019</f>
        <v>45996</v>
      </c>
      <c r="B7020" s="5" t="str">
        <f t="shared" si="1367"/>
        <v>Mourning Dove</v>
      </c>
      <c r="C7020" s="6">
        <f t="shared" si="1367"/>
        <v>0.4826388888888889</v>
      </c>
      <c r="D7020" s="5"/>
      <c r="E7020" s="5"/>
      <c r="F7020" s="5" t="s">
        <v>22</v>
      </c>
      <c r="G7020" s="15" t="s">
        <v>22</v>
      </c>
      <c r="H7020" s="24">
        <f t="shared" si="1347"/>
        <v>0</v>
      </c>
      <c r="I7020" s="24" t="str" cm="1">
        <f t="array" ref="I7020">IFERROR(IF($B7020=I$1, ($A7020+$C7020) - MAX(IF($B$2:$B7019=$B7020, $A$2:$A7019+$C$2:$C7019)), "")*24*60, "")</f>
        <v/>
      </c>
      <c r="J7020" s="24" t="str" cm="1">
        <f t="array" ref="J7020">IFERROR(IF($B7020=J$1, ($A7020+$C7020) - MAX(IF($B$2:$B7019=$B7020, $A$2:$A7019+$C$2:$C7019)), "")*24*60, "")</f>
        <v/>
      </c>
      <c r="K7020" s="24" t="str" cm="1">
        <f t="array" ref="K7020">IFERROR(IF($B7020=K$1, ($A7020+$C7020) - MAX(IF($B$2:$B7019=$B7020, $A$2:$A7019+$C$2:$C7019)), "")*24*60, "")</f>
        <v/>
      </c>
      <c r="L7020" s="24" t="str" cm="1">
        <f t="array" ref="L7020">IFERROR(IF($B7020=L$1, ($A7020+$C7020) - MAX(IF($B$2:$B7019=$B7020, $A$2:$A7019+$C$2:$C7019)), "")*24*60, "")</f>
        <v/>
      </c>
      <c r="M7020" s="24" t="str" cm="1">
        <f t="array" ref="M7020">IFERROR(IF($B7020=M$1, ($A7020+$C7020) - MAX(IF($B$2:$B7019=$B7020, $A$2:$A7019+$C$2:$C7019)), "")*24*60, "")</f>
        <v/>
      </c>
      <c r="N7020" s="24" t="str" cm="1">
        <f t="array" ref="N7020">IFERROR(IF($B7020=N$1, ($A7020+$C7020) - MAX(IF($B$2:$B7019=$B7020, $A$2:$A7019+$C$2:$C7019)), "")*24*60, "")</f>
        <v/>
      </c>
      <c r="O7020" s="24" cm="1">
        <f t="array" ref="O7020">IFERROR(IF($B7020=O$1, ($A7020+$C7020) - MAX(IF($B$2:$B7019=$B7020, $A$2:$A7019+$C$2:$C7019)), "")*24*60, "")</f>
        <v>0</v>
      </c>
      <c r="P7020" s="24" t="str" cm="1">
        <f t="array" ref="P7020">IFERROR(IF($B7020=P$1, ($A7020+$C7020) - MAX(IF($B$2:$B7019=$B7020, $A$2:$A7019+$C$2:$C7019)), "")*24*60, "")</f>
        <v/>
      </c>
      <c r="Q7020" s="24" t="str" cm="1">
        <f t="array" ref="Q7020">IFERROR(IF($B7020=Q$1, ($A7020+$C7020) - MAX(IF($B$2:$B7019=$B7020, $A$2:$A7019+$C$2:$C7019)), "")*24*60, "")</f>
        <v/>
      </c>
      <c r="R7020" s="24" t="str" cm="1">
        <f t="array" ref="R7020">IFERROR(IF($B7020=R$1, ($A7020+$C7020) - MAX(IF($B$2:$B7019=$B7020, $A$2:$A7019+$C$2:$C7019)), "")*24*60, "")</f>
        <v/>
      </c>
      <c r="S7020" s="24" t="str" cm="1">
        <f t="array" ref="S7020">IFERROR(IF($B7020=S$1, ($A7020+$C7020) - MAX(IF($B$2:$B7019=$B7020, $A$2:$A7019+$C$2:$C7019)), "")*24*60, "")</f>
        <v/>
      </c>
    </row>
    <row r="7021" spans="1:19" x14ac:dyDescent="0.2">
      <c r="A7021" s="12">
        <f t="shared" ref="A7021:C7021" si="1368">A7020</f>
        <v>45996</v>
      </c>
      <c r="B7021" s="5" t="str">
        <f t="shared" si="1368"/>
        <v>Mourning Dove</v>
      </c>
      <c r="C7021" s="6">
        <f t="shared" si="1368"/>
        <v>0.4826388888888889</v>
      </c>
      <c r="D7021" s="5"/>
      <c r="E7021" s="5"/>
      <c r="F7021" s="5" t="s">
        <v>22</v>
      </c>
      <c r="G7021" s="15" t="s">
        <v>22</v>
      </c>
      <c r="H7021" s="24">
        <f t="shared" si="1347"/>
        <v>0</v>
      </c>
      <c r="I7021" s="24" t="str" cm="1">
        <f t="array" ref="I7021">IFERROR(IF($B7021=I$1, ($A7021+$C7021) - MAX(IF($B$2:$B7020=$B7021, $A$2:$A7020+$C$2:$C7020)), "")*24*60, "")</f>
        <v/>
      </c>
      <c r="J7021" s="24" t="str" cm="1">
        <f t="array" ref="J7021">IFERROR(IF($B7021=J$1, ($A7021+$C7021) - MAX(IF($B$2:$B7020=$B7021, $A$2:$A7020+$C$2:$C7020)), "")*24*60, "")</f>
        <v/>
      </c>
      <c r="K7021" s="24" t="str" cm="1">
        <f t="array" ref="K7021">IFERROR(IF($B7021=K$1, ($A7021+$C7021) - MAX(IF($B$2:$B7020=$B7021, $A$2:$A7020+$C$2:$C7020)), "")*24*60, "")</f>
        <v/>
      </c>
      <c r="L7021" s="24" t="str" cm="1">
        <f t="array" ref="L7021">IFERROR(IF($B7021=L$1, ($A7021+$C7021) - MAX(IF($B$2:$B7020=$B7021, $A$2:$A7020+$C$2:$C7020)), "")*24*60, "")</f>
        <v/>
      </c>
      <c r="M7021" s="24" t="str" cm="1">
        <f t="array" ref="M7021">IFERROR(IF($B7021=M$1, ($A7021+$C7021) - MAX(IF($B$2:$B7020=$B7021, $A$2:$A7020+$C$2:$C7020)), "")*24*60, "")</f>
        <v/>
      </c>
      <c r="N7021" s="24" t="str" cm="1">
        <f t="array" ref="N7021">IFERROR(IF($B7021=N$1, ($A7021+$C7021) - MAX(IF($B$2:$B7020=$B7021, $A$2:$A7020+$C$2:$C7020)), "")*24*60, "")</f>
        <v/>
      </c>
      <c r="O7021" s="24" cm="1">
        <f t="array" ref="O7021">IFERROR(IF($B7021=O$1, ($A7021+$C7021) - MAX(IF($B$2:$B7020=$B7021, $A$2:$A7020+$C$2:$C7020)), "")*24*60, "")</f>
        <v>0</v>
      </c>
      <c r="P7021" s="24" t="str" cm="1">
        <f t="array" ref="P7021">IFERROR(IF($B7021=P$1, ($A7021+$C7021) - MAX(IF($B$2:$B7020=$B7021, $A$2:$A7020+$C$2:$C7020)), "")*24*60, "")</f>
        <v/>
      </c>
      <c r="Q7021" s="24" t="str" cm="1">
        <f t="array" ref="Q7021">IFERROR(IF($B7021=Q$1, ($A7021+$C7021) - MAX(IF($B$2:$B7020=$B7021, $A$2:$A7020+$C$2:$C7020)), "")*24*60, "")</f>
        <v/>
      </c>
      <c r="R7021" s="24" t="str" cm="1">
        <f t="array" ref="R7021">IFERROR(IF($B7021=R$1, ($A7021+$C7021) - MAX(IF($B$2:$B7020=$B7021, $A$2:$A7020+$C$2:$C7020)), "")*24*60, "")</f>
        <v/>
      </c>
      <c r="S7021" s="24" t="str" cm="1">
        <f t="array" ref="S7021">IFERROR(IF($B7021=S$1, ($A7021+$C7021) - MAX(IF($B$2:$B7020=$B7021, $A$2:$A7020+$C$2:$C7020)), "")*24*60, "")</f>
        <v/>
      </c>
    </row>
    <row r="7022" spans="1:19" x14ac:dyDescent="0.2">
      <c r="A7022" s="12">
        <f t="shared" ref="A7022:C7022" si="1369">A7021</f>
        <v>45996</v>
      </c>
      <c r="B7022" s="5" t="str">
        <f t="shared" si="1369"/>
        <v>Mourning Dove</v>
      </c>
      <c r="C7022" s="6">
        <f t="shared" si="1369"/>
        <v>0.4826388888888889</v>
      </c>
      <c r="D7022" s="5"/>
      <c r="E7022" s="5"/>
      <c r="F7022" s="5" t="s">
        <v>22</v>
      </c>
      <c r="G7022" s="15" t="s">
        <v>22</v>
      </c>
      <c r="H7022" s="24">
        <f t="shared" si="1347"/>
        <v>0</v>
      </c>
      <c r="I7022" s="24" t="str" cm="1">
        <f t="array" ref="I7022">IFERROR(IF($B7022=I$1, ($A7022+$C7022) - MAX(IF($B$2:$B7021=$B7022, $A$2:$A7021+$C$2:$C7021)), "")*24*60, "")</f>
        <v/>
      </c>
      <c r="J7022" s="24" t="str" cm="1">
        <f t="array" ref="J7022">IFERROR(IF($B7022=J$1, ($A7022+$C7022) - MAX(IF($B$2:$B7021=$B7022, $A$2:$A7021+$C$2:$C7021)), "")*24*60, "")</f>
        <v/>
      </c>
      <c r="K7022" s="24" t="str" cm="1">
        <f t="array" ref="K7022">IFERROR(IF($B7022=K$1, ($A7022+$C7022) - MAX(IF($B$2:$B7021=$B7022, $A$2:$A7021+$C$2:$C7021)), "")*24*60, "")</f>
        <v/>
      </c>
      <c r="L7022" s="24" t="str" cm="1">
        <f t="array" ref="L7022">IFERROR(IF($B7022=L$1, ($A7022+$C7022) - MAX(IF($B$2:$B7021=$B7022, $A$2:$A7021+$C$2:$C7021)), "")*24*60, "")</f>
        <v/>
      </c>
      <c r="M7022" s="24" t="str" cm="1">
        <f t="array" ref="M7022">IFERROR(IF($B7022=M$1, ($A7022+$C7022) - MAX(IF($B$2:$B7021=$B7022, $A$2:$A7021+$C$2:$C7021)), "")*24*60, "")</f>
        <v/>
      </c>
      <c r="N7022" s="24" t="str" cm="1">
        <f t="array" ref="N7022">IFERROR(IF($B7022=N$1, ($A7022+$C7022) - MAX(IF($B$2:$B7021=$B7022, $A$2:$A7021+$C$2:$C7021)), "")*24*60, "")</f>
        <v/>
      </c>
      <c r="O7022" s="24" cm="1">
        <f t="array" ref="O7022">IFERROR(IF($B7022=O$1, ($A7022+$C7022) - MAX(IF($B$2:$B7021=$B7022, $A$2:$A7021+$C$2:$C7021)), "")*24*60, "")</f>
        <v>0</v>
      </c>
      <c r="P7022" s="24" t="str" cm="1">
        <f t="array" ref="P7022">IFERROR(IF($B7022=P$1, ($A7022+$C7022) - MAX(IF($B$2:$B7021=$B7022, $A$2:$A7021+$C$2:$C7021)), "")*24*60, "")</f>
        <v/>
      </c>
      <c r="Q7022" s="24" t="str" cm="1">
        <f t="array" ref="Q7022">IFERROR(IF($B7022=Q$1, ($A7022+$C7022) - MAX(IF($B$2:$B7021=$B7022, $A$2:$A7021+$C$2:$C7021)), "")*24*60, "")</f>
        <v/>
      </c>
      <c r="R7022" s="24" t="str" cm="1">
        <f t="array" ref="R7022">IFERROR(IF($B7022=R$1, ($A7022+$C7022) - MAX(IF($B$2:$B7021=$B7022, $A$2:$A7021+$C$2:$C7021)), "")*24*60, "")</f>
        <v/>
      </c>
      <c r="S7022" s="24" t="str" cm="1">
        <f t="array" ref="S7022">IFERROR(IF($B7022=S$1, ($A7022+$C7022) - MAX(IF($B$2:$B7021=$B7022, $A$2:$A7021+$C$2:$C7021)), "")*24*60, "")</f>
        <v/>
      </c>
    </row>
    <row r="7023" spans="1:19" x14ac:dyDescent="0.2">
      <c r="A7023" s="12">
        <f t="shared" ref="A7023:C7023" si="1370">A7022</f>
        <v>45996</v>
      </c>
      <c r="B7023" s="5" t="str">
        <f t="shared" si="1370"/>
        <v>Mourning Dove</v>
      </c>
      <c r="C7023" s="6">
        <f t="shared" si="1370"/>
        <v>0.4826388888888889</v>
      </c>
      <c r="D7023" s="5"/>
      <c r="E7023" s="5"/>
      <c r="F7023" s="5" t="s">
        <v>22</v>
      </c>
      <c r="G7023" s="15" t="s">
        <v>22</v>
      </c>
      <c r="H7023" s="24">
        <f t="shared" si="1347"/>
        <v>0</v>
      </c>
      <c r="I7023" s="24" t="str" cm="1">
        <f t="array" ref="I7023">IFERROR(IF($B7023=I$1, ($A7023+$C7023) - MAX(IF($B$2:$B7022=$B7023, $A$2:$A7022+$C$2:$C7022)), "")*24*60, "")</f>
        <v/>
      </c>
      <c r="J7023" s="24" t="str" cm="1">
        <f t="array" ref="J7023">IFERROR(IF($B7023=J$1, ($A7023+$C7023) - MAX(IF($B$2:$B7022=$B7023, $A$2:$A7022+$C$2:$C7022)), "")*24*60, "")</f>
        <v/>
      </c>
      <c r="K7023" s="24" t="str" cm="1">
        <f t="array" ref="K7023">IFERROR(IF($B7023=K$1, ($A7023+$C7023) - MAX(IF($B$2:$B7022=$B7023, $A$2:$A7022+$C$2:$C7022)), "")*24*60, "")</f>
        <v/>
      </c>
      <c r="L7023" s="24" t="str" cm="1">
        <f t="array" ref="L7023">IFERROR(IF($B7023=L$1, ($A7023+$C7023) - MAX(IF($B$2:$B7022=$B7023, $A$2:$A7022+$C$2:$C7022)), "")*24*60, "")</f>
        <v/>
      </c>
      <c r="M7023" s="24" t="str" cm="1">
        <f t="array" ref="M7023">IFERROR(IF($B7023=M$1, ($A7023+$C7023) - MAX(IF($B$2:$B7022=$B7023, $A$2:$A7022+$C$2:$C7022)), "")*24*60, "")</f>
        <v/>
      </c>
      <c r="N7023" s="24" t="str" cm="1">
        <f t="array" ref="N7023">IFERROR(IF($B7023=N$1, ($A7023+$C7023) - MAX(IF($B$2:$B7022=$B7023, $A$2:$A7022+$C$2:$C7022)), "")*24*60, "")</f>
        <v/>
      </c>
      <c r="O7023" s="24" cm="1">
        <f t="array" ref="O7023">IFERROR(IF($B7023=O$1, ($A7023+$C7023) - MAX(IF($B$2:$B7022=$B7023, $A$2:$A7022+$C$2:$C7022)), "")*24*60, "")</f>
        <v>0</v>
      </c>
      <c r="P7023" s="24" t="str" cm="1">
        <f t="array" ref="P7023">IFERROR(IF($B7023=P$1, ($A7023+$C7023) - MAX(IF($B$2:$B7022=$B7023, $A$2:$A7022+$C$2:$C7022)), "")*24*60, "")</f>
        <v/>
      </c>
      <c r="Q7023" s="24" t="str" cm="1">
        <f t="array" ref="Q7023">IFERROR(IF($B7023=Q$1, ($A7023+$C7023) - MAX(IF($B$2:$B7022=$B7023, $A$2:$A7022+$C$2:$C7022)), "")*24*60, "")</f>
        <v/>
      </c>
      <c r="R7023" s="24" t="str" cm="1">
        <f t="array" ref="R7023">IFERROR(IF($B7023=R$1, ($A7023+$C7023) - MAX(IF($B$2:$B7022=$B7023, $A$2:$A7022+$C$2:$C7022)), "")*24*60, "")</f>
        <v/>
      </c>
      <c r="S7023" s="24" t="str" cm="1">
        <f t="array" ref="S7023">IFERROR(IF($B7023=S$1, ($A7023+$C7023) - MAX(IF($B$2:$B7022=$B7023, $A$2:$A7022+$C$2:$C7022)), "")*24*60, "")</f>
        <v/>
      </c>
    </row>
    <row r="7024" spans="1:19" x14ac:dyDescent="0.2">
      <c r="A7024" s="12">
        <f t="shared" ref="A7024:C7024" si="1371">A7023</f>
        <v>45996</v>
      </c>
      <c r="B7024" s="5" t="str">
        <f t="shared" si="1371"/>
        <v>Mourning Dove</v>
      </c>
      <c r="C7024" s="6">
        <f t="shared" si="1371"/>
        <v>0.4826388888888889</v>
      </c>
      <c r="D7024" s="5"/>
      <c r="E7024" s="5"/>
      <c r="F7024" s="5" t="s">
        <v>22</v>
      </c>
      <c r="G7024" s="15" t="s">
        <v>22</v>
      </c>
      <c r="H7024" s="24">
        <f t="shared" si="1347"/>
        <v>0</v>
      </c>
      <c r="I7024" s="24" t="str" cm="1">
        <f t="array" ref="I7024">IFERROR(IF($B7024=I$1, ($A7024+$C7024) - MAX(IF($B$2:$B7023=$B7024, $A$2:$A7023+$C$2:$C7023)), "")*24*60, "")</f>
        <v/>
      </c>
      <c r="J7024" s="24" t="str" cm="1">
        <f t="array" ref="J7024">IFERROR(IF($B7024=J$1, ($A7024+$C7024) - MAX(IF($B$2:$B7023=$B7024, $A$2:$A7023+$C$2:$C7023)), "")*24*60, "")</f>
        <v/>
      </c>
      <c r="K7024" s="24" t="str" cm="1">
        <f t="array" ref="K7024">IFERROR(IF($B7024=K$1, ($A7024+$C7024) - MAX(IF($B$2:$B7023=$B7024, $A$2:$A7023+$C$2:$C7023)), "")*24*60, "")</f>
        <v/>
      </c>
      <c r="L7024" s="24" t="str" cm="1">
        <f t="array" ref="L7024">IFERROR(IF($B7024=L$1, ($A7024+$C7024) - MAX(IF($B$2:$B7023=$B7024, $A$2:$A7023+$C$2:$C7023)), "")*24*60, "")</f>
        <v/>
      </c>
      <c r="M7024" s="24" t="str" cm="1">
        <f t="array" ref="M7024">IFERROR(IF($B7024=M$1, ($A7024+$C7024) - MAX(IF($B$2:$B7023=$B7024, $A$2:$A7023+$C$2:$C7023)), "")*24*60, "")</f>
        <v/>
      </c>
      <c r="N7024" s="24" t="str" cm="1">
        <f t="array" ref="N7024">IFERROR(IF($B7024=N$1, ($A7024+$C7024) - MAX(IF($B$2:$B7023=$B7024, $A$2:$A7023+$C$2:$C7023)), "")*24*60, "")</f>
        <v/>
      </c>
      <c r="O7024" s="24" cm="1">
        <f t="array" ref="O7024">IFERROR(IF($B7024=O$1, ($A7024+$C7024) - MAX(IF($B$2:$B7023=$B7024, $A$2:$A7023+$C$2:$C7023)), "")*24*60, "")</f>
        <v>0</v>
      </c>
      <c r="P7024" s="24" t="str" cm="1">
        <f t="array" ref="P7024">IFERROR(IF($B7024=P$1, ($A7024+$C7024) - MAX(IF($B$2:$B7023=$B7024, $A$2:$A7023+$C$2:$C7023)), "")*24*60, "")</f>
        <v/>
      </c>
      <c r="Q7024" s="24" t="str" cm="1">
        <f t="array" ref="Q7024">IFERROR(IF($B7024=Q$1, ($A7024+$C7024) - MAX(IF($B$2:$B7023=$B7024, $A$2:$A7023+$C$2:$C7023)), "")*24*60, "")</f>
        <v/>
      </c>
      <c r="R7024" s="24" t="str" cm="1">
        <f t="array" ref="R7024">IFERROR(IF($B7024=R$1, ($A7024+$C7024) - MAX(IF($B$2:$B7023=$B7024, $A$2:$A7023+$C$2:$C7023)), "")*24*60, "")</f>
        <v/>
      </c>
      <c r="S7024" s="24" t="str" cm="1">
        <f t="array" ref="S7024">IFERROR(IF($B7024=S$1, ($A7024+$C7024) - MAX(IF($B$2:$B7023=$B7024, $A$2:$A7023+$C$2:$C7023)), "")*24*60, "")</f>
        <v/>
      </c>
    </row>
    <row r="7025" spans="1:19" x14ac:dyDescent="0.2">
      <c r="A7025" s="12">
        <f t="shared" ref="A7025:C7025" si="1372">A7024</f>
        <v>45996</v>
      </c>
      <c r="B7025" s="5" t="str">
        <f t="shared" si="1372"/>
        <v>Mourning Dove</v>
      </c>
      <c r="C7025" s="6">
        <f t="shared" si="1372"/>
        <v>0.4826388888888889</v>
      </c>
      <c r="D7025" s="5"/>
      <c r="E7025" s="5"/>
      <c r="F7025" s="5" t="s">
        <v>22</v>
      </c>
      <c r="G7025" s="15" t="s">
        <v>22</v>
      </c>
      <c r="H7025" s="24">
        <f t="shared" si="1347"/>
        <v>0</v>
      </c>
      <c r="I7025" s="24" t="str" cm="1">
        <f t="array" ref="I7025">IFERROR(IF($B7025=I$1, ($A7025+$C7025) - MAX(IF($B$2:$B7024=$B7025, $A$2:$A7024+$C$2:$C7024)), "")*24*60, "")</f>
        <v/>
      </c>
      <c r="J7025" s="24" t="str" cm="1">
        <f t="array" ref="J7025">IFERROR(IF($B7025=J$1, ($A7025+$C7025) - MAX(IF($B$2:$B7024=$B7025, $A$2:$A7024+$C$2:$C7024)), "")*24*60, "")</f>
        <v/>
      </c>
      <c r="K7025" s="24" t="str" cm="1">
        <f t="array" ref="K7025">IFERROR(IF($B7025=K$1, ($A7025+$C7025) - MAX(IF($B$2:$B7024=$B7025, $A$2:$A7024+$C$2:$C7024)), "")*24*60, "")</f>
        <v/>
      </c>
      <c r="L7025" s="24" t="str" cm="1">
        <f t="array" ref="L7025">IFERROR(IF($B7025=L$1, ($A7025+$C7025) - MAX(IF($B$2:$B7024=$B7025, $A$2:$A7024+$C$2:$C7024)), "")*24*60, "")</f>
        <v/>
      </c>
      <c r="M7025" s="24" t="str" cm="1">
        <f t="array" ref="M7025">IFERROR(IF($B7025=M$1, ($A7025+$C7025) - MAX(IF($B$2:$B7024=$B7025, $A$2:$A7024+$C$2:$C7024)), "")*24*60, "")</f>
        <v/>
      </c>
      <c r="N7025" s="24" t="str" cm="1">
        <f t="array" ref="N7025">IFERROR(IF($B7025=N$1, ($A7025+$C7025) - MAX(IF($B$2:$B7024=$B7025, $A$2:$A7024+$C$2:$C7024)), "")*24*60, "")</f>
        <v/>
      </c>
      <c r="O7025" s="24" cm="1">
        <f t="array" ref="O7025">IFERROR(IF($B7025=O$1, ($A7025+$C7025) - MAX(IF($B$2:$B7024=$B7025, $A$2:$A7024+$C$2:$C7024)), "")*24*60, "")</f>
        <v>0</v>
      </c>
      <c r="P7025" s="24" t="str" cm="1">
        <f t="array" ref="P7025">IFERROR(IF($B7025=P$1, ($A7025+$C7025) - MAX(IF($B$2:$B7024=$B7025, $A$2:$A7024+$C$2:$C7024)), "")*24*60, "")</f>
        <v/>
      </c>
      <c r="Q7025" s="24" t="str" cm="1">
        <f t="array" ref="Q7025">IFERROR(IF($B7025=Q$1, ($A7025+$C7025) - MAX(IF($B$2:$B7024=$B7025, $A$2:$A7024+$C$2:$C7024)), "")*24*60, "")</f>
        <v/>
      </c>
      <c r="R7025" s="24" t="str" cm="1">
        <f t="array" ref="R7025">IFERROR(IF($B7025=R$1, ($A7025+$C7025) - MAX(IF($B$2:$B7024=$B7025, $A$2:$A7024+$C$2:$C7024)), "")*24*60, "")</f>
        <v/>
      </c>
      <c r="S7025" s="24" t="str" cm="1">
        <f t="array" ref="S7025">IFERROR(IF($B7025=S$1, ($A7025+$C7025) - MAX(IF($B$2:$B7024=$B7025, $A$2:$A7024+$C$2:$C7024)), "")*24*60, "")</f>
        <v/>
      </c>
    </row>
    <row r="7026" spans="1:19" x14ac:dyDescent="0.2">
      <c r="A7026" s="12">
        <f t="shared" ref="A7026:C7026" si="1373">A7025</f>
        <v>45996</v>
      </c>
      <c r="B7026" s="5" t="str">
        <f t="shared" si="1373"/>
        <v>Mourning Dove</v>
      </c>
      <c r="C7026" s="6">
        <f t="shared" si="1373"/>
        <v>0.4826388888888889</v>
      </c>
      <c r="D7026" s="5"/>
      <c r="E7026" s="5"/>
      <c r="F7026" s="5" t="s">
        <v>22</v>
      </c>
      <c r="G7026" s="15" t="s">
        <v>22</v>
      </c>
      <c r="H7026" s="24">
        <f t="shared" si="1347"/>
        <v>0</v>
      </c>
      <c r="I7026" s="24" t="str" cm="1">
        <f t="array" ref="I7026">IFERROR(IF($B7026=I$1, ($A7026+$C7026) - MAX(IF($B$2:$B7025=$B7026, $A$2:$A7025+$C$2:$C7025)), "")*24*60, "")</f>
        <v/>
      </c>
      <c r="J7026" s="24" t="str" cm="1">
        <f t="array" ref="J7026">IFERROR(IF($B7026=J$1, ($A7026+$C7026) - MAX(IF($B$2:$B7025=$B7026, $A$2:$A7025+$C$2:$C7025)), "")*24*60, "")</f>
        <v/>
      </c>
      <c r="K7026" s="24" t="str" cm="1">
        <f t="array" ref="K7026">IFERROR(IF($B7026=K$1, ($A7026+$C7026) - MAX(IF($B$2:$B7025=$B7026, $A$2:$A7025+$C$2:$C7025)), "")*24*60, "")</f>
        <v/>
      </c>
      <c r="L7026" s="24" t="str" cm="1">
        <f t="array" ref="L7026">IFERROR(IF($B7026=L$1, ($A7026+$C7026) - MAX(IF($B$2:$B7025=$B7026, $A$2:$A7025+$C$2:$C7025)), "")*24*60, "")</f>
        <v/>
      </c>
      <c r="M7026" s="24" t="str" cm="1">
        <f t="array" ref="M7026">IFERROR(IF($B7026=M$1, ($A7026+$C7026) - MAX(IF($B$2:$B7025=$B7026, $A$2:$A7025+$C$2:$C7025)), "")*24*60, "")</f>
        <v/>
      </c>
      <c r="N7026" s="24" t="str" cm="1">
        <f t="array" ref="N7026">IFERROR(IF($B7026=N$1, ($A7026+$C7026) - MAX(IF($B$2:$B7025=$B7026, $A$2:$A7025+$C$2:$C7025)), "")*24*60, "")</f>
        <v/>
      </c>
      <c r="O7026" s="24" cm="1">
        <f t="array" ref="O7026">IFERROR(IF($B7026=O$1, ($A7026+$C7026) - MAX(IF($B$2:$B7025=$B7026, $A$2:$A7025+$C$2:$C7025)), "")*24*60, "")</f>
        <v>0</v>
      </c>
      <c r="P7026" s="24" t="str" cm="1">
        <f t="array" ref="P7026">IFERROR(IF($B7026=P$1, ($A7026+$C7026) - MAX(IF($B$2:$B7025=$B7026, $A$2:$A7025+$C$2:$C7025)), "")*24*60, "")</f>
        <v/>
      </c>
      <c r="Q7026" s="24" t="str" cm="1">
        <f t="array" ref="Q7026">IFERROR(IF($B7026=Q$1, ($A7026+$C7026) - MAX(IF($B$2:$B7025=$B7026, $A$2:$A7025+$C$2:$C7025)), "")*24*60, "")</f>
        <v/>
      </c>
      <c r="R7026" s="24" t="str" cm="1">
        <f t="array" ref="R7026">IFERROR(IF($B7026=R$1, ($A7026+$C7026) - MAX(IF($B$2:$B7025=$B7026, $A$2:$A7025+$C$2:$C7025)), "")*24*60, "")</f>
        <v/>
      </c>
      <c r="S7026" s="24" t="str" cm="1">
        <f t="array" ref="S7026">IFERROR(IF($B7026=S$1, ($A7026+$C7026) - MAX(IF($B$2:$B7025=$B7026, $A$2:$A7025+$C$2:$C7025)), "")*24*60, "")</f>
        <v/>
      </c>
    </row>
    <row r="7027" spans="1:19" x14ac:dyDescent="0.2">
      <c r="A7027" s="12">
        <f t="shared" ref="A7027:C7027" si="1374">A7026</f>
        <v>45996</v>
      </c>
      <c r="B7027" s="5" t="str">
        <f t="shared" si="1374"/>
        <v>Mourning Dove</v>
      </c>
      <c r="C7027" s="6">
        <f t="shared" si="1374"/>
        <v>0.4826388888888889</v>
      </c>
      <c r="D7027" s="5"/>
      <c r="E7027" s="5"/>
      <c r="F7027" s="5" t="s">
        <v>22</v>
      </c>
      <c r="G7027" s="15" t="s">
        <v>22</v>
      </c>
      <c r="H7027" s="24">
        <f t="shared" si="1347"/>
        <v>0</v>
      </c>
      <c r="I7027" s="24" t="str" cm="1">
        <f t="array" ref="I7027">IFERROR(IF($B7027=I$1, ($A7027+$C7027) - MAX(IF($B$2:$B7026=$B7027, $A$2:$A7026+$C$2:$C7026)), "")*24*60, "")</f>
        <v/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cm="1">
        <f t="array" ref="O7027">IFERROR(IF($B7027=O$1, ($A7027+$C7027) - MAX(IF($B$2:$B7026=$B7027, $A$2:$A7026+$C$2:$C7026)), "")*24*60, "")</f>
        <v>0</v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ref="A7028:C7028" si="1375">A7027</f>
        <v>45996</v>
      </c>
      <c r="B7028" s="5" t="str">
        <f t="shared" si="1375"/>
        <v>Mourning Dove</v>
      </c>
      <c r="C7028" s="6">
        <f t="shared" si="1375"/>
        <v>0.4826388888888889</v>
      </c>
      <c r="D7028" s="5"/>
      <c r="E7028" s="5"/>
      <c r="F7028" s="5" t="s">
        <v>22</v>
      </c>
      <c r="G7028" s="15" t="s">
        <v>22</v>
      </c>
      <c r="H7028" s="24">
        <f t="shared" si="1347"/>
        <v>0</v>
      </c>
      <c r="I7028" s="24" t="str" cm="1">
        <f t="array" ref="I7028">IFERROR(IF($B7028=I$1, ($A7028+$C7028) - MAX(IF($B$2:$B7027=$B7028, $A$2:$A7027+$C$2:$C7027)), "")*24*60, "")</f>
        <v/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cm="1">
        <f t="array" ref="O7028">IFERROR(IF($B7028=O$1, ($A7028+$C7028) - MAX(IF($B$2:$B7027=$B7028, $A$2:$A7027+$C$2:$C7027)), "")*24*60, "")</f>
        <v>0</v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ref="A7029:C7029" si="1376">A7028</f>
        <v>45996</v>
      </c>
      <c r="B7029" s="5" t="str">
        <f t="shared" si="1376"/>
        <v>Mourning Dove</v>
      </c>
      <c r="C7029" s="6">
        <f t="shared" si="1376"/>
        <v>0.4826388888888889</v>
      </c>
      <c r="D7029" s="5"/>
      <c r="E7029" s="5"/>
      <c r="F7029" s="5" t="s">
        <v>22</v>
      </c>
      <c r="G7029" s="15" t="s">
        <v>22</v>
      </c>
      <c r="H7029" s="24">
        <f t="shared" si="1347"/>
        <v>0</v>
      </c>
      <c r="I7029" s="24" t="str" cm="1">
        <f t="array" ref="I7029">IFERROR(IF($B7029=I$1, ($A7029+$C7029) - MAX(IF($B$2:$B7028=$B7029, $A$2:$A7028+$C$2:$C7028)), "")*24*60, "")</f>
        <v/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cm="1">
        <f t="array" ref="O7029">IFERROR(IF($B7029=O$1, ($A7029+$C7029) - MAX(IF($B$2:$B7028=$B7029, $A$2:$A7028+$C$2:$C7028)), "")*24*60, "")</f>
        <v>0</v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ref="A7030:C7030" si="1377">A7029</f>
        <v>45996</v>
      </c>
      <c r="B7030" s="5" t="str">
        <f t="shared" si="1377"/>
        <v>Mourning Dove</v>
      </c>
      <c r="C7030" s="6">
        <f t="shared" si="1377"/>
        <v>0.4826388888888889</v>
      </c>
      <c r="D7030" s="5"/>
      <c r="E7030" s="5"/>
      <c r="F7030" s="5" t="s">
        <v>22</v>
      </c>
      <c r="G7030" s="15" t="s">
        <v>22</v>
      </c>
      <c r="H7030" s="24">
        <f t="shared" si="1347"/>
        <v>0</v>
      </c>
      <c r="I7030" s="24" t="str" cm="1">
        <f t="array" ref="I7030">IFERROR(IF($B7030=I$1, ($A7030+$C7030) - MAX(IF($B$2:$B7029=$B7030, $A$2:$A7029+$C$2:$C7029)), "")*24*60, "")</f>
        <v/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cm="1">
        <f t="array" ref="O7030">IFERROR(IF($B7030=O$1, ($A7030+$C7030) - MAX(IF($B$2:$B7029=$B7030, $A$2:$A7029+$C$2:$C7029)), "")*24*60, "")</f>
        <v>0</v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ref="A7031:C7031" si="1378">A7030</f>
        <v>45996</v>
      </c>
      <c r="B7031" s="5" t="str">
        <f t="shared" si="1378"/>
        <v>Mourning Dove</v>
      </c>
      <c r="C7031" s="6">
        <f t="shared" si="1378"/>
        <v>0.4826388888888889</v>
      </c>
      <c r="D7031" s="5"/>
      <c r="E7031" s="5"/>
      <c r="F7031" s="5" t="s">
        <v>22</v>
      </c>
      <c r="G7031" s="15" t="s">
        <v>22</v>
      </c>
      <c r="H7031" s="24">
        <f t="shared" si="1347"/>
        <v>0</v>
      </c>
      <c r="I7031" s="24" t="str" cm="1">
        <f t="array" ref="I7031">IFERROR(IF($B7031=I$1, ($A7031+$C7031) - MAX(IF($B$2:$B7030=$B7031, $A$2:$A7030+$C$2:$C7030)), "")*24*60, "")</f>
        <v/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cm="1">
        <f t="array" ref="O7031">IFERROR(IF($B7031=O$1, ($A7031+$C7031) - MAX(IF($B$2:$B7030=$B7031, $A$2:$A7030+$C$2:$C7030)), "")*24*60, "")</f>
        <v>0</v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ref="A7032:C7032" si="1379">A7031</f>
        <v>45996</v>
      </c>
      <c r="B7032" s="5" t="str">
        <f t="shared" si="1379"/>
        <v>Mourning Dove</v>
      </c>
      <c r="C7032" s="6">
        <f t="shared" si="1379"/>
        <v>0.4826388888888889</v>
      </c>
      <c r="D7032" s="5"/>
      <c r="E7032" s="5"/>
      <c r="F7032" s="5" t="s">
        <v>22</v>
      </c>
      <c r="G7032" s="15" t="s">
        <v>22</v>
      </c>
      <c r="H7032" s="24">
        <f t="shared" si="1347"/>
        <v>0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0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ref="A7033:C7033" si="1380">A7032</f>
        <v>45996</v>
      </c>
      <c r="B7033" s="5" t="str">
        <f t="shared" si="1380"/>
        <v>Mourning Dove</v>
      </c>
      <c r="C7033" s="6">
        <f t="shared" si="1380"/>
        <v>0.4826388888888889</v>
      </c>
      <c r="D7033" s="5"/>
      <c r="E7033" s="5"/>
      <c r="F7033" s="5" t="s">
        <v>22</v>
      </c>
      <c r="G7033" s="15" t="s">
        <v>22</v>
      </c>
      <c r="H7033" s="24">
        <f t="shared" si="1347"/>
        <v>0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ref="A7034:C7034" si="1381">A7033</f>
        <v>45996</v>
      </c>
      <c r="B7034" s="5" t="str">
        <f t="shared" si="1381"/>
        <v>Mourning Dove</v>
      </c>
      <c r="C7034" s="6">
        <f t="shared" si="1381"/>
        <v>0.4826388888888889</v>
      </c>
      <c r="D7034" s="5"/>
      <c r="E7034" s="5"/>
      <c r="F7034" s="5" t="s">
        <v>22</v>
      </c>
      <c r="G7034" s="15" t="s">
        <v>22</v>
      </c>
      <c r="H7034" s="24">
        <f t="shared" si="1347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ref="A7035:C7035" si="1382">A7034</f>
        <v>45996</v>
      </c>
      <c r="B7035" s="5" t="str">
        <f t="shared" si="1382"/>
        <v>Mourning Dove</v>
      </c>
      <c r="C7035" s="6">
        <f t="shared" si="1382"/>
        <v>0.4826388888888889</v>
      </c>
      <c r="D7035" s="5"/>
      <c r="E7035" s="5"/>
      <c r="F7035" s="5" t="s">
        <v>22</v>
      </c>
      <c r="G7035" s="15" t="s">
        <v>22</v>
      </c>
      <c r="H7035" s="24">
        <f t="shared" si="1347"/>
        <v>0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0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ref="A7036:C7036" si="1383">A7035</f>
        <v>45996</v>
      </c>
      <c r="B7036" s="5" t="str">
        <f t="shared" si="1383"/>
        <v>Mourning Dove</v>
      </c>
      <c r="C7036" s="6">
        <f t="shared" si="1383"/>
        <v>0.4826388888888889</v>
      </c>
      <c r="D7036" s="5"/>
      <c r="E7036" s="5"/>
      <c r="F7036" s="5" t="s">
        <v>22</v>
      </c>
      <c r="G7036" s="15" t="s">
        <v>22</v>
      </c>
      <c r="H7036" s="24">
        <f t="shared" si="1347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ref="A7037:C7037" si="1384">A7036</f>
        <v>45996</v>
      </c>
      <c r="B7037" s="5" t="str">
        <f t="shared" si="1384"/>
        <v>Mourning Dove</v>
      </c>
      <c r="C7037" s="6">
        <f t="shared" si="1384"/>
        <v>0.4826388888888889</v>
      </c>
      <c r="D7037" s="5"/>
      <c r="E7037" s="5"/>
      <c r="F7037" s="5" t="s">
        <v>22</v>
      </c>
      <c r="G7037" s="15" t="s">
        <v>22</v>
      </c>
      <c r="H7037" s="24">
        <f t="shared" si="1347"/>
        <v>0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0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ref="A7038:C7038" si="1385">A7037</f>
        <v>45996</v>
      </c>
      <c r="B7038" s="5" t="str">
        <f t="shared" si="1385"/>
        <v>Mourning Dove</v>
      </c>
      <c r="C7038" s="6">
        <f t="shared" si="1385"/>
        <v>0.4826388888888889</v>
      </c>
      <c r="D7038" s="5"/>
      <c r="E7038" s="5"/>
      <c r="F7038" s="5" t="s">
        <v>22</v>
      </c>
      <c r="G7038" s="15" t="s">
        <v>22</v>
      </c>
      <c r="H7038" s="24">
        <f t="shared" si="1347"/>
        <v>0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ref="A7039:C7039" si="1386">A7038</f>
        <v>45996</v>
      </c>
      <c r="B7039" s="5" t="str">
        <f t="shared" si="1386"/>
        <v>Mourning Dove</v>
      </c>
      <c r="C7039" s="6">
        <f t="shared" si="1386"/>
        <v>0.4826388888888889</v>
      </c>
      <c r="D7039" s="5"/>
      <c r="E7039" s="5"/>
      <c r="F7039" s="5" t="s">
        <v>22</v>
      </c>
      <c r="G7039" s="15" t="s">
        <v>22</v>
      </c>
      <c r="H7039" s="24">
        <f t="shared" si="1347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ref="A7040:C7040" si="1387">A7039</f>
        <v>45996</v>
      </c>
      <c r="B7040" s="5" t="str">
        <f t="shared" si="1387"/>
        <v>Mourning Dove</v>
      </c>
      <c r="C7040" s="6">
        <f t="shared" si="1387"/>
        <v>0.4826388888888889</v>
      </c>
      <c r="D7040" s="5"/>
      <c r="E7040" s="5"/>
      <c r="F7040" s="5" t="s">
        <v>22</v>
      </c>
      <c r="G7040" s="15" t="s">
        <v>22</v>
      </c>
      <c r="H7040" s="24">
        <f t="shared" si="1347"/>
        <v>0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0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ref="A7041:C7041" si="1388">A7040</f>
        <v>45996</v>
      </c>
      <c r="B7041" s="5" t="str">
        <f t="shared" si="1388"/>
        <v>Mourning Dove</v>
      </c>
      <c r="C7041" s="6">
        <f t="shared" si="1388"/>
        <v>0.4826388888888889</v>
      </c>
      <c r="D7041" s="5"/>
      <c r="E7041" s="5"/>
      <c r="F7041" s="5" t="s">
        <v>22</v>
      </c>
      <c r="G7041" s="15" t="s">
        <v>22</v>
      </c>
      <c r="H7041" s="24">
        <f t="shared" si="1347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ref="A7042:C7042" si="1389">A7041</f>
        <v>45996</v>
      </c>
      <c r="B7042" s="5" t="str">
        <f t="shared" si="1389"/>
        <v>Mourning Dove</v>
      </c>
      <c r="C7042" s="6">
        <f t="shared" si="1389"/>
        <v>0.4826388888888889</v>
      </c>
      <c r="D7042" s="5"/>
      <c r="E7042" s="5"/>
      <c r="F7042" s="5" t="s">
        <v>22</v>
      </c>
      <c r="G7042" s="15" t="s">
        <v>22</v>
      </c>
      <c r="H7042" s="24">
        <f t="shared" si="1347"/>
        <v>0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0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ref="A7043:C7043" si="1390">A7042</f>
        <v>45996</v>
      </c>
      <c r="B7043" s="5" t="str">
        <f t="shared" si="1390"/>
        <v>Mourning Dove</v>
      </c>
      <c r="C7043" s="6">
        <f t="shared" si="1390"/>
        <v>0.4826388888888889</v>
      </c>
      <c r="D7043" s="5"/>
      <c r="E7043" s="5"/>
      <c r="F7043" s="5" t="s">
        <v>22</v>
      </c>
      <c r="G7043" s="15" t="s">
        <v>22</v>
      </c>
      <c r="H7043" s="24">
        <f t="shared" si="1347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ref="A7044:C7044" si="1391">A7043</f>
        <v>45996</v>
      </c>
      <c r="B7044" s="5" t="str">
        <f t="shared" si="1391"/>
        <v>Mourning Dove</v>
      </c>
      <c r="C7044" s="6">
        <f t="shared" si="1391"/>
        <v>0.4826388888888889</v>
      </c>
      <c r="D7044" s="5"/>
      <c r="E7044" s="5"/>
      <c r="F7044" s="5" t="s">
        <v>22</v>
      </c>
      <c r="G7044" s="15" t="s">
        <v>22</v>
      </c>
      <c r="H7044" s="24">
        <f t="shared" si="1347"/>
        <v>0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0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ref="A7045:C7045" si="1392">A7044</f>
        <v>45996</v>
      </c>
      <c r="B7045" s="5" t="str">
        <f t="shared" si="1392"/>
        <v>Mourning Dove</v>
      </c>
      <c r="C7045" s="6">
        <f t="shared" si="1392"/>
        <v>0.4826388888888889</v>
      </c>
      <c r="D7045" s="5"/>
      <c r="E7045" s="5"/>
      <c r="F7045" s="5" t="s">
        <v>22</v>
      </c>
      <c r="G7045" s="15" t="s">
        <v>22</v>
      </c>
      <c r="H7045" s="24">
        <f t="shared" si="1347"/>
        <v>0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0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ref="A7046:C7046" si="1393">A7045</f>
        <v>45996</v>
      </c>
      <c r="B7046" s="5" t="str">
        <f t="shared" si="1393"/>
        <v>Mourning Dove</v>
      </c>
      <c r="C7046" s="6">
        <f t="shared" si="1393"/>
        <v>0.4826388888888889</v>
      </c>
      <c r="D7046" s="5"/>
      <c r="E7046" s="5"/>
      <c r="F7046" s="5" t="s">
        <v>22</v>
      </c>
      <c r="G7046" s="15" t="s">
        <v>22</v>
      </c>
      <c r="H7046" s="24">
        <f t="shared" si="1347"/>
        <v>0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0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ref="A7047:C7047" si="1394">A7046</f>
        <v>45996</v>
      </c>
      <c r="B7047" s="5" t="str">
        <f t="shared" si="1394"/>
        <v>Mourning Dove</v>
      </c>
      <c r="C7047" s="6">
        <f t="shared" si="1394"/>
        <v>0.4826388888888889</v>
      </c>
      <c r="D7047" s="5"/>
      <c r="E7047" s="5"/>
      <c r="F7047" s="5" t="s">
        <v>22</v>
      </c>
      <c r="G7047" s="15" t="s">
        <v>22</v>
      </c>
      <c r="H7047" s="24">
        <f t="shared" si="1347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ref="A7048:C7048" si="1395">A7047</f>
        <v>45996</v>
      </c>
      <c r="B7048" s="5" t="str">
        <f t="shared" si="1395"/>
        <v>Mourning Dove</v>
      </c>
      <c r="C7048" s="6">
        <f t="shared" si="1395"/>
        <v>0.4826388888888889</v>
      </c>
      <c r="D7048" s="5"/>
      <c r="E7048" s="5"/>
      <c r="F7048" s="5" t="s">
        <v>22</v>
      </c>
      <c r="G7048" s="15" t="s">
        <v>22</v>
      </c>
      <c r="H7048" s="24">
        <f t="shared" si="1347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ref="A7049:C7049" si="1396">A7048</f>
        <v>45996</v>
      </c>
      <c r="B7049" s="5" t="str">
        <f t="shared" si="1396"/>
        <v>Mourning Dove</v>
      </c>
      <c r="C7049" s="6">
        <f t="shared" si="1396"/>
        <v>0.4826388888888889</v>
      </c>
      <c r="D7049" s="5"/>
      <c r="E7049" s="5"/>
      <c r="F7049" s="5" t="s">
        <v>22</v>
      </c>
      <c r="G7049" s="15" t="s">
        <v>22</v>
      </c>
      <c r="H7049" s="24">
        <f t="shared" si="1347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ref="A7050:C7050" si="1397">A7049</f>
        <v>45996</v>
      </c>
      <c r="B7050" s="5" t="str">
        <f t="shared" si="1397"/>
        <v>Mourning Dove</v>
      </c>
      <c r="C7050" s="6">
        <f t="shared" si="1397"/>
        <v>0.4826388888888889</v>
      </c>
      <c r="D7050" s="5"/>
      <c r="E7050" s="5"/>
      <c r="F7050" s="5" t="s">
        <v>22</v>
      </c>
      <c r="G7050" s="15" t="s">
        <v>22</v>
      </c>
      <c r="H7050" s="24">
        <f t="shared" si="1347"/>
        <v>0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ref="A7051:C7051" si="1398">A7050</f>
        <v>45996</v>
      </c>
      <c r="B7051" s="5" t="str">
        <f t="shared" si="1398"/>
        <v>Mourning Dove</v>
      </c>
      <c r="C7051" s="6">
        <f t="shared" si="1398"/>
        <v>0.4826388888888889</v>
      </c>
      <c r="D7051" s="5"/>
      <c r="E7051" s="5"/>
      <c r="F7051" s="5" t="s">
        <v>22</v>
      </c>
      <c r="G7051" s="15" t="s">
        <v>22</v>
      </c>
      <c r="H7051" s="24">
        <f t="shared" si="1347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ref="A7052:C7052" si="1399">A7051</f>
        <v>45996</v>
      </c>
      <c r="B7052" s="5" t="str">
        <f t="shared" si="1399"/>
        <v>Mourning Dove</v>
      </c>
      <c r="C7052" s="6">
        <f t="shared" si="1399"/>
        <v>0.4826388888888889</v>
      </c>
      <c r="D7052" s="5"/>
      <c r="E7052" s="5"/>
      <c r="F7052" s="5" t="s">
        <v>22</v>
      </c>
      <c r="G7052" s="15" t="s">
        <v>22</v>
      </c>
      <c r="H7052" s="24">
        <f t="shared" si="1347"/>
        <v>0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0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ref="A7053:C7053" si="1400">A7052</f>
        <v>45996</v>
      </c>
      <c r="B7053" s="5" t="str">
        <f t="shared" si="1400"/>
        <v>Mourning Dove</v>
      </c>
      <c r="C7053" s="6">
        <f t="shared" si="1400"/>
        <v>0.4826388888888889</v>
      </c>
      <c r="D7053" s="5"/>
      <c r="E7053" s="5"/>
      <c r="F7053" s="5" t="s">
        <v>22</v>
      </c>
      <c r="G7053" s="15" t="s">
        <v>22</v>
      </c>
      <c r="H7053" s="24">
        <f t="shared" si="1347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ref="A7054:C7054" si="1401">A7053</f>
        <v>45996</v>
      </c>
      <c r="B7054" s="5" t="str">
        <f t="shared" si="1401"/>
        <v>Mourning Dove</v>
      </c>
      <c r="C7054" s="6">
        <f t="shared" si="1401"/>
        <v>0.4826388888888889</v>
      </c>
      <c r="D7054" s="5"/>
      <c r="E7054" s="5"/>
      <c r="F7054" s="5" t="s">
        <v>22</v>
      </c>
      <c r="G7054" s="15" t="s">
        <v>22</v>
      </c>
      <c r="H7054" s="24">
        <f t="shared" si="1347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ref="A7055:C7055" si="1402">A7054</f>
        <v>45996</v>
      </c>
      <c r="B7055" s="5" t="str">
        <f t="shared" si="1402"/>
        <v>Mourning Dove</v>
      </c>
      <c r="C7055" s="6">
        <f t="shared" si="1402"/>
        <v>0.4826388888888889</v>
      </c>
      <c r="D7055" s="5"/>
      <c r="E7055" s="5"/>
      <c r="F7055" s="5" t="s">
        <v>22</v>
      </c>
      <c r="G7055" s="15" t="s">
        <v>22</v>
      </c>
      <c r="H7055" s="24">
        <f t="shared" si="1347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ref="A7056:C7056" si="1403">A7055</f>
        <v>45996</v>
      </c>
      <c r="B7056" s="5" t="str">
        <f t="shared" si="1403"/>
        <v>Mourning Dove</v>
      </c>
      <c r="C7056" s="6">
        <f t="shared" si="1403"/>
        <v>0.4826388888888889</v>
      </c>
      <c r="D7056" s="5"/>
      <c r="E7056" s="5"/>
      <c r="F7056" s="5" t="s">
        <v>22</v>
      </c>
      <c r="G7056" s="15" t="s">
        <v>22</v>
      </c>
      <c r="H7056" s="24">
        <f t="shared" si="1347"/>
        <v>0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0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ref="A7057:C7057" si="1404">A7056</f>
        <v>45996</v>
      </c>
      <c r="B7057" s="5" t="str">
        <f t="shared" si="1404"/>
        <v>Mourning Dove</v>
      </c>
      <c r="C7057" s="6">
        <f t="shared" si="1404"/>
        <v>0.4826388888888889</v>
      </c>
      <c r="D7057" s="5"/>
      <c r="E7057" s="5"/>
      <c r="F7057" s="5" t="s">
        <v>22</v>
      </c>
      <c r="G7057" s="15" t="s">
        <v>22</v>
      </c>
      <c r="H7057" s="24">
        <f t="shared" si="1347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ref="A7058:C7058" si="1405">A7057</f>
        <v>45996</v>
      </c>
      <c r="B7058" s="5" t="str">
        <f t="shared" si="1405"/>
        <v>Mourning Dove</v>
      </c>
      <c r="C7058" s="6">
        <f t="shared" si="1405"/>
        <v>0.4826388888888889</v>
      </c>
      <c r="D7058" s="5"/>
      <c r="E7058" s="5"/>
      <c r="F7058" s="5" t="s">
        <v>22</v>
      </c>
      <c r="G7058" s="15" t="s">
        <v>22</v>
      </c>
      <c r="H7058" s="24">
        <f t="shared" si="1347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ref="A7059:C7059" si="1406">A7058</f>
        <v>45996</v>
      </c>
      <c r="B7059" s="5" t="str">
        <f t="shared" si="1406"/>
        <v>Mourning Dove</v>
      </c>
      <c r="C7059" s="6">
        <f t="shared" si="1406"/>
        <v>0.4826388888888889</v>
      </c>
      <c r="D7059" s="5"/>
      <c r="E7059" s="5"/>
      <c r="F7059" s="5" t="s">
        <v>22</v>
      </c>
      <c r="G7059" s="15" t="s">
        <v>22</v>
      </c>
      <c r="H7059" s="24">
        <f t="shared" si="1347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ref="A7060:C7060" si="1407">A7059</f>
        <v>45996</v>
      </c>
      <c r="B7060" s="5" t="str">
        <f t="shared" si="1407"/>
        <v>Mourning Dove</v>
      </c>
      <c r="C7060" s="6">
        <f t="shared" si="1407"/>
        <v>0.4826388888888889</v>
      </c>
      <c r="D7060" s="5"/>
      <c r="E7060" s="5"/>
      <c r="F7060" s="5" t="s">
        <v>22</v>
      </c>
      <c r="G7060" s="15" t="s">
        <v>22</v>
      </c>
      <c r="H7060" s="24">
        <f t="shared" si="1347"/>
        <v>0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ref="A7061:C7061" si="1408">A7060</f>
        <v>45996</v>
      </c>
      <c r="B7061" s="5" t="str">
        <f t="shared" si="1408"/>
        <v>Mourning Dove</v>
      </c>
      <c r="C7061" s="6">
        <f t="shared" si="1408"/>
        <v>0.4826388888888889</v>
      </c>
      <c r="D7061" s="5"/>
      <c r="E7061" s="5"/>
      <c r="F7061" s="5" t="s">
        <v>22</v>
      </c>
      <c r="G7061" s="15" t="s">
        <v>22</v>
      </c>
      <c r="H7061" s="24">
        <f t="shared" si="1347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ref="A7062:C7062" si="1409">A7061</f>
        <v>45996</v>
      </c>
      <c r="B7062" s="5" t="str">
        <f t="shared" si="1409"/>
        <v>Mourning Dove</v>
      </c>
      <c r="C7062" s="6">
        <f t="shared" si="1409"/>
        <v>0.4826388888888889</v>
      </c>
      <c r="D7062" s="5"/>
      <c r="E7062" s="5"/>
      <c r="F7062" s="5" t="s">
        <v>22</v>
      </c>
      <c r="G7062" s="15" t="s">
        <v>22</v>
      </c>
      <c r="H7062" s="24">
        <f t="shared" si="1347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ref="A7063:C7063" si="1410">A7062</f>
        <v>45996</v>
      </c>
      <c r="B7063" s="5" t="str">
        <f t="shared" si="1410"/>
        <v>Mourning Dove</v>
      </c>
      <c r="C7063" s="6">
        <f t="shared" si="1410"/>
        <v>0.4826388888888889</v>
      </c>
      <c r="D7063" s="5"/>
      <c r="E7063" s="5"/>
      <c r="F7063" s="5" t="s">
        <v>22</v>
      </c>
      <c r="G7063" s="15" t="s">
        <v>22</v>
      </c>
      <c r="H7063" s="24">
        <f t="shared" si="1347"/>
        <v>0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0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ref="A7064:C7064" si="1411">A7063</f>
        <v>45996</v>
      </c>
      <c r="B7064" s="5" t="str">
        <f t="shared" si="1411"/>
        <v>Mourning Dove</v>
      </c>
      <c r="C7064" s="6">
        <f t="shared" si="1411"/>
        <v>0.4826388888888889</v>
      </c>
      <c r="D7064" s="5"/>
      <c r="E7064" s="5"/>
      <c r="F7064" s="5" t="s">
        <v>22</v>
      </c>
      <c r="G7064" s="15" t="s">
        <v>22</v>
      </c>
      <c r="H7064" s="24">
        <f t="shared" ref="H7064:H7127" si="1412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ref="A7065:C7065" si="1413">A7064</f>
        <v>45996</v>
      </c>
      <c r="B7065" s="5" t="str">
        <f t="shared" si="1413"/>
        <v>Mourning Dove</v>
      </c>
      <c r="C7065" s="6">
        <f t="shared" si="1413"/>
        <v>0.4826388888888889</v>
      </c>
      <c r="D7065" s="5"/>
      <c r="E7065" s="5"/>
      <c r="F7065" s="5" t="s">
        <v>22</v>
      </c>
      <c r="G7065" s="15" t="s">
        <v>22</v>
      </c>
      <c r="H7065" s="24">
        <f t="shared" si="1412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cm="1">
        <f t="array" ref="O7065">IFERROR(IF($B7065=O$1, ($A7065+$C7065) - MAX(IF($B$2:$B7064=$B7065, $A$2:$A7064+$C$2:$C7064)), "")*24*60, "")</f>
        <v>0</v>
      </c>
      <c r="P7065" s="24" t="str" cm="1">
        <f t="array" ref="P7065">IFERROR(IF($B7065=P$1, ($A7065+$C7065) - MAX(IF($B$2:$B7064=$B7065, $A$2:$A7064+$C$2:$C7064)), "")*24*60, "")</f>
        <v/>
      </c>
      <c r="Q7065" s="24" t="str" cm="1">
        <f t="array" ref="Q7065">IFERROR(IF($B7065=Q$1, ($A7065+$C7065) - MAX(IF($B$2:$B7064=$B7065, $A$2:$A7064+$C$2:$C7064)), "")*24*60, "")</f>
        <v/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ref="A7066:C7066" si="1414">A7065</f>
        <v>45996</v>
      </c>
      <c r="B7066" s="5" t="str">
        <f t="shared" si="1414"/>
        <v>Mourning Dove</v>
      </c>
      <c r="C7066" s="6">
        <f t="shared" si="1414"/>
        <v>0.4826388888888889</v>
      </c>
      <c r="D7066" s="5"/>
      <c r="E7066" s="5"/>
      <c r="F7066" s="5" t="s">
        <v>22</v>
      </c>
      <c r="G7066" s="15" t="s">
        <v>22</v>
      </c>
      <c r="H7066" s="24">
        <f t="shared" si="1412"/>
        <v>0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0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ref="A7067:C7067" si="1415">A7066</f>
        <v>45996</v>
      </c>
      <c r="B7067" s="5" t="str">
        <f t="shared" si="1415"/>
        <v>Mourning Dove</v>
      </c>
      <c r="C7067" s="6">
        <f t="shared" si="1415"/>
        <v>0.4826388888888889</v>
      </c>
      <c r="D7067" s="5"/>
      <c r="E7067" s="5"/>
      <c r="F7067" s="5" t="s">
        <v>22</v>
      </c>
      <c r="G7067" s="15" t="s">
        <v>22</v>
      </c>
      <c r="H7067" s="24">
        <f t="shared" si="1412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ref="A7068:C7068" si="1416">A7067</f>
        <v>45996</v>
      </c>
      <c r="B7068" s="5" t="str">
        <f t="shared" si="1416"/>
        <v>Mourning Dove</v>
      </c>
      <c r="C7068" s="6">
        <f t="shared" si="1416"/>
        <v>0.4826388888888889</v>
      </c>
      <c r="D7068" s="5"/>
      <c r="E7068" s="5"/>
      <c r="F7068" s="5" t="s">
        <v>22</v>
      </c>
      <c r="G7068" s="15" t="s">
        <v>22</v>
      </c>
      <c r="H7068" s="24">
        <f t="shared" si="1412"/>
        <v>0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ref="A7069:C7069" si="1417">A7068</f>
        <v>45996</v>
      </c>
      <c r="B7069" s="5" t="str">
        <f t="shared" si="1417"/>
        <v>Mourning Dove</v>
      </c>
      <c r="C7069" s="6">
        <f t="shared" si="1417"/>
        <v>0.4826388888888889</v>
      </c>
      <c r="D7069" s="5"/>
      <c r="E7069" s="5"/>
      <c r="F7069" s="5" t="s">
        <v>22</v>
      </c>
      <c r="G7069" s="15" t="s">
        <v>22</v>
      </c>
      <c r="H7069" s="24">
        <f t="shared" si="1412"/>
        <v>0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0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ref="A7070:C7070" si="1418">A7069</f>
        <v>45996</v>
      </c>
      <c r="B7070" s="5" t="str">
        <f t="shared" si="1418"/>
        <v>Mourning Dove</v>
      </c>
      <c r="C7070" s="6">
        <f t="shared" si="1418"/>
        <v>0.4826388888888889</v>
      </c>
      <c r="D7070" s="5"/>
      <c r="E7070" s="5"/>
      <c r="F7070" s="5" t="s">
        <v>22</v>
      </c>
      <c r="G7070" s="15" t="s">
        <v>22</v>
      </c>
      <c r="H7070" s="24">
        <f t="shared" si="1412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ref="A7071:C7071" si="1419">A7070</f>
        <v>45996</v>
      </c>
      <c r="B7071" s="5" t="str">
        <f t="shared" si="1419"/>
        <v>Mourning Dove</v>
      </c>
      <c r="C7071" s="6">
        <f t="shared" si="1419"/>
        <v>0.4826388888888889</v>
      </c>
      <c r="D7071" s="5"/>
      <c r="E7071" s="5"/>
      <c r="F7071" s="5" t="s">
        <v>22</v>
      </c>
      <c r="G7071" s="15" t="s">
        <v>22</v>
      </c>
      <c r="H7071" s="24">
        <f t="shared" si="1412"/>
        <v>0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0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ref="A7072:C7072" si="1420">A7071</f>
        <v>45996</v>
      </c>
      <c r="B7072" s="5" t="str">
        <f t="shared" si="1420"/>
        <v>Mourning Dove</v>
      </c>
      <c r="C7072" s="6">
        <f t="shared" si="1420"/>
        <v>0.4826388888888889</v>
      </c>
      <c r="D7072" s="5"/>
      <c r="E7072" s="5"/>
      <c r="F7072" s="5" t="s">
        <v>22</v>
      </c>
      <c r="G7072" s="15" t="s">
        <v>22</v>
      </c>
      <c r="H7072" s="24">
        <f t="shared" si="1412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ref="A7073:C7073" si="1421">A7072</f>
        <v>45996</v>
      </c>
      <c r="B7073" s="5" t="str">
        <f t="shared" si="1421"/>
        <v>Mourning Dove</v>
      </c>
      <c r="C7073" s="6">
        <f t="shared" si="1421"/>
        <v>0.4826388888888889</v>
      </c>
      <c r="D7073" s="5"/>
      <c r="E7073" s="5"/>
      <c r="F7073" s="5" t="s">
        <v>22</v>
      </c>
      <c r="G7073" s="15" t="s">
        <v>22</v>
      </c>
      <c r="H7073" s="24">
        <f t="shared" si="1412"/>
        <v>0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0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ref="A7074:C7074" si="1422">A7073</f>
        <v>45996</v>
      </c>
      <c r="B7074" s="5" t="str">
        <f t="shared" si="1422"/>
        <v>Mourning Dove</v>
      </c>
      <c r="C7074" s="6">
        <f t="shared" si="1422"/>
        <v>0.4826388888888889</v>
      </c>
      <c r="D7074" s="5"/>
      <c r="E7074" s="5"/>
      <c r="F7074" s="5" t="s">
        <v>22</v>
      </c>
      <c r="G7074" s="15" t="s">
        <v>22</v>
      </c>
      <c r="H7074" s="24">
        <f t="shared" si="1412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ref="A7075:C7075" si="1423">A7074</f>
        <v>45996</v>
      </c>
      <c r="B7075" s="5" t="str">
        <f t="shared" si="1423"/>
        <v>Mourning Dove</v>
      </c>
      <c r="C7075" s="6">
        <f t="shared" si="1423"/>
        <v>0.4826388888888889</v>
      </c>
      <c r="D7075" s="5"/>
      <c r="E7075" s="5"/>
      <c r="F7075" s="5" t="s">
        <v>22</v>
      </c>
      <c r="G7075" s="15" t="s">
        <v>22</v>
      </c>
      <c r="H7075" s="24">
        <f t="shared" si="1412"/>
        <v>0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ref="A7076:C7076" si="1424">A7075</f>
        <v>45996</v>
      </c>
      <c r="B7076" s="5" t="str">
        <f t="shared" si="1424"/>
        <v>Mourning Dove</v>
      </c>
      <c r="C7076" s="6">
        <f t="shared" si="1424"/>
        <v>0.4826388888888889</v>
      </c>
      <c r="D7076" s="5"/>
      <c r="E7076" s="5"/>
      <c r="F7076" s="5" t="s">
        <v>22</v>
      </c>
      <c r="G7076" s="15" t="s">
        <v>22</v>
      </c>
      <c r="H7076" s="24">
        <f t="shared" si="1412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ref="A7077:C7077" si="1425">A7076</f>
        <v>45996</v>
      </c>
      <c r="B7077" s="5" t="str">
        <f t="shared" si="1425"/>
        <v>Mourning Dove</v>
      </c>
      <c r="C7077" s="6">
        <f t="shared" si="1425"/>
        <v>0.4826388888888889</v>
      </c>
      <c r="D7077" s="5"/>
      <c r="E7077" s="5"/>
      <c r="F7077" s="5" t="s">
        <v>22</v>
      </c>
      <c r="G7077" s="15" t="s">
        <v>22</v>
      </c>
      <c r="H7077" s="24">
        <f t="shared" si="1412"/>
        <v>0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0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ref="A7078:C7078" si="1426">A7077</f>
        <v>45996</v>
      </c>
      <c r="B7078" s="5" t="str">
        <f t="shared" si="1426"/>
        <v>Mourning Dove</v>
      </c>
      <c r="C7078" s="6">
        <f t="shared" si="1426"/>
        <v>0.4826388888888889</v>
      </c>
      <c r="D7078" s="5"/>
      <c r="E7078" s="5"/>
      <c r="F7078" s="5" t="s">
        <v>22</v>
      </c>
      <c r="G7078" s="15" t="s">
        <v>22</v>
      </c>
      <c r="H7078" s="24">
        <f t="shared" si="1412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ref="A7079:C7079" si="1427">A7078</f>
        <v>45996</v>
      </c>
      <c r="B7079" s="5" t="str">
        <f t="shared" si="1427"/>
        <v>Mourning Dove</v>
      </c>
      <c r="C7079" s="6">
        <f t="shared" si="1427"/>
        <v>0.4826388888888889</v>
      </c>
      <c r="D7079" s="5"/>
      <c r="E7079" s="5"/>
      <c r="F7079" s="5" t="s">
        <v>22</v>
      </c>
      <c r="G7079" s="15" t="s">
        <v>22</v>
      </c>
      <c r="H7079" s="24">
        <f t="shared" si="1412"/>
        <v>0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0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ref="A7080:C7080" si="1428">A7079</f>
        <v>45996</v>
      </c>
      <c r="B7080" s="5" t="str">
        <f t="shared" si="1428"/>
        <v>Mourning Dove</v>
      </c>
      <c r="C7080" s="6">
        <f t="shared" si="1428"/>
        <v>0.4826388888888889</v>
      </c>
      <c r="D7080" s="5"/>
      <c r="E7080" s="5"/>
      <c r="F7080" s="5" t="s">
        <v>22</v>
      </c>
      <c r="G7080" s="15" t="s">
        <v>22</v>
      </c>
      <c r="H7080" s="24">
        <f t="shared" si="1412"/>
        <v>0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0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ref="A7081:C7081" si="1429">A7080</f>
        <v>45996</v>
      </c>
      <c r="B7081" s="5" t="str">
        <f t="shared" si="1429"/>
        <v>Mourning Dove</v>
      </c>
      <c r="C7081" s="6">
        <f t="shared" si="1429"/>
        <v>0.4826388888888889</v>
      </c>
      <c r="D7081" s="5"/>
      <c r="E7081" s="5"/>
      <c r="F7081" s="5" t="s">
        <v>22</v>
      </c>
      <c r="G7081" s="15" t="s">
        <v>22</v>
      </c>
      <c r="H7081" s="24">
        <f t="shared" si="1412"/>
        <v>0</v>
      </c>
      <c r="I7081" s="24" t="str" cm="1">
        <f t="array" ref="I7081">IFERROR(IF($B7081=I$1, ($A7081+$C7081) - MAX(IF($B$2:$B7080=$B7081, $A$2:$A7080+$C$2:$C7080)), "")*24*60, "")</f>
        <v/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cm="1">
        <f t="array" ref="O7081">IFERROR(IF($B7081=O$1, ($A7081+$C7081) - MAX(IF($B$2:$B7080=$B7081, $A$2:$A7080+$C$2:$C7080)), "")*24*60, "")</f>
        <v>0</v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ref="A7082:C7082" si="1430">A7081</f>
        <v>45996</v>
      </c>
      <c r="B7082" s="5" t="str">
        <f t="shared" si="1430"/>
        <v>Mourning Dove</v>
      </c>
      <c r="C7082" s="6">
        <f t="shared" si="1430"/>
        <v>0.4826388888888889</v>
      </c>
      <c r="D7082" s="5"/>
      <c r="E7082" s="5"/>
      <c r="F7082" s="5" t="s">
        <v>22</v>
      </c>
      <c r="G7082" s="15" t="s">
        <v>22</v>
      </c>
      <c r="H7082" s="24">
        <f t="shared" si="1412"/>
        <v>0</v>
      </c>
      <c r="I7082" s="24" t="str" cm="1">
        <f t="array" ref="I7082">IFERROR(IF($B7082=I$1, ($A7082+$C7082) - MAX(IF($B$2:$B7081=$B7082, $A$2:$A7081+$C$2:$C7081)), "")*24*60, "")</f>
        <v/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cm="1">
        <f t="array" ref="O7082">IFERROR(IF($B7082=O$1, ($A7082+$C7082) - MAX(IF($B$2:$B7081=$B7082, $A$2:$A7081+$C$2:$C7081)), "")*24*60, "")</f>
        <v>0</v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ref="A7083:C7083" si="1431">A7082</f>
        <v>45996</v>
      </c>
      <c r="B7083" s="5" t="str">
        <f t="shared" si="1431"/>
        <v>Mourning Dove</v>
      </c>
      <c r="C7083" s="6">
        <f t="shared" si="1431"/>
        <v>0.4826388888888889</v>
      </c>
      <c r="D7083" s="5"/>
      <c r="E7083" s="5"/>
      <c r="F7083" s="5" t="s">
        <v>22</v>
      </c>
      <c r="G7083" s="15" t="s">
        <v>22</v>
      </c>
      <c r="H7083" s="24">
        <f t="shared" si="1412"/>
        <v>0</v>
      </c>
      <c r="I7083" s="24" t="str" cm="1">
        <f t="array" ref="I7083">IFERROR(IF($B7083=I$1, ($A7083+$C7083) - MAX(IF($B$2:$B7082=$B7083, $A$2:$A7082+$C$2:$C7082)), "")*24*60, "")</f>
        <v/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cm="1">
        <f t="array" ref="O7083">IFERROR(IF($B7083=O$1, ($A7083+$C7083) - MAX(IF($B$2:$B7082=$B7083, $A$2:$A7082+$C$2:$C7082)), "")*24*60, "")</f>
        <v>0</v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C7084" si="1432">A7083</f>
        <v>45996</v>
      </c>
      <c r="B7084" s="5" t="str">
        <f t="shared" si="1432"/>
        <v>Mourning Dove</v>
      </c>
      <c r="C7084" s="6">
        <f t="shared" si="1432"/>
        <v>0.4826388888888889</v>
      </c>
      <c r="D7084" s="5"/>
      <c r="E7084" s="5"/>
      <c r="F7084" s="5" t="s">
        <v>22</v>
      </c>
      <c r="G7084" s="15" t="s">
        <v>22</v>
      </c>
      <c r="H7084" s="24">
        <f t="shared" si="1412"/>
        <v>0</v>
      </c>
      <c r="I7084" s="24" t="str" cm="1">
        <f t="array" ref="I7084">IFERROR(IF($B7084=I$1, ($A7084+$C7084) - MAX(IF($B$2:$B7083=$B7084, $A$2:$A7083+$C$2:$C7083)), "")*24*60, "")</f>
        <v/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cm="1">
        <f t="array" ref="O7084">IFERROR(IF($B7084=O$1, ($A7084+$C7084) - MAX(IF($B$2:$B7083=$B7084, $A$2:$A7083+$C$2:$C7083)), "")*24*60, "")</f>
        <v>0</v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ref="A7085:C7085" si="1433">A7084</f>
        <v>45996</v>
      </c>
      <c r="B7085" s="5" t="str">
        <f t="shared" si="1433"/>
        <v>Mourning Dove</v>
      </c>
      <c r="C7085" s="6">
        <f t="shared" si="1433"/>
        <v>0.4826388888888889</v>
      </c>
      <c r="D7085" s="5"/>
      <c r="E7085" s="5"/>
      <c r="F7085" s="5" t="s">
        <v>22</v>
      </c>
      <c r="G7085" s="15" t="s">
        <v>22</v>
      </c>
      <c r="H7085" s="24">
        <f t="shared" si="1412"/>
        <v>0</v>
      </c>
      <c r="I7085" s="24" t="str" cm="1">
        <f t="array" ref="I7085">IFERROR(IF($B7085=I$1, ($A7085+$C7085) - MAX(IF($B$2:$B7084=$B7085, $A$2:$A7084+$C$2:$C7084)), "")*24*60, "")</f>
        <v/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cm="1">
        <f t="array" ref="O7085">IFERROR(IF($B7085=O$1, ($A7085+$C7085) - MAX(IF($B$2:$B7084=$B7085, $A$2:$A7084+$C$2:$C7084)), "")*24*60, "")</f>
        <v>0</v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ref="A7086:C7086" si="1434">A7085</f>
        <v>45996</v>
      </c>
      <c r="B7086" s="5" t="str">
        <f t="shared" si="1434"/>
        <v>Mourning Dove</v>
      </c>
      <c r="C7086" s="6">
        <f t="shared" si="1434"/>
        <v>0.4826388888888889</v>
      </c>
      <c r="D7086" s="5"/>
      <c r="E7086" s="5"/>
      <c r="F7086" s="5" t="s">
        <v>22</v>
      </c>
      <c r="G7086" s="15" t="s">
        <v>22</v>
      </c>
      <c r="H7086" s="24">
        <f t="shared" si="1412"/>
        <v>0</v>
      </c>
      <c r="I7086" s="24" t="str" cm="1">
        <f t="array" ref="I7086">IFERROR(IF($B7086=I$1, ($A7086+$C7086) - MAX(IF($B$2:$B7085=$B7086, $A$2:$A7085+$C$2:$C7085)), "")*24*60, "")</f>
        <v/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cm="1">
        <f t="array" ref="O7086">IFERROR(IF($B7086=O$1, ($A7086+$C7086) - MAX(IF($B$2:$B7085=$B7086, $A$2:$A7085+$C$2:$C7085)), "")*24*60, "")</f>
        <v>0</v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ref="A7087:C7087" si="1435">A7086</f>
        <v>45996</v>
      </c>
      <c r="B7087" s="5" t="str">
        <f t="shared" si="1435"/>
        <v>Mourning Dove</v>
      </c>
      <c r="C7087" s="6">
        <f t="shared" si="1435"/>
        <v>0.4826388888888889</v>
      </c>
      <c r="D7087" s="5"/>
      <c r="E7087" s="5"/>
      <c r="F7087" s="5" t="s">
        <v>22</v>
      </c>
      <c r="G7087" s="15" t="s">
        <v>22</v>
      </c>
      <c r="H7087" s="24">
        <f t="shared" si="1412"/>
        <v>0</v>
      </c>
      <c r="I7087" s="24" t="str" cm="1">
        <f t="array" ref="I7087">IFERROR(IF($B7087=I$1, ($A7087+$C7087) - MAX(IF($B$2:$B7086=$B7087, $A$2:$A7086+$C$2:$C7086)), "")*24*60, "")</f>
        <v/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cm="1">
        <f t="array" ref="O7087">IFERROR(IF($B7087=O$1, ($A7087+$C7087) - MAX(IF($B$2:$B7086=$B7087, $A$2:$A7086+$C$2:$C7086)), "")*24*60, "")</f>
        <v>0</v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ref="A7088:C7088" si="1436">A7087</f>
        <v>45996</v>
      </c>
      <c r="B7088" s="5" t="str">
        <f t="shared" si="1436"/>
        <v>Mourning Dove</v>
      </c>
      <c r="C7088" s="6">
        <f t="shared" si="1436"/>
        <v>0.4826388888888889</v>
      </c>
      <c r="D7088" s="5"/>
      <c r="E7088" s="5"/>
      <c r="F7088" s="5" t="s">
        <v>22</v>
      </c>
      <c r="G7088" s="15" t="s">
        <v>22</v>
      </c>
      <c r="H7088" s="24">
        <f t="shared" si="1412"/>
        <v>0</v>
      </c>
      <c r="I7088" s="24" t="str" cm="1">
        <f t="array" ref="I7088">IFERROR(IF($B7088=I$1, ($A7088+$C7088) - MAX(IF($B$2:$B7087=$B7088, $A$2:$A7087+$C$2:$C7087)), "")*24*60, "")</f>
        <v/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cm="1">
        <f t="array" ref="O7088">IFERROR(IF($B7088=O$1, ($A7088+$C7088) - MAX(IF($B$2:$B7087=$B7088, $A$2:$A7087+$C$2:$C7087)), "")*24*60, "")</f>
        <v>0</v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ref="A7089:C7089" si="1437">A7088</f>
        <v>45996</v>
      </c>
      <c r="B7089" s="5" t="str">
        <f t="shared" si="1437"/>
        <v>Mourning Dove</v>
      </c>
      <c r="C7089" s="6">
        <f t="shared" si="1437"/>
        <v>0.4826388888888889</v>
      </c>
      <c r="D7089" s="5"/>
      <c r="E7089" s="5"/>
      <c r="F7089" s="5" t="s">
        <v>22</v>
      </c>
      <c r="G7089" s="15" t="s">
        <v>22</v>
      </c>
      <c r="H7089" s="24">
        <f t="shared" si="1412"/>
        <v>0</v>
      </c>
      <c r="I7089" s="24" t="str" cm="1">
        <f t="array" ref="I7089">IFERROR(IF($B7089=I$1, ($A7089+$C7089) - MAX(IF($B$2:$B7088=$B7089, $A$2:$A7088+$C$2:$C7088)), "")*24*60, "")</f>
        <v/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cm="1">
        <f t="array" ref="O7089">IFERROR(IF($B7089=O$1, ($A7089+$C7089) - MAX(IF($B$2:$B7088=$B7089, $A$2:$A7088+$C$2:$C7088)), "")*24*60, "")</f>
        <v>0</v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ref="A7090:C7090" si="1438">A7089</f>
        <v>45996</v>
      </c>
      <c r="B7090" s="5" t="str">
        <f t="shared" si="1438"/>
        <v>Mourning Dove</v>
      </c>
      <c r="C7090" s="6">
        <f t="shared" si="1438"/>
        <v>0.4826388888888889</v>
      </c>
      <c r="D7090" s="5"/>
      <c r="E7090" s="5"/>
      <c r="F7090" s="5" t="s">
        <v>22</v>
      </c>
      <c r="G7090" s="15" t="s">
        <v>22</v>
      </c>
      <c r="H7090" s="24">
        <f t="shared" si="1412"/>
        <v>0</v>
      </c>
      <c r="I7090" s="24" t="str" cm="1">
        <f t="array" ref="I7090">IFERROR(IF($B7090=I$1, ($A7090+$C7090) - MAX(IF($B$2:$B7089=$B7090, $A$2:$A7089+$C$2:$C7089)), "")*24*60, "")</f>
        <v/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cm="1">
        <f t="array" ref="O7090">IFERROR(IF($B7090=O$1, ($A7090+$C7090) - MAX(IF($B$2:$B7089=$B7090, $A$2:$A7089+$C$2:$C7089)), "")*24*60, "")</f>
        <v>0</v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2">
        <f t="shared" ref="A7091:C7091" si="1439">A7090</f>
        <v>45996</v>
      </c>
      <c r="B7091" s="5" t="str">
        <f t="shared" si="1439"/>
        <v>Mourning Dove</v>
      </c>
      <c r="C7091" s="6">
        <f t="shared" si="1439"/>
        <v>0.4826388888888889</v>
      </c>
      <c r="D7091" s="5"/>
      <c r="E7091" s="5"/>
      <c r="F7091" s="5" t="s">
        <v>22</v>
      </c>
      <c r="G7091" s="15" t="s">
        <v>22</v>
      </c>
      <c r="H7091" s="24">
        <f t="shared" si="1412"/>
        <v>0</v>
      </c>
      <c r="I7091" s="24" t="str" cm="1">
        <f t="array" ref="I7091">IFERROR(IF($B7091=I$1, ($A7091+$C7091) - MAX(IF($B$2:$B7090=$B7091, $A$2:$A7090+$C$2:$C7090)), "")*24*60, "")</f>
        <v/>
      </c>
      <c r="J7091" s="24" t="str" cm="1">
        <f t="array" ref="J7091">IFERROR(IF($B7091=J$1, ($A7091+$C7091) - MAX(IF($B$2:$B7090=$B7091, $A$2:$A7090+$C$2:$C7090)), "")*24*60, "")</f>
        <v/>
      </c>
      <c r="K7091" s="24" t="str" cm="1">
        <f t="array" ref="K7091">IFERROR(IF($B7091=K$1, ($A7091+$C7091) - MAX(IF($B$2:$B7090=$B7091, $A$2:$A7090+$C$2:$C7090)), "")*24*60, "")</f>
        <v/>
      </c>
      <c r="L7091" s="24" t="str" cm="1">
        <f t="array" ref="L7091">IFERROR(IF($B7091=L$1, ($A7091+$C7091) - MAX(IF($B$2:$B7090=$B7091, $A$2:$A7090+$C$2:$C7090)), "")*24*60, "")</f>
        <v/>
      </c>
      <c r="M7091" s="24" t="str" cm="1">
        <f t="array" ref="M7091">IFERROR(IF($B7091=M$1, ($A7091+$C7091) - MAX(IF($B$2:$B7090=$B7091, $A$2:$A7090+$C$2:$C7090)), "")*24*60, "")</f>
        <v/>
      </c>
      <c r="N7091" s="24" t="str" cm="1">
        <f t="array" ref="N7091">IFERROR(IF($B7091=N$1, ($A7091+$C7091) - MAX(IF($B$2:$B7090=$B7091, $A$2:$A7090+$C$2:$C7090)), "")*24*60, "")</f>
        <v/>
      </c>
      <c r="O7091" s="24" cm="1">
        <f t="array" ref="O7091">IFERROR(IF($B7091=O$1, ($A7091+$C7091) - MAX(IF($B$2:$B7090=$B7091, $A$2:$A7090+$C$2:$C7090)), "")*24*60, "")</f>
        <v>0</v>
      </c>
      <c r="P7091" s="24" t="str" cm="1">
        <f t="array" ref="P7091">IFERROR(IF($B7091=P$1, ($A7091+$C7091) - MAX(IF($B$2:$B7090=$B7091, $A$2:$A7090+$C$2:$C7090)), "")*24*60, "")</f>
        <v/>
      </c>
      <c r="Q7091" s="24" t="str" cm="1">
        <f t="array" ref="Q7091">IFERROR(IF($B7091=Q$1, ($A7091+$C7091) - MAX(IF($B$2:$B7090=$B7091, $A$2:$A7090+$C$2:$C7090)), "")*24*60, "")</f>
        <v/>
      </c>
      <c r="R7091" s="24" t="str" cm="1">
        <f t="array" ref="R7091">IFERROR(IF($B7091=R$1, ($A7091+$C7091) - MAX(IF($B$2:$B7090=$B7091, $A$2:$A7090+$C$2:$C7090)), "")*24*60, "")</f>
        <v/>
      </c>
      <c r="S7091" s="24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f t="shared" ref="A7092:C7092" si="1440">A7091</f>
        <v>45996</v>
      </c>
      <c r="B7092" s="5" t="str">
        <f t="shared" si="1440"/>
        <v>Mourning Dove</v>
      </c>
      <c r="C7092" s="6">
        <f t="shared" si="1440"/>
        <v>0.4826388888888889</v>
      </c>
      <c r="D7092" s="5"/>
      <c r="E7092" s="5"/>
      <c r="F7092" s="5" t="s">
        <v>22</v>
      </c>
      <c r="G7092" s="15" t="s">
        <v>22</v>
      </c>
      <c r="H7092" s="24">
        <f t="shared" si="1412"/>
        <v>0</v>
      </c>
      <c r="I7092" s="24" t="str" cm="1">
        <f t="array" ref="I7092">IFERROR(IF($B7092=I$1, ($A7092+$C7092) - MAX(IF($B$2:$B7091=$B7092, $A$2:$A7091+$C$2:$C7091)), "")*24*60, "")</f>
        <v/>
      </c>
      <c r="J7092" s="24" t="str" cm="1">
        <f t="array" ref="J7092">IFERROR(IF($B7092=J$1, ($A7092+$C7092) - MAX(IF($B$2:$B7091=$B7092, $A$2:$A7091+$C$2:$C7091)), "")*24*60, "")</f>
        <v/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cm="1">
        <f t="array" ref="O7092">IFERROR(IF($B7092=O$1, ($A7092+$C7092) - MAX(IF($B$2:$B7091=$B7092, $A$2:$A7091+$C$2:$C7091)), "")*24*60, "")</f>
        <v>0</v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ref="A7093:C7093" si="1441">A7092</f>
        <v>45996</v>
      </c>
      <c r="B7093" s="5" t="str">
        <f t="shared" si="1441"/>
        <v>Mourning Dove</v>
      </c>
      <c r="C7093" s="6">
        <f t="shared" si="1441"/>
        <v>0.4826388888888889</v>
      </c>
      <c r="D7093" s="5"/>
      <c r="E7093" s="5"/>
      <c r="F7093" s="5" t="s">
        <v>22</v>
      </c>
      <c r="G7093" s="15" t="s">
        <v>22</v>
      </c>
      <c r="H7093" s="24">
        <f t="shared" si="1412"/>
        <v>0</v>
      </c>
      <c r="I7093" s="24" t="str" cm="1">
        <f t="array" ref="I7093">IFERROR(IF($B7093=I$1, ($A7093+$C7093) - MAX(IF($B$2:$B7092=$B7093, $A$2:$A7092+$C$2:$C7092)), "")*24*60, "")</f>
        <v/>
      </c>
      <c r="J7093" s="24" t="str" cm="1">
        <f t="array" ref="J7093">IFERROR(IF($B7093=J$1, ($A7093+$C7093) - MAX(IF($B$2:$B7092=$B7093, $A$2:$A7092+$C$2:$C7092)), "")*24*60, "")</f>
        <v/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cm="1">
        <f t="array" ref="O7093">IFERROR(IF($B7093=O$1, ($A7093+$C7093) - MAX(IF($B$2:$B7092=$B7093, $A$2:$A7092+$C$2:$C7092)), "")*24*60, "")</f>
        <v>0</v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ref="A7094:C7094" si="1442">A7093</f>
        <v>45996</v>
      </c>
      <c r="B7094" s="5" t="str">
        <f t="shared" si="1442"/>
        <v>Mourning Dove</v>
      </c>
      <c r="C7094" s="6">
        <f t="shared" si="1442"/>
        <v>0.4826388888888889</v>
      </c>
      <c r="D7094" s="5"/>
      <c r="E7094" s="5"/>
      <c r="F7094" s="5" t="s">
        <v>22</v>
      </c>
      <c r="G7094" s="15" t="s">
        <v>22</v>
      </c>
      <c r="H7094" s="24">
        <f t="shared" si="1412"/>
        <v>0</v>
      </c>
      <c r="I7094" s="24" t="str" cm="1">
        <f t="array" ref="I7094">IFERROR(IF($B7094=I$1, ($A7094+$C7094) - MAX(IF($B$2:$B7093=$B7094, $A$2:$A7093+$C$2:$C7093)), "")*24*60, "")</f>
        <v/>
      </c>
      <c r="J7094" s="24" t="str" cm="1">
        <f t="array" ref="J7094">IFERROR(IF($B7094=J$1, ($A7094+$C7094) - MAX(IF($B$2:$B7093=$B7094, $A$2:$A7093+$C$2:$C7093)), "")*24*60, "")</f>
        <v/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cm="1">
        <f t="array" ref="O7094">IFERROR(IF($B7094=O$1, ($A7094+$C7094) - MAX(IF($B$2:$B7093=$B7094, $A$2:$A7093+$C$2:$C7093)), "")*24*60, "")</f>
        <v>0</v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ref="A7095:C7095" si="1443">A7094</f>
        <v>45996</v>
      </c>
      <c r="B7095" s="5" t="str">
        <f t="shared" si="1443"/>
        <v>Mourning Dove</v>
      </c>
      <c r="C7095" s="6">
        <f t="shared" si="1443"/>
        <v>0.4826388888888889</v>
      </c>
      <c r="D7095" s="5"/>
      <c r="E7095" s="5"/>
      <c r="F7095" s="5" t="s">
        <v>22</v>
      </c>
      <c r="G7095" s="15" t="s">
        <v>22</v>
      </c>
      <c r="H7095" s="24">
        <f t="shared" si="1412"/>
        <v>0</v>
      </c>
      <c r="I7095" s="24" t="str" cm="1">
        <f t="array" ref="I7095">IFERROR(IF($B7095=I$1, ($A7095+$C7095) - MAX(IF($B$2:$B7094=$B7095, $A$2:$A7094+$C$2:$C7094)), "")*24*60, "")</f>
        <v/>
      </c>
      <c r="J7095" s="24" t="str" cm="1">
        <f t="array" ref="J7095">IFERROR(IF($B7095=J$1, ($A7095+$C7095) - MAX(IF($B$2:$B7094=$B7095, $A$2:$A7094+$C$2:$C7094)), "")*24*60, "")</f>
        <v/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cm="1">
        <f t="array" ref="O7095">IFERROR(IF($B7095=O$1, ($A7095+$C7095) - MAX(IF($B$2:$B7094=$B7095, $A$2:$A7094+$C$2:$C7094)), "")*24*60, "")</f>
        <v>0</v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ref="A7096:C7096" si="1444">A7095</f>
        <v>45996</v>
      </c>
      <c r="B7096" s="5" t="str">
        <f t="shared" si="1444"/>
        <v>Mourning Dove</v>
      </c>
      <c r="C7096" s="6">
        <f t="shared" si="1444"/>
        <v>0.4826388888888889</v>
      </c>
      <c r="D7096" s="5"/>
      <c r="E7096" s="5"/>
      <c r="F7096" s="5" t="s">
        <v>22</v>
      </c>
      <c r="G7096" s="15" t="s">
        <v>22</v>
      </c>
      <c r="H7096" s="24">
        <f t="shared" si="1412"/>
        <v>0</v>
      </c>
      <c r="I7096" s="24" t="str" cm="1">
        <f t="array" ref="I7096">IFERROR(IF($B7096=I$1, ($A7096+$C7096) - MAX(IF($B$2:$B7095=$B7096, $A$2:$A7095+$C$2:$C7095)), "")*24*60, "")</f>
        <v/>
      </c>
      <c r="J7096" s="24" t="str" cm="1">
        <f t="array" ref="J7096">IFERROR(IF($B7096=J$1, ($A7096+$C7096) - MAX(IF($B$2:$B7095=$B7096, $A$2:$A7095+$C$2:$C7095)), "")*24*60, "")</f>
        <v/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cm="1">
        <f t="array" ref="O7096">IFERROR(IF($B7096=O$1, ($A7096+$C7096) - MAX(IF($B$2:$B7095=$B7096, $A$2:$A7095+$C$2:$C7095)), "")*24*60, "")</f>
        <v>0</v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ref="A7097:C7097" si="1445">A7096</f>
        <v>45996</v>
      </c>
      <c r="B7097" s="5" t="str">
        <f t="shared" si="1445"/>
        <v>Mourning Dove</v>
      </c>
      <c r="C7097" s="6">
        <f t="shared" si="1445"/>
        <v>0.4826388888888889</v>
      </c>
      <c r="D7097" s="5"/>
      <c r="E7097" s="5"/>
      <c r="F7097" s="5" t="s">
        <v>22</v>
      </c>
      <c r="G7097" s="15" t="s">
        <v>22</v>
      </c>
      <c r="H7097" s="24">
        <f t="shared" si="1412"/>
        <v>0</v>
      </c>
      <c r="I7097" s="24" t="str" cm="1">
        <f t="array" ref="I7097">IFERROR(IF($B7097=I$1, ($A7097+$C7097) - MAX(IF($B$2:$B7096=$B7097, $A$2:$A7096+$C$2:$C7096)), "")*24*60, "")</f>
        <v/>
      </c>
      <c r="J7097" s="24" t="str" cm="1">
        <f t="array" ref="J7097">IFERROR(IF($B7097=J$1, ($A7097+$C7097) - MAX(IF($B$2:$B7096=$B7097, $A$2:$A7096+$C$2:$C7096)), "")*24*60, "")</f>
        <v/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cm="1">
        <f t="array" ref="O7097">IFERROR(IF($B7097=O$1, ($A7097+$C7097) - MAX(IF($B$2:$B7096=$B7097, $A$2:$A7096+$C$2:$C7096)), "")*24*60, "")</f>
        <v>0</v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ref="A7098:C7098" si="1446">A7097</f>
        <v>45996</v>
      </c>
      <c r="B7098" s="5" t="str">
        <f t="shared" si="1446"/>
        <v>Mourning Dove</v>
      </c>
      <c r="C7098" s="6">
        <f t="shared" si="1446"/>
        <v>0.4826388888888889</v>
      </c>
      <c r="D7098" s="5"/>
      <c r="E7098" s="5"/>
      <c r="F7098" s="5" t="s">
        <v>22</v>
      </c>
      <c r="G7098" s="15" t="s">
        <v>22</v>
      </c>
      <c r="H7098" s="24">
        <f t="shared" si="1412"/>
        <v>0</v>
      </c>
      <c r="I7098" s="24" t="str" cm="1">
        <f t="array" ref="I7098">IFERROR(IF($B7098=I$1, ($A7098+$C7098) - MAX(IF($B$2:$B7097=$B7098, $A$2:$A7097+$C$2:$C7097)), "")*24*60, "")</f>
        <v/>
      </c>
      <c r="J7098" s="24" t="str" cm="1">
        <f t="array" ref="J7098">IFERROR(IF($B7098=J$1, ($A7098+$C7098) - MAX(IF($B$2:$B7097=$B7098, $A$2:$A7097+$C$2:$C7097)), "")*24*60, "")</f>
        <v/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cm="1">
        <f t="array" ref="O7098">IFERROR(IF($B7098=O$1, ($A7098+$C7098) - MAX(IF($B$2:$B7097=$B7098, $A$2:$A7097+$C$2:$C7097)), "")*24*60, "")</f>
        <v>0</v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ref="A7099:C7099" si="1447">A7098</f>
        <v>45996</v>
      </c>
      <c r="B7099" s="5" t="str">
        <f t="shared" si="1447"/>
        <v>Mourning Dove</v>
      </c>
      <c r="C7099" s="6">
        <f t="shared" si="1447"/>
        <v>0.4826388888888889</v>
      </c>
      <c r="D7099" s="5"/>
      <c r="E7099" s="5"/>
      <c r="F7099" s="5" t="s">
        <v>22</v>
      </c>
      <c r="G7099" s="15" t="s">
        <v>22</v>
      </c>
      <c r="H7099" s="24">
        <f t="shared" si="1412"/>
        <v>0</v>
      </c>
      <c r="I7099" s="24" t="str" cm="1">
        <f t="array" ref="I7099">IFERROR(IF($B7099=I$1, ($A7099+$C7099) - MAX(IF($B$2:$B7098=$B7099, $A$2:$A7098+$C$2:$C7098)), "")*24*60, "")</f>
        <v/>
      </c>
      <c r="J7099" s="24" t="str" cm="1">
        <f t="array" ref="J7099">IFERROR(IF($B7099=J$1, ($A7099+$C7099) - MAX(IF($B$2:$B7098=$B7099, $A$2:$A7098+$C$2:$C7098)), "")*24*60, "")</f>
        <v/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cm="1">
        <f t="array" ref="O7099">IFERROR(IF($B7099=O$1, ($A7099+$C7099) - MAX(IF($B$2:$B7098=$B7099, $A$2:$A7098+$C$2:$C7098)), "")*24*60, "")</f>
        <v>0</v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ref="A7100:C7100" si="1448">A7099</f>
        <v>45996</v>
      </c>
      <c r="B7100" s="5" t="str">
        <f t="shared" si="1448"/>
        <v>Mourning Dove</v>
      </c>
      <c r="C7100" s="6">
        <f t="shared" si="1448"/>
        <v>0.4826388888888889</v>
      </c>
      <c r="D7100" s="5"/>
      <c r="E7100" s="5"/>
      <c r="F7100" s="5" t="s">
        <v>22</v>
      </c>
      <c r="G7100" s="15" t="s">
        <v>22</v>
      </c>
      <c r="H7100" s="24">
        <f t="shared" si="1412"/>
        <v>0</v>
      </c>
      <c r="I7100" s="24" t="str" cm="1">
        <f t="array" ref="I7100">IFERROR(IF($B7100=I$1, ($A7100+$C7100) - MAX(IF($B$2:$B7099=$B7100, $A$2:$A7099+$C$2:$C7099)), "")*24*60, "")</f>
        <v/>
      </c>
      <c r="J7100" s="24" t="str" cm="1">
        <f t="array" ref="J7100">IFERROR(IF($B7100=J$1, ($A7100+$C7100) - MAX(IF($B$2:$B7099=$B7100, $A$2:$A7099+$C$2:$C7099)), "")*24*60, "")</f>
        <v/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cm="1">
        <f t="array" ref="O7100">IFERROR(IF($B7100=O$1, ($A7100+$C7100) - MAX(IF($B$2:$B7099=$B7100, $A$2:$A7099+$C$2:$C7099)), "")*24*60, "")</f>
        <v>0</v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ref="A7101:C7101" si="1449">A7100</f>
        <v>45996</v>
      </c>
      <c r="B7101" s="5" t="str">
        <f t="shared" si="1449"/>
        <v>Mourning Dove</v>
      </c>
      <c r="C7101" s="6">
        <f t="shared" si="1449"/>
        <v>0.4826388888888889</v>
      </c>
      <c r="D7101" s="5"/>
      <c r="E7101" s="5"/>
      <c r="F7101" s="5" t="s">
        <v>22</v>
      </c>
      <c r="G7101" s="15" t="s">
        <v>22</v>
      </c>
      <c r="H7101" s="24">
        <f t="shared" si="1412"/>
        <v>0</v>
      </c>
      <c r="I7101" s="24" t="str" cm="1">
        <f t="array" ref="I7101">IFERROR(IF($B7101=I$1, ($A7101+$C7101) - MAX(IF($B$2:$B7100=$B7101, $A$2:$A7100+$C$2:$C7100)), "")*24*60, "")</f>
        <v/>
      </c>
      <c r="J7101" s="24" t="str" cm="1">
        <f t="array" ref="J7101">IFERROR(IF($B7101=J$1, ($A7101+$C7101) - MAX(IF($B$2:$B7100=$B7101, $A$2:$A7100+$C$2:$C7100)), "")*24*60, "")</f>
        <v/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cm="1">
        <f t="array" ref="O7101">IFERROR(IF($B7101=O$1, ($A7101+$C7101) - MAX(IF($B$2:$B7100=$B7101, $A$2:$A7100+$C$2:$C7100)), "")*24*60, "")</f>
        <v>0</v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ref="A7102:C7102" si="1450">A7101</f>
        <v>45996</v>
      </c>
      <c r="B7102" s="5" t="str">
        <f t="shared" si="1450"/>
        <v>Mourning Dove</v>
      </c>
      <c r="C7102" s="6">
        <f t="shared" si="1450"/>
        <v>0.4826388888888889</v>
      </c>
      <c r="D7102" s="5"/>
      <c r="E7102" s="5"/>
      <c r="F7102" s="5" t="s">
        <v>22</v>
      </c>
      <c r="G7102" s="15" t="s">
        <v>22</v>
      </c>
      <c r="H7102" s="24">
        <f t="shared" si="1412"/>
        <v>0</v>
      </c>
      <c r="I7102" s="24" t="str" cm="1">
        <f t="array" ref="I7102">IFERROR(IF($B7102=I$1, ($A7102+$C7102) - MAX(IF($B$2:$B7101=$B7102, $A$2:$A7101+$C$2:$C7101)), "")*24*60, "")</f>
        <v/>
      </c>
      <c r="J7102" s="24" t="str" cm="1">
        <f t="array" ref="J7102">IFERROR(IF($B7102=J$1, ($A7102+$C7102) - MAX(IF($B$2:$B7101=$B7102, $A$2:$A7101+$C$2:$C7101)), "")*24*60, "")</f>
        <v/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cm="1">
        <f t="array" ref="O7102">IFERROR(IF($B7102=O$1, ($A7102+$C7102) - MAX(IF($B$2:$B7101=$B7102, $A$2:$A7101+$C$2:$C7101)), "")*24*60, "")</f>
        <v>0</v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ref="A7103:C7103" si="1451">A7102</f>
        <v>45996</v>
      </c>
      <c r="B7103" s="5" t="str">
        <f t="shared" si="1451"/>
        <v>Mourning Dove</v>
      </c>
      <c r="C7103" s="6">
        <f t="shared" si="1451"/>
        <v>0.4826388888888889</v>
      </c>
      <c r="D7103" s="5"/>
      <c r="E7103" s="5"/>
      <c r="F7103" s="5" t="s">
        <v>22</v>
      </c>
      <c r="G7103" s="15" t="s">
        <v>22</v>
      </c>
      <c r="H7103" s="24">
        <f t="shared" si="1412"/>
        <v>0</v>
      </c>
      <c r="I7103" s="24" t="str" cm="1">
        <f t="array" ref="I7103">IFERROR(IF($B7103=I$1, ($A7103+$C7103) - MAX(IF($B$2:$B7102=$B7103, $A$2:$A7102+$C$2:$C7102)), "")*24*60, "")</f>
        <v/>
      </c>
      <c r="J7103" s="24" t="str" cm="1">
        <f t="array" ref="J7103">IFERROR(IF($B7103=J$1, ($A7103+$C7103) - MAX(IF($B$2:$B7102=$B7103, $A$2:$A7102+$C$2:$C7102)), "")*24*60, "")</f>
        <v/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cm="1">
        <f t="array" ref="O7103">IFERROR(IF($B7103=O$1, ($A7103+$C7103) - MAX(IF($B$2:$B7102=$B7103, $A$2:$A7102+$C$2:$C7102)), "")*24*60, "")</f>
        <v>0</v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ref="A7104:C7104" si="1452">A7103</f>
        <v>45996</v>
      </c>
      <c r="B7104" s="5" t="str">
        <f t="shared" si="1452"/>
        <v>Mourning Dove</v>
      </c>
      <c r="C7104" s="6">
        <f t="shared" si="1452"/>
        <v>0.4826388888888889</v>
      </c>
      <c r="D7104" s="5"/>
      <c r="E7104" s="5"/>
      <c r="F7104" s="5" t="s">
        <v>22</v>
      </c>
      <c r="G7104" s="15" t="s">
        <v>22</v>
      </c>
      <c r="H7104" s="24">
        <f t="shared" si="1412"/>
        <v>0</v>
      </c>
      <c r="I7104" s="24" t="str" cm="1">
        <f t="array" ref="I7104">IFERROR(IF($B7104=I$1, ($A7104+$C7104) - MAX(IF($B$2:$B7103=$B7104, $A$2:$A7103+$C$2:$C7103)), "")*24*60, "")</f>
        <v/>
      </c>
      <c r="J7104" s="24" t="str" cm="1">
        <f t="array" ref="J7104">IFERROR(IF($B7104=J$1, ($A7104+$C7104) - MAX(IF($B$2:$B7103=$B7104, $A$2:$A7103+$C$2:$C7103)), "")*24*60, "")</f>
        <v/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cm="1">
        <f t="array" ref="O7104">IFERROR(IF($B7104=O$1, ($A7104+$C7104) - MAX(IF($B$2:$B7103=$B7104, $A$2:$A7103+$C$2:$C7103)), "")*24*60, "")</f>
        <v>0</v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ref="A7105:C7105" si="1453">A7104</f>
        <v>45996</v>
      </c>
      <c r="B7105" s="5" t="str">
        <f t="shared" si="1453"/>
        <v>Mourning Dove</v>
      </c>
      <c r="C7105" s="6">
        <f t="shared" si="1453"/>
        <v>0.4826388888888889</v>
      </c>
      <c r="D7105" s="5"/>
      <c r="E7105" s="5"/>
      <c r="F7105" s="5" t="s">
        <v>22</v>
      </c>
      <c r="G7105" s="15" t="s">
        <v>22</v>
      </c>
      <c r="H7105" s="24">
        <f t="shared" si="1412"/>
        <v>0</v>
      </c>
      <c r="I7105" s="24" t="str" cm="1">
        <f t="array" ref="I7105">IFERROR(IF($B7105=I$1, ($A7105+$C7105) - MAX(IF($B$2:$B7104=$B7105, $A$2:$A7104+$C$2:$C7104)), "")*24*60, "")</f>
        <v/>
      </c>
      <c r="J7105" s="24" t="str" cm="1">
        <f t="array" ref="J7105">IFERROR(IF($B7105=J$1, ($A7105+$C7105) - MAX(IF($B$2:$B7104=$B7105, $A$2:$A7104+$C$2:$C7104)), "")*24*60, "")</f>
        <v/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cm="1">
        <f t="array" ref="O7105">IFERROR(IF($B7105=O$1, ($A7105+$C7105) - MAX(IF($B$2:$B7104=$B7105, $A$2:$A7104+$C$2:$C7104)), "")*24*60, "")</f>
        <v>0</v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ref="A7106:C7106" si="1454">A7105</f>
        <v>45996</v>
      </c>
      <c r="B7106" s="5" t="str">
        <f t="shared" si="1454"/>
        <v>Mourning Dove</v>
      </c>
      <c r="C7106" s="6">
        <f t="shared" si="1454"/>
        <v>0.4826388888888889</v>
      </c>
      <c r="D7106" s="5"/>
      <c r="E7106" s="5"/>
      <c r="F7106" s="5" t="s">
        <v>22</v>
      </c>
      <c r="G7106" s="15" t="s">
        <v>22</v>
      </c>
      <c r="H7106" s="24">
        <f t="shared" si="1412"/>
        <v>0</v>
      </c>
      <c r="I7106" s="24" t="str" cm="1">
        <f t="array" ref="I7106">IFERROR(IF($B7106=I$1, ($A7106+$C7106) - MAX(IF($B$2:$B7105=$B7106, $A$2:$A7105+$C$2:$C7105)), "")*24*60, "")</f>
        <v/>
      </c>
      <c r="J7106" s="24" t="str" cm="1">
        <f t="array" ref="J7106">IFERROR(IF($B7106=J$1, ($A7106+$C7106) - MAX(IF($B$2:$B7105=$B7106, $A$2:$A7105+$C$2:$C7105)), "")*24*60, "")</f>
        <v/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cm="1">
        <f t="array" ref="O7106">IFERROR(IF($B7106=O$1, ($A7106+$C7106) - MAX(IF($B$2:$B7105=$B7106, $A$2:$A7105+$C$2:$C7105)), "")*24*60, "")</f>
        <v>0</v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ref="A7107:C7107" si="1455">A7106</f>
        <v>45996</v>
      </c>
      <c r="B7107" s="5" t="str">
        <f t="shared" si="1455"/>
        <v>Mourning Dove</v>
      </c>
      <c r="C7107" s="6">
        <f t="shared" si="1455"/>
        <v>0.4826388888888889</v>
      </c>
      <c r="D7107" s="5"/>
      <c r="E7107" s="5"/>
      <c r="F7107" s="5" t="s">
        <v>22</v>
      </c>
      <c r="G7107" s="15" t="s">
        <v>22</v>
      </c>
      <c r="H7107" s="24">
        <f t="shared" si="1412"/>
        <v>0</v>
      </c>
      <c r="I7107" s="24" t="str" cm="1">
        <f t="array" ref="I7107">IFERROR(IF($B7107=I$1, ($A7107+$C7107) - MAX(IF($B$2:$B7106=$B7107, $A$2:$A7106+$C$2:$C7106)), "")*24*60, "")</f>
        <v/>
      </c>
      <c r="J7107" s="24" t="str" cm="1">
        <f t="array" ref="J7107">IFERROR(IF($B7107=J$1, ($A7107+$C7107) - MAX(IF($B$2:$B7106=$B7107, $A$2:$A7106+$C$2:$C7106)), "")*24*60, "")</f>
        <v/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cm="1">
        <f t="array" ref="O7107">IFERROR(IF($B7107=O$1, ($A7107+$C7107) - MAX(IF($B$2:$B7106=$B7107, $A$2:$A7106+$C$2:$C7106)), "")*24*60, "")</f>
        <v>0</v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ref="A7108:C7108" si="1456">A7107</f>
        <v>45996</v>
      </c>
      <c r="B7108" s="5" t="str">
        <f t="shared" si="1456"/>
        <v>Mourning Dove</v>
      </c>
      <c r="C7108" s="6">
        <f t="shared" si="1456"/>
        <v>0.4826388888888889</v>
      </c>
      <c r="D7108" s="5"/>
      <c r="E7108" s="5"/>
      <c r="F7108" s="5" t="s">
        <v>22</v>
      </c>
      <c r="G7108" s="15" t="s">
        <v>22</v>
      </c>
      <c r="H7108" s="24">
        <f t="shared" si="1412"/>
        <v>0</v>
      </c>
      <c r="I7108" s="24" t="str" cm="1">
        <f t="array" ref="I7108">IFERROR(IF($B7108=I$1, ($A7108+$C7108) - MAX(IF($B$2:$B7107=$B7108, $A$2:$A7107+$C$2:$C7107)), "")*24*60, "")</f>
        <v/>
      </c>
      <c r="J7108" s="24" t="str" cm="1">
        <f t="array" ref="J7108">IFERROR(IF($B7108=J$1, ($A7108+$C7108) - MAX(IF($B$2:$B7107=$B7108, $A$2:$A7107+$C$2:$C7107)), "")*24*60, "")</f>
        <v/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cm="1">
        <f t="array" ref="O7108">IFERROR(IF($B7108=O$1, ($A7108+$C7108) - MAX(IF($B$2:$B7107=$B7108, $A$2:$A7107+$C$2:$C7107)), "")*24*60, "")</f>
        <v>0</v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ref="A7109:C7109" si="1457">A7108</f>
        <v>45996</v>
      </c>
      <c r="B7109" s="5" t="str">
        <f t="shared" si="1457"/>
        <v>Mourning Dove</v>
      </c>
      <c r="C7109" s="6">
        <f t="shared" si="1457"/>
        <v>0.4826388888888889</v>
      </c>
      <c r="D7109" s="5"/>
      <c r="E7109" s="5"/>
      <c r="F7109" s="5" t="s">
        <v>22</v>
      </c>
      <c r="G7109" s="15" t="s">
        <v>22</v>
      </c>
      <c r="H7109" s="24">
        <f t="shared" si="1412"/>
        <v>0</v>
      </c>
      <c r="I7109" s="24" t="str" cm="1">
        <f t="array" ref="I7109">IFERROR(IF($B7109=I$1, ($A7109+$C7109) - MAX(IF($B$2:$B7108=$B7109, $A$2:$A7108+$C$2:$C7108)), "")*24*60, "")</f>
        <v/>
      </c>
      <c r="J7109" s="24" t="str" cm="1">
        <f t="array" ref="J7109">IFERROR(IF($B7109=J$1, ($A7109+$C7109) - MAX(IF($B$2:$B7108=$B7109, $A$2:$A7108+$C$2:$C7108)), "")*24*60, "")</f>
        <v/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cm="1">
        <f t="array" ref="O7109">IFERROR(IF($B7109=O$1, ($A7109+$C7109) - MAX(IF($B$2:$B7108=$B7109, $A$2:$A7108+$C$2:$C7108)), "")*24*60, "")</f>
        <v>0</v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ref="A7110:C7110" si="1458">A7109</f>
        <v>45996</v>
      </c>
      <c r="B7110" s="5" t="str">
        <f t="shared" si="1458"/>
        <v>Mourning Dove</v>
      </c>
      <c r="C7110" s="6">
        <f t="shared" si="1458"/>
        <v>0.4826388888888889</v>
      </c>
      <c r="D7110" s="5"/>
      <c r="E7110" s="5"/>
      <c r="F7110" s="5" t="s">
        <v>22</v>
      </c>
      <c r="G7110" s="15" t="s">
        <v>22</v>
      </c>
      <c r="H7110" s="24">
        <f t="shared" si="1412"/>
        <v>0</v>
      </c>
      <c r="I7110" s="24" t="str" cm="1">
        <f t="array" ref="I7110">IFERROR(IF($B7110=I$1, ($A7110+$C7110) - MAX(IF($B$2:$B7109=$B7110, $A$2:$A7109+$C$2:$C7109)), "")*24*60, "")</f>
        <v/>
      </c>
      <c r="J7110" s="24" t="str" cm="1">
        <f t="array" ref="J7110">IFERROR(IF($B7110=J$1, ($A7110+$C7110) - MAX(IF($B$2:$B7109=$B7110, $A$2:$A7109+$C$2:$C7109)), "")*24*60, "")</f>
        <v/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cm="1">
        <f t="array" ref="O7110">IFERROR(IF($B7110=O$1, ($A7110+$C7110) - MAX(IF($B$2:$B7109=$B7110, $A$2:$A7109+$C$2:$C7109)), "")*24*60, "")</f>
        <v>0</v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ref="A7111:C7111" si="1459">A7110</f>
        <v>45996</v>
      </c>
      <c r="B7111" s="5" t="str">
        <f t="shared" si="1459"/>
        <v>Mourning Dove</v>
      </c>
      <c r="C7111" s="6">
        <f t="shared" si="1459"/>
        <v>0.4826388888888889</v>
      </c>
      <c r="D7111" s="5"/>
      <c r="E7111" s="5"/>
      <c r="F7111" s="5" t="s">
        <v>22</v>
      </c>
      <c r="G7111" s="15" t="s">
        <v>22</v>
      </c>
      <c r="H7111" s="24">
        <f t="shared" si="1412"/>
        <v>0</v>
      </c>
      <c r="I7111" s="24" t="str" cm="1">
        <f t="array" ref="I7111">IFERROR(IF($B7111=I$1, ($A7111+$C7111) - MAX(IF($B$2:$B7110=$B7111, $A$2:$A7110+$C$2:$C7110)), "")*24*60, "")</f>
        <v/>
      </c>
      <c r="J7111" s="24" t="str" cm="1">
        <f t="array" ref="J7111">IFERROR(IF($B7111=J$1, ($A7111+$C7111) - MAX(IF($B$2:$B7110=$B7111, $A$2:$A7110+$C$2:$C7110)), "")*24*60, "")</f>
        <v/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cm="1">
        <f t="array" ref="O7111">IFERROR(IF($B7111=O$1, ($A7111+$C7111) - MAX(IF($B$2:$B7110=$B7111, $A$2:$A7110+$C$2:$C7110)), "")*24*60, "")</f>
        <v>0</v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ref="A7112:C7112" si="1460">A7111</f>
        <v>45996</v>
      </c>
      <c r="B7112" s="5" t="str">
        <f t="shared" si="1460"/>
        <v>Mourning Dove</v>
      </c>
      <c r="C7112" s="6">
        <f t="shared" si="1460"/>
        <v>0.4826388888888889</v>
      </c>
      <c r="D7112" s="5"/>
      <c r="E7112" s="5"/>
      <c r="F7112" s="5" t="s">
        <v>22</v>
      </c>
      <c r="G7112" s="15" t="s">
        <v>22</v>
      </c>
      <c r="H7112" s="24">
        <f t="shared" si="1412"/>
        <v>0</v>
      </c>
      <c r="I7112" s="24" t="str" cm="1">
        <f t="array" ref="I7112">IFERROR(IF($B7112=I$1, ($A7112+$C7112) - MAX(IF($B$2:$B7111=$B7112, $A$2:$A7111+$C$2:$C7111)), "")*24*60, "")</f>
        <v/>
      </c>
      <c r="J7112" s="24" t="str" cm="1">
        <f t="array" ref="J7112">IFERROR(IF($B7112=J$1, ($A7112+$C7112) - MAX(IF($B$2:$B7111=$B7112, $A$2:$A7111+$C$2:$C7111)), "")*24*60, "")</f>
        <v/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cm="1">
        <f t="array" ref="O7112">IFERROR(IF($B7112=O$1, ($A7112+$C7112) - MAX(IF($B$2:$B7111=$B7112, $A$2:$A7111+$C$2:$C7111)), "")*24*60, "")</f>
        <v>0</v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ref="A7113:C7113" si="1461">A7112</f>
        <v>45996</v>
      </c>
      <c r="B7113" s="5" t="str">
        <f t="shared" si="1461"/>
        <v>Mourning Dove</v>
      </c>
      <c r="C7113" s="6">
        <f t="shared" si="1461"/>
        <v>0.4826388888888889</v>
      </c>
      <c r="D7113" s="5"/>
      <c r="E7113" s="5"/>
      <c r="F7113" s="5" t="s">
        <v>22</v>
      </c>
      <c r="G7113" s="15" t="s">
        <v>22</v>
      </c>
      <c r="H7113" s="24">
        <f t="shared" si="1412"/>
        <v>0</v>
      </c>
      <c r="I7113" s="24" t="str" cm="1">
        <f t="array" ref="I7113">IFERROR(IF($B7113=I$1, ($A7113+$C7113) - MAX(IF($B$2:$B7112=$B7113, $A$2:$A7112+$C$2:$C7112)), "")*24*60, "")</f>
        <v/>
      </c>
      <c r="J7113" s="24" t="str" cm="1">
        <f t="array" ref="J7113">IFERROR(IF($B7113=J$1, ($A7113+$C7113) - MAX(IF($B$2:$B7112=$B7113, $A$2:$A7112+$C$2:$C7112)), "")*24*60, "")</f>
        <v/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cm="1">
        <f t="array" ref="O7113">IFERROR(IF($B7113=O$1, ($A7113+$C7113) - MAX(IF($B$2:$B7112=$B7113, $A$2:$A7112+$C$2:$C7112)), "")*24*60, "")</f>
        <v>0</v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ref="A7114:C7114" si="1462">A7113</f>
        <v>45996</v>
      </c>
      <c r="B7114" s="5" t="str">
        <f t="shared" si="1462"/>
        <v>Mourning Dove</v>
      </c>
      <c r="C7114" s="6">
        <f t="shared" si="1462"/>
        <v>0.4826388888888889</v>
      </c>
      <c r="D7114" s="5"/>
      <c r="E7114" s="5"/>
      <c r="F7114" s="5" t="s">
        <v>22</v>
      </c>
      <c r="G7114" s="15" t="s">
        <v>22</v>
      </c>
      <c r="H7114" s="24">
        <f t="shared" si="1412"/>
        <v>0</v>
      </c>
      <c r="I7114" s="24" t="str" cm="1">
        <f t="array" ref="I7114">IFERROR(IF($B7114=I$1, ($A7114+$C7114) - MAX(IF($B$2:$B7113=$B7114, $A$2:$A7113+$C$2:$C7113)), "")*24*60, "")</f>
        <v/>
      </c>
      <c r="J7114" s="24" t="str" cm="1">
        <f t="array" ref="J7114">IFERROR(IF($B7114=J$1, ($A7114+$C7114) - MAX(IF($B$2:$B7113=$B7114, $A$2:$A7113+$C$2:$C7113)), "")*24*60, "")</f>
        <v/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cm="1">
        <f t="array" ref="O7114">IFERROR(IF($B7114=O$1, ($A7114+$C7114) - MAX(IF($B$2:$B7113=$B7114, $A$2:$A7113+$C$2:$C7113)), "")*24*60, "")</f>
        <v>0</v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ref="A7115:C7115" si="1463">A7114</f>
        <v>45996</v>
      </c>
      <c r="B7115" s="5" t="str">
        <f t="shared" si="1463"/>
        <v>Mourning Dove</v>
      </c>
      <c r="C7115" s="6">
        <f t="shared" si="1463"/>
        <v>0.4826388888888889</v>
      </c>
      <c r="D7115" s="5"/>
      <c r="E7115" s="5"/>
      <c r="F7115" s="5" t="s">
        <v>22</v>
      </c>
      <c r="G7115" s="15" t="s">
        <v>22</v>
      </c>
      <c r="H7115" s="24">
        <f t="shared" si="1412"/>
        <v>0</v>
      </c>
      <c r="I7115" s="24" t="str" cm="1">
        <f t="array" ref="I7115">IFERROR(IF($B7115=I$1, ($A7115+$C7115) - MAX(IF($B$2:$B7114=$B7115, $A$2:$A7114+$C$2:$C7114)), "")*24*60, "")</f>
        <v/>
      </c>
      <c r="J7115" s="24" t="str" cm="1">
        <f t="array" ref="J7115">IFERROR(IF($B7115=J$1, ($A7115+$C7115) - MAX(IF($B$2:$B7114=$B7115, $A$2:$A7114+$C$2:$C7114)), "")*24*60, "")</f>
        <v/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cm="1">
        <f t="array" ref="O7115">IFERROR(IF($B7115=O$1, ($A7115+$C7115) - MAX(IF($B$2:$B7114=$B7115, $A$2:$A7114+$C$2:$C7114)), "")*24*60, "")</f>
        <v>0</v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ref="A7116:C7116" si="1464">A7115</f>
        <v>45996</v>
      </c>
      <c r="B7116" s="5" t="str">
        <f t="shared" si="1464"/>
        <v>Mourning Dove</v>
      </c>
      <c r="C7116" s="6">
        <f t="shared" si="1464"/>
        <v>0.4826388888888889</v>
      </c>
      <c r="D7116" s="5"/>
      <c r="E7116" s="5"/>
      <c r="F7116" s="5" t="s">
        <v>22</v>
      </c>
      <c r="G7116" s="15" t="s">
        <v>22</v>
      </c>
      <c r="H7116" s="24">
        <f t="shared" si="1412"/>
        <v>0</v>
      </c>
      <c r="I7116" s="24" t="str" cm="1">
        <f t="array" ref="I7116">IFERROR(IF($B7116=I$1, ($A7116+$C7116) - MAX(IF($B$2:$B7115=$B7116, $A$2:$A7115+$C$2:$C7115)), "")*24*60, "")</f>
        <v/>
      </c>
      <c r="J7116" s="24" t="str" cm="1">
        <f t="array" ref="J7116">IFERROR(IF($B7116=J$1, ($A7116+$C7116) - MAX(IF($B$2:$B7115=$B7116, $A$2:$A7115+$C$2:$C7115)), "")*24*60, "")</f>
        <v/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cm="1">
        <f t="array" ref="O7116">IFERROR(IF($B7116=O$1, ($A7116+$C7116) - MAX(IF($B$2:$B7115=$B7116, $A$2:$A7115+$C$2:$C7115)), "")*24*60, "")</f>
        <v>0</v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ref="A7117:C7117" si="1465">A7116</f>
        <v>45996</v>
      </c>
      <c r="B7117" s="5" t="str">
        <f t="shared" si="1465"/>
        <v>Mourning Dove</v>
      </c>
      <c r="C7117" s="6">
        <f t="shared" si="1465"/>
        <v>0.4826388888888889</v>
      </c>
      <c r="D7117" s="5"/>
      <c r="E7117" s="5"/>
      <c r="F7117" s="5" t="s">
        <v>22</v>
      </c>
      <c r="G7117" s="15" t="s">
        <v>22</v>
      </c>
      <c r="H7117" s="24">
        <f t="shared" si="1412"/>
        <v>0</v>
      </c>
      <c r="I7117" s="24" t="str" cm="1">
        <f t="array" ref="I7117">IFERROR(IF($B7117=I$1, ($A7117+$C7117) - MAX(IF($B$2:$B7116=$B7117, $A$2:$A7116+$C$2:$C7116)), "")*24*60, "")</f>
        <v/>
      </c>
      <c r="J7117" s="24" t="str" cm="1">
        <f t="array" ref="J7117">IFERROR(IF($B7117=J$1, ($A7117+$C7117) - MAX(IF($B$2:$B7116=$B7117, $A$2:$A7116+$C$2:$C7116)), "")*24*60, "")</f>
        <v/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cm="1">
        <f t="array" ref="O7117">IFERROR(IF($B7117=O$1, ($A7117+$C7117) - MAX(IF($B$2:$B7116=$B7117, $A$2:$A7116+$C$2:$C7116)), "")*24*60, "")</f>
        <v>0</v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ref="A7118:C7118" si="1466">A7117</f>
        <v>45996</v>
      </c>
      <c r="B7118" s="5" t="str">
        <f t="shared" si="1466"/>
        <v>Mourning Dove</v>
      </c>
      <c r="C7118" s="6">
        <f t="shared" si="1466"/>
        <v>0.4826388888888889</v>
      </c>
      <c r="D7118" s="5"/>
      <c r="E7118" s="5"/>
      <c r="F7118" s="5" t="s">
        <v>22</v>
      </c>
      <c r="G7118" s="15" t="s">
        <v>22</v>
      </c>
      <c r="H7118" s="24">
        <f t="shared" si="1412"/>
        <v>0</v>
      </c>
      <c r="I7118" s="24" t="str" cm="1">
        <f t="array" ref="I7118">IFERROR(IF($B7118=I$1, ($A7118+$C7118) - MAX(IF($B$2:$B7117=$B7118, $A$2:$A7117+$C$2:$C7117)), "")*24*60, "")</f>
        <v/>
      </c>
      <c r="J7118" s="24" t="str" cm="1">
        <f t="array" ref="J7118">IFERROR(IF($B7118=J$1, ($A7118+$C7118) - MAX(IF($B$2:$B7117=$B7118, $A$2:$A7117+$C$2:$C7117)), "")*24*60, "")</f>
        <v/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cm="1">
        <f t="array" ref="O7118">IFERROR(IF($B7118=O$1, ($A7118+$C7118) - MAX(IF($B$2:$B7117=$B7118, $A$2:$A7117+$C$2:$C7117)), "")*24*60, "")</f>
        <v>0</v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ref="A7119:C7119" si="1467">A7118</f>
        <v>45996</v>
      </c>
      <c r="B7119" s="5" t="str">
        <f t="shared" si="1467"/>
        <v>Mourning Dove</v>
      </c>
      <c r="C7119" s="6">
        <f t="shared" si="1467"/>
        <v>0.4826388888888889</v>
      </c>
      <c r="D7119" s="5"/>
      <c r="E7119" s="5"/>
      <c r="F7119" s="5" t="s">
        <v>22</v>
      </c>
      <c r="G7119" s="15" t="s">
        <v>22</v>
      </c>
      <c r="H7119" s="24">
        <f t="shared" si="1412"/>
        <v>0</v>
      </c>
      <c r="I7119" s="24" t="str" cm="1">
        <f t="array" ref="I7119">IFERROR(IF($B7119=I$1, ($A7119+$C7119) - MAX(IF($B$2:$B7118=$B7119, $A$2:$A7118+$C$2:$C7118)), "")*24*60, "")</f>
        <v/>
      </c>
      <c r="J7119" s="24" t="str" cm="1">
        <f t="array" ref="J7119">IFERROR(IF($B7119=J$1, ($A7119+$C7119) - MAX(IF($B$2:$B7118=$B7119, $A$2:$A7118+$C$2:$C7118)), "")*24*60, "")</f>
        <v/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cm="1">
        <f t="array" ref="O7119">IFERROR(IF($B7119=O$1, ($A7119+$C7119) - MAX(IF($B$2:$B7118=$B7119, $A$2:$A7118+$C$2:$C7118)), "")*24*60, "")</f>
        <v>0</v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ref="A7120:C7120" si="1468">A7119</f>
        <v>45996</v>
      </c>
      <c r="B7120" s="5" t="str">
        <f t="shared" si="1468"/>
        <v>Mourning Dove</v>
      </c>
      <c r="C7120" s="6">
        <f t="shared" si="1468"/>
        <v>0.4826388888888889</v>
      </c>
      <c r="D7120" s="5"/>
      <c r="E7120" s="5"/>
      <c r="F7120" s="5" t="s">
        <v>22</v>
      </c>
      <c r="G7120" s="15" t="s">
        <v>22</v>
      </c>
      <c r="H7120" s="24">
        <f t="shared" si="1412"/>
        <v>0</v>
      </c>
      <c r="I7120" s="24" t="str" cm="1">
        <f t="array" ref="I7120">IFERROR(IF($B7120=I$1, ($A7120+$C7120) - MAX(IF($B$2:$B7119=$B7120, $A$2:$A7119+$C$2:$C7119)), "")*24*60, "")</f>
        <v/>
      </c>
      <c r="J7120" s="24" t="str" cm="1">
        <f t="array" ref="J7120">IFERROR(IF($B7120=J$1, ($A7120+$C7120) - MAX(IF($B$2:$B7119=$B7120, $A$2:$A7119+$C$2:$C7119)), "")*24*60, "")</f>
        <v/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cm="1">
        <f t="array" ref="O7120">IFERROR(IF($B7120=O$1, ($A7120+$C7120) - MAX(IF($B$2:$B7119=$B7120, $A$2:$A7119+$C$2:$C7119)), "")*24*60, "")</f>
        <v>0</v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ref="A7121:C7121" si="1469">A7120</f>
        <v>45996</v>
      </c>
      <c r="B7121" s="5" t="str">
        <f t="shared" si="1469"/>
        <v>Mourning Dove</v>
      </c>
      <c r="C7121" s="6">
        <f t="shared" si="1469"/>
        <v>0.4826388888888889</v>
      </c>
      <c r="D7121" s="5"/>
      <c r="E7121" s="5"/>
      <c r="F7121" s="5" t="s">
        <v>22</v>
      </c>
      <c r="G7121" s="15" t="s">
        <v>22</v>
      </c>
      <c r="H7121" s="24">
        <f t="shared" si="1412"/>
        <v>0</v>
      </c>
      <c r="I7121" s="24" t="str" cm="1">
        <f t="array" ref="I7121">IFERROR(IF($B7121=I$1, ($A7121+$C7121) - MAX(IF($B$2:$B7120=$B7121, $A$2:$A7120+$C$2:$C7120)), "")*24*60, "")</f>
        <v/>
      </c>
      <c r="J7121" s="24" t="str" cm="1">
        <f t="array" ref="J7121">IFERROR(IF($B7121=J$1, ($A7121+$C7121) - MAX(IF($B$2:$B7120=$B7121, $A$2:$A7120+$C$2:$C7120)), "")*24*60, "")</f>
        <v/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cm="1">
        <f t="array" ref="O7121">IFERROR(IF($B7121=O$1, ($A7121+$C7121) - MAX(IF($B$2:$B7120=$B7121, $A$2:$A7120+$C$2:$C7120)), "")*24*60, "")</f>
        <v>0</v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ref="A7122:C7122" si="1470">A7121</f>
        <v>45996</v>
      </c>
      <c r="B7122" s="5" t="str">
        <f t="shared" si="1470"/>
        <v>Mourning Dove</v>
      </c>
      <c r="C7122" s="6">
        <f t="shared" si="1470"/>
        <v>0.4826388888888889</v>
      </c>
      <c r="D7122" s="5"/>
      <c r="E7122" s="5"/>
      <c r="F7122" s="5" t="s">
        <v>22</v>
      </c>
      <c r="G7122" s="15" t="s">
        <v>22</v>
      </c>
      <c r="H7122" s="24">
        <f t="shared" si="1412"/>
        <v>0</v>
      </c>
      <c r="I7122" s="24" t="str" cm="1">
        <f t="array" ref="I7122">IFERROR(IF($B7122=I$1, ($A7122+$C7122) - MAX(IF($B$2:$B7121=$B7122, $A$2:$A7121+$C$2:$C7121)), "")*24*60, "")</f>
        <v/>
      </c>
      <c r="J7122" s="24" t="str" cm="1">
        <f t="array" ref="J7122">IFERROR(IF($B7122=J$1, ($A7122+$C7122) - MAX(IF($B$2:$B7121=$B7122, $A$2:$A7121+$C$2:$C7121)), "")*24*60, "")</f>
        <v/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cm="1">
        <f t="array" ref="O7122">IFERROR(IF($B7122=O$1, ($A7122+$C7122) - MAX(IF($B$2:$B7121=$B7122, $A$2:$A7121+$C$2:$C7121)), "")*24*60, "")</f>
        <v>0</v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ref="A7123:C7123" si="1471">A7122</f>
        <v>45996</v>
      </c>
      <c r="B7123" s="5" t="str">
        <f t="shared" si="1471"/>
        <v>Mourning Dove</v>
      </c>
      <c r="C7123" s="6">
        <f t="shared" si="1471"/>
        <v>0.4826388888888889</v>
      </c>
      <c r="D7123" s="5"/>
      <c r="E7123" s="5"/>
      <c r="F7123" s="5" t="s">
        <v>22</v>
      </c>
      <c r="G7123" s="15" t="s">
        <v>22</v>
      </c>
      <c r="H7123" s="24">
        <f t="shared" si="1412"/>
        <v>0</v>
      </c>
      <c r="I7123" s="24" t="str" cm="1">
        <f t="array" ref="I7123">IFERROR(IF($B7123=I$1, ($A7123+$C7123) - MAX(IF($B$2:$B7122=$B7123, $A$2:$A7122+$C$2:$C7122)), "")*24*60, "")</f>
        <v/>
      </c>
      <c r="J7123" s="24" t="str" cm="1">
        <f t="array" ref="J7123">IFERROR(IF($B7123=J$1, ($A7123+$C7123) - MAX(IF($B$2:$B7122=$B7123, $A$2:$A7122+$C$2:$C7122)), "")*24*60, "")</f>
        <v/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cm="1">
        <f t="array" ref="O7123">IFERROR(IF($B7123=O$1, ($A7123+$C7123) - MAX(IF($B$2:$B7122=$B7123, $A$2:$A7122+$C$2:$C7122)), "")*24*60, "")</f>
        <v>0</v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ref="A7124:C7124" si="1472">A7123</f>
        <v>45996</v>
      </c>
      <c r="B7124" s="5" t="str">
        <f t="shared" si="1472"/>
        <v>Mourning Dove</v>
      </c>
      <c r="C7124" s="6">
        <f t="shared" si="1472"/>
        <v>0.4826388888888889</v>
      </c>
      <c r="D7124" s="5"/>
      <c r="E7124" s="5"/>
      <c r="F7124" s="5" t="s">
        <v>22</v>
      </c>
      <c r="G7124" s="15" t="s">
        <v>22</v>
      </c>
      <c r="H7124" s="24">
        <f t="shared" si="1412"/>
        <v>0</v>
      </c>
      <c r="I7124" s="24" t="str" cm="1">
        <f t="array" ref="I7124">IFERROR(IF($B7124=I$1, ($A7124+$C7124) - MAX(IF($B$2:$B7123=$B7124, $A$2:$A7123+$C$2:$C7123)), "")*24*60, "")</f>
        <v/>
      </c>
      <c r="J7124" s="24" t="str" cm="1">
        <f t="array" ref="J7124">IFERROR(IF($B7124=J$1, ($A7124+$C7124) - MAX(IF($B$2:$B7123=$B7124, $A$2:$A7123+$C$2:$C7123)), "")*24*60, "")</f>
        <v/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cm="1">
        <f t="array" ref="O7124">IFERROR(IF($B7124=O$1, ($A7124+$C7124) - MAX(IF($B$2:$B7123=$B7124, $A$2:$A7123+$C$2:$C7123)), "")*24*60, "")</f>
        <v>0</v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ref="A7125:C7125" si="1473">A7124</f>
        <v>45996</v>
      </c>
      <c r="B7125" s="5" t="str">
        <f t="shared" si="1473"/>
        <v>Mourning Dove</v>
      </c>
      <c r="C7125" s="6">
        <f t="shared" si="1473"/>
        <v>0.4826388888888889</v>
      </c>
      <c r="D7125" s="5"/>
      <c r="E7125" s="5"/>
      <c r="F7125" s="5" t="s">
        <v>22</v>
      </c>
      <c r="G7125" s="15" t="s">
        <v>22</v>
      </c>
      <c r="H7125" s="24">
        <f t="shared" si="1412"/>
        <v>0</v>
      </c>
      <c r="I7125" s="24" t="str" cm="1">
        <f t="array" ref="I7125">IFERROR(IF($B7125=I$1, ($A7125+$C7125) - MAX(IF($B$2:$B7124=$B7125, $A$2:$A7124+$C$2:$C7124)), "")*24*60, "")</f>
        <v/>
      </c>
      <c r="J7125" s="24" t="str" cm="1">
        <f t="array" ref="J7125">IFERROR(IF($B7125=J$1, ($A7125+$C7125) - MAX(IF($B$2:$B7124=$B7125, $A$2:$A7124+$C$2:$C7124)), "")*24*60, "")</f>
        <v/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cm="1">
        <f t="array" ref="O7125">IFERROR(IF($B7125=O$1, ($A7125+$C7125) - MAX(IF($B$2:$B7124=$B7125, $A$2:$A7124+$C$2:$C7124)), "")*24*60, "")</f>
        <v>0</v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ref="A7126:C7126" si="1474">A7125</f>
        <v>45996</v>
      </c>
      <c r="B7126" s="5" t="str">
        <f t="shared" si="1474"/>
        <v>Mourning Dove</v>
      </c>
      <c r="C7126" s="6">
        <f t="shared" si="1474"/>
        <v>0.4826388888888889</v>
      </c>
      <c r="D7126" s="5"/>
      <c r="E7126" s="5"/>
      <c r="F7126" s="5" t="s">
        <v>22</v>
      </c>
      <c r="G7126" s="15" t="s">
        <v>22</v>
      </c>
      <c r="H7126" s="24">
        <f t="shared" si="1412"/>
        <v>0</v>
      </c>
      <c r="I7126" s="24" t="str" cm="1">
        <f t="array" ref="I7126">IFERROR(IF($B7126=I$1, ($A7126+$C7126) - MAX(IF($B$2:$B7125=$B7126, $A$2:$A7125+$C$2:$C7125)), "")*24*60, "")</f>
        <v/>
      </c>
      <c r="J7126" s="24" t="str" cm="1">
        <f t="array" ref="J7126">IFERROR(IF($B7126=J$1, ($A7126+$C7126) - MAX(IF($B$2:$B7125=$B7126, $A$2:$A7125+$C$2:$C7125)), "")*24*60, "")</f>
        <v/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cm="1">
        <f t="array" ref="O7126">IFERROR(IF($B7126=O$1, ($A7126+$C7126) - MAX(IF($B$2:$B7125=$B7126, $A$2:$A7125+$C$2:$C7125)), "")*24*60, "")</f>
        <v>0</v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ref="A7127:C7127" si="1475">A7126</f>
        <v>45996</v>
      </c>
      <c r="B7127" s="5" t="str">
        <f t="shared" si="1475"/>
        <v>Mourning Dove</v>
      </c>
      <c r="C7127" s="6">
        <f t="shared" si="1475"/>
        <v>0.4826388888888889</v>
      </c>
      <c r="D7127" s="5"/>
      <c r="E7127" s="5"/>
      <c r="F7127" s="5" t="s">
        <v>22</v>
      </c>
      <c r="G7127" s="15" t="s">
        <v>22</v>
      </c>
      <c r="H7127" s="24">
        <f t="shared" si="1412"/>
        <v>0</v>
      </c>
      <c r="I7127" s="24" t="str" cm="1">
        <f t="array" ref="I7127">IFERROR(IF($B7127=I$1, ($A7127+$C7127) - MAX(IF($B$2:$B7126=$B7127, $A$2:$A7126+$C$2:$C7126)), "")*24*60, "")</f>
        <v/>
      </c>
      <c r="J7127" s="24" t="str" cm="1">
        <f t="array" ref="J7127">IFERROR(IF($B7127=J$1, ($A7127+$C7127) - MAX(IF($B$2:$B7126=$B7127, $A$2:$A7126+$C$2:$C7126)), "")*24*60, "")</f>
        <v/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cm="1">
        <f t="array" ref="O7127">IFERROR(IF($B7127=O$1, ($A7127+$C7127) - MAX(IF($B$2:$B7126=$B7127, $A$2:$A7126+$C$2:$C7126)), "")*24*60, "")</f>
        <v>0</v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ref="A7128:C7128" si="1476">A7127</f>
        <v>45996</v>
      </c>
      <c r="B7128" s="5" t="str">
        <f t="shared" si="1476"/>
        <v>Mourning Dove</v>
      </c>
      <c r="C7128" s="6">
        <f t="shared" si="1476"/>
        <v>0.4826388888888889</v>
      </c>
      <c r="D7128" s="5"/>
      <c r="E7128" s="5"/>
      <c r="F7128" s="5" t="s">
        <v>22</v>
      </c>
      <c r="G7128" s="15" t="s">
        <v>22</v>
      </c>
      <c r="H7128" s="24">
        <f t="shared" ref="H7128:H7190" si="1477">IFERROR((($A7128+$C7128) - ($A7127+$C7127))*24*60, "")</f>
        <v>0</v>
      </c>
      <c r="I7128" s="24" t="str" cm="1">
        <f t="array" ref="I7128">IFERROR(IF($B7128=I$1, ($A7128+$C7128) - MAX(IF($B$2:$B7127=$B7128, $A$2:$A7127+$C$2:$C7127)), "")*24*60, "")</f>
        <v/>
      </c>
      <c r="J7128" s="24" t="str" cm="1">
        <f t="array" ref="J7128">IFERROR(IF($B7128=J$1, ($A7128+$C7128) - MAX(IF($B$2:$B7127=$B7128, $A$2:$A7127+$C$2:$C7127)), "")*24*60, "")</f>
        <v/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cm="1">
        <f t="array" ref="O7128">IFERROR(IF($B7128=O$1, ($A7128+$C7128) - MAX(IF($B$2:$B7127=$B7128, $A$2:$A7127+$C$2:$C7127)), "")*24*60, "")</f>
        <v>0</v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ref="A7129:C7129" si="1478">A7128</f>
        <v>45996</v>
      </c>
      <c r="B7129" s="5" t="str">
        <f t="shared" si="1478"/>
        <v>Mourning Dove</v>
      </c>
      <c r="C7129" s="6">
        <f t="shared" si="1478"/>
        <v>0.4826388888888889</v>
      </c>
      <c r="D7129" s="5"/>
      <c r="E7129" s="5"/>
      <c r="F7129" s="5" t="s">
        <v>22</v>
      </c>
      <c r="G7129" s="15" t="s">
        <v>22</v>
      </c>
      <c r="H7129" s="24">
        <f t="shared" si="1477"/>
        <v>0</v>
      </c>
      <c r="I7129" s="24" t="str" cm="1">
        <f t="array" ref="I7129">IFERROR(IF($B7129=I$1, ($A7129+$C7129) - MAX(IF($B$2:$B7128=$B7129, $A$2:$A7128+$C$2:$C7128)), "")*24*60, "")</f>
        <v/>
      </c>
      <c r="J7129" s="24" t="str" cm="1">
        <f t="array" ref="J7129">IFERROR(IF($B7129=J$1, ($A7129+$C7129) - MAX(IF($B$2:$B7128=$B7129, $A$2:$A7128+$C$2:$C7128)), "")*24*60, "")</f>
        <v/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cm="1">
        <f t="array" ref="O7129">IFERROR(IF($B7129=O$1, ($A7129+$C7129) - MAX(IF($B$2:$B7128=$B7129, $A$2:$A7128+$C$2:$C7128)), "")*24*60, "")</f>
        <v>0</v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ref="A7130:C7130" si="1479">A7129</f>
        <v>45996</v>
      </c>
      <c r="B7130" s="5" t="str">
        <f t="shared" si="1479"/>
        <v>Mourning Dove</v>
      </c>
      <c r="C7130" s="6">
        <f t="shared" si="1479"/>
        <v>0.4826388888888889</v>
      </c>
      <c r="D7130" s="5"/>
      <c r="E7130" s="5"/>
      <c r="F7130" s="5" t="s">
        <v>22</v>
      </c>
      <c r="G7130" s="15" t="s">
        <v>22</v>
      </c>
      <c r="H7130" s="24">
        <f t="shared" si="1477"/>
        <v>0</v>
      </c>
      <c r="I7130" s="24" t="str" cm="1">
        <f t="array" ref="I7130">IFERROR(IF($B7130=I$1, ($A7130+$C7130) - MAX(IF($B$2:$B7129=$B7130, $A$2:$A7129+$C$2:$C7129)), "")*24*60, "")</f>
        <v/>
      </c>
      <c r="J7130" s="24" t="str" cm="1">
        <f t="array" ref="J7130">IFERROR(IF($B7130=J$1, ($A7130+$C7130) - MAX(IF($B$2:$B7129=$B7130, $A$2:$A7129+$C$2:$C7129)), "")*24*60, "")</f>
        <v/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cm="1">
        <f t="array" ref="O7130">IFERROR(IF($B7130=O$1, ($A7130+$C7130) - MAX(IF($B$2:$B7129=$B7130, $A$2:$A7129+$C$2:$C7129)), "")*24*60, "")</f>
        <v>0</v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ref="A7131:C7131" si="1480">A7130</f>
        <v>45996</v>
      </c>
      <c r="B7131" s="5" t="str">
        <f t="shared" si="1480"/>
        <v>Mourning Dove</v>
      </c>
      <c r="C7131" s="6">
        <f t="shared" si="1480"/>
        <v>0.4826388888888889</v>
      </c>
      <c r="D7131" s="5"/>
      <c r="E7131" s="5"/>
      <c r="F7131" s="5" t="s">
        <v>22</v>
      </c>
      <c r="G7131" s="15" t="s">
        <v>22</v>
      </c>
      <c r="H7131" s="24">
        <f t="shared" si="1477"/>
        <v>0</v>
      </c>
      <c r="I7131" s="24" t="str" cm="1">
        <f t="array" ref="I7131">IFERROR(IF($B7131=I$1, ($A7131+$C7131) - MAX(IF($B$2:$B7130=$B7131, $A$2:$A7130+$C$2:$C7130)), "")*24*60, "")</f>
        <v/>
      </c>
      <c r="J7131" s="24" t="str" cm="1">
        <f t="array" ref="J7131">IFERROR(IF($B7131=J$1, ($A7131+$C7131) - MAX(IF($B$2:$B7130=$B7131, $A$2:$A7130+$C$2:$C7130)), "")*24*60, "")</f>
        <v/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cm="1">
        <f t="array" ref="O7131">IFERROR(IF($B7131=O$1, ($A7131+$C7131) - MAX(IF($B$2:$B7130=$B7131, $A$2:$A7130+$C$2:$C7130)), "")*24*60, "")</f>
        <v>0</v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ref="A7132:C7132" si="1481">A7131</f>
        <v>45996</v>
      </c>
      <c r="B7132" s="5" t="str">
        <f t="shared" si="1481"/>
        <v>Mourning Dove</v>
      </c>
      <c r="C7132" s="6">
        <f t="shared" si="1481"/>
        <v>0.4826388888888889</v>
      </c>
      <c r="D7132" s="5"/>
      <c r="E7132" s="5"/>
      <c r="F7132" s="5" t="s">
        <v>22</v>
      </c>
      <c r="G7132" s="15" t="s">
        <v>22</v>
      </c>
      <c r="H7132" s="24">
        <f t="shared" si="1477"/>
        <v>0</v>
      </c>
      <c r="I7132" s="24" t="str" cm="1">
        <f t="array" ref="I7132">IFERROR(IF($B7132=I$1, ($A7132+$C7132) - MAX(IF($B$2:$B7131=$B7132, $A$2:$A7131+$C$2:$C7131)), "")*24*60, "")</f>
        <v/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cm="1">
        <f t="array" ref="O7132">IFERROR(IF($B7132=O$1, ($A7132+$C7132) - MAX(IF($B$2:$B7131=$B7132, $A$2:$A7131+$C$2:$C7131)), "")*24*60, "")</f>
        <v>0</v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ref="A7133:C7133" si="1482">A7132</f>
        <v>45996</v>
      </c>
      <c r="B7133" s="5" t="str">
        <f t="shared" si="1482"/>
        <v>Mourning Dove</v>
      </c>
      <c r="C7133" s="6">
        <f t="shared" si="1482"/>
        <v>0.4826388888888889</v>
      </c>
      <c r="D7133" s="5"/>
      <c r="E7133" s="5"/>
      <c r="F7133" s="5" t="s">
        <v>22</v>
      </c>
      <c r="G7133" s="15" t="s">
        <v>22</v>
      </c>
      <c r="H7133" s="24">
        <f t="shared" si="1477"/>
        <v>0</v>
      </c>
      <c r="I7133" s="24" t="str" cm="1">
        <f t="array" ref="I7133">IFERROR(IF($B7133=I$1, ($A7133+$C7133) - MAX(IF($B$2:$B7132=$B7133, $A$2:$A7132+$C$2:$C7132)), "")*24*60, "")</f>
        <v/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cm="1">
        <f t="array" ref="O7133">IFERROR(IF($B7133=O$1, ($A7133+$C7133) - MAX(IF($B$2:$B7132=$B7133, $A$2:$A7132+$C$2:$C7132)), "")*24*60, "")</f>
        <v>0</v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ref="A7134:C7134" si="1483">A7133</f>
        <v>45996</v>
      </c>
      <c r="B7134" s="5" t="str">
        <f t="shared" si="1483"/>
        <v>Mourning Dove</v>
      </c>
      <c r="C7134" s="6">
        <f t="shared" si="1483"/>
        <v>0.4826388888888889</v>
      </c>
      <c r="D7134" s="5"/>
      <c r="E7134" s="5"/>
      <c r="F7134" s="5" t="s">
        <v>22</v>
      </c>
      <c r="G7134" s="15" t="s">
        <v>22</v>
      </c>
      <c r="H7134" s="24">
        <f t="shared" si="1477"/>
        <v>0</v>
      </c>
      <c r="I7134" s="24" t="str" cm="1">
        <f t="array" ref="I7134">IFERROR(IF($B7134=I$1, ($A7134+$C7134) - MAX(IF($B$2:$B7133=$B7134, $A$2:$A7133+$C$2:$C7133)), "")*24*60, "")</f>
        <v/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cm="1">
        <f t="array" ref="O7134">IFERROR(IF($B7134=O$1, ($A7134+$C7134) - MAX(IF($B$2:$B7133=$B7134, $A$2:$A7133+$C$2:$C7133)), "")*24*60, "")</f>
        <v>0</v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ref="A7135:C7135" si="1484">A7134</f>
        <v>45996</v>
      </c>
      <c r="B7135" s="5" t="str">
        <f t="shared" si="1484"/>
        <v>Mourning Dove</v>
      </c>
      <c r="C7135" s="6">
        <f t="shared" si="1484"/>
        <v>0.4826388888888889</v>
      </c>
      <c r="D7135" s="5"/>
      <c r="E7135" s="5"/>
      <c r="F7135" s="5" t="s">
        <v>22</v>
      </c>
      <c r="G7135" s="15" t="s">
        <v>22</v>
      </c>
      <c r="H7135" s="24">
        <f t="shared" si="1477"/>
        <v>0</v>
      </c>
      <c r="I7135" s="24" t="str" cm="1">
        <f t="array" ref="I7135">IFERROR(IF($B7135=I$1, ($A7135+$C7135) - MAX(IF($B$2:$B7134=$B7135, $A$2:$A7134+$C$2:$C7134)), "")*24*60, "")</f>
        <v/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cm="1">
        <f t="array" ref="O7135">IFERROR(IF($B7135=O$1, ($A7135+$C7135) - MAX(IF($B$2:$B7134=$B7135, $A$2:$A7134+$C$2:$C7134)), "")*24*60, "")</f>
        <v>0</v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ref="A7136:C7136" si="1485">A7135</f>
        <v>45996</v>
      </c>
      <c r="B7136" s="5" t="str">
        <f t="shared" si="1485"/>
        <v>Mourning Dove</v>
      </c>
      <c r="C7136" s="6">
        <f t="shared" si="1485"/>
        <v>0.4826388888888889</v>
      </c>
      <c r="D7136" s="5"/>
      <c r="E7136" s="5"/>
      <c r="F7136" s="5" t="s">
        <v>22</v>
      </c>
      <c r="G7136" s="15" t="s">
        <v>22</v>
      </c>
      <c r="H7136" s="24">
        <f t="shared" si="1477"/>
        <v>0</v>
      </c>
      <c r="I7136" s="24" t="str" cm="1">
        <f t="array" ref="I7136">IFERROR(IF($B7136=I$1, ($A7136+$C7136) - MAX(IF($B$2:$B7135=$B7136, $A$2:$A7135+$C$2:$C7135)), "")*24*60, "")</f>
        <v/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cm="1">
        <f t="array" ref="O7136">IFERROR(IF($B7136=O$1, ($A7136+$C7136) - MAX(IF($B$2:$B7135=$B7136, $A$2:$A7135+$C$2:$C7135)), "")*24*60, "")</f>
        <v>0</v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ref="A7137:C7137" si="1486">A7136</f>
        <v>45996</v>
      </c>
      <c r="B7137" s="5" t="str">
        <f t="shared" si="1486"/>
        <v>Mourning Dove</v>
      </c>
      <c r="C7137" s="6">
        <f t="shared" si="1486"/>
        <v>0.4826388888888889</v>
      </c>
      <c r="D7137" s="5"/>
      <c r="E7137" s="5"/>
      <c r="F7137" s="5" t="s">
        <v>22</v>
      </c>
      <c r="G7137" s="15" t="s">
        <v>22</v>
      </c>
      <c r="H7137" s="24">
        <f t="shared" si="1477"/>
        <v>0</v>
      </c>
      <c r="I7137" s="24" t="str" cm="1">
        <f t="array" ref="I7137">IFERROR(IF($B7137=I$1, ($A7137+$C7137) - MAX(IF($B$2:$B7136=$B7137, $A$2:$A7136+$C$2:$C7136)), "")*24*60, "")</f>
        <v/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cm="1">
        <f t="array" ref="O7137">IFERROR(IF($B7137=O$1, ($A7137+$C7137) - MAX(IF($B$2:$B7136=$B7137, $A$2:$A7136+$C$2:$C7136)), "")*24*60, "")</f>
        <v>0</v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ref="A7138:C7138" si="1487">A7137</f>
        <v>45996</v>
      </c>
      <c r="B7138" s="5" t="str">
        <f t="shared" si="1487"/>
        <v>Mourning Dove</v>
      </c>
      <c r="C7138" s="6">
        <f t="shared" si="1487"/>
        <v>0.4826388888888889</v>
      </c>
      <c r="D7138" s="5"/>
      <c r="E7138" s="5"/>
      <c r="F7138" s="5" t="s">
        <v>22</v>
      </c>
      <c r="G7138" s="15" t="s">
        <v>22</v>
      </c>
      <c r="H7138" s="24">
        <f t="shared" si="1477"/>
        <v>0</v>
      </c>
      <c r="I7138" s="24" t="str" cm="1">
        <f t="array" ref="I7138">IFERROR(IF($B7138=I$1, ($A7138+$C7138) - MAX(IF($B$2:$B7137=$B7138, $A$2:$A7137+$C$2:$C7137)), "")*24*60, "")</f>
        <v/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cm="1">
        <f t="array" ref="O7138">IFERROR(IF($B7138=O$1, ($A7138+$C7138) - MAX(IF($B$2:$B7137=$B7138, $A$2:$A7137+$C$2:$C7137)), "")*24*60, "")</f>
        <v>0</v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ref="A7139:C7139" si="1488">A7138</f>
        <v>45996</v>
      </c>
      <c r="B7139" s="5" t="str">
        <f t="shared" si="1488"/>
        <v>Mourning Dove</v>
      </c>
      <c r="C7139" s="6">
        <f t="shared" si="1488"/>
        <v>0.4826388888888889</v>
      </c>
      <c r="D7139" s="5"/>
      <c r="E7139" s="5"/>
      <c r="F7139" s="5" t="s">
        <v>22</v>
      </c>
      <c r="G7139" s="15" t="s">
        <v>22</v>
      </c>
      <c r="H7139" s="24">
        <f t="shared" si="1477"/>
        <v>0</v>
      </c>
      <c r="I7139" s="24" t="str" cm="1">
        <f t="array" ref="I7139">IFERROR(IF($B7139=I$1, ($A7139+$C7139) - MAX(IF($B$2:$B7138=$B7139, $A$2:$A7138+$C$2:$C7138)), "")*24*60, "")</f>
        <v/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cm="1">
        <f t="array" ref="O7139">IFERROR(IF($B7139=O$1, ($A7139+$C7139) - MAX(IF($B$2:$B7138=$B7139, $A$2:$A7138+$C$2:$C7138)), "")*24*60, "")</f>
        <v>0</v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ref="A7140:C7140" si="1489">A7139</f>
        <v>45996</v>
      </c>
      <c r="B7140" s="5" t="str">
        <f t="shared" si="1489"/>
        <v>Mourning Dove</v>
      </c>
      <c r="C7140" s="6">
        <f t="shared" si="1489"/>
        <v>0.4826388888888889</v>
      </c>
      <c r="D7140" s="5"/>
      <c r="E7140" s="5"/>
      <c r="F7140" s="5" t="s">
        <v>22</v>
      </c>
      <c r="G7140" s="15" t="s">
        <v>22</v>
      </c>
      <c r="H7140" s="24">
        <f t="shared" si="1477"/>
        <v>0</v>
      </c>
      <c r="I7140" s="24" t="str" cm="1">
        <f t="array" ref="I7140">IFERROR(IF($B7140=I$1, ($A7140+$C7140) - MAX(IF($B$2:$B7139=$B7140, $A$2:$A7139+$C$2:$C7139)), "")*24*60, "")</f>
        <v/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cm="1">
        <f t="array" ref="O7140">IFERROR(IF($B7140=O$1, ($A7140+$C7140) - MAX(IF($B$2:$B7139=$B7140, $A$2:$A7139+$C$2:$C7139)), "")*24*60, "")</f>
        <v>0</v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ref="A7141:C7141" si="1490">A7140</f>
        <v>45996</v>
      </c>
      <c r="B7141" s="5" t="str">
        <f t="shared" si="1490"/>
        <v>Mourning Dove</v>
      </c>
      <c r="C7141" s="6">
        <f t="shared" si="1490"/>
        <v>0.4826388888888889</v>
      </c>
      <c r="D7141" s="5"/>
      <c r="E7141" s="5"/>
      <c r="F7141" s="5" t="s">
        <v>22</v>
      </c>
      <c r="G7141" s="15" t="s">
        <v>22</v>
      </c>
      <c r="H7141" s="24">
        <f t="shared" si="1477"/>
        <v>0</v>
      </c>
      <c r="I7141" s="24" t="str" cm="1">
        <f t="array" ref="I7141">IFERROR(IF($B7141=I$1, ($A7141+$C7141) - MAX(IF($B$2:$B7140=$B7141, $A$2:$A7140+$C$2:$C7140)), "")*24*60, "")</f>
        <v/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cm="1">
        <f t="array" ref="O7141">IFERROR(IF($B7141=O$1, ($A7141+$C7141) - MAX(IF($B$2:$B7140=$B7141, $A$2:$A7140+$C$2:$C7140)), "")*24*60, "")</f>
        <v>0</v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ref="A7142:C7142" si="1491">A7141</f>
        <v>45996</v>
      </c>
      <c r="B7142" s="5" t="str">
        <f t="shared" si="1491"/>
        <v>Mourning Dove</v>
      </c>
      <c r="C7142" s="6">
        <f t="shared" si="1491"/>
        <v>0.4826388888888889</v>
      </c>
      <c r="D7142" s="5"/>
      <c r="E7142" s="5"/>
      <c r="F7142" s="5" t="s">
        <v>22</v>
      </c>
      <c r="G7142" s="15" t="s">
        <v>22</v>
      </c>
      <c r="H7142" s="24">
        <f t="shared" si="1477"/>
        <v>0</v>
      </c>
      <c r="I7142" s="24" t="str" cm="1">
        <f t="array" ref="I7142">IFERROR(IF($B7142=I$1, ($A7142+$C7142) - MAX(IF($B$2:$B7141=$B7142, $A$2:$A7141+$C$2:$C7141)), "")*24*60, "")</f>
        <v/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cm="1">
        <f t="array" ref="O7142">IFERROR(IF($B7142=O$1, ($A7142+$C7142) - MAX(IF($B$2:$B7141=$B7142, $A$2:$A7141+$C$2:$C7141)), "")*24*60, "")</f>
        <v>0</v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ref="A7143:C7143" si="1492">A7142</f>
        <v>45996</v>
      </c>
      <c r="B7143" s="5" t="str">
        <f t="shared" si="1492"/>
        <v>Mourning Dove</v>
      </c>
      <c r="C7143" s="6">
        <f t="shared" si="1492"/>
        <v>0.4826388888888889</v>
      </c>
      <c r="D7143" s="5"/>
      <c r="E7143" s="5"/>
      <c r="F7143" s="5" t="s">
        <v>22</v>
      </c>
      <c r="G7143" s="15" t="s">
        <v>22</v>
      </c>
      <c r="H7143" s="24">
        <f t="shared" si="1477"/>
        <v>0</v>
      </c>
      <c r="I7143" s="24" t="str" cm="1">
        <f t="array" ref="I7143">IFERROR(IF($B7143=I$1, ($A7143+$C7143) - MAX(IF($B$2:$B7142=$B7143, $A$2:$A7142+$C$2:$C7142)), "")*24*60, "")</f>
        <v/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cm="1">
        <f t="array" ref="O7143">IFERROR(IF($B7143=O$1, ($A7143+$C7143) - MAX(IF($B$2:$B7142=$B7143, $A$2:$A7142+$C$2:$C7142)), "")*24*60, "")</f>
        <v>0</v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ref="A7144:C7144" si="1493">A7143</f>
        <v>45996</v>
      </c>
      <c r="B7144" s="5" t="str">
        <f t="shared" si="1493"/>
        <v>Mourning Dove</v>
      </c>
      <c r="C7144" s="6">
        <f t="shared" si="1493"/>
        <v>0.4826388888888889</v>
      </c>
      <c r="D7144" s="5"/>
      <c r="E7144" s="5"/>
      <c r="F7144" s="5" t="s">
        <v>22</v>
      </c>
      <c r="G7144" s="15" t="s">
        <v>22</v>
      </c>
      <c r="H7144" s="24">
        <f t="shared" si="1477"/>
        <v>0</v>
      </c>
      <c r="I7144" s="24" t="str" cm="1">
        <f t="array" ref="I7144">IFERROR(IF($B7144=I$1, ($A7144+$C7144) - MAX(IF($B$2:$B7143=$B7144, $A$2:$A7143+$C$2:$C7143)), "")*24*60, "")</f>
        <v/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cm="1">
        <f t="array" ref="O7144">IFERROR(IF($B7144=O$1, ($A7144+$C7144) - MAX(IF($B$2:$B7143=$B7144, $A$2:$A7143+$C$2:$C7143)), "")*24*60, "")</f>
        <v>0</v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ref="A7145:C7145" si="1494">A7144</f>
        <v>45996</v>
      </c>
      <c r="B7145" s="5" t="str">
        <f t="shared" si="1494"/>
        <v>Mourning Dove</v>
      </c>
      <c r="C7145" s="6">
        <f t="shared" si="1494"/>
        <v>0.4826388888888889</v>
      </c>
      <c r="D7145" s="5"/>
      <c r="E7145" s="5"/>
      <c r="F7145" s="5" t="s">
        <v>22</v>
      </c>
      <c r="G7145" s="15" t="s">
        <v>22</v>
      </c>
      <c r="H7145" s="24">
        <f t="shared" si="1477"/>
        <v>0</v>
      </c>
      <c r="I7145" s="24" t="str" cm="1">
        <f t="array" ref="I7145">IFERROR(IF($B7145=I$1, ($A7145+$C7145) - MAX(IF($B$2:$B7144=$B7145, $A$2:$A7144+$C$2:$C7144)), "")*24*60, "")</f>
        <v/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cm="1">
        <f t="array" ref="O7145">IFERROR(IF($B7145=O$1, ($A7145+$C7145) - MAX(IF($B$2:$B7144=$B7145, $A$2:$A7144+$C$2:$C7144)), "")*24*60, "")</f>
        <v>0</v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ref="A7146:C7146" si="1495">A7145</f>
        <v>45996</v>
      </c>
      <c r="B7146" s="5" t="str">
        <f t="shared" si="1495"/>
        <v>Mourning Dove</v>
      </c>
      <c r="C7146" s="6">
        <f t="shared" si="1495"/>
        <v>0.4826388888888889</v>
      </c>
      <c r="D7146" s="5"/>
      <c r="E7146" s="5"/>
      <c r="F7146" s="5" t="s">
        <v>22</v>
      </c>
      <c r="G7146" s="15" t="s">
        <v>22</v>
      </c>
      <c r="H7146" s="24">
        <f t="shared" si="1477"/>
        <v>0</v>
      </c>
      <c r="I7146" s="24" t="str" cm="1">
        <f t="array" ref="I7146">IFERROR(IF($B7146=I$1, ($A7146+$C7146) - MAX(IF($B$2:$B7145=$B7146, $A$2:$A7145+$C$2:$C7145)), "")*24*60, "")</f>
        <v/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cm="1">
        <f t="array" ref="O7146">IFERROR(IF($B7146=O$1, ($A7146+$C7146) - MAX(IF($B$2:$B7145=$B7146, $A$2:$A7145+$C$2:$C7145)), "")*24*60, "")</f>
        <v>0</v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ref="A7147:C7147" si="1496">A7146</f>
        <v>45996</v>
      </c>
      <c r="B7147" s="5" t="str">
        <f t="shared" si="1496"/>
        <v>Mourning Dove</v>
      </c>
      <c r="C7147" s="6">
        <f t="shared" si="1496"/>
        <v>0.4826388888888889</v>
      </c>
      <c r="D7147" s="5"/>
      <c r="E7147" s="5"/>
      <c r="F7147" s="5" t="s">
        <v>22</v>
      </c>
      <c r="G7147" s="15" t="s">
        <v>22</v>
      </c>
      <c r="H7147" s="24">
        <f t="shared" si="1477"/>
        <v>0</v>
      </c>
      <c r="I7147" s="24" t="str" cm="1">
        <f t="array" ref="I7147">IFERROR(IF($B7147=I$1, ($A7147+$C7147) - MAX(IF($B$2:$B7146=$B7147, $A$2:$A7146+$C$2:$C7146)), "")*24*60, "")</f>
        <v/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cm="1">
        <f t="array" ref="O7147">IFERROR(IF($B7147=O$1, ($A7147+$C7147) - MAX(IF($B$2:$B7146=$B7147, $A$2:$A7146+$C$2:$C7146)), "")*24*60, "")</f>
        <v>0</v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C7148" si="1497">A7147</f>
        <v>45996</v>
      </c>
      <c r="B7148" s="5" t="str">
        <f t="shared" si="1497"/>
        <v>Mourning Dove</v>
      </c>
      <c r="C7148" s="6">
        <f t="shared" si="1497"/>
        <v>0.4826388888888889</v>
      </c>
      <c r="D7148" s="5"/>
      <c r="E7148" s="5"/>
      <c r="F7148" s="5" t="s">
        <v>22</v>
      </c>
      <c r="G7148" s="15" t="s">
        <v>22</v>
      </c>
      <c r="H7148" s="24">
        <f t="shared" si="1477"/>
        <v>0</v>
      </c>
      <c r="I7148" s="24" t="str" cm="1">
        <f t="array" ref="I7148">IFERROR(IF($B7148=I$1, ($A7148+$C7148) - MAX(IF($B$2:$B7147=$B7148, $A$2:$A7147+$C$2:$C7147)), "")*24*60, "")</f>
        <v/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cm="1">
        <f t="array" ref="O7148">IFERROR(IF($B7148=O$1, ($A7148+$C7148) - MAX(IF($B$2:$B7147=$B7148, $A$2:$A7147+$C$2:$C7147)), "")*24*60, "")</f>
        <v>0</v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ref="A7149:C7149" si="1498">A7148</f>
        <v>45996</v>
      </c>
      <c r="B7149" s="5" t="str">
        <f t="shared" si="1498"/>
        <v>Mourning Dove</v>
      </c>
      <c r="C7149" s="6">
        <f t="shared" si="1498"/>
        <v>0.4826388888888889</v>
      </c>
      <c r="D7149" s="5"/>
      <c r="E7149" s="5"/>
      <c r="F7149" s="5" t="s">
        <v>22</v>
      </c>
      <c r="G7149" s="15" t="s">
        <v>22</v>
      </c>
      <c r="H7149" s="24">
        <f t="shared" si="1477"/>
        <v>0</v>
      </c>
      <c r="I7149" s="24" t="str" cm="1">
        <f t="array" ref="I7149">IFERROR(IF($B7149=I$1, ($A7149+$C7149) - MAX(IF($B$2:$B7148=$B7149, $A$2:$A7148+$C$2:$C7148)), "")*24*60, "")</f>
        <v/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cm="1">
        <f t="array" ref="O7149">IFERROR(IF($B7149=O$1, ($A7149+$C7149) - MAX(IF($B$2:$B7148=$B7149, $A$2:$A7148+$C$2:$C7148)), "")*24*60, "")</f>
        <v>0</v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ref="A7150:C7150" si="1499">A7149</f>
        <v>45996</v>
      </c>
      <c r="B7150" s="5" t="str">
        <f t="shared" si="1499"/>
        <v>Mourning Dove</v>
      </c>
      <c r="C7150" s="6">
        <f t="shared" si="1499"/>
        <v>0.4826388888888889</v>
      </c>
      <c r="D7150" s="5"/>
      <c r="E7150" s="5"/>
      <c r="F7150" s="5" t="s">
        <v>22</v>
      </c>
      <c r="G7150" s="15" t="s">
        <v>22</v>
      </c>
      <c r="H7150" s="24">
        <f t="shared" si="1477"/>
        <v>0</v>
      </c>
      <c r="I7150" s="24" t="str" cm="1">
        <f t="array" ref="I7150">IFERROR(IF($B7150=I$1, ($A7150+$C7150) - MAX(IF($B$2:$B7149=$B7150, $A$2:$A7149+$C$2:$C7149)), "")*24*60, "")</f>
        <v/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cm="1">
        <f t="array" ref="O7150">IFERROR(IF($B7150=O$1, ($A7150+$C7150) - MAX(IF($B$2:$B7149=$B7150, $A$2:$A7149+$C$2:$C7149)), "")*24*60, "")</f>
        <v>0</v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ref="A7151:C7151" si="1500">A7150</f>
        <v>45996</v>
      </c>
      <c r="B7151" s="5" t="str">
        <f t="shared" si="1500"/>
        <v>Mourning Dove</v>
      </c>
      <c r="C7151" s="6">
        <f t="shared" si="1500"/>
        <v>0.4826388888888889</v>
      </c>
      <c r="D7151" s="5"/>
      <c r="E7151" s="5"/>
      <c r="F7151" s="5" t="s">
        <v>22</v>
      </c>
      <c r="G7151" s="15" t="s">
        <v>22</v>
      </c>
      <c r="H7151" s="24">
        <f t="shared" si="1477"/>
        <v>0</v>
      </c>
      <c r="I7151" s="24" t="str" cm="1">
        <f t="array" ref="I7151">IFERROR(IF($B7151=I$1, ($A7151+$C7151) - MAX(IF($B$2:$B7150=$B7151, $A$2:$A7150+$C$2:$C7150)), "")*24*60, "")</f>
        <v/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cm="1">
        <f t="array" ref="O7151">IFERROR(IF($B7151=O$1, ($A7151+$C7151) - MAX(IF($B$2:$B7150=$B7151, $A$2:$A7150+$C$2:$C7150)), "")*24*60, "")</f>
        <v>0</v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ref="A7152:C7152" si="1501">A7151</f>
        <v>45996</v>
      </c>
      <c r="B7152" s="5" t="str">
        <f t="shared" si="1501"/>
        <v>Mourning Dove</v>
      </c>
      <c r="C7152" s="6">
        <f t="shared" si="1501"/>
        <v>0.4826388888888889</v>
      </c>
      <c r="D7152" s="5"/>
      <c r="E7152" s="5"/>
      <c r="F7152" s="5" t="s">
        <v>22</v>
      </c>
      <c r="G7152" s="15" t="s">
        <v>22</v>
      </c>
      <c r="H7152" s="24">
        <f t="shared" si="1477"/>
        <v>0</v>
      </c>
      <c r="I7152" s="24" t="str" cm="1">
        <f t="array" ref="I7152">IFERROR(IF($B7152=I$1, ($A7152+$C7152) - MAX(IF($B$2:$B7151=$B7152, $A$2:$A7151+$C$2:$C7151)), "")*24*60, "")</f>
        <v/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cm="1">
        <f t="array" ref="O7152">IFERROR(IF($B7152=O$1, ($A7152+$C7152) - MAX(IF($B$2:$B7151=$B7152, $A$2:$A7151+$C$2:$C7151)), "")*24*60, "")</f>
        <v>0</v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ref="A7153:C7153" si="1502">A7152</f>
        <v>45996</v>
      </c>
      <c r="B7153" s="5" t="str">
        <f t="shared" si="1502"/>
        <v>Mourning Dove</v>
      </c>
      <c r="C7153" s="6">
        <f t="shared" si="1502"/>
        <v>0.4826388888888889</v>
      </c>
      <c r="D7153" s="5"/>
      <c r="E7153" s="5"/>
      <c r="F7153" s="5" t="s">
        <v>22</v>
      </c>
      <c r="G7153" s="15" t="s">
        <v>22</v>
      </c>
      <c r="H7153" s="24">
        <f t="shared" si="1477"/>
        <v>0</v>
      </c>
      <c r="I7153" s="24" t="str" cm="1">
        <f t="array" ref="I7153">IFERROR(IF($B7153=I$1, ($A7153+$C7153) - MAX(IF($B$2:$B7152=$B7153, $A$2:$A7152+$C$2:$C7152)), "")*24*60, "")</f>
        <v/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cm="1">
        <f t="array" ref="O7153">IFERROR(IF($B7153=O$1, ($A7153+$C7153) - MAX(IF($B$2:$B7152=$B7153, $A$2:$A7152+$C$2:$C7152)), "")*24*60, "")</f>
        <v>0</v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ref="A7154:C7154" si="1503">A7153</f>
        <v>45996</v>
      </c>
      <c r="B7154" s="5" t="str">
        <f t="shared" si="1503"/>
        <v>Mourning Dove</v>
      </c>
      <c r="C7154" s="6">
        <f t="shared" si="1503"/>
        <v>0.4826388888888889</v>
      </c>
      <c r="D7154" s="5"/>
      <c r="E7154" s="5"/>
      <c r="F7154" s="5" t="s">
        <v>22</v>
      </c>
      <c r="G7154" s="15" t="s">
        <v>22</v>
      </c>
      <c r="H7154" s="24">
        <f t="shared" si="1477"/>
        <v>0</v>
      </c>
      <c r="I7154" s="24" t="str" cm="1">
        <f t="array" ref="I7154">IFERROR(IF($B7154=I$1, ($A7154+$C7154) - MAX(IF($B$2:$B7153=$B7154, $A$2:$A7153+$C$2:$C7153)), "")*24*60, "")</f>
        <v/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cm="1">
        <f t="array" ref="O7154">IFERROR(IF($B7154=O$1, ($A7154+$C7154) - MAX(IF($B$2:$B7153=$B7154, $A$2:$A7153+$C$2:$C7153)), "")*24*60, "")</f>
        <v>0</v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ref="A7155:C7155" si="1504">A7154</f>
        <v>45996</v>
      </c>
      <c r="B7155" s="5" t="str">
        <f t="shared" si="1504"/>
        <v>Mourning Dove</v>
      </c>
      <c r="C7155" s="6">
        <f t="shared" si="1504"/>
        <v>0.4826388888888889</v>
      </c>
      <c r="D7155" s="5"/>
      <c r="E7155" s="5"/>
      <c r="F7155" s="5" t="s">
        <v>22</v>
      </c>
      <c r="G7155" s="15" t="s">
        <v>22</v>
      </c>
      <c r="H7155" s="24">
        <f t="shared" si="1477"/>
        <v>0</v>
      </c>
      <c r="I7155" s="24" t="str" cm="1">
        <f t="array" ref="I7155">IFERROR(IF($B7155=I$1, ($A7155+$C7155) - MAX(IF($B$2:$B7154=$B7155, $A$2:$A7154+$C$2:$C7154)), "")*24*60, "")</f>
        <v/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cm="1">
        <f t="array" ref="O7155">IFERROR(IF($B7155=O$1, ($A7155+$C7155) - MAX(IF($B$2:$B7154=$B7155, $A$2:$A7154+$C$2:$C7154)), "")*24*60, "")</f>
        <v>0</v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ref="A7156:C7156" si="1505">A7155</f>
        <v>45996</v>
      </c>
      <c r="B7156" s="5" t="str">
        <f t="shared" si="1505"/>
        <v>Mourning Dove</v>
      </c>
      <c r="C7156" s="6">
        <f t="shared" si="1505"/>
        <v>0.4826388888888889</v>
      </c>
      <c r="D7156" s="5"/>
      <c r="E7156" s="5"/>
      <c r="F7156" s="5" t="s">
        <v>22</v>
      </c>
      <c r="G7156" s="15" t="s">
        <v>22</v>
      </c>
      <c r="H7156" s="24">
        <f t="shared" si="1477"/>
        <v>0</v>
      </c>
      <c r="I7156" s="24" t="str" cm="1">
        <f t="array" ref="I7156">IFERROR(IF($B7156=I$1, ($A7156+$C7156) - MAX(IF($B$2:$B7155=$B7156, $A$2:$A7155+$C$2:$C7155)), "")*24*60, "")</f>
        <v/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cm="1">
        <f t="array" ref="O7156">IFERROR(IF($B7156=O$1, ($A7156+$C7156) - MAX(IF($B$2:$B7155=$B7156, $A$2:$A7155+$C$2:$C7155)), "")*24*60, "")</f>
        <v>0</v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ref="A7157:C7157" si="1506">A7156</f>
        <v>45996</v>
      </c>
      <c r="B7157" s="5" t="str">
        <f t="shared" si="1506"/>
        <v>Mourning Dove</v>
      </c>
      <c r="C7157" s="6">
        <f t="shared" si="1506"/>
        <v>0.4826388888888889</v>
      </c>
      <c r="D7157" s="5"/>
      <c r="E7157" s="5"/>
      <c r="F7157" s="5" t="s">
        <v>22</v>
      </c>
      <c r="G7157" s="15" t="s">
        <v>22</v>
      </c>
      <c r="H7157" s="24">
        <f t="shared" si="1477"/>
        <v>0</v>
      </c>
      <c r="I7157" s="24" t="str" cm="1">
        <f t="array" ref="I7157">IFERROR(IF($B7157=I$1, ($A7157+$C7157) - MAX(IF($B$2:$B7156=$B7157, $A$2:$A7156+$C$2:$C7156)), "")*24*60, "")</f>
        <v/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cm="1">
        <f t="array" ref="O7157">IFERROR(IF($B7157=O$1, ($A7157+$C7157) - MAX(IF($B$2:$B7156=$B7157, $A$2:$A7156+$C$2:$C7156)), "")*24*60, "")</f>
        <v>0</v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ref="A7158:C7158" si="1507">A7157</f>
        <v>45996</v>
      </c>
      <c r="B7158" s="5" t="str">
        <f t="shared" si="1507"/>
        <v>Mourning Dove</v>
      </c>
      <c r="C7158" s="6">
        <f t="shared" si="1507"/>
        <v>0.4826388888888889</v>
      </c>
      <c r="D7158" s="5"/>
      <c r="E7158" s="5"/>
      <c r="F7158" s="5" t="s">
        <v>22</v>
      </c>
      <c r="G7158" s="15" t="s">
        <v>22</v>
      </c>
      <c r="H7158" s="24">
        <f t="shared" si="1477"/>
        <v>0</v>
      </c>
      <c r="I7158" s="24" t="str" cm="1">
        <f t="array" ref="I7158">IFERROR(IF($B7158=I$1, ($A7158+$C7158) - MAX(IF($B$2:$B7157=$B7158, $A$2:$A7157+$C$2:$C7157)), "")*24*60, "")</f>
        <v/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cm="1">
        <f t="array" ref="O7158">IFERROR(IF($B7158=O$1, ($A7158+$C7158) - MAX(IF($B$2:$B7157=$B7158, $A$2:$A7157+$C$2:$C7157)), "")*24*60, "")</f>
        <v>0</v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ref="A7159:C7159" si="1508">A7158</f>
        <v>45996</v>
      </c>
      <c r="B7159" s="5" t="str">
        <f t="shared" si="1508"/>
        <v>Mourning Dove</v>
      </c>
      <c r="C7159" s="6">
        <f t="shared" si="1508"/>
        <v>0.4826388888888889</v>
      </c>
      <c r="D7159" s="5"/>
      <c r="E7159" s="5"/>
      <c r="F7159" s="5" t="s">
        <v>22</v>
      </c>
      <c r="G7159" s="15" t="s">
        <v>22</v>
      </c>
      <c r="H7159" s="24">
        <f t="shared" si="1477"/>
        <v>0</v>
      </c>
      <c r="I7159" s="24" t="str" cm="1">
        <f t="array" ref="I7159">IFERROR(IF($B7159=I$1, ($A7159+$C7159) - MAX(IF($B$2:$B7158=$B7159, $A$2:$A7158+$C$2:$C7158)), "")*24*60, "")</f>
        <v/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cm="1">
        <f t="array" ref="O7159">IFERROR(IF($B7159=O$1, ($A7159+$C7159) - MAX(IF($B$2:$B7158=$B7159, $A$2:$A7158+$C$2:$C7158)), "")*24*60, "")</f>
        <v>0</v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ref="A7160:C7160" si="1509">A7159</f>
        <v>45996</v>
      </c>
      <c r="B7160" s="5" t="str">
        <f t="shared" si="1509"/>
        <v>Mourning Dove</v>
      </c>
      <c r="C7160" s="6">
        <f t="shared" si="1509"/>
        <v>0.4826388888888889</v>
      </c>
      <c r="D7160" s="5"/>
      <c r="E7160" s="5"/>
      <c r="F7160" s="5" t="s">
        <v>22</v>
      </c>
      <c r="G7160" s="15" t="s">
        <v>22</v>
      </c>
      <c r="H7160" s="24">
        <f t="shared" si="1477"/>
        <v>0</v>
      </c>
      <c r="I7160" s="24" t="str" cm="1">
        <f t="array" ref="I7160">IFERROR(IF($B7160=I$1, ($A7160+$C7160) - MAX(IF($B$2:$B7159=$B7160, $A$2:$A7159+$C$2:$C7159)), "")*24*60, "")</f>
        <v/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cm="1">
        <f t="array" ref="O7160">IFERROR(IF($B7160=O$1, ($A7160+$C7160) - MAX(IF($B$2:$B7159=$B7160, $A$2:$A7159+$C$2:$C7159)), "")*24*60, "")</f>
        <v>0</v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ref="A7161:C7161" si="1510">A7160</f>
        <v>45996</v>
      </c>
      <c r="B7161" s="5" t="str">
        <f t="shared" si="1510"/>
        <v>Mourning Dove</v>
      </c>
      <c r="C7161" s="6">
        <f t="shared" si="1510"/>
        <v>0.4826388888888889</v>
      </c>
      <c r="D7161" s="5"/>
      <c r="E7161" s="5"/>
      <c r="F7161" s="5" t="s">
        <v>22</v>
      </c>
      <c r="G7161" s="15" t="s">
        <v>22</v>
      </c>
      <c r="H7161" s="24">
        <f t="shared" si="1477"/>
        <v>0</v>
      </c>
      <c r="I7161" s="24" t="str" cm="1">
        <f t="array" ref="I7161">IFERROR(IF($B7161=I$1, ($A7161+$C7161) - MAX(IF($B$2:$B7160=$B7161, $A$2:$A7160+$C$2:$C7160)), "")*24*60, "")</f>
        <v/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cm="1">
        <f t="array" ref="O7161">IFERROR(IF($B7161=O$1, ($A7161+$C7161) - MAX(IF($B$2:$B7160=$B7161, $A$2:$A7160+$C$2:$C7160)), "")*24*60, "")</f>
        <v>0</v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ref="A7162:C7162" si="1511">A7161</f>
        <v>45996</v>
      </c>
      <c r="B7162" s="5" t="str">
        <f t="shared" si="1511"/>
        <v>Mourning Dove</v>
      </c>
      <c r="C7162" s="6">
        <f t="shared" si="1511"/>
        <v>0.4826388888888889</v>
      </c>
      <c r="D7162" s="5"/>
      <c r="E7162" s="5"/>
      <c r="F7162" s="5" t="s">
        <v>22</v>
      </c>
      <c r="G7162" s="15" t="s">
        <v>22</v>
      </c>
      <c r="H7162" s="24">
        <f t="shared" si="1477"/>
        <v>0</v>
      </c>
      <c r="I7162" s="24" t="str" cm="1">
        <f t="array" ref="I7162">IFERROR(IF($B7162=I$1, ($A7162+$C7162) - MAX(IF($B$2:$B7161=$B7162, $A$2:$A7161+$C$2:$C7161)), "")*24*60, "")</f>
        <v/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cm="1">
        <f t="array" ref="O7162">IFERROR(IF($B7162=O$1, ($A7162+$C7162) - MAX(IF($B$2:$B7161=$B7162, $A$2:$A7161+$C$2:$C7161)), "")*24*60, "")</f>
        <v>0</v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ref="A7163:C7163" si="1512">A7162</f>
        <v>45996</v>
      </c>
      <c r="B7163" s="5" t="str">
        <f t="shared" si="1512"/>
        <v>Mourning Dove</v>
      </c>
      <c r="C7163" s="6">
        <f t="shared" si="1512"/>
        <v>0.4826388888888889</v>
      </c>
      <c r="D7163" s="5"/>
      <c r="E7163" s="5"/>
      <c r="F7163" s="5" t="s">
        <v>22</v>
      </c>
      <c r="G7163" s="15" t="s">
        <v>22</v>
      </c>
      <c r="H7163" s="24">
        <f t="shared" si="1477"/>
        <v>0</v>
      </c>
      <c r="I7163" s="24" t="str" cm="1">
        <f t="array" ref="I7163">IFERROR(IF($B7163=I$1, ($A7163+$C7163) - MAX(IF($B$2:$B7162=$B7163, $A$2:$A7162+$C$2:$C7162)), "")*24*60, "")</f>
        <v/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cm="1">
        <f t="array" ref="O7163">IFERROR(IF($B7163=O$1, ($A7163+$C7163) - MAX(IF($B$2:$B7162=$B7163, $A$2:$A7162+$C$2:$C7162)), "")*24*60, "")</f>
        <v>0</v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ref="A7164:C7164" si="1513">A7163</f>
        <v>45996</v>
      </c>
      <c r="B7164" s="5" t="str">
        <f t="shared" si="1513"/>
        <v>Mourning Dove</v>
      </c>
      <c r="C7164" s="6">
        <f t="shared" si="1513"/>
        <v>0.4826388888888889</v>
      </c>
      <c r="D7164" s="5"/>
      <c r="E7164" s="5"/>
      <c r="F7164" s="5" t="s">
        <v>22</v>
      </c>
      <c r="G7164" s="15" t="s">
        <v>22</v>
      </c>
      <c r="H7164" s="24">
        <f t="shared" si="1477"/>
        <v>0</v>
      </c>
      <c r="I7164" s="24" t="str" cm="1">
        <f t="array" ref="I7164">IFERROR(IF($B7164=I$1, ($A7164+$C7164) - MAX(IF($B$2:$B7163=$B7164, $A$2:$A7163+$C$2:$C7163)), "")*24*60, "")</f>
        <v/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cm="1">
        <f t="array" ref="O7164">IFERROR(IF($B7164=O$1, ($A7164+$C7164) - MAX(IF($B$2:$B7163=$B7164, $A$2:$A7163+$C$2:$C7163)), "")*24*60, "")</f>
        <v>0</v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ref="A7165:C7165" si="1514">A7164</f>
        <v>45996</v>
      </c>
      <c r="B7165" s="5" t="str">
        <f t="shared" si="1514"/>
        <v>Mourning Dove</v>
      </c>
      <c r="C7165" s="6">
        <f t="shared" si="1514"/>
        <v>0.4826388888888889</v>
      </c>
      <c r="D7165" s="5"/>
      <c r="E7165" s="5"/>
      <c r="F7165" s="5" t="s">
        <v>22</v>
      </c>
      <c r="G7165" s="15" t="s">
        <v>22</v>
      </c>
      <c r="H7165" s="24">
        <f t="shared" si="1477"/>
        <v>0</v>
      </c>
      <c r="I7165" s="24" t="str" cm="1">
        <f t="array" ref="I7165">IFERROR(IF($B7165=I$1, ($A7165+$C7165) - MAX(IF($B$2:$B7164=$B7165, $A$2:$A7164+$C$2:$C7164)), "")*24*60, "")</f>
        <v/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cm="1">
        <f t="array" ref="O7165">IFERROR(IF($B7165=O$1, ($A7165+$C7165) - MAX(IF($B$2:$B7164=$B7165, $A$2:$A7164+$C$2:$C7164)), "")*24*60, "")</f>
        <v>0</v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ref="A7166:C7166" si="1515">A7165</f>
        <v>45996</v>
      </c>
      <c r="B7166" s="5" t="str">
        <f t="shared" si="1515"/>
        <v>Mourning Dove</v>
      </c>
      <c r="C7166" s="6">
        <f t="shared" si="1515"/>
        <v>0.4826388888888889</v>
      </c>
      <c r="D7166" s="5"/>
      <c r="E7166" s="5"/>
      <c r="F7166" s="5" t="s">
        <v>22</v>
      </c>
      <c r="G7166" s="15" t="s">
        <v>22</v>
      </c>
      <c r="H7166" s="24">
        <f t="shared" si="1477"/>
        <v>0</v>
      </c>
      <c r="I7166" s="24" t="str" cm="1">
        <f t="array" ref="I7166">IFERROR(IF($B7166=I$1, ($A7166+$C7166) - MAX(IF($B$2:$B7165=$B7166, $A$2:$A7165+$C$2:$C7165)), "")*24*60, "")</f>
        <v/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cm="1">
        <f t="array" ref="O7166">IFERROR(IF($B7166=O$1, ($A7166+$C7166) - MAX(IF($B$2:$B7165=$B7166, $A$2:$A7165+$C$2:$C7165)), "")*24*60, "")</f>
        <v>0</v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ref="A7167:C7167" si="1516">A7166</f>
        <v>45996</v>
      </c>
      <c r="B7167" s="5" t="str">
        <f t="shared" si="1516"/>
        <v>Mourning Dove</v>
      </c>
      <c r="C7167" s="6">
        <f t="shared" si="1516"/>
        <v>0.4826388888888889</v>
      </c>
      <c r="D7167" s="5"/>
      <c r="E7167" s="5"/>
      <c r="F7167" s="5" t="s">
        <v>22</v>
      </c>
      <c r="G7167" s="15" t="s">
        <v>22</v>
      </c>
      <c r="H7167" s="24">
        <f t="shared" si="1477"/>
        <v>0</v>
      </c>
      <c r="I7167" s="24" t="str" cm="1">
        <f t="array" ref="I7167">IFERROR(IF($B7167=I$1, ($A7167+$C7167) - MAX(IF($B$2:$B7166=$B7167, $A$2:$A7166+$C$2:$C7166)), "")*24*60, "")</f>
        <v/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cm="1">
        <f t="array" ref="O7167">IFERROR(IF($B7167=O$1, ($A7167+$C7167) - MAX(IF($B$2:$B7166=$B7167, $A$2:$A7166+$C$2:$C7166)), "")*24*60, "")</f>
        <v>0</v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ref="A7168:C7168" si="1517">A7167</f>
        <v>45996</v>
      </c>
      <c r="B7168" s="5" t="str">
        <f t="shared" si="1517"/>
        <v>Mourning Dove</v>
      </c>
      <c r="C7168" s="6">
        <f t="shared" si="1517"/>
        <v>0.4826388888888889</v>
      </c>
      <c r="D7168" s="5"/>
      <c r="E7168" s="5"/>
      <c r="F7168" s="5" t="s">
        <v>22</v>
      </c>
      <c r="G7168" s="15" t="s">
        <v>22</v>
      </c>
      <c r="H7168" s="24">
        <f t="shared" si="1477"/>
        <v>0</v>
      </c>
      <c r="I7168" s="24" t="str" cm="1">
        <f t="array" ref="I7168">IFERROR(IF($B7168=I$1, ($A7168+$C7168) - MAX(IF($B$2:$B7167=$B7168, $A$2:$A7167+$C$2:$C7167)), "")*24*60, "")</f>
        <v/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cm="1">
        <f t="array" ref="O7168">IFERROR(IF($B7168=O$1, ($A7168+$C7168) - MAX(IF($B$2:$B7167=$B7168, $A$2:$A7167+$C$2:$C7167)), "")*24*60, "")</f>
        <v>0</v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ref="A7169:C7169" si="1518">A7168</f>
        <v>45996</v>
      </c>
      <c r="B7169" s="5" t="str">
        <f t="shared" si="1518"/>
        <v>Mourning Dove</v>
      </c>
      <c r="C7169" s="6">
        <f t="shared" si="1518"/>
        <v>0.4826388888888889</v>
      </c>
      <c r="D7169" s="5"/>
      <c r="E7169" s="5"/>
      <c r="F7169" s="5" t="s">
        <v>22</v>
      </c>
      <c r="G7169" s="15" t="s">
        <v>22</v>
      </c>
      <c r="H7169" s="24">
        <f t="shared" si="1477"/>
        <v>0</v>
      </c>
      <c r="I7169" s="24" t="str" cm="1">
        <f t="array" ref="I7169">IFERROR(IF($B7169=I$1, ($A7169+$C7169) - MAX(IF($B$2:$B7168=$B7169, $A$2:$A7168+$C$2:$C7168)), "")*24*60, "")</f>
        <v/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cm="1">
        <f t="array" ref="O7169">IFERROR(IF($B7169=O$1, ($A7169+$C7169) - MAX(IF($B$2:$B7168=$B7169, $A$2:$A7168+$C$2:$C7168)), "")*24*60, "")</f>
        <v>0</v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ref="A7170:C7170" si="1519">A7169</f>
        <v>45996</v>
      </c>
      <c r="B7170" s="5" t="str">
        <f t="shared" si="1519"/>
        <v>Mourning Dove</v>
      </c>
      <c r="C7170" s="6">
        <f t="shared" si="1519"/>
        <v>0.4826388888888889</v>
      </c>
      <c r="D7170" s="5"/>
      <c r="E7170" s="5"/>
      <c r="F7170" s="5" t="s">
        <v>22</v>
      </c>
      <c r="G7170" s="15" t="s">
        <v>22</v>
      </c>
      <c r="H7170" s="24">
        <f t="shared" si="1477"/>
        <v>0</v>
      </c>
      <c r="I7170" s="24" t="str" cm="1">
        <f t="array" ref="I7170">IFERROR(IF($B7170=I$1, ($A7170+$C7170) - MAX(IF($B$2:$B7169=$B7170, $A$2:$A7169+$C$2:$C7169)), "")*24*60, "")</f>
        <v/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cm="1">
        <f t="array" ref="O7170">IFERROR(IF($B7170=O$1, ($A7170+$C7170) - MAX(IF($B$2:$B7169=$B7170, $A$2:$A7169+$C$2:$C7169)), "")*24*60, "")</f>
        <v>0</v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ref="A7171:C7171" si="1520">A7170</f>
        <v>45996</v>
      </c>
      <c r="B7171" s="5" t="str">
        <f t="shared" si="1520"/>
        <v>Mourning Dove</v>
      </c>
      <c r="C7171" s="6">
        <f t="shared" si="1520"/>
        <v>0.4826388888888889</v>
      </c>
      <c r="D7171" s="5"/>
      <c r="E7171" s="5"/>
      <c r="F7171" s="5" t="s">
        <v>22</v>
      </c>
      <c r="G7171" s="15" t="s">
        <v>22</v>
      </c>
      <c r="H7171" s="24">
        <f t="shared" si="1477"/>
        <v>0</v>
      </c>
      <c r="I7171" s="24" t="str" cm="1">
        <f t="array" ref="I7171">IFERROR(IF($B7171=I$1, ($A7171+$C7171) - MAX(IF($B$2:$B7170=$B7171, $A$2:$A7170+$C$2:$C7170)), "")*24*60, "")</f>
        <v/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cm="1">
        <f t="array" ref="O7171">IFERROR(IF($B7171=O$1, ($A7171+$C7171) - MAX(IF($B$2:$B7170=$B7171, $A$2:$A7170+$C$2:$C7170)), "")*24*60, "")</f>
        <v>0</v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ref="A7172:C7172" si="1521">A7171</f>
        <v>45996</v>
      </c>
      <c r="B7172" s="5" t="str">
        <f t="shared" si="1521"/>
        <v>Mourning Dove</v>
      </c>
      <c r="C7172" s="6">
        <f t="shared" si="1521"/>
        <v>0.4826388888888889</v>
      </c>
      <c r="D7172" s="5"/>
      <c r="E7172" s="5"/>
      <c r="F7172" s="5" t="s">
        <v>22</v>
      </c>
      <c r="G7172" s="15" t="s">
        <v>22</v>
      </c>
      <c r="H7172" s="24">
        <f t="shared" si="1477"/>
        <v>0</v>
      </c>
      <c r="I7172" s="24" t="str" cm="1">
        <f t="array" ref="I7172">IFERROR(IF($B7172=I$1, ($A7172+$C7172) - MAX(IF($B$2:$B7171=$B7172, $A$2:$A7171+$C$2:$C7171)), "")*24*60, "")</f>
        <v/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cm="1">
        <f t="array" ref="O7172">IFERROR(IF($B7172=O$1, ($A7172+$C7172) - MAX(IF($B$2:$B7171=$B7172, $A$2:$A7171+$C$2:$C7171)), "")*24*60, "")</f>
        <v>0</v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ref="A7173:C7173" si="1522">A7172</f>
        <v>45996</v>
      </c>
      <c r="B7173" s="5" t="str">
        <f t="shared" si="1522"/>
        <v>Mourning Dove</v>
      </c>
      <c r="C7173" s="6">
        <f t="shared" si="1522"/>
        <v>0.4826388888888889</v>
      </c>
      <c r="D7173" s="5"/>
      <c r="E7173" s="5"/>
      <c r="F7173" s="5" t="s">
        <v>22</v>
      </c>
      <c r="G7173" s="15" t="s">
        <v>22</v>
      </c>
      <c r="H7173" s="24">
        <f t="shared" si="1477"/>
        <v>0</v>
      </c>
      <c r="I7173" s="24" t="str" cm="1">
        <f t="array" ref="I7173">IFERROR(IF($B7173=I$1, ($A7173+$C7173) - MAX(IF($B$2:$B7172=$B7173, $A$2:$A7172+$C$2:$C7172)), "")*24*60, "")</f>
        <v/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cm="1">
        <f t="array" ref="O7173">IFERROR(IF($B7173=O$1, ($A7173+$C7173) - MAX(IF($B$2:$B7172=$B7173, $A$2:$A7172+$C$2:$C7172)), "")*24*60, "")</f>
        <v>0</v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ref="A7174:C7174" si="1523">A7173</f>
        <v>45996</v>
      </c>
      <c r="B7174" s="5" t="str">
        <f t="shared" si="1523"/>
        <v>Mourning Dove</v>
      </c>
      <c r="C7174" s="6">
        <f t="shared" si="1523"/>
        <v>0.4826388888888889</v>
      </c>
      <c r="D7174" s="5"/>
      <c r="E7174" s="5"/>
      <c r="F7174" s="5" t="s">
        <v>22</v>
      </c>
      <c r="G7174" s="15" t="s">
        <v>22</v>
      </c>
      <c r="H7174" s="24">
        <f t="shared" si="1477"/>
        <v>0</v>
      </c>
      <c r="I7174" s="24" t="str" cm="1">
        <f t="array" ref="I7174">IFERROR(IF($B7174=I$1, ($A7174+$C7174) - MAX(IF($B$2:$B7173=$B7174, $A$2:$A7173+$C$2:$C7173)), "")*24*60, "")</f>
        <v/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cm="1">
        <f t="array" ref="O7174">IFERROR(IF($B7174=O$1, ($A7174+$C7174) - MAX(IF($B$2:$B7173=$B7174, $A$2:$A7173+$C$2:$C7173)), "")*24*60, "")</f>
        <v>0</v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ref="A7175:C7175" si="1524">A7174</f>
        <v>45996</v>
      </c>
      <c r="B7175" s="5" t="str">
        <f t="shared" si="1524"/>
        <v>Mourning Dove</v>
      </c>
      <c r="C7175" s="6">
        <f t="shared" si="1524"/>
        <v>0.4826388888888889</v>
      </c>
      <c r="D7175" s="5"/>
      <c r="E7175" s="5"/>
      <c r="F7175" s="5" t="s">
        <v>22</v>
      </c>
      <c r="G7175" s="15" t="s">
        <v>22</v>
      </c>
      <c r="H7175" s="24">
        <f t="shared" si="1477"/>
        <v>0</v>
      </c>
      <c r="I7175" s="24" t="str" cm="1">
        <f t="array" ref="I7175">IFERROR(IF($B7175=I$1, ($A7175+$C7175) - MAX(IF($B$2:$B7174=$B7175, $A$2:$A7174+$C$2:$C7174)), "")*24*60, "")</f>
        <v/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cm="1">
        <f t="array" ref="O7175">IFERROR(IF($B7175=O$1, ($A7175+$C7175) - MAX(IF($B$2:$B7174=$B7175, $A$2:$A7174+$C$2:$C7174)), "")*24*60, "")</f>
        <v>0</v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ref="A7176:C7176" si="1525">A7175</f>
        <v>45996</v>
      </c>
      <c r="B7176" s="5" t="str">
        <f t="shared" si="1525"/>
        <v>Mourning Dove</v>
      </c>
      <c r="C7176" s="6">
        <f t="shared" si="1525"/>
        <v>0.4826388888888889</v>
      </c>
      <c r="D7176" s="5"/>
      <c r="E7176" s="5"/>
      <c r="F7176" s="5" t="s">
        <v>22</v>
      </c>
      <c r="G7176" s="15" t="s">
        <v>22</v>
      </c>
      <c r="H7176" s="24">
        <f t="shared" si="1477"/>
        <v>0</v>
      </c>
      <c r="I7176" s="24" t="str" cm="1">
        <f t="array" ref="I7176">IFERROR(IF($B7176=I$1, ($A7176+$C7176) - MAX(IF($B$2:$B7175=$B7176, $A$2:$A7175+$C$2:$C7175)), "")*24*60, "")</f>
        <v/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cm="1">
        <f t="array" ref="O7176">IFERROR(IF($B7176=O$1, ($A7176+$C7176) - MAX(IF($B$2:$B7175=$B7176, $A$2:$A7175+$C$2:$C7175)), "")*24*60, "")</f>
        <v>0</v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ref="A7177:C7177" si="1526">A7176</f>
        <v>45996</v>
      </c>
      <c r="B7177" s="5" t="str">
        <f t="shared" si="1526"/>
        <v>Mourning Dove</v>
      </c>
      <c r="C7177" s="6">
        <f t="shared" si="1526"/>
        <v>0.4826388888888889</v>
      </c>
      <c r="D7177" s="5"/>
      <c r="E7177" s="5"/>
      <c r="F7177" s="5" t="s">
        <v>22</v>
      </c>
      <c r="G7177" s="15" t="s">
        <v>22</v>
      </c>
      <c r="H7177" s="24">
        <f t="shared" si="1477"/>
        <v>0</v>
      </c>
      <c r="I7177" s="24" t="str" cm="1">
        <f t="array" ref="I7177">IFERROR(IF($B7177=I$1, ($A7177+$C7177) - MAX(IF($B$2:$B7176=$B7177, $A$2:$A7176+$C$2:$C7176)), "")*24*60, "")</f>
        <v/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cm="1">
        <f t="array" ref="O7177">IFERROR(IF($B7177=O$1, ($A7177+$C7177) - MAX(IF($B$2:$B7176=$B7177, $A$2:$A7176+$C$2:$C7176)), "")*24*60, "")</f>
        <v>0</v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ref="A7178:C7178" si="1527">A7177</f>
        <v>45996</v>
      </c>
      <c r="B7178" s="5" t="str">
        <f t="shared" si="1527"/>
        <v>Mourning Dove</v>
      </c>
      <c r="C7178" s="6">
        <f t="shared" si="1527"/>
        <v>0.4826388888888889</v>
      </c>
      <c r="D7178" s="5"/>
      <c r="E7178" s="5"/>
      <c r="F7178" s="5" t="s">
        <v>22</v>
      </c>
      <c r="G7178" s="15" t="s">
        <v>22</v>
      </c>
      <c r="H7178" s="24">
        <f t="shared" si="1477"/>
        <v>0</v>
      </c>
      <c r="I7178" s="24" t="str" cm="1">
        <f t="array" ref="I7178">IFERROR(IF($B7178=I$1, ($A7178+$C7178) - MAX(IF($B$2:$B7177=$B7178, $A$2:$A7177+$C$2:$C7177)), "")*24*60, "")</f>
        <v/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cm="1">
        <f t="array" ref="O7178">IFERROR(IF($B7178=O$1, ($A7178+$C7178) - MAX(IF($B$2:$B7177=$B7178, $A$2:$A7177+$C$2:$C7177)), "")*24*60, "")</f>
        <v>0</v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ref="A7179:C7179" si="1528">A7178</f>
        <v>45996</v>
      </c>
      <c r="B7179" s="5" t="str">
        <f t="shared" si="1528"/>
        <v>Mourning Dove</v>
      </c>
      <c r="C7179" s="6">
        <f t="shared" si="1528"/>
        <v>0.4826388888888889</v>
      </c>
      <c r="D7179" s="5"/>
      <c r="E7179" s="5"/>
      <c r="F7179" s="5" t="s">
        <v>22</v>
      </c>
      <c r="G7179" s="15" t="s">
        <v>22</v>
      </c>
      <c r="H7179" s="24">
        <f t="shared" si="1477"/>
        <v>0</v>
      </c>
      <c r="I7179" s="24" t="str" cm="1">
        <f t="array" ref="I7179">IFERROR(IF($B7179=I$1, ($A7179+$C7179) - MAX(IF($B$2:$B7178=$B7179, $A$2:$A7178+$C$2:$C7178)), "")*24*60, "")</f>
        <v/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cm="1">
        <f t="array" ref="O7179">IFERROR(IF($B7179=O$1, ($A7179+$C7179) - MAX(IF($B$2:$B7178=$B7179, $A$2:$A7178+$C$2:$C7178)), "")*24*60, "")</f>
        <v>0</v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ref="A7180:C7180" si="1529">A7179</f>
        <v>45996</v>
      </c>
      <c r="B7180" s="5" t="str">
        <f t="shared" si="1529"/>
        <v>Mourning Dove</v>
      </c>
      <c r="C7180" s="6">
        <f t="shared" si="1529"/>
        <v>0.4826388888888889</v>
      </c>
      <c r="D7180" s="5"/>
      <c r="E7180" s="5"/>
      <c r="F7180" s="5" t="s">
        <v>22</v>
      </c>
      <c r="G7180" s="15" t="s">
        <v>22</v>
      </c>
      <c r="H7180" s="24">
        <f t="shared" si="1477"/>
        <v>0</v>
      </c>
      <c r="I7180" s="24" t="str" cm="1">
        <f t="array" ref="I7180">IFERROR(IF($B7180=I$1, ($A7180+$C7180) - MAX(IF($B$2:$B7179=$B7180, $A$2:$A7179+$C$2:$C7179)), "")*24*60, "")</f>
        <v/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cm="1">
        <f t="array" ref="O7180">IFERROR(IF($B7180=O$1, ($A7180+$C7180) - MAX(IF($B$2:$B7179=$B7180, $A$2:$A7179+$C$2:$C7179)), "")*24*60, "")</f>
        <v>0</v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ref="A7181:C7181" si="1530">A7180</f>
        <v>45996</v>
      </c>
      <c r="B7181" s="5" t="str">
        <f t="shared" si="1530"/>
        <v>Mourning Dove</v>
      </c>
      <c r="C7181" s="6">
        <f t="shared" si="1530"/>
        <v>0.4826388888888889</v>
      </c>
      <c r="D7181" s="5"/>
      <c r="E7181" s="5"/>
      <c r="F7181" s="5" t="s">
        <v>22</v>
      </c>
      <c r="G7181" s="15" t="s">
        <v>22</v>
      </c>
      <c r="H7181" s="24">
        <f t="shared" si="1477"/>
        <v>0</v>
      </c>
      <c r="I7181" s="24" t="str" cm="1">
        <f t="array" ref="I7181">IFERROR(IF($B7181=I$1, ($A7181+$C7181) - MAX(IF($B$2:$B7180=$B7181, $A$2:$A7180+$C$2:$C7180)), "")*24*60, "")</f>
        <v/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cm="1">
        <f t="array" ref="O7181">IFERROR(IF($B7181=O$1, ($A7181+$C7181) - MAX(IF($B$2:$B7180=$B7181, $A$2:$A7180+$C$2:$C7180)), "")*24*60, "")</f>
        <v>0</v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ref="A7182:C7182" si="1531">A7181</f>
        <v>45996</v>
      </c>
      <c r="B7182" s="5" t="str">
        <f t="shared" si="1531"/>
        <v>Mourning Dove</v>
      </c>
      <c r="C7182" s="6">
        <f t="shared" si="1531"/>
        <v>0.4826388888888889</v>
      </c>
      <c r="D7182" s="5"/>
      <c r="E7182" s="5"/>
      <c r="F7182" s="5" t="s">
        <v>22</v>
      </c>
      <c r="G7182" s="15" t="s">
        <v>22</v>
      </c>
      <c r="H7182" s="24">
        <f t="shared" si="1477"/>
        <v>0</v>
      </c>
      <c r="I7182" s="24" t="str" cm="1">
        <f t="array" ref="I7182">IFERROR(IF($B7182=I$1, ($A7182+$C7182) - MAX(IF($B$2:$B7181=$B7182, $A$2:$A7181+$C$2:$C7181)), "")*24*60, "")</f>
        <v/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cm="1">
        <f t="array" ref="O7182">IFERROR(IF($B7182=O$1, ($A7182+$C7182) - MAX(IF($B$2:$B7181=$B7182, $A$2:$A7181+$C$2:$C7181)), "")*24*60, "")</f>
        <v>0</v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ref="A7183:C7183" si="1532">A7182</f>
        <v>45996</v>
      </c>
      <c r="B7183" s="5" t="str">
        <f t="shared" si="1532"/>
        <v>Mourning Dove</v>
      </c>
      <c r="C7183" s="6">
        <f t="shared" si="1532"/>
        <v>0.4826388888888889</v>
      </c>
      <c r="D7183" s="5"/>
      <c r="E7183" s="5"/>
      <c r="F7183" s="5" t="s">
        <v>22</v>
      </c>
      <c r="G7183" s="15" t="s">
        <v>22</v>
      </c>
      <c r="H7183" s="24">
        <f t="shared" si="1477"/>
        <v>0</v>
      </c>
      <c r="I7183" s="24" t="str" cm="1">
        <f t="array" ref="I7183">IFERROR(IF($B7183=I$1, ($A7183+$C7183) - MAX(IF($B$2:$B7182=$B7183, $A$2:$A7182+$C$2:$C7182)), "")*24*60, "")</f>
        <v/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cm="1">
        <f t="array" ref="O7183">IFERROR(IF($B7183=O$1, ($A7183+$C7183) - MAX(IF($B$2:$B7182=$B7183, $A$2:$A7182+$C$2:$C7182)), "")*24*60, "")</f>
        <v>0</v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ref="A7184:C7184" si="1533">A7183</f>
        <v>45996</v>
      </c>
      <c r="B7184" s="5" t="str">
        <f t="shared" si="1533"/>
        <v>Mourning Dove</v>
      </c>
      <c r="C7184" s="6">
        <f t="shared" si="1533"/>
        <v>0.4826388888888889</v>
      </c>
      <c r="D7184" s="5"/>
      <c r="E7184" s="5"/>
      <c r="F7184" s="5" t="s">
        <v>22</v>
      </c>
      <c r="G7184" s="15" t="s">
        <v>22</v>
      </c>
      <c r="H7184" s="24">
        <f t="shared" si="1477"/>
        <v>0</v>
      </c>
      <c r="I7184" s="24" t="str" cm="1">
        <f t="array" ref="I7184">IFERROR(IF($B7184=I$1, ($A7184+$C7184) - MAX(IF($B$2:$B7183=$B7184, $A$2:$A7183+$C$2:$C7183)), "")*24*60, "")</f>
        <v/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cm="1">
        <f t="array" ref="O7184">IFERROR(IF($B7184=O$1, ($A7184+$C7184) - MAX(IF($B$2:$B7183=$B7184, $A$2:$A7183+$C$2:$C7183)), "")*24*60, "")</f>
        <v>0</v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ref="A7185:C7185" si="1534">A7184</f>
        <v>45996</v>
      </c>
      <c r="B7185" s="5" t="str">
        <f t="shared" si="1534"/>
        <v>Mourning Dove</v>
      </c>
      <c r="C7185" s="6">
        <f t="shared" si="1534"/>
        <v>0.4826388888888889</v>
      </c>
      <c r="D7185" s="5"/>
      <c r="E7185" s="5"/>
      <c r="F7185" s="5" t="s">
        <v>22</v>
      </c>
      <c r="G7185" s="15" t="s">
        <v>22</v>
      </c>
      <c r="H7185" s="24">
        <f t="shared" si="1477"/>
        <v>0</v>
      </c>
      <c r="I7185" s="24" t="str" cm="1">
        <f t="array" ref="I7185">IFERROR(IF($B7185=I$1, ($A7185+$C7185) - MAX(IF($B$2:$B7184=$B7185, $A$2:$A7184+$C$2:$C7184)), "")*24*60, "")</f>
        <v/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cm="1">
        <f t="array" ref="O7185">IFERROR(IF($B7185=O$1, ($A7185+$C7185) - MAX(IF($B$2:$B7184=$B7185, $A$2:$A7184+$C$2:$C7184)), "")*24*60, "")</f>
        <v>0</v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ref="A7186:C7186" si="1535">A7185</f>
        <v>45996</v>
      </c>
      <c r="B7186" s="5" t="str">
        <f t="shared" si="1535"/>
        <v>Mourning Dove</v>
      </c>
      <c r="C7186" s="6">
        <f t="shared" si="1535"/>
        <v>0.4826388888888889</v>
      </c>
      <c r="D7186" s="5"/>
      <c r="E7186" s="5"/>
      <c r="F7186" s="5" t="s">
        <v>22</v>
      </c>
      <c r="G7186" s="15" t="s">
        <v>22</v>
      </c>
      <c r="H7186" s="24">
        <f t="shared" si="1477"/>
        <v>0</v>
      </c>
      <c r="I7186" s="24" t="str" cm="1">
        <f t="array" ref="I7186">IFERROR(IF($B7186=I$1, ($A7186+$C7186) - MAX(IF($B$2:$B7185=$B7186, $A$2:$A7185+$C$2:$C7185)), "")*24*60, "")</f>
        <v/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cm="1">
        <f t="array" ref="O7186">IFERROR(IF($B7186=O$1, ($A7186+$C7186) - MAX(IF($B$2:$B7185=$B7186, $A$2:$A7185+$C$2:$C7185)), "")*24*60, "")</f>
        <v>0</v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ref="A7187:C7187" si="1536">A7186</f>
        <v>45996</v>
      </c>
      <c r="B7187" s="5" t="str">
        <f t="shared" si="1536"/>
        <v>Mourning Dove</v>
      </c>
      <c r="C7187" s="6">
        <f t="shared" si="1536"/>
        <v>0.4826388888888889</v>
      </c>
      <c r="D7187" s="5"/>
      <c r="E7187" s="5"/>
      <c r="F7187" s="5" t="s">
        <v>22</v>
      </c>
      <c r="G7187" s="15" t="s">
        <v>22</v>
      </c>
      <c r="H7187" s="24">
        <f t="shared" si="1477"/>
        <v>0</v>
      </c>
      <c r="I7187" s="24" t="str" cm="1">
        <f t="array" ref="I7187">IFERROR(IF($B7187=I$1, ($A7187+$C7187) - MAX(IF($B$2:$B7186=$B7187, $A$2:$A7186+$C$2:$C7186)), "")*24*60, "")</f>
        <v/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cm="1">
        <f t="array" ref="O7187">IFERROR(IF($B7187=O$1, ($A7187+$C7187) - MAX(IF($B$2:$B7186=$B7187, $A$2:$A7186+$C$2:$C7186)), "")*24*60, "")</f>
        <v>0</v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ref="A7188:C7188" si="1537">A7187</f>
        <v>45996</v>
      </c>
      <c r="B7188" s="5" t="str">
        <f t="shared" si="1537"/>
        <v>Mourning Dove</v>
      </c>
      <c r="C7188" s="6">
        <f t="shared" si="1537"/>
        <v>0.4826388888888889</v>
      </c>
      <c r="D7188" s="5"/>
      <c r="E7188" s="5"/>
      <c r="F7188" s="5" t="s">
        <v>22</v>
      </c>
      <c r="G7188" s="15" t="s">
        <v>22</v>
      </c>
      <c r="H7188" s="24">
        <f t="shared" si="1477"/>
        <v>0</v>
      </c>
      <c r="I7188" s="24" t="str" cm="1">
        <f t="array" ref="I7188">IFERROR(IF($B7188=I$1, ($A7188+$C7188) - MAX(IF($B$2:$B7187=$B7188, $A$2:$A7187+$C$2:$C7187)), "")*24*60, "")</f>
        <v/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cm="1">
        <f t="array" ref="O7188">IFERROR(IF($B7188=O$1, ($A7188+$C7188) - MAX(IF($B$2:$B7187=$B7188, $A$2:$A7187+$C$2:$C7187)), "")*24*60, "")</f>
        <v>0</v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ref="A7189:C7189" si="1538">A7188</f>
        <v>45996</v>
      </c>
      <c r="B7189" s="5" t="str">
        <f t="shared" si="1538"/>
        <v>Mourning Dove</v>
      </c>
      <c r="C7189" s="6">
        <f t="shared" si="1538"/>
        <v>0.4826388888888889</v>
      </c>
      <c r="D7189" s="5"/>
      <c r="E7189" s="5"/>
      <c r="F7189" s="5" t="s">
        <v>22</v>
      </c>
      <c r="G7189" s="15" t="s">
        <v>22</v>
      </c>
      <c r="H7189" s="24">
        <f t="shared" si="1477"/>
        <v>0</v>
      </c>
      <c r="I7189" s="24" t="str" cm="1">
        <f t="array" ref="I7189">IFERROR(IF($B7189=I$1, ($A7189+$C7189) - MAX(IF($B$2:$B7188=$B7189, $A$2:$A7188+$C$2:$C7188)), "")*24*60, "")</f>
        <v/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cm="1">
        <f t="array" ref="O7189">IFERROR(IF($B7189=O$1, ($A7189+$C7189) - MAX(IF($B$2:$B7188=$B7189, $A$2:$A7188+$C$2:$C7188)), "")*24*60, "")</f>
        <v>0</v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ref="A7190:C7190" si="1539">A7189</f>
        <v>45996</v>
      </c>
      <c r="B7190" s="5" t="str">
        <f t="shared" si="1539"/>
        <v>Mourning Dove</v>
      </c>
      <c r="C7190" s="6">
        <f t="shared" si="1539"/>
        <v>0.4826388888888889</v>
      </c>
      <c r="D7190" s="5"/>
      <c r="E7190" s="5"/>
      <c r="F7190" s="5" t="s">
        <v>22</v>
      </c>
      <c r="G7190" s="15" t="s">
        <v>22</v>
      </c>
      <c r="H7190" s="24">
        <f t="shared" si="1477"/>
        <v>0</v>
      </c>
      <c r="I7190" s="24" t="str" cm="1">
        <f t="array" ref="I7190">IFERROR(IF($B7190=I$1, ($A7190+$C7190) - MAX(IF($B$2:$B7189=$B7190, $A$2:$A7189+$C$2:$C7189)), "")*24*60, "")</f>
        <v/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cm="1">
        <f t="array" ref="O7190">IFERROR(IF($B7190=O$1, ($A7190+$C7190) - MAX(IF($B$2:$B7189=$B7190, $A$2:$A7189+$C$2:$C7189)), "")*24*60, "")</f>
        <v>0</v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53"/>
  <sheetViews>
    <sheetView zoomScale="120" zoomScaleNormal="120" workbookViewId="0">
      <pane ySplit="1" topLeftCell="A232" activePane="bottomLeft" state="frozen"/>
      <selection pane="bottomLeft" activeCell="A250" sqref="A250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10">
        <v>45995</v>
      </c>
      <c r="B253" s="11" t="s">
        <v>20</v>
      </c>
      <c r="C253" s="11">
        <f>COUNTIFS(RawData!$B:$B, $B253, RawData!$A:$A, DailySummaries!$A253)</f>
        <v>3</v>
      </c>
      <c r="D253" s="11">
        <f>SUMIFS(RawData!$D:$D,RawData!$B:$B,$B253,RawData!$A:$A,DailySummaries!$A253)+1</f>
        <v>1</v>
      </c>
      <c r="E253" s="11">
        <f>SUMIFS(RawData!$E:$E,RawData!$B:$B,$B253,RawData!$A:$A,DailySummaries!$A253)+1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2025-12-05T10:59:18Z</dcterms:modified>
</cp:coreProperties>
</file>
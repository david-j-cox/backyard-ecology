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1C5C6020-6BB2-8742-9709-C71C3BF40332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8" i="2" l="1"/>
  <c r="D278" i="2"/>
  <c r="E278" i="2"/>
  <c r="C7008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70" i="1" l="1"/>
  <c r="C6973" i="1" s="1"/>
  <c r="C6976" i="1" s="1"/>
  <c r="C6979" i="1" s="1"/>
  <c r="C6981" i="1" s="1"/>
  <c r="C6993" i="1" s="1"/>
  <c r="C6995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D276" i="2" s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C276" i="2" l="1"/>
  <c r="E276" i="2"/>
  <c r="C275" i="2"/>
  <c r="E277" i="2"/>
  <c r="D275" i="2"/>
  <c r="E275" i="2"/>
  <c r="C277" i="2"/>
  <c r="D277" i="2"/>
  <c r="C264" i="2"/>
  <c r="E264" i="2"/>
  <c r="C258" i="2"/>
  <c r="E268" i="2"/>
  <c r="C268" i="2"/>
  <c r="E259" i="2"/>
  <c r="E258" i="2"/>
  <c r="C265" i="2"/>
  <c r="E265" i="2"/>
  <c r="C259" i="2"/>
  <c r="E270" i="2"/>
  <c r="E262" i="2"/>
  <c r="C274" i="2"/>
  <c r="E274" i="2"/>
  <c r="C260" i="2"/>
  <c r="C270" i="2"/>
  <c r="E260" i="2"/>
  <c r="C262" i="2"/>
  <c r="D258" i="2"/>
  <c r="D259" i="2"/>
  <c r="D270" i="2"/>
  <c r="D264" i="2"/>
  <c r="D268" i="2"/>
  <c r="D265" i="2"/>
  <c r="D262" i="2"/>
  <c r="D274" i="2"/>
  <c r="D260" i="2"/>
  <c r="E267" i="2"/>
  <c r="E271" i="2"/>
  <c r="E266" i="2"/>
  <c r="C266" i="2"/>
  <c r="D273" i="2"/>
  <c r="D271" i="2"/>
  <c r="C273" i="2"/>
  <c r="E273" i="2"/>
  <c r="C267" i="2"/>
  <c r="C271" i="2"/>
  <c r="D267" i="2"/>
  <c r="D266" i="2"/>
  <c r="C272" i="2"/>
  <c r="D272" i="2"/>
  <c r="E272" i="2"/>
  <c r="E263" i="2"/>
  <c r="C263" i="2"/>
  <c r="E257" i="2"/>
  <c r="C257" i="2"/>
  <c r="D257" i="2"/>
  <c r="D263" i="2"/>
  <c r="C269" i="2"/>
  <c r="E269" i="2"/>
  <c r="D269" i="2"/>
  <c r="C261" i="2"/>
  <c r="D261" i="2"/>
  <c r="E261" i="2"/>
  <c r="C256" i="2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<sst xmlns="http://schemas.openxmlformats.org/spreadsheetml/2006/main" count="68730" uniqueCount="26">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</sst>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7000" activePane="bottomLeft" state="frozen"/>
      <selection pane="bottomLeft" activeCell="A7004" sqref="A7004:S7007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A7008:C7008" si="1330">B7007</f>
        <v>Mourning Dove</v>
      </c>
      <c r="C7008" s="6">
        <f t="shared" si="1330"/>
        <v>0.6</v>
      </c>
      <c r="D7008" s="5"/>
      <c r="E7008" s="5"/>
      <c r="F7008" s="5" t="s">
        <v>22</v>
      </c>
      <c r="G7008" s="15" t="s">
        <v>22</v>
      </c>
      <c r="H7008" s="24">
        <f t="shared" ref="H7004:H7063" si="1331">IFERROR((($A7008+$C7008) - ($A7007+$C7007))*24*60, "")</f>
        <v>1440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1440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32">A7008</f>
        <v>46009</v>
      </c>
      <c r="B7009" s="5" t="str">
        <f t="shared" si="1332"/>
        <v>Mourning Dove</v>
      </c>
      <c r="C7009" s="6">
        <f t="shared" si="1332"/>
        <v>0.6</v>
      </c>
      <c r="D7009" s="5"/>
      <c r="E7009" s="5"/>
      <c r="F7009" s="5" t="s">
        <v>22</v>
      </c>
      <c r="G7009" s="15" t="s">
        <v>22</v>
      </c>
      <c r="H7009" s="24">
        <f t="shared" si="1331"/>
        <v>0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0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33">A7009</f>
        <v>46009</v>
      </c>
      <c r="B7010" s="5" t="str">
        <f t="shared" si="1333"/>
        <v>Mourning Dove</v>
      </c>
      <c r="C7010" s="6">
        <f t="shared" si="1333"/>
        <v>0.6</v>
      </c>
      <c r="D7010" s="5"/>
      <c r="E7010" s="5"/>
      <c r="F7010" s="5" t="s">
        <v>22</v>
      </c>
      <c r="G7010" s="15" t="s">
        <v>22</v>
      </c>
      <c r="H7010" s="24">
        <f t="shared" si="1331"/>
        <v>0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0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34">A7010</f>
        <v>46009</v>
      </c>
      <c r="B7011" s="5" t="str">
        <f t="shared" si="1334"/>
        <v>Mourning Dove</v>
      </c>
      <c r="C7011" s="6">
        <f t="shared" si="1334"/>
        <v>0.6</v>
      </c>
      <c r="D7011" s="5"/>
      <c r="E7011" s="5"/>
      <c r="F7011" s="5" t="s">
        <v>22</v>
      </c>
      <c r="G7011" s="15" t="s">
        <v>22</v>
      </c>
      <c r="H7011" s="24">
        <f t="shared" si="1331"/>
        <v>0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0.6</v>
      </c>
      <c r="D7012" s="5"/>
      <c r="E7012" s="5"/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36">A7012</f>
        <v>46009</v>
      </c>
      <c r="B7013" s="5" t="str">
        <f t="shared" si="1336"/>
        <v>Mourning Dove</v>
      </c>
      <c r="C7013" s="6">
        <f t="shared" si="1336"/>
        <v>0.6</v>
      </c>
      <c r="D7013" s="5"/>
      <c r="E7013" s="5"/>
      <c r="F7013" s="5" t="s">
        <v>22</v>
      </c>
      <c r="G7013" s="15" t="s">
        <v>22</v>
      </c>
      <c r="H7013" s="24">
        <f t="shared" si="1331"/>
        <v>0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0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0.6</v>
      </c>
      <c r="D7014" s="5"/>
      <c r="E7014" s="5"/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38">A7014</f>
        <v>46009</v>
      </c>
      <c r="B7015" s="5" t="str">
        <f t="shared" si="1338"/>
        <v>Mourning Dove</v>
      </c>
      <c r="C7015" s="6">
        <f t="shared" si="1338"/>
        <v>0.6</v>
      </c>
      <c r="D7015" s="5"/>
      <c r="E7015" s="5"/>
      <c r="F7015" s="5" t="s">
        <v>22</v>
      </c>
      <c r="G7015" s="15" t="s">
        <v>22</v>
      </c>
      <c r="H7015" s="24">
        <f t="shared" si="1331"/>
        <v>0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0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39">A7015</f>
        <v>46009</v>
      </c>
      <c r="B7016" s="5" t="str">
        <f t="shared" si="1339"/>
        <v>Mourning Dove</v>
      </c>
      <c r="C7016" s="6">
        <f t="shared" si="1339"/>
        <v>0.6</v>
      </c>
      <c r="D7016" s="5"/>
      <c r="E7016" s="5"/>
      <c r="F7016" s="5" t="s">
        <v>22</v>
      </c>
      <c r="G7016" s="15" t="s">
        <v>22</v>
      </c>
      <c r="H7016" s="24">
        <f t="shared" si="1331"/>
        <v>0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40">A7016</f>
        <v>46009</v>
      </c>
      <c r="B7017" s="5" t="str">
        <f t="shared" si="1340"/>
        <v>Mourning Dove</v>
      </c>
      <c r="C7017" s="6">
        <f t="shared" si="1340"/>
        <v>0.6</v>
      </c>
      <c r="D7017" s="5"/>
      <c r="E7017" s="5"/>
      <c r="F7017" s="5" t="s">
        <v>22</v>
      </c>
      <c r="G7017" s="15" t="s">
        <v>22</v>
      </c>
      <c r="H7017" s="24">
        <f t="shared" si="1331"/>
        <v>0</v>
      </c>
      <c r="I7017" s="24" t="str" cm="1">
        <f t="array" ref="I7017">IFERROR(IF($B7017=I$1, ($A7017+$C7017) - MAX(IF($B$2:$B7016=$B7017, $A$2:$A7016+$C$2:$C7016)), "")*24*60, "")</f>
        <v/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cm="1">
        <f t="array" ref="O7017">IFERROR(IF($B7017=O$1, ($A7017+$C7017) - MAX(IF($B$2:$B7016=$B7017, $A$2:$A7016+$C$2:$C7016)), "")*24*60, "")</f>
        <v>0</v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41">A7017</f>
        <v>46009</v>
      </c>
      <c r="B7018" s="5" t="str">
        <f t="shared" si="1341"/>
        <v>Mourning Dove</v>
      </c>
      <c r="C7018" s="6">
        <f t="shared" si="1341"/>
        <v>0.6</v>
      </c>
      <c r="D7018" s="5"/>
      <c r="E7018" s="5"/>
      <c r="F7018" s="5" t="s">
        <v>22</v>
      </c>
      <c r="G7018" s="15" t="s">
        <v>22</v>
      </c>
      <c r="H7018" s="24">
        <f t="shared" si="1331"/>
        <v>0</v>
      </c>
      <c r="I7018" s="24" t="str" cm="1">
        <f t="array" ref="I7018">IFERROR(IF($B7018=I$1, ($A7018+$C7018) - MAX(IF($B$2:$B7017=$B7018, $A$2:$A7017+$C$2:$C7017)), "")*24*60, "")</f>
        <v/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cm="1">
        <f t="array" ref="O7018">IFERROR(IF($B7018=O$1, ($A7018+$C7018) - MAX(IF($B$2:$B7017=$B7018, $A$2:$A7017+$C$2:$C7017)), "")*24*60, "")</f>
        <v>0</v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42">A7018</f>
        <v>46009</v>
      </c>
      <c r="B7019" s="5" t="str">
        <f t="shared" si="1342"/>
        <v>Mourning Dove</v>
      </c>
      <c r="C7019" s="6">
        <f t="shared" si="1342"/>
        <v>0.6</v>
      </c>
      <c r="D7019" s="5"/>
      <c r="E7019" s="5"/>
      <c r="F7019" s="5" t="s">
        <v>22</v>
      </c>
      <c r="G7019" s="15" t="s">
        <v>22</v>
      </c>
      <c r="H7019" s="24">
        <f t="shared" si="1331"/>
        <v>0</v>
      </c>
      <c r="I7019" s="24" t="str" cm="1">
        <f t="array" ref="I7019">IFERROR(IF($B7019=I$1, ($A7019+$C7019) - MAX(IF($B$2:$B7018=$B7019, $A$2:$A7018+$C$2:$C7018)), "")*24*60, "")</f>
        <v/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cm="1">
        <f t="array" ref="O7019">IFERROR(IF($B7019=O$1, ($A7019+$C7019) - MAX(IF($B$2:$B7018=$B7019, $A$2:$A7018+$C$2:$C7018)), "")*24*60, "")</f>
        <v>0</v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43">A7019</f>
        <v>46009</v>
      </c>
      <c r="B7020" s="5" t="str">
        <f t="shared" si="1343"/>
        <v>Mourning Dove</v>
      </c>
      <c r="C7020" s="6">
        <f t="shared" si="1343"/>
        <v>0.6</v>
      </c>
      <c r="D7020" s="5"/>
      <c r="E7020" s="5"/>
      <c r="F7020" s="5" t="s">
        <v>22</v>
      </c>
      <c r="G7020" s="15" t="s">
        <v>22</v>
      </c>
      <c r="H7020" s="24">
        <f t="shared" si="1331"/>
        <v>0</v>
      </c>
      <c r="I7020" s="24" t="str" cm="1">
        <f t="array" ref="I7020">IFERROR(IF($B7020=I$1, ($A7020+$C7020) - MAX(IF($B$2:$B7019=$B7020, $A$2:$A7019+$C$2:$C7019)), "")*24*60, "")</f>
        <v/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cm="1">
        <f t="array" ref="O7020">IFERROR(IF($B7020=O$1, ($A7020+$C7020) - MAX(IF($B$2:$B7019=$B7020, $A$2:$A7019+$C$2:$C7019)), "")*24*60, "")</f>
        <v>0</v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44">A7020</f>
        <v>46009</v>
      </c>
      <c r="B7021" s="5" t="str">
        <f t="shared" si="1344"/>
        <v>Mourning Dove</v>
      </c>
      <c r="C7021" s="6">
        <f t="shared" si="1344"/>
        <v>0.6</v>
      </c>
      <c r="D7021" s="5"/>
      <c r="E7021" s="5"/>
      <c r="F7021" s="5" t="s">
        <v>22</v>
      </c>
      <c r="G7021" s="15" t="s">
        <v>22</v>
      </c>
      <c r="H7021" s="24">
        <f t="shared" si="1331"/>
        <v>0</v>
      </c>
      <c r="I7021" s="24" t="str" cm="1">
        <f t="array" ref="I7021">IFERROR(IF($B7021=I$1, ($A7021+$C7021) - MAX(IF($B$2:$B7020=$B7021, $A$2:$A7020+$C$2:$C7020)), "")*24*60, "")</f>
        <v/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cm="1">
        <f t="array" ref="O7021">IFERROR(IF($B7021=O$1, ($A7021+$C7021) - MAX(IF($B$2:$B7020=$B7021, $A$2:$A7020+$C$2:$C7020)), "")*24*60, "")</f>
        <v>0</v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45">A7021</f>
        <v>46009</v>
      </c>
      <c r="B7022" s="5" t="str">
        <f t="shared" si="1345"/>
        <v>Mourning Dove</v>
      </c>
      <c r="C7022" s="6">
        <f t="shared" si="1345"/>
        <v>0.6</v>
      </c>
      <c r="D7022" s="5"/>
      <c r="E7022" s="5"/>
      <c r="F7022" s="5" t="s">
        <v>22</v>
      </c>
      <c r="G7022" s="15" t="s">
        <v>22</v>
      </c>
      <c r="H7022" s="24">
        <f t="shared" si="1331"/>
        <v>0</v>
      </c>
      <c r="I7022" s="24" t="str" cm="1">
        <f t="array" ref="I7022">IFERROR(IF($B7022=I$1, ($A7022+$C7022) - MAX(IF($B$2:$B7021=$B7022, $A$2:$A7021+$C$2:$C7021)), "")*24*60, "")</f>
        <v/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cm="1">
        <f t="array" ref="O7022">IFERROR(IF($B7022=O$1, ($A7022+$C7022) - MAX(IF($B$2:$B7021=$B7022, $A$2:$A7021+$C$2:$C7021)), "")*24*60, "")</f>
        <v>0</v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46">A7022</f>
        <v>46009</v>
      </c>
      <c r="B7023" s="5" t="str">
        <f t="shared" si="1346"/>
        <v>Mourning Dove</v>
      </c>
      <c r="C7023" s="6">
        <f t="shared" si="1346"/>
        <v>0.6</v>
      </c>
      <c r="D7023" s="5"/>
      <c r="E7023" s="5"/>
      <c r="F7023" s="5" t="s">
        <v>22</v>
      </c>
      <c r="G7023" s="15" t="s">
        <v>22</v>
      </c>
      <c r="H7023" s="24">
        <f t="shared" si="1331"/>
        <v>0</v>
      </c>
      <c r="I7023" s="24" t="str" cm="1">
        <f t="array" ref="I7023">IFERROR(IF($B7023=I$1, ($A7023+$C7023) - MAX(IF($B$2:$B7022=$B7023, $A$2:$A7022+$C$2:$C7022)), "")*24*60, "")</f>
        <v/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cm="1">
        <f t="array" ref="O7023">IFERROR(IF($B7023=O$1, ($A7023+$C7023) - MAX(IF($B$2:$B7022=$B7023, $A$2:$A7022+$C$2:$C7022)), "")*24*60, "")</f>
        <v>0</v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47">A7023</f>
        <v>46009</v>
      </c>
      <c r="B7024" s="5" t="str">
        <f t="shared" si="1347"/>
        <v>Mourning Dove</v>
      </c>
      <c r="C7024" s="6">
        <f t="shared" si="1347"/>
        <v>0.6</v>
      </c>
      <c r="D7024" s="5"/>
      <c r="E7024" s="5"/>
      <c r="F7024" s="5" t="s">
        <v>22</v>
      </c>
      <c r="G7024" s="15" t="s">
        <v>22</v>
      </c>
      <c r="H7024" s="24">
        <f t="shared" si="1331"/>
        <v>0</v>
      </c>
      <c r="I7024" s="24" t="str" cm="1">
        <f t="array" ref="I7024">IFERROR(IF($B7024=I$1, ($A7024+$C7024) - MAX(IF($B$2:$B7023=$B7024, $A$2:$A7023+$C$2:$C7023)), "")*24*60, "")</f>
        <v/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cm="1">
        <f t="array" ref="O7024">IFERROR(IF($B7024=O$1, ($A7024+$C7024) - MAX(IF($B$2:$B7023=$B7024, $A$2:$A7023+$C$2:$C7023)), "")*24*60, "")</f>
        <v>0</v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48">A7024</f>
        <v>46009</v>
      </c>
      <c r="B7025" s="5" t="str">
        <f t="shared" si="1348"/>
        <v>Mourning Dove</v>
      </c>
      <c r="C7025" s="6">
        <f t="shared" si="1348"/>
        <v>0.6</v>
      </c>
      <c r="D7025" s="5"/>
      <c r="E7025" s="5"/>
      <c r="F7025" s="5" t="s">
        <v>22</v>
      </c>
      <c r="G7025" s="15" t="s">
        <v>22</v>
      </c>
      <c r="H7025" s="24">
        <f t="shared" si="1331"/>
        <v>0</v>
      </c>
      <c r="I7025" s="24" t="str" cm="1">
        <f t="array" ref="I7025">IFERROR(IF($B7025=I$1, ($A7025+$C7025) - MAX(IF($B$2:$B7024=$B7025, $A$2:$A7024+$C$2:$C7024)), "")*24*60, "")</f>
        <v/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cm="1">
        <f t="array" ref="O7025">IFERROR(IF($B7025=O$1, ($A7025+$C7025) - MAX(IF($B$2:$B7024=$B7025, $A$2:$A7024+$C$2:$C7024)), "")*24*60, "")</f>
        <v>0</v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49">A7025</f>
        <v>46009</v>
      </c>
      <c r="B7026" s="5" t="str">
        <f t="shared" si="1349"/>
        <v>Mourning Dove</v>
      </c>
      <c r="C7026" s="6">
        <f t="shared" si="1349"/>
        <v>0.6</v>
      </c>
      <c r="D7026" s="5"/>
      <c r="E7026" s="5"/>
      <c r="F7026" s="5" t="s">
        <v>22</v>
      </c>
      <c r="G7026" s="15" t="s">
        <v>22</v>
      </c>
      <c r="H7026" s="24">
        <f t="shared" si="1331"/>
        <v>0</v>
      </c>
      <c r="I7026" s="24" t="str" cm="1">
        <f t="array" ref="I7026">IFERROR(IF($B7026=I$1, ($A7026+$C7026) - MAX(IF($B$2:$B7025=$B7026, $A$2:$A7025+$C$2:$C7025)), "")*24*60, "")</f>
        <v/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cm="1">
        <f t="array" ref="O7026">IFERROR(IF($B7026=O$1, ($A7026+$C7026) - MAX(IF($B$2:$B7025=$B7026, $A$2:$A7025+$C$2:$C7025)), "")*24*60, "")</f>
        <v>0</v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50">A7026</f>
        <v>46009</v>
      </c>
      <c r="B7027" s="5" t="str">
        <f t="shared" si="1350"/>
        <v>Mourning Dove</v>
      </c>
      <c r="C7027" s="6">
        <f t="shared" si="1350"/>
        <v>0.6</v>
      </c>
      <c r="D7027" s="5"/>
      <c r="E7027" s="5"/>
      <c r="F7027" s="5" t="s">
        <v>22</v>
      </c>
      <c r="G7027" s="15" t="s">
        <v>22</v>
      </c>
      <c r="H7027" s="24">
        <f t="shared" si="1331"/>
        <v>0</v>
      </c>
      <c r="I7027" s="24" t="str" cm="1">
        <f t="array" ref="I7027">IFERROR(IF($B7027=I$1, ($A7027+$C7027) - MAX(IF($B$2:$B7026=$B7027, $A$2:$A7026+$C$2:$C7026)), "")*24*60, "")</f>
        <v/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cm="1">
        <f t="array" ref="O7027">IFERROR(IF($B7027=O$1, ($A7027+$C7027) - MAX(IF($B$2:$B7026=$B7027, $A$2:$A7026+$C$2:$C7026)), "")*24*60, "")</f>
        <v>0</v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51">A7027</f>
        <v>46009</v>
      </c>
      <c r="B7028" s="5" t="str">
        <f t="shared" si="1351"/>
        <v>Mourning Dove</v>
      </c>
      <c r="C7028" s="6">
        <f t="shared" si="1351"/>
        <v>0.6</v>
      </c>
      <c r="D7028" s="5"/>
      <c r="E7028" s="5"/>
      <c r="F7028" s="5" t="s">
        <v>22</v>
      </c>
      <c r="G7028" s="15" t="s">
        <v>22</v>
      </c>
      <c r="H7028" s="24">
        <f t="shared" si="1331"/>
        <v>0</v>
      </c>
      <c r="I7028" s="24" t="str" cm="1">
        <f t="array" ref="I7028">IFERROR(IF($B7028=I$1, ($A7028+$C7028) - MAX(IF($B$2:$B7027=$B7028, $A$2:$A7027+$C$2:$C7027)), "")*24*60, "")</f>
        <v/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cm="1">
        <f t="array" ref="O7028">IFERROR(IF($B7028=O$1, ($A7028+$C7028) - MAX(IF($B$2:$B7027=$B7028, $A$2:$A7027+$C$2:$C7027)), "")*24*60, "")</f>
        <v>0</v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52">A7028</f>
        <v>46009</v>
      </c>
      <c r="B7029" s="5" t="str">
        <f t="shared" si="1352"/>
        <v>Mourning Dove</v>
      </c>
      <c r="C7029" s="6">
        <f t="shared" si="1352"/>
        <v>0.6</v>
      </c>
      <c r="D7029" s="5"/>
      <c r="E7029" s="5"/>
      <c r="F7029" s="5" t="s">
        <v>22</v>
      </c>
      <c r="G7029" s="15" t="s">
        <v>22</v>
      </c>
      <c r="H7029" s="24">
        <f t="shared" si="1331"/>
        <v>0</v>
      </c>
      <c r="I7029" s="24" t="str" cm="1">
        <f t="array" ref="I7029">IFERROR(IF($B7029=I$1, ($A7029+$C7029) - MAX(IF($B$2:$B7028=$B7029, $A$2:$A7028+$C$2:$C7028)), "")*24*60, "")</f>
        <v/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cm="1">
        <f t="array" ref="O7029">IFERROR(IF($B7029=O$1, ($A7029+$C7029) - MAX(IF($B$2:$B7028=$B7029, $A$2:$A7028+$C$2:$C7028)), "")*24*60, "")</f>
        <v>0</v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53">A7029</f>
        <v>46009</v>
      </c>
      <c r="B7030" s="5" t="str">
        <f t="shared" si="1353"/>
        <v>Mourning Dove</v>
      </c>
      <c r="C7030" s="6">
        <f t="shared" si="1353"/>
        <v>0.6</v>
      </c>
      <c r="D7030" s="5"/>
      <c r="E7030" s="5"/>
      <c r="F7030" s="5" t="s">
        <v>22</v>
      </c>
      <c r="G7030" s="15" t="s">
        <v>22</v>
      </c>
      <c r="H7030" s="24">
        <f t="shared" si="1331"/>
        <v>0</v>
      </c>
      <c r="I7030" s="24" t="str" cm="1">
        <f t="array" ref="I7030">IFERROR(IF($B7030=I$1, ($A7030+$C7030) - MAX(IF($B$2:$B7029=$B7030, $A$2:$A7029+$C$2:$C7029)), "")*24*60, "")</f>
        <v/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cm="1">
        <f t="array" ref="O7030">IFERROR(IF($B7030=O$1, ($A7030+$C7030) - MAX(IF($B$2:$B7029=$B7030, $A$2:$A7029+$C$2:$C7029)), "")*24*60, "")</f>
        <v>0</v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54">A7030</f>
        <v>46009</v>
      </c>
      <c r="B7031" s="5" t="str">
        <f t="shared" si="1354"/>
        <v>Mourning Dove</v>
      </c>
      <c r="C7031" s="6">
        <f t="shared" si="1354"/>
        <v>0.6</v>
      </c>
      <c r="D7031" s="5"/>
      <c r="E7031" s="5"/>
      <c r="F7031" s="5" t="s">
        <v>22</v>
      </c>
      <c r="G7031" s="15" t="s">
        <v>22</v>
      </c>
      <c r="H7031" s="24">
        <f t="shared" si="1331"/>
        <v>0</v>
      </c>
      <c r="I7031" s="24" t="str" cm="1">
        <f t="array" ref="I7031">IFERROR(IF($B7031=I$1, ($A7031+$C7031) - MAX(IF($B$2:$B7030=$B7031, $A$2:$A7030+$C$2:$C7030)), "")*24*60, "")</f>
        <v/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cm="1">
        <f t="array" ref="O7031">IFERROR(IF($B7031=O$1, ($A7031+$C7031) - MAX(IF($B$2:$B7030=$B7031, $A$2:$A7030+$C$2:$C7030)), "")*24*60, "")</f>
        <v>0</v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55">A7031</f>
        <v>46009</v>
      </c>
      <c r="B7032" s="5" t="str">
        <f t="shared" si="1355"/>
        <v>Mourning Dove</v>
      </c>
      <c r="C7032" s="6">
        <f t="shared" si="1355"/>
        <v>0.6</v>
      </c>
      <c r="D7032" s="5"/>
      <c r="E7032" s="5"/>
      <c r="F7032" s="5" t="s">
        <v>22</v>
      </c>
      <c r="G7032" s="15" t="s">
        <v>22</v>
      </c>
      <c r="H7032" s="24">
        <f t="shared" si="1331"/>
        <v>0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0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56">A7032</f>
        <v>46009</v>
      </c>
      <c r="B7033" s="5" t="str">
        <f t="shared" si="1356"/>
        <v>Mourning Dove</v>
      </c>
      <c r="C7033" s="6">
        <f t="shared" si="1356"/>
        <v>0.6</v>
      </c>
      <c r="D7033" s="5"/>
      <c r="E7033" s="5"/>
      <c r="F7033" s="5" t="s">
        <v>22</v>
      </c>
      <c r="G7033" s="15" t="s">
        <v>22</v>
      </c>
      <c r="H7033" s="24">
        <f t="shared" si="1331"/>
        <v>0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57">A7033</f>
        <v>46009</v>
      </c>
      <c r="B7034" s="5" t="str">
        <f t="shared" si="1357"/>
        <v>Mourning Dove</v>
      </c>
      <c r="C7034" s="6">
        <f t="shared" si="1357"/>
        <v>0.6</v>
      </c>
      <c r="D7034" s="5"/>
      <c r="E7034" s="5"/>
      <c r="F7034" s="5" t="s">
        <v>22</v>
      </c>
      <c r="G7034" s="15" t="s">
        <v>22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58">A7034</f>
        <v>46009</v>
      </c>
      <c r="B7035" s="5" t="str">
        <f t="shared" si="1358"/>
        <v>Mourning Dove</v>
      </c>
      <c r="C7035" s="6">
        <f t="shared" si="1358"/>
        <v>0.6</v>
      </c>
      <c r="D7035" s="5"/>
      <c r="E7035" s="5"/>
      <c r="F7035" s="5" t="s">
        <v>22</v>
      </c>
      <c r="G7035" s="15" t="s">
        <v>22</v>
      </c>
      <c r="H7035" s="24">
        <f t="shared" si="1331"/>
        <v>0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0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59">A7035</f>
        <v>46009</v>
      </c>
      <c r="B7036" s="5" t="str">
        <f t="shared" si="1359"/>
        <v>Mourning Dove</v>
      </c>
      <c r="C7036" s="6">
        <f t="shared" si="1359"/>
        <v>0.6</v>
      </c>
      <c r="D7036" s="5"/>
      <c r="E7036" s="5"/>
      <c r="F7036" s="5" t="s">
        <v>22</v>
      </c>
      <c r="G7036" s="15" t="s">
        <v>22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60">A7036</f>
        <v>46009</v>
      </c>
      <c r="B7037" s="5" t="str">
        <f t="shared" si="1360"/>
        <v>Mourning Dove</v>
      </c>
      <c r="C7037" s="6">
        <f t="shared" si="1360"/>
        <v>0.6</v>
      </c>
      <c r="D7037" s="5"/>
      <c r="E7037" s="5"/>
      <c r="F7037" s="5" t="s">
        <v>22</v>
      </c>
      <c r="G7037" s="15" t="s">
        <v>22</v>
      </c>
      <c r="H7037" s="24">
        <f t="shared" si="1331"/>
        <v>0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0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61">A7037</f>
        <v>46009</v>
      </c>
      <c r="B7038" s="5" t="str">
        <f t="shared" si="1361"/>
        <v>Mourning Dove</v>
      </c>
      <c r="C7038" s="6">
        <f t="shared" si="1361"/>
        <v>0.6</v>
      </c>
      <c r="D7038" s="5"/>
      <c r="E7038" s="5"/>
      <c r="F7038" s="5" t="s">
        <v>22</v>
      </c>
      <c r="G7038" s="15" t="s">
        <v>22</v>
      </c>
      <c r="H7038" s="24">
        <f t="shared" si="1331"/>
        <v>0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62">A7038</f>
        <v>46009</v>
      </c>
      <c r="B7039" s="5" t="str">
        <f t="shared" si="1362"/>
        <v>Mourning Dove</v>
      </c>
      <c r="C7039" s="6">
        <f t="shared" si="1362"/>
        <v>0.6</v>
      </c>
      <c r="D7039" s="5"/>
      <c r="E7039" s="5"/>
      <c r="F7039" s="5" t="s">
        <v>22</v>
      </c>
      <c r="G7039" s="15" t="s">
        <v>22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63">A7039</f>
        <v>46009</v>
      </c>
      <c r="B7040" s="5" t="str">
        <f t="shared" si="1363"/>
        <v>Mourning Dove</v>
      </c>
      <c r="C7040" s="6">
        <f t="shared" si="1363"/>
        <v>0.6</v>
      </c>
      <c r="D7040" s="5"/>
      <c r="E7040" s="5"/>
      <c r="F7040" s="5" t="s">
        <v>22</v>
      </c>
      <c r="G7040" s="15" t="s">
        <v>22</v>
      </c>
      <c r="H7040" s="24">
        <f t="shared" si="1331"/>
        <v>0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0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64">A7040</f>
        <v>46009</v>
      </c>
      <c r="B7041" s="5" t="str">
        <f t="shared" si="1364"/>
        <v>Mourning Dove</v>
      </c>
      <c r="C7041" s="6">
        <f t="shared" si="1364"/>
        <v>0.6</v>
      </c>
      <c r="D7041" s="5"/>
      <c r="E7041" s="5"/>
      <c r="F7041" s="5" t="s">
        <v>22</v>
      </c>
      <c r="G7041" s="15" t="s">
        <v>22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65">A7041</f>
        <v>46009</v>
      </c>
      <c r="B7042" s="5" t="str">
        <f t="shared" si="1365"/>
        <v>Mourning Dove</v>
      </c>
      <c r="C7042" s="6">
        <f t="shared" si="1365"/>
        <v>0.6</v>
      </c>
      <c r="D7042" s="5"/>
      <c r="E7042" s="5"/>
      <c r="F7042" s="5" t="s">
        <v>22</v>
      </c>
      <c r="G7042" s="15" t="s">
        <v>22</v>
      </c>
      <c r="H7042" s="24">
        <f t="shared" si="1331"/>
        <v>0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0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66">A7042</f>
        <v>46009</v>
      </c>
      <c r="B7043" s="5" t="str">
        <f t="shared" si="1366"/>
        <v>Mourning Dove</v>
      </c>
      <c r="C7043" s="6">
        <f t="shared" si="1366"/>
        <v>0.6</v>
      </c>
      <c r="D7043" s="5"/>
      <c r="E7043" s="5"/>
      <c r="F7043" s="5" t="s">
        <v>22</v>
      </c>
      <c r="G7043" s="15" t="s">
        <v>22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67">A7043</f>
        <v>46009</v>
      </c>
      <c r="B7044" s="5" t="str">
        <f t="shared" si="1367"/>
        <v>Mourning Dove</v>
      </c>
      <c r="C7044" s="6">
        <f t="shared" si="1367"/>
        <v>0.6</v>
      </c>
      <c r="D7044" s="5"/>
      <c r="E7044" s="5"/>
      <c r="F7044" s="5" t="s">
        <v>22</v>
      </c>
      <c r="G7044" s="15" t="s">
        <v>22</v>
      </c>
      <c r="H7044" s="24">
        <f t="shared" si="1331"/>
        <v>0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0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68">A7044</f>
        <v>46009</v>
      </c>
      <c r="B7045" s="5" t="str">
        <f t="shared" si="1368"/>
        <v>Mourning Dove</v>
      </c>
      <c r="C7045" s="6">
        <f t="shared" si="1368"/>
        <v>0.6</v>
      </c>
      <c r="D7045" s="5"/>
      <c r="E7045" s="5"/>
      <c r="F7045" s="5" t="s">
        <v>22</v>
      </c>
      <c r="G7045" s="15" t="s">
        <v>22</v>
      </c>
      <c r="H7045" s="24">
        <f t="shared" si="1331"/>
        <v>0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0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69">A7045</f>
        <v>46009</v>
      </c>
      <c r="B7046" s="5" t="str">
        <f t="shared" si="1369"/>
        <v>Mourning Dove</v>
      </c>
      <c r="C7046" s="6">
        <f t="shared" si="1369"/>
        <v>0.6</v>
      </c>
      <c r="D7046" s="5"/>
      <c r="E7046" s="5"/>
      <c r="F7046" s="5" t="s">
        <v>22</v>
      </c>
      <c r="G7046" s="15" t="s">
        <v>22</v>
      </c>
      <c r="H7046" s="24">
        <f t="shared" si="1331"/>
        <v>0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0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70">A7046</f>
        <v>46009</v>
      </c>
      <c r="B7047" s="5" t="str">
        <f t="shared" si="1370"/>
        <v>Mourning Dove</v>
      </c>
      <c r="C7047" s="6">
        <f t="shared" si="1370"/>
        <v>0.6</v>
      </c>
      <c r="D7047" s="5"/>
      <c r="E7047" s="5"/>
      <c r="F7047" s="5" t="s">
        <v>22</v>
      </c>
      <c r="G7047" s="15" t="s">
        <v>22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71">A7047</f>
        <v>46009</v>
      </c>
      <c r="B7048" s="5" t="str">
        <f t="shared" si="1371"/>
        <v>Mourning Dove</v>
      </c>
      <c r="C7048" s="6">
        <f t="shared" si="1371"/>
        <v>0.6</v>
      </c>
      <c r="D7048" s="5"/>
      <c r="E7048" s="5"/>
      <c r="F7048" s="5" t="s">
        <v>22</v>
      </c>
      <c r="G7048" s="15" t="s">
        <v>22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72">A7048</f>
        <v>46009</v>
      </c>
      <c r="B7049" s="5" t="str">
        <f t="shared" si="1372"/>
        <v>Mourning Dove</v>
      </c>
      <c r="C7049" s="6">
        <f t="shared" si="1372"/>
        <v>0.6</v>
      </c>
      <c r="D7049" s="5"/>
      <c r="E7049" s="5"/>
      <c r="F7049" s="5" t="s">
        <v>22</v>
      </c>
      <c r="G7049" s="15" t="s">
        <v>22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73">A7049</f>
        <v>46009</v>
      </c>
      <c r="B7050" s="5" t="str">
        <f t="shared" si="1373"/>
        <v>Mourning Dove</v>
      </c>
      <c r="C7050" s="6">
        <f t="shared" si="1373"/>
        <v>0.6</v>
      </c>
      <c r="D7050" s="5"/>
      <c r="E7050" s="5"/>
      <c r="F7050" s="5" t="s">
        <v>22</v>
      </c>
      <c r="G7050" s="15" t="s">
        <v>22</v>
      </c>
      <c r="H7050" s="24">
        <f t="shared" si="1331"/>
        <v>0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74">A7050</f>
        <v>46009</v>
      </c>
      <c r="B7051" s="5" t="str">
        <f t="shared" si="1374"/>
        <v>Mourning Dove</v>
      </c>
      <c r="C7051" s="6">
        <f t="shared" si="1374"/>
        <v>0.6</v>
      </c>
      <c r="D7051" s="5"/>
      <c r="E7051" s="5"/>
      <c r="F7051" s="5" t="s">
        <v>22</v>
      </c>
      <c r="G7051" s="15" t="s">
        <v>22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75">A7051</f>
        <v>46009</v>
      </c>
      <c r="B7052" s="5" t="str">
        <f t="shared" si="1375"/>
        <v>Mourning Dove</v>
      </c>
      <c r="C7052" s="6">
        <f t="shared" si="1375"/>
        <v>0.6</v>
      </c>
      <c r="D7052" s="5"/>
      <c r="E7052" s="5"/>
      <c r="F7052" s="5" t="s">
        <v>22</v>
      </c>
      <c r="G7052" s="15" t="s">
        <v>22</v>
      </c>
      <c r="H7052" s="24">
        <f t="shared" si="1331"/>
        <v>0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0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76">A7052</f>
        <v>46009</v>
      </c>
      <c r="B7053" s="5" t="str">
        <f t="shared" si="1376"/>
        <v>Mourning Dove</v>
      </c>
      <c r="C7053" s="6">
        <f t="shared" si="1376"/>
        <v>0.6</v>
      </c>
      <c r="D7053" s="5"/>
      <c r="E7053" s="5"/>
      <c r="F7053" s="5" t="s">
        <v>22</v>
      </c>
      <c r="G7053" s="15" t="s">
        <v>22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377">A7053</f>
        <v>46009</v>
      </c>
      <c r="B7054" s="5" t="str">
        <f t="shared" si="1377"/>
        <v>Mourning Dove</v>
      </c>
      <c r="C7054" s="6">
        <f t="shared" si="1377"/>
        <v>0.6</v>
      </c>
      <c r="D7054" s="5"/>
      <c r="E7054" s="5"/>
      <c r="F7054" s="5" t="s">
        <v>22</v>
      </c>
      <c r="G7054" s="15" t="s">
        <v>22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378">A7054</f>
        <v>46009</v>
      </c>
      <c r="B7055" s="5" t="str">
        <f t="shared" si="1378"/>
        <v>Mourning Dove</v>
      </c>
      <c r="C7055" s="6">
        <f t="shared" si="1378"/>
        <v>0.6</v>
      </c>
      <c r="D7055" s="5"/>
      <c r="E7055" s="5"/>
      <c r="F7055" s="5" t="s">
        <v>22</v>
      </c>
      <c r="G7055" s="15" t="s">
        <v>22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379">A7055</f>
        <v>46009</v>
      </c>
      <c r="B7056" s="5" t="str">
        <f t="shared" si="1379"/>
        <v>Mourning Dove</v>
      </c>
      <c r="C7056" s="6">
        <f t="shared" si="1379"/>
        <v>0.6</v>
      </c>
      <c r="D7056" s="5"/>
      <c r="E7056" s="5"/>
      <c r="F7056" s="5" t="s">
        <v>22</v>
      </c>
      <c r="G7056" s="15" t="s">
        <v>22</v>
      </c>
      <c r="H7056" s="24">
        <f t="shared" si="1331"/>
        <v>0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0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380">A7056</f>
        <v>46009</v>
      </c>
      <c r="B7057" s="5" t="str">
        <f t="shared" si="1380"/>
        <v>Mourning Dove</v>
      </c>
      <c r="C7057" s="6">
        <f t="shared" si="1380"/>
        <v>0.6</v>
      </c>
      <c r="D7057" s="5"/>
      <c r="E7057" s="5"/>
      <c r="F7057" s="5" t="s">
        <v>22</v>
      </c>
      <c r="G7057" s="15" t="s">
        <v>22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381">A7057</f>
        <v>46009</v>
      </c>
      <c r="B7058" s="5" t="str">
        <f t="shared" si="1381"/>
        <v>Mourning Dove</v>
      </c>
      <c r="C7058" s="6">
        <f t="shared" si="1381"/>
        <v>0.6</v>
      </c>
      <c r="D7058" s="5"/>
      <c r="E7058" s="5"/>
      <c r="F7058" s="5" t="s">
        <v>22</v>
      </c>
      <c r="G7058" s="15" t="s">
        <v>22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382">A7058</f>
        <v>46009</v>
      </c>
      <c r="B7059" s="5" t="str">
        <f t="shared" si="1382"/>
        <v>Mourning Dove</v>
      </c>
      <c r="C7059" s="6">
        <f t="shared" si="1382"/>
        <v>0.6</v>
      </c>
      <c r="D7059" s="5"/>
      <c r="E7059" s="5"/>
      <c r="F7059" s="5" t="s">
        <v>22</v>
      </c>
      <c r="G7059" s="15" t="s">
        <v>22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383">A7059</f>
        <v>46009</v>
      </c>
      <c r="B7060" s="5" t="str">
        <f t="shared" si="1383"/>
        <v>Mourning Dove</v>
      </c>
      <c r="C7060" s="6">
        <f t="shared" si="1383"/>
        <v>0.6</v>
      </c>
      <c r="D7060" s="5"/>
      <c r="E7060" s="5"/>
      <c r="F7060" s="5" t="s">
        <v>22</v>
      </c>
      <c r="G7060" s="15" t="s">
        <v>22</v>
      </c>
      <c r="H7060" s="24">
        <f t="shared" si="1331"/>
        <v>0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384">A7060</f>
        <v>46009</v>
      </c>
      <c r="B7061" s="5" t="str">
        <f t="shared" si="1384"/>
        <v>Mourning Dove</v>
      </c>
      <c r="C7061" s="6">
        <f t="shared" si="1384"/>
        <v>0.6</v>
      </c>
      <c r="D7061" s="5"/>
      <c r="E7061" s="5"/>
      <c r="F7061" s="5" t="s">
        <v>22</v>
      </c>
      <c r="G7061" s="15" t="s">
        <v>22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385">A7061</f>
        <v>46009</v>
      </c>
      <c r="B7062" s="5" t="str">
        <f t="shared" si="1385"/>
        <v>Mourning Dove</v>
      </c>
      <c r="C7062" s="6">
        <f t="shared" si="1385"/>
        <v>0.6</v>
      </c>
      <c r="D7062" s="5"/>
      <c r="E7062" s="5"/>
      <c r="F7062" s="5" t="s">
        <v>22</v>
      </c>
      <c r="G7062" s="15" t="s">
        <v>22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386">A7062</f>
        <v>46009</v>
      </c>
      <c r="B7063" s="5" t="str">
        <f t="shared" si="1386"/>
        <v>Mourning Dove</v>
      </c>
      <c r="C7063" s="6">
        <f t="shared" si="1386"/>
        <v>0.6</v>
      </c>
      <c r="D7063" s="5"/>
      <c r="E7063" s="5"/>
      <c r="F7063" s="5" t="s">
        <v>22</v>
      </c>
      <c r="G7063" s="15" t="s">
        <v>22</v>
      </c>
      <c r="H7063" s="24">
        <f t="shared" si="1331"/>
        <v>0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0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387">A7063</f>
        <v>46009</v>
      </c>
      <c r="B7064" s="5" t="str">
        <f t="shared" si="1387"/>
        <v>Mourning Dove</v>
      </c>
      <c r="C7064" s="6">
        <f t="shared" si="1387"/>
        <v>0.6</v>
      </c>
      <c r="D7064" s="5"/>
      <c r="E7064" s="5"/>
      <c r="F7064" s="5" t="s">
        <v>22</v>
      </c>
      <c r="G7064" s="15" t="s">
        <v>22</v>
      </c>
      <c r="H7064" s="24">
        <f t="shared" ref="H7064:H7127" si="1388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389">A7064</f>
        <v>46009</v>
      </c>
      <c r="B7065" s="5" t="str">
        <f t="shared" si="1389"/>
        <v>Mourning Dove</v>
      </c>
      <c r="C7065" s="6">
        <f t="shared" si="1389"/>
        <v>0.6</v>
      </c>
      <c r="D7065" s="5"/>
      <c r="E7065" s="5"/>
      <c r="F7065" s="5" t="s">
        <v>22</v>
      </c>
      <c r="G7065" s="15" t="s">
        <v>22</v>
      </c>
      <c r="H7065" s="24">
        <f t="shared" si="1388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cm="1">
        <f t="array" ref="O7065">IFERROR(IF($B7065=O$1, ($A7065+$C7065) - MAX(IF($B$2:$B7064=$B7065, $A$2:$A7064+$C$2:$C7064)), "")*24*60, "")</f>
        <v>0</v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390">A7065</f>
        <v>46009</v>
      </c>
      <c r="B7066" s="5" t="str">
        <f t="shared" si="1390"/>
        <v>Mourning Dove</v>
      </c>
      <c r="C7066" s="6">
        <f t="shared" si="1390"/>
        <v>0.6</v>
      </c>
      <c r="D7066" s="5"/>
      <c r="E7066" s="5"/>
      <c r="F7066" s="5" t="s">
        <v>22</v>
      </c>
      <c r="G7066" s="15" t="s">
        <v>22</v>
      </c>
      <c r="H7066" s="24">
        <f t="shared" si="1388"/>
        <v>0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0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391">A7066</f>
        <v>46009</v>
      </c>
      <c r="B7067" s="5" t="str">
        <f t="shared" si="1391"/>
        <v>Mourning Dove</v>
      </c>
      <c r="C7067" s="6">
        <f t="shared" si="1391"/>
        <v>0.6</v>
      </c>
      <c r="D7067" s="5"/>
      <c r="E7067" s="5"/>
      <c r="F7067" s="5" t="s">
        <v>22</v>
      </c>
      <c r="G7067" s="15" t="s">
        <v>22</v>
      </c>
      <c r="H7067" s="24">
        <f t="shared" si="1388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392">A7067</f>
        <v>46009</v>
      </c>
      <c r="B7068" s="5" t="str">
        <f t="shared" si="1392"/>
        <v>Mourning Dove</v>
      </c>
      <c r="C7068" s="6">
        <f t="shared" si="1392"/>
        <v>0.6</v>
      </c>
      <c r="D7068" s="5"/>
      <c r="E7068" s="5"/>
      <c r="F7068" s="5" t="s">
        <v>22</v>
      </c>
      <c r="G7068" s="15" t="s">
        <v>22</v>
      </c>
      <c r="H7068" s="24">
        <f t="shared" si="1388"/>
        <v>0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393">A7068</f>
        <v>46009</v>
      </c>
      <c r="B7069" s="5" t="str">
        <f t="shared" si="1393"/>
        <v>Mourning Dove</v>
      </c>
      <c r="C7069" s="6">
        <f t="shared" si="1393"/>
        <v>0.6</v>
      </c>
      <c r="D7069" s="5"/>
      <c r="E7069" s="5"/>
      <c r="F7069" s="5" t="s">
        <v>22</v>
      </c>
      <c r="G7069" s="15" t="s">
        <v>22</v>
      </c>
      <c r="H7069" s="24">
        <f t="shared" si="1388"/>
        <v>0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0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394">A7069</f>
        <v>46009</v>
      </c>
      <c r="B7070" s="5" t="str">
        <f t="shared" si="1394"/>
        <v>Mourning Dove</v>
      </c>
      <c r="C7070" s="6">
        <f t="shared" si="1394"/>
        <v>0.6</v>
      </c>
      <c r="D7070" s="5"/>
      <c r="E7070" s="5"/>
      <c r="F7070" s="5" t="s">
        <v>22</v>
      </c>
      <c r="G7070" s="15" t="s">
        <v>22</v>
      </c>
      <c r="H7070" s="24">
        <f t="shared" si="1388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395">A7070</f>
        <v>46009</v>
      </c>
      <c r="B7071" s="5" t="str">
        <f t="shared" si="1395"/>
        <v>Mourning Dove</v>
      </c>
      <c r="C7071" s="6">
        <f t="shared" si="1395"/>
        <v>0.6</v>
      </c>
      <c r="D7071" s="5"/>
      <c r="E7071" s="5"/>
      <c r="F7071" s="5" t="s">
        <v>22</v>
      </c>
      <c r="G7071" s="15" t="s">
        <v>22</v>
      </c>
      <c r="H7071" s="24">
        <f t="shared" si="1388"/>
        <v>0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0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396">A7071</f>
        <v>46009</v>
      </c>
      <c r="B7072" s="5" t="str">
        <f t="shared" si="1396"/>
        <v>Mourning Dove</v>
      </c>
      <c r="C7072" s="6">
        <f t="shared" si="1396"/>
        <v>0.6</v>
      </c>
      <c r="D7072" s="5"/>
      <c r="E7072" s="5"/>
      <c r="F7072" s="5" t="s">
        <v>22</v>
      </c>
      <c r="G7072" s="15" t="s">
        <v>22</v>
      </c>
      <c r="H7072" s="24">
        <f t="shared" si="1388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397">A7072</f>
        <v>46009</v>
      </c>
      <c r="B7073" s="5" t="str">
        <f t="shared" si="1397"/>
        <v>Mourning Dove</v>
      </c>
      <c r="C7073" s="6">
        <f t="shared" si="1397"/>
        <v>0.6</v>
      </c>
      <c r="D7073" s="5"/>
      <c r="E7073" s="5"/>
      <c r="F7073" s="5" t="s">
        <v>22</v>
      </c>
      <c r="G7073" s="15" t="s">
        <v>22</v>
      </c>
      <c r="H7073" s="24">
        <f t="shared" si="1388"/>
        <v>0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0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398">A7073</f>
        <v>46009</v>
      </c>
      <c r="B7074" s="5" t="str">
        <f t="shared" si="1398"/>
        <v>Mourning Dove</v>
      </c>
      <c r="C7074" s="6">
        <f t="shared" si="1398"/>
        <v>0.6</v>
      </c>
      <c r="D7074" s="5"/>
      <c r="E7074" s="5"/>
      <c r="F7074" s="5" t="s">
        <v>22</v>
      </c>
      <c r="G7074" s="15" t="s">
        <v>22</v>
      </c>
      <c r="H7074" s="24">
        <f t="shared" si="1388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399">A7074</f>
        <v>46009</v>
      </c>
      <c r="B7075" s="5" t="str">
        <f t="shared" si="1399"/>
        <v>Mourning Dove</v>
      </c>
      <c r="C7075" s="6">
        <f t="shared" si="1399"/>
        <v>0.6</v>
      </c>
      <c r="D7075" s="5"/>
      <c r="E7075" s="5"/>
      <c r="F7075" s="5" t="s">
        <v>22</v>
      </c>
      <c r="G7075" s="15" t="s">
        <v>22</v>
      </c>
      <c r="H7075" s="24">
        <f t="shared" si="1388"/>
        <v>0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00">A7075</f>
        <v>46009</v>
      </c>
      <c r="B7076" s="5" t="str">
        <f t="shared" si="1400"/>
        <v>Mourning Dove</v>
      </c>
      <c r="C7076" s="6">
        <f t="shared" si="1400"/>
        <v>0.6</v>
      </c>
      <c r="D7076" s="5"/>
      <c r="E7076" s="5"/>
      <c r="F7076" s="5" t="s">
        <v>22</v>
      </c>
      <c r="G7076" s="15" t="s">
        <v>22</v>
      </c>
      <c r="H7076" s="24">
        <f t="shared" si="1388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01">A7076</f>
        <v>46009</v>
      </c>
      <c r="B7077" s="5" t="str">
        <f t="shared" si="1401"/>
        <v>Mourning Dove</v>
      </c>
      <c r="C7077" s="6">
        <f t="shared" si="1401"/>
        <v>0.6</v>
      </c>
      <c r="D7077" s="5"/>
      <c r="E7077" s="5"/>
      <c r="F7077" s="5" t="s">
        <v>22</v>
      </c>
      <c r="G7077" s="15" t="s">
        <v>22</v>
      </c>
      <c r="H7077" s="24">
        <f t="shared" si="1388"/>
        <v>0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0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02">A7077</f>
        <v>46009</v>
      </c>
      <c r="B7078" s="5" t="str">
        <f t="shared" si="1402"/>
        <v>Mourning Dove</v>
      </c>
      <c r="C7078" s="6">
        <f t="shared" si="1402"/>
        <v>0.6</v>
      </c>
      <c r="D7078" s="5"/>
      <c r="E7078" s="5"/>
      <c r="F7078" s="5" t="s">
        <v>22</v>
      </c>
      <c r="G7078" s="15" t="s">
        <v>22</v>
      </c>
      <c r="H7078" s="24">
        <f t="shared" si="1388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03">A7078</f>
        <v>46009</v>
      </c>
      <c r="B7079" s="5" t="str">
        <f t="shared" si="1403"/>
        <v>Mourning Dove</v>
      </c>
      <c r="C7079" s="6">
        <f t="shared" si="1403"/>
        <v>0.6</v>
      </c>
      <c r="D7079" s="5"/>
      <c r="E7079" s="5"/>
      <c r="F7079" s="5" t="s">
        <v>22</v>
      </c>
      <c r="G7079" s="15" t="s">
        <v>22</v>
      </c>
      <c r="H7079" s="24">
        <f t="shared" si="1388"/>
        <v>0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0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04">A7079</f>
        <v>46009</v>
      </c>
      <c r="B7080" s="5" t="str">
        <f t="shared" si="1404"/>
        <v>Mourning Dove</v>
      </c>
      <c r="C7080" s="6">
        <f t="shared" si="1404"/>
        <v>0.6</v>
      </c>
      <c r="D7080" s="5"/>
      <c r="E7080" s="5"/>
      <c r="F7080" s="5" t="s">
        <v>22</v>
      </c>
      <c r="G7080" s="15" t="s">
        <v>22</v>
      </c>
      <c r="H7080" s="24">
        <f t="shared" si="1388"/>
        <v>0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0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05">A7080</f>
        <v>46009</v>
      </c>
      <c r="B7081" s="5" t="str">
        <f t="shared" si="1405"/>
        <v>Mourning Dove</v>
      </c>
      <c r="C7081" s="6">
        <f t="shared" si="1405"/>
        <v>0.6</v>
      </c>
      <c r="D7081" s="5"/>
      <c r="E7081" s="5"/>
      <c r="F7081" s="5" t="s">
        <v>22</v>
      </c>
      <c r="G7081" s="15" t="s">
        <v>22</v>
      </c>
      <c r="H7081" s="24">
        <f t="shared" si="1388"/>
        <v>0</v>
      </c>
      <c r="I7081" s="24" t="str" cm="1">
        <f t="array" ref="I7081">IFERROR(IF($B7081=I$1, ($A7081+$C7081) - MAX(IF($B$2:$B7080=$B7081, $A$2:$A7080+$C$2:$C7080)), "")*24*60, "")</f>
        <v/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cm="1">
        <f t="array" ref="O7081">IFERROR(IF($B7081=O$1, ($A7081+$C7081) - MAX(IF($B$2:$B7080=$B7081, $A$2:$A7080+$C$2:$C7080)), "")*24*60, "")</f>
        <v>0</v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06">A7081</f>
        <v>46009</v>
      </c>
      <c r="B7082" s="5" t="str">
        <f t="shared" si="1406"/>
        <v>Mourning Dove</v>
      </c>
      <c r="C7082" s="6">
        <f t="shared" si="1406"/>
        <v>0.6</v>
      </c>
      <c r="D7082" s="5"/>
      <c r="E7082" s="5"/>
      <c r="F7082" s="5" t="s">
        <v>22</v>
      </c>
      <c r="G7082" s="15" t="s">
        <v>22</v>
      </c>
      <c r="H7082" s="24">
        <f t="shared" si="1388"/>
        <v>0</v>
      </c>
      <c r="I7082" s="24" t="str" cm="1">
        <f t="array" ref="I7082">IFERROR(IF($B7082=I$1, ($A7082+$C7082) - MAX(IF($B$2:$B7081=$B7082, $A$2:$A7081+$C$2:$C7081)), "")*24*60, "")</f>
        <v/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cm="1">
        <f t="array" ref="O7082">IFERROR(IF($B7082=O$1, ($A7082+$C7082) - MAX(IF($B$2:$B7081=$B7082, $A$2:$A7081+$C$2:$C7081)), "")*24*60, "")</f>
        <v>0</v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07">A7082</f>
        <v>46009</v>
      </c>
      <c r="B7083" s="5" t="str">
        <f t="shared" si="1407"/>
        <v>Mourning Dove</v>
      </c>
      <c r="C7083" s="6">
        <f t="shared" si="1407"/>
        <v>0.6</v>
      </c>
      <c r="D7083" s="5"/>
      <c r="E7083" s="5"/>
      <c r="F7083" s="5" t="s">
        <v>22</v>
      </c>
      <c r="G7083" s="15" t="s">
        <v>22</v>
      </c>
      <c r="H7083" s="24">
        <f t="shared" si="1388"/>
        <v>0</v>
      </c>
      <c r="I7083" s="24" t="str" cm="1">
        <f t="array" ref="I7083">IFERROR(IF($B7083=I$1, ($A7083+$C7083) - MAX(IF($B$2:$B7082=$B7083, $A$2:$A7082+$C$2:$C7082)), "")*24*60, "")</f>
        <v/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cm="1">
        <f t="array" ref="O7083">IFERROR(IF($B7083=O$1, ($A7083+$C7083) - MAX(IF($B$2:$B7082=$B7083, $A$2:$A7082+$C$2:$C7082)), "")*24*60, "")</f>
        <v>0</v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08">A7083</f>
        <v>46009</v>
      </c>
      <c r="B7084" s="5" t="str">
        <f t="shared" si="1408"/>
        <v>Mourning Dove</v>
      </c>
      <c r="C7084" s="6">
        <f t="shared" si="1408"/>
        <v>0.6</v>
      </c>
      <c r="D7084" s="5"/>
      <c r="E7084" s="5"/>
      <c r="F7084" s="5" t="s">
        <v>22</v>
      </c>
      <c r="G7084" s="15" t="s">
        <v>22</v>
      </c>
      <c r="H7084" s="24">
        <f t="shared" si="1388"/>
        <v>0</v>
      </c>
      <c r="I7084" s="24" t="str" cm="1">
        <f t="array" ref="I7084">IFERROR(IF($B7084=I$1, ($A7084+$C7084) - MAX(IF($B$2:$B7083=$B7084, $A$2:$A7083+$C$2:$C7083)), "")*24*60, "")</f>
        <v/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cm="1">
        <f t="array" ref="O7084">IFERROR(IF($B7084=O$1, ($A7084+$C7084) - MAX(IF($B$2:$B7083=$B7084, $A$2:$A7083+$C$2:$C7083)), "")*24*60, "")</f>
        <v>0</v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09">A7084</f>
        <v>46009</v>
      </c>
      <c r="B7085" s="5" t="str">
        <f t="shared" si="1409"/>
        <v>Mourning Dove</v>
      </c>
      <c r="C7085" s="6">
        <f t="shared" si="1409"/>
        <v>0.6</v>
      </c>
      <c r="D7085" s="5"/>
      <c r="E7085" s="5"/>
      <c r="F7085" s="5" t="s">
        <v>22</v>
      </c>
      <c r="G7085" s="15" t="s">
        <v>22</v>
      </c>
      <c r="H7085" s="24">
        <f t="shared" si="1388"/>
        <v>0</v>
      </c>
      <c r="I7085" s="24" t="str" cm="1">
        <f t="array" ref="I7085">IFERROR(IF($B7085=I$1, ($A7085+$C7085) - MAX(IF($B$2:$B7084=$B7085, $A$2:$A7084+$C$2:$C7084)), "")*24*60, "")</f>
        <v/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cm="1">
        <f t="array" ref="O7085">IFERROR(IF($B7085=O$1, ($A7085+$C7085) - MAX(IF($B$2:$B7084=$B7085, $A$2:$A7084+$C$2:$C7084)), "")*24*60, "")</f>
        <v>0</v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10">A7085</f>
        <v>46009</v>
      </c>
      <c r="B7086" s="5" t="str">
        <f t="shared" si="1410"/>
        <v>Mourning Dove</v>
      </c>
      <c r="C7086" s="6">
        <f t="shared" si="1410"/>
        <v>0.6</v>
      </c>
      <c r="D7086" s="5"/>
      <c r="E7086" s="5"/>
      <c r="F7086" s="5" t="s">
        <v>22</v>
      </c>
      <c r="G7086" s="15" t="s">
        <v>22</v>
      </c>
      <c r="H7086" s="24">
        <f t="shared" si="1388"/>
        <v>0</v>
      </c>
      <c r="I7086" s="24" t="str" cm="1">
        <f t="array" ref="I7086">IFERROR(IF($B7086=I$1, ($A7086+$C7086) - MAX(IF($B$2:$B7085=$B7086, $A$2:$A7085+$C$2:$C7085)), "")*24*60, "")</f>
        <v/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cm="1">
        <f t="array" ref="O7086">IFERROR(IF($B7086=O$1, ($A7086+$C7086) - MAX(IF($B$2:$B7085=$B7086, $A$2:$A7085+$C$2:$C7085)), "")*24*60, "")</f>
        <v>0</v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11">A7086</f>
        <v>46009</v>
      </c>
      <c r="B7087" s="5" t="str">
        <f t="shared" si="1411"/>
        <v>Mourning Dove</v>
      </c>
      <c r="C7087" s="6">
        <f t="shared" si="1411"/>
        <v>0.6</v>
      </c>
      <c r="D7087" s="5"/>
      <c r="E7087" s="5"/>
      <c r="F7087" s="5" t="s">
        <v>22</v>
      </c>
      <c r="G7087" s="15" t="s">
        <v>22</v>
      </c>
      <c r="H7087" s="24">
        <f t="shared" si="1388"/>
        <v>0</v>
      </c>
      <c r="I7087" s="24" t="str" cm="1">
        <f t="array" ref="I7087">IFERROR(IF($B7087=I$1, ($A7087+$C7087) - MAX(IF($B$2:$B7086=$B7087, $A$2:$A7086+$C$2:$C7086)), "")*24*60, "")</f>
        <v/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cm="1">
        <f t="array" ref="O7087">IFERROR(IF($B7087=O$1, ($A7087+$C7087) - MAX(IF($B$2:$B7086=$B7087, $A$2:$A7086+$C$2:$C7086)), "")*24*60, "")</f>
        <v>0</v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12">A7087</f>
        <v>46009</v>
      </c>
      <c r="B7088" s="5" t="str">
        <f t="shared" si="1412"/>
        <v>Mourning Dove</v>
      </c>
      <c r="C7088" s="6">
        <f t="shared" si="1412"/>
        <v>0.6</v>
      </c>
      <c r="D7088" s="5"/>
      <c r="E7088" s="5"/>
      <c r="F7088" s="5" t="s">
        <v>22</v>
      </c>
      <c r="G7088" s="15" t="s">
        <v>22</v>
      </c>
      <c r="H7088" s="24">
        <f t="shared" si="1388"/>
        <v>0</v>
      </c>
      <c r="I7088" s="24" t="str" cm="1">
        <f t="array" ref="I7088">IFERROR(IF($B7088=I$1, ($A7088+$C7088) - MAX(IF($B$2:$B7087=$B7088, $A$2:$A7087+$C$2:$C7087)), "")*24*60, "")</f>
        <v/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cm="1">
        <f t="array" ref="O7088">IFERROR(IF($B7088=O$1, ($A7088+$C7088) - MAX(IF($B$2:$B7087=$B7088, $A$2:$A7087+$C$2:$C7087)), "")*24*60, "")</f>
        <v>0</v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13">A7088</f>
        <v>46009</v>
      </c>
      <c r="B7089" s="5" t="str">
        <f t="shared" si="1413"/>
        <v>Mourning Dove</v>
      </c>
      <c r="C7089" s="6">
        <f t="shared" si="1413"/>
        <v>0.6</v>
      </c>
      <c r="D7089" s="5"/>
      <c r="E7089" s="5"/>
      <c r="F7089" s="5" t="s">
        <v>22</v>
      </c>
      <c r="G7089" s="15" t="s">
        <v>22</v>
      </c>
      <c r="H7089" s="24">
        <f t="shared" si="1388"/>
        <v>0</v>
      </c>
      <c r="I7089" s="24" t="str" cm="1">
        <f t="array" ref="I7089">IFERROR(IF($B7089=I$1, ($A7089+$C7089) - MAX(IF($B$2:$B7088=$B7089, $A$2:$A7088+$C$2:$C7088)), "")*24*60, "")</f>
        <v/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cm="1">
        <f t="array" ref="O7089">IFERROR(IF($B7089=O$1, ($A7089+$C7089) - MAX(IF($B$2:$B7088=$B7089, $A$2:$A7088+$C$2:$C7088)), "")*24*60, "")</f>
        <v>0</v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14">A7089</f>
        <v>46009</v>
      </c>
      <c r="B7090" s="5" t="str">
        <f t="shared" si="1414"/>
        <v>Mourning Dove</v>
      </c>
      <c r="C7090" s="6">
        <f t="shared" si="1414"/>
        <v>0.6</v>
      </c>
      <c r="D7090" s="5"/>
      <c r="E7090" s="5"/>
      <c r="F7090" s="5" t="s">
        <v>22</v>
      </c>
      <c r="G7090" s="15" t="s">
        <v>22</v>
      </c>
      <c r="H7090" s="24">
        <f t="shared" si="1388"/>
        <v>0</v>
      </c>
      <c r="I7090" s="24" t="str" cm="1">
        <f t="array" ref="I7090">IFERROR(IF($B7090=I$1, ($A7090+$C7090) - MAX(IF($B$2:$B7089=$B7090, $A$2:$A7089+$C$2:$C7089)), "")*24*60, "")</f>
        <v/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cm="1">
        <f t="array" ref="O7090">IFERROR(IF($B7090=O$1, ($A7090+$C7090) - MAX(IF($B$2:$B7089=$B7090, $A$2:$A7089+$C$2:$C7089)), "")*24*60, "")</f>
        <v>0</v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15">A7090</f>
        <v>46009</v>
      </c>
      <c r="B7091" s="5" t="str">
        <f t="shared" si="1415"/>
        <v>Mourning Dove</v>
      </c>
      <c r="C7091" s="6">
        <f t="shared" si="1415"/>
        <v>0.6</v>
      </c>
      <c r="D7091" s="5"/>
      <c r="E7091" s="5"/>
      <c r="F7091" s="5" t="s">
        <v>22</v>
      </c>
      <c r="G7091" s="15" t="s">
        <v>22</v>
      </c>
      <c r="H7091" s="24">
        <f t="shared" si="1388"/>
        <v>0</v>
      </c>
      <c r="I7091" s="24" t="str" cm="1">
        <f t="array" ref="I7091">IFERROR(IF($B7091=I$1, ($A7091+$C7091) - MAX(IF($B$2:$B7090=$B7091, $A$2:$A7090+$C$2:$C7090)), "")*24*60, "")</f>
        <v/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cm="1">
        <f t="array" ref="O7091">IFERROR(IF($B7091=O$1, ($A7091+$C7091) - MAX(IF($B$2:$B7090=$B7091, $A$2:$A7090+$C$2:$C7090)), "")*24*60, "")</f>
        <v>0</v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16">A7091</f>
        <v>46009</v>
      </c>
      <c r="B7092" s="5" t="str">
        <f t="shared" si="1416"/>
        <v>Mourning Dove</v>
      </c>
      <c r="C7092" s="6">
        <f t="shared" si="1416"/>
        <v>0.6</v>
      </c>
      <c r="D7092" s="5"/>
      <c r="E7092" s="5"/>
      <c r="F7092" s="5" t="s">
        <v>22</v>
      </c>
      <c r="G7092" s="15" t="s">
        <v>22</v>
      </c>
      <c r="H7092" s="24">
        <f t="shared" si="1388"/>
        <v>0</v>
      </c>
      <c r="I7092" s="24" t="str" cm="1">
        <f t="array" ref="I7092">IFERROR(IF($B7092=I$1, ($A7092+$C7092) - MAX(IF($B$2:$B7091=$B7092, $A$2:$A7091+$C$2:$C7091)), "")*24*60, "")</f>
        <v/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cm="1">
        <f t="array" ref="O7092">IFERROR(IF($B7092=O$1, ($A7092+$C7092) - MAX(IF($B$2:$B7091=$B7092, $A$2:$A7091+$C$2:$C7091)), "")*24*60, "")</f>
        <v>0</v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17">A7092</f>
        <v>46009</v>
      </c>
      <c r="B7093" s="5" t="str">
        <f t="shared" si="1417"/>
        <v>Mourning Dove</v>
      </c>
      <c r="C7093" s="6">
        <f t="shared" si="1417"/>
        <v>0.6</v>
      </c>
      <c r="D7093" s="5"/>
      <c r="E7093" s="5"/>
      <c r="F7093" s="5" t="s">
        <v>22</v>
      </c>
      <c r="G7093" s="15" t="s">
        <v>22</v>
      </c>
      <c r="H7093" s="24">
        <f t="shared" si="1388"/>
        <v>0</v>
      </c>
      <c r="I7093" s="24" t="str" cm="1">
        <f t="array" ref="I7093">IFERROR(IF($B7093=I$1, ($A7093+$C7093) - MAX(IF($B$2:$B7092=$B7093, $A$2:$A7092+$C$2:$C7092)), "")*24*60, "")</f>
        <v/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cm="1">
        <f t="array" ref="O7093">IFERROR(IF($B7093=O$1, ($A7093+$C7093) - MAX(IF($B$2:$B7092=$B7093, $A$2:$A7092+$C$2:$C7092)), "")*24*60, "")</f>
        <v>0</v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18">A7093</f>
        <v>46009</v>
      </c>
      <c r="B7094" s="5" t="str">
        <f t="shared" si="1418"/>
        <v>Mourning Dove</v>
      </c>
      <c r="C7094" s="6">
        <f t="shared" si="1418"/>
        <v>0.6</v>
      </c>
      <c r="D7094" s="5"/>
      <c r="E7094" s="5"/>
      <c r="F7094" s="5" t="s">
        <v>22</v>
      </c>
      <c r="G7094" s="15" t="s">
        <v>22</v>
      </c>
      <c r="H7094" s="24">
        <f t="shared" si="1388"/>
        <v>0</v>
      </c>
      <c r="I7094" s="24" t="str" cm="1">
        <f t="array" ref="I7094">IFERROR(IF($B7094=I$1, ($A7094+$C7094) - MAX(IF($B$2:$B7093=$B7094, $A$2:$A7093+$C$2:$C7093)), "")*24*60, "")</f>
        <v/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cm="1">
        <f t="array" ref="O7094">IFERROR(IF($B7094=O$1, ($A7094+$C7094) - MAX(IF($B$2:$B7093=$B7094, $A$2:$A7093+$C$2:$C7093)), "")*24*60, "")</f>
        <v>0</v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19">A7094</f>
        <v>46009</v>
      </c>
      <c r="B7095" s="5" t="str">
        <f t="shared" si="1419"/>
        <v>Mourning Dove</v>
      </c>
      <c r="C7095" s="6">
        <f t="shared" si="1419"/>
        <v>0.6</v>
      </c>
      <c r="D7095" s="5"/>
      <c r="E7095" s="5"/>
      <c r="F7095" s="5" t="s">
        <v>22</v>
      </c>
      <c r="G7095" s="15" t="s">
        <v>22</v>
      </c>
      <c r="H7095" s="24">
        <f t="shared" si="1388"/>
        <v>0</v>
      </c>
      <c r="I7095" s="24" t="str" cm="1">
        <f t="array" ref="I7095">IFERROR(IF($B7095=I$1, ($A7095+$C7095) - MAX(IF($B$2:$B7094=$B7095, $A$2:$A7094+$C$2:$C7094)), "")*24*60, "")</f>
        <v/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cm="1">
        <f t="array" ref="O7095">IFERROR(IF($B7095=O$1, ($A7095+$C7095) - MAX(IF($B$2:$B7094=$B7095, $A$2:$A7094+$C$2:$C7094)), "")*24*60, "")</f>
        <v>0</v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20">A7095</f>
        <v>46009</v>
      </c>
      <c r="B7096" s="5" t="str">
        <f t="shared" si="1420"/>
        <v>Mourning Dove</v>
      </c>
      <c r="C7096" s="6">
        <f t="shared" si="1420"/>
        <v>0.6</v>
      </c>
      <c r="D7096" s="5"/>
      <c r="E7096" s="5"/>
      <c r="F7096" s="5" t="s">
        <v>22</v>
      </c>
      <c r="G7096" s="15" t="s">
        <v>22</v>
      </c>
      <c r="H7096" s="24">
        <f t="shared" si="1388"/>
        <v>0</v>
      </c>
      <c r="I7096" s="24" t="str" cm="1">
        <f t="array" ref="I7096">IFERROR(IF($B7096=I$1, ($A7096+$C7096) - MAX(IF($B$2:$B7095=$B7096, $A$2:$A7095+$C$2:$C7095)), "")*24*60, "")</f>
        <v/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cm="1">
        <f t="array" ref="O7096">IFERROR(IF($B7096=O$1, ($A7096+$C7096) - MAX(IF($B$2:$B7095=$B7096, $A$2:$A7095+$C$2:$C7095)), "")*24*60, "")</f>
        <v>0</v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21">A7096</f>
        <v>46009</v>
      </c>
      <c r="B7097" s="5" t="str">
        <f t="shared" si="1421"/>
        <v>Mourning Dove</v>
      </c>
      <c r="C7097" s="6">
        <f t="shared" si="1421"/>
        <v>0.6</v>
      </c>
      <c r="D7097" s="5"/>
      <c r="E7097" s="5"/>
      <c r="F7097" s="5" t="s">
        <v>22</v>
      </c>
      <c r="G7097" s="15" t="s">
        <v>22</v>
      </c>
      <c r="H7097" s="24">
        <f t="shared" si="1388"/>
        <v>0</v>
      </c>
      <c r="I7097" s="24" t="str" cm="1">
        <f t="array" ref="I7097">IFERROR(IF($B7097=I$1, ($A7097+$C7097) - MAX(IF($B$2:$B7096=$B7097, $A$2:$A7096+$C$2:$C7096)), "")*24*60, "")</f>
        <v/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cm="1">
        <f t="array" ref="O7097">IFERROR(IF($B7097=O$1, ($A7097+$C7097) - MAX(IF($B$2:$B7096=$B7097, $A$2:$A7096+$C$2:$C7096)), "")*24*60, "")</f>
        <v>0</v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22">A7097</f>
        <v>46009</v>
      </c>
      <c r="B7098" s="5" t="str">
        <f t="shared" si="1422"/>
        <v>Mourning Dove</v>
      </c>
      <c r="C7098" s="6">
        <f t="shared" si="1422"/>
        <v>0.6</v>
      </c>
      <c r="D7098" s="5"/>
      <c r="E7098" s="5"/>
      <c r="F7098" s="5" t="s">
        <v>22</v>
      </c>
      <c r="G7098" s="15" t="s">
        <v>22</v>
      </c>
      <c r="H7098" s="24">
        <f t="shared" si="1388"/>
        <v>0</v>
      </c>
      <c r="I7098" s="24" t="str" cm="1">
        <f t="array" ref="I7098">IFERROR(IF($B7098=I$1, ($A7098+$C7098) - MAX(IF($B$2:$B7097=$B7098, $A$2:$A7097+$C$2:$C7097)), "")*24*60, "")</f>
        <v/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cm="1">
        <f t="array" ref="O7098">IFERROR(IF($B7098=O$1, ($A7098+$C7098) - MAX(IF($B$2:$B7097=$B7098, $A$2:$A7097+$C$2:$C7097)), "")*24*60, "")</f>
        <v>0</v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23">A7098</f>
        <v>46009</v>
      </c>
      <c r="B7099" s="5" t="str">
        <f t="shared" si="1423"/>
        <v>Mourning Dove</v>
      </c>
      <c r="C7099" s="6">
        <f t="shared" si="1423"/>
        <v>0.6</v>
      </c>
      <c r="D7099" s="5"/>
      <c r="E7099" s="5"/>
      <c r="F7099" s="5" t="s">
        <v>22</v>
      </c>
      <c r="G7099" s="15" t="s">
        <v>22</v>
      </c>
      <c r="H7099" s="24">
        <f t="shared" si="1388"/>
        <v>0</v>
      </c>
      <c r="I7099" s="24" t="str" cm="1">
        <f t="array" ref="I7099">IFERROR(IF($B7099=I$1, ($A7099+$C7099) - MAX(IF($B$2:$B7098=$B7099, $A$2:$A7098+$C$2:$C7098)), "")*24*60, "")</f>
        <v/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cm="1">
        <f t="array" ref="O7099">IFERROR(IF($B7099=O$1, ($A7099+$C7099) - MAX(IF($B$2:$B7098=$B7099, $A$2:$A7098+$C$2:$C7098)), "")*24*60, "")</f>
        <v>0</v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24">A7099</f>
        <v>46009</v>
      </c>
      <c r="B7100" s="5" t="str">
        <f t="shared" si="1424"/>
        <v>Mourning Dove</v>
      </c>
      <c r="C7100" s="6">
        <f t="shared" si="1424"/>
        <v>0.6</v>
      </c>
      <c r="D7100" s="5"/>
      <c r="E7100" s="5"/>
      <c r="F7100" s="5" t="s">
        <v>22</v>
      </c>
      <c r="G7100" s="15" t="s">
        <v>22</v>
      </c>
      <c r="H7100" s="24">
        <f t="shared" si="1388"/>
        <v>0</v>
      </c>
      <c r="I7100" s="24" t="str" cm="1">
        <f t="array" ref="I7100">IFERROR(IF($B7100=I$1, ($A7100+$C7100) - MAX(IF($B$2:$B7099=$B7100, $A$2:$A7099+$C$2:$C7099)), "")*24*60, "")</f>
        <v/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cm="1">
        <f t="array" ref="O7100">IFERROR(IF($B7100=O$1, ($A7100+$C7100) - MAX(IF($B$2:$B7099=$B7100, $A$2:$A7099+$C$2:$C7099)), "")*24*60, "")</f>
        <v>0</v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25">A7100</f>
        <v>46009</v>
      </c>
      <c r="B7101" s="5" t="str">
        <f t="shared" si="1425"/>
        <v>Mourning Dove</v>
      </c>
      <c r="C7101" s="6">
        <f t="shared" si="1425"/>
        <v>0.6</v>
      </c>
      <c r="D7101" s="5"/>
      <c r="E7101" s="5"/>
      <c r="F7101" s="5" t="s">
        <v>22</v>
      </c>
      <c r="G7101" s="15" t="s">
        <v>22</v>
      </c>
      <c r="H7101" s="24">
        <f t="shared" si="1388"/>
        <v>0</v>
      </c>
      <c r="I7101" s="24" t="str" cm="1">
        <f t="array" ref="I7101">IFERROR(IF($B7101=I$1, ($A7101+$C7101) - MAX(IF($B$2:$B7100=$B7101, $A$2:$A7100+$C$2:$C7100)), "")*24*60, "")</f>
        <v/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cm="1">
        <f t="array" ref="O7101">IFERROR(IF($B7101=O$1, ($A7101+$C7101) - MAX(IF($B$2:$B7100=$B7101, $A$2:$A7100+$C$2:$C7100)), "")*24*60, "")</f>
        <v>0</v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26">A7101</f>
        <v>46009</v>
      </c>
      <c r="B7102" s="5" t="str">
        <f t="shared" si="1426"/>
        <v>Mourning Dove</v>
      </c>
      <c r="C7102" s="6">
        <f t="shared" si="1426"/>
        <v>0.6</v>
      </c>
      <c r="D7102" s="5"/>
      <c r="E7102" s="5"/>
      <c r="F7102" s="5" t="s">
        <v>22</v>
      </c>
      <c r="G7102" s="15" t="s">
        <v>22</v>
      </c>
      <c r="H7102" s="24">
        <f t="shared" si="1388"/>
        <v>0</v>
      </c>
      <c r="I7102" s="24" t="str" cm="1">
        <f t="array" ref="I7102">IFERROR(IF($B7102=I$1, ($A7102+$C7102) - MAX(IF($B$2:$B7101=$B7102, $A$2:$A7101+$C$2:$C7101)), "")*24*60, "")</f>
        <v/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cm="1">
        <f t="array" ref="O7102">IFERROR(IF($B7102=O$1, ($A7102+$C7102) - MAX(IF($B$2:$B7101=$B7102, $A$2:$A7101+$C$2:$C7101)), "")*24*60, "")</f>
        <v>0</v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27">A7102</f>
        <v>46009</v>
      </c>
      <c r="B7103" s="5" t="str">
        <f t="shared" si="1427"/>
        <v>Mourning Dove</v>
      </c>
      <c r="C7103" s="6">
        <f t="shared" si="1427"/>
        <v>0.6</v>
      </c>
      <c r="D7103" s="5"/>
      <c r="E7103" s="5"/>
      <c r="F7103" s="5" t="s">
        <v>22</v>
      </c>
      <c r="G7103" s="15" t="s">
        <v>22</v>
      </c>
      <c r="H7103" s="24">
        <f t="shared" si="1388"/>
        <v>0</v>
      </c>
      <c r="I7103" s="24" t="str" cm="1">
        <f t="array" ref="I7103">IFERROR(IF($B7103=I$1, ($A7103+$C7103) - MAX(IF($B$2:$B7102=$B7103, $A$2:$A7102+$C$2:$C7102)), "")*24*60, "")</f>
        <v/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cm="1">
        <f t="array" ref="O7103">IFERROR(IF($B7103=O$1, ($A7103+$C7103) - MAX(IF($B$2:$B7102=$B7103, $A$2:$A7102+$C$2:$C7102)), "")*24*60, "")</f>
        <v>0</v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28">A7103</f>
        <v>46009</v>
      </c>
      <c r="B7104" s="5" t="str">
        <f t="shared" si="1428"/>
        <v>Mourning Dove</v>
      </c>
      <c r="C7104" s="6">
        <f t="shared" si="1428"/>
        <v>0.6</v>
      </c>
      <c r="D7104" s="5"/>
      <c r="E7104" s="5"/>
      <c r="F7104" s="5" t="s">
        <v>22</v>
      </c>
      <c r="G7104" s="15" t="s">
        <v>22</v>
      </c>
      <c r="H7104" s="24">
        <f t="shared" si="1388"/>
        <v>0</v>
      </c>
      <c r="I7104" s="24" t="str" cm="1">
        <f t="array" ref="I7104">IFERROR(IF($B7104=I$1, ($A7104+$C7104) - MAX(IF($B$2:$B7103=$B7104, $A$2:$A7103+$C$2:$C7103)), "")*24*60, "")</f>
        <v/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cm="1">
        <f t="array" ref="O7104">IFERROR(IF($B7104=O$1, ($A7104+$C7104) - MAX(IF($B$2:$B7103=$B7104, $A$2:$A7103+$C$2:$C7103)), "")*24*60, "")</f>
        <v>0</v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29">A7104</f>
        <v>46009</v>
      </c>
      <c r="B7105" s="5" t="str">
        <f t="shared" si="1429"/>
        <v>Mourning Dove</v>
      </c>
      <c r="C7105" s="6">
        <f t="shared" si="1429"/>
        <v>0.6</v>
      </c>
      <c r="D7105" s="5"/>
      <c r="E7105" s="5"/>
      <c r="F7105" s="5" t="s">
        <v>22</v>
      </c>
      <c r="G7105" s="15" t="s">
        <v>22</v>
      </c>
      <c r="H7105" s="24">
        <f t="shared" si="1388"/>
        <v>0</v>
      </c>
      <c r="I7105" s="24" t="str" cm="1">
        <f t="array" ref="I7105">IFERROR(IF($B7105=I$1, ($A7105+$C7105) - MAX(IF($B$2:$B7104=$B7105, $A$2:$A7104+$C$2:$C7104)), "")*24*60, "")</f>
        <v/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cm="1">
        <f t="array" ref="O7105">IFERROR(IF($B7105=O$1, ($A7105+$C7105) - MAX(IF($B$2:$B7104=$B7105, $A$2:$A7104+$C$2:$C7104)), "")*24*60, "")</f>
        <v>0</v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30">A7105</f>
        <v>46009</v>
      </c>
      <c r="B7106" s="5" t="str">
        <f t="shared" si="1430"/>
        <v>Mourning Dove</v>
      </c>
      <c r="C7106" s="6">
        <f t="shared" si="1430"/>
        <v>0.6</v>
      </c>
      <c r="D7106" s="5"/>
      <c r="E7106" s="5"/>
      <c r="F7106" s="5" t="s">
        <v>22</v>
      </c>
      <c r="G7106" s="15" t="s">
        <v>22</v>
      </c>
      <c r="H7106" s="24">
        <f t="shared" si="1388"/>
        <v>0</v>
      </c>
      <c r="I7106" s="24" t="str" cm="1">
        <f t="array" ref="I7106">IFERROR(IF($B7106=I$1, ($A7106+$C7106) - MAX(IF($B$2:$B7105=$B7106, $A$2:$A7105+$C$2:$C7105)), "")*24*60, "")</f>
        <v/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cm="1">
        <f t="array" ref="O7106">IFERROR(IF($B7106=O$1, ($A7106+$C7106) - MAX(IF($B$2:$B7105=$B7106, $A$2:$A7105+$C$2:$C7105)), "")*24*60, "")</f>
        <v>0</v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31">A7106</f>
        <v>46009</v>
      </c>
      <c r="B7107" s="5" t="str">
        <f t="shared" si="1431"/>
        <v>Mourning Dove</v>
      </c>
      <c r="C7107" s="6">
        <f t="shared" si="1431"/>
        <v>0.6</v>
      </c>
      <c r="D7107" s="5"/>
      <c r="E7107" s="5"/>
      <c r="F7107" s="5" t="s">
        <v>22</v>
      </c>
      <c r="G7107" s="15" t="s">
        <v>22</v>
      </c>
      <c r="H7107" s="24">
        <f t="shared" si="1388"/>
        <v>0</v>
      </c>
      <c r="I7107" s="24" t="str" cm="1">
        <f t="array" ref="I7107">IFERROR(IF($B7107=I$1, ($A7107+$C7107) - MAX(IF($B$2:$B7106=$B7107, $A$2:$A7106+$C$2:$C7106)), "")*24*60, "")</f>
        <v/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cm="1">
        <f t="array" ref="O7107">IFERROR(IF($B7107=O$1, ($A7107+$C7107) - MAX(IF($B$2:$B7106=$B7107, $A$2:$A7106+$C$2:$C7106)), "")*24*60, "")</f>
        <v>0</v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32">A7107</f>
        <v>46009</v>
      </c>
      <c r="B7108" s="5" t="str">
        <f t="shared" si="1432"/>
        <v>Mourning Dove</v>
      </c>
      <c r="C7108" s="6">
        <f t="shared" si="1432"/>
        <v>0.6</v>
      </c>
      <c r="D7108" s="5"/>
      <c r="E7108" s="5"/>
      <c r="F7108" s="5" t="s">
        <v>22</v>
      </c>
      <c r="G7108" s="15" t="s">
        <v>22</v>
      </c>
      <c r="H7108" s="24">
        <f t="shared" si="1388"/>
        <v>0</v>
      </c>
      <c r="I7108" s="24" t="str" cm="1">
        <f t="array" ref="I7108">IFERROR(IF($B7108=I$1, ($A7108+$C7108) - MAX(IF($B$2:$B7107=$B7108, $A$2:$A7107+$C$2:$C7107)), "")*24*60, "")</f>
        <v/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cm="1">
        <f t="array" ref="O7108">IFERROR(IF($B7108=O$1, ($A7108+$C7108) - MAX(IF($B$2:$B7107=$B7108, $A$2:$A7107+$C$2:$C7107)), "")*24*60, "")</f>
        <v>0</v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33">A7108</f>
        <v>46009</v>
      </c>
      <c r="B7109" s="5" t="str">
        <f t="shared" si="1433"/>
        <v>Mourning Dove</v>
      </c>
      <c r="C7109" s="6">
        <f t="shared" si="1433"/>
        <v>0.6</v>
      </c>
      <c r="D7109" s="5"/>
      <c r="E7109" s="5"/>
      <c r="F7109" s="5" t="s">
        <v>22</v>
      </c>
      <c r="G7109" s="15" t="s">
        <v>22</v>
      </c>
      <c r="H7109" s="24">
        <f t="shared" si="1388"/>
        <v>0</v>
      </c>
      <c r="I7109" s="24" t="str" cm="1">
        <f t="array" ref="I7109">IFERROR(IF($B7109=I$1, ($A7109+$C7109) - MAX(IF($B$2:$B7108=$B7109, $A$2:$A7108+$C$2:$C7108)), "")*24*60, "")</f>
        <v/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cm="1">
        <f t="array" ref="O7109">IFERROR(IF($B7109=O$1, ($A7109+$C7109) - MAX(IF($B$2:$B7108=$B7109, $A$2:$A7108+$C$2:$C7108)), "")*24*60, "")</f>
        <v>0</v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34">A7109</f>
        <v>46009</v>
      </c>
      <c r="B7110" s="5" t="str">
        <f t="shared" si="1434"/>
        <v>Mourning Dove</v>
      </c>
      <c r="C7110" s="6">
        <f t="shared" si="1434"/>
        <v>0.6</v>
      </c>
      <c r="D7110" s="5"/>
      <c r="E7110" s="5"/>
      <c r="F7110" s="5" t="s">
        <v>22</v>
      </c>
      <c r="G7110" s="15" t="s">
        <v>22</v>
      </c>
      <c r="H7110" s="24">
        <f t="shared" si="1388"/>
        <v>0</v>
      </c>
      <c r="I7110" s="24" t="str" cm="1">
        <f t="array" ref="I7110">IFERROR(IF($B7110=I$1, ($A7110+$C7110) - MAX(IF($B$2:$B7109=$B7110, $A$2:$A7109+$C$2:$C7109)), "")*24*60, "")</f>
        <v/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cm="1">
        <f t="array" ref="O7110">IFERROR(IF($B7110=O$1, ($A7110+$C7110) - MAX(IF($B$2:$B7109=$B7110, $A$2:$A7109+$C$2:$C7109)), "")*24*60, "")</f>
        <v>0</v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35">A7110</f>
        <v>46009</v>
      </c>
      <c r="B7111" s="5" t="str">
        <f t="shared" si="1435"/>
        <v>Mourning Dove</v>
      </c>
      <c r="C7111" s="6">
        <f t="shared" si="1435"/>
        <v>0.6</v>
      </c>
      <c r="D7111" s="5"/>
      <c r="E7111" s="5"/>
      <c r="F7111" s="5" t="s">
        <v>22</v>
      </c>
      <c r="G7111" s="15" t="s">
        <v>22</v>
      </c>
      <c r="H7111" s="24">
        <f t="shared" si="1388"/>
        <v>0</v>
      </c>
      <c r="I7111" s="24" t="str" cm="1">
        <f t="array" ref="I7111">IFERROR(IF($B7111=I$1, ($A7111+$C7111) - MAX(IF($B$2:$B7110=$B7111, $A$2:$A7110+$C$2:$C7110)), "")*24*60, "")</f>
        <v/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cm="1">
        <f t="array" ref="O7111">IFERROR(IF($B7111=O$1, ($A7111+$C7111) - MAX(IF($B$2:$B7110=$B7111, $A$2:$A7110+$C$2:$C7110)), "")*24*60, "")</f>
        <v>0</v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36">A7111</f>
        <v>46009</v>
      </c>
      <c r="B7112" s="5" t="str">
        <f t="shared" si="1436"/>
        <v>Mourning Dove</v>
      </c>
      <c r="C7112" s="6">
        <f t="shared" si="1436"/>
        <v>0.6</v>
      </c>
      <c r="D7112" s="5"/>
      <c r="E7112" s="5"/>
      <c r="F7112" s="5" t="s">
        <v>22</v>
      </c>
      <c r="G7112" s="15" t="s">
        <v>22</v>
      </c>
      <c r="H7112" s="24">
        <f t="shared" si="1388"/>
        <v>0</v>
      </c>
      <c r="I7112" s="24" t="str" cm="1">
        <f t="array" ref="I7112">IFERROR(IF($B7112=I$1, ($A7112+$C7112) - MAX(IF($B$2:$B7111=$B7112, $A$2:$A7111+$C$2:$C7111)), "")*24*60, "")</f>
        <v/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cm="1">
        <f t="array" ref="O7112">IFERROR(IF($B7112=O$1, ($A7112+$C7112) - MAX(IF($B$2:$B7111=$B7112, $A$2:$A7111+$C$2:$C7111)), "")*24*60, "")</f>
        <v>0</v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37">A7112</f>
        <v>46009</v>
      </c>
      <c r="B7113" s="5" t="str">
        <f t="shared" si="1437"/>
        <v>Mourning Dove</v>
      </c>
      <c r="C7113" s="6">
        <f t="shared" si="1437"/>
        <v>0.6</v>
      </c>
      <c r="D7113" s="5"/>
      <c r="E7113" s="5"/>
      <c r="F7113" s="5" t="s">
        <v>22</v>
      </c>
      <c r="G7113" s="15" t="s">
        <v>22</v>
      </c>
      <c r="H7113" s="24">
        <f t="shared" si="1388"/>
        <v>0</v>
      </c>
      <c r="I7113" s="24" t="str" cm="1">
        <f t="array" ref="I7113">IFERROR(IF($B7113=I$1, ($A7113+$C7113) - MAX(IF($B$2:$B7112=$B7113, $A$2:$A7112+$C$2:$C7112)), "")*24*60, "")</f>
        <v/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cm="1">
        <f t="array" ref="O7113">IFERROR(IF($B7113=O$1, ($A7113+$C7113) - MAX(IF($B$2:$B7112=$B7113, $A$2:$A7112+$C$2:$C7112)), "")*24*60, "")</f>
        <v>0</v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38">A7113</f>
        <v>46009</v>
      </c>
      <c r="B7114" s="5" t="str">
        <f t="shared" si="1438"/>
        <v>Mourning Dove</v>
      </c>
      <c r="C7114" s="6">
        <f t="shared" si="1438"/>
        <v>0.6</v>
      </c>
      <c r="D7114" s="5"/>
      <c r="E7114" s="5"/>
      <c r="F7114" s="5" t="s">
        <v>22</v>
      </c>
      <c r="G7114" s="15" t="s">
        <v>22</v>
      </c>
      <c r="H7114" s="24">
        <f t="shared" si="1388"/>
        <v>0</v>
      </c>
      <c r="I7114" s="24" t="str" cm="1">
        <f t="array" ref="I7114">IFERROR(IF($B7114=I$1, ($A7114+$C7114) - MAX(IF($B$2:$B7113=$B7114, $A$2:$A7113+$C$2:$C7113)), "")*24*60, "")</f>
        <v/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cm="1">
        <f t="array" ref="O7114">IFERROR(IF($B7114=O$1, ($A7114+$C7114) - MAX(IF($B$2:$B7113=$B7114, $A$2:$A7113+$C$2:$C7113)), "")*24*60, "")</f>
        <v>0</v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39">A7114</f>
        <v>46009</v>
      </c>
      <c r="B7115" s="5" t="str">
        <f t="shared" si="1439"/>
        <v>Mourning Dove</v>
      </c>
      <c r="C7115" s="6">
        <f t="shared" si="1439"/>
        <v>0.6</v>
      </c>
      <c r="D7115" s="5"/>
      <c r="E7115" s="5"/>
      <c r="F7115" s="5" t="s">
        <v>22</v>
      </c>
      <c r="G7115" s="15" t="s">
        <v>22</v>
      </c>
      <c r="H7115" s="24">
        <f t="shared" si="1388"/>
        <v>0</v>
      </c>
      <c r="I7115" s="24" t="str" cm="1">
        <f t="array" ref="I7115">IFERROR(IF($B7115=I$1, ($A7115+$C7115) - MAX(IF($B$2:$B7114=$B7115, $A$2:$A7114+$C$2:$C7114)), "")*24*60, "")</f>
        <v/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cm="1">
        <f t="array" ref="O7115">IFERROR(IF($B7115=O$1, ($A7115+$C7115) - MAX(IF($B$2:$B7114=$B7115, $A$2:$A7114+$C$2:$C7114)), "")*24*60, "")</f>
        <v>0</v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40">A7115</f>
        <v>46009</v>
      </c>
      <c r="B7116" s="5" t="str">
        <f t="shared" si="1440"/>
        <v>Mourning Dove</v>
      </c>
      <c r="C7116" s="6">
        <f t="shared" si="1440"/>
        <v>0.6</v>
      </c>
      <c r="D7116" s="5"/>
      <c r="E7116" s="5"/>
      <c r="F7116" s="5" t="s">
        <v>22</v>
      </c>
      <c r="G7116" s="15" t="s">
        <v>22</v>
      </c>
      <c r="H7116" s="24">
        <f t="shared" si="1388"/>
        <v>0</v>
      </c>
      <c r="I7116" s="24" t="str" cm="1">
        <f t="array" ref="I7116">IFERROR(IF($B7116=I$1, ($A7116+$C7116) - MAX(IF($B$2:$B7115=$B7116, $A$2:$A7115+$C$2:$C7115)), "")*24*60, "")</f>
        <v/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cm="1">
        <f t="array" ref="O7116">IFERROR(IF($B7116=O$1, ($A7116+$C7116) - MAX(IF($B$2:$B7115=$B7116, $A$2:$A7115+$C$2:$C7115)), "")*24*60, "")</f>
        <v>0</v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41">A7116</f>
        <v>46009</v>
      </c>
      <c r="B7117" s="5" t="str">
        <f t="shared" si="1441"/>
        <v>Mourning Dove</v>
      </c>
      <c r="C7117" s="6">
        <f t="shared" si="1441"/>
        <v>0.6</v>
      </c>
      <c r="D7117" s="5"/>
      <c r="E7117" s="5"/>
      <c r="F7117" s="5" t="s">
        <v>22</v>
      </c>
      <c r="G7117" s="15" t="s">
        <v>22</v>
      </c>
      <c r="H7117" s="24">
        <f t="shared" si="1388"/>
        <v>0</v>
      </c>
      <c r="I7117" s="24" t="str" cm="1">
        <f t="array" ref="I7117">IFERROR(IF($B7117=I$1, ($A7117+$C7117) - MAX(IF($B$2:$B7116=$B7117, $A$2:$A7116+$C$2:$C7116)), "")*24*60, "")</f>
        <v/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cm="1">
        <f t="array" ref="O7117">IFERROR(IF($B7117=O$1, ($A7117+$C7117) - MAX(IF($B$2:$B7116=$B7117, $A$2:$A7116+$C$2:$C7116)), "")*24*60, "")</f>
        <v>0</v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42">A7117</f>
        <v>46009</v>
      </c>
      <c r="B7118" s="5" t="str">
        <f t="shared" si="1442"/>
        <v>Mourning Dove</v>
      </c>
      <c r="C7118" s="6">
        <f t="shared" si="1442"/>
        <v>0.6</v>
      </c>
      <c r="D7118" s="5"/>
      <c r="E7118" s="5"/>
      <c r="F7118" s="5" t="s">
        <v>22</v>
      </c>
      <c r="G7118" s="15" t="s">
        <v>22</v>
      </c>
      <c r="H7118" s="24">
        <f t="shared" si="1388"/>
        <v>0</v>
      </c>
      <c r="I7118" s="24" t="str" cm="1">
        <f t="array" ref="I7118">IFERROR(IF($B7118=I$1, ($A7118+$C7118) - MAX(IF($B$2:$B7117=$B7118, $A$2:$A7117+$C$2:$C7117)), "")*24*60, "")</f>
        <v/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cm="1">
        <f t="array" ref="O7118">IFERROR(IF($B7118=O$1, ($A7118+$C7118) - MAX(IF($B$2:$B7117=$B7118, $A$2:$A7117+$C$2:$C7117)), "")*24*60, "")</f>
        <v>0</v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43">A7118</f>
        <v>46009</v>
      </c>
      <c r="B7119" s="5" t="str">
        <f t="shared" si="1443"/>
        <v>Mourning Dove</v>
      </c>
      <c r="C7119" s="6">
        <f t="shared" si="1443"/>
        <v>0.6</v>
      </c>
      <c r="D7119" s="5"/>
      <c r="E7119" s="5"/>
      <c r="F7119" s="5" t="s">
        <v>22</v>
      </c>
      <c r="G7119" s="15" t="s">
        <v>22</v>
      </c>
      <c r="H7119" s="24">
        <f t="shared" si="1388"/>
        <v>0</v>
      </c>
      <c r="I7119" s="24" t="str" cm="1">
        <f t="array" ref="I7119">IFERROR(IF($B7119=I$1, ($A7119+$C7119) - MAX(IF($B$2:$B7118=$B7119, $A$2:$A7118+$C$2:$C7118)), "")*24*60, "")</f>
        <v/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cm="1">
        <f t="array" ref="O7119">IFERROR(IF($B7119=O$1, ($A7119+$C7119) - MAX(IF($B$2:$B7118=$B7119, $A$2:$A7118+$C$2:$C7118)), "")*24*60, "")</f>
        <v>0</v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44">A7119</f>
        <v>46009</v>
      </c>
      <c r="B7120" s="5" t="str">
        <f t="shared" si="1444"/>
        <v>Mourning Dove</v>
      </c>
      <c r="C7120" s="6">
        <f t="shared" si="1444"/>
        <v>0.6</v>
      </c>
      <c r="D7120" s="5"/>
      <c r="E7120" s="5"/>
      <c r="F7120" s="5" t="s">
        <v>22</v>
      </c>
      <c r="G7120" s="15" t="s">
        <v>22</v>
      </c>
      <c r="H7120" s="24">
        <f t="shared" si="1388"/>
        <v>0</v>
      </c>
      <c r="I7120" s="24" t="str" cm="1">
        <f t="array" ref="I7120">IFERROR(IF($B7120=I$1, ($A7120+$C7120) - MAX(IF($B$2:$B7119=$B7120, $A$2:$A7119+$C$2:$C7119)), "")*24*60, "")</f>
        <v/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cm="1">
        <f t="array" ref="O7120">IFERROR(IF($B7120=O$1, ($A7120+$C7120) - MAX(IF($B$2:$B7119=$B7120, $A$2:$A7119+$C$2:$C7119)), "")*24*60, "")</f>
        <v>0</v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45">A7120</f>
        <v>46009</v>
      </c>
      <c r="B7121" s="5" t="str">
        <f t="shared" si="1445"/>
        <v>Mourning Dove</v>
      </c>
      <c r="C7121" s="6">
        <f t="shared" si="1445"/>
        <v>0.6</v>
      </c>
      <c r="D7121" s="5"/>
      <c r="E7121" s="5"/>
      <c r="F7121" s="5" t="s">
        <v>22</v>
      </c>
      <c r="G7121" s="15" t="s">
        <v>22</v>
      </c>
      <c r="H7121" s="24">
        <f t="shared" si="1388"/>
        <v>0</v>
      </c>
      <c r="I7121" s="24" t="str" cm="1">
        <f t="array" ref="I7121">IFERROR(IF($B7121=I$1, ($A7121+$C7121) - MAX(IF($B$2:$B7120=$B7121, $A$2:$A7120+$C$2:$C7120)), "")*24*60, "")</f>
        <v/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cm="1">
        <f t="array" ref="O7121">IFERROR(IF($B7121=O$1, ($A7121+$C7121) - MAX(IF($B$2:$B7120=$B7121, $A$2:$A7120+$C$2:$C7120)), "")*24*60, "")</f>
        <v>0</v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46">A7121</f>
        <v>46009</v>
      </c>
      <c r="B7122" s="5" t="str">
        <f t="shared" si="1446"/>
        <v>Mourning Dove</v>
      </c>
      <c r="C7122" s="6">
        <f t="shared" si="1446"/>
        <v>0.6</v>
      </c>
      <c r="D7122" s="5"/>
      <c r="E7122" s="5"/>
      <c r="F7122" s="5" t="s">
        <v>22</v>
      </c>
      <c r="G7122" s="15" t="s">
        <v>22</v>
      </c>
      <c r="H7122" s="24">
        <f t="shared" si="1388"/>
        <v>0</v>
      </c>
      <c r="I7122" s="24" t="str" cm="1">
        <f t="array" ref="I7122">IFERROR(IF($B7122=I$1, ($A7122+$C7122) - MAX(IF($B$2:$B7121=$B7122, $A$2:$A7121+$C$2:$C7121)), "")*24*60, "")</f>
        <v/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cm="1">
        <f t="array" ref="O7122">IFERROR(IF($B7122=O$1, ($A7122+$C7122) - MAX(IF($B$2:$B7121=$B7122, $A$2:$A7121+$C$2:$C7121)), "")*24*60, "")</f>
        <v>0</v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47">A7122</f>
        <v>46009</v>
      </c>
      <c r="B7123" s="5" t="str">
        <f t="shared" si="1447"/>
        <v>Mourning Dove</v>
      </c>
      <c r="C7123" s="6">
        <f t="shared" si="1447"/>
        <v>0.6</v>
      </c>
      <c r="D7123" s="5"/>
      <c r="E7123" s="5"/>
      <c r="F7123" s="5" t="s">
        <v>22</v>
      </c>
      <c r="G7123" s="15" t="s">
        <v>22</v>
      </c>
      <c r="H7123" s="24">
        <f t="shared" si="1388"/>
        <v>0</v>
      </c>
      <c r="I7123" s="24" t="str" cm="1">
        <f t="array" ref="I7123">IFERROR(IF($B7123=I$1, ($A7123+$C7123) - MAX(IF($B$2:$B7122=$B7123, $A$2:$A7122+$C$2:$C7122)), "")*24*60, "")</f>
        <v/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cm="1">
        <f t="array" ref="O7123">IFERROR(IF($B7123=O$1, ($A7123+$C7123) - MAX(IF($B$2:$B7122=$B7123, $A$2:$A7122+$C$2:$C7122)), "")*24*60, "")</f>
        <v>0</v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48">A7123</f>
        <v>46009</v>
      </c>
      <c r="B7124" s="5" t="str">
        <f t="shared" si="1448"/>
        <v>Mourning Dove</v>
      </c>
      <c r="C7124" s="6">
        <f t="shared" si="1448"/>
        <v>0.6</v>
      </c>
      <c r="D7124" s="5"/>
      <c r="E7124" s="5"/>
      <c r="F7124" s="5" t="s">
        <v>22</v>
      </c>
      <c r="G7124" s="15" t="s">
        <v>22</v>
      </c>
      <c r="H7124" s="24">
        <f t="shared" si="1388"/>
        <v>0</v>
      </c>
      <c r="I7124" s="24" t="str" cm="1">
        <f t="array" ref="I7124">IFERROR(IF($B7124=I$1, ($A7124+$C7124) - MAX(IF($B$2:$B7123=$B7124, $A$2:$A7123+$C$2:$C7123)), "")*24*60, "")</f>
        <v/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cm="1">
        <f t="array" ref="O7124">IFERROR(IF($B7124=O$1, ($A7124+$C7124) - MAX(IF($B$2:$B7123=$B7124, $A$2:$A7123+$C$2:$C7123)), "")*24*60, "")</f>
        <v>0</v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49">A7124</f>
        <v>46009</v>
      </c>
      <c r="B7125" s="5" t="str">
        <f t="shared" si="1449"/>
        <v>Mourning Dove</v>
      </c>
      <c r="C7125" s="6">
        <f t="shared" si="1449"/>
        <v>0.6</v>
      </c>
      <c r="D7125" s="5"/>
      <c r="E7125" s="5"/>
      <c r="F7125" s="5" t="s">
        <v>22</v>
      </c>
      <c r="G7125" s="15" t="s">
        <v>22</v>
      </c>
      <c r="H7125" s="24">
        <f t="shared" si="1388"/>
        <v>0</v>
      </c>
      <c r="I7125" s="24" t="str" cm="1">
        <f t="array" ref="I7125">IFERROR(IF($B7125=I$1, ($A7125+$C7125) - MAX(IF($B$2:$B7124=$B7125, $A$2:$A7124+$C$2:$C7124)), "")*24*60, "")</f>
        <v/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cm="1">
        <f t="array" ref="O7125">IFERROR(IF($B7125=O$1, ($A7125+$C7125) - MAX(IF($B$2:$B7124=$B7125, $A$2:$A7124+$C$2:$C7124)), "")*24*60, "")</f>
        <v>0</v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50">A7125</f>
        <v>46009</v>
      </c>
      <c r="B7126" s="5" t="str">
        <f t="shared" si="1450"/>
        <v>Mourning Dove</v>
      </c>
      <c r="C7126" s="6">
        <f t="shared" si="1450"/>
        <v>0.6</v>
      </c>
      <c r="D7126" s="5"/>
      <c r="E7126" s="5"/>
      <c r="F7126" s="5" t="s">
        <v>22</v>
      </c>
      <c r="G7126" s="15" t="s">
        <v>22</v>
      </c>
      <c r="H7126" s="24">
        <f t="shared" si="1388"/>
        <v>0</v>
      </c>
      <c r="I7126" s="24" t="str" cm="1">
        <f t="array" ref="I7126">IFERROR(IF($B7126=I$1, ($A7126+$C7126) - MAX(IF($B$2:$B7125=$B7126, $A$2:$A7125+$C$2:$C7125)), "")*24*60, "")</f>
        <v/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cm="1">
        <f t="array" ref="O7126">IFERROR(IF($B7126=O$1, ($A7126+$C7126) - MAX(IF($B$2:$B7125=$B7126, $A$2:$A7125+$C$2:$C7125)), "")*24*60, "")</f>
        <v>0</v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51">A7126</f>
        <v>46009</v>
      </c>
      <c r="B7127" s="5" t="str">
        <f t="shared" si="1451"/>
        <v>Mourning Dove</v>
      </c>
      <c r="C7127" s="6">
        <f t="shared" si="1451"/>
        <v>0.6</v>
      </c>
      <c r="D7127" s="5"/>
      <c r="E7127" s="5"/>
      <c r="F7127" s="5" t="s">
        <v>22</v>
      </c>
      <c r="G7127" s="15" t="s">
        <v>22</v>
      </c>
      <c r="H7127" s="24">
        <f t="shared" si="1388"/>
        <v>0</v>
      </c>
      <c r="I7127" s="24" t="str" cm="1">
        <f t="array" ref="I7127">IFERROR(IF($B7127=I$1, ($A7127+$C7127) - MAX(IF($B$2:$B7126=$B7127, $A$2:$A7126+$C$2:$C7126)), "")*24*60, "")</f>
        <v/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cm="1">
        <f t="array" ref="O7127">IFERROR(IF($B7127=O$1, ($A7127+$C7127) - MAX(IF($B$2:$B7126=$B7127, $A$2:$A7126+$C$2:$C7126)), "")*24*60, "")</f>
        <v>0</v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52">A7127</f>
        <v>46009</v>
      </c>
      <c r="B7128" s="5" t="str">
        <f t="shared" si="1452"/>
        <v>Mourning Dove</v>
      </c>
      <c r="C7128" s="6">
        <f t="shared" si="1452"/>
        <v>0.6</v>
      </c>
      <c r="D7128" s="5"/>
      <c r="E7128" s="5"/>
      <c r="F7128" s="5" t="s">
        <v>22</v>
      </c>
      <c r="G7128" s="15" t="s">
        <v>22</v>
      </c>
      <c r="H7128" s="24">
        <f t="shared" ref="H7128:H7190" si="1453">IFERROR((($A7128+$C7128) - ($A7127+$C7127))*24*60, "")</f>
        <v>0</v>
      </c>
      <c r="I7128" s="24" t="str" cm="1">
        <f t="array" ref="I7128">IFERROR(IF($B7128=I$1, ($A7128+$C7128) - MAX(IF($B$2:$B7127=$B7128, $A$2:$A7127+$C$2:$C7127)), "")*24*60, "")</f>
        <v/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cm="1">
        <f t="array" ref="O7128">IFERROR(IF($B7128=O$1, ($A7128+$C7128) - MAX(IF($B$2:$B7127=$B7128, $A$2:$A7127+$C$2:$C7127)), "")*24*60, "")</f>
        <v>0</v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54">A7128</f>
        <v>46009</v>
      </c>
      <c r="B7129" s="5" t="str">
        <f t="shared" si="1454"/>
        <v>Mourning Dove</v>
      </c>
      <c r="C7129" s="6">
        <f t="shared" si="1454"/>
        <v>0.6</v>
      </c>
      <c r="D7129" s="5"/>
      <c r="E7129" s="5"/>
      <c r="F7129" s="5" t="s">
        <v>22</v>
      </c>
      <c r="G7129" s="15" t="s">
        <v>22</v>
      </c>
      <c r="H7129" s="24">
        <f t="shared" si="1453"/>
        <v>0</v>
      </c>
      <c r="I7129" s="24" t="str" cm="1">
        <f t="array" ref="I7129">IFERROR(IF($B7129=I$1, ($A7129+$C7129) - MAX(IF($B$2:$B7128=$B7129, $A$2:$A7128+$C$2:$C7128)), "")*24*60, "")</f>
        <v/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cm="1">
        <f t="array" ref="O7129">IFERROR(IF($B7129=O$1, ($A7129+$C7129) - MAX(IF($B$2:$B7128=$B7129, $A$2:$A7128+$C$2:$C7128)), "")*24*60, "")</f>
        <v>0</v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55">A7129</f>
        <v>46009</v>
      </c>
      <c r="B7130" s="5" t="str">
        <f t="shared" si="1455"/>
        <v>Mourning Dove</v>
      </c>
      <c r="C7130" s="6">
        <f t="shared" si="1455"/>
        <v>0.6</v>
      </c>
      <c r="D7130" s="5"/>
      <c r="E7130" s="5"/>
      <c r="F7130" s="5" t="s">
        <v>22</v>
      </c>
      <c r="G7130" s="15" t="s">
        <v>22</v>
      </c>
      <c r="H7130" s="24">
        <f t="shared" si="1453"/>
        <v>0</v>
      </c>
      <c r="I7130" s="24" t="str" cm="1">
        <f t="array" ref="I7130">IFERROR(IF($B7130=I$1, ($A7130+$C7130) - MAX(IF($B$2:$B7129=$B7130, $A$2:$A7129+$C$2:$C7129)), "")*24*60, "")</f>
        <v/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cm="1">
        <f t="array" ref="O7130">IFERROR(IF($B7130=O$1, ($A7130+$C7130) - MAX(IF($B$2:$B7129=$B7130, $A$2:$A7129+$C$2:$C7129)), "")*24*60, "")</f>
        <v>0</v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56">A7130</f>
        <v>46009</v>
      </c>
      <c r="B7131" s="5" t="str">
        <f t="shared" si="1456"/>
        <v>Mourning Dove</v>
      </c>
      <c r="C7131" s="6">
        <f t="shared" si="1456"/>
        <v>0.6</v>
      </c>
      <c r="D7131" s="5"/>
      <c r="E7131" s="5"/>
      <c r="F7131" s="5" t="s">
        <v>22</v>
      </c>
      <c r="G7131" s="15" t="s">
        <v>22</v>
      </c>
      <c r="H7131" s="24">
        <f t="shared" si="1453"/>
        <v>0</v>
      </c>
      <c r="I7131" s="24" t="str" cm="1">
        <f t="array" ref="I7131">IFERROR(IF($B7131=I$1, ($A7131+$C7131) - MAX(IF($B$2:$B7130=$B7131, $A$2:$A7130+$C$2:$C7130)), "")*24*60, "")</f>
        <v/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cm="1">
        <f t="array" ref="O7131">IFERROR(IF($B7131=O$1, ($A7131+$C7131) - MAX(IF($B$2:$B7130=$B7131, $A$2:$A7130+$C$2:$C7130)), "")*24*60, "")</f>
        <v>0</v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57">A7131</f>
        <v>46009</v>
      </c>
      <c r="B7132" s="5" t="str">
        <f t="shared" si="1457"/>
        <v>Mourning Dove</v>
      </c>
      <c r="C7132" s="6">
        <f t="shared" si="1457"/>
        <v>0.6</v>
      </c>
      <c r="D7132" s="5"/>
      <c r="E7132" s="5"/>
      <c r="F7132" s="5" t="s">
        <v>22</v>
      </c>
      <c r="G7132" s="15" t="s">
        <v>22</v>
      </c>
      <c r="H7132" s="24">
        <f t="shared" si="1453"/>
        <v>0</v>
      </c>
      <c r="I7132" s="24" t="str" cm="1">
        <f t="array" ref="I7132">IFERROR(IF($B7132=I$1, ($A7132+$C7132) - MAX(IF($B$2:$B7131=$B7132, $A$2:$A7131+$C$2:$C7131)), "")*24*60, "")</f>
        <v/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cm="1">
        <f t="array" ref="O7132">IFERROR(IF($B7132=O$1, ($A7132+$C7132) - MAX(IF($B$2:$B7131=$B7132, $A$2:$A7131+$C$2:$C7131)), "")*24*60, "")</f>
        <v>0</v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58">A7132</f>
        <v>46009</v>
      </c>
      <c r="B7133" s="5" t="str">
        <f t="shared" si="1458"/>
        <v>Mourning Dove</v>
      </c>
      <c r="C7133" s="6">
        <f t="shared" si="1458"/>
        <v>0.6</v>
      </c>
      <c r="D7133" s="5"/>
      <c r="E7133" s="5"/>
      <c r="F7133" s="5" t="s">
        <v>22</v>
      </c>
      <c r="G7133" s="15" t="s">
        <v>22</v>
      </c>
      <c r="H7133" s="24">
        <f t="shared" si="1453"/>
        <v>0</v>
      </c>
      <c r="I7133" s="24" t="str" cm="1">
        <f t="array" ref="I7133">IFERROR(IF($B7133=I$1, ($A7133+$C7133) - MAX(IF($B$2:$B7132=$B7133, $A$2:$A7132+$C$2:$C7132)), "")*24*60, "")</f>
        <v/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cm="1">
        <f t="array" ref="O7133">IFERROR(IF($B7133=O$1, ($A7133+$C7133) - MAX(IF($B$2:$B7132=$B7133, $A$2:$A7132+$C$2:$C7132)), "")*24*60, "")</f>
        <v>0</v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59">A7133</f>
        <v>46009</v>
      </c>
      <c r="B7134" s="5" t="str">
        <f t="shared" si="1459"/>
        <v>Mourning Dove</v>
      </c>
      <c r="C7134" s="6">
        <f t="shared" si="1459"/>
        <v>0.6</v>
      </c>
      <c r="D7134" s="5"/>
      <c r="E7134" s="5"/>
      <c r="F7134" s="5" t="s">
        <v>22</v>
      </c>
      <c r="G7134" s="15" t="s">
        <v>22</v>
      </c>
      <c r="H7134" s="24">
        <f t="shared" si="1453"/>
        <v>0</v>
      </c>
      <c r="I7134" s="24" t="str" cm="1">
        <f t="array" ref="I7134">IFERROR(IF($B7134=I$1, ($A7134+$C7134) - MAX(IF($B$2:$B7133=$B7134, $A$2:$A7133+$C$2:$C7133)), "")*24*60, "")</f>
        <v/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cm="1">
        <f t="array" ref="O7134">IFERROR(IF($B7134=O$1, ($A7134+$C7134) - MAX(IF($B$2:$B7133=$B7134, $A$2:$A7133+$C$2:$C7133)), "")*24*60, "")</f>
        <v>0</v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60">A7134</f>
        <v>46009</v>
      </c>
      <c r="B7135" s="5" t="str">
        <f t="shared" si="1460"/>
        <v>Mourning Dove</v>
      </c>
      <c r="C7135" s="6">
        <f t="shared" si="1460"/>
        <v>0.6</v>
      </c>
      <c r="D7135" s="5"/>
      <c r="E7135" s="5"/>
      <c r="F7135" s="5" t="s">
        <v>22</v>
      </c>
      <c r="G7135" s="15" t="s">
        <v>22</v>
      </c>
      <c r="H7135" s="24">
        <f t="shared" si="1453"/>
        <v>0</v>
      </c>
      <c r="I7135" s="24" t="str" cm="1">
        <f t="array" ref="I7135">IFERROR(IF($B7135=I$1, ($A7135+$C7135) - MAX(IF($B$2:$B7134=$B7135, $A$2:$A7134+$C$2:$C7134)), "")*24*60, "")</f>
        <v/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cm="1">
        <f t="array" ref="O7135">IFERROR(IF($B7135=O$1, ($A7135+$C7135) - MAX(IF($B$2:$B7134=$B7135, $A$2:$A7134+$C$2:$C7134)), "")*24*60, "")</f>
        <v>0</v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61">A7135</f>
        <v>46009</v>
      </c>
      <c r="B7136" s="5" t="str">
        <f t="shared" si="1461"/>
        <v>Mourning Dove</v>
      </c>
      <c r="C7136" s="6">
        <f t="shared" si="1461"/>
        <v>0.6</v>
      </c>
      <c r="D7136" s="5"/>
      <c r="E7136" s="5"/>
      <c r="F7136" s="5" t="s">
        <v>22</v>
      </c>
      <c r="G7136" s="15" t="s">
        <v>22</v>
      </c>
      <c r="H7136" s="24">
        <f t="shared" si="1453"/>
        <v>0</v>
      </c>
      <c r="I7136" s="24" t="str" cm="1">
        <f t="array" ref="I7136">IFERROR(IF($B7136=I$1, ($A7136+$C7136) - MAX(IF($B$2:$B7135=$B7136, $A$2:$A7135+$C$2:$C7135)), "")*24*60, "")</f>
        <v/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cm="1">
        <f t="array" ref="O7136">IFERROR(IF($B7136=O$1, ($A7136+$C7136) - MAX(IF($B$2:$B7135=$B7136, $A$2:$A7135+$C$2:$C7135)), "")*24*60, "")</f>
        <v>0</v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62">A7136</f>
        <v>46009</v>
      </c>
      <c r="B7137" s="5" t="str">
        <f t="shared" si="1462"/>
        <v>Mourning Dove</v>
      </c>
      <c r="C7137" s="6">
        <f t="shared" si="1462"/>
        <v>0.6</v>
      </c>
      <c r="D7137" s="5"/>
      <c r="E7137" s="5"/>
      <c r="F7137" s="5" t="s">
        <v>22</v>
      </c>
      <c r="G7137" s="15" t="s">
        <v>22</v>
      </c>
      <c r="H7137" s="24">
        <f t="shared" si="1453"/>
        <v>0</v>
      </c>
      <c r="I7137" s="24" t="str" cm="1">
        <f t="array" ref="I7137">IFERROR(IF($B7137=I$1, ($A7137+$C7137) - MAX(IF($B$2:$B7136=$B7137, $A$2:$A7136+$C$2:$C7136)), "")*24*60, "")</f>
        <v/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cm="1">
        <f t="array" ref="O7137">IFERROR(IF($B7137=O$1, ($A7137+$C7137) - MAX(IF($B$2:$B7136=$B7137, $A$2:$A7136+$C$2:$C7136)), "")*24*60, "")</f>
        <v>0</v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63">A7137</f>
        <v>46009</v>
      </c>
      <c r="B7138" s="5" t="str">
        <f t="shared" si="1463"/>
        <v>Mourning Dove</v>
      </c>
      <c r="C7138" s="6">
        <f t="shared" si="1463"/>
        <v>0.6</v>
      </c>
      <c r="D7138" s="5"/>
      <c r="E7138" s="5"/>
      <c r="F7138" s="5" t="s">
        <v>22</v>
      </c>
      <c r="G7138" s="15" t="s">
        <v>22</v>
      </c>
      <c r="H7138" s="24">
        <f t="shared" si="1453"/>
        <v>0</v>
      </c>
      <c r="I7138" s="24" t="str" cm="1">
        <f t="array" ref="I7138">IFERROR(IF($B7138=I$1, ($A7138+$C7138) - MAX(IF($B$2:$B7137=$B7138, $A$2:$A7137+$C$2:$C7137)), "")*24*60, "")</f>
        <v/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cm="1">
        <f t="array" ref="O7138">IFERROR(IF($B7138=O$1, ($A7138+$C7138) - MAX(IF($B$2:$B7137=$B7138, $A$2:$A7137+$C$2:$C7137)), "")*24*60, "")</f>
        <v>0</v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64">A7138</f>
        <v>46009</v>
      </c>
      <c r="B7139" s="5" t="str">
        <f t="shared" si="1464"/>
        <v>Mourning Dove</v>
      </c>
      <c r="C7139" s="6">
        <f t="shared" si="1464"/>
        <v>0.6</v>
      </c>
      <c r="D7139" s="5"/>
      <c r="E7139" s="5"/>
      <c r="F7139" s="5" t="s">
        <v>22</v>
      </c>
      <c r="G7139" s="15" t="s">
        <v>22</v>
      </c>
      <c r="H7139" s="24">
        <f t="shared" si="1453"/>
        <v>0</v>
      </c>
      <c r="I7139" s="24" t="str" cm="1">
        <f t="array" ref="I7139">IFERROR(IF($B7139=I$1, ($A7139+$C7139) - MAX(IF($B$2:$B7138=$B7139, $A$2:$A7138+$C$2:$C7138)), "")*24*60, "")</f>
        <v/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cm="1">
        <f t="array" ref="O7139">IFERROR(IF($B7139=O$1, ($A7139+$C7139) - MAX(IF($B$2:$B7138=$B7139, $A$2:$A7138+$C$2:$C7138)), "")*24*60, "")</f>
        <v>0</v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65">A7139</f>
        <v>46009</v>
      </c>
      <c r="B7140" s="5" t="str">
        <f t="shared" si="1465"/>
        <v>Mourning Dove</v>
      </c>
      <c r="C7140" s="6">
        <f t="shared" si="1465"/>
        <v>0.6</v>
      </c>
      <c r="D7140" s="5"/>
      <c r="E7140" s="5"/>
      <c r="F7140" s="5" t="s">
        <v>22</v>
      </c>
      <c r="G7140" s="15" t="s">
        <v>22</v>
      </c>
      <c r="H7140" s="24">
        <f t="shared" si="1453"/>
        <v>0</v>
      </c>
      <c r="I7140" s="24" t="str" cm="1">
        <f t="array" ref="I7140">IFERROR(IF($B7140=I$1, ($A7140+$C7140) - MAX(IF($B$2:$B7139=$B7140, $A$2:$A7139+$C$2:$C7139)), "")*24*60, "")</f>
        <v/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cm="1">
        <f t="array" ref="O7140">IFERROR(IF($B7140=O$1, ($A7140+$C7140) - MAX(IF($B$2:$B7139=$B7140, $A$2:$A7139+$C$2:$C7139)), "")*24*60, "")</f>
        <v>0</v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66">A7140</f>
        <v>46009</v>
      </c>
      <c r="B7141" s="5" t="str">
        <f t="shared" si="1466"/>
        <v>Mourning Dove</v>
      </c>
      <c r="C7141" s="6">
        <f t="shared" si="1466"/>
        <v>0.6</v>
      </c>
      <c r="D7141" s="5"/>
      <c r="E7141" s="5"/>
      <c r="F7141" s="5" t="s">
        <v>22</v>
      </c>
      <c r="G7141" s="15" t="s">
        <v>22</v>
      </c>
      <c r="H7141" s="24">
        <f t="shared" si="1453"/>
        <v>0</v>
      </c>
      <c r="I7141" s="24" t="str" cm="1">
        <f t="array" ref="I7141">IFERROR(IF($B7141=I$1, ($A7141+$C7141) - MAX(IF($B$2:$B7140=$B7141, $A$2:$A7140+$C$2:$C7140)), "")*24*60, "")</f>
        <v/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cm="1">
        <f t="array" ref="O7141">IFERROR(IF($B7141=O$1, ($A7141+$C7141) - MAX(IF($B$2:$B7140=$B7141, $A$2:$A7140+$C$2:$C7140)), "")*24*60, "")</f>
        <v>0</v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67">A7141</f>
        <v>46009</v>
      </c>
      <c r="B7142" s="5" t="str">
        <f t="shared" si="1467"/>
        <v>Mourning Dove</v>
      </c>
      <c r="C7142" s="6">
        <f t="shared" si="1467"/>
        <v>0.6</v>
      </c>
      <c r="D7142" s="5"/>
      <c r="E7142" s="5"/>
      <c r="F7142" s="5" t="s">
        <v>22</v>
      </c>
      <c r="G7142" s="15" t="s">
        <v>22</v>
      </c>
      <c r="H7142" s="24">
        <f t="shared" si="1453"/>
        <v>0</v>
      </c>
      <c r="I7142" s="24" t="str" cm="1">
        <f t="array" ref="I7142">IFERROR(IF($B7142=I$1, ($A7142+$C7142) - MAX(IF($B$2:$B7141=$B7142, $A$2:$A7141+$C$2:$C7141)), "")*24*60, "")</f>
        <v/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cm="1">
        <f t="array" ref="O7142">IFERROR(IF($B7142=O$1, ($A7142+$C7142) - MAX(IF($B$2:$B7141=$B7142, $A$2:$A7141+$C$2:$C7141)), "")*24*60, "")</f>
        <v>0</v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68">A7142</f>
        <v>46009</v>
      </c>
      <c r="B7143" s="5" t="str">
        <f t="shared" si="1468"/>
        <v>Mourning Dove</v>
      </c>
      <c r="C7143" s="6">
        <f t="shared" si="1468"/>
        <v>0.6</v>
      </c>
      <c r="D7143" s="5"/>
      <c r="E7143" s="5"/>
      <c r="F7143" s="5" t="s">
        <v>22</v>
      </c>
      <c r="G7143" s="15" t="s">
        <v>22</v>
      </c>
      <c r="H7143" s="24">
        <f t="shared" si="1453"/>
        <v>0</v>
      </c>
      <c r="I7143" s="24" t="str" cm="1">
        <f t="array" ref="I7143">IFERROR(IF($B7143=I$1, ($A7143+$C7143) - MAX(IF($B$2:$B7142=$B7143, $A$2:$A7142+$C$2:$C7142)), "")*24*60, "")</f>
        <v/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cm="1">
        <f t="array" ref="O7143">IFERROR(IF($B7143=O$1, ($A7143+$C7143) - MAX(IF($B$2:$B7142=$B7143, $A$2:$A7142+$C$2:$C7142)), "")*24*60, "")</f>
        <v>0</v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69">A7143</f>
        <v>46009</v>
      </c>
      <c r="B7144" s="5" t="str">
        <f t="shared" si="1469"/>
        <v>Mourning Dove</v>
      </c>
      <c r="C7144" s="6">
        <f t="shared" si="1469"/>
        <v>0.6</v>
      </c>
      <c r="D7144" s="5"/>
      <c r="E7144" s="5"/>
      <c r="F7144" s="5" t="s">
        <v>22</v>
      </c>
      <c r="G7144" s="15" t="s">
        <v>22</v>
      </c>
      <c r="H7144" s="24">
        <f t="shared" si="1453"/>
        <v>0</v>
      </c>
      <c r="I7144" s="24" t="str" cm="1">
        <f t="array" ref="I7144">IFERROR(IF($B7144=I$1, ($A7144+$C7144) - MAX(IF($B$2:$B7143=$B7144, $A$2:$A7143+$C$2:$C7143)), "")*24*60, "")</f>
        <v/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cm="1">
        <f t="array" ref="O7144">IFERROR(IF($B7144=O$1, ($A7144+$C7144) - MAX(IF($B$2:$B7143=$B7144, $A$2:$A7143+$C$2:$C7143)), "")*24*60, "")</f>
        <v>0</v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70">A7144</f>
        <v>46009</v>
      </c>
      <c r="B7145" s="5" t="str">
        <f t="shared" si="1470"/>
        <v>Mourning Dove</v>
      </c>
      <c r="C7145" s="6">
        <f t="shared" si="1470"/>
        <v>0.6</v>
      </c>
      <c r="D7145" s="5"/>
      <c r="E7145" s="5"/>
      <c r="F7145" s="5" t="s">
        <v>22</v>
      </c>
      <c r="G7145" s="15" t="s">
        <v>22</v>
      </c>
      <c r="H7145" s="24">
        <f t="shared" si="1453"/>
        <v>0</v>
      </c>
      <c r="I7145" s="24" t="str" cm="1">
        <f t="array" ref="I7145">IFERROR(IF($B7145=I$1, ($A7145+$C7145) - MAX(IF($B$2:$B7144=$B7145, $A$2:$A7144+$C$2:$C7144)), "")*24*60, "")</f>
        <v/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cm="1">
        <f t="array" ref="O7145">IFERROR(IF($B7145=O$1, ($A7145+$C7145) - MAX(IF($B$2:$B7144=$B7145, $A$2:$A7144+$C$2:$C7144)), "")*24*60, "")</f>
        <v>0</v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71">A7145</f>
        <v>46009</v>
      </c>
      <c r="B7146" s="5" t="str">
        <f t="shared" si="1471"/>
        <v>Mourning Dove</v>
      </c>
      <c r="C7146" s="6">
        <f t="shared" si="1471"/>
        <v>0.6</v>
      </c>
      <c r="D7146" s="5"/>
      <c r="E7146" s="5"/>
      <c r="F7146" s="5" t="s">
        <v>22</v>
      </c>
      <c r="G7146" s="15" t="s">
        <v>22</v>
      </c>
      <c r="H7146" s="24">
        <f t="shared" si="1453"/>
        <v>0</v>
      </c>
      <c r="I7146" s="24" t="str" cm="1">
        <f t="array" ref="I7146">IFERROR(IF($B7146=I$1, ($A7146+$C7146) - MAX(IF($B$2:$B7145=$B7146, $A$2:$A7145+$C$2:$C7145)), "")*24*60, "")</f>
        <v/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cm="1">
        <f t="array" ref="O7146">IFERROR(IF($B7146=O$1, ($A7146+$C7146) - MAX(IF($B$2:$B7145=$B7146, $A$2:$A7145+$C$2:$C7145)), "")*24*60, "")</f>
        <v>0</v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72">A7146</f>
        <v>46009</v>
      </c>
      <c r="B7147" s="5" t="str">
        <f t="shared" si="1472"/>
        <v>Mourning Dove</v>
      </c>
      <c r="C7147" s="6">
        <f t="shared" si="1472"/>
        <v>0.6</v>
      </c>
      <c r="D7147" s="5"/>
      <c r="E7147" s="5"/>
      <c r="F7147" s="5" t="s">
        <v>22</v>
      </c>
      <c r="G7147" s="15" t="s">
        <v>22</v>
      </c>
      <c r="H7147" s="24">
        <f t="shared" si="1453"/>
        <v>0</v>
      </c>
      <c r="I7147" s="24" t="str" cm="1">
        <f t="array" ref="I7147">IFERROR(IF($B7147=I$1, ($A7147+$C7147) - MAX(IF($B$2:$B7146=$B7147, $A$2:$A7146+$C$2:$C7146)), "")*24*60, "")</f>
        <v/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cm="1">
        <f t="array" ref="O7147">IFERROR(IF($B7147=O$1, ($A7147+$C7147) - MAX(IF($B$2:$B7146=$B7147, $A$2:$A7146+$C$2:$C7146)), "")*24*60, "")</f>
        <v>0</v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73">A7147</f>
        <v>46009</v>
      </c>
      <c r="B7148" s="5" t="str">
        <f t="shared" si="1473"/>
        <v>Mourning Dove</v>
      </c>
      <c r="C7148" s="6">
        <f t="shared" si="1473"/>
        <v>0.6</v>
      </c>
      <c r="D7148" s="5"/>
      <c r="E7148" s="5"/>
      <c r="F7148" s="5" t="s">
        <v>22</v>
      </c>
      <c r="G7148" s="15" t="s">
        <v>22</v>
      </c>
      <c r="H7148" s="24">
        <f t="shared" si="1453"/>
        <v>0</v>
      </c>
      <c r="I7148" s="24" t="str" cm="1">
        <f t="array" ref="I7148">IFERROR(IF($B7148=I$1, ($A7148+$C7148) - MAX(IF($B$2:$B7147=$B7148, $A$2:$A7147+$C$2:$C7147)), "")*24*60, "")</f>
        <v/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cm="1">
        <f t="array" ref="O7148">IFERROR(IF($B7148=O$1, ($A7148+$C7148) - MAX(IF($B$2:$B7147=$B7148, $A$2:$A7147+$C$2:$C7147)), "")*24*60, "")</f>
        <v>0</v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74">A7148</f>
        <v>46009</v>
      </c>
      <c r="B7149" s="5" t="str">
        <f t="shared" si="1474"/>
        <v>Mourning Dove</v>
      </c>
      <c r="C7149" s="6">
        <f t="shared" si="1474"/>
        <v>0.6</v>
      </c>
      <c r="D7149" s="5"/>
      <c r="E7149" s="5"/>
      <c r="F7149" s="5" t="s">
        <v>22</v>
      </c>
      <c r="G7149" s="15" t="s">
        <v>22</v>
      </c>
      <c r="H7149" s="24">
        <f t="shared" si="1453"/>
        <v>0</v>
      </c>
      <c r="I7149" s="24" t="str" cm="1">
        <f t="array" ref="I7149">IFERROR(IF($B7149=I$1, ($A7149+$C7149) - MAX(IF($B$2:$B7148=$B7149, $A$2:$A7148+$C$2:$C7148)), "")*24*60, "")</f>
        <v/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cm="1">
        <f t="array" ref="O7149">IFERROR(IF($B7149=O$1, ($A7149+$C7149) - MAX(IF($B$2:$B7148=$B7149, $A$2:$A7148+$C$2:$C7148)), "")*24*60, "")</f>
        <v>0</v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75">A7149</f>
        <v>46009</v>
      </c>
      <c r="B7150" s="5" t="str">
        <f t="shared" si="1475"/>
        <v>Mourning Dove</v>
      </c>
      <c r="C7150" s="6">
        <f t="shared" si="1475"/>
        <v>0.6</v>
      </c>
      <c r="D7150" s="5"/>
      <c r="E7150" s="5"/>
      <c r="F7150" s="5" t="s">
        <v>22</v>
      </c>
      <c r="G7150" s="15" t="s">
        <v>22</v>
      </c>
      <c r="H7150" s="24">
        <f t="shared" si="1453"/>
        <v>0</v>
      </c>
      <c r="I7150" s="24" t="str" cm="1">
        <f t="array" ref="I7150">IFERROR(IF($B7150=I$1, ($A7150+$C7150) - MAX(IF($B$2:$B7149=$B7150, $A$2:$A7149+$C$2:$C7149)), "")*24*60, "")</f>
        <v/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cm="1">
        <f t="array" ref="O7150">IFERROR(IF($B7150=O$1, ($A7150+$C7150) - MAX(IF($B$2:$B7149=$B7150, $A$2:$A7149+$C$2:$C7149)), "")*24*60, "")</f>
        <v>0</v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76">A7150</f>
        <v>46009</v>
      </c>
      <c r="B7151" s="5" t="str">
        <f t="shared" si="1476"/>
        <v>Mourning Dove</v>
      </c>
      <c r="C7151" s="6">
        <f t="shared" si="1476"/>
        <v>0.6</v>
      </c>
      <c r="D7151" s="5"/>
      <c r="E7151" s="5"/>
      <c r="F7151" s="5" t="s">
        <v>22</v>
      </c>
      <c r="G7151" s="15" t="s">
        <v>22</v>
      </c>
      <c r="H7151" s="24">
        <f t="shared" si="1453"/>
        <v>0</v>
      </c>
      <c r="I7151" s="24" t="str" cm="1">
        <f t="array" ref="I7151">IFERROR(IF($B7151=I$1, ($A7151+$C7151) - MAX(IF($B$2:$B7150=$B7151, $A$2:$A7150+$C$2:$C7150)), "")*24*60, "")</f>
        <v/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cm="1">
        <f t="array" ref="O7151">IFERROR(IF($B7151=O$1, ($A7151+$C7151) - MAX(IF($B$2:$B7150=$B7151, $A$2:$A7150+$C$2:$C7150)), "")*24*60, "")</f>
        <v>0</v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477">A7151</f>
        <v>46009</v>
      </c>
      <c r="B7152" s="5" t="str">
        <f t="shared" si="1477"/>
        <v>Mourning Dove</v>
      </c>
      <c r="C7152" s="6">
        <f t="shared" si="1477"/>
        <v>0.6</v>
      </c>
      <c r="D7152" s="5"/>
      <c r="E7152" s="5"/>
      <c r="F7152" s="5" t="s">
        <v>22</v>
      </c>
      <c r="G7152" s="15" t="s">
        <v>22</v>
      </c>
      <c r="H7152" s="24">
        <f t="shared" si="1453"/>
        <v>0</v>
      </c>
      <c r="I7152" s="24" t="str" cm="1">
        <f t="array" ref="I7152">IFERROR(IF($B7152=I$1, ($A7152+$C7152) - MAX(IF($B$2:$B7151=$B7152, $A$2:$A7151+$C$2:$C7151)), "")*24*60, "")</f>
        <v/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cm="1">
        <f t="array" ref="O7152">IFERROR(IF($B7152=O$1, ($A7152+$C7152) - MAX(IF($B$2:$B7151=$B7152, $A$2:$A7151+$C$2:$C7151)), "")*24*60, "")</f>
        <v>0</v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478">A7152</f>
        <v>46009</v>
      </c>
      <c r="B7153" s="5" t="str">
        <f t="shared" si="1478"/>
        <v>Mourning Dove</v>
      </c>
      <c r="C7153" s="6">
        <f t="shared" si="1478"/>
        <v>0.6</v>
      </c>
      <c r="D7153" s="5"/>
      <c r="E7153" s="5"/>
      <c r="F7153" s="5" t="s">
        <v>22</v>
      </c>
      <c r="G7153" s="15" t="s">
        <v>22</v>
      </c>
      <c r="H7153" s="24">
        <f t="shared" si="1453"/>
        <v>0</v>
      </c>
      <c r="I7153" s="24" t="str" cm="1">
        <f t="array" ref="I7153">IFERROR(IF($B7153=I$1, ($A7153+$C7153) - MAX(IF($B$2:$B7152=$B7153, $A$2:$A7152+$C$2:$C7152)), "")*24*60, "")</f>
        <v/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cm="1">
        <f t="array" ref="O7153">IFERROR(IF($B7153=O$1, ($A7153+$C7153) - MAX(IF($B$2:$B7152=$B7153, $A$2:$A7152+$C$2:$C7152)), "")*24*60, "")</f>
        <v>0</v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479">A7153</f>
        <v>46009</v>
      </c>
      <c r="B7154" s="5" t="str">
        <f t="shared" si="1479"/>
        <v>Mourning Dove</v>
      </c>
      <c r="C7154" s="6">
        <f t="shared" si="1479"/>
        <v>0.6</v>
      </c>
      <c r="D7154" s="5"/>
      <c r="E7154" s="5"/>
      <c r="F7154" s="5" t="s">
        <v>22</v>
      </c>
      <c r="G7154" s="15" t="s">
        <v>22</v>
      </c>
      <c r="H7154" s="24">
        <f t="shared" si="1453"/>
        <v>0</v>
      </c>
      <c r="I7154" s="24" t="str" cm="1">
        <f t="array" ref="I7154">IFERROR(IF($B7154=I$1, ($A7154+$C7154) - MAX(IF($B$2:$B7153=$B7154, $A$2:$A7153+$C$2:$C7153)), "")*24*60, "")</f>
        <v/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cm="1">
        <f t="array" ref="O7154">IFERROR(IF($B7154=O$1, ($A7154+$C7154) - MAX(IF($B$2:$B7153=$B7154, $A$2:$A7153+$C$2:$C7153)), "")*24*60, "")</f>
        <v>0</v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480">A7154</f>
        <v>46009</v>
      </c>
      <c r="B7155" s="5" t="str">
        <f t="shared" si="1480"/>
        <v>Mourning Dove</v>
      </c>
      <c r="C7155" s="6">
        <f t="shared" si="1480"/>
        <v>0.6</v>
      </c>
      <c r="D7155" s="5"/>
      <c r="E7155" s="5"/>
      <c r="F7155" s="5" t="s">
        <v>22</v>
      </c>
      <c r="G7155" s="15" t="s">
        <v>22</v>
      </c>
      <c r="H7155" s="24">
        <f t="shared" si="1453"/>
        <v>0</v>
      </c>
      <c r="I7155" s="24" t="str" cm="1">
        <f t="array" ref="I7155">IFERROR(IF($B7155=I$1, ($A7155+$C7155) - MAX(IF($B$2:$B7154=$B7155, $A$2:$A7154+$C$2:$C7154)), "")*24*60, "")</f>
        <v/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cm="1">
        <f t="array" ref="O7155">IFERROR(IF($B7155=O$1, ($A7155+$C7155) - MAX(IF($B$2:$B7154=$B7155, $A$2:$A7154+$C$2:$C7154)), "")*24*60, "")</f>
        <v>0</v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481">A7155</f>
        <v>46009</v>
      </c>
      <c r="B7156" s="5" t="str">
        <f t="shared" si="1481"/>
        <v>Mourning Dove</v>
      </c>
      <c r="C7156" s="6">
        <f t="shared" si="1481"/>
        <v>0.6</v>
      </c>
      <c r="D7156" s="5"/>
      <c r="E7156" s="5"/>
      <c r="F7156" s="5" t="s">
        <v>22</v>
      </c>
      <c r="G7156" s="15" t="s">
        <v>22</v>
      </c>
      <c r="H7156" s="24">
        <f t="shared" si="1453"/>
        <v>0</v>
      </c>
      <c r="I7156" s="24" t="str" cm="1">
        <f t="array" ref="I7156">IFERROR(IF($B7156=I$1, ($A7156+$C7156) - MAX(IF($B$2:$B7155=$B7156, $A$2:$A7155+$C$2:$C7155)), "")*24*60, "")</f>
        <v/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cm="1">
        <f t="array" ref="O7156">IFERROR(IF($B7156=O$1, ($A7156+$C7156) - MAX(IF($B$2:$B7155=$B7156, $A$2:$A7155+$C$2:$C7155)), "")*24*60, "")</f>
        <v>0</v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482">A7156</f>
        <v>46009</v>
      </c>
      <c r="B7157" s="5" t="str">
        <f t="shared" si="1482"/>
        <v>Mourning Dove</v>
      </c>
      <c r="C7157" s="6">
        <f t="shared" si="1482"/>
        <v>0.6</v>
      </c>
      <c r="D7157" s="5"/>
      <c r="E7157" s="5"/>
      <c r="F7157" s="5" t="s">
        <v>22</v>
      </c>
      <c r="G7157" s="15" t="s">
        <v>22</v>
      </c>
      <c r="H7157" s="24">
        <f t="shared" si="1453"/>
        <v>0</v>
      </c>
      <c r="I7157" s="24" t="str" cm="1">
        <f t="array" ref="I7157">IFERROR(IF($B7157=I$1, ($A7157+$C7157) - MAX(IF($B$2:$B7156=$B7157, $A$2:$A7156+$C$2:$C7156)), "")*24*60, "")</f>
        <v/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cm="1">
        <f t="array" ref="O7157">IFERROR(IF($B7157=O$1, ($A7157+$C7157) - MAX(IF($B$2:$B7156=$B7157, $A$2:$A7156+$C$2:$C7156)), "")*24*60, "")</f>
        <v>0</v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483">A7157</f>
        <v>46009</v>
      </c>
      <c r="B7158" s="5" t="str">
        <f t="shared" si="1483"/>
        <v>Mourning Dove</v>
      </c>
      <c r="C7158" s="6">
        <f t="shared" si="1483"/>
        <v>0.6</v>
      </c>
      <c r="D7158" s="5"/>
      <c r="E7158" s="5"/>
      <c r="F7158" s="5" t="s">
        <v>22</v>
      </c>
      <c r="G7158" s="15" t="s">
        <v>22</v>
      </c>
      <c r="H7158" s="24">
        <f t="shared" si="1453"/>
        <v>0</v>
      </c>
      <c r="I7158" s="24" t="str" cm="1">
        <f t="array" ref="I7158">IFERROR(IF($B7158=I$1, ($A7158+$C7158) - MAX(IF($B$2:$B7157=$B7158, $A$2:$A7157+$C$2:$C7157)), "")*24*60, "")</f>
        <v/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cm="1">
        <f t="array" ref="O7158">IFERROR(IF($B7158=O$1, ($A7158+$C7158) - MAX(IF($B$2:$B7157=$B7158, $A$2:$A7157+$C$2:$C7157)), "")*24*60, "")</f>
        <v>0</v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484">A7158</f>
        <v>46009</v>
      </c>
      <c r="B7159" s="5" t="str">
        <f t="shared" si="1484"/>
        <v>Mourning Dove</v>
      </c>
      <c r="C7159" s="6">
        <f t="shared" si="1484"/>
        <v>0.6</v>
      </c>
      <c r="D7159" s="5"/>
      <c r="E7159" s="5"/>
      <c r="F7159" s="5" t="s">
        <v>22</v>
      </c>
      <c r="G7159" s="15" t="s">
        <v>22</v>
      </c>
      <c r="H7159" s="24">
        <f t="shared" si="1453"/>
        <v>0</v>
      </c>
      <c r="I7159" s="24" t="str" cm="1">
        <f t="array" ref="I7159">IFERROR(IF($B7159=I$1, ($A7159+$C7159) - MAX(IF($B$2:$B7158=$B7159, $A$2:$A7158+$C$2:$C7158)), "")*24*60, "")</f>
        <v/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cm="1">
        <f t="array" ref="O7159">IFERROR(IF($B7159=O$1, ($A7159+$C7159) - MAX(IF($B$2:$B7158=$B7159, $A$2:$A7158+$C$2:$C7158)), "")*24*60, "")</f>
        <v>0</v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485">A7159</f>
        <v>46009</v>
      </c>
      <c r="B7160" s="5" t="str">
        <f t="shared" si="1485"/>
        <v>Mourning Dove</v>
      </c>
      <c r="C7160" s="6">
        <f t="shared" si="1485"/>
        <v>0.6</v>
      </c>
      <c r="D7160" s="5"/>
      <c r="E7160" s="5"/>
      <c r="F7160" s="5" t="s">
        <v>22</v>
      </c>
      <c r="G7160" s="15" t="s">
        <v>22</v>
      </c>
      <c r="H7160" s="24">
        <f t="shared" si="1453"/>
        <v>0</v>
      </c>
      <c r="I7160" s="24" t="str" cm="1">
        <f t="array" ref="I7160">IFERROR(IF($B7160=I$1, ($A7160+$C7160) - MAX(IF($B$2:$B7159=$B7160, $A$2:$A7159+$C$2:$C7159)), "")*24*60, "")</f>
        <v/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cm="1">
        <f t="array" ref="O7160">IFERROR(IF($B7160=O$1, ($A7160+$C7160) - MAX(IF($B$2:$B7159=$B7160, $A$2:$A7159+$C$2:$C7159)), "")*24*60, "")</f>
        <v>0</v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486">A7160</f>
        <v>46009</v>
      </c>
      <c r="B7161" s="5" t="str">
        <f t="shared" si="1486"/>
        <v>Mourning Dove</v>
      </c>
      <c r="C7161" s="6">
        <f t="shared" si="1486"/>
        <v>0.6</v>
      </c>
      <c r="D7161" s="5"/>
      <c r="E7161" s="5"/>
      <c r="F7161" s="5" t="s">
        <v>22</v>
      </c>
      <c r="G7161" s="15" t="s">
        <v>22</v>
      </c>
      <c r="H7161" s="24">
        <f t="shared" si="1453"/>
        <v>0</v>
      </c>
      <c r="I7161" s="24" t="str" cm="1">
        <f t="array" ref="I7161">IFERROR(IF($B7161=I$1, ($A7161+$C7161) - MAX(IF($B$2:$B7160=$B7161, $A$2:$A7160+$C$2:$C7160)), "")*24*60, "")</f>
        <v/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cm="1">
        <f t="array" ref="O7161">IFERROR(IF($B7161=O$1, ($A7161+$C7161) - MAX(IF($B$2:$B7160=$B7161, $A$2:$A7160+$C$2:$C7160)), "")*24*60, "")</f>
        <v>0</v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487">A7161</f>
        <v>46009</v>
      </c>
      <c r="B7162" s="5" t="str">
        <f t="shared" si="1487"/>
        <v>Mourning Dove</v>
      </c>
      <c r="C7162" s="6">
        <f t="shared" si="1487"/>
        <v>0.6</v>
      </c>
      <c r="D7162" s="5"/>
      <c r="E7162" s="5"/>
      <c r="F7162" s="5" t="s">
        <v>22</v>
      </c>
      <c r="G7162" s="15" t="s">
        <v>22</v>
      </c>
      <c r="H7162" s="24">
        <f t="shared" si="1453"/>
        <v>0</v>
      </c>
      <c r="I7162" s="24" t="str" cm="1">
        <f t="array" ref="I7162">IFERROR(IF($B7162=I$1, ($A7162+$C7162) - MAX(IF($B$2:$B7161=$B7162, $A$2:$A7161+$C$2:$C7161)), "")*24*60, "")</f>
        <v/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cm="1">
        <f t="array" ref="O7162">IFERROR(IF($B7162=O$1, ($A7162+$C7162) - MAX(IF($B$2:$B7161=$B7162, $A$2:$A7161+$C$2:$C7161)), "")*24*60, "")</f>
        <v>0</v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488">A7162</f>
        <v>46009</v>
      </c>
      <c r="B7163" s="5" t="str">
        <f t="shared" si="1488"/>
        <v>Mourning Dove</v>
      </c>
      <c r="C7163" s="6">
        <f t="shared" si="1488"/>
        <v>0.6</v>
      </c>
      <c r="D7163" s="5"/>
      <c r="E7163" s="5"/>
      <c r="F7163" s="5" t="s">
        <v>22</v>
      </c>
      <c r="G7163" s="15" t="s">
        <v>22</v>
      </c>
      <c r="H7163" s="24">
        <f t="shared" si="1453"/>
        <v>0</v>
      </c>
      <c r="I7163" s="24" t="str" cm="1">
        <f t="array" ref="I7163">IFERROR(IF($B7163=I$1, ($A7163+$C7163) - MAX(IF($B$2:$B7162=$B7163, $A$2:$A7162+$C$2:$C7162)), "")*24*60, "")</f>
        <v/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cm="1">
        <f t="array" ref="O7163">IFERROR(IF($B7163=O$1, ($A7163+$C7163) - MAX(IF($B$2:$B7162=$B7163, $A$2:$A7162+$C$2:$C7162)), "")*24*60, "")</f>
        <v>0</v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489">A7163</f>
        <v>46009</v>
      </c>
      <c r="B7164" s="5" t="str">
        <f t="shared" si="1489"/>
        <v>Mourning Dove</v>
      </c>
      <c r="C7164" s="6">
        <f t="shared" si="1489"/>
        <v>0.6</v>
      </c>
      <c r="D7164" s="5"/>
      <c r="E7164" s="5"/>
      <c r="F7164" s="5" t="s">
        <v>22</v>
      </c>
      <c r="G7164" s="15" t="s">
        <v>22</v>
      </c>
      <c r="H7164" s="24">
        <f t="shared" si="1453"/>
        <v>0</v>
      </c>
      <c r="I7164" s="24" t="str" cm="1">
        <f t="array" ref="I7164">IFERROR(IF($B7164=I$1, ($A7164+$C7164) - MAX(IF($B$2:$B7163=$B7164, $A$2:$A7163+$C$2:$C7163)), "")*24*60, "")</f>
        <v/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cm="1">
        <f t="array" ref="O7164">IFERROR(IF($B7164=O$1, ($A7164+$C7164) - MAX(IF($B$2:$B7163=$B7164, $A$2:$A7163+$C$2:$C7163)), "")*24*60, "")</f>
        <v>0</v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490">A7164</f>
        <v>46009</v>
      </c>
      <c r="B7165" s="5" t="str">
        <f t="shared" si="1490"/>
        <v>Mourning Dove</v>
      </c>
      <c r="C7165" s="6">
        <f t="shared" si="1490"/>
        <v>0.6</v>
      </c>
      <c r="D7165" s="5"/>
      <c r="E7165" s="5"/>
      <c r="F7165" s="5" t="s">
        <v>22</v>
      </c>
      <c r="G7165" s="15" t="s">
        <v>22</v>
      </c>
      <c r="H7165" s="24">
        <f t="shared" si="1453"/>
        <v>0</v>
      </c>
      <c r="I7165" s="24" t="str" cm="1">
        <f t="array" ref="I7165">IFERROR(IF($B7165=I$1, ($A7165+$C7165) - MAX(IF($B$2:$B7164=$B7165, $A$2:$A7164+$C$2:$C7164)), "")*24*60, "")</f>
        <v/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cm="1">
        <f t="array" ref="O7165">IFERROR(IF($B7165=O$1, ($A7165+$C7165) - MAX(IF($B$2:$B7164=$B7165, $A$2:$A7164+$C$2:$C7164)), "")*24*60, "")</f>
        <v>0</v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491">A7165</f>
        <v>46009</v>
      </c>
      <c r="B7166" s="5" t="str">
        <f t="shared" si="1491"/>
        <v>Mourning Dove</v>
      </c>
      <c r="C7166" s="6">
        <f t="shared" si="1491"/>
        <v>0.6</v>
      </c>
      <c r="D7166" s="5"/>
      <c r="E7166" s="5"/>
      <c r="F7166" s="5" t="s">
        <v>22</v>
      </c>
      <c r="G7166" s="15" t="s">
        <v>22</v>
      </c>
      <c r="H7166" s="24">
        <f t="shared" si="1453"/>
        <v>0</v>
      </c>
      <c r="I7166" s="24" t="str" cm="1">
        <f t="array" ref="I7166">IFERROR(IF($B7166=I$1, ($A7166+$C7166) - MAX(IF($B$2:$B7165=$B7166, $A$2:$A7165+$C$2:$C7165)), "")*24*60, "")</f>
        <v/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cm="1">
        <f t="array" ref="O7166">IFERROR(IF($B7166=O$1, ($A7166+$C7166) - MAX(IF($B$2:$B7165=$B7166, $A$2:$A7165+$C$2:$C7165)), "")*24*60, "")</f>
        <v>0</v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492">A7166</f>
        <v>46009</v>
      </c>
      <c r="B7167" s="5" t="str">
        <f t="shared" si="1492"/>
        <v>Mourning Dove</v>
      </c>
      <c r="C7167" s="6">
        <f t="shared" si="1492"/>
        <v>0.6</v>
      </c>
      <c r="D7167" s="5"/>
      <c r="E7167" s="5"/>
      <c r="F7167" s="5" t="s">
        <v>22</v>
      </c>
      <c r="G7167" s="15" t="s">
        <v>22</v>
      </c>
      <c r="H7167" s="24">
        <f t="shared" si="1453"/>
        <v>0</v>
      </c>
      <c r="I7167" s="24" t="str" cm="1">
        <f t="array" ref="I7167">IFERROR(IF($B7167=I$1, ($A7167+$C7167) - MAX(IF($B$2:$B7166=$B7167, $A$2:$A7166+$C$2:$C7166)), "")*24*60, "")</f>
        <v/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cm="1">
        <f t="array" ref="O7167">IFERROR(IF($B7167=O$1, ($A7167+$C7167) - MAX(IF($B$2:$B7166=$B7167, $A$2:$A7166+$C$2:$C7166)), "")*24*60, "")</f>
        <v>0</v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493">A7167</f>
        <v>46009</v>
      </c>
      <c r="B7168" s="5" t="str">
        <f t="shared" si="1493"/>
        <v>Mourning Dove</v>
      </c>
      <c r="C7168" s="6">
        <f t="shared" si="1493"/>
        <v>0.6</v>
      </c>
      <c r="D7168" s="5"/>
      <c r="E7168" s="5"/>
      <c r="F7168" s="5" t="s">
        <v>22</v>
      </c>
      <c r="G7168" s="15" t="s">
        <v>22</v>
      </c>
      <c r="H7168" s="24">
        <f t="shared" si="1453"/>
        <v>0</v>
      </c>
      <c r="I7168" s="24" t="str" cm="1">
        <f t="array" ref="I7168">IFERROR(IF($B7168=I$1, ($A7168+$C7168) - MAX(IF($B$2:$B7167=$B7168, $A$2:$A7167+$C$2:$C7167)), "")*24*60, "")</f>
        <v/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cm="1">
        <f t="array" ref="O7168">IFERROR(IF($B7168=O$1, ($A7168+$C7168) - MAX(IF($B$2:$B7167=$B7168, $A$2:$A7167+$C$2:$C7167)), "")*24*60, "")</f>
        <v>0</v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494">A7168</f>
        <v>46009</v>
      </c>
      <c r="B7169" s="5" t="str">
        <f t="shared" si="1494"/>
        <v>Mourning Dove</v>
      </c>
      <c r="C7169" s="6">
        <f t="shared" si="1494"/>
        <v>0.6</v>
      </c>
      <c r="D7169" s="5"/>
      <c r="E7169" s="5"/>
      <c r="F7169" s="5" t="s">
        <v>22</v>
      </c>
      <c r="G7169" s="15" t="s">
        <v>22</v>
      </c>
      <c r="H7169" s="24">
        <f t="shared" si="1453"/>
        <v>0</v>
      </c>
      <c r="I7169" s="24" t="str" cm="1">
        <f t="array" ref="I7169">IFERROR(IF($B7169=I$1, ($A7169+$C7169) - MAX(IF($B$2:$B7168=$B7169, $A$2:$A7168+$C$2:$C7168)), "")*24*60, "")</f>
        <v/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cm="1">
        <f t="array" ref="O7169">IFERROR(IF($B7169=O$1, ($A7169+$C7169) - MAX(IF($B$2:$B7168=$B7169, $A$2:$A7168+$C$2:$C7168)), "")*24*60, "")</f>
        <v>0</v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495">A7169</f>
        <v>46009</v>
      </c>
      <c r="B7170" s="5" t="str">
        <f t="shared" si="1495"/>
        <v>Mourning Dove</v>
      </c>
      <c r="C7170" s="6">
        <f t="shared" si="1495"/>
        <v>0.6</v>
      </c>
      <c r="D7170" s="5"/>
      <c r="E7170" s="5"/>
      <c r="F7170" s="5" t="s">
        <v>22</v>
      </c>
      <c r="G7170" s="15" t="s">
        <v>22</v>
      </c>
      <c r="H7170" s="24">
        <f t="shared" si="1453"/>
        <v>0</v>
      </c>
      <c r="I7170" s="24" t="str" cm="1">
        <f t="array" ref="I7170">IFERROR(IF($B7170=I$1, ($A7170+$C7170) - MAX(IF($B$2:$B7169=$B7170, $A$2:$A7169+$C$2:$C7169)), "")*24*60, "")</f>
        <v/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cm="1">
        <f t="array" ref="O7170">IFERROR(IF($B7170=O$1, ($A7170+$C7170) - MAX(IF($B$2:$B7169=$B7170, $A$2:$A7169+$C$2:$C7169)), "")*24*60, "")</f>
        <v>0</v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496">A7170</f>
        <v>46009</v>
      </c>
      <c r="B7171" s="5" t="str">
        <f t="shared" si="1496"/>
        <v>Mourning Dove</v>
      </c>
      <c r="C7171" s="6">
        <f t="shared" si="1496"/>
        <v>0.6</v>
      </c>
      <c r="D7171" s="5"/>
      <c r="E7171" s="5"/>
      <c r="F7171" s="5" t="s">
        <v>22</v>
      </c>
      <c r="G7171" s="15" t="s">
        <v>22</v>
      </c>
      <c r="H7171" s="24">
        <f t="shared" si="1453"/>
        <v>0</v>
      </c>
      <c r="I7171" s="24" t="str" cm="1">
        <f t="array" ref="I7171">IFERROR(IF($B7171=I$1, ($A7171+$C7171) - MAX(IF($B$2:$B7170=$B7171, $A$2:$A7170+$C$2:$C7170)), "")*24*60, "")</f>
        <v/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cm="1">
        <f t="array" ref="O7171">IFERROR(IF($B7171=O$1, ($A7171+$C7171) - MAX(IF($B$2:$B7170=$B7171, $A$2:$A7170+$C$2:$C7170)), "")*24*60, "")</f>
        <v>0</v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497">A7171</f>
        <v>46009</v>
      </c>
      <c r="B7172" s="5" t="str">
        <f t="shared" si="1497"/>
        <v>Mourning Dove</v>
      </c>
      <c r="C7172" s="6">
        <f t="shared" si="1497"/>
        <v>0.6</v>
      </c>
      <c r="D7172" s="5"/>
      <c r="E7172" s="5"/>
      <c r="F7172" s="5" t="s">
        <v>22</v>
      </c>
      <c r="G7172" s="15" t="s">
        <v>22</v>
      </c>
      <c r="H7172" s="24">
        <f t="shared" si="1453"/>
        <v>0</v>
      </c>
      <c r="I7172" s="24" t="str" cm="1">
        <f t="array" ref="I7172">IFERROR(IF($B7172=I$1, ($A7172+$C7172) - MAX(IF($B$2:$B7171=$B7172, $A$2:$A7171+$C$2:$C7171)), "")*24*60, "")</f>
        <v/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cm="1">
        <f t="array" ref="O7172">IFERROR(IF($B7172=O$1, ($A7172+$C7172) - MAX(IF($B$2:$B7171=$B7172, $A$2:$A7171+$C$2:$C7171)), "")*24*60, "")</f>
        <v>0</v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498">A7172</f>
        <v>46009</v>
      </c>
      <c r="B7173" s="5" t="str">
        <f t="shared" si="1498"/>
        <v>Mourning Dove</v>
      </c>
      <c r="C7173" s="6">
        <f t="shared" si="1498"/>
        <v>0.6</v>
      </c>
      <c r="D7173" s="5"/>
      <c r="E7173" s="5"/>
      <c r="F7173" s="5" t="s">
        <v>22</v>
      </c>
      <c r="G7173" s="15" t="s">
        <v>22</v>
      </c>
      <c r="H7173" s="24">
        <f t="shared" si="1453"/>
        <v>0</v>
      </c>
      <c r="I7173" s="24" t="str" cm="1">
        <f t="array" ref="I7173">IFERROR(IF($B7173=I$1, ($A7173+$C7173) - MAX(IF($B$2:$B7172=$B7173, $A$2:$A7172+$C$2:$C7172)), "")*24*60, "")</f>
        <v/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cm="1">
        <f t="array" ref="O7173">IFERROR(IF($B7173=O$1, ($A7173+$C7173) - MAX(IF($B$2:$B7172=$B7173, $A$2:$A7172+$C$2:$C7172)), "")*24*60, "")</f>
        <v>0</v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499">A7173</f>
        <v>46009</v>
      </c>
      <c r="B7174" s="5" t="str">
        <f t="shared" si="1499"/>
        <v>Mourning Dove</v>
      </c>
      <c r="C7174" s="6">
        <f t="shared" si="1499"/>
        <v>0.6</v>
      </c>
      <c r="D7174" s="5"/>
      <c r="E7174" s="5"/>
      <c r="F7174" s="5" t="s">
        <v>22</v>
      </c>
      <c r="G7174" s="15" t="s">
        <v>22</v>
      </c>
      <c r="H7174" s="24">
        <f t="shared" si="1453"/>
        <v>0</v>
      </c>
      <c r="I7174" s="24" t="str" cm="1">
        <f t="array" ref="I7174">IFERROR(IF($B7174=I$1, ($A7174+$C7174) - MAX(IF($B$2:$B7173=$B7174, $A$2:$A7173+$C$2:$C7173)), "")*24*60, "")</f>
        <v/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cm="1">
        <f t="array" ref="O7174">IFERROR(IF($B7174=O$1, ($A7174+$C7174) - MAX(IF($B$2:$B7173=$B7174, $A$2:$A7173+$C$2:$C7173)), "")*24*60, "")</f>
        <v>0</v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00">A7174</f>
        <v>46009</v>
      </c>
      <c r="B7175" s="5" t="str">
        <f t="shared" si="1500"/>
        <v>Mourning Dove</v>
      </c>
      <c r="C7175" s="6">
        <f t="shared" si="1500"/>
        <v>0.6</v>
      </c>
      <c r="D7175" s="5"/>
      <c r="E7175" s="5"/>
      <c r="F7175" s="5" t="s">
        <v>22</v>
      </c>
      <c r="G7175" s="15" t="s">
        <v>22</v>
      </c>
      <c r="H7175" s="24">
        <f t="shared" si="1453"/>
        <v>0</v>
      </c>
      <c r="I7175" s="24" t="str" cm="1">
        <f t="array" ref="I7175">IFERROR(IF($B7175=I$1, ($A7175+$C7175) - MAX(IF($B$2:$B7174=$B7175, $A$2:$A7174+$C$2:$C7174)), "")*24*60, "")</f>
        <v/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cm="1">
        <f t="array" ref="O7175">IFERROR(IF($B7175=O$1, ($A7175+$C7175) - MAX(IF($B$2:$B7174=$B7175, $A$2:$A7174+$C$2:$C7174)), "")*24*60, "")</f>
        <v>0</v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01">A7175</f>
        <v>46009</v>
      </c>
      <c r="B7176" s="5" t="str">
        <f t="shared" si="1501"/>
        <v>Mourning Dove</v>
      </c>
      <c r="C7176" s="6">
        <f t="shared" si="1501"/>
        <v>0.6</v>
      </c>
      <c r="D7176" s="5"/>
      <c r="E7176" s="5"/>
      <c r="F7176" s="5" t="s">
        <v>22</v>
      </c>
      <c r="G7176" s="15" t="s">
        <v>22</v>
      </c>
      <c r="H7176" s="24">
        <f t="shared" si="1453"/>
        <v>0</v>
      </c>
      <c r="I7176" s="24" t="str" cm="1">
        <f t="array" ref="I7176">IFERROR(IF($B7176=I$1, ($A7176+$C7176) - MAX(IF($B$2:$B7175=$B7176, $A$2:$A7175+$C$2:$C7175)), "")*24*60, "")</f>
        <v/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cm="1">
        <f t="array" ref="O7176">IFERROR(IF($B7176=O$1, ($A7176+$C7176) - MAX(IF($B$2:$B7175=$B7176, $A$2:$A7175+$C$2:$C7175)), "")*24*60, "")</f>
        <v>0</v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02">A7176</f>
        <v>46009</v>
      </c>
      <c r="B7177" s="5" t="str">
        <f t="shared" si="1502"/>
        <v>Mourning Dove</v>
      </c>
      <c r="C7177" s="6">
        <f t="shared" si="1502"/>
        <v>0.6</v>
      </c>
      <c r="D7177" s="5"/>
      <c r="E7177" s="5"/>
      <c r="F7177" s="5" t="s">
        <v>22</v>
      </c>
      <c r="G7177" s="15" t="s">
        <v>22</v>
      </c>
      <c r="H7177" s="24">
        <f t="shared" si="1453"/>
        <v>0</v>
      </c>
      <c r="I7177" s="24" t="str" cm="1">
        <f t="array" ref="I7177">IFERROR(IF($B7177=I$1, ($A7177+$C7177) - MAX(IF($B$2:$B7176=$B7177, $A$2:$A7176+$C$2:$C7176)), "")*24*60, "")</f>
        <v/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cm="1">
        <f t="array" ref="O7177">IFERROR(IF($B7177=O$1, ($A7177+$C7177) - MAX(IF($B$2:$B7176=$B7177, $A$2:$A7176+$C$2:$C7176)), "")*24*60, "")</f>
        <v>0</v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03">A7177</f>
        <v>46009</v>
      </c>
      <c r="B7178" s="5" t="str">
        <f t="shared" si="1503"/>
        <v>Mourning Dove</v>
      </c>
      <c r="C7178" s="6">
        <f t="shared" si="1503"/>
        <v>0.6</v>
      </c>
      <c r="D7178" s="5"/>
      <c r="E7178" s="5"/>
      <c r="F7178" s="5" t="s">
        <v>22</v>
      </c>
      <c r="G7178" s="15" t="s">
        <v>22</v>
      </c>
      <c r="H7178" s="24">
        <f t="shared" si="1453"/>
        <v>0</v>
      </c>
      <c r="I7178" s="24" t="str" cm="1">
        <f t="array" ref="I7178">IFERROR(IF($B7178=I$1, ($A7178+$C7178) - MAX(IF($B$2:$B7177=$B7178, $A$2:$A7177+$C$2:$C7177)), "")*24*60, "")</f>
        <v/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cm="1">
        <f t="array" ref="O7178">IFERROR(IF($B7178=O$1, ($A7178+$C7178) - MAX(IF($B$2:$B7177=$B7178, $A$2:$A7177+$C$2:$C7177)), "")*24*60, "")</f>
        <v>0</v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04">A7178</f>
        <v>46009</v>
      </c>
      <c r="B7179" s="5" t="str">
        <f t="shared" si="1504"/>
        <v>Mourning Dove</v>
      </c>
      <c r="C7179" s="6">
        <f t="shared" si="1504"/>
        <v>0.6</v>
      </c>
      <c r="D7179" s="5"/>
      <c r="E7179" s="5"/>
      <c r="F7179" s="5" t="s">
        <v>22</v>
      </c>
      <c r="G7179" s="15" t="s">
        <v>22</v>
      </c>
      <c r="H7179" s="24">
        <f t="shared" si="1453"/>
        <v>0</v>
      </c>
      <c r="I7179" s="24" t="str" cm="1">
        <f t="array" ref="I7179">IFERROR(IF($B7179=I$1, ($A7179+$C7179) - MAX(IF($B$2:$B7178=$B7179, $A$2:$A7178+$C$2:$C7178)), "")*24*60, "")</f>
        <v/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cm="1">
        <f t="array" ref="O7179">IFERROR(IF($B7179=O$1, ($A7179+$C7179) - MAX(IF($B$2:$B7178=$B7179, $A$2:$A7178+$C$2:$C7178)), "")*24*60, "")</f>
        <v>0</v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05">A7179</f>
        <v>46009</v>
      </c>
      <c r="B7180" s="5" t="str">
        <f t="shared" si="1505"/>
        <v>Mourning Dove</v>
      </c>
      <c r="C7180" s="6">
        <f t="shared" si="1505"/>
        <v>0.6</v>
      </c>
      <c r="D7180" s="5"/>
      <c r="E7180" s="5"/>
      <c r="F7180" s="5" t="s">
        <v>22</v>
      </c>
      <c r="G7180" s="15" t="s">
        <v>22</v>
      </c>
      <c r="H7180" s="24">
        <f t="shared" si="1453"/>
        <v>0</v>
      </c>
      <c r="I7180" s="24" t="str" cm="1">
        <f t="array" ref="I7180">IFERROR(IF($B7180=I$1, ($A7180+$C7180) - MAX(IF($B$2:$B7179=$B7180, $A$2:$A7179+$C$2:$C7179)), "")*24*60, "")</f>
        <v/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cm="1">
        <f t="array" ref="O7180">IFERROR(IF($B7180=O$1, ($A7180+$C7180) - MAX(IF($B$2:$B7179=$B7180, $A$2:$A7179+$C$2:$C7179)), "")*24*60, "")</f>
        <v>0</v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06">A7180</f>
        <v>46009</v>
      </c>
      <c r="B7181" s="5" t="str">
        <f t="shared" si="1506"/>
        <v>Mourning Dove</v>
      </c>
      <c r="C7181" s="6">
        <f t="shared" si="1506"/>
        <v>0.6</v>
      </c>
      <c r="D7181" s="5"/>
      <c r="E7181" s="5"/>
      <c r="F7181" s="5" t="s">
        <v>22</v>
      </c>
      <c r="G7181" s="15" t="s">
        <v>22</v>
      </c>
      <c r="H7181" s="24">
        <f t="shared" si="1453"/>
        <v>0</v>
      </c>
      <c r="I7181" s="24" t="str" cm="1">
        <f t="array" ref="I7181">IFERROR(IF($B7181=I$1, ($A7181+$C7181) - MAX(IF($B$2:$B7180=$B7181, $A$2:$A7180+$C$2:$C7180)), "")*24*60, "")</f>
        <v/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cm="1">
        <f t="array" ref="O7181">IFERROR(IF($B7181=O$1, ($A7181+$C7181) - MAX(IF($B$2:$B7180=$B7181, $A$2:$A7180+$C$2:$C7180)), "")*24*60, "")</f>
        <v>0</v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07">A7181</f>
        <v>46009</v>
      </c>
      <c r="B7182" s="5" t="str">
        <f t="shared" si="1507"/>
        <v>Mourning Dove</v>
      </c>
      <c r="C7182" s="6">
        <f t="shared" si="1507"/>
        <v>0.6</v>
      </c>
      <c r="D7182" s="5"/>
      <c r="E7182" s="5"/>
      <c r="F7182" s="5" t="s">
        <v>22</v>
      </c>
      <c r="G7182" s="15" t="s">
        <v>22</v>
      </c>
      <c r="H7182" s="24">
        <f t="shared" si="1453"/>
        <v>0</v>
      </c>
      <c r="I7182" s="24" t="str" cm="1">
        <f t="array" ref="I7182">IFERROR(IF($B7182=I$1, ($A7182+$C7182) - MAX(IF($B$2:$B7181=$B7182, $A$2:$A7181+$C$2:$C7181)), "")*24*60, "")</f>
        <v/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cm="1">
        <f t="array" ref="O7182">IFERROR(IF($B7182=O$1, ($A7182+$C7182) - MAX(IF($B$2:$B7181=$B7182, $A$2:$A7181+$C$2:$C7181)), "")*24*60, "")</f>
        <v>0</v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08">A7182</f>
        <v>46009</v>
      </c>
      <c r="B7183" s="5" t="str">
        <f t="shared" si="1508"/>
        <v>Mourning Dove</v>
      </c>
      <c r="C7183" s="6">
        <f t="shared" si="1508"/>
        <v>0.6</v>
      </c>
      <c r="D7183" s="5"/>
      <c r="E7183" s="5"/>
      <c r="F7183" s="5" t="s">
        <v>22</v>
      </c>
      <c r="G7183" s="15" t="s">
        <v>22</v>
      </c>
      <c r="H7183" s="24">
        <f t="shared" si="1453"/>
        <v>0</v>
      </c>
      <c r="I7183" s="24" t="str" cm="1">
        <f t="array" ref="I7183">IFERROR(IF($B7183=I$1, ($A7183+$C7183) - MAX(IF($B$2:$B7182=$B7183, $A$2:$A7182+$C$2:$C7182)), "")*24*60, "")</f>
        <v/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cm="1">
        <f t="array" ref="O7183">IFERROR(IF($B7183=O$1, ($A7183+$C7183) - MAX(IF($B$2:$B7182=$B7183, $A$2:$A7182+$C$2:$C7182)), "")*24*60, "")</f>
        <v>0</v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09">A7183</f>
        <v>46009</v>
      </c>
      <c r="B7184" s="5" t="str">
        <f t="shared" si="1509"/>
        <v>Mourning Dove</v>
      </c>
      <c r="C7184" s="6">
        <f t="shared" si="1509"/>
        <v>0.6</v>
      </c>
      <c r="D7184" s="5"/>
      <c r="E7184" s="5"/>
      <c r="F7184" s="5" t="s">
        <v>22</v>
      </c>
      <c r="G7184" s="15" t="s">
        <v>22</v>
      </c>
      <c r="H7184" s="24">
        <f t="shared" si="1453"/>
        <v>0</v>
      </c>
      <c r="I7184" s="24" t="str" cm="1">
        <f t="array" ref="I7184">IFERROR(IF($B7184=I$1, ($A7184+$C7184) - MAX(IF($B$2:$B7183=$B7184, $A$2:$A7183+$C$2:$C7183)), "")*24*60, "")</f>
        <v/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cm="1">
        <f t="array" ref="O7184">IFERROR(IF($B7184=O$1, ($A7184+$C7184) - MAX(IF($B$2:$B7183=$B7184, $A$2:$A7183+$C$2:$C7183)), "")*24*60, "")</f>
        <v>0</v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10">A7184</f>
        <v>46009</v>
      </c>
      <c r="B7185" s="5" t="str">
        <f t="shared" si="1510"/>
        <v>Mourning Dove</v>
      </c>
      <c r="C7185" s="6">
        <f t="shared" si="1510"/>
        <v>0.6</v>
      </c>
      <c r="D7185" s="5"/>
      <c r="E7185" s="5"/>
      <c r="F7185" s="5" t="s">
        <v>22</v>
      </c>
      <c r="G7185" s="15" t="s">
        <v>22</v>
      </c>
      <c r="H7185" s="24">
        <f t="shared" si="1453"/>
        <v>0</v>
      </c>
      <c r="I7185" s="24" t="str" cm="1">
        <f t="array" ref="I7185">IFERROR(IF($B7185=I$1, ($A7185+$C7185) - MAX(IF($B$2:$B7184=$B7185, $A$2:$A7184+$C$2:$C7184)), "")*24*60, "")</f>
        <v/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cm="1">
        <f t="array" ref="O7185">IFERROR(IF($B7185=O$1, ($A7185+$C7185) - MAX(IF($B$2:$B7184=$B7185, $A$2:$A7184+$C$2:$C7184)), "")*24*60, "")</f>
        <v>0</v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11">A7185</f>
        <v>46009</v>
      </c>
      <c r="B7186" s="5" t="str">
        <f t="shared" si="1511"/>
        <v>Mourning Dove</v>
      </c>
      <c r="C7186" s="6">
        <f t="shared" si="1511"/>
        <v>0.6</v>
      </c>
      <c r="D7186" s="5"/>
      <c r="E7186" s="5"/>
      <c r="F7186" s="5" t="s">
        <v>22</v>
      </c>
      <c r="G7186" s="15" t="s">
        <v>22</v>
      </c>
      <c r="H7186" s="24">
        <f t="shared" si="1453"/>
        <v>0</v>
      </c>
      <c r="I7186" s="24" t="str" cm="1">
        <f t="array" ref="I7186">IFERROR(IF($B7186=I$1, ($A7186+$C7186) - MAX(IF($B$2:$B7185=$B7186, $A$2:$A7185+$C$2:$C7185)), "")*24*60, "")</f>
        <v/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cm="1">
        <f t="array" ref="O7186">IFERROR(IF($B7186=O$1, ($A7186+$C7186) - MAX(IF($B$2:$B7185=$B7186, $A$2:$A7185+$C$2:$C7185)), "")*24*60, "")</f>
        <v>0</v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12">A7186</f>
        <v>46009</v>
      </c>
      <c r="B7187" s="5" t="str">
        <f t="shared" si="1512"/>
        <v>Mourning Dove</v>
      </c>
      <c r="C7187" s="6">
        <f t="shared" si="1512"/>
        <v>0.6</v>
      </c>
      <c r="D7187" s="5"/>
      <c r="E7187" s="5"/>
      <c r="F7187" s="5" t="s">
        <v>22</v>
      </c>
      <c r="G7187" s="15" t="s">
        <v>22</v>
      </c>
      <c r="H7187" s="24">
        <f t="shared" si="1453"/>
        <v>0</v>
      </c>
      <c r="I7187" s="24" t="str" cm="1">
        <f t="array" ref="I7187">IFERROR(IF($B7187=I$1, ($A7187+$C7187) - MAX(IF($B$2:$B7186=$B7187, $A$2:$A7186+$C$2:$C7186)), "")*24*60, "")</f>
        <v/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cm="1">
        <f t="array" ref="O7187">IFERROR(IF($B7187=O$1, ($A7187+$C7187) - MAX(IF($B$2:$B7186=$B7187, $A$2:$A7186+$C$2:$C7186)), "")*24*60, "")</f>
        <v>0</v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13">A7187</f>
        <v>46009</v>
      </c>
      <c r="B7188" s="5" t="str">
        <f t="shared" si="1513"/>
        <v>Mourning Dove</v>
      </c>
      <c r="C7188" s="6">
        <f t="shared" si="1513"/>
        <v>0.6</v>
      </c>
      <c r="D7188" s="5"/>
      <c r="E7188" s="5"/>
      <c r="F7188" s="5" t="s">
        <v>22</v>
      </c>
      <c r="G7188" s="15" t="s">
        <v>22</v>
      </c>
      <c r="H7188" s="24">
        <f t="shared" si="1453"/>
        <v>0</v>
      </c>
      <c r="I7188" s="24" t="str" cm="1">
        <f t="array" ref="I7188">IFERROR(IF($B7188=I$1, ($A7188+$C7188) - MAX(IF($B$2:$B7187=$B7188, $A$2:$A7187+$C$2:$C7187)), "")*24*60, "")</f>
        <v/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cm="1">
        <f t="array" ref="O7188">IFERROR(IF($B7188=O$1, ($A7188+$C7188) - MAX(IF($B$2:$B7187=$B7188, $A$2:$A7187+$C$2:$C7187)), "")*24*60, "")</f>
        <v>0</v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14">A7188</f>
        <v>46009</v>
      </c>
      <c r="B7189" s="5" t="str">
        <f t="shared" si="1514"/>
        <v>Mourning Dove</v>
      </c>
      <c r="C7189" s="6">
        <f t="shared" si="1514"/>
        <v>0.6</v>
      </c>
      <c r="D7189" s="5"/>
      <c r="E7189" s="5"/>
      <c r="F7189" s="5" t="s">
        <v>22</v>
      </c>
      <c r="G7189" s="15" t="s">
        <v>22</v>
      </c>
      <c r="H7189" s="24">
        <f t="shared" si="1453"/>
        <v>0</v>
      </c>
      <c r="I7189" s="24" t="str" cm="1">
        <f t="array" ref="I7189">IFERROR(IF($B7189=I$1, ($A7189+$C7189) - MAX(IF($B$2:$B7188=$B7189, $A$2:$A7188+$C$2:$C7188)), "")*24*60, "")</f>
        <v/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cm="1">
        <f t="array" ref="O7189">IFERROR(IF($B7189=O$1, ($A7189+$C7189) - MAX(IF($B$2:$B7188=$B7189, $A$2:$A7188+$C$2:$C7188)), "")*24*60, "")</f>
        <v>0</v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15">A7189</f>
        <v>46009</v>
      </c>
      <c r="B7190" s="5" t="str">
        <f t="shared" si="1515"/>
        <v>Mourning Dove</v>
      </c>
      <c r="C7190" s="6">
        <f t="shared" si="1515"/>
        <v>0.6</v>
      </c>
      <c r="D7190" s="5"/>
      <c r="E7190" s="5"/>
      <c r="F7190" s="5" t="s">
        <v>22</v>
      </c>
      <c r="G7190" s="15" t="s">
        <v>22</v>
      </c>
      <c r="H7190" s="24">
        <f t="shared" si="1453"/>
        <v>0</v>
      </c>
      <c r="I7190" s="24" t="str" cm="1">
        <f t="array" ref="I7190">IFERROR(IF($B7190=I$1, ($A7190+$C7190) - MAX(IF($B$2:$B7189=$B7190, $A$2:$A7189+$C$2:$C7189)), "")*24*60, "")</f>
        <v/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cm="1">
        <f t="array" ref="O7190">IFERROR(IF($B7190=O$1, ($A7190+$C7190) - MAX(IF($B$2:$B7189=$B7190, $A$2:$A7189+$C$2:$C7189)), "")*24*60, "")</f>
        <v>0</v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78"/>
  <sheetViews>
    <sheetView tabSelected="1" zoomScale="120" zoomScaleNormal="120" workbookViewId="0">
      <pane ySplit="1" topLeftCell="A273" activePane="bottomLeft" state="frozen"/>
      <selection pane="bottomLeft" activeCell="A278" sqref="A278:E278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10">
        <v>46008</v>
      </c>
      <c r="B278" s="11" t="s">
        <v>20</v>
      </c>
      <c r="C278" s="11">
        <f>COUNTIFS(RawData!$B:$B, $B278, RawData!$A:$A, DailySummaries!$A278)</f>
        <v>4</v>
      </c>
      <c r="D278" s="11">
        <f>SUMIFS(RawData!$D:$D,RawData!$B:$B,$B278,RawData!$A:$A,DailySummaries!$A278)+1</f>
        <v>1</v>
      </c>
      <c r="E278" s="11">
        <f>SUMIFS(RawData!$E:$E,RawData!$B:$B,$B278,RawData!$A:$A,DailySummaries!$A278)+1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2025-12-18T09:50:37Z</dcterms:modified>
</cp:coreProperties>
</file>
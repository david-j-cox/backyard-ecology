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E66F5132-DA96-5147-86F5-71CA81037496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5" i="2" l="1"/>
  <c r="D215" i="2"/>
  <c r="E215" i="2"/>
  <c r="C216" i="2"/>
  <c r="D216" i="2"/>
  <c r="E216" i="2"/>
  <c r="C217" i="2"/>
  <c r="D217" i="2"/>
  <c r="E217" i="2"/>
  <c r="C218" i="2"/>
  <c r="D218" i="2"/>
  <c r="E218" i="2"/>
  <c r="C219" i="2"/>
  <c r="D219" i="2"/>
  <c r="E219" i="2"/>
  <c r="C220" i="2"/>
  <c r="D220" i="2"/>
  <c r="E220" i="2"/>
  <c r="C221" i="2"/>
  <c r="D221" i="2"/>
  <c r="E221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B6418" i="1" l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C6420" i="1" s="1"/>
  <c r="C6421" i="1" s="1"/>
  <c r="C6422" i="1" s="1"/>
  <c r="C6423" i="1" s="1"/>
  <c r="C6424" i="1" s="1"/>
  <c r="C6425" i="1" s="1"/>
  <c r="C6426" i="1" s="1"/>
  <c r="C6427" i="1" s="1"/>
  <c r="C6428" i="1" s="1"/>
  <c r="C6429" i="1" s="1"/>
  <c r="C6430" i="1" s="1"/>
  <c r="C6431" i="1" s="1"/>
  <c r="C6432" i="1" s="1"/>
  <c r="C6433" i="1" s="1"/>
  <c r="C6434" i="1" s="1"/>
  <c r="C6435" i="1" s="1"/>
  <c r="C6436" i="1" s="1"/>
  <c r="C6437" i="1" s="1"/>
  <c r="C6438" i="1" s="1"/>
  <c r="C6439" i="1" s="1"/>
  <c r="C6440" i="1" s="1"/>
  <c r="C6441" i="1" s="1"/>
  <c r="C6442" i="1" s="1"/>
  <c r="C6443" i="1" s="1"/>
  <c r="C6444" i="1" s="1"/>
  <c r="C6445" i="1" s="1"/>
  <c r="C6446" i="1" s="1"/>
  <c r="C6447" i="1" s="1"/>
  <c r="C6448" i="1" s="1"/>
  <c r="C6449" i="1" s="1"/>
  <c r="C6450" i="1" s="1"/>
  <c r="C6451" i="1" s="1"/>
  <c r="C6452" i="1" s="1"/>
  <c r="C6453" i="1" s="1"/>
  <c r="C6454" i="1" s="1"/>
  <c r="C6455" i="1" s="1"/>
  <c r="C6456" i="1" s="1"/>
  <c r="C6457" i="1" s="1"/>
  <c r="C6458" i="1" s="1"/>
  <c r="C6459" i="1" s="1"/>
  <c r="C6460" i="1" s="1"/>
  <c r="C6461" i="1" s="1"/>
  <c r="C6462" i="1" s="1"/>
  <c r="C6463" i="1" s="1"/>
  <c r="C6464" i="1" s="1"/>
  <c r="C6465" i="1" s="1"/>
  <c r="C6466" i="1" s="1"/>
  <c r="C6467" i="1" s="1"/>
  <c r="C6468" i="1" s="1"/>
  <c r="C6469" i="1" s="1"/>
  <c r="C6470" i="1" s="1"/>
  <c r="C6471" i="1" s="1"/>
  <c r="C6472" i="1" s="1"/>
  <c r="C6473" i="1" s="1"/>
  <c r="C6474" i="1" s="1"/>
  <c r="C6475" i="1" s="1"/>
  <c r="C6476" i="1" s="1"/>
  <c r="C6477" i="1" s="1"/>
  <c r="C6478" i="1" s="1"/>
  <c r="C6479" i="1" s="1"/>
  <c r="C6480" i="1" s="1"/>
  <c r="C6481" i="1" s="1"/>
  <c r="C6482" i="1" s="1"/>
  <c r="C6483" i="1" s="1"/>
  <c r="C6484" i="1" s="1"/>
  <c r="C6485" i="1" s="1"/>
  <c r="C6486" i="1" s="1"/>
  <c r="C6487" i="1" s="1"/>
  <c r="C6488" i="1" s="1"/>
  <c r="C6489" i="1" s="1"/>
  <c r="C6490" i="1" s="1"/>
  <c r="C6491" i="1" s="1"/>
  <c r="C6492" i="1" s="1"/>
  <c r="C6493" i="1" s="1"/>
  <c r="C6494" i="1" s="1"/>
  <c r="C6495" i="1" s="1"/>
  <c r="C6496" i="1" s="1"/>
  <c r="C6497" i="1" s="1"/>
  <c r="C6498" i="1" s="1"/>
  <c r="C6499" i="1" s="1"/>
  <c r="C6500" i="1" s="1"/>
  <c r="C6501" i="1" s="1"/>
  <c r="C6502" i="1" s="1"/>
  <c r="C6503" i="1" s="1"/>
  <c r="C6504" i="1" s="1"/>
  <c r="C6505" i="1" s="1"/>
  <c r="C6506" i="1" s="1"/>
  <c r="C6507" i="1" s="1"/>
  <c r="C6508" i="1" s="1"/>
  <c r="C6509" i="1" s="1"/>
  <c r="C6510" i="1" s="1"/>
  <c r="C6511" i="1" s="1"/>
  <c r="C6512" i="1" s="1"/>
  <c r="C6513" i="1" s="1"/>
  <c r="C6514" i="1" s="1"/>
  <c r="C6515" i="1" s="1"/>
  <c r="C6516" i="1" s="1"/>
  <c r="C6517" i="1" s="1"/>
  <c r="C6518" i="1" s="1"/>
  <c r="C6519" i="1" s="1"/>
  <c r="C6520" i="1" s="1"/>
  <c r="C6521" i="1" s="1"/>
  <c r="C6522" i="1" s="1"/>
  <c r="C6523" i="1" s="1"/>
  <c r="C6524" i="1" s="1"/>
  <c r="C6525" i="1" s="1"/>
  <c r="C6526" i="1" s="1"/>
  <c r="C6527" i="1" s="1"/>
  <c r="C6528" i="1" s="1"/>
  <c r="C6529" i="1" s="1"/>
  <c r="C6530" i="1" s="1"/>
  <c r="C6531" i="1" s="1"/>
  <c r="C6532" i="1" s="1"/>
  <c r="C6533" i="1" s="1"/>
  <c r="C6534" i="1" s="1"/>
  <c r="C6535" i="1" s="1"/>
  <c r="C6536" i="1" s="1"/>
  <c r="C6537" i="1" s="1"/>
  <c r="C6538" i="1" s="1"/>
  <c r="C6539" i="1" s="1"/>
  <c r="C6540" i="1" s="1"/>
  <c r="C6541" i="1" s="1"/>
  <c r="C6542" i="1" s="1"/>
  <c r="C6543" i="1" s="1"/>
  <c r="C6544" i="1" s="1"/>
  <c r="C6545" i="1" s="1"/>
  <c r="C6546" i="1" s="1"/>
  <c r="C6547" i="1" s="1"/>
  <c r="C6548" i="1" s="1"/>
  <c r="C6549" i="1" s="1"/>
  <c r="C6550" i="1" s="1"/>
  <c r="C6551" i="1" s="1"/>
  <c r="C6552" i="1" s="1"/>
  <c r="C6553" i="1" s="1"/>
  <c r="C6554" i="1" s="1"/>
  <c r="C6555" i="1" s="1"/>
  <c r="C6556" i="1" s="1"/>
  <c r="C6557" i="1" s="1"/>
  <c r="C6558" i="1" s="1"/>
  <c r="C6559" i="1" s="1"/>
  <c r="C6560" i="1" s="1"/>
  <c r="C6561" i="1" s="1"/>
  <c r="C6562" i="1" s="1"/>
  <c r="C6563" i="1" s="1"/>
  <c r="C6564" i="1" s="1"/>
  <c r="C6565" i="1" s="1"/>
  <c r="C6566" i="1" s="1"/>
  <c r="C6567" i="1" s="1"/>
  <c r="C6568" i="1" s="1"/>
  <c r="C6569" i="1" s="1"/>
  <c r="C6570" i="1" s="1"/>
  <c r="C6571" i="1" s="1"/>
  <c r="C6572" i="1" s="1"/>
  <c r="C6573" i="1" s="1"/>
  <c r="C6574" i="1" s="1"/>
  <c r="C6575" i="1" s="1"/>
  <c r="C6576" i="1" s="1"/>
  <c r="C6577" i="1" s="1"/>
  <c r="C6578" i="1" s="1"/>
  <c r="C6579" i="1" s="1"/>
  <c r="C6580" i="1" s="1"/>
  <c r="C6581" i="1" s="1"/>
  <c r="C6582" i="1" s="1"/>
  <c r="C6583" i="1" s="1"/>
  <c r="C6584" i="1" s="1"/>
  <c r="C6585" i="1" s="1"/>
  <c r="C6586" i="1" s="1"/>
  <c r="C6587" i="1" s="1"/>
  <c r="C6588" i="1" s="1"/>
  <c r="C6589" i="1" s="1"/>
  <c r="C6590" i="1" s="1"/>
  <c r="C6591" i="1" s="1"/>
  <c r="C6592" i="1" s="1"/>
  <c r="C6593" i="1" s="1"/>
  <c r="C6594" i="1" s="1"/>
  <c r="C6595" i="1" s="1"/>
  <c r="C6596" i="1" s="1"/>
  <c r="C6597" i="1" s="1"/>
  <c r="C6598" i="1" s="1"/>
  <c r="C6599" i="1" s="1"/>
  <c r="C6600" i="1" s="1"/>
  <c r="C6601" i="1" s="1"/>
  <c r="C6602" i="1" s="1"/>
  <c r="C6603" i="1" s="1"/>
  <c r="C6604" i="1" s="1"/>
  <c r="C6605" i="1" s="1"/>
  <c r="C6606" i="1" s="1"/>
  <c r="C6607" i="1" s="1"/>
  <c r="C6608" i="1" s="1"/>
  <c r="C6609" i="1" s="1"/>
  <c r="C6610" i="1" s="1"/>
  <c r="C6611" i="1" s="1"/>
  <c r="C6612" i="1" s="1"/>
  <c r="C6613" i="1" s="1"/>
  <c r="C6614" i="1" s="1"/>
  <c r="C6615" i="1" s="1"/>
  <c r="C6616" i="1" s="1"/>
  <c r="C6617" i="1" s="1"/>
  <c r="C6618" i="1" s="1"/>
  <c r="C6619" i="1" s="1"/>
  <c r="C6620" i="1" s="1"/>
  <c r="C6621" i="1" s="1"/>
  <c r="C6622" i="1" s="1"/>
  <c r="C6623" i="1" s="1"/>
  <c r="C6624" i="1" s="1"/>
  <c r="C6625" i="1" s="1"/>
  <c r="C6626" i="1" s="1"/>
  <c r="C6627" i="1" s="1"/>
  <c r="C6628" i="1" s="1"/>
  <c r="C6629" i="1" s="1"/>
  <c r="C6630" i="1" s="1"/>
  <c r="C6631" i="1" s="1"/>
  <c r="C6632" i="1" s="1"/>
  <c r="C6633" i="1" s="1"/>
  <c r="C6634" i="1" s="1"/>
  <c r="C6635" i="1" s="1"/>
  <c r="C6636" i="1" s="1"/>
  <c r="C6637" i="1" s="1"/>
  <c r="C6638" i="1" s="1"/>
  <c r="C6639" i="1" s="1"/>
  <c r="C6640" i="1" s="1"/>
  <c r="C6641" i="1" s="1"/>
  <c r="C6642" i="1" s="1"/>
  <c r="C6643" i="1" s="1"/>
  <c r="C6644" i="1" s="1"/>
  <c r="C6645" i="1" s="1"/>
  <c r="C6646" i="1" s="1"/>
  <c r="C6647" i="1" s="1"/>
  <c r="C6648" i="1" s="1"/>
  <c r="C6649" i="1" s="1"/>
  <c r="C6650" i="1" s="1"/>
  <c r="C6651" i="1" s="1"/>
  <c r="C6652" i="1" s="1"/>
  <c r="C6653" i="1" s="1"/>
  <c r="C6654" i="1" s="1"/>
  <c r="C6655" i="1" s="1"/>
  <c r="C6656" i="1" s="1"/>
  <c r="C6657" i="1" s="1"/>
  <c r="C6658" i="1" s="1"/>
  <c r="C6659" i="1" s="1"/>
  <c r="C6660" i="1" s="1"/>
  <c r="C6661" i="1" s="1"/>
  <c r="C6662" i="1" s="1"/>
  <c r="C6663" i="1" s="1"/>
  <c r="C6664" i="1" s="1"/>
  <c r="C6665" i="1" s="1"/>
  <c r="C6666" i="1" s="1"/>
  <c r="C6667" i="1" s="1"/>
  <c r="C6668" i="1" s="1"/>
  <c r="C6669" i="1" s="1"/>
  <c r="C6670" i="1" s="1"/>
  <c r="C6671" i="1" s="1"/>
  <c r="C6672" i="1" s="1"/>
  <c r="C6673" i="1" s="1"/>
  <c r="C6674" i="1" s="1"/>
  <c r="C6675" i="1" s="1"/>
  <c r="C6676" i="1" s="1"/>
  <c r="C6677" i="1" s="1"/>
  <c r="C6678" i="1" s="1"/>
  <c r="C6679" i="1" s="1"/>
  <c r="C6680" i="1" s="1"/>
  <c r="C6681" i="1" s="1"/>
  <c r="C6682" i="1" s="1"/>
  <c r="C6683" i="1" s="1"/>
  <c r="C6684" i="1" s="1"/>
  <c r="C6685" i="1" s="1"/>
  <c r="C6686" i="1" s="1"/>
  <c r="C6687" i="1" s="1"/>
  <c r="C6688" i="1" s="1"/>
  <c r="C6689" i="1" s="1"/>
  <c r="C6690" i="1" s="1"/>
  <c r="C6691" i="1" s="1"/>
  <c r="C6692" i="1" s="1"/>
  <c r="C6693" i="1" s="1"/>
  <c r="C6694" i="1" s="1"/>
  <c r="C6695" i="1" s="1"/>
  <c r="C6696" i="1" s="1"/>
  <c r="C6697" i="1" s="1"/>
  <c r="C6698" i="1" s="1"/>
  <c r="C6699" i="1" s="1"/>
  <c r="C6700" i="1" s="1"/>
  <c r="C6701" i="1" s="1"/>
  <c r="C6702" i="1" s="1"/>
  <c r="C6703" i="1" s="1"/>
  <c r="C6704" i="1" s="1"/>
  <c r="C6705" i="1" s="1"/>
  <c r="C6706" i="1" s="1"/>
  <c r="C6707" i="1" s="1"/>
  <c r="C6708" i="1" s="1"/>
  <c r="C6709" i="1" s="1"/>
  <c r="C6710" i="1" s="1"/>
  <c r="C6711" i="1" s="1"/>
  <c r="C6712" i="1" s="1"/>
  <c r="C6713" i="1" s="1"/>
  <c r="C6714" i="1" s="1"/>
  <c r="C6715" i="1" s="1"/>
  <c r="C6716" i="1" s="1"/>
  <c r="C6717" i="1" s="1"/>
  <c r="C6718" i="1" s="1"/>
  <c r="C6719" i="1" s="1"/>
  <c r="C6720" i="1" s="1"/>
  <c r="C6721" i="1" s="1"/>
  <c r="C6722" i="1" s="1"/>
  <c r="C6723" i="1" s="1"/>
  <c r="C6724" i="1" s="1"/>
  <c r="C6725" i="1" s="1"/>
  <c r="C6726" i="1" s="1"/>
  <c r="C6727" i="1" s="1"/>
  <c r="C6728" i="1" s="1"/>
  <c r="C6729" i="1" s="1"/>
  <c r="C6730" i="1" s="1"/>
  <c r="C6731" i="1" s="1"/>
  <c r="C6732" i="1" s="1"/>
  <c r="C6733" i="1" s="1"/>
  <c r="C6734" i="1" s="1"/>
  <c r="C6735" i="1" s="1"/>
  <c r="C6736" i="1" s="1"/>
  <c r="C6737" i="1" s="1"/>
  <c r="C6738" i="1" s="1"/>
  <c r="C6739" i="1" s="1"/>
  <c r="C6740" i="1" s="1"/>
  <c r="C6741" i="1" s="1"/>
  <c r="C6742" i="1" s="1"/>
  <c r="C6743" i="1" s="1"/>
  <c r="C6744" i="1" s="1"/>
  <c r="C6745" i="1" s="1"/>
  <c r="C6746" i="1" s="1"/>
  <c r="C6747" i="1" s="1"/>
  <c r="C6748" i="1" s="1"/>
  <c r="C6749" i="1" s="1"/>
  <c r="C6750" i="1" s="1"/>
  <c r="C6751" i="1" s="1"/>
  <c r="C6752" i="1" s="1"/>
  <c r="C6753" i="1" s="1"/>
  <c r="C6754" i="1" s="1"/>
  <c r="C6755" i="1" s="1"/>
  <c r="C6756" i="1" s="1"/>
  <c r="C6757" i="1" s="1"/>
  <c r="C6758" i="1" s="1"/>
  <c r="C6759" i="1" s="1"/>
  <c r="C6760" i="1" s="1"/>
  <c r="C6761" i="1" s="1"/>
  <c r="C6762" i="1" s="1"/>
  <c r="C6763" i="1" s="1"/>
  <c r="C6764" i="1" s="1"/>
  <c r="C6765" i="1" s="1"/>
  <c r="C6766" i="1" s="1"/>
  <c r="C6767" i="1" s="1"/>
  <c r="C6768" i="1" s="1"/>
  <c r="C6769" i="1" s="1"/>
  <c r="C6770" i="1" s="1"/>
  <c r="H6416" i="1"/>
  <c r="B6419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M6419" i="1" a="1"/>
  <c r="M6419" i="1" s="1"/>
  <c r="R6419" i="1" a="1"/>
  <c r="R6419" i="1" s="1"/>
  <c r="K6419" i="1" a="1"/>
  <c r="K6419" i="1" s="1"/>
  <c r="L6419" i="1" a="1"/>
  <c r="L6419" i="1" s="1"/>
  <c r="S6419" i="1" a="1"/>
  <c r="S6419" i="1" s="1"/>
  <c r="N6419" i="1" a="1"/>
  <c r="N6419" i="1" s="1"/>
  <c r="O6419" i="1" a="1"/>
  <c r="O6419" i="1" s="1"/>
  <c r="P6419" i="1" a="1"/>
  <c r="P6419" i="1" s="1"/>
  <c r="I6419" i="1" a="1"/>
  <c r="I6419" i="1" s="1"/>
  <c r="Q6419" i="1" a="1"/>
  <c r="Q6419" i="1" s="1"/>
  <c r="J6419" i="1" a="1"/>
  <c r="J6419" i="1" s="1"/>
  <c r="B6420" i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K6420" i="1" l="1" a="1"/>
  <c r="K6420" i="1" s="1"/>
  <c r="P6420" i="1" a="1"/>
  <c r="P6420" i="1" s="1"/>
  <c r="Q6420" i="1" a="1"/>
  <c r="Q6420" i="1" s="1"/>
  <c r="L6420" i="1" a="1"/>
  <c r="L6420" i="1" s="1"/>
  <c r="R6420" i="1" a="1"/>
  <c r="R6420" i="1" s="1"/>
  <c r="S6420" i="1" a="1"/>
  <c r="S6420" i="1" s="1"/>
  <c r="J6420" i="1" a="1"/>
  <c r="J6420" i="1" s="1"/>
  <c r="M6420" i="1" a="1"/>
  <c r="M6420" i="1" s="1"/>
  <c r="B6421" i="1"/>
  <c r="N6420" i="1" a="1"/>
  <c r="N6420" i="1" s="1"/>
  <c r="O6420" i="1" a="1"/>
  <c r="O6420" i="1" s="1"/>
  <c r="H6419" i="1"/>
  <c r="A6420" i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H6420" i="1" l="1"/>
  <c r="A6421" i="1"/>
  <c r="I6420" i="1" a="1"/>
  <c r="I6420" i="1" s="1"/>
  <c r="B6422" i="1"/>
  <c r="N6421" i="1" a="1"/>
  <c r="N6421" i="1" s="1"/>
  <c r="S6421" i="1" a="1"/>
  <c r="S6421" i="1" s="1"/>
  <c r="P6421" i="1" a="1"/>
  <c r="P6421" i="1" s="1"/>
  <c r="K6421" i="1" a="1"/>
  <c r="K6421" i="1" s="1"/>
  <c r="Q6421" i="1" a="1"/>
  <c r="Q6421" i="1" s="1"/>
  <c r="L6421" i="1" a="1"/>
  <c r="L6421" i="1" s="1"/>
  <c r="M6421" i="1" a="1"/>
  <c r="M6421" i="1" s="1"/>
  <c r="O6421" i="1" a="1"/>
  <c r="O6421" i="1" s="1"/>
  <c r="I6421" i="1" a="1"/>
  <c r="I6421" i="1" s="1"/>
  <c r="R6421" i="1" a="1"/>
  <c r="R6421" i="1" s="1"/>
  <c r="J6421" i="1" a="1"/>
  <c r="J6421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B6423" i="1" l="1"/>
  <c r="K6422" i="1" a="1"/>
  <c r="K6422" i="1" s="1"/>
  <c r="Q6422" i="1" a="1"/>
  <c r="Q6422" i="1" s="1"/>
  <c r="O6422" i="1" a="1"/>
  <c r="O6422" i="1" s="1"/>
  <c r="J6422" i="1" a="1"/>
  <c r="J6422" i="1" s="1"/>
  <c r="P6422" i="1" a="1"/>
  <c r="P6422" i="1" s="1"/>
  <c r="I6422" i="1" a="1"/>
  <c r="I6422" i="1" s="1"/>
  <c r="R6422" i="1" a="1"/>
  <c r="R6422" i="1" s="1"/>
  <c r="L6422" i="1" a="1"/>
  <c r="L6422" i="1" s="1"/>
  <c r="S6422" i="1" a="1"/>
  <c r="S6422" i="1" s="1"/>
  <c r="M6422" i="1" a="1"/>
  <c r="M6422" i="1" s="1"/>
  <c r="N6422" i="1" a="1"/>
  <c r="N6422" i="1" s="1"/>
  <c r="H6421" i="1"/>
  <c r="A6422" i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6422" i="1" l="1"/>
  <c r="A6423" i="1"/>
  <c r="I6423" i="1" a="1"/>
  <c r="I6423" i="1" s="1"/>
  <c r="N6423" i="1" a="1"/>
  <c r="N6423" i="1" s="1"/>
  <c r="O6423" i="1" a="1"/>
  <c r="O6423" i="1" s="1"/>
  <c r="P6423" i="1" a="1"/>
  <c r="P6423" i="1" s="1"/>
  <c r="K6423" i="1" a="1"/>
  <c r="K6423" i="1" s="1"/>
  <c r="R6423" i="1" a="1"/>
  <c r="R6423" i="1" s="1"/>
  <c r="L6423" i="1" a="1"/>
  <c r="L6423" i="1" s="1"/>
  <c r="S6423" i="1" a="1"/>
  <c r="S6423" i="1" s="1"/>
  <c r="B6424" i="1"/>
  <c r="M6423" i="1" a="1"/>
  <c r="M6423" i="1" s="1"/>
  <c r="Q6423" i="1" a="1"/>
  <c r="Q6423" i="1" s="1"/>
  <c r="J6423" i="1" a="1"/>
  <c r="J6423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L6424" i="1" l="1" a="1"/>
  <c r="L6424" i="1" s="1"/>
  <c r="Q6424" i="1" a="1"/>
  <c r="Q6424" i="1" s="1"/>
  <c r="N6424" i="1" a="1"/>
  <c r="N6424" i="1" s="1"/>
  <c r="O6424" i="1" a="1"/>
  <c r="O6424" i="1" s="1"/>
  <c r="B6425" i="1"/>
  <c r="M6424" i="1" a="1"/>
  <c r="M6424" i="1" s="1"/>
  <c r="P6424" i="1" a="1"/>
  <c r="P6424" i="1" s="1"/>
  <c r="I6424" i="1" a="1"/>
  <c r="I6424" i="1" s="1"/>
  <c r="J6424" i="1" a="1"/>
  <c r="J6424" i="1" s="1"/>
  <c r="R6424" i="1" a="1"/>
  <c r="R6424" i="1" s="1"/>
  <c r="K6424" i="1" a="1"/>
  <c r="K6424" i="1" s="1"/>
  <c r="S6424" i="1" a="1"/>
  <c r="S6424" i="1" s="1"/>
  <c r="A6424" i="1"/>
  <c r="H6423" i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6425" i="1" l="1"/>
  <c r="H6424" i="1"/>
  <c r="B6426" i="1"/>
  <c r="J6425" i="1" a="1"/>
  <c r="J6425" i="1" s="1"/>
  <c r="O6425" i="1" a="1"/>
  <c r="O6425" i="1" s="1"/>
  <c r="M6425" i="1" a="1"/>
  <c r="M6425" i="1" s="1"/>
  <c r="S6425" i="1" a="1"/>
  <c r="S6425" i="1" s="1"/>
  <c r="N6425" i="1" a="1"/>
  <c r="N6425" i="1" s="1"/>
  <c r="I6425" i="1" a="1"/>
  <c r="I6425" i="1" s="1"/>
  <c r="Q6425" i="1" a="1"/>
  <c r="Q6425" i="1" s="1"/>
  <c r="R6425" i="1" a="1"/>
  <c r="R6425" i="1" s="1"/>
  <c r="K6425" i="1" a="1"/>
  <c r="K6425" i="1" s="1"/>
  <c r="L6425" i="1" a="1"/>
  <c r="L6425" i="1" s="1"/>
  <c r="P6425" i="1" a="1"/>
  <c r="P6425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B6427" i="1" l="1"/>
  <c r="M6426" i="1" a="1"/>
  <c r="M6426" i="1" s="1"/>
  <c r="R6426" i="1" a="1"/>
  <c r="R6426" i="1" s="1"/>
  <c r="L6426" i="1" a="1"/>
  <c r="L6426" i="1" s="1"/>
  <c r="S6426" i="1" a="1"/>
  <c r="S6426" i="1" s="1"/>
  <c r="K6426" i="1" a="1"/>
  <c r="K6426" i="1" s="1"/>
  <c r="N6426" i="1" a="1"/>
  <c r="N6426" i="1" s="1"/>
  <c r="O6426" i="1" a="1"/>
  <c r="O6426" i="1" s="1"/>
  <c r="P6426" i="1" a="1"/>
  <c r="P6426" i="1" s="1"/>
  <c r="Q6426" i="1" a="1"/>
  <c r="Q6426" i="1" s="1"/>
  <c r="J6426" i="1" a="1"/>
  <c r="J6426" i="1" s="1"/>
  <c r="H6425" i="1"/>
  <c r="A6426" i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H6426" i="1" l="1"/>
  <c r="A6427" i="1"/>
  <c r="I6426" i="1" a="1"/>
  <c r="I6426" i="1" s="1"/>
  <c r="J6427" i="1" a="1"/>
  <c r="J6427" i="1" s="1"/>
  <c r="P6427" i="1" a="1"/>
  <c r="P6427" i="1" s="1"/>
  <c r="L6427" i="1" a="1"/>
  <c r="L6427" i="1" s="1"/>
  <c r="R6427" i="1" a="1"/>
  <c r="R6427" i="1" s="1"/>
  <c r="O6427" i="1" a="1"/>
  <c r="O6427" i="1" s="1"/>
  <c r="Q6427" i="1" a="1"/>
  <c r="Q6427" i="1" s="1"/>
  <c r="S6427" i="1" a="1"/>
  <c r="S6427" i="1" s="1"/>
  <c r="K6427" i="1" a="1"/>
  <c r="K6427" i="1" s="1"/>
  <c r="M6427" i="1" a="1"/>
  <c r="M6427" i="1" s="1"/>
  <c r="B6428" i="1"/>
  <c r="N6427" i="1" a="1"/>
  <c r="N6427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M6428" i="1" l="1" a="1"/>
  <c r="M6428" i="1" s="1"/>
  <c r="S6428" i="1" a="1"/>
  <c r="S6428" i="1" s="1"/>
  <c r="K6428" i="1" a="1"/>
  <c r="K6428" i="1" s="1"/>
  <c r="Q6428" i="1" a="1"/>
  <c r="Q6428" i="1" s="1"/>
  <c r="J6428" i="1" a="1"/>
  <c r="J6428" i="1" s="1"/>
  <c r="L6428" i="1" a="1"/>
  <c r="L6428" i="1" s="1"/>
  <c r="B6429" i="1"/>
  <c r="N6428" i="1" a="1"/>
  <c r="N6428" i="1" s="1"/>
  <c r="O6428" i="1" a="1"/>
  <c r="O6428" i="1" s="1"/>
  <c r="P6428" i="1" a="1"/>
  <c r="P6428" i="1" s="1"/>
  <c r="R6428" i="1" a="1"/>
  <c r="R6428" i="1" s="1"/>
  <c r="H6427" i="1"/>
  <c r="A6428" i="1"/>
  <c r="I6427" i="1" a="1"/>
  <c r="I6427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6430" i="1" l="1"/>
  <c r="K6429" i="1" a="1"/>
  <c r="K6429" i="1" s="1"/>
  <c r="P6429" i="1" a="1"/>
  <c r="P6429" i="1" s="1"/>
  <c r="J6429" i="1" a="1"/>
  <c r="J6429" i="1" s="1"/>
  <c r="Q6429" i="1" a="1"/>
  <c r="Q6429" i="1" s="1"/>
  <c r="N6429" i="1" a="1"/>
  <c r="N6429" i="1" s="1"/>
  <c r="O6429" i="1" a="1"/>
  <c r="O6429" i="1" s="1"/>
  <c r="R6429" i="1" a="1"/>
  <c r="R6429" i="1" s="1"/>
  <c r="S6429" i="1" a="1"/>
  <c r="S6429" i="1" s="1"/>
  <c r="L6429" i="1" a="1"/>
  <c r="L6429" i="1" s="1"/>
  <c r="M6429" i="1" a="1"/>
  <c r="M6429" i="1" s="1"/>
  <c r="A6429" i="1"/>
  <c r="H6428" i="1"/>
  <c r="I6428" i="1" a="1"/>
  <c r="I6428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6429" i="1" l="1"/>
  <c r="A6430" i="1"/>
  <c r="I6429" i="1" a="1"/>
  <c r="I6429" i="1" s="1"/>
  <c r="B6431" i="1"/>
  <c r="I6430" i="1" a="1"/>
  <c r="I6430" i="1" s="1"/>
  <c r="N6430" i="1" a="1"/>
  <c r="N6430" i="1" s="1"/>
  <c r="S6430" i="1" a="1"/>
  <c r="S6430" i="1" s="1"/>
  <c r="O6430" i="1" a="1"/>
  <c r="O6430" i="1" s="1"/>
  <c r="J6430" i="1" a="1"/>
  <c r="J6430" i="1" s="1"/>
  <c r="P6430" i="1" a="1"/>
  <c r="P6430" i="1" s="1"/>
  <c r="R6430" i="1" a="1"/>
  <c r="R6430" i="1" s="1"/>
  <c r="K6430" i="1" a="1"/>
  <c r="K6430" i="1" s="1"/>
  <c r="L6430" i="1" a="1"/>
  <c r="L6430" i="1" s="1"/>
  <c r="M6430" i="1" a="1"/>
  <c r="M6430" i="1" s="1"/>
  <c r="Q6430" i="1" a="1"/>
  <c r="Q6430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6431" i="1" l="1" a="1"/>
  <c r="L6431" i="1" s="1"/>
  <c r="Q6431" i="1" a="1"/>
  <c r="Q6431" i="1" s="1"/>
  <c r="N6431" i="1" a="1"/>
  <c r="N6431" i="1" s="1"/>
  <c r="B6432" i="1"/>
  <c r="O6431" i="1" a="1"/>
  <c r="O6431" i="1" s="1"/>
  <c r="M6431" i="1" a="1"/>
  <c r="M6431" i="1" s="1"/>
  <c r="P6431" i="1" a="1"/>
  <c r="P6431" i="1" s="1"/>
  <c r="J6431" i="1" a="1"/>
  <c r="J6431" i="1" s="1"/>
  <c r="R6431" i="1" a="1"/>
  <c r="R6431" i="1" s="1"/>
  <c r="K6431" i="1" a="1"/>
  <c r="K6431" i="1" s="1"/>
  <c r="S6431" i="1" a="1"/>
  <c r="S6431" i="1" s="1"/>
  <c r="H6430" i="1"/>
  <c r="A6431" i="1"/>
  <c r="I6431" i="1" s="1" a="1"/>
  <c r="I6431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O6432" i="1" l="1" a="1"/>
  <c r="O6432" i="1" s="1"/>
  <c r="M6432" i="1" a="1"/>
  <c r="M6432" i="1" s="1"/>
  <c r="N6432" i="1" a="1"/>
  <c r="N6432" i="1" s="1"/>
  <c r="B6433" i="1"/>
  <c r="P6432" i="1" a="1"/>
  <c r="P6432" i="1" s="1"/>
  <c r="J6432" i="1" a="1"/>
  <c r="J6432" i="1" s="1"/>
  <c r="Q6432" i="1" a="1"/>
  <c r="Q6432" i="1" s="1"/>
  <c r="K6432" i="1" a="1"/>
  <c r="K6432" i="1" s="1"/>
  <c r="R6432" i="1" a="1"/>
  <c r="R6432" i="1" s="1"/>
  <c r="S6432" i="1" a="1"/>
  <c r="S6432" i="1" s="1"/>
  <c r="L6432" i="1" a="1"/>
  <c r="L6432" i="1" s="1"/>
  <c r="H6431" i="1"/>
  <c r="A6432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6433" i="1" l="1"/>
  <c r="H6432" i="1"/>
  <c r="B6434" i="1"/>
  <c r="L6433" i="1" a="1"/>
  <c r="L6433" i="1" s="1"/>
  <c r="R6433" i="1" a="1"/>
  <c r="R6433" i="1" s="1"/>
  <c r="M6433" i="1" a="1"/>
  <c r="M6433" i="1" s="1"/>
  <c r="S6433" i="1" a="1"/>
  <c r="S6433" i="1" s="1"/>
  <c r="N6433" i="1" a="1"/>
  <c r="N6433" i="1" s="1"/>
  <c r="K6433" i="1" a="1"/>
  <c r="K6433" i="1" s="1"/>
  <c r="O6433" i="1" a="1"/>
  <c r="O6433" i="1" s="1"/>
  <c r="I6433" i="1" a="1"/>
  <c r="I6433" i="1" s="1"/>
  <c r="P6433" i="1" a="1"/>
  <c r="P6433" i="1" s="1"/>
  <c r="J6433" i="1" a="1"/>
  <c r="J6433" i="1" s="1"/>
  <c r="Q6433" i="1" a="1"/>
  <c r="Q6433" i="1" s="1"/>
  <c r="I6432" i="1" a="1"/>
  <c r="I6432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B6435" i="1" l="1"/>
  <c r="J6434" i="1" a="1"/>
  <c r="J6434" i="1" s="1"/>
  <c r="O6434" i="1" a="1"/>
  <c r="O6434" i="1" s="1"/>
  <c r="L6434" i="1" a="1"/>
  <c r="L6434" i="1" s="1"/>
  <c r="R6434" i="1" a="1"/>
  <c r="R6434" i="1" s="1"/>
  <c r="M6434" i="1" a="1"/>
  <c r="M6434" i="1" s="1"/>
  <c r="N6434" i="1" a="1"/>
  <c r="N6434" i="1" s="1"/>
  <c r="P6434" i="1" a="1"/>
  <c r="P6434" i="1" s="1"/>
  <c r="Q6434" i="1" a="1"/>
  <c r="Q6434" i="1" s="1"/>
  <c r="S6434" i="1" a="1"/>
  <c r="S6434" i="1" s="1"/>
  <c r="K6434" i="1" a="1"/>
  <c r="K6434" i="1" s="1"/>
  <c r="H6433" i="1"/>
  <c r="A6434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H6434" i="1" l="1"/>
  <c r="A6435" i="1"/>
  <c r="I6435" i="1" s="1" a="1"/>
  <c r="I6435" i="1" s="1"/>
  <c r="I6434" i="1" a="1"/>
  <c r="I6434" i="1" s="1"/>
  <c r="M6435" i="1" a="1"/>
  <c r="M6435" i="1" s="1"/>
  <c r="R6435" i="1" a="1"/>
  <c r="R6435" i="1" s="1"/>
  <c r="K6435" i="1" a="1"/>
  <c r="K6435" i="1" s="1"/>
  <c r="Q6435" i="1" a="1"/>
  <c r="Q6435" i="1" s="1"/>
  <c r="L6435" i="1" a="1"/>
  <c r="L6435" i="1" s="1"/>
  <c r="S6435" i="1" a="1"/>
  <c r="S6435" i="1" s="1"/>
  <c r="J6435" i="1" a="1"/>
  <c r="J6435" i="1" s="1"/>
  <c r="B6436" i="1"/>
  <c r="N6435" i="1" a="1"/>
  <c r="N6435" i="1" s="1"/>
  <c r="O6435" i="1" a="1"/>
  <c r="O6435" i="1" s="1"/>
  <c r="P6435" i="1" a="1"/>
  <c r="P6435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K6436" i="1" l="1" a="1"/>
  <c r="K6436" i="1" s="1"/>
  <c r="P6436" i="1" a="1"/>
  <c r="P6436" i="1" s="1"/>
  <c r="J6436" i="1" a="1"/>
  <c r="J6436" i="1" s="1"/>
  <c r="Q6436" i="1" a="1"/>
  <c r="Q6436" i="1" s="1"/>
  <c r="M6436" i="1" a="1"/>
  <c r="M6436" i="1" s="1"/>
  <c r="B6437" i="1"/>
  <c r="N6436" i="1" a="1"/>
  <c r="N6436" i="1" s="1"/>
  <c r="O6436" i="1" a="1"/>
  <c r="O6436" i="1" s="1"/>
  <c r="R6436" i="1" a="1"/>
  <c r="R6436" i="1" s="1"/>
  <c r="S6436" i="1" a="1"/>
  <c r="S6436" i="1" s="1"/>
  <c r="L6436" i="1" a="1"/>
  <c r="L6436" i="1" s="1"/>
  <c r="A6436" i="1"/>
  <c r="H6435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B6438" i="1" l="1"/>
  <c r="N6437" i="1" a="1"/>
  <c r="N6437" i="1" s="1"/>
  <c r="S6437" i="1" a="1"/>
  <c r="S6437" i="1" s="1"/>
  <c r="J6437" i="1" a="1"/>
  <c r="J6437" i="1" s="1"/>
  <c r="P6437" i="1" a="1"/>
  <c r="P6437" i="1" s="1"/>
  <c r="O6437" i="1" a="1"/>
  <c r="O6437" i="1" s="1"/>
  <c r="Q6437" i="1" a="1"/>
  <c r="Q6437" i="1" s="1"/>
  <c r="I6437" i="1" a="1"/>
  <c r="I6437" i="1" s="1"/>
  <c r="R6437" i="1" a="1"/>
  <c r="R6437" i="1" s="1"/>
  <c r="K6437" i="1" a="1"/>
  <c r="K6437" i="1" s="1"/>
  <c r="L6437" i="1" a="1"/>
  <c r="L6437" i="1" s="1"/>
  <c r="M6437" i="1" a="1"/>
  <c r="M6437" i="1" s="1"/>
  <c r="A6437" i="1"/>
  <c r="H6436" i="1"/>
  <c r="I6436" i="1" a="1"/>
  <c r="I6436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H6437" i="1" l="1"/>
  <c r="A6438" i="1"/>
  <c r="B6439" i="1"/>
  <c r="K6438" i="1" a="1"/>
  <c r="K6438" i="1" s="1"/>
  <c r="Q6438" i="1" a="1"/>
  <c r="Q6438" i="1" s="1"/>
  <c r="I6438" i="1" a="1"/>
  <c r="I6438" i="1" s="1"/>
  <c r="O6438" i="1" a="1"/>
  <c r="O6438" i="1" s="1"/>
  <c r="L6438" i="1" a="1"/>
  <c r="L6438" i="1" s="1"/>
  <c r="S6438" i="1" a="1"/>
  <c r="S6438" i="1" s="1"/>
  <c r="M6438" i="1" a="1"/>
  <c r="M6438" i="1" s="1"/>
  <c r="N6438" i="1" a="1"/>
  <c r="N6438" i="1" s="1"/>
  <c r="P6438" i="1" a="1"/>
  <c r="P6438" i="1" s="1"/>
  <c r="J6438" i="1" a="1"/>
  <c r="J6438" i="1" s="1"/>
  <c r="R6438" i="1" a="1"/>
  <c r="R6438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N6439" i="1" l="1" a="1"/>
  <c r="N6439" i="1" s="1"/>
  <c r="B6440" i="1"/>
  <c r="O6439" i="1" a="1"/>
  <c r="O6439" i="1" s="1"/>
  <c r="M6439" i="1" a="1"/>
  <c r="M6439" i="1" s="1"/>
  <c r="P6439" i="1" a="1"/>
  <c r="P6439" i="1" s="1"/>
  <c r="Q6439" i="1" a="1"/>
  <c r="Q6439" i="1" s="1"/>
  <c r="J6439" i="1" a="1"/>
  <c r="J6439" i="1" s="1"/>
  <c r="K6439" i="1" a="1"/>
  <c r="K6439" i="1" s="1"/>
  <c r="R6439" i="1" a="1"/>
  <c r="R6439" i="1" s="1"/>
  <c r="L6439" i="1" a="1"/>
  <c r="L6439" i="1" s="1"/>
  <c r="S6439" i="1" a="1"/>
  <c r="S6439" i="1" s="1"/>
  <c r="H6438" i="1"/>
  <c r="A6439" i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6440" i="1" l="1"/>
  <c r="H6439" i="1"/>
  <c r="Q6440" i="1" a="1"/>
  <c r="Q6440" i="1" s="1"/>
  <c r="M6440" i="1" a="1"/>
  <c r="M6440" i="1" s="1"/>
  <c r="I6440" i="1" a="1"/>
  <c r="I6440" i="1" s="1"/>
  <c r="O6440" i="1" a="1"/>
  <c r="O6440" i="1" s="1"/>
  <c r="J6440" i="1" a="1"/>
  <c r="J6440" i="1" s="1"/>
  <c r="P6440" i="1" a="1"/>
  <c r="P6440" i="1" s="1"/>
  <c r="K6440" i="1" a="1"/>
  <c r="K6440" i="1" s="1"/>
  <c r="R6440" i="1" a="1"/>
  <c r="R6440" i="1" s="1"/>
  <c r="L6440" i="1" a="1"/>
  <c r="L6440" i="1" s="1"/>
  <c r="N6440" i="1" a="1"/>
  <c r="N6440" i="1" s="1"/>
  <c r="S6440" i="1" a="1"/>
  <c r="S6440" i="1" s="1"/>
  <c r="B6441" i="1"/>
  <c r="I6439" i="1" a="1"/>
  <c r="I6439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M6441" i="1" l="1" a="1"/>
  <c r="M6441" i="1" s="1"/>
  <c r="R6441" i="1" a="1"/>
  <c r="R6441" i="1" s="1"/>
  <c r="O6441" i="1" a="1"/>
  <c r="O6441" i="1" s="1"/>
  <c r="B6442" i="1"/>
  <c r="J6441" i="1" a="1"/>
  <c r="J6441" i="1" s="1"/>
  <c r="P6441" i="1" a="1"/>
  <c r="P6441" i="1" s="1"/>
  <c r="K6441" i="1" a="1"/>
  <c r="K6441" i="1" s="1"/>
  <c r="Q6441" i="1" a="1"/>
  <c r="Q6441" i="1" s="1"/>
  <c r="L6441" i="1" a="1"/>
  <c r="L6441" i="1" s="1"/>
  <c r="N6441" i="1" a="1"/>
  <c r="N6441" i="1" s="1"/>
  <c r="S6441" i="1" a="1"/>
  <c r="S6441" i="1" s="1"/>
  <c r="H6440" i="1"/>
  <c r="A6441" i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H6441" i="1" l="1"/>
  <c r="A6442" i="1"/>
  <c r="I6442" i="1" a="1"/>
  <c r="I6442" i="1" s="1"/>
  <c r="N6442" i="1" a="1"/>
  <c r="N6442" i="1" s="1"/>
  <c r="J6442" i="1" a="1"/>
  <c r="J6442" i="1" s="1"/>
  <c r="S6442" i="1" a="1"/>
  <c r="S6442" i="1" s="1"/>
  <c r="M6442" i="1" a="1"/>
  <c r="M6442" i="1" s="1"/>
  <c r="O6442" i="1" a="1"/>
  <c r="O6442" i="1" s="1"/>
  <c r="B6443" i="1"/>
  <c r="P6442" i="1" a="1"/>
  <c r="P6442" i="1" s="1"/>
  <c r="K6442" i="1" a="1"/>
  <c r="K6442" i="1" s="1"/>
  <c r="Q6442" i="1" a="1"/>
  <c r="Q6442" i="1" s="1"/>
  <c r="R6442" i="1" a="1"/>
  <c r="R6442" i="1" s="1"/>
  <c r="L6442" i="1" a="1"/>
  <c r="L6442" i="1" s="1"/>
  <c r="I6441" i="1" a="1"/>
  <c r="I6441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B6444" i="1" l="1"/>
  <c r="J6443" i="1" a="1"/>
  <c r="J6443" i="1" s="1"/>
  <c r="S6443" i="1" a="1"/>
  <c r="S6443" i="1" s="1"/>
  <c r="O6443" i="1" a="1"/>
  <c r="O6443" i="1" s="1"/>
  <c r="M6443" i="1" a="1"/>
  <c r="M6443" i="1" s="1"/>
  <c r="N6443" i="1" a="1"/>
  <c r="N6443" i="1" s="1"/>
  <c r="I6443" i="1" a="1"/>
  <c r="I6443" i="1" s="1"/>
  <c r="P6443" i="1" a="1"/>
  <c r="P6443" i="1" s="1"/>
  <c r="R6443" i="1" a="1"/>
  <c r="R6443" i="1" s="1"/>
  <c r="K6443" i="1" a="1"/>
  <c r="K6443" i="1" s="1"/>
  <c r="L6443" i="1" a="1"/>
  <c r="L6443" i="1" s="1"/>
  <c r="Q6443" i="1" a="1"/>
  <c r="Q6443" i="1" s="1"/>
  <c r="A6443" i="1"/>
  <c r="H6442" i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H6443" i="1" l="1"/>
  <c r="A6444" i="1"/>
  <c r="O6444" i="1" a="1"/>
  <c r="O6444" i="1" s="1"/>
  <c r="K6444" i="1" a="1"/>
  <c r="K6444" i="1" s="1"/>
  <c r="P6444" i="1" a="1"/>
  <c r="P6444" i="1" s="1"/>
  <c r="B6445" i="1"/>
  <c r="R6444" i="1" a="1"/>
  <c r="R6444" i="1" s="1"/>
  <c r="M6444" i="1" a="1"/>
  <c r="M6444" i="1" s="1"/>
  <c r="S6444" i="1" a="1"/>
  <c r="S6444" i="1" s="1"/>
  <c r="N6444" i="1" a="1"/>
  <c r="N6444" i="1" s="1"/>
  <c r="I6444" i="1" a="1"/>
  <c r="I6444" i="1" s="1"/>
  <c r="J6444" i="1" a="1"/>
  <c r="J6444" i="1" s="1"/>
  <c r="L6444" i="1" a="1"/>
  <c r="L6444" i="1" s="1"/>
  <c r="Q6444" i="1" a="1"/>
  <c r="Q6444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A6445" i="1" l="1"/>
  <c r="H6444" i="1"/>
  <c r="P6445" i="1" a="1"/>
  <c r="P6445" i="1" s="1"/>
  <c r="B6446" i="1"/>
  <c r="L6445" i="1" a="1"/>
  <c r="L6445" i="1" s="1"/>
  <c r="K6445" i="1" a="1"/>
  <c r="K6445" i="1" s="1"/>
  <c r="R6445" i="1" a="1"/>
  <c r="R6445" i="1" s="1"/>
  <c r="M6445" i="1" a="1"/>
  <c r="M6445" i="1" s="1"/>
  <c r="S6445" i="1" a="1"/>
  <c r="S6445" i="1" s="1"/>
  <c r="N6445" i="1" a="1"/>
  <c r="N6445" i="1" s="1"/>
  <c r="I6445" i="1" a="1"/>
  <c r="I6445" i="1" s="1"/>
  <c r="J6445" i="1" a="1"/>
  <c r="J6445" i="1" s="1"/>
  <c r="O6445" i="1" a="1"/>
  <c r="O6445" i="1" s="1"/>
  <c r="Q6445" i="1" a="1"/>
  <c r="Q6445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L6446" i="1" l="1" a="1"/>
  <c r="L6446" i="1" s="1"/>
  <c r="Q6446" i="1" a="1"/>
  <c r="Q6446" i="1" s="1"/>
  <c r="P6446" i="1" a="1"/>
  <c r="P6446" i="1" s="1"/>
  <c r="K6446" i="1" a="1"/>
  <c r="K6446" i="1" s="1"/>
  <c r="R6446" i="1" a="1"/>
  <c r="R6446" i="1" s="1"/>
  <c r="M6446" i="1" a="1"/>
  <c r="M6446" i="1" s="1"/>
  <c r="S6446" i="1" a="1"/>
  <c r="S6446" i="1" s="1"/>
  <c r="N6446" i="1" a="1"/>
  <c r="N6446" i="1" s="1"/>
  <c r="J6446" i="1" a="1"/>
  <c r="J6446" i="1" s="1"/>
  <c r="O6446" i="1" a="1"/>
  <c r="O6446" i="1" s="1"/>
  <c r="B6447" i="1"/>
  <c r="H6445" i="1"/>
  <c r="A6446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A6447" i="1" l="1"/>
  <c r="H6446" i="1"/>
  <c r="I6446" i="1" a="1"/>
  <c r="I6446" i="1" s="1"/>
  <c r="B6448" i="1"/>
  <c r="M6447" i="1" a="1"/>
  <c r="M6447" i="1" s="1"/>
  <c r="I6447" i="1" a="1"/>
  <c r="I6447" i="1" s="1"/>
  <c r="R6447" i="1" a="1"/>
  <c r="R6447" i="1" s="1"/>
  <c r="J6447" i="1" a="1"/>
  <c r="J6447" i="1" s="1"/>
  <c r="P6447" i="1" a="1"/>
  <c r="P6447" i="1" s="1"/>
  <c r="K6447" i="1" a="1"/>
  <c r="K6447" i="1" s="1"/>
  <c r="Q6447" i="1" a="1"/>
  <c r="Q6447" i="1" s="1"/>
  <c r="L6447" i="1" a="1"/>
  <c r="L6447" i="1" s="1"/>
  <c r="N6447" i="1" a="1"/>
  <c r="N6447" i="1" s="1"/>
  <c r="O6447" i="1" a="1"/>
  <c r="O6447" i="1" s="1"/>
  <c r="S6447" i="1" a="1"/>
  <c r="S6447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R6448" i="1" l="1" a="1"/>
  <c r="R6448" i="1" s="1"/>
  <c r="N6448" i="1" a="1"/>
  <c r="N6448" i="1" s="1"/>
  <c r="S6448" i="1" a="1"/>
  <c r="S6448" i="1" s="1"/>
  <c r="J6448" i="1" a="1"/>
  <c r="J6448" i="1" s="1"/>
  <c r="O6448" i="1" a="1"/>
  <c r="O6448" i="1" s="1"/>
  <c r="B6449" i="1"/>
  <c r="Q6448" i="1" a="1"/>
  <c r="Q6448" i="1" s="1"/>
  <c r="K6448" i="1" a="1"/>
  <c r="K6448" i="1" s="1"/>
  <c r="L6448" i="1" a="1"/>
  <c r="L6448" i="1" s="1"/>
  <c r="M6448" i="1" a="1"/>
  <c r="M6448" i="1" s="1"/>
  <c r="P6448" i="1" a="1"/>
  <c r="P6448" i="1" s="1"/>
  <c r="H6447" i="1"/>
  <c r="A6448" i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H6448" i="1" l="1"/>
  <c r="A6449" i="1"/>
  <c r="K6449" i="1" a="1"/>
  <c r="K6449" i="1" s="1"/>
  <c r="P6449" i="1" a="1"/>
  <c r="P6449" i="1" s="1"/>
  <c r="B6450" i="1"/>
  <c r="L6449" i="1" a="1"/>
  <c r="L6449" i="1" s="1"/>
  <c r="S6449" i="1" a="1"/>
  <c r="S6449" i="1" s="1"/>
  <c r="M6449" i="1" a="1"/>
  <c r="M6449" i="1" s="1"/>
  <c r="N6449" i="1" a="1"/>
  <c r="N6449" i="1" s="1"/>
  <c r="O6449" i="1" a="1"/>
  <c r="O6449" i="1" s="1"/>
  <c r="I6449" i="1" a="1"/>
  <c r="I6449" i="1" s="1"/>
  <c r="Q6449" i="1" a="1"/>
  <c r="Q6449" i="1" s="1"/>
  <c r="J6449" i="1" a="1"/>
  <c r="J6449" i="1" s="1"/>
  <c r="R6449" i="1" a="1"/>
  <c r="R6449" i="1" s="1"/>
  <c r="I6448" i="1" a="1"/>
  <c r="I6448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B6451" i="1" l="1"/>
  <c r="P6450" i="1" a="1"/>
  <c r="P6450" i="1" s="1"/>
  <c r="L6450" i="1" a="1"/>
  <c r="L6450" i="1" s="1"/>
  <c r="Q6450" i="1" a="1"/>
  <c r="Q6450" i="1" s="1"/>
  <c r="M6450" i="1" a="1"/>
  <c r="M6450" i="1" s="1"/>
  <c r="N6450" i="1" a="1"/>
  <c r="N6450" i="1" s="1"/>
  <c r="I6450" i="1" a="1"/>
  <c r="I6450" i="1" s="1"/>
  <c r="O6450" i="1" a="1"/>
  <c r="O6450" i="1" s="1"/>
  <c r="J6450" i="1" a="1"/>
  <c r="J6450" i="1" s="1"/>
  <c r="R6450" i="1" a="1"/>
  <c r="R6450" i="1" s="1"/>
  <c r="K6450" i="1" a="1"/>
  <c r="K6450" i="1" s="1"/>
  <c r="S6450" i="1" a="1"/>
  <c r="S6450" i="1" s="1"/>
  <c r="A6450" i="1"/>
  <c r="H6449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H6450" i="1" l="1"/>
  <c r="A6451" i="1"/>
  <c r="Q6451" i="1" a="1"/>
  <c r="Q6451" i="1" s="1"/>
  <c r="M6451" i="1" a="1"/>
  <c r="M6451" i="1" s="1"/>
  <c r="I6451" i="1" a="1"/>
  <c r="I6451" i="1" s="1"/>
  <c r="R6451" i="1" a="1"/>
  <c r="R6451" i="1" s="1"/>
  <c r="O6451" i="1" a="1"/>
  <c r="O6451" i="1" s="1"/>
  <c r="P6451" i="1" a="1"/>
  <c r="P6451" i="1" s="1"/>
  <c r="J6451" i="1" a="1"/>
  <c r="J6451" i="1" s="1"/>
  <c r="K6451" i="1" a="1"/>
  <c r="K6451" i="1" s="1"/>
  <c r="S6451" i="1" a="1"/>
  <c r="S6451" i="1" s="1"/>
  <c r="L6451" i="1" a="1"/>
  <c r="L6451" i="1" s="1"/>
  <c r="N6451" i="1" a="1"/>
  <c r="N6451" i="1" s="1"/>
  <c r="B6452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M6452" i="1" l="1" a="1"/>
  <c r="M6452" i="1" s="1"/>
  <c r="R6452" i="1" a="1"/>
  <c r="R6452" i="1" s="1"/>
  <c r="N6452" i="1" a="1"/>
  <c r="N6452" i="1" s="1"/>
  <c r="S6452" i="1" a="1"/>
  <c r="S6452" i="1" s="1"/>
  <c r="J6452" i="1" a="1"/>
  <c r="J6452" i="1" s="1"/>
  <c r="K6452" i="1" a="1"/>
  <c r="K6452" i="1" s="1"/>
  <c r="Q6452" i="1" a="1"/>
  <c r="Q6452" i="1" s="1"/>
  <c r="L6452" i="1" a="1"/>
  <c r="L6452" i="1" s="1"/>
  <c r="B6453" i="1"/>
  <c r="O6452" i="1" a="1"/>
  <c r="O6452" i="1" s="1"/>
  <c r="P6452" i="1" a="1"/>
  <c r="P6452" i="1" s="1"/>
  <c r="H6451" i="1"/>
  <c r="A6452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H6452" i="1" l="1"/>
  <c r="A6453" i="1"/>
  <c r="I6453" i="1" a="1"/>
  <c r="I6453" i="1" s="1"/>
  <c r="N6453" i="1" a="1"/>
  <c r="N6453" i="1" s="1"/>
  <c r="J6453" i="1" a="1"/>
  <c r="J6453" i="1" s="1"/>
  <c r="S6453" i="1" a="1"/>
  <c r="S6453" i="1" s="1"/>
  <c r="O6453" i="1" a="1"/>
  <c r="O6453" i="1" s="1"/>
  <c r="R6453" i="1" a="1"/>
  <c r="R6453" i="1" s="1"/>
  <c r="L6453" i="1" a="1"/>
  <c r="L6453" i="1" s="1"/>
  <c r="B6454" i="1"/>
  <c r="M6453" i="1" a="1"/>
  <c r="M6453" i="1" s="1"/>
  <c r="P6453" i="1" a="1"/>
  <c r="P6453" i="1" s="1"/>
  <c r="K6453" i="1" a="1"/>
  <c r="K6453" i="1" s="1"/>
  <c r="Q6453" i="1" a="1"/>
  <c r="Q6453" i="1" s="1"/>
  <c r="I6452" i="1" a="1"/>
  <c r="I6452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B6455" i="1" l="1"/>
  <c r="J6454" i="1" a="1"/>
  <c r="J6454" i="1" s="1"/>
  <c r="S6454" i="1" a="1"/>
  <c r="S6454" i="1" s="1"/>
  <c r="O6454" i="1" a="1"/>
  <c r="O6454" i="1" s="1"/>
  <c r="K6454" i="1" a="1"/>
  <c r="K6454" i="1" s="1"/>
  <c r="M6454" i="1" a="1"/>
  <c r="M6454" i="1" s="1"/>
  <c r="N6454" i="1" a="1"/>
  <c r="N6454" i="1" s="1"/>
  <c r="P6454" i="1" a="1"/>
  <c r="P6454" i="1" s="1"/>
  <c r="Q6454" i="1" a="1"/>
  <c r="Q6454" i="1" s="1"/>
  <c r="L6454" i="1" a="1"/>
  <c r="L6454" i="1" s="1"/>
  <c r="R6454" i="1" a="1"/>
  <c r="R6454" i="1" s="1"/>
  <c r="A6454" i="1"/>
  <c r="H6453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H6454" i="1" l="1"/>
  <c r="A6455" i="1"/>
  <c r="I6454" i="1" a="1"/>
  <c r="I6454" i="1" s="1"/>
  <c r="O6455" i="1" a="1"/>
  <c r="O6455" i="1" s="1"/>
  <c r="K6455" i="1" a="1"/>
  <c r="K6455" i="1" s="1"/>
  <c r="P6455" i="1" a="1"/>
  <c r="P6455" i="1" s="1"/>
  <c r="B6456" i="1"/>
  <c r="L6455" i="1" a="1"/>
  <c r="L6455" i="1" s="1"/>
  <c r="N6455" i="1" a="1"/>
  <c r="N6455" i="1" s="1"/>
  <c r="I6455" i="1" a="1"/>
  <c r="I6455" i="1" s="1"/>
  <c r="Q6455" i="1" a="1"/>
  <c r="Q6455" i="1" s="1"/>
  <c r="J6455" i="1" a="1"/>
  <c r="J6455" i="1" s="1"/>
  <c r="R6455" i="1" a="1"/>
  <c r="R6455" i="1" s="1"/>
  <c r="S6455" i="1" a="1"/>
  <c r="S6455" i="1" s="1"/>
  <c r="M6455" i="1" a="1"/>
  <c r="M6455" i="1" s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P6456" i="1" l="1" a="1"/>
  <c r="P6456" i="1" s="1"/>
  <c r="B6457" i="1"/>
  <c r="L6456" i="1" a="1"/>
  <c r="L6456" i="1" s="1"/>
  <c r="Q6456" i="1" a="1"/>
  <c r="Q6456" i="1" s="1"/>
  <c r="J6456" i="1" a="1"/>
  <c r="J6456" i="1" s="1"/>
  <c r="R6456" i="1" a="1"/>
  <c r="R6456" i="1" s="1"/>
  <c r="K6456" i="1" a="1"/>
  <c r="K6456" i="1" s="1"/>
  <c r="S6456" i="1" a="1"/>
  <c r="S6456" i="1" s="1"/>
  <c r="M6456" i="1" a="1"/>
  <c r="M6456" i="1" s="1"/>
  <c r="N6456" i="1" a="1"/>
  <c r="N6456" i="1" s="1"/>
  <c r="O6456" i="1" a="1"/>
  <c r="O6456" i="1" s="1"/>
  <c r="A6456" i="1"/>
  <c r="H6455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A6457" i="1" l="1"/>
  <c r="H6456" i="1"/>
  <c r="I6456" i="1" a="1"/>
  <c r="I6456" i="1" s="1"/>
  <c r="L6457" i="1" a="1"/>
  <c r="L6457" i="1" s="1"/>
  <c r="Q6457" i="1" a="1"/>
  <c r="Q6457" i="1" s="1"/>
  <c r="M6457" i="1" a="1"/>
  <c r="M6457" i="1" s="1"/>
  <c r="R6457" i="1" a="1"/>
  <c r="R6457" i="1" s="1"/>
  <c r="K6457" i="1" a="1"/>
  <c r="K6457" i="1" s="1"/>
  <c r="S6457" i="1" a="1"/>
  <c r="S6457" i="1" s="1"/>
  <c r="N6457" i="1" a="1"/>
  <c r="N6457" i="1" s="1"/>
  <c r="B6458" i="1"/>
  <c r="O6457" i="1" a="1"/>
  <c r="O6457" i="1" s="1"/>
  <c r="P6457" i="1" a="1"/>
  <c r="P6457" i="1" s="1"/>
  <c r="I6457" i="1" a="1"/>
  <c r="I6457" i="1" s="1"/>
  <c r="J6457" i="1" a="1"/>
  <c r="J6457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B6459" i="1" l="1"/>
  <c r="M6458" i="1" a="1"/>
  <c r="M6458" i="1" s="1"/>
  <c r="R6458" i="1" a="1"/>
  <c r="R6458" i="1" s="1"/>
  <c r="N6458" i="1" a="1"/>
  <c r="N6458" i="1" s="1"/>
  <c r="S6458" i="1" a="1"/>
  <c r="S6458" i="1" s="1"/>
  <c r="L6458" i="1" a="1"/>
  <c r="L6458" i="1" s="1"/>
  <c r="O6458" i="1" a="1"/>
  <c r="O6458" i="1" s="1"/>
  <c r="J6458" i="1" a="1"/>
  <c r="J6458" i="1" s="1"/>
  <c r="P6458" i="1" a="1"/>
  <c r="P6458" i="1" s="1"/>
  <c r="K6458" i="1" a="1"/>
  <c r="K6458" i="1" s="1"/>
  <c r="Q6458" i="1" a="1"/>
  <c r="Q6458" i="1" s="1"/>
  <c r="H6457" i="1"/>
  <c r="A6458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6458" i="1" l="1"/>
  <c r="A6459" i="1"/>
  <c r="I6458" i="1" a="1"/>
  <c r="I6458" i="1" s="1"/>
  <c r="I6459" i="1" a="1"/>
  <c r="I6459" i="1" s="1"/>
  <c r="R6459" i="1" a="1"/>
  <c r="R6459" i="1" s="1"/>
  <c r="K6459" i="1" a="1"/>
  <c r="K6459" i="1" s="1"/>
  <c r="L6459" i="1" a="1"/>
  <c r="L6459" i="1" s="1"/>
  <c r="Q6459" i="1" a="1"/>
  <c r="Q6459" i="1" s="1"/>
  <c r="M6459" i="1" a="1"/>
  <c r="M6459" i="1" s="1"/>
  <c r="N6459" i="1" a="1"/>
  <c r="N6459" i="1" s="1"/>
  <c r="S6459" i="1" a="1"/>
  <c r="S6459" i="1" s="1"/>
  <c r="P6459" i="1" a="1"/>
  <c r="P6459" i="1" s="1"/>
  <c r="B6460" i="1"/>
  <c r="J6459" i="1" a="1"/>
  <c r="J6459" i="1" s="1"/>
  <c r="O6459" i="1" a="1"/>
  <c r="O6459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N6460" i="1" l="1" a="1"/>
  <c r="N6460" i="1" s="1"/>
  <c r="S6460" i="1" a="1"/>
  <c r="S6460" i="1" s="1"/>
  <c r="O6460" i="1" a="1"/>
  <c r="O6460" i="1" s="1"/>
  <c r="J6460" i="1" a="1"/>
  <c r="J6460" i="1" s="1"/>
  <c r="B6461" i="1"/>
  <c r="K6460" i="1" a="1"/>
  <c r="K6460" i="1" s="1"/>
  <c r="P6460" i="1" a="1"/>
  <c r="P6460" i="1" s="1"/>
  <c r="L6460" i="1" a="1"/>
  <c r="L6460" i="1" s="1"/>
  <c r="Q6460" i="1" a="1"/>
  <c r="Q6460" i="1" s="1"/>
  <c r="M6460" i="1" a="1"/>
  <c r="M6460" i="1" s="1"/>
  <c r="R6460" i="1" a="1"/>
  <c r="R6460" i="1" s="1"/>
  <c r="H6459" i="1"/>
  <c r="A6460" i="1"/>
  <c r="I6460" i="1" s="1" a="1"/>
  <c r="I6460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O6461" i="1" l="1" a="1"/>
  <c r="O6461" i="1" s="1"/>
  <c r="L6461" i="1" a="1"/>
  <c r="L6461" i="1" s="1"/>
  <c r="Q6461" i="1" a="1"/>
  <c r="Q6461" i="1" s="1"/>
  <c r="R6461" i="1" a="1"/>
  <c r="R6461" i="1" s="1"/>
  <c r="M6461" i="1" a="1"/>
  <c r="M6461" i="1" s="1"/>
  <c r="N6461" i="1" a="1"/>
  <c r="N6461" i="1" s="1"/>
  <c r="S6461" i="1" a="1"/>
  <c r="S6461" i="1" s="1"/>
  <c r="K6461" i="1" a="1"/>
  <c r="K6461" i="1" s="1"/>
  <c r="P6461" i="1" a="1"/>
  <c r="P6461" i="1" s="1"/>
  <c r="B6462" i="1"/>
  <c r="J6461" i="1" a="1"/>
  <c r="J6461" i="1" s="1"/>
  <c r="H6460" i="1"/>
  <c r="A6461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6461" i="1" l="1"/>
  <c r="A6462" i="1"/>
  <c r="I6461" i="1" a="1"/>
  <c r="I6461" i="1" s="1"/>
  <c r="B6463" i="1"/>
  <c r="K6462" i="1" a="1"/>
  <c r="K6462" i="1" s="1"/>
  <c r="I6462" i="1" a="1"/>
  <c r="I6462" i="1" s="1"/>
  <c r="N6462" i="1" a="1"/>
  <c r="N6462" i="1" s="1"/>
  <c r="S6462" i="1" a="1"/>
  <c r="S6462" i="1" s="1"/>
  <c r="J6462" i="1" a="1"/>
  <c r="J6462" i="1" s="1"/>
  <c r="O6462" i="1" a="1"/>
  <c r="O6462" i="1" s="1"/>
  <c r="P6462" i="1" a="1"/>
  <c r="P6462" i="1" s="1"/>
  <c r="Q6462" i="1" a="1"/>
  <c r="Q6462" i="1" s="1"/>
  <c r="L6462" i="1" a="1"/>
  <c r="L6462" i="1" s="1"/>
  <c r="M6462" i="1" a="1"/>
  <c r="M6462" i="1" s="1"/>
  <c r="R6462" i="1" a="1"/>
  <c r="R6462" i="1" s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6463" i="1" l="1" a="1"/>
  <c r="L6463" i="1" s="1"/>
  <c r="K6463" i="1" a="1"/>
  <c r="K6463" i="1" s="1"/>
  <c r="Q6463" i="1" a="1"/>
  <c r="Q6463" i="1" s="1"/>
  <c r="M6463" i="1" a="1"/>
  <c r="M6463" i="1" s="1"/>
  <c r="R6463" i="1" a="1"/>
  <c r="R6463" i="1" s="1"/>
  <c r="N6463" i="1" a="1"/>
  <c r="N6463" i="1" s="1"/>
  <c r="S6463" i="1" a="1"/>
  <c r="S6463" i="1" s="1"/>
  <c r="J6463" i="1" a="1"/>
  <c r="J6463" i="1" s="1"/>
  <c r="O6463" i="1" a="1"/>
  <c r="O6463" i="1" s="1"/>
  <c r="P6463" i="1" a="1"/>
  <c r="P6463" i="1" s="1"/>
  <c r="B6464" i="1"/>
  <c r="H6462" i="1"/>
  <c r="A6463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H6463" i="1" l="1"/>
  <c r="A6464" i="1"/>
  <c r="Q6464" i="1" a="1"/>
  <c r="Q6464" i="1" s="1"/>
  <c r="I6464" i="1" a="1"/>
  <c r="I6464" i="1" s="1"/>
  <c r="N6464" i="1" a="1"/>
  <c r="N6464" i="1" s="1"/>
  <c r="O6464" i="1" a="1"/>
  <c r="O6464" i="1" s="1"/>
  <c r="J6464" i="1" a="1"/>
  <c r="J6464" i="1" s="1"/>
  <c r="B6465" i="1"/>
  <c r="K6464" i="1" a="1"/>
  <c r="K6464" i="1" s="1"/>
  <c r="P6464" i="1" a="1"/>
  <c r="P6464" i="1" s="1"/>
  <c r="L6464" i="1" a="1"/>
  <c r="L6464" i="1" s="1"/>
  <c r="R6464" i="1" a="1"/>
  <c r="R6464" i="1" s="1"/>
  <c r="S6464" i="1" a="1"/>
  <c r="S6464" i="1" s="1"/>
  <c r="M6464" i="1" a="1"/>
  <c r="M6464" i="1" s="1"/>
  <c r="I6463" i="1" a="1"/>
  <c r="I6463" i="1" s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M6465" i="1" l="1" a="1"/>
  <c r="M6465" i="1" s="1"/>
  <c r="R6465" i="1" a="1"/>
  <c r="R6465" i="1" s="1"/>
  <c r="L6465" i="1" a="1"/>
  <c r="L6465" i="1" s="1"/>
  <c r="Q6465" i="1" a="1"/>
  <c r="Q6465" i="1" s="1"/>
  <c r="N6465" i="1" a="1"/>
  <c r="N6465" i="1" s="1"/>
  <c r="S6465" i="1" a="1"/>
  <c r="S6465" i="1" s="1"/>
  <c r="I6465" i="1" a="1"/>
  <c r="I6465" i="1" s="1"/>
  <c r="P6465" i="1" a="1"/>
  <c r="P6465" i="1" s="1"/>
  <c r="B6466" i="1"/>
  <c r="J6465" i="1" a="1"/>
  <c r="J6465" i="1" s="1"/>
  <c r="K6465" i="1" a="1"/>
  <c r="K6465" i="1" s="1"/>
  <c r="O6465" i="1" a="1"/>
  <c r="O6465" i="1" s="1"/>
  <c r="A6465" i="1"/>
  <c r="H6464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H6465" i="1" l="1"/>
  <c r="A6466" i="1"/>
  <c r="B6467" i="1"/>
  <c r="N6466" i="1" a="1"/>
  <c r="N6466" i="1" s="1"/>
  <c r="I6466" i="1" a="1"/>
  <c r="I6466" i="1" s="1"/>
  <c r="J6466" i="1" a="1"/>
  <c r="J6466" i="1" s="1"/>
  <c r="O6466" i="1" a="1"/>
  <c r="O6466" i="1" s="1"/>
  <c r="K6466" i="1" a="1"/>
  <c r="K6466" i="1" s="1"/>
  <c r="P6466" i="1" a="1"/>
  <c r="P6466" i="1" s="1"/>
  <c r="Q6466" i="1" a="1"/>
  <c r="Q6466" i="1" s="1"/>
  <c r="R6466" i="1" a="1"/>
  <c r="R6466" i="1" s="1"/>
  <c r="S6466" i="1" a="1"/>
  <c r="S6466" i="1" s="1"/>
  <c r="L6466" i="1" a="1"/>
  <c r="L6466" i="1" s="1"/>
  <c r="M6466" i="1" a="1"/>
  <c r="M6466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H6466" i="1" l="1"/>
  <c r="A6467" i="1"/>
  <c r="J6467" i="1" a="1"/>
  <c r="J6467" i="1" s="1"/>
  <c r="S6467" i="1" a="1"/>
  <c r="S6467" i="1" s="1"/>
  <c r="L6467" i="1" a="1"/>
  <c r="L6467" i="1" s="1"/>
  <c r="Q6467" i="1" a="1"/>
  <c r="Q6467" i="1" s="1"/>
  <c r="M6467" i="1" a="1"/>
  <c r="M6467" i="1" s="1"/>
  <c r="R6467" i="1" a="1"/>
  <c r="R6467" i="1" s="1"/>
  <c r="N6467" i="1" a="1"/>
  <c r="N6467" i="1" s="1"/>
  <c r="B6468" i="1"/>
  <c r="K6467" i="1" a="1"/>
  <c r="K6467" i="1" s="1"/>
  <c r="O6467" i="1" a="1"/>
  <c r="O6467" i="1" s="1"/>
  <c r="P6467" i="1" a="1"/>
  <c r="P6467" i="1" s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K6468" i="1" l="1" a="1"/>
  <c r="K6468" i="1" s="1"/>
  <c r="N6468" i="1" a="1"/>
  <c r="N6468" i="1" s="1"/>
  <c r="O6468" i="1" a="1"/>
  <c r="O6468" i="1" s="1"/>
  <c r="B6469" i="1"/>
  <c r="J6468" i="1" a="1"/>
  <c r="J6468" i="1" s="1"/>
  <c r="P6468" i="1" a="1"/>
  <c r="P6468" i="1" s="1"/>
  <c r="L6468" i="1" a="1"/>
  <c r="L6468" i="1" s="1"/>
  <c r="Q6468" i="1" a="1"/>
  <c r="Q6468" i="1" s="1"/>
  <c r="R6468" i="1" a="1"/>
  <c r="R6468" i="1" s="1"/>
  <c r="S6468" i="1" a="1"/>
  <c r="S6468" i="1" s="1"/>
  <c r="M6468" i="1" a="1"/>
  <c r="M6468" i="1" s="1"/>
  <c r="H6467" i="1"/>
  <c r="A6468" i="1"/>
  <c r="I6468" i="1" s="1" a="1"/>
  <c r="I6468" i="1" s="1"/>
  <c r="I6467" i="1" a="1"/>
  <c r="I6467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6469" i="1" l="1"/>
  <c r="H6468" i="1"/>
  <c r="P6469" i="1" a="1"/>
  <c r="P6469" i="1" s="1"/>
  <c r="B6470" i="1"/>
  <c r="L6469" i="1" a="1"/>
  <c r="L6469" i="1" s="1"/>
  <c r="Q6469" i="1" a="1"/>
  <c r="Q6469" i="1" s="1"/>
  <c r="R6469" i="1" a="1"/>
  <c r="R6469" i="1" s="1"/>
  <c r="M6469" i="1" a="1"/>
  <c r="M6469" i="1" s="1"/>
  <c r="N6469" i="1" a="1"/>
  <c r="N6469" i="1" s="1"/>
  <c r="S6469" i="1" a="1"/>
  <c r="S6469" i="1" s="1"/>
  <c r="I6469" i="1" a="1"/>
  <c r="I6469" i="1" s="1"/>
  <c r="J6469" i="1" a="1"/>
  <c r="J6469" i="1" s="1"/>
  <c r="K6469" i="1" a="1"/>
  <c r="K6469" i="1" s="1"/>
  <c r="O6469" i="1" a="1"/>
  <c r="O6469" i="1" s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B6471" i="1" l="1"/>
  <c r="L6470" i="1" a="1"/>
  <c r="L6470" i="1" s="1"/>
  <c r="Q6470" i="1" a="1"/>
  <c r="Q6470" i="1" s="1"/>
  <c r="J6470" i="1" a="1"/>
  <c r="J6470" i="1" s="1"/>
  <c r="O6470" i="1" a="1"/>
  <c r="O6470" i="1" s="1"/>
  <c r="K6470" i="1" a="1"/>
  <c r="K6470" i="1" s="1"/>
  <c r="P6470" i="1" a="1"/>
  <c r="P6470" i="1" s="1"/>
  <c r="S6470" i="1" a="1"/>
  <c r="S6470" i="1" s="1"/>
  <c r="M6470" i="1" a="1"/>
  <c r="M6470" i="1" s="1"/>
  <c r="N6470" i="1" a="1"/>
  <c r="N6470" i="1" s="1"/>
  <c r="R6470" i="1" a="1"/>
  <c r="R6470" i="1" s="1"/>
  <c r="H6469" i="1"/>
  <c r="A6470" i="1"/>
  <c r="I6470" i="1" s="1" a="1"/>
  <c r="I6470" i="1" s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H6470" i="1" l="1"/>
  <c r="A6471" i="1"/>
  <c r="I6471" i="1" s="1" a="1"/>
  <c r="I6471" i="1" s="1"/>
  <c r="M6471" i="1" a="1"/>
  <c r="M6471" i="1" s="1"/>
  <c r="L6471" i="1" a="1"/>
  <c r="L6471" i="1" s="1"/>
  <c r="Q6471" i="1" a="1"/>
  <c r="Q6471" i="1" s="1"/>
  <c r="R6471" i="1" a="1"/>
  <c r="R6471" i="1" s="1"/>
  <c r="N6471" i="1" a="1"/>
  <c r="N6471" i="1" s="1"/>
  <c r="S6471" i="1" a="1"/>
  <c r="S6471" i="1" s="1"/>
  <c r="J6471" i="1" a="1"/>
  <c r="J6471" i="1" s="1"/>
  <c r="K6471" i="1" a="1"/>
  <c r="K6471" i="1" s="1"/>
  <c r="O6471" i="1" a="1"/>
  <c r="O6471" i="1" s="1"/>
  <c r="B6472" i="1"/>
  <c r="P6471" i="1" a="1"/>
  <c r="P6471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R6472" i="1" l="1" a="1"/>
  <c r="R6472" i="1" s="1"/>
  <c r="O6472" i="1" a="1"/>
  <c r="O6472" i="1" s="1"/>
  <c r="J6472" i="1" a="1"/>
  <c r="J6472" i="1" s="1"/>
  <c r="B6473" i="1"/>
  <c r="K6472" i="1" a="1"/>
  <c r="K6472" i="1" s="1"/>
  <c r="L6472" i="1" a="1"/>
  <c r="L6472" i="1" s="1"/>
  <c r="Q6472" i="1" a="1"/>
  <c r="Q6472" i="1" s="1"/>
  <c r="M6472" i="1" a="1"/>
  <c r="M6472" i="1" s="1"/>
  <c r="N6472" i="1" a="1"/>
  <c r="N6472" i="1" s="1"/>
  <c r="P6472" i="1" a="1"/>
  <c r="P6472" i="1" s="1"/>
  <c r="S6472" i="1" a="1"/>
  <c r="S6472" i="1" s="1"/>
  <c r="H6471" i="1"/>
  <c r="A6472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6473" i="1" l="1"/>
  <c r="H6472" i="1"/>
  <c r="J6473" i="1" a="1"/>
  <c r="J6473" i="1" s="1"/>
  <c r="S6473" i="1" a="1"/>
  <c r="S6473" i="1" s="1"/>
  <c r="L6473" i="1" a="1"/>
  <c r="L6473" i="1" s="1"/>
  <c r="Q6473" i="1" a="1"/>
  <c r="Q6473" i="1" s="1"/>
  <c r="R6473" i="1" a="1"/>
  <c r="R6473" i="1" s="1"/>
  <c r="N6473" i="1" a="1"/>
  <c r="N6473" i="1" s="1"/>
  <c r="I6473" i="1" a="1"/>
  <c r="I6473" i="1" s="1"/>
  <c r="O6473" i="1" a="1"/>
  <c r="O6473" i="1" s="1"/>
  <c r="B6474" i="1"/>
  <c r="K6473" i="1" a="1"/>
  <c r="K6473" i="1" s="1"/>
  <c r="M6473" i="1" a="1"/>
  <c r="M6473" i="1" s="1"/>
  <c r="P6473" i="1" a="1"/>
  <c r="P6473" i="1" s="1"/>
  <c r="I6472" i="1" a="1"/>
  <c r="I6472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B6475" i="1" l="1"/>
  <c r="O6474" i="1" a="1"/>
  <c r="O6474" i="1" s="1"/>
  <c r="J6474" i="1" a="1"/>
  <c r="J6474" i="1" s="1"/>
  <c r="Q6474" i="1" a="1"/>
  <c r="Q6474" i="1" s="1"/>
  <c r="L6474" i="1" a="1"/>
  <c r="L6474" i="1" s="1"/>
  <c r="N6474" i="1" a="1"/>
  <c r="N6474" i="1" s="1"/>
  <c r="P6474" i="1" a="1"/>
  <c r="P6474" i="1" s="1"/>
  <c r="R6474" i="1" a="1"/>
  <c r="R6474" i="1" s="1"/>
  <c r="S6474" i="1" a="1"/>
  <c r="S6474" i="1" s="1"/>
  <c r="M6474" i="1" a="1"/>
  <c r="M6474" i="1" s="1"/>
  <c r="K6474" i="1" a="1"/>
  <c r="K6474" i="1" s="1"/>
  <c r="H6473" i="1"/>
  <c r="A6474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6474" i="1" l="1"/>
  <c r="A6475" i="1"/>
  <c r="I6474" i="1" a="1"/>
  <c r="I6474" i="1" s="1"/>
  <c r="K6475" i="1" a="1"/>
  <c r="K6475" i="1" s="1"/>
  <c r="P6475" i="1" a="1"/>
  <c r="P6475" i="1" s="1"/>
  <c r="B6476" i="1"/>
  <c r="M6475" i="1" a="1"/>
  <c r="M6475" i="1" s="1"/>
  <c r="R6475" i="1" a="1"/>
  <c r="R6475" i="1" s="1"/>
  <c r="N6475" i="1" a="1"/>
  <c r="N6475" i="1" s="1"/>
  <c r="S6475" i="1" a="1"/>
  <c r="S6475" i="1" s="1"/>
  <c r="L6475" i="1" a="1"/>
  <c r="L6475" i="1" s="1"/>
  <c r="O6475" i="1" a="1"/>
  <c r="O6475" i="1" s="1"/>
  <c r="Q6475" i="1" a="1"/>
  <c r="Q6475" i="1" s="1"/>
  <c r="J6475" i="1" a="1"/>
  <c r="J6475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A6476" i="1" l="1"/>
  <c r="H6475" i="1"/>
  <c r="L6476" i="1" a="1"/>
  <c r="L6476" i="1" s="1"/>
  <c r="O6476" i="1" a="1"/>
  <c r="O6476" i="1" s="1"/>
  <c r="J6476" i="1" a="1"/>
  <c r="J6476" i="1" s="1"/>
  <c r="B6477" i="1"/>
  <c r="Q6476" i="1" a="1"/>
  <c r="Q6476" i="1" s="1"/>
  <c r="I6476" i="1" a="1"/>
  <c r="I6476" i="1" s="1"/>
  <c r="K6476" i="1" a="1"/>
  <c r="K6476" i="1" s="1"/>
  <c r="M6476" i="1" a="1"/>
  <c r="M6476" i="1" s="1"/>
  <c r="N6476" i="1" a="1"/>
  <c r="N6476" i="1" s="1"/>
  <c r="P6476" i="1" a="1"/>
  <c r="P6476" i="1" s="1"/>
  <c r="R6476" i="1" a="1"/>
  <c r="R6476" i="1" s="1"/>
  <c r="S6476" i="1" a="1"/>
  <c r="S6476" i="1" s="1"/>
  <c r="I6475" i="1" a="1"/>
  <c r="I6475" i="1" s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Q6477" i="1" l="1" a="1"/>
  <c r="Q6477" i="1" s="1"/>
  <c r="L6477" i="1" a="1"/>
  <c r="L6477" i="1" s="1"/>
  <c r="R6477" i="1" a="1"/>
  <c r="R6477" i="1" s="1"/>
  <c r="M6477" i="1" a="1"/>
  <c r="M6477" i="1" s="1"/>
  <c r="J6477" i="1" a="1"/>
  <c r="J6477" i="1" s="1"/>
  <c r="O6477" i="1" a="1"/>
  <c r="O6477" i="1" s="1"/>
  <c r="S6477" i="1" a="1"/>
  <c r="S6477" i="1" s="1"/>
  <c r="B6478" i="1"/>
  <c r="K6477" i="1" a="1"/>
  <c r="K6477" i="1" s="1"/>
  <c r="N6477" i="1" a="1"/>
  <c r="N6477" i="1" s="1"/>
  <c r="P6477" i="1" a="1"/>
  <c r="P6477" i="1" s="1"/>
  <c r="A6477" i="1"/>
  <c r="H6476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6478" i="1" l="1"/>
  <c r="H6477" i="1"/>
  <c r="I6477" i="1" a="1"/>
  <c r="I6477" i="1" s="1"/>
  <c r="I6478" i="1" a="1"/>
  <c r="I6478" i="1" s="1"/>
  <c r="J6478" i="1" a="1"/>
  <c r="J6478" i="1" s="1"/>
  <c r="O6478" i="1" a="1"/>
  <c r="O6478" i="1" s="1"/>
  <c r="N6478" i="1" a="1"/>
  <c r="N6478" i="1" s="1"/>
  <c r="P6478" i="1" a="1"/>
  <c r="P6478" i="1" s="1"/>
  <c r="Q6478" i="1" a="1"/>
  <c r="Q6478" i="1" s="1"/>
  <c r="R6478" i="1" a="1"/>
  <c r="R6478" i="1" s="1"/>
  <c r="M6478" i="1" a="1"/>
  <c r="M6478" i="1" s="1"/>
  <c r="S6478" i="1" a="1"/>
  <c r="S6478" i="1" s="1"/>
  <c r="B6479" i="1"/>
  <c r="K6478" i="1" a="1"/>
  <c r="K6478" i="1" s="1"/>
  <c r="L6478" i="1" a="1"/>
  <c r="L6478" i="1" s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B6480" i="1" l="1"/>
  <c r="K6479" i="1" a="1"/>
  <c r="K6479" i="1" s="1"/>
  <c r="P6479" i="1" a="1"/>
  <c r="P6479" i="1" s="1"/>
  <c r="M6479" i="1" a="1"/>
  <c r="M6479" i="1" s="1"/>
  <c r="O6479" i="1" a="1"/>
  <c r="O6479" i="1" s="1"/>
  <c r="Q6479" i="1" a="1"/>
  <c r="Q6479" i="1" s="1"/>
  <c r="J6479" i="1" a="1"/>
  <c r="J6479" i="1" s="1"/>
  <c r="R6479" i="1" a="1"/>
  <c r="R6479" i="1" s="1"/>
  <c r="L6479" i="1" a="1"/>
  <c r="L6479" i="1" s="1"/>
  <c r="S6479" i="1" a="1"/>
  <c r="S6479" i="1" s="1"/>
  <c r="N6479" i="1" a="1"/>
  <c r="N6479" i="1" s="1"/>
  <c r="H6478" i="1"/>
  <c r="A6479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H6479" i="1" l="1"/>
  <c r="A6480" i="1"/>
  <c r="I6479" i="1" a="1"/>
  <c r="I6479" i="1" s="1"/>
  <c r="L6480" i="1" a="1"/>
  <c r="L6480" i="1" s="1"/>
  <c r="Q6480" i="1" a="1"/>
  <c r="Q6480" i="1" s="1"/>
  <c r="I6480" i="1" a="1"/>
  <c r="I6480" i="1" s="1"/>
  <c r="J6480" i="1" a="1"/>
  <c r="J6480" i="1" s="1"/>
  <c r="R6480" i="1" a="1"/>
  <c r="R6480" i="1" s="1"/>
  <c r="K6480" i="1" a="1"/>
  <c r="K6480" i="1" s="1"/>
  <c r="M6480" i="1" a="1"/>
  <c r="M6480" i="1" s="1"/>
  <c r="S6480" i="1" a="1"/>
  <c r="S6480" i="1" s="1"/>
  <c r="N6480" i="1" a="1"/>
  <c r="N6480" i="1" s="1"/>
  <c r="O6480" i="1" a="1"/>
  <c r="O6480" i="1" s="1"/>
  <c r="P6480" i="1" a="1"/>
  <c r="P6480" i="1" s="1"/>
  <c r="B6481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Q6481" i="1" l="1" a="1"/>
  <c r="Q6481" i="1" s="1"/>
  <c r="M6481" i="1" a="1"/>
  <c r="M6481" i="1" s="1"/>
  <c r="J6481" i="1" a="1"/>
  <c r="J6481" i="1" s="1"/>
  <c r="P6481" i="1" a="1"/>
  <c r="P6481" i="1" s="1"/>
  <c r="K6481" i="1" a="1"/>
  <c r="K6481" i="1" s="1"/>
  <c r="R6481" i="1" a="1"/>
  <c r="R6481" i="1" s="1"/>
  <c r="L6481" i="1" a="1"/>
  <c r="L6481" i="1" s="1"/>
  <c r="S6481" i="1" a="1"/>
  <c r="S6481" i="1" s="1"/>
  <c r="N6481" i="1" a="1"/>
  <c r="N6481" i="1" s="1"/>
  <c r="O6481" i="1" a="1"/>
  <c r="O6481" i="1" s="1"/>
  <c r="B6482" i="1"/>
  <c r="A6481" i="1"/>
  <c r="H6480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H6481" i="1" l="1"/>
  <c r="A6482" i="1"/>
  <c r="I6481" i="1" a="1"/>
  <c r="I6481" i="1" s="1"/>
  <c r="M6482" i="1" a="1"/>
  <c r="M6482" i="1" s="1"/>
  <c r="R6482" i="1" a="1"/>
  <c r="R6482" i="1" s="1"/>
  <c r="I6482" i="1" a="1"/>
  <c r="I6482" i="1" s="1"/>
  <c r="N6482" i="1" a="1"/>
  <c r="N6482" i="1" s="1"/>
  <c r="J6482" i="1" a="1"/>
  <c r="J6482" i="1" s="1"/>
  <c r="P6482" i="1" a="1"/>
  <c r="P6482" i="1" s="1"/>
  <c r="K6482" i="1" a="1"/>
  <c r="K6482" i="1" s="1"/>
  <c r="Q6482" i="1" a="1"/>
  <c r="Q6482" i="1" s="1"/>
  <c r="L6482" i="1" a="1"/>
  <c r="L6482" i="1" s="1"/>
  <c r="S6482" i="1" a="1"/>
  <c r="S6482" i="1" s="1"/>
  <c r="O6482" i="1" a="1"/>
  <c r="O6482" i="1" s="1"/>
  <c r="B6483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B6484" i="1" l="1"/>
  <c r="N6483" i="1" a="1"/>
  <c r="N6483" i="1" s="1"/>
  <c r="J6483" i="1" a="1"/>
  <c r="J6483" i="1" s="1"/>
  <c r="O6483" i="1" a="1"/>
  <c r="O6483" i="1" s="1"/>
  <c r="P6483" i="1" a="1"/>
  <c r="P6483" i="1" s="1"/>
  <c r="K6483" i="1" a="1"/>
  <c r="K6483" i="1" s="1"/>
  <c r="Q6483" i="1" a="1"/>
  <c r="Q6483" i="1" s="1"/>
  <c r="S6483" i="1" a="1"/>
  <c r="S6483" i="1" s="1"/>
  <c r="L6483" i="1" a="1"/>
  <c r="L6483" i="1" s="1"/>
  <c r="M6483" i="1" a="1"/>
  <c r="M6483" i="1" s="1"/>
  <c r="R6483" i="1" a="1"/>
  <c r="R6483" i="1" s="1"/>
  <c r="H6482" i="1"/>
  <c r="A6483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H6483" i="1" l="1"/>
  <c r="A6484" i="1"/>
  <c r="I6483" i="1" a="1"/>
  <c r="I6483" i="1" s="1"/>
  <c r="J6484" i="1" a="1"/>
  <c r="J6484" i="1" s="1"/>
  <c r="S6484" i="1" a="1"/>
  <c r="S6484" i="1" s="1"/>
  <c r="M6484" i="1" a="1"/>
  <c r="M6484" i="1" s="1"/>
  <c r="R6484" i="1" a="1"/>
  <c r="R6484" i="1" s="1"/>
  <c r="I6484" i="1" a="1"/>
  <c r="I6484" i="1" s="1"/>
  <c r="N6484" i="1" a="1"/>
  <c r="N6484" i="1" s="1"/>
  <c r="O6484" i="1" a="1"/>
  <c r="O6484" i="1" s="1"/>
  <c r="B6485" i="1"/>
  <c r="K6484" i="1" a="1"/>
  <c r="K6484" i="1" s="1"/>
  <c r="L6484" i="1" a="1"/>
  <c r="L6484" i="1" s="1"/>
  <c r="P6484" i="1" a="1"/>
  <c r="P6484" i="1" s="1"/>
  <c r="Q6484" i="1" a="1"/>
  <c r="Q6484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K6485" i="1" l="1" a="1"/>
  <c r="K6485" i="1" s="1"/>
  <c r="O6485" i="1" a="1"/>
  <c r="O6485" i="1" s="1"/>
  <c r="B6486" i="1"/>
  <c r="J6485" i="1" a="1"/>
  <c r="J6485" i="1" s="1"/>
  <c r="P6485" i="1" a="1"/>
  <c r="P6485" i="1" s="1"/>
  <c r="L6485" i="1" a="1"/>
  <c r="L6485" i="1" s="1"/>
  <c r="Q6485" i="1" a="1"/>
  <c r="Q6485" i="1" s="1"/>
  <c r="I6485" i="1" a="1"/>
  <c r="I6485" i="1" s="1"/>
  <c r="M6485" i="1" a="1"/>
  <c r="M6485" i="1" s="1"/>
  <c r="N6485" i="1" a="1"/>
  <c r="N6485" i="1" s="1"/>
  <c r="S6485" i="1" a="1"/>
  <c r="S6485" i="1" s="1"/>
  <c r="R6485" i="1" a="1"/>
  <c r="R6485" i="1" s="1"/>
  <c r="H6484" i="1"/>
  <c r="A6485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6486" i="1" l="1"/>
  <c r="H6485" i="1"/>
  <c r="P6486" i="1" a="1"/>
  <c r="P6486" i="1" s="1"/>
  <c r="B6487" i="1"/>
  <c r="R6486" i="1" a="1"/>
  <c r="R6486" i="1" s="1"/>
  <c r="M6486" i="1" a="1"/>
  <c r="M6486" i="1" s="1"/>
  <c r="N6486" i="1" a="1"/>
  <c r="N6486" i="1" s="1"/>
  <c r="S6486" i="1" a="1"/>
  <c r="S6486" i="1" s="1"/>
  <c r="I6486" i="1" a="1"/>
  <c r="I6486" i="1" s="1"/>
  <c r="J6486" i="1" a="1"/>
  <c r="J6486" i="1" s="1"/>
  <c r="O6486" i="1" a="1"/>
  <c r="O6486" i="1" s="1"/>
  <c r="K6486" i="1" a="1"/>
  <c r="K6486" i="1" s="1"/>
  <c r="L6486" i="1" a="1"/>
  <c r="L6486" i="1" s="1"/>
  <c r="Q6486" i="1" a="1"/>
  <c r="Q6486" i="1" s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B6488" i="1" l="1"/>
  <c r="L6487" i="1" a="1"/>
  <c r="L6487" i="1" s="1"/>
  <c r="Q6487" i="1" a="1"/>
  <c r="Q6487" i="1" s="1"/>
  <c r="J6487" i="1" a="1"/>
  <c r="J6487" i="1" s="1"/>
  <c r="O6487" i="1" a="1"/>
  <c r="O6487" i="1" s="1"/>
  <c r="K6487" i="1" a="1"/>
  <c r="K6487" i="1" s="1"/>
  <c r="P6487" i="1" a="1"/>
  <c r="P6487" i="1" s="1"/>
  <c r="M6487" i="1" a="1"/>
  <c r="M6487" i="1" s="1"/>
  <c r="R6487" i="1" a="1"/>
  <c r="R6487" i="1" s="1"/>
  <c r="N6487" i="1" a="1"/>
  <c r="N6487" i="1" s="1"/>
  <c r="S6487" i="1" a="1"/>
  <c r="S6487" i="1" s="1"/>
  <c r="H6486" i="1"/>
  <c r="A6487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6487" i="1" l="1"/>
  <c r="A6488" i="1"/>
  <c r="I6487" i="1" a="1"/>
  <c r="I6487" i="1" s="1"/>
  <c r="M6488" i="1" a="1"/>
  <c r="M6488" i="1" s="1"/>
  <c r="R6488" i="1" a="1"/>
  <c r="R6488" i="1" s="1"/>
  <c r="I6488" i="1" a="1"/>
  <c r="I6488" i="1" s="1"/>
  <c r="N6488" i="1" a="1"/>
  <c r="N6488" i="1" s="1"/>
  <c r="S6488" i="1" a="1"/>
  <c r="S6488" i="1" s="1"/>
  <c r="J6488" i="1" a="1"/>
  <c r="J6488" i="1" s="1"/>
  <c r="O6488" i="1" a="1"/>
  <c r="O6488" i="1" s="1"/>
  <c r="B6489" i="1"/>
  <c r="K6488" i="1" a="1"/>
  <c r="K6488" i="1" s="1"/>
  <c r="L6488" i="1" a="1"/>
  <c r="L6488" i="1" s="1"/>
  <c r="P6488" i="1" a="1"/>
  <c r="P6488" i="1" s="1"/>
  <c r="Q6488" i="1" a="1"/>
  <c r="Q6488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R6489" i="1" l="1" a="1"/>
  <c r="R6489" i="1" s="1"/>
  <c r="J6489" i="1" a="1"/>
  <c r="J6489" i="1" s="1"/>
  <c r="B6490" i="1"/>
  <c r="K6489" i="1" a="1"/>
  <c r="K6489" i="1" s="1"/>
  <c r="P6489" i="1" a="1"/>
  <c r="P6489" i="1" s="1"/>
  <c r="L6489" i="1" a="1"/>
  <c r="L6489" i="1" s="1"/>
  <c r="Q6489" i="1" a="1"/>
  <c r="Q6489" i="1" s="1"/>
  <c r="M6489" i="1" a="1"/>
  <c r="M6489" i="1" s="1"/>
  <c r="N6489" i="1" a="1"/>
  <c r="N6489" i="1" s="1"/>
  <c r="O6489" i="1" a="1"/>
  <c r="O6489" i="1" s="1"/>
  <c r="S6489" i="1" a="1"/>
  <c r="S6489" i="1" s="1"/>
  <c r="H6488" i="1"/>
  <c r="A6489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6489" i="1" l="1"/>
  <c r="A6490" i="1"/>
  <c r="J6490" i="1" a="1"/>
  <c r="J6490" i="1" s="1"/>
  <c r="S6490" i="1" a="1"/>
  <c r="S6490" i="1" s="1"/>
  <c r="R6490" i="1" a="1"/>
  <c r="R6490" i="1" s="1"/>
  <c r="M6490" i="1" a="1"/>
  <c r="M6490" i="1" s="1"/>
  <c r="N6490" i="1" a="1"/>
  <c r="N6490" i="1" s="1"/>
  <c r="I6490" i="1" a="1"/>
  <c r="I6490" i="1" s="1"/>
  <c r="O6490" i="1" a="1"/>
  <c r="O6490" i="1" s="1"/>
  <c r="B6491" i="1"/>
  <c r="L6490" i="1" a="1"/>
  <c r="L6490" i="1" s="1"/>
  <c r="P6490" i="1" a="1"/>
  <c r="P6490" i="1" s="1"/>
  <c r="Q6490" i="1" a="1"/>
  <c r="Q6490" i="1" s="1"/>
  <c r="K6490" i="1" a="1"/>
  <c r="K6490" i="1" s="1"/>
  <c r="I6489" i="1" a="1"/>
  <c r="I6489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B6492" i="1" l="1"/>
  <c r="O6491" i="1" a="1"/>
  <c r="O6491" i="1" s="1"/>
  <c r="J6491" i="1" a="1"/>
  <c r="J6491" i="1" s="1"/>
  <c r="K6491" i="1" a="1"/>
  <c r="K6491" i="1" s="1"/>
  <c r="P6491" i="1" a="1"/>
  <c r="P6491" i="1" s="1"/>
  <c r="Q6491" i="1" a="1"/>
  <c r="Q6491" i="1" s="1"/>
  <c r="L6491" i="1" a="1"/>
  <c r="L6491" i="1" s="1"/>
  <c r="M6491" i="1" a="1"/>
  <c r="M6491" i="1" s="1"/>
  <c r="R6491" i="1" a="1"/>
  <c r="R6491" i="1" s="1"/>
  <c r="N6491" i="1" a="1"/>
  <c r="N6491" i="1" s="1"/>
  <c r="S6491" i="1" a="1"/>
  <c r="S6491" i="1" s="1"/>
  <c r="H6490" i="1"/>
  <c r="A6491" i="1"/>
  <c r="I6491" i="1" s="1" a="1"/>
  <c r="I6491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6491" i="1" l="1"/>
  <c r="A6492" i="1"/>
  <c r="K6492" i="1" a="1"/>
  <c r="K6492" i="1" s="1"/>
  <c r="P6492" i="1" a="1"/>
  <c r="P6492" i="1" s="1"/>
  <c r="B6493" i="1"/>
  <c r="M6492" i="1" a="1"/>
  <c r="M6492" i="1" s="1"/>
  <c r="R6492" i="1" a="1"/>
  <c r="R6492" i="1" s="1"/>
  <c r="I6492" i="1" a="1"/>
  <c r="I6492" i="1" s="1"/>
  <c r="N6492" i="1" a="1"/>
  <c r="N6492" i="1" s="1"/>
  <c r="S6492" i="1" a="1"/>
  <c r="S6492" i="1" s="1"/>
  <c r="J6492" i="1" a="1"/>
  <c r="J6492" i="1" s="1"/>
  <c r="O6492" i="1" a="1"/>
  <c r="O6492" i="1" s="1"/>
  <c r="Q6492" i="1" a="1"/>
  <c r="Q6492" i="1" s="1"/>
  <c r="L6492" i="1" a="1"/>
  <c r="L6492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L6493" i="1" l="1" a="1"/>
  <c r="L6493" i="1" s="1"/>
  <c r="J6493" i="1" a="1"/>
  <c r="J6493" i="1" s="1"/>
  <c r="B6494" i="1"/>
  <c r="K6493" i="1" a="1"/>
  <c r="K6493" i="1" s="1"/>
  <c r="P6493" i="1" a="1"/>
  <c r="P6493" i="1" s="1"/>
  <c r="Q6493" i="1" a="1"/>
  <c r="Q6493" i="1" s="1"/>
  <c r="M6493" i="1" a="1"/>
  <c r="M6493" i="1" s="1"/>
  <c r="R6493" i="1" a="1"/>
  <c r="R6493" i="1" s="1"/>
  <c r="N6493" i="1" a="1"/>
  <c r="N6493" i="1" s="1"/>
  <c r="O6493" i="1" a="1"/>
  <c r="O6493" i="1" s="1"/>
  <c r="S6493" i="1" a="1"/>
  <c r="S6493" i="1" s="1"/>
  <c r="H6492" i="1"/>
  <c r="A6493" i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H6493" i="1" l="1"/>
  <c r="A6494" i="1"/>
  <c r="I6493" i="1" a="1"/>
  <c r="I6493" i="1" s="1"/>
  <c r="Q6494" i="1" a="1"/>
  <c r="Q6494" i="1" s="1"/>
  <c r="M6494" i="1" a="1"/>
  <c r="M6494" i="1" s="1"/>
  <c r="N6494" i="1" a="1"/>
  <c r="N6494" i="1" s="1"/>
  <c r="S6494" i="1" a="1"/>
  <c r="S6494" i="1" s="1"/>
  <c r="I6494" i="1" a="1"/>
  <c r="I6494" i="1" s="1"/>
  <c r="J6494" i="1" a="1"/>
  <c r="J6494" i="1" s="1"/>
  <c r="O6494" i="1" a="1"/>
  <c r="O6494" i="1" s="1"/>
  <c r="B6495" i="1"/>
  <c r="P6494" i="1" a="1"/>
  <c r="P6494" i="1" s="1"/>
  <c r="R6494" i="1" a="1"/>
  <c r="R6494" i="1" s="1"/>
  <c r="K6494" i="1" a="1"/>
  <c r="K6494" i="1" s="1"/>
  <c r="L6494" i="1" a="1"/>
  <c r="L6494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B6496" i="1" l="1"/>
  <c r="R6495" i="1" a="1"/>
  <c r="R6495" i="1" s="1"/>
  <c r="K6495" i="1" a="1"/>
  <c r="K6495" i="1" s="1"/>
  <c r="P6495" i="1" a="1"/>
  <c r="P6495" i="1" s="1"/>
  <c r="Q6495" i="1" a="1"/>
  <c r="Q6495" i="1" s="1"/>
  <c r="L6495" i="1" a="1"/>
  <c r="L6495" i="1" s="1"/>
  <c r="M6495" i="1" a="1"/>
  <c r="M6495" i="1" s="1"/>
  <c r="O6495" i="1" a="1"/>
  <c r="O6495" i="1" s="1"/>
  <c r="S6495" i="1" a="1"/>
  <c r="S6495" i="1" s="1"/>
  <c r="J6495" i="1" a="1"/>
  <c r="J6495" i="1" s="1"/>
  <c r="N6495" i="1" a="1"/>
  <c r="N6495" i="1" s="1"/>
  <c r="H6494" i="1"/>
  <c r="A6495" i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6495" i="1" l="1"/>
  <c r="A6496" i="1"/>
  <c r="I6495" i="1" a="1"/>
  <c r="I6495" i="1" s="1"/>
  <c r="N6496" i="1" a="1"/>
  <c r="N6496" i="1" s="1"/>
  <c r="M6496" i="1" a="1"/>
  <c r="M6496" i="1" s="1"/>
  <c r="R6496" i="1" a="1"/>
  <c r="R6496" i="1" s="1"/>
  <c r="S6496" i="1" a="1"/>
  <c r="S6496" i="1" s="1"/>
  <c r="I6496" i="1" a="1"/>
  <c r="I6496" i="1" s="1"/>
  <c r="J6496" i="1" a="1"/>
  <c r="J6496" i="1" s="1"/>
  <c r="O6496" i="1" a="1"/>
  <c r="O6496" i="1" s="1"/>
  <c r="B6497" i="1"/>
  <c r="P6496" i="1" a="1"/>
  <c r="P6496" i="1" s="1"/>
  <c r="Q6496" i="1" a="1"/>
  <c r="Q6496" i="1" s="1"/>
  <c r="K6496" i="1" a="1"/>
  <c r="K6496" i="1" s="1"/>
  <c r="L6496" i="1" a="1"/>
  <c r="L6496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J6497" i="1" l="1" a="1"/>
  <c r="J6497" i="1" s="1"/>
  <c r="O6497" i="1" a="1"/>
  <c r="O6497" i="1" s="1"/>
  <c r="K6497" i="1" a="1"/>
  <c r="K6497" i="1" s="1"/>
  <c r="P6497" i="1" a="1"/>
  <c r="P6497" i="1" s="1"/>
  <c r="L6497" i="1" a="1"/>
  <c r="L6497" i="1" s="1"/>
  <c r="Q6497" i="1" a="1"/>
  <c r="Q6497" i="1" s="1"/>
  <c r="M6497" i="1" a="1"/>
  <c r="M6497" i="1" s="1"/>
  <c r="R6497" i="1" a="1"/>
  <c r="R6497" i="1" s="1"/>
  <c r="S6497" i="1" a="1"/>
  <c r="S6497" i="1" s="1"/>
  <c r="B6498" i="1"/>
  <c r="N6497" i="1" a="1"/>
  <c r="N6497" i="1" s="1"/>
  <c r="H6496" i="1"/>
  <c r="A6497" i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6498" i="1" l="1"/>
  <c r="H6497" i="1"/>
  <c r="K6498" i="1" a="1"/>
  <c r="K6498" i="1" s="1"/>
  <c r="M6498" i="1" a="1"/>
  <c r="M6498" i="1" s="1"/>
  <c r="N6498" i="1" a="1"/>
  <c r="N6498" i="1" s="1"/>
  <c r="S6498" i="1" a="1"/>
  <c r="S6498" i="1" s="1"/>
  <c r="I6498" i="1" a="1"/>
  <c r="I6498" i="1" s="1"/>
  <c r="J6498" i="1" a="1"/>
  <c r="J6498" i="1" s="1"/>
  <c r="O6498" i="1" a="1"/>
  <c r="O6498" i="1" s="1"/>
  <c r="B6499" i="1"/>
  <c r="P6498" i="1" a="1"/>
  <c r="P6498" i="1" s="1"/>
  <c r="R6498" i="1" a="1"/>
  <c r="R6498" i="1" s="1"/>
  <c r="L6498" i="1" a="1"/>
  <c r="L6498" i="1" s="1"/>
  <c r="Q6498" i="1" a="1"/>
  <c r="Q6498" i="1" s="1"/>
  <c r="I6497" i="1" a="1"/>
  <c r="I6497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6500" i="1" l="1"/>
  <c r="P6499" i="1" a="1"/>
  <c r="P6499" i="1" s="1"/>
  <c r="K6499" i="1" a="1"/>
  <c r="K6499" i="1" s="1"/>
  <c r="Q6499" i="1" a="1"/>
  <c r="Q6499" i="1" s="1"/>
  <c r="L6499" i="1" a="1"/>
  <c r="L6499" i="1" s="1"/>
  <c r="M6499" i="1" a="1"/>
  <c r="M6499" i="1" s="1"/>
  <c r="R6499" i="1" a="1"/>
  <c r="R6499" i="1" s="1"/>
  <c r="I6499" i="1" a="1"/>
  <c r="I6499" i="1" s="1"/>
  <c r="J6499" i="1" a="1"/>
  <c r="J6499" i="1" s="1"/>
  <c r="N6499" i="1" a="1"/>
  <c r="N6499" i="1" s="1"/>
  <c r="O6499" i="1" a="1"/>
  <c r="O6499" i="1" s="1"/>
  <c r="S6499" i="1" a="1"/>
  <c r="S6499" i="1" s="1"/>
  <c r="A6499" i="1"/>
  <c r="H6498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H6499" i="1" l="1"/>
  <c r="A6500" i="1"/>
  <c r="Q6500" i="1" a="1"/>
  <c r="Q6500" i="1" s="1"/>
  <c r="I6500" i="1" a="1"/>
  <c r="I6500" i="1" s="1"/>
  <c r="N6500" i="1" a="1"/>
  <c r="N6500" i="1" s="1"/>
  <c r="S6500" i="1" a="1"/>
  <c r="S6500" i="1" s="1"/>
  <c r="J6500" i="1" a="1"/>
  <c r="J6500" i="1" s="1"/>
  <c r="O6500" i="1" a="1"/>
  <c r="O6500" i="1" s="1"/>
  <c r="P6500" i="1" a="1"/>
  <c r="P6500" i="1" s="1"/>
  <c r="B6501" i="1"/>
  <c r="K6500" i="1" a="1"/>
  <c r="K6500" i="1" s="1"/>
  <c r="L6500" i="1" a="1"/>
  <c r="L6500" i="1" s="1"/>
  <c r="M6500" i="1" a="1"/>
  <c r="M6500" i="1" s="1"/>
  <c r="R6500" i="1" a="1"/>
  <c r="R6500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M6501" i="1" l="1" a="1"/>
  <c r="M6501" i="1" s="1"/>
  <c r="K6501" i="1" a="1"/>
  <c r="K6501" i="1" s="1"/>
  <c r="P6501" i="1" a="1"/>
  <c r="P6501" i="1" s="1"/>
  <c r="L6501" i="1" a="1"/>
  <c r="L6501" i="1" s="1"/>
  <c r="Q6501" i="1" a="1"/>
  <c r="Q6501" i="1" s="1"/>
  <c r="R6501" i="1" a="1"/>
  <c r="R6501" i="1" s="1"/>
  <c r="S6501" i="1" a="1"/>
  <c r="S6501" i="1" s="1"/>
  <c r="J6501" i="1" a="1"/>
  <c r="J6501" i="1" s="1"/>
  <c r="B6502" i="1"/>
  <c r="N6501" i="1" a="1"/>
  <c r="N6501" i="1" s="1"/>
  <c r="O6501" i="1" a="1"/>
  <c r="O6501" i="1" s="1"/>
  <c r="H6500" i="1"/>
  <c r="A6501" i="1"/>
  <c r="I6501" i="1" s="1" a="1"/>
  <c r="I6501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H6501" i="1" l="1"/>
  <c r="A6502" i="1"/>
  <c r="I6502" i="1" a="1"/>
  <c r="I6502" i="1" s="1"/>
  <c r="N6502" i="1" a="1"/>
  <c r="N6502" i="1" s="1"/>
  <c r="M6502" i="1" a="1"/>
  <c r="M6502" i="1" s="1"/>
  <c r="S6502" i="1" a="1"/>
  <c r="S6502" i="1" s="1"/>
  <c r="J6502" i="1" a="1"/>
  <c r="J6502" i="1" s="1"/>
  <c r="O6502" i="1" a="1"/>
  <c r="O6502" i="1" s="1"/>
  <c r="B6503" i="1"/>
  <c r="L6502" i="1" a="1"/>
  <c r="L6502" i="1" s="1"/>
  <c r="P6502" i="1" a="1"/>
  <c r="P6502" i="1" s="1"/>
  <c r="K6502" i="1" a="1"/>
  <c r="K6502" i="1" s="1"/>
  <c r="Q6502" i="1" a="1"/>
  <c r="Q6502" i="1" s="1"/>
  <c r="R6502" i="1" a="1"/>
  <c r="R6502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H6502" i="1" l="1"/>
  <c r="A6503" i="1"/>
  <c r="B6504" i="1"/>
  <c r="J6503" i="1" a="1"/>
  <c r="J6503" i="1" s="1"/>
  <c r="S6503" i="1" a="1"/>
  <c r="S6503" i="1" s="1"/>
  <c r="K6503" i="1" a="1"/>
  <c r="K6503" i="1" s="1"/>
  <c r="P6503" i="1" a="1"/>
  <c r="P6503" i="1" s="1"/>
  <c r="Q6503" i="1" a="1"/>
  <c r="Q6503" i="1" s="1"/>
  <c r="L6503" i="1" a="1"/>
  <c r="L6503" i="1" s="1"/>
  <c r="O6503" i="1" a="1"/>
  <c r="O6503" i="1" s="1"/>
  <c r="I6503" i="1" a="1"/>
  <c r="I6503" i="1" s="1"/>
  <c r="R6503" i="1" a="1"/>
  <c r="R6503" i="1" s="1"/>
  <c r="M6503" i="1" a="1"/>
  <c r="M6503" i="1" s="1"/>
  <c r="N6503" i="1" a="1"/>
  <c r="N6503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H6503" i="1" l="1"/>
  <c r="A6504" i="1"/>
  <c r="O6504" i="1" a="1"/>
  <c r="O6504" i="1" s="1"/>
  <c r="N6504" i="1" a="1"/>
  <c r="N6504" i="1" s="1"/>
  <c r="S6504" i="1" a="1"/>
  <c r="S6504" i="1" s="1"/>
  <c r="B6505" i="1"/>
  <c r="K6504" i="1" a="1"/>
  <c r="K6504" i="1" s="1"/>
  <c r="R6504" i="1" a="1"/>
  <c r="R6504" i="1" s="1"/>
  <c r="L6504" i="1" a="1"/>
  <c r="L6504" i="1" s="1"/>
  <c r="M6504" i="1" a="1"/>
  <c r="M6504" i="1" s="1"/>
  <c r="P6504" i="1" a="1"/>
  <c r="P6504" i="1" s="1"/>
  <c r="J6504" i="1" a="1"/>
  <c r="J6504" i="1" s="1"/>
  <c r="Q6504" i="1" a="1"/>
  <c r="Q6504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6505" i="1" l="1"/>
  <c r="H6504" i="1"/>
  <c r="P6505" i="1" a="1"/>
  <c r="P6505" i="1" s="1"/>
  <c r="B6506" i="1"/>
  <c r="K6505" i="1" a="1"/>
  <c r="K6505" i="1" s="1"/>
  <c r="L6505" i="1" a="1"/>
  <c r="L6505" i="1" s="1"/>
  <c r="Q6505" i="1" a="1"/>
  <c r="Q6505" i="1" s="1"/>
  <c r="N6505" i="1" a="1"/>
  <c r="N6505" i="1" s="1"/>
  <c r="O6505" i="1" a="1"/>
  <c r="O6505" i="1" s="1"/>
  <c r="I6505" i="1" a="1"/>
  <c r="I6505" i="1" s="1"/>
  <c r="R6505" i="1" a="1"/>
  <c r="R6505" i="1" s="1"/>
  <c r="S6505" i="1" a="1"/>
  <c r="S6505" i="1" s="1"/>
  <c r="J6505" i="1" a="1"/>
  <c r="J6505" i="1" s="1"/>
  <c r="M6505" i="1" a="1"/>
  <c r="M6505" i="1" s="1"/>
  <c r="I6504" i="1" a="1"/>
  <c r="I6504" i="1" s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L6506" i="1" l="1" a="1"/>
  <c r="L6506" i="1" s="1"/>
  <c r="N6506" i="1" a="1"/>
  <c r="N6506" i="1" s="1"/>
  <c r="S6506" i="1" a="1"/>
  <c r="S6506" i="1" s="1"/>
  <c r="J6506" i="1" a="1"/>
  <c r="J6506" i="1" s="1"/>
  <c r="O6506" i="1" a="1"/>
  <c r="O6506" i="1" s="1"/>
  <c r="R6506" i="1" a="1"/>
  <c r="R6506" i="1" s="1"/>
  <c r="K6506" i="1" a="1"/>
  <c r="K6506" i="1" s="1"/>
  <c r="B6507" i="1"/>
  <c r="M6506" i="1" a="1"/>
  <c r="M6506" i="1" s="1"/>
  <c r="P6506" i="1" a="1"/>
  <c r="P6506" i="1" s="1"/>
  <c r="Q6506" i="1" a="1"/>
  <c r="Q6506" i="1" s="1"/>
  <c r="H6505" i="1"/>
  <c r="A6506" i="1"/>
  <c r="I6506" i="1" s="1" a="1"/>
  <c r="I6506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B6508" i="1" l="1"/>
  <c r="M6507" i="1" a="1"/>
  <c r="M6507" i="1" s="1"/>
  <c r="K6507" i="1" a="1"/>
  <c r="K6507" i="1" s="1"/>
  <c r="P6507" i="1" a="1"/>
  <c r="P6507" i="1" s="1"/>
  <c r="Q6507" i="1" a="1"/>
  <c r="Q6507" i="1" s="1"/>
  <c r="L6507" i="1" a="1"/>
  <c r="L6507" i="1" s="1"/>
  <c r="R6507" i="1" a="1"/>
  <c r="R6507" i="1" s="1"/>
  <c r="N6507" i="1" a="1"/>
  <c r="N6507" i="1" s="1"/>
  <c r="O6507" i="1" a="1"/>
  <c r="O6507" i="1" s="1"/>
  <c r="J6507" i="1" a="1"/>
  <c r="J6507" i="1" s="1"/>
  <c r="S6507" i="1" a="1"/>
  <c r="S6507" i="1" s="1"/>
  <c r="H6506" i="1"/>
  <c r="A6507" i="1"/>
  <c r="I6507" i="1" s="1" a="1"/>
  <c r="I6507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6507" i="1" l="1"/>
  <c r="A6508" i="1"/>
  <c r="I6508" i="1" a="1"/>
  <c r="I6508" i="1" s="1"/>
  <c r="R6508" i="1" a="1"/>
  <c r="R6508" i="1" s="1"/>
  <c r="N6508" i="1" a="1"/>
  <c r="N6508" i="1" s="1"/>
  <c r="S6508" i="1" a="1"/>
  <c r="S6508" i="1" s="1"/>
  <c r="J6508" i="1" a="1"/>
  <c r="J6508" i="1" s="1"/>
  <c r="O6508" i="1" a="1"/>
  <c r="O6508" i="1" s="1"/>
  <c r="B6509" i="1"/>
  <c r="Q6508" i="1" a="1"/>
  <c r="Q6508" i="1" s="1"/>
  <c r="K6508" i="1" a="1"/>
  <c r="K6508" i="1" s="1"/>
  <c r="L6508" i="1" a="1"/>
  <c r="L6508" i="1" s="1"/>
  <c r="M6508" i="1" a="1"/>
  <c r="M6508" i="1" s="1"/>
  <c r="P6508" i="1" a="1"/>
  <c r="P6508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6508" i="1" l="1"/>
  <c r="A6509" i="1"/>
  <c r="N6509" i="1" a="1"/>
  <c r="N6509" i="1" s="1"/>
  <c r="S6509" i="1" a="1"/>
  <c r="S6509" i="1" s="1"/>
  <c r="L6509" i="1" a="1"/>
  <c r="L6509" i="1" s="1"/>
  <c r="Q6509" i="1" a="1"/>
  <c r="Q6509" i="1" s="1"/>
  <c r="M6509" i="1" a="1"/>
  <c r="M6509" i="1" s="1"/>
  <c r="B6510" i="1"/>
  <c r="O6509" i="1" a="1"/>
  <c r="O6509" i="1" s="1"/>
  <c r="P6509" i="1" a="1"/>
  <c r="P6509" i="1" s="1"/>
  <c r="I6509" i="1" a="1"/>
  <c r="I6509" i="1" s="1"/>
  <c r="J6509" i="1" a="1"/>
  <c r="J6509" i="1" s="1"/>
  <c r="K6509" i="1" a="1"/>
  <c r="K6509" i="1" s="1"/>
  <c r="R6509" i="1" a="1"/>
  <c r="R6509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O6510" i="1" l="1" a="1"/>
  <c r="O6510" i="1" s="1"/>
  <c r="N6510" i="1" a="1"/>
  <c r="N6510" i="1" s="1"/>
  <c r="S6510" i="1" a="1"/>
  <c r="S6510" i="1" s="1"/>
  <c r="J6510" i="1" a="1"/>
  <c r="J6510" i="1" s="1"/>
  <c r="B6511" i="1"/>
  <c r="Q6510" i="1" a="1"/>
  <c r="Q6510" i="1" s="1"/>
  <c r="K6510" i="1" a="1"/>
  <c r="K6510" i="1" s="1"/>
  <c r="R6510" i="1" a="1"/>
  <c r="R6510" i="1" s="1"/>
  <c r="L6510" i="1" a="1"/>
  <c r="L6510" i="1" s="1"/>
  <c r="M6510" i="1" a="1"/>
  <c r="M6510" i="1" s="1"/>
  <c r="P6510" i="1" a="1"/>
  <c r="P6510" i="1" s="1"/>
  <c r="H6509" i="1"/>
  <c r="A6510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6510" i="1" l="1"/>
  <c r="A6511" i="1"/>
  <c r="B6512" i="1"/>
  <c r="K6511" i="1" a="1"/>
  <c r="K6511" i="1" s="1"/>
  <c r="Q6511" i="1" a="1"/>
  <c r="Q6511" i="1" s="1"/>
  <c r="L6511" i="1" a="1"/>
  <c r="L6511" i="1" s="1"/>
  <c r="M6511" i="1" a="1"/>
  <c r="M6511" i="1" s="1"/>
  <c r="R6511" i="1" a="1"/>
  <c r="R6511" i="1" s="1"/>
  <c r="N6511" i="1" a="1"/>
  <c r="N6511" i="1" s="1"/>
  <c r="O6511" i="1" a="1"/>
  <c r="O6511" i="1" s="1"/>
  <c r="P6511" i="1" a="1"/>
  <c r="P6511" i="1" s="1"/>
  <c r="S6511" i="1" a="1"/>
  <c r="S6511" i="1" s="1"/>
  <c r="I6511" i="1" a="1"/>
  <c r="I6511" i="1" s="1"/>
  <c r="J6511" i="1" a="1"/>
  <c r="J6511" i="1" s="1"/>
  <c r="I6510" i="1" a="1"/>
  <c r="I6510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L6512" i="1" l="1" a="1"/>
  <c r="L6512" i="1" s="1"/>
  <c r="N6512" i="1" a="1"/>
  <c r="N6512" i="1" s="1"/>
  <c r="S6512" i="1" a="1"/>
  <c r="S6512" i="1" s="1"/>
  <c r="J6512" i="1" a="1"/>
  <c r="J6512" i="1" s="1"/>
  <c r="O6512" i="1" a="1"/>
  <c r="O6512" i="1" s="1"/>
  <c r="B6513" i="1"/>
  <c r="P6512" i="1" a="1"/>
  <c r="P6512" i="1" s="1"/>
  <c r="Q6512" i="1" a="1"/>
  <c r="Q6512" i="1" s="1"/>
  <c r="R6512" i="1" a="1"/>
  <c r="R6512" i="1" s="1"/>
  <c r="K6512" i="1" a="1"/>
  <c r="K6512" i="1" s="1"/>
  <c r="M6512" i="1" a="1"/>
  <c r="M6512" i="1" s="1"/>
  <c r="H6511" i="1"/>
  <c r="A6512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Q6513" i="1" l="1" a="1"/>
  <c r="Q6513" i="1" s="1"/>
  <c r="L6513" i="1" a="1"/>
  <c r="L6513" i="1" s="1"/>
  <c r="M6513" i="1" a="1"/>
  <c r="M6513" i="1" s="1"/>
  <c r="R6513" i="1" a="1"/>
  <c r="R6513" i="1" s="1"/>
  <c r="J6513" i="1" a="1"/>
  <c r="J6513" i="1" s="1"/>
  <c r="K6513" i="1" a="1"/>
  <c r="K6513" i="1" s="1"/>
  <c r="B6514" i="1"/>
  <c r="N6513" i="1" a="1"/>
  <c r="N6513" i="1" s="1"/>
  <c r="O6513" i="1" a="1"/>
  <c r="O6513" i="1" s="1"/>
  <c r="P6513" i="1" a="1"/>
  <c r="P6513" i="1" s="1"/>
  <c r="S6513" i="1" a="1"/>
  <c r="S6513" i="1" s="1"/>
  <c r="A6513" i="1"/>
  <c r="H6512" i="1"/>
  <c r="I6512" i="1" a="1"/>
  <c r="I6512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6514" i="1" l="1" a="1"/>
  <c r="M6514" i="1" s="1"/>
  <c r="R6514" i="1" a="1"/>
  <c r="R6514" i="1" s="1"/>
  <c r="J6514" i="1" a="1"/>
  <c r="J6514" i="1" s="1"/>
  <c r="O6514" i="1" a="1"/>
  <c r="O6514" i="1" s="1"/>
  <c r="B6515" i="1"/>
  <c r="N6514" i="1" a="1"/>
  <c r="N6514" i="1" s="1"/>
  <c r="P6514" i="1" a="1"/>
  <c r="P6514" i="1" s="1"/>
  <c r="Q6514" i="1" a="1"/>
  <c r="Q6514" i="1" s="1"/>
  <c r="K6514" i="1" a="1"/>
  <c r="K6514" i="1" s="1"/>
  <c r="L6514" i="1" a="1"/>
  <c r="L6514" i="1" s="1"/>
  <c r="S6514" i="1" a="1"/>
  <c r="S6514" i="1" s="1"/>
  <c r="A6514" i="1"/>
  <c r="H6513" i="1"/>
  <c r="I6513" i="1" a="1"/>
  <c r="I6513" i="1" s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B6516" i="1" l="1"/>
  <c r="N6515" i="1" a="1"/>
  <c r="N6515" i="1" s="1"/>
  <c r="Q6515" i="1" a="1"/>
  <c r="Q6515" i="1" s="1"/>
  <c r="L6515" i="1" a="1"/>
  <c r="L6515" i="1" s="1"/>
  <c r="M6515" i="1" a="1"/>
  <c r="M6515" i="1" s="1"/>
  <c r="R6515" i="1" a="1"/>
  <c r="R6515" i="1" s="1"/>
  <c r="J6515" i="1" a="1"/>
  <c r="J6515" i="1" s="1"/>
  <c r="S6515" i="1" a="1"/>
  <c r="S6515" i="1" s="1"/>
  <c r="K6515" i="1" a="1"/>
  <c r="K6515" i="1" s="1"/>
  <c r="O6515" i="1" a="1"/>
  <c r="O6515" i="1" s="1"/>
  <c r="P6515" i="1" a="1"/>
  <c r="P6515" i="1" s="1"/>
  <c r="H6514" i="1"/>
  <c r="A6515" i="1"/>
  <c r="I6514" i="1" a="1"/>
  <c r="I6514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H6515" i="1" l="1"/>
  <c r="A6516" i="1"/>
  <c r="I6515" i="1" a="1"/>
  <c r="I6515" i="1" s="1"/>
  <c r="J6516" i="1" a="1"/>
  <c r="J6516" i="1" s="1"/>
  <c r="S6516" i="1" a="1"/>
  <c r="S6516" i="1" s="1"/>
  <c r="I6516" i="1" a="1"/>
  <c r="I6516" i="1" s="1"/>
  <c r="N6516" i="1" a="1"/>
  <c r="N6516" i="1" s="1"/>
  <c r="O6516" i="1" a="1"/>
  <c r="O6516" i="1" s="1"/>
  <c r="B6517" i="1"/>
  <c r="P6516" i="1" a="1"/>
  <c r="P6516" i="1" s="1"/>
  <c r="M6516" i="1" a="1"/>
  <c r="M6516" i="1" s="1"/>
  <c r="Q6516" i="1" a="1"/>
  <c r="Q6516" i="1" s="1"/>
  <c r="R6516" i="1" a="1"/>
  <c r="R6516" i="1" s="1"/>
  <c r="K6516" i="1" a="1"/>
  <c r="K6516" i="1" s="1"/>
  <c r="L6516" i="1" a="1"/>
  <c r="L6516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6517" i="1" l="1"/>
  <c r="H6516" i="1"/>
  <c r="K6517" i="1" a="1"/>
  <c r="K6517" i="1" s="1"/>
  <c r="L6517" i="1" a="1"/>
  <c r="L6517" i="1" s="1"/>
  <c r="Q6517" i="1" a="1"/>
  <c r="Q6517" i="1" s="1"/>
  <c r="M6517" i="1" a="1"/>
  <c r="M6517" i="1" s="1"/>
  <c r="R6517" i="1" a="1"/>
  <c r="R6517" i="1" s="1"/>
  <c r="I6517" i="1" a="1"/>
  <c r="I6517" i="1" s="1"/>
  <c r="S6517" i="1" a="1"/>
  <c r="S6517" i="1" s="1"/>
  <c r="J6517" i="1" a="1"/>
  <c r="J6517" i="1" s="1"/>
  <c r="B6518" i="1"/>
  <c r="N6517" i="1" a="1"/>
  <c r="N6517" i="1" s="1"/>
  <c r="O6517" i="1" a="1"/>
  <c r="O6517" i="1" s="1"/>
  <c r="P6517" i="1" a="1"/>
  <c r="P6517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P6518" i="1" l="1" a="1"/>
  <c r="P6518" i="1" s="1"/>
  <c r="B6519" i="1"/>
  <c r="J6518" i="1" a="1"/>
  <c r="J6518" i="1" s="1"/>
  <c r="O6518" i="1" a="1"/>
  <c r="O6518" i="1" s="1"/>
  <c r="M6518" i="1" a="1"/>
  <c r="M6518" i="1" s="1"/>
  <c r="N6518" i="1" a="1"/>
  <c r="N6518" i="1" s="1"/>
  <c r="Q6518" i="1" a="1"/>
  <c r="Q6518" i="1" s="1"/>
  <c r="L6518" i="1" a="1"/>
  <c r="L6518" i="1" s="1"/>
  <c r="R6518" i="1" a="1"/>
  <c r="R6518" i="1" s="1"/>
  <c r="S6518" i="1" a="1"/>
  <c r="S6518" i="1" s="1"/>
  <c r="K6518" i="1" a="1"/>
  <c r="K6518" i="1" s="1"/>
  <c r="A6518" i="1"/>
  <c r="H6517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6519" i="1" l="1"/>
  <c r="H6518" i="1"/>
  <c r="I6518" i="1" a="1"/>
  <c r="I6518" i="1" s="1"/>
  <c r="B6520" i="1"/>
  <c r="L6519" i="1" a="1"/>
  <c r="L6519" i="1" s="1"/>
  <c r="Q6519" i="1" a="1"/>
  <c r="Q6519" i="1" s="1"/>
  <c r="M6519" i="1" a="1"/>
  <c r="M6519" i="1" s="1"/>
  <c r="R6519" i="1" a="1"/>
  <c r="R6519" i="1" s="1"/>
  <c r="I6519" i="1" a="1"/>
  <c r="I6519" i="1" s="1"/>
  <c r="P6519" i="1" a="1"/>
  <c r="P6519" i="1" s="1"/>
  <c r="J6519" i="1" a="1"/>
  <c r="J6519" i="1" s="1"/>
  <c r="S6519" i="1" a="1"/>
  <c r="S6519" i="1" s="1"/>
  <c r="K6519" i="1" a="1"/>
  <c r="K6519" i="1" s="1"/>
  <c r="N6519" i="1" a="1"/>
  <c r="N6519" i="1" s="1"/>
  <c r="O6519" i="1" a="1"/>
  <c r="O6519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6521" i="1" l="1"/>
  <c r="N6520" i="1" a="1"/>
  <c r="N6520" i="1" s="1"/>
  <c r="J6520" i="1" a="1"/>
  <c r="J6520" i="1" s="1"/>
  <c r="S6520" i="1" a="1"/>
  <c r="S6520" i="1" s="1"/>
  <c r="O6520" i="1" a="1"/>
  <c r="O6520" i="1" s="1"/>
  <c r="R6520" i="1" a="1"/>
  <c r="R6520" i="1" s="1"/>
  <c r="L6520" i="1" a="1"/>
  <c r="L6520" i="1" s="1"/>
  <c r="M6520" i="1" a="1"/>
  <c r="M6520" i="1" s="1"/>
  <c r="K6520" i="1" a="1"/>
  <c r="K6520" i="1" s="1"/>
  <c r="P6520" i="1" a="1"/>
  <c r="P6520" i="1" s="1"/>
  <c r="Q6520" i="1" a="1"/>
  <c r="Q6520" i="1" s="1"/>
  <c r="H6519" i="1"/>
  <c r="A6520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6520" i="1" l="1"/>
  <c r="A6521" i="1"/>
  <c r="I6520" i="1" a="1"/>
  <c r="I6520" i="1" s="1"/>
  <c r="J6521" i="1" a="1"/>
  <c r="J6521" i="1" s="1"/>
  <c r="S6521" i="1" a="1"/>
  <c r="S6521" i="1" s="1"/>
  <c r="O6521" i="1" a="1"/>
  <c r="O6521" i="1" s="1"/>
  <c r="K6521" i="1" a="1"/>
  <c r="K6521" i="1" s="1"/>
  <c r="P6521" i="1" a="1"/>
  <c r="P6521" i="1" s="1"/>
  <c r="B6522" i="1"/>
  <c r="M6521" i="1" a="1"/>
  <c r="M6521" i="1" s="1"/>
  <c r="N6521" i="1" a="1"/>
  <c r="N6521" i="1" s="1"/>
  <c r="I6521" i="1" a="1"/>
  <c r="I6521" i="1" s="1"/>
  <c r="Q6521" i="1" a="1"/>
  <c r="Q6521" i="1" s="1"/>
  <c r="R6521" i="1" a="1"/>
  <c r="R6521" i="1" s="1"/>
  <c r="L6521" i="1" a="1"/>
  <c r="L6521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6522" i="1" l="1"/>
  <c r="I6522" i="1" s="1" a="1"/>
  <c r="I6522" i="1" s="1"/>
  <c r="H6521" i="1"/>
  <c r="K6522" i="1" a="1"/>
  <c r="K6522" i="1" s="1"/>
  <c r="P6522" i="1" a="1"/>
  <c r="P6522" i="1" s="1"/>
  <c r="B6523" i="1"/>
  <c r="L6522" i="1" a="1"/>
  <c r="L6522" i="1" s="1"/>
  <c r="N6522" i="1" a="1"/>
  <c r="N6522" i="1" s="1"/>
  <c r="O6522" i="1" a="1"/>
  <c r="O6522" i="1" s="1"/>
  <c r="Q6522" i="1" a="1"/>
  <c r="Q6522" i="1" s="1"/>
  <c r="J6522" i="1" a="1"/>
  <c r="J6522" i="1" s="1"/>
  <c r="R6522" i="1" a="1"/>
  <c r="R6522" i="1" s="1"/>
  <c r="M6522" i="1" a="1"/>
  <c r="M6522" i="1" s="1"/>
  <c r="S6522" i="1" a="1"/>
  <c r="S6522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L6523" i="1" l="1" a="1"/>
  <c r="L6523" i="1" s="1"/>
  <c r="Q6523" i="1" a="1"/>
  <c r="Q6523" i="1" s="1"/>
  <c r="O6523" i="1" a="1"/>
  <c r="O6523" i="1" s="1"/>
  <c r="B6524" i="1"/>
  <c r="J6523" i="1" a="1"/>
  <c r="J6523" i="1" s="1"/>
  <c r="P6523" i="1" a="1"/>
  <c r="P6523" i="1" s="1"/>
  <c r="K6523" i="1" a="1"/>
  <c r="K6523" i="1" s="1"/>
  <c r="R6523" i="1" a="1"/>
  <c r="R6523" i="1" s="1"/>
  <c r="M6523" i="1" a="1"/>
  <c r="M6523" i="1" s="1"/>
  <c r="N6523" i="1" a="1"/>
  <c r="N6523" i="1" s="1"/>
  <c r="S6523" i="1" a="1"/>
  <c r="S6523" i="1" s="1"/>
  <c r="A6523" i="1"/>
  <c r="H6522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6523" i="1" l="1"/>
  <c r="A6524" i="1"/>
  <c r="I6524" i="1" s="1" a="1"/>
  <c r="I6524" i="1" s="1"/>
  <c r="B6525" i="1"/>
  <c r="M6524" i="1" a="1"/>
  <c r="M6524" i="1" s="1"/>
  <c r="R6524" i="1" a="1"/>
  <c r="R6524" i="1" s="1"/>
  <c r="O6524" i="1" a="1"/>
  <c r="O6524" i="1" s="1"/>
  <c r="J6524" i="1" a="1"/>
  <c r="J6524" i="1" s="1"/>
  <c r="P6524" i="1" a="1"/>
  <c r="P6524" i="1" s="1"/>
  <c r="K6524" i="1" a="1"/>
  <c r="K6524" i="1" s="1"/>
  <c r="Q6524" i="1" a="1"/>
  <c r="Q6524" i="1" s="1"/>
  <c r="L6524" i="1" a="1"/>
  <c r="L6524" i="1" s="1"/>
  <c r="N6524" i="1" a="1"/>
  <c r="N6524" i="1" s="1"/>
  <c r="S6524" i="1" a="1"/>
  <c r="S6524" i="1" s="1"/>
  <c r="I6523" i="1" a="1"/>
  <c r="I6523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R6525" i="1" l="1" a="1"/>
  <c r="R6525" i="1" s="1"/>
  <c r="N6525" i="1" a="1"/>
  <c r="N6525" i="1" s="1"/>
  <c r="M6525" i="1" a="1"/>
  <c r="M6525" i="1" s="1"/>
  <c r="B6526" i="1"/>
  <c r="O6525" i="1" a="1"/>
  <c r="O6525" i="1" s="1"/>
  <c r="J6525" i="1" a="1"/>
  <c r="J6525" i="1" s="1"/>
  <c r="P6525" i="1" a="1"/>
  <c r="P6525" i="1" s="1"/>
  <c r="Q6525" i="1" a="1"/>
  <c r="Q6525" i="1" s="1"/>
  <c r="S6525" i="1" a="1"/>
  <c r="S6525" i="1" s="1"/>
  <c r="K6525" i="1" a="1"/>
  <c r="K6525" i="1" s="1"/>
  <c r="L6525" i="1" a="1"/>
  <c r="L6525" i="1" s="1"/>
  <c r="H6524" i="1"/>
  <c r="A6525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6526" i="1" l="1"/>
  <c r="H6525" i="1"/>
  <c r="N6526" i="1" a="1"/>
  <c r="N6526" i="1" s="1"/>
  <c r="S6526" i="1" a="1"/>
  <c r="S6526" i="1" s="1"/>
  <c r="J6526" i="1" a="1"/>
  <c r="J6526" i="1" s="1"/>
  <c r="O6526" i="1" a="1"/>
  <c r="O6526" i="1" s="1"/>
  <c r="R6526" i="1" a="1"/>
  <c r="R6526" i="1" s="1"/>
  <c r="M6526" i="1" a="1"/>
  <c r="M6526" i="1" s="1"/>
  <c r="B6527" i="1"/>
  <c r="I6526" i="1" a="1"/>
  <c r="I6526" i="1" s="1"/>
  <c r="P6526" i="1" a="1"/>
  <c r="P6526" i="1" s="1"/>
  <c r="K6526" i="1" a="1"/>
  <c r="K6526" i="1" s="1"/>
  <c r="Q6526" i="1" a="1"/>
  <c r="Q6526" i="1" s="1"/>
  <c r="L6526" i="1" a="1"/>
  <c r="L6526" i="1" s="1"/>
  <c r="I6525" i="1" a="1"/>
  <c r="I6525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O6527" i="1" l="1" a="1"/>
  <c r="O6527" i="1" s="1"/>
  <c r="K6527" i="1" a="1"/>
  <c r="K6527" i="1" s="1"/>
  <c r="L6527" i="1" a="1"/>
  <c r="L6527" i="1" s="1"/>
  <c r="R6527" i="1" a="1"/>
  <c r="R6527" i="1" s="1"/>
  <c r="M6527" i="1" a="1"/>
  <c r="M6527" i="1" s="1"/>
  <c r="S6527" i="1" a="1"/>
  <c r="S6527" i="1" s="1"/>
  <c r="N6527" i="1" a="1"/>
  <c r="N6527" i="1" s="1"/>
  <c r="B6528" i="1"/>
  <c r="J6527" i="1" a="1"/>
  <c r="J6527" i="1" s="1"/>
  <c r="P6527" i="1" a="1"/>
  <c r="P6527" i="1" s="1"/>
  <c r="Q6527" i="1" a="1"/>
  <c r="Q6527" i="1" s="1"/>
  <c r="A6527" i="1"/>
  <c r="H6526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B6529" i="1" l="1"/>
  <c r="K6528" i="1" a="1"/>
  <c r="K6528" i="1" s="1"/>
  <c r="P6528" i="1" a="1"/>
  <c r="P6528" i="1" s="1"/>
  <c r="L6528" i="1" a="1"/>
  <c r="L6528" i="1" s="1"/>
  <c r="R6528" i="1" a="1"/>
  <c r="R6528" i="1" s="1"/>
  <c r="M6528" i="1" a="1"/>
  <c r="M6528" i="1" s="1"/>
  <c r="S6528" i="1" a="1"/>
  <c r="S6528" i="1" s="1"/>
  <c r="N6528" i="1" a="1"/>
  <c r="N6528" i="1" s="1"/>
  <c r="J6528" i="1" a="1"/>
  <c r="J6528" i="1" s="1"/>
  <c r="O6528" i="1" a="1"/>
  <c r="O6528" i="1" s="1"/>
  <c r="Q6528" i="1" a="1"/>
  <c r="Q6528" i="1" s="1"/>
  <c r="A6528" i="1"/>
  <c r="I6528" i="1" s="1" a="1"/>
  <c r="I6528" i="1" s="1"/>
  <c r="H6527" i="1"/>
  <c r="I6527" i="1" a="1"/>
  <c r="I6527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6528" i="1" l="1"/>
  <c r="A6529" i="1"/>
  <c r="I6529" i="1" s="1" a="1"/>
  <c r="I6529" i="1" s="1"/>
  <c r="L6529" i="1" a="1"/>
  <c r="L6529" i="1" s="1"/>
  <c r="Q6529" i="1" a="1"/>
  <c r="Q6529" i="1" s="1"/>
  <c r="J6529" i="1" a="1"/>
  <c r="J6529" i="1" s="1"/>
  <c r="P6529" i="1" a="1"/>
  <c r="P6529" i="1" s="1"/>
  <c r="K6529" i="1" a="1"/>
  <c r="K6529" i="1" s="1"/>
  <c r="R6529" i="1" a="1"/>
  <c r="R6529" i="1" s="1"/>
  <c r="M6529" i="1" a="1"/>
  <c r="M6529" i="1" s="1"/>
  <c r="S6529" i="1" a="1"/>
  <c r="S6529" i="1" s="1"/>
  <c r="N6529" i="1" a="1"/>
  <c r="N6529" i="1" s="1"/>
  <c r="O6529" i="1" a="1"/>
  <c r="O6529" i="1" s="1"/>
  <c r="B6530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6530" i="1" l="1"/>
  <c r="H6529" i="1"/>
  <c r="Q6530" i="1" a="1"/>
  <c r="Q6530" i="1" s="1"/>
  <c r="M6530" i="1" a="1"/>
  <c r="M6530" i="1" s="1"/>
  <c r="J6530" i="1" a="1"/>
  <c r="J6530" i="1" s="1"/>
  <c r="P6530" i="1" a="1"/>
  <c r="P6530" i="1" s="1"/>
  <c r="K6530" i="1" a="1"/>
  <c r="K6530" i="1" s="1"/>
  <c r="R6530" i="1" a="1"/>
  <c r="R6530" i="1" s="1"/>
  <c r="L6530" i="1" a="1"/>
  <c r="L6530" i="1" s="1"/>
  <c r="S6530" i="1" a="1"/>
  <c r="S6530" i="1" s="1"/>
  <c r="O6530" i="1" a="1"/>
  <c r="O6530" i="1" s="1"/>
  <c r="B6531" i="1"/>
  <c r="I6530" i="1" a="1"/>
  <c r="I6530" i="1" s="1"/>
  <c r="N6530" i="1" a="1"/>
  <c r="N6530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M6531" i="1" l="1" a="1"/>
  <c r="M6531" i="1" s="1"/>
  <c r="R6531" i="1" a="1"/>
  <c r="R6531" i="1" s="1"/>
  <c r="N6531" i="1" a="1"/>
  <c r="N6531" i="1" s="1"/>
  <c r="O6531" i="1" a="1"/>
  <c r="O6531" i="1" s="1"/>
  <c r="B6532" i="1"/>
  <c r="J6531" i="1" a="1"/>
  <c r="J6531" i="1" s="1"/>
  <c r="P6531" i="1" a="1"/>
  <c r="P6531" i="1" s="1"/>
  <c r="K6531" i="1" a="1"/>
  <c r="K6531" i="1" s="1"/>
  <c r="Q6531" i="1" a="1"/>
  <c r="Q6531" i="1" s="1"/>
  <c r="S6531" i="1" a="1"/>
  <c r="S6531" i="1" s="1"/>
  <c r="L6531" i="1" a="1"/>
  <c r="L6531" i="1" s="1"/>
  <c r="H6530" i="1"/>
  <c r="A6531" i="1"/>
  <c r="I6531" i="1" s="1" a="1"/>
  <c r="I6531" i="1" s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6531" i="1" l="1"/>
  <c r="A6532" i="1"/>
  <c r="B6533" i="1"/>
  <c r="N6532" i="1" a="1"/>
  <c r="N6532" i="1" s="1"/>
  <c r="J6532" i="1" a="1"/>
  <c r="J6532" i="1" s="1"/>
  <c r="S6532" i="1" a="1"/>
  <c r="S6532" i="1" s="1"/>
  <c r="O6532" i="1" a="1"/>
  <c r="O6532" i="1" s="1"/>
  <c r="I6532" i="1" a="1"/>
  <c r="I6532" i="1" s="1"/>
  <c r="P6532" i="1" a="1"/>
  <c r="P6532" i="1" s="1"/>
  <c r="K6532" i="1" a="1"/>
  <c r="K6532" i="1" s="1"/>
  <c r="Q6532" i="1" a="1"/>
  <c r="Q6532" i="1" s="1"/>
  <c r="L6532" i="1" a="1"/>
  <c r="L6532" i="1" s="1"/>
  <c r="M6532" i="1" a="1"/>
  <c r="M6532" i="1" s="1"/>
  <c r="R6532" i="1" a="1"/>
  <c r="R6532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J6533" i="1" l="1" a="1"/>
  <c r="J6533" i="1" s="1"/>
  <c r="S6533" i="1" a="1"/>
  <c r="S6533" i="1" s="1"/>
  <c r="O6533" i="1" a="1"/>
  <c r="O6533" i="1" s="1"/>
  <c r="M6533" i="1" a="1"/>
  <c r="M6533" i="1" s="1"/>
  <c r="B6534" i="1"/>
  <c r="N6533" i="1" a="1"/>
  <c r="N6533" i="1" s="1"/>
  <c r="I6533" i="1" a="1"/>
  <c r="I6533" i="1" s="1"/>
  <c r="P6533" i="1" a="1"/>
  <c r="P6533" i="1" s="1"/>
  <c r="K6533" i="1" a="1"/>
  <c r="K6533" i="1" s="1"/>
  <c r="L6533" i="1" a="1"/>
  <c r="L6533" i="1" s="1"/>
  <c r="Q6533" i="1" a="1"/>
  <c r="Q6533" i="1" s="1"/>
  <c r="R6533" i="1" a="1"/>
  <c r="R6533" i="1" s="1"/>
  <c r="H6532" i="1"/>
  <c r="A6533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K6534" i="1" l="1" a="1"/>
  <c r="K6534" i="1" s="1"/>
  <c r="O6534" i="1" a="1"/>
  <c r="O6534" i="1" s="1"/>
  <c r="S6534" i="1" a="1"/>
  <c r="S6534" i="1" s="1"/>
  <c r="L6534" i="1" a="1"/>
  <c r="L6534" i="1" s="1"/>
  <c r="Q6534" i="1" a="1"/>
  <c r="Q6534" i="1" s="1"/>
  <c r="M6534" i="1" a="1"/>
  <c r="M6534" i="1" s="1"/>
  <c r="I6534" i="1" a="1"/>
  <c r="I6534" i="1" s="1"/>
  <c r="B6535" i="1"/>
  <c r="N6534" i="1" a="1"/>
  <c r="N6534" i="1" s="1"/>
  <c r="P6534" i="1" a="1"/>
  <c r="P6534" i="1" s="1"/>
  <c r="J6534" i="1" a="1"/>
  <c r="J6534" i="1" s="1"/>
  <c r="R6534" i="1" a="1"/>
  <c r="R6534" i="1" s="1"/>
  <c r="A6534" i="1"/>
  <c r="H6533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H6534" i="1" l="1"/>
  <c r="A6535" i="1"/>
  <c r="I6535" i="1" a="1"/>
  <c r="I6535" i="1" s="1"/>
  <c r="M6535" i="1" a="1"/>
  <c r="M6535" i="1" s="1"/>
  <c r="Q6535" i="1" a="1"/>
  <c r="Q6535" i="1" s="1"/>
  <c r="L6535" i="1" a="1"/>
  <c r="L6535" i="1" s="1"/>
  <c r="R6535" i="1" a="1"/>
  <c r="R6535" i="1" s="1"/>
  <c r="N6535" i="1" a="1"/>
  <c r="N6535" i="1" s="1"/>
  <c r="B6536" i="1"/>
  <c r="O6535" i="1" a="1"/>
  <c r="O6535" i="1" s="1"/>
  <c r="P6535" i="1" a="1"/>
  <c r="P6535" i="1" s="1"/>
  <c r="J6535" i="1" a="1"/>
  <c r="J6535" i="1" s="1"/>
  <c r="S6535" i="1" a="1"/>
  <c r="S6535" i="1" s="1"/>
  <c r="K6535" i="1" a="1"/>
  <c r="K6535" i="1" s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6535" i="1" l="1"/>
  <c r="A6536" i="1"/>
  <c r="L6536" i="1" a="1"/>
  <c r="L6536" i="1" s="1"/>
  <c r="P6536" i="1" a="1"/>
  <c r="P6536" i="1" s="1"/>
  <c r="M6536" i="1" a="1"/>
  <c r="M6536" i="1" s="1"/>
  <c r="I6536" i="1" a="1"/>
  <c r="I6536" i="1" s="1"/>
  <c r="R6536" i="1" a="1"/>
  <c r="R6536" i="1" s="1"/>
  <c r="N6536" i="1" a="1"/>
  <c r="N6536" i="1" s="1"/>
  <c r="J6536" i="1" a="1"/>
  <c r="J6536" i="1" s="1"/>
  <c r="S6536" i="1" a="1"/>
  <c r="S6536" i="1" s="1"/>
  <c r="Q6536" i="1" a="1"/>
  <c r="Q6536" i="1" s="1"/>
  <c r="K6536" i="1" a="1"/>
  <c r="K6536" i="1" s="1"/>
  <c r="B6537" i="1"/>
  <c r="O6536" i="1" a="1"/>
  <c r="O6536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6537" i="1" l="1"/>
  <c r="H6536" i="1"/>
  <c r="K6537" i="1" a="1"/>
  <c r="K6537" i="1" s="1"/>
  <c r="O6537" i="1" a="1"/>
  <c r="O6537" i="1" s="1"/>
  <c r="S6537" i="1" a="1"/>
  <c r="S6537" i="1" s="1"/>
  <c r="I6537" i="1" a="1"/>
  <c r="I6537" i="1" s="1"/>
  <c r="R6537" i="1" a="1"/>
  <c r="R6537" i="1" s="1"/>
  <c r="N6537" i="1" a="1"/>
  <c r="N6537" i="1" s="1"/>
  <c r="J6537" i="1" a="1"/>
  <c r="J6537" i="1" s="1"/>
  <c r="M6537" i="1" a="1"/>
  <c r="M6537" i="1" s="1"/>
  <c r="P6537" i="1" a="1"/>
  <c r="P6537" i="1" s="1"/>
  <c r="Q6537" i="1" a="1"/>
  <c r="Q6537" i="1" s="1"/>
  <c r="B6538" i="1"/>
  <c r="L6537" i="1" a="1"/>
  <c r="L6537" i="1" s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J6538" i="1" l="1" a="1"/>
  <c r="J6538" i="1" s="1"/>
  <c r="N6538" i="1" a="1"/>
  <c r="N6538" i="1" s="1"/>
  <c r="R6538" i="1" a="1"/>
  <c r="R6538" i="1" s="1"/>
  <c r="S6538" i="1" a="1"/>
  <c r="S6538" i="1" s="1"/>
  <c r="O6538" i="1" a="1"/>
  <c r="O6538" i="1" s="1"/>
  <c r="K6538" i="1" a="1"/>
  <c r="K6538" i="1" s="1"/>
  <c r="P6538" i="1" a="1"/>
  <c r="P6538" i="1" s="1"/>
  <c r="B6539" i="1"/>
  <c r="L6538" i="1" a="1"/>
  <c r="L6538" i="1" s="1"/>
  <c r="M6538" i="1" a="1"/>
  <c r="M6538" i="1" s="1"/>
  <c r="Q6538" i="1" a="1"/>
  <c r="Q6538" i="1" s="1"/>
  <c r="A6538" i="1"/>
  <c r="I6538" i="1" s="1" a="1"/>
  <c r="I6538" i="1" s="1"/>
  <c r="H6537" i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6539" i="1" l="1"/>
  <c r="H6538" i="1"/>
  <c r="I6539" i="1" a="1"/>
  <c r="I6539" i="1" s="1"/>
  <c r="M6539" i="1" a="1"/>
  <c r="M6539" i="1" s="1"/>
  <c r="Q6539" i="1" a="1"/>
  <c r="Q6539" i="1" s="1"/>
  <c r="O6539" i="1" a="1"/>
  <c r="O6539" i="1" s="1"/>
  <c r="K6539" i="1" a="1"/>
  <c r="K6539" i="1" s="1"/>
  <c r="P6539" i="1" a="1"/>
  <c r="P6539" i="1" s="1"/>
  <c r="B6540" i="1"/>
  <c r="L6539" i="1" a="1"/>
  <c r="L6539" i="1" s="1"/>
  <c r="R6539" i="1" a="1"/>
  <c r="R6539" i="1" s="1"/>
  <c r="J6539" i="1" a="1"/>
  <c r="J6539" i="1" s="1"/>
  <c r="S6539" i="1" a="1"/>
  <c r="S6539" i="1" s="1"/>
  <c r="N6539" i="1" a="1"/>
  <c r="N6539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L6540" i="1" l="1" a="1"/>
  <c r="L6540" i="1" s="1"/>
  <c r="P6540" i="1" a="1"/>
  <c r="P6540" i="1" s="1"/>
  <c r="K6540" i="1" a="1"/>
  <c r="K6540" i="1" s="1"/>
  <c r="B6541" i="1"/>
  <c r="Q6540" i="1" a="1"/>
  <c r="Q6540" i="1" s="1"/>
  <c r="M6540" i="1" a="1"/>
  <c r="M6540" i="1" s="1"/>
  <c r="N6540" i="1" a="1"/>
  <c r="N6540" i="1" s="1"/>
  <c r="O6540" i="1" a="1"/>
  <c r="O6540" i="1" s="1"/>
  <c r="R6540" i="1" a="1"/>
  <c r="R6540" i="1" s="1"/>
  <c r="S6540" i="1" a="1"/>
  <c r="S6540" i="1" s="1"/>
  <c r="J6540" i="1" a="1"/>
  <c r="J6540" i="1" s="1"/>
  <c r="A6540" i="1"/>
  <c r="H6539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K6541" i="1" l="1" a="1"/>
  <c r="K6541" i="1" s="1"/>
  <c r="O6541" i="1" a="1"/>
  <c r="O6541" i="1" s="1"/>
  <c r="S6541" i="1" a="1"/>
  <c r="S6541" i="1" s="1"/>
  <c r="L6541" i="1" a="1"/>
  <c r="L6541" i="1" s="1"/>
  <c r="Q6541" i="1" a="1"/>
  <c r="Q6541" i="1" s="1"/>
  <c r="M6541" i="1" a="1"/>
  <c r="M6541" i="1" s="1"/>
  <c r="R6541" i="1" a="1"/>
  <c r="R6541" i="1" s="1"/>
  <c r="P6541" i="1" a="1"/>
  <c r="P6541" i="1" s="1"/>
  <c r="J6541" i="1" a="1"/>
  <c r="J6541" i="1" s="1"/>
  <c r="B6542" i="1"/>
  <c r="N6541" i="1" a="1"/>
  <c r="N6541" i="1" s="1"/>
  <c r="A6541" i="1"/>
  <c r="I6541" i="1" s="1" a="1"/>
  <c r="I6541" i="1" s="1"/>
  <c r="H6540" i="1"/>
  <c r="I6540" i="1" a="1"/>
  <c r="I6540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H6541" i="1" l="1"/>
  <c r="A6542" i="1"/>
  <c r="J6542" i="1" a="1"/>
  <c r="J6542" i="1" s="1"/>
  <c r="N6542" i="1" a="1"/>
  <c r="N6542" i="1" s="1"/>
  <c r="R6542" i="1" a="1"/>
  <c r="R6542" i="1" s="1"/>
  <c r="Q6542" i="1" a="1"/>
  <c r="Q6542" i="1" s="1"/>
  <c r="M6542" i="1" a="1"/>
  <c r="M6542" i="1" s="1"/>
  <c r="I6542" i="1" a="1"/>
  <c r="I6542" i="1" s="1"/>
  <c r="S6542" i="1" a="1"/>
  <c r="S6542" i="1" s="1"/>
  <c r="L6542" i="1" a="1"/>
  <c r="L6542" i="1" s="1"/>
  <c r="O6542" i="1" a="1"/>
  <c r="O6542" i="1" s="1"/>
  <c r="P6542" i="1" a="1"/>
  <c r="P6542" i="1" s="1"/>
  <c r="K6542" i="1" a="1"/>
  <c r="K6542" i="1" s="1"/>
  <c r="B6543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M6543" i="1" l="1" a="1"/>
  <c r="M6543" i="1" s="1"/>
  <c r="Q6543" i="1" a="1"/>
  <c r="Q6543" i="1" s="1"/>
  <c r="R6543" i="1" a="1"/>
  <c r="R6543" i="1" s="1"/>
  <c r="N6543" i="1" a="1"/>
  <c r="N6543" i="1" s="1"/>
  <c r="J6543" i="1" a="1"/>
  <c r="J6543" i="1" s="1"/>
  <c r="S6543" i="1" a="1"/>
  <c r="S6543" i="1" s="1"/>
  <c r="O6543" i="1" a="1"/>
  <c r="O6543" i="1" s="1"/>
  <c r="K6543" i="1" a="1"/>
  <c r="K6543" i="1" s="1"/>
  <c r="B6544" i="1"/>
  <c r="L6543" i="1" a="1"/>
  <c r="L6543" i="1" s="1"/>
  <c r="P6543" i="1" a="1"/>
  <c r="P6543" i="1" s="1"/>
  <c r="H6542" i="1"/>
  <c r="A6543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H6543" i="1" l="1"/>
  <c r="A6544" i="1"/>
  <c r="L6544" i="1" a="1"/>
  <c r="L6544" i="1" s="1"/>
  <c r="P6544" i="1" a="1"/>
  <c r="P6544" i="1" s="1"/>
  <c r="N6544" i="1" a="1"/>
  <c r="N6544" i="1" s="1"/>
  <c r="J6544" i="1" a="1"/>
  <c r="J6544" i="1" s="1"/>
  <c r="S6544" i="1" a="1"/>
  <c r="S6544" i="1" s="1"/>
  <c r="O6544" i="1" a="1"/>
  <c r="O6544" i="1" s="1"/>
  <c r="K6544" i="1" a="1"/>
  <c r="K6544" i="1" s="1"/>
  <c r="B6545" i="1"/>
  <c r="Q6544" i="1" a="1"/>
  <c r="Q6544" i="1" s="1"/>
  <c r="I6544" i="1" a="1"/>
  <c r="I6544" i="1" s="1"/>
  <c r="R6544" i="1" a="1"/>
  <c r="R6544" i="1" s="1"/>
  <c r="M6544" i="1" a="1"/>
  <c r="M6544" i="1" s="1"/>
  <c r="I6543" i="1" a="1"/>
  <c r="I6543" i="1" s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6545" i="1" l="1"/>
  <c r="H6544" i="1"/>
  <c r="K6545" i="1" a="1"/>
  <c r="K6545" i="1" s="1"/>
  <c r="O6545" i="1" a="1"/>
  <c r="O6545" i="1" s="1"/>
  <c r="S6545" i="1" a="1"/>
  <c r="S6545" i="1" s="1"/>
  <c r="J6545" i="1" a="1"/>
  <c r="J6545" i="1" s="1"/>
  <c r="P6545" i="1" a="1"/>
  <c r="P6545" i="1" s="1"/>
  <c r="B6546" i="1"/>
  <c r="L6545" i="1" a="1"/>
  <c r="L6545" i="1" s="1"/>
  <c r="M6545" i="1" a="1"/>
  <c r="M6545" i="1" s="1"/>
  <c r="N6545" i="1" a="1"/>
  <c r="N6545" i="1" s="1"/>
  <c r="Q6545" i="1" a="1"/>
  <c r="Q6545" i="1" s="1"/>
  <c r="I6545" i="1" a="1"/>
  <c r="I6545" i="1" s="1"/>
  <c r="R6545" i="1" a="1"/>
  <c r="R6545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J6546" i="1" l="1" a="1"/>
  <c r="J6546" i="1" s="1"/>
  <c r="N6546" i="1" a="1"/>
  <c r="N6546" i="1" s="1"/>
  <c r="R6546" i="1" a="1"/>
  <c r="R6546" i="1" s="1"/>
  <c r="K6546" i="1" a="1"/>
  <c r="K6546" i="1" s="1"/>
  <c r="P6546" i="1" a="1"/>
  <c r="P6546" i="1" s="1"/>
  <c r="B6547" i="1"/>
  <c r="L6546" i="1" a="1"/>
  <c r="L6546" i="1" s="1"/>
  <c r="Q6546" i="1" a="1"/>
  <c r="Q6546" i="1" s="1"/>
  <c r="O6546" i="1" a="1"/>
  <c r="O6546" i="1" s="1"/>
  <c r="S6546" i="1" a="1"/>
  <c r="S6546" i="1" s="1"/>
  <c r="M6546" i="1" a="1"/>
  <c r="M6546" i="1" s="1"/>
  <c r="A6546" i="1"/>
  <c r="H6545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M6547" i="1" l="1" a="1"/>
  <c r="M6547" i="1" s="1"/>
  <c r="Q6547" i="1" a="1"/>
  <c r="Q6547" i="1" s="1"/>
  <c r="P6547" i="1" a="1"/>
  <c r="P6547" i="1" s="1"/>
  <c r="B6548" i="1"/>
  <c r="L6547" i="1" a="1"/>
  <c r="L6547" i="1" s="1"/>
  <c r="R6547" i="1" a="1"/>
  <c r="R6547" i="1" s="1"/>
  <c r="K6547" i="1" a="1"/>
  <c r="K6547" i="1" s="1"/>
  <c r="N6547" i="1" a="1"/>
  <c r="N6547" i="1" s="1"/>
  <c r="O6547" i="1" a="1"/>
  <c r="O6547" i="1" s="1"/>
  <c r="J6547" i="1" a="1"/>
  <c r="J6547" i="1" s="1"/>
  <c r="S6547" i="1" a="1"/>
  <c r="S6547" i="1" s="1"/>
  <c r="A6547" i="1"/>
  <c r="H6546" i="1"/>
  <c r="I6546" i="1" a="1"/>
  <c r="I6546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H6547" i="1" l="1"/>
  <c r="A6548" i="1"/>
  <c r="L6548" i="1" a="1"/>
  <c r="L6548" i="1" s="1"/>
  <c r="P6548" i="1" a="1"/>
  <c r="P6548" i="1" s="1"/>
  <c r="Q6548" i="1" a="1"/>
  <c r="Q6548" i="1" s="1"/>
  <c r="M6548" i="1" a="1"/>
  <c r="M6548" i="1" s="1"/>
  <c r="I6548" i="1" a="1"/>
  <c r="I6548" i="1" s="1"/>
  <c r="R6548" i="1" a="1"/>
  <c r="R6548" i="1" s="1"/>
  <c r="N6548" i="1" a="1"/>
  <c r="N6548" i="1" s="1"/>
  <c r="J6548" i="1" a="1"/>
  <c r="J6548" i="1" s="1"/>
  <c r="S6548" i="1" a="1"/>
  <c r="S6548" i="1" s="1"/>
  <c r="K6548" i="1" a="1"/>
  <c r="K6548" i="1" s="1"/>
  <c r="B6549" i="1"/>
  <c r="O6548" i="1" a="1"/>
  <c r="O6548" i="1" s="1"/>
  <c r="I6547" i="1" a="1"/>
  <c r="I6547" i="1" s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K6549" i="1" l="1" a="1"/>
  <c r="K6549" i="1" s="1"/>
  <c r="O6549" i="1" a="1"/>
  <c r="O6549" i="1" s="1"/>
  <c r="S6549" i="1" a="1"/>
  <c r="S6549" i="1" s="1"/>
  <c r="M6549" i="1" a="1"/>
  <c r="M6549" i="1" s="1"/>
  <c r="R6549" i="1" a="1"/>
  <c r="R6549" i="1" s="1"/>
  <c r="N6549" i="1" a="1"/>
  <c r="N6549" i="1" s="1"/>
  <c r="J6549" i="1" a="1"/>
  <c r="J6549" i="1" s="1"/>
  <c r="P6549" i="1" a="1"/>
  <c r="P6549" i="1" s="1"/>
  <c r="Q6549" i="1" a="1"/>
  <c r="Q6549" i="1" s="1"/>
  <c r="L6549" i="1" a="1"/>
  <c r="L6549" i="1" s="1"/>
  <c r="B6550" i="1"/>
  <c r="A6549" i="1"/>
  <c r="I6549" i="1" s="1" a="1"/>
  <c r="I6549" i="1" s="1"/>
  <c r="H6548" i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6549" i="1" l="1"/>
  <c r="A6550" i="1"/>
  <c r="J6550" i="1" a="1"/>
  <c r="J6550" i="1" s="1"/>
  <c r="N6550" i="1" a="1"/>
  <c r="N6550" i="1" s="1"/>
  <c r="R6550" i="1" a="1"/>
  <c r="R6550" i="1" s="1"/>
  <c r="I6550" i="1" a="1"/>
  <c r="I6550" i="1" s="1"/>
  <c r="S6550" i="1" a="1"/>
  <c r="S6550" i="1" s="1"/>
  <c r="O6550" i="1" a="1"/>
  <c r="O6550" i="1" s="1"/>
  <c r="K6550" i="1" a="1"/>
  <c r="K6550" i="1" s="1"/>
  <c r="Q6550" i="1" a="1"/>
  <c r="Q6550" i="1" s="1"/>
  <c r="L6550" i="1" a="1"/>
  <c r="L6550" i="1" s="1"/>
  <c r="B6551" i="1"/>
  <c r="M6550" i="1" a="1"/>
  <c r="M6550" i="1" s="1"/>
  <c r="P6550" i="1" a="1"/>
  <c r="P6550" i="1" s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6550" i="1" l="1"/>
  <c r="A6551" i="1"/>
  <c r="I6551" i="1" a="1"/>
  <c r="I6551" i="1" s="1"/>
  <c r="M6551" i="1" a="1"/>
  <c r="M6551" i="1" s="1"/>
  <c r="Q6551" i="1" a="1"/>
  <c r="Q6551" i="1" s="1"/>
  <c r="J6551" i="1" a="1"/>
  <c r="J6551" i="1" s="1"/>
  <c r="S6551" i="1" a="1"/>
  <c r="S6551" i="1" s="1"/>
  <c r="O6551" i="1" a="1"/>
  <c r="O6551" i="1" s="1"/>
  <c r="K6551" i="1" a="1"/>
  <c r="K6551" i="1" s="1"/>
  <c r="R6551" i="1" a="1"/>
  <c r="R6551" i="1" s="1"/>
  <c r="L6551" i="1" a="1"/>
  <c r="L6551" i="1" s="1"/>
  <c r="B6552" i="1"/>
  <c r="N6551" i="1" a="1"/>
  <c r="N6551" i="1" s="1"/>
  <c r="P6551" i="1" a="1"/>
  <c r="P6551" i="1" s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6552" i="1" l="1"/>
  <c r="H6551" i="1"/>
  <c r="L6552" i="1" a="1"/>
  <c r="L6552" i="1" s="1"/>
  <c r="P6552" i="1" a="1"/>
  <c r="P6552" i="1" s="1"/>
  <c r="O6552" i="1" a="1"/>
  <c r="O6552" i="1" s="1"/>
  <c r="K6552" i="1" a="1"/>
  <c r="K6552" i="1" s="1"/>
  <c r="B6553" i="1"/>
  <c r="M6552" i="1" a="1"/>
  <c r="M6552" i="1" s="1"/>
  <c r="S6552" i="1" a="1"/>
  <c r="S6552" i="1" s="1"/>
  <c r="N6552" i="1" a="1"/>
  <c r="N6552" i="1" s="1"/>
  <c r="I6552" i="1" a="1"/>
  <c r="I6552" i="1" s="1"/>
  <c r="Q6552" i="1" a="1"/>
  <c r="Q6552" i="1" s="1"/>
  <c r="J6552" i="1" a="1"/>
  <c r="J6552" i="1" s="1"/>
  <c r="R6552" i="1" a="1"/>
  <c r="R6552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K6553" i="1" l="1" a="1"/>
  <c r="K6553" i="1" s="1"/>
  <c r="O6553" i="1" a="1"/>
  <c r="O6553" i="1" s="1"/>
  <c r="S6553" i="1" a="1"/>
  <c r="S6553" i="1" s="1"/>
  <c r="P6553" i="1" a="1"/>
  <c r="P6553" i="1" s="1"/>
  <c r="B6554" i="1"/>
  <c r="L6553" i="1" a="1"/>
  <c r="L6553" i="1" s="1"/>
  <c r="Q6553" i="1" a="1"/>
  <c r="Q6553" i="1" s="1"/>
  <c r="N6553" i="1" a="1"/>
  <c r="N6553" i="1" s="1"/>
  <c r="J6553" i="1" a="1"/>
  <c r="J6553" i="1" s="1"/>
  <c r="R6553" i="1" a="1"/>
  <c r="R6553" i="1" s="1"/>
  <c r="M6553" i="1" a="1"/>
  <c r="M6553" i="1" s="1"/>
  <c r="A6553" i="1"/>
  <c r="H6552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H6553" i="1" l="1"/>
  <c r="A6554" i="1"/>
  <c r="J6554" i="1" a="1"/>
  <c r="J6554" i="1" s="1"/>
  <c r="N6554" i="1" a="1"/>
  <c r="N6554" i="1" s="1"/>
  <c r="R6554" i="1" a="1"/>
  <c r="R6554" i="1" s="1"/>
  <c r="L6554" i="1" a="1"/>
  <c r="L6554" i="1" s="1"/>
  <c r="Q6554" i="1" a="1"/>
  <c r="Q6554" i="1" s="1"/>
  <c r="M6554" i="1" a="1"/>
  <c r="M6554" i="1" s="1"/>
  <c r="I6554" i="1" a="1"/>
  <c r="I6554" i="1" s="1"/>
  <c r="P6554" i="1" a="1"/>
  <c r="P6554" i="1" s="1"/>
  <c r="K6554" i="1" a="1"/>
  <c r="K6554" i="1" s="1"/>
  <c r="S6554" i="1" a="1"/>
  <c r="S6554" i="1" s="1"/>
  <c r="O6554" i="1" a="1"/>
  <c r="O6554" i="1" s="1"/>
  <c r="B6555" i="1"/>
  <c r="I6553" i="1" a="1"/>
  <c r="I6553" i="1" s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M6555" i="1" l="1" a="1"/>
  <c r="M6555" i="1" s="1"/>
  <c r="Q6555" i="1" a="1"/>
  <c r="Q6555" i="1" s="1"/>
  <c r="R6555" i="1" a="1"/>
  <c r="R6555" i="1" s="1"/>
  <c r="N6555" i="1" a="1"/>
  <c r="N6555" i="1" s="1"/>
  <c r="K6555" i="1" a="1"/>
  <c r="K6555" i="1" s="1"/>
  <c r="S6555" i="1" a="1"/>
  <c r="S6555" i="1" s="1"/>
  <c r="L6555" i="1" a="1"/>
  <c r="L6555" i="1" s="1"/>
  <c r="B6556" i="1"/>
  <c r="O6555" i="1" a="1"/>
  <c r="O6555" i="1" s="1"/>
  <c r="J6555" i="1" a="1"/>
  <c r="J6555" i="1" s="1"/>
  <c r="P6555" i="1" a="1"/>
  <c r="P6555" i="1" s="1"/>
  <c r="H6554" i="1"/>
  <c r="A6555" i="1"/>
  <c r="I6555" i="1" s="1" a="1"/>
  <c r="I6555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L6556" i="1" l="1" a="1"/>
  <c r="L6556" i="1" s="1"/>
  <c r="P6556" i="1" a="1"/>
  <c r="P6556" i="1" s="1"/>
  <c r="R6556" i="1" a="1"/>
  <c r="R6556" i="1" s="1"/>
  <c r="N6556" i="1" a="1"/>
  <c r="N6556" i="1" s="1"/>
  <c r="J6556" i="1" a="1"/>
  <c r="J6556" i="1" s="1"/>
  <c r="S6556" i="1" a="1"/>
  <c r="S6556" i="1" s="1"/>
  <c r="B6557" i="1"/>
  <c r="M6556" i="1" a="1"/>
  <c r="M6556" i="1" s="1"/>
  <c r="O6556" i="1" a="1"/>
  <c r="O6556" i="1" s="1"/>
  <c r="K6556" i="1" a="1"/>
  <c r="K6556" i="1" s="1"/>
  <c r="Q6556" i="1" a="1"/>
  <c r="Q6556" i="1" s="1"/>
  <c r="H6555" i="1"/>
  <c r="A6556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K6557" i="1" l="1" a="1"/>
  <c r="K6557" i="1" s="1"/>
  <c r="O6557" i="1" a="1"/>
  <c r="O6557" i="1" s="1"/>
  <c r="S6557" i="1" a="1"/>
  <c r="S6557" i="1" s="1"/>
  <c r="N6557" i="1" a="1"/>
  <c r="N6557" i="1" s="1"/>
  <c r="J6557" i="1" a="1"/>
  <c r="J6557" i="1" s="1"/>
  <c r="M6557" i="1" a="1"/>
  <c r="M6557" i="1" s="1"/>
  <c r="P6557" i="1" a="1"/>
  <c r="P6557" i="1" s="1"/>
  <c r="I6557" i="1" a="1"/>
  <c r="I6557" i="1" s="1"/>
  <c r="Q6557" i="1" a="1"/>
  <c r="Q6557" i="1" s="1"/>
  <c r="L6557" i="1" a="1"/>
  <c r="L6557" i="1" s="1"/>
  <c r="R6557" i="1" a="1"/>
  <c r="R6557" i="1" s="1"/>
  <c r="B6558" i="1"/>
  <c r="A6557" i="1"/>
  <c r="H6556" i="1"/>
  <c r="I6556" i="1" a="1"/>
  <c r="I6556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6558" i="1" l="1"/>
  <c r="H6557" i="1"/>
  <c r="J6558" i="1" a="1"/>
  <c r="J6558" i="1" s="1"/>
  <c r="N6558" i="1" a="1"/>
  <c r="N6558" i="1" s="1"/>
  <c r="R6558" i="1" a="1"/>
  <c r="R6558" i="1" s="1"/>
  <c r="O6558" i="1" a="1"/>
  <c r="O6558" i="1" s="1"/>
  <c r="K6558" i="1" a="1"/>
  <c r="K6558" i="1" s="1"/>
  <c r="P6558" i="1" a="1"/>
  <c r="P6558" i="1" s="1"/>
  <c r="B6559" i="1"/>
  <c r="I6558" i="1" a="1"/>
  <c r="I6558" i="1" s="1"/>
  <c r="Q6558" i="1" a="1"/>
  <c r="Q6558" i="1" s="1"/>
  <c r="L6558" i="1" a="1"/>
  <c r="L6558" i="1" s="1"/>
  <c r="S6558" i="1" a="1"/>
  <c r="S6558" i="1" s="1"/>
  <c r="M6558" i="1" a="1"/>
  <c r="M6558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M6559" i="1" l="1" a="1"/>
  <c r="M6559" i="1" s="1"/>
  <c r="Q6559" i="1" a="1"/>
  <c r="Q6559" i="1" s="1"/>
  <c r="K6559" i="1" a="1"/>
  <c r="K6559" i="1" s="1"/>
  <c r="P6559" i="1" a="1"/>
  <c r="P6559" i="1" s="1"/>
  <c r="B6560" i="1"/>
  <c r="L6559" i="1" a="1"/>
  <c r="L6559" i="1" s="1"/>
  <c r="J6559" i="1" a="1"/>
  <c r="J6559" i="1" s="1"/>
  <c r="R6559" i="1" a="1"/>
  <c r="R6559" i="1" s="1"/>
  <c r="S6559" i="1" a="1"/>
  <c r="S6559" i="1" s="1"/>
  <c r="N6559" i="1" a="1"/>
  <c r="N6559" i="1" s="1"/>
  <c r="O6559" i="1" a="1"/>
  <c r="O6559" i="1" s="1"/>
  <c r="A6559" i="1"/>
  <c r="H6558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L6560" i="1" l="1" a="1"/>
  <c r="L6560" i="1" s="1"/>
  <c r="P6560" i="1" a="1"/>
  <c r="P6560" i="1" s="1"/>
  <c r="Q6560" i="1" a="1"/>
  <c r="Q6560" i="1" s="1"/>
  <c r="M6560" i="1" a="1"/>
  <c r="M6560" i="1" s="1"/>
  <c r="K6560" i="1" a="1"/>
  <c r="K6560" i="1" s="1"/>
  <c r="S6560" i="1" a="1"/>
  <c r="S6560" i="1" s="1"/>
  <c r="N6560" i="1" a="1"/>
  <c r="N6560" i="1" s="1"/>
  <c r="B6561" i="1"/>
  <c r="O6560" i="1" a="1"/>
  <c r="O6560" i="1" s="1"/>
  <c r="R6560" i="1" a="1"/>
  <c r="R6560" i="1" s="1"/>
  <c r="J6560" i="1" a="1"/>
  <c r="J6560" i="1" s="1"/>
  <c r="A6560" i="1"/>
  <c r="H6559" i="1"/>
  <c r="I6559" i="1" a="1"/>
  <c r="I6559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K6561" i="1" l="1" a="1"/>
  <c r="K6561" i="1" s="1"/>
  <c r="O6561" i="1" a="1"/>
  <c r="O6561" i="1" s="1"/>
  <c r="S6561" i="1" a="1"/>
  <c r="S6561" i="1" s="1"/>
  <c r="Q6561" i="1" a="1"/>
  <c r="Q6561" i="1" s="1"/>
  <c r="M6561" i="1" a="1"/>
  <c r="M6561" i="1" s="1"/>
  <c r="I6561" i="1" a="1"/>
  <c r="I6561" i="1" s="1"/>
  <c r="R6561" i="1" a="1"/>
  <c r="R6561" i="1" s="1"/>
  <c r="L6561" i="1" a="1"/>
  <c r="L6561" i="1" s="1"/>
  <c r="N6561" i="1" a="1"/>
  <c r="N6561" i="1" s="1"/>
  <c r="B6562" i="1"/>
  <c r="P6561" i="1" a="1"/>
  <c r="P6561" i="1" s="1"/>
  <c r="J6561" i="1" a="1"/>
  <c r="J6561" i="1" s="1"/>
  <c r="A6561" i="1"/>
  <c r="H6560" i="1"/>
  <c r="I6560" i="1" a="1"/>
  <c r="I6560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H6561" i="1" l="1"/>
  <c r="A6562" i="1"/>
  <c r="J6562" i="1" a="1"/>
  <c r="J6562" i="1" s="1"/>
  <c r="N6562" i="1" a="1"/>
  <c r="N6562" i="1" s="1"/>
  <c r="R6562" i="1" a="1"/>
  <c r="R6562" i="1" s="1"/>
  <c r="M6562" i="1" a="1"/>
  <c r="M6562" i="1" s="1"/>
  <c r="S6562" i="1" a="1"/>
  <c r="S6562" i="1" s="1"/>
  <c r="O6562" i="1" a="1"/>
  <c r="O6562" i="1" s="1"/>
  <c r="P6562" i="1" a="1"/>
  <c r="P6562" i="1" s="1"/>
  <c r="K6562" i="1" a="1"/>
  <c r="K6562" i="1" s="1"/>
  <c r="Q6562" i="1" a="1"/>
  <c r="Q6562" i="1" s="1"/>
  <c r="B6563" i="1"/>
  <c r="L6562" i="1" a="1"/>
  <c r="L6562" i="1" s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H6562" i="1" l="1"/>
  <c r="A6563" i="1"/>
  <c r="I6562" i="1" a="1"/>
  <c r="I6562" i="1" s="1"/>
  <c r="I6563" i="1" a="1"/>
  <c r="I6563" i="1" s="1"/>
  <c r="M6563" i="1" a="1"/>
  <c r="M6563" i="1" s="1"/>
  <c r="Q6563" i="1" a="1"/>
  <c r="Q6563" i="1" s="1"/>
  <c r="N6563" i="1" a="1"/>
  <c r="N6563" i="1" s="1"/>
  <c r="J6563" i="1" a="1"/>
  <c r="J6563" i="1" s="1"/>
  <c r="S6563" i="1" a="1"/>
  <c r="S6563" i="1" s="1"/>
  <c r="O6563" i="1" a="1"/>
  <c r="O6563" i="1" s="1"/>
  <c r="P6563" i="1" a="1"/>
  <c r="P6563" i="1" s="1"/>
  <c r="K6563" i="1" a="1"/>
  <c r="K6563" i="1" s="1"/>
  <c r="R6563" i="1" a="1"/>
  <c r="R6563" i="1" s="1"/>
  <c r="L6563" i="1" a="1"/>
  <c r="L6563" i="1" s="1"/>
  <c r="B6564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L6564" i="1" l="1" a="1"/>
  <c r="L6564" i="1" s="1"/>
  <c r="P6564" i="1" a="1"/>
  <c r="P6564" i="1" s="1"/>
  <c r="J6564" i="1" a="1"/>
  <c r="J6564" i="1" s="1"/>
  <c r="S6564" i="1" a="1"/>
  <c r="S6564" i="1" s="1"/>
  <c r="O6564" i="1" a="1"/>
  <c r="O6564" i="1" s="1"/>
  <c r="K6564" i="1" a="1"/>
  <c r="K6564" i="1" s="1"/>
  <c r="B6565" i="1"/>
  <c r="R6564" i="1" a="1"/>
  <c r="R6564" i="1" s="1"/>
  <c r="M6564" i="1" a="1"/>
  <c r="M6564" i="1" s="1"/>
  <c r="N6564" i="1" a="1"/>
  <c r="N6564" i="1" s="1"/>
  <c r="Q6564" i="1" a="1"/>
  <c r="Q6564" i="1" s="1"/>
  <c r="H6563" i="1"/>
  <c r="A6564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6565" i="1" l="1"/>
  <c r="H6564" i="1"/>
  <c r="I6564" i="1" a="1"/>
  <c r="I6564" i="1" s="1"/>
  <c r="K6565" i="1" a="1"/>
  <c r="K6565" i="1" s="1"/>
  <c r="O6565" i="1" a="1"/>
  <c r="O6565" i="1" s="1"/>
  <c r="S6565" i="1" a="1"/>
  <c r="S6565" i="1" s="1"/>
  <c r="P6565" i="1" a="1"/>
  <c r="P6565" i="1" s="1"/>
  <c r="B6566" i="1"/>
  <c r="L6565" i="1" a="1"/>
  <c r="L6565" i="1" s="1"/>
  <c r="M6565" i="1" a="1"/>
  <c r="M6565" i="1" s="1"/>
  <c r="N6565" i="1" a="1"/>
  <c r="N6565" i="1" s="1"/>
  <c r="I6565" i="1" a="1"/>
  <c r="I6565" i="1" s="1"/>
  <c r="Q6565" i="1" a="1"/>
  <c r="Q6565" i="1" s="1"/>
  <c r="J6565" i="1" a="1"/>
  <c r="J6565" i="1" s="1"/>
  <c r="R6565" i="1" a="1"/>
  <c r="R6565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J6566" i="1" l="1" a="1"/>
  <c r="J6566" i="1" s="1"/>
  <c r="N6566" i="1" a="1"/>
  <c r="N6566" i="1" s="1"/>
  <c r="R6566" i="1" a="1"/>
  <c r="R6566" i="1" s="1"/>
  <c r="P6566" i="1" a="1"/>
  <c r="P6566" i="1" s="1"/>
  <c r="B6567" i="1"/>
  <c r="L6566" i="1" a="1"/>
  <c r="L6566" i="1" s="1"/>
  <c r="Q6566" i="1" a="1"/>
  <c r="Q6566" i="1" s="1"/>
  <c r="O6566" i="1" a="1"/>
  <c r="O6566" i="1" s="1"/>
  <c r="K6566" i="1" a="1"/>
  <c r="K6566" i="1" s="1"/>
  <c r="M6566" i="1" a="1"/>
  <c r="M6566" i="1" s="1"/>
  <c r="S6566" i="1" a="1"/>
  <c r="S6566" i="1" s="1"/>
  <c r="A6566" i="1"/>
  <c r="H6565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L6567" i="1" l="1" a="1"/>
  <c r="L6567" i="1" s="1"/>
  <c r="P6567" i="1" a="1"/>
  <c r="P6567" i="1" s="1"/>
  <c r="B6568" i="1"/>
  <c r="N6567" i="1" a="1"/>
  <c r="N6567" i="1" s="1"/>
  <c r="O6567" i="1" a="1"/>
  <c r="O6567" i="1" s="1"/>
  <c r="J6567" i="1" a="1"/>
  <c r="J6567" i="1" s="1"/>
  <c r="Q6567" i="1" a="1"/>
  <c r="Q6567" i="1" s="1"/>
  <c r="K6567" i="1" a="1"/>
  <c r="K6567" i="1" s="1"/>
  <c r="R6567" i="1" a="1"/>
  <c r="R6567" i="1" s="1"/>
  <c r="S6567" i="1" a="1"/>
  <c r="S6567" i="1" s="1"/>
  <c r="M6567" i="1" a="1"/>
  <c r="M6567" i="1" s="1"/>
  <c r="A6567" i="1"/>
  <c r="H6566" i="1"/>
  <c r="I6566" i="1" a="1"/>
  <c r="I6566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6568" i="1" l="1"/>
  <c r="H6567" i="1"/>
  <c r="I6567" i="1" a="1"/>
  <c r="I6567" i="1" s="1"/>
  <c r="K6568" i="1" a="1"/>
  <c r="K6568" i="1" s="1"/>
  <c r="O6568" i="1" a="1"/>
  <c r="O6568" i="1" s="1"/>
  <c r="S6568" i="1" a="1"/>
  <c r="S6568" i="1" s="1"/>
  <c r="B6569" i="1"/>
  <c r="N6568" i="1" a="1"/>
  <c r="N6568" i="1" s="1"/>
  <c r="I6568" i="1" a="1"/>
  <c r="I6568" i="1" s="1"/>
  <c r="P6568" i="1" a="1"/>
  <c r="P6568" i="1" s="1"/>
  <c r="J6568" i="1" a="1"/>
  <c r="J6568" i="1" s="1"/>
  <c r="Q6568" i="1" a="1"/>
  <c r="Q6568" i="1" s="1"/>
  <c r="L6568" i="1" a="1"/>
  <c r="L6568" i="1" s="1"/>
  <c r="M6568" i="1" a="1"/>
  <c r="M6568" i="1" s="1"/>
  <c r="R6568" i="1" a="1"/>
  <c r="R6568" i="1" s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J6569" i="1" l="1" a="1"/>
  <c r="J6569" i="1" s="1"/>
  <c r="N6569" i="1" a="1"/>
  <c r="N6569" i="1" s="1"/>
  <c r="R6569" i="1" a="1"/>
  <c r="R6569" i="1" s="1"/>
  <c r="M6569" i="1" a="1"/>
  <c r="M6569" i="1" s="1"/>
  <c r="O6569" i="1" a="1"/>
  <c r="O6569" i="1" s="1"/>
  <c r="B6570" i="1"/>
  <c r="I6569" i="1" a="1"/>
  <c r="I6569" i="1" s="1"/>
  <c r="P6569" i="1" a="1"/>
  <c r="P6569" i="1" s="1"/>
  <c r="K6569" i="1" a="1"/>
  <c r="K6569" i="1" s="1"/>
  <c r="Q6569" i="1" a="1"/>
  <c r="Q6569" i="1" s="1"/>
  <c r="S6569" i="1" a="1"/>
  <c r="S6569" i="1" s="1"/>
  <c r="L6569" i="1" a="1"/>
  <c r="L6569" i="1" s="1"/>
  <c r="H6568" i="1"/>
  <c r="A6569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B6571" i="1" l="1"/>
  <c r="M6570" i="1" a="1"/>
  <c r="M6570" i="1" s="1"/>
  <c r="Q6570" i="1" a="1"/>
  <c r="Q6570" i="1" s="1"/>
  <c r="N6570" i="1" a="1"/>
  <c r="N6570" i="1" s="1"/>
  <c r="O6570" i="1" a="1"/>
  <c r="O6570" i="1" s="1"/>
  <c r="J6570" i="1" a="1"/>
  <c r="J6570" i="1" s="1"/>
  <c r="P6570" i="1" a="1"/>
  <c r="P6570" i="1" s="1"/>
  <c r="K6570" i="1" a="1"/>
  <c r="K6570" i="1" s="1"/>
  <c r="R6570" i="1" a="1"/>
  <c r="R6570" i="1" s="1"/>
  <c r="L6570" i="1" a="1"/>
  <c r="L6570" i="1" s="1"/>
  <c r="S6570" i="1" a="1"/>
  <c r="S6570" i="1" s="1"/>
  <c r="A6570" i="1"/>
  <c r="H6569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6570" i="1" l="1"/>
  <c r="A6571" i="1"/>
  <c r="I6570" i="1" a="1"/>
  <c r="I6570" i="1" s="1"/>
  <c r="L6571" i="1" a="1"/>
  <c r="L6571" i="1" s="1"/>
  <c r="P6571" i="1" a="1"/>
  <c r="P6571" i="1" s="1"/>
  <c r="B6572" i="1"/>
  <c r="S6571" i="1" a="1"/>
  <c r="S6571" i="1" s="1"/>
  <c r="N6571" i="1" a="1"/>
  <c r="N6571" i="1" s="1"/>
  <c r="O6571" i="1" a="1"/>
  <c r="O6571" i="1" s="1"/>
  <c r="J6571" i="1" a="1"/>
  <c r="J6571" i="1" s="1"/>
  <c r="Q6571" i="1" a="1"/>
  <c r="Q6571" i="1" s="1"/>
  <c r="M6571" i="1" a="1"/>
  <c r="M6571" i="1" s="1"/>
  <c r="R6571" i="1" a="1"/>
  <c r="R6571" i="1" s="1"/>
  <c r="K6571" i="1" a="1"/>
  <c r="K6571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6572" i="1" l="1" a="1"/>
  <c r="K6572" i="1" s="1"/>
  <c r="O6572" i="1" a="1"/>
  <c r="O6572" i="1" s="1"/>
  <c r="S6572" i="1" a="1"/>
  <c r="S6572" i="1" s="1"/>
  <c r="M6572" i="1" a="1"/>
  <c r="M6572" i="1" s="1"/>
  <c r="B6573" i="1"/>
  <c r="N6572" i="1" a="1"/>
  <c r="N6572" i="1" s="1"/>
  <c r="I6572" i="1" a="1"/>
  <c r="I6572" i="1" s="1"/>
  <c r="P6572" i="1" a="1"/>
  <c r="P6572" i="1" s="1"/>
  <c r="J6572" i="1" a="1"/>
  <c r="J6572" i="1" s="1"/>
  <c r="Q6572" i="1" a="1"/>
  <c r="Q6572" i="1" s="1"/>
  <c r="L6572" i="1" a="1"/>
  <c r="L6572" i="1" s="1"/>
  <c r="R6572" i="1" a="1"/>
  <c r="R6572" i="1" s="1"/>
  <c r="A6572" i="1"/>
  <c r="H6571" i="1"/>
  <c r="I6571" i="1" a="1"/>
  <c r="I6571" i="1" s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J6573" i="1" l="1" a="1"/>
  <c r="J6573" i="1" s="1"/>
  <c r="N6573" i="1" a="1"/>
  <c r="N6573" i="1" s="1"/>
  <c r="R6573" i="1" a="1"/>
  <c r="R6573" i="1" s="1"/>
  <c r="M6573" i="1" a="1"/>
  <c r="M6573" i="1" s="1"/>
  <c r="O6573" i="1" a="1"/>
  <c r="O6573" i="1" s="1"/>
  <c r="B6574" i="1"/>
  <c r="I6573" i="1" a="1"/>
  <c r="I6573" i="1" s="1"/>
  <c r="P6573" i="1" a="1"/>
  <c r="P6573" i="1" s="1"/>
  <c r="K6573" i="1" a="1"/>
  <c r="K6573" i="1" s="1"/>
  <c r="L6573" i="1" a="1"/>
  <c r="L6573" i="1" s="1"/>
  <c r="Q6573" i="1" a="1"/>
  <c r="Q6573" i="1" s="1"/>
  <c r="S6573" i="1" a="1"/>
  <c r="S6573" i="1" s="1"/>
  <c r="A6573" i="1"/>
  <c r="H6572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M6574" i="1" l="1" a="1"/>
  <c r="M6574" i="1" s="1"/>
  <c r="Q6574" i="1" a="1"/>
  <c r="Q6574" i="1" s="1"/>
  <c r="L6574" i="1" a="1"/>
  <c r="L6574" i="1" s="1"/>
  <c r="N6574" i="1" a="1"/>
  <c r="N6574" i="1" s="1"/>
  <c r="S6574" i="1" a="1"/>
  <c r="S6574" i="1" s="1"/>
  <c r="O6574" i="1" a="1"/>
  <c r="O6574" i="1" s="1"/>
  <c r="J6574" i="1" a="1"/>
  <c r="J6574" i="1" s="1"/>
  <c r="B6575" i="1"/>
  <c r="P6574" i="1" a="1"/>
  <c r="P6574" i="1" s="1"/>
  <c r="K6574" i="1" a="1"/>
  <c r="K6574" i="1" s="1"/>
  <c r="R6574" i="1" a="1"/>
  <c r="R6574" i="1" s="1"/>
  <c r="A6574" i="1"/>
  <c r="H6573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6574" i="1" l="1"/>
  <c r="A6575" i="1"/>
  <c r="L6575" i="1" a="1"/>
  <c r="L6575" i="1" s="1"/>
  <c r="P6575" i="1" a="1"/>
  <c r="P6575" i="1" s="1"/>
  <c r="B6576" i="1"/>
  <c r="K6575" i="1" a="1"/>
  <c r="K6575" i="1" s="1"/>
  <c r="Q6575" i="1" a="1"/>
  <c r="Q6575" i="1" s="1"/>
  <c r="M6575" i="1" a="1"/>
  <c r="M6575" i="1" s="1"/>
  <c r="R6575" i="1" a="1"/>
  <c r="R6575" i="1" s="1"/>
  <c r="N6575" i="1" a="1"/>
  <c r="N6575" i="1" s="1"/>
  <c r="S6575" i="1" a="1"/>
  <c r="S6575" i="1" s="1"/>
  <c r="J6575" i="1" a="1"/>
  <c r="J6575" i="1" s="1"/>
  <c r="O6575" i="1" a="1"/>
  <c r="O6575" i="1" s="1"/>
  <c r="I6574" i="1" a="1"/>
  <c r="I6574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6576" i="1" l="1"/>
  <c r="I6576" i="1" s="1" a="1"/>
  <c r="I6576" i="1" s="1"/>
  <c r="H6575" i="1"/>
  <c r="K6576" i="1" a="1"/>
  <c r="K6576" i="1" s="1"/>
  <c r="O6576" i="1" a="1"/>
  <c r="O6576" i="1" s="1"/>
  <c r="S6576" i="1" a="1"/>
  <c r="S6576" i="1" s="1"/>
  <c r="N6576" i="1" a="1"/>
  <c r="N6576" i="1" s="1"/>
  <c r="B6577" i="1"/>
  <c r="J6576" i="1" a="1"/>
  <c r="J6576" i="1" s="1"/>
  <c r="P6576" i="1" a="1"/>
  <c r="P6576" i="1" s="1"/>
  <c r="L6576" i="1" a="1"/>
  <c r="L6576" i="1" s="1"/>
  <c r="Q6576" i="1" a="1"/>
  <c r="Q6576" i="1" s="1"/>
  <c r="R6576" i="1" a="1"/>
  <c r="R6576" i="1" s="1"/>
  <c r="M6576" i="1" a="1"/>
  <c r="M6576" i="1" s="1"/>
  <c r="I6575" i="1" a="1"/>
  <c r="I6575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6577" i="1" l="1" a="1"/>
  <c r="J6577" i="1" s="1"/>
  <c r="N6577" i="1" a="1"/>
  <c r="N6577" i="1" s="1"/>
  <c r="R6577" i="1" a="1"/>
  <c r="R6577" i="1" s="1"/>
  <c r="L6577" i="1" a="1"/>
  <c r="L6577" i="1" s="1"/>
  <c r="Q6577" i="1" a="1"/>
  <c r="Q6577" i="1" s="1"/>
  <c r="M6577" i="1" a="1"/>
  <c r="M6577" i="1" s="1"/>
  <c r="S6577" i="1" a="1"/>
  <c r="S6577" i="1" s="1"/>
  <c r="I6577" i="1" a="1"/>
  <c r="I6577" i="1" s="1"/>
  <c r="O6577" i="1" a="1"/>
  <c r="O6577" i="1" s="1"/>
  <c r="K6577" i="1" a="1"/>
  <c r="K6577" i="1" s="1"/>
  <c r="P6577" i="1" a="1"/>
  <c r="P6577" i="1" s="1"/>
  <c r="B6578" i="1"/>
  <c r="H6576" i="1"/>
  <c r="A6577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6577" i="1" l="1"/>
  <c r="A6578" i="1"/>
  <c r="I6578" i="1" a="1"/>
  <c r="I6578" i="1" s="1"/>
  <c r="M6578" i="1" a="1"/>
  <c r="M6578" i="1" s="1"/>
  <c r="Q6578" i="1" a="1"/>
  <c r="Q6578" i="1" s="1"/>
  <c r="J6578" i="1" a="1"/>
  <c r="J6578" i="1" s="1"/>
  <c r="O6578" i="1" a="1"/>
  <c r="O6578" i="1" s="1"/>
  <c r="B6579" i="1"/>
  <c r="K6578" i="1" a="1"/>
  <c r="K6578" i="1" s="1"/>
  <c r="P6578" i="1" a="1"/>
  <c r="P6578" i="1" s="1"/>
  <c r="L6578" i="1" a="1"/>
  <c r="L6578" i="1" s="1"/>
  <c r="R6578" i="1" a="1"/>
  <c r="R6578" i="1" s="1"/>
  <c r="N6578" i="1" a="1"/>
  <c r="N6578" i="1" s="1"/>
  <c r="S6578" i="1" a="1"/>
  <c r="S6578" i="1" s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L6579" i="1" l="1" a="1"/>
  <c r="L6579" i="1" s="1"/>
  <c r="P6579" i="1" a="1"/>
  <c r="P6579" i="1" s="1"/>
  <c r="B6580" i="1"/>
  <c r="M6579" i="1" a="1"/>
  <c r="M6579" i="1" s="1"/>
  <c r="R6579" i="1" a="1"/>
  <c r="R6579" i="1" s="1"/>
  <c r="N6579" i="1" a="1"/>
  <c r="N6579" i="1" s="1"/>
  <c r="S6579" i="1" a="1"/>
  <c r="S6579" i="1" s="1"/>
  <c r="Q6579" i="1" a="1"/>
  <c r="Q6579" i="1" s="1"/>
  <c r="J6579" i="1" a="1"/>
  <c r="J6579" i="1" s="1"/>
  <c r="K6579" i="1" a="1"/>
  <c r="K6579" i="1" s="1"/>
  <c r="O6579" i="1" a="1"/>
  <c r="O6579" i="1" s="1"/>
  <c r="H6578" i="1"/>
  <c r="A6579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6580" i="1" l="1"/>
  <c r="H6579" i="1"/>
  <c r="I6579" i="1" a="1"/>
  <c r="I6579" i="1" s="1"/>
  <c r="K6580" i="1" a="1"/>
  <c r="K6580" i="1" s="1"/>
  <c r="O6580" i="1" a="1"/>
  <c r="O6580" i="1" s="1"/>
  <c r="J6580" i="1" a="1"/>
  <c r="J6580" i="1" s="1"/>
  <c r="P6580" i="1" a="1"/>
  <c r="P6580" i="1" s="1"/>
  <c r="B6581" i="1"/>
  <c r="L6580" i="1" a="1"/>
  <c r="L6580" i="1" s="1"/>
  <c r="Q6580" i="1" a="1"/>
  <c r="Q6580" i="1" s="1"/>
  <c r="S6580" i="1" a="1"/>
  <c r="S6580" i="1" s="1"/>
  <c r="M6580" i="1" a="1"/>
  <c r="M6580" i="1" s="1"/>
  <c r="N6580" i="1" a="1"/>
  <c r="N6580" i="1" s="1"/>
  <c r="R6580" i="1" a="1"/>
  <c r="R6580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6581" i="1" l="1"/>
  <c r="H6580" i="1"/>
  <c r="I6580" i="1" a="1"/>
  <c r="I6580" i="1" s="1"/>
  <c r="P6581" i="1" a="1"/>
  <c r="P6581" i="1" s="1"/>
  <c r="B6582" i="1"/>
  <c r="L6581" i="1" a="1"/>
  <c r="L6581" i="1" s="1"/>
  <c r="Q6581" i="1" a="1"/>
  <c r="Q6581" i="1" s="1"/>
  <c r="M6581" i="1" a="1"/>
  <c r="M6581" i="1" s="1"/>
  <c r="I6581" i="1" a="1"/>
  <c r="I6581" i="1" s="1"/>
  <c r="R6581" i="1" a="1"/>
  <c r="R6581" i="1" s="1"/>
  <c r="S6581" i="1" a="1"/>
  <c r="S6581" i="1" s="1"/>
  <c r="J6581" i="1" a="1"/>
  <c r="J6581" i="1" s="1"/>
  <c r="K6581" i="1" a="1"/>
  <c r="K6581" i="1" s="1"/>
  <c r="N6581" i="1" a="1"/>
  <c r="N6581" i="1" s="1"/>
  <c r="O6581" i="1" a="1"/>
  <c r="O6581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6582" i="1" l="1" a="1"/>
  <c r="L6582" i="1" s="1"/>
  <c r="B6583" i="1"/>
  <c r="Q6582" i="1" a="1"/>
  <c r="Q6582" i="1" s="1"/>
  <c r="M6582" i="1" a="1"/>
  <c r="M6582" i="1" s="1"/>
  <c r="N6582" i="1" a="1"/>
  <c r="N6582" i="1" s="1"/>
  <c r="R6582" i="1" a="1"/>
  <c r="R6582" i="1" s="1"/>
  <c r="O6582" i="1" a="1"/>
  <c r="O6582" i="1" s="1"/>
  <c r="P6582" i="1" a="1"/>
  <c r="P6582" i="1" s="1"/>
  <c r="J6582" i="1" a="1"/>
  <c r="J6582" i="1" s="1"/>
  <c r="S6582" i="1" a="1"/>
  <c r="S6582" i="1" s="1"/>
  <c r="K6582" i="1" a="1"/>
  <c r="K6582" i="1" s="1"/>
  <c r="H6581" i="1"/>
  <c r="A6582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6582" i="1" l="1"/>
  <c r="A6583" i="1"/>
  <c r="I6582" i="1" a="1"/>
  <c r="I6582" i="1" s="1"/>
  <c r="L6583" i="1" a="1"/>
  <c r="L6583" i="1" s="1"/>
  <c r="P6583" i="1" a="1"/>
  <c r="P6583" i="1" s="1"/>
  <c r="B6584" i="1"/>
  <c r="I6583" i="1" a="1"/>
  <c r="I6583" i="1" s="1"/>
  <c r="M6583" i="1" a="1"/>
  <c r="M6583" i="1" s="1"/>
  <c r="Q6583" i="1" a="1"/>
  <c r="Q6583" i="1" s="1"/>
  <c r="O6583" i="1" a="1"/>
  <c r="O6583" i="1" s="1"/>
  <c r="J6583" i="1" a="1"/>
  <c r="J6583" i="1" s="1"/>
  <c r="R6583" i="1" a="1"/>
  <c r="R6583" i="1" s="1"/>
  <c r="K6583" i="1" a="1"/>
  <c r="K6583" i="1" s="1"/>
  <c r="S6583" i="1" a="1"/>
  <c r="S6583" i="1" s="1"/>
  <c r="N6583" i="1" a="1"/>
  <c r="N6583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6584" i="1" l="1" a="1"/>
  <c r="K6584" i="1" s="1"/>
  <c r="O6584" i="1" a="1"/>
  <c r="O6584" i="1" s="1"/>
  <c r="S6584" i="1" a="1"/>
  <c r="S6584" i="1" s="1"/>
  <c r="L6584" i="1" a="1"/>
  <c r="L6584" i="1" s="1"/>
  <c r="P6584" i="1" a="1"/>
  <c r="P6584" i="1" s="1"/>
  <c r="J6584" i="1" a="1"/>
  <c r="J6584" i="1" s="1"/>
  <c r="R6584" i="1" a="1"/>
  <c r="R6584" i="1" s="1"/>
  <c r="B6585" i="1"/>
  <c r="M6584" i="1" a="1"/>
  <c r="M6584" i="1" s="1"/>
  <c r="N6584" i="1" a="1"/>
  <c r="N6584" i="1" s="1"/>
  <c r="Q6584" i="1" a="1"/>
  <c r="Q6584" i="1" s="1"/>
  <c r="A6584" i="1"/>
  <c r="H6583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J6585" i="1" l="1" a="1"/>
  <c r="J6585" i="1" s="1"/>
  <c r="N6585" i="1" a="1"/>
  <c r="N6585" i="1" s="1"/>
  <c r="R6585" i="1" a="1"/>
  <c r="R6585" i="1" s="1"/>
  <c r="K6585" i="1" a="1"/>
  <c r="K6585" i="1" s="1"/>
  <c r="O6585" i="1" a="1"/>
  <c r="O6585" i="1" s="1"/>
  <c r="S6585" i="1" a="1"/>
  <c r="S6585" i="1" s="1"/>
  <c r="M6585" i="1" a="1"/>
  <c r="M6585" i="1" s="1"/>
  <c r="P6585" i="1" a="1"/>
  <c r="P6585" i="1" s="1"/>
  <c r="Q6585" i="1" a="1"/>
  <c r="Q6585" i="1" s="1"/>
  <c r="L6585" i="1" a="1"/>
  <c r="L6585" i="1" s="1"/>
  <c r="B6586" i="1"/>
  <c r="A6585" i="1"/>
  <c r="H6584" i="1"/>
  <c r="I6584" i="1" a="1"/>
  <c r="I6584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6585" i="1" l="1"/>
  <c r="A6586" i="1"/>
  <c r="B6587" i="1"/>
  <c r="I6586" i="1" a="1"/>
  <c r="I6586" i="1" s="1"/>
  <c r="M6586" i="1" a="1"/>
  <c r="M6586" i="1" s="1"/>
  <c r="Q6586" i="1" a="1"/>
  <c r="Q6586" i="1" s="1"/>
  <c r="J6586" i="1" a="1"/>
  <c r="J6586" i="1" s="1"/>
  <c r="N6586" i="1" a="1"/>
  <c r="N6586" i="1" s="1"/>
  <c r="R6586" i="1" a="1"/>
  <c r="R6586" i="1" s="1"/>
  <c r="P6586" i="1" a="1"/>
  <c r="P6586" i="1" s="1"/>
  <c r="K6586" i="1" a="1"/>
  <c r="K6586" i="1" s="1"/>
  <c r="S6586" i="1" a="1"/>
  <c r="S6586" i="1" s="1"/>
  <c r="L6586" i="1" a="1"/>
  <c r="L6586" i="1" s="1"/>
  <c r="O6586" i="1" a="1"/>
  <c r="O6586" i="1" s="1"/>
  <c r="I6585" i="1" a="1"/>
  <c r="I6585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L6587" i="1" l="1" a="1"/>
  <c r="L6587" i="1" s="1"/>
  <c r="P6587" i="1" a="1"/>
  <c r="P6587" i="1" s="1"/>
  <c r="B6588" i="1"/>
  <c r="M6587" i="1" a="1"/>
  <c r="M6587" i="1" s="1"/>
  <c r="Q6587" i="1" a="1"/>
  <c r="Q6587" i="1" s="1"/>
  <c r="K6587" i="1" a="1"/>
  <c r="K6587" i="1" s="1"/>
  <c r="S6587" i="1" a="1"/>
  <c r="S6587" i="1" s="1"/>
  <c r="N6587" i="1" a="1"/>
  <c r="N6587" i="1" s="1"/>
  <c r="O6587" i="1" a="1"/>
  <c r="O6587" i="1" s="1"/>
  <c r="J6587" i="1" a="1"/>
  <c r="J6587" i="1" s="1"/>
  <c r="R6587" i="1" a="1"/>
  <c r="R6587" i="1" s="1"/>
  <c r="H6586" i="1"/>
  <c r="A6587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6588" i="1" l="1"/>
  <c r="H6587" i="1"/>
  <c r="I6587" i="1" a="1"/>
  <c r="I6587" i="1" s="1"/>
  <c r="K6588" i="1" a="1"/>
  <c r="K6588" i="1" s="1"/>
  <c r="O6588" i="1" a="1"/>
  <c r="O6588" i="1" s="1"/>
  <c r="S6588" i="1" a="1"/>
  <c r="S6588" i="1" s="1"/>
  <c r="L6588" i="1" a="1"/>
  <c r="L6588" i="1" s="1"/>
  <c r="P6588" i="1" a="1"/>
  <c r="P6588" i="1" s="1"/>
  <c r="N6588" i="1" a="1"/>
  <c r="N6588" i="1" s="1"/>
  <c r="I6588" i="1" a="1"/>
  <c r="I6588" i="1" s="1"/>
  <c r="Q6588" i="1" a="1"/>
  <c r="Q6588" i="1" s="1"/>
  <c r="J6588" i="1" a="1"/>
  <c r="J6588" i="1" s="1"/>
  <c r="R6588" i="1" a="1"/>
  <c r="R6588" i="1" s="1"/>
  <c r="B6589" i="1"/>
  <c r="M6588" i="1" a="1"/>
  <c r="M6588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J6589" i="1" l="1" a="1"/>
  <c r="J6589" i="1" s="1"/>
  <c r="N6589" i="1" a="1"/>
  <c r="N6589" i="1" s="1"/>
  <c r="R6589" i="1" a="1"/>
  <c r="R6589" i="1" s="1"/>
  <c r="K6589" i="1" a="1"/>
  <c r="K6589" i="1" s="1"/>
  <c r="O6589" i="1" a="1"/>
  <c r="O6589" i="1" s="1"/>
  <c r="S6589" i="1" a="1"/>
  <c r="S6589" i="1" s="1"/>
  <c r="I6589" i="1" a="1"/>
  <c r="I6589" i="1" s="1"/>
  <c r="Q6589" i="1" a="1"/>
  <c r="Q6589" i="1" s="1"/>
  <c r="L6589" i="1" a="1"/>
  <c r="L6589" i="1" s="1"/>
  <c r="B6590" i="1"/>
  <c r="M6589" i="1" a="1"/>
  <c r="M6589" i="1" s="1"/>
  <c r="P6589" i="1" a="1"/>
  <c r="P6589" i="1" s="1"/>
  <c r="A6589" i="1"/>
  <c r="H6588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6590" i="1" l="1"/>
  <c r="I6590" i="1" s="1" a="1"/>
  <c r="I6590" i="1" s="1"/>
  <c r="H6589" i="1"/>
  <c r="B6591" i="1"/>
  <c r="M6590" i="1" a="1"/>
  <c r="M6590" i="1" s="1"/>
  <c r="Q6590" i="1" a="1"/>
  <c r="Q6590" i="1" s="1"/>
  <c r="J6590" i="1" a="1"/>
  <c r="J6590" i="1" s="1"/>
  <c r="N6590" i="1" a="1"/>
  <c r="N6590" i="1" s="1"/>
  <c r="R6590" i="1" a="1"/>
  <c r="R6590" i="1" s="1"/>
  <c r="L6590" i="1" a="1"/>
  <c r="L6590" i="1" s="1"/>
  <c r="O6590" i="1" a="1"/>
  <c r="O6590" i="1" s="1"/>
  <c r="P6590" i="1" a="1"/>
  <c r="P6590" i="1" s="1"/>
  <c r="K6590" i="1" a="1"/>
  <c r="K6590" i="1" s="1"/>
  <c r="S6590" i="1" a="1"/>
  <c r="S6590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L6591" i="1" l="1" a="1"/>
  <c r="L6591" i="1" s="1"/>
  <c r="P6591" i="1" a="1"/>
  <c r="P6591" i="1" s="1"/>
  <c r="B6592" i="1"/>
  <c r="M6591" i="1" a="1"/>
  <c r="M6591" i="1" s="1"/>
  <c r="Q6591" i="1" a="1"/>
  <c r="Q6591" i="1" s="1"/>
  <c r="O6591" i="1" a="1"/>
  <c r="O6591" i="1" s="1"/>
  <c r="J6591" i="1" a="1"/>
  <c r="J6591" i="1" s="1"/>
  <c r="R6591" i="1" a="1"/>
  <c r="R6591" i="1" s="1"/>
  <c r="K6591" i="1" a="1"/>
  <c r="K6591" i="1" s="1"/>
  <c r="S6591" i="1" a="1"/>
  <c r="S6591" i="1" s="1"/>
  <c r="N6591" i="1" a="1"/>
  <c r="N6591" i="1" s="1"/>
  <c r="H6590" i="1"/>
  <c r="A6591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6592" i="1" l="1"/>
  <c r="H6591" i="1"/>
  <c r="I6591" i="1" a="1"/>
  <c r="I6591" i="1" s="1"/>
  <c r="K6592" i="1" a="1"/>
  <c r="K6592" i="1" s="1"/>
  <c r="O6592" i="1" a="1"/>
  <c r="O6592" i="1" s="1"/>
  <c r="S6592" i="1" a="1"/>
  <c r="S6592" i="1" s="1"/>
  <c r="L6592" i="1" a="1"/>
  <c r="L6592" i="1" s="1"/>
  <c r="P6592" i="1" a="1"/>
  <c r="P6592" i="1" s="1"/>
  <c r="J6592" i="1" a="1"/>
  <c r="J6592" i="1" s="1"/>
  <c r="R6592" i="1" a="1"/>
  <c r="R6592" i="1" s="1"/>
  <c r="B6593" i="1"/>
  <c r="M6592" i="1" a="1"/>
  <c r="M6592" i="1" s="1"/>
  <c r="N6592" i="1" a="1"/>
  <c r="N6592" i="1" s="1"/>
  <c r="I6592" i="1" a="1"/>
  <c r="I6592" i="1" s="1"/>
  <c r="Q6592" i="1" a="1"/>
  <c r="Q6592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J6593" i="1" l="1" a="1"/>
  <c r="J6593" i="1" s="1"/>
  <c r="N6593" i="1" a="1"/>
  <c r="N6593" i="1" s="1"/>
  <c r="R6593" i="1" a="1"/>
  <c r="R6593" i="1" s="1"/>
  <c r="K6593" i="1" a="1"/>
  <c r="K6593" i="1" s="1"/>
  <c r="O6593" i="1" a="1"/>
  <c r="O6593" i="1" s="1"/>
  <c r="S6593" i="1" a="1"/>
  <c r="S6593" i="1" s="1"/>
  <c r="M6593" i="1" a="1"/>
  <c r="M6593" i="1" s="1"/>
  <c r="P6593" i="1" a="1"/>
  <c r="P6593" i="1" s="1"/>
  <c r="Q6593" i="1" a="1"/>
  <c r="Q6593" i="1" s="1"/>
  <c r="L6593" i="1" a="1"/>
  <c r="L6593" i="1" s="1"/>
  <c r="B6594" i="1"/>
  <c r="A6593" i="1"/>
  <c r="H6592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H6593" i="1" l="1"/>
  <c r="A6594" i="1"/>
  <c r="B6595" i="1"/>
  <c r="I6594" i="1" a="1"/>
  <c r="I6594" i="1" s="1"/>
  <c r="M6594" i="1" a="1"/>
  <c r="M6594" i="1" s="1"/>
  <c r="Q6594" i="1" a="1"/>
  <c r="Q6594" i="1" s="1"/>
  <c r="J6594" i="1" a="1"/>
  <c r="J6594" i="1" s="1"/>
  <c r="N6594" i="1" a="1"/>
  <c r="N6594" i="1" s="1"/>
  <c r="R6594" i="1" a="1"/>
  <c r="R6594" i="1" s="1"/>
  <c r="P6594" i="1" a="1"/>
  <c r="P6594" i="1" s="1"/>
  <c r="K6594" i="1" a="1"/>
  <c r="K6594" i="1" s="1"/>
  <c r="S6594" i="1" a="1"/>
  <c r="S6594" i="1" s="1"/>
  <c r="L6594" i="1" a="1"/>
  <c r="L6594" i="1" s="1"/>
  <c r="O6594" i="1" a="1"/>
  <c r="O6594" i="1" s="1"/>
  <c r="I6593" i="1" a="1"/>
  <c r="I6593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L6595" i="1" l="1" a="1"/>
  <c r="L6595" i="1" s="1"/>
  <c r="P6595" i="1" a="1"/>
  <c r="P6595" i="1" s="1"/>
  <c r="B6596" i="1"/>
  <c r="M6595" i="1" a="1"/>
  <c r="M6595" i="1" s="1"/>
  <c r="Q6595" i="1" a="1"/>
  <c r="Q6595" i="1" s="1"/>
  <c r="K6595" i="1" a="1"/>
  <c r="K6595" i="1" s="1"/>
  <c r="S6595" i="1" a="1"/>
  <c r="S6595" i="1" s="1"/>
  <c r="N6595" i="1" a="1"/>
  <c r="N6595" i="1" s="1"/>
  <c r="O6595" i="1" a="1"/>
  <c r="O6595" i="1" s="1"/>
  <c r="J6595" i="1" a="1"/>
  <c r="J6595" i="1" s="1"/>
  <c r="R6595" i="1" a="1"/>
  <c r="R6595" i="1" s="1"/>
  <c r="H6594" i="1"/>
  <c r="A6595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6596" i="1" l="1"/>
  <c r="H6595" i="1"/>
  <c r="I6595" i="1" a="1"/>
  <c r="I6595" i="1" s="1"/>
  <c r="K6596" i="1" a="1"/>
  <c r="K6596" i="1" s="1"/>
  <c r="O6596" i="1" a="1"/>
  <c r="O6596" i="1" s="1"/>
  <c r="S6596" i="1" a="1"/>
  <c r="S6596" i="1" s="1"/>
  <c r="L6596" i="1" a="1"/>
  <c r="L6596" i="1" s="1"/>
  <c r="P6596" i="1" a="1"/>
  <c r="P6596" i="1" s="1"/>
  <c r="N6596" i="1" a="1"/>
  <c r="N6596" i="1" s="1"/>
  <c r="I6596" i="1" a="1"/>
  <c r="I6596" i="1" s="1"/>
  <c r="Q6596" i="1" a="1"/>
  <c r="Q6596" i="1" s="1"/>
  <c r="J6596" i="1" a="1"/>
  <c r="J6596" i="1" s="1"/>
  <c r="R6596" i="1" a="1"/>
  <c r="R6596" i="1" s="1"/>
  <c r="M6596" i="1" a="1"/>
  <c r="M6596" i="1" s="1"/>
  <c r="B6597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6597" i="1" l="1" a="1"/>
  <c r="J6597" i="1" s="1"/>
  <c r="N6597" i="1" a="1"/>
  <c r="N6597" i="1" s="1"/>
  <c r="R6597" i="1" a="1"/>
  <c r="R6597" i="1" s="1"/>
  <c r="P6597" i="1" a="1"/>
  <c r="P6597" i="1" s="1"/>
  <c r="K6597" i="1" a="1"/>
  <c r="K6597" i="1" s="1"/>
  <c r="Q6597" i="1" a="1"/>
  <c r="Q6597" i="1" s="1"/>
  <c r="L6597" i="1" a="1"/>
  <c r="L6597" i="1" s="1"/>
  <c r="S6597" i="1" a="1"/>
  <c r="S6597" i="1" s="1"/>
  <c r="M6597" i="1" a="1"/>
  <c r="M6597" i="1" s="1"/>
  <c r="O6597" i="1" a="1"/>
  <c r="O6597" i="1" s="1"/>
  <c r="B6598" i="1"/>
  <c r="H6596" i="1"/>
  <c r="A6597" i="1"/>
  <c r="I6597" i="1" s="1" a="1"/>
  <c r="I6597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H6597" i="1" l="1"/>
  <c r="A6598" i="1"/>
  <c r="B6599" i="1"/>
  <c r="I6598" i="1" a="1"/>
  <c r="I6598" i="1" s="1"/>
  <c r="M6598" i="1" a="1"/>
  <c r="M6598" i="1" s="1"/>
  <c r="Q6598" i="1" a="1"/>
  <c r="Q6598" i="1" s="1"/>
  <c r="O6598" i="1" a="1"/>
  <c r="O6598" i="1" s="1"/>
  <c r="J6598" i="1" a="1"/>
  <c r="J6598" i="1" s="1"/>
  <c r="P6598" i="1" a="1"/>
  <c r="P6598" i="1" s="1"/>
  <c r="K6598" i="1" a="1"/>
  <c r="K6598" i="1" s="1"/>
  <c r="R6598" i="1" a="1"/>
  <c r="R6598" i="1" s="1"/>
  <c r="L6598" i="1" a="1"/>
  <c r="L6598" i="1" s="1"/>
  <c r="S6598" i="1" a="1"/>
  <c r="S6598" i="1" s="1"/>
  <c r="N6598" i="1" a="1"/>
  <c r="N6598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L6599" i="1" l="1" a="1"/>
  <c r="L6599" i="1" s="1"/>
  <c r="P6599" i="1" a="1"/>
  <c r="P6599" i="1" s="1"/>
  <c r="B6600" i="1"/>
  <c r="O6599" i="1" a="1"/>
  <c r="O6599" i="1" s="1"/>
  <c r="J6599" i="1" a="1"/>
  <c r="J6599" i="1" s="1"/>
  <c r="Q6599" i="1" a="1"/>
  <c r="Q6599" i="1" s="1"/>
  <c r="K6599" i="1" a="1"/>
  <c r="K6599" i="1" s="1"/>
  <c r="R6599" i="1" a="1"/>
  <c r="R6599" i="1" s="1"/>
  <c r="M6599" i="1" a="1"/>
  <c r="M6599" i="1" s="1"/>
  <c r="S6599" i="1" a="1"/>
  <c r="S6599" i="1" s="1"/>
  <c r="N6599" i="1" a="1"/>
  <c r="N6599" i="1" s="1"/>
  <c r="H6598" i="1"/>
  <c r="A6599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6600" i="1" l="1"/>
  <c r="H6599" i="1"/>
  <c r="I6599" i="1" a="1"/>
  <c r="I6599" i="1" s="1"/>
  <c r="K6600" i="1" a="1"/>
  <c r="K6600" i="1" s="1"/>
  <c r="O6600" i="1" a="1"/>
  <c r="O6600" i="1" s="1"/>
  <c r="S6600" i="1" a="1"/>
  <c r="S6600" i="1" s="1"/>
  <c r="N6600" i="1" a="1"/>
  <c r="N6600" i="1" s="1"/>
  <c r="I6600" i="1" a="1"/>
  <c r="I6600" i="1" s="1"/>
  <c r="P6600" i="1" a="1"/>
  <c r="P6600" i="1" s="1"/>
  <c r="J6600" i="1" a="1"/>
  <c r="J6600" i="1" s="1"/>
  <c r="Q6600" i="1" a="1"/>
  <c r="Q6600" i="1" s="1"/>
  <c r="L6600" i="1" a="1"/>
  <c r="L6600" i="1" s="1"/>
  <c r="R6600" i="1" a="1"/>
  <c r="R6600" i="1" s="1"/>
  <c r="M6600" i="1" a="1"/>
  <c r="M6600" i="1" s="1"/>
  <c r="B6601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J6601" i="1" l="1" a="1"/>
  <c r="J6601" i="1" s="1"/>
  <c r="N6601" i="1" a="1"/>
  <c r="N6601" i="1" s="1"/>
  <c r="R6601" i="1" a="1"/>
  <c r="R6601" i="1" s="1"/>
  <c r="O6601" i="1" a="1"/>
  <c r="O6601" i="1" s="1"/>
  <c r="B6602" i="1"/>
  <c r="P6601" i="1" a="1"/>
  <c r="P6601" i="1" s="1"/>
  <c r="K6601" i="1" a="1"/>
  <c r="K6601" i="1" s="1"/>
  <c r="Q6601" i="1" a="1"/>
  <c r="Q6601" i="1" s="1"/>
  <c r="L6601" i="1" a="1"/>
  <c r="L6601" i="1" s="1"/>
  <c r="S6601" i="1" a="1"/>
  <c r="S6601" i="1" s="1"/>
  <c r="M6601" i="1" a="1"/>
  <c r="M6601" i="1" s="1"/>
  <c r="H6600" i="1"/>
  <c r="A6601" i="1"/>
  <c r="I6601" i="1" s="1" a="1"/>
  <c r="I6601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6603" i="1" l="1"/>
  <c r="M6602" i="1" a="1"/>
  <c r="M6602" i="1" s="1"/>
  <c r="Q6602" i="1" a="1"/>
  <c r="Q6602" i="1" s="1"/>
  <c r="O6602" i="1" a="1"/>
  <c r="O6602" i="1" s="1"/>
  <c r="J6602" i="1" a="1"/>
  <c r="J6602" i="1" s="1"/>
  <c r="P6602" i="1" a="1"/>
  <c r="P6602" i="1" s="1"/>
  <c r="K6602" i="1" a="1"/>
  <c r="K6602" i="1" s="1"/>
  <c r="R6602" i="1" a="1"/>
  <c r="R6602" i="1" s="1"/>
  <c r="L6602" i="1" a="1"/>
  <c r="L6602" i="1" s="1"/>
  <c r="S6602" i="1" a="1"/>
  <c r="S6602" i="1" s="1"/>
  <c r="N6602" i="1" a="1"/>
  <c r="N6602" i="1" s="1"/>
  <c r="H6601" i="1"/>
  <c r="A6602" i="1"/>
  <c r="I6602" i="1" s="1" a="1"/>
  <c r="I6602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602" i="1" l="1"/>
  <c r="A6603" i="1"/>
  <c r="L6603" i="1" a="1"/>
  <c r="L6603" i="1" s="1"/>
  <c r="P6603" i="1" a="1"/>
  <c r="P6603" i="1" s="1"/>
  <c r="B6604" i="1"/>
  <c r="N6603" i="1" a="1"/>
  <c r="N6603" i="1" s="1"/>
  <c r="I6603" i="1" a="1"/>
  <c r="I6603" i="1" s="1"/>
  <c r="O6603" i="1" a="1"/>
  <c r="O6603" i="1" s="1"/>
  <c r="J6603" i="1" a="1"/>
  <c r="J6603" i="1" s="1"/>
  <c r="Q6603" i="1" a="1"/>
  <c r="Q6603" i="1" s="1"/>
  <c r="K6603" i="1" a="1"/>
  <c r="K6603" i="1" s="1"/>
  <c r="R6603" i="1" a="1"/>
  <c r="R6603" i="1" s="1"/>
  <c r="M6603" i="1" a="1"/>
  <c r="M6603" i="1" s="1"/>
  <c r="S6603" i="1" a="1"/>
  <c r="S6603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6604" i="1" l="1" a="1"/>
  <c r="K6604" i="1" s="1"/>
  <c r="O6604" i="1" a="1"/>
  <c r="O6604" i="1" s="1"/>
  <c r="S6604" i="1" a="1"/>
  <c r="S6604" i="1" s="1"/>
  <c r="B6605" i="1"/>
  <c r="N6604" i="1" a="1"/>
  <c r="N6604" i="1" s="1"/>
  <c r="I6604" i="1" a="1"/>
  <c r="I6604" i="1" s="1"/>
  <c r="P6604" i="1" a="1"/>
  <c r="P6604" i="1" s="1"/>
  <c r="J6604" i="1" a="1"/>
  <c r="J6604" i="1" s="1"/>
  <c r="Q6604" i="1" a="1"/>
  <c r="Q6604" i="1" s="1"/>
  <c r="L6604" i="1" a="1"/>
  <c r="L6604" i="1" s="1"/>
  <c r="R6604" i="1" a="1"/>
  <c r="R6604" i="1" s="1"/>
  <c r="M6604" i="1" a="1"/>
  <c r="M6604" i="1" s="1"/>
  <c r="A6604" i="1"/>
  <c r="H6603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6604" i="1" l="1"/>
  <c r="A6605" i="1"/>
  <c r="J6605" i="1" a="1"/>
  <c r="J6605" i="1" s="1"/>
  <c r="N6605" i="1" a="1"/>
  <c r="N6605" i="1" s="1"/>
  <c r="R6605" i="1" a="1"/>
  <c r="R6605" i="1" s="1"/>
  <c r="M6605" i="1" a="1"/>
  <c r="M6605" i="1" s="1"/>
  <c r="O6605" i="1" a="1"/>
  <c r="O6605" i="1" s="1"/>
  <c r="B6606" i="1"/>
  <c r="P6605" i="1" a="1"/>
  <c r="P6605" i="1" s="1"/>
  <c r="K6605" i="1" a="1"/>
  <c r="K6605" i="1" s="1"/>
  <c r="Q6605" i="1" a="1"/>
  <c r="Q6605" i="1" s="1"/>
  <c r="L6605" i="1" a="1"/>
  <c r="L6605" i="1" s="1"/>
  <c r="S6605" i="1" a="1"/>
  <c r="S6605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B6607" i="1" l="1"/>
  <c r="M6606" i="1" a="1"/>
  <c r="M6606" i="1" s="1"/>
  <c r="Q6606" i="1" a="1"/>
  <c r="Q6606" i="1" s="1"/>
  <c r="N6606" i="1" a="1"/>
  <c r="N6606" i="1" s="1"/>
  <c r="O6606" i="1" a="1"/>
  <c r="O6606" i="1" s="1"/>
  <c r="J6606" i="1" a="1"/>
  <c r="J6606" i="1" s="1"/>
  <c r="P6606" i="1" a="1"/>
  <c r="P6606" i="1" s="1"/>
  <c r="K6606" i="1" a="1"/>
  <c r="K6606" i="1" s="1"/>
  <c r="R6606" i="1" a="1"/>
  <c r="R6606" i="1" s="1"/>
  <c r="L6606" i="1" a="1"/>
  <c r="L6606" i="1" s="1"/>
  <c r="S6606" i="1" a="1"/>
  <c r="S6606" i="1" s="1"/>
  <c r="A6606" i="1"/>
  <c r="H6605" i="1"/>
  <c r="I6605" i="1" a="1"/>
  <c r="I6605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6606" i="1" l="1"/>
  <c r="A6607" i="1"/>
  <c r="I6606" i="1" a="1"/>
  <c r="I6606" i="1" s="1"/>
  <c r="L6607" i="1" a="1"/>
  <c r="L6607" i="1" s="1"/>
  <c r="P6607" i="1" a="1"/>
  <c r="P6607" i="1" s="1"/>
  <c r="B6608" i="1"/>
  <c r="S6607" i="1" a="1"/>
  <c r="S6607" i="1" s="1"/>
  <c r="N6607" i="1" a="1"/>
  <c r="N6607" i="1" s="1"/>
  <c r="O6607" i="1" a="1"/>
  <c r="O6607" i="1" s="1"/>
  <c r="J6607" i="1" a="1"/>
  <c r="J6607" i="1" s="1"/>
  <c r="Q6607" i="1" a="1"/>
  <c r="Q6607" i="1" s="1"/>
  <c r="K6607" i="1" a="1"/>
  <c r="K6607" i="1" s="1"/>
  <c r="R6607" i="1" a="1"/>
  <c r="R6607" i="1" s="1"/>
  <c r="M6607" i="1" a="1"/>
  <c r="M6607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6608" i="1" l="1" a="1"/>
  <c r="K6608" i="1" s="1"/>
  <c r="O6608" i="1" a="1"/>
  <c r="O6608" i="1" s="1"/>
  <c r="S6608" i="1" a="1"/>
  <c r="S6608" i="1" s="1"/>
  <c r="M6608" i="1" a="1"/>
  <c r="M6608" i="1" s="1"/>
  <c r="B6609" i="1"/>
  <c r="N6608" i="1" a="1"/>
  <c r="N6608" i="1" s="1"/>
  <c r="I6608" i="1" a="1"/>
  <c r="I6608" i="1" s="1"/>
  <c r="P6608" i="1" a="1"/>
  <c r="P6608" i="1" s="1"/>
  <c r="J6608" i="1" a="1"/>
  <c r="J6608" i="1" s="1"/>
  <c r="Q6608" i="1" a="1"/>
  <c r="Q6608" i="1" s="1"/>
  <c r="L6608" i="1" a="1"/>
  <c r="L6608" i="1" s="1"/>
  <c r="R6608" i="1" a="1"/>
  <c r="R6608" i="1" s="1"/>
  <c r="A6608" i="1"/>
  <c r="H6607" i="1"/>
  <c r="I6607" i="1" a="1"/>
  <c r="I6607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6609" i="1" l="1"/>
  <c r="I6609" i="1" s="1" a="1"/>
  <c r="I6609" i="1" s="1"/>
  <c r="H6608" i="1"/>
  <c r="J6609" i="1" a="1"/>
  <c r="J6609" i="1" s="1"/>
  <c r="N6609" i="1" a="1"/>
  <c r="N6609" i="1" s="1"/>
  <c r="R6609" i="1" a="1"/>
  <c r="R6609" i="1" s="1"/>
  <c r="M6609" i="1" a="1"/>
  <c r="M6609" i="1" s="1"/>
  <c r="O6609" i="1" a="1"/>
  <c r="O6609" i="1" s="1"/>
  <c r="B6610" i="1"/>
  <c r="P6609" i="1" a="1"/>
  <c r="P6609" i="1" s="1"/>
  <c r="K6609" i="1" a="1"/>
  <c r="K6609" i="1" s="1"/>
  <c r="Q6609" i="1" a="1"/>
  <c r="Q6609" i="1" s="1"/>
  <c r="L6609" i="1" a="1"/>
  <c r="L6609" i="1" s="1"/>
  <c r="S6609" i="1" a="1"/>
  <c r="S6609" i="1" s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6611" i="1" l="1"/>
  <c r="M6610" i="1" a="1"/>
  <c r="M6610" i="1" s="1"/>
  <c r="Q6610" i="1" a="1"/>
  <c r="Q6610" i="1" s="1"/>
  <c r="L6610" i="1" a="1"/>
  <c r="L6610" i="1" s="1"/>
  <c r="R6610" i="1" a="1"/>
  <c r="R6610" i="1" s="1"/>
  <c r="N6610" i="1" a="1"/>
  <c r="N6610" i="1" s="1"/>
  <c r="S6610" i="1" a="1"/>
  <c r="S6610" i="1" s="1"/>
  <c r="J6610" i="1" a="1"/>
  <c r="J6610" i="1" s="1"/>
  <c r="K6610" i="1" a="1"/>
  <c r="K6610" i="1" s="1"/>
  <c r="O6610" i="1" a="1"/>
  <c r="O6610" i="1" s="1"/>
  <c r="P6610" i="1" a="1"/>
  <c r="P6610" i="1" s="1"/>
  <c r="A6610" i="1"/>
  <c r="H6609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610" i="1" l="1"/>
  <c r="A6611" i="1"/>
  <c r="I6610" i="1" a="1"/>
  <c r="I6610" i="1" s="1"/>
  <c r="L6611" i="1" a="1"/>
  <c r="L6611" i="1" s="1"/>
  <c r="P6611" i="1" a="1"/>
  <c r="P6611" i="1" s="1"/>
  <c r="J6611" i="1" a="1"/>
  <c r="J6611" i="1" s="1"/>
  <c r="O6611" i="1" a="1"/>
  <c r="O6611" i="1" s="1"/>
  <c r="K6611" i="1" a="1"/>
  <c r="K6611" i="1" s="1"/>
  <c r="Q6611" i="1" a="1"/>
  <c r="Q6611" i="1" s="1"/>
  <c r="B6612" i="1"/>
  <c r="N6611" i="1" a="1"/>
  <c r="N6611" i="1" s="1"/>
  <c r="R6611" i="1" a="1"/>
  <c r="R6611" i="1" s="1"/>
  <c r="S6611" i="1" a="1"/>
  <c r="S6611" i="1" s="1"/>
  <c r="I6611" i="1" a="1"/>
  <c r="I6611" i="1" s="1"/>
  <c r="M6611" i="1" a="1"/>
  <c r="M6611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6612" i="1" l="1" a="1"/>
  <c r="K6612" i="1" s="1"/>
  <c r="O6612" i="1" a="1"/>
  <c r="O6612" i="1" s="1"/>
  <c r="S6612" i="1" a="1"/>
  <c r="S6612" i="1" s="1"/>
  <c r="M6612" i="1" a="1"/>
  <c r="M6612" i="1" s="1"/>
  <c r="R6612" i="1" a="1"/>
  <c r="R6612" i="1" s="1"/>
  <c r="I6612" i="1" a="1"/>
  <c r="I6612" i="1" s="1"/>
  <c r="N6612" i="1" a="1"/>
  <c r="N6612" i="1" s="1"/>
  <c r="B6613" i="1"/>
  <c r="J6612" i="1" a="1"/>
  <c r="J6612" i="1" s="1"/>
  <c r="L6612" i="1" a="1"/>
  <c r="L6612" i="1" s="1"/>
  <c r="P6612" i="1" a="1"/>
  <c r="P6612" i="1" s="1"/>
  <c r="Q6612" i="1" a="1"/>
  <c r="Q6612" i="1" s="1"/>
  <c r="A6612" i="1"/>
  <c r="H6611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J6613" i="1" l="1" a="1"/>
  <c r="J6613" i="1" s="1"/>
  <c r="N6613" i="1" a="1"/>
  <c r="N6613" i="1" s="1"/>
  <c r="R6613" i="1" a="1"/>
  <c r="R6613" i="1" s="1"/>
  <c r="K6613" i="1" a="1"/>
  <c r="K6613" i="1" s="1"/>
  <c r="P6613" i="1" a="1"/>
  <c r="P6613" i="1" s="1"/>
  <c r="L6613" i="1" a="1"/>
  <c r="L6613" i="1" s="1"/>
  <c r="Q6613" i="1" a="1"/>
  <c r="Q6613" i="1" s="1"/>
  <c r="B6614" i="1"/>
  <c r="M6613" i="1" a="1"/>
  <c r="M6613" i="1" s="1"/>
  <c r="O6613" i="1" a="1"/>
  <c r="O6613" i="1" s="1"/>
  <c r="S6613" i="1" a="1"/>
  <c r="S6613" i="1" s="1"/>
  <c r="H6612" i="1"/>
  <c r="A6613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B6615" i="1" l="1"/>
  <c r="M6614" i="1" a="1"/>
  <c r="M6614" i="1" s="1"/>
  <c r="Q6614" i="1" a="1"/>
  <c r="Q6614" i="1" s="1"/>
  <c r="N6614" i="1" a="1"/>
  <c r="N6614" i="1" s="1"/>
  <c r="S6614" i="1" a="1"/>
  <c r="S6614" i="1" s="1"/>
  <c r="J6614" i="1" a="1"/>
  <c r="J6614" i="1" s="1"/>
  <c r="O6614" i="1" a="1"/>
  <c r="O6614" i="1" s="1"/>
  <c r="P6614" i="1" a="1"/>
  <c r="P6614" i="1" s="1"/>
  <c r="R6614" i="1" a="1"/>
  <c r="R6614" i="1" s="1"/>
  <c r="K6614" i="1" a="1"/>
  <c r="K6614" i="1" s="1"/>
  <c r="L6614" i="1" a="1"/>
  <c r="L6614" i="1" s="1"/>
  <c r="H6613" i="1"/>
  <c r="A6614" i="1"/>
  <c r="I6613" i="1" a="1"/>
  <c r="I6613" i="1" s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614" i="1" l="1"/>
  <c r="A6615" i="1"/>
  <c r="I6614" i="1" a="1"/>
  <c r="I6614" i="1" s="1"/>
  <c r="L6615" i="1" a="1"/>
  <c r="L6615" i="1" s="1"/>
  <c r="P6615" i="1" a="1"/>
  <c r="P6615" i="1" s="1"/>
  <c r="K6615" i="1" a="1"/>
  <c r="K6615" i="1" s="1"/>
  <c r="Q6615" i="1" a="1"/>
  <c r="Q6615" i="1" s="1"/>
  <c r="M6615" i="1" a="1"/>
  <c r="M6615" i="1" s="1"/>
  <c r="R6615" i="1" a="1"/>
  <c r="R6615" i="1" s="1"/>
  <c r="S6615" i="1" a="1"/>
  <c r="S6615" i="1" s="1"/>
  <c r="B6616" i="1"/>
  <c r="I6615" i="1" a="1"/>
  <c r="I6615" i="1" s="1"/>
  <c r="J6615" i="1" a="1"/>
  <c r="J6615" i="1" s="1"/>
  <c r="N6615" i="1" a="1"/>
  <c r="N6615" i="1" s="1"/>
  <c r="O6615" i="1" a="1"/>
  <c r="O6615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6616" i="1" l="1" a="1"/>
  <c r="K6616" i="1" s="1"/>
  <c r="O6616" i="1" a="1"/>
  <c r="O6616" i="1" s="1"/>
  <c r="S6616" i="1" a="1"/>
  <c r="S6616" i="1" s="1"/>
  <c r="N6616" i="1" a="1"/>
  <c r="N6616" i="1" s="1"/>
  <c r="B6617" i="1"/>
  <c r="J6616" i="1" a="1"/>
  <c r="J6616" i="1" s="1"/>
  <c r="P6616" i="1" a="1"/>
  <c r="P6616" i="1" s="1"/>
  <c r="Q6616" i="1" a="1"/>
  <c r="Q6616" i="1" s="1"/>
  <c r="R6616" i="1" a="1"/>
  <c r="R6616" i="1" s="1"/>
  <c r="L6616" i="1" a="1"/>
  <c r="L6616" i="1" s="1"/>
  <c r="M6616" i="1" a="1"/>
  <c r="M6616" i="1" s="1"/>
  <c r="A6616" i="1"/>
  <c r="I6616" i="1" s="1" a="1"/>
  <c r="I6616" i="1" s="1"/>
  <c r="H6615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J6617" i="1" l="1" a="1"/>
  <c r="J6617" i="1" s="1"/>
  <c r="N6617" i="1" a="1"/>
  <c r="N6617" i="1" s="1"/>
  <c r="R6617" i="1" a="1"/>
  <c r="R6617" i="1" s="1"/>
  <c r="L6617" i="1" a="1"/>
  <c r="L6617" i="1" s="1"/>
  <c r="Q6617" i="1" a="1"/>
  <c r="Q6617" i="1" s="1"/>
  <c r="M6617" i="1" a="1"/>
  <c r="M6617" i="1" s="1"/>
  <c r="S6617" i="1" a="1"/>
  <c r="S6617" i="1" s="1"/>
  <c r="O6617" i="1" a="1"/>
  <c r="O6617" i="1" s="1"/>
  <c r="P6617" i="1" a="1"/>
  <c r="P6617" i="1" s="1"/>
  <c r="B6618" i="1"/>
  <c r="K6617" i="1" a="1"/>
  <c r="K6617" i="1" s="1"/>
  <c r="A6617" i="1"/>
  <c r="H6616" i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H6617" i="1" l="1"/>
  <c r="A6618" i="1"/>
  <c r="B6619" i="1"/>
  <c r="I6618" i="1" a="1"/>
  <c r="I6618" i="1" s="1"/>
  <c r="M6618" i="1" a="1"/>
  <c r="M6618" i="1" s="1"/>
  <c r="Q6618" i="1" a="1"/>
  <c r="Q6618" i="1" s="1"/>
  <c r="J6618" i="1" a="1"/>
  <c r="J6618" i="1" s="1"/>
  <c r="O6618" i="1" a="1"/>
  <c r="O6618" i="1" s="1"/>
  <c r="K6618" i="1" a="1"/>
  <c r="K6618" i="1" s="1"/>
  <c r="P6618" i="1" a="1"/>
  <c r="P6618" i="1" s="1"/>
  <c r="L6618" i="1" a="1"/>
  <c r="L6618" i="1" s="1"/>
  <c r="N6618" i="1" a="1"/>
  <c r="N6618" i="1" s="1"/>
  <c r="R6618" i="1" a="1"/>
  <c r="R6618" i="1" s="1"/>
  <c r="S6618" i="1" a="1"/>
  <c r="S6618" i="1" s="1"/>
  <c r="I6617" i="1" a="1"/>
  <c r="I6617" i="1" s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6619" i="1" l="1" a="1"/>
  <c r="L6619" i="1" s="1"/>
  <c r="P6619" i="1" a="1"/>
  <c r="P6619" i="1" s="1"/>
  <c r="M6619" i="1" a="1"/>
  <c r="M6619" i="1" s="1"/>
  <c r="R6619" i="1" a="1"/>
  <c r="R6619" i="1" s="1"/>
  <c r="N6619" i="1" a="1"/>
  <c r="N6619" i="1" s="1"/>
  <c r="S6619" i="1" a="1"/>
  <c r="S6619" i="1" s="1"/>
  <c r="B6620" i="1"/>
  <c r="J6619" i="1" a="1"/>
  <c r="J6619" i="1" s="1"/>
  <c r="K6619" i="1" a="1"/>
  <c r="K6619" i="1" s="1"/>
  <c r="O6619" i="1" a="1"/>
  <c r="O6619" i="1" s="1"/>
  <c r="Q6619" i="1" a="1"/>
  <c r="Q6619" i="1" s="1"/>
  <c r="H6618" i="1"/>
  <c r="A6619" i="1"/>
  <c r="I6619" i="1" s="1" a="1"/>
  <c r="I6619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6620" i="1" l="1"/>
  <c r="H6619" i="1"/>
  <c r="K6620" i="1" a="1"/>
  <c r="K6620" i="1" s="1"/>
  <c r="O6620" i="1" a="1"/>
  <c r="O6620" i="1" s="1"/>
  <c r="S6620" i="1" a="1"/>
  <c r="S6620" i="1" s="1"/>
  <c r="J6620" i="1" a="1"/>
  <c r="J6620" i="1" s="1"/>
  <c r="P6620" i="1" a="1"/>
  <c r="P6620" i="1" s="1"/>
  <c r="L6620" i="1" a="1"/>
  <c r="L6620" i="1" s="1"/>
  <c r="Q6620" i="1" a="1"/>
  <c r="Q6620" i="1" s="1"/>
  <c r="R6620" i="1" a="1"/>
  <c r="R6620" i="1" s="1"/>
  <c r="I6620" i="1" a="1"/>
  <c r="I6620" i="1" s="1"/>
  <c r="B6621" i="1"/>
  <c r="M6620" i="1" a="1"/>
  <c r="M6620" i="1" s="1"/>
  <c r="N6620" i="1" a="1"/>
  <c r="N6620" i="1" s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J6621" i="1" l="1" a="1"/>
  <c r="J6621" i="1" s="1"/>
  <c r="N6621" i="1" a="1"/>
  <c r="N6621" i="1" s="1"/>
  <c r="R6621" i="1" a="1"/>
  <c r="R6621" i="1" s="1"/>
  <c r="M6621" i="1" a="1"/>
  <c r="M6621" i="1" s="1"/>
  <c r="S6621" i="1" a="1"/>
  <c r="S6621" i="1" s="1"/>
  <c r="O6621" i="1" a="1"/>
  <c r="O6621" i="1" s="1"/>
  <c r="B6622" i="1"/>
  <c r="P6621" i="1" a="1"/>
  <c r="P6621" i="1" s="1"/>
  <c r="Q6621" i="1" a="1"/>
  <c r="Q6621" i="1" s="1"/>
  <c r="K6621" i="1" a="1"/>
  <c r="K6621" i="1" s="1"/>
  <c r="L6621" i="1" a="1"/>
  <c r="L6621" i="1" s="1"/>
  <c r="H6620" i="1"/>
  <c r="A6621" i="1"/>
  <c r="I6621" i="1" s="1" a="1"/>
  <c r="I6621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B6623" i="1" l="1"/>
  <c r="M6622" i="1" a="1"/>
  <c r="M6622" i="1" s="1"/>
  <c r="Q6622" i="1" a="1"/>
  <c r="Q6622" i="1" s="1"/>
  <c r="K6622" i="1" a="1"/>
  <c r="K6622" i="1" s="1"/>
  <c r="P6622" i="1" a="1"/>
  <c r="P6622" i="1" s="1"/>
  <c r="L6622" i="1" a="1"/>
  <c r="L6622" i="1" s="1"/>
  <c r="R6622" i="1" a="1"/>
  <c r="R6622" i="1" s="1"/>
  <c r="N6622" i="1" a="1"/>
  <c r="N6622" i="1" s="1"/>
  <c r="O6622" i="1" a="1"/>
  <c r="O6622" i="1" s="1"/>
  <c r="S6622" i="1" a="1"/>
  <c r="S6622" i="1" s="1"/>
  <c r="J6622" i="1" a="1"/>
  <c r="J6622" i="1" s="1"/>
  <c r="H6621" i="1"/>
  <c r="A6622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H6622" i="1" l="1"/>
  <c r="A6623" i="1"/>
  <c r="I6622" i="1" a="1"/>
  <c r="I6622" i="1" s="1"/>
  <c r="L6623" i="1" a="1"/>
  <c r="L6623" i="1" s="1"/>
  <c r="P6623" i="1" a="1"/>
  <c r="P6623" i="1" s="1"/>
  <c r="I6623" i="1" a="1"/>
  <c r="I6623" i="1" s="1"/>
  <c r="N6623" i="1" a="1"/>
  <c r="N6623" i="1" s="1"/>
  <c r="S6623" i="1" a="1"/>
  <c r="S6623" i="1" s="1"/>
  <c r="B6624" i="1"/>
  <c r="J6623" i="1" a="1"/>
  <c r="J6623" i="1" s="1"/>
  <c r="O6623" i="1" a="1"/>
  <c r="O6623" i="1" s="1"/>
  <c r="K6623" i="1" a="1"/>
  <c r="K6623" i="1" s="1"/>
  <c r="M6623" i="1" a="1"/>
  <c r="M6623" i="1" s="1"/>
  <c r="Q6623" i="1" a="1"/>
  <c r="Q6623" i="1" s="1"/>
  <c r="R6623" i="1" a="1"/>
  <c r="R6623" i="1" s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6624" i="1" l="1"/>
  <c r="H6623" i="1"/>
  <c r="K6624" i="1" a="1"/>
  <c r="K6624" i="1" s="1"/>
  <c r="O6624" i="1" a="1"/>
  <c r="O6624" i="1" s="1"/>
  <c r="S6624" i="1" a="1"/>
  <c r="S6624" i="1" s="1"/>
  <c r="L6624" i="1" a="1"/>
  <c r="L6624" i="1" s="1"/>
  <c r="Q6624" i="1" a="1"/>
  <c r="Q6624" i="1" s="1"/>
  <c r="M6624" i="1" a="1"/>
  <c r="M6624" i="1" s="1"/>
  <c r="R6624" i="1" a="1"/>
  <c r="R6624" i="1" s="1"/>
  <c r="I6624" i="1" a="1"/>
  <c r="I6624" i="1" s="1"/>
  <c r="B6625" i="1"/>
  <c r="J6624" i="1" a="1"/>
  <c r="J6624" i="1" s="1"/>
  <c r="N6624" i="1" a="1"/>
  <c r="N6624" i="1" s="1"/>
  <c r="P6624" i="1" a="1"/>
  <c r="P6624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J6625" i="1" l="1" a="1"/>
  <c r="J6625" i="1" s="1"/>
  <c r="N6625" i="1" a="1"/>
  <c r="N6625" i="1" s="1"/>
  <c r="R6625" i="1" a="1"/>
  <c r="R6625" i="1" s="1"/>
  <c r="O6625" i="1" a="1"/>
  <c r="O6625" i="1" s="1"/>
  <c r="B6626" i="1"/>
  <c r="K6625" i="1" a="1"/>
  <c r="K6625" i="1" s="1"/>
  <c r="P6625" i="1" a="1"/>
  <c r="P6625" i="1" s="1"/>
  <c r="Q6625" i="1" a="1"/>
  <c r="Q6625" i="1" s="1"/>
  <c r="S6625" i="1" a="1"/>
  <c r="S6625" i="1" s="1"/>
  <c r="L6625" i="1" a="1"/>
  <c r="L6625" i="1" s="1"/>
  <c r="M6625" i="1" a="1"/>
  <c r="M6625" i="1" s="1"/>
  <c r="H6624" i="1"/>
  <c r="A6625" i="1"/>
  <c r="I6625" i="1" s="1" a="1"/>
  <c r="I6625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6626" i="1" l="1"/>
  <c r="H6625" i="1"/>
  <c r="B6627" i="1"/>
  <c r="I6626" i="1" a="1"/>
  <c r="I6626" i="1" s="1"/>
  <c r="M6626" i="1" a="1"/>
  <c r="M6626" i="1" s="1"/>
  <c r="Q6626" i="1" a="1"/>
  <c r="Q6626" i="1" s="1"/>
  <c r="L6626" i="1" a="1"/>
  <c r="L6626" i="1" s="1"/>
  <c r="R6626" i="1" a="1"/>
  <c r="R6626" i="1" s="1"/>
  <c r="N6626" i="1" a="1"/>
  <c r="N6626" i="1" s="1"/>
  <c r="S6626" i="1" a="1"/>
  <c r="S6626" i="1" s="1"/>
  <c r="O6626" i="1" a="1"/>
  <c r="O6626" i="1" s="1"/>
  <c r="P6626" i="1" a="1"/>
  <c r="P6626" i="1" s="1"/>
  <c r="J6626" i="1" a="1"/>
  <c r="J6626" i="1" s="1"/>
  <c r="K6626" i="1" a="1"/>
  <c r="K6626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6627" i="1" l="1" a="1"/>
  <c r="L6627" i="1" s="1"/>
  <c r="P6627" i="1" a="1"/>
  <c r="P6627" i="1" s="1"/>
  <c r="J6627" i="1" a="1"/>
  <c r="J6627" i="1" s="1"/>
  <c r="O6627" i="1" a="1"/>
  <c r="O6627" i="1" s="1"/>
  <c r="K6627" i="1" a="1"/>
  <c r="K6627" i="1" s="1"/>
  <c r="Q6627" i="1" a="1"/>
  <c r="Q6627" i="1" s="1"/>
  <c r="B6628" i="1"/>
  <c r="M6627" i="1" a="1"/>
  <c r="M6627" i="1" s="1"/>
  <c r="N6627" i="1" a="1"/>
  <c r="N6627" i="1" s="1"/>
  <c r="R6627" i="1" a="1"/>
  <c r="R6627" i="1" s="1"/>
  <c r="S6627" i="1" a="1"/>
  <c r="S6627" i="1" s="1"/>
  <c r="H6626" i="1"/>
  <c r="A6627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K6628" i="1" l="1" a="1"/>
  <c r="K6628" i="1" s="1"/>
  <c r="O6628" i="1" a="1"/>
  <c r="O6628" i="1" s="1"/>
  <c r="S6628" i="1" a="1"/>
  <c r="S6628" i="1" s="1"/>
  <c r="M6628" i="1" a="1"/>
  <c r="M6628" i="1" s="1"/>
  <c r="R6628" i="1" a="1"/>
  <c r="R6628" i="1" s="1"/>
  <c r="I6628" i="1" a="1"/>
  <c r="I6628" i="1" s="1"/>
  <c r="N6628" i="1" a="1"/>
  <c r="N6628" i="1" s="1"/>
  <c r="B6629" i="1"/>
  <c r="J6628" i="1" a="1"/>
  <c r="J6628" i="1" s="1"/>
  <c r="L6628" i="1" a="1"/>
  <c r="L6628" i="1" s="1"/>
  <c r="P6628" i="1" a="1"/>
  <c r="P6628" i="1" s="1"/>
  <c r="Q6628" i="1" a="1"/>
  <c r="Q6628" i="1" s="1"/>
  <c r="A6628" i="1"/>
  <c r="H6627" i="1"/>
  <c r="I6627" i="1" a="1"/>
  <c r="I6627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629" i="1" l="1" a="1"/>
  <c r="J6629" i="1" s="1"/>
  <c r="N6629" i="1" a="1"/>
  <c r="N6629" i="1" s="1"/>
  <c r="R6629" i="1" a="1"/>
  <c r="R6629" i="1" s="1"/>
  <c r="K6629" i="1" a="1"/>
  <c r="K6629" i="1" s="1"/>
  <c r="P6629" i="1" a="1"/>
  <c r="P6629" i="1" s="1"/>
  <c r="L6629" i="1" a="1"/>
  <c r="L6629" i="1" s="1"/>
  <c r="Q6629" i="1" a="1"/>
  <c r="Q6629" i="1" s="1"/>
  <c r="S6629" i="1" a="1"/>
  <c r="S6629" i="1" s="1"/>
  <c r="B6630" i="1"/>
  <c r="M6629" i="1" a="1"/>
  <c r="M6629" i="1" s="1"/>
  <c r="O6629" i="1" a="1"/>
  <c r="O6629" i="1" s="1"/>
  <c r="H6628" i="1"/>
  <c r="A6629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H6629" i="1" l="1"/>
  <c r="A6630" i="1"/>
  <c r="B6631" i="1"/>
  <c r="I6630" i="1" a="1"/>
  <c r="I6630" i="1" s="1"/>
  <c r="M6630" i="1" a="1"/>
  <c r="M6630" i="1" s="1"/>
  <c r="Q6630" i="1" a="1"/>
  <c r="Q6630" i="1" s="1"/>
  <c r="N6630" i="1" a="1"/>
  <c r="N6630" i="1" s="1"/>
  <c r="S6630" i="1" a="1"/>
  <c r="S6630" i="1" s="1"/>
  <c r="J6630" i="1" a="1"/>
  <c r="J6630" i="1" s="1"/>
  <c r="O6630" i="1" a="1"/>
  <c r="O6630" i="1" s="1"/>
  <c r="P6630" i="1" a="1"/>
  <c r="P6630" i="1" s="1"/>
  <c r="R6630" i="1" a="1"/>
  <c r="R6630" i="1" s="1"/>
  <c r="K6630" i="1" a="1"/>
  <c r="K6630" i="1" s="1"/>
  <c r="L6630" i="1" a="1"/>
  <c r="L6630" i="1" s="1"/>
  <c r="I6629" i="1" a="1"/>
  <c r="I6629" i="1" s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L6631" i="1" l="1" a="1"/>
  <c r="L6631" i="1" s="1"/>
  <c r="P6631" i="1" a="1"/>
  <c r="P6631" i="1" s="1"/>
  <c r="K6631" i="1" a="1"/>
  <c r="K6631" i="1" s="1"/>
  <c r="Q6631" i="1" a="1"/>
  <c r="Q6631" i="1" s="1"/>
  <c r="M6631" i="1" a="1"/>
  <c r="M6631" i="1" s="1"/>
  <c r="R6631" i="1" a="1"/>
  <c r="R6631" i="1" s="1"/>
  <c r="N6631" i="1" a="1"/>
  <c r="N6631" i="1" s="1"/>
  <c r="O6631" i="1" a="1"/>
  <c r="O6631" i="1" s="1"/>
  <c r="S6631" i="1" a="1"/>
  <c r="S6631" i="1" s="1"/>
  <c r="B6632" i="1"/>
  <c r="J6631" i="1" a="1"/>
  <c r="J6631" i="1" s="1"/>
  <c r="H6630" i="1"/>
  <c r="A6631" i="1"/>
  <c r="I6631" i="1" s="1" a="1"/>
  <c r="I6631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6632" i="1" l="1"/>
  <c r="H6631" i="1"/>
  <c r="K6632" i="1" a="1"/>
  <c r="K6632" i="1" s="1"/>
  <c r="O6632" i="1" a="1"/>
  <c r="O6632" i="1" s="1"/>
  <c r="S6632" i="1" a="1"/>
  <c r="S6632" i="1" s="1"/>
  <c r="I6632" i="1" a="1"/>
  <c r="I6632" i="1" s="1"/>
  <c r="N6632" i="1" a="1"/>
  <c r="N6632" i="1" s="1"/>
  <c r="B6633" i="1"/>
  <c r="J6632" i="1" a="1"/>
  <c r="J6632" i="1" s="1"/>
  <c r="P6632" i="1" a="1"/>
  <c r="P6632" i="1" s="1"/>
  <c r="L6632" i="1" a="1"/>
  <c r="L6632" i="1" s="1"/>
  <c r="M6632" i="1" a="1"/>
  <c r="M6632" i="1" s="1"/>
  <c r="Q6632" i="1" a="1"/>
  <c r="Q6632" i="1" s="1"/>
  <c r="R6632" i="1" a="1"/>
  <c r="R6632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J6633" i="1" l="1" a="1"/>
  <c r="J6633" i="1" s="1"/>
  <c r="N6633" i="1" a="1"/>
  <c r="N6633" i="1" s="1"/>
  <c r="R6633" i="1" a="1"/>
  <c r="R6633" i="1" s="1"/>
  <c r="L6633" i="1" a="1"/>
  <c r="L6633" i="1" s="1"/>
  <c r="Q6633" i="1" a="1"/>
  <c r="Q6633" i="1" s="1"/>
  <c r="M6633" i="1" a="1"/>
  <c r="M6633" i="1" s="1"/>
  <c r="S6633" i="1" a="1"/>
  <c r="S6633" i="1" s="1"/>
  <c r="I6633" i="1" a="1"/>
  <c r="I6633" i="1" s="1"/>
  <c r="B6634" i="1"/>
  <c r="K6633" i="1" a="1"/>
  <c r="K6633" i="1" s="1"/>
  <c r="O6633" i="1" a="1"/>
  <c r="O6633" i="1" s="1"/>
  <c r="P6633" i="1" a="1"/>
  <c r="P6633" i="1" s="1"/>
  <c r="A6633" i="1"/>
  <c r="H6632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6633" i="1" l="1"/>
  <c r="A6634" i="1"/>
  <c r="I6634" i="1" a="1"/>
  <c r="I6634" i="1" s="1"/>
  <c r="M6634" i="1" a="1"/>
  <c r="M6634" i="1" s="1"/>
  <c r="Q6634" i="1" a="1"/>
  <c r="Q6634" i="1" s="1"/>
  <c r="J6634" i="1" a="1"/>
  <c r="J6634" i="1" s="1"/>
  <c r="O6634" i="1" a="1"/>
  <c r="O6634" i="1" s="1"/>
  <c r="B6635" i="1"/>
  <c r="K6634" i="1" a="1"/>
  <c r="K6634" i="1" s="1"/>
  <c r="P6634" i="1" a="1"/>
  <c r="P6634" i="1" s="1"/>
  <c r="N6634" i="1" a="1"/>
  <c r="N6634" i="1" s="1"/>
  <c r="R6634" i="1" a="1"/>
  <c r="R6634" i="1" s="1"/>
  <c r="S6634" i="1" a="1"/>
  <c r="S6634" i="1" s="1"/>
  <c r="L6634" i="1" a="1"/>
  <c r="L6634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K6635" i="1" l="1" a="1"/>
  <c r="K6635" i="1" s="1"/>
  <c r="O6635" i="1" a="1"/>
  <c r="O6635" i="1" s="1"/>
  <c r="S6635" i="1" a="1"/>
  <c r="S6635" i="1" s="1"/>
  <c r="L6635" i="1" a="1"/>
  <c r="L6635" i="1" s="1"/>
  <c r="P6635" i="1" a="1"/>
  <c r="P6635" i="1" s="1"/>
  <c r="J6635" i="1" a="1"/>
  <c r="J6635" i="1" s="1"/>
  <c r="Q6635" i="1" a="1"/>
  <c r="Q6635" i="1" s="1"/>
  <c r="R6635" i="1" a="1"/>
  <c r="R6635" i="1" s="1"/>
  <c r="M6635" i="1" a="1"/>
  <c r="M6635" i="1" s="1"/>
  <c r="B6636" i="1"/>
  <c r="N6635" i="1" a="1"/>
  <c r="N6635" i="1" s="1"/>
  <c r="H6634" i="1"/>
  <c r="A6635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636" i="1" l="1"/>
  <c r="H6635" i="1"/>
  <c r="J6636" i="1" a="1"/>
  <c r="J6636" i="1" s="1"/>
  <c r="N6636" i="1" a="1"/>
  <c r="N6636" i="1" s="1"/>
  <c r="R6636" i="1" a="1"/>
  <c r="R6636" i="1" s="1"/>
  <c r="K6636" i="1" a="1"/>
  <c r="K6636" i="1" s="1"/>
  <c r="O6636" i="1" a="1"/>
  <c r="O6636" i="1" s="1"/>
  <c r="B6637" i="1"/>
  <c r="I6636" i="1" a="1"/>
  <c r="I6636" i="1" s="1"/>
  <c r="P6636" i="1" a="1"/>
  <c r="P6636" i="1" s="1"/>
  <c r="Q6636" i="1" a="1"/>
  <c r="Q6636" i="1" s="1"/>
  <c r="L6636" i="1" a="1"/>
  <c r="L6636" i="1" s="1"/>
  <c r="S6636" i="1" a="1"/>
  <c r="S6636" i="1" s="1"/>
  <c r="M6636" i="1" a="1"/>
  <c r="M6636" i="1" s="1"/>
  <c r="I6635" i="1" a="1"/>
  <c r="I6635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M6637" i="1" l="1" a="1"/>
  <c r="M6637" i="1" s="1"/>
  <c r="Q6637" i="1" a="1"/>
  <c r="Q6637" i="1" s="1"/>
  <c r="N6637" i="1" a="1"/>
  <c r="N6637" i="1" s="1"/>
  <c r="S6637" i="1" a="1"/>
  <c r="S6637" i="1" s="1"/>
  <c r="J6637" i="1" a="1"/>
  <c r="J6637" i="1" s="1"/>
  <c r="O6637" i="1" a="1"/>
  <c r="O6637" i="1" s="1"/>
  <c r="B6638" i="1"/>
  <c r="K6637" i="1" a="1"/>
  <c r="K6637" i="1" s="1"/>
  <c r="P6637" i="1" a="1"/>
  <c r="P6637" i="1" s="1"/>
  <c r="L6637" i="1" a="1"/>
  <c r="L6637" i="1" s="1"/>
  <c r="R6637" i="1" a="1"/>
  <c r="R6637" i="1" s="1"/>
  <c r="H6636" i="1"/>
  <c r="A6637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L6638" i="1" l="1" a="1"/>
  <c r="L6638" i="1" s="1"/>
  <c r="P6638" i="1" a="1"/>
  <c r="P6638" i="1" s="1"/>
  <c r="B6639" i="1"/>
  <c r="K6638" i="1" a="1"/>
  <c r="K6638" i="1" s="1"/>
  <c r="Q6638" i="1" a="1"/>
  <c r="Q6638" i="1" s="1"/>
  <c r="M6638" i="1" a="1"/>
  <c r="M6638" i="1" s="1"/>
  <c r="R6638" i="1" a="1"/>
  <c r="R6638" i="1" s="1"/>
  <c r="I6638" i="1" a="1"/>
  <c r="I6638" i="1" s="1"/>
  <c r="N6638" i="1" a="1"/>
  <c r="N6638" i="1" s="1"/>
  <c r="S6638" i="1" a="1"/>
  <c r="S6638" i="1" s="1"/>
  <c r="J6638" i="1" a="1"/>
  <c r="J6638" i="1" s="1"/>
  <c r="O6638" i="1" a="1"/>
  <c r="O6638" i="1" s="1"/>
  <c r="H6637" i="1"/>
  <c r="A6638" i="1"/>
  <c r="I6637" i="1" a="1"/>
  <c r="I6637" i="1" s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6639" i="1" l="1"/>
  <c r="H6638" i="1"/>
  <c r="K6639" i="1" a="1"/>
  <c r="K6639" i="1" s="1"/>
  <c r="O6639" i="1" a="1"/>
  <c r="O6639" i="1" s="1"/>
  <c r="S6639" i="1" a="1"/>
  <c r="S6639" i="1" s="1"/>
  <c r="I6639" i="1" a="1"/>
  <c r="I6639" i="1" s="1"/>
  <c r="N6639" i="1" a="1"/>
  <c r="N6639" i="1" s="1"/>
  <c r="B6640" i="1"/>
  <c r="J6639" i="1" a="1"/>
  <c r="J6639" i="1" s="1"/>
  <c r="P6639" i="1" a="1"/>
  <c r="P6639" i="1" s="1"/>
  <c r="L6639" i="1" a="1"/>
  <c r="L6639" i="1" s="1"/>
  <c r="Q6639" i="1" a="1"/>
  <c r="Q6639" i="1" s="1"/>
  <c r="M6639" i="1" a="1"/>
  <c r="M6639" i="1" s="1"/>
  <c r="R6639" i="1" a="1"/>
  <c r="R6639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K6640" i="1" l="1" a="1"/>
  <c r="K6640" i="1" s="1"/>
  <c r="P6640" i="1" a="1"/>
  <c r="P6640" i="1" s="1"/>
  <c r="B6641" i="1"/>
  <c r="L6640" i="1" a="1"/>
  <c r="L6640" i="1" s="1"/>
  <c r="Q6640" i="1" a="1"/>
  <c r="Q6640" i="1" s="1"/>
  <c r="M6640" i="1" a="1"/>
  <c r="M6640" i="1" s="1"/>
  <c r="R6640" i="1" a="1"/>
  <c r="R6640" i="1" s="1"/>
  <c r="N6640" i="1" a="1"/>
  <c r="N6640" i="1" s="1"/>
  <c r="S6640" i="1" a="1"/>
  <c r="S6640" i="1" s="1"/>
  <c r="J6640" i="1" a="1"/>
  <c r="J6640" i="1" s="1"/>
  <c r="O6640" i="1" a="1"/>
  <c r="O6640" i="1" s="1"/>
  <c r="H6639" i="1"/>
  <c r="A6640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641" i="1" l="1"/>
  <c r="I6641" i="1" s="1" a="1"/>
  <c r="I6641" i="1" s="1"/>
  <c r="H6640" i="1"/>
  <c r="I6640" i="1" a="1"/>
  <c r="I6640" i="1" s="1"/>
  <c r="P6641" i="1" a="1"/>
  <c r="P6641" i="1" s="1"/>
  <c r="B6642" i="1"/>
  <c r="L6641" i="1" a="1"/>
  <c r="L6641" i="1" s="1"/>
  <c r="Q6641" i="1" a="1"/>
  <c r="Q6641" i="1" s="1"/>
  <c r="M6641" i="1" a="1"/>
  <c r="M6641" i="1" s="1"/>
  <c r="R6641" i="1" a="1"/>
  <c r="R6641" i="1" s="1"/>
  <c r="N6641" i="1" a="1"/>
  <c r="N6641" i="1" s="1"/>
  <c r="J6641" i="1" a="1"/>
  <c r="J6641" i="1" s="1"/>
  <c r="S6641" i="1" a="1"/>
  <c r="S6641" i="1" s="1"/>
  <c r="O6641" i="1" a="1"/>
  <c r="O6641" i="1" s="1"/>
  <c r="K6641" i="1" a="1"/>
  <c r="K6641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6643" i="1" l="1"/>
  <c r="L6642" i="1" a="1"/>
  <c r="L6642" i="1" s="1"/>
  <c r="Q6642" i="1" a="1"/>
  <c r="Q6642" i="1" s="1"/>
  <c r="M6642" i="1" a="1"/>
  <c r="M6642" i="1" s="1"/>
  <c r="R6642" i="1" a="1"/>
  <c r="R6642" i="1" s="1"/>
  <c r="N6642" i="1" a="1"/>
  <c r="N6642" i="1" s="1"/>
  <c r="J6642" i="1" a="1"/>
  <c r="J6642" i="1" s="1"/>
  <c r="S6642" i="1" a="1"/>
  <c r="S6642" i="1" s="1"/>
  <c r="O6642" i="1" a="1"/>
  <c r="O6642" i="1" s="1"/>
  <c r="K6642" i="1" a="1"/>
  <c r="K6642" i="1" s="1"/>
  <c r="P6642" i="1" a="1"/>
  <c r="P6642" i="1" s="1"/>
  <c r="H6641" i="1"/>
  <c r="A6642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6642" i="1" l="1"/>
  <c r="A6643" i="1"/>
  <c r="I6642" i="1" a="1"/>
  <c r="I6642" i="1" s="1"/>
  <c r="M6643" i="1" a="1"/>
  <c r="M6643" i="1" s="1"/>
  <c r="I6643" i="1" a="1"/>
  <c r="I6643" i="1" s="1"/>
  <c r="R6643" i="1" a="1"/>
  <c r="R6643" i="1" s="1"/>
  <c r="N6643" i="1" a="1"/>
  <c r="N6643" i="1" s="1"/>
  <c r="J6643" i="1" a="1"/>
  <c r="J6643" i="1" s="1"/>
  <c r="S6643" i="1" a="1"/>
  <c r="S6643" i="1" s="1"/>
  <c r="O6643" i="1" a="1"/>
  <c r="O6643" i="1" s="1"/>
  <c r="K6643" i="1" a="1"/>
  <c r="K6643" i="1" s="1"/>
  <c r="P6643" i="1" a="1"/>
  <c r="P6643" i="1" s="1"/>
  <c r="B6644" i="1"/>
  <c r="L6643" i="1" a="1"/>
  <c r="L6643" i="1" s="1"/>
  <c r="Q6643" i="1" a="1"/>
  <c r="Q6643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6644" i="1" l="1" a="1"/>
  <c r="I6644" i="1" s="1"/>
  <c r="R6644" i="1" a="1"/>
  <c r="R6644" i="1" s="1"/>
  <c r="N6644" i="1" a="1"/>
  <c r="N6644" i="1" s="1"/>
  <c r="S6644" i="1" a="1"/>
  <c r="S6644" i="1" s="1"/>
  <c r="J6644" i="1" a="1"/>
  <c r="J6644" i="1" s="1"/>
  <c r="O6644" i="1" a="1"/>
  <c r="O6644" i="1" s="1"/>
  <c r="K6644" i="1" a="1"/>
  <c r="K6644" i="1" s="1"/>
  <c r="P6644" i="1" a="1"/>
  <c r="P6644" i="1" s="1"/>
  <c r="B6645" i="1"/>
  <c r="L6644" i="1" a="1"/>
  <c r="L6644" i="1" s="1"/>
  <c r="Q6644" i="1" a="1"/>
  <c r="Q6644" i="1" s="1"/>
  <c r="M6644" i="1" a="1"/>
  <c r="M6644" i="1" s="1"/>
  <c r="H6643" i="1"/>
  <c r="A6644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J6645" i="1" l="1" a="1"/>
  <c r="J6645" i="1" s="1"/>
  <c r="S6645" i="1" a="1"/>
  <c r="S6645" i="1" s="1"/>
  <c r="O6645" i="1" a="1"/>
  <c r="O6645" i="1" s="1"/>
  <c r="K6645" i="1" a="1"/>
  <c r="K6645" i="1" s="1"/>
  <c r="P6645" i="1" a="1"/>
  <c r="P6645" i="1" s="1"/>
  <c r="B6646" i="1"/>
  <c r="L6645" i="1" a="1"/>
  <c r="L6645" i="1" s="1"/>
  <c r="Q6645" i="1" a="1"/>
  <c r="Q6645" i="1" s="1"/>
  <c r="M6645" i="1" a="1"/>
  <c r="M6645" i="1" s="1"/>
  <c r="R6645" i="1" a="1"/>
  <c r="R6645" i="1" s="1"/>
  <c r="N6645" i="1" a="1"/>
  <c r="N6645" i="1" s="1"/>
  <c r="A6645" i="1"/>
  <c r="H6644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6646" i="1" l="1"/>
  <c r="H6645" i="1"/>
  <c r="I6645" i="1" a="1"/>
  <c r="I6645" i="1" s="1"/>
  <c r="B6647" i="1"/>
  <c r="O6646" i="1" a="1"/>
  <c r="O6646" i="1" s="1"/>
  <c r="K6646" i="1" a="1"/>
  <c r="K6646" i="1" s="1"/>
  <c r="P6646" i="1" a="1"/>
  <c r="P6646" i="1" s="1"/>
  <c r="L6646" i="1" a="1"/>
  <c r="L6646" i="1" s="1"/>
  <c r="Q6646" i="1" a="1"/>
  <c r="Q6646" i="1" s="1"/>
  <c r="M6646" i="1" a="1"/>
  <c r="M6646" i="1" s="1"/>
  <c r="I6646" i="1" a="1"/>
  <c r="I6646" i="1" s="1"/>
  <c r="R6646" i="1" a="1"/>
  <c r="R6646" i="1" s="1"/>
  <c r="N6646" i="1" a="1"/>
  <c r="N6646" i="1" s="1"/>
  <c r="J6646" i="1" a="1"/>
  <c r="J6646" i="1" s="1"/>
  <c r="S6646" i="1" a="1"/>
  <c r="S6646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K6647" i="1" l="1" a="1"/>
  <c r="K6647" i="1" s="1"/>
  <c r="P6647" i="1" a="1"/>
  <c r="P6647" i="1" s="1"/>
  <c r="B6648" i="1"/>
  <c r="L6647" i="1" a="1"/>
  <c r="L6647" i="1" s="1"/>
  <c r="Q6647" i="1" a="1"/>
  <c r="Q6647" i="1" s="1"/>
  <c r="M6647" i="1" a="1"/>
  <c r="M6647" i="1" s="1"/>
  <c r="I6647" i="1" a="1"/>
  <c r="I6647" i="1" s="1"/>
  <c r="R6647" i="1" a="1"/>
  <c r="R6647" i="1" s="1"/>
  <c r="N6647" i="1" a="1"/>
  <c r="N6647" i="1" s="1"/>
  <c r="J6647" i="1" a="1"/>
  <c r="J6647" i="1" s="1"/>
  <c r="S6647" i="1" a="1"/>
  <c r="S6647" i="1" s="1"/>
  <c r="O6647" i="1" a="1"/>
  <c r="O6647" i="1" s="1"/>
  <c r="H6646" i="1"/>
  <c r="A6647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H6647" i="1" l="1"/>
  <c r="A6648" i="1"/>
  <c r="I6648" i="1" s="1" a="1"/>
  <c r="I6648" i="1" s="1"/>
  <c r="L6648" i="1" a="1"/>
  <c r="L6648" i="1" s="1"/>
  <c r="Q6648" i="1" a="1"/>
  <c r="Q6648" i="1" s="1"/>
  <c r="M6648" i="1" a="1"/>
  <c r="M6648" i="1" s="1"/>
  <c r="R6648" i="1" a="1"/>
  <c r="R6648" i="1" s="1"/>
  <c r="N6648" i="1" a="1"/>
  <c r="N6648" i="1" s="1"/>
  <c r="S6648" i="1" a="1"/>
  <c r="S6648" i="1" s="1"/>
  <c r="J6648" i="1" a="1"/>
  <c r="J6648" i="1" s="1"/>
  <c r="O6648" i="1" a="1"/>
  <c r="O6648" i="1" s="1"/>
  <c r="K6648" i="1" a="1"/>
  <c r="K6648" i="1" s="1"/>
  <c r="P6648" i="1" a="1"/>
  <c r="P6648" i="1" s="1"/>
  <c r="B6649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Q6649" i="1" l="1" a="1"/>
  <c r="Q6649" i="1" s="1"/>
  <c r="M6649" i="1" a="1"/>
  <c r="M6649" i="1" s="1"/>
  <c r="R6649" i="1" a="1"/>
  <c r="R6649" i="1" s="1"/>
  <c r="N6649" i="1" a="1"/>
  <c r="N6649" i="1" s="1"/>
  <c r="J6649" i="1" a="1"/>
  <c r="J6649" i="1" s="1"/>
  <c r="S6649" i="1" a="1"/>
  <c r="S6649" i="1" s="1"/>
  <c r="O6649" i="1" a="1"/>
  <c r="O6649" i="1" s="1"/>
  <c r="K6649" i="1" a="1"/>
  <c r="K6649" i="1" s="1"/>
  <c r="P6649" i="1" a="1"/>
  <c r="P6649" i="1" s="1"/>
  <c r="B6650" i="1"/>
  <c r="L6649" i="1" a="1"/>
  <c r="L6649" i="1" s="1"/>
  <c r="H6648" i="1"/>
  <c r="A6649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6649" i="1" l="1"/>
  <c r="A6650" i="1"/>
  <c r="I6649" i="1" a="1"/>
  <c r="I6649" i="1" s="1"/>
  <c r="B6651" i="1"/>
  <c r="I6650" i="1" a="1"/>
  <c r="I6650" i="1" s="1"/>
  <c r="R6650" i="1" a="1"/>
  <c r="R6650" i="1" s="1"/>
  <c r="N6650" i="1" a="1"/>
  <c r="N6650" i="1" s="1"/>
  <c r="J6650" i="1" a="1"/>
  <c r="J6650" i="1" s="1"/>
  <c r="S6650" i="1" a="1"/>
  <c r="S6650" i="1" s="1"/>
  <c r="O6650" i="1" a="1"/>
  <c r="O6650" i="1" s="1"/>
  <c r="K6650" i="1" a="1"/>
  <c r="K6650" i="1" s="1"/>
  <c r="P6650" i="1" a="1"/>
  <c r="P6650" i="1" s="1"/>
  <c r="L6650" i="1" a="1"/>
  <c r="L6650" i="1" s="1"/>
  <c r="Q6650" i="1" a="1"/>
  <c r="Q6650" i="1" s="1"/>
  <c r="M6650" i="1" a="1"/>
  <c r="M6650" i="1" s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N6651" i="1" l="1" a="1"/>
  <c r="N6651" i="1" s="1"/>
  <c r="J6651" i="1" a="1"/>
  <c r="J6651" i="1" s="1"/>
  <c r="S6651" i="1" a="1"/>
  <c r="S6651" i="1" s="1"/>
  <c r="O6651" i="1" a="1"/>
  <c r="O6651" i="1" s="1"/>
  <c r="K6651" i="1" a="1"/>
  <c r="K6651" i="1" s="1"/>
  <c r="P6651" i="1" a="1"/>
  <c r="P6651" i="1" s="1"/>
  <c r="B6652" i="1"/>
  <c r="L6651" i="1" a="1"/>
  <c r="L6651" i="1" s="1"/>
  <c r="Q6651" i="1" a="1"/>
  <c r="Q6651" i="1" s="1"/>
  <c r="M6651" i="1" a="1"/>
  <c r="M6651" i="1" s="1"/>
  <c r="R6651" i="1" a="1"/>
  <c r="R6651" i="1" s="1"/>
  <c r="H6650" i="1"/>
  <c r="A6651" i="1"/>
  <c r="I6651" i="1" s="1" a="1"/>
  <c r="I6651" i="1" s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J6652" i="1" l="1" a="1"/>
  <c r="J6652" i="1" s="1"/>
  <c r="O6652" i="1" a="1"/>
  <c r="O6652" i="1" s="1"/>
  <c r="K6652" i="1" a="1"/>
  <c r="K6652" i="1" s="1"/>
  <c r="P6652" i="1" a="1"/>
  <c r="P6652" i="1" s="1"/>
  <c r="B6653" i="1"/>
  <c r="L6652" i="1" a="1"/>
  <c r="L6652" i="1" s="1"/>
  <c r="Q6652" i="1" a="1"/>
  <c r="Q6652" i="1" s="1"/>
  <c r="M6652" i="1" a="1"/>
  <c r="M6652" i="1" s="1"/>
  <c r="R6652" i="1" a="1"/>
  <c r="R6652" i="1" s="1"/>
  <c r="N6652" i="1" a="1"/>
  <c r="N6652" i="1" s="1"/>
  <c r="S6652" i="1" a="1"/>
  <c r="S6652" i="1" s="1"/>
  <c r="A6652" i="1"/>
  <c r="H6651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6653" i="1" l="1" a="1"/>
  <c r="K6653" i="1" s="1"/>
  <c r="P6653" i="1" a="1"/>
  <c r="P6653" i="1" s="1"/>
  <c r="B6654" i="1"/>
  <c r="L6653" i="1" a="1"/>
  <c r="L6653" i="1" s="1"/>
  <c r="Q6653" i="1" a="1"/>
  <c r="Q6653" i="1" s="1"/>
  <c r="M6653" i="1" a="1"/>
  <c r="M6653" i="1" s="1"/>
  <c r="R6653" i="1" a="1"/>
  <c r="R6653" i="1" s="1"/>
  <c r="I6653" i="1" a="1"/>
  <c r="I6653" i="1" s="1"/>
  <c r="N6653" i="1" a="1"/>
  <c r="N6653" i="1" s="1"/>
  <c r="J6653" i="1" a="1"/>
  <c r="J6653" i="1" s="1"/>
  <c r="S6653" i="1" a="1"/>
  <c r="S6653" i="1" s="1"/>
  <c r="O6653" i="1" a="1"/>
  <c r="O6653" i="1" s="1"/>
  <c r="A6653" i="1"/>
  <c r="H6652" i="1"/>
  <c r="I6652" i="1" a="1"/>
  <c r="I6652" i="1" s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B6655" i="1" l="1"/>
  <c r="P6654" i="1" a="1"/>
  <c r="P6654" i="1" s="1"/>
  <c r="L6654" i="1" a="1"/>
  <c r="L6654" i="1" s="1"/>
  <c r="Q6654" i="1" a="1"/>
  <c r="Q6654" i="1" s="1"/>
  <c r="M6654" i="1" a="1"/>
  <c r="M6654" i="1" s="1"/>
  <c r="I6654" i="1" a="1"/>
  <c r="I6654" i="1" s="1"/>
  <c r="R6654" i="1" a="1"/>
  <c r="R6654" i="1" s="1"/>
  <c r="N6654" i="1" a="1"/>
  <c r="N6654" i="1" s="1"/>
  <c r="J6654" i="1" a="1"/>
  <c r="J6654" i="1" s="1"/>
  <c r="O6654" i="1" a="1"/>
  <c r="O6654" i="1" s="1"/>
  <c r="K6654" i="1" a="1"/>
  <c r="K6654" i="1" s="1"/>
  <c r="S6654" i="1" a="1"/>
  <c r="S6654" i="1" s="1"/>
  <c r="A6654" i="1"/>
  <c r="H6653" i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H6654" i="1" l="1"/>
  <c r="A6655" i="1"/>
  <c r="Q6655" i="1" a="1"/>
  <c r="Q6655" i="1" s="1"/>
  <c r="M6655" i="1" a="1"/>
  <c r="M6655" i="1" s="1"/>
  <c r="I6655" i="1" a="1"/>
  <c r="I6655" i="1" s="1"/>
  <c r="R6655" i="1" a="1"/>
  <c r="R6655" i="1" s="1"/>
  <c r="N6655" i="1" a="1"/>
  <c r="N6655" i="1" s="1"/>
  <c r="J6655" i="1" a="1"/>
  <c r="J6655" i="1" s="1"/>
  <c r="S6655" i="1" a="1"/>
  <c r="S6655" i="1" s="1"/>
  <c r="K6655" i="1" a="1"/>
  <c r="K6655" i="1" s="1"/>
  <c r="P6655" i="1" a="1"/>
  <c r="P6655" i="1" s="1"/>
  <c r="B6656" i="1"/>
  <c r="L6655" i="1" a="1"/>
  <c r="L6655" i="1" s="1"/>
  <c r="O6655" i="1" a="1"/>
  <c r="O6655" i="1" s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M6656" i="1" l="1" a="1"/>
  <c r="M6656" i="1" s="1"/>
  <c r="R6656" i="1" a="1"/>
  <c r="R6656" i="1" s="1"/>
  <c r="N6656" i="1" a="1"/>
  <c r="N6656" i="1" s="1"/>
  <c r="S6656" i="1" a="1"/>
  <c r="S6656" i="1" s="1"/>
  <c r="J6656" i="1" a="1"/>
  <c r="J6656" i="1" s="1"/>
  <c r="O6656" i="1" a="1"/>
  <c r="O6656" i="1" s="1"/>
  <c r="K6656" i="1" a="1"/>
  <c r="K6656" i="1" s="1"/>
  <c r="Q6656" i="1" a="1"/>
  <c r="Q6656" i="1" s="1"/>
  <c r="B6657" i="1"/>
  <c r="L6656" i="1" a="1"/>
  <c r="L6656" i="1" s="1"/>
  <c r="P6656" i="1" a="1"/>
  <c r="P6656" i="1" s="1"/>
  <c r="H6655" i="1"/>
  <c r="A6656" i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H6656" i="1" l="1"/>
  <c r="A6657" i="1"/>
  <c r="I6657" i="1" s="1" a="1"/>
  <c r="I6657" i="1" s="1"/>
  <c r="N6657" i="1" a="1"/>
  <c r="N6657" i="1" s="1"/>
  <c r="J6657" i="1" a="1"/>
  <c r="J6657" i="1" s="1"/>
  <c r="S6657" i="1" a="1"/>
  <c r="S6657" i="1" s="1"/>
  <c r="O6657" i="1" a="1"/>
  <c r="O6657" i="1" s="1"/>
  <c r="P6657" i="1" a="1"/>
  <c r="P6657" i="1" s="1"/>
  <c r="Q6657" i="1" a="1"/>
  <c r="Q6657" i="1" s="1"/>
  <c r="R6657" i="1" a="1"/>
  <c r="R6657" i="1" s="1"/>
  <c r="K6657" i="1" a="1"/>
  <c r="K6657" i="1" s="1"/>
  <c r="L6657" i="1" a="1"/>
  <c r="L6657" i="1" s="1"/>
  <c r="B6658" i="1"/>
  <c r="M6657" i="1" a="1"/>
  <c r="M6657" i="1" s="1"/>
  <c r="I6656" i="1" a="1"/>
  <c r="I6656" i="1" s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6659" i="1" l="1"/>
  <c r="J6658" i="1" a="1"/>
  <c r="J6658" i="1" s="1"/>
  <c r="S6658" i="1" a="1"/>
  <c r="S6658" i="1" s="1"/>
  <c r="O6658" i="1" a="1"/>
  <c r="O6658" i="1" s="1"/>
  <c r="K6658" i="1" a="1"/>
  <c r="K6658" i="1" s="1"/>
  <c r="R6658" i="1" a="1"/>
  <c r="R6658" i="1" s="1"/>
  <c r="L6658" i="1" a="1"/>
  <c r="L6658" i="1" s="1"/>
  <c r="M6658" i="1" a="1"/>
  <c r="M6658" i="1" s="1"/>
  <c r="N6658" i="1" a="1"/>
  <c r="N6658" i="1" s="1"/>
  <c r="P6658" i="1" a="1"/>
  <c r="P6658" i="1" s="1"/>
  <c r="Q6658" i="1" a="1"/>
  <c r="Q6658" i="1" s="1"/>
  <c r="H6657" i="1"/>
  <c r="A6658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H6658" i="1" l="1"/>
  <c r="A6659" i="1"/>
  <c r="I6658" i="1" a="1"/>
  <c r="I6658" i="1" s="1"/>
  <c r="O6659" i="1" a="1"/>
  <c r="O6659" i="1" s="1"/>
  <c r="K6659" i="1" a="1"/>
  <c r="K6659" i="1" s="1"/>
  <c r="P6659" i="1" a="1"/>
  <c r="P6659" i="1" s="1"/>
  <c r="B6660" i="1"/>
  <c r="L6659" i="1" a="1"/>
  <c r="L6659" i="1" s="1"/>
  <c r="M6659" i="1" a="1"/>
  <c r="M6659" i="1" s="1"/>
  <c r="S6659" i="1" a="1"/>
  <c r="S6659" i="1" s="1"/>
  <c r="N6659" i="1" a="1"/>
  <c r="N6659" i="1" s="1"/>
  <c r="I6659" i="1" a="1"/>
  <c r="I6659" i="1" s="1"/>
  <c r="Q6659" i="1" a="1"/>
  <c r="Q6659" i="1" s="1"/>
  <c r="J6659" i="1" a="1"/>
  <c r="J6659" i="1" s="1"/>
  <c r="R6659" i="1" a="1"/>
  <c r="R6659" i="1" s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P6660" i="1" l="1" a="1"/>
  <c r="P6660" i="1" s="1"/>
  <c r="B6661" i="1"/>
  <c r="L6660" i="1" a="1"/>
  <c r="L6660" i="1" s="1"/>
  <c r="Q6660" i="1" a="1"/>
  <c r="Q6660" i="1" s="1"/>
  <c r="N6660" i="1" a="1"/>
  <c r="N6660" i="1" s="1"/>
  <c r="O6660" i="1" a="1"/>
  <c r="O6660" i="1" s="1"/>
  <c r="I6660" i="1" a="1"/>
  <c r="I6660" i="1" s="1"/>
  <c r="J6660" i="1" a="1"/>
  <c r="J6660" i="1" s="1"/>
  <c r="R6660" i="1" a="1"/>
  <c r="R6660" i="1" s="1"/>
  <c r="K6660" i="1" a="1"/>
  <c r="K6660" i="1" s="1"/>
  <c r="M6660" i="1" a="1"/>
  <c r="M6660" i="1" s="1"/>
  <c r="S6660" i="1" a="1"/>
  <c r="S6660" i="1" s="1"/>
  <c r="A6660" i="1"/>
  <c r="H6659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6661" i="1" l="1"/>
  <c r="H6660" i="1"/>
  <c r="L6661" i="1" a="1"/>
  <c r="L6661" i="1" s="1"/>
  <c r="Q6661" i="1" a="1"/>
  <c r="Q6661" i="1" s="1"/>
  <c r="M6661" i="1" a="1"/>
  <c r="M6661" i="1" s="1"/>
  <c r="R6661" i="1" a="1"/>
  <c r="R6661" i="1" s="1"/>
  <c r="O6661" i="1" a="1"/>
  <c r="O6661" i="1" s="1"/>
  <c r="I6661" i="1" a="1"/>
  <c r="I6661" i="1" s="1"/>
  <c r="J6661" i="1" a="1"/>
  <c r="J6661" i="1" s="1"/>
  <c r="P6661" i="1" a="1"/>
  <c r="P6661" i="1" s="1"/>
  <c r="K6661" i="1" a="1"/>
  <c r="K6661" i="1" s="1"/>
  <c r="S6661" i="1" a="1"/>
  <c r="S6661" i="1" s="1"/>
  <c r="B6662" i="1"/>
  <c r="N6661" i="1" a="1"/>
  <c r="N6661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6663" i="1" l="1"/>
  <c r="M6662" i="1" a="1"/>
  <c r="M6662" i="1" s="1"/>
  <c r="R6662" i="1" a="1"/>
  <c r="R6662" i="1" s="1"/>
  <c r="N6662" i="1" a="1"/>
  <c r="N6662" i="1" s="1"/>
  <c r="J6662" i="1" a="1"/>
  <c r="J6662" i="1" s="1"/>
  <c r="P6662" i="1" a="1"/>
  <c r="P6662" i="1" s="1"/>
  <c r="Q6662" i="1" a="1"/>
  <c r="Q6662" i="1" s="1"/>
  <c r="K6662" i="1" a="1"/>
  <c r="K6662" i="1" s="1"/>
  <c r="S6662" i="1" a="1"/>
  <c r="S6662" i="1" s="1"/>
  <c r="L6662" i="1" a="1"/>
  <c r="L6662" i="1" s="1"/>
  <c r="O6662" i="1" a="1"/>
  <c r="O6662" i="1" s="1"/>
  <c r="H6661" i="1"/>
  <c r="A6662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H6662" i="1" l="1"/>
  <c r="A6663" i="1"/>
  <c r="I6663" i="1" s="1" a="1"/>
  <c r="I6663" i="1" s="1"/>
  <c r="I6662" i="1" a="1"/>
  <c r="I6662" i="1" s="1"/>
  <c r="R6663" i="1" a="1"/>
  <c r="R6663" i="1" s="1"/>
  <c r="N6663" i="1" a="1"/>
  <c r="N6663" i="1" s="1"/>
  <c r="J6663" i="1" a="1"/>
  <c r="J6663" i="1" s="1"/>
  <c r="S6663" i="1" a="1"/>
  <c r="S6663" i="1" s="1"/>
  <c r="K6663" i="1" a="1"/>
  <c r="K6663" i="1" s="1"/>
  <c r="L6663" i="1" a="1"/>
  <c r="L6663" i="1" s="1"/>
  <c r="B6664" i="1"/>
  <c r="M6663" i="1" a="1"/>
  <c r="M6663" i="1" s="1"/>
  <c r="O6663" i="1" a="1"/>
  <c r="O6663" i="1" s="1"/>
  <c r="P6663" i="1" a="1"/>
  <c r="P6663" i="1" s="1"/>
  <c r="Q6663" i="1" a="1"/>
  <c r="Q6663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N6664" i="1" l="1" a="1"/>
  <c r="N6664" i="1" s="1"/>
  <c r="S6664" i="1" a="1"/>
  <c r="S6664" i="1" s="1"/>
  <c r="J6664" i="1" a="1"/>
  <c r="J6664" i="1" s="1"/>
  <c r="O6664" i="1" a="1"/>
  <c r="O6664" i="1" s="1"/>
  <c r="K6664" i="1" a="1"/>
  <c r="K6664" i="1" s="1"/>
  <c r="B6665" i="1"/>
  <c r="M6664" i="1" a="1"/>
  <c r="M6664" i="1" s="1"/>
  <c r="P6664" i="1" a="1"/>
  <c r="P6664" i="1" s="1"/>
  <c r="Q6664" i="1" a="1"/>
  <c r="Q6664" i="1" s="1"/>
  <c r="L6664" i="1" a="1"/>
  <c r="L6664" i="1" s="1"/>
  <c r="R6664" i="1" a="1"/>
  <c r="R6664" i="1" s="1"/>
  <c r="A6664" i="1"/>
  <c r="H6663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O6665" i="1" l="1" a="1"/>
  <c r="O6665" i="1" s="1"/>
  <c r="K6665" i="1" a="1"/>
  <c r="K6665" i="1" s="1"/>
  <c r="P6665" i="1" a="1"/>
  <c r="P6665" i="1" s="1"/>
  <c r="B6666" i="1"/>
  <c r="N6665" i="1" a="1"/>
  <c r="N6665" i="1" s="1"/>
  <c r="Q6665" i="1" a="1"/>
  <c r="Q6665" i="1" s="1"/>
  <c r="J6665" i="1" a="1"/>
  <c r="J6665" i="1" s="1"/>
  <c r="R6665" i="1" a="1"/>
  <c r="R6665" i="1" s="1"/>
  <c r="L6665" i="1" a="1"/>
  <c r="L6665" i="1" s="1"/>
  <c r="M6665" i="1" a="1"/>
  <c r="M6665" i="1" s="1"/>
  <c r="S6665" i="1" a="1"/>
  <c r="S6665" i="1" s="1"/>
  <c r="A6665" i="1"/>
  <c r="I6665" i="1" s="1" a="1"/>
  <c r="I6665" i="1" s="1"/>
  <c r="H6664" i="1"/>
  <c r="I6664" i="1" a="1"/>
  <c r="I6664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B6667" i="1" l="1"/>
  <c r="K6666" i="1" a="1"/>
  <c r="K6666" i="1" s="1"/>
  <c r="P6666" i="1" a="1"/>
  <c r="P6666" i="1" s="1"/>
  <c r="L6666" i="1" a="1"/>
  <c r="L6666" i="1" s="1"/>
  <c r="Q6666" i="1" a="1"/>
  <c r="Q6666" i="1" s="1"/>
  <c r="I6666" i="1" a="1"/>
  <c r="I6666" i="1" s="1"/>
  <c r="O6666" i="1" a="1"/>
  <c r="O6666" i="1" s="1"/>
  <c r="J6666" i="1" a="1"/>
  <c r="J6666" i="1" s="1"/>
  <c r="R6666" i="1" a="1"/>
  <c r="R6666" i="1" s="1"/>
  <c r="M6666" i="1" a="1"/>
  <c r="M6666" i="1" s="1"/>
  <c r="S6666" i="1" a="1"/>
  <c r="S6666" i="1" s="1"/>
  <c r="N6666" i="1" a="1"/>
  <c r="N6666" i="1" s="1"/>
  <c r="A6666" i="1"/>
  <c r="H6665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6666" i="1" l="1"/>
  <c r="A6667" i="1"/>
  <c r="L6667" i="1" a="1"/>
  <c r="L6667" i="1" s="1"/>
  <c r="Q6667" i="1" a="1"/>
  <c r="Q6667" i="1" s="1"/>
  <c r="M6667" i="1" a="1"/>
  <c r="M6667" i="1" s="1"/>
  <c r="J6667" i="1" a="1"/>
  <c r="J6667" i="1" s="1"/>
  <c r="R6667" i="1" a="1"/>
  <c r="R6667" i="1" s="1"/>
  <c r="K6667" i="1" a="1"/>
  <c r="K6667" i="1" s="1"/>
  <c r="S6667" i="1" a="1"/>
  <c r="S6667" i="1" s="1"/>
  <c r="N6667" i="1" a="1"/>
  <c r="N6667" i="1" s="1"/>
  <c r="B6668" i="1"/>
  <c r="I6667" i="1" a="1"/>
  <c r="I6667" i="1" s="1"/>
  <c r="O6667" i="1" a="1"/>
  <c r="O6667" i="1" s="1"/>
  <c r="P6667" i="1" a="1"/>
  <c r="P6667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H6667" i="1" l="1"/>
  <c r="A6668" i="1"/>
  <c r="Q6668" i="1" a="1"/>
  <c r="Q6668" i="1" s="1"/>
  <c r="M6668" i="1" a="1"/>
  <c r="M6668" i="1" s="1"/>
  <c r="I6668" i="1" a="1"/>
  <c r="I6668" i="1" s="1"/>
  <c r="R6668" i="1" a="1"/>
  <c r="R6668" i="1" s="1"/>
  <c r="L6668" i="1" a="1"/>
  <c r="L6668" i="1" s="1"/>
  <c r="N6668" i="1" a="1"/>
  <c r="N6668" i="1" s="1"/>
  <c r="B6669" i="1"/>
  <c r="O6668" i="1" a="1"/>
  <c r="O6668" i="1" s="1"/>
  <c r="P6668" i="1" a="1"/>
  <c r="P6668" i="1" s="1"/>
  <c r="K6668" i="1" a="1"/>
  <c r="K6668" i="1" s="1"/>
  <c r="S6668" i="1" a="1"/>
  <c r="S6668" i="1" s="1"/>
  <c r="J6668" i="1" a="1"/>
  <c r="J6668" i="1" s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H6668" i="1" l="1"/>
  <c r="A6669" i="1"/>
  <c r="M6669" i="1" a="1"/>
  <c r="M6669" i="1" s="1"/>
  <c r="R6669" i="1" a="1"/>
  <c r="R6669" i="1" s="1"/>
  <c r="I6669" i="1" a="1"/>
  <c r="I6669" i="1" s="1"/>
  <c r="N6669" i="1" a="1"/>
  <c r="N6669" i="1" s="1"/>
  <c r="J6669" i="1" a="1"/>
  <c r="J6669" i="1" s="1"/>
  <c r="S6669" i="1" a="1"/>
  <c r="S6669" i="1" s="1"/>
  <c r="B6670" i="1"/>
  <c r="O6669" i="1" a="1"/>
  <c r="O6669" i="1" s="1"/>
  <c r="P6669" i="1" a="1"/>
  <c r="P6669" i="1" s="1"/>
  <c r="K6669" i="1" a="1"/>
  <c r="K6669" i="1" s="1"/>
  <c r="Q6669" i="1" a="1"/>
  <c r="Q6669" i="1" s="1"/>
  <c r="L6669" i="1" a="1"/>
  <c r="L6669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H6669" i="1" l="1"/>
  <c r="A6670" i="1"/>
  <c r="N6670" i="1" a="1"/>
  <c r="N6670" i="1" s="1"/>
  <c r="R6670" i="1" a="1"/>
  <c r="R6670" i="1" s="1"/>
  <c r="J6670" i="1" a="1"/>
  <c r="J6670" i="1" s="1"/>
  <c r="O6670" i="1" a="1"/>
  <c r="O6670" i="1" s="1"/>
  <c r="S6670" i="1" a="1"/>
  <c r="S6670" i="1" s="1"/>
  <c r="P6670" i="1" a="1"/>
  <c r="P6670" i="1" s="1"/>
  <c r="K6670" i="1" a="1"/>
  <c r="K6670" i="1" s="1"/>
  <c r="Q6670" i="1" a="1"/>
  <c r="Q6670" i="1" s="1"/>
  <c r="L6670" i="1" a="1"/>
  <c r="L6670" i="1" s="1"/>
  <c r="B6671" i="1"/>
  <c r="M6670" i="1" a="1"/>
  <c r="M6670" i="1" s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M6671" i="1" l="1" a="1"/>
  <c r="M6671" i="1" s="1"/>
  <c r="Q6671" i="1" a="1"/>
  <c r="Q6671" i="1" s="1"/>
  <c r="J6671" i="1" a="1"/>
  <c r="J6671" i="1" s="1"/>
  <c r="N6671" i="1" a="1"/>
  <c r="N6671" i="1" s="1"/>
  <c r="R6671" i="1" a="1"/>
  <c r="R6671" i="1" s="1"/>
  <c r="O6671" i="1" a="1"/>
  <c r="O6671" i="1" s="1"/>
  <c r="B6672" i="1"/>
  <c r="P6671" i="1" a="1"/>
  <c r="P6671" i="1" s="1"/>
  <c r="K6671" i="1" a="1"/>
  <c r="K6671" i="1" s="1"/>
  <c r="L6671" i="1" a="1"/>
  <c r="L6671" i="1" s="1"/>
  <c r="S6671" i="1" a="1"/>
  <c r="S6671" i="1" s="1"/>
  <c r="H6670" i="1"/>
  <c r="A6671" i="1"/>
  <c r="I6670" i="1" a="1"/>
  <c r="I6670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6672" i="1" l="1" a="1"/>
  <c r="L6672" i="1" s="1"/>
  <c r="P6672" i="1" a="1"/>
  <c r="P6672" i="1" s="1"/>
  <c r="B6673" i="1"/>
  <c r="M6672" i="1" a="1"/>
  <c r="M6672" i="1" s="1"/>
  <c r="Q6672" i="1" a="1"/>
  <c r="Q6672" i="1" s="1"/>
  <c r="O6672" i="1" a="1"/>
  <c r="O6672" i="1" s="1"/>
  <c r="J6672" i="1" a="1"/>
  <c r="J6672" i="1" s="1"/>
  <c r="K6672" i="1" a="1"/>
  <c r="K6672" i="1" s="1"/>
  <c r="R6672" i="1" a="1"/>
  <c r="R6672" i="1" s="1"/>
  <c r="N6672" i="1" a="1"/>
  <c r="N6672" i="1" s="1"/>
  <c r="S6672" i="1" a="1"/>
  <c r="S6672" i="1" s="1"/>
  <c r="H6671" i="1"/>
  <c r="A6672" i="1"/>
  <c r="I6671" i="1" a="1"/>
  <c r="I6671" i="1" s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K6673" i="1" l="1" a="1"/>
  <c r="K6673" i="1" s="1"/>
  <c r="O6673" i="1" a="1"/>
  <c r="O6673" i="1" s="1"/>
  <c r="S6673" i="1" a="1"/>
  <c r="S6673" i="1" s="1"/>
  <c r="L6673" i="1" a="1"/>
  <c r="L6673" i="1" s="1"/>
  <c r="P6673" i="1" a="1"/>
  <c r="P6673" i="1" s="1"/>
  <c r="N6673" i="1" a="1"/>
  <c r="N6673" i="1" s="1"/>
  <c r="J6673" i="1" a="1"/>
  <c r="J6673" i="1" s="1"/>
  <c r="Q6673" i="1" a="1"/>
  <c r="Q6673" i="1" s="1"/>
  <c r="R6673" i="1" a="1"/>
  <c r="R6673" i="1" s="1"/>
  <c r="M6673" i="1" a="1"/>
  <c r="M6673" i="1" s="1"/>
  <c r="B6674" i="1"/>
  <c r="A6673" i="1"/>
  <c r="I6673" i="1" s="1" a="1"/>
  <c r="I6673" i="1" s="1"/>
  <c r="H6672" i="1"/>
  <c r="I6672" i="1" a="1"/>
  <c r="I6672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6674" i="1" l="1" a="1"/>
  <c r="J6674" i="1" s="1"/>
  <c r="N6674" i="1" a="1"/>
  <c r="N6674" i="1" s="1"/>
  <c r="R6674" i="1" a="1"/>
  <c r="R6674" i="1" s="1"/>
  <c r="K6674" i="1" a="1"/>
  <c r="K6674" i="1" s="1"/>
  <c r="O6674" i="1" a="1"/>
  <c r="O6674" i="1" s="1"/>
  <c r="S6674" i="1" a="1"/>
  <c r="S6674" i="1" s="1"/>
  <c r="B6675" i="1"/>
  <c r="I6674" i="1" a="1"/>
  <c r="I6674" i="1" s="1"/>
  <c r="P6674" i="1" a="1"/>
  <c r="P6674" i="1" s="1"/>
  <c r="Q6674" i="1" a="1"/>
  <c r="Q6674" i="1" s="1"/>
  <c r="L6674" i="1" a="1"/>
  <c r="L6674" i="1" s="1"/>
  <c r="M6674" i="1" a="1"/>
  <c r="M6674" i="1" s="1"/>
  <c r="A6674" i="1"/>
  <c r="H6673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6675" i="1" l="1" a="1"/>
  <c r="M6675" i="1" s="1"/>
  <c r="Q6675" i="1" a="1"/>
  <c r="Q6675" i="1" s="1"/>
  <c r="J6675" i="1" a="1"/>
  <c r="J6675" i="1" s="1"/>
  <c r="N6675" i="1" a="1"/>
  <c r="N6675" i="1" s="1"/>
  <c r="R6675" i="1" a="1"/>
  <c r="R6675" i="1" s="1"/>
  <c r="O6675" i="1" a="1"/>
  <c r="O6675" i="1" s="1"/>
  <c r="B6676" i="1"/>
  <c r="P6675" i="1" a="1"/>
  <c r="P6675" i="1" s="1"/>
  <c r="K6675" i="1" a="1"/>
  <c r="K6675" i="1" s="1"/>
  <c r="L6675" i="1" a="1"/>
  <c r="L6675" i="1" s="1"/>
  <c r="S6675" i="1" a="1"/>
  <c r="S6675" i="1" s="1"/>
  <c r="H6674" i="1"/>
  <c r="A6675" i="1"/>
  <c r="I6675" i="1" s="1" a="1"/>
  <c r="I6675" i="1" s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L6676" i="1" l="1" a="1"/>
  <c r="L6676" i="1" s="1"/>
  <c r="P6676" i="1" a="1"/>
  <c r="P6676" i="1" s="1"/>
  <c r="B6677" i="1"/>
  <c r="M6676" i="1" a="1"/>
  <c r="M6676" i="1" s="1"/>
  <c r="Q6676" i="1" a="1"/>
  <c r="Q6676" i="1" s="1"/>
  <c r="N6676" i="1" a="1"/>
  <c r="N6676" i="1" s="1"/>
  <c r="O6676" i="1" a="1"/>
  <c r="O6676" i="1" s="1"/>
  <c r="J6676" i="1" a="1"/>
  <c r="J6676" i="1" s="1"/>
  <c r="K6676" i="1" a="1"/>
  <c r="K6676" i="1" s="1"/>
  <c r="R6676" i="1" a="1"/>
  <c r="R6676" i="1" s="1"/>
  <c r="S6676" i="1" a="1"/>
  <c r="S6676" i="1" s="1"/>
  <c r="A6676" i="1"/>
  <c r="H6675" i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6677" i="1" l="1"/>
  <c r="H6676" i="1"/>
  <c r="I6676" i="1" a="1"/>
  <c r="I6676" i="1" s="1"/>
  <c r="K6677" i="1" a="1"/>
  <c r="K6677" i="1" s="1"/>
  <c r="O6677" i="1" a="1"/>
  <c r="O6677" i="1" s="1"/>
  <c r="S6677" i="1" a="1"/>
  <c r="S6677" i="1" s="1"/>
  <c r="L6677" i="1" a="1"/>
  <c r="L6677" i="1" s="1"/>
  <c r="P6677" i="1" a="1"/>
  <c r="P6677" i="1" s="1"/>
  <c r="B6678" i="1"/>
  <c r="N6677" i="1" a="1"/>
  <c r="N6677" i="1" s="1"/>
  <c r="I6677" i="1" a="1"/>
  <c r="I6677" i="1" s="1"/>
  <c r="J6677" i="1" a="1"/>
  <c r="J6677" i="1" s="1"/>
  <c r="Q6677" i="1" a="1"/>
  <c r="Q6677" i="1" s="1"/>
  <c r="M6677" i="1" a="1"/>
  <c r="M6677" i="1" s="1"/>
  <c r="R6677" i="1" a="1"/>
  <c r="R6677" i="1" s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6678" i="1" l="1" a="1"/>
  <c r="J6678" i="1" s="1"/>
  <c r="N6678" i="1" a="1"/>
  <c r="N6678" i="1" s="1"/>
  <c r="R6678" i="1" a="1"/>
  <c r="R6678" i="1" s="1"/>
  <c r="K6678" i="1" a="1"/>
  <c r="K6678" i="1" s="1"/>
  <c r="O6678" i="1" a="1"/>
  <c r="O6678" i="1" s="1"/>
  <c r="S6678" i="1" a="1"/>
  <c r="S6678" i="1" s="1"/>
  <c r="M6678" i="1" a="1"/>
  <c r="M6678" i="1" s="1"/>
  <c r="B6679" i="1"/>
  <c r="P6678" i="1" a="1"/>
  <c r="P6678" i="1" s="1"/>
  <c r="Q6678" i="1" a="1"/>
  <c r="Q6678" i="1" s="1"/>
  <c r="L6678" i="1" a="1"/>
  <c r="L6678" i="1" s="1"/>
  <c r="A6678" i="1"/>
  <c r="H6677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M6679" i="1" l="1" a="1"/>
  <c r="M6679" i="1" s="1"/>
  <c r="Q6679" i="1" a="1"/>
  <c r="Q6679" i="1" s="1"/>
  <c r="J6679" i="1" a="1"/>
  <c r="J6679" i="1" s="1"/>
  <c r="N6679" i="1" a="1"/>
  <c r="N6679" i="1" s="1"/>
  <c r="R6679" i="1" a="1"/>
  <c r="R6679" i="1" s="1"/>
  <c r="O6679" i="1" a="1"/>
  <c r="O6679" i="1" s="1"/>
  <c r="B6680" i="1"/>
  <c r="P6679" i="1" a="1"/>
  <c r="P6679" i="1" s="1"/>
  <c r="K6679" i="1" a="1"/>
  <c r="K6679" i="1" s="1"/>
  <c r="L6679" i="1" a="1"/>
  <c r="L6679" i="1" s="1"/>
  <c r="S6679" i="1" a="1"/>
  <c r="S6679" i="1" s="1"/>
  <c r="A6679" i="1"/>
  <c r="H6678" i="1"/>
  <c r="I6678" i="1" a="1"/>
  <c r="I6678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6680" i="1" l="1" a="1"/>
  <c r="L6680" i="1" s="1"/>
  <c r="P6680" i="1" a="1"/>
  <c r="P6680" i="1" s="1"/>
  <c r="B6681" i="1"/>
  <c r="M6680" i="1" a="1"/>
  <c r="M6680" i="1" s="1"/>
  <c r="Q6680" i="1" a="1"/>
  <c r="Q6680" i="1" s="1"/>
  <c r="S6680" i="1" a="1"/>
  <c r="S6680" i="1" s="1"/>
  <c r="N6680" i="1" a="1"/>
  <c r="N6680" i="1" s="1"/>
  <c r="O6680" i="1" a="1"/>
  <c r="O6680" i="1" s="1"/>
  <c r="J6680" i="1" a="1"/>
  <c r="J6680" i="1" s="1"/>
  <c r="R6680" i="1" a="1"/>
  <c r="R6680" i="1" s="1"/>
  <c r="K6680" i="1" a="1"/>
  <c r="K6680" i="1" s="1"/>
  <c r="A6680" i="1"/>
  <c r="H6679" i="1"/>
  <c r="I6679" i="1" a="1"/>
  <c r="I6679" i="1" s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6681" i="1" l="1"/>
  <c r="H6680" i="1"/>
  <c r="I6680" i="1" a="1"/>
  <c r="I6680" i="1" s="1"/>
  <c r="K6681" i="1" a="1"/>
  <c r="K6681" i="1" s="1"/>
  <c r="O6681" i="1" a="1"/>
  <c r="O6681" i="1" s="1"/>
  <c r="S6681" i="1" a="1"/>
  <c r="S6681" i="1" s="1"/>
  <c r="L6681" i="1" a="1"/>
  <c r="L6681" i="1" s="1"/>
  <c r="Q6681" i="1" a="1"/>
  <c r="Q6681" i="1" s="1"/>
  <c r="M6681" i="1" a="1"/>
  <c r="M6681" i="1" s="1"/>
  <c r="R6681" i="1" a="1"/>
  <c r="R6681" i="1" s="1"/>
  <c r="I6681" i="1" a="1"/>
  <c r="I6681" i="1" s="1"/>
  <c r="N6681" i="1" a="1"/>
  <c r="N6681" i="1" s="1"/>
  <c r="B6682" i="1"/>
  <c r="J6681" i="1" a="1"/>
  <c r="J6681" i="1" s="1"/>
  <c r="P6681" i="1" a="1"/>
  <c r="P6681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6682" i="1" l="1" a="1"/>
  <c r="J6682" i="1" s="1"/>
  <c r="N6682" i="1" a="1"/>
  <c r="N6682" i="1" s="1"/>
  <c r="R6682" i="1" a="1"/>
  <c r="R6682" i="1" s="1"/>
  <c r="O6682" i="1" a="1"/>
  <c r="O6682" i="1" s="1"/>
  <c r="B6683" i="1"/>
  <c r="K6682" i="1" a="1"/>
  <c r="K6682" i="1" s="1"/>
  <c r="P6682" i="1" a="1"/>
  <c r="P6682" i="1" s="1"/>
  <c r="L6682" i="1" a="1"/>
  <c r="L6682" i="1" s="1"/>
  <c r="Q6682" i="1" a="1"/>
  <c r="Q6682" i="1" s="1"/>
  <c r="M6682" i="1" a="1"/>
  <c r="M6682" i="1" s="1"/>
  <c r="S6682" i="1" a="1"/>
  <c r="S6682" i="1" s="1"/>
  <c r="H6681" i="1"/>
  <c r="A6682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6683" i="1" l="1"/>
  <c r="I6683" i="1" s="1" a="1"/>
  <c r="I6683" i="1" s="1"/>
  <c r="H6682" i="1"/>
  <c r="M6683" i="1" a="1"/>
  <c r="M6683" i="1" s="1"/>
  <c r="Q6683" i="1" a="1"/>
  <c r="Q6683" i="1" s="1"/>
  <c r="L6683" i="1" a="1"/>
  <c r="L6683" i="1" s="1"/>
  <c r="R6683" i="1" a="1"/>
  <c r="R6683" i="1" s="1"/>
  <c r="N6683" i="1" a="1"/>
  <c r="N6683" i="1" s="1"/>
  <c r="S6683" i="1" a="1"/>
  <c r="S6683" i="1" s="1"/>
  <c r="J6683" i="1" a="1"/>
  <c r="J6683" i="1" s="1"/>
  <c r="O6683" i="1" a="1"/>
  <c r="O6683" i="1" s="1"/>
  <c r="B6684" i="1"/>
  <c r="K6683" i="1" a="1"/>
  <c r="K6683" i="1" s="1"/>
  <c r="P6683" i="1" a="1"/>
  <c r="P6683" i="1" s="1"/>
  <c r="I6682" i="1" a="1"/>
  <c r="I6682" i="1" s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6684" i="1" l="1" a="1"/>
  <c r="L6684" i="1" s="1"/>
  <c r="P6684" i="1" a="1"/>
  <c r="P6684" i="1" s="1"/>
  <c r="B6685" i="1"/>
  <c r="J6684" i="1" a="1"/>
  <c r="J6684" i="1" s="1"/>
  <c r="O6684" i="1" a="1"/>
  <c r="O6684" i="1" s="1"/>
  <c r="K6684" i="1" a="1"/>
  <c r="K6684" i="1" s="1"/>
  <c r="Q6684" i="1" a="1"/>
  <c r="Q6684" i="1" s="1"/>
  <c r="M6684" i="1" a="1"/>
  <c r="M6684" i="1" s="1"/>
  <c r="R6684" i="1" a="1"/>
  <c r="R6684" i="1" s="1"/>
  <c r="N6684" i="1" a="1"/>
  <c r="N6684" i="1" s="1"/>
  <c r="S6684" i="1" a="1"/>
  <c r="S6684" i="1" s="1"/>
  <c r="H6683" i="1"/>
  <c r="A6684" i="1"/>
  <c r="I6684" i="1" s="1" a="1"/>
  <c r="I6684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6685" i="1" l="1"/>
  <c r="H6684" i="1"/>
  <c r="K6685" i="1" a="1"/>
  <c r="K6685" i="1" s="1"/>
  <c r="O6685" i="1" a="1"/>
  <c r="O6685" i="1" s="1"/>
  <c r="S6685" i="1" a="1"/>
  <c r="S6685" i="1" s="1"/>
  <c r="M6685" i="1" a="1"/>
  <c r="M6685" i="1" s="1"/>
  <c r="R6685" i="1" a="1"/>
  <c r="R6685" i="1" s="1"/>
  <c r="I6685" i="1" a="1"/>
  <c r="I6685" i="1" s="1"/>
  <c r="N6685" i="1" a="1"/>
  <c r="N6685" i="1" s="1"/>
  <c r="B6686" i="1"/>
  <c r="J6685" i="1" a="1"/>
  <c r="J6685" i="1" s="1"/>
  <c r="P6685" i="1" a="1"/>
  <c r="P6685" i="1" s="1"/>
  <c r="Q6685" i="1" a="1"/>
  <c r="Q6685" i="1" s="1"/>
  <c r="L6685" i="1" a="1"/>
  <c r="L6685" i="1" s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J6686" i="1" l="1" a="1"/>
  <c r="J6686" i="1" s="1"/>
  <c r="N6686" i="1" a="1"/>
  <c r="N6686" i="1" s="1"/>
  <c r="R6686" i="1" a="1"/>
  <c r="R6686" i="1" s="1"/>
  <c r="K6686" i="1" a="1"/>
  <c r="K6686" i="1" s="1"/>
  <c r="P6686" i="1" a="1"/>
  <c r="P6686" i="1" s="1"/>
  <c r="L6686" i="1" a="1"/>
  <c r="L6686" i="1" s="1"/>
  <c r="Q6686" i="1" a="1"/>
  <c r="Q6686" i="1" s="1"/>
  <c r="M6686" i="1" a="1"/>
  <c r="M6686" i="1" s="1"/>
  <c r="S6686" i="1" a="1"/>
  <c r="S6686" i="1" s="1"/>
  <c r="B6687" i="1"/>
  <c r="O6686" i="1" a="1"/>
  <c r="O6686" i="1" s="1"/>
  <c r="H6685" i="1"/>
  <c r="A6686" i="1"/>
  <c r="I6686" i="1" s="1" a="1"/>
  <c r="I6686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H6686" i="1" l="1"/>
  <c r="A6687" i="1"/>
  <c r="I6687" i="1" a="1"/>
  <c r="I6687" i="1" s="1"/>
  <c r="M6687" i="1" a="1"/>
  <c r="M6687" i="1" s="1"/>
  <c r="Q6687" i="1" a="1"/>
  <c r="Q6687" i="1" s="1"/>
  <c r="N6687" i="1" a="1"/>
  <c r="N6687" i="1" s="1"/>
  <c r="S6687" i="1" a="1"/>
  <c r="S6687" i="1" s="1"/>
  <c r="J6687" i="1" a="1"/>
  <c r="J6687" i="1" s="1"/>
  <c r="O6687" i="1" a="1"/>
  <c r="O6687" i="1" s="1"/>
  <c r="B6688" i="1"/>
  <c r="K6687" i="1" a="1"/>
  <c r="K6687" i="1" s="1"/>
  <c r="P6687" i="1" a="1"/>
  <c r="P6687" i="1" s="1"/>
  <c r="L6687" i="1" a="1"/>
  <c r="L6687" i="1" s="1"/>
  <c r="R6687" i="1" a="1"/>
  <c r="R6687" i="1" s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L6688" i="1" l="1" a="1"/>
  <c r="L6688" i="1" s="1"/>
  <c r="P6688" i="1" a="1"/>
  <c r="P6688" i="1" s="1"/>
  <c r="B6689" i="1"/>
  <c r="K6688" i="1" a="1"/>
  <c r="K6688" i="1" s="1"/>
  <c r="Q6688" i="1" a="1"/>
  <c r="Q6688" i="1" s="1"/>
  <c r="M6688" i="1" a="1"/>
  <c r="M6688" i="1" s="1"/>
  <c r="R6688" i="1" a="1"/>
  <c r="R6688" i="1" s="1"/>
  <c r="I6688" i="1" a="1"/>
  <c r="I6688" i="1" s="1"/>
  <c r="N6688" i="1" a="1"/>
  <c r="N6688" i="1" s="1"/>
  <c r="S6688" i="1" a="1"/>
  <c r="S6688" i="1" s="1"/>
  <c r="J6688" i="1" a="1"/>
  <c r="J6688" i="1" s="1"/>
  <c r="O6688" i="1" a="1"/>
  <c r="O6688" i="1" s="1"/>
  <c r="H6687" i="1"/>
  <c r="A6688" i="1"/>
  <c r="A3525" i="1"/>
  <c r="I3524" i="1" a="1"/>
  <c r="I3524" i="1" s="1"/>
  <c r="H3524" i="1"/>
  <c r="A6689" i="1" l="1"/>
  <c r="H6688" i="1"/>
  <c r="K6689" i="1" a="1"/>
  <c r="K6689" i="1" s="1"/>
  <c r="O6689" i="1" a="1"/>
  <c r="O6689" i="1" s="1"/>
  <c r="S6689" i="1" a="1"/>
  <c r="S6689" i="1" s="1"/>
  <c r="I6689" i="1" a="1"/>
  <c r="I6689" i="1" s="1"/>
  <c r="N6689" i="1" a="1"/>
  <c r="N6689" i="1" s="1"/>
  <c r="B6690" i="1"/>
  <c r="J6689" i="1" a="1"/>
  <c r="J6689" i="1" s="1"/>
  <c r="P6689" i="1" a="1"/>
  <c r="P6689" i="1" s="1"/>
  <c r="L6689" i="1" a="1"/>
  <c r="L6689" i="1" s="1"/>
  <c r="Q6689" i="1" a="1"/>
  <c r="Q6689" i="1" s="1"/>
  <c r="M6689" i="1" a="1"/>
  <c r="M6689" i="1" s="1"/>
  <c r="R6689" i="1" a="1"/>
  <c r="R6689" i="1" s="1"/>
  <c r="A3526" i="1"/>
  <c r="I3525" i="1" a="1"/>
  <c r="I3525" i="1" s="1"/>
  <c r="H3525" i="1"/>
  <c r="J6690" i="1" l="1" a="1"/>
  <c r="J6690" i="1" s="1"/>
  <c r="N6690" i="1" a="1"/>
  <c r="N6690" i="1" s="1"/>
  <c r="R6690" i="1" a="1"/>
  <c r="R6690" i="1" s="1"/>
  <c r="L6690" i="1" a="1"/>
  <c r="L6690" i="1" s="1"/>
  <c r="Q6690" i="1" a="1"/>
  <c r="Q6690" i="1" s="1"/>
  <c r="M6690" i="1" a="1"/>
  <c r="M6690" i="1" s="1"/>
  <c r="S6690" i="1" a="1"/>
  <c r="S6690" i="1" s="1"/>
  <c r="I6690" i="1" a="1"/>
  <c r="I6690" i="1" s="1"/>
  <c r="O6690" i="1" a="1"/>
  <c r="O6690" i="1" s="1"/>
  <c r="P6690" i="1" a="1"/>
  <c r="P6690" i="1" s="1"/>
  <c r="B6691" i="1"/>
  <c r="K6690" i="1" a="1"/>
  <c r="K6690" i="1" s="1"/>
  <c r="A6690" i="1"/>
  <c r="H6689" i="1"/>
  <c r="A3527" i="1"/>
  <c r="L3526" i="1" a="1"/>
  <c r="L3526" i="1" s="1"/>
  <c r="H3526" i="1"/>
  <c r="H6690" i="1" l="1"/>
  <c r="A6691" i="1"/>
  <c r="I6691" i="1" a="1"/>
  <c r="I6691" i="1" s="1"/>
  <c r="M6691" i="1" a="1"/>
  <c r="M6691" i="1" s="1"/>
  <c r="Q6691" i="1" a="1"/>
  <c r="Q6691" i="1" s="1"/>
  <c r="R6691" i="1" a="1"/>
  <c r="R6691" i="1" s="1"/>
  <c r="N6691" i="1" a="1"/>
  <c r="N6691" i="1" s="1"/>
  <c r="J6691" i="1" a="1"/>
  <c r="J6691" i="1" s="1"/>
  <c r="S6691" i="1" a="1"/>
  <c r="S6691" i="1" s="1"/>
  <c r="O6691" i="1" a="1"/>
  <c r="O6691" i="1" s="1"/>
  <c r="K6691" i="1" a="1"/>
  <c r="K6691" i="1" s="1"/>
  <c r="P6691" i="1" a="1"/>
  <c r="P6691" i="1" s="1"/>
  <c r="B6692" i="1"/>
  <c r="L6691" i="1" a="1"/>
  <c r="L6691" i="1" s="1"/>
  <c r="L3527" i="1" a="1"/>
  <c r="L3527" i="1" s="1"/>
  <c r="A3528" i="1"/>
  <c r="H3527" i="1"/>
  <c r="L6692" i="1" l="1" a="1"/>
  <c r="L6692" i="1" s="1"/>
  <c r="P6692" i="1" a="1"/>
  <c r="P6692" i="1" s="1"/>
  <c r="N6692" i="1" a="1"/>
  <c r="N6692" i="1" s="1"/>
  <c r="J6692" i="1" a="1"/>
  <c r="J6692" i="1" s="1"/>
  <c r="S6692" i="1" a="1"/>
  <c r="S6692" i="1" s="1"/>
  <c r="O6692" i="1" a="1"/>
  <c r="O6692" i="1" s="1"/>
  <c r="K6692" i="1" a="1"/>
  <c r="K6692" i="1" s="1"/>
  <c r="B6693" i="1"/>
  <c r="Q6692" i="1" a="1"/>
  <c r="Q6692" i="1" s="1"/>
  <c r="M6692" i="1" a="1"/>
  <c r="M6692" i="1" s="1"/>
  <c r="R6692" i="1" a="1"/>
  <c r="R6692" i="1" s="1"/>
  <c r="H6691" i="1"/>
  <c r="A6692" i="1"/>
  <c r="A3529" i="1"/>
  <c r="O3528" i="1" a="1"/>
  <c r="O3528" i="1" s="1"/>
  <c r="H3528" i="1"/>
  <c r="A6693" i="1" l="1"/>
  <c r="H6692" i="1"/>
  <c r="K6693" i="1" a="1"/>
  <c r="K6693" i="1" s="1"/>
  <c r="O6693" i="1" a="1"/>
  <c r="O6693" i="1" s="1"/>
  <c r="S6693" i="1" a="1"/>
  <c r="S6693" i="1" s="1"/>
  <c r="J6693" i="1" a="1"/>
  <c r="J6693" i="1" s="1"/>
  <c r="P6693" i="1" a="1"/>
  <c r="P6693" i="1" s="1"/>
  <c r="B6694" i="1"/>
  <c r="L6693" i="1" a="1"/>
  <c r="L6693" i="1" s="1"/>
  <c r="Q6693" i="1" a="1"/>
  <c r="Q6693" i="1" s="1"/>
  <c r="M6693" i="1" a="1"/>
  <c r="M6693" i="1" s="1"/>
  <c r="N6693" i="1" a="1"/>
  <c r="N6693" i="1" s="1"/>
  <c r="R6693" i="1" a="1"/>
  <c r="R6693" i="1" s="1"/>
  <c r="I6693" i="1" a="1"/>
  <c r="I6693" i="1" s="1"/>
  <c r="I6692" i="1" a="1"/>
  <c r="I6692" i="1" s="1"/>
  <c r="A3530" i="1"/>
  <c r="H3529" i="1"/>
  <c r="O3529" i="1" a="1"/>
  <c r="O3529" i="1" s="1"/>
  <c r="J6694" i="1" l="1" a="1"/>
  <c r="J6694" i="1" s="1"/>
  <c r="N6694" i="1" a="1"/>
  <c r="N6694" i="1" s="1"/>
  <c r="R6694" i="1" a="1"/>
  <c r="R6694" i="1" s="1"/>
  <c r="K6694" i="1" a="1"/>
  <c r="K6694" i="1" s="1"/>
  <c r="P6694" i="1" a="1"/>
  <c r="P6694" i="1" s="1"/>
  <c r="B6695" i="1"/>
  <c r="L6694" i="1" a="1"/>
  <c r="L6694" i="1" s="1"/>
  <c r="Q6694" i="1" a="1"/>
  <c r="Q6694" i="1" s="1"/>
  <c r="M6694" i="1" a="1"/>
  <c r="M6694" i="1" s="1"/>
  <c r="O6694" i="1" a="1"/>
  <c r="O6694" i="1" s="1"/>
  <c r="S6694" i="1" a="1"/>
  <c r="S6694" i="1" s="1"/>
  <c r="A6694" i="1"/>
  <c r="H6693" i="1"/>
  <c r="A3531" i="1"/>
  <c r="H3530" i="1"/>
  <c r="O3530" i="1" a="1"/>
  <c r="O3530" i="1" s="1"/>
  <c r="K6695" i="1" l="1" a="1"/>
  <c r="K6695" i="1" s="1"/>
  <c r="O6695" i="1" a="1"/>
  <c r="O6695" i="1" s="1"/>
  <c r="S6695" i="1" a="1"/>
  <c r="S6695" i="1" s="1"/>
  <c r="L6695" i="1" a="1"/>
  <c r="L6695" i="1" s="1"/>
  <c r="P6695" i="1" a="1"/>
  <c r="P6695" i="1" s="1"/>
  <c r="B6696" i="1"/>
  <c r="I6695" i="1" a="1"/>
  <c r="I6695" i="1" s="1"/>
  <c r="M6695" i="1" a="1"/>
  <c r="M6695" i="1" s="1"/>
  <c r="Q6695" i="1" a="1"/>
  <c r="Q6695" i="1" s="1"/>
  <c r="J6695" i="1" a="1"/>
  <c r="J6695" i="1" s="1"/>
  <c r="N6695" i="1" a="1"/>
  <c r="N6695" i="1" s="1"/>
  <c r="R6695" i="1" a="1"/>
  <c r="R6695" i="1" s="1"/>
  <c r="A6695" i="1"/>
  <c r="H6694" i="1"/>
  <c r="I6694" i="1" a="1"/>
  <c r="I6694" i="1" s="1"/>
  <c r="A3532" i="1"/>
  <c r="H3531" i="1"/>
  <c r="O3531" i="1" a="1"/>
  <c r="O3531" i="1" s="1"/>
  <c r="J6696" i="1" l="1" a="1"/>
  <c r="J6696" i="1" s="1"/>
  <c r="N6696" i="1" a="1"/>
  <c r="N6696" i="1" s="1"/>
  <c r="R6696" i="1" a="1"/>
  <c r="R6696" i="1" s="1"/>
  <c r="K6696" i="1" a="1"/>
  <c r="K6696" i="1" s="1"/>
  <c r="O6696" i="1" a="1"/>
  <c r="O6696" i="1" s="1"/>
  <c r="S6696" i="1" a="1"/>
  <c r="S6696" i="1" s="1"/>
  <c r="L6696" i="1" a="1"/>
  <c r="L6696" i="1" s="1"/>
  <c r="P6696" i="1" a="1"/>
  <c r="P6696" i="1" s="1"/>
  <c r="B6697" i="1"/>
  <c r="M6696" i="1" a="1"/>
  <c r="M6696" i="1" s="1"/>
  <c r="Q6696" i="1" a="1"/>
  <c r="Q6696" i="1" s="1"/>
  <c r="A6696" i="1"/>
  <c r="H6695" i="1"/>
  <c r="A3533" i="1"/>
  <c r="O3532" i="1" a="1"/>
  <c r="O3532" i="1" s="1"/>
  <c r="H3532" i="1"/>
  <c r="A6697" i="1" l="1"/>
  <c r="H6696" i="1"/>
  <c r="I6696" i="1" a="1"/>
  <c r="I6696" i="1" s="1"/>
  <c r="I6697" i="1" a="1"/>
  <c r="I6697" i="1" s="1"/>
  <c r="M6697" i="1" a="1"/>
  <c r="M6697" i="1" s="1"/>
  <c r="Q6697" i="1" a="1"/>
  <c r="Q6697" i="1" s="1"/>
  <c r="J6697" i="1" a="1"/>
  <c r="J6697" i="1" s="1"/>
  <c r="N6697" i="1" a="1"/>
  <c r="N6697" i="1" s="1"/>
  <c r="R6697" i="1" a="1"/>
  <c r="R6697" i="1" s="1"/>
  <c r="K6697" i="1" a="1"/>
  <c r="K6697" i="1" s="1"/>
  <c r="O6697" i="1" a="1"/>
  <c r="O6697" i="1" s="1"/>
  <c r="S6697" i="1" a="1"/>
  <c r="S6697" i="1" s="1"/>
  <c r="L6697" i="1" a="1"/>
  <c r="L6697" i="1" s="1"/>
  <c r="P6697" i="1" a="1"/>
  <c r="P6697" i="1" s="1"/>
  <c r="B6698" i="1"/>
  <c r="A3534" i="1"/>
  <c r="H3533" i="1"/>
  <c r="O3533" i="1" a="1"/>
  <c r="O3533" i="1" s="1"/>
  <c r="L6698" i="1" l="1" a="1"/>
  <c r="L6698" i="1" s="1"/>
  <c r="P6698" i="1" a="1"/>
  <c r="P6698" i="1" s="1"/>
  <c r="B6699" i="1"/>
  <c r="M6698" i="1" a="1"/>
  <c r="M6698" i="1" s="1"/>
  <c r="Q6698" i="1" a="1"/>
  <c r="Q6698" i="1" s="1"/>
  <c r="J6698" i="1" a="1"/>
  <c r="J6698" i="1" s="1"/>
  <c r="N6698" i="1" a="1"/>
  <c r="N6698" i="1" s="1"/>
  <c r="R6698" i="1" a="1"/>
  <c r="R6698" i="1" s="1"/>
  <c r="O6698" i="1" a="1"/>
  <c r="O6698" i="1" s="1"/>
  <c r="S6698" i="1" a="1"/>
  <c r="S6698" i="1" s="1"/>
  <c r="K6698" i="1" a="1"/>
  <c r="K6698" i="1" s="1"/>
  <c r="H6697" i="1"/>
  <c r="A6698" i="1"/>
  <c r="A3535" i="1"/>
  <c r="O3534" i="1" a="1"/>
  <c r="O3534" i="1" s="1"/>
  <c r="H3534" i="1"/>
  <c r="A6699" i="1" l="1"/>
  <c r="H6698" i="1"/>
  <c r="I6698" i="1" a="1"/>
  <c r="I6698" i="1" s="1"/>
  <c r="K6699" i="1" a="1"/>
  <c r="K6699" i="1" s="1"/>
  <c r="O6699" i="1" a="1"/>
  <c r="O6699" i="1" s="1"/>
  <c r="S6699" i="1" a="1"/>
  <c r="S6699" i="1" s="1"/>
  <c r="L6699" i="1" a="1"/>
  <c r="L6699" i="1" s="1"/>
  <c r="P6699" i="1" a="1"/>
  <c r="P6699" i="1" s="1"/>
  <c r="B6700" i="1"/>
  <c r="I6699" i="1" a="1"/>
  <c r="I6699" i="1" s="1"/>
  <c r="M6699" i="1" a="1"/>
  <c r="M6699" i="1" s="1"/>
  <c r="Q6699" i="1" a="1"/>
  <c r="Q6699" i="1" s="1"/>
  <c r="R6699" i="1" a="1"/>
  <c r="R6699" i="1" s="1"/>
  <c r="J6699" i="1" a="1"/>
  <c r="J6699" i="1" s="1"/>
  <c r="N6699" i="1" a="1"/>
  <c r="N6699" i="1" s="1"/>
  <c r="A3536" i="1"/>
  <c r="H3535" i="1"/>
  <c r="O3535" i="1" a="1"/>
  <c r="O3535" i="1" s="1"/>
  <c r="J6700" i="1" l="1" a="1"/>
  <c r="J6700" i="1" s="1"/>
  <c r="N6700" i="1" a="1"/>
  <c r="N6700" i="1" s="1"/>
  <c r="R6700" i="1" a="1"/>
  <c r="R6700" i="1" s="1"/>
  <c r="K6700" i="1" a="1"/>
  <c r="K6700" i="1" s="1"/>
  <c r="O6700" i="1" a="1"/>
  <c r="O6700" i="1" s="1"/>
  <c r="S6700" i="1" a="1"/>
  <c r="S6700" i="1" s="1"/>
  <c r="L6700" i="1" a="1"/>
  <c r="L6700" i="1" s="1"/>
  <c r="P6700" i="1" a="1"/>
  <c r="P6700" i="1" s="1"/>
  <c r="B6701" i="1"/>
  <c r="M6700" i="1" a="1"/>
  <c r="M6700" i="1" s="1"/>
  <c r="Q6700" i="1" a="1"/>
  <c r="Q6700" i="1" s="1"/>
  <c r="A6700" i="1"/>
  <c r="I6700" i="1" s="1" a="1"/>
  <c r="I6700" i="1" s="1"/>
  <c r="H6699" i="1"/>
  <c r="A3537" i="1"/>
  <c r="H3536" i="1"/>
  <c r="O3536" i="1" a="1"/>
  <c r="O3536" i="1" s="1"/>
  <c r="A6701" i="1" l="1"/>
  <c r="H6700" i="1"/>
  <c r="I6701" i="1" a="1"/>
  <c r="I6701" i="1" s="1"/>
  <c r="M6701" i="1" a="1"/>
  <c r="M6701" i="1" s="1"/>
  <c r="Q6701" i="1" a="1"/>
  <c r="Q6701" i="1" s="1"/>
  <c r="J6701" i="1" a="1"/>
  <c r="J6701" i="1" s="1"/>
  <c r="N6701" i="1" a="1"/>
  <c r="N6701" i="1" s="1"/>
  <c r="R6701" i="1" a="1"/>
  <c r="R6701" i="1" s="1"/>
  <c r="K6701" i="1" a="1"/>
  <c r="K6701" i="1" s="1"/>
  <c r="O6701" i="1" a="1"/>
  <c r="O6701" i="1" s="1"/>
  <c r="S6701" i="1" a="1"/>
  <c r="S6701" i="1" s="1"/>
  <c r="B6702" i="1"/>
  <c r="L6701" i="1" a="1"/>
  <c r="L6701" i="1" s="1"/>
  <c r="P6701" i="1" a="1"/>
  <c r="P6701" i="1" s="1"/>
  <c r="A3538" i="1"/>
  <c r="H3537" i="1"/>
  <c r="O3537" i="1" a="1"/>
  <c r="O3537" i="1" s="1"/>
  <c r="L6702" i="1" l="1" a="1"/>
  <c r="L6702" i="1" s="1"/>
  <c r="P6702" i="1" a="1"/>
  <c r="P6702" i="1" s="1"/>
  <c r="B6703" i="1"/>
  <c r="M6702" i="1" a="1"/>
  <c r="M6702" i="1" s="1"/>
  <c r="Q6702" i="1" a="1"/>
  <c r="Q6702" i="1" s="1"/>
  <c r="J6702" i="1" a="1"/>
  <c r="J6702" i="1" s="1"/>
  <c r="N6702" i="1" a="1"/>
  <c r="N6702" i="1" s="1"/>
  <c r="R6702" i="1" a="1"/>
  <c r="R6702" i="1" s="1"/>
  <c r="K6702" i="1" a="1"/>
  <c r="K6702" i="1" s="1"/>
  <c r="O6702" i="1" a="1"/>
  <c r="O6702" i="1" s="1"/>
  <c r="S6702" i="1" a="1"/>
  <c r="S6702" i="1" s="1"/>
  <c r="H6701" i="1"/>
  <c r="A6702" i="1"/>
  <c r="A3539" i="1"/>
  <c r="O3538" i="1" a="1"/>
  <c r="O3538" i="1" s="1"/>
  <c r="H3538" i="1"/>
  <c r="A6703" i="1" l="1"/>
  <c r="H6702" i="1"/>
  <c r="I6702" i="1" a="1"/>
  <c r="I6702" i="1" s="1"/>
  <c r="K6703" i="1" a="1"/>
  <c r="K6703" i="1" s="1"/>
  <c r="O6703" i="1" a="1"/>
  <c r="O6703" i="1" s="1"/>
  <c r="S6703" i="1" a="1"/>
  <c r="S6703" i="1" s="1"/>
  <c r="L6703" i="1" a="1"/>
  <c r="L6703" i="1" s="1"/>
  <c r="P6703" i="1" a="1"/>
  <c r="P6703" i="1" s="1"/>
  <c r="B6704" i="1"/>
  <c r="I6703" i="1" a="1"/>
  <c r="I6703" i="1" s="1"/>
  <c r="M6703" i="1" a="1"/>
  <c r="M6703" i="1" s="1"/>
  <c r="Q6703" i="1" a="1"/>
  <c r="Q6703" i="1" s="1"/>
  <c r="N6703" i="1" a="1"/>
  <c r="N6703" i="1" s="1"/>
  <c r="R6703" i="1" a="1"/>
  <c r="R6703" i="1" s="1"/>
  <c r="J6703" i="1" a="1"/>
  <c r="J6703" i="1" s="1"/>
  <c r="A3540" i="1"/>
  <c r="H3539" i="1"/>
  <c r="O3539" i="1" a="1"/>
  <c r="O3539" i="1" s="1"/>
  <c r="J6704" i="1" l="1" a="1"/>
  <c r="J6704" i="1" s="1"/>
  <c r="N6704" i="1" a="1"/>
  <c r="N6704" i="1" s="1"/>
  <c r="R6704" i="1" a="1"/>
  <c r="R6704" i="1" s="1"/>
  <c r="K6704" i="1" a="1"/>
  <c r="K6704" i="1" s="1"/>
  <c r="O6704" i="1" a="1"/>
  <c r="O6704" i="1" s="1"/>
  <c r="S6704" i="1" a="1"/>
  <c r="S6704" i="1" s="1"/>
  <c r="L6704" i="1" a="1"/>
  <c r="L6704" i="1" s="1"/>
  <c r="P6704" i="1" a="1"/>
  <c r="P6704" i="1" s="1"/>
  <c r="B6705" i="1"/>
  <c r="Q6704" i="1" a="1"/>
  <c r="Q6704" i="1" s="1"/>
  <c r="M6704" i="1" a="1"/>
  <c r="M6704" i="1" s="1"/>
  <c r="A6704" i="1"/>
  <c r="H6703" i="1"/>
  <c r="A3541" i="1"/>
  <c r="O3540" i="1" a="1"/>
  <c r="O3540" i="1" s="1"/>
  <c r="H3540" i="1"/>
  <c r="I4438" i="1" a="1"/>
  <c r="I4438" i="1" s="1"/>
  <c r="A6705" i="1" l="1"/>
  <c r="H6704" i="1"/>
  <c r="I6704" i="1" a="1"/>
  <c r="I6704" i="1" s="1"/>
  <c r="I6705" i="1" a="1"/>
  <c r="I6705" i="1" s="1"/>
  <c r="M6705" i="1" a="1"/>
  <c r="M6705" i="1" s="1"/>
  <c r="Q6705" i="1" a="1"/>
  <c r="Q6705" i="1" s="1"/>
  <c r="J6705" i="1" a="1"/>
  <c r="J6705" i="1" s="1"/>
  <c r="N6705" i="1" a="1"/>
  <c r="N6705" i="1" s="1"/>
  <c r="R6705" i="1" a="1"/>
  <c r="R6705" i="1" s="1"/>
  <c r="K6705" i="1" a="1"/>
  <c r="K6705" i="1" s="1"/>
  <c r="O6705" i="1" a="1"/>
  <c r="O6705" i="1" s="1"/>
  <c r="S6705" i="1" a="1"/>
  <c r="S6705" i="1" s="1"/>
  <c r="P6705" i="1" a="1"/>
  <c r="P6705" i="1" s="1"/>
  <c r="B6706" i="1"/>
  <c r="L6705" i="1" a="1"/>
  <c r="L6705" i="1" s="1"/>
  <c r="A3542" i="1"/>
  <c r="H3541" i="1"/>
  <c r="O3541" i="1" a="1"/>
  <c r="O3541" i="1" s="1"/>
  <c r="C4439" i="1"/>
  <c r="H4438" i="1"/>
  <c r="L6706" i="1" l="1" a="1"/>
  <c r="L6706" i="1" s="1"/>
  <c r="P6706" i="1" a="1"/>
  <c r="P6706" i="1" s="1"/>
  <c r="B6707" i="1"/>
  <c r="M6706" i="1" a="1"/>
  <c r="M6706" i="1" s="1"/>
  <c r="Q6706" i="1" a="1"/>
  <c r="Q6706" i="1" s="1"/>
  <c r="J6706" i="1" a="1"/>
  <c r="J6706" i="1" s="1"/>
  <c r="N6706" i="1" a="1"/>
  <c r="N6706" i="1" s="1"/>
  <c r="R6706" i="1" a="1"/>
  <c r="R6706" i="1" s="1"/>
  <c r="O6706" i="1" a="1"/>
  <c r="O6706" i="1" s="1"/>
  <c r="S6706" i="1" a="1"/>
  <c r="S6706" i="1" s="1"/>
  <c r="K6706" i="1" a="1"/>
  <c r="K6706" i="1" s="1"/>
  <c r="A6706" i="1"/>
  <c r="H6705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6706" i="1" l="1"/>
  <c r="A6707" i="1"/>
  <c r="I6706" i="1" a="1"/>
  <c r="I6706" i="1" s="1"/>
  <c r="B6708" i="1"/>
  <c r="I6707" i="1" a="1"/>
  <c r="I6707" i="1" s="1"/>
  <c r="M6707" i="1" a="1"/>
  <c r="M6707" i="1" s="1"/>
  <c r="Q6707" i="1" a="1"/>
  <c r="Q6707" i="1" s="1"/>
  <c r="O6707" i="1" a="1"/>
  <c r="O6707" i="1" s="1"/>
  <c r="J6707" i="1" a="1"/>
  <c r="J6707" i="1" s="1"/>
  <c r="P6707" i="1" a="1"/>
  <c r="P6707" i="1" s="1"/>
  <c r="K6707" i="1" a="1"/>
  <c r="K6707" i="1" s="1"/>
  <c r="R6707" i="1" a="1"/>
  <c r="R6707" i="1" s="1"/>
  <c r="L6707" i="1" a="1"/>
  <c r="L6707" i="1" s="1"/>
  <c r="S6707" i="1" a="1"/>
  <c r="S6707" i="1" s="1"/>
  <c r="N6707" i="1" a="1"/>
  <c r="N6707" i="1" s="1"/>
  <c r="A3544" i="1"/>
  <c r="H3543" i="1"/>
  <c r="O3543" i="1" a="1"/>
  <c r="O3543" i="1" s="1"/>
  <c r="C4441" i="1"/>
  <c r="H4440" i="1"/>
  <c r="L6708" i="1" l="1" a="1"/>
  <c r="L6708" i="1" s="1"/>
  <c r="P6708" i="1" a="1"/>
  <c r="P6708" i="1" s="1"/>
  <c r="O6708" i="1" a="1"/>
  <c r="O6708" i="1" s="1"/>
  <c r="J6708" i="1" a="1"/>
  <c r="J6708" i="1" s="1"/>
  <c r="Q6708" i="1" a="1"/>
  <c r="Q6708" i="1" s="1"/>
  <c r="K6708" i="1" a="1"/>
  <c r="K6708" i="1" s="1"/>
  <c r="R6708" i="1" a="1"/>
  <c r="R6708" i="1" s="1"/>
  <c r="M6708" i="1" a="1"/>
  <c r="M6708" i="1" s="1"/>
  <c r="S6708" i="1" a="1"/>
  <c r="S6708" i="1" s="1"/>
  <c r="B6709" i="1"/>
  <c r="N6708" i="1" a="1"/>
  <c r="N6708" i="1" s="1"/>
  <c r="H6707" i="1"/>
  <c r="A6708" i="1"/>
  <c r="I6708" i="1" s="1" a="1"/>
  <c r="I6708" i="1" s="1"/>
  <c r="A3545" i="1"/>
  <c r="O3544" i="1" a="1"/>
  <c r="O3544" i="1" s="1"/>
  <c r="H3544" i="1"/>
  <c r="I4441" i="1" a="1"/>
  <c r="I4441" i="1" s="1"/>
  <c r="I4442" i="1" a="1"/>
  <c r="I4442" i="1" s="1"/>
  <c r="H4441" i="1"/>
  <c r="K6709" i="1" l="1" a="1"/>
  <c r="K6709" i="1" s="1"/>
  <c r="O6709" i="1" a="1"/>
  <c r="O6709" i="1" s="1"/>
  <c r="S6709" i="1" a="1"/>
  <c r="S6709" i="1" s="1"/>
  <c r="P6709" i="1" a="1"/>
  <c r="P6709" i="1" s="1"/>
  <c r="J6709" i="1" a="1"/>
  <c r="J6709" i="1" s="1"/>
  <c r="Q6709" i="1" a="1"/>
  <c r="Q6709" i="1" s="1"/>
  <c r="L6709" i="1" a="1"/>
  <c r="L6709" i="1" s="1"/>
  <c r="R6709" i="1" a="1"/>
  <c r="R6709" i="1" s="1"/>
  <c r="M6709" i="1" a="1"/>
  <c r="M6709" i="1" s="1"/>
  <c r="N6709" i="1" a="1"/>
  <c r="N6709" i="1" s="1"/>
  <c r="B6710" i="1"/>
  <c r="A6709" i="1"/>
  <c r="H6708" i="1"/>
  <c r="A3546" i="1"/>
  <c r="O3545" i="1" a="1"/>
  <c r="O3545" i="1" s="1"/>
  <c r="H3545" i="1"/>
  <c r="C4443" i="1"/>
  <c r="H4442" i="1"/>
  <c r="H6709" i="1" l="1"/>
  <c r="A6710" i="1"/>
  <c r="B6711" i="1"/>
  <c r="J6710" i="1" a="1"/>
  <c r="J6710" i="1" s="1"/>
  <c r="N6710" i="1" a="1"/>
  <c r="N6710" i="1" s="1"/>
  <c r="R6710" i="1" a="1"/>
  <c r="R6710" i="1" s="1"/>
  <c r="O6710" i="1" a="1"/>
  <c r="O6710" i="1" s="1"/>
  <c r="I6710" i="1" a="1"/>
  <c r="I6710" i="1" s="1"/>
  <c r="P6710" i="1" a="1"/>
  <c r="P6710" i="1" s="1"/>
  <c r="K6710" i="1" a="1"/>
  <c r="K6710" i="1" s="1"/>
  <c r="Q6710" i="1" a="1"/>
  <c r="Q6710" i="1" s="1"/>
  <c r="L6710" i="1" a="1"/>
  <c r="L6710" i="1" s="1"/>
  <c r="S6710" i="1" a="1"/>
  <c r="S6710" i="1" s="1"/>
  <c r="M6710" i="1" a="1"/>
  <c r="M6710" i="1" s="1"/>
  <c r="I6709" i="1" a="1"/>
  <c r="I6709" i="1" s="1"/>
  <c r="A3547" i="1"/>
  <c r="H3546" i="1"/>
  <c r="O3546" i="1" a="1"/>
  <c r="O3546" i="1" s="1"/>
  <c r="I4443" i="1" a="1"/>
  <c r="I4443" i="1" s="1"/>
  <c r="I4444" i="1" a="1"/>
  <c r="I4444" i="1" s="1"/>
  <c r="H4443" i="1"/>
  <c r="B6712" i="1" l="1"/>
  <c r="M6711" i="1" a="1"/>
  <c r="M6711" i="1" s="1"/>
  <c r="Q6711" i="1" a="1"/>
  <c r="Q6711" i="1" s="1"/>
  <c r="O6711" i="1" a="1"/>
  <c r="O6711" i="1" s="1"/>
  <c r="J6711" i="1" a="1"/>
  <c r="J6711" i="1" s="1"/>
  <c r="P6711" i="1" a="1"/>
  <c r="P6711" i="1" s="1"/>
  <c r="K6711" i="1" a="1"/>
  <c r="K6711" i="1" s="1"/>
  <c r="R6711" i="1" a="1"/>
  <c r="R6711" i="1" s="1"/>
  <c r="L6711" i="1" a="1"/>
  <c r="L6711" i="1" s="1"/>
  <c r="S6711" i="1" a="1"/>
  <c r="S6711" i="1" s="1"/>
  <c r="N6711" i="1" a="1"/>
  <c r="N6711" i="1" s="1"/>
  <c r="H6710" i="1"/>
  <c r="A6711" i="1"/>
  <c r="I6711" i="1" s="1" a="1"/>
  <c r="I6711" i="1" s="1"/>
  <c r="A3548" i="1"/>
  <c r="H3547" i="1"/>
  <c r="O3547" i="1" a="1"/>
  <c r="O3547" i="1" s="1"/>
  <c r="I4445" i="1" a="1"/>
  <c r="I4445" i="1" s="1"/>
  <c r="H4444" i="1"/>
  <c r="H6711" i="1" l="1"/>
  <c r="A6712" i="1"/>
  <c r="L6712" i="1" a="1"/>
  <c r="L6712" i="1" s="1"/>
  <c r="P6712" i="1" a="1"/>
  <c r="P6712" i="1" s="1"/>
  <c r="N6712" i="1" a="1"/>
  <c r="N6712" i="1" s="1"/>
  <c r="I6712" i="1" a="1"/>
  <c r="I6712" i="1" s="1"/>
  <c r="O6712" i="1" a="1"/>
  <c r="O6712" i="1" s="1"/>
  <c r="J6712" i="1" a="1"/>
  <c r="J6712" i="1" s="1"/>
  <c r="Q6712" i="1" a="1"/>
  <c r="Q6712" i="1" s="1"/>
  <c r="K6712" i="1" a="1"/>
  <c r="K6712" i="1" s="1"/>
  <c r="R6712" i="1" a="1"/>
  <c r="R6712" i="1" s="1"/>
  <c r="M6712" i="1" a="1"/>
  <c r="M6712" i="1" s="1"/>
  <c r="S6712" i="1" a="1"/>
  <c r="S6712" i="1" s="1"/>
  <c r="B6713" i="1"/>
  <c r="A3549" i="1"/>
  <c r="O3548" i="1" a="1"/>
  <c r="O3548" i="1" s="1"/>
  <c r="H3548" i="1"/>
  <c r="I4446" i="1" a="1"/>
  <c r="I4446" i="1" s="1"/>
  <c r="H4445" i="1"/>
  <c r="K6713" i="1" l="1" a="1"/>
  <c r="K6713" i="1" s="1"/>
  <c r="O6713" i="1" a="1"/>
  <c r="O6713" i="1" s="1"/>
  <c r="S6713" i="1" a="1"/>
  <c r="S6713" i="1" s="1"/>
  <c r="N6713" i="1" a="1"/>
  <c r="N6713" i="1" s="1"/>
  <c r="B6714" i="1"/>
  <c r="I6713" i="1" a="1"/>
  <c r="I6713" i="1" s="1"/>
  <c r="P6713" i="1" a="1"/>
  <c r="P6713" i="1" s="1"/>
  <c r="J6713" i="1" a="1"/>
  <c r="J6713" i="1" s="1"/>
  <c r="Q6713" i="1" a="1"/>
  <c r="Q6713" i="1" s="1"/>
  <c r="L6713" i="1" a="1"/>
  <c r="L6713" i="1" s="1"/>
  <c r="R6713" i="1" a="1"/>
  <c r="R6713" i="1" s="1"/>
  <c r="M6713" i="1" a="1"/>
  <c r="M6713" i="1" s="1"/>
  <c r="A6713" i="1"/>
  <c r="H6712" i="1"/>
  <c r="A3550" i="1"/>
  <c r="O3549" i="1" a="1"/>
  <c r="O3549" i="1" s="1"/>
  <c r="H3549" i="1"/>
  <c r="I4447" i="1" a="1"/>
  <c r="I4447" i="1" s="1"/>
  <c r="H4446" i="1"/>
  <c r="H6713" i="1" l="1"/>
  <c r="A6714" i="1"/>
  <c r="B6715" i="1"/>
  <c r="J6714" i="1" a="1"/>
  <c r="J6714" i="1" s="1"/>
  <c r="N6714" i="1" a="1"/>
  <c r="N6714" i="1" s="1"/>
  <c r="R6714" i="1" a="1"/>
  <c r="R6714" i="1" s="1"/>
  <c r="O6714" i="1" a="1"/>
  <c r="O6714" i="1" s="1"/>
  <c r="I6714" i="1" a="1"/>
  <c r="I6714" i="1" s="1"/>
  <c r="P6714" i="1" a="1"/>
  <c r="P6714" i="1" s="1"/>
  <c r="K6714" i="1" a="1"/>
  <c r="K6714" i="1" s="1"/>
  <c r="Q6714" i="1" a="1"/>
  <c r="Q6714" i="1" s="1"/>
  <c r="L6714" i="1" a="1"/>
  <c r="L6714" i="1" s="1"/>
  <c r="S6714" i="1" a="1"/>
  <c r="S6714" i="1" s="1"/>
  <c r="M6714" i="1" a="1"/>
  <c r="M6714" i="1" s="1"/>
  <c r="A3551" i="1"/>
  <c r="H3550" i="1"/>
  <c r="O3550" i="1" a="1"/>
  <c r="O3550" i="1" s="1"/>
  <c r="C4448" i="1"/>
  <c r="H4447" i="1"/>
  <c r="O4447" i="1" a="1"/>
  <c r="O4447" i="1" s="1"/>
  <c r="B6716" i="1" l="1"/>
  <c r="M6715" i="1" a="1"/>
  <c r="M6715" i="1" s="1"/>
  <c r="Q6715" i="1" a="1"/>
  <c r="Q6715" i="1" s="1"/>
  <c r="N6715" i="1" a="1"/>
  <c r="N6715" i="1" s="1"/>
  <c r="O6715" i="1" a="1"/>
  <c r="O6715" i="1" s="1"/>
  <c r="J6715" i="1" a="1"/>
  <c r="J6715" i="1" s="1"/>
  <c r="P6715" i="1" a="1"/>
  <c r="P6715" i="1" s="1"/>
  <c r="K6715" i="1" a="1"/>
  <c r="K6715" i="1" s="1"/>
  <c r="R6715" i="1" a="1"/>
  <c r="R6715" i="1" s="1"/>
  <c r="L6715" i="1" a="1"/>
  <c r="L6715" i="1" s="1"/>
  <c r="S6715" i="1" a="1"/>
  <c r="S6715" i="1" s="1"/>
  <c r="H6714" i="1"/>
  <c r="A6715" i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6715" i="1" l="1"/>
  <c r="A6716" i="1"/>
  <c r="I6715" i="1" a="1"/>
  <c r="I6715" i="1" s="1"/>
  <c r="L6716" i="1" a="1"/>
  <c r="L6716" i="1" s="1"/>
  <c r="P6716" i="1" a="1"/>
  <c r="P6716" i="1" s="1"/>
  <c r="B6717" i="1"/>
  <c r="N6716" i="1" a="1"/>
  <c r="N6716" i="1" s="1"/>
  <c r="I6716" i="1" a="1"/>
  <c r="I6716" i="1" s="1"/>
  <c r="O6716" i="1" a="1"/>
  <c r="O6716" i="1" s="1"/>
  <c r="J6716" i="1" a="1"/>
  <c r="J6716" i="1" s="1"/>
  <c r="Q6716" i="1" a="1"/>
  <c r="Q6716" i="1" s="1"/>
  <c r="K6716" i="1" a="1"/>
  <c r="K6716" i="1" s="1"/>
  <c r="R6716" i="1" a="1"/>
  <c r="R6716" i="1" s="1"/>
  <c r="M6716" i="1" a="1"/>
  <c r="M6716" i="1" s="1"/>
  <c r="S6716" i="1" a="1"/>
  <c r="S6716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K6717" i="1" l="1" a="1"/>
  <c r="K6717" i="1" s="1"/>
  <c r="O6717" i="1" a="1"/>
  <c r="O6717" i="1" s="1"/>
  <c r="S6717" i="1" a="1"/>
  <c r="S6717" i="1" s="1"/>
  <c r="M6717" i="1" a="1"/>
  <c r="M6717" i="1" s="1"/>
  <c r="N6717" i="1" a="1"/>
  <c r="N6717" i="1" s="1"/>
  <c r="B6718" i="1"/>
  <c r="I6717" i="1" a="1"/>
  <c r="I6717" i="1" s="1"/>
  <c r="P6717" i="1" a="1"/>
  <c r="P6717" i="1" s="1"/>
  <c r="J6717" i="1" a="1"/>
  <c r="J6717" i="1" s="1"/>
  <c r="Q6717" i="1" a="1"/>
  <c r="Q6717" i="1" s="1"/>
  <c r="L6717" i="1" a="1"/>
  <c r="L6717" i="1" s="1"/>
  <c r="R6717" i="1" a="1"/>
  <c r="R6717" i="1" s="1"/>
  <c r="A6717" i="1"/>
  <c r="H6716" i="1"/>
  <c r="A3554" i="1"/>
  <c r="I3553" i="1" a="1"/>
  <c r="I3553" i="1" s="1"/>
  <c r="H3553" i="1"/>
  <c r="I4450" i="1" a="1"/>
  <c r="I4450" i="1" s="1"/>
  <c r="H4450" i="1"/>
  <c r="O4450" i="1" a="1"/>
  <c r="O4450" i="1" s="1"/>
  <c r="A6718" i="1" l="1"/>
  <c r="H6717" i="1"/>
  <c r="J6718" i="1" a="1"/>
  <c r="J6718" i="1" s="1"/>
  <c r="N6718" i="1" a="1"/>
  <c r="N6718" i="1" s="1"/>
  <c r="M6718" i="1" a="1"/>
  <c r="M6718" i="1" s="1"/>
  <c r="S6718" i="1" a="1"/>
  <c r="S6718" i="1" s="1"/>
  <c r="O6718" i="1" a="1"/>
  <c r="O6718" i="1" s="1"/>
  <c r="I6718" i="1" a="1"/>
  <c r="I6718" i="1" s="1"/>
  <c r="P6718" i="1" a="1"/>
  <c r="P6718" i="1" s="1"/>
  <c r="B6719" i="1"/>
  <c r="K6718" i="1" a="1"/>
  <c r="K6718" i="1" s="1"/>
  <c r="Q6718" i="1" a="1"/>
  <c r="Q6718" i="1" s="1"/>
  <c r="L6718" i="1" a="1"/>
  <c r="L6718" i="1" s="1"/>
  <c r="R6718" i="1" a="1"/>
  <c r="R6718" i="1" s="1"/>
  <c r="A3555" i="1"/>
  <c r="I3554" i="1" a="1"/>
  <c r="I3554" i="1" s="1"/>
  <c r="H3554" i="1"/>
  <c r="I4451" i="1" a="1"/>
  <c r="I4451" i="1" s="1"/>
  <c r="K4451" i="1" a="1"/>
  <c r="K4451" i="1" s="1"/>
  <c r="H4451" i="1"/>
  <c r="J6719" i="1" l="1" a="1"/>
  <c r="J6719" i="1" s="1"/>
  <c r="N6719" i="1" a="1"/>
  <c r="N6719" i="1" s="1"/>
  <c r="R6719" i="1" a="1"/>
  <c r="R6719" i="1" s="1"/>
  <c r="K6719" i="1" a="1"/>
  <c r="K6719" i="1" s="1"/>
  <c r="O6719" i="1" a="1"/>
  <c r="O6719" i="1" s="1"/>
  <c r="S6719" i="1" a="1"/>
  <c r="S6719" i="1" s="1"/>
  <c r="L6719" i="1" a="1"/>
  <c r="L6719" i="1" s="1"/>
  <c r="P6719" i="1" a="1"/>
  <c r="P6719" i="1" s="1"/>
  <c r="B6720" i="1"/>
  <c r="M6719" i="1" a="1"/>
  <c r="M6719" i="1" s="1"/>
  <c r="Q6719" i="1" a="1"/>
  <c r="Q6719" i="1" s="1"/>
  <c r="H6718" i="1"/>
  <c r="A6719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A6720" i="1" l="1"/>
  <c r="H6719" i="1"/>
  <c r="I6719" i="1" a="1"/>
  <c r="I6719" i="1" s="1"/>
  <c r="B6721" i="1"/>
  <c r="I6720" i="1" a="1"/>
  <c r="I6720" i="1" s="1"/>
  <c r="M6720" i="1" a="1"/>
  <c r="M6720" i="1" s="1"/>
  <c r="Q6720" i="1" a="1"/>
  <c r="Q6720" i="1" s="1"/>
  <c r="J6720" i="1" a="1"/>
  <c r="J6720" i="1" s="1"/>
  <c r="N6720" i="1" a="1"/>
  <c r="N6720" i="1" s="1"/>
  <c r="R6720" i="1" a="1"/>
  <c r="R6720" i="1" s="1"/>
  <c r="K6720" i="1" a="1"/>
  <c r="K6720" i="1" s="1"/>
  <c r="O6720" i="1" a="1"/>
  <c r="O6720" i="1" s="1"/>
  <c r="S6720" i="1" a="1"/>
  <c r="S6720" i="1" s="1"/>
  <c r="L6720" i="1" a="1"/>
  <c r="L6720" i="1" s="1"/>
  <c r="P6720" i="1" a="1"/>
  <c r="P6720" i="1" s="1"/>
  <c r="A3557" i="1"/>
  <c r="I3556" i="1" a="1"/>
  <c r="I3556" i="1" s="1"/>
  <c r="H3556" i="1"/>
  <c r="I4453" i="1" a="1"/>
  <c r="I4453" i="1" s="1"/>
  <c r="K4453" i="1" a="1"/>
  <c r="K4453" i="1" s="1"/>
  <c r="H4453" i="1"/>
  <c r="L6721" i="1" l="1" a="1"/>
  <c r="L6721" i="1" s="1"/>
  <c r="P6721" i="1" a="1"/>
  <c r="P6721" i="1" s="1"/>
  <c r="B6722" i="1"/>
  <c r="M6721" i="1" a="1"/>
  <c r="M6721" i="1" s="1"/>
  <c r="Q6721" i="1" a="1"/>
  <c r="Q6721" i="1" s="1"/>
  <c r="J6721" i="1" a="1"/>
  <c r="J6721" i="1" s="1"/>
  <c r="N6721" i="1" a="1"/>
  <c r="N6721" i="1" s="1"/>
  <c r="R6721" i="1" a="1"/>
  <c r="R6721" i="1" s="1"/>
  <c r="K6721" i="1" a="1"/>
  <c r="K6721" i="1" s="1"/>
  <c r="O6721" i="1" a="1"/>
  <c r="O6721" i="1" s="1"/>
  <c r="S6721" i="1" a="1"/>
  <c r="S6721" i="1" s="1"/>
  <c r="H6720" i="1"/>
  <c r="A6721" i="1"/>
  <c r="I6721" i="1" s="1" a="1"/>
  <c r="I6721" i="1" s="1"/>
  <c r="A3558" i="1"/>
  <c r="I3557" i="1" a="1"/>
  <c r="I3557" i="1" s="1"/>
  <c r="H3557" i="1"/>
  <c r="I4454" i="1" a="1"/>
  <c r="I4454" i="1" s="1"/>
  <c r="K4454" i="1" a="1"/>
  <c r="K4454" i="1" s="1"/>
  <c r="H4454" i="1"/>
  <c r="K6722" i="1" l="1" a="1"/>
  <c r="K6722" i="1" s="1"/>
  <c r="O6722" i="1" a="1"/>
  <c r="O6722" i="1" s="1"/>
  <c r="S6722" i="1" a="1"/>
  <c r="S6722" i="1" s="1"/>
  <c r="L6722" i="1" a="1"/>
  <c r="L6722" i="1" s="1"/>
  <c r="P6722" i="1" a="1"/>
  <c r="P6722" i="1" s="1"/>
  <c r="B6723" i="1"/>
  <c r="I6722" i="1" a="1"/>
  <c r="I6722" i="1" s="1"/>
  <c r="M6722" i="1" a="1"/>
  <c r="M6722" i="1" s="1"/>
  <c r="Q6722" i="1" a="1"/>
  <c r="Q6722" i="1" s="1"/>
  <c r="J6722" i="1" a="1"/>
  <c r="J6722" i="1" s="1"/>
  <c r="N6722" i="1" a="1"/>
  <c r="N6722" i="1" s="1"/>
  <c r="R6722" i="1" a="1"/>
  <c r="R6722" i="1" s="1"/>
  <c r="A6722" i="1"/>
  <c r="H6721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J6723" i="1" l="1" a="1"/>
  <c r="J6723" i="1" s="1"/>
  <c r="N6723" i="1" a="1"/>
  <c r="N6723" i="1" s="1"/>
  <c r="R6723" i="1" a="1"/>
  <c r="R6723" i="1" s="1"/>
  <c r="K6723" i="1" a="1"/>
  <c r="K6723" i="1" s="1"/>
  <c r="O6723" i="1" a="1"/>
  <c r="O6723" i="1" s="1"/>
  <c r="S6723" i="1" a="1"/>
  <c r="S6723" i="1" s="1"/>
  <c r="L6723" i="1" a="1"/>
  <c r="L6723" i="1" s="1"/>
  <c r="P6723" i="1" a="1"/>
  <c r="P6723" i="1" s="1"/>
  <c r="B6724" i="1"/>
  <c r="M6723" i="1" a="1"/>
  <c r="M6723" i="1" s="1"/>
  <c r="Q6723" i="1" a="1"/>
  <c r="Q6723" i="1" s="1"/>
  <c r="A6723" i="1"/>
  <c r="H6722" i="1"/>
  <c r="A3560" i="1"/>
  <c r="I3559" i="1" a="1"/>
  <c r="I3559" i="1" s="1"/>
  <c r="H3559" i="1"/>
  <c r="I4456" i="1" a="1"/>
  <c r="I4456" i="1" s="1"/>
  <c r="K4456" i="1" a="1"/>
  <c r="K4456" i="1" s="1"/>
  <c r="H4456" i="1"/>
  <c r="A6724" i="1" l="1"/>
  <c r="H6723" i="1"/>
  <c r="I6723" i="1" a="1"/>
  <c r="I6723" i="1" s="1"/>
  <c r="B6725" i="1"/>
  <c r="I6724" i="1" a="1"/>
  <c r="I6724" i="1" s="1"/>
  <c r="M6724" i="1" a="1"/>
  <c r="M6724" i="1" s="1"/>
  <c r="Q6724" i="1" a="1"/>
  <c r="Q6724" i="1" s="1"/>
  <c r="J6724" i="1" a="1"/>
  <c r="J6724" i="1" s="1"/>
  <c r="N6724" i="1" a="1"/>
  <c r="N6724" i="1" s="1"/>
  <c r="R6724" i="1" a="1"/>
  <c r="R6724" i="1" s="1"/>
  <c r="K6724" i="1" a="1"/>
  <c r="K6724" i="1" s="1"/>
  <c r="O6724" i="1" a="1"/>
  <c r="O6724" i="1" s="1"/>
  <c r="S6724" i="1" a="1"/>
  <c r="S6724" i="1" s="1"/>
  <c r="L6724" i="1" a="1"/>
  <c r="L6724" i="1" s="1"/>
  <c r="P6724" i="1" a="1"/>
  <c r="P6724" i="1" s="1"/>
  <c r="A3561" i="1"/>
  <c r="I3560" i="1" a="1"/>
  <c r="I3560" i="1" s="1"/>
  <c r="H3560" i="1"/>
  <c r="I4457" i="1" a="1"/>
  <c r="I4457" i="1" s="1"/>
  <c r="K4457" i="1" a="1"/>
  <c r="K4457" i="1" s="1"/>
  <c r="H4457" i="1"/>
  <c r="L6725" i="1" l="1" a="1"/>
  <c r="L6725" i="1" s="1"/>
  <c r="P6725" i="1" a="1"/>
  <c r="P6725" i="1" s="1"/>
  <c r="B6726" i="1"/>
  <c r="M6725" i="1" a="1"/>
  <c r="M6725" i="1" s="1"/>
  <c r="Q6725" i="1" a="1"/>
  <c r="Q6725" i="1" s="1"/>
  <c r="J6725" i="1" a="1"/>
  <c r="J6725" i="1" s="1"/>
  <c r="N6725" i="1" a="1"/>
  <c r="N6725" i="1" s="1"/>
  <c r="R6725" i="1" a="1"/>
  <c r="R6725" i="1" s="1"/>
  <c r="K6725" i="1" a="1"/>
  <c r="K6725" i="1" s="1"/>
  <c r="O6725" i="1" a="1"/>
  <c r="O6725" i="1" s="1"/>
  <c r="S6725" i="1" a="1"/>
  <c r="S6725" i="1" s="1"/>
  <c r="H6724" i="1"/>
  <c r="A6725" i="1"/>
  <c r="I6725" i="1" s="1" a="1"/>
  <c r="I6725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6726" i="1" l="1"/>
  <c r="I6726" i="1" s="1" a="1"/>
  <c r="I6726" i="1" s="1"/>
  <c r="H6725" i="1"/>
  <c r="K6726" i="1" a="1"/>
  <c r="K6726" i="1" s="1"/>
  <c r="O6726" i="1" a="1"/>
  <c r="O6726" i="1" s="1"/>
  <c r="S6726" i="1" a="1"/>
  <c r="S6726" i="1" s="1"/>
  <c r="L6726" i="1" a="1"/>
  <c r="L6726" i="1" s="1"/>
  <c r="P6726" i="1" a="1"/>
  <c r="P6726" i="1" s="1"/>
  <c r="B6727" i="1"/>
  <c r="M6726" i="1" a="1"/>
  <c r="M6726" i="1" s="1"/>
  <c r="Q6726" i="1" a="1"/>
  <c r="Q6726" i="1" s="1"/>
  <c r="J6726" i="1" a="1"/>
  <c r="J6726" i="1" s="1"/>
  <c r="N6726" i="1" a="1"/>
  <c r="N6726" i="1" s="1"/>
  <c r="R6726" i="1" a="1"/>
  <c r="R6726" i="1" s="1"/>
  <c r="A3563" i="1"/>
  <c r="I3562" i="1" a="1"/>
  <c r="I3562" i="1" s="1"/>
  <c r="H3562" i="1"/>
  <c r="I4459" i="1" a="1"/>
  <c r="I4459" i="1" s="1"/>
  <c r="K4459" i="1" a="1"/>
  <c r="K4459" i="1" s="1"/>
  <c r="H4459" i="1"/>
  <c r="J6727" i="1" l="1" a="1"/>
  <c r="J6727" i="1" s="1"/>
  <c r="N6727" i="1" a="1"/>
  <c r="N6727" i="1" s="1"/>
  <c r="R6727" i="1" a="1"/>
  <c r="R6727" i="1" s="1"/>
  <c r="K6727" i="1" a="1"/>
  <c r="K6727" i="1" s="1"/>
  <c r="O6727" i="1" a="1"/>
  <c r="O6727" i="1" s="1"/>
  <c r="S6727" i="1" a="1"/>
  <c r="S6727" i="1" s="1"/>
  <c r="L6727" i="1" a="1"/>
  <c r="L6727" i="1" s="1"/>
  <c r="P6727" i="1" a="1"/>
  <c r="P6727" i="1" s="1"/>
  <c r="B6728" i="1"/>
  <c r="M6727" i="1" a="1"/>
  <c r="M6727" i="1" s="1"/>
  <c r="Q6727" i="1" a="1"/>
  <c r="Q6727" i="1" s="1"/>
  <c r="A6727" i="1"/>
  <c r="H6726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A6728" i="1" l="1"/>
  <c r="H6727" i="1"/>
  <c r="I6727" i="1" a="1"/>
  <c r="I6727" i="1" s="1"/>
  <c r="B6729" i="1"/>
  <c r="I6728" i="1" a="1"/>
  <c r="I6728" i="1" s="1"/>
  <c r="M6728" i="1" a="1"/>
  <c r="M6728" i="1" s="1"/>
  <c r="Q6728" i="1" a="1"/>
  <c r="Q6728" i="1" s="1"/>
  <c r="J6728" i="1" a="1"/>
  <c r="J6728" i="1" s="1"/>
  <c r="N6728" i="1" a="1"/>
  <c r="N6728" i="1" s="1"/>
  <c r="R6728" i="1" a="1"/>
  <c r="R6728" i="1" s="1"/>
  <c r="K6728" i="1" a="1"/>
  <c r="K6728" i="1" s="1"/>
  <c r="O6728" i="1" a="1"/>
  <c r="O6728" i="1" s="1"/>
  <c r="S6728" i="1" a="1"/>
  <c r="S6728" i="1" s="1"/>
  <c r="L6728" i="1" a="1"/>
  <c r="L6728" i="1" s="1"/>
  <c r="P6728" i="1" a="1"/>
  <c r="P6728" i="1" s="1"/>
  <c r="A3565" i="1"/>
  <c r="I3564" i="1" a="1"/>
  <c r="I3564" i="1" s="1"/>
  <c r="H3564" i="1"/>
  <c r="I4461" i="1" a="1"/>
  <c r="I4461" i="1" s="1"/>
  <c r="K4461" i="1" a="1"/>
  <c r="K4461" i="1" s="1"/>
  <c r="H4461" i="1"/>
  <c r="L6729" i="1" l="1" a="1"/>
  <c r="L6729" i="1" s="1"/>
  <c r="P6729" i="1" a="1"/>
  <c r="P6729" i="1" s="1"/>
  <c r="B6730" i="1"/>
  <c r="M6729" i="1" a="1"/>
  <c r="M6729" i="1" s="1"/>
  <c r="Q6729" i="1" a="1"/>
  <c r="Q6729" i="1" s="1"/>
  <c r="J6729" i="1" a="1"/>
  <c r="J6729" i="1" s="1"/>
  <c r="N6729" i="1" a="1"/>
  <c r="N6729" i="1" s="1"/>
  <c r="R6729" i="1" a="1"/>
  <c r="R6729" i="1" s="1"/>
  <c r="K6729" i="1" a="1"/>
  <c r="K6729" i="1" s="1"/>
  <c r="O6729" i="1" a="1"/>
  <c r="O6729" i="1" s="1"/>
  <c r="S6729" i="1" a="1"/>
  <c r="S6729" i="1" s="1"/>
  <c r="H6728" i="1"/>
  <c r="A6729" i="1"/>
  <c r="I6729" i="1" s="1" a="1"/>
  <c r="I6729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K6730" i="1" l="1" a="1"/>
  <c r="K6730" i="1" s="1"/>
  <c r="O6730" i="1" a="1"/>
  <c r="O6730" i="1" s="1"/>
  <c r="S6730" i="1" a="1"/>
  <c r="S6730" i="1" s="1"/>
  <c r="L6730" i="1" a="1"/>
  <c r="L6730" i="1" s="1"/>
  <c r="P6730" i="1" a="1"/>
  <c r="P6730" i="1" s="1"/>
  <c r="B6731" i="1"/>
  <c r="I6730" i="1" a="1"/>
  <c r="I6730" i="1" s="1"/>
  <c r="M6730" i="1" a="1"/>
  <c r="M6730" i="1" s="1"/>
  <c r="Q6730" i="1" a="1"/>
  <c r="Q6730" i="1" s="1"/>
  <c r="J6730" i="1" a="1"/>
  <c r="J6730" i="1" s="1"/>
  <c r="N6730" i="1" a="1"/>
  <c r="N6730" i="1" s="1"/>
  <c r="R6730" i="1" a="1"/>
  <c r="R6730" i="1" s="1"/>
  <c r="A6730" i="1"/>
  <c r="H6729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6731" i="1" l="1"/>
  <c r="H6730" i="1"/>
  <c r="J6731" i="1" a="1"/>
  <c r="J6731" i="1" s="1"/>
  <c r="N6731" i="1" a="1"/>
  <c r="N6731" i="1" s="1"/>
  <c r="R6731" i="1" a="1"/>
  <c r="R6731" i="1" s="1"/>
  <c r="K6731" i="1" a="1"/>
  <c r="K6731" i="1" s="1"/>
  <c r="O6731" i="1" a="1"/>
  <c r="O6731" i="1" s="1"/>
  <c r="S6731" i="1" a="1"/>
  <c r="S6731" i="1" s="1"/>
  <c r="L6731" i="1" a="1"/>
  <c r="L6731" i="1" s="1"/>
  <c r="P6731" i="1" a="1"/>
  <c r="P6731" i="1" s="1"/>
  <c r="B6732" i="1"/>
  <c r="I6731" i="1" a="1"/>
  <c r="I6731" i="1" s="1"/>
  <c r="M6731" i="1" a="1"/>
  <c r="M6731" i="1" s="1"/>
  <c r="Q6731" i="1" a="1"/>
  <c r="Q6731" i="1" s="1"/>
  <c r="A3568" i="1"/>
  <c r="I3567" i="1" a="1"/>
  <c r="I3567" i="1" s="1"/>
  <c r="H3567" i="1"/>
  <c r="I4464" i="1" a="1"/>
  <c r="I4464" i="1" s="1"/>
  <c r="K4464" i="1" a="1"/>
  <c r="K4464" i="1" s="1"/>
  <c r="H4464" i="1"/>
  <c r="B6733" i="1" l="1"/>
  <c r="M6732" i="1" a="1"/>
  <c r="M6732" i="1" s="1"/>
  <c r="Q6732" i="1" a="1"/>
  <c r="Q6732" i="1" s="1"/>
  <c r="J6732" i="1" a="1"/>
  <c r="J6732" i="1" s="1"/>
  <c r="N6732" i="1" a="1"/>
  <c r="N6732" i="1" s="1"/>
  <c r="R6732" i="1" a="1"/>
  <c r="R6732" i="1" s="1"/>
  <c r="K6732" i="1" a="1"/>
  <c r="K6732" i="1" s="1"/>
  <c r="O6732" i="1" a="1"/>
  <c r="O6732" i="1" s="1"/>
  <c r="S6732" i="1" a="1"/>
  <c r="S6732" i="1" s="1"/>
  <c r="L6732" i="1" a="1"/>
  <c r="L6732" i="1" s="1"/>
  <c r="P6732" i="1" a="1"/>
  <c r="P6732" i="1" s="1"/>
  <c r="A6732" i="1"/>
  <c r="I6732" i="1" s="1" a="1"/>
  <c r="I6732" i="1" s="1"/>
  <c r="H6731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6732" i="1" l="1"/>
  <c r="A6733" i="1"/>
  <c r="I6733" i="1" s="1" a="1"/>
  <c r="I6733" i="1" s="1"/>
  <c r="L6733" i="1" a="1"/>
  <c r="L6733" i="1" s="1"/>
  <c r="P6733" i="1" a="1"/>
  <c r="P6733" i="1" s="1"/>
  <c r="B6734" i="1"/>
  <c r="M6733" i="1" a="1"/>
  <c r="M6733" i="1" s="1"/>
  <c r="Q6733" i="1" a="1"/>
  <c r="Q6733" i="1" s="1"/>
  <c r="J6733" i="1" a="1"/>
  <c r="J6733" i="1" s="1"/>
  <c r="N6733" i="1" a="1"/>
  <c r="N6733" i="1" s="1"/>
  <c r="R6733" i="1" a="1"/>
  <c r="R6733" i="1" s="1"/>
  <c r="K6733" i="1" a="1"/>
  <c r="K6733" i="1" s="1"/>
  <c r="O6733" i="1" a="1"/>
  <c r="O6733" i="1" s="1"/>
  <c r="S6733" i="1" a="1"/>
  <c r="S6733" i="1" s="1"/>
  <c r="A3570" i="1"/>
  <c r="I3569" i="1" a="1"/>
  <c r="I3569" i="1" s="1"/>
  <c r="H3569" i="1"/>
  <c r="I4466" i="1" a="1"/>
  <c r="I4466" i="1" s="1"/>
  <c r="K4466" i="1" a="1"/>
  <c r="K4466" i="1" s="1"/>
  <c r="H4466" i="1"/>
  <c r="K6734" i="1" l="1" a="1"/>
  <c r="K6734" i="1" s="1"/>
  <c r="O6734" i="1" a="1"/>
  <c r="O6734" i="1" s="1"/>
  <c r="S6734" i="1" a="1"/>
  <c r="S6734" i="1" s="1"/>
  <c r="L6734" i="1" a="1"/>
  <c r="L6734" i="1" s="1"/>
  <c r="P6734" i="1" a="1"/>
  <c r="P6734" i="1" s="1"/>
  <c r="B6735" i="1"/>
  <c r="M6734" i="1" a="1"/>
  <c r="M6734" i="1" s="1"/>
  <c r="Q6734" i="1" a="1"/>
  <c r="Q6734" i="1" s="1"/>
  <c r="J6734" i="1" a="1"/>
  <c r="J6734" i="1" s="1"/>
  <c r="N6734" i="1" a="1"/>
  <c r="N6734" i="1" s="1"/>
  <c r="R6734" i="1" a="1"/>
  <c r="R6734" i="1" s="1"/>
  <c r="A6734" i="1"/>
  <c r="I6734" i="1" s="1" a="1"/>
  <c r="I6734" i="1" s="1"/>
  <c r="H6733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J6735" i="1" l="1" a="1"/>
  <c r="J6735" i="1" s="1"/>
  <c r="N6735" i="1" a="1"/>
  <c r="N6735" i="1" s="1"/>
  <c r="R6735" i="1" a="1"/>
  <c r="R6735" i="1" s="1"/>
  <c r="K6735" i="1" a="1"/>
  <c r="K6735" i="1" s="1"/>
  <c r="O6735" i="1" a="1"/>
  <c r="O6735" i="1" s="1"/>
  <c r="S6735" i="1" a="1"/>
  <c r="S6735" i="1" s="1"/>
  <c r="L6735" i="1" a="1"/>
  <c r="L6735" i="1" s="1"/>
  <c r="P6735" i="1" a="1"/>
  <c r="P6735" i="1" s="1"/>
  <c r="B6736" i="1"/>
  <c r="M6735" i="1" a="1"/>
  <c r="M6735" i="1" s="1"/>
  <c r="Q6735" i="1" a="1"/>
  <c r="Q6735" i="1" s="1"/>
  <c r="A6735" i="1"/>
  <c r="H6734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6736" i="1" l="1"/>
  <c r="H6735" i="1"/>
  <c r="I6735" i="1" a="1"/>
  <c r="I6735" i="1" s="1"/>
  <c r="B6737" i="1"/>
  <c r="I6736" i="1" a="1"/>
  <c r="I6736" i="1" s="1"/>
  <c r="M6736" i="1" a="1"/>
  <c r="M6736" i="1" s="1"/>
  <c r="Q6736" i="1" a="1"/>
  <c r="Q6736" i="1" s="1"/>
  <c r="J6736" i="1" a="1"/>
  <c r="J6736" i="1" s="1"/>
  <c r="N6736" i="1" a="1"/>
  <c r="N6736" i="1" s="1"/>
  <c r="R6736" i="1" a="1"/>
  <c r="R6736" i="1" s="1"/>
  <c r="K6736" i="1" a="1"/>
  <c r="K6736" i="1" s="1"/>
  <c r="O6736" i="1" a="1"/>
  <c r="O6736" i="1" s="1"/>
  <c r="S6736" i="1" a="1"/>
  <c r="S6736" i="1" s="1"/>
  <c r="L6736" i="1" a="1"/>
  <c r="L6736" i="1" s="1"/>
  <c r="P6736" i="1" a="1"/>
  <c r="P6736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6737" i="1" l="1" a="1"/>
  <c r="L6737" i="1" s="1"/>
  <c r="P6737" i="1" a="1"/>
  <c r="P6737" i="1" s="1"/>
  <c r="B6738" i="1"/>
  <c r="M6737" i="1" a="1"/>
  <c r="M6737" i="1" s="1"/>
  <c r="Q6737" i="1" a="1"/>
  <c r="Q6737" i="1" s="1"/>
  <c r="J6737" i="1" a="1"/>
  <c r="J6737" i="1" s="1"/>
  <c r="N6737" i="1" a="1"/>
  <c r="N6737" i="1" s="1"/>
  <c r="R6737" i="1" a="1"/>
  <c r="R6737" i="1" s="1"/>
  <c r="K6737" i="1" a="1"/>
  <c r="K6737" i="1" s="1"/>
  <c r="S6737" i="1" a="1"/>
  <c r="S6737" i="1" s="1"/>
  <c r="O6737" i="1" a="1"/>
  <c r="O6737" i="1" s="1"/>
  <c r="H6736" i="1"/>
  <c r="A6737" i="1"/>
  <c r="I4470" i="1" a="1"/>
  <c r="I4470" i="1" s="1"/>
  <c r="K4470" i="1" a="1"/>
  <c r="K4470" i="1" s="1"/>
  <c r="H4470" i="1"/>
  <c r="O4470" i="1" a="1"/>
  <c r="O4470" i="1" s="1"/>
  <c r="A6738" i="1" l="1"/>
  <c r="H6737" i="1"/>
  <c r="I6737" i="1" a="1"/>
  <c r="I6737" i="1" s="1"/>
  <c r="K6738" i="1" a="1"/>
  <c r="K6738" i="1" s="1"/>
  <c r="O6738" i="1" a="1"/>
  <c r="O6738" i="1" s="1"/>
  <c r="S6738" i="1" a="1"/>
  <c r="S6738" i="1" s="1"/>
  <c r="L6738" i="1" a="1"/>
  <c r="L6738" i="1" s="1"/>
  <c r="P6738" i="1" a="1"/>
  <c r="P6738" i="1" s="1"/>
  <c r="B6739" i="1"/>
  <c r="Q6738" i="1" a="1"/>
  <c r="Q6738" i="1" s="1"/>
  <c r="R6738" i="1" a="1"/>
  <c r="R6738" i="1" s="1"/>
  <c r="M6738" i="1" a="1"/>
  <c r="M6738" i="1" s="1"/>
  <c r="N6738" i="1" a="1"/>
  <c r="N6738" i="1" s="1"/>
  <c r="I6738" i="1" a="1"/>
  <c r="I6738" i="1" s="1"/>
  <c r="J6738" i="1" a="1"/>
  <c r="J6738" i="1" s="1"/>
  <c r="I4471" i="1" a="1"/>
  <c r="I4471" i="1" s="1"/>
  <c r="K4471" i="1" a="1"/>
  <c r="K4471" i="1" s="1"/>
  <c r="C4472" i="1"/>
  <c r="H4471" i="1"/>
  <c r="O4471" i="1" a="1"/>
  <c r="O4471" i="1" s="1"/>
  <c r="J6739" i="1" l="1" a="1"/>
  <c r="J6739" i="1" s="1"/>
  <c r="N6739" i="1" a="1"/>
  <c r="N6739" i="1" s="1"/>
  <c r="R6739" i="1" a="1"/>
  <c r="R6739" i="1" s="1"/>
  <c r="K6739" i="1" a="1"/>
  <c r="K6739" i="1" s="1"/>
  <c r="O6739" i="1" a="1"/>
  <c r="O6739" i="1" s="1"/>
  <c r="S6739" i="1" a="1"/>
  <c r="S6739" i="1" s="1"/>
  <c r="B6740" i="1"/>
  <c r="L6739" i="1" a="1"/>
  <c r="L6739" i="1" s="1"/>
  <c r="P6739" i="1" a="1"/>
  <c r="P6739" i="1" s="1"/>
  <c r="Q6739" i="1" a="1"/>
  <c r="Q6739" i="1" s="1"/>
  <c r="M6739" i="1" a="1"/>
  <c r="M6739" i="1" s="1"/>
  <c r="A6739" i="1"/>
  <c r="H6738" i="1"/>
  <c r="L4474" i="1" a="1"/>
  <c r="L4474" i="1" s="1"/>
  <c r="I4472" i="1" a="1"/>
  <c r="I4472" i="1" s="1"/>
  <c r="K4472" i="1" a="1"/>
  <c r="K4472" i="1" s="1"/>
  <c r="H4472" i="1"/>
  <c r="O4472" i="1" a="1"/>
  <c r="O4472" i="1" s="1"/>
  <c r="B6741" i="1" l="1"/>
  <c r="M6740" i="1" a="1"/>
  <c r="M6740" i="1" s="1"/>
  <c r="Q6740" i="1" a="1"/>
  <c r="Q6740" i="1" s="1"/>
  <c r="J6740" i="1" a="1"/>
  <c r="J6740" i="1" s="1"/>
  <c r="N6740" i="1" a="1"/>
  <c r="N6740" i="1" s="1"/>
  <c r="R6740" i="1" a="1"/>
  <c r="R6740" i="1" s="1"/>
  <c r="O6740" i="1" a="1"/>
  <c r="O6740" i="1" s="1"/>
  <c r="L6740" i="1" a="1"/>
  <c r="L6740" i="1" s="1"/>
  <c r="K6740" i="1" a="1"/>
  <c r="K6740" i="1" s="1"/>
  <c r="S6740" i="1" a="1"/>
  <c r="S6740" i="1" s="1"/>
  <c r="P6740" i="1" a="1"/>
  <c r="P6740" i="1" s="1"/>
  <c r="H6739" i="1"/>
  <c r="A6740" i="1"/>
  <c r="I6739" i="1" a="1"/>
  <c r="I6739" i="1" s="1"/>
  <c r="I4473" i="1" a="1"/>
  <c r="I4473" i="1" s="1"/>
  <c r="K4473" i="1" a="1"/>
  <c r="K4473" i="1" s="1"/>
  <c r="H4473" i="1"/>
  <c r="O4473" i="1" a="1"/>
  <c r="O4473" i="1" s="1"/>
  <c r="H6740" i="1" l="1"/>
  <c r="A6741" i="1"/>
  <c r="I6740" i="1" a="1"/>
  <c r="I6740" i="1" s="1"/>
  <c r="L6741" i="1" a="1"/>
  <c r="L6741" i="1" s="1"/>
  <c r="P6741" i="1" a="1"/>
  <c r="P6741" i="1" s="1"/>
  <c r="B6742" i="1"/>
  <c r="I6741" i="1" a="1"/>
  <c r="I6741" i="1" s="1"/>
  <c r="M6741" i="1" a="1"/>
  <c r="M6741" i="1" s="1"/>
  <c r="Q6741" i="1" a="1"/>
  <c r="Q6741" i="1" s="1"/>
  <c r="J6741" i="1" a="1"/>
  <c r="J6741" i="1" s="1"/>
  <c r="R6741" i="1" a="1"/>
  <c r="R6741" i="1" s="1"/>
  <c r="K6741" i="1" a="1"/>
  <c r="K6741" i="1" s="1"/>
  <c r="N6741" i="1" a="1"/>
  <c r="N6741" i="1" s="1"/>
  <c r="O6741" i="1" a="1"/>
  <c r="O6741" i="1" s="1"/>
  <c r="S6741" i="1" a="1"/>
  <c r="S6741" i="1" s="1"/>
  <c r="I4474" i="1" a="1"/>
  <c r="I4474" i="1" s="1"/>
  <c r="K4474" i="1" a="1"/>
  <c r="K4474" i="1" s="1"/>
  <c r="C4475" i="1"/>
  <c r="H4474" i="1"/>
  <c r="O4474" i="1" a="1"/>
  <c r="O4474" i="1" s="1"/>
  <c r="K6742" i="1" l="1" a="1"/>
  <c r="K6742" i="1" s="1"/>
  <c r="O6742" i="1" a="1"/>
  <c r="O6742" i="1" s="1"/>
  <c r="S6742" i="1" a="1"/>
  <c r="S6742" i="1" s="1"/>
  <c r="L6742" i="1" a="1"/>
  <c r="L6742" i="1" s="1"/>
  <c r="P6742" i="1" a="1"/>
  <c r="P6742" i="1" s="1"/>
  <c r="B6743" i="1"/>
  <c r="M6742" i="1" a="1"/>
  <c r="M6742" i="1" s="1"/>
  <c r="N6742" i="1" a="1"/>
  <c r="N6742" i="1" s="1"/>
  <c r="R6742" i="1" a="1"/>
  <c r="R6742" i="1" s="1"/>
  <c r="J6742" i="1" a="1"/>
  <c r="J6742" i="1" s="1"/>
  <c r="Q6742" i="1" a="1"/>
  <c r="Q6742" i="1" s="1"/>
  <c r="A6742" i="1"/>
  <c r="I6742" i="1" s="1" a="1"/>
  <c r="I6742" i="1" s="1"/>
  <c r="H6741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6743" i="1" l="1" a="1"/>
  <c r="J6743" i="1" s="1"/>
  <c r="N6743" i="1" a="1"/>
  <c r="N6743" i="1" s="1"/>
  <c r="R6743" i="1" a="1"/>
  <c r="R6743" i="1" s="1"/>
  <c r="K6743" i="1" a="1"/>
  <c r="K6743" i="1" s="1"/>
  <c r="O6743" i="1" a="1"/>
  <c r="O6743" i="1" s="1"/>
  <c r="S6743" i="1" a="1"/>
  <c r="S6743" i="1" s="1"/>
  <c r="B6744" i="1"/>
  <c r="P6743" i="1" a="1"/>
  <c r="P6743" i="1" s="1"/>
  <c r="Q6743" i="1" a="1"/>
  <c r="Q6743" i="1" s="1"/>
  <c r="L6743" i="1" a="1"/>
  <c r="L6743" i="1" s="1"/>
  <c r="M6743" i="1" a="1"/>
  <c r="M6743" i="1" s="1"/>
  <c r="A6743" i="1"/>
  <c r="H6742" i="1"/>
  <c r="I4476" i="1" a="1"/>
  <c r="I4476" i="1" s="1"/>
  <c r="K4476" i="1" a="1"/>
  <c r="K4476" i="1" s="1"/>
  <c r="L4477" i="1" a="1"/>
  <c r="L4477" i="1" s="1"/>
  <c r="H4476" i="1"/>
  <c r="O4476" i="1" a="1"/>
  <c r="O4476" i="1" s="1"/>
  <c r="B6745" i="1" l="1"/>
  <c r="J6744" i="1" a="1"/>
  <c r="J6744" i="1" s="1"/>
  <c r="M6744" i="1" a="1"/>
  <c r="M6744" i="1" s="1"/>
  <c r="Q6744" i="1" a="1"/>
  <c r="Q6744" i="1" s="1"/>
  <c r="N6744" i="1" a="1"/>
  <c r="N6744" i="1" s="1"/>
  <c r="R6744" i="1" a="1"/>
  <c r="R6744" i="1" s="1"/>
  <c r="S6744" i="1" a="1"/>
  <c r="S6744" i="1" s="1"/>
  <c r="K6744" i="1" a="1"/>
  <c r="K6744" i="1" s="1"/>
  <c r="O6744" i="1" a="1"/>
  <c r="O6744" i="1" s="1"/>
  <c r="P6744" i="1" a="1"/>
  <c r="P6744" i="1" s="1"/>
  <c r="L6744" i="1" a="1"/>
  <c r="L6744" i="1" s="1"/>
  <c r="H6743" i="1"/>
  <c r="A6744" i="1"/>
  <c r="I6743" i="1" a="1"/>
  <c r="I6743" i="1" s="1"/>
  <c r="I4477" i="1" a="1"/>
  <c r="I4477" i="1" s="1"/>
  <c r="K4477" i="1" a="1"/>
  <c r="K4477" i="1" s="1"/>
  <c r="C4478" i="1"/>
  <c r="H4477" i="1"/>
  <c r="O4477" i="1" a="1"/>
  <c r="O4477" i="1" s="1"/>
  <c r="H6744" i="1" l="1"/>
  <c r="A6745" i="1"/>
  <c r="I6744" i="1" a="1"/>
  <c r="I6744" i="1" s="1"/>
  <c r="L6745" i="1" a="1"/>
  <c r="L6745" i="1" s="1"/>
  <c r="P6745" i="1" a="1"/>
  <c r="P6745" i="1" s="1"/>
  <c r="B6746" i="1"/>
  <c r="M6745" i="1" a="1"/>
  <c r="M6745" i="1" s="1"/>
  <c r="I6745" i="1" a="1"/>
  <c r="I6745" i="1" s="1"/>
  <c r="Q6745" i="1" a="1"/>
  <c r="Q6745" i="1" s="1"/>
  <c r="N6745" i="1" a="1"/>
  <c r="N6745" i="1" s="1"/>
  <c r="S6745" i="1" a="1"/>
  <c r="S6745" i="1" s="1"/>
  <c r="J6745" i="1" a="1"/>
  <c r="J6745" i="1" s="1"/>
  <c r="K6745" i="1" a="1"/>
  <c r="K6745" i="1" s="1"/>
  <c r="R6745" i="1" a="1"/>
  <c r="R6745" i="1" s="1"/>
  <c r="O6745" i="1" a="1"/>
  <c r="O6745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A6746" i="1" l="1"/>
  <c r="H6745" i="1"/>
  <c r="K6746" i="1" a="1"/>
  <c r="K6746" i="1" s="1"/>
  <c r="O6746" i="1" a="1"/>
  <c r="O6746" i="1" s="1"/>
  <c r="S6746" i="1" a="1"/>
  <c r="S6746" i="1" s="1"/>
  <c r="L6746" i="1" a="1"/>
  <c r="L6746" i="1" s="1"/>
  <c r="P6746" i="1" a="1"/>
  <c r="P6746" i="1" s="1"/>
  <c r="B6747" i="1"/>
  <c r="I6746" i="1" a="1"/>
  <c r="I6746" i="1" s="1"/>
  <c r="Q6746" i="1" a="1"/>
  <c r="Q6746" i="1" s="1"/>
  <c r="J6746" i="1" a="1"/>
  <c r="J6746" i="1" s="1"/>
  <c r="N6746" i="1" a="1"/>
  <c r="N6746" i="1" s="1"/>
  <c r="M6746" i="1" a="1"/>
  <c r="M6746" i="1" s="1"/>
  <c r="R6746" i="1" a="1"/>
  <c r="R6746" i="1" s="1"/>
  <c r="I4479" i="1" a="1"/>
  <c r="I4479" i="1" s="1"/>
  <c r="K4479" i="1" a="1"/>
  <c r="K4479" i="1" s="1"/>
  <c r="L4480" i="1" a="1"/>
  <c r="L4480" i="1" s="1"/>
  <c r="H4479" i="1"/>
  <c r="O4479" i="1" a="1"/>
  <c r="O4479" i="1" s="1"/>
  <c r="J6747" i="1" l="1" a="1"/>
  <c r="J6747" i="1" s="1"/>
  <c r="N6747" i="1" a="1"/>
  <c r="N6747" i="1" s="1"/>
  <c r="R6747" i="1" a="1"/>
  <c r="R6747" i="1" s="1"/>
  <c r="K6747" i="1" a="1"/>
  <c r="K6747" i="1" s="1"/>
  <c r="O6747" i="1" a="1"/>
  <c r="O6747" i="1" s="1"/>
  <c r="S6747" i="1" a="1"/>
  <c r="S6747" i="1" s="1"/>
  <c r="B6748" i="1"/>
  <c r="L6747" i="1" a="1"/>
  <c r="L6747" i="1" s="1"/>
  <c r="M6747" i="1" a="1"/>
  <c r="M6747" i="1" s="1"/>
  <c r="Q6747" i="1" a="1"/>
  <c r="Q6747" i="1" s="1"/>
  <c r="P6747" i="1" a="1"/>
  <c r="P6747" i="1" s="1"/>
  <c r="A6747" i="1"/>
  <c r="I6747" i="1" s="1" a="1"/>
  <c r="I6747" i="1" s="1"/>
  <c r="H6746" i="1"/>
  <c r="I4480" i="1" a="1"/>
  <c r="I4480" i="1" s="1"/>
  <c r="K4480" i="1" a="1"/>
  <c r="K4480" i="1" s="1"/>
  <c r="L4481" i="1" a="1"/>
  <c r="L4481" i="1" s="1"/>
  <c r="H4480" i="1"/>
  <c r="O4480" i="1" a="1"/>
  <c r="O4480" i="1" s="1"/>
  <c r="B6749" i="1" l="1"/>
  <c r="M6748" i="1" a="1"/>
  <c r="M6748" i="1" s="1"/>
  <c r="Q6748" i="1" a="1"/>
  <c r="Q6748" i="1" s="1"/>
  <c r="J6748" i="1" a="1"/>
  <c r="J6748" i="1" s="1"/>
  <c r="N6748" i="1" a="1"/>
  <c r="N6748" i="1" s="1"/>
  <c r="R6748" i="1" a="1"/>
  <c r="R6748" i="1" s="1"/>
  <c r="O6748" i="1" a="1"/>
  <c r="O6748" i="1" s="1"/>
  <c r="K6748" i="1" a="1"/>
  <c r="K6748" i="1" s="1"/>
  <c r="P6748" i="1" a="1"/>
  <c r="P6748" i="1" s="1"/>
  <c r="S6748" i="1" a="1"/>
  <c r="S6748" i="1" s="1"/>
  <c r="L6748" i="1" a="1"/>
  <c r="L6748" i="1" s="1"/>
  <c r="H6747" i="1"/>
  <c r="A6748" i="1"/>
  <c r="I4481" i="1" a="1"/>
  <c r="I4481" i="1" s="1"/>
  <c r="K4481" i="1" a="1"/>
  <c r="K4481" i="1" s="1"/>
  <c r="C4482" i="1"/>
  <c r="H4481" i="1"/>
  <c r="O4481" i="1" a="1"/>
  <c r="O4481" i="1" s="1"/>
  <c r="H6748" i="1" l="1"/>
  <c r="A6749" i="1"/>
  <c r="I6748" i="1" a="1"/>
  <c r="I6748" i="1" s="1"/>
  <c r="I6749" i="1" a="1"/>
  <c r="I6749" i="1" s="1"/>
  <c r="L6749" i="1" a="1"/>
  <c r="L6749" i="1" s="1"/>
  <c r="P6749" i="1" a="1"/>
  <c r="P6749" i="1" s="1"/>
  <c r="B6750" i="1"/>
  <c r="Q6749" i="1" a="1"/>
  <c r="Q6749" i="1" s="1"/>
  <c r="M6749" i="1" a="1"/>
  <c r="M6749" i="1" s="1"/>
  <c r="R6749" i="1" a="1"/>
  <c r="R6749" i="1" s="1"/>
  <c r="J6749" i="1" a="1"/>
  <c r="J6749" i="1" s="1"/>
  <c r="S6749" i="1" a="1"/>
  <c r="S6749" i="1" s="1"/>
  <c r="N6749" i="1" a="1"/>
  <c r="N6749" i="1" s="1"/>
  <c r="O6749" i="1" a="1"/>
  <c r="O6749" i="1" s="1"/>
  <c r="K6749" i="1" a="1"/>
  <c r="K6749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P6750" i="1" l="1" a="1"/>
  <c r="P6750" i="1" s="1"/>
  <c r="K6750" i="1" a="1"/>
  <c r="K6750" i="1" s="1"/>
  <c r="O6750" i="1" a="1"/>
  <c r="O6750" i="1" s="1"/>
  <c r="S6750" i="1" a="1"/>
  <c r="S6750" i="1" s="1"/>
  <c r="L6750" i="1" a="1"/>
  <c r="L6750" i="1" s="1"/>
  <c r="B6751" i="1"/>
  <c r="J6750" i="1" a="1"/>
  <c r="J6750" i="1" s="1"/>
  <c r="M6750" i="1" a="1"/>
  <c r="M6750" i="1" s="1"/>
  <c r="R6750" i="1" a="1"/>
  <c r="R6750" i="1" s="1"/>
  <c r="Q6750" i="1" a="1"/>
  <c r="Q6750" i="1" s="1"/>
  <c r="N6750" i="1" a="1"/>
  <c r="N6750" i="1" s="1"/>
  <c r="A6750" i="1"/>
  <c r="H6749" i="1"/>
  <c r="I4483" i="1" a="1"/>
  <c r="I4483" i="1" s="1"/>
  <c r="K4483" i="1" a="1"/>
  <c r="K4483" i="1" s="1"/>
  <c r="L4484" i="1" a="1"/>
  <c r="L4484" i="1" s="1"/>
  <c r="H4483" i="1"/>
  <c r="O4483" i="1" a="1"/>
  <c r="O4483" i="1" s="1"/>
  <c r="J6751" i="1" l="1" a="1"/>
  <c r="J6751" i="1" s="1"/>
  <c r="N6751" i="1" a="1"/>
  <c r="N6751" i="1" s="1"/>
  <c r="R6751" i="1" a="1"/>
  <c r="R6751" i="1" s="1"/>
  <c r="O6751" i="1" a="1"/>
  <c r="O6751" i="1" s="1"/>
  <c r="S6751" i="1" a="1"/>
  <c r="S6751" i="1" s="1"/>
  <c r="K6751" i="1" a="1"/>
  <c r="K6751" i="1" s="1"/>
  <c r="B6752" i="1"/>
  <c r="I6751" i="1" a="1"/>
  <c r="I6751" i="1" s="1"/>
  <c r="L6751" i="1" a="1"/>
  <c r="L6751" i="1" s="1"/>
  <c r="M6751" i="1" a="1"/>
  <c r="M6751" i="1" s="1"/>
  <c r="P6751" i="1" a="1"/>
  <c r="P6751" i="1" s="1"/>
  <c r="Q6751" i="1" a="1"/>
  <c r="Q6751" i="1" s="1"/>
  <c r="A6751" i="1"/>
  <c r="H6750" i="1"/>
  <c r="I6750" i="1" a="1"/>
  <c r="I6750" i="1" s="1"/>
  <c r="I4484" i="1" a="1"/>
  <c r="I4484" i="1" s="1"/>
  <c r="K4484" i="1" a="1"/>
  <c r="K4484" i="1" s="1"/>
  <c r="C4485" i="1"/>
  <c r="H4484" i="1"/>
  <c r="O4484" i="1" a="1"/>
  <c r="O4484" i="1" s="1"/>
  <c r="H6751" i="1" l="1"/>
  <c r="A6752" i="1"/>
  <c r="B6753" i="1"/>
  <c r="J6752" i="1" a="1"/>
  <c r="J6752" i="1" s="1"/>
  <c r="I6752" i="1" a="1"/>
  <c r="I6752" i="1" s="1"/>
  <c r="M6752" i="1" a="1"/>
  <c r="M6752" i="1" s="1"/>
  <c r="Q6752" i="1" a="1"/>
  <c r="Q6752" i="1" s="1"/>
  <c r="R6752" i="1" a="1"/>
  <c r="R6752" i="1" s="1"/>
  <c r="N6752" i="1" a="1"/>
  <c r="N6752" i="1" s="1"/>
  <c r="K6752" i="1" a="1"/>
  <c r="K6752" i="1" s="1"/>
  <c r="S6752" i="1" a="1"/>
  <c r="S6752" i="1" s="1"/>
  <c r="L6752" i="1" a="1"/>
  <c r="L6752" i="1" s="1"/>
  <c r="P6752" i="1" a="1"/>
  <c r="P6752" i="1" s="1"/>
  <c r="O6752" i="1" a="1"/>
  <c r="O6752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M6753" i="1" l="1" a="1"/>
  <c r="M6753" i="1" s="1"/>
  <c r="L6753" i="1" a="1"/>
  <c r="L6753" i="1" s="1"/>
  <c r="P6753" i="1" a="1"/>
  <c r="P6753" i="1" s="1"/>
  <c r="Q6753" i="1" a="1"/>
  <c r="Q6753" i="1" s="1"/>
  <c r="B6754" i="1"/>
  <c r="N6753" i="1" a="1"/>
  <c r="N6753" i="1" s="1"/>
  <c r="J6753" i="1" a="1"/>
  <c r="J6753" i="1" s="1"/>
  <c r="O6753" i="1" a="1"/>
  <c r="O6753" i="1" s="1"/>
  <c r="R6753" i="1" a="1"/>
  <c r="R6753" i="1" s="1"/>
  <c r="K6753" i="1" a="1"/>
  <c r="K6753" i="1" s="1"/>
  <c r="S6753" i="1" a="1"/>
  <c r="S6753" i="1" s="1"/>
  <c r="H6752" i="1"/>
  <c r="A6753" i="1"/>
  <c r="I4486" i="1" a="1"/>
  <c r="I4486" i="1" s="1"/>
  <c r="K4486" i="1" a="1"/>
  <c r="K4486" i="1" s="1"/>
  <c r="L4487" i="1" a="1"/>
  <c r="L4487" i="1" s="1"/>
  <c r="H4486" i="1"/>
  <c r="O4486" i="1" a="1"/>
  <c r="O4486" i="1" s="1"/>
  <c r="A6754" i="1" l="1"/>
  <c r="H6753" i="1"/>
  <c r="I6753" i="1" a="1"/>
  <c r="I6753" i="1" s="1"/>
  <c r="P6754" i="1" a="1"/>
  <c r="P6754" i="1" s="1"/>
  <c r="K6754" i="1" a="1"/>
  <c r="K6754" i="1" s="1"/>
  <c r="O6754" i="1" a="1"/>
  <c r="O6754" i="1" s="1"/>
  <c r="S6754" i="1" a="1"/>
  <c r="S6754" i="1" s="1"/>
  <c r="L6754" i="1" a="1"/>
  <c r="L6754" i="1" s="1"/>
  <c r="B6755" i="1"/>
  <c r="J6754" i="1" a="1"/>
  <c r="J6754" i="1" s="1"/>
  <c r="Q6754" i="1" a="1"/>
  <c r="Q6754" i="1" s="1"/>
  <c r="M6754" i="1" a="1"/>
  <c r="M6754" i="1" s="1"/>
  <c r="R6754" i="1" a="1"/>
  <c r="R6754" i="1" s="1"/>
  <c r="N6754" i="1" a="1"/>
  <c r="N6754" i="1" s="1"/>
  <c r="I6754" i="1" a="1"/>
  <c r="I6754" i="1" s="1"/>
  <c r="I4487" i="1" a="1"/>
  <c r="I4487" i="1" s="1"/>
  <c r="K4487" i="1" a="1"/>
  <c r="K4487" i="1" s="1"/>
  <c r="L4488" i="1" a="1"/>
  <c r="L4488" i="1" s="1"/>
  <c r="H4487" i="1"/>
  <c r="O4487" i="1" a="1"/>
  <c r="O4487" i="1" s="1"/>
  <c r="S6755" i="1" l="1" a="1"/>
  <c r="S6755" i="1" s="1"/>
  <c r="J6755" i="1" a="1"/>
  <c r="J6755" i="1" s="1"/>
  <c r="N6755" i="1" a="1"/>
  <c r="N6755" i="1" s="1"/>
  <c r="R6755" i="1" a="1"/>
  <c r="R6755" i="1" s="1"/>
  <c r="K6755" i="1" a="1"/>
  <c r="K6755" i="1" s="1"/>
  <c r="O6755" i="1" a="1"/>
  <c r="O6755" i="1" s="1"/>
  <c r="I6755" i="1" a="1"/>
  <c r="I6755" i="1" s="1"/>
  <c r="B6756" i="1"/>
  <c r="L6755" i="1" a="1"/>
  <c r="L6755" i="1" s="1"/>
  <c r="M6755" i="1" a="1"/>
  <c r="M6755" i="1" s="1"/>
  <c r="Q6755" i="1" a="1"/>
  <c r="Q6755" i="1" s="1"/>
  <c r="P6755" i="1" a="1"/>
  <c r="P6755" i="1" s="1"/>
  <c r="A6755" i="1"/>
  <c r="H6754" i="1"/>
  <c r="I4488" i="1" a="1"/>
  <c r="I4488" i="1" s="1"/>
  <c r="K4488" i="1" a="1"/>
  <c r="K4488" i="1" s="1"/>
  <c r="H4488" i="1"/>
  <c r="O4488" i="1" a="1"/>
  <c r="O4488" i="1" s="1"/>
  <c r="B6757" i="1" l="1"/>
  <c r="M6756" i="1" a="1"/>
  <c r="M6756" i="1" s="1"/>
  <c r="Q6756" i="1" a="1"/>
  <c r="Q6756" i="1" s="1"/>
  <c r="R6756" i="1" a="1"/>
  <c r="R6756" i="1" s="1"/>
  <c r="N6756" i="1" a="1"/>
  <c r="N6756" i="1" s="1"/>
  <c r="J6756" i="1" a="1"/>
  <c r="J6756" i="1" s="1"/>
  <c r="P6756" i="1" a="1"/>
  <c r="P6756" i="1" s="1"/>
  <c r="S6756" i="1" a="1"/>
  <c r="S6756" i="1" s="1"/>
  <c r="K6756" i="1" a="1"/>
  <c r="K6756" i="1" s="1"/>
  <c r="O6756" i="1" a="1"/>
  <c r="O6756" i="1" s="1"/>
  <c r="L6756" i="1" a="1"/>
  <c r="L6756" i="1" s="1"/>
  <c r="H6755" i="1"/>
  <c r="A6756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H6756" i="1" l="1"/>
  <c r="A6757" i="1"/>
  <c r="I6756" i="1" a="1"/>
  <c r="I6756" i="1" s="1"/>
  <c r="I6757" i="1" a="1"/>
  <c r="I6757" i="1" s="1"/>
  <c r="L6757" i="1" a="1"/>
  <c r="L6757" i="1" s="1"/>
  <c r="P6757" i="1" a="1"/>
  <c r="P6757" i="1" s="1"/>
  <c r="B6758" i="1"/>
  <c r="M6757" i="1" a="1"/>
  <c r="M6757" i="1" s="1"/>
  <c r="Q6757" i="1" a="1"/>
  <c r="Q6757" i="1" s="1"/>
  <c r="J6757" i="1" a="1"/>
  <c r="J6757" i="1" s="1"/>
  <c r="K6757" i="1" a="1"/>
  <c r="K6757" i="1" s="1"/>
  <c r="N6757" i="1" a="1"/>
  <c r="N6757" i="1" s="1"/>
  <c r="O6757" i="1" a="1"/>
  <c r="O6757" i="1" s="1"/>
  <c r="R6757" i="1" a="1"/>
  <c r="R6757" i="1" s="1"/>
  <c r="S6757" i="1" a="1"/>
  <c r="S6757" i="1" s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P6758" i="1" l="1" a="1"/>
  <c r="P6758" i="1" s="1"/>
  <c r="K6758" i="1" a="1"/>
  <c r="K6758" i="1" s="1"/>
  <c r="O6758" i="1" a="1"/>
  <c r="O6758" i="1" s="1"/>
  <c r="S6758" i="1" a="1"/>
  <c r="S6758" i="1" s="1"/>
  <c r="L6758" i="1" a="1"/>
  <c r="L6758" i="1" s="1"/>
  <c r="B6759" i="1"/>
  <c r="M6758" i="1" a="1"/>
  <c r="M6758" i="1" s="1"/>
  <c r="N6758" i="1" a="1"/>
  <c r="N6758" i="1" s="1"/>
  <c r="Q6758" i="1" a="1"/>
  <c r="Q6758" i="1" s="1"/>
  <c r="J6758" i="1" a="1"/>
  <c r="J6758" i="1" s="1"/>
  <c r="R6758" i="1" a="1"/>
  <c r="R6758" i="1" s="1"/>
  <c r="A6758" i="1"/>
  <c r="H6757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J6759" i="1" l="1" a="1"/>
  <c r="J6759" i="1" s="1"/>
  <c r="N6759" i="1" a="1"/>
  <c r="N6759" i="1" s="1"/>
  <c r="R6759" i="1" a="1"/>
  <c r="R6759" i="1" s="1"/>
  <c r="K6759" i="1" a="1"/>
  <c r="K6759" i="1" s="1"/>
  <c r="O6759" i="1" a="1"/>
  <c r="O6759" i="1" s="1"/>
  <c r="S6759" i="1" a="1"/>
  <c r="S6759" i="1" s="1"/>
  <c r="I6759" i="1" a="1"/>
  <c r="I6759" i="1" s="1"/>
  <c r="B6760" i="1"/>
  <c r="M6759" i="1" a="1"/>
  <c r="M6759" i="1" s="1"/>
  <c r="P6759" i="1" a="1"/>
  <c r="P6759" i="1" s="1"/>
  <c r="L6759" i="1" a="1"/>
  <c r="L6759" i="1" s="1"/>
  <c r="Q6759" i="1" a="1"/>
  <c r="Q6759" i="1" s="1"/>
  <c r="A6759" i="1"/>
  <c r="H6758" i="1"/>
  <c r="I6758" i="1" a="1"/>
  <c r="I6758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6760" i="1" l="1"/>
  <c r="I6760" i="1" s="1" a="1"/>
  <c r="I6760" i="1" s="1"/>
  <c r="H6759" i="1"/>
  <c r="B6761" i="1"/>
  <c r="J6760" i="1" a="1"/>
  <c r="J6760" i="1" s="1"/>
  <c r="M6760" i="1" a="1"/>
  <c r="M6760" i="1" s="1"/>
  <c r="Q6760" i="1" a="1"/>
  <c r="Q6760" i="1" s="1"/>
  <c r="N6760" i="1" a="1"/>
  <c r="N6760" i="1" s="1"/>
  <c r="R6760" i="1" a="1"/>
  <c r="R6760" i="1" s="1"/>
  <c r="S6760" i="1" a="1"/>
  <c r="S6760" i="1" s="1"/>
  <c r="K6760" i="1" a="1"/>
  <c r="K6760" i="1" s="1"/>
  <c r="L6760" i="1" a="1"/>
  <c r="L6760" i="1" s="1"/>
  <c r="P6760" i="1" a="1"/>
  <c r="P6760" i="1" s="1"/>
  <c r="O6760" i="1" a="1"/>
  <c r="O6760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6762" i="1" l="1"/>
  <c r="M6761" i="1" a="1"/>
  <c r="M6761" i="1" s="1"/>
  <c r="L6761" i="1" a="1"/>
  <c r="L6761" i="1" s="1"/>
  <c r="P6761" i="1" a="1"/>
  <c r="P6761" i="1" s="1"/>
  <c r="Q6761" i="1" a="1"/>
  <c r="Q6761" i="1" s="1"/>
  <c r="O6761" i="1" a="1"/>
  <c r="O6761" i="1" s="1"/>
  <c r="J6761" i="1" a="1"/>
  <c r="J6761" i="1" s="1"/>
  <c r="R6761" i="1" a="1"/>
  <c r="R6761" i="1" s="1"/>
  <c r="S6761" i="1" a="1"/>
  <c r="S6761" i="1" s="1"/>
  <c r="N6761" i="1" a="1"/>
  <c r="N6761" i="1" s="1"/>
  <c r="K6761" i="1" a="1"/>
  <c r="K6761" i="1" s="1"/>
  <c r="H6760" i="1"/>
  <c r="A6761" i="1"/>
  <c r="I6761" i="1" s="1" a="1"/>
  <c r="I6761" i="1" s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6761" i="1" l="1"/>
  <c r="A6762" i="1"/>
  <c r="P6762" i="1" a="1"/>
  <c r="P6762" i="1" s="1"/>
  <c r="K6762" i="1" a="1"/>
  <c r="K6762" i="1" s="1"/>
  <c r="O6762" i="1" a="1"/>
  <c r="O6762" i="1" s="1"/>
  <c r="S6762" i="1" a="1"/>
  <c r="S6762" i="1" s="1"/>
  <c r="L6762" i="1" a="1"/>
  <c r="L6762" i="1" s="1"/>
  <c r="B6763" i="1"/>
  <c r="N6762" i="1" a="1"/>
  <c r="N6762" i="1" s="1"/>
  <c r="Q6762" i="1" a="1"/>
  <c r="Q6762" i="1" s="1"/>
  <c r="M6762" i="1" a="1"/>
  <c r="M6762" i="1" s="1"/>
  <c r="J6762" i="1" a="1"/>
  <c r="J6762" i="1" s="1"/>
  <c r="R6762" i="1" a="1"/>
  <c r="R6762" i="1" s="1"/>
  <c r="J4534" i="1" a="1"/>
  <c r="J4534" i="1" s="1"/>
  <c r="S6763" i="1" l="1" a="1"/>
  <c r="S6763" i="1" s="1"/>
  <c r="J6763" i="1" a="1"/>
  <c r="J6763" i="1" s="1"/>
  <c r="N6763" i="1" a="1"/>
  <c r="N6763" i="1" s="1"/>
  <c r="R6763" i="1" a="1"/>
  <c r="R6763" i="1" s="1"/>
  <c r="O6763" i="1" a="1"/>
  <c r="O6763" i="1" s="1"/>
  <c r="K6763" i="1" a="1"/>
  <c r="K6763" i="1" s="1"/>
  <c r="L6763" i="1" a="1"/>
  <c r="L6763" i="1" s="1"/>
  <c r="P6763" i="1" a="1"/>
  <c r="P6763" i="1" s="1"/>
  <c r="M6763" i="1" a="1"/>
  <c r="M6763" i="1" s="1"/>
  <c r="B6764" i="1"/>
  <c r="Q6763" i="1" a="1"/>
  <c r="Q6763" i="1" s="1"/>
  <c r="A6763" i="1"/>
  <c r="H6762" i="1"/>
  <c r="I6762" i="1" a="1"/>
  <c r="I6762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H6763" i="1" l="1"/>
  <c r="A6764" i="1"/>
  <c r="I6764" i="1" s="1" a="1"/>
  <c r="I6764" i="1" s="1"/>
  <c r="B6765" i="1"/>
  <c r="M6764" i="1" a="1"/>
  <c r="M6764" i="1" s="1"/>
  <c r="Q6764" i="1" a="1"/>
  <c r="Q6764" i="1" s="1"/>
  <c r="R6764" i="1" a="1"/>
  <c r="R6764" i="1" s="1"/>
  <c r="N6764" i="1" a="1"/>
  <c r="N6764" i="1" s="1"/>
  <c r="J6764" i="1" a="1"/>
  <c r="J6764" i="1" s="1"/>
  <c r="O6764" i="1" a="1"/>
  <c r="O6764" i="1" s="1"/>
  <c r="K6764" i="1" a="1"/>
  <c r="K6764" i="1" s="1"/>
  <c r="L6764" i="1" a="1"/>
  <c r="L6764" i="1" s="1"/>
  <c r="S6764" i="1" a="1"/>
  <c r="S6764" i="1" s="1"/>
  <c r="P6764" i="1" a="1"/>
  <c r="P6764" i="1" s="1"/>
  <c r="I6763" i="1" a="1"/>
  <c r="I6763" i="1" s="1"/>
  <c r="J4597" i="1" a="1"/>
  <c r="J4597" i="1" s="1"/>
  <c r="L6765" i="1" l="1" a="1"/>
  <c r="L6765" i="1" s="1"/>
  <c r="P6765" i="1" a="1"/>
  <c r="P6765" i="1" s="1"/>
  <c r="B6766" i="1"/>
  <c r="Q6765" i="1" a="1"/>
  <c r="Q6765" i="1" s="1"/>
  <c r="M6765" i="1" a="1"/>
  <c r="M6765" i="1" s="1"/>
  <c r="R6765" i="1" a="1"/>
  <c r="R6765" i="1" s="1"/>
  <c r="O6765" i="1" a="1"/>
  <c r="O6765" i="1" s="1"/>
  <c r="J6765" i="1" a="1"/>
  <c r="J6765" i="1" s="1"/>
  <c r="S6765" i="1" a="1"/>
  <c r="S6765" i="1" s="1"/>
  <c r="K6765" i="1" a="1"/>
  <c r="K6765" i="1" s="1"/>
  <c r="N6765" i="1" a="1"/>
  <c r="N6765" i="1" s="1"/>
  <c r="H6764" i="1"/>
  <c r="A6765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6766" i="1" l="1"/>
  <c r="H6765" i="1"/>
  <c r="K6766" i="1" a="1"/>
  <c r="K6766" i="1" s="1"/>
  <c r="O6766" i="1" a="1"/>
  <c r="O6766" i="1" s="1"/>
  <c r="S6766" i="1" a="1"/>
  <c r="S6766" i="1" s="1"/>
  <c r="L6766" i="1" a="1"/>
  <c r="L6766" i="1" s="1"/>
  <c r="P6766" i="1" a="1"/>
  <c r="P6766" i="1" s="1"/>
  <c r="B6767" i="1"/>
  <c r="N6766" i="1" a="1"/>
  <c r="N6766" i="1" s="1"/>
  <c r="R6766" i="1" a="1"/>
  <c r="R6766" i="1" s="1"/>
  <c r="Q6766" i="1" a="1"/>
  <c r="Q6766" i="1" s="1"/>
  <c r="J6766" i="1" a="1"/>
  <c r="J6766" i="1" s="1"/>
  <c r="I6766" i="1" a="1"/>
  <c r="I6766" i="1" s="1"/>
  <c r="M6766" i="1" a="1"/>
  <c r="M6766" i="1" s="1"/>
  <c r="I6765" i="1" a="1"/>
  <c r="I6765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S6767" i="1" l="1" a="1"/>
  <c r="S6767" i="1" s="1"/>
  <c r="J6767" i="1" a="1"/>
  <c r="J6767" i="1" s="1"/>
  <c r="N6767" i="1" a="1"/>
  <c r="N6767" i="1" s="1"/>
  <c r="R6767" i="1" a="1"/>
  <c r="R6767" i="1" s="1"/>
  <c r="K6767" i="1" a="1"/>
  <c r="K6767" i="1" s="1"/>
  <c r="O6767" i="1" a="1"/>
  <c r="O6767" i="1" s="1"/>
  <c r="M6767" i="1" a="1"/>
  <c r="M6767" i="1" s="1"/>
  <c r="B6768" i="1"/>
  <c r="L6767" i="1" a="1"/>
  <c r="L6767" i="1" s="1"/>
  <c r="P6767" i="1" a="1"/>
  <c r="P6767" i="1" s="1"/>
  <c r="Q6767" i="1" a="1"/>
  <c r="Q6767" i="1" s="1"/>
  <c r="A6767" i="1"/>
  <c r="H6766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B6769" i="1" l="1"/>
  <c r="M6768" i="1" a="1"/>
  <c r="M6768" i="1" s="1"/>
  <c r="Q6768" i="1" a="1"/>
  <c r="Q6768" i="1" s="1"/>
  <c r="J6768" i="1" a="1"/>
  <c r="J6768" i="1" s="1"/>
  <c r="R6768" i="1" a="1"/>
  <c r="R6768" i="1" s="1"/>
  <c r="N6768" i="1" a="1"/>
  <c r="N6768" i="1" s="1"/>
  <c r="K6768" i="1" a="1"/>
  <c r="K6768" i="1" s="1"/>
  <c r="O6768" i="1" a="1"/>
  <c r="O6768" i="1" s="1"/>
  <c r="S6768" i="1" a="1"/>
  <c r="S6768" i="1" s="1"/>
  <c r="L6768" i="1" a="1"/>
  <c r="L6768" i="1" s="1"/>
  <c r="P6768" i="1" a="1"/>
  <c r="P6768" i="1" s="1"/>
  <c r="H6767" i="1"/>
  <c r="A6768" i="1"/>
  <c r="I6767" i="1" a="1"/>
  <c r="I6767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H6768" i="1" l="1"/>
  <c r="A6769" i="1"/>
  <c r="I6768" i="1" a="1"/>
  <c r="I6768" i="1" s="1"/>
  <c r="I6769" i="1" a="1"/>
  <c r="I6769" i="1" s="1"/>
  <c r="L6769" i="1" a="1"/>
  <c r="L6769" i="1" s="1"/>
  <c r="P6769" i="1" a="1"/>
  <c r="P6769" i="1" s="1"/>
  <c r="B6770" i="1"/>
  <c r="M6769" i="1" a="1"/>
  <c r="M6769" i="1" s="1"/>
  <c r="Q6769" i="1" a="1"/>
  <c r="Q6769" i="1" s="1"/>
  <c r="J6769" i="1" a="1"/>
  <c r="J6769" i="1" s="1"/>
  <c r="S6769" i="1" a="1"/>
  <c r="S6769" i="1" s="1"/>
  <c r="K6769" i="1" a="1"/>
  <c r="K6769" i="1" s="1"/>
  <c r="N6769" i="1" a="1"/>
  <c r="N6769" i="1" s="1"/>
  <c r="R6769" i="1" a="1"/>
  <c r="R6769" i="1" s="1"/>
  <c r="O6769" i="1" a="1"/>
  <c r="O6769" i="1" s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K6770" i="1" l="1" a="1"/>
  <c r="K6770" i="1" s="1"/>
  <c r="O6770" i="1" a="1"/>
  <c r="O6770" i="1" s="1"/>
  <c r="S6770" i="1" a="1"/>
  <c r="S6770" i="1" s="1"/>
  <c r="L6770" i="1" a="1"/>
  <c r="L6770" i="1" s="1"/>
  <c r="P6770" i="1" a="1"/>
  <c r="P6770" i="1" s="1"/>
  <c r="Q6770" i="1" a="1"/>
  <c r="Q6770" i="1" s="1"/>
  <c r="J6770" i="1" a="1"/>
  <c r="J6770" i="1" s="1"/>
  <c r="M6770" i="1" a="1"/>
  <c r="M6770" i="1" s="1"/>
  <c r="R6770" i="1" a="1"/>
  <c r="R6770" i="1" s="1"/>
  <c r="N6770" i="1" a="1"/>
  <c r="N6770" i="1" s="1"/>
  <c r="A6770" i="1"/>
  <c r="H6770" i="1" s="1"/>
  <c r="H6769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6770" i="1" l="1" a="1"/>
  <c r="I6770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<sst xmlns="http://schemas.openxmlformats.org/spreadsheetml/2006/main" count="61618" uniqueCount="26">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</sst>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6770"/>
  <sheetViews>
    <sheetView zoomScale="90" zoomScaleNormal="90" workbookViewId="0">
      <pane ySplit="1" topLeftCell="A6418" activePane="bottomLeft" state="frozen"/>
      <selection pane="bottomLeft" activeCell="D6419" sqref="D641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C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:C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C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C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C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C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C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C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C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C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C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C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C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C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C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C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:C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C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C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:C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C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C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C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C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C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C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C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C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C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C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C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C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C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C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:C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C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:C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:C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:C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:C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C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C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C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C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C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C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C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C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C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C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C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C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C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C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:C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C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C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C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C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C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C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:C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:C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:C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:C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C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:C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C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:C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:C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C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616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:C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C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C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C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C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C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C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C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C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C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C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C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C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C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C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C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C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C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C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C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C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C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C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C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:C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C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C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C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C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C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C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C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C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C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C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tr">
        <f t="shared" ref="A6419:C6419" si="1308">B6418</f>
        <v>Northern Cardinal</v>
      </c>
      <c r="C6419" s="6">
        <v>0.28333333333333333</v>
      </c>
      <c r="D6419" s="5"/>
      <c r="E6419" s="5"/>
      <c r="F6419" s="5" t="s">
        <v>8</v>
      </c>
      <c r="G6419" s="15" t="s">
        <v>9</v>
      </c>
      <c r="H6419" s="24">
        <f t="shared" si="1251"/>
        <v>788.00000000162981</v>
      </c>
      <c r="I6419" s="24" cm="1">
        <f t="array" ref="I6419">IFERROR(IF($B6419=I$1, ($A6419+$C6419) - MAX(IF($B$2:$B6418=$B6419, $A$2:$A6418+$C$2:$C6418)), "")*24*60, "")</f>
        <v>788.00000000162981</v>
      </c>
      <c r="J6419" s="24" t="str" cm="1">
        <f t="array" ref="J6419">IFERROR(IF($B6419=J$1, ($A6419+$C6419) - MAX(IF($B$2:$B6418=$B6419, $A$2:$A6418+$C$2:$C6418)), "")*24*60, "")</f>
        <v/>
      </c>
      <c r="K6419" s="24" t="str" cm="1">
        <f t="array" ref="K6419">IFERROR(IF($B6419=K$1, ($A6419+$C6419) - MAX(IF($B$2:$B6418=$B6419, $A$2:$A6418+$C$2:$C6418)), "")*24*60, "")</f>
        <v/>
      </c>
      <c r="L6419" s="24" t="str" cm="1">
        <f t="array" ref="L6419">IFERROR(IF($B6419=L$1, ($A6419+$C6419) - MAX(IF($B$2:$B6418=$B6419, $A$2:$A6418+$C$2:$C6418)), "")*24*60, "")</f>
        <v/>
      </c>
      <c r="M6419" s="24" t="str" cm="1">
        <f t="array" ref="M6419">IFERROR(IF($B6419=M$1, ($A6419+$C6419) - MAX(IF($B$2:$B6418=$B6419, $A$2:$A6418+$C$2:$C6418)), "")*24*60, "")</f>
        <v/>
      </c>
      <c r="N6419" s="24" t="str" cm="1">
        <f t="array" ref="N6419">IFERROR(IF($B6419=N$1, ($A6419+$C6419) - MAX(IF($B$2:$B6418=$B6419, $A$2:$A6418+$C$2:$C6418)), "")*24*60, "")</f>
        <v/>
      </c>
      <c r="O6419" s="24" t="str" cm="1">
        <f t="array" ref="O6419">IFERROR(IF($B6419=O$1, ($A6419+$C6419) - MAX(IF($B$2:$B6418=$B6419, $A$2:$A6418+$C$2:$C6418)), "")*24*60, "")</f>
        <v/>
      </c>
      <c r="P6419" s="24" t="str" cm="1">
        <f t="array" ref="P6419">IFERROR(IF($B6419=P$1, ($A6419+$C6419) - MAX(IF($B$2:$B6418=$B6419, $A$2:$A6418+$C$2:$C6418)), "")*24*60, "")</f>
        <v/>
      </c>
      <c r="Q6419" s="24" t="str" cm="1">
        <f t="array" ref="Q6419">IFERROR(IF($B6419=Q$1, ($A6419+$C6419) - MAX(IF($B$2:$B6418=$B6419, $A$2:$A6418+$C$2:$C6418)), "")*24*60, "")</f>
        <v/>
      </c>
      <c r="R6419" s="24" t="str" cm="1">
        <f t="array" ref="R6419">IFERROR(IF($B6419=R$1, ($A6419+$C6419) - MAX(IF($B$2:$B6418=$B6419, $A$2:$A6418+$C$2:$C6418)), "")*24*60, "")</f>
        <v/>
      </c>
      <c r="S6419" s="24" t="str" cm="1">
        <f t="array" ref="S6419">IFERROR(IF($B6419=S$1, ($A6419+$C6419) - MAX(IF($B$2:$B6418=$B6419, $A$2:$A6418+$C$2:$C6418)), "")*24*60, "")</f>
        <v/>
      </c>
    </row>
    <row r="6420" spans="1:19" x14ac:dyDescent="0.2">
      <c r="A6420" s="12">
        <f t="shared" ref="A6420:C6420" si="1309">A6419</f>
        <v>45990</v>
      </c>
      <c r="B6420" s="5" t="str">
        <f t="shared" si="1309"/>
        <v>Northern Cardinal</v>
      </c>
      <c r="C6420" s="6">
        <f t="shared" si="1309"/>
        <v>0.28333333333333333</v>
      </c>
      <c r="D6420" s="5"/>
      <c r="E6420" s="5"/>
      <c r="F6420" s="5" t="s">
        <v>8</v>
      </c>
      <c r="G6420" s="15" t="s">
        <v>9</v>
      </c>
      <c r="H6420" s="24">
        <f t="shared" si="1251"/>
        <v>0</v>
      </c>
      <c r="I6420" s="24" cm="1">
        <f t="array" ref="I6420">IFERROR(IF($B6420=I$1, ($A6420+$C6420) - MAX(IF($B$2:$B6419=$B6420, $A$2:$A6419+$C$2:$C6419)), "")*24*60, "")</f>
        <v>0</v>
      </c>
      <c r="J6420" s="24" t="str" cm="1">
        <f t="array" ref="J6420">IFERROR(IF($B6420=J$1, ($A6420+$C6420) - MAX(IF($B$2:$B6419=$B6420, $A$2:$A6419+$C$2:$C6419)), "")*24*60, "")</f>
        <v/>
      </c>
      <c r="K6420" s="24" t="str" cm="1">
        <f t="array" ref="K6420">IFERROR(IF($B6420=K$1, ($A6420+$C6420) - MAX(IF($B$2:$B6419=$B6420, $A$2:$A6419+$C$2:$C6419)), "")*24*60, "")</f>
        <v/>
      </c>
      <c r="L6420" s="24" t="str" cm="1">
        <f t="array" ref="L6420">IFERROR(IF($B6420=L$1, ($A6420+$C6420) - MAX(IF($B$2:$B6419=$B6420, $A$2:$A6419+$C$2:$C6419)), "")*24*60, "")</f>
        <v/>
      </c>
      <c r="M6420" s="24" t="str" cm="1">
        <f t="array" ref="M6420">IFERROR(IF($B6420=M$1, ($A6420+$C6420) - MAX(IF($B$2:$B6419=$B6420, $A$2:$A6419+$C$2:$C6419)), "")*24*60, "")</f>
        <v/>
      </c>
      <c r="N6420" s="24" t="str" cm="1">
        <f t="array" ref="N6420">IFERROR(IF($B6420=N$1, ($A6420+$C6420) - MAX(IF($B$2:$B6419=$B6420, $A$2:$A6419+$C$2:$C6419)), "")*24*60, "")</f>
        <v/>
      </c>
      <c r="O6420" s="24" t="str" cm="1">
        <f t="array" ref="O6420">IFERROR(IF($B6420=O$1, ($A6420+$C6420) - MAX(IF($B$2:$B6419=$B6420, $A$2:$A6419+$C$2:$C6419)), "")*24*60, "")</f>
        <v/>
      </c>
      <c r="P6420" s="24" t="str" cm="1">
        <f t="array" ref="P6420">IFERROR(IF($B6420=P$1, ($A6420+$C6420) - MAX(IF($B$2:$B6419=$B6420, $A$2:$A6419+$C$2:$C6419)), "")*24*60, "")</f>
        <v/>
      </c>
      <c r="Q6420" s="24" t="str" cm="1">
        <f t="array" ref="Q6420">IFERROR(IF($B6420=Q$1, ($A6420+$C6420) - MAX(IF($B$2:$B6419=$B6420, $A$2:$A6419+$C$2:$C6419)), "")*24*60, "")</f>
        <v/>
      </c>
      <c r="R6420" s="24" t="str" cm="1">
        <f t="array" ref="R6420">IFERROR(IF($B6420=R$1, ($A6420+$C6420) - MAX(IF($B$2:$B6419=$B6420, $A$2:$A6419+$C$2:$C6419)), "")*24*60, "")</f>
        <v/>
      </c>
      <c r="S6420" s="24" t="str" cm="1">
        <f t="array" ref="S6420">IFERROR(IF($B6420=S$1, ($A6420+$C6420) - MAX(IF($B$2:$B6419=$B6420, $A$2:$A6419+$C$2:$C6419)), "")*24*60, "")</f>
        <v/>
      </c>
    </row>
    <row r="6421" spans="1:19" x14ac:dyDescent="0.2">
      <c r="A6421" s="12">
        <f t="shared" ref="A6421:C6421" si="1310">A6420</f>
        <v>45990</v>
      </c>
      <c r="B6421" s="5" t="str">
        <f t="shared" si="1310"/>
        <v>Northern Cardinal</v>
      </c>
      <c r="C6421" s="6">
        <f t="shared" si="1310"/>
        <v>0.28333333333333333</v>
      </c>
      <c r="D6421" s="5"/>
      <c r="E6421" s="5"/>
      <c r="F6421" s="5" t="s">
        <v>8</v>
      </c>
      <c r="G6421" s="15" t="s">
        <v>9</v>
      </c>
      <c r="H6421" s="24">
        <f t="shared" si="1251"/>
        <v>0</v>
      </c>
      <c r="I6421" s="24" cm="1">
        <f t="array" ref="I6421">IFERROR(IF($B6421=I$1, ($A6421+$C6421) - MAX(IF($B$2:$B6420=$B6421, $A$2:$A6420+$C$2:$C6420)), "")*24*60, "")</f>
        <v>0</v>
      </c>
      <c r="J6421" s="24" t="str" cm="1">
        <f t="array" ref="J6421">IFERROR(IF($B6421=J$1, ($A6421+$C6421) - MAX(IF($B$2:$B6420=$B6421, $A$2:$A6420+$C$2:$C6420)), "")*24*60, "")</f>
        <v/>
      </c>
      <c r="K6421" s="24" t="str" cm="1">
        <f t="array" ref="K6421">IFERROR(IF($B6421=K$1, ($A6421+$C6421) - MAX(IF($B$2:$B6420=$B6421, $A$2:$A6420+$C$2:$C6420)), "")*24*60, "")</f>
        <v/>
      </c>
      <c r="L6421" s="24" t="str" cm="1">
        <f t="array" ref="L6421">IFERROR(IF($B6421=L$1, ($A6421+$C6421) - MAX(IF($B$2:$B6420=$B6421, $A$2:$A6420+$C$2:$C6420)), "")*24*60, "")</f>
        <v/>
      </c>
      <c r="M6421" s="24" t="str" cm="1">
        <f t="array" ref="M6421">IFERROR(IF($B6421=M$1, ($A6421+$C6421) - MAX(IF($B$2:$B6420=$B6421, $A$2:$A6420+$C$2:$C6420)), "")*24*60, "")</f>
        <v/>
      </c>
      <c r="N6421" s="24" t="str" cm="1">
        <f t="array" ref="N6421">IFERROR(IF($B6421=N$1, ($A6421+$C6421) - MAX(IF($B$2:$B6420=$B6421, $A$2:$A6420+$C$2:$C6420)), "")*24*60, "")</f>
        <v/>
      </c>
      <c r="O6421" s="24" t="str" cm="1">
        <f t="array" ref="O6421">IFERROR(IF($B6421=O$1, ($A6421+$C6421) - MAX(IF($B$2:$B6420=$B6421, $A$2:$A6420+$C$2:$C6420)), "")*24*60, "")</f>
        <v/>
      </c>
      <c r="P6421" s="24" t="str" cm="1">
        <f t="array" ref="P6421">IFERROR(IF($B6421=P$1, ($A6421+$C6421) - MAX(IF($B$2:$B6420=$B6421, $A$2:$A6420+$C$2:$C6420)), "")*24*60, "")</f>
        <v/>
      </c>
      <c r="Q6421" s="24" t="str" cm="1">
        <f t="array" ref="Q6421">IFERROR(IF($B6421=Q$1, ($A6421+$C6421) - MAX(IF($B$2:$B6420=$B6421, $A$2:$A6420+$C$2:$C6420)), "")*24*60, "")</f>
        <v/>
      </c>
      <c r="R6421" s="24" t="str" cm="1">
        <f t="array" ref="R6421">IFERROR(IF($B6421=R$1, ($A6421+$C6421) - MAX(IF($B$2:$B6420=$B6421, $A$2:$A6420+$C$2:$C6420)), "")*24*60, "")</f>
        <v/>
      </c>
      <c r="S6421" s="24" t="str" cm="1">
        <f t="array" ref="S6421">IFERROR(IF($B6421=S$1, ($A6421+$C6421) - MAX(IF($B$2:$B6420=$B6421, $A$2:$A6420+$C$2:$C6420)), "")*24*60, "")</f>
        <v/>
      </c>
    </row>
    <row r="6422" spans="1:19" x14ac:dyDescent="0.2">
      <c r="A6422" s="12">
        <f t="shared" ref="A6422:C6422" si="1311">A6421</f>
        <v>45990</v>
      </c>
      <c r="B6422" s="5" t="str">
        <f t="shared" si="1311"/>
        <v>Northern Cardinal</v>
      </c>
      <c r="C6422" s="6">
        <f t="shared" si="1311"/>
        <v>0.28333333333333333</v>
      </c>
      <c r="D6422" s="5"/>
      <c r="E6422" s="5"/>
      <c r="F6422" s="5" t="s">
        <v>8</v>
      </c>
      <c r="G6422" s="15" t="s">
        <v>9</v>
      </c>
      <c r="H6422" s="24">
        <f t="shared" si="1251"/>
        <v>0</v>
      </c>
      <c r="I6422" s="24" cm="1">
        <f t="array" ref="I6422">IFERROR(IF($B6422=I$1, ($A6422+$C6422) - MAX(IF($B$2:$B6421=$B6422, $A$2:$A6421+$C$2:$C6421)), "")*24*60, "")</f>
        <v>0</v>
      </c>
      <c r="J6422" s="24" t="str" cm="1">
        <f t="array" ref="J6422">IFERROR(IF($B6422=J$1, ($A6422+$C6422) - MAX(IF($B$2:$B6421=$B6422, $A$2:$A6421+$C$2:$C6421)), "")*24*60, "")</f>
        <v/>
      </c>
      <c r="K6422" s="24" t="str" cm="1">
        <f t="array" ref="K6422">IFERROR(IF($B6422=K$1, ($A6422+$C6422) - MAX(IF($B$2:$B6421=$B6422, $A$2:$A6421+$C$2:$C6421)), "")*24*60, "")</f>
        <v/>
      </c>
      <c r="L6422" s="24" t="str" cm="1">
        <f t="array" ref="L6422">IFERROR(IF($B6422=L$1, ($A6422+$C6422) - MAX(IF($B$2:$B6421=$B6422, $A$2:$A6421+$C$2:$C6421)), "")*24*60, "")</f>
        <v/>
      </c>
      <c r="M6422" s="24" t="str" cm="1">
        <f t="array" ref="M6422">IFERROR(IF($B6422=M$1, ($A6422+$C6422) - MAX(IF($B$2:$B6421=$B6422, $A$2:$A6421+$C$2:$C6421)), "")*24*60, "")</f>
        <v/>
      </c>
      <c r="N6422" s="24" t="str" cm="1">
        <f t="array" ref="N6422">IFERROR(IF($B6422=N$1, ($A6422+$C6422) - MAX(IF($B$2:$B6421=$B6422, $A$2:$A6421+$C$2:$C6421)), "")*24*60, "")</f>
        <v/>
      </c>
      <c r="O6422" s="24" t="str" cm="1">
        <f t="array" ref="O6422">IFERROR(IF($B6422=O$1, ($A6422+$C6422) - MAX(IF($B$2:$B6421=$B6422, $A$2:$A6421+$C$2:$C6421)), "")*24*60, "")</f>
        <v/>
      </c>
      <c r="P6422" s="24" t="str" cm="1">
        <f t="array" ref="P6422">IFERROR(IF($B6422=P$1, ($A6422+$C6422) - MAX(IF($B$2:$B6421=$B6422, $A$2:$A6421+$C$2:$C6421)), "")*24*60, "")</f>
        <v/>
      </c>
      <c r="Q6422" s="24" t="str" cm="1">
        <f t="array" ref="Q6422">IFERROR(IF($B6422=Q$1, ($A6422+$C6422) - MAX(IF($B$2:$B6421=$B6422, $A$2:$A6421+$C$2:$C6421)), "")*24*60, "")</f>
        <v/>
      </c>
      <c r="R6422" s="24" t="str" cm="1">
        <f t="array" ref="R6422">IFERROR(IF($B6422=R$1, ($A6422+$C6422) - MAX(IF($B$2:$B6421=$B6422, $A$2:$A6421+$C$2:$C6421)), "")*24*60, "")</f>
        <v/>
      </c>
      <c r="S6422" s="24" t="str" cm="1">
        <f t="array" ref="S6422">IFERROR(IF($B6422=S$1, ($A6422+$C6422) - MAX(IF($B$2:$B6421=$B6422, $A$2:$A6421+$C$2:$C6421)), "")*24*60, "")</f>
        <v/>
      </c>
    </row>
    <row r="6423" spans="1:19" x14ac:dyDescent="0.2">
      <c r="A6423" s="12">
        <f t="shared" ref="A6423:C6423" si="1312">A6422</f>
        <v>45990</v>
      </c>
      <c r="B6423" s="5" t="str">
        <f t="shared" si="1312"/>
        <v>Northern Cardinal</v>
      </c>
      <c r="C6423" s="6">
        <f t="shared" si="1312"/>
        <v>0.28333333333333333</v>
      </c>
      <c r="D6423" s="5"/>
      <c r="E6423" s="5"/>
      <c r="F6423" s="5" t="s">
        <v>8</v>
      </c>
      <c r="G6423" s="15" t="s">
        <v>9</v>
      </c>
      <c r="H6423" s="24">
        <f t="shared" si="1251"/>
        <v>0</v>
      </c>
      <c r="I6423" s="24" cm="1">
        <f t="array" ref="I6423">IFERROR(IF($B6423=I$1, ($A6423+$C6423) - MAX(IF($B$2:$B6422=$B6423, $A$2:$A6422+$C$2:$C6422)), "")*24*60, "")</f>
        <v>0</v>
      </c>
      <c r="J6423" s="24" t="str" cm="1">
        <f t="array" ref="J6423">IFERROR(IF($B6423=J$1, ($A6423+$C6423) - MAX(IF($B$2:$B6422=$B6423, $A$2:$A6422+$C$2:$C6422)), "")*24*60, "")</f>
        <v/>
      </c>
      <c r="K6423" s="24" t="str" cm="1">
        <f t="array" ref="K6423">IFERROR(IF($B6423=K$1, ($A6423+$C6423) - MAX(IF($B$2:$B6422=$B6423, $A$2:$A6422+$C$2:$C6422)), "")*24*60, "")</f>
        <v/>
      </c>
      <c r="L6423" s="24" t="str" cm="1">
        <f t="array" ref="L6423">IFERROR(IF($B6423=L$1, ($A6423+$C6423) - MAX(IF($B$2:$B6422=$B6423, $A$2:$A6422+$C$2:$C6422)), "")*24*60, "")</f>
        <v/>
      </c>
      <c r="M6423" s="24" t="str" cm="1">
        <f t="array" ref="M6423">IFERROR(IF($B6423=M$1, ($A6423+$C6423) - MAX(IF($B$2:$B6422=$B6423, $A$2:$A6422+$C$2:$C6422)), "")*24*60, "")</f>
        <v/>
      </c>
      <c r="N6423" s="24" t="str" cm="1">
        <f t="array" ref="N6423">IFERROR(IF($B6423=N$1, ($A6423+$C6423) - MAX(IF($B$2:$B6422=$B6423, $A$2:$A6422+$C$2:$C6422)), "")*24*60, "")</f>
        <v/>
      </c>
      <c r="O6423" s="24" t="str" cm="1">
        <f t="array" ref="O6423">IFERROR(IF($B6423=O$1, ($A6423+$C6423) - MAX(IF($B$2:$B6422=$B6423, $A$2:$A6422+$C$2:$C6422)), "")*24*60, "")</f>
        <v/>
      </c>
      <c r="P6423" s="24" t="str" cm="1">
        <f t="array" ref="P6423">IFERROR(IF($B6423=P$1, ($A6423+$C6423) - MAX(IF($B$2:$B6422=$B6423, $A$2:$A6422+$C$2:$C6422)), "")*24*60, "")</f>
        <v/>
      </c>
      <c r="Q6423" s="24" t="str" cm="1">
        <f t="array" ref="Q6423">IFERROR(IF($B6423=Q$1, ($A6423+$C6423) - MAX(IF($B$2:$B6422=$B6423, $A$2:$A6422+$C$2:$C6422)), "")*24*60, "")</f>
        <v/>
      </c>
      <c r="R6423" s="24" t="str" cm="1">
        <f t="array" ref="R6423">IFERROR(IF($B6423=R$1, ($A6423+$C6423) - MAX(IF($B$2:$B6422=$B6423, $A$2:$A6422+$C$2:$C6422)), "")*24*60, "")</f>
        <v/>
      </c>
      <c r="S6423" s="24" t="str" cm="1">
        <f t="array" ref="S6423">IFERROR(IF($B6423=S$1, ($A6423+$C6423) - MAX(IF($B$2:$B6422=$B6423, $A$2:$A6422+$C$2:$C6422)), "")*24*60, "")</f>
        <v/>
      </c>
    </row>
    <row r="6424" spans="1:19" x14ac:dyDescent="0.2">
      <c r="A6424" s="12">
        <f t="shared" ref="A6424:C6424" si="1313">A6423</f>
        <v>45990</v>
      </c>
      <c r="B6424" s="5" t="str">
        <f t="shared" si="1313"/>
        <v>Northern Cardinal</v>
      </c>
      <c r="C6424" s="6">
        <f t="shared" si="1313"/>
        <v>0.28333333333333333</v>
      </c>
      <c r="D6424" s="5"/>
      <c r="E6424" s="5"/>
      <c r="F6424" s="5" t="s">
        <v>8</v>
      </c>
      <c r="G6424" s="15" t="s">
        <v>9</v>
      </c>
      <c r="H6424" s="24">
        <f t="shared" si="1251"/>
        <v>0</v>
      </c>
      <c r="I6424" s="24" cm="1">
        <f t="array" ref="I6424">IFERROR(IF($B6424=I$1, ($A6424+$C6424) - MAX(IF($B$2:$B6423=$B6424, $A$2:$A6423+$C$2:$C6423)), "")*24*60, "")</f>
        <v>0</v>
      </c>
      <c r="J6424" s="24" t="str" cm="1">
        <f t="array" ref="J6424">IFERROR(IF($B6424=J$1, ($A6424+$C6424) - MAX(IF($B$2:$B6423=$B6424, $A$2:$A6423+$C$2:$C6423)), "")*24*60, "")</f>
        <v/>
      </c>
      <c r="K6424" s="24" t="str" cm="1">
        <f t="array" ref="K6424">IFERROR(IF($B6424=K$1, ($A6424+$C6424) - MAX(IF($B$2:$B6423=$B6424, $A$2:$A6423+$C$2:$C6423)), "")*24*60, "")</f>
        <v/>
      </c>
      <c r="L6424" s="24" t="str" cm="1">
        <f t="array" ref="L6424">IFERROR(IF($B6424=L$1, ($A6424+$C6424) - MAX(IF($B$2:$B6423=$B6424, $A$2:$A6423+$C$2:$C6423)), "")*24*60, "")</f>
        <v/>
      </c>
      <c r="M6424" s="24" t="str" cm="1">
        <f t="array" ref="M6424">IFERROR(IF($B6424=M$1, ($A6424+$C6424) - MAX(IF($B$2:$B6423=$B6424, $A$2:$A6423+$C$2:$C6423)), "")*24*60, "")</f>
        <v/>
      </c>
      <c r="N6424" s="24" t="str" cm="1">
        <f t="array" ref="N6424">IFERROR(IF($B6424=N$1, ($A6424+$C6424) - MAX(IF($B$2:$B6423=$B6424, $A$2:$A6423+$C$2:$C6423)), "")*24*60, "")</f>
        <v/>
      </c>
      <c r="O6424" s="24" t="str" cm="1">
        <f t="array" ref="O6424">IFERROR(IF($B6424=O$1, ($A6424+$C6424) - MAX(IF($B$2:$B6423=$B6424, $A$2:$A6423+$C$2:$C6423)), "")*24*60, "")</f>
        <v/>
      </c>
      <c r="P6424" s="24" t="str" cm="1">
        <f t="array" ref="P6424">IFERROR(IF($B6424=P$1, ($A6424+$C6424) - MAX(IF($B$2:$B6423=$B6424, $A$2:$A6423+$C$2:$C6423)), "")*24*60, "")</f>
        <v/>
      </c>
      <c r="Q6424" s="24" t="str" cm="1">
        <f t="array" ref="Q6424">IFERROR(IF($B6424=Q$1, ($A6424+$C6424) - MAX(IF($B$2:$B6423=$B6424, $A$2:$A6423+$C$2:$C6423)), "")*24*60, "")</f>
        <v/>
      </c>
      <c r="R6424" s="24" t="str" cm="1">
        <f t="array" ref="R6424">IFERROR(IF($B6424=R$1, ($A6424+$C6424) - MAX(IF($B$2:$B6423=$B6424, $A$2:$A6423+$C$2:$C6423)), "")*24*60, "")</f>
        <v/>
      </c>
      <c r="S6424" s="24" t="str" cm="1">
        <f t="array" ref="S6424">IFERROR(IF($B6424=S$1, ($A6424+$C6424) - MAX(IF($B$2:$B6423=$B6424, $A$2:$A6423+$C$2:$C6423)), "")*24*60, "")</f>
        <v/>
      </c>
    </row>
    <row r="6425" spans="1:19" x14ac:dyDescent="0.2">
      <c r="A6425" s="12">
        <f t="shared" ref="A6425:C6425" si="1314">A6424</f>
        <v>45990</v>
      </c>
      <c r="B6425" s="5" t="str">
        <f t="shared" si="1314"/>
        <v>Northern Cardinal</v>
      </c>
      <c r="C6425" s="6">
        <f t="shared" si="1314"/>
        <v>0.28333333333333333</v>
      </c>
      <c r="D6425" s="5"/>
      <c r="E6425" s="5"/>
      <c r="F6425" s="5" t="s">
        <v>8</v>
      </c>
      <c r="G6425" s="15" t="s">
        <v>9</v>
      </c>
      <c r="H6425" s="24">
        <f t="shared" si="1251"/>
        <v>0</v>
      </c>
      <c r="I6425" s="24" cm="1">
        <f t="array" ref="I6425">IFERROR(IF($B6425=I$1, ($A6425+$C6425) - MAX(IF($B$2:$B6424=$B6425, $A$2:$A6424+$C$2:$C6424)), "")*24*60, "")</f>
        <v>0</v>
      </c>
      <c r="J6425" s="24" t="str" cm="1">
        <f t="array" ref="J6425">IFERROR(IF($B6425=J$1, ($A6425+$C6425) - MAX(IF($B$2:$B6424=$B6425, $A$2:$A6424+$C$2:$C6424)), "")*24*60, "")</f>
        <v/>
      </c>
      <c r="K6425" s="24" t="str" cm="1">
        <f t="array" ref="K6425">IFERROR(IF($B6425=K$1, ($A6425+$C6425) - MAX(IF($B$2:$B6424=$B6425, $A$2:$A6424+$C$2:$C6424)), "")*24*60, "")</f>
        <v/>
      </c>
      <c r="L6425" s="24" t="str" cm="1">
        <f t="array" ref="L6425">IFERROR(IF($B6425=L$1, ($A6425+$C6425) - MAX(IF($B$2:$B6424=$B6425, $A$2:$A6424+$C$2:$C6424)), "")*24*60, "")</f>
        <v/>
      </c>
      <c r="M6425" s="24" t="str" cm="1">
        <f t="array" ref="M6425">IFERROR(IF($B6425=M$1, ($A6425+$C6425) - MAX(IF($B$2:$B6424=$B6425, $A$2:$A6424+$C$2:$C6424)), "")*24*60, "")</f>
        <v/>
      </c>
      <c r="N6425" s="24" t="str" cm="1">
        <f t="array" ref="N6425">IFERROR(IF($B6425=N$1, ($A6425+$C6425) - MAX(IF($B$2:$B6424=$B6425, $A$2:$A6424+$C$2:$C6424)), "")*24*60, "")</f>
        <v/>
      </c>
      <c r="O6425" s="24" t="str" cm="1">
        <f t="array" ref="O6425">IFERROR(IF($B6425=O$1, ($A6425+$C6425) - MAX(IF($B$2:$B6424=$B6425, $A$2:$A6424+$C$2:$C6424)), "")*24*60, "")</f>
        <v/>
      </c>
      <c r="P6425" s="24" t="str" cm="1">
        <f t="array" ref="P6425">IFERROR(IF($B6425=P$1, ($A6425+$C6425) - MAX(IF($B$2:$B6424=$B6425, $A$2:$A6424+$C$2:$C6424)), "")*24*60, "")</f>
        <v/>
      </c>
      <c r="Q6425" s="24" t="str" cm="1">
        <f t="array" ref="Q6425">IFERROR(IF($B6425=Q$1, ($A6425+$C6425) - MAX(IF($B$2:$B6424=$B6425, $A$2:$A6424+$C$2:$C6424)), "")*24*60, "")</f>
        <v/>
      </c>
      <c r="R6425" s="24" t="str" cm="1">
        <f t="array" ref="R6425">IFERROR(IF($B6425=R$1, ($A6425+$C6425) - MAX(IF($B$2:$B6424=$B6425, $A$2:$A6424+$C$2:$C6424)), "")*24*60, "")</f>
        <v/>
      </c>
      <c r="S6425" s="24" t="str" cm="1">
        <f t="array" ref="S6425">IFERROR(IF($B6425=S$1, ($A6425+$C6425) - MAX(IF($B$2:$B6424=$B6425, $A$2:$A6424+$C$2:$C6424)), "")*24*60, "")</f>
        <v/>
      </c>
    </row>
    <row r="6426" spans="1:19" x14ac:dyDescent="0.2">
      <c r="A6426" s="12">
        <f t="shared" ref="A6426:C6426" si="1315">A6425</f>
        <v>45990</v>
      </c>
      <c r="B6426" s="5" t="str">
        <f t="shared" si="1315"/>
        <v>Northern Cardinal</v>
      </c>
      <c r="C6426" s="6">
        <f t="shared" si="1315"/>
        <v>0.28333333333333333</v>
      </c>
      <c r="D6426" s="5"/>
      <c r="E6426" s="5"/>
      <c r="F6426" s="5" t="s">
        <v>8</v>
      </c>
      <c r="G6426" s="15" t="s">
        <v>9</v>
      </c>
      <c r="H6426" s="24">
        <f t="shared" si="1251"/>
        <v>0</v>
      </c>
      <c r="I6426" s="24" cm="1">
        <f t="array" ref="I6426">IFERROR(IF($B6426=I$1, ($A6426+$C6426) - MAX(IF($B$2:$B6425=$B6426, $A$2:$A6425+$C$2:$C6425)), "")*24*60, "")</f>
        <v>0</v>
      </c>
      <c r="J6426" s="24" t="str" cm="1">
        <f t="array" ref="J6426">IFERROR(IF($B6426=J$1, ($A6426+$C6426) - MAX(IF($B$2:$B6425=$B6426, $A$2:$A6425+$C$2:$C6425)), "")*24*60, "")</f>
        <v/>
      </c>
      <c r="K6426" s="24" t="str" cm="1">
        <f t="array" ref="K6426">IFERROR(IF($B6426=K$1, ($A6426+$C6426) - MAX(IF($B$2:$B6425=$B6426, $A$2:$A6425+$C$2:$C6425)), "")*24*60, "")</f>
        <v/>
      </c>
      <c r="L6426" s="24" t="str" cm="1">
        <f t="array" ref="L6426">IFERROR(IF($B6426=L$1, ($A6426+$C6426) - MAX(IF($B$2:$B6425=$B6426, $A$2:$A6425+$C$2:$C6425)), "")*24*60, "")</f>
        <v/>
      </c>
      <c r="M6426" s="24" t="str" cm="1">
        <f t="array" ref="M6426">IFERROR(IF($B6426=M$1, ($A6426+$C6426) - MAX(IF($B$2:$B6425=$B6426, $A$2:$A6425+$C$2:$C6425)), "")*24*60, "")</f>
        <v/>
      </c>
      <c r="N6426" s="24" t="str" cm="1">
        <f t="array" ref="N6426">IFERROR(IF($B6426=N$1, ($A6426+$C6426) - MAX(IF($B$2:$B6425=$B6426, $A$2:$A6425+$C$2:$C6425)), "")*24*60, "")</f>
        <v/>
      </c>
      <c r="O6426" s="24" t="str" cm="1">
        <f t="array" ref="O6426">IFERROR(IF($B6426=O$1, ($A6426+$C6426) - MAX(IF($B$2:$B6425=$B6426, $A$2:$A6425+$C$2:$C6425)), "")*24*60, "")</f>
        <v/>
      </c>
      <c r="P6426" s="24" t="str" cm="1">
        <f t="array" ref="P6426">IFERROR(IF($B6426=P$1, ($A6426+$C6426) - MAX(IF($B$2:$B6425=$B6426, $A$2:$A6425+$C$2:$C6425)), "")*24*60, "")</f>
        <v/>
      </c>
      <c r="Q6426" s="24" t="str" cm="1">
        <f t="array" ref="Q6426">IFERROR(IF($B6426=Q$1, ($A6426+$C6426) - MAX(IF($B$2:$B6425=$B6426, $A$2:$A6425+$C$2:$C6425)), "")*24*60, "")</f>
        <v/>
      </c>
      <c r="R6426" s="24" t="str" cm="1">
        <f t="array" ref="R6426">IFERROR(IF($B6426=R$1, ($A6426+$C6426) - MAX(IF($B$2:$B6425=$B6426, $A$2:$A6425+$C$2:$C6425)), "")*24*60, "")</f>
        <v/>
      </c>
      <c r="S6426" s="24" t="str" cm="1">
        <f t="array" ref="S6426">IFERROR(IF($B6426=S$1, ($A6426+$C6426) - MAX(IF($B$2:$B6425=$B6426, $A$2:$A6425+$C$2:$C6425)), "")*24*60, "")</f>
        <v/>
      </c>
    </row>
    <row r="6427" spans="1:19" x14ac:dyDescent="0.2">
      <c r="A6427" s="12">
        <f t="shared" ref="A6427:C6427" si="1316">A6426</f>
        <v>45990</v>
      </c>
      <c r="B6427" s="5" t="str">
        <f t="shared" si="1316"/>
        <v>Northern Cardinal</v>
      </c>
      <c r="C6427" s="6">
        <f t="shared" si="1316"/>
        <v>0.28333333333333333</v>
      </c>
      <c r="D6427" s="5"/>
      <c r="E6427" s="5"/>
      <c r="F6427" s="5" t="s">
        <v>8</v>
      </c>
      <c r="G6427" s="15" t="s">
        <v>9</v>
      </c>
      <c r="H6427" s="24">
        <f t="shared" si="1251"/>
        <v>0</v>
      </c>
      <c r="I6427" s="24" cm="1">
        <f t="array" ref="I6427">IFERROR(IF($B6427=I$1, ($A6427+$C6427) - MAX(IF($B$2:$B6426=$B6427, $A$2:$A6426+$C$2:$C6426)), "")*24*60, "")</f>
        <v>0</v>
      </c>
      <c r="J6427" s="24" t="str" cm="1">
        <f t="array" ref="J6427">IFERROR(IF($B6427=J$1, ($A6427+$C6427) - MAX(IF($B$2:$B6426=$B6427, $A$2:$A6426+$C$2:$C6426)), "")*24*60, "")</f>
        <v/>
      </c>
      <c r="K6427" s="24" t="str" cm="1">
        <f t="array" ref="K6427">IFERROR(IF($B6427=K$1, ($A6427+$C6427) - MAX(IF($B$2:$B6426=$B6427, $A$2:$A6426+$C$2:$C6426)), "")*24*60, "")</f>
        <v/>
      </c>
      <c r="L6427" s="24" t="str" cm="1">
        <f t="array" ref="L6427">IFERROR(IF($B6427=L$1, ($A6427+$C6427) - MAX(IF($B$2:$B6426=$B6427, $A$2:$A6426+$C$2:$C6426)), "")*24*60, "")</f>
        <v/>
      </c>
      <c r="M6427" s="24" t="str" cm="1">
        <f t="array" ref="M6427">IFERROR(IF($B6427=M$1, ($A6427+$C6427) - MAX(IF($B$2:$B6426=$B6427, $A$2:$A6426+$C$2:$C6426)), "")*24*60, "")</f>
        <v/>
      </c>
      <c r="N6427" s="24" t="str" cm="1">
        <f t="array" ref="N6427">IFERROR(IF($B6427=N$1, ($A6427+$C6427) - MAX(IF($B$2:$B6426=$B6427, $A$2:$A6426+$C$2:$C6426)), "")*24*60, "")</f>
        <v/>
      </c>
      <c r="O6427" s="24" t="str" cm="1">
        <f t="array" ref="O6427">IFERROR(IF($B6427=O$1, ($A6427+$C6427) - MAX(IF($B$2:$B6426=$B6427, $A$2:$A6426+$C$2:$C6426)), "")*24*60, "")</f>
        <v/>
      </c>
      <c r="P6427" s="24" t="str" cm="1">
        <f t="array" ref="P6427">IFERROR(IF($B6427=P$1, ($A6427+$C6427) - MAX(IF($B$2:$B6426=$B6427, $A$2:$A6426+$C$2:$C6426)), "")*24*60, "")</f>
        <v/>
      </c>
      <c r="Q6427" s="24" t="str" cm="1">
        <f t="array" ref="Q6427">IFERROR(IF($B6427=Q$1, ($A6427+$C6427) - MAX(IF($B$2:$B6426=$B6427, $A$2:$A6426+$C$2:$C6426)), "")*24*60, "")</f>
        <v/>
      </c>
      <c r="R6427" s="24" t="str" cm="1">
        <f t="array" ref="R6427">IFERROR(IF($B6427=R$1, ($A6427+$C6427) - MAX(IF($B$2:$B6426=$B6427, $A$2:$A6426+$C$2:$C6426)), "")*24*60, "")</f>
        <v/>
      </c>
      <c r="S6427" s="24" t="str" cm="1">
        <f t="array" ref="S6427">IFERROR(IF($B6427=S$1, ($A6427+$C6427) - MAX(IF($B$2:$B6426=$B6427, $A$2:$A6426+$C$2:$C6426)), "")*24*60, "")</f>
        <v/>
      </c>
    </row>
    <row r="6428" spans="1:19" x14ac:dyDescent="0.2">
      <c r="A6428" s="12">
        <f t="shared" ref="A6428:C6428" si="1317">A6427</f>
        <v>45990</v>
      </c>
      <c r="B6428" s="5" t="str">
        <f t="shared" si="1317"/>
        <v>Northern Cardinal</v>
      </c>
      <c r="C6428" s="6">
        <f t="shared" si="1317"/>
        <v>0.28333333333333333</v>
      </c>
      <c r="D6428" s="5"/>
      <c r="E6428" s="5"/>
      <c r="F6428" s="5" t="s">
        <v>8</v>
      </c>
      <c r="G6428" s="15" t="s">
        <v>9</v>
      </c>
      <c r="H6428" s="24">
        <f t="shared" si="1251"/>
        <v>0</v>
      </c>
      <c r="I6428" s="24" cm="1">
        <f t="array" ref="I6428">IFERROR(IF($B6428=I$1, ($A6428+$C6428) - MAX(IF($B$2:$B6427=$B6428, $A$2:$A6427+$C$2:$C6427)), "")*24*60, "")</f>
        <v>0</v>
      </c>
      <c r="J6428" s="24" t="str" cm="1">
        <f t="array" ref="J6428">IFERROR(IF($B6428=J$1, ($A6428+$C6428) - MAX(IF($B$2:$B6427=$B6428, $A$2:$A6427+$C$2:$C6427)), "")*24*60, "")</f>
        <v/>
      </c>
      <c r="K6428" s="24" t="str" cm="1">
        <f t="array" ref="K6428">IFERROR(IF($B6428=K$1, ($A6428+$C6428) - MAX(IF($B$2:$B6427=$B6428, $A$2:$A6427+$C$2:$C6427)), "")*24*60, "")</f>
        <v/>
      </c>
      <c r="L6428" s="24" t="str" cm="1">
        <f t="array" ref="L6428">IFERROR(IF($B6428=L$1, ($A6428+$C6428) - MAX(IF($B$2:$B6427=$B6428, $A$2:$A6427+$C$2:$C6427)), "")*24*60, "")</f>
        <v/>
      </c>
      <c r="M6428" s="24" t="str" cm="1">
        <f t="array" ref="M6428">IFERROR(IF($B6428=M$1, ($A6428+$C6428) - MAX(IF($B$2:$B6427=$B6428, $A$2:$A6427+$C$2:$C6427)), "")*24*60, "")</f>
        <v/>
      </c>
      <c r="N6428" s="24" t="str" cm="1">
        <f t="array" ref="N6428">IFERROR(IF($B6428=N$1, ($A6428+$C6428) - MAX(IF($B$2:$B6427=$B6428, $A$2:$A6427+$C$2:$C6427)), "")*24*60, "")</f>
        <v/>
      </c>
      <c r="O6428" s="24" t="str" cm="1">
        <f t="array" ref="O6428">IFERROR(IF($B6428=O$1, ($A6428+$C6428) - MAX(IF($B$2:$B6427=$B6428, $A$2:$A6427+$C$2:$C6427)), "")*24*60, "")</f>
        <v/>
      </c>
      <c r="P6428" s="24" t="str" cm="1">
        <f t="array" ref="P6428">IFERROR(IF($B6428=P$1, ($A6428+$C6428) - MAX(IF($B$2:$B6427=$B6428, $A$2:$A6427+$C$2:$C6427)), "")*24*60, "")</f>
        <v/>
      </c>
      <c r="Q6428" s="24" t="str" cm="1">
        <f t="array" ref="Q6428">IFERROR(IF($B6428=Q$1, ($A6428+$C6428) - MAX(IF($B$2:$B6427=$B6428, $A$2:$A6427+$C$2:$C6427)), "")*24*60, "")</f>
        <v/>
      </c>
      <c r="R6428" s="24" t="str" cm="1">
        <f t="array" ref="R6428">IFERROR(IF($B6428=R$1, ($A6428+$C6428) - MAX(IF($B$2:$B6427=$B6428, $A$2:$A6427+$C$2:$C6427)), "")*24*60, "")</f>
        <v/>
      </c>
      <c r="S6428" s="24" t="str" cm="1">
        <f t="array" ref="S6428">IFERROR(IF($B6428=S$1, ($A6428+$C6428) - MAX(IF($B$2:$B6427=$B6428, $A$2:$A6427+$C$2:$C6427)), "")*24*60, "")</f>
        <v/>
      </c>
    </row>
    <row r="6429" spans="1:19" x14ac:dyDescent="0.2">
      <c r="A6429" s="12">
        <f t="shared" ref="A6429:C6429" si="1318">A6428</f>
        <v>45990</v>
      </c>
      <c r="B6429" s="5" t="str">
        <f t="shared" si="1318"/>
        <v>Northern Cardinal</v>
      </c>
      <c r="C6429" s="6">
        <f t="shared" si="1318"/>
        <v>0.28333333333333333</v>
      </c>
      <c r="D6429" s="5"/>
      <c r="E6429" s="5"/>
      <c r="F6429" s="5" t="s">
        <v>8</v>
      </c>
      <c r="G6429" s="15" t="s">
        <v>9</v>
      </c>
      <c r="H6429" s="24">
        <f t="shared" si="1251"/>
        <v>0</v>
      </c>
      <c r="I6429" s="24" cm="1">
        <f t="array" ref="I6429">IFERROR(IF($B6429=I$1, ($A6429+$C6429) - MAX(IF($B$2:$B6428=$B6429, $A$2:$A6428+$C$2:$C6428)), "")*24*60, "")</f>
        <v>0</v>
      </c>
      <c r="J6429" s="24" t="str" cm="1">
        <f t="array" ref="J6429">IFERROR(IF($B6429=J$1, ($A6429+$C6429) - MAX(IF($B$2:$B6428=$B6429, $A$2:$A6428+$C$2:$C6428)), "")*24*60, "")</f>
        <v/>
      </c>
      <c r="K6429" s="24" t="str" cm="1">
        <f t="array" ref="K6429">IFERROR(IF($B6429=K$1, ($A6429+$C6429) - MAX(IF($B$2:$B6428=$B6429, $A$2:$A6428+$C$2:$C6428)), "")*24*60, "")</f>
        <v/>
      </c>
      <c r="L6429" s="24" t="str" cm="1">
        <f t="array" ref="L6429">IFERROR(IF($B6429=L$1, ($A6429+$C6429) - MAX(IF($B$2:$B6428=$B6429, $A$2:$A6428+$C$2:$C6428)), "")*24*60, "")</f>
        <v/>
      </c>
      <c r="M6429" s="24" t="str" cm="1">
        <f t="array" ref="M6429">IFERROR(IF($B6429=M$1, ($A6429+$C6429) - MAX(IF($B$2:$B6428=$B6429, $A$2:$A6428+$C$2:$C6428)), "")*24*60, "")</f>
        <v/>
      </c>
      <c r="N6429" s="24" t="str" cm="1">
        <f t="array" ref="N6429">IFERROR(IF($B6429=N$1, ($A6429+$C6429) - MAX(IF($B$2:$B6428=$B6429, $A$2:$A6428+$C$2:$C6428)), "")*24*60, "")</f>
        <v/>
      </c>
      <c r="O6429" s="24" t="str" cm="1">
        <f t="array" ref="O6429">IFERROR(IF($B6429=O$1, ($A6429+$C6429) - MAX(IF($B$2:$B6428=$B6429, $A$2:$A6428+$C$2:$C6428)), "")*24*60, "")</f>
        <v/>
      </c>
      <c r="P6429" s="24" t="str" cm="1">
        <f t="array" ref="P6429">IFERROR(IF($B6429=P$1, ($A6429+$C6429) - MAX(IF($B$2:$B6428=$B6429, $A$2:$A6428+$C$2:$C6428)), "")*24*60, "")</f>
        <v/>
      </c>
      <c r="Q6429" s="24" t="str" cm="1">
        <f t="array" ref="Q6429">IFERROR(IF($B6429=Q$1, ($A6429+$C6429) - MAX(IF($B$2:$B6428=$B6429, $A$2:$A6428+$C$2:$C6428)), "")*24*60, "")</f>
        <v/>
      </c>
      <c r="R6429" s="24" t="str" cm="1">
        <f t="array" ref="R6429">IFERROR(IF($B6429=R$1, ($A6429+$C6429) - MAX(IF($B$2:$B6428=$B6429, $A$2:$A6428+$C$2:$C6428)), "")*24*60, "")</f>
        <v/>
      </c>
      <c r="S6429" s="24" t="str" cm="1">
        <f t="array" ref="S6429">IFERROR(IF($B6429=S$1, ($A6429+$C6429) - MAX(IF($B$2:$B6428=$B6429, $A$2:$A6428+$C$2:$C6428)), "")*24*60, "")</f>
        <v/>
      </c>
    </row>
    <row r="6430" spans="1:19" x14ac:dyDescent="0.2">
      <c r="A6430" s="12">
        <f t="shared" ref="A6430:C6430" si="1319">A6429</f>
        <v>45990</v>
      </c>
      <c r="B6430" s="5" t="str">
        <f t="shared" si="1319"/>
        <v>Northern Cardinal</v>
      </c>
      <c r="C6430" s="6">
        <f t="shared" si="1319"/>
        <v>0.28333333333333333</v>
      </c>
      <c r="D6430" s="5"/>
      <c r="E6430" s="5"/>
      <c r="F6430" s="5" t="s">
        <v>8</v>
      </c>
      <c r="G6430" s="15" t="s">
        <v>9</v>
      </c>
      <c r="H6430" s="24">
        <f t="shared" si="1251"/>
        <v>0</v>
      </c>
      <c r="I6430" s="24" cm="1">
        <f t="array" ref="I6430">IFERROR(IF($B6430=I$1, ($A6430+$C6430) - MAX(IF($B$2:$B6429=$B6430, $A$2:$A6429+$C$2:$C6429)), "")*24*60, "")</f>
        <v>0</v>
      </c>
      <c r="J6430" s="24" t="str" cm="1">
        <f t="array" ref="J6430">IFERROR(IF($B6430=J$1, ($A6430+$C6430) - MAX(IF($B$2:$B6429=$B6430, $A$2:$A6429+$C$2:$C6429)), "")*24*60, "")</f>
        <v/>
      </c>
      <c r="K6430" s="24" t="str" cm="1">
        <f t="array" ref="K6430">IFERROR(IF($B6430=K$1, ($A6430+$C6430) - MAX(IF($B$2:$B6429=$B6430, $A$2:$A6429+$C$2:$C6429)), "")*24*60, "")</f>
        <v/>
      </c>
      <c r="L6430" s="24" t="str" cm="1">
        <f t="array" ref="L6430">IFERROR(IF($B6430=L$1, ($A6430+$C6430) - MAX(IF($B$2:$B6429=$B6430, $A$2:$A6429+$C$2:$C6429)), "")*24*60, "")</f>
        <v/>
      </c>
      <c r="M6430" s="24" t="str" cm="1">
        <f t="array" ref="M6430">IFERROR(IF($B6430=M$1, ($A6430+$C6430) - MAX(IF($B$2:$B6429=$B6430, $A$2:$A6429+$C$2:$C6429)), "")*24*60, "")</f>
        <v/>
      </c>
      <c r="N6430" s="24" t="str" cm="1">
        <f t="array" ref="N6430">IFERROR(IF($B6430=N$1, ($A6430+$C6430) - MAX(IF($B$2:$B6429=$B6430, $A$2:$A6429+$C$2:$C6429)), "")*24*60, "")</f>
        <v/>
      </c>
      <c r="O6430" s="24" t="str" cm="1">
        <f t="array" ref="O6430">IFERROR(IF($B6430=O$1, ($A6430+$C6430) - MAX(IF($B$2:$B6429=$B6430, $A$2:$A6429+$C$2:$C6429)), "")*24*60, "")</f>
        <v/>
      </c>
      <c r="P6430" s="24" t="str" cm="1">
        <f t="array" ref="P6430">IFERROR(IF($B6430=P$1, ($A6430+$C6430) - MAX(IF($B$2:$B6429=$B6430, $A$2:$A6429+$C$2:$C6429)), "")*24*60, "")</f>
        <v/>
      </c>
      <c r="Q6430" s="24" t="str" cm="1">
        <f t="array" ref="Q6430">IFERROR(IF($B6430=Q$1, ($A6430+$C6430) - MAX(IF($B$2:$B6429=$B6430, $A$2:$A6429+$C$2:$C6429)), "")*24*60, "")</f>
        <v/>
      </c>
      <c r="R6430" s="24" t="str" cm="1">
        <f t="array" ref="R6430">IFERROR(IF($B6430=R$1, ($A6430+$C6430) - MAX(IF($B$2:$B6429=$B6430, $A$2:$A6429+$C$2:$C6429)), "")*24*60, "")</f>
        <v/>
      </c>
      <c r="S6430" s="24" t="str" cm="1">
        <f t="array" ref="S6430">IFERROR(IF($B6430=S$1, ($A6430+$C6430) - MAX(IF($B$2:$B6429=$B6430, $A$2:$A6429+$C$2:$C6429)), "")*24*60, "")</f>
        <v/>
      </c>
    </row>
    <row r="6431" spans="1:19" x14ac:dyDescent="0.2">
      <c r="A6431" s="12">
        <f t="shared" ref="A6431:C6431" si="1320">A6430</f>
        <v>45990</v>
      </c>
      <c r="B6431" s="5" t="str">
        <f t="shared" si="1320"/>
        <v>Northern Cardinal</v>
      </c>
      <c r="C6431" s="6">
        <f t="shared" si="1320"/>
        <v>0.28333333333333333</v>
      </c>
      <c r="D6431" s="5"/>
      <c r="E6431" s="5"/>
      <c r="F6431" s="5" t="s">
        <v>8</v>
      </c>
      <c r="G6431" s="15" t="s">
        <v>9</v>
      </c>
      <c r="H6431" s="24">
        <f t="shared" si="1251"/>
        <v>0</v>
      </c>
      <c r="I6431" s="24" cm="1">
        <f t="array" ref="I6431">IFERROR(IF($B6431=I$1, ($A6431+$C6431) - MAX(IF($B$2:$B6430=$B6431, $A$2:$A6430+$C$2:$C6430)), "")*24*60, "")</f>
        <v>0</v>
      </c>
      <c r="J6431" s="24" t="str" cm="1">
        <f t="array" ref="J6431">IFERROR(IF($B6431=J$1, ($A6431+$C6431) - MAX(IF($B$2:$B6430=$B6431, $A$2:$A6430+$C$2:$C6430)), "")*24*60, "")</f>
        <v/>
      </c>
      <c r="K6431" s="24" t="str" cm="1">
        <f t="array" ref="K6431">IFERROR(IF($B6431=K$1, ($A6431+$C6431) - MAX(IF($B$2:$B6430=$B6431, $A$2:$A6430+$C$2:$C6430)), "")*24*60, "")</f>
        <v/>
      </c>
      <c r="L6431" s="24" t="str" cm="1">
        <f t="array" ref="L6431">IFERROR(IF($B6431=L$1, ($A6431+$C6431) - MAX(IF($B$2:$B6430=$B6431, $A$2:$A6430+$C$2:$C6430)), "")*24*60, "")</f>
        <v/>
      </c>
      <c r="M6431" s="24" t="str" cm="1">
        <f t="array" ref="M6431">IFERROR(IF($B6431=M$1, ($A6431+$C6431) - MAX(IF($B$2:$B6430=$B6431, $A$2:$A6430+$C$2:$C6430)), "")*24*60, "")</f>
        <v/>
      </c>
      <c r="N6431" s="24" t="str" cm="1">
        <f t="array" ref="N6431">IFERROR(IF($B6431=N$1, ($A6431+$C6431) - MAX(IF($B$2:$B6430=$B6431, $A$2:$A6430+$C$2:$C6430)), "")*24*60, "")</f>
        <v/>
      </c>
      <c r="O6431" s="24" t="str" cm="1">
        <f t="array" ref="O6431">IFERROR(IF($B6431=O$1, ($A6431+$C6431) - MAX(IF($B$2:$B6430=$B6431, $A$2:$A6430+$C$2:$C6430)), "")*24*60, "")</f>
        <v/>
      </c>
      <c r="P6431" s="24" t="str" cm="1">
        <f t="array" ref="P6431">IFERROR(IF($B6431=P$1, ($A6431+$C6431) - MAX(IF($B$2:$B6430=$B6431, $A$2:$A6430+$C$2:$C6430)), "")*24*60, "")</f>
        <v/>
      </c>
      <c r="Q6431" s="24" t="str" cm="1">
        <f t="array" ref="Q6431">IFERROR(IF($B6431=Q$1, ($A6431+$C6431) - MAX(IF($B$2:$B6430=$B6431, $A$2:$A6430+$C$2:$C6430)), "")*24*60, "")</f>
        <v/>
      </c>
      <c r="R6431" s="24" t="str" cm="1">
        <f t="array" ref="R6431">IFERROR(IF($B6431=R$1, ($A6431+$C6431) - MAX(IF($B$2:$B6430=$B6431, $A$2:$A6430+$C$2:$C6430)), "")*24*60, "")</f>
        <v/>
      </c>
      <c r="S6431" s="24" t="str" cm="1">
        <f t="array" ref="S6431">IFERROR(IF($B6431=S$1, ($A6431+$C6431) - MAX(IF($B$2:$B6430=$B6431, $A$2:$A6430+$C$2:$C6430)), "")*24*60, "")</f>
        <v/>
      </c>
    </row>
    <row r="6432" spans="1:19" x14ac:dyDescent="0.2">
      <c r="A6432" s="12">
        <f t="shared" ref="A6432:C6432" si="1321">A6431</f>
        <v>45990</v>
      </c>
      <c r="B6432" s="5" t="str">
        <f t="shared" si="1321"/>
        <v>Northern Cardinal</v>
      </c>
      <c r="C6432" s="6">
        <f t="shared" si="1321"/>
        <v>0.28333333333333333</v>
      </c>
      <c r="D6432" s="5"/>
      <c r="E6432" s="5"/>
      <c r="F6432" s="5" t="s">
        <v>8</v>
      </c>
      <c r="G6432" s="15" t="s">
        <v>9</v>
      </c>
      <c r="H6432" s="24">
        <f t="shared" si="1251"/>
        <v>0</v>
      </c>
      <c r="I6432" s="24" cm="1">
        <f t="array" ref="I6432">IFERROR(IF($B6432=I$1, ($A6432+$C6432) - MAX(IF($B$2:$B6431=$B6432, $A$2:$A6431+$C$2:$C6431)), "")*24*60, "")</f>
        <v>0</v>
      </c>
      <c r="J6432" s="24" t="str" cm="1">
        <f t="array" ref="J6432">IFERROR(IF($B6432=J$1, ($A6432+$C6432) - MAX(IF($B$2:$B6431=$B6432, $A$2:$A6431+$C$2:$C6431)), "")*24*60, "")</f>
        <v/>
      </c>
      <c r="K6432" s="24" t="str" cm="1">
        <f t="array" ref="K6432">IFERROR(IF($B6432=K$1, ($A6432+$C6432) - MAX(IF($B$2:$B6431=$B6432, $A$2:$A6431+$C$2:$C6431)), "")*24*60, "")</f>
        <v/>
      </c>
      <c r="L6432" s="24" t="str" cm="1">
        <f t="array" ref="L6432">IFERROR(IF($B6432=L$1, ($A6432+$C6432) - MAX(IF($B$2:$B6431=$B6432, $A$2:$A6431+$C$2:$C6431)), "")*24*60, "")</f>
        <v/>
      </c>
      <c r="M6432" s="24" t="str" cm="1">
        <f t="array" ref="M6432">IFERROR(IF($B6432=M$1, ($A6432+$C6432) - MAX(IF($B$2:$B6431=$B6432, $A$2:$A6431+$C$2:$C6431)), "")*24*60, "")</f>
        <v/>
      </c>
      <c r="N6432" s="24" t="str" cm="1">
        <f t="array" ref="N6432">IFERROR(IF($B6432=N$1, ($A6432+$C6432) - MAX(IF($B$2:$B6431=$B6432, $A$2:$A6431+$C$2:$C6431)), "")*24*60, "")</f>
        <v/>
      </c>
      <c r="O6432" s="24" t="str" cm="1">
        <f t="array" ref="O6432">IFERROR(IF($B6432=O$1, ($A6432+$C6432) - MAX(IF($B$2:$B6431=$B6432, $A$2:$A6431+$C$2:$C6431)), "")*24*60, "")</f>
        <v/>
      </c>
      <c r="P6432" s="24" t="str" cm="1">
        <f t="array" ref="P6432">IFERROR(IF($B6432=P$1, ($A6432+$C6432) - MAX(IF($B$2:$B6431=$B6432, $A$2:$A6431+$C$2:$C6431)), "")*24*60, "")</f>
        <v/>
      </c>
      <c r="Q6432" s="24" t="str" cm="1">
        <f t="array" ref="Q6432">IFERROR(IF($B6432=Q$1, ($A6432+$C6432) - MAX(IF($B$2:$B6431=$B6432, $A$2:$A6431+$C$2:$C6431)), "")*24*60, "")</f>
        <v/>
      </c>
      <c r="R6432" s="24" t="str" cm="1">
        <f t="array" ref="R6432">IFERROR(IF($B6432=R$1, ($A6432+$C6432) - MAX(IF($B$2:$B6431=$B6432, $A$2:$A6431+$C$2:$C6431)), "")*24*60, "")</f>
        <v/>
      </c>
      <c r="S6432" s="24" t="str" cm="1">
        <f t="array" ref="S6432">IFERROR(IF($B6432=S$1, ($A6432+$C6432) - MAX(IF($B$2:$B6431=$B6432, $A$2:$A6431+$C$2:$C6431)), "")*24*60, "")</f>
        <v/>
      </c>
    </row>
    <row r="6433" spans="1:19" x14ac:dyDescent="0.2">
      <c r="A6433" s="12">
        <f t="shared" ref="A6433:C6433" si="1322">A6432</f>
        <v>45990</v>
      </c>
      <c r="B6433" s="5" t="str">
        <f t="shared" si="1322"/>
        <v>Northern Cardinal</v>
      </c>
      <c r="C6433" s="6">
        <f t="shared" si="1322"/>
        <v>0.28333333333333333</v>
      </c>
      <c r="D6433" s="5"/>
      <c r="E6433" s="5"/>
      <c r="F6433" s="5" t="s">
        <v>8</v>
      </c>
      <c r="G6433" s="15" t="s">
        <v>9</v>
      </c>
      <c r="H6433" s="24">
        <f t="shared" si="1251"/>
        <v>0</v>
      </c>
      <c r="I6433" s="24" cm="1">
        <f t="array" ref="I6433">IFERROR(IF($B6433=I$1, ($A6433+$C6433) - MAX(IF($B$2:$B6432=$B6433, $A$2:$A6432+$C$2:$C6432)), "")*24*60, "")</f>
        <v>0</v>
      </c>
      <c r="J6433" s="24" t="str" cm="1">
        <f t="array" ref="J6433">IFERROR(IF($B6433=J$1, ($A6433+$C6433) - MAX(IF($B$2:$B6432=$B6433, $A$2:$A6432+$C$2:$C6432)), "")*24*60, "")</f>
        <v/>
      </c>
      <c r="K6433" s="24" t="str" cm="1">
        <f t="array" ref="K6433">IFERROR(IF($B6433=K$1, ($A6433+$C6433) - MAX(IF($B$2:$B6432=$B6433, $A$2:$A6432+$C$2:$C6432)), "")*24*60, "")</f>
        <v/>
      </c>
      <c r="L6433" s="24" t="str" cm="1">
        <f t="array" ref="L6433">IFERROR(IF($B6433=L$1, ($A6433+$C6433) - MAX(IF($B$2:$B6432=$B6433, $A$2:$A6432+$C$2:$C6432)), "")*24*60, "")</f>
        <v/>
      </c>
      <c r="M6433" s="24" t="str" cm="1">
        <f t="array" ref="M6433">IFERROR(IF($B6433=M$1, ($A6433+$C6433) - MAX(IF($B$2:$B6432=$B6433, $A$2:$A6432+$C$2:$C6432)), "")*24*60, "")</f>
        <v/>
      </c>
      <c r="N6433" s="24" t="str" cm="1">
        <f t="array" ref="N6433">IFERROR(IF($B6433=N$1, ($A6433+$C6433) - MAX(IF($B$2:$B6432=$B6433, $A$2:$A6432+$C$2:$C6432)), "")*24*60, "")</f>
        <v/>
      </c>
      <c r="O6433" s="24" t="str" cm="1">
        <f t="array" ref="O6433">IFERROR(IF($B6433=O$1, ($A6433+$C6433) - MAX(IF($B$2:$B6432=$B6433, $A$2:$A6432+$C$2:$C6432)), "")*24*60, "")</f>
        <v/>
      </c>
      <c r="P6433" s="24" t="str" cm="1">
        <f t="array" ref="P6433">IFERROR(IF($B6433=P$1, ($A6433+$C6433) - MAX(IF($B$2:$B6432=$B6433, $A$2:$A6432+$C$2:$C6432)), "")*24*60, "")</f>
        <v/>
      </c>
      <c r="Q6433" s="24" t="str" cm="1">
        <f t="array" ref="Q6433">IFERROR(IF($B6433=Q$1, ($A6433+$C6433) - MAX(IF($B$2:$B6432=$B6433, $A$2:$A6432+$C$2:$C6432)), "")*24*60, "")</f>
        <v/>
      </c>
      <c r="R6433" s="24" t="str" cm="1">
        <f t="array" ref="R6433">IFERROR(IF($B6433=R$1, ($A6433+$C6433) - MAX(IF($B$2:$B6432=$B6433, $A$2:$A6432+$C$2:$C6432)), "")*24*60, "")</f>
        <v/>
      </c>
      <c r="S6433" s="24" t="str" cm="1">
        <f t="array" ref="S6433">IFERROR(IF($B6433=S$1, ($A6433+$C6433) - MAX(IF($B$2:$B6432=$B6433, $A$2:$A6432+$C$2:$C6432)), "")*24*60, "")</f>
        <v/>
      </c>
    </row>
    <row r="6434" spans="1:19" x14ac:dyDescent="0.2">
      <c r="A6434" s="12">
        <f t="shared" ref="A6434:C6434" si="1323">A6433</f>
        <v>45990</v>
      </c>
      <c r="B6434" s="5" t="str">
        <f t="shared" si="1323"/>
        <v>Northern Cardinal</v>
      </c>
      <c r="C6434" s="6">
        <f t="shared" si="1323"/>
        <v>0.28333333333333333</v>
      </c>
      <c r="D6434" s="5"/>
      <c r="E6434" s="5"/>
      <c r="F6434" s="5" t="s">
        <v>8</v>
      </c>
      <c r="G6434" s="15" t="s">
        <v>9</v>
      </c>
      <c r="H6434" s="24">
        <f t="shared" si="1251"/>
        <v>0</v>
      </c>
      <c r="I6434" s="24" cm="1">
        <f t="array" ref="I6434">IFERROR(IF($B6434=I$1, ($A6434+$C6434) - MAX(IF($B$2:$B6433=$B6434, $A$2:$A6433+$C$2:$C6433)), "")*24*60, "")</f>
        <v>0</v>
      </c>
      <c r="J6434" s="24" t="str" cm="1">
        <f t="array" ref="J6434">IFERROR(IF($B6434=J$1, ($A6434+$C6434) - MAX(IF($B$2:$B6433=$B6434, $A$2:$A6433+$C$2:$C6433)), "")*24*60, "")</f>
        <v/>
      </c>
      <c r="K6434" s="24" t="str" cm="1">
        <f t="array" ref="K6434">IFERROR(IF($B6434=K$1, ($A6434+$C6434) - MAX(IF($B$2:$B6433=$B6434, $A$2:$A6433+$C$2:$C6433)), "")*24*60, "")</f>
        <v/>
      </c>
      <c r="L6434" s="24" t="str" cm="1">
        <f t="array" ref="L6434">IFERROR(IF($B6434=L$1, ($A6434+$C6434) - MAX(IF($B$2:$B6433=$B6434, $A$2:$A6433+$C$2:$C6433)), "")*24*60, "")</f>
        <v/>
      </c>
      <c r="M6434" s="24" t="str" cm="1">
        <f t="array" ref="M6434">IFERROR(IF($B6434=M$1, ($A6434+$C6434) - MAX(IF($B$2:$B6433=$B6434, $A$2:$A6433+$C$2:$C6433)), "")*24*60, "")</f>
        <v/>
      </c>
      <c r="N6434" s="24" t="str" cm="1">
        <f t="array" ref="N6434">IFERROR(IF($B6434=N$1, ($A6434+$C6434) - MAX(IF($B$2:$B6433=$B6434, $A$2:$A6433+$C$2:$C6433)), "")*24*60, "")</f>
        <v/>
      </c>
      <c r="O6434" s="24" t="str" cm="1">
        <f t="array" ref="O6434">IFERROR(IF($B6434=O$1, ($A6434+$C6434) - MAX(IF($B$2:$B6433=$B6434, $A$2:$A6433+$C$2:$C6433)), "")*24*60, "")</f>
        <v/>
      </c>
      <c r="P6434" s="24" t="str" cm="1">
        <f t="array" ref="P6434">IFERROR(IF($B6434=P$1, ($A6434+$C6434) - MAX(IF($B$2:$B6433=$B6434, $A$2:$A6433+$C$2:$C6433)), "")*24*60, "")</f>
        <v/>
      </c>
      <c r="Q6434" s="24" t="str" cm="1">
        <f t="array" ref="Q6434">IFERROR(IF($B6434=Q$1, ($A6434+$C6434) - MAX(IF($B$2:$B6433=$B6434, $A$2:$A6433+$C$2:$C6433)), "")*24*60, "")</f>
        <v/>
      </c>
      <c r="R6434" s="24" t="str" cm="1">
        <f t="array" ref="R6434">IFERROR(IF($B6434=R$1, ($A6434+$C6434) - MAX(IF($B$2:$B6433=$B6434, $A$2:$A6433+$C$2:$C6433)), "")*24*60, "")</f>
        <v/>
      </c>
      <c r="S6434" s="24" t="str" cm="1">
        <f t="array" ref="S6434">IFERROR(IF($B6434=S$1, ($A6434+$C6434) - MAX(IF($B$2:$B6433=$B6434, $A$2:$A6433+$C$2:$C6433)), "")*24*60, "")</f>
        <v/>
      </c>
    </row>
    <row r="6435" spans="1:19" x14ac:dyDescent="0.2">
      <c r="A6435" s="12">
        <f t="shared" ref="A6435:C6435" si="1324">A6434</f>
        <v>45990</v>
      </c>
      <c r="B6435" s="5" t="str">
        <f t="shared" si="1324"/>
        <v>Northern Cardinal</v>
      </c>
      <c r="C6435" s="6">
        <f t="shared" si="1324"/>
        <v>0.28333333333333333</v>
      </c>
      <c r="D6435" s="5"/>
      <c r="E6435" s="5"/>
      <c r="F6435" s="5" t="s">
        <v>8</v>
      </c>
      <c r="G6435" s="15" t="s">
        <v>9</v>
      </c>
      <c r="H6435" s="24">
        <f t="shared" si="1251"/>
        <v>0</v>
      </c>
      <c r="I6435" s="24" cm="1">
        <f t="array" ref="I6435">IFERROR(IF($B6435=I$1, ($A6435+$C6435) - MAX(IF($B$2:$B6434=$B6435, $A$2:$A6434+$C$2:$C6434)), "")*24*60, "")</f>
        <v>0</v>
      </c>
      <c r="J6435" s="24" t="str" cm="1">
        <f t="array" ref="J6435">IFERROR(IF($B6435=J$1, ($A6435+$C6435) - MAX(IF($B$2:$B6434=$B6435, $A$2:$A6434+$C$2:$C6434)), "")*24*60, "")</f>
        <v/>
      </c>
      <c r="K6435" s="24" t="str" cm="1">
        <f t="array" ref="K6435">IFERROR(IF($B6435=K$1, ($A6435+$C6435) - MAX(IF($B$2:$B6434=$B6435, $A$2:$A6434+$C$2:$C6434)), "")*24*60, "")</f>
        <v/>
      </c>
      <c r="L6435" s="24" t="str" cm="1">
        <f t="array" ref="L6435">IFERROR(IF($B6435=L$1, ($A6435+$C6435) - MAX(IF($B$2:$B6434=$B6435, $A$2:$A6434+$C$2:$C6434)), "")*24*60, "")</f>
        <v/>
      </c>
      <c r="M6435" s="24" t="str" cm="1">
        <f t="array" ref="M6435">IFERROR(IF($B6435=M$1, ($A6435+$C6435) - MAX(IF($B$2:$B6434=$B6435, $A$2:$A6434+$C$2:$C6434)), "")*24*60, "")</f>
        <v/>
      </c>
      <c r="N6435" s="24" t="str" cm="1">
        <f t="array" ref="N6435">IFERROR(IF($B6435=N$1, ($A6435+$C6435) - MAX(IF($B$2:$B6434=$B6435, $A$2:$A6434+$C$2:$C6434)), "")*24*60, "")</f>
        <v/>
      </c>
      <c r="O6435" s="24" t="str" cm="1">
        <f t="array" ref="O6435">IFERROR(IF($B6435=O$1, ($A6435+$C6435) - MAX(IF($B$2:$B6434=$B6435, $A$2:$A6434+$C$2:$C6434)), "")*24*60, "")</f>
        <v/>
      </c>
      <c r="P6435" s="24" t="str" cm="1">
        <f t="array" ref="P6435">IFERROR(IF($B6435=P$1, ($A6435+$C6435) - MAX(IF($B$2:$B6434=$B6435, $A$2:$A6434+$C$2:$C6434)), "")*24*60, "")</f>
        <v/>
      </c>
      <c r="Q6435" s="24" t="str" cm="1">
        <f t="array" ref="Q6435">IFERROR(IF($B6435=Q$1, ($A6435+$C6435) - MAX(IF($B$2:$B6434=$B6435, $A$2:$A6434+$C$2:$C6434)), "")*24*60, "")</f>
        <v/>
      </c>
      <c r="R6435" s="24" t="str" cm="1">
        <f t="array" ref="R6435">IFERROR(IF($B6435=R$1, ($A6435+$C6435) - MAX(IF($B$2:$B6434=$B6435, $A$2:$A6434+$C$2:$C6434)), "")*24*60, "")</f>
        <v/>
      </c>
      <c r="S6435" s="24" t="str" cm="1">
        <f t="array" ref="S6435">IFERROR(IF($B6435=S$1, ($A6435+$C6435) - MAX(IF($B$2:$B6434=$B6435, $A$2:$A6434+$C$2:$C6434)), "")*24*60, "")</f>
        <v/>
      </c>
    </row>
    <row r="6436" spans="1:19" x14ac:dyDescent="0.2">
      <c r="A6436" s="12">
        <f t="shared" ref="A6436:C6436" si="1325">A6435</f>
        <v>45990</v>
      </c>
      <c r="B6436" s="5" t="str">
        <f t="shared" si="1325"/>
        <v>Northern Cardinal</v>
      </c>
      <c r="C6436" s="6">
        <f t="shared" si="1325"/>
        <v>0.28333333333333333</v>
      </c>
      <c r="D6436" s="5"/>
      <c r="E6436" s="5"/>
      <c r="F6436" s="5" t="s">
        <v>8</v>
      </c>
      <c r="G6436" s="15" t="s">
        <v>9</v>
      </c>
      <c r="H6436" s="24">
        <f t="shared" si="1251"/>
        <v>0</v>
      </c>
      <c r="I6436" s="24" cm="1">
        <f t="array" ref="I6436">IFERROR(IF($B6436=I$1, ($A6436+$C6436) - MAX(IF($B$2:$B6435=$B6436, $A$2:$A6435+$C$2:$C6435)), "")*24*60, "")</f>
        <v>0</v>
      </c>
      <c r="J6436" s="24" t="str" cm="1">
        <f t="array" ref="J6436">IFERROR(IF($B6436=J$1, ($A6436+$C6436) - MAX(IF($B$2:$B6435=$B6436, $A$2:$A6435+$C$2:$C6435)), "")*24*60, "")</f>
        <v/>
      </c>
      <c r="K6436" s="24" t="str" cm="1">
        <f t="array" ref="K6436">IFERROR(IF($B6436=K$1, ($A6436+$C6436) - MAX(IF($B$2:$B6435=$B6436, $A$2:$A6435+$C$2:$C6435)), "")*24*60, "")</f>
        <v/>
      </c>
      <c r="L6436" s="24" t="str" cm="1">
        <f t="array" ref="L6436">IFERROR(IF($B6436=L$1, ($A6436+$C6436) - MAX(IF($B$2:$B6435=$B6436, $A$2:$A6435+$C$2:$C6435)), "")*24*60, "")</f>
        <v/>
      </c>
      <c r="M6436" s="24" t="str" cm="1">
        <f t="array" ref="M6436">IFERROR(IF($B6436=M$1, ($A6436+$C6436) - MAX(IF($B$2:$B6435=$B6436, $A$2:$A6435+$C$2:$C6435)), "")*24*60, "")</f>
        <v/>
      </c>
      <c r="N6436" s="24" t="str" cm="1">
        <f t="array" ref="N6436">IFERROR(IF($B6436=N$1, ($A6436+$C6436) - MAX(IF($B$2:$B6435=$B6436, $A$2:$A6435+$C$2:$C6435)), "")*24*60, "")</f>
        <v/>
      </c>
      <c r="O6436" s="24" t="str" cm="1">
        <f t="array" ref="O6436">IFERROR(IF($B6436=O$1, ($A6436+$C6436) - MAX(IF($B$2:$B6435=$B6436, $A$2:$A6435+$C$2:$C6435)), "")*24*60, "")</f>
        <v/>
      </c>
      <c r="P6436" s="24" t="str" cm="1">
        <f t="array" ref="P6436">IFERROR(IF($B6436=P$1, ($A6436+$C6436) - MAX(IF($B$2:$B6435=$B6436, $A$2:$A6435+$C$2:$C6435)), "")*24*60, "")</f>
        <v/>
      </c>
      <c r="Q6436" s="24" t="str" cm="1">
        <f t="array" ref="Q6436">IFERROR(IF($B6436=Q$1, ($A6436+$C6436) - MAX(IF($B$2:$B6435=$B6436, $A$2:$A6435+$C$2:$C6435)), "")*24*60, "")</f>
        <v/>
      </c>
      <c r="R6436" s="24" t="str" cm="1">
        <f t="array" ref="R6436">IFERROR(IF($B6436=R$1, ($A6436+$C6436) - MAX(IF($B$2:$B6435=$B6436, $A$2:$A6435+$C$2:$C6435)), "")*24*60, "")</f>
        <v/>
      </c>
      <c r="S6436" s="24" t="str" cm="1">
        <f t="array" ref="S6436">IFERROR(IF($B6436=S$1, ($A6436+$C6436) - MAX(IF($B$2:$B6435=$B6436, $A$2:$A6435+$C$2:$C6435)), "")*24*60, "")</f>
        <v/>
      </c>
    </row>
    <row r="6437" spans="1:19" x14ac:dyDescent="0.2">
      <c r="A6437" s="12">
        <f t="shared" ref="A6437:C6437" si="1326">A6436</f>
        <v>45990</v>
      </c>
      <c r="B6437" s="5" t="str">
        <f t="shared" si="1326"/>
        <v>Northern Cardinal</v>
      </c>
      <c r="C6437" s="6">
        <f t="shared" si="1326"/>
        <v>0.28333333333333333</v>
      </c>
      <c r="D6437" s="5"/>
      <c r="E6437" s="5"/>
      <c r="F6437" s="5" t="s">
        <v>8</v>
      </c>
      <c r="G6437" s="15" t="s">
        <v>9</v>
      </c>
      <c r="H6437" s="24">
        <f t="shared" si="1251"/>
        <v>0</v>
      </c>
      <c r="I6437" s="24" cm="1">
        <f t="array" ref="I6437">IFERROR(IF($B6437=I$1, ($A6437+$C6437) - MAX(IF($B$2:$B6436=$B6437, $A$2:$A6436+$C$2:$C6436)), "")*24*60, "")</f>
        <v>0</v>
      </c>
      <c r="J6437" s="24" t="str" cm="1">
        <f t="array" ref="J6437">IFERROR(IF($B6437=J$1, ($A6437+$C6437) - MAX(IF($B$2:$B6436=$B6437, $A$2:$A6436+$C$2:$C6436)), "")*24*60, "")</f>
        <v/>
      </c>
      <c r="K6437" s="24" t="str" cm="1">
        <f t="array" ref="K6437">IFERROR(IF($B6437=K$1, ($A6437+$C6437) - MAX(IF($B$2:$B6436=$B6437, $A$2:$A6436+$C$2:$C6436)), "")*24*60, "")</f>
        <v/>
      </c>
      <c r="L6437" s="24" t="str" cm="1">
        <f t="array" ref="L6437">IFERROR(IF($B6437=L$1, ($A6437+$C6437) - MAX(IF($B$2:$B6436=$B6437, $A$2:$A6436+$C$2:$C6436)), "")*24*60, "")</f>
        <v/>
      </c>
      <c r="M6437" s="24" t="str" cm="1">
        <f t="array" ref="M6437">IFERROR(IF($B6437=M$1, ($A6437+$C6437) - MAX(IF($B$2:$B6436=$B6437, $A$2:$A6436+$C$2:$C6436)), "")*24*60, "")</f>
        <v/>
      </c>
      <c r="N6437" s="24" t="str" cm="1">
        <f t="array" ref="N6437">IFERROR(IF($B6437=N$1, ($A6437+$C6437) - MAX(IF($B$2:$B6436=$B6437, $A$2:$A6436+$C$2:$C6436)), "")*24*60, "")</f>
        <v/>
      </c>
      <c r="O6437" s="24" t="str" cm="1">
        <f t="array" ref="O6437">IFERROR(IF($B6437=O$1, ($A6437+$C6437) - MAX(IF($B$2:$B6436=$B6437, $A$2:$A6436+$C$2:$C6436)), "")*24*60, "")</f>
        <v/>
      </c>
      <c r="P6437" s="24" t="str" cm="1">
        <f t="array" ref="P6437">IFERROR(IF($B6437=P$1, ($A6437+$C6437) - MAX(IF($B$2:$B6436=$B6437, $A$2:$A6436+$C$2:$C6436)), "")*24*60, "")</f>
        <v/>
      </c>
      <c r="Q6437" s="24" t="str" cm="1">
        <f t="array" ref="Q6437">IFERROR(IF($B6437=Q$1, ($A6437+$C6437) - MAX(IF($B$2:$B6436=$B6437, $A$2:$A6436+$C$2:$C6436)), "")*24*60, "")</f>
        <v/>
      </c>
      <c r="R6437" s="24" t="str" cm="1">
        <f t="array" ref="R6437">IFERROR(IF($B6437=R$1, ($A6437+$C6437) - MAX(IF($B$2:$B6436=$B6437, $A$2:$A6436+$C$2:$C6436)), "")*24*60, "")</f>
        <v/>
      </c>
      <c r="S6437" s="24" t="str" cm="1">
        <f t="array" ref="S6437">IFERROR(IF($B6437=S$1, ($A6437+$C6437) - MAX(IF($B$2:$B6436=$B6437, $A$2:$A6436+$C$2:$C6436)), "")*24*60, "")</f>
        <v/>
      </c>
    </row>
    <row r="6438" spans="1:19" x14ac:dyDescent="0.2">
      <c r="A6438" s="12">
        <f t="shared" ref="A6438:C6438" si="1327">A6437</f>
        <v>45990</v>
      </c>
      <c r="B6438" s="5" t="str">
        <f t="shared" si="1327"/>
        <v>Northern Cardinal</v>
      </c>
      <c r="C6438" s="6">
        <f t="shared" si="1327"/>
        <v>0.28333333333333333</v>
      </c>
      <c r="D6438" s="5"/>
      <c r="E6438" s="5"/>
      <c r="F6438" s="5" t="s">
        <v>8</v>
      </c>
      <c r="G6438" s="15" t="s">
        <v>9</v>
      </c>
      <c r="H6438" s="24">
        <f t="shared" si="1251"/>
        <v>0</v>
      </c>
      <c r="I6438" s="24" cm="1">
        <f t="array" ref="I6438">IFERROR(IF($B6438=I$1, ($A6438+$C6438) - MAX(IF($B$2:$B6437=$B6438, $A$2:$A6437+$C$2:$C6437)), "")*24*60, "")</f>
        <v>0</v>
      </c>
      <c r="J6438" s="24" t="str" cm="1">
        <f t="array" ref="J6438">IFERROR(IF($B6438=J$1, ($A6438+$C6438) - MAX(IF($B$2:$B6437=$B6438, $A$2:$A6437+$C$2:$C6437)), "")*24*60, "")</f>
        <v/>
      </c>
      <c r="K6438" s="24" t="str" cm="1">
        <f t="array" ref="K6438">IFERROR(IF($B6438=K$1, ($A6438+$C6438) - MAX(IF($B$2:$B6437=$B6438, $A$2:$A6437+$C$2:$C6437)), "")*24*60, "")</f>
        <v/>
      </c>
      <c r="L6438" s="24" t="str" cm="1">
        <f t="array" ref="L6438">IFERROR(IF($B6438=L$1, ($A6438+$C6438) - MAX(IF($B$2:$B6437=$B6438, $A$2:$A6437+$C$2:$C6437)), "")*24*60, "")</f>
        <v/>
      </c>
      <c r="M6438" s="24" t="str" cm="1">
        <f t="array" ref="M6438">IFERROR(IF($B6438=M$1, ($A6438+$C6438) - MAX(IF($B$2:$B6437=$B6438, $A$2:$A6437+$C$2:$C6437)), "")*24*60, "")</f>
        <v/>
      </c>
      <c r="N6438" s="24" t="str" cm="1">
        <f t="array" ref="N6438">IFERROR(IF($B6438=N$1, ($A6438+$C6438) - MAX(IF($B$2:$B6437=$B6438, $A$2:$A6437+$C$2:$C6437)), "")*24*60, "")</f>
        <v/>
      </c>
      <c r="O6438" s="24" t="str" cm="1">
        <f t="array" ref="O6438">IFERROR(IF($B6438=O$1, ($A6438+$C6438) - MAX(IF($B$2:$B6437=$B6438, $A$2:$A6437+$C$2:$C6437)), "")*24*60, "")</f>
        <v/>
      </c>
      <c r="P6438" s="24" t="str" cm="1">
        <f t="array" ref="P6438">IFERROR(IF($B6438=P$1, ($A6438+$C6438) - MAX(IF($B$2:$B6437=$B6438, $A$2:$A6437+$C$2:$C6437)), "")*24*60, "")</f>
        <v/>
      </c>
      <c r="Q6438" s="24" t="str" cm="1">
        <f t="array" ref="Q6438">IFERROR(IF($B6438=Q$1, ($A6438+$C6438) - MAX(IF($B$2:$B6437=$B6438, $A$2:$A6437+$C$2:$C6437)), "")*24*60, "")</f>
        <v/>
      </c>
      <c r="R6438" s="24" t="str" cm="1">
        <f t="array" ref="R6438">IFERROR(IF($B6438=R$1, ($A6438+$C6438) - MAX(IF($B$2:$B6437=$B6438, $A$2:$A6437+$C$2:$C6437)), "")*24*60, "")</f>
        <v/>
      </c>
      <c r="S6438" s="24" t="str" cm="1">
        <f t="array" ref="S6438">IFERROR(IF($B6438=S$1, ($A6438+$C6438) - MAX(IF($B$2:$B6437=$B6438, $A$2:$A6437+$C$2:$C6437)), "")*24*60, "")</f>
        <v/>
      </c>
    </row>
    <row r="6439" spans="1:19" x14ac:dyDescent="0.2">
      <c r="A6439" s="12">
        <f t="shared" ref="A6439:C6439" si="1328">A6438</f>
        <v>45990</v>
      </c>
      <c r="B6439" s="5" t="str">
        <f t="shared" si="1328"/>
        <v>Northern Cardinal</v>
      </c>
      <c r="C6439" s="6">
        <f t="shared" si="1328"/>
        <v>0.28333333333333333</v>
      </c>
      <c r="D6439" s="5"/>
      <c r="E6439" s="5"/>
      <c r="F6439" s="5" t="s">
        <v>8</v>
      </c>
      <c r="G6439" s="15" t="s">
        <v>9</v>
      </c>
      <c r="H6439" s="24">
        <f t="shared" si="1251"/>
        <v>0</v>
      </c>
      <c r="I6439" s="24" cm="1">
        <f t="array" ref="I6439">IFERROR(IF($B6439=I$1, ($A6439+$C6439) - MAX(IF($B$2:$B6438=$B6439, $A$2:$A6438+$C$2:$C6438)), "")*24*60, "")</f>
        <v>0</v>
      </c>
      <c r="J6439" s="24" t="str" cm="1">
        <f t="array" ref="J6439">IFERROR(IF($B6439=J$1, ($A6439+$C6439) - MAX(IF($B$2:$B6438=$B6439, $A$2:$A6438+$C$2:$C6438)), "")*24*60, "")</f>
        <v/>
      </c>
      <c r="K6439" s="24" t="str" cm="1">
        <f t="array" ref="K6439">IFERROR(IF($B6439=K$1, ($A6439+$C6439) - MAX(IF($B$2:$B6438=$B6439, $A$2:$A6438+$C$2:$C6438)), "")*24*60, "")</f>
        <v/>
      </c>
      <c r="L6439" s="24" t="str" cm="1">
        <f t="array" ref="L6439">IFERROR(IF($B6439=L$1, ($A6439+$C6439) - MAX(IF($B$2:$B6438=$B6439, $A$2:$A6438+$C$2:$C6438)), "")*24*60, "")</f>
        <v/>
      </c>
      <c r="M6439" s="24" t="str" cm="1">
        <f t="array" ref="M6439">IFERROR(IF($B6439=M$1, ($A6439+$C6439) - MAX(IF($B$2:$B6438=$B6439, $A$2:$A6438+$C$2:$C6438)), "")*24*60, "")</f>
        <v/>
      </c>
      <c r="N6439" s="24" t="str" cm="1">
        <f t="array" ref="N6439">IFERROR(IF($B6439=N$1, ($A6439+$C6439) - MAX(IF($B$2:$B6438=$B6439, $A$2:$A6438+$C$2:$C6438)), "")*24*60, "")</f>
        <v/>
      </c>
      <c r="O6439" s="24" t="str" cm="1">
        <f t="array" ref="O6439">IFERROR(IF($B6439=O$1, ($A6439+$C6439) - MAX(IF($B$2:$B6438=$B6439, $A$2:$A6438+$C$2:$C6438)), "")*24*60, "")</f>
        <v/>
      </c>
      <c r="P6439" s="24" t="str" cm="1">
        <f t="array" ref="P6439">IFERROR(IF($B6439=P$1, ($A6439+$C6439) - MAX(IF($B$2:$B6438=$B6439, $A$2:$A6438+$C$2:$C6438)), "")*24*60, "")</f>
        <v/>
      </c>
      <c r="Q6439" s="24" t="str" cm="1">
        <f t="array" ref="Q6439">IFERROR(IF($B6439=Q$1, ($A6439+$C6439) - MAX(IF($B$2:$B6438=$B6439, $A$2:$A6438+$C$2:$C6438)), "")*24*60, "")</f>
        <v/>
      </c>
      <c r="R6439" s="24" t="str" cm="1">
        <f t="array" ref="R6439">IFERROR(IF($B6439=R$1, ($A6439+$C6439) - MAX(IF($B$2:$B6438=$B6439, $A$2:$A6438+$C$2:$C6438)), "")*24*60, "")</f>
        <v/>
      </c>
      <c r="S6439" s="24" t="str" cm="1">
        <f t="array" ref="S6439">IFERROR(IF($B6439=S$1, ($A6439+$C6439) - MAX(IF($B$2:$B6438=$B6439, $A$2:$A6438+$C$2:$C6438)), "")*24*60, "")</f>
        <v/>
      </c>
    </row>
    <row r="6440" spans="1:19" x14ac:dyDescent="0.2">
      <c r="A6440" s="12">
        <f t="shared" ref="A6440:C6440" si="1329">A6439</f>
        <v>45990</v>
      </c>
      <c r="B6440" s="5" t="str">
        <f t="shared" si="1329"/>
        <v>Northern Cardinal</v>
      </c>
      <c r="C6440" s="6">
        <f t="shared" si="1329"/>
        <v>0.28333333333333333</v>
      </c>
      <c r="D6440" s="5"/>
      <c r="E6440" s="5"/>
      <c r="F6440" s="5" t="s">
        <v>8</v>
      </c>
      <c r="G6440" s="15" t="s">
        <v>9</v>
      </c>
      <c r="H6440" s="24">
        <f t="shared" si="1251"/>
        <v>0</v>
      </c>
      <c r="I6440" s="24" cm="1">
        <f t="array" ref="I6440">IFERROR(IF($B6440=I$1, ($A6440+$C6440) - MAX(IF($B$2:$B6439=$B6440, $A$2:$A6439+$C$2:$C6439)), "")*24*60, "")</f>
        <v>0</v>
      </c>
      <c r="J6440" s="24" t="str" cm="1">
        <f t="array" ref="J6440">IFERROR(IF($B6440=J$1, ($A6440+$C6440) - MAX(IF($B$2:$B6439=$B6440, $A$2:$A6439+$C$2:$C6439)), "")*24*60, "")</f>
        <v/>
      </c>
      <c r="K6440" s="24" t="str" cm="1">
        <f t="array" ref="K6440">IFERROR(IF($B6440=K$1, ($A6440+$C6440) - MAX(IF($B$2:$B6439=$B6440, $A$2:$A6439+$C$2:$C6439)), "")*24*60, "")</f>
        <v/>
      </c>
      <c r="L6440" s="24" t="str" cm="1">
        <f t="array" ref="L6440">IFERROR(IF($B6440=L$1, ($A6440+$C6440) - MAX(IF($B$2:$B6439=$B6440, $A$2:$A6439+$C$2:$C6439)), "")*24*60, "")</f>
        <v/>
      </c>
      <c r="M6440" s="24" t="str" cm="1">
        <f t="array" ref="M6440">IFERROR(IF($B6440=M$1, ($A6440+$C6440) - MAX(IF($B$2:$B6439=$B6440, $A$2:$A6439+$C$2:$C6439)), "")*24*60, "")</f>
        <v/>
      </c>
      <c r="N6440" s="24" t="str" cm="1">
        <f t="array" ref="N6440">IFERROR(IF($B6440=N$1, ($A6440+$C6440) - MAX(IF($B$2:$B6439=$B6440, $A$2:$A6439+$C$2:$C6439)), "")*24*60, "")</f>
        <v/>
      </c>
      <c r="O6440" s="24" t="str" cm="1">
        <f t="array" ref="O6440">IFERROR(IF($B6440=O$1, ($A6440+$C6440) - MAX(IF($B$2:$B6439=$B6440, $A$2:$A6439+$C$2:$C6439)), "")*24*60, "")</f>
        <v/>
      </c>
      <c r="P6440" s="24" t="str" cm="1">
        <f t="array" ref="P6440">IFERROR(IF($B6440=P$1, ($A6440+$C6440) - MAX(IF($B$2:$B6439=$B6440, $A$2:$A6439+$C$2:$C6439)), "")*24*60, "")</f>
        <v/>
      </c>
      <c r="Q6440" s="24" t="str" cm="1">
        <f t="array" ref="Q6440">IFERROR(IF($B6440=Q$1, ($A6440+$C6440) - MAX(IF($B$2:$B6439=$B6440, $A$2:$A6439+$C$2:$C6439)), "")*24*60, "")</f>
        <v/>
      </c>
      <c r="R6440" s="24" t="str" cm="1">
        <f t="array" ref="R6440">IFERROR(IF($B6440=R$1, ($A6440+$C6440) - MAX(IF($B$2:$B6439=$B6440, $A$2:$A6439+$C$2:$C6439)), "")*24*60, "")</f>
        <v/>
      </c>
      <c r="S6440" s="24" t="str" cm="1">
        <f t="array" ref="S6440">IFERROR(IF($B6440=S$1, ($A6440+$C6440) - MAX(IF($B$2:$B6439=$B6440, $A$2:$A6439+$C$2:$C6439)), "")*24*60, "")</f>
        <v/>
      </c>
    </row>
    <row r="6441" spans="1:19" x14ac:dyDescent="0.2">
      <c r="A6441" s="12">
        <f t="shared" ref="A6441:C6441" si="1330">A6440</f>
        <v>45990</v>
      </c>
      <c r="B6441" s="5" t="str">
        <f t="shared" si="1330"/>
        <v>Northern Cardinal</v>
      </c>
      <c r="C6441" s="6">
        <f t="shared" si="1330"/>
        <v>0.28333333333333333</v>
      </c>
      <c r="D6441" s="5"/>
      <c r="E6441" s="5"/>
      <c r="F6441" s="5" t="s">
        <v>8</v>
      </c>
      <c r="G6441" s="15" t="s">
        <v>9</v>
      </c>
      <c r="H6441" s="24">
        <f t="shared" si="1251"/>
        <v>0</v>
      </c>
      <c r="I6441" s="24" cm="1">
        <f t="array" ref="I6441">IFERROR(IF($B6441=I$1, ($A6441+$C6441) - MAX(IF($B$2:$B6440=$B6441, $A$2:$A6440+$C$2:$C6440)), "")*24*60, "")</f>
        <v>0</v>
      </c>
      <c r="J6441" s="24" t="str" cm="1">
        <f t="array" ref="J6441">IFERROR(IF($B6441=J$1, ($A6441+$C6441) - MAX(IF($B$2:$B6440=$B6441, $A$2:$A6440+$C$2:$C6440)), "")*24*60, "")</f>
        <v/>
      </c>
      <c r="K6441" s="24" t="str" cm="1">
        <f t="array" ref="K6441">IFERROR(IF($B6441=K$1, ($A6441+$C6441) - MAX(IF($B$2:$B6440=$B6441, $A$2:$A6440+$C$2:$C6440)), "")*24*60, "")</f>
        <v/>
      </c>
      <c r="L6441" s="24" t="str" cm="1">
        <f t="array" ref="L6441">IFERROR(IF($B6441=L$1, ($A6441+$C6441) - MAX(IF($B$2:$B6440=$B6441, $A$2:$A6440+$C$2:$C6440)), "")*24*60, "")</f>
        <v/>
      </c>
      <c r="M6441" s="24" t="str" cm="1">
        <f t="array" ref="M6441">IFERROR(IF($B6441=M$1, ($A6441+$C6441) - MAX(IF($B$2:$B6440=$B6441, $A$2:$A6440+$C$2:$C6440)), "")*24*60, "")</f>
        <v/>
      </c>
      <c r="N6441" s="24" t="str" cm="1">
        <f t="array" ref="N6441">IFERROR(IF($B6441=N$1, ($A6441+$C6441) - MAX(IF($B$2:$B6440=$B6441, $A$2:$A6440+$C$2:$C6440)), "")*24*60, "")</f>
        <v/>
      </c>
      <c r="O6441" s="24" t="str" cm="1">
        <f t="array" ref="O6441">IFERROR(IF($B6441=O$1, ($A6441+$C6441) - MAX(IF($B$2:$B6440=$B6441, $A$2:$A6440+$C$2:$C6440)), "")*24*60, "")</f>
        <v/>
      </c>
      <c r="P6441" s="24" t="str" cm="1">
        <f t="array" ref="P6441">IFERROR(IF($B6441=P$1, ($A6441+$C6441) - MAX(IF($B$2:$B6440=$B6441, $A$2:$A6440+$C$2:$C6440)), "")*24*60, "")</f>
        <v/>
      </c>
      <c r="Q6441" s="24" t="str" cm="1">
        <f t="array" ref="Q6441">IFERROR(IF($B6441=Q$1, ($A6441+$C6441) - MAX(IF($B$2:$B6440=$B6441, $A$2:$A6440+$C$2:$C6440)), "")*24*60, "")</f>
        <v/>
      </c>
      <c r="R6441" s="24" t="str" cm="1">
        <f t="array" ref="R6441">IFERROR(IF($B6441=R$1, ($A6441+$C6441) - MAX(IF($B$2:$B6440=$B6441, $A$2:$A6440+$C$2:$C6440)), "")*24*60, "")</f>
        <v/>
      </c>
      <c r="S6441" s="24" t="str" cm="1">
        <f t="array" ref="S6441">IFERROR(IF($B6441=S$1, ($A6441+$C6441) - MAX(IF($B$2:$B6440=$B6441, $A$2:$A6440+$C$2:$C6440)), "")*24*60, "")</f>
        <v/>
      </c>
    </row>
    <row r="6442" spans="1:19" x14ac:dyDescent="0.2">
      <c r="A6442" s="12">
        <f t="shared" ref="A6442:C6442" si="1331">A6441</f>
        <v>45990</v>
      </c>
      <c r="B6442" s="5" t="str">
        <f t="shared" si="1331"/>
        <v>Northern Cardinal</v>
      </c>
      <c r="C6442" s="6">
        <f t="shared" si="1331"/>
        <v>0.28333333333333333</v>
      </c>
      <c r="D6442" s="5"/>
      <c r="E6442" s="5"/>
      <c r="F6442" s="5" t="s">
        <v>8</v>
      </c>
      <c r="G6442" s="15" t="s">
        <v>9</v>
      </c>
      <c r="H6442" s="24">
        <f t="shared" si="1251"/>
        <v>0</v>
      </c>
      <c r="I6442" s="24" cm="1">
        <f t="array" ref="I6442">IFERROR(IF($B6442=I$1, ($A6442+$C6442) - MAX(IF($B$2:$B6441=$B6442, $A$2:$A6441+$C$2:$C6441)), "")*24*60, "")</f>
        <v>0</v>
      </c>
      <c r="J6442" s="24" t="str" cm="1">
        <f t="array" ref="J6442">IFERROR(IF($B6442=J$1, ($A6442+$C6442) - MAX(IF($B$2:$B6441=$B6442, $A$2:$A6441+$C$2:$C6441)), "")*24*60, "")</f>
        <v/>
      </c>
      <c r="K6442" s="24" t="str" cm="1">
        <f t="array" ref="K6442">IFERROR(IF($B6442=K$1, ($A6442+$C6442) - MAX(IF($B$2:$B6441=$B6442, $A$2:$A6441+$C$2:$C6441)), "")*24*60, "")</f>
        <v/>
      </c>
      <c r="L6442" s="24" t="str" cm="1">
        <f t="array" ref="L6442">IFERROR(IF($B6442=L$1, ($A6442+$C6442) - MAX(IF($B$2:$B6441=$B6442, $A$2:$A6441+$C$2:$C6441)), "")*24*60, "")</f>
        <v/>
      </c>
      <c r="M6442" s="24" t="str" cm="1">
        <f t="array" ref="M6442">IFERROR(IF($B6442=M$1, ($A6442+$C6442) - MAX(IF($B$2:$B6441=$B6442, $A$2:$A6441+$C$2:$C6441)), "")*24*60, "")</f>
        <v/>
      </c>
      <c r="N6442" s="24" t="str" cm="1">
        <f t="array" ref="N6442">IFERROR(IF($B6442=N$1, ($A6442+$C6442) - MAX(IF($B$2:$B6441=$B6442, $A$2:$A6441+$C$2:$C6441)), "")*24*60, "")</f>
        <v/>
      </c>
      <c r="O6442" s="24" t="str" cm="1">
        <f t="array" ref="O6442">IFERROR(IF($B6442=O$1, ($A6442+$C6442) - MAX(IF($B$2:$B6441=$B6442, $A$2:$A6441+$C$2:$C6441)), "")*24*60, "")</f>
        <v/>
      </c>
      <c r="P6442" s="24" t="str" cm="1">
        <f t="array" ref="P6442">IFERROR(IF($B6442=P$1, ($A6442+$C6442) - MAX(IF($B$2:$B6441=$B6442, $A$2:$A6441+$C$2:$C6441)), "")*24*60, "")</f>
        <v/>
      </c>
      <c r="Q6442" s="24" t="str" cm="1">
        <f t="array" ref="Q6442">IFERROR(IF($B6442=Q$1, ($A6442+$C6442) - MAX(IF($B$2:$B6441=$B6442, $A$2:$A6441+$C$2:$C6441)), "")*24*60, "")</f>
        <v/>
      </c>
      <c r="R6442" s="24" t="str" cm="1">
        <f t="array" ref="R6442">IFERROR(IF($B6442=R$1, ($A6442+$C6442) - MAX(IF($B$2:$B6441=$B6442, $A$2:$A6441+$C$2:$C6441)), "")*24*60, "")</f>
        <v/>
      </c>
      <c r="S6442" s="24" t="str" cm="1">
        <f t="array" ref="S6442">IFERROR(IF($B6442=S$1, ($A6442+$C6442) - MAX(IF($B$2:$B6441=$B6442, $A$2:$A6441+$C$2:$C6441)), "")*24*60, "")</f>
        <v/>
      </c>
    </row>
    <row r="6443" spans="1:19" x14ac:dyDescent="0.2">
      <c r="A6443" s="12">
        <f t="shared" ref="A6443:C6443" si="1332">A6442</f>
        <v>45990</v>
      </c>
      <c r="B6443" s="5" t="str">
        <f t="shared" si="1332"/>
        <v>Northern Cardinal</v>
      </c>
      <c r="C6443" s="6">
        <f t="shared" si="1332"/>
        <v>0.28333333333333333</v>
      </c>
      <c r="D6443" s="5"/>
      <c r="E6443" s="5"/>
      <c r="F6443" s="5" t="s">
        <v>8</v>
      </c>
      <c r="G6443" s="15" t="s">
        <v>9</v>
      </c>
      <c r="H6443" s="24">
        <f t="shared" si="1251"/>
        <v>0</v>
      </c>
      <c r="I6443" s="24" cm="1">
        <f t="array" ref="I6443">IFERROR(IF($B6443=I$1, ($A6443+$C6443) - MAX(IF($B$2:$B6442=$B6443, $A$2:$A6442+$C$2:$C6442)), "")*24*60, "")</f>
        <v>0</v>
      </c>
      <c r="J6443" s="24" t="str" cm="1">
        <f t="array" ref="J6443">IFERROR(IF($B6443=J$1, ($A6443+$C6443) - MAX(IF($B$2:$B6442=$B6443, $A$2:$A6442+$C$2:$C6442)), "")*24*60, "")</f>
        <v/>
      </c>
      <c r="K6443" s="24" t="str" cm="1">
        <f t="array" ref="K6443">IFERROR(IF($B6443=K$1, ($A6443+$C6443) - MAX(IF($B$2:$B6442=$B6443, $A$2:$A6442+$C$2:$C6442)), "")*24*60, "")</f>
        <v/>
      </c>
      <c r="L6443" s="24" t="str" cm="1">
        <f t="array" ref="L6443">IFERROR(IF($B6443=L$1, ($A6443+$C6443) - MAX(IF($B$2:$B6442=$B6443, $A$2:$A6442+$C$2:$C6442)), "")*24*60, "")</f>
        <v/>
      </c>
      <c r="M6443" s="24" t="str" cm="1">
        <f t="array" ref="M6443">IFERROR(IF($B6443=M$1, ($A6443+$C6443) - MAX(IF($B$2:$B6442=$B6443, $A$2:$A6442+$C$2:$C6442)), "")*24*60, "")</f>
        <v/>
      </c>
      <c r="N6443" s="24" t="str" cm="1">
        <f t="array" ref="N6443">IFERROR(IF($B6443=N$1, ($A6443+$C6443) - MAX(IF($B$2:$B6442=$B6443, $A$2:$A6442+$C$2:$C6442)), "")*24*60, "")</f>
        <v/>
      </c>
      <c r="O6443" s="24" t="str" cm="1">
        <f t="array" ref="O6443">IFERROR(IF($B6443=O$1, ($A6443+$C6443) - MAX(IF($B$2:$B6442=$B6443, $A$2:$A6442+$C$2:$C6442)), "")*24*60, "")</f>
        <v/>
      </c>
      <c r="P6443" s="24" t="str" cm="1">
        <f t="array" ref="P6443">IFERROR(IF($B6443=P$1, ($A6443+$C6443) - MAX(IF($B$2:$B6442=$B6443, $A$2:$A6442+$C$2:$C6442)), "")*24*60, "")</f>
        <v/>
      </c>
      <c r="Q6443" s="24" t="str" cm="1">
        <f t="array" ref="Q6443">IFERROR(IF($B6443=Q$1, ($A6443+$C6443) - MAX(IF($B$2:$B6442=$B6443, $A$2:$A6442+$C$2:$C6442)), "")*24*60, "")</f>
        <v/>
      </c>
      <c r="R6443" s="24" t="str" cm="1">
        <f t="array" ref="R6443">IFERROR(IF($B6443=R$1, ($A6443+$C6443) - MAX(IF($B$2:$B6442=$B6443, $A$2:$A6442+$C$2:$C6442)), "")*24*60, "")</f>
        <v/>
      </c>
      <c r="S6443" s="24" t="str" cm="1">
        <f t="array" ref="S6443">IFERROR(IF($B6443=S$1, ($A6443+$C6443) - MAX(IF($B$2:$B6442=$B6443, $A$2:$A6442+$C$2:$C6442)), "")*24*60, "")</f>
        <v/>
      </c>
    </row>
    <row r="6444" spans="1:19" x14ac:dyDescent="0.2">
      <c r="A6444" s="12">
        <f t="shared" ref="A6444:C6444" si="1333">A6443</f>
        <v>45990</v>
      </c>
      <c r="B6444" s="5" t="str">
        <f t="shared" si="1333"/>
        <v>Northern Cardinal</v>
      </c>
      <c r="C6444" s="6">
        <f t="shared" si="1333"/>
        <v>0.28333333333333333</v>
      </c>
      <c r="D6444" s="5"/>
      <c r="E6444" s="5"/>
      <c r="F6444" s="5" t="s">
        <v>8</v>
      </c>
      <c r="G6444" s="15" t="s">
        <v>9</v>
      </c>
      <c r="H6444" s="24">
        <f t="shared" si="1251"/>
        <v>0</v>
      </c>
      <c r="I6444" s="24" cm="1">
        <f t="array" ref="I6444">IFERROR(IF($B6444=I$1, ($A6444+$C6444) - MAX(IF($B$2:$B6443=$B6444, $A$2:$A6443+$C$2:$C6443)), "")*24*60, "")</f>
        <v>0</v>
      </c>
      <c r="J6444" s="24" t="str" cm="1">
        <f t="array" ref="J6444">IFERROR(IF($B6444=J$1, ($A6444+$C6444) - MAX(IF($B$2:$B6443=$B6444, $A$2:$A6443+$C$2:$C6443)), "")*24*60, "")</f>
        <v/>
      </c>
      <c r="K6444" s="24" t="str" cm="1">
        <f t="array" ref="K6444">IFERROR(IF($B6444=K$1, ($A6444+$C6444) - MAX(IF($B$2:$B6443=$B6444, $A$2:$A6443+$C$2:$C6443)), "")*24*60, "")</f>
        <v/>
      </c>
      <c r="L6444" s="24" t="str" cm="1">
        <f t="array" ref="L6444">IFERROR(IF($B6444=L$1, ($A6444+$C6444) - MAX(IF($B$2:$B6443=$B6444, $A$2:$A6443+$C$2:$C6443)), "")*24*60, "")</f>
        <v/>
      </c>
      <c r="M6444" s="24" t="str" cm="1">
        <f t="array" ref="M6444">IFERROR(IF($B6444=M$1, ($A6444+$C6444) - MAX(IF($B$2:$B6443=$B6444, $A$2:$A6443+$C$2:$C6443)), "")*24*60, "")</f>
        <v/>
      </c>
      <c r="N6444" s="24" t="str" cm="1">
        <f t="array" ref="N6444">IFERROR(IF($B6444=N$1, ($A6444+$C6444) - MAX(IF($B$2:$B6443=$B6444, $A$2:$A6443+$C$2:$C6443)), "")*24*60, "")</f>
        <v/>
      </c>
      <c r="O6444" s="24" t="str" cm="1">
        <f t="array" ref="O6444">IFERROR(IF($B6444=O$1, ($A6444+$C6444) - MAX(IF($B$2:$B6443=$B6444, $A$2:$A6443+$C$2:$C6443)), "")*24*60, "")</f>
        <v/>
      </c>
      <c r="P6444" s="24" t="str" cm="1">
        <f t="array" ref="P6444">IFERROR(IF($B6444=P$1, ($A6444+$C6444) - MAX(IF($B$2:$B6443=$B6444, $A$2:$A6443+$C$2:$C6443)), "")*24*60, "")</f>
        <v/>
      </c>
      <c r="Q6444" s="24" t="str" cm="1">
        <f t="array" ref="Q6444">IFERROR(IF($B6444=Q$1, ($A6444+$C6444) - MAX(IF($B$2:$B6443=$B6444, $A$2:$A6443+$C$2:$C6443)), "")*24*60, "")</f>
        <v/>
      </c>
      <c r="R6444" s="24" t="str" cm="1">
        <f t="array" ref="R6444">IFERROR(IF($B6444=R$1, ($A6444+$C6444) - MAX(IF($B$2:$B6443=$B6444, $A$2:$A6443+$C$2:$C6443)), "")*24*60, "")</f>
        <v/>
      </c>
      <c r="S6444" s="24" t="str" cm="1">
        <f t="array" ref="S6444">IFERROR(IF($B6444=S$1, ($A6444+$C6444) - MAX(IF($B$2:$B6443=$B6444, $A$2:$A6443+$C$2:$C6443)), "")*24*60, "")</f>
        <v/>
      </c>
    </row>
    <row r="6445" spans="1:19" x14ac:dyDescent="0.2">
      <c r="A6445" s="12">
        <f t="shared" ref="A6445:C6445" si="1334">A6444</f>
        <v>45990</v>
      </c>
      <c r="B6445" s="5" t="str">
        <f t="shared" si="1334"/>
        <v>Northern Cardinal</v>
      </c>
      <c r="C6445" s="6">
        <f t="shared" si="1334"/>
        <v>0.28333333333333333</v>
      </c>
      <c r="D6445" s="5"/>
      <c r="E6445" s="5"/>
      <c r="F6445" s="5" t="s">
        <v>8</v>
      </c>
      <c r="G6445" s="15" t="s">
        <v>9</v>
      </c>
      <c r="H6445" s="24">
        <f t="shared" si="1251"/>
        <v>0</v>
      </c>
      <c r="I6445" s="24" cm="1">
        <f t="array" ref="I6445">IFERROR(IF($B6445=I$1, ($A6445+$C6445) - MAX(IF($B$2:$B6444=$B6445, $A$2:$A6444+$C$2:$C6444)), "")*24*60, "")</f>
        <v>0</v>
      </c>
      <c r="J6445" s="24" t="str" cm="1">
        <f t="array" ref="J6445">IFERROR(IF($B6445=J$1, ($A6445+$C6445) - MAX(IF($B$2:$B6444=$B6445, $A$2:$A6444+$C$2:$C6444)), "")*24*60, "")</f>
        <v/>
      </c>
      <c r="K6445" s="24" t="str" cm="1">
        <f t="array" ref="K6445">IFERROR(IF($B6445=K$1, ($A6445+$C6445) - MAX(IF($B$2:$B6444=$B6445, $A$2:$A6444+$C$2:$C6444)), "")*24*60, "")</f>
        <v/>
      </c>
      <c r="L6445" s="24" t="str" cm="1">
        <f t="array" ref="L6445">IFERROR(IF($B6445=L$1, ($A6445+$C6445) - MAX(IF($B$2:$B6444=$B6445, $A$2:$A6444+$C$2:$C6444)), "")*24*60, "")</f>
        <v/>
      </c>
      <c r="M6445" s="24" t="str" cm="1">
        <f t="array" ref="M6445">IFERROR(IF($B6445=M$1, ($A6445+$C6445) - MAX(IF($B$2:$B6444=$B6445, $A$2:$A6444+$C$2:$C6444)), "")*24*60, "")</f>
        <v/>
      </c>
      <c r="N6445" s="24" t="str" cm="1">
        <f t="array" ref="N6445">IFERROR(IF($B6445=N$1, ($A6445+$C6445) - MAX(IF($B$2:$B6444=$B6445, $A$2:$A6444+$C$2:$C6444)), "")*24*60, "")</f>
        <v/>
      </c>
      <c r="O6445" s="24" t="str" cm="1">
        <f t="array" ref="O6445">IFERROR(IF($B6445=O$1, ($A6445+$C6445) - MAX(IF($B$2:$B6444=$B6445, $A$2:$A6444+$C$2:$C6444)), "")*24*60, "")</f>
        <v/>
      </c>
      <c r="P6445" s="24" t="str" cm="1">
        <f t="array" ref="P6445">IFERROR(IF($B6445=P$1, ($A6445+$C6445) - MAX(IF($B$2:$B6444=$B6445, $A$2:$A6444+$C$2:$C6444)), "")*24*60, "")</f>
        <v/>
      </c>
      <c r="Q6445" s="24" t="str" cm="1">
        <f t="array" ref="Q6445">IFERROR(IF($B6445=Q$1, ($A6445+$C6445) - MAX(IF($B$2:$B6444=$B6445, $A$2:$A6444+$C$2:$C6444)), "")*24*60, "")</f>
        <v/>
      </c>
      <c r="R6445" s="24" t="str" cm="1">
        <f t="array" ref="R6445">IFERROR(IF($B6445=R$1, ($A6445+$C6445) - MAX(IF($B$2:$B6444=$B6445, $A$2:$A6444+$C$2:$C6444)), "")*24*60, "")</f>
        <v/>
      </c>
      <c r="S6445" s="24" t="str" cm="1">
        <f t="array" ref="S6445">IFERROR(IF($B6445=S$1, ($A6445+$C6445) - MAX(IF($B$2:$B6444=$B6445, $A$2:$A6444+$C$2:$C6444)), "")*24*60, "")</f>
        <v/>
      </c>
    </row>
    <row r="6446" spans="1:19" x14ac:dyDescent="0.2">
      <c r="A6446" s="12">
        <f t="shared" ref="A6446:C6446" si="1335">A6445</f>
        <v>45990</v>
      </c>
      <c r="B6446" s="5" t="str">
        <f t="shared" si="1335"/>
        <v>Northern Cardinal</v>
      </c>
      <c r="C6446" s="6">
        <f t="shared" si="1335"/>
        <v>0.28333333333333333</v>
      </c>
      <c r="D6446" s="5"/>
      <c r="E6446" s="5"/>
      <c r="F6446" s="5" t="s">
        <v>8</v>
      </c>
      <c r="G6446" s="15" t="s">
        <v>9</v>
      </c>
      <c r="H6446" s="24">
        <f t="shared" si="1251"/>
        <v>0</v>
      </c>
      <c r="I6446" s="24" cm="1">
        <f t="array" ref="I6446">IFERROR(IF($B6446=I$1, ($A6446+$C6446) - MAX(IF($B$2:$B6445=$B6446, $A$2:$A6445+$C$2:$C6445)), "")*24*60, "")</f>
        <v>0</v>
      </c>
      <c r="J6446" s="24" t="str" cm="1">
        <f t="array" ref="J6446">IFERROR(IF($B6446=J$1, ($A6446+$C6446) - MAX(IF($B$2:$B6445=$B6446, $A$2:$A6445+$C$2:$C6445)), "")*24*60, "")</f>
        <v/>
      </c>
      <c r="K6446" s="24" t="str" cm="1">
        <f t="array" ref="K6446">IFERROR(IF($B6446=K$1, ($A6446+$C6446) - MAX(IF($B$2:$B6445=$B6446, $A$2:$A6445+$C$2:$C6445)), "")*24*60, "")</f>
        <v/>
      </c>
      <c r="L6446" s="24" t="str" cm="1">
        <f t="array" ref="L6446">IFERROR(IF($B6446=L$1, ($A6446+$C6446) - MAX(IF($B$2:$B6445=$B6446, $A$2:$A6445+$C$2:$C6445)), "")*24*60, "")</f>
        <v/>
      </c>
      <c r="M6446" s="24" t="str" cm="1">
        <f t="array" ref="M6446">IFERROR(IF($B6446=M$1, ($A6446+$C6446) - MAX(IF($B$2:$B6445=$B6446, $A$2:$A6445+$C$2:$C6445)), "")*24*60, "")</f>
        <v/>
      </c>
      <c r="N6446" s="24" t="str" cm="1">
        <f t="array" ref="N6446">IFERROR(IF($B6446=N$1, ($A6446+$C6446) - MAX(IF($B$2:$B6445=$B6446, $A$2:$A6445+$C$2:$C6445)), "")*24*60, "")</f>
        <v/>
      </c>
      <c r="O6446" s="24" t="str" cm="1">
        <f t="array" ref="O6446">IFERROR(IF($B6446=O$1, ($A6446+$C6446) - MAX(IF($B$2:$B6445=$B6446, $A$2:$A6445+$C$2:$C6445)), "")*24*60, "")</f>
        <v/>
      </c>
      <c r="P6446" s="24" t="str" cm="1">
        <f t="array" ref="P6446">IFERROR(IF($B6446=P$1, ($A6446+$C6446) - MAX(IF($B$2:$B6445=$B6446, $A$2:$A6445+$C$2:$C6445)), "")*24*60, "")</f>
        <v/>
      </c>
      <c r="Q6446" s="24" t="str" cm="1">
        <f t="array" ref="Q6446">IFERROR(IF($B6446=Q$1, ($A6446+$C6446) - MAX(IF($B$2:$B6445=$B6446, $A$2:$A6445+$C$2:$C6445)), "")*24*60, "")</f>
        <v/>
      </c>
      <c r="R6446" s="24" t="str" cm="1">
        <f t="array" ref="R6446">IFERROR(IF($B6446=R$1, ($A6446+$C6446) - MAX(IF($B$2:$B6445=$B6446, $A$2:$A6445+$C$2:$C6445)), "")*24*60, "")</f>
        <v/>
      </c>
      <c r="S6446" s="24" t="str" cm="1">
        <f t="array" ref="S6446">IFERROR(IF($B6446=S$1, ($A6446+$C6446) - MAX(IF($B$2:$B6445=$B6446, $A$2:$A6445+$C$2:$C6445)), "")*24*60, "")</f>
        <v/>
      </c>
    </row>
    <row r="6447" spans="1:19" x14ac:dyDescent="0.2">
      <c r="A6447" s="12">
        <f t="shared" ref="A6447:C6447" si="1336">A6446</f>
        <v>45990</v>
      </c>
      <c r="B6447" s="5" t="str">
        <f t="shared" si="1336"/>
        <v>Northern Cardinal</v>
      </c>
      <c r="C6447" s="6">
        <f t="shared" si="1336"/>
        <v>0.28333333333333333</v>
      </c>
      <c r="D6447" s="5"/>
      <c r="E6447" s="5"/>
      <c r="F6447" s="5" t="s">
        <v>8</v>
      </c>
      <c r="G6447" s="15" t="s">
        <v>9</v>
      </c>
      <c r="H6447" s="24">
        <f t="shared" si="1251"/>
        <v>0</v>
      </c>
      <c r="I6447" s="24" cm="1">
        <f t="array" ref="I6447">IFERROR(IF($B6447=I$1, ($A6447+$C6447) - MAX(IF($B$2:$B6446=$B6447, $A$2:$A6446+$C$2:$C6446)), "")*24*60, "")</f>
        <v>0</v>
      </c>
      <c r="J6447" s="24" t="str" cm="1">
        <f t="array" ref="J6447">IFERROR(IF($B6447=J$1, ($A6447+$C6447) - MAX(IF($B$2:$B6446=$B6447, $A$2:$A6446+$C$2:$C6446)), "")*24*60, "")</f>
        <v/>
      </c>
      <c r="K6447" s="24" t="str" cm="1">
        <f t="array" ref="K6447">IFERROR(IF($B6447=K$1, ($A6447+$C6447) - MAX(IF($B$2:$B6446=$B6447, $A$2:$A6446+$C$2:$C6446)), "")*24*60, "")</f>
        <v/>
      </c>
      <c r="L6447" s="24" t="str" cm="1">
        <f t="array" ref="L6447">IFERROR(IF($B6447=L$1, ($A6447+$C6447) - MAX(IF($B$2:$B6446=$B6447, $A$2:$A6446+$C$2:$C6446)), "")*24*60, "")</f>
        <v/>
      </c>
      <c r="M6447" s="24" t="str" cm="1">
        <f t="array" ref="M6447">IFERROR(IF($B6447=M$1, ($A6447+$C6447) - MAX(IF($B$2:$B6446=$B6447, $A$2:$A6446+$C$2:$C6446)), "")*24*60, "")</f>
        <v/>
      </c>
      <c r="N6447" s="24" t="str" cm="1">
        <f t="array" ref="N6447">IFERROR(IF($B6447=N$1, ($A6447+$C6447) - MAX(IF($B$2:$B6446=$B6447, $A$2:$A6446+$C$2:$C6446)), "")*24*60, "")</f>
        <v/>
      </c>
      <c r="O6447" s="24" t="str" cm="1">
        <f t="array" ref="O6447">IFERROR(IF($B6447=O$1, ($A6447+$C6447) - MAX(IF($B$2:$B6446=$B6447, $A$2:$A6446+$C$2:$C6446)), "")*24*60, "")</f>
        <v/>
      </c>
      <c r="P6447" s="24" t="str" cm="1">
        <f t="array" ref="P6447">IFERROR(IF($B6447=P$1, ($A6447+$C6447) - MAX(IF($B$2:$B6446=$B6447, $A$2:$A6446+$C$2:$C6446)), "")*24*60, "")</f>
        <v/>
      </c>
      <c r="Q6447" s="24" t="str" cm="1">
        <f t="array" ref="Q6447">IFERROR(IF($B6447=Q$1, ($A6447+$C6447) - MAX(IF($B$2:$B6446=$B6447, $A$2:$A6446+$C$2:$C6446)), "")*24*60, "")</f>
        <v/>
      </c>
      <c r="R6447" s="24" t="str" cm="1">
        <f t="array" ref="R6447">IFERROR(IF($B6447=R$1, ($A6447+$C6447) - MAX(IF($B$2:$B6446=$B6447, $A$2:$A6446+$C$2:$C6446)), "")*24*60, "")</f>
        <v/>
      </c>
      <c r="S6447" s="24" t="str" cm="1">
        <f t="array" ref="S6447">IFERROR(IF($B6447=S$1, ($A6447+$C6447) - MAX(IF($B$2:$B6446=$B6447, $A$2:$A6446+$C$2:$C6446)), "")*24*60, "")</f>
        <v/>
      </c>
    </row>
    <row r="6448" spans="1:19" x14ac:dyDescent="0.2">
      <c r="A6448" s="12">
        <f t="shared" ref="A6448:C6448" si="1337">A6447</f>
        <v>45990</v>
      </c>
      <c r="B6448" s="5" t="str">
        <f t="shared" si="1337"/>
        <v>Northern Cardinal</v>
      </c>
      <c r="C6448" s="6">
        <f t="shared" si="1337"/>
        <v>0.28333333333333333</v>
      </c>
      <c r="D6448" s="5"/>
      <c r="E6448" s="5"/>
      <c r="F6448" s="5" t="s">
        <v>8</v>
      </c>
      <c r="G6448" s="15" t="s">
        <v>9</v>
      </c>
      <c r="H6448" s="24">
        <f t="shared" si="1251"/>
        <v>0</v>
      </c>
      <c r="I6448" s="24" cm="1">
        <f t="array" ref="I6448">IFERROR(IF($B6448=I$1, ($A6448+$C6448) - MAX(IF($B$2:$B6447=$B6448, $A$2:$A6447+$C$2:$C6447)), "")*24*60, "")</f>
        <v>0</v>
      </c>
      <c r="J6448" s="24" t="str" cm="1">
        <f t="array" ref="J6448">IFERROR(IF($B6448=J$1, ($A6448+$C6448) - MAX(IF($B$2:$B6447=$B6448, $A$2:$A6447+$C$2:$C6447)), "")*24*60, "")</f>
        <v/>
      </c>
      <c r="K6448" s="24" t="str" cm="1">
        <f t="array" ref="K6448">IFERROR(IF($B6448=K$1, ($A6448+$C6448) - MAX(IF($B$2:$B6447=$B6448, $A$2:$A6447+$C$2:$C6447)), "")*24*60, "")</f>
        <v/>
      </c>
      <c r="L6448" s="24" t="str" cm="1">
        <f t="array" ref="L6448">IFERROR(IF($B6448=L$1, ($A6448+$C6448) - MAX(IF($B$2:$B6447=$B6448, $A$2:$A6447+$C$2:$C6447)), "")*24*60, "")</f>
        <v/>
      </c>
      <c r="M6448" s="24" t="str" cm="1">
        <f t="array" ref="M6448">IFERROR(IF($B6448=M$1, ($A6448+$C6448) - MAX(IF($B$2:$B6447=$B6448, $A$2:$A6447+$C$2:$C6447)), "")*24*60, "")</f>
        <v/>
      </c>
      <c r="N6448" s="24" t="str" cm="1">
        <f t="array" ref="N6448">IFERROR(IF($B6448=N$1, ($A6448+$C6448) - MAX(IF($B$2:$B6447=$B6448, $A$2:$A6447+$C$2:$C6447)), "")*24*60, "")</f>
        <v/>
      </c>
      <c r="O6448" s="24" t="str" cm="1">
        <f t="array" ref="O6448">IFERROR(IF($B6448=O$1, ($A6448+$C6448) - MAX(IF($B$2:$B6447=$B6448, $A$2:$A6447+$C$2:$C6447)), "")*24*60, "")</f>
        <v/>
      </c>
      <c r="P6448" s="24" t="str" cm="1">
        <f t="array" ref="P6448">IFERROR(IF($B6448=P$1, ($A6448+$C6448) - MAX(IF($B$2:$B6447=$B6448, $A$2:$A6447+$C$2:$C6447)), "")*24*60, "")</f>
        <v/>
      </c>
      <c r="Q6448" s="24" t="str" cm="1">
        <f t="array" ref="Q6448">IFERROR(IF($B6448=Q$1, ($A6448+$C6448) - MAX(IF($B$2:$B6447=$B6448, $A$2:$A6447+$C$2:$C6447)), "")*24*60, "")</f>
        <v/>
      </c>
      <c r="R6448" s="24" t="str" cm="1">
        <f t="array" ref="R6448">IFERROR(IF($B6448=R$1, ($A6448+$C6448) - MAX(IF($B$2:$B6447=$B6448, $A$2:$A6447+$C$2:$C6447)), "")*24*60, "")</f>
        <v/>
      </c>
      <c r="S6448" s="24" t="str" cm="1">
        <f t="array" ref="S6448">IFERROR(IF($B6448=S$1, ($A6448+$C6448) - MAX(IF($B$2:$B6447=$B6448, $A$2:$A6447+$C$2:$C6447)), "")*24*60, "")</f>
        <v/>
      </c>
    </row>
    <row r="6449" spans="1:19" x14ac:dyDescent="0.2">
      <c r="A6449" s="12">
        <f t="shared" ref="A6449:C6449" si="1338">A6448</f>
        <v>45990</v>
      </c>
      <c r="B6449" s="5" t="str">
        <f t="shared" si="1338"/>
        <v>Northern Cardinal</v>
      </c>
      <c r="C6449" s="6">
        <f t="shared" si="1338"/>
        <v>0.28333333333333333</v>
      </c>
      <c r="D6449" s="5"/>
      <c r="E6449" s="5"/>
      <c r="F6449" s="5" t="s">
        <v>8</v>
      </c>
      <c r="G6449" s="15" t="s">
        <v>9</v>
      </c>
      <c r="H6449" s="24">
        <f t="shared" si="1251"/>
        <v>0</v>
      </c>
      <c r="I6449" s="24" cm="1">
        <f t="array" ref="I6449">IFERROR(IF($B6449=I$1, ($A6449+$C6449) - MAX(IF($B$2:$B6448=$B6449, $A$2:$A6448+$C$2:$C6448)), "")*24*60, "")</f>
        <v>0</v>
      </c>
      <c r="J6449" s="24" t="str" cm="1">
        <f t="array" ref="J6449">IFERROR(IF($B6449=J$1, ($A6449+$C6449) - MAX(IF($B$2:$B6448=$B6449, $A$2:$A6448+$C$2:$C6448)), "")*24*60, "")</f>
        <v/>
      </c>
      <c r="K6449" s="24" t="str" cm="1">
        <f t="array" ref="K6449">IFERROR(IF($B6449=K$1, ($A6449+$C6449) - MAX(IF($B$2:$B6448=$B6449, $A$2:$A6448+$C$2:$C6448)), "")*24*60, "")</f>
        <v/>
      </c>
      <c r="L6449" s="24" t="str" cm="1">
        <f t="array" ref="L6449">IFERROR(IF($B6449=L$1, ($A6449+$C6449) - MAX(IF($B$2:$B6448=$B6449, $A$2:$A6448+$C$2:$C6448)), "")*24*60, "")</f>
        <v/>
      </c>
      <c r="M6449" s="24" t="str" cm="1">
        <f t="array" ref="M6449">IFERROR(IF($B6449=M$1, ($A6449+$C6449) - MAX(IF($B$2:$B6448=$B6449, $A$2:$A6448+$C$2:$C6448)), "")*24*60, "")</f>
        <v/>
      </c>
      <c r="N6449" s="24" t="str" cm="1">
        <f t="array" ref="N6449">IFERROR(IF($B6449=N$1, ($A6449+$C6449) - MAX(IF($B$2:$B6448=$B6449, $A$2:$A6448+$C$2:$C6448)), "")*24*60, "")</f>
        <v/>
      </c>
      <c r="O6449" s="24" t="str" cm="1">
        <f t="array" ref="O6449">IFERROR(IF($B6449=O$1, ($A6449+$C6449) - MAX(IF($B$2:$B6448=$B6449, $A$2:$A6448+$C$2:$C6448)), "")*24*60, "")</f>
        <v/>
      </c>
      <c r="P6449" s="24" t="str" cm="1">
        <f t="array" ref="P6449">IFERROR(IF($B6449=P$1, ($A6449+$C6449) - MAX(IF($B$2:$B6448=$B6449, $A$2:$A6448+$C$2:$C6448)), "")*24*60, "")</f>
        <v/>
      </c>
      <c r="Q6449" s="24" t="str" cm="1">
        <f t="array" ref="Q6449">IFERROR(IF($B6449=Q$1, ($A6449+$C6449) - MAX(IF($B$2:$B6448=$B6449, $A$2:$A6448+$C$2:$C6448)), "")*24*60, "")</f>
        <v/>
      </c>
      <c r="R6449" s="24" t="str" cm="1">
        <f t="array" ref="R6449">IFERROR(IF($B6449=R$1, ($A6449+$C6449) - MAX(IF($B$2:$B6448=$B6449, $A$2:$A6448+$C$2:$C6448)), "")*24*60, "")</f>
        <v/>
      </c>
      <c r="S6449" s="24" t="str" cm="1">
        <f t="array" ref="S6449">IFERROR(IF($B6449=S$1, ($A6449+$C6449) - MAX(IF($B$2:$B6448=$B6449, $A$2:$A6448+$C$2:$C6448)), "")*24*60, "")</f>
        <v/>
      </c>
    </row>
    <row r="6450" spans="1:19" x14ac:dyDescent="0.2">
      <c r="A6450" s="12">
        <f t="shared" ref="A6450:C6450" si="1339">A6449</f>
        <v>45990</v>
      </c>
      <c r="B6450" s="5" t="str">
        <f t="shared" si="1339"/>
        <v>Northern Cardinal</v>
      </c>
      <c r="C6450" s="6">
        <f t="shared" si="1339"/>
        <v>0.28333333333333333</v>
      </c>
      <c r="D6450" s="5"/>
      <c r="E6450" s="5"/>
      <c r="F6450" s="5" t="s">
        <v>8</v>
      </c>
      <c r="G6450" s="15" t="s">
        <v>9</v>
      </c>
      <c r="H6450" s="24">
        <f t="shared" si="1251"/>
        <v>0</v>
      </c>
      <c r="I6450" s="24" cm="1">
        <f t="array" ref="I6450">IFERROR(IF($B6450=I$1, ($A6450+$C6450) - MAX(IF($B$2:$B6449=$B6450, $A$2:$A6449+$C$2:$C6449)), "")*24*60, "")</f>
        <v>0</v>
      </c>
      <c r="J6450" s="24" t="str" cm="1">
        <f t="array" ref="J6450">IFERROR(IF($B6450=J$1, ($A6450+$C6450) - MAX(IF($B$2:$B6449=$B6450, $A$2:$A6449+$C$2:$C6449)), "")*24*60, "")</f>
        <v/>
      </c>
      <c r="K6450" s="24" t="str" cm="1">
        <f t="array" ref="K6450">IFERROR(IF($B6450=K$1, ($A6450+$C6450) - MAX(IF($B$2:$B6449=$B6450, $A$2:$A6449+$C$2:$C6449)), "")*24*60, "")</f>
        <v/>
      </c>
      <c r="L6450" s="24" t="str" cm="1">
        <f t="array" ref="L6450">IFERROR(IF($B6450=L$1, ($A6450+$C6450) - MAX(IF($B$2:$B6449=$B6450, $A$2:$A6449+$C$2:$C6449)), "")*24*60, "")</f>
        <v/>
      </c>
      <c r="M6450" s="24" t="str" cm="1">
        <f t="array" ref="M6450">IFERROR(IF($B6450=M$1, ($A6450+$C6450) - MAX(IF($B$2:$B6449=$B6450, $A$2:$A6449+$C$2:$C6449)), "")*24*60, "")</f>
        <v/>
      </c>
      <c r="N6450" s="24" t="str" cm="1">
        <f t="array" ref="N6450">IFERROR(IF($B6450=N$1, ($A6450+$C6450) - MAX(IF($B$2:$B6449=$B6450, $A$2:$A6449+$C$2:$C6449)), "")*24*60, "")</f>
        <v/>
      </c>
      <c r="O6450" s="24" t="str" cm="1">
        <f t="array" ref="O6450">IFERROR(IF($B6450=O$1, ($A6450+$C6450) - MAX(IF($B$2:$B6449=$B6450, $A$2:$A6449+$C$2:$C6449)), "")*24*60, "")</f>
        <v/>
      </c>
      <c r="P6450" s="24" t="str" cm="1">
        <f t="array" ref="P6450">IFERROR(IF($B6450=P$1, ($A6450+$C6450) - MAX(IF($B$2:$B6449=$B6450, $A$2:$A6449+$C$2:$C6449)), "")*24*60, "")</f>
        <v/>
      </c>
      <c r="Q6450" s="24" t="str" cm="1">
        <f t="array" ref="Q6450">IFERROR(IF($B6450=Q$1, ($A6450+$C6450) - MAX(IF($B$2:$B6449=$B6450, $A$2:$A6449+$C$2:$C6449)), "")*24*60, "")</f>
        <v/>
      </c>
      <c r="R6450" s="24" t="str" cm="1">
        <f t="array" ref="R6450">IFERROR(IF($B6450=R$1, ($A6450+$C6450) - MAX(IF($B$2:$B6449=$B6450, $A$2:$A6449+$C$2:$C6449)), "")*24*60, "")</f>
        <v/>
      </c>
      <c r="S6450" s="24" t="str" cm="1">
        <f t="array" ref="S6450">IFERROR(IF($B6450=S$1, ($A6450+$C6450) - MAX(IF($B$2:$B6449=$B6450, $A$2:$A6449+$C$2:$C6449)), "")*24*60, "")</f>
        <v/>
      </c>
    </row>
    <row r="6451" spans="1:19" x14ac:dyDescent="0.2">
      <c r="A6451" s="12">
        <f t="shared" ref="A6451:C6451" si="1340">A6450</f>
        <v>45990</v>
      </c>
      <c r="B6451" s="5" t="str">
        <f t="shared" si="1340"/>
        <v>Northern Cardinal</v>
      </c>
      <c r="C6451" s="6">
        <f t="shared" si="1340"/>
        <v>0.28333333333333333</v>
      </c>
      <c r="D6451" s="5"/>
      <c r="E6451" s="5"/>
      <c r="F6451" s="5" t="s">
        <v>8</v>
      </c>
      <c r="G6451" s="15" t="s">
        <v>9</v>
      </c>
      <c r="H6451" s="24">
        <f t="shared" si="1251"/>
        <v>0</v>
      </c>
      <c r="I6451" s="24" cm="1">
        <f t="array" ref="I6451">IFERROR(IF($B6451=I$1, ($A6451+$C6451) - MAX(IF($B$2:$B6450=$B6451, $A$2:$A6450+$C$2:$C6450)), "")*24*60, "")</f>
        <v>0</v>
      </c>
      <c r="J6451" s="24" t="str" cm="1">
        <f t="array" ref="J6451">IFERROR(IF($B6451=J$1, ($A6451+$C6451) - MAX(IF($B$2:$B6450=$B6451, $A$2:$A6450+$C$2:$C6450)), "")*24*60, "")</f>
        <v/>
      </c>
      <c r="K6451" s="24" t="str" cm="1">
        <f t="array" ref="K6451">IFERROR(IF($B6451=K$1, ($A6451+$C6451) - MAX(IF($B$2:$B6450=$B6451, $A$2:$A6450+$C$2:$C6450)), "")*24*60, "")</f>
        <v/>
      </c>
      <c r="L6451" s="24" t="str" cm="1">
        <f t="array" ref="L6451">IFERROR(IF($B6451=L$1, ($A6451+$C6451) - MAX(IF($B$2:$B6450=$B6451, $A$2:$A6450+$C$2:$C6450)), "")*24*60, "")</f>
        <v/>
      </c>
      <c r="M6451" s="24" t="str" cm="1">
        <f t="array" ref="M6451">IFERROR(IF($B6451=M$1, ($A6451+$C6451) - MAX(IF($B$2:$B6450=$B6451, $A$2:$A6450+$C$2:$C6450)), "")*24*60, "")</f>
        <v/>
      </c>
      <c r="N6451" s="24" t="str" cm="1">
        <f t="array" ref="N6451">IFERROR(IF($B6451=N$1, ($A6451+$C6451) - MAX(IF($B$2:$B6450=$B6451, $A$2:$A6450+$C$2:$C6450)), "")*24*60, "")</f>
        <v/>
      </c>
      <c r="O6451" s="24" t="str" cm="1">
        <f t="array" ref="O6451">IFERROR(IF($B6451=O$1, ($A6451+$C6451) - MAX(IF($B$2:$B6450=$B6451, $A$2:$A6450+$C$2:$C6450)), "")*24*60, "")</f>
        <v/>
      </c>
      <c r="P6451" s="24" t="str" cm="1">
        <f t="array" ref="P6451">IFERROR(IF($B6451=P$1, ($A6451+$C6451) - MAX(IF($B$2:$B6450=$B6451, $A$2:$A6450+$C$2:$C6450)), "")*24*60, "")</f>
        <v/>
      </c>
      <c r="Q6451" s="24" t="str" cm="1">
        <f t="array" ref="Q6451">IFERROR(IF($B6451=Q$1, ($A6451+$C6451) - MAX(IF($B$2:$B6450=$B6451, $A$2:$A6450+$C$2:$C6450)), "")*24*60, "")</f>
        <v/>
      </c>
      <c r="R6451" s="24" t="str" cm="1">
        <f t="array" ref="R6451">IFERROR(IF($B6451=R$1, ($A6451+$C6451) - MAX(IF($B$2:$B6450=$B6451, $A$2:$A6450+$C$2:$C6450)), "")*24*60, "")</f>
        <v/>
      </c>
      <c r="S6451" s="24" t="str" cm="1">
        <f t="array" ref="S6451">IFERROR(IF($B6451=S$1, ($A6451+$C6451) - MAX(IF($B$2:$B6450=$B6451, $A$2:$A6450+$C$2:$C6450)), "")*24*60, "")</f>
        <v/>
      </c>
    </row>
    <row r="6452" spans="1:19" x14ac:dyDescent="0.2">
      <c r="A6452" s="12">
        <f t="shared" ref="A6452:C6452" si="1341">A6451</f>
        <v>45990</v>
      </c>
      <c r="B6452" s="5" t="str">
        <f t="shared" si="1341"/>
        <v>Northern Cardinal</v>
      </c>
      <c r="C6452" s="6">
        <f t="shared" si="1341"/>
        <v>0.28333333333333333</v>
      </c>
      <c r="D6452" s="5"/>
      <c r="E6452" s="5"/>
      <c r="F6452" s="5" t="s">
        <v>8</v>
      </c>
      <c r="G6452" s="15" t="s">
        <v>9</v>
      </c>
      <c r="H6452" s="24">
        <f t="shared" si="1251"/>
        <v>0</v>
      </c>
      <c r="I6452" s="24" cm="1">
        <f t="array" ref="I6452">IFERROR(IF($B6452=I$1, ($A6452+$C6452) - MAX(IF($B$2:$B6451=$B6452, $A$2:$A6451+$C$2:$C6451)), "")*24*60, "")</f>
        <v>0</v>
      </c>
      <c r="J6452" s="24" t="str" cm="1">
        <f t="array" ref="J6452">IFERROR(IF($B6452=J$1, ($A6452+$C6452) - MAX(IF($B$2:$B6451=$B6452, $A$2:$A6451+$C$2:$C6451)), "")*24*60, "")</f>
        <v/>
      </c>
      <c r="K6452" s="24" t="str" cm="1">
        <f t="array" ref="K6452">IFERROR(IF($B6452=K$1, ($A6452+$C6452) - MAX(IF($B$2:$B6451=$B6452, $A$2:$A6451+$C$2:$C6451)), "")*24*60, "")</f>
        <v/>
      </c>
      <c r="L6452" s="24" t="str" cm="1">
        <f t="array" ref="L6452">IFERROR(IF($B6452=L$1, ($A6452+$C6452) - MAX(IF($B$2:$B6451=$B6452, $A$2:$A6451+$C$2:$C6451)), "")*24*60, "")</f>
        <v/>
      </c>
      <c r="M6452" s="24" t="str" cm="1">
        <f t="array" ref="M6452">IFERROR(IF($B6452=M$1, ($A6452+$C6452) - MAX(IF($B$2:$B6451=$B6452, $A$2:$A6451+$C$2:$C6451)), "")*24*60, "")</f>
        <v/>
      </c>
      <c r="N6452" s="24" t="str" cm="1">
        <f t="array" ref="N6452">IFERROR(IF($B6452=N$1, ($A6452+$C6452) - MAX(IF($B$2:$B6451=$B6452, $A$2:$A6451+$C$2:$C6451)), "")*24*60, "")</f>
        <v/>
      </c>
      <c r="O6452" s="24" t="str" cm="1">
        <f t="array" ref="O6452">IFERROR(IF($B6452=O$1, ($A6452+$C6452) - MAX(IF($B$2:$B6451=$B6452, $A$2:$A6451+$C$2:$C6451)), "")*24*60, "")</f>
        <v/>
      </c>
      <c r="P6452" s="24" t="str" cm="1">
        <f t="array" ref="P6452">IFERROR(IF($B6452=P$1, ($A6452+$C6452) - MAX(IF($B$2:$B6451=$B6452, $A$2:$A6451+$C$2:$C6451)), "")*24*60, "")</f>
        <v/>
      </c>
      <c r="Q6452" s="24" t="str" cm="1">
        <f t="array" ref="Q6452">IFERROR(IF($B6452=Q$1, ($A6452+$C6452) - MAX(IF($B$2:$B6451=$B6452, $A$2:$A6451+$C$2:$C6451)), "")*24*60, "")</f>
        <v/>
      </c>
      <c r="R6452" s="24" t="str" cm="1">
        <f t="array" ref="R6452">IFERROR(IF($B6452=R$1, ($A6452+$C6452) - MAX(IF($B$2:$B6451=$B6452, $A$2:$A6451+$C$2:$C6451)), "")*24*60, "")</f>
        <v/>
      </c>
      <c r="S6452" s="24" t="str" cm="1">
        <f t="array" ref="S6452">IFERROR(IF($B6452=S$1, ($A6452+$C6452) - MAX(IF($B$2:$B6451=$B6452, $A$2:$A6451+$C$2:$C6451)), "")*24*60, "")</f>
        <v/>
      </c>
    </row>
    <row r="6453" spans="1:19" x14ac:dyDescent="0.2">
      <c r="A6453" s="12">
        <f t="shared" ref="A6453:C6453" si="1342">A6452</f>
        <v>45990</v>
      </c>
      <c r="B6453" s="5" t="str">
        <f t="shared" si="1342"/>
        <v>Northern Cardinal</v>
      </c>
      <c r="C6453" s="6">
        <f t="shared" si="1342"/>
        <v>0.28333333333333333</v>
      </c>
      <c r="D6453" s="5"/>
      <c r="E6453" s="5"/>
      <c r="F6453" s="5" t="s">
        <v>8</v>
      </c>
      <c r="G6453" s="15" t="s">
        <v>9</v>
      </c>
      <c r="H6453" s="24">
        <f t="shared" si="1251"/>
        <v>0</v>
      </c>
      <c r="I6453" s="24" cm="1">
        <f t="array" ref="I6453">IFERROR(IF($B6453=I$1, ($A6453+$C6453) - MAX(IF($B$2:$B6452=$B6453, $A$2:$A6452+$C$2:$C6452)), "")*24*60, "")</f>
        <v>0</v>
      </c>
      <c r="J6453" s="24" t="str" cm="1">
        <f t="array" ref="J6453">IFERROR(IF($B6453=J$1, ($A6453+$C6453) - MAX(IF($B$2:$B6452=$B6453, $A$2:$A6452+$C$2:$C6452)), "")*24*60, "")</f>
        <v/>
      </c>
      <c r="K6453" s="24" t="str" cm="1">
        <f t="array" ref="K6453">IFERROR(IF($B6453=K$1, ($A6453+$C6453) - MAX(IF($B$2:$B6452=$B6453, $A$2:$A6452+$C$2:$C6452)), "")*24*60, "")</f>
        <v/>
      </c>
      <c r="L6453" s="24" t="str" cm="1">
        <f t="array" ref="L6453">IFERROR(IF($B6453=L$1, ($A6453+$C6453) - MAX(IF($B$2:$B6452=$B6453, $A$2:$A6452+$C$2:$C6452)), "")*24*60, "")</f>
        <v/>
      </c>
      <c r="M6453" s="24" t="str" cm="1">
        <f t="array" ref="M6453">IFERROR(IF($B6453=M$1, ($A6453+$C6453) - MAX(IF($B$2:$B6452=$B6453, $A$2:$A6452+$C$2:$C6452)), "")*24*60, "")</f>
        <v/>
      </c>
      <c r="N6453" s="24" t="str" cm="1">
        <f t="array" ref="N6453">IFERROR(IF($B6453=N$1, ($A6453+$C6453) - MAX(IF($B$2:$B6452=$B6453, $A$2:$A6452+$C$2:$C6452)), "")*24*60, "")</f>
        <v/>
      </c>
      <c r="O6453" s="24" t="str" cm="1">
        <f t="array" ref="O6453">IFERROR(IF($B6453=O$1, ($A6453+$C6453) - MAX(IF($B$2:$B6452=$B6453, $A$2:$A6452+$C$2:$C6452)), "")*24*60, "")</f>
        <v/>
      </c>
      <c r="P6453" s="24" t="str" cm="1">
        <f t="array" ref="P6453">IFERROR(IF($B6453=P$1, ($A6453+$C6453) - MAX(IF($B$2:$B6452=$B6453, $A$2:$A6452+$C$2:$C6452)), "")*24*60, "")</f>
        <v/>
      </c>
      <c r="Q6453" s="24" t="str" cm="1">
        <f t="array" ref="Q6453">IFERROR(IF($B6453=Q$1, ($A6453+$C6453) - MAX(IF($B$2:$B6452=$B6453, $A$2:$A6452+$C$2:$C6452)), "")*24*60, "")</f>
        <v/>
      </c>
      <c r="R6453" s="24" t="str" cm="1">
        <f t="array" ref="R6453">IFERROR(IF($B6453=R$1, ($A6453+$C6453) - MAX(IF($B$2:$B6452=$B6453, $A$2:$A6452+$C$2:$C6452)), "")*24*60, "")</f>
        <v/>
      </c>
      <c r="S6453" s="24" t="str" cm="1">
        <f t="array" ref="S6453">IFERROR(IF($B6453=S$1, ($A6453+$C6453) - MAX(IF($B$2:$B6452=$B6453, $A$2:$A6452+$C$2:$C6452)), "")*24*60, "")</f>
        <v/>
      </c>
    </row>
    <row r="6454" spans="1:19" x14ac:dyDescent="0.2">
      <c r="A6454" s="12">
        <f t="shared" ref="A6454:C6454" si="1343">A6453</f>
        <v>45990</v>
      </c>
      <c r="B6454" s="5" t="str">
        <f t="shared" si="1343"/>
        <v>Northern Cardinal</v>
      </c>
      <c r="C6454" s="6">
        <f t="shared" si="1343"/>
        <v>0.28333333333333333</v>
      </c>
      <c r="D6454" s="5"/>
      <c r="E6454" s="5"/>
      <c r="F6454" s="5" t="s">
        <v>8</v>
      </c>
      <c r="G6454" s="15" t="s">
        <v>9</v>
      </c>
      <c r="H6454" s="24">
        <f t="shared" si="1251"/>
        <v>0</v>
      </c>
      <c r="I6454" s="24" cm="1">
        <f t="array" ref="I6454">IFERROR(IF($B6454=I$1, ($A6454+$C6454) - MAX(IF($B$2:$B6453=$B6454, $A$2:$A6453+$C$2:$C6453)), "")*24*60, "")</f>
        <v>0</v>
      </c>
      <c r="J6454" s="24" t="str" cm="1">
        <f t="array" ref="J6454">IFERROR(IF($B6454=J$1, ($A6454+$C6454) - MAX(IF($B$2:$B6453=$B6454, $A$2:$A6453+$C$2:$C6453)), "")*24*60, "")</f>
        <v/>
      </c>
      <c r="K6454" s="24" t="str" cm="1">
        <f t="array" ref="K6454">IFERROR(IF($B6454=K$1, ($A6454+$C6454) - MAX(IF($B$2:$B6453=$B6454, $A$2:$A6453+$C$2:$C6453)), "")*24*60, "")</f>
        <v/>
      </c>
      <c r="L6454" s="24" t="str" cm="1">
        <f t="array" ref="L6454">IFERROR(IF($B6454=L$1, ($A6454+$C6454) - MAX(IF($B$2:$B6453=$B6454, $A$2:$A6453+$C$2:$C6453)), "")*24*60, "")</f>
        <v/>
      </c>
      <c r="M6454" s="24" t="str" cm="1">
        <f t="array" ref="M6454">IFERROR(IF($B6454=M$1, ($A6454+$C6454) - MAX(IF($B$2:$B6453=$B6454, $A$2:$A6453+$C$2:$C6453)), "")*24*60, "")</f>
        <v/>
      </c>
      <c r="N6454" s="24" t="str" cm="1">
        <f t="array" ref="N6454">IFERROR(IF($B6454=N$1, ($A6454+$C6454) - MAX(IF($B$2:$B6453=$B6454, $A$2:$A6453+$C$2:$C6453)), "")*24*60, "")</f>
        <v/>
      </c>
      <c r="O6454" s="24" t="str" cm="1">
        <f t="array" ref="O6454">IFERROR(IF($B6454=O$1, ($A6454+$C6454) - MAX(IF($B$2:$B6453=$B6454, $A$2:$A6453+$C$2:$C6453)), "")*24*60, "")</f>
        <v/>
      </c>
      <c r="P6454" s="24" t="str" cm="1">
        <f t="array" ref="P6454">IFERROR(IF($B6454=P$1, ($A6454+$C6454) - MAX(IF($B$2:$B6453=$B6454, $A$2:$A6453+$C$2:$C6453)), "")*24*60, "")</f>
        <v/>
      </c>
      <c r="Q6454" s="24" t="str" cm="1">
        <f t="array" ref="Q6454">IFERROR(IF($B6454=Q$1, ($A6454+$C6454) - MAX(IF($B$2:$B6453=$B6454, $A$2:$A6453+$C$2:$C6453)), "")*24*60, "")</f>
        <v/>
      </c>
      <c r="R6454" s="24" t="str" cm="1">
        <f t="array" ref="R6454">IFERROR(IF($B6454=R$1, ($A6454+$C6454) - MAX(IF($B$2:$B6453=$B6454, $A$2:$A6453+$C$2:$C6453)), "")*24*60, "")</f>
        <v/>
      </c>
      <c r="S6454" s="24" t="str" cm="1">
        <f t="array" ref="S6454">IFERROR(IF($B6454=S$1, ($A6454+$C6454) - MAX(IF($B$2:$B6453=$B6454, $A$2:$A6453+$C$2:$C6453)), "")*24*60, "")</f>
        <v/>
      </c>
    </row>
    <row r="6455" spans="1:19" x14ac:dyDescent="0.2">
      <c r="A6455" s="12">
        <f t="shared" ref="A6455:C6455" si="1344">A6454</f>
        <v>45990</v>
      </c>
      <c r="B6455" s="5" t="str">
        <f t="shared" si="1344"/>
        <v>Northern Cardinal</v>
      </c>
      <c r="C6455" s="6">
        <f t="shared" si="1344"/>
        <v>0.28333333333333333</v>
      </c>
      <c r="D6455" s="5"/>
      <c r="E6455" s="5"/>
      <c r="F6455" s="5" t="s">
        <v>8</v>
      </c>
      <c r="G6455" s="15" t="s">
        <v>9</v>
      </c>
      <c r="H6455" s="24">
        <f t="shared" si="1251"/>
        <v>0</v>
      </c>
      <c r="I6455" s="24" cm="1">
        <f t="array" ref="I6455">IFERROR(IF($B6455=I$1, ($A6455+$C6455) - MAX(IF($B$2:$B6454=$B6455, $A$2:$A6454+$C$2:$C6454)), "")*24*60, "")</f>
        <v>0</v>
      </c>
      <c r="J6455" s="24" t="str" cm="1">
        <f t="array" ref="J6455">IFERROR(IF($B6455=J$1, ($A6455+$C6455) - MAX(IF($B$2:$B6454=$B6455, $A$2:$A6454+$C$2:$C6454)), "")*24*60, "")</f>
        <v/>
      </c>
      <c r="K6455" s="24" t="str" cm="1">
        <f t="array" ref="K6455">IFERROR(IF($B6455=K$1, ($A6455+$C6455) - MAX(IF($B$2:$B6454=$B6455, $A$2:$A6454+$C$2:$C6454)), "")*24*60, "")</f>
        <v/>
      </c>
      <c r="L6455" s="24" t="str" cm="1">
        <f t="array" ref="L6455">IFERROR(IF($B6455=L$1, ($A6455+$C6455) - MAX(IF($B$2:$B6454=$B6455, $A$2:$A6454+$C$2:$C6454)), "")*24*60, "")</f>
        <v/>
      </c>
      <c r="M6455" s="24" t="str" cm="1">
        <f t="array" ref="M6455">IFERROR(IF($B6455=M$1, ($A6455+$C6455) - MAX(IF($B$2:$B6454=$B6455, $A$2:$A6454+$C$2:$C6454)), "")*24*60, "")</f>
        <v/>
      </c>
      <c r="N6455" s="24" t="str" cm="1">
        <f t="array" ref="N6455">IFERROR(IF($B6455=N$1, ($A6455+$C6455) - MAX(IF($B$2:$B6454=$B6455, $A$2:$A6454+$C$2:$C6454)), "")*24*60, "")</f>
        <v/>
      </c>
      <c r="O6455" s="24" t="str" cm="1">
        <f t="array" ref="O6455">IFERROR(IF($B6455=O$1, ($A6455+$C6455) - MAX(IF($B$2:$B6454=$B6455, $A$2:$A6454+$C$2:$C6454)), "")*24*60, "")</f>
        <v/>
      </c>
      <c r="P6455" s="24" t="str" cm="1">
        <f t="array" ref="P6455">IFERROR(IF($B6455=P$1, ($A6455+$C6455) - MAX(IF($B$2:$B6454=$B6455, $A$2:$A6454+$C$2:$C6454)), "")*24*60, "")</f>
        <v/>
      </c>
      <c r="Q6455" s="24" t="str" cm="1">
        <f t="array" ref="Q6455">IFERROR(IF($B6455=Q$1, ($A6455+$C6455) - MAX(IF($B$2:$B6454=$B6455, $A$2:$A6454+$C$2:$C6454)), "")*24*60, "")</f>
        <v/>
      </c>
      <c r="R6455" s="24" t="str" cm="1">
        <f t="array" ref="R6455">IFERROR(IF($B6455=R$1, ($A6455+$C6455) - MAX(IF($B$2:$B6454=$B6455, $A$2:$A6454+$C$2:$C6454)), "")*24*60, "")</f>
        <v/>
      </c>
      <c r="S6455" s="24" t="str" cm="1">
        <f t="array" ref="S6455">IFERROR(IF($B6455=S$1, ($A6455+$C6455) - MAX(IF($B$2:$B6454=$B6455, $A$2:$A6454+$C$2:$C6454)), "")*24*60, "")</f>
        <v/>
      </c>
    </row>
    <row r="6456" spans="1:19" x14ac:dyDescent="0.2">
      <c r="A6456" s="12">
        <f t="shared" ref="A6456:C6456" si="1345">A6455</f>
        <v>45990</v>
      </c>
      <c r="B6456" s="5" t="str">
        <f t="shared" si="1345"/>
        <v>Northern Cardinal</v>
      </c>
      <c r="C6456" s="6">
        <f t="shared" si="1345"/>
        <v>0.28333333333333333</v>
      </c>
      <c r="D6456" s="5"/>
      <c r="E6456" s="5"/>
      <c r="F6456" s="5" t="s">
        <v>8</v>
      </c>
      <c r="G6456" s="15" t="s">
        <v>9</v>
      </c>
      <c r="H6456" s="24">
        <f t="shared" si="1251"/>
        <v>0</v>
      </c>
      <c r="I6456" s="24" cm="1">
        <f t="array" ref="I6456">IFERROR(IF($B6456=I$1, ($A6456+$C6456) - MAX(IF($B$2:$B6455=$B6456, $A$2:$A6455+$C$2:$C6455)), "")*24*60, "")</f>
        <v>0</v>
      </c>
      <c r="J6456" s="24" t="str" cm="1">
        <f t="array" ref="J6456">IFERROR(IF($B6456=J$1, ($A6456+$C6456) - MAX(IF($B$2:$B6455=$B6456, $A$2:$A6455+$C$2:$C6455)), "")*24*60, "")</f>
        <v/>
      </c>
      <c r="K6456" s="24" t="str" cm="1">
        <f t="array" ref="K6456">IFERROR(IF($B6456=K$1, ($A6456+$C6456) - MAX(IF($B$2:$B6455=$B6456, $A$2:$A6455+$C$2:$C6455)), "")*24*60, "")</f>
        <v/>
      </c>
      <c r="L6456" s="24" t="str" cm="1">
        <f t="array" ref="L6456">IFERROR(IF($B6456=L$1, ($A6456+$C6456) - MAX(IF($B$2:$B6455=$B6456, $A$2:$A6455+$C$2:$C6455)), "")*24*60, "")</f>
        <v/>
      </c>
      <c r="M6456" s="24" t="str" cm="1">
        <f t="array" ref="M6456">IFERROR(IF($B6456=M$1, ($A6456+$C6456) - MAX(IF($B$2:$B6455=$B6456, $A$2:$A6455+$C$2:$C6455)), "")*24*60, "")</f>
        <v/>
      </c>
      <c r="N6456" s="24" t="str" cm="1">
        <f t="array" ref="N6456">IFERROR(IF($B6456=N$1, ($A6456+$C6456) - MAX(IF($B$2:$B6455=$B6456, $A$2:$A6455+$C$2:$C6455)), "")*24*60, "")</f>
        <v/>
      </c>
      <c r="O6456" s="24" t="str" cm="1">
        <f t="array" ref="O6456">IFERROR(IF($B6456=O$1, ($A6456+$C6456) - MAX(IF($B$2:$B6455=$B6456, $A$2:$A6455+$C$2:$C6455)), "")*24*60, "")</f>
        <v/>
      </c>
      <c r="P6456" s="24" t="str" cm="1">
        <f t="array" ref="P6456">IFERROR(IF($B6456=P$1, ($A6456+$C6456) - MAX(IF($B$2:$B6455=$B6456, $A$2:$A6455+$C$2:$C6455)), "")*24*60, "")</f>
        <v/>
      </c>
      <c r="Q6456" s="24" t="str" cm="1">
        <f t="array" ref="Q6456">IFERROR(IF($B6456=Q$1, ($A6456+$C6456) - MAX(IF($B$2:$B6455=$B6456, $A$2:$A6455+$C$2:$C6455)), "")*24*60, "")</f>
        <v/>
      </c>
      <c r="R6456" s="24" t="str" cm="1">
        <f t="array" ref="R6456">IFERROR(IF($B6456=R$1, ($A6456+$C6456) - MAX(IF($B$2:$B6455=$B6456, $A$2:$A6455+$C$2:$C6455)), "")*24*60, "")</f>
        <v/>
      </c>
      <c r="S6456" s="24" t="str" cm="1">
        <f t="array" ref="S6456">IFERROR(IF($B6456=S$1, ($A6456+$C6456) - MAX(IF($B$2:$B6455=$B6456, $A$2:$A6455+$C$2:$C6455)), "")*24*60, "")</f>
        <v/>
      </c>
    </row>
    <row r="6457" spans="1:19" x14ac:dyDescent="0.2">
      <c r="A6457" s="12">
        <f t="shared" ref="A6457:C6457" si="1346">A6456</f>
        <v>45990</v>
      </c>
      <c r="B6457" s="5" t="str">
        <f t="shared" si="1346"/>
        <v>Northern Cardinal</v>
      </c>
      <c r="C6457" s="6">
        <f t="shared" si="1346"/>
        <v>0.28333333333333333</v>
      </c>
      <c r="D6457" s="5"/>
      <c r="E6457" s="5"/>
      <c r="F6457" s="5" t="s">
        <v>8</v>
      </c>
      <c r="G6457" s="15" t="s">
        <v>9</v>
      </c>
      <c r="H6457" s="24">
        <f t="shared" si="1251"/>
        <v>0</v>
      </c>
      <c r="I6457" s="24" cm="1">
        <f t="array" ref="I6457">IFERROR(IF($B6457=I$1, ($A6457+$C6457) - MAX(IF($B$2:$B6456=$B6457, $A$2:$A6456+$C$2:$C6456)), "")*24*60, "")</f>
        <v>0</v>
      </c>
      <c r="J6457" s="24" t="str" cm="1">
        <f t="array" ref="J6457">IFERROR(IF($B6457=J$1, ($A6457+$C6457) - MAX(IF($B$2:$B6456=$B6457, $A$2:$A6456+$C$2:$C6456)), "")*24*60, "")</f>
        <v/>
      </c>
      <c r="K6457" s="24" t="str" cm="1">
        <f t="array" ref="K6457">IFERROR(IF($B6457=K$1, ($A6457+$C6457) - MAX(IF($B$2:$B6456=$B6457, $A$2:$A6456+$C$2:$C6456)), "")*24*60, "")</f>
        <v/>
      </c>
      <c r="L6457" s="24" t="str" cm="1">
        <f t="array" ref="L6457">IFERROR(IF($B6457=L$1, ($A6457+$C6457) - MAX(IF($B$2:$B6456=$B6457, $A$2:$A6456+$C$2:$C6456)), "")*24*60, "")</f>
        <v/>
      </c>
      <c r="M6457" s="24" t="str" cm="1">
        <f t="array" ref="M6457">IFERROR(IF($B6457=M$1, ($A6457+$C6457) - MAX(IF($B$2:$B6456=$B6457, $A$2:$A6456+$C$2:$C6456)), "")*24*60, "")</f>
        <v/>
      </c>
      <c r="N6457" s="24" t="str" cm="1">
        <f t="array" ref="N6457">IFERROR(IF($B6457=N$1, ($A6457+$C6457) - MAX(IF($B$2:$B6456=$B6457, $A$2:$A6456+$C$2:$C6456)), "")*24*60, "")</f>
        <v/>
      </c>
      <c r="O6457" s="24" t="str" cm="1">
        <f t="array" ref="O6457">IFERROR(IF($B6457=O$1, ($A6457+$C6457) - MAX(IF($B$2:$B6456=$B6457, $A$2:$A6456+$C$2:$C6456)), "")*24*60, "")</f>
        <v/>
      </c>
      <c r="P6457" s="24" t="str" cm="1">
        <f t="array" ref="P6457">IFERROR(IF($B6457=P$1, ($A6457+$C6457) - MAX(IF($B$2:$B6456=$B6457, $A$2:$A6456+$C$2:$C6456)), "")*24*60, "")</f>
        <v/>
      </c>
      <c r="Q6457" s="24" t="str" cm="1">
        <f t="array" ref="Q6457">IFERROR(IF($B6457=Q$1, ($A6457+$C6457) - MAX(IF($B$2:$B6456=$B6457, $A$2:$A6456+$C$2:$C6456)), "")*24*60, "")</f>
        <v/>
      </c>
      <c r="R6457" s="24" t="str" cm="1">
        <f t="array" ref="R6457">IFERROR(IF($B6457=R$1, ($A6457+$C6457) - MAX(IF($B$2:$B6456=$B6457, $A$2:$A6456+$C$2:$C6456)), "")*24*60, "")</f>
        <v/>
      </c>
      <c r="S6457" s="24" t="str" cm="1">
        <f t="array" ref="S6457">IFERROR(IF($B6457=S$1, ($A6457+$C6457) - MAX(IF($B$2:$B6456=$B6457, $A$2:$A6456+$C$2:$C6456)), "")*24*60, "")</f>
        <v/>
      </c>
    </row>
    <row r="6458" spans="1:19" x14ac:dyDescent="0.2">
      <c r="A6458" s="12">
        <f t="shared" ref="A6458:C6458" si="1347">A6457</f>
        <v>45990</v>
      </c>
      <c r="B6458" s="5" t="str">
        <f t="shared" si="1347"/>
        <v>Northern Cardinal</v>
      </c>
      <c r="C6458" s="6">
        <f t="shared" si="1347"/>
        <v>0.28333333333333333</v>
      </c>
      <c r="D6458" s="5"/>
      <c r="E6458" s="5"/>
      <c r="F6458" s="5" t="s">
        <v>8</v>
      </c>
      <c r="G6458" s="15" t="s">
        <v>9</v>
      </c>
      <c r="H6458" s="24">
        <f t="shared" si="1251"/>
        <v>0</v>
      </c>
      <c r="I6458" s="24" cm="1">
        <f t="array" ref="I6458">IFERROR(IF($B6458=I$1, ($A6458+$C6458) - MAX(IF($B$2:$B6457=$B6458, $A$2:$A6457+$C$2:$C6457)), "")*24*60, "")</f>
        <v>0</v>
      </c>
      <c r="J6458" s="24" t="str" cm="1">
        <f t="array" ref="J6458">IFERROR(IF($B6458=J$1, ($A6458+$C6458) - MAX(IF($B$2:$B6457=$B6458, $A$2:$A6457+$C$2:$C6457)), "")*24*60, "")</f>
        <v/>
      </c>
      <c r="K6458" s="24" t="str" cm="1">
        <f t="array" ref="K6458">IFERROR(IF($B6458=K$1, ($A6458+$C6458) - MAX(IF($B$2:$B6457=$B6458, $A$2:$A6457+$C$2:$C6457)), "")*24*60, "")</f>
        <v/>
      </c>
      <c r="L6458" s="24" t="str" cm="1">
        <f t="array" ref="L6458">IFERROR(IF($B6458=L$1, ($A6458+$C6458) - MAX(IF($B$2:$B6457=$B6458, $A$2:$A6457+$C$2:$C6457)), "")*24*60, "")</f>
        <v/>
      </c>
      <c r="M6458" s="24" t="str" cm="1">
        <f t="array" ref="M6458">IFERROR(IF($B6458=M$1, ($A6458+$C6458) - MAX(IF($B$2:$B6457=$B6458, $A$2:$A6457+$C$2:$C6457)), "")*24*60, "")</f>
        <v/>
      </c>
      <c r="N6458" s="24" t="str" cm="1">
        <f t="array" ref="N6458">IFERROR(IF($B6458=N$1, ($A6458+$C6458) - MAX(IF($B$2:$B6457=$B6458, $A$2:$A6457+$C$2:$C6457)), "")*24*60, "")</f>
        <v/>
      </c>
      <c r="O6458" s="24" t="str" cm="1">
        <f t="array" ref="O6458">IFERROR(IF($B6458=O$1, ($A6458+$C6458) - MAX(IF($B$2:$B6457=$B6458, $A$2:$A6457+$C$2:$C6457)), "")*24*60, "")</f>
        <v/>
      </c>
      <c r="P6458" s="24" t="str" cm="1">
        <f t="array" ref="P6458">IFERROR(IF($B6458=P$1, ($A6458+$C6458) - MAX(IF($B$2:$B6457=$B6458, $A$2:$A6457+$C$2:$C6457)), "")*24*60, "")</f>
        <v/>
      </c>
      <c r="Q6458" s="24" t="str" cm="1">
        <f t="array" ref="Q6458">IFERROR(IF($B6458=Q$1, ($A6458+$C6458) - MAX(IF($B$2:$B6457=$B6458, $A$2:$A6457+$C$2:$C6457)), "")*24*60, "")</f>
        <v/>
      </c>
      <c r="R6458" s="24" t="str" cm="1">
        <f t="array" ref="R6458">IFERROR(IF($B6458=R$1, ($A6458+$C6458) - MAX(IF($B$2:$B6457=$B6458, $A$2:$A6457+$C$2:$C6457)), "")*24*60, "")</f>
        <v/>
      </c>
      <c r="S6458" s="24" t="str" cm="1">
        <f t="array" ref="S6458">IFERROR(IF($B6458=S$1, ($A6458+$C6458) - MAX(IF($B$2:$B6457=$B6458, $A$2:$A6457+$C$2:$C6457)), "")*24*60, "")</f>
        <v/>
      </c>
    </row>
    <row r="6459" spans="1:19" x14ac:dyDescent="0.2">
      <c r="A6459" s="12">
        <f t="shared" ref="A6459:C6459" si="1348">A6458</f>
        <v>45990</v>
      </c>
      <c r="B6459" s="5" t="str">
        <f t="shared" si="1348"/>
        <v>Northern Cardinal</v>
      </c>
      <c r="C6459" s="6">
        <f t="shared" si="1348"/>
        <v>0.28333333333333333</v>
      </c>
      <c r="D6459" s="5"/>
      <c r="E6459" s="5"/>
      <c r="F6459" s="5" t="s">
        <v>8</v>
      </c>
      <c r="G6459" s="15" t="s">
        <v>9</v>
      </c>
      <c r="H6459" s="24">
        <f t="shared" si="1251"/>
        <v>0</v>
      </c>
      <c r="I6459" s="24" cm="1">
        <f t="array" ref="I6459">IFERROR(IF($B6459=I$1, ($A6459+$C6459) - MAX(IF($B$2:$B6458=$B6459, $A$2:$A6458+$C$2:$C6458)), "")*24*60, "")</f>
        <v>0</v>
      </c>
      <c r="J6459" s="24" t="str" cm="1">
        <f t="array" ref="J6459">IFERROR(IF($B6459=J$1, ($A6459+$C6459) - MAX(IF($B$2:$B6458=$B6459, $A$2:$A6458+$C$2:$C6458)), "")*24*60, "")</f>
        <v/>
      </c>
      <c r="K6459" s="24" t="str" cm="1">
        <f t="array" ref="K6459">IFERROR(IF($B6459=K$1, ($A6459+$C6459) - MAX(IF($B$2:$B6458=$B6459, $A$2:$A6458+$C$2:$C6458)), "")*24*60, "")</f>
        <v/>
      </c>
      <c r="L6459" s="24" t="str" cm="1">
        <f t="array" ref="L6459">IFERROR(IF($B6459=L$1, ($A6459+$C6459) - MAX(IF($B$2:$B6458=$B6459, $A$2:$A6458+$C$2:$C6458)), "")*24*60, "")</f>
        <v/>
      </c>
      <c r="M6459" s="24" t="str" cm="1">
        <f t="array" ref="M6459">IFERROR(IF($B6459=M$1, ($A6459+$C6459) - MAX(IF($B$2:$B6458=$B6459, $A$2:$A6458+$C$2:$C6458)), "")*24*60, "")</f>
        <v/>
      </c>
      <c r="N6459" s="24" t="str" cm="1">
        <f t="array" ref="N6459">IFERROR(IF($B6459=N$1, ($A6459+$C6459) - MAX(IF($B$2:$B6458=$B6459, $A$2:$A6458+$C$2:$C6458)), "")*24*60, "")</f>
        <v/>
      </c>
      <c r="O6459" s="24" t="str" cm="1">
        <f t="array" ref="O6459">IFERROR(IF($B6459=O$1, ($A6459+$C6459) - MAX(IF($B$2:$B6458=$B6459, $A$2:$A6458+$C$2:$C6458)), "")*24*60, "")</f>
        <v/>
      </c>
      <c r="P6459" s="24" t="str" cm="1">
        <f t="array" ref="P6459">IFERROR(IF($B6459=P$1, ($A6459+$C6459) - MAX(IF($B$2:$B6458=$B6459, $A$2:$A6458+$C$2:$C6458)), "")*24*60, "")</f>
        <v/>
      </c>
      <c r="Q6459" s="24" t="str" cm="1">
        <f t="array" ref="Q6459">IFERROR(IF($B6459=Q$1, ($A6459+$C6459) - MAX(IF($B$2:$B6458=$B6459, $A$2:$A6458+$C$2:$C6458)), "")*24*60, "")</f>
        <v/>
      </c>
      <c r="R6459" s="24" t="str" cm="1">
        <f t="array" ref="R6459">IFERROR(IF($B6459=R$1, ($A6459+$C6459) - MAX(IF($B$2:$B6458=$B6459, $A$2:$A6458+$C$2:$C6458)), "")*24*60, "")</f>
        <v/>
      </c>
      <c r="S6459" s="24" t="str" cm="1">
        <f t="array" ref="S6459">IFERROR(IF($B6459=S$1, ($A6459+$C6459) - MAX(IF($B$2:$B6458=$B6459, $A$2:$A6458+$C$2:$C6458)), "")*24*60, "")</f>
        <v/>
      </c>
    </row>
    <row r="6460" spans="1:19" x14ac:dyDescent="0.2">
      <c r="A6460" s="12">
        <f t="shared" ref="A6460:C6460" si="1349">A6459</f>
        <v>45990</v>
      </c>
      <c r="B6460" s="5" t="str">
        <f t="shared" si="1349"/>
        <v>Northern Cardinal</v>
      </c>
      <c r="C6460" s="6">
        <f t="shared" si="1349"/>
        <v>0.28333333333333333</v>
      </c>
      <c r="D6460" s="5"/>
      <c r="E6460" s="5"/>
      <c r="F6460" s="5" t="s">
        <v>8</v>
      </c>
      <c r="G6460" s="15" t="s">
        <v>9</v>
      </c>
      <c r="H6460" s="24">
        <f t="shared" si="1251"/>
        <v>0</v>
      </c>
      <c r="I6460" s="24" cm="1">
        <f t="array" ref="I6460">IFERROR(IF($B6460=I$1, ($A6460+$C6460) - MAX(IF($B$2:$B6459=$B6460, $A$2:$A6459+$C$2:$C6459)), "")*24*60, "")</f>
        <v>0</v>
      </c>
      <c r="J6460" s="24" t="str" cm="1">
        <f t="array" ref="J6460">IFERROR(IF($B6460=J$1, ($A6460+$C6460) - MAX(IF($B$2:$B6459=$B6460, $A$2:$A6459+$C$2:$C6459)), "")*24*60, "")</f>
        <v/>
      </c>
      <c r="K6460" s="24" t="str" cm="1">
        <f t="array" ref="K6460">IFERROR(IF($B6460=K$1, ($A6460+$C6460) - MAX(IF($B$2:$B6459=$B6460, $A$2:$A6459+$C$2:$C6459)), "")*24*60, "")</f>
        <v/>
      </c>
      <c r="L6460" s="24" t="str" cm="1">
        <f t="array" ref="L6460">IFERROR(IF($B6460=L$1, ($A6460+$C6460) - MAX(IF($B$2:$B6459=$B6460, $A$2:$A6459+$C$2:$C6459)), "")*24*60, "")</f>
        <v/>
      </c>
      <c r="M6460" s="24" t="str" cm="1">
        <f t="array" ref="M6460">IFERROR(IF($B6460=M$1, ($A6460+$C6460) - MAX(IF($B$2:$B6459=$B6460, $A$2:$A6459+$C$2:$C6459)), "")*24*60, "")</f>
        <v/>
      </c>
      <c r="N6460" s="24" t="str" cm="1">
        <f t="array" ref="N6460">IFERROR(IF($B6460=N$1, ($A6460+$C6460) - MAX(IF($B$2:$B6459=$B6460, $A$2:$A6459+$C$2:$C6459)), "")*24*60, "")</f>
        <v/>
      </c>
      <c r="O6460" s="24" t="str" cm="1">
        <f t="array" ref="O6460">IFERROR(IF($B6460=O$1, ($A6460+$C6460) - MAX(IF($B$2:$B6459=$B6460, $A$2:$A6459+$C$2:$C6459)), "")*24*60, "")</f>
        <v/>
      </c>
      <c r="P6460" s="24" t="str" cm="1">
        <f t="array" ref="P6460">IFERROR(IF($B6460=P$1, ($A6460+$C6460) - MAX(IF($B$2:$B6459=$B6460, $A$2:$A6459+$C$2:$C6459)), "")*24*60, "")</f>
        <v/>
      </c>
      <c r="Q6460" s="24" t="str" cm="1">
        <f t="array" ref="Q6460">IFERROR(IF($B6460=Q$1, ($A6460+$C6460) - MAX(IF($B$2:$B6459=$B6460, $A$2:$A6459+$C$2:$C6459)), "")*24*60, "")</f>
        <v/>
      </c>
      <c r="R6460" s="24" t="str" cm="1">
        <f t="array" ref="R6460">IFERROR(IF($B6460=R$1, ($A6460+$C6460) - MAX(IF($B$2:$B6459=$B6460, $A$2:$A6459+$C$2:$C6459)), "")*24*60, "")</f>
        <v/>
      </c>
      <c r="S6460" s="24" t="str" cm="1">
        <f t="array" ref="S6460">IFERROR(IF($B6460=S$1, ($A6460+$C6460) - MAX(IF($B$2:$B6459=$B6460, $A$2:$A6459+$C$2:$C6459)), "")*24*60, "")</f>
        <v/>
      </c>
    </row>
    <row r="6461" spans="1:19" x14ac:dyDescent="0.2">
      <c r="A6461" s="12">
        <f t="shared" ref="A6461:C6461" si="1350">A6460</f>
        <v>45990</v>
      </c>
      <c r="B6461" s="5" t="str">
        <f t="shared" si="1350"/>
        <v>Northern Cardinal</v>
      </c>
      <c r="C6461" s="6">
        <f t="shared" si="1350"/>
        <v>0.28333333333333333</v>
      </c>
      <c r="D6461" s="5"/>
      <c r="E6461" s="5"/>
      <c r="F6461" s="5" t="s">
        <v>8</v>
      </c>
      <c r="G6461" s="15" t="s">
        <v>9</v>
      </c>
      <c r="H6461" s="24">
        <f t="shared" si="1251"/>
        <v>0</v>
      </c>
      <c r="I6461" s="24" cm="1">
        <f t="array" ref="I6461">IFERROR(IF($B6461=I$1, ($A6461+$C6461) - MAX(IF($B$2:$B6460=$B6461, $A$2:$A6460+$C$2:$C6460)), "")*24*60, "")</f>
        <v>0</v>
      </c>
      <c r="J6461" s="24" t="str" cm="1">
        <f t="array" ref="J6461">IFERROR(IF($B6461=J$1, ($A6461+$C6461) - MAX(IF($B$2:$B6460=$B6461, $A$2:$A6460+$C$2:$C6460)), "")*24*60, "")</f>
        <v/>
      </c>
      <c r="K6461" s="24" t="str" cm="1">
        <f t="array" ref="K6461">IFERROR(IF($B6461=K$1, ($A6461+$C6461) - MAX(IF($B$2:$B6460=$B6461, $A$2:$A6460+$C$2:$C6460)), "")*24*60, "")</f>
        <v/>
      </c>
      <c r="L6461" s="24" t="str" cm="1">
        <f t="array" ref="L6461">IFERROR(IF($B6461=L$1, ($A6461+$C6461) - MAX(IF($B$2:$B6460=$B6461, $A$2:$A6460+$C$2:$C6460)), "")*24*60, "")</f>
        <v/>
      </c>
      <c r="M6461" s="24" t="str" cm="1">
        <f t="array" ref="M6461">IFERROR(IF($B6461=M$1, ($A6461+$C6461) - MAX(IF($B$2:$B6460=$B6461, $A$2:$A6460+$C$2:$C6460)), "")*24*60, "")</f>
        <v/>
      </c>
      <c r="N6461" s="24" t="str" cm="1">
        <f t="array" ref="N6461">IFERROR(IF($B6461=N$1, ($A6461+$C6461) - MAX(IF($B$2:$B6460=$B6461, $A$2:$A6460+$C$2:$C6460)), "")*24*60, "")</f>
        <v/>
      </c>
      <c r="O6461" s="24" t="str" cm="1">
        <f t="array" ref="O6461">IFERROR(IF($B6461=O$1, ($A6461+$C6461) - MAX(IF($B$2:$B6460=$B6461, $A$2:$A6460+$C$2:$C6460)), "")*24*60, "")</f>
        <v/>
      </c>
      <c r="P6461" s="24" t="str" cm="1">
        <f t="array" ref="P6461">IFERROR(IF($B6461=P$1, ($A6461+$C6461) - MAX(IF($B$2:$B6460=$B6461, $A$2:$A6460+$C$2:$C6460)), "")*24*60, "")</f>
        <v/>
      </c>
      <c r="Q6461" s="24" t="str" cm="1">
        <f t="array" ref="Q6461">IFERROR(IF($B6461=Q$1, ($A6461+$C6461) - MAX(IF($B$2:$B6460=$B6461, $A$2:$A6460+$C$2:$C6460)), "")*24*60, "")</f>
        <v/>
      </c>
      <c r="R6461" s="24" t="str" cm="1">
        <f t="array" ref="R6461">IFERROR(IF($B6461=R$1, ($A6461+$C6461) - MAX(IF($B$2:$B6460=$B6461, $A$2:$A6460+$C$2:$C6460)), "")*24*60, "")</f>
        <v/>
      </c>
      <c r="S6461" s="24" t="str" cm="1">
        <f t="array" ref="S6461">IFERROR(IF($B6461=S$1, ($A6461+$C6461) - MAX(IF($B$2:$B6460=$B6461, $A$2:$A6460+$C$2:$C6460)), "")*24*60, "")</f>
        <v/>
      </c>
    </row>
    <row r="6462" spans="1:19" x14ac:dyDescent="0.2">
      <c r="A6462" s="12">
        <f t="shared" ref="A6462:C6462" si="1351">A6461</f>
        <v>45990</v>
      </c>
      <c r="B6462" s="5" t="str">
        <f t="shared" si="1351"/>
        <v>Northern Cardinal</v>
      </c>
      <c r="C6462" s="6">
        <f t="shared" si="1351"/>
        <v>0.28333333333333333</v>
      </c>
      <c r="D6462" s="5"/>
      <c r="E6462" s="5"/>
      <c r="F6462" s="5" t="s">
        <v>8</v>
      </c>
      <c r="G6462" s="15" t="s">
        <v>9</v>
      </c>
      <c r="H6462" s="24">
        <f t="shared" si="1251"/>
        <v>0</v>
      </c>
      <c r="I6462" s="24" cm="1">
        <f t="array" ref="I6462">IFERROR(IF($B6462=I$1, ($A6462+$C6462) - MAX(IF($B$2:$B6461=$B6462, $A$2:$A6461+$C$2:$C6461)), "")*24*60, "")</f>
        <v>0</v>
      </c>
      <c r="J6462" s="24" t="str" cm="1">
        <f t="array" ref="J6462">IFERROR(IF($B6462=J$1, ($A6462+$C6462) - MAX(IF($B$2:$B6461=$B6462, $A$2:$A6461+$C$2:$C6461)), "")*24*60, "")</f>
        <v/>
      </c>
      <c r="K6462" s="24" t="str" cm="1">
        <f t="array" ref="K6462">IFERROR(IF($B6462=K$1, ($A6462+$C6462) - MAX(IF($B$2:$B6461=$B6462, $A$2:$A6461+$C$2:$C6461)), "")*24*60, "")</f>
        <v/>
      </c>
      <c r="L6462" s="24" t="str" cm="1">
        <f t="array" ref="L6462">IFERROR(IF($B6462=L$1, ($A6462+$C6462) - MAX(IF($B$2:$B6461=$B6462, $A$2:$A6461+$C$2:$C6461)), "")*24*60, "")</f>
        <v/>
      </c>
      <c r="M6462" s="24" t="str" cm="1">
        <f t="array" ref="M6462">IFERROR(IF($B6462=M$1, ($A6462+$C6462) - MAX(IF($B$2:$B6461=$B6462, $A$2:$A6461+$C$2:$C6461)), "")*24*60, "")</f>
        <v/>
      </c>
      <c r="N6462" s="24" t="str" cm="1">
        <f t="array" ref="N6462">IFERROR(IF($B6462=N$1, ($A6462+$C6462) - MAX(IF($B$2:$B6461=$B6462, $A$2:$A6461+$C$2:$C6461)), "")*24*60, "")</f>
        <v/>
      </c>
      <c r="O6462" s="24" t="str" cm="1">
        <f t="array" ref="O6462">IFERROR(IF($B6462=O$1, ($A6462+$C6462) - MAX(IF($B$2:$B6461=$B6462, $A$2:$A6461+$C$2:$C6461)), "")*24*60, "")</f>
        <v/>
      </c>
      <c r="P6462" s="24" t="str" cm="1">
        <f t="array" ref="P6462">IFERROR(IF($B6462=P$1, ($A6462+$C6462) - MAX(IF($B$2:$B6461=$B6462, $A$2:$A6461+$C$2:$C6461)), "")*24*60, "")</f>
        <v/>
      </c>
      <c r="Q6462" s="24" t="str" cm="1">
        <f t="array" ref="Q6462">IFERROR(IF($B6462=Q$1, ($A6462+$C6462) - MAX(IF($B$2:$B6461=$B6462, $A$2:$A6461+$C$2:$C6461)), "")*24*60, "")</f>
        <v/>
      </c>
      <c r="R6462" s="24" t="str" cm="1">
        <f t="array" ref="R6462">IFERROR(IF($B6462=R$1, ($A6462+$C6462) - MAX(IF($B$2:$B6461=$B6462, $A$2:$A6461+$C$2:$C6461)), "")*24*60, "")</f>
        <v/>
      </c>
      <c r="S6462" s="24" t="str" cm="1">
        <f t="array" ref="S6462">IFERROR(IF($B6462=S$1, ($A6462+$C6462) - MAX(IF($B$2:$B6461=$B6462, $A$2:$A6461+$C$2:$C6461)), "")*24*60, "")</f>
        <v/>
      </c>
    </row>
    <row r="6463" spans="1:19" x14ac:dyDescent="0.2">
      <c r="A6463" s="12">
        <f t="shared" ref="A6463:C6463" si="1352">A6462</f>
        <v>45990</v>
      </c>
      <c r="B6463" s="5" t="str">
        <f t="shared" si="1352"/>
        <v>Northern Cardinal</v>
      </c>
      <c r="C6463" s="6">
        <f t="shared" si="1352"/>
        <v>0.28333333333333333</v>
      </c>
      <c r="D6463" s="5"/>
      <c r="E6463" s="5"/>
      <c r="F6463" s="5" t="s">
        <v>8</v>
      </c>
      <c r="G6463" s="15" t="s">
        <v>9</v>
      </c>
      <c r="H6463" s="24">
        <f t="shared" si="1251"/>
        <v>0</v>
      </c>
      <c r="I6463" s="24" cm="1">
        <f t="array" ref="I6463">IFERROR(IF($B6463=I$1, ($A6463+$C6463) - MAX(IF($B$2:$B6462=$B6463, $A$2:$A6462+$C$2:$C6462)), "")*24*60, "")</f>
        <v>0</v>
      </c>
      <c r="J6463" s="24" t="str" cm="1">
        <f t="array" ref="J6463">IFERROR(IF($B6463=J$1, ($A6463+$C6463) - MAX(IF($B$2:$B6462=$B6463, $A$2:$A6462+$C$2:$C6462)), "")*24*60, "")</f>
        <v/>
      </c>
      <c r="K6463" s="24" t="str" cm="1">
        <f t="array" ref="K6463">IFERROR(IF($B6463=K$1, ($A6463+$C6463) - MAX(IF($B$2:$B6462=$B6463, $A$2:$A6462+$C$2:$C6462)), "")*24*60, "")</f>
        <v/>
      </c>
      <c r="L6463" s="24" t="str" cm="1">
        <f t="array" ref="L6463">IFERROR(IF($B6463=L$1, ($A6463+$C6463) - MAX(IF($B$2:$B6462=$B6463, $A$2:$A6462+$C$2:$C6462)), "")*24*60, "")</f>
        <v/>
      </c>
      <c r="M6463" s="24" t="str" cm="1">
        <f t="array" ref="M6463">IFERROR(IF($B6463=M$1, ($A6463+$C6463) - MAX(IF($B$2:$B6462=$B6463, $A$2:$A6462+$C$2:$C6462)), "")*24*60, "")</f>
        <v/>
      </c>
      <c r="N6463" s="24" t="str" cm="1">
        <f t="array" ref="N6463">IFERROR(IF($B6463=N$1, ($A6463+$C6463) - MAX(IF($B$2:$B6462=$B6463, $A$2:$A6462+$C$2:$C6462)), "")*24*60, "")</f>
        <v/>
      </c>
      <c r="O6463" s="24" t="str" cm="1">
        <f t="array" ref="O6463">IFERROR(IF($B6463=O$1, ($A6463+$C6463) - MAX(IF($B$2:$B6462=$B6463, $A$2:$A6462+$C$2:$C6462)), "")*24*60, "")</f>
        <v/>
      </c>
      <c r="P6463" s="24" t="str" cm="1">
        <f t="array" ref="P6463">IFERROR(IF($B6463=P$1, ($A6463+$C6463) - MAX(IF($B$2:$B6462=$B6463, $A$2:$A6462+$C$2:$C6462)), "")*24*60, "")</f>
        <v/>
      </c>
      <c r="Q6463" s="24" t="str" cm="1">
        <f t="array" ref="Q6463">IFERROR(IF($B6463=Q$1, ($A6463+$C6463) - MAX(IF($B$2:$B6462=$B6463, $A$2:$A6462+$C$2:$C6462)), "")*24*60, "")</f>
        <v/>
      </c>
      <c r="R6463" s="24" t="str" cm="1">
        <f t="array" ref="R6463">IFERROR(IF($B6463=R$1, ($A6463+$C6463) - MAX(IF($B$2:$B6462=$B6463, $A$2:$A6462+$C$2:$C6462)), "")*24*60, "")</f>
        <v/>
      </c>
      <c r="S6463" s="24" t="str" cm="1">
        <f t="array" ref="S6463">IFERROR(IF($B6463=S$1, ($A6463+$C6463) - MAX(IF($B$2:$B6462=$B6463, $A$2:$A6462+$C$2:$C6462)), "")*24*60, "")</f>
        <v/>
      </c>
    </row>
    <row r="6464" spans="1:19" x14ac:dyDescent="0.2">
      <c r="A6464" s="12">
        <f t="shared" ref="A6464:C6464" si="1353">A6463</f>
        <v>45990</v>
      </c>
      <c r="B6464" s="5" t="str">
        <f t="shared" si="1353"/>
        <v>Northern Cardinal</v>
      </c>
      <c r="C6464" s="6">
        <f t="shared" si="1353"/>
        <v>0.28333333333333333</v>
      </c>
      <c r="D6464" s="5"/>
      <c r="E6464" s="5"/>
      <c r="F6464" s="5" t="s">
        <v>8</v>
      </c>
      <c r="G6464" s="15" t="s">
        <v>9</v>
      </c>
      <c r="H6464" s="24">
        <f t="shared" si="1251"/>
        <v>0</v>
      </c>
      <c r="I6464" s="24" cm="1">
        <f t="array" ref="I6464">IFERROR(IF($B6464=I$1, ($A6464+$C6464) - MAX(IF($B$2:$B6463=$B6464, $A$2:$A6463+$C$2:$C6463)), "")*24*60, "")</f>
        <v>0</v>
      </c>
      <c r="J6464" s="24" t="str" cm="1">
        <f t="array" ref="J6464">IFERROR(IF($B6464=J$1, ($A6464+$C6464) - MAX(IF($B$2:$B6463=$B6464, $A$2:$A6463+$C$2:$C6463)), "")*24*60, "")</f>
        <v/>
      </c>
      <c r="K6464" s="24" t="str" cm="1">
        <f t="array" ref="K6464">IFERROR(IF($B6464=K$1, ($A6464+$C6464) - MAX(IF($B$2:$B6463=$B6464, $A$2:$A6463+$C$2:$C6463)), "")*24*60, "")</f>
        <v/>
      </c>
      <c r="L6464" s="24" t="str" cm="1">
        <f t="array" ref="L6464">IFERROR(IF($B6464=L$1, ($A6464+$C6464) - MAX(IF($B$2:$B6463=$B6464, $A$2:$A6463+$C$2:$C6463)), "")*24*60, "")</f>
        <v/>
      </c>
      <c r="M6464" s="24" t="str" cm="1">
        <f t="array" ref="M6464">IFERROR(IF($B6464=M$1, ($A6464+$C6464) - MAX(IF($B$2:$B6463=$B6464, $A$2:$A6463+$C$2:$C6463)), "")*24*60, "")</f>
        <v/>
      </c>
      <c r="N6464" s="24" t="str" cm="1">
        <f t="array" ref="N6464">IFERROR(IF($B6464=N$1, ($A6464+$C6464) - MAX(IF($B$2:$B6463=$B6464, $A$2:$A6463+$C$2:$C6463)), "")*24*60, "")</f>
        <v/>
      </c>
      <c r="O6464" s="24" t="str" cm="1">
        <f t="array" ref="O6464">IFERROR(IF($B6464=O$1, ($A6464+$C6464) - MAX(IF($B$2:$B6463=$B6464, $A$2:$A6463+$C$2:$C6463)), "")*24*60, "")</f>
        <v/>
      </c>
      <c r="P6464" s="24" t="str" cm="1">
        <f t="array" ref="P6464">IFERROR(IF($B6464=P$1, ($A6464+$C6464) - MAX(IF($B$2:$B6463=$B6464, $A$2:$A6463+$C$2:$C6463)), "")*24*60, "")</f>
        <v/>
      </c>
      <c r="Q6464" s="24" t="str" cm="1">
        <f t="array" ref="Q6464">IFERROR(IF($B6464=Q$1, ($A6464+$C6464) - MAX(IF($B$2:$B6463=$B6464, $A$2:$A6463+$C$2:$C6463)), "")*24*60, "")</f>
        <v/>
      </c>
      <c r="R6464" s="24" t="str" cm="1">
        <f t="array" ref="R6464">IFERROR(IF($B6464=R$1, ($A6464+$C6464) - MAX(IF($B$2:$B6463=$B6464, $A$2:$A6463+$C$2:$C6463)), "")*24*60, "")</f>
        <v/>
      </c>
      <c r="S6464" s="24" t="str" cm="1">
        <f t="array" ref="S6464">IFERROR(IF($B6464=S$1, ($A6464+$C6464) - MAX(IF($B$2:$B6463=$B6464, $A$2:$A6463+$C$2:$C6463)), "")*24*60, "")</f>
        <v/>
      </c>
    </row>
    <row r="6465" spans="1:19" x14ac:dyDescent="0.2">
      <c r="A6465" s="12">
        <f t="shared" ref="A6465:C6465" si="1354">A6464</f>
        <v>45990</v>
      </c>
      <c r="B6465" s="5" t="str">
        <f t="shared" si="1354"/>
        <v>Northern Cardinal</v>
      </c>
      <c r="C6465" s="6">
        <f t="shared" si="1354"/>
        <v>0.28333333333333333</v>
      </c>
      <c r="D6465" s="5"/>
      <c r="E6465" s="5"/>
      <c r="F6465" s="5" t="s">
        <v>8</v>
      </c>
      <c r="G6465" s="15" t="s">
        <v>9</v>
      </c>
      <c r="H6465" s="24">
        <f t="shared" si="1251"/>
        <v>0</v>
      </c>
      <c r="I6465" s="24" cm="1">
        <f t="array" ref="I6465">IFERROR(IF($B6465=I$1, ($A6465+$C6465) - MAX(IF($B$2:$B6464=$B6465, $A$2:$A6464+$C$2:$C6464)), "")*24*60, "")</f>
        <v>0</v>
      </c>
      <c r="J6465" s="24" t="str" cm="1">
        <f t="array" ref="J6465">IFERROR(IF($B6465=J$1, ($A6465+$C6465) - MAX(IF($B$2:$B6464=$B6465, $A$2:$A6464+$C$2:$C6464)), "")*24*60, "")</f>
        <v/>
      </c>
      <c r="K6465" s="24" t="str" cm="1">
        <f t="array" ref="K6465">IFERROR(IF($B6465=K$1, ($A6465+$C6465) - MAX(IF($B$2:$B6464=$B6465, $A$2:$A6464+$C$2:$C6464)), "")*24*60, "")</f>
        <v/>
      </c>
      <c r="L6465" s="24" t="str" cm="1">
        <f t="array" ref="L6465">IFERROR(IF($B6465=L$1, ($A6465+$C6465) - MAX(IF($B$2:$B6464=$B6465, $A$2:$A6464+$C$2:$C6464)), "")*24*60, "")</f>
        <v/>
      </c>
      <c r="M6465" s="24" t="str" cm="1">
        <f t="array" ref="M6465">IFERROR(IF($B6465=M$1, ($A6465+$C6465) - MAX(IF($B$2:$B6464=$B6465, $A$2:$A6464+$C$2:$C6464)), "")*24*60, "")</f>
        <v/>
      </c>
      <c r="N6465" s="24" t="str" cm="1">
        <f t="array" ref="N6465">IFERROR(IF($B6465=N$1, ($A6465+$C6465) - MAX(IF($B$2:$B6464=$B6465, $A$2:$A6464+$C$2:$C6464)), "")*24*60, "")</f>
        <v/>
      </c>
      <c r="O6465" s="24" t="str" cm="1">
        <f t="array" ref="O6465">IFERROR(IF($B6465=O$1, ($A6465+$C6465) - MAX(IF($B$2:$B6464=$B6465, $A$2:$A6464+$C$2:$C6464)), "")*24*60, "")</f>
        <v/>
      </c>
      <c r="P6465" s="24" t="str" cm="1">
        <f t="array" ref="P6465">IFERROR(IF($B6465=P$1, ($A6465+$C6465) - MAX(IF($B$2:$B6464=$B6465, $A$2:$A6464+$C$2:$C6464)), "")*24*60, "")</f>
        <v/>
      </c>
      <c r="Q6465" s="24" t="str" cm="1">
        <f t="array" ref="Q6465">IFERROR(IF($B6465=Q$1, ($A6465+$C6465) - MAX(IF($B$2:$B6464=$B6465, $A$2:$A6464+$C$2:$C6464)), "")*24*60, "")</f>
        <v/>
      </c>
      <c r="R6465" s="24" t="str" cm="1">
        <f t="array" ref="R6465">IFERROR(IF($B6465=R$1, ($A6465+$C6465) - MAX(IF($B$2:$B6464=$B6465, $A$2:$A6464+$C$2:$C6464)), "")*24*60, "")</f>
        <v/>
      </c>
      <c r="S6465" s="24" t="str" cm="1">
        <f t="array" ref="S6465">IFERROR(IF($B6465=S$1, ($A6465+$C6465) - MAX(IF($B$2:$B6464=$B6465, $A$2:$A6464+$C$2:$C6464)), "")*24*60, "")</f>
        <v/>
      </c>
    </row>
    <row r="6466" spans="1:19" x14ac:dyDescent="0.2">
      <c r="A6466" s="12">
        <f t="shared" ref="A6466:C6466" si="1355">A6465</f>
        <v>45990</v>
      </c>
      <c r="B6466" s="5" t="str">
        <f t="shared" si="1355"/>
        <v>Northern Cardinal</v>
      </c>
      <c r="C6466" s="6">
        <f t="shared" si="1355"/>
        <v>0.28333333333333333</v>
      </c>
      <c r="D6466" s="5"/>
      <c r="E6466" s="5"/>
      <c r="F6466" s="5" t="s">
        <v>8</v>
      </c>
      <c r="G6466" s="15" t="s">
        <v>9</v>
      </c>
      <c r="H6466" s="24">
        <f t="shared" si="1251"/>
        <v>0</v>
      </c>
      <c r="I6466" s="24" cm="1">
        <f t="array" ref="I6466">IFERROR(IF($B6466=I$1, ($A6466+$C6466) - MAX(IF($B$2:$B6465=$B6466, $A$2:$A6465+$C$2:$C6465)), "")*24*60, "")</f>
        <v>0</v>
      </c>
      <c r="J6466" s="24" t="str" cm="1">
        <f t="array" ref="J6466">IFERROR(IF($B6466=J$1, ($A6466+$C6466) - MAX(IF($B$2:$B6465=$B6466, $A$2:$A6465+$C$2:$C6465)), "")*24*60, "")</f>
        <v/>
      </c>
      <c r="K6466" s="24" t="str" cm="1">
        <f t="array" ref="K6466">IFERROR(IF($B6466=K$1, ($A6466+$C6466) - MAX(IF($B$2:$B6465=$B6466, $A$2:$A6465+$C$2:$C6465)), "")*24*60, "")</f>
        <v/>
      </c>
      <c r="L6466" s="24" t="str" cm="1">
        <f t="array" ref="L6466">IFERROR(IF($B6466=L$1, ($A6466+$C6466) - MAX(IF($B$2:$B6465=$B6466, $A$2:$A6465+$C$2:$C6465)), "")*24*60, "")</f>
        <v/>
      </c>
      <c r="M6466" s="24" t="str" cm="1">
        <f t="array" ref="M6466">IFERROR(IF($B6466=M$1, ($A6466+$C6466) - MAX(IF($B$2:$B6465=$B6466, $A$2:$A6465+$C$2:$C6465)), "")*24*60, "")</f>
        <v/>
      </c>
      <c r="N6466" s="24" t="str" cm="1">
        <f t="array" ref="N6466">IFERROR(IF($B6466=N$1, ($A6466+$C6466) - MAX(IF($B$2:$B6465=$B6466, $A$2:$A6465+$C$2:$C6465)), "")*24*60, "")</f>
        <v/>
      </c>
      <c r="O6466" s="24" t="str" cm="1">
        <f t="array" ref="O6466">IFERROR(IF($B6466=O$1, ($A6466+$C6466) - MAX(IF($B$2:$B6465=$B6466, $A$2:$A6465+$C$2:$C6465)), "")*24*60, "")</f>
        <v/>
      </c>
      <c r="P6466" s="24" t="str" cm="1">
        <f t="array" ref="P6466">IFERROR(IF($B6466=P$1, ($A6466+$C6466) - MAX(IF($B$2:$B6465=$B6466, $A$2:$A6465+$C$2:$C6465)), "")*24*60, "")</f>
        <v/>
      </c>
      <c r="Q6466" s="24" t="str" cm="1">
        <f t="array" ref="Q6466">IFERROR(IF($B6466=Q$1, ($A6466+$C6466) - MAX(IF($B$2:$B6465=$B6466, $A$2:$A6465+$C$2:$C6465)), "")*24*60, "")</f>
        <v/>
      </c>
      <c r="R6466" s="24" t="str" cm="1">
        <f t="array" ref="R6466">IFERROR(IF($B6466=R$1, ($A6466+$C6466) - MAX(IF($B$2:$B6465=$B6466, $A$2:$A6465+$C$2:$C6465)), "")*24*60, "")</f>
        <v/>
      </c>
      <c r="S6466" s="24" t="str" cm="1">
        <f t="array" ref="S6466">IFERROR(IF($B6466=S$1, ($A6466+$C6466) - MAX(IF($B$2:$B6465=$B6466, $A$2:$A6465+$C$2:$C6465)), "")*24*60, "")</f>
        <v/>
      </c>
    </row>
    <row r="6467" spans="1:19" x14ac:dyDescent="0.2">
      <c r="A6467" s="12">
        <f t="shared" ref="A6467:C6467" si="1356">A6466</f>
        <v>45990</v>
      </c>
      <c r="B6467" s="5" t="str">
        <f t="shared" si="1356"/>
        <v>Northern Cardinal</v>
      </c>
      <c r="C6467" s="6">
        <f t="shared" si="1356"/>
        <v>0.28333333333333333</v>
      </c>
      <c r="D6467" s="5"/>
      <c r="E6467" s="5"/>
      <c r="F6467" s="5" t="s">
        <v>8</v>
      </c>
      <c r="G6467" s="15" t="s">
        <v>9</v>
      </c>
      <c r="H6467" s="24">
        <f t="shared" si="1251"/>
        <v>0</v>
      </c>
      <c r="I6467" s="24" cm="1">
        <f t="array" ref="I6467">IFERROR(IF($B6467=I$1, ($A6467+$C6467) - MAX(IF($B$2:$B6466=$B6467, $A$2:$A6466+$C$2:$C6466)), "")*24*60, "")</f>
        <v>0</v>
      </c>
      <c r="J6467" s="24" t="str" cm="1">
        <f t="array" ref="J6467">IFERROR(IF($B6467=J$1, ($A6467+$C6467) - MAX(IF($B$2:$B6466=$B6467, $A$2:$A6466+$C$2:$C6466)), "")*24*60, "")</f>
        <v/>
      </c>
      <c r="K6467" s="24" t="str" cm="1">
        <f t="array" ref="K6467">IFERROR(IF($B6467=K$1, ($A6467+$C6467) - MAX(IF($B$2:$B6466=$B6467, $A$2:$A6466+$C$2:$C6466)), "")*24*60, "")</f>
        <v/>
      </c>
      <c r="L6467" s="24" t="str" cm="1">
        <f t="array" ref="L6467">IFERROR(IF($B6467=L$1, ($A6467+$C6467) - MAX(IF($B$2:$B6466=$B6467, $A$2:$A6466+$C$2:$C6466)), "")*24*60, "")</f>
        <v/>
      </c>
      <c r="M6467" s="24" t="str" cm="1">
        <f t="array" ref="M6467">IFERROR(IF($B6467=M$1, ($A6467+$C6467) - MAX(IF($B$2:$B6466=$B6467, $A$2:$A6466+$C$2:$C6466)), "")*24*60, "")</f>
        <v/>
      </c>
      <c r="N6467" s="24" t="str" cm="1">
        <f t="array" ref="N6467">IFERROR(IF($B6467=N$1, ($A6467+$C6467) - MAX(IF($B$2:$B6466=$B6467, $A$2:$A6466+$C$2:$C6466)), "")*24*60, "")</f>
        <v/>
      </c>
      <c r="O6467" s="24" t="str" cm="1">
        <f t="array" ref="O6467">IFERROR(IF($B6467=O$1, ($A6467+$C6467) - MAX(IF($B$2:$B6466=$B6467, $A$2:$A6466+$C$2:$C6466)), "")*24*60, "")</f>
        <v/>
      </c>
      <c r="P6467" s="24" t="str" cm="1">
        <f t="array" ref="P6467">IFERROR(IF($B6467=P$1, ($A6467+$C6467) - MAX(IF($B$2:$B6466=$B6467, $A$2:$A6466+$C$2:$C6466)), "")*24*60, "")</f>
        <v/>
      </c>
      <c r="Q6467" s="24" t="str" cm="1">
        <f t="array" ref="Q6467">IFERROR(IF($B6467=Q$1, ($A6467+$C6467) - MAX(IF($B$2:$B6466=$B6467, $A$2:$A6466+$C$2:$C6466)), "")*24*60, "")</f>
        <v/>
      </c>
      <c r="R6467" s="24" t="str" cm="1">
        <f t="array" ref="R6467">IFERROR(IF($B6467=R$1, ($A6467+$C6467) - MAX(IF($B$2:$B6466=$B6467, $A$2:$A6466+$C$2:$C6466)), "")*24*60, "")</f>
        <v/>
      </c>
      <c r="S6467" s="24" t="str" cm="1">
        <f t="array" ref="S6467">IFERROR(IF($B6467=S$1, ($A6467+$C6467) - MAX(IF($B$2:$B6466=$B6467, $A$2:$A6466+$C$2:$C6466)), "")*24*60, "")</f>
        <v/>
      </c>
    </row>
    <row r="6468" spans="1:19" x14ac:dyDescent="0.2">
      <c r="A6468" s="12">
        <f t="shared" ref="A6468:C6468" si="1357">A6467</f>
        <v>45990</v>
      </c>
      <c r="B6468" s="5" t="str">
        <f t="shared" si="1357"/>
        <v>Northern Cardinal</v>
      </c>
      <c r="C6468" s="6">
        <f t="shared" si="1357"/>
        <v>0.28333333333333333</v>
      </c>
      <c r="D6468" s="5"/>
      <c r="E6468" s="5"/>
      <c r="F6468" s="5" t="s">
        <v>8</v>
      </c>
      <c r="G6468" s="15" t="s">
        <v>9</v>
      </c>
      <c r="H6468" s="24">
        <f t="shared" si="1251"/>
        <v>0</v>
      </c>
      <c r="I6468" s="24" cm="1">
        <f t="array" ref="I6468">IFERROR(IF($B6468=I$1, ($A6468+$C6468) - MAX(IF($B$2:$B6467=$B6468, $A$2:$A6467+$C$2:$C6467)), "")*24*60, "")</f>
        <v>0</v>
      </c>
      <c r="J6468" s="24" t="str" cm="1">
        <f t="array" ref="J6468">IFERROR(IF($B6468=J$1, ($A6468+$C6468) - MAX(IF($B$2:$B6467=$B6468, $A$2:$A6467+$C$2:$C6467)), "")*24*60, "")</f>
        <v/>
      </c>
      <c r="K6468" s="24" t="str" cm="1">
        <f t="array" ref="K6468">IFERROR(IF($B6468=K$1, ($A6468+$C6468) - MAX(IF($B$2:$B6467=$B6468, $A$2:$A6467+$C$2:$C6467)), "")*24*60, "")</f>
        <v/>
      </c>
      <c r="L6468" s="24" t="str" cm="1">
        <f t="array" ref="L6468">IFERROR(IF($B6468=L$1, ($A6468+$C6468) - MAX(IF($B$2:$B6467=$B6468, $A$2:$A6467+$C$2:$C6467)), "")*24*60, "")</f>
        <v/>
      </c>
      <c r="M6468" s="24" t="str" cm="1">
        <f t="array" ref="M6468">IFERROR(IF($B6468=M$1, ($A6468+$C6468) - MAX(IF($B$2:$B6467=$B6468, $A$2:$A6467+$C$2:$C6467)), "")*24*60, "")</f>
        <v/>
      </c>
      <c r="N6468" s="24" t="str" cm="1">
        <f t="array" ref="N6468">IFERROR(IF($B6468=N$1, ($A6468+$C6468) - MAX(IF($B$2:$B6467=$B6468, $A$2:$A6467+$C$2:$C6467)), "")*24*60, "")</f>
        <v/>
      </c>
      <c r="O6468" s="24" t="str" cm="1">
        <f t="array" ref="O6468">IFERROR(IF($B6468=O$1, ($A6468+$C6468) - MAX(IF($B$2:$B6467=$B6468, $A$2:$A6467+$C$2:$C6467)), "")*24*60, "")</f>
        <v/>
      </c>
      <c r="P6468" s="24" t="str" cm="1">
        <f t="array" ref="P6468">IFERROR(IF($B6468=P$1, ($A6468+$C6468) - MAX(IF($B$2:$B6467=$B6468, $A$2:$A6467+$C$2:$C6467)), "")*24*60, "")</f>
        <v/>
      </c>
      <c r="Q6468" s="24" t="str" cm="1">
        <f t="array" ref="Q6468">IFERROR(IF($B6468=Q$1, ($A6468+$C6468) - MAX(IF($B$2:$B6467=$B6468, $A$2:$A6467+$C$2:$C6467)), "")*24*60, "")</f>
        <v/>
      </c>
      <c r="R6468" s="24" t="str" cm="1">
        <f t="array" ref="R6468">IFERROR(IF($B6468=R$1, ($A6468+$C6468) - MAX(IF($B$2:$B6467=$B6468, $A$2:$A6467+$C$2:$C6467)), "")*24*60, "")</f>
        <v/>
      </c>
      <c r="S6468" s="24" t="str" cm="1">
        <f t="array" ref="S6468">IFERROR(IF($B6468=S$1, ($A6468+$C6468) - MAX(IF($B$2:$B6467=$B6468, $A$2:$A6467+$C$2:$C6467)), "")*24*60, "")</f>
        <v/>
      </c>
    </row>
    <row r="6469" spans="1:19" x14ac:dyDescent="0.2">
      <c r="A6469" s="12">
        <f t="shared" ref="A6469:C6469" si="1358">A6468</f>
        <v>45990</v>
      </c>
      <c r="B6469" s="5" t="str">
        <f t="shared" si="1358"/>
        <v>Northern Cardinal</v>
      </c>
      <c r="C6469" s="6">
        <f t="shared" si="1358"/>
        <v>0.28333333333333333</v>
      </c>
      <c r="D6469" s="5"/>
      <c r="E6469" s="5"/>
      <c r="F6469" s="5" t="s">
        <v>8</v>
      </c>
      <c r="G6469" s="15" t="s">
        <v>9</v>
      </c>
      <c r="H6469" s="24">
        <f t="shared" si="1251"/>
        <v>0</v>
      </c>
      <c r="I6469" s="24" cm="1">
        <f t="array" ref="I6469">IFERROR(IF($B6469=I$1, ($A6469+$C6469) - MAX(IF($B$2:$B6468=$B6469, $A$2:$A6468+$C$2:$C6468)), "")*24*60, "")</f>
        <v>0</v>
      </c>
      <c r="J6469" s="24" t="str" cm="1">
        <f t="array" ref="J6469">IFERROR(IF($B6469=J$1, ($A6469+$C6469) - MAX(IF($B$2:$B6468=$B6469, $A$2:$A6468+$C$2:$C6468)), "")*24*60, "")</f>
        <v/>
      </c>
      <c r="K6469" s="24" t="str" cm="1">
        <f t="array" ref="K6469">IFERROR(IF($B6469=K$1, ($A6469+$C6469) - MAX(IF($B$2:$B6468=$B6469, $A$2:$A6468+$C$2:$C6468)), "")*24*60, "")</f>
        <v/>
      </c>
      <c r="L6469" s="24" t="str" cm="1">
        <f t="array" ref="L6469">IFERROR(IF($B6469=L$1, ($A6469+$C6469) - MAX(IF($B$2:$B6468=$B6469, $A$2:$A6468+$C$2:$C6468)), "")*24*60, "")</f>
        <v/>
      </c>
      <c r="M6469" s="24" t="str" cm="1">
        <f t="array" ref="M6469">IFERROR(IF($B6469=M$1, ($A6469+$C6469) - MAX(IF($B$2:$B6468=$B6469, $A$2:$A6468+$C$2:$C6468)), "")*24*60, "")</f>
        <v/>
      </c>
      <c r="N6469" s="24" t="str" cm="1">
        <f t="array" ref="N6469">IFERROR(IF($B6469=N$1, ($A6469+$C6469) - MAX(IF($B$2:$B6468=$B6469, $A$2:$A6468+$C$2:$C6468)), "")*24*60, "")</f>
        <v/>
      </c>
      <c r="O6469" s="24" t="str" cm="1">
        <f t="array" ref="O6469">IFERROR(IF($B6469=O$1, ($A6469+$C6469) - MAX(IF($B$2:$B6468=$B6469, $A$2:$A6468+$C$2:$C6468)), "")*24*60, "")</f>
        <v/>
      </c>
      <c r="P6469" s="24" t="str" cm="1">
        <f t="array" ref="P6469">IFERROR(IF($B6469=P$1, ($A6469+$C6469) - MAX(IF($B$2:$B6468=$B6469, $A$2:$A6468+$C$2:$C6468)), "")*24*60, "")</f>
        <v/>
      </c>
      <c r="Q6469" s="24" t="str" cm="1">
        <f t="array" ref="Q6469">IFERROR(IF($B6469=Q$1, ($A6469+$C6469) - MAX(IF($B$2:$B6468=$B6469, $A$2:$A6468+$C$2:$C6468)), "")*24*60, "")</f>
        <v/>
      </c>
      <c r="R6469" s="24" t="str" cm="1">
        <f t="array" ref="R6469">IFERROR(IF($B6469=R$1, ($A6469+$C6469) - MAX(IF($B$2:$B6468=$B6469, $A$2:$A6468+$C$2:$C6468)), "")*24*60, "")</f>
        <v/>
      </c>
      <c r="S6469" s="24" t="str" cm="1">
        <f t="array" ref="S6469">IFERROR(IF($B6469=S$1, ($A6469+$C6469) - MAX(IF($B$2:$B6468=$B6469, $A$2:$A6468+$C$2:$C6468)), "")*24*60, "")</f>
        <v/>
      </c>
    </row>
    <row r="6470" spans="1:19" x14ac:dyDescent="0.2">
      <c r="A6470" s="12">
        <f t="shared" ref="A6470:C6470" si="1359">A6469</f>
        <v>45990</v>
      </c>
      <c r="B6470" s="5" t="str">
        <f t="shared" si="1359"/>
        <v>Northern Cardinal</v>
      </c>
      <c r="C6470" s="6">
        <f t="shared" si="1359"/>
        <v>0.28333333333333333</v>
      </c>
      <c r="D6470" s="5"/>
      <c r="E6470" s="5"/>
      <c r="F6470" s="5" t="s">
        <v>8</v>
      </c>
      <c r="G6470" s="15" t="s">
        <v>9</v>
      </c>
      <c r="H6470" s="24">
        <f t="shared" si="1251"/>
        <v>0</v>
      </c>
      <c r="I6470" s="24" cm="1">
        <f t="array" ref="I6470">IFERROR(IF($B6470=I$1, ($A6470+$C6470) - MAX(IF($B$2:$B6469=$B6470, $A$2:$A6469+$C$2:$C6469)), "")*24*60, "")</f>
        <v>0</v>
      </c>
      <c r="J6470" s="24" t="str" cm="1">
        <f t="array" ref="J6470">IFERROR(IF($B6470=J$1, ($A6470+$C6470) - MAX(IF($B$2:$B6469=$B6470, $A$2:$A6469+$C$2:$C6469)), "")*24*60, "")</f>
        <v/>
      </c>
      <c r="K6470" s="24" t="str" cm="1">
        <f t="array" ref="K6470">IFERROR(IF($B6470=K$1, ($A6470+$C6470) - MAX(IF($B$2:$B6469=$B6470, $A$2:$A6469+$C$2:$C6469)), "")*24*60, "")</f>
        <v/>
      </c>
      <c r="L6470" s="24" t="str" cm="1">
        <f t="array" ref="L6470">IFERROR(IF($B6470=L$1, ($A6470+$C6470) - MAX(IF($B$2:$B6469=$B6470, $A$2:$A6469+$C$2:$C6469)), "")*24*60, "")</f>
        <v/>
      </c>
      <c r="M6470" s="24" t="str" cm="1">
        <f t="array" ref="M6470">IFERROR(IF($B6470=M$1, ($A6470+$C6470) - MAX(IF($B$2:$B6469=$B6470, $A$2:$A6469+$C$2:$C6469)), "")*24*60, "")</f>
        <v/>
      </c>
      <c r="N6470" s="24" t="str" cm="1">
        <f t="array" ref="N6470">IFERROR(IF($B6470=N$1, ($A6470+$C6470) - MAX(IF($B$2:$B6469=$B6470, $A$2:$A6469+$C$2:$C6469)), "")*24*60, "")</f>
        <v/>
      </c>
      <c r="O6470" s="24" t="str" cm="1">
        <f t="array" ref="O6470">IFERROR(IF($B6470=O$1, ($A6470+$C6470) - MAX(IF($B$2:$B6469=$B6470, $A$2:$A6469+$C$2:$C6469)), "")*24*60, "")</f>
        <v/>
      </c>
      <c r="P6470" s="24" t="str" cm="1">
        <f t="array" ref="P6470">IFERROR(IF($B6470=P$1, ($A6470+$C6470) - MAX(IF($B$2:$B6469=$B6470, $A$2:$A6469+$C$2:$C6469)), "")*24*60, "")</f>
        <v/>
      </c>
      <c r="Q6470" s="24" t="str" cm="1">
        <f t="array" ref="Q6470">IFERROR(IF($B6470=Q$1, ($A6470+$C6470) - MAX(IF($B$2:$B6469=$B6470, $A$2:$A6469+$C$2:$C6469)), "")*24*60, "")</f>
        <v/>
      </c>
      <c r="R6470" s="24" t="str" cm="1">
        <f t="array" ref="R6470">IFERROR(IF($B6470=R$1, ($A6470+$C6470) - MAX(IF($B$2:$B6469=$B6470, $A$2:$A6469+$C$2:$C6469)), "")*24*60, "")</f>
        <v/>
      </c>
      <c r="S6470" s="24" t="str" cm="1">
        <f t="array" ref="S6470">IFERROR(IF($B6470=S$1, ($A6470+$C6470) - MAX(IF($B$2:$B6469=$B6470, $A$2:$A6469+$C$2:$C6469)), "")*24*60, "")</f>
        <v/>
      </c>
    </row>
    <row r="6471" spans="1:19" x14ac:dyDescent="0.2">
      <c r="A6471" s="12">
        <f t="shared" ref="A6471:C6471" si="1360">A6470</f>
        <v>45990</v>
      </c>
      <c r="B6471" s="5" t="str">
        <f t="shared" si="1360"/>
        <v>Northern Cardinal</v>
      </c>
      <c r="C6471" s="6">
        <f t="shared" si="1360"/>
        <v>0.28333333333333333</v>
      </c>
      <c r="D6471" s="5"/>
      <c r="E6471" s="5"/>
      <c r="F6471" s="5" t="s">
        <v>8</v>
      </c>
      <c r="G6471" s="15" t="s">
        <v>9</v>
      </c>
      <c r="H6471" s="24">
        <f t="shared" si="1251"/>
        <v>0</v>
      </c>
      <c r="I6471" s="24" cm="1">
        <f t="array" ref="I6471">IFERROR(IF($B6471=I$1, ($A6471+$C6471) - MAX(IF($B$2:$B6470=$B6471, $A$2:$A6470+$C$2:$C6470)), "")*24*60, "")</f>
        <v>0</v>
      </c>
      <c r="J6471" s="24" t="str" cm="1">
        <f t="array" ref="J6471">IFERROR(IF($B6471=J$1, ($A6471+$C6471) - MAX(IF($B$2:$B6470=$B6471, $A$2:$A6470+$C$2:$C6470)), "")*24*60, "")</f>
        <v/>
      </c>
      <c r="K6471" s="24" t="str" cm="1">
        <f t="array" ref="K6471">IFERROR(IF($B6471=K$1, ($A6471+$C6471) - MAX(IF($B$2:$B6470=$B6471, $A$2:$A6470+$C$2:$C6470)), "")*24*60, "")</f>
        <v/>
      </c>
      <c r="L6471" s="24" t="str" cm="1">
        <f t="array" ref="L6471">IFERROR(IF($B6471=L$1, ($A6471+$C6471) - MAX(IF($B$2:$B6470=$B6471, $A$2:$A6470+$C$2:$C6470)), "")*24*60, "")</f>
        <v/>
      </c>
      <c r="M6471" s="24" t="str" cm="1">
        <f t="array" ref="M6471">IFERROR(IF($B6471=M$1, ($A6471+$C6471) - MAX(IF($B$2:$B6470=$B6471, $A$2:$A6470+$C$2:$C6470)), "")*24*60, "")</f>
        <v/>
      </c>
      <c r="N6471" s="24" t="str" cm="1">
        <f t="array" ref="N6471">IFERROR(IF($B6471=N$1, ($A6471+$C6471) - MAX(IF($B$2:$B6470=$B6471, $A$2:$A6470+$C$2:$C6470)), "")*24*60, "")</f>
        <v/>
      </c>
      <c r="O6471" s="24" t="str" cm="1">
        <f t="array" ref="O6471">IFERROR(IF($B6471=O$1, ($A6471+$C6471) - MAX(IF($B$2:$B6470=$B6471, $A$2:$A6470+$C$2:$C6470)), "")*24*60, "")</f>
        <v/>
      </c>
      <c r="P6471" s="24" t="str" cm="1">
        <f t="array" ref="P6471">IFERROR(IF($B6471=P$1, ($A6471+$C6471) - MAX(IF($B$2:$B6470=$B6471, $A$2:$A6470+$C$2:$C6470)), "")*24*60, "")</f>
        <v/>
      </c>
      <c r="Q6471" s="24" t="str" cm="1">
        <f t="array" ref="Q6471">IFERROR(IF($B6471=Q$1, ($A6471+$C6471) - MAX(IF($B$2:$B6470=$B6471, $A$2:$A6470+$C$2:$C6470)), "")*24*60, "")</f>
        <v/>
      </c>
      <c r="R6471" s="24" t="str" cm="1">
        <f t="array" ref="R6471">IFERROR(IF($B6471=R$1, ($A6471+$C6471) - MAX(IF($B$2:$B6470=$B6471, $A$2:$A6470+$C$2:$C6470)), "")*24*60, "")</f>
        <v/>
      </c>
      <c r="S6471" s="24" t="str" cm="1">
        <f t="array" ref="S6471">IFERROR(IF($B6471=S$1, ($A6471+$C6471) - MAX(IF($B$2:$B6470=$B6471, $A$2:$A6470+$C$2:$C6470)), "")*24*60, "")</f>
        <v/>
      </c>
    </row>
    <row r="6472" spans="1:19" x14ac:dyDescent="0.2">
      <c r="A6472" s="12">
        <f t="shared" ref="A6472:C6472" si="1361">A6471</f>
        <v>45990</v>
      </c>
      <c r="B6472" s="5" t="str">
        <f t="shared" si="1361"/>
        <v>Northern Cardinal</v>
      </c>
      <c r="C6472" s="6">
        <f t="shared" si="1361"/>
        <v>0.28333333333333333</v>
      </c>
      <c r="D6472" s="5"/>
      <c r="E6472" s="5"/>
      <c r="F6472" s="5" t="s">
        <v>8</v>
      </c>
      <c r="G6472" s="15" t="s">
        <v>9</v>
      </c>
      <c r="H6472" s="24">
        <f t="shared" si="1251"/>
        <v>0</v>
      </c>
      <c r="I6472" s="24" cm="1">
        <f t="array" ref="I6472">IFERROR(IF($B6472=I$1, ($A6472+$C6472) - MAX(IF($B$2:$B6471=$B6472, $A$2:$A6471+$C$2:$C6471)), "")*24*60, "")</f>
        <v>0</v>
      </c>
      <c r="J6472" s="24" t="str" cm="1">
        <f t="array" ref="J6472">IFERROR(IF($B6472=J$1, ($A6472+$C6472) - MAX(IF($B$2:$B6471=$B6472, $A$2:$A6471+$C$2:$C6471)), "")*24*60, "")</f>
        <v/>
      </c>
      <c r="K6472" s="24" t="str" cm="1">
        <f t="array" ref="K6472">IFERROR(IF($B6472=K$1, ($A6472+$C6472) - MAX(IF($B$2:$B6471=$B6472, $A$2:$A6471+$C$2:$C6471)), "")*24*60, "")</f>
        <v/>
      </c>
      <c r="L6472" s="24" t="str" cm="1">
        <f t="array" ref="L6472">IFERROR(IF($B6472=L$1, ($A6472+$C6472) - MAX(IF($B$2:$B6471=$B6472, $A$2:$A6471+$C$2:$C6471)), "")*24*60, "")</f>
        <v/>
      </c>
      <c r="M6472" s="24" t="str" cm="1">
        <f t="array" ref="M6472">IFERROR(IF($B6472=M$1, ($A6472+$C6472) - MAX(IF($B$2:$B6471=$B6472, $A$2:$A6471+$C$2:$C6471)), "")*24*60, "")</f>
        <v/>
      </c>
      <c r="N6472" s="24" t="str" cm="1">
        <f t="array" ref="N6472">IFERROR(IF($B6472=N$1, ($A6472+$C6472) - MAX(IF($B$2:$B6471=$B6472, $A$2:$A6471+$C$2:$C6471)), "")*24*60, "")</f>
        <v/>
      </c>
      <c r="O6472" s="24" t="str" cm="1">
        <f t="array" ref="O6472">IFERROR(IF($B6472=O$1, ($A6472+$C6472) - MAX(IF($B$2:$B6471=$B6472, $A$2:$A6471+$C$2:$C6471)), "")*24*60, "")</f>
        <v/>
      </c>
      <c r="P6472" s="24" t="str" cm="1">
        <f t="array" ref="P6472">IFERROR(IF($B6472=P$1, ($A6472+$C6472) - MAX(IF($B$2:$B6471=$B6472, $A$2:$A6471+$C$2:$C6471)), "")*24*60, "")</f>
        <v/>
      </c>
      <c r="Q6472" s="24" t="str" cm="1">
        <f t="array" ref="Q6472">IFERROR(IF($B6472=Q$1, ($A6472+$C6472) - MAX(IF($B$2:$B6471=$B6472, $A$2:$A6471+$C$2:$C6471)), "")*24*60, "")</f>
        <v/>
      </c>
      <c r="R6472" s="24" t="str" cm="1">
        <f t="array" ref="R6472">IFERROR(IF($B6472=R$1, ($A6472+$C6472) - MAX(IF($B$2:$B6471=$B6472, $A$2:$A6471+$C$2:$C6471)), "")*24*60, "")</f>
        <v/>
      </c>
      <c r="S6472" s="24" t="str" cm="1">
        <f t="array" ref="S6472">IFERROR(IF($B6472=S$1, ($A6472+$C6472) - MAX(IF($B$2:$B6471=$B6472, $A$2:$A6471+$C$2:$C6471)), "")*24*60, "")</f>
        <v/>
      </c>
    </row>
    <row r="6473" spans="1:19" x14ac:dyDescent="0.2">
      <c r="A6473" s="12">
        <f t="shared" ref="A6473:C6473" si="1362">A6472</f>
        <v>45990</v>
      </c>
      <c r="B6473" s="5" t="str">
        <f t="shared" si="1362"/>
        <v>Northern Cardinal</v>
      </c>
      <c r="C6473" s="6">
        <f t="shared" si="1362"/>
        <v>0.28333333333333333</v>
      </c>
      <c r="D6473" s="5"/>
      <c r="E6473" s="5"/>
      <c r="F6473" s="5" t="s">
        <v>8</v>
      </c>
      <c r="G6473" s="15" t="s">
        <v>9</v>
      </c>
      <c r="H6473" s="24">
        <f t="shared" si="1251"/>
        <v>0</v>
      </c>
      <c r="I6473" s="24" cm="1">
        <f t="array" ref="I6473">IFERROR(IF($B6473=I$1, ($A6473+$C6473) - MAX(IF($B$2:$B6472=$B6473, $A$2:$A6472+$C$2:$C6472)), "")*24*60, "")</f>
        <v>0</v>
      </c>
      <c r="J6473" s="24" t="str" cm="1">
        <f t="array" ref="J6473">IFERROR(IF($B6473=J$1, ($A6473+$C6473) - MAX(IF($B$2:$B6472=$B6473, $A$2:$A6472+$C$2:$C6472)), "")*24*60, "")</f>
        <v/>
      </c>
      <c r="K6473" s="24" t="str" cm="1">
        <f t="array" ref="K6473">IFERROR(IF($B6473=K$1, ($A6473+$C6473) - MAX(IF($B$2:$B6472=$B6473, $A$2:$A6472+$C$2:$C6472)), "")*24*60, "")</f>
        <v/>
      </c>
      <c r="L6473" s="24" t="str" cm="1">
        <f t="array" ref="L6473">IFERROR(IF($B6473=L$1, ($A6473+$C6473) - MAX(IF($B$2:$B6472=$B6473, $A$2:$A6472+$C$2:$C6472)), "")*24*60, "")</f>
        <v/>
      </c>
      <c r="M6473" s="24" t="str" cm="1">
        <f t="array" ref="M6473">IFERROR(IF($B6473=M$1, ($A6473+$C6473) - MAX(IF($B$2:$B6472=$B6473, $A$2:$A6472+$C$2:$C6472)), "")*24*60, "")</f>
        <v/>
      </c>
      <c r="N6473" s="24" t="str" cm="1">
        <f t="array" ref="N6473">IFERROR(IF($B6473=N$1, ($A6473+$C6473) - MAX(IF($B$2:$B6472=$B6473, $A$2:$A6472+$C$2:$C6472)), "")*24*60, "")</f>
        <v/>
      </c>
      <c r="O6473" s="24" t="str" cm="1">
        <f t="array" ref="O6473">IFERROR(IF($B6473=O$1, ($A6473+$C6473) - MAX(IF($B$2:$B6472=$B6473, $A$2:$A6472+$C$2:$C6472)), "")*24*60, "")</f>
        <v/>
      </c>
      <c r="P6473" s="24" t="str" cm="1">
        <f t="array" ref="P6473">IFERROR(IF($B6473=P$1, ($A6473+$C6473) - MAX(IF($B$2:$B6472=$B6473, $A$2:$A6472+$C$2:$C6472)), "")*24*60, "")</f>
        <v/>
      </c>
      <c r="Q6473" s="24" t="str" cm="1">
        <f t="array" ref="Q6473">IFERROR(IF($B6473=Q$1, ($A6473+$C6473) - MAX(IF($B$2:$B6472=$B6473, $A$2:$A6472+$C$2:$C6472)), "")*24*60, "")</f>
        <v/>
      </c>
      <c r="R6473" s="24" t="str" cm="1">
        <f t="array" ref="R6473">IFERROR(IF($B6473=R$1, ($A6473+$C6473) - MAX(IF($B$2:$B6472=$B6473, $A$2:$A6472+$C$2:$C6472)), "")*24*60, "")</f>
        <v/>
      </c>
      <c r="S6473" s="24" t="str" cm="1">
        <f t="array" ref="S6473">IFERROR(IF($B6473=S$1, ($A6473+$C6473) - MAX(IF($B$2:$B6472=$B6473, $A$2:$A6472+$C$2:$C6472)), "")*24*60, "")</f>
        <v/>
      </c>
    </row>
    <row r="6474" spans="1:19" x14ac:dyDescent="0.2">
      <c r="A6474" s="12">
        <f t="shared" ref="A6474:C6474" si="1363">A6473</f>
        <v>45990</v>
      </c>
      <c r="B6474" s="5" t="str">
        <f t="shared" si="1363"/>
        <v>Northern Cardinal</v>
      </c>
      <c r="C6474" s="6">
        <f t="shared" si="1363"/>
        <v>0.28333333333333333</v>
      </c>
      <c r="D6474" s="5"/>
      <c r="E6474" s="5"/>
      <c r="F6474" s="5" t="s">
        <v>8</v>
      </c>
      <c r="G6474" s="15" t="s">
        <v>9</v>
      </c>
      <c r="H6474" s="24">
        <f t="shared" si="1251"/>
        <v>0</v>
      </c>
      <c r="I6474" s="24" cm="1">
        <f t="array" ref="I6474">IFERROR(IF($B6474=I$1, ($A6474+$C6474) - MAX(IF($B$2:$B6473=$B6474, $A$2:$A6473+$C$2:$C6473)), "")*24*60, "")</f>
        <v>0</v>
      </c>
      <c r="J6474" s="24" t="str" cm="1">
        <f t="array" ref="J6474">IFERROR(IF($B6474=J$1, ($A6474+$C6474) - MAX(IF($B$2:$B6473=$B6474, $A$2:$A6473+$C$2:$C6473)), "")*24*60, "")</f>
        <v/>
      </c>
      <c r="K6474" s="24" t="str" cm="1">
        <f t="array" ref="K6474">IFERROR(IF($B6474=K$1, ($A6474+$C6474) - MAX(IF($B$2:$B6473=$B6474, $A$2:$A6473+$C$2:$C6473)), "")*24*60, "")</f>
        <v/>
      </c>
      <c r="L6474" s="24" t="str" cm="1">
        <f t="array" ref="L6474">IFERROR(IF($B6474=L$1, ($A6474+$C6474) - MAX(IF($B$2:$B6473=$B6474, $A$2:$A6473+$C$2:$C6473)), "")*24*60, "")</f>
        <v/>
      </c>
      <c r="M6474" s="24" t="str" cm="1">
        <f t="array" ref="M6474">IFERROR(IF($B6474=M$1, ($A6474+$C6474) - MAX(IF($B$2:$B6473=$B6474, $A$2:$A6473+$C$2:$C6473)), "")*24*60, "")</f>
        <v/>
      </c>
      <c r="N6474" s="24" t="str" cm="1">
        <f t="array" ref="N6474">IFERROR(IF($B6474=N$1, ($A6474+$C6474) - MAX(IF($B$2:$B6473=$B6474, $A$2:$A6473+$C$2:$C6473)), "")*24*60, "")</f>
        <v/>
      </c>
      <c r="O6474" s="24" t="str" cm="1">
        <f t="array" ref="O6474">IFERROR(IF($B6474=O$1, ($A6474+$C6474) - MAX(IF($B$2:$B6473=$B6474, $A$2:$A6473+$C$2:$C6473)), "")*24*60, "")</f>
        <v/>
      </c>
      <c r="P6474" s="24" t="str" cm="1">
        <f t="array" ref="P6474">IFERROR(IF($B6474=P$1, ($A6474+$C6474) - MAX(IF($B$2:$B6473=$B6474, $A$2:$A6473+$C$2:$C6473)), "")*24*60, "")</f>
        <v/>
      </c>
      <c r="Q6474" s="24" t="str" cm="1">
        <f t="array" ref="Q6474">IFERROR(IF($B6474=Q$1, ($A6474+$C6474) - MAX(IF($B$2:$B6473=$B6474, $A$2:$A6473+$C$2:$C6473)), "")*24*60, "")</f>
        <v/>
      </c>
      <c r="R6474" s="24" t="str" cm="1">
        <f t="array" ref="R6474">IFERROR(IF($B6474=R$1, ($A6474+$C6474) - MAX(IF($B$2:$B6473=$B6474, $A$2:$A6473+$C$2:$C6473)), "")*24*60, "")</f>
        <v/>
      </c>
      <c r="S6474" s="24" t="str" cm="1">
        <f t="array" ref="S6474">IFERROR(IF($B6474=S$1, ($A6474+$C6474) - MAX(IF($B$2:$B6473=$B6474, $A$2:$A6473+$C$2:$C6473)), "")*24*60, "")</f>
        <v/>
      </c>
    </row>
    <row r="6475" spans="1:19" x14ac:dyDescent="0.2">
      <c r="A6475" s="12">
        <f t="shared" ref="A6475:C6475" si="1364">A6474</f>
        <v>45990</v>
      </c>
      <c r="B6475" s="5" t="str">
        <f t="shared" si="1364"/>
        <v>Northern Cardinal</v>
      </c>
      <c r="C6475" s="6">
        <f t="shared" si="1364"/>
        <v>0.28333333333333333</v>
      </c>
      <c r="D6475" s="5"/>
      <c r="E6475" s="5"/>
      <c r="F6475" s="5" t="s">
        <v>8</v>
      </c>
      <c r="G6475" s="15" t="s">
        <v>9</v>
      </c>
      <c r="H6475" s="24">
        <f t="shared" si="1251"/>
        <v>0</v>
      </c>
      <c r="I6475" s="24" cm="1">
        <f t="array" ref="I6475">IFERROR(IF($B6475=I$1, ($A6475+$C6475) - MAX(IF($B$2:$B6474=$B6475, $A$2:$A6474+$C$2:$C6474)), "")*24*60, "")</f>
        <v>0</v>
      </c>
      <c r="J6475" s="24" t="str" cm="1">
        <f t="array" ref="J6475">IFERROR(IF($B6475=J$1, ($A6475+$C6475) - MAX(IF($B$2:$B6474=$B6475, $A$2:$A6474+$C$2:$C6474)), "")*24*60, "")</f>
        <v/>
      </c>
      <c r="K6475" s="24" t="str" cm="1">
        <f t="array" ref="K6475">IFERROR(IF($B6475=K$1, ($A6475+$C6475) - MAX(IF($B$2:$B6474=$B6475, $A$2:$A6474+$C$2:$C6474)), "")*24*60, "")</f>
        <v/>
      </c>
      <c r="L6475" s="24" t="str" cm="1">
        <f t="array" ref="L6475">IFERROR(IF($B6475=L$1, ($A6475+$C6475) - MAX(IF($B$2:$B6474=$B6475, $A$2:$A6474+$C$2:$C6474)), "")*24*60, "")</f>
        <v/>
      </c>
      <c r="M6475" s="24" t="str" cm="1">
        <f t="array" ref="M6475">IFERROR(IF($B6475=M$1, ($A6475+$C6475) - MAX(IF($B$2:$B6474=$B6475, $A$2:$A6474+$C$2:$C6474)), "")*24*60, "")</f>
        <v/>
      </c>
      <c r="N6475" s="24" t="str" cm="1">
        <f t="array" ref="N6475">IFERROR(IF($B6475=N$1, ($A6475+$C6475) - MAX(IF($B$2:$B6474=$B6475, $A$2:$A6474+$C$2:$C6474)), "")*24*60, "")</f>
        <v/>
      </c>
      <c r="O6475" s="24" t="str" cm="1">
        <f t="array" ref="O6475">IFERROR(IF($B6475=O$1, ($A6475+$C6475) - MAX(IF($B$2:$B6474=$B6475, $A$2:$A6474+$C$2:$C6474)), "")*24*60, "")</f>
        <v/>
      </c>
      <c r="P6475" s="24" t="str" cm="1">
        <f t="array" ref="P6475">IFERROR(IF($B6475=P$1, ($A6475+$C6475) - MAX(IF($B$2:$B6474=$B6475, $A$2:$A6474+$C$2:$C6474)), "")*24*60, "")</f>
        <v/>
      </c>
      <c r="Q6475" s="24" t="str" cm="1">
        <f t="array" ref="Q6475">IFERROR(IF($B6475=Q$1, ($A6475+$C6475) - MAX(IF($B$2:$B6474=$B6475, $A$2:$A6474+$C$2:$C6474)), "")*24*60, "")</f>
        <v/>
      </c>
      <c r="R6475" s="24" t="str" cm="1">
        <f t="array" ref="R6475">IFERROR(IF($B6475=R$1, ($A6475+$C6475) - MAX(IF($B$2:$B6474=$B6475, $A$2:$A6474+$C$2:$C6474)), "")*24*60, "")</f>
        <v/>
      </c>
      <c r="S6475" s="24" t="str" cm="1">
        <f t="array" ref="S6475">IFERROR(IF($B6475=S$1, ($A6475+$C6475) - MAX(IF($B$2:$B6474=$B6475, $A$2:$A6474+$C$2:$C6474)), "")*24*60, "")</f>
        <v/>
      </c>
    </row>
    <row r="6476" spans="1:19" x14ac:dyDescent="0.2">
      <c r="A6476" s="12">
        <f t="shared" ref="A6476:C6476" si="1365">A6475</f>
        <v>45990</v>
      </c>
      <c r="B6476" s="5" t="str">
        <f t="shared" si="1365"/>
        <v>Northern Cardinal</v>
      </c>
      <c r="C6476" s="6">
        <f t="shared" si="1365"/>
        <v>0.28333333333333333</v>
      </c>
      <c r="D6476" s="5"/>
      <c r="E6476" s="5"/>
      <c r="F6476" s="5" t="s">
        <v>8</v>
      </c>
      <c r="G6476" s="15" t="s">
        <v>9</v>
      </c>
      <c r="H6476" s="24">
        <f t="shared" si="1251"/>
        <v>0</v>
      </c>
      <c r="I6476" s="24" cm="1">
        <f t="array" ref="I6476">IFERROR(IF($B6476=I$1, ($A6476+$C6476) - MAX(IF($B$2:$B6475=$B6476, $A$2:$A6475+$C$2:$C6475)), "")*24*60, "")</f>
        <v>0</v>
      </c>
      <c r="J6476" s="24" t="str" cm="1">
        <f t="array" ref="J6476">IFERROR(IF($B6476=J$1, ($A6476+$C6476) - MAX(IF($B$2:$B6475=$B6476, $A$2:$A6475+$C$2:$C6475)), "")*24*60, "")</f>
        <v/>
      </c>
      <c r="K6476" s="24" t="str" cm="1">
        <f t="array" ref="K6476">IFERROR(IF($B6476=K$1, ($A6476+$C6476) - MAX(IF($B$2:$B6475=$B6476, $A$2:$A6475+$C$2:$C6475)), "")*24*60, "")</f>
        <v/>
      </c>
      <c r="L6476" s="24" t="str" cm="1">
        <f t="array" ref="L6476">IFERROR(IF($B6476=L$1, ($A6476+$C6476) - MAX(IF($B$2:$B6475=$B6476, $A$2:$A6475+$C$2:$C6475)), "")*24*60, "")</f>
        <v/>
      </c>
      <c r="M6476" s="24" t="str" cm="1">
        <f t="array" ref="M6476">IFERROR(IF($B6476=M$1, ($A6476+$C6476) - MAX(IF($B$2:$B6475=$B6476, $A$2:$A6475+$C$2:$C6475)), "")*24*60, "")</f>
        <v/>
      </c>
      <c r="N6476" s="24" t="str" cm="1">
        <f t="array" ref="N6476">IFERROR(IF($B6476=N$1, ($A6476+$C6476) - MAX(IF($B$2:$B6475=$B6476, $A$2:$A6475+$C$2:$C6475)), "")*24*60, "")</f>
        <v/>
      </c>
      <c r="O6476" s="24" t="str" cm="1">
        <f t="array" ref="O6476">IFERROR(IF($B6476=O$1, ($A6476+$C6476) - MAX(IF($B$2:$B6475=$B6476, $A$2:$A6475+$C$2:$C6475)), "")*24*60, "")</f>
        <v/>
      </c>
      <c r="P6476" s="24" t="str" cm="1">
        <f t="array" ref="P6476">IFERROR(IF($B6476=P$1, ($A6476+$C6476) - MAX(IF($B$2:$B6475=$B6476, $A$2:$A6475+$C$2:$C6475)), "")*24*60, "")</f>
        <v/>
      </c>
      <c r="Q6476" s="24" t="str" cm="1">
        <f t="array" ref="Q6476">IFERROR(IF($B6476=Q$1, ($A6476+$C6476) - MAX(IF($B$2:$B6475=$B6476, $A$2:$A6475+$C$2:$C6475)), "")*24*60, "")</f>
        <v/>
      </c>
      <c r="R6476" s="24" t="str" cm="1">
        <f t="array" ref="R6476">IFERROR(IF($B6476=R$1, ($A6476+$C6476) - MAX(IF($B$2:$B6475=$B6476, $A$2:$A6475+$C$2:$C6475)), "")*24*60, "")</f>
        <v/>
      </c>
      <c r="S6476" s="24" t="str" cm="1">
        <f t="array" ref="S6476">IFERROR(IF($B6476=S$1, ($A6476+$C6476) - MAX(IF($B$2:$B6475=$B6476, $A$2:$A6475+$C$2:$C6475)), "")*24*60, "")</f>
        <v/>
      </c>
    </row>
    <row r="6477" spans="1:19" x14ac:dyDescent="0.2">
      <c r="A6477" s="12">
        <f t="shared" ref="A6477:C6477" si="1366">A6476</f>
        <v>45990</v>
      </c>
      <c r="B6477" s="5" t="str">
        <f t="shared" si="1366"/>
        <v>Northern Cardinal</v>
      </c>
      <c r="C6477" s="6">
        <f t="shared" si="1366"/>
        <v>0.28333333333333333</v>
      </c>
      <c r="D6477" s="5"/>
      <c r="E6477" s="5"/>
      <c r="F6477" s="5" t="s">
        <v>8</v>
      </c>
      <c r="G6477" s="15" t="s">
        <v>9</v>
      </c>
      <c r="H6477" s="24">
        <f t="shared" si="1251"/>
        <v>0</v>
      </c>
      <c r="I6477" s="24" cm="1">
        <f t="array" ref="I6477">IFERROR(IF($B6477=I$1, ($A6477+$C6477) - MAX(IF($B$2:$B6476=$B6477, $A$2:$A6476+$C$2:$C6476)), "")*24*60, "")</f>
        <v>0</v>
      </c>
      <c r="J6477" s="24" t="str" cm="1">
        <f t="array" ref="J6477">IFERROR(IF($B6477=J$1, ($A6477+$C6477) - MAX(IF($B$2:$B6476=$B6477, $A$2:$A6476+$C$2:$C6476)), "")*24*60, "")</f>
        <v/>
      </c>
      <c r="K6477" s="24" t="str" cm="1">
        <f t="array" ref="K6477">IFERROR(IF($B6477=K$1, ($A6477+$C6477) - MAX(IF($B$2:$B6476=$B6477, $A$2:$A6476+$C$2:$C6476)), "")*24*60, "")</f>
        <v/>
      </c>
      <c r="L6477" s="24" t="str" cm="1">
        <f t="array" ref="L6477">IFERROR(IF($B6477=L$1, ($A6477+$C6477) - MAX(IF($B$2:$B6476=$B6477, $A$2:$A6476+$C$2:$C6476)), "")*24*60, "")</f>
        <v/>
      </c>
      <c r="M6477" s="24" t="str" cm="1">
        <f t="array" ref="M6477">IFERROR(IF($B6477=M$1, ($A6477+$C6477) - MAX(IF($B$2:$B6476=$B6477, $A$2:$A6476+$C$2:$C6476)), "")*24*60, "")</f>
        <v/>
      </c>
      <c r="N6477" s="24" t="str" cm="1">
        <f t="array" ref="N6477">IFERROR(IF($B6477=N$1, ($A6477+$C6477) - MAX(IF($B$2:$B6476=$B6477, $A$2:$A6476+$C$2:$C6476)), "")*24*60, "")</f>
        <v/>
      </c>
      <c r="O6477" s="24" t="str" cm="1">
        <f t="array" ref="O6477">IFERROR(IF($B6477=O$1, ($A6477+$C6477) - MAX(IF($B$2:$B6476=$B6477, $A$2:$A6476+$C$2:$C6476)), "")*24*60, "")</f>
        <v/>
      </c>
      <c r="P6477" s="24" t="str" cm="1">
        <f t="array" ref="P6477">IFERROR(IF($B6477=P$1, ($A6477+$C6477) - MAX(IF($B$2:$B6476=$B6477, $A$2:$A6476+$C$2:$C6476)), "")*24*60, "")</f>
        <v/>
      </c>
      <c r="Q6477" s="24" t="str" cm="1">
        <f t="array" ref="Q6477">IFERROR(IF($B6477=Q$1, ($A6477+$C6477) - MAX(IF($B$2:$B6476=$B6477, $A$2:$A6476+$C$2:$C6476)), "")*24*60, "")</f>
        <v/>
      </c>
      <c r="R6477" s="24" t="str" cm="1">
        <f t="array" ref="R6477">IFERROR(IF($B6477=R$1, ($A6477+$C6477) - MAX(IF($B$2:$B6476=$B6477, $A$2:$A6476+$C$2:$C6476)), "")*24*60, "")</f>
        <v/>
      </c>
      <c r="S6477" s="24" t="str" cm="1">
        <f t="array" ref="S6477">IFERROR(IF($B6477=S$1, ($A6477+$C6477) - MAX(IF($B$2:$B6476=$B6477, $A$2:$A6476+$C$2:$C6476)), "")*24*60, "")</f>
        <v/>
      </c>
    </row>
    <row r="6478" spans="1:19" x14ac:dyDescent="0.2">
      <c r="A6478" s="12">
        <f t="shared" ref="A6478:C6478" si="1367">A6477</f>
        <v>45990</v>
      </c>
      <c r="B6478" s="5" t="str">
        <f t="shared" si="1367"/>
        <v>Northern Cardinal</v>
      </c>
      <c r="C6478" s="6">
        <f t="shared" si="1367"/>
        <v>0.28333333333333333</v>
      </c>
      <c r="D6478" s="5"/>
      <c r="E6478" s="5"/>
      <c r="F6478" s="5" t="s">
        <v>8</v>
      </c>
      <c r="G6478" s="15" t="s">
        <v>9</v>
      </c>
      <c r="H6478" s="24">
        <f t="shared" si="1251"/>
        <v>0</v>
      </c>
      <c r="I6478" s="24" cm="1">
        <f t="array" ref="I6478">IFERROR(IF($B6478=I$1, ($A6478+$C6478) - MAX(IF($B$2:$B6477=$B6478, $A$2:$A6477+$C$2:$C6477)), "")*24*60, "")</f>
        <v>0</v>
      </c>
      <c r="J6478" s="24" t="str" cm="1">
        <f t="array" ref="J6478">IFERROR(IF($B6478=J$1, ($A6478+$C6478) - MAX(IF($B$2:$B6477=$B6478, $A$2:$A6477+$C$2:$C6477)), "")*24*60, "")</f>
        <v/>
      </c>
      <c r="K6478" s="24" t="str" cm="1">
        <f t="array" ref="K6478">IFERROR(IF($B6478=K$1, ($A6478+$C6478) - MAX(IF($B$2:$B6477=$B6478, $A$2:$A6477+$C$2:$C6477)), "")*24*60, "")</f>
        <v/>
      </c>
      <c r="L6478" s="24" t="str" cm="1">
        <f t="array" ref="L6478">IFERROR(IF($B6478=L$1, ($A6478+$C6478) - MAX(IF($B$2:$B6477=$B6478, $A$2:$A6477+$C$2:$C6477)), "")*24*60, "")</f>
        <v/>
      </c>
      <c r="M6478" s="24" t="str" cm="1">
        <f t="array" ref="M6478">IFERROR(IF($B6478=M$1, ($A6478+$C6478) - MAX(IF($B$2:$B6477=$B6478, $A$2:$A6477+$C$2:$C6477)), "")*24*60, "")</f>
        <v/>
      </c>
      <c r="N6478" s="24" t="str" cm="1">
        <f t="array" ref="N6478">IFERROR(IF($B6478=N$1, ($A6478+$C6478) - MAX(IF($B$2:$B6477=$B6478, $A$2:$A6477+$C$2:$C6477)), "")*24*60, "")</f>
        <v/>
      </c>
      <c r="O6478" s="24" t="str" cm="1">
        <f t="array" ref="O6478">IFERROR(IF($B6478=O$1, ($A6478+$C6478) - MAX(IF($B$2:$B6477=$B6478, $A$2:$A6477+$C$2:$C6477)), "")*24*60, "")</f>
        <v/>
      </c>
      <c r="P6478" s="24" t="str" cm="1">
        <f t="array" ref="P6478">IFERROR(IF($B6478=P$1, ($A6478+$C6478) - MAX(IF($B$2:$B6477=$B6478, $A$2:$A6477+$C$2:$C6477)), "")*24*60, "")</f>
        <v/>
      </c>
      <c r="Q6478" s="24" t="str" cm="1">
        <f t="array" ref="Q6478">IFERROR(IF($B6478=Q$1, ($A6478+$C6478) - MAX(IF($B$2:$B6477=$B6478, $A$2:$A6477+$C$2:$C6477)), "")*24*60, "")</f>
        <v/>
      </c>
      <c r="R6478" s="24" t="str" cm="1">
        <f t="array" ref="R6478">IFERROR(IF($B6478=R$1, ($A6478+$C6478) - MAX(IF($B$2:$B6477=$B6478, $A$2:$A6477+$C$2:$C6477)), "")*24*60, "")</f>
        <v/>
      </c>
      <c r="S6478" s="24" t="str" cm="1">
        <f t="array" ref="S6478">IFERROR(IF($B6478=S$1, ($A6478+$C6478) - MAX(IF($B$2:$B6477=$B6478, $A$2:$A6477+$C$2:$C6477)), "")*24*60, "")</f>
        <v/>
      </c>
    </row>
    <row r="6479" spans="1:19" x14ac:dyDescent="0.2">
      <c r="A6479" s="12">
        <f t="shared" ref="A6479:C6479" si="1368">A6478</f>
        <v>45990</v>
      </c>
      <c r="B6479" s="5" t="str">
        <f t="shared" si="1368"/>
        <v>Northern Cardinal</v>
      </c>
      <c r="C6479" s="6">
        <f t="shared" si="1368"/>
        <v>0.28333333333333333</v>
      </c>
      <c r="D6479" s="5"/>
      <c r="E6479" s="5"/>
      <c r="F6479" s="5" t="s">
        <v>8</v>
      </c>
      <c r="G6479" s="15" t="s">
        <v>9</v>
      </c>
      <c r="H6479" s="24">
        <f t="shared" si="1251"/>
        <v>0</v>
      </c>
      <c r="I6479" s="24" cm="1">
        <f t="array" ref="I6479">IFERROR(IF($B6479=I$1, ($A6479+$C6479) - MAX(IF($B$2:$B6478=$B6479, $A$2:$A6478+$C$2:$C6478)), "")*24*60, "")</f>
        <v>0</v>
      </c>
      <c r="J6479" s="24" t="str" cm="1">
        <f t="array" ref="J6479">IFERROR(IF($B6479=J$1, ($A6479+$C6479) - MAX(IF($B$2:$B6478=$B6479, $A$2:$A6478+$C$2:$C6478)), "")*24*60, "")</f>
        <v/>
      </c>
      <c r="K6479" s="24" t="str" cm="1">
        <f t="array" ref="K6479">IFERROR(IF($B6479=K$1, ($A6479+$C6479) - MAX(IF($B$2:$B6478=$B6479, $A$2:$A6478+$C$2:$C6478)), "")*24*60, "")</f>
        <v/>
      </c>
      <c r="L6479" s="24" t="str" cm="1">
        <f t="array" ref="L6479">IFERROR(IF($B6479=L$1, ($A6479+$C6479) - MAX(IF($B$2:$B6478=$B6479, $A$2:$A6478+$C$2:$C6478)), "")*24*60, "")</f>
        <v/>
      </c>
      <c r="M6479" s="24" t="str" cm="1">
        <f t="array" ref="M6479">IFERROR(IF($B6479=M$1, ($A6479+$C6479) - MAX(IF($B$2:$B6478=$B6479, $A$2:$A6478+$C$2:$C6478)), "")*24*60, "")</f>
        <v/>
      </c>
      <c r="N6479" s="24" t="str" cm="1">
        <f t="array" ref="N6479">IFERROR(IF($B6479=N$1, ($A6479+$C6479) - MAX(IF($B$2:$B6478=$B6479, $A$2:$A6478+$C$2:$C6478)), "")*24*60, "")</f>
        <v/>
      </c>
      <c r="O6479" s="24" t="str" cm="1">
        <f t="array" ref="O6479">IFERROR(IF($B6479=O$1, ($A6479+$C6479) - MAX(IF($B$2:$B6478=$B6479, $A$2:$A6478+$C$2:$C6478)), "")*24*60, "")</f>
        <v/>
      </c>
      <c r="P6479" s="24" t="str" cm="1">
        <f t="array" ref="P6479">IFERROR(IF($B6479=P$1, ($A6479+$C6479) - MAX(IF($B$2:$B6478=$B6479, $A$2:$A6478+$C$2:$C6478)), "")*24*60, "")</f>
        <v/>
      </c>
      <c r="Q6479" s="24" t="str" cm="1">
        <f t="array" ref="Q6479">IFERROR(IF($B6479=Q$1, ($A6479+$C6479) - MAX(IF($B$2:$B6478=$B6479, $A$2:$A6478+$C$2:$C6478)), "")*24*60, "")</f>
        <v/>
      </c>
      <c r="R6479" s="24" t="str" cm="1">
        <f t="array" ref="R6479">IFERROR(IF($B6479=R$1, ($A6479+$C6479) - MAX(IF($B$2:$B6478=$B6479, $A$2:$A6478+$C$2:$C6478)), "")*24*60, "")</f>
        <v/>
      </c>
      <c r="S6479" s="24" t="str" cm="1">
        <f t="array" ref="S6479">IFERROR(IF($B6479=S$1, ($A6479+$C6479) - MAX(IF($B$2:$B6478=$B6479, $A$2:$A6478+$C$2:$C6478)), "")*24*60, "")</f>
        <v/>
      </c>
    </row>
    <row r="6480" spans="1:19" x14ac:dyDescent="0.2">
      <c r="A6480" s="12">
        <f t="shared" ref="A6480:C6480" si="1369">A6479</f>
        <v>45990</v>
      </c>
      <c r="B6480" s="5" t="str">
        <f t="shared" si="1369"/>
        <v>Northern Cardinal</v>
      </c>
      <c r="C6480" s="6">
        <f t="shared" si="1369"/>
        <v>0.28333333333333333</v>
      </c>
      <c r="D6480" s="5"/>
      <c r="E6480" s="5"/>
      <c r="F6480" s="5" t="s">
        <v>8</v>
      </c>
      <c r="G6480" s="15" t="s">
        <v>9</v>
      </c>
      <c r="H6480" s="24">
        <f t="shared" si="1251"/>
        <v>0</v>
      </c>
      <c r="I6480" s="24" cm="1">
        <f t="array" ref="I6480">IFERROR(IF($B6480=I$1, ($A6480+$C6480) - MAX(IF($B$2:$B6479=$B6480, $A$2:$A6479+$C$2:$C6479)), "")*24*60, "")</f>
        <v>0</v>
      </c>
      <c r="J6480" s="24" t="str" cm="1">
        <f t="array" ref="J6480">IFERROR(IF($B6480=J$1, ($A6480+$C6480) - MAX(IF($B$2:$B6479=$B6480, $A$2:$A6479+$C$2:$C6479)), "")*24*60, "")</f>
        <v/>
      </c>
      <c r="K6480" s="24" t="str" cm="1">
        <f t="array" ref="K6480">IFERROR(IF($B6480=K$1, ($A6480+$C6480) - MAX(IF($B$2:$B6479=$B6480, $A$2:$A6479+$C$2:$C6479)), "")*24*60, "")</f>
        <v/>
      </c>
      <c r="L6480" s="24" t="str" cm="1">
        <f t="array" ref="L6480">IFERROR(IF($B6480=L$1, ($A6480+$C6480) - MAX(IF($B$2:$B6479=$B6480, $A$2:$A6479+$C$2:$C6479)), "")*24*60, "")</f>
        <v/>
      </c>
      <c r="M6480" s="24" t="str" cm="1">
        <f t="array" ref="M6480">IFERROR(IF($B6480=M$1, ($A6480+$C6480) - MAX(IF($B$2:$B6479=$B6480, $A$2:$A6479+$C$2:$C6479)), "")*24*60, "")</f>
        <v/>
      </c>
      <c r="N6480" s="24" t="str" cm="1">
        <f t="array" ref="N6480">IFERROR(IF($B6480=N$1, ($A6480+$C6480) - MAX(IF($B$2:$B6479=$B6480, $A$2:$A6479+$C$2:$C6479)), "")*24*60, "")</f>
        <v/>
      </c>
      <c r="O6480" s="24" t="str" cm="1">
        <f t="array" ref="O6480">IFERROR(IF($B6480=O$1, ($A6480+$C6480) - MAX(IF($B$2:$B6479=$B6480, $A$2:$A6479+$C$2:$C6479)), "")*24*60, "")</f>
        <v/>
      </c>
      <c r="P6480" s="24" t="str" cm="1">
        <f t="array" ref="P6480">IFERROR(IF($B6480=P$1, ($A6480+$C6480) - MAX(IF($B$2:$B6479=$B6480, $A$2:$A6479+$C$2:$C6479)), "")*24*60, "")</f>
        <v/>
      </c>
      <c r="Q6480" s="24" t="str" cm="1">
        <f t="array" ref="Q6480">IFERROR(IF($B6480=Q$1, ($A6480+$C6480) - MAX(IF($B$2:$B6479=$B6480, $A$2:$A6479+$C$2:$C6479)), "")*24*60, "")</f>
        <v/>
      </c>
      <c r="R6480" s="24" t="str" cm="1">
        <f t="array" ref="R6480">IFERROR(IF($B6480=R$1, ($A6480+$C6480) - MAX(IF($B$2:$B6479=$B6480, $A$2:$A6479+$C$2:$C6479)), "")*24*60, "")</f>
        <v/>
      </c>
      <c r="S6480" s="24" t="str" cm="1">
        <f t="array" ref="S6480">IFERROR(IF($B6480=S$1, ($A6480+$C6480) - MAX(IF($B$2:$B6479=$B6480, $A$2:$A6479+$C$2:$C6479)), "")*24*60, "")</f>
        <v/>
      </c>
    </row>
    <row r="6481" spans="1:19" x14ac:dyDescent="0.2">
      <c r="A6481" s="12">
        <f t="shared" ref="A6481:C6481" si="1370">A6480</f>
        <v>45990</v>
      </c>
      <c r="B6481" s="5" t="str">
        <f t="shared" si="1370"/>
        <v>Northern Cardinal</v>
      </c>
      <c r="C6481" s="6">
        <f t="shared" si="1370"/>
        <v>0.28333333333333333</v>
      </c>
      <c r="D6481" s="5"/>
      <c r="E6481" s="5"/>
      <c r="F6481" s="5" t="s">
        <v>8</v>
      </c>
      <c r="G6481" s="15" t="s">
        <v>9</v>
      </c>
      <c r="H6481" s="24">
        <f t="shared" si="1251"/>
        <v>0</v>
      </c>
      <c r="I6481" s="24" cm="1">
        <f t="array" ref="I6481">IFERROR(IF($B6481=I$1, ($A6481+$C6481) - MAX(IF($B$2:$B6480=$B6481, $A$2:$A6480+$C$2:$C6480)), "")*24*60, "")</f>
        <v>0</v>
      </c>
      <c r="J6481" s="24" t="str" cm="1">
        <f t="array" ref="J6481">IFERROR(IF($B6481=J$1, ($A6481+$C6481) - MAX(IF($B$2:$B6480=$B6481, $A$2:$A6480+$C$2:$C6480)), "")*24*60, "")</f>
        <v/>
      </c>
      <c r="K6481" s="24" t="str" cm="1">
        <f t="array" ref="K6481">IFERROR(IF($B6481=K$1, ($A6481+$C6481) - MAX(IF($B$2:$B6480=$B6481, $A$2:$A6480+$C$2:$C6480)), "")*24*60, "")</f>
        <v/>
      </c>
      <c r="L6481" s="24" t="str" cm="1">
        <f t="array" ref="L6481">IFERROR(IF($B6481=L$1, ($A6481+$C6481) - MAX(IF($B$2:$B6480=$B6481, $A$2:$A6480+$C$2:$C6480)), "")*24*60, "")</f>
        <v/>
      </c>
      <c r="M6481" s="24" t="str" cm="1">
        <f t="array" ref="M6481">IFERROR(IF($B6481=M$1, ($A6481+$C6481) - MAX(IF($B$2:$B6480=$B6481, $A$2:$A6480+$C$2:$C6480)), "")*24*60, "")</f>
        <v/>
      </c>
      <c r="N6481" s="24" t="str" cm="1">
        <f t="array" ref="N6481">IFERROR(IF($B6481=N$1, ($A6481+$C6481) - MAX(IF($B$2:$B6480=$B6481, $A$2:$A6480+$C$2:$C6480)), "")*24*60, "")</f>
        <v/>
      </c>
      <c r="O6481" s="24" t="str" cm="1">
        <f t="array" ref="O6481">IFERROR(IF($B6481=O$1, ($A6481+$C6481) - MAX(IF($B$2:$B6480=$B6481, $A$2:$A6480+$C$2:$C6480)), "")*24*60, "")</f>
        <v/>
      </c>
      <c r="P6481" s="24" t="str" cm="1">
        <f t="array" ref="P6481">IFERROR(IF($B6481=P$1, ($A6481+$C6481) - MAX(IF($B$2:$B6480=$B6481, $A$2:$A6480+$C$2:$C6480)), "")*24*60, "")</f>
        <v/>
      </c>
      <c r="Q6481" s="24" t="str" cm="1">
        <f t="array" ref="Q6481">IFERROR(IF($B6481=Q$1, ($A6481+$C6481) - MAX(IF($B$2:$B6480=$B6481, $A$2:$A6480+$C$2:$C6480)), "")*24*60, "")</f>
        <v/>
      </c>
      <c r="R6481" s="24" t="str" cm="1">
        <f t="array" ref="R6481">IFERROR(IF($B6481=R$1, ($A6481+$C6481) - MAX(IF($B$2:$B6480=$B6481, $A$2:$A6480+$C$2:$C6480)), "")*24*60, "")</f>
        <v/>
      </c>
      <c r="S6481" s="24" t="str" cm="1">
        <f t="array" ref="S6481">IFERROR(IF($B6481=S$1, ($A6481+$C6481) - MAX(IF($B$2:$B6480=$B6481, $A$2:$A6480+$C$2:$C6480)), "")*24*60, "")</f>
        <v/>
      </c>
    </row>
    <row r="6482" spans="1:19" x14ac:dyDescent="0.2">
      <c r="A6482" s="12">
        <f t="shared" ref="A6482:C6482" si="1371">A6481</f>
        <v>45990</v>
      </c>
      <c r="B6482" s="5" t="str">
        <f t="shared" si="1371"/>
        <v>Northern Cardinal</v>
      </c>
      <c r="C6482" s="6">
        <f t="shared" si="1371"/>
        <v>0.28333333333333333</v>
      </c>
      <c r="D6482" s="5"/>
      <c r="E6482" s="5"/>
      <c r="F6482" s="5" t="s">
        <v>8</v>
      </c>
      <c r="G6482" s="15" t="s">
        <v>9</v>
      </c>
      <c r="H6482" s="24">
        <f t="shared" si="1251"/>
        <v>0</v>
      </c>
      <c r="I6482" s="24" cm="1">
        <f t="array" ref="I6482">IFERROR(IF($B6482=I$1, ($A6482+$C6482) - MAX(IF($B$2:$B6481=$B6482, $A$2:$A6481+$C$2:$C6481)), "")*24*60, "")</f>
        <v>0</v>
      </c>
      <c r="J6482" s="24" t="str" cm="1">
        <f t="array" ref="J6482">IFERROR(IF($B6482=J$1, ($A6482+$C6482) - MAX(IF($B$2:$B6481=$B6482, $A$2:$A6481+$C$2:$C6481)), "")*24*60, "")</f>
        <v/>
      </c>
      <c r="K6482" s="24" t="str" cm="1">
        <f t="array" ref="K6482">IFERROR(IF($B6482=K$1, ($A6482+$C6482) - MAX(IF($B$2:$B6481=$B6482, $A$2:$A6481+$C$2:$C6481)), "")*24*60, "")</f>
        <v/>
      </c>
      <c r="L6482" s="24" t="str" cm="1">
        <f t="array" ref="L6482">IFERROR(IF($B6482=L$1, ($A6482+$C6482) - MAX(IF($B$2:$B6481=$B6482, $A$2:$A6481+$C$2:$C6481)), "")*24*60, "")</f>
        <v/>
      </c>
      <c r="M6482" s="24" t="str" cm="1">
        <f t="array" ref="M6482">IFERROR(IF($B6482=M$1, ($A6482+$C6482) - MAX(IF($B$2:$B6481=$B6482, $A$2:$A6481+$C$2:$C6481)), "")*24*60, "")</f>
        <v/>
      </c>
      <c r="N6482" s="24" t="str" cm="1">
        <f t="array" ref="N6482">IFERROR(IF($B6482=N$1, ($A6482+$C6482) - MAX(IF($B$2:$B6481=$B6482, $A$2:$A6481+$C$2:$C6481)), "")*24*60, "")</f>
        <v/>
      </c>
      <c r="O6482" s="24" t="str" cm="1">
        <f t="array" ref="O6482">IFERROR(IF($B6482=O$1, ($A6482+$C6482) - MAX(IF($B$2:$B6481=$B6482, $A$2:$A6481+$C$2:$C6481)), "")*24*60, "")</f>
        <v/>
      </c>
      <c r="P6482" s="24" t="str" cm="1">
        <f t="array" ref="P6482">IFERROR(IF($B6482=P$1, ($A6482+$C6482) - MAX(IF($B$2:$B6481=$B6482, $A$2:$A6481+$C$2:$C6481)), "")*24*60, "")</f>
        <v/>
      </c>
      <c r="Q6482" s="24" t="str" cm="1">
        <f t="array" ref="Q6482">IFERROR(IF($B6482=Q$1, ($A6482+$C6482) - MAX(IF($B$2:$B6481=$B6482, $A$2:$A6481+$C$2:$C6481)), "")*24*60, "")</f>
        <v/>
      </c>
      <c r="R6482" s="24" t="str" cm="1">
        <f t="array" ref="R6482">IFERROR(IF($B6482=R$1, ($A6482+$C6482) - MAX(IF($B$2:$B6481=$B6482, $A$2:$A6481+$C$2:$C6481)), "")*24*60, "")</f>
        <v/>
      </c>
      <c r="S6482" s="24" t="str" cm="1">
        <f t="array" ref="S6482">IFERROR(IF($B6482=S$1, ($A6482+$C6482) - MAX(IF($B$2:$B6481=$B6482, $A$2:$A6481+$C$2:$C6481)), "")*24*60, "")</f>
        <v/>
      </c>
    </row>
    <row r="6483" spans="1:19" x14ac:dyDescent="0.2">
      <c r="A6483" s="12">
        <f t="shared" ref="A6483:C6483" si="1372">A6482</f>
        <v>45990</v>
      </c>
      <c r="B6483" s="5" t="str">
        <f t="shared" si="1372"/>
        <v>Northern Cardinal</v>
      </c>
      <c r="C6483" s="6">
        <f t="shared" si="1372"/>
        <v>0.28333333333333333</v>
      </c>
      <c r="D6483" s="5"/>
      <c r="E6483" s="5"/>
      <c r="F6483" s="5" t="s">
        <v>8</v>
      </c>
      <c r="G6483" s="15" t="s">
        <v>9</v>
      </c>
      <c r="H6483" s="24">
        <f t="shared" si="1251"/>
        <v>0</v>
      </c>
      <c r="I6483" s="24" cm="1">
        <f t="array" ref="I6483">IFERROR(IF($B6483=I$1, ($A6483+$C6483) - MAX(IF($B$2:$B6482=$B6483, $A$2:$A6482+$C$2:$C6482)), "")*24*60, "")</f>
        <v>0</v>
      </c>
      <c r="J6483" s="24" t="str" cm="1">
        <f t="array" ref="J6483">IFERROR(IF($B6483=J$1, ($A6483+$C6483) - MAX(IF($B$2:$B6482=$B6483, $A$2:$A6482+$C$2:$C6482)), "")*24*60, "")</f>
        <v/>
      </c>
      <c r="K6483" s="24" t="str" cm="1">
        <f t="array" ref="K6483">IFERROR(IF($B6483=K$1, ($A6483+$C6483) - MAX(IF($B$2:$B6482=$B6483, $A$2:$A6482+$C$2:$C6482)), "")*24*60, "")</f>
        <v/>
      </c>
      <c r="L6483" s="24" t="str" cm="1">
        <f t="array" ref="L6483">IFERROR(IF($B6483=L$1, ($A6483+$C6483) - MAX(IF($B$2:$B6482=$B6483, $A$2:$A6482+$C$2:$C6482)), "")*24*60, "")</f>
        <v/>
      </c>
      <c r="M6483" s="24" t="str" cm="1">
        <f t="array" ref="M6483">IFERROR(IF($B6483=M$1, ($A6483+$C6483) - MAX(IF($B$2:$B6482=$B6483, $A$2:$A6482+$C$2:$C6482)), "")*24*60, "")</f>
        <v/>
      </c>
      <c r="N6483" s="24" t="str" cm="1">
        <f t="array" ref="N6483">IFERROR(IF($B6483=N$1, ($A6483+$C6483) - MAX(IF($B$2:$B6482=$B6483, $A$2:$A6482+$C$2:$C6482)), "")*24*60, "")</f>
        <v/>
      </c>
      <c r="O6483" s="24" t="str" cm="1">
        <f t="array" ref="O6483">IFERROR(IF($B6483=O$1, ($A6483+$C6483) - MAX(IF($B$2:$B6482=$B6483, $A$2:$A6482+$C$2:$C6482)), "")*24*60, "")</f>
        <v/>
      </c>
      <c r="P6483" s="24" t="str" cm="1">
        <f t="array" ref="P6483">IFERROR(IF($B6483=P$1, ($A6483+$C6483) - MAX(IF($B$2:$B6482=$B6483, $A$2:$A6482+$C$2:$C6482)), "")*24*60, "")</f>
        <v/>
      </c>
      <c r="Q6483" s="24" t="str" cm="1">
        <f t="array" ref="Q6483">IFERROR(IF($B6483=Q$1, ($A6483+$C6483) - MAX(IF($B$2:$B6482=$B6483, $A$2:$A6482+$C$2:$C6482)), "")*24*60, "")</f>
        <v/>
      </c>
      <c r="R6483" s="24" t="str" cm="1">
        <f t="array" ref="R6483">IFERROR(IF($B6483=R$1, ($A6483+$C6483) - MAX(IF($B$2:$B6482=$B6483, $A$2:$A6482+$C$2:$C6482)), "")*24*60, "")</f>
        <v/>
      </c>
      <c r="S6483" s="24" t="str" cm="1">
        <f t="array" ref="S6483">IFERROR(IF($B6483=S$1, ($A6483+$C6483) - MAX(IF($B$2:$B6482=$B6483, $A$2:$A6482+$C$2:$C6482)), "")*24*60, "")</f>
        <v/>
      </c>
    </row>
    <row r="6484" spans="1:19" x14ac:dyDescent="0.2">
      <c r="A6484" s="12">
        <f t="shared" ref="A6484:C6484" si="1373">A6483</f>
        <v>45990</v>
      </c>
      <c r="B6484" s="5" t="str">
        <f t="shared" si="1373"/>
        <v>Northern Cardinal</v>
      </c>
      <c r="C6484" s="6">
        <f t="shared" si="1373"/>
        <v>0.28333333333333333</v>
      </c>
      <c r="D6484" s="5"/>
      <c r="E6484" s="5"/>
      <c r="F6484" s="5" t="s">
        <v>8</v>
      </c>
      <c r="G6484" s="15" t="s">
        <v>9</v>
      </c>
      <c r="H6484" s="24">
        <f t="shared" si="1251"/>
        <v>0</v>
      </c>
      <c r="I6484" s="24" cm="1">
        <f t="array" ref="I6484">IFERROR(IF($B6484=I$1, ($A6484+$C6484) - MAX(IF($B$2:$B6483=$B6484, $A$2:$A6483+$C$2:$C6483)), "")*24*60, "")</f>
        <v>0</v>
      </c>
      <c r="J6484" s="24" t="str" cm="1">
        <f t="array" ref="J6484">IFERROR(IF($B6484=J$1, ($A6484+$C6484) - MAX(IF($B$2:$B6483=$B6484, $A$2:$A6483+$C$2:$C6483)), "")*24*60, "")</f>
        <v/>
      </c>
      <c r="K6484" s="24" t="str" cm="1">
        <f t="array" ref="K6484">IFERROR(IF($B6484=K$1, ($A6484+$C6484) - MAX(IF($B$2:$B6483=$B6484, $A$2:$A6483+$C$2:$C6483)), "")*24*60, "")</f>
        <v/>
      </c>
      <c r="L6484" s="24" t="str" cm="1">
        <f t="array" ref="L6484">IFERROR(IF($B6484=L$1, ($A6484+$C6484) - MAX(IF($B$2:$B6483=$B6484, $A$2:$A6483+$C$2:$C6483)), "")*24*60, "")</f>
        <v/>
      </c>
      <c r="M6484" s="24" t="str" cm="1">
        <f t="array" ref="M6484">IFERROR(IF($B6484=M$1, ($A6484+$C6484) - MAX(IF($B$2:$B6483=$B6484, $A$2:$A6483+$C$2:$C6483)), "")*24*60, "")</f>
        <v/>
      </c>
      <c r="N6484" s="24" t="str" cm="1">
        <f t="array" ref="N6484">IFERROR(IF($B6484=N$1, ($A6484+$C6484) - MAX(IF($B$2:$B6483=$B6484, $A$2:$A6483+$C$2:$C6483)), "")*24*60, "")</f>
        <v/>
      </c>
      <c r="O6484" s="24" t="str" cm="1">
        <f t="array" ref="O6484">IFERROR(IF($B6484=O$1, ($A6484+$C6484) - MAX(IF($B$2:$B6483=$B6484, $A$2:$A6483+$C$2:$C6483)), "")*24*60, "")</f>
        <v/>
      </c>
      <c r="P6484" s="24" t="str" cm="1">
        <f t="array" ref="P6484">IFERROR(IF($B6484=P$1, ($A6484+$C6484) - MAX(IF($B$2:$B6483=$B6484, $A$2:$A6483+$C$2:$C6483)), "")*24*60, "")</f>
        <v/>
      </c>
      <c r="Q6484" s="24" t="str" cm="1">
        <f t="array" ref="Q6484">IFERROR(IF($B6484=Q$1, ($A6484+$C6484) - MAX(IF($B$2:$B6483=$B6484, $A$2:$A6483+$C$2:$C6483)), "")*24*60, "")</f>
        <v/>
      </c>
      <c r="R6484" s="24" t="str" cm="1">
        <f t="array" ref="R6484">IFERROR(IF($B6484=R$1, ($A6484+$C6484) - MAX(IF($B$2:$B6483=$B6484, $A$2:$A6483+$C$2:$C6483)), "")*24*60, "")</f>
        <v/>
      </c>
      <c r="S6484" s="24" t="str" cm="1">
        <f t="array" ref="S6484">IFERROR(IF($B6484=S$1, ($A6484+$C6484) - MAX(IF($B$2:$B6483=$B6484, $A$2:$A6483+$C$2:$C6483)), "")*24*60, "")</f>
        <v/>
      </c>
    </row>
    <row r="6485" spans="1:19" x14ac:dyDescent="0.2">
      <c r="A6485" s="12">
        <f t="shared" ref="A6485:C6485" si="1374">A6484</f>
        <v>45990</v>
      </c>
      <c r="B6485" s="5" t="str">
        <f t="shared" si="1374"/>
        <v>Northern Cardinal</v>
      </c>
      <c r="C6485" s="6">
        <f t="shared" si="1374"/>
        <v>0.28333333333333333</v>
      </c>
      <c r="D6485" s="5"/>
      <c r="E6485" s="5"/>
      <c r="F6485" s="5" t="s">
        <v>8</v>
      </c>
      <c r="G6485" s="15" t="s">
        <v>9</v>
      </c>
      <c r="H6485" s="24">
        <f t="shared" si="1251"/>
        <v>0</v>
      </c>
      <c r="I6485" s="24" cm="1">
        <f t="array" ref="I6485">IFERROR(IF($B6485=I$1, ($A6485+$C6485) - MAX(IF($B$2:$B6484=$B6485, $A$2:$A6484+$C$2:$C6484)), "")*24*60, "")</f>
        <v>0</v>
      </c>
      <c r="J6485" s="24" t="str" cm="1">
        <f t="array" ref="J6485">IFERROR(IF($B6485=J$1, ($A6485+$C6485) - MAX(IF($B$2:$B6484=$B6485, $A$2:$A6484+$C$2:$C6484)), "")*24*60, "")</f>
        <v/>
      </c>
      <c r="K6485" s="24" t="str" cm="1">
        <f t="array" ref="K6485">IFERROR(IF($B6485=K$1, ($A6485+$C6485) - MAX(IF($B$2:$B6484=$B6485, $A$2:$A6484+$C$2:$C6484)), "")*24*60, "")</f>
        <v/>
      </c>
      <c r="L6485" s="24" t="str" cm="1">
        <f t="array" ref="L6485">IFERROR(IF($B6485=L$1, ($A6485+$C6485) - MAX(IF($B$2:$B6484=$B6485, $A$2:$A6484+$C$2:$C6484)), "")*24*60, "")</f>
        <v/>
      </c>
      <c r="M6485" s="24" t="str" cm="1">
        <f t="array" ref="M6485">IFERROR(IF($B6485=M$1, ($A6485+$C6485) - MAX(IF($B$2:$B6484=$B6485, $A$2:$A6484+$C$2:$C6484)), "")*24*60, "")</f>
        <v/>
      </c>
      <c r="N6485" s="24" t="str" cm="1">
        <f t="array" ref="N6485">IFERROR(IF($B6485=N$1, ($A6485+$C6485) - MAX(IF($B$2:$B6484=$B6485, $A$2:$A6484+$C$2:$C6484)), "")*24*60, "")</f>
        <v/>
      </c>
      <c r="O6485" s="24" t="str" cm="1">
        <f t="array" ref="O6485">IFERROR(IF($B6485=O$1, ($A6485+$C6485) - MAX(IF($B$2:$B6484=$B6485, $A$2:$A6484+$C$2:$C6484)), "")*24*60, "")</f>
        <v/>
      </c>
      <c r="P6485" s="24" t="str" cm="1">
        <f t="array" ref="P6485">IFERROR(IF($B6485=P$1, ($A6485+$C6485) - MAX(IF($B$2:$B6484=$B6485, $A$2:$A6484+$C$2:$C6484)), "")*24*60, "")</f>
        <v/>
      </c>
      <c r="Q6485" s="24" t="str" cm="1">
        <f t="array" ref="Q6485">IFERROR(IF($B6485=Q$1, ($A6485+$C6485) - MAX(IF($B$2:$B6484=$B6485, $A$2:$A6484+$C$2:$C6484)), "")*24*60, "")</f>
        <v/>
      </c>
      <c r="R6485" s="24" t="str" cm="1">
        <f t="array" ref="R6485">IFERROR(IF($B6485=R$1, ($A6485+$C6485) - MAX(IF($B$2:$B6484=$B6485, $A$2:$A6484+$C$2:$C6484)), "")*24*60, "")</f>
        <v/>
      </c>
      <c r="S6485" s="24" t="str" cm="1">
        <f t="array" ref="S6485">IFERROR(IF($B6485=S$1, ($A6485+$C6485) - MAX(IF($B$2:$B6484=$B6485, $A$2:$A6484+$C$2:$C6484)), "")*24*60, "")</f>
        <v/>
      </c>
    </row>
    <row r="6486" spans="1:19" x14ac:dyDescent="0.2">
      <c r="A6486" s="12">
        <f t="shared" ref="A6486:C6486" si="1375">A6485</f>
        <v>45990</v>
      </c>
      <c r="B6486" s="5" t="str">
        <f t="shared" si="1375"/>
        <v>Northern Cardinal</v>
      </c>
      <c r="C6486" s="6">
        <f t="shared" si="1375"/>
        <v>0.28333333333333333</v>
      </c>
      <c r="D6486" s="5"/>
      <c r="E6486" s="5"/>
      <c r="F6486" s="5" t="s">
        <v>8</v>
      </c>
      <c r="G6486" s="15" t="s">
        <v>9</v>
      </c>
      <c r="H6486" s="24">
        <f t="shared" si="1251"/>
        <v>0</v>
      </c>
      <c r="I6486" s="24" cm="1">
        <f t="array" ref="I6486">IFERROR(IF($B6486=I$1, ($A6486+$C6486) - MAX(IF($B$2:$B6485=$B6486, $A$2:$A6485+$C$2:$C6485)), "")*24*60, "")</f>
        <v>0</v>
      </c>
      <c r="J6486" s="24" t="str" cm="1">
        <f t="array" ref="J6486">IFERROR(IF($B6486=J$1, ($A6486+$C6486) - MAX(IF($B$2:$B6485=$B6486, $A$2:$A6485+$C$2:$C6485)), "")*24*60, "")</f>
        <v/>
      </c>
      <c r="K6486" s="24" t="str" cm="1">
        <f t="array" ref="K6486">IFERROR(IF($B6486=K$1, ($A6486+$C6486) - MAX(IF($B$2:$B6485=$B6486, $A$2:$A6485+$C$2:$C6485)), "")*24*60, "")</f>
        <v/>
      </c>
      <c r="L6486" s="24" t="str" cm="1">
        <f t="array" ref="L6486">IFERROR(IF($B6486=L$1, ($A6486+$C6486) - MAX(IF($B$2:$B6485=$B6486, $A$2:$A6485+$C$2:$C6485)), "")*24*60, "")</f>
        <v/>
      </c>
      <c r="M6486" s="24" t="str" cm="1">
        <f t="array" ref="M6486">IFERROR(IF($B6486=M$1, ($A6486+$C6486) - MAX(IF($B$2:$B6485=$B6486, $A$2:$A6485+$C$2:$C6485)), "")*24*60, "")</f>
        <v/>
      </c>
      <c r="N6486" s="24" t="str" cm="1">
        <f t="array" ref="N6486">IFERROR(IF($B6486=N$1, ($A6486+$C6486) - MAX(IF($B$2:$B6485=$B6486, $A$2:$A6485+$C$2:$C6485)), "")*24*60, "")</f>
        <v/>
      </c>
      <c r="O6486" s="24" t="str" cm="1">
        <f t="array" ref="O6486">IFERROR(IF($B6486=O$1, ($A6486+$C6486) - MAX(IF($B$2:$B6485=$B6486, $A$2:$A6485+$C$2:$C6485)), "")*24*60, "")</f>
        <v/>
      </c>
      <c r="P6486" s="24" t="str" cm="1">
        <f t="array" ref="P6486">IFERROR(IF($B6486=P$1, ($A6486+$C6486) - MAX(IF($B$2:$B6485=$B6486, $A$2:$A6485+$C$2:$C6485)), "")*24*60, "")</f>
        <v/>
      </c>
      <c r="Q6486" s="24" t="str" cm="1">
        <f t="array" ref="Q6486">IFERROR(IF($B6486=Q$1, ($A6486+$C6486) - MAX(IF($B$2:$B6485=$B6486, $A$2:$A6485+$C$2:$C6485)), "")*24*60, "")</f>
        <v/>
      </c>
      <c r="R6486" s="24" t="str" cm="1">
        <f t="array" ref="R6486">IFERROR(IF($B6486=R$1, ($A6486+$C6486) - MAX(IF($B$2:$B6485=$B6486, $A$2:$A6485+$C$2:$C6485)), "")*24*60, "")</f>
        <v/>
      </c>
      <c r="S6486" s="24" t="str" cm="1">
        <f t="array" ref="S6486">IFERROR(IF($B6486=S$1, ($A6486+$C6486) - MAX(IF($B$2:$B6485=$B6486, $A$2:$A6485+$C$2:$C6485)), "")*24*60, "")</f>
        <v/>
      </c>
    </row>
    <row r="6487" spans="1:19" x14ac:dyDescent="0.2">
      <c r="A6487" s="12">
        <f t="shared" ref="A6487:C6487" si="1376">A6486</f>
        <v>45990</v>
      </c>
      <c r="B6487" s="5" t="str">
        <f t="shared" si="1376"/>
        <v>Northern Cardinal</v>
      </c>
      <c r="C6487" s="6">
        <f t="shared" si="1376"/>
        <v>0.28333333333333333</v>
      </c>
      <c r="D6487" s="5"/>
      <c r="E6487" s="5"/>
      <c r="F6487" s="5" t="s">
        <v>8</v>
      </c>
      <c r="G6487" s="15" t="s">
        <v>9</v>
      </c>
      <c r="H6487" s="24">
        <f t="shared" si="1251"/>
        <v>0</v>
      </c>
      <c r="I6487" s="24" cm="1">
        <f t="array" ref="I6487">IFERROR(IF($B6487=I$1, ($A6487+$C6487) - MAX(IF($B$2:$B6486=$B6487, $A$2:$A6486+$C$2:$C6486)), "")*24*60, "")</f>
        <v>0</v>
      </c>
      <c r="J6487" s="24" t="str" cm="1">
        <f t="array" ref="J6487">IFERROR(IF($B6487=J$1, ($A6487+$C6487) - MAX(IF($B$2:$B6486=$B6487, $A$2:$A6486+$C$2:$C6486)), "")*24*60, "")</f>
        <v/>
      </c>
      <c r="K6487" s="24" t="str" cm="1">
        <f t="array" ref="K6487">IFERROR(IF($B6487=K$1, ($A6487+$C6487) - MAX(IF($B$2:$B6486=$B6487, $A$2:$A6486+$C$2:$C6486)), "")*24*60, "")</f>
        <v/>
      </c>
      <c r="L6487" s="24" t="str" cm="1">
        <f t="array" ref="L6487">IFERROR(IF($B6487=L$1, ($A6487+$C6487) - MAX(IF($B$2:$B6486=$B6487, $A$2:$A6486+$C$2:$C6486)), "")*24*60, "")</f>
        <v/>
      </c>
      <c r="M6487" s="24" t="str" cm="1">
        <f t="array" ref="M6487">IFERROR(IF($B6487=M$1, ($A6487+$C6487) - MAX(IF($B$2:$B6486=$B6487, $A$2:$A6486+$C$2:$C6486)), "")*24*60, "")</f>
        <v/>
      </c>
      <c r="N6487" s="24" t="str" cm="1">
        <f t="array" ref="N6487">IFERROR(IF($B6487=N$1, ($A6487+$C6487) - MAX(IF($B$2:$B6486=$B6487, $A$2:$A6486+$C$2:$C6486)), "")*24*60, "")</f>
        <v/>
      </c>
      <c r="O6487" s="24" t="str" cm="1">
        <f t="array" ref="O6487">IFERROR(IF($B6487=O$1, ($A6487+$C6487) - MAX(IF($B$2:$B6486=$B6487, $A$2:$A6486+$C$2:$C6486)), "")*24*60, "")</f>
        <v/>
      </c>
      <c r="P6487" s="24" t="str" cm="1">
        <f t="array" ref="P6487">IFERROR(IF($B6487=P$1, ($A6487+$C6487) - MAX(IF($B$2:$B6486=$B6487, $A$2:$A6486+$C$2:$C6486)), "")*24*60, "")</f>
        <v/>
      </c>
      <c r="Q6487" s="24" t="str" cm="1">
        <f t="array" ref="Q6487">IFERROR(IF($B6487=Q$1, ($A6487+$C6487) - MAX(IF($B$2:$B6486=$B6487, $A$2:$A6486+$C$2:$C6486)), "")*24*60, "")</f>
        <v/>
      </c>
      <c r="R6487" s="24" t="str" cm="1">
        <f t="array" ref="R6487">IFERROR(IF($B6487=R$1, ($A6487+$C6487) - MAX(IF($B$2:$B6486=$B6487, $A$2:$A6486+$C$2:$C6486)), "")*24*60, "")</f>
        <v/>
      </c>
      <c r="S6487" s="24" t="str" cm="1">
        <f t="array" ref="S6487">IFERROR(IF($B6487=S$1, ($A6487+$C6487) - MAX(IF($B$2:$B6486=$B6487, $A$2:$A6486+$C$2:$C6486)), "")*24*60, "")</f>
        <v/>
      </c>
    </row>
    <row r="6488" spans="1:19" x14ac:dyDescent="0.2">
      <c r="A6488" s="12">
        <f t="shared" ref="A6488:C6488" si="1377">A6487</f>
        <v>45990</v>
      </c>
      <c r="B6488" s="5" t="str">
        <f t="shared" si="1377"/>
        <v>Northern Cardinal</v>
      </c>
      <c r="C6488" s="6">
        <f t="shared" si="1377"/>
        <v>0.28333333333333333</v>
      </c>
      <c r="D6488" s="5"/>
      <c r="E6488" s="5"/>
      <c r="F6488" s="5" t="s">
        <v>8</v>
      </c>
      <c r="G6488" s="15" t="s">
        <v>9</v>
      </c>
      <c r="H6488" s="24">
        <f t="shared" si="1251"/>
        <v>0</v>
      </c>
      <c r="I6488" s="24" cm="1">
        <f t="array" ref="I6488">IFERROR(IF($B6488=I$1, ($A6488+$C6488) - MAX(IF($B$2:$B6487=$B6488, $A$2:$A6487+$C$2:$C6487)), "")*24*60, "")</f>
        <v>0</v>
      </c>
      <c r="J6488" s="24" t="str" cm="1">
        <f t="array" ref="J6488">IFERROR(IF($B6488=J$1, ($A6488+$C6488) - MAX(IF($B$2:$B6487=$B6488, $A$2:$A6487+$C$2:$C6487)), "")*24*60, "")</f>
        <v/>
      </c>
      <c r="K6488" s="24" t="str" cm="1">
        <f t="array" ref="K6488">IFERROR(IF($B6488=K$1, ($A6488+$C6488) - MAX(IF($B$2:$B6487=$B6488, $A$2:$A6487+$C$2:$C6487)), "")*24*60, "")</f>
        <v/>
      </c>
      <c r="L6488" s="24" t="str" cm="1">
        <f t="array" ref="L6488">IFERROR(IF($B6488=L$1, ($A6488+$C6488) - MAX(IF($B$2:$B6487=$B6488, $A$2:$A6487+$C$2:$C6487)), "")*24*60, "")</f>
        <v/>
      </c>
      <c r="M6488" s="24" t="str" cm="1">
        <f t="array" ref="M6488">IFERROR(IF($B6488=M$1, ($A6488+$C6488) - MAX(IF($B$2:$B6487=$B6488, $A$2:$A6487+$C$2:$C6487)), "")*24*60, "")</f>
        <v/>
      </c>
      <c r="N6488" s="24" t="str" cm="1">
        <f t="array" ref="N6488">IFERROR(IF($B6488=N$1, ($A6488+$C6488) - MAX(IF($B$2:$B6487=$B6488, $A$2:$A6487+$C$2:$C6487)), "")*24*60, "")</f>
        <v/>
      </c>
      <c r="O6488" s="24" t="str" cm="1">
        <f t="array" ref="O6488">IFERROR(IF($B6488=O$1, ($A6488+$C6488) - MAX(IF($B$2:$B6487=$B6488, $A$2:$A6487+$C$2:$C6487)), "")*24*60, "")</f>
        <v/>
      </c>
      <c r="P6488" s="24" t="str" cm="1">
        <f t="array" ref="P6488">IFERROR(IF($B6488=P$1, ($A6488+$C6488) - MAX(IF($B$2:$B6487=$B6488, $A$2:$A6487+$C$2:$C6487)), "")*24*60, "")</f>
        <v/>
      </c>
      <c r="Q6488" s="24" t="str" cm="1">
        <f t="array" ref="Q6488">IFERROR(IF($B6488=Q$1, ($A6488+$C6488) - MAX(IF($B$2:$B6487=$B6488, $A$2:$A6487+$C$2:$C6487)), "")*24*60, "")</f>
        <v/>
      </c>
      <c r="R6488" s="24" t="str" cm="1">
        <f t="array" ref="R6488">IFERROR(IF($B6488=R$1, ($A6488+$C6488) - MAX(IF($B$2:$B6487=$B6488, $A$2:$A6487+$C$2:$C6487)), "")*24*60, "")</f>
        <v/>
      </c>
      <c r="S6488" s="24" t="str" cm="1">
        <f t="array" ref="S6488">IFERROR(IF($B6488=S$1, ($A6488+$C6488) - MAX(IF($B$2:$B6487=$B6488, $A$2:$A6487+$C$2:$C6487)), "")*24*60, "")</f>
        <v/>
      </c>
    </row>
    <row r="6489" spans="1:19" x14ac:dyDescent="0.2">
      <c r="A6489" s="12">
        <f t="shared" ref="A6489:C6489" si="1378">A6488</f>
        <v>45990</v>
      </c>
      <c r="B6489" s="5" t="str">
        <f t="shared" si="1378"/>
        <v>Northern Cardinal</v>
      </c>
      <c r="C6489" s="6">
        <f t="shared" si="1378"/>
        <v>0.28333333333333333</v>
      </c>
      <c r="D6489" s="5"/>
      <c r="E6489" s="5"/>
      <c r="F6489" s="5" t="s">
        <v>8</v>
      </c>
      <c r="G6489" s="15" t="s">
        <v>9</v>
      </c>
      <c r="H6489" s="24">
        <f t="shared" si="1251"/>
        <v>0</v>
      </c>
      <c r="I6489" s="24" cm="1">
        <f t="array" ref="I6489">IFERROR(IF($B6489=I$1, ($A6489+$C6489) - MAX(IF($B$2:$B6488=$B6489, $A$2:$A6488+$C$2:$C6488)), "")*24*60, "")</f>
        <v>0</v>
      </c>
      <c r="J6489" s="24" t="str" cm="1">
        <f t="array" ref="J6489">IFERROR(IF($B6489=J$1, ($A6489+$C6489) - MAX(IF($B$2:$B6488=$B6489, $A$2:$A6488+$C$2:$C6488)), "")*24*60, "")</f>
        <v/>
      </c>
      <c r="K6489" s="24" t="str" cm="1">
        <f t="array" ref="K6489">IFERROR(IF($B6489=K$1, ($A6489+$C6489) - MAX(IF($B$2:$B6488=$B6489, $A$2:$A6488+$C$2:$C6488)), "")*24*60, "")</f>
        <v/>
      </c>
      <c r="L6489" s="24" t="str" cm="1">
        <f t="array" ref="L6489">IFERROR(IF($B6489=L$1, ($A6489+$C6489) - MAX(IF($B$2:$B6488=$B6489, $A$2:$A6488+$C$2:$C6488)), "")*24*60, "")</f>
        <v/>
      </c>
      <c r="M6489" s="24" t="str" cm="1">
        <f t="array" ref="M6489">IFERROR(IF($B6489=M$1, ($A6489+$C6489) - MAX(IF($B$2:$B6488=$B6489, $A$2:$A6488+$C$2:$C6488)), "")*24*60, "")</f>
        <v/>
      </c>
      <c r="N6489" s="24" t="str" cm="1">
        <f t="array" ref="N6489">IFERROR(IF($B6489=N$1, ($A6489+$C6489) - MAX(IF($B$2:$B6488=$B6489, $A$2:$A6488+$C$2:$C6488)), "")*24*60, "")</f>
        <v/>
      </c>
      <c r="O6489" s="24" t="str" cm="1">
        <f t="array" ref="O6489">IFERROR(IF($B6489=O$1, ($A6489+$C6489) - MAX(IF($B$2:$B6488=$B6489, $A$2:$A6488+$C$2:$C6488)), "")*24*60, "")</f>
        <v/>
      </c>
      <c r="P6489" s="24" t="str" cm="1">
        <f t="array" ref="P6489">IFERROR(IF($B6489=P$1, ($A6489+$C6489) - MAX(IF($B$2:$B6488=$B6489, $A$2:$A6488+$C$2:$C6488)), "")*24*60, "")</f>
        <v/>
      </c>
      <c r="Q6489" s="24" t="str" cm="1">
        <f t="array" ref="Q6489">IFERROR(IF($B6489=Q$1, ($A6489+$C6489) - MAX(IF($B$2:$B6488=$B6489, $A$2:$A6488+$C$2:$C6488)), "")*24*60, "")</f>
        <v/>
      </c>
      <c r="R6489" s="24" t="str" cm="1">
        <f t="array" ref="R6489">IFERROR(IF($B6489=R$1, ($A6489+$C6489) - MAX(IF($B$2:$B6488=$B6489, $A$2:$A6488+$C$2:$C6488)), "")*24*60, "")</f>
        <v/>
      </c>
      <c r="S6489" s="24" t="str" cm="1">
        <f t="array" ref="S6489">IFERROR(IF($B6489=S$1, ($A6489+$C6489) - MAX(IF($B$2:$B6488=$B6489, $A$2:$A6488+$C$2:$C6488)), "")*24*60, "")</f>
        <v/>
      </c>
    </row>
    <row r="6490" spans="1:19" x14ac:dyDescent="0.2">
      <c r="A6490" s="12">
        <f t="shared" ref="A6490:C6490" si="1379">A6489</f>
        <v>45990</v>
      </c>
      <c r="B6490" s="5" t="str">
        <f t="shared" si="1379"/>
        <v>Northern Cardinal</v>
      </c>
      <c r="C6490" s="6">
        <f t="shared" si="1379"/>
        <v>0.28333333333333333</v>
      </c>
      <c r="D6490" s="5"/>
      <c r="E6490" s="5"/>
      <c r="F6490" s="5" t="s">
        <v>8</v>
      </c>
      <c r="G6490" s="15" t="s">
        <v>9</v>
      </c>
      <c r="H6490" s="24">
        <f t="shared" si="1251"/>
        <v>0</v>
      </c>
      <c r="I6490" s="24" cm="1">
        <f t="array" ref="I6490">IFERROR(IF($B6490=I$1, ($A6490+$C6490) - MAX(IF($B$2:$B6489=$B6490, $A$2:$A6489+$C$2:$C6489)), "")*24*60, "")</f>
        <v>0</v>
      </c>
      <c r="J6490" s="24" t="str" cm="1">
        <f t="array" ref="J6490">IFERROR(IF($B6490=J$1, ($A6490+$C6490) - MAX(IF($B$2:$B6489=$B6490, $A$2:$A6489+$C$2:$C6489)), "")*24*60, "")</f>
        <v/>
      </c>
      <c r="K6490" s="24" t="str" cm="1">
        <f t="array" ref="K6490">IFERROR(IF($B6490=K$1, ($A6490+$C6490) - MAX(IF($B$2:$B6489=$B6490, $A$2:$A6489+$C$2:$C6489)), "")*24*60, "")</f>
        <v/>
      </c>
      <c r="L6490" s="24" t="str" cm="1">
        <f t="array" ref="L6490">IFERROR(IF($B6490=L$1, ($A6490+$C6490) - MAX(IF($B$2:$B6489=$B6490, $A$2:$A6489+$C$2:$C6489)), "")*24*60, "")</f>
        <v/>
      </c>
      <c r="M6490" s="24" t="str" cm="1">
        <f t="array" ref="M6490">IFERROR(IF($B6490=M$1, ($A6490+$C6490) - MAX(IF($B$2:$B6489=$B6490, $A$2:$A6489+$C$2:$C6489)), "")*24*60, "")</f>
        <v/>
      </c>
      <c r="N6490" s="24" t="str" cm="1">
        <f t="array" ref="N6490">IFERROR(IF($B6490=N$1, ($A6490+$C6490) - MAX(IF($B$2:$B6489=$B6490, $A$2:$A6489+$C$2:$C6489)), "")*24*60, "")</f>
        <v/>
      </c>
      <c r="O6490" s="24" t="str" cm="1">
        <f t="array" ref="O6490">IFERROR(IF($B6490=O$1, ($A6490+$C6490) - MAX(IF($B$2:$B6489=$B6490, $A$2:$A6489+$C$2:$C6489)), "")*24*60, "")</f>
        <v/>
      </c>
      <c r="P6490" s="24" t="str" cm="1">
        <f t="array" ref="P6490">IFERROR(IF($B6490=P$1, ($A6490+$C6490) - MAX(IF($B$2:$B6489=$B6490, $A$2:$A6489+$C$2:$C6489)), "")*24*60, "")</f>
        <v/>
      </c>
      <c r="Q6490" s="24" t="str" cm="1">
        <f t="array" ref="Q6490">IFERROR(IF($B6490=Q$1, ($A6490+$C6490) - MAX(IF($B$2:$B6489=$B6490, $A$2:$A6489+$C$2:$C6489)), "")*24*60, "")</f>
        <v/>
      </c>
      <c r="R6490" s="24" t="str" cm="1">
        <f t="array" ref="R6490">IFERROR(IF($B6490=R$1, ($A6490+$C6490) - MAX(IF($B$2:$B6489=$B6490, $A$2:$A6489+$C$2:$C6489)), "")*24*60, "")</f>
        <v/>
      </c>
      <c r="S6490" s="24" t="str" cm="1">
        <f t="array" ref="S6490">IFERROR(IF($B6490=S$1, ($A6490+$C6490) - MAX(IF($B$2:$B6489=$B6490, $A$2:$A6489+$C$2:$C6489)), "")*24*60, "")</f>
        <v/>
      </c>
    </row>
    <row r="6491" spans="1:19" x14ac:dyDescent="0.2">
      <c r="A6491" s="12">
        <f t="shared" ref="A6491:C6491" si="1380">A6490</f>
        <v>45990</v>
      </c>
      <c r="B6491" s="5" t="str">
        <f t="shared" si="1380"/>
        <v>Northern Cardinal</v>
      </c>
      <c r="C6491" s="6">
        <f t="shared" si="1380"/>
        <v>0.28333333333333333</v>
      </c>
      <c r="D6491" s="5"/>
      <c r="E6491" s="5"/>
      <c r="F6491" s="5" t="s">
        <v>8</v>
      </c>
      <c r="G6491" s="15" t="s">
        <v>9</v>
      </c>
      <c r="H6491" s="24">
        <f t="shared" si="1251"/>
        <v>0</v>
      </c>
      <c r="I6491" s="24" cm="1">
        <f t="array" ref="I6491">IFERROR(IF($B6491=I$1, ($A6491+$C6491) - MAX(IF($B$2:$B6490=$B6491, $A$2:$A6490+$C$2:$C6490)), "")*24*60, "")</f>
        <v>0</v>
      </c>
      <c r="J6491" s="24" t="str" cm="1">
        <f t="array" ref="J6491">IFERROR(IF($B6491=J$1, ($A6491+$C6491) - MAX(IF($B$2:$B6490=$B6491, $A$2:$A6490+$C$2:$C6490)), "")*24*60, "")</f>
        <v/>
      </c>
      <c r="K6491" s="24" t="str" cm="1">
        <f t="array" ref="K6491">IFERROR(IF($B6491=K$1, ($A6491+$C6491) - MAX(IF($B$2:$B6490=$B6491, $A$2:$A6490+$C$2:$C6490)), "")*24*60, "")</f>
        <v/>
      </c>
      <c r="L6491" s="24" t="str" cm="1">
        <f t="array" ref="L6491">IFERROR(IF($B6491=L$1, ($A6491+$C6491) - MAX(IF($B$2:$B6490=$B6491, $A$2:$A6490+$C$2:$C6490)), "")*24*60, "")</f>
        <v/>
      </c>
      <c r="M6491" s="24" t="str" cm="1">
        <f t="array" ref="M6491">IFERROR(IF($B6491=M$1, ($A6491+$C6491) - MAX(IF($B$2:$B6490=$B6491, $A$2:$A6490+$C$2:$C6490)), "")*24*60, "")</f>
        <v/>
      </c>
      <c r="N6491" s="24" t="str" cm="1">
        <f t="array" ref="N6491">IFERROR(IF($B6491=N$1, ($A6491+$C6491) - MAX(IF($B$2:$B6490=$B6491, $A$2:$A6490+$C$2:$C6490)), "")*24*60, "")</f>
        <v/>
      </c>
      <c r="O6491" s="24" t="str" cm="1">
        <f t="array" ref="O6491">IFERROR(IF($B6491=O$1, ($A6491+$C6491) - MAX(IF($B$2:$B6490=$B6491, $A$2:$A6490+$C$2:$C6490)), "")*24*60, "")</f>
        <v/>
      </c>
      <c r="P6491" s="24" t="str" cm="1">
        <f t="array" ref="P6491">IFERROR(IF($B6491=P$1, ($A6491+$C6491) - MAX(IF($B$2:$B6490=$B6491, $A$2:$A6490+$C$2:$C6490)), "")*24*60, "")</f>
        <v/>
      </c>
      <c r="Q6491" s="24" t="str" cm="1">
        <f t="array" ref="Q6491">IFERROR(IF($B6491=Q$1, ($A6491+$C6491) - MAX(IF($B$2:$B6490=$B6491, $A$2:$A6490+$C$2:$C6490)), "")*24*60, "")</f>
        <v/>
      </c>
      <c r="R6491" s="24" t="str" cm="1">
        <f t="array" ref="R6491">IFERROR(IF($B6491=R$1, ($A6491+$C6491) - MAX(IF($B$2:$B6490=$B6491, $A$2:$A6490+$C$2:$C6490)), "")*24*60, "")</f>
        <v/>
      </c>
      <c r="S6491" s="24" t="str" cm="1">
        <f t="array" ref="S6491">IFERROR(IF($B6491=S$1, ($A6491+$C6491) - MAX(IF($B$2:$B6490=$B6491, $A$2:$A6490+$C$2:$C6490)), "")*24*60, "")</f>
        <v/>
      </c>
    </row>
    <row r="6492" spans="1:19" x14ac:dyDescent="0.2">
      <c r="A6492" s="12">
        <f t="shared" ref="A6492:C6492" si="1381">A6491</f>
        <v>45990</v>
      </c>
      <c r="B6492" s="5" t="str">
        <f t="shared" si="1381"/>
        <v>Northern Cardinal</v>
      </c>
      <c r="C6492" s="6">
        <f t="shared" si="1381"/>
        <v>0.28333333333333333</v>
      </c>
      <c r="D6492" s="5"/>
      <c r="E6492" s="5"/>
      <c r="F6492" s="5" t="s">
        <v>8</v>
      </c>
      <c r="G6492" s="15" t="s">
        <v>9</v>
      </c>
      <c r="H6492" s="24">
        <f t="shared" si="1251"/>
        <v>0</v>
      </c>
      <c r="I6492" s="24" cm="1">
        <f t="array" ref="I6492">IFERROR(IF($B6492=I$1, ($A6492+$C6492) - MAX(IF($B$2:$B6491=$B6492, $A$2:$A6491+$C$2:$C6491)), "")*24*60, "")</f>
        <v>0</v>
      </c>
      <c r="J6492" s="24" t="str" cm="1">
        <f t="array" ref="J6492">IFERROR(IF($B6492=J$1, ($A6492+$C6492) - MAX(IF($B$2:$B6491=$B6492, $A$2:$A6491+$C$2:$C6491)), "")*24*60, "")</f>
        <v/>
      </c>
      <c r="K6492" s="24" t="str" cm="1">
        <f t="array" ref="K6492">IFERROR(IF($B6492=K$1, ($A6492+$C6492) - MAX(IF($B$2:$B6491=$B6492, $A$2:$A6491+$C$2:$C6491)), "")*24*60, "")</f>
        <v/>
      </c>
      <c r="L6492" s="24" t="str" cm="1">
        <f t="array" ref="L6492">IFERROR(IF($B6492=L$1, ($A6492+$C6492) - MAX(IF($B$2:$B6491=$B6492, $A$2:$A6491+$C$2:$C6491)), "")*24*60, "")</f>
        <v/>
      </c>
      <c r="M6492" s="24" t="str" cm="1">
        <f t="array" ref="M6492">IFERROR(IF($B6492=M$1, ($A6492+$C6492) - MAX(IF($B$2:$B6491=$B6492, $A$2:$A6491+$C$2:$C6491)), "")*24*60, "")</f>
        <v/>
      </c>
      <c r="N6492" s="24" t="str" cm="1">
        <f t="array" ref="N6492">IFERROR(IF($B6492=N$1, ($A6492+$C6492) - MAX(IF($B$2:$B6491=$B6492, $A$2:$A6491+$C$2:$C6491)), "")*24*60, "")</f>
        <v/>
      </c>
      <c r="O6492" s="24" t="str" cm="1">
        <f t="array" ref="O6492">IFERROR(IF($B6492=O$1, ($A6492+$C6492) - MAX(IF($B$2:$B6491=$B6492, $A$2:$A6491+$C$2:$C6491)), "")*24*60, "")</f>
        <v/>
      </c>
      <c r="P6492" s="24" t="str" cm="1">
        <f t="array" ref="P6492">IFERROR(IF($B6492=P$1, ($A6492+$C6492) - MAX(IF($B$2:$B6491=$B6492, $A$2:$A6491+$C$2:$C6491)), "")*24*60, "")</f>
        <v/>
      </c>
      <c r="Q6492" s="24" t="str" cm="1">
        <f t="array" ref="Q6492">IFERROR(IF($B6492=Q$1, ($A6492+$C6492) - MAX(IF($B$2:$B6491=$B6492, $A$2:$A6491+$C$2:$C6491)), "")*24*60, "")</f>
        <v/>
      </c>
      <c r="R6492" s="24" t="str" cm="1">
        <f t="array" ref="R6492">IFERROR(IF($B6492=R$1, ($A6492+$C6492) - MAX(IF($B$2:$B6491=$B6492, $A$2:$A6491+$C$2:$C6491)), "")*24*60, "")</f>
        <v/>
      </c>
      <c r="S6492" s="24" t="str" cm="1">
        <f t="array" ref="S6492">IFERROR(IF($B6492=S$1, ($A6492+$C6492) - MAX(IF($B$2:$B6491=$B6492, $A$2:$A6491+$C$2:$C6491)), "")*24*60, "")</f>
        <v/>
      </c>
    </row>
    <row r="6493" spans="1:19" x14ac:dyDescent="0.2">
      <c r="A6493" s="12">
        <f t="shared" ref="A6493:C6493" si="1382">A6492</f>
        <v>45990</v>
      </c>
      <c r="B6493" s="5" t="str">
        <f t="shared" si="1382"/>
        <v>Northern Cardinal</v>
      </c>
      <c r="C6493" s="6">
        <f t="shared" si="1382"/>
        <v>0.28333333333333333</v>
      </c>
      <c r="D6493" s="5"/>
      <c r="E6493" s="5"/>
      <c r="F6493" s="5" t="s">
        <v>8</v>
      </c>
      <c r="G6493" s="15" t="s">
        <v>9</v>
      </c>
      <c r="H6493" s="24">
        <f t="shared" si="1251"/>
        <v>0</v>
      </c>
      <c r="I6493" s="24" cm="1">
        <f t="array" ref="I6493">IFERROR(IF($B6493=I$1, ($A6493+$C6493) - MAX(IF($B$2:$B6492=$B6493, $A$2:$A6492+$C$2:$C6492)), "")*24*60, "")</f>
        <v>0</v>
      </c>
      <c r="J6493" s="24" t="str" cm="1">
        <f t="array" ref="J6493">IFERROR(IF($B6493=J$1, ($A6493+$C6493) - MAX(IF($B$2:$B6492=$B6493, $A$2:$A6492+$C$2:$C6492)), "")*24*60, "")</f>
        <v/>
      </c>
      <c r="K6493" s="24" t="str" cm="1">
        <f t="array" ref="K6493">IFERROR(IF($B6493=K$1, ($A6493+$C6493) - MAX(IF($B$2:$B6492=$B6493, $A$2:$A6492+$C$2:$C6492)), "")*24*60, "")</f>
        <v/>
      </c>
      <c r="L6493" s="24" t="str" cm="1">
        <f t="array" ref="L6493">IFERROR(IF($B6493=L$1, ($A6493+$C6493) - MAX(IF($B$2:$B6492=$B6493, $A$2:$A6492+$C$2:$C6492)), "")*24*60, "")</f>
        <v/>
      </c>
      <c r="M6493" s="24" t="str" cm="1">
        <f t="array" ref="M6493">IFERROR(IF($B6493=M$1, ($A6493+$C6493) - MAX(IF($B$2:$B6492=$B6493, $A$2:$A6492+$C$2:$C6492)), "")*24*60, "")</f>
        <v/>
      </c>
      <c r="N6493" s="24" t="str" cm="1">
        <f t="array" ref="N6493">IFERROR(IF($B6493=N$1, ($A6493+$C6493) - MAX(IF($B$2:$B6492=$B6493, $A$2:$A6492+$C$2:$C6492)), "")*24*60, "")</f>
        <v/>
      </c>
      <c r="O6493" s="24" t="str" cm="1">
        <f t="array" ref="O6493">IFERROR(IF($B6493=O$1, ($A6493+$C6493) - MAX(IF($B$2:$B6492=$B6493, $A$2:$A6492+$C$2:$C6492)), "")*24*60, "")</f>
        <v/>
      </c>
      <c r="P6493" s="24" t="str" cm="1">
        <f t="array" ref="P6493">IFERROR(IF($B6493=P$1, ($A6493+$C6493) - MAX(IF($B$2:$B6492=$B6493, $A$2:$A6492+$C$2:$C6492)), "")*24*60, "")</f>
        <v/>
      </c>
      <c r="Q6493" s="24" t="str" cm="1">
        <f t="array" ref="Q6493">IFERROR(IF($B6493=Q$1, ($A6493+$C6493) - MAX(IF($B$2:$B6492=$B6493, $A$2:$A6492+$C$2:$C6492)), "")*24*60, "")</f>
        <v/>
      </c>
      <c r="R6493" s="24" t="str" cm="1">
        <f t="array" ref="R6493">IFERROR(IF($B6493=R$1, ($A6493+$C6493) - MAX(IF($B$2:$B6492=$B6493, $A$2:$A6492+$C$2:$C6492)), "")*24*60, "")</f>
        <v/>
      </c>
      <c r="S6493" s="24" t="str" cm="1">
        <f t="array" ref="S6493">IFERROR(IF($B6493=S$1, ($A6493+$C6493) - MAX(IF($B$2:$B6492=$B6493, $A$2:$A6492+$C$2:$C6492)), "")*24*60, "")</f>
        <v/>
      </c>
    </row>
    <row r="6494" spans="1:19" x14ac:dyDescent="0.2">
      <c r="A6494" s="12">
        <f t="shared" ref="A6494:C6494" si="1383">A6493</f>
        <v>45990</v>
      </c>
      <c r="B6494" s="5" t="str">
        <f t="shared" si="1383"/>
        <v>Northern Cardinal</v>
      </c>
      <c r="C6494" s="6">
        <f t="shared" si="1383"/>
        <v>0.28333333333333333</v>
      </c>
      <c r="D6494" s="5"/>
      <c r="E6494" s="5"/>
      <c r="F6494" s="5" t="s">
        <v>8</v>
      </c>
      <c r="G6494" s="15" t="s">
        <v>9</v>
      </c>
      <c r="H6494" s="24">
        <f t="shared" si="1251"/>
        <v>0</v>
      </c>
      <c r="I6494" s="24" cm="1">
        <f t="array" ref="I6494">IFERROR(IF($B6494=I$1, ($A6494+$C6494) - MAX(IF($B$2:$B6493=$B6494, $A$2:$A6493+$C$2:$C6493)), "")*24*60, "")</f>
        <v>0</v>
      </c>
      <c r="J6494" s="24" t="str" cm="1">
        <f t="array" ref="J6494">IFERROR(IF($B6494=J$1, ($A6494+$C6494) - MAX(IF($B$2:$B6493=$B6494, $A$2:$A6493+$C$2:$C6493)), "")*24*60, "")</f>
        <v/>
      </c>
      <c r="K6494" s="24" t="str" cm="1">
        <f t="array" ref="K6494">IFERROR(IF($B6494=K$1, ($A6494+$C6494) - MAX(IF($B$2:$B6493=$B6494, $A$2:$A6493+$C$2:$C6493)), "")*24*60, "")</f>
        <v/>
      </c>
      <c r="L6494" s="24" t="str" cm="1">
        <f t="array" ref="L6494">IFERROR(IF($B6494=L$1, ($A6494+$C6494) - MAX(IF($B$2:$B6493=$B6494, $A$2:$A6493+$C$2:$C6493)), "")*24*60, "")</f>
        <v/>
      </c>
      <c r="M6494" s="24" t="str" cm="1">
        <f t="array" ref="M6494">IFERROR(IF($B6494=M$1, ($A6494+$C6494) - MAX(IF($B$2:$B6493=$B6494, $A$2:$A6493+$C$2:$C6493)), "")*24*60, "")</f>
        <v/>
      </c>
      <c r="N6494" s="24" t="str" cm="1">
        <f t="array" ref="N6494">IFERROR(IF($B6494=N$1, ($A6494+$C6494) - MAX(IF($B$2:$B6493=$B6494, $A$2:$A6493+$C$2:$C6493)), "")*24*60, "")</f>
        <v/>
      </c>
      <c r="O6494" s="24" t="str" cm="1">
        <f t="array" ref="O6494">IFERROR(IF($B6494=O$1, ($A6494+$C6494) - MAX(IF($B$2:$B6493=$B6494, $A$2:$A6493+$C$2:$C6493)), "")*24*60, "")</f>
        <v/>
      </c>
      <c r="P6494" s="24" t="str" cm="1">
        <f t="array" ref="P6494">IFERROR(IF($B6494=P$1, ($A6494+$C6494) - MAX(IF($B$2:$B6493=$B6494, $A$2:$A6493+$C$2:$C6493)), "")*24*60, "")</f>
        <v/>
      </c>
      <c r="Q6494" s="24" t="str" cm="1">
        <f t="array" ref="Q6494">IFERROR(IF($B6494=Q$1, ($A6494+$C6494) - MAX(IF($B$2:$B6493=$B6494, $A$2:$A6493+$C$2:$C6493)), "")*24*60, "")</f>
        <v/>
      </c>
      <c r="R6494" s="24" t="str" cm="1">
        <f t="array" ref="R6494">IFERROR(IF($B6494=R$1, ($A6494+$C6494) - MAX(IF($B$2:$B6493=$B6494, $A$2:$A6493+$C$2:$C6493)), "")*24*60, "")</f>
        <v/>
      </c>
      <c r="S6494" s="24" t="str" cm="1">
        <f t="array" ref="S6494">IFERROR(IF($B6494=S$1, ($A6494+$C6494) - MAX(IF($B$2:$B6493=$B6494, $A$2:$A6493+$C$2:$C6493)), "")*24*60, "")</f>
        <v/>
      </c>
    </row>
    <row r="6495" spans="1:19" x14ac:dyDescent="0.2">
      <c r="A6495" s="12">
        <f t="shared" ref="A6495:C6495" si="1384">A6494</f>
        <v>45990</v>
      </c>
      <c r="B6495" s="5" t="str">
        <f t="shared" si="1384"/>
        <v>Northern Cardinal</v>
      </c>
      <c r="C6495" s="6">
        <f t="shared" si="1384"/>
        <v>0.28333333333333333</v>
      </c>
      <c r="D6495" s="5"/>
      <c r="E6495" s="5"/>
      <c r="F6495" s="5" t="s">
        <v>8</v>
      </c>
      <c r="G6495" s="15" t="s">
        <v>9</v>
      </c>
      <c r="H6495" s="24">
        <f t="shared" si="1251"/>
        <v>0</v>
      </c>
      <c r="I6495" s="24" cm="1">
        <f t="array" ref="I6495">IFERROR(IF($B6495=I$1, ($A6495+$C6495) - MAX(IF($B$2:$B6494=$B6495, $A$2:$A6494+$C$2:$C6494)), "")*24*60, "")</f>
        <v>0</v>
      </c>
      <c r="J6495" s="24" t="str" cm="1">
        <f t="array" ref="J6495">IFERROR(IF($B6495=J$1, ($A6495+$C6495) - MAX(IF($B$2:$B6494=$B6495, $A$2:$A6494+$C$2:$C6494)), "")*24*60, "")</f>
        <v/>
      </c>
      <c r="K6495" s="24" t="str" cm="1">
        <f t="array" ref="K6495">IFERROR(IF($B6495=K$1, ($A6495+$C6495) - MAX(IF($B$2:$B6494=$B6495, $A$2:$A6494+$C$2:$C6494)), "")*24*60, "")</f>
        <v/>
      </c>
      <c r="L6495" s="24" t="str" cm="1">
        <f t="array" ref="L6495">IFERROR(IF($B6495=L$1, ($A6495+$C6495) - MAX(IF($B$2:$B6494=$B6495, $A$2:$A6494+$C$2:$C6494)), "")*24*60, "")</f>
        <v/>
      </c>
      <c r="M6495" s="24" t="str" cm="1">
        <f t="array" ref="M6495">IFERROR(IF($B6495=M$1, ($A6495+$C6495) - MAX(IF($B$2:$B6494=$B6495, $A$2:$A6494+$C$2:$C6494)), "")*24*60, "")</f>
        <v/>
      </c>
      <c r="N6495" s="24" t="str" cm="1">
        <f t="array" ref="N6495">IFERROR(IF($B6495=N$1, ($A6495+$C6495) - MAX(IF($B$2:$B6494=$B6495, $A$2:$A6494+$C$2:$C6494)), "")*24*60, "")</f>
        <v/>
      </c>
      <c r="O6495" s="24" t="str" cm="1">
        <f t="array" ref="O6495">IFERROR(IF($B6495=O$1, ($A6495+$C6495) - MAX(IF($B$2:$B6494=$B6495, $A$2:$A6494+$C$2:$C6494)), "")*24*60, "")</f>
        <v/>
      </c>
      <c r="P6495" s="24" t="str" cm="1">
        <f t="array" ref="P6495">IFERROR(IF($B6495=P$1, ($A6495+$C6495) - MAX(IF($B$2:$B6494=$B6495, $A$2:$A6494+$C$2:$C6494)), "")*24*60, "")</f>
        <v/>
      </c>
      <c r="Q6495" s="24" t="str" cm="1">
        <f t="array" ref="Q6495">IFERROR(IF($B6495=Q$1, ($A6495+$C6495) - MAX(IF($B$2:$B6494=$B6495, $A$2:$A6494+$C$2:$C6494)), "")*24*60, "")</f>
        <v/>
      </c>
      <c r="R6495" s="24" t="str" cm="1">
        <f t="array" ref="R6495">IFERROR(IF($B6495=R$1, ($A6495+$C6495) - MAX(IF($B$2:$B6494=$B6495, $A$2:$A6494+$C$2:$C6494)), "")*24*60, "")</f>
        <v/>
      </c>
      <c r="S6495" s="24" t="str" cm="1">
        <f t="array" ref="S6495">IFERROR(IF($B6495=S$1, ($A6495+$C6495) - MAX(IF($B$2:$B6494=$B6495, $A$2:$A6494+$C$2:$C6494)), "")*24*60, "")</f>
        <v/>
      </c>
    </row>
    <row r="6496" spans="1:19" x14ac:dyDescent="0.2">
      <c r="A6496" s="12">
        <f t="shared" ref="A6496:C6496" si="1385">A6495</f>
        <v>45990</v>
      </c>
      <c r="B6496" s="5" t="str">
        <f t="shared" si="1385"/>
        <v>Northern Cardinal</v>
      </c>
      <c r="C6496" s="6">
        <f t="shared" si="1385"/>
        <v>0.28333333333333333</v>
      </c>
      <c r="D6496" s="5"/>
      <c r="E6496" s="5"/>
      <c r="F6496" s="5" t="s">
        <v>8</v>
      </c>
      <c r="G6496" s="15" t="s">
        <v>9</v>
      </c>
      <c r="H6496" s="24">
        <f t="shared" si="1251"/>
        <v>0</v>
      </c>
      <c r="I6496" s="24" cm="1">
        <f t="array" ref="I6496">IFERROR(IF($B6496=I$1, ($A6496+$C6496) - MAX(IF($B$2:$B6495=$B6496, $A$2:$A6495+$C$2:$C6495)), "")*24*60, "")</f>
        <v>0</v>
      </c>
      <c r="J6496" s="24" t="str" cm="1">
        <f t="array" ref="J6496">IFERROR(IF($B6496=J$1, ($A6496+$C6496) - MAX(IF($B$2:$B6495=$B6496, $A$2:$A6495+$C$2:$C6495)), "")*24*60, "")</f>
        <v/>
      </c>
      <c r="K6496" s="24" t="str" cm="1">
        <f t="array" ref="K6496">IFERROR(IF($B6496=K$1, ($A6496+$C6496) - MAX(IF($B$2:$B6495=$B6496, $A$2:$A6495+$C$2:$C6495)), "")*24*60, "")</f>
        <v/>
      </c>
      <c r="L6496" s="24" t="str" cm="1">
        <f t="array" ref="L6496">IFERROR(IF($B6496=L$1, ($A6496+$C6496) - MAX(IF($B$2:$B6495=$B6496, $A$2:$A6495+$C$2:$C6495)), "")*24*60, "")</f>
        <v/>
      </c>
      <c r="M6496" s="24" t="str" cm="1">
        <f t="array" ref="M6496">IFERROR(IF($B6496=M$1, ($A6496+$C6496) - MAX(IF($B$2:$B6495=$B6496, $A$2:$A6495+$C$2:$C6495)), "")*24*60, "")</f>
        <v/>
      </c>
      <c r="N6496" s="24" t="str" cm="1">
        <f t="array" ref="N6496">IFERROR(IF($B6496=N$1, ($A6496+$C6496) - MAX(IF($B$2:$B6495=$B6496, $A$2:$A6495+$C$2:$C6495)), "")*24*60, "")</f>
        <v/>
      </c>
      <c r="O6496" s="24" t="str" cm="1">
        <f t="array" ref="O6496">IFERROR(IF($B6496=O$1, ($A6496+$C6496) - MAX(IF($B$2:$B6495=$B6496, $A$2:$A6495+$C$2:$C6495)), "")*24*60, "")</f>
        <v/>
      </c>
      <c r="P6496" s="24" t="str" cm="1">
        <f t="array" ref="P6496">IFERROR(IF($B6496=P$1, ($A6496+$C6496) - MAX(IF($B$2:$B6495=$B6496, $A$2:$A6495+$C$2:$C6495)), "")*24*60, "")</f>
        <v/>
      </c>
      <c r="Q6496" s="24" t="str" cm="1">
        <f t="array" ref="Q6496">IFERROR(IF($B6496=Q$1, ($A6496+$C6496) - MAX(IF($B$2:$B6495=$B6496, $A$2:$A6495+$C$2:$C6495)), "")*24*60, "")</f>
        <v/>
      </c>
      <c r="R6496" s="24" t="str" cm="1">
        <f t="array" ref="R6496">IFERROR(IF($B6496=R$1, ($A6496+$C6496) - MAX(IF($B$2:$B6495=$B6496, $A$2:$A6495+$C$2:$C6495)), "")*24*60, "")</f>
        <v/>
      </c>
      <c r="S6496" s="24" t="str" cm="1">
        <f t="array" ref="S6496">IFERROR(IF($B6496=S$1, ($A6496+$C6496) - MAX(IF($B$2:$B6495=$B6496, $A$2:$A6495+$C$2:$C6495)), "")*24*60, "")</f>
        <v/>
      </c>
    </row>
    <row r="6497" spans="1:19" x14ac:dyDescent="0.2">
      <c r="A6497" s="12">
        <f t="shared" ref="A6497:C6497" si="1386">A6496</f>
        <v>45990</v>
      </c>
      <c r="B6497" s="5" t="str">
        <f t="shared" si="1386"/>
        <v>Northern Cardinal</v>
      </c>
      <c r="C6497" s="6">
        <f t="shared" si="1386"/>
        <v>0.28333333333333333</v>
      </c>
      <c r="D6497" s="5"/>
      <c r="E6497" s="5"/>
      <c r="F6497" s="5" t="s">
        <v>8</v>
      </c>
      <c r="G6497" s="15" t="s">
        <v>9</v>
      </c>
      <c r="H6497" s="24">
        <f t="shared" si="1251"/>
        <v>0</v>
      </c>
      <c r="I6497" s="24" cm="1">
        <f t="array" ref="I6497">IFERROR(IF($B6497=I$1, ($A6497+$C6497) - MAX(IF($B$2:$B6496=$B6497, $A$2:$A6496+$C$2:$C6496)), "")*24*60, "")</f>
        <v>0</v>
      </c>
      <c r="J6497" s="24" t="str" cm="1">
        <f t="array" ref="J6497">IFERROR(IF($B6497=J$1, ($A6497+$C6497) - MAX(IF($B$2:$B6496=$B6497, $A$2:$A6496+$C$2:$C6496)), "")*24*60, "")</f>
        <v/>
      </c>
      <c r="K6497" s="24" t="str" cm="1">
        <f t="array" ref="K6497">IFERROR(IF($B6497=K$1, ($A6497+$C6497) - MAX(IF($B$2:$B6496=$B6497, $A$2:$A6496+$C$2:$C6496)), "")*24*60, "")</f>
        <v/>
      </c>
      <c r="L6497" s="24" t="str" cm="1">
        <f t="array" ref="L6497">IFERROR(IF($B6497=L$1, ($A6497+$C6497) - MAX(IF($B$2:$B6496=$B6497, $A$2:$A6496+$C$2:$C6496)), "")*24*60, "")</f>
        <v/>
      </c>
      <c r="M6497" s="24" t="str" cm="1">
        <f t="array" ref="M6497">IFERROR(IF($B6497=M$1, ($A6497+$C6497) - MAX(IF($B$2:$B6496=$B6497, $A$2:$A6496+$C$2:$C6496)), "")*24*60, "")</f>
        <v/>
      </c>
      <c r="N6497" s="24" t="str" cm="1">
        <f t="array" ref="N6497">IFERROR(IF($B6497=N$1, ($A6497+$C6497) - MAX(IF($B$2:$B6496=$B6497, $A$2:$A6496+$C$2:$C6496)), "")*24*60, "")</f>
        <v/>
      </c>
      <c r="O6497" s="24" t="str" cm="1">
        <f t="array" ref="O6497">IFERROR(IF($B6497=O$1, ($A6497+$C6497) - MAX(IF($B$2:$B6496=$B6497, $A$2:$A6496+$C$2:$C6496)), "")*24*60, "")</f>
        <v/>
      </c>
      <c r="P6497" s="24" t="str" cm="1">
        <f t="array" ref="P6497">IFERROR(IF($B6497=P$1, ($A6497+$C6497) - MAX(IF($B$2:$B6496=$B6497, $A$2:$A6496+$C$2:$C6496)), "")*24*60, "")</f>
        <v/>
      </c>
      <c r="Q6497" s="24" t="str" cm="1">
        <f t="array" ref="Q6497">IFERROR(IF($B6497=Q$1, ($A6497+$C6497) - MAX(IF($B$2:$B6496=$B6497, $A$2:$A6496+$C$2:$C6496)), "")*24*60, "")</f>
        <v/>
      </c>
      <c r="R6497" s="24" t="str" cm="1">
        <f t="array" ref="R6497">IFERROR(IF($B6497=R$1, ($A6497+$C6497) - MAX(IF($B$2:$B6496=$B6497, $A$2:$A6496+$C$2:$C6496)), "")*24*60, "")</f>
        <v/>
      </c>
      <c r="S6497" s="24" t="str" cm="1">
        <f t="array" ref="S6497">IFERROR(IF($B6497=S$1, ($A6497+$C6497) - MAX(IF($B$2:$B6496=$B6497, $A$2:$A6496+$C$2:$C6496)), "")*24*60, "")</f>
        <v/>
      </c>
    </row>
    <row r="6498" spans="1:19" x14ac:dyDescent="0.2">
      <c r="A6498" s="12">
        <f t="shared" ref="A6498:C6498" si="1387">A6497</f>
        <v>45990</v>
      </c>
      <c r="B6498" s="5" t="str">
        <f t="shared" si="1387"/>
        <v>Northern Cardinal</v>
      </c>
      <c r="C6498" s="6">
        <f t="shared" si="1387"/>
        <v>0.28333333333333333</v>
      </c>
      <c r="D6498" s="5"/>
      <c r="E6498" s="5"/>
      <c r="F6498" s="5" t="s">
        <v>8</v>
      </c>
      <c r="G6498" s="15" t="s">
        <v>9</v>
      </c>
      <c r="H6498" s="24">
        <f t="shared" si="1251"/>
        <v>0</v>
      </c>
      <c r="I6498" s="24" cm="1">
        <f t="array" ref="I6498">IFERROR(IF($B6498=I$1, ($A6498+$C6498) - MAX(IF($B$2:$B6497=$B6498, $A$2:$A6497+$C$2:$C6497)), "")*24*60, "")</f>
        <v>0</v>
      </c>
      <c r="J6498" s="24" t="str" cm="1">
        <f t="array" ref="J6498">IFERROR(IF($B6498=J$1, ($A6498+$C6498) - MAX(IF($B$2:$B6497=$B6498, $A$2:$A6497+$C$2:$C6497)), "")*24*60, "")</f>
        <v/>
      </c>
      <c r="K6498" s="24" t="str" cm="1">
        <f t="array" ref="K6498">IFERROR(IF($B6498=K$1, ($A6498+$C6498) - MAX(IF($B$2:$B6497=$B6498, $A$2:$A6497+$C$2:$C6497)), "")*24*60, "")</f>
        <v/>
      </c>
      <c r="L6498" s="24" t="str" cm="1">
        <f t="array" ref="L6498">IFERROR(IF($B6498=L$1, ($A6498+$C6498) - MAX(IF($B$2:$B6497=$B6498, $A$2:$A6497+$C$2:$C6497)), "")*24*60, "")</f>
        <v/>
      </c>
      <c r="M6498" s="24" t="str" cm="1">
        <f t="array" ref="M6498">IFERROR(IF($B6498=M$1, ($A6498+$C6498) - MAX(IF($B$2:$B6497=$B6498, $A$2:$A6497+$C$2:$C6497)), "")*24*60, "")</f>
        <v/>
      </c>
      <c r="N6498" s="24" t="str" cm="1">
        <f t="array" ref="N6498">IFERROR(IF($B6498=N$1, ($A6498+$C6498) - MAX(IF($B$2:$B6497=$B6498, $A$2:$A6497+$C$2:$C6497)), "")*24*60, "")</f>
        <v/>
      </c>
      <c r="O6498" s="24" t="str" cm="1">
        <f t="array" ref="O6498">IFERROR(IF($B6498=O$1, ($A6498+$C6498) - MAX(IF($B$2:$B6497=$B6498, $A$2:$A6497+$C$2:$C6497)), "")*24*60, "")</f>
        <v/>
      </c>
      <c r="P6498" s="24" t="str" cm="1">
        <f t="array" ref="P6498">IFERROR(IF($B6498=P$1, ($A6498+$C6498) - MAX(IF($B$2:$B6497=$B6498, $A$2:$A6497+$C$2:$C6497)), "")*24*60, "")</f>
        <v/>
      </c>
      <c r="Q6498" s="24" t="str" cm="1">
        <f t="array" ref="Q6498">IFERROR(IF($B6498=Q$1, ($A6498+$C6498) - MAX(IF($B$2:$B6497=$B6498, $A$2:$A6497+$C$2:$C6497)), "")*24*60, "")</f>
        <v/>
      </c>
      <c r="R6498" s="24" t="str" cm="1">
        <f t="array" ref="R6498">IFERROR(IF($B6498=R$1, ($A6498+$C6498) - MAX(IF($B$2:$B6497=$B6498, $A$2:$A6497+$C$2:$C6497)), "")*24*60, "")</f>
        <v/>
      </c>
      <c r="S6498" s="24" t="str" cm="1">
        <f t="array" ref="S6498">IFERROR(IF($B6498=S$1, ($A6498+$C6498) - MAX(IF($B$2:$B6497=$B6498, $A$2:$A6497+$C$2:$C6497)), "")*24*60, "")</f>
        <v/>
      </c>
    </row>
    <row r="6499" spans="1:19" x14ac:dyDescent="0.2">
      <c r="A6499" s="12">
        <f t="shared" ref="A6499:C6499" si="1388">A6498</f>
        <v>45990</v>
      </c>
      <c r="B6499" s="5" t="str">
        <f t="shared" si="1388"/>
        <v>Northern Cardinal</v>
      </c>
      <c r="C6499" s="6">
        <f t="shared" si="1388"/>
        <v>0.28333333333333333</v>
      </c>
      <c r="D6499" s="5"/>
      <c r="E6499" s="5"/>
      <c r="F6499" s="5" t="s">
        <v>8</v>
      </c>
      <c r="G6499" s="15" t="s">
        <v>9</v>
      </c>
      <c r="H6499" s="24">
        <f t="shared" si="1251"/>
        <v>0</v>
      </c>
      <c r="I6499" s="24" cm="1">
        <f t="array" ref="I6499">IFERROR(IF($B6499=I$1, ($A6499+$C6499) - MAX(IF($B$2:$B6498=$B6499, $A$2:$A6498+$C$2:$C6498)), "")*24*60, "")</f>
        <v>0</v>
      </c>
      <c r="J6499" s="24" t="str" cm="1">
        <f t="array" ref="J6499">IFERROR(IF($B6499=J$1, ($A6499+$C6499) - MAX(IF($B$2:$B6498=$B6499, $A$2:$A6498+$C$2:$C6498)), "")*24*60, "")</f>
        <v/>
      </c>
      <c r="K6499" s="24" t="str" cm="1">
        <f t="array" ref="K6499">IFERROR(IF($B6499=K$1, ($A6499+$C6499) - MAX(IF($B$2:$B6498=$B6499, $A$2:$A6498+$C$2:$C6498)), "")*24*60, "")</f>
        <v/>
      </c>
      <c r="L6499" s="24" t="str" cm="1">
        <f t="array" ref="L6499">IFERROR(IF($B6499=L$1, ($A6499+$C6499) - MAX(IF($B$2:$B6498=$B6499, $A$2:$A6498+$C$2:$C6498)), "")*24*60, "")</f>
        <v/>
      </c>
      <c r="M6499" s="24" t="str" cm="1">
        <f t="array" ref="M6499">IFERROR(IF($B6499=M$1, ($A6499+$C6499) - MAX(IF($B$2:$B6498=$B6499, $A$2:$A6498+$C$2:$C6498)), "")*24*60, "")</f>
        <v/>
      </c>
      <c r="N6499" s="24" t="str" cm="1">
        <f t="array" ref="N6499">IFERROR(IF($B6499=N$1, ($A6499+$C6499) - MAX(IF($B$2:$B6498=$B6499, $A$2:$A6498+$C$2:$C6498)), "")*24*60, "")</f>
        <v/>
      </c>
      <c r="O6499" s="24" t="str" cm="1">
        <f t="array" ref="O6499">IFERROR(IF($B6499=O$1, ($A6499+$C6499) - MAX(IF($B$2:$B6498=$B6499, $A$2:$A6498+$C$2:$C6498)), "")*24*60, "")</f>
        <v/>
      </c>
      <c r="P6499" s="24" t="str" cm="1">
        <f t="array" ref="P6499">IFERROR(IF($B6499=P$1, ($A6499+$C6499) - MAX(IF($B$2:$B6498=$B6499, $A$2:$A6498+$C$2:$C6498)), "")*24*60, "")</f>
        <v/>
      </c>
      <c r="Q6499" s="24" t="str" cm="1">
        <f t="array" ref="Q6499">IFERROR(IF($B6499=Q$1, ($A6499+$C6499) - MAX(IF($B$2:$B6498=$B6499, $A$2:$A6498+$C$2:$C6498)), "")*24*60, "")</f>
        <v/>
      </c>
      <c r="R6499" s="24" t="str" cm="1">
        <f t="array" ref="R6499">IFERROR(IF($B6499=R$1, ($A6499+$C6499) - MAX(IF($B$2:$B6498=$B6499, $A$2:$A6498+$C$2:$C6498)), "")*24*60, "")</f>
        <v/>
      </c>
      <c r="S6499" s="24" t="str" cm="1">
        <f t="array" ref="S6499">IFERROR(IF($B6499=S$1, ($A6499+$C6499) - MAX(IF($B$2:$B6498=$B6499, $A$2:$A6498+$C$2:$C6498)), "")*24*60, "")</f>
        <v/>
      </c>
    </row>
    <row r="6500" spans="1:19" x14ac:dyDescent="0.2">
      <c r="A6500" s="12">
        <f t="shared" ref="A6500:C6500" si="1389">A6499</f>
        <v>45990</v>
      </c>
      <c r="B6500" s="5" t="str">
        <f t="shared" si="1389"/>
        <v>Northern Cardinal</v>
      </c>
      <c r="C6500" s="6">
        <f t="shared" si="1389"/>
        <v>0.28333333333333333</v>
      </c>
      <c r="D6500" s="5"/>
      <c r="E6500" s="5"/>
      <c r="F6500" s="5" t="s">
        <v>8</v>
      </c>
      <c r="G6500" s="15" t="s">
        <v>9</v>
      </c>
      <c r="H6500" s="24">
        <f t="shared" si="1251"/>
        <v>0</v>
      </c>
      <c r="I6500" s="24" cm="1">
        <f t="array" ref="I6500">IFERROR(IF($B6500=I$1, ($A6500+$C6500) - MAX(IF($B$2:$B6499=$B6500, $A$2:$A6499+$C$2:$C6499)), "")*24*60, "")</f>
        <v>0</v>
      </c>
      <c r="J6500" s="24" t="str" cm="1">
        <f t="array" ref="J6500">IFERROR(IF($B6500=J$1, ($A6500+$C6500) - MAX(IF($B$2:$B6499=$B6500, $A$2:$A6499+$C$2:$C6499)), "")*24*60, "")</f>
        <v/>
      </c>
      <c r="K6500" s="24" t="str" cm="1">
        <f t="array" ref="K6500">IFERROR(IF($B6500=K$1, ($A6500+$C6500) - MAX(IF($B$2:$B6499=$B6500, $A$2:$A6499+$C$2:$C6499)), "")*24*60, "")</f>
        <v/>
      </c>
      <c r="L6500" s="24" t="str" cm="1">
        <f t="array" ref="L6500">IFERROR(IF($B6500=L$1, ($A6500+$C6500) - MAX(IF($B$2:$B6499=$B6500, $A$2:$A6499+$C$2:$C6499)), "")*24*60, "")</f>
        <v/>
      </c>
      <c r="M6500" s="24" t="str" cm="1">
        <f t="array" ref="M6500">IFERROR(IF($B6500=M$1, ($A6500+$C6500) - MAX(IF($B$2:$B6499=$B6500, $A$2:$A6499+$C$2:$C6499)), "")*24*60, "")</f>
        <v/>
      </c>
      <c r="N6500" s="24" t="str" cm="1">
        <f t="array" ref="N6500">IFERROR(IF($B6500=N$1, ($A6500+$C6500) - MAX(IF($B$2:$B6499=$B6500, $A$2:$A6499+$C$2:$C6499)), "")*24*60, "")</f>
        <v/>
      </c>
      <c r="O6500" s="24" t="str" cm="1">
        <f t="array" ref="O6500">IFERROR(IF($B6500=O$1, ($A6500+$C6500) - MAX(IF($B$2:$B6499=$B6500, $A$2:$A6499+$C$2:$C6499)), "")*24*60, "")</f>
        <v/>
      </c>
      <c r="P6500" s="24" t="str" cm="1">
        <f t="array" ref="P6500">IFERROR(IF($B6500=P$1, ($A6500+$C6500) - MAX(IF($B$2:$B6499=$B6500, $A$2:$A6499+$C$2:$C6499)), "")*24*60, "")</f>
        <v/>
      </c>
      <c r="Q6500" s="24" t="str" cm="1">
        <f t="array" ref="Q6500">IFERROR(IF($B6500=Q$1, ($A6500+$C6500) - MAX(IF($B$2:$B6499=$B6500, $A$2:$A6499+$C$2:$C6499)), "")*24*60, "")</f>
        <v/>
      </c>
      <c r="R6500" s="24" t="str" cm="1">
        <f t="array" ref="R6500">IFERROR(IF($B6500=R$1, ($A6500+$C6500) - MAX(IF($B$2:$B6499=$B6500, $A$2:$A6499+$C$2:$C6499)), "")*24*60, "")</f>
        <v/>
      </c>
      <c r="S6500" s="24" t="str" cm="1">
        <f t="array" ref="S6500">IFERROR(IF($B6500=S$1, ($A6500+$C6500) - MAX(IF($B$2:$B6499=$B6500, $A$2:$A6499+$C$2:$C6499)), "")*24*60, "")</f>
        <v/>
      </c>
    </row>
    <row r="6501" spans="1:19" x14ac:dyDescent="0.2">
      <c r="A6501" s="12">
        <f t="shared" ref="A6501:C6501" si="1390">A6500</f>
        <v>45990</v>
      </c>
      <c r="B6501" s="5" t="str">
        <f t="shared" si="1390"/>
        <v>Northern Cardinal</v>
      </c>
      <c r="C6501" s="6">
        <f t="shared" si="1390"/>
        <v>0.28333333333333333</v>
      </c>
      <c r="D6501" s="5"/>
      <c r="E6501" s="5"/>
      <c r="F6501" s="5" t="s">
        <v>8</v>
      </c>
      <c r="G6501" s="15" t="s">
        <v>9</v>
      </c>
      <c r="H6501" s="24">
        <f t="shared" si="1251"/>
        <v>0</v>
      </c>
      <c r="I6501" s="24" cm="1">
        <f t="array" ref="I6501">IFERROR(IF($B6501=I$1, ($A6501+$C6501) - MAX(IF($B$2:$B6500=$B6501, $A$2:$A6500+$C$2:$C6500)), "")*24*60, "")</f>
        <v>0</v>
      </c>
      <c r="J6501" s="24" t="str" cm="1">
        <f t="array" ref="J6501">IFERROR(IF($B6501=J$1, ($A6501+$C6501) - MAX(IF($B$2:$B6500=$B6501, $A$2:$A6500+$C$2:$C6500)), "")*24*60, "")</f>
        <v/>
      </c>
      <c r="K6501" s="24" t="str" cm="1">
        <f t="array" ref="K6501">IFERROR(IF($B6501=K$1, ($A6501+$C6501) - MAX(IF($B$2:$B6500=$B6501, $A$2:$A6500+$C$2:$C6500)), "")*24*60, "")</f>
        <v/>
      </c>
      <c r="L6501" s="24" t="str" cm="1">
        <f t="array" ref="L6501">IFERROR(IF($B6501=L$1, ($A6501+$C6501) - MAX(IF($B$2:$B6500=$B6501, $A$2:$A6500+$C$2:$C6500)), "")*24*60, "")</f>
        <v/>
      </c>
      <c r="M6501" s="24" t="str" cm="1">
        <f t="array" ref="M6501">IFERROR(IF($B6501=M$1, ($A6501+$C6501) - MAX(IF($B$2:$B6500=$B6501, $A$2:$A6500+$C$2:$C6500)), "")*24*60, "")</f>
        <v/>
      </c>
      <c r="N6501" s="24" t="str" cm="1">
        <f t="array" ref="N6501">IFERROR(IF($B6501=N$1, ($A6501+$C6501) - MAX(IF($B$2:$B6500=$B6501, $A$2:$A6500+$C$2:$C6500)), "")*24*60, "")</f>
        <v/>
      </c>
      <c r="O6501" s="24" t="str" cm="1">
        <f t="array" ref="O6501">IFERROR(IF($B6501=O$1, ($A6501+$C6501) - MAX(IF($B$2:$B6500=$B6501, $A$2:$A6500+$C$2:$C6500)), "")*24*60, "")</f>
        <v/>
      </c>
      <c r="P6501" s="24" t="str" cm="1">
        <f t="array" ref="P6501">IFERROR(IF($B6501=P$1, ($A6501+$C6501) - MAX(IF($B$2:$B6500=$B6501, $A$2:$A6500+$C$2:$C6500)), "")*24*60, "")</f>
        <v/>
      </c>
      <c r="Q6501" s="24" t="str" cm="1">
        <f t="array" ref="Q6501">IFERROR(IF($B6501=Q$1, ($A6501+$C6501) - MAX(IF($B$2:$B6500=$B6501, $A$2:$A6500+$C$2:$C6500)), "")*24*60, "")</f>
        <v/>
      </c>
      <c r="R6501" s="24" t="str" cm="1">
        <f t="array" ref="R6501">IFERROR(IF($B6501=R$1, ($A6501+$C6501) - MAX(IF($B$2:$B6500=$B6501, $A$2:$A6500+$C$2:$C6500)), "")*24*60, "")</f>
        <v/>
      </c>
      <c r="S6501" s="24" t="str" cm="1">
        <f t="array" ref="S6501">IFERROR(IF($B6501=S$1, ($A6501+$C6501) - MAX(IF($B$2:$B6500=$B6501, $A$2:$A6500+$C$2:$C6500)), "")*24*60, "")</f>
        <v/>
      </c>
    </row>
    <row r="6502" spans="1:19" x14ac:dyDescent="0.2">
      <c r="A6502" s="12">
        <f t="shared" ref="A6502:C6502" si="1391">A6501</f>
        <v>45990</v>
      </c>
      <c r="B6502" s="5" t="str">
        <f t="shared" si="1391"/>
        <v>Northern Cardinal</v>
      </c>
      <c r="C6502" s="6">
        <f t="shared" si="1391"/>
        <v>0.28333333333333333</v>
      </c>
      <c r="D6502" s="5"/>
      <c r="E6502" s="5"/>
      <c r="F6502" s="5" t="s">
        <v>8</v>
      </c>
      <c r="G6502" s="15" t="s">
        <v>9</v>
      </c>
      <c r="H6502" s="24">
        <f t="shared" si="1251"/>
        <v>0</v>
      </c>
      <c r="I6502" s="24" cm="1">
        <f t="array" ref="I6502">IFERROR(IF($B6502=I$1, ($A6502+$C6502) - MAX(IF($B$2:$B6501=$B6502, $A$2:$A6501+$C$2:$C6501)), "")*24*60, "")</f>
        <v>0</v>
      </c>
      <c r="J6502" s="24" t="str" cm="1">
        <f t="array" ref="J6502">IFERROR(IF($B6502=J$1, ($A6502+$C6502) - MAX(IF($B$2:$B6501=$B6502, $A$2:$A6501+$C$2:$C6501)), "")*24*60, "")</f>
        <v/>
      </c>
      <c r="K6502" s="24" t="str" cm="1">
        <f t="array" ref="K6502">IFERROR(IF($B6502=K$1, ($A6502+$C6502) - MAX(IF($B$2:$B6501=$B6502, $A$2:$A6501+$C$2:$C6501)), "")*24*60, "")</f>
        <v/>
      </c>
      <c r="L6502" s="24" t="str" cm="1">
        <f t="array" ref="L6502">IFERROR(IF($B6502=L$1, ($A6502+$C6502) - MAX(IF($B$2:$B6501=$B6502, $A$2:$A6501+$C$2:$C6501)), "")*24*60, "")</f>
        <v/>
      </c>
      <c r="M6502" s="24" t="str" cm="1">
        <f t="array" ref="M6502">IFERROR(IF($B6502=M$1, ($A6502+$C6502) - MAX(IF($B$2:$B6501=$B6502, $A$2:$A6501+$C$2:$C6501)), "")*24*60, "")</f>
        <v/>
      </c>
      <c r="N6502" s="24" t="str" cm="1">
        <f t="array" ref="N6502">IFERROR(IF($B6502=N$1, ($A6502+$C6502) - MAX(IF($B$2:$B6501=$B6502, $A$2:$A6501+$C$2:$C6501)), "")*24*60, "")</f>
        <v/>
      </c>
      <c r="O6502" s="24" t="str" cm="1">
        <f t="array" ref="O6502">IFERROR(IF($B6502=O$1, ($A6502+$C6502) - MAX(IF($B$2:$B6501=$B6502, $A$2:$A6501+$C$2:$C6501)), "")*24*60, "")</f>
        <v/>
      </c>
      <c r="P6502" s="24" t="str" cm="1">
        <f t="array" ref="P6502">IFERROR(IF($B6502=P$1, ($A6502+$C6502) - MAX(IF($B$2:$B6501=$B6502, $A$2:$A6501+$C$2:$C6501)), "")*24*60, "")</f>
        <v/>
      </c>
      <c r="Q6502" s="24" t="str" cm="1">
        <f t="array" ref="Q6502">IFERROR(IF($B6502=Q$1, ($A6502+$C6502) - MAX(IF($B$2:$B6501=$B6502, $A$2:$A6501+$C$2:$C6501)), "")*24*60, "")</f>
        <v/>
      </c>
      <c r="R6502" s="24" t="str" cm="1">
        <f t="array" ref="R6502">IFERROR(IF($B6502=R$1, ($A6502+$C6502) - MAX(IF($B$2:$B6501=$B6502, $A$2:$A6501+$C$2:$C6501)), "")*24*60, "")</f>
        <v/>
      </c>
      <c r="S6502" s="24" t="str" cm="1">
        <f t="array" ref="S6502">IFERROR(IF($B6502=S$1, ($A6502+$C6502) - MAX(IF($B$2:$B6501=$B6502, $A$2:$A6501+$C$2:$C6501)), "")*24*60, "")</f>
        <v/>
      </c>
    </row>
    <row r="6503" spans="1:19" x14ac:dyDescent="0.2">
      <c r="A6503" s="12">
        <f t="shared" ref="A6503:C6503" si="1392">A6502</f>
        <v>45990</v>
      </c>
      <c r="B6503" s="5" t="str">
        <f t="shared" si="1392"/>
        <v>Northern Cardinal</v>
      </c>
      <c r="C6503" s="6">
        <f t="shared" si="1392"/>
        <v>0.28333333333333333</v>
      </c>
      <c r="D6503" s="5"/>
      <c r="E6503" s="5"/>
      <c r="F6503" s="5" t="s">
        <v>8</v>
      </c>
      <c r="G6503" s="15" t="s">
        <v>9</v>
      </c>
      <c r="H6503" s="24">
        <f t="shared" si="1251"/>
        <v>0</v>
      </c>
      <c r="I6503" s="24" cm="1">
        <f t="array" ref="I6503">IFERROR(IF($B6503=I$1, ($A6503+$C6503) - MAX(IF($B$2:$B6502=$B6503, $A$2:$A6502+$C$2:$C6502)), "")*24*60, "")</f>
        <v>0</v>
      </c>
      <c r="J6503" s="24" t="str" cm="1">
        <f t="array" ref="J6503">IFERROR(IF($B6503=J$1, ($A6503+$C6503) - MAX(IF($B$2:$B6502=$B6503, $A$2:$A6502+$C$2:$C6502)), "")*24*60, "")</f>
        <v/>
      </c>
      <c r="K6503" s="24" t="str" cm="1">
        <f t="array" ref="K6503">IFERROR(IF($B6503=K$1, ($A6503+$C6503) - MAX(IF($B$2:$B6502=$B6503, $A$2:$A6502+$C$2:$C6502)), "")*24*60, "")</f>
        <v/>
      </c>
      <c r="L6503" s="24" t="str" cm="1">
        <f t="array" ref="L6503">IFERROR(IF($B6503=L$1, ($A6503+$C6503) - MAX(IF($B$2:$B6502=$B6503, $A$2:$A6502+$C$2:$C6502)), "")*24*60, "")</f>
        <v/>
      </c>
      <c r="M6503" s="24" t="str" cm="1">
        <f t="array" ref="M6503">IFERROR(IF($B6503=M$1, ($A6503+$C6503) - MAX(IF($B$2:$B6502=$B6503, $A$2:$A6502+$C$2:$C6502)), "")*24*60, "")</f>
        <v/>
      </c>
      <c r="N6503" s="24" t="str" cm="1">
        <f t="array" ref="N6503">IFERROR(IF($B6503=N$1, ($A6503+$C6503) - MAX(IF($B$2:$B6502=$B6503, $A$2:$A6502+$C$2:$C6502)), "")*24*60, "")</f>
        <v/>
      </c>
      <c r="O6503" s="24" t="str" cm="1">
        <f t="array" ref="O6503">IFERROR(IF($B6503=O$1, ($A6503+$C6503) - MAX(IF($B$2:$B6502=$B6503, $A$2:$A6502+$C$2:$C6502)), "")*24*60, "")</f>
        <v/>
      </c>
      <c r="P6503" s="24" t="str" cm="1">
        <f t="array" ref="P6503">IFERROR(IF($B6503=P$1, ($A6503+$C6503) - MAX(IF($B$2:$B6502=$B6503, $A$2:$A6502+$C$2:$C6502)), "")*24*60, "")</f>
        <v/>
      </c>
      <c r="Q6503" s="24" t="str" cm="1">
        <f t="array" ref="Q6503">IFERROR(IF($B6503=Q$1, ($A6503+$C6503) - MAX(IF($B$2:$B6502=$B6503, $A$2:$A6502+$C$2:$C6502)), "")*24*60, "")</f>
        <v/>
      </c>
      <c r="R6503" s="24" t="str" cm="1">
        <f t="array" ref="R6503">IFERROR(IF($B6503=R$1, ($A6503+$C6503) - MAX(IF($B$2:$B6502=$B6503, $A$2:$A6502+$C$2:$C6502)), "")*24*60, "")</f>
        <v/>
      </c>
      <c r="S6503" s="24" t="str" cm="1">
        <f t="array" ref="S6503">IFERROR(IF($B6503=S$1, ($A6503+$C6503) - MAX(IF($B$2:$B6502=$B6503, $A$2:$A6502+$C$2:$C6502)), "")*24*60, "")</f>
        <v/>
      </c>
    </row>
    <row r="6504" spans="1:19" x14ac:dyDescent="0.2">
      <c r="A6504" s="12">
        <f t="shared" ref="A6504:C6504" si="1393">A6503</f>
        <v>45990</v>
      </c>
      <c r="B6504" s="5" t="str">
        <f t="shared" si="1393"/>
        <v>Northern Cardinal</v>
      </c>
      <c r="C6504" s="6">
        <f t="shared" si="1393"/>
        <v>0.28333333333333333</v>
      </c>
      <c r="D6504" s="5"/>
      <c r="E6504" s="5"/>
      <c r="F6504" s="5" t="s">
        <v>8</v>
      </c>
      <c r="G6504" s="15" t="s">
        <v>9</v>
      </c>
      <c r="H6504" s="24">
        <f t="shared" si="1251"/>
        <v>0</v>
      </c>
      <c r="I6504" s="24" cm="1">
        <f t="array" ref="I6504">IFERROR(IF($B6504=I$1, ($A6504+$C6504) - MAX(IF($B$2:$B6503=$B6504, $A$2:$A6503+$C$2:$C6503)), "")*24*60, "")</f>
        <v>0</v>
      </c>
      <c r="J6504" s="24" t="str" cm="1">
        <f t="array" ref="J6504">IFERROR(IF($B6504=J$1, ($A6504+$C6504) - MAX(IF($B$2:$B6503=$B6504, $A$2:$A6503+$C$2:$C6503)), "")*24*60, "")</f>
        <v/>
      </c>
      <c r="K6504" s="24" t="str" cm="1">
        <f t="array" ref="K6504">IFERROR(IF($B6504=K$1, ($A6504+$C6504) - MAX(IF($B$2:$B6503=$B6504, $A$2:$A6503+$C$2:$C6503)), "")*24*60, "")</f>
        <v/>
      </c>
      <c r="L6504" s="24" t="str" cm="1">
        <f t="array" ref="L6504">IFERROR(IF($B6504=L$1, ($A6504+$C6504) - MAX(IF($B$2:$B6503=$B6504, $A$2:$A6503+$C$2:$C6503)), "")*24*60, "")</f>
        <v/>
      </c>
      <c r="M6504" s="24" t="str" cm="1">
        <f t="array" ref="M6504">IFERROR(IF($B6504=M$1, ($A6504+$C6504) - MAX(IF($B$2:$B6503=$B6504, $A$2:$A6503+$C$2:$C6503)), "")*24*60, "")</f>
        <v/>
      </c>
      <c r="N6504" s="24" t="str" cm="1">
        <f t="array" ref="N6504">IFERROR(IF($B6504=N$1, ($A6504+$C6504) - MAX(IF($B$2:$B6503=$B6504, $A$2:$A6503+$C$2:$C6503)), "")*24*60, "")</f>
        <v/>
      </c>
      <c r="O6504" s="24" t="str" cm="1">
        <f t="array" ref="O6504">IFERROR(IF($B6504=O$1, ($A6504+$C6504) - MAX(IF($B$2:$B6503=$B6504, $A$2:$A6503+$C$2:$C6503)), "")*24*60, "")</f>
        <v/>
      </c>
      <c r="P6504" s="24" t="str" cm="1">
        <f t="array" ref="P6504">IFERROR(IF($B6504=P$1, ($A6504+$C6504) - MAX(IF($B$2:$B6503=$B6504, $A$2:$A6503+$C$2:$C6503)), "")*24*60, "")</f>
        <v/>
      </c>
      <c r="Q6504" s="24" t="str" cm="1">
        <f t="array" ref="Q6504">IFERROR(IF($B6504=Q$1, ($A6504+$C6504) - MAX(IF($B$2:$B6503=$B6504, $A$2:$A6503+$C$2:$C6503)), "")*24*60, "")</f>
        <v/>
      </c>
      <c r="R6504" s="24" t="str" cm="1">
        <f t="array" ref="R6504">IFERROR(IF($B6504=R$1, ($A6504+$C6504) - MAX(IF($B$2:$B6503=$B6504, $A$2:$A6503+$C$2:$C6503)), "")*24*60, "")</f>
        <v/>
      </c>
      <c r="S6504" s="24" t="str" cm="1">
        <f t="array" ref="S6504">IFERROR(IF($B6504=S$1, ($A6504+$C6504) - MAX(IF($B$2:$B6503=$B6504, $A$2:$A6503+$C$2:$C6503)), "")*24*60, "")</f>
        <v/>
      </c>
    </row>
    <row r="6505" spans="1:19" x14ac:dyDescent="0.2">
      <c r="A6505" s="12">
        <f t="shared" ref="A6505:C6505" si="1394">A6504</f>
        <v>45990</v>
      </c>
      <c r="B6505" s="5" t="str">
        <f t="shared" si="1394"/>
        <v>Northern Cardinal</v>
      </c>
      <c r="C6505" s="6">
        <f t="shared" si="1394"/>
        <v>0.28333333333333333</v>
      </c>
      <c r="D6505" s="5"/>
      <c r="E6505" s="5"/>
      <c r="F6505" s="5" t="s">
        <v>8</v>
      </c>
      <c r="G6505" s="15" t="s">
        <v>9</v>
      </c>
      <c r="H6505" s="24">
        <f t="shared" si="1251"/>
        <v>0</v>
      </c>
      <c r="I6505" s="24" cm="1">
        <f t="array" ref="I6505">IFERROR(IF($B6505=I$1, ($A6505+$C6505) - MAX(IF($B$2:$B6504=$B6505, $A$2:$A6504+$C$2:$C6504)), "")*24*60, "")</f>
        <v>0</v>
      </c>
      <c r="J6505" s="24" t="str" cm="1">
        <f t="array" ref="J6505">IFERROR(IF($B6505=J$1, ($A6505+$C6505) - MAX(IF($B$2:$B6504=$B6505, $A$2:$A6504+$C$2:$C6504)), "")*24*60, "")</f>
        <v/>
      </c>
      <c r="K6505" s="24" t="str" cm="1">
        <f t="array" ref="K6505">IFERROR(IF($B6505=K$1, ($A6505+$C6505) - MAX(IF($B$2:$B6504=$B6505, $A$2:$A6504+$C$2:$C6504)), "")*24*60, "")</f>
        <v/>
      </c>
      <c r="L6505" s="24" t="str" cm="1">
        <f t="array" ref="L6505">IFERROR(IF($B6505=L$1, ($A6505+$C6505) - MAX(IF($B$2:$B6504=$B6505, $A$2:$A6504+$C$2:$C6504)), "")*24*60, "")</f>
        <v/>
      </c>
      <c r="M6505" s="24" t="str" cm="1">
        <f t="array" ref="M6505">IFERROR(IF($B6505=M$1, ($A6505+$C6505) - MAX(IF($B$2:$B6504=$B6505, $A$2:$A6504+$C$2:$C6504)), "")*24*60, "")</f>
        <v/>
      </c>
      <c r="N6505" s="24" t="str" cm="1">
        <f t="array" ref="N6505">IFERROR(IF($B6505=N$1, ($A6505+$C6505) - MAX(IF($B$2:$B6504=$B6505, $A$2:$A6504+$C$2:$C6504)), "")*24*60, "")</f>
        <v/>
      </c>
      <c r="O6505" s="24" t="str" cm="1">
        <f t="array" ref="O6505">IFERROR(IF($B6505=O$1, ($A6505+$C6505) - MAX(IF($B$2:$B6504=$B6505, $A$2:$A6504+$C$2:$C6504)), "")*24*60, "")</f>
        <v/>
      </c>
      <c r="P6505" s="24" t="str" cm="1">
        <f t="array" ref="P6505">IFERROR(IF($B6505=P$1, ($A6505+$C6505) - MAX(IF($B$2:$B6504=$B6505, $A$2:$A6504+$C$2:$C6504)), "")*24*60, "")</f>
        <v/>
      </c>
      <c r="Q6505" s="24" t="str" cm="1">
        <f t="array" ref="Q6505">IFERROR(IF($B6505=Q$1, ($A6505+$C6505) - MAX(IF($B$2:$B6504=$B6505, $A$2:$A6504+$C$2:$C6504)), "")*24*60, "")</f>
        <v/>
      </c>
      <c r="R6505" s="24" t="str" cm="1">
        <f t="array" ref="R6505">IFERROR(IF($B6505=R$1, ($A6505+$C6505) - MAX(IF($B$2:$B6504=$B6505, $A$2:$A6504+$C$2:$C6504)), "")*24*60, "")</f>
        <v/>
      </c>
      <c r="S6505" s="24" t="str" cm="1">
        <f t="array" ref="S6505">IFERROR(IF($B6505=S$1, ($A6505+$C6505) - MAX(IF($B$2:$B6504=$B6505, $A$2:$A6504+$C$2:$C6504)), "")*24*60, "")</f>
        <v/>
      </c>
    </row>
    <row r="6506" spans="1:19" x14ac:dyDescent="0.2">
      <c r="A6506" s="12">
        <f t="shared" ref="A6506:C6506" si="1395">A6505</f>
        <v>45990</v>
      </c>
      <c r="B6506" s="5" t="str">
        <f t="shared" si="1395"/>
        <v>Northern Cardinal</v>
      </c>
      <c r="C6506" s="6">
        <f t="shared" si="1395"/>
        <v>0.28333333333333333</v>
      </c>
      <c r="D6506" s="5"/>
      <c r="E6506" s="5"/>
      <c r="F6506" s="5" t="s">
        <v>8</v>
      </c>
      <c r="G6506" s="15" t="s">
        <v>9</v>
      </c>
      <c r="H6506" s="24">
        <f t="shared" si="1251"/>
        <v>0</v>
      </c>
      <c r="I6506" s="24" cm="1">
        <f t="array" ref="I6506">IFERROR(IF($B6506=I$1, ($A6506+$C6506) - MAX(IF($B$2:$B6505=$B6506, $A$2:$A6505+$C$2:$C6505)), "")*24*60, "")</f>
        <v>0</v>
      </c>
      <c r="J6506" s="24" t="str" cm="1">
        <f t="array" ref="J6506">IFERROR(IF($B6506=J$1, ($A6506+$C6506) - MAX(IF($B$2:$B6505=$B6506, $A$2:$A6505+$C$2:$C6505)), "")*24*60, "")</f>
        <v/>
      </c>
      <c r="K6506" s="24" t="str" cm="1">
        <f t="array" ref="K6506">IFERROR(IF($B6506=K$1, ($A6506+$C6506) - MAX(IF($B$2:$B6505=$B6506, $A$2:$A6505+$C$2:$C6505)), "")*24*60, "")</f>
        <v/>
      </c>
      <c r="L6506" s="24" t="str" cm="1">
        <f t="array" ref="L6506">IFERROR(IF($B6506=L$1, ($A6506+$C6506) - MAX(IF($B$2:$B6505=$B6506, $A$2:$A6505+$C$2:$C6505)), "")*24*60, "")</f>
        <v/>
      </c>
      <c r="M6506" s="24" t="str" cm="1">
        <f t="array" ref="M6506">IFERROR(IF($B6506=M$1, ($A6506+$C6506) - MAX(IF($B$2:$B6505=$B6506, $A$2:$A6505+$C$2:$C6505)), "")*24*60, "")</f>
        <v/>
      </c>
      <c r="N6506" s="24" t="str" cm="1">
        <f t="array" ref="N6506">IFERROR(IF($B6506=N$1, ($A6506+$C6506) - MAX(IF($B$2:$B6505=$B6506, $A$2:$A6505+$C$2:$C6505)), "")*24*60, "")</f>
        <v/>
      </c>
      <c r="O6506" s="24" t="str" cm="1">
        <f t="array" ref="O6506">IFERROR(IF($B6506=O$1, ($A6506+$C6506) - MAX(IF($B$2:$B6505=$B6506, $A$2:$A6505+$C$2:$C6505)), "")*24*60, "")</f>
        <v/>
      </c>
      <c r="P6506" s="24" t="str" cm="1">
        <f t="array" ref="P6506">IFERROR(IF($B6506=P$1, ($A6506+$C6506) - MAX(IF($B$2:$B6505=$B6506, $A$2:$A6505+$C$2:$C6505)), "")*24*60, "")</f>
        <v/>
      </c>
      <c r="Q6506" s="24" t="str" cm="1">
        <f t="array" ref="Q6506">IFERROR(IF($B6506=Q$1, ($A6506+$C6506) - MAX(IF($B$2:$B6505=$B6506, $A$2:$A6505+$C$2:$C6505)), "")*24*60, "")</f>
        <v/>
      </c>
      <c r="R6506" s="24" t="str" cm="1">
        <f t="array" ref="R6506">IFERROR(IF($B6506=R$1, ($A6506+$C6506) - MAX(IF($B$2:$B6505=$B6506, $A$2:$A6505+$C$2:$C6505)), "")*24*60, "")</f>
        <v/>
      </c>
      <c r="S6506" s="24" t="str" cm="1">
        <f t="array" ref="S6506">IFERROR(IF($B6506=S$1, ($A6506+$C6506) - MAX(IF($B$2:$B6505=$B6506, $A$2:$A6505+$C$2:$C6505)), "")*24*60, "")</f>
        <v/>
      </c>
    </row>
    <row r="6507" spans="1:19" x14ac:dyDescent="0.2">
      <c r="A6507" s="12">
        <f t="shared" ref="A6507:C6507" si="1396">A6506</f>
        <v>45990</v>
      </c>
      <c r="B6507" s="5" t="str">
        <f t="shared" si="1396"/>
        <v>Northern Cardinal</v>
      </c>
      <c r="C6507" s="6">
        <f t="shared" si="1396"/>
        <v>0.28333333333333333</v>
      </c>
      <c r="D6507" s="5"/>
      <c r="E6507" s="5"/>
      <c r="F6507" s="5" t="s">
        <v>8</v>
      </c>
      <c r="G6507" s="15" t="s">
        <v>9</v>
      </c>
      <c r="H6507" s="24">
        <f t="shared" si="1251"/>
        <v>0</v>
      </c>
      <c r="I6507" s="24" cm="1">
        <f t="array" ref="I6507">IFERROR(IF($B6507=I$1, ($A6507+$C6507) - MAX(IF($B$2:$B6506=$B6507, $A$2:$A6506+$C$2:$C6506)), "")*24*60, "")</f>
        <v>0</v>
      </c>
      <c r="J6507" s="24" t="str" cm="1">
        <f t="array" ref="J6507">IFERROR(IF($B6507=J$1, ($A6507+$C6507) - MAX(IF($B$2:$B6506=$B6507, $A$2:$A6506+$C$2:$C6506)), "")*24*60, "")</f>
        <v/>
      </c>
      <c r="K6507" s="24" t="str" cm="1">
        <f t="array" ref="K6507">IFERROR(IF($B6507=K$1, ($A6507+$C6507) - MAX(IF($B$2:$B6506=$B6507, $A$2:$A6506+$C$2:$C6506)), "")*24*60, "")</f>
        <v/>
      </c>
      <c r="L6507" s="24" t="str" cm="1">
        <f t="array" ref="L6507">IFERROR(IF($B6507=L$1, ($A6507+$C6507) - MAX(IF($B$2:$B6506=$B6507, $A$2:$A6506+$C$2:$C6506)), "")*24*60, "")</f>
        <v/>
      </c>
      <c r="M6507" s="24" t="str" cm="1">
        <f t="array" ref="M6507">IFERROR(IF($B6507=M$1, ($A6507+$C6507) - MAX(IF($B$2:$B6506=$B6507, $A$2:$A6506+$C$2:$C6506)), "")*24*60, "")</f>
        <v/>
      </c>
      <c r="N6507" s="24" t="str" cm="1">
        <f t="array" ref="N6507">IFERROR(IF($B6507=N$1, ($A6507+$C6507) - MAX(IF($B$2:$B6506=$B6507, $A$2:$A6506+$C$2:$C6506)), "")*24*60, "")</f>
        <v/>
      </c>
      <c r="O6507" s="24" t="str" cm="1">
        <f t="array" ref="O6507">IFERROR(IF($B6507=O$1, ($A6507+$C6507) - MAX(IF($B$2:$B6506=$B6507, $A$2:$A6506+$C$2:$C6506)), "")*24*60, "")</f>
        <v/>
      </c>
      <c r="P6507" s="24" t="str" cm="1">
        <f t="array" ref="P6507">IFERROR(IF($B6507=P$1, ($A6507+$C6507) - MAX(IF($B$2:$B6506=$B6507, $A$2:$A6506+$C$2:$C6506)), "")*24*60, "")</f>
        <v/>
      </c>
      <c r="Q6507" s="24" t="str" cm="1">
        <f t="array" ref="Q6507">IFERROR(IF($B6507=Q$1, ($A6507+$C6507) - MAX(IF($B$2:$B6506=$B6507, $A$2:$A6506+$C$2:$C6506)), "")*24*60, "")</f>
        <v/>
      </c>
      <c r="R6507" s="24" t="str" cm="1">
        <f t="array" ref="R6507">IFERROR(IF($B6507=R$1, ($A6507+$C6507) - MAX(IF($B$2:$B6506=$B6507, $A$2:$A6506+$C$2:$C6506)), "")*24*60, "")</f>
        <v/>
      </c>
      <c r="S6507" s="24" t="str" cm="1">
        <f t="array" ref="S6507">IFERROR(IF($B6507=S$1, ($A6507+$C6507) - MAX(IF($B$2:$B6506=$B6507, $A$2:$A6506+$C$2:$C6506)), "")*24*60, "")</f>
        <v/>
      </c>
    </row>
    <row r="6508" spans="1:19" x14ac:dyDescent="0.2">
      <c r="A6508" s="12">
        <f t="shared" ref="A6508:C6508" si="1397">A6507</f>
        <v>45990</v>
      </c>
      <c r="B6508" s="5" t="str">
        <f t="shared" si="1397"/>
        <v>Northern Cardinal</v>
      </c>
      <c r="C6508" s="6">
        <f t="shared" si="1397"/>
        <v>0.28333333333333333</v>
      </c>
      <c r="D6508" s="5"/>
      <c r="E6508" s="5"/>
      <c r="F6508" s="5" t="s">
        <v>8</v>
      </c>
      <c r="G6508" s="15" t="s">
        <v>9</v>
      </c>
      <c r="H6508" s="24">
        <f t="shared" si="1251"/>
        <v>0</v>
      </c>
      <c r="I6508" s="24" cm="1">
        <f t="array" ref="I6508">IFERROR(IF($B6508=I$1, ($A6508+$C6508) - MAX(IF($B$2:$B6507=$B6508, $A$2:$A6507+$C$2:$C6507)), "")*24*60, "")</f>
        <v>0</v>
      </c>
      <c r="J6508" s="24" t="str" cm="1">
        <f t="array" ref="J6508">IFERROR(IF($B6508=J$1, ($A6508+$C6508) - MAX(IF($B$2:$B6507=$B6508, $A$2:$A6507+$C$2:$C6507)), "")*24*60, "")</f>
        <v/>
      </c>
      <c r="K6508" s="24" t="str" cm="1">
        <f t="array" ref="K6508">IFERROR(IF($B6508=K$1, ($A6508+$C6508) - MAX(IF($B$2:$B6507=$B6508, $A$2:$A6507+$C$2:$C6507)), "")*24*60, "")</f>
        <v/>
      </c>
      <c r="L6508" s="24" t="str" cm="1">
        <f t="array" ref="L6508">IFERROR(IF($B6508=L$1, ($A6508+$C6508) - MAX(IF($B$2:$B6507=$B6508, $A$2:$A6507+$C$2:$C6507)), "")*24*60, "")</f>
        <v/>
      </c>
      <c r="M6508" s="24" t="str" cm="1">
        <f t="array" ref="M6508">IFERROR(IF($B6508=M$1, ($A6508+$C6508) - MAX(IF($B$2:$B6507=$B6508, $A$2:$A6507+$C$2:$C6507)), "")*24*60, "")</f>
        <v/>
      </c>
      <c r="N6508" s="24" t="str" cm="1">
        <f t="array" ref="N6508">IFERROR(IF($B6508=N$1, ($A6508+$C6508) - MAX(IF($B$2:$B6507=$B6508, $A$2:$A6507+$C$2:$C6507)), "")*24*60, "")</f>
        <v/>
      </c>
      <c r="O6508" s="24" t="str" cm="1">
        <f t="array" ref="O6508">IFERROR(IF($B6508=O$1, ($A6508+$C6508) - MAX(IF($B$2:$B6507=$B6508, $A$2:$A6507+$C$2:$C6507)), "")*24*60, "")</f>
        <v/>
      </c>
      <c r="P6508" s="24" t="str" cm="1">
        <f t="array" ref="P6508">IFERROR(IF($B6508=P$1, ($A6508+$C6508) - MAX(IF($B$2:$B6507=$B6508, $A$2:$A6507+$C$2:$C6507)), "")*24*60, "")</f>
        <v/>
      </c>
      <c r="Q6508" s="24" t="str" cm="1">
        <f t="array" ref="Q6508">IFERROR(IF($B6508=Q$1, ($A6508+$C6508) - MAX(IF($B$2:$B6507=$B6508, $A$2:$A6507+$C$2:$C6507)), "")*24*60, "")</f>
        <v/>
      </c>
      <c r="R6508" s="24" t="str" cm="1">
        <f t="array" ref="R6508">IFERROR(IF($B6508=R$1, ($A6508+$C6508) - MAX(IF($B$2:$B6507=$B6508, $A$2:$A6507+$C$2:$C6507)), "")*24*60, "")</f>
        <v/>
      </c>
      <c r="S6508" s="24" t="str" cm="1">
        <f t="array" ref="S6508">IFERROR(IF($B6508=S$1, ($A6508+$C6508) - MAX(IF($B$2:$B6507=$B6508, $A$2:$A6507+$C$2:$C6507)), "")*24*60, "")</f>
        <v/>
      </c>
    </row>
    <row r="6509" spans="1:19" x14ac:dyDescent="0.2">
      <c r="A6509" s="12">
        <f t="shared" ref="A6509:C6509" si="1398">A6508</f>
        <v>45990</v>
      </c>
      <c r="B6509" s="5" t="str">
        <f t="shared" si="1398"/>
        <v>Northern Cardinal</v>
      </c>
      <c r="C6509" s="6">
        <f t="shared" si="1398"/>
        <v>0.28333333333333333</v>
      </c>
      <c r="D6509" s="5"/>
      <c r="E6509" s="5"/>
      <c r="F6509" s="5" t="s">
        <v>8</v>
      </c>
      <c r="G6509" s="15" t="s">
        <v>9</v>
      </c>
      <c r="H6509" s="24">
        <f t="shared" si="1251"/>
        <v>0</v>
      </c>
      <c r="I6509" s="24" cm="1">
        <f t="array" ref="I6509">IFERROR(IF($B6509=I$1, ($A6509+$C6509) - MAX(IF($B$2:$B6508=$B6509, $A$2:$A6508+$C$2:$C6508)), "")*24*60, "")</f>
        <v>0</v>
      </c>
      <c r="J6509" s="24" t="str" cm="1">
        <f t="array" ref="J6509">IFERROR(IF($B6509=J$1, ($A6509+$C6509) - MAX(IF($B$2:$B6508=$B6509, $A$2:$A6508+$C$2:$C6508)), "")*24*60, "")</f>
        <v/>
      </c>
      <c r="K6509" s="24" t="str" cm="1">
        <f t="array" ref="K6509">IFERROR(IF($B6509=K$1, ($A6509+$C6509) - MAX(IF($B$2:$B6508=$B6509, $A$2:$A6508+$C$2:$C6508)), "")*24*60, "")</f>
        <v/>
      </c>
      <c r="L6509" s="24" t="str" cm="1">
        <f t="array" ref="L6509">IFERROR(IF($B6509=L$1, ($A6509+$C6509) - MAX(IF($B$2:$B6508=$B6509, $A$2:$A6508+$C$2:$C6508)), "")*24*60, "")</f>
        <v/>
      </c>
      <c r="M6509" s="24" t="str" cm="1">
        <f t="array" ref="M6509">IFERROR(IF($B6509=M$1, ($A6509+$C6509) - MAX(IF($B$2:$B6508=$B6509, $A$2:$A6508+$C$2:$C6508)), "")*24*60, "")</f>
        <v/>
      </c>
      <c r="N6509" s="24" t="str" cm="1">
        <f t="array" ref="N6509">IFERROR(IF($B6509=N$1, ($A6509+$C6509) - MAX(IF($B$2:$B6508=$B6509, $A$2:$A6508+$C$2:$C6508)), "")*24*60, "")</f>
        <v/>
      </c>
      <c r="O6509" s="24" t="str" cm="1">
        <f t="array" ref="O6509">IFERROR(IF($B6509=O$1, ($A6509+$C6509) - MAX(IF($B$2:$B6508=$B6509, $A$2:$A6508+$C$2:$C6508)), "")*24*60, "")</f>
        <v/>
      </c>
      <c r="P6509" s="24" t="str" cm="1">
        <f t="array" ref="P6509">IFERROR(IF($B6509=P$1, ($A6509+$C6509) - MAX(IF($B$2:$B6508=$B6509, $A$2:$A6508+$C$2:$C6508)), "")*24*60, "")</f>
        <v/>
      </c>
      <c r="Q6509" s="24" t="str" cm="1">
        <f t="array" ref="Q6509">IFERROR(IF($B6509=Q$1, ($A6509+$C6509) - MAX(IF($B$2:$B6508=$B6509, $A$2:$A6508+$C$2:$C6508)), "")*24*60, "")</f>
        <v/>
      </c>
      <c r="R6509" s="24" t="str" cm="1">
        <f t="array" ref="R6509">IFERROR(IF($B6509=R$1, ($A6509+$C6509) - MAX(IF($B$2:$B6508=$B6509, $A$2:$A6508+$C$2:$C6508)), "")*24*60, "")</f>
        <v/>
      </c>
      <c r="S6509" s="24" t="str" cm="1">
        <f t="array" ref="S6509">IFERROR(IF($B6509=S$1, ($A6509+$C6509) - MAX(IF($B$2:$B6508=$B6509, $A$2:$A6508+$C$2:$C6508)), "")*24*60, "")</f>
        <v/>
      </c>
    </row>
    <row r="6510" spans="1:19" x14ac:dyDescent="0.2">
      <c r="A6510" s="12">
        <f t="shared" ref="A6510:C6510" si="1399">A6509</f>
        <v>45990</v>
      </c>
      <c r="B6510" s="5" t="str">
        <f t="shared" si="1399"/>
        <v>Northern Cardinal</v>
      </c>
      <c r="C6510" s="6">
        <f t="shared" si="1399"/>
        <v>0.28333333333333333</v>
      </c>
      <c r="D6510" s="5"/>
      <c r="E6510" s="5"/>
      <c r="F6510" s="5" t="s">
        <v>8</v>
      </c>
      <c r="G6510" s="15" t="s">
        <v>9</v>
      </c>
      <c r="H6510" s="24">
        <f t="shared" si="1251"/>
        <v>0</v>
      </c>
      <c r="I6510" s="24" cm="1">
        <f t="array" ref="I6510">IFERROR(IF($B6510=I$1, ($A6510+$C6510) - MAX(IF($B$2:$B6509=$B6510, $A$2:$A6509+$C$2:$C6509)), "")*24*60, "")</f>
        <v>0</v>
      </c>
      <c r="J6510" s="24" t="str" cm="1">
        <f t="array" ref="J6510">IFERROR(IF($B6510=J$1, ($A6510+$C6510) - MAX(IF($B$2:$B6509=$B6510, $A$2:$A6509+$C$2:$C6509)), "")*24*60, "")</f>
        <v/>
      </c>
      <c r="K6510" s="24" t="str" cm="1">
        <f t="array" ref="K6510">IFERROR(IF($B6510=K$1, ($A6510+$C6510) - MAX(IF($B$2:$B6509=$B6510, $A$2:$A6509+$C$2:$C6509)), "")*24*60, "")</f>
        <v/>
      </c>
      <c r="L6510" s="24" t="str" cm="1">
        <f t="array" ref="L6510">IFERROR(IF($B6510=L$1, ($A6510+$C6510) - MAX(IF($B$2:$B6509=$B6510, $A$2:$A6509+$C$2:$C6509)), "")*24*60, "")</f>
        <v/>
      </c>
      <c r="M6510" s="24" t="str" cm="1">
        <f t="array" ref="M6510">IFERROR(IF($B6510=M$1, ($A6510+$C6510) - MAX(IF($B$2:$B6509=$B6510, $A$2:$A6509+$C$2:$C6509)), "")*24*60, "")</f>
        <v/>
      </c>
      <c r="N6510" s="24" t="str" cm="1">
        <f t="array" ref="N6510">IFERROR(IF($B6510=N$1, ($A6510+$C6510) - MAX(IF($B$2:$B6509=$B6510, $A$2:$A6509+$C$2:$C6509)), "")*24*60, "")</f>
        <v/>
      </c>
      <c r="O6510" s="24" t="str" cm="1">
        <f t="array" ref="O6510">IFERROR(IF($B6510=O$1, ($A6510+$C6510) - MAX(IF($B$2:$B6509=$B6510, $A$2:$A6509+$C$2:$C6509)), "")*24*60, "")</f>
        <v/>
      </c>
      <c r="P6510" s="24" t="str" cm="1">
        <f t="array" ref="P6510">IFERROR(IF($B6510=P$1, ($A6510+$C6510) - MAX(IF($B$2:$B6509=$B6510, $A$2:$A6509+$C$2:$C6509)), "")*24*60, "")</f>
        <v/>
      </c>
      <c r="Q6510" s="24" t="str" cm="1">
        <f t="array" ref="Q6510">IFERROR(IF($B6510=Q$1, ($A6510+$C6510) - MAX(IF($B$2:$B6509=$B6510, $A$2:$A6509+$C$2:$C6509)), "")*24*60, "")</f>
        <v/>
      </c>
      <c r="R6510" s="24" t="str" cm="1">
        <f t="array" ref="R6510">IFERROR(IF($B6510=R$1, ($A6510+$C6510) - MAX(IF($B$2:$B6509=$B6510, $A$2:$A6509+$C$2:$C6509)), "")*24*60, "")</f>
        <v/>
      </c>
      <c r="S6510" s="24" t="str" cm="1">
        <f t="array" ref="S6510">IFERROR(IF($B6510=S$1, ($A6510+$C6510) - MAX(IF($B$2:$B6509=$B6510, $A$2:$A6509+$C$2:$C6509)), "")*24*60, "")</f>
        <v/>
      </c>
    </row>
    <row r="6511" spans="1:19" x14ac:dyDescent="0.2">
      <c r="A6511" s="12">
        <f t="shared" ref="A6511:C6511" si="1400">A6510</f>
        <v>45990</v>
      </c>
      <c r="B6511" s="5" t="str">
        <f t="shared" si="1400"/>
        <v>Northern Cardinal</v>
      </c>
      <c r="C6511" s="6">
        <f t="shared" si="1400"/>
        <v>0.28333333333333333</v>
      </c>
      <c r="D6511" s="5"/>
      <c r="E6511" s="5"/>
      <c r="F6511" s="5" t="s">
        <v>8</v>
      </c>
      <c r="G6511" s="15" t="s">
        <v>9</v>
      </c>
      <c r="H6511" s="24">
        <f t="shared" si="1251"/>
        <v>0</v>
      </c>
      <c r="I6511" s="24" cm="1">
        <f t="array" ref="I6511">IFERROR(IF($B6511=I$1, ($A6511+$C6511) - MAX(IF($B$2:$B6510=$B6511, $A$2:$A6510+$C$2:$C6510)), "")*24*60, "")</f>
        <v>0</v>
      </c>
      <c r="J6511" s="24" t="str" cm="1">
        <f t="array" ref="J6511">IFERROR(IF($B6511=J$1, ($A6511+$C6511) - MAX(IF($B$2:$B6510=$B6511, $A$2:$A6510+$C$2:$C6510)), "")*24*60, "")</f>
        <v/>
      </c>
      <c r="K6511" s="24" t="str" cm="1">
        <f t="array" ref="K6511">IFERROR(IF($B6511=K$1, ($A6511+$C6511) - MAX(IF($B$2:$B6510=$B6511, $A$2:$A6510+$C$2:$C6510)), "")*24*60, "")</f>
        <v/>
      </c>
      <c r="L6511" s="24" t="str" cm="1">
        <f t="array" ref="L6511">IFERROR(IF($B6511=L$1, ($A6511+$C6511) - MAX(IF($B$2:$B6510=$B6511, $A$2:$A6510+$C$2:$C6510)), "")*24*60, "")</f>
        <v/>
      </c>
      <c r="M6511" s="24" t="str" cm="1">
        <f t="array" ref="M6511">IFERROR(IF($B6511=M$1, ($A6511+$C6511) - MAX(IF($B$2:$B6510=$B6511, $A$2:$A6510+$C$2:$C6510)), "")*24*60, "")</f>
        <v/>
      </c>
      <c r="N6511" s="24" t="str" cm="1">
        <f t="array" ref="N6511">IFERROR(IF($B6511=N$1, ($A6511+$C6511) - MAX(IF($B$2:$B6510=$B6511, $A$2:$A6510+$C$2:$C6510)), "")*24*60, "")</f>
        <v/>
      </c>
      <c r="O6511" s="24" t="str" cm="1">
        <f t="array" ref="O6511">IFERROR(IF($B6511=O$1, ($A6511+$C6511) - MAX(IF($B$2:$B6510=$B6511, $A$2:$A6510+$C$2:$C6510)), "")*24*60, "")</f>
        <v/>
      </c>
      <c r="P6511" s="24" t="str" cm="1">
        <f t="array" ref="P6511">IFERROR(IF($B6511=P$1, ($A6511+$C6511) - MAX(IF($B$2:$B6510=$B6511, $A$2:$A6510+$C$2:$C6510)), "")*24*60, "")</f>
        <v/>
      </c>
      <c r="Q6511" s="24" t="str" cm="1">
        <f t="array" ref="Q6511">IFERROR(IF($B6511=Q$1, ($A6511+$C6511) - MAX(IF($B$2:$B6510=$B6511, $A$2:$A6510+$C$2:$C6510)), "")*24*60, "")</f>
        <v/>
      </c>
      <c r="R6511" s="24" t="str" cm="1">
        <f t="array" ref="R6511">IFERROR(IF($B6511=R$1, ($A6511+$C6511) - MAX(IF($B$2:$B6510=$B6511, $A$2:$A6510+$C$2:$C6510)), "")*24*60, "")</f>
        <v/>
      </c>
      <c r="S6511" s="24" t="str" cm="1">
        <f t="array" ref="S6511">IFERROR(IF($B6511=S$1, ($A6511+$C6511) - MAX(IF($B$2:$B6510=$B6511, $A$2:$A6510+$C$2:$C6510)), "")*24*60, "")</f>
        <v/>
      </c>
    </row>
    <row r="6512" spans="1:19" x14ac:dyDescent="0.2">
      <c r="A6512" s="12">
        <f t="shared" ref="A6512:C6512" si="1401">A6511</f>
        <v>45990</v>
      </c>
      <c r="B6512" s="5" t="str">
        <f t="shared" si="1401"/>
        <v>Northern Cardinal</v>
      </c>
      <c r="C6512" s="6">
        <f t="shared" si="1401"/>
        <v>0.28333333333333333</v>
      </c>
      <c r="D6512" s="5"/>
      <c r="E6512" s="5"/>
      <c r="F6512" s="5" t="s">
        <v>8</v>
      </c>
      <c r="G6512" s="15" t="s">
        <v>9</v>
      </c>
      <c r="H6512" s="24">
        <f t="shared" si="1251"/>
        <v>0</v>
      </c>
      <c r="I6512" s="24" cm="1">
        <f t="array" ref="I6512">IFERROR(IF($B6512=I$1, ($A6512+$C6512) - MAX(IF($B$2:$B6511=$B6512, $A$2:$A6511+$C$2:$C6511)), "")*24*60, "")</f>
        <v>0</v>
      </c>
      <c r="J6512" s="24" t="str" cm="1">
        <f t="array" ref="J6512">IFERROR(IF($B6512=J$1, ($A6512+$C6512) - MAX(IF($B$2:$B6511=$B6512, $A$2:$A6511+$C$2:$C6511)), "")*24*60, "")</f>
        <v/>
      </c>
      <c r="K6512" s="24" t="str" cm="1">
        <f t="array" ref="K6512">IFERROR(IF($B6512=K$1, ($A6512+$C6512) - MAX(IF($B$2:$B6511=$B6512, $A$2:$A6511+$C$2:$C6511)), "")*24*60, "")</f>
        <v/>
      </c>
      <c r="L6512" s="24" t="str" cm="1">
        <f t="array" ref="L6512">IFERROR(IF($B6512=L$1, ($A6512+$C6512) - MAX(IF($B$2:$B6511=$B6512, $A$2:$A6511+$C$2:$C6511)), "")*24*60, "")</f>
        <v/>
      </c>
      <c r="M6512" s="24" t="str" cm="1">
        <f t="array" ref="M6512">IFERROR(IF($B6512=M$1, ($A6512+$C6512) - MAX(IF($B$2:$B6511=$B6512, $A$2:$A6511+$C$2:$C6511)), "")*24*60, "")</f>
        <v/>
      </c>
      <c r="N6512" s="24" t="str" cm="1">
        <f t="array" ref="N6512">IFERROR(IF($B6512=N$1, ($A6512+$C6512) - MAX(IF($B$2:$B6511=$B6512, $A$2:$A6511+$C$2:$C6511)), "")*24*60, "")</f>
        <v/>
      </c>
      <c r="O6512" s="24" t="str" cm="1">
        <f t="array" ref="O6512">IFERROR(IF($B6512=O$1, ($A6512+$C6512) - MAX(IF($B$2:$B6511=$B6512, $A$2:$A6511+$C$2:$C6511)), "")*24*60, "")</f>
        <v/>
      </c>
      <c r="P6512" s="24" t="str" cm="1">
        <f t="array" ref="P6512">IFERROR(IF($B6512=P$1, ($A6512+$C6512) - MAX(IF($B$2:$B6511=$B6512, $A$2:$A6511+$C$2:$C6511)), "")*24*60, "")</f>
        <v/>
      </c>
      <c r="Q6512" s="24" t="str" cm="1">
        <f t="array" ref="Q6512">IFERROR(IF($B6512=Q$1, ($A6512+$C6512) - MAX(IF($B$2:$B6511=$B6512, $A$2:$A6511+$C$2:$C6511)), "")*24*60, "")</f>
        <v/>
      </c>
      <c r="R6512" s="24" t="str" cm="1">
        <f t="array" ref="R6512">IFERROR(IF($B6512=R$1, ($A6512+$C6512) - MAX(IF($B$2:$B6511=$B6512, $A$2:$A6511+$C$2:$C6511)), "")*24*60, "")</f>
        <v/>
      </c>
      <c r="S6512" s="24" t="str" cm="1">
        <f t="array" ref="S6512">IFERROR(IF($B6512=S$1, ($A6512+$C6512) - MAX(IF($B$2:$B6511=$B6512, $A$2:$A6511+$C$2:$C6511)), "")*24*60, "")</f>
        <v/>
      </c>
    </row>
    <row r="6513" spans="1:19" x14ac:dyDescent="0.2">
      <c r="A6513" s="12">
        <f t="shared" ref="A6513:C6513" si="1402">A6512</f>
        <v>45990</v>
      </c>
      <c r="B6513" s="5" t="str">
        <f t="shared" si="1402"/>
        <v>Northern Cardinal</v>
      </c>
      <c r="C6513" s="6">
        <f t="shared" si="1402"/>
        <v>0.28333333333333333</v>
      </c>
      <c r="D6513" s="5"/>
      <c r="E6513" s="5"/>
      <c r="F6513" s="5" t="s">
        <v>8</v>
      </c>
      <c r="G6513" s="15" t="s">
        <v>9</v>
      </c>
      <c r="H6513" s="24">
        <f t="shared" si="1251"/>
        <v>0</v>
      </c>
      <c r="I6513" s="24" cm="1">
        <f t="array" ref="I6513">IFERROR(IF($B6513=I$1, ($A6513+$C6513) - MAX(IF($B$2:$B6512=$B6513, $A$2:$A6512+$C$2:$C6512)), "")*24*60, "")</f>
        <v>0</v>
      </c>
      <c r="J6513" s="24" t="str" cm="1">
        <f t="array" ref="J6513">IFERROR(IF($B6513=J$1, ($A6513+$C6513) - MAX(IF($B$2:$B6512=$B6513, $A$2:$A6512+$C$2:$C6512)), "")*24*60, "")</f>
        <v/>
      </c>
      <c r="K6513" s="24" t="str" cm="1">
        <f t="array" ref="K6513">IFERROR(IF($B6513=K$1, ($A6513+$C6513) - MAX(IF($B$2:$B6512=$B6513, $A$2:$A6512+$C$2:$C6512)), "")*24*60, "")</f>
        <v/>
      </c>
      <c r="L6513" s="24" t="str" cm="1">
        <f t="array" ref="L6513">IFERROR(IF($B6513=L$1, ($A6513+$C6513) - MAX(IF($B$2:$B6512=$B6513, $A$2:$A6512+$C$2:$C6512)), "")*24*60, "")</f>
        <v/>
      </c>
      <c r="M6513" s="24" t="str" cm="1">
        <f t="array" ref="M6513">IFERROR(IF($B6513=M$1, ($A6513+$C6513) - MAX(IF($B$2:$B6512=$B6513, $A$2:$A6512+$C$2:$C6512)), "")*24*60, "")</f>
        <v/>
      </c>
      <c r="N6513" s="24" t="str" cm="1">
        <f t="array" ref="N6513">IFERROR(IF($B6513=N$1, ($A6513+$C6513) - MAX(IF($B$2:$B6512=$B6513, $A$2:$A6512+$C$2:$C6512)), "")*24*60, "")</f>
        <v/>
      </c>
      <c r="O6513" s="24" t="str" cm="1">
        <f t="array" ref="O6513">IFERROR(IF($B6513=O$1, ($A6513+$C6513) - MAX(IF($B$2:$B6512=$B6513, $A$2:$A6512+$C$2:$C6512)), "")*24*60, "")</f>
        <v/>
      </c>
      <c r="P6513" s="24" t="str" cm="1">
        <f t="array" ref="P6513">IFERROR(IF($B6513=P$1, ($A6513+$C6513) - MAX(IF($B$2:$B6512=$B6513, $A$2:$A6512+$C$2:$C6512)), "")*24*60, "")</f>
        <v/>
      </c>
      <c r="Q6513" s="24" t="str" cm="1">
        <f t="array" ref="Q6513">IFERROR(IF($B6513=Q$1, ($A6513+$C6513) - MAX(IF($B$2:$B6512=$B6513, $A$2:$A6512+$C$2:$C6512)), "")*24*60, "")</f>
        <v/>
      </c>
      <c r="R6513" s="24" t="str" cm="1">
        <f t="array" ref="R6513">IFERROR(IF($B6513=R$1, ($A6513+$C6513) - MAX(IF($B$2:$B6512=$B6513, $A$2:$A6512+$C$2:$C6512)), "")*24*60, "")</f>
        <v/>
      </c>
      <c r="S6513" s="24" t="str" cm="1">
        <f t="array" ref="S6513">IFERROR(IF($B6513=S$1, ($A6513+$C6513) - MAX(IF($B$2:$B6512=$B6513, $A$2:$A6512+$C$2:$C6512)), "")*24*60, "")</f>
        <v/>
      </c>
    </row>
    <row r="6514" spans="1:19" x14ac:dyDescent="0.2">
      <c r="A6514" s="12">
        <f t="shared" ref="A6514:C6514" si="1403">A6513</f>
        <v>45990</v>
      </c>
      <c r="B6514" s="5" t="str">
        <f t="shared" si="1403"/>
        <v>Northern Cardinal</v>
      </c>
      <c r="C6514" s="6">
        <f t="shared" si="1403"/>
        <v>0.28333333333333333</v>
      </c>
      <c r="D6514" s="5"/>
      <c r="E6514" s="5"/>
      <c r="F6514" s="5" t="s">
        <v>8</v>
      </c>
      <c r="G6514" s="15" t="s">
        <v>9</v>
      </c>
      <c r="H6514" s="24">
        <f t="shared" si="1251"/>
        <v>0</v>
      </c>
      <c r="I6514" s="24" cm="1">
        <f t="array" ref="I6514">IFERROR(IF($B6514=I$1, ($A6514+$C6514) - MAX(IF($B$2:$B6513=$B6514, $A$2:$A6513+$C$2:$C6513)), "")*24*60, "")</f>
        <v>0</v>
      </c>
      <c r="J6514" s="24" t="str" cm="1">
        <f t="array" ref="J6514">IFERROR(IF($B6514=J$1, ($A6514+$C6514) - MAX(IF($B$2:$B6513=$B6514, $A$2:$A6513+$C$2:$C6513)), "")*24*60, "")</f>
        <v/>
      </c>
      <c r="K6514" s="24" t="str" cm="1">
        <f t="array" ref="K6514">IFERROR(IF($B6514=K$1, ($A6514+$C6514) - MAX(IF($B$2:$B6513=$B6514, $A$2:$A6513+$C$2:$C6513)), "")*24*60, "")</f>
        <v/>
      </c>
      <c r="L6514" s="24" t="str" cm="1">
        <f t="array" ref="L6514">IFERROR(IF($B6514=L$1, ($A6514+$C6514) - MAX(IF($B$2:$B6513=$B6514, $A$2:$A6513+$C$2:$C6513)), "")*24*60, "")</f>
        <v/>
      </c>
      <c r="M6514" s="24" t="str" cm="1">
        <f t="array" ref="M6514">IFERROR(IF($B6514=M$1, ($A6514+$C6514) - MAX(IF($B$2:$B6513=$B6514, $A$2:$A6513+$C$2:$C6513)), "")*24*60, "")</f>
        <v/>
      </c>
      <c r="N6514" s="24" t="str" cm="1">
        <f t="array" ref="N6514">IFERROR(IF($B6514=N$1, ($A6514+$C6514) - MAX(IF($B$2:$B6513=$B6514, $A$2:$A6513+$C$2:$C6513)), "")*24*60, "")</f>
        <v/>
      </c>
      <c r="O6514" s="24" t="str" cm="1">
        <f t="array" ref="O6514">IFERROR(IF($B6514=O$1, ($A6514+$C6514) - MAX(IF($B$2:$B6513=$B6514, $A$2:$A6513+$C$2:$C6513)), "")*24*60, "")</f>
        <v/>
      </c>
      <c r="P6514" s="24" t="str" cm="1">
        <f t="array" ref="P6514">IFERROR(IF($B6514=P$1, ($A6514+$C6514) - MAX(IF($B$2:$B6513=$B6514, $A$2:$A6513+$C$2:$C6513)), "")*24*60, "")</f>
        <v/>
      </c>
      <c r="Q6514" s="24" t="str" cm="1">
        <f t="array" ref="Q6514">IFERROR(IF($B6514=Q$1, ($A6514+$C6514) - MAX(IF($B$2:$B6513=$B6514, $A$2:$A6513+$C$2:$C6513)), "")*24*60, "")</f>
        <v/>
      </c>
      <c r="R6514" s="24" t="str" cm="1">
        <f t="array" ref="R6514">IFERROR(IF($B6514=R$1, ($A6514+$C6514) - MAX(IF($B$2:$B6513=$B6514, $A$2:$A6513+$C$2:$C6513)), "")*24*60, "")</f>
        <v/>
      </c>
      <c r="S6514" s="24" t="str" cm="1">
        <f t="array" ref="S6514">IFERROR(IF($B6514=S$1, ($A6514+$C6514) - MAX(IF($B$2:$B6513=$B6514, $A$2:$A6513+$C$2:$C6513)), "")*24*60, "")</f>
        <v/>
      </c>
    </row>
    <row r="6515" spans="1:19" x14ac:dyDescent="0.2">
      <c r="A6515" s="12">
        <f t="shared" ref="A6515:C6515" si="1404">A6514</f>
        <v>45990</v>
      </c>
      <c r="B6515" s="5" t="str">
        <f t="shared" si="1404"/>
        <v>Northern Cardinal</v>
      </c>
      <c r="C6515" s="6">
        <f t="shared" si="1404"/>
        <v>0.28333333333333333</v>
      </c>
      <c r="D6515" s="5"/>
      <c r="E6515" s="5"/>
      <c r="F6515" s="5" t="s">
        <v>8</v>
      </c>
      <c r="G6515" s="15" t="s">
        <v>9</v>
      </c>
      <c r="H6515" s="24">
        <f t="shared" si="1251"/>
        <v>0</v>
      </c>
      <c r="I6515" s="24" cm="1">
        <f t="array" ref="I6515">IFERROR(IF($B6515=I$1, ($A6515+$C6515) - MAX(IF($B$2:$B6514=$B6515, $A$2:$A6514+$C$2:$C6514)), "")*24*60, "")</f>
        <v>0</v>
      </c>
      <c r="J6515" s="24" t="str" cm="1">
        <f t="array" ref="J6515">IFERROR(IF($B6515=J$1, ($A6515+$C6515) - MAX(IF($B$2:$B6514=$B6515, $A$2:$A6514+$C$2:$C6514)), "")*24*60, "")</f>
        <v/>
      </c>
      <c r="K6515" s="24" t="str" cm="1">
        <f t="array" ref="K6515">IFERROR(IF($B6515=K$1, ($A6515+$C6515) - MAX(IF($B$2:$B6514=$B6515, $A$2:$A6514+$C$2:$C6514)), "")*24*60, "")</f>
        <v/>
      </c>
      <c r="L6515" s="24" t="str" cm="1">
        <f t="array" ref="L6515">IFERROR(IF($B6515=L$1, ($A6515+$C6515) - MAX(IF($B$2:$B6514=$B6515, $A$2:$A6514+$C$2:$C6514)), "")*24*60, "")</f>
        <v/>
      </c>
      <c r="M6515" s="24" t="str" cm="1">
        <f t="array" ref="M6515">IFERROR(IF($B6515=M$1, ($A6515+$C6515) - MAX(IF($B$2:$B6514=$B6515, $A$2:$A6514+$C$2:$C6514)), "")*24*60, "")</f>
        <v/>
      </c>
      <c r="N6515" s="24" t="str" cm="1">
        <f t="array" ref="N6515">IFERROR(IF($B6515=N$1, ($A6515+$C6515) - MAX(IF($B$2:$B6514=$B6515, $A$2:$A6514+$C$2:$C6514)), "")*24*60, "")</f>
        <v/>
      </c>
      <c r="O6515" s="24" t="str" cm="1">
        <f t="array" ref="O6515">IFERROR(IF($B6515=O$1, ($A6515+$C6515) - MAX(IF($B$2:$B6514=$B6515, $A$2:$A6514+$C$2:$C6514)), "")*24*60, "")</f>
        <v/>
      </c>
      <c r="P6515" s="24" t="str" cm="1">
        <f t="array" ref="P6515">IFERROR(IF($B6515=P$1, ($A6515+$C6515) - MAX(IF($B$2:$B6514=$B6515, $A$2:$A6514+$C$2:$C6514)), "")*24*60, "")</f>
        <v/>
      </c>
      <c r="Q6515" s="24" t="str" cm="1">
        <f t="array" ref="Q6515">IFERROR(IF($B6515=Q$1, ($A6515+$C6515) - MAX(IF($B$2:$B6514=$B6515, $A$2:$A6514+$C$2:$C6514)), "")*24*60, "")</f>
        <v/>
      </c>
      <c r="R6515" s="24" t="str" cm="1">
        <f t="array" ref="R6515">IFERROR(IF($B6515=R$1, ($A6515+$C6515) - MAX(IF($B$2:$B6514=$B6515, $A$2:$A6514+$C$2:$C6514)), "")*24*60, "")</f>
        <v/>
      </c>
      <c r="S6515" s="24" t="str" cm="1">
        <f t="array" ref="S6515">IFERROR(IF($B6515=S$1, ($A6515+$C6515) - MAX(IF($B$2:$B6514=$B6515, $A$2:$A6514+$C$2:$C6514)), "")*24*60, "")</f>
        <v/>
      </c>
    </row>
    <row r="6516" spans="1:19" x14ac:dyDescent="0.2">
      <c r="A6516" s="12">
        <f t="shared" ref="A6516:C6516" si="1405">A6515</f>
        <v>45990</v>
      </c>
      <c r="B6516" s="5" t="str">
        <f t="shared" si="1405"/>
        <v>Northern Cardinal</v>
      </c>
      <c r="C6516" s="6">
        <f t="shared" si="1405"/>
        <v>0.28333333333333333</v>
      </c>
      <c r="D6516" s="5"/>
      <c r="E6516" s="5"/>
      <c r="F6516" s="5" t="s">
        <v>8</v>
      </c>
      <c r="G6516" s="15" t="s">
        <v>9</v>
      </c>
      <c r="H6516" s="24">
        <f t="shared" si="1251"/>
        <v>0</v>
      </c>
      <c r="I6516" s="24" cm="1">
        <f t="array" ref="I6516">IFERROR(IF($B6516=I$1, ($A6516+$C6516) - MAX(IF($B$2:$B6515=$B6516, $A$2:$A6515+$C$2:$C6515)), "")*24*60, "")</f>
        <v>0</v>
      </c>
      <c r="J6516" s="24" t="str" cm="1">
        <f t="array" ref="J6516">IFERROR(IF($B6516=J$1, ($A6516+$C6516) - MAX(IF($B$2:$B6515=$B6516, $A$2:$A6515+$C$2:$C6515)), "")*24*60, "")</f>
        <v/>
      </c>
      <c r="K6516" s="24" t="str" cm="1">
        <f t="array" ref="K6516">IFERROR(IF($B6516=K$1, ($A6516+$C6516) - MAX(IF($B$2:$B6515=$B6516, $A$2:$A6515+$C$2:$C6515)), "")*24*60, "")</f>
        <v/>
      </c>
      <c r="L6516" s="24" t="str" cm="1">
        <f t="array" ref="L6516">IFERROR(IF($B6516=L$1, ($A6516+$C6516) - MAX(IF($B$2:$B6515=$B6516, $A$2:$A6515+$C$2:$C6515)), "")*24*60, "")</f>
        <v/>
      </c>
      <c r="M6516" s="24" t="str" cm="1">
        <f t="array" ref="M6516">IFERROR(IF($B6516=M$1, ($A6516+$C6516) - MAX(IF($B$2:$B6515=$B6516, $A$2:$A6515+$C$2:$C6515)), "")*24*60, "")</f>
        <v/>
      </c>
      <c r="N6516" s="24" t="str" cm="1">
        <f t="array" ref="N6516">IFERROR(IF($B6516=N$1, ($A6516+$C6516) - MAX(IF($B$2:$B6515=$B6516, $A$2:$A6515+$C$2:$C6515)), "")*24*60, "")</f>
        <v/>
      </c>
      <c r="O6516" s="24" t="str" cm="1">
        <f t="array" ref="O6516">IFERROR(IF($B6516=O$1, ($A6516+$C6516) - MAX(IF($B$2:$B6515=$B6516, $A$2:$A6515+$C$2:$C6515)), "")*24*60, "")</f>
        <v/>
      </c>
      <c r="P6516" s="24" t="str" cm="1">
        <f t="array" ref="P6516">IFERROR(IF($B6516=P$1, ($A6516+$C6516) - MAX(IF($B$2:$B6515=$B6516, $A$2:$A6515+$C$2:$C6515)), "")*24*60, "")</f>
        <v/>
      </c>
      <c r="Q6516" s="24" t="str" cm="1">
        <f t="array" ref="Q6516">IFERROR(IF($B6516=Q$1, ($A6516+$C6516) - MAX(IF($B$2:$B6515=$B6516, $A$2:$A6515+$C$2:$C6515)), "")*24*60, "")</f>
        <v/>
      </c>
      <c r="R6516" s="24" t="str" cm="1">
        <f t="array" ref="R6516">IFERROR(IF($B6516=R$1, ($A6516+$C6516) - MAX(IF($B$2:$B6515=$B6516, $A$2:$A6515+$C$2:$C6515)), "")*24*60, "")</f>
        <v/>
      </c>
      <c r="S6516" s="24" t="str" cm="1">
        <f t="array" ref="S6516">IFERROR(IF($B6516=S$1, ($A6516+$C6516) - MAX(IF($B$2:$B6515=$B6516, $A$2:$A6515+$C$2:$C6515)), "")*24*60, "")</f>
        <v/>
      </c>
    </row>
    <row r="6517" spans="1:19" x14ac:dyDescent="0.2">
      <c r="A6517" s="12">
        <f t="shared" ref="A6517:C6517" si="1406">A6516</f>
        <v>45990</v>
      </c>
      <c r="B6517" s="5" t="str">
        <f t="shared" si="1406"/>
        <v>Northern Cardinal</v>
      </c>
      <c r="C6517" s="6">
        <f t="shared" si="1406"/>
        <v>0.28333333333333333</v>
      </c>
      <c r="D6517" s="5"/>
      <c r="E6517" s="5"/>
      <c r="F6517" s="5" t="s">
        <v>8</v>
      </c>
      <c r="G6517" s="15" t="s">
        <v>9</v>
      </c>
      <c r="H6517" s="24">
        <f t="shared" si="1251"/>
        <v>0</v>
      </c>
      <c r="I6517" s="24" cm="1">
        <f t="array" ref="I6517">IFERROR(IF($B6517=I$1, ($A6517+$C6517) - MAX(IF($B$2:$B6516=$B6517, $A$2:$A6516+$C$2:$C6516)), "")*24*60, "")</f>
        <v>0</v>
      </c>
      <c r="J6517" s="24" t="str" cm="1">
        <f t="array" ref="J6517">IFERROR(IF($B6517=J$1, ($A6517+$C6517) - MAX(IF($B$2:$B6516=$B6517, $A$2:$A6516+$C$2:$C6516)), "")*24*60, "")</f>
        <v/>
      </c>
      <c r="K6517" s="24" t="str" cm="1">
        <f t="array" ref="K6517">IFERROR(IF($B6517=K$1, ($A6517+$C6517) - MAX(IF($B$2:$B6516=$B6517, $A$2:$A6516+$C$2:$C6516)), "")*24*60, "")</f>
        <v/>
      </c>
      <c r="L6517" s="24" t="str" cm="1">
        <f t="array" ref="L6517">IFERROR(IF($B6517=L$1, ($A6517+$C6517) - MAX(IF($B$2:$B6516=$B6517, $A$2:$A6516+$C$2:$C6516)), "")*24*60, "")</f>
        <v/>
      </c>
      <c r="M6517" s="24" t="str" cm="1">
        <f t="array" ref="M6517">IFERROR(IF($B6517=M$1, ($A6517+$C6517) - MAX(IF($B$2:$B6516=$B6517, $A$2:$A6516+$C$2:$C6516)), "")*24*60, "")</f>
        <v/>
      </c>
      <c r="N6517" s="24" t="str" cm="1">
        <f t="array" ref="N6517">IFERROR(IF($B6517=N$1, ($A6517+$C6517) - MAX(IF($B$2:$B6516=$B6517, $A$2:$A6516+$C$2:$C6516)), "")*24*60, "")</f>
        <v/>
      </c>
      <c r="O6517" s="24" t="str" cm="1">
        <f t="array" ref="O6517">IFERROR(IF($B6517=O$1, ($A6517+$C6517) - MAX(IF($B$2:$B6516=$B6517, $A$2:$A6516+$C$2:$C6516)), "")*24*60, "")</f>
        <v/>
      </c>
      <c r="P6517" s="24" t="str" cm="1">
        <f t="array" ref="P6517">IFERROR(IF($B6517=P$1, ($A6517+$C6517) - MAX(IF($B$2:$B6516=$B6517, $A$2:$A6516+$C$2:$C6516)), "")*24*60, "")</f>
        <v/>
      </c>
      <c r="Q6517" s="24" t="str" cm="1">
        <f t="array" ref="Q6517">IFERROR(IF($B6517=Q$1, ($A6517+$C6517) - MAX(IF($B$2:$B6516=$B6517, $A$2:$A6516+$C$2:$C6516)), "")*24*60, "")</f>
        <v/>
      </c>
      <c r="R6517" s="24" t="str" cm="1">
        <f t="array" ref="R6517">IFERROR(IF($B6517=R$1, ($A6517+$C6517) - MAX(IF($B$2:$B6516=$B6517, $A$2:$A6516+$C$2:$C6516)), "")*24*60, "")</f>
        <v/>
      </c>
      <c r="S6517" s="24" t="str" cm="1">
        <f t="array" ref="S6517">IFERROR(IF($B6517=S$1, ($A6517+$C6517) - MAX(IF($B$2:$B6516=$B6517, $A$2:$A6516+$C$2:$C6516)), "")*24*60, "")</f>
        <v/>
      </c>
    </row>
    <row r="6518" spans="1:19" x14ac:dyDescent="0.2">
      <c r="A6518" s="12">
        <f t="shared" ref="A6518:C6518" si="1407">A6517</f>
        <v>45990</v>
      </c>
      <c r="B6518" s="5" t="str">
        <f t="shared" si="1407"/>
        <v>Northern Cardinal</v>
      </c>
      <c r="C6518" s="6">
        <f t="shared" si="1407"/>
        <v>0.28333333333333333</v>
      </c>
      <c r="D6518" s="5"/>
      <c r="E6518" s="5"/>
      <c r="F6518" s="5" t="s">
        <v>8</v>
      </c>
      <c r="G6518" s="15" t="s">
        <v>9</v>
      </c>
      <c r="H6518" s="24">
        <f t="shared" si="1251"/>
        <v>0</v>
      </c>
      <c r="I6518" s="24" cm="1">
        <f t="array" ref="I6518">IFERROR(IF($B6518=I$1, ($A6518+$C6518) - MAX(IF($B$2:$B6517=$B6518, $A$2:$A6517+$C$2:$C6517)), "")*24*60, "")</f>
        <v>0</v>
      </c>
      <c r="J6518" s="24" t="str" cm="1">
        <f t="array" ref="J6518">IFERROR(IF($B6518=J$1, ($A6518+$C6518) - MAX(IF($B$2:$B6517=$B6518, $A$2:$A6517+$C$2:$C6517)), "")*24*60, "")</f>
        <v/>
      </c>
      <c r="K6518" s="24" t="str" cm="1">
        <f t="array" ref="K6518">IFERROR(IF($B6518=K$1, ($A6518+$C6518) - MAX(IF($B$2:$B6517=$B6518, $A$2:$A6517+$C$2:$C6517)), "")*24*60, "")</f>
        <v/>
      </c>
      <c r="L6518" s="24" t="str" cm="1">
        <f t="array" ref="L6518">IFERROR(IF($B6518=L$1, ($A6518+$C6518) - MAX(IF($B$2:$B6517=$B6518, $A$2:$A6517+$C$2:$C6517)), "")*24*60, "")</f>
        <v/>
      </c>
      <c r="M6518" s="24" t="str" cm="1">
        <f t="array" ref="M6518">IFERROR(IF($B6518=M$1, ($A6518+$C6518) - MAX(IF($B$2:$B6517=$B6518, $A$2:$A6517+$C$2:$C6517)), "")*24*60, "")</f>
        <v/>
      </c>
      <c r="N6518" s="24" t="str" cm="1">
        <f t="array" ref="N6518">IFERROR(IF($B6518=N$1, ($A6518+$C6518) - MAX(IF($B$2:$B6517=$B6518, $A$2:$A6517+$C$2:$C6517)), "")*24*60, "")</f>
        <v/>
      </c>
      <c r="O6518" s="24" t="str" cm="1">
        <f t="array" ref="O6518">IFERROR(IF($B6518=O$1, ($A6518+$C6518) - MAX(IF($B$2:$B6517=$B6518, $A$2:$A6517+$C$2:$C6517)), "")*24*60, "")</f>
        <v/>
      </c>
      <c r="P6518" s="24" t="str" cm="1">
        <f t="array" ref="P6518">IFERROR(IF($B6518=P$1, ($A6518+$C6518) - MAX(IF($B$2:$B6517=$B6518, $A$2:$A6517+$C$2:$C6517)), "")*24*60, "")</f>
        <v/>
      </c>
      <c r="Q6518" s="24" t="str" cm="1">
        <f t="array" ref="Q6518">IFERROR(IF($B6518=Q$1, ($A6518+$C6518) - MAX(IF($B$2:$B6517=$B6518, $A$2:$A6517+$C$2:$C6517)), "")*24*60, "")</f>
        <v/>
      </c>
      <c r="R6518" s="24" t="str" cm="1">
        <f t="array" ref="R6518">IFERROR(IF($B6518=R$1, ($A6518+$C6518) - MAX(IF($B$2:$B6517=$B6518, $A$2:$A6517+$C$2:$C6517)), "")*24*60, "")</f>
        <v/>
      </c>
      <c r="S6518" s="24" t="str" cm="1">
        <f t="array" ref="S6518">IFERROR(IF($B6518=S$1, ($A6518+$C6518) - MAX(IF($B$2:$B6517=$B6518, $A$2:$A6517+$C$2:$C6517)), "")*24*60, "")</f>
        <v/>
      </c>
    </row>
    <row r="6519" spans="1:19" x14ac:dyDescent="0.2">
      <c r="A6519" s="12">
        <f t="shared" ref="A6519:C6519" si="1408">A6518</f>
        <v>45990</v>
      </c>
      <c r="B6519" s="5" t="str">
        <f t="shared" si="1408"/>
        <v>Northern Cardinal</v>
      </c>
      <c r="C6519" s="6">
        <f t="shared" si="1408"/>
        <v>0.28333333333333333</v>
      </c>
      <c r="D6519" s="5"/>
      <c r="E6519" s="5"/>
      <c r="F6519" s="5" t="s">
        <v>8</v>
      </c>
      <c r="G6519" s="15" t="s">
        <v>9</v>
      </c>
      <c r="H6519" s="24">
        <f t="shared" si="1251"/>
        <v>0</v>
      </c>
      <c r="I6519" s="24" cm="1">
        <f t="array" ref="I6519">IFERROR(IF($B6519=I$1, ($A6519+$C6519) - MAX(IF($B$2:$B6518=$B6519, $A$2:$A6518+$C$2:$C6518)), "")*24*60, "")</f>
        <v>0</v>
      </c>
      <c r="J6519" s="24" t="str" cm="1">
        <f t="array" ref="J6519">IFERROR(IF($B6519=J$1, ($A6519+$C6519) - MAX(IF($B$2:$B6518=$B6519, $A$2:$A6518+$C$2:$C6518)), "")*24*60, "")</f>
        <v/>
      </c>
      <c r="K6519" s="24" t="str" cm="1">
        <f t="array" ref="K6519">IFERROR(IF($B6519=K$1, ($A6519+$C6519) - MAX(IF($B$2:$B6518=$B6519, $A$2:$A6518+$C$2:$C6518)), "")*24*60, "")</f>
        <v/>
      </c>
      <c r="L6519" s="24" t="str" cm="1">
        <f t="array" ref="L6519">IFERROR(IF($B6519=L$1, ($A6519+$C6519) - MAX(IF($B$2:$B6518=$B6519, $A$2:$A6518+$C$2:$C6518)), "")*24*60, "")</f>
        <v/>
      </c>
      <c r="M6519" s="24" t="str" cm="1">
        <f t="array" ref="M6519">IFERROR(IF($B6519=M$1, ($A6519+$C6519) - MAX(IF($B$2:$B6518=$B6519, $A$2:$A6518+$C$2:$C6518)), "")*24*60, "")</f>
        <v/>
      </c>
      <c r="N6519" s="24" t="str" cm="1">
        <f t="array" ref="N6519">IFERROR(IF($B6519=N$1, ($A6519+$C6519) - MAX(IF($B$2:$B6518=$B6519, $A$2:$A6518+$C$2:$C6518)), "")*24*60, "")</f>
        <v/>
      </c>
      <c r="O6519" s="24" t="str" cm="1">
        <f t="array" ref="O6519">IFERROR(IF($B6519=O$1, ($A6519+$C6519) - MAX(IF($B$2:$B6518=$B6519, $A$2:$A6518+$C$2:$C6518)), "")*24*60, "")</f>
        <v/>
      </c>
      <c r="P6519" s="24" t="str" cm="1">
        <f t="array" ref="P6519">IFERROR(IF($B6519=P$1, ($A6519+$C6519) - MAX(IF($B$2:$B6518=$B6519, $A$2:$A6518+$C$2:$C6518)), "")*24*60, "")</f>
        <v/>
      </c>
      <c r="Q6519" s="24" t="str" cm="1">
        <f t="array" ref="Q6519">IFERROR(IF($B6519=Q$1, ($A6519+$C6519) - MAX(IF($B$2:$B6518=$B6519, $A$2:$A6518+$C$2:$C6518)), "")*24*60, "")</f>
        <v/>
      </c>
      <c r="R6519" s="24" t="str" cm="1">
        <f t="array" ref="R6519">IFERROR(IF($B6519=R$1, ($A6519+$C6519) - MAX(IF($B$2:$B6518=$B6519, $A$2:$A6518+$C$2:$C6518)), "")*24*60, "")</f>
        <v/>
      </c>
      <c r="S6519" s="24" t="str" cm="1">
        <f t="array" ref="S6519">IFERROR(IF($B6519=S$1, ($A6519+$C6519) - MAX(IF($B$2:$B6518=$B6519, $A$2:$A6518+$C$2:$C6518)), "")*24*60, "")</f>
        <v/>
      </c>
    </row>
    <row r="6520" spans="1:19" x14ac:dyDescent="0.2">
      <c r="A6520" s="12">
        <f t="shared" ref="A6520:C6520" si="1409">A6519</f>
        <v>45990</v>
      </c>
      <c r="B6520" s="5" t="str">
        <f t="shared" si="1409"/>
        <v>Northern Cardinal</v>
      </c>
      <c r="C6520" s="6">
        <f t="shared" si="1409"/>
        <v>0.28333333333333333</v>
      </c>
      <c r="D6520" s="5"/>
      <c r="E6520" s="5"/>
      <c r="F6520" s="5" t="s">
        <v>8</v>
      </c>
      <c r="G6520" s="15" t="s">
        <v>9</v>
      </c>
      <c r="H6520" s="24">
        <f t="shared" si="1251"/>
        <v>0</v>
      </c>
      <c r="I6520" s="24" cm="1">
        <f t="array" ref="I6520">IFERROR(IF($B6520=I$1, ($A6520+$C6520) - MAX(IF($B$2:$B6519=$B6520, $A$2:$A6519+$C$2:$C6519)), "")*24*60, "")</f>
        <v>0</v>
      </c>
      <c r="J6520" s="24" t="str" cm="1">
        <f t="array" ref="J6520">IFERROR(IF($B6520=J$1, ($A6520+$C6520) - MAX(IF($B$2:$B6519=$B6520, $A$2:$A6519+$C$2:$C6519)), "")*24*60, "")</f>
        <v/>
      </c>
      <c r="K6520" s="24" t="str" cm="1">
        <f t="array" ref="K6520">IFERROR(IF($B6520=K$1, ($A6520+$C6520) - MAX(IF($B$2:$B6519=$B6520, $A$2:$A6519+$C$2:$C6519)), "")*24*60, "")</f>
        <v/>
      </c>
      <c r="L6520" s="24" t="str" cm="1">
        <f t="array" ref="L6520">IFERROR(IF($B6520=L$1, ($A6520+$C6520) - MAX(IF($B$2:$B6519=$B6520, $A$2:$A6519+$C$2:$C6519)), "")*24*60, "")</f>
        <v/>
      </c>
      <c r="M6520" s="24" t="str" cm="1">
        <f t="array" ref="M6520">IFERROR(IF($B6520=M$1, ($A6520+$C6520) - MAX(IF($B$2:$B6519=$B6520, $A$2:$A6519+$C$2:$C6519)), "")*24*60, "")</f>
        <v/>
      </c>
      <c r="N6520" s="24" t="str" cm="1">
        <f t="array" ref="N6520">IFERROR(IF($B6520=N$1, ($A6520+$C6520) - MAX(IF($B$2:$B6519=$B6520, $A$2:$A6519+$C$2:$C6519)), "")*24*60, "")</f>
        <v/>
      </c>
      <c r="O6520" s="24" t="str" cm="1">
        <f t="array" ref="O6520">IFERROR(IF($B6520=O$1, ($A6520+$C6520) - MAX(IF($B$2:$B6519=$B6520, $A$2:$A6519+$C$2:$C6519)), "")*24*60, "")</f>
        <v/>
      </c>
      <c r="P6520" s="24" t="str" cm="1">
        <f t="array" ref="P6520">IFERROR(IF($B6520=P$1, ($A6520+$C6520) - MAX(IF($B$2:$B6519=$B6520, $A$2:$A6519+$C$2:$C6519)), "")*24*60, "")</f>
        <v/>
      </c>
      <c r="Q6520" s="24" t="str" cm="1">
        <f t="array" ref="Q6520">IFERROR(IF($B6520=Q$1, ($A6520+$C6520) - MAX(IF($B$2:$B6519=$B6520, $A$2:$A6519+$C$2:$C6519)), "")*24*60, "")</f>
        <v/>
      </c>
      <c r="R6520" s="24" t="str" cm="1">
        <f t="array" ref="R6520">IFERROR(IF($B6520=R$1, ($A6520+$C6520) - MAX(IF($B$2:$B6519=$B6520, $A$2:$A6519+$C$2:$C6519)), "")*24*60, "")</f>
        <v/>
      </c>
      <c r="S6520" s="24" t="str" cm="1">
        <f t="array" ref="S6520">IFERROR(IF($B6520=S$1, ($A6520+$C6520) - MAX(IF($B$2:$B6519=$B6520, $A$2:$A6519+$C$2:$C6519)), "")*24*60, "")</f>
        <v/>
      </c>
    </row>
    <row r="6521" spans="1:19" x14ac:dyDescent="0.2">
      <c r="A6521" s="12">
        <f t="shared" ref="A6521:C6521" si="1410">A6520</f>
        <v>45990</v>
      </c>
      <c r="B6521" s="5" t="str">
        <f t="shared" si="1410"/>
        <v>Northern Cardinal</v>
      </c>
      <c r="C6521" s="6">
        <f t="shared" si="1410"/>
        <v>0.28333333333333333</v>
      </c>
      <c r="D6521" s="5"/>
      <c r="E6521" s="5"/>
      <c r="F6521" s="5" t="s">
        <v>8</v>
      </c>
      <c r="G6521" s="15" t="s">
        <v>9</v>
      </c>
      <c r="H6521" s="24">
        <f t="shared" si="1251"/>
        <v>0</v>
      </c>
      <c r="I6521" s="24" cm="1">
        <f t="array" ref="I6521">IFERROR(IF($B6521=I$1, ($A6521+$C6521) - MAX(IF($B$2:$B6520=$B6521, $A$2:$A6520+$C$2:$C6520)), "")*24*60, "")</f>
        <v>0</v>
      </c>
      <c r="J6521" s="24" t="str" cm="1">
        <f t="array" ref="J6521">IFERROR(IF($B6521=J$1, ($A6521+$C6521) - MAX(IF($B$2:$B6520=$B6521, $A$2:$A6520+$C$2:$C6520)), "")*24*60, "")</f>
        <v/>
      </c>
      <c r="K6521" s="24" t="str" cm="1">
        <f t="array" ref="K6521">IFERROR(IF($B6521=K$1, ($A6521+$C6521) - MAX(IF($B$2:$B6520=$B6521, $A$2:$A6520+$C$2:$C6520)), "")*24*60, "")</f>
        <v/>
      </c>
      <c r="L6521" s="24" t="str" cm="1">
        <f t="array" ref="L6521">IFERROR(IF($B6521=L$1, ($A6521+$C6521) - MAX(IF($B$2:$B6520=$B6521, $A$2:$A6520+$C$2:$C6520)), "")*24*60, "")</f>
        <v/>
      </c>
      <c r="M6521" s="24" t="str" cm="1">
        <f t="array" ref="M6521">IFERROR(IF($B6521=M$1, ($A6521+$C6521) - MAX(IF($B$2:$B6520=$B6521, $A$2:$A6520+$C$2:$C6520)), "")*24*60, "")</f>
        <v/>
      </c>
      <c r="N6521" s="24" t="str" cm="1">
        <f t="array" ref="N6521">IFERROR(IF($B6521=N$1, ($A6521+$C6521) - MAX(IF($B$2:$B6520=$B6521, $A$2:$A6520+$C$2:$C6520)), "")*24*60, "")</f>
        <v/>
      </c>
      <c r="O6521" s="24" t="str" cm="1">
        <f t="array" ref="O6521">IFERROR(IF($B6521=O$1, ($A6521+$C6521) - MAX(IF($B$2:$B6520=$B6521, $A$2:$A6520+$C$2:$C6520)), "")*24*60, "")</f>
        <v/>
      </c>
      <c r="P6521" s="24" t="str" cm="1">
        <f t="array" ref="P6521">IFERROR(IF($B6521=P$1, ($A6521+$C6521) - MAX(IF($B$2:$B6520=$B6521, $A$2:$A6520+$C$2:$C6520)), "")*24*60, "")</f>
        <v/>
      </c>
      <c r="Q6521" s="24" t="str" cm="1">
        <f t="array" ref="Q6521">IFERROR(IF($B6521=Q$1, ($A6521+$C6521) - MAX(IF($B$2:$B6520=$B6521, $A$2:$A6520+$C$2:$C6520)), "")*24*60, "")</f>
        <v/>
      </c>
      <c r="R6521" s="24" t="str" cm="1">
        <f t="array" ref="R6521">IFERROR(IF($B6521=R$1, ($A6521+$C6521) - MAX(IF($B$2:$B6520=$B6521, $A$2:$A6520+$C$2:$C6520)), "")*24*60, "")</f>
        <v/>
      </c>
      <c r="S6521" s="24" t="str" cm="1">
        <f t="array" ref="S6521">IFERROR(IF($B6521=S$1, ($A6521+$C6521) - MAX(IF($B$2:$B6520=$B6521, $A$2:$A6520+$C$2:$C6520)), "")*24*60, "")</f>
        <v/>
      </c>
    </row>
    <row r="6522" spans="1:19" x14ac:dyDescent="0.2">
      <c r="A6522" s="12">
        <f t="shared" ref="A6522:C6522" si="1411">A6521</f>
        <v>45990</v>
      </c>
      <c r="B6522" s="5" t="str">
        <f t="shared" si="1411"/>
        <v>Northern Cardinal</v>
      </c>
      <c r="C6522" s="6">
        <f t="shared" si="1411"/>
        <v>0.28333333333333333</v>
      </c>
      <c r="D6522" s="5"/>
      <c r="E6522" s="5"/>
      <c r="F6522" s="5" t="s">
        <v>8</v>
      </c>
      <c r="G6522" s="15" t="s">
        <v>9</v>
      </c>
      <c r="H6522" s="24">
        <f t="shared" si="1251"/>
        <v>0</v>
      </c>
      <c r="I6522" s="24" cm="1">
        <f t="array" ref="I6522">IFERROR(IF($B6522=I$1, ($A6522+$C6522) - MAX(IF($B$2:$B6521=$B6522, $A$2:$A6521+$C$2:$C6521)), "")*24*60, "")</f>
        <v>0</v>
      </c>
      <c r="J6522" s="24" t="str" cm="1">
        <f t="array" ref="J6522">IFERROR(IF($B6522=J$1, ($A6522+$C6522) - MAX(IF($B$2:$B6521=$B6522, $A$2:$A6521+$C$2:$C6521)), "")*24*60, "")</f>
        <v/>
      </c>
      <c r="K6522" s="24" t="str" cm="1">
        <f t="array" ref="K6522">IFERROR(IF($B6522=K$1, ($A6522+$C6522) - MAX(IF($B$2:$B6521=$B6522, $A$2:$A6521+$C$2:$C6521)), "")*24*60, "")</f>
        <v/>
      </c>
      <c r="L6522" s="24" t="str" cm="1">
        <f t="array" ref="L6522">IFERROR(IF($B6522=L$1, ($A6522+$C6522) - MAX(IF($B$2:$B6521=$B6522, $A$2:$A6521+$C$2:$C6521)), "")*24*60, "")</f>
        <v/>
      </c>
      <c r="M6522" s="24" t="str" cm="1">
        <f t="array" ref="M6522">IFERROR(IF($B6522=M$1, ($A6522+$C6522) - MAX(IF($B$2:$B6521=$B6522, $A$2:$A6521+$C$2:$C6521)), "")*24*60, "")</f>
        <v/>
      </c>
      <c r="N6522" s="24" t="str" cm="1">
        <f t="array" ref="N6522">IFERROR(IF($B6522=N$1, ($A6522+$C6522) - MAX(IF($B$2:$B6521=$B6522, $A$2:$A6521+$C$2:$C6521)), "")*24*60, "")</f>
        <v/>
      </c>
      <c r="O6522" s="24" t="str" cm="1">
        <f t="array" ref="O6522">IFERROR(IF($B6522=O$1, ($A6522+$C6522) - MAX(IF($B$2:$B6521=$B6522, $A$2:$A6521+$C$2:$C6521)), "")*24*60, "")</f>
        <v/>
      </c>
      <c r="P6522" s="24" t="str" cm="1">
        <f t="array" ref="P6522">IFERROR(IF($B6522=P$1, ($A6522+$C6522) - MAX(IF($B$2:$B6521=$B6522, $A$2:$A6521+$C$2:$C6521)), "")*24*60, "")</f>
        <v/>
      </c>
      <c r="Q6522" s="24" t="str" cm="1">
        <f t="array" ref="Q6522">IFERROR(IF($B6522=Q$1, ($A6522+$C6522) - MAX(IF($B$2:$B6521=$B6522, $A$2:$A6521+$C$2:$C6521)), "")*24*60, "")</f>
        <v/>
      </c>
      <c r="R6522" s="24" t="str" cm="1">
        <f t="array" ref="R6522">IFERROR(IF($B6522=R$1, ($A6522+$C6522) - MAX(IF($B$2:$B6521=$B6522, $A$2:$A6521+$C$2:$C6521)), "")*24*60, "")</f>
        <v/>
      </c>
      <c r="S6522" s="24" t="str" cm="1">
        <f t="array" ref="S6522">IFERROR(IF($B6522=S$1, ($A6522+$C6522) - MAX(IF($B$2:$B6521=$B6522, $A$2:$A6521+$C$2:$C6521)), "")*24*60, "")</f>
        <v/>
      </c>
    </row>
    <row r="6523" spans="1:19" x14ac:dyDescent="0.2">
      <c r="A6523" s="12">
        <f t="shared" ref="A6523:C6523" si="1412">A6522</f>
        <v>45990</v>
      </c>
      <c r="B6523" s="5" t="str">
        <f t="shared" si="1412"/>
        <v>Northern Cardinal</v>
      </c>
      <c r="C6523" s="6">
        <f t="shared" si="1412"/>
        <v>0.28333333333333333</v>
      </c>
      <c r="D6523" s="5"/>
      <c r="E6523" s="5"/>
      <c r="F6523" s="5" t="s">
        <v>8</v>
      </c>
      <c r="G6523" s="15" t="s">
        <v>9</v>
      </c>
      <c r="H6523" s="24">
        <f t="shared" si="1251"/>
        <v>0</v>
      </c>
      <c r="I6523" s="24" cm="1">
        <f t="array" ref="I6523">IFERROR(IF($B6523=I$1, ($A6523+$C6523) - MAX(IF($B$2:$B6522=$B6523, $A$2:$A6522+$C$2:$C6522)), "")*24*60, "")</f>
        <v>0</v>
      </c>
      <c r="J6523" s="24" t="str" cm="1">
        <f t="array" ref="J6523">IFERROR(IF($B6523=J$1, ($A6523+$C6523) - MAX(IF($B$2:$B6522=$B6523, $A$2:$A6522+$C$2:$C6522)), "")*24*60, "")</f>
        <v/>
      </c>
      <c r="K6523" s="24" t="str" cm="1">
        <f t="array" ref="K6523">IFERROR(IF($B6523=K$1, ($A6523+$C6523) - MAX(IF($B$2:$B6522=$B6523, $A$2:$A6522+$C$2:$C6522)), "")*24*60, "")</f>
        <v/>
      </c>
      <c r="L6523" s="24" t="str" cm="1">
        <f t="array" ref="L6523">IFERROR(IF($B6523=L$1, ($A6523+$C6523) - MAX(IF($B$2:$B6522=$B6523, $A$2:$A6522+$C$2:$C6522)), "")*24*60, "")</f>
        <v/>
      </c>
      <c r="M6523" s="24" t="str" cm="1">
        <f t="array" ref="M6523">IFERROR(IF($B6523=M$1, ($A6523+$C6523) - MAX(IF($B$2:$B6522=$B6523, $A$2:$A6522+$C$2:$C6522)), "")*24*60, "")</f>
        <v/>
      </c>
      <c r="N6523" s="24" t="str" cm="1">
        <f t="array" ref="N6523">IFERROR(IF($B6523=N$1, ($A6523+$C6523) - MAX(IF($B$2:$B6522=$B6523, $A$2:$A6522+$C$2:$C6522)), "")*24*60, "")</f>
        <v/>
      </c>
      <c r="O6523" s="24" t="str" cm="1">
        <f t="array" ref="O6523">IFERROR(IF($B6523=O$1, ($A6523+$C6523) - MAX(IF($B$2:$B6522=$B6523, $A$2:$A6522+$C$2:$C6522)), "")*24*60, "")</f>
        <v/>
      </c>
      <c r="P6523" s="24" t="str" cm="1">
        <f t="array" ref="P6523">IFERROR(IF($B6523=P$1, ($A6523+$C6523) - MAX(IF($B$2:$B6522=$B6523, $A$2:$A6522+$C$2:$C6522)), "")*24*60, "")</f>
        <v/>
      </c>
      <c r="Q6523" s="24" t="str" cm="1">
        <f t="array" ref="Q6523">IFERROR(IF($B6523=Q$1, ($A6523+$C6523) - MAX(IF($B$2:$B6522=$B6523, $A$2:$A6522+$C$2:$C6522)), "")*24*60, "")</f>
        <v/>
      </c>
      <c r="R6523" s="24" t="str" cm="1">
        <f t="array" ref="R6523">IFERROR(IF($B6523=R$1, ($A6523+$C6523) - MAX(IF($B$2:$B6522=$B6523, $A$2:$A6522+$C$2:$C6522)), "")*24*60, "")</f>
        <v/>
      </c>
      <c r="S6523" s="24" t="str" cm="1">
        <f t="array" ref="S6523">IFERROR(IF($B6523=S$1, ($A6523+$C6523) - MAX(IF($B$2:$B6522=$B6523, $A$2:$A6522+$C$2:$C6522)), "")*24*60, "")</f>
        <v/>
      </c>
    </row>
    <row r="6524" spans="1:19" x14ac:dyDescent="0.2">
      <c r="A6524" s="12">
        <f t="shared" ref="A6524:C6524" si="1413">A6523</f>
        <v>45990</v>
      </c>
      <c r="B6524" s="5" t="str">
        <f t="shared" si="1413"/>
        <v>Northern Cardinal</v>
      </c>
      <c r="C6524" s="6">
        <f t="shared" si="1413"/>
        <v>0.28333333333333333</v>
      </c>
      <c r="D6524" s="5"/>
      <c r="E6524" s="5"/>
      <c r="F6524" s="5" t="s">
        <v>8</v>
      </c>
      <c r="G6524" s="15" t="s">
        <v>9</v>
      </c>
      <c r="H6524" s="24">
        <f t="shared" si="1251"/>
        <v>0</v>
      </c>
      <c r="I6524" s="24" cm="1">
        <f t="array" ref="I6524">IFERROR(IF($B6524=I$1, ($A6524+$C6524) - MAX(IF($B$2:$B6523=$B6524, $A$2:$A6523+$C$2:$C6523)), "")*24*60, "")</f>
        <v>0</v>
      </c>
      <c r="J6524" s="24" t="str" cm="1">
        <f t="array" ref="J6524">IFERROR(IF($B6524=J$1, ($A6524+$C6524) - MAX(IF($B$2:$B6523=$B6524, $A$2:$A6523+$C$2:$C6523)), "")*24*60, "")</f>
        <v/>
      </c>
      <c r="K6524" s="24" t="str" cm="1">
        <f t="array" ref="K6524">IFERROR(IF($B6524=K$1, ($A6524+$C6524) - MAX(IF($B$2:$B6523=$B6524, $A$2:$A6523+$C$2:$C6523)), "")*24*60, "")</f>
        <v/>
      </c>
      <c r="L6524" s="24" t="str" cm="1">
        <f t="array" ref="L6524">IFERROR(IF($B6524=L$1, ($A6524+$C6524) - MAX(IF($B$2:$B6523=$B6524, $A$2:$A6523+$C$2:$C6523)), "")*24*60, "")</f>
        <v/>
      </c>
      <c r="M6524" s="24" t="str" cm="1">
        <f t="array" ref="M6524">IFERROR(IF($B6524=M$1, ($A6524+$C6524) - MAX(IF($B$2:$B6523=$B6524, $A$2:$A6523+$C$2:$C6523)), "")*24*60, "")</f>
        <v/>
      </c>
      <c r="N6524" s="24" t="str" cm="1">
        <f t="array" ref="N6524">IFERROR(IF($B6524=N$1, ($A6524+$C6524) - MAX(IF($B$2:$B6523=$B6524, $A$2:$A6523+$C$2:$C6523)), "")*24*60, "")</f>
        <v/>
      </c>
      <c r="O6524" s="24" t="str" cm="1">
        <f t="array" ref="O6524">IFERROR(IF($B6524=O$1, ($A6524+$C6524) - MAX(IF($B$2:$B6523=$B6524, $A$2:$A6523+$C$2:$C6523)), "")*24*60, "")</f>
        <v/>
      </c>
      <c r="P6524" s="24" t="str" cm="1">
        <f t="array" ref="P6524">IFERROR(IF($B6524=P$1, ($A6524+$C6524) - MAX(IF($B$2:$B6523=$B6524, $A$2:$A6523+$C$2:$C6523)), "")*24*60, "")</f>
        <v/>
      </c>
      <c r="Q6524" s="24" t="str" cm="1">
        <f t="array" ref="Q6524">IFERROR(IF($B6524=Q$1, ($A6524+$C6524) - MAX(IF($B$2:$B6523=$B6524, $A$2:$A6523+$C$2:$C6523)), "")*24*60, "")</f>
        <v/>
      </c>
      <c r="R6524" s="24" t="str" cm="1">
        <f t="array" ref="R6524">IFERROR(IF($B6524=R$1, ($A6524+$C6524) - MAX(IF($B$2:$B6523=$B6524, $A$2:$A6523+$C$2:$C6523)), "")*24*60, "")</f>
        <v/>
      </c>
      <c r="S6524" s="24" t="str" cm="1">
        <f t="array" ref="S6524">IFERROR(IF($B6524=S$1, ($A6524+$C6524) - MAX(IF($B$2:$B6523=$B6524, $A$2:$A6523+$C$2:$C6523)), "")*24*60, "")</f>
        <v/>
      </c>
    </row>
    <row r="6525" spans="1:19" x14ac:dyDescent="0.2">
      <c r="A6525" s="12">
        <f t="shared" ref="A6525:C6525" si="1414">A6524</f>
        <v>45990</v>
      </c>
      <c r="B6525" s="5" t="str">
        <f t="shared" si="1414"/>
        <v>Northern Cardinal</v>
      </c>
      <c r="C6525" s="6">
        <f t="shared" si="1414"/>
        <v>0.28333333333333333</v>
      </c>
      <c r="D6525" s="5"/>
      <c r="E6525" s="5"/>
      <c r="F6525" s="5" t="s">
        <v>8</v>
      </c>
      <c r="G6525" s="15" t="s">
        <v>9</v>
      </c>
      <c r="H6525" s="24">
        <f t="shared" si="1251"/>
        <v>0</v>
      </c>
      <c r="I6525" s="24" cm="1">
        <f t="array" ref="I6525">IFERROR(IF($B6525=I$1, ($A6525+$C6525) - MAX(IF($B$2:$B6524=$B6525, $A$2:$A6524+$C$2:$C6524)), "")*24*60, "")</f>
        <v>0</v>
      </c>
      <c r="J6525" s="24" t="str" cm="1">
        <f t="array" ref="J6525">IFERROR(IF($B6525=J$1, ($A6525+$C6525) - MAX(IF($B$2:$B6524=$B6525, $A$2:$A6524+$C$2:$C6524)), "")*24*60, "")</f>
        <v/>
      </c>
      <c r="K6525" s="24" t="str" cm="1">
        <f t="array" ref="K6525">IFERROR(IF($B6525=K$1, ($A6525+$C6525) - MAX(IF($B$2:$B6524=$B6525, $A$2:$A6524+$C$2:$C6524)), "")*24*60, "")</f>
        <v/>
      </c>
      <c r="L6525" s="24" t="str" cm="1">
        <f t="array" ref="L6525">IFERROR(IF($B6525=L$1, ($A6525+$C6525) - MAX(IF($B$2:$B6524=$B6525, $A$2:$A6524+$C$2:$C6524)), "")*24*60, "")</f>
        <v/>
      </c>
      <c r="M6525" s="24" t="str" cm="1">
        <f t="array" ref="M6525">IFERROR(IF($B6525=M$1, ($A6525+$C6525) - MAX(IF($B$2:$B6524=$B6525, $A$2:$A6524+$C$2:$C6524)), "")*24*60, "")</f>
        <v/>
      </c>
      <c r="N6525" s="24" t="str" cm="1">
        <f t="array" ref="N6525">IFERROR(IF($B6525=N$1, ($A6525+$C6525) - MAX(IF($B$2:$B6524=$B6525, $A$2:$A6524+$C$2:$C6524)), "")*24*60, "")</f>
        <v/>
      </c>
      <c r="O6525" s="24" t="str" cm="1">
        <f t="array" ref="O6525">IFERROR(IF($B6525=O$1, ($A6525+$C6525) - MAX(IF($B$2:$B6524=$B6525, $A$2:$A6524+$C$2:$C6524)), "")*24*60, "")</f>
        <v/>
      </c>
      <c r="P6525" s="24" t="str" cm="1">
        <f t="array" ref="P6525">IFERROR(IF($B6525=P$1, ($A6525+$C6525) - MAX(IF($B$2:$B6524=$B6525, $A$2:$A6524+$C$2:$C6524)), "")*24*60, "")</f>
        <v/>
      </c>
      <c r="Q6525" s="24" t="str" cm="1">
        <f t="array" ref="Q6525">IFERROR(IF($B6525=Q$1, ($A6525+$C6525) - MAX(IF($B$2:$B6524=$B6525, $A$2:$A6524+$C$2:$C6524)), "")*24*60, "")</f>
        <v/>
      </c>
      <c r="R6525" s="24" t="str" cm="1">
        <f t="array" ref="R6525">IFERROR(IF($B6525=R$1, ($A6525+$C6525) - MAX(IF($B$2:$B6524=$B6525, $A$2:$A6524+$C$2:$C6524)), "")*24*60, "")</f>
        <v/>
      </c>
      <c r="S6525" s="24" t="str" cm="1">
        <f t="array" ref="S6525">IFERROR(IF($B6525=S$1, ($A6525+$C6525) - MAX(IF($B$2:$B6524=$B6525, $A$2:$A6524+$C$2:$C6524)), "")*24*60, "")</f>
        <v/>
      </c>
    </row>
    <row r="6526" spans="1:19" x14ac:dyDescent="0.2">
      <c r="A6526" s="12">
        <f t="shared" ref="A6526:C6526" si="1415">A6525</f>
        <v>45990</v>
      </c>
      <c r="B6526" s="5" t="str">
        <f t="shared" si="1415"/>
        <v>Northern Cardinal</v>
      </c>
      <c r="C6526" s="6">
        <f t="shared" si="1415"/>
        <v>0.28333333333333333</v>
      </c>
      <c r="D6526" s="5"/>
      <c r="E6526" s="5"/>
      <c r="F6526" s="5" t="s">
        <v>8</v>
      </c>
      <c r="G6526" s="15" t="s">
        <v>9</v>
      </c>
      <c r="H6526" s="24">
        <f t="shared" si="1251"/>
        <v>0</v>
      </c>
      <c r="I6526" s="24" cm="1">
        <f t="array" ref="I6526">IFERROR(IF($B6526=I$1, ($A6526+$C6526) - MAX(IF($B$2:$B6525=$B6526, $A$2:$A6525+$C$2:$C6525)), "")*24*60, "")</f>
        <v>0</v>
      </c>
      <c r="J6526" s="24" t="str" cm="1">
        <f t="array" ref="J6526">IFERROR(IF($B6526=J$1, ($A6526+$C6526) - MAX(IF($B$2:$B6525=$B6526, $A$2:$A6525+$C$2:$C6525)), "")*24*60, "")</f>
        <v/>
      </c>
      <c r="K6526" s="24" t="str" cm="1">
        <f t="array" ref="K6526">IFERROR(IF($B6526=K$1, ($A6526+$C6526) - MAX(IF($B$2:$B6525=$B6526, $A$2:$A6525+$C$2:$C6525)), "")*24*60, "")</f>
        <v/>
      </c>
      <c r="L6526" s="24" t="str" cm="1">
        <f t="array" ref="L6526">IFERROR(IF($B6526=L$1, ($A6526+$C6526) - MAX(IF($B$2:$B6525=$B6526, $A$2:$A6525+$C$2:$C6525)), "")*24*60, "")</f>
        <v/>
      </c>
      <c r="M6526" s="24" t="str" cm="1">
        <f t="array" ref="M6526">IFERROR(IF($B6526=M$1, ($A6526+$C6526) - MAX(IF($B$2:$B6525=$B6526, $A$2:$A6525+$C$2:$C6525)), "")*24*60, "")</f>
        <v/>
      </c>
      <c r="N6526" s="24" t="str" cm="1">
        <f t="array" ref="N6526">IFERROR(IF($B6526=N$1, ($A6526+$C6526) - MAX(IF($B$2:$B6525=$B6526, $A$2:$A6525+$C$2:$C6525)), "")*24*60, "")</f>
        <v/>
      </c>
      <c r="O6526" s="24" t="str" cm="1">
        <f t="array" ref="O6526">IFERROR(IF($B6526=O$1, ($A6526+$C6526) - MAX(IF($B$2:$B6525=$B6526, $A$2:$A6525+$C$2:$C6525)), "")*24*60, "")</f>
        <v/>
      </c>
      <c r="P6526" s="24" t="str" cm="1">
        <f t="array" ref="P6526">IFERROR(IF($B6526=P$1, ($A6526+$C6526) - MAX(IF($B$2:$B6525=$B6526, $A$2:$A6525+$C$2:$C6525)), "")*24*60, "")</f>
        <v/>
      </c>
      <c r="Q6526" s="24" t="str" cm="1">
        <f t="array" ref="Q6526">IFERROR(IF($B6526=Q$1, ($A6526+$C6526) - MAX(IF($B$2:$B6525=$B6526, $A$2:$A6525+$C$2:$C6525)), "")*24*60, "")</f>
        <v/>
      </c>
      <c r="R6526" s="24" t="str" cm="1">
        <f t="array" ref="R6526">IFERROR(IF($B6526=R$1, ($A6526+$C6526) - MAX(IF($B$2:$B6525=$B6526, $A$2:$A6525+$C$2:$C6525)), "")*24*60, "")</f>
        <v/>
      </c>
      <c r="S6526" s="24" t="str" cm="1">
        <f t="array" ref="S6526">IFERROR(IF($B6526=S$1, ($A6526+$C6526) - MAX(IF($B$2:$B6525=$B6526, $A$2:$A6525+$C$2:$C6525)), "")*24*60, "")</f>
        <v/>
      </c>
    </row>
    <row r="6527" spans="1:19" x14ac:dyDescent="0.2">
      <c r="A6527" s="12">
        <f t="shared" ref="A6527:C6527" si="1416">A6526</f>
        <v>45990</v>
      </c>
      <c r="B6527" s="5" t="str">
        <f t="shared" si="1416"/>
        <v>Northern Cardinal</v>
      </c>
      <c r="C6527" s="6">
        <f t="shared" si="1416"/>
        <v>0.28333333333333333</v>
      </c>
      <c r="D6527" s="5"/>
      <c r="E6527" s="5"/>
      <c r="F6527" s="5" t="s">
        <v>8</v>
      </c>
      <c r="G6527" s="15" t="s">
        <v>9</v>
      </c>
      <c r="H6527" s="24">
        <f t="shared" si="1251"/>
        <v>0</v>
      </c>
      <c r="I6527" s="24" cm="1">
        <f t="array" ref="I6527">IFERROR(IF($B6527=I$1, ($A6527+$C6527) - MAX(IF($B$2:$B6526=$B6527, $A$2:$A6526+$C$2:$C6526)), "")*24*60, "")</f>
        <v>0</v>
      </c>
      <c r="J6527" s="24" t="str" cm="1">
        <f t="array" ref="J6527">IFERROR(IF($B6527=J$1, ($A6527+$C6527) - MAX(IF($B$2:$B6526=$B6527, $A$2:$A6526+$C$2:$C6526)), "")*24*60, "")</f>
        <v/>
      </c>
      <c r="K6527" s="24" t="str" cm="1">
        <f t="array" ref="K6527">IFERROR(IF($B6527=K$1, ($A6527+$C6527) - MAX(IF($B$2:$B6526=$B6527, $A$2:$A6526+$C$2:$C6526)), "")*24*60, "")</f>
        <v/>
      </c>
      <c r="L6527" s="24" t="str" cm="1">
        <f t="array" ref="L6527">IFERROR(IF($B6527=L$1, ($A6527+$C6527) - MAX(IF($B$2:$B6526=$B6527, $A$2:$A6526+$C$2:$C6526)), "")*24*60, "")</f>
        <v/>
      </c>
      <c r="M6527" s="24" t="str" cm="1">
        <f t="array" ref="M6527">IFERROR(IF($B6527=M$1, ($A6527+$C6527) - MAX(IF($B$2:$B6526=$B6527, $A$2:$A6526+$C$2:$C6526)), "")*24*60, "")</f>
        <v/>
      </c>
      <c r="N6527" s="24" t="str" cm="1">
        <f t="array" ref="N6527">IFERROR(IF($B6527=N$1, ($A6527+$C6527) - MAX(IF($B$2:$B6526=$B6527, $A$2:$A6526+$C$2:$C6526)), "")*24*60, "")</f>
        <v/>
      </c>
      <c r="O6527" s="24" t="str" cm="1">
        <f t="array" ref="O6527">IFERROR(IF($B6527=O$1, ($A6527+$C6527) - MAX(IF($B$2:$B6526=$B6527, $A$2:$A6526+$C$2:$C6526)), "")*24*60, "")</f>
        <v/>
      </c>
      <c r="P6527" s="24" t="str" cm="1">
        <f t="array" ref="P6527">IFERROR(IF($B6527=P$1, ($A6527+$C6527) - MAX(IF($B$2:$B6526=$B6527, $A$2:$A6526+$C$2:$C6526)), "")*24*60, "")</f>
        <v/>
      </c>
      <c r="Q6527" s="24" t="str" cm="1">
        <f t="array" ref="Q6527">IFERROR(IF($B6527=Q$1, ($A6527+$C6527) - MAX(IF($B$2:$B6526=$B6527, $A$2:$A6526+$C$2:$C6526)), "")*24*60, "")</f>
        <v/>
      </c>
      <c r="R6527" s="24" t="str" cm="1">
        <f t="array" ref="R6527">IFERROR(IF($B6527=R$1, ($A6527+$C6527) - MAX(IF($B$2:$B6526=$B6527, $A$2:$A6526+$C$2:$C6526)), "")*24*60, "")</f>
        <v/>
      </c>
      <c r="S6527" s="24" t="str" cm="1">
        <f t="array" ref="S6527">IFERROR(IF($B6527=S$1, ($A6527+$C6527) - MAX(IF($B$2:$B6526=$B6527, $A$2:$A6526+$C$2:$C6526)), "")*24*60, "")</f>
        <v/>
      </c>
    </row>
    <row r="6528" spans="1:19" x14ac:dyDescent="0.2">
      <c r="A6528" s="12">
        <f t="shared" ref="A6528:C6528" si="1417">A6527</f>
        <v>45990</v>
      </c>
      <c r="B6528" s="5" t="str">
        <f t="shared" si="1417"/>
        <v>Northern Cardinal</v>
      </c>
      <c r="C6528" s="6">
        <f t="shared" si="1417"/>
        <v>0.28333333333333333</v>
      </c>
      <c r="D6528" s="5"/>
      <c r="E6528" s="5"/>
      <c r="F6528" s="5" t="s">
        <v>8</v>
      </c>
      <c r="G6528" s="15" t="s">
        <v>9</v>
      </c>
      <c r="H6528" s="24">
        <f t="shared" si="1251"/>
        <v>0</v>
      </c>
      <c r="I6528" s="24" cm="1">
        <f t="array" ref="I6528">IFERROR(IF($B6528=I$1, ($A6528+$C6528) - MAX(IF($B$2:$B6527=$B6528, $A$2:$A6527+$C$2:$C6527)), "")*24*60, "")</f>
        <v>0</v>
      </c>
      <c r="J6528" s="24" t="str" cm="1">
        <f t="array" ref="J6528">IFERROR(IF($B6528=J$1, ($A6528+$C6528) - MAX(IF($B$2:$B6527=$B6528, $A$2:$A6527+$C$2:$C6527)), "")*24*60, "")</f>
        <v/>
      </c>
      <c r="K6528" s="24" t="str" cm="1">
        <f t="array" ref="K6528">IFERROR(IF($B6528=K$1, ($A6528+$C6528) - MAX(IF($B$2:$B6527=$B6528, $A$2:$A6527+$C$2:$C6527)), "")*24*60, "")</f>
        <v/>
      </c>
      <c r="L6528" s="24" t="str" cm="1">
        <f t="array" ref="L6528">IFERROR(IF($B6528=L$1, ($A6528+$C6528) - MAX(IF($B$2:$B6527=$B6528, $A$2:$A6527+$C$2:$C6527)), "")*24*60, "")</f>
        <v/>
      </c>
      <c r="M6528" s="24" t="str" cm="1">
        <f t="array" ref="M6528">IFERROR(IF($B6528=M$1, ($A6528+$C6528) - MAX(IF($B$2:$B6527=$B6528, $A$2:$A6527+$C$2:$C6527)), "")*24*60, "")</f>
        <v/>
      </c>
      <c r="N6528" s="24" t="str" cm="1">
        <f t="array" ref="N6528">IFERROR(IF($B6528=N$1, ($A6528+$C6528) - MAX(IF($B$2:$B6527=$B6528, $A$2:$A6527+$C$2:$C6527)), "")*24*60, "")</f>
        <v/>
      </c>
      <c r="O6528" s="24" t="str" cm="1">
        <f t="array" ref="O6528">IFERROR(IF($B6528=O$1, ($A6528+$C6528) - MAX(IF($B$2:$B6527=$B6528, $A$2:$A6527+$C$2:$C6527)), "")*24*60, "")</f>
        <v/>
      </c>
      <c r="P6528" s="24" t="str" cm="1">
        <f t="array" ref="P6528">IFERROR(IF($B6528=P$1, ($A6528+$C6528) - MAX(IF($B$2:$B6527=$B6528, $A$2:$A6527+$C$2:$C6527)), "")*24*60, "")</f>
        <v/>
      </c>
      <c r="Q6528" s="24" t="str" cm="1">
        <f t="array" ref="Q6528">IFERROR(IF($B6528=Q$1, ($A6528+$C6528) - MAX(IF($B$2:$B6527=$B6528, $A$2:$A6527+$C$2:$C6527)), "")*24*60, "")</f>
        <v/>
      </c>
      <c r="R6528" s="24" t="str" cm="1">
        <f t="array" ref="R6528">IFERROR(IF($B6528=R$1, ($A6528+$C6528) - MAX(IF($B$2:$B6527=$B6528, $A$2:$A6527+$C$2:$C6527)), "")*24*60, "")</f>
        <v/>
      </c>
      <c r="S6528" s="24" t="str" cm="1">
        <f t="array" ref="S6528">IFERROR(IF($B6528=S$1, ($A6528+$C6528) - MAX(IF($B$2:$B6527=$B6528, $A$2:$A6527+$C$2:$C6527)), "")*24*60, "")</f>
        <v/>
      </c>
    </row>
    <row r="6529" spans="1:19" x14ac:dyDescent="0.2">
      <c r="A6529" s="12">
        <f t="shared" ref="A6529:C6529" si="1418">A6528</f>
        <v>45990</v>
      </c>
      <c r="B6529" s="5" t="str">
        <f t="shared" si="1418"/>
        <v>Northern Cardinal</v>
      </c>
      <c r="C6529" s="6">
        <f t="shared" si="1418"/>
        <v>0.28333333333333333</v>
      </c>
      <c r="D6529" s="5"/>
      <c r="E6529" s="5"/>
      <c r="F6529" s="5" t="s">
        <v>8</v>
      </c>
      <c r="G6529" s="15" t="s">
        <v>9</v>
      </c>
      <c r="H6529" s="24">
        <f t="shared" si="1251"/>
        <v>0</v>
      </c>
      <c r="I6529" s="24" cm="1">
        <f t="array" ref="I6529">IFERROR(IF($B6529=I$1, ($A6529+$C6529) - MAX(IF($B$2:$B6528=$B6529, $A$2:$A6528+$C$2:$C6528)), "")*24*60, "")</f>
        <v>0</v>
      </c>
      <c r="J6529" s="24" t="str" cm="1">
        <f t="array" ref="J6529">IFERROR(IF($B6529=J$1, ($A6529+$C6529) - MAX(IF($B$2:$B6528=$B6529, $A$2:$A6528+$C$2:$C6528)), "")*24*60, "")</f>
        <v/>
      </c>
      <c r="K6529" s="24" t="str" cm="1">
        <f t="array" ref="K6529">IFERROR(IF($B6529=K$1, ($A6529+$C6529) - MAX(IF($B$2:$B6528=$B6529, $A$2:$A6528+$C$2:$C6528)), "")*24*60, "")</f>
        <v/>
      </c>
      <c r="L6529" s="24" t="str" cm="1">
        <f t="array" ref="L6529">IFERROR(IF($B6529=L$1, ($A6529+$C6529) - MAX(IF($B$2:$B6528=$B6529, $A$2:$A6528+$C$2:$C6528)), "")*24*60, "")</f>
        <v/>
      </c>
      <c r="M6529" s="24" t="str" cm="1">
        <f t="array" ref="M6529">IFERROR(IF($B6529=M$1, ($A6529+$C6529) - MAX(IF($B$2:$B6528=$B6529, $A$2:$A6528+$C$2:$C6528)), "")*24*60, "")</f>
        <v/>
      </c>
      <c r="N6529" s="24" t="str" cm="1">
        <f t="array" ref="N6529">IFERROR(IF($B6529=N$1, ($A6529+$C6529) - MAX(IF($B$2:$B6528=$B6529, $A$2:$A6528+$C$2:$C6528)), "")*24*60, "")</f>
        <v/>
      </c>
      <c r="O6529" s="24" t="str" cm="1">
        <f t="array" ref="O6529">IFERROR(IF($B6529=O$1, ($A6529+$C6529) - MAX(IF($B$2:$B6528=$B6529, $A$2:$A6528+$C$2:$C6528)), "")*24*60, "")</f>
        <v/>
      </c>
      <c r="P6529" s="24" t="str" cm="1">
        <f t="array" ref="P6529">IFERROR(IF($B6529=P$1, ($A6529+$C6529) - MAX(IF($B$2:$B6528=$B6529, $A$2:$A6528+$C$2:$C6528)), "")*24*60, "")</f>
        <v/>
      </c>
      <c r="Q6529" s="24" t="str" cm="1">
        <f t="array" ref="Q6529">IFERROR(IF($B6529=Q$1, ($A6529+$C6529) - MAX(IF($B$2:$B6528=$B6529, $A$2:$A6528+$C$2:$C6528)), "")*24*60, "")</f>
        <v/>
      </c>
      <c r="R6529" s="24" t="str" cm="1">
        <f t="array" ref="R6529">IFERROR(IF($B6529=R$1, ($A6529+$C6529) - MAX(IF($B$2:$B6528=$B6529, $A$2:$A6528+$C$2:$C6528)), "")*24*60, "")</f>
        <v/>
      </c>
      <c r="S6529" s="24" t="str" cm="1">
        <f t="array" ref="S6529">IFERROR(IF($B6529=S$1, ($A6529+$C6529) - MAX(IF($B$2:$B6528=$B6529, $A$2:$A6528+$C$2:$C6528)), "")*24*60, "")</f>
        <v/>
      </c>
    </row>
    <row r="6530" spans="1:19" x14ac:dyDescent="0.2">
      <c r="A6530" s="12">
        <f t="shared" ref="A6530:C6530" si="1419">A6529</f>
        <v>45990</v>
      </c>
      <c r="B6530" s="5" t="str">
        <f t="shared" si="1419"/>
        <v>Northern Cardinal</v>
      </c>
      <c r="C6530" s="6">
        <f t="shared" si="1419"/>
        <v>0.28333333333333333</v>
      </c>
      <c r="D6530" s="5"/>
      <c r="E6530" s="5"/>
      <c r="F6530" s="5" t="s">
        <v>8</v>
      </c>
      <c r="G6530" s="15" t="s">
        <v>9</v>
      </c>
      <c r="H6530" s="24">
        <f t="shared" si="1251"/>
        <v>0</v>
      </c>
      <c r="I6530" s="24" cm="1">
        <f t="array" ref="I6530">IFERROR(IF($B6530=I$1, ($A6530+$C6530) - MAX(IF($B$2:$B6529=$B6530, $A$2:$A6529+$C$2:$C6529)), "")*24*60, "")</f>
        <v>0</v>
      </c>
      <c r="J6530" s="24" t="str" cm="1">
        <f t="array" ref="J6530">IFERROR(IF($B6530=J$1, ($A6530+$C6530) - MAX(IF($B$2:$B6529=$B6530, $A$2:$A6529+$C$2:$C6529)), "")*24*60, "")</f>
        <v/>
      </c>
      <c r="K6530" s="24" t="str" cm="1">
        <f t="array" ref="K6530">IFERROR(IF($B6530=K$1, ($A6530+$C6530) - MAX(IF($B$2:$B6529=$B6530, $A$2:$A6529+$C$2:$C6529)), "")*24*60, "")</f>
        <v/>
      </c>
      <c r="L6530" s="24" t="str" cm="1">
        <f t="array" ref="L6530">IFERROR(IF($B6530=L$1, ($A6530+$C6530) - MAX(IF($B$2:$B6529=$B6530, $A$2:$A6529+$C$2:$C6529)), "")*24*60, "")</f>
        <v/>
      </c>
      <c r="M6530" s="24" t="str" cm="1">
        <f t="array" ref="M6530">IFERROR(IF($B6530=M$1, ($A6530+$C6530) - MAX(IF($B$2:$B6529=$B6530, $A$2:$A6529+$C$2:$C6529)), "")*24*60, "")</f>
        <v/>
      </c>
      <c r="N6530" s="24" t="str" cm="1">
        <f t="array" ref="N6530">IFERROR(IF($B6530=N$1, ($A6530+$C6530) - MAX(IF($B$2:$B6529=$B6530, $A$2:$A6529+$C$2:$C6529)), "")*24*60, "")</f>
        <v/>
      </c>
      <c r="O6530" s="24" t="str" cm="1">
        <f t="array" ref="O6530">IFERROR(IF($B6530=O$1, ($A6530+$C6530) - MAX(IF($B$2:$B6529=$B6530, $A$2:$A6529+$C$2:$C6529)), "")*24*60, "")</f>
        <v/>
      </c>
      <c r="P6530" s="24" t="str" cm="1">
        <f t="array" ref="P6530">IFERROR(IF($B6530=P$1, ($A6530+$C6530) - MAX(IF($B$2:$B6529=$B6530, $A$2:$A6529+$C$2:$C6529)), "")*24*60, "")</f>
        <v/>
      </c>
      <c r="Q6530" s="24" t="str" cm="1">
        <f t="array" ref="Q6530">IFERROR(IF($B6530=Q$1, ($A6530+$C6530) - MAX(IF($B$2:$B6529=$B6530, $A$2:$A6529+$C$2:$C6529)), "")*24*60, "")</f>
        <v/>
      </c>
      <c r="R6530" s="24" t="str" cm="1">
        <f t="array" ref="R6530">IFERROR(IF($B6530=R$1, ($A6530+$C6530) - MAX(IF($B$2:$B6529=$B6530, $A$2:$A6529+$C$2:$C6529)), "")*24*60, "")</f>
        <v/>
      </c>
      <c r="S6530" s="24" t="str" cm="1">
        <f t="array" ref="S6530">IFERROR(IF($B6530=S$1, ($A6530+$C6530) - MAX(IF($B$2:$B6529=$B6530, $A$2:$A6529+$C$2:$C6529)), "")*24*60, "")</f>
        <v/>
      </c>
    </row>
    <row r="6531" spans="1:19" x14ac:dyDescent="0.2">
      <c r="A6531" s="12">
        <f t="shared" ref="A6531:C6531" si="1420">A6530</f>
        <v>45990</v>
      </c>
      <c r="B6531" s="5" t="str">
        <f t="shared" si="1420"/>
        <v>Northern Cardinal</v>
      </c>
      <c r="C6531" s="6">
        <f t="shared" si="1420"/>
        <v>0.28333333333333333</v>
      </c>
      <c r="D6531" s="5"/>
      <c r="E6531" s="5"/>
      <c r="F6531" s="5" t="s">
        <v>8</v>
      </c>
      <c r="G6531" s="15" t="s">
        <v>9</v>
      </c>
      <c r="H6531" s="24">
        <f t="shared" si="1251"/>
        <v>0</v>
      </c>
      <c r="I6531" s="24" cm="1">
        <f t="array" ref="I6531">IFERROR(IF($B6531=I$1, ($A6531+$C6531) - MAX(IF($B$2:$B6530=$B6531, $A$2:$A6530+$C$2:$C6530)), "")*24*60, "")</f>
        <v>0</v>
      </c>
      <c r="J6531" s="24" t="str" cm="1">
        <f t="array" ref="J6531">IFERROR(IF($B6531=J$1, ($A6531+$C6531) - MAX(IF($B$2:$B6530=$B6531, $A$2:$A6530+$C$2:$C6530)), "")*24*60, "")</f>
        <v/>
      </c>
      <c r="K6531" s="24" t="str" cm="1">
        <f t="array" ref="K6531">IFERROR(IF($B6531=K$1, ($A6531+$C6531) - MAX(IF($B$2:$B6530=$B6531, $A$2:$A6530+$C$2:$C6530)), "")*24*60, "")</f>
        <v/>
      </c>
      <c r="L6531" s="24" t="str" cm="1">
        <f t="array" ref="L6531">IFERROR(IF($B6531=L$1, ($A6531+$C6531) - MAX(IF($B$2:$B6530=$B6531, $A$2:$A6530+$C$2:$C6530)), "")*24*60, "")</f>
        <v/>
      </c>
      <c r="M6531" s="24" t="str" cm="1">
        <f t="array" ref="M6531">IFERROR(IF($B6531=M$1, ($A6531+$C6531) - MAX(IF($B$2:$B6530=$B6531, $A$2:$A6530+$C$2:$C6530)), "")*24*60, "")</f>
        <v/>
      </c>
      <c r="N6531" s="24" t="str" cm="1">
        <f t="array" ref="N6531">IFERROR(IF($B6531=N$1, ($A6531+$C6531) - MAX(IF($B$2:$B6530=$B6531, $A$2:$A6530+$C$2:$C6530)), "")*24*60, "")</f>
        <v/>
      </c>
      <c r="O6531" s="24" t="str" cm="1">
        <f t="array" ref="O6531">IFERROR(IF($B6531=O$1, ($A6531+$C6531) - MAX(IF($B$2:$B6530=$B6531, $A$2:$A6530+$C$2:$C6530)), "")*24*60, "")</f>
        <v/>
      </c>
      <c r="P6531" s="24" t="str" cm="1">
        <f t="array" ref="P6531">IFERROR(IF($B6531=P$1, ($A6531+$C6531) - MAX(IF($B$2:$B6530=$B6531, $A$2:$A6530+$C$2:$C6530)), "")*24*60, "")</f>
        <v/>
      </c>
      <c r="Q6531" s="24" t="str" cm="1">
        <f t="array" ref="Q6531">IFERROR(IF($B6531=Q$1, ($A6531+$C6531) - MAX(IF($B$2:$B6530=$B6531, $A$2:$A6530+$C$2:$C6530)), "")*24*60, "")</f>
        <v/>
      </c>
      <c r="R6531" s="24" t="str" cm="1">
        <f t="array" ref="R6531">IFERROR(IF($B6531=R$1, ($A6531+$C6531) - MAX(IF($B$2:$B6530=$B6531, $A$2:$A6530+$C$2:$C6530)), "")*24*60, "")</f>
        <v/>
      </c>
      <c r="S6531" s="24" t="str" cm="1">
        <f t="array" ref="S6531">IFERROR(IF($B6531=S$1, ($A6531+$C6531) - MAX(IF($B$2:$B6530=$B6531, $A$2:$A6530+$C$2:$C6530)), "")*24*60, "")</f>
        <v/>
      </c>
    </row>
    <row r="6532" spans="1:19" x14ac:dyDescent="0.2">
      <c r="A6532" s="12">
        <f t="shared" ref="A6532:C6532" si="1421">A6531</f>
        <v>45990</v>
      </c>
      <c r="B6532" s="5" t="str">
        <f t="shared" si="1421"/>
        <v>Northern Cardinal</v>
      </c>
      <c r="C6532" s="6">
        <f t="shared" si="1421"/>
        <v>0.28333333333333333</v>
      </c>
      <c r="D6532" s="5"/>
      <c r="E6532" s="5"/>
      <c r="F6532" s="5" t="s">
        <v>8</v>
      </c>
      <c r="G6532" s="15" t="s">
        <v>9</v>
      </c>
      <c r="H6532" s="24">
        <f t="shared" si="1251"/>
        <v>0</v>
      </c>
      <c r="I6532" s="24" cm="1">
        <f t="array" ref="I6532">IFERROR(IF($B6532=I$1, ($A6532+$C6532) - MAX(IF($B$2:$B6531=$B6532, $A$2:$A6531+$C$2:$C6531)), "")*24*60, "")</f>
        <v>0</v>
      </c>
      <c r="J6532" s="24" t="str" cm="1">
        <f t="array" ref="J6532">IFERROR(IF($B6532=J$1, ($A6532+$C6532) - MAX(IF($B$2:$B6531=$B6532, $A$2:$A6531+$C$2:$C6531)), "")*24*60, "")</f>
        <v/>
      </c>
      <c r="K6532" s="24" t="str" cm="1">
        <f t="array" ref="K6532">IFERROR(IF($B6532=K$1, ($A6532+$C6532) - MAX(IF($B$2:$B6531=$B6532, $A$2:$A6531+$C$2:$C6531)), "")*24*60, "")</f>
        <v/>
      </c>
      <c r="L6532" s="24" t="str" cm="1">
        <f t="array" ref="L6532">IFERROR(IF($B6532=L$1, ($A6532+$C6532) - MAX(IF($B$2:$B6531=$B6532, $A$2:$A6531+$C$2:$C6531)), "")*24*60, "")</f>
        <v/>
      </c>
      <c r="M6532" s="24" t="str" cm="1">
        <f t="array" ref="M6532">IFERROR(IF($B6532=M$1, ($A6532+$C6532) - MAX(IF($B$2:$B6531=$B6532, $A$2:$A6531+$C$2:$C6531)), "")*24*60, "")</f>
        <v/>
      </c>
      <c r="N6532" s="24" t="str" cm="1">
        <f t="array" ref="N6532">IFERROR(IF($B6532=N$1, ($A6532+$C6532) - MAX(IF($B$2:$B6531=$B6532, $A$2:$A6531+$C$2:$C6531)), "")*24*60, "")</f>
        <v/>
      </c>
      <c r="O6532" s="24" t="str" cm="1">
        <f t="array" ref="O6532">IFERROR(IF($B6532=O$1, ($A6532+$C6532) - MAX(IF($B$2:$B6531=$B6532, $A$2:$A6531+$C$2:$C6531)), "")*24*60, "")</f>
        <v/>
      </c>
      <c r="P6532" s="24" t="str" cm="1">
        <f t="array" ref="P6532">IFERROR(IF($B6532=P$1, ($A6532+$C6532) - MAX(IF($B$2:$B6531=$B6532, $A$2:$A6531+$C$2:$C6531)), "")*24*60, "")</f>
        <v/>
      </c>
      <c r="Q6532" s="24" t="str" cm="1">
        <f t="array" ref="Q6532">IFERROR(IF($B6532=Q$1, ($A6532+$C6532) - MAX(IF($B$2:$B6531=$B6532, $A$2:$A6531+$C$2:$C6531)), "")*24*60, "")</f>
        <v/>
      </c>
      <c r="R6532" s="24" t="str" cm="1">
        <f t="array" ref="R6532">IFERROR(IF($B6532=R$1, ($A6532+$C6532) - MAX(IF($B$2:$B6531=$B6532, $A$2:$A6531+$C$2:$C6531)), "")*24*60, "")</f>
        <v/>
      </c>
      <c r="S6532" s="24" t="str" cm="1">
        <f t="array" ref="S6532">IFERROR(IF($B6532=S$1, ($A6532+$C6532) - MAX(IF($B$2:$B6531=$B6532, $A$2:$A6531+$C$2:$C6531)), "")*24*60, "")</f>
        <v/>
      </c>
    </row>
    <row r="6533" spans="1:19" x14ac:dyDescent="0.2">
      <c r="A6533" s="12">
        <f t="shared" ref="A6533:C6533" si="1422">A6532</f>
        <v>45990</v>
      </c>
      <c r="B6533" s="5" t="str">
        <f t="shared" si="1422"/>
        <v>Northern Cardinal</v>
      </c>
      <c r="C6533" s="6">
        <f t="shared" si="1422"/>
        <v>0.28333333333333333</v>
      </c>
      <c r="D6533" s="5"/>
      <c r="E6533" s="5"/>
      <c r="F6533" s="5" t="s">
        <v>8</v>
      </c>
      <c r="G6533" s="15" t="s">
        <v>9</v>
      </c>
      <c r="H6533" s="24">
        <f t="shared" si="1251"/>
        <v>0</v>
      </c>
      <c r="I6533" s="24" cm="1">
        <f t="array" ref="I6533">IFERROR(IF($B6533=I$1, ($A6533+$C6533) - MAX(IF($B$2:$B6532=$B6533, $A$2:$A6532+$C$2:$C6532)), "")*24*60, "")</f>
        <v>0</v>
      </c>
      <c r="J6533" s="24" t="str" cm="1">
        <f t="array" ref="J6533">IFERROR(IF($B6533=J$1, ($A6533+$C6533) - MAX(IF($B$2:$B6532=$B6533, $A$2:$A6532+$C$2:$C6532)), "")*24*60, "")</f>
        <v/>
      </c>
      <c r="K6533" s="24" t="str" cm="1">
        <f t="array" ref="K6533">IFERROR(IF($B6533=K$1, ($A6533+$C6533) - MAX(IF($B$2:$B6532=$B6533, $A$2:$A6532+$C$2:$C6532)), "")*24*60, "")</f>
        <v/>
      </c>
      <c r="L6533" s="24" t="str" cm="1">
        <f t="array" ref="L6533">IFERROR(IF($B6533=L$1, ($A6533+$C6533) - MAX(IF($B$2:$B6532=$B6533, $A$2:$A6532+$C$2:$C6532)), "")*24*60, "")</f>
        <v/>
      </c>
      <c r="M6533" s="24" t="str" cm="1">
        <f t="array" ref="M6533">IFERROR(IF($B6533=M$1, ($A6533+$C6533) - MAX(IF($B$2:$B6532=$B6533, $A$2:$A6532+$C$2:$C6532)), "")*24*60, "")</f>
        <v/>
      </c>
      <c r="N6533" s="24" t="str" cm="1">
        <f t="array" ref="N6533">IFERROR(IF($B6533=N$1, ($A6533+$C6533) - MAX(IF($B$2:$B6532=$B6533, $A$2:$A6532+$C$2:$C6532)), "")*24*60, "")</f>
        <v/>
      </c>
      <c r="O6533" s="24" t="str" cm="1">
        <f t="array" ref="O6533">IFERROR(IF($B6533=O$1, ($A6533+$C6533) - MAX(IF($B$2:$B6532=$B6533, $A$2:$A6532+$C$2:$C6532)), "")*24*60, "")</f>
        <v/>
      </c>
      <c r="P6533" s="24" t="str" cm="1">
        <f t="array" ref="P6533">IFERROR(IF($B6533=P$1, ($A6533+$C6533) - MAX(IF($B$2:$B6532=$B6533, $A$2:$A6532+$C$2:$C6532)), "")*24*60, "")</f>
        <v/>
      </c>
      <c r="Q6533" s="24" t="str" cm="1">
        <f t="array" ref="Q6533">IFERROR(IF($B6533=Q$1, ($A6533+$C6533) - MAX(IF($B$2:$B6532=$B6533, $A$2:$A6532+$C$2:$C6532)), "")*24*60, "")</f>
        <v/>
      </c>
      <c r="R6533" s="24" t="str" cm="1">
        <f t="array" ref="R6533">IFERROR(IF($B6533=R$1, ($A6533+$C6533) - MAX(IF($B$2:$B6532=$B6533, $A$2:$A6532+$C$2:$C6532)), "")*24*60, "")</f>
        <v/>
      </c>
      <c r="S6533" s="24" t="str" cm="1">
        <f t="array" ref="S6533">IFERROR(IF($B6533=S$1, ($A6533+$C6533) - MAX(IF($B$2:$B6532=$B6533, $A$2:$A6532+$C$2:$C6532)), "")*24*60, "")</f>
        <v/>
      </c>
    </row>
    <row r="6534" spans="1:19" x14ac:dyDescent="0.2">
      <c r="A6534" s="12">
        <f t="shared" ref="A6534:C6534" si="1423">A6533</f>
        <v>45990</v>
      </c>
      <c r="B6534" s="5" t="str">
        <f t="shared" si="1423"/>
        <v>Northern Cardinal</v>
      </c>
      <c r="C6534" s="6">
        <f t="shared" si="1423"/>
        <v>0.28333333333333333</v>
      </c>
      <c r="D6534" s="5"/>
      <c r="E6534" s="5"/>
      <c r="F6534" s="5" t="s">
        <v>8</v>
      </c>
      <c r="G6534" s="15" t="s">
        <v>9</v>
      </c>
      <c r="H6534" s="24">
        <f t="shared" si="1251"/>
        <v>0</v>
      </c>
      <c r="I6534" s="24" cm="1">
        <f t="array" ref="I6534">IFERROR(IF($B6534=I$1, ($A6534+$C6534) - MAX(IF($B$2:$B6533=$B6534, $A$2:$A6533+$C$2:$C6533)), "")*24*60, "")</f>
        <v>0</v>
      </c>
      <c r="J6534" s="24" t="str" cm="1">
        <f t="array" ref="J6534">IFERROR(IF($B6534=J$1, ($A6534+$C6534) - MAX(IF($B$2:$B6533=$B6534, $A$2:$A6533+$C$2:$C6533)), "")*24*60, "")</f>
        <v/>
      </c>
      <c r="K6534" s="24" t="str" cm="1">
        <f t="array" ref="K6534">IFERROR(IF($B6534=K$1, ($A6534+$C6534) - MAX(IF($B$2:$B6533=$B6534, $A$2:$A6533+$C$2:$C6533)), "")*24*60, "")</f>
        <v/>
      </c>
      <c r="L6534" s="24" t="str" cm="1">
        <f t="array" ref="L6534">IFERROR(IF($B6534=L$1, ($A6534+$C6534) - MAX(IF($B$2:$B6533=$B6534, $A$2:$A6533+$C$2:$C6533)), "")*24*60, "")</f>
        <v/>
      </c>
      <c r="M6534" s="24" t="str" cm="1">
        <f t="array" ref="M6534">IFERROR(IF($B6534=M$1, ($A6534+$C6534) - MAX(IF($B$2:$B6533=$B6534, $A$2:$A6533+$C$2:$C6533)), "")*24*60, "")</f>
        <v/>
      </c>
      <c r="N6534" s="24" t="str" cm="1">
        <f t="array" ref="N6534">IFERROR(IF($B6534=N$1, ($A6534+$C6534) - MAX(IF($B$2:$B6533=$B6534, $A$2:$A6533+$C$2:$C6533)), "")*24*60, "")</f>
        <v/>
      </c>
      <c r="O6534" s="24" t="str" cm="1">
        <f t="array" ref="O6534">IFERROR(IF($B6534=O$1, ($A6534+$C6534) - MAX(IF($B$2:$B6533=$B6534, $A$2:$A6533+$C$2:$C6533)), "")*24*60, "")</f>
        <v/>
      </c>
      <c r="P6534" s="24" t="str" cm="1">
        <f t="array" ref="P6534">IFERROR(IF($B6534=P$1, ($A6534+$C6534) - MAX(IF($B$2:$B6533=$B6534, $A$2:$A6533+$C$2:$C6533)), "")*24*60, "")</f>
        <v/>
      </c>
      <c r="Q6534" s="24" t="str" cm="1">
        <f t="array" ref="Q6534">IFERROR(IF($B6534=Q$1, ($A6534+$C6534) - MAX(IF($B$2:$B6533=$B6534, $A$2:$A6533+$C$2:$C6533)), "")*24*60, "")</f>
        <v/>
      </c>
      <c r="R6534" s="24" t="str" cm="1">
        <f t="array" ref="R6534">IFERROR(IF($B6534=R$1, ($A6534+$C6534) - MAX(IF($B$2:$B6533=$B6534, $A$2:$A6533+$C$2:$C6533)), "")*24*60, "")</f>
        <v/>
      </c>
      <c r="S6534" s="24" t="str" cm="1">
        <f t="array" ref="S6534">IFERROR(IF($B6534=S$1, ($A6534+$C6534) - MAX(IF($B$2:$B6533=$B6534, $A$2:$A6533+$C$2:$C6533)), "")*24*60, "")</f>
        <v/>
      </c>
    </row>
    <row r="6535" spans="1:19" x14ac:dyDescent="0.2">
      <c r="A6535" s="12">
        <f t="shared" ref="A6535:C6535" si="1424">A6534</f>
        <v>45990</v>
      </c>
      <c r="B6535" s="5" t="str">
        <f t="shared" si="1424"/>
        <v>Northern Cardinal</v>
      </c>
      <c r="C6535" s="6">
        <f t="shared" si="1424"/>
        <v>0.28333333333333333</v>
      </c>
      <c r="D6535" s="5"/>
      <c r="E6535" s="5"/>
      <c r="F6535" s="5" t="s">
        <v>8</v>
      </c>
      <c r="G6535" s="15" t="s">
        <v>9</v>
      </c>
      <c r="H6535" s="24">
        <f t="shared" si="1251"/>
        <v>0</v>
      </c>
      <c r="I6535" s="24" cm="1">
        <f t="array" ref="I6535">IFERROR(IF($B6535=I$1, ($A6535+$C6535) - MAX(IF($B$2:$B6534=$B6535, $A$2:$A6534+$C$2:$C6534)), "")*24*60, "")</f>
        <v>0</v>
      </c>
      <c r="J6535" s="24" t="str" cm="1">
        <f t="array" ref="J6535">IFERROR(IF($B6535=J$1, ($A6535+$C6535) - MAX(IF($B$2:$B6534=$B6535, $A$2:$A6534+$C$2:$C6534)), "")*24*60, "")</f>
        <v/>
      </c>
      <c r="K6535" s="24" t="str" cm="1">
        <f t="array" ref="K6535">IFERROR(IF($B6535=K$1, ($A6535+$C6535) - MAX(IF($B$2:$B6534=$B6535, $A$2:$A6534+$C$2:$C6534)), "")*24*60, "")</f>
        <v/>
      </c>
      <c r="L6535" s="24" t="str" cm="1">
        <f t="array" ref="L6535">IFERROR(IF($B6535=L$1, ($A6535+$C6535) - MAX(IF($B$2:$B6534=$B6535, $A$2:$A6534+$C$2:$C6534)), "")*24*60, "")</f>
        <v/>
      </c>
      <c r="M6535" s="24" t="str" cm="1">
        <f t="array" ref="M6535">IFERROR(IF($B6535=M$1, ($A6535+$C6535) - MAX(IF($B$2:$B6534=$B6535, $A$2:$A6534+$C$2:$C6534)), "")*24*60, "")</f>
        <v/>
      </c>
      <c r="N6535" s="24" t="str" cm="1">
        <f t="array" ref="N6535">IFERROR(IF($B6535=N$1, ($A6535+$C6535) - MAX(IF($B$2:$B6534=$B6535, $A$2:$A6534+$C$2:$C6534)), "")*24*60, "")</f>
        <v/>
      </c>
      <c r="O6535" s="24" t="str" cm="1">
        <f t="array" ref="O6535">IFERROR(IF($B6535=O$1, ($A6535+$C6535) - MAX(IF($B$2:$B6534=$B6535, $A$2:$A6534+$C$2:$C6534)), "")*24*60, "")</f>
        <v/>
      </c>
      <c r="P6535" s="24" t="str" cm="1">
        <f t="array" ref="P6535">IFERROR(IF($B6535=P$1, ($A6535+$C6535) - MAX(IF($B$2:$B6534=$B6535, $A$2:$A6534+$C$2:$C6534)), "")*24*60, "")</f>
        <v/>
      </c>
      <c r="Q6535" s="24" t="str" cm="1">
        <f t="array" ref="Q6535">IFERROR(IF($B6535=Q$1, ($A6535+$C6535) - MAX(IF($B$2:$B6534=$B6535, $A$2:$A6534+$C$2:$C6534)), "")*24*60, "")</f>
        <v/>
      </c>
      <c r="R6535" s="24" t="str" cm="1">
        <f t="array" ref="R6535">IFERROR(IF($B6535=R$1, ($A6535+$C6535) - MAX(IF($B$2:$B6534=$B6535, $A$2:$A6534+$C$2:$C6534)), "")*24*60, "")</f>
        <v/>
      </c>
      <c r="S6535" s="24" t="str" cm="1">
        <f t="array" ref="S6535">IFERROR(IF($B6535=S$1, ($A6535+$C6535) - MAX(IF($B$2:$B6534=$B6535, $A$2:$A6534+$C$2:$C6534)), "")*24*60, "")</f>
        <v/>
      </c>
    </row>
    <row r="6536" spans="1:19" x14ac:dyDescent="0.2">
      <c r="A6536" s="12">
        <f t="shared" ref="A6536:C6536" si="1425">A6535</f>
        <v>45990</v>
      </c>
      <c r="B6536" s="5" t="str">
        <f t="shared" si="1425"/>
        <v>Northern Cardinal</v>
      </c>
      <c r="C6536" s="6">
        <f t="shared" si="1425"/>
        <v>0.28333333333333333</v>
      </c>
      <c r="D6536" s="5"/>
      <c r="E6536" s="5"/>
      <c r="F6536" s="5" t="s">
        <v>8</v>
      </c>
      <c r="G6536" s="15" t="s">
        <v>9</v>
      </c>
      <c r="H6536" s="24">
        <f t="shared" si="1251"/>
        <v>0</v>
      </c>
      <c r="I6536" s="24" cm="1">
        <f t="array" ref="I6536">IFERROR(IF($B6536=I$1, ($A6536+$C6536) - MAX(IF($B$2:$B6535=$B6536, $A$2:$A6535+$C$2:$C6535)), "")*24*60, "")</f>
        <v>0</v>
      </c>
      <c r="J6536" s="24" t="str" cm="1">
        <f t="array" ref="J6536">IFERROR(IF($B6536=J$1, ($A6536+$C6536) - MAX(IF($B$2:$B6535=$B6536, $A$2:$A6535+$C$2:$C6535)), "")*24*60, "")</f>
        <v/>
      </c>
      <c r="K6536" s="24" t="str" cm="1">
        <f t="array" ref="K6536">IFERROR(IF($B6536=K$1, ($A6536+$C6536) - MAX(IF($B$2:$B6535=$B6536, $A$2:$A6535+$C$2:$C6535)), "")*24*60, "")</f>
        <v/>
      </c>
      <c r="L6536" s="24" t="str" cm="1">
        <f t="array" ref="L6536">IFERROR(IF($B6536=L$1, ($A6536+$C6536) - MAX(IF($B$2:$B6535=$B6536, $A$2:$A6535+$C$2:$C6535)), "")*24*60, "")</f>
        <v/>
      </c>
      <c r="M6536" s="24" t="str" cm="1">
        <f t="array" ref="M6536">IFERROR(IF($B6536=M$1, ($A6536+$C6536) - MAX(IF($B$2:$B6535=$B6536, $A$2:$A6535+$C$2:$C6535)), "")*24*60, "")</f>
        <v/>
      </c>
      <c r="N6536" s="24" t="str" cm="1">
        <f t="array" ref="N6536">IFERROR(IF($B6536=N$1, ($A6536+$C6536) - MAX(IF($B$2:$B6535=$B6536, $A$2:$A6535+$C$2:$C6535)), "")*24*60, "")</f>
        <v/>
      </c>
      <c r="O6536" s="24" t="str" cm="1">
        <f t="array" ref="O6536">IFERROR(IF($B6536=O$1, ($A6536+$C6536) - MAX(IF($B$2:$B6535=$B6536, $A$2:$A6535+$C$2:$C6535)), "")*24*60, "")</f>
        <v/>
      </c>
      <c r="P6536" s="24" t="str" cm="1">
        <f t="array" ref="P6536">IFERROR(IF($B6536=P$1, ($A6536+$C6536) - MAX(IF($B$2:$B6535=$B6536, $A$2:$A6535+$C$2:$C6535)), "")*24*60, "")</f>
        <v/>
      </c>
      <c r="Q6536" s="24" t="str" cm="1">
        <f t="array" ref="Q6536">IFERROR(IF($B6536=Q$1, ($A6536+$C6536) - MAX(IF($B$2:$B6535=$B6536, $A$2:$A6535+$C$2:$C6535)), "")*24*60, "")</f>
        <v/>
      </c>
      <c r="R6536" s="24" t="str" cm="1">
        <f t="array" ref="R6536">IFERROR(IF($B6536=R$1, ($A6536+$C6536) - MAX(IF($B$2:$B6535=$B6536, $A$2:$A6535+$C$2:$C6535)), "")*24*60, "")</f>
        <v/>
      </c>
      <c r="S6536" s="24" t="str" cm="1">
        <f t="array" ref="S6536">IFERROR(IF($B6536=S$1, ($A6536+$C6536) - MAX(IF($B$2:$B6535=$B6536, $A$2:$A6535+$C$2:$C6535)), "")*24*60, "")</f>
        <v/>
      </c>
    </row>
    <row r="6537" spans="1:19" x14ac:dyDescent="0.2">
      <c r="A6537" s="12">
        <f t="shared" ref="A6537:C6537" si="1426">A6536</f>
        <v>45990</v>
      </c>
      <c r="B6537" s="5" t="str">
        <f t="shared" si="1426"/>
        <v>Northern Cardinal</v>
      </c>
      <c r="C6537" s="6">
        <f t="shared" si="1426"/>
        <v>0.28333333333333333</v>
      </c>
      <c r="D6537" s="5"/>
      <c r="E6537" s="5"/>
      <c r="F6537" s="5" t="s">
        <v>8</v>
      </c>
      <c r="G6537" s="15" t="s">
        <v>9</v>
      </c>
      <c r="H6537" s="24">
        <f t="shared" si="1251"/>
        <v>0</v>
      </c>
      <c r="I6537" s="24" cm="1">
        <f t="array" ref="I6537">IFERROR(IF($B6537=I$1, ($A6537+$C6537) - MAX(IF($B$2:$B6536=$B6537, $A$2:$A6536+$C$2:$C6536)), "")*24*60, "")</f>
        <v>0</v>
      </c>
      <c r="J6537" s="24" t="str" cm="1">
        <f t="array" ref="J6537">IFERROR(IF($B6537=J$1, ($A6537+$C6537) - MAX(IF($B$2:$B6536=$B6537, $A$2:$A6536+$C$2:$C6536)), "")*24*60, "")</f>
        <v/>
      </c>
      <c r="K6537" s="24" t="str" cm="1">
        <f t="array" ref="K6537">IFERROR(IF($B6537=K$1, ($A6537+$C6537) - MAX(IF($B$2:$B6536=$B6537, $A$2:$A6536+$C$2:$C6536)), "")*24*60, "")</f>
        <v/>
      </c>
      <c r="L6537" s="24" t="str" cm="1">
        <f t="array" ref="L6537">IFERROR(IF($B6537=L$1, ($A6537+$C6537) - MAX(IF($B$2:$B6536=$B6537, $A$2:$A6536+$C$2:$C6536)), "")*24*60, "")</f>
        <v/>
      </c>
      <c r="M6537" s="24" t="str" cm="1">
        <f t="array" ref="M6537">IFERROR(IF($B6537=M$1, ($A6537+$C6537) - MAX(IF($B$2:$B6536=$B6537, $A$2:$A6536+$C$2:$C6536)), "")*24*60, "")</f>
        <v/>
      </c>
      <c r="N6537" s="24" t="str" cm="1">
        <f t="array" ref="N6537">IFERROR(IF($B6537=N$1, ($A6537+$C6537) - MAX(IF($B$2:$B6536=$B6537, $A$2:$A6536+$C$2:$C6536)), "")*24*60, "")</f>
        <v/>
      </c>
      <c r="O6537" s="24" t="str" cm="1">
        <f t="array" ref="O6537">IFERROR(IF($B6537=O$1, ($A6537+$C6537) - MAX(IF($B$2:$B6536=$B6537, $A$2:$A6536+$C$2:$C6536)), "")*24*60, "")</f>
        <v/>
      </c>
      <c r="P6537" s="24" t="str" cm="1">
        <f t="array" ref="P6537">IFERROR(IF($B6537=P$1, ($A6537+$C6537) - MAX(IF($B$2:$B6536=$B6537, $A$2:$A6536+$C$2:$C6536)), "")*24*60, "")</f>
        <v/>
      </c>
      <c r="Q6537" s="24" t="str" cm="1">
        <f t="array" ref="Q6537">IFERROR(IF($B6537=Q$1, ($A6537+$C6537) - MAX(IF($B$2:$B6536=$B6537, $A$2:$A6536+$C$2:$C6536)), "")*24*60, "")</f>
        <v/>
      </c>
      <c r="R6537" s="24" t="str" cm="1">
        <f t="array" ref="R6537">IFERROR(IF($B6537=R$1, ($A6537+$C6537) - MAX(IF($B$2:$B6536=$B6537, $A$2:$A6536+$C$2:$C6536)), "")*24*60, "")</f>
        <v/>
      </c>
      <c r="S6537" s="24" t="str" cm="1">
        <f t="array" ref="S6537">IFERROR(IF($B6537=S$1, ($A6537+$C6537) - MAX(IF($B$2:$B6536=$B6537, $A$2:$A6536+$C$2:$C6536)), "")*24*60, "")</f>
        <v/>
      </c>
    </row>
    <row r="6538" spans="1:19" x14ac:dyDescent="0.2">
      <c r="A6538" s="12">
        <f t="shared" ref="A6538:C6538" si="1427">A6537</f>
        <v>45990</v>
      </c>
      <c r="B6538" s="5" t="str">
        <f t="shared" si="1427"/>
        <v>Northern Cardinal</v>
      </c>
      <c r="C6538" s="6">
        <f t="shared" si="1427"/>
        <v>0.28333333333333333</v>
      </c>
      <c r="D6538" s="5"/>
      <c r="E6538" s="5"/>
      <c r="F6538" s="5" t="s">
        <v>8</v>
      </c>
      <c r="G6538" s="15" t="s">
        <v>9</v>
      </c>
      <c r="H6538" s="24">
        <f t="shared" si="1251"/>
        <v>0</v>
      </c>
      <c r="I6538" s="24" cm="1">
        <f t="array" ref="I6538">IFERROR(IF($B6538=I$1, ($A6538+$C6538) - MAX(IF($B$2:$B6537=$B6538, $A$2:$A6537+$C$2:$C6537)), "")*24*60, "")</f>
        <v>0</v>
      </c>
      <c r="J6538" s="24" t="str" cm="1">
        <f t="array" ref="J6538">IFERROR(IF($B6538=J$1, ($A6538+$C6538) - MAX(IF($B$2:$B6537=$B6538, $A$2:$A6537+$C$2:$C6537)), "")*24*60, "")</f>
        <v/>
      </c>
      <c r="K6538" s="24" t="str" cm="1">
        <f t="array" ref="K6538">IFERROR(IF($B6538=K$1, ($A6538+$C6538) - MAX(IF($B$2:$B6537=$B6538, $A$2:$A6537+$C$2:$C6537)), "")*24*60, "")</f>
        <v/>
      </c>
      <c r="L6538" s="24" t="str" cm="1">
        <f t="array" ref="L6538">IFERROR(IF($B6538=L$1, ($A6538+$C6538) - MAX(IF($B$2:$B6537=$B6538, $A$2:$A6537+$C$2:$C6537)), "")*24*60, "")</f>
        <v/>
      </c>
      <c r="M6538" s="24" t="str" cm="1">
        <f t="array" ref="M6538">IFERROR(IF($B6538=M$1, ($A6538+$C6538) - MAX(IF($B$2:$B6537=$B6538, $A$2:$A6537+$C$2:$C6537)), "")*24*60, "")</f>
        <v/>
      </c>
      <c r="N6538" s="24" t="str" cm="1">
        <f t="array" ref="N6538">IFERROR(IF($B6538=N$1, ($A6538+$C6538) - MAX(IF($B$2:$B6537=$B6538, $A$2:$A6537+$C$2:$C6537)), "")*24*60, "")</f>
        <v/>
      </c>
      <c r="O6538" s="24" t="str" cm="1">
        <f t="array" ref="O6538">IFERROR(IF($B6538=O$1, ($A6538+$C6538) - MAX(IF($B$2:$B6537=$B6538, $A$2:$A6537+$C$2:$C6537)), "")*24*60, "")</f>
        <v/>
      </c>
      <c r="P6538" s="24" t="str" cm="1">
        <f t="array" ref="P6538">IFERROR(IF($B6538=P$1, ($A6538+$C6538) - MAX(IF($B$2:$B6537=$B6538, $A$2:$A6537+$C$2:$C6537)), "")*24*60, "")</f>
        <v/>
      </c>
      <c r="Q6538" s="24" t="str" cm="1">
        <f t="array" ref="Q6538">IFERROR(IF($B6538=Q$1, ($A6538+$C6538) - MAX(IF($B$2:$B6537=$B6538, $A$2:$A6537+$C$2:$C6537)), "")*24*60, "")</f>
        <v/>
      </c>
      <c r="R6538" s="24" t="str" cm="1">
        <f t="array" ref="R6538">IFERROR(IF($B6538=R$1, ($A6538+$C6538) - MAX(IF($B$2:$B6537=$B6538, $A$2:$A6537+$C$2:$C6537)), "")*24*60, "")</f>
        <v/>
      </c>
      <c r="S6538" s="24" t="str" cm="1">
        <f t="array" ref="S6538">IFERROR(IF($B6538=S$1, ($A6538+$C6538) - MAX(IF($B$2:$B6537=$B6538, $A$2:$A6537+$C$2:$C6537)), "")*24*60, "")</f>
        <v/>
      </c>
    </row>
    <row r="6539" spans="1:19" x14ac:dyDescent="0.2">
      <c r="A6539" s="12">
        <f t="shared" ref="A6539:C6539" si="1428">A6538</f>
        <v>45990</v>
      </c>
      <c r="B6539" s="5" t="str">
        <f t="shared" si="1428"/>
        <v>Northern Cardinal</v>
      </c>
      <c r="C6539" s="6">
        <f t="shared" si="1428"/>
        <v>0.28333333333333333</v>
      </c>
      <c r="D6539" s="5"/>
      <c r="E6539" s="5"/>
      <c r="F6539" s="5" t="s">
        <v>8</v>
      </c>
      <c r="G6539" s="15" t="s">
        <v>9</v>
      </c>
      <c r="H6539" s="24">
        <f t="shared" si="1251"/>
        <v>0</v>
      </c>
      <c r="I6539" s="24" cm="1">
        <f t="array" ref="I6539">IFERROR(IF($B6539=I$1, ($A6539+$C6539) - MAX(IF($B$2:$B6538=$B6539, $A$2:$A6538+$C$2:$C6538)), "")*24*60, "")</f>
        <v>0</v>
      </c>
      <c r="J6539" s="24" t="str" cm="1">
        <f t="array" ref="J6539">IFERROR(IF($B6539=J$1, ($A6539+$C6539) - MAX(IF($B$2:$B6538=$B6539, $A$2:$A6538+$C$2:$C6538)), "")*24*60, "")</f>
        <v/>
      </c>
      <c r="K6539" s="24" t="str" cm="1">
        <f t="array" ref="K6539">IFERROR(IF($B6539=K$1, ($A6539+$C6539) - MAX(IF($B$2:$B6538=$B6539, $A$2:$A6538+$C$2:$C6538)), "")*24*60, "")</f>
        <v/>
      </c>
      <c r="L6539" s="24" t="str" cm="1">
        <f t="array" ref="L6539">IFERROR(IF($B6539=L$1, ($A6539+$C6539) - MAX(IF($B$2:$B6538=$B6539, $A$2:$A6538+$C$2:$C6538)), "")*24*60, "")</f>
        <v/>
      </c>
      <c r="M6539" s="24" t="str" cm="1">
        <f t="array" ref="M6539">IFERROR(IF($B6539=M$1, ($A6539+$C6539) - MAX(IF($B$2:$B6538=$B6539, $A$2:$A6538+$C$2:$C6538)), "")*24*60, "")</f>
        <v/>
      </c>
      <c r="N6539" s="24" t="str" cm="1">
        <f t="array" ref="N6539">IFERROR(IF($B6539=N$1, ($A6539+$C6539) - MAX(IF($B$2:$B6538=$B6539, $A$2:$A6538+$C$2:$C6538)), "")*24*60, "")</f>
        <v/>
      </c>
      <c r="O6539" s="24" t="str" cm="1">
        <f t="array" ref="O6539">IFERROR(IF($B6539=O$1, ($A6539+$C6539) - MAX(IF($B$2:$B6538=$B6539, $A$2:$A6538+$C$2:$C6538)), "")*24*60, "")</f>
        <v/>
      </c>
      <c r="P6539" s="24" t="str" cm="1">
        <f t="array" ref="P6539">IFERROR(IF($B6539=P$1, ($A6539+$C6539) - MAX(IF($B$2:$B6538=$B6539, $A$2:$A6538+$C$2:$C6538)), "")*24*60, "")</f>
        <v/>
      </c>
      <c r="Q6539" s="24" t="str" cm="1">
        <f t="array" ref="Q6539">IFERROR(IF($B6539=Q$1, ($A6539+$C6539) - MAX(IF($B$2:$B6538=$B6539, $A$2:$A6538+$C$2:$C6538)), "")*24*60, "")</f>
        <v/>
      </c>
      <c r="R6539" s="24" t="str" cm="1">
        <f t="array" ref="R6539">IFERROR(IF($B6539=R$1, ($A6539+$C6539) - MAX(IF($B$2:$B6538=$B6539, $A$2:$A6538+$C$2:$C6538)), "")*24*60, "")</f>
        <v/>
      </c>
      <c r="S6539" s="24" t="str" cm="1">
        <f t="array" ref="S6539">IFERROR(IF($B6539=S$1, ($A6539+$C6539) - MAX(IF($B$2:$B6538=$B6539, $A$2:$A6538+$C$2:$C6538)), "")*24*60, "")</f>
        <v/>
      </c>
    </row>
    <row r="6540" spans="1:19" x14ac:dyDescent="0.2">
      <c r="A6540" s="12">
        <f t="shared" ref="A6540:C6540" si="1429">A6539</f>
        <v>45990</v>
      </c>
      <c r="B6540" s="5" t="str">
        <f t="shared" si="1429"/>
        <v>Northern Cardinal</v>
      </c>
      <c r="C6540" s="6">
        <f t="shared" si="1429"/>
        <v>0.28333333333333333</v>
      </c>
      <c r="D6540" s="5"/>
      <c r="E6540" s="5"/>
      <c r="F6540" s="5" t="s">
        <v>8</v>
      </c>
      <c r="G6540" s="15" t="s">
        <v>9</v>
      </c>
      <c r="H6540" s="24">
        <f t="shared" si="1251"/>
        <v>0</v>
      </c>
      <c r="I6540" s="24" cm="1">
        <f t="array" ref="I6540">IFERROR(IF($B6540=I$1, ($A6540+$C6540) - MAX(IF($B$2:$B6539=$B6540, $A$2:$A6539+$C$2:$C6539)), "")*24*60, "")</f>
        <v>0</v>
      </c>
      <c r="J6540" s="24" t="str" cm="1">
        <f t="array" ref="J6540">IFERROR(IF($B6540=J$1, ($A6540+$C6540) - MAX(IF($B$2:$B6539=$B6540, $A$2:$A6539+$C$2:$C6539)), "")*24*60, "")</f>
        <v/>
      </c>
      <c r="K6540" s="24" t="str" cm="1">
        <f t="array" ref="K6540">IFERROR(IF($B6540=K$1, ($A6540+$C6540) - MAX(IF($B$2:$B6539=$B6540, $A$2:$A6539+$C$2:$C6539)), "")*24*60, "")</f>
        <v/>
      </c>
      <c r="L6540" s="24" t="str" cm="1">
        <f t="array" ref="L6540">IFERROR(IF($B6540=L$1, ($A6540+$C6540) - MAX(IF($B$2:$B6539=$B6540, $A$2:$A6539+$C$2:$C6539)), "")*24*60, "")</f>
        <v/>
      </c>
      <c r="M6540" s="24" t="str" cm="1">
        <f t="array" ref="M6540">IFERROR(IF($B6540=M$1, ($A6540+$C6540) - MAX(IF($B$2:$B6539=$B6540, $A$2:$A6539+$C$2:$C6539)), "")*24*60, "")</f>
        <v/>
      </c>
      <c r="N6540" s="24" t="str" cm="1">
        <f t="array" ref="N6540">IFERROR(IF($B6540=N$1, ($A6540+$C6540) - MAX(IF($B$2:$B6539=$B6540, $A$2:$A6539+$C$2:$C6539)), "")*24*60, "")</f>
        <v/>
      </c>
      <c r="O6540" s="24" t="str" cm="1">
        <f t="array" ref="O6540">IFERROR(IF($B6540=O$1, ($A6540+$C6540) - MAX(IF($B$2:$B6539=$B6540, $A$2:$A6539+$C$2:$C6539)), "")*24*60, "")</f>
        <v/>
      </c>
      <c r="P6540" s="24" t="str" cm="1">
        <f t="array" ref="P6540">IFERROR(IF($B6540=P$1, ($A6540+$C6540) - MAX(IF($B$2:$B6539=$B6540, $A$2:$A6539+$C$2:$C6539)), "")*24*60, "")</f>
        <v/>
      </c>
      <c r="Q6540" s="24" t="str" cm="1">
        <f t="array" ref="Q6540">IFERROR(IF($B6540=Q$1, ($A6540+$C6540) - MAX(IF($B$2:$B6539=$B6540, $A$2:$A6539+$C$2:$C6539)), "")*24*60, "")</f>
        <v/>
      </c>
      <c r="R6540" s="24" t="str" cm="1">
        <f t="array" ref="R6540">IFERROR(IF($B6540=R$1, ($A6540+$C6540) - MAX(IF($B$2:$B6539=$B6540, $A$2:$A6539+$C$2:$C6539)), "")*24*60, "")</f>
        <v/>
      </c>
      <c r="S6540" s="24" t="str" cm="1">
        <f t="array" ref="S6540">IFERROR(IF($B6540=S$1, ($A6540+$C6540) - MAX(IF($B$2:$B6539=$B6540, $A$2:$A6539+$C$2:$C6539)), "")*24*60, "")</f>
        <v/>
      </c>
    </row>
    <row r="6541" spans="1:19" x14ac:dyDescent="0.2">
      <c r="A6541" s="12">
        <f t="shared" ref="A6541:C6541" si="1430">A6540</f>
        <v>45990</v>
      </c>
      <c r="B6541" s="5" t="str">
        <f t="shared" si="1430"/>
        <v>Northern Cardinal</v>
      </c>
      <c r="C6541" s="6">
        <f t="shared" si="1430"/>
        <v>0.28333333333333333</v>
      </c>
      <c r="D6541" s="5"/>
      <c r="E6541" s="5"/>
      <c r="F6541" s="5" t="s">
        <v>8</v>
      </c>
      <c r="G6541" s="15" t="s">
        <v>9</v>
      </c>
      <c r="H6541" s="24">
        <f t="shared" si="1251"/>
        <v>0</v>
      </c>
      <c r="I6541" s="24" cm="1">
        <f t="array" ref="I6541">IFERROR(IF($B6541=I$1, ($A6541+$C6541) - MAX(IF($B$2:$B6540=$B6541, $A$2:$A6540+$C$2:$C6540)), "")*24*60, "")</f>
        <v>0</v>
      </c>
      <c r="J6541" s="24" t="str" cm="1">
        <f t="array" ref="J6541">IFERROR(IF($B6541=J$1, ($A6541+$C6541) - MAX(IF($B$2:$B6540=$B6541, $A$2:$A6540+$C$2:$C6540)), "")*24*60, "")</f>
        <v/>
      </c>
      <c r="K6541" s="24" t="str" cm="1">
        <f t="array" ref="K6541">IFERROR(IF($B6541=K$1, ($A6541+$C6541) - MAX(IF($B$2:$B6540=$B6541, $A$2:$A6540+$C$2:$C6540)), "")*24*60, "")</f>
        <v/>
      </c>
      <c r="L6541" s="24" t="str" cm="1">
        <f t="array" ref="L6541">IFERROR(IF($B6541=L$1, ($A6541+$C6541) - MAX(IF($B$2:$B6540=$B6541, $A$2:$A6540+$C$2:$C6540)), "")*24*60, "")</f>
        <v/>
      </c>
      <c r="M6541" s="24" t="str" cm="1">
        <f t="array" ref="M6541">IFERROR(IF($B6541=M$1, ($A6541+$C6541) - MAX(IF($B$2:$B6540=$B6541, $A$2:$A6540+$C$2:$C6540)), "")*24*60, "")</f>
        <v/>
      </c>
      <c r="N6541" s="24" t="str" cm="1">
        <f t="array" ref="N6541">IFERROR(IF($B6541=N$1, ($A6541+$C6541) - MAX(IF($B$2:$B6540=$B6541, $A$2:$A6540+$C$2:$C6540)), "")*24*60, "")</f>
        <v/>
      </c>
      <c r="O6541" s="24" t="str" cm="1">
        <f t="array" ref="O6541">IFERROR(IF($B6541=O$1, ($A6541+$C6541) - MAX(IF($B$2:$B6540=$B6541, $A$2:$A6540+$C$2:$C6540)), "")*24*60, "")</f>
        <v/>
      </c>
      <c r="P6541" s="24" t="str" cm="1">
        <f t="array" ref="P6541">IFERROR(IF($B6541=P$1, ($A6541+$C6541) - MAX(IF($B$2:$B6540=$B6541, $A$2:$A6540+$C$2:$C6540)), "")*24*60, "")</f>
        <v/>
      </c>
      <c r="Q6541" s="24" t="str" cm="1">
        <f t="array" ref="Q6541">IFERROR(IF($B6541=Q$1, ($A6541+$C6541) - MAX(IF($B$2:$B6540=$B6541, $A$2:$A6540+$C$2:$C6540)), "")*24*60, "")</f>
        <v/>
      </c>
      <c r="R6541" s="24" t="str" cm="1">
        <f t="array" ref="R6541">IFERROR(IF($B6541=R$1, ($A6541+$C6541) - MAX(IF($B$2:$B6540=$B6541, $A$2:$A6540+$C$2:$C6540)), "")*24*60, "")</f>
        <v/>
      </c>
      <c r="S6541" s="24" t="str" cm="1">
        <f t="array" ref="S6541">IFERROR(IF($B6541=S$1, ($A6541+$C6541) - MAX(IF($B$2:$B6540=$B6541, $A$2:$A6540+$C$2:$C6540)), "")*24*60, "")</f>
        <v/>
      </c>
    </row>
    <row r="6542" spans="1:19" x14ac:dyDescent="0.2">
      <c r="A6542" s="12">
        <f t="shared" ref="A6542:C6542" si="1431">A6541</f>
        <v>45990</v>
      </c>
      <c r="B6542" s="5" t="str">
        <f t="shared" si="1431"/>
        <v>Northern Cardinal</v>
      </c>
      <c r="C6542" s="6">
        <f t="shared" si="1431"/>
        <v>0.28333333333333333</v>
      </c>
      <c r="D6542" s="5"/>
      <c r="E6542" s="5"/>
      <c r="F6542" s="5" t="s">
        <v>8</v>
      </c>
      <c r="G6542" s="15" t="s">
        <v>9</v>
      </c>
      <c r="H6542" s="24">
        <f t="shared" si="1251"/>
        <v>0</v>
      </c>
      <c r="I6542" s="24" cm="1">
        <f t="array" ref="I6542">IFERROR(IF($B6542=I$1, ($A6542+$C6542) - MAX(IF($B$2:$B6541=$B6542, $A$2:$A6541+$C$2:$C6541)), "")*24*60, "")</f>
        <v>0</v>
      </c>
      <c r="J6542" s="24" t="str" cm="1">
        <f t="array" ref="J6542">IFERROR(IF($B6542=J$1, ($A6542+$C6542) - MAX(IF($B$2:$B6541=$B6542, $A$2:$A6541+$C$2:$C6541)), "")*24*60, "")</f>
        <v/>
      </c>
      <c r="K6542" s="24" t="str" cm="1">
        <f t="array" ref="K6542">IFERROR(IF($B6542=K$1, ($A6542+$C6542) - MAX(IF($B$2:$B6541=$B6542, $A$2:$A6541+$C$2:$C6541)), "")*24*60, "")</f>
        <v/>
      </c>
      <c r="L6542" s="24" t="str" cm="1">
        <f t="array" ref="L6542">IFERROR(IF($B6542=L$1, ($A6542+$C6542) - MAX(IF($B$2:$B6541=$B6542, $A$2:$A6541+$C$2:$C6541)), "")*24*60, "")</f>
        <v/>
      </c>
      <c r="M6542" s="24" t="str" cm="1">
        <f t="array" ref="M6542">IFERROR(IF($B6542=M$1, ($A6542+$C6542) - MAX(IF($B$2:$B6541=$B6542, $A$2:$A6541+$C$2:$C6541)), "")*24*60, "")</f>
        <v/>
      </c>
      <c r="N6542" s="24" t="str" cm="1">
        <f t="array" ref="N6542">IFERROR(IF($B6542=N$1, ($A6542+$C6542) - MAX(IF($B$2:$B6541=$B6542, $A$2:$A6541+$C$2:$C6541)), "")*24*60, "")</f>
        <v/>
      </c>
      <c r="O6542" s="24" t="str" cm="1">
        <f t="array" ref="O6542">IFERROR(IF($B6542=O$1, ($A6542+$C6542) - MAX(IF($B$2:$B6541=$B6542, $A$2:$A6541+$C$2:$C6541)), "")*24*60, "")</f>
        <v/>
      </c>
      <c r="P6542" s="24" t="str" cm="1">
        <f t="array" ref="P6542">IFERROR(IF($B6542=P$1, ($A6542+$C6542) - MAX(IF($B$2:$B6541=$B6542, $A$2:$A6541+$C$2:$C6541)), "")*24*60, "")</f>
        <v/>
      </c>
      <c r="Q6542" s="24" t="str" cm="1">
        <f t="array" ref="Q6542">IFERROR(IF($B6542=Q$1, ($A6542+$C6542) - MAX(IF($B$2:$B6541=$B6542, $A$2:$A6541+$C$2:$C6541)), "")*24*60, "")</f>
        <v/>
      </c>
      <c r="R6542" s="24" t="str" cm="1">
        <f t="array" ref="R6542">IFERROR(IF($B6542=R$1, ($A6542+$C6542) - MAX(IF($B$2:$B6541=$B6542, $A$2:$A6541+$C$2:$C6541)), "")*24*60, "")</f>
        <v/>
      </c>
      <c r="S6542" s="24" t="str" cm="1">
        <f t="array" ref="S6542">IFERROR(IF($B6542=S$1, ($A6542+$C6542) - MAX(IF($B$2:$B6541=$B6542, $A$2:$A6541+$C$2:$C6541)), "")*24*60, "")</f>
        <v/>
      </c>
    </row>
    <row r="6543" spans="1:19" x14ac:dyDescent="0.2">
      <c r="A6543" s="12">
        <f t="shared" ref="A6543:C6543" si="1432">A6542</f>
        <v>45990</v>
      </c>
      <c r="B6543" s="5" t="str">
        <f t="shared" si="1432"/>
        <v>Northern Cardinal</v>
      </c>
      <c r="C6543" s="6">
        <f t="shared" si="1432"/>
        <v>0.28333333333333333</v>
      </c>
      <c r="D6543" s="5"/>
      <c r="E6543" s="5"/>
      <c r="F6543" s="5" t="s">
        <v>8</v>
      </c>
      <c r="G6543" s="15" t="s">
        <v>9</v>
      </c>
      <c r="H6543" s="24">
        <f t="shared" si="1251"/>
        <v>0</v>
      </c>
      <c r="I6543" s="24" cm="1">
        <f t="array" ref="I6543">IFERROR(IF($B6543=I$1, ($A6543+$C6543) - MAX(IF($B$2:$B6542=$B6543, $A$2:$A6542+$C$2:$C6542)), "")*24*60, "")</f>
        <v>0</v>
      </c>
      <c r="J6543" s="24" t="str" cm="1">
        <f t="array" ref="J6543">IFERROR(IF($B6543=J$1, ($A6543+$C6543) - MAX(IF($B$2:$B6542=$B6543, $A$2:$A6542+$C$2:$C6542)), "")*24*60, "")</f>
        <v/>
      </c>
      <c r="K6543" s="24" t="str" cm="1">
        <f t="array" ref="K6543">IFERROR(IF($B6543=K$1, ($A6543+$C6543) - MAX(IF($B$2:$B6542=$B6543, $A$2:$A6542+$C$2:$C6542)), "")*24*60, "")</f>
        <v/>
      </c>
      <c r="L6543" s="24" t="str" cm="1">
        <f t="array" ref="L6543">IFERROR(IF($B6543=L$1, ($A6543+$C6543) - MAX(IF($B$2:$B6542=$B6543, $A$2:$A6542+$C$2:$C6542)), "")*24*60, "")</f>
        <v/>
      </c>
      <c r="M6543" s="24" t="str" cm="1">
        <f t="array" ref="M6543">IFERROR(IF($B6543=M$1, ($A6543+$C6543) - MAX(IF($B$2:$B6542=$B6543, $A$2:$A6542+$C$2:$C6542)), "")*24*60, "")</f>
        <v/>
      </c>
      <c r="N6543" s="24" t="str" cm="1">
        <f t="array" ref="N6543">IFERROR(IF($B6543=N$1, ($A6543+$C6543) - MAX(IF($B$2:$B6542=$B6543, $A$2:$A6542+$C$2:$C6542)), "")*24*60, "")</f>
        <v/>
      </c>
      <c r="O6543" s="24" t="str" cm="1">
        <f t="array" ref="O6543">IFERROR(IF($B6543=O$1, ($A6543+$C6543) - MAX(IF($B$2:$B6542=$B6543, $A$2:$A6542+$C$2:$C6542)), "")*24*60, "")</f>
        <v/>
      </c>
      <c r="P6543" s="24" t="str" cm="1">
        <f t="array" ref="P6543">IFERROR(IF($B6543=P$1, ($A6543+$C6543) - MAX(IF($B$2:$B6542=$B6543, $A$2:$A6542+$C$2:$C6542)), "")*24*60, "")</f>
        <v/>
      </c>
      <c r="Q6543" s="24" t="str" cm="1">
        <f t="array" ref="Q6543">IFERROR(IF($B6543=Q$1, ($A6543+$C6543) - MAX(IF($B$2:$B6542=$B6543, $A$2:$A6542+$C$2:$C6542)), "")*24*60, "")</f>
        <v/>
      </c>
      <c r="R6543" s="24" t="str" cm="1">
        <f t="array" ref="R6543">IFERROR(IF($B6543=R$1, ($A6543+$C6543) - MAX(IF($B$2:$B6542=$B6543, $A$2:$A6542+$C$2:$C6542)), "")*24*60, "")</f>
        <v/>
      </c>
      <c r="S6543" s="24" t="str" cm="1">
        <f t="array" ref="S6543">IFERROR(IF($B6543=S$1, ($A6543+$C6543) - MAX(IF($B$2:$B6542=$B6543, $A$2:$A6542+$C$2:$C6542)), "")*24*60, "")</f>
        <v/>
      </c>
    </row>
    <row r="6544" spans="1:19" x14ac:dyDescent="0.2">
      <c r="A6544" s="12">
        <f t="shared" ref="A6544:C6544" si="1433">A6543</f>
        <v>45990</v>
      </c>
      <c r="B6544" s="5" t="str">
        <f t="shared" si="1433"/>
        <v>Northern Cardinal</v>
      </c>
      <c r="C6544" s="6">
        <f t="shared" si="1433"/>
        <v>0.28333333333333333</v>
      </c>
      <c r="D6544" s="5"/>
      <c r="E6544" s="5"/>
      <c r="F6544" s="5" t="s">
        <v>8</v>
      </c>
      <c r="G6544" s="15" t="s">
        <v>9</v>
      </c>
      <c r="H6544" s="24">
        <f t="shared" si="1251"/>
        <v>0</v>
      </c>
      <c r="I6544" s="24" cm="1">
        <f t="array" ref="I6544">IFERROR(IF($B6544=I$1, ($A6544+$C6544) - MAX(IF($B$2:$B6543=$B6544, $A$2:$A6543+$C$2:$C6543)), "")*24*60, "")</f>
        <v>0</v>
      </c>
      <c r="J6544" s="24" t="str" cm="1">
        <f t="array" ref="J6544">IFERROR(IF($B6544=J$1, ($A6544+$C6544) - MAX(IF($B$2:$B6543=$B6544, $A$2:$A6543+$C$2:$C6543)), "")*24*60, "")</f>
        <v/>
      </c>
      <c r="K6544" s="24" t="str" cm="1">
        <f t="array" ref="K6544">IFERROR(IF($B6544=K$1, ($A6544+$C6544) - MAX(IF($B$2:$B6543=$B6544, $A$2:$A6543+$C$2:$C6543)), "")*24*60, "")</f>
        <v/>
      </c>
      <c r="L6544" s="24" t="str" cm="1">
        <f t="array" ref="L6544">IFERROR(IF($B6544=L$1, ($A6544+$C6544) - MAX(IF($B$2:$B6543=$B6544, $A$2:$A6543+$C$2:$C6543)), "")*24*60, "")</f>
        <v/>
      </c>
      <c r="M6544" s="24" t="str" cm="1">
        <f t="array" ref="M6544">IFERROR(IF($B6544=M$1, ($A6544+$C6544) - MAX(IF($B$2:$B6543=$B6544, $A$2:$A6543+$C$2:$C6543)), "")*24*60, "")</f>
        <v/>
      </c>
      <c r="N6544" s="24" t="str" cm="1">
        <f t="array" ref="N6544">IFERROR(IF($B6544=N$1, ($A6544+$C6544) - MAX(IF($B$2:$B6543=$B6544, $A$2:$A6543+$C$2:$C6543)), "")*24*60, "")</f>
        <v/>
      </c>
      <c r="O6544" s="24" t="str" cm="1">
        <f t="array" ref="O6544">IFERROR(IF($B6544=O$1, ($A6544+$C6544) - MAX(IF($B$2:$B6543=$B6544, $A$2:$A6543+$C$2:$C6543)), "")*24*60, "")</f>
        <v/>
      </c>
      <c r="P6544" s="24" t="str" cm="1">
        <f t="array" ref="P6544">IFERROR(IF($B6544=P$1, ($A6544+$C6544) - MAX(IF($B$2:$B6543=$B6544, $A$2:$A6543+$C$2:$C6543)), "")*24*60, "")</f>
        <v/>
      </c>
      <c r="Q6544" s="24" t="str" cm="1">
        <f t="array" ref="Q6544">IFERROR(IF($B6544=Q$1, ($A6544+$C6544) - MAX(IF($B$2:$B6543=$B6544, $A$2:$A6543+$C$2:$C6543)), "")*24*60, "")</f>
        <v/>
      </c>
      <c r="R6544" s="24" t="str" cm="1">
        <f t="array" ref="R6544">IFERROR(IF($B6544=R$1, ($A6544+$C6544) - MAX(IF($B$2:$B6543=$B6544, $A$2:$A6543+$C$2:$C6543)), "")*24*60, "")</f>
        <v/>
      </c>
      <c r="S6544" s="24" t="str" cm="1">
        <f t="array" ref="S6544">IFERROR(IF($B6544=S$1, ($A6544+$C6544) - MAX(IF($B$2:$B6543=$B6544, $A$2:$A6543+$C$2:$C6543)), "")*24*60, "")</f>
        <v/>
      </c>
    </row>
    <row r="6545" spans="1:19" x14ac:dyDescent="0.2">
      <c r="A6545" s="12">
        <f t="shared" ref="A6545:C6545" si="1434">A6544</f>
        <v>45990</v>
      </c>
      <c r="B6545" s="5" t="str">
        <f t="shared" si="1434"/>
        <v>Northern Cardinal</v>
      </c>
      <c r="C6545" s="6">
        <f t="shared" si="1434"/>
        <v>0.28333333333333333</v>
      </c>
      <c r="D6545" s="5"/>
      <c r="E6545" s="5"/>
      <c r="F6545" s="5" t="s">
        <v>8</v>
      </c>
      <c r="G6545" s="15" t="s">
        <v>9</v>
      </c>
      <c r="H6545" s="24">
        <f t="shared" si="1251"/>
        <v>0</v>
      </c>
      <c r="I6545" s="24" cm="1">
        <f t="array" ref="I6545">IFERROR(IF($B6545=I$1, ($A6545+$C6545) - MAX(IF($B$2:$B6544=$B6545, $A$2:$A6544+$C$2:$C6544)), "")*24*60, "")</f>
        <v>0</v>
      </c>
      <c r="J6545" s="24" t="str" cm="1">
        <f t="array" ref="J6545">IFERROR(IF($B6545=J$1, ($A6545+$C6545) - MAX(IF($B$2:$B6544=$B6545, $A$2:$A6544+$C$2:$C6544)), "")*24*60, "")</f>
        <v/>
      </c>
      <c r="K6545" s="24" t="str" cm="1">
        <f t="array" ref="K6545">IFERROR(IF($B6545=K$1, ($A6545+$C6545) - MAX(IF($B$2:$B6544=$B6545, $A$2:$A6544+$C$2:$C6544)), "")*24*60, "")</f>
        <v/>
      </c>
      <c r="L6545" s="24" t="str" cm="1">
        <f t="array" ref="L6545">IFERROR(IF($B6545=L$1, ($A6545+$C6545) - MAX(IF($B$2:$B6544=$B6545, $A$2:$A6544+$C$2:$C6544)), "")*24*60, "")</f>
        <v/>
      </c>
      <c r="M6545" s="24" t="str" cm="1">
        <f t="array" ref="M6545">IFERROR(IF($B6545=M$1, ($A6545+$C6545) - MAX(IF($B$2:$B6544=$B6545, $A$2:$A6544+$C$2:$C6544)), "")*24*60, "")</f>
        <v/>
      </c>
      <c r="N6545" s="24" t="str" cm="1">
        <f t="array" ref="N6545">IFERROR(IF($B6545=N$1, ($A6545+$C6545) - MAX(IF($B$2:$B6544=$B6545, $A$2:$A6544+$C$2:$C6544)), "")*24*60, "")</f>
        <v/>
      </c>
      <c r="O6545" s="24" t="str" cm="1">
        <f t="array" ref="O6545">IFERROR(IF($B6545=O$1, ($A6545+$C6545) - MAX(IF($B$2:$B6544=$B6545, $A$2:$A6544+$C$2:$C6544)), "")*24*60, "")</f>
        <v/>
      </c>
      <c r="P6545" s="24" t="str" cm="1">
        <f t="array" ref="P6545">IFERROR(IF($B6545=P$1, ($A6545+$C6545) - MAX(IF($B$2:$B6544=$B6545, $A$2:$A6544+$C$2:$C6544)), "")*24*60, "")</f>
        <v/>
      </c>
      <c r="Q6545" s="24" t="str" cm="1">
        <f t="array" ref="Q6545">IFERROR(IF($B6545=Q$1, ($A6545+$C6545) - MAX(IF($B$2:$B6544=$B6545, $A$2:$A6544+$C$2:$C6544)), "")*24*60, "")</f>
        <v/>
      </c>
      <c r="R6545" s="24" t="str" cm="1">
        <f t="array" ref="R6545">IFERROR(IF($B6545=R$1, ($A6545+$C6545) - MAX(IF($B$2:$B6544=$B6545, $A$2:$A6544+$C$2:$C6544)), "")*24*60, "")</f>
        <v/>
      </c>
      <c r="S6545" s="24" t="str" cm="1">
        <f t="array" ref="S6545">IFERROR(IF($B6545=S$1, ($A6545+$C6545) - MAX(IF($B$2:$B6544=$B6545, $A$2:$A6544+$C$2:$C6544)), "")*24*60, "")</f>
        <v/>
      </c>
    </row>
    <row r="6546" spans="1:19" x14ac:dyDescent="0.2">
      <c r="A6546" s="12">
        <f t="shared" ref="A6546:C6546" si="1435">A6545</f>
        <v>45990</v>
      </c>
      <c r="B6546" s="5" t="str">
        <f t="shared" si="1435"/>
        <v>Northern Cardinal</v>
      </c>
      <c r="C6546" s="6">
        <f t="shared" si="1435"/>
        <v>0.28333333333333333</v>
      </c>
      <c r="D6546" s="5"/>
      <c r="E6546" s="5"/>
      <c r="F6546" s="5" t="s">
        <v>8</v>
      </c>
      <c r="G6546" s="15" t="s">
        <v>9</v>
      </c>
      <c r="H6546" s="24">
        <f t="shared" si="1251"/>
        <v>0</v>
      </c>
      <c r="I6546" s="24" cm="1">
        <f t="array" ref="I6546">IFERROR(IF($B6546=I$1, ($A6546+$C6546) - MAX(IF($B$2:$B6545=$B6546, $A$2:$A6545+$C$2:$C6545)), "")*24*60, "")</f>
        <v>0</v>
      </c>
      <c r="J6546" s="24" t="str" cm="1">
        <f t="array" ref="J6546">IFERROR(IF($B6546=J$1, ($A6546+$C6546) - MAX(IF($B$2:$B6545=$B6546, $A$2:$A6545+$C$2:$C6545)), "")*24*60, "")</f>
        <v/>
      </c>
      <c r="K6546" s="24" t="str" cm="1">
        <f t="array" ref="K6546">IFERROR(IF($B6546=K$1, ($A6546+$C6546) - MAX(IF($B$2:$B6545=$B6546, $A$2:$A6545+$C$2:$C6545)), "")*24*60, "")</f>
        <v/>
      </c>
      <c r="L6546" s="24" t="str" cm="1">
        <f t="array" ref="L6546">IFERROR(IF($B6546=L$1, ($A6546+$C6546) - MAX(IF($B$2:$B6545=$B6546, $A$2:$A6545+$C$2:$C6545)), "")*24*60, "")</f>
        <v/>
      </c>
      <c r="M6546" s="24" t="str" cm="1">
        <f t="array" ref="M6546">IFERROR(IF($B6546=M$1, ($A6546+$C6546) - MAX(IF($B$2:$B6545=$B6546, $A$2:$A6545+$C$2:$C6545)), "")*24*60, "")</f>
        <v/>
      </c>
      <c r="N6546" s="24" t="str" cm="1">
        <f t="array" ref="N6546">IFERROR(IF($B6546=N$1, ($A6546+$C6546) - MAX(IF($B$2:$B6545=$B6546, $A$2:$A6545+$C$2:$C6545)), "")*24*60, "")</f>
        <v/>
      </c>
      <c r="O6546" s="24" t="str" cm="1">
        <f t="array" ref="O6546">IFERROR(IF($B6546=O$1, ($A6546+$C6546) - MAX(IF($B$2:$B6545=$B6546, $A$2:$A6545+$C$2:$C6545)), "")*24*60, "")</f>
        <v/>
      </c>
      <c r="P6546" s="24" t="str" cm="1">
        <f t="array" ref="P6546">IFERROR(IF($B6546=P$1, ($A6546+$C6546) - MAX(IF($B$2:$B6545=$B6546, $A$2:$A6545+$C$2:$C6545)), "")*24*60, "")</f>
        <v/>
      </c>
      <c r="Q6546" s="24" t="str" cm="1">
        <f t="array" ref="Q6546">IFERROR(IF($B6546=Q$1, ($A6546+$C6546) - MAX(IF($B$2:$B6545=$B6546, $A$2:$A6545+$C$2:$C6545)), "")*24*60, "")</f>
        <v/>
      </c>
      <c r="R6546" s="24" t="str" cm="1">
        <f t="array" ref="R6546">IFERROR(IF($B6546=R$1, ($A6546+$C6546) - MAX(IF($B$2:$B6545=$B6546, $A$2:$A6545+$C$2:$C6545)), "")*24*60, "")</f>
        <v/>
      </c>
      <c r="S6546" s="24" t="str" cm="1">
        <f t="array" ref="S6546">IFERROR(IF($B6546=S$1, ($A6546+$C6546) - MAX(IF($B$2:$B6545=$B6546, $A$2:$A6545+$C$2:$C6545)), "")*24*60, "")</f>
        <v/>
      </c>
    </row>
    <row r="6547" spans="1:19" x14ac:dyDescent="0.2">
      <c r="A6547" s="12">
        <f t="shared" ref="A6547:C6547" si="1436">A6546</f>
        <v>45990</v>
      </c>
      <c r="B6547" s="5" t="str">
        <f t="shared" si="1436"/>
        <v>Northern Cardinal</v>
      </c>
      <c r="C6547" s="6">
        <f t="shared" si="1436"/>
        <v>0.28333333333333333</v>
      </c>
      <c r="D6547" s="5"/>
      <c r="E6547" s="5"/>
      <c r="F6547" s="5" t="s">
        <v>8</v>
      </c>
      <c r="G6547" s="15" t="s">
        <v>9</v>
      </c>
      <c r="H6547" s="24">
        <f t="shared" si="1251"/>
        <v>0</v>
      </c>
      <c r="I6547" s="24" cm="1">
        <f t="array" ref="I6547">IFERROR(IF($B6547=I$1, ($A6547+$C6547) - MAX(IF($B$2:$B6546=$B6547, $A$2:$A6546+$C$2:$C6546)), "")*24*60, "")</f>
        <v>0</v>
      </c>
      <c r="J6547" s="24" t="str" cm="1">
        <f t="array" ref="J6547">IFERROR(IF($B6547=J$1, ($A6547+$C6547) - MAX(IF($B$2:$B6546=$B6547, $A$2:$A6546+$C$2:$C6546)), "")*24*60, "")</f>
        <v/>
      </c>
      <c r="K6547" s="24" t="str" cm="1">
        <f t="array" ref="K6547">IFERROR(IF($B6547=K$1, ($A6547+$C6547) - MAX(IF($B$2:$B6546=$B6547, $A$2:$A6546+$C$2:$C6546)), "")*24*60, "")</f>
        <v/>
      </c>
      <c r="L6547" s="24" t="str" cm="1">
        <f t="array" ref="L6547">IFERROR(IF($B6547=L$1, ($A6547+$C6547) - MAX(IF($B$2:$B6546=$B6547, $A$2:$A6546+$C$2:$C6546)), "")*24*60, "")</f>
        <v/>
      </c>
      <c r="M6547" s="24" t="str" cm="1">
        <f t="array" ref="M6547">IFERROR(IF($B6547=M$1, ($A6547+$C6547) - MAX(IF($B$2:$B6546=$B6547, $A$2:$A6546+$C$2:$C6546)), "")*24*60, "")</f>
        <v/>
      </c>
      <c r="N6547" s="24" t="str" cm="1">
        <f t="array" ref="N6547">IFERROR(IF($B6547=N$1, ($A6547+$C6547) - MAX(IF($B$2:$B6546=$B6547, $A$2:$A6546+$C$2:$C6546)), "")*24*60, "")</f>
        <v/>
      </c>
      <c r="O6547" s="24" t="str" cm="1">
        <f t="array" ref="O6547">IFERROR(IF($B6547=O$1, ($A6547+$C6547) - MAX(IF($B$2:$B6546=$B6547, $A$2:$A6546+$C$2:$C6546)), "")*24*60, "")</f>
        <v/>
      </c>
      <c r="P6547" s="24" t="str" cm="1">
        <f t="array" ref="P6547">IFERROR(IF($B6547=P$1, ($A6547+$C6547) - MAX(IF($B$2:$B6546=$B6547, $A$2:$A6546+$C$2:$C6546)), "")*24*60, "")</f>
        <v/>
      </c>
      <c r="Q6547" s="24" t="str" cm="1">
        <f t="array" ref="Q6547">IFERROR(IF($B6547=Q$1, ($A6547+$C6547) - MAX(IF($B$2:$B6546=$B6547, $A$2:$A6546+$C$2:$C6546)), "")*24*60, "")</f>
        <v/>
      </c>
      <c r="R6547" s="24" t="str" cm="1">
        <f t="array" ref="R6547">IFERROR(IF($B6547=R$1, ($A6547+$C6547) - MAX(IF($B$2:$B6546=$B6547, $A$2:$A6546+$C$2:$C6546)), "")*24*60, "")</f>
        <v/>
      </c>
      <c r="S6547" s="24" t="str" cm="1">
        <f t="array" ref="S6547">IFERROR(IF($B6547=S$1, ($A6547+$C6547) - MAX(IF($B$2:$B6546=$B6547, $A$2:$A6546+$C$2:$C6546)), "")*24*60, "")</f>
        <v/>
      </c>
    </row>
    <row r="6548" spans="1:19" x14ac:dyDescent="0.2">
      <c r="A6548" s="12">
        <f t="shared" ref="A6548:C6548" si="1437">A6547</f>
        <v>45990</v>
      </c>
      <c r="B6548" s="5" t="str">
        <f t="shared" si="1437"/>
        <v>Northern Cardinal</v>
      </c>
      <c r="C6548" s="6">
        <f t="shared" si="1437"/>
        <v>0.28333333333333333</v>
      </c>
      <c r="D6548" s="5"/>
      <c r="E6548" s="5"/>
      <c r="F6548" s="5" t="s">
        <v>8</v>
      </c>
      <c r="G6548" s="15" t="s">
        <v>9</v>
      </c>
      <c r="H6548" s="24">
        <f t="shared" si="1251"/>
        <v>0</v>
      </c>
      <c r="I6548" s="24" cm="1">
        <f t="array" ref="I6548">IFERROR(IF($B6548=I$1, ($A6548+$C6548) - MAX(IF($B$2:$B6547=$B6548, $A$2:$A6547+$C$2:$C6547)), "")*24*60, "")</f>
        <v>0</v>
      </c>
      <c r="J6548" s="24" t="str" cm="1">
        <f t="array" ref="J6548">IFERROR(IF($B6548=J$1, ($A6548+$C6548) - MAX(IF($B$2:$B6547=$B6548, $A$2:$A6547+$C$2:$C6547)), "")*24*60, "")</f>
        <v/>
      </c>
      <c r="K6548" s="24" t="str" cm="1">
        <f t="array" ref="K6548">IFERROR(IF($B6548=K$1, ($A6548+$C6548) - MAX(IF($B$2:$B6547=$B6548, $A$2:$A6547+$C$2:$C6547)), "")*24*60, "")</f>
        <v/>
      </c>
      <c r="L6548" s="24" t="str" cm="1">
        <f t="array" ref="L6548">IFERROR(IF($B6548=L$1, ($A6548+$C6548) - MAX(IF($B$2:$B6547=$B6548, $A$2:$A6547+$C$2:$C6547)), "")*24*60, "")</f>
        <v/>
      </c>
      <c r="M6548" s="24" t="str" cm="1">
        <f t="array" ref="M6548">IFERROR(IF($B6548=M$1, ($A6548+$C6548) - MAX(IF($B$2:$B6547=$B6548, $A$2:$A6547+$C$2:$C6547)), "")*24*60, "")</f>
        <v/>
      </c>
      <c r="N6548" s="24" t="str" cm="1">
        <f t="array" ref="N6548">IFERROR(IF($B6548=N$1, ($A6548+$C6548) - MAX(IF($B$2:$B6547=$B6548, $A$2:$A6547+$C$2:$C6547)), "")*24*60, "")</f>
        <v/>
      </c>
      <c r="O6548" s="24" t="str" cm="1">
        <f t="array" ref="O6548">IFERROR(IF($B6548=O$1, ($A6548+$C6548) - MAX(IF($B$2:$B6547=$B6548, $A$2:$A6547+$C$2:$C6547)), "")*24*60, "")</f>
        <v/>
      </c>
      <c r="P6548" s="24" t="str" cm="1">
        <f t="array" ref="P6548">IFERROR(IF($B6548=P$1, ($A6548+$C6548) - MAX(IF($B$2:$B6547=$B6548, $A$2:$A6547+$C$2:$C6547)), "")*24*60, "")</f>
        <v/>
      </c>
      <c r="Q6548" s="24" t="str" cm="1">
        <f t="array" ref="Q6548">IFERROR(IF($B6548=Q$1, ($A6548+$C6548) - MAX(IF($B$2:$B6547=$B6548, $A$2:$A6547+$C$2:$C6547)), "")*24*60, "")</f>
        <v/>
      </c>
      <c r="R6548" s="24" t="str" cm="1">
        <f t="array" ref="R6548">IFERROR(IF($B6548=R$1, ($A6548+$C6548) - MAX(IF($B$2:$B6547=$B6548, $A$2:$A6547+$C$2:$C6547)), "")*24*60, "")</f>
        <v/>
      </c>
      <c r="S6548" s="24" t="str" cm="1">
        <f t="array" ref="S6548">IFERROR(IF($B6548=S$1, ($A6548+$C6548) - MAX(IF($B$2:$B6547=$B6548, $A$2:$A6547+$C$2:$C6547)), "")*24*60, "")</f>
        <v/>
      </c>
    </row>
    <row r="6549" spans="1:19" x14ac:dyDescent="0.2">
      <c r="A6549" s="12">
        <f t="shared" ref="A6549:C6549" si="1438">A6548</f>
        <v>45990</v>
      </c>
      <c r="B6549" s="5" t="str">
        <f t="shared" si="1438"/>
        <v>Northern Cardinal</v>
      </c>
      <c r="C6549" s="6">
        <f t="shared" si="1438"/>
        <v>0.28333333333333333</v>
      </c>
      <c r="D6549" s="5"/>
      <c r="E6549" s="5"/>
      <c r="F6549" s="5" t="s">
        <v>8</v>
      </c>
      <c r="G6549" s="15" t="s">
        <v>9</v>
      </c>
      <c r="H6549" s="24">
        <f t="shared" si="1251"/>
        <v>0</v>
      </c>
      <c r="I6549" s="24" cm="1">
        <f t="array" ref="I6549">IFERROR(IF($B6549=I$1, ($A6549+$C6549) - MAX(IF($B$2:$B6548=$B6549, $A$2:$A6548+$C$2:$C6548)), "")*24*60, "")</f>
        <v>0</v>
      </c>
      <c r="J6549" s="24" t="str" cm="1">
        <f t="array" ref="J6549">IFERROR(IF($B6549=J$1, ($A6549+$C6549) - MAX(IF($B$2:$B6548=$B6549, $A$2:$A6548+$C$2:$C6548)), "")*24*60, "")</f>
        <v/>
      </c>
      <c r="K6549" s="24" t="str" cm="1">
        <f t="array" ref="K6549">IFERROR(IF($B6549=K$1, ($A6549+$C6549) - MAX(IF($B$2:$B6548=$B6549, $A$2:$A6548+$C$2:$C6548)), "")*24*60, "")</f>
        <v/>
      </c>
      <c r="L6549" s="24" t="str" cm="1">
        <f t="array" ref="L6549">IFERROR(IF($B6549=L$1, ($A6549+$C6549) - MAX(IF($B$2:$B6548=$B6549, $A$2:$A6548+$C$2:$C6548)), "")*24*60, "")</f>
        <v/>
      </c>
      <c r="M6549" s="24" t="str" cm="1">
        <f t="array" ref="M6549">IFERROR(IF($B6549=M$1, ($A6549+$C6549) - MAX(IF($B$2:$B6548=$B6549, $A$2:$A6548+$C$2:$C6548)), "")*24*60, "")</f>
        <v/>
      </c>
      <c r="N6549" s="24" t="str" cm="1">
        <f t="array" ref="N6549">IFERROR(IF($B6549=N$1, ($A6549+$C6549) - MAX(IF($B$2:$B6548=$B6549, $A$2:$A6548+$C$2:$C6548)), "")*24*60, "")</f>
        <v/>
      </c>
      <c r="O6549" s="24" t="str" cm="1">
        <f t="array" ref="O6549">IFERROR(IF($B6549=O$1, ($A6549+$C6549) - MAX(IF($B$2:$B6548=$B6549, $A$2:$A6548+$C$2:$C6548)), "")*24*60, "")</f>
        <v/>
      </c>
      <c r="P6549" s="24" t="str" cm="1">
        <f t="array" ref="P6549">IFERROR(IF($B6549=P$1, ($A6549+$C6549) - MAX(IF($B$2:$B6548=$B6549, $A$2:$A6548+$C$2:$C6548)), "")*24*60, "")</f>
        <v/>
      </c>
      <c r="Q6549" s="24" t="str" cm="1">
        <f t="array" ref="Q6549">IFERROR(IF($B6549=Q$1, ($A6549+$C6549) - MAX(IF($B$2:$B6548=$B6549, $A$2:$A6548+$C$2:$C6548)), "")*24*60, "")</f>
        <v/>
      </c>
      <c r="R6549" s="24" t="str" cm="1">
        <f t="array" ref="R6549">IFERROR(IF($B6549=R$1, ($A6549+$C6549) - MAX(IF($B$2:$B6548=$B6549, $A$2:$A6548+$C$2:$C6548)), "")*24*60, "")</f>
        <v/>
      </c>
      <c r="S6549" s="24" t="str" cm="1">
        <f t="array" ref="S6549">IFERROR(IF($B6549=S$1, ($A6549+$C6549) - MAX(IF($B$2:$B6548=$B6549, $A$2:$A6548+$C$2:$C6548)), "")*24*60, "")</f>
        <v/>
      </c>
    </row>
    <row r="6550" spans="1:19" x14ac:dyDescent="0.2">
      <c r="A6550" s="12">
        <f t="shared" ref="A6550:C6550" si="1439">A6549</f>
        <v>45990</v>
      </c>
      <c r="B6550" s="5" t="str">
        <f t="shared" si="1439"/>
        <v>Northern Cardinal</v>
      </c>
      <c r="C6550" s="6">
        <f t="shared" si="1439"/>
        <v>0.28333333333333333</v>
      </c>
      <c r="D6550" s="5"/>
      <c r="E6550" s="5"/>
      <c r="F6550" s="5" t="s">
        <v>8</v>
      </c>
      <c r="G6550" s="15" t="s">
        <v>9</v>
      </c>
      <c r="H6550" s="24">
        <f t="shared" si="1251"/>
        <v>0</v>
      </c>
      <c r="I6550" s="24" cm="1">
        <f t="array" ref="I6550">IFERROR(IF($B6550=I$1, ($A6550+$C6550) - MAX(IF($B$2:$B6549=$B6550, $A$2:$A6549+$C$2:$C6549)), "")*24*60, "")</f>
        <v>0</v>
      </c>
      <c r="J6550" s="24" t="str" cm="1">
        <f t="array" ref="J6550">IFERROR(IF($B6550=J$1, ($A6550+$C6550) - MAX(IF($B$2:$B6549=$B6550, $A$2:$A6549+$C$2:$C6549)), "")*24*60, "")</f>
        <v/>
      </c>
      <c r="K6550" s="24" t="str" cm="1">
        <f t="array" ref="K6550">IFERROR(IF($B6550=K$1, ($A6550+$C6550) - MAX(IF($B$2:$B6549=$B6550, $A$2:$A6549+$C$2:$C6549)), "")*24*60, "")</f>
        <v/>
      </c>
      <c r="L6550" s="24" t="str" cm="1">
        <f t="array" ref="L6550">IFERROR(IF($B6550=L$1, ($A6550+$C6550) - MAX(IF($B$2:$B6549=$B6550, $A$2:$A6549+$C$2:$C6549)), "")*24*60, "")</f>
        <v/>
      </c>
      <c r="M6550" s="24" t="str" cm="1">
        <f t="array" ref="M6550">IFERROR(IF($B6550=M$1, ($A6550+$C6550) - MAX(IF($B$2:$B6549=$B6550, $A$2:$A6549+$C$2:$C6549)), "")*24*60, "")</f>
        <v/>
      </c>
      <c r="N6550" s="24" t="str" cm="1">
        <f t="array" ref="N6550">IFERROR(IF($B6550=N$1, ($A6550+$C6550) - MAX(IF($B$2:$B6549=$B6550, $A$2:$A6549+$C$2:$C6549)), "")*24*60, "")</f>
        <v/>
      </c>
      <c r="O6550" s="24" t="str" cm="1">
        <f t="array" ref="O6550">IFERROR(IF($B6550=O$1, ($A6550+$C6550) - MAX(IF($B$2:$B6549=$B6550, $A$2:$A6549+$C$2:$C6549)), "")*24*60, "")</f>
        <v/>
      </c>
      <c r="P6550" s="24" t="str" cm="1">
        <f t="array" ref="P6550">IFERROR(IF($B6550=P$1, ($A6550+$C6550) - MAX(IF($B$2:$B6549=$B6550, $A$2:$A6549+$C$2:$C6549)), "")*24*60, "")</f>
        <v/>
      </c>
      <c r="Q6550" s="24" t="str" cm="1">
        <f t="array" ref="Q6550">IFERROR(IF($B6550=Q$1, ($A6550+$C6550) - MAX(IF($B$2:$B6549=$B6550, $A$2:$A6549+$C$2:$C6549)), "")*24*60, "")</f>
        <v/>
      </c>
      <c r="R6550" s="24" t="str" cm="1">
        <f t="array" ref="R6550">IFERROR(IF($B6550=R$1, ($A6550+$C6550) - MAX(IF($B$2:$B6549=$B6550, $A$2:$A6549+$C$2:$C6549)), "")*24*60, "")</f>
        <v/>
      </c>
      <c r="S6550" s="24" t="str" cm="1">
        <f t="array" ref="S6550">IFERROR(IF($B6550=S$1, ($A6550+$C6550) - MAX(IF($B$2:$B6549=$B6550, $A$2:$A6549+$C$2:$C6549)), "")*24*60, "")</f>
        <v/>
      </c>
    </row>
    <row r="6551" spans="1:19" x14ac:dyDescent="0.2">
      <c r="A6551" s="12">
        <f t="shared" ref="A6551:C6551" si="1440">A6550</f>
        <v>45990</v>
      </c>
      <c r="B6551" s="5" t="str">
        <f t="shared" si="1440"/>
        <v>Northern Cardinal</v>
      </c>
      <c r="C6551" s="6">
        <f t="shared" si="1440"/>
        <v>0.28333333333333333</v>
      </c>
      <c r="D6551" s="5"/>
      <c r="E6551" s="5"/>
      <c r="F6551" s="5" t="s">
        <v>8</v>
      </c>
      <c r="G6551" s="15" t="s">
        <v>9</v>
      </c>
      <c r="H6551" s="24">
        <f t="shared" si="1251"/>
        <v>0</v>
      </c>
      <c r="I6551" s="24" cm="1">
        <f t="array" ref="I6551">IFERROR(IF($B6551=I$1, ($A6551+$C6551) - MAX(IF($B$2:$B6550=$B6551, $A$2:$A6550+$C$2:$C6550)), "")*24*60, "")</f>
        <v>0</v>
      </c>
      <c r="J6551" s="24" t="str" cm="1">
        <f t="array" ref="J6551">IFERROR(IF($B6551=J$1, ($A6551+$C6551) - MAX(IF($B$2:$B6550=$B6551, $A$2:$A6550+$C$2:$C6550)), "")*24*60, "")</f>
        <v/>
      </c>
      <c r="K6551" s="24" t="str" cm="1">
        <f t="array" ref="K6551">IFERROR(IF($B6551=K$1, ($A6551+$C6551) - MAX(IF($B$2:$B6550=$B6551, $A$2:$A6550+$C$2:$C6550)), "")*24*60, "")</f>
        <v/>
      </c>
      <c r="L6551" s="24" t="str" cm="1">
        <f t="array" ref="L6551">IFERROR(IF($B6551=L$1, ($A6551+$C6551) - MAX(IF($B$2:$B6550=$B6551, $A$2:$A6550+$C$2:$C6550)), "")*24*60, "")</f>
        <v/>
      </c>
      <c r="M6551" s="24" t="str" cm="1">
        <f t="array" ref="M6551">IFERROR(IF($B6551=M$1, ($A6551+$C6551) - MAX(IF($B$2:$B6550=$B6551, $A$2:$A6550+$C$2:$C6550)), "")*24*60, "")</f>
        <v/>
      </c>
      <c r="N6551" s="24" t="str" cm="1">
        <f t="array" ref="N6551">IFERROR(IF($B6551=N$1, ($A6551+$C6551) - MAX(IF($B$2:$B6550=$B6551, $A$2:$A6550+$C$2:$C6550)), "")*24*60, "")</f>
        <v/>
      </c>
      <c r="O6551" s="24" t="str" cm="1">
        <f t="array" ref="O6551">IFERROR(IF($B6551=O$1, ($A6551+$C6551) - MAX(IF($B$2:$B6550=$B6551, $A$2:$A6550+$C$2:$C6550)), "")*24*60, "")</f>
        <v/>
      </c>
      <c r="P6551" s="24" t="str" cm="1">
        <f t="array" ref="P6551">IFERROR(IF($B6551=P$1, ($A6551+$C6551) - MAX(IF($B$2:$B6550=$B6551, $A$2:$A6550+$C$2:$C6550)), "")*24*60, "")</f>
        <v/>
      </c>
      <c r="Q6551" s="24" t="str" cm="1">
        <f t="array" ref="Q6551">IFERROR(IF($B6551=Q$1, ($A6551+$C6551) - MAX(IF($B$2:$B6550=$B6551, $A$2:$A6550+$C$2:$C6550)), "")*24*60, "")</f>
        <v/>
      </c>
      <c r="R6551" s="24" t="str" cm="1">
        <f t="array" ref="R6551">IFERROR(IF($B6551=R$1, ($A6551+$C6551) - MAX(IF($B$2:$B6550=$B6551, $A$2:$A6550+$C$2:$C6550)), "")*24*60, "")</f>
        <v/>
      </c>
      <c r="S6551" s="24" t="str" cm="1">
        <f t="array" ref="S6551">IFERROR(IF($B6551=S$1, ($A6551+$C6551) - MAX(IF($B$2:$B6550=$B6551, $A$2:$A6550+$C$2:$C6550)), "")*24*60, "")</f>
        <v/>
      </c>
    </row>
    <row r="6552" spans="1:19" x14ac:dyDescent="0.2">
      <c r="A6552" s="12">
        <f t="shared" ref="A6552:C6552" si="1441">A6551</f>
        <v>45990</v>
      </c>
      <c r="B6552" s="5" t="str">
        <f t="shared" si="1441"/>
        <v>Northern Cardinal</v>
      </c>
      <c r="C6552" s="6">
        <f t="shared" si="1441"/>
        <v>0.28333333333333333</v>
      </c>
      <c r="D6552" s="5"/>
      <c r="E6552" s="5"/>
      <c r="F6552" s="5" t="s">
        <v>8</v>
      </c>
      <c r="G6552" s="15" t="s">
        <v>9</v>
      </c>
      <c r="H6552" s="24">
        <f t="shared" si="1251"/>
        <v>0</v>
      </c>
      <c r="I6552" s="24" cm="1">
        <f t="array" ref="I6552">IFERROR(IF($B6552=I$1, ($A6552+$C6552) - MAX(IF($B$2:$B6551=$B6552, $A$2:$A6551+$C$2:$C6551)), "")*24*60, "")</f>
        <v>0</v>
      </c>
      <c r="J6552" s="24" t="str" cm="1">
        <f t="array" ref="J6552">IFERROR(IF($B6552=J$1, ($A6552+$C6552) - MAX(IF($B$2:$B6551=$B6552, $A$2:$A6551+$C$2:$C6551)), "")*24*60, "")</f>
        <v/>
      </c>
      <c r="K6552" s="24" t="str" cm="1">
        <f t="array" ref="K6552">IFERROR(IF($B6552=K$1, ($A6552+$C6552) - MAX(IF($B$2:$B6551=$B6552, $A$2:$A6551+$C$2:$C6551)), "")*24*60, "")</f>
        <v/>
      </c>
      <c r="L6552" s="24" t="str" cm="1">
        <f t="array" ref="L6552">IFERROR(IF($B6552=L$1, ($A6552+$C6552) - MAX(IF($B$2:$B6551=$B6552, $A$2:$A6551+$C$2:$C6551)), "")*24*60, "")</f>
        <v/>
      </c>
      <c r="M6552" s="24" t="str" cm="1">
        <f t="array" ref="M6552">IFERROR(IF($B6552=M$1, ($A6552+$C6552) - MAX(IF($B$2:$B6551=$B6552, $A$2:$A6551+$C$2:$C6551)), "")*24*60, "")</f>
        <v/>
      </c>
      <c r="N6552" s="24" t="str" cm="1">
        <f t="array" ref="N6552">IFERROR(IF($B6552=N$1, ($A6552+$C6552) - MAX(IF($B$2:$B6551=$B6552, $A$2:$A6551+$C$2:$C6551)), "")*24*60, "")</f>
        <v/>
      </c>
      <c r="O6552" s="24" t="str" cm="1">
        <f t="array" ref="O6552">IFERROR(IF($B6552=O$1, ($A6552+$C6552) - MAX(IF($B$2:$B6551=$B6552, $A$2:$A6551+$C$2:$C6551)), "")*24*60, "")</f>
        <v/>
      </c>
      <c r="P6552" s="24" t="str" cm="1">
        <f t="array" ref="P6552">IFERROR(IF($B6552=P$1, ($A6552+$C6552) - MAX(IF($B$2:$B6551=$B6552, $A$2:$A6551+$C$2:$C6551)), "")*24*60, "")</f>
        <v/>
      </c>
      <c r="Q6552" s="24" t="str" cm="1">
        <f t="array" ref="Q6552">IFERROR(IF($B6552=Q$1, ($A6552+$C6552) - MAX(IF($B$2:$B6551=$B6552, $A$2:$A6551+$C$2:$C6551)), "")*24*60, "")</f>
        <v/>
      </c>
      <c r="R6552" s="24" t="str" cm="1">
        <f t="array" ref="R6552">IFERROR(IF($B6552=R$1, ($A6552+$C6552) - MAX(IF($B$2:$B6551=$B6552, $A$2:$A6551+$C$2:$C6551)), "")*24*60, "")</f>
        <v/>
      </c>
      <c r="S6552" s="24" t="str" cm="1">
        <f t="array" ref="S6552">IFERROR(IF($B6552=S$1, ($A6552+$C6552) - MAX(IF($B$2:$B6551=$B6552, $A$2:$A6551+$C$2:$C6551)), "")*24*60, "")</f>
        <v/>
      </c>
    </row>
    <row r="6553" spans="1:19" x14ac:dyDescent="0.2">
      <c r="A6553" s="12">
        <f t="shared" ref="A6553:C6553" si="1442">A6552</f>
        <v>45990</v>
      </c>
      <c r="B6553" s="5" t="str">
        <f t="shared" si="1442"/>
        <v>Northern Cardinal</v>
      </c>
      <c r="C6553" s="6">
        <f t="shared" si="1442"/>
        <v>0.28333333333333333</v>
      </c>
      <c r="D6553" s="5"/>
      <c r="E6553" s="5"/>
      <c r="F6553" s="5" t="s">
        <v>8</v>
      </c>
      <c r="G6553" s="15" t="s">
        <v>9</v>
      </c>
      <c r="H6553" s="24">
        <f t="shared" si="1251"/>
        <v>0</v>
      </c>
      <c r="I6553" s="24" cm="1">
        <f t="array" ref="I6553">IFERROR(IF($B6553=I$1, ($A6553+$C6553) - MAX(IF($B$2:$B6552=$B6553, $A$2:$A6552+$C$2:$C6552)), "")*24*60, "")</f>
        <v>0</v>
      </c>
      <c r="J6553" s="24" t="str" cm="1">
        <f t="array" ref="J6553">IFERROR(IF($B6553=J$1, ($A6553+$C6553) - MAX(IF($B$2:$B6552=$B6553, $A$2:$A6552+$C$2:$C6552)), "")*24*60, "")</f>
        <v/>
      </c>
      <c r="K6553" s="24" t="str" cm="1">
        <f t="array" ref="K6553">IFERROR(IF($B6553=K$1, ($A6553+$C6553) - MAX(IF($B$2:$B6552=$B6553, $A$2:$A6552+$C$2:$C6552)), "")*24*60, "")</f>
        <v/>
      </c>
      <c r="L6553" s="24" t="str" cm="1">
        <f t="array" ref="L6553">IFERROR(IF($B6553=L$1, ($A6553+$C6553) - MAX(IF($B$2:$B6552=$B6553, $A$2:$A6552+$C$2:$C6552)), "")*24*60, "")</f>
        <v/>
      </c>
      <c r="M6553" s="24" t="str" cm="1">
        <f t="array" ref="M6553">IFERROR(IF($B6553=M$1, ($A6553+$C6553) - MAX(IF($B$2:$B6552=$B6553, $A$2:$A6552+$C$2:$C6552)), "")*24*60, "")</f>
        <v/>
      </c>
      <c r="N6553" s="24" t="str" cm="1">
        <f t="array" ref="N6553">IFERROR(IF($B6553=N$1, ($A6553+$C6553) - MAX(IF($B$2:$B6552=$B6553, $A$2:$A6552+$C$2:$C6552)), "")*24*60, "")</f>
        <v/>
      </c>
      <c r="O6553" s="24" t="str" cm="1">
        <f t="array" ref="O6553">IFERROR(IF($B6553=O$1, ($A6553+$C6553) - MAX(IF($B$2:$B6552=$B6553, $A$2:$A6552+$C$2:$C6552)), "")*24*60, "")</f>
        <v/>
      </c>
      <c r="P6553" s="24" t="str" cm="1">
        <f t="array" ref="P6553">IFERROR(IF($B6553=P$1, ($A6553+$C6553) - MAX(IF($B$2:$B6552=$B6553, $A$2:$A6552+$C$2:$C6552)), "")*24*60, "")</f>
        <v/>
      </c>
      <c r="Q6553" s="24" t="str" cm="1">
        <f t="array" ref="Q6553">IFERROR(IF($B6553=Q$1, ($A6553+$C6553) - MAX(IF($B$2:$B6552=$B6553, $A$2:$A6552+$C$2:$C6552)), "")*24*60, "")</f>
        <v/>
      </c>
      <c r="R6553" s="24" t="str" cm="1">
        <f t="array" ref="R6553">IFERROR(IF($B6553=R$1, ($A6553+$C6553) - MAX(IF($B$2:$B6552=$B6553, $A$2:$A6552+$C$2:$C6552)), "")*24*60, "")</f>
        <v/>
      </c>
      <c r="S6553" s="24" t="str" cm="1">
        <f t="array" ref="S6553">IFERROR(IF($B6553=S$1, ($A6553+$C6553) - MAX(IF($B$2:$B6552=$B6553, $A$2:$A6552+$C$2:$C6552)), "")*24*60, "")</f>
        <v/>
      </c>
    </row>
    <row r="6554" spans="1:19" x14ac:dyDescent="0.2">
      <c r="A6554" s="12">
        <f t="shared" ref="A6554:C6554" si="1443">A6553</f>
        <v>45990</v>
      </c>
      <c r="B6554" s="5" t="str">
        <f t="shared" si="1443"/>
        <v>Northern Cardinal</v>
      </c>
      <c r="C6554" s="6">
        <f t="shared" si="1443"/>
        <v>0.28333333333333333</v>
      </c>
      <c r="D6554" s="5"/>
      <c r="E6554" s="5"/>
      <c r="F6554" s="5" t="s">
        <v>8</v>
      </c>
      <c r="G6554" s="15" t="s">
        <v>9</v>
      </c>
      <c r="H6554" s="24">
        <f t="shared" si="1251"/>
        <v>0</v>
      </c>
      <c r="I6554" s="24" cm="1">
        <f t="array" ref="I6554">IFERROR(IF($B6554=I$1, ($A6554+$C6554) - MAX(IF($B$2:$B6553=$B6554, $A$2:$A6553+$C$2:$C6553)), "")*24*60, "")</f>
        <v>0</v>
      </c>
      <c r="J6554" s="24" t="str" cm="1">
        <f t="array" ref="J6554">IFERROR(IF($B6554=J$1, ($A6554+$C6554) - MAX(IF($B$2:$B6553=$B6554, $A$2:$A6553+$C$2:$C6553)), "")*24*60, "")</f>
        <v/>
      </c>
      <c r="K6554" s="24" t="str" cm="1">
        <f t="array" ref="K6554">IFERROR(IF($B6554=K$1, ($A6554+$C6554) - MAX(IF($B$2:$B6553=$B6554, $A$2:$A6553+$C$2:$C6553)), "")*24*60, "")</f>
        <v/>
      </c>
      <c r="L6554" s="24" t="str" cm="1">
        <f t="array" ref="L6554">IFERROR(IF($B6554=L$1, ($A6554+$C6554) - MAX(IF($B$2:$B6553=$B6554, $A$2:$A6553+$C$2:$C6553)), "")*24*60, "")</f>
        <v/>
      </c>
      <c r="M6554" s="24" t="str" cm="1">
        <f t="array" ref="M6554">IFERROR(IF($B6554=M$1, ($A6554+$C6554) - MAX(IF($B$2:$B6553=$B6554, $A$2:$A6553+$C$2:$C6553)), "")*24*60, "")</f>
        <v/>
      </c>
      <c r="N6554" s="24" t="str" cm="1">
        <f t="array" ref="N6554">IFERROR(IF($B6554=N$1, ($A6554+$C6554) - MAX(IF($B$2:$B6553=$B6554, $A$2:$A6553+$C$2:$C6553)), "")*24*60, "")</f>
        <v/>
      </c>
      <c r="O6554" s="24" t="str" cm="1">
        <f t="array" ref="O6554">IFERROR(IF($B6554=O$1, ($A6554+$C6554) - MAX(IF($B$2:$B6553=$B6554, $A$2:$A6553+$C$2:$C6553)), "")*24*60, "")</f>
        <v/>
      </c>
      <c r="P6554" s="24" t="str" cm="1">
        <f t="array" ref="P6554">IFERROR(IF($B6554=P$1, ($A6554+$C6554) - MAX(IF($B$2:$B6553=$B6554, $A$2:$A6553+$C$2:$C6553)), "")*24*60, "")</f>
        <v/>
      </c>
      <c r="Q6554" s="24" t="str" cm="1">
        <f t="array" ref="Q6554">IFERROR(IF($B6554=Q$1, ($A6554+$C6554) - MAX(IF($B$2:$B6553=$B6554, $A$2:$A6553+$C$2:$C6553)), "")*24*60, "")</f>
        <v/>
      </c>
      <c r="R6554" s="24" t="str" cm="1">
        <f t="array" ref="R6554">IFERROR(IF($B6554=R$1, ($A6554+$C6554) - MAX(IF($B$2:$B6553=$B6554, $A$2:$A6553+$C$2:$C6553)), "")*24*60, "")</f>
        <v/>
      </c>
      <c r="S6554" s="24" t="str" cm="1">
        <f t="array" ref="S6554">IFERROR(IF($B6554=S$1, ($A6554+$C6554) - MAX(IF($B$2:$B6553=$B6554, $A$2:$A6553+$C$2:$C6553)), "")*24*60, "")</f>
        <v/>
      </c>
    </row>
    <row r="6555" spans="1:19" x14ac:dyDescent="0.2">
      <c r="A6555" s="12">
        <f t="shared" ref="A6555:C6555" si="1444">A6554</f>
        <v>45990</v>
      </c>
      <c r="B6555" s="5" t="str">
        <f t="shared" si="1444"/>
        <v>Northern Cardinal</v>
      </c>
      <c r="C6555" s="6">
        <f t="shared" si="1444"/>
        <v>0.28333333333333333</v>
      </c>
      <c r="D6555" s="5"/>
      <c r="E6555" s="5"/>
      <c r="F6555" s="5" t="s">
        <v>8</v>
      </c>
      <c r="G6555" s="15" t="s">
        <v>9</v>
      </c>
      <c r="H6555" s="24">
        <f t="shared" si="1251"/>
        <v>0</v>
      </c>
      <c r="I6555" s="24" cm="1">
        <f t="array" ref="I6555">IFERROR(IF($B6555=I$1, ($A6555+$C6555) - MAX(IF($B$2:$B6554=$B6555, $A$2:$A6554+$C$2:$C6554)), "")*24*60, "")</f>
        <v>0</v>
      </c>
      <c r="J6555" s="24" t="str" cm="1">
        <f t="array" ref="J6555">IFERROR(IF($B6555=J$1, ($A6555+$C6555) - MAX(IF($B$2:$B6554=$B6555, $A$2:$A6554+$C$2:$C6554)), "")*24*60, "")</f>
        <v/>
      </c>
      <c r="K6555" s="24" t="str" cm="1">
        <f t="array" ref="K6555">IFERROR(IF($B6555=K$1, ($A6555+$C6555) - MAX(IF($B$2:$B6554=$B6555, $A$2:$A6554+$C$2:$C6554)), "")*24*60, "")</f>
        <v/>
      </c>
      <c r="L6555" s="24" t="str" cm="1">
        <f t="array" ref="L6555">IFERROR(IF($B6555=L$1, ($A6555+$C6555) - MAX(IF($B$2:$B6554=$B6555, $A$2:$A6554+$C$2:$C6554)), "")*24*60, "")</f>
        <v/>
      </c>
      <c r="M6555" s="24" t="str" cm="1">
        <f t="array" ref="M6555">IFERROR(IF($B6555=M$1, ($A6555+$C6555) - MAX(IF($B$2:$B6554=$B6555, $A$2:$A6554+$C$2:$C6554)), "")*24*60, "")</f>
        <v/>
      </c>
      <c r="N6555" s="24" t="str" cm="1">
        <f t="array" ref="N6555">IFERROR(IF($B6555=N$1, ($A6555+$C6555) - MAX(IF($B$2:$B6554=$B6555, $A$2:$A6554+$C$2:$C6554)), "")*24*60, "")</f>
        <v/>
      </c>
      <c r="O6555" s="24" t="str" cm="1">
        <f t="array" ref="O6555">IFERROR(IF($B6555=O$1, ($A6555+$C6555) - MAX(IF($B$2:$B6554=$B6555, $A$2:$A6554+$C$2:$C6554)), "")*24*60, "")</f>
        <v/>
      </c>
      <c r="P6555" s="24" t="str" cm="1">
        <f t="array" ref="P6555">IFERROR(IF($B6555=P$1, ($A6555+$C6555) - MAX(IF($B$2:$B6554=$B6555, $A$2:$A6554+$C$2:$C6554)), "")*24*60, "")</f>
        <v/>
      </c>
      <c r="Q6555" s="24" t="str" cm="1">
        <f t="array" ref="Q6555">IFERROR(IF($B6555=Q$1, ($A6555+$C6555) - MAX(IF($B$2:$B6554=$B6555, $A$2:$A6554+$C$2:$C6554)), "")*24*60, "")</f>
        <v/>
      </c>
      <c r="R6555" s="24" t="str" cm="1">
        <f t="array" ref="R6555">IFERROR(IF($B6555=R$1, ($A6555+$C6555) - MAX(IF($B$2:$B6554=$B6555, $A$2:$A6554+$C$2:$C6554)), "")*24*60, "")</f>
        <v/>
      </c>
      <c r="S6555" s="24" t="str" cm="1">
        <f t="array" ref="S6555">IFERROR(IF($B6555=S$1, ($A6555+$C6555) - MAX(IF($B$2:$B6554=$B6555, $A$2:$A6554+$C$2:$C6554)), "")*24*60, "")</f>
        <v/>
      </c>
    </row>
    <row r="6556" spans="1:19" x14ac:dyDescent="0.2">
      <c r="A6556" s="12">
        <f t="shared" ref="A6556:C6556" si="1445">A6555</f>
        <v>45990</v>
      </c>
      <c r="B6556" s="5" t="str">
        <f t="shared" si="1445"/>
        <v>Northern Cardinal</v>
      </c>
      <c r="C6556" s="6">
        <f t="shared" si="1445"/>
        <v>0.28333333333333333</v>
      </c>
      <c r="D6556" s="5"/>
      <c r="E6556" s="5"/>
      <c r="F6556" s="5" t="s">
        <v>8</v>
      </c>
      <c r="G6556" s="15" t="s">
        <v>9</v>
      </c>
      <c r="H6556" s="24">
        <f t="shared" si="1251"/>
        <v>0</v>
      </c>
      <c r="I6556" s="24" cm="1">
        <f t="array" ref="I6556">IFERROR(IF($B6556=I$1, ($A6556+$C6556) - MAX(IF($B$2:$B6555=$B6556, $A$2:$A6555+$C$2:$C6555)), "")*24*60, "")</f>
        <v>0</v>
      </c>
      <c r="J6556" s="24" t="str" cm="1">
        <f t="array" ref="J6556">IFERROR(IF($B6556=J$1, ($A6556+$C6556) - MAX(IF($B$2:$B6555=$B6556, $A$2:$A6555+$C$2:$C6555)), "")*24*60, "")</f>
        <v/>
      </c>
      <c r="K6556" s="24" t="str" cm="1">
        <f t="array" ref="K6556">IFERROR(IF($B6556=K$1, ($A6556+$C6556) - MAX(IF($B$2:$B6555=$B6556, $A$2:$A6555+$C$2:$C6555)), "")*24*60, "")</f>
        <v/>
      </c>
      <c r="L6556" s="24" t="str" cm="1">
        <f t="array" ref="L6556">IFERROR(IF($B6556=L$1, ($A6556+$C6556) - MAX(IF($B$2:$B6555=$B6556, $A$2:$A6555+$C$2:$C6555)), "")*24*60, "")</f>
        <v/>
      </c>
      <c r="M6556" s="24" t="str" cm="1">
        <f t="array" ref="M6556">IFERROR(IF($B6556=M$1, ($A6556+$C6556) - MAX(IF($B$2:$B6555=$B6556, $A$2:$A6555+$C$2:$C6555)), "")*24*60, "")</f>
        <v/>
      </c>
      <c r="N6556" s="24" t="str" cm="1">
        <f t="array" ref="N6556">IFERROR(IF($B6556=N$1, ($A6556+$C6556) - MAX(IF($B$2:$B6555=$B6556, $A$2:$A6555+$C$2:$C6555)), "")*24*60, "")</f>
        <v/>
      </c>
      <c r="O6556" s="24" t="str" cm="1">
        <f t="array" ref="O6556">IFERROR(IF($B6556=O$1, ($A6556+$C6556) - MAX(IF($B$2:$B6555=$B6556, $A$2:$A6555+$C$2:$C6555)), "")*24*60, "")</f>
        <v/>
      </c>
      <c r="P6556" s="24" t="str" cm="1">
        <f t="array" ref="P6556">IFERROR(IF($B6556=P$1, ($A6556+$C6556) - MAX(IF($B$2:$B6555=$B6556, $A$2:$A6555+$C$2:$C6555)), "")*24*60, "")</f>
        <v/>
      </c>
      <c r="Q6556" s="24" t="str" cm="1">
        <f t="array" ref="Q6556">IFERROR(IF($B6556=Q$1, ($A6556+$C6556) - MAX(IF($B$2:$B6555=$B6556, $A$2:$A6555+$C$2:$C6555)), "")*24*60, "")</f>
        <v/>
      </c>
      <c r="R6556" s="24" t="str" cm="1">
        <f t="array" ref="R6556">IFERROR(IF($B6556=R$1, ($A6556+$C6556) - MAX(IF($B$2:$B6555=$B6556, $A$2:$A6555+$C$2:$C6555)), "")*24*60, "")</f>
        <v/>
      </c>
      <c r="S6556" s="24" t="str" cm="1">
        <f t="array" ref="S6556">IFERROR(IF($B6556=S$1, ($A6556+$C6556) - MAX(IF($B$2:$B6555=$B6556, $A$2:$A6555+$C$2:$C6555)), "")*24*60, "")</f>
        <v/>
      </c>
    </row>
    <row r="6557" spans="1:19" x14ac:dyDescent="0.2">
      <c r="A6557" s="12">
        <f t="shared" ref="A6557:C6557" si="1446">A6556</f>
        <v>45990</v>
      </c>
      <c r="B6557" s="5" t="str">
        <f t="shared" si="1446"/>
        <v>Northern Cardinal</v>
      </c>
      <c r="C6557" s="6">
        <f t="shared" si="1446"/>
        <v>0.28333333333333333</v>
      </c>
      <c r="D6557" s="5"/>
      <c r="E6557" s="5"/>
      <c r="F6557" s="5" t="s">
        <v>8</v>
      </c>
      <c r="G6557" s="15" t="s">
        <v>9</v>
      </c>
      <c r="H6557" s="24">
        <f t="shared" si="1251"/>
        <v>0</v>
      </c>
      <c r="I6557" s="24" cm="1">
        <f t="array" ref="I6557">IFERROR(IF($B6557=I$1, ($A6557+$C6557) - MAX(IF($B$2:$B6556=$B6557, $A$2:$A6556+$C$2:$C6556)), "")*24*60, "")</f>
        <v>0</v>
      </c>
      <c r="J6557" s="24" t="str" cm="1">
        <f t="array" ref="J6557">IFERROR(IF($B6557=J$1, ($A6557+$C6557) - MAX(IF($B$2:$B6556=$B6557, $A$2:$A6556+$C$2:$C6556)), "")*24*60, "")</f>
        <v/>
      </c>
      <c r="K6557" s="24" t="str" cm="1">
        <f t="array" ref="K6557">IFERROR(IF($B6557=K$1, ($A6557+$C6557) - MAX(IF($B$2:$B6556=$B6557, $A$2:$A6556+$C$2:$C6556)), "")*24*60, "")</f>
        <v/>
      </c>
      <c r="L6557" s="24" t="str" cm="1">
        <f t="array" ref="L6557">IFERROR(IF($B6557=L$1, ($A6557+$C6557) - MAX(IF($B$2:$B6556=$B6557, $A$2:$A6556+$C$2:$C6556)), "")*24*60, "")</f>
        <v/>
      </c>
      <c r="M6557" s="24" t="str" cm="1">
        <f t="array" ref="M6557">IFERROR(IF($B6557=M$1, ($A6557+$C6557) - MAX(IF($B$2:$B6556=$B6557, $A$2:$A6556+$C$2:$C6556)), "")*24*60, "")</f>
        <v/>
      </c>
      <c r="N6557" s="24" t="str" cm="1">
        <f t="array" ref="N6557">IFERROR(IF($B6557=N$1, ($A6557+$C6557) - MAX(IF($B$2:$B6556=$B6557, $A$2:$A6556+$C$2:$C6556)), "")*24*60, "")</f>
        <v/>
      </c>
      <c r="O6557" s="24" t="str" cm="1">
        <f t="array" ref="O6557">IFERROR(IF($B6557=O$1, ($A6557+$C6557) - MAX(IF($B$2:$B6556=$B6557, $A$2:$A6556+$C$2:$C6556)), "")*24*60, "")</f>
        <v/>
      </c>
      <c r="P6557" s="24" t="str" cm="1">
        <f t="array" ref="P6557">IFERROR(IF($B6557=P$1, ($A6557+$C6557) - MAX(IF($B$2:$B6556=$B6557, $A$2:$A6556+$C$2:$C6556)), "")*24*60, "")</f>
        <v/>
      </c>
      <c r="Q6557" s="24" t="str" cm="1">
        <f t="array" ref="Q6557">IFERROR(IF($B6557=Q$1, ($A6557+$C6557) - MAX(IF($B$2:$B6556=$B6557, $A$2:$A6556+$C$2:$C6556)), "")*24*60, "")</f>
        <v/>
      </c>
      <c r="R6557" s="24" t="str" cm="1">
        <f t="array" ref="R6557">IFERROR(IF($B6557=R$1, ($A6557+$C6557) - MAX(IF($B$2:$B6556=$B6557, $A$2:$A6556+$C$2:$C6556)), "")*24*60, "")</f>
        <v/>
      </c>
      <c r="S6557" s="24" t="str" cm="1">
        <f t="array" ref="S6557">IFERROR(IF($B6557=S$1, ($A6557+$C6557) - MAX(IF($B$2:$B6556=$B6557, $A$2:$A6556+$C$2:$C6556)), "")*24*60, "")</f>
        <v/>
      </c>
    </row>
    <row r="6558" spans="1:19" x14ac:dyDescent="0.2">
      <c r="A6558" s="12">
        <f t="shared" ref="A6558:C6558" si="1447">A6557</f>
        <v>45990</v>
      </c>
      <c r="B6558" s="5" t="str">
        <f t="shared" si="1447"/>
        <v>Northern Cardinal</v>
      </c>
      <c r="C6558" s="6">
        <f t="shared" si="1447"/>
        <v>0.28333333333333333</v>
      </c>
      <c r="D6558" s="5"/>
      <c r="E6558" s="5"/>
      <c r="F6558" s="5" t="s">
        <v>8</v>
      </c>
      <c r="G6558" s="15" t="s">
        <v>9</v>
      </c>
      <c r="H6558" s="24">
        <f t="shared" si="1251"/>
        <v>0</v>
      </c>
      <c r="I6558" s="24" cm="1">
        <f t="array" ref="I6558">IFERROR(IF($B6558=I$1, ($A6558+$C6558) - MAX(IF($B$2:$B6557=$B6558, $A$2:$A6557+$C$2:$C6557)), "")*24*60, "")</f>
        <v>0</v>
      </c>
      <c r="J6558" s="24" t="str" cm="1">
        <f t="array" ref="J6558">IFERROR(IF($B6558=J$1, ($A6558+$C6558) - MAX(IF($B$2:$B6557=$B6558, $A$2:$A6557+$C$2:$C6557)), "")*24*60, "")</f>
        <v/>
      </c>
      <c r="K6558" s="24" t="str" cm="1">
        <f t="array" ref="K6558">IFERROR(IF($B6558=K$1, ($A6558+$C6558) - MAX(IF($B$2:$B6557=$B6558, $A$2:$A6557+$C$2:$C6557)), "")*24*60, "")</f>
        <v/>
      </c>
      <c r="L6558" s="24" t="str" cm="1">
        <f t="array" ref="L6558">IFERROR(IF($B6558=L$1, ($A6558+$C6558) - MAX(IF($B$2:$B6557=$B6558, $A$2:$A6557+$C$2:$C6557)), "")*24*60, "")</f>
        <v/>
      </c>
      <c r="M6558" s="24" t="str" cm="1">
        <f t="array" ref="M6558">IFERROR(IF($B6558=M$1, ($A6558+$C6558) - MAX(IF($B$2:$B6557=$B6558, $A$2:$A6557+$C$2:$C6557)), "")*24*60, "")</f>
        <v/>
      </c>
      <c r="N6558" s="24" t="str" cm="1">
        <f t="array" ref="N6558">IFERROR(IF($B6558=N$1, ($A6558+$C6558) - MAX(IF($B$2:$B6557=$B6558, $A$2:$A6557+$C$2:$C6557)), "")*24*60, "")</f>
        <v/>
      </c>
      <c r="O6558" s="24" t="str" cm="1">
        <f t="array" ref="O6558">IFERROR(IF($B6558=O$1, ($A6558+$C6558) - MAX(IF($B$2:$B6557=$B6558, $A$2:$A6557+$C$2:$C6557)), "")*24*60, "")</f>
        <v/>
      </c>
      <c r="P6558" s="24" t="str" cm="1">
        <f t="array" ref="P6558">IFERROR(IF($B6558=P$1, ($A6558+$C6558) - MAX(IF($B$2:$B6557=$B6558, $A$2:$A6557+$C$2:$C6557)), "")*24*60, "")</f>
        <v/>
      </c>
      <c r="Q6558" s="24" t="str" cm="1">
        <f t="array" ref="Q6558">IFERROR(IF($B6558=Q$1, ($A6558+$C6558) - MAX(IF($B$2:$B6557=$B6558, $A$2:$A6557+$C$2:$C6557)), "")*24*60, "")</f>
        <v/>
      </c>
      <c r="R6558" s="24" t="str" cm="1">
        <f t="array" ref="R6558">IFERROR(IF($B6558=R$1, ($A6558+$C6558) - MAX(IF($B$2:$B6557=$B6558, $A$2:$A6557+$C$2:$C6557)), "")*24*60, "")</f>
        <v/>
      </c>
      <c r="S6558" s="24" t="str" cm="1">
        <f t="array" ref="S6558">IFERROR(IF($B6558=S$1, ($A6558+$C6558) - MAX(IF($B$2:$B6557=$B6558, $A$2:$A6557+$C$2:$C6557)), "")*24*60, "")</f>
        <v/>
      </c>
    </row>
    <row r="6559" spans="1:19" x14ac:dyDescent="0.2">
      <c r="A6559" s="12">
        <f t="shared" ref="A6559:C6559" si="1448">A6558</f>
        <v>45990</v>
      </c>
      <c r="B6559" s="5" t="str">
        <f t="shared" si="1448"/>
        <v>Northern Cardinal</v>
      </c>
      <c r="C6559" s="6">
        <f t="shared" si="1448"/>
        <v>0.28333333333333333</v>
      </c>
      <c r="D6559" s="5"/>
      <c r="E6559" s="5"/>
      <c r="F6559" s="5" t="s">
        <v>8</v>
      </c>
      <c r="G6559" s="15" t="s">
        <v>9</v>
      </c>
      <c r="H6559" s="24">
        <f t="shared" si="1251"/>
        <v>0</v>
      </c>
      <c r="I6559" s="24" cm="1">
        <f t="array" ref="I6559">IFERROR(IF($B6559=I$1, ($A6559+$C6559) - MAX(IF($B$2:$B6558=$B6559, $A$2:$A6558+$C$2:$C6558)), "")*24*60, "")</f>
        <v>0</v>
      </c>
      <c r="J6559" s="24" t="str" cm="1">
        <f t="array" ref="J6559">IFERROR(IF($B6559=J$1, ($A6559+$C6559) - MAX(IF($B$2:$B6558=$B6559, $A$2:$A6558+$C$2:$C6558)), "")*24*60, "")</f>
        <v/>
      </c>
      <c r="K6559" s="24" t="str" cm="1">
        <f t="array" ref="K6559">IFERROR(IF($B6559=K$1, ($A6559+$C6559) - MAX(IF($B$2:$B6558=$B6559, $A$2:$A6558+$C$2:$C6558)), "")*24*60, "")</f>
        <v/>
      </c>
      <c r="L6559" s="24" t="str" cm="1">
        <f t="array" ref="L6559">IFERROR(IF($B6559=L$1, ($A6559+$C6559) - MAX(IF($B$2:$B6558=$B6559, $A$2:$A6558+$C$2:$C6558)), "")*24*60, "")</f>
        <v/>
      </c>
      <c r="M6559" s="24" t="str" cm="1">
        <f t="array" ref="M6559">IFERROR(IF($B6559=M$1, ($A6559+$C6559) - MAX(IF($B$2:$B6558=$B6559, $A$2:$A6558+$C$2:$C6558)), "")*24*60, "")</f>
        <v/>
      </c>
      <c r="N6559" s="24" t="str" cm="1">
        <f t="array" ref="N6559">IFERROR(IF($B6559=N$1, ($A6559+$C6559) - MAX(IF($B$2:$B6558=$B6559, $A$2:$A6558+$C$2:$C6558)), "")*24*60, "")</f>
        <v/>
      </c>
      <c r="O6559" s="24" t="str" cm="1">
        <f t="array" ref="O6559">IFERROR(IF($B6559=O$1, ($A6559+$C6559) - MAX(IF($B$2:$B6558=$B6559, $A$2:$A6558+$C$2:$C6558)), "")*24*60, "")</f>
        <v/>
      </c>
      <c r="P6559" s="24" t="str" cm="1">
        <f t="array" ref="P6559">IFERROR(IF($B6559=P$1, ($A6559+$C6559) - MAX(IF($B$2:$B6558=$B6559, $A$2:$A6558+$C$2:$C6558)), "")*24*60, "")</f>
        <v/>
      </c>
      <c r="Q6559" s="24" t="str" cm="1">
        <f t="array" ref="Q6559">IFERROR(IF($B6559=Q$1, ($A6559+$C6559) - MAX(IF($B$2:$B6558=$B6559, $A$2:$A6558+$C$2:$C6558)), "")*24*60, "")</f>
        <v/>
      </c>
      <c r="R6559" s="24" t="str" cm="1">
        <f t="array" ref="R6559">IFERROR(IF($B6559=R$1, ($A6559+$C6559) - MAX(IF($B$2:$B6558=$B6559, $A$2:$A6558+$C$2:$C6558)), "")*24*60, "")</f>
        <v/>
      </c>
      <c r="S6559" s="24" t="str" cm="1">
        <f t="array" ref="S6559">IFERROR(IF($B6559=S$1, ($A6559+$C6559) - MAX(IF($B$2:$B6558=$B6559, $A$2:$A6558+$C$2:$C6558)), "")*24*60, "")</f>
        <v/>
      </c>
    </row>
    <row r="6560" spans="1:19" x14ac:dyDescent="0.2">
      <c r="A6560" s="12">
        <f t="shared" ref="A6560:C6560" si="1449">A6559</f>
        <v>45990</v>
      </c>
      <c r="B6560" s="5" t="str">
        <f t="shared" si="1449"/>
        <v>Northern Cardinal</v>
      </c>
      <c r="C6560" s="6">
        <f t="shared" si="1449"/>
        <v>0.28333333333333333</v>
      </c>
      <c r="D6560" s="5"/>
      <c r="E6560" s="5"/>
      <c r="F6560" s="5" t="s">
        <v>8</v>
      </c>
      <c r="G6560" s="15" t="s">
        <v>9</v>
      </c>
      <c r="H6560" s="24">
        <f t="shared" si="1251"/>
        <v>0</v>
      </c>
      <c r="I6560" s="24" cm="1">
        <f t="array" ref="I6560">IFERROR(IF($B6560=I$1, ($A6560+$C6560) - MAX(IF($B$2:$B6559=$B6560, $A$2:$A6559+$C$2:$C6559)), "")*24*60, "")</f>
        <v>0</v>
      </c>
      <c r="J6560" s="24" t="str" cm="1">
        <f t="array" ref="J6560">IFERROR(IF($B6560=J$1, ($A6560+$C6560) - MAX(IF($B$2:$B6559=$B6560, $A$2:$A6559+$C$2:$C6559)), "")*24*60, "")</f>
        <v/>
      </c>
      <c r="K6560" s="24" t="str" cm="1">
        <f t="array" ref="K6560">IFERROR(IF($B6560=K$1, ($A6560+$C6560) - MAX(IF($B$2:$B6559=$B6560, $A$2:$A6559+$C$2:$C6559)), "")*24*60, "")</f>
        <v/>
      </c>
      <c r="L6560" s="24" t="str" cm="1">
        <f t="array" ref="L6560">IFERROR(IF($B6560=L$1, ($A6560+$C6560) - MAX(IF($B$2:$B6559=$B6560, $A$2:$A6559+$C$2:$C6559)), "")*24*60, "")</f>
        <v/>
      </c>
      <c r="M6560" s="24" t="str" cm="1">
        <f t="array" ref="M6560">IFERROR(IF($B6560=M$1, ($A6560+$C6560) - MAX(IF($B$2:$B6559=$B6560, $A$2:$A6559+$C$2:$C6559)), "")*24*60, "")</f>
        <v/>
      </c>
      <c r="N6560" s="24" t="str" cm="1">
        <f t="array" ref="N6560">IFERROR(IF($B6560=N$1, ($A6560+$C6560) - MAX(IF($B$2:$B6559=$B6560, $A$2:$A6559+$C$2:$C6559)), "")*24*60, "")</f>
        <v/>
      </c>
      <c r="O6560" s="24" t="str" cm="1">
        <f t="array" ref="O6560">IFERROR(IF($B6560=O$1, ($A6560+$C6560) - MAX(IF($B$2:$B6559=$B6560, $A$2:$A6559+$C$2:$C6559)), "")*24*60, "")</f>
        <v/>
      </c>
      <c r="P6560" s="24" t="str" cm="1">
        <f t="array" ref="P6560">IFERROR(IF($B6560=P$1, ($A6560+$C6560) - MAX(IF($B$2:$B6559=$B6560, $A$2:$A6559+$C$2:$C6559)), "")*24*60, "")</f>
        <v/>
      </c>
      <c r="Q6560" s="24" t="str" cm="1">
        <f t="array" ref="Q6560">IFERROR(IF($B6560=Q$1, ($A6560+$C6560) - MAX(IF($B$2:$B6559=$B6560, $A$2:$A6559+$C$2:$C6559)), "")*24*60, "")</f>
        <v/>
      </c>
      <c r="R6560" s="24" t="str" cm="1">
        <f t="array" ref="R6560">IFERROR(IF($B6560=R$1, ($A6560+$C6560) - MAX(IF($B$2:$B6559=$B6560, $A$2:$A6559+$C$2:$C6559)), "")*24*60, "")</f>
        <v/>
      </c>
      <c r="S6560" s="24" t="str" cm="1">
        <f t="array" ref="S6560">IFERROR(IF($B6560=S$1, ($A6560+$C6560) - MAX(IF($B$2:$B6559=$B6560, $A$2:$A6559+$C$2:$C6559)), "")*24*60, "")</f>
        <v/>
      </c>
    </row>
    <row r="6561" spans="1:19" x14ac:dyDescent="0.2">
      <c r="A6561" s="12">
        <f t="shared" ref="A6561:C6561" si="1450">A6560</f>
        <v>45990</v>
      </c>
      <c r="B6561" s="5" t="str">
        <f t="shared" si="1450"/>
        <v>Northern Cardinal</v>
      </c>
      <c r="C6561" s="6">
        <f t="shared" si="1450"/>
        <v>0.28333333333333333</v>
      </c>
      <c r="D6561" s="5"/>
      <c r="E6561" s="5"/>
      <c r="F6561" s="5" t="s">
        <v>8</v>
      </c>
      <c r="G6561" s="15" t="s">
        <v>9</v>
      </c>
      <c r="H6561" s="24">
        <f t="shared" si="1251"/>
        <v>0</v>
      </c>
      <c r="I6561" s="24" cm="1">
        <f t="array" ref="I6561">IFERROR(IF($B6561=I$1, ($A6561+$C6561) - MAX(IF($B$2:$B6560=$B6561, $A$2:$A6560+$C$2:$C6560)), "")*24*60, "")</f>
        <v>0</v>
      </c>
      <c r="J6561" s="24" t="str" cm="1">
        <f t="array" ref="J6561">IFERROR(IF($B6561=J$1, ($A6561+$C6561) - MAX(IF($B$2:$B6560=$B6561, $A$2:$A6560+$C$2:$C6560)), "")*24*60, "")</f>
        <v/>
      </c>
      <c r="K6561" s="24" t="str" cm="1">
        <f t="array" ref="K6561">IFERROR(IF($B6561=K$1, ($A6561+$C6561) - MAX(IF($B$2:$B6560=$B6561, $A$2:$A6560+$C$2:$C6560)), "")*24*60, "")</f>
        <v/>
      </c>
      <c r="L6561" s="24" t="str" cm="1">
        <f t="array" ref="L6561">IFERROR(IF($B6561=L$1, ($A6561+$C6561) - MAX(IF($B$2:$B6560=$B6561, $A$2:$A6560+$C$2:$C6560)), "")*24*60, "")</f>
        <v/>
      </c>
      <c r="M6561" s="24" t="str" cm="1">
        <f t="array" ref="M6561">IFERROR(IF($B6561=M$1, ($A6561+$C6561) - MAX(IF($B$2:$B6560=$B6561, $A$2:$A6560+$C$2:$C6560)), "")*24*60, "")</f>
        <v/>
      </c>
      <c r="N6561" s="24" t="str" cm="1">
        <f t="array" ref="N6561">IFERROR(IF($B6561=N$1, ($A6561+$C6561) - MAX(IF($B$2:$B6560=$B6561, $A$2:$A6560+$C$2:$C6560)), "")*24*60, "")</f>
        <v/>
      </c>
      <c r="O6561" s="24" t="str" cm="1">
        <f t="array" ref="O6561">IFERROR(IF($B6561=O$1, ($A6561+$C6561) - MAX(IF($B$2:$B6560=$B6561, $A$2:$A6560+$C$2:$C6560)), "")*24*60, "")</f>
        <v/>
      </c>
      <c r="P6561" s="24" t="str" cm="1">
        <f t="array" ref="P6561">IFERROR(IF($B6561=P$1, ($A6561+$C6561) - MAX(IF($B$2:$B6560=$B6561, $A$2:$A6560+$C$2:$C6560)), "")*24*60, "")</f>
        <v/>
      </c>
      <c r="Q6561" s="24" t="str" cm="1">
        <f t="array" ref="Q6561">IFERROR(IF($B6561=Q$1, ($A6561+$C6561) - MAX(IF($B$2:$B6560=$B6561, $A$2:$A6560+$C$2:$C6560)), "")*24*60, "")</f>
        <v/>
      </c>
      <c r="R6561" s="24" t="str" cm="1">
        <f t="array" ref="R6561">IFERROR(IF($B6561=R$1, ($A6561+$C6561) - MAX(IF($B$2:$B6560=$B6561, $A$2:$A6560+$C$2:$C6560)), "")*24*60, "")</f>
        <v/>
      </c>
      <c r="S6561" s="24" t="str" cm="1">
        <f t="array" ref="S6561">IFERROR(IF($B6561=S$1, ($A6561+$C6561) - MAX(IF($B$2:$B6560=$B6561, $A$2:$A6560+$C$2:$C6560)), "")*24*60, "")</f>
        <v/>
      </c>
    </row>
    <row r="6562" spans="1:19" x14ac:dyDescent="0.2">
      <c r="A6562" s="12">
        <f t="shared" ref="A6562:C6562" si="1451">A6561</f>
        <v>45990</v>
      </c>
      <c r="B6562" s="5" t="str">
        <f t="shared" si="1451"/>
        <v>Northern Cardinal</v>
      </c>
      <c r="C6562" s="6">
        <f t="shared" si="1451"/>
        <v>0.28333333333333333</v>
      </c>
      <c r="D6562" s="5"/>
      <c r="E6562" s="5"/>
      <c r="F6562" s="5" t="s">
        <v>8</v>
      </c>
      <c r="G6562" s="15" t="s">
        <v>9</v>
      </c>
      <c r="H6562" s="24">
        <f t="shared" si="1251"/>
        <v>0</v>
      </c>
      <c r="I6562" s="24" cm="1">
        <f t="array" ref="I6562">IFERROR(IF($B6562=I$1, ($A6562+$C6562) - MAX(IF($B$2:$B6561=$B6562, $A$2:$A6561+$C$2:$C6561)), "")*24*60, "")</f>
        <v>0</v>
      </c>
      <c r="J6562" s="24" t="str" cm="1">
        <f t="array" ref="J6562">IFERROR(IF($B6562=J$1, ($A6562+$C6562) - MAX(IF($B$2:$B6561=$B6562, $A$2:$A6561+$C$2:$C6561)), "")*24*60, "")</f>
        <v/>
      </c>
      <c r="K6562" s="24" t="str" cm="1">
        <f t="array" ref="K6562">IFERROR(IF($B6562=K$1, ($A6562+$C6562) - MAX(IF($B$2:$B6561=$B6562, $A$2:$A6561+$C$2:$C6561)), "")*24*60, "")</f>
        <v/>
      </c>
      <c r="L6562" s="24" t="str" cm="1">
        <f t="array" ref="L6562">IFERROR(IF($B6562=L$1, ($A6562+$C6562) - MAX(IF($B$2:$B6561=$B6562, $A$2:$A6561+$C$2:$C6561)), "")*24*60, "")</f>
        <v/>
      </c>
      <c r="M6562" s="24" t="str" cm="1">
        <f t="array" ref="M6562">IFERROR(IF($B6562=M$1, ($A6562+$C6562) - MAX(IF($B$2:$B6561=$B6562, $A$2:$A6561+$C$2:$C6561)), "")*24*60, "")</f>
        <v/>
      </c>
      <c r="N6562" s="24" t="str" cm="1">
        <f t="array" ref="N6562">IFERROR(IF($B6562=N$1, ($A6562+$C6562) - MAX(IF($B$2:$B6561=$B6562, $A$2:$A6561+$C$2:$C6561)), "")*24*60, "")</f>
        <v/>
      </c>
      <c r="O6562" s="24" t="str" cm="1">
        <f t="array" ref="O6562">IFERROR(IF($B6562=O$1, ($A6562+$C6562) - MAX(IF($B$2:$B6561=$B6562, $A$2:$A6561+$C$2:$C6561)), "")*24*60, "")</f>
        <v/>
      </c>
      <c r="P6562" s="24" t="str" cm="1">
        <f t="array" ref="P6562">IFERROR(IF($B6562=P$1, ($A6562+$C6562) - MAX(IF($B$2:$B6561=$B6562, $A$2:$A6561+$C$2:$C6561)), "")*24*60, "")</f>
        <v/>
      </c>
      <c r="Q6562" s="24" t="str" cm="1">
        <f t="array" ref="Q6562">IFERROR(IF($B6562=Q$1, ($A6562+$C6562) - MAX(IF($B$2:$B6561=$B6562, $A$2:$A6561+$C$2:$C6561)), "")*24*60, "")</f>
        <v/>
      </c>
      <c r="R6562" s="24" t="str" cm="1">
        <f t="array" ref="R6562">IFERROR(IF($B6562=R$1, ($A6562+$C6562) - MAX(IF($B$2:$B6561=$B6562, $A$2:$A6561+$C$2:$C6561)), "")*24*60, "")</f>
        <v/>
      </c>
      <c r="S6562" s="24" t="str" cm="1">
        <f t="array" ref="S6562">IFERROR(IF($B6562=S$1, ($A6562+$C6562) - MAX(IF($B$2:$B6561=$B6562, $A$2:$A6561+$C$2:$C6561)), "")*24*60, "")</f>
        <v/>
      </c>
    </row>
    <row r="6563" spans="1:19" x14ac:dyDescent="0.2">
      <c r="A6563" s="12">
        <f t="shared" ref="A6563:C6563" si="1452">A6562</f>
        <v>45990</v>
      </c>
      <c r="B6563" s="5" t="str">
        <f t="shared" si="1452"/>
        <v>Northern Cardinal</v>
      </c>
      <c r="C6563" s="6">
        <f t="shared" si="1452"/>
        <v>0.28333333333333333</v>
      </c>
      <c r="D6563" s="5"/>
      <c r="E6563" s="5"/>
      <c r="F6563" s="5" t="s">
        <v>8</v>
      </c>
      <c r="G6563" s="15" t="s">
        <v>9</v>
      </c>
      <c r="H6563" s="24">
        <f t="shared" si="1251"/>
        <v>0</v>
      </c>
      <c r="I6563" s="24" cm="1">
        <f t="array" ref="I6563">IFERROR(IF($B6563=I$1, ($A6563+$C6563) - MAX(IF($B$2:$B6562=$B6563, $A$2:$A6562+$C$2:$C6562)), "")*24*60, "")</f>
        <v>0</v>
      </c>
      <c r="J6563" s="24" t="str" cm="1">
        <f t="array" ref="J6563">IFERROR(IF($B6563=J$1, ($A6563+$C6563) - MAX(IF($B$2:$B6562=$B6563, $A$2:$A6562+$C$2:$C6562)), "")*24*60, "")</f>
        <v/>
      </c>
      <c r="K6563" s="24" t="str" cm="1">
        <f t="array" ref="K6563">IFERROR(IF($B6563=K$1, ($A6563+$C6563) - MAX(IF($B$2:$B6562=$B6563, $A$2:$A6562+$C$2:$C6562)), "")*24*60, "")</f>
        <v/>
      </c>
      <c r="L6563" s="24" t="str" cm="1">
        <f t="array" ref="L6563">IFERROR(IF($B6563=L$1, ($A6563+$C6563) - MAX(IF($B$2:$B6562=$B6563, $A$2:$A6562+$C$2:$C6562)), "")*24*60, "")</f>
        <v/>
      </c>
      <c r="M6563" s="24" t="str" cm="1">
        <f t="array" ref="M6563">IFERROR(IF($B6563=M$1, ($A6563+$C6563) - MAX(IF($B$2:$B6562=$B6563, $A$2:$A6562+$C$2:$C6562)), "")*24*60, "")</f>
        <v/>
      </c>
      <c r="N6563" s="24" t="str" cm="1">
        <f t="array" ref="N6563">IFERROR(IF($B6563=N$1, ($A6563+$C6563) - MAX(IF($B$2:$B6562=$B6563, $A$2:$A6562+$C$2:$C6562)), "")*24*60, "")</f>
        <v/>
      </c>
      <c r="O6563" s="24" t="str" cm="1">
        <f t="array" ref="O6563">IFERROR(IF($B6563=O$1, ($A6563+$C6563) - MAX(IF($B$2:$B6562=$B6563, $A$2:$A6562+$C$2:$C6562)), "")*24*60, "")</f>
        <v/>
      </c>
      <c r="P6563" s="24" t="str" cm="1">
        <f t="array" ref="P6563">IFERROR(IF($B6563=P$1, ($A6563+$C6563) - MAX(IF($B$2:$B6562=$B6563, $A$2:$A6562+$C$2:$C6562)), "")*24*60, "")</f>
        <v/>
      </c>
      <c r="Q6563" s="24" t="str" cm="1">
        <f t="array" ref="Q6563">IFERROR(IF($B6563=Q$1, ($A6563+$C6563) - MAX(IF($B$2:$B6562=$B6563, $A$2:$A6562+$C$2:$C6562)), "")*24*60, "")</f>
        <v/>
      </c>
      <c r="R6563" s="24" t="str" cm="1">
        <f t="array" ref="R6563">IFERROR(IF($B6563=R$1, ($A6563+$C6563) - MAX(IF($B$2:$B6562=$B6563, $A$2:$A6562+$C$2:$C6562)), "")*24*60, "")</f>
        <v/>
      </c>
      <c r="S6563" s="24" t="str" cm="1">
        <f t="array" ref="S6563">IFERROR(IF($B6563=S$1, ($A6563+$C6563) - MAX(IF($B$2:$B6562=$B6563, $A$2:$A6562+$C$2:$C6562)), "")*24*60, "")</f>
        <v/>
      </c>
    </row>
    <row r="6564" spans="1:19" x14ac:dyDescent="0.2">
      <c r="A6564" s="12">
        <f t="shared" ref="A6564:C6564" si="1453">A6563</f>
        <v>45990</v>
      </c>
      <c r="B6564" s="5" t="str">
        <f t="shared" si="1453"/>
        <v>Northern Cardinal</v>
      </c>
      <c r="C6564" s="6">
        <f t="shared" si="1453"/>
        <v>0.28333333333333333</v>
      </c>
      <c r="D6564" s="5"/>
      <c r="E6564" s="5"/>
      <c r="F6564" s="5" t="s">
        <v>8</v>
      </c>
      <c r="G6564" s="15" t="s">
        <v>9</v>
      </c>
      <c r="H6564" s="24">
        <f t="shared" si="1251"/>
        <v>0</v>
      </c>
      <c r="I6564" s="24" cm="1">
        <f t="array" ref="I6564">IFERROR(IF($B6564=I$1, ($A6564+$C6564) - MAX(IF($B$2:$B6563=$B6564, $A$2:$A6563+$C$2:$C6563)), "")*24*60, "")</f>
        <v>0</v>
      </c>
      <c r="J6564" s="24" t="str" cm="1">
        <f t="array" ref="J6564">IFERROR(IF($B6564=J$1, ($A6564+$C6564) - MAX(IF($B$2:$B6563=$B6564, $A$2:$A6563+$C$2:$C6563)), "")*24*60, "")</f>
        <v/>
      </c>
      <c r="K6564" s="24" t="str" cm="1">
        <f t="array" ref="K6564">IFERROR(IF($B6564=K$1, ($A6564+$C6564) - MAX(IF($B$2:$B6563=$B6564, $A$2:$A6563+$C$2:$C6563)), "")*24*60, "")</f>
        <v/>
      </c>
      <c r="L6564" s="24" t="str" cm="1">
        <f t="array" ref="L6564">IFERROR(IF($B6564=L$1, ($A6564+$C6564) - MAX(IF($B$2:$B6563=$B6564, $A$2:$A6563+$C$2:$C6563)), "")*24*60, "")</f>
        <v/>
      </c>
      <c r="M6564" s="24" t="str" cm="1">
        <f t="array" ref="M6564">IFERROR(IF($B6564=M$1, ($A6564+$C6564) - MAX(IF($B$2:$B6563=$B6564, $A$2:$A6563+$C$2:$C6563)), "")*24*60, "")</f>
        <v/>
      </c>
      <c r="N6564" s="24" t="str" cm="1">
        <f t="array" ref="N6564">IFERROR(IF($B6564=N$1, ($A6564+$C6564) - MAX(IF($B$2:$B6563=$B6564, $A$2:$A6563+$C$2:$C6563)), "")*24*60, "")</f>
        <v/>
      </c>
      <c r="O6564" s="24" t="str" cm="1">
        <f t="array" ref="O6564">IFERROR(IF($B6564=O$1, ($A6564+$C6564) - MAX(IF($B$2:$B6563=$B6564, $A$2:$A6563+$C$2:$C6563)), "")*24*60, "")</f>
        <v/>
      </c>
      <c r="P6564" s="24" t="str" cm="1">
        <f t="array" ref="P6564">IFERROR(IF($B6564=P$1, ($A6564+$C6564) - MAX(IF($B$2:$B6563=$B6564, $A$2:$A6563+$C$2:$C6563)), "")*24*60, "")</f>
        <v/>
      </c>
      <c r="Q6564" s="24" t="str" cm="1">
        <f t="array" ref="Q6564">IFERROR(IF($B6564=Q$1, ($A6564+$C6564) - MAX(IF($B$2:$B6563=$B6564, $A$2:$A6563+$C$2:$C6563)), "")*24*60, "")</f>
        <v/>
      </c>
      <c r="R6564" s="24" t="str" cm="1">
        <f t="array" ref="R6564">IFERROR(IF($B6564=R$1, ($A6564+$C6564) - MAX(IF($B$2:$B6563=$B6564, $A$2:$A6563+$C$2:$C6563)), "")*24*60, "")</f>
        <v/>
      </c>
      <c r="S6564" s="24" t="str" cm="1">
        <f t="array" ref="S6564">IFERROR(IF($B6564=S$1, ($A6564+$C6564) - MAX(IF($B$2:$B6563=$B6564, $A$2:$A6563+$C$2:$C6563)), "")*24*60, "")</f>
        <v/>
      </c>
    </row>
    <row r="6565" spans="1:19" x14ac:dyDescent="0.2">
      <c r="A6565" s="12">
        <f t="shared" ref="A6565:C6565" si="1454">A6564</f>
        <v>45990</v>
      </c>
      <c r="B6565" s="5" t="str">
        <f t="shared" si="1454"/>
        <v>Northern Cardinal</v>
      </c>
      <c r="C6565" s="6">
        <f t="shared" si="1454"/>
        <v>0.28333333333333333</v>
      </c>
      <c r="D6565" s="5"/>
      <c r="E6565" s="5"/>
      <c r="F6565" s="5" t="s">
        <v>8</v>
      </c>
      <c r="G6565" s="15" t="s">
        <v>9</v>
      </c>
      <c r="H6565" s="24">
        <f t="shared" si="1251"/>
        <v>0</v>
      </c>
      <c r="I6565" s="24" cm="1">
        <f t="array" ref="I6565">IFERROR(IF($B6565=I$1, ($A6565+$C6565) - MAX(IF($B$2:$B6564=$B6565, $A$2:$A6564+$C$2:$C6564)), "")*24*60, "")</f>
        <v>0</v>
      </c>
      <c r="J6565" s="24" t="str" cm="1">
        <f t="array" ref="J6565">IFERROR(IF($B6565=J$1, ($A6565+$C6565) - MAX(IF($B$2:$B6564=$B6565, $A$2:$A6564+$C$2:$C6564)), "")*24*60, "")</f>
        <v/>
      </c>
      <c r="K6565" s="24" t="str" cm="1">
        <f t="array" ref="K6565">IFERROR(IF($B6565=K$1, ($A6565+$C6565) - MAX(IF($B$2:$B6564=$B6565, $A$2:$A6564+$C$2:$C6564)), "")*24*60, "")</f>
        <v/>
      </c>
      <c r="L6565" s="24" t="str" cm="1">
        <f t="array" ref="L6565">IFERROR(IF($B6565=L$1, ($A6565+$C6565) - MAX(IF($B$2:$B6564=$B6565, $A$2:$A6564+$C$2:$C6564)), "")*24*60, "")</f>
        <v/>
      </c>
      <c r="M6565" s="24" t="str" cm="1">
        <f t="array" ref="M6565">IFERROR(IF($B6565=M$1, ($A6565+$C6565) - MAX(IF($B$2:$B6564=$B6565, $A$2:$A6564+$C$2:$C6564)), "")*24*60, "")</f>
        <v/>
      </c>
      <c r="N6565" s="24" t="str" cm="1">
        <f t="array" ref="N6565">IFERROR(IF($B6565=N$1, ($A6565+$C6565) - MAX(IF($B$2:$B6564=$B6565, $A$2:$A6564+$C$2:$C6564)), "")*24*60, "")</f>
        <v/>
      </c>
      <c r="O6565" s="24" t="str" cm="1">
        <f t="array" ref="O6565">IFERROR(IF($B6565=O$1, ($A6565+$C6565) - MAX(IF($B$2:$B6564=$B6565, $A$2:$A6564+$C$2:$C6564)), "")*24*60, "")</f>
        <v/>
      </c>
      <c r="P6565" s="24" t="str" cm="1">
        <f t="array" ref="P6565">IFERROR(IF($B6565=P$1, ($A6565+$C6565) - MAX(IF($B$2:$B6564=$B6565, $A$2:$A6564+$C$2:$C6564)), "")*24*60, "")</f>
        <v/>
      </c>
      <c r="Q6565" s="24" t="str" cm="1">
        <f t="array" ref="Q6565">IFERROR(IF($B6565=Q$1, ($A6565+$C6565) - MAX(IF($B$2:$B6564=$B6565, $A$2:$A6564+$C$2:$C6564)), "")*24*60, "")</f>
        <v/>
      </c>
      <c r="R6565" s="24" t="str" cm="1">
        <f t="array" ref="R6565">IFERROR(IF($B6565=R$1, ($A6565+$C6565) - MAX(IF($B$2:$B6564=$B6565, $A$2:$A6564+$C$2:$C6564)), "")*24*60, "")</f>
        <v/>
      </c>
      <c r="S6565" s="24" t="str" cm="1">
        <f t="array" ref="S6565">IFERROR(IF($B6565=S$1, ($A6565+$C6565) - MAX(IF($B$2:$B6564=$B6565, $A$2:$A6564+$C$2:$C6564)), "")*24*60, "")</f>
        <v/>
      </c>
    </row>
    <row r="6566" spans="1:19" x14ac:dyDescent="0.2">
      <c r="A6566" s="12">
        <f t="shared" ref="A6566:C6566" si="1455">A6565</f>
        <v>45990</v>
      </c>
      <c r="B6566" s="5" t="str">
        <f t="shared" si="1455"/>
        <v>Northern Cardinal</v>
      </c>
      <c r="C6566" s="6">
        <f t="shared" si="1455"/>
        <v>0.28333333333333333</v>
      </c>
      <c r="D6566" s="5"/>
      <c r="E6566" s="5"/>
      <c r="F6566" s="5" t="s">
        <v>8</v>
      </c>
      <c r="G6566" s="15" t="s">
        <v>9</v>
      </c>
      <c r="H6566" s="24">
        <f t="shared" si="1251"/>
        <v>0</v>
      </c>
      <c r="I6566" s="24" cm="1">
        <f t="array" ref="I6566">IFERROR(IF($B6566=I$1, ($A6566+$C6566) - MAX(IF($B$2:$B6565=$B6566, $A$2:$A6565+$C$2:$C6565)), "")*24*60, "")</f>
        <v>0</v>
      </c>
      <c r="J6566" s="24" t="str" cm="1">
        <f t="array" ref="J6566">IFERROR(IF($B6566=J$1, ($A6566+$C6566) - MAX(IF($B$2:$B6565=$B6566, $A$2:$A6565+$C$2:$C6565)), "")*24*60, "")</f>
        <v/>
      </c>
      <c r="K6566" s="24" t="str" cm="1">
        <f t="array" ref="K6566">IFERROR(IF($B6566=K$1, ($A6566+$C6566) - MAX(IF($B$2:$B6565=$B6566, $A$2:$A6565+$C$2:$C6565)), "")*24*60, "")</f>
        <v/>
      </c>
      <c r="L6566" s="24" t="str" cm="1">
        <f t="array" ref="L6566">IFERROR(IF($B6566=L$1, ($A6566+$C6566) - MAX(IF($B$2:$B6565=$B6566, $A$2:$A6565+$C$2:$C6565)), "")*24*60, "")</f>
        <v/>
      </c>
      <c r="M6566" s="24" t="str" cm="1">
        <f t="array" ref="M6566">IFERROR(IF($B6566=M$1, ($A6566+$C6566) - MAX(IF($B$2:$B6565=$B6566, $A$2:$A6565+$C$2:$C6565)), "")*24*60, "")</f>
        <v/>
      </c>
      <c r="N6566" s="24" t="str" cm="1">
        <f t="array" ref="N6566">IFERROR(IF($B6566=N$1, ($A6566+$C6566) - MAX(IF($B$2:$B6565=$B6566, $A$2:$A6565+$C$2:$C6565)), "")*24*60, "")</f>
        <v/>
      </c>
      <c r="O6566" s="24" t="str" cm="1">
        <f t="array" ref="O6566">IFERROR(IF($B6566=O$1, ($A6566+$C6566) - MAX(IF($B$2:$B6565=$B6566, $A$2:$A6565+$C$2:$C6565)), "")*24*60, "")</f>
        <v/>
      </c>
      <c r="P6566" s="24" t="str" cm="1">
        <f t="array" ref="P6566">IFERROR(IF($B6566=P$1, ($A6566+$C6566) - MAX(IF($B$2:$B6565=$B6566, $A$2:$A6565+$C$2:$C6565)), "")*24*60, "")</f>
        <v/>
      </c>
      <c r="Q6566" s="24" t="str" cm="1">
        <f t="array" ref="Q6566">IFERROR(IF($B6566=Q$1, ($A6566+$C6566) - MAX(IF($B$2:$B6565=$B6566, $A$2:$A6565+$C$2:$C6565)), "")*24*60, "")</f>
        <v/>
      </c>
      <c r="R6566" s="24" t="str" cm="1">
        <f t="array" ref="R6566">IFERROR(IF($B6566=R$1, ($A6566+$C6566) - MAX(IF($B$2:$B6565=$B6566, $A$2:$A6565+$C$2:$C6565)), "")*24*60, "")</f>
        <v/>
      </c>
      <c r="S6566" s="24" t="str" cm="1">
        <f t="array" ref="S6566">IFERROR(IF($B6566=S$1, ($A6566+$C6566) - MAX(IF($B$2:$B6565=$B6566, $A$2:$A6565+$C$2:$C6565)), "")*24*60, "")</f>
        <v/>
      </c>
    </row>
    <row r="6567" spans="1:19" x14ac:dyDescent="0.2">
      <c r="A6567" s="12">
        <f t="shared" ref="A6567:C6567" si="1456">A6566</f>
        <v>45990</v>
      </c>
      <c r="B6567" s="5" t="str">
        <f t="shared" si="1456"/>
        <v>Northern Cardinal</v>
      </c>
      <c r="C6567" s="6">
        <f t="shared" si="1456"/>
        <v>0.28333333333333333</v>
      </c>
      <c r="D6567" s="5"/>
      <c r="E6567" s="5"/>
      <c r="F6567" s="5" t="s">
        <v>8</v>
      </c>
      <c r="G6567" s="15" t="s">
        <v>9</v>
      </c>
      <c r="H6567" s="24">
        <f t="shared" si="1251"/>
        <v>0</v>
      </c>
      <c r="I6567" s="24" cm="1">
        <f t="array" ref="I6567">IFERROR(IF($B6567=I$1, ($A6567+$C6567) - MAX(IF($B$2:$B6566=$B6567, $A$2:$A6566+$C$2:$C6566)), "")*24*60, "")</f>
        <v>0</v>
      </c>
      <c r="J6567" s="24" t="str" cm="1">
        <f t="array" ref="J6567">IFERROR(IF($B6567=J$1, ($A6567+$C6567) - MAX(IF($B$2:$B6566=$B6567, $A$2:$A6566+$C$2:$C6566)), "")*24*60, "")</f>
        <v/>
      </c>
      <c r="K6567" s="24" t="str" cm="1">
        <f t="array" ref="K6567">IFERROR(IF($B6567=K$1, ($A6567+$C6567) - MAX(IF($B$2:$B6566=$B6567, $A$2:$A6566+$C$2:$C6566)), "")*24*60, "")</f>
        <v/>
      </c>
      <c r="L6567" s="24" t="str" cm="1">
        <f t="array" ref="L6567">IFERROR(IF($B6567=L$1, ($A6567+$C6567) - MAX(IF($B$2:$B6566=$B6567, $A$2:$A6566+$C$2:$C6566)), "")*24*60, "")</f>
        <v/>
      </c>
      <c r="M6567" s="24" t="str" cm="1">
        <f t="array" ref="M6567">IFERROR(IF($B6567=M$1, ($A6567+$C6567) - MAX(IF($B$2:$B6566=$B6567, $A$2:$A6566+$C$2:$C6566)), "")*24*60, "")</f>
        <v/>
      </c>
      <c r="N6567" s="24" t="str" cm="1">
        <f t="array" ref="N6567">IFERROR(IF($B6567=N$1, ($A6567+$C6567) - MAX(IF($B$2:$B6566=$B6567, $A$2:$A6566+$C$2:$C6566)), "")*24*60, "")</f>
        <v/>
      </c>
      <c r="O6567" s="24" t="str" cm="1">
        <f t="array" ref="O6567">IFERROR(IF($B6567=O$1, ($A6567+$C6567) - MAX(IF($B$2:$B6566=$B6567, $A$2:$A6566+$C$2:$C6566)), "")*24*60, "")</f>
        <v/>
      </c>
      <c r="P6567" s="24" t="str" cm="1">
        <f t="array" ref="P6567">IFERROR(IF($B6567=P$1, ($A6567+$C6567) - MAX(IF($B$2:$B6566=$B6567, $A$2:$A6566+$C$2:$C6566)), "")*24*60, "")</f>
        <v/>
      </c>
      <c r="Q6567" s="24" t="str" cm="1">
        <f t="array" ref="Q6567">IFERROR(IF($B6567=Q$1, ($A6567+$C6567) - MAX(IF($B$2:$B6566=$B6567, $A$2:$A6566+$C$2:$C6566)), "")*24*60, "")</f>
        <v/>
      </c>
      <c r="R6567" s="24" t="str" cm="1">
        <f t="array" ref="R6567">IFERROR(IF($B6567=R$1, ($A6567+$C6567) - MAX(IF($B$2:$B6566=$B6567, $A$2:$A6566+$C$2:$C6566)), "")*24*60, "")</f>
        <v/>
      </c>
      <c r="S6567" s="24" t="str" cm="1">
        <f t="array" ref="S6567">IFERROR(IF($B6567=S$1, ($A6567+$C6567) - MAX(IF($B$2:$B6566=$B6567, $A$2:$A6566+$C$2:$C6566)), "")*24*60, "")</f>
        <v/>
      </c>
    </row>
    <row r="6568" spans="1:19" x14ac:dyDescent="0.2">
      <c r="A6568" s="12">
        <f t="shared" ref="A6568:C6568" si="1457">A6567</f>
        <v>45990</v>
      </c>
      <c r="B6568" s="5" t="str">
        <f t="shared" si="1457"/>
        <v>Northern Cardinal</v>
      </c>
      <c r="C6568" s="6">
        <f t="shared" si="1457"/>
        <v>0.28333333333333333</v>
      </c>
      <c r="D6568" s="5"/>
      <c r="E6568" s="5"/>
      <c r="F6568" s="5" t="s">
        <v>8</v>
      </c>
      <c r="G6568" s="15" t="s">
        <v>9</v>
      </c>
      <c r="H6568" s="24">
        <f t="shared" si="1251"/>
        <v>0</v>
      </c>
      <c r="I6568" s="24" cm="1">
        <f t="array" ref="I6568">IFERROR(IF($B6568=I$1, ($A6568+$C6568) - MAX(IF($B$2:$B6567=$B6568, $A$2:$A6567+$C$2:$C6567)), "")*24*60, "")</f>
        <v>0</v>
      </c>
      <c r="J6568" s="24" t="str" cm="1">
        <f t="array" ref="J6568">IFERROR(IF($B6568=J$1, ($A6568+$C6568) - MAX(IF($B$2:$B6567=$B6568, $A$2:$A6567+$C$2:$C6567)), "")*24*60, "")</f>
        <v/>
      </c>
      <c r="K6568" s="24" t="str" cm="1">
        <f t="array" ref="K6568">IFERROR(IF($B6568=K$1, ($A6568+$C6568) - MAX(IF($B$2:$B6567=$B6568, $A$2:$A6567+$C$2:$C6567)), "")*24*60, "")</f>
        <v/>
      </c>
      <c r="L6568" s="24" t="str" cm="1">
        <f t="array" ref="L6568">IFERROR(IF($B6568=L$1, ($A6568+$C6568) - MAX(IF($B$2:$B6567=$B6568, $A$2:$A6567+$C$2:$C6567)), "")*24*60, "")</f>
        <v/>
      </c>
      <c r="M6568" s="24" t="str" cm="1">
        <f t="array" ref="M6568">IFERROR(IF($B6568=M$1, ($A6568+$C6568) - MAX(IF($B$2:$B6567=$B6568, $A$2:$A6567+$C$2:$C6567)), "")*24*60, "")</f>
        <v/>
      </c>
      <c r="N6568" s="24" t="str" cm="1">
        <f t="array" ref="N6568">IFERROR(IF($B6568=N$1, ($A6568+$C6568) - MAX(IF($B$2:$B6567=$B6568, $A$2:$A6567+$C$2:$C6567)), "")*24*60, "")</f>
        <v/>
      </c>
      <c r="O6568" s="24" t="str" cm="1">
        <f t="array" ref="O6568">IFERROR(IF($B6568=O$1, ($A6568+$C6568) - MAX(IF($B$2:$B6567=$B6568, $A$2:$A6567+$C$2:$C6567)), "")*24*60, "")</f>
        <v/>
      </c>
      <c r="P6568" s="24" t="str" cm="1">
        <f t="array" ref="P6568">IFERROR(IF($B6568=P$1, ($A6568+$C6568) - MAX(IF($B$2:$B6567=$B6568, $A$2:$A6567+$C$2:$C6567)), "")*24*60, "")</f>
        <v/>
      </c>
      <c r="Q6568" s="24" t="str" cm="1">
        <f t="array" ref="Q6568">IFERROR(IF($B6568=Q$1, ($A6568+$C6568) - MAX(IF($B$2:$B6567=$B6568, $A$2:$A6567+$C$2:$C6567)), "")*24*60, "")</f>
        <v/>
      </c>
      <c r="R6568" s="24" t="str" cm="1">
        <f t="array" ref="R6568">IFERROR(IF($B6568=R$1, ($A6568+$C6568) - MAX(IF($B$2:$B6567=$B6568, $A$2:$A6567+$C$2:$C6567)), "")*24*60, "")</f>
        <v/>
      </c>
      <c r="S6568" s="24" t="str" cm="1">
        <f t="array" ref="S6568">IFERROR(IF($B6568=S$1, ($A6568+$C6568) - MAX(IF($B$2:$B6567=$B6568, $A$2:$A6567+$C$2:$C6567)), "")*24*60, "")</f>
        <v/>
      </c>
    </row>
    <row r="6569" spans="1:19" x14ac:dyDescent="0.2">
      <c r="A6569" s="12">
        <f t="shared" ref="A6569:C6569" si="1458">A6568</f>
        <v>45990</v>
      </c>
      <c r="B6569" s="5" t="str">
        <f t="shared" si="1458"/>
        <v>Northern Cardinal</v>
      </c>
      <c r="C6569" s="6">
        <f t="shared" si="1458"/>
        <v>0.28333333333333333</v>
      </c>
      <c r="D6569" s="5"/>
      <c r="E6569" s="5"/>
      <c r="F6569" s="5" t="s">
        <v>8</v>
      </c>
      <c r="G6569" s="15" t="s">
        <v>9</v>
      </c>
      <c r="H6569" s="24">
        <f t="shared" si="1251"/>
        <v>0</v>
      </c>
      <c r="I6569" s="24" cm="1">
        <f t="array" ref="I6569">IFERROR(IF($B6569=I$1, ($A6569+$C6569) - MAX(IF($B$2:$B6568=$B6569, $A$2:$A6568+$C$2:$C6568)), "")*24*60, "")</f>
        <v>0</v>
      </c>
      <c r="J6569" s="24" t="str" cm="1">
        <f t="array" ref="J6569">IFERROR(IF($B6569=J$1, ($A6569+$C6569) - MAX(IF($B$2:$B6568=$B6569, $A$2:$A6568+$C$2:$C6568)), "")*24*60, "")</f>
        <v/>
      </c>
      <c r="K6569" s="24" t="str" cm="1">
        <f t="array" ref="K6569">IFERROR(IF($B6569=K$1, ($A6569+$C6569) - MAX(IF($B$2:$B6568=$B6569, $A$2:$A6568+$C$2:$C6568)), "")*24*60, "")</f>
        <v/>
      </c>
      <c r="L6569" s="24" t="str" cm="1">
        <f t="array" ref="L6569">IFERROR(IF($B6569=L$1, ($A6569+$C6569) - MAX(IF($B$2:$B6568=$B6569, $A$2:$A6568+$C$2:$C6568)), "")*24*60, "")</f>
        <v/>
      </c>
      <c r="M6569" s="24" t="str" cm="1">
        <f t="array" ref="M6569">IFERROR(IF($B6569=M$1, ($A6569+$C6569) - MAX(IF($B$2:$B6568=$B6569, $A$2:$A6568+$C$2:$C6568)), "")*24*60, "")</f>
        <v/>
      </c>
      <c r="N6569" s="24" t="str" cm="1">
        <f t="array" ref="N6569">IFERROR(IF($B6569=N$1, ($A6569+$C6569) - MAX(IF($B$2:$B6568=$B6569, $A$2:$A6568+$C$2:$C6568)), "")*24*60, "")</f>
        <v/>
      </c>
      <c r="O6569" s="24" t="str" cm="1">
        <f t="array" ref="O6569">IFERROR(IF($B6569=O$1, ($A6569+$C6569) - MAX(IF($B$2:$B6568=$B6569, $A$2:$A6568+$C$2:$C6568)), "")*24*60, "")</f>
        <v/>
      </c>
      <c r="P6569" s="24" t="str" cm="1">
        <f t="array" ref="P6569">IFERROR(IF($B6569=P$1, ($A6569+$C6569) - MAX(IF($B$2:$B6568=$B6569, $A$2:$A6568+$C$2:$C6568)), "")*24*60, "")</f>
        <v/>
      </c>
      <c r="Q6569" s="24" t="str" cm="1">
        <f t="array" ref="Q6569">IFERROR(IF($B6569=Q$1, ($A6569+$C6569) - MAX(IF($B$2:$B6568=$B6569, $A$2:$A6568+$C$2:$C6568)), "")*24*60, "")</f>
        <v/>
      </c>
      <c r="R6569" s="24" t="str" cm="1">
        <f t="array" ref="R6569">IFERROR(IF($B6569=R$1, ($A6569+$C6569) - MAX(IF($B$2:$B6568=$B6569, $A$2:$A6568+$C$2:$C6568)), "")*24*60, "")</f>
        <v/>
      </c>
      <c r="S6569" s="24" t="str" cm="1">
        <f t="array" ref="S6569">IFERROR(IF($B6569=S$1, ($A6569+$C6569) - MAX(IF($B$2:$B6568=$B6569, $A$2:$A6568+$C$2:$C6568)), "")*24*60, "")</f>
        <v/>
      </c>
    </row>
    <row r="6570" spans="1:19" x14ac:dyDescent="0.2">
      <c r="A6570" s="12">
        <f t="shared" ref="A6570:C6570" si="1459">A6569</f>
        <v>45990</v>
      </c>
      <c r="B6570" s="5" t="str">
        <f t="shared" si="1459"/>
        <v>Northern Cardinal</v>
      </c>
      <c r="C6570" s="6">
        <f t="shared" si="1459"/>
        <v>0.28333333333333333</v>
      </c>
      <c r="D6570" s="5"/>
      <c r="E6570" s="5"/>
      <c r="F6570" s="5" t="s">
        <v>8</v>
      </c>
      <c r="G6570" s="15" t="s">
        <v>9</v>
      </c>
      <c r="H6570" s="24">
        <f t="shared" si="1251"/>
        <v>0</v>
      </c>
      <c r="I6570" s="24" cm="1">
        <f t="array" ref="I6570">IFERROR(IF($B6570=I$1, ($A6570+$C6570) - MAX(IF($B$2:$B6569=$B6570, $A$2:$A6569+$C$2:$C6569)), "")*24*60, "")</f>
        <v>0</v>
      </c>
      <c r="J6570" s="24" t="str" cm="1">
        <f t="array" ref="J6570">IFERROR(IF($B6570=J$1, ($A6570+$C6570) - MAX(IF($B$2:$B6569=$B6570, $A$2:$A6569+$C$2:$C6569)), "")*24*60, "")</f>
        <v/>
      </c>
      <c r="K6570" s="24" t="str" cm="1">
        <f t="array" ref="K6570">IFERROR(IF($B6570=K$1, ($A6570+$C6570) - MAX(IF($B$2:$B6569=$B6570, $A$2:$A6569+$C$2:$C6569)), "")*24*60, "")</f>
        <v/>
      </c>
      <c r="L6570" s="24" t="str" cm="1">
        <f t="array" ref="L6570">IFERROR(IF($B6570=L$1, ($A6570+$C6570) - MAX(IF($B$2:$B6569=$B6570, $A$2:$A6569+$C$2:$C6569)), "")*24*60, "")</f>
        <v/>
      </c>
      <c r="M6570" s="24" t="str" cm="1">
        <f t="array" ref="M6570">IFERROR(IF($B6570=M$1, ($A6570+$C6570) - MAX(IF($B$2:$B6569=$B6570, $A$2:$A6569+$C$2:$C6569)), "")*24*60, "")</f>
        <v/>
      </c>
      <c r="N6570" s="24" t="str" cm="1">
        <f t="array" ref="N6570">IFERROR(IF($B6570=N$1, ($A6570+$C6570) - MAX(IF($B$2:$B6569=$B6570, $A$2:$A6569+$C$2:$C6569)), "")*24*60, "")</f>
        <v/>
      </c>
      <c r="O6570" s="24" t="str" cm="1">
        <f t="array" ref="O6570">IFERROR(IF($B6570=O$1, ($A6570+$C6570) - MAX(IF($B$2:$B6569=$B6570, $A$2:$A6569+$C$2:$C6569)), "")*24*60, "")</f>
        <v/>
      </c>
      <c r="P6570" s="24" t="str" cm="1">
        <f t="array" ref="P6570">IFERROR(IF($B6570=P$1, ($A6570+$C6570) - MAX(IF($B$2:$B6569=$B6570, $A$2:$A6569+$C$2:$C6569)), "")*24*60, "")</f>
        <v/>
      </c>
      <c r="Q6570" s="24" t="str" cm="1">
        <f t="array" ref="Q6570">IFERROR(IF($B6570=Q$1, ($A6570+$C6570) - MAX(IF($B$2:$B6569=$B6570, $A$2:$A6569+$C$2:$C6569)), "")*24*60, "")</f>
        <v/>
      </c>
      <c r="R6570" s="24" t="str" cm="1">
        <f t="array" ref="R6570">IFERROR(IF($B6570=R$1, ($A6570+$C6570) - MAX(IF($B$2:$B6569=$B6570, $A$2:$A6569+$C$2:$C6569)), "")*24*60, "")</f>
        <v/>
      </c>
      <c r="S6570" s="24" t="str" cm="1">
        <f t="array" ref="S6570">IFERROR(IF($B6570=S$1, ($A6570+$C6570) - MAX(IF($B$2:$B6569=$B6570, $A$2:$A6569+$C$2:$C6569)), "")*24*60, "")</f>
        <v/>
      </c>
    </row>
    <row r="6571" spans="1:19" x14ac:dyDescent="0.2">
      <c r="A6571" s="12">
        <f t="shared" ref="A6571:C6571" si="1460">A6570</f>
        <v>45990</v>
      </c>
      <c r="B6571" s="5" t="str">
        <f t="shared" si="1460"/>
        <v>Northern Cardinal</v>
      </c>
      <c r="C6571" s="6">
        <f t="shared" si="1460"/>
        <v>0.28333333333333333</v>
      </c>
      <c r="D6571" s="5"/>
      <c r="E6571" s="5"/>
      <c r="F6571" s="5" t="s">
        <v>8</v>
      </c>
      <c r="G6571" s="15" t="s">
        <v>9</v>
      </c>
      <c r="H6571" s="24">
        <f t="shared" si="1251"/>
        <v>0</v>
      </c>
      <c r="I6571" s="24" cm="1">
        <f t="array" ref="I6571">IFERROR(IF($B6571=I$1, ($A6571+$C6571) - MAX(IF($B$2:$B6570=$B6571, $A$2:$A6570+$C$2:$C6570)), "")*24*60, "")</f>
        <v>0</v>
      </c>
      <c r="J6571" s="24" t="str" cm="1">
        <f t="array" ref="J6571">IFERROR(IF($B6571=J$1, ($A6571+$C6571) - MAX(IF($B$2:$B6570=$B6571, $A$2:$A6570+$C$2:$C6570)), "")*24*60, "")</f>
        <v/>
      </c>
      <c r="K6571" s="24" t="str" cm="1">
        <f t="array" ref="K6571">IFERROR(IF($B6571=K$1, ($A6571+$C6571) - MAX(IF($B$2:$B6570=$B6571, $A$2:$A6570+$C$2:$C6570)), "")*24*60, "")</f>
        <v/>
      </c>
      <c r="L6571" s="24" t="str" cm="1">
        <f t="array" ref="L6571">IFERROR(IF($B6571=L$1, ($A6571+$C6571) - MAX(IF($B$2:$B6570=$B6571, $A$2:$A6570+$C$2:$C6570)), "")*24*60, "")</f>
        <v/>
      </c>
      <c r="M6571" s="24" t="str" cm="1">
        <f t="array" ref="M6571">IFERROR(IF($B6571=M$1, ($A6571+$C6571) - MAX(IF($B$2:$B6570=$B6571, $A$2:$A6570+$C$2:$C6570)), "")*24*60, "")</f>
        <v/>
      </c>
      <c r="N6571" s="24" t="str" cm="1">
        <f t="array" ref="N6571">IFERROR(IF($B6571=N$1, ($A6571+$C6571) - MAX(IF($B$2:$B6570=$B6571, $A$2:$A6570+$C$2:$C6570)), "")*24*60, "")</f>
        <v/>
      </c>
      <c r="O6571" s="24" t="str" cm="1">
        <f t="array" ref="O6571">IFERROR(IF($B6571=O$1, ($A6571+$C6571) - MAX(IF($B$2:$B6570=$B6571, $A$2:$A6570+$C$2:$C6570)), "")*24*60, "")</f>
        <v/>
      </c>
      <c r="P6571" s="24" t="str" cm="1">
        <f t="array" ref="P6571">IFERROR(IF($B6571=P$1, ($A6571+$C6571) - MAX(IF($B$2:$B6570=$B6571, $A$2:$A6570+$C$2:$C6570)), "")*24*60, "")</f>
        <v/>
      </c>
      <c r="Q6571" s="24" t="str" cm="1">
        <f t="array" ref="Q6571">IFERROR(IF($B6571=Q$1, ($A6571+$C6571) - MAX(IF($B$2:$B6570=$B6571, $A$2:$A6570+$C$2:$C6570)), "")*24*60, "")</f>
        <v/>
      </c>
      <c r="R6571" s="24" t="str" cm="1">
        <f t="array" ref="R6571">IFERROR(IF($B6571=R$1, ($A6571+$C6571) - MAX(IF($B$2:$B6570=$B6571, $A$2:$A6570+$C$2:$C6570)), "")*24*60, "")</f>
        <v/>
      </c>
      <c r="S6571" s="24" t="str" cm="1">
        <f t="array" ref="S6571">IFERROR(IF($B6571=S$1, ($A6571+$C6571) - MAX(IF($B$2:$B6570=$B6571, $A$2:$A6570+$C$2:$C6570)), "")*24*60, "")</f>
        <v/>
      </c>
    </row>
    <row r="6572" spans="1:19" x14ac:dyDescent="0.2">
      <c r="A6572" s="12">
        <f t="shared" ref="A6572:C6572" si="1461">A6571</f>
        <v>45990</v>
      </c>
      <c r="B6572" s="5" t="str">
        <f t="shared" si="1461"/>
        <v>Northern Cardinal</v>
      </c>
      <c r="C6572" s="6">
        <f t="shared" si="1461"/>
        <v>0.28333333333333333</v>
      </c>
      <c r="D6572" s="5"/>
      <c r="E6572" s="5"/>
      <c r="F6572" s="5" t="s">
        <v>8</v>
      </c>
      <c r="G6572" s="15" t="s">
        <v>9</v>
      </c>
      <c r="H6572" s="24">
        <f t="shared" si="1251"/>
        <v>0</v>
      </c>
      <c r="I6572" s="24" cm="1">
        <f t="array" ref="I6572">IFERROR(IF($B6572=I$1, ($A6572+$C6572) - MAX(IF($B$2:$B6571=$B6572, $A$2:$A6571+$C$2:$C6571)), "")*24*60, "")</f>
        <v>0</v>
      </c>
      <c r="J6572" s="24" t="str" cm="1">
        <f t="array" ref="J6572">IFERROR(IF($B6572=J$1, ($A6572+$C6572) - MAX(IF($B$2:$B6571=$B6572, $A$2:$A6571+$C$2:$C6571)), "")*24*60, "")</f>
        <v/>
      </c>
      <c r="K6572" s="24" t="str" cm="1">
        <f t="array" ref="K6572">IFERROR(IF($B6572=K$1, ($A6572+$C6572) - MAX(IF($B$2:$B6571=$B6572, $A$2:$A6571+$C$2:$C6571)), "")*24*60, "")</f>
        <v/>
      </c>
      <c r="L6572" s="24" t="str" cm="1">
        <f t="array" ref="L6572">IFERROR(IF($B6572=L$1, ($A6572+$C6572) - MAX(IF($B$2:$B6571=$B6572, $A$2:$A6571+$C$2:$C6571)), "")*24*60, "")</f>
        <v/>
      </c>
      <c r="M6572" s="24" t="str" cm="1">
        <f t="array" ref="M6572">IFERROR(IF($B6572=M$1, ($A6572+$C6572) - MAX(IF($B$2:$B6571=$B6572, $A$2:$A6571+$C$2:$C6571)), "")*24*60, "")</f>
        <v/>
      </c>
      <c r="N6572" s="24" t="str" cm="1">
        <f t="array" ref="N6572">IFERROR(IF($B6572=N$1, ($A6572+$C6572) - MAX(IF($B$2:$B6571=$B6572, $A$2:$A6571+$C$2:$C6571)), "")*24*60, "")</f>
        <v/>
      </c>
      <c r="O6572" s="24" t="str" cm="1">
        <f t="array" ref="O6572">IFERROR(IF($B6572=O$1, ($A6572+$C6572) - MAX(IF($B$2:$B6571=$B6572, $A$2:$A6571+$C$2:$C6571)), "")*24*60, "")</f>
        <v/>
      </c>
      <c r="P6572" s="24" t="str" cm="1">
        <f t="array" ref="P6572">IFERROR(IF($B6572=P$1, ($A6572+$C6572) - MAX(IF($B$2:$B6571=$B6572, $A$2:$A6571+$C$2:$C6571)), "")*24*60, "")</f>
        <v/>
      </c>
      <c r="Q6572" s="24" t="str" cm="1">
        <f t="array" ref="Q6572">IFERROR(IF($B6572=Q$1, ($A6572+$C6572) - MAX(IF($B$2:$B6571=$B6572, $A$2:$A6571+$C$2:$C6571)), "")*24*60, "")</f>
        <v/>
      </c>
      <c r="R6572" s="24" t="str" cm="1">
        <f t="array" ref="R6572">IFERROR(IF($B6572=R$1, ($A6572+$C6572) - MAX(IF($B$2:$B6571=$B6572, $A$2:$A6571+$C$2:$C6571)), "")*24*60, "")</f>
        <v/>
      </c>
      <c r="S6572" s="24" t="str" cm="1">
        <f t="array" ref="S6572">IFERROR(IF($B6572=S$1, ($A6572+$C6572) - MAX(IF($B$2:$B6571=$B6572, $A$2:$A6571+$C$2:$C6571)), "")*24*60, "")</f>
        <v/>
      </c>
    </row>
    <row r="6573" spans="1:19" x14ac:dyDescent="0.2">
      <c r="A6573" s="12">
        <f t="shared" ref="A6573:C6573" si="1462">A6572</f>
        <v>45990</v>
      </c>
      <c r="B6573" s="5" t="str">
        <f t="shared" si="1462"/>
        <v>Northern Cardinal</v>
      </c>
      <c r="C6573" s="6">
        <f t="shared" si="1462"/>
        <v>0.28333333333333333</v>
      </c>
      <c r="D6573" s="5"/>
      <c r="E6573" s="5"/>
      <c r="F6573" s="5" t="s">
        <v>8</v>
      </c>
      <c r="G6573" s="15" t="s">
        <v>9</v>
      </c>
      <c r="H6573" s="24">
        <f t="shared" si="1251"/>
        <v>0</v>
      </c>
      <c r="I6573" s="24" cm="1">
        <f t="array" ref="I6573">IFERROR(IF($B6573=I$1, ($A6573+$C6573) - MAX(IF($B$2:$B6572=$B6573, $A$2:$A6572+$C$2:$C6572)), "")*24*60, "")</f>
        <v>0</v>
      </c>
      <c r="J6573" s="24" t="str" cm="1">
        <f t="array" ref="J6573">IFERROR(IF($B6573=J$1, ($A6573+$C6573) - MAX(IF($B$2:$B6572=$B6573, $A$2:$A6572+$C$2:$C6572)), "")*24*60, "")</f>
        <v/>
      </c>
      <c r="K6573" s="24" t="str" cm="1">
        <f t="array" ref="K6573">IFERROR(IF($B6573=K$1, ($A6573+$C6573) - MAX(IF($B$2:$B6572=$B6573, $A$2:$A6572+$C$2:$C6572)), "")*24*60, "")</f>
        <v/>
      </c>
      <c r="L6573" s="24" t="str" cm="1">
        <f t="array" ref="L6573">IFERROR(IF($B6573=L$1, ($A6573+$C6573) - MAX(IF($B$2:$B6572=$B6573, $A$2:$A6572+$C$2:$C6572)), "")*24*60, "")</f>
        <v/>
      </c>
      <c r="M6573" s="24" t="str" cm="1">
        <f t="array" ref="M6573">IFERROR(IF($B6573=M$1, ($A6573+$C6573) - MAX(IF($B$2:$B6572=$B6573, $A$2:$A6572+$C$2:$C6572)), "")*24*60, "")</f>
        <v/>
      </c>
      <c r="N6573" s="24" t="str" cm="1">
        <f t="array" ref="N6573">IFERROR(IF($B6573=N$1, ($A6573+$C6573) - MAX(IF($B$2:$B6572=$B6573, $A$2:$A6572+$C$2:$C6572)), "")*24*60, "")</f>
        <v/>
      </c>
      <c r="O6573" s="24" t="str" cm="1">
        <f t="array" ref="O6573">IFERROR(IF($B6573=O$1, ($A6573+$C6573) - MAX(IF($B$2:$B6572=$B6573, $A$2:$A6572+$C$2:$C6572)), "")*24*60, "")</f>
        <v/>
      </c>
      <c r="P6573" s="24" t="str" cm="1">
        <f t="array" ref="P6573">IFERROR(IF($B6573=P$1, ($A6573+$C6573) - MAX(IF($B$2:$B6572=$B6573, $A$2:$A6572+$C$2:$C6572)), "")*24*60, "")</f>
        <v/>
      </c>
      <c r="Q6573" s="24" t="str" cm="1">
        <f t="array" ref="Q6573">IFERROR(IF($B6573=Q$1, ($A6573+$C6573) - MAX(IF($B$2:$B6572=$B6573, $A$2:$A6572+$C$2:$C6572)), "")*24*60, "")</f>
        <v/>
      </c>
      <c r="R6573" s="24" t="str" cm="1">
        <f t="array" ref="R6573">IFERROR(IF($B6573=R$1, ($A6573+$C6573) - MAX(IF($B$2:$B6572=$B6573, $A$2:$A6572+$C$2:$C6572)), "")*24*60, "")</f>
        <v/>
      </c>
      <c r="S6573" s="24" t="str" cm="1">
        <f t="array" ref="S6573">IFERROR(IF($B6573=S$1, ($A6573+$C6573) - MAX(IF($B$2:$B6572=$B6573, $A$2:$A6572+$C$2:$C6572)), "")*24*60, "")</f>
        <v/>
      </c>
    </row>
    <row r="6574" spans="1:19" x14ac:dyDescent="0.2">
      <c r="A6574" s="12">
        <f t="shared" ref="A6574:C6574" si="1463">A6573</f>
        <v>45990</v>
      </c>
      <c r="B6574" s="5" t="str">
        <f t="shared" si="1463"/>
        <v>Northern Cardinal</v>
      </c>
      <c r="C6574" s="6">
        <f t="shared" si="1463"/>
        <v>0.28333333333333333</v>
      </c>
      <c r="D6574" s="5"/>
      <c r="E6574" s="5"/>
      <c r="F6574" s="5" t="s">
        <v>8</v>
      </c>
      <c r="G6574" s="15" t="s">
        <v>9</v>
      </c>
      <c r="H6574" s="24">
        <f t="shared" si="1251"/>
        <v>0</v>
      </c>
      <c r="I6574" s="24" cm="1">
        <f t="array" ref="I6574">IFERROR(IF($B6574=I$1, ($A6574+$C6574) - MAX(IF($B$2:$B6573=$B6574, $A$2:$A6573+$C$2:$C6573)), "")*24*60, "")</f>
        <v>0</v>
      </c>
      <c r="J6574" s="24" t="str" cm="1">
        <f t="array" ref="J6574">IFERROR(IF($B6574=J$1, ($A6574+$C6574) - MAX(IF($B$2:$B6573=$B6574, $A$2:$A6573+$C$2:$C6573)), "")*24*60, "")</f>
        <v/>
      </c>
      <c r="K6574" s="24" t="str" cm="1">
        <f t="array" ref="K6574">IFERROR(IF($B6574=K$1, ($A6574+$C6574) - MAX(IF($B$2:$B6573=$B6574, $A$2:$A6573+$C$2:$C6573)), "")*24*60, "")</f>
        <v/>
      </c>
      <c r="L6574" s="24" t="str" cm="1">
        <f t="array" ref="L6574">IFERROR(IF($B6574=L$1, ($A6574+$C6574) - MAX(IF($B$2:$B6573=$B6574, $A$2:$A6573+$C$2:$C6573)), "")*24*60, "")</f>
        <v/>
      </c>
      <c r="M6574" s="24" t="str" cm="1">
        <f t="array" ref="M6574">IFERROR(IF($B6574=M$1, ($A6574+$C6574) - MAX(IF($B$2:$B6573=$B6574, $A$2:$A6573+$C$2:$C6573)), "")*24*60, "")</f>
        <v/>
      </c>
      <c r="N6574" s="24" t="str" cm="1">
        <f t="array" ref="N6574">IFERROR(IF($B6574=N$1, ($A6574+$C6574) - MAX(IF($B$2:$B6573=$B6574, $A$2:$A6573+$C$2:$C6573)), "")*24*60, "")</f>
        <v/>
      </c>
      <c r="O6574" s="24" t="str" cm="1">
        <f t="array" ref="O6574">IFERROR(IF($B6574=O$1, ($A6574+$C6574) - MAX(IF($B$2:$B6573=$B6574, $A$2:$A6573+$C$2:$C6573)), "")*24*60, "")</f>
        <v/>
      </c>
      <c r="P6574" s="24" t="str" cm="1">
        <f t="array" ref="P6574">IFERROR(IF($B6574=P$1, ($A6574+$C6574) - MAX(IF($B$2:$B6573=$B6574, $A$2:$A6573+$C$2:$C6573)), "")*24*60, "")</f>
        <v/>
      </c>
      <c r="Q6574" s="24" t="str" cm="1">
        <f t="array" ref="Q6574">IFERROR(IF($B6574=Q$1, ($A6574+$C6574) - MAX(IF($B$2:$B6573=$B6574, $A$2:$A6573+$C$2:$C6573)), "")*24*60, "")</f>
        <v/>
      </c>
      <c r="R6574" s="24" t="str" cm="1">
        <f t="array" ref="R6574">IFERROR(IF($B6574=R$1, ($A6574+$C6574) - MAX(IF($B$2:$B6573=$B6574, $A$2:$A6573+$C$2:$C6573)), "")*24*60, "")</f>
        <v/>
      </c>
      <c r="S6574" s="24" t="str" cm="1">
        <f t="array" ref="S6574">IFERROR(IF($B6574=S$1, ($A6574+$C6574) - MAX(IF($B$2:$B6573=$B6574, $A$2:$A6573+$C$2:$C6573)), "")*24*60, "")</f>
        <v/>
      </c>
    </row>
    <row r="6575" spans="1:19" x14ac:dyDescent="0.2">
      <c r="A6575" s="12">
        <f t="shared" ref="A6575:C6575" si="1464">A6574</f>
        <v>45990</v>
      </c>
      <c r="B6575" s="5" t="str">
        <f t="shared" si="1464"/>
        <v>Northern Cardinal</v>
      </c>
      <c r="C6575" s="6">
        <f t="shared" si="1464"/>
        <v>0.28333333333333333</v>
      </c>
      <c r="D6575" s="5"/>
      <c r="E6575" s="5"/>
      <c r="F6575" s="5" t="s">
        <v>8</v>
      </c>
      <c r="G6575" s="15" t="s">
        <v>9</v>
      </c>
      <c r="H6575" s="24">
        <f t="shared" si="1251"/>
        <v>0</v>
      </c>
      <c r="I6575" s="24" cm="1">
        <f t="array" ref="I6575">IFERROR(IF($B6575=I$1, ($A6575+$C6575) - MAX(IF($B$2:$B6574=$B6575, $A$2:$A6574+$C$2:$C6574)), "")*24*60, "")</f>
        <v>0</v>
      </c>
      <c r="J6575" s="24" t="str" cm="1">
        <f t="array" ref="J6575">IFERROR(IF($B6575=J$1, ($A6575+$C6575) - MAX(IF($B$2:$B6574=$B6575, $A$2:$A6574+$C$2:$C6574)), "")*24*60, "")</f>
        <v/>
      </c>
      <c r="K6575" s="24" t="str" cm="1">
        <f t="array" ref="K6575">IFERROR(IF($B6575=K$1, ($A6575+$C6575) - MAX(IF($B$2:$B6574=$B6575, $A$2:$A6574+$C$2:$C6574)), "")*24*60, "")</f>
        <v/>
      </c>
      <c r="L6575" s="24" t="str" cm="1">
        <f t="array" ref="L6575">IFERROR(IF($B6575=L$1, ($A6575+$C6575) - MAX(IF($B$2:$B6574=$B6575, $A$2:$A6574+$C$2:$C6574)), "")*24*60, "")</f>
        <v/>
      </c>
      <c r="M6575" s="24" t="str" cm="1">
        <f t="array" ref="M6575">IFERROR(IF($B6575=M$1, ($A6575+$C6575) - MAX(IF($B$2:$B6574=$B6575, $A$2:$A6574+$C$2:$C6574)), "")*24*60, "")</f>
        <v/>
      </c>
      <c r="N6575" s="24" t="str" cm="1">
        <f t="array" ref="N6575">IFERROR(IF($B6575=N$1, ($A6575+$C6575) - MAX(IF($B$2:$B6574=$B6575, $A$2:$A6574+$C$2:$C6574)), "")*24*60, "")</f>
        <v/>
      </c>
      <c r="O6575" s="24" t="str" cm="1">
        <f t="array" ref="O6575">IFERROR(IF($B6575=O$1, ($A6575+$C6575) - MAX(IF($B$2:$B6574=$B6575, $A$2:$A6574+$C$2:$C6574)), "")*24*60, "")</f>
        <v/>
      </c>
      <c r="P6575" s="24" t="str" cm="1">
        <f t="array" ref="P6575">IFERROR(IF($B6575=P$1, ($A6575+$C6575) - MAX(IF($B$2:$B6574=$B6575, $A$2:$A6574+$C$2:$C6574)), "")*24*60, "")</f>
        <v/>
      </c>
      <c r="Q6575" s="24" t="str" cm="1">
        <f t="array" ref="Q6575">IFERROR(IF($B6575=Q$1, ($A6575+$C6575) - MAX(IF($B$2:$B6574=$B6575, $A$2:$A6574+$C$2:$C6574)), "")*24*60, "")</f>
        <v/>
      </c>
      <c r="R6575" s="24" t="str" cm="1">
        <f t="array" ref="R6575">IFERROR(IF($B6575=R$1, ($A6575+$C6575) - MAX(IF($B$2:$B6574=$B6575, $A$2:$A6574+$C$2:$C6574)), "")*24*60, "")</f>
        <v/>
      </c>
      <c r="S6575" s="24" t="str" cm="1">
        <f t="array" ref="S6575">IFERROR(IF($B6575=S$1, ($A6575+$C6575) - MAX(IF($B$2:$B6574=$B6575, $A$2:$A6574+$C$2:$C6574)), "")*24*60, "")</f>
        <v/>
      </c>
    </row>
    <row r="6576" spans="1:19" x14ac:dyDescent="0.2">
      <c r="A6576" s="12">
        <f t="shared" ref="A6576:C6576" si="1465">A6575</f>
        <v>45990</v>
      </c>
      <c r="B6576" s="5" t="str">
        <f t="shared" si="1465"/>
        <v>Northern Cardinal</v>
      </c>
      <c r="C6576" s="6">
        <f t="shared" si="1465"/>
        <v>0.28333333333333333</v>
      </c>
      <c r="D6576" s="5"/>
      <c r="E6576" s="5"/>
      <c r="F6576" s="5" t="s">
        <v>8</v>
      </c>
      <c r="G6576" s="15" t="s">
        <v>9</v>
      </c>
      <c r="H6576" s="24">
        <f t="shared" si="1251"/>
        <v>0</v>
      </c>
      <c r="I6576" s="24" cm="1">
        <f t="array" ref="I6576">IFERROR(IF($B6576=I$1, ($A6576+$C6576) - MAX(IF($B$2:$B6575=$B6576, $A$2:$A6575+$C$2:$C6575)), "")*24*60, "")</f>
        <v>0</v>
      </c>
      <c r="J6576" s="24" t="str" cm="1">
        <f t="array" ref="J6576">IFERROR(IF($B6576=J$1, ($A6576+$C6576) - MAX(IF($B$2:$B6575=$B6576, $A$2:$A6575+$C$2:$C6575)), "")*24*60, "")</f>
        <v/>
      </c>
      <c r="K6576" s="24" t="str" cm="1">
        <f t="array" ref="K6576">IFERROR(IF($B6576=K$1, ($A6576+$C6576) - MAX(IF($B$2:$B6575=$B6576, $A$2:$A6575+$C$2:$C6575)), "")*24*60, "")</f>
        <v/>
      </c>
      <c r="L6576" s="24" t="str" cm="1">
        <f t="array" ref="L6576">IFERROR(IF($B6576=L$1, ($A6576+$C6576) - MAX(IF($B$2:$B6575=$B6576, $A$2:$A6575+$C$2:$C6575)), "")*24*60, "")</f>
        <v/>
      </c>
      <c r="M6576" s="24" t="str" cm="1">
        <f t="array" ref="M6576">IFERROR(IF($B6576=M$1, ($A6576+$C6576) - MAX(IF($B$2:$B6575=$B6576, $A$2:$A6575+$C$2:$C6575)), "")*24*60, "")</f>
        <v/>
      </c>
      <c r="N6576" s="24" t="str" cm="1">
        <f t="array" ref="N6576">IFERROR(IF($B6576=N$1, ($A6576+$C6576) - MAX(IF($B$2:$B6575=$B6576, $A$2:$A6575+$C$2:$C6575)), "")*24*60, "")</f>
        <v/>
      </c>
      <c r="O6576" s="24" t="str" cm="1">
        <f t="array" ref="O6576">IFERROR(IF($B6576=O$1, ($A6576+$C6576) - MAX(IF($B$2:$B6575=$B6576, $A$2:$A6575+$C$2:$C6575)), "")*24*60, "")</f>
        <v/>
      </c>
      <c r="P6576" s="24" t="str" cm="1">
        <f t="array" ref="P6576">IFERROR(IF($B6576=P$1, ($A6576+$C6576) - MAX(IF($B$2:$B6575=$B6576, $A$2:$A6575+$C$2:$C6575)), "")*24*60, "")</f>
        <v/>
      </c>
      <c r="Q6576" s="24" t="str" cm="1">
        <f t="array" ref="Q6576">IFERROR(IF($B6576=Q$1, ($A6576+$C6576) - MAX(IF($B$2:$B6575=$B6576, $A$2:$A6575+$C$2:$C6575)), "")*24*60, "")</f>
        <v/>
      </c>
      <c r="R6576" s="24" t="str" cm="1">
        <f t="array" ref="R6576">IFERROR(IF($B6576=R$1, ($A6576+$C6576) - MAX(IF($B$2:$B6575=$B6576, $A$2:$A6575+$C$2:$C6575)), "")*24*60, "")</f>
        <v/>
      </c>
      <c r="S6576" s="24" t="str" cm="1">
        <f t="array" ref="S6576">IFERROR(IF($B6576=S$1, ($A6576+$C6576) - MAX(IF($B$2:$B6575=$B6576, $A$2:$A6575+$C$2:$C6575)), "")*24*60, "")</f>
        <v/>
      </c>
    </row>
    <row r="6577" spans="1:19" x14ac:dyDescent="0.2">
      <c r="A6577" s="12">
        <f t="shared" ref="A6577:C6577" si="1466">A6576</f>
        <v>45990</v>
      </c>
      <c r="B6577" s="5" t="str">
        <f t="shared" si="1466"/>
        <v>Northern Cardinal</v>
      </c>
      <c r="C6577" s="6">
        <f t="shared" si="1466"/>
        <v>0.28333333333333333</v>
      </c>
      <c r="D6577" s="5"/>
      <c r="E6577" s="5"/>
      <c r="F6577" s="5" t="s">
        <v>8</v>
      </c>
      <c r="G6577" s="15" t="s">
        <v>9</v>
      </c>
      <c r="H6577" s="24">
        <f t="shared" si="1251"/>
        <v>0</v>
      </c>
      <c r="I6577" s="24" cm="1">
        <f t="array" ref="I6577">IFERROR(IF($B6577=I$1, ($A6577+$C6577) - MAX(IF($B$2:$B6576=$B6577, $A$2:$A6576+$C$2:$C6576)), "")*24*60, "")</f>
        <v>0</v>
      </c>
      <c r="J6577" s="24" t="str" cm="1">
        <f t="array" ref="J6577">IFERROR(IF($B6577=J$1, ($A6577+$C6577) - MAX(IF($B$2:$B6576=$B6577, $A$2:$A6576+$C$2:$C6576)), "")*24*60, "")</f>
        <v/>
      </c>
      <c r="K6577" s="24" t="str" cm="1">
        <f t="array" ref="K6577">IFERROR(IF($B6577=K$1, ($A6577+$C6577) - MAX(IF($B$2:$B6576=$B6577, $A$2:$A6576+$C$2:$C6576)), "")*24*60, "")</f>
        <v/>
      </c>
      <c r="L6577" s="24" t="str" cm="1">
        <f t="array" ref="L6577">IFERROR(IF($B6577=L$1, ($A6577+$C6577) - MAX(IF($B$2:$B6576=$B6577, $A$2:$A6576+$C$2:$C6576)), "")*24*60, "")</f>
        <v/>
      </c>
      <c r="M6577" s="24" t="str" cm="1">
        <f t="array" ref="M6577">IFERROR(IF($B6577=M$1, ($A6577+$C6577) - MAX(IF($B$2:$B6576=$B6577, $A$2:$A6576+$C$2:$C6576)), "")*24*60, "")</f>
        <v/>
      </c>
      <c r="N6577" s="24" t="str" cm="1">
        <f t="array" ref="N6577">IFERROR(IF($B6577=N$1, ($A6577+$C6577) - MAX(IF($B$2:$B6576=$B6577, $A$2:$A6576+$C$2:$C6576)), "")*24*60, "")</f>
        <v/>
      </c>
      <c r="O6577" s="24" t="str" cm="1">
        <f t="array" ref="O6577">IFERROR(IF($B6577=O$1, ($A6577+$C6577) - MAX(IF($B$2:$B6576=$B6577, $A$2:$A6576+$C$2:$C6576)), "")*24*60, "")</f>
        <v/>
      </c>
      <c r="P6577" s="24" t="str" cm="1">
        <f t="array" ref="P6577">IFERROR(IF($B6577=P$1, ($A6577+$C6577) - MAX(IF($B$2:$B6576=$B6577, $A$2:$A6576+$C$2:$C6576)), "")*24*60, "")</f>
        <v/>
      </c>
      <c r="Q6577" s="24" t="str" cm="1">
        <f t="array" ref="Q6577">IFERROR(IF($B6577=Q$1, ($A6577+$C6577) - MAX(IF($B$2:$B6576=$B6577, $A$2:$A6576+$C$2:$C6576)), "")*24*60, "")</f>
        <v/>
      </c>
      <c r="R6577" s="24" t="str" cm="1">
        <f t="array" ref="R6577">IFERROR(IF($B6577=R$1, ($A6577+$C6577) - MAX(IF($B$2:$B6576=$B6577, $A$2:$A6576+$C$2:$C6576)), "")*24*60, "")</f>
        <v/>
      </c>
      <c r="S6577" s="24" t="str" cm="1">
        <f t="array" ref="S6577">IFERROR(IF($B6577=S$1, ($A6577+$C6577) - MAX(IF($B$2:$B6576=$B6577, $A$2:$A6576+$C$2:$C6576)), "")*24*60, "")</f>
        <v/>
      </c>
    </row>
    <row r="6578" spans="1:19" x14ac:dyDescent="0.2">
      <c r="A6578" s="12">
        <f t="shared" ref="A6578:C6578" si="1467">A6577</f>
        <v>45990</v>
      </c>
      <c r="B6578" s="5" t="str">
        <f t="shared" si="1467"/>
        <v>Northern Cardinal</v>
      </c>
      <c r="C6578" s="6">
        <f t="shared" si="1467"/>
        <v>0.28333333333333333</v>
      </c>
      <c r="D6578" s="5"/>
      <c r="E6578" s="5"/>
      <c r="F6578" s="5" t="s">
        <v>8</v>
      </c>
      <c r="G6578" s="15" t="s">
        <v>9</v>
      </c>
      <c r="H6578" s="24">
        <f t="shared" si="1251"/>
        <v>0</v>
      </c>
      <c r="I6578" s="24" cm="1">
        <f t="array" ref="I6578">IFERROR(IF($B6578=I$1, ($A6578+$C6578) - MAX(IF($B$2:$B6577=$B6578, $A$2:$A6577+$C$2:$C6577)), "")*24*60, "")</f>
        <v>0</v>
      </c>
      <c r="J6578" s="24" t="str" cm="1">
        <f t="array" ref="J6578">IFERROR(IF($B6578=J$1, ($A6578+$C6578) - MAX(IF($B$2:$B6577=$B6578, $A$2:$A6577+$C$2:$C6577)), "")*24*60, "")</f>
        <v/>
      </c>
      <c r="K6578" s="24" t="str" cm="1">
        <f t="array" ref="K6578">IFERROR(IF($B6578=K$1, ($A6578+$C6578) - MAX(IF($B$2:$B6577=$B6578, $A$2:$A6577+$C$2:$C6577)), "")*24*60, "")</f>
        <v/>
      </c>
      <c r="L6578" s="24" t="str" cm="1">
        <f t="array" ref="L6578">IFERROR(IF($B6578=L$1, ($A6578+$C6578) - MAX(IF($B$2:$B6577=$B6578, $A$2:$A6577+$C$2:$C6577)), "")*24*60, "")</f>
        <v/>
      </c>
      <c r="M6578" s="24" t="str" cm="1">
        <f t="array" ref="M6578">IFERROR(IF($B6578=M$1, ($A6578+$C6578) - MAX(IF($B$2:$B6577=$B6578, $A$2:$A6577+$C$2:$C6577)), "")*24*60, "")</f>
        <v/>
      </c>
      <c r="N6578" s="24" t="str" cm="1">
        <f t="array" ref="N6578">IFERROR(IF($B6578=N$1, ($A6578+$C6578) - MAX(IF($B$2:$B6577=$B6578, $A$2:$A6577+$C$2:$C6577)), "")*24*60, "")</f>
        <v/>
      </c>
      <c r="O6578" s="24" t="str" cm="1">
        <f t="array" ref="O6578">IFERROR(IF($B6578=O$1, ($A6578+$C6578) - MAX(IF($B$2:$B6577=$B6578, $A$2:$A6577+$C$2:$C6577)), "")*24*60, "")</f>
        <v/>
      </c>
      <c r="P6578" s="24" t="str" cm="1">
        <f t="array" ref="P6578">IFERROR(IF($B6578=P$1, ($A6578+$C6578) - MAX(IF($B$2:$B6577=$B6578, $A$2:$A6577+$C$2:$C6577)), "")*24*60, "")</f>
        <v/>
      </c>
      <c r="Q6578" s="24" t="str" cm="1">
        <f t="array" ref="Q6578">IFERROR(IF($B6578=Q$1, ($A6578+$C6578) - MAX(IF($B$2:$B6577=$B6578, $A$2:$A6577+$C$2:$C6577)), "")*24*60, "")</f>
        <v/>
      </c>
      <c r="R6578" s="24" t="str" cm="1">
        <f t="array" ref="R6578">IFERROR(IF($B6578=R$1, ($A6578+$C6578) - MAX(IF($B$2:$B6577=$B6578, $A$2:$A6577+$C$2:$C6577)), "")*24*60, "")</f>
        <v/>
      </c>
      <c r="S6578" s="24" t="str" cm="1">
        <f t="array" ref="S6578">IFERROR(IF($B6578=S$1, ($A6578+$C6578) - MAX(IF($B$2:$B6577=$B6578, $A$2:$A6577+$C$2:$C6577)), "")*24*60, "")</f>
        <v/>
      </c>
    </row>
    <row r="6579" spans="1:19" x14ac:dyDescent="0.2">
      <c r="A6579" s="12">
        <f t="shared" ref="A6579:C6579" si="1468">A6578</f>
        <v>45990</v>
      </c>
      <c r="B6579" s="5" t="str">
        <f t="shared" si="1468"/>
        <v>Northern Cardinal</v>
      </c>
      <c r="C6579" s="6">
        <f t="shared" si="1468"/>
        <v>0.28333333333333333</v>
      </c>
      <c r="D6579" s="5"/>
      <c r="E6579" s="5"/>
      <c r="F6579" s="5" t="s">
        <v>8</v>
      </c>
      <c r="G6579" s="15" t="s">
        <v>9</v>
      </c>
      <c r="H6579" s="24">
        <f t="shared" si="1251"/>
        <v>0</v>
      </c>
      <c r="I6579" s="24" cm="1">
        <f t="array" ref="I6579">IFERROR(IF($B6579=I$1, ($A6579+$C6579) - MAX(IF($B$2:$B6578=$B6579, $A$2:$A6578+$C$2:$C6578)), "")*24*60, "")</f>
        <v>0</v>
      </c>
      <c r="J6579" s="24" t="str" cm="1">
        <f t="array" ref="J6579">IFERROR(IF($B6579=J$1, ($A6579+$C6579) - MAX(IF($B$2:$B6578=$B6579, $A$2:$A6578+$C$2:$C6578)), "")*24*60, "")</f>
        <v/>
      </c>
      <c r="K6579" s="24" t="str" cm="1">
        <f t="array" ref="K6579">IFERROR(IF($B6579=K$1, ($A6579+$C6579) - MAX(IF($B$2:$B6578=$B6579, $A$2:$A6578+$C$2:$C6578)), "")*24*60, "")</f>
        <v/>
      </c>
      <c r="L6579" s="24" t="str" cm="1">
        <f t="array" ref="L6579">IFERROR(IF($B6579=L$1, ($A6579+$C6579) - MAX(IF($B$2:$B6578=$B6579, $A$2:$A6578+$C$2:$C6578)), "")*24*60, "")</f>
        <v/>
      </c>
      <c r="M6579" s="24" t="str" cm="1">
        <f t="array" ref="M6579">IFERROR(IF($B6579=M$1, ($A6579+$C6579) - MAX(IF($B$2:$B6578=$B6579, $A$2:$A6578+$C$2:$C6578)), "")*24*60, "")</f>
        <v/>
      </c>
      <c r="N6579" s="24" t="str" cm="1">
        <f t="array" ref="N6579">IFERROR(IF($B6579=N$1, ($A6579+$C6579) - MAX(IF($B$2:$B6578=$B6579, $A$2:$A6578+$C$2:$C6578)), "")*24*60, "")</f>
        <v/>
      </c>
      <c r="O6579" s="24" t="str" cm="1">
        <f t="array" ref="O6579">IFERROR(IF($B6579=O$1, ($A6579+$C6579) - MAX(IF($B$2:$B6578=$B6579, $A$2:$A6578+$C$2:$C6578)), "")*24*60, "")</f>
        <v/>
      </c>
      <c r="P6579" s="24" t="str" cm="1">
        <f t="array" ref="P6579">IFERROR(IF($B6579=P$1, ($A6579+$C6579) - MAX(IF($B$2:$B6578=$B6579, $A$2:$A6578+$C$2:$C6578)), "")*24*60, "")</f>
        <v/>
      </c>
      <c r="Q6579" s="24" t="str" cm="1">
        <f t="array" ref="Q6579">IFERROR(IF($B6579=Q$1, ($A6579+$C6579) - MAX(IF($B$2:$B6578=$B6579, $A$2:$A6578+$C$2:$C6578)), "")*24*60, "")</f>
        <v/>
      </c>
      <c r="R6579" s="24" t="str" cm="1">
        <f t="array" ref="R6579">IFERROR(IF($B6579=R$1, ($A6579+$C6579) - MAX(IF($B$2:$B6578=$B6579, $A$2:$A6578+$C$2:$C6578)), "")*24*60, "")</f>
        <v/>
      </c>
      <c r="S6579" s="24" t="str" cm="1">
        <f t="array" ref="S6579">IFERROR(IF($B6579=S$1, ($A6579+$C6579) - MAX(IF($B$2:$B6578=$B6579, $A$2:$A6578+$C$2:$C6578)), "")*24*60, "")</f>
        <v/>
      </c>
    </row>
    <row r="6580" spans="1:19" x14ac:dyDescent="0.2">
      <c r="A6580" s="12">
        <f t="shared" ref="A6580:C6580" si="1469">A6579</f>
        <v>45990</v>
      </c>
      <c r="B6580" s="5" t="str">
        <f t="shared" si="1469"/>
        <v>Northern Cardinal</v>
      </c>
      <c r="C6580" s="6">
        <f t="shared" si="1469"/>
        <v>0.28333333333333333</v>
      </c>
      <c r="D6580" s="5"/>
      <c r="E6580" s="5"/>
      <c r="F6580" s="5" t="s">
        <v>8</v>
      </c>
      <c r="G6580" s="15" t="s">
        <v>9</v>
      </c>
      <c r="H6580" s="24">
        <f t="shared" si="1251"/>
        <v>0</v>
      </c>
      <c r="I6580" s="24" cm="1">
        <f t="array" ref="I6580">IFERROR(IF($B6580=I$1, ($A6580+$C6580) - MAX(IF($B$2:$B6579=$B6580, $A$2:$A6579+$C$2:$C6579)), "")*24*60, "")</f>
        <v>0</v>
      </c>
      <c r="J6580" s="24" t="str" cm="1">
        <f t="array" ref="J6580">IFERROR(IF($B6580=J$1, ($A6580+$C6580) - MAX(IF($B$2:$B6579=$B6580, $A$2:$A6579+$C$2:$C6579)), "")*24*60, "")</f>
        <v/>
      </c>
      <c r="K6580" s="24" t="str" cm="1">
        <f t="array" ref="K6580">IFERROR(IF($B6580=K$1, ($A6580+$C6580) - MAX(IF($B$2:$B6579=$B6580, $A$2:$A6579+$C$2:$C6579)), "")*24*60, "")</f>
        <v/>
      </c>
      <c r="L6580" s="24" t="str" cm="1">
        <f t="array" ref="L6580">IFERROR(IF($B6580=L$1, ($A6580+$C6580) - MAX(IF($B$2:$B6579=$B6580, $A$2:$A6579+$C$2:$C6579)), "")*24*60, "")</f>
        <v/>
      </c>
      <c r="M6580" s="24" t="str" cm="1">
        <f t="array" ref="M6580">IFERROR(IF($B6580=M$1, ($A6580+$C6580) - MAX(IF($B$2:$B6579=$B6580, $A$2:$A6579+$C$2:$C6579)), "")*24*60, "")</f>
        <v/>
      </c>
      <c r="N6580" s="24" t="str" cm="1">
        <f t="array" ref="N6580">IFERROR(IF($B6580=N$1, ($A6580+$C6580) - MAX(IF($B$2:$B6579=$B6580, $A$2:$A6579+$C$2:$C6579)), "")*24*60, "")</f>
        <v/>
      </c>
      <c r="O6580" s="24" t="str" cm="1">
        <f t="array" ref="O6580">IFERROR(IF($B6580=O$1, ($A6580+$C6580) - MAX(IF($B$2:$B6579=$B6580, $A$2:$A6579+$C$2:$C6579)), "")*24*60, "")</f>
        <v/>
      </c>
      <c r="P6580" s="24" t="str" cm="1">
        <f t="array" ref="P6580">IFERROR(IF($B6580=P$1, ($A6580+$C6580) - MAX(IF($B$2:$B6579=$B6580, $A$2:$A6579+$C$2:$C6579)), "")*24*60, "")</f>
        <v/>
      </c>
      <c r="Q6580" s="24" t="str" cm="1">
        <f t="array" ref="Q6580">IFERROR(IF($B6580=Q$1, ($A6580+$C6580) - MAX(IF($B$2:$B6579=$B6580, $A$2:$A6579+$C$2:$C6579)), "")*24*60, "")</f>
        <v/>
      </c>
      <c r="R6580" s="24" t="str" cm="1">
        <f t="array" ref="R6580">IFERROR(IF($B6580=R$1, ($A6580+$C6580) - MAX(IF($B$2:$B6579=$B6580, $A$2:$A6579+$C$2:$C6579)), "")*24*60, "")</f>
        <v/>
      </c>
      <c r="S6580" s="24" t="str" cm="1">
        <f t="array" ref="S6580">IFERROR(IF($B6580=S$1, ($A6580+$C6580) - MAX(IF($B$2:$B6579=$B6580, $A$2:$A6579+$C$2:$C6579)), "")*24*60, "")</f>
        <v/>
      </c>
    </row>
    <row r="6581" spans="1:19" x14ac:dyDescent="0.2">
      <c r="A6581" s="12">
        <f t="shared" ref="A6581:C6581" si="1470">A6580</f>
        <v>45990</v>
      </c>
      <c r="B6581" s="5" t="str">
        <f t="shared" si="1470"/>
        <v>Northern Cardinal</v>
      </c>
      <c r="C6581" s="6">
        <f t="shared" si="1470"/>
        <v>0.28333333333333333</v>
      </c>
      <c r="D6581" s="5"/>
      <c r="E6581" s="5"/>
      <c r="F6581" s="5" t="s">
        <v>8</v>
      </c>
      <c r="G6581" s="15" t="s">
        <v>9</v>
      </c>
      <c r="H6581" s="24">
        <f t="shared" si="1251"/>
        <v>0</v>
      </c>
      <c r="I6581" s="24" cm="1">
        <f t="array" ref="I6581">IFERROR(IF($B6581=I$1, ($A6581+$C6581) - MAX(IF($B$2:$B6580=$B6581, $A$2:$A6580+$C$2:$C6580)), "")*24*60, "")</f>
        <v>0</v>
      </c>
      <c r="J6581" s="24" t="str" cm="1">
        <f t="array" ref="J6581">IFERROR(IF($B6581=J$1, ($A6581+$C6581) - MAX(IF($B$2:$B6580=$B6581, $A$2:$A6580+$C$2:$C6580)), "")*24*60, "")</f>
        <v/>
      </c>
      <c r="K6581" s="24" t="str" cm="1">
        <f t="array" ref="K6581">IFERROR(IF($B6581=K$1, ($A6581+$C6581) - MAX(IF($B$2:$B6580=$B6581, $A$2:$A6580+$C$2:$C6580)), "")*24*60, "")</f>
        <v/>
      </c>
      <c r="L6581" s="24" t="str" cm="1">
        <f t="array" ref="L6581">IFERROR(IF($B6581=L$1, ($A6581+$C6581) - MAX(IF($B$2:$B6580=$B6581, $A$2:$A6580+$C$2:$C6580)), "")*24*60, "")</f>
        <v/>
      </c>
      <c r="M6581" s="24" t="str" cm="1">
        <f t="array" ref="M6581">IFERROR(IF($B6581=M$1, ($A6581+$C6581) - MAX(IF($B$2:$B6580=$B6581, $A$2:$A6580+$C$2:$C6580)), "")*24*60, "")</f>
        <v/>
      </c>
      <c r="N6581" s="24" t="str" cm="1">
        <f t="array" ref="N6581">IFERROR(IF($B6581=N$1, ($A6581+$C6581) - MAX(IF($B$2:$B6580=$B6581, $A$2:$A6580+$C$2:$C6580)), "")*24*60, "")</f>
        <v/>
      </c>
      <c r="O6581" s="24" t="str" cm="1">
        <f t="array" ref="O6581">IFERROR(IF($B6581=O$1, ($A6581+$C6581) - MAX(IF($B$2:$B6580=$B6581, $A$2:$A6580+$C$2:$C6580)), "")*24*60, "")</f>
        <v/>
      </c>
      <c r="P6581" s="24" t="str" cm="1">
        <f t="array" ref="P6581">IFERROR(IF($B6581=P$1, ($A6581+$C6581) - MAX(IF($B$2:$B6580=$B6581, $A$2:$A6580+$C$2:$C6580)), "")*24*60, "")</f>
        <v/>
      </c>
      <c r="Q6581" s="24" t="str" cm="1">
        <f t="array" ref="Q6581">IFERROR(IF($B6581=Q$1, ($A6581+$C6581) - MAX(IF($B$2:$B6580=$B6581, $A$2:$A6580+$C$2:$C6580)), "")*24*60, "")</f>
        <v/>
      </c>
      <c r="R6581" s="24" t="str" cm="1">
        <f t="array" ref="R6581">IFERROR(IF($B6581=R$1, ($A6581+$C6581) - MAX(IF($B$2:$B6580=$B6581, $A$2:$A6580+$C$2:$C6580)), "")*24*60, "")</f>
        <v/>
      </c>
      <c r="S6581" s="24" t="str" cm="1">
        <f t="array" ref="S6581">IFERROR(IF($B6581=S$1, ($A6581+$C6581) - MAX(IF($B$2:$B6580=$B6581, $A$2:$A6580+$C$2:$C6580)), "")*24*60, "")</f>
        <v/>
      </c>
    </row>
    <row r="6582" spans="1:19" x14ac:dyDescent="0.2">
      <c r="A6582" s="12">
        <f t="shared" ref="A6582:C6582" si="1471">A6581</f>
        <v>45990</v>
      </c>
      <c r="B6582" s="5" t="str">
        <f t="shared" si="1471"/>
        <v>Northern Cardinal</v>
      </c>
      <c r="C6582" s="6">
        <f t="shared" si="1471"/>
        <v>0.28333333333333333</v>
      </c>
      <c r="D6582" s="5"/>
      <c r="E6582" s="5"/>
      <c r="F6582" s="5" t="s">
        <v>8</v>
      </c>
      <c r="G6582" s="15" t="s">
        <v>9</v>
      </c>
      <c r="H6582" s="24">
        <f t="shared" si="1251"/>
        <v>0</v>
      </c>
      <c r="I6582" s="24" cm="1">
        <f t="array" ref="I6582">IFERROR(IF($B6582=I$1, ($A6582+$C6582) - MAX(IF($B$2:$B6581=$B6582, $A$2:$A6581+$C$2:$C6581)), "")*24*60, "")</f>
        <v>0</v>
      </c>
      <c r="J6582" s="24" t="str" cm="1">
        <f t="array" ref="J6582">IFERROR(IF($B6582=J$1, ($A6582+$C6582) - MAX(IF($B$2:$B6581=$B6582, $A$2:$A6581+$C$2:$C6581)), "")*24*60, "")</f>
        <v/>
      </c>
      <c r="K6582" s="24" t="str" cm="1">
        <f t="array" ref="K6582">IFERROR(IF($B6582=K$1, ($A6582+$C6582) - MAX(IF($B$2:$B6581=$B6582, $A$2:$A6581+$C$2:$C6581)), "")*24*60, "")</f>
        <v/>
      </c>
      <c r="L6582" s="24" t="str" cm="1">
        <f t="array" ref="L6582">IFERROR(IF($B6582=L$1, ($A6582+$C6582) - MAX(IF($B$2:$B6581=$B6582, $A$2:$A6581+$C$2:$C6581)), "")*24*60, "")</f>
        <v/>
      </c>
      <c r="M6582" s="24" t="str" cm="1">
        <f t="array" ref="M6582">IFERROR(IF($B6582=M$1, ($A6582+$C6582) - MAX(IF($B$2:$B6581=$B6582, $A$2:$A6581+$C$2:$C6581)), "")*24*60, "")</f>
        <v/>
      </c>
      <c r="N6582" s="24" t="str" cm="1">
        <f t="array" ref="N6582">IFERROR(IF($B6582=N$1, ($A6582+$C6582) - MAX(IF($B$2:$B6581=$B6582, $A$2:$A6581+$C$2:$C6581)), "")*24*60, "")</f>
        <v/>
      </c>
      <c r="O6582" s="24" t="str" cm="1">
        <f t="array" ref="O6582">IFERROR(IF($B6582=O$1, ($A6582+$C6582) - MAX(IF($B$2:$B6581=$B6582, $A$2:$A6581+$C$2:$C6581)), "")*24*60, "")</f>
        <v/>
      </c>
      <c r="P6582" s="24" t="str" cm="1">
        <f t="array" ref="P6582">IFERROR(IF($B6582=P$1, ($A6582+$C6582) - MAX(IF($B$2:$B6581=$B6582, $A$2:$A6581+$C$2:$C6581)), "")*24*60, "")</f>
        <v/>
      </c>
      <c r="Q6582" s="24" t="str" cm="1">
        <f t="array" ref="Q6582">IFERROR(IF($B6582=Q$1, ($A6582+$C6582) - MAX(IF($B$2:$B6581=$B6582, $A$2:$A6581+$C$2:$C6581)), "")*24*60, "")</f>
        <v/>
      </c>
      <c r="R6582" s="24" t="str" cm="1">
        <f t="array" ref="R6582">IFERROR(IF($B6582=R$1, ($A6582+$C6582) - MAX(IF($B$2:$B6581=$B6582, $A$2:$A6581+$C$2:$C6581)), "")*24*60, "")</f>
        <v/>
      </c>
      <c r="S6582" s="24" t="str" cm="1">
        <f t="array" ref="S6582">IFERROR(IF($B6582=S$1, ($A6582+$C6582) - MAX(IF($B$2:$B6581=$B6582, $A$2:$A6581+$C$2:$C6581)), "")*24*60, "")</f>
        <v/>
      </c>
    </row>
    <row r="6583" spans="1:19" x14ac:dyDescent="0.2">
      <c r="A6583" s="12">
        <f t="shared" ref="A6583:C6583" si="1472">A6582</f>
        <v>45990</v>
      </c>
      <c r="B6583" s="5" t="str">
        <f t="shared" si="1472"/>
        <v>Northern Cardinal</v>
      </c>
      <c r="C6583" s="6">
        <f t="shared" si="1472"/>
        <v>0.28333333333333333</v>
      </c>
      <c r="D6583" s="5"/>
      <c r="E6583" s="5"/>
      <c r="F6583" s="5" t="s">
        <v>8</v>
      </c>
      <c r="G6583" s="15" t="s">
        <v>9</v>
      </c>
      <c r="H6583" s="24">
        <f t="shared" si="1251"/>
        <v>0</v>
      </c>
      <c r="I6583" s="24" cm="1">
        <f t="array" ref="I6583">IFERROR(IF($B6583=I$1, ($A6583+$C6583) - MAX(IF($B$2:$B6582=$B6583, $A$2:$A6582+$C$2:$C6582)), "")*24*60, "")</f>
        <v>0</v>
      </c>
      <c r="J6583" s="24" t="str" cm="1">
        <f t="array" ref="J6583">IFERROR(IF($B6583=J$1, ($A6583+$C6583) - MAX(IF($B$2:$B6582=$B6583, $A$2:$A6582+$C$2:$C6582)), "")*24*60, "")</f>
        <v/>
      </c>
      <c r="K6583" s="24" t="str" cm="1">
        <f t="array" ref="K6583">IFERROR(IF($B6583=K$1, ($A6583+$C6583) - MAX(IF($B$2:$B6582=$B6583, $A$2:$A6582+$C$2:$C6582)), "")*24*60, "")</f>
        <v/>
      </c>
      <c r="L6583" s="24" t="str" cm="1">
        <f t="array" ref="L6583">IFERROR(IF($B6583=L$1, ($A6583+$C6583) - MAX(IF($B$2:$B6582=$B6583, $A$2:$A6582+$C$2:$C6582)), "")*24*60, "")</f>
        <v/>
      </c>
      <c r="M6583" s="24" t="str" cm="1">
        <f t="array" ref="M6583">IFERROR(IF($B6583=M$1, ($A6583+$C6583) - MAX(IF($B$2:$B6582=$B6583, $A$2:$A6582+$C$2:$C6582)), "")*24*60, "")</f>
        <v/>
      </c>
      <c r="N6583" s="24" t="str" cm="1">
        <f t="array" ref="N6583">IFERROR(IF($B6583=N$1, ($A6583+$C6583) - MAX(IF($B$2:$B6582=$B6583, $A$2:$A6582+$C$2:$C6582)), "")*24*60, "")</f>
        <v/>
      </c>
      <c r="O6583" s="24" t="str" cm="1">
        <f t="array" ref="O6583">IFERROR(IF($B6583=O$1, ($A6583+$C6583) - MAX(IF($B$2:$B6582=$B6583, $A$2:$A6582+$C$2:$C6582)), "")*24*60, "")</f>
        <v/>
      </c>
      <c r="P6583" s="24" t="str" cm="1">
        <f t="array" ref="P6583">IFERROR(IF($B6583=P$1, ($A6583+$C6583) - MAX(IF($B$2:$B6582=$B6583, $A$2:$A6582+$C$2:$C6582)), "")*24*60, "")</f>
        <v/>
      </c>
      <c r="Q6583" s="24" t="str" cm="1">
        <f t="array" ref="Q6583">IFERROR(IF($B6583=Q$1, ($A6583+$C6583) - MAX(IF($B$2:$B6582=$B6583, $A$2:$A6582+$C$2:$C6582)), "")*24*60, "")</f>
        <v/>
      </c>
      <c r="R6583" s="24" t="str" cm="1">
        <f t="array" ref="R6583">IFERROR(IF($B6583=R$1, ($A6583+$C6583) - MAX(IF($B$2:$B6582=$B6583, $A$2:$A6582+$C$2:$C6582)), "")*24*60, "")</f>
        <v/>
      </c>
      <c r="S6583" s="24" t="str" cm="1">
        <f t="array" ref="S6583">IFERROR(IF($B6583=S$1, ($A6583+$C6583) - MAX(IF($B$2:$B6582=$B6583, $A$2:$A6582+$C$2:$C6582)), "")*24*60, "")</f>
        <v/>
      </c>
    </row>
    <row r="6584" spans="1:19" x14ac:dyDescent="0.2">
      <c r="A6584" s="12">
        <f t="shared" ref="A6584:C6584" si="1473">A6583</f>
        <v>45990</v>
      </c>
      <c r="B6584" s="5" t="str">
        <f t="shared" si="1473"/>
        <v>Northern Cardinal</v>
      </c>
      <c r="C6584" s="6">
        <f t="shared" si="1473"/>
        <v>0.28333333333333333</v>
      </c>
      <c r="D6584" s="5"/>
      <c r="E6584" s="5"/>
      <c r="F6584" s="5" t="s">
        <v>8</v>
      </c>
      <c r="G6584" s="15" t="s">
        <v>9</v>
      </c>
      <c r="H6584" s="24">
        <f t="shared" si="1251"/>
        <v>0</v>
      </c>
      <c r="I6584" s="24" cm="1">
        <f t="array" ref="I6584">IFERROR(IF($B6584=I$1, ($A6584+$C6584) - MAX(IF($B$2:$B6583=$B6584, $A$2:$A6583+$C$2:$C6583)), "")*24*60, "")</f>
        <v>0</v>
      </c>
      <c r="J6584" s="24" t="str" cm="1">
        <f t="array" ref="J6584">IFERROR(IF($B6584=J$1, ($A6584+$C6584) - MAX(IF($B$2:$B6583=$B6584, $A$2:$A6583+$C$2:$C6583)), "")*24*60, "")</f>
        <v/>
      </c>
      <c r="K6584" s="24" t="str" cm="1">
        <f t="array" ref="K6584">IFERROR(IF($B6584=K$1, ($A6584+$C6584) - MAX(IF($B$2:$B6583=$B6584, $A$2:$A6583+$C$2:$C6583)), "")*24*60, "")</f>
        <v/>
      </c>
      <c r="L6584" s="24" t="str" cm="1">
        <f t="array" ref="L6584">IFERROR(IF($B6584=L$1, ($A6584+$C6584) - MAX(IF($B$2:$B6583=$B6584, $A$2:$A6583+$C$2:$C6583)), "")*24*60, "")</f>
        <v/>
      </c>
      <c r="M6584" s="24" t="str" cm="1">
        <f t="array" ref="M6584">IFERROR(IF($B6584=M$1, ($A6584+$C6584) - MAX(IF($B$2:$B6583=$B6584, $A$2:$A6583+$C$2:$C6583)), "")*24*60, "")</f>
        <v/>
      </c>
      <c r="N6584" s="24" t="str" cm="1">
        <f t="array" ref="N6584">IFERROR(IF($B6584=N$1, ($A6584+$C6584) - MAX(IF($B$2:$B6583=$B6584, $A$2:$A6583+$C$2:$C6583)), "")*24*60, "")</f>
        <v/>
      </c>
      <c r="O6584" s="24" t="str" cm="1">
        <f t="array" ref="O6584">IFERROR(IF($B6584=O$1, ($A6584+$C6584) - MAX(IF($B$2:$B6583=$B6584, $A$2:$A6583+$C$2:$C6583)), "")*24*60, "")</f>
        <v/>
      </c>
      <c r="P6584" s="24" t="str" cm="1">
        <f t="array" ref="P6584">IFERROR(IF($B6584=P$1, ($A6584+$C6584) - MAX(IF($B$2:$B6583=$B6584, $A$2:$A6583+$C$2:$C6583)), "")*24*60, "")</f>
        <v/>
      </c>
      <c r="Q6584" s="24" t="str" cm="1">
        <f t="array" ref="Q6584">IFERROR(IF($B6584=Q$1, ($A6584+$C6584) - MAX(IF($B$2:$B6583=$B6584, $A$2:$A6583+$C$2:$C6583)), "")*24*60, "")</f>
        <v/>
      </c>
      <c r="R6584" s="24" t="str" cm="1">
        <f t="array" ref="R6584">IFERROR(IF($B6584=R$1, ($A6584+$C6584) - MAX(IF($B$2:$B6583=$B6584, $A$2:$A6583+$C$2:$C6583)), "")*24*60, "")</f>
        <v/>
      </c>
      <c r="S6584" s="24" t="str" cm="1">
        <f t="array" ref="S6584">IFERROR(IF($B6584=S$1, ($A6584+$C6584) - MAX(IF($B$2:$B6583=$B6584, $A$2:$A6583+$C$2:$C6583)), "")*24*60, "")</f>
        <v/>
      </c>
    </row>
    <row r="6585" spans="1:19" x14ac:dyDescent="0.2">
      <c r="A6585" s="12">
        <f t="shared" ref="A6585:C6585" si="1474">A6584</f>
        <v>45990</v>
      </c>
      <c r="B6585" s="5" t="str">
        <f t="shared" si="1474"/>
        <v>Northern Cardinal</v>
      </c>
      <c r="C6585" s="6">
        <f t="shared" si="1474"/>
        <v>0.28333333333333333</v>
      </c>
      <c r="D6585" s="5"/>
      <c r="E6585" s="5"/>
      <c r="F6585" s="5" t="s">
        <v>8</v>
      </c>
      <c r="G6585" s="15" t="s">
        <v>9</v>
      </c>
      <c r="H6585" s="24">
        <f t="shared" si="1251"/>
        <v>0</v>
      </c>
      <c r="I6585" s="24" cm="1">
        <f t="array" ref="I6585">IFERROR(IF($B6585=I$1, ($A6585+$C6585) - MAX(IF($B$2:$B6584=$B6585, $A$2:$A6584+$C$2:$C6584)), "")*24*60, "")</f>
        <v>0</v>
      </c>
      <c r="J6585" s="24" t="str" cm="1">
        <f t="array" ref="J6585">IFERROR(IF($B6585=J$1, ($A6585+$C6585) - MAX(IF($B$2:$B6584=$B6585, $A$2:$A6584+$C$2:$C6584)), "")*24*60, "")</f>
        <v/>
      </c>
      <c r="K6585" s="24" t="str" cm="1">
        <f t="array" ref="K6585">IFERROR(IF($B6585=K$1, ($A6585+$C6585) - MAX(IF($B$2:$B6584=$B6585, $A$2:$A6584+$C$2:$C6584)), "")*24*60, "")</f>
        <v/>
      </c>
      <c r="L6585" s="24" t="str" cm="1">
        <f t="array" ref="L6585">IFERROR(IF($B6585=L$1, ($A6585+$C6585) - MAX(IF($B$2:$B6584=$B6585, $A$2:$A6584+$C$2:$C6584)), "")*24*60, "")</f>
        <v/>
      </c>
      <c r="M6585" s="24" t="str" cm="1">
        <f t="array" ref="M6585">IFERROR(IF($B6585=M$1, ($A6585+$C6585) - MAX(IF($B$2:$B6584=$B6585, $A$2:$A6584+$C$2:$C6584)), "")*24*60, "")</f>
        <v/>
      </c>
      <c r="N6585" s="24" t="str" cm="1">
        <f t="array" ref="N6585">IFERROR(IF($B6585=N$1, ($A6585+$C6585) - MAX(IF($B$2:$B6584=$B6585, $A$2:$A6584+$C$2:$C6584)), "")*24*60, "")</f>
        <v/>
      </c>
      <c r="O6585" s="24" t="str" cm="1">
        <f t="array" ref="O6585">IFERROR(IF($B6585=O$1, ($A6585+$C6585) - MAX(IF($B$2:$B6584=$B6585, $A$2:$A6584+$C$2:$C6584)), "")*24*60, "")</f>
        <v/>
      </c>
      <c r="P6585" s="24" t="str" cm="1">
        <f t="array" ref="P6585">IFERROR(IF($B6585=P$1, ($A6585+$C6585) - MAX(IF($B$2:$B6584=$B6585, $A$2:$A6584+$C$2:$C6584)), "")*24*60, "")</f>
        <v/>
      </c>
      <c r="Q6585" s="24" t="str" cm="1">
        <f t="array" ref="Q6585">IFERROR(IF($B6585=Q$1, ($A6585+$C6585) - MAX(IF($B$2:$B6584=$B6585, $A$2:$A6584+$C$2:$C6584)), "")*24*60, "")</f>
        <v/>
      </c>
      <c r="R6585" s="24" t="str" cm="1">
        <f t="array" ref="R6585">IFERROR(IF($B6585=R$1, ($A6585+$C6585) - MAX(IF($B$2:$B6584=$B6585, $A$2:$A6584+$C$2:$C6584)), "")*24*60, "")</f>
        <v/>
      </c>
      <c r="S6585" s="24" t="str" cm="1">
        <f t="array" ref="S6585">IFERROR(IF($B6585=S$1, ($A6585+$C6585) - MAX(IF($B$2:$B6584=$B6585, $A$2:$A6584+$C$2:$C6584)), "")*24*60, "")</f>
        <v/>
      </c>
    </row>
    <row r="6586" spans="1:19" x14ac:dyDescent="0.2">
      <c r="A6586" s="12">
        <f t="shared" ref="A6586:C6586" si="1475">A6585</f>
        <v>45990</v>
      </c>
      <c r="B6586" s="5" t="str">
        <f t="shared" si="1475"/>
        <v>Northern Cardinal</v>
      </c>
      <c r="C6586" s="6">
        <f t="shared" si="1475"/>
        <v>0.28333333333333333</v>
      </c>
      <c r="D6586" s="5"/>
      <c r="E6586" s="5"/>
      <c r="F6586" s="5" t="s">
        <v>8</v>
      </c>
      <c r="G6586" s="15" t="s">
        <v>9</v>
      </c>
      <c r="H6586" s="24">
        <f t="shared" si="1251"/>
        <v>0</v>
      </c>
      <c r="I6586" s="24" cm="1">
        <f t="array" ref="I6586">IFERROR(IF($B6586=I$1, ($A6586+$C6586) - MAX(IF($B$2:$B6585=$B6586, $A$2:$A6585+$C$2:$C6585)), "")*24*60, "")</f>
        <v>0</v>
      </c>
      <c r="J6586" s="24" t="str" cm="1">
        <f t="array" ref="J6586">IFERROR(IF($B6586=J$1, ($A6586+$C6586) - MAX(IF($B$2:$B6585=$B6586, $A$2:$A6585+$C$2:$C6585)), "")*24*60, "")</f>
        <v/>
      </c>
      <c r="K6586" s="24" t="str" cm="1">
        <f t="array" ref="K6586">IFERROR(IF($B6586=K$1, ($A6586+$C6586) - MAX(IF($B$2:$B6585=$B6586, $A$2:$A6585+$C$2:$C6585)), "")*24*60, "")</f>
        <v/>
      </c>
      <c r="L6586" s="24" t="str" cm="1">
        <f t="array" ref="L6586">IFERROR(IF($B6586=L$1, ($A6586+$C6586) - MAX(IF($B$2:$B6585=$B6586, $A$2:$A6585+$C$2:$C6585)), "")*24*60, "")</f>
        <v/>
      </c>
      <c r="M6586" s="24" t="str" cm="1">
        <f t="array" ref="M6586">IFERROR(IF($B6586=M$1, ($A6586+$C6586) - MAX(IF($B$2:$B6585=$B6586, $A$2:$A6585+$C$2:$C6585)), "")*24*60, "")</f>
        <v/>
      </c>
      <c r="N6586" s="24" t="str" cm="1">
        <f t="array" ref="N6586">IFERROR(IF($B6586=N$1, ($A6586+$C6586) - MAX(IF($B$2:$B6585=$B6586, $A$2:$A6585+$C$2:$C6585)), "")*24*60, "")</f>
        <v/>
      </c>
      <c r="O6586" s="24" t="str" cm="1">
        <f t="array" ref="O6586">IFERROR(IF($B6586=O$1, ($A6586+$C6586) - MAX(IF($B$2:$B6585=$B6586, $A$2:$A6585+$C$2:$C6585)), "")*24*60, "")</f>
        <v/>
      </c>
      <c r="P6586" s="24" t="str" cm="1">
        <f t="array" ref="P6586">IFERROR(IF($B6586=P$1, ($A6586+$C6586) - MAX(IF($B$2:$B6585=$B6586, $A$2:$A6585+$C$2:$C6585)), "")*24*60, "")</f>
        <v/>
      </c>
      <c r="Q6586" s="24" t="str" cm="1">
        <f t="array" ref="Q6586">IFERROR(IF($B6586=Q$1, ($A6586+$C6586) - MAX(IF($B$2:$B6585=$B6586, $A$2:$A6585+$C$2:$C6585)), "")*24*60, "")</f>
        <v/>
      </c>
      <c r="R6586" s="24" t="str" cm="1">
        <f t="array" ref="R6586">IFERROR(IF($B6586=R$1, ($A6586+$C6586) - MAX(IF($B$2:$B6585=$B6586, $A$2:$A6585+$C$2:$C6585)), "")*24*60, "")</f>
        <v/>
      </c>
      <c r="S6586" s="24" t="str" cm="1">
        <f t="array" ref="S6586">IFERROR(IF($B6586=S$1, ($A6586+$C6586) - MAX(IF($B$2:$B6585=$B6586, $A$2:$A6585+$C$2:$C6585)), "")*24*60, "")</f>
        <v/>
      </c>
    </row>
    <row r="6587" spans="1:19" x14ac:dyDescent="0.2">
      <c r="A6587" s="12">
        <f t="shared" ref="A6587:C6587" si="1476">A6586</f>
        <v>45990</v>
      </c>
      <c r="B6587" s="5" t="str">
        <f t="shared" si="1476"/>
        <v>Northern Cardinal</v>
      </c>
      <c r="C6587" s="6">
        <f t="shared" si="1476"/>
        <v>0.28333333333333333</v>
      </c>
      <c r="D6587" s="5"/>
      <c r="E6587" s="5"/>
      <c r="F6587" s="5" t="s">
        <v>8</v>
      </c>
      <c r="G6587" s="15" t="s">
        <v>9</v>
      </c>
      <c r="H6587" s="24">
        <f t="shared" si="1251"/>
        <v>0</v>
      </c>
      <c r="I6587" s="24" cm="1">
        <f t="array" ref="I6587">IFERROR(IF($B6587=I$1, ($A6587+$C6587) - MAX(IF($B$2:$B6586=$B6587, $A$2:$A6586+$C$2:$C6586)), "")*24*60, "")</f>
        <v>0</v>
      </c>
      <c r="J6587" s="24" t="str" cm="1">
        <f t="array" ref="J6587">IFERROR(IF($B6587=J$1, ($A6587+$C6587) - MAX(IF($B$2:$B6586=$B6587, $A$2:$A6586+$C$2:$C6586)), "")*24*60, "")</f>
        <v/>
      </c>
      <c r="K6587" s="24" t="str" cm="1">
        <f t="array" ref="K6587">IFERROR(IF($B6587=K$1, ($A6587+$C6587) - MAX(IF($B$2:$B6586=$B6587, $A$2:$A6586+$C$2:$C6586)), "")*24*60, "")</f>
        <v/>
      </c>
      <c r="L6587" s="24" t="str" cm="1">
        <f t="array" ref="L6587">IFERROR(IF($B6587=L$1, ($A6587+$C6587) - MAX(IF($B$2:$B6586=$B6587, $A$2:$A6586+$C$2:$C6586)), "")*24*60, "")</f>
        <v/>
      </c>
      <c r="M6587" s="24" t="str" cm="1">
        <f t="array" ref="M6587">IFERROR(IF($B6587=M$1, ($A6587+$C6587) - MAX(IF($B$2:$B6586=$B6587, $A$2:$A6586+$C$2:$C6586)), "")*24*60, "")</f>
        <v/>
      </c>
      <c r="N6587" s="24" t="str" cm="1">
        <f t="array" ref="N6587">IFERROR(IF($B6587=N$1, ($A6587+$C6587) - MAX(IF($B$2:$B6586=$B6587, $A$2:$A6586+$C$2:$C6586)), "")*24*60, "")</f>
        <v/>
      </c>
      <c r="O6587" s="24" t="str" cm="1">
        <f t="array" ref="O6587">IFERROR(IF($B6587=O$1, ($A6587+$C6587) - MAX(IF($B$2:$B6586=$B6587, $A$2:$A6586+$C$2:$C6586)), "")*24*60, "")</f>
        <v/>
      </c>
      <c r="P6587" s="24" t="str" cm="1">
        <f t="array" ref="P6587">IFERROR(IF($B6587=P$1, ($A6587+$C6587) - MAX(IF($B$2:$B6586=$B6587, $A$2:$A6586+$C$2:$C6586)), "")*24*60, "")</f>
        <v/>
      </c>
      <c r="Q6587" s="24" t="str" cm="1">
        <f t="array" ref="Q6587">IFERROR(IF($B6587=Q$1, ($A6587+$C6587) - MAX(IF($B$2:$B6586=$B6587, $A$2:$A6586+$C$2:$C6586)), "")*24*60, "")</f>
        <v/>
      </c>
      <c r="R6587" s="24" t="str" cm="1">
        <f t="array" ref="R6587">IFERROR(IF($B6587=R$1, ($A6587+$C6587) - MAX(IF($B$2:$B6586=$B6587, $A$2:$A6586+$C$2:$C6586)), "")*24*60, "")</f>
        <v/>
      </c>
      <c r="S6587" s="24" t="str" cm="1">
        <f t="array" ref="S6587">IFERROR(IF($B6587=S$1, ($A6587+$C6587) - MAX(IF($B$2:$B6586=$B6587, $A$2:$A6586+$C$2:$C6586)), "")*24*60, "")</f>
        <v/>
      </c>
    </row>
    <row r="6588" spans="1:19" x14ac:dyDescent="0.2">
      <c r="A6588" s="12">
        <f t="shared" ref="A6588:C6588" si="1477">A6587</f>
        <v>45990</v>
      </c>
      <c r="B6588" s="5" t="str">
        <f t="shared" si="1477"/>
        <v>Northern Cardinal</v>
      </c>
      <c r="C6588" s="6">
        <f t="shared" si="1477"/>
        <v>0.28333333333333333</v>
      </c>
      <c r="D6588" s="5"/>
      <c r="E6588" s="5"/>
      <c r="F6588" s="5" t="s">
        <v>8</v>
      </c>
      <c r="G6588" s="15" t="s">
        <v>9</v>
      </c>
      <c r="H6588" s="24">
        <f t="shared" si="1251"/>
        <v>0</v>
      </c>
      <c r="I6588" s="24" cm="1">
        <f t="array" ref="I6588">IFERROR(IF($B6588=I$1, ($A6588+$C6588) - MAX(IF($B$2:$B6587=$B6588, $A$2:$A6587+$C$2:$C6587)), "")*24*60, "")</f>
        <v>0</v>
      </c>
      <c r="J6588" s="24" t="str" cm="1">
        <f t="array" ref="J6588">IFERROR(IF($B6588=J$1, ($A6588+$C6588) - MAX(IF($B$2:$B6587=$B6588, $A$2:$A6587+$C$2:$C6587)), "")*24*60, "")</f>
        <v/>
      </c>
      <c r="K6588" s="24" t="str" cm="1">
        <f t="array" ref="K6588">IFERROR(IF($B6588=K$1, ($A6588+$C6588) - MAX(IF($B$2:$B6587=$B6588, $A$2:$A6587+$C$2:$C6587)), "")*24*60, "")</f>
        <v/>
      </c>
      <c r="L6588" s="24" t="str" cm="1">
        <f t="array" ref="L6588">IFERROR(IF($B6588=L$1, ($A6588+$C6588) - MAX(IF($B$2:$B6587=$B6588, $A$2:$A6587+$C$2:$C6587)), "")*24*60, "")</f>
        <v/>
      </c>
      <c r="M6588" s="24" t="str" cm="1">
        <f t="array" ref="M6588">IFERROR(IF($B6588=M$1, ($A6588+$C6588) - MAX(IF($B$2:$B6587=$B6588, $A$2:$A6587+$C$2:$C6587)), "")*24*60, "")</f>
        <v/>
      </c>
      <c r="N6588" s="24" t="str" cm="1">
        <f t="array" ref="N6588">IFERROR(IF($B6588=N$1, ($A6588+$C6588) - MAX(IF($B$2:$B6587=$B6588, $A$2:$A6587+$C$2:$C6587)), "")*24*60, "")</f>
        <v/>
      </c>
      <c r="O6588" s="24" t="str" cm="1">
        <f t="array" ref="O6588">IFERROR(IF($B6588=O$1, ($A6588+$C6588) - MAX(IF($B$2:$B6587=$B6588, $A$2:$A6587+$C$2:$C6587)), "")*24*60, "")</f>
        <v/>
      </c>
      <c r="P6588" s="24" t="str" cm="1">
        <f t="array" ref="P6588">IFERROR(IF($B6588=P$1, ($A6588+$C6588) - MAX(IF($B$2:$B6587=$B6588, $A$2:$A6587+$C$2:$C6587)), "")*24*60, "")</f>
        <v/>
      </c>
      <c r="Q6588" s="24" t="str" cm="1">
        <f t="array" ref="Q6588">IFERROR(IF($B6588=Q$1, ($A6588+$C6588) - MAX(IF($B$2:$B6587=$B6588, $A$2:$A6587+$C$2:$C6587)), "")*24*60, "")</f>
        <v/>
      </c>
      <c r="R6588" s="24" t="str" cm="1">
        <f t="array" ref="R6588">IFERROR(IF($B6588=R$1, ($A6588+$C6588) - MAX(IF($B$2:$B6587=$B6588, $A$2:$A6587+$C$2:$C6587)), "")*24*60, "")</f>
        <v/>
      </c>
      <c r="S6588" s="24" t="str" cm="1">
        <f t="array" ref="S6588">IFERROR(IF($B6588=S$1, ($A6588+$C6588) - MAX(IF($B$2:$B6587=$B6588, $A$2:$A6587+$C$2:$C6587)), "")*24*60, "")</f>
        <v/>
      </c>
    </row>
    <row r="6589" spans="1:19" x14ac:dyDescent="0.2">
      <c r="A6589" s="12">
        <f t="shared" ref="A6589:C6589" si="1478">A6588</f>
        <v>45990</v>
      </c>
      <c r="B6589" s="5" t="str">
        <f t="shared" si="1478"/>
        <v>Northern Cardinal</v>
      </c>
      <c r="C6589" s="6">
        <f t="shared" si="1478"/>
        <v>0.28333333333333333</v>
      </c>
      <c r="D6589" s="5"/>
      <c r="E6589" s="5"/>
      <c r="F6589" s="5" t="s">
        <v>8</v>
      </c>
      <c r="G6589" s="15" t="s">
        <v>9</v>
      </c>
      <c r="H6589" s="24">
        <f t="shared" si="1251"/>
        <v>0</v>
      </c>
      <c r="I6589" s="24" cm="1">
        <f t="array" ref="I6589">IFERROR(IF($B6589=I$1, ($A6589+$C6589) - MAX(IF($B$2:$B6588=$B6589, $A$2:$A6588+$C$2:$C6588)), "")*24*60, "")</f>
        <v>0</v>
      </c>
      <c r="J6589" s="24" t="str" cm="1">
        <f t="array" ref="J6589">IFERROR(IF($B6589=J$1, ($A6589+$C6589) - MAX(IF($B$2:$B6588=$B6589, $A$2:$A6588+$C$2:$C6588)), "")*24*60, "")</f>
        <v/>
      </c>
      <c r="K6589" s="24" t="str" cm="1">
        <f t="array" ref="K6589">IFERROR(IF($B6589=K$1, ($A6589+$C6589) - MAX(IF($B$2:$B6588=$B6589, $A$2:$A6588+$C$2:$C6588)), "")*24*60, "")</f>
        <v/>
      </c>
      <c r="L6589" s="24" t="str" cm="1">
        <f t="array" ref="L6589">IFERROR(IF($B6589=L$1, ($A6589+$C6589) - MAX(IF($B$2:$B6588=$B6589, $A$2:$A6588+$C$2:$C6588)), "")*24*60, "")</f>
        <v/>
      </c>
      <c r="M6589" s="24" t="str" cm="1">
        <f t="array" ref="M6589">IFERROR(IF($B6589=M$1, ($A6589+$C6589) - MAX(IF($B$2:$B6588=$B6589, $A$2:$A6588+$C$2:$C6588)), "")*24*60, "")</f>
        <v/>
      </c>
      <c r="N6589" s="24" t="str" cm="1">
        <f t="array" ref="N6589">IFERROR(IF($B6589=N$1, ($A6589+$C6589) - MAX(IF($B$2:$B6588=$B6589, $A$2:$A6588+$C$2:$C6588)), "")*24*60, "")</f>
        <v/>
      </c>
      <c r="O6589" s="24" t="str" cm="1">
        <f t="array" ref="O6589">IFERROR(IF($B6589=O$1, ($A6589+$C6589) - MAX(IF($B$2:$B6588=$B6589, $A$2:$A6588+$C$2:$C6588)), "")*24*60, "")</f>
        <v/>
      </c>
      <c r="P6589" s="24" t="str" cm="1">
        <f t="array" ref="P6589">IFERROR(IF($B6589=P$1, ($A6589+$C6589) - MAX(IF($B$2:$B6588=$B6589, $A$2:$A6588+$C$2:$C6588)), "")*24*60, "")</f>
        <v/>
      </c>
      <c r="Q6589" s="24" t="str" cm="1">
        <f t="array" ref="Q6589">IFERROR(IF($B6589=Q$1, ($A6589+$C6589) - MAX(IF($B$2:$B6588=$B6589, $A$2:$A6588+$C$2:$C6588)), "")*24*60, "")</f>
        <v/>
      </c>
      <c r="R6589" s="24" t="str" cm="1">
        <f t="array" ref="R6589">IFERROR(IF($B6589=R$1, ($A6589+$C6589) - MAX(IF($B$2:$B6588=$B6589, $A$2:$A6588+$C$2:$C6588)), "")*24*60, "")</f>
        <v/>
      </c>
      <c r="S6589" s="24" t="str" cm="1">
        <f t="array" ref="S6589">IFERROR(IF($B6589=S$1, ($A6589+$C6589) - MAX(IF($B$2:$B6588=$B6589, $A$2:$A6588+$C$2:$C6588)), "")*24*60, "")</f>
        <v/>
      </c>
    </row>
    <row r="6590" spans="1:19" x14ac:dyDescent="0.2">
      <c r="A6590" s="12">
        <f t="shared" ref="A6590:C6590" si="1479">A6589</f>
        <v>45990</v>
      </c>
      <c r="B6590" s="5" t="str">
        <f t="shared" si="1479"/>
        <v>Northern Cardinal</v>
      </c>
      <c r="C6590" s="6">
        <f t="shared" si="1479"/>
        <v>0.28333333333333333</v>
      </c>
      <c r="D6590" s="5"/>
      <c r="E6590" s="5"/>
      <c r="F6590" s="5" t="s">
        <v>8</v>
      </c>
      <c r="G6590" s="15" t="s">
        <v>9</v>
      </c>
      <c r="H6590" s="24">
        <f t="shared" si="1251"/>
        <v>0</v>
      </c>
      <c r="I6590" s="24" cm="1">
        <f t="array" ref="I6590">IFERROR(IF($B6590=I$1, ($A6590+$C6590) - MAX(IF($B$2:$B6589=$B6590, $A$2:$A6589+$C$2:$C6589)), "")*24*60, "")</f>
        <v>0</v>
      </c>
      <c r="J6590" s="24" t="str" cm="1">
        <f t="array" ref="J6590">IFERROR(IF($B6590=J$1, ($A6590+$C6590) - MAX(IF($B$2:$B6589=$B6590, $A$2:$A6589+$C$2:$C6589)), "")*24*60, "")</f>
        <v/>
      </c>
      <c r="K6590" s="24" t="str" cm="1">
        <f t="array" ref="K6590">IFERROR(IF($B6590=K$1, ($A6590+$C6590) - MAX(IF($B$2:$B6589=$B6590, $A$2:$A6589+$C$2:$C6589)), "")*24*60, "")</f>
        <v/>
      </c>
      <c r="L6590" s="24" t="str" cm="1">
        <f t="array" ref="L6590">IFERROR(IF($B6590=L$1, ($A6590+$C6590) - MAX(IF($B$2:$B6589=$B6590, $A$2:$A6589+$C$2:$C6589)), "")*24*60, "")</f>
        <v/>
      </c>
      <c r="M6590" s="24" t="str" cm="1">
        <f t="array" ref="M6590">IFERROR(IF($B6590=M$1, ($A6590+$C6590) - MAX(IF($B$2:$B6589=$B6590, $A$2:$A6589+$C$2:$C6589)), "")*24*60, "")</f>
        <v/>
      </c>
      <c r="N6590" s="24" t="str" cm="1">
        <f t="array" ref="N6590">IFERROR(IF($B6590=N$1, ($A6590+$C6590) - MAX(IF($B$2:$B6589=$B6590, $A$2:$A6589+$C$2:$C6589)), "")*24*60, "")</f>
        <v/>
      </c>
      <c r="O6590" s="24" t="str" cm="1">
        <f t="array" ref="O6590">IFERROR(IF($B6590=O$1, ($A6590+$C6590) - MAX(IF($B$2:$B6589=$B6590, $A$2:$A6589+$C$2:$C6589)), "")*24*60, "")</f>
        <v/>
      </c>
      <c r="P6590" s="24" t="str" cm="1">
        <f t="array" ref="P6590">IFERROR(IF($B6590=P$1, ($A6590+$C6590) - MAX(IF($B$2:$B6589=$B6590, $A$2:$A6589+$C$2:$C6589)), "")*24*60, "")</f>
        <v/>
      </c>
      <c r="Q6590" s="24" t="str" cm="1">
        <f t="array" ref="Q6590">IFERROR(IF($B6590=Q$1, ($A6590+$C6590) - MAX(IF($B$2:$B6589=$B6590, $A$2:$A6589+$C$2:$C6589)), "")*24*60, "")</f>
        <v/>
      </c>
      <c r="R6590" s="24" t="str" cm="1">
        <f t="array" ref="R6590">IFERROR(IF($B6590=R$1, ($A6590+$C6590) - MAX(IF($B$2:$B6589=$B6590, $A$2:$A6589+$C$2:$C6589)), "")*24*60, "")</f>
        <v/>
      </c>
      <c r="S6590" s="24" t="str" cm="1">
        <f t="array" ref="S6590">IFERROR(IF($B6590=S$1, ($A6590+$C6590) - MAX(IF($B$2:$B6589=$B6590, $A$2:$A6589+$C$2:$C6589)), "")*24*60, "")</f>
        <v/>
      </c>
    </row>
    <row r="6591" spans="1:19" x14ac:dyDescent="0.2">
      <c r="A6591" s="12">
        <f t="shared" ref="A6591:C6591" si="1480">A6590</f>
        <v>45990</v>
      </c>
      <c r="B6591" s="5" t="str">
        <f t="shared" si="1480"/>
        <v>Northern Cardinal</v>
      </c>
      <c r="C6591" s="6">
        <f t="shared" si="1480"/>
        <v>0.28333333333333333</v>
      </c>
      <c r="D6591" s="5"/>
      <c r="E6591" s="5"/>
      <c r="F6591" s="5" t="s">
        <v>8</v>
      </c>
      <c r="G6591" s="15" t="s">
        <v>9</v>
      </c>
      <c r="H6591" s="24">
        <f t="shared" si="1251"/>
        <v>0</v>
      </c>
      <c r="I6591" s="24" cm="1">
        <f t="array" ref="I6591">IFERROR(IF($B6591=I$1, ($A6591+$C6591) - MAX(IF($B$2:$B6590=$B6591, $A$2:$A6590+$C$2:$C6590)), "")*24*60, "")</f>
        <v>0</v>
      </c>
      <c r="J6591" s="24" t="str" cm="1">
        <f t="array" ref="J6591">IFERROR(IF($B6591=J$1, ($A6591+$C6591) - MAX(IF($B$2:$B6590=$B6591, $A$2:$A6590+$C$2:$C6590)), "")*24*60, "")</f>
        <v/>
      </c>
      <c r="K6591" s="24" t="str" cm="1">
        <f t="array" ref="K6591">IFERROR(IF($B6591=K$1, ($A6591+$C6591) - MAX(IF($B$2:$B6590=$B6591, $A$2:$A6590+$C$2:$C6590)), "")*24*60, "")</f>
        <v/>
      </c>
      <c r="L6591" s="24" t="str" cm="1">
        <f t="array" ref="L6591">IFERROR(IF($B6591=L$1, ($A6591+$C6591) - MAX(IF($B$2:$B6590=$B6591, $A$2:$A6590+$C$2:$C6590)), "")*24*60, "")</f>
        <v/>
      </c>
      <c r="M6591" s="24" t="str" cm="1">
        <f t="array" ref="M6591">IFERROR(IF($B6591=M$1, ($A6591+$C6591) - MAX(IF($B$2:$B6590=$B6591, $A$2:$A6590+$C$2:$C6590)), "")*24*60, "")</f>
        <v/>
      </c>
      <c r="N6591" s="24" t="str" cm="1">
        <f t="array" ref="N6591">IFERROR(IF($B6591=N$1, ($A6591+$C6591) - MAX(IF($B$2:$B6590=$B6591, $A$2:$A6590+$C$2:$C6590)), "")*24*60, "")</f>
        <v/>
      </c>
      <c r="O6591" s="24" t="str" cm="1">
        <f t="array" ref="O6591">IFERROR(IF($B6591=O$1, ($A6591+$C6591) - MAX(IF($B$2:$B6590=$B6591, $A$2:$A6590+$C$2:$C6590)), "")*24*60, "")</f>
        <v/>
      </c>
      <c r="P6591" s="24" t="str" cm="1">
        <f t="array" ref="P6591">IFERROR(IF($B6591=P$1, ($A6591+$C6591) - MAX(IF($B$2:$B6590=$B6591, $A$2:$A6590+$C$2:$C6590)), "")*24*60, "")</f>
        <v/>
      </c>
      <c r="Q6591" s="24" t="str" cm="1">
        <f t="array" ref="Q6591">IFERROR(IF($B6591=Q$1, ($A6591+$C6591) - MAX(IF($B$2:$B6590=$B6591, $A$2:$A6590+$C$2:$C6590)), "")*24*60, "")</f>
        <v/>
      </c>
      <c r="R6591" s="24" t="str" cm="1">
        <f t="array" ref="R6591">IFERROR(IF($B6591=R$1, ($A6591+$C6591) - MAX(IF($B$2:$B6590=$B6591, $A$2:$A6590+$C$2:$C6590)), "")*24*60, "")</f>
        <v/>
      </c>
      <c r="S6591" s="24" t="str" cm="1">
        <f t="array" ref="S6591">IFERROR(IF($B6591=S$1, ($A6591+$C6591) - MAX(IF($B$2:$B6590=$B6591, $A$2:$A6590+$C$2:$C6590)), "")*24*60, "")</f>
        <v/>
      </c>
    </row>
    <row r="6592" spans="1:19" x14ac:dyDescent="0.2">
      <c r="A6592" s="12">
        <f t="shared" ref="A6592:C6592" si="1481">A6591</f>
        <v>45990</v>
      </c>
      <c r="B6592" s="5" t="str">
        <f t="shared" si="1481"/>
        <v>Northern Cardinal</v>
      </c>
      <c r="C6592" s="6">
        <f t="shared" si="1481"/>
        <v>0.28333333333333333</v>
      </c>
      <c r="D6592" s="5"/>
      <c r="E6592" s="5"/>
      <c r="F6592" s="5" t="s">
        <v>8</v>
      </c>
      <c r="G6592" s="15" t="s">
        <v>9</v>
      </c>
      <c r="H6592" s="24">
        <f t="shared" si="1251"/>
        <v>0</v>
      </c>
      <c r="I6592" s="24" cm="1">
        <f t="array" ref="I6592">IFERROR(IF($B6592=I$1, ($A6592+$C6592) - MAX(IF($B$2:$B6591=$B6592, $A$2:$A6591+$C$2:$C6591)), "")*24*60, "")</f>
        <v>0</v>
      </c>
      <c r="J6592" s="24" t="str" cm="1">
        <f t="array" ref="J6592">IFERROR(IF($B6592=J$1, ($A6592+$C6592) - MAX(IF($B$2:$B6591=$B6592, $A$2:$A6591+$C$2:$C6591)), "")*24*60, "")</f>
        <v/>
      </c>
      <c r="K6592" s="24" t="str" cm="1">
        <f t="array" ref="K6592">IFERROR(IF($B6592=K$1, ($A6592+$C6592) - MAX(IF($B$2:$B6591=$B6592, $A$2:$A6591+$C$2:$C6591)), "")*24*60, "")</f>
        <v/>
      </c>
      <c r="L6592" s="24" t="str" cm="1">
        <f t="array" ref="L6592">IFERROR(IF($B6592=L$1, ($A6592+$C6592) - MAX(IF($B$2:$B6591=$B6592, $A$2:$A6591+$C$2:$C6591)), "")*24*60, "")</f>
        <v/>
      </c>
      <c r="M6592" s="24" t="str" cm="1">
        <f t="array" ref="M6592">IFERROR(IF($B6592=M$1, ($A6592+$C6592) - MAX(IF($B$2:$B6591=$B6592, $A$2:$A6591+$C$2:$C6591)), "")*24*60, "")</f>
        <v/>
      </c>
      <c r="N6592" s="24" t="str" cm="1">
        <f t="array" ref="N6592">IFERROR(IF($B6592=N$1, ($A6592+$C6592) - MAX(IF($B$2:$B6591=$B6592, $A$2:$A6591+$C$2:$C6591)), "")*24*60, "")</f>
        <v/>
      </c>
      <c r="O6592" s="24" t="str" cm="1">
        <f t="array" ref="O6592">IFERROR(IF($B6592=O$1, ($A6592+$C6592) - MAX(IF($B$2:$B6591=$B6592, $A$2:$A6591+$C$2:$C6591)), "")*24*60, "")</f>
        <v/>
      </c>
      <c r="P6592" s="24" t="str" cm="1">
        <f t="array" ref="P6592">IFERROR(IF($B6592=P$1, ($A6592+$C6592) - MAX(IF($B$2:$B6591=$B6592, $A$2:$A6591+$C$2:$C6591)), "")*24*60, "")</f>
        <v/>
      </c>
      <c r="Q6592" s="24" t="str" cm="1">
        <f t="array" ref="Q6592">IFERROR(IF($B6592=Q$1, ($A6592+$C6592) - MAX(IF($B$2:$B6591=$B6592, $A$2:$A6591+$C$2:$C6591)), "")*24*60, "")</f>
        <v/>
      </c>
      <c r="R6592" s="24" t="str" cm="1">
        <f t="array" ref="R6592">IFERROR(IF($B6592=R$1, ($A6592+$C6592) - MAX(IF($B$2:$B6591=$B6592, $A$2:$A6591+$C$2:$C6591)), "")*24*60, "")</f>
        <v/>
      </c>
      <c r="S6592" s="24" t="str" cm="1">
        <f t="array" ref="S6592">IFERROR(IF($B6592=S$1, ($A6592+$C6592) - MAX(IF($B$2:$B6591=$B6592, $A$2:$A6591+$C$2:$C6591)), "")*24*60, "")</f>
        <v/>
      </c>
    </row>
    <row r="6593" spans="1:19" x14ac:dyDescent="0.2">
      <c r="A6593" s="12">
        <f t="shared" ref="A6593:C6593" si="1482">A6592</f>
        <v>45990</v>
      </c>
      <c r="B6593" s="5" t="str">
        <f t="shared" si="1482"/>
        <v>Northern Cardinal</v>
      </c>
      <c r="C6593" s="6">
        <f t="shared" si="1482"/>
        <v>0.28333333333333333</v>
      </c>
      <c r="D6593" s="5"/>
      <c r="E6593" s="5"/>
      <c r="F6593" s="5" t="s">
        <v>8</v>
      </c>
      <c r="G6593" s="15" t="s">
        <v>9</v>
      </c>
      <c r="H6593" s="24">
        <f t="shared" si="1251"/>
        <v>0</v>
      </c>
      <c r="I6593" s="24" cm="1">
        <f t="array" ref="I6593">IFERROR(IF($B6593=I$1, ($A6593+$C6593) - MAX(IF($B$2:$B6592=$B6593, $A$2:$A6592+$C$2:$C6592)), "")*24*60, "")</f>
        <v>0</v>
      </c>
      <c r="J6593" s="24" t="str" cm="1">
        <f t="array" ref="J6593">IFERROR(IF($B6593=J$1, ($A6593+$C6593) - MAX(IF($B$2:$B6592=$B6593, $A$2:$A6592+$C$2:$C6592)), "")*24*60, "")</f>
        <v/>
      </c>
      <c r="K6593" s="24" t="str" cm="1">
        <f t="array" ref="K6593">IFERROR(IF($B6593=K$1, ($A6593+$C6593) - MAX(IF($B$2:$B6592=$B6593, $A$2:$A6592+$C$2:$C6592)), "")*24*60, "")</f>
        <v/>
      </c>
      <c r="L6593" s="24" t="str" cm="1">
        <f t="array" ref="L6593">IFERROR(IF($B6593=L$1, ($A6593+$C6593) - MAX(IF($B$2:$B6592=$B6593, $A$2:$A6592+$C$2:$C6592)), "")*24*60, "")</f>
        <v/>
      </c>
      <c r="M6593" s="24" t="str" cm="1">
        <f t="array" ref="M6593">IFERROR(IF($B6593=M$1, ($A6593+$C6593) - MAX(IF($B$2:$B6592=$B6593, $A$2:$A6592+$C$2:$C6592)), "")*24*60, "")</f>
        <v/>
      </c>
      <c r="N6593" s="24" t="str" cm="1">
        <f t="array" ref="N6593">IFERROR(IF($B6593=N$1, ($A6593+$C6593) - MAX(IF($B$2:$B6592=$B6593, $A$2:$A6592+$C$2:$C6592)), "")*24*60, "")</f>
        <v/>
      </c>
      <c r="O6593" s="24" t="str" cm="1">
        <f t="array" ref="O6593">IFERROR(IF($B6593=O$1, ($A6593+$C6593) - MAX(IF($B$2:$B6592=$B6593, $A$2:$A6592+$C$2:$C6592)), "")*24*60, "")</f>
        <v/>
      </c>
      <c r="P6593" s="24" t="str" cm="1">
        <f t="array" ref="P6593">IFERROR(IF($B6593=P$1, ($A6593+$C6593) - MAX(IF($B$2:$B6592=$B6593, $A$2:$A6592+$C$2:$C6592)), "")*24*60, "")</f>
        <v/>
      </c>
      <c r="Q6593" s="24" t="str" cm="1">
        <f t="array" ref="Q6593">IFERROR(IF($B6593=Q$1, ($A6593+$C6593) - MAX(IF($B$2:$B6592=$B6593, $A$2:$A6592+$C$2:$C6592)), "")*24*60, "")</f>
        <v/>
      </c>
      <c r="R6593" s="24" t="str" cm="1">
        <f t="array" ref="R6593">IFERROR(IF($B6593=R$1, ($A6593+$C6593) - MAX(IF($B$2:$B6592=$B6593, $A$2:$A6592+$C$2:$C6592)), "")*24*60, "")</f>
        <v/>
      </c>
      <c r="S6593" s="24" t="str" cm="1">
        <f t="array" ref="S6593">IFERROR(IF($B6593=S$1, ($A6593+$C6593) - MAX(IF($B$2:$B6592=$B6593, $A$2:$A6592+$C$2:$C6592)), "")*24*60, "")</f>
        <v/>
      </c>
    </row>
    <row r="6594" spans="1:19" x14ac:dyDescent="0.2">
      <c r="A6594" s="12">
        <f t="shared" ref="A6594:C6594" si="1483">A6593</f>
        <v>45990</v>
      </c>
      <c r="B6594" s="5" t="str">
        <f t="shared" si="1483"/>
        <v>Northern Cardinal</v>
      </c>
      <c r="C6594" s="6">
        <f t="shared" si="1483"/>
        <v>0.28333333333333333</v>
      </c>
      <c r="D6594" s="5"/>
      <c r="E6594" s="5"/>
      <c r="F6594" s="5" t="s">
        <v>8</v>
      </c>
      <c r="G6594" s="15" t="s">
        <v>9</v>
      </c>
      <c r="H6594" s="24">
        <f t="shared" si="1251"/>
        <v>0</v>
      </c>
      <c r="I6594" s="24" cm="1">
        <f t="array" ref="I6594">IFERROR(IF($B6594=I$1, ($A6594+$C6594) - MAX(IF($B$2:$B6593=$B6594, $A$2:$A6593+$C$2:$C6593)), "")*24*60, "")</f>
        <v>0</v>
      </c>
      <c r="J6594" s="24" t="str" cm="1">
        <f t="array" ref="J6594">IFERROR(IF($B6594=J$1, ($A6594+$C6594) - MAX(IF($B$2:$B6593=$B6594, $A$2:$A6593+$C$2:$C6593)), "")*24*60, "")</f>
        <v/>
      </c>
      <c r="K6594" s="24" t="str" cm="1">
        <f t="array" ref="K6594">IFERROR(IF($B6594=K$1, ($A6594+$C6594) - MAX(IF($B$2:$B6593=$B6594, $A$2:$A6593+$C$2:$C6593)), "")*24*60, "")</f>
        <v/>
      </c>
      <c r="L6594" s="24" t="str" cm="1">
        <f t="array" ref="L6594">IFERROR(IF($B6594=L$1, ($A6594+$C6594) - MAX(IF($B$2:$B6593=$B6594, $A$2:$A6593+$C$2:$C6593)), "")*24*60, "")</f>
        <v/>
      </c>
      <c r="M6594" s="24" t="str" cm="1">
        <f t="array" ref="M6594">IFERROR(IF($B6594=M$1, ($A6594+$C6594) - MAX(IF($B$2:$B6593=$B6594, $A$2:$A6593+$C$2:$C6593)), "")*24*60, "")</f>
        <v/>
      </c>
      <c r="N6594" s="24" t="str" cm="1">
        <f t="array" ref="N6594">IFERROR(IF($B6594=N$1, ($A6594+$C6594) - MAX(IF($B$2:$B6593=$B6594, $A$2:$A6593+$C$2:$C6593)), "")*24*60, "")</f>
        <v/>
      </c>
      <c r="O6594" s="24" t="str" cm="1">
        <f t="array" ref="O6594">IFERROR(IF($B6594=O$1, ($A6594+$C6594) - MAX(IF($B$2:$B6593=$B6594, $A$2:$A6593+$C$2:$C6593)), "")*24*60, "")</f>
        <v/>
      </c>
      <c r="P6594" s="24" t="str" cm="1">
        <f t="array" ref="P6594">IFERROR(IF($B6594=P$1, ($A6594+$C6594) - MAX(IF($B$2:$B6593=$B6594, $A$2:$A6593+$C$2:$C6593)), "")*24*60, "")</f>
        <v/>
      </c>
      <c r="Q6594" s="24" t="str" cm="1">
        <f t="array" ref="Q6594">IFERROR(IF($B6594=Q$1, ($A6594+$C6594) - MAX(IF($B$2:$B6593=$B6594, $A$2:$A6593+$C$2:$C6593)), "")*24*60, "")</f>
        <v/>
      </c>
      <c r="R6594" s="24" t="str" cm="1">
        <f t="array" ref="R6594">IFERROR(IF($B6594=R$1, ($A6594+$C6594) - MAX(IF($B$2:$B6593=$B6594, $A$2:$A6593+$C$2:$C6593)), "")*24*60, "")</f>
        <v/>
      </c>
      <c r="S6594" s="24" t="str" cm="1">
        <f t="array" ref="S6594">IFERROR(IF($B6594=S$1, ($A6594+$C6594) - MAX(IF($B$2:$B6593=$B6594, $A$2:$A6593+$C$2:$C6593)), "")*24*60, "")</f>
        <v/>
      </c>
    </row>
    <row r="6595" spans="1:19" x14ac:dyDescent="0.2">
      <c r="A6595" s="12">
        <f t="shared" ref="A6595:C6595" si="1484">A6594</f>
        <v>45990</v>
      </c>
      <c r="B6595" s="5" t="str">
        <f t="shared" si="1484"/>
        <v>Northern Cardinal</v>
      </c>
      <c r="C6595" s="6">
        <f t="shared" si="1484"/>
        <v>0.28333333333333333</v>
      </c>
      <c r="D6595" s="5"/>
      <c r="E6595" s="5"/>
      <c r="F6595" s="5" t="s">
        <v>8</v>
      </c>
      <c r="G6595" s="15" t="s">
        <v>9</v>
      </c>
      <c r="H6595" s="24">
        <f t="shared" si="1251"/>
        <v>0</v>
      </c>
      <c r="I6595" s="24" cm="1">
        <f t="array" ref="I6595">IFERROR(IF($B6595=I$1, ($A6595+$C6595) - MAX(IF($B$2:$B6594=$B6595, $A$2:$A6594+$C$2:$C6594)), "")*24*60, "")</f>
        <v>0</v>
      </c>
      <c r="J6595" s="24" t="str" cm="1">
        <f t="array" ref="J6595">IFERROR(IF($B6595=J$1, ($A6595+$C6595) - MAX(IF($B$2:$B6594=$B6595, $A$2:$A6594+$C$2:$C6594)), "")*24*60, "")</f>
        <v/>
      </c>
      <c r="K6595" s="24" t="str" cm="1">
        <f t="array" ref="K6595">IFERROR(IF($B6595=K$1, ($A6595+$C6595) - MAX(IF($B$2:$B6594=$B6595, $A$2:$A6594+$C$2:$C6594)), "")*24*60, "")</f>
        <v/>
      </c>
      <c r="L6595" s="24" t="str" cm="1">
        <f t="array" ref="L6595">IFERROR(IF($B6595=L$1, ($A6595+$C6595) - MAX(IF($B$2:$B6594=$B6595, $A$2:$A6594+$C$2:$C6594)), "")*24*60, "")</f>
        <v/>
      </c>
      <c r="M6595" s="24" t="str" cm="1">
        <f t="array" ref="M6595">IFERROR(IF($B6595=M$1, ($A6595+$C6595) - MAX(IF($B$2:$B6594=$B6595, $A$2:$A6594+$C$2:$C6594)), "")*24*60, "")</f>
        <v/>
      </c>
      <c r="N6595" s="24" t="str" cm="1">
        <f t="array" ref="N6595">IFERROR(IF($B6595=N$1, ($A6595+$C6595) - MAX(IF($B$2:$B6594=$B6595, $A$2:$A6594+$C$2:$C6594)), "")*24*60, "")</f>
        <v/>
      </c>
      <c r="O6595" s="24" t="str" cm="1">
        <f t="array" ref="O6595">IFERROR(IF($B6595=O$1, ($A6595+$C6595) - MAX(IF($B$2:$B6594=$B6595, $A$2:$A6594+$C$2:$C6594)), "")*24*60, "")</f>
        <v/>
      </c>
      <c r="P6595" s="24" t="str" cm="1">
        <f t="array" ref="P6595">IFERROR(IF($B6595=P$1, ($A6595+$C6595) - MAX(IF($B$2:$B6594=$B6595, $A$2:$A6594+$C$2:$C6594)), "")*24*60, "")</f>
        <v/>
      </c>
      <c r="Q6595" s="24" t="str" cm="1">
        <f t="array" ref="Q6595">IFERROR(IF($B6595=Q$1, ($A6595+$C6595) - MAX(IF($B$2:$B6594=$B6595, $A$2:$A6594+$C$2:$C6594)), "")*24*60, "")</f>
        <v/>
      </c>
      <c r="R6595" s="24" t="str" cm="1">
        <f t="array" ref="R6595">IFERROR(IF($B6595=R$1, ($A6595+$C6595) - MAX(IF($B$2:$B6594=$B6595, $A$2:$A6594+$C$2:$C6594)), "")*24*60, "")</f>
        <v/>
      </c>
      <c r="S6595" s="24" t="str" cm="1">
        <f t="array" ref="S6595">IFERROR(IF($B6595=S$1, ($A6595+$C6595) - MAX(IF($B$2:$B6594=$B6595, $A$2:$A6594+$C$2:$C6594)), "")*24*60, "")</f>
        <v/>
      </c>
    </row>
    <row r="6596" spans="1:19" x14ac:dyDescent="0.2">
      <c r="A6596" s="12">
        <f t="shared" ref="A6596:C6596" si="1485">A6595</f>
        <v>45990</v>
      </c>
      <c r="B6596" s="5" t="str">
        <f t="shared" si="1485"/>
        <v>Northern Cardinal</v>
      </c>
      <c r="C6596" s="6">
        <f t="shared" si="1485"/>
        <v>0.28333333333333333</v>
      </c>
      <c r="D6596" s="5"/>
      <c r="E6596" s="5"/>
      <c r="F6596" s="5" t="s">
        <v>8</v>
      </c>
      <c r="G6596" s="15" t="s">
        <v>9</v>
      </c>
      <c r="H6596" s="24">
        <f t="shared" si="1251"/>
        <v>0</v>
      </c>
      <c r="I6596" s="24" cm="1">
        <f t="array" ref="I6596">IFERROR(IF($B6596=I$1, ($A6596+$C6596) - MAX(IF($B$2:$B6595=$B6596, $A$2:$A6595+$C$2:$C6595)), "")*24*60, "")</f>
        <v>0</v>
      </c>
      <c r="J6596" s="24" t="str" cm="1">
        <f t="array" ref="J6596">IFERROR(IF($B6596=J$1, ($A6596+$C6596) - MAX(IF($B$2:$B6595=$B6596, $A$2:$A6595+$C$2:$C6595)), "")*24*60, "")</f>
        <v/>
      </c>
      <c r="K6596" s="24" t="str" cm="1">
        <f t="array" ref="K6596">IFERROR(IF($B6596=K$1, ($A6596+$C6596) - MAX(IF($B$2:$B6595=$B6596, $A$2:$A6595+$C$2:$C6595)), "")*24*60, "")</f>
        <v/>
      </c>
      <c r="L6596" s="24" t="str" cm="1">
        <f t="array" ref="L6596">IFERROR(IF($B6596=L$1, ($A6596+$C6596) - MAX(IF($B$2:$B6595=$B6596, $A$2:$A6595+$C$2:$C6595)), "")*24*60, "")</f>
        <v/>
      </c>
      <c r="M6596" s="24" t="str" cm="1">
        <f t="array" ref="M6596">IFERROR(IF($B6596=M$1, ($A6596+$C6596) - MAX(IF($B$2:$B6595=$B6596, $A$2:$A6595+$C$2:$C6595)), "")*24*60, "")</f>
        <v/>
      </c>
      <c r="N6596" s="24" t="str" cm="1">
        <f t="array" ref="N6596">IFERROR(IF($B6596=N$1, ($A6596+$C6596) - MAX(IF($B$2:$B6595=$B6596, $A$2:$A6595+$C$2:$C6595)), "")*24*60, "")</f>
        <v/>
      </c>
      <c r="O6596" s="24" t="str" cm="1">
        <f t="array" ref="O6596">IFERROR(IF($B6596=O$1, ($A6596+$C6596) - MAX(IF($B$2:$B6595=$B6596, $A$2:$A6595+$C$2:$C6595)), "")*24*60, "")</f>
        <v/>
      </c>
      <c r="P6596" s="24" t="str" cm="1">
        <f t="array" ref="P6596">IFERROR(IF($B6596=P$1, ($A6596+$C6596) - MAX(IF($B$2:$B6595=$B6596, $A$2:$A6595+$C$2:$C6595)), "")*24*60, "")</f>
        <v/>
      </c>
      <c r="Q6596" s="24" t="str" cm="1">
        <f t="array" ref="Q6596">IFERROR(IF($B6596=Q$1, ($A6596+$C6596) - MAX(IF($B$2:$B6595=$B6596, $A$2:$A6595+$C$2:$C6595)), "")*24*60, "")</f>
        <v/>
      </c>
      <c r="R6596" s="24" t="str" cm="1">
        <f t="array" ref="R6596">IFERROR(IF($B6596=R$1, ($A6596+$C6596) - MAX(IF($B$2:$B6595=$B6596, $A$2:$A6595+$C$2:$C6595)), "")*24*60, "")</f>
        <v/>
      </c>
      <c r="S6596" s="24" t="str" cm="1">
        <f t="array" ref="S6596">IFERROR(IF($B6596=S$1, ($A6596+$C6596) - MAX(IF($B$2:$B6595=$B6596, $A$2:$A6595+$C$2:$C6595)), "")*24*60, "")</f>
        <v/>
      </c>
    </row>
    <row r="6597" spans="1:19" x14ac:dyDescent="0.2">
      <c r="A6597" s="12">
        <f t="shared" ref="A6597:C6597" si="1486">A6596</f>
        <v>45990</v>
      </c>
      <c r="B6597" s="5" t="str">
        <f t="shared" si="1486"/>
        <v>Northern Cardinal</v>
      </c>
      <c r="C6597" s="6">
        <f t="shared" si="1486"/>
        <v>0.28333333333333333</v>
      </c>
      <c r="D6597" s="5"/>
      <c r="E6597" s="5"/>
      <c r="F6597" s="5" t="s">
        <v>8</v>
      </c>
      <c r="G6597" s="15" t="s">
        <v>9</v>
      </c>
      <c r="H6597" s="24">
        <f t="shared" si="1251"/>
        <v>0</v>
      </c>
      <c r="I6597" s="24" cm="1">
        <f t="array" ref="I6597">IFERROR(IF($B6597=I$1, ($A6597+$C6597) - MAX(IF($B$2:$B6596=$B6597, $A$2:$A6596+$C$2:$C6596)), "")*24*60, "")</f>
        <v>0</v>
      </c>
      <c r="J6597" s="24" t="str" cm="1">
        <f t="array" ref="J6597">IFERROR(IF($B6597=J$1, ($A6597+$C6597) - MAX(IF($B$2:$B6596=$B6597, $A$2:$A6596+$C$2:$C6596)), "")*24*60, "")</f>
        <v/>
      </c>
      <c r="K6597" s="24" t="str" cm="1">
        <f t="array" ref="K6597">IFERROR(IF($B6597=K$1, ($A6597+$C6597) - MAX(IF($B$2:$B6596=$B6597, $A$2:$A6596+$C$2:$C6596)), "")*24*60, "")</f>
        <v/>
      </c>
      <c r="L6597" s="24" t="str" cm="1">
        <f t="array" ref="L6597">IFERROR(IF($B6597=L$1, ($A6597+$C6597) - MAX(IF($B$2:$B6596=$B6597, $A$2:$A6596+$C$2:$C6596)), "")*24*60, "")</f>
        <v/>
      </c>
      <c r="M6597" s="24" t="str" cm="1">
        <f t="array" ref="M6597">IFERROR(IF($B6597=M$1, ($A6597+$C6597) - MAX(IF($B$2:$B6596=$B6597, $A$2:$A6596+$C$2:$C6596)), "")*24*60, "")</f>
        <v/>
      </c>
      <c r="N6597" s="24" t="str" cm="1">
        <f t="array" ref="N6597">IFERROR(IF($B6597=N$1, ($A6597+$C6597) - MAX(IF($B$2:$B6596=$B6597, $A$2:$A6596+$C$2:$C6596)), "")*24*60, "")</f>
        <v/>
      </c>
      <c r="O6597" s="24" t="str" cm="1">
        <f t="array" ref="O6597">IFERROR(IF($B6597=O$1, ($A6597+$C6597) - MAX(IF($B$2:$B6596=$B6597, $A$2:$A6596+$C$2:$C6596)), "")*24*60, "")</f>
        <v/>
      </c>
      <c r="P6597" s="24" t="str" cm="1">
        <f t="array" ref="P6597">IFERROR(IF($B6597=P$1, ($A6597+$C6597) - MAX(IF($B$2:$B6596=$B6597, $A$2:$A6596+$C$2:$C6596)), "")*24*60, "")</f>
        <v/>
      </c>
      <c r="Q6597" s="24" t="str" cm="1">
        <f t="array" ref="Q6597">IFERROR(IF($B6597=Q$1, ($A6597+$C6597) - MAX(IF($B$2:$B6596=$B6597, $A$2:$A6596+$C$2:$C6596)), "")*24*60, "")</f>
        <v/>
      </c>
      <c r="R6597" s="24" t="str" cm="1">
        <f t="array" ref="R6597">IFERROR(IF($B6597=R$1, ($A6597+$C6597) - MAX(IF($B$2:$B6596=$B6597, $A$2:$A6596+$C$2:$C6596)), "")*24*60, "")</f>
        <v/>
      </c>
      <c r="S6597" s="24" t="str" cm="1">
        <f t="array" ref="S6597">IFERROR(IF($B6597=S$1, ($A6597+$C6597) - MAX(IF($B$2:$B6596=$B6597, $A$2:$A6596+$C$2:$C6596)), "")*24*60, "")</f>
        <v/>
      </c>
    </row>
    <row r="6598" spans="1:19" x14ac:dyDescent="0.2">
      <c r="A6598" s="12">
        <f t="shared" ref="A6598:C6598" si="1487">A6597</f>
        <v>45990</v>
      </c>
      <c r="B6598" s="5" t="str">
        <f t="shared" si="1487"/>
        <v>Northern Cardinal</v>
      </c>
      <c r="C6598" s="6">
        <f t="shared" si="1487"/>
        <v>0.28333333333333333</v>
      </c>
      <c r="D6598" s="5"/>
      <c r="E6598" s="5"/>
      <c r="F6598" s="5" t="s">
        <v>8</v>
      </c>
      <c r="G6598" s="15" t="s">
        <v>9</v>
      </c>
      <c r="H6598" s="24">
        <f t="shared" si="1251"/>
        <v>0</v>
      </c>
      <c r="I6598" s="24" cm="1">
        <f t="array" ref="I6598">IFERROR(IF($B6598=I$1, ($A6598+$C6598) - MAX(IF($B$2:$B6597=$B6598, $A$2:$A6597+$C$2:$C6597)), "")*24*60, "")</f>
        <v>0</v>
      </c>
      <c r="J6598" s="24" t="str" cm="1">
        <f t="array" ref="J6598">IFERROR(IF($B6598=J$1, ($A6598+$C6598) - MAX(IF($B$2:$B6597=$B6598, $A$2:$A6597+$C$2:$C6597)), "")*24*60, "")</f>
        <v/>
      </c>
      <c r="K6598" s="24" t="str" cm="1">
        <f t="array" ref="K6598">IFERROR(IF($B6598=K$1, ($A6598+$C6598) - MAX(IF($B$2:$B6597=$B6598, $A$2:$A6597+$C$2:$C6597)), "")*24*60, "")</f>
        <v/>
      </c>
      <c r="L6598" s="24" t="str" cm="1">
        <f t="array" ref="L6598">IFERROR(IF($B6598=L$1, ($A6598+$C6598) - MAX(IF($B$2:$B6597=$B6598, $A$2:$A6597+$C$2:$C6597)), "")*24*60, "")</f>
        <v/>
      </c>
      <c r="M6598" s="24" t="str" cm="1">
        <f t="array" ref="M6598">IFERROR(IF($B6598=M$1, ($A6598+$C6598) - MAX(IF($B$2:$B6597=$B6598, $A$2:$A6597+$C$2:$C6597)), "")*24*60, "")</f>
        <v/>
      </c>
      <c r="N6598" s="24" t="str" cm="1">
        <f t="array" ref="N6598">IFERROR(IF($B6598=N$1, ($A6598+$C6598) - MAX(IF($B$2:$B6597=$B6598, $A$2:$A6597+$C$2:$C6597)), "")*24*60, "")</f>
        <v/>
      </c>
      <c r="O6598" s="24" t="str" cm="1">
        <f t="array" ref="O6598">IFERROR(IF($B6598=O$1, ($A6598+$C6598) - MAX(IF($B$2:$B6597=$B6598, $A$2:$A6597+$C$2:$C6597)), "")*24*60, "")</f>
        <v/>
      </c>
      <c r="P6598" s="24" t="str" cm="1">
        <f t="array" ref="P6598">IFERROR(IF($B6598=P$1, ($A6598+$C6598) - MAX(IF($B$2:$B6597=$B6598, $A$2:$A6597+$C$2:$C6597)), "")*24*60, "")</f>
        <v/>
      </c>
      <c r="Q6598" s="24" t="str" cm="1">
        <f t="array" ref="Q6598">IFERROR(IF($B6598=Q$1, ($A6598+$C6598) - MAX(IF($B$2:$B6597=$B6598, $A$2:$A6597+$C$2:$C6597)), "")*24*60, "")</f>
        <v/>
      </c>
      <c r="R6598" s="24" t="str" cm="1">
        <f t="array" ref="R6598">IFERROR(IF($B6598=R$1, ($A6598+$C6598) - MAX(IF($B$2:$B6597=$B6598, $A$2:$A6597+$C$2:$C6597)), "")*24*60, "")</f>
        <v/>
      </c>
      <c r="S6598" s="24" t="str" cm="1">
        <f t="array" ref="S6598">IFERROR(IF($B6598=S$1, ($A6598+$C6598) - MAX(IF($B$2:$B6597=$B6598, $A$2:$A6597+$C$2:$C6597)), "")*24*60, "")</f>
        <v/>
      </c>
    </row>
    <row r="6599" spans="1:19" x14ac:dyDescent="0.2">
      <c r="A6599" s="12">
        <f t="shared" ref="A6599:C6599" si="1488">A6598</f>
        <v>45990</v>
      </c>
      <c r="B6599" s="5" t="str">
        <f t="shared" si="1488"/>
        <v>Northern Cardinal</v>
      </c>
      <c r="C6599" s="6">
        <f t="shared" si="1488"/>
        <v>0.28333333333333333</v>
      </c>
      <c r="D6599" s="5"/>
      <c r="E6599" s="5"/>
      <c r="F6599" s="5" t="s">
        <v>8</v>
      </c>
      <c r="G6599" s="15" t="s">
        <v>9</v>
      </c>
      <c r="H6599" s="24">
        <f t="shared" si="1251"/>
        <v>0</v>
      </c>
      <c r="I6599" s="24" cm="1">
        <f t="array" ref="I6599">IFERROR(IF($B6599=I$1, ($A6599+$C6599) - MAX(IF($B$2:$B6598=$B6599, $A$2:$A6598+$C$2:$C6598)), "")*24*60, "")</f>
        <v>0</v>
      </c>
      <c r="J6599" s="24" t="str" cm="1">
        <f t="array" ref="J6599">IFERROR(IF($B6599=J$1, ($A6599+$C6599) - MAX(IF($B$2:$B6598=$B6599, $A$2:$A6598+$C$2:$C6598)), "")*24*60, "")</f>
        <v/>
      </c>
      <c r="K6599" s="24" t="str" cm="1">
        <f t="array" ref="K6599">IFERROR(IF($B6599=K$1, ($A6599+$C6599) - MAX(IF($B$2:$B6598=$B6599, $A$2:$A6598+$C$2:$C6598)), "")*24*60, "")</f>
        <v/>
      </c>
      <c r="L6599" s="24" t="str" cm="1">
        <f t="array" ref="L6599">IFERROR(IF($B6599=L$1, ($A6599+$C6599) - MAX(IF($B$2:$B6598=$B6599, $A$2:$A6598+$C$2:$C6598)), "")*24*60, "")</f>
        <v/>
      </c>
      <c r="M6599" s="24" t="str" cm="1">
        <f t="array" ref="M6599">IFERROR(IF($B6599=M$1, ($A6599+$C6599) - MAX(IF($B$2:$B6598=$B6599, $A$2:$A6598+$C$2:$C6598)), "")*24*60, "")</f>
        <v/>
      </c>
      <c r="N6599" s="24" t="str" cm="1">
        <f t="array" ref="N6599">IFERROR(IF($B6599=N$1, ($A6599+$C6599) - MAX(IF($B$2:$B6598=$B6599, $A$2:$A6598+$C$2:$C6598)), "")*24*60, "")</f>
        <v/>
      </c>
      <c r="O6599" s="24" t="str" cm="1">
        <f t="array" ref="O6599">IFERROR(IF($B6599=O$1, ($A6599+$C6599) - MAX(IF($B$2:$B6598=$B6599, $A$2:$A6598+$C$2:$C6598)), "")*24*60, "")</f>
        <v/>
      </c>
      <c r="P6599" s="24" t="str" cm="1">
        <f t="array" ref="P6599">IFERROR(IF($B6599=P$1, ($A6599+$C6599) - MAX(IF($B$2:$B6598=$B6599, $A$2:$A6598+$C$2:$C6598)), "")*24*60, "")</f>
        <v/>
      </c>
      <c r="Q6599" s="24" t="str" cm="1">
        <f t="array" ref="Q6599">IFERROR(IF($B6599=Q$1, ($A6599+$C6599) - MAX(IF($B$2:$B6598=$B6599, $A$2:$A6598+$C$2:$C6598)), "")*24*60, "")</f>
        <v/>
      </c>
      <c r="R6599" s="24" t="str" cm="1">
        <f t="array" ref="R6599">IFERROR(IF($B6599=R$1, ($A6599+$C6599) - MAX(IF($B$2:$B6598=$B6599, $A$2:$A6598+$C$2:$C6598)), "")*24*60, "")</f>
        <v/>
      </c>
      <c r="S6599" s="24" t="str" cm="1">
        <f t="array" ref="S6599">IFERROR(IF($B6599=S$1, ($A6599+$C6599) - MAX(IF($B$2:$B6598=$B6599, $A$2:$A6598+$C$2:$C6598)), "")*24*60, "")</f>
        <v/>
      </c>
    </row>
    <row r="6600" spans="1:19" x14ac:dyDescent="0.2">
      <c r="A6600" s="12">
        <f t="shared" ref="A6600:C6600" si="1489">A6599</f>
        <v>45990</v>
      </c>
      <c r="B6600" s="5" t="str">
        <f t="shared" si="1489"/>
        <v>Northern Cardinal</v>
      </c>
      <c r="C6600" s="6">
        <f t="shared" si="1489"/>
        <v>0.28333333333333333</v>
      </c>
      <c r="D6600" s="5"/>
      <c r="E6600" s="5"/>
      <c r="F6600" s="5" t="s">
        <v>8</v>
      </c>
      <c r="G6600" s="15" t="s">
        <v>9</v>
      </c>
      <c r="H6600" s="24">
        <f t="shared" si="1251"/>
        <v>0</v>
      </c>
      <c r="I6600" s="24" cm="1">
        <f t="array" ref="I6600">IFERROR(IF($B6600=I$1, ($A6600+$C6600) - MAX(IF($B$2:$B6599=$B6600, $A$2:$A6599+$C$2:$C6599)), "")*24*60, "")</f>
        <v>0</v>
      </c>
      <c r="J6600" s="24" t="str" cm="1">
        <f t="array" ref="J6600">IFERROR(IF($B6600=J$1, ($A6600+$C6600) - MAX(IF($B$2:$B6599=$B6600, $A$2:$A6599+$C$2:$C6599)), "")*24*60, "")</f>
        <v/>
      </c>
      <c r="K6600" s="24" t="str" cm="1">
        <f t="array" ref="K6600">IFERROR(IF($B6600=K$1, ($A6600+$C6600) - MAX(IF($B$2:$B6599=$B6600, $A$2:$A6599+$C$2:$C6599)), "")*24*60, "")</f>
        <v/>
      </c>
      <c r="L6600" s="24" t="str" cm="1">
        <f t="array" ref="L6600">IFERROR(IF($B6600=L$1, ($A6600+$C6600) - MAX(IF($B$2:$B6599=$B6600, $A$2:$A6599+$C$2:$C6599)), "")*24*60, "")</f>
        <v/>
      </c>
      <c r="M6600" s="24" t="str" cm="1">
        <f t="array" ref="M6600">IFERROR(IF($B6600=M$1, ($A6600+$C6600) - MAX(IF($B$2:$B6599=$B6600, $A$2:$A6599+$C$2:$C6599)), "")*24*60, "")</f>
        <v/>
      </c>
      <c r="N6600" s="24" t="str" cm="1">
        <f t="array" ref="N6600">IFERROR(IF($B6600=N$1, ($A6600+$C6600) - MAX(IF($B$2:$B6599=$B6600, $A$2:$A6599+$C$2:$C6599)), "")*24*60, "")</f>
        <v/>
      </c>
      <c r="O6600" s="24" t="str" cm="1">
        <f t="array" ref="O6600">IFERROR(IF($B6600=O$1, ($A6600+$C6600) - MAX(IF($B$2:$B6599=$B6600, $A$2:$A6599+$C$2:$C6599)), "")*24*60, "")</f>
        <v/>
      </c>
      <c r="P6600" s="24" t="str" cm="1">
        <f t="array" ref="P6600">IFERROR(IF($B6600=P$1, ($A6600+$C6600) - MAX(IF($B$2:$B6599=$B6600, $A$2:$A6599+$C$2:$C6599)), "")*24*60, "")</f>
        <v/>
      </c>
      <c r="Q6600" s="24" t="str" cm="1">
        <f t="array" ref="Q6600">IFERROR(IF($B6600=Q$1, ($A6600+$C6600) - MAX(IF($B$2:$B6599=$B6600, $A$2:$A6599+$C$2:$C6599)), "")*24*60, "")</f>
        <v/>
      </c>
      <c r="R6600" s="24" t="str" cm="1">
        <f t="array" ref="R6600">IFERROR(IF($B6600=R$1, ($A6600+$C6600) - MAX(IF($B$2:$B6599=$B6600, $A$2:$A6599+$C$2:$C6599)), "")*24*60, "")</f>
        <v/>
      </c>
      <c r="S6600" s="24" t="str" cm="1">
        <f t="array" ref="S6600">IFERROR(IF($B6600=S$1, ($A6600+$C6600) - MAX(IF($B$2:$B6599=$B6600, $A$2:$A6599+$C$2:$C6599)), "")*24*60, "")</f>
        <v/>
      </c>
    </row>
    <row r="6601" spans="1:19" x14ac:dyDescent="0.2">
      <c r="A6601" s="12">
        <f t="shared" ref="A6601:C6601" si="1490">A6600</f>
        <v>45990</v>
      </c>
      <c r="B6601" s="5" t="str">
        <f t="shared" si="1490"/>
        <v>Northern Cardinal</v>
      </c>
      <c r="C6601" s="6">
        <f t="shared" si="1490"/>
        <v>0.28333333333333333</v>
      </c>
      <c r="D6601" s="5"/>
      <c r="E6601" s="5"/>
      <c r="F6601" s="5" t="s">
        <v>8</v>
      </c>
      <c r="G6601" s="15" t="s">
        <v>9</v>
      </c>
      <c r="H6601" s="24">
        <f t="shared" si="1251"/>
        <v>0</v>
      </c>
      <c r="I6601" s="24" cm="1">
        <f t="array" ref="I6601">IFERROR(IF($B6601=I$1, ($A6601+$C6601) - MAX(IF($B$2:$B6600=$B6601, $A$2:$A6600+$C$2:$C6600)), "")*24*60, "")</f>
        <v>0</v>
      </c>
      <c r="J6601" s="24" t="str" cm="1">
        <f t="array" ref="J6601">IFERROR(IF($B6601=J$1, ($A6601+$C6601) - MAX(IF($B$2:$B6600=$B6601, $A$2:$A6600+$C$2:$C6600)), "")*24*60, "")</f>
        <v/>
      </c>
      <c r="K6601" s="24" t="str" cm="1">
        <f t="array" ref="K6601">IFERROR(IF($B6601=K$1, ($A6601+$C6601) - MAX(IF($B$2:$B6600=$B6601, $A$2:$A6600+$C$2:$C6600)), "")*24*60, "")</f>
        <v/>
      </c>
      <c r="L6601" s="24" t="str" cm="1">
        <f t="array" ref="L6601">IFERROR(IF($B6601=L$1, ($A6601+$C6601) - MAX(IF($B$2:$B6600=$B6601, $A$2:$A6600+$C$2:$C6600)), "")*24*60, "")</f>
        <v/>
      </c>
      <c r="M6601" s="24" t="str" cm="1">
        <f t="array" ref="M6601">IFERROR(IF($B6601=M$1, ($A6601+$C6601) - MAX(IF($B$2:$B6600=$B6601, $A$2:$A6600+$C$2:$C6600)), "")*24*60, "")</f>
        <v/>
      </c>
      <c r="N6601" s="24" t="str" cm="1">
        <f t="array" ref="N6601">IFERROR(IF($B6601=N$1, ($A6601+$C6601) - MAX(IF($B$2:$B6600=$B6601, $A$2:$A6600+$C$2:$C6600)), "")*24*60, "")</f>
        <v/>
      </c>
      <c r="O6601" s="24" t="str" cm="1">
        <f t="array" ref="O6601">IFERROR(IF($B6601=O$1, ($A6601+$C6601) - MAX(IF($B$2:$B6600=$B6601, $A$2:$A6600+$C$2:$C6600)), "")*24*60, "")</f>
        <v/>
      </c>
      <c r="P6601" s="24" t="str" cm="1">
        <f t="array" ref="P6601">IFERROR(IF($B6601=P$1, ($A6601+$C6601) - MAX(IF($B$2:$B6600=$B6601, $A$2:$A6600+$C$2:$C6600)), "")*24*60, "")</f>
        <v/>
      </c>
      <c r="Q6601" s="24" t="str" cm="1">
        <f t="array" ref="Q6601">IFERROR(IF($B6601=Q$1, ($A6601+$C6601) - MAX(IF($B$2:$B6600=$B6601, $A$2:$A6600+$C$2:$C6600)), "")*24*60, "")</f>
        <v/>
      </c>
      <c r="R6601" s="24" t="str" cm="1">
        <f t="array" ref="R6601">IFERROR(IF($B6601=R$1, ($A6601+$C6601) - MAX(IF($B$2:$B6600=$B6601, $A$2:$A6600+$C$2:$C6600)), "")*24*60, "")</f>
        <v/>
      </c>
      <c r="S6601" s="24" t="str" cm="1">
        <f t="array" ref="S6601">IFERROR(IF($B6601=S$1, ($A6601+$C6601) - MAX(IF($B$2:$B6600=$B6601, $A$2:$A6600+$C$2:$C6600)), "")*24*60, "")</f>
        <v/>
      </c>
    </row>
    <row r="6602" spans="1:19" x14ac:dyDescent="0.2">
      <c r="A6602" s="12">
        <f t="shared" ref="A6602:C6602" si="1491">A6601</f>
        <v>45990</v>
      </c>
      <c r="B6602" s="5" t="str">
        <f t="shared" si="1491"/>
        <v>Northern Cardinal</v>
      </c>
      <c r="C6602" s="6">
        <f t="shared" si="1491"/>
        <v>0.28333333333333333</v>
      </c>
      <c r="D6602" s="5"/>
      <c r="E6602" s="5"/>
      <c r="F6602" s="5" t="s">
        <v>8</v>
      </c>
      <c r="G6602" s="15" t="s">
        <v>9</v>
      </c>
      <c r="H6602" s="24">
        <f t="shared" si="1251"/>
        <v>0</v>
      </c>
      <c r="I6602" s="24" cm="1">
        <f t="array" ref="I6602">IFERROR(IF($B6602=I$1, ($A6602+$C6602) - MAX(IF($B$2:$B6601=$B6602, $A$2:$A6601+$C$2:$C6601)), "")*24*60, "")</f>
        <v>0</v>
      </c>
      <c r="J6602" s="24" t="str" cm="1">
        <f t="array" ref="J6602">IFERROR(IF($B6602=J$1, ($A6602+$C6602) - MAX(IF($B$2:$B6601=$B6602, $A$2:$A6601+$C$2:$C6601)), "")*24*60, "")</f>
        <v/>
      </c>
      <c r="K6602" s="24" t="str" cm="1">
        <f t="array" ref="K6602">IFERROR(IF($B6602=K$1, ($A6602+$C6602) - MAX(IF($B$2:$B6601=$B6602, $A$2:$A6601+$C$2:$C6601)), "")*24*60, "")</f>
        <v/>
      </c>
      <c r="L6602" s="24" t="str" cm="1">
        <f t="array" ref="L6602">IFERROR(IF($B6602=L$1, ($A6602+$C6602) - MAX(IF($B$2:$B6601=$B6602, $A$2:$A6601+$C$2:$C6601)), "")*24*60, "")</f>
        <v/>
      </c>
      <c r="M6602" s="24" t="str" cm="1">
        <f t="array" ref="M6602">IFERROR(IF($B6602=M$1, ($A6602+$C6602) - MAX(IF($B$2:$B6601=$B6602, $A$2:$A6601+$C$2:$C6601)), "")*24*60, "")</f>
        <v/>
      </c>
      <c r="N6602" s="24" t="str" cm="1">
        <f t="array" ref="N6602">IFERROR(IF($B6602=N$1, ($A6602+$C6602) - MAX(IF($B$2:$B6601=$B6602, $A$2:$A6601+$C$2:$C6601)), "")*24*60, "")</f>
        <v/>
      </c>
      <c r="O6602" s="24" t="str" cm="1">
        <f t="array" ref="O6602">IFERROR(IF($B6602=O$1, ($A6602+$C6602) - MAX(IF($B$2:$B6601=$B6602, $A$2:$A6601+$C$2:$C6601)), "")*24*60, "")</f>
        <v/>
      </c>
      <c r="P6602" s="24" t="str" cm="1">
        <f t="array" ref="P6602">IFERROR(IF($B6602=P$1, ($A6602+$C6602) - MAX(IF($B$2:$B6601=$B6602, $A$2:$A6601+$C$2:$C6601)), "")*24*60, "")</f>
        <v/>
      </c>
      <c r="Q6602" s="24" t="str" cm="1">
        <f t="array" ref="Q6602">IFERROR(IF($B6602=Q$1, ($A6602+$C6602) - MAX(IF($B$2:$B6601=$B6602, $A$2:$A6601+$C$2:$C6601)), "")*24*60, "")</f>
        <v/>
      </c>
      <c r="R6602" s="24" t="str" cm="1">
        <f t="array" ref="R6602">IFERROR(IF($B6602=R$1, ($A6602+$C6602) - MAX(IF($B$2:$B6601=$B6602, $A$2:$A6601+$C$2:$C6601)), "")*24*60, "")</f>
        <v/>
      </c>
      <c r="S6602" s="24" t="str" cm="1">
        <f t="array" ref="S6602">IFERROR(IF($B6602=S$1, ($A6602+$C6602) - MAX(IF($B$2:$B6601=$B6602, $A$2:$A6601+$C$2:$C6601)), "")*24*60, "")</f>
        <v/>
      </c>
    </row>
    <row r="6603" spans="1:19" x14ac:dyDescent="0.2">
      <c r="A6603" s="12">
        <f t="shared" ref="A6603:C6603" si="1492">A6602</f>
        <v>45990</v>
      </c>
      <c r="B6603" s="5" t="str">
        <f t="shared" si="1492"/>
        <v>Northern Cardinal</v>
      </c>
      <c r="C6603" s="6">
        <f t="shared" si="1492"/>
        <v>0.28333333333333333</v>
      </c>
      <c r="D6603" s="5"/>
      <c r="E6603" s="5"/>
      <c r="F6603" s="5" t="s">
        <v>8</v>
      </c>
      <c r="G6603" s="15" t="s">
        <v>9</v>
      </c>
      <c r="H6603" s="24">
        <f t="shared" si="1251"/>
        <v>0</v>
      </c>
      <c r="I6603" s="24" cm="1">
        <f t="array" ref="I6603">IFERROR(IF($B6603=I$1, ($A6603+$C6603) - MAX(IF($B$2:$B6602=$B6603, $A$2:$A6602+$C$2:$C6602)), "")*24*60, "")</f>
        <v>0</v>
      </c>
      <c r="J6603" s="24" t="str" cm="1">
        <f t="array" ref="J6603">IFERROR(IF($B6603=J$1, ($A6603+$C6603) - MAX(IF($B$2:$B6602=$B6603, $A$2:$A6602+$C$2:$C6602)), "")*24*60, "")</f>
        <v/>
      </c>
      <c r="K6603" s="24" t="str" cm="1">
        <f t="array" ref="K6603">IFERROR(IF($B6603=K$1, ($A6603+$C6603) - MAX(IF($B$2:$B6602=$B6603, $A$2:$A6602+$C$2:$C6602)), "")*24*60, "")</f>
        <v/>
      </c>
      <c r="L6603" s="24" t="str" cm="1">
        <f t="array" ref="L6603">IFERROR(IF($B6603=L$1, ($A6603+$C6603) - MAX(IF($B$2:$B6602=$B6603, $A$2:$A6602+$C$2:$C6602)), "")*24*60, "")</f>
        <v/>
      </c>
      <c r="M6603" s="24" t="str" cm="1">
        <f t="array" ref="M6603">IFERROR(IF($B6603=M$1, ($A6603+$C6603) - MAX(IF($B$2:$B6602=$B6603, $A$2:$A6602+$C$2:$C6602)), "")*24*60, "")</f>
        <v/>
      </c>
      <c r="N6603" s="24" t="str" cm="1">
        <f t="array" ref="N6603">IFERROR(IF($B6603=N$1, ($A6603+$C6603) - MAX(IF($B$2:$B6602=$B6603, $A$2:$A6602+$C$2:$C6602)), "")*24*60, "")</f>
        <v/>
      </c>
      <c r="O6603" s="24" t="str" cm="1">
        <f t="array" ref="O6603">IFERROR(IF($B6603=O$1, ($A6603+$C6603) - MAX(IF($B$2:$B6602=$B6603, $A$2:$A6602+$C$2:$C6602)), "")*24*60, "")</f>
        <v/>
      </c>
      <c r="P6603" s="24" t="str" cm="1">
        <f t="array" ref="P6603">IFERROR(IF($B6603=P$1, ($A6603+$C6603) - MAX(IF($B$2:$B6602=$B6603, $A$2:$A6602+$C$2:$C6602)), "")*24*60, "")</f>
        <v/>
      </c>
      <c r="Q6603" s="24" t="str" cm="1">
        <f t="array" ref="Q6603">IFERROR(IF($B6603=Q$1, ($A6603+$C6603) - MAX(IF($B$2:$B6602=$B6603, $A$2:$A6602+$C$2:$C6602)), "")*24*60, "")</f>
        <v/>
      </c>
      <c r="R6603" s="24" t="str" cm="1">
        <f t="array" ref="R6603">IFERROR(IF($B6603=R$1, ($A6603+$C6603) - MAX(IF($B$2:$B6602=$B6603, $A$2:$A6602+$C$2:$C6602)), "")*24*60, "")</f>
        <v/>
      </c>
      <c r="S6603" s="24" t="str" cm="1">
        <f t="array" ref="S6603">IFERROR(IF($B6603=S$1, ($A6603+$C6603) - MAX(IF($B$2:$B6602=$B6603, $A$2:$A6602+$C$2:$C6602)), "")*24*60, "")</f>
        <v/>
      </c>
    </row>
    <row r="6604" spans="1:19" x14ac:dyDescent="0.2">
      <c r="A6604" s="12">
        <f t="shared" ref="A6604:C6604" si="1493">A6603</f>
        <v>45990</v>
      </c>
      <c r="B6604" s="5" t="str">
        <f t="shared" si="1493"/>
        <v>Northern Cardinal</v>
      </c>
      <c r="C6604" s="6">
        <f t="shared" si="1493"/>
        <v>0.28333333333333333</v>
      </c>
      <c r="D6604" s="5"/>
      <c r="E6604" s="5"/>
      <c r="F6604" s="5" t="s">
        <v>8</v>
      </c>
      <c r="G6604" s="15" t="s">
        <v>9</v>
      </c>
      <c r="H6604" s="24">
        <f t="shared" si="1251"/>
        <v>0</v>
      </c>
      <c r="I6604" s="24" cm="1">
        <f t="array" ref="I6604">IFERROR(IF($B6604=I$1, ($A6604+$C6604) - MAX(IF($B$2:$B6603=$B6604, $A$2:$A6603+$C$2:$C6603)), "")*24*60, "")</f>
        <v>0</v>
      </c>
      <c r="J6604" s="24" t="str" cm="1">
        <f t="array" ref="J6604">IFERROR(IF($B6604=J$1, ($A6604+$C6604) - MAX(IF($B$2:$B6603=$B6604, $A$2:$A6603+$C$2:$C6603)), "")*24*60, "")</f>
        <v/>
      </c>
      <c r="K6604" s="24" t="str" cm="1">
        <f t="array" ref="K6604">IFERROR(IF($B6604=K$1, ($A6604+$C6604) - MAX(IF($B$2:$B6603=$B6604, $A$2:$A6603+$C$2:$C6603)), "")*24*60, "")</f>
        <v/>
      </c>
      <c r="L6604" s="24" t="str" cm="1">
        <f t="array" ref="L6604">IFERROR(IF($B6604=L$1, ($A6604+$C6604) - MAX(IF($B$2:$B6603=$B6604, $A$2:$A6603+$C$2:$C6603)), "")*24*60, "")</f>
        <v/>
      </c>
      <c r="M6604" s="24" t="str" cm="1">
        <f t="array" ref="M6604">IFERROR(IF($B6604=M$1, ($A6604+$C6604) - MAX(IF($B$2:$B6603=$B6604, $A$2:$A6603+$C$2:$C6603)), "")*24*60, "")</f>
        <v/>
      </c>
      <c r="N6604" s="24" t="str" cm="1">
        <f t="array" ref="N6604">IFERROR(IF($B6604=N$1, ($A6604+$C6604) - MAX(IF($B$2:$B6603=$B6604, $A$2:$A6603+$C$2:$C6603)), "")*24*60, "")</f>
        <v/>
      </c>
      <c r="O6604" s="24" t="str" cm="1">
        <f t="array" ref="O6604">IFERROR(IF($B6604=O$1, ($A6604+$C6604) - MAX(IF($B$2:$B6603=$B6604, $A$2:$A6603+$C$2:$C6603)), "")*24*60, "")</f>
        <v/>
      </c>
      <c r="P6604" s="24" t="str" cm="1">
        <f t="array" ref="P6604">IFERROR(IF($B6604=P$1, ($A6604+$C6604) - MAX(IF($B$2:$B6603=$B6604, $A$2:$A6603+$C$2:$C6603)), "")*24*60, "")</f>
        <v/>
      </c>
      <c r="Q6604" s="24" t="str" cm="1">
        <f t="array" ref="Q6604">IFERROR(IF($B6604=Q$1, ($A6604+$C6604) - MAX(IF($B$2:$B6603=$B6604, $A$2:$A6603+$C$2:$C6603)), "")*24*60, "")</f>
        <v/>
      </c>
      <c r="R6604" s="24" t="str" cm="1">
        <f t="array" ref="R6604">IFERROR(IF($B6604=R$1, ($A6604+$C6604) - MAX(IF($B$2:$B6603=$B6604, $A$2:$A6603+$C$2:$C6603)), "")*24*60, "")</f>
        <v/>
      </c>
      <c r="S6604" s="24" t="str" cm="1">
        <f t="array" ref="S6604">IFERROR(IF($B6604=S$1, ($A6604+$C6604) - MAX(IF($B$2:$B6603=$B6604, $A$2:$A6603+$C$2:$C6603)), "")*24*60, "")</f>
        <v/>
      </c>
    </row>
    <row r="6605" spans="1:19" x14ac:dyDescent="0.2">
      <c r="A6605" s="12">
        <f t="shared" ref="A6605:C6605" si="1494">A6604</f>
        <v>45990</v>
      </c>
      <c r="B6605" s="5" t="str">
        <f t="shared" si="1494"/>
        <v>Northern Cardinal</v>
      </c>
      <c r="C6605" s="6">
        <f t="shared" si="1494"/>
        <v>0.28333333333333333</v>
      </c>
      <c r="D6605" s="5"/>
      <c r="E6605" s="5"/>
      <c r="F6605" s="5" t="s">
        <v>8</v>
      </c>
      <c r="G6605" s="15" t="s">
        <v>9</v>
      </c>
      <c r="H6605" s="24">
        <f t="shared" si="1251"/>
        <v>0</v>
      </c>
      <c r="I6605" s="24" cm="1">
        <f t="array" ref="I6605">IFERROR(IF($B6605=I$1, ($A6605+$C6605) - MAX(IF($B$2:$B6604=$B6605, $A$2:$A6604+$C$2:$C6604)), "")*24*60, "")</f>
        <v>0</v>
      </c>
      <c r="J6605" s="24" t="str" cm="1">
        <f t="array" ref="J6605">IFERROR(IF($B6605=J$1, ($A6605+$C6605) - MAX(IF($B$2:$B6604=$B6605, $A$2:$A6604+$C$2:$C6604)), "")*24*60, "")</f>
        <v/>
      </c>
      <c r="K6605" s="24" t="str" cm="1">
        <f t="array" ref="K6605">IFERROR(IF($B6605=K$1, ($A6605+$C6605) - MAX(IF($B$2:$B6604=$B6605, $A$2:$A6604+$C$2:$C6604)), "")*24*60, "")</f>
        <v/>
      </c>
      <c r="L6605" s="24" t="str" cm="1">
        <f t="array" ref="L6605">IFERROR(IF($B6605=L$1, ($A6605+$C6605) - MAX(IF($B$2:$B6604=$B6605, $A$2:$A6604+$C$2:$C6604)), "")*24*60, "")</f>
        <v/>
      </c>
      <c r="M6605" s="24" t="str" cm="1">
        <f t="array" ref="M6605">IFERROR(IF($B6605=M$1, ($A6605+$C6605) - MAX(IF($B$2:$B6604=$B6605, $A$2:$A6604+$C$2:$C6604)), "")*24*60, "")</f>
        <v/>
      </c>
      <c r="N6605" s="24" t="str" cm="1">
        <f t="array" ref="N6605">IFERROR(IF($B6605=N$1, ($A6605+$C6605) - MAX(IF($B$2:$B6604=$B6605, $A$2:$A6604+$C$2:$C6604)), "")*24*60, "")</f>
        <v/>
      </c>
      <c r="O6605" s="24" t="str" cm="1">
        <f t="array" ref="O6605">IFERROR(IF($B6605=O$1, ($A6605+$C6605) - MAX(IF($B$2:$B6604=$B6605, $A$2:$A6604+$C$2:$C6604)), "")*24*60, "")</f>
        <v/>
      </c>
      <c r="P6605" s="24" t="str" cm="1">
        <f t="array" ref="P6605">IFERROR(IF($B6605=P$1, ($A6605+$C6605) - MAX(IF($B$2:$B6604=$B6605, $A$2:$A6604+$C$2:$C6604)), "")*24*60, "")</f>
        <v/>
      </c>
      <c r="Q6605" s="24" t="str" cm="1">
        <f t="array" ref="Q6605">IFERROR(IF($B6605=Q$1, ($A6605+$C6605) - MAX(IF($B$2:$B6604=$B6605, $A$2:$A6604+$C$2:$C6604)), "")*24*60, "")</f>
        <v/>
      </c>
      <c r="R6605" s="24" t="str" cm="1">
        <f t="array" ref="R6605">IFERROR(IF($B6605=R$1, ($A6605+$C6605) - MAX(IF($B$2:$B6604=$B6605, $A$2:$A6604+$C$2:$C6604)), "")*24*60, "")</f>
        <v/>
      </c>
      <c r="S6605" s="24" t="str" cm="1">
        <f t="array" ref="S6605">IFERROR(IF($B6605=S$1, ($A6605+$C6605) - MAX(IF($B$2:$B6604=$B6605, $A$2:$A6604+$C$2:$C6604)), "")*24*60, "")</f>
        <v/>
      </c>
    </row>
    <row r="6606" spans="1:19" x14ac:dyDescent="0.2">
      <c r="A6606" s="12">
        <f t="shared" ref="A6606:C6606" si="1495">A6605</f>
        <v>45990</v>
      </c>
      <c r="B6606" s="5" t="str">
        <f t="shared" si="1495"/>
        <v>Northern Cardinal</v>
      </c>
      <c r="C6606" s="6">
        <f t="shared" si="1495"/>
        <v>0.28333333333333333</v>
      </c>
      <c r="D6606" s="5"/>
      <c r="E6606" s="5"/>
      <c r="F6606" s="5" t="s">
        <v>8</v>
      </c>
      <c r="G6606" s="15" t="s">
        <v>9</v>
      </c>
      <c r="H6606" s="24">
        <f t="shared" si="1251"/>
        <v>0</v>
      </c>
      <c r="I6606" s="24" cm="1">
        <f t="array" ref="I6606">IFERROR(IF($B6606=I$1, ($A6606+$C6606) - MAX(IF($B$2:$B6605=$B6606, $A$2:$A6605+$C$2:$C6605)), "")*24*60, "")</f>
        <v>0</v>
      </c>
      <c r="J6606" s="24" t="str" cm="1">
        <f t="array" ref="J6606">IFERROR(IF($B6606=J$1, ($A6606+$C6606) - MAX(IF($B$2:$B6605=$B6606, $A$2:$A6605+$C$2:$C6605)), "")*24*60, "")</f>
        <v/>
      </c>
      <c r="K6606" s="24" t="str" cm="1">
        <f t="array" ref="K6606">IFERROR(IF($B6606=K$1, ($A6606+$C6606) - MAX(IF($B$2:$B6605=$B6606, $A$2:$A6605+$C$2:$C6605)), "")*24*60, "")</f>
        <v/>
      </c>
      <c r="L6606" s="24" t="str" cm="1">
        <f t="array" ref="L6606">IFERROR(IF($B6606=L$1, ($A6606+$C6606) - MAX(IF($B$2:$B6605=$B6606, $A$2:$A6605+$C$2:$C6605)), "")*24*60, "")</f>
        <v/>
      </c>
      <c r="M6606" s="24" t="str" cm="1">
        <f t="array" ref="M6606">IFERROR(IF($B6606=M$1, ($A6606+$C6606) - MAX(IF($B$2:$B6605=$B6606, $A$2:$A6605+$C$2:$C6605)), "")*24*60, "")</f>
        <v/>
      </c>
      <c r="N6606" s="24" t="str" cm="1">
        <f t="array" ref="N6606">IFERROR(IF($B6606=N$1, ($A6606+$C6606) - MAX(IF($B$2:$B6605=$B6606, $A$2:$A6605+$C$2:$C6605)), "")*24*60, "")</f>
        <v/>
      </c>
      <c r="O6606" s="24" t="str" cm="1">
        <f t="array" ref="O6606">IFERROR(IF($B6606=O$1, ($A6606+$C6606) - MAX(IF($B$2:$B6605=$B6606, $A$2:$A6605+$C$2:$C6605)), "")*24*60, "")</f>
        <v/>
      </c>
      <c r="P6606" s="24" t="str" cm="1">
        <f t="array" ref="P6606">IFERROR(IF($B6606=P$1, ($A6606+$C6606) - MAX(IF($B$2:$B6605=$B6606, $A$2:$A6605+$C$2:$C6605)), "")*24*60, "")</f>
        <v/>
      </c>
      <c r="Q6606" s="24" t="str" cm="1">
        <f t="array" ref="Q6606">IFERROR(IF($B6606=Q$1, ($A6606+$C6606) - MAX(IF($B$2:$B6605=$B6606, $A$2:$A6605+$C$2:$C6605)), "")*24*60, "")</f>
        <v/>
      </c>
      <c r="R6606" s="24" t="str" cm="1">
        <f t="array" ref="R6606">IFERROR(IF($B6606=R$1, ($A6606+$C6606) - MAX(IF($B$2:$B6605=$B6606, $A$2:$A6605+$C$2:$C6605)), "")*24*60, "")</f>
        <v/>
      </c>
      <c r="S6606" s="24" t="str" cm="1">
        <f t="array" ref="S6606">IFERROR(IF($B6606=S$1, ($A6606+$C6606) - MAX(IF($B$2:$B6605=$B6606, $A$2:$A6605+$C$2:$C6605)), "")*24*60, "")</f>
        <v/>
      </c>
    </row>
    <row r="6607" spans="1:19" x14ac:dyDescent="0.2">
      <c r="A6607" s="12">
        <f t="shared" ref="A6607:C6607" si="1496">A6606</f>
        <v>45990</v>
      </c>
      <c r="B6607" s="5" t="str">
        <f t="shared" si="1496"/>
        <v>Northern Cardinal</v>
      </c>
      <c r="C6607" s="6">
        <f t="shared" si="1496"/>
        <v>0.28333333333333333</v>
      </c>
      <c r="D6607" s="5"/>
      <c r="E6607" s="5"/>
      <c r="F6607" s="5" t="s">
        <v>8</v>
      </c>
      <c r="G6607" s="15" t="s">
        <v>9</v>
      </c>
      <c r="H6607" s="24">
        <f t="shared" si="1251"/>
        <v>0</v>
      </c>
      <c r="I6607" s="24" cm="1">
        <f t="array" ref="I6607">IFERROR(IF($B6607=I$1, ($A6607+$C6607) - MAX(IF($B$2:$B6606=$B6607, $A$2:$A6606+$C$2:$C6606)), "")*24*60, "")</f>
        <v>0</v>
      </c>
      <c r="J6607" s="24" t="str" cm="1">
        <f t="array" ref="J6607">IFERROR(IF($B6607=J$1, ($A6607+$C6607) - MAX(IF($B$2:$B6606=$B6607, $A$2:$A6606+$C$2:$C6606)), "")*24*60, "")</f>
        <v/>
      </c>
      <c r="K6607" s="24" t="str" cm="1">
        <f t="array" ref="K6607">IFERROR(IF($B6607=K$1, ($A6607+$C6607) - MAX(IF($B$2:$B6606=$B6607, $A$2:$A6606+$C$2:$C6606)), "")*24*60, "")</f>
        <v/>
      </c>
      <c r="L6607" s="24" t="str" cm="1">
        <f t="array" ref="L6607">IFERROR(IF($B6607=L$1, ($A6607+$C6607) - MAX(IF($B$2:$B6606=$B6607, $A$2:$A6606+$C$2:$C6606)), "")*24*60, "")</f>
        <v/>
      </c>
      <c r="M6607" s="24" t="str" cm="1">
        <f t="array" ref="M6607">IFERROR(IF($B6607=M$1, ($A6607+$C6607) - MAX(IF($B$2:$B6606=$B6607, $A$2:$A6606+$C$2:$C6606)), "")*24*60, "")</f>
        <v/>
      </c>
      <c r="N6607" s="24" t="str" cm="1">
        <f t="array" ref="N6607">IFERROR(IF($B6607=N$1, ($A6607+$C6607) - MAX(IF($B$2:$B6606=$B6607, $A$2:$A6606+$C$2:$C6606)), "")*24*60, "")</f>
        <v/>
      </c>
      <c r="O6607" s="24" t="str" cm="1">
        <f t="array" ref="O6607">IFERROR(IF($B6607=O$1, ($A6607+$C6607) - MAX(IF($B$2:$B6606=$B6607, $A$2:$A6606+$C$2:$C6606)), "")*24*60, "")</f>
        <v/>
      </c>
      <c r="P6607" s="24" t="str" cm="1">
        <f t="array" ref="P6607">IFERROR(IF($B6607=P$1, ($A6607+$C6607) - MAX(IF($B$2:$B6606=$B6607, $A$2:$A6606+$C$2:$C6606)), "")*24*60, "")</f>
        <v/>
      </c>
      <c r="Q6607" s="24" t="str" cm="1">
        <f t="array" ref="Q6607">IFERROR(IF($B6607=Q$1, ($A6607+$C6607) - MAX(IF($B$2:$B6606=$B6607, $A$2:$A6606+$C$2:$C6606)), "")*24*60, "")</f>
        <v/>
      </c>
      <c r="R6607" s="24" t="str" cm="1">
        <f t="array" ref="R6607">IFERROR(IF($B6607=R$1, ($A6607+$C6607) - MAX(IF($B$2:$B6606=$B6607, $A$2:$A6606+$C$2:$C6606)), "")*24*60, "")</f>
        <v/>
      </c>
      <c r="S6607" s="24" t="str" cm="1">
        <f t="array" ref="S6607">IFERROR(IF($B6607=S$1, ($A6607+$C6607) - MAX(IF($B$2:$B6606=$B6607, $A$2:$A6606+$C$2:$C6606)), "")*24*60, "")</f>
        <v/>
      </c>
    </row>
    <row r="6608" spans="1:19" x14ac:dyDescent="0.2">
      <c r="A6608" s="12">
        <f t="shared" ref="A6608:C6608" si="1497">A6607</f>
        <v>45990</v>
      </c>
      <c r="B6608" s="5" t="str">
        <f t="shared" si="1497"/>
        <v>Northern Cardinal</v>
      </c>
      <c r="C6608" s="6">
        <f t="shared" si="1497"/>
        <v>0.28333333333333333</v>
      </c>
      <c r="D6608" s="5"/>
      <c r="E6608" s="5"/>
      <c r="F6608" s="5" t="s">
        <v>8</v>
      </c>
      <c r="G6608" s="15" t="s">
        <v>9</v>
      </c>
      <c r="H6608" s="24">
        <f t="shared" si="1251"/>
        <v>0</v>
      </c>
      <c r="I6608" s="24" cm="1">
        <f t="array" ref="I6608">IFERROR(IF($B6608=I$1, ($A6608+$C6608) - MAX(IF($B$2:$B6607=$B6608, $A$2:$A6607+$C$2:$C6607)), "")*24*60, "")</f>
        <v>0</v>
      </c>
      <c r="J6608" s="24" t="str" cm="1">
        <f t="array" ref="J6608">IFERROR(IF($B6608=J$1, ($A6608+$C6608) - MAX(IF($B$2:$B6607=$B6608, $A$2:$A6607+$C$2:$C6607)), "")*24*60, "")</f>
        <v/>
      </c>
      <c r="K6608" s="24" t="str" cm="1">
        <f t="array" ref="K6608">IFERROR(IF($B6608=K$1, ($A6608+$C6608) - MAX(IF($B$2:$B6607=$B6608, $A$2:$A6607+$C$2:$C6607)), "")*24*60, "")</f>
        <v/>
      </c>
      <c r="L6608" s="24" t="str" cm="1">
        <f t="array" ref="L6608">IFERROR(IF($B6608=L$1, ($A6608+$C6608) - MAX(IF($B$2:$B6607=$B6608, $A$2:$A6607+$C$2:$C6607)), "")*24*60, "")</f>
        <v/>
      </c>
      <c r="M6608" s="24" t="str" cm="1">
        <f t="array" ref="M6608">IFERROR(IF($B6608=M$1, ($A6608+$C6608) - MAX(IF($B$2:$B6607=$B6608, $A$2:$A6607+$C$2:$C6607)), "")*24*60, "")</f>
        <v/>
      </c>
      <c r="N6608" s="24" t="str" cm="1">
        <f t="array" ref="N6608">IFERROR(IF($B6608=N$1, ($A6608+$C6608) - MAX(IF($B$2:$B6607=$B6608, $A$2:$A6607+$C$2:$C6607)), "")*24*60, "")</f>
        <v/>
      </c>
      <c r="O6608" s="24" t="str" cm="1">
        <f t="array" ref="O6608">IFERROR(IF($B6608=O$1, ($A6608+$C6608) - MAX(IF($B$2:$B6607=$B6608, $A$2:$A6607+$C$2:$C6607)), "")*24*60, "")</f>
        <v/>
      </c>
      <c r="P6608" s="24" t="str" cm="1">
        <f t="array" ref="P6608">IFERROR(IF($B6608=P$1, ($A6608+$C6608) - MAX(IF($B$2:$B6607=$B6608, $A$2:$A6607+$C$2:$C6607)), "")*24*60, "")</f>
        <v/>
      </c>
      <c r="Q6608" s="24" t="str" cm="1">
        <f t="array" ref="Q6608">IFERROR(IF($B6608=Q$1, ($A6608+$C6608) - MAX(IF($B$2:$B6607=$B6608, $A$2:$A6607+$C$2:$C6607)), "")*24*60, "")</f>
        <v/>
      </c>
      <c r="R6608" s="24" t="str" cm="1">
        <f t="array" ref="R6608">IFERROR(IF($B6608=R$1, ($A6608+$C6608) - MAX(IF($B$2:$B6607=$B6608, $A$2:$A6607+$C$2:$C6607)), "")*24*60, "")</f>
        <v/>
      </c>
      <c r="S6608" s="24" t="str" cm="1">
        <f t="array" ref="S6608">IFERROR(IF($B6608=S$1, ($A6608+$C6608) - MAX(IF($B$2:$B6607=$B6608, $A$2:$A6607+$C$2:$C6607)), "")*24*60, "")</f>
        <v/>
      </c>
    </row>
    <row r="6609" spans="1:19" x14ac:dyDescent="0.2">
      <c r="A6609" s="12">
        <f t="shared" ref="A6609:C6609" si="1498">A6608</f>
        <v>45990</v>
      </c>
      <c r="B6609" s="5" t="str">
        <f t="shared" si="1498"/>
        <v>Northern Cardinal</v>
      </c>
      <c r="C6609" s="6">
        <f t="shared" si="1498"/>
        <v>0.28333333333333333</v>
      </c>
      <c r="D6609" s="5"/>
      <c r="E6609" s="5"/>
      <c r="F6609" s="5" t="s">
        <v>8</v>
      </c>
      <c r="G6609" s="15" t="s">
        <v>9</v>
      </c>
      <c r="H6609" s="24">
        <f t="shared" si="1251"/>
        <v>0</v>
      </c>
      <c r="I6609" s="24" cm="1">
        <f t="array" ref="I6609">IFERROR(IF($B6609=I$1, ($A6609+$C6609) - MAX(IF($B$2:$B6608=$B6609, $A$2:$A6608+$C$2:$C6608)), "")*24*60, "")</f>
        <v>0</v>
      </c>
      <c r="J6609" s="24" t="str" cm="1">
        <f t="array" ref="J6609">IFERROR(IF($B6609=J$1, ($A6609+$C6609) - MAX(IF($B$2:$B6608=$B6609, $A$2:$A6608+$C$2:$C6608)), "")*24*60, "")</f>
        <v/>
      </c>
      <c r="K6609" s="24" t="str" cm="1">
        <f t="array" ref="K6609">IFERROR(IF($B6609=K$1, ($A6609+$C6609) - MAX(IF($B$2:$B6608=$B6609, $A$2:$A6608+$C$2:$C6608)), "")*24*60, "")</f>
        <v/>
      </c>
      <c r="L6609" s="24" t="str" cm="1">
        <f t="array" ref="L6609">IFERROR(IF($B6609=L$1, ($A6609+$C6609) - MAX(IF($B$2:$B6608=$B6609, $A$2:$A6608+$C$2:$C6608)), "")*24*60, "")</f>
        <v/>
      </c>
      <c r="M6609" s="24" t="str" cm="1">
        <f t="array" ref="M6609">IFERROR(IF($B6609=M$1, ($A6609+$C6609) - MAX(IF($B$2:$B6608=$B6609, $A$2:$A6608+$C$2:$C6608)), "")*24*60, "")</f>
        <v/>
      </c>
      <c r="N6609" s="24" t="str" cm="1">
        <f t="array" ref="N6609">IFERROR(IF($B6609=N$1, ($A6609+$C6609) - MAX(IF($B$2:$B6608=$B6609, $A$2:$A6608+$C$2:$C6608)), "")*24*60, "")</f>
        <v/>
      </c>
      <c r="O6609" s="24" t="str" cm="1">
        <f t="array" ref="O6609">IFERROR(IF($B6609=O$1, ($A6609+$C6609) - MAX(IF($B$2:$B6608=$B6609, $A$2:$A6608+$C$2:$C6608)), "")*24*60, "")</f>
        <v/>
      </c>
      <c r="P6609" s="24" t="str" cm="1">
        <f t="array" ref="P6609">IFERROR(IF($B6609=P$1, ($A6609+$C6609) - MAX(IF($B$2:$B6608=$B6609, $A$2:$A6608+$C$2:$C6608)), "")*24*60, "")</f>
        <v/>
      </c>
      <c r="Q6609" s="24" t="str" cm="1">
        <f t="array" ref="Q6609">IFERROR(IF($B6609=Q$1, ($A6609+$C6609) - MAX(IF($B$2:$B6608=$B6609, $A$2:$A6608+$C$2:$C6608)), "")*24*60, "")</f>
        <v/>
      </c>
      <c r="R6609" s="24" t="str" cm="1">
        <f t="array" ref="R6609">IFERROR(IF($B6609=R$1, ($A6609+$C6609) - MAX(IF($B$2:$B6608=$B6609, $A$2:$A6608+$C$2:$C6608)), "")*24*60, "")</f>
        <v/>
      </c>
      <c r="S6609" s="24" t="str" cm="1">
        <f t="array" ref="S6609">IFERROR(IF($B6609=S$1, ($A6609+$C6609) - MAX(IF($B$2:$B6608=$B6609, $A$2:$A6608+$C$2:$C6608)), "")*24*60, "")</f>
        <v/>
      </c>
    </row>
    <row r="6610" spans="1:19" x14ac:dyDescent="0.2">
      <c r="A6610" s="12">
        <f t="shared" ref="A6610:C6610" si="1499">A6609</f>
        <v>45990</v>
      </c>
      <c r="B6610" s="5" t="str">
        <f t="shared" si="1499"/>
        <v>Northern Cardinal</v>
      </c>
      <c r="C6610" s="6">
        <f t="shared" si="1499"/>
        <v>0.28333333333333333</v>
      </c>
      <c r="D6610" s="5"/>
      <c r="E6610" s="5"/>
      <c r="F6610" s="5" t="s">
        <v>8</v>
      </c>
      <c r="G6610" s="15" t="s">
        <v>9</v>
      </c>
      <c r="H6610" s="24">
        <f t="shared" si="1251"/>
        <v>0</v>
      </c>
      <c r="I6610" s="24" cm="1">
        <f t="array" ref="I6610">IFERROR(IF($B6610=I$1, ($A6610+$C6610) - MAX(IF($B$2:$B6609=$B6610, $A$2:$A6609+$C$2:$C6609)), "")*24*60, "")</f>
        <v>0</v>
      </c>
      <c r="J6610" s="24" t="str" cm="1">
        <f t="array" ref="J6610">IFERROR(IF($B6610=J$1, ($A6610+$C6610) - MAX(IF($B$2:$B6609=$B6610, $A$2:$A6609+$C$2:$C6609)), "")*24*60, "")</f>
        <v/>
      </c>
      <c r="K6610" s="24" t="str" cm="1">
        <f t="array" ref="K6610">IFERROR(IF($B6610=K$1, ($A6610+$C6610) - MAX(IF($B$2:$B6609=$B6610, $A$2:$A6609+$C$2:$C6609)), "")*24*60, "")</f>
        <v/>
      </c>
      <c r="L6610" s="24" t="str" cm="1">
        <f t="array" ref="L6610">IFERROR(IF($B6610=L$1, ($A6610+$C6610) - MAX(IF($B$2:$B6609=$B6610, $A$2:$A6609+$C$2:$C6609)), "")*24*60, "")</f>
        <v/>
      </c>
      <c r="M6610" s="24" t="str" cm="1">
        <f t="array" ref="M6610">IFERROR(IF($B6610=M$1, ($A6610+$C6610) - MAX(IF($B$2:$B6609=$B6610, $A$2:$A6609+$C$2:$C6609)), "")*24*60, "")</f>
        <v/>
      </c>
      <c r="N6610" s="24" t="str" cm="1">
        <f t="array" ref="N6610">IFERROR(IF($B6610=N$1, ($A6610+$C6610) - MAX(IF($B$2:$B6609=$B6610, $A$2:$A6609+$C$2:$C6609)), "")*24*60, "")</f>
        <v/>
      </c>
      <c r="O6610" s="24" t="str" cm="1">
        <f t="array" ref="O6610">IFERROR(IF($B6610=O$1, ($A6610+$C6610) - MAX(IF($B$2:$B6609=$B6610, $A$2:$A6609+$C$2:$C6609)), "")*24*60, "")</f>
        <v/>
      </c>
      <c r="P6610" s="24" t="str" cm="1">
        <f t="array" ref="P6610">IFERROR(IF($B6610=P$1, ($A6610+$C6610) - MAX(IF($B$2:$B6609=$B6610, $A$2:$A6609+$C$2:$C6609)), "")*24*60, "")</f>
        <v/>
      </c>
      <c r="Q6610" s="24" t="str" cm="1">
        <f t="array" ref="Q6610">IFERROR(IF($B6610=Q$1, ($A6610+$C6610) - MAX(IF($B$2:$B6609=$B6610, $A$2:$A6609+$C$2:$C6609)), "")*24*60, "")</f>
        <v/>
      </c>
      <c r="R6610" s="24" t="str" cm="1">
        <f t="array" ref="R6610">IFERROR(IF($B6610=R$1, ($A6610+$C6610) - MAX(IF($B$2:$B6609=$B6610, $A$2:$A6609+$C$2:$C6609)), "")*24*60, "")</f>
        <v/>
      </c>
      <c r="S6610" s="24" t="str" cm="1">
        <f t="array" ref="S6610">IFERROR(IF($B6610=S$1, ($A6610+$C6610) - MAX(IF($B$2:$B6609=$B6610, $A$2:$A6609+$C$2:$C6609)), "")*24*60, "")</f>
        <v/>
      </c>
    </row>
    <row r="6611" spans="1:19" x14ac:dyDescent="0.2">
      <c r="A6611" s="12">
        <f t="shared" ref="A6611:C6611" si="1500">A6610</f>
        <v>45990</v>
      </c>
      <c r="B6611" s="5" t="str">
        <f t="shared" si="1500"/>
        <v>Northern Cardinal</v>
      </c>
      <c r="C6611" s="6">
        <f t="shared" si="1500"/>
        <v>0.28333333333333333</v>
      </c>
      <c r="D6611" s="5"/>
      <c r="E6611" s="5"/>
      <c r="F6611" s="5" t="s">
        <v>8</v>
      </c>
      <c r="G6611" s="15" t="s">
        <v>9</v>
      </c>
      <c r="H6611" s="24">
        <f t="shared" si="1251"/>
        <v>0</v>
      </c>
      <c r="I6611" s="24" cm="1">
        <f t="array" ref="I6611">IFERROR(IF($B6611=I$1, ($A6611+$C6611) - MAX(IF($B$2:$B6610=$B6611, $A$2:$A6610+$C$2:$C6610)), "")*24*60, "")</f>
        <v>0</v>
      </c>
      <c r="J6611" s="24" t="str" cm="1">
        <f t="array" ref="J6611">IFERROR(IF($B6611=J$1, ($A6611+$C6611) - MAX(IF($B$2:$B6610=$B6611, $A$2:$A6610+$C$2:$C6610)), "")*24*60, "")</f>
        <v/>
      </c>
      <c r="K6611" s="24" t="str" cm="1">
        <f t="array" ref="K6611">IFERROR(IF($B6611=K$1, ($A6611+$C6611) - MAX(IF($B$2:$B6610=$B6611, $A$2:$A6610+$C$2:$C6610)), "")*24*60, "")</f>
        <v/>
      </c>
      <c r="L6611" s="24" t="str" cm="1">
        <f t="array" ref="L6611">IFERROR(IF($B6611=L$1, ($A6611+$C6611) - MAX(IF($B$2:$B6610=$B6611, $A$2:$A6610+$C$2:$C6610)), "")*24*60, "")</f>
        <v/>
      </c>
      <c r="M6611" s="24" t="str" cm="1">
        <f t="array" ref="M6611">IFERROR(IF($B6611=M$1, ($A6611+$C6611) - MAX(IF($B$2:$B6610=$B6611, $A$2:$A6610+$C$2:$C6610)), "")*24*60, "")</f>
        <v/>
      </c>
      <c r="N6611" s="24" t="str" cm="1">
        <f t="array" ref="N6611">IFERROR(IF($B6611=N$1, ($A6611+$C6611) - MAX(IF($B$2:$B6610=$B6611, $A$2:$A6610+$C$2:$C6610)), "")*24*60, "")</f>
        <v/>
      </c>
      <c r="O6611" s="24" t="str" cm="1">
        <f t="array" ref="O6611">IFERROR(IF($B6611=O$1, ($A6611+$C6611) - MAX(IF($B$2:$B6610=$B6611, $A$2:$A6610+$C$2:$C6610)), "")*24*60, "")</f>
        <v/>
      </c>
      <c r="P6611" s="24" t="str" cm="1">
        <f t="array" ref="P6611">IFERROR(IF($B6611=P$1, ($A6611+$C6611) - MAX(IF($B$2:$B6610=$B6611, $A$2:$A6610+$C$2:$C6610)), "")*24*60, "")</f>
        <v/>
      </c>
      <c r="Q6611" s="24" t="str" cm="1">
        <f t="array" ref="Q6611">IFERROR(IF($B6611=Q$1, ($A6611+$C6611) - MAX(IF($B$2:$B6610=$B6611, $A$2:$A6610+$C$2:$C6610)), "")*24*60, "")</f>
        <v/>
      </c>
      <c r="R6611" s="24" t="str" cm="1">
        <f t="array" ref="R6611">IFERROR(IF($B6611=R$1, ($A6611+$C6611) - MAX(IF($B$2:$B6610=$B6611, $A$2:$A6610+$C$2:$C6610)), "")*24*60, "")</f>
        <v/>
      </c>
      <c r="S6611" s="24" t="str" cm="1">
        <f t="array" ref="S6611">IFERROR(IF($B6611=S$1, ($A6611+$C6611) - MAX(IF($B$2:$B6610=$B6611, $A$2:$A6610+$C$2:$C6610)), "")*24*60, "")</f>
        <v/>
      </c>
    </row>
    <row r="6612" spans="1:19" x14ac:dyDescent="0.2">
      <c r="A6612" s="12">
        <f t="shared" ref="A6612:C6612" si="1501">A6611</f>
        <v>45990</v>
      </c>
      <c r="B6612" s="5" t="str">
        <f t="shared" si="1501"/>
        <v>Northern Cardinal</v>
      </c>
      <c r="C6612" s="6">
        <f t="shared" si="1501"/>
        <v>0.28333333333333333</v>
      </c>
      <c r="D6612" s="5"/>
      <c r="E6612" s="5"/>
      <c r="F6612" s="5" t="s">
        <v>8</v>
      </c>
      <c r="G6612" s="15" t="s">
        <v>9</v>
      </c>
      <c r="H6612" s="24">
        <f t="shared" si="1251"/>
        <v>0</v>
      </c>
      <c r="I6612" s="24" cm="1">
        <f t="array" ref="I6612">IFERROR(IF($B6612=I$1, ($A6612+$C6612) - MAX(IF($B$2:$B6611=$B6612, $A$2:$A6611+$C$2:$C6611)), "")*24*60, "")</f>
        <v>0</v>
      </c>
      <c r="J6612" s="24" t="str" cm="1">
        <f t="array" ref="J6612">IFERROR(IF($B6612=J$1, ($A6612+$C6612) - MAX(IF($B$2:$B6611=$B6612, $A$2:$A6611+$C$2:$C6611)), "")*24*60, "")</f>
        <v/>
      </c>
      <c r="K6612" s="24" t="str" cm="1">
        <f t="array" ref="K6612">IFERROR(IF($B6612=K$1, ($A6612+$C6612) - MAX(IF($B$2:$B6611=$B6612, $A$2:$A6611+$C$2:$C6611)), "")*24*60, "")</f>
        <v/>
      </c>
      <c r="L6612" s="24" t="str" cm="1">
        <f t="array" ref="L6612">IFERROR(IF($B6612=L$1, ($A6612+$C6612) - MAX(IF($B$2:$B6611=$B6612, $A$2:$A6611+$C$2:$C6611)), "")*24*60, "")</f>
        <v/>
      </c>
      <c r="M6612" s="24" t="str" cm="1">
        <f t="array" ref="M6612">IFERROR(IF($B6612=M$1, ($A6612+$C6612) - MAX(IF($B$2:$B6611=$B6612, $A$2:$A6611+$C$2:$C6611)), "")*24*60, "")</f>
        <v/>
      </c>
      <c r="N6612" s="24" t="str" cm="1">
        <f t="array" ref="N6612">IFERROR(IF($B6612=N$1, ($A6612+$C6612) - MAX(IF($B$2:$B6611=$B6612, $A$2:$A6611+$C$2:$C6611)), "")*24*60, "")</f>
        <v/>
      </c>
      <c r="O6612" s="24" t="str" cm="1">
        <f t="array" ref="O6612">IFERROR(IF($B6612=O$1, ($A6612+$C6612) - MAX(IF($B$2:$B6611=$B6612, $A$2:$A6611+$C$2:$C6611)), "")*24*60, "")</f>
        <v/>
      </c>
      <c r="P6612" s="24" t="str" cm="1">
        <f t="array" ref="P6612">IFERROR(IF($B6612=P$1, ($A6612+$C6612) - MAX(IF($B$2:$B6611=$B6612, $A$2:$A6611+$C$2:$C6611)), "")*24*60, "")</f>
        <v/>
      </c>
      <c r="Q6612" s="24" t="str" cm="1">
        <f t="array" ref="Q6612">IFERROR(IF($B6612=Q$1, ($A6612+$C6612) - MAX(IF($B$2:$B6611=$B6612, $A$2:$A6611+$C$2:$C6611)), "")*24*60, "")</f>
        <v/>
      </c>
      <c r="R6612" s="24" t="str" cm="1">
        <f t="array" ref="R6612">IFERROR(IF($B6612=R$1, ($A6612+$C6612) - MAX(IF($B$2:$B6611=$B6612, $A$2:$A6611+$C$2:$C6611)), "")*24*60, "")</f>
        <v/>
      </c>
      <c r="S6612" s="24" t="str" cm="1">
        <f t="array" ref="S6612">IFERROR(IF($B6612=S$1, ($A6612+$C6612) - MAX(IF($B$2:$B6611=$B6612, $A$2:$A6611+$C$2:$C6611)), "")*24*60, "")</f>
        <v/>
      </c>
    </row>
    <row r="6613" spans="1:19" x14ac:dyDescent="0.2">
      <c r="A6613" s="12">
        <f t="shared" ref="A6613:C6613" si="1502">A6612</f>
        <v>45990</v>
      </c>
      <c r="B6613" s="5" t="str">
        <f t="shared" si="1502"/>
        <v>Northern Cardinal</v>
      </c>
      <c r="C6613" s="6">
        <f t="shared" si="1502"/>
        <v>0.28333333333333333</v>
      </c>
      <c r="D6613" s="5"/>
      <c r="E6613" s="5"/>
      <c r="F6613" s="5" t="s">
        <v>8</v>
      </c>
      <c r="G6613" s="15" t="s">
        <v>9</v>
      </c>
      <c r="H6613" s="24">
        <f t="shared" si="1251"/>
        <v>0</v>
      </c>
      <c r="I6613" s="24" cm="1">
        <f t="array" ref="I6613">IFERROR(IF($B6613=I$1, ($A6613+$C6613) - MAX(IF($B$2:$B6612=$B6613, $A$2:$A6612+$C$2:$C6612)), "")*24*60, "")</f>
        <v>0</v>
      </c>
      <c r="J6613" s="24" t="str" cm="1">
        <f t="array" ref="J6613">IFERROR(IF($B6613=J$1, ($A6613+$C6613) - MAX(IF($B$2:$B6612=$B6613, $A$2:$A6612+$C$2:$C6612)), "")*24*60, "")</f>
        <v/>
      </c>
      <c r="K6613" s="24" t="str" cm="1">
        <f t="array" ref="K6613">IFERROR(IF($B6613=K$1, ($A6613+$C6613) - MAX(IF($B$2:$B6612=$B6613, $A$2:$A6612+$C$2:$C6612)), "")*24*60, "")</f>
        <v/>
      </c>
      <c r="L6613" s="24" t="str" cm="1">
        <f t="array" ref="L6613">IFERROR(IF($B6613=L$1, ($A6613+$C6613) - MAX(IF($B$2:$B6612=$B6613, $A$2:$A6612+$C$2:$C6612)), "")*24*60, "")</f>
        <v/>
      </c>
      <c r="M6613" s="24" t="str" cm="1">
        <f t="array" ref="M6613">IFERROR(IF($B6613=M$1, ($A6613+$C6613) - MAX(IF($B$2:$B6612=$B6613, $A$2:$A6612+$C$2:$C6612)), "")*24*60, "")</f>
        <v/>
      </c>
      <c r="N6613" s="24" t="str" cm="1">
        <f t="array" ref="N6613">IFERROR(IF($B6613=N$1, ($A6613+$C6613) - MAX(IF($B$2:$B6612=$B6613, $A$2:$A6612+$C$2:$C6612)), "")*24*60, "")</f>
        <v/>
      </c>
      <c r="O6613" s="24" t="str" cm="1">
        <f t="array" ref="O6613">IFERROR(IF($B6613=O$1, ($A6613+$C6613) - MAX(IF($B$2:$B6612=$B6613, $A$2:$A6612+$C$2:$C6612)), "")*24*60, "")</f>
        <v/>
      </c>
      <c r="P6613" s="24" t="str" cm="1">
        <f t="array" ref="P6613">IFERROR(IF($B6613=P$1, ($A6613+$C6613) - MAX(IF($B$2:$B6612=$B6613, $A$2:$A6612+$C$2:$C6612)), "")*24*60, "")</f>
        <v/>
      </c>
      <c r="Q6613" s="24" t="str" cm="1">
        <f t="array" ref="Q6613">IFERROR(IF($B6613=Q$1, ($A6613+$C6613) - MAX(IF($B$2:$B6612=$B6613, $A$2:$A6612+$C$2:$C6612)), "")*24*60, "")</f>
        <v/>
      </c>
      <c r="R6613" s="24" t="str" cm="1">
        <f t="array" ref="R6613">IFERROR(IF($B6613=R$1, ($A6613+$C6613) - MAX(IF($B$2:$B6612=$B6613, $A$2:$A6612+$C$2:$C6612)), "")*24*60, "")</f>
        <v/>
      </c>
      <c r="S6613" s="24" t="str" cm="1">
        <f t="array" ref="S6613">IFERROR(IF($B6613=S$1, ($A6613+$C6613) - MAX(IF($B$2:$B6612=$B6613, $A$2:$A6612+$C$2:$C6612)), "")*24*60, "")</f>
        <v/>
      </c>
    </row>
    <row r="6614" spans="1:19" x14ac:dyDescent="0.2">
      <c r="A6614" s="12">
        <f t="shared" ref="A6614:C6614" si="1503">A6613</f>
        <v>45990</v>
      </c>
      <c r="B6614" s="5" t="str">
        <f t="shared" si="1503"/>
        <v>Northern Cardinal</v>
      </c>
      <c r="C6614" s="6">
        <f t="shared" si="1503"/>
        <v>0.28333333333333333</v>
      </c>
      <c r="D6614" s="5"/>
      <c r="E6614" s="5"/>
      <c r="F6614" s="5" t="s">
        <v>8</v>
      </c>
      <c r="G6614" s="15" t="s">
        <v>9</v>
      </c>
      <c r="H6614" s="24">
        <f t="shared" si="1251"/>
        <v>0</v>
      </c>
      <c r="I6614" s="24" cm="1">
        <f t="array" ref="I6614">IFERROR(IF($B6614=I$1, ($A6614+$C6614) - MAX(IF($B$2:$B6613=$B6614, $A$2:$A6613+$C$2:$C6613)), "")*24*60, "")</f>
        <v>0</v>
      </c>
      <c r="J6614" s="24" t="str" cm="1">
        <f t="array" ref="J6614">IFERROR(IF($B6614=J$1, ($A6614+$C6614) - MAX(IF($B$2:$B6613=$B6614, $A$2:$A6613+$C$2:$C6613)), "")*24*60, "")</f>
        <v/>
      </c>
      <c r="K6614" s="24" t="str" cm="1">
        <f t="array" ref="K6614">IFERROR(IF($B6614=K$1, ($A6614+$C6614) - MAX(IF($B$2:$B6613=$B6614, $A$2:$A6613+$C$2:$C6613)), "")*24*60, "")</f>
        <v/>
      </c>
      <c r="L6614" s="24" t="str" cm="1">
        <f t="array" ref="L6614">IFERROR(IF($B6614=L$1, ($A6614+$C6614) - MAX(IF($B$2:$B6613=$B6614, $A$2:$A6613+$C$2:$C6613)), "")*24*60, "")</f>
        <v/>
      </c>
      <c r="M6614" s="24" t="str" cm="1">
        <f t="array" ref="M6614">IFERROR(IF($B6614=M$1, ($A6614+$C6614) - MAX(IF($B$2:$B6613=$B6614, $A$2:$A6613+$C$2:$C6613)), "")*24*60, "")</f>
        <v/>
      </c>
      <c r="N6614" s="24" t="str" cm="1">
        <f t="array" ref="N6614">IFERROR(IF($B6614=N$1, ($A6614+$C6614) - MAX(IF($B$2:$B6613=$B6614, $A$2:$A6613+$C$2:$C6613)), "")*24*60, "")</f>
        <v/>
      </c>
      <c r="O6614" s="24" t="str" cm="1">
        <f t="array" ref="O6614">IFERROR(IF($B6614=O$1, ($A6614+$C6614) - MAX(IF($B$2:$B6613=$B6614, $A$2:$A6613+$C$2:$C6613)), "")*24*60, "")</f>
        <v/>
      </c>
      <c r="P6614" s="24" t="str" cm="1">
        <f t="array" ref="P6614">IFERROR(IF($B6614=P$1, ($A6614+$C6614) - MAX(IF($B$2:$B6613=$B6614, $A$2:$A6613+$C$2:$C6613)), "")*24*60, "")</f>
        <v/>
      </c>
      <c r="Q6614" s="24" t="str" cm="1">
        <f t="array" ref="Q6614">IFERROR(IF($B6614=Q$1, ($A6614+$C6614) - MAX(IF($B$2:$B6613=$B6614, $A$2:$A6613+$C$2:$C6613)), "")*24*60, "")</f>
        <v/>
      </c>
      <c r="R6614" s="24" t="str" cm="1">
        <f t="array" ref="R6614">IFERROR(IF($B6614=R$1, ($A6614+$C6614) - MAX(IF($B$2:$B6613=$B6614, $A$2:$A6613+$C$2:$C6613)), "")*24*60, "")</f>
        <v/>
      </c>
      <c r="S6614" s="24" t="str" cm="1">
        <f t="array" ref="S6614">IFERROR(IF($B6614=S$1, ($A6614+$C6614) - MAX(IF($B$2:$B6613=$B6614, $A$2:$A6613+$C$2:$C6613)), "")*24*60, "")</f>
        <v/>
      </c>
    </row>
    <row r="6615" spans="1:19" x14ac:dyDescent="0.2">
      <c r="A6615" s="12">
        <f t="shared" ref="A6615:C6615" si="1504">A6614</f>
        <v>45990</v>
      </c>
      <c r="B6615" s="5" t="str">
        <f t="shared" si="1504"/>
        <v>Northern Cardinal</v>
      </c>
      <c r="C6615" s="6">
        <f t="shared" si="1504"/>
        <v>0.28333333333333333</v>
      </c>
      <c r="D6615" s="5"/>
      <c r="E6615" s="5"/>
      <c r="F6615" s="5" t="s">
        <v>8</v>
      </c>
      <c r="G6615" s="15" t="s">
        <v>9</v>
      </c>
      <c r="H6615" s="24">
        <f t="shared" si="1251"/>
        <v>0</v>
      </c>
      <c r="I6615" s="24" cm="1">
        <f t="array" ref="I6615">IFERROR(IF($B6615=I$1, ($A6615+$C6615) - MAX(IF($B$2:$B6614=$B6615, $A$2:$A6614+$C$2:$C6614)), "")*24*60, "")</f>
        <v>0</v>
      </c>
      <c r="J6615" s="24" t="str" cm="1">
        <f t="array" ref="J6615">IFERROR(IF($B6615=J$1, ($A6615+$C6615) - MAX(IF($B$2:$B6614=$B6615, $A$2:$A6614+$C$2:$C6614)), "")*24*60, "")</f>
        <v/>
      </c>
      <c r="K6615" s="24" t="str" cm="1">
        <f t="array" ref="K6615">IFERROR(IF($B6615=K$1, ($A6615+$C6615) - MAX(IF($B$2:$B6614=$B6615, $A$2:$A6614+$C$2:$C6614)), "")*24*60, "")</f>
        <v/>
      </c>
      <c r="L6615" s="24" t="str" cm="1">
        <f t="array" ref="L6615">IFERROR(IF($B6615=L$1, ($A6615+$C6615) - MAX(IF($B$2:$B6614=$B6615, $A$2:$A6614+$C$2:$C6614)), "")*24*60, "")</f>
        <v/>
      </c>
      <c r="M6615" s="24" t="str" cm="1">
        <f t="array" ref="M6615">IFERROR(IF($B6615=M$1, ($A6615+$C6615) - MAX(IF($B$2:$B6614=$B6615, $A$2:$A6614+$C$2:$C6614)), "")*24*60, "")</f>
        <v/>
      </c>
      <c r="N6615" s="24" t="str" cm="1">
        <f t="array" ref="N6615">IFERROR(IF($B6615=N$1, ($A6615+$C6615) - MAX(IF($B$2:$B6614=$B6615, $A$2:$A6614+$C$2:$C6614)), "")*24*60, "")</f>
        <v/>
      </c>
      <c r="O6615" s="24" t="str" cm="1">
        <f t="array" ref="O6615">IFERROR(IF($B6615=O$1, ($A6615+$C6615) - MAX(IF($B$2:$B6614=$B6615, $A$2:$A6614+$C$2:$C6614)), "")*24*60, "")</f>
        <v/>
      </c>
      <c r="P6615" s="24" t="str" cm="1">
        <f t="array" ref="P6615">IFERROR(IF($B6615=P$1, ($A6615+$C6615) - MAX(IF($B$2:$B6614=$B6615, $A$2:$A6614+$C$2:$C6614)), "")*24*60, "")</f>
        <v/>
      </c>
      <c r="Q6615" s="24" t="str" cm="1">
        <f t="array" ref="Q6615">IFERROR(IF($B6615=Q$1, ($A6615+$C6615) - MAX(IF($B$2:$B6614=$B6615, $A$2:$A6614+$C$2:$C6614)), "")*24*60, "")</f>
        <v/>
      </c>
      <c r="R6615" s="24" t="str" cm="1">
        <f t="array" ref="R6615">IFERROR(IF($B6615=R$1, ($A6615+$C6615) - MAX(IF($B$2:$B6614=$B6615, $A$2:$A6614+$C$2:$C6614)), "")*24*60, "")</f>
        <v/>
      </c>
      <c r="S6615" s="24" t="str" cm="1">
        <f t="array" ref="S6615">IFERROR(IF($B6615=S$1, ($A6615+$C6615) - MAX(IF($B$2:$B6614=$B6615, $A$2:$A6614+$C$2:$C6614)), "")*24*60, "")</f>
        <v/>
      </c>
    </row>
    <row r="6616" spans="1:19" x14ac:dyDescent="0.2">
      <c r="A6616" s="12">
        <f t="shared" ref="A6616:C6616" si="1505">A6615</f>
        <v>45990</v>
      </c>
      <c r="B6616" s="5" t="str">
        <f t="shared" si="1505"/>
        <v>Northern Cardinal</v>
      </c>
      <c r="C6616" s="6">
        <f t="shared" si="1505"/>
        <v>0.28333333333333333</v>
      </c>
      <c r="D6616" s="5"/>
      <c r="E6616" s="5"/>
      <c r="F6616" s="5" t="s">
        <v>8</v>
      </c>
      <c r="G6616" s="15" t="s">
        <v>9</v>
      </c>
      <c r="H6616" s="24">
        <f t="shared" si="1251"/>
        <v>0</v>
      </c>
      <c r="I6616" s="24" cm="1">
        <f t="array" ref="I6616">IFERROR(IF($B6616=I$1, ($A6616+$C6616) - MAX(IF($B$2:$B6615=$B6616, $A$2:$A6615+$C$2:$C6615)), "")*24*60, "")</f>
        <v>0</v>
      </c>
      <c r="J6616" s="24" t="str" cm="1">
        <f t="array" ref="J6616">IFERROR(IF($B6616=J$1, ($A6616+$C6616) - MAX(IF($B$2:$B6615=$B6616, $A$2:$A6615+$C$2:$C6615)), "")*24*60, "")</f>
        <v/>
      </c>
      <c r="K6616" s="24" t="str" cm="1">
        <f t="array" ref="K6616">IFERROR(IF($B6616=K$1, ($A6616+$C6616) - MAX(IF($B$2:$B6615=$B6616, $A$2:$A6615+$C$2:$C6615)), "")*24*60, "")</f>
        <v/>
      </c>
      <c r="L6616" s="24" t="str" cm="1">
        <f t="array" ref="L6616">IFERROR(IF($B6616=L$1, ($A6616+$C6616) - MAX(IF($B$2:$B6615=$B6616, $A$2:$A6615+$C$2:$C6615)), "")*24*60, "")</f>
        <v/>
      </c>
      <c r="M6616" s="24" t="str" cm="1">
        <f t="array" ref="M6616">IFERROR(IF($B6616=M$1, ($A6616+$C6616) - MAX(IF($B$2:$B6615=$B6616, $A$2:$A6615+$C$2:$C6615)), "")*24*60, "")</f>
        <v/>
      </c>
      <c r="N6616" s="24" t="str" cm="1">
        <f t="array" ref="N6616">IFERROR(IF($B6616=N$1, ($A6616+$C6616) - MAX(IF($B$2:$B6615=$B6616, $A$2:$A6615+$C$2:$C6615)), "")*24*60, "")</f>
        <v/>
      </c>
      <c r="O6616" s="24" t="str" cm="1">
        <f t="array" ref="O6616">IFERROR(IF($B6616=O$1, ($A6616+$C6616) - MAX(IF($B$2:$B6615=$B6616, $A$2:$A6615+$C$2:$C6615)), "")*24*60, "")</f>
        <v/>
      </c>
      <c r="P6616" s="24" t="str" cm="1">
        <f t="array" ref="P6616">IFERROR(IF($B6616=P$1, ($A6616+$C6616) - MAX(IF($B$2:$B6615=$B6616, $A$2:$A6615+$C$2:$C6615)), "")*24*60, "")</f>
        <v/>
      </c>
      <c r="Q6616" s="24" t="str" cm="1">
        <f t="array" ref="Q6616">IFERROR(IF($B6616=Q$1, ($A6616+$C6616) - MAX(IF($B$2:$B6615=$B6616, $A$2:$A6615+$C$2:$C6615)), "")*24*60, "")</f>
        <v/>
      </c>
      <c r="R6616" s="24" t="str" cm="1">
        <f t="array" ref="R6616">IFERROR(IF($B6616=R$1, ($A6616+$C6616) - MAX(IF($B$2:$B6615=$B6616, $A$2:$A6615+$C$2:$C6615)), "")*24*60, "")</f>
        <v/>
      </c>
      <c r="S6616" s="24" t="str" cm="1">
        <f t="array" ref="S6616">IFERROR(IF($B6616=S$1, ($A6616+$C6616) - MAX(IF($B$2:$B6615=$B6616, $A$2:$A6615+$C$2:$C6615)), "")*24*60, "")</f>
        <v/>
      </c>
    </row>
    <row r="6617" spans="1:19" x14ac:dyDescent="0.2">
      <c r="A6617" s="12">
        <f t="shared" ref="A6617:C6617" si="1506">A6616</f>
        <v>45990</v>
      </c>
      <c r="B6617" s="5" t="str">
        <f t="shared" si="1506"/>
        <v>Northern Cardinal</v>
      </c>
      <c r="C6617" s="6">
        <f t="shared" si="1506"/>
        <v>0.28333333333333333</v>
      </c>
      <c r="D6617" s="5"/>
      <c r="E6617" s="5"/>
      <c r="F6617" s="5" t="s">
        <v>8</v>
      </c>
      <c r="G6617" s="15" t="s">
        <v>9</v>
      </c>
      <c r="H6617" s="24">
        <f t="shared" ref="H6617:H6680" si="1507">IFERROR((($A6617+$C6617) - ($A6616+$C6616))*24*60, "")</f>
        <v>0</v>
      </c>
      <c r="I6617" s="24" cm="1">
        <f t="array" ref="I6617">IFERROR(IF($B6617=I$1, ($A6617+$C6617) - MAX(IF($B$2:$B6616=$B6617, $A$2:$A6616+$C$2:$C6616)), "")*24*60, "")</f>
        <v>0</v>
      </c>
      <c r="J6617" s="24" t="str" cm="1">
        <f t="array" ref="J6617">IFERROR(IF($B6617=J$1, ($A6617+$C6617) - MAX(IF($B$2:$B6616=$B6617, $A$2:$A6616+$C$2:$C6616)), "")*24*60, "")</f>
        <v/>
      </c>
      <c r="K6617" s="24" t="str" cm="1">
        <f t="array" ref="K6617">IFERROR(IF($B6617=K$1, ($A6617+$C6617) - MAX(IF($B$2:$B6616=$B6617, $A$2:$A6616+$C$2:$C6616)), "")*24*60, "")</f>
        <v/>
      </c>
      <c r="L6617" s="24" t="str" cm="1">
        <f t="array" ref="L6617">IFERROR(IF($B6617=L$1, ($A6617+$C6617) - MAX(IF($B$2:$B6616=$B6617, $A$2:$A6616+$C$2:$C6616)), "")*24*60, "")</f>
        <v/>
      </c>
      <c r="M6617" s="24" t="str" cm="1">
        <f t="array" ref="M6617">IFERROR(IF($B6617=M$1, ($A6617+$C6617) - MAX(IF($B$2:$B6616=$B6617, $A$2:$A6616+$C$2:$C6616)), "")*24*60, "")</f>
        <v/>
      </c>
      <c r="N6617" s="24" t="str" cm="1">
        <f t="array" ref="N6617">IFERROR(IF($B6617=N$1, ($A6617+$C6617) - MAX(IF($B$2:$B6616=$B6617, $A$2:$A6616+$C$2:$C6616)), "")*24*60, "")</f>
        <v/>
      </c>
      <c r="O6617" s="24" t="str" cm="1">
        <f t="array" ref="O6617">IFERROR(IF($B6617=O$1, ($A6617+$C6617) - MAX(IF($B$2:$B6616=$B6617, $A$2:$A6616+$C$2:$C6616)), "")*24*60, "")</f>
        <v/>
      </c>
      <c r="P6617" s="24" t="str" cm="1">
        <f t="array" ref="P6617">IFERROR(IF($B6617=P$1, ($A6617+$C6617) - MAX(IF($B$2:$B6616=$B6617, $A$2:$A6616+$C$2:$C6616)), "")*24*60, "")</f>
        <v/>
      </c>
      <c r="Q6617" s="24" t="str" cm="1">
        <f t="array" ref="Q6617">IFERROR(IF($B6617=Q$1, ($A6617+$C6617) - MAX(IF($B$2:$B6616=$B6617, $A$2:$A6616+$C$2:$C6616)), "")*24*60, "")</f>
        <v/>
      </c>
      <c r="R6617" s="24" t="str" cm="1">
        <f t="array" ref="R6617">IFERROR(IF($B6617=R$1, ($A6617+$C6617) - MAX(IF($B$2:$B6616=$B6617, $A$2:$A6616+$C$2:$C6616)), "")*24*60, "")</f>
        <v/>
      </c>
      <c r="S6617" s="24" t="str" cm="1">
        <f t="array" ref="S6617">IFERROR(IF($B6617=S$1, ($A6617+$C6617) - MAX(IF($B$2:$B6616=$B6617, $A$2:$A6616+$C$2:$C6616)), "")*24*60, "")</f>
        <v/>
      </c>
    </row>
    <row r="6618" spans="1:19" x14ac:dyDescent="0.2">
      <c r="A6618" s="12">
        <f t="shared" ref="A6618:C6618" si="1508">A6617</f>
        <v>45990</v>
      </c>
      <c r="B6618" s="5" t="str">
        <f t="shared" si="1508"/>
        <v>Northern Cardinal</v>
      </c>
      <c r="C6618" s="6">
        <f t="shared" si="1508"/>
        <v>0.28333333333333333</v>
      </c>
      <c r="D6618" s="5"/>
      <c r="E6618" s="5"/>
      <c r="F6618" s="5" t="s">
        <v>8</v>
      </c>
      <c r="G6618" s="15" t="s">
        <v>9</v>
      </c>
      <c r="H6618" s="24">
        <f t="shared" si="1507"/>
        <v>0</v>
      </c>
      <c r="I6618" s="24" cm="1">
        <f t="array" ref="I6618">IFERROR(IF($B6618=I$1, ($A6618+$C6618) - MAX(IF($B$2:$B6617=$B6618, $A$2:$A6617+$C$2:$C6617)), "")*24*60, "")</f>
        <v>0</v>
      </c>
      <c r="J6618" s="24" t="str" cm="1">
        <f t="array" ref="J6618">IFERROR(IF($B6618=J$1, ($A6618+$C6618) - MAX(IF($B$2:$B6617=$B6618, $A$2:$A6617+$C$2:$C6617)), "")*24*60, "")</f>
        <v/>
      </c>
      <c r="K6618" s="24" t="str" cm="1">
        <f t="array" ref="K6618">IFERROR(IF($B6618=K$1, ($A6618+$C6618) - MAX(IF($B$2:$B6617=$B6618, $A$2:$A6617+$C$2:$C6617)), "")*24*60, "")</f>
        <v/>
      </c>
      <c r="L6618" s="24" t="str" cm="1">
        <f t="array" ref="L6618">IFERROR(IF($B6618=L$1, ($A6618+$C6618) - MAX(IF($B$2:$B6617=$B6618, $A$2:$A6617+$C$2:$C6617)), "")*24*60, "")</f>
        <v/>
      </c>
      <c r="M6618" s="24" t="str" cm="1">
        <f t="array" ref="M6618">IFERROR(IF($B6618=M$1, ($A6618+$C6618) - MAX(IF($B$2:$B6617=$B6618, $A$2:$A6617+$C$2:$C6617)), "")*24*60, "")</f>
        <v/>
      </c>
      <c r="N6618" s="24" t="str" cm="1">
        <f t="array" ref="N6618">IFERROR(IF($B6618=N$1, ($A6618+$C6618) - MAX(IF($B$2:$B6617=$B6618, $A$2:$A6617+$C$2:$C6617)), "")*24*60, "")</f>
        <v/>
      </c>
      <c r="O6618" s="24" t="str" cm="1">
        <f t="array" ref="O6618">IFERROR(IF($B6618=O$1, ($A6618+$C6618) - MAX(IF($B$2:$B6617=$B6618, $A$2:$A6617+$C$2:$C6617)), "")*24*60, "")</f>
        <v/>
      </c>
      <c r="P6618" s="24" t="str" cm="1">
        <f t="array" ref="P6618">IFERROR(IF($B6618=P$1, ($A6618+$C6618) - MAX(IF($B$2:$B6617=$B6618, $A$2:$A6617+$C$2:$C6617)), "")*24*60, "")</f>
        <v/>
      </c>
      <c r="Q6618" s="24" t="str" cm="1">
        <f t="array" ref="Q6618">IFERROR(IF($B6618=Q$1, ($A6618+$C6618) - MAX(IF($B$2:$B6617=$B6618, $A$2:$A6617+$C$2:$C6617)), "")*24*60, "")</f>
        <v/>
      </c>
      <c r="R6618" s="24" t="str" cm="1">
        <f t="array" ref="R6618">IFERROR(IF($B6618=R$1, ($A6618+$C6618) - MAX(IF($B$2:$B6617=$B6618, $A$2:$A6617+$C$2:$C6617)), "")*24*60, "")</f>
        <v/>
      </c>
      <c r="S6618" s="24" t="str" cm="1">
        <f t="array" ref="S6618">IFERROR(IF($B6618=S$1, ($A6618+$C6618) - MAX(IF($B$2:$B6617=$B6618, $A$2:$A6617+$C$2:$C6617)), "")*24*60, "")</f>
        <v/>
      </c>
    </row>
    <row r="6619" spans="1:19" x14ac:dyDescent="0.2">
      <c r="A6619" s="12">
        <f t="shared" ref="A6619:C6619" si="1509">A6618</f>
        <v>45990</v>
      </c>
      <c r="B6619" s="5" t="str">
        <f t="shared" si="1509"/>
        <v>Northern Cardinal</v>
      </c>
      <c r="C6619" s="6">
        <f t="shared" si="1509"/>
        <v>0.28333333333333333</v>
      </c>
      <c r="D6619" s="5"/>
      <c r="E6619" s="5"/>
      <c r="F6619" s="5" t="s">
        <v>8</v>
      </c>
      <c r="G6619" s="15" t="s">
        <v>9</v>
      </c>
      <c r="H6619" s="24">
        <f t="shared" si="1507"/>
        <v>0</v>
      </c>
      <c r="I6619" s="24" cm="1">
        <f t="array" ref="I6619">IFERROR(IF($B6619=I$1, ($A6619+$C6619) - MAX(IF($B$2:$B6618=$B6619, $A$2:$A6618+$C$2:$C6618)), "")*24*60, "")</f>
        <v>0</v>
      </c>
      <c r="J6619" s="24" t="str" cm="1">
        <f t="array" ref="J6619">IFERROR(IF($B6619=J$1, ($A6619+$C6619) - MAX(IF($B$2:$B6618=$B6619, $A$2:$A6618+$C$2:$C6618)), "")*24*60, "")</f>
        <v/>
      </c>
      <c r="K6619" s="24" t="str" cm="1">
        <f t="array" ref="K6619">IFERROR(IF($B6619=K$1, ($A6619+$C6619) - MAX(IF($B$2:$B6618=$B6619, $A$2:$A6618+$C$2:$C6618)), "")*24*60, "")</f>
        <v/>
      </c>
      <c r="L6619" s="24" t="str" cm="1">
        <f t="array" ref="L6619">IFERROR(IF($B6619=L$1, ($A6619+$C6619) - MAX(IF($B$2:$B6618=$B6619, $A$2:$A6618+$C$2:$C6618)), "")*24*60, "")</f>
        <v/>
      </c>
      <c r="M6619" s="24" t="str" cm="1">
        <f t="array" ref="M6619">IFERROR(IF($B6619=M$1, ($A6619+$C6619) - MAX(IF($B$2:$B6618=$B6619, $A$2:$A6618+$C$2:$C6618)), "")*24*60, "")</f>
        <v/>
      </c>
      <c r="N6619" s="24" t="str" cm="1">
        <f t="array" ref="N6619">IFERROR(IF($B6619=N$1, ($A6619+$C6619) - MAX(IF($B$2:$B6618=$B6619, $A$2:$A6618+$C$2:$C6618)), "")*24*60, "")</f>
        <v/>
      </c>
      <c r="O6619" s="24" t="str" cm="1">
        <f t="array" ref="O6619">IFERROR(IF($B6619=O$1, ($A6619+$C6619) - MAX(IF($B$2:$B6618=$B6619, $A$2:$A6618+$C$2:$C6618)), "")*24*60, "")</f>
        <v/>
      </c>
      <c r="P6619" s="24" t="str" cm="1">
        <f t="array" ref="P6619">IFERROR(IF($B6619=P$1, ($A6619+$C6619) - MAX(IF($B$2:$B6618=$B6619, $A$2:$A6618+$C$2:$C6618)), "")*24*60, "")</f>
        <v/>
      </c>
      <c r="Q6619" s="24" t="str" cm="1">
        <f t="array" ref="Q6619">IFERROR(IF($B6619=Q$1, ($A6619+$C6619) - MAX(IF($B$2:$B6618=$B6619, $A$2:$A6618+$C$2:$C6618)), "")*24*60, "")</f>
        <v/>
      </c>
      <c r="R6619" s="24" t="str" cm="1">
        <f t="array" ref="R6619">IFERROR(IF($B6619=R$1, ($A6619+$C6619) - MAX(IF($B$2:$B6618=$B6619, $A$2:$A6618+$C$2:$C6618)), "")*24*60, "")</f>
        <v/>
      </c>
      <c r="S6619" s="24" t="str" cm="1">
        <f t="array" ref="S6619">IFERROR(IF($B6619=S$1, ($A6619+$C6619) - MAX(IF($B$2:$B6618=$B6619, $A$2:$A6618+$C$2:$C6618)), "")*24*60, "")</f>
        <v/>
      </c>
    </row>
    <row r="6620" spans="1:19" x14ac:dyDescent="0.2">
      <c r="A6620" s="12">
        <f t="shared" ref="A6620:C6620" si="1510">A6619</f>
        <v>45990</v>
      </c>
      <c r="B6620" s="5" t="str">
        <f t="shared" si="1510"/>
        <v>Northern Cardinal</v>
      </c>
      <c r="C6620" s="6">
        <f t="shared" si="1510"/>
        <v>0.28333333333333333</v>
      </c>
      <c r="D6620" s="5"/>
      <c r="E6620" s="5"/>
      <c r="F6620" s="5" t="s">
        <v>8</v>
      </c>
      <c r="G6620" s="15" t="s">
        <v>9</v>
      </c>
      <c r="H6620" s="24">
        <f t="shared" si="1507"/>
        <v>0</v>
      </c>
      <c r="I6620" s="24" cm="1">
        <f t="array" ref="I6620">IFERROR(IF($B6620=I$1, ($A6620+$C6620) - MAX(IF($B$2:$B6619=$B6620, $A$2:$A6619+$C$2:$C6619)), "")*24*60, "")</f>
        <v>0</v>
      </c>
      <c r="J6620" s="24" t="str" cm="1">
        <f t="array" ref="J6620">IFERROR(IF($B6620=J$1, ($A6620+$C6620) - MAX(IF($B$2:$B6619=$B6620, $A$2:$A6619+$C$2:$C6619)), "")*24*60, "")</f>
        <v/>
      </c>
      <c r="K6620" s="24" t="str" cm="1">
        <f t="array" ref="K6620">IFERROR(IF($B6620=K$1, ($A6620+$C6620) - MAX(IF($B$2:$B6619=$B6620, $A$2:$A6619+$C$2:$C6619)), "")*24*60, "")</f>
        <v/>
      </c>
      <c r="L6620" s="24" t="str" cm="1">
        <f t="array" ref="L6620">IFERROR(IF($B6620=L$1, ($A6620+$C6620) - MAX(IF($B$2:$B6619=$B6620, $A$2:$A6619+$C$2:$C6619)), "")*24*60, "")</f>
        <v/>
      </c>
      <c r="M6620" s="24" t="str" cm="1">
        <f t="array" ref="M6620">IFERROR(IF($B6620=M$1, ($A6620+$C6620) - MAX(IF($B$2:$B6619=$B6620, $A$2:$A6619+$C$2:$C6619)), "")*24*60, "")</f>
        <v/>
      </c>
      <c r="N6620" s="24" t="str" cm="1">
        <f t="array" ref="N6620">IFERROR(IF($B6620=N$1, ($A6620+$C6620) - MAX(IF($B$2:$B6619=$B6620, $A$2:$A6619+$C$2:$C6619)), "")*24*60, "")</f>
        <v/>
      </c>
      <c r="O6620" s="24" t="str" cm="1">
        <f t="array" ref="O6620">IFERROR(IF($B6620=O$1, ($A6620+$C6620) - MAX(IF($B$2:$B6619=$B6620, $A$2:$A6619+$C$2:$C6619)), "")*24*60, "")</f>
        <v/>
      </c>
      <c r="P6620" s="24" t="str" cm="1">
        <f t="array" ref="P6620">IFERROR(IF($B6620=P$1, ($A6620+$C6620) - MAX(IF($B$2:$B6619=$B6620, $A$2:$A6619+$C$2:$C6619)), "")*24*60, "")</f>
        <v/>
      </c>
      <c r="Q6620" s="24" t="str" cm="1">
        <f t="array" ref="Q6620">IFERROR(IF($B6620=Q$1, ($A6620+$C6620) - MAX(IF($B$2:$B6619=$B6620, $A$2:$A6619+$C$2:$C6619)), "")*24*60, "")</f>
        <v/>
      </c>
      <c r="R6620" s="24" t="str" cm="1">
        <f t="array" ref="R6620">IFERROR(IF($B6620=R$1, ($A6620+$C6620) - MAX(IF($B$2:$B6619=$B6620, $A$2:$A6619+$C$2:$C6619)), "")*24*60, "")</f>
        <v/>
      </c>
      <c r="S6620" s="24" t="str" cm="1">
        <f t="array" ref="S6620">IFERROR(IF($B6620=S$1, ($A6620+$C6620) - MAX(IF($B$2:$B6619=$B6620, $A$2:$A6619+$C$2:$C6619)), "")*24*60, "")</f>
        <v/>
      </c>
    </row>
    <row r="6621" spans="1:19" x14ac:dyDescent="0.2">
      <c r="A6621" s="12">
        <f t="shared" ref="A6621:C6621" si="1511">A6620</f>
        <v>45990</v>
      </c>
      <c r="B6621" s="5" t="str">
        <f t="shared" si="1511"/>
        <v>Northern Cardinal</v>
      </c>
      <c r="C6621" s="6">
        <f t="shared" si="1511"/>
        <v>0.28333333333333333</v>
      </c>
      <c r="D6621" s="5"/>
      <c r="E6621" s="5"/>
      <c r="F6621" s="5" t="s">
        <v>8</v>
      </c>
      <c r="G6621" s="15" t="s">
        <v>9</v>
      </c>
      <c r="H6621" s="24">
        <f t="shared" si="1507"/>
        <v>0</v>
      </c>
      <c r="I6621" s="24" cm="1">
        <f t="array" ref="I6621">IFERROR(IF($B6621=I$1, ($A6621+$C6621) - MAX(IF($B$2:$B6620=$B6621, $A$2:$A6620+$C$2:$C6620)), "")*24*60, "")</f>
        <v>0</v>
      </c>
      <c r="J6621" s="24" t="str" cm="1">
        <f t="array" ref="J6621">IFERROR(IF($B6621=J$1, ($A6621+$C6621) - MAX(IF($B$2:$B6620=$B6621, $A$2:$A6620+$C$2:$C6620)), "")*24*60, "")</f>
        <v/>
      </c>
      <c r="K6621" s="24" t="str" cm="1">
        <f t="array" ref="K6621">IFERROR(IF($B6621=K$1, ($A6621+$C6621) - MAX(IF($B$2:$B6620=$B6621, $A$2:$A6620+$C$2:$C6620)), "")*24*60, "")</f>
        <v/>
      </c>
      <c r="L6621" s="24" t="str" cm="1">
        <f t="array" ref="L6621">IFERROR(IF($B6621=L$1, ($A6621+$C6621) - MAX(IF($B$2:$B6620=$B6621, $A$2:$A6620+$C$2:$C6620)), "")*24*60, "")</f>
        <v/>
      </c>
      <c r="M6621" s="24" t="str" cm="1">
        <f t="array" ref="M6621">IFERROR(IF($B6621=M$1, ($A6621+$C6621) - MAX(IF($B$2:$B6620=$B6621, $A$2:$A6620+$C$2:$C6620)), "")*24*60, "")</f>
        <v/>
      </c>
      <c r="N6621" s="24" t="str" cm="1">
        <f t="array" ref="N6621">IFERROR(IF($B6621=N$1, ($A6621+$C6621) - MAX(IF($B$2:$B6620=$B6621, $A$2:$A6620+$C$2:$C6620)), "")*24*60, "")</f>
        <v/>
      </c>
      <c r="O6621" s="24" t="str" cm="1">
        <f t="array" ref="O6621">IFERROR(IF($B6621=O$1, ($A6621+$C6621) - MAX(IF($B$2:$B6620=$B6621, $A$2:$A6620+$C$2:$C6620)), "")*24*60, "")</f>
        <v/>
      </c>
      <c r="P6621" s="24" t="str" cm="1">
        <f t="array" ref="P6621">IFERROR(IF($B6621=P$1, ($A6621+$C6621) - MAX(IF($B$2:$B6620=$B6621, $A$2:$A6620+$C$2:$C6620)), "")*24*60, "")</f>
        <v/>
      </c>
      <c r="Q6621" s="24" t="str" cm="1">
        <f t="array" ref="Q6621">IFERROR(IF($B6621=Q$1, ($A6621+$C6621) - MAX(IF($B$2:$B6620=$B6621, $A$2:$A6620+$C$2:$C6620)), "")*24*60, "")</f>
        <v/>
      </c>
      <c r="R6621" s="24" t="str" cm="1">
        <f t="array" ref="R6621">IFERROR(IF($B6621=R$1, ($A6621+$C6621) - MAX(IF($B$2:$B6620=$B6621, $A$2:$A6620+$C$2:$C6620)), "")*24*60, "")</f>
        <v/>
      </c>
      <c r="S6621" s="24" t="str" cm="1">
        <f t="array" ref="S6621">IFERROR(IF($B6621=S$1, ($A6621+$C6621) - MAX(IF($B$2:$B6620=$B6621, $A$2:$A6620+$C$2:$C6620)), "")*24*60, "")</f>
        <v/>
      </c>
    </row>
    <row r="6622" spans="1:19" x14ac:dyDescent="0.2">
      <c r="A6622" s="12">
        <f t="shared" ref="A6622:C6622" si="1512">A6621</f>
        <v>45990</v>
      </c>
      <c r="B6622" s="5" t="str">
        <f t="shared" si="1512"/>
        <v>Northern Cardinal</v>
      </c>
      <c r="C6622" s="6">
        <f t="shared" si="1512"/>
        <v>0.28333333333333333</v>
      </c>
      <c r="D6622" s="5"/>
      <c r="E6622" s="5"/>
      <c r="F6622" s="5" t="s">
        <v>8</v>
      </c>
      <c r="G6622" s="15" t="s">
        <v>9</v>
      </c>
      <c r="H6622" s="24">
        <f t="shared" si="1507"/>
        <v>0</v>
      </c>
      <c r="I6622" s="24" cm="1">
        <f t="array" ref="I6622">IFERROR(IF($B6622=I$1, ($A6622+$C6622) - MAX(IF($B$2:$B6621=$B6622, $A$2:$A6621+$C$2:$C6621)), "")*24*60, "")</f>
        <v>0</v>
      </c>
      <c r="J6622" s="24" t="str" cm="1">
        <f t="array" ref="J6622">IFERROR(IF($B6622=J$1, ($A6622+$C6622) - MAX(IF($B$2:$B6621=$B6622, $A$2:$A6621+$C$2:$C6621)), "")*24*60, "")</f>
        <v/>
      </c>
      <c r="K6622" s="24" t="str" cm="1">
        <f t="array" ref="K6622">IFERROR(IF($B6622=K$1, ($A6622+$C6622) - MAX(IF($B$2:$B6621=$B6622, $A$2:$A6621+$C$2:$C6621)), "")*24*60, "")</f>
        <v/>
      </c>
      <c r="L6622" s="24" t="str" cm="1">
        <f t="array" ref="L6622">IFERROR(IF($B6622=L$1, ($A6622+$C6622) - MAX(IF($B$2:$B6621=$B6622, $A$2:$A6621+$C$2:$C6621)), "")*24*60, "")</f>
        <v/>
      </c>
      <c r="M6622" s="24" t="str" cm="1">
        <f t="array" ref="M6622">IFERROR(IF($B6622=M$1, ($A6622+$C6622) - MAX(IF($B$2:$B6621=$B6622, $A$2:$A6621+$C$2:$C6621)), "")*24*60, "")</f>
        <v/>
      </c>
      <c r="N6622" s="24" t="str" cm="1">
        <f t="array" ref="N6622">IFERROR(IF($B6622=N$1, ($A6622+$C6622) - MAX(IF($B$2:$B6621=$B6622, $A$2:$A6621+$C$2:$C6621)), "")*24*60, "")</f>
        <v/>
      </c>
      <c r="O6622" s="24" t="str" cm="1">
        <f t="array" ref="O6622">IFERROR(IF($B6622=O$1, ($A6622+$C6622) - MAX(IF($B$2:$B6621=$B6622, $A$2:$A6621+$C$2:$C6621)), "")*24*60, "")</f>
        <v/>
      </c>
      <c r="P6622" s="24" t="str" cm="1">
        <f t="array" ref="P6622">IFERROR(IF($B6622=P$1, ($A6622+$C6622) - MAX(IF($B$2:$B6621=$B6622, $A$2:$A6621+$C$2:$C6621)), "")*24*60, "")</f>
        <v/>
      </c>
      <c r="Q6622" s="24" t="str" cm="1">
        <f t="array" ref="Q6622">IFERROR(IF($B6622=Q$1, ($A6622+$C6622) - MAX(IF($B$2:$B6621=$B6622, $A$2:$A6621+$C$2:$C6621)), "")*24*60, "")</f>
        <v/>
      </c>
      <c r="R6622" s="24" t="str" cm="1">
        <f t="array" ref="R6622">IFERROR(IF($B6622=R$1, ($A6622+$C6622) - MAX(IF($B$2:$B6621=$B6622, $A$2:$A6621+$C$2:$C6621)), "")*24*60, "")</f>
        <v/>
      </c>
      <c r="S6622" s="24" t="str" cm="1">
        <f t="array" ref="S6622">IFERROR(IF($B6622=S$1, ($A6622+$C6622) - MAX(IF($B$2:$B6621=$B6622, $A$2:$A6621+$C$2:$C6621)), "")*24*60, "")</f>
        <v/>
      </c>
    </row>
    <row r="6623" spans="1:19" x14ac:dyDescent="0.2">
      <c r="A6623" s="12">
        <f t="shared" ref="A6623:C6623" si="1513">A6622</f>
        <v>45990</v>
      </c>
      <c r="B6623" s="5" t="str">
        <f t="shared" si="1513"/>
        <v>Northern Cardinal</v>
      </c>
      <c r="C6623" s="6">
        <f t="shared" si="1513"/>
        <v>0.28333333333333333</v>
      </c>
      <c r="D6623" s="5"/>
      <c r="E6623" s="5"/>
      <c r="F6623" s="5" t="s">
        <v>8</v>
      </c>
      <c r="G6623" s="15" t="s">
        <v>9</v>
      </c>
      <c r="H6623" s="24">
        <f t="shared" si="1507"/>
        <v>0</v>
      </c>
      <c r="I6623" s="24" cm="1">
        <f t="array" ref="I6623">IFERROR(IF($B6623=I$1, ($A6623+$C6623) - MAX(IF($B$2:$B6622=$B6623, $A$2:$A6622+$C$2:$C6622)), "")*24*60, "")</f>
        <v>0</v>
      </c>
      <c r="J6623" s="24" t="str" cm="1">
        <f t="array" ref="J6623">IFERROR(IF($B6623=J$1, ($A6623+$C6623) - MAX(IF($B$2:$B6622=$B6623, $A$2:$A6622+$C$2:$C6622)), "")*24*60, "")</f>
        <v/>
      </c>
      <c r="K6623" s="24" t="str" cm="1">
        <f t="array" ref="K6623">IFERROR(IF($B6623=K$1, ($A6623+$C6623) - MAX(IF($B$2:$B6622=$B6623, $A$2:$A6622+$C$2:$C6622)), "")*24*60, "")</f>
        <v/>
      </c>
      <c r="L6623" s="24" t="str" cm="1">
        <f t="array" ref="L6623">IFERROR(IF($B6623=L$1, ($A6623+$C6623) - MAX(IF($B$2:$B6622=$B6623, $A$2:$A6622+$C$2:$C6622)), "")*24*60, "")</f>
        <v/>
      </c>
      <c r="M6623" s="24" t="str" cm="1">
        <f t="array" ref="M6623">IFERROR(IF($B6623=M$1, ($A6623+$C6623) - MAX(IF($B$2:$B6622=$B6623, $A$2:$A6622+$C$2:$C6622)), "")*24*60, "")</f>
        <v/>
      </c>
      <c r="N6623" s="24" t="str" cm="1">
        <f t="array" ref="N6623">IFERROR(IF($B6623=N$1, ($A6623+$C6623) - MAX(IF($B$2:$B6622=$B6623, $A$2:$A6622+$C$2:$C6622)), "")*24*60, "")</f>
        <v/>
      </c>
      <c r="O6623" s="24" t="str" cm="1">
        <f t="array" ref="O6623">IFERROR(IF($B6623=O$1, ($A6623+$C6623) - MAX(IF($B$2:$B6622=$B6623, $A$2:$A6622+$C$2:$C6622)), "")*24*60, "")</f>
        <v/>
      </c>
      <c r="P6623" s="24" t="str" cm="1">
        <f t="array" ref="P6623">IFERROR(IF($B6623=P$1, ($A6623+$C6623) - MAX(IF($B$2:$B6622=$B6623, $A$2:$A6622+$C$2:$C6622)), "")*24*60, "")</f>
        <v/>
      </c>
      <c r="Q6623" s="24" t="str" cm="1">
        <f t="array" ref="Q6623">IFERROR(IF($B6623=Q$1, ($A6623+$C6623) - MAX(IF($B$2:$B6622=$B6623, $A$2:$A6622+$C$2:$C6622)), "")*24*60, "")</f>
        <v/>
      </c>
      <c r="R6623" s="24" t="str" cm="1">
        <f t="array" ref="R6623">IFERROR(IF($B6623=R$1, ($A6623+$C6623) - MAX(IF($B$2:$B6622=$B6623, $A$2:$A6622+$C$2:$C6622)), "")*24*60, "")</f>
        <v/>
      </c>
      <c r="S6623" s="24" t="str" cm="1">
        <f t="array" ref="S6623">IFERROR(IF($B6623=S$1, ($A6623+$C6623) - MAX(IF($B$2:$B6622=$B6623, $A$2:$A6622+$C$2:$C6622)), "")*24*60, "")</f>
        <v/>
      </c>
    </row>
    <row r="6624" spans="1:19" x14ac:dyDescent="0.2">
      <c r="A6624" s="12">
        <f t="shared" ref="A6624:C6624" si="1514">A6623</f>
        <v>45990</v>
      </c>
      <c r="B6624" s="5" t="str">
        <f t="shared" si="1514"/>
        <v>Northern Cardinal</v>
      </c>
      <c r="C6624" s="6">
        <f t="shared" si="1514"/>
        <v>0.28333333333333333</v>
      </c>
      <c r="D6624" s="5"/>
      <c r="E6624" s="5"/>
      <c r="F6624" s="5" t="s">
        <v>8</v>
      </c>
      <c r="G6624" s="15" t="s">
        <v>9</v>
      </c>
      <c r="H6624" s="24">
        <f t="shared" si="1507"/>
        <v>0</v>
      </c>
      <c r="I6624" s="24" cm="1">
        <f t="array" ref="I6624">IFERROR(IF($B6624=I$1, ($A6624+$C6624) - MAX(IF($B$2:$B6623=$B6624, $A$2:$A6623+$C$2:$C6623)), "")*24*60, "")</f>
        <v>0</v>
      </c>
      <c r="J6624" s="24" t="str" cm="1">
        <f t="array" ref="J6624">IFERROR(IF($B6624=J$1, ($A6624+$C6624) - MAX(IF($B$2:$B6623=$B6624, $A$2:$A6623+$C$2:$C6623)), "")*24*60, "")</f>
        <v/>
      </c>
      <c r="K6624" s="24" t="str" cm="1">
        <f t="array" ref="K6624">IFERROR(IF($B6624=K$1, ($A6624+$C6624) - MAX(IF($B$2:$B6623=$B6624, $A$2:$A6623+$C$2:$C6623)), "")*24*60, "")</f>
        <v/>
      </c>
      <c r="L6624" s="24" t="str" cm="1">
        <f t="array" ref="L6624">IFERROR(IF($B6624=L$1, ($A6624+$C6624) - MAX(IF($B$2:$B6623=$B6624, $A$2:$A6623+$C$2:$C6623)), "")*24*60, "")</f>
        <v/>
      </c>
      <c r="M6624" s="24" t="str" cm="1">
        <f t="array" ref="M6624">IFERROR(IF($B6624=M$1, ($A6624+$C6624) - MAX(IF($B$2:$B6623=$B6624, $A$2:$A6623+$C$2:$C6623)), "")*24*60, "")</f>
        <v/>
      </c>
      <c r="N6624" s="24" t="str" cm="1">
        <f t="array" ref="N6624">IFERROR(IF($B6624=N$1, ($A6624+$C6624) - MAX(IF($B$2:$B6623=$B6624, $A$2:$A6623+$C$2:$C6623)), "")*24*60, "")</f>
        <v/>
      </c>
      <c r="O6624" s="24" t="str" cm="1">
        <f t="array" ref="O6624">IFERROR(IF($B6624=O$1, ($A6624+$C6624) - MAX(IF($B$2:$B6623=$B6624, $A$2:$A6623+$C$2:$C6623)), "")*24*60, "")</f>
        <v/>
      </c>
      <c r="P6624" s="24" t="str" cm="1">
        <f t="array" ref="P6624">IFERROR(IF($B6624=P$1, ($A6624+$C6624) - MAX(IF($B$2:$B6623=$B6624, $A$2:$A6623+$C$2:$C6623)), "")*24*60, "")</f>
        <v/>
      </c>
      <c r="Q6624" s="24" t="str" cm="1">
        <f t="array" ref="Q6624">IFERROR(IF($B6624=Q$1, ($A6624+$C6624) - MAX(IF($B$2:$B6623=$B6624, $A$2:$A6623+$C$2:$C6623)), "")*24*60, "")</f>
        <v/>
      </c>
      <c r="R6624" s="24" t="str" cm="1">
        <f t="array" ref="R6624">IFERROR(IF($B6624=R$1, ($A6624+$C6624) - MAX(IF($B$2:$B6623=$B6624, $A$2:$A6623+$C$2:$C6623)), "")*24*60, "")</f>
        <v/>
      </c>
      <c r="S6624" s="24" t="str" cm="1">
        <f t="array" ref="S6624">IFERROR(IF($B6624=S$1, ($A6624+$C6624) - MAX(IF($B$2:$B6623=$B6624, $A$2:$A6623+$C$2:$C6623)), "")*24*60, "")</f>
        <v/>
      </c>
    </row>
    <row r="6625" spans="1:19" x14ac:dyDescent="0.2">
      <c r="A6625" s="12">
        <f t="shared" ref="A6625:C6625" si="1515">A6624</f>
        <v>45990</v>
      </c>
      <c r="B6625" s="5" t="str">
        <f t="shared" si="1515"/>
        <v>Northern Cardinal</v>
      </c>
      <c r="C6625" s="6">
        <f t="shared" si="1515"/>
        <v>0.28333333333333333</v>
      </c>
      <c r="D6625" s="5"/>
      <c r="E6625" s="5"/>
      <c r="F6625" s="5" t="s">
        <v>8</v>
      </c>
      <c r="G6625" s="15" t="s">
        <v>9</v>
      </c>
      <c r="H6625" s="24">
        <f t="shared" si="1507"/>
        <v>0</v>
      </c>
      <c r="I6625" s="24" cm="1">
        <f t="array" ref="I6625">IFERROR(IF($B6625=I$1, ($A6625+$C6625) - MAX(IF($B$2:$B6624=$B6625, $A$2:$A6624+$C$2:$C6624)), "")*24*60, "")</f>
        <v>0</v>
      </c>
      <c r="J6625" s="24" t="str" cm="1">
        <f t="array" ref="J6625">IFERROR(IF($B6625=J$1, ($A6625+$C6625) - MAX(IF($B$2:$B6624=$B6625, $A$2:$A6624+$C$2:$C6624)), "")*24*60, "")</f>
        <v/>
      </c>
      <c r="K6625" s="24" t="str" cm="1">
        <f t="array" ref="K6625">IFERROR(IF($B6625=K$1, ($A6625+$C6625) - MAX(IF($B$2:$B6624=$B6625, $A$2:$A6624+$C$2:$C6624)), "")*24*60, "")</f>
        <v/>
      </c>
      <c r="L6625" s="24" t="str" cm="1">
        <f t="array" ref="L6625">IFERROR(IF($B6625=L$1, ($A6625+$C6625) - MAX(IF($B$2:$B6624=$B6625, $A$2:$A6624+$C$2:$C6624)), "")*24*60, "")</f>
        <v/>
      </c>
      <c r="M6625" s="24" t="str" cm="1">
        <f t="array" ref="M6625">IFERROR(IF($B6625=M$1, ($A6625+$C6625) - MAX(IF($B$2:$B6624=$B6625, $A$2:$A6624+$C$2:$C6624)), "")*24*60, "")</f>
        <v/>
      </c>
      <c r="N6625" s="24" t="str" cm="1">
        <f t="array" ref="N6625">IFERROR(IF($B6625=N$1, ($A6625+$C6625) - MAX(IF($B$2:$B6624=$B6625, $A$2:$A6624+$C$2:$C6624)), "")*24*60, "")</f>
        <v/>
      </c>
      <c r="O6625" s="24" t="str" cm="1">
        <f t="array" ref="O6625">IFERROR(IF($B6625=O$1, ($A6625+$C6625) - MAX(IF($B$2:$B6624=$B6625, $A$2:$A6624+$C$2:$C6624)), "")*24*60, "")</f>
        <v/>
      </c>
      <c r="P6625" s="24" t="str" cm="1">
        <f t="array" ref="P6625">IFERROR(IF($B6625=P$1, ($A6625+$C6625) - MAX(IF($B$2:$B6624=$B6625, $A$2:$A6624+$C$2:$C6624)), "")*24*60, "")</f>
        <v/>
      </c>
      <c r="Q6625" s="24" t="str" cm="1">
        <f t="array" ref="Q6625">IFERROR(IF($B6625=Q$1, ($A6625+$C6625) - MAX(IF($B$2:$B6624=$B6625, $A$2:$A6624+$C$2:$C6624)), "")*24*60, "")</f>
        <v/>
      </c>
      <c r="R6625" s="24" t="str" cm="1">
        <f t="array" ref="R6625">IFERROR(IF($B6625=R$1, ($A6625+$C6625) - MAX(IF($B$2:$B6624=$B6625, $A$2:$A6624+$C$2:$C6624)), "")*24*60, "")</f>
        <v/>
      </c>
      <c r="S6625" s="24" t="str" cm="1">
        <f t="array" ref="S6625">IFERROR(IF($B6625=S$1, ($A6625+$C6625) - MAX(IF($B$2:$B6624=$B6625, $A$2:$A6624+$C$2:$C6624)), "")*24*60, "")</f>
        <v/>
      </c>
    </row>
    <row r="6626" spans="1:19" x14ac:dyDescent="0.2">
      <c r="A6626" s="12">
        <f t="shared" ref="A6626:C6626" si="1516">A6625</f>
        <v>45990</v>
      </c>
      <c r="B6626" s="5" t="str">
        <f t="shared" si="1516"/>
        <v>Northern Cardinal</v>
      </c>
      <c r="C6626" s="6">
        <f t="shared" si="1516"/>
        <v>0.28333333333333333</v>
      </c>
      <c r="D6626" s="5"/>
      <c r="E6626" s="5"/>
      <c r="F6626" s="5" t="s">
        <v>8</v>
      </c>
      <c r="G6626" s="15" t="s">
        <v>9</v>
      </c>
      <c r="H6626" s="24">
        <f t="shared" si="1507"/>
        <v>0</v>
      </c>
      <c r="I6626" s="24" cm="1">
        <f t="array" ref="I6626">IFERROR(IF($B6626=I$1, ($A6626+$C6626) - MAX(IF($B$2:$B6625=$B6626, $A$2:$A6625+$C$2:$C6625)), "")*24*60, "")</f>
        <v>0</v>
      </c>
      <c r="J6626" s="24" t="str" cm="1">
        <f t="array" ref="J6626">IFERROR(IF($B6626=J$1, ($A6626+$C6626) - MAX(IF($B$2:$B6625=$B6626, $A$2:$A6625+$C$2:$C6625)), "")*24*60, "")</f>
        <v/>
      </c>
      <c r="K6626" s="24" t="str" cm="1">
        <f t="array" ref="K6626">IFERROR(IF($B6626=K$1, ($A6626+$C6626) - MAX(IF($B$2:$B6625=$B6626, $A$2:$A6625+$C$2:$C6625)), "")*24*60, "")</f>
        <v/>
      </c>
      <c r="L6626" s="24" t="str" cm="1">
        <f t="array" ref="L6626">IFERROR(IF($B6626=L$1, ($A6626+$C6626) - MAX(IF($B$2:$B6625=$B6626, $A$2:$A6625+$C$2:$C6625)), "")*24*60, "")</f>
        <v/>
      </c>
      <c r="M6626" s="24" t="str" cm="1">
        <f t="array" ref="M6626">IFERROR(IF($B6626=M$1, ($A6626+$C6626) - MAX(IF($B$2:$B6625=$B6626, $A$2:$A6625+$C$2:$C6625)), "")*24*60, "")</f>
        <v/>
      </c>
      <c r="N6626" s="24" t="str" cm="1">
        <f t="array" ref="N6626">IFERROR(IF($B6626=N$1, ($A6626+$C6626) - MAX(IF($B$2:$B6625=$B6626, $A$2:$A6625+$C$2:$C6625)), "")*24*60, "")</f>
        <v/>
      </c>
      <c r="O6626" s="24" t="str" cm="1">
        <f t="array" ref="O6626">IFERROR(IF($B6626=O$1, ($A6626+$C6626) - MAX(IF($B$2:$B6625=$B6626, $A$2:$A6625+$C$2:$C6625)), "")*24*60, "")</f>
        <v/>
      </c>
      <c r="P6626" s="24" t="str" cm="1">
        <f t="array" ref="P6626">IFERROR(IF($B6626=P$1, ($A6626+$C6626) - MAX(IF($B$2:$B6625=$B6626, $A$2:$A6625+$C$2:$C6625)), "")*24*60, "")</f>
        <v/>
      </c>
      <c r="Q6626" s="24" t="str" cm="1">
        <f t="array" ref="Q6626">IFERROR(IF($B6626=Q$1, ($A6626+$C6626) - MAX(IF($B$2:$B6625=$B6626, $A$2:$A6625+$C$2:$C6625)), "")*24*60, "")</f>
        <v/>
      </c>
      <c r="R6626" s="24" t="str" cm="1">
        <f t="array" ref="R6626">IFERROR(IF($B6626=R$1, ($A6626+$C6626) - MAX(IF($B$2:$B6625=$B6626, $A$2:$A6625+$C$2:$C6625)), "")*24*60, "")</f>
        <v/>
      </c>
      <c r="S6626" s="24" t="str" cm="1">
        <f t="array" ref="S6626">IFERROR(IF($B6626=S$1, ($A6626+$C6626) - MAX(IF($B$2:$B6625=$B6626, $A$2:$A6625+$C$2:$C6625)), "")*24*60, "")</f>
        <v/>
      </c>
    </row>
    <row r="6627" spans="1:19" x14ac:dyDescent="0.2">
      <c r="A6627" s="12">
        <f t="shared" ref="A6627:C6627" si="1517">A6626</f>
        <v>45990</v>
      </c>
      <c r="B6627" s="5" t="str">
        <f t="shared" si="1517"/>
        <v>Northern Cardinal</v>
      </c>
      <c r="C6627" s="6">
        <f t="shared" si="1517"/>
        <v>0.28333333333333333</v>
      </c>
      <c r="D6627" s="5"/>
      <c r="E6627" s="5"/>
      <c r="F6627" s="5" t="s">
        <v>8</v>
      </c>
      <c r="G6627" s="15" t="s">
        <v>9</v>
      </c>
      <c r="H6627" s="24">
        <f t="shared" si="1507"/>
        <v>0</v>
      </c>
      <c r="I6627" s="24" cm="1">
        <f t="array" ref="I6627">IFERROR(IF($B6627=I$1, ($A6627+$C6627) - MAX(IF($B$2:$B6626=$B6627, $A$2:$A6626+$C$2:$C6626)), "")*24*60, "")</f>
        <v>0</v>
      </c>
      <c r="J6627" s="24" t="str" cm="1">
        <f t="array" ref="J6627">IFERROR(IF($B6627=J$1, ($A6627+$C6627) - MAX(IF($B$2:$B6626=$B6627, $A$2:$A6626+$C$2:$C6626)), "")*24*60, "")</f>
        <v/>
      </c>
      <c r="K6627" s="24" t="str" cm="1">
        <f t="array" ref="K6627">IFERROR(IF($B6627=K$1, ($A6627+$C6627) - MAX(IF($B$2:$B6626=$B6627, $A$2:$A6626+$C$2:$C6626)), "")*24*60, "")</f>
        <v/>
      </c>
      <c r="L6627" s="24" t="str" cm="1">
        <f t="array" ref="L6627">IFERROR(IF($B6627=L$1, ($A6627+$C6627) - MAX(IF($B$2:$B6626=$B6627, $A$2:$A6626+$C$2:$C6626)), "")*24*60, "")</f>
        <v/>
      </c>
      <c r="M6627" s="24" t="str" cm="1">
        <f t="array" ref="M6627">IFERROR(IF($B6627=M$1, ($A6627+$C6627) - MAX(IF($B$2:$B6626=$B6627, $A$2:$A6626+$C$2:$C6626)), "")*24*60, "")</f>
        <v/>
      </c>
      <c r="N6627" s="24" t="str" cm="1">
        <f t="array" ref="N6627">IFERROR(IF($B6627=N$1, ($A6627+$C6627) - MAX(IF($B$2:$B6626=$B6627, $A$2:$A6626+$C$2:$C6626)), "")*24*60, "")</f>
        <v/>
      </c>
      <c r="O6627" s="24" t="str" cm="1">
        <f t="array" ref="O6627">IFERROR(IF($B6627=O$1, ($A6627+$C6627) - MAX(IF($B$2:$B6626=$B6627, $A$2:$A6626+$C$2:$C6626)), "")*24*60, "")</f>
        <v/>
      </c>
      <c r="P6627" s="24" t="str" cm="1">
        <f t="array" ref="P6627">IFERROR(IF($B6627=P$1, ($A6627+$C6627) - MAX(IF($B$2:$B6626=$B6627, $A$2:$A6626+$C$2:$C6626)), "")*24*60, "")</f>
        <v/>
      </c>
      <c r="Q6627" s="24" t="str" cm="1">
        <f t="array" ref="Q6627">IFERROR(IF($B6627=Q$1, ($A6627+$C6627) - MAX(IF($B$2:$B6626=$B6627, $A$2:$A6626+$C$2:$C6626)), "")*24*60, "")</f>
        <v/>
      </c>
      <c r="R6627" s="24" t="str" cm="1">
        <f t="array" ref="R6627">IFERROR(IF($B6627=R$1, ($A6627+$C6627) - MAX(IF($B$2:$B6626=$B6627, $A$2:$A6626+$C$2:$C6626)), "")*24*60, "")</f>
        <v/>
      </c>
      <c r="S6627" s="24" t="str" cm="1">
        <f t="array" ref="S6627">IFERROR(IF($B6627=S$1, ($A6627+$C6627) - MAX(IF($B$2:$B6626=$B6627, $A$2:$A6626+$C$2:$C6626)), "")*24*60, "")</f>
        <v/>
      </c>
    </row>
    <row r="6628" spans="1:19" x14ac:dyDescent="0.2">
      <c r="A6628" s="12">
        <f t="shared" ref="A6628:C6628" si="1518">A6627</f>
        <v>45990</v>
      </c>
      <c r="B6628" s="5" t="str">
        <f t="shared" si="1518"/>
        <v>Northern Cardinal</v>
      </c>
      <c r="C6628" s="6">
        <f t="shared" si="1518"/>
        <v>0.28333333333333333</v>
      </c>
      <c r="D6628" s="5"/>
      <c r="E6628" s="5"/>
      <c r="F6628" s="5" t="s">
        <v>8</v>
      </c>
      <c r="G6628" s="15" t="s">
        <v>9</v>
      </c>
      <c r="H6628" s="24">
        <f t="shared" si="1507"/>
        <v>0</v>
      </c>
      <c r="I6628" s="24" cm="1">
        <f t="array" ref="I6628">IFERROR(IF($B6628=I$1, ($A6628+$C6628) - MAX(IF($B$2:$B6627=$B6628, $A$2:$A6627+$C$2:$C6627)), "")*24*60, "")</f>
        <v>0</v>
      </c>
      <c r="J6628" s="24" t="str" cm="1">
        <f t="array" ref="J6628">IFERROR(IF($B6628=J$1, ($A6628+$C6628) - MAX(IF($B$2:$B6627=$B6628, $A$2:$A6627+$C$2:$C6627)), "")*24*60, "")</f>
        <v/>
      </c>
      <c r="K6628" s="24" t="str" cm="1">
        <f t="array" ref="K6628">IFERROR(IF($B6628=K$1, ($A6628+$C6628) - MAX(IF($B$2:$B6627=$B6628, $A$2:$A6627+$C$2:$C6627)), "")*24*60, "")</f>
        <v/>
      </c>
      <c r="L6628" s="24" t="str" cm="1">
        <f t="array" ref="L6628">IFERROR(IF($B6628=L$1, ($A6628+$C6628) - MAX(IF($B$2:$B6627=$B6628, $A$2:$A6627+$C$2:$C6627)), "")*24*60, "")</f>
        <v/>
      </c>
      <c r="M6628" s="24" t="str" cm="1">
        <f t="array" ref="M6628">IFERROR(IF($B6628=M$1, ($A6628+$C6628) - MAX(IF($B$2:$B6627=$B6628, $A$2:$A6627+$C$2:$C6627)), "")*24*60, "")</f>
        <v/>
      </c>
      <c r="N6628" s="24" t="str" cm="1">
        <f t="array" ref="N6628">IFERROR(IF($B6628=N$1, ($A6628+$C6628) - MAX(IF($B$2:$B6627=$B6628, $A$2:$A6627+$C$2:$C6627)), "")*24*60, "")</f>
        <v/>
      </c>
      <c r="O6628" s="24" t="str" cm="1">
        <f t="array" ref="O6628">IFERROR(IF($B6628=O$1, ($A6628+$C6628) - MAX(IF($B$2:$B6627=$B6628, $A$2:$A6627+$C$2:$C6627)), "")*24*60, "")</f>
        <v/>
      </c>
      <c r="P6628" s="24" t="str" cm="1">
        <f t="array" ref="P6628">IFERROR(IF($B6628=P$1, ($A6628+$C6628) - MAX(IF($B$2:$B6627=$B6628, $A$2:$A6627+$C$2:$C6627)), "")*24*60, "")</f>
        <v/>
      </c>
      <c r="Q6628" s="24" t="str" cm="1">
        <f t="array" ref="Q6628">IFERROR(IF($B6628=Q$1, ($A6628+$C6628) - MAX(IF($B$2:$B6627=$B6628, $A$2:$A6627+$C$2:$C6627)), "")*24*60, "")</f>
        <v/>
      </c>
      <c r="R6628" s="24" t="str" cm="1">
        <f t="array" ref="R6628">IFERROR(IF($B6628=R$1, ($A6628+$C6628) - MAX(IF($B$2:$B6627=$B6628, $A$2:$A6627+$C$2:$C6627)), "")*24*60, "")</f>
        <v/>
      </c>
      <c r="S6628" s="24" t="str" cm="1">
        <f t="array" ref="S6628">IFERROR(IF($B6628=S$1, ($A6628+$C6628) - MAX(IF($B$2:$B6627=$B6628, $A$2:$A6627+$C$2:$C6627)), "")*24*60, "")</f>
        <v/>
      </c>
    </row>
    <row r="6629" spans="1:19" x14ac:dyDescent="0.2">
      <c r="A6629" s="12">
        <f t="shared" ref="A6629:C6629" si="1519">A6628</f>
        <v>45990</v>
      </c>
      <c r="B6629" s="5" t="str">
        <f t="shared" si="1519"/>
        <v>Northern Cardinal</v>
      </c>
      <c r="C6629" s="6">
        <f t="shared" si="1519"/>
        <v>0.28333333333333333</v>
      </c>
      <c r="D6629" s="5"/>
      <c r="E6629" s="5"/>
      <c r="F6629" s="5" t="s">
        <v>8</v>
      </c>
      <c r="G6629" s="15" t="s">
        <v>9</v>
      </c>
      <c r="H6629" s="24">
        <f t="shared" si="1507"/>
        <v>0</v>
      </c>
      <c r="I6629" s="24" cm="1">
        <f t="array" ref="I6629">IFERROR(IF($B6629=I$1, ($A6629+$C6629) - MAX(IF($B$2:$B6628=$B6629, $A$2:$A6628+$C$2:$C6628)), "")*24*60, "")</f>
        <v>0</v>
      </c>
      <c r="J6629" s="24" t="str" cm="1">
        <f t="array" ref="J6629">IFERROR(IF($B6629=J$1, ($A6629+$C6629) - MAX(IF($B$2:$B6628=$B6629, $A$2:$A6628+$C$2:$C6628)), "")*24*60, "")</f>
        <v/>
      </c>
      <c r="K6629" s="24" t="str" cm="1">
        <f t="array" ref="K6629">IFERROR(IF($B6629=K$1, ($A6629+$C6629) - MAX(IF($B$2:$B6628=$B6629, $A$2:$A6628+$C$2:$C6628)), "")*24*60, "")</f>
        <v/>
      </c>
      <c r="L6629" s="24" t="str" cm="1">
        <f t="array" ref="L6629">IFERROR(IF($B6629=L$1, ($A6629+$C6629) - MAX(IF($B$2:$B6628=$B6629, $A$2:$A6628+$C$2:$C6628)), "")*24*60, "")</f>
        <v/>
      </c>
      <c r="M6629" s="24" t="str" cm="1">
        <f t="array" ref="M6629">IFERROR(IF($B6629=M$1, ($A6629+$C6629) - MAX(IF($B$2:$B6628=$B6629, $A$2:$A6628+$C$2:$C6628)), "")*24*60, "")</f>
        <v/>
      </c>
      <c r="N6629" s="24" t="str" cm="1">
        <f t="array" ref="N6629">IFERROR(IF($B6629=N$1, ($A6629+$C6629) - MAX(IF($B$2:$B6628=$B6629, $A$2:$A6628+$C$2:$C6628)), "")*24*60, "")</f>
        <v/>
      </c>
      <c r="O6629" s="24" t="str" cm="1">
        <f t="array" ref="O6629">IFERROR(IF($B6629=O$1, ($A6629+$C6629) - MAX(IF($B$2:$B6628=$B6629, $A$2:$A6628+$C$2:$C6628)), "")*24*60, "")</f>
        <v/>
      </c>
      <c r="P6629" s="24" t="str" cm="1">
        <f t="array" ref="P6629">IFERROR(IF($B6629=P$1, ($A6629+$C6629) - MAX(IF($B$2:$B6628=$B6629, $A$2:$A6628+$C$2:$C6628)), "")*24*60, "")</f>
        <v/>
      </c>
      <c r="Q6629" s="24" t="str" cm="1">
        <f t="array" ref="Q6629">IFERROR(IF($B6629=Q$1, ($A6629+$C6629) - MAX(IF($B$2:$B6628=$B6629, $A$2:$A6628+$C$2:$C6628)), "")*24*60, "")</f>
        <v/>
      </c>
      <c r="R6629" s="24" t="str" cm="1">
        <f t="array" ref="R6629">IFERROR(IF($B6629=R$1, ($A6629+$C6629) - MAX(IF($B$2:$B6628=$B6629, $A$2:$A6628+$C$2:$C6628)), "")*24*60, "")</f>
        <v/>
      </c>
      <c r="S6629" s="24" t="str" cm="1">
        <f t="array" ref="S6629">IFERROR(IF($B6629=S$1, ($A6629+$C6629) - MAX(IF($B$2:$B6628=$B6629, $A$2:$A6628+$C$2:$C6628)), "")*24*60, "")</f>
        <v/>
      </c>
    </row>
    <row r="6630" spans="1:19" x14ac:dyDescent="0.2">
      <c r="A6630" s="12">
        <f t="shared" ref="A6630:C6630" si="1520">A6629</f>
        <v>45990</v>
      </c>
      <c r="B6630" s="5" t="str">
        <f t="shared" si="1520"/>
        <v>Northern Cardinal</v>
      </c>
      <c r="C6630" s="6">
        <f t="shared" si="1520"/>
        <v>0.28333333333333333</v>
      </c>
      <c r="D6630" s="5"/>
      <c r="E6630" s="5"/>
      <c r="F6630" s="5" t="s">
        <v>8</v>
      </c>
      <c r="G6630" s="15" t="s">
        <v>9</v>
      </c>
      <c r="H6630" s="24">
        <f t="shared" si="1507"/>
        <v>0</v>
      </c>
      <c r="I6630" s="24" cm="1">
        <f t="array" ref="I6630">IFERROR(IF($B6630=I$1, ($A6630+$C6630) - MAX(IF($B$2:$B6629=$B6630, $A$2:$A6629+$C$2:$C6629)), "")*24*60, "")</f>
        <v>0</v>
      </c>
      <c r="J6630" s="24" t="str" cm="1">
        <f t="array" ref="J6630">IFERROR(IF($B6630=J$1, ($A6630+$C6630) - MAX(IF($B$2:$B6629=$B6630, $A$2:$A6629+$C$2:$C6629)), "")*24*60, "")</f>
        <v/>
      </c>
      <c r="K6630" s="24" t="str" cm="1">
        <f t="array" ref="K6630">IFERROR(IF($B6630=K$1, ($A6630+$C6630) - MAX(IF($B$2:$B6629=$B6630, $A$2:$A6629+$C$2:$C6629)), "")*24*60, "")</f>
        <v/>
      </c>
      <c r="L6630" s="24" t="str" cm="1">
        <f t="array" ref="L6630">IFERROR(IF($B6630=L$1, ($A6630+$C6630) - MAX(IF($B$2:$B6629=$B6630, $A$2:$A6629+$C$2:$C6629)), "")*24*60, "")</f>
        <v/>
      </c>
      <c r="M6630" s="24" t="str" cm="1">
        <f t="array" ref="M6630">IFERROR(IF($B6630=M$1, ($A6630+$C6630) - MAX(IF($B$2:$B6629=$B6630, $A$2:$A6629+$C$2:$C6629)), "")*24*60, "")</f>
        <v/>
      </c>
      <c r="N6630" s="24" t="str" cm="1">
        <f t="array" ref="N6630">IFERROR(IF($B6630=N$1, ($A6630+$C6630) - MAX(IF($B$2:$B6629=$B6630, $A$2:$A6629+$C$2:$C6629)), "")*24*60, "")</f>
        <v/>
      </c>
      <c r="O6630" s="24" t="str" cm="1">
        <f t="array" ref="O6630">IFERROR(IF($B6630=O$1, ($A6630+$C6630) - MAX(IF($B$2:$B6629=$B6630, $A$2:$A6629+$C$2:$C6629)), "")*24*60, "")</f>
        <v/>
      </c>
      <c r="P6630" s="24" t="str" cm="1">
        <f t="array" ref="P6630">IFERROR(IF($B6630=P$1, ($A6630+$C6630) - MAX(IF($B$2:$B6629=$B6630, $A$2:$A6629+$C$2:$C6629)), "")*24*60, "")</f>
        <v/>
      </c>
      <c r="Q6630" s="24" t="str" cm="1">
        <f t="array" ref="Q6630">IFERROR(IF($B6630=Q$1, ($A6630+$C6630) - MAX(IF($B$2:$B6629=$B6630, $A$2:$A6629+$C$2:$C6629)), "")*24*60, "")</f>
        <v/>
      </c>
      <c r="R6630" s="24" t="str" cm="1">
        <f t="array" ref="R6630">IFERROR(IF($B6630=R$1, ($A6630+$C6630) - MAX(IF($B$2:$B6629=$B6630, $A$2:$A6629+$C$2:$C6629)), "")*24*60, "")</f>
        <v/>
      </c>
      <c r="S6630" s="24" t="str" cm="1">
        <f t="array" ref="S6630">IFERROR(IF($B6630=S$1, ($A6630+$C6630) - MAX(IF($B$2:$B6629=$B6630, $A$2:$A6629+$C$2:$C6629)), "")*24*60, "")</f>
        <v/>
      </c>
    </row>
    <row r="6631" spans="1:19" x14ac:dyDescent="0.2">
      <c r="A6631" s="12">
        <f t="shared" ref="A6631:C6631" si="1521">A6630</f>
        <v>45990</v>
      </c>
      <c r="B6631" s="5" t="str">
        <f t="shared" si="1521"/>
        <v>Northern Cardinal</v>
      </c>
      <c r="C6631" s="6">
        <f t="shared" si="1521"/>
        <v>0.28333333333333333</v>
      </c>
      <c r="D6631" s="5"/>
      <c r="E6631" s="5"/>
      <c r="F6631" s="5" t="s">
        <v>8</v>
      </c>
      <c r="G6631" s="15" t="s">
        <v>9</v>
      </c>
      <c r="H6631" s="24">
        <f t="shared" si="1507"/>
        <v>0</v>
      </c>
      <c r="I6631" s="24" cm="1">
        <f t="array" ref="I6631">IFERROR(IF($B6631=I$1, ($A6631+$C6631) - MAX(IF($B$2:$B6630=$B6631, $A$2:$A6630+$C$2:$C6630)), "")*24*60, "")</f>
        <v>0</v>
      </c>
      <c r="J6631" s="24" t="str" cm="1">
        <f t="array" ref="J6631">IFERROR(IF($B6631=J$1, ($A6631+$C6631) - MAX(IF($B$2:$B6630=$B6631, $A$2:$A6630+$C$2:$C6630)), "")*24*60, "")</f>
        <v/>
      </c>
      <c r="K6631" s="24" t="str" cm="1">
        <f t="array" ref="K6631">IFERROR(IF($B6631=K$1, ($A6631+$C6631) - MAX(IF($B$2:$B6630=$B6631, $A$2:$A6630+$C$2:$C6630)), "")*24*60, "")</f>
        <v/>
      </c>
      <c r="L6631" s="24" t="str" cm="1">
        <f t="array" ref="L6631">IFERROR(IF($B6631=L$1, ($A6631+$C6631) - MAX(IF($B$2:$B6630=$B6631, $A$2:$A6630+$C$2:$C6630)), "")*24*60, "")</f>
        <v/>
      </c>
      <c r="M6631" s="24" t="str" cm="1">
        <f t="array" ref="M6631">IFERROR(IF($B6631=M$1, ($A6631+$C6631) - MAX(IF($B$2:$B6630=$B6631, $A$2:$A6630+$C$2:$C6630)), "")*24*60, "")</f>
        <v/>
      </c>
      <c r="N6631" s="24" t="str" cm="1">
        <f t="array" ref="N6631">IFERROR(IF($B6631=N$1, ($A6631+$C6631) - MAX(IF($B$2:$B6630=$B6631, $A$2:$A6630+$C$2:$C6630)), "")*24*60, "")</f>
        <v/>
      </c>
      <c r="O6631" s="24" t="str" cm="1">
        <f t="array" ref="O6631">IFERROR(IF($B6631=O$1, ($A6631+$C6631) - MAX(IF($B$2:$B6630=$B6631, $A$2:$A6630+$C$2:$C6630)), "")*24*60, "")</f>
        <v/>
      </c>
      <c r="P6631" s="24" t="str" cm="1">
        <f t="array" ref="P6631">IFERROR(IF($B6631=P$1, ($A6631+$C6631) - MAX(IF($B$2:$B6630=$B6631, $A$2:$A6630+$C$2:$C6630)), "")*24*60, "")</f>
        <v/>
      </c>
      <c r="Q6631" s="24" t="str" cm="1">
        <f t="array" ref="Q6631">IFERROR(IF($B6631=Q$1, ($A6631+$C6631) - MAX(IF($B$2:$B6630=$B6631, $A$2:$A6630+$C$2:$C6630)), "")*24*60, "")</f>
        <v/>
      </c>
      <c r="R6631" s="24" t="str" cm="1">
        <f t="array" ref="R6631">IFERROR(IF($B6631=R$1, ($A6631+$C6631) - MAX(IF($B$2:$B6630=$B6631, $A$2:$A6630+$C$2:$C6630)), "")*24*60, "")</f>
        <v/>
      </c>
      <c r="S6631" s="24" t="str" cm="1">
        <f t="array" ref="S6631">IFERROR(IF($B6631=S$1, ($A6631+$C6631) - MAX(IF($B$2:$B6630=$B6631, $A$2:$A6630+$C$2:$C6630)), "")*24*60, "")</f>
        <v/>
      </c>
    </row>
    <row r="6632" spans="1:19" x14ac:dyDescent="0.2">
      <c r="A6632" s="12">
        <f t="shared" ref="A6632:C6632" si="1522">A6631</f>
        <v>45990</v>
      </c>
      <c r="B6632" s="5" t="str">
        <f t="shared" si="1522"/>
        <v>Northern Cardinal</v>
      </c>
      <c r="C6632" s="6">
        <f t="shared" si="1522"/>
        <v>0.28333333333333333</v>
      </c>
      <c r="D6632" s="5"/>
      <c r="E6632" s="5"/>
      <c r="F6632" s="5" t="s">
        <v>8</v>
      </c>
      <c r="G6632" s="15" t="s">
        <v>9</v>
      </c>
      <c r="H6632" s="24">
        <f t="shared" si="1507"/>
        <v>0</v>
      </c>
      <c r="I6632" s="24" cm="1">
        <f t="array" ref="I6632">IFERROR(IF($B6632=I$1, ($A6632+$C6632) - MAX(IF($B$2:$B6631=$B6632, $A$2:$A6631+$C$2:$C6631)), "")*24*60, "")</f>
        <v>0</v>
      </c>
      <c r="J6632" s="24" t="str" cm="1">
        <f t="array" ref="J6632">IFERROR(IF($B6632=J$1, ($A6632+$C6632) - MAX(IF($B$2:$B6631=$B6632, $A$2:$A6631+$C$2:$C6631)), "")*24*60, "")</f>
        <v/>
      </c>
      <c r="K6632" s="24" t="str" cm="1">
        <f t="array" ref="K6632">IFERROR(IF($B6632=K$1, ($A6632+$C6632) - MAX(IF($B$2:$B6631=$B6632, $A$2:$A6631+$C$2:$C6631)), "")*24*60, "")</f>
        <v/>
      </c>
      <c r="L6632" s="24" t="str" cm="1">
        <f t="array" ref="L6632">IFERROR(IF($B6632=L$1, ($A6632+$C6632) - MAX(IF($B$2:$B6631=$B6632, $A$2:$A6631+$C$2:$C6631)), "")*24*60, "")</f>
        <v/>
      </c>
      <c r="M6632" s="24" t="str" cm="1">
        <f t="array" ref="M6632">IFERROR(IF($B6632=M$1, ($A6632+$C6632) - MAX(IF($B$2:$B6631=$B6632, $A$2:$A6631+$C$2:$C6631)), "")*24*60, "")</f>
        <v/>
      </c>
      <c r="N6632" s="24" t="str" cm="1">
        <f t="array" ref="N6632">IFERROR(IF($B6632=N$1, ($A6632+$C6632) - MAX(IF($B$2:$B6631=$B6632, $A$2:$A6631+$C$2:$C6631)), "")*24*60, "")</f>
        <v/>
      </c>
      <c r="O6632" s="24" t="str" cm="1">
        <f t="array" ref="O6632">IFERROR(IF($B6632=O$1, ($A6632+$C6632) - MAX(IF($B$2:$B6631=$B6632, $A$2:$A6631+$C$2:$C6631)), "")*24*60, "")</f>
        <v/>
      </c>
      <c r="P6632" s="24" t="str" cm="1">
        <f t="array" ref="P6632">IFERROR(IF($B6632=P$1, ($A6632+$C6632) - MAX(IF($B$2:$B6631=$B6632, $A$2:$A6631+$C$2:$C6631)), "")*24*60, "")</f>
        <v/>
      </c>
      <c r="Q6632" s="24" t="str" cm="1">
        <f t="array" ref="Q6632">IFERROR(IF($B6632=Q$1, ($A6632+$C6632) - MAX(IF($B$2:$B6631=$B6632, $A$2:$A6631+$C$2:$C6631)), "")*24*60, "")</f>
        <v/>
      </c>
      <c r="R6632" s="24" t="str" cm="1">
        <f t="array" ref="R6632">IFERROR(IF($B6632=R$1, ($A6632+$C6632) - MAX(IF($B$2:$B6631=$B6632, $A$2:$A6631+$C$2:$C6631)), "")*24*60, "")</f>
        <v/>
      </c>
      <c r="S6632" s="24" t="str" cm="1">
        <f t="array" ref="S6632">IFERROR(IF($B6632=S$1, ($A6632+$C6632) - MAX(IF($B$2:$B6631=$B6632, $A$2:$A6631+$C$2:$C6631)), "")*24*60, "")</f>
        <v/>
      </c>
    </row>
    <row r="6633" spans="1:19" x14ac:dyDescent="0.2">
      <c r="A6633" s="12">
        <f t="shared" ref="A6633:C6633" si="1523">A6632</f>
        <v>45990</v>
      </c>
      <c r="B6633" s="5" t="str">
        <f t="shared" si="1523"/>
        <v>Northern Cardinal</v>
      </c>
      <c r="C6633" s="6">
        <f t="shared" si="1523"/>
        <v>0.28333333333333333</v>
      </c>
      <c r="D6633" s="5"/>
      <c r="E6633" s="5"/>
      <c r="F6633" s="5" t="s">
        <v>8</v>
      </c>
      <c r="G6633" s="15" t="s">
        <v>9</v>
      </c>
      <c r="H6633" s="24">
        <f t="shared" si="1507"/>
        <v>0</v>
      </c>
      <c r="I6633" s="24" cm="1">
        <f t="array" ref="I6633">IFERROR(IF($B6633=I$1, ($A6633+$C6633) - MAX(IF($B$2:$B6632=$B6633, $A$2:$A6632+$C$2:$C6632)), "")*24*60, "")</f>
        <v>0</v>
      </c>
      <c r="J6633" s="24" t="str" cm="1">
        <f t="array" ref="J6633">IFERROR(IF($B6633=J$1, ($A6633+$C6633) - MAX(IF($B$2:$B6632=$B6633, $A$2:$A6632+$C$2:$C6632)), "")*24*60, "")</f>
        <v/>
      </c>
      <c r="K6633" s="24" t="str" cm="1">
        <f t="array" ref="K6633">IFERROR(IF($B6633=K$1, ($A6633+$C6633) - MAX(IF($B$2:$B6632=$B6633, $A$2:$A6632+$C$2:$C6632)), "")*24*60, "")</f>
        <v/>
      </c>
      <c r="L6633" s="24" t="str" cm="1">
        <f t="array" ref="L6633">IFERROR(IF($B6633=L$1, ($A6633+$C6633) - MAX(IF($B$2:$B6632=$B6633, $A$2:$A6632+$C$2:$C6632)), "")*24*60, "")</f>
        <v/>
      </c>
      <c r="M6633" s="24" t="str" cm="1">
        <f t="array" ref="M6633">IFERROR(IF($B6633=M$1, ($A6633+$C6633) - MAX(IF($B$2:$B6632=$B6633, $A$2:$A6632+$C$2:$C6632)), "")*24*60, "")</f>
        <v/>
      </c>
      <c r="N6633" s="24" t="str" cm="1">
        <f t="array" ref="N6633">IFERROR(IF($B6633=N$1, ($A6633+$C6633) - MAX(IF($B$2:$B6632=$B6633, $A$2:$A6632+$C$2:$C6632)), "")*24*60, "")</f>
        <v/>
      </c>
      <c r="O6633" s="24" t="str" cm="1">
        <f t="array" ref="O6633">IFERROR(IF($B6633=O$1, ($A6633+$C6633) - MAX(IF($B$2:$B6632=$B6633, $A$2:$A6632+$C$2:$C6632)), "")*24*60, "")</f>
        <v/>
      </c>
      <c r="P6633" s="24" t="str" cm="1">
        <f t="array" ref="P6633">IFERROR(IF($B6633=P$1, ($A6633+$C6633) - MAX(IF($B$2:$B6632=$B6633, $A$2:$A6632+$C$2:$C6632)), "")*24*60, "")</f>
        <v/>
      </c>
      <c r="Q6633" s="24" t="str" cm="1">
        <f t="array" ref="Q6633">IFERROR(IF($B6633=Q$1, ($A6633+$C6633) - MAX(IF($B$2:$B6632=$B6633, $A$2:$A6632+$C$2:$C6632)), "")*24*60, "")</f>
        <v/>
      </c>
      <c r="R6633" s="24" t="str" cm="1">
        <f t="array" ref="R6633">IFERROR(IF($B6633=R$1, ($A6633+$C6633) - MAX(IF($B$2:$B6632=$B6633, $A$2:$A6632+$C$2:$C6632)), "")*24*60, "")</f>
        <v/>
      </c>
      <c r="S6633" s="24" t="str" cm="1">
        <f t="array" ref="S6633">IFERROR(IF($B6633=S$1, ($A6633+$C6633) - MAX(IF($B$2:$B6632=$B6633, $A$2:$A6632+$C$2:$C6632)), "")*24*60, "")</f>
        <v/>
      </c>
    </row>
    <row r="6634" spans="1:19" x14ac:dyDescent="0.2">
      <c r="A6634" s="12">
        <f t="shared" ref="A6634:C6634" si="1524">A6633</f>
        <v>45990</v>
      </c>
      <c r="B6634" s="5" t="str">
        <f t="shared" si="1524"/>
        <v>Northern Cardinal</v>
      </c>
      <c r="C6634" s="6">
        <f t="shared" si="1524"/>
        <v>0.28333333333333333</v>
      </c>
      <c r="D6634" s="5"/>
      <c r="E6634" s="5"/>
      <c r="F6634" s="5" t="s">
        <v>8</v>
      </c>
      <c r="G6634" s="15" t="s">
        <v>9</v>
      </c>
      <c r="H6634" s="24">
        <f t="shared" si="1507"/>
        <v>0</v>
      </c>
      <c r="I6634" s="24" cm="1">
        <f t="array" ref="I6634">IFERROR(IF($B6634=I$1, ($A6634+$C6634) - MAX(IF($B$2:$B6633=$B6634, $A$2:$A6633+$C$2:$C6633)), "")*24*60, "")</f>
        <v>0</v>
      </c>
      <c r="J6634" s="24" t="str" cm="1">
        <f t="array" ref="J6634">IFERROR(IF($B6634=J$1, ($A6634+$C6634) - MAX(IF($B$2:$B6633=$B6634, $A$2:$A6633+$C$2:$C6633)), "")*24*60, "")</f>
        <v/>
      </c>
      <c r="K6634" s="24" t="str" cm="1">
        <f t="array" ref="K6634">IFERROR(IF($B6634=K$1, ($A6634+$C6634) - MAX(IF($B$2:$B6633=$B6634, $A$2:$A6633+$C$2:$C6633)), "")*24*60, "")</f>
        <v/>
      </c>
      <c r="L6634" s="24" t="str" cm="1">
        <f t="array" ref="L6634">IFERROR(IF($B6634=L$1, ($A6634+$C6634) - MAX(IF($B$2:$B6633=$B6634, $A$2:$A6633+$C$2:$C6633)), "")*24*60, "")</f>
        <v/>
      </c>
      <c r="M6634" s="24" t="str" cm="1">
        <f t="array" ref="M6634">IFERROR(IF($B6634=M$1, ($A6634+$C6634) - MAX(IF($B$2:$B6633=$B6634, $A$2:$A6633+$C$2:$C6633)), "")*24*60, "")</f>
        <v/>
      </c>
      <c r="N6634" s="24" t="str" cm="1">
        <f t="array" ref="N6634">IFERROR(IF($B6634=N$1, ($A6634+$C6634) - MAX(IF($B$2:$B6633=$B6634, $A$2:$A6633+$C$2:$C6633)), "")*24*60, "")</f>
        <v/>
      </c>
      <c r="O6634" s="24" t="str" cm="1">
        <f t="array" ref="O6634">IFERROR(IF($B6634=O$1, ($A6634+$C6634) - MAX(IF($B$2:$B6633=$B6634, $A$2:$A6633+$C$2:$C6633)), "")*24*60, "")</f>
        <v/>
      </c>
      <c r="P6634" s="24" t="str" cm="1">
        <f t="array" ref="P6634">IFERROR(IF($B6634=P$1, ($A6634+$C6634) - MAX(IF($B$2:$B6633=$B6634, $A$2:$A6633+$C$2:$C6633)), "")*24*60, "")</f>
        <v/>
      </c>
      <c r="Q6634" s="24" t="str" cm="1">
        <f t="array" ref="Q6634">IFERROR(IF($B6634=Q$1, ($A6634+$C6634) - MAX(IF($B$2:$B6633=$B6634, $A$2:$A6633+$C$2:$C6633)), "")*24*60, "")</f>
        <v/>
      </c>
      <c r="R6634" s="24" t="str" cm="1">
        <f t="array" ref="R6634">IFERROR(IF($B6634=R$1, ($A6634+$C6634) - MAX(IF($B$2:$B6633=$B6634, $A$2:$A6633+$C$2:$C6633)), "")*24*60, "")</f>
        <v/>
      </c>
      <c r="S6634" s="24" t="str" cm="1">
        <f t="array" ref="S6634">IFERROR(IF($B6634=S$1, ($A6634+$C6634) - MAX(IF($B$2:$B6633=$B6634, $A$2:$A6633+$C$2:$C6633)), "")*24*60, "")</f>
        <v/>
      </c>
    </row>
    <row r="6635" spans="1:19" x14ac:dyDescent="0.2">
      <c r="A6635" s="12">
        <f t="shared" ref="A6635:C6635" si="1525">A6634</f>
        <v>45990</v>
      </c>
      <c r="B6635" s="5" t="str">
        <f t="shared" si="1525"/>
        <v>Northern Cardinal</v>
      </c>
      <c r="C6635" s="6">
        <f t="shared" si="1525"/>
        <v>0.28333333333333333</v>
      </c>
      <c r="D6635" s="5"/>
      <c r="E6635" s="5"/>
      <c r="F6635" s="5" t="s">
        <v>8</v>
      </c>
      <c r="G6635" s="15" t="s">
        <v>9</v>
      </c>
      <c r="H6635" s="24">
        <f t="shared" si="1507"/>
        <v>0</v>
      </c>
      <c r="I6635" s="24" cm="1">
        <f t="array" ref="I6635">IFERROR(IF($B6635=I$1, ($A6635+$C6635) - MAX(IF($B$2:$B6634=$B6635, $A$2:$A6634+$C$2:$C6634)), "")*24*60, "")</f>
        <v>0</v>
      </c>
      <c r="J6635" s="24" t="str" cm="1">
        <f t="array" ref="J6635">IFERROR(IF($B6635=J$1, ($A6635+$C6635) - MAX(IF($B$2:$B6634=$B6635, $A$2:$A6634+$C$2:$C6634)), "")*24*60, "")</f>
        <v/>
      </c>
      <c r="K6635" s="24" t="str" cm="1">
        <f t="array" ref="K6635">IFERROR(IF($B6635=K$1, ($A6635+$C6635) - MAX(IF($B$2:$B6634=$B6635, $A$2:$A6634+$C$2:$C6634)), "")*24*60, "")</f>
        <v/>
      </c>
      <c r="L6635" s="24" t="str" cm="1">
        <f t="array" ref="L6635">IFERROR(IF($B6635=L$1, ($A6635+$C6635) - MAX(IF($B$2:$B6634=$B6635, $A$2:$A6634+$C$2:$C6634)), "")*24*60, "")</f>
        <v/>
      </c>
      <c r="M6635" s="24" t="str" cm="1">
        <f t="array" ref="M6635">IFERROR(IF($B6635=M$1, ($A6635+$C6635) - MAX(IF($B$2:$B6634=$B6635, $A$2:$A6634+$C$2:$C6634)), "")*24*60, "")</f>
        <v/>
      </c>
      <c r="N6635" s="24" t="str" cm="1">
        <f t="array" ref="N6635">IFERROR(IF($B6635=N$1, ($A6635+$C6635) - MAX(IF($B$2:$B6634=$B6635, $A$2:$A6634+$C$2:$C6634)), "")*24*60, "")</f>
        <v/>
      </c>
      <c r="O6635" s="24" t="str" cm="1">
        <f t="array" ref="O6635">IFERROR(IF($B6635=O$1, ($A6635+$C6635) - MAX(IF($B$2:$B6634=$B6635, $A$2:$A6634+$C$2:$C6634)), "")*24*60, "")</f>
        <v/>
      </c>
      <c r="P6635" s="24" t="str" cm="1">
        <f t="array" ref="P6635">IFERROR(IF($B6635=P$1, ($A6635+$C6635) - MAX(IF($B$2:$B6634=$B6635, $A$2:$A6634+$C$2:$C6634)), "")*24*60, "")</f>
        <v/>
      </c>
      <c r="Q6635" s="24" t="str" cm="1">
        <f t="array" ref="Q6635">IFERROR(IF($B6635=Q$1, ($A6635+$C6635) - MAX(IF($B$2:$B6634=$B6635, $A$2:$A6634+$C$2:$C6634)), "")*24*60, "")</f>
        <v/>
      </c>
      <c r="R6635" s="24" t="str" cm="1">
        <f t="array" ref="R6635">IFERROR(IF($B6635=R$1, ($A6635+$C6635) - MAX(IF($B$2:$B6634=$B6635, $A$2:$A6634+$C$2:$C6634)), "")*24*60, "")</f>
        <v/>
      </c>
      <c r="S6635" s="24" t="str" cm="1">
        <f t="array" ref="S6635">IFERROR(IF($B6635=S$1, ($A6635+$C6635) - MAX(IF($B$2:$B6634=$B6635, $A$2:$A6634+$C$2:$C6634)), "")*24*60, "")</f>
        <v/>
      </c>
    </row>
    <row r="6636" spans="1:19" x14ac:dyDescent="0.2">
      <c r="A6636" s="12">
        <f t="shared" ref="A6636:C6636" si="1526">A6635</f>
        <v>45990</v>
      </c>
      <c r="B6636" s="5" t="str">
        <f t="shared" si="1526"/>
        <v>Northern Cardinal</v>
      </c>
      <c r="C6636" s="6">
        <f t="shared" si="1526"/>
        <v>0.28333333333333333</v>
      </c>
      <c r="D6636" s="5"/>
      <c r="E6636" s="5"/>
      <c r="F6636" s="5" t="s">
        <v>8</v>
      </c>
      <c r="G6636" s="15" t="s">
        <v>9</v>
      </c>
      <c r="H6636" s="24">
        <f t="shared" si="1507"/>
        <v>0</v>
      </c>
      <c r="I6636" s="24" cm="1">
        <f t="array" ref="I6636">IFERROR(IF($B6636=I$1, ($A6636+$C6636) - MAX(IF($B$2:$B6635=$B6636, $A$2:$A6635+$C$2:$C6635)), "")*24*60, "")</f>
        <v>0</v>
      </c>
      <c r="J6636" s="24" t="str" cm="1">
        <f t="array" ref="J6636">IFERROR(IF($B6636=J$1, ($A6636+$C6636) - MAX(IF($B$2:$B6635=$B6636, $A$2:$A6635+$C$2:$C6635)), "")*24*60, "")</f>
        <v/>
      </c>
      <c r="K6636" s="24" t="str" cm="1">
        <f t="array" ref="K6636">IFERROR(IF($B6636=K$1, ($A6636+$C6636) - MAX(IF($B$2:$B6635=$B6636, $A$2:$A6635+$C$2:$C6635)), "")*24*60, "")</f>
        <v/>
      </c>
      <c r="L6636" s="24" t="str" cm="1">
        <f t="array" ref="L6636">IFERROR(IF($B6636=L$1, ($A6636+$C6636) - MAX(IF($B$2:$B6635=$B6636, $A$2:$A6635+$C$2:$C6635)), "")*24*60, "")</f>
        <v/>
      </c>
      <c r="M6636" s="24" t="str" cm="1">
        <f t="array" ref="M6636">IFERROR(IF($B6636=M$1, ($A6636+$C6636) - MAX(IF($B$2:$B6635=$B6636, $A$2:$A6635+$C$2:$C6635)), "")*24*60, "")</f>
        <v/>
      </c>
      <c r="N6636" s="24" t="str" cm="1">
        <f t="array" ref="N6636">IFERROR(IF($B6636=N$1, ($A6636+$C6636) - MAX(IF($B$2:$B6635=$B6636, $A$2:$A6635+$C$2:$C6635)), "")*24*60, "")</f>
        <v/>
      </c>
      <c r="O6636" s="24" t="str" cm="1">
        <f t="array" ref="O6636">IFERROR(IF($B6636=O$1, ($A6636+$C6636) - MAX(IF($B$2:$B6635=$B6636, $A$2:$A6635+$C$2:$C6635)), "")*24*60, "")</f>
        <v/>
      </c>
      <c r="P6636" s="24" t="str" cm="1">
        <f t="array" ref="P6636">IFERROR(IF($B6636=P$1, ($A6636+$C6636) - MAX(IF($B$2:$B6635=$B6636, $A$2:$A6635+$C$2:$C6635)), "")*24*60, "")</f>
        <v/>
      </c>
      <c r="Q6636" s="24" t="str" cm="1">
        <f t="array" ref="Q6636">IFERROR(IF($B6636=Q$1, ($A6636+$C6636) - MAX(IF($B$2:$B6635=$B6636, $A$2:$A6635+$C$2:$C6635)), "")*24*60, "")</f>
        <v/>
      </c>
      <c r="R6636" s="24" t="str" cm="1">
        <f t="array" ref="R6636">IFERROR(IF($B6636=R$1, ($A6636+$C6636) - MAX(IF($B$2:$B6635=$B6636, $A$2:$A6635+$C$2:$C6635)), "")*24*60, "")</f>
        <v/>
      </c>
      <c r="S6636" s="24" t="str" cm="1">
        <f t="array" ref="S6636">IFERROR(IF($B6636=S$1, ($A6636+$C6636) - MAX(IF($B$2:$B6635=$B6636, $A$2:$A6635+$C$2:$C6635)), "")*24*60, "")</f>
        <v/>
      </c>
    </row>
    <row r="6637" spans="1:19" x14ac:dyDescent="0.2">
      <c r="A6637" s="12">
        <f t="shared" ref="A6637:C6637" si="1527">A6636</f>
        <v>45990</v>
      </c>
      <c r="B6637" s="5" t="str">
        <f t="shared" si="1527"/>
        <v>Northern Cardinal</v>
      </c>
      <c r="C6637" s="6">
        <f t="shared" si="1527"/>
        <v>0.28333333333333333</v>
      </c>
      <c r="D6637" s="5"/>
      <c r="E6637" s="5"/>
      <c r="F6637" s="5" t="s">
        <v>8</v>
      </c>
      <c r="G6637" s="15" t="s">
        <v>9</v>
      </c>
      <c r="H6637" s="24">
        <f t="shared" si="1507"/>
        <v>0</v>
      </c>
      <c r="I6637" s="24" cm="1">
        <f t="array" ref="I6637">IFERROR(IF($B6637=I$1, ($A6637+$C6637) - MAX(IF($B$2:$B6636=$B6637, $A$2:$A6636+$C$2:$C6636)), "")*24*60, "")</f>
        <v>0</v>
      </c>
      <c r="J6637" s="24" t="str" cm="1">
        <f t="array" ref="J6637">IFERROR(IF($B6637=J$1, ($A6637+$C6637) - MAX(IF($B$2:$B6636=$B6637, $A$2:$A6636+$C$2:$C6636)), "")*24*60, "")</f>
        <v/>
      </c>
      <c r="K6637" s="24" t="str" cm="1">
        <f t="array" ref="K6637">IFERROR(IF($B6637=K$1, ($A6637+$C6637) - MAX(IF($B$2:$B6636=$B6637, $A$2:$A6636+$C$2:$C6636)), "")*24*60, "")</f>
        <v/>
      </c>
      <c r="L6637" s="24" t="str" cm="1">
        <f t="array" ref="L6637">IFERROR(IF($B6637=L$1, ($A6637+$C6637) - MAX(IF($B$2:$B6636=$B6637, $A$2:$A6636+$C$2:$C6636)), "")*24*60, "")</f>
        <v/>
      </c>
      <c r="M6637" s="24" t="str" cm="1">
        <f t="array" ref="M6637">IFERROR(IF($B6637=M$1, ($A6637+$C6637) - MAX(IF($B$2:$B6636=$B6637, $A$2:$A6636+$C$2:$C6636)), "")*24*60, "")</f>
        <v/>
      </c>
      <c r="N6637" s="24" t="str" cm="1">
        <f t="array" ref="N6637">IFERROR(IF($B6637=N$1, ($A6637+$C6637) - MAX(IF($B$2:$B6636=$B6637, $A$2:$A6636+$C$2:$C6636)), "")*24*60, "")</f>
        <v/>
      </c>
      <c r="O6637" s="24" t="str" cm="1">
        <f t="array" ref="O6637">IFERROR(IF($B6637=O$1, ($A6637+$C6637) - MAX(IF($B$2:$B6636=$B6637, $A$2:$A6636+$C$2:$C6636)), "")*24*60, "")</f>
        <v/>
      </c>
      <c r="P6637" s="24" t="str" cm="1">
        <f t="array" ref="P6637">IFERROR(IF($B6637=P$1, ($A6637+$C6637) - MAX(IF($B$2:$B6636=$B6637, $A$2:$A6636+$C$2:$C6636)), "")*24*60, "")</f>
        <v/>
      </c>
      <c r="Q6637" s="24" t="str" cm="1">
        <f t="array" ref="Q6637">IFERROR(IF($B6637=Q$1, ($A6637+$C6637) - MAX(IF($B$2:$B6636=$B6637, $A$2:$A6636+$C$2:$C6636)), "")*24*60, "")</f>
        <v/>
      </c>
      <c r="R6637" s="24" t="str" cm="1">
        <f t="array" ref="R6637">IFERROR(IF($B6637=R$1, ($A6637+$C6637) - MAX(IF($B$2:$B6636=$B6637, $A$2:$A6636+$C$2:$C6636)), "")*24*60, "")</f>
        <v/>
      </c>
      <c r="S6637" s="24" t="str" cm="1">
        <f t="array" ref="S6637">IFERROR(IF($B6637=S$1, ($A6637+$C6637) - MAX(IF($B$2:$B6636=$B6637, $A$2:$A6636+$C$2:$C6636)), "")*24*60, "")</f>
        <v/>
      </c>
    </row>
    <row r="6638" spans="1:19" x14ac:dyDescent="0.2">
      <c r="A6638" s="12">
        <f t="shared" ref="A6638:C6638" si="1528">A6637</f>
        <v>45990</v>
      </c>
      <c r="B6638" s="5" t="str">
        <f t="shared" si="1528"/>
        <v>Northern Cardinal</v>
      </c>
      <c r="C6638" s="6">
        <f t="shared" si="1528"/>
        <v>0.28333333333333333</v>
      </c>
      <c r="D6638" s="5"/>
      <c r="E6638" s="5"/>
      <c r="F6638" s="5" t="s">
        <v>8</v>
      </c>
      <c r="G6638" s="15" t="s">
        <v>9</v>
      </c>
      <c r="H6638" s="24">
        <f t="shared" si="1507"/>
        <v>0</v>
      </c>
      <c r="I6638" s="24" cm="1">
        <f t="array" ref="I6638">IFERROR(IF($B6638=I$1, ($A6638+$C6638) - MAX(IF($B$2:$B6637=$B6638, $A$2:$A6637+$C$2:$C6637)), "")*24*60, "")</f>
        <v>0</v>
      </c>
      <c r="J6638" s="24" t="str" cm="1">
        <f t="array" ref="J6638">IFERROR(IF($B6638=J$1, ($A6638+$C6638) - MAX(IF($B$2:$B6637=$B6638, $A$2:$A6637+$C$2:$C6637)), "")*24*60, "")</f>
        <v/>
      </c>
      <c r="K6638" s="24" t="str" cm="1">
        <f t="array" ref="K6638">IFERROR(IF($B6638=K$1, ($A6638+$C6638) - MAX(IF($B$2:$B6637=$B6638, $A$2:$A6637+$C$2:$C6637)), "")*24*60, "")</f>
        <v/>
      </c>
      <c r="L6638" s="24" t="str" cm="1">
        <f t="array" ref="L6638">IFERROR(IF($B6638=L$1, ($A6638+$C6638) - MAX(IF($B$2:$B6637=$B6638, $A$2:$A6637+$C$2:$C6637)), "")*24*60, "")</f>
        <v/>
      </c>
      <c r="M6638" s="24" t="str" cm="1">
        <f t="array" ref="M6638">IFERROR(IF($B6638=M$1, ($A6638+$C6638) - MAX(IF($B$2:$B6637=$B6638, $A$2:$A6637+$C$2:$C6637)), "")*24*60, "")</f>
        <v/>
      </c>
      <c r="N6638" s="24" t="str" cm="1">
        <f t="array" ref="N6638">IFERROR(IF($B6638=N$1, ($A6638+$C6638) - MAX(IF($B$2:$B6637=$B6638, $A$2:$A6637+$C$2:$C6637)), "")*24*60, "")</f>
        <v/>
      </c>
      <c r="O6638" s="24" t="str" cm="1">
        <f t="array" ref="O6638">IFERROR(IF($B6638=O$1, ($A6638+$C6638) - MAX(IF($B$2:$B6637=$B6638, $A$2:$A6637+$C$2:$C6637)), "")*24*60, "")</f>
        <v/>
      </c>
      <c r="P6638" s="24" t="str" cm="1">
        <f t="array" ref="P6638">IFERROR(IF($B6638=P$1, ($A6638+$C6638) - MAX(IF($B$2:$B6637=$B6638, $A$2:$A6637+$C$2:$C6637)), "")*24*60, "")</f>
        <v/>
      </c>
      <c r="Q6638" s="24" t="str" cm="1">
        <f t="array" ref="Q6638">IFERROR(IF($B6638=Q$1, ($A6638+$C6638) - MAX(IF($B$2:$B6637=$B6638, $A$2:$A6637+$C$2:$C6637)), "")*24*60, "")</f>
        <v/>
      </c>
      <c r="R6638" s="24" t="str" cm="1">
        <f t="array" ref="R6638">IFERROR(IF($B6638=R$1, ($A6638+$C6638) - MAX(IF($B$2:$B6637=$B6638, $A$2:$A6637+$C$2:$C6637)), "")*24*60, "")</f>
        <v/>
      </c>
      <c r="S6638" s="24" t="str" cm="1">
        <f t="array" ref="S6638">IFERROR(IF($B6638=S$1, ($A6638+$C6638) - MAX(IF($B$2:$B6637=$B6638, $A$2:$A6637+$C$2:$C6637)), "")*24*60, "")</f>
        <v/>
      </c>
    </row>
    <row r="6639" spans="1:19" x14ac:dyDescent="0.2">
      <c r="A6639" s="12">
        <f t="shared" ref="A6639:C6639" si="1529">A6638</f>
        <v>45990</v>
      </c>
      <c r="B6639" s="5" t="str">
        <f t="shared" si="1529"/>
        <v>Northern Cardinal</v>
      </c>
      <c r="C6639" s="6">
        <f t="shared" si="1529"/>
        <v>0.28333333333333333</v>
      </c>
      <c r="D6639" s="5"/>
      <c r="E6639" s="5"/>
      <c r="F6639" s="5" t="s">
        <v>8</v>
      </c>
      <c r="G6639" s="15" t="s">
        <v>9</v>
      </c>
      <c r="H6639" s="24">
        <f t="shared" si="1507"/>
        <v>0</v>
      </c>
      <c r="I6639" s="24" cm="1">
        <f t="array" ref="I6639">IFERROR(IF($B6639=I$1, ($A6639+$C6639) - MAX(IF($B$2:$B6638=$B6639, $A$2:$A6638+$C$2:$C6638)), "")*24*60, "")</f>
        <v>0</v>
      </c>
      <c r="J6639" s="24" t="str" cm="1">
        <f t="array" ref="J6639">IFERROR(IF($B6639=J$1, ($A6639+$C6639) - MAX(IF($B$2:$B6638=$B6639, $A$2:$A6638+$C$2:$C6638)), "")*24*60, "")</f>
        <v/>
      </c>
      <c r="K6639" s="24" t="str" cm="1">
        <f t="array" ref="K6639">IFERROR(IF($B6639=K$1, ($A6639+$C6639) - MAX(IF($B$2:$B6638=$B6639, $A$2:$A6638+$C$2:$C6638)), "")*24*60, "")</f>
        <v/>
      </c>
      <c r="L6639" s="24" t="str" cm="1">
        <f t="array" ref="L6639">IFERROR(IF($B6639=L$1, ($A6639+$C6639) - MAX(IF($B$2:$B6638=$B6639, $A$2:$A6638+$C$2:$C6638)), "")*24*60, "")</f>
        <v/>
      </c>
      <c r="M6639" s="24" t="str" cm="1">
        <f t="array" ref="M6639">IFERROR(IF($B6639=M$1, ($A6639+$C6639) - MAX(IF($B$2:$B6638=$B6639, $A$2:$A6638+$C$2:$C6638)), "")*24*60, "")</f>
        <v/>
      </c>
      <c r="N6639" s="24" t="str" cm="1">
        <f t="array" ref="N6639">IFERROR(IF($B6639=N$1, ($A6639+$C6639) - MAX(IF($B$2:$B6638=$B6639, $A$2:$A6638+$C$2:$C6638)), "")*24*60, "")</f>
        <v/>
      </c>
      <c r="O6639" s="24" t="str" cm="1">
        <f t="array" ref="O6639">IFERROR(IF($B6639=O$1, ($A6639+$C6639) - MAX(IF($B$2:$B6638=$B6639, $A$2:$A6638+$C$2:$C6638)), "")*24*60, "")</f>
        <v/>
      </c>
      <c r="P6639" s="24" t="str" cm="1">
        <f t="array" ref="P6639">IFERROR(IF($B6639=P$1, ($A6639+$C6639) - MAX(IF($B$2:$B6638=$B6639, $A$2:$A6638+$C$2:$C6638)), "")*24*60, "")</f>
        <v/>
      </c>
      <c r="Q6639" s="24" t="str" cm="1">
        <f t="array" ref="Q6639">IFERROR(IF($B6639=Q$1, ($A6639+$C6639) - MAX(IF($B$2:$B6638=$B6639, $A$2:$A6638+$C$2:$C6638)), "")*24*60, "")</f>
        <v/>
      </c>
      <c r="R6639" s="24" t="str" cm="1">
        <f t="array" ref="R6639">IFERROR(IF($B6639=R$1, ($A6639+$C6639) - MAX(IF($B$2:$B6638=$B6639, $A$2:$A6638+$C$2:$C6638)), "")*24*60, "")</f>
        <v/>
      </c>
      <c r="S6639" s="24" t="str" cm="1">
        <f t="array" ref="S6639">IFERROR(IF($B6639=S$1, ($A6639+$C6639) - MAX(IF($B$2:$B6638=$B6639, $A$2:$A6638+$C$2:$C6638)), "")*24*60, "")</f>
        <v/>
      </c>
    </row>
    <row r="6640" spans="1:19" x14ac:dyDescent="0.2">
      <c r="A6640" s="12">
        <f t="shared" ref="A6640:C6640" si="1530">A6639</f>
        <v>45990</v>
      </c>
      <c r="B6640" s="5" t="str">
        <f t="shared" si="1530"/>
        <v>Northern Cardinal</v>
      </c>
      <c r="C6640" s="6">
        <f t="shared" si="1530"/>
        <v>0.28333333333333333</v>
      </c>
      <c r="D6640" s="5"/>
      <c r="E6640" s="5"/>
      <c r="F6640" s="5" t="s">
        <v>8</v>
      </c>
      <c r="G6640" s="15" t="s">
        <v>9</v>
      </c>
      <c r="H6640" s="24">
        <f t="shared" si="1507"/>
        <v>0</v>
      </c>
      <c r="I6640" s="24" cm="1">
        <f t="array" ref="I6640">IFERROR(IF($B6640=I$1, ($A6640+$C6640) - MAX(IF($B$2:$B6639=$B6640, $A$2:$A6639+$C$2:$C6639)), "")*24*60, "")</f>
        <v>0</v>
      </c>
      <c r="J6640" s="24" t="str" cm="1">
        <f t="array" ref="J6640">IFERROR(IF($B6640=J$1, ($A6640+$C6640) - MAX(IF($B$2:$B6639=$B6640, $A$2:$A6639+$C$2:$C6639)), "")*24*60, "")</f>
        <v/>
      </c>
      <c r="K6640" s="24" t="str" cm="1">
        <f t="array" ref="K6640">IFERROR(IF($B6640=K$1, ($A6640+$C6640) - MAX(IF($B$2:$B6639=$B6640, $A$2:$A6639+$C$2:$C6639)), "")*24*60, "")</f>
        <v/>
      </c>
      <c r="L6640" s="24" t="str" cm="1">
        <f t="array" ref="L6640">IFERROR(IF($B6640=L$1, ($A6640+$C6640) - MAX(IF($B$2:$B6639=$B6640, $A$2:$A6639+$C$2:$C6639)), "")*24*60, "")</f>
        <v/>
      </c>
      <c r="M6640" s="24" t="str" cm="1">
        <f t="array" ref="M6640">IFERROR(IF($B6640=M$1, ($A6640+$C6640) - MAX(IF($B$2:$B6639=$B6640, $A$2:$A6639+$C$2:$C6639)), "")*24*60, "")</f>
        <v/>
      </c>
      <c r="N6640" s="24" t="str" cm="1">
        <f t="array" ref="N6640">IFERROR(IF($B6640=N$1, ($A6640+$C6640) - MAX(IF($B$2:$B6639=$B6640, $A$2:$A6639+$C$2:$C6639)), "")*24*60, "")</f>
        <v/>
      </c>
      <c r="O6640" s="24" t="str" cm="1">
        <f t="array" ref="O6640">IFERROR(IF($B6640=O$1, ($A6640+$C6640) - MAX(IF($B$2:$B6639=$B6640, $A$2:$A6639+$C$2:$C6639)), "")*24*60, "")</f>
        <v/>
      </c>
      <c r="P6640" s="24" t="str" cm="1">
        <f t="array" ref="P6640">IFERROR(IF($B6640=P$1, ($A6640+$C6640) - MAX(IF($B$2:$B6639=$B6640, $A$2:$A6639+$C$2:$C6639)), "")*24*60, "")</f>
        <v/>
      </c>
      <c r="Q6640" s="24" t="str" cm="1">
        <f t="array" ref="Q6640">IFERROR(IF($B6640=Q$1, ($A6640+$C6640) - MAX(IF($B$2:$B6639=$B6640, $A$2:$A6639+$C$2:$C6639)), "")*24*60, "")</f>
        <v/>
      </c>
      <c r="R6640" s="24" t="str" cm="1">
        <f t="array" ref="R6640">IFERROR(IF($B6640=R$1, ($A6640+$C6640) - MAX(IF($B$2:$B6639=$B6640, $A$2:$A6639+$C$2:$C6639)), "")*24*60, "")</f>
        <v/>
      </c>
      <c r="S6640" s="24" t="str" cm="1">
        <f t="array" ref="S6640">IFERROR(IF($B6640=S$1, ($A6640+$C6640) - MAX(IF($B$2:$B6639=$B6640, $A$2:$A6639+$C$2:$C6639)), "")*24*60, "")</f>
        <v/>
      </c>
    </row>
    <row r="6641" spans="1:19" x14ac:dyDescent="0.2">
      <c r="A6641" s="12">
        <f t="shared" ref="A6641:C6641" si="1531">A6640</f>
        <v>45990</v>
      </c>
      <c r="B6641" s="5" t="str">
        <f t="shared" si="1531"/>
        <v>Northern Cardinal</v>
      </c>
      <c r="C6641" s="6">
        <f t="shared" si="1531"/>
        <v>0.28333333333333333</v>
      </c>
      <c r="D6641" s="5"/>
      <c r="E6641" s="5"/>
      <c r="F6641" s="5" t="s">
        <v>8</v>
      </c>
      <c r="G6641" s="15" t="s">
        <v>9</v>
      </c>
      <c r="H6641" s="24">
        <f t="shared" si="1507"/>
        <v>0</v>
      </c>
      <c r="I6641" s="24" cm="1">
        <f t="array" ref="I6641">IFERROR(IF($B6641=I$1, ($A6641+$C6641) - MAX(IF($B$2:$B6640=$B6641, $A$2:$A6640+$C$2:$C6640)), "")*24*60, "")</f>
        <v>0</v>
      </c>
      <c r="J6641" s="24" t="str" cm="1">
        <f t="array" ref="J6641">IFERROR(IF($B6641=J$1, ($A6641+$C6641) - MAX(IF($B$2:$B6640=$B6641, $A$2:$A6640+$C$2:$C6640)), "")*24*60, "")</f>
        <v/>
      </c>
      <c r="K6641" s="24" t="str" cm="1">
        <f t="array" ref="K6641">IFERROR(IF($B6641=K$1, ($A6641+$C6641) - MAX(IF($B$2:$B6640=$B6641, $A$2:$A6640+$C$2:$C6640)), "")*24*60, "")</f>
        <v/>
      </c>
      <c r="L6641" s="24" t="str" cm="1">
        <f t="array" ref="L6641">IFERROR(IF($B6641=L$1, ($A6641+$C6641) - MAX(IF($B$2:$B6640=$B6641, $A$2:$A6640+$C$2:$C6640)), "")*24*60, "")</f>
        <v/>
      </c>
      <c r="M6641" s="24" t="str" cm="1">
        <f t="array" ref="M6641">IFERROR(IF($B6641=M$1, ($A6641+$C6641) - MAX(IF($B$2:$B6640=$B6641, $A$2:$A6640+$C$2:$C6640)), "")*24*60, "")</f>
        <v/>
      </c>
      <c r="N6641" s="24" t="str" cm="1">
        <f t="array" ref="N6641">IFERROR(IF($B6641=N$1, ($A6641+$C6641) - MAX(IF($B$2:$B6640=$B6641, $A$2:$A6640+$C$2:$C6640)), "")*24*60, "")</f>
        <v/>
      </c>
      <c r="O6641" s="24" t="str" cm="1">
        <f t="array" ref="O6641">IFERROR(IF($B6641=O$1, ($A6641+$C6641) - MAX(IF($B$2:$B6640=$B6641, $A$2:$A6640+$C$2:$C6640)), "")*24*60, "")</f>
        <v/>
      </c>
      <c r="P6641" s="24" t="str" cm="1">
        <f t="array" ref="P6641">IFERROR(IF($B6641=P$1, ($A6641+$C6641) - MAX(IF($B$2:$B6640=$B6641, $A$2:$A6640+$C$2:$C6640)), "")*24*60, "")</f>
        <v/>
      </c>
      <c r="Q6641" s="24" t="str" cm="1">
        <f t="array" ref="Q6641">IFERROR(IF($B6641=Q$1, ($A6641+$C6641) - MAX(IF($B$2:$B6640=$B6641, $A$2:$A6640+$C$2:$C6640)), "")*24*60, "")</f>
        <v/>
      </c>
      <c r="R6641" s="24" t="str" cm="1">
        <f t="array" ref="R6641">IFERROR(IF($B6641=R$1, ($A6641+$C6641) - MAX(IF($B$2:$B6640=$B6641, $A$2:$A6640+$C$2:$C6640)), "")*24*60, "")</f>
        <v/>
      </c>
      <c r="S6641" s="24" t="str" cm="1">
        <f t="array" ref="S6641">IFERROR(IF($B6641=S$1, ($A6641+$C6641) - MAX(IF($B$2:$B6640=$B6641, $A$2:$A6640+$C$2:$C6640)), "")*24*60, "")</f>
        <v/>
      </c>
    </row>
    <row r="6642" spans="1:19" x14ac:dyDescent="0.2">
      <c r="A6642" s="12">
        <f t="shared" ref="A6642:C6642" si="1532">A6641</f>
        <v>45990</v>
      </c>
      <c r="B6642" s="5" t="str">
        <f t="shared" si="1532"/>
        <v>Northern Cardinal</v>
      </c>
      <c r="C6642" s="6">
        <f t="shared" si="1532"/>
        <v>0.28333333333333333</v>
      </c>
      <c r="D6642" s="5"/>
      <c r="E6642" s="5"/>
      <c r="F6642" s="5" t="s">
        <v>8</v>
      </c>
      <c r="G6642" s="15" t="s">
        <v>9</v>
      </c>
      <c r="H6642" s="24">
        <f t="shared" si="1507"/>
        <v>0</v>
      </c>
      <c r="I6642" s="24" cm="1">
        <f t="array" ref="I6642">IFERROR(IF($B6642=I$1, ($A6642+$C6642) - MAX(IF($B$2:$B6641=$B6642, $A$2:$A6641+$C$2:$C6641)), "")*24*60, "")</f>
        <v>0</v>
      </c>
      <c r="J6642" s="24" t="str" cm="1">
        <f t="array" ref="J6642">IFERROR(IF($B6642=J$1, ($A6642+$C6642) - MAX(IF($B$2:$B6641=$B6642, $A$2:$A6641+$C$2:$C6641)), "")*24*60, "")</f>
        <v/>
      </c>
      <c r="K6642" s="24" t="str" cm="1">
        <f t="array" ref="K6642">IFERROR(IF($B6642=K$1, ($A6642+$C6642) - MAX(IF($B$2:$B6641=$B6642, $A$2:$A6641+$C$2:$C6641)), "")*24*60, "")</f>
        <v/>
      </c>
      <c r="L6642" s="24" t="str" cm="1">
        <f t="array" ref="L6642">IFERROR(IF($B6642=L$1, ($A6642+$C6642) - MAX(IF($B$2:$B6641=$B6642, $A$2:$A6641+$C$2:$C6641)), "")*24*60, "")</f>
        <v/>
      </c>
      <c r="M6642" s="24" t="str" cm="1">
        <f t="array" ref="M6642">IFERROR(IF($B6642=M$1, ($A6642+$C6642) - MAX(IF($B$2:$B6641=$B6642, $A$2:$A6641+$C$2:$C6641)), "")*24*60, "")</f>
        <v/>
      </c>
      <c r="N6642" s="24" t="str" cm="1">
        <f t="array" ref="N6642">IFERROR(IF($B6642=N$1, ($A6642+$C6642) - MAX(IF($B$2:$B6641=$B6642, $A$2:$A6641+$C$2:$C6641)), "")*24*60, "")</f>
        <v/>
      </c>
      <c r="O6642" s="24" t="str" cm="1">
        <f t="array" ref="O6642">IFERROR(IF($B6642=O$1, ($A6642+$C6642) - MAX(IF($B$2:$B6641=$B6642, $A$2:$A6641+$C$2:$C6641)), "")*24*60, "")</f>
        <v/>
      </c>
      <c r="P6642" s="24" t="str" cm="1">
        <f t="array" ref="P6642">IFERROR(IF($B6642=P$1, ($A6642+$C6642) - MAX(IF($B$2:$B6641=$B6642, $A$2:$A6641+$C$2:$C6641)), "")*24*60, "")</f>
        <v/>
      </c>
      <c r="Q6642" s="24" t="str" cm="1">
        <f t="array" ref="Q6642">IFERROR(IF($B6642=Q$1, ($A6642+$C6642) - MAX(IF($B$2:$B6641=$B6642, $A$2:$A6641+$C$2:$C6641)), "")*24*60, "")</f>
        <v/>
      </c>
      <c r="R6642" s="24" t="str" cm="1">
        <f t="array" ref="R6642">IFERROR(IF($B6642=R$1, ($A6642+$C6642) - MAX(IF($B$2:$B6641=$B6642, $A$2:$A6641+$C$2:$C6641)), "")*24*60, "")</f>
        <v/>
      </c>
      <c r="S6642" s="24" t="str" cm="1">
        <f t="array" ref="S6642">IFERROR(IF($B6642=S$1, ($A6642+$C6642) - MAX(IF($B$2:$B6641=$B6642, $A$2:$A6641+$C$2:$C6641)), "")*24*60, "")</f>
        <v/>
      </c>
    </row>
    <row r="6643" spans="1:19" x14ac:dyDescent="0.2">
      <c r="A6643" s="12">
        <f t="shared" ref="A6643:C6643" si="1533">A6642</f>
        <v>45990</v>
      </c>
      <c r="B6643" s="5" t="str">
        <f t="shared" si="1533"/>
        <v>Northern Cardinal</v>
      </c>
      <c r="C6643" s="6">
        <f t="shared" si="1533"/>
        <v>0.28333333333333333</v>
      </c>
      <c r="D6643" s="5"/>
      <c r="E6643" s="5"/>
      <c r="F6643" s="5" t="s">
        <v>8</v>
      </c>
      <c r="G6643" s="15" t="s">
        <v>9</v>
      </c>
      <c r="H6643" s="24">
        <f t="shared" si="1507"/>
        <v>0</v>
      </c>
      <c r="I6643" s="24" cm="1">
        <f t="array" ref="I6643">IFERROR(IF($B6643=I$1, ($A6643+$C6643) - MAX(IF($B$2:$B6642=$B6643, $A$2:$A6642+$C$2:$C6642)), "")*24*60, "")</f>
        <v>0</v>
      </c>
      <c r="J6643" s="24" t="str" cm="1">
        <f t="array" ref="J6643">IFERROR(IF($B6643=J$1, ($A6643+$C6643) - MAX(IF($B$2:$B6642=$B6643, $A$2:$A6642+$C$2:$C6642)), "")*24*60, "")</f>
        <v/>
      </c>
      <c r="K6643" s="24" t="str" cm="1">
        <f t="array" ref="K6643">IFERROR(IF($B6643=K$1, ($A6643+$C6643) - MAX(IF($B$2:$B6642=$B6643, $A$2:$A6642+$C$2:$C6642)), "")*24*60, "")</f>
        <v/>
      </c>
      <c r="L6643" s="24" t="str" cm="1">
        <f t="array" ref="L6643">IFERROR(IF($B6643=L$1, ($A6643+$C6643) - MAX(IF($B$2:$B6642=$B6643, $A$2:$A6642+$C$2:$C6642)), "")*24*60, "")</f>
        <v/>
      </c>
      <c r="M6643" s="24" t="str" cm="1">
        <f t="array" ref="M6643">IFERROR(IF($B6643=M$1, ($A6643+$C6643) - MAX(IF($B$2:$B6642=$B6643, $A$2:$A6642+$C$2:$C6642)), "")*24*60, "")</f>
        <v/>
      </c>
      <c r="N6643" s="24" t="str" cm="1">
        <f t="array" ref="N6643">IFERROR(IF($B6643=N$1, ($A6643+$C6643) - MAX(IF($B$2:$B6642=$B6643, $A$2:$A6642+$C$2:$C6642)), "")*24*60, "")</f>
        <v/>
      </c>
      <c r="O6643" s="24" t="str" cm="1">
        <f t="array" ref="O6643">IFERROR(IF($B6643=O$1, ($A6643+$C6643) - MAX(IF($B$2:$B6642=$B6643, $A$2:$A6642+$C$2:$C6642)), "")*24*60, "")</f>
        <v/>
      </c>
      <c r="P6643" s="24" t="str" cm="1">
        <f t="array" ref="P6643">IFERROR(IF($B6643=P$1, ($A6643+$C6643) - MAX(IF($B$2:$B6642=$B6643, $A$2:$A6642+$C$2:$C6642)), "")*24*60, "")</f>
        <v/>
      </c>
      <c r="Q6643" s="24" t="str" cm="1">
        <f t="array" ref="Q6643">IFERROR(IF($B6643=Q$1, ($A6643+$C6643) - MAX(IF($B$2:$B6642=$B6643, $A$2:$A6642+$C$2:$C6642)), "")*24*60, "")</f>
        <v/>
      </c>
      <c r="R6643" s="24" t="str" cm="1">
        <f t="array" ref="R6643">IFERROR(IF($B6643=R$1, ($A6643+$C6643) - MAX(IF($B$2:$B6642=$B6643, $A$2:$A6642+$C$2:$C6642)), "")*24*60, "")</f>
        <v/>
      </c>
      <c r="S6643" s="24" t="str" cm="1">
        <f t="array" ref="S6643">IFERROR(IF($B6643=S$1, ($A6643+$C6643) - MAX(IF($B$2:$B6642=$B6643, $A$2:$A6642+$C$2:$C6642)), "")*24*60, "")</f>
        <v/>
      </c>
    </row>
    <row r="6644" spans="1:19" x14ac:dyDescent="0.2">
      <c r="A6644" s="12">
        <f t="shared" ref="A6644:C6644" si="1534">A6643</f>
        <v>45990</v>
      </c>
      <c r="B6644" s="5" t="str">
        <f t="shared" si="1534"/>
        <v>Northern Cardinal</v>
      </c>
      <c r="C6644" s="6">
        <f t="shared" si="1534"/>
        <v>0.28333333333333333</v>
      </c>
      <c r="D6644" s="5"/>
      <c r="E6644" s="5"/>
      <c r="F6644" s="5" t="s">
        <v>8</v>
      </c>
      <c r="G6644" s="15" t="s">
        <v>9</v>
      </c>
      <c r="H6644" s="24">
        <f t="shared" si="1507"/>
        <v>0</v>
      </c>
      <c r="I6644" s="24" cm="1">
        <f t="array" ref="I6644">IFERROR(IF($B6644=I$1, ($A6644+$C6644) - MAX(IF($B$2:$B6643=$B6644, $A$2:$A6643+$C$2:$C6643)), "")*24*60, "")</f>
        <v>0</v>
      </c>
      <c r="J6644" s="24" t="str" cm="1">
        <f t="array" ref="J6644">IFERROR(IF($B6644=J$1, ($A6644+$C6644) - MAX(IF($B$2:$B6643=$B6644, $A$2:$A6643+$C$2:$C6643)), "")*24*60, "")</f>
        <v/>
      </c>
      <c r="K6644" s="24" t="str" cm="1">
        <f t="array" ref="K6644">IFERROR(IF($B6644=K$1, ($A6644+$C6644) - MAX(IF($B$2:$B6643=$B6644, $A$2:$A6643+$C$2:$C6643)), "")*24*60, "")</f>
        <v/>
      </c>
      <c r="L6644" s="24" t="str" cm="1">
        <f t="array" ref="L6644">IFERROR(IF($B6644=L$1, ($A6644+$C6644) - MAX(IF($B$2:$B6643=$B6644, $A$2:$A6643+$C$2:$C6643)), "")*24*60, "")</f>
        <v/>
      </c>
      <c r="M6644" s="24" t="str" cm="1">
        <f t="array" ref="M6644">IFERROR(IF($B6644=M$1, ($A6644+$C6644) - MAX(IF($B$2:$B6643=$B6644, $A$2:$A6643+$C$2:$C6643)), "")*24*60, "")</f>
        <v/>
      </c>
      <c r="N6644" s="24" t="str" cm="1">
        <f t="array" ref="N6644">IFERROR(IF($B6644=N$1, ($A6644+$C6644) - MAX(IF($B$2:$B6643=$B6644, $A$2:$A6643+$C$2:$C6643)), "")*24*60, "")</f>
        <v/>
      </c>
      <c r="O6644" s="24" t="str" cm="1">
        <f t="array" ref="O6644">IFERROR(IF($B6644=O$1, ($A6644+$C6644) - MAX(IF($B$2:$B6643=$B6644, $A$2:$A6643+$C$2:$C6643)), "")*24*60, "")</f>
        <v/>
      </c>
      <c r="P6644" s="24" t="str" cm="1">
        <f t="array" ref="P6644">IFERROR(IF($B6644=P$1, ($A6644+$C6644) - MAX(IF($B$2:$B6643=$B6644, $A$2:$A6643+$C$2:$C6643)), "")*24*60, "")</f>
        <v/>
      </c>
      <c r="Q6644" s="24" t="str" cm="1">
        <f t="array" ref="Q6644">IFERROR(IF($B6644=Q$1, ($A6644+$C6644) - MAX(IF($B$2:$B6643=$B6644, $A$2:$A6643+$C$2:$C6643)), "")*24*60, "")</f>
        <v/>
      </c>
      <c r="R6644" s="24" t="str" cm="1">
        <f t="array" ref="R6644">IFERROR(IF($B6644=R$1, ($A6644+$C6644) - MAX(IF($B$2:$B6643=$B6644, $A$2:$A6643+$C$2:$C6643)), "")*24*60, "")</f>
        <v/>
      </c>
      <c r="S6644" s="24" t="str" cm="1">
        <f t="array" ref="S6644">IFERROR(IF($B6644=S$1, ($A6644+$C6644) - MAX(IF($B$2:$B6643=$B6644, $A$2:$A6643+$C$2:$C6643)), "")*24*60, "")</f>
        <v/>
      </c>
    </row>
    <row r="6645" spans="1:19" x14ac:dyDescent="0.2">
      <c r="A6645" s="12">
        <f t="shared" ref="A6645:C6645" si="1535">A6644</f>
        <v>45990</v>
      </c>
      <c r="B6645" s="5" t="str">
        <f t="shared" si="1535"/>
        <v>Northern Cardinal</v>
      </c>
      <c r="C6645" s="6">
        <f t="shared" si="1535"/>
        <v>0.28333333333333333</v>
      </c>
      <c r="D6645" s="5"/>
      <c r="E6645" s="5"/>
      <c r="F6645" s="5" t="s">
        <v>8</v>
      </c>
      <c r="G6645" s="15" t="s">
        <v>9</v>
      </c>
      <c r="H6645" s="24">
        <f t="shared" si="1507"/>
        <v>0</v>
      </c>
      <c r="I6645" s="24" cm="1">
        <f t="array" ref="I6645">IFERROR(IF($B6645=I$1, ($A6645+$C6645) - MAX(IF($B$2:$B6644=$B6645, $A$2:$A6644+$C$2:$C6644)), "")*24*60, "")</f>
        <v>0</v>
      </c>
      <c r="J6645" s="24" t="str" cm="1">
        <f t="array" ref="J6645">IFERROR(IF($B6645=J$1, ($A6645+$C6645) - MAX(IF($B$2:$B6644=$B6645, $A$2:$A6644+$C$2:$C6644)), "")*24*60, "")</f>
        <v/>
      </c>
      <c r="K6645" s="24" t="str" cm="1">
        <f t="array" ref="K6645">IFERROR(IF($B6645=K$1, ($A6645+$C6645) - MAX(IF($B$2:$B6644=$B6645, $A$2:$A6644+$C$2:$C6644)), "")*24*60, "")</f>
        <v/>
      </c>
      <c r="L6645" s="24" t="str" cm="1">
        <f t="array" ref="L6645">IFERROR(IF($B6645=L$1, ($A6645+$C6645) - MAX(IF($B$2:$B6644=$B6645, $A$2:$A6644+$C$2:$C6644)), "")*24*60, "")</f>
        <v/>
      </c>
      <c r="M6645" s="24" t="str" cm="1">
        <f t="array" ref="M6645">IFERROR(IF($B6645=M$1, ($A6645+$C6645) - MAX(IF($B$2:$B6644=$B6645, $A$2:$A6644+$C$2:$C6644)), "")*24*60, "")</f>
        <v/>
      </c>
      <c r="N6645" s="24" t="str" cm="1">
        <f t="array" ref="N6645">IFERROR(IF($B6645=N$1, ($A6645+$C6645) - MAX(IF($B$2:$B6644=$B6645, $A$2:$A6644+$C$2:$C6644)), "")*24*60, "")</f>
        <v/>
      </c>
      <c r="O6645" s="24" t="str" cm="1">
        <f t="array" ref="O6645">IFERROR(IF($B6645=O$1, ($A6645+$C6645) - MAX(IF($B$2:$B6644=$B6645, $A$2:$A6644+$C$2:$C6644)), "")*24*60, "")</f>
        <v/>
      </c>
      <c r="P6645" s="24" t="str" cm="1">
        <f t="array" ref="P6645">IFERROR(IF($B6645=P$1, ($A6645+$C6645) - MAX(IF($B$2:$B6644=$B6645, $A$2:$A6644+$C$2:$C6644)), "")*24*60, "")</f>
        <v/>
      </c>
      <c r="Q6645" s="24" t="str" cm="1">
        <f t="array" ref="Q6645">IFERROR(IF($B6645=Q$1, ($A6645+$C6645) - MAX(IF($B$2:$B6644=$B6645, $A$2:$A6644+$C$2:$C6644)), "")*24*60, "")</f>
        <v/>
      </c>
      <c r="R6645" s="24" t="str" cm="1">
        <f t="array" ref="R6645">IFERROR(IF($B6645=R$1, ($A6645+$C6645) - MAX(IF($B$2:$B6644=$B6645, $A$2:$A6644+$C$2:$C6644)), "")*24*60, "")</f>
        <v/>
      </c>
      <c r="S6645" s="24" t="str" cm="1">
        <f t="array" ref="S6645">IFERROR(IF($B6645=S$1, ($A6645+$C6645) - MAX(IF($B$2:$B6644=$B6645, $A$2:$A6644+$C$2:$C6644)), "")*24*60, "")</f>
        <v/>
      </c>
    </row>
    <row r="6646" spans="1:19" x14ac:dyDescent="0.2">
      <c r="A6646" s="12">
        <f t="shared" ref="A6646:C6646" si="1536">A6645</f>
        <v>45990</v>
      </c>
      <c r="B6646" s="5" t="str">
        <f t="shared" si="1536"/>
        <v>Northern Cardinal</v>
      </c>
      <c r="C6646" s="6">
        <f t="shared" si="1536"/>
        <v>0.28333333333333333</v>
      </c>
      <c r="D6646" s="5"/>
      <c r="E6646" s="5"/>
      <c r="F6646" s="5" t="s">
        <v>8</v>
      </c>
      <c r="G6646" s="15" t="s">
        <v>9</v>
      </c>
      <c r="H6646" s="24">
        <f t="shared" si="1507"/>
        <v>0</v>
      </c>
      <c r="I6646" s="24" cm="1">
        <f t="array" ref="I6646">IFERROR(IF($B6646=I$1, ($A6646+$C6646) - MAX(IF($B$2:$B6645=$B6646, $A$2:$A6645+$C$2:$C6645)), "")*24*60, "")</f>
        <v>0</v>
      </c>
      <c r="J6646" s="24" t="str" cm="1">
        <f t="array" ref="J6646">IFERROR(IF($B6646=J$1, ($A6646+$C6646) - MAX(IF($B$2:$B6645=$B6646, $A$2:$A6645+$C$2:$C6645)), "")*24*60, "")</f>
        <v/>
      </c>
      <c r="K6646" s="24" t="str" cm="1">
        <f t="array" ref="K6646">IFERROR(IF($B6646=K$1, ($A6646+$C6646) - MAX(IF($B$2:$B6645=$B6646, $A$2:$A6645+$C$2:$C6645)), "")*24*60, "")</f>
        <v/>
      </c>
      <c r="L6646" s="24" t="str" cm="1">
        <f t="array" ref="L6646">IFERROR(IF($B6646=L$1, ($A6646+$C6646) - MAX(IF($B$2:$B6645=$B6646, $A$2:$A6645+$C$2:$C6645)), "")*24*60, "")</f>
        <v/>
      </c>
      <c r="M6646" s="24" t="str" cm="1">
        <f t="array" ref="M6646">IFERROR(IF($B6646=M$1, ($A6646+$C6646) - MAX(IF($B$2:$B6645=$B6646, $A$2:$A6645+$C$2:$C6645)), "")*24*60, "")</f>
        <v/>
      </c>
      <c r="N6646" s="24" t="str" cm="1">
        <f t="array" ref="N6646">IFERROR(IF($B6646=N$1, ($A6646+$C6646) - MAX(IF($B$2:$B6645=$B6646, $A$2:$A6645+$C$2:$C6645)), "")*24*60, "")</f>
        <v/>
      </c>
      <c r="O6646" s="24" t="str" cm="1">
        <f t="array" ref="O6646">IFERROR(IF($B6646=O$1, ($A6646+$C6646) - MAX(IF($B$2:$B6645=$B6646, $A$2:$A6645+$C$2:$C6645)), "")*24*60, "")</f>
        <v/>
      </c>
      <c r="P6646" s="24" t="str" cm="1">
        <f t="array" ref="P6646">IFERROR(IF($B6646=P$1, ($A6646+$C6646) - MAX(IF($B$2:$B6645=$B6646, $A$2:$A6645+$C$2:$C6645)), "")*24*60, "")</f>
        <v/>
      </c>
      <c r="Q6646" s="24" t="str" cm="1">
        <f t="array" ref="Q6646">IFERROR(IF($B6646=Q$1, ($A6646+$C6646) - MAX(IF($B$2:$B6645=$B6646, $A$2:$A6645+$C$2:$C6645)), "")*24*60, "")</f>
        <v/>
      </c>
      <c r="R6646" s="24" t="str" cm="1">
        <f t="array" ref="R6646">IFERROR(IF($B6646=R$1, ($A6646+$C6646) - MAX(IF($B$2:$B6645=$B6646, $A$2:$A6645+$C$2:$C6645)), "")*24*60, "")</f>
        <v/>
      </c>
      <c r="S6646" s="24" t="str" cm="1">
        <f t="array" ref="S6646">IFERROR(IF($B6646=S$1, ($A6646+$C6646) - MAX(IF($B$2:$B6645=$B6646, $A$2:$A6645+$C$2:$C6645)), "")*24*60, "")</f>
        <v/>
      </c>
    </row>
    <row r="6647" spans="1:19" x14ac:dyDescent="0.2">
      <c r="A6647" s="12">
        <f t="shared" ref="A6647:C6647" si="1537">A6646</f>
        <v>45990</v>
      </c>
      <c r="B6647" s="5" t="str">
        <f t="shared" si="1537"/>
        <v>Northern Cardinal</v>
      </c>
      <c r="C6647" s="6">
        <f t="shared" si="1537"/>
        <v>0.28333333333333333</v>
      </c>
      <c r="D6647" s="5"/>
      <c r="E6647" s="5"/>
      <c r="F6647" s="5" t="s">
        <v>8</v>
      </c>
      <c r="G6647" s="15" t="s">
        <v>9</v>
      </c>
      <c r="H6647" s="24">
        <f t="shared" si="1507"/>
        <v>0</v>
      </c>
      <c r="I6647" s="24" cm="1">
        <f t="array" ref="I6647">IFERROR(IF($B6647=I$1, ($A6647+$C6647) - MAX(IF($B$2:$B6646=$B6647, $A$2:$A6646+$C$2:$C6646)), "")*24*60, "")</f>
        <v>0</v>
      </c>
      <c r="J6647" s="24" t="str" cm="1">
        <f t="array" ref="J6647">IFERROR(IF($B6647=J$1, ($A6647+$C6647) - MAX(IF($B$2:$B6646=$B6647, $A$2:$A6646+$C$2:$C6646)), "")*24*60, "")</f>
        <v/>
      </c>
      <c r="K6647" s="24" t="str" cm="1">
        <f t="array" ref="K6647">IFERROR(IF($B6647=K$1, ($A6647+$C6647) - MAX(IF($B$2:$B6646=$B6647, $A$2:$A6646+$C$2:$C6646)), "")*24*60, "")</f>
        <v/>
      </c>
      <c r="L6647" s="24" t="str" cm="1">
        <f t="array" ref="L6647">IFERROR(IF($B6647=L$1, ($A6647+$C6647) - MAX(IF($B$2:$B6646=$B6647, $A$2:$A6646+$C$2:$C6646)), "")*24*60, "")</f>
        <v/>
      </c>
      <c r="M6647" s="24" t="str" cm="1">
        <f t="array" ref="M6647">IFERROR(IF($B6647=M$1, ($A6647+$C6647) - MAX(IF($B$2:$B6646=$B6647, $A$2:$A6646+$C$2:$C6646)), "")*24*60, "")</f>
        <v/>
      </c>
      <c r="N6647" s="24" t="str" cm="1">
        <f t="array" ref="N6647">IFERROR(IF($B6647=N$1, ($A6647+$C6647) - MAX(IF($B$2:$B6646=$B6647, $A$2:$A6646+$C$2:$C6646)), "")*24*60, "")</f>
        <v/>
      </c>
      <c r="O6647" s="24" t="str" cm="1">
        <f t="array" ref="O6647">IFERROR(IF($B6647=O$1, ($A6647+$C6647) - MAX(IF($B$2:$B6646=$B6647, $A$2:$A6646+$C$2:$C6646)), "")*24*60, "")</f>
        <v/>
      </c>
      <c r="P6647" s="24" t="str" cm="1">
        <f t="array" ref="P6647">IFERROR(IF($B6647=P$1, ($A6647+$C6647) - MAX(IF($B$2:$B6646=$B6647, $A$2:$A6646+$C$2:$C6646)), "")*24*60, "")</f>
        <v/>
      </c>
      <c r="Q6647" s="24" t="str" cm="1">
        <f t="array" ref="Q6647">IFERROR(IF($B6647=Q$1, ($A6647+$C6647) - MAX(IF($B$2:$B6646=$B6647, $A$2:$A6646+$C$2:$C6646)), "")*24*60, "")</f>
        <v/>
      </c>
      <c r="R6647" s="24" t="str" cm="1">
        <f t="array" ref="R6647">IFERROR(IF($B6647=R$1, ($A6647+$C6647) - MAX(IF($B$2:$B6646=$B6647, $A$2:$A6646+$C$2:$C6646)), "")*24*60, "")</f>
        <v/>
      </c>
      <c r="S6647" s="24" t="str" cm="1">
        <f t="array" ref="S6647">IFERROR(IF($B6647=S$1, ($A6647+$C6647) - MAX(IF($B$2:$B6646=$B6647, $A$2:$A6646+$C$2:$C6646)), "")*24*60, "")</f>
        <v/>
      </c>
    </row>
    <row r="6648" spans="1:19" x14ac:dyDescent="0.2">
      <c r="A6648" s="12">
        <f t="shared" ref="A6648:C6648" si="1538">A6647</f>
        <v>45990</v>
      </c>
      <c r="B6648" s="5" t="str">
        <f t="shared" si="1538"/>
        <v>Northern Cardinal</v>
      </c>
      <c r="C6648" s="6">
        <f t="shared" si="1538"/>
        <v>0.28333333333333333</v>
      </c>
      <c r="D6648" s="5"/>
      <c r="E6648" s="5"/>
      <c r="F6648" s="5" t="s">
        <v>8</v>
      </c>
      <c r="G6648" s="15" t="s">
        <v>9</v>
      </c>
      <c r="H6648" s="24">
        <f t="shared" si="1507"/>
        <v>0</v>
      </c>
      <c r="I6648" s="24" cm="1">
        <f t="array" ref="I6648">IFERROR(IF($B6648=I$1, ($A6648+$C6648) - MAX(IF($B$2:$B6647=$B6648, $A$2:$A6647+$C$2:$C6647)), "")*24*60, "")</f>
        <v>0</v>
      </c>
      <c r="J6648" s="24" t="str" cm="1">
        <f t="array" ref="J6648">IFERROR(IF($B6648=J$1, ($A6648+$C6648) - MAX(IF($B$2:$B6647=$B6648, $A$2:$A6647+$C$2:$C6647)), "")*24*60, "")</f>
        <v/>
      </c>
      <c r="K6648" s="24" t="str" cm="1">
        <f t="array" ref="K6648">IFERROR(IF($B6648=K$1, ($A6648+$C6648) - MAX(IF($B$2:$B6647=$B6648, $A$2:$A6647+$C$2:$C6647)), "")*24*60, "")</f>
        <v/>
      </c>
      <c r="L6648" s="24" t="str" cm="1">
        <f t="array" ref="L6648">IFERROR(IF($B6648=L$1, ($A6648+$C6648) - MAX(IF($B$2:$B6647=$B6648, $A$2:$A6647+$C$2:$C6647)), "")*24*60, "")</f>
        <v/>
      </c>
      <c r="M6648" s="24" t="str" cm="1">
        <f t="array" ref="M6648">IFERROR(IF($B6648=M$1, ($A6648+$C6648) - MAX(IF($B$2:$B6647=$B6648, $A$2:$A6647+$C$2:$C6647)), "")*24*60, "")</f>
        <v/>
      </c>
      <c r="N6648" s="24" t="str" cm="1">
        <f t="array" ref="N6648">IFERROR(IF($B6648=N$1, ($A6648+$C6648) - MAX(IF($B$2:$B6647=$B6648, $A$2:$A6647+$C$2:$C6647)), "")*24*60, "")</f>
        <v/>
      </c>
      <c r="O6648" s="24" t="str" cm="1">
        <f t="array" ref="O6648">IFERROR(IF($B6648=O$1, ($A6648+$C6648) - MAX(IF($B$2:$B6647=$B6648, $A$2:$A6647+$C$2:$C6647)), "")*24*60, "")</f>
        <v/>
      </c>
      <c r="P6648" s="24" t="str" cm="1">
        <f t="array" ref="P6648">IFERROR(IF($B6648=P$1, ($A6648+$C6648) - MAX(IF($B$2:$B6647=$B6648, $A$2:$A6647+$C$2:$C6647)), "")*24*60, "")</f>
        <v/>
      </c>
      <c r="Q6648" s="24" t="str" cm="1">
        <f t="array" ref="Q6648">IFERROR(IF($B6648=Q$1, ($A6648+$C6648) - MAX(IF($B$2:$B6647=$B6648, $A$2:$A6647+$C$2:$C6647)), "")*24*60, "")</f>
        <v/>
      </c>
      <c r="R6648" s="24" t="str" cm="1">
        <f t="array" ref="R6648">IFERROR(IF($B6648=R$1, ($A6648+$C6648) - MAX(IF($B$2:$B6647=$B6648, $A$2:$A6647+$C$2:$C6647)), "")*24*60, "")</f>
        <v/>
      </c>
      <c r="S6648" s="24" t="str" cm="1">
        <f t="array" ref="S6648">IFERROR(IF($B6648=S$1, ($A6648+$C6648) - MAX(IF($B$2:$B6647=$B6648, $A$2:$A6647+$C$2:$C6647)), "")*24*60, "")</f>
        <v/>
      </c>
    </row>
    <row r="6649" spans="1:19" x14ac:dyDescent="0.2">
      <c r="A6649" s="12">
        <f t="shared" ref="A6649:C6649" si="1539">A6648</f>
        <v>45990</v>
      </c>
      <c r="B6649" s="5" t="str">
        <f t="shared" si="1539"/>
        <v>Northern Cardinal</v>
      </c>
      <c r="C6649" s="6">
        <f t="shared" si="1539"/>
        <v>0.28333333333333333</v>
      </c>
      <c r="D6649" s="5"/>
      <c r="E6649" s="5"/>
      <c r="F6649" s="5" t="s">
        <v>8</v>
      </c>
      <c r="G6649" s="15" t="s">
        <v>9</v>
      </c>
      <c r="H6649" s="24">
        <f t="shared" si="1507"/>
        <v>0</v>
      </c>
      <c r="I6649" s="24" cm="1">
        <f t="array" ref="I6649">IFERROR(IF($B6649=I$1, ($A6649+$C6649) - MAX(IF($B$2:$B6648=$B6649, $A$2:$A6648+$C$2:$C6648)), "")*24*60, "")</f>
        <v>0</v>
      </c>
      <c r="J6649" s="24" t="str" cm="1">
        <f t="array" ref="J6649">IFERROR(IF($B6649=J$1, ($A6649+$C6649) - MAX(IF($B$2:$B6648=$B6649, $A$2:$A6648+$C$2:$C6648)), "")*24*60, "")</f>
        <v/>
      </c>
      <c r="K6649" s="24" t="str" cm="1">
        <f t="array" ref="K6649">IFERROR(IF($B6649=K$1, ($A6649+$C6649) - MAX(IF($B$2:$B6648=$B6649, $A$2:$A6648+$C$2:$C6648)), "")*24*60, "")</f>
        <v/>
      </c>
      <c r="L6649" s="24" t="str" cm="1">
        <f t="array" ref="L6649">IFERROR(IF($B6649=L$1, ($A6649+$C6649) - MAX(IF($B$2:$B6648=$B6649, $A$2:$A6648+$C$2:$C6648)), "")*24*60, "")</f>
        <v/>
      </c>
      <c r="M6649" s="24" t="str" cm="1">
        <f t="array" ref="M6649">IFERROR(IF($B6649=M$1, ($A6649+$C6649) - MAX(IF($B$2:$B6648=$B6649, $A$2:$A6648+$C$2:$C6648)), "")*24*60, "")</f>
        <v/>
      </c>
      <c r="N6649" s="24" t="str" cm="1">
        <f t="array" ref="N6649">IFERROR(IF($B6649=N$1, ($A6649+$C6649) - MAX(IF($B$2:$B6648=$B6649, $A$2:$A6648+$C$2:$C6648)), "")*24*60, "")</f>
        <v/>
      </c>
      <c r="O6649" s="24" t="str" cm="1">
        <f t="array" ref="O6649">IFERROR(IF($B6649=O$1, ($A6649+$C6649) - MAX(IF($B$2:$B6648=$B6649, $A$2:$A6648+$C$2:$C6648)), "")*24*60, "")</f>
        <v/>
      </c>
      <c r="P6649" s="24" t="str" cm="1">
        <f t="array" ref="P6649">IFERROR(IF($B6649=P$1, ($A6649+$C6649) - MAX(IF($B$2:$B6648=$B6649, $A$2:$A6648+$C$2:$C6648)), "")*24*60, "")</f>
        <v/>
      </c>
      <c r="Q6649" s="24" t="str" cm="1">
        <f t="array" ref="Q6649">IFERROR(IF($B6649=Q$1, ($A6649+$C6649) - MAX(IF($B$2:$B6648=$B6649, $A$2:$A6648+$C$2:$C6648)), "")*24*60, "")</f>
        <v/>
      </c>
      <c r="R6649" s="24" t="str" cm="1">
        <f t="array" ref="R6649">IFERROR(IF($B6649=R$1, ($A6649+$C6649) - MAX(IF($B$2:$B6648=$B6649, $A$2:$A6648+$C$2:$C6648)), "")*24*60, "")</f>
        <v/>
      </c>
      <c r="S6649" s="24" t="str" cm="1">
        <f t="array" ref="S6649">IFERROR(IF($B6649=S$1, ($A6649+$C6649) - MAX(IF($B$2:$B6648=$B6649, $A$2:$A6648+$C$2:$C6648)), "")*24*60, "")</f>
        <v/>
      </c>
    </row>
    <row r="6650" spans="1:19" x14ac:dyDescent="0.2">
      <c r="A6650" s="12">
        <f t="shared" ref="A6650:C6650" si="1540">A6649</f>
        <v>45990</v>
      </c>
      <c r="B6650" s="5" t="str">
        <f t="shared" si="1540"/>
        <v>Northern Cardinal</v>
      </c>
      <c r="C6650" s="6">
        <f t="shared" si="1540"/>
        <v>0.28333333333333333</v>
      </c>
      <c r="D6650" s="5"/>
      <c r="E6650" s="5"/>
      <c r="F6650" s="5" t="s">
        <v>8</v>
      </c>
      <c r="G6650" s="15" t="s">
        <v>9</v>
      </c>
      <c r="H6650" s="24">
        <f t="shared" si="1507"/>
        <v>0</v>
      </c>
      <c r="I6650" s="24" cm="1">
        <f t="array" ref="I6650">IFERROR(IF($B6650=I$1, ($A6650+$C6650) - MAX(IF($B$2:$B6649=$B6650, $A$2:$A6649+$C$2:$C6649)), "")*24*60, "")</f>
        <v>0</v>
      </c>
      <c r="J6650" s="24" t="str" cm="1">
        <f t="array" ref="J6650">IFERROR(IF($B6650=J$1, ($A6650+$C6650) - MAX(IF($B$2:$B6649=$B6650, $A$2:$A6649+$C$2:$C6649)), "")*24*60, "")</f>
        <v/>
      </c>
      <c r="K6650" s="24" t="str" cm="1">
        <f t="array" ref="K6650">IFERROR(IF($B6650=K$1, ($A6650+$C6650) - MAX(IF($B$2:$B6649=$B6650, $A$2:$A6649+$C$2:$C6649)), "")*24*60, "")</f>
        <v/>
      </c>
      <c r="L6650" s="24" t="str" cm="1">
        <f t="array" ref="L6650">IFERROR(IF($B6650=L$1, ($A6650+$C6650) - MAX(IF($B$2:$B6649=$B6650, $A$2:$A6649+$C$2:$C6649)), "")*24*60, "")</f>
        <v/>
      </c>
      <c r="M6650" s="24" t="str" cm="1">
        <f t="array" ref="M6650">IFERROR(IF($B6650=M$1, ($A6650+$C6650) - MAX(IF($B$2:$B6649=$B6650, $A$2:$A6649+$C$2:$C6649)), "")*24*60, "")</f>
        <v/>
      </c>
      <c r="N6650" s="24" t="str" cm="1">
        <f t="array" ref="N6650">IFERROR(IF($B6650=N$1, ($A6650+$C6650) - MAX(IF($B$2:$B6649=$B6650, $A$2:$A6649+$C$2:$C6649)), "")*24*60, "")</f>
        <v/>
      </c>
      <c r="O6650" s="24" t="str" cm="1">
        <f t="array" ref="O6650">IFERROR(IF($B6650=O$1, ($A6650+$C6650) - MAX(IF($B$2:$B6649=$B6650, $A$2:$A6649+$C$2:$C6649)), "")*24*60, "")</f>
        <v/>
      </c>
      <c r="P6650" s="24" t="str" cm="1">
        <f t="array" ref="P6650">IFERROR(IF($B6650=P$1, ($A6650+$C6650) - MAX(IF($B$2:$B6649=$B6650, $A$2:$A6649+$C$2:$C6649)), "")*24*60, "")</f>
        <v/>
      </c>
      <c r="Q6650" s="24" t="str" cm="1">
        <f t="array" ref="Q6650">IFERROR(IF($B6650=Q$1, ($A6650+$C6650) - MAX(IF($B$2:$B6649=$B6650, $A$2:$A6649+$C$2:$C6649)), "")*24*60, "")</f>
        <v/>
      </c>
      <c r="R6650" s="24" t="str" cm="1">
        <f t="array" ref="R6650">IFERROR(IF($B6650=R$1, ($A6650+$C6650) - MAX(IF($B$2:$B6649=$B6650, $A$2:$A6649+$C$2:$C6649)), "")*24*60, "")</f>
        <v/>
      </c>
      <c r="S6650" s="24" t="str" cm="1">
        <f t="array" ref="S6650">IFERROR(IF($B6650=S$1, ($A6650+$C6650) - MAX(IF($B$2:$B6649=$B6650, $A$2:$A6649+$C$2:$C6649)), "")*24*60, "")</f>
        <v/>
      </c>
    </row>
    <row r="6651" spans="1:19" x14ac:dyDescent="0.2">
      <c r="A6651" s="12">
        <f t="shared" ref="A6651:C6651" si="1541">A6650</f>
        <v>45990</v>
      </c>
      <c r="B6651" s="5" t="str">
        <f t="shared" si="1541"/>
        <v>Northern Cardinal</v>
      </c>
      <c r="C6651" s="6">
        <f t="shared" si="1541"/>
        <v>0.28333333333333333</v>
      </c>
      <c r="D6651" s="5"/>
      <c r="E6651" s="5"/>
      <c r="F6651" s="5" t="s">
        <v>8</v>
      </c>
      <c r="G6651" s="15" t="s">
        <v>9</v>
      </c>
      <c r="H6651" s="24">
        <f t="shared" si="1507"/>
        <v>0</v>
      </c>
      <c r="I6651" s="24" cm="1">
        <f t="array" ref="I6651">IFERROR(IF($B6651=I$1, ($A6651+$C6651) - MAX(IF($B$2:$B6650=$B6651, $A$2:$A6650+$C$2:$C6650)), "")*24*60, "")</f>
        <v>0</v>
      </c>
      <c r="J6651" s="24" t="str" cm="1">
        <f t="array" ref="J6651">IFERROR(IF($B6651=J$1, ($A6651+$C6651) - MAX(IF($B$2:$B6650=$B6651, $A$2:$A6650+$C$2:$C6650)), "")*24*60, "")</f>
        <v/>
      </c>
      <c r="K6651" s="24" t="str" cm="1">
        <f t="array" ref="K6651">IFERROR(IF($B6651=K$1, ($A6651+$C6651) - MAX(IF($B$2:$B6650=$B6651, $A$2:$A6650+$C$2:$C6650)), "")*24*60, "")</f>
        <v/>
      </c>
      <c r="L6651" s="24" t="str" cm="1">
        <f t="array" ref="L6651">IFERROR(IF($B6651=L$1, ($A6651+$C6651) - MAX(IF($B$2:$B6650=$B6651, $A$2:$A6650+$C$2:$C6650)), "")*24*60, "")</f>
        <v/>
      </c>
      <c r="M6651" s="24" t="str" cm="1">
        <f t="array" ref="M6651">IFERROR(IF($B6651=M$1, ($A6651+$C6651) - MAX(IF($B$2:$B6650=$B6651, $A$2:$A6650+$C$2:$C6650)), "")*24*60, "")</f>
        <v/>
      </c>
      <c r="N6651" s="24" t="str" cm="1">
        <f t="array" ref="N6651">IFERROR(IF($B6651=N$1, ($A6651+$C6651) - MAX(IF($B$2:$B6650=$B6651, $A$2:$A6650+$C$2:$C6650)), "")*24*60, "")</f>
        <v/>
      </c>
      <c r="O6651" s="24" t="str" cm="1">
        <f t="array" ref="O6651">IFERROR(IF($B6651=O$1, ($A6651+$C6651) - MAX(IF($B$2:$B6650=$B6651, $A$2:$A6650+$C$2:$C6650)), "")*24*60, "")</f>
        <v/>
      </c>
      <c r="P6651" s="24" t="str" cm="1">
        <f t="array" ref="P6651">IFERROR(IF($B6651=P$1, ($A6651+$C6651) - MAX(IF($B$2:$B6650=$B6651, $A$2:$A6650+$C$2:$C6650)), "")*24*60, "")</f>
        <v/>
      </c>
      <c r="Q6651" s="24" t="str" cm="1">
        <f t="array" ref="Q6651">IFERROR(IF($B6651=Q$1, ($A6651+$C6651) - MAX(IF($B$2:$B6650=$B6651, $A$2:$A6650+$C$2:$C6650)), "")*24*60, "")</f>
        <v/>
      </c>
      <c r="R6651" s="24" t="str" cm="1">
        <f t="array" ref="R6651">IFERROR(IF($B6651=R$1, ($A6651+$C6651) - MAX(IF($B$2:$B6650=$B6651, $A$2:$A6650+$C$2:$C6650)), "")*24*60, "")</f>
        <v/>
      </c>
      <c r="S6651" s="24" t="str" cm="1">
        <f t="array" ref="S6651">IFERROR(IF($B6651=S$1, ($A6651+$C6651) - MAX(IF($B$2:$B6650=$B6651, $A$2:$A6650+$C$2:$C6650)), "")*24*60, "")</f>
        <v/>
      </c>
    </row>
    <row r="6652" spans="1:19" x14ac:dyDescent="0.2">
      <c r="A6652" s="12">
        <f t="shared" ref="A6652:C6652" si="1542">A6651</f>
        <v>45990</v>
      </c>
      <c r="B6652" s="5" t="str">
        <f t="shared" si="1542"/>
        <v>Northern Cardinal</v>
      </c>
      <c r="C6652" s="6">
        <f t="shared" si="1542"/>
        <v>0.28333333333333333</v>
      </c>
      <c r="D6652" s="5"/>
      <c r="E6652" s="5"/>
      <c r="F6652" s="5" t="s">
        <v>8</v>
      </c>
      <c r="G6652" s="15" t="s">
        <v>9</v>
      </c>
      <c r="H6652" s="24">
        <f t="shared" si="1507"/>
        <v>0</v>
      </c>
      <c r="I6652" s="24" cm="1">
        <f t="array" ref="I6652">IFERROR(IF($B6652=I$1, ($A6652+$C6652) - MAX(IF($B$2:$B6651=$B6652, $A$2:$A6651+$C$2:$C6651)), "")*24*60, "")</f>
        <v>0</v>
      </c>
      <c r="J6652" s="24" t="str" cm="1">
        <f t="array" ref="J6652">IFERROR(IF($B6652=J$1, ($A6652+$C6652) - MAX(IF($B$2:$B6651=$B6652, $A$2:$A6651+$C$2:$C6651)), "")*24*60, "")</f>
        <v/>
      </c>
      <c r="K6652" s="24" t="str" cm="1">
        <f t="array" ref="K6652">IFERROR(IF($B6652=K$1, ($A6652+$C6652) - MAX(IF($B$2:$B6651=$B6652, $A$2:$A6651+$C$2:$C6651)), "")*24*60, "")</f>
        <v/>
      </c>
      <c r="L6652" s="24" t="str" cm="1">
        <f t="array" ref="L6652">IFERROR(IF($B6652=L$1, ($A6652+$C6652) - MAX(IF($B$2:$B6651=$B6652, $A$2:$A6651+$C$2:$C6651)), "")*24*60, "")</f>
        <v/>
      </c>
      <c r="M6652" s="24" t="str" cm="1">
        <f t="array" ref="M6652">IFERROR(IF($B6652=M$1, ($A6652+$C6652) - MAX(IF($B$2:$B6651=$B6652, $A$2:$A6651+$C$2:$C6651)), "")*24*60, "")</f>
        <v/>
      </c>
      <c r="N6652" s="24" t="str" cm="1">
        <f t="array" ref="N6652">IFERROR(IF($B6652=N$1, ($A6652+$C6652) - MAX(IF($B$2:$B6651=$B6652, $A$2:$A6651+$C$2:$C6651)), "")*24*60, "")</f>
        <v/>
      </c>
      <c r="O6652" s="24" t="str" cm="1">
        <f t="array" ref="O6652">IFERROR(IF($B6652=O$1, ($A6652+$C6652) - MAX(IF($B$2:$B6651=$B6652, $A$2:$A6651+$C$2:$C6651)), "")*24*60, "")</f>
        <v/>
      </c>
      <c r="P6652" s="24" t="str" cm="1">
        <f t="array" ref="P6652">IFERROR(IF($B6652=P$1, ($A6652+$C6652) - MAX(IF($B$2:$B6651=$B6652, $A$2:$A6651+$C$2:$C6651)), "")*24*60, "")</f>
        <v/>
      </c>
      <c r="Q6652" s="24" t="str" cm="1">
        <f t="array" ref="Q6652">IFERROR(IF($B6652=Q$1, ($A6652+$C6652) - MAX(IF($B$2:$B6651=$B6652, $A$2:$A6651+$C$2:$C6651)), "")*24*60, "")</f>
        <v/>
      </c>
      <c r="R6652" s="24" t="str" cm="1">
        <f t="array" ref="R6652">IFERROR(IF($B6652=R$1, ($A6652+$C6652) - MAX(IF($B$2:$B6651=$B6652, $A$2:$A6651+$C$2:$C6651)), "")*24*60, "")</f>
        <v/>
      </c>
      <c r="S6652" s="24" t="str" cm="1">
        <f t="array" ref="S6652">IFERROR(IF($B6652=S$1, ($A6652+$C6652) - MAX(IF($B$2:$B6651=$B6652, $A$2:$A6651+$C$2:$C6651)), "")*24*60, "")</f>
        <v/>
      </c>
    </row>
    <row r="6653" spans="1:19" x14ac:dyDescent="0.2">
      <c r="A6653" s="12">
        <f t="shared" ref="A6653:C6653" si="1543">A6652</f>
        <v>45990</v>
      </c>
      <c r="B6653" s="5" t="str">
        <f t="shared" si="1543"/>
        <v>Northern Cardinal</v>
      </c>
      <c r="C6653" s="6">
        <f t="shared" si="1543"/>
        <v>0.28333333333333333</v>
      </c>
      <c r="D6653" s="5"/>
      <c r="E6653" s="5"/>
      <c r="F6653" s="5" t="s">
        <v>8</v>
      </c>
      <c r="G6653" s="15" t="s">
        <v>9</v>
      </c>
      <c r="H6653" s="24">
        <f t="shared" si="1507"/>
        <v>0</v>
      </c>
      <c r="I6653" s="24" cm="1">
        <f t="array" ref="I6653">IFERROR(IF($B6653=I$1, ($A6653+$C6653) - MAX(IF($B$2:$B6652=$B6653, $A$2:$A6652+$C$2:$C6652)), "")*24*60, "")</f>
        <v>0</v>
      </c>
      <c r="J6653" s="24" t="str" cm="1">
        <f t="array" ref="J6653">IFERROR(IF($B6653=J$1, ($A6653+$C6653) - MAX(IF($B$2:$B6652=$B6653, $A$2:$A6652+$C$2:$C6652)), "")*24*60, "")</f>
        <v/>
      </c>
      <c r="K6653" s="24" t="str" cm="1">
        <f t="array" ref="K6653">IFERROR(IF($B6653=K$1, ($A6653+$C6653) - MAX(IF($B$2:$B6652=$B6653, $A$2:$A6652+$C$2:$C6652)), "")*24*60, "")</f>
        <v/>
      </c>
      <c r="L6653" s="24" t="str" cm="1">
        <f t="array" ref="L6653">IFERROR(IF($B6653=L$1, ($A6653+$C6653) - MAX(IF($B$2:$B6652=$B6653, $A$2:$A6652+$C$2:$C6652)), "")*24*60, "")</f>
        <v/>
      </c>
      <c r="M6653" s="24" t="str" cm="1">
        <f t="array" ref="M6653">IFERROR(IF($B6653=M$1, ($A6653+$C6653) - MAX(IF($B$2:$B6652=$B6653, $A$2:$A6652+$C$2:$C6652)), "")*24*60, "")</f>
        <v/>
      </c>
      <c r="N6653" s="24" t="str" cm="1">
        <f t="array" ref="N6653">IFERROR(IF($B6653=N$1, ($A6653+$C6653) - MAX(IF($B$2:$B6652=$B6653, $A$2:$A6652+$C$2:$C6652)), "")*24*60, "")</f>
        <v/>
      </c>
      <c r="O6653" s="24" t="str" cm="1">
        <f t="array" ref="O6653">IFERROR(IF($B6653=O$1, ($A6653+$C6653) - MAX(IF($B$2:$B6652=$B6653, $A$2:$A6652+$C$2:$C6652)), "")*24*60, "")</f>
        <v/>
      </c>
      <c r="P6653" s="24" t="str" cm="1">
        <f t="array" ref="P6653">IFERROR(IF($B6653=P$1, ($A6653+$C6653) - MAX(IF($B$2:$B6652=$B6653, $A$2:$A6652+$C$2:$C6652)), "")*24*60, "")</f>
        <v/>
      </c>
      <c r="Q6653" s="24" t="str" cm="1">
        <f t="array" ref="Q6653">IFERROR(IF($B6653=Q$1, ($A6653+$C6653) - MAX(IF($B$2:$B6652=$B6653, $A$2:$A6652+$C$2:$C6652)), "")*24*60, "")</f>
        <v/>
      </c>
      <c r="R6653" s="24" t="str" cm="1">
        <f t="array" ref="R6653">IFERROR(IF($B6653=R$1, ($A6653+$C6653) - MAX(IF($B$2:$B6652=$B6653, $A$2:$A6652+$C$2:$C6652)), "")*24*60, "")</f>
        <v/>
      </c>
      <c r="S6653" s="24" t="str" cm="1">
        <f t="array" ref="S6653">IFERROR(IF($B6653=S$1, ($A6653+$C6653) - MAX(IF($B$2:$B6652=$B6653, $A$2:$A6652+$C$2:$C6652)), "")*24*60, "")</f>
        <v/>
      </c>
    </row>
    <row r="6654" spans="1:19" x14ac:dyDescent="0.2">
      <c r="A6654" s="12">
        <f t="shared" ref="A6654:C6654" si="1544">A6653</f>
        <v>45990</v>
      </c>
      <c r="B6654" s="5" t="str">
        <f t="shared" si="1544"/>
        <v>Northern Cardinal</v>
      </c>
      <c r="C6654" s="6">
        <f t="shared" si="1544"/>
        <v>0.28333333333333333</v>
      </c>
      <c r="D6654" s="5"/>
      <c r="E6654" s="5"/>
      <c r="F6654" s="5" t="s">
        <v>8</v>
      </c>
      <c r="G6654" s="15" t="s">
        <v>9</v>
      </c>
      <c r="H6654" s="24">
        <f t="shared" si="1507"/>
        <v>0</v>
      </c>
      <c r="I6654" s="24" cm="1">
        <f t="array" ref="I6654">IFERROR(IF($B6654=I$1, ($A6654+$C6654) - MAX(IF($B$2:$B6653=$B6654, $A$2:$A6653+$C$2:$C6653)), "")*24*60, "")</f>
        <v>0</v>
      </c>
      <c r="J6654" s="24" t="str" cm="1">
        <f t="array" ref="J6654">IFERROR(IF($B6654=J$1, ($A6654+$C6654) - MAX(IF($B$2:$B6653=$B6654, $A$2:$A6653+$C$2:$C6653)), "")*24*60, "")</f>
        <v/>
      </c>
      <c r="K6654" s="24" t="str" cm="1">
        <f t="array" ref="K6654">IFERROR(IF($B6654=K$1, ($A6654+$C6654) - MAX(IF($B$2:$B6653=$B6654, $A$2:$A6653+$C$2:$C6653)), "")*24*60, "")</f>
        <v/>
      </c>
      <c r="L6654" s="24" t="str" cm="1">
        <f t="array" ref="L6654">IFERROR(IF($B6654=L$1, ($A6654+$C6654) - MAX(IF($B$2:$B6653=$B6654, $A$2:$A6653+$C$2:$C6653)), "")*24*60, "")</f>
        <v/>
      </c>
      <c r="M6654" s="24" t="str" cm="1">
        <f t="array" ref="M6654">IFERROR(IF($B6654=M$1, ($A6654+$C6654) - MAX(IF($B$2:$B6653=$B6654, $A$2:$A6653+$C$2:$C6653)), "")*24*60, "")</f>
        <v/>
      </c>
      <c r="N6654" s="24" t="str" cm="1">
        <f t="array" ref="N6654">IFERROR(IF($B6654=N$1, ($A6654+$C6654) - MAX(IF($B$2:$B6653=$B6654, $A$2:$A6653+$C$2:$C6653)), "")*24*60, "")</f>
        <v/>
      </c>
      <c r="O6654" s="24" t="str" cm="1">
        <f t="array" ref="O6654">IFERROR(IF($B6654=O$1, ($A6654+$C6654) - MAX(IF($B$2:$B6653=$B6654, $A$2:$A6653+$C$2:$C6653)), "")*24*60, "")</f>
        <v/>
      </c>
      <c r="P6654" s="24" t="str" cm="1">
        <f t="array" ref="P6654">IFERROR(IF($B6654=P$1, ($A6654+$C6654) - MAX(IF($B$2:$B6653=$B6654, $A$2:$A6653+$C$2:$C6653)), "")*24*60, "")</f>
        <v/>
      </c>
      <c r="Q6654" s="24" t="str" cm="1">
        <f t="array" ref="Q6654">IFERROR(IF($B6654=Q$1, ($A6654+$C6654) - MAX(IF($B$2:$B6653=$B6654, $A$2:$A6653+$C$2:$C6653)), "")*24*60, "")</f>
        <v/>
      </c>
      <c r="R6654" s="24" t="str" cm="1">
        <f t="array" ref="R6654">IFERROR(IF($B6654=R$1, ($A6654+$C6654) - MAX(IF($B$2:$B6653=$B6654, $A$2:$A6653+$C$2:$C6653)), "")*24*60, "")</f>
        <v/>
      </c>
      <c r="S6654" s="24" t="str" cm="1">
        <f t="array" ref="S6654">IFERROR(IF($B6654=S$1, ($A6654+$C6654) - MAX(IF($B$2:$B6653=$B6654, $A$2:$A6653+$C$2:$C6653)), "")*24*60, "")</f>
        <v/>
      </c>
    </row>
    <row r="6655" spans="1:19" x14ac:dyDescent="0.2">
      <c r="A6655" s="12">
        <f t="shared" ref="A6655:C6655" si="1545">A6654</f>
        <v>45990</v>
      </c>
      <c r="B6655" s="5" t="str">
        <f t="shared" si="1545"/>
        <v>Northern Cardinal</v>
      </c>
      <c r="C6655" s="6">
        <f t="shared" si="1545"/>
        <v>0.28333333333333333</v>
      </c>
      <c r="D6655" s="5"/>
      <c r="E6655" s="5"/>
      <c r="F6655" s="5" t="s">
        <v>8</v>
      </c>
      <c r="G6655" s="15" t="s">
        <v>9</v>
      </c>
      <c r="H6655" s="24">
        <f t="shared" si="1507"/>
        <v>0</v>
      </c>
      <c r="I6655" s="24" cm="1">
        <f t="array" ref="I6655">IFERROR(IF($B6655=I$1, ($A6655+$C6655) - MAX(IF($B$2:$B6654=$B6655, $A$2:$A6654+$C$2:$C6654)), "")*24*60, "")</f>
        <v>0</v>
      </c>
      <c r="J6655" s="24" t="str" cm="1">
        <f t="array" ref="J6655">IFERROR(IF($B6655=J$1, ($A6655+$C6655) - MAX(IF($B$2:$B6654=$B6655, $A$2:$A6654+$C$2:$C6654)), "")*24*60, "")</f>
        <v/>
      </c>
      <c r="K6655" s="24" t="str" cm="1">
        <f t="array" ref="K6655">IFERROR(IF($B6655=K$1, ($A6655+$C6655) - MAX(IF($B$2:$B6654=$B6655, $A$2:$A6654+$C$2:$C6654)), "")*24*60, "")</f>
        <v/>
      </c>
      <c r="L6655" s="24" t="str" cm="1">
        <f t="array" ref="L6655">IFERROR(IF($B6655=L$1, ($A6655+$C6655) - MAX(IF($B$2:$B6654=$B6655, $A$2:$A6654+$C$2:$C6654)), "")*24*60, "")</f>
        <v/>
      </c>
      <c r="M6655" s="24" t="str" cm="1">
        <f t="array" ref="M6655">IFERROR(IF($B6655=M$1, ($A6655+$C6655) - MAX(IF($B$2:$B6654=$B6655, $A$2:$A6654+$C$2:$C6654)), "")*24*60, "")</f>
        <v/>
      </c>
      <c r="N6655" s="24" t="str" cm="1">
        <f t="array" ref="N6655">IFERROR(IF($B6655=N$1, ($A6655+$C6655) - MAX(IF($B$2:$B6654=$B6655, $A$2:$A6654+$C$2:$C6654)), "")*24*60, "")</f>
        <v/>
      </c>
      <c r="O6655" s="24" t="str" cm="1">
        <f t="array" ref="O6655">IFERROR(IF($B6655=O$1, ($A6655+$C6655) - MAX(IF($B$2:$B6654=$B6655, $A$2:$A6654+$C$2:$C6654)), "")*24*60, "")</f>
        <v/>
      </c>
      <c r="P6655" s="24" t="str" cm="1">
        <f t="array" ref="P6655">IFERROR(IF($B6655=P$1, ($A6655+$C6655) - MAX(IF($B$2:$B6654=$B6655, $A$2:$A6654+$C$2:$C6654)), "")*24*60, "")</f>
        <v/>
      </c>
      <c r="Q6655" s="24" t="str" cm="1">
        <f t="array" ref="Q6655">IFERROR(IF($B6655=Q$1, ($A6655+$C6655) - MAX(IF($B$2:$B6654=$B6655, $A$2:$A6654+$C$2:$C6654)), "")*24*60, "")</f>
        <v/>
      </c>
      <c r="R6655" s="24" t="str" cm="1">
        <f t="array" ref="R6655">IFERROR(IF($B6655=R$1, ($A6655+$C6655) - MAX(IF($B$2:$B6654=$B6655, $A$2:$A6654+$C$2:$C6654)), "")*24*60, "")</f>
        <v/>
      </c>
      <c r="S6655" s="24" t="str" cm="1">
        <f t="array" ref="S6655">IFERROR(IF($B6655=S$1, ($A6655+$C6655) - MAX(IF($B$2:$B6654=$B6655, $A$2:$A6654+$C$2:$C6654)), "")*24*60, "")</f>
        <v/>
      </c>
    </row>
    <row r="6656" spans="1:19" x14ac:dyDescent="0.2">
      <c r="A6656" s="12">
        <f t="shared" ref="A6656:C6656" si="1546">A6655</f>
        <v>45990</v>
      </c>
      <c r="B6656" s="5" t="str">
        <f t="shared" si="1546"/>
        <v>Northern Cardinal</v>
      </c>
      <c r="C6656" s="6">
        <f t="shared" si="1546"/>
        <v>0.28333333333333333</v>
      </c>
      <c r="D6656" s="5"/>
      <c r="E6656" s="5"/>
      <c r="F6656" s="5" t="s">
        <v>8</v>
      </c>
      <c r="G6656" s="15" t="s">
        <v>9</v>
      </c>
      <c r="H6656" s="24">
        <f t="shared" si="1507"/>
        <v>0</v>
      </c>
      <c r="I6656" s="24" cm="1">
        <f t="array" ref="I6656">IFERROR(IF($B6656=I$1, ($A6656+$C6656) - MAX(IF($B$2:$B6655=$B6656, $A$2:$A6655+$C$2:$C6655)), "")*24*60, "")</f>
        <v>0</v>
      </c>
      <c r="J6656" s="24" t="str" cm="1">
        <f t="array" ref="J6656">IFERROR(IF($B6656=J$1, ($A6656+$C6656) - MAX(IF($B$2:$B6655=$B6656, $A$2:$A6655+$C$2:$C6655)), "")*24*60, "")</f>
        <v/>
      </c>
      <c r="K6656" s="24" t="str" cm="1">
        <f t="array" ref="K6656">IFERROR(IF($B6656=K$1, ($A6656+$C6656) - MAX(IF($B$2:$B6655=$B6656, $A$2:$A6655+$C$2:$C6655)), "")*24*60, "")</f>
        <v/>
      </c>
      <c r="L6656" s="24" t="str" cm="1">
        <f t="array" ref="L6656">IFERROR(IF($B6656=L$1, ($A6656+$C6656) - MAX(IF($B$2:$B6655=$B6656, $A$2:$A6655+$C$2:$C6655)), "")*24*60, "")</f>
        <v/>
      </c>
      <c r="M6656" s="24" t="str" cm="1">
        <f t="array" ref="M6656">IFERROR(IF($B6656=M$1, ($A6656+$C6656) - MAX(IF($B$2:$B6655=$B6656, $A$2:$A6655+$C$2:$C6655)), "")*24*60, "")</f>
        <v/>
      </c>
      <c r="N6656" s="24" t="str" cm="1">
        <f t="array" ref="N6656">IFERROR(IF($B6656=N$1, ($A6656+$C6656) - MAX(IF($B$2:$B6655=$B6656, $A$2:$A6655+$C$2:$C6655)), "")*24*60, "")</f>
        <v/>
      </c>
      <c r="O6656" s="24" t="str" cm="1">
        <f t="array" ref="O6656">IFERROR(IF($B6656=O$1, ($A6656+$C6656) - MAX(IF($B$2:$B6655=$B6656, $A$2:$A6655+$C$2:$C6655)), "")*24*60, "")</f>
        <v/>
      </c>
      <c r="P6656" s="24" t="str" cm="1">
        <f t="array" ref="P6656">IFERROR(IF($B6656=P$1, ($A6656+$C6656) - MAX(IF($B$2:$B6655=$B6656, $A$2:$A6655+$C$2:$C6655)), "")*24*60, "")</f>
        <v/>
      </c>
      <c r="Q6656" s="24" t="str" cm="1">
        <f t="array" ref="Q6656">IFERROR(IF($B6656=Q$1, ($A6656+$C6656) - MAX(IF($B$2:$B6655=$B6656, $A$2:$A6655+$C$2:$C6655)), "")*24*60, "")</f>
        <v/>
      </c>
      <c r="R6656" s="24" t="str" cm="1">
        <f t="array" ref="R6656">IFERROR(IF($B6656=R$1, ($A6656+$C6656) - MAX(IF($B$2:$B6655=$B6656, $A$2:$A6655+$C$2:$C6655)), "")*24*60, "")</f>
        <v/>
      </c>
      <c r="S6656" s="24" t="str" cm="1">
        <f t="array" ref="S6656">IFERROR(IF($B6656=S$1, ($A6656+$C6656) - MAX(IF($B$2:$B6655=$B6656, $A$2:$A6655+$C$2:$C6655)), "")*24*60, "")</f>
        <v/>
      </c>
    </row>
    <row r="6657" spans="1:19" x14ac:dyDescent="0.2">
      <c r="A6657" s="12">
        <f t="shared" ref="A6657:C6657" si="1547">A6656</f>
        <v>45990</v>
      </c>
      <c r="B6657" s="5" t="str">
        <f t="shared" si="1547"/>
        <v>Northern Cardinal</v>
      </c>
      <c r="C6657" s="6">
        <f t="shared" si="1547"/>
        <v>0.28333333333333333</v>
      </c>
      <c r="D6657" s="5"/>
      <c r="E6657" s="5"/>
      <c r="F6657" s="5" t="s">
        <v>8</v>
      </c>
      <c r="G6657" s="15" t="s">
        <v>9</v>
      </c>
      <c r="H6657" s="24">
        <f t="shared" si="1507"/>
        <v>0</v>
      </c>
      <c r="I6657" s="24" cm="1">
        <f t="array" ref="I6657">IFERROR(IF($B6657=I$1, ($A6657+$C6657) - MAX(IF($B$2:$B6656=$B6657, $A$2:$A6656+$C$2:$C6656)), "")*24*60, "")</f>
        <v>0</v>
      </c>
      <c r="J6657" s="24" t="str" cm="1">
        <f t="array" ref="J6657">IFERROR(IF($B6657=J$1, ($A6657+$C6657) - MAX(IF($B$2:$B6656=$B6657, $A$2:$A6656+$C$2:$C6656)), "")*24*60, "")</f>
        <v/>
      </c>
      <c r="K6657" s="24" t="str" cm="1">
        <f t="array" ref="K6657">IFERROR(IF($B6657=K$1, ($A6657+$C6657) - MAX(IF($B$2:$B6656=$B6657, $A$2:$A6656+$C$2:$C6656)), "")*24*60, "")</f>
        <v/>
      </c>
      <c r="L6657" s="24" t="str" cm="1">
        <f t="array" ref="L6657">IFERROR(IF($B6657=L$1, ($A6657+$C6657) - MAX(IF($B$2:$B6656=$B6657, $A$2:$A6656+$C$2:$C6656)), "")*24*60, "")</f>
        <v/>
      </c>
      <c r="M6657" s="24" t="str" cm="1">
        <f t="array" ref="M6657">IFERROR(IF($B6657=M$1, ($A6657+$C6657) - MAX(IF($B$2:$B6656=$B6657, $A$2:$A6656+$C$2:$C6656)), "")*24*60, "")</f>
        <v/>
      </c>
      <c r="N6657" s="24" t="str" cm="1">
        <f t="array" ref="N6657">IFERROR(IF($B6657=N$1, ($A6657+$C6657) - MAX(IF($B$2:$B6656=$B6657, $A$2:$A6656+$C$2:$C6656)), "")*24*60, "")</f>
        <v/>
      </c>
      <c r="O6657" s="24" t="str" cm="1">
        <f t="array" ref="O6657">IFERROR(IF($B6657=O$1, ($A6657+$C6657) - MAX(IF($B$2:$B6656=$B6657, $A$2:$A6656+$C$2:$C6656)), "")*24*60, "")</f>
        <v/>
      </c>
      <c r="P6657" s="24" t="str" cm="1">
        <f t="array" ref="P6657">IFERROR(IF($B6657=P$1, ($A6657+$C6657) - MAX(IF($B$2:$B6656=$B6657, $A$2:$A6656+$C$2:$C6656)), "")*24*60, "")</f>
        <v/>
      </c>
      <c r="Q6657" s="24" t="str" cm="1">
        <f t="array" ref="Q6657">IFERROR(IF($B6657=Q$1, ($A6657+$C6657) - MAX(IF($B$2:$B6656=$B6657, $A$2:$A6656+$C$2:$C6656)), "")*24*60, "")</f>
        <v/>
      </c>
      <c r="R6657" s="24" t="str" cm="1">
        <f t="array" ref="R6657">IFERROR(IF($B6657=R$1, ($A6657+$C6657) - MAX(IF($B$2:$B6656=$B6657, $A$2:$A6656+$C$2:$C6656)), "")*24*60, "")</f>
        <v/>
      </c>
      <c r="S6657" s="24" t="str" cm="1">
        <f t="array" ref="S6657">IFERROR(IF($B6657=S$1, ($A6657+$C6657) - MAX(IF($B$2:$B6656=$B6657, $A$2:$A6656+$C$2:$C6656)), "")*24*60, "")</f>
        <v/>
      </c>
    </row>
    <row r="6658" spans="1:19" x14ac:dyDescent="0.2">
      <c r="A6658" s="12">
        <f t="shared" ref="A6658:C6658" si="1548">A6657</f>
        <v>45990</v>
      </c>
      <c r="B6658" s="5" t="str">
        <f t="shared" si="1548"/>
        <v>Northern Cardinal</v>
      </c>
      <c r="C6658" s="6">
        <f t="shared" si="1548"/>
        <v>0.28333333333333333</v>
      </c>
      <c r="D6658" s="5"/>
      <c r="E6658" s="5"/>
      <c r="F6658" s="5" t="s">
        <v>8</v>
      </c>
      <c r="G6658" s="15" t="s">
        <v>9</v>
      </c>
      <c r="H6658" s="24">
        <f t="shared" si="1507"/>
        <v>0</v>
      </c>
      <c r="I6658" s="24" cm="1">
        <f t="array" ref="I6658">IFERROR(IF($B6658=I$1, ($A6658+$C6658) - MAX(IF($B$2:$B6657=$B6658, $A$2:$A6657+$C$2:$C6657)), "")*24*60, "")</f>
        <v>0</v>
      </c>
      <c r="J6658" s="24" t="str" cm="1">
        <f t="array" ref="J6658">IFERROR(IF($B6658=J$1, ($A6658+$C6658) - MAX(IF($B$2:$B6657=$B6658, $A$2:$A6657+$C$2:$C6657)), "")*24*60, "")</f>
        <v/>
      </c>
      <c r="K6658" s="24" t="str" cm="1">
        <f t="array" ref="K6658">IFERROR(IF($B6658=K$1, ($A6658+$C6658) - MAX(IF($B$2:$B6657=$B6658, $A$2:$A6657+$C$2:$C6657)), "")*24*60, "")</f>
        <v/>
      </c>
      <c r="L6658" s="24" t="str" cm="1">
        <f t="array" ref="L6658">IFERROR(IF($B6658=L$1, ($A6658+$C6658) - MAX(IF($B$2:$B6657=$B6658, $A$2:$A6657+$C$2:$C6657)), "")*24*60, "")</f>
        <v/>
      </c>
      <c r="M6658" s="24" t="str" cm="1">
        <f t="array" ref="M6658">IFERROR(IF($B6658=M$1, ($A6658+$C6658) - MAX(IF($B$2:$B6657=$B6658, $A$2:$A6657+$C$2:$C6657)), "")*24*60, "")</f>
        <v/>
      </c>
      <c r="N6658" s="24" t="str" cm="1">
        <f t="array" ref="N6658">IFERROR(IF($B6658=N$1, ($A6658+$C6658) - MAX(IF($B$2:$B6657=$B6658, $A$2:$A6657+$C$2:$C6657)), "")*24*60, "")</f>
        <v/>
      </c>
      <c r="O6658" s="24" t="str" cm="1">
        <f t="array" ref="O6658">IFERROR(IF($B6658=O$1, ($A6658+$C6658) - MAX(IF($B$2:$B6657=$B6658, $A$2:$A6657+$C$2:$C6657)), "")*24*60, "")</f>
        <v/>
      </c>
      <c r="P6658" s="24" t="str" cm="1">
        <f t="array" ref="P6658">IFERROR(IF($B6658=P$1, ($A6658+$C6658) - MAX(IF($B$2:$B6657=$B6658, $A$2:$A6657+$C$2:$C6657)), "")*24*60, "")</f>
        <v/>
      </c>
      <c r="Q6658" s="24" t="str" cm="1">
        <f t="array" ref="Q6658">IFERROR(IF($B6658=Q$1, ($A6658+$C6658) - MAX(IF($B$2:$B6657=$B6658, $A$2:$A6657+$C$2:$C6657)), "")*24*60, "")</f>
        <v/>
      </c>
      <c r="R6658" s="24" t="str" cm="1">
        <f t="array" ref="R6658">IFERROR(IF($B6658=R$1, ($A6658+$C6658) - MAX(IF($B$2:$B6657=$B6658, $A$2:$A6657+$C$2:$C6657)), "")*24*60, "")</f>
        <v/>
      </c>
      <c r="S6658" s="24" t="str" cm="1">
        <f t="array" ref="S6658">IFERROR(IF($B6658=S$1, ($A6658+$C6658) - MAX(IF($B$2:$B6657=$B6658, $A$2:$A6657+$C$2:$C6657)), "")*24*60, "")</f>
        <v/>
      </c>
    </row>
    <row r="6659" spans="1:19" x14ac:dyDescent="0.2">
      <c r="A6659" s="12">
        <f t="shared" ref="A6659:C6659" si="1549">A6658</f>
        <v>45990</v>
      </c>
      <c r="B6659" s="5" t="str">
        <f t="shared" si="1549"/>
        <v>Northern Cardinal</v>
      </c>
      <c r="C6659" s="6">
        <f t="shared" si="1549"/>
        <v>0.28333333333333333</v>
      </c>
      <c r="D6659" s="5"/>
      <c r="E6659" s="5"/>
      <c r="F6659" s="5" t="s">
        <v>8</v>
      </c>
      <c r="G6659" s="15" t="s">
        <v>9</v>
      </c>
      <c r="H6659" s="24">
        <f t="shared" si="1507"/>
        <v>0</v>
      </c>
      <c r="I6659" s="24" cm="1">
        <f t="array" ref="I6659">IFERROR(IF($B6659=I$1, ($A6659+$C6659) - MAX(IF($B$2:$B6658=$B6659, $A$2:$A6658+$C$2:$C6658)), "")*24*60, "")</f>
        <v>0</v>
      </c>
      <c r="J6659" s="24" t="str" cm="1">
        <f t="array" ref="J6659">IFERROR(IF($B6659=J$1, ($A6659+$C6659) - MAX(IF($B$2:$B6658=$B6659, $A$2:$A6658+$C$2:$C6658)), "")*24*60, "")</f>
        <v/>
      </c>
      <c r="K6659" s="24" t="str" cm="1">
        <f t="array" ref="K6659">IFERROR(IF($B6659=K$1, ($A6659+$C6659) - MAX(IF($B$2:$B6658=$B6659, $A$2:$A6658+$C$2:$C6658)), "")*24*60, "")</f>
        <v/>
      </c>
      <c r="L6659" s="24" t="str" cm="1">
        <f t="array" ref="L6659">IFERROR(IF($B6659=L$1, ($A6659+$C6659) - MAX(IF($B$2:$B6658=$B6659, $A$2:$A6658+$C$2:$C6658)), "")*24*60, "")</f>
        <v/>
      </c>
      <c r="M6659" s="24" t="str" cm="1">
        <f t="array" ref="M6659">IFERROR(IF($B6659=M$1, ($A6659+$C6659) - MAX(IF($B$2:$B6658=$B6659, $A$2:$A6658+$C$2:$C6658)), "")*24*60, "")</f>
        <v/>
      </c>
      <c r="N6659" s="24" t="str" cm="1">
        <f t="array" ref="N6659">IFERROR(IF($B6659=N$1, ($A6659+$C6659) - MAX(IF($B$2:$B6658=$B6659, $A$2:$A6658+$C$2:$C6658)), "")*24*60, "")</f>
        <v/>
      </c>
      <c r="O6659" s="24" t="str" cm="1">
        <f t="array" ref="O6659">IFERROR(IF($B6659=O$1, ($A6659+$C6659) - MAX(IF($B$2:$B6658=$B6659, $A$2:$A6658+$C$2:$C6658)), "")*24*60, "")</f>
        <v/>
      </c>
      <c r="P6659" s="24" t="str" cm="1">
        <f t="array" ref="P6659">IFERROR(IF($B6659=P$1, ($A6659+$C6659) - MAX(IF($B$2:$B6658=$B6659, $A$2:$A6658+$C$2:$C6658)), "")*24*60, "")</f>
        <v/>
      </c>
      <c r="Q6659" s="24" t="str" cm="1">
        <f t="array" ref="Q6659">IFERROR(IF($B6659=Q$1, ($A6659+$C6659) - MAX(IF($B$2:$B6658=$B6659, $A$2:$A6658+$C$2:$C6658)), "")*24*60, "")</f>
        <v/>
      </c>
      <c r="R6659" s="24" t="str" cm="1">
        <f t="array" ref="R6659">IFERROR(IF($B6659=R$1, ($A6659+$C6659) - MAX(IF($B$2:$B6658=$B6659, $A$2:$A6658+$C$2:$C6658)), "")*24*60, "")</f>
        <v/>
      </c>
      <c r="S6659" s="24" t="str" cm="1">
        <f t="array" ref="S6659">IFERROR(IF($B6659=S$1, ($A6659+$C6659) - MAX(IF($B$2:$B6658=$B6659, $A$2:$A6658+$C$2:$C6658)), "")*24*60, "")</f>
        <v/>
      </c>
    </row>
    <row r="6660" spans="1:19" x14ac:dyDescent="0.2">
      <c r="A6660" s="12">
        <f t="shared" ref="A6660:C6660" si="1550">A6659</f>
        <v>45990</v>
      </c>
      <c r="B6660" s="5" t="str">
        <f t="shared" si="1550"/>
        <v>Northern Cardinal</v>
      </c>
      <c r="C6660" s="6">
        <f t="shared" si="1550"/>
        <v>0.28333333333333333</v>
      </c>
      <c r="D6660" s="5"/>
      <c r="E6660" s="5"/>
      <c r="F6660" s="5" t="s">
        <v>8</v>
      </c>
      <c r="G6660" s="15" t="s">
        <v>9</v>
      </c>
      <c r="H6660" s="24">
        <f t="shared" si="1507"/>
        <v>0</v>
      </c>
      <c r="I6660" s="24" cm="1">
        <f t="array" ref="I6660">IFERROR(IF($B6660=I$1, ($A6660+$C6660) - MAX(IF($B$2:$B6659=$B6660, $A$2:$A6659+$C$2:$C6659)), "")*24*60, "")</f>
        <v>0</v>
      </c>
      <c r="J6660" s="24" t="str" cm="1">
        <f t="array" ref="J6660">IFERROR(IF($B6660=J$1, ($A6660+$C6660) - MAX(IF($B$2:$B6659=$B6660, $A$2:$A6659+$C$2:$C6659)), "")*24*60, "")</f>
        <v/>
      </c>
      <c r="K6660" s="24" t="str" cm="1">
        <f t="array" ref="K6660">IFERROR(IF($B6660=K$1, ($A6660+$C6660) - MAX(IF($B$2:$B6659=$B6660, $A$2:$A6659+$C$2:$C6659)), "")*24*60, "")</f>
        <v/>
      </c>
      <c r="L6660" s="24" t="str" cm="1">
        <f t="array" ref="L6660">IFERROR(IF($B6660=L$1, ($A6660+$C6660) - MAX(IF($B$2:$B6659=$B6660, $A$2:$A6659+$C$2:$C6659)), "")*24*60, "")</f>
        <v/>
      </c>
      <c r="M6660" s="24" t="str" cm="1">
        <f t="array" ref="M6660">IFERROR(IF($B6660=M$1, ($A6660+$C6660) - MAX(IF($B$2:$B6659=$B6660, $A$2:$A6659+$C$2:$C6659)), "")*24*60, "")</f>
        <v/>
      </c>
      <c r="N6660" s="24" t="str" cm="1">
        <f t="array" ref="N6660">IFERROR(IF($B6660=N$1, ($A6660+$C6660) - MAX(IF($B$2:$B6659=$B6660, $A$2:$A6659+$C$2:$C6659)), "")*24*60, "")</f>
        <v/>
      </c>
      <c r="O6660" s="24" t="str" cm="1">
        <f t="array" ref="O6660">IFERROR(IF($B6660=O$1, ($A6660+$C6660) - MAX(IF($B$2:$B6659=$B6660, $A$2:$A6659+$C$2:$C6659)), "")*24*60, "")</f>
        <v/>
      </c>
      <c r="P6660" s="24" t="str" cm="1">
        <f t="array" ref="P6660">IFERROR(IF($B6660=P$1, ($A6660+$C6660) - MAX(IF($B$2:$B6659=$B6660, $A$2:$A6659+$C$2:$C6659)), "")*24*60, "")</f>
        <v/>
      </c>
      <c r="Q6660" s="24" t="str" cm="1">
        <f t="array" ref="Q6660">IFERROR(IF($B6660=Q$1, ($A6660+$C6660) - MAX(IF($B$2:$B6659=$B6660, $A$2:$A6659+$C$2:$C6659)), "")*24*60, "")</f>
        <v/>
      </c>
      <c r="R6660" s="24" t="str" cm="1">
        <f t="array" ref="R6660">IFERROR(IF($B6660=R$1, ($A6660+$C6660) - MAX(IF($B$2:$B6659=$B6660, $A$2:$A6659+$C$2:$C6659)), "")*24*60, "")</f>
        <v/>
      </c>
      <c r="S6660" s="24" t="str" cm="1">
        <f t="array" ref="S6660">IFERROR(IF($B6660=S$1, ($A6660+$C6660) - MAX(IF($B$2:$B6659=$B6660, $A$2:$A6659+$C$2:$C6659)), "")*24*60, "")</f>
        <v/>
      </c>
    </row>
    <row r="6661" spans="1:19" x14ac:dyDescent="0.2">
      <c r="A6661" s="12">
        <f t="shared" ref="A6661:C6661" si="1551">A6660</f>
        <v>45990</v>
      </c>
      <c r="B6661" s="5" t="str">
        <f t="shared" si="1551"/>
        <v>Northern Cardinal</v>
      </c>
      <c r="C6661" s="6">
        <f t="shared" si="1551"/>
        <v>0.28333333333333333</v>
      </c>
      <c r="D6661" s="5"/>
      <c r="E6661" s="5"/>
      <c r="F6661" s="5" t="s">
        <v>8</v>
      </c>
      <c r="G6661" s="15" t="s">
        <v>9</v>
      </c>
      <c r="H6661" s="24">
        <f t="shared" si="1507"/>
        <v>0</v>
      </c>
      <c r="I6661" s="24" cm="1">
        <f t="array" ref="I6661">IFERROR(IF($B6661=I$1, ($A6661+$C6661) - MAX(IF($B$2:$B6660=$B6661, $A$2:$A6660+$C$2:$C6660)), "")*24*60, "")</f>
        <v>0</v>
      </c>
      <c r="J6661" s="24" t="str" cm="1">
        <f t="array" ref="J6661">IFERROR(IF($B6661=J$1, ($A6661+$C6661) - MAX(IF($B$2:$B6660=$B6661, $A$2:$A6660+$C$2:$C6660)), "")*24*60, "")</f>
        <v/>
      </c>
      <c r="K6661" s="24" t="str" cm="1">
        <f t="array" ref="K6661">IFERROR(IF($B6661=K$1, ($A6661+$C6661) - MAX(IF($B$2:$B6660=$B6661, $A$2:$A6660+$C$2:$C6660)), "")*24*60, "")</f>
        <v/>
      </c>
      <c r="L6661" s="24" t="str" cm="1">
        <f t="array" ref="L6661">IFERROR(IF($B6661=L$1, ($A6661+$C6661) - MAX(IF($B$2:$B6660=$B6661, $A$2:$A6660+$C$2:$C6660)), "")*24*60, "")</f>
        <v/>
      </c>
      <c r="M6661" s="24" t="str" cm="1">
        <f t="array" ref="M6661">IFERROR(IF($B6661=M$1, ($A6661+$C6661) - MAX(IF($B$2:$B6660=$B6661, $A$2:$A6660+$C$2:$C6660)), "")*24*60, "")</f>
        <v/>
      </c>
      <c r="N6661" s="24" t="str" cm="1">
        <f t="array" ref="N6661">IFERROR(IF($B6661=N$1, ($A6661+$C6661) - MAX(IF($B$2:$B6660=$B6661, $A$2:$A6660+$C$2:$C6660)), "")*24*60, "")</f>
        <v/>
      </c>
      <c r="O6661" s="24" t="str" cm="1">
        <f t="array" ref="O6661">IFERROR(IF($B6661=O$1, ($A6661+$C6661) - MAX(IF($B$2:$B6660=$B6661, $A$2:$A6660+$C$2:$C6660)), "")*24*60, "")</f>
        <v/>
      </c>
      <c r="P6661" s="24" t="str" cm="1">
        <f t="array" ref="P6661">IFERROR(IF($B6661=P$1, ($A6661+$C6661) - MAX(IF($B$2:$B6660=$B6661, $A$2:$A6660+$C$2:$C6660)), "")*24*60, "")</f>
        <v/>
      </c>
      <c r="Q6661" s="24" t="str" cm="1">
        <f t="array" ref="Q6661">IFERROR(IF($B6661=Q$1, ($A6661+$C6661) - MAX(IF($B$2:$B6660=$B6661, $A$2:$A6660+$C$2:$C6660)), "")*24*60, "")</f>
        <v/>
      </c>
      <c r="R6661" s="24" t="str" cm="1">
        <f t="array" ref="R6661">IFERROR(IF($B6661=R$1, ($A6661+$C6661) - MAX(IF($B$2:$B6660=$B6661, $A$2:$A6660+$C$2:$C6660)), "")*24*60, "")</f>
        <v/>
      </c>
      <c r="S6661" s="24" t="str" cm="1">
        <f t="array" ref="S6661">IFERROR(IF($B6661=S$1, ($A6661+$C6661) - MAX(IF($B$2:$B6660=$B6661, $A$2:$A6660+$C$2:$C6660)), "")*24*60, "")</f>
        <v/>
      </c>
    </row>
    <row r="6662" spans="1:19" x14ac:dyDescent="0.2">
      <c r="A6662" s="12">
        <f t="shared" ref="A6662:C6662" si="1552">A6661</f>
        <v>45990</v>
      </c>
      <c r="B6662" s="5" t="str">
        <f t="shared" si="1552"/>
        <v>Northern Cardinal</v>
      </c>
      <c r="C6662" s="6">
        <f t="shared" si="1552"/>
        <v>0.28333333333333333</v>
      </c>
      <c r="D6662" s="5"/>
      <c r="E6662" s="5"/>
      <c r="F6662" s="5" t="s">
        <v>8</v>
      </c>
      <c r="G6662" s="15" t="s">
        <v>9</v>
      </c>
      <c r="H6662" s="24">
        <f t="shared" si="1507"/>
        <v>0</v>
      </c>
      <c r="I6662" s="24" cm="1">
        <f t="array" ref="I6662">IFERROR(IF($B6662=I$1, ($A6662+$C6662) - MAX(IF($B$2:$B6661=$B6662, $A$2:$A6661+$C$2:$C6661)), "")*24*60, "")</f>
        <v>0</v>
      </c>
      <c r="J6662" s="24" t="str" cm="1">
        <f t="array" ref="J6662">IFERROR(IF($B6662=J$1, ($A6662+$C6662) - MAX(IF($B$2:$B6661=$B6662, $A$2:$A6661+$C$2:$C6661)), "")*24*60, "")</f>
        <v/>
      </c>
      <c r="K6662" s="24" t="str" cm="1">
        <f t="array" ref="K6662">IFERROR(IF($B6662=K$1, ($A6662+$C6662) - MAX(IF($B$2:$B6661=$B6662, $A$2:$A6661+$C$2:$C6661)), "")*24*60, "")</f>
        <v/>
      </c>
      <c r="L6662" s="24" t="str" cm="1">
        <f t="array" ref="L6662">IFERROR(IF($B6662=L$1, ($A6662+$C6662) - MAX(IF($B$2:$B6661=$B6662, $A$2:$A6661+$C$2:$C6661)), "")*24*60, "")</f>
        <v/>
      </c>
      <c r="M6662" s="24" t="str" cm="1">
        <f t="array" ref="M6662">IFERROR(IF($B6662=M$1, ($A6662+$C6662) - MAX(IF($B$2:$B6661=$B6662, $A$2:$A6661+$C$2:$C6661)), "")*24*60, "")</f>
        <v/>
      </c>
      <c r="N6662" s="24" t="str" cm="1">
        <f t="array" ref="N6662">IFERROR(IF($B6662=N$1, ($A6662+$C6662) - MAX(IF($B$2:$B6661=$B6662, $A$2:$A6661+$C$2:$C6661)), "")*24*60, "")</f>
        <v/>
      </c>
      <c r="O6662" s="24" t="str" cm="1">
        <f t="array" ref="O6662">IFERROR(IF($B6662=O$1, ($A6662+$C6662) - MAX(IF($B$2:$B6661=$B6662, $A$2:$A6661+$C$2:$C6661)), "")*24*60, "")</f>
        <v/>
      </c>
      <c r="P6662" s="24" t="str" cm="1">
        <f t="array" ref="P6662">IFERROR(IF($B6662=P$1, ($A6662+$C6662) - MAX(IF($B$2:$B6661=$B6662, $A$2:$A6661+$C$2:$C6661)), "")*24*60, "")</f>
        <v/>
      </c>
      <c r="Q6662" s="24" t="str" cm="1">
        <f t="array" ref="Q6662">IFERROR(IF($B6662=Q$1, ($A6662+$C6662) - MAX(IF($B$2:$B6661=$B6662, $A$2:$A6661+$C$2:$C6661)), "")*24*60, "")</f>
        <v/>
      </c>
      <c r="R6662" s="24" t="str" cm="1">
        <f t="array" ref="R6662">IFERROR(IF($B6662=R$1, ($A6662+$C6662) - MAX(IF($B$2:$B6661=$B6662, $A$2:$A6661+$C$2:$C6661)), "")*24*60, "")</f>
        <v/>
      </c>
      <c r="S6662" s="24" t="str" cm="1">
        <f t="array" ref="S6662">IFERROR(IF($B6662=S$1, ($A6662+$C6662) - MAX(IF($B$2:$B6661=$B6662, $A$2:$A6661+$C$2:$C6661)), "")*24*60, "")</f>
        <v/>
      </c>
    </row>
    <row r="6663" spans="1:19" x14ac:dyDescent="0.2">
      <c r="A6663" s="12">
        <f t="shared" ref="A6663:C6663" si="1553">A6662</f>
        <v>45990</v>
      </c>
      <c r="B6663" s="5" t="str">
        <f t="shared" si="1553"/>
        <v>Northern Cardinal</v>
      </c>
      <c r="C6663" s="6">
        <f t="shared" si="1553"/>
        <v>0.28333333333333333</v>
      </c>
      <c r="D6663" s="5"/>
      <c r="E6663" s="5"/>
      <c r="F6663" s="5" t="s">
        <v>8</v>
      </c>
      <c r="G6663" s="15" t="s">
        <v>9</v>
      </c>
      <c r="H6663" s="24">
        <f t="shared" si="1507"/>
        <v>0</v>
      </c>
      <c r="I6663" s="24" cm="1">
        <f t="array" ref="I6663">IFERROR(IF($B6663=I$1, ($A6663+$C6663) - MAX(IF($B$2:$B6662=$B6663, $A$2:$A6662+$C$2:$C6662)), "")*24*60, "")</f>
        <v>0</v>
      </c>
      <c r="J6663" s="24" t="str" cm="1">
        <f t="array" ref="J6663">IFERROR(IF($B6663=J$1, ($A6663+$C6663) - MAX(IF($B$2:$B6662=$B6663, $A$2:$A6662+$C$2:$C6662)), "")*24*60, "")</f>
        <v/>
      </c>
      <c r="K6663" s="24" t="str" cm="1">
        <f t="array" ref="K6663">IFERROR(IF($B6663=K$1, ($A6663+$C6663) - MAX(IF($B$2:$B6662=$B6663, $A$2:$A6662+$C$2:$C6662)), "")*24*60, "")</f>
        <v/>
      </c>
      <c r="L6663" s="24" t="str" cm="1">
        <f t="array" ref="L6663">IFERROR(IF($B6663=L$1, ($A6663+$C6663) - MAX(IF($B$2:$B6662=$B6663, $A$2:$A6662+$C$2:$C6662)), "")*24*60, "")</f>
        <v/>
      </c>
      <c r="M6663" s="24" t="str" cm="1">
        <f t="array" ref="M6663">IFERROR(IF($B6663=M$1, ($A6663+$C6663) - MAX(IF($B$2:$B6662=$B6663, $A$2:$A6662+$C$2:$C6662)), "")*24*60, "")</f>
        <v/>
      </c>
      <c r="N6663" s="24" t="str" cm="1">
        <f t="array" ref="N6663">IFERROR(IF($B6663=N$1, ($A6663+$C6663) - MAX(IF($B$2:$B6662=$B6663, $A$2:$A6662+$C$2:$C6662)), "")*24*60, "")</f>
        <v/>
      </c>
      <c r="O6663" s="24" t="str" cm="1">
        <f t="array" ref="O6663">IFERROR(IF($B6663=O$1, ($A6663+$C6663) - MAX(IF($B$2:$B6662=$B6663, $A$2:$A6662+$C$2:$C6662)), "")*24*60, "")</f>
        <v/>
      </c>
      <c r="P6663" s="24" t="str" cm="1">
        <f t="array" ref="P6663">IFERROR(IF($B6663=P$1, ($A6663+$C6663) - MAX(IF($B$2:$B6662=$B6663, $A$2:$A6662+$C$2:$C6662)), "")*24*60, "")</f>
        <v/>
      </c>
      <c r="Q6663" s="24" t="str" cm="1">
        <f t="array" ref="Q6663">IFERROR(IF($B6663=Q$1, ($A6663+$C6663) - MAX(IF($B$2:$B6662=$B6663, $A$2:$A6662+$C$2:$C6662)), "")*24*60, "")</f>
        <v/>
      </c>
      <c r="R6663" s="24" t="str" cm="1">
        <f t="array" ref="R6663">IFERROR(IF($B6663=R$1, ($A6663+$C6663) - MAX(IF($B$2:$B6662=$B6663, $A$2:$A6662+$C$2:$C6662)), "")*24*60, "")</f>
        <v/>
      </c>
      <c r="S6663" s="24" t="str" cm="1">
        <f t="array" ref="S6663">IFERROR(IF($B6663=S$1, ($A6663+$C6663) - MAX(IF($B$2:$B6662=$B6663, $A$2:$A6662+$C$2:$C6662)), "")*24*60, "")</f>
        <v/>
      </c>
    </row>
    <row r="6664" spans="1:19" x14ac:dyDescent="0.2">
      <c r="A6664" s="12">
        <f t="shared" ref="A6664:C6664" si="1554">A6663</f>
        <v>45990</v>
      </c>
      <c r="B6664" s="5" t="str">
        <f t="shared" si="1554"/>
        <v>Northern Cardinal</v>
      </c>
      <c r="C6664" s="6">
        <f t="shared" si="1554"/>
        <v>0.28333333333333333</v>
      </c>
      <c r="D6664" s="5"/>
      <c r="E6664" s="5"/>
      <c r="F6664" s="5" t="s">
        <v>8</v>
      </c>
      <c r="G6664" s="15" t="s">
        <v>9</v>
      </c>
      <c r="H6664" s="24">
        <f t="shared" si="1507"/>
        <v>0</v>
      </c>
      <c r="I6664" s="24" cm="1">
        <f t="array" ref="I6664">IFERROR(IF($B6664=I$1, ($A6664+$C6664) - MAX(IF($B$2:$B6663=$B6664, $A$2:$A6663+$C$2:$C6663)), "")*24*60, "")</f>
        <v>0</v>
      </c>
      <c r="J6664" s="24" t="str" cm="1">
        <f t="array" ref="J6664">IFERROR(IF($B6664=J$1, ($A6664+$C6664) - MAX(IF($B$2:$B6663=$B6664, $A$2:$A6663+$C$2:$C6663)), "")*24*60, "")</f>
        <v/>
      </c>
      <c r="K6664" s="24" t="str" cm="1">
        <f t="array" ref="K6664">IFERROR(IF($B6664=K$1, ($A6664+$C6664) - MAX(IF($B$2:$B6663=$B6664, $A$2:$A6663+$C$2:$C6663)), "")*24*60, "")</f>
        <v/>
      </c>
      <c r="L6664" s="24" t="str" cm="1">
        <f t="array" ref="L6664">IFERROR(IF($B6664=L$1, ($A6664+$C6664) - MAX(IF($B$2:$B6663=$B6664, $A$2:$A6663+$C$2:$C6663)), "")*24*60, "")</f>
        <v/>
      </c>
      <c r="M6664" s="24" t="str" cm="1">
        <f t="array" ref="M6664">IFERROR(IF($B6664=M$1, ($A6664+$C6664) - MAX(IF($B$2:$B6663=$B6664, $A$2:$A6663+$C$2:$C6663)), "")*24*60, "")</f>
        <v/>
      </c>
      <c r="N6664" s="24" t="str" cm="1">
        <f t="array" ref="N6664">IFERROR(IF($B6664=N$1, ($A6664+$C6664) - MAX(IF($B$2:$B6663=$B6664, $A$2:$A6663+$C$2:$C6663)), "")*24*60, "")</f>
        <v/>
      </c>
      <c r="O6664" s="24" t="str" cm="1">
        <f t="array" ref="O6664">IFERROR(IF($B6664=O$1, ($A6664+$C6664) - MAX(IF($B$2:$B6663=$B6664, $A$2:$A6663+$C$2:$C6663)), "")*24*60, "")</f>
        <v/>
      </c>
      <c r="P6664" s="24" t="str" cm="1">
        <f t="array" ref="P6664">IFERROR(IF($B6664=P$1, ($A6664+$C6664) - MAX(IF($B$2:$B6663=$B6664, $A$2:$A6663+$C$2:$C6663)), "")*24*60, "")</f>
        <v/>
      </c>
      <c r="Q6664" s="24" t="str" cm="1">
        <f t="array" ref="Q6664">IFERROR(IF($B6664=Q$1, ($A6664+$C6664) - MAX(IF($B$2:$B6663=$B6664, $A$2:$A6663+$C$2:$C6663)), "")*24*60, "")</f>
        <v/>
      </c>
      <c r="R6664" s="24" t="str" cm="1">
        <f t="array" ref="R6664">IFERROR(IF($B6664=R$1, ($A6664+$C6664) - MAX(IF($B$2:$B6663=$B6664, $A$2:$A6663+$C$2:$C6663)), "")*24*60, "")</f>
        <v/>
      </c>
      <c r="S6664" s="24" t="str" cm="1">
        <f t="array" ref="S6664">IFERROR(IF($B6664=S$1, ($A6664+$C6664) - MAX(IF($B$2:$B6663=$B6664, $A$2:$A6663+$C$2:$C6663)), "")*24*60, "")</f>
        <v/>
      </c>
    </row>
    <row r="6665" spans="1:19" x14ac:dyDescent="0.2">
      <c r="A6665" s="12">
        <f t="shared" ref="A6665:C6665" si="1555">A6664</f>
        <v>45990</v>
      </c>
      <c r="B6665" s="5" t="str">
        <f t="shared" si="1555"/>
        <v>Northern Cardinal</v>
      </c>
      <c r="C6665" s="6">
        <f t="shared" si="1555"/>
        <v>0.28333333333333333</v>
      </c>
      <c r="D6665" s="5"/>
      <c r="E6665" s="5"/>
      <c r="F6665" s="5" t="s">
        <v>8</v>
      </c>
      <c r="G6665" s="15" t="s">
        <v>9</v>
      </c>
      <c r="H6665" s="24">
        <f t="shared" si="1507"/>
        <v>0</v>
      </c>
      <c r="I6665" s="24" cm="1">
        <f t="array" ref="I6665">IFERROR(IF($B6665=I$1, ($A6665+$C6665) - MAX(IF($B$2:$B6664=$B6665, $A$2:$A6664+$C$2:$C6664)), "")*24*60, "")</f>
        <v>0</v>
      </c>
      <c r="J6665" s="24" t="str" cm="1">
        <f t="array" ref="J6665">IFERROR(IF($B6665=J$1, ($A6665+$C6665) - MAX(IF($B$2:$B6664=$B6665, $A$2:$A6664+$C$2:$C6664)), "")*24*60, "")</f>
        <v/>
      </c>
      <c r="K6665" s="24" t="str" cm="1">
        <f t="array" ref="K6665">IFERROR(IF($B6665=K$1, ($A6665+$C6665) - MAX(IF($B$2:$B6664=$B6665, $A$2:$A6664+$C$2:$C6664)), "")*24*60, "")</f>
        <v/>
      </c>
      <c r="L6665" s="24" t="str" cm="1">
        <f t="array" ref="L6665">IFERROR(IF($B6665=L$1, ($A6665+$C6665) - MAX(IF($B$2:$B6664=$B6665, $A$2:$A6664+$C$2:$C6664)), "")*24*60, "")</f>
        <v/>
      </c>
      <c r="M6665" s="24" t="str" cm="1">
        <f t="array" ref="M6665">IFERROR(IF($B6665=M$1, ($A6665+$C6665) - MAX(IF($B$2:$B6664=$B6665, $A$2:$A6664+$C$2:$C6664)), "")*24*60, "")</f>
        <v/>
      </c>
      <c r="N6665" s="24" t="str" cm="1">
        <f t="array" ref="N6665">IFERROR(IF($B6665=N$1, ($A6665+$C6665) - MAX(IF($B$2:$B6664=$B6665, $A$2:$A6664+$C$2:$C6664)), "")*24*60, "")</f>
        <v/>
      </c>
      <c r="O6665" s="24" t="str" cm="1">
        <f t="array" ref="O6665">IFERROR(IF($B6665=O$1, ($A6665+$C6665) - MAX(IF($B$2:$B6664=$B6665, $A$2:$A6664+$C$2:$C6664)), "")*24*60, "")</f>
        <v/>
      </c>
      <c r="P6665" s="24" t="str" cm="1">
        <f t="array" ref="P6665">IFERROR(IF($B6665=P$1, ($A6665+$C6665) - MAX(IF($B$2:$B6664=$B6665, $A$2:$A6664+$C$2:$C6664)), "")*24*60, "")</f>
        <v/>
      </c>
      <c r="Q6665" s="24" t="str" cm="1">
        <f t="array" ref="Q6665">IFERROR(IF($B6665=Q$1, ($A6665+$C6665) - MAX(IF($B$2:$B6664=$B6665, $A$2:$A6664+$C$2:$C6664)), "")*24*60, "")</f>
        <v/>
      </c>
      <c r="R6665" s="24" t="str" cm="1">
        <f t="array" ref="R6665">IFERROR(IF($B6665=R$1, ($A6665+$C6665) - MAX(IF($B$2:$B6664=$B6665, $A$2:$A6664+$C$2:$C6664)), "")*24*60, "")</f>
        <v/>
      </c>
      <c r="S6665" s="24" t="str" cm="1">
        <f t="array" ref="S6665">IFERROR(IF($B6665=S$1, ($A6665+$C6665) - MAX(IF($B$2:$B6664=$B6665, $A$2:$A6664+$C$2:$C6664)), "")*24*60, "")</f>
        <v/>
      </c>
    </row>
    <row r="6666" spans="1:19" x14ac:dyDescent="0.2">
      <c r="A6666" s="12">
        <f t="shared" ref="A6666:C6666" si="1556">A6665</f>
        <v>45990</v>
      </c>
      <c r="B6666" s="5" t="str">
        <f t="shared" si="1556"/>
        <v>Northern Cardinal</v>
      </c>
      <c r="C6666" s="6">
        <f t="shared" si="1556"/>
        <v>0.28333333333333333</v>
      </c>
      <c r="D6666" s="5"/>
      <c r="E6666" s="5"/>
      <c r="F6666" s="5" t="s">
        <v>8</v>
      </c>
      <c r="G6666" s="15" t="s">
        <v>9</v>
      </c>
      <c r="H6666" s="24">
        <f t="shared" si="1507"/>
        <v>0</v>
      </c>
      <c r="I6666" s="24" cm="1">
        <f t="array" ref="I6666">IFERROR(IF($B6666=I$1, ($A6666+$C6666) - MAX(IF($B$2:$B6665=$B6666, $A$2:$A6665+$C$2:$C6665)), "")*24*60, "")</f>
        <v>0</v>
      </c>
      <c r="J6666" s="24" t="str" cm="1">
        <f t="array" ref="J6666">IFERROR(IF($B6666=J$1, ($A6666+$C6666) - MAX(IF($B$2:$B6665=$B6666, $A$2:$A6665+$C$2:$C6665)), "")*24*60, "")</f>
        <v/>
      </c>
      <c r="K6666" s="24" t="str" cm="1">
        <f t="array" ref="K6666">IFERROR(IF($B6666=K$1, ($A6666+$C6666) - MAX(IF($B$2:$B6665=$B6666, $A$2:$A6665+$C$2:$C6665)), "")*24*60, "")</f>
        <v/>
      </c>
      <c r="L6666" s="24" t="str" cm="1">
        <f t="array" ref="L6666">IFERROR(IF($B6666=L$1, ($A6666+$C6666) - MAX(IF($B$2:$B6665=$B6666, $A$2:$A6665+$C$2:$C6665)), "")*24*60, "")</f>
        <v/>
      </c>
      <c r="M6666" s="24" t="str" cm="1">
        <f t="array" ref="M6666">IFERROR(IF($B6666=M$1, ($A6666+$C6666) - MAX(IF($B$2:$B6665=$B6666, $A$2:$A6665+$C$2:$C6665)), "")*24*60, "")</f>
        <v/>
      </c>
      <c r="N6666" s="24" t="str" cm="1">
        <f t="array" ref="N6666">IFERROR(IF($B6666=N$1, ($A6666+$C6666) - MAX(IF($B$2:$B6665=$B6666, $A$2:$A6665+$C$2:$C6665)), "")*24*60, "")</f>
        <v/>
      </c>
      <c r="O6666" s="24" t="str" cm="1">
        <f t="array" ref="O6666">IFERROR(IF($B6666=O$1, ($A6666+$C6666) - MAX(IF($B$2:$B6665=$B6666, $A$2:$A6665+$C$2:$C6665)), "")*24*60, "")</f>
        <v/>
      </c>
      <c r="P6666" s="24" t="str" cm="1">
        <f t="array" ref="P6666">IFERROR(IF($B6666=P$1, ($A6666+$C6666) - MAX(IF($B$2:$B6665=$B6666, $A$2:$A6665+$C$2:$C6665)), "")*24*60, "")</f>
        <v/>
      </c>
      <c r="Q6666" s="24" t="str" cm="1">
        <f t="array" ref="Q6666">IFERROR(IF($B6666=Q$1, ($A6666+$C6666) - MAX(IF($B$2:$B6665=$B6666, $A$2:$A6665+$C$2:$C6665)), "")*24*60, "")</f>
        <v/>
      </c>
      <c r="R6666" s="24" t="str" cm="1">
        <f t="array" ref="R6666">IFERROR(IF($B6666=R$1, ($A6666+$C6666) - MAX(IF($B$2:$B6665=$B6666, $A$2:$A6665+$C$2:$C6665)), "")*24*60, "")</f>
        <v/>
      </c>
      <c r="S6666" s="24" t="str" cm="1">
        <f t="array" ref="S6666">IFERROR(IF($B6666=S$1, ($A6666+$C6666) - MAX(IF($B$2:$B6665=$B6666, $A$2:$A6665+$C$2:$C6665)), "")*24*60, "")</f>
        <v/>
      </c>
    </row>
    <row r="6667" spans="1:19" x14ac:dyDescent="0.2">
      <c r="A6667" s="12">
        <f t="shared" ref="A6667:C6667" si="1557">A6666</f>
        <v>45990</v>
      </c>
      <c r="B6667" s="5" t="str">
        <f t="shared" si="1557"/>
        <v>Northern Cardinal</v>
      </c>
      <c r="C6667" s="6">
        <f t="shared" si="1557"/>
        <v>0.28333333333333333</v>
      </c>
      <c r="D6667" s="5"/>
      <c r="E6667" s="5"/>
      <c r="F6667" s="5" t="s">
        <v>8</v>
      </c>
      <c r="G6667" s="15" t="s">
        <v>9</v>
      </c>
      <c r="H6667" s="24">
        <f t="shared" si="1507"/>
        <v>0</v>
      </c>
      <c r="I6667" s="24" cm="1">
        <f t="array" ref="I6667">IFERROR(IF($B6667=I$1, ($A6667+$C6667) - MAX(IF($B$2:$B6666=$B6667, $A$2:$A6666+$C$2:$C6666)), "")*24*60, "")</f>
        <v>0</v>
      </c>
      <c r="J6667" s="24" t="str" cm="1">
        <f t="array" ref="J6667">IFERROR(IF($B6667=J$1, ($A6667+$C6667) - MAX(IF($B$2:$B6666=$B6667, $A$2:$A6666+$C$2:$C6666)), "")*24*60, "")</f>
        <v/>
      </c>
      <c r="K6667" s="24" t="str" cm="1">
        <f t="array" ref="K6667">IFERROR(IF($B6667=K$1, ($A6667+$C6667) - MAX(IF($B$2:$B6666=$B6667, $A$2:$A6666+$C$2:$C6666)), "")*24*60, "")</f>
        <v/>
      </c>
      <c r="L6667" s="24" t="str" cm="1">
        <f t="array" ref="L6667">IFERROR(IF($B6667=L$1, ($A6667+$C6667) - MAX(IF($B$2:$B6666=$B6667, $A$2:$A6666+$C$2:$C6666)), "")*24*60, "")</f>
        <v/>
      </c>
      <c r="M6667" s="24" t="str" cm="1">
        <f t="array" ref="M6667">IFERROR(IF($B6667=M$1, ($A6667+$C6667) - MAX(IF($B$2:$B6666=$B6667, $A$2:$A6666+$C$2:$C6666)), "")*24*60, "")</f>
        <v/>
      </c>
      <c r="N6667" s="24" t="str" cm="1">
        <f t="array" ref="N6667">IFERROR(IF($B6667=N$1, ($A6667+$C6667) - MAX(IF($B$2:$B6666=$B6667, $A$2:$A6666+$C$2:$C6666)), "")*24*60, "")</f>
        <v/>
      </c>
      <c r="O6667" s="24" t="str" cm="1">
        <f t="array" ref="O6667">IFERROR(IF($B6667=O$1, ($A6667+$C6667) - MAX(IF($B$2:$B6666=$B6667, $A$2:$A6666+$C$2:$C6666)), "")*24*60, "")</f>
        <v/>
      </c>
      <c r="P6667" s="24" t="str" cm="1">
        <f t="array" ref="P6667">IFERROR(IF($B6667=P$1, ($A6667+$C6667) - MAX(IF($B$2:$B6666=$B6667, $A$2:$A6666+$C$2:$C6666)), "")*24*60, "")</f>
        <v/>
      </c>
      <c r="Q6667" s="24" t="str" cm="1">
        <f t="array" ref="Q6667">IFERROR(IF($B6667=Q$1, ($A6667+$C6667) - MAX(IF($B$2:$B6666=$B6667, $A$2:$A6666+$C$2:$C6666)), "")*24*60, "")</f>
        <v/>
      </c>
      <c r="R6667" s="24" t="str" cm="1">
        <f t="array" ref="R6667">IFERROR(IF($B6667=R$1, ($A6667+$C6667) - MAX(IF($B$2:$B6666=$B6667, $A$2:$A6666+$C$2:$C6666)), "")*24*60, "")</f>
        <v/>
      </c>
      <c r="S6667" s="24" t="str" cm="1">
        <f t="array" ref="S6667">IFERROR(IF($B6667=S$1, ($A6667+$C6667) - MAX(IF($B$2:$B6666=$B6667, $A$2:$A6666+$C$2:$C6666)), "")*24*60, "")</f>
        <v/>
      </c>
    </row>
    <row r="6668" spans="1:19" x14ac:dyDescent="0.2">
      <c r="A6668" s="12">
        <f t="shared" ref="A6668:C6668" si="1558">A6667</f>
        <v>45990</v>
      </c>
      <c r="B6668" s="5" t="str">
        <f t="shared" si="1558"/>
        <v>Northern Cardinal</v>
      </c>
      <c r="C6668" s="6">
        <f t="shared" si="1558"/>
        <v>0.28333333333333333</v>
      </c>
      <c r="D6668" s="5"/>
      <c r="E6668" s="5"/>
      <c r="F6668" s="5" t="s">
        <v>8</v>
      </c>
      <c r="G6668" s="15" t="s">
        <v>9</v>
      </c>
      <c r="H6668" s="24">
        <f t="shared" si="1507"/>
        <v>0</v>
      </c>
      <c r="I6668" s="24" cm="1">
        <f t="array" ref="I6668">IFERROR(IF($B6668=I$1, ($A6668+$C6668) - MAX(IF($B$2:$B6667=$B6668, $A$2:$A6667+$C$2:$C6667)), "")*24*60, "")</f>
        <v>0</v>
      </c>
      <c r="J6668" s="24" t="str" cm="1">
        <f t="array" ref="J6668">IFERROR(IF($B6668=J$1, ($A6668+$C6668) - MAX(IF($B$2:$B6667=$B6668, $A$2:$A6667+$C$2:$C6667)), "")*24*60, "")</f>
        <v/>
      </c>
      <c r="K6668" s="24" t="str" cm="1">
        <f t="array" ref="K6668">IFERROR(IF($B6668=K$1, ($A6668+$C6668) - MAX(IF($B$2:$B6667=$B6668, $A$2:$A6667+$C$2:$C6667)), "")*24*60, "")</f>
        <v/>
      </c>
      <c r="L6668" s="24" t="str" cm="1">
        <f t="array" ref="L6668">IFERROR(IF($B6668=L$1, ($A6668+$C6668) - MAX(IF($B$2:$B6667=$B6668, $A$2:$A6667+$C$2:$C6667)), "")*24*60, "")</f>
        <v/>
      </c>
      <c r="M6668" s="24" t="str" cm="1">
        <f t="array" ref="M6668">IFERROR(IF($B6668=M$1, ($A6668+$C6668) - MAX(IF($B$2:$B6667=$B6668, $A$2:$A6667+$C$2:$C6667)), "")*24*60, "")</f>
        <v/>
      </c>
      <c r="N6668" s="24" t="str" cm="1">
        <f t="array" ref="N6668">IFERROR(IF($B6668=N$1, ($A6668+$C6668) - MAX(IF($B$2:$B6667=$B6668, $A$2:$A6667+$C$2:$C6667)), "")*24*60, "")</f>
        <v/>
      </c>
      <c r="O6668" s="24" t="str" cm="1">
        <f t="array" ref="O6668">IFERROR(IF($B6668=O$1, ($A6668+$C6668) - MAX(IF($B$2:$B6667=$B6668, $A$2:$A6667+$C$2:$C6667)), "")*24*60, "")</f>
        <v/>
      </c>
      <c r="P6668" s="24" t="str" cm="1">
        <f t="array" ref="P6668">IFERROR(IF($B6668=P$1, ($A6668+$C6668) - MAX(IF($B$2:$B6667=$B6668, $A$2:$A6667+$C$2:$C6667)), "")*24*60, "")</f>
        <v/>
      </c>
      <c r="Q6668" s="24" t="str" cm="1">
        <f t="array" ref="Q6668">IFERROR(IF($B6668=Q$1, ($A6668+$C6668) - MAX(IF($B$2:$B6667=$B6668, $A$2:$A6667+$C$2:$C6667)), "")*24*60, "")</f>
        <v/>
      </c>
      <c r="R6668" s="24" t="str" cm="1">
        <f t="array" ref="R6668">IFERROR(IF($B6668=R$1, ($A6668+$C6668) - MAX(IF($B$2:$B6667=$B6668, $A$2:$A6667+$C$2:$C6667)), "")*24*60, "")</f>
        <v/>
      </c>
      <c r="S6668" s="24" t="str" cm="1">
        <f t="array" ref="S6668">IFERROR(IF($B6668=S$1, ($A6668+$C6668) - MAX(IF($B$2:$B6667=$B6668, $A$2:$A6667+$C$2:$C6667)), "")*24*60, "")</f>
        <v/>
      </c>
    </row>
    <row r="6669" spans="1:19" x14ac:dyDescent="0.2">
      <c r="A6669" s="12">
        <f t="shared" ref="A6669:C6669" si="1559">A6668</f>
        <v>45990</v>
      </c>
      <c r="B6669" s="5" t="str">
        <f t="shared" si="1559"/>
        <v>Northern Cardinal</v>
      </c>
      <c r="C6669" s="6">
        <f t="shared" si="1559"/>
        <v>0.28333333333333333</v>
      </c>
      <c r="D6669" s="5"/>
      <c r="E6669" s="5"/>
      <c r="F6669" s="5" t="s">
        <v>8</v>
      </c>
      <c r="G6669" s="15" t="s">
        <v>9</v>
      </c>
      <c r="H6669" s="24">
        <f t="shared" si="1507"/>
        <v>0</v>
      </c>
      <c r="I6669" s="24" cm="1">
        <f t="array" ref="I6669">IFERROR(IF($B6669=I$1, ($A6669+$C6669) - MAX(IF($B$2:$B6668=$B6669, $A$2:$A6668+$C$2:$C6668)), "")*24*60, "")</f>
        <v>0</v>
      </c>
      <c r="J6669" s="24" t="str" cm="1">
        <f t="array" ref="J6669">IFERROR(IF($B6669=J$1, ($A6669+$C6669) - MAX(IF($B$2:$B6668=$B6669, $A$2:$A6668+$C$2:$C6668)), "")*24*60, "")</f>
        <v/>
      </c>
      <c r="K6669" s="24" t="str" cm="1">
        <f t="array" ref="K6669">IFERROR(IF($B6669=K$1, ($A6669+$C6669) - MAX(IF($B$2:$B6668=$B6669, $A$2:$A6668+$C$2:$C6668)), "")*24*60, "")</f>
        <v/>
      </c>
      <c r="L6669" s="24" t="str" cm="1">
        <f t="array" ref="L6669">IFERROR(IF($B6669=L$1, ($A6669+$C6669) - MAX(IF($B$2:$B6668=$B6669, $A$2:$A6668+$C$2:$C6668)), "")*24*60, "")</f>
        <v/>
      </c>
      <c r="M6669" s="24" t="str" cm="1">
        <f t="array" ref="M6669">IFERROR(IF($B6669=M$1, ($A6669+$C6669) - MAX(IF($B$2:$B6668=$B6669, $A$2:$A6668+$C$2:$C6668)), "")*24*60, "")</f>
        <v/>
      </c>
      <c r="N6669" s="24" t="str" cm="1">
        <f t="array" ref="N6669">IFERROR(IF($B6669=N$1, ($A6669+$C6669) - MAX(IF($B$2:$B6668=$B6669, $A$2:$A6668+$C$2:$C6668)), "")*24*60, "")</f>
        <v/>
      </c>
      <c r="O6669" s="24" t="str" cm="1">
        <f t="array" ref="O6669">IFERROR(IF($B6669=O$1, ($A6669+$C6669) - MAX(IF($B$2:$B6668=$B6669, $A$2:$A6668+$C$2:$C6668)), "")*24*60, "")</f>
        <v/>
      </c>
      <c r="P6669" s="24" t="str" cm="1">
        <f t="array" ref="P6669">IFERROR(IF($B6669=P$1, ($A6669+$C6669) - MAX(IF($B$2:$B6668=$B6669, $A$2:$A6668+$C$2:$C6668)), "")*24*60, "")</f>
        <v/>
      </c>
      <c r="Q6669" s="24" t="str" cm="1">
        <f t="array" ref="Q6669">IFERROR(IF($B6669=Q$1, ($A6669+$C6669) - MAX(IF($B$2:$B6668=$B6669, $A$2:$A6668+$C$2:$C6668)), "")*24*60, "")</f>
        <v/>
      </c>
      <c r="R6669" s="24" t="str" cm="1">
        <f t="array" ref="R6669">IFERROR(IF($B6669=R$1, ($A6669+$C6669) - MAX(IF($B$2:$B6668=$B6669, $A$2:$A6668+$C$2:$C6668)), "")*24*60, "")</f>
        <v/>
      </c>
      <c r="S6669" s="24" t="str" cm="1">
        <f t="array" ref="S6669">IFERROR(IF($B6669=S$1, ($A6669+$C6669) - MAX(IF($B$2:$B6668=$B6669, $A$2:$A6668+$C$2:$C6668)), "")*24*60, "")</f>
        <v/>
      </c>
    </row>
    <row r="6670" spans="1:19" x14ac:dyDescent="0.2">
      <c r="A6670" s="12">
        <f t="shared" ref="A6670:C6670" si="1560">A6669</f>
        <v>45990</v>
      </c>
      <c r="B6670" s="5" t="str">
        <f t="shared" si="1560"/>
        <v>Northern Cardinal</v>
      </c>
      <c r="C6670" s="6">
        <f t="shared" si="1560"/>
        <v>0.28333333333333333</v>
      </c>
      <c r="D6670" s="5"/>
      <c r="E6670" s="5"/>
      <c r="F6670" s="5" t="s">
        <v>8</v>
      </c>
      <c r="G6670" s="15" t="s">
        <v>9</v>
      </c>
      <c r="H6670" s="24">
        <f t="shared" si="1507"/>
        <v>0</v>
      </c>
      <c r="I6670" s="24" cm="1">
        <f t="array" ref="I6670">IFERROR(IF($B6670=I$1, ($A6670+$C6670) - MAX(IF($B$2:$B6669=$B6670, $A$2:$A6669+$C$2:$C6669)), "")*24*60, "")</f>
        <v>0</v>
      </c>
      <c r="J6670" s="24" t="str" cm="1">
        <f t="array" ref="J6670">IFERROR(IF($B6670=J$1, ($A6670+$C6670) - MAX(IF($B$2:$B6669=$B6670, $A$2:$A6669+$C$2:$C6669)), "")*24*60, "")</f>
        <v/>
      </c>
      <c r="K6670" s="24" t="str" cm="1">
        <f t="array" ref="K6670">IFERROR(IF($B6670=K$1, ($A6670+$C6670) - MAX(IF($B$2:$B6669=$B6670, $A$2:$A6669+$C$2:$C6669)), "")*24*60, "")</f>
        <v/>
      </c>
      <c r="L6670" s="24" t="str" cm="1">
        <f t="array" ref="L6670">IFERROR(IF($B6670=L$1, ($A6670+$C6670) - MAX(IF($B$2:$B6669=$B6670, $A$2:$A6669+$C$2:$C6669)), "")*24*60, "")</f>
        <v/>
      </c>
      <c r="M6670" s="24" t="str" cm="1">
        <f t="array" ref="M6670">IFERROR(IF($B6670=M$1, ($A6670+$C6670) - MAX(IF($B$2:$B6669=$B6670, $A$2:$A6669+$C$2:$C6669)), "")*24*60, "")</f>
        <v/>
      </c>
      <c r="N6670" s="24" t="str" cm="1">
        <f t="array" ref="N6670">IFERROR(IF($B6670=N$1, ($A6670+$C6670) - MAX(IF($B$2:$B6669=$B6670, $A$2:$A6669+$C$2:$C6669)), "")*24*60, "")</f>
        <v/>
      </c>
      <c r="O6670" s="24" t="str" cm="1">
        <f t="array" ref="O6670">IFERROR(IF($B6670=O$1, ($A6670+$C6670) - MAX(IF($B$2:$B6669=$B6670, $A$2:$A6669+$C$2:$C6669)), "")*24*60, "")</f>
        <v/>
      </c>
      <c r="P6670" s="24" t="str" cm="1">
        <f t="array" ref="P6670">IFERROR(IF($B6670=P$1, ($A6670+$C6670) - MAX(IF($B$2:$B6669=$B6670, $A$2:$A6669+$C$2:$C6669)), "")*24*60, "")</f>
        <v/>
      </c>
      <c r="Q6670" s="24" t="str" cm="1">
        <f t="array" ref="Q6670">IFERROR(IF($B6670=Q$1, ($A6670+$C6670) - MAX(IF($B$2:$B6669=$B6670, $A$2:$A6669+$C$2:$C6669)), "")*24*60, "")</f>
        <v/>
      </c>
      <c r="R6670" s="24" t="str" cm="1">
        <f t="array" ref="R6670">IFERROR(IF($B6670=R$1, ($A6670+$C6670) - MAX(IF($B$2:$B6669=$B6670, $A$2:$A6669+$C$2:$C6669)), "")*24*60, "")</f>
        <v/>
      </c>
      <c r="S6670" s="24" t="str" cm="1">
        <f t="array" ref="S6670">IFERROR(IF($B6670=S$1, ($A6670+$C6670) - MAX(IF($B$2:$B6669=$B6670, $A$2:$A6669+$C$2:$C6669)), "")*24*60, "")</f>
        <v/>
      </c>
    </row>
    <row r="6671" spans="1:19" x14ac:dyDescent="0.2">
      <c r="A6671" s="12">
        <f t="shared" ref="A6671:C6671" si="1561">A6670</f>
        <v>45990</v>
      </c>
      <c r="B6671" s="5" t="str">
        <f t="shared" si="1561"/>
        <v>Northern Cardinal</v>
      </c>
      <c r="C6671" s="6">
        <f t="shared" si="1561"/>
        <v>0.28333333333333333</v>
      </c>
      <c r="D6671" s="5"/>
      <c r="E6671" s="5"/>
      <c r="F6671" s="5" t="s">
        <v>8</v>
      </c>
      <c r="G6671" s="15" t="s">
        <v>9</v>
      </c>
      <c r="H6671" s="24">
        <f t="shared" si="1507"/>
        <v>0</v>
      </c>
      <c r="I6671" s="24" cm="1">
        <f t="array" ref="I6671">IFERROR(IF($B6671=I$1, ($A6671+$C6671) - MAX(IF($B$2:$B6670=$B6671, $A$2:$A6670+$C$2:$C6670)), "")*24*60, "")</f>
        <v>0</v>
      </c>
      <c r="J6671" s="24" t="str" cm="1">
        <f t="array" ref="J6671">IFERROR(IF($B6671=J$1, ($A6671+$C6671) - MAX(IF($B$2:$B6670=$B6671, $A$2:$A6670+$C$2:$C6670)), "")*24*60, "")</f>
        <v/>
      </c>
      <c r="K6671" s="24" t="str" cm="1">
        <f t="array" ref="K6671">IFERROR(IF($B6671=K$1, ($A6671+$C6671) - MAX(IF($B$2:$B6670=$B6671, $A$2:$A6670+$C$2:$C6670)), "")*24*60, "")</f>
        <v/>
      </c>
      <c r="L6671" s="24" t="str" cm="1">
        <f t="array" ref="L6671">IFERROR(IF($B6671=L$1, ($A6671+$C6671) - MAX(IF($B$2:$B6670=$B6671, $A$2:$A6670+$C$2:$C6670)), "")*24*60, "")</f>
        <v/>
      </c>
      <c r="M6671" s="24" t="str" cm="1">
        <f t="array" ref="M6671">IFERROR(IF($B6671=M$1, ($A6671+$C6671) - MAX(IF($B$2:$B6670=$B6671, $A$2:$A6670+$C$2:$C6670)), "")*24*60, "")</f>
        <v/>
      </c>
      <c r="N6671" s="24" t="str" cm="1">
        <f t="array" ref="N6671">IFERROR(IF($B6671=N$1, ($A6671+$C6671) - MAX(IF($B$2:$B6670=$B6671, $A$2:$A6670+$C$2:$C6670)), "")*24*60, "")</f>
        <v/>
      </c>
      <c r="O6671" s="24" t="str" cm="1">
        <f t="array" ref="O6671">IFERROR(IF($B6671=O$1, ($A6671+$C6671) - MAX(IF($B$2:$B6670=$B6671, $A$2:$A6670+$C$2:$C6670)), "")*24*60, "")</f>
        <v/>
      </c>
      <c r="P6671" s="24" t="str" cm="1">
        <f t="array" ref="P6671">IFERROR(IF($B6671=P$1, ($A6671+$C6671) - MAX(IF($B$2:$B6670=$B6671, $A$2:$A6670+$C$2:$C6670)), "")*24*60, "")</f>
        <v/>
      </c>
      <c r="Q6671" s="24" t="str" cm="1">
        <f t="array" ref="Q6671">IFERROR(IF($B6671=Q$1, ($A6671+$C6671) - MAX(IF($B$2:$B6670=$B6671, $A$2:$A6670+$C$2:$C6670)), "")*24*60, "")</f>
        <v/>
      </c>
      <c r="R6671" s="24" t="str" cm="1">
        <f t="array" ref="R6671">IFERROR(IF($B6671=R$1, ($A6671+$C6671) - MAX(IF($B$2:$B6670=$B6671, $A$2:$A6670+$C$2:$C6670)), "")*24*60, "")</f>
        <v/>
      </c>
      <c r="S6671" s="24" t="str" cm="1">
        <f t="array" ref="S6671">IFERROR(IF($B6671=S$1, ($A6671+$C6671) - MAX(IF($B$2:$B6670=$B6671, $A$2:$A6670+$C$2:$C6670)), "")*24*60, "")</f>
        <v/>
      </c>
    </row>
    <row r="6672" spans="1:19" x14ac:dyDescent="0.2">
      <c r="A6672" s="12">
        <f t="shared" ref="A6672:C6672" si="1562">A6671</f>
        <v>45990</v>
      </c>
      <c r="B6672" s="5" t="str">
        <f t="shared" si="1562"/>
        <v>Northern Cardinal</v>
      </c>
      <c r="C6672" s="6">
        <f t="shared" si="1562"/>
        <v>0.28333333333333333</v>
      </c>
      <c r="D6672" s="5"/>
      <c r="E6672" s="5"/>
      <c r="F6672" s="5" t="s">
        <v>8</v>
      </c>
      <c r="G6672" s="15" t="s">
        <v>9</v>
      </c>
      <c r="H6672" s="24">
        <f t="shared" si="1507"/>
        <v>0</v>
      </c>
      <c r="I6672" s="24" cm="1">
        <f t="array" ref="I6672">IFERROR(IF($B6672=I$1, ($A6672+$C6672) - MAX(IF($B$2:$B6671=$B6672, $A$2:$A6671+$C$2:$C6671)), "")*24*60, "")</f>
        <v>0</v>
      </c>
      <c r="J6672" s="24" t="str" cm="1">
        <f t="array" ref="J6672">IFERROR(IF($B6672=J$1, ($A6672+$C6672) - MAX(IF($B$2:$B6671=$B6672, $A$2:$A6671+$C$2:$C6671)), "")*24*60, "")</f>
        <v/>
      </c>
      <c r="K6672" s="24" t="str" cm="1">
        <f t="array" ref="K6672">IFERROR(IF($B6672=K$1, ($A6672+$C6672) - MAX(IF($B$2:$B6671=$B6672, $A$2:$A6671+$C$2:$C6671)), "")*24*60, "")</f>
        <v/>
      </c>
      <c r="L6672" s="24" t="str" cm="1">
        <f t="array" ref="L6672">IFERROR(IF($B6672=L$1, ($A6672+$C6672) - MAX(IF($B$2:$B6671=$B6672, $A$2:$A6671+$C$2:$C6671)), "")*24*60, "")</f>
        <v/>
      </c>
      <c r="M6672" s="24" t="str" cm="1">
        <f t="array" ref="M6672">IFERROR(IF($B6672=M$1, ($A6672+$C6672) - MAX(IF($B$2:$B6671=$B6672, $A$2:$A6671+$C$2:$C6671)), "")*24*60, "")</f>
        <v/>
      </c>
      <c r="N6672" s="24" t="str" cm="1">
        <f t="array" ref="N6672">IFERROR(IF($B6672=N$1, ($A6672+$C6672) - MAX(IF($B$2:$B6671=$B6672, $A$2:$A6671+$C$2:$C6671)), "")*24*60, "")</f>
        <v/>
      </c>
      <c r="O6672" s="24" t="str" cm="1">
        <f t="array" ref="O6672">IFERROR(IF($B6672=O$1, ($A6672+$C6672) - MAX(IF($B$2:$B6671=$B6672, $A$2:$A6671+$C$2:$C6671)), "")*24*60, "")</f>
        <v/>
      </c>
      <c r="P6672" s="24" t="str" cm="1">
        <f t="array" ref="P6672">IFERROR(IF($B6672=P$1, ($A6672+$C6672) - MAX(IF($B$2:$B6671=$B6672, $A$2:$A6671+$C$2:$C6671)), "")*24*60, "")</f>
        <v/>
      </c>
      <c r="Q6672" s="24" t="str" cm="1">
        <f t="array" ref="Q6672">IFERROR(IF($B6672=Q$1, ($A6672+$C6672) - MAX(IF($B$2:$B6671=$B6672, $A$2:$A6671+$C$2:$C6671)), "")*24*60, "")</f>
        <v/>
      </c>
      <c r="R6672" s="24" t="str" cm="1">
        <f t="array" ref="R6672">IFERROR(IF($B6672=R$1, ($A6672+$C6672) - MAX(IF($B$2:$B6671=$B6672, $A$2:$A6671+$C$2:$C6671)), "")*24*60, "")</f>
        <v/>
      </c>
      <c r="S6672" s="24" t="str" cm="1">
        <f t="array" ref="S6672">IFERROR(IF($B6672=S$1, ($A6672+$C6672) - MAX(IF($B$2:$B6671=$B6672, $A$2:$A6671+$C$2:$C6671)), "")*24*60, "")</f>
        <v/>
      </c>
    </row>
    <row r="6673" spans="1:19" x14ac:dyDescent="0.2">
      <c r="A6673" s="12">
        <f t="shared" ref="A6673:C6673" si="1563">A6672</f>
        <v>45990</v>
      </c>
      <c r="B6673" s="5" t="str">
        <f t="shared" si="1563"/>
        <v>Northern Cardinal</v>
      </c>
      <c r="C6673" s="6">
        <f t="shared" si="1563"/>
        <v>0.28333333333333333</v>
      </c>
      <c r="D6673" s="5"/>
      <c r="E6673" s="5"/>
      <c r="F6673" s="5" t="s">
        <v>8</v>
      </c>
      <c r="G6673" s="15" t="s">
        <v>9</v>
      </c>
      <c r="H6673" s="24">
        <f t="shared" si="1507"/>
        <v>0</v>
      </c>
      <c r="I6673" s="24" cm="1">
        <f t="array" ref="I6673">IFERROR(IF($B6673=I$1, ($A6673+$C6673) - MAX(IF($B$2:$B6672=$B6673, $A$2:$A6672+$C$2:$C6672)), "")*24*60, "")</f>
        <v>0</v>
      </c>
      <c r="J6673" s="24" t="str" cm="1">
        <f t="array" ref="J6673">IFERROR(IF($B6673=J$1, ($A6673+$C6673) - MAX(IF($B$2:$B6672=$B6673, $A$2:$A6672+$C$2:$C6672)), "")*24*60, "")</f>
        <v/>
      </c>
      <c r="K6673" s="24" t="str" cm="1">
        <f t="array" ref="K6673">IFERROR(IF($B6673=K$1, ($A6673+$C6673) - MAX(IF($B$2:$B6672=$B6673, $A$2:$A6672+$C$2:$C6672)), "")*24*60, "")</f>
        <v/>
      </c>
      <c r="L6673" s="24" t="str" cm="1">
        <f t="array" ref="L6673">IFERROR(IF($B6673=L$1, ($A6673+$C6673) - MAX(IF($B$2:$B6672=$B6673, $A$2:$A6672+$C$2:$C6672)), "")*24*60, "")</f>
        <v/>
      </c>
      <c r="M6673" s="24" t="str" cm="1">
        <f t="array" ref="M6673">IFERROR(IF($B6673=M$1, ($A6673+$C6673) - MAX(IF($B$2:$B6672=$B6673, $A$2:$A6672+$C$2:$C6672)), "")*24*60, "")</f>
        <v/>
      </c>
      <c r="N6673" s="24" t="str" cm="1">
        <f t="array" ref="N6673">IFERROR(IF($B6673=N$1, ($A6673+$C6673) - MAX(IF($B$2:$B6672=$B6673, $A$2:$A6672+$C$2:$C6672)), "")*24*60, "")</f>
        <v/>
      </c>
      <c r="O6673" s="24" t="str" cm="1">
        <f t="array" ref="O6673">IFERROR(IF($B6673=O$1, ($A6673+$C6673) - MAX(IF($B$2:$B6672=$B6673, $A$2:$A6672+$C$2:$C6672)), "")*24*60, "")</f>
        <v/>
      </c>
      <c r="P6673" s="24" t="str" cm="1">
        <f t="array" ref="P6673">IFERROR(IF($B6673=P$1, ($A6673+$C6673) - MAX(IF($B$2:$B6672=$B6673, $A$2:$A6672+$C$2:$C6672)), "")*24*60, "")</f>
        <v/>
      </c>
      <c r="Q6673" s="24" t="str" cm="1">
        <f t="array" ref="Q6673">IFERROR(IF($B6673=Q$1, ($A6673+$C6673) - MAX(IF($B$2:$B6672=$B6673, $A$2:$A6672+$C$2:$C6672)), "")*24*60, "")</f>
        <v/>
      </c>
      <c r="R6673" s="24" t="str" cm="1">
        <f t="array" ref="R6673">IFERROR(IF($B6673=R$1, ($A6673+$C6673) - MAX(IF($B$2:$B6672=$B6673, $A$2:$A6672+$C$2:$C6672)), "")*24*60, "")</f>
        <v/>
      </c>
      <c r="S6673" s="24" t="str" cm="1">
        <f t="array" ref="S6673">IFERROR(IF($B6673=S$1, ($A6673+$C6673) - MAX(IF($B$2:$B6672=$B6673, $A$2:$A6672+$C$2:$C6672)), "")*24*60, "")</f>
        <v/>
      </c>
    </row>
    <row r="6674" spans="1:19" x14ac:dyDescent="0.2">
      <c r="A6674" s="12">
        <f t="shared" ref="A6674:C6674" si="1564">A6673</f>
        <v>45990</v>
      </c>
      <c r="B6674" s="5" t="str">
        <f t="shared" si="1564"/>
        <v>Northern Cardinal</v>
      </c>
      <c r="C6674" s="6">
        <f t="shared" si="1564"/>
        <v>0.28333333333333333</v>
      </c>
      <c r="D6674" s="5"/>
      <c r="E6674" s="5"/>
      <c r="F6674" s="5" t="s">
        <v>8</v>
      </c>
      <c r="G6674" s="15" t="s">
        <v>9</v>
      </c>
      <c r="H6674" s="24">
        <f t="shared" si="1507"/>
        <v>0</v>
      </c>
      <c r="I6674" s="24" cm="1">
        <f t="array" ref="I6674">IFERROR(IF($B6674=I$1, ($A6674+$C6674) - MAX(IF($B$2:$B6673=$B6674, $A$2:$A6673+$C$2:$C6673)), "")*24*60, "")</f>
        <v>0</v>
      </c>
      <c r="J6674" s="24" t="str" cm="1">
        <f t="array" ref="J6674">IFERROR(IF($B6674=J$1, ($A6674+$C6674) - MAX(IF($B$2:$B6673=$B6674, $A$2:$A6673+$C$2:$C6673)), "")*24*60, "")</f>
        <v/>
      </c>
      <c r="K6674" s="24" t="str" cm="1">
        <f t="array" ref="K6674">IFERROR(IF($B6674=K$1, ($A6674+$C6674) - MAX(IF($B$2:$B6673=$B6674, $A$2:$A6673+$C$2:$C6673)), "")*24*60, "")</f>
        <v/>
      </c>
      <c r="L6674" s="24" t="str" cm="1">
        <f t="array" ref="L6674">IFERROR(IF($B6674=L$1, ($A6674+$C6674) - MAX(IF($B$2:$B6673=$B6674, $A$2:$A6673+$C$2:$C6673)), "")*24*60, "")</f>
        <v/>
      </c>
      <c r="M6674" s="24" t="str" cm="1">
        <f t="array" ref="M6674">IFERROR(IF($B6674=M$1, ($A6674+$C6674) - MAX(IF($B$2:$B6673=$B6674, $A$2:$A6673+$C$2:$C6673)), "")*24*60, "")</f>
        <v/>
      </c>
      <c r="N6674" s="24" t="str" cm="1">
        <f t="array" ref="N6674">IFERROR(IF($B6674=N$1, ($A6674+$C6674) - MAX(IF($B$2:$B6673=$B6674, $A$2:$A6673+$C$2:$C6673)), "")*24*60, "")</f>
        <v/>
      </c>
      <c r="O6674" s="24" t="str" cm="1">
        <f t="array" ref="O6674">IFERROR(IF($B6674=O$1, ($A6674+$C6674) - MAX(IF($B$2:$B6673=$B6674, $A$2:$A6673+$C$2:$C6673)), "")*24*60, "")</f>
        <v/>
      </c>
      <c r="P6674" s="24" t="str" cm="1">
        <f t="array" ref="P6674">IFERROR(IF($B6674=P$1, ($A6674+$C6674) - MAX(IF($B$2:$B6673=$B6674, $A$2:$A6673+$C$2:$C6673)), "")*24*60, "")</f>
        <v/>
      </c>
      <c r="Q6674" s="24" t="str" cm="1">
        <f t="array" ref="Q6674">IFERROR(IF($B6674=Q$1, ($A6674+$C6674) - MAX(IF($B$2:$B6673=$B6674, $A$2:$A6673+$C$2:$C6673)), "")*24*60, "")</f>
        <v/>
      </c>
      <c r="R6674" s="24" t="str" cm="1">
        <f t="array" ref="R6674">IFERROR(IF($B6674=R$1, ($A6674+$C6674) - MAX(IF($B$2:$B6673=$B6674, $A$2:$A6673+$C$2:$C6673)), "")*24*60, "")</f>
        <v/>
      </c>
      <c r="S6674" s="24" t="str" cm="1">
        <f t="array" ref="S6674">IFERROR(IF($B6674=S$1, ($A6674+$C6674) - MAX(IF($B$2:$B6673=$B6674, $A$2:$A6673+$C$2:$C6673)), "")*24*60, "")</f>
        <v/>
      </c>
    </row>
    <row r="6675" spans="1:19" x14ac:dyDescent="0.2">
      <c r="A6675" s="12">
        <f t="shared" ref="A6675:C6675" si="1565">A6674</f>
        <v>45990</v>
      </c>
      <c r="B6675" s="5" t="str">
        <f t="shared" si="1565"/>
        <v>Northern Cardinal</v>
      </c>
      <c r="C6675" s="6">
        <f t="shared" si="1565"/>
        <v>0.28333333333333333</v>
      </c>
      <c r="D6675" s="5"/>
      <c r="E6675" s="5"/>
      <c r="F6675" s="5" t="s">
        <v>8</v>
      </c>
      <c r="G6675" s="15" t="s">
        <v>9</v>
      </c>
      <c r="H6675" s="24">
        <f t="shared" si="1507"/>
        <v>0</v>
      </c>
      <c r="I6675" s="24" cm="1">
        <f t="array" ref="I6675">IFERROR(IF($B6675=I$1, ($A6675+$C6675) - MAX(IF($B$2:$B6674=$B6675, $A$2:$A6674+$C$2:$C6674)), "")*24*60, "")</f>
        <v>0</v>
      </c>
      <c r="J6675" s="24" t="str" cm="1">
        <f t="array" ref="J6675">IFERROR(IF($B6675=J$1, ($A6675+$C6675) - MAX(IF($B$2:$B6674=$B6675, $A$2:$A6674+$C$2:$C6674)), "")*24*60, "")</f>
        <v/>
      </c>
      <c r="K6675" s="24" t="str" cm="1">
        <f t="array" ref="K6675">IFERROR(IF($B6675=K$1, ($A6675+$C6675) - MAX(IF($B$2:$B6674=$B6675, $A$2:$A6674+$C$2:$C6674)), "")*24*60, "")</f>
        <v/>
      </c>
      <c r="L6675" s="24" t="str" cm="1">
        <f t="array" ref="L6675">IFERROR(IF($B6675=L$1, ($A6675+$C6675) - MAX(IF($B$2:$B6674=$B6675, $A$2:$A6674+$C$2:$C6674)), "")*24*60, "")</f>
        <v/>
      </c>
      <c r="M6675" s="24" t="str" cm="1">
        <f t="array" ref="M6675">IFERROR(IF($B6675=M$1, ($A6675+$C6675) - MAX(IF($B$2:$B6674=$B6675, $A$2:$A6674+$C$2:$C6674)), "")*24*60, "")</f>
        <v/>
      </c>
      <c r="N6675" s="24" t="str" cm="1">
        <f t="array" ref="N6675">IFERROR(IF($B6675=N$1, ($A6675+$C6675) - MAX(IF($B$2:$B6674=$B6675, $A$2:$A6674+$C$2:$C6674)), "")*24*60, "")</f>
        <v/>
      </c>
      <c r="O6675" s="24" t="str" cm="1">
        <f t="array" ref="O6675">IFERROR(IF($B6675=O$1, ($A6675+$C6675) - MAX(IF($B$2:$B6674=$B6675, $A$2:$A6674+$C$2:$C6674)), "")*24*60, "")</f>
        <v/>
      </c>
      <c r="P6675" s="24" t="str" cm="1">
        <f t="array" ref="P6675">IFERROR(IF($B6675=P$1, ($A6675+$C6675) - MAX(IF($B$2:$B6674=$B6675, $A$2:$A6674+$C$2:$C6674)), "")*24*60, "")</f>
        <v/>
      </c>
      <c r="Q6675" s="24" t="str" cm="1">
        <f t="array" ref="Q6675">IFERROR(IF($B6675=Q$1, ($A6675+$C6675) - MAX(IF($B$2:$B6674=$B6675, $A$2:$A6674+$C$2:$C6674)), "")*24*60, "")</f>
        <v/>
      </c>
      <c r="R6675" s="24" t="str" cm="1">
        <f t="array" ref="R6675">IFERROR(IF($B6675=R$1, ($A6675+$C6675) - MAX(IF($B$2:$B6674=$B6675, $A$2:$A6674+$C$2:$C6674)), "")*24*60, "")</f>
        <v/>
      </c>
      <c r="S6675" s="24" t="str" cm="1">
        <f t="array" ref="S6675">IFERROR(IF($B6675=S$1, ($A6675+$C6675) - MAX(IF($B$2:$B6674=$B6675, $A$2:$A6674+$C$2:$C6674)), "")*24*60, "")</f>
        <v/>
      </c>
    </row>
    <row r="6676" spans="1:19" x14ac:dyDescent="0.2">
      <c r="A6676" s="12">
        <f t="shared" ref="A6676:C6676" si="1566">A6675</f>
        <v>45990</v>
      </c>
      <c r="B6676" s="5" t="str">
        <f t="shared" si="1566"/>
        <v>Northern Cardinal</v>
      </c>
      <c r="C6676" s="6">
        <f t="shared" si="1566"/>
        <v>0.28333333333333333</v>
      </c>
      <c r="D6676" s="5"/>
      <c r="E6676" s="5"/>
      <c r="F6676" s="5" t="s">
        <v>8</v>
      </c>
      <c r="G6676" s="15" t="s">
        <v>9</v>
      </c>
      <c r="H6676" s="24">
        <f t="shared" si="1507"/>
        <v>0</v>
      </c>
      <c r="I6676" s="24" cm="1">
        <f t="array" ref="I6676">IFERROR(IF($B6676=I$1, ($A6676+$C6676) - MAX(IF($B$2:$B6675=$B6676, $A$2:$A6675+$C$2:$C6675)), "")*24*60, "")</f>
        <v>0</v>
      </c>
      <c r="J6676" s="24" t="str" cm="1">
        <f t="array" ref="J6676">IFERROR(IF($B6676=J$1, ($A6676+$C6676) - MAX(IF($B$2:$B6675=$B6676, $A$2:$A6675+$C$2:$C6675)), "")*24*60, "")</f>
        <v/>
      </c>
      <c r="K6676" s="24" t="str" cm="1">
        <f t="array" ref="K6676">IFERROR(IF($B6676=K$1, ($A6676+$C6676) - MAX(IF($B$2:$B6675=$B6676, $A$2:$A6675+$C$2:$C6675)), "")*24*60, "")</f>
        <v/>
      </c>
      <c r="L6676" s="24" t="str" cm="1">
        <f t="array" ref="L6676">IFERROR(IF($B6676=L$1, ($A6676+$C6676) - MAX(IF($B$2:$B6675=$B6676, $A$2:$A6675+$C$2:$C6675)), "")*24*60, "")</f>
        <v/>
      </c>
      <c r="M6676" s="24" t="str" cm="1">
        <f t="array" ref="M6676">IFERROR(IF($B6676=M$1, ($A6676+$C6676) - MAX(IF($B$2:$B6675=$B6676, $A$2:$A6675+$C$2:$C6675)), "")*24*60, "")</f>
        <v/>
      </c>
      <c r="N6676" s="24" t="str" cm="1">
        <f t="array" ref="N6676">IFERROR(IF($B6676=N$1, ($A6676+$C6676) - MAX(IF($B$2:$B6675=$B6676, $A$2:$A6675+$C$2:$C6675)), "")*24*60, "")</f>
        <v/>
      </c>
      <c r="O6676" s="24" t="str" cm="1">
        <f t="array" ref="O6676">IFERROR(IF($B6676=O$1, ($A6676+$C6676) - MAX(IF($B$2:$B6675=$B6676, $A$2:$A6675+$C$2:$C6675)), "")*24*60, "")</f>
        <v/>
      </c>
      <c r="P6676" s="24" t="str" cm="1">
        <f t="array" ref="P6676">IFERROR(IF($B6676=P$1, ($A6676+$C6676) - MAX(IF($B$2:$B6675=$B6676, $A$2:$A6675+$C$2:$C6675)), "")*24*60, "")</f>
        <v/>
      </c>
      <c r="Q6676" s="24" t="str" cm="1">
        <f t="array" ref="Q6676">IFERROR(IF($B6676=Q$1, ($A6676+$C6676) - MAX(IF($B$2:$B6675=$B6676, $A$2:$A6675+$C$2:$C6675)), "")*24*60, "")</f>
        <v/>
      </c>
      <c r="R6676" s="24" t="str" cm="1">
        <f t="array" ref="R6676">IFERROR(IF($B6676=R$1, ($A6676+$C6676) - MAX(IF($B$2:$B6675=$B6676, $A$2:$A6675+$C$2:$C6675)), "")*24*60, "")</f>
        <v/>
      </c>
      <c r="S6676" s="24" t="str" cm="1">
        <f t="array" ref="S6676">IFERROR(IF($B6676=S$1, ($A6676+$C6676) - MAX(IF($B$2:$B6675=$B6676, $A$2:$A6675+$C$2:$C6675)), "")*24*60, "")</f>
        <v/>
      </c>
    </row>
    <row r="6677" spans="1:19" x14ac:dyDescent="0.2">
      <c r="A6677" s="12">
        <f t="shared" ref="A6677:C6677" si="1567">A6676</f>
        <v>45990</v>
      </c>
      <c r="B6677" s="5" t="str">
        <f t="shared" si="1567"/>
        <v>Northern Cardinal</v>
      </c>
      <c r="C6677" s="6">
        <f t="shared" si="1567"/>
        <v>0.28333333333333333</v>
      </c>
      <c r="D6677" s="5"/>
      <c r="E6677" s="5"/>
      <c r="F6677" s="5" t="s">
        <v>8</v>
      </c>
      <c r="G6677" s="15" t="s">
        <v>9</v>
      </c>
      <c r="H6677" s="24">
        <f t="shared" si="1507"/>
        <v>0</v>
      </c>
      <c r="I6677" s="24" cm="1">
        <f t="array" ref="I6677">IFERROR(IF($B6677=I$1, ($A6677+$C6677) - MAX(IF($B$2:$B6676=$B6677, $A$2:$A6676+$C$2:$C6676)), "")*24*60, "")</f>
        <v>0</v>
      </c>
      <c r="J6677" s="24" t="str" cm="1">
        <f t="array" ref="J6677">IFERROR(IF($B6677=J$1, ($A6677+$C6677) - MAX(IF($B$2:$B6676=$B6677, $A$2:$A6676+$C$2:$C6676)), "")*24*60, "")</f>
        <v/>
      </c>
      <c r="K6677" s="24" t="str" cm="1">
        <f t="array" ref="K6677">IFERROR(IF($B6677=K$1, ($A6677+$C6677) - MAX(IF($B$2:$B6676=$B6677, $A$2:$A6676+$C$2:$C6676)), "")*24*60, "")</f>
        <v/>
      </c>
      <c r="L6677" s="24" t="str" cm="1">
        <f t="array" ref="L6677">IFERROR(IF($B6677=L$1, ($A6677+$C6677) - MAX(IF($B$2:$B6676=$B6677, $A$2:$A6676+$C$2:$C6676)), "")*24*60, "")</f>
        <v/>
      </c>
      <c r="M6677" s="24" t="str" cm="1">
        <f t="array" ref="M6677">IFERROR(IF($B6677=M$1, ($A6677+$C6677) - MAX(IF($B$2:$B6676=$B6677, $A$2:$A6676+$C$2:$C6676)), "")*24*60, "")</f>
        <v/>
      </c>
      <c r="N6677" s="24" t="str" cm="1">
        <f t="array" ref="N6677">IFERROR(IF($B6677=N$1, ($A6677+$C6677) - MAX(IF($B$2:$B6676=$B6677, $A$2:$A6676+$C$2:$C6676)), "")*24*60, "")</f>
        <v/>
      </c>
      <c r="O6677" s="24" t="str" cm="1">
        <f t="array" ref="O6677">IFERROR(IF($B6677=O$1, ($A6677+$C6677) - MAX(IF($B$2:$B6676=$B6677, $A$2:$A6676+$C$2:$C6676)), "")*24*60, "")</f>
        <v/>
      </c>
      <c r="P6677" s="24" t="str" cm="1">
        <f t="array" ref="P6677">IFERROR(IF($B6677=P$1, ($A6677+$C6677) - MAX(IF($B$2:$B6676=$B6677, $A$2:$A6676+$C$2:$C6676)), "")*24*60, "")</f>
        <v/>
      </c>
      <c r="Q6677" s="24" t="str" cm="1">
        <f t="array" ref="Q6677">IFERROR(IF($B6677=Q$1, ($A6677+$C6677) - MAX(IF($B$2:$B6676=$B6677, $A$2:$A6676+$C$2:$C6676)), "")*24*60, "")</f>
        <v/>
      </c>
      <c r="R6677" s="24" t="str" cm="1">
        <f t="array" ref="R6677">IFERROR(IF($B6677=R$1, ($A6677+$C6677) - MAX(IF($B$2:$B6676=$B6677, $A$2:$A6676+$C$2:$C6676)), "")*24*60, "")</f>
        <v/>
      </c>
      <c r="S6677" s="24" t="str" cm="1">
        <f t="array" ref="S6677">IFERROR(IF($B6677=S$1, ($A6677+$C6677) - MAX(IF($B$2:$B6676=$B6677, $A$2:$A6676+$C$2:$C6676)), "")*24*60, "")</f>
        <v/>
      </c>
    </row>
    <row r="6678" spans="1:19" x14ac:dyDescent="0.2">
      <c r="A6678" s="12">
        <f t="shared" ref="A6678:C6678" si="1568">A6677</f>
        <v>45990</v>
      </c>
      <c r="B6678" s="5" t="str">
        <f t="shared" si="1568"/>
        <v>Northern Cardinal</v>
      </c>
      <c r="C6678" s="6">
        <f t="shared" si="1568"/>
        <v>0.28333333333333333</v>
      </c>
      <c r="D6678" s="5"/>
      <c r="E6678" s="5"/>
      <c r="F6678" s="5" t="s">
        <v>8</v>
      </c>
      <c r="G6678" s="15" t="s">
        <v>9</v>
      </c>
      <c r="H6678" s="24">
        <f t="shared" si="1507"/>
        <v>0</v>
      </c>
      <c r="I6678" s="24" cm="1">
        <f t="array" ref="I6678">IFERROR(IF($B6678=I$1, ($A6678+$C6678) - MAX(IF($B$2:$B6677=$B6678, $A$2:$A6677+$C$2:$C6677)), "")*24*60, "")</f>
        <v>0</v>
      </c>
      <c r="J6678" s="24" t="str" cm="1">
        <f t="array" ref="J6678">IFERROR(IF($B6678=J$1, ($A6678+$C6678) - MAX(IF($B$2:$B6677=$B6678, $A$2:$A6677+$C$2:$C6677)), "")*24*60, "")</f>
        <v/>
      </c>
      <c r="K6678" s="24" t="str" cm="1">
        <f t="array" ref="K6678">IFERROR(IF($B6678=K$1, ($A6678+$C6678) - MAX(IF($B$2:$B6677=$B6678, $A$2:$A6677+$C$2:$C6677)), "")*24*60, "")</f>
        <v/>
      </c>
      <c r="L6678" s="24" t="str" cm="1">
        <f t="array" ref="L6678">IFERROR(IF($B6678=L$1, ($A6678+$C6678) - MAX(IF($B$2:$B6677=$B6678, $A$2:$A6677+$C$2:$C6677)), "")*24*60, "")</f>
        <v/>
      </c>
      <c r="M6678" s="24" t="str" cm="1">
        <f t="array" ref="M6678">IFERROR(IF($B6678=M$1, ($A6678+$C6678) - MAX(IF($B$2:$B6677=$B6678, $A$2:$A6677+$C$2:$C6677)), "")*24*60, "")</f>
        <v/>
      </c>
      <c r="N6678" s="24" t="str" cm="1">
        <f t="array" ref="N6678">IFERROR(IF($B6678=N$1, ($A6678+$C6678) - MAX(IF($B$2:$B6677=$B6678, $A$2:$A6677+$C$2:$C6677)), "")*24*60, "")</f>
        <v/>
      </c>
      <c r="O6678" s="24" t="str" cm="1">
        <f t="array" ref="O6678">IFERROR(IF($B6678=O$1, ($A6678+$C6678) - MAX(IF($B$2:$B6677=$B6678, $A$2:$A6677+$C$2:$C6677)), "")*24*60, "")</f>
        <v/>
      </c>
      <c r="P6678" s="24" t="str" cm="1">
        <f t="array" ref="P6678">IFERROR(IF($B6678=P$1, ($A6678+$C6678) - MAX(IF($B$2:$B6677=$B6678, $A$2:$A6677+$C$2:$C6677)), "")*24*60, "")</f>
        <v/>
      </c>
      <c r="Q6678" s="24" t="str" cm="1">
        <f t="array" ref="Q6678">IFERROR(IF($B6678=Q$1, ($A6678+$C6678) - MAX(IF($B$2:$B6677=$B6678, $A$2:$A6677+$C$2:$C6677)), "")*24*60, "")</f>
        <v/>
      </c>
      <c r="R6678" s="24" t="str" cm="1">
        <f t="array" ref="R6678">IFERROR(IF($B6678=R$1, ($A6678+$C6678) - MAX(IF($B$2:$B6677=$B6678, $A$2:$A6677+$C$2:$C6677)), "")*24*60, "")</f>
        <v/>
      </c>
      <c r="S6678" s="24" t="str" cm="1">
        <f t="array" ref="S6678">IFERROR(IF($B6678=S$1, ($A6678+$C6678) - MAX(IF($B$2:$B6677=$B6678, $A$2:$A6677+$C$2:$C6677)), "")*24*60, "")</f>
        <v/>
      </c>
    </row>
    <row r="6679" spans="1:19" x14ac:dyDescent="0.2">
      <c r="A6679" s="12">
        <f t="shared" ref="A6679:C6679" si="1569">A6678</f>
        <v>45990</v>
      </c>
      <c r="B6679" s="5" t="str">
        <f t="shared" si="1569"/>
        <v>Northern Cardinal</v>
      </c>
      <c r="C6679" s="6">
        <f t="shared" si="1569"/>
        <v>0.28333333333333333</v>
      </c>
      <c r="D6679" s="5"/>
      <c r="E6679" s="5"/>
      <c r="F6679" s="5" t="s">
        <v>8</v>
      </c>
      <c r="G6679" s="15" t="s">
        <v>9</v>
      </c>
      <c r="H6679" s="24">
        <f t="shared" si="1507"/>
        <v>0</v>
      </c>
      <c r="I6679" s="24" cm="1">
        <f t="array" ref="I6679">IFERROR(IF($B6679=I$1, ($A6679+$C6679) - MAX(IF($B$2:$B6678=$B6679, $A$2:$A6678+$C$2:$C6678)), "")*24*60, "")</f>
        <v>0</v>
      </c>
      <c r="J6679" s="24" t="str" cm="1">
        <f t="array" ref="J6679">IFERROR(IF($B6679=J$1, ($A6679+$C6679) - MAX(IF($B$2:$B6678=$B6679, $A$2:$A6678+$C$2:$C6678)), "")*24*60, "")</f>
        <v/>
      </c>
      <c r="K6679" s="24" t="str" cm="1">
        <f t="array" ref="K6679">IFERROR(IF($B6679=K$1, ($A6679+$C6679) - MAX(IF($B$2:$B6678=$B6679, $A$2:$A6678+$C$2:$C6678)), "")*24*60, "")</f>
        <v/>
      </c>
      <c r="L6679" s="24" t="str" cm="1">
        <f t="array" ref="L6679">IFERROR(IF($B6679=L$1, ($A6679+$C6679) - MAX(IF($B$2:$B6678=$B6679, $A$2:$A6678+$C$2:$C6678)), "")*24*60, "")</f>
        <v/>
      </c>
      <c r="M6679" s="24" t="str" cm="1">
        <f t="array" ref="M6679">IFERROR(IF($B6679=M$1, ($A6679+$C6679) - MAX(IF($B$2:$B6678=$B6679, $A$2:$A6678+$C$2:$C6678)), "")*24*60, "")</f>
        <v/>
      </c>
      <c r="N6679" s="24" t="str" cm="1">
        <f t="array" ref="N6679">IFERROR(IF($B6679=N$1, ($A6679+$C6679) - MAX(IF($B$2:$B6678=$B6679, $A$2:$A6678+$C$2:$C6678)), "")*24*60, "")</f>
        <v/>
      </c>
      <c r="O6679" s="24" t="str" cm="1">
        <f t="array" ref="O6679">IFERROR(IF($B6679=O$1, ($A6679+$C6679) - MAX(IF($B$2:$B6678=$B6679, $A$2:$A6678+$C$2:$C6678)), "")*24*60, "")</f>
        <v/>
      </c>
      <c r="P6679" s="24" t="str" cm="1">
        <f t="array" ref="P6679">IFERROR(IF($B6679=P$1, ($A6679+$C6679) - MAX(IF($B$2:$B6678=$B6679, $A$2:$A6678+$C$2:$C6678)), "")*24*60, "")</f>
        <v/>
      </c>
      <c r="Q6679" s="24" t="str" cm="1">
        <f t="array" ref="Q6679">IFERROR(IF($B6679=Q$1, ($A6679+$C6679) - MAX(IF($B$2:$B6678=$B6679, $A$2:$A6678+$C$2:$C6678)), "")*24*60, "")</f>
        <v/>
      </c>
      <c r="R6679" s="24" t="str" cm="1">
        <f t="array" ref="R6679">IFERROR(IF($B6679=R$1, ($A6679+$C6679) - MAX(IF($B$2:$B6678=$B6679, $A$2:$A6678+$C$2:$C6678)), "")*24*60, "")</f>
        <v/>
      </c>
      <c r="S6679" s="24" t="str" cm="1">
        <f t="array" ref="S6679">IFERROR(IF($B6679=S$1, ($A6679+$C6679) - MAX(IF($B$2:$B6678=$B6679, $A$2:$A6678+$C$2:$C6678)), "")*24*60, "")</f>
        <v/>
      </c>
    </row>
    <row r="6680" spans="1:19" x14ac:dyDescent="0.2">
      <c r="A6680" s="12">
        <f t="shared" ref="A6680:C6680" si="1570">A6679</f>
        <v>45990</v>
      </c>
      <c r="B6680" s="5" t="str">
        <f t="shared" si="1570"/>
        <v>Northern Cardinal</v>
      </c>
      <c r="C6680" s="6">
        <f t="shared" si="1570"/>
        <v>0.28333333333333333</v>
      </c>
      <c r="D6680" s="5"/>
      <c r="E6680" s="5"/>
      <c r="F6680" s="5" t="s">
        <v>8</v>
      </c>
      <c r="G6680" s="15" t="s">
        <v>9</v>
      </c>
      <c r="H6680" s="24">
        <f t="shared" si="1507"/>
        <v>0</v>
      </c>
      <c r="I6680" s="24" cm="1">
        <f t="array" ref="I6680">IFERROR(IF($B6680=I$1, ($A6680+$C6680) - MAX(IF($B$2:$B6679=$B6680, $A$2:$A6679+$C$2:$C6679)), "")*24*60, "")</f>
        <v>0</v>
      </c>
      <c r="J6680" s="24" t="str" cm="1">
        <f t="array" ref="J6680">IFERROR(IF($B6680=J$1, ($A6680+$C6680) - MAX(IF($B$2:$B6679=$B6680, $A$2:$A6679+$C$2:$C6679)), "")*24*60, "")</f>
        <v/>
      </c>
      <c r="K6680" s="24" t="str" cm="1">
        <f t="array" ref="K6680">IFERROR(IF($B6680=K$1, ($A6680+$C6680) - MAX(IF($B$2:$B6679=$B6680, $A$2:$A6679+$C$2:$C6679)), "")*24*60, "")</f>
        <v/>
      </c>
      <c r="L6680" s="24" t="str" cm="1">
        <f t="array" ref="L6680">IFERROR(IF($B6680=L$1, ($A6680+$C6680) - MAX(IF($B$2:$B6679=$B6680, $A$2:$A6679+$C$2:$C6679)), "")*24*60, "")</f>
        <v/>
      </c>
      <c r="M6680" s="24" t="str" cm="1">
        <f t="array" ref="M6680">IFERROR(IF($B6680=M$1, ($A6680+$C6680) - MAX(IF($B$2:$B6679=$B6680, $A$2:$A6679+$C$2:$C6679)), "")*24*60, "")</f>
        <v/>
      </c>
      <c r="N6680" s="24" t="str" cm="1">
        <f t="array" ref="N6680">IFERROR(IF($B6680=N$1, ($A6680+$C6680) - MAX(IF($B$2:$B6679=$B6680, $A$2:$A6679+$C$2:$C6679)), "")*24*60, "")</f>
        <v/>
      </c>
      <c r="O6680" s="24" t="str" cm="1">
        <f t="array" ref="O6680">IFERROR(IF($B6680=O$1, ($A6680+$C6680) - MAX(IF($B$2:$B6679=$B6680, $A$2:$A6679+$C$2:$C6679)), "")*24*60, "")</f>
        <v/>
      </c>
      <c r="P6680" s="24" t="str" cm="1">
        <f t="array" ref="P6680">IFERROR(IF($B6680=P$1, ($A6680+$C6680) - MAX(IF($B$2:$B6679=$B6680, $A$2:$A6679+$C$2:$C6679)), "")*24*60, "")</f>
        <v/>
      </c>
      <c r="Q6680" s="24" t="str" cm="1">
        <f t="array" ref="Q6680">IFERROR(IF($B6680=Q$1, ($A6680+$C6680) - MAX(IF($B$2:$B6679=$B6680, $A$2:$A6679+$C$2:$C6679)), "")*24*60, "")</f>
        <v/>
      </c>
      <c r="R6680" s="24" t="str" cm="1">
        <f t="array" ref="R6680">IFERROR(IF($B6680=R$1, ($A6680+$C6680) - MAX(IF($B$2:$B6679=$B6680, $A$2:$A6679+$C$2:$C6679)), "")*24*60, "")</f>
        <v/>
      </c>
      <c r="S6680" s="24" t="str" cm="1">
        <f t="array" ref="S6680">IFERROR(IF($B6680=S$1, ($A6680+$C6680) - MAX(IF($B$2:$B6679=$B6680, $A$2:$A6679+$C$2:$C6679)), "")*24*60, "")</f>
        <v/>
      </c>
    </row>
    <row r="6681" spans="1:19" x14ac:dyDescent="0.2">
      <c r="A6681" s="12">
        <f t="shared" ref="A6681:C6681" si="1571">A6680</f>
        <v>45990</v>
      </c>
      <c r="B6681" s="5" t="str">
        <f t="shared" si="1571"/>
        <v>Northern Cardinal</v>
      </c>
      <c r="C6681" s="6">
        <f t="shared" si="1571"/>
        <v>0.28333333333333333</v>
      </c>
      <c r="D6681" s="5"/>
      <c r="E6681" s="5"/>
      <c r="F6681" s="5" t="s">
        <v>8</v>
      </c>
      <c r="G6681" s="15" t="s">
        <v>9</v>
      </c>
      <c r="H6681" s="24">
        <f t="shared" ref="H6681:H6744" si="1572">IFERROR((($A6681+$C6681) - ($A6680+$C6680))*24*60, "")</f>
        <v>0</v>
      </c>
      <c r="I6681" s="24" cm="1">
        <f t="array" ref="I6681">IFERROR(IF($B6681=I$1, ($A6681+$C6681) - MAX(IF($B$2:$B6680=$B6681, $A$2:$A6680+$C$2:$C6680)), "")*24*60, "")</f>
        <v>0</v>
      </c>
      <c r="J6681" s="24" t="str" cm="1">
        <f t="array" ref="J6681">IFERROR(IF($B6681=J$1, ($A6681+$C6681) - MAX(IF($B$2:$B6680=$B6681, $A$2:$A6680+$C$2:$C6680)), "")*24*60, "")</f>
        <v/>
      </c>
      <c r="K6681" s="24" t="str" cm="1">
        <f t="array" ref="K6681">IFERROR(IF($B6681=K$1, ($A6681+$C6681) - MAX(IF($B$2:$B6680=$B6681, $A$2:$A6680+$C$2:$C6680)), "")*24*60, "")</f>
        <v/>
      </c>
      <c r="L6681" s="24" t="str" cm="1">
        <f t="array" ref="L6681">IFERROR(IF($B6681=L$1, ($A6681+$C6681) - MAX(IF($B$2:$B6680=$B6681, $A$2:$A6680+$C$2:$C6680)), "")*24*60, "")</f>
        <v/>
      </c>
      <c r="M6681" s="24" t="str" cm="1">
        <f t="array" ref="M6681">IFERROR(IF($B6681=M$1, ($A6681+$C6681) - MAX(IF($B$2:$B6680=$B6681, $A$2:$A6680+$C$2:$C6680)), "")*24*60, "")</f>
        <v/>
      </c>
      <c r="N6681" s="24" t="str" cm="1">
        <f t="array" ref="N6681">IFERROR(IF($B6681=N$1, ($A6681+$C6681) - MAX(IF($B$2:$B6680=$B6681, $A$2:$A6680+$C$2:$C6680)), "")*24*60, "")</f>
        <v/>
      </c>
      <c r="O6681" s="24" t="str" cm="1">
        <f t="array" ref="O6681">IFERROR(IF($B6681=O$1, ($A6681+$C6681) - MAX(IF($B$2:$B6680=$B6681, $A$2:$A6680+$C$2:$C6680)), "")*24*60, "")</f>
        <v/>
      </c>
      <c r="P6681" s="24" t="str" cm="1">
        <f t="array" ref="P6681">IFERROR(IF($B6681=P$1, ($A6681+$C6681) - MAX(IF($B$2:$B6680=$B6681, $A$2:$A6680+$C$2:$C6680)), "")*24*60, "")</f>
        <v/>
      </c>
      <c r="Q6681" s="24" t="str" cm="1">
        <f t="array" ref="Q6681">IFERROR(IF($B6681=Q$1, ($A6681+$C6681) - MAX(IF($B$2:$B6680=$B6681, $A$2:$A6680+$C$2:$C6680)), "")*24*60, "")</f>
        <v/>
      </c>
      <c r="R6681" s="24" t="str" cm="1">
        <f t="array" ref="R6681">IFERROR(IF($B6681=R$1, ($A6681+$C6681) - MAX(IF($B$2:$B6680=$B6681, $A$2:$A6680+$C$2:$C6680)), "")*24*60, "")</f>
        <v/>
      </c>
      <c r="S6681" s="24" t="str" cm="1">
        <f t="array" ref="S6681">IFERROR(IF($B6681=S$1, ($A6681+$C6681) - MAX(IF($B$2:$B6680=$B6681, $A$2:$A6680+$C$2:$C6680)), "")*24*60, "")</f>
        <v/>
      </c>
    </row>
    <row r="6682" spans="1:19" x14ac:dyDescent="0.2">
      <c r="A6682" s="12">
        <f t="shared" ref="A6682:C6682" si="1573">A6681</f>
        <v>45990</v>
      </c>
      <c r="B6682" s="5" t="str">
        <f t="shared" si="1573"/>
        <v>Northern Cardinal</v>
      </c>
      <c r="C6682" s="6">
        <f t="shared" si="1573"/>
        <v>0.28333333333333333</v>
      </c>
      <c r="D6682" s="5"/>
      <c r="E6682" s="5"/>
      <c r="F6682" s="5" t="s">
        <v>8</v>
      </c>
      <c r="G6682" s="15" t="s">
        <v>9</v>
      </c>
      <c r="H6682" s="24">
        <f t="shared" si="1572"/>
        <v>0</v>
      </c>
      <c r="I6682" s="24" cm="1">
        <f t="array" ref="I6682">IFERROR(IF($B6682=I$1, ($A6682+$C6682) - MAX(IF($B$2:$B6681=$B6682, $A$2:$A6681+$C$2:$C6681)), "")*24*60, "")</f>
        <v>0</v>
      </c>
      <c r="J6682" s="24" t="str" cm="1">
        <f t="array" ref="J6682">IFERROR(IF($B6682=J$1, ($A6682+$C6682) - MAX(IF($B$2:$B6681=$B6682, $A$2:$A6681+$C$2:$C6681)), "")*24*60, "")</f>
        <v/>
      </c>
      <c r="K6682" s="24" t="str" cm="1">
        <f t="array" ref="K6682">IFERROR(IF($B6682=K$1, ($A6682+$C6682) - MAX(IF($B$2:$B6681=$B6682, $A$2:$A6681+$C$2:$C6681)), "")*24*60, "")</f>
        <v/>
      </c>
      <c r="L6682" s="24" t="str" cm="1">
        <f t="array" ref="L6682">IFERROR(IF($B6682=L$1, ($A6682+$C6682) - MAX(IF($B$2:$B6681=$B6682, $A$2:$A6681+$C$2:$C6681)), "")*24*60, "")</f>
        <v/>
      </c>
      <c r="M6682" s="24" t="str" cm="1">
        <f t="array" ref="M6682">IFERROR(IF($B6682=M$1, ($A6682+$C6682) - MAX(IF($B$2:$B6681=$B6682, $A$2:$A6681+$C$2:$C6681)), "")*24*60, "")</f>
        <v/>
      </c>
      <c r="N6682" s="24" t="str" cm="1">
        <f t="array" ref="N6682">IFERROR(IF($B6682=N$1, ($A6682+$C6682) - MAX(IF($B$2:$B6681=$B6682, $A$2:$A6681+$C$2:$C6681)), "")*24*60, "")</f>
        <v/>
      </c>
      <c r="O6682" s="24" t="str" cm="1">
        <f t="array" ref="O6682">IFERROR(IF($B6682=O$1, ($A6682+$C6682) - MAX(IF($B$2:$B6681=$B6682, $A$2:$A6681+$C$2:$C6681)), "")*24*60, "")</f>
        <v/>
      </c>
      <c r="P6682" s="24" t="str" cm="1">
        <f t="array" ref="P6682">IFERROR(IF($B6682=P$1, ($A6682+$C6682) - MAX(IF($B$2:$B6681=$B6682, $A$2:$A6681+$C$2:$C6681)), "")*24*60, "")</f>
        <v/>
      </c>
      <c r="Q6682" s="24" t="str" cm="1">
        <f t="array" ref="Q6682">IFERROR(IF($B6682=Q$1, ($A6682+$C6682) - MAX(IF($B$2:$B6681=$B6682, $A$2:$A6681+$C$2:$C6681)), "")*24*60, "")</f>
        <v/>
      </c>
      <c r="R6682" s="24" t="str" cm="1">
        <f t="array" ref="R6682">IFERROR(IF($B6682=R$1, ($A6682+$C6682) - MAX(IF($B$2:$B6681=$B6682, $A$2:$A6681+$C$2:$C6681)), "")*24*60, "")</f>
        <v/>
      </c>
      <c r="S6682" s="24" t="str" cm="1">
        <f t="array" ref="S6682">IFERROR(IF($B6682=S$1, ($A6682+$C6682) - MAX(IF($B$2:$B6681=$B6682, $A$2:$A6681+$C$2:$C6681)), "")*24*60, "")</f>
        <v/>
      </c>
    </row>
    <row r="6683" spans="1:19" x14ac:dyDescent="0.2">
      <c r="A6683" s="12">
        <f t="shared" ref="A6683:C6683" si="1574">A6682</f>
        <v>45990</v>
      </c>
      <c r="B6683" s="5" t="str">
        <f t="shared" si="1574"/>
        <v>Northern Cardinal</v>
      </c>
      <c r="C6683" s="6">
        <f t="shared" si="1574"/>
        <v>0.28333333333333333</v>
      </c>
      <c r="D6683" s="5"/>
      <c r="E6683" s="5"/>
      <c r="F6683" s="5" t="s">
        <v>8</v>
      </c>
      <c r="G6683" s="15" t="s">
        <v>9</v>
      </c>
      <c r="H6683" s="24">
        <f t="shared" si="1572"/>
        <v>0</v>
      </c>
      <c r="I6683" s="24" cm="1">
        <f t="array" ref="I6683">IFERROR(IF($B6683=I$1, ($A6683+$C6683) - MAX(IF($B$2:$B6682=$B6683, $A$2:$A6682+$C$2:$C6682)), "")*24*60, "")</f>
        <v>0</v>
      </c>
      <c r="J6683" s="24" t="str" cm="1">
        <f t="array" ref="J6683">IFERROR(IF($B6683=J$1, ($A6683+$C6683) - MAX(IF($B$2:$B6682=$B6683, $A$2:$A6682+$C$2:$C6682)), "")*24*60, "")</f>
        <v/>
      </c>
      <c r="K6683" s="24" t="str" cm="1">
        <f t="array" ref="K6683">IFERROR(IF($B6683=K$1, ($A6683+$C6683) - MAX(IF($B$2:$B6682=$B6683, $A$2:$A6682+$C$2:$C6682)), "")*24*60, "")</f>
        <v/>
      </c>
      <c r="L6683" s="24" t="str" cm="1">
        <f t="array" ref="L6683">IFERROR(IF($B6683=L$1, ($A6683+$C6683) - MAX(IF($B$2:$B6682=$B6683, $A$2:$A6682+$C$2:$C6682)), "")*24*60, "")</f>
        <v/>
      </c>
      <c r="M6683" s="24" t="str" cm="1">
        <f t="array" ref="M6683">IFERROR(IF($B6683=M$1, ($A6683+$C6683) - MAX(IF($B$2:$B6682=$B6683, $A$2:$A6682+$C$2:$C6682)), "")*24*60, "")</f>
        <v/>
      </c>
      <c r="N6683" s="24" t="str" cm="1">
        <f t="array" ref="N6683">IFERROR(IF($B6683=N$1, ($A6683+$C6683) - MAX(IF($B$2:$B6682=$B6683, $A$2:$A6682+$C$2:$C6682)), "")*24*60, "")</f>
        <v/>
      </c>
      <c r="O6683" s="24" t="str" cm="1">
        <f t="array" ref="O6683">IFERROR(IF($B6683=O$1, ($A6683+$C6683) - MAX(IF($B$2:$B6682=$B6683, $A$2:$A6682+$C$2:$C6682)), "")*24*60, "")</f>
        <v/>
      </c>
      <c r="P6683" s="24" t="str" cm="1">
        <f t="array" ref="P6683">IFERROR(IF($B6683=P$1, ($A6683+$C6683) - MAX(IF($B$2:$B6682=$B6683, $A$2:$A6682+$C$2:$C6682)), "")*24*60, "")</f>
        <v/>
      </c>
      <c r="Q6683" s="24" t="str" cm="1">
        <f t="array" ref="Q6683">IFERROR(IF($B6683=Q$1, ($A6683+$C6683) - MAX(IF($B$2:$B6682=$B6683, $A$2:$A6682+$C$2:$C6682)), "")*24*60, "")</f>
        <v/>
      </c>
      <c r="R6683" s="24" t="str" cm="1">
        <f t="array" ref="R6683">IFERROR(IF($B6683=R$1, ($A6683+$C6683) - MAX(IF($B$2:$B6682=$B6683, $A$2:$A6682+$C$2:$C6682)), "")*24*60, "")</f>
        <v/>
      </c>
      <c r="S6683" s="24" t="str" cm="1">
        <f t="array" ref="S6683">IFERROR(IF($B6683=S$1, ($A6683+$C6683) - MAX(IF($B$2:$B6682=$B6683, $A$2:$A6682+$C$2:$C6682)), "")*24*60, "")</f>
        <v/>
      </c>
    </row>
    <row r="6684" spans="1:19" x14ac:dyDescent="0.2">
      <c r="A6684" s="12">
        <f t="shared" ref="A6684:C6684" si="1575">A6683</f>
        <v>45990</v>
      </c>
      <c r="B6684" s="5" t="str">
        <f t="shared" si="1575"/>
        <v>Northern Cardinal</v>
      </c>
      <c r="C6684" s="6">
        <f t="shared" si="1575"/>
        <v>0.28333333333333333</v>
      </c>
      <c r="D6684" s="5"/>
      <c r="E6684" s="5"/>
      <c r="F6684" s="5" t="s">
        <v>8</v>
      </c>
      <c r="G6684" s="15" t="s">
        <v>9</v>
      </c>
      <c r="H6684" s="24">
        <f t="shared" si="1572"/>
        <v>0</v>
      </c>
      <c r="I6684" s="24" cm="1">
        <f t="array" ref="I6684">IFERROR(IF($B6684=I$1, ($A6684+$C6684) - MAX(IF($B$2:$B6683=$B6684, $A$2:$A6683+$C$2:$C6683)), "")*24*60, "")</f>
        <v>0</v>
      </c>
      <c r="J6684" s="24" t="str" cm="1">
        <f t="array" ref="J6684">IFERROR(IF($B6684=J$1, ($A6684+$C6684) - MAX(IF($B$2:$B6683=$B6684, $A$2:$A6683+$C$2:$C6683)), "")*24*60, "")</f>
        <v/>
      </c>
      <c r="K6684" s="24" t="str" cm="1">
        <f t="array" ref="K6684">IFERROR(IF($B6684=K$1, ($A6684+$C6684) - MAX(IF($B$2:$B6683=$B6684, $A$2:$A6683+$C$2:$C6683)), "")*24*60, "")</f>
        <v/>
      </c>
      <c r="L6684" s="24" t="str" cm="1">
        <f t="array" ref="L6684">IFERROR(IF($B6684=L$1, ($A6684+$C6684) - MAX(IF($B$2:$B6683=$B6684, $A$2:$A6683+$C$2:$C6683)), "")*24*60, "")</f>
        <v/>
      </c>
      <c r="M6684" s="24" t="str" cm="1">
        <f t="array" ref="M6684">IFERROR(IF($B6684=M$1, ($A6684+$C6684) - MAX(IF($B$2:$B6683=$B6684, $A$2:$A6683+$C$2:$C6683)), "")*24*60, "")</f>
        <v/>
      </c>
      <c r="N6684" s="24" t="str" cm="1">
        <f t="array" ref="N6684">IFERROR(IF($B6684=N$1, ($A6684+$C6684) - MAX(IF($B$2:$B6683=$B6684, $A$2:$A6683+$C$2:$C6683)), "")*24*60, "")</f>
        <v/>
      </c>
      <c r="O6684" s="24" t="str" cm="1">
        <f t="array" ref="O6684">IFERROR(IF($B6684=O$1, ($A6684+$C6684) - MAX(IF($B$2:$B6683=$B6684, $A$2:$A6683+$C$2:$C6683)), "")*24*60, "")</f>
        <v/>
      </c>
      <c r="P6684" s="24" t="str" cm="1">
        <f t="array" ref="P6684">IFERROR(IF($B6684=P$1, ($A6684+$C6684) - MAX(IF($B$2:$B6683=$B6684, $A$2:$A6683+$C$2:$C6683)), "")*24*60, "")</f>
        <v/>
      </c>
      <c r="Q6684" s="24" t="str" cm="1">
        <f t="array" ref="Q6684">IFERROR(IF($B6684=Q$1, ($A6684+$C6684) - MAX(IF($B$2:$B6683=$B6684, $A$2:$A6683+$C$2:$C6683)), "")*24*60, "")</f>
        <v/>
      </c>
      <c r="R6684" s="24" t="str" cm="1">
        <f t="array" ref="R6684">IFERROR(IF($B6684=R$1, ($A6684+$C6684) - MAX(IF($B$2:$B6683=$B6684, $A$2:$A6683+$C$2:$C6683)), "")*24*60, "")</f>
        <v/>
      </c>
      <c r="S6684" s="24" t="str" cm="1">
        <f t="array" ref="S6684">IFERROR(IF($B6684=S$1, ($A6684+$C6684) - MAX(IF($B$2:$B6683=$B6684, $A$2:$A6683+$C$2:$C6683)), "")*24*60, "")</f>
        <v/>
      </c>
    </row>
    <row r="6685" spans="1:19" x14ac:dyDescent="0.2">
      <c r="A6685" s="12">
        <f t="shared" ref="A6685:C6685" si="1576">A6684</f>
        <v>45990</v>
      </c>
      <c r="B6685" s="5" t="str">
        <f t="shared" si="1576"/>
        <v>Northern Cardinal</v>
      </c>
      <c r="C6685" s="6">
        <f t="shared" si="1576"/>
        <v>0.28333333333333333</v>
      </c>
      <c r="D6685" s="5"/>
      <c r="E6685" s="5"/>
      <c r="F6685" s="5" t="s">
        <v>8</v>
      </c>
      <c r="G6685" s="15" t="s">
        <v>9</v>
      </c>
      <c r="H6685" s="24">
        <f t="shared" si="1572"/>
        <v>0</v>
      </c>
      <c r="I6685" s="24" cm="1">
        <f t="array" ref="I6685">IFERROR(IF($B6685=I$1, ($A6685+$C6685) - MAX(IF($B$2:$B6684=$B6685, $A$2:$A6684+$C$2:$C6684)), "")*24*60, "")</f>
        <v>0</v>
      </c>
      <c r="J6685" s="24" t="str" cm="1">
        <f t="array" ref="J6685">IFERROR(IF($B6685=J$1, ($A6685+$C6685) - MAX(IF($B$2:$B6684=$B6685, $A$2:$A6684+$C$2:$C6684)), "")*24*60, "")</f>
        <v/>
      </c>
      <c r="K6685" s="24" t="str" cm="1">
        <f t="array" ref="K6685">IFERROR(IF($B6685=K$1, ($A6685+$C6685) - MAX(IF($B$2:$B6684=$B6685, $A$2:$A6684+$C$2:$C6684)), "")*24*60, "")</f>
        <v/>
      </c>
      <c r="L6685" s="24" t="str" cm="1">
        <f t="array" ref="L6685">IFERROR(IF($B6685=L$1, ($A6685+$C6685) - MAX(IF($B$2:$B6684=$B6685, $A$2:$A6684+$C$2:$C6684)), "")*24*60, "")</f>
        <v/>
      </c>
      <c r="M6685" s="24" t="str" cm="1">
        <f t="array" ref="M6685">IFERROR(IF($B6685=M$1, ($A6685+$C6685) - MAX(IF($B$2:$B6684=$B6685, $A$2:$A6684+$C$2:$C6684)), "")*24*60, "")</f>
        <v/>
      </c>
      <c r="N6685" s="24" t="str" cm="1">
        <f t="array" ref="N6685">IFERROR(IF($B6685=N$1, ($A6685+$C6685) - MAX(IF($B$2:$B6684=$B6685, $A$2:$A6684+$C$2:$C6684)), "")*24*60, "")</f>
        <v/>
      </c>
      <c r="O6685" s="24" t="str" cm="1">
        <f t="array" ref="O6685">IFERROR(IF($B6685=O$1, ($A6685+$C6685) - MAX(IF($B$2:$B6684=$B6685, $A$2:$A6684+$C$2:$C6684)), "")*24*60, "")</f>
        <v/>
      </c>
      <c r="P6685" s="24" t="str" cm="1">
        <f t="array" ref="P6685">IFERROR(IF($B6685=P$1, ($A6685+$C6685) - MAX(IF($B$2:$B6684=$B6685, $A$2:$A6684+$C$2:$C6684)), "")*24*60, "")</f>
        <v/>
      </c>
      <c r="Q6685" s="24" t="str" cm="1">
        <f t="array" ref="Q6685">IFERROR(IF($B6685=Q$1, ($A6685+$C6685) - MAX(IF($B$2:$B6684=$B6685, $A$2:$A6684+$C$2:$C6684)), "")*24*60, "")</f>
        <v/>
      </c>
      <c r="R6685" s="24" t="str" cm="1">
        <f t="array" ref="R6685">IFERROR(IF($B6685=R$1, ($A6685+$C6685) - MAX(IF($B$2:$B6684=$B6685, $A$2:$A6684+$C$2:$C6684)), "")*24*60, "")</f>
        <v/>
      </c>
      <c r="S6685" s="24" t="str" cm="1">
        <f t="array" ref="S6685">IFERROR(IF($B6685=S$1, ($A6685+$C6685) - MAX(IF($B$2:$B6684=$B6685, $A$2:$A6684+$C$2:$C6684)), "")*24*60, "")</f>
        <v/>
      </c>
    </row>
    <row r="6686" spans="1:19" x14ac:dyDescent="0.2">
      <c r="A6686" s="12">
        <f t="shared" ref="A6686:C6686" si="1577">A6685</f>
        <v>45990</v>
      </c>
      <c r="B6686" s="5" t="str">
        <f t="shared" si="1577"/>
        <v>Northern Cardinal</v>
      </c>
      <c r="C6686" s="6">
        <f t="shared" si="1577"/>
        <v>0.28333333333333333</v>
      </c>
      <c r="D6686" s="5"/>
      <c r="E6686" s="5"/>
      <c r="F6686" s="5" t="s">
        <v>8</v>
      </c>
      <c r="G6686" s="15" t="s">
        <v>9</v>
      </c>
      <c r="H6686" s="24">
        <f t="shared" si="1572"/>
        <v>0</v>
      </c>
      <c r="I6686" s="24" cm="1">
        <f t="array" ref="I6686">IFERROR(IF($B6686=I$1, ($A6686+$C6686) - MAX(IF($B$2:$B6685=$B6686, $A$2:$A6685+$C$2:$C6685)), "")*24*60, "")</f>
        <v>0</v>
      </c>
      <c r="J6686" s="24" t="str" cm="1">
        <f t="array" ref="J6686">IFERROR(IF($B6686=J$1, ($A6686+$C6686) - MAX(IF($B$2:$B6685=$B6686, $A$2:$A6685+$C$2:$C6685)), "")*24*60, "")</f>
        <v/>
      </c>
      <c r="K6686" s="24" t="str" cm="1">
        <f t="array" ref="K6686">IFERROR(IF($B6686=K$1, ($A6686+$C6686) - MAX(IF($B$2:$B6685=$B6686, $A$2:$A6685+$C$2:$C6685)), "")*24*60, "")</f>
        <v/>
      </c>
      <c r="L6686" s="24" t="str" cm="1">
        <f t="array" ref="L6686">IFERROR(IF($B6686=L$1, ($A6686+$C6686) - MAX(IF($B$2:$B6685=$B6686, $A$2:$A6685+$C$2:$C6685)), "")*24*60, "")</f>
        <v/>
      </c>
      <c r="M6686" s="24" t="str" cm="1">
        <f t="array" ref="M6686">IFERROR(IF($B6686=M$1, ($A6686+$C6686) - MAX(IF($B$2:$B6685=$B6686, $A$2:$A6685+$C$2:$C6685)), "")*24*60, "")</f>
        <v/>
      </c>
      <c r="N6686" s="24" t="str" cm="1">
        <f t="array" ref="N6686">IFERROR(IF($B6686=N$1, ($A6686+$C6686) - MAX(IF($B$2:$B6685=$B6686, $A$2:$A6685+$C$2:$C6685)), "")*24*60, "")</f>
        <v/>
      </c>
      <c r="O6686" s="24" t="str" cm="1">
        <f t="array" ref="O6686">IFERROR(IF($B6686=O$1, ($A6686+$C6686) - MAX(IF($B$2:$B6685=$B6686, $A$2:$A6685+$C$2:$C6685)), "")*24*60, "")</f>
        <v/>
      </c>
      <c r="P6686" s="24" t="str" cm="1">
        <f t="array" ref="P6686">IFERROR(IF($B6686=P$1, ($A6686+$C6686) - MAX(IF($B$2:$B6685=$B6686, $A$2:$A6685+$C$2:$C6685)), "")*24*60, "")</f>
        <v/>
      </c>
      <c r="Q6686" s="24" t="str" cm="1">
        <f t="array" ref="Q6686">IFERROR(IF($B6686=Q$1, ($A6686+$C6686) - MAX(IF($B$2:$B6685=$B6686, $A$2:$A6685+$C$2:$C6685)), "")*24*60, "")</f>
        <v/>
      </c>
      <c r="R6686" s="24" t="str" cm="1">
        <f t="array" ref="R6686">IFERROR(IF($B6686=R$1, ($A6686+$C6686) - MAX(IF($B$2:$B6685=$B6686, $A$2:$A6685+$C$2:$C6685)), "")*24*60, "")</f>
        <v/>
      </c>
      <c r="S6686" s="24" t="str" cm="1">
        <f t="array" ref="S6686">IFERROR(IF($B6686=S$1, ($A6686+$C6686) - MAX(IF($B$2:$B6685=$B6686, $A$2:$A6685+$C$2:$C6685)), "")*24*60, "")</f>
        <v/>
      </c>
    </row>
    <row r="6687" spans="1:19" x14ac:dyDescent="0.2">
      <c r="A6687" s="12">
        <f t="shared" ref="A6687:C6687" si="1578">A6686</f>
        <v>45990</v>
      </c>
      <c r="B6687" s="5" t="str">
        <f t="shared" si="1578"/>
        <v>Northern Cardinal</v>
      </c>
      <c r="C6687" s="6">
        <f t="shared" si="1578"/>
        <v>0.28333333333333333</v>
      </c>
      <c r="D6687" s="5"/>
      <c r="E6687" s="5"/>
      <c r="F6687" s="5" t="s">
        <v>8</v>
      </c>
      <c r="G6687" s="15" t="s">
        <v>9</v>
      </c>
      <c r="H6687" s="24">
        <f t="shared" si="1572"/>
        <v>0</v>
      </c>
      <c r="I6687" s="24" cm="1">
        <f t="array" ref="I6687">IFERROR(IF($B6687=I$1, ($A6687+$C6687) - MAX(IF($B$2:$B6686=$B6687, $A$2:$A6686+$C$2:$C6686)), "")*24*60, "")</f>
        <v>0</v>
      </c>
      <c r="J6687" s="24" t="str" cm="1">
        <f t="array" ref="J6687">IFERROR(IF($B6687=J$1, ($A6687+$C6687) - MAX(IF($B$2:$B6686=$B6687, $A$2:$A6686+$C$2:$C6686)), "")*24*60, "")</f>
        <v/>
      </c>
      <c r="K6687" s="24" t="str" cm="1">
        <f t="array" ref="K6687">IFERROR(IF($B6687=K$1, ($A6687+$C6687) - MAX(IF($B$2:$B6686=$B6687, $A$2:$A6686+$C$2:$C6686)), "")*24*60, "")</f>
        <v/>
      </c>
      <c r="L6687" s="24" t="str" cm="1">
        <f t="array" ref="L6687">IFERROR(IF($B6687=L$1, ($A6687+$C6687) - MAX(IF($B$2:$B6686=$B6687, $A$2:$A6686+$C$2:$C6686)), "")*24*60, "")</f>
        <v/>
      </c>
      <c r="M6687" s="24" t="str" cm="1">
        <f t="array" ref="M6687">IFERROR(IF($B6687=M$1, ($A6687+$C6687) - MAX(IF($B$2:$B6686=$B6687, $A$2:$A6686+$C$2:$C6686)), "")*24*60, "")</f>
        <v/>
      </c>
      <c r="N6687" s="24" t="str" cm="1">
        <f t="array" ref="N6687">IFERROR(IF($B6687=N$1, ($A6687+$C6687) - MAX(IF($B$2:$B6686=$B6687, $A$2:$A6686+$C$2:$C6686)), "")*24*60, "")</f>
        <v/>
      </c>
      <c r="O6687" s="24" t="str" cm="1">
        <f t="array" ref="O6687">IFERROR(IF($B6687=O$1, ($A6687+$C6687) - MAX(IF($B$2:$B6686=$B6687, $A$2:$A6686+$C$2:$C6686)), "")*24*60, "")</f>
        <v/>
      </c>
      <c r="P6687" s="24" t="str" cm="1">
        <f t="array" ref="P6687">IFERROR(IF($B6687=P$1, ($A6687+$C6687) - MAX(IF($B$2:$B6686=$B6687, $A$2:$A6686+$C$2:$C6686)), "")*24*60, "")</f>
        <v/>
      </c>
      <c r="Q6687" s="24" t="str" cm="1">
        <f t="array" ref="Q6687">IFERROR(IF($B6687=Q$1, ($A6687+$C6687) - MAX(IF($B$2:$B6686=$B6687, $A$2:$A6686+$C$2:$C6686)), "")*24*60, "")</f>
        <v/>
      </c>
      <c r="R6687" s="24" t="str" cm="1">
        <f t="array" ref="R6687">IFERROR(IF($B6687=R$1, ($A6687+$C6687) - MAX(IF($B$2:$B6686=$B6687, $A$2:$A6686+$C$2:$C6686)), "")*24*60, "")</f>
        <v/>
      </c>
      <c r="S6687" s="24" t="str" cm="1">
        <f t="array" ref="S6687">IFERROR(IF($B6687=S$1, ($A6687+$C6687) - MAX(IF($B$2:$B6686=$B6687, $A$2:$A6686+$C$2:$C6686)), "")*24*60, "")</f>
        <v/>
      </c>
    </row>
    <row r="6688" spans="1:19" x14ac:dyDescent="0.2">
      <c r="A6688" s="12">
        <f t="shared" ref="A6688:C6688" si="1579">A6687</f>
        <v>45990</v>
      </c>
      <c r="B6688" s="5" t="str">
        <f t="shared" si="1579"/>
        <v>Northern Cardinal</v>
      </c>
      <c r="C6688" s="6">
        <f t="shared" si="1579"/>
        <v>0.28333333333333333</v>
      </c>
      <c r="D6688" s="5"/>
      <c r="E6688" s="5"/>
      <c r="F6688" s="5" t="s">
        <v>8</v>
      </c>
      <c r="G6688" s="15" t="s">
        <v>9</v>
      </c>
      <c r="H6688" s="24">
        <f t="shared" si="1572"/>
        <v>0</v>
      </c>
      <c r="I6688" s="24" cm="1">
        <f t="array" ref="I6688">IFERROR(IF($B6688=I$1, ($A6688+$C6688) - MAX(IF($B$2:$B6687=$B6688, $A$2:$A6687+$C$2:$C6687)), "")*24*60, "")</f>
        <v>0</v>
      </c>
      <c r="J6688" s="24" t="str" cm="1">
        <f t="array" ref="J6688">IFERROR(IF($B6688=J$1, ($A6688+$C6688) - MAX(IF($B$2:$B6687=$B6688, $A$2:$A6687+$C$2:$C6687)), "")*24*60, "")</f>
        <v/>
      </c>
      <c r="K6688" s="24" t="str" cm="1">
        <f t="array" ref="K6688">IFERROR(IF($B6688=K$1, ($A6688+$C6688) - MAX(IF($B$2:$B6687=$B6688, $A$2:$A6687+$C$2:$C6687)), "")*24*60, "")</f>
        <v/>
      </c>
      <c r="L6688" s="24" t="str" cm="1">
        <f t="array" ref="L6688">IFERROR(IF($B6688=L$1, ($A6688+$C6688) - MAX(IF($B$2:$B6687=$B6688, $A$2:$A6687+$C$2:$C6687)), "")*24*60, "")</f>
        <v/>
      </c>
      <c r="M6688" s="24" t="str" cm="1">
        <f t="array" ref="M6688">IFERROR(IF($B6688=M$1, ($A6688+$C6688) - MAX(IF($B$2:$B6687=$B6688, $A$2:$A6687+$C$2:$C6687)), "")*24*60, "")</f>
        <v/>
      </c>
      <c r="N6688" s="24" t="str" cm="1">
        <f t="array" ref="N6688">IFERROR(IF($B6688=N$1, ($A6688+$C6688) - MAX(IF($B$2:$B6687=$B6688, $A$2:$A6687+$C$2:$C6687)), "")*24*60, "")</f>
        <v/>
      </c>
      <c r="O6688" s="24" t="str" cm="1">
        <f t="array" ref="O6688">IFERROR(IF($B6688=O$1, ($A6688+$C6688) - MAX(IF($B$2:$B6687=$B6688, $A$2:$A6687+$C$2:$C6687)), "")*24*60, "")</f>
        <v/>
      </c>
      <c r="P6688" s="24" t="str" cm="1">
        <f t="array" ref="P6688">IFERROR(IF($B6688=P$1, ($A6688+$C6688) - MAX(IF($B$2:$B6687=$B6688, $A$2:$A6687+$C$2:$C6687)), "")*24*60, "")</f>
        <v/>
      </c>
      <c r="Q6688" s="24" t="str" cm="1">
        <f t="array" ref="Q6688">IFERROR(IF($B6688=Q$1, ($A6688+$C6688) - MAX(IF($B$2:$B6687=$B6688, $A$2:$A6687+$C$2:$C6687)), "")*24*60, "")</f>
        <v/>
      </c>
      <c r="R6688" s="24" t="str" cm="1">
        <f t="array" ref="R6688">IFERROR(IF($B6688=R$1, ($A6688+$C6688) - MAX(IF($B$2:$B6687=$B6688, $A$2:$A6687+$C$2:$C6687)), "")*24*60, "")</f>
        <v/>
      </c>
      <c r="S6688" s="24" t="str" cm="1">
        <f t="array" ref="S6688">IFERROR(IF($B6688=S$1, ($A6688+$C6688) - MAX(IF($B$2:$B6687=$B6688, $A$2:$A6687+$C$2:$C6687)), "")*24*60, "")</f>
        <v/>
      </c>
    </row>
    <row r="6689" spans="1:19" x14ac:dyDescent="0.2">
      <c r="A6689" s="12">
        <f t="shared" ref="A6689:C6689" si="1580">A6688</f>
        <v>45990</v>
      </c>
      <c r="B6689" s="5" t="str">
        <f t="shared" si="1580"/>
        <v>Northern Cardinal</v>
      </c>
      <c r="C6689" s="6">
        <f t="shared" si="1580"/>
        <v>0.28333333333333333</v>
      </c>
      <c r="D6689" s="5"/>
      <c r="E6689" s="5"/>
      <c r="F6689" s="5" t="s">
        <v>8</v>
      </c>
      <c r="G6689" s="15" t="s">
        <v>9</v>
      </c>
      <c r="H6689" s="24">
        <f t="shared" si="1572"/>
        <v>0</v>
      </c>
      <c r="I6689" s="24" cm="1">
        <f t="array" ref="I6689">IFERROR(IF($B6689=I$1, ($A6689+$C6689) - MAX(IF($B$2:$B6688=$B6689, $A$2:$A6688+$C$2:$C6688)), "")*24*60, "")</f>
        <v>0</v>
      </c>
      <c r="J6689" s="24" t="str" cm="1">
        <f t="array" ref="J6689">IFERROR(IF($B6689=J$1, ($A6689+$C6689) - MAX(IF($B$2:$B6688=$B6689, $A$2:$A6688+$C$2:$C6688)), "")*24*60, "")</f>
        <v/>
      </c>
      <c r="K6689" s="24" t="str" cm="1">
        <f t="array" ref="K6689">IFERROR(IF($B6689=K$1, ($A6689+$C6689) - MAX(IF($B$2:$B6688=$B6689, $A$2:$A6688+$C$2:$C6688)), "")*24*60, "")</f>
        <v/>
      </c>
      <c r="L6689" s="24" t="str" cm="1">
        <f t="array" ref="L6689">IFERROR(IF($B6689=L$1, ($A6689+$C6689) - MAX(IF($B$2:$B6688=$B6689, $A$2:$A6688+$C$2:$C6688)), "")*24*60, "")</f>
        <v/>
      </c>
      <c r="M6689" s="24" t="str" cm="1">
        <f t="array" ref="M6689">IFERROR(IF($B6689=M$1, ($A6689+$C6689) - MAX(IF($B$2:$B6688=$B6689, $A$2:$A6688+$C$2:$C6688)), "")*24*60, "")</f>
        <v/>
      </c>
      <c r="N6689" s="24" t="str" cm="1">
        <f t="array" ref="N6689">IFERROR(IF($B6689=N$1, ($A6689+$C6689) - MAX(IF($B$2:$B6688=$B6689, $A$2:$A6688+$C$2:$C6688)), "")*24*60, "")</f>
        <v/>
      </c>
      <c r="O6689" s="24" t="str" cm="1">
        <f t="array" ref="O6689">IFERROR(IF($B6689=O$1, ($A6689+$C6689) - MAX(IF($B$2:$B6688=$B6689, $A$2:$A6688+$C$2:$C6688)), "")*24*60, "")</f>
        <v/>
      </c>
      <c r="P6689" s="24" t="str" cm="1">
        <f t="array" ref="P6689">IFERROR(IF($B6689=P$1, ($A6689+$C6689) - MAX(IF($B$2:$B6688=$B6689, $A$2:$A6688+$C$2:$C6688)), "")*24*60, "")</f>
        <v/>
      </c>
      <c r="Q6689" s="24" t="str" cm="1">
        <f t="array" ref="Q6689">IFERROR(IF($B6689=Q$1, ($A6689+$C6689) - MAX(IF($B$2:$B6688=$B6689, $A$2:$A6688+$C$2:$C6688)), "")*24*60, "")</f>
        <v/>
      </c>
      <c r="R6689" s="24" t="str" cm="1">
        <f t="array" ref="R6689">IFERROR(IF($B6689=R$1, ($A6689+$C6689) - MAX(IF($B$2:$B6688=$B6689, $A$2:$A6688+$C$2:$C6688)), "")*24*60, "")</f>
        <v/>
      </c>
      <c r="S6689" s="24" t="str" cm="1">
        <f t="array" ref="S6689">IFERROR(IF($B6689=S$1, ($A6689+$C6689) - MAX(IF($B$2:$B6688=$B6689, $A$2:$A6688+$C$2:$C6688)), "")*24*60, "")</f>
        <v/>
      </c>
    </row>
    <row r="6690" spans="1:19" x14ac:dyDescent="0.2">
      <c r="A6690" s="12">
        <f t="shared" ref="A6690:C6690" si="1581">A6689</f>
        <v>45990</v>
      </c>
      <c r="B6690" s="5" t="str">
        <f t="shared" si="1581"/>
        <v>Northern Cardinal</v>
      </c>
      <c r="C6690" s="6">
        <f t="shared" si="1581"/>
        <v>0.28333333333333333</v>
      </c>
      <c r="D6690" s="5"/>
      <c r="E6690" s="5"/>
      <c r="F6690" s="5" t="s">
        <v>8</v>
      </c>
      <c r="G6690" s="15" t="s">
        <v>9</v>
      </c>
      <c r="H6690" s="24">
        <f t="shared" si="1572"/>
        <v>0</v>
      </c>
      <c r="I6690" s="24" cm="1">
        <f t="array" ref="I6690">IFERROR(IF($B6690=I$1, ($A6690+$C6690) - MAX(IF($B$2:$B6689=$B6690, $A$2:$A6689+$C$2:$C6689)), "")*24*60, "")</f>
        <v>0</v>
      </c>
      <c r="J6690" s="24" t="str" cm="1">
        <f t="array" ref="J6690">IFERROR(IF($B6690=J$1, ($A6690+$C6690) - MAX(IF($B$2:$B6689=$B6690, $A$2:$A6689+$C$2:$C6689)), "")*24*60, "")</f>
        <v/>
      </c>
      <c r="K6690" s="24" t="str" cm="1">
        <f t="array" ref="K6690">IFERROR(IF($B6690=K$1, ($A6690+$C6690) - MAX(IF($B$2:$B6689=$B6690, $A$2:$A6689+$C$2:$C6689)), "")*24*60, "")</f>
        <v/>
      </c>
      <c r="L6690" s="24" t="str" cm="1">
        <f t="array" ref="L6690">IFERROR(IF($B6690=L$1, ($A6690+$C6690) - MAX(IF($B$2:$B6689=$B6690, $A$2:$A6689+$C$2:$C6689)), "")*24*60, "")</f>
        <v/>
      </c>
      <c r="M6690" s="24" t="str" cm="1">
        <f t="array" ref="M6690">IFERROR(IF($B6690=M$1, ($A6690+$C6690) - MAX(IF($B$2:$B6689=$B6690, $A$2:$A6689+$C$2:$C6689)), "")*24*60, "")</f>
        <v/>
      </c>
      <c r="N6690" s="24" t="str" cm="1">
        <f t="array" ref="N6690">IFERROR(IF($B6690=N$1, ($A6690+$C6690) - MAX(IF($B$2:$B6689=$B6690, $A$2:$A6689+$C$2:$C6689)), "")*24*60, "")</f>
        <v/>
      </c>
      <c r="O6690" s="24" t="str" cm="1">
        <f t="array" ref="O6690">IFERROR(IF($B6690=O$1, ($A6690+$C6690) - MAX(IF($B$2:$B6689=$B6690, $A$2:$A6689+$C$2:$C6689)), "")*24*60, "")</f>
        <v/>
      </c>
      <c r="P6690" s="24" t="str" cm="1">
        <f t="array" ref="P6690">IFERROR(IF($B6690=P$1, ($A6690+$C6690) - MAX(IF($B$2:$B6689=$B6690, $A$2:$A6689+$C$2:$C6689)), "")*24*60, "")</f>
        <v/>
      </c>
      <c r="Q6690" s="24" t="str" cm="1">
        <f t="array" ref="Q6690">IFERROR(IF($B6690=Q$1, ($A6690+$C6690) - MAX(IF($B$2:$B6689=$B6690, $A$2:$A6689+$C$2:$C6689)), "")*24*60, "")</f>
        <v/>
      </c>
      <c r="R6690" s="24" t="str" cm="1">
        <f t="array" ref="R6690">IFERROR(IF($B6690=R$1, ($A6690+$C6690) - MAX(IF($B$2:$B6689=$B6690, $A$2:$A6689+$C$2:$C6689)), "")*24*60, "")</f>
        <v/>
      </c>
      <c r="S6690" s="24" t="str" cm="1">
        <f t="array" ref="S6690">IFERROR(IF($B6690=S$1, ($A6690+$C6690) - MAX(IF($B$2:$B6689=$B6690, $A$2:$A6689+$C$2:$C6689)), "")*24*60, "")</f>
        <v/>
      </c>
    </row>
    <row r="6691" spans="1:19" x14ac:dyDescent="0.2">
      <c r="A6691" s="12">
        <f t="shared" ref="A6691:C6691" si="1582">A6690</f>
        <v>45990</v>
      </c>
      <c r="B6691" s="5" t="str">
        <f t="shared" si="1582"/>
        <v>Northern Cardinal</v>
      </c>
      <c r="C6691" s="6">
        <f t="shared" si="1582"/>
        <v>0.28333333333333333</v>
      </c>
      <c r="D6691" s="5"/>
      <c r="E6691" s="5"/>
      <c r="F6691" s="5" t="s">
        <v>8</v>
      </c>
      <c r="G6691" s="15" t="s">
        <v>9</v>
      </c>
      <c r="H6691" s="24">
        <f t="shared" si="1572"/>
        <v>0</v>
      </c>
      <c r="I6691" s="24" cm="1">
        <f t="array" ref="I6691">IFERROR(IF($B6691=I$1, ($A6691+$C6691) - MAX(IF($B$2:$B6690=$B6691, $A$2:$A6690+$C$2:$C6690)), "")*24*60, "")</f>
        <v>0</v>
      </c>
      <c r="J6691" s="24" t="str" cm="1">
        <f t="array" ref="J6691">IFERROR(IF($B6691=J$1, ($A6691+$C6691) - MAX(IF($B$2:$B6690=$B6691, $A$2:$A6690+$C$2:$C6690)), "")*24*60, "")</f>
        <v/>
      </c>
      <c r="K6691" s="24" t="str" cm="1">
        <f t="array" ref="K6691">IFERROR(IF($B6691=K$1, ($A6691+$C6691) - MAX(IF($B$2:$B6690=$B6691, $A$2:$A6690+$C$2:$C6690)), "")*24*60, "")</f>
        <v/>
      </c>
      <c r="L6691" s="24" t="str" cm="1">
        <f t="array" ref="L6691">IFERROR(IF($B6691=L$1, ($A6691+$C6691) - MAX(IF($B$2:$B6690=$B6691, $A$2:$A6690+$C$2:$C6690)), "")*24*60, "")</f>
        <v/>
      </c>
      <c r="M6691" s="24" t="str" cm="1">
        <f t="array" ref="M6691">IFERROR(IF($B6691=M$1, ($A6691+$C6691) - MAX(IF($B$2:$B6690=$B6691, $A$2:$A6690+$C$2:$C6690)), "")*24*60, "")</f>
        <v/>
      </c>
      <c r="N6691" s="24" t="str" cm="1">
        <f t="array" ref="N6691">IFERROR(IF($B6691=N$1, ($A6691+$C6691) - MAX(IF($B$2:$B6690=$B6691, $A$2:$A6690+$C$2:$C6690)), "")*24*60, "")</f>
        <v/>
      </c>
      <c r="O6691" s="24" t="str" cm="1">
        <f t="array" ref="O6691">IFERROR(IF($B6691=O$1, ($A6691+$C6691) - MAX(IF($B$2:$B6690=$B6691, $A$2:$A6690+$C$2:$C6690)), "")*24*60, "")</f>
        <v/>
      </c>
      <c r="P6691" s="24" t="str" cm="1">
        <f t="array" ref="P6691">IFERROR(IF($B6691=P$1, ($A6691+$C6691) - MAX(IF($B$2:$B6690=$B6691, $A$2:$A6690+$C$2:$C6690)), "")*24*60, "")</f>
        <v/>
      </c>
      <c r="Q6691" s="24" t="str" cm="1">
        <f t="array" ref="Q6691">IFERROR(IF($B6691=Q$1, ($A6691+$C6691) - MAX(IF($B$2:$B6690=$B6691, $A$2:$A6690+$C$2:$C6690)), "")*24*60, "")</f>
        <v/>
      </c>
      <c r="R6691" s="24" t="str" cm="1">
        <f t="array" ref="R6691">IFERROR(IF($B6691=R$1, ($A6691+$C6691) - MAX(IF($B$2:$B6690=$B6691, $A$2:$A6690+$C$2:$C6690)), "")*24*60, "")</f>
        <v/>
      </c>
      <c r="S6691" s="24" t="str" cm="1">
        <f t="array" ref="S6691">IFERROR(IF($B6691=S$1, ($A6691+$C6691) - MAX(IF($B$2:$B6690=$B6691, $A$2:$A6690+$C$2:$C6690)), "")*24*60, "")</f>
        <v/>
      </c>
    </row>
    <row r="6692" spans="1:19" x14ac:dyDescent="0.2">
      <c r="A6692" s="12">
        <f t="shared" ref="A6692:C6692" si="1583">A6691</f>
        <v>45990</v>
      </c>
      <c r="B6692" s="5" t="str">
        <f t="shared" si="1583"/>
        <v>Northern Cardinal</v>
      </c>
      <c r="C6692" s="6">
        <f t="shared" si="1583"/>
        <v>0.28333333333333333</v>
      </c>
      <c r="D6692" s="5"/>
      <c r="E6692" s="5"/>
      <c r="F6692" s="5" t="s">
        <v>8</v>
      </c>
      <c r="G6692" s="15" t="s">
        <v>9</v>
      </c>
      <c r="H6692" s="24">
        <f t="shared" si="1572"/>
        <v>0</v>
      </c>
      <c r="I6692" s="24" cm="1">
        <f t="array" ref="I6692">IFERROR(IF($B6692=I$1, ($A6692+$C6692) - MAX(IF($B$2:$B6691=$B6692, $A$2:$A6691+$C$2:$C6691)), "")*24*60, "")</f>
        <v>0</v>
      </c>
      <c r="J6692" s="24" t="str" cm="1">
        <f t="array" ref="J6692">IFERROR(IF($B6692=J$1, ($A6692+$C6692) - MAX(IF($B$2:$B6691=$B6692, $A$2:$A6691+$C$2:$C6691)), "")*24*60, "")</f>
        <v/>
      </c>
      <c r="K6692" s="24" t="str" cm="1">
        <f t="array" ref="K6692">IFERROR(IF($B6692=K$1, ($A6692+$C6692) - MAX(IF($B$2:$B6691=$B6692, $A$2:$A6691+$C$2:$C6691)), "")*24*60, "")</f>
        <v/>
      </c>
      <c r="L6692" s="24" t="str" cm="1">
        <f t="array" ref="L6692">IFERROR(IF($B6692=L$1, ($A6692+$C6692) - MAX(IF($B$2:$B6691=$B6692, $A$2:$A6691+$C$2:$C6691)), "")*24*60, "")</f>
        <v/>
      </c>
      <c r="M6692" s="24" t="str" cm="1">
        <f t="array" ref="M6692">IFERROR(IF($B6692=M$1, ($A6692+$C6692) - MAX(IF($B$2:$B6691=$B6692, $A$2:$A6691+$C$2:$C6691)), "")*24*60, "")</f>
        <v/>
      </c>
      <c r="N6692" s="24" t="str" cm="1">
        <f t="array" ref="N6692">IFERROR(IF($B6692=N$1, ($A6692+$C6692) - MAX(IF($B$2:$B6691=$B6692, $A$2:$A6691+$C$2:$C6691)), "")*24*60, "")</f>
        <v/>
      </c>
      <c r="O6692" s="24" t="str" cm="1">
        <f t="array" ref="O6692">IFERROR(IF($B6692=O$1, ($A6692+$C6692) - MAX(IF($B$2:$B6691=$B6692, $A$2:$A6691+$C$2:$C6691)), "")*24*60, "")</f>
        <v/>
      </c>
      <c r="P6692" s="24" t="str" cm="1">
        <f t="array" ref="P6692">IFERROR(IF($B6692=P$1, ($A6692+$C6692) - MAX(IF($B$2:$B6691=$B6692, $A$2:$A6691+$C$2:$C6691)), "")*24*60, "")</f>
        <v/>
      </c>
      <c r="Q6692" s="24" t="str" cm="1">
        <f t="array" ref="Q6692">IFERROR(IF($B6692=Q$1, ($A6692+$C6692) - MAX(IF($B$2:$B6691=$B6692, $A$2:$A6691+$C$2:$C6691)), "")*24*60, "")</f>
        <v/>
      </c>
      <c r="R6692" s="24" t="str" cm="1">
        <f t="array" ref="R6692">IFERROR(IF($B6692=R$1, ($A6692+$C6692) - MAX(IF($B$2:$B6691=$B6692, $A$2:$A6691+$C$2:$C6691)), "")*24*60, "")</f>
        <v/>
      </c>
      <c r="S6692" s="24" t="str" cm="1">
        <f t="array" ref="S6692">IFERROR(IF($B6692=S$1, ($A6692+$C6692) - MAX(IF($B$2:$B6691=$B6692, $A$2:$A6691+$C$2:$C6691)), "")*24*60, "")</f>
        <v/>
      </c>
    </row>
    <row r="6693" spans="1:19" x14ac:dyDescent="0.2">
      <c r="A6693" s="12">
        <f t="shared" ref="A6693:C6693" si="1584">A6692</f>
        <v>45990</v>
      </c>
      <c r="B6693" s="5" t="str">
        <f t="shared" si="1584"/>
        <v>Northern Cardinal</v>
      </c>
      <c r="C6693" s="6">
        <f t="shared" si="1584"/>
        <v>0.28333333333333333</v>
      </c>
      <c r="D6693" s="5"/>
      <c r="E6693" s="5"/>
      <c r="F6693" s="5" t="s">
        <v>8</v>
      </c>
      <c r="G6693" s="15" t="s">
        <v>9</v>
      </c>
      <c r="H6693" s="24">
        <f t="shared" si="1572"/>
        <v>0</v>
      </c>
      <c r="I6693" s="24" cm="1">
        <f t="array" ref="I6693">IFERROR(IF($B6693=I$1, ($A6693+$C6693) - MAX(IF($B$2:$B6692=$B6693, $A$2:$A6692+$C$2:$C6692)), "")*24*60, "")</f>
        <v>0</v>
      </c>
      <c r="J6693" s="24" t="str" cm="1">
        <f t="array" ref="J6693">IFERROR(IF($B6693=J$1, ($A6693+$C6693) - MAX(IF($B$2:$B6692=$B6693, $A$2:$A6692+$C$2:$C6692)), "")*24*60, "")</f>
        <v/>
      </c>
      <c r="K6693" s="24" t="str" cm="1">
        <f t="array" ref="K6693">IFERROR(IF($B6693=K$1, ($A6693+$C6693) - MAX(IF($B$2:$B6692=$B6693, $A$2:$A6692+$C$2:$C6692)), "")*24*60, "")</f>
        <v/>
      </c>
      <c r="L6693" s="24" t="str" cm="1">
        <f t="array" ref="L6693">IFERROR(IF($B6693=L$1, ($A6693+$C6693) - MAX(IF($B$2:$B6692=$B6693, $A$2:$A6692+$C$2:$C6692)), "")*24*60, "")</f>
        <v/>
      </c>
      <c r="M6693" s="24" t="str" cm="1">
        <f t="array" ref="M6693">IFERROR(IF($B6693=M$1, ($A6693+$C6693) - MAX(IF($B$2:$B6692=$B6693, $A$2:$A6692+$C$2:$C6692)), "")*24*60, "")</f>
        <v/>
      </c>
      <c r="N6693" s="24" t="str" cm="1">
        <f t="array" ref="N6693">IFERROR(IF($B6693=N$1, ($A6693+$C6693) - MAX(IF($B$2:$B6692=$B6693, $A$2:$A6692+$C$2:$C6692)), "")*24*60, "")</f>
        <v/>
      </c>
      <c r="O6693" s="24" t="str" cm="1">
        <f t="array" ref="O6693">IFERROR(IF($B6693=O$1, ($A6693+$C6693) - MAX(IF($B$2:$B6692=$B6693, $A$2:$A6692+$C$2:$C6692)), "")*24*60, "")</f>
        <v/>
      </c>
      <c r="P6693" s="24" t="str" cm="1">
        <f t="array" ref="P6693">IFERROR(IF($B6693=P$1, ($A6693+$C6693) - MAX(IF($B$2:$B6692=$B6693, $A$2:$A6692+$C$2:$C6692)), "")*24*60, "")</f>
        <v/>
      </c>
      <c r="Q6693" s="24" t="str" cm="1">
        <f t="array" ref="Q6693">IFERROR(IF($B6693=Q$1, ($A6693+$C6693) - MAX(IF($B$2:$B6692=$B6693, $A$2:$A6692+$C$2:$C6692)), "")*24*60, "")</f>
        <v/>
      </c>
      <c r="R6693" s="24" t="str" cm="1">
        <f t="array" ref="R6693">IFERROR(IF($B6693=R$1, ($A6693+$C6693) - MAX(IF($B$2:$B6692=$B6693, $A$2:$A6692+$C$2:$C6692)), "")*24*60, "")</f>
        <v/>
      </c>
      <c r="S6693" s="24" t="str" cm="1">
        <f t="array" ref="S6693">IFERROR(IF($B6693=S$1, ($A6693+$C6693) - MAX(IF($B$2:$B6692=$B6693, $A$2:$A6692+$C$2:$C6692)), "")*24*60, "")</f>
        <v/>
      </c>
    </row>
    <row r="6694" spans="1:19" x14ac:dyDescent="0.2">
      <c r="A6694" s="12">
        <f t="shared" ref="A6694:C6694" si="1585">A6693</f>
        <v>45990</v>
      </c>
      <c r="B6694" s="5" t="str">
        <f t="shared" si="1585"/>
        <v>Northern Cardinal</v>
      </c>
      <c r="C6694" s="6">
        <f t="shared" si="1585"/>
        <v>0.28333333333333333</v>
      </c>
      <c r="D6694" s="5"/>
      <c r="E6694" s="5"/>
      <c r="F6694" s="5" t="s">
        <v>8</v>
      </c>
      <c r="G6694" s="15" t="s">
        <v>9</v>
      </c>
      <c r="H6694" s="24">
        <f t="shared" si="1572"/>
        <v>0</v>
      </c>
      <c r="I6694" s="24" cm="1">
        <f t="array" ref="I6694">IFERROR(IF($B6694=I$1, ($A6694+$C6694) - MAX(IF($B$2:$B6693=$B6694, $A$2:$A6693+$C$2:$C6693)), "")*24*60, "")</f>
        <v>0</v>
      </c>
      <c r="J6694" s="24" t="str" cm="1">
        <f t="array" ref="J6694">IFERROR(IF($B6694=J$1, ($A6694+$C6694) - MAX(IF($B$2:$B6693=$B6694, $A$2:$A6693+$C$2:$C6693)), "")*24*60, "")</f>
        <v/>
      </c>
      <c r="K6694" s="24" t="str" cm="1">
        <f t="array" ref="K6694">IFERROR(IF($B6694=K$1, ($A6694+$C6694) - MAX(IF($B$2:$B6693=$B6694, $A$2:$A6693+$C$2:$C6693)), "")*24*60, "")</f>
        <v/>
      </c>
      <c r="L6694" s="24" t="str" cm="1">
        <f t="array" ref="L6694">IFERROR(IF($B6694=L$1, ($A6694+$C6694) - MAX(IF($B$2:$B6693=$B6694, $A$2:$A6693+$C$2:$C6693)), "")*24*60, "")</f>
        <v/>
      </c>
      <c r="M6694" s="24" t="str" cm="1">
        <f t="array" ref="M6694">IFERROR(IF($B6694=M$1, ($A6694+$C6694) - MAX(IF($B$2:$B6693=$B6694, $A$2:$A6693+$C$2:$C6693)), "")*24*60, "")</f>
        <v/>
      </c>
      <c r="N6694" s="24" t="str" cm="1">
        <f t="array" ref="N6694">IFERROR(IF($B6694=N$1, ($A6694+$C6694) - MAX(IF($B$2:$B6693=$B6694, $A$2:$A6693+$C$2:$C6693)), "")*24*60, "")</f>
        <v/>
      </c>
      <c r="O6694" s="24" t="str" cm="1">
        <f t="array" ref="O6694">IFERROR(IF($B6694=O$1, ($A6694+$C6694) - MAX(IF($B$2:$B6693=$B6694, $A$2:$A6693+$C$2:$C6693)), "")*24*60, "")</f>
        <v/>
      </c>
      <c r="P6694" s="24" t="str" cm="1">
        <f t="array" ref="P6694">IFERROR(IF($B6694=P$1, ($A6694+$C6694) - MAX(IF($B$2:$B6693=$B6694, $A$2:$A6693+$C$2:$C6693)), "")*24*60, "")</f>
        <v/>
      </c>
      <c r="Q6694" s="24" t="str" cm="1">
        <f t="array" ref="Q6694">IFERROR(IF($B6694=Q$1, ($A6694+$C6694) - MAX(IF($B$2:$B6693=$B6694, $A$2:$A6693+$C$2:$C6693)), "")*24*60, "")</f>
        <v/>
      </c>
      <c r="R6694" s="24" t="str" cm="1">
        <f t="array" ref="R6694">IFERROR(IF($B6694=R$1, ($A6694+$C6694) - MAX(IF($B$2:$B6693=$B6694, $A$2:$A6693+$C$2:$C6693)), "")*24*60, "")</f>
        <v/>
      </c>
      <c r="S6694" s="24" t="str" cm="1">
        <f t="array" ref="S6694">IFERROR(IF($B6694=S$1, ($A6694+$C6694) - MAX(IF($B$2:$B6693=$B6694, $A$2:$A6693+$C$2:$C6693)), "")*24*60, "")</f>
        <v/>
      </c>
    </row>
    <row r="6695" spans="1:19" x14ac:dyDescent="0.2">
      <c r="A6695" s="12">
        <f t="shared" ref="A6695:C6695" si="1586">A6694</f>
        <v>45990</v>
      </c>
      <c r="B6695" s="5" t="str">
        <f t="shared" si="1586"/>
        <v>Northern Cardinal</v>
      </c>
      <c r="C6695" s="6">
        <f t="shared" si="1586"/>
        <v>0.28333333333333333</v>
      </c>
      <c r="D6695" s="5"/>
      <c r="E6695" s="5"/>
      <c r="F6695" s="5" t="s">
        <v>8</v>
      </c>
      <c r="G6695" s="15" t="s">
        <v>9</v>
      </c>
      <c r="H6695" s="24">
        <f t="shared" si="1572"/>
        <v>0</v>
      </c>
      <c r="I6695" s="24" cm="1">
        <f t="array" ref="I6695">IFERROR(IF($B6695=I$1, ($A6695+$C6695) - MAX(IF($B$2:$B6694=$B6695, $A$2:$A6694+$C$2:$C6694)), "")*24*60, "")</f>
        <v>0</v>
      </c>
      <c r="J6695" s="24" t="str" cm="1">
        <f t="array" ref="J6695">IFERROR(IF($B6695=J$1, ($A6695+$C6695) - MAX(IF($B$2:$B6694=$B6695, $A$2:$A6694+$C$2:$C6694)), "")*24*60, "")</f>
        <v/>
      </c>
      <c r="K6695" s="24" t="str" cm="1">
        <f t="array" ref="K6695">IFERROR(IF($B6695=K$1, ($A6695+$C6695) - MAX(IF($B$2:$B6694=$B6695, $A$2:$A6694+$C$2:$C6694)), "")*24*60, "")</f>
        <v/>
      </c>
      <c r="L6695" s="24" t="str" cm="1">
        <f t="array" ref="L6695">IFERROR(IF($B6695=L$1, ($A6695+$C6695) - MAX(IF($B$2:$B6694=$B6695, $A$2:$A6694+$C$2:$C6694)), "")*24*60, "")</f>
        <v/>
      </c>
      <c r="M6695" s="24" t="str" cm="1">
        <f t="array" ref="M6695">IFERROR(IF($B6695=M$1, ($A6695+$C6695) - MAX(IF($B$2:$B6694=$B6695, $A$2:$A6694+$C$2:$C6694)), "")*24*60, "")</f>
        <v/>
      </c>
      <c r="N6695" s="24" t="str" cm="1">
        <f t="array" ref="N6695">IFERROR(IF($B6695=N$1, ($A6695+$C6695) - MAX(IF($B$2:$B6694=$B6695, $A$2:$A6694+$C$2:$C6694)), "")*24*60, "")</f>
        <v/>
      </c>
      <c r="O6695" s="24" t="str" cm="1">
        <f t="array" ref="O6695">IFERROR(IF($B6695=O$1, ($A6695+$C6695) - MAX(IF($B$2:$B6694=$B6695, $A$2:$A6694+$C$2:$C6694)), "")*24*60, "")</f>
        <v/>
      </c>
      <c r="P6695" s="24" t="str" cm="1">
        <f t="array" ref="P6695">IFERROR(IF($B6695=P$1, ($A6695+$C6695) - MAX(IF($B$2:$B6694=$B6695, $A$2:$A6694+$C$2:$C6694)), "")*24*60, "")</f>
        <v/>
      </c>
      <c r="Q6695" s="24" t="str" cm="1">
        <f t="array" ref="Q6695">IFERROR(IF($B6695=Q$1, ($A6695+$C6695) - MAX(IF($B$2:$B6694=$B6695, $A$2:$A6694+$C$2:$C6694)), "")*24*60, "")</f>
        <v/>
      </c>
      <c r="R6695" s="24" t="str" cm="1">
        <f t="array" ref="R6695">IFERROR(IF($B6695=R$1, ($A6695+$C6695) - MAX(IF($B$2:$B6694=$B6695, $A$2:$A6694+$C$2:$C6694)), "")*24*60, "")</f>
        <v/>
      </c>
      <c r="S6695" s="24" t="str" cm="1">
        <f t="array" ref="S6695">IFERROR(IF($B6695=S$1, ($A6695+$C6695) - MAX(IF($B$2:$B6694=$B6695, $A$2:$A6694+$C$2:$C6694)), "")*24*60, "")</f>
        <v/>
      </c>
    </row>
    <row r="6696" spans="1:19" x14ac:dyDescent="0.2">
      <c r="A6696" s="12">
        <f t="shared" ref="A6696:C6696" si="1587">A6695</f>
        <v>45990</v>
      </c>
      <c r="B6696" s="5" t="str">
        <f t="shared" si="1587"/>
        <v>Northern Cardinal</v>
      </c>
      <c r="C6696" s="6">
        <f t="shared" si="1587"/>
        <v>0.28333333333333333</v>
      </c>
      <c r="D6696" s="5"/>
      <c r="E6696" s="5"/>
      <c r="F6696" s="5" t="s">
        <v>8</v>
      </c>
      <c r="G6696" s="15" t="s">
        <v>9</v>
      </c>
      <c r="H6696" s="24">
        <f t="shared" si="1572"/>
        <v>0</v>
      </c>
      <c r="I6696" s="24" cm="1">
        <f t="array" ref="I6696">IFERROR(IF($B6696=I$1, ($A6696+$C6696) - MAX(IF($B$2:$B6695=$B6696, $A$2:$A6695+$C$2:$C6695)), "")*24*60, "")</f>
        <v>0</v>
      </c>
      <c r="J6696" s="24" t="str" cm="1">
        <f t="array" ref="J6696">IFERROR(IF($B6696=J$1, ($A6696+$C6696) - MAX(IF($B$2:$B6695=$B6696, $A$2:$A6695+$C$2:$C6695)), "")*24*60, "")</f>
        <v/>
      </c>
      <c r="K6696" s="24" t="str" cm="1">
        <f t="array" ref="K6696">IFERROR(IF($B6696=K$1, ($A6696+$C6696) - MAX(IF($B$2:$B6695=$B6696, $A$2:$A6695+$C$2:$C6695)), "")*24*60, "")</f>
        <v/>
      </c>
      <c r="L6696" s="24" t="str" cm="1">
        <f t="array" ref="L6696">IFERROR(IF($B6696=L$1, ($A6696+$C6696) - MAX(IF($B$2:$B6695=$B6696, $A$2:$A6695+$C$2:$C6695)), "")*24*60, "")</f>
        <v/>
      </c>
      <c r="M6696" s="24" t="str" cm="1">
        <f t="array" ref="M6696">IFERROR(IF($B6696=M$1, ($A6696+$C6696) - MAX(IF($B$2:$B6695=$B6696, $A$2:$A6695+$C$2:$C6695)), "")*24*60, "")</f>
        <v/>
      </c>
      <c r="N6696" s="24" t="str" cm="1">
        <f t="array" ref="N6696">IFERROR(IF($B6696=N$1, ($A6696+$C6696) - MAX(IF($B$2:$B6695=$B6696, $A$2:$A6695+$C$2:$C6695)), "")*24*60, "")</f>
        <v/>
      </c>
      <c r="O6696" s="24" t="str" cm="1">
        <f t="array" ref="O6696">IFERROR(IF($B6696=O$1, ($A6696+$C6696) - MAX(IF($B$2:$B6695=$B6696, $A$2:$A6695+$C$2:$C6695)), "")*24*60, "")</f>
        <v/>
      </c>
      <c r="P6696" s="24" t="str" cm="1">
        <f t="array" ref="P6696">IFERROR(IF($B6696=P$1, ($A6696+$C6696) - MAX(IF($B$2:$B6695=$B6696, $A$2:$A6695+$C$2:$C6695)), "")*24*60, "")</f>
        <v/>
      </c>
      <c r="Q6696" s="24" t="str" cm="1">
        <f t="array" ref="Q6696">IFERROR(IF($B6696=Q$1, ($A6696+$C6696) - MAX(IF($B$2:$B6695=$B6696, $A$2:$A6695+$C$2:$C6695)), "")*24*60, "")</f>
        <v/>
      </c>
      <c r="R6696" s="24" t="str" cm="1">
        <f t="array" ref="R6696">IFERROR(IF($B6696=R$1, ($A6696+$C6696) - MAX(IF($B$2:$B6695=$B6696, $A$2:$A6695+$C$2:$C6695)), "")*24*60, "")</f>
        <v/>
      </c>
      <c r="S6696" s="24" t="str" cm="1">
        <f t="array" ref="S6696">IFERROR(IF($B6696=S$1, ($A6696+$C6696) - MAX(IF($B$2:$B6695=$B6696, $A$2:$A6695+$C$2:$C6695)), "")*24*60, "")</f>
        <v/>
      </c>
    </row>
    <row r="6697" spans="1:19" x14ac:dyDescent="0.2">
      <c r="A6697" s="12">
        <f t="shared" ref="A6697:C6697" si="1588">A6696</f>
        <v>45990</v>
      </c>
      <c r="B6697" s="5" t="str">
        <f t="shared" si="1588"/>
        <v>Northern Cardinal</v>
      </c>
      <c r="C6697" s="6">
        <f t="shared" si="1588"/>
        <v>0.28333333333333333</v>
      </c>
      <c r="D6697" s="5"/>
      <c r="E6697" s="5"/>
      <c r="F6697" s="5" t="s">
        <v>8</v>
      </c>
      <c r="G6697" s="15" t="s">
        <v>9</v>
      </c>
      <c r="H6697" s="24">
        <f t="shared" si="1572"/>
        <v>0</v>
      </c>
      <c r="I6697" s="24" cm="1">
        <f t="array" ref="I6697">IFERROR(IF($B6697=I$1, ($A6697+$C6697) - MAX(IF($B$2:$B6696=$B6697, $A$2:$A6696+$C$2:$C6696)), "")*24*60, "")</f>
        <v>0</v>
      </c>
      <c r="J6697" s="24" t="str" cm="1">
        <f t="array" ref="J6697">IFERROR(IF($B6697=J$1, ($A6697+$C6697) - MAX(IF($B$2:$B6696=$B6697, $A$2:$A6696+$C$2:$C6696)), "")*24*60, "")</f>
        <v/>
      </c>
      <c r="K6697" s="24" t="str" cm="1">
        <f t="array" ref="K6697">IFERROR(IF($B6697=K$1, ($A6697+$C6697) - MAX(IF($B$2:$B6696=$B6697, $A$2:$A6696+$C$2:$C6696)), "")*24*60, "")</f>
        <v/>
      </c>
      <c r="L6697" s="24" t="str" cm="1">
        <f t="array" ref="L6697">IFERROR(IF($B6697=L$1, ($A6697+$C6697) - MAX(IF($B$2:$B6696=$B6697, $A$2:$A6696+$C$2:$C6696)), "")*24*60, "")</f>
        <v/>
      </c>
      <c r="M6697" s="24" t="str" cm="1">
        <f t="array" ref="M6697">IFERROR(IF($B6697=M$1, ($A6697+$C6697) - MAX(IF($B$2:$B6696=$B6697, $A$2:$A6696+$C$2:$C6696)), "")*24*60, "")</f>
        <v/>
      </c>
      <c r="N6697" s="24" t="str" cm="1">
        <f t="array" ref="N6697">IFERROR(IF($B6697=N$1, ($A6697+$C6697) - MAX(IF($B$2:$B6696=$B6697, $A$2:$A6696+$C$2:$C6696)), "")*24*60, "")</f>
        <v/>
      </c>
      <c r="O6697" s="24" t="str" cm="1">
        <f t="array" ref="O6697">IFERROR(IF($B6697=O$1, ($A6697+$C6697) - MAX(IF($B$2:$B6696=$B6697, $A$2:$A6696+$C$2:$C6696)), "")*24*60, "")</f>
        <v/>
      </c>
      <c r="P6697" s="24" t="str" cm="1">
        <f t="array" ref="P6697">IFERROR(IF($B6697=P$1, ($A6697+$C6697) - MAX(IF($B$2:$B6696=$B6697, $A$2:$A6696+$C$2:$C6696)), "")*24*60, "")</f>
        <v/>
      </c>
      <c r="Q6697" s="24" t="str" cm="1">
        <f t="array" ref="Q6697">IFERROR(IF($B6697=Q$1, ($A6697+$C6697) - MAX(IF($B$2:$B6696=$B6697, $A$2:$A6696+$C$2:$C6696)), "")*24*60, "")</f>
        <v/>
      </c>
      <c r="R6697" s="24" t="str" cm="1">
        <f t="array" ref="R6697">IFERROR(IF($B6697=R$1, ($A6697+$C6697) - MAX(IF($B$2:$B6696=$B6697, $A$2:$A6696+$C$2:$C6696)), "")*24*60, "")</f>
        <v/>
      </c>
      <c r="S6697" s="24" t="str" cm="1">
        <f t="array" ref="S6697">IFERROR(IF($B6697=S$1, ($A6697+$C6697) - MAX(IF($B$2:$B6696=$B6697, $A$2:$A6696+$C$2:$C6696)), "")*24*60, "")</f>
        <v/>
      </c>
    </row>
    <row r="6698" spans="1:19" x14ac:dyDescent="0.2">
      <c r="A6698" s="12">
        <f t="shared" ref="A6698:C6698" si="1589">A6697</f>
        <v>45990</v>
      </c>
      <c r="B6698" s="5" t="str">
        <f t="shared" si="1589"/>
        <v>Northern Cardinal</v>
      </c>
      <c r="C6698" s="6">
        <f t="shared" si="1589"/>
        <v>0.28333333333333333</v>
      </c>
      <c r="D6698" s="5"/>
      <c r="E6698" s="5"/>
      <c r="F6698" s="5" t="s">
        <v>8</v>
      </c>
      <c r="G6698" s="15" t="s">
        <v>9</v>
      </c>
      <c r="H6698" s="24">
        <f t="shared" si="1572"/>
        <v>0</v>
      </c>
      <c r="I6698" s="24" cm="1">
        <f t="array" ref="I6698">IFERROR(IF($B6698=I$1, ($A6698+$C6698) - MAX(IF($B$2:$B6697=$B6698, $A$2:$A6697+$C$2:$C6697)), "")*24*60, "")</f>
        <v>0</v>
      </c>
      <c r="J6698" s="24" t="str" cm="1">
        <f t="array" ref="J6698">IFERROR(IF($B6698=J$1, ($A6698+$C6698) - MAX(IF($B$2:$B6697=$B6698, $A$2:$A6697+$C$2:$C6697)), "")*24*60, "")</f>
        <v/>
      </c>
      <c r="K6698" s="24" t="str" cm="1">
        <f t="array" ref="K6698">IFERROR(IF($B6698=K$1, ($A6698+$C6698) - MAX(IF($B$2:$B6697=$B6698, $A$2:$A6697+$C$2:$C6697)), "")*24*60, "")</f>
        <v/>
      </c>
      <c r="L6698" s="24" t="str" cm="1">
        <f t="array" ref="L6698">IFERROR(IF($B6698=L$1, ($A6698+$C6698) - MAX(IF($B$2:$B6697=$B6698, $A$2:$A6697+$C$2:$C6697)), "")*24*60, "")</f>
        <v/>
      </c>
      <c r="M6698" s="24" t="str" cm="1">
        <f t="array" ref="M6698">IFERROR(IF($B6698=M$1, ($A6698+$C6698) - MAX(IF($B$2:$B6697=$B6698, $A$2:$A6697+$C$2:$C6697)), "")*24*60, "")</f>
        <v/>
      </c>
      <c r="N6698" s="24" t="str" cm="1">
        <f t="array" ref="N6698">IFERROR(IF($B6698=N$1, ($A6698+$C6698) - MAX(IF($B$2:$B6697=$B6698, $A$2:$A6697+$C$2:$C6697)), "")*24*60, "")</f>
        <v/>
      </c>
      <c r="O6698" s="24" t="str" cm="1">
        <f t="array" ref="O6698">IFERROR(IF($B6698=O$1, ($A6698+$C6698) - MAX(IF($B$2:$B6697=$B6698, $A$2:$A6697+$C$2:$C6697)), "")*24*60, "")</f>
        <v/>
      </c>
      <c r="P6698" s="24" t="str" cm="1">
        <f t="array" ref="P6698">IFERROR(IF($B6698=P$1, ($A6698+$C6698) - MAX(IF($B$2:$B6697=$B6698, $A$2:$A6697+$C$2:$C6697)), "")*24*60, "")</f>
        <v/>
      </c>
      <c r="Q6698" s="24" t="str" cm="1">
        <f t="array" ref="Q6698">IFERROR(IF($B6698=Q$1, ($A6698+$C6698) - MAX(IF($B$2:$B6697=$B6698, $A$2:$A6697+$C$2:$C6697)), "")*24*60, "")</f>
        <v/>
      </c>
      <c r="R6698" s="24" t="str" cm="1">
        <f t="array" ref="R6698">IFERROR(IF($B6698=R$1, ($A6698+$C6698) - MAX(IF($B$2:$B6697=$B6698, $A$2:$A6697+$C$2:$C6697)), "")*24*60, "")</f>
        <v/>
      </c>
      <c r="S6698" s="24" t="str" cm="1">
        <f t="array" ref="S6698">IFERROR(IF($B6698=S$1, ($A6698+$C6698) - MAX(IF($B$2:$B6697=$B6698, $A$2:$A6697+$C$2:$C6697)), "")*24*60, "")</f>
        <v/>
      </c>
    </row>
    <row r="6699" spans="1:19" x14ac:dyDescent="0.2">
      <c r="A6699" s="12">
        <f t="shared" ref="A6699:C6699" si="1590">A6698</f>
        <v>45990</v>
      </c>
      <c r="B6699" s="5" t="str">
        <f t="shared" si="1590"/>
        <v>Northern Cardinal</v>
      </c>
      <c r="C6699" s="6">
        <f t="shared" si="1590"/>
        <v>0.28333333333333333</v>
      </c>
      <c r="D6699" s="5"/>
      <c r="E6699" s="5"/>
      <c r="F6699" s="5" t="s">
        <v>8</v>
      </c>
      <c r="G6699" s="15" t="s">
        <v>9</v>
      </c>
      <c r="H6699" s="24">
        <f t="shared" si="1572"/>
        <v>0</v>
      </c>
      <c r="I6699" s="24" cm="1">
        <f t="array" ref="I6699">IFERROR(IF($B6699=I$1, ($A6699+$C6699) - MAX(IF($B$2:$B6698=$B6699, $A$2:$A6698+$C$2:$C6698)), "")*24*60, "")</f>
        <v>0</v>
      </c>
      <c r="J6699" s="24" t="str" cm="1">
        <f t="array" ref="J6699">IFERROR(IF($B6699=J$1, ($A6699+$C6699) - MAX(IF($B$2:$B6698=$B6699, $A$2:$A6698+$C$2:$C6698)), "")*24*60, "")</f>
        <v/>
      </c>
      <c r="K6699" s="24" t="str" cm="1">
        <f t="array" ref="K6699">IFERROR(IF($B6699=K$1, ($A6699+$C6699) - MAX(IF($B$2:$B6698=$B6699, $A$2:$A6698+$C$2:$C6698)), "")*24*60, "")</f>
        <v/>
      </c>
      <c r="L6699" s="24" t="str" cm="1">
        <f t="array" ref="L6699">IFERROR(IF($B6699=L$1, ($A6699+$C6699) - MAX(IF($B$2:$B6698=$B6699, $A$2:$A6698+$C$2:$C6698)), "")*24*60, "")</f>
        <v/>
      </c>
      <c r="M6699" s="24" t="str" cm="1">
        <f t="array" ref="M6699">IFERROR(IF($B6699=M$1, ($A6699+$C6699) - MAX(IF($B$2:$B6698=$B6699, $A$2:$A6698+$C$2:$C6698)), "")*24*60, "")</f>
        <v/>
      </c>
      <c r="N6699" s="24" t="str" cm="1">
        <f t="array" ref="N6699">IFERROR(IF($B6699=N$1, ($A6699+$C6699) - MAX(IF($B$2:$B6698=$B6699, $A$2:$A6698+$C$2:$C6698)), "")*24*60, "")</f>
        <v/>
      </c>
      <c r="O6699" s="24" t="str" cm="1">
        <f t="array" ref="O6699">IFERROR(IF($B6699=O$1, ($A6699+$C6699) - MAX(IF($B$2:$B6698=$B6699, $A$2:$A6698+$C$2:$C6698)), "")*24*60, "")</f>
        <v/>
      </c>
      <c r="P6699" s="24" t="str" cm="1">
        <f t="array" ref="P6699">IFERROR(IF($B6699=P$1, ($A6699+$C6699) - MAX(IF($B$2:$B6698=$B6699, $A$2:$A6698+$C$2:$C6698)), "")*24*60, "")</f>
        <v/>
      </c>
      <c r="Q6699" s="24" t="str" cm="1">
        <f t="array" ref="Q6699">IFERROR(IF($B6699=Q$1, ($A6699+$C6699) - MAX(IF($B$2:$B6698=$B6699, $A$2:$A6698+$C$2:$C6698)), "")*24*60, "")</f>
        <v/>
      </c>
      <c r="R6699" s="24" t="str" cm="1">
        <f t="array" ref="R6699">IFERROR(IF($B6699=R$1, ($A6699+$C6699) - MAX(IF($B$2:$B6698=$B6699, $A$2:$A6698+$C$2:$C6698)), "")*24*60, "")</f>
        <v/>
      </c>
      <c r="S6699" s="24" t="str" cm="1">
        <f t="array" ref="S6699">IFERROR(IF($B6699=S$1, ($A6699+$C6699) - MAX(IF($B$2:$B6698=$B6699, $A$2:$A6698+$C$2:$C6698)), "")*24*60, "")</f>
        <v/>
      </c>
    </row>
    <row r="6700" spans="1:19" x14ac:dyDescent="0.2">
      <c r="A6700" s="12">
        <f t="shared" ref="A6700:C6700" si="1591">A6699</f>
        <v>45990</v>
      </c>
      <c r="B6700" s="5" t="str">
        <f t="shared" si="1591"/>
        <v>Northern Cardinal</v>
      </c>
      <c r="C6700" s="6">
        <f t="shared" si="1591"/>
        <v>0.28333333333333333</v>
      </c>
      <c r="D6700" s="5"/>
      <c r="E6700" s="5"/>
      <c r="F6700" s="5" t="s">
        <v>8</v>
      </c>
      <c r="G6700" s="15" t="s">
        <v>9</v>
      </c>
      <c r="H6700" s="24">
        <f t="shared" si="1572"/>
        <v>0</v>
      </c>
      <c r="I6700" s="24" cm="1">
        <f t="array" ref="I6700">IFERROR(IF($B6700=I$1, ($A6700+$C6700) - MAX(IF($B$2:$B6699=$B6700, $A$2:$A6699+$C$2:$C6699)), "")*24*60, "")</f>
        <v>0</v>
      </c>
      <c r="J6700" s="24" t="str" cm="1">
        <f t="array" ref="J6700">IFERROR(IF($B6700=J$1, ($A6700+$C6700) - MAX(IF($B$2:$B6699=$B6700, $A$2:$A6699+$C$2:$C6699)), "")*24*60, "")</f>
        <v/>
      </c>
      <c r="K6700" s="24" t="str" cm="1">
        <f t="array" ref="K6700">IFERROR(IF($B6700=K$1, ($A6700+$C6700) - MAX(IF($B$2:$B6699=$B6700, $A$2:$A6699+$C$2:$C6699)), "")*24*60, "")</f>
        <v/>
      </c>
      <c r="L6700" s="24" t="str" cm="1">
        <f t="array" ref="L6700">IFERROR(IF($B6700=L$1, ($A6700+$C6700) - MAX(IF($B$2:$B6699=$B6700, $A$2:$A6699+$C$2:$C6699)), "")*24*60, "")</f>
        <v/>
      </c>
      <c r="M6700" s="24" t="str" cm="1">
        <f t="array" ref="M6700">IFERROR(IF($B6700=M$1, ($A6700+$C6700) - MAX(IF($B$2:$B6699=$B6700, $A$2:$A6699+$C$2:$C6699)), "")*24*60, "")</f>
        <v/>
      </c>
      <c r="N6700" s="24" t="str" cm="1">
        <f t="array" ref="N6700">IFERROR(IF($B6700=N$1, ($A6700+$C6700) - MAX(IF($B$2:$B6699=$B6700, $A$2:$A6699+$C$2:$C6699)), "")*24*60, "")</f>
        <v/>
      </c>
      <c r="O6700" s="24" t="str" cm="1">
        <f t="array" ref="O6700">IFERROR(IF($B6700=O$1, ($A6700+$C6700) - MAX(IF($B$2:$B6699=$B6700, $A$2:$A6699+$C$2:$C6699)), "")*24*60, "")</f>
        <v/>
      </c>
      <c r="P6700" s="24" t="str" cm="1">
        <f t="array" ref="P6700">IFERROR(IF($B6700=P$1, ($A6700+$C6700) - MAX(IF($B$2:$B6699=$B6700, $A$2:$A6699+$C$2:$C6699)), "")*24*60, "")</f>
        <v/>
      </c>
      <c r="Q6700" s="24" t="str" cm="1">
        <f t="array" ref="Q6700">IFERROR(IF($B6700=Q$1, ($A6700+$C6700) - MAX(IF($B$2:$B6699=$B6700, $A$2:$A6699+$C$2:$C6699)), "")*24*60, "")</f>
        <v/>
      </c>
      <c r="R6700" s="24" t="str" cm="1">
        <f t="array" ref="R6700">IFERROR(IF($B6700=R$1, ($A6700+$C6700) - MAX(IF($B$2:$B6699=$B6700, $A$2:$A6699+$C$2:$C6699)), "")*24*60, "")</f>
        <v/>
      </c>
      <c r="S6700" s="24" t="str" cm="1">
        <f t="array" ref="S6700">IFERROR(IF($B6700=S$1, ($A6700+$C6700) - MAX(IF($B$2:$B6699=$B6700, $A$2:$A6699+$C$2:$C6699)), "")*24*60, "")</f>
        <v/>
      </c>
    </row>
    <row r="6701" spans="1:19" x14ac:dyDescent="0.2">
      <c r="A6701" s="12">
        <f t="shared" ref="A6701:C6701" si="1592">A6700</f>
        <v>45990</v>
      </c>
      <c r="B6701" s="5" t="str">
        <f t="shared" si="1592"/>
        <v>Northern Cardinal</v>
      </c>
      <c r="C6701" s="6">
        <f t="shared" si="1592"/>
        <v>0.28333333333333333</v>
      </c>
      <c r="D6701" s="5"/>
      <c r="E6701" s="5"/>
      <c r="F6701" s="5" t="s">
        <v>8</v>
      </c>
      <c r="G6701" s="15" t="s">
        <v>9</v>
      </c>
      <c r="H6701" s="24">
        <f t="shared" si="1572"/>
        <v>0</v>
      </c>
      <c r="I6701" s="24" cm="1">
        <f t="array" ref="I6701">IFERROR(IF($B6701=I$1, ($A6701+$C6701) - MAX(IF($B$2:$B6700=$B6701, $A$2:$A6700+$C$2:$C6700)), "")*24*60, "")</f>
        <v>0</v>
      </c>
      <c r="J6701" s="24" t="str" cm="1">
        <f t="array" ref="J6701">IFERROR(IF($B6701=J$1, ($A6701+$C6701) - MAX(IF($B$2:$B6700=$B6701, $A$2:$A6700+$C$2:$C6700)), "")*24*60, "")</f>
        <v/>
      </c>
      <c r="K6701" s="24" t="str" cm="1">
        <f t="array" ref="K6701">IFERROR(IF($B6701=K$1, ($A6701+$C6701) - MAX(IF($B$2:$B6700=$B6701, $A$2:$A6700+$C$2:$C6700)), "")*24*60, "")</f>
        <v/>
      </c>
      <c r="L6701" s="24" t="str" cm="1">
        <f t="array" ref="L6701">IFERROR(IF($B6701=L$1, ($A6701+$C6701) - MAX(IF($B$2:$B6700=$B6701, $A$2:$A6700+$C$2:$C6700)), "")*24*60, "")</f>
        <v/>
      </c>
      <c r="M6701" s="24" t="str" cm="1">
        <f t="array" ref="M6701">IFERROR(IF($B6701=M$1, ($A6701+$C6701) - MAX(IF($B$2:$B6700=$B6701, $A$2:$A6700+$C$2:$C6700)), "")*24*60, "")</f>
        <v/>
      </c>
      <c r="N6701" s="24" t="str" cm="1">
        <f t="array" ref="N6701">IFERROR(IF($B6701=N$1, ($A6701+$C6701) - MAX(IF($B$2:$B6700=$B6701, $A$2:$A6700+$C$2:$C6700)), "")*24*60, "")</f>
        <v/>
      </c>
      <c r="O6701" s="24" t="str" cm="1">
        <f t="array" ref="O6701">IFERROR(IF($B6701=O$1, ($A6701+$C6701) - MAX(IF($B$2:$B6700=$B6701, $A$2:$A6700+$C$2:$C6700)), "")*24*60, "")</f>
        <v/>
      </c>
      <c r="P6701" s="24" t="str" cm="1">
        <f t="array" ref="P6701">IFERROR(IF($B6701=P$1, ($A6701+$C6701) - MAX(IF($B$2:$B6700=$B6701, $A$2:$A6700+$C$2:$C6700)), "")*24*60, "")</f>
        <v/>
      </c>
      <c r="Q6701" s="24" t="str" cm="1">
        <f t="array" ref="Q6701">IFERROR(IF($B6701=Q$1, ($A6701+$C6701) - MAX(IF($B$2:$B6700=$B6701, $A$2:$A6700+$C$2:$C6700)), "")*24*60, "")</f>
        <v/>
      </c>
      <c r="R6701" s="24" t="str" cm="1">
        <f t="array" ref="R6701">IFERROR(IF($B6701=R$1, ($A6701+$C6701) - MAX(IF($B$2:$B6700=$B6701, $A$2:$A6700+$C$2:$C6700)), "")*24*60, "")</f>
        <v/>
      </c>
      <c r="S6701" s="24" t="str" cm="1">
        <f t="array" ref="S6701">IFERROR(IF($B6701=S$1, ($A6701+$C6701) - MAX(IF($B$2:$B6700=$B6701, $A$2:$A6700+$C$2:$C6700)), "")*24*60, "")</f>
        <v/>
      </c>
    </row>
    <row r="6702" spans="1:19" x14ac:dyDescent="0.2">
      <c r="A6702" s="12">
        <f t="shared" ref="A6702:C6702" si="1593">A6701</f>
        <v>45990</v>
      </c>
      <c r="B6702" s="5" t="str">
        <f t="shared" si="1593"/>
        <v>Northern Cardinal</v>
      </c>
      <c r="C6702" s="6">
        <f t="shared" si="1593"/>
        <v>0.28333333333333333</v>
      </c>
      <c r="D6702" s="5"/>
      <c r="E6702" s="5"/>
      <c r="F6702" s="5" t="s">
        <v>8</v>
      </c>
      <c r="G6702" s="15" t="s">
        <v>9</v>
      </c>
      <c r="H6702" s="24">
        <f t="shared" si="1572"/>
        <v>0</v>
      </c>
      <c r="I6702" s="24" cm="1">
        <f t="array" ref="I6702">IFERROR(IF($B6702=I$1, ($A6702+$C6702) - MAX(IF($B$2:$B6701=$B6702, $A$2:$A6701+$C$2:$C6701)), "")*24*60, "")</f>
        <v>0</v>
      </c>
      <c r="J6702" s="24" t="str" cm="1">
        <f t="array" ref="J6702">IFERROR(IF($B6702=J$1, ($A6702+$C6702) - MAX(IF($B$2:$B6701=$B6702, $A$2:$A6701+$C$2:$C6701)), "")*24*60, "")</f>
        <v/>
      </c>
      <c r="K6702" s="24" t="str" cm="1">
        <f t="array" ref="K6702">IFERROR(IF($B6702=K$1, ($A6702+$C6702) - MAX(IF($B$2:$B6701=$B6702, $A$2:$A6701+$C$2:$C6701)), "")*24*60, "")</f>
        <v/>
      </c>
      <c r="L6702" s="24" t="str" cm="1">
        <f t="array" ref="L6702">IFERROR(IF($B6702=L$1, ($A6702+$C6702) - MAX(IF($B$2:$B6701=$B6702, $A$2:$A6701+$C$2:$C6701)), "")*24*60, "")</f>
        <v/>
      </c>
      <c r="M6702" s="24" t="str" cm="1">
        <f t="array" ref="M6702">IFERROR(IF($B6702=M$1, ($A6702+$C6702) - MAX(IF($B$2:$B6701=$B6702, $A$2:$A6701+$C$2:$C6701)), "")*24*60, "")</f>
        <v/>
      </c>
      <c r="N6702" s="24" t="str" cm="1">
        <f t="array" ref="N6702">IFERROR(IF($B6702=N$1, ($A6702+$C6702) - MAX(IF($B$2:$B6701=$B6702, $A$2:$A6701+$C$2:$C6701)), "")*24*60, "")</f>
        <v/>
      </c>
      <c r="O6702" s="24" t="str" cm="1">
        <f t="array" ref="O6702">IFERROR(IF($B6702=O$1, ($A6702+$C6702) - MAX(IF($B$2:$B6701=$B6702, $A$2:$A6701+$C$2:$C6701)), "")*24*60, "")</f>
        <v/>
      </c>
      <c r="P6702" s="24" t="str" cm="1">
        <f t="array" ref="P6702">IFERROR(IF($B6702=P$1, ($A6702+$C6702) - MAX(IF($B$2:$B6701=$B6702, $A$2:$A6701+$C$2:$C6701)), "")*24*60, "")</f>
        <v/>
      </c>
      <c r="Q6702" s="24" t="str" cm="1">
        <f t="array" ref="Q6702">IFERROR(IF($B6702=Q$1, ($A6702+$C6702) - MAX(IF($B$2:$B6701=$B6702, $A$2:$A6701+$C$2:$C6701)), "")*24*60, "")</f>
        <v/>
      </c>
      <c r="R6702" s="24" t="str" cm="1">
        <f t="array" ref="R6702">IFERROR(IF($B6702=R$1, ($A6702+$C6702) - MAX(IF($B$2:$B6701=$B6702, $A$2:$A6701+$C$2:$C6701)), "")*24*60, "")</f>
        <v/>
      </c>
      <c r="S6702" s="24" t="str" cm="1">
        <f t="array" ref="S6702">IFERROR(IF($B6702=S$1, ($A6702+$C6702) - MAX(IF($B$2:$B6701=$B6702, $A$2:$A6701+$C$2:$C6701)), "")*24*60, "")</f>
        <v/>
      </c>
    </row>
    <row r="6703" spans="1:19" x14ac:dyDescent="0.2">
      <c r="A6703" s="12">
        <f t="shared" ref="A6703:C6703" si="1594">A6702</f>
        <v>45990</v>
      </c>
      <c r="B6703" s="5" t="str">
        <f t="shared" si="1594"/>
        <v>Northern Cardinal</v>
      </c>
      <c r="C6703" s="6">
        <f t="shared" si="1594"/>
        <v>0.28333333333333333</v>
      </c>
      <c r="D6703" s="5"/>
      <c r="E6703" s="5"/>
      <c r="F6703" s="5" t="s">
        <v>8</v>
      </c>
      <c r="G6703" s="15" t="s">
        <v>9</v>
      </c>
      <c r="H6703" s="24">
        <f t="shared" si="1572"/>
        <v>0</v>
      </c>
      <c r="I6703" s="24" cm="1">
        <f t="array" ref="I6703">IFERROR(IF($B6703=I$1, ($A6703+$C6703) - MAX(IF($B$2:$B6702=$B6703, $A$2:$A6702+$C$2:$C6702)), "")*24*60, "")</f>
        <v>0</v>
      </c>
      <c r="J6703" s="24" t="str" cm="1">
        <f t="array" ref="J6703">IFERROR(IF($B6703=J$1, ($A6703+$C6703) - MAX(IF($B$2:$B6702=$B6703, $A$2:$A6702+$C$2:$C6702)), "")*24*60, "")</f>
        <v/>
      </c>
      <c r="K6703" s="24" t="str" cm="1">
        <f t="array" ref="K6703">IFERROR(IF($B6703=K$1, ($A6703+$C6703) - MAX(IF($B$2:$B6702=$B6703, $A$2:$A6702+$C$2:$C6702)), "")*24*60, "")</f>
        <v/>
      </c>
      <c r="L6703" s="24" t="str" cm="1">
        <f t="array" ref="L6703">IFERROR(IF($B6703=L$1, ($A6703+$C6703) - MAX(IF($B$2:$B6702=$B6703, $A$2:$A6702+$C$2:$C6702)), "")*24*60, "")</f>
        <v/>
      </c>
      <c r="M6703" s="24" t="str" cm="1">
        <f t="array" ref="M6703">IFERROR(IF($B6703=M$1, ($A6703+$C6703) - MAX(IF($B$2:$B6702=$B6703, $A$2:$A6702+$C$2:$C6702)), "")*24*60, "")</f>
        <v/>
      </c>
      <c r="N6703" s="24" t="str" cm="1">
        <f t="array" ref="N6703">IFERROR(IF($B6703=N$1, ($A6703+$C6703) - MAX(IF($B$2:$B6702=$B6703, $A$2:$A6702+$C$2:$C6702)), "")*24*60, "")</f>
        <v/>
      </c>
      <c r="O6703" s="24" t="str" cm="1">
        <f t="array" ref="O6703">IFERROR(IF($B6703=O$1, ($A6703+$C6703) - MAX(IF($B$2:$B6702=$B6703, $A$2:$A6702+$C$2:$C6702)), "")*24*60, "")</f>
        <v/>
      </c>
      <c r="P6703" s="24" t="str" cm="1">
        <f t="array" ref="P6703">IFERROR(IF($B6703=P$1, ($A6703+$C6703) - MAX(IF($B$2:$B6702=$B6703, $A$2:$A6702+$C$2:$C6702)), "")*24*60, "")</f>
        <v/>
      </c>
      <c r="Q6703" s="24" t="str" cm="1">
        <f t="array" ref="Q6703">IFERROR(IF($B6703=Q$1, ($A6703+$C6703) - MAX(IF($B$2:$B6702=$B6703, $A$2:$A6702+$C$2:$C6702)), "")*24*60, "")</f>
        <v/>
      </c>
      <c r="R6703" s="24" t="str" cm="1">
        <f t="array" ref="R6703">IFERROR(IF($B6703=R$1, ($A6703+$C6703) - MAX(IF($B$2:$B6702=$B6703, $A$2:$A6702+$C$2:$C6702)), "")*24*60, "")</f>
        <v/>
      </c>
      <c r="S6703" s="24" t="str" cm="1">
        <f t="array" ref="S6703">IFERROR(IF($B6703=S$1, ($A6703+$C6703) - MAX(IF($B$2:$B6702=$B6703, $A$2:$A6702+$C$2:$C6702)), "")*24*60, "")</f>
        <v/>
      </c>
    </row>
    <row r="6704" spans="1:19" x14ac:dyDescent="0.2">
      <c r="A6704" s="12">
        <f t="shared" ref="A6704:C6704" si="1595">A6703</f>
        <v>45990</v>
      </c>
      <c r="B6704" s="5" t="str">
        <f t="shared" si="1595"/>
        <v>Northern Cardinal</v>
      </c>
      <c r="C6704" s="6">
        <f t="shared" si="1595"/>
        <v>0.28333333333333333</v>
      </c>
      <c r="D6704" s="5"/>
      <c r="E6704" s="5"/>
      <c r="F6704" s="5" t="s">
        <v>8</v>
      </c>
      <c r="G6704" s="15" t="s">
        <v>9</v>
      </c>
      <c r="H6704" s="24">
        <f t="shared" si="1572"/>
        <v>0</v>
      </c>
      <c r="I6704" s="24" cm="1">
        <f t="array" ref="I6704">IFERROR(IF($B6704=I$1, ($A6704+$C6704) - MAX(IF($B$2:$B6703=$B6704, $A$2:$A6703+$C$2:$C6703)), "")*24*60, "")</f>
        <v>0</v>
      </c>
      <c r="J6704" s="24" t="str" cm="1">
        <f t="array" ref="J6704">IFERROR(IF($B6704=J$1, ($A6704+$C6704) - MAX(IF($B$2:$B6703=$B6704, $A$2:$A6703+$C$2:$C6703)), "")*24*60, "")</f>
        <v/>
      </c>
      <c r="K6704" s="24" t="str" cm="1">
        <f t="array" ref="K6704">IFERROR(IF($B6704=K$1, ($A6704+$C6704) - MAX(IF($B$2:$B6703=$B6704, $A$2:$A6703+$C$2:$C6703)), "")*24*60, "")</f>
        <v/>
      </c>
      <c r="L6704" s="24" t="str" cm="1">
        <f t="array" ref="L6704">IFERROR(IF($B6704=L$1, ($A6704+$C6704) - MAX(IF($B$2:$B6703=$B6704, $A$2:$A6703+$C$2:$C6703)), "")*24*60, "")</f>
        <v/>
      </c>
      <c r="M6704" s="24" t="str" cm="1">
        <f t="array" ref="M6704">IFERROR(IF($B6704=M$1, ($A6704+$C6704) - MAX(IF($B$2:$B6703=$B6704, $A$2:$A6703+$C$2:$C6703)), "")*24*60, "")</f>
        <v/>
      </c>
      <c r="N6704" s="24" t="str" cm="1">
        <f t="array" ref="N6704">IFERROR(IF($B6704=N$1, ($A6704+$C6704) - MAX(IF($B$2:$B6703=$B6704, $A$2:$A6703+$C$2:$C6703)), "")*24*60, "")</f>
        <v/>
      </c>
      <c r="O6704" s="24" t="str" cm="1">
        <f t="array" ref="O6704">IFERROR(IF($B6704=O$1, ($A6704+$C6704) - MAX(IF($B$2:$B6703=$B6704, $A$2:$A6703+$C$2:$C6703)), "")*24*60, "")</f>
        <v/>
      </c>
      <c r="P6704" s="24" t="str" cm="1">
        <f t="array" ref="P6704">IFERROR(IF($B6704=P$1, ($A6704+$C6704) - MAX(IF($B$2:$B6703=$B6704, $A$2:$A6703+$C$2:$C6703)), "")*24*60, "")</f>
        <v/>
      </c>
      <c r="Q6704" s="24" t="str" cm="1">
        <f t="array" ref="Q6704">IFERROR(IF($B6704=Q$1, ($A6704+$C6704) - MAX(IF($B$2:$B6703=$B6704, $A$2:$A6703+$C$2:$C6703)), "")*24*60, "")</f>
        <v/>
      </c>
      <c r="R6704" s="24" t="str" cm="1">
        <f t="array" ref="R6704">IFERROR(IF($B6704=R$1, ($A6704+$C6704) - MAX(IF($B$2:$B6703=$B6704, $A$2:$A6703+$C$2:$C6703)), "")*24*60, "")</f>
        <v/>
      </c>
      <c r="S6704" s="24" t="str" cm="1">
        <f t="array" ref="S6704">IFERROR(IF($B6704=S$1, ($A6704+$C6704) - MAX(IF($B$2:$B6703=$B6704, $A$2:$A6703+$C$2:$C6703)), "")*24*60, "")</f>
        <v/>
      </c>
    </row>
    <row r="6705" spans="1:19" x14ac:dyDescent="0.2">
      <c r="A6705" s="12">
        <f t="shared" ref="A6705:C6705" si="1596">A6704</f>
        <v>45990</v>
      </c>
      <c r="B6705" s="5" t="str">
        <f t="shared" si="1596"/>
        <v>Northern Cardinal</v>
      </c>
      <c r="C6705" s="6">
        <f t="shared" si="1596"/>
        <v>0.28333333333333333</v>
      </c>
      <c r="D6705" s="5"/>
      <c r="E6705" s="5"/>
      <c r="F6705" s="5" t="s">
        <v>8</v>
      </c>
      <c r="G6705" s="15" t="s">
        <v>9</v>
      </c>
      <c r="H6705" s="24">
        <f t="shared" si="1572"/>
        <v>0</v>
      </c>
      <c r="I6705" s="24" cm="1">
        <f t="array" ref="I6705">IFERROR(IF($B6705=I$1, ($A6705+$C6705) - MAX(IF($B$2:$B6704=$B6705, $A$2:$A6704+$C$2:$C6704)), "")*24*60, "")</f>
        <v>0</v>
      </c>
      <c r="J6705" s="24" t="str" cm="1">
        <f t="array" ref="J6705">IFERROR(IF($B6705=J$1, ($A6705+$C6705) - MAX(IF($B$2:$B6704=$B6705, $A$2:$A6704+$C$2:$C6704)), "")*24*60, "")</f>
        <v/>
      </c>
      <c r="K6705" s="24" t="str" cm="1">
        <f t="array" ref="K6705">IFERROR(IF($B6705=K$1, ($A6705+$C6705) - MAX(IF($B$2:$B6704=$B6705, $A$2:$A6704+$C$2:$C6704)), "")*24*60, "")</f>
        <v/>
      </c>
      <c r="L6705" s="24" t="str" cm="1">
        <f t="array" ref="L6705">IFERROR(IF($B6705=L$1, ($A6705+$C6705) - MAX(IF($B$2:$B6704=$B6705, $A$2:$A6704+$C$2:$C6704)), "")*24*60, "")</f>
        <v/>
      </c>
      <c r="M6705" s="24" t="str" cm="1">
        <f t="array" ref="M6705">IFERROR(IF($B6705=M$1, ($A6705+$C6705) - MAX(IF($B$2:$B6704=$B6705, $A$2:$A6704+$C$2:$C6704)), "")*24*60, "")</f>
        <v/>
      </c>
      <c r="N6705" s="24" t="str" cm="1">
        <f t="array" ref="N6705">IFERROR(IF($B6705=N$1, ($A6705+$C6705) - MAX(IF($B$2:$B6704=$B6705, $A$2:$A6704+$C$2:$C6704)), "")*24*60, "")</f>
        <v/>
      </c>
      <c r="O6705" s="24" t="str" cm="1">
        <f t="array" ref="O6705">IFERROR(IF($B6705=O$1, ($A6705+$C6705) - MAX(IF($B$2:$B6704=$B6705, $A$2:$A6704+$C$2:$C6704)), "")*24*60, "")</f>
        <v/>
      </c>
      <c r="P6705" s="24" t="str" cm="1">
        <f t="array" ref="P6705">IFERROR(IF($B6705=P$1, ($A6705+$C6705) - MAX(IF($B$2:$B6704=$B6705, $A$2:$A6704+$C$2:$C6704)), "")*24*60, "")</f>
        <v/>
      </c>
      <c r="Q6705" s="24" t="str" cm="1">
        <f t="array" ref="Q6705">IFERROR(IF($B6705=Q$1, ($A6705+$C6705) - MAX(IF($B$2:$B6704=$B6705, $A$2:$A6704+$C$2:$C6704)), "")*24*60, "")</f>
        <v/>
      </c>
      <c r="R6705" s="24" t="str" cm="1">
        <f t="array" ref="R6705">IFERROR(IF($B6705=R$1, ($A6705+$C6705) - MAX(IF($B$2:$B6704=$B6705, $A$2:$A6704+$C$2:$C6704)), "")*24*60, "")</f>
        <v/>
      </c>
      <c r="S6705" s="24" t="str" cm="1">
        <f t="array" ref="S6705">IFERROR(IF($B6705=S$1, ($A6705+$C6705) - MAX(IF($B$2:$B6704=$B6705, $A$2:$A6704+$C$2:$C6704)), "")*24*60, "")</f>
        <v/>
      </c>
    </row>
    <row r="6706" spans="1:19" x14ac:dyDescent="0.2">
      <c r="A6706" s="12">
        <f t="shared" ref="A6706:C6706" si="1597">A6705</f>
        <v>45990</v>
      </c>
      <c r="B6706" s="5" t="str">
        <f t="shared" si="1597"/>
        <v>Northern Cardinal</v>
      </c>
      <c r="C6706" s="6">
        <f t="shared" si="1597"/>
        <v>0.28333333333333333</v>
      </c>
      <c r="D6706" s="5"/>
      <c r="E6706" s="5"/>
      <c r="F6706" s="5" t="s">
        <v>8</v>
      </c>
      <c r="G6706" s="15" t="s">
        <v>9</v>
      </c>
      <c r="H6706" s="24">
        <f t="shared" si="1572"/>
        <v>0</v>
      </c>
      <c r="I6706" s="24" cm="1">
        <f t="array" ref="I6706">IFERROR(IF($B6706=I$1, ($A6706+$C6706) - MAX(IF($B$2:$B6705=$B6706, $A$2:$A6705+$C$2:$C6705)), "")*24*60, "")</f>
        <v>0</v>
      </c>
      <c r="J6706" s="24" t="str" cm="1">
        <f t="array" ref="J6706">IFERROR(IF($B6706=J$1, ($A6706+$C6706) - MAX(IF($B$2:$B6705=$B6706, $A$2:$A6705+$C$2:$C6705)), "")*24*60, "")</f>
        <v/>
      </c>
      <c r="K6706" s="24" t="str" cm="1">
        <f t="array" ref="K6706">IFERROR(IF($B6706=K$1, ($A6706+$C6706) - MAX(IF($B$2:$B6705=$B6706, $A$2:$A6705+$C$2:$C6705)), "")*24*60, "")</f>
        <v/>
      </c>
      <c r="L6706" s="24" t="str" cm="1">
        <f t="array" ref="L6706">IFERROR(IF($B6706=L$1, ($A6706+$C6706) - MAX(IF($B$2:$B6705=$B6706, $A$2:$A6705+$C$2:$C6705)), "")*24*60, "")</f>
        <v/>
      </c>
      <c r="M6706" s="24" t="str" cm="1">
        <f t="array" ref="M6706">IFERROR(IF($B6706=M$1, ($A6706+$C6706) - MAX(IF($B$2:$B6705=$B6706, $A$2:$A6705+$C$2:$C6705)), "")*24*60, "")</f>
        <v/>
      </c>
      <c r="N6706" s="24" t="str" cm="1">
        <f t="array" ref="N6706">IFERROR(IF($B6706=N$1, ($A6706+$C6706) - MAX(IF($B$2:$B6705=$B6706, $A$2:$A6705+$C$2:$C6705)), "")*24*60, "")</f>
        <v/>
      </c>
      <c r="O6706" s="24" t="str" cm="1">
        <f t="array" ref="O6706">IFERROR(IF($B6706=O$1, ($A6706+$C6706) - MAX(IF($B$2:$B6705=$B6706, $A$2:$A6705+$C$2:$C6705)), "")*24*60, "")</f>
        <v/>
      </c>
      <c r="P6706" s="24" t="str" cm="1">
        <f t="array" ref="P6706">IFERROR(IF($B6706=P$1, ($A6706+$C6706) - MAX(IF($B$2:$B6705=$B6706, $A$2:$A6705+$C$2:$C6705)), "")*24*60, "")</f>
        <v/>
      </c>
      <c r="Q6706" s="24" t="str" cm="1">
        <f t="array" ref="Q6706">IFERROR(IF($B6706=Q$1, ($A6706+$C6706) - MAX(IF($B$2:$B6705=$B6706, $A$2:$A6705+$C$2:$C6705)), "")*24*60, "")</f>
        <v/>
      </c>
      <c r="R6706" s="24" t="str" cm="1">
        <f t="array" ref="R6706">IFERROR(IF($B6706=R$1, ($A6706+$C6706) - MAX(IF($B$2:$B6705=$B6706, $A$2:$A6705+$C$2:$C6705)), "")*24*60, "")</f>
        <v/>
      </c>
      <c r="S6706" s="24" t="str" cm="1">
        <f t="array" ref="S6706">IFERROR(IF($B6706=S$1, ($A6706+$C6706) - MAX(IF($B$2:$B6705=$B6706, $A$2:$A6705+$C$2:$C6705)), "")*24*60, "")</f>
        <v/>
      </c>
    </row>
    <row r="6707" spans="1:19" x14ac:dyDescent="0.2">
      <c r="A6707" s="12">
        <f t="shared" ref="A6707:C6707" si="1598">A6706</f>
        <v>45990</v>
      </c>
      <c r="B6707" s="5" t="str">
        <f t="shared" si="1598"/>
        <v>Northern Cardinal</v>
      </c>
      <c r="C6707" s="6">
        <f t="shared" si="1598"/>
        <v>0.28333333333333333</v>
      </c>
      <c r="D6707" s="5"/>
      <c r="E6707" s="5"/>
      <c r="F6707" s="5" t="s">
        <v>8</v>
      </c>
      <c r="G6707" s="15" t="s">
        <v>9</v>
      </c>
      <c r="H6707" s="24">
        <f t="shared" si="1572"/>
        <v>0</v>
      </c>
      <c r="I6707" s="24" cm="1">
        <f t="array" ref="I6707">IFERROR(IF($B6707=I$1, ($A6707+$C6707) - MAX(IF($B$2:$B6706=$B6707, $A$2:$A6706+$C$2:$C6706)), "")*24*60, "")</f>
        <v>0</v>
      </c>
      <c r="J6707" s="24" t="str" cm="1">
        <f t="array" ref="J6707">IFERROR(IF($B6707=J$1, ($A6707+$C6707) - MAX(IF($B$2:$B6706=$B6707, $A$2:$A6706+$C$2:$C6706)), "")*24*60, "")</f>
        <v/>
      </c>
      <c r="K6707" s="24" t="str" cm="1">
        <f t="array" ref="K6707">IFERROR(IF($B6707=K$1, ($A6707+$C6707) - MAX(IF($B$2:$B6706=$B6707, $A$2:$A6706+$C$2:$C6706)), "")*24*60, "")</f>
        <v/>
      </c>
      <c r="L6707" s="24" t="str" cm="1">
        <f t="array" ref="L6707">IFERROR(IF($B6707=L$1, ($A6707+$C6707) - MAX(IF($B$2:$B6706=$B6707, $A$2:$A6706+$C$2:$C6706)), "")*24*60, "")</f>
        <v/>
      </c>
      <c r="M6707" s="24" t="str" cm="1">
        <f t="array" ref="M6707">IFERROR(IF($B6707=M$1, ($A6707+$C6707) - MAX(IF($B$2:$B6706=$B6707, $A$2:$A6706+$C$2:$C6706)), "")*24*60, "")</f>
        <v/>
      </c>
      <c r="N6707" s="24" t="str" cm="1">
        <f t="array" ref="N6707">IFERROR(IF($B6707=N$1, ($A6707+$C6707) - MAX(IF($B$2:$B6706=$B6707, $A$2:$A6706+$C$2:$C6706)), "")*24*60, "")</f>
        <v/>
      </c>
      <c r="O6707" s="24" t="str" cm="1">
        <f t="array" ref="O6707">IFERROR(IF($B6707=O$1, ($A6707+$C6707) - MAX(IF($B$2:$B6706=$B6707, $A$2:$A6706+$C$2:$C6706)), "")*24*60, "")</f>
        <v/>
      </c>
      <c r="P6707" s="24" t="str" cm="1">
        <f t="array" ref="P6707">IFERROR(IF($B6707=P$1, ($A6707+$C6707) - MAX(IF($B$2:$B6706=$B6707, $A$2:$A6706+$C$2:$C6706)), "")*24*60, "")</f>
        <v/>
      </c>
      <c r="Q6707" s="24" t="str" cm="1">
        <f t="array" ref="Q6707">IFERROR(IF($B6707=Q$1, ($A6707+$C6707) - MAX(IF($B$2:$B6706=$B6707, $A$2:$A6706+$C$2:$C6706)), "")*24*60, "")</f>
        <v/>
      </c>
      <c r="R6707" s="24" t="str" cm="1">
        <f t="array" ref="R6707">IFERROR(IF($B6707=R$1, ($A6707+$C6707) - MAX(IF($B$2:$B6706=$B6707, $A$2:$A6706+$C$2:$C6706)), "")*24*60, "")</f>
        <v/>
      </c>
      <c r="S6707" s="24" t="str" cm="1">
        <f t="array" ref="S6707">IFERROR(IF($B6707=S$1, ($A6707+$C6707) - MAX(IF($B$2:$B6706=$B6707, $A$2:$A6706+$C$2:$C6706)), "")*24*60, "")</f>
        <v/>
      </c>
    </row>
    <row r="6708" spans="1:19" x14ac:dyDescent="0.2">
      <c r="A6708" s="12">
        <f t="shared" ref="A6708:C6708" si="1599">A6707</f>
        <v>45990</v>
      </c>
      <c r="B6708" s="5" t="str">
        <f t="shared" si="1599"/>
        <v>Northern Cardinal</v>
      </c>
      <c r="C6708" s="6">
        <f t="shared" si="1599"/>
        <v>0.28333333333333333</v>
      </c>
      <c r="D6708" s="5"/>
      <c r="E6708" s="5"/>
      <c r="F6708" s="5" t="s">
        <v>8</v>
      </c>
      <c r="G6708" s="15" t="s">
        <v>9</v>
      </c>
      <c r="H6708" s="24">
        <f t="shared" si="1572"/>
        <v>0</v>
      </c>
      <c r="I6708" s="24" cm="1">
        <f t="array" ref="I6708">IFERROR(IF($B6708=I$1, ($A6708+$C6708) - MAX(IF($B$2:$B6707=$B6708, $A$2:$A6707+$C$2:$C6707)), "")*24*60, "")</f>
        <v>0</v>
      </c>
      <c r="J6708" s="24" t="str" cm="1">
        <f t="array" ref="J6708">IFERROR(IF($B6708=J$1, ($A6708+$C6708) - MAX(IF($B$2:$B6707=$B6708, $A$2:$A6707+$C$2:$C6707)), "")*24*60, "")</f>
        <v/>
      </c>
      <c r="K6708" s="24" t="str" cm="1">
        <f t="array" ref="K6708">IFERROR(IF($B6708=K$1, ($A6708+$C6708) - MAX(IF($B$2:$B6707=$B6708, $A$2:$A6707+$C$2:$C6707)), "")*24*60, "")</f>
        <v/>
      </c>
      <c r="L6708" s="24" t="str" cm="1">
        <f t="array" ref="L6708">IFERROR(IF($B6708=L$1, ($A6708+$C6708) - MAX(IF($B$2:$B6707=$B6708, $A$2:$A6707+$C$2:$C6707)), "")*24*60, "")</f>
        <v/>
      </c>
      <c r="M6708" s="24" t="str" cm="1">
        <f t="array" ref="M6708">IFERROR(IF($B6708=M$1, ($A6708+$C6708) - MAX(IF($B$2:$B6707=$B6708, $A$2:$A6707+$C$2:$C6707)), "")*24*60, "")</f>
        <v/>
      </c>
      <c r="N6708" s="24" t="str" cm="1">
        <f t="array" ref="N6708">IFERROR(IF($B6708=N$1, ($A6708+$C6708) - MAX(IF($B$2:$B6707=$B6708, $A$2:$A6707+$C$2:$C6707)), "")*24*60, "")</f>
        <v/>
      </c>
      <c r="O6708" s="24" t="str" cm="1">
        <f t="array" ref="O6708">IFERROR(IF($B6708=O$1, ($A6708+$C6708) - MAX(IF($B$2:$B6707=$B6708, $A$2:$A6707+$C$2:$C6707)), "")*24*60, "")</f>
        <v/>
      </c>
      <c r="P6708" s="24" t="str" cm="1">
        <f t="array" ref="P6708">IFERROR(IF($B6708=P$1, ($A6708+$C6708) - MAX(IF($B$2:$B6707=$B6708, $A$2:$A6707+$C$2:$C6707)), "")*24*60, "")</f>
        <v/>
      </c>
      <c r="Q6708" s="24" t="str" cm="1">
        <f t="array" ref="Q6708">IFERROR(IF($B6708=Q$1, ($A6708+$C6708) - MAX(IF($B$2:$B6707=$B6708, $A$2:$A6707+$C$2:$C6707)), "")*24*60, "")</f>
        <v/>
      </c>
      <c r="R6708" s="24" t="str" cm="1">
        <f t="array" ref="R6708">IFERROR(IF($B6708=R$1, ($A6708+$C6708) - MAX(IF($B$2:$B6707=$B6708, $A$2:$A6707+$C$2:$C6707)), "")*24*60, "")</f>
        <v/>
      </c>
      <c r="S6708" s="24" t="str" cm="1">
        <f t="array" ref="S6708">IFERROR(IF($B6708=S$1, ($A6708+$C6708) - MAX(IF($B$2:$B6707=$B6708, $A$2:$A6707+$C$2:$C6707)), "")*24*60, "")</f>
        <v/>
      </c>
    </row>
    <row r="6709" spans="1:19" x14ac:dyDescent="0.2">
      <c r="A6709" s="12">
        <f t="shared" ref="A6709:C6709" si="1600">A6708</f>
        <v>45990</v>
      </c>
      <c r="B6709" s="5" t="str">
        <f t="shared" si="1600"/>
        <v>Northern Cardinal</v>
      </c>
      <c r="C6709" s="6">
        <f t="shared" si="1600"/>
        <v>0.28333333333333333</v>
      </c>
      <c r="D6709" s="5"/>
      <c r="E6709" s="5"/>
      <c r="F6709" s="5" t="s">
        <v>8</v>
      </c>
      <c r="G6709" s="15" t="s">
        <v>9</v>
      </c>
      <c r="H6709" s="24">
        <f t="shared" si="1572"/>
        <v>0</v>
      </c>
      <c r="I6709" s="24" cm="1">
        <f t="array" ref="I6709">IFERROR(IF($B6709=I$1, ($A6709+$C6709) - MAX(IF($B$2:$B6708=$B6709, $A$2:$A6708+$C$2:$C6708)), "")*24*60, "")</f>
        <v>0</v>
      </c>
      <c r="J6709" s="24" t="str" cm="1">
        <f t="array" ref="J6709">IFERROR(IF($B6709=J$1, ($A6709+$C6709) - MAX(IF($B$2:$B6708=$B6709, $A$2:$A6708+$C$2:$C6708)), "")*24*60, "")</f>
        <v/>
      </c>
      <c r="K6709" s="24" t="str" cm="1">
        <f t="array" ref="K6709">IFERROR(IF($B6709=K$1, ($A6709+$C6709) - MAX(IF($B$2:$B6708=$B6709, $A$2:$A6708+$C$2:$C6708)), "")*24*60, "")</f>
        <v/>
      </c>
      <c r="L6709" s="24" t="str" cm="1">
        <f t="array" ref="L6709">IFERROR(IF($B6709=L$1, ($A6709+$C6709) - MAX(IF($B$2:$B6708=$B6709, $A$2:$A6708+$C$2:$C6708)), "")*24*60, "")</f>
        <v/>
      </c>
      <c r="M6709" s="24" t="str" cm="1">
        <f t="array" ref="M6709">IFERROR(IF($B6709=M$1, ($A6709+$C6709) - MAX(IF($B$2:$B6708=$B6709, $A$2:$A6708+$C$2:$C6708)), "")*24*60, "")</f>
        <v/>
      </c>
      <c r="N6709" s="24" t="str" cm="1">
        <f t="array" ref="N6709">IFERROR(IF($B6709=N$1, ($A6709+$C6709) - MAX(IF($B$2:$B6708=$B6709, $A$2:$A6708+$C$2:$C6708)), "")*24*60, "")</f>
        <v/>
      </c>
      <c r="O6709" s="24" t="str" cm="1">
        <f t="array" ref="O6709">IFERROR(IF($B6709=O$1, ($A6709+$C6709) - MAX(IF($B$2:$B6708=$B6709, $A$2:$A6708+$C$2:$C6708)), "")*24*60, "")</f>
        <v/>
      </c>
      <c r="P6709" s="24" t="str" cm="1">
        <f t="array" ref="P6709">IFERROR(IF($B6709=P$1, ($A6709+$C6709) - MAX(IF($B$2:$B6708=$B6709, $A$2:$A6708+$C$2:$C6708)), "")*24*60, "")</f>
        <v/>
      </c>
      <c r="Q6709" s="24" t="str" cm="1">
        <f t="array" ref="Q6709">IFERROR(IF($B6709=Q$1, ($A6709+$C6709) - MAX(IF($B$2:$B6708=$B6709, $A$2:$A6708+$C$2:$C6708)), "")*24*60, "")</f>
        <v/>
      </c>
      <c r="R6709" s="24" t="str" cm="1">
        <f t="array" ref="R6709">IFERROR(IF($B6709=R$1, ($A6709+$C6709) - MAX(IF($B$2:$B6708=$B6709, $A$2:$A6708+$C$2:$C6708)), "")*24*60, "")</f>
        <v/>
      </c>
      <c r="S6709" s="24" t="str" cm="1">
        <f t="array" ref="S6709">IFERROR(IF($B6709=S$1, ($A6709+$C6709) - MAX(IF($B$2:$B6708=$B6709, $A$2:$A6708+$C$2:$C6708)), "")*24*60, "")</f>
        <v/>
      </c>
    </row>
    <row r="6710" spans="1:19" x14ac:dyDescent="0.2">
      <c r="A6710" s="12">
        <f t="shared" ref="A6710:C6710" si="1601">A6709</f>
        <v>45990</v>
      </c>
      <c r="B6710" s="5" t="str">
        <f t="shared" si="1601"/>
        <v>Northern Cardinal</v>
      </c>
      <c r="C6710" s="6">
        <f t="shared" si="1601"/>
        <v>0.28333333333333333</v>
      </c>
      <c r="D6710" s="5"/>
      <c r="E6710" s="5"/>
      <c r="F6710" s="5" t="s">
        <v>8</v>
      </c>
      <c r="G6710" s="15" t="s">
        <v>9</v>
      </c>
      <c r="H6710" s="24">
        <f t="shared" si="1572"/>
        <v>0</v>
      </c>
      <c r="I6710" s="24" cm="1">
        <f t="array" ref="I6710">IFERROR(IF($B6710=I$1, ($A6710+$C6710) - MAX(IF($B$2:$B6709=$B6710, $A$2:$A6709+$C$2:$C6709)), "")*24*60, "")</f>
        <v>0</v>
      </c>
      <c r="J6710" s="24" t="str" cm="1">
        <f t="array" ref="J6710">IFERROR(IF($B6710=J$1, ($A6710+$C6710) - MAX(IF($B$2:$B6709=$B6710, $A$2:$A6709+$C$2:$C6709)), "")*24*60, "")</f>
        <v/>
      </c>
      <c r="K6710" s="24" t="str" cm="1">
        <f t="array" ref="K6710">IFERROR(IF($B6710=K$1, ($A6710+$C6710) - MAX(IF($B$2:$B6709=$B6710, $A$2:$A6709+$C$2:$C6709)), "")*24*60, "")</f>
        <v/>
      </c>
      <c r="L6710" s="24" t="str" cm="1">
        <f t="array" ref="L6710">IFERROR(IF($B6710=L$1, ($A6710+$C6710) - MAX(IF($B$2:$B6709=$B6710, $A$2:$A6709+$C$2:$C6709)), "")*24*60, "")</f>
        <v/>
      </c>
      <c r="M6710" s="24" t="str" cm="1">
        <f t="array" ref="M6710">IFERROR(IF($B6710=M$1, ($A6710+$C6710) - MAX(IF($B$2:$B6709=$B6710, $A$2:$A6709+$C$2:$C6709)), "")*24*60, "")</f>
        <v/>
      </c>
      <c r="N6710" s="24" t="str" cm="1">
        <f t="array" ref="N6710">IFERROR(IF($B6710=N$1, ($A6710+$C6710) - MAX(IF($B$2:$B6709=$B6710, $A$2:$A6709+$C$2:$C6709)), "")*24*60, "")</f>
        <v/>
      </c>
      <c r="O6710" s="24" t="str" cm="1">
        <f t="array" ref="O6710">IFERROR(IF($B6710=O$1, ($A6710+$C6710) - MAX(IF($B$2:$B6709=$B6710, $A$2:$A6709+$C$2:$C6709)), "")*24*60, "")</f>
        <v/>
      </c>
      <c r="P6710" s="24" t="str" cm="1">
        <f t="array" ref="P6710">IFERROR(IF($B6710=P$1, ($A6710+$C6710) - MAX(IF($B$2:$B6709=$B6710, $A$2:$A6709+$C$2:$C6709)), "")*24*60, "")</f>
        <v/>
      </c>
      <c r="Q6710" s="24" t="str" cm="1">
        <f t="array" ref="Q6710">IFERROR(IF($B6710=Q$1, ($A6710+$C6710) - MAX(IF($B$2:$B6709=$B6710, $A$2:$A6709+$C$2:$C6709)), "")*24*60, "")</f>
        <v/>
      </c>
      <c r="R6710" s="24" t="str" cm="1">
        <f t="array" ref="R6710">IFERROR(IF($B6710=R$1, ($A6710+$C6710) - MAX(IF($B$2:$B6709=$B6710, $A$2:$A6709+$C$2:$C6709)), "")*24*60, "")</f>
        <v/>
      </c>
      <c r="S6710" s="24" t="str" cm="1">
        <f t="array" ref="S6710">IFERROR(IF($B6710=S$1, ($A6710+$C6710) - MAX(IF($B$2:$B6709=$B6710, $A$2:$A6709+$C$2:$C6709)), "")*24*60, "")</f>
        <v/>
      </c>
    </row>
    <row r="6711" spans="1:19" x14ac:dyDescent="0.2">
      <c r="A6711" s="12">
        <f t="shared" ref="A6711:C6711" si="1602">A6710</f>
        <v>45990</v>
      </c>
      <c r="B6711" s="5" t="str">
        <f t="shared" si="1602"/>
        <v>Northern Cardinal</v>
      </c>
      <c r="C6711" s="6">
        <f t="shared" si="1602"/>
        <v>0.28333333333333333</v>
      </c>
      <c r="D6711" s="5"/>
      <c r="E6711" s="5"/>
      <c r="F6711" s="5" t="s">
        <v>8</v>
      </c>
      <c r="G6711" s="15" t="s">
        <v>9</v>
      </c>
      <c r="H6711" s="24">
        <f t="shared" si="1572"/>
        <v>0</v>
      </c>
      <c r="I6711" s="24" cm="1">
        <f t="array" ref="I6711">IFERROR(IF($B6711=I$1, ($A6711+$C6711) - MAX(IF($B$2:$B6710=$B6711, $A$2:$A6710+$C$2:$C6710)), "")*24*60, "")</f>
        <v>0</v>
      </c>
      <c r="J6711" s="24" t="str" cm="1">
        <f t="array" ref="J6711">IFERROR(IF($B6711=J$1, ($A6711+$C6711) - MAX(IF($B$2:$B6710=$B6711, $A$2:$A6710+$C$2:$C6710)), "")*24*60, "")</f>
        <v/>
      </c>
      <c r="K6711" s="24" t="str" cm="1">
        <f t="array" ref="K6711">IFERROR(IF($B6711=K$1, ($A6711+$C6711) - MAX(IF($B$2:$B6710=$B6711, $A$2:$A6710+$C$2:$C6710)), "")*24*60, "")</f>
        <v/>
      </c>
      <c r="L6711" s="24" t="str" cm="1">
        <f t="array" ref="L6711">IFERROR(IF($B6711=L$1, ($A6711+$C6711) - MAX(IF($B$2:$B6710=$B6711, $A$2:$A6710+$C$2:$C6710)), "")*24*60, "")</f>
        <v/>
      </c>
      <c r="M6711" s="24" t="str" cm="1">
        <f t="array" ref="M6711">IFERROR(IF($B6711=M$1, ($A6711+$C6711) - MAX(IF($B$2:$B6710=$B6711, $A$2:$A6710+$C$2:$C6710)), "")*24*60, "")</f>
        <v/>
      </c>
      <c r="N6711" s="24" t="str" cm="1">
        <f t="array" ref="N6711">IFERROR(IF($B6711=N$1, ($A6711+$C6711) - MAX(IF($B$2:$B6710=$B6711, $A$2:$A6710+$C$2:$C6710)), "")*24*60, "")</f>
        <v/>
      </c>
      <c r="O6711" s="24" t="str" cm="1">
        <f t="array" ref="O6711">IFERROR(IF($B6711=O$1, ($A6711+$C6711) - MAX(IF($B$2:$B6710=$B6711, $A$2:$A6710+$C$2:$C6710)), "")*24*60, "")</f>
        <v/>
      </c>
      <c r="P6711" s="24" t="str" cm="1">
        <f t="array" ref="P6711">IFERROR(IF($B6711=P$1, ($A6711+$C6711) - MAX(IF($B$2:$B6710=$B6711, $A$2:$A6710+$C$2:$C6710)), "")*24*60, "")</f>
        <v/>
      </c>
      <c r="Q6711" s="24" t="str" cm="1">
        <f t="array" ref="Q6711">IFERROR(IF($B6711=Q$1, ($A6711+$C6711) - MAX(IF($B$2:$B6710=$B6711, $A$2:$A6710+$C$2:$C6710)), "")*24*60, "")</f>
        <v/>
      </c>
      <c r="R6711" s="24" t="str" cm="1">
        <f t="array" ref="R6711">IFERROR(IF($B6711=R$1, ($A6711+$C6711) - MAX(IF($B$2:$B6710=$B6711, $A$2:$A6710+$C$2:$C6710)), "")*24*60, "")</f>
        <v/>
      </c>
      <c r="S6711" s="24" t="str" cm="1">
        <f t="array" ref="S6711">IFERROR(IF($B6711=S$1, ($A6711+$C6711) - MAX(IF($B$2:$B6710=$B6711, $A$2:$A6710+$C$2:$C6710)), "")*24*60, "")</f>
        <v/>
      </c>
    </row>
    <row r="6712" spans="1:19" x14ac:dyDescent="0.2">
      <c r="A6712" s="12">
        <f t="shared" ref="A6712:C6712" si="1603">A6711</f>
        <v>45990</v>
      </c>
      <c r="B6712" s="5" t="str">
        <f t="shared" si="1603"/>
        <v>Northern Cardinal</v>
      </c>
      <c r="C6712" s="6">
        <f t="shared" si="1603"/>
        <v>0.28333333333333333</v>
      </c>
      <c r="D6712" s="5"/>
      <c r="E6712" s="5"/>
      <c r="F6712" s="5" t="s">
        <v>8</v>
      </c>
      <c r="G6712" s="15" t="s">
        <v>9</v>
      </c>
      <c r="H6712" s="24">
        <f t="shared" si="1572"/>
        <v>0</v>
      </c>
      <c r="I6712" s="24" cm="1">
        <f t="array" ref="I6712">IFERROR(IF($B6712=I$1, ($A6712+$C6712) - MAX(IF($B$2:$B6711=$B6712, $A$2:$A6711+$C$2:$C6711)), "")*24*60, "")</f>
        <v>0</v>
      </c>
      <c r="J6712" s="24" t="str" cm="1">
        <f t="array" ref="J6712">IFERROR(IF($B6712=J$1, ($A6712+$C6712) - MAX(IF($B$2:$B6711=$B6712, $A$2:$A6711+$C$2:$C6711)), "")*24*60, "")</f>
        <v/>
      </c>
      <c r="K6712" s="24" t="str" cm="1">
        <f t="array" ref="K6712">IFERROR(IF($B6712=K$1, ($A6712+$C6712) - MAX(IF($B$2:$B6711=$B6712, $A$2:$A6711+$C$2:$C6711)), "")*24*60, "")</f>
        <v/>
      </c>
      <c r="L6712" s="24" t="str" cm="1">
        <f t="array" ref="L6712">IFERROR(IF($B6712=L$1, ($A6712+$C6712) - MAX(IF($B$2:$B6711=$B6712, $A$2:$A6711+$C$2:$C6711)), "")*24*60, "")</f>
        <v/>
      </c>
      <c r="M6712" s="24" t="str" cm="1">
        <f t="array" ref="M6712">IFERROR(IF($B6712=M$1, ($A6712+$C6712) - MAX(IF($B$2:$B6711=$B6712, $A$2:$A6711+$C$2:$C6711)), "")*24*60, "")</f>
        <v/>
      </c>
      <c r="N6712" s="24" t="str" cm="1">
        <f t="array" ref="N6712">IFERROR(IF($B6712=N$1, ($A6712+$C6712) - MAX(IF($B$2:$B6711=$B6712, $A$2:$A6711+$C$2:$C6711)), "")*24*60, "")</f>
        <v/>
      </c>
      <c r="O6712" s="24" t="str" cm="1">
        <f t="array" ref="O6712">IFERROR(IF($B6712=O$1, ($A6712+$C6712) - MAX(IF($B$2:$B6711=$B6712, $A$2:$A6711+$C$2:$C6711)), "")*24*60, "")</f>
        <v/>
      </c>
      <c r="P6712" s="24" t="str" cm="1">
        <f t="array" ref="P6712">IFERROR(IF($B6712=P$1, ($A6712+$C6712) - MAX(IF($B$2:$B6711=$B6712, $A$2:$A6711+$C$2:$C6711)), "")*24*60, "")</f>
        <v/>
      </c>
      <c r="Q6712" s="24" t="str" cm="1">
        <f t="array" ref="Q6712">IFERROR(IF($B6712=Q$1, ($A6712+$C6712) - MAX(IF($B$2:$B6711=$B6712, $A$2:$A6711+$C$2:$C6711)), "")*24*60, "")</f>
        <v/>
      </c>
      <c r="R6712" s="24" t="str" cm="1">
        <f t="array" ref="R6712">IFERROR(IF($B6712=R$1, ($A6712+$C6712) - MAX(IF($B$2:$B6711=$B6712, $A$2:$A6711+$C$2:$C6711)), "")*24*60, "")</f>
        <v/>
      </c>
      <c r="S6712" s="24" t="str" cm="1">
        <f t="array" ref="S6712">IFERROR(IF($B6712=S$1, ($A6712+$C6712) - MAX(IF($B$2:$B6711=$B6712, $A$2:$A6711+$C$2:$C6711)), "")*24*60, "")</f>
        <v/>
      </c>
    </row>
    <row r="6713" spans="1:19" x14ac:dyDescent="0.2">
      <c r="A6713" s="12">
        <f t="shared" ref="A6713:C6713" si="1604">A6712</f>
        <v>45990</v>
      </c>
      <c r="B6713" s="5" t="str">
        <f t="shared" si="1604"/>
        <v>Northern Cardinal</v>
      </c>
      <c r="C6713" s="6">
        <f t="shared" si="1604"/>
        <v>0.28333333333333333</v>
      </c>
      <c r="D6713" s="5"/>
      <c r="E6713" s="5"/>
      <c r="F6713" s="5" t="s">
        <v>8</v>
      </c>
      <c r="G6713" s="15" t="s">
        <v>9</v>
      </c>
      <c r="H6713" s="24">
        <f t="shared" si="1572"/>
        <v>0</v>
      </c>
      <c r="I6713" s="24" cm="1">
        <f t="array" ref="I6713">IFERROR(IF($B6713=I$1, ($A6713+$C6713) - MAX(IF($B$2:$B6712=$B6713, $A$2:$A6712+$C$2:$C6712)), "")*24*60, "")</f>
        <v>0</v>
      </c>
      <c r="J6713" s="24" t="str" cm="1">
        <f t="array" ref="J6713">IFERROR(IF($B6713=J$1, ($A6713+$C6713) - MAX(IF($B$2:$B6712=$B6713, $A$2:$A6712+$C$2:$C6712)), "")*24*60, "")</f>
        <v/>
      </c>
      <c r="K6713" s="24" t="str" cm="1">
        <f t="array" ref="K6713">IFERROR(IF($B6713=K$1, ($A6713+$C6713) - MAX(IF($B$2:$B6712=$B6713, $A$2:$A6712+$C$2:$C6712)), "")*24*60, "")</f>
        <v/>
      </c>
      <c r="L6713" s="24" t="str" cm="1">
        <f t="array" ref="L6713">IFERROR(IF($B6713=L$1, ($A6713+$C6713) - MAX(IF($B$2:$B6712=$B6713, $A$2:$A6712+$C$2:$C6712)), "")*24*60, "")</f>
        <v/>
      </c>
      <c r="M6713" s="24" t="str" cm="1">
        <f t="array" ref="M6713">IFERROR(IF($B6713=M$1, ($A6713+$C6713) - MAX(IF($B$2:$B6712=$B6713, $A$2:$A6712+$C$2:$C6712)), "")*24*60, "")</f>
        <v/>
      </c>
      <c r="N6713" s="24" t="str" cm="1">
        <f t="array" ref="N6713">IFERROR(IF($B6713=N$1, ($A6713+$C6713) - MAX(IF($B$2:$B6712=$B6713, $A$2:$A6712+$C$2:$C6712)), "")*24*60, "")</f>
        <v/>
      </c>
      <c r="O6713" s="24" t="str" cm="1">
        <f t="array" ref="O6713">IFERROR(IF($B6713=O$1, ($A6713+$C6713) - MAX(IF($B$2:$B6712=$B6713, $A$2:$A6712+$C$2:$C6712)), "")*24*60, "")</f>
        <v/>
      </c>
      <c r="P6713" s="24" t="str" cm="1">
        <f t="array" ref="P6713">IFERROR(IF($B6713=P$1, ($A6713+$C6713) - MAX(IF($B$2:$B6712=$B6713, $A$2:$A6712+$C$2:$C6712)), "")*24*60, "")</f>
        <v/>
      </c>
      <c r="Q6713" s="24" t="str" cm="1">
        <f t="array" ref="Q6713">IFERROR(IF($B6713=Q$1, ($A6713+$C6713) - MAX(IF($B$2:$B6712=$B6713, $A$2:$A6712+$C$2:$C6712)), "")*24*60, "")</f>
        <v/>
      </c>
      <c r="R6713" s="24" t="str" cm="1">
        <f t="array" ref="R6713">IFERROR(IF($B6713=R$1, ($A6713+$C6713) - MAX(IF($B$2:$B6712=$B6713, $A$2:$A6712+$C$2:$C6712)), "")*24*60, "")</f>
        <v/>
      </c>
      <c r="S6713" s="24" t="str" cm="1">
        <f t="array" ref="S6713">IFERROR(IF($B6713=S$1, ($A6713+$C6713) - MAX(IF($B$2:$B6712=$B6713, $A$2:$A6712+$C$2:$C6712)), "")*24*60, "")</f>
        <v/>
      </c>
    </row>
    <row r="6714" spans="1:19" x14ac:dyDescent="0.2">
      <c r="A6714" s="12">
        <f t="shared" ref="A6714:C6714" si="1605">A6713</f>
        <v>45990</v>
      </c>
      <c r="B6714" s="5" t="str">
        <f t="shared" si="1605"/>
        <v>Northern Cardinal</v>
      </c>
      <c r="C6714" s="6">
        <f t="shared" si="1605"/>
        <v>0.28333333333333333</v>
      </c>
      <c r="D6714" s="5"/>
      <c r="E6714" s="5"/>
      <c r="F6714" s="5" t="s">
        <v>8</v>
      </c>
      <c r="G6714" s="15" t="s">
        <v>9</v>
      </c>
      <c r="H6714" s="24">
        <f t="shared" si="1572"/>
        <v>0</v>
      </c>
      <c r="I6714" s="24" cm="1">
        <f t="array" ref="I6714">IFERROR(IF($B6714=I$1, ($A6714+$C6714) - MAX(IF($B$2:$B6713=$B6714, $A$2:$A6713+$C$2:$C6713)), "")*24*60, "")</f>
        <v>0</v>
      </c>
      <c r="J6714" s="24" t="str" cm="1">
        <f t="array" ref="J6714">IFERROR(IF($B6714=J$1, ($A6714+$C6714) - MAX(IF($B$2:$B6713=$B6714, $A$2:$A6713+$C$2:$C6713)), "")*24*60, "")</f>
        <v/>
      </c>
      <c r="K6714" s="24" t="str" cm="1">
        <f t="array" ref="K6714">IFERROR(IF($B6714=K$1, ($A6714+$C6714) - MAX(IF($B$2:$B6713=$B6714, $A$2:$A6713+$C$2:$C6713)), "")*24*60, "")</f>
        <v/>
      </c>
      <c r="L6714" s="24" t="str" cm="1">
        <f t="array" ref="L6714">IFERROR(IF($B6714=L$1, ($A6714+$C6714) - MAX(IF($B$2:$B6713=$B6714, $A$2:$A6713+$C$2:$C6713)), "")*24*60, "")</f>
        <v/>
      </c>
      <c r="M6714" s="24" t="str" cm="1">
        <f t="array" ref="M6714">IFERROR(IF($B6714=M$1, ($A6714+$C6714) - MAX(IF($B$2:$B6713=$B6714, $A$2:$A6713+$C$2:$C6713)), "")*24*60, "")</f>
        <v/>
      </c>
      <c r="N6714" s="24" t="str" cm="1">
        <f t="array" ref="N6714">IFERROR(IF($B6714=N$1, ($A6714+$C6714) - MAX(IF($B$2:$B6713=$B6714, $A$2:$A6713+$C$2:$C6713)), "")*24*60, "")</f>
        <v/>
      </c>
      <c r="O6714" s="24" t="str" cm="1">
        <f t="array" ref="O6714">IFERROR(IF($B6714=O$1, ($A6714+$C6714) - MAX(IF($B$2:$B6713=$B6714, $A$2:$A6713+$C$2:$C6713)), "")*24*60, "")</f>
        <v/>
      </c>
      <c r="P6714" s="24" t="str" cm="1">
        <f t="array" ref="P6714">IFERROR(IF($B6714=P$1, ($A6714+$C6714) - MAX(IF($B$2:$B6713=$B6714, $A$2:$A6713+$C$2:$C6713)), "")*24*60, "")</f>
        <v/>
      </c>
      <c r="Q6714" s="24" t="str" cm="1">
        <f t="array" ref="Q6714">IFERROR(IF($B6714=Q$1, ($A6714+$C6714) - MAX(IF($B$2:$B6713=$B6714, $A$2:$A6713+$C$2:$C6713)), "")*24*60, "")</f>
        <v/>
      </c>
      <c r="R6714" s="24" t="str" cm="1">
        <f t="array" ref="R6714">IFERROR(IF($B6714=R$1, ($A6714+$C6714) - MAX(IF($B$2:$B6713=$B6714, $A$2:$A6713+$C$2:$C6713)), "")*24*60, "")</f>
        <v/>
      </c>
      <c r="S6714" s="24" t="str" cm="1">
        <f t="array" ref="S6714">IFERROR(IF($B6714=S$1, ($A6714+$C6714) - MAX(IF($B$2:$B6713=$B6714, $A$2:$A6713+$C$2:$C6713)), "")*24*60, "")</f>
        <v/>
      </c>
    </row>
    <row r="6715" spans="1:19" x14ac:dyDescent="0.2">
      <c r="A6715" s="12">
        <f t="shared" ref="A6715:C6715" si="1606">A6714</f>
        <v>45990</v>
      </c>
      <c r="B6715" s="5" t="str">
        <f t="shared" si="1606"/>
        <v>Northern Cardinal</v>
      </c>
      <c r="C6715" s="6">
        <f t="shared" si="1606"/>
        <v>0.28333333333333333</v>
      </c>
      <c r="D6715" s="5"/>
      <c r="E6715" s="5"/>
      <c r="F6715" s="5" t="s">
        <v>8</v>
      </c>
      <c r="G6715" s="15" t="s">
        <v>9</v>
      </c>
      <c r="H6715" s="24">
        <f t="shared" si="1572"/>
        <v>0</v>
      </c>
      <c r="I6715" s="24" cm="1">
        <f t="array" ref="I6715">IFERROR(IF($B6715=I$1, ($A6715+$C6715) - MAX(IF($B$2:$B6714=$B6715, $A$2:$A6714+$C$2:$C6714)), "")*24*60, "")</f>
        <v>0</v>
      </c>
      <c r="J6715" s="24" t="str" cm="1">
        <f t="array" ref="J6715">IFERROR(IF($B6715=J$1, ($A6715+$C6715) - MAX(IF($B$2:$B6714=$B6715, $A$2:$A6714+$C$2:$C6714)), "")*24*60, "")</f>
        <v/>
      </c>
      <c r="K6715" s="24" t="str" cm="1">
        <f t="array" ref="K6715">IFERROR(IF($B6715=K$1, ($A6715+$C6715) - MAX(IF($B$2:$B6714=$B6715, $A$2:$A6714+$C$2:$C6714)), "")*24*60, "")</f>
        <v/>
      </c>
      <c r="L6715" s="24" t="str" cm="1">
        <f t="array" ref="L6715">IFERROR(IF($B6715=L$1, ($A6715+$C6715) - MAX(IF($B$2:$B6714=$B6715, $A$2:$A6714+$C$2:$C6714)), "")*24*60, "")</f>
        <v/>
      </c>
      <c r="M6715" s="24" t="str" cm="1">
        <f t="array" ref="M6715">IFERROR(IF($B6715=M$1, ($A6715+$C6715) - MAX(IF($B$2:$B6714=$B6715, $A$2:$A6714+$C$2:$C6714)), "")*24*60, "")</f>
        <v/>
      </c>
      <c r="N6715" s="24" t="str" cm="1">
        <f t="array" ref="N6715">IFERROR(IF($B6715=N$1, ($A6715+$C6715) - MAX(IF($B$2:$B6714=$B6715, $A$2:$A6714+$C$2:$C6714)), "")*24*60, "")</f>
        <v/>
      </c>
      <c r="O6715" s="24" t="str" cm="1">
        <f t="array" ref="O6715">IFERROR(IF($B6715=O$1, ($A6715+$C6715) - MAX(IF($B$2:$B6714=$B6715, $A$2:$A6714+$C$2:$C6714)), "")*24*60, "")</f>
        <v/>
      </c>
      <c r="P6715" s="24" t="str" cm="1">
        <f t="array" ref="P6715">IFERROR(IF($B6715=P$1, ($A6715+$C6715) - MAX(IF($B$2:$B6714=$B6715, $A$2:$A6714+$C$2:$C6714)), "")*24*60, "")</f>
        <v/>
      </c>
      <c r="Q6715" s="24" t="str" cm="1">
        <f t="array" ref="Q6715">IFERROR(IF($B6715=Q$1, ($A6715+$C6715) - MAX(IF($B$2:$B6714=$B6715, $A$2:$A6714+$C$2:$C6714)), "")*24*60, "")</f>
        <v/>
      </c>
      <c r="R6715" s="24" t="str" cm="1">
        <f t="array" ref="R6715">IFERROR(IF($B6715=R$1, ($A6715+$C6715) - MAX(IF($B$2:$B6714=$B6715, $A$2:$A6714+$C$2:$C6714)), "")*24*60, "")</f>
        <v/>
      </c>
      <c r="S6715" s="24" t="str" cm="1">
        <f t="array" ref="S6715">IFERROR(IF($B6715=S$1, ($A6715+$C6715) - MAX(IF($B$2:$B6714=$B6715, $A$2:$A6714+$C$2:$C6714)), "")*24*60, "")</f>
        <v/>
      </c>
    </row>
    <row r="6716" spans="1:19" x14ac:dyDescent="0.2">
      <c r="A6716" s="12">
        <f t="shared" ref="A6716:C6716" si="1607">A6715</f>
        <v>45990</v>
      </c>
      <c r="B6716" s="5" t="str">
        <f t="shared" si="1607"/>
        <v>Northern Cardinal</v>
      </c>
      <c r="C6716" s="6">
        <f t="shared" si="1607"/>
        <v>0.28333333333333333</v>
      </c>
      <c r="D6716" s="5"/>
      <c r="E6716" s="5"/>
      <c r="F6716" s="5" t="s">
        <v>8</v>
      </c>
      <c r="G6716" s="15" t="s">
        <v>9</v>
      </c>
      <c r="H6716" s="24">
        <f t="shared" si="1572"/>
        <v>0</v>
      </c>
      <c r="I6716" s="24" cm="1">
        <f t="array" ref="I6716">IFERROR(IF($B6716=I$1, ($A6716+$C6716) - MAX(IF($B$2:$B6715=$B6716, $A$2:$A6715+$C$2:$C6715)), "")*24*60, "")</f>
        <v>0</v>
      </c>
      <c r="J6716" s="24" t="str" cm="1">
        <f t="array" ref="J6716">IFERROR(IF($B6716=J$1, ($A6716+$C6716) - MAX(IF($B$2:$B6715=$B6716, $A$2:$A6715+$C$2:$C6715)), "")*24*60, "")</f>
        <v/>
      </c>
      <c r="K6716" s="24" t="str" cm="1">
        <f t="array" ref="K6716">IFERROR(IF($B6716=K$1, ($A6716+$C6716) - MAX(IF($B$2:$B6715=$B6716, $A$2:$A6715+$C$2:$C6715)), "")*24*60, "")</f>
        <v/>
      </c>
      <c r="L6716" s="24" t="str" cm="1">
        <f t="array" ref="L6716">IFERROR(IF($B6716=L$1, ($A6716+$C6716) - MAX(IF($B$2:$B6715=$B6716, $A$2:$A6715+$C$2:$C6715)), "")*24*60, "")</f>
        <v/>
      </c>
      <c r="M6716" s="24" t="str" cm="1">
        <f t="array" ref="M6716">IFERROR(IF($B6716=M$1, ($A6716+$C6716) - MAX(IF($B$2:$B6715=$B6716, $A$2:$A6715+$C$2:$C6715)), "")*24*60, "")</f>
        <v/>
      </c>
      <c r="N6716" s="24" t="str" cm="1">
        <f t="array" ref="N6716">IFERROR(IF($B6716=N$1, ($A6716+$C6716) - MAX(IF($B$2:$B6715=$B6716, $A$2:$A6715+$C$2:$C6715)), "")*24*60, "")</f>
        <v/>
      </c>
      <c r="O6716" s="24" t="str" cm="1">
        <f t="array" ref="O6716">IFERROR(IF($B6716=O$1, ($A6716+$C6716) - MAX(IF($B$2:$B6715=$B6716, $A$2:$A6715+$C$2:$C6715)), "")*24*60, "")</f>
        <v/>
      </c>
      <c r="P6716" s="24" t="str" cm="1">
        <f t="array" ref="P6716">IFERROR(IF($B6716=P$1, ($A6716+$C6716) - MAX(IF($B$2:$B6715=$B6716, $A$2:$A6715+$C$2:$C6715)), "")*24*60, "")</f>
        <v/>
      </c>
      <c r="Q6716" s="24" t="str" cm="1">
        <f t="array" ref="Q6716">IFERROR(IF($B6716=Q$1, ($A6716+$C6716) - MAX(IF($B$2:$B6715=$B6716, $A$2:$A6715+$C$2:$C6715)), "")*24*60, "")</f>
        <v/>
      </c>
      <c r="R6716" s="24" t="str" cm="1">
        <f t="array" ref="R6716">IFERROR(IF($B6716=R$1, ($A6716+$C6716) - MAX(IF($B$2:$B6715=$B6716, $A$2:$A6715+$C$2:$C6715)), "")*24*60, "")</f>
        <v/>
      </c>
      <c r="S6716" s="24" t="str" cm="1">
        <f t="array" ref="S6716">IFERROR(IF($B6716=S$1, ($A6716+$C6716) - MAX(IF($B$2:$B6715=$B6716, $A$2:$A6715+$C$2:$C6715)), "")*24*60, "")</f>
        <v/>
      </c>
    </row>
    <row r="6717" spans="1:19" x14ac:dyDescent="0.2">
      <c r="A6717" s="12">
        <f t="shared" ref="A6717:C6717" si="1608">A6716</f>
        <v>45990</v>
      </c>
      <c r="B6717" s="5" t="str">
        <f t="shared" si="1608"/>
        <v>Northern Cardinal</v>
      </c>
      <c r="C6717" s="6">
        <f t="shared" si="1608"/>
        <v>0.28333333333333333</v>
      </c>
      <c r="D6717" s="5"/>
      <c r="E6717" s="5"/>
      <c r="F6717" s="5" t="s">
        <v>8</v>
      </c>
      <c r="G6717" s="15" t="s">
        <v>9</v>
      </c>
      <c r="H6717" s="24">
        <f t="shared" si="1572"/>
        <v>0</v>
      </c>
      <c r="I6717" s="24" cm="1">
        <f t="array" ref="I6717">IFERROR(IF($B6717=I$1, ($A6717+$C6717) - MAX(IF($B$2:$B6716=$B6717, $A$2:$A6716+$C$2:$C6716)), "")*24*60, "")</f>
        <v>0</v>
      </c>
      <c r="J6717" s="24" t="str" cm="1">
        <f t="array" ref="J6717">IFERROR(IF($B6717=J$1, ($A6717+$C6717) - MAX(IF($B$2:$B6716=$B6717, $A$2:$A6716+$C$2:$C6716)), "")*24*60, "")</f>
        <v/>
      </c>
      <c r="K6717" s="24" t="str" cm="1">
        <f t="array" ref="K6717">IFERROR(IF($B6717=K$1, ($A6717+$C6717) - MAX(IF($B$2:$B6716=$B6717, $A$2:$A6716+$C$2:$C6716)), "")*24*60, "")</f>
        <v/>
      </c>
      <c r="L6717" s="24" t="str" cm="1">
        <f t="array" ref="L6717">IFERROR(IF($B6717=L$1, ($A6717+$C6717) - MAX(IF($B$2:$B6716=$B6717, $A$2:$A6716+$C$2:$C6716)), "")*24*60, "")</f>
        <v/>
      </c>
      <c r="M6717" s="24" t="str" cm="1">
        <f t="array" ref="M6717">IFERROR(IF($B6717=M$1, ($A6717+$C6717) - MAX(IF($B$2:$B6716=$B6717, $A$2:$A6716+$C$2:$C6716)), "")*24*60, "")</f>
        <v/>
      </c>
      <c r="N6717" s="24" t="str" cm="1">
        <f t="array" ref="N6717">IFERROR(IF($B6717=N$1, ($A6717+$C6717) - MAX(IF($B$2:$B6716=$B6717, $A$2:$A6716+$C$2:$C6716)), "")*24*60, "")</f>
        <v/>
      </c>
      <c r="O6717" s="24" t="str" cm="1">
        <f t="array" ref="O6717">IFERROR(IF($B6717=O$1, ($A6717+$C6717) - MAX(IF($B$2:$B6716=$B6717, $A$2:$A6716+$C$2:$C6716)), "")*24*60, "")</f>
        <v/>
      </c>
      <c r="P6717" s="24" t="str" cm="1">
        <f t="array" ref="P6717">IFERROR(IF($B6717=P$1, ($A6717+$C6717) - MAX(IF($B$2:$B6716=$B6717, $A$2:$A6716+$C$2:$C6716)), "")*24*60, "")</f>
        <v/>
      </c>
      <c r="Q6717" s="24" t="str" cm="1">
        <f t="array" ref="Q6717">IFERROR(IF($B6717=Q$1, ($A6717+$C6717) - MAX(IF($B$2:$B6716=$B6717, $A$2:$A6716+$C$2:$C6716)), "")*24*60, "")</f>
        <v/>
      </c>
      <c r="R6717" s="24" t="str" cm="1">
        <f t="array" ref="R6717">IFERROR(IF($B6717=R$1, ($A6717+$C6717) - MAX(IF($B$2:$B6716=$B6717, $A$2:$A6716+$C$2:$C6716)), "")*24*60, "")</f>
        <v/>
      </c>
      <c r="S6717" s="24" t="str" cm="1">
        <f t="array" ref="S6717">IFERROR(IF($B6717=S$1, ($A6717+$C6717) - MAX(IF($B$2:$B6716=$B6717, $A$2:$A6716+$C$2:$C6716)), "")*24*60, "")</f>
        <v/>
      </c>
    </row>
    <row r="6718" spans="1:19" x14ac:dyDescent="0.2">
      <c r="A6718" s="12">
        <f t="shared" ref="A6718:C6718" si="1609">A6717</f>
        <v>45990</v>
      </c>
      <c r="B6718" s="5" t="str">
        <f t="shared" si="1609"/>
        <v>Northern Cardinal</v>
      </c>
      <c r="C6718" s="6">
        <f t="shared" si="1609"/>
        <v>0.28333333333333333</v>
      </c>
      <c r="D6718" s="5"/>
      <c r="E6718" s="5"/>
      <c r="F6718" s="5" t="s">
        <v>8</v>
      </c>
      <c r="G6718" s="15" t="s">
        <v>9</v>
      </c>
      <c r="H6718" s="24">
        <f t="shared" si="1572"/>
        <v>0</v>
      </c>
      <c r="I6718" s="24" cm="1">
        <f t="array" ref="I6718">IFERROR(IF($B6718=I$1, ($A6718+$C6718) - MAX(IF($B$2:$B6717=$B6718, $A$2:$A6717+$C$2:$C6717)), "")*24*60, "")</f>
        <v>0</v>
      </c>
      <c r="J6718" s="24" t="str" cm="1">
        <f t="array" ref="J6718">IFERROR(IF($B6718=J$1, ($A6718+$C6718) - MAX(IF($B$2:$B6717=$B6718, $A$2:$A6717+$C$2:$C6717)), "")*24*60, "")</f>
        <v/>
      </c>
      <c r="K6718" s="24" t="str" cm="1">
        <f t="array" ref="K6718">IFERROR(IF($B6718=K$1, ($A6718+$C6718) - MAX(IF($B$2:$B6717=$B6718, $A$2:$A6717+$C$2:$C6717)), "")*24*60, "")</f>
        <v/>
      </c>
      <c r="L6718" s="24" t="str" cm="1">
        <f t="array" ref="L6718">IFERROR(IF($B6718=L$1, ($A6718+$C6718) - MAX(IF($B$2:$B6717=$B6718, $A$2:$A6717+$C$2:$C6717)), "")*24*60, "")</f>
        <v/>
      </c>
      <c r="M6718" s="24" t="str" cm="1">
        <f t="array" ref="M6718">IFERROR(IF($B6718=M$1, ($A6718+$C6718) - MAX(IF($B$2:$B6717=$B6718, $A$2:$A6717+$C$2:$C6717)), "")*24*60, "")</f>
        <v/>
      </c>
      <c r="N6718" s="24" t="str" cm="1">
        <f t="array" ref="N6718">IFERROR(IF($B6718=N$1, ($A6718+$C6718) - MAX(IF($B$2:$B6717=$B6718, $A$2:$A6717+$C$2:$C6717)), "")*24*60, "")</f>
        <v/>
      </c>
      <c r="O6718" s="24" t="str" cm="1">
        <f t="array" ref="O6718">IFERROR(IF($B6718=O$1, ($A6718+$C6718) - MAX(IF($B$2:$B6717=$B6718, $A$2:$A6717+$C$2:$C6717)), "")*24*60, "")</f>
        <v/>
      </c>
      <c r="P6718" s="24" t="str" cm="1">
        <f t="array" ref="P6718">IFERROR(IF($B6718=P$1, ($A6718+$C6718) - MAX(IF($B$2:$B6717=$B6718, $A$2:$A6717+$C$2:$C6717)), "")*24*60, "")</f>
        <v/>
      </c>
      <c r="Q6718" s="24" t="str" cm="1">
        <f t="array" ref="Q6718">IFERROR(IF($B6718=Q$1, ($A6718+$C6718) - MAX(IF($B$2:$B6717=$B6718, $A$2:$A6717+$C$2:$C6717)), "")*24*60, "")</f>
        <v/>
      </c>
      <c r="R6718" s="24" t="str" cm="1">
        <f t="array" ref="R6718">IFERROR(IF($B6718=R$1, ($A6718+$C6718) - MAX(IF($B$2:$B6717=$B6718, $A$2:$A6717+$C$2:$C6717)), "")*24*60, "")</f>
        <v/>
      </c>
      <c r="S6718" s="24" t="str" cm="1">
        <f t="array" ref="S6718">IFERROR(IF($B6718=S$1, ($A6718+$C6718) - MAX(IF($B$2:$B6717=$B6718, $A$2:$A6717+$C$2:$C6717)), "")*24*60, "")</f>
        <v/>
      </c>
    </row>
    <row r="6719" spans="1:19" x14ac:dyDescent="0.2">
      <c r="A6719" s="12">
        <f t="shared" ref="A6719:C6719" si="1610">A6718</f>
        <v>45990</v>
      </c>
      <c r="B6719" s="5" t="str">
        <f t="shared" si="1610"/>
        <v>Northern Cardinal</v>
      </c>
      <c r="C6719" s="6">
        <f t="shared" si="1610"/>
        <v>0.28333333333333333</v>
      </c>
      <c r="D6719" s="5"/>
      <c r="E6719" s="5"/>
      <c r="F6719" s="5" t="s">
        <v>8</v>
      </c>
      <c r="G6719" s="15" t="s">
        <v>9</v>
      </c>
      <c r="H6719" s="24">
        <f t="shared" si="1572"/>
        <v>0</v>
      </c>
      <c r="I6719" s="24" cm="1">
        <f t="array" ref="I6719">IFERROR(IF($B6719=I$1, ($A6719+$C6719) - MAX(IF($B$2:$B6718=$B6719, $A$2:$A6718+$C$2:$C6718)), "")*24*60, "")</f>
        <v>0</v>
      </c>
      <c r="J6719" s="24" t="str" cm="1">
        <f t="array" ref="J6719">IFERROR(IF($B6719=J$1, ($A6719+$C6719) - MAX(IF($B$2:$B6718=$B6719, $A$2:$A6718+$C$2:$C6718)), "")*24*60, "")</f>
        <v/>
      </c>
      <c r="K6719" s="24" t="str" cm="1">
        <f t="array" ref="K6719">IFERROR(IF($B6719=K$1, ($A6719+$C6719) - MAX(IF($B$2:$B6718=$B6719, $A$2:$A6718+$C$2:$C6718)), "")*24*60, "")</f>
        <v/>
      </c>
      <c r="L6719" s="24" t="str" cm="1">
        <f t="array" ref="L6719">IFERROR(IF($B6719=L$1, ($A6719+$C6719) - MAX(IF($B$2:$B6718=$B6719, $A$2:$A6718+$C$2:$C6718)), "")*24*60, "")</f>
        <v/>
      </c>
      <c r="M6719" s="24" t="str" cm="1">
        <f t="array" ref="M6719">IFERROR(IF($B6719=M$1, ($A6719+$C6719) - MAX(IF($B$2:$B6718=$B6719, $A$2:$A6718+$C$2:$C6718)), "")*24*60, "")</f>
        <v/>
      </c>
      <c r="N6719" s="24" t="str" cm="1">
        <f t="array" ref="N6719">IFERROR(IF($B6719=N$1, ($A6719+$C6719) - MAX(IF($B$2:$B6718=$B6719, $A$2:$A6718+$C$2:$C6718)), "")*24*60, "")</f>
        <v/>
      </c>
      <c r="O6719" s="24" t="str" cm="1">
        <f t="array" ref="O6719">IFERROR(IF($B6719=O$1, ($A6719+$C6719) - MAX(IF($B$2:$B6718=$B6719, $A$2:$A6718+$C$2:$C6718)), "")*24*60, "")</f>
        <v/>
      </c>
      <c r="P6719" s="24" t="str" cm="1">
        <f t="array" ref="P6719">IFERROR(IF($B6719=P$1, ($A6719+$C6719) - MAX(IF($B$2:$B6718=$B6719, $A$2:$A6718+$C$2:$C6718)), "")*24*60, "")</f>
        <v/>
      </c>
      <c r="Q6719" s="24" t="str" cm="1">
        <f t="array" ref="Q6719">IFERROR(IF($B6719=Q$1, ($A6719+$C6719) - MAX(IF($B$2:$B6718=$B6719, $A$2:$A6718+$C$2:$C6718)), "")*24*60, "")</f>
        <v/>
      </c>
      <c r="R6719" s="24" t="str" cm="1">
        <f t="array" ref="R6719">IFERROR(IF($B6719=R$1, ($A6719+$C6719) - MAX(IF($B$2:$B6718=$B6719, $A$2:$A6718+$C$2:$C6718)), "")*24*60, "")</f>
        <v/>
      </c>
      <c r="S6719" s="24" t="str" cm="1">
        <f t="array" ref="S6719">IFERROR(IF($B6719=S$1, ($A6719+$C6719) - MAX(IF($B$2:$B6718=$B6719, $A$2:$A6718+$C$2:$C6718)), "")*24*60, "")</f>
        <v/>
      </c>
    </row>
    <row r="6720" spans="1:19" x14ac:dyDescent="0.2">
      <c r="A6720" s="12">
        <f t="shared" ref="A6720:C6720" si="1611">A6719</f>
        <v>45990</v>
      </c>
      <c r="B6720" s="5" t="str">
        <f t="shared" si="1611"/>
        <v>Northern Cardinal</v>
      </c>
      <c r="C6720" s="6">
        <f t="shared" si="1611"/>
        <v>0.28333333333333333</v>
      </c>
      <c r="D6720" s="5"/>
      <c r="E6720" s="5"/>
      <c r="F6720" s="5" t="s">
        <v>8</v>
      </c>
      <c r="G6720" s="15" t="s">
        <v>9</v>
      </c>
      <c r="H6720" s="24">
        <f t="shared" si="1572"/>
        <v>0</v>
      </c>
      <c r="I6720" s="24" cm="1">
        <f t="array" ref="I6720">IFERROR(IF($B6720=I$1, ($A6720+$C6720) - MAX(IF($B$2:$B6719=$B6720, $A$2:$A6719+$C$2:$C6719)), "")*24*60, "")</f>
        <v>0</v>
      </c>
      <c r="J6720" s="24" t="str" cm="1">
        <f t="array" ref="J6720">IFERROR(IF($B6720=J$1, ($A6720+$C6720) - MAX(IF($B$2:$B6719=$B6720, $A$2:$A6719+$C$2:$C6719)), "")*24*60, "")</f>
        <v/>
      </c>
      <c r="K6720" s="24" t="str" cm="1">
        <f t="array" ref="K6720">IFERROR(IF($B6720=K$1, ($A6720+$C6720) - MAX(IF($B$2:$B6719=$B6720, $A$2:$A6719+$C$2:$C6719)), "")*24*60, "")</f>
        <v/>
      </c>
      <c r="L6720" s="24" t="str" cm="1">
        <f t="array" ref="L6720">IFERROR(IF($B6720=L$1, ($A6720+$C6720) - MAX(IF($B$2:$B6719=$B6720, $A$2:$A6719+$C$2:$C6719)), "")*24*60, "")</f>
        <v/>
      </c>
      <c r="M6720" s="24" t="str" cm="1">
        <f t="array" ref="M6720">IFERROR(IF($B6720=M$1, ($A6720+$C6720) - MAX(IF($B$2:$B6719=$B6720, $A$2:$A6719+$C$2:$C6719)), "")*24*60, "")</f>
        <v/>
      </c>
      <c r="N6720" s="24" t="str" cm="1">
        <f t="array" ref="N6720">IFERROR(IF($B6720=N$1, ($A6720+$C6720) - MAX(IF($B$2:$B6719=$B6720, $A$2:$A6719+$C$2:$C6719)), "")*24*60, "")</f>
        <v/>
      </c>
      <c r="O6720" s="24" t="str" cm="1">
        <f t="array" ref="O6720">IFERROR(IF($B6720=O$1, ($A6720+$C6720) - MAX(IF($B$2:$B6719=$B6720, $A$2:$A6719+$C$2:$C6719)), "")*24*60, "")</f>
        <v/>
      </c>
      <c r="P6720" s="24" t="str" cm="1">
        <f t="array" ref="P6720">IFERROR(IF($B6720=P$1, ($A6720+$C6720) - MAX(IF($B$2:$B6719=$B6720, $A$2:$A6719+$C$2:$C6719)), "")*24*60, "")</f>
        <v/>
      </c>
      <c r="Q6720" s="24" t="str" cm="1">
        <f t="array" ref="Q6720">IFERROR(IF($B6720=Q$1, ($A6720+$C6720) - MAX(IF($B$2:$B6719=$B6720, $A$2:$A6719+$C$2:$C6719)), "")*24*60, "")</f>
        <v/>
      </c>
      <c r="R6720" s="24" t="str" cm="1">
        <f t="array" ref="R6720">IFERROR(IF($B6720=R$1, ($A6720+$C6720) - MAX(IF($B$2:$B6719=$B6720, $A$2:$A6719+$C$2:$C6719)), "")*24*60, "")</f>
        <v/>
      </c>
      <c r="S6720" s="24" t="str" cm="1">
        <f t="array" ref="S6720">IFERROR(IF($B6720=S$1, ($A6720+$C6720) - MAX(IF($B$2:$B6719=$B6720, $A$2:$A6719+$C$2:$C6719)), "")*24*60, "")</f>
        <v/>
      </c>
    </row>
    <row r="6721" spans="1:19" x14ac:dyDescent="0.2">
      <c r="A6721" s="12">
        <f t="shared" ref="A6721:C6721" si="1612">A6720</f>
        <v>45990</v>
      </c>
      <c r="B6721" s="5" t="str">
        <f t="shared" si="1612"/>
        <v>Northern Cardinal</v>
      </c>
      <c r="C6721" s="6">
        <f t="shared" si="1612"/>
        <v>0.28333333333333333</v>
      </c>
      <c r="D6721" s="5"/>
      <c r="E6721" s="5"/>
      <c r="F6721" s="5" t="s">
        <v>8</v>
      </c>
      <c r="G6721" s="15" t="s">
        <v>9</v>
      </c>
      <c r="H6721" s="24">
        <f t="shared" si="1572"/>
        <v>0</v>
      </c>
      <c r="I6721" s="24" cm="1">
        <f t="array" ref="I6721">IFERROR(IF($B6721=I$1, ($A6721+$C6721) - MAX(IF($B$2:$B6720=$B6721, $A$2:$A6720+$C$2:$C6720)), "")*24*60, "")</f>
        <v>0</v>
      </c>
      <c r="J6721" s="24" t="str" cm="1">
        <f t="array" ref="J6721">IFERROR(IF($B6721=J$1, ($A6721+$C6721) - MAX(IF($B$2:$B6720=$B6721, $A$2:$A6720+$C$2:$C6720)), "")*24*60, "")</f>
        <v/>
      </c>
      <c r="K6721" s="24" t="str" cm="1">
        <f t="array" ref="K6721">IFERROR(IF($B6721=K$1, ($A6721+$C6721) - MAX(IF($B$2:$B6720=$B6721, $A$2:$A6720+$C$2:$C6720)), "")*24*60, "")</f>
        <v/>
      </c>
      <c r="L6721" s="24" t="str" cm="1">
        <f t="array" ref="L6721">IFERROR(IF($B6721=L$1, ($A6721+$C6721) - MAX(IF($B$2:$B6720=$B6721, $A$2:$A6720+$C$2:$C6720)), "")*24*60, "")</f>
        <v/>
      </c>
      <c r="M6721" s="24" t="str" cm="1">
        <f t="array" ref="M6721">IFERROR(IF($B6721=M$1, ($A6721+$C6721) - MAX(IF($B$2:$B6720=$B6721, $A$2:$A6720+$C$2:$C6720)), "")*24*60, "")</f>
        <v/>
      </c>
      <c r="N6721" s="24" t="str" cm="1">
        <f t="array" ref="N6721">IFERROR(IF($B6721=N$1, ($A6721+$C6721) - MAX(IF($B$2:$B6720=$B6721, $A$2:$A6720+$C$2:$C6720)), "")*24*60, "")</f>
        <v/>
      </c>
      <c r="O6721" s="24" t="str" cm="1">
        <f t="array" ref="O6721">IFERROR(IF($B6721=O$1, ($A6721+$C6721) - MAX(IF($B$2:$B6720=$B6721, $A$2:$A6720+$C$2:$C6720)), "")*24*60, "")</f>
        <v/>
      </c>
      <c r="P6721" s="24" t="str" cm="1">
        <f t="array" ref="P6721">IFERROR(IF($B6721=P$1, ($A6721+$C6721) - MAX(IF($B$2:$B6720=$B6721, $A$2:$A6720+$C$2:$C6720)), "")*24*60, "")</f>
        <v/>
      </c>
      <c r="Q6721" s="24" t="str" cm="1">
        <f t="array" ref="Q6721">IFERROR(IF($B6721=Q$1, ($A6721+$C6721) - MAX(IF($B$2:$B6720=$B6721, $A$2:$A6720+$C$2:$C6720)), "")*24*60, "")</f>
        <v/>
      </c>
      <c r="R6721" s="24" t="str" cm="1">
        <f t="array" ref="R6721">IFERROR(IF($B6721=R$1, ($A6721+$C6721) - MAX(IF($B$2:$B6720=$B6721, $A$2:$A6720+$C$2:$C6720)), "")*24*60, "")</f>
        <v/>
      </c>
      <c r="S6721" s="24" t="str" cm="1">
        <f t="array" ref="S6721">IFERROR(IF($B6721=S$1, ($A6721+$C6721) - MAX(IF($B$2:$B6720=$B6721, $A$2:$A6720+$C$2:$C6720)), "")*24*60, "")</f>
        <v/>
      </c>
    </row>
    <row r="6722" spans="1:19" x14ac:dyDescent="0.2">
      <c r="A6722" s="12">
        <f t="shared" ref="A6722:C6722" si="1613">A6721</f>
        <v>45990</v>
      </c>
      <c r="B6722" s="5" t="str">
        <f t="shared" si="1613"/>
        <v>Northern Cardinal</v>
      </c>
      <c r="C6722" s="6">
        <f t="shared" si="1613"/>
        <v>0.28333333333333333</v>
      </c>
      <c r="D6722" s="5"/>
      <c r="E6722" s="5"/>
      <c r="F6722" s="5" t="s">
        <v>8</v>
      </c>
      <c r="G6722" s="15" t="s">
        <v>9</v>
      </c>
      <c r="H6722" s="24">
        <f t="shared" si="1572"/>
        <v>0</v>
      </c>
      <c r="I6722" s="24" cm="1">
        <f t="array" ref="I6722">IFERROR(IF($B6722=I$1, ($A6722+$C6722) - MAX(IF($B$2:$B6721=$B6722, $A$2:$A6721+$C$2:$C6721)), "")*24*60, "")</f>
        <v>0</v>
      </c>
      <c r="J6722" s="24" t="str" cm="1">
        <f t="array" ref="J6722">IFERROR(IF($B6722=J$1, ($A6722+$C6722) - MAX(IF($B$2:$B6721=$B6722, $A$2:$A6721+$C$2:$C6721)), "")*24*60, "")</f>
        <v/>
      </c>
      <c r="K6722" s="24" t="str" cm="1">
        <f t="array" ref="K6722">IFERROR(IF($B6722=K$1, ($A6722+$C6722) - MAX(IF($B$2:$B6721=$B6722, $A$2:$A6721+$C$2:$C6721)), "")*24*60, "")</f>
        <v/>
      </c>
      <c r="L6722" s="24" t="str" cm="1">
        <f t="array" ref="L6722">IFERROR(IF($B6722=L$1, ($A6722+$C6722) - MAX(IF($B$2:$B6721=$B6722, $A$2:$A6721+$C$2:$C6721)), "")*24*60, "")</f>
        <v/>
      </c>
      <c r="M6722" s="24" t="str" cm="1">
        <f t="array" ref="M6722">IFERROR(IF($B6722=M$1, ($A6722+$C6722) - MAX(IF($B$2:$B6721=$B6722, $A$2:$A6721+$C$2:$C6721)), "")*24*60, "")</f>
        <v/>
      </c>
      <c r="N6722" s="24" t="str" cm="1">
        <f t="array" ref="N6722">IFERROR(IF($B6722=N$1, ($A6722+$C6722) - MAX(IF($B$2:$B6721=$B6722, $A$2:$A6721+$C$2:$C6721)), "")*24*60, "")</f>
        <v/>
      </c>
      <c r="O6722" s="24" t="str" cm="1">
        <f t="array" ref="O6722">IFERROR(IF($B6722=O$1, ($A6722+$C6722) - MAX(IF($B$2:$B6721=$B6722, $A$2:$A6721+$C$2:$C6721)), "")*24*60, "")</f>
        <v/>
      </c>
      <c r="P6722" s="24" t="str" cm="1">
        <f t="array" ref="P6722">IFERROR(IF($B6722=P$1, ($A6722+$C6722) - MAX(IF($B$2:$B6721=$B6722, $A$2:$A6721+$C$2:$C6721)), "")*24*60, "")</f>
        <v/>
      </c>
      <c r="Q6722" s="24" t="str" cm="1">
        <f t="array" ref="Q6722">IFERROR(IF($B6722=Q$1, ($A6722+$C6722) - MAX(IF($B$2:$B6721=$B6722, $A$2:$A6721+$C$2:$C6721)), "")*24*60, "")</f>
        <v/>
      </c>
      <c r="R6722" s="24" t="str" cm="1">
        <f t="array" ref="R6722">IFERROR(IF($B6722=R$1, ($A6722+$C6722) - MAX(IF($B$2:$B6721=$B6722, $A$2:$A6721+$C$2:$C6721)), "")*24*60, "")</f>
        <v/>
      </c>
      <c r="S6722" s="24" t="str" cm="1">
        <f t="array" ref="S6722">IFERROR(IF($B6722=S$1, ($A6722+$C6722) - MAX(IF($B$2:$B6721=$B6722, $A$2:$A6721+$C$2:$C6721)), "")*24*60, "")</f>
        <v/>
      </c>
    </row>
    <row r="6723" spans="1:19" x14ac:dyDescent="0.2">
      <c r="A6723" s="12">
        <f t="shared" ref="A6723:C6723" si="1614">A6722</f>
        <v>45990</v>
      </c>
      <c r="B6723" s="5" t="str">
        <f t="shared" si="1614"/>
        <v>Northern Cardinal</v>
      </c>
      <c r="C6723" s="6">
        <f t="shared" si="1614"/>
        <v>0.28333333333333333</v>
      </c>
      <c r="D6723" s="5"/>
      <c r="E6723" s="5"/>
      <c r="F6723" s="5" t="s">
        <v>8</v>
      </c>
      <c r="G6723" s="15" t="s">
        <v>9</v>
      </c>
      <c r="H6723" s="24">
        <f t="shared" si="1572"/>
        <v>0</v>
      </c>
      <c r="I6723" s="24" cm="1">
        <f t="array" ref="I6723">IFERROR(IF($B6723=I$1, ($A6723+$C6723) - MAX(IF($B$2:$B6722=$B6723, $A$2:$A6722+$C$2:$C6722)), "")*24*60, "")</f>
        <v>0</v>
      </c>
      <c r="J6723" s="24" t="str" cm="1">
        <f t="array" ref="J6723">IFERROR(IF($B6723=J$1, ($A6723+$C6723) - MAX(IF($B$2:$B6722=$B6723, $A$2:$A6722+$C$2:$C6722)), "")*24*60, "")</f>
        <v/>
      </c>
      <c r="K6723" s="24" t="str" cm="1">
        <f t="array" ref="K6723">IFERROR(IF($B6723=K$1, ($A6723+$C6723) - MAX(IF($B$2:$B6722=$B6723, $A$2:$A6722+$C$2:$C6722)), "")*24*60, "")</f>
        <v/>
      </c>
      <c r="L6723" s="24" t="str" cm="1">
        <f t="array" ref="L6723">IFERROR(IF($B6723=L$1, ($A6723+$C6723) - MAX(IF($B$2:$B6722=$B6723, $A$2:$A6722+$C$2:$C6722)), "")*24*60, "")</f>
        <v/>
      </c>
      <c r="M6723" s="24" t="str" cm="1">
        <f t="array" ref="M6723">IFERROR(IF($B6723=M$1, ($A6723+$C6723) - MAX(IF($B$2:$B6722=$B6723, $A$2:$A6722+$C$2:$C6722)), "")*24*60, "")</f>
        <v/>
      </c>
      <c r="N6723" s="24" t="str" cm="1">
        <f t="array" ref="N6723">IFERROR(IF($B6723=N$1, ($A6723+$C6723) - MAX(IF($B$2:$B6722=$B6723, $A$2:$A6722+$C$2:$C6722)), "")*24*60, "")</f>
        <v/>
      </c>
      <c r="O6723" s="24" t="str" cm="1">
        <f t="array" ref="O6723">IFERROR(IF($B6723=O$1, ($A6723+$C6723) - MAX(IF($B$2:$B6722=$B6723, $A$2:$A6722+$C$2:$C6722)), "")*24*60, "")</f>
        <v/>
      </c>
      <c r="P6723" s="24" t="str" cm="1">
        <f t="array" ref="P6723">IFERROR(IF($B6723=P$1, ($A6723+$C6723) - MAX(IF($B$2:$B6722=$B6723, $A$2:$A6722+$C$2:$C6722)), "")*24*60, "")</f>
        <v/>
      </c>
      <c r="Q6723" s="24" t="str" cm="1">
        <f t="array" ref="Q6723">IFERROR(IF($B6723=Q$1, ($A6723+$C6723) - MAX(IF($B$2:$B6722=$B6723, $A$2:$A6722+$C$2:$C6722)), "")*24*60, "")</f>
        <v/>
      </c>
      <c r="R6723" s="24" t="str" cm="1">
        <f t="array" ref="R6723">IFERROR(IF($B6723=R$1, ($A6723+$C6723) - MAX(IF($B$2:$B6722=$B6723, $A$2:$A6722+$C$2:$C6722)), "")*24*60, "")</f>
        <v/>
      </c>
      <c r="S6723" s="24" t="str" cm="1">
        <f t="array" ref="S6723">IFERROR(IF($B6723=S$1, ($A6723+$C6723) - MAX(IF($B$2:$B6722=$B6723, $A$2:$A6722+$C$2:$C6722)), "")*24*60, "")</f>
        <v/>
      </c>
    </row>
    <row r="6724" spans="1:19" x14ac:dyDescent="0.2">
      <c r="A6724" s="12">
        <f t="shared" ref="A6724:C6724" si="1615">A6723</f>
        <v>45990</v>
      </c>
      <c r="B6724" s="5" t="str">
        <f t="shared" si="1615"/>
        <v>Northern Cardinal</v>
      </c>
      <c r="C6724" s="6">
        <f t="shared" si="1615"/>
        <v>0.28333333333333333</v>
      </c>
      <c r="D6724" s="5"/>
      <c r="E6724" s="5"/>
      <c r="F6724" s="5" t="s">
        <v>8</v>
      </c>
      <c r="G6724" s="15" t="s">
        <v>9</v>
      </c>
      <c r="H6724" s="24">
        <f t="shared" si="1572"/>
        <v>0</v>
      </c>
      <c r="I6724" s="24" cm="1">
        <f t="array" ref="I6724">IFERROR(IF($B6724=I$1, ($A6724+$C6724) - MAX(IF($B$2:$B6723=$B6724, $A$2:$A6723+$C$2:$C6723)), "")*24*60, "")</f>
        <v>0</v>
      </c>
      <c r="J6724" s="24" t="str" cm="1">
        <f t="array" ref="J6724">IFERROR(IF($B6724=J$1, ($A6724+$C6724) - MAX(IF($B$2:$B6723=$B6724, $A$2:$A6723+$C$2:$C6723)), "")*24*60, "")</f>
        <v/>
      </c>
      <c r="K6724" s="24" t="str" cm="1">
        <f t="array" ref="K6724">IFERROR(IF($B6724=K$1, ($A6724+$C6724) - MAX(IF($B$2:$B6723=$B6724, $A$2:$A6723+$C$2:$C6723)), "")*24*60, "")</f>
        <v/>
      </c>
      <c r="L6724" s="24" t="str" cm="1">
        <f t="array" ref="L6724">IFERROR(IF($B6724=L$1, ($A6724+$C6724) - MAX(IF($B$2:$B6723=$B6724, $A$2:$A6723+$C$2:$C6723)), "")*24*60, "")</f>
        <v/>
      </c>
      <c r="M6724" s="24" t="str" cm="1">
        <f t="array" ref="M6724">IFERROR(IF($B6724=M$1, ($A6724+$C6724) - MAX(IF($B$2:$B6723=$B6724, $A$2:$A6723+$C$2:$C6723)), "")*24*60, "")</f>
        <v/>
      </c>
      <c r="N6724" s="24" t="str" cm="1">
        <f t="array" ref="N6724">IFERROR(IF($B6724=N$1, ($A6724+$C6724) - MAX(IF($B$2:$B6723=$B6724, $A$2:$A6723+$C$2:$C6723)), "")*24*60, "")</f>
        <v/>
      </c>
      <c r="O6724" s="24" t="str" cm="1">
        <f t="array" ref="O6724">IFERROR(IF($B6724=O$1, ($A6724+$C6724) - MAX(IF($B$2:$B6723=$B6724, $A$2:$A6723+$C$2:$C6723)), "")*24*60, "")</f>
        <v/>
      </c>
      <c r="P6724" s="24" t="str" cm="1">
        <f t="array" ref="P6724">IFERROR(IF($B6724=P$1, ($A6724+$C6724) - MAX(IF($B$2:$B6723=$B6724, $A$2:$A6723+$C$2:$C6723)), "")*24*60, "")</f>
        <v/>
      </c>
      <c r="Q6724" s="24" t="str" cm="1">
        <f t="array" ref="Q6724">IFERROR(IF($B6724=Q$1, ($A6724+$C6724) - MAX(IF($B$2:$B6723=$B6724, $A$2:$A6723+$C$2:$C6723)), "")*24*60, "")</f>
        <v/>
      </c>
      <c r="R6724" s="24" t="str" cm="1">
        <f t="array" ref="R6724">IFERROR(IF($B6724=R$1, ($A6724+$C6724) - MAX(IF($B$2:$B6723=$B6724, $A$2:$A6723+$C$2:$C6723)), "")*24*60, "")</f>
        <v/>
      </c>
      <c r="S6724" s="24" t="str" cm="1">
        <f t="array" ref="S6724">IFERROR(IF($B6724=S$1, ($A6724+$C6724) - MAX(IF($B$2:$B6723=$B6724, $A$2:$A6723+$C$2:$C6723)), "")*24*60, "")</f>
        <v/>
      </c>
    </row>
    <row r="6725" spans="1:19" x14ac:dyDescent="0.2">
      <c r="A6725" s="12">
        <f t="shared" ref="A6725:C6725" si="1616">A6724</f>
        <v>45990</v>
      </c>
      <c r="B6725" s="5" t="str">
        <f t="shared" si="1616"/>
        <v>Northern Cardinal</v>
      </c>
      <c r="C6725" s="6">
        <f t="shared" si="1616"/>
        <v>0.28333333333333333</v>
      </c>
      <c r="D6725" s="5"/>
      <c r="E6725" s="5"/>
      <c r="F6725" s="5" t="s">
        <v>8</v>
      </c>
      <c r="G6725" s="15" t="s">
        <v>9</v>
      </c>
      <c r="H6725" s="24">
        <f t="shared" si="1572"/>
        <v>0</v>
      </c>
      <c r="I6725" s="24" cm="1">
        <f t="array" ref="I6725">IFERROR(IF($B6725=I$1, ($A6725+$C6725) - MAX(IF($B$2:$B6724=$B6725, $A$2:$A6724+$C$2:$C6724)), "")*24*60, "")</f>
        <v>0</v>
      </c>
      <c r="J6725" s="24" t="str" cm="1">
        <f t="array" ref="J6725">IFERROR(IF($B6725=J$1, ($A6725+$C6725) - MAX(IF($B$2:$B6724=$B6725, $A$2:$A6724+$C$2:$C6724)), "")*24*60, "")</f>
        <v/>
      </c>
      <c r="K6725" s="24" t="str" cm="1">
        <f t="array" ref="K6725">IFERROR(IF($B6725=K$1, ($A6725+$C6725) - MAX(IF($B$2:$B6724=$B6725, $A$2:$A6724+$C$2:$C6724)), "")*24*60, "")</f>
        <v/>
      </c>
      <c r="L6725" s="24" t="str" cm="1">
        <f t="array" ref="L6725">IFERROR(IF($B6725=L$1, ($A6725+$C6725) - MAX(IF($B$2:$B6724=$B6725, $A$2:$A6724+$C$2:$C6724)), "")*24*60, "")</f>
        <v/>
      </c>
      <c r="M6725" s="24" t="str" cm="1">
        <f t="array" ref="M6725">IFERROR(IF($B6725=M$1, ($A6725+$C6725) - MAX(IF($B$2:$B6724=$B6725, $A$2:$A6724+$C$2:$C6724)), "")*24*60, "")</f>
        <v/>
      </c>
      <c r="N6725" s="24" t="str" cm="1">
        <f t="array" ref="N6725">IFERROR(IF($B6725=N$1, ($A6725+$C6725) - MAX(IF($B$2:$B6724=$B6725, $A$2:$A6724+$C$2:$C6724)), "")*24*60, "")</f>
        <v/>
      </c>
      <c r="O6725" s="24" t="str" cm="1">
        <f t="array" ref="O6725">IFERROR(IF($B6725=O$1, ($A6725+$C6725) - MAX(IF($B$2:$B6724=$B6725, $A$2:$A6724+$C$2:$C6724)), "")*24*60, "")</f>
        <v/>
      </c>
      <c r="P6725" s="24" t="str" cm="1">
        <f t="array" ref="P6725">IFERROR(IF($B6725=P$1, ($A6725+$C6725) - MAX(IF($B$2:$B6724=$B6725, $A$2:$A6724+$C$2:$C6724)), "")*24*60, "")</f>
        <v/>
      </c>
      <c r="Q6725" s="24" t="str" cm="1">
        <f t="array" ref="Q6725">IFERROR(IF($B6725=Q$1, ($A6725+$C6725) - MAX(IF($B$2:$B6724=$B6725, $A$2:$A6724+$C$2:$C6724)), "")*24*60, "")</f>
        <v/>
      </c>
      <c r="R6725" s="24" t="str" cm="1">
        <f t="array" ref="R6725">IFERROR(IF($B6725=R$1, ($A6725+$C6725) - MAX(IF($B$2:$B6724=$B6725, $A$2:$A6724+$C$2:$C6724)), "")*24*60, "")</f>
        <v/>
      </c>
      <c r="S6725" s="24" t="str" cm="1">
        <f t="array" ref="S6725">IFERROR(IF($B6725=S$1, ($A6725+$C6725) - MAX(IF($B$2:$B6724=$B6725, $A$2:$A6724+$C$2:$C6724)), "")*24*60, "")</f>
        <v/>
      </c>
    </row>
    <row r="6726" spans="1:19" x14ac:dyDescent="0.2">
      <c r="A6726" s="12">
        <f t="shared" ref="A6726:C6726" si="1617">A6725</f>
        <v>45990</v>
      </c>
      <c r="B6726" s="5" t="str">
        <f t="shared" si="1617"/>
        <v>Northern Cardinal</v>
      </c>
      <c r="C6726" s="6">
        <f t="shared" si="1617"/>
        <v>0.28333333333333333</v>
      </c>
      <c r="D6726" s="5"/>
      <c r="E6726" s="5"/>
      <c r="F6726" s="5" t="s">
        <v>8</v>
      </c>
      <c r="G6726" s="15" t="s">
        <v>9</v>
      </c>
      <c r="H6726" s="24">
        <f t="shared" si="1572"/>
        <v>0</v>
      </c>
      <c r="I6726" s="24" cm="1">
        <f t="array" ref="I6726">IFERROR(IF($B6726=I$1, ($A6726+$C6726) - MAX(IF($B$2:$B6725=$B6726, $A$2:$A6725+$C$2:$C6725)), "")*24*60, "")</f>
        <v>0</v>
      </c>
      <c r="J6726" s="24" t="str" cm="1">
        <f t="array" ref="J6726">IFERROR(IF($B6726=J$1, ($A6726+$C6726) - MAX(IF($B$2:$B6725=$B6726, $A$2:$A6725+$C$2:$C6725)), "")*24*60, "")</f>
        <v/>
      </c>
      <c r="K6726" s="24" t="str" cm="1">
        <f t="array" ref="K6726">IFERROR(IF($B6726=K$1, ($A6726+$C6726) - MAX(IF($B$2:$B6725=$B6726, $A$2:$A6725+$C$2:$C6725)), "")*24*60, "")</f>
        <v/>
      </c>
      <c r="L6726" s="24" t="str" cm="1">
        <f t="array" ref="L6726">IFERROR(IF($B6726=L$1, ($A6726+$C6726) - MAX(IF($B$2:$B6725=$B6726, $A$2:$A6725+$C$2:$C6725)), "")*24*60, "")</f>
        <v/>
      </c>
      <c r="M6726" s="24" t="str" cm="1">
        <f t="array" ref="M6726">IFERROR(IF($B6726=M$1, ($A6726+$C6726) - MAX(IF($B$2:$B6725=$B6726, $A$2:$A6725+$C$2:$C6725)), "")*24*60, "")</f>
        <v/>
      </c>
      <c r="N6726" s="24" t="str" cm="1">
        <f t="array" ref="N6726">IFERROR(IF($B6726=N$1, ($A6726+$C6726) - MAX(IF($B$2:$B6725=$B6726, $A$2:$A6725+$C$2:$C6725)), "")*24*60, "")</f>
        <v/>
      </c>
      <c r="O6726" s="24" t="str" cm="1">
        <f t="array" ref="O6726">IFERROR(IF($B6726=O$1, ($A6726+$C6726) - MAX(IF($B$2:$B6725=$B6726, $A$2:$A6725+$C$2:$C6725)), "")*24*60, "")</f>
        <v/>
      </c>
      <c r="P6726" s="24" t="str" cm="1">
        <f t="array" ref="P6726">IFERROR(IF($B6726=P$1, ($A6726+$C6726) - MAX(IF($B$2:$B6725=$B6726, $A$2:$A6725+$C$2:$C6725)), "")*24*60, "")</f>
        <v/>
      </c>
      <c r="Q6726" s="24" t="str" cm="1">
        <f t="array" ref="Q6726">IFERROR(IF($B6726=Q$1, ($A6726+$C6726) - MAX(IF($B$2:$B6725=$B6726, $A$2:$A6725+$C$2:$C6725)), "")*24*60, "")</f>
        <v/>
      </c>
      <c r="R6726" s="24" t="str" cm="1">
        <f t="array" ref="R6726">IFERROR(IF($B6726=R$1, ($A6726+$C6726) - MAX(IF($B$2:$B6725=$B6726, $A$2:$A6725+$C$2:$C6725)), "")*24*60, "")</f>
        <v/>
      </c>
      <c r="S6726" s="24" t="str" cm="1">
        <f t="array" ref="S6726">IFERROR(IF($B6726=S$1, ($A6726+$C6726) - MAX(IF($B$2:$B6725=$B6726, $A$2:$A6725+$C$2:$C6725)), "")*24*60, "")</f>
        <v/>
      </c>
    </row>
    <row r="6727" spans="1:19" x14ac:dyDescent="0.2">
      <c r="A6727" s="12">
        <f t="shared" ref="A6727:C6727" si="1618">A6726</f>
        <v>45990</v>
      </c>
      <c r="B6727" s="5" t="str">
        <f t="shared" si="1618"/>
        <v>Northern Cardinal</v>
      </c>
      <c r="C6727" s="6">
        <f t="shared" si="1618"/>
        <v>0.28333333333333333</v>
      </c>
      <c r="D6727" s="5"/>
      <c r="E6727" s="5"/>
      <c r="F6727" s="5" t="s">
        <v>8</v>
      </c>
      <c r="G6727" s="15" t="s">
        <v>9</v>
      </c>
      <c r="H6727" s="24">
        <f t="shared" si="1572"/>
        <v>0</v>
      </c>
      <c r="I6727" s="24" cm="1">
        <f t="array" ref="I6727">IFERROR(IF($B6727=I$1, ($A6727+$C6727) - MAX(IF($B$2:$B6726=$B6727, $A$2:$A6726+$C$2:$C6726)), "")*24*60, "")</f>
        <v>0</v>
      </c>
      <c r="J6727" s="24" t="str" cm="1">
        <f t="array" ref="J6727">IFERROR(IF($B6727=J$1, ($A6727+$C6727) - MAX(IF($B$2:$B6726=$B6727, $A$2:$A6726+$C$2:$C6726)), "")*24*60, "")</f>
        <v/>
      </c>
      <c r="K6727" s="24" t="str" cm="1">
        <f t="array" ref="K6727">IFERROR(IF($B6727=K$1, ($A6727+$C6727) - MAX(IF($B$2:$B6726=$B6727, $A$2:$A6726+$C$2:$C6726)), "")*24*60, "")</f>
        <v/>
      </c>
      <c r="L6727" s="24" t="str" cm="1">
        <f t="array" ref="L6727">IFERROR(IF($B6727=L$1, ($A6727+$C6727) - MAX(IF($B$2:$B6726=$B6727, $A$2:$A6726+$C$2:$C6726)), "")*24*60, "")</f>
        <v/>
      </c>
      <c r="M6727" s="24" t="str" cm="1">
        <f t="array" ref="M6727">IFERROR(IF($B6727=M$1, ($A6727+$C6727) - MAX(IF($B$2:$B6726=$B6727, $A$2:$A6726+$C$2:$C6726)), "")*24*60, "")</f>
        <v/>
      </c>
      <c r="N6727" s="24" t="str" cm="1">
        <f t="array" ref="N6727">IFERROR(IF($B6727=N$1, ($A6727+$C6727) - MAX(IF($B$2:$B6726=$B6727, $A$2:$A6726+$C$2:$C6726)), "")*24*60, "")</f>
        <v/>
      </c>
      <c r="O6727" s="24" t="str" cm="1">
        <f t="array" ref="O6727">IFERROR(IF($B6727=O$1, ($A6727+$C6727) - MAX(IF($B$2:$B6726=$B6727, $A$2:$A6726+$C$2:$C6726)), "")*24*60, "")</f>
        <v/>
      </c>
      <c r="P6727" s="24" t="str" cm="1">
        <f t="array" ref="P6727">IFERROR(IF($B6727=P$1, ($A6727+$C6727) - MAX(IF($B$2:$B6726=$B6727, $A$2:$A6726+$C$2:$C6726)), "")*24*60, "")</f>
        <v/>
      </c>
      <c r="Q6727" s="24" t="str" cm="1">
        <f t="array" ref="Q6727">IFERROR(IF($B6727=Q$1, ($A6727+$C6727) - MAX(IF($B$2:$B6726=$B6727, $A$2:$A6726+$C$2:$C6726)), "")*24*60, "")</f>
        <v/>
      </c>
      <c r="R6727" s="24" t="str" cm="1">
        <f t="array" ref="R6727">IFERROR(IF($B6727=R$1, ($A6727+$C6727) - MAX(IF($B$2:$B6726=$B6727, $A$2:$A6726+$C$2:$C6726)), "")*24*60, "")</f>
        <v/>
      </c>
      <c r="S6727" s="24" t="str" cm="1">
        <f t="array" ref="S6727">IFERROR(IF($B6727=S$1, ($A6727+$C6727) - MAX(IF($B$2:$B6726=$B6727, $A$2:$A6726+$C$2:$C6726)), "")*24*60, "")</f>
        <v/>
      </c>
    </row>
    <row r="6728" spans="1:19" x14ac:dyDescent="0.2">
      <c r="A6728" s="12">
        <f t="shared" ref="A6728:C6728" si="1619">A6727</f>
        <v>45990</v>
      </c>
      <c r="B6728" s="5" t="str">
        <f t="shared" si="1619"/>
        <v>Northern Cardinal</v>
      </c>
      <c r="C6728" s="6">
        <f t="shared" si="1619"/>
        <v>0.28333333333333333</v>
      </c>
      <c r="D6728" s="5"/>
      <c r="E6728" s="5"/>
      <c r="F6728" s="5" t="s">
        <v>8</v>
      </c>
      <c r="G6728" s="15" t="s">
        <v>9</v>
      </c>
      <c r="H6728" s="24">
        <f t="shared" si="1572"/>
        <v>0</v>
      </c>
      <c r="I6728" s="24" cm="1">
        <f t="array" ref="I6728">IFERROR(IF($B6728=I$1, ($A6728+$C6728) - MAX(IF($B$2:$B6727=$B6728, $A$2:$A6727+$C$2:$C6727)), "")*24*60, "")</f>
        <v>0</v>
      </c>
      <c r="J6728" s="24" t="str" cm="1">
        <f t="array" ref="J6728">IFERROR(IF($B6728=J$1, ($A6728+$C6728) - MAX(IF($B$2:$B6727=$B6728, $A$2:$A6727+$C$2:$C6727)), "")*24*60, "")</f>
        <v/>
      </c>
      <c r="K6728" s="24" t="str" cm="1">
        <f t="array" ref="K6728">IFERROR(IF($B6728=K$1, ($A6728+$C6728) - MAX(IF($B$2:$B6727=$B6728, $A$2:$A6727+$C$2:$C6727)), "")*24*60, "")</f>
        <v/>
      </c>
      <c r="L6728" s="24" t="str" cm="1">
        <f t="array" ref="L6728">IFERROR(IF($B6728=L$1, ($A6728+$C6728) - MAX(IF($B$2:$B6727=$B6728, $A$2:$A6727+$C$2:$C6727)), "")*24*60, "")</f>
        <v/>
      </c>
      <c r="M6728" s="24" t="str" cm="1">
        <f t="array" ref="M6728">IFERROR(IF($B6728=M$1, ($A6728+$C6728) - MAX(IF($B$2:$B6727=$B6728, $A$2:$A6727+$C$2:$C6727)), "")*24*60, "")</f>
        <v/>
      </c>
      <c r="N6728" s="24" t="str" cm="1">
        <f t="array" ref="N6728">IFERROR(IF($B6728=N$1, ($A6728+$C6728) - MAX(IF($B$2:$B6727=$B6728, $A$2:$A6727+$C$2:$C6727)), "")*24*60, "")</f>
        <v/>
      </c>
      <c r="O6728" s="24" t="str" cm="1">
        <f t="array" ref="O6728">IFERROR(IF($B6728=O$1, ($A6728+$C6728) - MAX(IF($B$2:$B6727=$B6728, $A$2:$A6727+$C$2:$C6727)), "")*24*60, "")</f>
        <v/>
      </c>
      <c r="P6728" s="24" t="str" cm="1">
        <f t="array" ref="P6728">IFERROR(IF($B6728=P$1, ($A6728+$C6728) - MAX(IF($B$2:$B6727=$B6728, $A$2:$A6727+$C$2:$C6727)), "")*24*60, "")</f>
        <v/>
      </c>
      <c r="Q6728" s="24" t="str" cm="1">
        <f t="array" ref="Q6728">IFERROR(IF($B6728=Q$1, ($A6728+$C6728) - MAX(IF($B$2:$B6727=$B6728, $A$2:$A6727+$C$2:$C6727)), "")*24*60, "")</f>
        <v/>
      </c>
      <c r="R6728" s="24" t="str" cm="1">
        <f t="array" ref="R6728">IFERROR(IF($B6728=R$1, ($A6728+$C6728) - MAX(IF($B$2:$B6727=$B6728, $A$2:$A6727+$C$2:$C6727)), "")*24*60, "")</f>
        <v/>
      </c>
      <c r="S6728" s="24" t="str" cm="1">
        <f t="array" ref="S6728">IFERROR(IF($B6728=S$1, ($A6728+$C6728) - MAX(IF($B$2:$B6727=$B6728, $A$2:$A6727+$C$2:$C6727)), "")*24*60, "")</f>
        <v/>
      </c>
    </row>
    <row r="6729" spans="1:19" x14ac:dyDescent="0.2">
      <c r="A6729" s="12">
        <f t="shared" ref="A6729:C6729" si="1620">A6728</f>
        <v>45990</v>
      </c>
      <c r="B6729" s="5" t="str">
        <f t="shared" si="1620"/>
        <v>Northern Cardinal</v>
      </c>
      <c r="C6729" s="6">
        <f t="shared" si="1620"/>
        <v>0.28333333333333333</v>
      </c>
      <c r="D6729" s="5"/>
      <c r="E6729" s="5"/>
      <c r="F6729" s="5" t="s">
        <v>8</v>
      </c>
      <c r="G6729" s="15" t="s">
        <v>9</v>
      </c>
      <c r="H6729" s="24">
        <f t="shared" si="1572"/>
        <v>0</v>
      </c>
      <c r="I6729" s="24" cm="1">
        <f t="array" ref="I6729">IFERROR(IF($B6729=I$1, ($A6729+$C6729) - MAX(IF($B$2:$B6728=$B6729, $A$2:$A6728+$C$2:$C6728)), "")*24*60, "")</f>
        <v>0</v>
      </c>
      <c r="J6729" s="24" t="str" cm="1">
        <f t="array" ref="J6729">IFERROR(IF($B6729=J$1, ($A6729+$C6729) - MAX(IF($B$2:$B6728=$B6729, $A$2:$A6728+$C$2:$C6728)), "")*24*60, "")</f>
        <v/>
      </c>
      <c r="K6729" s="24" t="str" cm="1">
        <f t="array" ref="K6729">IFERROR(IF($B6729=K$1, ($A6729+$C6729) - MAX(IF($B$2:$B6728=$B6729, $A$2:$A6728+$C$2:$C6728)), "")*24*60, "")</f>
        <v/>
      </c>
      <c r="L6729" s="24" t="str" cm="1">
        <f t="array" ref="L6729">IFERROR(IF($B6729=L$1, ($A6729+$C6729) - MAX(IF($B$2:$B6728=$B6729, $A$2:$A6728+$C$2:$C6728)), "")*24*60, "")</f>
        <v/>
      </c>
      <c r="M6729" s="24" t="str" cm="1">
        <f t="array" ref="M6729">IFERROR(IF($B6729=M$1, ($A6729+$C6729) - MAX(IF($B$2:$B6728=$B6729, $A$2:$A6728+$C$2:$C6728)), "")*24*60, "")</f>
        <v/>
      </c>
      <c r="N6729" s="24" t="str" cm="1">
        <f t="array" ref="N6729">IFERROR(IF($B6729=N$1, ($A6729+$C6729) - MAX(IF($B$2:$B6728=$B6729, $A$2:$A6728+$C$2:$C6728)), "")*24*60, "")</f>
        <v/>
      </c>
      <c r="O6729" s="24" t="str" cm="1">
        <f t="array" ref="O6729">IFERROR(IF($B6729=O$1, ($A6729+$C6729) - MAX(IF($B$2:$B6728=$B6729, $A$2:$A6728+$C$2:$C6728)), "")*24*60, "")</f>
        <v/>
      </c>
      <c r="P6729" s="24" t="str" cm="1">
        <f t="array" ref="P6729">IFERROR(IF($B6729=P$1, ($A6729+$C6729) - MAX(IF($B$2:$B6728=$B6729, $A$2:$A6728+$C$2:$C6728)), "")*24*60, "")</f>
        <v/>
      </c>
      <c r="Q6729" s="24" t="str" cm="1">
        <f t="array" ref="Q6729">IFERROR(IF($B6729=Q$1, ($A6729+$C6729) - MAX(IF($B$2:$B6728=$B6729, $A$2:$A6728+$C$2:$C6728)), "")*24*60, "")</f>
        <v/>
      </c>
      <c r="R6729" s="24" t="str" cm="1">
        <f t="array" ref="R6729">IFERROR(IF($B6729=R$1, ($A6729+$C6729) - MAX(IF($B$2:$B6728=$B6729, $A$2:$A6728+$C$2:$C6728)), "")*24*60, "")</f>
        <v/>
      </c>
      <c r="S6729" s="24" t="str" cm="1">
        <f t="array" ref="S6729">IFERROR(IF($B6729=S$1, ($A6729+$C6729) - MAX(IF($B$2:$B6728=$B6729, $A$2:$A6728+$C$2:$C6728)), "")*24*60, "")</f>
        <v/>
      </c>
    </row>
    <row r="6730" spans="1:19" x14ac:dyDescent="0.2">
      <c r="A6730" s="12">
        <f t="shared" ref="A6730:C6730" si="1621">A6729</f>
        <v>45990</v>
      </c>
      <c r="B6730" s="5" t="str">
        <f t="shared" si="1621"/>
        <v>Northern Cardinal</v>
      </c>
      <c r="C6730" s="6">
        <f t="shared" si="1621"/>
        <v>0.28333333333333333</v>
      </c>
      <c r="D6730" s="5"/>
      <c r="E6730" s="5"/>
      <c r="F6730" s="5" t="s">
        <v>8</v>
      </c>
      <c r="G6730" s="15" t="s">
        <v>9</v>
      </c>
      <c r="H6730" s="24">
        <f t="shared" si="1572"/>
        <v>0</v>
      </c>
      <c r="I6730" s="24" cm="1">
        <f t="array" ref="I6730">IFERROR(IF($B6730=I$1, ($A6730+$C6730) - MAX(IF($B$2:$B6729=$B6730, $A$2:$A6729+$C$2:$C6729)), "")*24*60, "")</f>
        <v>0</v>
      </c>
      <c r="J6730" s="24" t="str" cm="1">
        <f t="array" ref="J6730">IFERROR(IF($B6730=J$1, ($A6730+$C6730) - MAX(IF($B$2:$B6729=$B6730, $A$2:$A6729+$C$2:$C6729)), "")*24*60, "")</f>
        <v/>
      </c>
      <c r="K6730" s="24" t="str" cm="1">
        <f t="array" ref="K6730">IFERROR(IF($B6730=K$1, ($A6730+$C6730) - MAX(IF($B$2:$B6729=$B6730, $A$2:$A6729+$C$2:$C6729)), "")*24*60, "")</f>
        <v/>
      </c>
      <c r="L6730" s="24" t="str" cm="1">
        <f t="array" ref="L6730">IFERROR(IF($B6730=L$1, ($A6730+$C6730) - MAX(IF($B$2:$B6729=$B6730, $A$2:$A6729+$C$2:$C6729)), "")*24*60, "")</f>
        <v/>
      </c>
      <c r="M6730" s="24" t="str" cm="1">
        <f t="array" ref="M6730">IFERROR(IF($B6730=M$1, ($A6730+$C6730) - MAX(IF($B$2:$B6729=$B6730, $A$2:$A6729+$C$2:$C6729)), "")*24*60, "")</f>
        <v/>
      </c>
      <c r="N6730" s="24" t="str" cm="1">
        <f t="array" ref="N6730">IFERROR(IF($B6730=N$1, ($A6730+$C6730) - MAX(IF($B$2:$B6729=$B6730, $A$2:$A6729+$C$2:$C6729)), "")*24*60, "")</f>
        <v/>
      </c>
      <c r="O6730" s="24" t="str" cm="1">
        <f t="array" ref="O6730">IFERROR(IF($B6730=O$1, ($A6730+$C6730) - MAX(IF($B$2:$B6729=$B6730, $A$2:$A6729+$C$2:$C6729)), "")*24*60, "")</f>
        <v/>
      </c>
      <c r="P6730" s="24" t="str" cm="1">
        <f t="array" ref="P6730">IFERROR(IF($B6730=P$1, ($A6730+$C6730) - MAX(IF($B$2:$B6729=$B6730, $A$2:$A6729+$C$2:$C6729)), "")*24*60, "")</f>
        <v/>
      </c>
      <c r="Q6730" s="24" t="str" cm="1">
        <f t="array" ref="Q6730">IFERROR(IF($B6730=Q$1, ($A6730+$C6730) - MAX(IF($B$2:$B6729=$B6730, $A$2:$A6729+$C$2:$C6729)), "")*24*60, "")</f>
        <v/>
      </c>
      <c r="R6730" s="24" t="str" cm="1">
        <f t="array" ref="R6730">IFERROR(IF($B6730=R$1, ($A6730+$C6730) - MAX(IF($B$2:$B6729=$B6730, $A$2:$A6729+$C$2:$C6729)), "")*24*60, "")</f>
        <v/>
      </c>
      <c r="S6730" s="24" t="str" cm="1">
        <f t="array" ref="S6730">IFERROR(IF($B6730=S$1, ($A6730+$C6730) - MAX(IF($B$2:$B6729=$B6730, $A$2:$A6729+$C$2:$C6729)), "")*24*60, "")</f>
        <v/>
      </c>
    </row>
    <row r="6731" spans="1:19" x14ac:dyDescent="0.2">
      <c r="A6731" s="12">
        <f t="shared" ref="A6731:C6731" si="1622">A6730</f>
        <v>45990</v>
      </c>
      <c r="B6731" s="5" t="str">
        <f t="shared" si="1622"/>
        <v>Northern Cardinal</v>
      </c>
      <c r="C6731" s="6">
        <f t="shared" si="1622"/>
        <v>0.28333333333333333</v>
      </c>
      <c r="D6731" s="5"/>
      <c r="E6731" s="5"/>
      <c r="F6731" s="5" t="s">
        <v>8</v>
      </c>
      <c r="G6731" s="15" t="s">
        <v>9</v>
      </c>
      <c r="H6731" s="24">
        <f t="shared" si="1572"/>
        <v>0</v>
      </c>
      <c r="I6731" s="24" cm="1">
        <f t="array" ref="I6731">IFERROR(IF($B6731=I$1, ($A6731+$C6731) - MAX(IF($B$2:$B6730=$B6731, $A$2:$A6730+$C$2:$C6730)), "")*24*60, "")</f>
        <v>0</v>
      </c>
      <c r="J6731" s="24" t="str" cm="1">
        <f t="array" ref="J6731">IFERROR(IF($B6731=J$1, ($A6731+$C6731) - MAX(IF($B$2:$B6730=$B6731, $A$2:$A6730+$C$2:$C6730)), "")*24*60, "")</f>
        <v/>
      </c>
      <c r="K6731" s="24" t="str" cm="1">
        <f t="array" ref="K6731">IFERROR(IF($B6731=K$1, ($A6731+$C6731) - MAX(IF($B$2:$B6730=$B6731, $A$2:$A6730+$C$2:$C6730)), "")*24*60, "")</f>
        <v/>
      </c>
      <c r="L6731" s="24" t="str" cm="1">
        <f t="array" ref="L6731">IFERROR(IF($B6731=L$1, ($A6731+$C6731) - MAX(IF($B$2:$B6730=$B6731, $A$2:$A6730+$C$2:$C6730)), "")*24*60, "")</f>
        <v/>
      </c>
      <c r="M6731" s="24" t="str" cm="1">
        <f t="array" ref="M6731">IFERROR(IF($B6731=M$1, ($A6731+$C6731) - MAX(IF($B$2:$B6730=$B6731, $A$2:$A6730+$C$2:$C6730)), "")*24*60, "")</f>
        <v/>
      </c>
      <c r="N6731" s="24" t="str" cm="1">
        <f t="array" ref="N6731">IFERROR(IF($B6731=N$1, ($A6731+$C6731) - MAX(IF($B$2:$B6730=$B6731, $A$2:$A6730+$C$2:$C6730)), "")*24*60, "")</f>
        <v/>
      </c>
      <c r="O6731" s="24" t="str" cm="1">
        <f t="array" ref="O6731">IFERROR(IF($B6731=O$1, ($A6731+$C6731) - MAX(IF($B$2:$B6730=$B6731, $A$2:$A6730+$C$2:$C6730)), "")*24*60, "")</f>
        <v/>
      </c>
      <c r="P6731" s="24" t="str" cm="1">
        <f t="array" ref="P6731">IFERROR(IF($B6731=P$1, ($A6731+$C6731) - MAX(IF($B$2:$B6730=$B6731, $A$2:$A6730+$C$2:$C6730)), "")*24*60, "")</f>
        <v/>
      </c>
      <c r="Q6731" s="24" t="str" cm="1">
        <f t="array" ref="Q6731">IFERROR(IF($B6731=Q$1, ($A6731+$C6731) - MAX(IF($B$2:$B6730=$B6731, $A$2:$A6730+$C$2:$C6730)), "")*24*60, "")</f>
        <v/>
      </c>
      <c r="R6731" s="24" t="str" cm="1">
        <f t="array" ref="R6731">IFERROR(IF($B6731=R$1, ($A6731+$C6731) - MAX(IF($B$2:$B6730=$B6731, $A$2:$A6730+$C$2:$C6730)), "")*24*60, "")</f>
        <v/>
      </c>
      <c r="S6731" s="24" t="str" cm="1">
        <f t="array" ref="S6731">IFERROR(IF($B6731=S$1, ($A6731+$C6731) - MAX(IF($B$2:$B6730=$B6731, $A$2:$A6730+$C$2:$C6730)), "")*24*60, "")</f>
        <v/>
      </c>
    </row>
    <row r="6732" spans="1:19" x14ac:dyDescent="0.2">
      <c r="A6732" s="12">
        <f t="shared" ref="A6732:C6732" si="1623">A6731</f>
        <v>45990</v>
      </c>
      <c r="B6732" s="5" t="str">
        <f t="shared" si="1623"/>
        <v>Northern Cardinal</v>
      </c>
      <c r="C6732" s="6">
        <f t="shared" si="1623"/>
        <v>0.28333333333333333</v>
      </c>
      <c r="D6732" s="5"/>
      <c r="E6732" s="5"/>
      <c r="F6732" s="5" t="s">
        <v>8</v>
      </c>
      <c r="G6732" s="15" t="s">
        <v>9</v>
      </c>
      <c r="H6732" s="24">
        <f t="shared" si="1572"/>
        <v>0</v>
      </c>
      <c r="I6732" s="24" cm="1">
        <f t="array" ref="I6732">IFERROR(IF($B6732=I$1, ($A6732+$C6732) - MAX(IF($B$2:$B6731=$B6732, $A$2:$A6731+$C$2:$C6731)), "")*24*60, "")</f>
        <v>0</v>
      </c>
      <c r="J6732" s="24" t="str" cm="1">
        <f t="array" ref="J6732">IFERROR(IF($B6732=J$1, ($A6732+$C6732) - MAX(IF($B$2:$B6731=$B6732, $A$2:$A6731+$C$2:$C6731)), "")*24*60, "")</f>
        <v/>
      </c>
      <c r="K6732" s="24" t="str" cm="1">
        <f t="array" ref="K6732">IFERROR(IF($B6732=K$1, ($A6732+$C6732) - MAX(IF($B$2:$B6731=$B6732, $A$2:$A6731+$C$2:$C6731)), "")*24*60, "")</f>
        <v/>
      </c>
      <c r="L6732" s="24" t="str" cm="1">
        <f t="array" ref="L6732">IFERROR(IF($B6732=L$1, ($A6732+$C6732) - MAX(IF($B$2:$B6731=$B6732, $A$2:$A6731+$C$2:$C6731)), "")*24*60, "")</f>
        <v/>
      </c>
      <c r="M6732" s="24" t="str" cm="1">
        <f t="array" ref="M6732">IFERROR(IF($B6732=M$1, ($A6732+$C6732) - MAX(IF($B$2:$B6731=$B6732, $A$2:$A6731+$C$2:$C6731)), "")*24*60, "")</f>
        <v/>
      </c>
      <c r="N6732" s="24" t="str" cm="1">
        <f t="array" ref="N6732">IFERROR(IF($B6732=N$1, ($A6732+$C6732) - MAX(IF($B$2:$B6731=$B6732, $A$2:$A6731+$C$2:$C6731)), "")*24*60, "")</f>
        <v/>
      </c>
      <c r="O6732" s="24" t="str" cm="1">
        <f t="array" ref="O6732">IFERROR(IF($B6732=O$1, ($A6732+$C6732) - MAX(IF($B$2:$B6731=$B6732, $A$2:$A6731+$C$2:$C6731)), "")*24*60, "")</f>
        <v/>
      </c>
      <c r="P6732" s="24" t="str" cm="1">
        <f t="array" ref="P6732">IFERROR(IF($B6732=P$1, ($A6732+$C6732) - MAX(IF($B$2:$B6731=$B6732, $A$2:$A6731+$C$2:$C6731)), "")*24*60, "")</f>
        <v/>
      </c>
      <c r="Q6732" s="24" t="str" cm="1">
        <f t="array" ref="Q6732">IFERROR(IF($B6732=Q$1, ($A6732+$C6732) - MAX(IF($B$2:$B6731=$B6732, $A$2:$A6731+$C$2:$C6731)), "")*24*60, "")</f>
        <v/>
      </c>
      <c r="R6732" s="24" t="str" cm="1">
        <f t="array" ref="R6732">IFERROR(IF($B6732=R$1, ($A6732+$C6732) - MAX(IF($B$2:$B6731=$B6732, $A$2:$A6731+$C$2:$C6731)), "")*24*60, "")</f>
        <v/>
      </c>
      <c r="S6732" s="24" t="str" cm="1">
        <f t="array" ref="S6732">IFERROR(IF($B6732=S$1, ($A6732+$C6732) - MAX(IF($B$2:$B6731=$B6732, $A$2:$A6731+$C$2:$C6731)), "")*24*60, "")</f>
        <v/>
      </c>
    </row>
    <row r="6733" spans="1:19" x14ac:dyDescent="0.2">
      <c r="A6733" s="12">
        <f t="shared" ref="A6733:C6733" si="1624">A6732</f>
        <v>45990</v>
      </c>
      <c r="B6733" s="5" t="str">
        <f t="shared" si="1624"/>
        <v>Northern Cardinal</v>
      </c>
      <c r="C6733" s="6">
        <f t="shared" si="1624"/>
        <v>0.28333333333333333</v>
      </c>
      <c r="D6733" s="5"/>
      <c r="E6733" s="5"/>
      <c r="F6733" s="5" t="s">
        <v>8</v>
      </c>
      <c r="G6733" s="15" t="s">
        <v>9</v>
      </c>
      <c r="H6733" s="24">
        <f t="shared" si="1572"/>
        <v>0</v>
      </c>
      <c r="I6733" s="24" cm="1">
        <f t="array" ref="I6733">IFERROR(IF($B6733=I$1, ($A6733+$C6733) - MAX(IF($B$2:$B6732=$B6733, $A$2:$A6732+$C$2:$C6732)), "")*24*60, "")</f>
        <v>0</v>
      </c>
      <c r="J6733" s="24" t="str" cm="1">
        <f t="array" ref="J6733">IFERROR(IF($B6733=J$1, ($A6733+$C6733) - MAX(IF($B$2:$B6732=$B6733, $A$2:$A6732+$C$2:$C6732)), "")*24*60, "")</f>
        <v/>
      </c>
      <c r="K6733" s="24" t="str" cm="1">
        <f t="array" ref="K6733">IFERROR(IF($B6733=K$1, ($A6733+$C6733) - MAX(IF($B$2:$B6732=$B6733, $A$2:$A6732+$C$2:$C6732)), "")*24*60, "")</f>
        <v/>
      </c>
      <c r="L6733" s="24" t="str" cm="1">
        <f t="array" ref="L6733">IFERROR(IF($B6733=L$1, ($A6733+$C6733) - MAX(IF($B$2:$B6732=$B6733, $A$2:$A6732+$C$2:$C6732)), "")*24*60, "")</f>
        <v/>
      </c>
      <c r="M6733" s="24" t="str" cm="1">
        <f t="array" ref="M6733">IFERROR(IF($B6733=M$1, ($A6733+$C6733) - MAX(IF($B$2:$B6732=$B6733, $A$2:$A6732+$C$2:$C6732)), "")*24*60, "")</f>
        <v/>
      </c>
      <c r="N6733" s="24" t="str" cm="1">
        <f t="array" ref="N6733">IFERROR(IF($B6733=N$1, ($A6733+$C6733) - MAX(IF($B$2:$B6732=$B6733, $A$2:$A6732+$C$2:$C6732)), "")*24*60, "")</f>
        <v/>
      </c>
      <c r="O6733" s="24" t="str" cm="1">
        <f t="array" ref="O6733">IFERROR(IF($B6733=O$1, ($A6733+$C6733) - MAX(IF($B$2:$B6732=$B6733, $A$2:$A6732+$C$2:$C6732)), "")*24*60, "")</f>
        <v/>
      </c>
      <c r="P6733" s="24" t="str" cm="1">
        <f t="array" ref="P6733">IFERROR(IF($B6733=P$1, ($A6733+$C6733) - MAX(IF($B$2:$B6732=$B6733, $A$2:$A6732+$C$2:$C6732)), "")*24*60, "")</f>
        <v/>
      </c>
      <c r="Q6733" s="24" t="str" cm="1">
        <f t="array" ref="Q6733">IFERROR(IF($B6733=Q$1, ($A6733+$C6733) - MAX(IF($B$2:$B6732=$B6733, $A$2:$A6732+$C$2:$C6732)), "")*24*60, "")</f>
        <v/>
      </c>
      <c r="R6733" s="24" t="str" cm="1">
        <f t="array" ref="R6733">IFERROR(IF($B6733=R$1, ($A6733+$C6733) - MAX(IF($B$2:$B6732=$B6733, $A$2:$A6732+$C$2:$C6732)), "")*24*60, "")</f>
        <v/>
      </c>
      <c r="S6733" s="24" t="str" cm="1">
        <f t="array" ref="S6733">IFERROR(IF($B6733=S$1, ($A6733+$C6733) - MAX(IF($B$2:$B6732=$B6733, $A$2:$A6732+$C$2:$C6732)), "")*24*60, "")</f>
        <v/>
      </c>
    </row>
    <row r="6734" spans="1:19" x14ac:dyDescent="0.2">
      <c r="A6734" s="12">
        <f t="shared" ref="A6734:C6734" si="1625">A6733</f>
        <v>45990</v>
      </c>
      <c r="B6734" s="5" t="str">
        <f t="shared" si="1625"/>
        <v>Northern Cardinal</v>
      </c>
      <c r="C6734" s="6">
        <f t="shared" si="1625"/>
        <v>0.28333333333333333</v>
      </c>
      <c r="D6734" s="5"/>
      <c r="E6734" s="5"/>
      <c r="F6734" s="5" t="s">
        <v>8</v>
      </c>
      <c r="G6734" s="15" t="s">
        <v>9</v>
      </c>
      <c r="H6734" s="24">
        <f t="shared" si="1572"/>
        <v>0</v>
      </c>
      <c r="I6734" s="24" cm="1">
        <f t="array" ref="I6734">IFERROR(IF($B6734=I$1, ($A6734+$C6734) - MAX(IF($B$2:$B6733=$B6734, $A$2:$A6733+$C$2:$C6733)), "")*24*60, "")</f>
        <v>0</v>
      </c>
      <c r="J6734" s="24" t="str" cm="1">
        <f t="array" ref="J6734">IFERROR(IF($B6734=J$1, ($A6734+$C6734) - MAX(IF($B$2:$B6733=$B6734, $A$2:$A6733+$C$2:$C6733)), "")*24*60, "")</f>
        <v/>
      </c>
      <c r="K6734" s="24" t="str" cm="1">
        <f t="array" ref="K6734">IFERROR(IF($B6734=K$1, ($A6734+$C6734) - MAX(IF($B$2:$B6733=$B6734, $A$2:$A6733+$C$2:$C6733)), "")*24*60, "")</f>
        <v/>
      </c>
      <c r="L6734" s="24" t="str" cm="1">
        <f t="array" ref="L6734">IFERROR(IF($B6734=L$1, ($A6734+$C6734) - MAX(IF($B$2:$B6733=$B6734, $A$2:$A6733+$C$2:$C6733)), "")*24*60, "")</f>
        <v/>
      </c>
      <c r="M6734" s="24" t="str" cm="1">
        <f t="array" ref="M6734">IFERROR(IF($B6734=M$1, ($A6734+$C6734) - MAX(IF($B$2:$B6733=$B6734, $A$2:$A6733+$C$2:$C6733)), "")*24*60, "")</f>
        <v/>
      </c>
      <c r="N6734" s="24" t="str" cm="1">
        <f t="array" ref="N6734">IFERROR(IF($B6734=N$1, ($A6734+$C6734) - MAX(IF($B$2:$B6733=$B6734, $A$2:$A6733+$C$2:$C6733)), "")*24*60, "")</f>
        <v/>
      </c>
      <c r="O6734" s="24" t="str" cm="1">
        <f t="array" ref="O6734">IFERROR(IF($B6734=O$1, ($A6734+$C6734) - MAX(IF($B$2:$B6733=$B6734, $A$2:$A6733+$C$2:$C6733)), "")*24*60, "")</f>
        <v/>
      </c>
      <c r="P6734" s="24" t="str" cm="1">
        <f t="array" ref="P6734">IFERROR(IF($B6734=P$1, ($A6734+$C6734) - MAX(IF($B$2:$B6733=$B6734, $A$2:$A6733+$C$2:$C6733)), "")*24*60, "")</f>
        <v/>
      </c>
      <c r="Q6734" s="24" t="str" cm="1">
        <f t="array" ref="Q6734">IFERROR(IF($B6734=Q$1, ($A6734+$C6734) - MAX(IF($B$2:$B6733=$B6734, $A$2:$A6733+$C$2:$C6733)), "")*24*60, "")</f>
        <v/>
      </c>
      <c r="R6734" s="24" t="str" cm="1">
        <f t="array" ref="R6734">IFERROR(IF($B6734=R$1, ($A6734+$C6734) - MAX(IF($B$2:$B6733=$B6734, $A$2:$A6733+$C$2:$C6733)), "")*24*60, "")</f>
        <v/>
      </c>
      <c r="S6734" s="24" t="str" cm="1">
        <f t="array" ref="S6734">IFERROR(IF($B6734=S$1, ($A6734+$C6734) - MAX(IF($B$2:$B6733=$B6734, $A$2:$A6733+$C$2:$C6733)), "")*24*60, "")</f>
        <v/>
      </c>
    </row>
    <row r="6735" spans="1:19" x14ac:dyDescent="0.2">
      <c r="A6735" s="12">
        <f t="shared" ref="A6735:C6735" si="1626">A6734</f>
        <v>45990</v>
      </c>
      <c r="B6735" s="5" t="str">
        <f t="shared" si="1626"/>
        <v>Northern Cardinal</v>
      </c>
      <c r="C6735" s="6">
        <f t="shared" si="1626"/>
        <v>0.28333333333333333</v>
      </c>
      <c r="D6735" s="5"/>
      <c r="E6735" s="5"/>
      <c r="F6735" s="5" t="s">
        <v>8</v>
      </c>
      <c r="G6735" s="15" t="s">
        <v>9</v>
      </c>
      <c r="H6735" s="24">
        <f t="shared" si="1572"/>
        <v>0</v>
      </c>
      <c r="I6735" s="24" cm="1">
        <f t="array" ref="I6735">IFERROR(IF($B6735=I$1, ($A6735+$C6735) - MAX(IF($B$2:$B6734=$B6735, $A$2:$A6734+$C$2:$C6734)), "")*24*60, "")</f>
        <v>0</v>
      </c>
      <c r="J6735" s="24" t="str" cm="1">
        <f t="array" ref="J6735">IFERROR(IF($B6735=J$1, ($A6735+$C6735) - MAX(IF($B$2:$B6734=$B6735, $A$2:$A6734+$C$2:$C6734)), "")*24*60, "")</f>
        <v/>
      </c>
      <c r="K6735" s="24" t="str" cm="1">
        <f t="array" ref="K6735">IFERROR(IF($B6735=K$1, ($A6735+$C6735) - MAX(IF($B$2:$B6734=$B6735, $A$2:$A6734+$C$2:$C6734)), "")*24*60, "")</f>
        <v/>
      </c>
      <c r="L6735" s="24" t="str" cm="1">
        <f t="array" ref="L6735">IFERROR(IF($B6735=L$1, ($A6735+$C6735) - MAX(IF($B$2:$B6734=$B6735, $A$2:$A6734+$C$2:$C6734)), "")*24*60, "")</f>
        <v/>
      </c>
      <c r="M6735" s="24" t="str" cm="1">
        <f t="array" ref="M6735">IFERROR(IF($B6735=M$1, ($A6735+$C6735) - MAX(IF($B$2:$B6734=$B6735, $A$2:$A6734+$C$2:$C6734)), "")*24*60, "")</f>
        <v/>
      </c>
      <c r="N6735" s="24" t="str" cm="1">
        <f t="array" ref="N6735">IFERROR(IF($B6735=N$1, ($A6735+$C6735) - MAX(IF($B$2:$B6734=$B6735, $A$2:$A6734+$C$2:$C6734)), "")*24*60, "")</f>
        <v/>
      </c>
      <c r="O6735" s="24" t="str" cm="1">
        <f t="array" ref="O6735">IFERROR(IF($B6735=O$1, ($A6735+$C6735) - MAX(IF($B$2:$B6734=$B6735, $A$2:$A6734+$C$2:$C6734)), "")*24*60, "")</f>
        <v/>
      </c>
      <c r="P6735" s="24" t="str" cm="1">
        <f t="array" ref="P6735">IFERROR(IF($B6735=P$1, ($A6735+$C6735) - MAX(IF($B$2:$B6734=$B6735, $A$2:$A6734+$C$2:$C6734)), "")*24*60, "")</f>
        <v/>
      </c>
      <c r="Q6735" s="24" t="str" cm="1">
        <f t="array" ref="Q6735">IFERROR(IF($B6735=Q$1, ($A6735+$C6735) - MAX(IF($B$2:$B6734=$B6735, $A$2:$A6734+$C$2:$C6734)), "")*24*60, "")</f>
        <v/>
      </c>
      <c r="R6735" s="24" t="str" cm="1">
        <f t="array" ref="R6735">IFERROR(IF($B6735=R$1, ($A6735+$C6735) - MAX(IF($B$2:$B6734=$B6735, $A$2:$A6734+$C$2:$C6734)), "")*24*60, "")</f>
        <v/>
      </c>
      <c r="S6735" s="24" t="str" cm="1">
        <f t="array" ref="S6735">IFERROR(IF($B6735=S$1, ($A6735+$C6735) - MAX(IF($B$2:$B6734=$B6735, $A$2:$A6734+$C$2:$C6734)), "")*24*60, "")</f>
        <v/>
      </c>
    </row>
    <row r="6736" spans="1:19" x14ac:dyDescent="0.2">
      <c r="A6736" s="12">
        <f t="shared" ref="A6736:C6736" si="1627">A6735</f>
        <v>45990</v>
      </c>
      <c r="B6736" s="5" t="str">
        <f t="shared" si="1627"/>
        <v>Northern Cardinal</v>
      </c>
      <c r="C6736" s="6">
        <f t="shared" si="1627"/>
        <v>0.28333333333333333</v>
      </c>
      <c r="D6736" s="5"/>
      <c r="E6736" s="5"/>
      <c r="F6736" s="5" t="s">
        <v>8</v>
      </c>
      <c r="G6736" s="15" t="s">
        <v>9</v>
      </c>
      <c r="H6736" s="24">
        <f t="shared" si="1572"/>
        <v>0</v>
      </c>
      <c r="I6736" s="24" cm="1">
        <f t="array" ref="I6736">IFERROR(IF($B6736=I$1, ($A6736+$C6736) - MAX(IF($B$2:$B6735=$B6736, $A$2:$A6735+$C$2:$C6735)), "")*24*60, "")</f>
        <v>0</v>
      </c>
      <c r="J6736" s="24" t="str" cm="1">
        <f t="array" ref="J6736">IFERROR(IF($B6736=J$1, ($A6736+$C6736) - MAX(IF($B$2:$B6735=$B6736, $A$2:$A6735+$C$2:$C6735)), "")*24*60, "")</f>
        <v/>
      </c>
      <c r="K6736" s="24" t="str" cm="1">
        <f t="array" ref="K6736">IFERROR(IF($B6736=K$1, ($A6736+$C6736) - MAX(IF($B$2:$B6735=$B6736, $A$2:$A6735+$C$2:$C6735)), "")*24*60, "")</f>
        <v/>
      </c>
      <c r="L6736" s="24" t="str" cm="1">
        <f t="array" ref="L6736">IFERROR(IF($B6736=L$1, ($A6736+$C6736) - MAX(IF($B$2:$B6735=$B6736, $A$2:$A6735+$C$2:$C6735)), "")*24*60, "")</f>
        <v/>
      </c>
      <c r="M6736" s="24" t="str" cm="1">
        <f t="array" ref="M6736">IFERROR(IF($B6736=M$1, ($A6736+$C6736) - MAX(IF($B$2:$B6735=$B6736, $A$2:$A6735+$C$2:$C6735)), "")*24*60, "")</f>
        <v/>
      </c>
      <c r="N6736" s="24" t="str" cm="1">
        <f t="array" ref="N6736">IFERROR(IF($B6736=N$1, ($A6736+$C6736) - MAX(IF($B$2:$B6735=$B6736, $A$2:$A6735+$C$2:$C6735)), "")*24*60, "")</f>
        <v/>
      </c>
      <c r="O6736" s="24" t="str" cm="1">
        <f t="array" ref="O6736">IFERROR(IF($B6736=O$1, ($A6736+$C6736) - MAX(IF($B$2:$B6735=$B6736, $A$2:$A6735+$C$2:$C6735)), "")*24*60, "")</f>
        <v/>
      </c>
      <c r="P6736" s="24" t="str" cm="1">
        <f t="array" ref="P6736">IFERROR(IF($B6736=P$1, ($A6736+$C6736) - MAX(IF($B$2:$B6735=$B6736, $A$2:$A6735+$C$2:$C6735)), "")*24*60, "")</f>
        <v/>
      </c>
      <c r="Q6736" s="24" t="str" cm="1">
        <f t="array" ref="Q6736">IFERROR(IF($B6736=Q$1, ($A6736+$C6736) - MAX(IF($B$2:$B6735=$B6736, $A$2:$A6735+$C$2:$C6735)), "")*24*60, "")</f>
        <v/>
      </c>
      <c r="R6736" s="24" t="str" cm="1">
        <f t="array" ref="R6736">IFERROR(IF($B6736=R$1, ($A6736+$C6736) - MAX(IF($B$2:$B6735=$B6736, $A$2:$A6735+$C$2:$C6735)), "")*24*60, "")</f>
        <v/>
      </c>
      <c r="S6736" s="24" t="str" cm="1">
        <f t="array" ref="S6736">IFERROR(IF($B6736=S$1, ($A6736+$C6736) - MAX(IF($B$2:$B6735=$B6736, $A$2:$A6735+$C$2:$C6735)), "")*24*60, "")</f>
        <v/>
      </c>
    </row>
    <row r="6737" spans="1:19" x14ac:dyDescent="0.2">
      <c r="A6737" s="12">
        <f t="shared" ref="A6737:C6737" si="1628">A6736</f>
        <v>45990</v>
      </c>
      <c r="B6737" s="5" t="str">
        <f t="shared" si="1628"/>
        <v>Northern Cardinal</v>
      </c>
      <c r="C6737" s="6">
        <f t="shared" si="1628"/>
        <v>0.28333333333333333</v>
      </c>
      <c r="D6737" s="5"/>
      <c r="E6737" s="5"/>
      <c r="F6737" s="5" t="s">
        <v>8</v>
      </c>
      <c r="G6737" s="15" t="s">
        <v>9</v>
      </c>
      <c r="H6737" s="24">
        <f t="shared" si="1572"/>
        <v>0</v>
      </c>
      <c r="I6737" s="24" cm="1">
        <f t="array" ref="I6737">IFERROR(IF($B6737=I$1, ($A6737+$C6737) - MAX(IF($B$2:$B6736=$B6737, $A$2:$A6736+$C$2:$C6736)), "")*24*60, "")</f>
        <v>0</v>
      </c>
      <c r="J6737" s="24" t="str" cm="1">
        <f t="array" ref="J6737">IFERROR(IF($B6737=J$1, ($A6737+$C6737) - MAX(IF($B$2:$B6736=$B6737, $A$2:$A6736+$C$2:$C6736)), "")*24*60, "")</f>
        <v/>
      </c>
      <c r="K6737" s="24" t="str" cm="1">
        <f t="array" ref="K6737">IFERROR(IF($B6737=K$1, ($A6737+$C6737) - MAX(IF($B$2:$B6736=$B6737, $A$2:$A6736+$C$2:$C6736)), "")*24*60, "")</f>
        <v/>
      </c>
      <c r="L6737" s="24" t="str" cm="1">
        <f t="array" ref="L6737">IFERROR(IF($B6737=L$1, ($A6737+$C6737) - MAX(IF($B$2:$B6736=$B6737, $A$2:$A6736+$C$2:$C6736)), "")*24*60, "")</f>
        <v/>
      </c>
      <c r="M6737" s="24" t="str" cm="1">
        <f t="array" ref="M6737">IFERROR(IF($B6737=M$1, ($A6737+$C6737) - MAX(IF($B$2:$B6736=$B6737, $A$2:$A6736+$C$2:$C6736)), "")*24*60, "")</f>
        <v/>
      </c>
      <c r="N6737" s="24" t="str" cm="1">
        <f t="array" ref="N6737">IFERROR(IF($B6737=N$1, ($A6737+$C6737) - MAX(IF($B$2:$B6736=$B6737, $A$2:$A6736+$C$2:$C6736)), "")*24*60, "")</f>
        <v/>
      </c>
      <c r="O6737" s="24" t="str" cm="1">
        <f t="array" ref="O6737">IFERROR(IF($B6737=O$1, ($A6737+$C6737) - MAX(IF($B$2:$B6736=$B6737, $A$2:$A6736+$C$2:$C6736)), "")*24*60, "")</f>
        <v/>
      </c>
      <c r="P6737" s="24" t="str" cm="1">
        <f t="array" ref="P6737">IFERROR(IF($B6737=P$1, ($A6737+$C6737) - MAX(IF($B$2:$B6736=$B6737, $A$2:$A6736+$C$2:$C6736)), "")*24*60, "")</f>
        <v/>
      </c>
      <c r="Q6737" s="24" t="str" cm="1">
        <f t="array" ref="Q6737">IFERROR(IF($B6737=Q$1, ($A6737+$C6737) - MAX(IF($B$2:$B6736=$B6737, $A$2:$A6736+$C$2:$C6736)), "")*24*60, "")</f>
        <v/>
      </c>
      <c r="R6737" s="24" t="str" cm="1">
        <f t="array" ref="R6737">IFERROR(IF($B6737=R$1, ($A6737+$C6737) - MAX(IF($B$2:$B6736=$B6737, $A$2:$A6736+$C$2:$C6736)), "")*24*60, "")</f>
        <v/>
      </c>
      <c r="S6737" s="24" t="str" cm="1">
        <f t="array" ref="S6737">IFERROR(IF($B6737=S$1, ($A6737+$C6737) - MAX(IF($B$2:$B6736=$B6737, $A$2:$A6736+$C$2:$C6736)), "")*24*60, "")</f>
        <v/>
      </c>
    </row>
    <row r="6738" spans="1:19" x14ac:dyDescent="0.2">
      <c r="A6738" s="12">
        <f t="shared" ref="A6738:C6738" si="1629">A6737</f>
        <v>45990</v>
      </c>
      <c r="B6738" s="5" t="str">
        <f t="shared" si="1629"/>
        <v>Northern Cardinal</v>
      </c>
      <c r="C6738" s="6">
        <f t="shared" si="1629"/>
        <v>0.28333333333333333</v>
      </c>
      <c r="D6738" s="5"/>
      <c r="E6738" s="5"/>
      <c r="F6738" s="5" t="s">
        <v>8</v>
      </c>
      <c r="G6738" s="15" t="s">
        <v>9</v>
      </c>
      <c r="H6738" s="24">
        <f t="shared" si="1572"/>
        <v>0</v>
      </c>
      <c r="I6738" s="24" cm="1">
        <f t="array" ref="I6738">IFERROR(IF($B6738=I$1, ($A6738+$C6738) - MAX(IF($B$2:$B6737=$B6738, $A$2:$A6737+$C$2:$C6737)), "")*24*60, "")</f>
        <v>0</v>
      </c>
      <c r="J6738" s="24" t="str" cm="1">
        <f t="array" ref="J6738">IFERROR(IF($B6738=J$1, ($A6738+$C6738) - MAX(IF($B$2:$B6737=$B6738, $A$2:$A6737+$C$2:$C6737)), "")*24*60, "")</f>
        <v/>
      </c>
      <c r="K6738" s="24" t="str" cm="1">
        <f t="array" ref="K6738">IFERROR(IF($B6738=K$1, ($A6738+$C6738) - MAX(IF($B$2:$B6737=$B6738, $A$2:$A6737+$C$2:$C6737)), "")*24*60, "")</f>
        <v/>
      </c>
      <c r="L6738" s="24" t="str" cm="1">
        <f t="array" ref="L6738">IFERROR(IF($B6738=L$1, ($A6738+$C6738) - MAX(IF($B$2:$B6737=$B6738, $A$2:$A6737+$C$2:$C6737)), "")*24*60, "")</f>
        <v/>
      </c>
      <c r="M6738" s="24" t="str" cm="1">
        <f t="array" ref="M6738">IFERROR(IF($B6738=M$1, ($A6738+$C6738) - MAX(IF($B$2:$B6737=$B6738, $A$2:$A6737+$C$2:$C6737)), "")*24*60, "")</f>
        <v/>
      </c>
      <c r="N6738" s="24" t="str" cm="1">
        <f t="array" ref="N6738">IFERROR(IF($B6738=N$1, ($A6738+$C6738) - MAX(IF($B$2:$B6737=$B6738, $A$2:$A6737+$C$2:$C6737)), "")*24*60, "")</f>
        <v/>
      </c>
      <c r="O6738" s="24" t="str" cm="1">
        <f t="array" ref="O6738">IFERROR(IF($B6738=O$1, ($A6738+$C6738) - MAX(IF($B$2:$B6737=$B6738, $A$2:$A6737+$C$2:$C6737)), "")*24*60, "")</f>
        <v/>
      </c>
      <c r="P6738" s="24" t="str" cm="1">
        <f t="array" ref="P6738">IFERROR(IF($B6738=P$1, ($A6738+$C6738) - MAX(IF($B$2:$B6737=$B6738, $A$2:$A6737+$C$2:$C6737)), "")*24*60, "")</f>
        <v/>
      </c>
      <c r="Q6738" s="24" t="str" cm="1">
        <f t="array" ref="Q6738">IFERROR(IF($B6738=Q$1, ($A6738+$C6738) - MAX(IF($B$2:$B6737=$B6738, $A$2:$A6737+$C$2:$C6737)), "")*24*60, "")</f>
        <v/>
      </c>
      <c r="R6738" s="24" t="str" cm="1">
        <f t="array" ref="R6738">IFERROR(IF($B6738=R$1, ($A6738+$C6738) - MAX(IF($B$2:$B6737=$B6738, $A$2:$A6737+$C$2:$C6737)), "")*24*60, "")</f>
        <v/>
      </c>
      <c r="S6738" s="24" t="str" cm="1">
        <f t="array" ref="S6738">IFERROR(IF($B6738=S$1, ($A6738+$C6738) - MAX(IF($B$2:$B6737=$B6738, $A$2:$A6737+$C$2:$C6737)), "")*24*60, "")</f>
        <v/>
      </c>
    </row>
    <row r="6739" spans="1:19" x14ac:dyDescent="0.2">
      <c r="A6739" s="12">
        <f t="shared" ref="A6739:C6739" si="1630">A6738</f>
        <v>45990</v>
      </c>
      <c r="B6739" s="5" t="str">
        <f t="shared" si="1630"/>
        <v>Northern Cardinal</v>
      </c>
      <c r="C6739" s="6">
        <f t="shared" si="1630"/>
        <v>0.28333333333333333</v>
      </c>
      <c r="D6739" s="5"/>
      <c r="E6739" s="5"/>
      <c r="F6739" s="5" t="s">
        <v>8</v>
      </c>
      <c r="G6739" s="15" t="s">
        <v>9</v>
      </c>
      <c r="H6739" s="24">
        <f t="shared" si="1572"/>
        <v>0</v>
      </c>
      <c r="I6739" s="24" cm="1">
        <f t="array" ref="I6739">IFERROR(IF($B6739=I$1, ($A6739+$C6739) - MAX(IF($B$2:$B6738=$B6739, $A$2:$A6738+$C$2:$C6738)), "")*24*60, "")</f>
        <v>0</v>
      </c>
      <c r="J6739" s="24" t="str" cm="1">
        <f t="array" ref="J6739">IFERROR(IF($B6739=J$1, ($A6739+$C6739) - MAX(IF($B$2:$B6738=$B6739, $A$2:$A6738+$C$2:$C6738)), "")*24*60, "")</f>
        <v/>
      </c>
      <c r="K6739" s="24" t="str" cm="1">
        <f t="array" ref="K6739">IFERROR(IF($B6739=K$1, ($A6739+$C6739) - MAX(IF($B$2:$B6738=$B6739, $A$2:$A6738+$C$2:$C6738)), "")*24*60, "")</f>
        <v/>
      </c>
      <c r="L6739" s="24" t="str" cm="1">
        <f t="array" ref="L6739">IFERROR(IF($B6739=L$1, ($A6739+$C6739) - MAX(IF($B$2:$B6738=$B6739, $A$2:$A6738+$C$2:$C6738)), "")*24*60, "")</f>
        <v/>
      </c>
      <c r="M6739" s="24" t="str" cm="1">
        <f t="array" ref="M6739">IFERROR(IF($B6739=M$1, ($A6739+$C6739) - MAX(IF($B$2:$B6738=$B6739, $A$2:$A6738+$C$2:$C6738)), "")*24*60, "")</f>
        <v/>
      </c>
      <c r="N6739" s="24" t="str" cm="1">
        <f t="array" ref="N6739">IFERROR(IF($B6739=N$1, ($A6739+$C6739) - MAX(IF($B$2:$B6738=$B6739, $A$2:$A6738+$C$2:$C6738)), "")*24*60, "")</f>
        <v/>
      </c>
      <c r="O6739" s="24" t="str" cm="1">
        <f t="array" ref="O6739">IFERROR(IF($B6739=O$1, ($A6739+$C6739) - MAX(IF($B$2:$B6738=$B6739, $A$2:$A6738+$C$2:$C6738)), "")*24*60, "")</f>
        <v/>
      </c>
      <c r="P6739" s="24" t="str" cm="1">
        <f t="array" ref="P6739">IFERROR(IF($B6739=P$1, ($A6739+$C6739) - MAX(IF($B$2:$B6738=$B6739, $A$2:$A6738+$C$2:$C6738)), "")*24*60, "")</f>
        <v/>
      </c>
      <c r="Q6739" s="24" t="str" cm="1">
        <f t="array" ref="Q6739">IFERROR(IF($B6739=Q$1, ($A6739+$C6739) - MAX(IF($B$2:$B6738=$B6739, $A$2:$A6738+$C$2:$C6738)), "")*24*60, "")</f>
        <v/>
      </c>
      <c r="R6739" s="24" t="str" cm="1">
        <f t="array" ref="R6739">IFERROR(IF($B6739=R$1, ($A6739+$C6739) - MAX(IF($B$2:$B6738=$B6739, $A$2:$A6738+$C$2:$C6738)), "")*24*60, "")</f>
        <v/>
      </c>
      <c r="S6739" s="24" t="str" cm="1">
        <f t="array" ref="S6739">IFERROR(IF($B6739=S$1, ($A6739+$C6739) - MAX(IF($B$2:$B6738=$B6739, $A$2:$A6738+$C$2:$C6738)), "")*24*60, "")</f>
        <v/>
      </c>
    </row>
    <row r="6740" spans="1:19" x14ac:dyDescent="0.2">
      <c r="A6740" s="12">
        <f t="shared" ref="A6740:C6740" si="1631">A6739</f>
        <v>45990</v>
      </c>
      <c r="B6740" s="5" t="str">
        <f t="shared" si="1631"/>
        <v>Northern Cardinal</v>
      </c>
      <c r="C6740" s="6">
        <f t="shared" si="1631"/>
        <v>0.28333333333333333</v>
      </c>
      <c r="D6740" s="5"/>
      <c r="E6740" s="5"/>
      <c r="F6740" s="5" t="s">
        <v>8</v>
      </c>
      <c r="G6740" s="15" t="s">
        <v>9</v>
      </c>
      <c r="H6740" s="24">
        <f t="shared" si="1572"/>
        <v>0</v>
      </c>
      <c r="I6740" s="24" cm="1">
        <f t="array" ref="I6740">IFERROR(IF($B6740=I$1, ($A6740+$C6740) - MAX(IF($B$2:$B6739=$B6740, $A$2:$A6739+$C$2:$C6739)), "")*24*60, "")</f>
        <v>0</v>
      </c>
      <c r="J6740" s="24" t="str" cm="1">
        <f t="array" ref="J6740">IFERROR(IF($B6740=J$1, ($A6740+$C6740) - MAX(IF($B$2:$B6739=$B6740, $A$2:$A6739+$C$2:$C6739)), "")*24*60, "")</f>
        <v/>
      </c>
      <c r="K6740" s="24" t="str" cm="1">
        <f t="array" ref="K6740">IFERROR(IF($B6740=K$1, ($A6740+$C6740) - MAX(IF($B$2:$B6739=$B6740, $A$2:$A6739+$C$2:$C6739)), "")*24*60, "")</f>
        <v/>
      </c>
      <c r="L6740" s="24" t="str" cm="1">
        <f t="array" ref="L6740">IFERROR(IF($B6740=L$1, ($A6740+$C6740) - MAX(IF($B$2:$B6739=$B6740, $A$2:$A6739+$C$2:$C6739)), "")*24*60, "")</f>
        <v/>
      </c>
      <c r="M6740" s="24" t="str" cm="1">
        <f t="array" ref="M6740">IFERROR(IF($B6740=M$1, ($A6740+$C6740) - MAX(IF($B$2:$B6739=$B6740, $A$2:$A6739+$C$2:$C6739)), "")*24*60, "")</f>
        <v/>
      </c>
      <c r="N6740" s="24" t="str" cm="1">
        <f t="array" ref="N6740">IFERROR(IF($B6740=N$1, ($A6740+$C6740) - MAX(IF($B$2:$B6739=$B6740, $A$2:$A6739+$C$2:$C6739)), "")*24*60, "")</f>
        <v/>
      </c>
      <c r="O6740" s="24" t="str" cm="1">
        <f t="array" ref="O6740">IFERROR(IF($B6740=O$1, ($A6740+$C6740) - MAX(IF($B$2:$B6739=$B6740, $A$2:$A6739+$C$2:$C6739)), "")*24*60, "")</f>
        <v/>
      </c>
      <c r="P6740" s="24" t="str" cm="1">
        <f t="array" ref="P6740">IFERROR(IF($B6740=P$1, ($A6740+$C6740) - MAX(IF($B$2:$B6739=$B6740, $A$2:$A6739+$C$2:$C6739)), "")*24*60, "")</f>
        <v/>
      </c>
      <c r="Q6740" s="24" t="str" cm="1">
        <f t="array" ref="Q6740">IFERROR(IF($B6740=Q$1, ($A6740+$C6740) - MAX(IF($B$2:$B6739=$B6740, $A$2:$A6739+$C$2:$C6739)), "")*24*60, "")</f>
        <v/>
      </c>
      <c r="R6740" s="24" t="str" cm="1">
        <f t="array" ref="R6740">IFERROR(IF($B6740=R$1, ($A6740+$C6740) - MAX(IF($B$2:$B6739=$B6740, $A$2:$A6739+$C$2:$C6739)), "")*24*60, "")</f>
        <v/>
      </c>
      <c r="S6740" s="24" t="str" cm="1">
        <f t="array" ref="S6740">IFERROR(IF($B6740=S$1, ($A6740+$C6740) - MAX(IF($B$2:$B6739=$B6740, $A$2:$A6739+$C$2:$C6739)), "")*24*60, "")</f>
        <v/>
      </c>
    </row>
    <row r="6741" spans="1:19" x14ac:dyDescent="0.2">
      <c r="A6741" s="12">
        <f t="shared" ref="A6741:C6741" si="1632">A6740</f>
        <v>45990</v>
      </c>
      <c r="B6741" s="5" t="str">
        <f t="shared" si="1632"/>
        <v>Northern Cardinal</v>
      </c>
      <c r="C6741" s="6">
        <f t="shared" si="1632"/>
        <v>0.28333333333333333</v>
      </c>
      <c r="D6741" s="5"/>
      <c r="E6741" s="5"/>
      <c r="F6741" s="5" t="s">
        <v>8</v>
      </c>
      <c r="G6741" s="15" t="s">
        <v>9</v>
      </c>
      <c r="H6741" s="24">
        <f t="shared" si="1572"/>
        <v>0</v>
      </c>
      <c r="I6741" s="24" cm="1">
        <f t="array" ref="I6741">IFERROR(IF($B6741=I$1, ($A6741+$C6741) - MAX(IF($B$2:$B6740=$B6741, $A$2:$A6740+$C$2:$C6740)), "")*24*60, "")</f>
        <v>0</v>
      </c>
      <c r="J6741" s="24" t="str" cm="1">
        <f t="array" ref="J6741">IFERROR(IF($B6741=J$1, ($A6741+$C6741) - MAX(IF($B$2:$B6740=$B6741, $A$2:$A6740+$C$2:$C6740)), "")*24*60, "")</f>
        <v/>
      </c>
      <c r="K6741" s="24" t="str" cm="1">
        <f t="array" ref="K6741">IFERROR(IF($B6741=K$1, ($A6741+$C6741) - MAX(IF($B$2:$B6740=$B6741, $A$2:$A6740+$C$2:$C6740)), "")*24*60, "")</f>
        <v/>
      </c>
      <c r="L6741" s="24" t="str" cm="1">
        <f t="array" ref="L6741">IFERROR(IF($B6741=L$1, ($A6741+$C6741) - MAX(IF($B$2:$B6740=$B6741, $A$2:$A6740+$C$2:$C6740)), "")*24*60, "")</f>
        <v/>
      </c>
      <c r="M6741" s="24" t="str" cm="1">
        <f t="array" ref="M6741">IFERROR(IF($B6741=M$1, ($A6741+$C6741) - MAX(IF($B$2:$B6740=$B6741, $A$2:$A6740+$C$2:$C6740)), "")*24*60, "")</f>
        <v/>
      </c>
      <c r="N6741" s="24" t="str" cm="1">
        <f t="array" ref="N6741">IFERROR(IF($B6741=N$1, ($A6741+$C6741) - MAX(IF($B$2:$B6740=$B6741, $A$2:$A6740+$C$2:$C6740)), "")*24*60, "")</f>
        <v/>
      </c>
      <c r="O6741" s="24" t="str" cm="1">
        <f t="array" ref="O6741">IFERROR(IF($B6741=O$1, ($A6741+$C6741) - MAX(IF($B$2:$B6740=$B6741, $A$2:$A6740+$C$2:$C6740)), "")*24*60, "")</f>
        <v/>
      </c>
      <c r="P6741" s="24" t="str" cm="1">
        <f t="array" ref="P6741">IFERROR(IF($B6741=P$1, ($A6741+$C6741) - MAX(IF($B$2:$B6740=$B6741, $A$2:$A6740+$C$2:$C6740)), "")*24*60, "")</f>
        <v/>
      </c>
      <c r="Q6741" s="24" t="str" cm="1">
        <f t="array" ref="Q6741">IFERROR(IF($B6741=Q$1, ($A6741+$C6741) - MAX(IF($B$2:$B6740=$B6741, $A$2:$A6740+$C$2:$C6740)), "")*24*60, "")</f>
        <v/>
      </c>
      <c r="R6741" s="24" t="str" cm="1">
        <f t="array" ref="R6741">IFERROR(IF($B6741=R$1, ($A6741+$C6741) - MAX(IF($B$2:$B6740=$B6741, $A$2:$A6740+$C$2:$C6740)), "")*24*60, "")</f>
        <v/>
      </c>
      <c r="S6741" s="24" t="str" cm="1">
        <f t="array" ref="S6741">IFERROR(IF($B6741=S$1, ($A6741+$C6741) - MAX(IF($B$2:$B6740=$B6741, $A$2:$A6740+$C$2:$C6740)), "")*24*60, "")</f>
        <v/>
      </c>
    </row>
    <row r="6742" spans="1:19" x14ac:dyDescent="0.2">
      <c r="A6742" s="12">
        <f t="shared" ref="A6742:C6742" si="1633">A6741</f>
        <v>45990</v>
      </c>
      <c r="B6742" s="5" t="str">
        <f t="shared" si="1633"/>
        <v>Northern Cardinal</v>
      </c>
      <c r="C6742" s="6">
        <f t="shared" si="1633"/>
        <v>0.28333333333333333</v>
      </c>
      <c r="D6742" s="5"/>
      <c r="E6742" s="5"/>
      <c r="F6742" s="5" t="s">
        <v>8</v>
      </c>
      <c r="G6742" s="15" t="s">
        <v>9</v>
      </c>
      <c r="H6742" s="24">
        <f t="shared" si="1572"/>
        <v>0</v>
      </c>
      <c r="I6742" s="24" cm="1">
        <f t="array" ref="I6742">IFERROR(IF($B6742=I$1, ($A6742+$C6742) - MAX(IF($B$2:$B6741=$B6742, $A$2:$A6741+$C$2:$C6741)), "")*24*60, "")</f>
        <v>0</v>
      </c>
      <c r="J6742" s="24" t="str" cm="1">
        <f t="array" ref="J6742">IFERROR(IF($B6742=J$1, ($A6742+$C6742) - MAX(IF($B$2:$B6741=$B6742, $A$2:$A6741+$C$2:$C6741)), "")*24*60, "")</f>
        <v/>
      </c>
      <c r="K6742" s="24" t="str" cm="1">
        <f t="array" ref="K6742">IFERROR(IF($B6742=K$1, ($A6742+$C6742) - MAX(IF($B$2:$B6741=$B6742, $A$2:$A6741+$C$2:$C6741)), "")*24*60, "")</f>
        <v/>
      </c>
      <c r="L6742" s="24" t="str" cm="1">
        <f t="array" ref="L6742">IFERROR(IF($B6742=L$1, ($A6742+$C6742) - MAX(IF($B$2:$B6741=$B6742, $A$2:$A6741+$C$2:$C6741)), "")*24*60, "")</f>
        <v/>
      </c>
      <c r="M6742" s="24" t="str" cm="1">
        <f t="array" ref="M6742">IFERROR(IF($B6742=M$1, ($A6742+$C6742) - MAX(IF($B$2:$B6741=$B6742, $A$2:$A6741+$C$2:$C6741)), "")*24*60, "")</f>
        <v/>
      </c>
      <c r="N6742" s="24" t="str" cm="1">
        <f t="array" ref="N6742">IFERROR(IF($B6742=N$1, ($A6742+$C6742) - MAX(IF($B$2:$B6741=$B6742, $A$2:$A6741+$C$2:$C6741)), "")*24*60, "")</f>
        <v/>
      </c>
      <c r="O6742" s="24" t="str" cm="1">
        <f t="array" ref="O6742">IFERROR(IF($B6742=O$1, ($A6742+$C6742) - MAX(IF($B$2:$B6741=$B6742, $A$2:$A6741+$C$2:$C6741)), "")*24*60, "")</f>
        <v/>
      </c>
      <c r="P6742" s="24" t="str" cm="1">
        <f t="array" ref="P6742">IFERROR(IF($B6742=P$1, ($A6742+$C6742) - MAX(IF($B$2:$B6741=$B6742, $A$2:$A6741+$C$2:$C6741)), "")*24*60, "")</f>
        <v/>
      </c>
      <c r="Q6742" s="24" t="str" cm="1">
        <f t="array" ref="Q6742">IFERROR(IF($B6742=Q$1, ($A6742+$C6742) - MAX(IF($B$2:$B6741=$B6742, $A$2:$A6741+$C$2:$C6741)), "")*24*60, "")</f>
        <v/>
      </c>
      <c r="R6742" s="24" t="str" cm="1">
        <f t="array" ref="R6742">IFERROR(IF($B6742=R$1, ($A6742+$C6742) - MAX(IF($B$2:$B6741=$B6742, $A$2:$A6741+$C$2:$C6741)), "")*24*60, "")</f>
        <v/>
      </c>
      <c r="S6742" s="24" t="str" cm="1">
        <f t="array" ref="S6742">IFERROR(IF($B6742=S$1, ($A6742+$C6742) - MAX(IF($B$2:$B6741=$B6742, $A$2:$A6741+$C$2:$C6741)), "")*24*60, "")</f>
        <v/>
      </c>
    </row>
    <row r="6743" spans="1:19" x14ac:dyDescent="0.2">
      <c r="A6743" s="12">
        <f t="shared" ref="A6743:C6743" si="1634">A6742</f>
        <v>45990</v>
      </c>
      <c r="B6743" s="5" t="str">
        <f t="shared" si="1634"/>
        <v>Northern Cardinal</v>
      </c>
      <c r="C6743" s="6">
        <f t="shared" si="1634"/>
        <v>0.28333333333333333</v>
      </c>
      <c r="D6743" s="5"/>
      <c r="E6743" s="5"/>
      <c r="F6743" s="5" t="s">
        <v>8</v>
      </c>
      <c r="G6743" s="15" t="s">
        <v>9</v>
      </c>
      <c r="H6743" s="24">
        <f t="shared" si="1572"/>
        <v>0</v>
      </c>
      <c r="I6743" s="24" cm="1">
        <f t="array" ref="I6743">IFERROR(IF($B6743=I$1, ($A6743+$C6743) - MAX(IF($B$2:$B6742=$B6743, $A$2:$A6742+$C$2:$C6742)), "")*24*60, "")</f>
        <v>0</v>
      </c>
      <c r="J6743" s="24" t="str" cm="1">
        <f t="array" ref="J6743">IFERROR(IF($B6743=J$1, ($A6743+$C6743) - MAX(IF($B$2:$B6742=$B6743, $A$2:$A6742+$C$2:$C6742)), "")*24*60, "")</f>
        <v/>
      </c>
      <c r="K6743" s="24" t="str" cm="1">
        <f t="array" ref="K6743">IFERROR(IF($B6743=K$1, ($A6743+$C6743) - MAX(IF($B$2:$B6742=$B6743, $A$2:$A6742+$C$2:$C6742)), "")*24*60, "")</f>
        <v/>
      </c>
      <c r="L6743" s="24" t="str" cm="1">
        <f t="array" ref="L6743">IFERROR(IF($B6743=L$1, ($A6743+$C6743) - MAX(IF($B$2:$B6742=$B6743, $A$2:$A6742+$C$2:$C6742)), "")*24*60, "")</f>
        <v/>
      </c>
      <c r="M6743" s="24" t="str" cm="1">
        <f t="array" ref="M6743">IFERROR(IF($B6743=M$1, ($A6743+$C6743) - MAX(IF($B$2:$B6742=$B6743, $A$2:$A6742+$C$2:$C6742)), "")*24*60, "")</f>
        <v/>
      </c>
      <c r="N6743" s="24" t="str" cm="1">
        <f t="array" ref="N6743">IFERROR(IF($B6743=N$1, ($A6743+$C6743) - MAX(IF($B$2:$B6742=$B6743, $A$2:$A6742+$C$2:$C6742)), "")*24*60, "")</f>
        <v/>
      </c>
      <c r="O6743" s="24" t="str" cm="1">
        <f t="array" ref="O6743">IFERROR(IF($B6743=O$1, ($A6743+$C6743) - MAX(IF($B$2:$B6742=$B6743, $A$2:$A6742+$C$2:$C6742)), "")*24*60, "")</f>
        <v/>
      </c>
      <c r="P6743" s="24" t="str" cm="1">
        <f t="array" ref="P6743">IFERROR(IF($B6743=P$1, ($A6743+$C6743) - MAX(IF($B$2:$B6742=$B6743, $A$2:$A6742+$C$2:$C6742)), "")*24*60, "")</f>
        <v/>
      </c>
      <c r="Q6743" s="24" t="str" cm="1">
        <f t="array" ref="Q6743">IFERROR(IF($B6743=Q$1, ($A6743+$C6743) - MAX(IF($B$2:$B6742=$B6743, $A$2:$A6742+$C$2:$C6742)), "")*24*60, "")</f>
        <v/>
      </c>
      <c r="R6743" s="24" t="str" cm="1">
        <f t="array" ref="R6743">IFERROR(IF($B6743=R$1, ($A6743+$C6743) - MAX(IF($B$2:$B6742=$B6743, $A$2:$A6742+$C$2:$C6742)), "")*24*60, "")</f>
        <v/>
      </c>
      <c r="S6743" s="24" t="str" cm="1">
        <f t="array" ref="S6743">IFERROR(IF($B6743=S$1, ($A6743+$C6743) - MAX(IF($B$2:$B6742=$B6743, $A$2:$A6742+$C$2:$C6742)), "")*24*60, "")</f>
        <v/>
      </c>
    </row>
    <row r="6744" spans="1:19" x14ac:dyDescent="0.2">
      <c r="A6744" s="12">
        <f t="shared" ref="A6744:C6744" si="1635">A6743</f>
        <v>45990</v>
      </c>
      <c r="B6744" s="5" t="str">
        <f t="shared" si="1635"/>
        <v>Northern Cardinal</v>
      </c>
      <c r="C6744" s="6">
        <f t="shared" si="1635"/>
        <v>0.28333333333333333</v>
      </c>
      <c r="D6744" s="5"/>
      <c r="E6744" s="5"/>
      <c r="F6744" s="5" t="s">
        <v>8</v>
      </c>
      <c r="G6744" s="15" t="s">
        <v>9</v>
      </c>
      <c r="H6744" s="24">
        <f t="shared" si="1572"/>
        <v>0</v>
      </c>
      <c r="I6744" s="24" cm="1">
        <f t="array" ref="I6744">IFERROR(IF($B6744=I$1, ($A6744+$C6744) - MAX(IF($B$2:$B6743=$B6744, $A$2:$A6743+$C$2:$C6743)), "")*24*60, "")</f>
        <v>0</v>
      </c>
      <c r="J6744" s="24" t="str" cm="1">
        <f t="array" ref="J6744">IFERROR(IF($B6744=J$1, ($A6744+$C6744) - MAX(IF($B$2:$B6743=$B6744, $A$2:$A6743+$C$2:$C6743)), "")*24*60, "")</f>
        <v/>
      </c>
      <c r="K6744" s="24" t="str" cm="1">
        <f t="array" ref="K6744">IFERROR(IF($B6744=K$1, ($A6744+$C6744) - MAX(IF($B$2:$B6743=$B6744, $A$2:$A6743+$C$2:$C6743)), "")*24*60, "")</f>
        <v/>
      </c>
      <c r="L6744" s="24" t="str" cm="1">
        <f t="array" ref="L6744">IFERROR(IF($B6744=L$1, ($A6744+$C6744) - MAX(IF($B$2:$B6743=$B6744, $A$2:$A6743+$C$2:$C6743)), "")*24*60, "")</f>
        <v/>
      </c>
      <c r="M6744" s="24" t="str" cm="1">
        <f t="array" ref="M6744">IFERROR(IF($B6744=M$1, ($A6744+$C6744) - MAX(IF($B$2:$B6743=$B6744, $A$2:$A6743+$C$2:$C6743)), "")*24*60, "")</f>
        <v/>
      </c>
      <c r="N6744" s="24" t="str" cm="1">
        <f t="array" ref="N6744">IFERROR(IF($B6744=N$1, ($A6744+$C6744) - MAX(IF($B$2:$B6743=$B6744, $A$2:$A6743+$C$2:$C6743)), "")*24*60, "")</f>
        <v/>
      </c>
      <c r="O6744" s="24" t="str" cm="1">
        <f t="array" ref="O6744">IFERROR(IF($B6744=O$1, ($A6744+$C6744) - MAX(IF($B$2:$B6743=$B6744, $A$2:$A6743+$C$2:$C6743)), "")*24*60, "")</f>
        <v/>
      </c>
      <c r="P6744" s="24" t="str" cm="1">
        <f t="array" ref="P6744">IFERROR(IF($B6744=P$1, ($A6744+$C6744) - MAX(IF($B$2:$B6743=$B6744, $A$2:$A6743+$C$2:$C6743)), "")*24*60, "")</f>
        <v/>
      </c>
      <c r="Q6744" s="24" t="str" cm="1">
        <f t="array" ref="Q6744">IFERROR(IF($B6744=Q$1, ($A6744+$C6744) - MAX(IF($B$2:$B6743=$B6744, $A$2:$A6743+$C$2:$C6743)), "")*24*60, "")</f>
        <v/>
      </c>
      <c r="R6744" s="24" t="str" cm="1">
        <f t="array" ref="R6744">IFERROR(IF($B6744=R$1, ($A6744+$C6744) - MAX(IF($B$2:$B6743=$B6744, $A$2:$A6743+$C$2:$C6743)), "")*24*60, "")</f>
        <v/>
      </c>
      <c r="S6744" s="24" t="str" cm="1">
        <f t="array" ref="S6744">IFERROR(IF($B6744=S$1, ($A6744+$C6744) - MAX(IF($B$2:$B6743=$B6744, $A$2:$A6743+$C$2:$C6743)), "")*24*60, "")</f>
        <v/>
      </c>
    </row>
    <row r="6745" spans="1:19" x14ac:dyDescent="0.2">
      <c r="A6745" s="12">
        <f t="shared" ref="A6745:C6745" si="1636">A6744</f>
        <v>45990</v>
      </c>
      <c r="B6745" s="5" t="str">
        <f t="shared" si="1636"/>
        <v>Northern Cardinal</v>
      </c>
      <c r="C6745" s="6">
        <f t="shared" si="1636"/>
        <v>0.28333333333333333</v>
      </c>
      <c r="D6745" s="5"/>
      <c r="E6745" s="5"/>
      <c r="F6745" s="5" t="s">
        <v>8</v>
      </c>
      <c r="G6745" s="15" t="s">
        <v>9</v>
      </c>
      <c r="H6745" s="24">
        <f t="shared" ref="H6745:H6770" si="1637">IFERROR((($A6745+$C6745) - ($A6744+$C6744))*24*60, "")</f>
        <v>0</v>
      </c>
      <c r="I6745" s="24" cm="1">
        <f t="array" ref="I6745">IFERROR(IF($B6745=I$1, ($A6745+$C6745) - MAX(IF($B$2:$B6744=$B6745, $A$2:$A6744+$C$2:$C6744)), "")*24*60, "")</f>
        <v>0</v>
      </c>
      <c r="J6745" s="24" t="str" cm="1">
        <f t="array" ref="J6745">IFERROR(IF($B6745=J$1, ($A6745+$C6745) - MAX(IF($B$2:$B6744=$B6745, $A$2:$A6744+$C$2:$C6744)), "")*24*60, "")</f>
        <v/>
      </c>
      <c r="K6745" s="24" t="str" cm="1">
        <f t="array" ref="K6745">IFERROR(IF($B6745=K$1, ($A6745+$C6745) - MAX(IF($B$2:$B6744=$B6745, $A$2:$A6744+$C$2:$C6744)), "")*24*60, "")</f>
        <v/>
      </c>
      <c r="L6745" s="24" t="str" cm="1">
        <f t="array" ref="L6745">IFERROR(IF($B6745=L$1, ($A6745+$C6745) - MAX(IF($B$2:$B6744=$B6745, $A$2:$A6744+$C$2:$C6744)), "")*24*60, "")</f>
        <v/>
      </c>
      <c r="M6745" s="24" t="str" cm="1">
        <f t="array" ref="M6745">IFERROR(IF($B6745=M$1, ($A6745+$C6745) - MAX(IF($B$2:$B6744=$B6745, $A$2:$A6744+$C$2:$C6744)), "")*24*60, "")</f>
        <v/>
      </c>
      <c r="N6745" s="24" t="str" cm="1">
        <f t="array" ref="N6745">IFERROR(IF($B6745=N$1, ($A6745+$C6745) - MAX(IF($B$2:$B6744=$B6745, $A$2:$A6744+$C$2:$C6744)), "")*24*60, "")</f>
        <v/>
      </c>
      <c r="O6745" s="24" t="str" cm="1">
        <f t="array" ref="O6745">IFERROR(IF($B6745=O$1, ($A6745+$C6745) - MAX(IF($B$2:$B6744=$B6745, $A$2:$A6744+$C$2:$C6744)), "")*24*60, "")</f>
        <v/>
      </c>
      <c r="P6745" s="24" t="str" cm="1">
        <f t="array" ref="P6745">IFERROR(IF($B6745=P$1, ($A6745+$C6745) - MAX(IF($B$2:$B6744=$B6745, $A$2:$A6744+$C$2:$C6744)), "")*24*60, "")</f>
        <v/>
      </c>
      <c r="Q6745" s="24" t="str" cm="1">
        <f t="array" ref="Q6745">IFERROR(IF($B6745=Q$1, ($A6745+$C6745) - MAX(IF($B$2:$B6744=$B6745, $A$2:$A6744+$C$2:$C6744)), "")*24*60, "")</f>
        <v/>
      </c>
      <c r="R6745" s="24" t="str" cm="1">
        <f t="array" ref="R6745">IFERROR(IF($B6745=R$1, ($A6745+$C6745) - MAX(IF($B$2:$B6744=$B6745, $A$2:$A6744+$C$2:$C6744)), "")*24*60, "")</f>
        <v/>
      </c>
      <c r="S6745" s="24" t="str" cm="1">
        <f t="array" ref="S6745">IFERROR(IF($B6745=S$1, ($A6745+$C6745) - MAX(IF($B$2:$B6744=$B6745, $A$2:$A6744+$C$2:$C6744)), "")*24*60, "")</f>
        <v/>
      </c>
    </row>
    <row r="6746" spans="1:19" x14ac:dyDescent="0.2">
      <c r="A6746" s="12">
        <f t="shared" ref="A6746:C6746" si="1638">A6745</f>
        <v>45990</v>
      </c>
      <c r="B6746" s="5" t="str">
        <f t="shared" si="1638"/>
        <v>Northern Cardinal</v>
      </c>
      <c r="C6746" s="6">
        <f t="shared" si="1638"/>
        <v>0.28333333333333333</v>
      </c>
      <c r="D6746" s="5"/>
      <c r="E6746" s="5"/>
      <c r="F6746" s="5" t="s">
        <v>8</v>
      </c>
      <c r="G6746" s="15" t="s">
        <v>9</v>
      </c>
      <c r="H6746" s="24">
        <f t="shared" si="1637"/>
        <v>0</v>
      </c>
      <c r="I6746" s="24" cm="1">
        <f t="array" ref="I6746">IFERROR(IF($B6746=I$1, ($A6746+$C6746) - MAX(IF($B$2:$B6745=$B6746, $A$2:$A6745+$C$2:$C6745)), "")*24*60, "")</f>
        <v>0</v>
      </c>
      <c r="J6746" s="24" t="str" cm="1">
        <f t="array" ref="J6746">IFERROR(IF($B6746=J$1, ($A6746+$C6746) - MAX(IF($B$2:$B6745=$B6746, $A$2:$A6745+$C$2:$C6745)), "")*24*60, "")</f>
        <v/>
      </c>
      <c r="K6746" s="24" t="str" cm="1">
        <f t="array" ref="K6746">IFERROR(IF($B6746=K$1, ($A6746+$C6746) - MAX(IF($B$2:$B6745=$B6746, $A$2:$A6745+$C$2:$C6745)), "")*24*60, "")</f>
        <v/>
      </c>
      <c r="L6746" s="24" t="str" cm="1">
        <f t="array" ref="L6746">IFERROR(IF($B6746=L$1, ($A6746+$C6746) - MAX(IF($B$2:$B6745=$B6746, $A$2:$A6745+$C$2:$C6745)), "")*24*60, "")</f>
        <v/>
      </c>
      <c r="M6746" s="24" t="str" cm="1">
        <f t="array" ref="M6746">IFERROR(IF($B6746=M$1, ($A6746+$C6746) - MAX(IF($B$2:$B6745=$B6746, $A$2:$A6745+$C$2:$C6745)), "")*24*60, "")</f>
        <v/>
      </c>
      <c r="N6746" s="24" t="str" cm="1">
        <f t="array" ref="N6746">IFERROR(IF($B6746=N$1, ($A6746+$C6746) - MAX(IF($B$2:$B6745=$B6746, $A$2:$A6745+$C$2:$C6745)), "")*24*60, "")</f>
        <v/>
      </c>
      <c r="O6746" s="24" t="str" cm="1">
        <f t="array" ref="O6746">IFERROR(IF($B6746=O$1, ($A6746+$C6746) - MAX(IF($B$2:$B6745=$B6746, $A$2:$A6745+$C$2:$C6745)), "")*24*60, "")</f>
        <v/>
      </c>
      <c r="P6746" s="24" t="str" cm="1">
        <f t="array" ref="P6746">IFERROR(IF($B6746=P$1, ($A6746+$C6746) - MAX(IF($B$2:$B6745=$B6746, $A$2:$A6745+$C$2:$C6745)), "")*24*60, "")</f>
        <v/>
      </c>
      <c r="Q6746" s="24" t="str" cm="1">
        <f t="array" ref="Q6746">IFERROR(IF($B6746=Q$1, ($A6746+$C6746) - MAX(IF($B$2:$B6745=$B6746, $A$2:$A6745+$C$2:$C6745)), "")*24*60, "")</f>
        <v/>
      </c>
      <c r="R6746" s="24" t="str" cm="1">
        <f t="array" ref="R6746">IFERROR(IF($B6746=R$1, ($A6746+$C6746) - MAX(IF($B$2:$B6745=$B6746, $A$2:$A6745+$C$2:$C6745)), "")*24*60, "")</f>
        <v/>
      </c>
      <c r="S6746" s="24" t="str" cm="1">
        <f t="array" ref="S6746">IFERROR(IF($B6746=S$1, ($A6746+$C6746) - MAX(IF($B$2:$B6745=$B6746, $A$2:$A6745+$C$2:$C6745)), "")*24*60, "")</f>
        <v/>
      </c>
    </row>
    <row r="6747" spans="1:19" x14ac:dyDescent="0.2">
      <c r="A6747" s="12">
        <f t="shared" ref="A6747:C6747" si="1639">A6746</f>
        <v>45990</v>
      </c>
      <c r="B6747" s="5" t="str">
        <f t="shared" si="1639"/>
        <v>Northern Cardinal</v>
      </c>
      <c r="C6747" s="6">
        <f t="shared" si="1639"/>
        <v>0.28333333333333333</v>
      </c>
      <c r="D6747" s="5"/>
      <c r="E6747" s="5"/>
      <c r="F6747" s="5" t="s">
        <v>8</v>
      </c>
      <c r="G6747" s="15" t="s">
        <v>9</v>
      </c>
      <c r="H6747" s="24">
        <f t="shared" si="1637"/>
        <v>0</v>
      </c>
      <c r="I6747" s="24" cm="1">
        <f t="array" ref="I6747">IFERROR(IF($B6747=I$1, ($A6747+$C6747) - MAX(IF($B$2:$B6746=$B6747, $A$2:$A6746+$C$2:$C6746)), "")*24*60, "")</f>
        <v>0</v>
      </c>
      <c r="J6747" s="24" t="str" cm="1">
        <f t="array" ref="J6747">IFERROR(IF($B6747=J$1, ($A6747+$C6747) - MAX(IF($B$2:$B6746=$B6747, $A$2:$A6746+$C$2:$C6746)), "")*24*60, "")</f>
        <v/>
      </c>
      <c r="K6747" s="24" t="str" cm="1">
        <f t="array" ref="K6747">IFERROR(IF($B6747=K$1, ($A6747+$C6747) - MAX(IF($B$2:$B6746=$B6747, $A$2:$A6746+$C$2:$C6746)), "")*24*60, "")</f>
        <v/>
      </c>
      <c r="L6747" s="24" t="str" cm="1">
        <f t="array" ref="L6747">IFERROR(IF($B6747=L$1, ($A6747+$C6747) - MAX(IF($B$2:$B6746=$B6747, $A$2:$A6746+$C$2:$C6746)), "")*24*60, "")</f>
        <v/>
      </c>
      <c r="M6747" s="24" t="str" cm="1">
        <f t="array" ref="M6747">IFERROR(IF($B6747=M$1, ($A6747+$C6747) - MAX(IF($B$2:$B6746=$B6747, $A$2:$A6746+$C$2:$C6746)), "")*24*60, "")</f>
        <v/>
      </c>
      <c r="N6747" s="24" t="str" cm="1">
        <f t="array" ref="N6747">IFERROR(IF($B6747=N$1, ($A6747+$C6747) - MAX(IF($B$2:$B6746=$B6747, $A$2:$A6746+$C$2:$C6746)), "")*24*60, "")</f>
        <v/>
      </c>
      <c r="O6747" s="24" t="str" cm="1">
        <f t="array" ref="O6747">IFERROR(IF($B6747=O$1, ($A6747+$C6747) - MAX(IF($B$2:$B6746=$B6747, $A$2:$A6746+$C$2:$C6746)), "")*24*60, "")</f>
        <v/>
      </c>
      <c r="P6747" s="24" t="str" cm="1">
        <f t="array" ref="P6747">IFERROR(IF($B6747=P$1, ($A6747+$C6747) - MAX(IF($B$2:$B6746=$B6747, $A$2:$A6746+$C$2:$C6746)), "")*24*60, "")</f>
        <v/>
      </c>
      <c r="Q6747" s="24" t="str" cm="1">
        <f t="array" ref="Q6747">IFERROR(IF($B6747=Q$1, ($A6747+$C6747) - MAX(IF($B$2:$B6746=$B6747, $A$2:$A6746+$C$2:$C6746)), "")*24*60, "")</f>
        <v/>
      </c>
      <c r="R6747" s="24" t="str" cm="1">
        <f t="array" ref="R6747">IFERROR(IF($B6747=R$1, ($A6747+$C6747) - MAX(IF($B$2:$B6746=$B6747, $A$2:$A6746+$C$2:$C6746)), "")*24*60, "")</f>
        <v/>
      </c>
      <c r="S6747" s="24" t="str" cm="1">
        <f t="array" ref="S6747">IFERROR(IF($B6747=S$1, ($A6747+$C6747) - MAX(IF($B$2:$B6746=$B6747, $A$2:$A6746+$C$2:$C6746)), "")*24*60, "")</f>
        <v/>
      </c>
    </row>
    <row r="6748" spans="1:19" x14ac:dyDescent="0.2">
      <c r="A6748" s="12">
        <f t="shared" ref="A6748:C6748" si="1640">A6747</f>
        <v>45990</v>
      </c>
      <c r="B6748" s="5" t="str">
        <f t="shared" si="1640"/>
        <v>Northern Cardinal</v>
      </c>
      <c r="C6748" s="6">
        <f t="shared" si="1640"/>
        <v>0.28333333333333333</v>
      </c>
      <c r="D6748" s="5"/>
      <c r="E6748" s="5"/>
      <c r="F6748" s="5" t="s">
        <v>8</v>
      </c>
      <c r="G6748" s="15" t="s">
        <v>9</v>
      </c>
      <c r="H6748" s="24">
        <f t="shared" si="1637"/>
        <v>0</v>
      </c>
      <c r="I6748" s="24" cm="1">
        <f t="array" ref="I6748">IFERROR(IF($B6748=I$1, ($A6748+$C6748) - MAX(IF($B$2:$B6747=$B6748, $A$2:$A6747+$C$2:$C6747)), "")*24*60, "")</f>
        <v>0</v>
      </c>
      <c r="J6748" s="24" t="str" cm="1">
        <f t="array" ref="J6748">IFERROR(IF($B6748=J$1, ($A6748+$C6748) - MAX(IF($B$2:$B6747=$B6748, $A$2:$A6747+$C$2:$C6747)), "")*24*60, "")</f>
        <v/>
      </c>
      <c r="K6748" s="24" t="str" cm="1">
        <f t="array" ref="K6748">IFERROR(IF($B6748=K$1, ($A6748+$C6748) - MAX(IF($B$2:$B6747=$B6748, $A$2:$A6747+$C$2:$C6747)), "")*24*60, "")</f>
        <v/>
      </c>
      <c r="L6748" s="24" t="str" cm="1">
        <f t="array" ref="L6748">IFERROR(IF($B6748=L$1, ($A6748+$C6748) - MAX(IF($B$2:$B6747=$B6748, $A$2:$A6747+$C$2:$C6747)), "")*24*60, "")</f>
        <v/>
      </c>
      <c r="M6748" s="24" t="str" cm="1">
        <f t="array" ref="M6748">IFERROR(IF($B6748=M$1, ($A6748+$C6748) - MAX(IF($B$2:$B6747=$B6748, $A$2:$A6747+$C$2:$C6747)), "")*24*60, "")</f>
        <v/>
      </c>
      <c r="N6748" s="24" t="str" cm="1">
        <f t="array" ref="N6748">IFERROR(IF($B6748=N$1, ($A6748+$C6748) - MAX(IF($B$2:$B6747=$B6748, $A$2:$A6747+$C$2:$C6747)), "")*24*60, "")</f>
        <v/>
      </c>
      <c r="O6748" s="24" t="str" cm="1">
        <f t="array" ref="O6748">IFERROR(IF($B6748=O$1, ($A6748+$C6748) - MAX(IF($B$2:$B6747=$B6748, $A$2:$A6747+$C$2:$C6747)), "")*24*60, "")</f>
        <v/>
      </c>
      <c r="P6748" s="24" t="str" cm="1">
        <f t="array" ref="P6748">IFERROR(IF($B6748=P$1, ($A6748+$C6748) - MAX(IF($B$2:$B6747=$B6748, $A$2:$A6747+$C$2:$C6747)), "")*24*60, "")</f>
        <v/>
      </c>
      <c r="Q6748" s="24" t="str" cm="1">
        <f t="array" ref="Q6748">IFERROR(IF($B6748=Q$1, ($A6748+$C6748) - MAX(IF($B$2:$B6747=$B6748, $A$2:$A6747+$C$2:$C6747)), "")*24*60, "")</f>
        <v/>
      </c>
      <c r="R6748" s="24" t="str" cm="1">
        <f t="array" ref="R6748">IFERROR(IF($B6748=R$1, ($A6748+$C6748) - MAX(IF($B$2:$B6747=$B6748, $A$2:$A6747+$C$2:$C6747)), "")*24*60, "")</f>
        <v/>
      </c>
      <c r="S6748" s="24" t="str" cm="1">
        <f t="array" ref="S6748">IFERROR(IF($B6748=S$1, ($A6748+$C6748) - MAX(IF($B$2:$B6747=$B6748, $A$2:$A6747+$C$2:$C6747)), "")*24*60, "")</f>
        <v/>
      </c>
    </row>
    <row r="6749" spans="1:19" x14ac:dyDescent="0.2">
      <c r="A6749" s="12">
        <f t="shared" ref="A6749:C6749" si="1641">A6748</f>
        <v>45990</v>
      </c>
      <c r="B6749" s="5" t="str">
        <f t="shared" si="1641"/>
        <v>Northern Cardinal</v>
      </c>
      <c r="C6749" s="6">
        <f t="shared" si="1641"/>
        <v>0.28333333333333333</v>
      </c>
      <c r="D6749" s="5"/>
      <c r="E6749" s="5"/>
      <c r="F6749" s="5" t="s">
        <v>8</v>
      </c>
      <c r="G6749" s="15" t="s">
        <v>9</v>
      </c>
      <c r="H6749" s="24">
        <f t="shared" si="1637"/>
        <v>0</v>
      </c>
      <c r="I6749" s="24" cm="1">
        <f t="array" ref="I6749">IFERROR(IF($B6749=I$1, ($A6749+$C6749) - MAX(IF($B$2:$B6748=$B6749, $A$2:$A6748+$C$2:$C6748)), "")*24*60, "")</f>
        <v>0</v>
      </c>
      <c r="J6749" s="24" t="str" cm="1">
        <f t="array" ref="J6749">IFERROR(IF($B6749=J$1, ($A6749+$C6749) - MAX(IF($B$2:$B6748=$B6749, $A$2:$A6748+$C$2:$C6748)), "")*24*60, "")</f>
        <v/>
      </c>
      <c r="K6749" s="24" t="str" cm="1">
        <f t="array" ref="K6749">IFERROR(IF($B6749=K$1, ($A6749+$C6749) - MAX(IF($B$2:$B6748=$B6749, $A$2:$A6748+$C$2:$C6748)), "")*24*60, "")</f>
        <v/>
      </c>
      <c r="L6749" s="24" t="str" cm="1">
        <f t="array" ref="L6749">IFERROR(IF($B6749=L$1, ($A6749+$C6749) - MAX(IF($B$2:$B6748=$B6749, $A$2:$A6748+$C$2:$C6748)), "")*24*60, "")</f>
        <v/>
      </c>
      <c r="M6749" s="24" t="str" cm="1">
        <f t="array" ref="M6749">IFERROR(IF($B6749=M$1, ($A6749+$C6749) - MAX(IF($B$2:$B6748=$B6749, $A$2:$A6748+$C$2:$C6748)), "")*24*60, "")</f>
        <v/>
      </c>
      <c r="N6749" s="24" t="str" cm="1">
        <f t="array" ref="N6749">IFERROR(IF($B6749=N$1, ($A6749+$C6749) - MAX(IF($B$2:$B6748=$B6749, $A$2:$A6748+$C$2:$C6748)), "")*24*60, "")</f>
        <v/>
      </c>
      <c r="O6749" s="24" t="str" cm="1">
        <f t="array" ref="O6749">IFERROR(IF($B6749=O$1, ($A6749+$C6749) - MAX(IF($B$2:$B6748=$B6749, $A$2:$A6748+$C$2:$C6748)), "")*24*60, "")</f>
        <v/>
      </c>
      <c r="P6749" s="24" t="str" cm="1">
        <f t="array" ref="P6749">IFERROR(IF($B6749=P$1, ($A6749+$C6749) - MAX(IF($B$2:$B6748=$B6749, $A$2:$A6748+$C$2:$C6748)), "")*24*60, "")</f>
        <v/>
      </c>
      <c r="Q6749" s="24" t="str" cm="1">
        <f t="array" ref="Q6749">IFERROR(IF($B6749=Q$1, ($A6749+$C6749) - MAX(IF($B$2:$B6748=$B6749, $A$2:$A6748+$C$2:$C6748)), "")*24*60, "")</f>
        <v/>
      </c>
      <c r="R6749" s="24" t="str" cm="1">
        <f t="array" ref="R6749">IFERROR(IF($B6749=R$1, ($A6749+$C6749) - MAX(IF($B$2:$B6748=$B6749, $A$2:$A6748+$C$2:$C6748)), "")*24*60, "")</f>
        <v/>
      </c>
      <c r="S6749" s="24" t="str" cm="1">
        <f t="array" ref="S6749">IFERROR(IF($B6749=S$1, ($A6749+$C6749) - MAX(IF($B$2:$B6748=$B6749, $A$2:$A6748+$C$2:$C6748)), "")*24*60, "")</f>
        <v/>
      </c>
    </row>
    <row r="6750" spans="1:19" x14ac:dyDescent="0.2">
      <c r="A6750" s="12">
        <f t="shared" ref="A6750:C6750" si="1642">A6749</f>
        <v>45990</v>
      </c>
      <c r="B6750" s="5" t="str">
        <f t="shared" si="1642"/>
        <v>Northern Cardinal</v>
      </c>
      <c r="C6750" s="6">
        <f t="shared" si="1642"/>
        <v>0.28333333333333333</v>
      </c>
      <c r="D6750" s="5"/>
      <c r="E6750" s="5"/>
      <c r="F6750" s="5" t="s">
        <v>8</v>
      </c>
      <c r="G6750" s="15" t="s">
        <v>9</v>
      </c>
      <c r="H6750" s="24">
        <f t="shared" si="1637"/>
        <v>0</v>
      </c>
      <c r="I6750" s="24" cm="1">
        <f t="array" ref="I6750">IFERROR(IF($B6750=I$1, ($A6750+$C6750) - MAX(IF($B$2:$B6749=$B6750, $A$2:$A6749+$C$2:$C6749)), "")*24*60, "")</f>
        <v>0</v>
      </c>
      <c r="J6750" s="24" t="str" cm="1">
        <f t="array" ref="J6750">IFERROR(IF($B6750=J$1, ($A6750+$C6750) - MAX(IF($B$2:$B6749=$B6750, $A$2:$A6749+$C$2:$C6749)), "")*24*60, "")</f>
        <v/>
      </c>
      <c r="K6750" s="24" t="str" cm="1">
        <f t="array" ref="K6750">IFERROR(IF($B6750=K$1, ($A6750+$C6750) - MAX(IF($B$2:$B6749=$B6750, $A$2:$A6749+$C$2:$C6749)), "")*24*60, "")</f>
        <v/>
      </c>
      <c r="L6750" s="24" t="str" cm="1">
        <f t="array" ref="L6750">IFERROR(IF($B6750=L$1, ($A6750+$C6750) - MAX(IF($B$2:$B6749=$B6750, $A$2:$A6749+$C$2:$C6749)), "")*24*60, "")</f>
        <v/>
      </c>
      <c r="M6750" s="24" t="str" cm="1">
        <f t="array" ref="M6750">IFERROR(IF($B6750=M$1, ($A6750+$C6750) - MAX(IF($B$2:$B6749=$B6750, $A$2:$A6749+$C$2:$C6749)), "")*24*60, "")</f>
        <v/>
      </c>
      <c r="N6750" s="24" t="str" cm="1">
        <f t="array" ref="N6750">IFERROR(IF($B6750=N$1, ($A6750+$C6750) - MAX(IF($B$2:$B6749=$B6750, $A$2:$A6749+$C$2:$C6749)), "")*24*60, "")</f>
        <v/>
      </c>
      <c r="O6750" s="24" t="str" cm="1">
        <f t="array" ref="O6750">IFERROR(IF($B6750=O$1, ($A6750+$C6750) - MAX(IF($B$2:$B6749=$B6750, $A$2:$A6749+$C$2:$C6749)), "")*24*60, "")</f>
        <v/>
      </c>
      <c r="P6750" s="24" t="str" cm="1">
        <f t="array" ref="P6750">IFERROR(IF($B6750=P$1, ($A6750+$C6750) - MAX(IF($B$2:$B6749=$B6750, $A$2:$A6749+$C$2:$C6749)), "")*24*60, "")</f>
        <v/>
      </c>
      <c r="Q6750" s="24" t="str" cm="1">
        <f t="array" ref="Q6750">IFERROR(IF($B6750=Q$1, ($A6750+$C6750) - MAX(IF($B$2:$B6749=$B6750, $A$2:$A6749+$C$2:$C6749)), "")*24*60, "")</f>
        <v/>
      </c>
      <c r="R6750" s="24" t="str" cm="1">
        <f t="array" ref="R6750">IFERROR(IF($B6750=R$1, ($A6750+$C6750) - MAX(IF($B$2:$B6749=$B6750, $A$2:$A6749+$C$2:$C6749)), "")*24*60, "")</f>
        <v/>
      </c>
      <c r="S6750" s="24" t="str" cm="1">
        <f t="array" ref="S6750">IFERROR(IF($B6750=S$1, ($A6750+$C6750) - MAX(IF($B$2:$B6749=$B6750, $A$2:$A6749+$C$2:$C6749)), "")*24*60, "")</f>
        <v/>
      </c>
    </row>
    <row r="6751" spans="1:19" x14ac:dyDescent="0.2">
      <c r="A6751" s="12">
        <f t="shared" ref="A6751:C6751" si="1643">A6750</f>
        <v>45990</v>
      </c>
      <c r="B6751" s="5" t="str">
        <f t="shared" si="1643"/>
        <v>Northern Cardinal</v>
      </c>
      <c r="C6751" s="6">
        <f t="shared" si="1643"/>
        <v>0.28333333333333333</v>
      </c>
      <c r="D6751" s="5"/>
      <c r="E6751" s="5"/>
      <c r="F6751" s="5" t="s">
        <v>8</v>
      </c>
      <c r="G6751" s="15" t="s">
        <v>9</v>
      </c>
      <c r="H6751" s="24">
        <f t="shared" si="1637"/>
        <v>0</v>
      </c>
      <c r="I6751" s="24" cm="1">
        <f t="array" ref="I6751">IFERROR(IF($B6751=I$1, ($A6751+$C6751) - MAX(IF($B$2:$B6750=$B6751, $A$2:$A6750+$C$2:$C6750)), "")*24*60, "")</f>
        <v>0</v>
      </c>
      <c r="J6751" s="24" t="str" cm="1">
        <f t="array" ref="J6751">IFERROR(IF($B6751=J$1, ($A6751+$C6751) - MAX(IF($B$2:$B6750=$B6751, $A$2:$A6750+$C$2:$C6750)), "")*24*60, "")</f>
        <v/>
      </c>
      <c r="K6751" s="24" t="str" cm="1">
        <f t="array" ref="K6751">IFERROR(IF($B6751=K$1, ($A6751+$C6751) - MAX(IF($B$2:$B6750=$B6751, $A$2:$A6750+$C$2:$C6750)), "")*24*60, "")</f>
        <v/>
      </c>
      <c r="L6751" s="24" t="str" cm="1">
        <f t="array" ref="L6751">IFERROR(IF($B6751=L$1, ($A6751+$C6751) - MAX(IF($B$2:$B6750=$B6751, $A$2:$A6750+$C$2:$C6750)), "")*24*60, "")</f>
        <v/>
      </c>
      <c r="M6751" s="24" t="str" cm="1">
        <f t="array" ref="M6751">IFERROR(IF($B6751=M$1, ($A6751+$C6751) - MAX(IF($B$2:$B6750=$B6751, $A$2:$A6750+$C$2:$C6750)), "")*24*60, "")</f>
        <v/>
      </c>
      <c r="N6751" s="24" t="str" cm="1">
        <f t="array" ref="N6751">IFERROR(IF($B6751=N$1, ($A6751+$C6751) - MAX(IF($B$2:$B6750=$B6751, $A$2:$A6750+$C$2:$C6750)), "")*24*60, "")</f>
        <v/>
      </c>
      <c r="O6751" s="24" t="str" cm="1">
        <f t="array" ref="O6751">IFERROR(IF($B6751=O$1, ($A6751+$C6751) - MAX(IF($B$2:$B6750=$B6751, $A$2:$A6750+$C$2:$C6750)), "")*24*60, "")</f>
        <v/>
      </c>
      <c r="P6751" s="24" t="str" cm="1">
        <f t="array" ref="P6751">IFERROR(IF($B6751=P$1, ($A6751+$C6751) - MAX(IF($B$2:$B6750=$B6751, $A$2:$A6750+$C$2:$C6750)), "")*24*60, "")</f>
        <v/>
      </c>
      <c r="Q6751" s="24" t="str" cm="1">
        <f t="array" ref="Q6751">IFERROR(IF($B6751=Q$1, ($A6751+$C6751) - MAX(IF($B$2:$B6750=$B6751, $A$2:$A6750+$C$2:$C6750)), "")*24*60, "")</f>
        <v/>
      </c>
      <c r="R6751" s="24" t="str" cm="1">
        <f t="array" ref="R6751">IFERROR(IF($B6751=R$1, ($A6751+$C6751) - MAX(IF($B$2:$B6750=$B6751, $A$2:$A6750+$C$2:$C6750)), "")*24*60, "")</f>
        <v/>
      </c>
      <c r="S6751" s="24" t="str" cm="1">
        <f t="array" ref="S6751">IFERROR(IF($B6751=S$1, ($A6751+$C6751) - MAX(IF($B$2:$B6750=$B6751, $A$2:$A6750+$C$2:$C6750)), "")*24*60, "")</f>
        <v/>
      </c>
    </row>
    <row r="6752" spans="1:19" x14ac:dyDescent="0.2">
      <c r="A6752" s="12">
        <f t="shared" ref="A6752:C6752" si="1644">A6751</f>
        <v>45990</v>
      </c>
      <c r="B6752" s="5" t="str">
        <f t="shared" si="1644"/>
        <v>Northern Cardinal</v>
      </c>
      <c r="C6752" s="6">
        <f t="shared" si="1644"/>
        <v>0.28333333333333333</v>
      </c>
      <c r="D6752" s="5"/>
      <c r="E6752" s="5"/>
      <c r="F6752" s="5" t="s">
        <v>8</v>
      </c>
      <c r="G6752" s="15" t="s">
        <v>9</v>
      </c>
      <c r="H6752" s="24">
        <f t="shared" si="1637"/>
        <v>0</v>
      </c>
      <c r="I6752" s="24" cm="1">
        <f t="array" ref="I6752">IFERROR(IF($B6752=I$1, ($A6752+$C6752) - MAX(IF($B$2:$B6751=$B6752, $A$2:$A6751+$C$2:$C6751)), "")*24*60, "")</f>
        <v>0</v>
      </c>
      <c r="J6752" s="24" t="str" cm="1">
        <f t="array" ref="J6752">IFERROR(IF($B6752=J$1, ($A6752+$C6752) - MAX(IF($B$2:$B6751=$B6752, $A$2:$A6751+$C$2:$C6751)), "")*24*60, "")</f>
        <v/>
      </c>
      <c r="K6752" s="24" t="str" cm="1">
        <f t="array" ref="K6752">IFERROR(IF($B6752=K$1, ($A6752+$C6752) - MAX(IF($B$2:$B6751=$B6752, $A$2:$A6751+$C$2:$C6751)), "")*24*60, "")</f>
        <v/>
      </c>
      <c r="L6752" s="24" t="str" cm="1">
        <f t="array" ref="L6752">IFERROR(IF($B6752=L$1, ($A6752+$C6752) - MAX(IF($B$2:$B6751=$B6752, $A$2:$A6751+$C$2:$C6751)), "")*24*60, "")</f>
        <v/>
      </c>
      <c r="M6752" s="24" t="str" cm="1">
        <f t="array" ref="M6752">IFERROR(IF($B6752=M$1, ($A6752+$C6752) - MAX(IF($B$2:$B6751=$B6752, $A$2:$A6751+$C$2:$C6751)), "")*24*60, "")</f>
        <v/>
      </c>
      <c r="N6752" s="24" t="str" cm="1">
        <f t="array" ref="N6752">IFERROR(IF($B6752=N$1, ($A6752+$C6752) - MAX(IF($B$2:$B6751=$B6752, $A$2:$A6751+$C$2:$C6751)), "")*24*60, "")</f>
        <v/>
      </c>
      <c r="O6752" s="24" t="str" cm="1">
        <f t="array" ref="O6752">IFERROR(IF($B6752=O$1, ($A6752+$C6752) - MAX(IF($B$2:$B6751=$B6752, $A$2:$A6751+$C$2:$C6751)), "")*24*60, "")</f>
        <v/>
      </c>
      <c r="P6752" s="24" t="str" cm="1">
        <f t="array" ref="P6752">IFERROR(IF($B6752=P$1, ($A6752+$C6752) - MAX(IF($B$2:$B6751=$B6752, $A$2:$A6751+$C$2:$C6751)), "")*24*60, "")</f>
        <v/>
      </c>
      <c r="Q6752" s="24" t="str" cm="1">
        <f t="array" ref="Q6752">IFERROR(IF($B6752=Q$1, ($A6752+$C6752) - MAX(IF($B$2:$B6751=$B6752, $A$2:$A6751+$C$2:$C6751)), "")*24*60, "")</f>
        <v/>
      </c>
      <c r="R6752" s="24" t="str" cm="1">
        <f t="array" ref="R6752">IFERROR(IF($B6752=R$1, ($A6752+$C6752) - MAX(IF($B$2:$B6751=$B6752, $A$2:$A6751+$C$2:$C6751)), "")*24*60, "")</f>
        <v/>
      </c>
      <c r="S6752" s="24" t="str" cm="1">
        <f t="array" ref="S6752">IFERROR(IF($B6752=S$1, ($A6752+$C6752) - MAX(IF($B$2:$B6751=$B6752, $A$2:$A6751+$C$2:$C6751)), "")*24*60, "")</f>
        <v/>
      </c>
    </row>
    <row r="6753" spans="1:19" x14ac:dyDescent="0.2">
      <c r="A6753" s="12">
        <f t="shared" ref="A6753:C6753" si="1645">A6752</f>
        <v>45990</v>
      </c>
      <c r="B6753" s="5" t="str">
        <f t="shared" si="1645"/>
        <v>Northern Cardinal</v>
      </c>
      <c r="C6753" s="6">
        <f t="shared" si="1645"/>
        <v>0.28333333333333333</v>
      </c>
      <c r="D6753" s="5"/>
      <c r="E6753" s="5"/>
      <c r="F6753" s="5" t="s">
        <v>8</v>
      </c>
      <c r="G6753" s="15" t="s">
        <v>9</v>
      </c>
      <c r="H6753" s="24">
        <f t="shared" si="1637"/>
        <v>0</v>
      </c>
      <c r="I6753" s="24" cm="1">
        <f t="array" ref="I6753">IFERROR(IF($B6753=I$1, ($A6753+$C6753) - MAX(IF($B$2:$B6752=$B6753, $A$2:$A6752+$C$2:$C6752)), "")*24*60, "")</f>
        <v>0</v>
      </c>
      <c r="J6753" s="24" t="str" cm="1">
        <f t="array" ref="J6753">IFERROR(IF($B6753=J$1, ($A6753+$C6753) - MAX(IF($B$2:$B6752=$B6753, $A$2:$A6752+$C$2:$C6752)), "")*24*60, "")</f>
        <v/>
      </c>
      <c r="K6753" s="24" t="str" cm="1">
        <f t="array" ref="K6753">IFERROR(IF($B6753=K$1, ($A6753+$C6753) - MAX(IF($B$2:$B6752=$B6753, $A$2:$A6752+$C$2:$C6752)), "")*24*60, "")</f>
        <v/>
      </c>
      <c r="L6753" s="24" t="str" cm="1">
        <f t="array" ref="L6753">IFERROR(IF($B6753=L$1, ($A6753+$C6753) - MAX(IF($B$2:$B6752=$B6753, $A$2:$A6752+$C$2:$C6752)), "")*24*60, "")</f>
        <v/>
      </c>
      <c r="M6753" s="24" t="str" cm="1">
        <f t="array" ref="M6753">IFERROR(IF($B6753=M$1, ($A6753+$C6753) - MAX(IF($B$2:$B6752=$B6753, $A$2:$A6752+$C$2:$C6752)), "")*24*60, "")</f>
        <v/>
      </c>
      <c r="N6753" s="24" t="str" cm="1">
        <f t="array" ref="N6753">IFERROR(IF($B6753=N$1, ($A6753+$C6753) - MAX(IF($B$2:$B6752=$B6753, $A$2:$A6752+$C$2:$C6752)), "")*24*60, "")</f>
        <v/>
      </c>
      <c r="O6753" s="24" t="str" cm="1">
        <f t="array" ref="O6753">IFERROR(IF($B6753=O$1, ($A6753+$C6753) - MAX(IF($B$2:$B6752=$B6753, $A$2:$A6752+$C$2:$C6752)), "")*24*60, "")</f>
        <v/>
      </c>
      <c r="P6753" s="24" t="str" cm="1">
        <f t="array" ref="P6753">IFERROR(IF($B6753=P$1, ($A6753+$C6753) - MAX(IF($B$2:$B6752=$B6753, $A$2:$A6752+$C$2:$C6752)), "")*24*60, "")</f>
        <v/>
      </c>
      <c r="Q6753" s="24" t="str" cm="1">
        <f t="array" ref="Q6753">IFERROR(IF($B6753=Q$1, ($A6753+$C6753) - MAX(IF($B$2:$B6752=$B6753, $A$2:$A6752+$C$2:$C6752)), "")*24*60, "")</f>
        <v/>
      </c>
      <c r="R6753" s="24" t="str" cm="1">
        <f t="array" ref="R6753">IFERROR(IF($B6753=R$1, ($A6753+$C6753) - MAX(IF($B$2:$B6752=$B6753, $A$2:$A6752+$C$2:$C6752)), "")*24*60, "")</f>
        <v/>
      </c>
      <c r="S6753" s="24" t="str" cm="1">
        <f t="array" ref="S6753">IFERROR(IF($B6753=S$1, ($A6753+$C6753) - MAX(IF($B$2:$B6752=$B6753, $A$2:$A6752+$C$2:$C6752)), "")*24*60, "")</f>
        <v/>
      </c>
    </row>
    <row r="6754" spans="1:19" x14ac:dyDescent="0.2">
      <c r="A6754" s="12">
        <f t="shared" ref="A6754:C6754" si="1646">A6753</f>
        <v>45990</v>
      </c>
      <c r="B6754" s="5" t="str">
        <f t="shared" si="1646"/>
        <v>Northern Cardinal</v>
      </c>
      <c r="C6754" s="6">
        <f t="shared" si="1646"/>
        <v>0.28333333333333333</v>
      </c>
      <c r="D6754" s="5"/>
      <c r="E6754" s="5"/>
      <c r="F6754" s="5" t="s">
        <v>8</v>
      </c>
      <c r="G6754" s="15" t="s">
        <v>9</v>
      </c>
      <c r="H6754" s="24">
        <f t="shared" si="1637"/>
        <v>0</v>
      </c>
      <c r="I6754" s="24" cm="1">
        <f t="array" ref="I6754">IFERROR(IF($B6754=I$1, ($A6754+$C6754) - MAX(IF($B$2:$B6753=$B6754, $A$2:$A6753+$C$2:$C6753)), "")*24*60, "")</f>
        <v>0</v>
      </c>
      <c r="J6754" s="24" t="str" cm="1">
        <f t="array" ref="J6754">IFERROR(IF($B6754=J$1, ($A6754+$C6754) - MAX(IF($B$2:$B6753=$B6754, $A$2:$A6753+$C$2:$C6753)), "")*24*60, "")</f>
        <v/>
      </c>
      <c r="K6754" s="24" t="str" cm="1">
        <f t="array" ref="K6754">IFERROR(IF($B6754=K$1, ($A6754+$C6754) - MAX(IF($B$2:$B6753=$B6754, $A$2:$A6753+$C$2:$C6753)), "")*24*60, "")</f>
        <v/>
      </c>
      <c r="L6754" s="24" t="str" cm="1">
        <f t="array" ref="L6754">IFERROR(IF($B6754=L$1, ($A6754+$C6754) - MAX(IF($B$2:$B6753=$B6754, $A$2:$A6753+$C$2:$C6753)), "")*24*60, "")</f>
        <v/>
      </c>
      <c r="M6754" s="24" t="str" cm="1">
        <f t="array" ref="M6754">IFERROR(IF($B6754=M$1, ($A6754+$C6754) - MAX(IF($B$2:$B6753=$B6754, $A$2:$A6753+$C$2:$C6753)), "")*24*60, "")</f>
        <v/>
      </c>
      <c r="N6754" s="24" t="str" cm="1">
        <f t="array" ref="N6754">IFERROR(IF($B6754=N$1, ($A6754+$C6754) - MAX(IF($B$2:$B6753=$B6754, $A$2:$A6753+$C$2:$C6753)), "")*24*60, "")</f>
        <v/>
      </c>
      <c r="O6754" s="24" t="str" cm="1">
        <f t="array" ref="O6754">IFERROR(IF($B6754=O$1, ($A6754+$C6754) - MAX(IF($B$2:$B6753=$B6754, $A$2:$A6753+$C$2:$C6753)), "")*24*60, "")</f>
        <v/>
      </c>
      <c r="P6754" s="24" t="str" cm="1">
        <f t="array" ref="P6754">IFERROR(IF($B6754=P$1, ($A6754+$C6754) - MAX(IF($B$2:$B6753=$B6754, $A$2:$A6753+$C$2:$C6753)), "")*24*60, "")</f>
        <v/>
      </c>
      <c r="Q6754" s="24" t="str" cm="1">
        <f t="array" ref="Q6754">IFERROR(IF($B6754=Q$1, ($A6754+$C6754) - MAX(IF($B$2:$B6753=$B6754, $A$2:$A6753+$C$2:$C6753)), "")*24*60, "")</f>
        <v/>
      </c>
      <c r="R6754" s="24" t="str" cm="1">
        <f t="array" ref="R6754">IFERROR(IF($B6754=R$1, ($A6754+$C6754) - MAX(IF($B$2:$B6753=$B6754, $A$2:$A6753+$C$2:$C6753)), "")*24*60, "")</f>
        <v/>
      </c>
      <c r="S6754" s="24" t="str" cm="1">
        <f t="array" ref="S6754">IFERROR(IF($B6754=S$1, ($A6754+$C6754) - MAX(IF($B$2:$B6753=$B6754, $A$2:$A6753+$C$2:$C6753)), "")*24*60, "")</f>
        <v/>
      </c>
    </row>
    <row r="6755" spans="1:19" x14ac:dyDescent="0.2">
      <c r="A6755" s="12">
        <f t="shared" ref="A6755:C6755" si="1647">A6754</f>
        <v>45990</v>
      </c>
      <c r="B6755" s="5" t="str">
        <f t="shared" si="1647"/>
        <v>Northern Cardinal</v>
      </c>
      <c r="C6755" s="6">
        <f t="shared" si="1647"/>
        <v>0.28333333333333333</v>
      </c>
      <c r="D6755" s="5"/>
      <c r="E6755" s="5"/>
      <c r="F6755" s="5" t="s">
        <v>8</v>
      </c>
      <c r="G6755" s="15" t="s">
        <v>9</v>
      </c>
      <c r="H6755" s="24">
        <f t="shared" si="1637"/>
        <v>0</v>
      </c>
      <c r="I6755" s="24" cm="1">
        <f t="array" ref="I6755">IFERROR(IF($B6755=I$1, ($A6755+$C6755) - MAX(IF($B$2:$B6754=$B6755, $A$2:$A6754+$C$2:$C6754)), "")*24*60, "")</f>
        <v>0</v>
      </c>
      <c r="J6755" s="24" t="str" cm="1">
        <f t="array" ref="J6755">IFERROR(IF($B6755=J$1, ($A6755+$C6755) - MAX(IF($B$2:$B6754=$B6755, $A$2:$A6754+$C$2:$C6754)), "")*24*60, "")</f>
        <v/>
      </c>
      <c r="K6755" s="24" t="str" cm="1">
        <f t="array" ref="K6755">IFERROR(IF($B6755=K$1, ($A6755+$C6755) - MAX(IF($B$2:$B6754=$B6755, $A$2:$A6754+$C$2:$C6754)), "")*24*60, "")</f>
        <v/>
      </c>
      <c r="L6755" s="24" t="str" cm="1">
        <f t="array" ref="L6755">IFERROR(IF($B6755=L$1, ($A6755+$C6755) - MAX(IF($B$2:$B6754=$B6755, $A$2:$A6754+$C$2:$C6754)), "")*24*60, "")</f>
        <v/>
      </c>
      <c r="M6755" s="24" t="str" cm="1">
        <f t="array" ref="M6755">IFERROR(IF($B6755=M$1, ($A6755+$C6755) - MAX(IF($B$2:$B6754=$B6755, $A$2:$A6754+$C$2:$C6754)), "")*24*60, "")</f>
        <v/>
      </c>
      <c r="N6755" s="24" t="str" cm="1">
        <f t="array" ref="N6755">IFERROR(IF($B6755=N$1, ($A6755+$C6755) - MAX(IF($B$2:$B6754=$B6755, $A$2:$A6754+$C$2:$C6754)), "")*24*60, "")</f>
        <v/>
      </c>
      <c r="O6755" s="24" t="str" cm="1">
        <f t="array" ref="O6755">IFERROR(IF($B6755=O$1, ($A6755+$C6755) - MAX(IF($B$2:$B6754=$B6755, $A$2:$A6754+$C$2:$C6754)), "")*24*60, "")</f>
        <v/>
      </c>
      <c r="P6755" s="24" t="str" cm="1">
        <f t="array" ref="P6755">IFERROR(IF($B6755=P$1, ($A6755+$C6755) - MAX(IF($B$2:$B6754=$B6755, $A$2:$A6754+$C$2:$C6754)), "")*24*60, "")</f>
        <v/>
      </c>
      <c r="Q6755" s="24" t="str" cm="1">
        <f t="array" ref="Q6755">IFERROR(IF($B6755=Q$1, ($A6755+$C6755) - MAX(IF($B$2:$B6754=$B6755, $A$2:$A6754+$C$2:$C6754)), "")*24*60, "")</f>
        <v/>
      </c>
      <c r="R6755" s="24" t="str" cm="1">
        <f t="array" ref="R6755">IFERROR(IF($B6755=R$1, ($A6755+$C6755) - MAX(IF($B$2:$B6754=$B6755, $A$2:$A6754+$C$2:$C6754)), "")*24*60, "")</f>
        <v/>
      </c>
      <c r="S6755" s="24" t="str" cm="1">
        <f t="array" ref="S6755">IFERROR(IF($B6755=S$1, ($A6755+$C6755) - MAX(IF($B$2:$B6754=$B6755, $A$2:$A6754+$C$2:$C6754)), "")*24*60, "")</f>
        <v/>
      </c>
    </row>
    <row r="6756" spans="1:19" x14ac:dyDescent="0.2">
      <c r="A6756" s="12">
        <f t="shared" ref="A6756:C6756" si="1648">A6755</f>
        <v>45990</v>
      </c>
      <c r="B6756" s="5" t="str">
        <f t="shared" si="1648"/>
        <v>Northern Cardinal</v>
      </c>
      <c r="C6756" s="6">
        <f t="shared" si="1648"/>
        <v>0.28333333333333333</v>
      </c>
      <c r="D6756" s="5"/>
      <c r="E6756" s="5"/>
      <c r="F6756" s="5" t="s">
        <v>8</v>
      </c>
      <c r="G6756" s="15" t="s">
        <v>9</v>
      </c>
      <c r="H6756" s="24">
        <f t="shared" si="1637"/>
        <v>0</v>
      </c>
      <c r="I6756" s="24" cm="1">
        <f t="array" ref="I6756">IFERROR(IF($B6756=I$1, ($A6756+$C6756) - MAX(IF($B$2:$B6755=$B6756, $A$2:$A6755+$C$2:$C6755)), "")*24*60, "")</f>
        <v>0</v>
      </c>
      <c r="J6756" s="24" t="str" cm="1">
        <f t="array" ref="J6756">IFERROR(IF($B6756=J$1, ($A6756+$C6756) - MAX(IF($B$2:$B6755=$B6756, $A$2:$A6755+$C$2:$C6755)), "")*24*60, "")</f>
        <v/>
      </c>
      <c r="K6756" s="24" t="str" cm="1">
        <f t="array" ref="K6756">IFERROR(IF($B6756=K$1, ($A6756+$C6756) - MAX(IF($B$2:$B6755=$B6756, $A$2:$A6755+$C$2:$C6755)), "")*24*60, "")</f>
        <v/>
      </c>
      <c r="L6756" s="24" t="str" cm="1">
        <f t="array" ref="L6756">IFERROR(IF($B6756=L$1, ($A6756+$C6756) - MAX(IF($B$2:$B6755=$B6756, $A$2:$A6755+$C$2:$C6755)), "")*24*60, "")</f>
        <v/>
      </c>
      <c r="M6756" s="24" t="str" cm="1">
        <f t="array" ref="M6756">IFERROR(IF($B6756=M$1, ($A6756+$C6756) - MAX(IF($B$2:$B6755=$B6756, $A$2:$A6755+$C$2:$C6755)), "")*24*60, "")</f>
        <v/>
      </c>
      <c r="N6756" s="24" t="str" cm="1">
        <f t="array" ref="N6756">IFERROR(IF($B6756=N$1, ($A6756+$C6756) - MAX(IF($B$2:$B6755=$B6756, $A$2:$A6755+$C$2:$C6755)), "")*24*60, "")</f>
        <v/>
      </c>
      <c r="O6756" s="24" t="str" cm="1">
        <f t="array" ref="O6756">IFERROR(IF($B6756=O$1, ($A6756+$C6756) - MAX(IF($B$2:$B6755=$B6756, $A$2:$A6755+$C$2:$C6755)), "")*24*60, "")</f>
        <v/>
      </c>
      <c r="P6756" s="24" t="str" cm="1">
        <f t="array" ref="P6756">IFERROR(IF($B6756=P$1, ($A6756+$C6756) - MAX(IF($B$2:$B6755=$B6756, $A$2:$A6755+$C$2:$C6755)), "")*24*60, "")</f>
        <v/>
      </c>
      <c r="Q6756" s="24" t="str" cm="1">
        <f t="array" ref="Q6756">IFERROR(IF($B6756=Q$1, ($A6756+$C6756) - MAX(IF($B$2:$B6755=$B6756, $A$2:$A6755+$C$2:$C6755)), "")*24*60, "")</f>
        <v/>
      </c>
      <c r="R6756" s="24" t="str" cm="1">
        <f t="array" ref="R6756">IFERROR(IF($B6756=R$1, ($A6756+$C6756) - MAX(IF($B$2:$B6755=$B6756, $A$2:$A6755+$C$2:$C6755)), "")*24*60, "")</f>
        <v/>
      </c>
      <c r="S6756" s="24" t="str" cm="1">
        <f t="array" ref="S6756">IFERROR(IF($B6756=S$1, ($A6756+$C6756) - MAX(IF($B$2:$B6755=$B6756, $A$2:$A6755+$C$2:$C6755)), "")*24*60, "")</f>
        <v/>
      </c>
    </row>
    <row r="6757" spans="1:19" x14ac:dyDescent="0.2">
      <c r="A6757" s="12">
        <f t="shared" ref="A6757:C6757" si="1649">A6756</f>
        <v>45990</v>
      </c>
      <c r="B6757" s="5" t="str">
        <f t="shared" si="1649"/>
        <v>Northern Cardinal</v>
      </c>
      <c r="C6757" s="6">
        <f t="shared" si="1649"/>
        <v>0.28333333333333333</v>
      </c>
      <c r="D6757" s="5"/>
      <c r="E6757" s="5"/>
      <c r="F6757" s="5" t="s">
        <v>8</v>
      </c>
      <c r="G6757" s="15" t="s">
        <v>9</v>
      </c>
      <c r="H6757" s="24">
        <f t="shared" si="1637"/>
        <v>0</v>
      </c>
      <c r="I6757" s="24" cm="1">
        <f t="array" ref="I6757">IFERROR(IF($B6757=I$1, ($A6757+$C6757) - MAX(IF($B$2:$B6756=$B6757, $A$2:$A6756+$C$2:$C6756)), "")*24*60, "")</f>
        <v>0</v>
      </c>
      <c r="J6757" s="24" t="str" cm="1">
        <f t="array" ref="J6757">IFERROR(IF($B6757=J$1, ($A6757+$C6757) - MAX(IF($B$2:$B6756=$B6757, $A$2:$A6756+$C$2:$C6756)), "")*24*60, "")</f>
        <v/>
      </c>
      <c r="K6757" s="24" t="str" cm="1">
        <f t="array" ref="K6757">IFERROR(IF($B6757=K$1, ($A6757+$C6757) - MAX(IF($B$2:$B6756=$B6757, $A$2:$A6756+$C$2:$C6756)), "")*24*60, "")</f>
        <v/>
      </c>
      <c r="L6757" s="24" t="str" cm="1">
        <f t="array" ref="L6757">IFERROR(IF($B6757=L$1, ($A6757+$C6757) - MAX(IF($B$2:$B6756=$B6757, $A$2:$A6756+$C$2:$C6756)), "")*24*60, "")</f>
        <v/>
      </c>
      <c r="M6757" s="24" t="str" cm="1">
        <f t="array" ref="M6757">IFERROR(IF($B6757=M$1, ($A6757+$C6757) - MAX(IF($B$2:$B6756=$B6757, $A$2:$A6756+$C$2:$C6756)), "")*24*60, "")</f>
        <v/>
      </c>
      <c r="N6757" s="24" t="str" cm="1">
        <f t="array" ref="N6757">IFERROR(IF($B6757=N$1, ($A6757+$C6757) - MAX(IF($B$2:$B6756=$B6757, $A$2:$A6756+$C$2:$C6756)), "")*24*60, "")</f>
        <v/>
      </c>
      <c r="O6757" s="24" t="str" cm="1">
        <f t="array" ref="O6757">IFERROR(IF($B6757=O$1, ($A6757+$C6757) - MAX(IF($B$2:$B6756=$B6757, $A$2:$A6756+$C$2:$C6756)), "")*24*60, "")</f>
        <v/>
      </c>
      <c r="P6757" s="24" t="str" cm="1">
        <f t="array" ref="P6757">IFERROR(IF($B6757=P$1, ($A6757+$C6757) - MAX(IF($B$2:$B6756=$B6757, $A$2:$A6756+$C$2:$C6756)), "")*24*60, "")</f>
        <v/>
      </c>
      <c r="Q6757" s="24" t="str" cm="1">
        <f t="array" ref="Q6757">IFERROR(IF($B6757=Q$1, ($A6757+$C6757) - MAX(IF($B$2:$B6756=$B6757, $A$2:$A6756+$C$2:$C6756)), "")*24*60, "")</f>
        <v/>
      </c>
      <c r="R6757" s="24" t="str" cm="1">
        <f t="array" ref="R6757">IFERROR(IF($B6757=R$1, ($A6757+$C6757) - MAX(IF($B$2:$B6756=$B6757, $A$2:$A6756+$C$2:$C6756)), "")*24*60, "")</f>
        <v/>
      </c>
      <c r="S6757" s="24" t="str" cm="1">
        <f t="array" ref="S6757">IFERROR(IF($B6757=S$1, ($A6757+$C6757) - MAX(IF($B$2:$B6756=$B6757, $A$2:$A6756+$C$2:$C6756)), "")*24*60, "")</f>
        <v/>
      </c>
    </row>
    <row r="6758" spans="1:19" x14ac:dyDescent="0.2">
      <c r="A6758" s="12">
        <f t="shared" ref="A6758:C6758" si="1650">A6757</f>
        <v>45990</v>
      </c>
      <c r="B6758" s="5" t="str">
        <f t="shared" si="1650"/>
        <v>Northern Cardinal</v>
      </c>
      <c r="C6758" s="6">
        <f t="shared" si="1650"/>
        <v>0.28333333333333333</v>
      </c>
      <c r="D6758" s="5"/>
      <c r="E6758" s="5"/>
      <c r="F6758" s="5" t="s">
        <v>8</v>
      </c>
      <c r="G6758" s="15" t="s">
        <v>9</v>
      </c>
      <c r="H6758" s="24">
        <f t="shared" si="1637"/>
        <v>0</v>
      </c>
      <c r="I6758" s="24" cm="1">
        <f t="array" ref="I6758">IFERROR(IF($B6758=I$1, ($A6758+$C6758) - MAX(IF($B$2:$B6757=$B6758, $A$2:$A6757+$C$2:$C6757)), "")*24*60, "")</f>
        <v>0</v>
      </c>
      <c r="J6758" s="24" t="str" cm="1">
        <f t="array" ref="J6758">IFERROR(IF($B6758=J$1, ($A6758+$C6758) - MAX(IF($B$2:$B6757=$B6758, $A$2:$A6757+$C$2:$C6757)), "")*24*60, "")</f>
        <v/>
      </c>
      <c r="K6758" s="24" t="str" cm="1">
        <f t="array" ref="K6758">IFERROR(IF($B6758=K$1, ($A6758+$C6758) - MAX(IF($B$2:$B6757=$B6758, $A$2:$A6757+$C$2:$C6757)), "")*24*60, "")</f>
        <v/>
      </c>
      <c r="L6758" s="24" t="str" cm="1">
        <f t="array" ref="L6758">IFERROR(IF($B6758=L$1, ($A6758+$C6758) - MAX(IF($B$2:$B6757=$B6758, $A$2:$A6757+$C$2:$C6757)), "")*24*60, "")</f>
        <v/>
      </c>
      <c r="M6758" s="24" t="str" cm="1">
        <f t="array" ref="M6758">IFERROR(IF($B6758=M$1, ($A6758+$C6758) - MAX(IF($B$2:$B6757=$B6758, $A$2:$A6757+$C$2:$C6757)), "")*24*60, "")</f>
        <v/>
      </c>
      <c r="N6758" s="24" t="str" cm="1">
        <f t="array" ref="N6758">IFERROR(IF($B6758=N$1, ($A6758+$C6758) - MAX(IF($B$2:$B6757=$B6758, $A$2:$A6757+$C$2:$C6757)), "")*24*60, "")</f>
        <v/>
      </c>
      <c r="O6758" s="24" t="str" cm="1">
        <f t="array" ref="O6758">IFERROR(IF($B6758=O$1, ($A6758+$C6758) - MAX(IF($B$2:$B6757=$B6758, $A$2:$A6757+$C$2:$C6757)), "")*24*60, "")</f>
        <v/>
      </c>
      <c r="P6758" s="24" t="str" cm="1">
        <f t="array" ref="P6758">IFERROR(IF($B6758=P$1, ($A6758+$C6758) - MAX(IF($B$2:$B6757=$B6758, $A$2:$A6757+$C$2:$C6757)), "")*24*60, "")</f>
        <v/>
      </c>
      <c r="Q6758" s="24" t="str" cm="1">
        <f t="array" ref="Q6758">IFERROR(IF($B6758=Q$1, ($A6758+$C6758) - MAX(IF($B$2:$B6757=$B6758, $A$2:$A6757+$C$2:$C6757)), "")*24*60, "")</f>
        <v/>
      </c>
      <c r="R6758" s="24" t="str" cm="1">
        <f t="array" ref="R6758">IFERROR(IF($B6758=R$1, ($A6758+$C6758) - MAX(IF($B$2:$B6757=$B6758, $A$2:$A6757+$C$2:$C6757)), "")*24*60, "")</f>
        <v/>
      </c>
      <c r="S6758" s="24" t="str" cm="1">
        <f t="array" ref="S6758">IFERROR(IF($B6758=S$1, ($A6758+$C6758) - MAX(IF($B$2:$B6757=$B6758, $A$2:$A6757+$C$2:$C6757)), "")*24*60, "")</f>
        <v/>
      </c>
    </row>
    <row r="6759" spans="1:19" x14ac:dyDescent="0.2">
      <c r="A6759" s="12">
        <f t="shared" ref="A6759:C6759" si="1651">A6758</f>
        <v>45990</v>
      </c>
      <c r="B6759" s="5" t="str">
        <f t="shared" si="1651"/>
        <v>Northern Cardinal</v>
      </c>
      <c r="C6759" s="6">
        <f t="shared" si="1651"/>
        <v>0.28333333333333333</v>
      </c>
      <c r="D6759" s="5"/>
      <c r="E6759" s="5"/>
      <c r="F6759" s="5" t="s">
        <v>8</v>
      </c>
      <c r="G6759" s="15" t="s">
        <v>9</v>
      </c>
      <c r="H6759" s="24">
        <f t="shared" si="1637"/>
        <v>0</v>
      </c>
      <c r="I6759" s="24" cm="1">
        <f t="array" ref="I6759">IFERROR(IF($B6759=I$1, ($A6759+$C6759) - MAX(IF($B$2:$B6758=$B6759, $A$2:$A6758+$C$2:$C6758)), "")*24*60, "")</f>
        <v>0</v>
      </c>
      <c r="J6759" s="24" t="str" cm="1">
        <f t="array" ref="J6759">IFERROR(IF($B6759=J$1, ($A6759+$C6759) - MAX(IF($B$2:$B6758=$B6759, $A$2:$A6758+$C$2:$C6758)), "")*24*60, "")</f>
        <v/>
      </c>
      <c r="K6759" s="24" t="str" cm="1">
        <f t="array" ref="K6759">IFERROR(IF($B6759=K$1, ($A6759+$C6759) - MAX(IF($B$2:$B6758=$B6759, $A$2:$A6758+$C$2:$C6758)), "")*24*60, "")</f>
        <v/>
      </c>
      <c r="L6759" s="24" t="str" cm="1">
        <f t="array" ref="L6759">IFERROR(IF($B6759=L$1, ($A6759+$C6759) - MAX(IF($B$2:$B6758=$B6759, $A$2:$A6758+$C$2:$C6758)), "")*24*60, "")</f>
        <v/>
      </c>
      <c r="M6759" s="24" t="str" cm="1">
        <f t="array" ref="M6759">IFERROR(IF($B6759=M$1, ($A6759+$C6759) - MAX(IF($B$2:$B6758=$B6759, $A$2:$A6758+$C$2:$C6758)), "")*24*60, "")</f>
        <v/>
      </c>
      <c r="N6759" s="24" t="str" cm="1">
        <f t="array" ref="N6759">IFERROR(IF($B6759=N$1, ($A6759+$C6759) - MAX(IF($B$2:$B6758=$B6759, $A$2:$A6758+$C$2:$C6758)), "")*24*60, "")</f>
        <v/>
      </c>
      <c r="O6759" s="24" t="str" cm="1">
        <f t="array" ref="O6759">IFERROR(IF($B6759=O$1, ($A6759+$C6759) - MAX(IF($B$2:$B6758=$B6759, $A$2:$A6758+$C$2:$C6758)), "")*24*60, "")</f>
        <v/>
      </c>
      <c r="P6759" s="24" t="str" cm="1">
        <f t="array" ref="P6759">IFERROR(IF($B6759=P$1, ($A6759+$C6759) - MAX(IF($B$2:$B6758=$B6759, $A$2:$A6758+$C$2:$C6758)), "")*24*60, "")</f>
        <v/>
      </c>
      <c r="Q6759" s="24" t="str" cm="1">
        <f t="array" ref="Q6759">IFERROR(IF($B6759=Q$1, ($A6759+$C6759) - MAX(IF($B$2:$B6758=$B6759, $A$2:$A6758+$C$2:$C6758)), "")*24*60, "")</f>
        <v/>
      </c>
      <c r="R6759" s="24" t="str" cm="1">
        <f t="array" ref="R6759">IFERROR(IF($B6759=R$1, ($A6759+$C6759) - MAX(IF($B$2:$B6758=$B6759, $A$2:$A6758+$C$2:$C6758)), "")*24*60, "")</f>
        <v/>
      </c>
      <c r="S6759" s="24" t="str" cm="1">
        <f t="array" ref="S6759">IFERROR(IF($B6759=S$1, ($A6759+$C6759) - MAX(IF($B$2:$B6758=$B6759, $A$2:$A6758+$C$2:$C6758)), "")*24*60, "")</f>
        <v/>
      </c>
    </row>
    <row r="6760" spans="1:19" x14ac:dyDescent="0.2">
      <c r="A6760" s="12">
        <f t="shared" ref="A6760:C6760" si="1652">A6759</f>
        <v>45990</v>
      </c>
      <c r="B6760" s="5" t="str">
        <f t="shared" si="1652"/>
        <v>Northern Cardinal</v>
      </c>
      <c r="C6760" s="6">
        <f t="shared" si="1652"/>
        <v>0.28333333333333333</v>
      </c>
      <c r="D6760" s="5"/>
      <c r="E6760" s="5"/>
      <c r="F6760" s="5" t="s">
        <v>8</v>
      </c>
      <c r="G6760" s="15" t="s">
        <v>9</v>
      </c>
      <c r="H6760" s="24">
        <f t="shared" si="1637"/>
        <v>0</v>
      </c>
      <c r="I6760" s="24" cm="1">
        <f t="array" ref="I6760">IFERROR(IF($B6760=I$1, ($A6760+$C6760) - MAX(IF($B$2:$B6759=$B6760, $A$2:$A6759+$C$2:$C6759)), "")*24*60, "")</f>
        <v>0</v>
      </c>
      <c r="J6760" s="24" t="str" cm="1">
        <f t="array" ref="J6760">IFERROR(IF($B6760=J$1, ($A6760+$C6760) - MAX(IF($B$2:$B6759=$B6760, $A$2:$A6759+$C$2:$C6759)), "")*24*60, "")</f>
        <v/>
      </c>
      <c r="K6760" s="24" t="str" cm="1">
        <f t="array" ref="K6760">IFERROR(IF($B6760=K$1, ($A6760+$C6760) - MAX(IF($B$2:$B6759=$B6760, $A$2:$A6759+$C$2:$C6759)), "")*24*60, "")</f>
        <v/>
      </c>
      <c r="L6760" s="24" t="str" cm="1">
        <f t="array" ref="L6760">IFERROR(IF($B6760=L$1, ($A6760+$C6760) - MAX(IF($B$2:$B6759=$B6760, $A$2:$A6759+$C$2:$C6759)), "")*24*60, "")</f>
        <v/>
      </c>
      <c r="M6760" s="24" t="str" cm="1">
        <f t="array" ref="M6760">IFERROR(IF($B6760=M$1, ($A6760+$C6760) - MAX(IF($B$2:$B6759=$B6760, $A$2:$A6759+$C$2:$C6759)), "")*24*60, "")</f>
        <v/>
      </c>
      <c r="N6760" s="24" t="str" cm="1">
        <f t="array" ref="N6760">IFERROR(IF($B6760=N$1, ($A6760+$C6760) - MAX(IF($B$2:$B6759=$B6760, $A$2:$A6759+$C$2:$C6759)), "")*24*60, "")</f>
        <v/>
      </c>
      <c r="O6760" s="24" t="str" cm="1">
        <f t="array" ref="O6760">IFERROR(IF($B6760=O$1, ($A6760+$C6760) - MAX(IF($B$2:$B6759=$B6760, $A$2:$A6759+$C$2:$C6759)), "")*24*60, "")</f>
        <v/>
      </c>
      <c r="P6760" s="24" t="str" cm="1">
        <f t="array" ref="P6760">IFERROR(IF($B6760=P$1, ($A6760+$C6760) - MAX(IF($B$2:$B6759=$B6760, $A$2:$A6759+$C$2:$C6759)), "")*24*60, "")</f>
        <v/>
      </c>
      <c r="Q6760" s="24" t="str" cm="1">
        <f t="array" ref="Q6760">IFERROR(IF($B6760=Q$1, ($A6760+$C6760) - MAX(IF($B$2:$B6759=$B6760, $A$2:$A6759+$C$2:$C6759)), "")*24*60, "")</f>
        <v/>
      </c>
      <c r="R6760" s="24" t="str" cm="1">
        <f t="array" ref="R6760">IFERROR(IF($B6760=R$1, ($A6760+$C6760) - MAX(IF($B$2:$B6759=$B6760, $A$2:$A6759+$C$2:$C6759)), "")*24*60, "")</f>
        <v/>
      </c>
      <c r="S6760" s="24" t="str" cm="1">
        <f t="array" ref="S6760">IFERROR(IF($B6760=S$1, ($A6760+$C6760) - MAX(IF($B$2:$B6759=$B6760, $A$2:$A6759+$C$2:$C6759)), "")*24*60, "")</f>
        <v/>
      </c>
    </row>
    <row r="6761" spans="1:19" x14ac:dyDescent="0.2">
      <c r="A6761" s="12">
        <f t="shared" ref="A6761:C6761" si="1653">A6760</f>
        <v>45990</v>
      </c>
      <c r="B6761" s="5" t="str">
        <f t="shared" si="1653"/>
        <v>Northern Cardinal</v>
      </c>
      <c r="C6761" s="6">
        <f t="shared" si="1653"/>
        <v>0.28333333333333333</v>
      </c>
      <c r="D6761" s="5"/>
      <c r="E6761" s="5"/>
      <c r="F6761" s="5" t="s">
        <v>8</v>
      </c>
      <c r="G6761" s="15" t="s">
        <v>9</v>
      </c>
      <c r="H6761" s="24">
        <f t="shared" si="1637"/>
        <v>0</v>
      </c>
      <c r="I6761" s="24" cm="1">
        <f t="array" ref="I6761">IFERROR(IF($B6761=I$1, ($A6761+$C6761) - MAX(IF($B$2:$B6760=$B6761, $A$2:$A6760+$C$2:$C6760)), "")*24*60, "")</f>
        <v>0</v>
      </c>
      <c r="J6761" s="24" t="str" cm="1">
        <f t="array" ref="J6761">IFERROR(IF($B6761=J$1, ($A6761+$C6761) - MAX(IF($B$2:$B6760=$B6761, $A$2:$A6760+$C$2:$C6760)), "")*24*60, "")</f>
        <v/>
      </c>
      <c r="K6761" s="24" t="str" cm="1">
        <f t="array" ref="K6761">IFERROR(IF($B6761=K$1, ($A6761+$C6761) - MAX(IF($B$2:$B6760=$B6761, $A$2:$A6760+$C$2:$C6760)), "")*24*60, "")</f>
        <v/>
      </c>
      <c r="L6761" s="24" t="str" cm="1">
        <f t="array" ref="L6761">IFERROR(IF($B6761=L$1, ($A6761+$C6761) - MAX(IF($B$2:$B6760=$B6761, $A$2:$A6760+$C$2:$C6760)), "")*24*60, "")</f>
        <v/>
      </c>
      <c r="M6761" s="24" t="str" cm="1">
        <f t="array" ref="M6761">IFERROR(IF($B6761=M$1, ($A6761+$C6761) - MAX(IF($B$2:$B6760=$B6761, $A$2:$A6760+$C$2:$C6760)), "")*24*60, "")</f>
        <v/>
      </c>
      <c r="N6761" s="24" t="str" cm="1">
        <f t="array" ref="N6761">IFERROR(IF($B6761=N$1, ($A6761+$C6761) - MAX(IF($B$2:$B6760=$B6761, $A$2:$A6760+$C$2:$C6760)), "")*24*60, "")</f>
        <v/>
      </c>
      <c r="O6761" s="24" t="str" cm="1">
        <f t="array" ref="O6761">IFERROR(IF($B6761=O$1, ($A6761+$C6761) - MAX(IF($B$2:$B6760=$B6761, $A$2:$A6760+$C$2:$C6760)), "")*24*60, "")</f>
        <v/>
      </c>
      <c r="P6761" s="24" t="str" cm="1">
        <f t="array" ref="P6761">IFERROR(IF($B6761=P$1, ($A6761+$C6761) - MAX(IF($B$2:$B6760=$B6761, $A$2:$A6760+$C$2:$C6760)), "")*24*60, "")</f>
        <v/>
      </c>
      <c r="Q6761" s="24" t="str" cm="1">
        <f t="array" ref="Q6761">IFERROR(IF($B6761=Q$1, ($A6761+$C6761) - MAX(IF($B$2:$B6760=$B6761, $A$2:$A6760+$C$2:$C6760)), "")*24*60, "")</f>
        <v/>
      </c>
      <c r="R6761" s="24" t="str" cm="1">
        <f t="array" ref="R6761">IFERROR(IF($B6761=R$1, ($A6761+$C6761) - MAX(IF($B$2:$B6760=$B6761, $A$2:$A6760+$C$2:$C6760)), "")*24*60, "")</f>
        <v/>
      </c>
      <c r="S6761" s="24" t="str" cm="1">
        <f t="array" ref="S6761">IFERROR(IF($B6761=S$1, ($A6761+$C6761) - MAX(IF($B$2:$B6760=$B6761, $A$2:$A6760+$C$2:$C6760)), "")*24*60, "")</f>
        <v/>
      </c>
    </row>
    <row r="6762" spans="1:19" x14ac:dyDescent="0.2">
      <c r="A6762" s="12">
        <f t="shared" ref="A6762:C6762" si="1654">A6761</f>
        <v>45990</v>
      </c>
      <c r="B6762" s="5" t="str">
        <f t="shared" si="1654"/>
        <v>Northern Cardinal</v>
      </c>
      <c r="C6762" s="6">
        <f t="shared" si="1654"/>
        <v>0.28333333333333333</v>
      </c>
      <c r="D6762" s="5"/>
      <c r="E6762" s="5"/>
      <c r="F6762" s="5" t="s">
        <v>8</v>
      </c>
      <c r="G6762" s="15" t="s">
        <v>9</v>
      </c>
      <c r="H6762" s="24">
        <f t="shared" si="1637"/>
        <v>0</v>
      </c>
      <c r="I6762" s="24" cm="1">
        <f t="array" ref="I6762">IFERROR(IF($B6762=I$1, ($A6762+$C6762) - MAX(IF($B$2:$B6761=$B6762, $A$2:$A6761+$C$2:$C6761)), "")*24*60, "")</f>
        <v>0</v>
      </c>
      <c r="J6762" s="24" t="str" cm="1">
        <f t="array" ref="J6762">IFERROR(IF($B6762=J$1, ($A6762+$C6762) - MAX(IF($B$2:$B6761=$B6762, $A$2:$A6761+$C$2:$C6761)), "")*24*60, "")</f>
        <v/>
      </c>
      <c r="K6762" s="24" t="str" cm="1">
        <f t="array" ref="K6762">IFERROR(IF($B6762=K$1, ($A6762+$C6762) - MAX(IF($B$2:$B6761=$B6762, $A$2:$A6761+$C$2:$C6761)), "")*24*60, "")</f>
        <v/>
      </c>
      <c r="L6762" s="24" t="str" cm="1">
        <f t="array" ref="L6762">IFERROR(IF($B6762=L$1, ($A6762+$C6762) - MAX(IF($B$2:$B6761=$B6762, $A$2:$A6761+$C$2:$C6761)), "")*24*60, "")</f>
        <v/>
      </c>
      <c r="M6762" s="24" t="str" cm="1">
        <f t="array" ref="M6762">IFERROR(IF($B6762=M$1, ($A6762+$C6762) - MAX(IF($B$2:$B6761=$B6762, $A$2:$A6761+$C$2:$C6761)), "")*24*60, "")</f>
        <v/>
      </c>
      <c r="N6762" s="24" t="str" cm="1">
        <f t="array" ref="N6762">IFERROR(IF($B6762=N$1, ($A6762+$C6762) - MAX(IF($B$2:$B6761=$B6762, $A$2:$A6761+$C$2:$C6761)), "")*24*60, "")</f>
        <v/>
      </c>
      <c r="O6762" s="24" t="str" cm="1">
        <f t="array" ref="O6762">IFERROR(IF($B6762=O$1, ($A6762+$C6762) - MAX(IF($B$2:$B6761=$B6762, $A$2:$A6761+$C$2:$C6761)), "")*24*60, "")</f>
        <v/>
      </c>
      <c r="P6762" s="24" t="str" cm="1">
        <f t="array" ref="P6762">IFERROR(IF($B6762=P$1, ($A6762+$C6762) - MAX(IF($B$2:$B6761=$B6762, $A$2:$A6761+$C$2:$C6761)), "")*24*60, "")</f>
        <v/>
      </c>
      <c r="Q6762" s="24" t="str" cm="1">
        <f t="array" ref="Q6762">IFERROR(IF($B6762=Q$1, ($A6762+$C6762) - MAX(IF($B$2:$B6761=$B6762, $A$2:$A6761+$C$2:$C6761)), "")*24*60, "")</f>
        <v/>
      </c>
      <c r="R6762" s="24" t="str" cm="1">
        <f t="array" ref="R6762">IFERROR(IF($B6762=R$1, ($A6762+$C6762) - MAX(IF($B$2:$B6761=$B6762, $A$2:$A6761+$C$2:$C6761)), "")*24*60, "")</f>
        <v/>
      </c>
      <c r="S6762" s="24" t="str" cm="1">
        <f t="array" ref="S6762">IFERROR(IF($B6762=S$1, ($A6762+$C6762) - MAX(IF($B$2:$B6761=$B6762, $A$2:$A6761+$C$2:$C6761)), "")*24*60, "")</f>
        <v/>
      </c>
    </row>
    <row r="6763" spans="1:19" x14ac:dyDescent="0.2">
      <c r="A6763" s="12">
        <f t="shared" ref="A6763:C6763" si="1655">A6762</f>
        <v>45990</v>
      </c>
      <c r="B6763" s="5" t="str">
        <f t="shared" si="1655"/>
        <v>Northern Cardinal</v>
      </c>
      <c r="C6763" s="6">
        <f t="shared" si="1655"/>
        <v>0.28333333333333333</v>
      </c>
      <c r="D6763" s="5"/>
      <c r="E6763" s="5"/>
      <c r="F6763" s="5" t="s">
        <v>8</v>
      </c>
      <c r="G6763" s="15" t="s">
        <v>9</v>
      </c>
      <c r="H6763" s="24">
        <f t="shared" si="1637"/>
        <v>0</v>
      </c>
      <c r="I6763" s="24" cm="1">
        <f t="array" ref="I6763">IFERROR(IF($B6763=I$1, ($A6763+$C6763) - MAX(IF($B$2:$B6762=$B6763, $A$2:$A6762+$C$2:$C6762)), "")*24*60, "")</f>
        <v>0</v>
      </c>
      <c r="J6763" s="24" t="str" cm="1">
        <f t="array" ref="J6763">IFERROR(IF($B6763=J$1, ($A6763+$C6763) - MAX(IF($B$2:$B6762=$B6763, $A$2:$A6762+$C$2:$C6762)), "")*24*60, "")</f>
        <v/>
      </c>
      <c r="K6763" s="24" t="str" cm="1">
        <f t="array" ref="K6763">IFERROR(IF($B6763=K$1, ($A6763+$C6763) - MAX(IF($B$2:$B6762=$B6763, $A$2:$A6762+$C$2:$C6762)), "")*24*60, "")</f>
        <v/>
      </c>
      <c r="L6763" s="24" t="str" cm="1">
        <f t="array" ref="L6763">IFERROR(IF($B6763=L$1, ($A6763+$C6763) - MAX(IF($B$2:$B6762=$B6763, $A$2:$A6762+$C$2:$C6762)), "")*24*60, "")</f>
        <v/>
      </c>
      <c r="M6763" s="24" t="str" cm="1">
        <f t="array" ref="M6763">IFERROR(IF($B6763=M$1, ($A6763+$C6763) - MAX(IF($B$2:$B6762=$B6763, $A$2:$A6762+$C$2:$C6762)), "")*24*60, "")</f>
        <v/>
      </c>
      <c r="N6763" s="24" t="str" cm="1">
        <f t="array" ref="N6763">IFERROR(IF($B6763=N$1, ($A6763+$C6763) - MAX(IF($B$2:$B6762=$B6763, $A$2:$A6762+$C$2:$C6762)), "")*24*60, "")</f>
        <v/>
      </c>
      <c r="O6763" s="24" t="str" cm="1">
        <f t="array" ref="O6763">IFERROR(IF($B6763=O$1, ($A6763+$C6763) - MAX(IF($B$2:$B6762=$B6763, $A$2:$A6762+$C$2:$C6762)), "")*24*60, "")</f>
        <v/>
      </c>
      <c r="P6763" s="24" t="str" cm="1">
        <f t="array" ref="P6763">IFERROR(IF($B6763=P$1, ($A6763+$C6763) - MAX(IF($B$2:$B6762=$B6763, $A$2:$A6762+$C$2:$C6762)), "")*24*60, "")</f>
        <v/>
      </c>
      <c r="Q6763" s="24" t="str" cm="1">
        <f t="array" ref="Q6763">IFERROR(IF($B6763=Q$1, ($A6763+$C6763) - MAX(IF($B$2:$B6762=$B6763, $A$2:$A6762+$C$2:$C6762)), "")*24*60, "")</f>
        <v/>
      </c>
      <c r="R6763" s="24" t="str" cm="1">
        <f t="array" ref="R6763">IFERROR(IF($B6763=R$1, ($A6763+$C6763) - MAX(IF($B$2:$B6762=$B6763, $A$2:$A6762+$C$2:$C6762)), "")*24*60, "")</f>
        <v/>
      </c>
      <c r="S6763" s="24" t="str" cm="1">
        <f t="array" ref="S6763">IFERROR(IF($B6763=S$1, ($A6763+$C6763) - MAX(IF($B$2:$B6762=$B6763, $A$2:$A6762+$C$2:$C6762)), "")*24*60, "")</f>
        <v/>
      </c>
    </row>
    <row r="6764" spans="1:19" x14ac:dyDescent="0.2">
      <c r="A6764" s="12">
        <f t="shared" ref="A6764:C6764" si="1656">A6763</f>
        <v>45990</v>
      </c>
      <c r="B6764" s="5" t="str">
        <f t="shared" si="1656"/>
        <v>Northern Cardinal</v>
      </c>
      <c r="C6764" s="6">
        <f t="shared" si="1656"/>
        <v>0.28333333333333333</v>
      </c>
      <c r="D6764" s="5"/>
      <c r="E6764" s="5"/>
      <c r="F6764" s="5" t="s">
        <v>8</v>
      </c>
      <c r="G6764" s="15" t="s">
        <v>9</v>
      </c>
      <c r="H6764" s="24">
        <f t="shared" si="1637"/>
        <v>0</v>
      </c>
      <c r="I6764" s="24" cm="1">
        <f t="array" ref="I6764">IFERROR(IF($B6764=I$1, ($A6764+$C6764) - MAX(IF($B$2:$B6763=$B6764, $A$2:$A6763+$C$2:$C6763)), "")*24*60, "")</f>
        <v>0</v>
      </c>
      <c r="J6764" s="24" t="str" cm="1">
        <f t="array" ref="J6764">IFERROR(IF($B6764=J$1, ($A6764+$C6764) - MAX(IF($B$2:$B6763=$B6764, $A$2:$A6763+$C$2:$C6763)), "")*24*60, "")</f>
        <v/>
      </c>
      <c r="K6764" s="24" t="str" cm="1">
        <f t="array" ref="K6764">IFERROR(IF($B6764=K$1, ($A6764+$C6764) - MAX(IF($B$2:$B6763=$B6764, $A$2:$A6763+$C$2:$C6763)), "")*24*60, "")</f>
        <v/>
      </c>
      <c r="L6764" s="24" t="str" cm="1">
        <f t="array" ref="L6764">IFERROR(IF($B6764=L$1, ($A6764+$C6764) - MAX(IF($B$2:$B6763=$B6764, $A$2:$A6763+$C$2:$C6763)), "")*24*60, "")</f>
        <v/>
      </c>
      <c r="M6764" s="24" t="str" cm="1">
        <f t="array" ref="M6764">IFERROR(IF($B6764=M$1, ($A6764+$C6764) - MAX(IF($B$2:$B6763=$B6764, $A$2:$A6763+$C$2:$C6763)), "")*24*60, "")</f>
        <v/>
      </c>
      <c r="N6764" s="24" t="str" cm="1">
        <f t="array" ref="N6764">IFERROR(IF($B6764=N$1, ($A6764+$C6764) - MAX(IF($B$2:$B6763=$B6764, $A$2:$A6763+$C$2:$C6763)), "")*24*60, "")</f>
        <v/>
      </c>
      <c r="O6764" s="24" t="str" cm="1">
        <f t="array" ref="O6764">IFERROR(IF($B6764=O$1, ($A6764+$C6764) - MAX(IF($B$2:$B6763=$B6764, $A$2:$A6763+$C$2:$C6763)), "")*24*60, "")</f>
        <v/>
      </c>
      <c r="P6764" s="24" t="str" cm="1">
        <f t="array" ref="P6764">IFERROR(IF($B6764=P$1, ($A6764+$C6764) - MAX(IF($B$2:$B6763=$B6764, $A$2:$A6763+$C$2:$C6763)), "")*24*60, "")</f>
        <v/>
      </c>
      <c r="Q6764" s="24" t="str" cm="1">
        <f t="array" ref="Q6764">IFERROR(IF($B6764=Q$1, ($A6764+$C6764) - MAX(IF($B$2:$B6763=$B6764, $A$2:$A6763+$C$2:$C6763)), "")*24*60, "")</f>
        <v/>
      </c>
      <c r="R6764" s="24" t="str" cm="1">
        <f t="array" ref="R6764">IFERROR(IF($B6764=R$1, ($A6764+$C6764) - MAX(IF($B$2:$B6763=$B6764, $A$2:$A6763+$C$2:$C6763)), "")*24*60, "")</f>
        <v/>
      </c>
      <c r="S6764" s="24" t="str" cm="1">
        <f t="array" ref="S6764">IFERROR(IF($B6764=S$1, ($A6764+$C6764) - MAX(IF($B$2:$B6763=$B6764, $A$2:$A6763+$C$2:$C6763)), "")*24*60, "")</f>
        <v/>
      </c>
    </row>
    <row r="6765" spans="1:19" x14ac:dyDescent="0.2">
      <c r="A6765" s="12">
        <f t="shared" ref="A6765:C6765" si="1657">A6764</f>
        <v>45990</v>
      </c>
      <c r="B6765" s="5" t="str">
        <f t="shared" si="1657"/>
        <v>Northern Cardinal</v>
      </c>
      <c r="C6765" s="6">
        <f t="shared" si="1657"/>
        <v>0.28333333333333333</v>
      </c>
      <c r="D6765" s="5"/>
      <c r="E6765" s="5"/>
      <c r="F6765" s="5" t="s">
        <v>8</v>
      </c>
      <c r="G6765" s="15" t="s">
        <v>9</v>
      </c>
      <c r="H6765" s="24">
        <f t="shared" si="1637"/>
        <v>0</v>
      </c>
      <c r="I6765" s="24" cm="1">
        <f t="array" ref="I6765">IFERROR(IF($B6765=I$1, ($A6765+$C6765) - MAX(IF($B$2:$B6764=$B6765, $A$2:$A6764+$C$2:$C6764)), "")*24*60, "")</f>
        <v>0</v>
      </c>
      <c r="J6765" s="24" t="str" cm="1">
        <f t="array" ref="J6765">IFERROR(IF($B6765=J$1, ($A6765+$C6765) - MAX(IF($B$2:$B6764=$B6765, $A$2:$A6764+$C$2:$C6764)), "")*24*60, "")</f>
        <v/>
      </c>
      <c r="K6765" s="24" t="str" cm="1">
        <f t="array" ref="K6765">IFERROR(IF($B6765=K$1, ($A6765+$C6765) - MAX(IF($B$2:$B6764=$B6765, $A$2:$A6764+$C$2:$C6764)), "")*24*60, "")</f>
        <v/>
      </c>
      <c r="L6765" s="24" t="str" cm="1">
        <f t="array" ref="L6765">IFERROR(IF($B6765=L$1, ($A6765+$C6765) - MAX(IF($B$2:$B6764=$B6765, $A$2:$A6764+$C$2:$C6764)), "")*24*60, "")</f>
        <v/>
      </c>
      <c r="M6765" s="24" t="str" cm="1">
        <f t="array" ref="M6765">IFERROR(IF($B6765=M$1, ($A6765+$C6765) - MAX(IF($B$2:$B6764=$B6765, $A$2:$A6764+$C$2:$C6764)), "")*24*60, "")</f>
        <v/>
      </c>
      <c r="N6765" s="24" t="str" cm="1">
        <f t="array" ref="N6765">IFERROR(IF($B6765=N$1, ($A6765+$C6765) - MAX(IF($B$2:$B6764=$B6765, $A$2:$A6764+$C$2:$C6764)), "")*24*60, "")</f>
        <v/>
      </c>
      <c r="O6765" s="24" t="str" cm="1">
        <f t="array" ref="O6765">IFERROR(IF($B6765=O$1, ($A6765+$C6765) - MAX(IF($B$2:$B6764=$B6765, $A$2:$A6764+$C$2:$C6764)), "")*24*60, "")</f>
        <v/>
      </c>
      <c r="P6765" s="24" t="str" cm="1">
        <f t="array" ref="P6765">IFERROR(IF($B6765=P$1, ($A6765+$C6765) - MAX(IF($B$2:$B6764=$B6765, $A$2:$A6764+$C$2:$C6764)), "")*24*60, "")</f>
        <v/>
      </c>
      <c r="Q6765" s="24" t="str" cm="1">
        <f t="array" ref="Q6765">IFERROR(IF($B6765=Q$1, ($A6765+$C6765) - MAX(IF($B$2:$B6764=$B6765, $A$2:$A6764+$C$2:$C6764)), "")*24*60, "")</f>
        <v/>
      </c>
      <c r="R6765" s="24" t="str" cm="1">
        <f t="array" ref="R6765">IFERROR(IF($B6765=R$1, ($A6765+$C6765) - MAX(IF($B$2:$B6764=$B6765, $A$2:$A6764+$C$2:$C6764)), "")*24*60, "")</f>
        <v/>
      </c>
      <c r="S6765" s="24" t="str" cm="1">
        <f t="array" ref="S6765">IFERROR(IF($B6765=S$1, ($A6765+$C6765) - MAX(IF($B$2:$B6764=$B6765, $A$2:$A6764+$C$2:$C6764)), "")*24*60, "")</f>
        <v/>
      </c>
    </row>
    <row r="6766" spans="1:19" x14ac:dyDescent="0.2">
      <c r="A6766" s="12">
        <f t="shared" ref="A6766:C6766" si="1658">A6765</f>
        <v>45990</v>
      </c>
      <c r="B6766" s="5" t="str">
        <f t="shared" si="1658"/>
        <v>Northern Cardinal</v>
      </c>
      <c r="C6766" s="6">
        <f t="shared" si="1658"/>
        <v>0.28333333333333333</v>
      </c>
      <c r="D6766" s="5"/>
      <c r="E6766" s="5"/>
      <c r="F6766" s="5" t="s">
        <v>8</v>
      </c>
      <c r="G6766" s="15" t="s">
        <v>9</v>
      </c>
      <c r="H6766" s="24">
        <f t="shared" si="1637"/>
        <v>0</v>
      </c>
      <c r="I6766" s="24" cm="1">
        <f t="array" ref="I6766">IFERROR(IF($B6766=I$1, ($A6766+$C6766) - MAX(IF($B$2:$B6765=$B6766, $A$2:$A6765+$C$2:$C6765)), "")*24*60, "")</f>
        <v>0</v>
      </c>
      <c r="J6766" s="24" t="str" cm="1">
        <f t="array" ref="J6766">IFERROR(IF($B6766=J$1, ($A6766+$C6766) - MAX(IF($B$2:$B6765=$B6766, $A$2:$A6765+$C$2:$C6765)), "")*24*60, "")</f>
        <v/>
      </c>
      <c r="K6766" s="24" t="str" cm="1">
        <f t="array" ref="K6766">IFERROR(IF($B6766=K$1, ($A6766+$C6766) - MAX(IF($B$2:$B6765=$B6766, $A$2:$A6765+$C$2:$C6765)), "")*24*60, "")</f>
        <v/>
      </c>
      <c r="L6766" s="24" t="str" cm="1">
        <f t="array" ref="L6766">IFERROR(IF($B6766=L$1, ($A6766+$C6766) - MAX(IF($B$2:$B6765=$B6766, $A$2:$A6765+$C$2:$C6765)), "")*24*60, "")</f>
        <v/>
      </c>
      <c r="M6766" s="24" t="str" cm="1">
        <f t="array" ref="M6766">IFERROR(IF($B6766=M$1, ($A6766+$C6766) - MAX(IF($B$2:$B6765=$B6766, $A$2:$A6765+$C$2:$C6765)), "")*24*60, "")</f>
        <v/>
      </c>
      <c r="N6766" s="24" t="str" cm="1">
        <f t="array" ref="N6766">IFERROR(IF($B6766=N$1, ($A6766+$C6766) - MAX(IF($B$2:$B6765=$B6766, $A$2:$A6765+$C$2:$C6765)), "")*24*60, "")</f>
        <v/>
      </c>
      <c r="O6766" s="24" t="str" cm="1">
        <f t="array" ref="O6766">IFERROR(IF($B6766=O$1, ($A6766+$C6766) - MAX(IF($B$2:$B6765=$B6766, $A$2:$A6765+$C$2:$C6765)), "")*24*60, "")</f>
        <v/>
      </c>
      <c r="P6766" s="24" t="str" cm="1">
        <f t="array" ref="P6766">IFERROR(IF($B6766=P$1, ($A6766+$C6766) - MAX(IF($B$2:$B6765=$B6766, $A$2:$A6765+$C$2:$C6765)), "")*24*60, "")</f>
        <v/>
      </c>
      <c r="Q6766" s="24" t="str" cm="1">
        <f t="array" ref="Q6766">IFERROR(IF($B6766=Q$1, ($A6766+$C6766) - MAX(IF($B$2:$B6765=$B6766, $A$2:$A6765+$C$2:$C6765)), "")*24*60, "")</f>
        <v/>
      </c>
      <c r="R6766" s="24" t="str" cm="1">
        <f t="array" ref="R6766">IFERROR(IF($B6766=R$1, ($A6766+$C6766) - MAX(IF($B$2:$B6765=$B6766, $A$2:$A6765+$C$2:$C6765)), "")*24*60, "")</f>
        <v/>
      </c>
      <c r="S6766" s="24" t="str" cm="1">
        <f t="array" ref="S6766">IFERROR(IF($B6766=S$1, ($A6766+$C6766) - MAX(IF($B$2:$B6765=$B6766, $A$2:$A6765+$C$2:$C6765)), "")*24*60, "")</f>
        <v/>
      </c>
    </row>
    <row r="6767" spans="1:19" x14ac:dyDescent="0.2">
      <c r="A6767" s="12">
        <f t="shared" ref="A6767:C6767" si="1659">A6766</f>
        <v>45990</v>
      </c>
      <c r="B6767" s="5" t="str">
        <f t="shared" si="1659"/>
        <v>Northern Cardinal</v>
      </c>
      <c r="C6767" s="6">
        <f t="shared" si="1659"/>
        <v>0.28333333333333333</v>
      </c>
      <c r="D6767" s="5"/>
      <c r="E6767" s="5"/>
      <c r="F6767" s="5" t="s">
        <v>8</v>
      </c>
      <c r="G6767" s="15" t="s">
        <v>9</v>
      </c>
      <c r="H6767" s="24">
        <f t="shared" si="1637"/>
        <v>0</v>
      </c>
      <c r="I6767" s="24" cm="1">
        <f t="array" ref="I6767">IFERROR(IF($B6767=I$1, ($A6767+$C6767) - MAX(IF($B$2:$B6766=$B6767, $A$2:$A6766+$C$2:$C6766)), "")*24*60, "")</f>
        <v>0</v>
      </c>
      <c r="J6767" s="24" t="str" cm="1">
        <f t="array" ref="J6767">IFERROR(IF($B6767=J$1, ($A6767+$C6767) - MAX(IF($B$2:$B6766=$B6767, $A$2:$A6766+$C$2:$C6766)), "")*24*60, "")</f>
        <v/>
      </c>
      <c r="K6767" s="24" t="str" cm="1">
        <f t="array" ref="K6767">IFERROR(IF($B6767=K$1, ($A6767+$C6767) - MAX(IF($B$2:$B6766=$B6767, $A$2:$A6766+$C$2:$C6766)), "")*24*60, "")</f>
        <v/>
      </c>
      <c r="L6767" s="24" t="str" cm="1">
        <f t="array" ref="L6767">IFERROR(IF($B6767=L$1, ($A6767+$C6767) - MAX(IF($B$2:$B6766=$B6767, $A$2:$A6766+$C$2:$C6766)), "")*24*60, "")</f>
        <v/>
      </c>
      <c r="M6767" s="24" t="str" cm="1">
        <f t="array" ref="M6767">IFERROR(IF($B6767=M$1, ($A6767+$C6767) - MAX(IF($B$2:$B6766=$B6767, $A$2:$A6766+$C$2:$C6766)), "")*24*60, "")</f>
        <v/>
      </c>
      <c r="N6767" s="24" t="str" cm="1">
        <f t="array" ref="N6767">IFERROR(IF($B6767=N$1, ($A6767+$C6767) - MAX(IF($B$2:$B6766=$B6767, $A$2:$A6766+$C$2:$C6766)), "")*24*60, "")</f>
        <v/>
      </c>
      <c r="O6767" s="24" t="str" cm="1">
        <f t="array" ref="O6767">IFERROR(IF($B6767=O$1, ($A6767+$C6767) - MAX(IF($B$2:$B6766=$B6767, $A$2:$A6766+$C$2:$C6766)), "")*24*60, "")</f>
        <v/>
      </c>
      <c r="P6767" s="24" t="str" cm="1">
        <f t="array" ref="P6767">IFERROR(IF($B6767=P$1, ($A6767+$C6767) - MAX(IF($B$2:$B6766=$B6767, $A$2:$A6766+$C$2:$C6766)), "")*24*60, "")</f>
        <v/>
      </c>
      <c r="Q6767" s="24" t="str" cm="1">
        <f t="array" ref="Q6767">IFERROR(IF($B6767=Q$1, ($A6767+$C6767) - MAX(IF($B$2:$B6766=$B6767, $A$2:$A6766+$C$2:$C6766)), "")*24*60, "")</f>
        <v/>
      </c>
      <c r="R6767" s="24" t="str" cm="1">
        <f t="array" ref="R6767">IFERROR(IF($B6767=R$1, ($A6767+$C6767) - MAX(IF($B$2:$B6766=$B6767, $A$2:$A6766+$C$2:$C6766)), "")*24*60, "")</f>
        <v/>
      </c>
      <c r="S6767" s="24" t="str" cm="1">
        <f t="array" ref="S6767">IFERROR(IF($B6767=S$1, ($A6767+$C6767) - MAX(IF($B$2:$B6766=$B6767, $A$2:$A6766+$C$2:$C6766)), "")*24*60, "")</f>
        <v/>
      </c>
    </row>
    <row r="6768" spans="1:19" x14ac:dyDescent="0.2">
      <c r="A6768" s="12">
        <f t="shared" ref="A6768:C6768" si="1660">A6767</f>
        <v>45990</v>
      </c>
      <c r="B6768" s="5" t="str">
        <f t="shared" si="1660"/>
        <v>Northern Cardinal</v>
      </c>
      <c r="C6768" s="6">
        <f t="shared" si="1660"/>
        <v>0.28333333333333333</v>
      </c>
      <c r="D6768" s="5"/>
      <c r="E6768" s="5"/>
      <c r="F6768" s="5" t="s">
        <v>8</v>
      </c>
      <c r="G6768" s="15" t="s">
        <v>9</v>
      </c>
      <c r="H6768" s="24">
        <f t="shared" si="1637"/>
        <v>0</v>
      </c>
      <c r="I6768" s="24" cm="1">
        <f t="array" ref="I6768">IFERROR(IF($B6768=I$1, ($A6768+$C6768) - MAX(IF($B$2:$B6767=$B6768, $A$2:$A6767+$C$2:$C6767)), "")*24*60, "")</f>
        <v>0</v>
      </c>
      <c r="J6768" s="24" t="str" cm="1">
        <f t="array" ref="J6768">IFERROR(IF($B6768=J$1, ($A6768+$C6768) - MAX(IF($B$2:$B6767=$B6768, $A$2:$A6767+$C$2:$C6767)), "")*24*60, "")</f>
        <v/>
      </c>
      <c r="K6768" s="24" t="str" cm="1">
        <f t="array" ref="K6768">IFERROR(IF($B6768=K$1, ($A6768+$C6768) - MAX(IF($B$2:$B6767=$B6768, $A$2:$A6767+$C$2:$C6767)), "")*24*60, "")</f>
        <v/>
      </c>
      <c r="L6768" s="24" t="str" cm="1">
        <f t="array" ref="L6768">IFERROR(IF($B6768=L$1, ($A6768+$C6768) - MAX(IF($B$2:$B6767=$B6768, $A$2:$A6767+$C$2:$C6767)), "")*24*60, "")</f>
        <v/>
      </c>
      <c r="M6768" s="24" t="str" cm="1">
        <f t="array" ref="M6768">IFERROR(IF($B6768=M$1, ($A6768+$C6768) - MAX(IF($B$2:$B6767=$B6768, $A$2:$A6767+$C$2:$C6767)), "")*24*60, "")</f>
        <v/>
      </c>
      <c r="N6768" s="24" t="str" cm="1">
        <f t="array" ref="N6768">IFERROR(IF($B6768=N$1, ($A6768+$C6768) - MAX(IF($B$2:$B6767=$B6768, $A$2:$A6767+$C$2:$C6767)), "")*24*60, "")</f>
        <v/>
      </c>
      <c r="O6768" s="24" t="str" cm="1">
        <f t="array" ref="O6768">IFERROR(IF($B6768=O$1, ($A6768+$C6768) - MAX(IF($B$2:$B6767=$B6768, $A$2:$A6767+$C$2:$C6767)), "")*24*60, "")</f>
        <v/>
      </c>
      <c r="P6768" s="24" t="str" cm="1">
        <f t="array" ref="P6768">IFERROR(IF($B6768=P$1, ($A6768+$C6768) - MAX(IF($B$2:$B6767=$B6768, $A$2:$A6767+$C$2:$C6767)), "")*24*60, "")</f>
        <v/>
      </c>
      <c r="Q6768" s="24" t="str" cm="1">
        <f t="array" ref="Q6768">IFERROR(IF($B6768=Q$1, ($A6768+$C6768) - MAX(IF($B$2:$B6767=$B6768, $A$2:$A6767+$C$2:$C6767)), "")*24*60, "")</f>
        <v/>
      </c>
      <c r="R6768" s="24" t="str" cm="1">
        <f t="array" ref="R6768">IFERROR(IF($B6768=R$1, ($A6768+$C6768) - MAX(IF($B$2:$B6767=$B6768, $A$2:$A6767+$C$2:$C6767)), "")*24*60, "")</f>
        <v/>
      </c>
      <c r="S6768" s="24" t="str" cm="1">
        <f t="array" ref="S6768">IFERROR(IF($B6768=S$1, ($A6768+$C6768) - MAX(IF($B$2:$B6767=$B6768, $A$2:$A6767+$C$2:$C6767)), "")*24*60, "")</f>
        <v/>
      </c>
    </row>
    <row r="6769" spans="1:19" x14ac:dyDescent="0.2">
      <c r="A6769" s="12">
        <f t="shared" ref="A6769:C6769" si="1661">A6768</f>
        <v>45990</v>
      </c>
      <c r="B6769" s="5" t="str">
        <f t="shared" si="1661"/>
        <v>Northern Cardinal</v>
      </c>
      <c r="C6769" s="6">
        <f t="shared" si="1661"/>
        <v>0.28333333333333333</v>
      </c>
      <c r="D6769" s="5"/>
      <c r="E6769" s="5"/>
      <c r="F6769" s="5" t="s">
        <v>8</v>
      </c>
      <c r="G6769" s="15" t="s">
        <v>9</v>
      </c>
      <c r="H6769" s="24">
        <f t="shared" si="1637"/>
        <v>0</v>
      </c>
      <c r="I6769" s="24" cm="1">
        <f t="array" ref="I6769">IFERROR(IF($B6769=I$1, ($A6769+$C6769) - MAX(IF($B$2:$B6768=$B6769, $A$2:$A6768+$C$2:$C6768)), "")*24*60, "")</f>
        <v>0</v>
      </c>
      <c r="J6769" s="24" t="str" cm="1">
        <f t="array" ref="J6769">IFERROR(IF($B6769=J$1, ($A6769+$C6769) - MAX(IF($B$2:$B6768=$B6769, $A$2:$A6768+$C$2:$C6768)), "")*24*60, "")</f>
        <v/>
      </c>
      <c r="K6769" s="24" t="str" cm="1">
        <f t="array" ref="K6769">IFERROR(IF($B6769=K$1, ($A6769+$C6769) - MAX(IF($B$2:$B6768=$B6769, $A$2:$A6768+$C$2:$C6768)), "")*24*60, "")</f>
        <v/>
      </c>
      <c r="L6769" s="24" t="str" cm="1">
        <f t="array" ref="L6769">IFERROR(IF($B6769=L$1, ($A6769+$C6769) - MAX(IF($B$2:$B6768=$B6769, $A$2:$A6768+$C$2:$C6768)), "")*24*60, "")</f>
        <v/>
      </c>
      <c r="M6769" s="24" t="str" cm="1">
        <f t="array" ref="M6769">IFERROR(IF($B6769=M$1, ($A6769+$C6769) - MAX(IF($B$2:$B6768=$B6769, $A$2:$A6768+$C$2:$C6768)), "")*24*60, "")</f>
        <v/>
      </c>
      <c r="N6769" s="24" t="str" cm="1">
        <f t="array" ref="N6769">IFERROR(IF($B6769=N$1, ($A6769+$C6769) - MAX(IF($B$2:$B6768=$B6769, $A$2:$A6768+$C$2:$C6768)), "")*24*60, "")</f>
        <v/>
      </c>
      <c r="O6769" s="24" t="str" cm="1">
        <f t="array" ref="O6769">IFERROR(IF($B6769=O$1, ($A6769+$C6769) - MAX(IF($B$2:$B6768=$B6769, $A$2:$A6768+$C$2:$C6768)), "")*24*60, "")</f>
        <v/>
      </c>
      <c r="P6769" s="24" t="str" cm="1">
        <f t="array" ref="P6769">IFERROR(IF($B6769=P$1, ($A6769+$C6769) - MAX(IF($B$2:$B6768=$B6769, $A$2:$A6768+$C$2:$C6768)), "")*24*60, "")</f>
        <v/>
      </c>
      <c r="Q6769" s="24" t="str" cm="1">
        <f t="array" ref="Q6769">IFERROR(IF($B6769=Q$1, ($A6769+$C6769) - MAX(IF($B$2:$B6768=$B6769, $A$2:$A6768+$C$2:$C6768)), "")*24*60, "")</f>
        <v/>
      </c>
      <c r="R6769" s="24" t="str" cm="1">
        <f t="array" ref="R6769">IFERROR(IF($B6769=R$1, ($A6769+$C6769) - MAX(IF($B$2:$B6768=$B6769, $A$2:$A6768+$C$2:$C6768)), "")*24*60, "")</f>
        <v/>
      </c>
      <c r="S6769" s="24" t="str" cm="1">
        <f t="array" ref="S6769">IFERROR(IF($B6769=S$1, ($A6769+$C6769) - MAX(IF($B$2:$B6768=$B6769, $A$2:$A6768+$C$2:$C6768)), "")*24*60, "")</f>
        <v/>
      </c>
    </row>
    <row r="6770" spans="1:19" x14ac:dyDescent="0.2">
      <c r="A6770" s="12">
        <f t="shared" ref="A6770:C6770" si="1662">A6769</f>
        <v>45990</v>
      </c>
      <c r="B6770" s="5" t="str">
        <f t="shared" si="1662"/>
        <v>Northern Cardinal</v>
      </c>
      <c r="C6770" s="6">
        <f t="shared" si="1662"/>
        <v>0.28333333333333333</v>
      </c>
      <c r="D6770" s="5"/>
      <c r="E6770" s="5"/>
      <c r="F6770" s="5" t="s">
        <v>8</v>
      </c>
      <c r="G6770" s="15" t="s">
        <v>9</v>
      </c>
      <c r="H6770" s="24">
        <f t="shared" si="1637"/>
        <v>0</v>
      </c>
      <c r="I6770" s="24" cm="1">
        <f t="array" ref="I6770">IFERROR(IF($B6770=I$1, ($A6770+$C6770) - MAX(IF($B$2:$B6769=$B6770, $A$2:$A6769+$C$2:$C6769)), "")*24*60, "")</f>
        <v>0</v>
      </c>
      <c r="J6770" s="24" t="str" cm="1">
        <f t="array" ref="J6770">IFERROR(IF($B6770=J$1, ($A6770+$C6770) - MAX(IF($B$2:$B6769=$B6770, $A$2:$A6769+$C$2:$C6769)), "")*24*60, "")</f>
        <v/>
      </c>
      <c r="K6770" s="24" t="str" cm="1">
        <f t="array" ref="K6770">IFERROR(IF($B6770=K$1, ($A6770+$C6770) - MAX(IF($B$2:$B6769=$B6770, $A$2:$A6769+$C$2:$C6769)), "")*24*60, "")</f>
        <v/>
      </c>
      <c r="L6770" s="24" t="str" cm="1">
        <f t="array" ref="L6770">IFERROR(IF($B6770=L$1, ($A6770+$C6770) - MAX(IF($B$2:$B6769=$B6770, $A$2:$A6769+$C$2:$C6769)), "")*24*60, "")</f>
        <v/>
      </c>
      <c r="M6770" s="24" t="str" cm="1">
        <f t="array" ref="M6770">IFERROR(IF($B6770=M$1, ($A6770+$C6770) - MAX(IF($B$2:$B6769=$B6770, $A$2:$A6769+$C$2:$C6769)), "")*24*60, "")</f>
        <v/>
      </c>
      <c r="N6770" s="24" t="str" cm="1">
        <f t="array" ref="N6770">IFERROR(IF($B6770=N$1, ($A6770+$C6770) - MAX(IF($B$2:$B6769=$B6770, $A$2:$A6769+$C$2:$C6769)), "")*24*60, "")</f>
        <v/>
      </c>
      <c r="O6770" s="24" t="str" cm="1">
        <f t="array" ref="O6770">IFERROR(IF($B6770=O$1, ($A6770+$C6770) - MAX(IF($B$2:$B6769=$B6770, $A$2:$A6769+$C$2:$C6769)), "")*24*60, "")</f>
        <v/>
      </c>
      <c r="P6770" s="24" t="str" cm="1">
        <f t="array" ref="P6770">IFERROR(IF($B6770=P$1, ($A6770+$C6770) - MAX(IF($B$2:$B6769=$B6770, $A$2:$A6769+$C$2:$C6769)), "")*24*60, "")</f>
        <v/>
      </c>
      <c r="Q6770" s="24" t="str" cm="1">
        <f t="array" ref="Q6770">IFERROR(IF($B6770=Q$1, ($A6770+$C6770) - MAX(IF($B$2:$B6769=$B6770, $A$2:$A6769+$C$2:$C6769)), "")*24*60, "")</f>
        <v/>
      </c>
      <c r="R6770" s="24" t="str" cm="1">
        <f t="array" ref="R6770">IFERROR(IF($B6770=R$1, ($A6770+$C6770) - MAX(IF($B$2:$B6769=$B6770, $A$2:$A6769+$C$2:$C6769)), "")*24*60, "")</f>
        <v/>
      </c>
      <c r="S6770" s="24" t="str" cm="1">
        <f t="array" ref="S6770">IFERROR(IF($B6770=S$1, ($A6770+$C6770) - MAX(IF($B$2:$B6769=$B6770, $A$2:$A6769+$C$2:$C6769)),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21"/>
  <sheetViews>
    <sheetView tabSelected="1" zoomScale="120" zoomScaleNormal="120" workbookViewId="0">
      <pane ySplit="1" topLeftCell="A209" activePane="bottomLeft" state="frozen"/>
      <selection pane="bottomLeft" activeCell="A215" sqref="A215:E22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4">
        <v>45989</v>
      </c>
      <c r="B221" s="11" t="s">
        <v>20</v>
      </c>
      <c r="C221" s="11">
        <f>COUNTIFS(RawData!$B:$B, $B221, RawData!$A:$A, DailySummaries!$A221)</f>
        <v>86</v>
      </c>
      <c r="D221" s="11">
        <f>SUMIFS(RawData!$D:$D,RawData!$B:$B,$B221,RawData!$A:$A,DailySummaries!$A221)+1</f>
        <v>78</v>
      </c>
      <c r="E221" s="11">
        <f>SUMIFS(RawData!$E:$E,RawData!$B:$B,$B221,RawData!$A:$A,DailySummaries!$A221)+1</f>
        <v>835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2025-11-29T13:22:59Z</dcterms:modified>
</cp:coreProperties>
</file>
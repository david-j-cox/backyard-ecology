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F87EE732-BD28-9840-9FD3-D61C59DFC63B}" xr6:coauthVersionLast="47" xr6:coauthVersionMax="47" xr10:uidLastSave="{00000000-0000-0000-0000-000000000000}"/>
  <bookViews>
    <workbookView xWindow="0" yWindow="60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1" i="2" l="1"/>
  <c r="C350" i="2"/>
  <c r="C349" i="2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C9091" i="1" s="1"/>
  <c r="C9092" i="1" s="1"/>
  <c r="C9093" i="1" s="1"/>
  <c r="C9094" i="1" s="1"/>
  <c r="C9095" i="1" s="1"/>
  <c r="C9096" i="1" s="1"/>
  <c r="C9097" i="1" s="1"/>
  <c r="C9098" i="1" s="1"/>
  <c r="C9099" i="1" s="1"/>
  <c r="C9100" i="1" s="1"/>
  <c r="C9101" i="1" s="1"/>
  <c r="C9102" i="1" s="1"/>
  <c r="C9103" i="1" s="1"/>
  <c r="C9104" i="1" s="1"/>
  <c r="C9105" i="1" s="1"/>
  <c r="C9106" i="1" s="1"/>
  <c r="C9107" i="1" s="1"/>
  <c r="C9108" i="1" s="1"/>
  <c r="C9109" i="1" s="1"/>
  <c r="C9110" i="1" s="1"/>
  <c r="C9111" i="1" s="1"/>
  <c r="C9112" i="1" s="1"/>
  <c r="C9113" i="1" s="1"/>
  <c r="C9114" i="1" s="1"/>
  <c r="C9115" i="1" s="1"/>
  <c r="C9116" i="1" s="1"/>
  <c r="C9117" i="1" s="1"/>
  <c r="C9118" i="1" s="1"/>
  <c r="C9119" i="1" s="1"/>
  <c r="C9120" i="1" s="1"/>
  <c r="C9121" i="1" s="1"/>
  <c r="C9122" i="1" s="1"/>
  <c r="C9123" i="1" s="1"/>
  <c r="C9124" i="1" s="1"/>
  <c r="C9125" i="1" s="1"/>
  <c r="C9126" i="1" s="1"/>
  <c r="C9127" i="1" s="1"/>
  <c r="C9128" i="1" s="1"/>
  <c r="C9129" i="1" s="1"/>
  <c r="C9130" i="1" s="1"/>
  <c r="C9131" i="1" s="1"/>
  <c r="C9132" i="1" s="1"/>
  <c r="C9133" i="1" s="1"/>
  <c r="C9134" i="1" s="1"/>
  <c r="C9135" i="1" s="1"/>
  <c r="C9136" i="1" s="1"/>
  <c r="C9137" i="1" s="1"/>
  <c r="C9138" i="1" s="1"/>
  <c r="C9139" i="1" s="1"/>
  <c r="C9140" i="1" s="1"/>
  <c r="C9141" i="1" s="1"/>
  <c r="C9142" i="1" s="1"/>
  <c r="C9143" i="1" s="1"/>
  <c r="C9144" i="1" s="1"/>
  <c r="C9145" i="1" s="1"/>
  <c r="C9146" i="1" s="1"/>
  <c r="C9147" i="1" s="1"/>
  <c r="C9148" i="1" s="1"/>
  <c r="C9149" i="1" s="1"/>
  <c r="C9150" i="1" s="1"/>
  <c r="C9151" i="1" s="1"/>
  <c r="C9152" i="1" s="1"/>
  <c r="C9153" i="1" s="1"/>
  <c r="C9154" i="1" s="1"/>
  <c r="C9155" i="1" s="1"/>
  <c r="C9156" i="1" s="1"/>
  <c r="C9157" i="1" s="1"/>
  <c r="C9158" i="1" s="1"/>
  <c r="C9159" i="1" s="1"/>
  <c r="C9160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N9013" i="1" a="1"/>
  <c r="N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H9016" i="1" l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N9014" i="1" a="1"/>
  <c r="N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J9015" i="1" l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N9015" i="1" a="1"/>
  <c r="N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H9018" i="1" l="1"/>
  <c r="A9019" i="1"/>
  <c r="J9016" i="1" a="1"/>
  <c r="J9016" i="1" s="1"/>
  <c r="N9016" i="1" a="1"/>
  <c r="N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Q9017" i="1" l="1" a="1"/>
  <c r="Q9017" i="1" s="1"/>
  <c r="M9017" i="1" a="1"/>
  <c r="M9017" i="1" s="1"/>
  <c r="R9017" i="1" a="1"/>
  <c r="R9017" i="1" s="1"/>
  <c r="I9017" i="1" a="1"/>
  <c r="I9017" i="1" s="1"/>
  <c r="N9017" i="1" a="1"/>
  <c r="N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I9018" i="1" l="1" a="1"/>
  <c r="I9018" i="1" s="1"/>
  <c r="M9018" i="1" a="1"/>
  <c r="M9018" i="1" s="1"/>
  <c r="Q9018" i="1" a="1"/>
  <c r="Q9018" i="1" s="1"/>
  <c r="N9018" i="1" a="1"/>
  <c r="N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B9020" i="1" l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N9019" i="1" a="1"/>
  <c r="N9019" i="1" s="1"/>
  <c r="L9019" i="1" a="1"/>
  <c r="L9019" i="1" s="1"/>
  <c r="H9021" i="1"/>
  <c r="A9022" i="1"/>
  <c r="H8985" i="1"/>
  <c r="A8988" i="1"/>
  <c r="R7982" i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A9023" i="1" l="1"/>
  <c r="H9022" i="1"/>
  <c r="L9020" i="1" a="1"/>
  <c r="L9020" i="1" s="1"/>
  <c r="P9020" i="1" a="1"/>
  <c r="P9020" i="1" s="1"/>
  <c r="Q9020" i="1" a="1"/>
  <c r="Q9020" i="1" s="1"/>
  <c r="M9020" i="1" a="1"/>
  <c r="M9020" i="1" s="1"/>
  <c r="N9020" i="1" a="1"/>
  <c r="N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M9021" i="1" l="1" a="1"/>
  <c r="M9021" i="1" s="1"/>
  <c r="I9021" i="1" a="1"/>
  <c r="I9021" i="1" s="1"/>
  <c r="R9021" i="1" a="1"/>
  <c r="R9021" i="1" s="1"/>
  <c r="N9021" i="1" a="1"/>
  <c r="N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H9024" i="1" l="1"/>
  <c r="A9025" i="1"/>
  <c r="K9022" i="1" a="1"/>
  <c r="K9022" i="1" s="1"/>
  <c r="O9022" i="1" a="1"/>
  <c r="O9022" i="1" s="1"/>
  <c r="S9022" i="1" a="1"/>
  <c r="S9022" i="1" s="1"/>
  <c r="N9022" i="1" a="1"/>
  <c r="N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K9023" i="1" l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N9023" i="1" a="1"/>
  <c r="N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A9027" i="1" l="1"/>
  <c r="H9026" i="1"/>
  <c r="J9024" i="1" a="1"/>
  <c r="J9024" i="1" s="1"/>
  <c r="N9024" i="1" a="1"/>
  <c r="N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M9025" i="1" l="1" a="1"/>
  <c r="M9025" i="1" s="1"/>
  <c r="R9025" i="1" a="1"/>
  <c r="R9025" i="1" s="1"/>
  <c r="I9025" i="1" a="1"/>
  <c r="I9025" i="1" s="1"/>
  <c r="N9025" i="1" a="1"/>
  <c r="N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A9029" i="1" l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N9026" i="1" a="1"/>
  <c r="N9026" i="1" s="1"/>
  <c r="R9026" i="1" a="1"/>
  <c r="R9026" i="1" s="1"/>
  <c r="P9026" i="1" a="1"/>
  <c r="P9026" i="1" s="1"/>
  <c r="H8992" i="1"/>
  <c r="A8995" i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B9028" i="1" l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N9027" i="1" a="1"/>
  <c r="N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H9030" i="1" l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N9028" i="1" a="1"/>
  <c r="N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I9029" i="1" l="1" a="1"/>
  <c r="I9029" i="1" s="1"/>
  <c r="R9029" i="1" a="1"/>
  <c r="R9029" i="1" s="1"/>
  <c r="N9029" i="1" a="1"/>
  <c r="N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K9030" i="1" l="1" a="1"/>
  <c r="K9030" i="1" s="1"/>
  <c r="O9030" i="1" a="1"/>
  <c r="O9030" i="1" s="1"/>
  <c r="S9030" i="1" a="1"/>
  <c r="S9030" i="1" s="1"/>
  <c r="J9030" i="1" a="1"/>
  <c r="J9030" i="1" s="1"/>
  <c r="N9030" i="1" a="1"/>
  <c r="N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P9031" i="1" l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N9031" i="1" a="1"/>
  <c r="N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J9032" i="1" l="1" a="1"/>
  <c r="J9032" i="1" s="1"/>
  <c r="N9032" i="1" a="1"/>
  <c r="N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H9035" i="1" l="1"/>
  <c r="A9036" i="1"/>
  <c r="I9033" i="1" a="1"/>
  <c r="I9033" i="1" s="1"/>
  <c r="N9033" i="1" a="1"/>
  <c r="N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I9034" i="1" l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N9034" i="1" a="1"/>
  <c r="N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B9036" i="1" l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N9035" i="1" a="1"/>
  <c r="N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A9039" i="1" l="1"/>
  <c r="H9038" i="1"/>
  <c r="L9036" i="1" a="1"/>
  <c r="L9036" i="1" s="1"/>
  <c r="P9036" i="1" a="1"/>
  <c r="P9036" i="1" s="1"/>
  <c r="M9036" i="1" a="1"/>
  <c r="M9036" i="1" s="1"/>
  <c r="B9037" i="1"/>
  <c r="N9036" i="1" a="1"/>
  <c r="N9036" i="1" s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N9037" i="1" l="1" a="1"/>
  <c r="N9037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H9040" i="1" l="1"/>
  <c r="A9041" i="1"/>
  <c r="K9038" i="1" a="1"/>
  <c r="K9038" i="1" s="1"/>
  <c r="O9038" i="1" a="1"/>
  <c r="O9038" i="1" s="1"/>
  <c r="S9038" i="1" a="1"/>
  <c r="S9038" i="1" s="1"/>
  <c r="I9038" i="1" a="1"/>
  <c r="I9038" i="1" s="1"/>
  <c r="N9038" i="1" a="1"/>
  <c r="N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9039" i="1" l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N9039" i="1" a="1"/>
  <c r="N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J9040" i="1" l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N9040" i="1" a="1"/>
  <c r="N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9042" i="1" l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N9041" i="1" a="1"/>
  <c r="N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A9045" i="1" l="1"/>
  <c r="H9044" i="1"/>
  <c r="L9042" i="1" a="1"/>
  <c r="L9042" i="1" s="1"/>
  <c r="P9042" i="1" a="1"/>
  <c r="P9042" i="1" s="1"/>
  <c r="M9042" i="1" a="1"/>
  <c r="M9042" i="1" s="1"/>
  <c r="N9042" i="1" a="1"/>
  <c r="N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N9043" i="1" l="1" a="1"/>
  <c r="N9043" i="1" s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9046" i="1" l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N9044" i="1" a="1"/>
  <c r="N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A9048" i="1" l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N9045" i="1" a="1"/>
  <c r="N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J9046" i="1" l="1" a="1"/>
  <c r="J9046" i="1" s="1"/>
  <c r="N9046" i="1" a="1"/>
  <c r="N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H9049" i="1" l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N9047" i="1" a="1"/>
  <c r="N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I9048" i="1" l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N9048" i="1" a="1"/>
  <c r="N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H9051" i="1" l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N9049" i="1" a="1"/>
  <c r="N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L9050" i="1" l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N9050" i="1" a="1"/>
  <c r="N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9053" i="1" l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N9051" i="1" a="1"/>
  <c r="N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K9052" i="1" l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N9052" i="1" a="1"/>
  <c r="N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H9055" i="1" l="1"/>
  <c r="A9056" i="1"/>
  <c r="I9053" i="1" a="1"/>
  <c r="I9053" i="1" s="1"/>
  <c r="R9053" i="1" a="1"/>
  <c r="R9053" i="1" s="1"/>
  <c r="M9053" i="1" a="1"/>
  <c r="M9053" i="1" s="1"/>
  <c r="S9053" i="1" a="1"/>
  <c r="S9053" i="1" s="1"/>
  <c r="N9053" i="1" a="1"/>
  <c r="N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J9054" i="1" l="1" a="1"/>
  <c r="J9054" i="1" s="1"/>
  <c r="N9054" i="1" a="1"/>
  <c r="N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Q9055" i="1" l="1" a="1"/>
  <c r="Q9055" i="1" s="1"/>
  <c r="M9055" i="1" a="1"/>
  <c r="M9055" i="1" s="1"/>
  <c r="R9055" i="1" a="1"/>
  <c r="R9055" i="1" s="1"/>
  <c r="I9055" i="1" a="1"/>
  <c r="I9055" i="1" s="1"/>
  <c r="N9055" i="1" a="1"/>
  <c r="N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I9056" i="1" l="1" a="1"/>
  <c r="I9056" i="1" s="1"/>
  <c r="M9056" i="1" a="1"/>
  <c r="M9056" i="1" s="1"/>
  <c r="Q9056" i="1" a="1"/>
  <c r="Q9056" i="1" s="1"/>
  <c r="N9056" i="1" a="1"/>
  <c r="N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H9059" i="1" l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N9057" i="1" a="1"/>
  <c r="N9057" i="1" s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L9058" i="1" l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N9058" i="1" a="1"/>
  <c r="N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M9059" i="1" l="1" a="1"/>
  <c r="M9059" i="1" s="1"/>
  <c r="I9059" i="1" a="1"/>
  <c r="I9059" i="1" s="1"/>
  <c r="R9059" i="1" a="1"/>
  <c r="R9059" i="1" s="1"/>
  <c r="N9059" i="1" a="1"/>
  <c r="N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9062" i="1" l="1"/>
  <c r="A9063" i="1"/>
  <c r="K9060" i="1" a="1"/>
  <c r="K9060" i="1" s="1"/>
  <c r="O9060" i="1" a="1"/>
  <c r="O9060" i="1" s="1"/>
  <c r="S9060" i="1" a="1"/>
  <c r="S9060" i="1" s="1"/>
  <c r="N9060" i="1" a="1"/>
  <c r="N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K9061" i="1" l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N9061" i="1" a="1"/>
  <c r="N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J9062" i="1" l="1" a="1"/>
  <c r="J9062" i="1" s="1"/>
  <c r="N9062" i="1" a="1"/>
  <c r="N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M9063" i="1" l="1" a="1"/>
  <c r="M9063" i="1" s="1"/>
  <c r="R9063" i="1" a="1"/>
  <c r="R9063" i="1" s="1"/>
  <c r="I9063" i="1" a="1"/>
  <c r="I9063" i="1" s="1"/>
  <c r="N9063" i="1" a="1"/>
  <c r="N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I9064" i="1" l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N9064" i="1" a="1"/>
  <c r="N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N8980" i="1" a="1"/>
  <c r="N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B9066" i="1" l="1"/>
  <c r="L9065" i="1" a="1"/>
  <c r="L9065" i="1" s="1"/>
  <c r="Q9065" i="1" a="1"/>
  <c r="Q9065" i="1" s="1"/>
  <c r="I9065" i="1" a="1"/>
  <c r="I9065" i="1" s="1"/>
  <c r="N9065" i="1" a="1"/>
  <c r="N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N8981" i="1" a="1"/>
  <c r="N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H9068" i="1" l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N9066" i="1" a="1"/>
  <c r="N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N8982" i="1" a="1"/>
  <c r="N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J9067" i="1" l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N9067" i="1" a="1"/>
  <c r="N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N8983" i="1" a="1"/>
  <c r="N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K9068" i="1" l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N9068" i="1" a="1"/>
  <c r="N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N8984" i="1" a="1"/>
  <c r="N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H9071" i="1" l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N9069" i="1" a="1"/>
  <c r="N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N8985" i="1" a="1"/>
  <c r="N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J9070" i="1" l="1" a="1"/>
  <c r="J9070" i="1" s="1"/>
  <c r="N9070" i="1" a="1"/>
  <c r="N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N8986" i="1" a="1"/>
  <c r="N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O9071" i="1" l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N9071" i="1" a="1"/>
  <c r="N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N8987" i="1" a="1"/>
  <c r="N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H9074" i="1" l="1"/>
  <c r="A9075" i="1"/>
  <c r="I9072" i="1" a="1"/>
  <c r="I9072" i="1" s="1"/>
  <c r="R9072" i="1" a="1"/>
  <c r="R9072" i="1" s="1"/>
  <c r="N9072" i="1" a="1"/>
  <c r="N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N8988" i="1" a="1"/>
  <c r="N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J9073" i="1" l="1" a="1"/>
  <c r="J9073" i="1" s="1"/>
  <c r="N9073" i="1" a="1"/>
  <c r="N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N8989" i="1" a="1"/>
  <c r="N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P9074" i="1" l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N9074" i="1" a="1"/>
  <c r="N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N8990" i="1" a="1"/>
  <c r="N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A9078" i="1" l="1"/>
  <c r="H9077" i="1"/>
  <c r="I9075" i="1" a="1"/>
  <c r="I9075" i="1" s="1"/>
  <c r="M9075" i="1" a="1"/>
  <c r="M9075" i="1" s="1"/>
  <c r="Q9075" i="1" a="1"/>
  <c r="Q9075" i="1" s="1"/>
  <c r="R9075" i="1" a="1"/>
  <c r="R9075" i="1" s="1"/>
  <c r="N9075" i="1" a="1"/>
  <c r="N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N8991" i="1" a="1"/>
  <c r="N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B9077" i="1" l="1"/>
  <c r="N9076" i="1" a="1"/>
  <c r="N9076" i="1" s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N8992" i="1" a="1"/>
  <c r="N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H9079" i="1" l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N9077" i="1" a="1"/>
  <c r="N9077" i="1" s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N8993" i="1" a="1"/>
  <c r="N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L9078" i="1" l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N9078" i="1" a="1"/>
  <c r="N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N8994" i="1" a="1"/>
  <c r="N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A9082" i="1" l="1"/>
  <c r="H9081" i="1"/>
  <c r="K9079" i="1" a="1"/>
  <c r="K9079" i="1" s="1"/>
  <c r="M9079" i="1" a="1"/>
  <c r="M9079" i="1" s="1"/>
  <c r="Q9079" i="1" a="1"/>
  <c r="Q9079" i="1" s="1"/>
  <c r="I9079" i="1" a="1"/>
  <c r="I9079" i="1" s="1"/>
  <c r="N9079" i="1" a="1"/>
  <c r="N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N8995" i="1" a="1"/>
  <c r="N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B9081" i="1" l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N9080" i="1" a="1"/>
  <c r="N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N8996" i="1" a="1"/>
  <c r="N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A9084" i="1" l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N9081" i="1" a="1"/>
  <c r="N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N8997" i="1" a="1"/>
  <c r="N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L9082" i="1" l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N9082" i="1" a="1"/>
  <c r="N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N8998" i="1" a="1"/>
  <c r="N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A9086" i="1" l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N9083" i="1" a="1"/>
  <c r="N9083" i="1" s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N8999" i="1" a="1"/>
  <c r="N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K9084" i="1" l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N9084" i="1" a="1"/>
  <c r="N9084" i="1" s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N9000" i="1" a="1"/>
  <c r="N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J9085" i="1" l="1" a="1"/>
  <c r="J9085" i="1" s="1"/>
  <c r="N9085" i="1" a="1"/>
  <c r="N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N9001" i="1" a="1"/>
  <c r="N9001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J9086" i="1" l="1" a="1"/>
  <c r="J9086" i="1" s="1"/>
  <c r="N9086" i="1" a="1"/>
  <c r="N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N9002" i="1" a="1"/>
  <c r="N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9087" i="1" l="1" a="1"/>
  <c r="I9087" i="1" s="1"/>
  <c r="M9087" i="1" a="1"/>
  <c r="M9087" i="1" s="1"/>
  <c r="Q9087" i="1" a="1"/>
  <c r="Q9087" i="1" s="1"/>
  <c r="J9087" i="1" a="1"/>
  <c r="J9087" i="1" s="1"/>
  <c r="N9087" i="1" a="1"/>
  <c r="N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N9003" i="1" a="1"/>
  <c r="N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B9089" i="1" l="1"/>
  <c r="I9088" i="1" a="1"/>
  <c r="I9088" i="1" s="1"/>
  <c r="M9088" i="1" a="1"/>
  <c r="M9088" i="1" s="1"/>
  <c r="Q9088" i="1" a="1"/>
  <c r="Q9088" i="1" s="1"/>
  <c r="N9088" i="1" a="1"/>
  <c r="N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A9091" i="1"/>
  <c r="H9090" i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N9004" i="1" a="1"/>
  <c r="N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A9092" i="1" l="1"/>
  <c r="H9091" i="1"/>
  <c r="L9089" i="1" a="1"/>
  <c r="L9089" i="1" s="1"/>
  <c r="P9089" i="1" a="1"/>
  <c r="P9089" i="1" s="1"/>
  <c r="B9090" i="1"/>
  <c r="I9089" i="1" a="1"/>
  <c r="I9089" i="1" s="1"/>
  <c r="M9089" i="1" a="1"/>
  <c r="M9089" i="1" s="1"/>
  <c r="Q9089" i="1" a="1"/>
  <c r="Q9089" i="1" s="1"/>
  <c r="N9089" i="1" a="1"/>
  <c r="N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N9005" i="1" a="1"/>
  <c r="N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L9090" i="1" l="1" a="1"/>
  <c r="L9090" i="1" s="1"/>
  <c r="P9090" i="1" a="1"/>
  <c r="P9090" i="1" s="1"/>
  <c r="B9091" i="1"/>
  <c r="N9090" i="1" a="1"/>
  <c r="N9090" i="1" s="1"/>
  <c r="I9090" i="1" a="1"/>
  <c r="I9090" i="1" s="1"/>
  <c r="O9090" i="1" a="1"/>
  <c r="O9090" i="1" s="1"/>
  <c r="J9090" i="1" a="1"/>
  <c r="J9090" i="1" s="1"/>
  <c r="Q9090" i="1" a="1"/>
  <c r="Q9090" i="1" s="1"/>
  <c r="R9090" i="1" a="1"/>
  <c r="R9090" i="1" s="1"/>
  <c r="S9090" i="1" a="1"/>
  <c r="S9090" i="1" s="1"/>
  <c r="M9090" i="1" a="1"/>
  <c r="M9090" i="1" s="1"/>
  <c r="K9090" i="1" a="1"/>
  <c r="K9090" i="1" s="1"/>
  <c r="H9092" i="1"/>
  <c r="A9093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N9006" i="1" a="1"/>
  <c r="N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H9093" i="1" l="1"/>
  <c r="A9094" i="1"/>
  <c r="K9091" i="1" a="1"/>
  <c r="K9091" i="1" s="1"/>
  <c r="O9091" i="1" a="1"/>
  <c r="O9091" i="1" s="1"/>
  <c r="S9091" i="1" a="1"/>
  <c r="S9091" i="1" s="1"/>
  <c r="L9091" i="1" a="1"/>
  <c r="L9091" i="1" s="1"/>
  <c r="P9091" i="1" a="1"/>
  <c r="P9091" i="1" s="1"/>
  <c r="N9091" i="1" a="1"/>
  <c r="N9091" i="1" s="1"/>
  <c r="I9091" i="1" a="1"/>
  <c r="I9091" i="1" s="1"/>
  <c r="J9091" i="1" a="1"/>
  <c r="J9091" i="1" s="1"/>
  <c r="Q9091" i="1" a="1"/>
  <c r="Q9091" i="1" s="1"/>
  <c r="R9091" i="1" a="1"/>
  <c r="R9091" i="1" s="1"/>
  <c r="B9092" i="1"/>
  <c r="M9091" i="1" a="1"/>
  <c r="M9091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N9007" i="1" a="1"/>
  <c r="N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K9092" i="1" l="1" a="1"/>
  <c r="K9092" i="1" s="1"/>
  <c r="O9092" i="1" a="1"/>
  <c r="O9092" i="1" s="1"/>
  <c r="S9092" i="1" a="1"/>
  <c r="S9092" i="1" s="1"/>
  <c r="N9092" i="1" a="1"/>
  <c r="N9092" i="1" s="1"/>
  <c r="I9092" i="1" a="1"/>
  <c r="I9092" i="1" s="1"/>
  <c r="P9092" i="1" a="1"/>
  <c r="P9092" i="1" s="1"/>
  <c r="J9092" i="1" a="1"/>
  <c r="J9092" i="1" s="1"/>
  <c r="Q9092" i="1" a="1"/>
  <c r="Q9092" i="1" s="1"/>
  <c r="R9092" i="1" a="1"/>
  <c r="R9092" i="1" s="1"/>
  <c r="B9093" i="1"/>
  <c r="L9092" i="1" a="1"/>
  <c r="L9092" i="1" s="1"/>
  <c r="M9092" i="1" a="1"/>
  <c r="M9092" i="1" s="1"/>
  <c r="H9094" i="1"/>
  <c r="A9095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N9008" i="1" a="1"/>
  <c r="N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H9095" i="1" l="1"/>
  <c r="A9096" i="1"/>
  <c r="J9093" i="1" a="1"/>
  <c r="J9093" i="1" s="1"/>
  <c r="N9093" i="1" a="1"/>
  <c r="N9093" i="1" s="1"/>
  <c r="R9093" i="1" a="1"/>
  <c r="R9093" i="1" s="1"/>
  <c r="K9093" i="1" a="1"/>
  <c r="K9093" i="1" s="1"/>
  <c r="O9093" i="1" a="1"/>
  <c r="O9093" i="1" s="1"/>
  <c r="S9093" i="1" a="1"/>
  <c r="S9093" i="1" s="1"/>
  <c r="I9093" i="1" a="1"/>
  <c r="I9093" i="1" s="1"/>
  <c r="P9093" i="1" a="1"/>
  <c r="P9093" i="1" s="1"/>
  <c r="Q9093" i="1" a="1"/>
  <c r="Q9093" i="1" s="1"/>
  <c r="B9094" i="1"/>
  <c r="L9093" i="1" a="1"/>
  <c r="L9093" i="1" s="1"/>
  <c r="M9093" i="1" a="1"/>
  <c r="M9093" i="1" s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N9009" i="1" a="1"/>
  <c r="N9009" i="1" s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J9094" i="1" l="1" a="1"/>
  <c r="J9094" i="1" s="1"/>
  <c r="N9094" i="1" a="1"/>
  <c r="N9094" i="1" s="1"/>
  <c r="R9094" i="1" a="1"/>
  <c r="R9094" i="1" s="1"/>
  <c r="I9094" i="1" a="1"/>
  <c r="I9094" i="1" s="1"/>
  <c r="P9094" i="1" a="1"/>
  <c r="P9094" i="1" s="1"/>
  <c r="K9094" i="1" a="1"/>
  <c r="K9094" i="1" s="1"/>
  <c r="Q9094" i="1" a="1"/>
  <c r="Q9094" i="1" s="1"/>
  <c r="S9094" i="1" a="1"/>
  <c r="S9094" i="1" s="1"/>
  <c r="B9095" i="1"/>
  <c r="L9094" i="1" a="1"/>
  <c r="L9094" i="1" s="1"/>
  <c r="M9094" i="1" a="1"/>
  <c r="M9094" i="1" s="1"/>
  <c r="O9094" i="1" a="1"/>
  <c r="O9094" i="1" s="1"/>
  <c r="H9096" i="1"/>
  <c r="A9097" i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N9010" i="1" a="1"/>
  <c r="N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A9098" i="1" l="1"/>
  <c r="H9097" i="1"/>
  <c r="I9095" i="1" a="1"/>
  <c r="I9095" i="1" s="1"/>
  <c r="M9095" i="1" a="1"/>
  <c r="M9095" i="1" s="1"/>
  <c r="Q9095" i="1" a="1"/>
  <c r="Q9095" i="1" s="1"/>
  <c r="J9095" i="1" a="1"/>
  <c r="J9095" i="1" s="1"/>
  <c r="N9095" i="1" a="1"/>
  <c r="N9095" i="1" s="1"/>
  <c r="R9095" i="1" a="1"/>
  <c r="R9095" i="1" s="1"/>
  <c r="P9095" i="1" a="1"/>
  <c r="P9095" i="1" s="1"/>
  <c r="K9095" i="1" a="1"/>
  <c r="K9095" i="1" s="1"/>
  <c r="S9095" i="1" a="1"/>
  <c r="S9095" i="1" s="1"/>
  <c r="B9096" i="1"/>
  <c r="L9095" i="1" a="1"/>
  <c r="L9095" i="1" s="1"/>
  <c r="O9095" i="1" a="1"/>
  <c r="O9095" i="1" s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N9011" i="1" a="1"/>
  <c r="N9011" i="1" s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B9097" i="1" l="1"/>
  <c r="I9096" i="1" a="1"/>
  <c r="I9096" i="1" s="1"/>
  <c r="M9096" i="1" a="1"/>
  <c r="M9096" i="1" s="1"/>
  <c r="Q9096" i="1" a="1"/>
  <c r="Q9096" i="1" s="1"/>
  <c r="J9096" i="1" a="1"/>
  <c r="J9096" i="1" s="1"/>
  <c r="P9096" i="1" a="1"/>
  <c r="P9096" i="1" s="1"/>
  <c r="K9096" i="1" a="1"/>
  <c r="K9096" i="1" s="1"/>
  <c r="R9096" i="1" a="1"/>
  <c r="R9096" i="1" s="1"/>
  <c r="S9096" i="1" a="1"/>
  <c r="S9096" i="1" s="1"/>
  <c r="L9096" i="1" a="1"/>
  <c r="L9096" i="1" s="1"/>
  <c r="O9096" i="1" a="1"/>
  <c r="O9096" i="1" s="1"/>
  <c r="N9096" i="1" a="1"/>
  <c r="N9096" i="1" s="1"/>
  <c r="A9099" i="1"/>
  <c r="H9098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N9012" i="1" a="1"/>
  <c r="N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A9100" i="1" l="1"/>
  <c r="H9099" i="1"/>
  <c r="L9097" i="1" a="1"/>
  <c r="L9097" i="1" s="1"/>
  <c r="P9097" i="1" a="1"/>
  <c r="P9097" i="1" s="1"/>
  <c r="B9098" i="1"/>
  <c r="I9097" i="1" a="1"/>
  <c r="I9097" i="1" s="1"/>
  <c r="M9097" i="1" a="1"/>
  <c r="M9097" i="1" s="1"/>
  <c r="Q9097" i="1" a="1"/>
  <c r="Q9097" i="1" s="1"/>
  <c r="J9097" i="1" a="1"/>
  <c r="J9097" i="1" s="1"/>
  <c r="K9097" i="1" a="1"/>
  <c r="K9097" i="1" s="1"/>
  <c r="R9097" i="1" a="1"/>
  <c r="R9097" i="1" s="1"/>
  <c r="S9097" i="1" a="1"/>
  <c r="S9097" i="1" s="1"/>
  <c r="N9097" i="1" a="1"/>
  <c r="N9097" i="1" s="1"/>
  <c r="O9097" i="1" a="1"/>
  <c r="O9097" i="1" s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9098" i="1" l="1" a="1"/>
  <c r="L9098" i="1" s="1"/>
  <c r="P9098" i="1" a="1"/>
  <c r="P9098" i="1" s="1"/>
  <c r="B9099" i="1"/>
  <c r="J9098" i="1" a="1"/>
  <c r="J9098" i="1" s="1"/>
  <c r="Q9098" i="1" a="1"/>
  <c r="Q9098" i="1" s="1"/>
  <c r="K9098" i="1" a="1"/>
  <c r="K9098" i="1" s="1"/>
  <c r="R9098" i="1" a="1"/>
  <c r="R9098" i="1" s="1"/>
  <c r="M9098" i="1" a="1"/>
  <c r="M9098" i="1" s="1"/>
  <c r="S9098" i="1" a="1"/>
  <c r="S9098" i="1" s="1"/>
  <c r="I9098" i="1" a="1"/>
  <c r="I9098" i="1" s="1"/>
  <c r="O9098" i="1" a="1"/>
  <c r="O9098" i="1" s="1"/>
  <c r="N9098" i="1" a="1"/>
  <c r="N9098" i="1" s="1"/>
  <c r="A9101" i="1"/>
  <c r="H9100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K9099" i="1" l="1" a="1"/>
  <c r="K9099" i="1" s="1"/>
  <c r="O9099" i="1" a="1"/>
  <c r="O9099" i="1" s="1"/>
  <c r="S9099" i="1" a="1"/>
  <c r="S9099" i="1" s="1"/>
  <c r="L9099" i="1" a="1"/>
  <c r="L9099" i="1" s="1"/>
  <c r="P9099" i="1" a="1"/>
  <c r="P9099" i="1" s="1"/>
  <c r="J9099" i="1" a="1"/>
  <c r="J9099" i="1" s="1"/>
  <c r="Q9099" i="1" a="1"/>
  <c r="Q9099" i="1" s="1"/>
  <c r="R9099" i="1" a="1"/>
  <c r="R9099" i="1" s="1"/>
  <c r="M9099" i="1" a="1"/>
  <c r="M9099" i="1" s="1"/>
  <c r="B9100" i="1"/>
  <c r="I9099" i="1" a="1"/>
  <c r="I9099" i="1" s="1"/>
  <c r="N9099" i="1" a="1"/>
  <c r="N9099" i="1" s="1"/>
  <c r="H9101" i="1"/>
  <c r="A9102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J9100" i="1" l="1" a="1"/>
  <c r="J9100" i="1" s="1"/>
  <c r="S9100" i="1" a="1"/>
  <c r="S9100" i="1" s="1"/>
  <c r="O9100" i="1" a="1"/>
  <c r="O9100" i="1" s="1"/>
  <c r="K9100" i="1" a="1"/>
  <c r="K9100" i="1" s="1"/>
  <c r="P9100" i="1" a="1"/>
  <c r="P9100" i="1" s="1"/>
  <c r="B9101" i="1"/>
  <c r="L9100" i="1" a="1"/>
  <c r="L9100" i="1" s="1"/>
  <c r="Q9100" i="1" a="1"/>
  <c r="Q9100" i="1" s="1"/>
  <c r="I9100" i="1" a="1"/>
  <c r="I9100" i="1" s="1"/>
  <c r="R9100" i="1" a="1"/>
  <c r="R9100" i="1" s="1"/>
  <c r="M9100" i="1" a="1"/>
  <c r="M9100" i="1" s="1"/>
  <c r="N9100" i="1" a="1"/>
  <c r="N9100" i="1" s="1"/>
  <c r="H9102" i="1"/>
  <c r="A9103" i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A9104" i="1" l="1"/>
  <c r="H9103" i="1"/>
  <c r="K9101" i="1" a="1"/>
  <c r="K9101" i="1" s="1"/>
  <c r="O9101" i="1" a="1"/>
  <c r="O9101" i="1" s="1"/>
  <c r="S9101" i="1" a="1"/>
  <c r="S9101" i="1" s="1"/>
  <c r="P9101" i="1" a="1"/>
  <c r="P9101" i="1" s="1"/>
  <c r="B9102" i="1"/>
  <c r="L9101" i="1" a="1"/>
  <c r="L9101" i="1" s="1"/>
  <c r="Q9101" i="1" a="1"/>
  <c r="Q9101" i="1" s="1"/>
  <c r="M9101" i="1" a="1"/>
  <c r="M9101" i="1" s="1"/>
  <c r="N9101" i="1" a="1"/>
  <c r="N9101" i="1" s="1"/>
  <c r="I9101" i="1" a="1"/>
  <c r="I9101" i="1" s="1"/>
  <c r="R9101" i="1" a="1"/>
  <c r="R9101" i="1" s="1"/>
  <c r="J9101" i="1" a="1"/>
  <c r="J9101" i="1" s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Q9102" i="1" l="1" a="1"/>
  <c r="Q9102" i="1" s="1"/>
  <c r="M9102" i="1" a="1"/>
  <c r="M9102" i="1" s="1"/>
  <c r="I9102" i="1" a="1"/>
  <c r="I9102" i="1" s="1"/>
  <c r="R9102" i="1" a="1"/>
  <c r="R9102" i="1" s="1"/>
  <c r="N9102" i="1" a="1"/>
  <c r="N9102" i="1" s="1"/>
  <c r="S9102" i="1" a="1"/>
  <c r="S9102" i="1" s="1"/>
  <c r="J9102" i="1" a="1"/>
  <c r="J9102" i="1" s="1"/>
  <c r="K9102" i="1" a="1"/>
  <c r="K9102" i="1" s="1"/>
  <c r="B9103" i="1"/>
  <c r="L9102" i="1" a="1"/>
  <c r="L9102" i="1" s="1"/>
  <c r="O9102" i="1" a="1"/>
  <c r="O9102" i="1" s="1"/>
  <c r="P9102" i="1" a="1"/>
  <c r="P9102" i="1" s="1"/>
  <c r="A9105" i="1"/>
  <c r="H9104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H9105" i="1" l="1"/>
  <c r="A9106" i="1"/>
  <c r="J9103" i="1" a="1"/>
  <c r="J9103" i="1" s="1"/>
  <c r="N9103" i="1" a="1"/>
  <c r="N9103" i="1" s="1"/>
  <c r="R9103" i="1" a="1"/>
  <c r="R9103" i="1" s="1"/>
  <c r="I9103" i="1" a="1"/>
  <c r="I9103" i="1" s="1"/>
  <c r="S9103" i="1" a="1"/>
  <c r="S9103" i="1" s="1"/>
  <c r="O9103" i="1" a="1"/>
  <c r="O9103" i="1" s="1"/>
  <c r="K9103" i="1" a="1"/>
  <c r="K9103" i="1" s="1"/>
  <c r="P9103" i="1" a="1"/>
  <c r="P9103" i="1" s="1"/>
  <c r="Q9103" i="1" a="1"/>
  <c r="Q9103" i="1" s="1"/>
  <c r="B9104" i="1"/>
  <c r="M9103" i="1" a="1"/>
  <c r="M9103" i="1" s="1"/>
  <c r="L9103" i="1" a="1"/>
  <c r="L9103" i="1" s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O9104" i="1" l="1" a="1"/>
  <c r="O9104" i="1" s="1"/>
  <c r="K9104" i="1" a="1"/>
  <c r="K9104" i="1" s="1"/>
  <c r="P9104" i="1" a="1"/>
  <c r="P9104" i="1" s="1"/>
  <c r="B9105" i="1"/>
  <c r="L9104" i="1" a="1"/>
  <c r="L9104" i="1" s="1"/>
  <c r="M9104" i="1" a="1"/>
  <c r="M9104" i="1" s="1"/>
  <c r="N9104" i="1" a="1"/>
  <c r="N9104" i="1" s="1"/>
  <c r="Q9104" i="1" a="1"/>
  <c r="Q9104" i="1" s="1"/>
  <c r="S9104" i="1" a="1"/>
  <c r="S9104" i="1" s="1"/>
  <c r="I9104" i="1" a="1"/>
  <c r="I9104" i="1" s="1"/>
  <c r="J9104" i="1" a="1"/>
  <c r="J9104" i="1" s="1"/>
  <c r="R9104" i="1" a="1"/>
  <c r="R9104" i="1" s="1"/>
  <c r="H9106" i="1"/>
  <c r="A9107" i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I9105" i="1" l="1" a="1"/>
  <c r="I9105" i="1" s="1"/>
  <c r="M9105" i="1" a="1"/>
  <c r="M9105" i="1" s="1"/>
  <c r="Q9105" i="1" a="1"/>
  <c r="Q9105" i="1" s="1"/>
  <c r="P9105" i="1" a="1"/>
  <c r="P9105" i="1" s="1"/>
  <c r="B9106" i="1"/>
  <c r="L9105" i="1" a="1"/>
  <c r="L9105" i="1" s="1"/>
  <c r="R9105" i="1" a="1"/>
  <c r="R9105" i="1" s="1"/>
  <c r="J9105" i="1" a="1"/>
  <c r="J9105" i="1" s="1"/>
  <c r="S9105" i="1" a="1"/>
  <c r="S9105" i="1" s="1"/>
  <c r="K9105" i="1" a="1"/>
  <c r="K9105" i="1" s="1"/>
  <c r="N9105" i="1" a="1"/>
  <c r="N9105" i="1" s="1"/>
  <c r="O9105" i="1" a="1"/>
  <c r="O9105" i="1" s="1"/>
  <c r="A9108" i="1"/>
  <c r="H9107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H9108" i="1" l="1"/>
  <c r="A9109" i="1"/>
  <c r="M9106" i="1" a="1"/>
  <c r="M9106" i="1" s="1"/>
  <c r="I9106" i="1" a="1"/>
  <c r="I9106" i="1" s="1"/>
  <c r="R9106" i="1" a="1"/>
  <c r="R9106" i="1" s="1"/>
  <c r="N9106" i="1" a="1"/>
  <c r="N9106" i="1" s="1"/>
  <c r="J9106" i="1" a="1"/>
  <c r="J9106" i="1" s="1"/>
  <c r="S9106" i="1" a="1"/>
  <c r="S9106" i="1" s="1"/>
  <c r="O9106" i="1" a="1"/>
  <c r="O9106" i="1" s="1"/>
  <c r="P9106" i="1" a="1"/>
  <c r="P9106" i="1" s="1"/>
  <c r="Q9106" i="1" a="1"/>
  <c r="Q9106" i="1" s="1"/>
  <c r="K9106" i="1" a="1"/>
  <c r="K9106" i="1" s="1"/>
  <c r="B9107" i="1"/>
  <c r="L9106" i="1" a="1"/>
  <c r="L9106" i="1" s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I9107" i="1" l="1" a="1"/>
  <c r="I9107" i="1" s="1"/>
  <c r="M9107" i="1" a="1"/>
  <c r="M9107" i="1" s="1"/>
  <c r="Q9107" i="1" a="1"/>
  <c r="Q9107" i="1" s="1"/>
  <c r="J9107" i="1" a="1"/>
  <c r="J9107" i="1" s="1"/>
  <c r="N9107" i="1" a="1"/>
  <c r="N9107" i="1" s="1"/>
  <c r="R9107" i="1" a="1"/>
  <c r="R9107" i="1" s="1"/>
  <c r="K9107" i="1" a="1"/>
  <c r="K9107" i="1" s="1"/>
  <c r="S9107" i="1" a="1"/>
  <c r="S9107" i="1" s="1"/>
  <c r="L9107" i="1" a="1"/>
  <c r="L9107" i="1" s="1"/>
  <c r="B9108" i="1"/>
  <c r="O9107" i="1" a="1"/>
  <c r="O9107" i="1" s="1"/>
  <c r="P9107" i="1" a="1"/>
  <c r="P9107" i="1" s="1"/>
  <c r="A9110" i="1"/>
  <c r="H9109" i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A9111" i="1" l="1"/>
  <c r="H9110" i="1"/>
  <c r="B9109" i="1"/>
  <c r="I9108" i="1" a="1"/>
  <c r="I9108" i="1" s="1"/>
  <c r="M9108" i="1" a="1"/>
  <c r="M9108" i="1" s="1"/>
  <c r="Q9108" i="1" a="1"/>
  <c r="Q9108" i="1" s="1"/>
  <c r="J9108" i="1" a="1"/>
  <c r="J9108" i="1" s="1"/>
  <c r="N9108" i="1" a="1"/>
  <c r="N9108" i="1" s="1"/>
  <c r="O9108" i="1" a="1"/>
  <c r="O9108" i="1" s="1"/>
  <c r="P9108" i="1" a="1"/>
  <c r="P9108" i="1" s="1"/>
  <c r="R9108" i="1" a="1"/>
  <c r="R9108" i="1" s="1"/>
  <c r="S9108" i="1" a="1"/>
  <c r="S9108" i="1" s="1"/>
  <c r="K9108" i="1" a="1"/>
  <c r="K9108" i="1" s="1"/>
  <c r="L9108" i="1" a="1"/>
  <c r="L9108" i="1" s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9109" i="1" l="1" a="1"/>
  <c r="L9109" i="1" s="1"/>
  <c r="P9109" i="1" a="1"/>
  <c r="P9109" i="1" s="1"/>
  <c r="B9110" i="1"/>
  <c r="I9109" i="1" a="1"/>
  <c r="I9109" i="1" s="1"/>
  <c r="N9109" i="1" a="1"/>
  <c r="N9109" i="1" s="1"/>
  <c r="S9109" i="1" a="1"/>
  <c r="S9109" i="1" s="1"/>
  <c r="J9109" i="1" a="1"/>
  <c r="J9109" i="1" s="1"/>
  <c r="O9109" i="1" a="1"/>
  <c r="O9109" i="1" s="1"/>
  <c r="K9109" i="1" a="1"/>
  <c r="K9109" i="1" s="1"/>
  <c r="R9109" i="1" a="1"/>
  <c r="R9109" i="1" s="1"/>
  <c r="M9109" i="1" a="1"/>
  <c r="M9109" i="1" s="1"/>
  <c r="Q9109" i="1" a="1"/>
  <c r="Q9109" i="1" s="1"/>
  <c r="A9112" i="1"/>
  <c r="H9111" i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H9112" i="1" l="1"/>
  <c r="A9113" i="1"/>
  <c r="L9110" i="1" a="1"/>
  <c r="L9110" i="1" s="1"/>
  <c r="P9110" i="1" a="1"/>
  <c r="P9110" i="1" s="1"/>
  <c r="K9110" i="1" a="1"/>
  <c r="K9110" i="1" s="1"/>
  <c r="Q9110" i="1" a="1"/>
  <c r="Q9110" i="1" s="1"/>
  <c r="M9110" i="1" a="1"/>
  <c r="M9110" i="1" s="1"/>
  <c r="R9110" i="1" a="1"/>
  <c r="R9110" i="1" s="1"/>
  <c r="I9110" i="1" a="1"/>
  <c r="I9110" i="1" s="1"/>
  <c r="N9110" i="1" a="1"/>
  <c r="N9110" i="1" s="1"/>
  <c r="S9110" i="1" a="1"/>
  <c r="S9110" i="1" s="1"/>
  <c r="J9110" i="1" a="1"/>
  <c r="J9110" i="1" s="1"/>
  <c r="B9111" i="1"/>
  <c r="O9110" i="1" a="1"/>
  <c r="O9110" i="1" s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K9111" i="1" l="1" a="1"/>
  <c r="K9111" i="1" s="1"/>
  <c r="O9111" i="1" a="1"/>
  <c r="O9111" i="1" s="1"/>
  <c r="S9111" i="1" a="1"/>
  <c r="S9111" i="1" s="1"/>
  <c r="B9112" i="1"/>
  <c r="J9111" i="1" a="1"/>
  <c r="J9111" i="1" s="1"/>
  <c r="P9111" i="1" a="1"/>
  <c r="P9111" i="1" s="1"/>
  <c r="L9111" i="1" a="1"/>
  <c r="L9111" i="1" s="1"/>
  <c r="Q9111" i="1" a="1"/>
  <c r="Q9111" i="1" s="1"/>
  <c r="M9111" i="1" a="1"/>
  <c r="M9111" i="1" s="1"/>
  <c r="I9111" i="1" a="1"/>
  <c r="I9111" i="1" s="1"/>
  <c r="N9111" i="1" a="1"/>
  <c r="N9111" i="1" s="1"/>
  <c r="R9111" i="1" a="1"/>
  <c r="R9111" i="1" s="1"/>
  <c r="H9113" i="1"/>
  <c r="A9114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A9115" i="1" l="1"/>
  <c r="H9114" i="1"/>
  <c r="K9112" i="1" a="1"/>
  <c r="K9112" i="1" s="1"/>
  <c r="O9112" i="1" a="1"/>
  <c r="O9112" i="1" s="1"/>
  <c r="S9112" i="1" a="1"/>
  <c r="S9112" i="1" s="1"/>
  <c r="M9112" i="1" a="1"/>
  <c r="M9112" i="1" s="1"/>
  <c r="R9112" i="1" a="1"/>
  <c r="R9112" i="1" s="1"/>
  <c r="I9112" i="1" a="1"/>
  <c r="I9112" i="1" s="1"/>
  <c r="N9112" i="1" a="1"/>
  <c r="N9112" i="1" s="1"/>
  <c r="B9113" i="1"/>
  <c r="J9112" i="1" a="1"/>
  <c r="J9112" i="1" s="1"/>
  <c r="P9112" i="1" a="1"/>
  <c r="P9112" i="1" s="1"/>
  <c r="Q9112" i="1" a="1"/>
  <c r="Q9112" i="1" s="1"/>
  <c r="L9112" i="1" a="1"/>
  <c r="L9112" i="1" s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J9113" i="1" l="1" a="1"/>
  <c r="J9113" i="1" s="1"/>
  <c r="N9113" i="1" a="1"/>
  <c r="N9113" i="1" s="1"/>
  <c r="R9113" i="1" a="1"/>
  <c r="R9113" i="1" s="1"/>
  <c r="L9113" i="1" a="1"/>
  <c r="L9113" i="1" s="1"/>
  <c r="Q9113" i="1" a="1"/>
  <c r="Q9113" i="1" s="1"/>
  <c r="M9113" i="1" a="1"/>
  <c r="M9113" i="1" s="1"/>
  <c r="S9113" i="1" a="1"/>
  <c r="S9113" i="1" s="1"/>
  <c r="P9113" i="1" a="1"/>
  <c r="P9113" i="1" s="1"/>
  <c r="O9113" i="1" a="1"/>
  <c r="O9113" i="1" s="1"/>
  <c r="K9113" i="1" a="1"/>
  <c r="K9113" i="1" s="1"/>
  <c r="B9114" i="1"/>
  <c r="I9113" i="1" a="1"/>
  <c r="I9113" i="1" s="1"/>
  <c r="H9115" i="1"/>
  <c r="A9116" i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H9116" i="1" l="1"/>
  <c r="A9117" i="1"/>
  <c r="J9114" i="1" a="1"/>
  <c r="J9114" i="1" s="1"/>
  <c r="N9114" i="1" a="1"/>
  <c r="N9114" i="1" s="1"/>
  <c r="R9114" i="1" a="1"/>
  <c r="R9114" i="1" s="1"/>
  <c r="I9114" i="1" a="1"/>
  <c r="I9114" i="1" s="1"/>
  <c r="O9114" i="1" a="1"/>
  <c r="O9114" i="1" s="1"/>
  <c r="B9115" i="1"/>
  <c r="K9114" i="1" a="1"/>
  <c r="K9114" i="1" s="1"/>
  <c r="P9114" i="1" a="1"/>
  <c r="P9114" i="1" s="1"/>
  <c r="L9114" i="1" a="1"/>
  <c r="L9114" i="1" s="1"/>
  <c r="Q9114" i="1" a="1"/>
  <c r="Q9114" i="1" s="1"/>
  <c r="S9114" i="1" a="1"/>
  <c r="S9114" i="1" s="1"/>
  <c r="M9114" i="1" a="1"/>
  <c r="M9114" i="1" s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9115" i="1" l="1" a="1"/>
  <c r="I9115" i="1" s="1"/>
  <c r="M9115" i="1" a="1"/>
  <c r="M9115" i="1" s="1"/>
  <c r="Q9115" i="1" a="1"/>
  <c r="Q9115" i="1" s="1"/>
  <c r="N9115" i="1" a="1"/>
  <c r="N9115" i="1" s="1"/>
  <c r="S9115" i="1" a="1"/>
  <c r="S9115" i="1" s="1"/>
  <c r="J9115" i="1" a="1"/>
  <c r="J9115" i="1" s="1"/>
  <c r="O9115" i="1" a="1"/>
  <c r="O9115" i="1" s="1"/>
  <c r="B9116" i="1"/>
  <c r="R9115" i="1" a="1"/>
  <c r="R9115" i="1" s="1"/>
  <c r="P9115" i="1" a="1"/>
  <c r="P9115" i="1" s="1"/>
  <c r="K9115" i="1" a="1"/>
  <c r="K9115" i="1" s="1"/>
  <c r="L9115" i="1" a="1"/>
  <c r="L9115" i="1" s="1"/>
  <c r="A9118" i="1"/>
  <c r="H9117" i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B9117" i="1" l="1"/>
  <c r="I9116" i="1" a="1"/>
  <c r="I9116" i="1" s="1"/>
  <c r="M9116" i="1" a="1"/>
  <c r="M9116" i="1" s="1"/>
  <c r="Q9116" i="1" a="1"/>
  <c r="Q9116" i="1" s="1"/>
  <c r="K9116" i="1" a="1"/>
  <c r="K9116" i="1" s="1"/>
  <c r="P9116" i="1" a="1"/>
  <c r="P9116" i="1" s="1"/>
  <c r="L9116" i="1" a="1"/>
  <c r="L9116" i="1" s="1"/>
  <c r="R9116" i="1" a="1"/>
  <c r="R9116" i="1" s="1"/>
  <c r="N9116" i="1" a="1"/>
  <c r="N9116" i="1" s="1"/>
  <c r="S9116" i="1" a="1"/>
  <c r="S9116" i="1" s="1"/>
  <c r="J9116" i="1" a="1"/>
  <c r="J9116" i="1" s="1"/>
  <c r="O9116" i="1" a="1"/>
  <c r="O9116" i="1" s="1"/>
  <c r="A9119" i="1"/>
  <c r="H9118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H9119" i="1" l="1"/>
  <c r="A9120" i="1"/>
  <c r="L9117" i="1" a="1"/>
  <c r="L9117" i="1" s="1"/>
  <c r="P9117" i="1" a="1"/>
  <c r="P9117" i="1" s="1"/>
  <c r="B9118" i="1"/>
  <c r="J9117" i="1" a="1"/>
  <c r="J9117" i="1" s="1"/>
  <c r="O9117" i="1" a="1"/>
  <c r="O9117" i="1" s="1"/>
  <c r="K9117" i="1" a="1"/>
  <c r="K9117" i="1" s="1"/>
  <c r="Q9117" i="1" a="1"/>
  <c r="Q9117" i="1" s="1"/>
  <c r="I9117" i="1" a="1"/>
  <c r="I9117" i="1" s="1"/>
  <c r="M9117" i="1" a="1"/>
  <c r="M9117" i="1" s="1"/>
  <c r="R9117" i="1" a="1"/>
  <c r="R9117" i="1" s="1"/>
  <c r="S9117" i="1" a="1"/>
  <c r="S9117" i="1" s="1"/>
  <c r="N9117" i="1" a="1"/>
  <c r="N9117" i="1" s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L9118" i="1" l="1" a="1"/>
  <c r="L9118" i="1" s="1"/>
  <c r="P9118" i="1" a="1"/>
  <c r="P9118" i="1" s="1"/>
  <c r="M9118" i="1" a="1"/>
  <c r="M9118" i="1" s="1"/>
  <c r="R9118" i="1" a="1"/>
  <c r="R9118" i="1" s="1"/>
  <c r="I9118" i="1" a="1"/>
  <c r="I9118" i="1" s="1"/>
  <c r="N9118" i="1" a="1"/>
  <c r="N9118" i="1" s="1"/>
  <c r="S9118" i="1" a="1"/>
  <c r="S9118" i="1" s="1"/>
  <c r="B9119" i="1"/>
  <c r="J9118" i="1" a="1"/>
  <c r="J9118" i="1" s="1"/>
  <c r="O9118" i="1" a="1"/>
  <c r="O9118" i="1" s="1"/>
  <c r="K9118" i="1" a="1"/>
  <c r="K9118" i="1" s="1"/>
  <c r="Q9118" i="1" a="1"/>
  <c r="Q9118" i="1" s="1"/>
  <c r="A9121" i="1"/>
  <c r="H9120" i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K9119" i="1" l="1" a="1"/>
  <c r="K9119" i="1" s="1"/>
  <c r="O9119" i="1" a="1"/>
  <c r="O9119" i="1" s="1"/>
  <c r="S9119" i="1" a="1"/>
  <c r="S9119" i="1" s="1"/>
  <c r="L9119" i="1" a="1"/>
  <c r="L9119" i="1" s="1"/>
  <c r="Q9119" i="1" a="1"/>
  <c r="Q9119" i="1" s="1"/>
  <c r="M9119" i="1" a="1"/>
  <c r="M9119" i="1" s="1"/>
  <c r="R9119" i="1" a="1"/>
  <c r="R9119" i="1" s="1"/>
  <c r="J9119" i="1" a="1"/>
  <c r="J9119" i="1" s="1"/>
  <c r="N9119" i="1" a="1"/>
  <c r="N9119" i="1" s="1"/>
  <c r="B9120" i="1"/>
  <c r="I9119" i="1" a="1"/>
  <c r="I9119" i="1" s="1"/>
  <c r="P9119" i="1" a="1"/>
  <c r="P9119" i="1" s="1"/>
  <c r="H9121" i="1"/>
  <c r="A9122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A9123" i="1" l="1"/>
  <c r="H9122" i="1"/>
  <c r="K9120" i="1" a="1"/>
  <c r="K9120" i="1" s="1"/>
  <c r="O9120" i="1" a="1"/>
  <c r="O9120" i="1" s="1"/>
  <c r="S9120" i="1" a="1"/>
  <c r="S9120" i="1" s="1"/>
  <c r="I9120" i="1" a="1"/>
  <c r="I9120" i="1" s="1"/>
  <c r="N9120" i="1" a="1"/>
  <c r="N9120" i="1" s="1"/>
  <c r="B9121" i="1"/>
  <c r="J9120" i="1" a="1"/>
  <c r="J9120" i="1" s="1"/>
  <c r="P9120" i="1" a="1"/>
  <c r="P9120" i="1" s="1"/>
  <c r="L9120" i="1" a="1"/>
  <c r="L9120" i="1" s="1"/>
  <c r="Q9120" i="1" a="1"/>
  <c r="Q9120" i="1" s="1"/>
  <c r="M9120" i="1" a="1"/>
  <c r="M9120" i="1" s="1"/>
  <c r="R9120" i="1" a="1"/>
  <c r="R9120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J9121" i="1" l="1" a="1"/>
  <c r="J9121" i="1" s="1"/>
  <c r="N9121" i="1" a="1"/>
  <c r="N9121" i="1" s="1"/>
  <c r="R9121" i="1" a="1"/>
  <c r="R9121" i="1" s="1"/>
  <c r="M9121" i="1" a="1"/>
  <c r="M9121" i="1" s="1"/>
  <c r="S9121" i="1" a="1"/>
  <c r="S9121" i="1" s="1"/>
  <c r="I9121" i="1" a="1"/>
  <c r="I9121" i="1" s="1"/>
  <c r="O9121" i="1" a="1"/>
  <c r="O9121" i="1" s="1"/>
  <c r="B9122" i="1"/>
  <c r="P9121" i="1" a="1"/>
  <c r="P9121" i="1" s="1"/>
  <c r="K9121" i="1" a="1"/>
  <c r="K9121" i="1" s="1"/>
  <c r="L9121" i="1" a="1"/>
  <c r="L9121" i="1" s="1"/>
  <c r="Q9121" i="1" a="1"/>
  <c r="Q9121" i="1" s="1"/>
  <c r="H9123" i="1"/>
  <c r="A9124" i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J9122" i="1" l="1" a="1"/>
  <c r="J9122" i="1" s="1"/>
  <c r="N9122" i="1" a="1"/>
  <c r="N9122" i="1" s="1"/>
  <c r="R9122" i="1" a="1"/>
  <c r="R9122" i="1" s="1"/>
  <c r="K9122" i="1" a="1"/>
  <c r="K9122" i="1" s="1"/>
  <c r="P9122" i="1" a="1"/>
  <c r="P9122" i="1" s="1"/>
  <c r="L9122" i="1" a="1"/>
  <c r="L9122" i="1" s="1"/>
  <c r="Q9122" i="1" a="1"/>
  <c r="Q9122" i="1" s="1"/>
  <c r="M9122" i="1" a="1"/>
  <c r="M9122" i="1" s="1"/>
  <c r="S9122" i="1" a="1"/>
  <c r="S9122" i="1" s="1"/>
  <c r="B9123" i="1"/>
  <c r="O9122" i="1" a="1"/>
  <c r="O9122" i="1" s="1"/>
  <c r="I9122" i="1" a="1"/>
  <c r="I9122" i="1" s="1"/>
  <c r="H9124" i="1"/>
  <c r="A9125" i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A9126" i="1" l="1"/>
  <c r="H9125" i="1"/>
  <c r="I9123" i="1" a="1"/>
  <c r="I9123" i="1" s="1"/>
  <c r="M9123" i="1" a="1"/>
  <c r="M9123" i="1" s="1"/>
  <c r="Q9123" i="1" a="1"/>
  <c r="Q9123" i="1" s="1"/>
  <c r="O9123" i="1" a="1"/>
  <c r="O9123" i="1" s="1"/>
  <c r="J9123" i="1" a="1"/>
  <c r="J9123" i="1" s="1"/>
  <c r="B9124" i="1"/>
  <c r="K9123" i="1" a="1"/>
  <c r="K9123" i="1" s="1"/>
  <c r="P9123" i="1" a="1"/>
  <c r="P9123" i="1" s="1"/>
  <c r="S9123" i="1" a="1"/>
  <c r="S9123" i="1" s="1"/>
  <c r="N9123" i="1" a="1"/>
  <c r="N9123" i="1" s="1"/>
  <c r="R9123" i="1" a="1"/>
  <c r="R9123" i="1" s="1"/>
  <c r="L9123" i="1" a="1"/>
  <c r="L9123" i="1" s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B9125" i="1" l="1"/>
  <c r="P9124" i="1" a="1"/>
  <c r="P9124" i="1" s="1"/>
  <c r="Q9124" i="1" a="1"/>
  <c r="Q9124" i="1" s="1"/>
  <c r="L9124" i="1" a="1"/>
  <c r="L9124" i="1" s="1"/>
  <c r="M9124" i="1" a="1"/>
  <c r="M9124" i="1" s="1"/>
  <c r="I9124" i="1" a="1"/>
  <c r="I9124" i="1" s="1"/>
  <c r="R9124" i="1" a="1"/>
  <c r="R9124" i="1" s="1"/>
  <c r="N9124" i="1" a="1"/>
  <c r="N9124" i="1" s="1"/>
  <c r="S9124" i="1" a="1"/>
  <c r="S9124" i="1" s="1"/>
  <c r="O9124" i="1" a="1"/>
  <c r="O9124" i="1" s="1"/>
  <c r="J9124" i="1" a="1"/>
  <c r="J9124" i="1" s="1"/>
  <c r="K9124" i="1" a="1"/>
  <c r="K9124" i="1" s="1"/>
  <c r="A9127" i="1"/>
  <c r="H9126" i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A9128" i="1" l="1"/>
  <c r="H9127" i="1"/>
  <c r="L9125" i="1" a="1"/>
  <c r="L9125" i="1" s="1"/>
  <c r="P9125" i="1" a="1"/>
  <c r="P9125" i="1" s="1"/>
  <c r="M9125" i="1" a="1"/>
  <c r="M9125" i="1" s="1"/>
  <c r="I9125" i="1" a="1"/>
  <c r="I9125" i="1" s="1"/>
  <c r="R9125" i="1" a="1"/>
  <c r="R9125" i="1" s="1"/>
  <c r="N9125" i="1" a="1"/>
  <c r="N9125" i="1" s="1"/>
  <c r="J9125" i="1" a="1"/>
  <c r="J9125" i="1" s="1"/>
  <c r="S9125" i="1" a="1"/>
  <c r="S9125" i="1" s="1"/>
  <c r="O9125" i="1" a="1"/>
  <c r="O9125" i="1" s="1"/>
  <c r="Q9125" i="1" a="1"/>
  <c r="Q9125" i="1" s="1"/>
  <c r="B9126" i="1"/>
  <c r="K9125" i="1" a="1"/>
  <c r="K9125" i="1" s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N9126" i="1" l="1" a="1"/>
  <c r="N9126" i="1" s="1"/>
  <c r="J9126" i="1" a="1"/>
  <c r="J9126" i="1" s="1"/>
  <c r="S9126" i="1" a="1"/>
  <c r="S9126" i="1" s="1"/>
  <c r="O9126" i="1" a="1"/>
  <c r="O9126" i="1" s="1"/>
  <c r="K9126" i="1" a="1"/>
  <c r="K9126" i="1" s="1"/>
  <c r="L9126" i="1" a="1"/>
  <c r="L9126" i="1" s="1"/>
  <c r="Q9126" i="1" a="1"/>
  <c r="Q9126" i="1" s="1"/>
  <c r="M9126" i="1" a="1"/>
  <c r="M9126" i="1" s="1"/>
  <c r="P9126" i="1" a="1"/>
  <c r="P9126" i="1" s="1"/>
  <c r="I9126" i="1" a="1"/>
  <c r="I9126" i="1" s="1"/>
  <c r="R9126" i="1" a="1"/>
  <c r="R9126" i="1" s="1"/>
  <c r="B9127" i="1"/>
  <c r="H9128" i="1"/>
  <c r="A9129" i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K9127" i="1" l="1" a="1"/>
  <c r="K9127" i="1" s="1"/>
  <c r="O9127" i="1" a="1"/>
  <c r="O9127" i="1" s="1"/>
  <c r="S9127" i="1" a="1"/>
  <c r="S9127" i="1" s="1"/>
  <c r="P9127" i="1" a="1"/>
  <c r="P9127" i="1" s="1"/>
  <c r="B9128" i="1"/>
  <c r="L9127" i="1" a="1"/>
  <c r="L9127" i="1" s="1"/>
  <c r="J9127" i="1" a="1"/>
  <c r="J9127" i="1" s="1"/>
  <c r="R9127" i="1" a="1"/>
  <c r="R9127" i="1" s="1"/>
  <c r="Q9127" i="1" a="1"/>
  <c r="Q9127" i="1" s="1"/>
  <c r="M9127" i="1" a="1"/>
  <c r="M9127" i="1" s="1"/>
  <c r="I9127" i="1" a="1"/>
  <c r="I9127" i="1" s="1"/>
  <c r="N9127" i="1" a="1"/>
  <c r="N9127" i="1" s="1"/>
  <c r="H9129" i="1"/>
  <c r="A9130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9128" i="1" l="1" a="1"/>
  <c r="L9128" i="1" s="1"/>
  <c r="Q9128" i="1" a="1"/>
  <c r="Q9128" i="1" s="1"/>
  <c r="M9128" i="1" a="1"/>
  <c r="M9128" i="1" s="1"/>
  <c r="N9128" i="1" a="1"/>
  <c r="N9128" i="1" s="1"/>
  <c r="B9129" i="1"/>
  <c r="O9128" i="1" a="1"/>
  <c r="O9128" i="1" s="1"/>
  <c r="J9128" i="1" a="1"/>
  <c r="J9128" i="1" s="1"/>
  <c r="S9128" i="1" a="1"/>
  <c r="S9128" i="1" s="1"/>
  <c r="K9128" i="1" a="1"/>
  <c r="K9128" i="1" s="1"/>
  <c r="I9128" i="1" a="1"/>
  <c r="I9128" i="1" s="1"/>
  <c r="R9128" i="1" a="1"/>
  <c r="R9128" i="1" s="1"/>
  <c r="P9128" i="1" a="1"/>
  <c r="P9128" i="1" s="1"/>
  <c r="A9131" i="1"/>
  <c r="H9130" i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A9132" i="1" l="1"/>
  <c r="H9131" i="1"/>
  <c r="J9129" i="1" a="1"/>
  <c r="J9129" i="1" s="1"/>
  <c r="N9129" i="1" a="1"/>
  <c r="N9129" i="1" s="1"/>
  <c r="R9129" i="1" a="1"/>
  <c r="R9129" i="1" s="1"/>
  <c r="M9129" i="1" a="1"/>
  <c r="M9129" i="1" s="1"/>
  <c r="I9129" i="1" a="1"/>
  <c r="I9129" i="1" s="1"/>
  <c r="S9129" i="1" a="1"/>
  <c r="S9129" i="1" s="1"/>
  <c r="P9129" i="1" a="1"/>
  <c r="P9129" i="1" s="1"/>
  <c r="B9130" i="1"/>
  <c r="L9129" i="1" a="1"/>
  <c r="L9129" i="1" s="1"/>
  <c r="K9129" i="1" a="1"/>
  <c r="K9129" i="1" s="1"/>
  <c r="Q9129" i="1" a="1"/>
  <c r="Q9129" i="1" s="1"/>
  <c r="O9129" i="1" a="1"/>
  <c r="O9129" i="1" s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J9130" i="1" l="1" a="1"/>
  <c r="J9130" i="1" s="1"/>
  <c r="S9130" i="1" a="1"/>
  <c r="S9130" i="1" s="1"/>
  <c r="O9130" i="1" a="1"/>
  <c r="O9130" i="1" s="1"/>
  <c r="K9130" i="1" a="1"/>
  <c r="K9130" i="1" s="1"/>
  <c r="I9130" i="1" a="1"/>
  <c r="I9130" i="1" s="1"/>
  <c r="Q9130" i="1" a="1"/>
  <c r="Q9130" i="1" s="1"/>
  <c r="R9130" i="1" a="1"/>
  <c r="R9130" i="1" s="1"/>
  <c r="L9130" i="1" a="1"/>
  <c r="L9130" i="1" s="1"/>
  <c r="B9131" i="1"/>
  <c r="P9130" i="1" a="1"/>
  <c r="P9130" i="1" s="1"/>
  <c r="M9130" i="1" a="1"/>
  <c r="M9130" i="1" s="1"/>
  <c r="N9130" i="1" a="1"/>
  <c r="N9130" i="1" s="1"/>
  <c r="H9132" i="1"/>
  <c r="A9133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A9134" i="1" l="1"/>
  <c r="H9133" i="1"/>
  <c r="I9131" i="1" a="1"/>
  <c r="I9131" i="1" s="1"/>
  <c r="M9131" i="1" a="1"/>
  <c r="M9131" i="1" s="1"/>
  <c r="Q9131" i="1" a="1"/>
  <c r="Q9131" i="1" s="1"/>
  <c r="K9131" i="1" a="1"/>
  <c r="K9131" i="1" s="1"/>
  <c r="B9132" i="1"/>
  <c r="L9131" i="1" a="1"/>
  <c r="L9131" i="1" s="1"/>
  <c r="P9131" i="1" a="1"/>
  <c r="P9131" i="1" s="1"/>
  <c r="S9131" i="1" a="1"/>
  <c r="S9131" i="1" s="1"/>
  <c r="N9131" i="1" a="1"/>
  <c r="N9131" i="1" s="1"/>
  <c r="R9131" i="1" a="1"/>
  <c r="R9131" i="1" s="1"/>
  <c r="O9131" i="1" a="1"/>
  <c r="O9131" i="1" s="1"/>
  <c r="J9131" i="1" a="1"/>
  <c r="J9131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B9133" i="1" l="1"/>
  <c r="L9132" i="1" a="1"/>
  <c r="L9132" i="1" s="1"/>
  <c r="Q9132" i="1" a="1"/>
  <c r="Q9132" i="1" s="1"/>
  <c r="M9132" i="1" a="1"/>
  <c r="M9132" i="1" s="1"/>
  <c r="I9132" i="1" a="1"/>
  <c r="I9132" i="1" s="1"/>
  <c r="R9132" i="1" a="1"/>
  <c r="R9132" i="1" s="1"/>
  <c r="O9132" i="1" a="1"/>
  <c r="O9132" i="1" s="1"/>
  <c r="N9132" i="1" a="1"/>
  <c r="N9132" i="1" s="1"/>
  <c r="K9132" i="1" a="1"/>
  <c r="K9132" i="1" s="1"/>
  <c r="S9132" i="1" a="1"/>
  <c r="S9132" i="1" s="1"/>
  <c r="J9132" i="1" a="1"/>
  <c r="J9132" i="1" s="1"/>
  <c r="P9132" i="1" a="1"/>
  <c r="P9132" i="1" s="1"/>
  <c r="A9135" i="1"/>
  <c r="H9134" i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A9136" i="1" l="1"/>
  <c r="H9135" i="1"/>
  <c r="L9133" i="1" a="1"/>
  <c r="L9133" i="1" s="1"/>
  <c r="P9133" i="1" a="1"/>
  <c r="P9133" i="1" s="1"/>
  <c r="I9133" i="1" a="1"/>
  <c r="I9133" i="1" s="1"/>
  <c r="R9133" i="1" a="1"/>
  <c r="R9133" i="1" s="1"/>
  <c r="N9133" i="1" a="1"/>
  <c r="N9133" i="1" s="1"/>
  <c r="J9133" i="1" a="1"/>
  <c r="J9133" i="1" s="1"/>
  <c r="S9133" i="1" a="1"/>
  <c r="S9133" i="1" s="1"/>
  <c r="Q9133" i="1" a="1"/>
  <c r="Q9133" i="1" s="1"/>
  <c r="M9133" i="1" a="1"/>
  <c r="M9133" i="1" s="1"/>
  <c r="K9133" i="1" a="1"/>
  <c r="K9133" i="1" s="1"/>
  <c r="O9133" i="1" a="1"/>
  <c r="O9133" i="1" s="1"/>
  <c r="B9134" i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J9134" i="1" l="1" a="1"/>
  <c r="J9134" i="1" s="1"/>
  <c r="S9134" i="1" a="1"/>
  <c r="S9134" i="1" s="1"/>
  <c r="O9134" i="1" a="1"/>
  <c r="O9134" i="1" s="1"/>
  <c r="K9134" i="1" a="1"/>
  <c r="K9134" i="1" s="1"/>
  <c r="P9134" i="1" a="1"/>
  <c r="P9134" i="1" s="1"/>
  <c r="B9135" i="1"/>
  <c r="L9134" i="1" a="1"/>
  <c r="L9134" i="1" s="1"/>
  <c r="R9134" i="1" a="1"/>
  <c r="R9134" i="1" s="1"/>
  <c r="I9134" i="1" a="1"/>
  <c r="I9134" i="1" s="1"/>
  <c r="M9134" i="1" a="1"/>
  <c r="M9134" i="1" s="1"/>
  <c r="N9134" i="1" a="1"/>
  <c r="N9134" i="1" s="1"/>
  <c r="Q9134" i="1" a="1"/>
  <c r="Q9134" i="1" s="1"/>
  <c r="H9136" i="1"/>
  <c r="A9137" i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A9138" i="1" l="1"/>
  <c r="H9137" i="1"/>
  <c r="K9135" i="1" a="1"/>
  <c r="K9135" i="1" s="1"/>
  <c r="O9135" i="1" a="1"/>
  <c r="O9135" i="1" s="1"/>
  <c r="S9135" i="1" a="1"/>
  <c r="S9135" i="1" s="1"/>
  <c r="P9135" i="1" a="1"/>
  <c r="P9135" i="1" s="1"/>
  <c r="B9136" i="1"/>
  <c r="L9135" i="1" a="1"/>
  <c r="L9135" i="1" s="1"/>
  <c r="Q9135" i="1" a="1"/>
  <c r="Q9135" i="1" s="1"/>
  <c r="N9135" i="1" a="1"/>
  <c r="N9135" i="1" s="1"/>
  <c r="J9135" i="1" a="1"/>
  <c r="J9135" i="1" s="1"/>
  <c r="M9135" i="1" a="1"/>
  <c r="M9135" i="1" s="1"/>
  <c r="I9135" i="1" a="1"/>
  <c r="I9135" i="1" s="1"/>
  <c r="R9135" i="1" a="1"/>
  <c r="R9135" i="1" s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Q9136" i="1" l="1" a="1"/>
  <c r="Q9136" i="1" s="1"/>
  <c r="M9136" i="1" a="1"/>
  <c r="M9136" i="1" s="1"/>
  <c r="I9136" i="1" a="1"/>
  <c r="I9136" i="1" s="1"/>
  <c r="R9136" i="1" a="1"/>
  <c r="R9136" i="1" s="1"/>
  <c r="J9136" i="1" a="1"/>
  <c r="J9136" i="1" s="1"/>
  <c r="N9136" i="1" a="1"/>
  <c r="N9136" i="1" s="1"/>
  <c r="P9136" i="1" a="1"/>
  <c r="P9136" i="1" s="1"/>
  <c r="L9136" i="1" a="1"/>
  <c r="L9136" i="1" s="1"/>
  <c r="B9137" i="1"/>
  <c r="O9136" i="1" a="1"/>
  <c r="O9136" i="1" s="1"/>
  <c r="K9136" i="1" a="1"/>
  <c r="K9136" i="1" s="1"/>
  <c r="S9136" i="1" a="1"/>
  <c r="S9136" i="1" s="1"/>
  <c r="A9139" i="1"/>
  <c r="H9138" i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H9139" i="1" l="1"/>
  <c r="A9140" i="1"/>
  <c r="J9137" i="1" a="1"/>
  <c r="J9137" i="1" s="1"/>
  <c r="N9137" i="1" a="1"/>
  <c r="N9137" i="1" s="1"/>
  <c r="R9137" i="1" a="1"/>
  <c r="R9137" i="1" s="1"/>
  <c r="I9137" i="1" a="1"/>
  <c r="I9137" i="1" s="1"/>
  <c r="S9137" i="1" a="1"/>
  <c r="S9137" i="1" s="1"/>
  <c r="O9137" i="1" a="1"/>
  <c r="O9137" i="1" s="1"/>
  <c r="K9137" i="1" a="1"/>
  <c r="K9137" i="1" s="1"/>
  <c r="Q9137" i="1" a="1"/>
  <c r="Q9137" i="1" s="1"/>
  <c r="B9138" i="1"/>
  <c r="L9137" i="1" a="1"/>
  <c r="L9137" i="1" s="1"/>
  <c r="M9137" i="1" a="1"/>
  <c r="M9137" i="1" s="1"/>
  <c r="P9137" i="1" a="1"/>
  <c r="P9137" i="1" s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O9138" i="1" l="1" a="1"/>
  <c r="O9138" i="1" s="1"/>
  <c r="K9138" i="1" a="1"/>
  <c r="K9138" i="1" s="1"/>
  <c r="J9138" i="1" a="1"/>
  <c r="J9138" i="1" s="1"/>
  <c r="Q9138" i="1" a="1"/>
  <c r="Q9138" i="1" s="1"/>
  <c r="R9138" i="1" a="1"/>
  <c r="R9138" i="1" s="1"/>
  <c r="I9138" i="1" a="1"/>
  <c r="I9138" i="1" s="1"/>
  <c r="L9138" i="1" a="1"/>
  <c r="L9138" i="1" s="1"/>
  <c r="B9139" i="1"/>
  <c r="P9138" i="1" a="1"/>
  <c r="P9138" i="1" s="1"/>
  <c r="N9138" i="1" a="1"/>
  <c r="N9138" i="1" s="1"/>
  <c r="M9138" i="1" a="1"/>
  <c r="M9138" i="1" s="1"/>
  <c r="S9138" i="1" a="1"/>
  <c r="S9138" i="1" s="1"/>
  <c r="H9140" i="1"/>
  <c r="A9141" i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9139" i="1" l="1" a="1"/>
  <c r="I9139" i="1" s="1"/>
  <c r="M9139" i="1" a="1"/>
  <c r="M9139" i="1" s="1"/>
  <c r="Q9139" i="1" a="1"/>
  <c r="Q9139" i="1" s="1"/>
  <c r="P9139" i="1" a="1"/>
  <c r="P9139" i="1" s="1"/>
  <c r="B9140" i="1"/>
  <c r="L9139" i="1" a="1"/>
  <c r="L9139" i="1" s="1"/>
  <c r="J9139" i="1" a="1"/>
  <c r="J9139" i="1" s="1"/>
  <c r="R9139" i="1" a="1"/>
  <c r="R9139" i="1" s="1"/>
  <c r="K9139" i="1" a="1"/>
  <c r="K9139" i="1" s="1"/>
  <c r="S9139" i="1" a="1"/>
  <c r="S9139" i="1" s="1"/>
  <c r="N9139" i="1" a="1"/>
  <c r="N9139" i="1" s="1"/>
  <c r="O9139" i="1" a="1"/>
  <c r="O9139" i="1" s="1"/>
  <c r="A9142" i="1"/>
  <c r="H9141" i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A9143" i="1" l="1"/>
  <c r="H9142" i="1"/>
  <c r="B9141" i="1"/>
  <c r="M9140" i="1" a="1"/>
  <c r="M9140" i="1" s="1"/>
  <c r="I9140" i="1" a="1"/>
  <c r="I9140" i="1" s="1"/>
  <c r="R9140" i="1" a="1"/>
  <c r="R9140" i="1" s="1"/>
  <c r="J9140" i="1" a="1"/>
  <c r="J9140" i="1" s="1"/>
  <c r="P9140" i="1" a="1"/>
  <c r="P9140" i="1" s="1"/>
  <c r="K9140" i="1" a="1"/>
  <c r="K9140" i="1" s="1"/>
  <c r="Q9140" i="1" a="1"/>
  <c r="Q9140" i="1" s="1"/>
  <c r="O9140" i="1" a="1"/>
  <c r="O9140" i="1" s="1"/>
  <c r="N9140" i="1" a="1"/>
  <c r="N9140" i="1" s="1"/>
  <c r="L9140" i="1" a="1"/>
  <c r="L9140" i="1" s="1"/>
  <c r="S9140" i="1" a="1"/>
  <c r="S9140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L9141" i="1" l="1" a="1"/>
  <c r="L9141" i="1" s="1"/>
  <c r="P9141" i="1" a="1"/>
  <c r="P9141" i="1" s="1"/>
  <c r="N9141" i="1" a="1"/>
  <c r="N9141" i="1" s="1"/>
  <c r="S9141" i="1" a="1"/>
  <c r="S9141" i="1" s="1"/>
  <c r="J9141" i="1" a="1"/>
  <c r="J9141" i="1" s="1"/>
  <c r="I9141" i="1" a="1"/>
  <c r="I9141" i="1" s="1"/>
  <c r="K9141" i="1" a="1"/>
  <c r="K9141" i="1" s="1"/>
  <c r="O9141" i="1" a="1"/>
  <c r="O9141" i="1" s="1"/>
  <c r="M9141" i="1" a="1"/>
  <c r="M9141" i="1" s="1"/>
  <c r="B9142" i="1"/>
  <c r="Q9141" i="1" a="1"/>
  <c r="Q9141" i="1" s="1"/>
  <c r="R9141" i="1" a="1"/>
  <c r="R9141" i="1" s="1"/>
  <c r="H9143" i="1"/>
  <c r="A9144" i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H9144" i="1" l="1"/>
  <c r="A9145" i="1"/>
  <c r="O9142" i="1" a="1"/>
  <c r="O9142" i="1" s="1"/>
  <c r="K9142" i="1" a="1"/>
  <c r="K9142" i="1" s="1"/>
  <c r="B9143" i="1"/>
  <c r="P9142" i="1" a="1"/>
  <c r="P9142" i="1" s="1"/>
  <c r="I9142" i="1" a="1"/>
  <c r="I9142" i="1" s="1"/>
  <c r="Q9142" i="1" a="1"/>
  <c r="Q9142" i="1" s="1"/>
  <c r="S9142" i="1" a="1"/>
  <c r="S9142" i="1" s="1"/>
  <c r="J9142" i="1" a="1"/>
  <c r="J9142" i="1" s="1"/>
  <c r="L9142" i="1" a="1"/>
  <c r="L9142" i="1" s="1"/>
  <c r="N9142" i="1" a="1"/>
  <c r="N9142" i="1" s="1"/>
  <c r="M9142" i="1" a="1"/>
  <c r="M9142" i="1" s="1"/>
  <c r="R9142" i="1" a="1"/>
  <c r="R9142" i="1" s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K9143" i="1" l="1" a="1"/>
  <c r="K9143" i="1" s="1"/>
  <c r="O9143" i="1" a="1"/>
  <c r="O9143" i="1" s="1"/>
  <c r="S9143" i="1" a="1"/>
  <c r="S9143" i="1" s="1"/>
  <c r="L9143" i="1" a="1"/>
  <c r="L9143" i="1" s="1"/>
  <c r="Q9143" i="1" a="1"/>
  <c r="Q9143" i="1" s="1"/>
  <c r="I9143" i="1" a="1"/>
  <c r="I9143" i="1" s="1"/>
  <c r="B9144" i="1"/>
  <c r="P9143" i="1" a="1"/>
  <c r="P9143" i="1" s="1"/>
  <c r="M9143" i="1" a="1"/>
  <c r="M9143" i="1" s="1"/>
  <c r="J9143" i="1" a="1"/>
  <c r="J9143" i="1" s="1"/>
  <c r="N9143" i="1" a="1"/>
  <c r="N9143" i="1" s="1"/>
  <c r="R9143" i="1" a="1"/>
  <c r="R9143" i="1" s="1"/>
  <c r="H9145" i="1"/>
  <c r="A9146" i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M9144" i="1" l="1" a="1"/>
  <c r="M9144" i="1" s="1"/>
  <c r="R9144" i="1" a="1"/>
  <c r="R9144" i="1" s="1"/>
  <c r="I9144" i="1" a="1"/>
  <c r="I9144" i="1" s="1"/>
  <c r="O9144" i="1" a="1"/>
  <c r="O9144" i="1" s="1"/>
  <c r="B9145" i="1"/>
  <c r="K9144" i="1" a="1"/>
  <c r="K9144" i="1" s="1"/>
  <c r="S9144" i="1" a="1"/>
  <c r="S9144" i="1" s="1"/>
  <c r="P9144" i="1" a="1"/>
  <c r="P9144" i="1" s="1"/>
  <c r="L9144" i="1" a="1"/>
  <c r="L9144" i="1" s="1"/>
  <c r="J9144" i="1" a="1"/>
  <c r="J9144" i="1" s="1"/>
  <c r="N9144" i="1" a="1"/>
  <c r="N9144" i="1" s="1"/>
  <c r="Q9144" i="1" a="1"/>
  <c r="Q9144" i="1" s="1"/>
  <c r="A9147" i="1"/>
  <c r="H9146" i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H9147" i="1" l="1"/>
  <c r="A9148" i="1"/>
  <c r="J9145" i="1" a="1"/>
  <c r="J9145" i="1" s="1"/>
  <c r="N9145" i="1" a="1"/>
  <c r="N9145" i="1" s="1"/>
  <c r="R9145" i="1" a="1"/>
  <c r="R9145" i="1" s="1"/>
  <c r="S9145" i="1" a="1"/>
  <c r="S9145" i="1" s="1"/>
  <c r="O9145" i="1" a="1"/>
  <c r="O9145" i="1" s="1"/>
  <c r="B9146" i="1"/>
  <c r="I9145" i="1" a="1"/>
  <c r="I9145" i="1" s="1"/>
  <c r="P9145" i="1" a="1"/>
  <c r="P9145" i="1" s="1"/>
  <c r="M9145" i="1" a="1"/>
  <c r="M9145" i="1" s="1"/>
  <c r="K9145" i="1" a="1"/>
  <c r="K9145" i="1" s="1"/>
  <c r="L9145" i="1" a="1"/>
  <c r="L9145" i="1" s="1"/>
  <c r="Q9145" i="1" a="1"/>
  <c r="Q9145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K9146" i="1" l="1" a="1"/>
  <c r="K9146" i="1" s="1"/>
  <c r="B9147" i="1"/>
  <c r="P9146" i="1" a="1"/>
  <c r="P9146" i="1" s="1"/>
  <c r="N9146" i="1" a="1"/>
  <c r="N9146" i="1" s="1"/>
  <c r="I9146" i="1" a="1"/>
  <c r="I9146" i="1" s="1"/>
  <c r="S9146" i="1" a="1"/>
  <c r="S9146" i="1" s="1"/>
  <c r="J9146" i="1" a="1"/>
  <c r="J9146" i="1" s="1"/>
  <c r="R9146" i="1" a="1"/>
  <c r="R9146" i="1" s="1"/>
  <c r="O9146" i="1" a="1"/>
  <c r="O9146" i="1" s="1"/>
  <c r="Q9146" i="1" a="1"/>
  <c r="Q9146" i="1" s="1"/>
  <c r="M9146" i="1" a="1"/>
  <c r="M9146" i="1" s="1"/>
  <c r="L9146" i="1" a="1"/>
  <c r="L9146" i="1" s="1"/>
  <c r="H9148" i="1"/>
  <c r="A9149" i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9150" i="1" l="1"/>
  <c r="H9149" i="1"/>
  <c r="I9147" i="1" a="1"/>
  <c r="I9147" i="1" s="1"/>
  <c r="M9147" i="1" a="1"/>
  <c r="M9147" i="1" s="1"/>
  <c r="Q9147" i="1" a="1"/>
  <c r="Q9147" i="1" s="1"/>
  <c r="L9147" i="1" a="1"/>
  <c r="L9147" i="1" s="1"/>
  <c r="N9147" i="1" a="1"/>
  <c r="N9147" i="1" s="1"/>
  <c r="O9147" i="1" a="1"/>
  <c r="O9147" i="1" s="1"/>
  <c r="J9147" i="1" a="1"/>
  <c r="J9147" i="1" s="1"/>
  <c r="K9147" i="1" a="1"/>
  <c r="K9147" i="1" s="1"/>
  <c r="B9148" i="1"/>
  <c r="S9147" i="1" a="1"/>
  <c r="S9147" i="1" s="1"/>
  <c r="P9147" i="1" a="1"/>
  <c r="P9147" i="1" s="1"/>
  <c r="R9147" i="1" a="1"/>
  <c r="R9147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9149" i="1" l="1"/>
  <c r="I9148" i="1" a="1"/>
  <c r="I9148" i="1" s="1"/>
  <c r="R9148" i="1" a="1"/>
  <c r="R9148" i="1" s="1"/>
  <c r="N9148" i="1" a="1"/>
  <c r="N9148" i="1" s="1"/>
  <c r="M9148" i="1" a="1"/>
  <c r="M9148" i="1" s="1"/>
  <c r="Q9148" i="1" a="1"/>
  <c r="Q9148" i="1" s="1"/>
  <c r="L9148" i="1" a="1"/>
  <c r="L9148" i="1" s="1"/>
  <c r="J9148" i="1" a="1"/>
  <c r="J9148" i="1" s="1"/>
  <c r="P9148" i="1" a="1"/>
  <c r="P9148" i="1" s="1"/>
  <c r="O9148" i="1" a="1"/>
  <c r="O9148" i="1" s="1"/>
  <c r="K9148" i="1" a="1"/>
  <c r="K9148" i="1" s="1"/>
  <c r="S9148" i="1" a="1"/>
  <c r="S9148" i="1" s="1"/>
  <c r="H9150" i="1"/>
  <c r="A9151" i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H9151" i="1" l="1"/>
  <c r="A9152" i="1"/>
  <c r="L9149" i="1" a="1"/>
  <c r="L9149" i="1" s="1"/>
  <c r="P9149" i="1" a="1"/>
  <c r="P9149" i="1" s="1"/>
  <c r="J9149" i="1" a="1"/>
  <c r="J9149" i="1" s="1"/>
  <c r="S9149" i="1" a="1"/>
  <c r="S9149" i="1" s="1"/>
  <c r="O9149" i="1" a="1"/>
  <c r="O9149" i="1" s="1"/>
  <c r="M9149" i="1" a="1"/>
  <c r="M9149" i="1" s="1"/>
  <c r="B9150" i="1"/>
  <c r="N9149" i="1" a="1"/>
  <c r="N9149" i="1" s="1"/>
  <c r="K9149" i="1" a="1"/>
  <c r="K9149" i="1" s="1"/>
  <c r="I9149" i="1" a="1"/>
  <c r="I9149" i="1" s="1"/>
  <c r="Q9149" i="1" a="1"/>
  <c r="Q9149" i="1" s="1"/>
  <c r="R9149" i="1" a="1"/>
  <c r="R9149" i="1" s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H9152" i="1" l="1"/>
  <c r="A9153" i="1"/>
  <c r="K9150" i="1" a="1"/>
  <c r="K9150" i="1" s="1"/>
  <c r="P9150" i="1" a="1"/>
  <c r="P9150" i="1" s="1"/>
  <c r="B9151" i="1"/>
  <c r="L9150" i="1" a="1"/>
  <c r="L9150" i="1" s="1"/>
  <c r="M9150" i="1" a="1"/>
  <c r="M9150" i="1" s="1"/>
  <c r="S9150" i="1" a="1"/>
  <c r="S9150" i="1" s="1"/>
  <c r="I9150" i="1" a="1"/>
  <c r="I9150" i="1" s="1"/>
  <c r="O9150" i="1" a="1"/>
  <c r="O9150" i="1" s="1"/>
  <c r="Q9150" i="1" a="1"/>
  <c r="Q9150" i="1" s="1"/>
  <c r="N9150" i="1" a="1"/>
  <c r="N9150" i="1" s="1"/>
  <c r="J9150" i="1" a="1"/>
  <c r="J9150" i="1" s="1"/>
  <c r="R9150" i="1" a="1"/>
  <c r="R9150" i="1" s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K9151" i="1" l="1" a="1"/>
  <c r="K9151" i="1" s="1"/>
  <c r="O9151" i="1" a="1"/>
  <c r="O9151" i="1" s="1"/>
  <c r="Q9151" i="1" a="1"/>
  <c r="Q9151" i="1" s="1"/>
  <c r="M9151" i="1" a="1"/>
  <c r="M9151" i="1" s="1"/>
  <c r="L9151" i="1" a="1"/>
  <c r="L9151" i="1" s="1"/>
  <c r="S9151" i="1" a="1"/>
  <c r="S9151" i="1" s="1"/>
  <c r="N9151" i="1" a="1"/>
  <c r="N9151" i="1" s="1"/>
  <c r="P9151" i="1" a="1"/>
  <c r="P9151" i="1" s="1"/>
  <c r="R9151" i="1" a="1"/>
  <c r="R9151" i="1" s="1"/>
  <c r="I9151" i="1" a="1"/>
  <c r="I9151" i="1" s="1"/>
  <c r="B9152" i="1"/>
  <c r="J9151" i="1" a="1"/>
  <c r="J9151" i="1" s="1"/>
  <c r="A9154" i="1"/>
  <c r="H9153" i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9155" i="1" l="1"/>
  <c r="H9154" i="1"/>
  <c r="B9153" i="1"/>
  <c r="I9152" i="1" a="1"/>
  <c r="I9152" i="1" s="1"/>
  <c r="Q9152" i="1" a="1"/>
  <c r="Q9152" i="1" s="1"/>
  <c r="M9152" i="1" a="1"/>
  <c r="M9152" i="1" s="1"/>
  <c r="K9152" i="1" a="1"/>
  <c r="K9152" i="1" s="1"/>
  <c r="P9152" i="1" a="1"/>
  <c r="P9152" i="1" s="1"/>
  <c r="N9152" i="1" a="1"/>
  <c r="N9152" i="1" s="1"/>
  <c r="O9152" i="1" a="1"/>
  <c r="O9152" i="1" s="1"/>
  <c r="R9152" i="1" a="1"/>
  <c r="R9152" i="1" s="1"/>
  <c r="S9152" i="1" a="1"/>
  <c r="S9152" i="1" s="1"/>
  <c r="J9152" i="1" a="1"/>
  <c r="J9152" i="1" s="1"/>
  <c r="L9152" i="1" a="1"/>
  <c r="L9152" i="1" s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L9153" i="1" l="1" a="1"/>
  <c r="L9153" i="1" s="1"/>
  <c r="P9153" i="1" a="1"/>
  <c r="P9153" i="1" s="1"/>
  <c r="B9154" i="1"/>
  <c r="J9153" i="1" a="1"/>
  <c r="J9153" i="1" s="1"/>
  <c r="Q9153" i="1" a="1"/>
  <c r="Q9153" i="1" s="1"/>
  <c r="R9153" i="1" a="1"/>
  <c r="R9153" i="1" s="1"/>
  <c r="O9153" i="1" a="1"/>
  <c r="O9153" i="1" s="1"/>
  <c r="M9153" i="1" a="1"/>
  <c r="M9153" i="1" s="1"/>
  <c r="S9153" i="1" a="1"/>
  <c r="S9153" i="1" s="1"/>
  <c r="K9153" i="1" a="1"/>
  <c r="K9153" i="1" s="1"/>
  <c r="I9153" i="1" a="1"/>
  <c r="I9153" i="1" s="1"/>
  <c r="N9153" i="1" a="1"/>
  <c r="N9153" i="1" s="1"/>
  <c r="A9156" i="1"/>
  <c r="H9155" i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P9154" i="1" l="1" a="1"/>
  <c r="P9154" i="1" s="1"/>
  <c r="L9154" i="1" a="1"/>
  <c r="L9154" i="1" s="1"/>
  <c r="M9154" i="1" a="1"/>
  <c r="M9154" i="1" s="1"/>
  <c r="R9154" i="1" a="1"/>
  <c r="R9154" i="1" s="1"/>
  <c r="N9154" i="1" a="1"/>
  <c r="N9154" i="1" s="1"/>
  <c r="J9154" i="1" a="1"/>
  <c r="J9154" i="1" s="1"/>
  <c r="Q9154" i="1" a="1"/>
  <c r="Q9154" i="1" s="1"/>
  <c r="I9154" i="1" a="1"/>
  <c r="I9154" i="1" s="1"/>
  <c r="K9154" i="1" a="1"/>
  <c r="K9154" i="1" s="1"/>
  <c r="S9154" i="1" a="1"/>
  <c r="S9154" i="1" s="1"/>
  <c r="B9155" i="1"/>
  <c r="O9154" i="1" a="1"/>
  <c r="O9154" i="1" s="1"/>
  <c r="A9157" i="1"/>
  <c r="H9156" i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H9157" i="1" l="1"/>
  <c r="A9158" i="1"/>
  <c r="K9155" i="1" a="1"/>
  <c r="K9155" i="1" s="1"/>
  <c r="O9155" i="1" a="1"/>
  <c r="O9155" i="1" s="1"/>
  <c r="S9155" i="1" a="1"/>
  <c r="S9155" i="1" s="1"/>
  <c r="Q9155" i="1" a="1"/>
  <c r="Q9155" i="1" s="1"/>
  <c r="M9155" i="1" a="1"/>
  <c r="M9155" i="1" s="1"/>
  <c r="N9155" i="1" a="1"/>
  <c r="N9155" i="1" s="1"/>
  <c r="P9155" i="1" a="1"/>
  <c r="P9155" i="1" s="1"/>
  <c r="L9155" i="1" a="1"/>
  <c r="L9155" i="1" s="1"/>
  <c r="R9155" i="1" a="1"/>
  <c r="R9155" i="1" s="1"/>
  <c r="J9155" i="1" a="1"/>
  <c r="J9155" i="1" s="1"/>
  <c r="I9155" i="1" a="1"/>
  <c r="I9155" i="1" s="1"/>
  <c r="B9156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O9156" i="1" l="1" a="1"/>
  <c r="O9156" i="1" s="1"/>
  <c r="S9156" i="1" a="1"/>
  <c r="S9156" i="1" s="1"/>
  <c r="K9156" i="1" a="1"/>
  <c r="K9156" i="1" s="1"/>
  <c r="I9156" i="1" a="1"/>
  <c r="I9156" i="1" s="1"/>
  <c r="N9156" i="1" a="1"/>
  <c r="N9156" i="1" s="1"/>
  <c r="B9157" i="1"/>
  <c r="P9156" i="1" a="1"/>
  <c r="P9156" i="1" s="1"/>
  <c r="L9156" i="1" a="1"/>
  <c r="L9156" i="1" s="1"/>
  <c r="J9156" i="1" a="1"/>
  <c r="J9156" i="1" s="1"/>
  <c r="M9156" i="1" a="1"/>
  <c r="M9156" i="1" s="1"/>
  <c r="Q9156" i="1" a="1"/>
  <c r="Q9156" i="1" s="1"/>
  <c r="R9156" i="1" a="1"/>
  <c r="R9156" i="1" s="1"/>
  <c r="H9158" i="1"/>
  <c r="A9159" i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9159" i="1" l="1"/>
  <c r="A9160" i="1"/>
  <c r="H9160" i="1" s="1"/>
  <c r="J9157" i="1" a="1"/>
  <c r="J9157" i="1" s="1"/>
  <c r="N9157" i="1" a="1"/>
  <c r="N9157" i="1" s="1"/>
  <c r="R9157" i="1" a="1"/>
  <c r="R9157" i="1" s="1"/>
  <c r="S9157" i="1" a="1"/>
  <c r="S9157" i="1" s="1"/>
  <c r="I9157" i="1" a="1"/>
  <c r="I9157" i="1" s="1"/>
  <c r="B9158" i="1"/>
  <c r="P9157" i="1" a="1"/>
  <c r="P9157" i="1" s="1"/>
  <c r="Q9157" i="1" a="1"/>
  <c r="Q9157" i="1" s="1"/>
  <c r="M9157" i="1" a="1"/>
  <c r="M9157" i="1" s="1"/>
  <c r="O9157" i="1" a="1"/>
  <c r="O9157" i="1" s="1"/>
  <c r="L9157" i="1" a="1"/>
  <c r="L9157" i="1" s="1"/>
  <c r="K9157" i="1" a="1"/>
  <c r="K9157" i="1" s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J9158" i="1" l="1" a="1"/>
  <c r="J9158" i="1" s="1"/>
  <c r="N9158" i="1" a="1"/>
  <c r="N9158" i="1" s="1"/>
  <c r="R9158" i="1" a="1"/>
  <c r="R9158" i="1" s="1"/>
  <c r="K9158" i="1" a="1"/>
  <c r="K9158" i="1" s="1"/>
  <c r="P9158" i="1" a="1"/>
  <c r="P9158" i="1" s="1"/>
  <c r="Q9158" i="1" a="1"/>
  <c r="Q9158" i="1" s="1"/>
  <c r="L9158" i="1" a="1"/>
  <c r="L9158" i="1" s="1"/>
  <c r="M9158" i="1" a="1"/>
  <c r="M9158" i="1" s="1"/>
  <c r="O9158" i="1" a="1"/>
  <c r="O9158" i="1" s="1"/>
  <c r="S9158" i="1" a="1"/>
  <c r="S9158" i="1" s="1"/>
  <c r="I9158" i="1" a="1"/>
  <c r="I9158" i="1" s="1"/>
  <c r="B9159" i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I9159" i="1" l="1" a="1"/>
  <c r="I9159" i="1" s="1"/>
  <c r="M9159" i="1" a="1"/>
  <c r="M9159" i="1" s="1"/>
  <c r="Q9159" i="1" a="1"/>
  <c r="Q9159" i="1" s="1"/>
  <c r="J9159" i="1" a="1"/>
  <c r="J9159" i="1" s="1"/>
  <c r="R9159" i="1" a="1"/>
  <c r="R9159" i="1" s="1"/>
  <c r="S9159" i="1" a="1"/>
  <c r="S9159" i="1" s="1"/>
  <c r="O9159" i="1" a="1"/>
  <c r="O9159" i="1" s="1"/>
  <c r="K9159" i="1" a="1"/>
  <c r="K9159" i="1" s="1"/>
  <c r="N9159" i="1" a="1"/>
  <c r="N9159" i="1" s="1"/>
  <c r="B9160" i="1"/>
  <c r="P9159" i="1" a="1"/>
  <c r="P9159" i="1" s="1"/>
  <c r="L9159" i="1" a="1"/>
  <c r="L9159" i="1" s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I9160" i="1" l="1" a="1"/>
  <c r="I9160" i="1" s="1"/>
  <c r="Q9160" i="1" a="1"/>
  <c r="Q9160" i="1" s="1"/>
  <c r="M9160" i="1" a="1"/>
  <c r="M9160" i="1" s="1"/>
  <c r="L9160" i="1" a="1"/>
  <c r="L9160" i="1" s="1"/>
  <c r="R9160" i="1" a="1"/>
  <c r="R9160" i="1" s="1"/>
  <c r="S9160" i="1" a="1"/>
  <c r="S9160" i="1" s="1"/>
  <c r="J9160" i="1" a="1"/>
  <c r="J9160" i="1" s="1"/>
  <c r="P9160" i="1" a="1"/>
  <c r="P9160" i="1" s="1"/>
  <c r="N9160" i="1" a="1"/>
  <c r="N9160" i="1" s="1"/>
  <c r="O9160" i="1" a="1"/>
  <c r="O9160" i="1" s="1"/>
  <c r="K9160" i="1" a="1"/>
  <c r="K9160" i="1" s="1"/>
  <c r="E348" i="2"/>
  <c r="C347" i="2"/>
  <c r="D346" i="2"/>
  <c r="E346" i="2"/>
  <c r="D345" i="2"/>
  <c r="C346" i="2"/>
  <c r="C344" i="2"/>
  <c r="E343" i="2"/>
  <c r="D342" i="2"/>
  <c r="C342" i="2"/>
  <c r="C348" i="2"/>
  <c r="E345" i="2"/>
  <c r="D343" i="2"/>
  <c r="D348" i="2"/>
  <c r="E342" i="2"/>
  <c r="E344" i="2"/>
  <c r="D344" i="2"/>
  <c r="C345" i="2"/>
  <c r="C343" i="2"/>
  <c r="E347" i="2"/>
  <c r="D347" i="2"/>
  <c r="D340" i="2"/>
  <c r="C340" i="2"/>
  <c r="C341" i="2"/>
  <c r="E340" i="2"/>
  <c r="D341" i="2"/>
  <c r="E341" i="2"/>
  <c r="C337" i="2"/>
  <c r="E338" i="2"/>
  <c r="E337" i="2"/>
  <c r="D337" i="2"/>
  <c r="D339" i="2"/>
  <c r="C339" i="2"/>
  <c r="E339" i="2"/>
  <c r="D338" i="2"/>
  <c r="C338" i="2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22" i="2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E336" i="2" l="1"/>
  <c r="D336" i="2"/>
  <c r="C336" i="2"/>
  <c r="E334" i="2"/>
  <c r="C318" i="2"/>
  <c r="C323" i="2"/>
  <c r="E327" i="2"/>
  <c r="C325" i="2"/>
  <c r="C326" i="2"/>
  <c r="C327" i="2"/>
  <c r="C320" i="2"/>
  <c r="C315" i="2"/>
  <c r="E300" i="2"/>
  <c r="C302" i="2"/>
  <c r="D300" i="2"/>
  <c r="E315" i="2"/>
  <c r="C308" i="2"/>
  <c r="E303" i="2"/>
  <c r="C309" i="2"/>
  <c r="C307" i="2"/>
  <c r="C300" i="2"/>
  <c r="E309" i="2"/>
  <c r="E308" i="2"/>
  <c r="C303" i="2"/>
  <c r="E305" i="2"/>
  <c r="E307" i="2"/>
  <c r="C305" i="2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02" i="2" l="1"/>
  <c r="D315" i="2"/>
  <c r="C314" i="2"/>
  <c r="D314" i="2"/>
  <c r="E314" i="2"/>
  <c r="D320" i="2"/>
  <c r="D316" i="2"/>
  <c r="D305" i="2"/>
  <c r="D323" i="2"/>
  <c r="D319" i="2"/>
  <c r="D308" i="2"/>
  <c r="D321" i="2"/>
  <c r="D327" i="2"/>
  <c r="D318" i="2"/>
  <c r="D330" i="2"/>
  <c r="D309" i="2"/>
  <c r="D302" i="2"/>
  <c r="D303" i="2"/>
  <c r="D324" i="2"/>
  <c r="D325" i="2"/>
  <c r="D307" i="2"/>
  <c r="D326" i="2"/>
  <c r="D329" i="2"/>
  <c r="D317" i="2"/>
  <c r="D328" i="2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<sst xmlns="http://schemas.openxmlformats.org/spreadsheetml/2006/main" count="93083" uniqueCount="27">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</sst>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9160"/>
  <sheetViews>
    <sheetView tabSelected="1" zoomScale="80" zoomScaleNormal="80" workbookViewId="0">
      <pane ySplit="1" topLeftCell="A9068" activePane="bottomLeft" state="frozen"/>
      <selection pane="bottomLeft" activeCell="D9090" sqref="D9090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40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5">
        <v>0</v>
      </c>
      <c r="E8693" s="5">
        <v>3</v>
      </c>
      <c r="F8693" s="5" t="s">
        <v>9</v>
      </c>
      <c r="G8693" s="15" t="s">
        <v>8</v>
      </c>
      <c r="H8693" s="24">
        <v>1369.9999999918509</v>
      </c>
      <c r="I8693" s="24">
        <v>1369.9999999918509</v>
      </c>
      <c r="J8693" s="24" t="s">
        <v>21</v>
      </c>
      <c r="K8693" s="24" t="s">
        <v>21</v>
      </c>
      <c r="L8693" s="24" t="s">
        <v>21</v>
      </c>
      <c r="M8693" s="24" t="s">
        <v>21</v>
      </c>
      <c r="N8693" s="24" t="s">
        <v>21</v>
      </c>
      <c r="O8693" s="24" t="s">
        <v>21</v>
      </c>
      <c r="P8693" s="24" t="s">
        <v>21</v>
      </c>
      <c r="Q8693" s="24" t="s">
        <v>21</v>
      </c>
      <c r="R8693" s="24" t="s">
        <v>21</v>
      </c>
      <c r="S8693" s="24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5">
        <v>0</v>
      </c>
      <c r="E8694" s="5">
        <v>4</v>
      </c>
      <c r="F8694" s="5" t="s">
        <v>9</v>
      </c>
      <c r="G8694" s="15" t="s">
        <v>8</v>
      </c>
      <c r="H8694" s="24">
        <v>1.000000003259629</v>
      </c>
      <c r="I8694" s="24">
        <v>1.000000003259629</v>
      </c>
      <c r="J8694" s="24" t="s">
        <v>21</v>
      </c>
      <c r="K8694" s="24" t="s">
        <v>21</v>
      </c>
      <c r="L8694" s="24" t="s">
        <v>21</v>
      </c>
      <c r="M8694" s="24" t="s">
        <v>21</v>
      </c>
      <c r="N8694" s="24" t="s">
        <v>21</v>
      </c>
      <c r="O8694" s="24" t="s">
        <v>21</v>
      </c>
      <c r="P8694" s="24" t="s">
        <v>21</v>
      </c>
      <c r="Q8694" s="24" t="s">
        <v>21</v>
      </c>
      <c r="R8694" s="24" t="s">
        <v>21</v>
      </c>
      <c r="S8694" s="24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5">
        <v>0</v>
      </c>
      <c r="E8695" s="5">
        <v>3</v>
      </c>
      <c r="F8695" s="5" t="s">
        <v>9</v>
      </c>
      <c r="G8695" s="15" t="s">
        <v>8</v>
      </c>
      <c r="H8695" s="24">
        <v>0</v>
      </c>
      <c r="I8695" s="24">
        <v>0</v>
      </c>
      <c r="J8695" s="24" t="s">
        <v>21</v>
      </c>
      <c r="K8695" s="24" t="s">
        <v>21</v>
      </c>
      <c r="L8695" s="24" t="s">
        <v>21</v>
      </c>
      <c r="M8695" s="24" t="s">
        <v>21</v>
      </c>
      <c r="N8695" s="24" t="s">
        <v>21</v>
      </c>
      <c r="O8695" s="24" t="s">
        <v>21</v>
      </c>
      <c r="P8695" s="24" t="s">
        <v>21</v>
      </c>
      <c r="Q8695" s="24" t="s">
        <v>21</v>
      </c>
      <c r="R8695" s="24" t="s">
        <v>21</v>
      </c>
      <c r="S8695" s="24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5">
        <v>0</v>
      </c>
      <c r="E8696" s="5">
        <v>3</v>
      </c>
      <c r="F8696" s="5" t="s">
        <v>9</v>
      </c>
      <c r="G8696" s="15" t="s">
        <v>8</v>
      </c>
      <c r="H8696" s="24">
        <v>1.000000003259629</v>
      </c>
      <c r="I8696" s="24">
        <v>1.000000003259629</v>
      </c>
      <c r="J8696" s="24" t="s">
        <v>21</v>
      </c>
      <c r="K8696" s="24" t="s">
        <v>21</v>
      </c>
      <c r="L8696" s="24" t="s">
        <v>21</v>
      </c>
      <c r="M8696" s="24" t="s">
        <v>21</v>
      </c>
      <c r="N8696" s="24" t="s">
        <v>21</v>
      </c>
      <c r="O8696" s="24" t="s">
        <v>21</v>
      </c>
      <c r="P8696" s="24" t="s">
        <v>21</v>
      </c>
      <c r="Q8696" s="24" t="s">
        <v>21</v>
      </c>
      <c r="R8696" s="24" t="s">
        <v>21</v>
      </c>
      <c r="S8696" s="24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5">
        <v>0</v>
      </c>
      <c r="E8697" s="5">
        <v>3</v>
      </c>
      <c r="F8697" s="5" t="s">
        <v>9</v>
      </c>
      <c r="G8697" s="15" t="s">
        <v>8</v>
      </c>
      <c r="H8697" s="24">
        <v>0</v>
      </c>
      <c r="I8697" s="24">
        <v>0</v>
      </c>
      <c r="J8697" s="24" t="s">
        <v>21</v>
      </c>
      <c r="K8697" s="24" t="s">
        <v>21</v>
      </c>
      <c r="L8697" s="24" t="s">
        <v>21</v>
      </c>
      <c r="M8697" s="24" t="s">
        <v>21</v>
      </c>
      <c r="N8697" s="24" t="s">
        <v>21</v>
      </c>
      <c r="O8697" s="24" t="s">
        <v>21</v>
      </c>
      <c r="P8697" s="24" t="s">
        <v>21</v>
      </c>
      <c r="Q8697" s="24" t="s">
        <v>21</v>
      </c>
      <c r="R8697" s="24" t="s">
        <v>21</v>
      </c>
      <c r="S8697" s="24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5">
        <v>11</v>
      </c>
      <c r="E8698" s="5">
        <v>0</v>
      </c>
      <c r="F8698" s="5" t="s">
        <v>9</v>
      </c>
      <c r="G8698" s="15" t="s">
        <v>8</v>
      </c>
      <c r="H8698" s="24">
        <v>36.000000002095476</v>
      </c>
      <c r="I8698" s="24" t="s">
        <v>21</v>
      </c>
      <c r="J8698" s="24" t="s">
        <v>21</v>
      </c>
      <c r="K8698" s="24" t="s">
        <v>21</v>
      </c>
      <c r="L8698" s="24">
        <v>3323.0000000086147</v>
      </c>
      <c r="M8698" s="24" t="s">
        <v>21</v>
      </c>
      <c r="N8698" s="24" t="s">
        <v>21</v>
      </c>
      <c r="O8698" s="24" t="s">
        <v>21</v>
      </c>
      <c r="P8698" s="24" t="s">
        <v>21</v>
      </c>
      <c r="Q8698" s="24" t="s">
        <v>21</v>
      </c>
      <c r="R8698" s="24" t="s">
        <v>21</v>
      </c>
      <c r="S8698" s="24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5">
        <v>6</v>
      </c>
      <c r="E8699" s="5">
        <v>0</v>
      </c>
      <c r="F8699" s="5" t="s">
        <v>9</v>
      </c>
      <c r="G8699" s="15" t="s">
        <v>8</v>
      </c>
      <c r="H8699" s="24">
        <v>0.99999999278225005</v>
      </c>
      <c r="I8699" s="24" t="s">
        <v>21</v>
      </c>
      <c r="J8699" s="24" t="s">
        <v>21</v>
      </c>
      <c r="K8699" s="24" t="s">
        <v>21</v>
      </c>
      <c r="L8699" s="24">
        <v>0.99999999278225005</v>
      </c>
      <c r="M8699" s="24" t="s">
        <v>21</v>
      </c>
      <c r="N8699" s="24" t="s">
        <v>21</v>
      </c>
      <c r="O8699" s="24" t="s">
        <v>21</v>
      </c>
      <c r="P8699" s="24" t="s">
        <v>21</v>
      </c>
      <c r="Q8699" s="24" t="s">
        <v>21</v>
      </c>
      <c r="R8699" s="24" t="s">
        <v>21</v>
      </c>
      <c r="S8699" s="24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5">
        <v>0</v>
      </c>
      <c r="E8700" s="5">
        <v>3</v>
      </c>
      <c r="F8700" s="5" t="s">
        <v>9</v>
      </c>
      <c r="G8700" s="15" t="s">
        <v>8</v>
      </c>
      <c r="H8700" s="24">
        <v>18.000000006286427</v>
      </c>
      <c r="I8700" s="24">
        <v>55.000000001164153</v>
      </c>
      <c r="J8700" s="24" t="s">
        <v>21</v>
      </c>
      <c r="K8700" s="24" t="s">
        <v>21</v>
      </c>
      <c r="L8700" s="24" t="s">
        <v>21</v>
      </c>
      <c r="M8700" s="24" t="s">
        <v>21</v>
      </c>
      <c r="N8700" s="24" t="s">
        <v>21</v>
      </c>
      <c r="O8700" s="24" t="s">
        <v>21</v>
      </c>
      <c r="P8700" s="24" t="s">
        <v>21</v>
      </c>
      <c r="Q8700" s="24" t="s">
        <v>21</v>
      </c>
      <c r="R8700" s="24" t="s">
        <v>21</v>
      </c>
      <c r="S8700" s="24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5">
        <v>0</v>
      </c>
      <c r="E8701" s="5">
        <v>2</v>
      </c>
      <c r="F8701" s="5" t="s">
        <v>9</v>
      </c>
      <c r="G8701" s="15" t="s">
        <v>8</v>
      </c>
      <c r="H8701" s="24">
        <v>0.99999999278225005</v>
      </c>
      <c r="I8701" s="24">
        <v>0.99999999278225005</v>
      </c>
      <c r="J8701" s="24" t="s">
        <v>21</v>
      </c>
      <c r="K8701" s="24" t="s">
        <v>21</v>
      </c>
      <c r="L8701" s="24" t="s">
        <v>21</v>
      </c>
      <c r="M8701" s="24" t="s">
        <v>21</v>
      </c>
      <c r="N8701" s="24" t="s">
        <v>21</v>
      </c>
      <c r="O8701" s="24" t="s">
        <v>21</v>
      </c>
      <c r="P8701" s="24" t="s">
        <v>21</v>
      </c>
      <c r="Q8701" s="24" t="s">
        <v>21</v>
      </c>
      <c r="R8701" s="24" t="s">
        <v>21</v>
      </c>
      <c r="S8701" s="24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5">
        <v>0</v>
      </c>
      <c r="E8702" s="5">
        <v>2</v>
      </c>
      <c r="F8702" s="5" t="s">
        <v>9</v>
      </c>
      <c r="G8702" s="15" t="s">
        <v>8</v>
      </c>
      <c r="H8702" s="24">
        <v>1.000000003259629</v>
      </c>
      <c r="I8702" s="24">
        <v>1.000000003259629</v>
      </c>
      <c r="J8702" s="24" t="s">
        <v>21</v>
      </c>
      <c r="K8702" s="24" t="s">
        <v>21</v>
      </c>
      <c r="L8702" s="24" t="s">
        <v>21</v>
      </c>
      <c r="M8702" s="24" t="s">
        <v>21</v>
      </c>
      <c r="N8702" s="24" t="s">
        <v>21</v>
      </c>
      <c r="O8702" s="24" t="s">
        <v>21</v>
      </c>
      <c r="P8702" s="24" t="s">
        <v>21</v>
      </c>
      <c r="Q8702" s="24" t="s">
        <v>21</v>
      </c>
      <c r="R8702" s="24" t="s">
        <v>21</v>
      </c>
      <c r="S8702" s="24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5">
        <v>0</v>
      </c>
      <c r="E8703" s="5">
        <v>2</v>
      </c>
      <c r="F8703" s="5" t="s">
        <v>9</v>
      </c>
      <c r="G8703" s="15" t="s">
        <v>8</v>
      </c>
      <c r="H8703" s="24">
        <v>0</v>
      </c>
      <c r="I8703" s="24">
        <v>0</v>
      </c>
      <c r="J8703" s="24" t="s">
        <v>21</v>
      </c>
      <c r="K8703" s="24" t="s">
        <v>21</v>
      </c>
      <c r="L8703" s="24" t="s">
        <v>21</v>
      </c>
      <c r="M8703" s="24" t="s">
        <v>21</v>
      </c>
      <c r="N8703" s="24" t="s">
        <v>21</v>
      </c>
      <c r="O8703" s="24" t="s">
        <v>21</v>
      </c>
      <c r="P8703" s="24" t="s">
        <v>21</v>
      </c>
      <c r="Q8703" s="24" t="s">
        <v>21</v>
      </c>
      <c r="R8703" s="24" t="s">
        <v>21</v>
      </c>
      <c r="S8703" s="24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5">
        <v>0</v>
      </c>
      <c r="E8704" s="5">
        <v>3</v>
      </c>
      <c r="F8704" s="5" t="s">
        <v>9</v>
      </c>
      <c r="G8704" s="15" t="s">
        <v>8</v>
      </c>
      <c r="H8704" s="24">
        <v>1.000000003259629</v>
      </c>
      <c r="I8704" s="24">
        <v>1.000000003259629</v>
      </c>
      <c r="J8704" s="24" t="s">
        <v>21</v>
      </c>
      <c r="K8704" s="24" t="s">
        <v>21</v>
      </c>
      <c r="L8704" s="24" t="s">
        <v>21</v>
      </c>
      <c r="M8704" s="24" t="s">
        <v>21</v>
      </c>
      <c r="N8704" s="24" t="s">
        <v>21</v>
      </c>
      <c r="O8704" s="24" t="s">
        <v>21</v>
      </c>
      <c r="P8704" s="24" t="s">
        <v>21</v>
      </c>
      <c r="Q8704" s="24" t="s">
        <v>21</v>
      </c>
      <c r="R8704" s="24" t="s">
        <v>21</v>
      </c>
      <c r="S8704" s="24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5">
        <v>0</v>
      </c>
      <c r="E8705" s="5">
        <v>3</v>
      </c>
      <c r="F8705" s="5" t="s">
        <v>9</v>
      </c>
      <c r="G8705" s="15" t="s">
        <v>8</v>
      </c>
      <c r="H8705" s="24">
        <v>0</v>
      </c>
      <c r="I8705" s="24">
        <v>0</v>
      </c>
      <c r="J8705" s="24" t="s">
        <v>21</v>
      </c>
      <c r="K8705" s="24" t="s">
        <v>21</v>
      </c>
      <c r="L8705" s="24" t="s">
        <v>21</v>
      </c>
      <c r="M8705" s="24" t="s">
        <v>21</v>
      </c>
      <c r="N8705" s="24" t="s">
        <v>21</v>
      </c>
      <c r="O8705" s="24" t="s">
        <v>21</v>
      </c>
      <c r="P8705" s="24" t="s">
        <v>21</v>
      </c>
      <c r="Q8705" s="24" t="s">
        <v>21</v>
      </c>
      <c r="R8705" s="24" t="s">
        <v>21</v>
      </c>
      <c r="S8705" s="24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5">
        <v>0</v>
      </c>
      <c r="E8706" s="5">
        <v>3</v>
      </c>
      <c r="F8706" s="5" t="s">
        <v>9</v>
      </c>
      <c r="G8706" s="15" t="s">
        <v>8</v>
      </c>
      <c r="H8706" s="24">
        <v>0.99999999278225005</v>
      </c>
      <c r="I8706" s="24">
        <v>0.99999999278225005</v>
      </c>
      <c r="J8706" s="24" t="s">
        <v>21</v>
      </c>
      <c r="K8706" s="24" t="s">
        <v>21</v>
      </c>
      <c r="L8706" s="24" t="s">
        <v>21</v>
      </c>
      <c r="M8706" s="24" t="s">
        <v>21</v>
      </c>
      <c r="N8706" s="24" t="s">
        <v>21</v>
      </c>
      <c r="O8706" s="24" t="s">
        <v>21</v>
      </c>
      <c r="P8706" s="24" t="s">
        <v>21</v>
      </c>
      <c r="Q8706" s="24" t="s">
        <v>21</v>
      </c>
      <c r="R8706" s="24" t="s">
        <v>21</v>
      </c>
      <c r="S8706" s="24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5">
        <v>0</v>
      </c>
      <c r="E8707" s="5">
        <v>2</v>
      </c>
      <c r="F8707" s="5" t="s">
        <v>9</v>
      </c>
      <c r="G8707" s="15" t="s">
        <v>8</v>
      </c>
      <c r="H8707" s="24">
        <v>0</v>
      </c>
      <c r="I8707" s="24">
        <v>0</v>
      </c>
      <c r="J8707" s="24" t="s">
        <v>21</v>
      </c>
      <c r="K8707" s="24" t="s">
        <v>21</v>
      </c>
      <c r="L8707" s="24" t="s">
        <v>21</v>
      </c>
      <c r="M8707" s="24" t="s">
        <v>21</v>
      </c>
      <c r="N8707" s="24" t="s">
        <v>21</v>
      </c>
      <c r="O8707" s="24" t="s">
        <v>21</v>
      </c>
      <c r="P8707" s="24" t="s">
        <v>21</v>
      </c>
      <c r="Q8707" s="24" t="s">
        <v>21</v>
      </c>
      <c r="R8707" s="24" t="s">
        <v>21</v>
      </c>
      <c r="S8707" s="24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5">
        <v>0</v>
      </c>
      <c r="E8708" s="5">
        <v>4</v>
      </c>
      <c r="F8708" s="5" t="s">
        <v>9</v>
      </c>
      <c r="G8708" s="15" t="s">
        <v>8</v>
      </c>
      <c r="H8708" s="24">
        <v>1.000000003259629</v>
      </c>
      <c r="I8708" s="24">
        <v>1.000000003259629</v>
      </c>
      <c r="J8708" s="24" t="s">
        <v>21</v>
      </c>
      <c r="K8708" s="24" t="s">
        <v>21</v>
      </c>
      <c r="L8708" s="24" t="s">
        <v>21</v>
      </c>
      <c r="M8708" s="24" t="s">
        <v>21</v>
      </c>
      <c r="N8708" s="24" t="s">
        <v>21</v>
      </c>
      <c r="O8708" s="24" t="s">
        <v>21</v>
      </c>
      <c r="P8708" s="24" t="s">
        <v>21</v>
      </c>
      <c r="Q8708" s="24" t="s">
        <v>21</v>
      </c>
      <c r="R8708" s="24" t="s">
        <v>21</v>
      </c>
      <c r="S8708" s="24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5">
        <v>0</v>
      </c>
      <c r="E8709" s="5">
        <v>4</v>
      </c>
      <c r="F8709" s="5" t="s">
        <v>9</v>
      </c>
      <c r="G8709" s="15" t="s">
        <v>8</v>
      </c>
      <c r="H8709" s="24">
        <v>0</v>
      </c>
      <c r="I8709" s="24">
        <v>0</v>
      </c>
      <c r="J8709" s="24" t="s">
        <v>21</v>
      </c>
      <c r="K8709" s="24" t="s">
        <v>21</v>
      </c>
      <c r="L8709" s="24" t="s">
        <v>21</v>
      </c>
      <c r="M8709" s="24" t="s">
        <v>21</v>
      </c>
      <c r="N8709" s="24" t="s">
        <v>21</v>
      </c>
      <c r="O8709" s="24" t="s">
        <v>21</v>
      </c>
      <c r="P8709" s="24" t="s">
        <v>21</v>
      </c>
      <c r="Q8709" s="24" t="s">
        <v>21</v>
      </c>
      <c r="R8709" s="24" t="s">
        <v>21</v>
      </c>
      <c r="S8709" s="24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5">
        <v>0</v>
      </c>
      <c r="E8710" s="5">
        <v>3</v>
      </c>
      <c r="F8710" s="5" t="s">
        <v>9</v>
      </c>
      <c r="G8710" s="15" t="s">
        <v>8</v>
      </c>
      <c r="H8710" s="24">
        <v>2.9999999993015081</v>
      </c>
      <c r="I8710" s="24">
        <v>2.9999999993015081</v>
      </c>
      <c r="J8710" s="24" t="s">
        <v>21</v>
      </c>
      <c r="K8710" s="24" t="s">
        <v>21</v>
      </c>
      <c r="L8710" s="24" t="s">
        <v>21</v>
      </c>
      <c r="M8710" s="24" t="s">
        <v>21</v>
      </c>
      <c r="N8710" s="24" t="s">
        <v>21</v>
      </c>
      <c r="O8710" s="24" t="s">
        <v>21</v>
      </c>
      <c r="P8710" s="24" t="s">
        <v>21</v>
      </c>
      <c r="Q8710" s="24" t="s">
        <v>21</v>
      </c>
      <c r="R8710" s="24" t="s">
        <v>21</v>
      </c>
      <c r="S8710" s="24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5">
        <v>0</v>
      </c>
      <c r="E8711" s="5">
        <v>3</v>
      </c>
      <c r="F8711" s="5" t="s">
        <v>9</v>
      </c>
      <c r="G8711" s="15" t="s">
        <v>8</v>
      </c>
      <c r="H8711" s="24">
        <v>1.000000003259629</v>
      </c>
      <c r="I8711" s="24">
        <v>1.000000003259629</v>
      </c>
      <c r="J8711" s="24" t="s">
        <v>21</v>
      </c>
      <c r="K8711" s="24" t="s">
        <v>21</v>
      </c>
      <c r="L8711" s="24" t="s">
        <v>21</v>
      </c>
      <c r="M8711" s="24" t="s">
        <v>21</v>
      </c>
      <c r="N8711" s="24" t="s">
        <v>21</v>
      </c>
      <c r="O8711" s="24" t="s">
        <v>21</v>
      </c>
      <c r="P8711" s="24" t="s">
        <v>21</v>
      </c>
      <c r="Q8711" s="24" t="s">
        <v>21</v>
      </c>
      <c r="R8711" s="24" t="s">
        <v>21</v>
      </c>
      <c r="S8711" s="24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5">
        <v>0</v>
      </c>
      <c r="E8712" s="5">
        <v>4</v>
      </c>
      <c r="F8712" s="5" t="s">
        <v>9</v>
      </c>
      <c r="G8712" s="15" t="s">
        <v>8</v>
      </c>
      <c r="H8712" s="24">
        <v>0</v>
      </c>
      <c r="I8712" s="24">
        <v>0</v>
      </c>
      <c r="J8712" s="24" t="s">
        <v>21</v>
      </c>
      <c r="K8712" s="24" t="s">
        <v>21</v>
      </c>
      <c r="L8712" s="24" t="s">
        <v>21</v>
      </c>
      <c r="M8712" s="24" t="s">
        <v>21</v>
      </c>
      <c r="N8712" s="24" t="s">
        <v>21</v>
      </c>
      <c r="O8712" s="24" t="s">
        <v>21</v>
      </c>
      <c r="P8712" s="24" t="s">
        <v>21</v>
      </c>
      <c r="Q8712" s="24" t="s">
        <v>21</v>
      </c>
      <c r="R8712" s="24" t="s">
        <v>21</v>
      </c>
      <c r="S8712" s="24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5">
        <v>0</v>
      </c>
      <c r="E8713" s="5">
        <v>4</v>
      </c>
      <c r="F8713" s="5" t="s">
        <v>9</v>
      </c>
      <c r="G8713" s="15" t="s">
        <v>8</v>
      </c>
      <c r="H8713" s="24">
        <v>1.000000003259629</v>
      </c>
      <c r="I8713" s="24">
        <v>1.000000003259629</v>
      </c>
      <c r="J8713" s="24" t="s">
        <v>21</v>
      </c>
      <c r="K8713" s="24" t="s">
        <v>21</v>
      </c>
      <c r="L8713" s="24" t="s">
        <v>21</v>
      </c>
      <c r="M8713" s="24" t="s">
        <v>21</v>
      </c>
      <c r="N8713" s="24" t="s">
        <v>21</v>
      </c>
      <c r="O8713" s="24" t="s">
        <v>21</v>
      </c>
      <c r="P8713" s="24" t="s">
        <v>21</v>
      </c>
      <c r="Q8713" s="24" t="s">
        <v>21</v>
      </c>
      <c r="R8713" s="24" t="s">
        <v>21</v>
      </c>
      <c r="S8713" s="24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5">
        <v>0</v>
      </c>
      <c r="E8714" s="5">
        <v>2</v>
      </c>
      <c r="F8714" s="5" t="s">
        <v>9</v>
      </c>
      <c r="G8714" s="15" t="s">
        <v>8</v>
      </c>
      <c r="H8714" s="24">
        <v>0</v>
      </c>
      <c r="I8714" s="24">
        <v>0</v>
      </c>
      <c r="J8714" s="24" t="s">
        <v>21</v>
      </c>
      <c r="K8714" s="24" t="s">
        <v>21</v>
      </c>
      <c r="L8714" s="24" t="s">
        <v>21</v>
      </c>
      <c r="M8714" s="24" t="s">
        <v>21</v>
      </c>
      <c r="N8714" s="24" t="s">
        <v>21</v>
      </c>
      <c r="O8714" s="24" t="s">
        <v>21</v>
      </c>
      <c r="P8714" s="24" t="s">
        <v>21</v>
      </c>
      <c r="Q8714" s="24" t="s">
        <v>21</v>
      </c>
      <c r="R8714" s="24" t="s">
        <v>21</v>
      </c>
      <c r="S8714" s="24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5">
        <v>0</v>
      </c>
      <c r="E8715" s="5">
        <v>2</v>
      </c>
      <c r="F8715" s="5" t="s">
        <v>9</v>
      </c>
      <c r="G8715" s="15" t="s">
        <v>8</v>
      </c>
      <c r="H8715" s="24">
        <v>0.99999999278225005</v>
      </c>
      <c r="I8715" s="24">
        <v>0.99999999278225005</v>
      </c>
      <c r="J8715" s="24" t="s">
        <v>21</v>
      </c>
      <c r="K8715" s="24" t="s">
        <v>21</v>
      </c>
      <c r="L8715" s="24" t="s">
        <v>21</v>
      </c>
      <c r="M8715" s="24" t="s">
        <v>21</v>
      </c>
      <c r="N8715" s="24" t="s">
        <v>21</v>
      </c>
      <c r="O8715" s="24" t="s">
        <v>21</v>
      </c>
      <c r="P8715" s="24" t="s">
        <v>21</v>
      </c>
      <c r="Q8715" s="24" t="s">
        <v>21</v>
      </c>
      <c r="R8715" s="24" t="s">
        <v>21</v>
      </c>
      <c r="S8715" s="24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5">
        <v>0</v>
      </c>
      <c r="E8716" s="5">
        <v>3</v>
      </c>
      <c r="F8716" s="5" t="s">
        <v>9</v>
      </c>
      <c r="G8716" s="15" t="s">
        <v>8</v>
      </c>
      <c r="H8716" s="24">
        <v>0</v>
      </c>
      <c r="I8716" s="24">
        <v>0</v>
      </c>
      <c r="J8716" s="24" t="s">
        <v>21</v>
      </c>
      <c r="K8716" s="24" t="s">
        <v>21</v>
      </c>
      <c r="L8716" s="24" t="s">
        <v>21</v>
      </c>
      <c r="M8716" s="24" t="s">
        <v>21</v>
      </c>
      <c r="N8716" s="24" t="s">
        <v>21</v>
      </c>
      <c r="O8716" s="24" t="s">
        <v>21</v>
      </c>
      <c r="P8716" s="24" t="s">
        <v>21</v>
      </c>
      <c r="Q8716" s="24" t="s">
        <v>21</v>
      </c>
      <c r="R8716" s="24" t="s">
        <v>21</v>
      </c>
      <c r="S8716" s="24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5">
        <v>0</v>
      </c>
      <c r="E8717" s="5">
        <v>4</v>
      </c>
      <c r="F8717" s="5" t="s">
        <v>9</v>
      </c>
      <c r="G8717" s="15" t="s">
        <v>8</v>
      </c>
      <c r="H8717" s="24">
        <v>1.000000003259629</v>
      </c>
      <c r="I8717" s="24">
        <v>1.000000003259629</v>
      </c>
      <c r="J8717" s="24" t="s">
        <v>21</v>
      </c>
      <c r="K8717" s="24" t="s">
        <v>21</v>
      </c>
      <c r="L8717" s="24" t="s">
        <v>21</v>
      </c>
      <c r="M8717" s="24" t="s">
        <v>21</v>
      </c>
      <c r="N8717" s="24" t="s">
        <v>21</v>
      </c>
      <c r="O8717" s="24" t="s">
        <v>21</v>
      </c>
      <c r="P8717" s="24" t="s">
        <v>21</v>
      </c>
      <c r="Q8717" s="24" t="s">
        <v>21</v>
      </c>
      <c r="R8717" s="24" t="s">
        <v>21</v>
      </c>
      <c r="S8717" s="24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5">
        <v>0</v>
      </c>
      <c r="E8718" s="5">
        <v>3</v>
      </c>
      <c r="F8718" s="5" t="s">
        <v>9</v>
      </c>
      <c r="G8718" s="15" t="s">
        <v>8</v>
      </c>
      <c r="H8718" s="24">
        <v>1.000000003259629</v>
      </c>
      <c r="I8718" s="24">
        <v>1.000000003259629</v>
      </c>
      <c r="J8718" s="24" t="s">
        <v>21</v>
      </c>
      <c r="K8718" s="24" t="s">
        <v>21</v>
      </c>
      <c r="L8718" s="24" t="s">
        <v>21</v>
      </c>
      <c r="M8718" s="24" t="s">
        <v>21</v>
      </c>
      <c r="N8718" s="24" t="s">
        <v>21</v>
      </c>
      <c r="O8718" s="24" t="s">
        <v>21</v>
      </c>
      <c r="P8718" s="24" t="s">
        <v>21</v>
      </c>
      <c r="Q8718" s="24" t="s">
        <v>21</v>
      </c>
      <c r="R8718" s="24" t="s">
        <v>21</v>
      </c>
      <c r="S8718" s="24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5">
        <v>0</v>
      </c>
      <c r="E8719" s="5">
        <v>4</v>
      </c>
      <c r="F8719" s="5" t="s">
        <v>9</v>
      </c>
      <c r="G8719" s="15" t="s">
        <v>8</v>
      </c>
      <c r="H8719" s="24">
        <v>0</v>
      </c>
      <c r="I8719" s="24">
        <v>0</v>
      </c>
      <c r="J8719" s="24" t="s">
        <v>21</v>
      </c>
      <c r="K8719" s="24" t="s">
        <v>21</v>
      </c>
      <c r="L8719" s="24" t="s">
        <v>21</v>
      </c>
      <c r="M8719" s="24" t="s">
        <v>21</v>
      </c>
      <c r="N8719" s="24" t="s">
        <v>21</v>
      </c>
      <c r="O8719" s="24" t="s">
        <v>21</v>
      </c>
      <c r="P8719" s="24" t="s">
        <v>21</v>
      </c>
      <c r="Q8719" s="24" t="s">
        <v>21</v>
      </c>
      <c r="R8719" s="24" t="s">
        <v>21</v>
      </c>
      <c r="S8719" s="24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5">
        <v>0</v>
      </c>
      <c r="E8720" s="5">
        <v>4</v>
      </c>
      <c r="F8720" s="5" t="s">
        <v>9</v>
      </c>
      <c r="G8720" s="15" t="s">
        <v>8</v>
      </c>
      <c r="H8720" s="24">
        <v>1.9999999960418791</v>
      </c>
      <c r="I8720" s="24">
        <v>1.9999999960418791</v>
      </c>
      <c r="J8720" s="24" t="s">
        <v>21</v>
      </c>
      <c r="K8720" s="24" t="s">
        <v>21</v>
      </c>
      <c r="L8720" s="24" t="s">
        <v>21</v>
      </c>
      <c r="M8720" s="24" t="s">
        <v>21</v>
      </c>
      <c r="N8720" s="24" t="s">
        <v>21</v>
      </c>
      <c r="O8720" s="24" t="s">
        <v>21</v>
      </c>
      <c r="P8720" s="24" t="s">
        <v>21</v>
      </c>
      <c r="Q8720" s="24" t="s">
        <v>21</v>
      </c>
      <c r="R8720" s="24" t="s">
        <v>21</v>
      </c>
      <c r="S8720" s="24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5">
        <v>0</v>
      </c>
      <c r="E8721" s="5">
        <v>3</v>
      </c>
      <c r="F8721" s="5" t="s">
        <v>9</v>
      </c>
      <c r="G8721" s="15" t="s">
        <v>8</v>
      </c>
      <c r="H8721" s="24">
        <v>0</v>
      </c>
      <c r="I8721" s="24">
        <v>0</v>
      </c>
      <c r="J8721" s="24" t="s">
        <v>21</v>
      </c>
      <c r="K8721" s="24" t="s">
        <v>21</v>
      </c>
      <c r="L8721" s="24" t="s">
        <v>21</v>
      </c>
      <c r="M8721" s="24" t="s">
        <v>21</v>
      </c>
      <c r="N8721" s="24" t="s">
        <v>21</v>
      </c>
      <c r="O8721" s="24" t="s">
        <v>21</v>
      </c>
      <c r="P8721" s="24" t="s">
        <v>21</v>
      </c>
      <c r="Q8721" s="24" t="s">
        <v>21</v>
      </c>
      <c r="R8721" s="24" t="s">
        <v>21</v>
      </c>
      <c r="S8721" s="24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7">
        <v>0</v>
      </c>
      <c r="E8722" s="7">
        <v>5</v>
      </c>
      <c r="F8722" s="7" t="s">
        <v>9</v>
      </c>
      <c r="G8722" s="16" t="s">
        <v>8</v>
      </c>
      <c r="H8722" s="25">
        <v>1.000000003259629</v>
      </c>
      <c r="I8722" s="25">
        <v>1.000000003259629</v>
      </c>
      <c r="J8722" s="25" t="s">
        <v>21</v>
      </c>
      <c r="K8722" s="25" t="s">
        <v>21</v>
      </c>
      <c r="L8722" s="25" t="s">
        <v>21</v>
      </c>
      <c r="M8722" s="25" t="s">
        <v>21</v>
      </c>
      <c r="N8722" s="25" t="s">
        <v>21</v>
      </c>
      <c r="O8722" s="25" t="s">
        <v>21</v>
      </c>
      <c r="P8722" s="25" t="s">
        <v>21</v>
      </c>
      <c r="Q8722" s="25" t="s">
        <v>21</v>
      </c>
      <c r="R8722" s="25" t="s">
        <v>21</v>
      </c>
      <c r="S8722" s="25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5">
        <v>0</v>
      </c>
      <c r="E8723" s="5">
        <v>1</v>
      </c>
      <c r="F8723" s="5" t="s">
        <v>9</v>
      </c>
      <c r="G8723" s="15" t="s">
        <v>8</v>
      </c>
      <c r="H8723" s="24">
        <v>778.00000000046566</v>
      </c>
      <c r="I8723" s="24">
        <v>778.00000000046566</v>
      </c>
      <c r="J8723" s="24" t="s">
        <v>21</v>
      </c>
      <c r="K8723" s="24" t="s">
        <v>21</v>
      </c>
      <c r="L8723" s="24" t="s">
        <v>21</v>
      </c>
      <c r="M8723" s="24" t="s">
        <v>21</v>
      </c>
      <c r="N8723" s="24" t="s">
        <v>21</v>
      </c>
      <c r="O8723" s="24" t="s">
        <v>21</v>
      </c>
      <c r="P8723" s="24" t="s">
        <v>21</v>
      </c>
      <c r="Q8723" s="24" t="s">
        <v>21</v>
      </c>
      <c r="R8723" s="24" t="s">
        <v>21</v>
      </c>
      <c r="S8723" s="24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5">
        <v>0</v>
      </c>
      <c r="E8724" s="5">
        <v>2</v>
      </c>
      <c r="F8724" s="5" t="s">
        <v>9</v>
      </c>
      <c r="G8724" s="15" t="s">
        <v>8</v>
      </c>
      <c r="H8724" s="24">
        <v>0.99999999278225005</v>
      </c>
      <c r="I8724" s="24">
        <v>0.99999999278225005</v>
      </c>
      <c r="J8724" s="24" t="s">
        <v>21</v>
      </c>
      <c r="K8724" s="24" t="s">
        <v>21</v>
      </c>
      <c r="L8724" s="24" t="s">
        <v>21</v>
      </c>
      <c r="M8724" s="24" t="s">
        <v>21</v>
      </c>
      <c r="N8724" s="24" t="s">
        <v>21</v>
      </c>
      <c r="O8724" s="24" t="s">
        <v>21</v>
      </c>
      <c r="P8724" s="24" t="s">
        <v>21</v>
      </c>
      <c r="Q8724" s="24" t="s">
        <v>21</v>
      </c>
      <c r="R8724" s="24" t="s">
        <v>21</v>
      </c>
      <c r="S8724" s="24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5">
        <v>0</v>
      </c>
      <c r="E8725" s="5">
        <v>3</v>
      </c>
      <c r="F8725" s="5" t="s">
        <v>9</v>
      </c>
      <c r="G8725" s="15" t="s">
        <v>8</v>
      </c>
      <c r="H8725" s="24">
        <v>0</v>
      </c>
      <c r="I8725" s="24">
        <v>0</v>
      </c>
      <c r="J8725" s="24" t="s">
        <v>21</v>
      </c>
      <c r="K8725" s="24" t="s">
        <v>21</v>
      </c>
      <c r="L8725" s="24" t="s">
        <v>21</v>
      </c>
      <c r="M8725" s="24" t="s">
        <v>21</v>
      </c>
      <c r="N8725" s="24" t="s">
        <v>21</v>
      </c>
      <c r="O8725" s="24" t="s">
        <v>21</v>
      </c>
      <c r="P8725" s="24" t="s">
        <v>21</v>
      </c>
      <c r="Q8725" s="24" t="s">
        <v>21</v>
      </c>
      <c r="R8725" s="24" t="s">
        <v>21</v>
      </c>
      <c r="S8725" s="24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5">
        <v>0</v>
      </c>
      <c r="E8726" s="5">
        <v>3</v>
      </c>
      <c r="F8726" s="5" t="s">
        <v>9</v>
      </c>
      <c r="G8726" s="15" t="s">
        <v>8</v>
      </c>
      <c r="H8726" s="24">
        <v>1.000000003259629</v>
      </c>
      <c r="I8726" s="24">
        <v>1.000000003259629</v>
      </c>
      <c r="J8726" s="24" t="s">
        <v>21</v>
      </c>
      <c r="K8726" s="24" t="s">
        <v>21</v>
      </c>
      <c r="L8726" s="24" t="s">
        <v>21</v>
      </c>
      <c r="M8726" s="24" t="s">
        <v>21</v>
      </c>
      <c r="N8726" s="24" t="s">
        <v>21</v>
      </c>
      <c r="O8726" s="24" t="s">
        <v>21</v>
      </c>
      <c r="P8726" s="24" t="s">
        <v>21</v>
      </c>
      <c r="Q8726" s="24" t="s">
        <v>21</v>
      </c>
      <c r="R8726" s="24" t="s">
        <v>21</v>
      </c>
      <c r="S8726" s="24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5">
        <v>0</v>
      </c>
      <c r="E8727" s="5">
        <v>2</v>
      </c>
      <c r="F8727" s="5" t="s">
        <v>9</v>
      </c>
      <c r="G8727" s="15" t="s">
        <v>8</v>
      </c>
      <c r="H8727" s="24">
        <v>0</v>
      </c>
      <c r="I8727" s="24">
        <v>0</v>
      </c>
      <c r="J8727" s="24" t="s">
        <v>21</v>
      </c>
      <c r="K8727" s="24" t="s">
        <v>21</v>
      </c>
      <c r="L8727" s="24" t="s">
        <v>21</v>
      </c>
      <c r="M8727" s="24" t="s">
        <v>21</v>
      </c>
      <c r="N8727" s="24" t="s">
        <v>21</v>
      </c>
      <c r="O8727" s="24" t="s">
        <v>21</v>
      </c>
      <c r="P8727" s="24" t="s">
        <v>21</v>
      </c>
      <c r="Q8727" s="24" t="s">
        <v>21</v>
      </c>
      <c r="R8727" s="24" t="s">
        <v>21</v>
      </c>
      <c r="S8727" s="24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5">
        <v>0</v>
      </c>
      <c r="E8728" s="5">
        <v>2</v>
      </c>
      <c r="F8728" s="5" t="s">
        <v>9</v>
      </c>
      <c r="G8728" s="15" t="s">
        <v>8</v>
      </c>
      <c r="H8728" s="24">
        <v>1.000000003259629</v>
      </c>
      <c r="I8728" s="24">
        <v>1.000000003259629</v>
      </c>
      <c r="J8728" s="24" t="s">
        <v>21</v>
      </c>
      <c r="K8728" s="24" t="s">
        <v>21</v>
      </c>
      <c r="L8728" s="24" t="s">
        <v>21</v>
      </c>
      <c r="M8728" s="24" t="s">
        <v>21</v>
      </c>
      <c r="N8728" s="24" t="s">
        <v>21</v>
      </c>
      <c r="O8728" s="24" t="s">
        <v>21</v>
      </c>
      <c r="P8728" s="24" t="s">
        <v>21</v>
      </c>
      <c r="Q8728" s="24" t="s">
        <v>21</v>
      </c>
      <c r="R8728" s="24" t="s">
        <v>21</v>
      </c>
      <c r="S8728" s="24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5">
        <v>0</v>
      </c>
      <c r="E8729" s="5">
        <v>1</v>
      </c>
      <c r="F8729" s="5" t="s">
        <v>9</v>
      </c>
      <c r="G8729" s="15" t="s">
        <v>8</v>
      </c>
      <c r="H8729" s="24">
        <v>1.9999999960418791</v>
      </c>
      <c r="I8729" s="24">
        <v>1.9999999960418791</v>
      </c>
      <c r="J8729" s="24" t="s">
        <v>21</v>
      </c>
      <c r="K8729" s="24" t="s">
        <v>21</v>
      </c>
      <c r="L8729" s="24" t="s">
        <v>21</v>
      </c>
      <c r="M8729" s="24" t="s">
        <v>21</v>
      </c>
      <c r="N8729" s="24" t="s">
        <v>21</v>
      </c>
      <c r="O8729" s="24" t="s">
        <v>21</v>
      </c>
      <c r="P8729" s="24" t="s">
        <v>21</v>
      </c>
      <c r="Q8729" s="24" t="s">
        <v>21</v>
      </c>
      <c r="R8729" s="24" t="s">
        <v>21</v>
      </c>
      <c r="S8729" s="24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5">
        <v>0</v>
      </c>
      <c r="E8730" s="5">
        <v>2</v>
      </c>
      <c r="F8730" s="5" t="s">
        <v>9</v>
      </c>
      <c r="G8730" s="15" t="s">
        <v>8</v>
      </c>
      <c r="H8730" s="24">
        <v>1.000000003259629</v>
      </c>
      <c r="I8730" s="24">
        <v>1.000000003259629</v>
      </c>
      <c r="J8730" s="24" t="s">
        <v>21</v>
      </c>
      <c r="K8730" s="24" t="s">
        <v>21</v>
      </c>
      <c r="L8730" s="24" t="s">
        <v>21</v>
      </c>
      <c r="M8730" s="24" t="s">
        <v>21</v>
      </c>
      <c r="N8730" s="24" t="s">
        <v>21</v>
      </c>
      <c r="O8730" s="24" t="s">
        <v>21</v>
      </c>
      <c r="P8730" s="24" t="s">
        <v>21</v>
      </c>
      <c r="Q8730" s="24" t="s">
        <v>21</v>
      </c>
      <c r="R8730" s="24" t="s">
        <v>21</v>
      </c>
      <c r="S8730" s="24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5">
        <v>0</v>
      </c>
      <c r="E8731" s="5">
        <v>3</v>
      </c>
      <c r="F8731" s="5" t="s">
        <v>9</v>
      </c>
      <c r="G8731" s="15" t="s">
        <v>8</v>
      </c>
      <c r="H8731" s="24">
        <v>0</v>
      </c>
      <c r="I8731" s="24">
        <v>0</v>
      </c>
      <c r="J8731" s="24" t="s">
        <v>21</v>
      </c>
      <c r="K8731" s="24" t="s">
        <v>21</v>
      </c>
      <c r="L8731" s="24" t="s">
        <v>21</v>
      </c>
      <c r="M8731" s="24" t="s">
        <v>21</v>
      </c>
      <c r="N8731" s="24" t="s">
        <v>21</v>
      </c>
      <c r="O8731" s="24" t="s">
        <v>21</v>
      </c>
      <c r="P8731" s="24" t="s">
        <v>21</v>
      </c>
      <c r="Q8731" s="24" t="s">
        <v>21</v>
      </c>
      <c r="R8731" s="24" t="s">
        <v>21</v>
      </c>
      <c r="S8731" s="24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5">
        <v>0</v>
      </c>
      <c r="E8732" s="5">
        <v>3</v>
      </c>
      <c r="F8732" s="5" t="s">
        <v>9</v>
      </c>
      <c r="G8732" s="15" t="s">
        <v>8</v>
      </c>
      <c r="H8732" s="24">
        <v>0.99999999278225005</v>
      </c>
      <c r="I8732" s="24">
        <v>0.99999999278225005</v>
      </c>
      <c r="J8732" s="24" t="s">
        <v>21</v>
      </c>
      <c r="K8732" s="24" t="s">
        <v>21</v>
      </c>
      <c r="L8732" s="24" t="s">
        <v>21</v>
      </c>
      <c r="M8732" s="24" t="s">
        <v>21</v>
      </c>
      <c r="N8732" s="24" t="s">
        <v>21</v>
      </c>
      <c r="O8732" s="24" t="s">
        <v>21</v>
      </c>
      <c r="P8732" s="24" t="s">
        <v>21</v>
      </c>
      <c r="Q8732" s="24" t="s">
        <v>21</v>
      </c>
      <c r="R8732" s="24" t="s">
        <v>21</v>
      </c>
      <c r="S8732" s="24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5">
        <v>0</v>
      </c>
      <c r="E8733" s="5">
        <v>3</v>
      </c>
      <c r="F8733" s="5" t="s">
        <v>9</v>
      </c>
      <c r="G8733" s="15" t="s">
        <v>8</v>
      </c>
      <c r="H8733" s="24">
        <v>0</v>
      </c>
      <c r="I8733" s="24">
        <v>0</v>
      </c>
      <c r="J8733" s="24" t="s">
        <v>21</v>
      </c>
      <c r="K8733" s="24" t="s">
        <v>21</v>
      </c>
      <c r="L8733" s="24" t="s">
        <v>21</v>
      </c>
      <c r="M8733" s="24" t="s">
        <v>21</v>
      </c>
      <c r="N8733" s="24" t="s">
        <v>21</v>
      </c>
      <c r="O8733" s="24" t="s">
        <v>21</v>
      </c>
      <c r="P8733" s="24" t="s">
        <v>21</v>
      </c>
      <c r="Q8733" s="24" t="s">
        <v>21</v>
      </c>
      <c r="R8733" s="24" t="s">
        <v>21</v>
      </c>
      <c r="S8733" s="24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5">
        <v>0</v>
      </c>
      <c r="E8734" s="5">
        <v>1</v>
      </c>
      <c r="F8734" s="5" t="s">
        <v>9</v>
      </c>
      <c r="G8734" s="15" t="s">
        <v>8</v>
      </c>
      <c r="H8734" s="24">
        <v>1.000000003259629</v>
      </c>
      <c r="I8734" s="24">
        <v>1.000000003259629</v>
      </c>
      <c r="J8734" s="24" t="s">
        <v>21</v>
      </c>
      <c r="K8734" s="24" t="s">
        <v>21</v>
      </c>
      <c r="L8734" s="24" t="s">
        <v>21</v>
      </c>
      <c r="M8734" s="24" t="s">
        <v>21</v>
      </c>
      <c r="N8734" s="24" t="s">
        <v>21</v>
      </c>
      <c r="O8734" s="24" t="s">
        <v>21</v>
      </c>
      <c r="P8734" s="24" t="s">
        <v>21</v>
      </c>
      <c r="Q8734" s="24" t="s">
        <v>21</v>
      </c>
      <c r="R8734" s="24" t="s">
        <v>21</v>
      </c>
      <c r="S8734" s="24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5">
        <v>0</v>
      </c>
      <c r="E8735" s="5">
        <v>2</v>
      </c>
      <c r="F8735" s="5" t="s">
        <v>9</v>
      </c>
      <c r="G8735" s="15" t="s">
        <v>8</v>
      </c>
      <c r="H8735" s="24">
        <v>2.000000006519258</v>
      </c>
      <c r="I8735" s="24">
        <v>2.000000006519258</v>
      </c>
      <c r="J8735" s="24" t="s">
        <v>21</v>
      </c>
      <c r="K8735" s="24" t="s">
        <v>21</v>
      </c>
      <c r="L8735" s="24" t="s">
        <v>21</v>
      </c>
      <c r="M8735" s="24" t="s">
        <v>21</v>
      </c>
      <c r="N8735" s="24" t="s">
        <v>21</v>
      </c>
      <c r="O8735" s="24" t="s">
        <v>21</v>
      </c>
      <c r="P8735" s="24" t="s">
        <v>21</v>
      </c>
      <c r="Q8735" s="24" t="s">
        <v>21</v>
      </c>
      <c r="R8735" s="24" t="s">
        <v>21</v>
      </c>
      <c r="S8735" s="24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5">
        <v>0</v>
      </c>
      <c r="E8736" s="5">
        <v>1</v>
      </c>
      <c r="F8736" s="5" t="s">
        <v>9</v>
      </c>
      <c r="G8736" s="15" t="s">
        <v>8</v>
      </c>
      <c r="H8736" s="24">
        <v>0.99999999278225005</v>
      </c>
      <c r="I8736" s="24">
        <v>0.99999999278225005</v>
      </c>
      <c r="J8736" s="24" t="s">
        <v>21</v>
      </c>
      <c r="K8736" s="24" t="s">
        <v>21</v>
      </c>
      <c r="L8736" s="24" t="s">
        <v>21</v>
      </c>
      <c r="M8736" s="24" t="s">
        <v>21</v>
      </c>
      <c r="N8736" s="24" t="s">
        <v>21</v>
      </c>
      <c r="O8736" s="24" t="s">
        <v>21</v>
      </c>
      <c r="P8736" s="24" t="s">
        <v>21</v>
      </c>
      <c r="Q8736" s="24" t="s">
        <v>21</v>
      </c>
      <c r="R8736" s="24" t="s">
        <v>21</v>
      </c>
      <c r="S8736" s="24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5">
        <v>3</v>
      </c>
      <c r="E8737" s="5">
        <v>1</v>
      </c>
      <c r="F8737" s="5" t="s">
        <v>9</v>
      </c>
      <c r="G8737" s="15" t="s">
        <v>8</v>
      </c>
      <c r="H8737" s="24">
        <v>31.000000006752089</v>
      </c>
      <c r="I8737" s="24" t="s">
        <v>21</v>
      </c>
      <c r="J8737" s="24" t="s">
        <v>21</v>
      </c>
      <c r="K8737" s="24" t="s">
        <v>21</v>
      </c>
      <c r="L8737" s="24">
        <v>854.00000000721775</v>
      </c>
      <c r="M8737" s="24" t="s">
        <v>21</v>
      </c>
      <c r="N8737" s="24" t="s">
        <v>21</v>
      </c>
      <c r="O8737" s="24" t="s">
        <v>21</v>
      </c>
      <c r="P8737" s="24" t="s">
        <v>21</v>
      </c>
      <c r="Q8737" s="24" t="s">
        <v>21</v>
      </c>
      <c r="R8737" s="24" t="s">
        <v>21</v>
      </c>
      <c r="S8737" s="24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5">
        <v>6</v>
      </c>
      <c r="E8738" s="5">
        <v>0</v>
      </c>
      <c r="F8738" s="5" t="s">
        <v>9</v>
      </c>
      <c r="G8738" s="15" t="s">
        <v>8</v>
      </c>
      <c r="H8738" s="24">
        <v>0</v>
      </c>
      <c r="I8738" s="24" t="s">
        <v>21</v>
      </c>
      <c r="J8738" s="24" t="s">
        <v>21</v>
      </c>
      <c r="K8738" s="24" t="s">
        <v>21</v>
      </c>
      <c r="L8738" s="24">
        <v>0</v>
      </c>
      <c r="M8738" s="24" t="s">
        <v>21</v>
      </c>
      <c r="N8738" s="24" t="s">
        <v>21</v>
      </c>
      <c r="O8738" s="24" t="s">
        <v>21</v>
      </c>
      <c r="P8738" s="24" t="s">
        <v>21</v>
      </c>
      <c r="Q8738" s="24" t="s">
        <v>21</v>
      </c>
      <c r="R8738" s="24" t="s">
        <v>21</v>
      </c>
      <c r="S8738" s="24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5">
        <v>0</v>
      </c>
      <c r="E8739" s="5">
        <v>4</v>
      </c>
      <c r="F8739" s="5" t="s">
        <v>9</v>
      </c>
      <c r="G8739" s="15" t="s">
        <v>8</v>
      </c>
      <c r="H8739" s="24">
        <v>302.99999999231659</v>
      </c>
      <c r="I8739" s="24">
        <v>333.99999999906868</v>
      </c>
      <c r="J8739" s="24" t="s">
        <v>21</v>
      </c>
      <c r="K8739" s="24" t="s">
        <v>21</v>
      </c>
      <c r="L8739" s="24" t="s">
        <v>21</v>
      </c>
      <c r="M8739" s="24" t="s">
        <v>21</v>
      </c>
      <c r="N8739" s="24" t="s">
        <v>21</v>
      </c>
      <c r="O8739" s="24" t="s">
        <v>21</v>
      </c>
      <c r="P8739" s="24" t="s">
        <v>21</v>
      </c>
      <c r="Q8739" s="24" t="s">
        <v>21</v>
      </c>
      <c r="R8739" s="24" t="s">
        <v>21</v>
      </c>
      <c r="S8739" s="24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5">
        <v>0</v>
      </c>
      <c r="E8740" s="5">
        <v>4</v>
      </c>
      <c r="F8740" s="5" t="s">
        <v>9</v>
      </c>
      <c r="G8740" s="15" t="s">
        <v>8</v>
      </c>
      <c r="H8740" s="24">
        <v>1.000000003259629</v>
      </c>
      <c r="I8740" s="24">
        <v>1.000000003259629</v>
      </c>
      <c r="J8740" s="24" t="s">
        <v>21</v>
      </c>
      <c r="K8740" s="24" t="s">
        <v>21</v>
      </c>
      <c r="L8740" s="24" t="s">
        <v>21</v>
      </c>
      <c r="M8740" s="24" t="s">
        <v>21</v>
      </c>
      <c r="N8740" s="24" t="s">
        <v>21</v>
      </c>
      <c r="O8740" s="24" t="s">
        <v>21</v>
      </c>
      <c r="P8740" s="24" t="s">
        <v>21</v>
      </c>
      <c r="Q8740" s="24" t="s">
        <v>21</v>
      </c>
      <c r="R8740" s="24" t="s">
        <v>21</v>
      </c>
      <c r="S8740" s="24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5">
        <v>0</v>
      </c>
      <c r="E8741" s="5">
        <v>4</v>
      </c>
      <c r="F8741" s="5" t="s">
        <v>9</v>
      </c>
      <c r="G8741" s="15" t="s">
        <v>8</v>
      </c>
      <c r="H8741" s="24">
        <v>1.000000003259629</v>
      </c>
      <c r="I8741" s="24">
        <v>1.000000003259629</v>
      </c>
      <c r="J8741" s="24" t="s">
        <v>21</v>
      </c>
      <c r="K8741" s="24" t="s">
        <v>21</v>
      </c>
      <c r="L8741" s="24" t="s">
        <v>21</v>
      </c>
      <c r="M8741" s="24" t="s">
        <v>21</v>
      </c>
      <c r="N8741" s="24" t="s">
        <v>21</v>
      </c>
      <c r="O8741" s="24" t="s">
        <v>21</v>
      </c>
      <c r="P8741" s="24" t="s">
        <v>21</v>
      </c>
      <c r="Q8741" s="24" t="s">
        <v>21</v>
      </c>
      <c r="R8741" s="24" t="s">
        <v>21</v>
      </c>
      <c r="S8741" s="24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5">
        <v>0</v>
      </c>
      <c r="E8742" s="5">
        <v>4</v>
      </c>
      <c r="F8742" s="5" t="s">
        <v>9</v>
      </c>
      <c r="G8742" s="15" t="s">
        <v>8</v>
      </c>
      <c r="H8742" s="24">
        <v>0</v>
      </c>
      <c r="I8742" s="24">
        <v>0</v>
      </c>
      <c r="J8742" s="24" t="s">
        <v>21</v>
      </c>
      <c r="K8742" s="24" t="s">
        <v>21</v>
      </c>
      <c r="L8742" s="24" t="s">
        <v>21</v>
      </c>
      <c r="M8742" s="24" t="s">
        <v>21</v>
      </c>
      <c r="N8742" s="24" t="s">
        <v>21</v>
      </c>
      <c r="O8742" s="24" t="s">
        <v>21</v>
      </c>
      <c r="P8742" s="24" t="s">
        <v>21</v>
      </c>
      <c r="Q8742" s="24" t="s">
        <v>21</v>
      </c>
      <c r="R8742" s="24" t="s">
        <v>21</v>
      </c>
      <c r="S8742" s="24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5">
        <v>0</v>
      </c>
      <c r="E8743" s="5">
        <v>3</v>
      </c>
      <c r="F8743" s="5" t="s">
        <v>9</v>
      </c>
      <c r="G8743" s="15" t="s">
        <v>8</v>
      </c>
      <c r="H8743" s="24">
        <v>0.99999999278225005</v>
      </c>
      <c r="I8743" s="24">
        <v>0.99999999278225005</v>
      </c>
      <c r="J8743" s="24" t="s">
        <v>21</v>
      </c>
      <c r="K8743" s="24" t="s">
        <v>21</v>
      </c>
      <c r="L8743" s="24" t="s">
        <v>21</v>
      </c>
      <c r="M8743" s="24" t="s">
        <v>21</v>
      </c>
      <c r="N8743" s="24" t="s">
        <v>21</v>
      </c>
      <c r="O8743" s="24" t="s">
        <v>21</v>
      </c>
      <c r="P8743" s="24" t="s">
        <v>21</v>
      </c>
      <c r="Q8743" s="24" t="s">
        <v>21</v>
      </c>
      <c r="R8743" s="24" t="s">
        <v>21</v>
      </c>
      <c r="S8743" s="24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5">
        <v>0</v>
      </c>
      <c r="E8744" s="5">
        <v>3</v>
      </c>
      <c r="F8744" s="5" t="s">
        <v>9</v>
      </c>
      <c r="G8744" s="15" t="s">
        <v>8</v>
      </c>
      <c r="H8744" s="24">
        <v>0</v>
      </c>
      <c r="I8744" s="24">
        <v>0</v>
      </c>
      <c r="J8744" s="24" t="s">
        <v>21</v>
      </c>
      <c r="K8744" s="24" t="s">
        <v>21</v>
      </c>
      <c r="L8744" s="24" t="s">
        <v>21</v>
      </c>
      <c r="M8744" s="24" t="s">
        <v>21</v>
      </c>
      <c r="N8744" s="24" t="s">
        <v>21</v>
      </c>
      <c r="O8744" s="24" t="s">
        <v>21</v>
      </c>
      <c r="P8744" s="24" t="s">
        <v>21</v>
      </c>
      <c r="Q8744" s="24" t="s">
        <v>21</v>
      </c>
      <c r="R8744" s="24" t="s">
        <v>21</v>
      </c>
      <c r="S8744" s="24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5">
        <v>0</v>
      </c>
      <c r="E8745" s="5">
        <v>2</v>
      </c>
      <c r="F8745" s="5" t="s">
        <v>9</v>
      </c>
      <c r="G8745" s="15" t="s">
        <v>8</v>
      </c>
      <c r="H8745" s="24">
        <v>1.000000003259629</v>
      </c>
      <c r="I8745" s="24">
        <v>1.000000003259629</v>
      </c>
      <c r="J8745" s="24" t="s">
        <v>21</v>
      </c>
      <c r="K8745" s="24" t="s">
        <v>21</v>
      </c>
      <c r="L8745" s="24" t="s">
        <v>21</v>
      </c>
      <c r="M8745" s="24" t="s">
        <v>21</v>
      </c>
      <c r="N8745" s="24" t="s">
        <v>21</v>
      </c>
      <c r="O8745" s="24" t="s">
        <v>21</v>
      </c>
      <c r="P8745" s="24" t="s">
        <v>21</v>
      </c>
      <c r="Q8745" s="24" t="s">
        <v>21</v>
      </c>
      <c r="R8745" s="24" t="s">
        <v>21</v>
      </c>
      <c r="S8745" s="24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5">
        <v>0</v>
      </c>
      <c r="E8746" s="5">
        <v>4</v>
      </c>
      <c r="F8746" s="5" t="s">
        <v>9</v>
      </c>
      <c r="G8746" s="15" t="s">
        <v>8</v>
      </c>
      <c r="H8746" s="24">
        <v>0</v>
      </c>
      <c r="I8746" s="24">
        <v>0</v>
      </c>
      <c r="J8746" s="24" t="s">
        <v>21</v>
      </c>
      <c r="K8746" s="24" t="s">
        <v>21</v>
      </c>
      <c r="L8746" s="24" t="s">
        <v>21</v>
      </c>
      <c r="M8746" s="24" t="s">
        <v>21</v>
      </c>
      <c r="N8746" s="24" t="s">
        <v>21</v>
      </c>
      <c r="O8746" s="24" t="s">
        <v>21</v>
      </c>
      <c r="P8746" s="24" t="s">
        <v>21</v>
      </c>
      <c r="Q8746" s="24" t="s">
        <v>21</v>
      </c>
      <c r="R8746" s="24" t="s">
        <v>21</v>
      </c>
      <c r="S8746" s="24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5">
        <v>0</v>
      </c>
      <c r="E8747" s="5">
        <v>2</v>
      </c>
      <c r="F8747" s="5" t="s">
        <v>9</v>
      </c>
      <c r="G8747" s="15" t="s">
        <v>8</v>
      </c>
      <c r="H8747" s="24">
        <v>1.9999999960418791</v>
      </c>
      <c r="I8747" s="24">
        <v>1.9999999960418791</v>
      </c>
      <c r="J8747" s="24" t="s">
        <v>21</v>
      </c>
      <c r="K8747" s="24" t="s">
        <v>21</v>
      </c>
      <c r="L8747" s="24" t="s">
        <v>21</v>
      </c>
      <c r="M8747" s="24" t="s">
        <v>21</v>
      </c>
      <c r="N8747" s="24" t="s">
        <v>21</v>
      </c>
      <c r="O8747" s="24" t="s">
        <v>21</v>
      </c>
      <c r="P8747" s="24" t="s">
        <v>21</v>
      </c>
      <c r="Q8747" s="24" t="s">
        <v>21</v>
      </c>
      <c r="R8747" s="24" t="s">
        <v>21</v>
      </c>
      <c r="S8747" s="24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5">
        <v>0</v>
      </c>
      <c r="E8748" s="5">
        <v>1</v>
      </c>
      <c r="F8748" s="5" t="s">
        <v>9</v>
      </c>
      <c r="G8748" s="15" t="s">
        <v>8</v>
      </c>
      <c r="H8748" s="24">
        <v>0</v>
      </c>
      <c r="I8748" s="24">
        <v>0</v>
      </c>
      <c r="J8748" s="24" t="s">
        <v>21</v>
      </c>
      <c r="K8748" s="24" t="s">
        <v>21</v>
      </c>
      <c r="L8748" s="24" t="s">
        <v>21</v>
      </c>
      <c r="M8748" s="24" t="s">
        <v>21</v>
      </c>
      <c r="N8748" s="24" t="s">
        <v>21</v>
      </c>
      <c r="O8748" s="24" t="s">
        <v>21</v>
      </c>
      <c r="P8748" s="24" t="s">
        <v>21</v>
      </c>
      <c r="Q8748" s="24" t="s">
        <v>21</v>
      </c>
      <c r="R8748" s="24" t="s">
        <v>21</v>
      </c>
      <c r="S8748" s="24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5">
        <v>5</v>
      </c>
      <c r="E8749" s="5">
        <v>2</v>
      </c>
      <c r="F8749" s="5" t="s">
        <v>9</v>
      </c>
      <c r="G8749" s="15" t="s">
        <v>8</v>
      </c>
      <c r="H8749" s="24">
        <v>121.99999999953434</v>
      </c>
      <c r="I8749" s="24">
        <v>121.99999999953434</v>
      </c>
      <c r="J8749" s="24" t="s">
        <v>21</v>
      </c>
      <c r="K8749" s="24" t="s">
        <v>21</v>
      </c>
      <c r="L8749" s="24" t="s">
        <v>21</v>
      </c>
      <c r="M8749" s="24" t="s">
        <v>21</v>
      </c>
      <c r="N8749" s="24" t="s">
        <v>21</v>
      </c>
      <c r="O8749" s="24" t="s">
        <v>21</v>
      </c>
      <c r="P8749" s="24" t="s">
        <v>21</v>
      </c>
      <c r="Q8749" s="24" t="s">
        <v>21</v>
      </c>
      <c r="R8749" s="24" t="s">
        <v>21</v>
      </c>
      <c r="S8749" s="24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5">
        <v>10</v>
      </c>
      <c r="E8750" s="5">
        <v>0</v>
      </c>
      <c r="F8750" s="5" t="s">
        <v>9</v>
      </c>
      <c r="G8750" s="15" t="s">
        <v>8</v>
      </c>
      <c r="H8750" s="24">
        <v>1.000000003259629</v>
      </c>
      <c r="I8750" s="24">
        <v>1.000000003259629</v>
      </c>
      <c r="J8750" s="24" t="s">
        <v>21</v>
      </c>
      <c r="K8750" s="24" t="s">
        <v>21</v>
      </c>
      <c r="L8750" s="24" t="s">
        <v>21</v>
      </c>
      <c r="M8750" s="24" t="s">
        <v>21</v>
      </c>
      <c r="N8750" s="24" t="s">
        <v>21</v>
      </c>
      <c r="O8750" s="24" t="s">
        <v>21</v>
      </c>
      <c r="P8750" s="24" t="s">
        <v>21</v>
      </c>
      <c r="Q8750" s="24" t="s">
        <v>21</v>
      </c>
      <c r="R8750" s="24" t="s">
        <v>21</v>
      </c>
      <c r="S8750" s="24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5">
        <v>6</v>
      </c>
      <c r="E8751" s="5">
        <v>4</v>
      </c>
      <c r="F8751" s="5" t="s">
        <v>9</v>
      </c>
      <c r="G8751" s="15" t="s">
        <v>8</v>
      </c>
      <c r="H8751" s="24">
        <v>1.000000003259629</v>
      </c>
      <c r="I8751" s="24">
        <v>1.000000003259629</v>
      </c>
      <c r="J8751" s="24" t="s">
        <v>21</v>
      </c>
      <c r="K8751" s="24" t="s">
        <v>21</v>
      </c>
      <c r="L8751" s="24" t="s">
        <v>21</v>
      </c>
      <c r="M8751" s="24" t="s">
        <v>21</v>
      </c>
      <c r="N8751" s="24" t="s">
        <v>21</v>
      </c>
      <c r="O8751" s="24" t="s">
        <v>21</v>
      </c>
      <c r="P8751" s="24" t="s">
        <v>21</v>
      </c>
      <c r="Q8751" s="24" t="s">
        <v>21</v>
      </c>
      <c r="R8751" s="24" t="s">
        <v>21</v>
      </c>
      <c r="S8751" s="24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5">
        <v>15</v>
      </c>
      <c r="E8752" s="5">
        <v>0</v>
      </c>
      <c r="F8752" s="5" t="s">
        <v>9</v>
      </c>
      <c r="G8752" s="15" t="s">
        <v>8</v>
      </c>
      <c r="H8752" s="24">
        <v>0</v>
      </c>
      <c r="I8752" s="24">
        <v>0</v>
      </c>
      <c r="J8752" s="24" t="s">
        <v>21</v>
      </c>
      <c r="K8752" s="24" t="s">
        <v>21</v>
      </c>
      <c r="L8752" s="24" t="s">
        <v>21</v>
      </c>
      <c r="M8752" s="24" t="s">
        <v>21</v>
      </c>
      <c r="N8752" s="24" t="s">
        <v>21</v>
      </c>
      <c r="O8752" s="24" t="s">
        <v>21</v>
      </c>
      <c r="P8752" s="24" t="s">
        <v>21</v>
      </c>
      <c r="Q8752" s="24" t="s">
        <v>21</v>
      </c>
      <c r="R8752" s="24" t="s">
        <v>21</v>
      </c>
      <c r="S8752" s="24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5">
        <v>9</v>
      </c>
      <c r="E8753" s="5">
        <v>1</v>
      </c>
      <c r="F8753" s="5" t="s">
        <v>9</v>
      </c>
      <c r="G8753" s="15" t="s">
        <v>8</v>
      </c>
      <c r="H8753" s="24">
        <v>1.000000003259629</v>
      </c>
      <c r="I8753" s="24">
        <v>1.000000003259629</v>
      </c>
      <c r="J8753" s="24" t="s">
        <v>21</v>
      </c>
      <c r="K8753" s="24" t="s">
        <v>21</v>
      </c>
      <c r="L8753" s="24" t="s">
        <v>21</v>
      </c>
      <c r="M8753" s="24" t="s">
        <v>21</v>
      </c>
      <c r="N8753" s="24" t="s">
        <v>21</v>
      </c>
      <c r="O8753" s="24" t="s">
        <v>21</v>
      </c>
      <c r="P8753" s="24" t="s">
        <v>21</v>
      </c>
      <c r="Q8753" s="24" t="s">
        <v>21</v>
      </c>
      <c r="R8753" s="24" t="s">
        <v>21</v>
      </c>
      <c r="S8753" s="24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5">
        <v>0</v>
      </c>
      <c r="E8754" s="5">
        <v>2</v>
      </c>
      <c r="F8754" s="5" t="s">
        <v>9</v>
      </c>
      <c r="G8754" s="15" t="s">
        <v>8</v>
      </c>
      <c r="H8754" s="24">
        <v>0</v>
      </c>
      <c r="I8754" s="24">
        <v>0</v>
      </c>
      <c r="J8754" s="24" t="s">
        <v>21</v>
      </c>
      <c r="K8754" s="24" t="s">
        <v>21</v>
      </c>
      <c r="L8754" s="24" t="s">
        <v>21</v>
      </c>
      <c r="M8754" s="24" t="s">
        <v>21</v>
      </c>
      <c r="N8754" s="24" t="s">
        <v>21</v>
      </c>
      <c r="O8754" s="24" t="s">
        <v>21</v>
      </c>
      <c r="P8754" s="24" t="s">
        <v>21</v>
      </c>
      <c r="Q8754" s="24" t="s">
        <v>21</v>
      </c>
      <c r="R8754" s="24" t="s">
        <v>21</v>
      </c>
      <c r="S8754" s="24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5">
        <v>0</v>
      </c>
      <c r="E8755" s="5">
        <v>3</v>
      </c>
      <c r="F8755" s="5" t="s">
        <v>9</v>
      </c>
      <c r="G8755" s="15" t="s">
        <v>8</v>
      </c>
      <c r="H8755" s="24">
        <v>0.99999999278225005</v>
      </c>
      <c r="I8755" s="24">
        <v>0.99999999278225005</v>
      </c>
      <c r="J8755" s="24" t="s">
        <v>21</v>
      </c>
      <c r="K8755" s="24" t="s">
        <v>21</v>
      </c>
      <c r="L8755" s="24" t="s">
        <v>21</v>
      </c>
      <c r="M8755" s="24" t="s">
        <v>21</v>
      </c>
      <c r="N8755" s="24" t="s">
        <v>21</v>
      </c>
      <c r="O8755" s="24" t="s">
        <v>21</v>
      </c>
      <c r="P8755" s="24" t="s">
        <v>21</v>
      </c>
      <c r="Q8755" s="24" t="s">
        <v>21</v>
      </c>
      <c r="R8755" s="24" t="s">
        <v>21</v>
      </c>
      <c r="S8755" s="24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5">
        <v>0</v>
      </c>
      <c r="E8756" s="5">
        <v>4</v>
      </c>
      <c r="F8756" s="5" t="s">
        <v>9</v>
      </c>
      <c r="G8756" s="15" t="s">
        <v>8</v>
      </c>
      <c r="H8756" s="24">
        <v>0</v>
      </c>
      <c r="I8756" s="24">
        <v>0</v>
      </c>
      <c r="J8756" s="24" t="s">
        <v>21</v>
      </c>
      <c r="K8756" s="24" t="s">
        <v>21</v>
      </c>
      <c r="L8756" s="24" t="s">
        <v>21</v>
      </c>
      <c r="M8756" s="24" t="s">
        <v>21</v>
      </c>
      <c r="N8756" s="24" t="s">
        <v>21</v>
      </c>
      <c r="O8756" s="24" t="s">
        <v>21</v>
      </c>
      <c r="P8756" s="24" t="s">
        <v>21</v>
      </c>
      <c r="Q8756" s="24" t="s">
        <v>21</v>
      </c>
      <c r="R8756" s="24" t="s">
        <v>21</v>
      </c>
      <c r="S8756" s="24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5">
        <v>0</v>
      </c>
      <c r="E8757" s="5">
        <v>3</v>
      </c>
      <c r="F8757" s="5" t="s">
        <v>9</v>
      </c>
      <c r="G8757" s="15" t="s">
        <v>8</v>
      </c>
      <c r="H8757" s="24">
        <v>1.000000003259629</v>
      </c>
      <c r="I8757" s="24">
        <v>1.000000003259629</v>
      </c>
      <c r="J8757" s="24" t="s">
        <v>21</v>
      </c>
      <c r="K8757" s="24" t="s">
        <v>21</v>
      </c>
      <c r="L8757" s="24" t="s">
        <v>21</v>
      </c>
      <c r="M8757" s="24" t="s">
        <v>21</v>
      </c>
      <c r="N8757" s="24" t="s">
        <v>21</v>
      </c>
      <c r="O8757" s="24" t="s">
        <v>21</v>
      </c>
      <c r="P8757" s="24" t="s">
        <v>21</v>
      </c>
      <c r="Q8757" s="24" t="s">
        <v>21</v>
      </c>
      <c r="R8757" s="24" t="s">
        <v>21</v>
      </c>
      <c r="S8757" s="24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5">
        <v>0</v>
      </c>
      <c r="E8758" s="5">
        <v>3</v>
      </c>
      <c r="F8758" s="5" t="s">
        <v>9</v>
      </c>
      <c r="G8758" s="15" t="s">
        <v>8</v>
      </c>
      <c r="H8758" s="24">
        <v>0</v>
      </c>
      <c r="I8758" s="24">
        <v>0</v>
      </c>
      <c r="J8758" s="24" t="s">
        <v>21</v>
      </c>
      <c r="K8758" s="24" t="s">
        <v>21</v>
      </c>
      <c r="L8758" s="24" t="s">
        <v>21</v>
      </c>
      <c r="M8758" s="24" t="s">
        <v>21</v>
      </c>
      <c r="N8758" s="24" t="s">
        <v>21</v>
      </c>
      <c r="O8758" s="24" t="s">
        <v>21</v>
      </c>
      <c r="P8758" s="24" t="s">
        <v>21</v>
      </c>
      <c r="Q8758" s="24" t="s">
        <v>21</v>
      </c>
      <c r="R8758" s="24" t="s">
        <v>21</v>
      </c>
      <c r="S8758" s="24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5">
        <v>0</v>
      </c>
      <c r="E8759" s="5">
        <v>4</v>
      </c>
      <c r="F8759" s="5" t="s">
        <v>9</v>
      </c>
      <c r="G8759" s="15" t="s">
        <v>8</v>
      </c>
      <c r="H8759" s="24">
        <v>1.000000003259629</v>
      </c>
      <c r="I8759" s="24">
        <v>1.000000003259629</v>
      </c>
      <c r="J8759" s="24" t="s">
        <v>21</v>
      </c>
      <c r="K8759" s="24" t="s">
        <v>21</v>
      </c>
      <c r="L8759" s="24" t="s">
        <v>21</v>
      </c>
      <c r="M8759" s="24" t="s">
        <v>21</v>
      </c>
      <c r="N8759" s="24" t="s">
        <v>21</v>
      </c>
      <c r="O8759" s="24" t="s">
        <v>21</v>
      </c>
      <c r="P8759" s="24" t="s">
        <v>21</v>
      </c>
      <c r="Q8759" s="24" t="s">
        <v>21</v>
      </c>
      <c r="R8759" s="24" t="s">
        <v>21</v>
      </c>
      <c r="S8759" s="24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5">
        <v>0</v>
      </c>
      <c r="E8760" s="5">
        <v>2</v>
      </c>
      <c r="F8760" s="5" t="s">
        <v>9</v>
      </c>
      <c r="G8760" s="15" t="s">
        <v>8</v>
      </c>
      <c r="H8760" s="24">
        <v>0</v>
      </c>
      <c r="I8760" s="24">
        <v>0</v>
      </c>
      <c r="J8760" s="24" t="s">
        <v>21</v>
      </c>
      <c r="K8760" s="24" t="s">
        <v>21</v>
      </c>
      <c r="L8760" s="24" t="s">
        <v>21</v>
      </c>
      <c r="M8760" s="24" t="s">
        <v>21</v>
      </c>
      <c r="N8760" s="24" t="s">
        <v>21</v>
      </c>
      <c r="O8760" s="24" t="s">
        <v>21</v>
      </c>
      <c r="P8760" s="24" t="s">
        <v>21</v>
      </c>
      <c r="Q8760" s="24" t="s">
        <v>21</v>
      </c>
      <c r="R8760" s="24" t="s">
        <v>21</v>
      </c>
      <c r="S8760" s="24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5">
        <v>0</v>
      </c>
      <c r="E8761" s="5">
        <v>3</v>
      </c>
      <c r="F8761" s="5" t="s">
        <v>9</v>
      </c>
      <c r="G8761" s="15" t="s">
        <v>8</v>
      </c>
      <c r="H8761" s="24">
        <v>168.99999999557622</v>
      </c>
      <c r="I8761" s="24">
        <v>168.99999999557622</v>
      </c>
      <c r="J8761" s="24" t="s">
        <v>21</v>
      </c>
      <c r="K8761" s="24" t="s">
        <v>21</v>
      </c>
      <c r="L8761" s="24" t="s">
        <v>21</v>
      </c>
      <c r="M8761" s="24" t="s">
        <v>21</v>
      </c>
      <c r="N8761" s="24" t="s">
        <v>21</v>
      </c>
      <c r="O8761" s="24" t="s">
        <v>21</v>
      </c>
      <c r="P8761" s="24" t="s">
        <v>21</v>
      </c>
      <c r="Q8761" s="24" t="s">
        <v>21</v>
      </c>
      <c r="R8761" s="24" t="s">
        <v>21</v>
      </c>
      <c r="S8761" s="24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5">
        <v>0</v>
      </c>
      <c r="E8762" s="5">
        <v>4</v>
      </c>
      <c r="F8762" s="5" t="s">
        <v>9</v>
      </c>
      <c r="G8762" s="15" t="s">
        <v>8</v>
      </c>
      <c r="H8762" s="24">
        <v>1.000000003259629</v>
      </c>
      <c r="I8762" s="24">
        <v>1.000000003259629</v>
      </c>
      <c r="J8762" s="24" t="s">
        <v>21</v>
      </c>
      <c r="K8762" s="24" t="s">
        <v>21</v>
      </c>
      <c r="L8762" s="24" t="s">
        <v>21</v>
      </c>
      <c r="M8762" s="24" t="s">
        <v>21</v>
      </c>
      <c r="N8762" s="24" t="s">
        <v>21</v>
      </c>
      <c r="O8762" s="24" t="s">
        <v>21</v>
      </c>
      <c r="P8762" s="24" t="s">
        <v>21</v>
      </c>
      <c r="Q8762" s="24" t="s">
        <v>21</v>
      </c>
      <c r="R8762" s="24" t="s">
        <v>21</v>
      </c>
      <c r="S8762" s="24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5">
        <v>0</v>
      </c>
      <c r="E8763" s="5">
        <v>3</v>
      </c>
      <c r="F8763" s="5" t="s">
        <v>9</v>
      </c>
      <c r="G8763" s="15" t="s">
        <v>8</v>
      </c>
      <c r="H8763" s="24">
        <v>0</v>
      </c>
      <c r="I8763" s="24">
        <v>0</v>
      </c>
      <c r="J8763" s="24" t="s">
        <v>21</v>
      </c>
      <c r="K8763" s="24" t="s">
        <v>21</v>
      </c>
      <c r="L8763" s="24" t="s">
        <v>21</v>
      </c>
      <c r="M8763" s="24" t="s">
        <v>21</v>
      </c>
      <c r="N8763" s="24" t="s">
        <v>21</v>
      </c>
      <c r="O8763" s="24" t="s">
        <v>21</v>
      </c>
      <c r="P8763" s="24" t="s">
        <v>21</v>
      </c>
      <c r="Q8763" s="24" t="s">
        <v>21</v>
      </c>
      <c r="R8763" s="24" t="s">
        <v>21</v>
      </c>
      <c r="S8763" s="24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5">
        <v>0</v>
      </c>
      <c r="E8764" s="5">
        <v>4</v>
      </c>
      <c r="F8764" s="5" t="s">
        <v>9</v>
      </c>
      <c r="G8764" s="15" t="s">
        <v>8</v>
      </c>
      <c r="H8764" s="24">
        <v>0.99999999278225005</v>
      </c>
      <c r="I8764" s="24">
        <v>0.99999999278225005</v>
      </c>
      <c r="J8764" s="24" t="s">
        <v>21</v>
      </c>
      <c r="K8764" s="24" t="s">
        <v>21</v>
      </c>
      <c r="L8764" s="24" t="s">
        <v>21</v>
      </c>
      <c r="M8764" s="24" t="s">
        <v>21</v>
      </c>
      <c r="N8764" s="24" t="s">
        <v>21</v>
      </c>
      <c r="O8764" s="24" t="s">
        <v>21</v>
      </c>
      <c r="P8764" s="24" t="s">
        <v>21</v>
      </c>
      <c r="Q8764" s="24" t="s">
        <v>21</v>
      </c>
      <c r="R8764" s="24" t="s">
        <v>21</v>
      </c>
      <c r="S8764" s="24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5">
        <v>0</v>
      </c>
      <c r="E8765" s="5">
        <v>3</v>
      </c>
      <c r="F8765" s="5" t="s">
        <v>9</v>
      </c>
      <c r="G8765" s="15" t="s">
        <v>8</v>
      </c>
      <c r="H8765" s="24">
        <v>0</v>
      </c>
      <c r="I8765" s="24">
        <v>0</v>
      </c>
      <c r="J8765" s="24" t="s">
        <v>21</v>
      </c>
      <c r="K8765" s="24" t="s">
        <v>21</v>
      </c>
      <c r="L8765" s="24" t="s">
        <v>21</v>
      </c>
      <c r="M8765" s="24" t="s">
        <v>21</v>
      </c>
      <c r="N8765" s="24" t="s">
        <v>21</v>
      </c>
      <c r="O8765" s="24" t="s">
        <v>21</v>
      </c>
      <c r="P8765" s="24" t="s">
        <v>21</v>
      </c>
      <c r="Q8765" s="24" t="s">
        <v>21</v>
      </c>
      <c r="R8765" s="24" t="s">
        <v>21</v>
      </c>
      <c r="S8765" s="24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5">
        <v>0</v>
      </c>
      <c r="E8766" s="5">
        <v>2</v>
      </c>
      <c r="F8766" s="5" t="s">
        <v>9</v>
      </c>
      <c r="G8766" s="15" t="s">
        <v>8</v>
      </c>
      <c r="H8766" s="24">
        <v>1.000000003259629</v>
      </c>
      <c r="I8766" s="24">
        <v>1.000000003259629</v>
      </c>
      <c r="J8766" s="24" t="s">
        <v>21</v>
      </c>
      <c r="K8766" s="24" t="s">
        <v>21</v>
      </c>
      <c r="L8766" s="24" t="s">
        <v>21</v>
      </c>
      <c r="M8766" s="24" t="s">
        <v>21</v>
      </c>
      <c r="N8766" s="24" t="s">
        <v>21</v>
      </c>
      <c r="O8766" s="24" t="s">
        <v>21</v>
      </c>
      <c r="P8766" s="24" t="s">
        <v>21</v>
      </c>
      <c r="Q8766" s="24" t="s">
        <v>21</v>
      </c>
      <c r="R8766" s="24" t="s">
        <v>21</v>
      </c>
      <c r="S8766" s="24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5">
        <v>0</v>
      </c>
      <c r="E8767" s="5">
        <v>3</v>
      </c>
      <c r="F8767" s="5" t="s">
        <v>9</v>
      </c>
      <c r="G8767" s="15" t="s">
        <v>8</v>
      </c>
      <c r="H8767" s="24">
        <v>4.0000000025611371</v>
      </c>
      <c r="I8767" s="24">
        <v>4.0000000025611371</v>
      </c>
      <c r="J8767" s="24" t="s">
        <v>21</v>
      </c>
      <c r="K8767" s="24" t="s">
        <v>21</v>
      </c>
      <c r="L8767" s="24" t="s">
        <v>21</v>
      </c>
      <c r="M8767" s="24" t="s">
        <v>21</v>
      </c>
      <c r="N8767" s="24" t="s">
        <v>21</v>
      </c>
      <c r="O8767" s="24" t="s">
        <v>21</v>
      </c>
      <c r="P8767" s="24" t="s">
        <v>21</v>
      </c>
      <c r="Q8767" s="24" t="s">
        <v>21</v>
      </c>
      <c r="R8767" s="24" t="s">
        <v>21</v>
      </c>
      <c r="S8767" s="24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5">
        <v>0</v>
      </c>
      <c r="E8768" s="5">
        <v>4</v>
      </c>
      <c r="F8768" s="5" t="s">
        <v>9</v>
      </c>
      <c r="G8768" s="15" t="s">
        <v>8</v>
      </c>
      <c r="H8768" s="24">
        <v>1.000000003259629</v>
      </c>
      <c r="I8768" s="24">
        <v>1.000000003259629</v>
      </c>
      <c r="J8768" s="24" t="s">
        <v>21</v>
      </c>
      <c r="K8768" s="24" t="s">
        <v>21</v>
      </c>
      <c r="L8768" s="24" t="s">
        <v>21</v>
      </c>
      <c r="M8768" s="24" t="s">
        <v>21</v>
      </c>
      <c r="N8768" s="24" t="s">
        <v>21</v>
      </c>
      <c r="O8768" s="24" t="s">
        <v>21</v>
      </c>
      <c r="P8768" s="24" t="s">
        <v>21</v>
      </c>
      <c r="Q8768" s="24" t="s">
        <v>21</v>
      </c>
      <c r="R8768" s="24" t="s">
        <v>21</v>
      </c>
      <c r="S8768" s="24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5">
        <v>0</v>
      </c>
      <c r="E8769" s="5">
        <v>3</v>
      </c>
      <c r="F8769" s="5" t="s">
        <v>9</v>
      </c>
      <c r="G8769" s="15" t="s">
        <v>8</v>
      </c>
      <c r="H8769" s="24">
        <v>0</v>
      </c>
      <c r="I8769" s="24">
        <v>0</v>
      </c>
      <c r="J8769" s="24" t="s">
        <v>21</v>
      </c>
      <c r="K8769" s="24" t="s">
        <v>21</v>
      </c>
      <c r="L8769" s="24" t="s">
        <v>21</v>
      </c>
      <c r="M8769" s="24" t="s">
        <v>21</v>
      </c>
      <c r="N8769" s="24" t="s">
        <v>21</v>
      </c>
      <c r="O8769" s="24" t="s">
        <v>21</v>
      </c>
      <c r="P8769" s="24" t="s">
        <v>21</v>
      </c>
      <c r="Q8769" s="24" t="s">
        <v>21</v>
      </c>
      <c r="R8769" s="24" t="s">
        <v>21</v>
      </c>
      <c r="S8769" s="24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5">
        <v>0</v>
      </c>
      <c r="E8770" s="5">
        <v>3</v>
      </c>
      <c r="F8770" s="5" t="s">
        <v>9</v>
      </c>
      <c r="G8770" s="15" t="s">
        <v>8</v>
      </c>
      <c r="H8770" s="24">
        <v>0.99999999278225005</v>
      </c>
      <c r="I8770" s="24">
        <v>0.99999999278225005</v>
      </c>
      <c r="J8770" s="24" t="s">
        <v>21</v>
      </c>
      <c r="K8770" s="24" t="s">
        <v>21</v>
      </c>
      <c r="L8770" s="24" t="s">
        <v>21</v>
      </c>
      <c r="M8770" s="24" t="s">
        <v>21</v>
      </c>
      <c r="N8770" s="24" t="s">
        <v>21</v>
      </c>
      <c r="O8770" s="24" t="s">
        <v>21</v>
      </c>
      <c r="P8770" s="24" t="s">
        <v>21</v>
      </c>
      <c r="Q8770" s="24" t="s">
        <v>21</v>
      </c>
      <c r="R8770" s="24" t="s">
        <v>21</v>
      </c>
      <c r="S8770" s="24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5">
        <v>0</v>
      </c>
      <c r="E8771" s="5">
        <v>4</v>
      </c>
      <c r="F8771" s="5" t="s">
        <v>9</v>
      </c>
      <c r="G8771" s="15" t="s">
        <v>8</v>
      </c>
      <c r="H8771" s="24">
        <v>1.000000003259629</v>
      </c>
      <c r="I8771" s="24">
        <v>1.000000003259629</v>
      </c>
      <c r="J8771" s="24" t="s">
        <v>21</v>
      </c>
      <c r="K8771" s="24" t="s">
        <v>21</v>
      </c>
      <c r="L8771" s="24" t="s">
        <v>21</v>
      </c>
      <c r="M8771" s="24" t="s">
        <v>21</v>
      </c>
      <c r="N8771" s="24" t="s">
        <v>21</v>
      </c>
      <c r="O8771" s="24" t="s">
        <v>21</v>
      </c>
      <c r="P8771" s="24" t="s">
        <v>21</v>
      </c>
      <c r="Q8771" s="24" t="s">
        <v>21</v>
      </c>
      <c r="R8771" s="24" t="s">
        <v>21</v>
      </c>
      <c r="S8771" s="24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7">
        <v>0</v>
      </c>
      <c r="E8772" s="7">
        <v>1</v>
      </c>
      <c r="F8772" s="7" t="s">
        <v>9</v>
      </c>
      <c r="G8772" s="16" t="s">
        <v>8</v>
      </c>
      <c r="H8772" s="25">
        <v>1.9999999960418791</v>
      </c>
      <c r="I8772" s="25">
        <v>1.9999999960418791</v>
      </c>
      <c r="J8772" s="25" t="s">
        <v>21</v>
      </c>
      <c r="K8772" s="25" t="s">
        <v>21</v>
      </c>
      <c r="L8772" s="25" t="s">
        <v>21</v>
      </c>
      <c r="M8772" s="25" t="s">
        <v>21</v>
      </c>
      <c r="N8772" s="25" t="s">
        <v>21</v>
      </c>
      <c r="O8772" s="25" t="s">
        <v>21</v>
      </c>
      <c r="P8772" s="25" t="s">
        <v>21</v>
      </c>
      <c r="Q8772" s="25" t="s">
        <v>21</v>
      </c>
      <c r="R8772" s="25" t="s">
        <v>21</v>
      </c>
      <c r="S8772" s="25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5">
        <v>0</v>
      </c>
      <c r="E8773" s="5">
        <v>3</v>
      </c>
      <c r="F8773" s="5" t="s">
        <v>9</v>
      </c>
      <c r="G8773" s="15" t="s">
        <v>8</v>
      </c>
      <c r="H8773" s="24">
        <v>790.00000000814907</v>
      </c>
      <c r="I8773" s="24">
        <v>790.00000000814907</v>
      </c>
      <c r="J8773" s="24" t="s">
        <v>21</v>
      </c>
      <c r="K8773" s="24" t="s">
        <v>21</v>
      </c>
      <c r="L8773" s="24" t="s">
        <v>21</v>
      </c>
      <c r="M8773" s="24" t="s">
        <v>21</v>
      </c>
      <c r="N8773" s="24" t="s">
        <v>21</v>
      </c>
      <c r="O8773" s="24" t="s">
        <v>21</v>
      </c>
      <c r="P8773" s="24" t="s">
        <v>21</v>
      </c>
      <c r="Q8773" s="24" t="s">
        <v>21</v>
      </c>
      <c r="R8773" s="24" t="s">
        <v>21</v>
      </c>
      <c r="S8773" s="24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5">
        <v>0</v>
      </c>
      <c r="E8774" s="5">
        <v>2</v>
      </c>
      <c r="F8774" s="5" t="s">
        <v>9</v>
      </c>
      <c r="G8774" s="15" t="s">
        <v>8</v>
      </c>
      <c r="H8774" s="24">
        <v>0</v>
      </c>
      <c r="I8774" s="24">
        <v>0</v>
      </c>
      <c r="J8774" s="24" t="s">
        <v>21</v>
      </c>
      <c r="K8774" s="24" t="s">
        <v>21</v>
      </c>
      <c r="L8774" s="24" t="s">
        <v>21</v>
      </c>
      <c r="M8774" s="24" t="s">
        <v>21</v>
      </c>
      <c r="N8774" s="24" t="s">
        <v>21</v>
      </c>
      <c r="O8774" s="24" t="s">
        <v>21</v>
      </c>
      <c r="P8774" s="24" t="s">
        <v>21</v>
      </c>
      <c r="Q8774" s="24" t="s">
        <v>21</v>
      </c>
      <c r="R8774" s="24" t="s">
        <v>21</v>
      </c>
      <c r="S8774" s="24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5">
        <v>0</v>
      </c>
      <c r="E8775" s="5">
        <v>3</v>
      </c>
      <c r="F8775" s="5" t="s">
        <v>9</v>
      </c>
      <c r="G8775" s="15" t="s">
        <v>8</v>
      </c>
      <c r="H8775" s="24">
        <v>0.99999999278225005</v>
      </c>
      <c r="I8775" s="24">
        <v>0.99999999278225005</v>
      </c>
      <c r="J8775" s="24" t="s">
        <v>21</v>
      </c>
      <c r="K8775" s="24" t="s">
        <v>21</v>
      </c>
      <c r="L8775" s="24" t="s">
        <v>21</v>
      </c>
      <c r="M8775" s="24" t="s">
        <v>21</v>
      </c>
      <c r="N8775" s="24" t="s">
        <v>21</v>
      </c>
      <c r="O8775" s="24" t="s">
        <v>21</v>
      </c>
      <c r="P8775" s="24" t="s">
        <v>21</v>
      </c>
      <c r="Q8775" s="24" t="s">
        <v>21</v>
      </c>
      <c r="R8775" s="24" t="s">
        <v>21</v>
      </c>
      <c r="S8775" s="24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5">
        <v>0</v>
      </c>
      <c r="E8776" s="5">
        <v>4</v>
      </c>
      <c r="F8776" s="5" t="s">
        <v>9</v>
      </c>
      <c r="G8776" s="15" t="s">
        <v>8</v>
      </c>
      <c r="H8776" s="24">
        <v>0</v>
      </c>
      <c r="I8776" s="24">
        <v>0</v>
      </c>
      <c r="J8776" s="24" t="s">
        <v>21</v>
      </c>
      <c r="K8776" s="24" t="s">
        <v>21</v>
      </c>
      <c r="L8776" s="24" t="s">
        <v>21</v>
      </c>
      <c r="M8776" s="24" t="s">
        <v>21</v>
      </c>
      <c r="N8776" s="24" t="s">
        <v>21</v>
      </c>
      <c r="O8776" s="24" t="s">
        <v>21</v>
      </c>
      <c r="P8776" s="24" t="s">
        <v>21</v>
      </c>
      <c r="Q8776" s="24" t="s">
        <v>21</v>
      </c>
      <c r="R8776" s="24" t="s">
        <v>21</v>
      </c>
      <c r="S8776" s="24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5">
        <v>0</v>
      </c>
      <c r="E8777" s="5">
        <v>2</v>
      </c>
      <c r="F8777" s="5" t="s">
        <v>9</v>
      </c>
      <c r="G8777" s="15" t="s">
        <v>8</v>
      </c>
      <c r="H8777" s="24">
        <v>1.000000003259629</v>
      </c>
      <c r="I8777" s="24">
        <v>1.000000003259629</v>
      </c>
      <c r="J8777" s="24" t="s">
        <v>21</v>
      </c>
      <c r="K8777" s="24" t="s">
        <v>21</v>
      </c>
      <c r="L8777" s="24" t="s">
        <v>21</v>
      </c>
      <c r="M8777" s="24" t="s">
        <v>21</v>
      </c>
      <c r="N8777" s="24" t="s">
        <v>21</v>
      </c>
      <c r="O8777" s="24" t="s">
        <v>21</v>
      </c>
      <c r="P8777" s="24" t="s">
        <v>21</v>
      </c>
      <c r="Q8777" s="24" t="s">
        <v>21</v>
      </c>
      <c r="R8777" s="24" t="s">
        <v>21</v>
      </c>
      <c r="S8777" s="24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5">
        <v>0</v>
      </c>
      <c r="E8778" s="5">
        <v>2</v>
      </c>
      <c r="F8778" s="5" t="s">
        <v>9</v>
      </c>
      <c r="G8778" s="15" t="s">
        <v>8</v>
      </c>
      <c r="H8778" s="24">
        <v>2.9999999993015081</v>
      </c>
      <c r="I8778" s="24">
        <v>2.9999999993015081</v>
      </c>
      <c r="J8778" s="24" t="s">
        <v>21</v>
      </c>
      <c r="K8778" s="24" t="s">
        <v>21</v>
      </c>
      <c r="L8778" s="24" t="s">
        <v>21</v>
      </c>
      <c r="M8778" s="24" t="s">
        <v>21</v>
      </c>
      <c r="N8778" s="24" t="s">
        <v>21</v>
      </c>
      <c r="O8778" s="24" t="s">
        <v>21</v>
      </c>
      <c r="P8778" s="24" t="s">
        <v>21</v>
      </c>
      <c r="Q8778" s="24" t="s">
        <v>21</v>
      </c>
      <c r="R8778" s="24" t="s">
        <v>21</v>
      </c>
      <c r="S8778" s="24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5">
        <v>0</v>
      </c>
      <c r="E8779" s="5">
        <v>3</v>
      </c>
      <c r="F8779" s="5" t="s">
        <v>9</v>
      </c>
      <c r="G8779" s="15" t="s">
        <v>8</v>
      </c>
      <c r="H8779" s="24">
        <v>1.000000003259629</v>
      </c>
      <c r="I8779" s="24">
        <v>1.000000003259629</v>
      </c>
      <c r="J8779" s="24" t="s">
        <v>21</v>
      </c>
      <c r="K8779" s="24" t="s">
        <v>21</v>
      </c>
      <c r="L8779" s="24" t="s">
        <v>21</v>
      </c>
      <c r="M8779" s="24" t="s">
        <v>21</v>
      </c>
      <c r="N8779" s="24" t="s">
        <v>21</v>
      </c>
      <c r="O8779" s="24" t="s">
        <v>21</v>
      </c>
      <c r="P8779" s="24" t="s">
        <v>21</v>
      </c>
      <c r="Q8779" s="24" t="s">
        <v>21</v>
      </c>
      <c r="R8779" s="24" t="s">
        <v>21</v>
      </c>
      <c r="S8779" s="24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5">
        <v>0</v>
      </c>
      <c r="E8780" s="5">
        <v>3</v>
      </c>
      <c r="F8780" s="5" t="s">
        <v>9</v>
      </c>
      <c r="G8780" s="15" t="s">
        <v>8</v>
      </c>
      <c r="H8780" s="24">
        <v>0</v>
      </c>
      <c r="I8780" s="24">
        <v>0</v>
      </c>
      <c r="J8780" s="24" t="s">
        <v>21</v>
      </c>
      <c r="K8780" s="24" t="s">
        <v>21</v>
      </c>
      <c r="L8780" s="24" t="s">
        <v>21</v>
      </c>
      <c r="M8780" s="24" t="s">
        <v>21</v>
      </c>
      <c r="N8780" s="24" t="s">
        <v>21</v>
      </c>
      <c r="O8780" s="24" t="s">
        <v>21</v>
      </c>
      <c r="P8780" s="24" t="s">
        <v>21</v>
      </c>
      <c r="Q8780" s="24" t="s">
        <v>21</v>
      </c>
      <c r="R8780" s="24" t="s">
        <v>21</v>
      </c>
      <c r="S8780" s="24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5">
        <v>0</v>
      </c>
      <c r="E8781" s="5">
        <v>2</v>
      </c>
      <c r="F8781" s="5" t="s">
        <v>9</v>
      </c>
      <c r="G8781" s="15" t="s">
        <v>8</v>
      </c>
      <c r="H8781" s="24">
        <v>0.99999999278225005</v>
      </c>
      <c r="I8781" s="24">
        <v>0.99999999278225005</v>
      </c>
      <c r="J8781" s="24" t="s">
        <v>21</v>
      </c>
      <c r="K8781" s="24" t="s">
        <v>21</v>
      </c>
      <c r="L8781" s="24" t="s">
        <v>21</v>
      </c>
      <c r="M8781" s="24" t="s">
        <v>21</v>
      </c>
      <c r="N8781" s="24" t="s">
        <v>21</v>
      </c>
      <c r="O8781" s="24" t="s">
        <v>21</v>
      </c>
      <c r="P8781" s="24" t="s">
        <v>21</v>
      </c>
      <c r="Q8781" s="24" t="s">
        <v>21</v>
      </c>
      <c r="R8781" s="24" t="s">
        <v>21</v>
      </c>
      <c r="S8781" s="24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5">
        <v>0</v>
      </c>
      <c r="E8782" s="5">
        <v>3</v>
      </c>
      <c r="F8782" s="5" t="s">
        <v>9</v>
      </c>
      <c r="G8782" s="15" t="s">
        <v>8</v>
      </c>
      <c r="H8782" s="24">
        <v>0</v>
      </c>
      <c r="I8782" s="24">
        <v>0</v>
      </c>
      <c r="J8782" s="24" t="s">
        <v>21</v>
      </c>
      <c r="K8782" s="24" t="s">
        <v>21</v>
      </c>
      <c r="L8782" s="24" t="s">
        <v>21</v>
      </c>
      <c r="M8782" s="24" t="s">
        <v>21</v>
      </c>
      <c r="N8782" s="24" t="s">
        <v>21</v>
      </c>
      <c r="O8782" s="24" t="s">
        <v>21</v>
      </c>
      <c r="P8782" s="24" t="s">
        <v>21</v>
      </c>
      <c r="Q8782" s="24" t="s">
        <v>21</v>
      </c>
      <c r="R8782" s="24" t="s">
        <v>21</v>
      </c>
      <c r="S8782" s="24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5">
        <v>0</v>
      </c>
      <c r="E8783" s="5">
        <v>3</v>
      </c>
      <c r="F8783" s="5" t="s">
        <v>9</v>
      </c>
      <c r="G8783" s="15" t="s">
        <v>8</v>
      </c>
      <c r="H8783" s="24">
        <v>626.00000000791624</v>
      </c>
      <c r="I8783" s="24">
        <v>626.00000000791624</v>
      </c>
      <c r="J8783" s="24" t="s">
        <v>21</v>
      </c>
      <c r="K8783" s="24" t="s">
        <v>21</v>
      </c>
      <c r="L8783" s="24" t="s">
        <v>21</v>
      </c>
      <c r="M8783" s="24" t="s">
        <v>21</v>
      </c>
      <c r="N8783" s="24" t="s">
        <v>21</v>
      </c>
      <c r="O8783" s="24" t="s">
        <v>21</v>
      </c>
      <c r="P8783" s="24" t="s">
        <v>21</v>
      </c>
      <c r="Q8783" s="24" t="s">
        <v>21</v>
      </c>
      <c r="R8783" s="24" t="s">
        <v>21</v>
      </c>
      <c r="S8783" s="24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5">
        <v>0</v>
      </c>
      <c r="E8784" s="5">
        <v>5</v>
      </c>
      <c r="F8784" s="5" t="s">
        <v>9</v>
      </c>
      <c r="G8784" s="15" t="s">
        <v>8</v>
      </c>
      <c r="H8784" s="24">
        <v>0.99999999278225005</v>
      </c>
      <c r="I8784" s="24">
        <v>0.99999999278225005</v>
      </c>
      <c r="J8784" s="24" t="s">
        <v>21</v>
      </c>
      <c r="K8784" s="24" t="s">
        <v>21</v>
      </c>
      <c r="L8784" s="24" t="s">
        <v>21</v>
      </c>
      <c r="M8784" s="24" t="s">
        <v>21</v>
      </c>
      <c r="N8784" s="24" t="s">
        <v>21</v>
      </c>
      <c r="O8784" s="24" t="s">
        <v>21</v>
      </c>
      <c r="P8784" s="24" t="s">
        <v>21</v>
      </c>
      <c r="Q8784" s="24" t="s">
        <v>21</v>
      </c>
      <c r="R8784" s="24" t="s">
        <v>21</v>
      </c>
      <c r="S8784" s="24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5">
        <v>0</v>
      </c>
      <c r="E8785" s="5">
        <v>4</v>
      </c>
      <c r="F8785" s="5" t="s">
        <v>9</v>
      </c>
      <c r="G8785" s="15" t="s">
        <v>8</v>
      </c>
      <c r="H8785" s="24">
        <v>1.000000003259629</v>
      </c>
      <c r="I8785" s="24">
        <v>1.000000003259629</v>
      </c>
      <c r="J8785" s="24" t="s">
        <v>21</v>
      </c>
      <c r="K8785" s="24" t="s">
        <v>21</v>
      </c>
      <c r="L8785" s="24" t="s">
        <v>21</v>
      </c>
      <c r="M8785" s="24" t="s">
        <v>21</v>
      </c>
      <c r="N8785" s="24" t="s">
        <v>21</v>
      </c>
      <c r="O8785" s="24" t="s">
        <v>21</v>
      </c>
      <c r="P8785" s="24" t="s">
        <v>21</v>
      </c>
      <c r="Q8785" s="24" t="s">
        <v>21</v>
      </c>
      <c r="R8785" s="24" t="s">
        <v>21</v>
      </c>
      <c r="S8785" s="24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5">
        <v>0</v>
      </c>
      <c r="E8786" s="5">
        <v>1</v>
      </c>
      <c r="F8786" s="5" t="s">
        <v>9</v>
      </c>
      <c r="G8786" s="15" t="s">
        <v>8</v>
      </c>
      <c r="H8786" s="24">
        <v>0</v>
      </c>
      <c r="I8786" s="24">
        <v>0</v>
      </c>
      <c r="J8786" s="24" t="s">
        <v>21</v>
      </c>
      <c r="K8786" s="24" t="s">
        <v>21</v>
      </c>
      <c r="L8786" s="24" t="s">
        <v>21</v>
      </c>
      <c r="M8786" s="24" t="s">
        <v>21</v>
      </c>
      <c r="N8786" s="24" t="s">
        <v>21</v>
      </c>
      <c r="O8786" s="24" t="s">
        <v>21</v>
      </c>
      <c r="P8786" s="24" t="s">
        <v>21</v>
      </c>
      <c r="Q8786" s="24" t="s">
        <v>21</v>
      </c>
      <c r="R8786" s="24" t="s">
        <v>21</v>
      </c>
      <c r="S8786" s="24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5">
        <v>2</v>
      </c>
      <c r="E8787" s="5">
        <v>0</v>
      </c>
      <c r="F8787" s="5" t="s">
        <v>9</v>
      </c>
      <c r="G8787" s="15" t="s">
        <v>8</v>
      </c>
      <c r="H8787" s="24">
        <v>1.9999999960418791</v>
      </c>
      <c r="I8787" s="24">
        <v>1.9999999960418791</v>
      </c>
      <c r="J8787" s="24" t="s">
        <v>21</v>
      </c>
      <c r="K8787" s="24" t="s">
        <v>21</v>
      </c>
      <c r="L8787" s="24" t="s">
        <v>21</v>
      </c>
      <c r="M8787" s="24" t="s">
        <v>21</v>
      </c>
      <c r="N8787" s="24" t="s">
        <v>21</v>
      </c>
      <c r="O8787" s="24" t="s">
        <v>21</v>
      </c>
      <c r="P8787" s="24" t="s">
        <v>21</v>
      </c>
      <c r="Q8787" s="24" t="s">
        <v>21</v>
      </c>
      <c r="R8787" s="24" t="s">
        <v>21</v>
      </c>
      <c r="S8787" s="24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5">
        <v>1</v>
      </c>
      <c r="E8788" s="5">
        <v>0</v>
      </c>
      <c r="F8788" s="5" t="s">
        <v>9</v>
      </c>
      <c r="G8788" s="15" t="s">
        <v>8</v>
      </c>
      <c r="H8788" s="24">
        <v>0</v>
      </c>
      <c r="I8788" s="24">
        <v>0</v>
      </c>
      <c r="J8788" s="24" t="s">
        <v>21</v>
      </c>
      <c r="K8788" s="24" t="s">
        <v>21</v>
      </c>
      <c r="L8788" s="24" t="s">
        <v>21</v>
      </c>
      <c r="M8788" s="24" t="s">
        <v>21</v>
      </c>
      <c r="N8788" s="24" t="s">
        <v>21</v>
      </c>
      <c r="O8788" s="24" t="s">
        <v>21</v>
      </c>
      <c r="P8788" s="24" t="s">
        <v>21</v>
      </c>
      <c r="Q8788" s="24" t="s">
        <v>21</v>
      </c>
      <c r="R8788" s="24" t="s">
        <v>21</v>
      </c>
      <c r="S8788" s="24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5">
        <v>2</v>
      </c>
      <c r="E8789" s="5">
        <v>0</v>
      </c>
      <c r="F8789" s="5" t="s">
        <v>9</v>
      </c>
      <c r="G8789" s="15" t="s">
        <v>8</v>
      </c>
      <c r="H8789" s="24">
        <v>1.000000003259629</v>
      </c>
      <c r="I8789" s="24">
        <v>1.000000003259629</v>
      </c>
      <c r="J8789" s="24" t="s">
        <v>21</v>
      </c>
      <c r="K8789" s="24" t="s">
        <v>21</v>
      </c>
      <c r="L8789" s="24" t="s">
        <v>21</v>
      </c>
      <c r="M8789" s="24" t="s">
        <v>21</v>
      </c>
      <c r="N8789" s="24" t="s">
        <v>21</v>
      </c>
      <c r="O8789" s="24" t="s">
        <v>21</v>
      </c>
      <c r="P8789" s="24" t="s">
        <v>21</v>
      </c>
      <c r="Q8789" s="24" t="s">
        <v>21</v>
      </c>
      <c r="R8789" s="24" t="s">
        <v>21</v>
      </c>
      <c r="S8789" s="24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5">
        <v>2</v>
      </c>
      <c r="E8790" s="5">
        <v>0</v>
      </c>
      <c r="F8790" s="5" t="s">
        <v>9</v>
      </c>
      <c r="G8790" s="15" t="s">
        <v>8</v>
      </c>
      <c r="H8790" s="24">
        <v>0</v>
      </c>
      <c r="I8790" s="24">
        <v>0</v>
      </c>
      <c r="J8790" s="24" t="s">
        <v>21</v>
      </c>
      <c r="K8790" s="24" t="s">
        <v>21</v>
      </c>
      <c r="L8790" s="24" t="s">
        <v>21</v>
      </c>
      <c r="M8790" s="24" t="s">
        <v>21</v>
      </c>
      <c r="N8790" s="24" t="s">
        <v>21</v>
      </c>
      <c r="O8790" s="24" t="s">
        <v>21</v>
      </c>
      <c r="P8790" s="24" t="s">
        <v>21</v>
      </c>
      <c r="Q8790" s="24" t="s">
        <v>21</v>
      </c>
      <c r="R8790" s="24" t="s">
        <v>21</v>
      </c>
      <c r="S8790" s="24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5">
        <v>1</v>
      </c>
      <c r="E8791" s="5">
        <v>0</v>
      </c>
      <c r="F8791" s="5" t="s">
        <v>9</v>
      </c>
      <c r="G8791" s="15" t="s">
        <v>8</v>
      </c>
      <c r="H8791" s="24">
        <v>1.000000003259629</v>
      </c>
      <c r="I8791" s="24">
        <v>1.000000003259629</v>
      </c>
      <c r="J8791" s="24" t="s">
        <v>21</v>
      </c>
      <c r="K8791" s="24" t="s">
        <v>21</v>
      </c>
      <c r="L8791" s="24" t="s">
        <v>21</v>
      </c>
      <c r="M8791" s="24" t="s">
        <v>21</v>
      </c>
      <c r="N8791" s="24" t="s">
        <v>21</v>
      </c>
      <c r="O8791" s="24" t="s">
        <v>21</v>
      </c>
      <c r="P8791" s="24" t="s">
        <v>21</v>
      </c>
      <c r="Q8791" s="24" t="s">
        <v>21</v>
      </c>
      <c r="R8791" s="24" t="s">
        <v>21</v>
      </c>
      <c r="S8791" s="24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5">
        <v>3</v>
      </c>
      <c r="E8792" s="5">
        <v>0</v>
      </c>
      <c r="F8792" s="5" t="s">
        <v>9</v>
      </c>
      <c r="G8792" s="15" t="s">
        <v>8</v>
      </c>
      <c r="H8792" s="24">
        <v>0</v>
      </c>
      <c r="I8792" s="24">
        <v>0</v>
      </c>
      <c r="J8792" s="24" t="s">
        <v>21</v>
      </c>
      <c r="K8792" s="24" t="s">
        <v>21</v>
      </c>
      <c r="L8792" s="24" t="s">
        <v>21</v>
      </c>
      <c r="M8792" s="24" t="s">
        <v>21</v>
      </c>
      <c r="N8792" s="24" t="s">
        <v>21</v>
      </c>
      <c r="O8792" s="24" t="s">
        <v>21</v>
      </c>
      <c r="P8792" s="24" t="s">
        <v>21</v>
      </c>
      <c r="Q8792" s="24" t="s">
        <v>21</v>
      </c>
      <c r="R8792" s="24" t="s">
        <v>21</v>
      </c>
      <c r="S8792" s="24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5">
        <v>2</v>
      </c>
      <c r="E8793" s="5">
        <v>0</v>
      </c>
      <c r="F8793" s="5" t="s">
        <v>9</v>
      </c>
      <c r="G8793" s="15" t="s">
        <v>8</v>
      </c>
      <c r="H8793" s="24">
        <v>0.99999999278225005</v>
      </c>
      <c r="I8793" s="24">
        <v>0.99999999278225005</v>
      </c>
      <c r="J8793" s="24" t="s">
        <v>21</v>
      </c>
      <c r="K8793" s="24" t="s">
        <v>21</v>
      </c>
      <c r="L8793" s="24" t="s">
        <v>21</v>
      </c>
      <c r="M8793" s="24" t="s">
        <v>21</v>
      </c>
      <c r="N8793" s="24" t="s">
        <v>21</v>
      </c>
      <c r="O8793" s="24" t="s">
        <v>21</v>
      </c>
      <c r="P8793" s="24" t="s">
        <v>21</v>
      </c>
      <c r="Q8793" s="24" t="s">
        <v>21</v>
      </c>
      <c r="R8793" s="24" t="s">
        <v>21</v>
      </c>
      <c r="S8793" s="24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5">
        <v>0</v>
      </c>
      <c r="E8794" s="5">
        <v>1</v>
      </c>
      <c r="F8794" s="5" t="s">
        <v>9</v>
      </c>
      <c r="G8794" s="15" t="s">
        <v>8</v>
      </c>
      <c r="H8794" s="24">
        <v>0</v>
      </c>
      <c r="I8794" s="24">
        <v>0</v>
      </c>
      <c r="J8794" s="24" t="s">
        <v>21</v>
      </c>
      <c r="K8794" s="24" t="s">
        <v>21</v>
      </c>
      <c r="L8794" s="24" t="s">
        <v>21</v>
      </c>
      <c r="M8794" s="24" t="s">
        <v>21</v>
      </c>
      <c r="N8794" s="24" t="s">
        <v>21</v>
      </c>
      <c r="O8794" s="24" t="s">
        <v>21</v>
      </c>
      <c r="P8794" s="24" t="s">
        <v>21</v>
      </c>
      <c r="Q8794" s="24" t="s">
        <v>21</v>
      </c>
      <c r="R8794" s="24" t="s">
        <v>21</v>
      </c>
      <c r="S8794" s="24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5">
        <v>2</v>
      </c>
      <c r="E8795" s="5">
        <v>0</v>
      </c>
      <c r="F8795" s="5" t="s">
        <v>9</v>
      </c>
      <c r="G8795" s="15" t="s">
        <v>8</v>
      </c>
      <c r="H8795" s="24">
        <v>1.000000003259629</v>
      </c>
      <c r="I8795" s="24">
        <v>1.000000003259629</v>
      </c>
      <c r="J8795" s="24" t="s">
        <v>21</v>
      </c>
      <c r="K8795" s="24" t="s">
        <v>21</v>
      </c>
      <c r="L8795" s="24" t="s">
        <v>21</v>
      </c>
      <c r="M8795" s="24" t="s">
        <v>21</v>
      </c>
      <c r="N8795" s="24" t="s">
        <v>21</v>
      </c>
      <c r="O8795" s="24" t="s">
        <v>21</v>
      </c>
      <c r="P8795" s="24" t="s">
        <v>21</v>
      </c>
      <c r="Q8795" s="24" t="s">
        <v>21</v>
      </c>
      <c r="R8795" s="24" t="s">
        <v>21</v>
      </c>
      <c r="S8795" s="24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5">
        <v>0</v>
      </c>
      <c r="E8796" s="5">
        <v>2</v>
      </c>
      <c r="F8796" s="5" t="s">
        <v>9</v>
      </c>
      <c r="G8796" s="15" t="s">
        <v>8</v>
      </c>
      <c r="H8796" s="24">
        <v>1.000000003259629</v>
      </c>
      <c r="I8796" s="24">
        <v>1.000000003259629</v>
      </c>
      <c r="J8796" s="24" t="s">
        <v>21</v>
      </c>
      <c r="K8796" s="24" t="s">
        <v>21</v>
      </c>
      <c r="L8796" s="24" t="s">
        <v>21</v>
      </c>
      <c r="M8796" s="24" t="s">
        <v>21</v>
      </c>
      <c r="N8796" s="24" t="s">
        <v>21</v>
      </c>
      <c r="O8796" s="24" t="s">
        <v>21</v>
      </c>
      <c r="P8796" s="24" t="s">
        <v>21</v>
      </c>
      <c r="Q8796" s="24" t="s">
        <v>21</v>
      </c>
      <c r="R8796" s="24" t="s">
        <v>21</v>
      </c>
      <c r="S8796" s="24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5">
        <v>0</v>
      </c>
      <c r="E8797" s="5">
        <v>3</v>
      </c>
      <c r="F8797" s="5" t="s">
        <v>9</v>
      </c>
      <c r="G8797" s="15" t="s">
        <v>8</v>
      </c>
      <c r="H8797" s="24">
        <v>0.99999999278225005</v>
      </c>
      <c r="I8797" s="24">
        <v>0.99999999278225005</v>
      </c>
      <c r="J8797" s="24" t="s">
        <v>21</v>
      </c>
      <c r="K8797" s="24" t="s">
        <v>21</v>
      </c>
      <c r="L8797" s="24" t="s">
        <v>21</v>
      </c>
      <c r="M8797" s="24" t="s">
        <v>21</v>
      </c>
      <c r="N8797" s="24" t="s">
        <v>21</v>
      </c>
      <c r="O8797" s="24" t="s">
        <v>21</v>
      </c>
      <c r="P8797" s="24" t="s">
        <v>21</v>
      </c>
      <c r="Q8797" s="24" t="s">
        <v>21</v>
      </c>
      <c r="R8797" s="24" t="s">
        <v>21</v>
      </c>
      <c r="S8797" s="24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5">
        <v>0</v>
      </c>
      <c r="E8798" s="5">
        <v>2</v>
      </c>
      <c r="F8798" s="5" t="s">
        <v>9</v>
      </c>
      <c r="G8798" s="15" t="s">
        <v>8</v>
      </c>
      <c r="H8798" s="24">
        <v>0</v>
      </c>
      <c r="I8798" s="24">
        <v>0</v>
      </c>
      <c r="J8798" s="24" t="s">
        <v>21</v>
      </c>
      <c r="K8798" s="24" t="s">
        <v>21</v>
      </c>
      <c r="L8798" s="24" t="s">
        <v>21</v>
      </c>
      <c r="M8798" s="24" t="s">
        <v>21</v>
      </c>
      <c r="N8798" s="24" t="s">
        <v>21</v>
      </c>
      <c r="O8798" s="24" t="s">
        <v>21</v>
      </c>
      <c r="P8798" s="24" t="s">
        <v>21</v>
      </c>
      <c r="Q8798" s="24" t="s">
        <v>21</v>
      </c>
      <c r="R8798" s="24" t="s">
        <v>21</v>
      </c>
      <c r="S8798" s="24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5">
        <v>0</v>
      </c>
      <c r="E8799" s="5">
        <v>3</v>
      </c>
      <c r="F8799" s="5" t="s">
        <v>9</v>
      </c>
      <c r="G8799" s="15" t="s">
        <v>8</v>
      </c>
      <c r="H8799" s="24">
        <v>1.000000003259629</v>
      </c>
      <c r="I8799" s="24">
        <v>1.000000003259629</v>
      </c>
      <c r="J8799" s="24" t="s">
        <v>21</v>
      </c>
      <c r="K8799" s="24" t="s">
        <v>21</v>
      </c>
      <c r="L8799" s="24" t="s">
        <v>21</v>
      </c>
      <c r="M8799" s="24" t="s">
        <v>21</v>
      </c>
      <c r="N8799" s="24" t="s">
        <v>21</v>
      </c>
      <c r="O8799" s="24" t="s">
        <v>21</v>
      </c>
      <c r="P8799" s="24" t="s">
        <v>21</v>
      </c>
      <c r="Q8799" s="24" t="s">
        <v>21</v>
      </c>
      <c r="R8799" s="24" t="s">
        <v>21</v>
      </c>
      <c r="S8799" s="24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5">
        <v>0</v>
      </c>
      <c r="E8800" s="5">
        <v>1</v>
      </c>
      <c r="F8800" s="5" t="s">
        <v>9</v>
      </c>
      <c r="G8800" s="15" t="s">
        <v>8</v>
      </c>
      <c r="H8800" s="24">
        <v>0</v>
      </c>
      <c r="I8800" s="24">
        <v>0</v>
      </c>
      <c r="J8800" s="24" t="s">
        <v>21</v>
      </c>
      <c r="K8800" s="24" t="s">
        <v>21</v>
      </c>
      <c r="L8800" s="24" t="s">
        <v>21</v>
      </c>
      <c r="M8800" s="24" t="s">
        <v>21</v>
      </c>
      <c r="N8800" s="24" t="s">
        <v>21</v>
      </c>
      <c r="O8800" s="24" t="s">
        <v>21</v>
      </c>
      <c r="P8800" s="24" t="s">
        <v>21</v>
      </c>
      <c r="Q8800" s="24" t="s">
        <v>21</v>
      </c>
      <c r="R8800" s="24" t="s">
        <v>21</v>
      </c>
      <c r="S8800" s="24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5">
        <v>0</v>
      </c>
      <c r="E8801" s="5">
        <v>2</v>
      </c>
      <c r="F8801" s="5" t="s">
        <v>9</v>
      </c>
      <c r="G8801" s="15" t="s">
        <v>8</v>
      </c>
      <c r="H8801" s="24">
        <v>1.000000003259629</v>
      </c>
      <c r="I8801" s="24">
        <v>1.000000003259629</v>
      </c>
      <c r="J8801" s="24" t="s">
        <v>21</v>
      </c>
      <c r="K8801" s="24" t="s">
        <v>21</v>
      </c>
      <c r="L8801" s="24" t="s">
        <v>21</v>
      </c>
      <c r="M8801" s="24" t="s">
        <v>21</v>
      </c>
      <c r="N8801" s="24" t="s">
        <v>21</v>
      </c>
      <c r="O8801" s="24" t="s">
        <v>21</v>
      </c>
      <c r="P8801" s="24" t="s">
        <v>21</v>
      </c>
      <c r="Q8801" s="24" t="s">
        <v>21</v>
      </c>
      <c r="R8801" s="24" t="s">
        <v>21</v>
      </c>
      <c r="S8801" s="24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5">
        <v>0</v>
      </c>
      <c r="E8802" s="5">
        <v>3</v>
      </c>
      <c r="F8802" s="5" t="s">
        <v>9</v>
      </c>
      <c r="G8802" s="15" t="s">
        <v>8</v>
      </c>
      <c r="H8802" s="24">
        <v>0</v>
      </c>
      <c r="I8802" s="24">
        <v>0</v>
      </c>
      <c r="J8802" s="24" t="s">
        <v>21</v>
      </c>
      <c r="K8802" s="24" t="s">
        <v>21</v>
      </c>
      <c r="L8802" s="24" t="s">
        <v>21</v>
      </c>
      <c r="M8802" s="24" t="s">
        <v>21</v>
      </c>
      <c r="N8802" s="24" t="s">
        <v>21</v>
      </c>
      <c r="O8802" s="24" t="s">
        <v>21</v>
      </c>
      <c r="P8802" s="24" t="s">
        <v>21</v>
      </c>
      <c r="Q8802" s="24" t="s">
        <v>21</v>
      </c>
      <c r="R8802" s="24" t="s">
        <v>21</v>
      </c>
      <c r="S8802" s="24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5">
        <v>0</v>
      </c>
      <c r="E8803" s="5">
        <v>5</v>
      </c>
      <c r="F8803" s="5" t="s">
        <v>9</v>
      </c>
      <c r="G8803" s="15" t="s">
        <v>8</v>
      </c>
      <c r="H8803" s="24">
        <v>1.000000003259629</v>
      </c>
      <c r="I8803" s="24">
        <v>1.000000003259629</v>
      </c>
      <c r="J8803" s="24" t="s">
        <v>21</v>
      </c>
      <c r="K8803" s="24" t="s">
        <v>21</v>
      </c>
      <c r="L8803" s="24" t="s">
        <v>21</v>
      </c>
      <c r="M8803" s="24" t="s">
        <v>21</v>
      </c>
      <c r="N8803" s="24" t="s">
        <v>21</v>
      </c>
      <c r="O8803" s="24" t="s">
        <v>21</v>
      </c>
      <c r="P8803" s="24" t="s">
        <v>21</v>
      </c>
      <c r="Q8803" s="24" t="s">
        <v>21</v>
      </c>
      <c r="R8803" s="24" t="s">
        <v>21</v>
      </c>
      <c r="S8803" s="24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5">
        <v>0</v>
      </c>
      <c r="E8804" s="5">
        <v>2</v>
      </c>
      <c r="F8804" s="5" t="s">
        <v>9</v>
      </c>
      <c r="G8804" s="15" t="s">
        <v>8</v>
      </c>
      <c r="H8804" s="24">
        <v>0</v>
      </c>
      <c r="I8804" s="24">
        <v>0</v>
      </c>
      <c r="J8804" s="24" t="s">
        <v>21</v>
      </c>
      <c r="K8804" s="24" t="s">
        <v>21</v>
      </c>
      <c r="L8804" s="24" t="s">
        <v>21</v>
      </c>
      <c r="M8804" s="24" t="s">
        <v>21</v>
      </c>
      <c r="N8804" s="24" t="s">
        <v>21</v>
      </c>
      <c r="O8804" s="24" t="s">
        <v>21</v>
      </c>
      <c r="P8804" s="24" t="s">
        <v>21</v>
      </c>
      <c r="Q8804" s="24" t="s">
        <v>21</v>
      </c>
      <c r="R8804" s="24" t="s">
        <v>21</v>
      </c>
      <c r="S8804" s="24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5">
        <v>0</v>
      </c>
      <c r="E8805" s="5">
        <v>3</v>
      </c>
      <c r="F8805" s="5" t="s">
        <v>9</v>
      </c>
      <c r="G8805" s="15" t="s">
        <v>8</v>
      </c>
      <c r="H8805" s="24">
        <v>0.99999999278225005</v>
      </c>
      <c r="I8805" s="24">
        <v>0.99999999278225005</v>
      </c>
      <c r="J8805" s="24" t="s">
        <v>21</v>
      </c>
      <c r="K8805" s="24" t="s">
        <v>21</v>
      </c>
      <c r="L8805" s="24" t="s">
        <v>21</v>
      </c>
      <c r="M8805" s="24" t="s">
        <v>21</v>
      </c>
      <c r="N8805" s="24" t="s">
        <v>21</v>
      </c>
      <c r="O8805" s="24" t="s">
        <v>21</v>
      </c>
      <c r="P8805" s="24" t="s">
        <v>21</v>
      </c>
      <c r="Q8805" s="24" t="s">
        <v>21</v>
      </c>
      <c r="R8805" s="24" t="s">
        <v>21</v>
      </c>
      <c r="S8805" s="24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5">
        <v>0</v>
      </c>
      <c r="E8806" s="5">
        <v>4</v>
      </c>
      <c r="F8806" s="5" t="s">
        <v>9</v>
      </c>
      <c r="G8806" s="15" t="s">
        <v>8</v>
      </c>
      <c r="H8806" s="24">
        <v>0</v>
      </c>
      <c r="I8806" s="24">
        <v>0</v>
      </c>
      <c r="J8806" s="24" t="s">
        <v>21</v>
      </c>
      <c r="K8806" s="24" t="s">
        <v>21</v>
      </c>
      <c r="L8806" s="24" t="s">
        <v>21</v>
      </c>
      <c r="M8806" s="24" t="s">
        <v>21</v>
      </c>
      <c r="N8806" s="24" t="s">
        <v>21</v>
      </c>
      <c r="O8806" s="24" t="s">
        <v>21</v>
      </c>
      <c r="P8806" s="24" t="s">
        <v>21</v>
      </c>
      <c r="Q8806" s="24" t="s">
        <v>21</v>
      </c>
      <c r="R8806" s="24" t="s">
        <v>21</v>
      </c>
      <c r="S8806" s="24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5">
        <v>0</v>
      </c>
      <c r="E8807" s="5">
        <v>3</v>
      </c>
      <c r="F8807" s="5" t="s">
        <v>9</v>
      </c>
      <c r="G8807" s="15" t="s">
        <v>8</v>
      </c>
      <c r="H8807" s="24">
        <v>1.000000003259629</v>
      </c>
      <c r="I8807" s="24">
        <v>1.000000003259629</v>
      </c>
      <c r="J8807" s="24" t="s">
        <v>21</v>
      </c>
      <c r="K8807" s="24" t="s">
        <v>21</v>
      </c>
      <c r="L8807" s="24" t="s">
        <v>21</v>
      </c>
      <c r="M8807" s="24" t="s">
        <v>21</v>
      </c>
      <c r="N8807" s="24" t="s">
        <v>21</v>
      </c>
      <c r="O8807" s="24" t="s">
        <v>21</v>
      </c>
      <c r="P8807" s="24" t="s">
        <v>21</v>
      </c>
      <c r="Q8807" s="24" t="s">
        <v>21</v>
      </c>
      <c r="R8807" s="24" t="s">
        <v>21</v>
      </c>
      <c r="S8807" s="24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7">
        <v>0</v>
      </c>
      <c r="E8808" s="7">
        <v>3</v>
      </c>
      <c r="F8808" s="7" t="s">
        <v>9</v>
      </c>
      <c r="G8808" s="16" t="s">
        <v>8</v>
      </c>
      <c r="H8808" s="25">
        <v>1.000000003259629</v>
      </c>
      <c r="I8808" s="25">
        <v>1.000000003259629</v>
      </c>
      <c r="J8808" s="25" t="s">
        <v>21</v>
      </c>
      <c r="K8808" s="25" t="s">
        <v>21</v>
      </c>
      <c r="L8808" s="25" t="s">
        <v>21</v>
      </c>
      <c r="M8808" s="25" t="s">
        <v>21</v>
      </c>
      <c r="N8808" s="25" t="s">
        <v>21</v>
      </c>
      <c r="O8808" s="25" t="s">
        <v>21</v>
      </c>
      <c r="P8808" s="25" t="s">
        <v>21</v>
      </c>
      <c r="Q8808" s="25" t="s">
        <v>21</v>
      </c>
      <c r="R8808" s="25" t="s">
        <v>21</v>
      </c>
      <c r="S8808" s="25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5">
        <v>0</v>
      </c>
      <c r="E8809" s="5">
        <v>2</v>
      </c>
      <c r="F8809" s="5" t="s">
        <v>9</v>
      </c>
      <c r="G8809" s="15" t="s">
        <v>8</v>
      </c>
      <c r="H8809" s="24">
        <v>784.99999999185093</v>
      </c>
      <c r="I8809" s="24">
        <v>784.99999999185093</v>
      </c>
      <c r="J8809" s="24" t="s">
        <v>21</v>
      </c>
      <c r="K8809" s="24" t="s">
        <v>21</v>
      </c>
      <c r="L8809" s="24" t="s">
        <v>21</v>
      </c>
      <c r="M8809" s="24" t="s">
        <v>21</v>
      </c>
      <c r="N8809" s="24" t="s">
        <v>21</v>
      </c>
      <c r="O8809" s="24" t="s">
        <v>21</v>
      </c>
      <c r="P8809" s="24" t="s">
        <v>21</v>
      </c>
      <c r="Q8809" s="24" t="s">
        <v>21</v>
      </c>
      <c r="R8809" s="24" t="s">
        <v>21</v>
      </c>
      <c r="S8809" s="24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5">
        <v>0</v>
      </c>
      <c r="E8810" s="5">
        <v>3</v>
      </c>
      <c r="F8810" s="5" t="s">
        <v>9</v>
      </c>
      <c r="G8810" s="15" t="s">
        <v>8</v>
      </c>
      <c r="H8810" s="24">
        <v>0</v>
      </c>
      <c r="I8810" s="24">
        <v>0</v>
      </c>
      <c r="J8810" s="24" t="s">
        <v>21</v>
      </c>
      <c r="K8810" s="24" t="s">
        <v>21</v>
      </c>
      <c r="L8810" s="24" t="s">
        <v>21</v>
      </c>
      <c r="M8810" s="24" t="s">
        <v>21</v>
      </c>
      <c r="N8810" s="24" t="s">
        <v>21</v>
      </c>
      <c r="O8810" s="24" t="s">
        <v>21</v>
      </c>
      <c r="P8810" s="24" t="s">
        <v>21</v>
      </c>
      <c r="Q8810" s="24" t="s">
        <v>21</v>
      </c>
      <c r="R8810" s="24" t="s">
        <v>21</v>
      </c>
      <c r="S8810" s="24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5">
        <v>0</v>
      </c>
      <c r="E8811" s="5">
        <v>3</v>
      </c>
      <c r="F8811" s="5" t="s">
        <v>9</v>
      </c>
      <c r="G8811" s="15" t="s">
        <v>8</v>
      </c>
      <c r="H8811" s="24">
        <v>1.000000003259629</v>
      </c>
      <c r="I8811" s="24">
        <v>1.000000003259629</v>
      </c>
      <c r="J8811" s="24" t="s">
        <v>21</v>
      </c>
      <c r="K8811" s="24" t="s">
        <v>21</v>
      </c>
      <c r="L8811" s="24" t="s">
        <v>21</v>
      </c>
      <c r="M8811" s="24" t="s">
        <v>21</v>
      </c>
      <c r="N8811" s="24" t="s">
        <v>21</v>
      </c>
      <c r="O8811" s="24" t="s">
        <v>21</v>
      </c>
      <c r="P8811" s="24" t="s">
        <v>21</v>
      </c>
      <c r="Q8811" s="24" t="s">
        <v>21</v>
      </c>
      <c r="R8811" s="24" t="s">
        <v>21</v>
      </c>
      <c r="S8811" s="24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5">
        <v>3</v>
      </c>
      <c r="E8812" s="5">
        <v>5</v>
      </c>
      <c r="F8812" s="5" t="s">
        <v>9</v>
      </c>
      <c r="G8812" s="15" t="s">
        <v>8</v>
      </c>
      <c r="H8812" s="24">
        <v>37.999999998137355</v>
      </c>
      <c r="I8812" s="24" t="s">
        <v>21</v>
      </c>
      <c r="J8812" s="24" t="s">
        <v>21</v>
      </c>
      <c r="K8812" s="24" t="s">
        <v>21</v>
      </c>
      <c r="L8812" s="24">
        <v>2880.9999999927823</v>
      </c>
      <c r="M8812" s="24" t="s">
        <v>21</v>
      </c>
      <c r="N8812" s="24" t="s">
        <v>21</v>
      </c>
      <c r="O8812" s="24" t="s">
        <v>21</v>
      </c>
      <c r="P8812" s="24" t="s">
        <v>21</v>
      </c>
      <c r="Q8812" s="24" t="s">
        <v>21</v>
      </c>
      <c r="R8812" s="24" t="s">
        <v>21</v>
      </c>
      <c r="S8812" s="24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5">
        <v>5</v>
      </c>
      <c r="E8813" s="5">
        <v>1</v>
      </c>
      <c r="F8813" s="5" t="s">
        <v>9</v>
      </c>
      <c r="G8813" s="15" t="s">
        <v>8</v>
      </c>
      <c r="H8813" s="24">
        <v>0</v>
      </c>
      <c r="I8813" s="24" t="s">
        <v>21</v>
      </c>
      <c r="J8813" s="24" t="s">
        <v>21</v>
      </c>
      <c r="K8813" s="24" t="s">
        <v>21</v>
      </c>
      <c r="L8813" s="24">
        <v>0</v>
      </c>
      <c r="M8813" s="24" t="s">
        <v>21</v>
      </c>
      <c r="N8813" s="24" t="s">
        <v>21</v>
      </c>
      <c r="O8813" s="24" t="s">
        <v>21</v>
      </c>
      <c r="P8813" s="24" t="s">
        <v>21</v>
      </c>
      <c r="Q8813" s="24" t="s">
        <v>21</v>
      </c>
      <c r="R8813" s="24" t="s">
        <v>21</v>
      </c>
      <c r="S8813" s="24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5">
        <v>2</v>
      </c>
      <c r="E8814" s="5">
        <v>0</v>
      </c>
      <c r="F8814" s="5" t="s">
        <v>9</v>
      </c>
      <c r="G8814" s="15" t="s">
        <v>8</v>
      </c>
      <c r="H8814" s="24">
        <v>0</v>
      </c>
      <c r="I8814" s="24" t="s">
        <v>21</v>
      </c>
      <c r="J8814" s="24" t="s">
        <v>21</v>
      </c>
      <c r="K8814" s="24" t="s">
        <v>21</v>
      </c>
      <c r="L8814" s="24">
        <v>0</v>
      </c>
      <c r="M8814" s="24" t="s">
        <v>21</v>
      </c>
      <c r="N8814" s="24" t="s">
        <v>21</v>
      </c>
      <c r="O8814" s="24" t="s">
        <v>21</v>
      </c>
      <c r="P8814" s="24" t="s">
        <v>21</v>
      </c>
      <c r="Q8814" s="24" t="s">
        <v>21</v>
      </c>
      <c r="R8814" s="24" t="s">
        <v>21</v>
      </c>
      <c r="S8814" s="24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5">
        <v>2</v>
      </c>
      <c r="E8815" s="5">
        <v>0</v>
      </c>
      <c r="F8815" s="5" t="s">
        <v>9</v>
      </c>
      <c r="G8815" s="15" t="s">
        <v>8</v>
      </c>
      <c r="H8815" s="24">
        <v>0</v>
      </c>
      <c r="I8815" s="24" t="s">
        <v>21</v>
      </c>
      <c r="J8815" s="24" t="s">
        <v>21</v>
      </c>
      <c r="K8815" s="24" t="s">
        <v>21</v>
      </c>
      <c r="L8815" s="24">
        <v>0</v>
      </c>
      <c r="M8815" s="24" t="s">
        <v>21</v>
      </c>
      <c r="N8815" s="24" t="s">
        <v>21</v>
      </c>
      <c r="O8815" s="24" t="s">
        <v>21</v>
      </c>
      <c r="P8815" s="24" t="s">
        <v>21</v>
      </c>
      <c r="Q8815" s="24" t="s">
        <v>21</v>
      </c>
      <c r="R8815" s="24" t="s">
        <v>21</v>
      </c>
      <c r="S8815" s="24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5">
        <v>0</v>
      </c>
      <c r="E8816" s="5">
        <v>2</v>
      </c>
      <c r="F8816" s="5" t="s">
        <v>9</v>
      </c>
      <c r="G8816" s="15" t="s">
        <v>8</v>
      </c>
      <c r="H8816" s="24">
        <v>0</v>
      </c>
      <c r="I8816" s="24">
        <v>37.999999998137355</v>
      </c>
      <c r="J8816" s="24" t="s">
        <v>21</v>
      </c>
      <c r="K8816" s="24" t="s">
        <v>21</v>
      </c>
      <c r="L8816" s="24" t="s">
        <v>21</v>
      </c>
      <c r="M8816" s="24" t="s">
        <v>21</v>
      </c>
      <c r="N8816" s="24" t="s">
        <v>21</v>
      </c>
      <c r="O8816" s="24" t="s">
        <v>21</v>
      </c>
      <c r="P8816" s="24" t="s">
        <v>21</v>
      </c>
      <c r="Q8816" s="24" t="s">
        <v>21</v>
      </c>
      <c r="R8816" s="24" t="s">
        <v>21</v>
      </c>
      <c r="S8816" s="24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5">
        <v>0</v>
      </c>
      <c r="E8817" s="5">
        <v>4</v>
      </c>
      <c r="F8817" s="5" t="s">
        <v>9</v>
      </c>
      <c r="G8817" s="15" t="s">
        <v>8</v>
      </c>
      <c r="H8817" s="24">
        <v>1.000000003259629</v>
      </c>
      <c r="I8817" s="24">
        <v>1.000000003259629</v>
      </c>
      <c r="J8817" s="24" t="s">
        <v>21</v>
      </c>
      <c r="K8817" s="24" t="s">
        <v>21</v>
      </c>
      <c r="L8817" s="24" t="s">
        <v>21</v>
      </c>
      <c r="M8817" s="24" t="s">
        <v>21</v>
      </c>
      <c r="N8817" s="24" t="s">
        <v>21</v>
      </c>
      <c r="O8817" s="24" t="s">
        <v>21</v>
      </c>
      <c r="P8817" s="24" t="s">
        <v>21</v>
      </c>
      <c r="Q8817" s="24" t="s">
        <v>21</v>
      </c>
      <c r="R8817" s="24" t="s">
        <v>21</v>
      </c>
      <c r="S8817" s="24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5">
        <v>0</v>
      </c>
      <c r="E8818" s="5">
        <v>3</v>
      </c>
      <c r="F8818" s="5" t="s">
        <v>9</v>
      </c>
      <c r="G8818" s="15" t="s">
        <v>8</v>
      </c>
      <c r="H8818" s="24">
        <v>1.000000003259629</v>
      </c>
      <c r="I8818" s="24">
        <v>1.000000003259629</v>
      </c>
      <c r="J8818" s="24" t="s">
        <v>21</v>
      </c>
      <c r="K8818" s="24" t="s">
        <v>21</v>
      </c>
      <c r="L8818" s="24" t="s">
        <v>21</v>
      </c>
      <c r="M8818" s="24" t="s">
        <v>21</v>
      </c>
      <c r="N8818" s="24" t="s">
        <v>21</v>
      </c>
      <c r="O8818" s="24" t="s">
        <v>21</v>
      </c>
      <c r="P8818" s="24" t="s">
        <v>21</v>
      </c>
      <c r="Q8818" s="24" t="s">
        <v>21</v>
      </c>
      <c r="R8818" s="24" t="s">
        <v>21</v>
      </c>
      <c r="S8818" s="24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5">
        <v>0</v>
      </c>
      <c r="E8819" s="5">
        <v>4</v>
      </c>
      <c r="F8819" s="5" t="s">
        <v>9</v>
      </c>
      <c r="G8819" s="15" t="s">
        <v>8</v>
      </c>
      <c r="H8819" s="24">
        <v>0.99999999278225005</v>
      </c>
      <c r="I8819" s="24">
        <v>0.99999999278225005</v>
      </c>
      <c r="J8819" s="24" t="s">
        <v>21</v>
      </c>
      <c r="K8819" s="24" t="s">
        <v>21</v>
      </c>
      <c r="L8819" s="24" t="s">
        <v>21</v>
      </c>
      <c r="M8819" s="24" t="s">
        <v>21</v>
      </c>
      <c r="N8819" s="24" t="s">
        <v>21</v>
      </c>
      <c r="O8819" s="24" t="s">
        <v>21</v>
      </c>
      <c r="P8819" s="24" t="s">
        <v>21</v>
      </c>
      <c r="Q8819" s="24" t="s">
        <v>21</v>
      </c>
      <c r="R8819" s="24" t="s">
        <v>21</v>
      </c>
      <c r="S8819" s="24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5">
        <v>0</v>
      </c>
      <c r="E8820" s="5">
        <v>2</v>
      </c>
      <c r="F8820" s="5" t="s">
        <v>9</v>
      </c>
      <c r="G8820" s="15" t="s">
        <v>8</v>
      </c>
      <c r="H8820" s="24">
        <v>0</v>
      </c>
      <c r="I8820" s="24">
        <v>0</v>
      </c>
      <c r="J8820" s="24" t="s">
        <v>21</v>
      </c>
      <c r="K8820" s="24" t="s">
        <v>21</v>
      </c>
      <c r="L8820" s="24" t="s">
        <v>21</v>
      </c>
      <c r="M8820" s="24" t="s">
        <v>21</v>
      </c>
      <c r="N8820" s="24" t="s">
        <v>21</v>
      </c>
      <c r="O8820" s="24" t="s">
        <v>21</v>
      </c>
      <c r="P8820" s="24" t="s">
        <v>21</v>
      </c>
      <c r="Q8820" s="24" t="s">
        <v>21</v>
      </c>
      <c r="R8820" s="24" t="s">
        <v>21</v>
      </c>
      <c r="S8820" s="24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5">
        <v>0</v>
      </c>
      <c r="E8821" s="5">
        <v>2</v>
      </c>
      <c r="F8821" s="5" t="s">
        <v>9</v>
      </c>
      <c r="G8821" s="15" t="s">
        <v>8</v>
      </c>
      <c r="H8821" s="24">
        <v>1.000000003259629</v>
      </c>
      <c r="I8821" s="24">
        <v>1.000000003259629</v>
      </c>
      <c r="J8821" s="24" t="s">
        <v>21</v>
      </c>
      <c r="K8821" s="24" t="s">
        <v>21</v>
      </c>
      <c r="L8821" s="24" t="s">
        <v>21</v>
      </c>
      <c r="M8821" s="24" t="s">
        <v>21</v>
      </c>
      <c r="N8821" s="24" t="s">
        <v>21</v>
      </c>
      <c r="O8821" s="24" t="s">
        <v>21</v>
      </c>
      <c r="P8821" s="24" t="s">
        <v>21</v>
      </c>
      <c r="Q8821" s="24" t="s">
        <v>21</v>
      </c>
      <c r="R8821" s="24" t="s">
        <v>21</v>
      </c>
      <c r="S8821" s="24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5">
        <v>0</v>
      </c>
      <c r="E8822" s="5">
        <v>1</v>
      </c>
      <c r="F8822" s="5" t="s">
        <v>9</v>
      </c>
      <c r="G8822" s="15" t="s">
        <v>8</v>
      </c>
      <c r="H8822" s="24">
        <v>1.000000003259629</v>
      </c>
      <c r="I8822" s="24">
        <v>1.000000003259629</v>
      </c>
      <c r="J8822" s="24" t="s">
        <v>21</v>
      </c>
      <c r="K8822" s="24" t="s">
        <v>21</v>
      </c>
      <c r="L8822" s="24" t="s">
        <v>21</v>
      </c>
      <c r="M8822" s="24" t="s">
        <v>21</v>
      </c>
      <c r="N8822" s="24" t="s">
        <v>21</v>
      </c>
      <c r="O8822" s="24" t="s">
        <v>21</v>
      </c>
      <c r="P8822" s="24" t="s">
        <v>21</v>
      </c>
      <c r="Q8822" s="24" t="s">
        <v>21</v>
      </c>
      <c r="R8822" s="24" t="s">
        <v>21</v>
      </c>
      <c r="S8822" s="24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5">
        <v>0</v>
      </c>
      <c r="E8823" s="5">
        <v>4</v>
      </c>
      <c r="F8823" s="5" t="s">
        <v>9</v>
      </c>
      <c r="G8823" s="15" t="s">
        <v>8</v>
      </c>
      <c r="H8823" s="24">
        <v>87.999999993480742</v>
      </c>
      <c r="I8823" s="24" t="s">
        <v>21</v>
      </c>
      <c r="J8823" s="24" t="s">
        <v>21</v>
      </c>
      <c r="K8823" s="24" t="s">
        <v>21</v>
      </c>
      <c r="L8823" s="24">
        <v>92.999999999301508</v>
      </c>
      <c r="M8823" s="24" t="s">
        <v>21</v>
      </c>
      <c r="N8823" s="24" t="s">
        <v>21</v>
      </c>
      <c r="O8823" s="24" t="s">
        <v>21</v>
      </c>
      <c r="P8823" s="24" t="s">
        <v>21</v>
      </c>
      <c r="Q8823" s="24" t="s">
        <v>21</v>
      </c>
      <c r="R8823" s="24" t="s">
        <v>21</v>
      </c>
      <c r="S8823" s="24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5">
        <v>0</v>
      </c>
      <c r="E8824" s="5">
        <v>0</v>
      </c>
      <c r="F8824" s="5" t="s">
        <v>9</v>
      </c>
      <c r="G8824" s="15" t="s">
        <v>8</v>
      </c>
      <c r="H8824" s="24">
        <v>1.000000003259629</v>
      </c>
      <c r="I8824" s="24" t="s">
        <v>21</v>
      </c>
      <c r="J8824" s="24" t="s">
        <v>21</v>
      </c>
      <c r="K8824" s="24" t="s">
        <v>21</v>
      </c>
      <c r="L8824" s="24">
        <v>1.000000003259629</v>
      </c>
      <c r="M8824" s="24" t="s">
        <v>21</v>
      </c>
      <c r="N8824" s="24" t="s">
        <v>21</v>
      </c>
      <c r="O8824" s="24" t="s">
        <v>21</v>
      </c>
      <c r="P8824" s="24" t="s">
        <v>21</v>
      </c>
      <c r="Q8824" s="24" t="s">
        <v>21</v>
      </c>
      <c r="R8824" s="24" t="s">
        <v>21</v>
      </c>
      <c r="S8824" s="24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5">
        <v>0</v>
      </c>
      <c r="E8825" s="5">
        <v>8</v>
      </c>
      <c r="F8825" s="5" t="s">
        <v>9</v>
      </c>
      <c r="G8825" s="15" t="s">
        <v>8</v>
      </c>
      <c r="H8825" s="24">
        <v>1.000000003259629</v>
      </c>
      <c r="I8825" s="24" t="s">
        <v>21</v>
      </c>
      <c r="J8825" s="24" t="s">
        <v>21</v>
      </c>
      <c r="K8825" s="24" t="s">
        <v>21</v>
      </c>
      <c r="L8825" s="24">
        <v>1.000000003259629</v>
      </c>
      <c r="M8825" s="24" t="s">
        <v>21</v>
      </c>
      <c r="N8825" s="24" t="s">
        <v>21</v>
      </c>
      <c r="O8825" s="24" t="s">
        <v>21</v>
      </c>
      <c r="P8825" s="24" t="s">
        <v>21</v>
      </c>
      <c r="Q8825" s="24" t="s">
        <v>21</v>
      </c>
      <c r="R8825" s="24" t="s">
        <v>21</v>
      </c>
      <c r="S8825" s="24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5">
        <v>0</v>
      </c>
      <c r="E8826" s="5">
        <v>5</v>
      </c>
      <c r="F8826" s="5" t="s">
        <v>9</v>
      </c>
      <c r="G8826" s="15" t="s">
        <v>8</v>
      </c>
      <c r="H8826" s="24">
        <v>0.99999999278225005</v>
      </c>
      <c r="I8826" s="24" t="s">
        <v>21</v>
      </c>
      <c r="J8826" s="24" t="s">
        <v>21</v>
      </c>
      <c r="K8826" s="24" t="s">
        <v>21</v>
      </c>
      <c r="L8826" s="24">
        <v>0.99999999278225005</v>
      </c>
      <c r="M8826" s="24" t="s">
        <v>21</v>
      </c>
      <c r="N8826" s="24" t="s">
        <v>21</v>
      </c>
      <c r="O8826" s="24" t="s">
        <v>21</v>
      </c>
      <c r="P8826" s="24" t="s">
        <v>21</v>
      </c>
      <c r="Q8826" s="24" t="s">
        <v>21</v>
      </c>
      <c r="R8826" s="24" t="s">
        <v>21</v>
      </c>
      <c r="S8826" s="24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5">
        <v>10</v>
      </c>
      <c r="E8827" s="5">
        <v>0</v>
      </c>
      <c r="F8827" s="5" t="s">
        <v>9</v>
      </c>
      <c r="G8827" s="15" t="s">
        <v>8</v>
      </c>
      <c r="H8827" s="24">
        <v>2.9999999993015081</v>
      </c>
      <c r="I8827" s="24" t="s">
        <v>21</v>
      </c>
      <c r="J8827" s="24" t="s">
        <v>21</v>
      </c>
      <c r="K8827" s="24" t="s">
        <v>21</v>
      </c>
      <c r="L8827" s="24">
        <v>2.9999999993015081</v>
      </c>
      <c r="M8827" s="24" t="s">
        <v>21</v>
      </c>
      <c r="N8827" s="24" t="s">
        <v>21</v>
      </c>
      <c r="O8827" s="24" t="s">
        <v>21</v>
      </c>
      <c r="P8827" s="24" t="s">
        <v>21</v>
      </c>
      <c r="Q8827" s="24" t="s">
        <v>21</v>
      </c>
      <c r="R8827" s="24" t="s">
        <v>21</v>
      </c>
      <c r="S8827" s="24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5">
        <v>4</v>
      </c>
      <c r="E8828" s="5">
        <v>0</v>
      </c>
      <c r="F8828" s="5" t="s">
        <v>9</v>
      </c>
      <c r="G8828" s="15" t="s">
        <v>8</v>
      </c>
      <c r="H8828" s="24">
        <v>359.00000000721775</v>
      </c>
      <c r="I8828" s="24" t="s">
        <v>21</v>
      </c>
      <c r="J8828" s="24" t="s">
        <v>21</v>
      </c>
      <c r="K8828" s="24" t="s">
        <v>21</v>
      </c>
      <c r="L8828" s="24">
        <v>359.00000000721775</v>
      </c>
      <c r="M8828" s="24" t="s">
        <v>21</v>
      </c>
      <c r="N8828" s="24" t="s">
        <v>21</v>
      </c>
      <c r="O8828" s="24" t="s">
        <v>21</v>
      </c>
      <c r="P8828" s="24" t="s">
        <v>21</v>
      </c>
      <c r="Q8828" s="24" t="s">
        <v>21</v>
      </c>
      <c r="R8828" s="24" t="s">
        <v>21</v>
      </c>
      <c r="S8828" s="24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5">
        <v>6</v>
      </c>
      <c r="E8829" s="5">
        <v>0</v>
      </c>
      <c r="F8829" s="5" t="s">
        <v>9</v>
      </c>
      <c r="G8829" s="15" t="s">
        <v>8</v>
      </c>
      <c r="H8829" s="24">
        <v>0</v>
      </c>
      <c r="I8829" s="24" t="s">
        <v>21</v>
      </c>
      <c r="J8829" s="24" t="s">
        <v>21</v>
      </c>
      <c r="K8829" s="24" t="s">
        <v>21</v>
      </c>
      <c r="L8829" s="24">
        <v>0</v>
      </c>
      <c r="M8829" s="24" t="s">
        <v>21</v>
      </c>
      <c r="N8829" s="24" t="s">
        <v>21</v>
      </c>
      <c r="O8829" s="24" t="s">
        <v>21</v>
      </c>
      <c r="P8829" s="24" t="s">
        <v>21</v>
      </c>
      <c r="Q8829" s="24" t="s">
        <v>21</v>
      </c>
      <c r="R8829" s="24" t="s">
        <v>21</v>
      </c>
      <c r="S8829" s="24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5">
        <v>10</v>
      </c>
      <c r="E8830" s="5">
        <v>0</v>
      </c>
      <c r="F8830" s="5" t="s">
        <v>9</v>
      </c>
      <c r="G8830" s="15" t="s">
        <v>8</v>
      </c>
      <c r="H8830" s="24">
        <v>0</v>
      </c>
      <c r="I8830" s="24" t="s">
        <v>21</v>
      </c>
      <c r="J8830" s="24" t="s">
        <v>21</v>
      </c>
      <c r="K8830" s="24" t="s">
        <v>21</v>
      </c>
      <c r="L8830" s="24">
        <v>0</v>
      </c>
      <c r="M8830" s="24" t="s">
        <v>21</v>
      </c>
      <c r="N8830" s="24" t="s">
        <v>21</v>
      </c>
      <c r="O8830" s="24" t="s">
        <v>21</v>
      </c>
      <c r="P8830" s="24" t="s">
        <v>21</v>
      </c>
      <c r="Q8830" s="24" t="s">
        <v>21</v>
      </c>
      <c r="R8830" s="24" t="s">
        <v>21</v>
      </c>
      <c r="S8830" s="24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5">
        <v>9</v>
      </c>
      <c r="E8831" s="5">
        <v>0</v>
      </c>
      <c r="F8831" s="5" t="s">
        <v>9</v>
      </c>
      <c r="G8831" s="15" t="s">
        <v>8</v>
      </c>
      <c r="H8831" s="24">
        <v>0.99999999278225005</v>
      </c>
      <c r="I8831" s="24" t="s">
        <v>21</v>
      </c>
      <c r="J8831" s="24" t="s">
        <v>21</v>
      </c>
      <c r="K8831" s="24" t="s">
        <v>21</v>
      </c>
      <c r="L8831" s="24">
        <v>0.99999999278225005</v>
      </c>
      <c r="M8831" s="24" t="s">
        <v>21</v>
      </c>
      <c r="N8831" s="24" t="s">
        <v>21</v>
      </c>
      <c r="O8831" s="24" t="s">
        <v>21</v>
      </c>
      <c r="P8831" s="24" t="s">
        <v>21</v>
      </c>
      <c r="Q8831" s="24" t="s">
        <v>21</v>
      </c>
      <c r="R8831" s="24" t="s">
        <v>21</v>
      </c>
      <c r="S8831" s="24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5">
        <v>0</v>
      </c>
      <c r="E8832" s="5">
        <v>0</v>
      </c>
      <c r="F8832" s="5" t="s">
        <v>9</v>
      </c>
      <c r="G8832" s="15" t="s">
        <v>8</v>
      </c>
      <c r="H8832" s="24">
        <v>115.00000000814907</v>
      </c>
      <c r="I8832" s="24">
        <v>569.00000000023283</v>
      </c>
      <c r="J8832" s="24" t="s">
        <v>21</v>
      </c>
      <c r="K8832" s="24" t="s">
        <v>21</v>
      </c>
      <c r="L8832" s="24" t="s">
        <v>21</v>
      </c>
      <c r="M8832" s="24" t="s">
        <v>21</v>
      </c>
      <c r="N8832" s="24" t="s">
        <v>21</v>
      </c>
      <c r="O8832" s="24" t="s">
        <v>21</v>
      </c>
      <c r="P8832" s="24" t="s">
        <v>21</v>
      </c>
      <c r="Q8832" s="24" t="s">
        <v>21</v>
      </c>
      <c r="R8832" s="24" t="s">
        <v>21</v>
      </c>
      <c r="S8832" s="24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5">
        <v>0</v>
      </c>
      <c r="E8833" s="5">
        <v>0</v>
      </c>
      <c r="F8833" s="5" t="s">
        <v>9</v>
      </c>
      <c r="G8833" s="15" t="s">
        <v>8</v>
      </c>
      <c r="H8833" s="24">
        <v>0.99999999278225005</v>
      </c>
      <c r="I8833" s="24">
        <v>0.99999999278225005</v>
      </c>
      <c r="J8833" s="24" t="s">
        <v>21</v>
      </c>
      <c r="K8833" s="24" t="s">
        <v>21</v>
      </c>
      <c r="L8833" s="24" t="s">
        <v>21</v>
      </c>
      <c r="M8833" s="24" t="s">
        <v>21</v>
      </c>
      <c r="N8833" s="24" t="s">
        <v>21</v>
      </c>
      <c r="O8833" s="24" t="s">
        <v>21</v>
      </c>
      <c r="P8833" s="24" t="s">
        <v>21</v>
      </c>
      <c r="Q8833" s="24" t="s">
        <v>21</v>
      </c>
      <c r="R8833" s="24" t="s">
        <v>21</v>
      </c>
      <c r="S8833" s="24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5">
        <v>0</v>
      </c>
      <c r="E8834" s="5">
        <v>3</v>
      </c>
      <c r="F8834" s="5" t="s">
        <v>9</v>
      </c>
      <c r="G8834" s="15" t="s">
        <v>8</v>
      </c>
      <c r="H8834" s="24">
        <v>0</v>
      </c>
      <c r="I8834" s="24">
        <v>0</v>
      </c>
      <c r="J8834" s="24" t="s">
        <v>21</v>
      </c>
      <c r="K8834" s="24" t="s">
        <v>21</v>
      </c>
      <c r="L8834" s="24" t="s">
        <v>21</v>
      </c>
      <c r="M8834" s="24" t="s">
        <v>21</v>
      </c>
      <c r="N8834" s="24" t="s">
        <v>21</v>
      </c>
      <c r="O8834" s="24" t="s">
        <v>21</v>
      </c>
      <c r="P8834" s="24" t="s">
        <v>21</v>
      </c>
      <c r="Q8834" s="24" t="s">
        <v>21</v>
      </c>
      <c r="R8834" s="24" t="s">
        <v>21</v>
      </c>
      <c r="S8834" s="24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5">
        <v>0</v>
      </c>
      <c r="E8835" s="5">
        <v>4</v>
      </c>
      <c r="F8835" s="5" t="s">
        <v>9</v>
      </c>
      <c r="G8835" s="15" t="s">
        <v>8</v>
      </c>
      <c r="H8835" s="24">
        <v>1.000000003259629</v>
      </c>
      <c r="I8835" s="24">
        <v>1.000000003259629</v>
      </c>
      <c r="J8835" s="24" t="s">
        <v>21</v>
      </c>
      <c r="K8835" s="24" t="s">
        <v>21</v>
      </c>
      <c r="L8835" s="24" t="s">
        <v>21</v>
      </c>
      <c r="M8835" s="24" t="s">
        <v>21</v>
      </c>
      <c r="N8835" s="24" t="s">
        <v>21</v>
      </c>
      <c r="O8835" s="24" t="s">
        <v>21</v>
      </c>
      <c r="P8835" s="24" t="s">
        <v>21</v>
      </c>
      <c r="Q8835" s="24" t="s">
        <v>21</v>
      </c>
      <c r="R8835" s="24" t="s">
        <v>21</v>
      </c>
      <c r="S8835" s="24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5">
        <v>0</v>
      </c>
      <c r="E8836" s="5">
        <v>1</v>
      </c>
      <c r="F8836" s="5" t="s">
        <v>9</v>
      </c>
      <c r="G8836" s="15" t="s">
        <v>8</v>
      </c>
      <c r="H8836" s="24">
        <v>0</v>
      </c>
      <c r="I8836" s="24">
        <v>0</v>
      </c>
      <c r="J8836" s="24" t="s">
        <v>21</v>
      </c>
      <c r="K8836" s="24" t="s">
        <v>21</v>
      </c>
      <c r="L8836" s="24" t="s">
        <v>21</v>
      </c>
      <c r="M8836" s="24" t="s">
        <v>21</v>
      </c>
      <c r="N8836" s="24" t="s">
        <v>21</v>
      </c>
      <c r="O8836" s="24" t="s">
        <v>21</v>
      </c>
      <c r="P8836" s="24" t="s">
        <v>21</v>
      </c>
      <c r="Q8836" s="24" t="s">
        <v>21</v>
      </c>
      <c r="R8836" s="24" t="s">
        <v>21</v>
      </c>
      <c r="S8836" s="24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5">
        <v>0</v>
      </c>
      <c r="E8837" s="5">
        <v>1</v>
      </c>
      <c r="F8837" s="5" t="s">
        <v>9</v>
      </c>
      <c r="G8837" s="15" t="s">
        <v>8</v>
      </c>
      <c r="H8837" s="24">
        <v>33.999999995576218</v>
      </c>
      <c r="I8837" s="24">
        <v>33.999999995576218</v>
      </c>
      <c r="J8837" s="24" t="s">
        <v>21</v>
      </c>
      <c r="K8837" s="24" t="s">
        <v>21</v>
      </c>
      <c r="L8837" s="24" t="s">
        <v>21</v>
      </c>
      <c r="M8837" s="24" t="s">
        <v>21</v>
      </c>
      <c r="N8837" s="24" t="s">
        <v>21</v>
      </c>
      <c r="O8837" s="24" t="s">
        <v>21</v>
      </c>
      <c r="P8837" s="24" t="s">
        <v>21</v>
      </c>
      <c r="Q8837" s="24" t="s">
        <v>21</v>
      </c>
      <c r="R8837" s="24" t="s">
        <v>21</v>
      </c>
      <c r="S8837" s="24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5">
        <v>0</v>
      </c>
      <c r="E8838" s="5">
        <v>3</v>
      </c>
      <c r="F8838" s="5" t="s">
        <v>9</v>
      </c>
      <c r="G8838" s="15" t="s">
        <v>8</v>
      </c>
      <c r="H8838" s="24">
        <v>0</v>
      </c>
      <c r="I8838" s="24">
        <v>0</v>
      </c>
      <c r="J8838" s="24" t="s">
        <v>21</v>
      </c>
      <c r="K8838" s="24" t="s">
        <v>21</v>
      </c>
      <c r="L8838" s="24" t="s">
        <v>21</v>
      </c>
      <c r="M8838" s="24" t="s">
        <v>21</v>
      </c>
      <c r="N8838" s="24" t="s">
        <v>21</v>
      </c>
      <c r="O8838" s="24" t="s">
        <v>21</v>
      </c>
      <c r="P8838" s="24" t="s">
        <v>21</v>
      </c>
      <c r="Q8838" s="24" t="s">
        <v>21</v>
      </c>
      <c r="R8838" s="24" t="s">
        <v>21</v>
      </c>
      <c r="S8838" s="24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5">
        <v>0</v>
      </c>
      <c r="E8839" s="5">
        <v>4</v>
      </c>
      <c r="F8839" s="5" t="s">
        <v>9</v>
      </c>
      <c r="G8839" s="15" t="s">
        <v>8</v>
      </c>
      <c r="H8839" s="24">
        <v>1.000000003259629</v>
      </c>
      <c r="I8839" s="24">
        <v>1.000000003259629</v>
      </c>
      <c r="J8839" s="24" t="s">
        <v>21</v>
      </c>
      <c r="K8839" s="24" t="s">
        <v>21</v>
      </c>
      <c r="L8839" s="24" t="s">
        <v>21</v>
      </c>
      <c r="M8839" s="24" t="s">
        <v>21</v>
      </c>
      <c r="N8839" s="24" t="s">
        <v>21</v>
      </c>
      <c r="O8839" s="24" t="s">
        <v>21</v>
      </c>
      <c r="P8839" s="24" t="s">
        <v>21</v>
      </c>
      <c r="Q8839" s="24" t="s">
        <v>21</v>
      </c>
      <c r="R8839" s="24" t="s">
        <v>21</v>
      </c>
      <c r="S8839" s="24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5">
        <v>0</v>
      </c>
      <c r="E8840" s="5">
        <v>4</v>
      </c>
      <c r="F8840" s="5" t="s">
        <v>9</v>
      </c>
      <c r="G8840" s="15" t="s">
        <v>8</v>
      </c>
      <c r="H8840" s="24">
        <v>1.000000003259629</v>
      </c>
      <c r="I8840" s="24">
        <v>1.000000003259629</v>
      </c>
      <c r="J8840" s="24" t="s">
        <v>21</v>
      </c>
      <c r="K8840" s="24" t="s">
        <v>21</v>
      </c>
      <c r="L8840" s="24" t="s">
        <v>21</v>
      </c>
      <c r="M8840" s="24" t="s">
        <v>21</v>
      </c>
      <c r="N8840" s="24" t="s">
        <v>21</v>
      </c>
      <c r="O8840" s="24" t="s">
        <v>21</v>
      </c>
      <c r="P8840" s="24" t="s">
        <v>21</v>
      </c>
      <c r="Q8840" s="24" t="s">
        <v>21</v>
      </c>
      <c r="R8840" s="24" t="s">
        <v>21</v>
      </c>
      <c r="S8840" s="24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5">
        <v>0</v>
      </c>
      <c r="E8841" s="5">
        <v>5</v>
      </c>
      <c r="F8841" s="5" t="s">
        <v>9</v>
      </c>
      <c r="G8841" s="15" t="s">
        <v>8</v>
      </c>
      <c r="H8841" s="24">
        <v>0</v>
      </c>
      <c r="I8841" s="24">
        <v>0</v>
      </c>
      <c r="J8841" s="24" t="s">
        <v>21</v>
      </c>
      <c r="K8841" s="24" t="s">
        <v>21</v>
      </c>
      <c r="L8841" s="24" t="s">
        <v>21</v>
      </c>
      <c r="M8841" s="24" t="s">
        <v>21</v>
      </c>
      <c r="N8841" s="24" t="s">
        <v>21</v>
      </c>
      <c r="O8841" s="24" t="s">
        <v>21</v>
      </c>
      <c r="P8841" s="24" t="s">
        <v>21</v>
      </c>
      <c r="Q8841" s="24" t="s">
        <v>21</v>
      </c>
      <c r="R8841" s="24" t="s">
        <v>21</v>
      </c>
      <c r="S8841" s="24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5">
        <v>0</v>
      </c>
      <c r="E8842" s="5">
        <v>2</v>
      </c>
      <c r="F8842" s="5" t="s">
        <v>9</v>
      </c>
      <c r="G8842" s="15" t="s">
        <v>8</v>
      </c>
      <c r="H8842" s="24">
        <v>1.000000003259629</v>
      </c>
      <c r="I8842" s="24">
        <v>1.000000003259629</v>
      </c>
      <c r="J8842" s="24" t="s">
        <v>21</v>
      </c>
      <c r="K8842" s="24" t="s">
        <v>21</v>
      </c>
      <c r="L8842" s="24" t="s">
        <v>21</v>
      </c>
      <c r="M8842" s="24" t="s">
        <v>21</v>
      </c>
      <c r="N8842" s="24" t="s">
        <v>21</v>
      </c>
      <c r="O8842" s="24" t="s">
        <v>21</v>
      </c>
      <c r="P8842" s="24" t="s">
        <v>21</v>
      </c>
      <c r="Q8842" s="24" t="s">
        <v>21</v>
      </c>
      <c r="R8842" s="24" t="s">
        <v>21</v>
      </c>
      <c r="S8842" s="24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5">
        <v>0</v>
      </c>
      <c r="E8843" s="5">
        <v>1</v>
      </c>
      <c r="F8843" s="5" t="s">
        <v>9</v>
      </c>
      <c r="G8843" s="15" t="s">
        <v>8</v>
      </c>
      <c r="H8843" s="24">
        <v>0</v>
      </c>
      <c r="I8843" s="24">
        <v>0</v>
      </c>
      <c r="J8843" s="24" t="s">
        <v>21</v>
      </c>
      <c r="K8843" s="24" t="s">
        <v>21</v>
      </c>
      <c r="L8843" s="24" t="s">
        <v>21</v>
      </c>
      <c r="M8843" s="24" t="s">
        <v>21</v>
      </c>
      <c r="N8843" s="24" t="s">
        <v>21</v>
      </c>
      <c r="O8843" s="24" t="s">
        <v>21</v>
      </c>
      <c r="P8843" s="24" t="s">
        <v>21</v>
      </c>
      <c r="Q8843" s="24" t="s">
        <v>21</v>
      </c>
      <c r="R8843" s="24" t="s">
        <v>21</v>
      </c>
      <c r="S8843" s="24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5">
        <v>0</v>
      </c>
      <c r="E8844" s="5">
        <v>3</v>
      </c>
      <c r="F8844" s="5" t="s">
        <v>9</v>
      </c>
      <c r="G8844" s="15" t="s">
        <v>8</v>
      </c>
      <c r="H8844" s="24">
        <v>0</v>
      </c>
      <c r="I8844" s="24">
        <v>0</v>
      </c>
      <c r="J8844" s="24" t="s">
        <v>21</v>
      </c>
      <c r="K8844" s="24" t="s">
        <v>21</v>
      </c>
      <c r="L8844" s="24" t="s">
        <v>21</v>
      </c>
      <c r="M8844" s="24" t="s">
        <v>21</v>
      </c>
      <c r="N8844" s="24" t="s">
        <v>21</v>
      </c>
      <c r="O8844" s="24" t="s">
        <v>21</v>
      </c>
      <c r="P8844" s="24" t="s">
        <v>21</v>
      </c>
      <c r="Q8844" s="24" t="s">
        <v>21</v>
      </c>
      <c r="R8844" s="24" t="s">
        <v>21</v>
      </c>
      <c r="S8844" s="24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5">
        <v>0</v>
      </c>
      <c r="E8845" s="5">
        <v>3</v>
      </c>
      <c r="F8845" s="5" t="s">
        <v>9</v>
      </c>
      <c r="G8845" s="15" t="s">
        <v>8</v>
      </c>
      <c r="H8845" s="24">
        <v>0.99999999278225005</v>
      </c>
      <c r="I8845" s="24">
        <v>0.99999999278225005</v>
      </c>
      <c r="J8845" s="24" t="s">
        <v>21</v>
      </c>
      <c r="K8845" s="24" t="s">
        <v>21</v>
      </c>
      <c r="L8845" s="24" t="s">
        <v>21</v>
      </c>
      <c r="M8845" s="24" t="s">
        <v>21</v>
      </c>
      <c r="N8845" s="24" t="s">
        <v>21</v>
      </c>
      <c r="O8845" s="24" t="s">
        <v>21</v>
      </c>
      <c r="P8845" s="24" t="s">
        <v>21</v>
      </c>
      <c r="Q8845" s="24" t="s">
        <v>21</v>
      </c>
      <c r="R8845" s="24" t="s">
        <v>21</v>
      </c>
      <c r="S8845" s="24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5">
        <v>0</v>
      </c>
      <c r="E8846" s="5">
        <v>2</v>
      </c>
      <c r="F8846" s="5" t="s">
        <v>9</v>
      </c>
      <c r="G8846" s="15" t="s">
        <v>8</v>
      </c>
      <c r="H8846" s="24">
        <v>1.000000003259629</v>
      </c>
      <c r="I8846" s="24">
        <v>1.000000003259629</v>
      </c>
      <c r="J8846" s="24" t="s">
        <v>21</v>
      </c>
      <c r="K8846" s="24" t="s">
        <v>21</v>
      </c>
      <c r="L8846" s="24" t="s">
        <v>21</v>
      </c>
      <c r="M8846" s="24" t="s">
        <v>21</v>
      </c>
      <c r="N8846" s="24" t="s">
        <v>21</v>
      </c>
      <c r="O8846" s="24" t="s">
        <v>21</v>
      </c>
      <c r="P8846" s="24" t="s">
        <v>21</v>
      </c>
      <c r="Q8846" s="24" t="s">
        <v>21</v>
      </c>
      <c r="R8846" s="24" t="s">
        <v>21</v>
      </c>
      <c r="S8846" s="24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5">
        <v>0</v>
      </c>
      <c r="E8847" s="5">
        <v>0</v>
      </c>
      <c r="F8847" s="5" t="s">
        <v>9</v>
      </c>
      <c r="G8847" s="15" t="s">
        <v>8</v>
      </c>
      <c r="H8847" s="24">
        <v>1.9999999960418791</v>
      </c>
      <c r="I8847" s="24">
        <v>1.9999999960418791</v>
      </c>
      <c r="J8847" s="24" t="s">
        <v>21</v>
      </c>
      <c r="K8847" s="24" t="s">
        <v>21</v>
      </c>
      <c r="L8847" s="24" t="s">
        <v>21</v>
      </c>
      <c r="M8847" s="24" t="s">
        <v>21</v>
      </c>
      <c r="N8847" s="24" t="s">
        <v>21</v>
      </c>
      <c r="O8847" s="24" t="s">
        <v>21</v>
      </c>
      <c r="P8847" s="24" t="s">
        <v>21</v>
      </c>
      <c r="Q8847" s="24" t="s">
        <v>21</v>
      </c>
      <c r="R8847" s="24" t="s">
        <v>21</v>
      </c>
      <c r="S8847" s="24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5">
        <v>0</v>
      </c>
      <c r="E8848" s="5">
        <v>4</v>
      </c>
      <c r="F8848" s="5" t="s">
        <v>9</v>
      </c>
      <c r="G8848" s="15" t="s">
        <v>8</v>
      </c>
      <c r="H8848" s="24">
        <v>1.000000003259629</v>
      </c>
      <c r="I8848" s="24">
        <v>1.000000003259629</v>
      </c>
      <c r="J8848" s="24" t="s">
        <v>21</v>
      </c>
      <c r="K8848" s="24" t="s">
        <v>21</v>
      </c>
      <c r="L8848" s="24" t="s">
        <v>21</v>
      </c>
      <c r="M8848" s="24" t="s">
        <v>21</v>
      </c>
      <c r="N8848" s="24" t="s">
        <v>21</v>
      </c>
      <c r="O8848" s="24" t="s">
        <v>21</v>
      </c>
      <c r="P8848" s="24" t="s">
        <v>21</v>
      </c>
      <c r="Q8848" s="24" t="s">
        <v>21</v>
      </c>
      <c r="R8848" s="24" t="s">
        <v>21</v>
      </c>
      <c r="S8848" s="24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5">
        <v>0</v>
      </c>
      <c r="E8849" s="5">
        <v>5</v>
      </c>
      <c r="F8849" s="5" t="s">
        <v>9</v>
      </c>
      <c r="G8849" s="15" t="s">
        <v>8</v>
      </c>
      <c r="H8849" s="24">
        <v>0</v>
      </c>
      <c r="I8849" s="24">
        <v>0</v>
      </c>
      <c r="J8849" s="24" t="s">
        <v>21</v>
      </c>
      <c r="K8849" s="24" t="s">
        <v>21</v>
      </c>
      <c r="L8849" s="24" t="s">
        <v>21</v>
      </c>
      <c r="M8849" s="24" t="s">
        <v>21</v>
      </c>
      <c r="N8849" s="24" t="s">
        <v>21</v>
      </c>
      <c r="O8849" s="24" t="s">
        <v>21</v>
      </c>
      <c r="P8849" s="24" t="s">
        <v>21</v>
      </c>
      <c r="Q8849" s="24" t="s">
        <v>21</v>
      </c>
      <c r="R8849" s="24" t="s">
        <v>21</v>
      </c>
      <c r="S8849" s="24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5">
        <v>0</v>
      </c>
      <c r="E8850" s="5">
        <v>5</v>
      </c>
      <c r="F8850" s="5" t="s">
        <v>9</v>
      </c>
      <c r="G8850" s="15" t="s">
        <v>8</v>
      </c>
      <c r="H8850" s="24">
        <v>1.000000003259629</v>
      </c>
      <c r="I8850" s="24">
        <v>1.000000003259629</v>
      </c>
      <c r="J8850" s="24" t="s">
        <v>21</v>
      </c>
      <c r="K8850" s="24" t="s">
        <v>21</v>
      </c>
      <c r="L8850" s="24" t="s">
        <v>21</v>
      </c>
      <c r="M8850" s="24" t="s">
        <v>21</v>
      </c>
      <c r="N8850" s="24" t="s">
        <v>21</v>
      </c>
      <c r="O8850" s="24" t="s">
        <v>21</v>
      </c>
      <c r="P8850" s="24" t="s">
        <v>21</v>
      </c>
      <c r="Q8850" s="24" t="s">
        <v>21</v>
      </c>
      <c r="R8850" s="24" t="s">
        <v>21</v>
      </c>
      <c r="S8850" s="24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5">
        <v>0</v>
      </c>
      <c r="E8851" s="5">
        <v>2</v>
      </c>
      <c r="F8851" s="5" t="s">
        <v>9</v>
      </c>
      <c r="G8851" s="15" t="s">
        <v>8</v>
      </c>
      <c r="H8851" s="24">
        <v>0.99999999278225005</v>
      </c>
      <c r="I8851" s="24">
        <v>0.99999999278225005</v>
      </c>
      <c r="J8851" s="24" t="s">
        <v>21</v>
      </c>
      <c r="K8851" s="24" t="s">
        <v>21</v>
      </c>
      <c r="L8851" s="24" t="s">
        <v>21</v>
      </c>
      <c r="M8851" s="24" t="s">
        <v>21</v>
      </c>
      <c r="N8851" s="24" t="s">
        <v>21</v>
      </c>
      <c r="O8851" s="24" t="s">
        <v>21</v>
      </c>
      <c r="P8851" s="24" t="s">
        <v>21</v>
      </c>
      <c r="Q8851" s="24" t="s">
        <v>21</v>
      </c>
      <c r="R8851" s="24" t="s">
        <v>21</v>
      </c>
      <c r="S8851" s="24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5">
        <v>0</v>
      </c>
      <c r="E8852" s="5">
        <v>3</v>
      </c>
      <c r="F8852" s="5" t="s">
        <v>9</v>
      </c>
      <c r="G8852" s="15" t="s">
        <v>8</v>
      </c>
      <c r="H8852" s="24">
        <v>1.000000003259629</v>
      </c>
      <c r="I8852" s="24">
        <v>1.000000003259629</v>
      </c>
      <c r="J8852" s="24" t="s">
        <v>21</v>
      </c>
      <c r="K8852" s="24" t="s">
        <v>21</v>
      </c>
      <c r="L8852" s="24" t="s">
        <v>21</v>
      </c>
      <c r="M8852" s="24" t="s">
        <v>21</v>
      </c>
      <c r="N8852" s="24" t="s">
        <v>21</v>
      </c>
      <c r="O8852" s="24" t="s">
        <v>21</v>
      </c>
      <c r="P8852" s="24" t="s">
        <v>21</v>
      </c>
      <c r="Q8852" s="24" t="s">
        <v>21</v>
      </c>
      <c r="R8852" s="24" t="s">
        <v>21</v>
      </c>
      <c r="S8852" s="24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5">
        <v>0</v>
      </c>
      <c r="E8853" s="5">
        <v>2</v>
      </c>
      <c r="F8853" s="5" t="s">
        <v>9</v>
      </c>
      <c r="G8853" s="15" t="s">
        <v>8</v>
      </c>
      <c r="H8853" s="24">
        <v>0</v>
      </c>
      <c r="I8853" s="24">
        <v>0</v>
      </c>
      <c r="J8853" s="24" t="s">
        <v>21</v>
      </c>
      <c r="K8853" s="24" t="s">
        <v>21</v>
      </c>
      <c r="L8853" s="24" t="s">
        <v>21</v>
      </c>
      <c r="M8853" s="24" t="s">
        <v>21</v>
      </c>
      <c r="N8853" s="24" t="s">
        <v>21</v>
      </c>
      <c r="O8853" s="24" t="s">
        <v>21</v>
      </c>
      <c r="P8853" s="24" t="s">
        <v>21</v>
      </c>
      <c r="Q8853" s="24" t="s">
        <v>21</v>
      </c>
      <c r="R8853" s="24" t="s">
        <v>21</v>
      </c>
      <c r="S8853" s="24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5">
        <v>0</v>
      </c>
      <c r="E8854" s="5">
        <v>1</v>
      </c>
      <c r="F8854" s="5" t="s">
        <v>9</v>
      </c>
      <c r="G8854" s="15" t="s">
        <v>8</v>
      </c>
      <c r="H8854" s="24">
        <v>1.9999999960418791</v>
      </c>
      <c r="I8854" s="24">
        <v>1.9999999960418791</v>
      </c>
      <c r="J8854" s="24" t="s">
        <v>21</v>
      </c>
      <c r="K8854" s="24" t="s">
        <v>21</v>
      </c>
      <c r="L8854" s="24" t="s">
        <v>21</v>
      </c>
      <c r="M8854" s="24" t="s">
        <v>21</v>
      </c>
      <c r="N8854" s="24" t="s">
        <v>21</v>
      </c>
      <c r="O8854" s="24" t="s">
        <v>21</v>
      </c>
      <c r="P8854" s="24" t="s">
        <v>21</v>
      </c>
      <c r="Q8854" s="24" t="s">
        <v>21</v>
      </c>
      <c r="R8854" s="24" t="s">
        <v>21</v>
      </c>
      <c r="S8854" s="24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5">
        <v>0</v>
      </c>
      <c r="E8855" s="5">
        <v>1</v>
      </c>
      <c r="F8855" s="5" t="s">
        <v>9</v>
      </c>
      <c r="G8855" s="15" t="s">
        <v>8</v>
      </c>
      <c r="H8855" s="24">
        <v>0</v>
      </c>
      <c r="I8855" s="24">
        <v>0</v>
      </c>
      <c r="J8855" s="24" t="s">
        <v>21</v>
      </c>
      <c r="K8855" s="24" t="s">
        <v>21</v>
      </c>
      <c r="L8855" s="24" t="s">
        <v>21</v>
      </c>
      <c r="M8855" s="24" t="s">
        <v>21</v>
      </c>
      <c r="N8855" s="24" t="s">
        <v>21</v>
      </c>
      <c r="O8855" s="24" t="s">
        <v>21</v>
      </c>
      <c r="P8855" s="24" t="s">
        <v>21</v>
      </c>
      <c r="Q8855" s="24" t="s">
        <v>21</v>
      </c>
      <c r="R8855" s="24" t="s">
        <v>21</v>
      </c>
      <c r="S8855" s="24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5">
        <v>0</v>
      </c>
      <c r="E8856" s="5">
        <v>3</v>
      </c>
      <c r="F8856" s="5" t="s">
        <v>9</v>
      </c>
      <c r="G8856" s="15" t="s">
        <v>8</v>
      </c>
      <c r="H8856" s="24">
        <v>1.000000003259629</v>
      </c>
      <c r="I8856" s="24">
        <v>1.000000003259629</v>
      </c>
      <c r="J8856" s="24" t="s">
        <v>21</v>
      </c>
      <c r="K8856" s="24" t="s">
        <v>21</v>
      </c>
      <c r="L8856" s="24" t="s">
        <v>21</v>
      </c>
      <c r="M8856" s="24" t="s">
        <v>21</v>
      </c>
      <c r="N8856" s="24" t="s">
        <v>21</v>
      </c>
      <c r="O8856" s="24" t="s">
        <v>21</v>
      </c>
      <c r="P8856" s="24" t="s">
        <v>21</v>
      </c>
      <c r="Q8856" s="24" t="s">
        <v>21</v>
      </c>
      <c r="R8856" s="24" t="s">
        <v>21</v>
      </c>
      <c r="S8856" s="24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5">
        <v>0</v>
      </c>
      <c r="E8857" s="5">
        <v>2</v>
      </c>
      <c r="F8857" s="5" t="s">
        <v>9</v>
      </c>
      <c r="G8857" s="15" t="s">
        <v>8</v>
      </c>
      <c r="H8857" s="24">
        <v>0</v>
      </c>
      <c r="I8857" s="24">
        <v>0</v>
      </c>
      <c r="J8857" s="24" t="s">
        <v>21</v>
      </c>
      <c r="K8857" s="24" t="s">
        <v>21</v>
      </c>
      <c r="L8857" s="24" t="s">
        <v>21</v>
      </c>
      <c r="M8857" s="24" t="s">
        <v>21</v>
      </c>
      <c r="N8857" s="24" t="s">
        <v>21</v>
      </c>
      <c r="O8857" s="24" t="s">
        <v>21</v>
      </c>
      <c r="P8857" s="24" t="s">
        <v>21</v>
      </c>
      <c r="Q8857" s="24" t="s">
        <v>21</v>
      </c>
      <c r="R8857" s="24" t="s">
        <v>21</v>
      </c>
      <c r="S8857" s="24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5">
        <v>0</v>
      </c>
      <c r="E8858" s="5">
        <v>4</v>
      </c>
      <c r="F8858" s="5" t="s">
        <v>9</v>
      </c>
      <c r="G8858" s="15" t="s">
        <v>8</v>
      </c>
      <c r="H8858" s="24">
        <v>1.000000003259629</v>
      </c>
      <c r="I8858" s="24">
        <v>1.000000003259629</v>
      </c>
      <c r="J8858" s="24" t="s">
        <v>21</v>
      </c>
      <c r="K8858" s="24" t="s">
        <v>21</v>
      </c>
      <c r="L8858" s="24" t="s">
        <v>21</v>
      </c>
      <c r="M8858" s="24" t="s">
        <v>21</v>
      </c>
      <c r="N8858" s="24" t="s">
        <v>21</v>
      </c>
      <c r="O8858" s="24" t="s">
        <v>21</v>
      </c>
      <c r="P8858" s="24" t="s">
        <v>21</v>
      </c>
      <c r="Q8858" s="24" t="s">
        <v>21</v>
      </c>
      <c r="R8858" s="24" t="s">
        <v>21</v>
      </c>
      <c r="S8858" s="24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7">
        <v>0</v>
      </c>
      <c r="E8859" s="7">
        <v>3</v>
      </c>
      <c r="F8859" s="7" t="s">
        <v>9</v>
      </c>
      <c r="G8859" s="16" t="s">
        <v>8</v>
      </c>
      <c r="H8859" s="25">
        <v>0</v>
      </c>
      <c r="I8859" s="25">
        <v>0</v>
      </c>
      <c r="J8859" s="25" t="s">
        <v>21</v>
      </c>
      <c r="K8859" s="25" t="s">
        <v>21</v>
      </c>
      <c r="L8859" s="25" t="s">
        <v>21</v>
      </c>
      <c r="M8859" s="25" t="s">
        <v>21</v>
      </c>
      <c r="N8859" s="25" t="s">
        <v>21</v>
      </c>
      <c r="O8859" s="25" t="s">
        <v>21</v>
      </c>
      <c r="P8859" s="25" t="s">
        <v>21</v>
      </c>
      <c r="Q8859" s="25" t="s">
        <v>21</v>
      </c>
      <c r="R8859" s="25" t="s">
        <v>21</v>
      </c>
      <c r="S8859" s="25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5">
        <v>0</v>
      </c>
      <c r="E8860" s="5">
        <v>2</v>
      </c>
      <c r="F8860" s="5" t="s">
        <v>9</v>
      </c>
      <c r="G8860" s="15" t="s">
        <v>8</v>
      </c>
      <c r="H8860" s="24">
        <v>773.99999999790452</v>
      </c>
      <c r="I8860" s="24">
        <v>773.99999999790452</v>
      </c>
      <c r="J8860" s="24" t="s">
        <v>21</v>
      </c>
      <c r="K8860" s="24" t="s">
        <v>21</v>
      </c>
      <c r="L8860" s="24" t="s">
        <v>21</v>
      </c>
      <c r="M8860" s="24" t="s">
        <v>21</v>
      </c>
      <c r="N8860" s="24" t="s">
        <v>21</v>
      </c>
      <c r="O8860" s="24" t="s">
        <v>21</v>
      </c>
      <c r="P8860" s="24" t="s">
        <v>21</v>
      </c>
      <c r="Q8860" s="24" t="s">
        <v>21</v>
      </c>
      <c r="R8860" s="24" t="s">
        <v>21</v>
      </c>
      <c r="S8860" s="24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5">
        <v>0</v>
      </c>
      <c r="E8861" s="5">
        <v>1</v>
      </c>
      <c r="F8861" s="5" t="s">
        <v>9</v>
      </c>
      <c r="G8861" s="15" t="s">
        <v>8</v>
      </c>
      <c r="H8861" s="24">
        <v>0</v>
      </c>
      <c r="I8861" s="24">
        <v>0</v>
      </c>
      <c r="J8861" s="24" t="s">
        <v>21</v>
      </c>
      <c r="K8861" s="24" t="s">
        <v>21</v>
      </c>
      <c r="L8861" s="24" t="s">
        <v>21</v>
      </c>
      <c r="M8861" s="24" t="s">
        <v>21</v>
      </c>
      <c r="N8861" s="24" t="s">
        <v>21</v>
      </c>
      <c r="O8861" s="24" t="s">
        <v>21</v>
      </c>
      <c r="P8861" s="24" t="s">
        <v>21</v>
      </c>
      <c r="Q8861" s="24" t="s">
        <v>21</v>
      </c>
      <c r="R8861" s="24" t="s">
        <v>21</v>
      </c>
      <c r="S8861" s="24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5">
        <v>12</v>
      </c>
      <c r="E8862" s="5">
        <v>0</v>
      </c>
      <c r="F8862" s="5" t="s">
        <v>9</v>
      </c>
      <c r="G8862" s="15" t="s">
        <v>8</v>
      </c>
      <c r="H8862" s="24">
        <v>181.99999999604188</v>
      </c>
      <c r="I8862" s="24" t="s">
        <v>21</v>
      </c>
      <c r="J8862" s="24" t="s">
        <v>21</v>
      </c>
      <c r="K8862" s="24" t="s">
        <v>21</v>
      </c>
      <c r="L8862" s="24">
        <v>1122.0000000006985</v>
      </c>
      <c r="M8862" s="24" t="s">
        <v>21</v>
      </c>
      <c r="N8862" s="24" t="s">
        <v>21</v>
      </c>
      <c r="O8862" s="24" t="s">
        <v>21</v>
      </c>
      <c r="P8862" s="24" t="s">
        <v>21</v>
      </c>
      <c r="Q8862" s="24" t="s">
        <v>21</v>
      </c>
      <c r="R8862" s="24" t="s">
        <v>21</v>
      </c>
      <c r="S8862" s="24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5">
        <v>10</v>
      </c>
      <c r="E8863" s="5">
        <v>0</v>
      </c>
      <c r="F8863" s="5" t="s">
        <v>9</v>
      </c>
      <c r="G8863" s="15" t="s">
        <v>8</v>
      </c>
      <c r="H8863" s="24">
        <v>187.00000000186265</v>
      </c>
      <c r="I8863" s="24" t="s">
        <v>21</v>
      </c>
      <c r="J8863" s="24" t="s">
        <v>21</v>
      </c>
      <c r="K8863" s="24" t="s">
        <v>21</v>
      </c>
      <c r="L8863" s="24">
        <v>187.00000000186265</v>
      </c>
      <c r="M8863" s="24" t="s">
        <v>21</v>
      </c>
      <c r="N8863" s="24" t="s">
        <v>21</v>
      </c>
      <c r="O8863" s="24" t="s">
        <v>21</v>
      </c>
      <c r="P8863" s="24" t="s">
        <v>21</v>
      </c>
      <c r="Q8863" s="24" t="s">
        <v>21</v>
      </c>
      <c r="R8863" s="24" t="s">
        <v>21</v>
      </c>
      <c r="S8863" s="24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5">
        <v>16</v>
      </c>
      <c r="E8864" s="5">
        <v>0</v>
      </c>
      <c r="F8864" s="5" t="s">
        <v>9</v>
      </c>
      <c r="G8864" s="15" t="s">
        <v>8</v>
      </c>
      <c r="H8864" s="24">
        <v>0</v>
      </c>
      <c r="I8864" s="24" t="s">
        <v>21</v>
      </c>
      <c r="J8864" s="24" t="s">
        <v>21</v>
      </c>
      <c r="K8864" s="24" t="s">
        <v>21</v>
      </c>
      <c r="L8864" s="24">
        <v>0</v>
      </c>
      <c r="M8864" s="24" t="s">
        <v>21</v>
      </c>
      <c r="N8864" s="24" t="s">
        <v>21</v>
      </c>
      <c r="O8864" s="24" t="s">
        <v>21</v>
      </c>
      <c r="P8864" s="24" t="s">
        <v>21</v>
      </c>
      <c r="Q8864" s="24" t="s">
        <v>21</v>
      </c>
      <c r="R8864" s="24" t="s">
        <v>21</v>
      </c>
      <c r="S8864" s="24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5">
        <v>12</v>
      </c>
      <c r="E8865" s="5">
        <v>0</v>
      </c>
      <c r="F8865" s="5" t="s">
        <v>9</v>
      </c>
      <c r="G8865" s="15" t="s">
        <v>8</v>
      </c>
      <c r="H8865" s="24">
        <v>0</v>
      </c>
      <c r="I8865" s="24" t="s">
        <v>21</v>
      </c>
      <c r="J8865" s="24" t="s">
        <v>21</v>
      </c>
      <c r="K8865" s="24" t="s">
        <v>21</v>
      </c>
      <c r="L8865" s="24">
        <v>0</v>
      </c>
      <c r="M8865" s="24" t="s">
        <v>21</v>
      </c>
      <c r="N8865" s="24" t="s">
        <v>21</v>
      </c>
      <c r="O8865" s="24" t="s">
        <v>21</v>
      </c>
      <c r="P8865" s="24" t="s">
        <v>21</v>
      </c>
      <c r="Q8865" s="24" t="s">
        <v>21</v>
      </c>
      <c r="R8865" s="24" t="s">
        <v>21</v>
      </c>
      <c r="S8865" s="24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5">
        <v>6</v>
      </c>
      <c r="E8866" s="5">
        <v>0</v>
      </c>
      <c r="F8866" s="5" t="s">
        <v>9</v>
      </c>
      <c r="G8866" s="15" t="s">
        <v>8</v>
      </c>
      <c r="H8866" s="24">
        <v>1.000000003259629</v>
      </c>
      <c r="I8866" s="24" t="s">
        <v>21</v>
      </c>
      <c r="J8866" s="24" t="s">
        <v>21</v>
      </c>
      <c r="K8866" s="24" t="s">
        <v>21</v>
      </c>
      <c r="L8866" s="24">
        <v>1.000000003259629</v>
      </c>
      <c r="M8866" s="24" t="s">
        <v>21</v>
      </c>
      <c r="N8866" s="24" t="s">
        <v>21</v>
      </c>
      <c r="O8866" s="24" t="s">
        <v>21</v>
      </c>
      <c r="P8866" s="24" t="s">
        <v>21</v>
      </c>
      <c r="Q8866" s="24" t="s">
        <v>21</v>
      </c>
      <c r="R8866" s="24" t="s">
        <v>21</v>
      </c>
      <c r="S8866" s="24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5">
        <v>4</v>
      </c>
      <c r="E8867" s="5">
        <v>2</v>
      </c>
      <c r="F8867" s="5" t="s">
        <v>9</v>
      </c>
      <c r="G8867" s="15" t="s">
        <v>8</v>
      </c>
      <c r="H8867" s="24">
        <v>0</v>
      </c>
      <c r="I8867" s="24" t="s">
        <v>21</v>
      </c>
      <c r="J8867" s="24" t="s">
        <v>21</v>
      </c>
      <c r="K8867" s="24" t="s">
        <v>21</v>
      </c>
      <c r="L8867" s="24">
        <v>0</v>
      </c>
      <c r="M8867" s="24" t="s">
        <v>21</v>
      </c>
      <c r="N8867" s="24" t="s">
        <v>21</v>
      </c>
      <c r="O8867" s="24" t="s">
        <v>21</v>
      </c>
      <c r="P8867" s="24" t="s">
        <v>21</v>
      </c>
      <c r="Q8867" s="24" t="s">
        <v>21</v>
      </c>
      <c r="R8867" s="24" t="s">
        <v>21</v>
      </c>
      <c r="S8867" s="24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5">
        <v>0</v>
      </c>
      <c r="E8868" s="5">
        <v>4</v>
      </c>
      <c r="F8868" s="5" t="s">
        <v>9</v>
      </c>
      <c r="G8868" s="15" t="s">
        <v>8</v>
      </c>
      <c r="H8868" s="24">
        <v>256.99999999953434</v>
      </c>
      <c r="I8868" s="24">
        <v>627.00000000069849</v>
      </c>
      <c r="J8868" s="24" t="s">
        <v>21</v>
      </c>
      <c r="K8868" s="24" t="s">
        <v>21</v>
      </c>
      <c r="L8868" s="24" t="s">
        <v>21</v>
      </c>
      <c r="M8868" s="24" t="s">
        <v>21</v>
      </c>
      <c r="N8868" s="24" t="s">
        <v>21</v>
      </c>
      <c r="O8868" s="24" t="s">
        <v>21</v>
      </c>
      <c r="P8868" s="24" t="s">
        <v>21</v>
      </c>
      <c r="Q8868" s="24" t="s">
        <v>21</v>
      </c>
      <c r="R8868" s="24" t="s">
        <v>21</v>
      </c>
      <c r="S8868" s="24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5">
        <v>0</v>
      </c>
      <c r="E8869" s="5">
        <v>5</v>
      </c>
      <c r="F8869" s="5" t="s">
        <v>9</v>
      </c>
      <c r="G8869" s="15" t="s">
        <v>8</v>
      </c>
      <c r="H8869" s="24">
        <v>1.000000003259629</v>
      </c>
      <c r="I8869" s="24">
        <v>1.000000003259629</v>
      </c>
      <c r="J8869" s="24" t="s">
        <v>21</v>
      </c>
      <c r="K8869" s="24" t="s">
        <v>21</v>
      </c>
      <c r="L8869" s="24" t="s">
        <v>21</v>
      </c>
      <c r="M8869" s="24" t="s">
        <v>21</v>
      </c>
      <c r="N8869" s="24" t="s">
        <v>21</v>
      </c>
      <c r="O8869" s="24" t="s">
        <v>21</v>
      </c>
      <c r="P8869" s="24" t="s">
        <v>21</v>
      </c>
      <c r="Q8869" s="24" t="s">
        <v>21</v>
      </c>
      <c r="R8869" s="24" t="s">
        <v>21</v>
      </c>
      <c r="S8869" s="24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5">
        <v>0</v>
      </c>
      <c r="E8870" s="5">
        <v>4</v>
      </c>
      <c r="F8870" s="5" t="s">
        <v>9</v>
      </c>
      <c r="G8870" s="15" t="s">
        <v>8</v>
      </c>
      <c r="H8870" s="24">
        <v>0.99999999278225005</v>
      </c>
      <c r="I8870" s="24">
        <v>0.99999999278225005</v>
      </c>
      <c r="J8870" s="24" t="s">
        <v>21</v>
      </c>
      <c r="K8870" s="24" t="s">
        <v>21</v>
      </c>
      <c r="L8870" s="24" t="s">
        <v>21</v>
      </c>
      <c r="M8870" s="24" t="s">
        <v>21</v>
      </c>
      <c r="N8870" s="24" t="s">
        <v>21</v>
      </c>
      <c r="O8870" s="24" t="s">
        <v>21</v>
      </c>
      <c r="P8870" s="24" t="s">
        <v>21</v>
      </c>
      <c r="Q8870" s="24" t="s">
        <v>21</v>
      </c>
      <c r="R8870" s="24" t="s">
        <v>21</v>
      </c>
      <c r="S8870" s="24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5">
        <v>0</v>
      </c>
      <c r="E8871" s="5">
        <v>6</v>
      </c>
      <c r="F8871" s="5" t="s">
        <v>9</v>
      </c>
      <c r="G8871" s="15" t="s">
        <v>8</v>
      </c>
      <c r="H8871" s="24">
        <v>0</v>
      </c>
      <c r="I8871" s="24">
        <v>0</v>
      </c>
      <c r="J8871" s="24" t="s">
        <v>21</v>
      </c>
      <c r="K8871" s="24" t="s">
        <v>21</v>
      </c>
      <c r="L8871" s="24" t="s">
        <v>21</v>
      </c>
      <c r="M8871" s="24" t="s">
        <v>21</v>
      </c>
      <c r="N8871" s="24" t="s">
        <v>21</v>
      </c>
      <c r="O8871" s="24" t="s">
        <v>21</v>
      </c>
      <c r="P8871" s="24" t="s">
        <v>21</v>
      </c>
      <c r="Q8871" s="24" t="s">
        <v>21</v>
      </c>
      <c r="R8871" s="24" t="s">
        <v>21</v>
      </c>
      <c r="S8871" s="24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5">
        <v>10</v>
      </c>
      <c r="E8872" s="5">
        <v>0</v>
      </c>
      <c r="F8872" s="5" t="s">
        <v>9</v>
      </c>
      <c r="G8872" s="15" t="s">
        <v>8</v>
      </c>
      <c r="H8872" s="24">
        <v>1.000000003259629</v>
      </c>
      <c r="I8872" s="24">
        <v>1.000000003259629</v>
      </c>
      <c r="J8872" s="24" t="s">
        <v>21</v>
      </c>
      <c r="K8872" s="24" t="s">
        <v>21</v>
      </c>
      <c r="L8872" s="24" t="s">
        <v>21</v>
      </c>
      <c r="M8872" s="24" t="s">
        <v>21</v>
      </c>
      <c r="N8872" s="24" t="s">
        <v>21</v>
      </c>
      <c r="O8872" s="24" t="s">
        <v>21</v>
      </c>
      <c r="P8872" s="24" t="s">
        <v>21</v>
      </c>
      <c r="Q8872" s="24" t="s">
        <v>21</v>
      </c>
      <c r="R8872" s="24" t="s">
        <v>21</v>
      </c>
      <c r="S8872" s="24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5">
        <v>0</v>
      </c>
      <c r="E8873" s="5">
        <v>0</v>
      </c>
      <c r="F8873" s="5" t="s">
        <v>9</v>
      </c>
      <c r="G8873" s="15" t="s">
        <v>8</v>
      </c>
      <c r="H8873" s="24">
        <v>0</v>
      </c>
      <c r="I8873" s="24">
        <v>0</v>
      </c>
      <c r="J8873" s="24" t="s">
        <v>21</v>
      </c>
      <c r="K8873" s="24" t="s">
        <v>21</v>
      </c>
      <c r="L8873" s="24" t="s">
        <v>21</v>
      </c>
      <c r="M8873" s="24" t="s">
        <v>21</v>
      </c>
      <c r="N8873" s="24" t="s">
        <v>21</v>
      </c>
      <c r="O8873" s="24" t="s">
        <v>21</v>
      </c>
      <c r="P8873" s="24" t="s">
        <v>21</v>
      </c>
      <c r="Q8873" s="24" t="s">
        <v>21</v>
      </c>
      <c r="R8873" s="24" t="s">
        <v>21</v>
      </c>
      <c r="S8873" s="24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5">
        <v>5</v>
      </c>
      <c r="E8874" s="5">
        <v>1</v>
      </c>
      <c r="F8874" s="5" t="s">
        <v>9</v>
      </c>
      <c r="G8874" s="15" t="s">
        <v>8</v>
      </c>
      <c r="H8874" s="24">
        <v>0</v>
      </c>
      <c r="I8874" s="24">
        <v>0</v>
      </c>
      <c r="J8874" s="24" t="s">
        <v>21</v>
      </c>
      <c r="K8874" s="24" t="s">
        <v>21</v>
      </c>
      <c r="L8874" s="24" t="s">
        <v>21</v>
      </c>
      <c r="M8874" s="24" t="s">
        <v>21</v>
      </c>
      <c r="N8874" s="24" t="s">
        <v>21</v>
      </c>
      <c r="O8874" s="24" t="s">
        <v>21</v>
      </c>
      <c r="P8874" s="24" t="s">
        <v>21</v>
      </c>
      <c r="Q8874" s="24" t="s">
        <v>21</v>
      </c>
      <c r="R8874" s="24" t="s">
        <v>21</v>
      </c>
      <c r="S8874" s="24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5">
        <v>0</v>
      </c>
      <c r="E8875" s="5">
        <v>10</v>
      </c>
      <c r="F8875" s="5" t="s">
        <v>9</v>
      </c>
      <c r="G8875" s="15" t="s">
        <v>8</v>
      </c>
      <c r="H8875" s="24">
        <v>1.000000003259629</v>
      </c>
      <c r="I8875" s="24">
        <v>1.000000003259629</v>
      </c>
      <c r="J8875" s="24" t="s">
        <v>21</v>
      </c>
      <c r="K8875" s="24" t="s">
        <v>21</v>
      </c>
      <c r="L8875" s="24" t="s">
        <v>21</v>
      </c>
      <c r="M8875" s="24" t="s">
        <v>21</v>
      </c>
      <c r="N8875" s="24" t="s">
        <v>21</v>
      </c>
      <c r="O8875" s="24" t="s">
        <v>21</v>
      </c>
      <c r="P8875" s="24" t="s">
        <v>21</v>
      </c>
      <c r="Q8875" s="24" t="s">
        <v>21</v>
      </c>
      <c r="R8875" s="24" t="s">
        <v>21</v>
      </c>
      <c r="S8875" s="24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5">
        <v>0</v>
      </c>
      <c r="E8876" s="5">
        <v>11</v>
      </c>
      <c r="F8876" s="5" t="s">
        <v>9</v>
      </c>
      <c r="G8876" s="15" t="s">
        <v>8</v>
      </c>
      <c r="H8876" s="24">
        <v>0</v>
      </c>
      <c r="I8876" s="24">
        <v>0</v>
      </c>
      <c r="J8876" s="24" t="s">
        <v>21</v>
      </c>
      <c r="K8876" s="24" t="s">
        <v>21</v>
      </c>
      <c r="L8876" s="24" t="s">
        <v>21</v>
      </c>
      <c r="M8876" s="24" t="s">
        <v>21</v>
      </c>
      <c r="N8876" s="24" t="s">
        <v>21</v>
      </c>
      <c r="O8876" s="24" t="s">
        <v>21</v>
      </c>
      <c r="P8876" s="24" t="s">
        <v>21</v>
      </c>
      <c r="Q8876" s="24" t="s">
        <v>21</v>
      </c>
      <c r="R8876" s="24" t="s">
        <v>21</v>
      </c>
      <c r="S8876" s="24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5">
        <v>0</v>
      </c>
      <c r="E8877" s="5">
        <v>2</v>
      </c>
      <c r="F8877" s="5" t="s">
        <v>9</v>
      </c>
      <c r="G8877" s="15" t="s">
        <v>8</v>
      </c>
      <c r="H8877" s="24">
        <v>0.99999999278225005</v>
      </c>
      <c r="I8877" s="24">
        <v>0.99999999278225005</v>
      </c>
      <c r="J8877" s="24" t="s">
        <v>21</v>
      </c>
      <c r="K8877" s="24" t="s">
        <v>21</v>
      </c>
      <c r="L8877" s="24" t="s">
        <v>21</v>
      </c>
      <c r="M8877" s="24" t="s">
        <v>21</v>
      </c>
      <c r="N8877" s="24" t="s">
        <v>21</v>
      </c>
      <c r="O8877" s="24" t="s">
        <v>21</v>
      </c>
      <c r="P8877" s="24" t="s">
        <v>21</v>
      </c>
      <c r="Q8877" s="24" t="s">
        <v>21</v>
      </c>
      <c r="R8877" s="24" t="s">
        <v>21</v>
      </c>
      <c r="S8877" s="24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5">
        <v>0</v>
      </c>
      <c r="E8878" s="5">
        <v>2</v>
      </c>
      <c r="F8878" s="5" t="s">
        <v>9</v>
      </c>
      <c r="G8878" s="15" t="s">
        <v>8</v>
      </c>
      <c r="H8878" s="24">
        <v>0</v>
      </c>
      <c r="I8878" s="24">
        <v>0</v>
      </c>
      <c r="J8878" s="24" t="s">
        <v>21</v>
      </c>
      <c r="K8878" s="24" t="s">
        <v>21</v>
      </c>
      <c r="L8878" s="24" t="s">
        <v>21</v>
      </c>
      <c r="M8878" s="24" t="s">
        <v>21</v>
      </c>
      <c r="N8878" s="24" t="s">
        <v>21</v>
      </c>
      <c r="O8878" s="24" t="s">
        <v>21</v>
      </c>
      <c r="P8878" s="24" t="s">
        <v>21</v>
      </c>
      <c r="Q8878" s="24" t="s">
        <v>21</v>
      </c>
      <c r="R8878" s="24" t="s">
        <v>21</v>
      </c>
      <c r="S8878" s="24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5">
        <v>0</v>
      </c>
      <c r="E8879" s="5">
        <v>1</v>
      </c>
      <c r="F8879" s="5" t="s">
        <v>9</v>
      </c>
      <c r="G8879" s="15" t="s">
        <v>8</v>
      </c>
      <c r="H8879" s="24">
        <v>0</v>
      </c>
      <c r="I8879" s="24">
        <v>0</v>
      </c>
      <c r="J8879" s="24" t="s">
        <v>21</v>
      </c>
      <c r="K8879" s="24" t="s">
        <v>21</v>
      </c>
      <c r="L8879" s="24" t="s">
        <v>21</v>
      </c>
      <c r="M8879" s="24" t="s">
        <v>21</v>
      </c>
      <c r="N8879" s="24" t="s">
        <v>21</v>
      </c>
      <c r="O8879" s="24" t="s">
        <v>21</v>
      </c>
      <c r="P8879" s="24" t="s">
        <v>21</v>
      </c>
      <c r="Q8879" s="24" t="s">
        <v>21</v>
      </c>
      <c r="R8879" s="24" t="s">
        <v>21</v>
      </c>
      <c r="S8879" s="24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5">
        <v>0</v>
      </c>
      <c r="E8880" s="5">
        <v>4</v>
      </c>
      <c r="F8880" s="5" t="s">
        <v>9</v>
      </c>
      <c r="G8880" s="15" t="s">
        <v>8</v>
      </c>
      <c r="H8880" s="24">
        <v>1.000000003259629</v>
      </c>
      <c r="I8880" s="24">
        <v>1.000000003259629</v>
      </c>
      <c r="J8880" s="24" t="s">
        <v>21</v>
      </c>
      <c r="K8880" s="24" t="s">
        <v>21</v>
      </c>
      <c r="L8880" s="24" t="s">
        <v>21</v>
      </c>
      <c r="M8880" s="24" t="s">
        <v>21</v>
      </c>
      <c r="N8880" s="24" t="s">
        <v>21</v>
      </c>
      <c r="O8880" s="24" t="s">
        <v>21</v>
      </c>
      <c r="P8880" s="24" t="s">
        <v>21</v>
      </c>
      <c r="Q8880" s="24" t="s">
        <v>21</v>
      </c>
      <c r="R8880" s="24" t="s">
        <v>21</v>
      </c>
      <c r="S8880" s="24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5">
        <v>0</v>
      </c>
      <c r="E8881" s="5">
        <v>3</v>
      </c>
      <c r="F8881" s="5" t="s">
        <v>9</v>
      </c>
      <c r="G8881" s="15" t="s">
        <v>8</v>
      </c>
      <c r="H8881" s="24">
        <v>0</v>
      </c>
      <c r="I8881" s="24">
        <v>0</v>
      </c>
      <c r="J8881" s="24" t="s">
        <v>21</v>
      </c>
      <c r="K8881" s="24" t="s">
        <v>21</v>
      </c>
      <c r="L8881" s="24" t="s">
        <v>21</v>
      </c>
      <c r="M8881" s="24" t="s">
        <v>21</v>
      </c>
      <c r="N8881" s="24" t="s">
        <v>21</v>
      </c>
      <c r="O8881" s="24" t="s">
        <v>21</v>
      </c>
      <c r="P8881" s="24" t="s">
        <v>21</v>
      </c>
      <c r="Q8881" s="24" t="s">
        <v>21</v>
      </c>
      <c r="R8881" s="24" t="s">
        <v>21</v>
      </c>
      <c r="S8881" s="24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5">
        <v>0</v>
      </c>
      <c r="E8882" s="5">
        <v>4</v>
      </c>
      <c r="F8882" s="5" t="s">
        <v>9</v>
      </c>
      <c r="G8882" s="15" t="s">
        <v>8</v>
      </c>
      <c r="H8882" s="24">
        <v>1.000000003259629</v>
      </c>
      <c r="I8882" s="24">
        <v>1.000000003259629</v>
      </c>
      <c r="J8882" s="24" t="s">
        <v>21</v>
      </c>
      <c r="K8882" s="24" t="s">
        <v>21</v>
      </c>
      <c r="L8882" s="24" t="s">
        <v>21</v>
      </c>
      <c r="M8882" s="24" t="s">
        <v>21</v>
      </c>
      <c r="N8882" s="24" t="s">
        <v>21</v>
      </c>
      <c r="O8882" s="24" t="s">
        <v>21</v>
      </c>
      <c r="P8882" s="24" t="s">
        <v>21</v>
      </c>
      <c r="Q8882" s="24" t="s">
        <v>21</v>
      </c>
      <c r="R8882" s="24" t="s">
        <v>21</v>
      </c>
      <c r="S8882" s="24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5">
        <v>0</v>
      </c>
      <c r="E8883" s="5">
        <v>3</v>
      </c>
      <c r="F8883" s="5" t="s">
        <v>9</v>
      </c>
      <c r="G8883" s="15" t="s">
        <v>8</v>
      </c>
      <c r="H8883" s="24">
        <v>0.99999999278225005</v>
      </c>
      <c r="I8883" s="24">
        <v>0.99999999278225005</v>
      </c>
      <c r="J8883" s="24" t="s">
        <v>21</v>
      </c>
      <c r="K8883" s="24" t="s">
        <v>21</v>
      </c>
      <c r="L8883" s="24" t="s">
        <v>21</v>
      </c>
      <c r="M8883" s="24" t="s">
        <v>21</v>
      </c>
      <c r="N8883" s="24" t="s">
        <v>21</v>
      </c>
      <c r="O8883" s="24" t="s">
        <v>21</v>
      </c>
      <c r="P8883" s="24" t="s">
        <v>21</v>
      </c>
      <c r="Q8883" s="24" t="s">
        <v>21</v>
      </c>
      <c r="R8883" s="24" t="s">
        <v>21</v>
      </c>
      <c r="S8883" s="24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5">
        <v>0</v>
      </c>
      <c r="E8884" s="5">
        <v>3</v>
      </c>
      <c r="F8884" s="5" t="s">
        <v>9</v>
      </c>
      <c r="G8884" s="15" t="s">
        <v>8</v>
      </c>
      <c r="H8884" s="24">
        <v>0</v>
      </c>
      <c r="I8884" s="24">
        <v>0</v>
      </c>
      <c r="J8884" s="24" t="s">
        <v>21</v>
      </c>
      <c r="K8884" s="24" t="s">
        <v>21</v>
      </c>
      <c r="L8884" s="24" t="s">
        <v>21</v>
      </c>
      <c r="M8884" s="24" t="s">
        <v>21</v>
      </c>
      <c r="N8884" s="24" t="s">
        <v>21</v>
      </c>
      <c r="O8884" s="24" t="s">
        <v>21</v>
      </c>
      <c r="P8884" s="24" t="s">
        <v>21</v>
      </c>
      <c r="Q8884" s="24" t="s">
        <v>21</v>
      </c>
      <c r="R8884" s="24" t="s">
        <v>21</v>
      </c>
      <c r="S8884" s="24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5">
        <v>0</v>
      </c>
      <c r="E8885" s="5">
        <v>3</v>
      </c>
      <c r="F8885" s="5" t="s">
        <v>9</v>
      </c>
      <c r="G8885" s="15" t="s">
        <v>8</v>
      </c>
      <c r="H8885" s="24">
        <v>1.000000003259629</v>
      </c>
      <c r="I8885" s="24">
        <v>1.000000003259629</v>
      </c>
      <c r="J8885" s="24" t="s">
        <v>21</v>
      </c>
      <c r="K8885" s="24" t="s">
        <v>21</v>
      </c>
      <c r="L8885" s="24" t="s">
        <v>21</v>
      </c>
      <c r="M8885" s="24" t="s">
        <v>21</v>
      </c>
      <c r="N8885" s="24" t="s">
        <v>21</v>
      </c>
      <c r="O8885" s="24" t="s">
        <v>21</v>
      </c>
      <c r="P8885" s="24" t="s">
        <v>21</v>
      </c>
      <c r="Q8885" s="24" t="s">
        <v>21</v>
      </c>
      <c r="R8885" s="24" t="s">
        <v>21</v>
      </c>
      <c r="S8885" s="24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5">
        <v>0</v>
      </c>
      <c r="E8886" s="5">
        <v>2</v>
      </c>
      <c r="F8886" s="5" t="s">
        <v>9</v>
      </c>
      <c r="G8886" s="15" t="s">
        <v>8</v>
      </c>
      <c r="H8886" s="24">
        <v>1.000000003259629</v>
      </c>
      <c r="I8886" s="24">
        <v>1.000000003259629</v>
      </c>
      <c r="J8886" s="24" t="s">
        <v>21</v>
      </c>
      <c r="K8886" s="24" t="s">
        <v>21</v>
      </c>
      <c r="L8886" s="24" t="s">
        <v>21</v>
      </c>
      <c r="M8886" s="24" t="s">
        <v>21</v>
      </c>
      <c r="N8886" s="24" t="s">
        <v>21</v>
      </c>
      <c r="O8886" s="24" t="s">
        <v>21</v>
      </c>
      <c r="P8886" s="24" t="s">
        <v>21</v>
      </c>
      <c r="Q8886" s="24" t="s">
        <v>21</v>
      </c>
      <c r="R8886" s="24" t="s">
        <v>21</v>
      </c>
      <c r="S8886" s="24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5">
        <v>0</v>
      </c>
      <c r="E8887" s="5">
        <v>2</v>
      </c>
      <c r="F8887" s="5" t="s">
        <v>9</v>
      </c>
      <c r="G8887" s="15" t="s">
        <v>8</v>
      </c>
      <c r="H8887" s="24">
        <v>0</v>
      </c>
      <c r="I8887" s="24">
        <v>0</v>
      </c>
      <c r="J8887" s="24" t="s">
        <v>21</v>
      </c>
      <c r="K8887" s="24" t="s">
        <v>21</v>
      </c>
      <c r="L8887" s="24" t="s">
        <v>21</v>
      </c>
      <c r="M8887" s="24" t="s">
        <v>21</v>
      </c>
      <c r="N8887" s="24" t="s">
        <v>21</v>
      </c>
      <c r="O8887" s="24" t="s">
        <v>21</v>
      </c>
      <c r="P8887" s="24" t="s">
        <v>21</v>
      </c>
      <c r="Q8887" s="24" t="s">
        <v>21</v>
      </c>
      <c r="R8887" s="24" t="s">
        <v>21</v>
      </c>
      <c r="S8887" s="24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5">
        <v>0</v>
      </c>
      <c r="E8888" s="5">
        <v>1</v>
      </c>
      <c r="F8888" s="5" t="s">
        <v>9</v>
      </c>
      <c r="G8888" s="15" t="s">
        <v>8</v>
      </c>
      <c r="H8888" s="24">
        <v>1.000000003259629</v>
      </c>
      <c r="I8888" s="24">
        <v>1.000000003259629</v>
      </c>
      <c r="J8888" s="24" t="s">
        <v>21</v>
      </c>
      <c r="K8888" s="24" t="s">
        <v>21</v>
      </c>
      <c r="L8888" s="24" t="s">
        <v>21</v>
      </c>
      <c r="M8888" s="24" t="s">
        <v>21</v>
      </c>
      <c r="N8888" s="24" t="s">
        <v>21</v>
      </c>
      <c r="O8888" s="24" t="s">
        <v>21</v>
      </c>
      <c r="P8888" s="24" t="s">
        <v>21</v>
      </c>
      <c r="Q8888" s="24" t="s">
        <v>21</v>
      </c>
      <c r="R8888" s="24" t="s">
        <v>21</v>
      </c>
      <c r="S8888" s="24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5">
        <v>0</v>
      </c>
      <c r="E8889" s="5">
        <v>2</v>
      </c>
      <c r="F8889" s="5" t="s">
        <v>9</v>
      </c>
      <c r="G8889" s="15" t="s">
        <v>8</v>
      </c>
      <c r="H8889" s="24">
        <v>0</v>
      </c>
      <c r="I8889" s="24">
        <v>0</v>
      </c>
      <c r="J8889" s="24" t="s">
        <v>21</v>
      </c>
      <c r="K8889" s="24" t="s">
        <v>21</v>
      </c>
      <c r="L8889" s="24" t="s">
        <v>21</v>
      </c>
      <c r="M8889" s="24" t="s">
        <v>21</v>
      </c>
      <c r="N8889" s="24" t="s">
        <v>21</v>
      </c>
      <c r="O8889" s="24" t="s">
        <v>21</v>
      </c>
      <c r="P8889" s="24" t="s">
        <v>21</v>
      </c>
      <c r="Q8889" s="24" t="s">
        <v>21</v>
      </c>
      <c r="R8889" s="24" t="s">
        <v>21</v>
      </c>
      <c r="S8889" s="24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5">
        <v>0</v>
      </c>
      <c r="E8890" s="5">
        <v>2</v>
      </c>
      <c r="F8890" s="5" t="s">
        <v>9</v>
      </c>
      <c r="G8890" s="15" t="s">
        <v>8</v>
      </c>
      <c r="H8890" s="24">
        <v>0.99999999278225005</v>
      </c>
      <c r="I8890" s="24">
        <v>0.99999999278225005</v>
      </c>
      <c r="J8890" s="24" t="s">
        <v>21</v>
      </c>
      <c r="K8890" s="24" t="s">
        <v>21</v>
      </c>
      <c r="L8890" s="24" t="s">
        <v>21</v>
      </c>
      <c r="M8890" s="24" t="s">
        <v>21</v>
      </c>
      <c r="N8890" s="24" t="s">
        <v>21</v>
      </c>
      <c r="O8890" s="24" t="s">
        <v>21</v>
      </c>
      <c r="P8890" s="24" t="s">
        <v>21</v>
      </c>
      <c r="Q8890" s="24" t="s">
        <v>21</v>
      </c>
      <c r="R8890" s="24" t="s">
        <v>21</v>
      </c>
      <c r="S8890" s="24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5">
        <v>0</v>
      </c>
      <c r="E8891" s="5">
        <v>2</v>
      </c>
      <c r="F8891" s="5" t="s">
        <v>9</v>
      </c>
      <c r="G8891" s="15" t="s">
        <v>8</v>
      </c>
      <c r="H8891" s="24">
        <v>21.000000005587935</v>
      </c>
      <c r="I8891" s="24">
        <v>21.000000005587935</v>
      </c>
      <c r="J8891" s="24" t="s">
        <v>21</v>
      </c>
      <c r="K8891" s="24" t="s">
        <v>21</v>
      </c>
      <c r="L8891" s="24" t="s">
        <v>21</v>
      </c>
      <c r="M8891" s="24" t="s">
        <v>21</v>
      </c>
      <c r="N8891" s="24" t="s">
        <v>21</v>
      </c>
      <c r="O8891" s="24" t="s">
        <v>21</v>
      </c>
      <c r="P8891" s="24" t="s">
        <v>21</v>
      </c>
      <c r="Q8891" s="24" t="s">
        <v>21</v>
      </c>
      <c r="R8891" s="24" t="s">
        <v>21</v>
      </c>
      <c r="S8891" s="24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5">
        <v>0</v>
      </c>
      <c r="E8892" s="5">
        <v>3</v>
      </c>
      <c r="F8892" s="5" t="s">
        <v>9</v>
      </c>
      <c r="G8892" s="15" t="s">
        <v>8</v>
      </c>
      <c r="H8892" s="24">
        <v>0</v>
      </c>
      <c r="I8892" s="24">
        <v>0</v>
      </c>
      <c r="J8892" s="24" t="s">
        <v>21</v>
      </c>
      <c r="K8892" s="24" t="s">
        <v>21</v>
      </c>
      <c r="L8892" s="24" t="s">
        <v>21</v>
      </c>
      <c r="M8892" s="24" t="s">
        <v>21</v>
      </c>
      <c r="N8892" s="24" t="s">
        <v>21</v>
      </c>
      <c r="O8892" s="24" t="s">
        <v>21</v>
      </c>
      <c r="P8892" s="24" t="s">
        <v>21</v>
      </c>
      <c r="Q8892" s="24" t="s">
        <v>21</v>
      </c>
      <c r="R8892" s="24" t="s">
        <v>21</v>
      </c>
      <c r="S8892" s="24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5">
        <v>0</v>
      </c>
      <c r="E8893" s="5">
        <v>3</v>
      </c>
      <c r="F8893" s="5" t="s">
        <v>9</v>
      </c>
      <c r="G8893" s="15" t="s">
        <v>8</v>
      </c>
      <c r="H8893" s="24">
        <v>0.99999999278225005</v>
      </c>
      <c r="I8893" s="24">
        <v>0.99999999278225005</v>
      </c>
      <c r="J8893" s="24" t="s">
        <v>21</v>
      </c>
      <c r="K8893" s="24" t="s">
        <v>21</v>
      </c>
      <c r="L8893" s="24" t="s">
        <v>21</v>
      </c>
      <c r="M8893" s="24" t="s">
        <v>21</v>
      </c>
      <c r="N8893" s="24" t="s">
        <v>21</v>
      </c>
      <c r="O8893" s="24" t="s">
        <v>21</v>
      </c>
      <c r="P8893" s="24" t="s">
        <v>21</v>
      </c>
      <c r="Q8893" s="24" t="s">
        <v>21</v>
      </c>
      <c r="R8893" s="24" t="s">
        <v>21</v>
      </c>
      <c r="S8893" s="24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5">
        <v>0</v>
      </c>
      <c r="E8894" s="5">
        <v>2</v>
      </c>
      <c r="F8894" s="5" t="s">
        <v>9</v>
      </c>
      <c r="G8894" s="15" t="s">
        <v>8</v>
      </c>
      <c r="H8894" s="24">
        <v>0</v>
      </c>
      <c r="I8894" s="24">
        <v>0</v>
      </c>
      <c r="J8894" s="24" t="s">
        <v>21</v>
      </c>
      <c r="K8894" s="24" t="s">
        <v>21</v>
      </c>
      <c r="L8894" s="24" t="s">
        <v>21</v>
      </c>
      <c r="M8894" s="24" t="s">
        <v>21</v>
      </c>
      <c r="N8894" s="24" t="s">
        <v>21</v>
      </c>
      <c r="O8894" s="24" t="s">
        <v>21</v>
      </c>
      <c r="P8894" s="24" t="s">
        <v>21</v>
      </c>
      <c r="Q8894" s="24" t="s">
        <v>21</v>
      </c>
      <c r="R8894" s="24" t="s">
        <v>21</v>
      </c>
      <c r="S8894" s="24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5">
        <v>0</v>
      </c>
      <c r="E8895" s="5">
        <v>3</v>
      </c>
      <c r="F8895" s="5" t="s">
        <v>9</v>
      </c>
      <c r="G8895" s="15" t="s">
        <v>8</v>
      </c>
      <c r="H8895" s="24">
        <v>1.000000003259629</v>
      </c>
      <c r="I8895" s="24">
        <v>1.000000003259629</v>
      </c>
      <c r="J8895" s="24" t="s">
        <v>21</v>
      </c>
      <c r="K8895" s="24" t="s">
        <v>21</v>
      </c>
      <c r="L8895" s="24" t="s">
        <v>21</v>
      </c>
      <c r="M8895" s="24" t="s">
        <v>21</v>
      </c>
      <c r="N8895" s="24" t="s">
        <v>21</v>
      </c>
      <c r="O8895" s="24" t="s">
        <v>21</v>
      </c>
      <c r="P8895" s="24" t="s">
        <v>21</v>
      </c>
      <c r="Q8895" s="24" t="s">
        <v>21</v>
      </c>
      <c r="R8895" s="24" t="s">
        <v>21</v>
      </c>
      <c r="S8895" s="24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5">
        <v>0</v>
      </c>
      <c r="E8896" s="5">
        <v>3</v>
      </c>
      <c r="F8896" s="5" t="s">
        <v>9</v>
      </c>
      <c r="G8896" s="15" t="s">
        <v>8</v>
      </c>
      <c r="H8896" s="24">
        <v>0</v>
      </c>
      <c r="I8896" s="24">
        <v>0</v>
      </c>
      <c r="J8896" s="24" t="s">
        <v>21</v>
      </c>
      <c r="K8896" s="24" t="s">
        <v>21</v>
      </c>
      <c r="L8896" s="24" t="s">
        <v>21</v>
      </c>
      <c r="M8896" s="24" t="s">
        <v>21</v>
      </c>
      <c r="N8896" s="24" t="s">
        <v>21</v>
      </c>
      <c r="O8896" s="24" t="s">
        <v>21</v>
      </c>
      <c r="P8896" s="24" t="s">
        <v>21</v>
      </c>
      <c r="Q8896" s="24" t="s">
        <v>21</v>
      </c>
      <c r="R8896" s="24" t="s">
        <v>21</v>
      </c>
      <c r="S8896" s="24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5">
        <v>0</v>
      </c>
      <c r="E8897" s="5">
        <v>5</v>
      </c>
      <c r="F8897" s="5" t="s">
        <v>9</v>
      </c>
      <c r="G8897" s="15" t="s">
        <v>8</v>
      </c>
      <c r="H8897" s="24">
        <v>1.000000003259629</v>
      </c>
      <c r="I8897" s="24">
        <v>1.000000003259629</v>
      </c>
      <c r="J8897" s="24" t="s">
        <v>21</v>
      </c>
      <c r="K8897" s="24" t="s">
        <v>21</v>
      </c>
      <c r="L8897" s="24" t="s">
        <v>21</v>
      </c>
      <c r="M8897" s="24" t="s">
        <v>21</v>
      </c>
      <c r="N8897" s="24" t="s">
        <v>21</v>
      </c>
      <c r="O8897" s="24" t="s">
        <v>21</v>
      </c>
      <c r="P8897" s="24" t="s">
        <v>21</v>
      </c>
      <c r="Q8897" s="24" t="s">
        <v>21</v>
      </c>
      <c r="R8897" s="24" t="s">
        <v>21</v>
      </c>
      <c r="S8897" s="24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5">
        <v>0</v>
      </c>
      <c r="E8898" s="5">
        <v>6</v>
      </c>
      <c r="F8898" s="5" t="s">
        <v>9</v>
      </c>
      <c r="G8898" s="15" t="s">
        <v>8</v>
      </c>
      <c r="H8898" s="24">
        <v>0</v>
      </c>
      <c r="I8898" s="24">
        <v>0</v>
      </c>
      <c r="J8898" s="24" t="s">
        <v>21</v>
      </c>
      <c r="K8898" s="24" t="s">
        <v>21</v>
      </c>
      <c r="L8898" s="24" t="s">
        <v>21</v>
      </c>
      <c r="M8898" s="24" t="s">
        <v>21</v>
      </c>
      <c r="N8898" s="24" t="s">
        <v>21</v>
      </c>
      <c r="O8898" s="24" t="s">
        <v>21</v>
      </c>
      <c r="P8898" s="24" t="s">
        <v>21</v>
      </c>
      <c r="Q8898" s="24" t="s">
        <v>21</v>
      </c>
      <c r="R8898" s="24" t="s">
        <v>21</v>
      </c>
      <c r="S8898" s="24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5">
        <v>0</v>
      </c>
      <c r="E8899" s="5">
        <v>3</v>
      </c>
      <c r="F8899" s="5" t="s">
        <v>9</v>
      </c>
      <c r="G8899" s="15" t="s">
        <v>8</v>
      </c>
      <c r="H8899" s="24">
        <v>0.99999999278225005</v>
      </c>
      <c r="I8899" s="24">
        <v>0.99999999278225005</v>
      </c>
      <c r="J8899" s="24" t="s">
        <v>21</v>
      </c>
      <c r="K8899" s="24" t="s">
        <v>21</v>
      </c>
      <c r="L8899" s="24" t="s">
        <v>21</v>
      </c>
      <c r="M8899" s="24" t="s">
        <v>21</v>
      </c>
      <c r="N8899" s="24" t="s">
        <v>21</v>
      </c>
      <c r="O8899" s="24" t="s">
        <v>21</v>
      </c>
      <c r="P8899" s="24" t="s">
        <v>21</v>
      </c>
      <c r="Q8899" s="24" t="s">
        <v>21</v>
      </c>
      <c r="R8899" s="24" t="s">
        <v>21</v>
      </c>
      <c r="S8899" s="24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5">
        <v>0</v>
      </c>
      <c r="E8900" s="5">
        <v>0</v>
      </c>
      <c r="F8900" s="5" t="s">
        <v>9</v>
      </c>
      <c r="G8900" s="15" t="s">
        <v>8</v>
      </c>
      <c r="H8900" s="24">
        <v>0</v>
      </c>
      <c r="I8900" s="24">
        <v>0</v>
      </c>
      <c r="J8900" s="24" t="s">
        <v>21</v>
      </c>
      <c r="K8900" s="24" t="s">
        <v>21</v>
      </c>
      <c r="L8900" s="24" t="s">
        <v>21</v>
      </c>
      <c r="M8900" s="24" t="s">
        <v>21</v>
      </c>
      <c r="N8900" s="24" t="s">
        <v>21</v>
      </c>
      <c r="O8900" s="24" t="s">
        <v>21</v>
      </c>
      <c r="P8900" s="24" t="s">
        <v>21</v>
      </c>
      <c r="Q8900" s="24" t="s">
        <v>21</v>
      </c>
      <c r="R8900" s="24" t="s">
        <v>21</v>
      </c>
      <c r="S8900" s="24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5">
        <v>0</v>
      </c>
      <c r="E8901" s="5">
        <v>2</v>
      </c>
      <c r="F8901" s="5" t="s">
        <v>9</v>
      </c>
      <c r="G8901" s="15" t="s">
        <v>8</v>
      </c>
      <c r="H8901" s="24">
        <v>1.000000003259629</v>
      </c>
      <c r="I8901" s="24">
        <v>1.000000003259629</v>
      </c>
      <c r="J8901" s="24" t="s">
        <v>21</v>
      </c>
      <c r="K8901" s="24" t="s">
        <v>21</v>
      </c>
      <c r="L8901" s="24" t="s">
        <v>21</v>
      </c>
      <c r="M8901" s="24" t="s">
        <v>21</v>
      </c>
      <c r="N8901" s="24" t="s">
        <v>21</v>
      </c>
      <c r="O8901" s="24" t="s">
        <v>21</v>
      </c>
      <c r="P8901" s="24" t="s">
        <v>21</v>
      </c>
      <c r="Q8901" s="24" t="s">
        <v>21</v>
      </c>
      <c r="R8901" s="24" t="s">
        <v>21</v>
      </c>
      <c r="S8901" s="24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5">
        <v>0</v>
      </c>
      <c r="E8902" s="5">
        <v>3</v>
      </c>
      <c r="F8902" s="5" t="s">
        <v>9</v>
      </c>
      <c r="G8902" s="15" t="s">
        <v>8</v>
      </c>
      <c r="H8902" s="24">
        <v>0</v>
      </c>
      <c r="I8902" s="24">
        <v>0</v>
      </c>
      <c r="J8902" s="24" t="s">
        <v>21</v>
      </c>
      <c r="K8902" s="24" t="s">
        <v>21</v>
      </c>
      <c r="L8902" s="24" t="s">
        <v>21</v>
      </c>
      <c r="M8902" s="24" t="s">
        <v>21</v>
      </c>
      <c r="N8902" s="24" t="s">
        <v>21</v>
      </c>
      <c r="O8902" s="24" t="s">
        <v>21</v>
      </c>
      <c r="P8902" s="24" t="s">
        <v>21</v>
      </c>
      <c r="Q8902" s="24" t="s">
        <v>21</v>
      </c>
      <c r="R8902" s="24" t="s">
        <v>21</v>
      </c>
      <c r="S8902" s="24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5">
        <v>0</v>
      </c>
      <c r="E8903" s="5">
        <v>4</v>
      </c>
      <c r="F8903" s="5" t="s">
        <v>9</v>
      </c>
      <c r="G8903" s="15" t="s">
        <v>8</v>
      </c>
      <c r="H8903" s="24">
        <v>1.000000003259629</v>
      </c>
      <c r="I8903" s="24">
        <v>1.000000003259629</v>
      </c>
      <c r="J8903" s="24" t="s">
        <v>21</v>
      </c>
      <c r="K8903" s="24" t="s">
        <v>21</v>
      </c>
      <c r="L8903" s="24" t="s">
        <v>21</v>
      </c>
      <c r="M8903" s="24" t="s">
        <v>21</v>
      </c>
      <c r="N8903" s="24" t="s">
        <v>21</v>
      </c>
      <c r="O8903" s="24" t="s">
        <v>21</v>
      </c>
      <c r="P8903" s="24" t="s">
        <v>21</v>
      </c>
      <c r="Q8903" s="24" t="s">
        <v>21</v>
      </c>
      <c r="R8903" s="24" t="s">
        <v>21</v>
      </c>
      <c r="S8903" s="24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5">
        <v>0</v>
      </c>
      <c r="E8904" s="5">
        <v>3</v>
      </c>
      <c r="F8904" s="5" t="s">
        <v>9</v>
      </c>
      <c r="G8904" s="15" t="s">
        <v>8</v>
      </c>
      <c r="H8904" s="24">
        <v>0</v>
      </c>
      <c r="I8904" s="24">
        <v>0</v>
      </c>
      <c r="J8904" s="24" t="s">
        <v>21</v>
      </c>
      <c r="K8904" s="24" t="s">
        <v>21</v>
      </c>
      <c r="L8904" s="24" t="s">
        <v>21</v>
      </c>
      <c r="M8904" s="24" t="s">
        <v>21</v>
      </c>
      <c r="N8904" s="24" t="s">
        <v>21</v>
      </c>
      <c r="O8904" s="24" t="s">
        <v>21</v>
      </c>
      <c r="P8904" s="24" t="s">
        <v>21</v>
      </c>
      <c r="Q8904" s="24" t="s">
        <v>21</v>
      </c>
      <c r="R8904" s="24" t="s">
        <v>21</v>
      </c>
      <c r="S8904" s="24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5">
        <v>0</v>
      </c>
      <c r="E8905" s="5">
        <v>3</v>
      </c>
      <c r="F8905" s="5" t="s">
        <v>9</v>
      </c>
      <c r="G8905" s="15" t="s">
        <v>8</v>
      </c>
      <c r="H8905" s="24">
        <v>1.000000003259629</v>
      </c>
      <c r="I8905" s="24">
        <v>1.000000003259629</v>
      </c>
      <c r="J8905" s="24" t="s">
        <v>21</v>
      </c>
      <c r="K8905" s="24" t="s">
        <v>21</v>
      </c>
      <c r="L8905" s="24" t="s">
        <v>21</v>
      </c>
      <c r="M8905" s="24" t="s">
        <v>21</v>
      </c>
      <c r="N8905" s="24" t="s">
        <v>21</v>
      </c>
      <c r="O8905" s="24" t="s">
        <v>21</v>
      </c>
      <c r="P8905" s="24" t="s">
        <v>21</v>
      </c>
      <c r="Q8905" s="24" t="s">
        <v>21</v>
      </c>
      <c r="R8905" s="24" t="s">
        <v>21</v>
      </c>
      <c r="S8905" s="24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5">
        <v>0</v>
      </c>
      <c r="E8906" s="5">
        <v>3</v>
      </c>
      <c r="F8906" s="5" t="s">
        <v>9</v>
      </c>
      <c r="G8906" s="15" t="s">
        <v>8</v>
      </c>
      <c r="H8906" s="24">
        <v>0</v>
      </c>
      <c r="I8906" s="24">
        <v>0</v>
      </c>
      <c r="J8906" s="24" t="s">
        <v>21</v>
      </c>
      <c r="K8906" s="24" t="s">
        <v>21</v>
      </c>
      <c r="L8906" s="24" t="s">
        <v>21</v>
      </c>
      <c r="M8906" s="24" t="s">
        <v>21</v>
      </c>
      <c r="N8906" s="24" t="s">
        <v>21</v>
      </c>
      <c r="O8906" s="24" t="s">
        <v>21</v>
      </c>
      <c r="P8906" s="24" t="s">
        <v>21</v>
      </c>
      <c r="Q8906" s="24" t="s">
        <v>21</v>
      </c>
      <c r="R8906" s="24" t="s">
        <v>21</v>
      </c>
      <c r="S8906" s="24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7">
        <v>0</v>
      </c>
      <c r="E8907" s="7">
        <v>3</v>
      </c>
      <c r="F8907" s="7" t="s">
        <v>9</v>
      </c>
      <c r="G8907" s="16" t="s">
        <v>8</v>
      </c>
      <c r="H8907" s="25">
        <v>0.99999999278225005</v>
      </c>
      <c r="I8907" s="25">
        <v>0.99999999278225005</v>
      </c>
      <c r="J8907" s="25" t="s">
        <v>21</v>
      </c>
      <c r="K8907" s="25" t="s">
        <v>21</v>
      </c>
      <c r="L8907" s="25" t="s">
        <v>21</v>
      </c>
      <c r="M8907" s="25" t="s">
        <v>21</v>
      </c>
      <c r="N8907" s="25" t="s">
        <v>21</v>
      </c>
      <c r="O8907" s="25" t="s">
        <v>21</v>
      </c>
      <c r="P8907" s="25" t="s">
        <v>21</v>
      </c>
      <c r="Q8907" s="25" t="s">
        <v>21</v>
      </c>
      <c r="R8907" s="25" t="s">
        <v>21</v>
      </c>
      <c r="S8907" s="25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5">
        <v>0</v>
      </c>
      <c r="E8908" s="5">
        <v>2</v>
      </c>
      <c r="F8908" s="5" t="s">
        <v>9</v>
      </c>
      <c r="G8908" s="15" t="s">
        <v>8</v>
      </c>
      <c r="H8908" s="24">
        <v>780.99999999976717</v>
      </c>
      <c r="I8908" s="24">
        <v>780.99999999976717</v>
      </c>
      <c r="J8908" s="24" t="s">
        <v>21</v>
      </c>
      <c r="K8908" s="24" t="s">
        <v>21</v>
      </c>
      <c r="L8908" s="24" t="s">
        <v>21</v>
      </c>
      <c r="M8908" s="24" t="s">
        <v>21</v>
      </c>
      <c r="N8908" s="24" t="s">
        <v>21</v>
      </c>
      <c r="O8908" s="24" t="s">
        <v>21</v>
      </c>
      <c r="P8908" s="24" t="s">
        <v>21</v>
      </c>
      <c r="Q8908" s="24" t="s">
        <v>21</v>
      </c>
      <c r="R8908" s="24" t="s">
        <v>21</v>
      </c>
      <c r="S8908" s="24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5">
        <v>0</v>
      </c>
      <c r="E8909" s="5">
        <v>4</v>
      </c>
      <c r="F8909" s="5" t="s">
        <v>9</v>
      </c>
      <c r="G8909" s="15" t="s">
        <v>8</v>
      </c>
      <c r="H8909" s="24">
        <v>0</v>
      </c>
      <c r="I8909" s="24">
        <v>0</v>
      </c>
      <c r="J8909" s="24" t="s">
        <v>21</v>
      </c>
      <c r="K8909" s="24" t="s">
        <v>21</v>
      </c>
      <c r="L8909" s="24" t="s">
        <v>21</v>
      </c>
      <c r="M8909" s="24" t="s">
        <v>21</v>
      </c>
      <c r="N8909" s="24" t="s">
        <v>21</v>
      </c>
      <c r="O8909" s="24" t="s">
        <v>21</v>
      </c>
      <c r="P8909" s="24" t="s">
        <v>21</v>
      </c>
      <c r="Q8909" s="24" t="s">
        <v>21</v>
      </c>
      <c r="R8909" s="24" t="s">
        <v>21</v>
      </c>
      <c r="S8909" s="24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5">
        <v>0</v>
      </c>
      <c r="E8910" s="5">
        <v>5</v>
      </c>
      <c r="F8910" s="5" t="s">
        <v>9</v>
      </c>
      <c r="G8910" s="15" t="s">
        <v>8</v>
      </c>
      <c r="H8910" s="24">
        <v>1.000000003259629</v>
      </c>
      <c r="I8910" s="24">
        <v>1.000000003259629</v>
      </c>
      <c r="J8910" s="24" t="s">
        <v>21</v>
      </c>
      <c r="K8910" s="24" t="s">
        <v>21</v>
      </c>
      <c r="L8910" s="24" t="s">
        <v>21</v>
      </c>
      <c r="M8910" s="24" t="s">
        <v>21</v>
      </c>
      <c r="N8910" s="24" t="s">
        <v>21</v>
      </c>
      <c r="O8910" s="24" t="s">
        <v>21</v>
      </c>
      <c r="P8910" s="24" t="s">
        <v>21</v>
      </c>
      <c r="Q8910" s="24" t="s">
        <v>21</v>
      </c>
      <c r="R8910" s="24" t="s">
        <v>21</v>
      </c>
      <c r="S8910" s="24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5">
        <v>0</v>
      </c>
      <c r="E8911" s="5">
        <v>6</v>
      </c>
      <c r="F8911" s="5" t="s">
        <v>9</v>
      </c>
      <c r="G8911" s="15" t="s">
        <v>8</v>
      </c>
      <c r="H8911" s="24">
        <v>103.00000000046566</v>
      </c>
      <c r="I8911" s="24" t="s">
        <v>21</v>
      </c>
      <c r="J8911" s="24" t="s">
        <v>21</v>
      </c>
      <c r="K8911" s="24" t="s">
        <v>21</v>
      </c>
      <c r="L8911" s="24">
        <v>1183.0000000004657</v>
      </c>
      <c r="M8911" s="24" t="s">
        <v>21</v>
      </c>
      <c r="N8911" s="24" t="s">
        <v>21</v>
      </c>
      <c r="O8911" s="24" t="s">
        <v>21</v>
      </c>
      <c r="P8911" s="24" t="s">
        <v>21</v>
      </c>
      <c r="Q8911" s="24" t="s">
        <v>21</v>
      </c>
      <c r="R8911" s="24" t="s">
        <v>21</v>
      </c>
      <c r="S8911" s="24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5">
        <v>0</v>
      </c>
      <c r="E8912" s="5">
        <v>7</v>
      </c>
      <c r="F8912" s="5" t="s">
        <v>9</v>
      </c>
      <c r="G8912" s="15" t="s">
        <v>8</v>
      </c>
      <c r="H8912" s="24">
        <v>0</v>
      </c>
      <c r="I8912" s="24" t="s">
        <v>21</v>
      </c>
      <c r="J8912" s="24" t="s">
        <v>21</v>
      </c>
      <c r="K8912" s="24" t="s">
        <v>21</v>
      </c>
      <c r="L8912" s="24">
        <v>0</v>
      </c>
      <c r="M8912" s="24" t="s">
        <v>21</v>
      </c>
      <c r="N8912" s="24" t="s">
        <v>21</v>
      </c>
      <c r="O8912" s="24" t="s">
        <v>21</v>
      </c>
      <c r="P8912" s="24" t="s">
        <v>21</v>
      </c>
      <c r="Q8912" s="24" t="s">
        <v>21</v>
      </c>
      <c r="R8912" s="24" t="s">
        <v>21</v>
      </c>
      <c r="S8912" s="24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5">
        <v>19</v>
      </c>
      <c r="E8913" s="5">
        <v>0</v>
      </c>
      <c r="F8913" s="5" t="s">
        <v>9</v>
      </c>
      <c r="G8913" s="15" t="s">
        <v>8</v>
      </c>
      <c r="H8913" s="24">
        <v>1.000000003259629</v>
      </c>
      <c r="I8913" s="24" t="s">
        <v>21</v>
      </c>
      <c r="J8913" s="24" t="s">
        <v>21</v>
      </c>
      <c r="K8913" s="24" t="s">
        <v>21</v>
      </c>
      <c r="L8913" s="24">
        <v>1.000000003259629</v>
      </c>
      <c r="M8913" s="24" t="s">
        <v>21</v>
      </c>
      <c r="N8913" s="24" t="s">
        <v>21</v>
      </c>
      <c r="O8913" s="24" t="s">
        <v>21</v>
      </c>
      <c r="P8913" s="24" t="s">
        <v>21</v>
      </c>
      <c r="Q8913" s="24" t="s">
        <v>21</v>
      </c>
      <c r="R8913" s="24" t="s">
        <v>21</v>
      </c>
      <c r="S8913" s="24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5">
        <v>0</v>
      </c>
      <c r="E8914" s="5">
        <v>0</v>
      </c>
      <c r="F8914" s="5" t="s">
        <v>9</v>
      </c>
      <c r="G8914" s="15" t="s">
        <v>8</v>
      </c>
      <c r="H8914" s="24">
        <v>0</v>
      </c>
      <c r="I8914" s="24" t="s">
        <v>21</v>
      </c>
      <c r="J8914" s="24" t="s">
        <v>21</v>
      </c>
      <c r="K8914" s="24" t="s">
        <v>21</v>
      </c>
      <c r="L8914" s="24">
        <v>0</v>
      </c>
      <c r="M8914" s="24" t="s">
        <v>21</v>
      </c>
      <c r="N8914" s="24" t="s">
        <v>21</v>
      </c>
      <c r="O8914" s="24" t="s">
        <v>21</v>
      </c>
      <c r="P8914" s="24" t="s">
        <v>21</v>
      </c>
      <c r="Q8914" s="24" t="s">
        <v>21</v>
      </c>
      <c r="R8914" s="24" t="s">
        <v>21</v>
      </c>
      <c r="S8914" s="24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5">
        <v>7</v>
      </c>
      <c r="E8915" s="5">
        <v>0</v>
      </c>
      <c r="F8915" s="5" t="s">
        <v>9</v>
      </c>
      <c r="G8915" s="15" t="s">
        <v>8</v>
      </c>
      <c r="H8915" s="24">
        <v>18.999999999068677</v>
      </c>
      <c r="I8915" s="24" t="s">
        <v>21</v>
      </c>
      <c r="J8915" s="24" t="s">
        <v>21</v>
      </c>
      <c r="K8915" s="24" t="s">
        <v>21</v>
      </c>
      <c r="L8915" s="24">
        <v>18.999999999068677</v>
      </c>
      <c r="M8915" s="24" t="s">
        <v>21</v>
      </c>
      <c r="N8915" s="24" t="s">
        <v>21</v>
      </c>
      <c r="O8915" s="24" t="s">
        <v>21</v>
      </c>
      <c r="P8915" s="24" t="s">
        <v>21</v>
      </c>
      <c r="Q8915" s="24" t="s">
        <v>21</v>
      </c>
      <c r="R8915" s="24" t="s">
        <v>21</v>
      </c>
      <c r="S8915" s="24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5">
        <v>0</v>
      </c>
      <c r="E8916" s="5">
        <v>5</v>
      </c>
      <c r="F8916" s="5" t="s">
        <v>9</v>
      </c>
      <c r="G8916" s="15" t="s">
        <v>8</v>
      </c>
      <c r="H8916" s="24">
        <v>225</v>
      </c>
      <c r="I8916" s="24">
        <v>348.00000000279397</v>
      </c>
      <c r="J8916" s="24" t="s">
        <v>21</v>
      </c>
      <c r="K8916" s="24" t="s">
        <v>21</v>
      </c>
      <c r="L8916" s="24" t="s">
        <v>21</v>
      </c>
      <c r="M8916" s="24" t="s">
        <v>21</v>
      </c>
      <c r="N8916" s="24" t="s">
        <v>21</v>
      </c>
      <c r="O8916" s="24" t="s">
        <v>21</v>
      </c>
      <c r="P8916" s="24" t="s">
        <v>21</v>
      </c>
      <c r="Q8916" s="24" t="s">
        <v>21</v>
      </c>
      <c r="R8916" s="24" t="s">
        <v>21</v>
      </c>
      <c r="S8916" s="24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5">
        <v>0</v>
      </c>
      <c r="E8917" s="5">
        <v>5</v>
      </c>
      <c r="F8917" s="5" t="s">
        <v>9</v>
      </c>
      <c r="G8917" s="15" t="s">
        <v>8</v>
      </c>
      <c r="H8917" s="24">
        <v>0</v>
      </c>
      <c r="I8917" s="24">
        <v>0</v>
      </c>
      <c r="J8917" s="24" t="s">
        <v>21</v>
      </c>
      <c r="K8917" s="24" t="s">
        <v>21</v>
      </c>
      <c r="L8917" s="24" t="s">
        <v>21</v>
      </c>
      <c r="M8917" s="24" t="s">
        <v>21</v>
      </c>
      <c r="N8917" s="24" t="s">
        <v>21</v>
      </c>
      <c r="O8917" s="24" t="s">
        <v>21</v>
      </c>
      <c r="P8917" s="24" t="s">
        <v>21</v>
      </c>
      <c r="Q8917" s="24" t="s">
        <v>21</v>
      </c>
      <c r="R8917" s="24" t="s">
        <v>21</v>
      </c>
      <c r="S8917" s="24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5">
        <v>4</v>
      </c>
      <c r="E8918" s="5">
        <v>9</v>
      </c>
      <c r="F8918" s="5" t="s">
        <v>9</v>
      </c>
      <c r="G8918" s="15" t="s">
        <v>8</v>
      </c>
      <c r="H8918" s="24">
        <v>0.99999999278225005</v>
      </c>
      <c r="I8918" s="24">
        <v>0.99999999278225005</v>
      </c>
      <c r="J8918" s="24" t="s">
        <v>21</v>
      </c>
      <c r="K8918" s="24" t="s">
        <v>21</v>
      </c>
      <c r="L8918" s="24" t="s">
        <v>21</v>
      </c>
      <c r="M8918" s="24" t="s">
        <v>21</v>
      </c>
      <c r="N8918" s="24" t="s">
        <v>21</v>
      </c>
      <c r="O8918" s="24" t="s">
        <v>21</v>
      </c>
      <c r="P8918" s="24" t="s">
        <v>21</v>
      </c>
      <c r="Q8918" s="24" t="s">
        <v>21</v>
      </c>
      <c r="R8918" s="24" t="s">
        <v>21</v>
      </c>
      <c r="S8918" s="24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5">
        <v>4</v>
      </c>
      <c r="E8919" s="5">
        <v>12</v>
      </c>
      <c r="F8919" s="5" t="s">
        <v>9</v>
      </c>
      <c r="G8919" s="15" t="s">
        <v>8</v>
      </c>
      <c r="H8919" s="24">
        <v>1.000000003259629</v>
      </c>
      <c r="I8919" s="24">
        <v>1.000000003259629</v>
      </c>
      <c r="J8919" s="24" t="s">
        <v>21</v>
      </c>
      <c r="K8919" s="24" t="s">
        <v>21</v>
      </c>
      <c r="L8919" s="24" t="s">
        <v>21</v>
      </c>
      <c r="M8919" s="24" t="s">
        <v>21</v>
      </c>
      <c r="N8919" s="24" t="s">
        <v>21</v>
      </c>
      <c r="O8919" s="24" t="s">
        <v>21</v>
      </c>
      <c r="P8919" s="24" t="s">
        <v>21</v>
      </c>
      <c r="Q8919" s="24" t="s">
        <v>21</v>
      </c>
      <c r="R8919" s="24" t="s">
        <v>21</v>
      </c>
      <c r="S8919" s="24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5">
        <v>3</v>
      </c>
      <c r="E8920" s="5">
        <v>0</v>
      </c>
      <c r="F8920" s="5" t="s">
        <v>9</v>
      </c>
      <c r="G8920" s="15" t="s">
        <v>8</v>
      </c>
      <c r="H8920" s="24">
        <v>0</v>
      </c>
      <c r="I8920" s="24">
        <v>0</v>
      </c>
      <c r="J8920" s="24" t="s">
        <v>21</v>
      </c>
      <c r="K8920" s="24" t="s">
        <v>21</v>
      </c>
      <c r="L8920" s="24" t="s">
        <v>21</v>
      </c>
      <c r="M8920" s="24" t="s">
        <v>21</v>
      </c>
      <c r="N8920" s="24" t="s">
        <v>21</v>
      </c>
      <c r="O8920" s="24" t="s">
        <v>21</v>
      </c>
      <c r="P8920" s="24" t="s">
        <v>21</v>
      </c>
      <c r="Q8920" s="24" t="s">
        <v>21</v>
      </c>
      <c r="R8920" s="24" t="s">
        <v>21</v>
      </c>
      <c r="S8920" s="24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5">
        <v>0</v>
      </c>
      <c r="E8921" s="5">
        <v>0</v>
      </c>
      <c r="F8921" s="5" t="s">
        <v>9</v>
      </c>
      <c r="G8921" s="15" t="s">
        <v>8</v>
      </c>
      <c r="H8921" s="24">
        <v>0</v>
      </c>
      <c r="I8921" s="24">
        <v>0</v>
      </c>
      <c r="J8921" s="24" t="s">
        <v>21</v>
      </c>
      <c r="K8921" s="24" t="s">
        <v>21</v>
      </c>
      <c r="L8921" s="24" t="s">
        <v>21</v>
      </c>
      <c r="M8921" s="24" t="s">
        <v>21</v>
      </c>
      <c r="N8921" s="24" t="s">
        <v>21</v>
      </c>
      <c r="O8921" s="24" t="s">
        <v>21</v>
      </c>
      <c r="P8921" s="24" t="s">
        <v>21</v>
      </c>
      <c r="Q8921" s="24" t="s">
        <v>21</v>
      </c>
      <c r="R8921" s="24" t="s">
        <v>21</v>
      </c>
      <c r="S8921" s="24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5">
        <v>0</v>
      </c>
      <c r="E8922" s="5">
        <v>2</v>
      </c>
      <c r="F8922" s="5" t="s">
        <v>9</v>
      </c>
      <c r="G8922" s="15" t="s">
        <v>8</v>
      </c>
      <c r="H8922" s="24">
        <v>265.99999999743886</v>
      </c>
      <c r="I8922" s="24">
        <v>265.99999999743886</v>
      </c>
      <c r="J8922" s="24" t="s">
        <v>21</v>
      </c>
      <c r="K8922" s="24" t="s">
        <v>21</v>
      </c>
      <c r="L8922" s="24" t="s">
        <v>21</v>
      </c>
      <c r="M8922" s="24" t="s">
        <v>21</v>
      </c>
      <c r="N8922" s="24" t="s">
        <v>21</v>
      </c>
      <c r="O8922" s="24" t="s">
        <v>21</v>
      </c>
      <c r="P8922" s="24" t="s">
        <v>21</v>
      </c>
      <c r="Q8922" s="24" t="s">
        <v>21</v>
      </c>
      <c r="R8922" s="24" t="s">
        <v>21</v>
      </c>
      <c r="S8922" s="24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5">
        <v>0</v>
      </c>
      <c r="E8923" s="5">
        <v>3</v>
      </c>
      <c r="F8923" s="5" t="s">
        <v>9</v>
      </c>
      <c r="G8923" s="15" t="s">
        <v>8</v>
      </c>
      <c r="H8923" s="24">
        <v>1.000000003259629</v>
      </c>
      <c r="I8923" s="24">
        <v>1.000000003259629</v>
      </c>
      <c r="J8923" s="24" t="s">
        <v>21</v>
      </c>
      <c r="K8923" s="24" t="s">
        <v>21</v>
      </c>
      <c r="L8923" s="24" t="s">
        <v>21</v>
      </c>
      <c r="M8923" s="24" t="s">
        <v>21</v>
      </c>
      <c r="N8923" s="24" t="s">
        <v>21</v>
      </c>
      <c r="O8923" s="24" t="s">
        <v>21</v>
      </c>
      <c r="P8923" s="24" t="s">
        <v>21</v>
      </c>
      <c r="Q8923" s="24" t="s">
        <v>21</v>
      </c>
      <c r="R8923" s="24" t="s">
        <v>21</v>
      </c>
      <c r="S8923" s="24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5">
        <v>0</v>
      </c>
      <c r="E8924" s="5">
        <v>4</v>
      </c>
      <c r="F8924" s="5" t="s">
        <v>9</v>
      </c>
      <c r="G8924" s="15" t="s">
        <v>8</v>
      </c>
      <c r="H8924" s="24">
        <v>0</v>
      </c>
      <c r="I8924" s="24">
        <v>0</v>
      </c>
      <c r="J8924" s="24" t="s">
        <v>21</v>
      </c>
      <c r="K8924" s="24" t="s">
        <v>21</v>
      </c>
      <c r="L8924" s="24" t="s">
        <v>21</v>
      </c>
      <c r="M8924" s="24" t="s">
        <v>21</v>
      </c>
      <c r="N8924" s="24" t="s">
        <v>21</v>
      </c>
      <c r="O8924" s="24" t="s">
        <v>21</v>
      </c>
      <c r="P8924" s="24" t="s">
        <v>21</v>
      </c>
      <c r="Q8924" s="24" t="s">
        <v>21</v>
      </c>
      <c r="R8924" s="24" t="s">
        <v>21</v>
      </c>
      <c r="S8924" s="24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5">
        <v>0</v>
      </c>
      <c r="E8925" s="5">
        <v>3</v>
      </c>
      <c r="F8925" s="5" t="s">
        <v>9</v>
      </c>
      <c r="G8925" s="15" t="s">
        <v>8</v>
      </c>
      <c r="H8925" s="24">
        <v>1.000000003259629</v>
      </c>
      <c r="I8925" s="24">
        <v>1.000000003259629</v>
      </c>
      <c r="J8925" s="24" t="s">
        <v>21</v>
      </c>
      <c r="K8925" s="24" t="s">
        <v>21</v>
      </c>
      <c r="L8925" s="24" t="s">
        <v>21</v>
      </c>
      <c r="M8925" s="24" t="s">
        <v>21</v>
      </c>
      <c r="N8925" s="24" t="s">
        <v>21</v>
      </c>
      <c r="O8925" s="24" t="s">
        <v>21</v>
      </c>
      <c r="P8925" s="24" t="s">
        <v>21</v>
      </c>
      <c r="Q8925" s="24" t="s">
        <v>21</v>
      </c>
      <c r="R8925" s="24" t="s">
        <v>21</v>
      </c>
      <c r="S8925" s="24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5">
        <v>0</v>
      </c>
      <c r="E8926" s="5">
        <v>6</v>
      </c>
      <c r="F8926" s="5" t="s">
        <v>9</v>
      </c>
      <c r="G8926" s="15" t="s">
        <v>8</v>
      </c>
      <c r="H8926" s="24">
        <v>0.99999999278225005</v>
      </c>
      <c r="I8926" s="24">
        <v>0.99999999278225005</v>
      </c>
      <c r="J8926" s="24" t="s">
        <v>21</v>
      </c>
      <c r="K8926" s="24" t="s">
        <v>21</v>
      </c>
      <c r="L8926" s="24" t="s">
        <v>21</v>
      </c>
      <c r="M8926" s="24" t="s">
        <v>21</v>
      </c>
      <c r="N8926" s="24" t="s">
        <v>21</v>
      </c>
      <c r="O8926" s="24" t="s">
        <v>21</v>
      </c>
      <c r="P8926" s="24" t="s">
        <v>21</v>
      </c>
      <c r="Q8926" s="24" t="s">
        <v>21</v>
      </c>
      <c r="R8926" s="24" t="s">
        <v>21</v>
      </c>
      <c r="S8926" s="24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5">
        <v>0</v>
      </c>
      <c r="E8927" s="5">
        <v>0</v>
      </c>
      <c r="F8927" s="5" t="s">
        <v>9</v>
      </c>
      <c r="G8927" s="15" t="s">
        <v>8</v>
      </c>
      <c r="H8927" s="24">
        <v>0</v>
      </c>
      <c r="I8927" s="24">
        <v>0</v>
      </c>
      <c r="J8927" s="24" t="s">
        <v>21</v>
      </c>
      <c r="K8927" s="24" t="s">
        <v>21</v>
      </c>
      <c r="L8927" s="24" t="s">
        <v>21</v>
      </c>
      <c r="M8927" s="24" t="s">
        <v>21</v>
      </c>
      <c r="N8927" s="24" t="s">
        <v>21</v>
      </c>
      <c r="O8927" s="24" t="s">
        <v>21</v>
      </c>
      <c r="P8927" s="24" t="s">
        <v>21</v>
      </c>
      <c r="Q8927" s="24" t="s">
        <v>21</v>
      </c>
      <c r="R8927" s="24" t="s">
        <v>21</v>
      </c>
      <c r="S8927" s="24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5">
        <v>0</v>
      </c>
      <c r="E8928" s="5">
        <v>0</v>
      </c>
      <c r="F8928" s="5" t="s">
        <v>9</v>
      </c>
      <c r="G8928" s="15" t="s">
        <v>8</v>
      </c>
      <c r="H8928" s="24">
        <v>0</v>
      </c>
      <c r="I8928" s="24">
        <v>0</v>
      </c>
      <c r="J8928" s="24" t="s">
        <v>21</v>
      </c>
      <c r="K8928" s="24" t="s">
        <v>21</v>
      </c>
      <c r="L8928" s="24" t="s">
        <v>21</v>
      </c>
      <c r="M8928" s="24" t="s">
        <v>21</v>
      </c>
      <c r="N8928" s="24" t="s">
        <v>21</v>
      </c>
      <c r="O8928" s="24" t="s">
        <v>21</v>
      </c>
      <c r="P8928" s="24" t="s">
        <v>21</v>
      </c>
      <c r="Q8928" s="24" t="s">
        <v>21</v>
      </c>
      <c r="R8928" s="24" t="s">
        <v>21</v>
      </c>
      <c r="S8928" s="24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5">
        <v>0</v>
      </c>
      <c r="E8929" s="5">
        <v>3</v>
      </c>
      <c r="F8929" s="5" t="s">
        <v>9</v>
      </c>
      <c r="G8929" s="15" t="s">
        <v>8</v>
      </c>
      <c r="H8929" s="24">
        <v>1.000000003259629</v>
      </c>
      <c r="I8929" s="24">
        <v>1.000000003259629</v>
      </c>
      <c r="J8929" s="24" t="s">
        <v>21</v>
      </c>
      <c r="K8929" s="24" t="s">
        <v>21</v>
      </c>
      <c r="L8929" s="24" t="s">
        <v>21</v>
      </c>
      <c r="M8929" s="24" t="s">
        <v>21</v>
      </c>
      <c r="N8929" s="24" t="s">
        <v>21</v>
      </c>
      <c r="O8929" s="24" t="s">
        <v>21</v>
      </c>
      <c r="P8929" s="24" t="s">
        <v>21</v>
      </c>
      <c r="Q8929" s="24" t="s">
        <v>21</v>
      </c>
      <c r="R8929" s="24" t="s">
        <v>21</v>
      </c>
      <c r="S8929" s="24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5">
        <v>0</v>
      </c>
      <c r="E8930" s="5">
        <v>3</v>
      </c>
      <c r="F8930" s="5" t="s">
        <v>9</v>
      </c>
      <c r="G8930" s="15" t="s">
        <v>8</v>
      </c>
      <c r="H8930" s="24">
        <v>0</v>
      </c>
      <c r="I8930" s="24">
        <v>0</v>
      </c>
      <c r="J8930" s="24" t="s">
        <v>21</v>
      </c>
      <c r="K8930" s="24" t="s">
        <v>21</v>
      </c>
      <c r="L8930" s="24" t="s">
        <v>21</v>
      </c>
      <c r="M8930" s="24" t="s">
        <v>21</v>
      </c>
      <c r="N8930" s="24" t="s">
        <v>21</v>
      </c>
      <c r="O8930" s="24" t="s">
        <v>21</v>
      </c>
      <c r="P8930" s="24" t="s">
        <v>21</v>
      </c>
      <c r="Q8930" s="24" t="s">
        <v>21</v>
      </c>
      <c r="R8930" s="24" t="s">
        <v>21</v>
      </c>
      <c r="S8930" s="24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5">
        <v>0</v>
      </c>
      <c r="E8931" s="5">
        <v>3</v>
      </c>
      <c r="F8931" s="5" t="s">
        <v>9</v>
      </c>
      <c r="G8931" s="15" t="s">
        <v>8</v>
      </c>
      <c r="H8931" s="24">
        <v>1.000000003259629</v>
      </c>
      <c r="I8931" s="24">
        <v>1.000000003259629</v>
      </c>
      <c r="J8931" s="24" t="s">
        <v>21</v>
      </c>
      <c r="K8931" s="24" t="s">
        <v>21</v>
      </c>
      <c r="L8931" s="24" t="s">
        <v>21</v>
      </c>
      <c r="M8931" s="24" t="s">
        <v>21</v>
      </c>
      <c r="N8931" s="24" t="s">
        <v>21</v>
      </c>
      <c r="O8931" s="24" t="s">
        <v>21</v>
      </c>
      <c r="P8931" s="24" t="s">
        <v>21</v>
      </c>
      <c r="Q8931" s="24" t="s">
        <v>21</v>
      </c>
      <c r="R8931" s="24" t="s">
        <v>21</v>
      </c>
      <c r="S8931" s="24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5">
        <v>0</v>
      </c>
      <c r="E8932" s="5">
        <v>4</v>
      </c>
      <c r="F8932" s="5" t="s">
        <v>9</v>
      </c>
      <c r="G8932" s="15" t="s">
        <v>8</v>
      </c>
      <c r="H8932" s="24">
        <v>0.99999999278225005</v>
      </c>
      <c r="I8932" s="24">
        <v>0.99999999278225005</v>
      </c>
      <c r="J8932" s="24" t="s">
        <v>21</v>
      </c>
      <c r="K8932" s="24" t="s">
        <v>21</v>
      </c>
      <c r="L8932" s="24" t="s">
        <v>21</v>
      </c>
      <c r="M8932" s="24" t="s">
        <v>21</v>
      </c>
      <c r="N8932" s="24" t="s">
        <v>21</v>
      </c>
      <c r="O8932" s="24" t="s">
        <v>21</v>
      </c>
      <c r="P8932" s="24" t="s">
        <v>21</v>
      </c>
      <c r="Q8932" s="24" t="s">
        <v>21</v>
      </c>
      <c r="R8932" s="24" t="s">
        <v>21</v>
      </c>
      <c r="S8932" s="24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5">
        <v>0</v>
      </c>
      <c r="E8933" s="5">
        <v>3</v>
      </c>
      <c r="F8933" s="5" t="s">
        <v>9</v>
      </c>
      <c r="G8933" s="15" t="s">
        <v>8</v>
      </c>
      <c r="H8933" s="24">
        <v>0</v>
      </c>
      <c r="I8933" s="24">
        <v>0</v>
      </c>
      <c r="J8933" s="24" t="s">
        <v>21</v>
      </c>
      <c r="K8933" s="24" t="s">
        <v>21</v>
      </c>
      <c r="L8933" s="24" t="s">
        <v>21</v>
      </c>
      <c r="M8933" s="24" t="s">
        <v>21</v>
      </c>
      <c r="N8933" s="24" t="s">
        <v>21</v>
      </c>
      <c r="O8933" s="24" t="s">
        <v>21</v>
      </c>
      <c r="P8933" s="24" t="s">
        <v>21</v>
      </c>
      <c r="Q8933" s="24" t="s">
        <v>21</v>
      </c>
      <c r="R8933" s="24" t="s">
        <v>21</v>
      </c>
      <c r="S8933" s="24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5">
        <v>0</v>
      </c>
      <c r="E8934" s="5">
        <v>2</v>
      </c>
      <c r="F8934" s="5" t="s">
        <v>9</v>
      </c>
      <c r="G8934" s="15" t="s">
        <v>8</v>
      </c>
      <c r="H8934" s="24">
        <v>1.000000003259629</v>
      </c>
      <c r="I8934" s="24">
        <v>1.000000003259629</v>
      </c>
      <c r="J8934" s="24" t="s">
        <v>21</v>
      </c>
      <c r="K8934" s="24" t="s">
        <v>21</v>
      </c>
      <c r="L8934" s="24" t="s">
        <v>21</v>
      </c>
      <c r="M8934" s="24" t="s">
        <v>21</v>
      </c>
      <c r="N8934" s="24" t="s">
        <v>21</v>
      </c>
      <c r="O8934" s="24" t="s">
        <v>21</v>
      </c>
      <c r="P8934" s="24" t="s">
        <v>21</v>
      </c>
      <c r="Q8934" s="24" t="s">
        <v>21</v>
      </c>
      <c r="R8934" s="24" t="s">
        <v>21</v>
      </c>
      <c r="S8934" s="24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5">
        <v>0</v>
      </c>
      <c r="E8935" s="5">
        <v>3</v>
      </c>
      <c r="F8935" s="5" t="s">
        <v>9</v>
      </c>
      <c r="G8935" s="15" t="s">
        <v>8</v>
      </c>
      <c r="H8935" s="24">
        <v>0</v>
      </c>
      <c r="I8935" s="24">
        <v>0</v>
      </c>
      <c r="J8935" s="24" t="s">
        <v>21</v>
      </c>
      <c r="K8935" s="24" t="s">
        <v>21</v>
      </c>
      <c r="L8935" s="24" t="s">
        <v>21</v>
      </c>
      <c r="M8935" s="24" t="s">
        <v>21</v>
      </c>
      <c r="N8935" s="24" t="s">
        <v>21</v>
      </c>
      <c r="O8935" s="24" t="s">
        <v>21</v>
      </c>
      <c r="P8935" s="24" t="s">
        <v>21</v>
      </c>
      <c r="Q8935" s="24" t="s">
        <v>21</v>
      </c>
      <c r="R8935" s="24" t="s">
        <v>21</v>
      </c>
      <c r="S8935" s="24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5">
        <v>0</v>
      </c>
      <c r="E8936" s="5">
        <v>2</v>
      </c>
      <c r="F8936" s="5" t="s">
        <v>9</v>
      </c>
      <c r="G8936" s="15" t="s">
        <v>8</v>
      </c>
      <c r="H8936" s="24">
        <v>1.9999999960418791</v>
      </c>
      <c r="I8936" s="24">
        <v>1.9999999960418791</v>
      </c>
      <c r="J8936" s="24" t="s">
        <v>21</v>
      </c>
      <c r="K8936" s="24" t="s">
        <v>21</v>
      </c>
      <c r="L8936" s="24" t="s">
        <v>21</v>
      </c>
      <c r="M8936" s="24" t="s">
        <v>21</v>
      </c>
      <c r="N8936" s="24" t="s">
        <v>21</v>
      </c>
      <c r="O8936" s="24" t="s">
        <v>21</v>
      </c>
      <c r="P8936" s="24" t="s">
        <v>21</v>
      </c>
      <c r="Q8936" s="24" t="s">
        <v>21</v>
      </c>
      <c r="R8936" s="24" t="s">
        <v>21</v>
      </c>
      <c r="S8936" s="24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5">
        <v>0</v>
      </c>
      <c r="E8937" s="5">
        <v>3</v>
      </c>
      <c r="F8937" s="5" t="s">
        <v>9</v>
      </c>
      <c r="G8937" s="15" t="s">
        <v>8</v>
      </c>
      <c r="H8937" s="24">
        <v>25.000000008149073</v>
      </c>
      <c r="I8937" s="24">
        <v>25.000000008149073</v>
      </c>
      <c r="J8937" s="24" t="s">
        <v>21</v>
      </c>
      <c r="K8937" s="24" t="s">
        <v>21</v>
      </c>
      <c r="L8937" s="24" t="s">
        <v>21</v>
      </c>
      <c r="M8937" s="24" t="s">
        <v>21</v>
      </c>
      <c r="N8937" s="24" t="s">
        <v>21</v>
      </c>
      <c r="O8937" s="24" t="s">
        <v>21</v>
      </c>
      <c r="P8937" s="24" t="s">
        <v>21</v>
      </c>
      <c r="Q8937" s="24" t="s">
        <v>21</v>
      </c>
      <c r="R8937" s="24" t="s">
        <v>21</v>
      </c>
      <c r="S8937" s="24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5">
        <v>0</v>
      </c>
      <c r="E8938" s="5">
        <v>3</v>
      </c>
      <c r="F8938" s="5" t="s">
        <v>9</v>
      </c>
      <c r="G8938" s="15" t="s">
        <v>8</v>
      </c>
      <c r="H8938" s="24">
        <v>0</v>
      </c>
      <c r="I8938" s="24">
        <v>0</v>
      </c>
      <c r="J8938" s="24" t="s">
        <v>21</v>
      </c>
      <c r="K8938" s="24" t="s">
        <v>21</v>
      </c>
      <c r="L8938" s="24" t="s">
        <v>21</v>
      </c>
      <c r="M8938" s="24" t="s">
        <v>21</v>
      </c>
      <c r="N8938" s="24" t="s">
        <v>21</v>
      </c>
      <c r="O8938" s="24" t="s">
        <v>21</v>
      </c>
      <c r="P8938" s="24" t="s">
        <v>21</v>
      </c>
      <c r="Q8938" s="24" t="s">
        <v>21</v>
      </c>
      <c r="R8938" s="24" t="s">
        <v>21</v>
      </c>
      <c r="S8938" s="24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5">
        <v>0</v>
      </c>
      <c r="E8939" s="5">
        <v>3</v>
      </c>
      <c r="F8939" s="5" t="s">
        <v>9</v>
      </c>
      <c r="G8939" s="15" t="s">
        <v>8</v>
      </c>
      <c r="H8939" s="24">
        <v>0.99999999278225005</v>
      </c>
      <c r="I8939" s="24">
        <v>0.99999999278225005</v>
      </c>
      <c r="J8939" s="24" t="s">
        <v>21</v>
      </c>
      <c r="K8939" s="24" t="s">
        <v>21</v>
      </c>
      <c r="L8939" s="24" t="s">
        <v>21</v>
      </c>
      <c r="M8939" s="24" t="s">
        <v>21</v>
      </c>
      <c r="N8939" s="24" t="s">
        <v>21</v>
      </c>
      <c r="O8939" s="24" t="s">
        <v>21</v>
      </c>
      <c r="P8939" s="24" t="s">
        <v>21</v>
      </c>
      <c r="Q8939" s="24" t="s">
        <v>21</v>
      </c>
      <c r="R8939" s="24" t="s">
        <v>21</v>
      </c>
      <c r="S8939" s="24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5">
        <v>0</v>
      </c>
      <c r="E8940" s="5">
        <v>3</v>
      </c>
      <c r="F8940" s="5" t="s">
        <v>9</v>
      </c>
      <c r="G8940" s="15" t="s">
        <v>8</v>
      </c>
      <c r="H8940" s="24">
        <v>0</v>
      </c>
      <c r="I8940" s="24">
        <v>0</v>
      </c>
      <c r="J8940" s="24" t="s">
        <v>21</v>
      </c>
      <c r="K8940" s="24" t="s">
        <v>21</v>
      </c>
      <c r="L8940" s="24" t="s">
        <v>21</v>
      </c>
      <c r="M8940" s="24" t="s">
        <v>21</v>
      </c>
      <c r="N8940" s="24" t="s">
        <v>21</v>
      </c>
      <c r="O8940" s="24" t="s">
        <v>21</v>
      </c>
      <c r="P8940" s="24" t="s">
        <v>21</v>
      </c>
      <c r="Q8940" s="24" t="s">
        <v>21</v>
      </c>
      <c r="R8940" s="24" t="s">
        <v>21</v>
      </c>
      <c r="S8940" s="24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5">
        <v>0</v>
      </c>
      <c r="E8941" s="5">
        <v>4</v>
      </c>
      <c r="F8941" s="5" t="s">
        <v>9</v>
      </c>
      <c r="G8941" s="15" t="s">
        <v>8</v>
      </c>
      <c r="H8941" s="24">
        <v>1.000000003259629</v>
      </c>
      <c r="I8941" s="24">
        <v>1.000000003259629</v>
      </c>
      <c r="J8941" s="24" t="s">
        <v>21</v>
      </c>
      <c r="K8941" s="24" t="s">
        <v>21</v>
      </c>
      <c r="L8941" s="24" t="s">
        <v>21</v>
      </c>
      <c r="M8941" s="24" t="s">
        <v>21</v>
      </c>
      <c r="N8941" s="24" t="s">
        <v>21</v>
      </c>
      <c r="O8941" s="24" t="s">
        <v>21</v>
      </c>
      <c r="P8941" s="24" t="s">
        <v>21</v>
      </c>
      <c r="Q8941" s="24" t="s">
        <v>21</v>
      </c>
      <c r="R8941" s="24" t="s">
        <v>21</v>
      </c>
      <c r="S8941" s="24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5">
        <v>0</v>
      </c>
      <c r="E8942" s="5">
        <v>4</v>
      </c>
      <c r="F8942" s="5" t="s">
        <v>9</v>
      </c>
      <c r="G8942" s="15" t="s">
        <v>8</v>
      </c>
      <c r="H8942" s="24">
        <v>0</v>
      </c>
      <c r="I8942" s="24">
        <v>0</v>
      </c>
      <c r="J8942" s="24" t="s">
        <v>21</v>
      </c>
      <c r="K8942" s="24" t="s">
        <v>21</v>
      </c>
      <c r="L8942" s="24" t="s">
        <v>21</v>
      </c>
      <c r="M8942" s="24" t="s">
        <v>21</v>
      </c>
      <c r="N8942" s="24" t="s">
        <v>21</v>
      </c>
      <c r="O8942" s="24" t="s">
        <v>21</v>
      </c>
      <c r="P8942" s="24" t="s">
        <v>21</v>
      </c>
      <c r="Q8942" s="24" t="s">
        <v>21</v>
      </c>
      <c r="R8942" s="24" t="s">
        <v>21</v>
      </c>
      <c r="S8942" s="24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7">
        <v>0</v>
      </c>
      <c r="E8943" s="7">
        <v>5</v>
      </c>
      <c r="F8943" s="7" t="s">
        <v>9</v>
      </c>
      <c r="G8943" s="16" t="s">
        <v>8</v>
      </c>
      <c r="H8943" s="25">
        <v>1.000000003259629</v>
      </c>
      <c r="I8943" s="25">
        <v>1.000000003259629</v>
      </c>
      <c r="J8943" s="25" t="s">
        <v>21</v>
      </c>
      <c r="K8943" s="25" t="s">
        <v>21</v>
      </c>
      <c r="L8943" s="25" t="s">
        <v>21</v>
      </c>
      <c r="M8943" s="25" t="s">
        <v>21</v>
      </c>
      <c r="N8943" s="25" t="s">
        <v>21</v>
      </c>
      <c r="O8943" s="25" t="s">
        <v>21</v>
      </c>
      <c r="P8943" s="25" t="s">
        <v>21</v>
      </c>
      <c r="Q8943" s="25" t="s">
        <v>21</v>
      </c>
      <c r="R8943" s="25" t="s">
        <v>21</v>
      </c>
      <c r="S8943" s="25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5">
        <v>0</v>
      </c>
      <c r="E8944" s="5">
        <v>2</v>
      </c>
      <c r="F8944" s="5" t="s">
        <v>9</v>
      </c>
      <c r="G8944" s="15" t="s">
        <v>8</v>
      </c>
      <c r="H8944" s="24">
        <v>785.99999999511056</v>
      </c>
      <c r="I8944" s="24">
        <v>785.99999999511056</v>
      </c>
      <c r="J8944" s="24" t="s">
        <v>21</v>
      </c>
      <c r="K8944" s="24" t="s">
        <v>21</v>
      </c>
      <c r="L8944" s="24" t="s">
        <v>21</v>
      </c>
      <c r="M8944" s="24" t="s">
        <v>21</v>
      </c>
      <c r="N8944" s="24" t="s">
        <v>21</v>
      </c>
      <c r="O8944" s="24" t="s">
        <v>21</v>
      </c>
      <c r="P8944" s="24" t="s">
        <v>21</v>
      </c>
      <c r="Q8944" s="24" t="s">
        <v>21</v>
      </c>
      <c r="R8944" s="24" t="s">
        <v>21</v>
      </c>
      <c r="S8944" s="24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5">
        <v>0</v>
      </c>
      <c r="E8945" s="5">
        <v>3</v>
      </c>
      <c r="F8945" s="5" t="s">
        <v>9</v>
      </c>
      <c r="G8945" s="15" t="s">
        <v>8</v>
      </c>
      <c r="H8945" s="24">
        <v>1.000000003259629</v>
      </c>
      <c r="I8945" s="24">
        <v>1.000000003259629</v>
      </c>
      <c r="J8945" s="24" t="s">
        <v>21</v>
      </c>
      <c r="K8945" s="24" t="s">
        <v>21</v>
      </c>
      <c r="L8945" s="24" t="s">
        <v>21</v>
      </c>
      <c r="M8945" s="24" t="s">
        <v>21</v>
      </c>
      <c r="N8945" s="24" t="s">
        <v>21</v>
      </c>
      <c r="O8945" s="24" t="s">
        <v>21</v>
      </c>
      <c r="P8945" s="24" t="s">
        <v>21</v>
      </c>
      <c r="Q8945" s="24" t="s">
        <v>21</v>
      </c>
      <c r="R8945" s="24" t="s">
        <v>21</v>
      </c>
      <c r="S8945" s="24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5">
        <v>0</v>
      </c>
      <c r="E8946" s="5">
        <v>1</v>
      </c>
      <c r="F8946" s="5" t="s">
        <v>9</v>
      </c>
      <c r="G8946" s="15" t="s">
        <v>8</v>
      </c>
      <c r="H8946" s="24">
        <v>0</v>
      </c>
      <c r="I8946" s="24">
        <v>0</v>
      </c>
      <c r="J8946" s="24" t="s">
        <v>21</v>
      </c>
      <c r="K8946" s="24" t="s">
        <v>21</v>
      </c>
      <c r="L8946" s="24" t="s">
        <v>21</v>
      </c>
      <c r="M8946" s="24" t="s">
        <v>21</v>
      </c>
      <c r="N8946" s="24" t="s">
        <v>21</v>
      </c>
      <c r="O8946" s="24" t="s">
        <v>21</v>
      </c>
      <c r="P8946" s="24" t="s">
        <v>21</v>
      </c>
      <c r="Q8946" s="24" t="s">
        <v>21</v>
      </c>
      <c r="R8946" s="24" t="s">
        <v>21</v>
      </c>
      <c r="S8946" s="24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5">
        <v>0</v>
      </c>
      <c r="E8947" s="5">
        <v>5</v>
      </c>
      <c r="F8947" s="5" t="s">
        <v>9</v>
      </c>
      <c r="G8947" s="15" t="s">
        <v>8</v>
      </c>
      <c r="H8947" s="24">
        <v>23.000000001629815</v>
      </c>
      <c r="I8947" s="24">
        <v>23.000000001629815</v>
      </c>
      <c r="J8947" s="24" t="s">
        <v>21</v>
      </c>
      <c r="K8947" s="24" t="s">
        <v>21</v>
      </c>
      <c r="L8947" s="24" t="s">
        <v>21</v>
      </c>
      <c r="M8947" s="24" t="s">
        <v>21</v>
      </c>
      <c r="N8947" s="24" t="s">
        <v>21</v>
      </c>
      <c r="O8947" s="24" t="s">
        <v>21</v>
      </c>
      <c r="P8947" s="24" t="s">
        <v>21</v>
      </c>
      <c r="Q8947" s="24" t="s">
        <v>21</v>
      </c>
      <c r="R8947" s="24" t="s">
        <v>21</v>
      </c>
      <c r="S8947" s="24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5">
        <v>7</v>
      </c>
      <c r="E8948" s="5">
        <v>1</v>
      </c>
      <c r="F8948" s="5" t="s">
        <v>9</v>
      </c>
      <c r="G8948" s="15" t="s">
        <v>8</v>
      </c>
      <c r="H8948" s="24">
        <v>0</v>
      </c>
      <c r="I8948" s="24">
        <v>0</v>
      </c>
      <c r="J8948" s="24" t="s">
        <v>21</v>
      </c>
      <c r="K8948" s="24" t="s">
        <v>21</v>
      </c>
      <c r="L8948" s="24" t="s">
        <v>21</v>
      </c>
      <c r="M8948" s="24" t="s">
        <v>21</v>
      </c>
      <c r="N8948" s="24" t="s">
        <v>21</v>
      </c>
      <c r="O8948" s="24" t="s">
        <v>21</v>
      </c>
      <c r="P8948" s="24" t="s">
        <v>21</v>
      </c>
      <c r="Q8948" s="24" t="s">
        <v>21</v>
      </c>
      <c r="R8948" s="24" t="s">
        <v>21</v>
      </c>
      <c r="S8948" s="24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5">
        <v>0</v>
      </c>
      <c r="E8949" s="5">
        <v>4</v>
      </c>
      <c r="F8949" s="5" t="s">
        <v>9</v>
      </c>
      <c r="G8949" s="15" t="s">
        <v>8</v>
      </c>
      <c r="H8949" s="24">
        <v>0.99999999278225005</v>
      </c>
      <c r="I8949" s="24">
        <v>0.99999999278225005</v>
      </c>
      <c r="J8949" s="24" t="s">
        <v>21</v>
      </c>
      <c r="K8949" s="24" t="s">
        <v>21</v>
      </c>
      <c r="L8949" s="24" t="s">
        <v>21</v>
      </c>
      <c r="M8949" s="24" t="s">
        <v>21</v>
      </c>
      <c r="N8949" s="24" t="s">
        <v>21</v>
      </c>
      <c r="O8949" s="24" t="s">
        <v>21</v>
      </c>
      <c r="P8949" s="24" t="s">
        <v>21</v>
      </c>
      <c r="Q8949" s="24" t="s">
        <v>21</v>
      </c>
      <c r="R8949" s="24" t="s">
        <v>21</v>
      </c>
      <c r="S8949" s="24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5">
        <v>0</v>
      </c>
      <c r="E8950" s="5">
        <v>3</v>
      </c>
      <c r="F8950" s="5" t="s">
        <v>9</v>
      </c>
      <c r="G8950" s="15" t="s">
        <v>8</v>
      </c>
      <c r="H8950" s="24">
        <v>0</v>
      </c>
      <c r="I8950" s="24">
        <v>0</v>
      </c>
      <c r="J8950" s="24" t="s">
        <v>21</v>
      </c>
      <c r="K8950" s="24" t="s">
        <v>21</v>
      </c>
      <c r="L8950" s="24" t="s">
        <v>21</v>
      </c>
      <c r="M8950" s="24" t="s">
        <v>21</v>
      </c>
      <c r="N8950" s="24" t="s">
        <v>21</v>
      </c>
      <c r="O8950" s="24" t="s">
        <v>21</v>
      </c>
      <c r="P8950" s="24" t="s">
        <v>21</v>
      </c>
      <c r="Q8950" s="24" t="s">
        <v>21</v>
      </c>
      <c r="R8950" s="24" t="s">
        <v>21</v>
      </c>
      <c r="S8950" s="24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5">
        <v>0</v>
      </c>
      <c r="E8951" s="5">
        <v>5</v>
      </c>
      <c r="F8951" s="5" t="s">
        <v>9</v>
      </c>
      <c r="G8951" s="15" t="s">
        <v>8</v>
      </c>
      <c r="H8951" s="24">
        <v>1.000000003259629</v>
      </c>
      <c r="I8951" s="24">
        <v>1.000000003259629</v>
      </c>
      <c r="J8951" s="24" t="s">
        <v>21</v>
      </c>
      <c r="K8951" s="24" t="s">
        <v>21</v>
      </c>
      <c r="L8951" s="24" t="s">
        <v>21</v>
      </c>
      <c r="M8951" s="24" t="s">
        <v>21</v>
      </c>
      <c r="N8951" s="24" t="s">
        <v>21</v>
      </c>
      <c r="O8951" s="24" t="s">
        <v>21</v>
      </c>
      <c r="P8951" s="24" t="s">
        <v>21</v>
      </c>
      <c r="Q8951" s="24" t="s">
        <v>21</v>
      </c>
      <c r="R8951" s="24" t="s">
        <v>21</v>
      </c>
      <c r="S8951" s="24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5">
        <v>0</v>
      </c>
      <c r="E8952" s="5">
        <v>1</v>
      </c>
      <c r="F8952" s="5" t="s">
        <v>9</v>
      </c>
      <c r="G8952" s="15" t="s">
        <v>8</v>
      </c>
      <c r="H8952" s="24">
        <v>0</v>
      </c>
      <c r="I8952" s="24">
        <v>0</v>
      </c>
      <c r="J8952" s="24" t="s">
        <v>21</v>
      </c>
      <c r="K8952" s="24" t="s">
        <v>21</v>
      </c>
      <c r="L8952" s="24" t="s">
        <v>21</v>
      </c>
      <c r="M8952" s="24" t="s">
        <v>21</v>
      </c>
      <c r="N8952" s="24" t="s">
        <v>21</v>
      </c>
      <c r="O8952" s="24" t="s">
        <v>21</v>
      </c>
      <c r="P8952" s="24" t="s">
        <v>21</v>
      </c>
      <c r="Q8952" s="24" t="s">
        <v>21</v>
      </c>
      <c r="R8952" s="24" t="s">
        <v>21</v>
      </c>
      <c r="S8952" s="24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5">
        <v>0</v>
      </c>
      <c r="E8953" s="5">
        <v>2</v>
      </c>
      <c r="F8953" s="5" t="s">
        <v>9</v>
      </c>
      <c r="G8953" s="15" t="s">
        <v>8</v>
      </c>
      <c r="H8953" s="24">
        <v>1.000000003259629</v>
      </c>
      <c r="I8953" s="24">
        <v>1.000000003259629</v>
      </c>
      <c r="J8953" s="24" t="s">
        <v>21</v>
      </c>
      <c r="K8953" s="24" t="s">
        <v>21</v>
      </c>
      <c r="L8953" s="24" t="s">
        <v>21</v>
      </c>
      <c r="M8953" s="24" t="s">
        <v>21</v>
      </c>
      <c r="N8953" s="24" t="s">
        <v>21</v>
      </c>
      <c r="O8953" s="24" t="s">
        <v>21</v>
      </c>
      <c r="P8953" s="24" t="s">
        <v>21</v>
      </c>
      <c r="Q8953" s="24" t="s">
        <v>21</v>
      </c>
      <c r="R8953" s="24" t="s">
        <v>21</v>
      </c>
      <c r="S8953" s="24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5">
        <v>0</v>
      </c>
      <c r="E8954" s="5">
        <v>3</v>
      </c>
      <c r="F8954" s="5" t="s">
        <v>9</v>
      </c>
      <c r="G8954" s="15" t="s">
        <v>8</v>
      </c>
      <c r="H8954" s="24">
        <v>1.000000003259629</v>
      </c>
      <c r="I8954" s="24">
        <v>1.000000003259629</v>
      </c>
      <c r="J8954" s="24" t="s">
        <v>21</v>
      </c>
      <c r="K8954" s="24" t="s">
        <v>21</v>
      </c>
      <c r="L8954" s="24" t="s">
        <v>21</v>
      </c>
      <c r="M8954" s="24" t="s">
        <v>21</v>
      </c>
      <c r="N8954" s="24" t="s">
        <v>21</v>
      </c>
      <c r="O8954" s="24" t="s">
        <v>21</v>
      </c>
      <c r="P8954" s="24" t="s">
        <v>21</v>
      </c>
      <c r="Q8954" s="24" t="s">
        <v>21</v>
      </c>
      <c r="R8954" s="24" t="s">
        <v>21</v>
      </c>
      <c r="S8954" s="24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5">
        <v>0</v>
      </c>
      <c r="E8955" s="5">
        <v>3</v>
      </c>
      <c r="F8955" s="5" t="s">
        <v>9</v>
      </c>
      <c r="G8955" s="15" t="s">
        <v>8</v>
      </c>
      <c r="H8955" s="24">
        <v>0</v>
      </c>
      <c r="I8955" s="24">
        <v>0</v>
      </c>
      <c r="J8955" s="24" t="s">
        <v>21</v>
      </c>
      <c r="K8955" s="24" t="s">
        <v>21</v>
      </c>
      <c r="L8955" s="24" t="s">
        <v>21</v>
      </c>
      <c r="M8955" s="24" t="s">
        <v>21</v>
      </c>
      <c r="N8955" s="24" t="s">
        <v>21</v>
      </c>
      <c r="O8955" s="24" t="s">
        <v>21</v>
      </c>
      <c r="P8955" s="24" t="s">
        <v>21</v>
      </c>
      <c r="Q8955" s="24" t="s">
        <v>21</v>
      </c>
      <c r="R8955" s="24" t="s">
        <v>21</v>
      </c>
      <c r="S8955" s="24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5">
        <v>0</v>
      </c>
      <c r="E8956" s="5">
        <v>2</v>
      </c>
      <c r="F8956" s="5" t="s">
        <v>9</v>
      </c>
      <c r="G8956" s="15" t="s">
        <v>8</v>
      </c>
      <c r="H8956" s="24">
        <v>0.99999999278225005</v>
      </c>
      <c r="I8956" s="24">
        <v>0.99999999278225005</v>
      </c>
      <c r="J8956" s="24" t="s">
        <v>21</v>
      </c>
      <c r="K8956" s="24" t="s">
        <v>21</v>
      </c>
      <c r="L8956" s="24" t="s">
        <v>21</v>
      </c>
      <c r="M8956" s="24" t="s">
        <v>21</v>
      </c>
      <c r="N8956" s="24" t="s">
        <v>21</v>
      </c>
      <c r="O8956" s="24" t="s">
        <v>21</v>
      </c>
      <c r="P8956" s="24" t="s">
        <v>21</v>
      </c>
      <c r="Q8956" s="24" t="s">
        <v>21</v>
      </c>
      <c r="R8956" s="24" t="s">
        <v>21</v>
      </c>
      <c r="S8956" s="24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5">
        <v>0</v>
      </c>
      <c r="E8957" s="5">
        <v>1</v>
      </c>
      <c r="F8957" s="5" t="s">
        <v>9</v>
      </c>
      <c r="G8957" s="15" t="s">
        <v>8</v>
      </c>
      <c r="H8957" s="24">
        <v>600.00000000698492</v>
      </c>
      <c r="I8957" s="24">
        <v>600.00000000698492</v>
      </c>
      <c r="J8957" s="24" t="s">
        <v>21</v>
      </c>
      <c r="K8957" s="24" t="s">
        <v>21</v>
      </c>
      <c r="L8957" s="24" t="s">
        <v>21</v>
      </c>
      <c r="M8957" s="24" t="s">
        <v>21</v>
      </c>
      <c r="N8957" s="24" t="s">
        <v>21</v>
      </c>
      <c r="O8957" s="24" t="s">
        <v>21</v>
      </c>
      <c r="P8957" s="24" t="s">
        <v>21</v>
      </c>
      <c r="Q8957" s="24" t="s">
        <v>21</v>
      </c>
      <c r="R8957" s="24" t="s">
        <v>21</v>
      </c>
      <c r="S8957" s="24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5">
        <v>0</v>
      </c>
      <c r="E8958" s="5">
        <v>1</v>
      </c>
      <c r="F8958" s="5" t="s">
        <v>9</v>
      </c>
      <c r="G8958" s="15" t="s">
        <v>8</v>
      </c>
      <c r="H8958" s="24">
        <v>0</v>
      </c>
      <c r="I8958" s="24">
        <v>0</v>
      </c>
      <c r="J8958" s="24" t="s">
        <v>21</v>
      </c>
      <c r="K8958" s="24" t="s">
        <v>21</v>
      </c>
      <c r="L8958" s="24" t="s">
        <v>21</v>
      </c>
      <c r="M8958" s="24" t="s">
        <v>21</v>
      </c>
      <c r="N8958" s="24" t="s">
        <v>21</v>
      </c>
      <c r="O8958" s="24" t="s">
        <v>21</v>
      </c>
      <c r="P8958" s="24" t="s">
        <v>21</v>
      </c>
      <c r="Q8958" s="24" t="s">
        <v>21</v>
      </c>
      <c r="R8958" s="24" t="s">
        <v>21</v>
      </c>
      <c r="S8958" s="24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5">
        <v>0</v>
      </c>
      <c r="E8959" s="5">
        <v>0</v>
      </c>
      <c r="F8959" s="5" t="s">
        <v>9</v>
      </c>
      <c r="G8959" s="15" t="s">
        <v>8</v>
      </c>
      <c r="H8959" s="24">
        <v>2.9999999993015081</v>
      </c>
      <c r="I8959" s="24">
        <v>2.9999999993015081</v>
      </c>
      <c r="J8959" s="24" t="s">
        <v>21</v>
      </c>
      <c r="K8959" s="24" t="s">
        <v>21</v>
      </c>
      <c r="L8959" s="24" t="s">
        <v>21</v>
      </c>
      <c r="M8959" s="24" t="s">
        <v>21</v>
      </c>
      <c r="N8959" s="24" t="s">
        <v>21</v>
      </c>
      <c r="O8959" s="24" t="s">
        <v>21</v>
      </c>
      <c r="P8959" s="24" t="s">
        <v>21</v>
      </c>
      <c r="Q8959" s="24" t="s">
        <v>21</v>
      </c>
      <c r="R8959" s="24" t="s">
        <v>21</v>
      </c>
      <c r="S8959" s="24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5">
        <v>0</v>
      </c>
      <c r="E8960" s="5">
        <v>1</v>
      </c>
      <c r="F8960" s="5" t="s">
        <v>9</v>
      </c>
      <c r="G8960" s="15" t="s">
        <v>8</v>
      </c>
      <c r="H8960" s="24">
        <v>0</v>
      </c>
      <c r="I8960" s="24">
        <v>0</v>
      </c>
      <c r="J8960" s="24" t="s">
        <v>21</v>
      </c>
      <c r="K8960" s="24" t="s">
        <v>21</v>
      </c>
      <c r="L8960" s="24" t="s">
        <v>21</v>
      </c>
      <c r="M8960" s="24" t="s">
        <v>21</v>
      </c>
      <c r="N8960" s="24" t="s">
        <v>21</v>
      </c>
      <c r="O8960" s="24" t="s">
        <v>21</v>
      </c>
      <c r="P8960" s="24" t="s">
        <v>21</v>
      </c>
      <c r="Q8960" s="24" t="s">
        <v>21</v>
      </c>
      <c r="R8960" s="24" t="s">
        <v>21</v>
      </c>
      <c r="S8960" s="24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5">
        <v>0</v>
      </c>
      <c r="E8961" s="5">
        <v>3</v>
      </c>
      <c r="F8961" s="5" t="s">
        <v>9</v>
      </c>
      <c r="G8961" s="15" t="s">
        <v>8</v>
      </c>
      <c r="H8961" s="24">
        <v>0.99999999278225005</v>
      </c>
      <c r="I8961" s="24">
        <v>0.99999999278225005</v>
      </c>
      <c r="J8961" s="24" t="s">
        <v>21</v>
      </c>
      <c r="K8961" s="24" t="s">
        <v>21</v>
      </c>
      <c r="L8961" s="24" t="s">
        <v>21</v>
      </c>
      <c r="M8961" s="24" t="s">
        <v>21</v>
      </c>
      <c r="N8961" s="24" t="s">
        <v>21</v>
      </c>
      <c r="O8961" s="24" t="s">
        <v>21</v>
      </c>
      <c r="P8961" s="24" t="s">
        <v>21</v>
      </c>
      <c r="Q8961" s="24" t="s">
        <v>21</v>
      </c>
      <c r="R8961" s="24" t="s">
        <v>21</v>
      </c>
      <c r="S8961" s="24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5">
        <v>0</v>
      </c>
      <c r="E8962" s="5">
        <v>2</v>
      </c>
      <c r="F8962" s="5" t="s">
        <v>9</v>
      </c>
      <c r="G8962" s="15" t="s">
        <v>8</v>
      </c>
      <c r="H8962" s="24">
        <v>0</v>
      </c>
      <c r="I8962" s="24">
        <v>0</v>
      </c>
      <c r="J8962" s="24" t="s">
        <v>21</v>
      </c>
      <c r="K8962" s="24" t="s">
        <v>21</v>
      </c>
      <c r="L8962" s="24" t="s">
        <v>21</v>
      </c>
      <c r="M8962" s="24" t="s">
        <v>21</v>
      </c>
      <c r="N8962" s="24" t="s">
        <v>21</v>
      </c>
      <c r="O8962" s="24" t="s">
        <v>21</v>
      </c>
      <c r="P8962" s="24" t="s">
        <v>21</v>
      </c>
      <c r="Q8962" s="24" t="s">
        <v>21</v>
      </c>
      <c r="R8962" s="24" t="s">
        <v>21</v>
      </c>
      <c r="S8962" s="24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5">
        <v>0</v>
      </c>
      <c r="E8963" s="5">
        <v>3</v>
      </c>
      <c r="F8963" s="5" t="s">
        <v>9</v>
      </c>
      <c r="G8963" s="15" t="s">
        <v>8</v>
      </c>
      <c r="H8963" s="24">
        <v>1.000000003259629</v>
      </c>
      <c r="I8963" s="24">
        <v>1.000000003259629</v>
      </c>
      <c r="J8963" s="24" t="s">
        <v>21</v>
      </c>
      <c r="K8963" s="24" t="s">
        <v>21</v>
      </c>
      <c r="L8963" s="24" t="s">
        <v>21</v>
      </c>
      <c r="M8963" s="24" t="s">
        <v>21</v>
      </c>
      <c r="N8963" s="24" t="s">
        <v>21</v>
      </c>
      <c r="O8963" s="24" t="s">
        <v>21</v>
      </c>
      <c r="P8963" s="24" t="s">
        <v>21</v>
      </c>
      <c r="Q8963" s="24" t="s">
        <v>21</v>
      </c>
      <c r="R8963" s="24" t="s">
        <v>21</v>
      </c>
      <c r="S8963" s="24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5">
        <v>0</v>
      </c>
      <c r="E8964" s="5">
        <v>4</v>
      </c>
      <c r="F8964" s="5" t="s">
        <v>9</v>
      </c>
      <c r="G8964" s="15" t="s">
        <v>8</v>
      </c>
      <c r="H8964" s="24">
        <v>1.000000003259629</v>
      </c>
      <c r="I8964" s="24">
        <v>1.000000003259629</v>
      </c>
      <c r="J8964" s="24" t="s">
        <v>21</v>
      </c>
      <c r="K8964" s="24" t="s">
        <v>21</v>
      </c>
      <c r="L8964" s="24" t="s">
        <v>21</v>
      </c>
      <c r="M8964" s="24" t="s">
        <v>21</v>
      </c>
      <c r="N8964" s="24" t="s">
        <v>21</v>
      </c>
      <c r="O8964" s="24" t="s">
        <v>21</v>
      </c>
      <c r="P8964" s="24" t="s">
        <v>21</v>
      </c>
      <c r="Q8964" s="24" t="s">
        <v>21</v>
      </c>
      <c r="R8964" s="24" t="s">
        <v>21</v>
      </c>
      <c r="S8964" s="24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5">
        <v>0</v>
      </c>
      <c r="E8965" s="5">
        <v>4</v>
      </c>
      <c r="F8965" s="5" t="s">
        <v>9</v>
      </c>
      <c r="G8965" s="15" t="s">
        <v>8</v>
      </c>
      <c r="H8965" s="24">
        <v>0</v>
      </c>
      <c r="I8965" s="24">
        <v>0</v>
      </c>
      <c r="J8965" s="24" t="s">
        <v>21</v>
      </c>
      <c r="K8965" s="24" t="s">
        <v>21</v>
      </c>
      <c r="L8965" s="24" t="s">
        <v>21</v>
      </c>
      <c r="M8965" s="24" t="s">
        <v>21</v>
      </c>
      <c r="N8965" s="24" t="s">
        <v>21</v>
      </c>
      <c r="O8965" s="24" t="s">
        <v>21</v>
      </c>
      <c r="P8965" s="24" t="s">
        <v>21</v>
      </c>
      <c r="Q8965" s="24" t="s">
        <v>21</v>
      </c>
      <c r="R8965" s="24" t="s">
        <v>21</v>
      </c>
      <c r="S8965" s="24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5">
        <v>0</v>
      </c>
      <c r="E8966" s="5">
        <v>4</v>
      </c>
      <c r="F8966" s="5" t="s">
        <v>9</v>
      </c>
      <c r="G8966" s="15" t="s">
        <v>8</v>
      </c>
      <c r="H8966" s="24">
        <v>0.99999999278225005</v>
      </c>
      <c r="I8966" s="24">
        <v>0.99999999278225005</v>
      </c>
      <c r="J8966" s="24" t="s">
        <v>21</v>
      </c>
      <c r="K8966" s="24" t="s">
        <v>21</v>
      </c>
      <c r="L8966" s="24" t="s">
        <v>21</v>
      </c>
      <c r="M8966" s="24" t="s">
        <v>21</v>
      </c>
      <c r="N8966" s="24" t="s">
        <v>21</v>
      </c>
      <c r="O8966" s="24" t="s">
        <v>21</v>
      </c>
      <c r="P8966" s="24" t="s">
        <v>21</v>
      </c>
      <c r="Q8966" s="24" t="s">
        <v>21</v>
      </c>
      <c r="R8966" s="24" t="s">
        <v>21</v>
      </c>
      <c r="S8966" s="24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5">
        <v>0</v>
      </c>
      <c r="E8967" s="5">
        <v>4</v>
      </c>
      <c r="F8967" s="5" t="s">
        <v>9</v>
      </c>
      <c r="G8967" s="15" t="s">
        <v>8</v>
      </c>
      <c r="H8967" s="24">
        <v>0</v>
      </c>
      <c r="I8967" s="24">
        <v>0</v>
      </c>
      <c r="J8967" s="24" t="s">
        <v>21</v>
      </c>
      <c r="K8967" s="24" t="s">
        <v>21</v>
      </c>
      <c r="L8967" s="24" t="s">
        <v>21</v>
      </c>
      <c r="M8967" s="24" t="s">
        <v>21</v>
      </c>
      <c r="N8967" s="24" t="s">
        <v>21</v>
      </c>
      <c r="O8967" s="24" t="s">
        <v>21</v>
      </c>
      <c r="P8967" s="24" t="s">
        <v>21</v>
      </c>
      <c r="Q8967" s="24" t="s">
        <v>21</v>
      </c>
      <c r="R8967" s="24" t="s">
        <v>21</v>
      </c>
      <c r="S8967" s="24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5">
        <v>0</v>
      </c>
      <c r="E8968" s="5">
        <v>3</v>
      </c>
      <c r="F8968" s="5" t="s">
        <v>9</v>
      </c>
      <c r="G8968" s="15" t="s">
        <v>8</v>
      </c>
      <c r="H8968" s="24">
        <v>1.000000003259629</v>
      </c>
      <c r="I8968" s="24">
        <v>1.000000003259629</v>
      </c>
      <c r="J8968" s="24" t="s">
        <v>21</v>
      </c>
      <c r="K8968" s="24" t="s">
        <v>21</v>
      </c>
      <c r="L8968" s="24" t="s">
        <v>21</v>
      </c>
      <c r="M8968" s="24" t="s">
        <v>21</v>
      </c>
      <c r="N8968" s="24" t="s">
        <v>21</v>
      </c>
      <c r="O8968" s="24" t="s">
        <v>21</v>
      </c>
      <c r="P8968" s="24" t="s">
        <v>21</v>
      </c>
      <c r="Q8968" s="24" t="s">
        <v>21</v>
      </c>
      <c r="R8968" s="24" t="s">
        <v>21</v>
      </c>
      <c r="S8968" s="24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5">
        <v>0</v>
      </c>
      <c r="E8969" s="5">
        <v>2</v>
      </c>
      <c r="F8969" s="5" t="s">
        <v>9</v>
      </c>
      <c r="G8969" s="15" t="s">
        <v>8</v>
      </c>
      <c r="H8969" s="24">
        <v>1.000000003259629</v>
      </c>
      <c r="I8969" s="24">
        <v>1.000000003259629</v>
      </c>
      <c r="J8969" s="24" t="s">
        <v>21</v>
      </c>
      <c r="K8969" s="24" t="s">
        <v>21</v>
      </c>
      <c r="L8969" s="24" t="s">
        <v>21</v>
      </c>
      <c r="M8969" s="24" t="s">
        <v>21</v>
      </c>
      <c r="N8969" s="24" t="s">
        <v>21</v>
      </c>
      <c r="O8969" s="24" t="s">
        <v>21</v>
      </c>
      <c r="P8969" s="24" t="s">
        <v>21</v>
      </c>
      <c r="Q8969" s="24" t="s">
        <v>21</v>
      </c>
      <c r="R8969" s="24" t="s">
        <v>21</v>
      </c>
      <c r="S8969" s="24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5">
        <v>0</v>
      </c>
      <c r="E8970" s="5">
        <v>1</v>
      </c>
      <c r="F8970" s="5" t="s">
        <v>9</v>
      </c>
      <c r="G8970" s="15" t="s">
        <v>8</v>
      </c>
      <c r="H8970" s="24">
        <v>0</v>
      </c>
      <c r="I8970" s="24">
        <v>0</v>
      </c>
      <c r="J8970" s="24" t="s">
        <v>21</v>
      </c>
      <c r="K8970" s="24" t="s">
        <v>21</v>
      </c>
      <c r="L8970" s="24" t="s">
        <v>21</v>
      </c>
      <c r="M8970" s="24" t="s">
        <v>21</v>
      </c>
      <c r="N8970" s="24" t="s">
        <v>21</v>
      </c>
      <c r="O8970" s="24" t="s">
        <v>21</v>
      </c>
      <c r="P8970" s="24" t="s">
        <v>21</v>
      </c>
      <c r="Q8970" s="24" t="s">
        <v>21</v>
      </c>
      <c r="R8970" s="24" t="s">
        <v>21</v>
      </c>
      <c r="S8970" s="24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5">
        <v>0</v>
      </c>
      <c r="E8971" s="5">
        <v>3</v>
      </c>
      <c r="F8971" s="5" t="s">
        <v>9</v>
      </c>
      <c r="G8971" s="15" t="s">
        <v>8</v>
      </c>
      <c r="H8971" s="24">
        <v>1.9999999960418791</v>
      </c>
      <c r="I8971" s="24">
        <v>1.9999999960418791</v>
      </c>
      <c r="J8971" s="24" t="s">
        <v>21</v>
      </c>
      <c r="K8971" s="24" t="s">
        <v>21</v>
      </c>
      <c r="L8971" s="24" t="s">
        <v>21</v>
      </c>
      <c r="M8971" s="24" t="s">
        <v>21</v>
      </c>
      <c r="N8971" s="24" t="s">
        <v>21</v>
      </c>
      <c r="O8971" s="24" t="s">
        <v>21</v>
      </c>
      <c r="P8971" s="24" t="s">
        <v>21</v>
      </c>
      <c r="Q8971" s="24" t="s">
        <v>21</v>
      </c>
      <c r="R8971" s="24" t="s">
        <v>21</v>
      </c>
      <c r="S8971" s="24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5">
        <v>0</v>
      </c>
      <c r="E8972" s="5">
        <v>2</v>
      </c>
      <c r="F8972" s="5" t="s">
        <v>9</v>
      </c>
      <c r="G8972" s="15" t="s">
        <v>8</v>
      </c>
      <c r="H8972" s="24">
        <v>0</v>
      </c>
      <c r="I8972" s="24">
        <v>0</v>
      </c>
      <c r="J8972" s="24" t="s">
        <v>21</v>
      </c>
      <c r="K8972" s="24" t="s">
        <v>21</v>
      </c>
      <c r="L8972" s="24" t="s">
        <v>21</v>
      </c>
      <c r="M8972" s="24" t="s">
        <v>21</v>
      </c>
      <c r="N8972" s="24" t="s">
        <v>21</v>
      </c>
      <c r="O8972" s="24" t="s">
        <v>21</v>
      </c>
      <c r="P8972" s="24" t="s">
        <v>21</v>
      </c>
      <c r="Q8972" s="24" t="s">
        <v>21</v>
      </c>
      <c r="R8972" s="24" t="s">
        <v>21</v>
      </c>
      <c r="S8972" s="24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5">
        <v>0</v>
      </c>
      <c r="E8973" s="5">
        <v>4</v>
      </c>
      <c r="F8973" s="5" t="s">
        <v>9</v>
      </c>
      <c r="G8973" s="15" t="s">
        <v>8</v>
      </c>
      <c r="H8973" s="24">
        <v>1.000000003259629</v>
      </c>
      <c r="I8973" s="24">
        <v>1.000000003259629</v>
      </c>
      <c r="J8973" s="24" t="s">
        <v>21</v>
      </c>
      <c r="K8973" s="24" t="s">
        <v>21</v>
      </c>
      <c r="L8973" s="24" t="s">
        <v>21</v>
      </c>
      <c r="M8973" s="24" t="s">
        <v>21</v>
      </c>
      <c r="N8973" s="24" t="s">
        <v>21</v>
      </c>
      <c r="O8973" s="24" t="s">
        <v>21</v>
      </c>
      <c r="P8973" s="24" t="s">
        <v>21</v>
      </c>
      <c r="Q8973" s="24" t="s">
        <v>21</v>
      </c>
      <c r="R8973" s="24" t="s">
        <v>21</v>
      </c>
      <c r="S8973" s="24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5">
        <v>0</v>
      </c>
      <c r="E8974" s="5">
        <v>3</v>
      </c>
      <c r="F8974" s="5" t="s">
        <v>9</v>
      </c>
      <c r="G8974" s="15" t="s">
        <v>8</v>
      </c>
      <c r="H8974" s="24">
        <v>0.99999999278225005</v>
      </c>
      <c r="I8974" s="24">
        <v>0.99999999278225005</v>
      </c>
      <c r="J8974" s="24" t="s">
        <v>21</v>
      </c>
      <c r="K8974" s="24" t="s">
        <v>21</v>
      </c>
      <c r="L8974" s="24" t="s">
        <v>21</v>
      </c>
      <c r="M8974" s="24" t="s">
        <v>21</v>
      </c>
      <c r="N8974" s="24" t="s">
        <v>21</v>
      </c>
      <c r="O8974" s="24" t="s">
        <v>21</v>
      </c>
      <c r="P8974" s="24" t="s">
        <v>21</v>
      </c>
      <c r="Q8974" s="24" t="s">
        <v>21</v>
      </c>
      <c r="R8974" s="24" t="s">
        <v>21</v>
      </c>
      <c r="S8974" s="24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5">
        <v>0</v>
      </c>
      <c r="E8975" s="5">
        <v>3</v>
      </c>
      <c r="F8975" s="5" t="s">
        <v>9</v>
      </c>
      <c r="G8975" s="15" t="s">
        <v>8</v>
      </c>
      <c r="H8975" s="24">
        <v>0</v>
      </c>
      <c r="I8975" s="24">
        <v>0</v>
      </c>
      <c r="J8975" s="24" t="s">
        <v>21</v>
      </c>
      <c r="K8975" s="24" t="s">
        <v>21</v>
      </c>
      <c r="L8975" s="24" t="s">
        <v>21</v>
      </c>
      <c r="M8975" s="24" t="s">
        <v>21</v>
      </c>
      <c r="N8975" s="24" t="s">
        <v>21</v>
      </c>
      <c r="O8975" s="24" t="s">
        <v>21</v>
      </c>
      <c r="P8975" s="24" t="s">
        <v>21</v>
      </c>
      <c r="Q8975" s="24" t="s">
        <v>21</v>
      </c>
      <c r="R8975" s="24" t="s">
        <v>21</v>
      </c>
      <c r="S8975" s="24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5">
        <v>0</v>
      </c>
      <c r="E8976" s="5">
        <v>3</v>
      </c>
      <c r="F8976" s="5" t="s">
        <v>9</v>
      </c>
      <c r="G8976" s="15" t="s">
        <v>8</v>
      </c>
      <c r="H8976" s="24">
        <v>0</v>
      </c>
      <c r="I8976" s="24">
        <v>0</v>
      </c>
      <c r="J8976" s="24" t="s">
        <v>21</v>
      </c>
      <c r="K8976" s="24" t="s">
        <v>21</v>
      </c>
      <c r="L8976" s="24" t="s">
        <v>21</v>
      </c>
      <c r="M8976" s="24" t="s">
        <v>21</v>
      </c>
      <c r="N8976" s="24" t="s">
        <v>21</v>
      </c>
      <c r="O8976" s="24" t="s">
        <v>21</v>
      </c>
      <c r="P8976" s="24" t="s">
        <v>21</v>
      </c>
      <c r="Q8976" s="24" t="s">
        <v>21</v>
      </c>
      <c r="R8976" s="24" t="s">
        <v>21</v>
      </c>
      <c r="S8976" s="24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5">
        <v>0</v>
      </c>
      <c r="E8977" s="5">
        <v>2</v>
      </c>
      <c r="F8977" s="5" t="s">
        <v>9</v>
      </c>
      <c r="G8977" s="15" t="s">
        <v>8</v>
      </c>
      <c r="H8977" s="24">
        <v>0</v>
      </c>
      <c r="I8977" s="24">
        <v>0</v>
      </c>
      <c r="J8977" s="24" t="s">
        <v>21</v>
      </c>
      <c r="K8977" s="24" t="s">
        <v>21</v>
      </c>
      <c r="L8977" s="24" t="s">
        <v>21</v>
      </c>
      <c r="M8977" s="24" t="s">
        <v>21</v>
      </c>
      <c r="N8977" s="24" t="s">
        <v>21</v>
      </c>
      <c r="O8977" s="24" t="s">
        <v>21</v>
      </c>
      <c r="P8977" s="24" t="s">
        <v>21</v>
      </c>
      <c r="Q8977" s="24" t="s">
        <v>21</v>
      </c>
      <c r="R8977" s="24" t="s">
        <v>21</v>
      </c>
      <c r="S8977" s="24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5">
        <v>0</v>
      </c>
      <c r="E8978" s="5">
        <v>3</v>
      </c>
      <c r="F8978" s="5" t="s">
        <v>9</v>
      </c>
      <c r="G8978" s="15" t="s">
        <v>8</v>
      </c>
      <c r="H8978" s="24">
        <v>2.000000006519258</v>
      </c>
      <c r="I8978" s="24">
        <v>2.000000006519258</v>
      </c>
      <c r="J8978" s="24" t="s">
        <v>21</v>
      </c>
      <c r="K8978" s="24" t="s">
        <v>21</v>
      </c>
      <c r="L8978" s="24" t="s">
        <v>21</v>
      </c>
      <c r="M8978" s="24" t="s">
        <v>21</v>
      </c>
      <c r="N8978" s="24" t="s">
        <v>21</v>
      </c>
      <c r="O8978" s="24" t="s">
        <v>21</v>
      </c>
      <c r="P8978" s="24" t="s">
        <v>21</v>
      </c>
      <c r="Q8978" s="24" t="s">
        <v>21</v>
      </c>
      <c r="R8978" s="24" t="s">
        <v>21</v>
      </c>
      <c r="S8978" s="24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7">
        <v>0</v>
      </c>
      <c r="E8979" s="7">
        <v>3</v>
      </c>
      <c r="F8979" s="7" t="s">
        <v>9</v>
      </c>
      <c r="G8979" s="16" t="s">
        <v>8</v>
      </c>
      <c r="H8979" s="25">
        <v>0</v>
      </c>
      <c r="I8979" s="25">
        <v>0</v>
      </c>
      <c r="J8979" s="25" t="s">
        <v>21</v>
      </c>
      <c r="K8979" s="25" t="s">
        <v>21</v>
      </c>
      <c r="L8979" s="25" t="s">
        <v>21</v>
      </c>
      <c r="M8979" s="25" t="s">
        <v>21</v>
      </c>
      <c r="N8979" s="25" t="s">
        <v>21</v>
      </c>
      <c r="O8979" s="25" t="s">
        <v>21</v>
      </c>
      <c r="P8979" s="25" t="s">
        <v>21</v>
      </c>
      <c r="Q8979" s="25" t="s">
        <v>21</v>
      </c>
      <c r="R8979" s="25" t="s">
        <v>21</v>
      </c>
      <c r="S8979" s="25" t="s">
        <v>21</v>
      </c>
    </row>
    <row r="8980" spans="1:19" x14ac:dyDescent="0.2">
      <c r="A8980" s="12">
        <v>46041</v>
      </c>
      <c r="B8980" s="5" t="str">
        <f t="shared" ref="B8980:C8980" si="1411">B8979</f>
        <v>Northern Cardinal</v>
      </c>
      <c r="C8980" s="6">
        <v>0.29305555555555557</v>
      </c>
      <c r="D8980" s="5"/>
      <c r="E8980" s="5"/>
      <c r="F8980" s="5" t="s">
        <v>9</v>
      </c>
      <c r="G8980" s="15" t="s">
        <v>9</v>
      </c>
      <c r="H8980" s="24">
        <f t="shared" ref="H8980:H9160" si="1412">IFERROR((($A8980+$C8980) - ($A8979+$C8979))*24*60, "")</f>
        <v>788.00000000162981</v>
      </c>
      <c r="I8980" s="24" cm="1">
        <f t="array" ref="I8980">IFERROR(IF($B8980=I$1, ($A8980+$C8980) - MAX(IF($B$2:$B8979=$B8980, $A$2:$A8979+$C$2:$C8979)), "")*24*60, "")</f>
        <v>788.00000000162981</v>
      </c>
      <c r="J8980" s="24" t="str" cm="1">
        <f t="array" ref="J8980">IFERROR(IF($B8980=J$1, ($A8980+$C8980) - MAX(IF($B$2:$B8979=$B8980, $A$2:$A8979+$C$2:$C8979)), "")*24*60, "")</f>
        <v/>
      </c>
      <c r="K8980" s="24" t="str" cm="1">
        <f t="array" ref="K8980">IFERROR(IF($B8980=K$1, ($A8980+$C8980) - MAX(IF($B$2:$B8979=$B8980, $A$2:$A8979+$C$2:$C8979)), "")*24*60, "")</f>
        <v/>
      </c>
      <c r="L8980" s="24" t="str" cm="1">
        <f t="array" ref="L8980">IFERROR(IF($B8980=L$1, ($A8980+$C8980) - MAX(IF($B$2:$B8979=$B8980, $A$2:$A8979+$C$2:$C8979)), "")*24*60, "")</f>
        <v/>
      </c>
      <c r="M8980" s="24" t="str" cm="1">
        <f t="array" ref="M8980">IFERROR(IF($B8980=M$1, ($A8980+$C8980) - MAX(IF($B$2:$B8979=$B8980, $A$2:$A8979+$C$2:$C8979)), "")*24*60, "")</f>
        <v/>
      </c>
      <c r="N8980" s="24" t="str" cm="1">
        <f t="array" ref="N8980">IFERROR(IF($B8980=N$1, ($A8980+$C8980) - MAX(IF($B$2:$B8979=$B8980, $A$2:$A8979+$C$2:$C8979)), "")*24*60, "")</f>
        <v/>
      </c>
      <c r="O8980" s="24" t="str" cm="1">
        <f t="array" ref="O8980">IFERROR(IF($B8980=O$1, ($A8980+$C8980) - MAX(IF($B$2:$B8979=$B8980, $A$2:$A8979+$C$2:$C8979)), "")*24*60, "")</f>
        <v/>
      </c>
      <c r="P8980" s="24" t="str" cm="1">
        <f t="array" ref="P8980">IFERROR(IF($B8980=P$1, ($A8980+$C8980) - MAX(IF($B$2:$B8979=$B8980, $A$2:$A8979+$C$2:$C8979)), "")*24*60, "")</f>
        <v/>
      </c>
      <c r="Q8980" s="24" t="str" cm="1">
        <f t="array" ref="Q8980">IFERROR(IF($B8980=Q$1, ($A8980+$C8980) - MAX(IF($B$2:$B8979=$B8980, $A$2:$A8979+$C$2:$C8979)), "")*24*60, "")</f>
        <v/>
      </c>
      <c r="R8980" s="24" t="str" cm="1">
        <f t="array" ref="R8980">IFERROR(IF($B8980=R$1, ($A8980+$C8980) - MAX(IF($B$2:$B8979=$B8980, $A$2:$A8979+$C$2:$C8979)), "")*24*60, "")</f>
        <v/>
      </c>
      <c r="S8980" s="24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C8981" si="1413">A8980</f>
        <v>46041</v>
      </c>
      <c r="B8981" s="5" t="str">
        <f t="shared" si="1413"/>
        <v>Northern Cardinal</v>
      </c>
      <c r="C8981" s="6">
        <v>0.2951388888888889</v>
      </c>
      <c r="D8981" s="5"/>
      <c r="E8981" s="5"/>
      <c r="F8981" s="5" t="s">
        <v>9</v>
      </c>
      <c r="G8981" s="15" t="s">
        <v>9</v>
      </c>
      <c r="H8981" s="24">
        <f t="shared" si="1412"/>
        <v>2.9999999993015081</v>
      </c>
      <c r="I8981" s="24" cm="1">
        <f t="array" ref="I8981">IFERROR(IF($B8981=I$1, ($A8981+$C8981) - MAX(IF($B$2:$B8980=$B8981, $A$2:$A8980+$C$2:$C8980)), "")*24*60, "")</f>
        <v>2.9999999993015081</v>
      </c>
      <c r="J8981" s="24" t="str" cm="1">
        <f t="array" ref="J8981">IFERROR(IF($B8981=J$1, ($A8981+$C8981) - MAX(IF($B$2:$B8980=$B8981, $A$2:$A8980+$C$2:$C8980)), "")*24*60, "")</f>
        <v/>
      </c>
      <c r="K8981" s="24" t="str" cm="1">
        <f t="array" ref="K8981">IFERROR(IF($B8981=K$1, ($A8981+$C8981) - MAX(IF($B$2:$B8980=$B8981, $A$2:$A8980+$C$2:$C8980)), "")*24*60, "")</f>
        <v/>
      </c>
      <c r="L8981" s="24" t="str" cm="1">
        <f t="array" ref="L8981">IFERROR(IF($B8981=L$1, ($A8981+$C8981) - MAX(IF($B$2:$B8980=$B8981, $A$2:$A8980+$C$2:$C8980)), "")*24*60, "")</f>
        <v/>
      </c>
      <c r="M8981" s="24" t="str" cm="1">
        <f t="array" ref="M8981">IFERROR(IF($B8981=M$1, ($A8981+$C8981) - MAX(IF($B$2:$B8980=$B8981, $A$2:$A8980+$C$2:$C8980)), "")*24*60, "")</f>
        <v/>
      </c>
      <c r="N8981" s="24" t="str" cm="1">
        <f t="array" ref="N8981">IFERROR(IF($B8981=N$1, ($A8981+$C8981) - MAX(IF($B$2:$B8980=$B8981, $A$2:$A8980+$C$2:$C8980)), "")*24*60, "")</f>
        <v/>
      </c>
      <c r="O8981" s="24" t="str" cm="1">
        <f t="array" ref="O8981">IFERROR(IF($B8981=O$1, ($A8981+$C8981) - MAX(IF($B$2:$B8980=$B8981, $A$2:$A8980+$C$2:$C8980)), "")*24*60, "")</f>
        <v/>
      </c>
      <c r="P8981" s="24" t="str" cm="1">
        <f t="array" ref="P8981">IFERROR(IF($B8981=P$1, ($A8981+$C8981) - MAX(IF($B$2:$B8980=$B8981, $A$2:$A8980+$C$2:$C8980)), "")*24*60, "")</f>
        <v/>
      </c>
      <c r="Q8981" s="24" t="str" cm="1">
        <f t="array" ref="Q8981">IFERROR(IF($B8981=Q$1, ($A8981+$C8981) - MAX(IF($B$2:$B8980=$B8981, $A$2:$A8980+$C$2:$C8980)), "")*24*60, "")</f>
        <v/>
      </c>
      <c r="R8981" s="24" t="str" cm="1">
        <f t="array" ref="R8981">IFERROR(IF($B8981=R$1, ($A8981+$C8981) - MAX(IF($B$2:$B8980=$B8981, $A$2:$A8980+$C$2:$C8980)), "")*24*60, "")</f>
        <v/>
      </c>
      <c r="S8981" s="24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C8982" si="1414">A8981</f>
        <v>46041</v>
      </c>
      <c r="B8982" s="5" t="str">
        <f t="shared" si="1414"/>
        <v>Northern Cardinal</v>
      </c>
      <c r="C8982" s="6">
        <v>0.29583333333333334</v>
      </c>
      <c r="D8982" s="5"/>
      <c r="E8982" s="5"/>
      <c r="F8982" s="5" t="s">
        <v>9</v>
      </c>
      <c r="G8982" s="15" t="s">
        <v>9</v>
      </c>
      <c r="H8982" s="24">
        <f t="shared" si="1412"/>
        <v>0.99999999278225005</v>
      </c>
      <c r="I8982" s="24" cm="1">
        <f t="array" ref="I8982">IFERROR(IF($B8982=I$1, ($A8982+$C8982) - MAX(IF($B$2:$B8981=$B8982, $A$2:$A8981+$C$2:$C8981)), "")*24*60, "")</f>
        <v>0.99999999278225005</v>
      </c>
      <c r="J8982" s="24" t="str" cm="1">
        <f t="array" ref="J8982">IFERROR(IF($B8982=J$1, ($A8982+$C8982) - MAX(IF($B$2:$B8981=$B8982, $A$2:$A8981+$C$2:$C8981)), "")*24*60, "")</f>
        <v/>
      </c>
      <c r="K8982" s="24" t="str" cm="1">
        <f t="array" ref="K8982">IFERROR(IF($B8982=K$1, ($A8982+$C8982) - MAX(IF($B$2:$B8981=$B8982, $A$2:$A8981+$C$2:$C8981)), "")*24*60, "")</f>
        <v/>
      </c>
      <c r="L8982" s="24" t="str" cm="1">
        <f t="array" ref="L8982">IFERROR(IF($B8982=L$1, ($A8982+$C8982) - MAX(IF($B$2:$B8981=$B8982, $A$2:$A8981+$C$2:$C8981)), "")*24*60, "")</f>
        <v/>
      </c>
      <c r="M8982" s="24" t="str" cm="1">
        <f t="array" ref="M8982">IFERROR(IF($B8982=M$1, ($A8982+$C8982) - MAX(IF($B$2:$B8981=$B8982, $A$2:$A8981+$C$2:$C8981)), "")*24*60, "")</f>
        <v/>
      </c>
      <c r="N8982" s="24" t="str" cm="1">
        <f t="array" ref="N8982">IFERROR(IF($B8982=N$1, ($A8982+$C8982) - MAX(IF($B$2:$B8981=$B8982, $A$2:$A8981+$C$2:$C8981)), "")*24*60, "")</f>
        <v/>
      </c>
      <c r="O8982" s="24" t="str" cm="1">
        <f t="array" ref="O8982">IFERROR(IF($B8982=O$1, ($A8982+$C8982) - MAX(IF($B$2:$B8981=$B8982, $A$2:$A8981+$C$2:$C8981)), "")*24*60, "")</f>
        <v/>
      </c>
      <c r="P8982" s="24" t="str" cm="1">
        <f t="array" ref="P8982">IFERROR(IF($B8982=P$1, ($A8982+$C8982) - MAX(IF($B$2:$B8981=$B8982, $A$2:$A8981+$C$2:$C8981)), "")*24*60, "")</f>
        <v/>
      </c>
      <c r="Q8982" s="24" t="str" cm="1">
        <f t="array" ref="Q8982">IFERROR(IF($B8982=Q$1, ($A8982+$C8982) - MAX(IF($B$2:$B8981=$B8982, $A$2:$A8981+$C$2:$C8981)), "")*24*60, "")</f>
        <v/>
      </c>
      <c r="R8982" s="24" t="str" cm="1">
        <f t="array" ref="R8982">IFERROR(IF($B8982=R$1, ($A8982+$C8982) - MAX(IF($B$2:$B8981=$B8982, $A$2:$A8981+$C$2:$C8981)), "")*24*60, "")</f>
        <v/>
      </c>
      <c r="S8982" s="24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5"/>
      <c r="E8983" s="5"/>
      <c r="F8983" s="5" t="s">
        <v>9</v>
      </c>
      <c r="G8983" s="15" t="s">
        <v>9</v>
      </c>
      <c r="H8983" s="24">
        <f t="shared" si="1412"/>
        <v>0</v>
      </c>
      <c r="I8983" s="24" cm="1">
        <f t="array" ref="I8983">IFERROR(IF($B8983=I$1, ($A8983+$C8983) - MAX(IF($B$2:$B8982=$B8983, $A$2:$A8982+$C$2:$C8982)), "")*24*60, "")</f>
        <v>0</v>
      </c>
      <c r="J8983" s="24" t="str" cm="1">
        <f t="array" ref="J8983">IFERROR(IF($B8983=J$1, ($A8983+$C8983) - MAX(IF($B$2:$B8982=$B8983, $A$2:$A8982+$C$2:$C8982)), "")*24*60, "")</f>
        <v/>
      </c>
      <c r="K8983" s="24" t="str" cm="1">
        <f t="array" ref="K8983">IFERROR(IF($B8983=K$1, ($A8983+$C8983) - MAX(IF($B$2:$B8982=$B8983, $A$2:$A8982+$C$2:$C8982)), "")*24*60, "")</f>
        <v/>
      </c>
      <c r="L8983" s="24" t="str" cm="1">
        <f t="array" ref="L8983">IFERROR(IF($B8983=L$1, ($A8983+$C8983) - MAX(IF($B$2:$B8982=$B8983, $A$2:$A8982+$C$2:$C8982)), "")*24*60, "")</f>
        <v/>
      </c>
      <c r="M8983" s="24" t="str" cm="1">
        <f t="array" ref="M8983">IFERROR(IF($B8983=M$1, ($A8983+$C8983) - MAX(IF($B$2:$B8982=$B8983, $A$2:$A8982+$C$2:$C8982)), "")*24*60, "")</f>
        <v/>
      </c>
      <c r="N8983" s="24" t="str" cm="1">
        <f t="array" ref="N8983">IFERROR(IF($B8983=N$1, ($A8983+$C8983) - MAX(IF($B$2:$B8982=$B8983, $A$2:$A8982+$C$2:$C8982)), "")*24*60, "")</f>
        <v/>
      </c>
      <c r="O8983" s="24" t="str" cm="1">
        <f t="array" ref="O8983">IFERROR(IF($B8983=O$1, ($A8983+$C8983) - MAX(IF($B$2:$B8982=$B8983, $A$2:$A8982+$C$2:$C8982)), "")*24*60, "")</f>
        <v/>
      </c>
      <c r="P8983" s="24" t="str" cm="1">
        <f t="array" ref="P8983">IFERROR(IF($B8983=P$1, ($A8983+$C8983) - MAX(IF($B$2:$B8982=$B8983, $A$2:$A8982+$C$2:$C8982)), "")*24*60, "")</f>
        <v/>
      </c>
      <c r="Q8983" s="24" t="str" cm="1">
        <f t="array" ref="Q8983">IFERROR(IF($B8983=Q$1, ($A8983+$C8983) - MAX(IF($B$2:$B8982=$B8983, $A$2:$A8982+$C$2:$C8982)), "")*24*60, "")</f>
        <v/>
      </c>
      <c r="R8983" s="24" t="str" cm="1">
        <f t="array" ref="R8983">IFERROR(IF($B8983=R$1, ($A8983+$C8983) - MAX(IF($B$2:$B8982=$B8983, $A$2:$A8982+$C$2:$C8982)), "")*24*60, "")</f>
        <v/>
      </c>
      <c r="S8983" s="24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C8984" si="1416">A8983</f>
        <v>46041</v>
      </c>
      <c r="B8984" s="5" t="str">
        <f t="shared" si="1416"/>
        <v>Northern Cardinal</v>
      </c>
      <c r="C8984" s="6">
        <v>0.29652777777777778</v>
      </c>
      <c r="D8984" s="5"/>
      <c r="E8984" s="5"/>
      <c r="F8984" s="5" t="s">
        <v>9</v>
      </c>
      <c r="G8984" s="15" t="s">
        <v>9</v>
      </c>
      <c r="H8984" s="24">
        <f t="shared" si="1412"/>
        <v>1.000000003259629</v>
      </c>
      <c r="I8984" s="24" cm="1">
        <f t="array" ref="I8984">IFERROR(IF($B8984=I$1, ($A8984+$C8984) - MAX(IF($B$2:$B8983=$B8984, $A$2:$A8983+$C$2:$C8983)), "")*24*60, "")</f>
        <v>1.000000003259629</v>
      </c>
      <c r="J8984" s="24" t="str" cm="1">
        <f t="array" ref="J8984">IFERROR(IF($B8984=J$1, ($A8984+$C8984) - MAX(IF($B$2:$B8983=$B8984, $A$2:$A8983+$C$2:$C8983)), "")*24*60, "")</f>
        <v/>
      </c>
      <c r="K8984" s="24" t="str" cm="1">
        <f t="array" ref="K8984">IFERROR(IF($B8984=K$1, ($A8984+$C8984) - MAX(IF($B$2:$B8983=$B8984, $A$2:$A8983+$C$2:$C8983)), "")*24*60, "")</f>
        <v/>
      </c>
      <c r="L8984" s="24" t="str" cm="1">
        <f t="array" ref="L8984">IFERROR(IF($B8984=L$1, ($A8984+$C8984) - MAX(IF($B$2:$B8983=$B8984, $A$2:$A8983+$C$2:$C8983)), "")*24*60, "")</f>
        <v/>
      </c>
      <c r="M8984" s="24" t="str" cm="1">
        <f t="array" ref="M8984">IFERROR(IF($B8984=M$1, ($A8984+$C8984) - MAX(IF($B$2:$B8983=$B8984, $A$2:$A8983+$C$2:$C8983)), "")*24*60, "")</f>
        <v/>
      </c>
      <c r="N8984" s="24" t="str" cm="1">
        <f t="array" ref="N8984">IFERROR(IF($B8984=N$1, ($A8984+$C8984) - MAX(IF($B$2:$B8983=$B8984, $A$2:$A8983+$C$2:$C8983)), "")*24*60, "")</f>
        <v/>
      </c>
      <c r="O8984" s="24" t="str" cm="1">
        <f t="array" ref="O8984">IFERROR(IF($B8984=O$1, ($A8984+$C8984) - MAX(IF($B$2:$B8983=$B8984, $A$2:$A8983+$C$2:$C8983)), "")*24*60, "")</f>
        <v/>
      </c>
      <c r="P8984" s="24" t="str" cm="1">
        <f t="array" ref="P8984">IFERROR(IF($B8984=P$1, ($A8984+$C8984) - MAX(IF($B$2:$B8983=$B8984, $A$2:$A8983+$C$2:$C8983)), "")*24*60, "")</f>
        <v/>
      </c>
      <c r="Q8984" s="24" t="str" cm="1">
        <f t="array" ref="Q8984">IFERROR(IF($B8984=Q$1, ($A8984+$C8984) - MAX(IF($B$2:$B8983=$B8984, $A$2:$A8983+$C$2:$C8983)), "")*24*60, "")</f>
        <v/>
      </c>
      <c r="R8984" s="24" t="str" cm="1">
        <f t="array" ref="R8984">IFERROR(IF($B8984=R$1, ($A8984+$C8984) - MAX(IF($B$2:$B8983=$B8984, $A$2:$A8983+$C$2:$C8983)), "")*24*60, "")</f>
        <v/>
      </c>
      <c r="S8984" s="24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5"/>
      <c r="E8985" s="5"/>
      <c r="F8985" s="5" t="s">
        <v>9</v>
      </c>
      <c r="G8985" s="15" t="s">
        <v>9</v>
      </c>
      <c r="H8985" s="24">
        <f t="shared" si="1412"/>
        <v>0</v>
      </c>
      <c r="I8985" s="24" cm="1">
        <f t="array" ref="I8985">IFERROR(IF($B8985=I$1, ($A8985+$C8985) - MAX(IF($B$2:$B8984=$B8985, $A$2:$A8984+$C$2:$C8984)), "")*24*60, "")</f>
        <v>0</v>
      </c>
      <c r="J8985" s="24" t="str" cm="1">
        <f t="array" ref="J8985">IFERROR(IF($B8985=J$1, ($A8985+$C8985) - MAX(IF($B$2:$B8984=$B8985, $A$2:$A8984+$C$2:$C8984)), "")*24*60, "")</f>
        <v/>
      </c>
      <c r="K8985" s="24" t="str" cm="1">
        <f t="array" ref="K8985">IFERROR(IF($B8985=K$1, ($A8985+$C8985) - MAX(IF($B$2:$B8984=$B8985, $A$2:$A8984+$C$2:$C8984)), "")*24*60, "")</f>
        <v/>
      </c>
      <c r="L8985" s="24" t="str" cm="1">
        <f t="array" ref="L8985">IFERROR(IF($B8985=L$1, ($A8985+$C8985) - MAX(IF($B$2:$B8984=$B8985, $A$2:$A8984+$C$2:$C8984)), "")*24*60, "")</f>
        <v/>
      </c>
      <c r="M8985" s="24" t="str" cm="1">
        <f t="array" ref="M8985">IFERROR(IF($B8985=M$1, ($A8985+$C8985) - MAX(IF($B$2:$B8984=$B8985, $A$2:$A8984+$C$2:$C8984)), "")*24*60, "")</f>
        <v/>
      </c>
      <c r="N8985" s="24" t="str" cm="1">
        <f t="array" ref="N8985">IFERROR(IF($B8985=N$1, ($A8985+$C8985) - MAX(IF($B$2:$B8984=$B8985, $A$2:$A8984+$C$2:$C8984)), "")*24*60, "")</f>
        <v/>
      </c>
      <c r="O8985" s="24" t="str" cm="1">
        <f t="array" ref="O8985">IFERROR(IF($B8985=O$1, ($A8985+$C8985) - MAX(IF($B$2:$B8984=$B8985, $A$2:$A8984+$C$2:$C8984)), "")*24*60, "")</f>
        <v/>
      </c>
      <c r="P8985" s="24" t="str" cm="1">
        <f t="array" ref="P8985">IFERROR(IF($B8985=P$1, ($A8985+$C8985) - MAX(IF($B$2:$B8984=$B8985, $A$2:$A8984+$C$2:$C8984)), "")*24*60, "")</f>
        <v/>
      </c>
      <c r="Q8985" s="24" t="str" cm="1">
        <f t="array" ref="Q8985">IFERROR(IF($B8985=Q$1, ($A8985+$C8985) - MAX(IF($B$2:$B8984=$B8985, $A$2:$A8984+$C$2:$C8984)), "")*24*60, "")</f>
        <v/>
      </c>
      <c r="R8985" s="24" t="str" cm="1">
        <f t="array" ref="R8985">IFERROR(IF($B8985=R$1, ($A8985+$C8985) - MAX(IF($B$2:$B8984=$B8985, $A$2:$A8984+$C$2:$C8984)), "")*24*60, "")</f>
        <v/>
      </c>
      <c r="S8985" s="24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C8986" si="1418">A8985</f>
        <v>46041</v>
      </c>
      <c r="B8986" s="5" t="str">
        <f t="shared" si="1418"/>
        <v>Northern Cardinal</v>
      </c>
      <c r="C8986" s="6">
        <v>0.29722222222222222</v>
      </c>
      <c r="D8986" s="5"/>
      <c r="E8986" s="5"/>
      <c r="F8986" s="5" t="s">
        <v>9</v>
      </c>
      <c r="G8986" s="15" t="s">
        <v>9</v>
      </c>
      <c r="H8986" s="24">
        <f t="shared" si="1412"/>
        <v>1.000000003259629</v>
      </c>
      <c r="I8986" s="24" cm="1">
        <f t="array" ref="I8986">IFERROR(IF($B8986=I$1, ($A8986+$C8986) - MAX(IF($B$2:$B8985=$B8986, $A$2:$A8985+$C$2:$C8985)), "")*24*60, "")</f>
        <v>1.000000003259629</v>
      </c>
      <c r="J8986" s="24" t="str" cm="1">
        <f t="array" ref="J8986">IFERROR(IF($B8986=J$1, ($A8986+$C8986) - MAX(IF($B$2:$B8985=$B8986, $A$2:$A8985+$C$2:$C8985)), "")*24*60, "")</f>
        <v/>
      </c>
      <c r="K8986" s="24" t="str" cm="1">
        <f t="array" ref="K8986">IFERROR(IF($B8986=K$1, ($A8986+$C8986) - MAX(IF($B$2:$B8985=$B8986, $A$2:$A8985+$C$2:$C8985)), "")*24*60, "")</f>
        <v/>
      </c>
      <c r="L8986" s="24" t="str" cm="1">
        <f t="array" ref="L8986">IFERROR(IF($B8986=L$1, ($A8986+$C8986) - MAX(IF($B$2:$B8985=$B8986, $A$2:$A8985+$C$2:$C8985)), "")*24*60, "")</f>
        <v/>
      </c>
      <c r="M8986" s="24" t="str" cm="1">
        <f t="array" ref="M8986">IFERROR(IF($B8986=M$1, ($A8986+$C8986) - MAX(IF($B$2:$B8985=$B8986, $A$2:$A8985+$C$2:$C8985)), "")*24*60, "")</f>
        <v/>
      </c>
      <c r="N8986" s="24" t="str" cm="1">
        <f t="array" ref="N8986">IFERROR(IF($B8986=N$1, ($A8986+$C8986) - MAX(IF($B$2:$B8985=$B8986, $A$2:$A8985+$C$2:$C8985)), "")*24*60, "")</f>
        <v/>
      </c>
      <c r="O8986" s="24" t="str" cm="1">
        <f t="array" ref="O8986">IFERROR(IF($B8986=O$1, ($A8986+$C8986) - MAX(IF($B$2:$B8985=$B8986, $A$2:$A8985+$C$2:$C8985)), "")*24*60, "")</f>
        <v/>
      </c>
      <c r="P8986" s="24" t="str" cm="1">
        <f t="array" ref="P8986">IFERROR(IF($B8986=P$1, ($A8986+$C8986) - MAX(IF($B$2:$B8985=$B8986, $A$2:$A8985+$C$2:$C8985)), "")*24*60, "")</f>
        <v/>
      </c>
      <c r="Q8986" s="24" t="str" cm="1">
        <f t="array" ref="Q8986">IFERROR(IF($B8986=Q$1, ($A8986+$C8986) - MAX(IF($B$2:$B8985=$B8986, $A$2:$A8985+$C$2:$C8985)), "")*24*60, "")</f>
        <v/>
      </c>
      <c r="R8986" s="24" t="str" cm="1">
        <f t="array" ref="R8986">IFERROR(IF($B8986=R$1, ($A8986+$C8986) - MAX(IF($B$2:$B8985=$B8986, $A$2:$A8985+$C$2:$C8985)), "")*24*60, "")</f>
        <v/>
      </c>
      <c r="S8986" s="24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C8987" si="1419">A8986</f>
        <v>46041</v>
      </c>
      <c r="B8987" s="5" t="str">
        <f t="shared" si="1419"/>
        <v>Northern Cardinal</v>
      </c>
      <c r="C8987" s="6">
        <v>0.42499999999999999</v>
      </c>
      <c r="D8987" s="5"/>
      <c r="E8987" s="5"/>
      <c r="F8987" s="5" t="s">
        <v>9</v>
      </c>
      <c r="G8987" s="15" t="s">
        <v>9</v>
      </c>
      <c r="H8987" s="24">
        <f t="shared" si="1412"/>
        <v>184.00000000256114</v>
      </c>
      <c r="I8987" s="24" cm="1">
        <f t="array" ref="I8987">IFERROR(IF($B8987=I$1, ($A8987+$C8987) - MAX(IF($B$2:$B8986=$B8987, $A$2:$A8986+$C$2:$C8986)), "")*24*60, "")</f>
        <v>184.00000000256114</v>
      </c>
      <c r="J8987" s="24" t="str" cm="1">
        <f t="array" ref="J8987">IFERROR(IF($B8987=J$1, ($A8987+$C8987) - MAX(IF($B$2:$B8986=$B8987, $A$2:$A8986+$C$2:$C8986)), "")*24*60, "")</f>
        <v/>
      </c>
      <c r="K8987" s="24" t="str" cm="1">
        <f t="array" ref="K8987">IFERROR(IF($B8987=K$1, ($A8987+$C8987) - MAX(IF($B$2:$B8986=$B8987, $A$2:$A8986+$C$2:$C8986)), "")*24*60, "")</f>
        <v/>
      </c>
      <c r="L8987" s="24" t="str" cm="1">
        <f t="array" ref="L8987">IFERROR(IF($B8987=L$1, ($A8987+$C8987) - MAX(IF($B$2:$B8986=$B8987, $A$2:$A8986+$C$2:$C8986)), "")*24*60, "")</f>
        <v/>
      </c>
      <c r="M8987" s="24" t="str" cm="1">
        <f t="array" ref="M8987">IFERROR(IF($B8987=M$1, ($A8987+$C8987) - MAX(IF($B$2:$B8986=$B8987, $A$2:$A8986+$C$2:$C8986)), "")*24*60, "")</f>
        <v/>
      </c>
      <c r="N8987" s="24" t="str" cm="1">
        <f t="array" ref="N8987">IFERROR(IF($B8987=N$1, ($A8987+$C8987) - MAX(IF($B$2:$B8986=$B8987, $A$2:$A8986+$C$2:$C8986)), "")*24*60, "")</f>
        <v/>
      </c>
      <c r="O8987" s="24" t="str" cm="1">
        <f t="array" ref="O8987">IFERROR(IF($B8987=O$1, ($A8987+$C8987) - MAX(IF($B$2:$B8986=$B8987, $A$2:$A8986+$C$2:$C8986)), "")*24*60, "")</f>
        <v/>
      </c>
      <c r="P8987" s="24" t="str" cm="1">
        <f t="array" ref="P8987">IFERROR(IF($B8987=P$1, ($A8987+$C8987) - MAX(IF($B$2:$B8986=$B8987, $A$2:$A8986+$C$2:$C8986)), "")*24*60, "")</f>
        <v/>
      </c>
      <c r="Q8987" s="24" t="str" cm="1">
        <f t="array" ref="Q8987">IFERROR(IF($B8987=Q$1, ($A8987+$C8987) - MAX(IF($B$2:$B8986=$B8987, $A$2:$A8986+$C$2:$C8986)), "")*24*60, "")</f>
        <v/>
      </c>
      <c r="R8987" s="24" t="str" cm="1">
        <f t="array" ref="R8987">IFERROR(IF($B8987=R$1, ($A8987+$C8987) - MAX(IF($B$2:$B8986=$B8987, $A$2:$A8986+$C$2:$C8986)), "")*24*60, "")</f>
        <v/>
      </c>
      <c r="S8987" s="24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5"/>
      <c r="E8988" s="5"/>
      <c r="F8988" s="5" t="s">
        <v>9</v>
      </c>
      <c r="G8988" s="15" t="s">
        <v>9</v>
      </c>
      <c r="H8988" s="24">
        <f t="shared" si="1412"/>
        <v>0</v>
      </c>
      <c r="I8988" s="24" t="str" cm="1">
        <f t="array" ref="I8988">IFERROR(IF($B8988=I$1, ($A8988+$C8988) - MAX(IF($B$2:$B8987=$B8988, $A$2:$A8987+$C$2:$C8987)), "")*24*60, "")</f>
        <v/>
      </c>
      <c r="J8988" s="24" t="str" cm="1">
        <f t="array" ref="J8988">IFERROR(IF($B8988=J$1, ($A8988+$C8988) - MAX(IF($B$2:$B8987=$B8988, $A$2:$A8987+$C$2:$C8987)), "")*24*60, "")</f>
        <v/>
      </c>
      <c r="K8988" s="24" t="str" cm="1">
        <f t="array" ref="K8988">IFERROR(IF($B8988=K$1, ($A8988+$C8988) - MAX(IF($B$2:$B8987=$B8988, $A$2:$A8987+$C$2:$C8987)), "")*24*60, "")</f>
        <v/>
      </c>
      <c r="L8988" s="24" cm="1">
        <f t="array" ref="L8988">IFERROR(IF($B8988=L$1, ($A8988+$C8988) - MAX(IF($B$2:$B8987=$B8988, $A$2:$A8987+$C$2:$C8987)), "")*24*60, "")</f>
        <v>2938.0000000004657</v>
      </c>
      <c r="M8988" s="24" t="str" cm="1">
        <f t="array" ref="M8988">IFERROR(IF($B8988=M$1, ($A8988+$C8988) - MAX(IF($B$2:$B8987=$B8988, $A$2:$A8987+$C$2:$C8987)), "")*24*60, "")</f>
        <v/>
      </c>
      <c r="N8988" s="24" t="str" cm="1">
        <f t="array" ref="N8988">IFERROR(IF($B8988=N$1, ($A8988+$C8988) - MAX(IF($B$2:$B8987=$B8988, $A$2:$A8987+$C$2:$C8987)), "")*24*60, "")</f>
        <v/>
      </c>
      <c r="O8988" s="24" t="str" cm="1">
        <f t="array" ref="O8988">IFERROR(IF($B8988=O$1, ($A8988+$C8988) - MAX(IF($B$2:$B8987=$B8988, $A$2:$A8987+$C$2:$C8987)), "")*24*60, "")</f>
        <v/>
      </c>
      <c r="P8988" s="24" t="str" cm="1">
        <f t="array" ref="P8988">IFERROR(IF($B8988=P$1, ($A8988+$C8988) - MAX(IF($B$2:$B8987=$B8988, $A$2:$A8987+$C$2:$C8987)), "")*24*60, "")</f>
        <v/>
      </c>
      <c r="Q8988" s="24" t="str" cm="1">
        <f t="array" ref="Q8988">IFERROR(IF($B8988=Q$1, ($A8988+$C8988) - MAX(IF($B$2:$B8987=$B8988, $A$2:$A8987+$C$2:$C8987)), "")*24*60, "")</f>
        <v/>
      </c>
      <c r="R8988" s="24" t="str" cm="1">
        <f t="array" ref="R8988">IFERROR(IF($B8988=R$1, ($A8988+$C8988) - MAX(IF($B$2:$B8987=$B8988, $A$2:$A8987+$C$2:$C8987)), "")*24*60, "")</f>
        <v/>
      </c>
      <c r="S8988" s="24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C8989" si="1421">A8988</f>
        <v>46041</v>
      </c>
      <c r="B8989" s="5" t="str">
        <f t="shared" si="1421"/>
        <v>Carolina Wren</v>
      </c>
      <c r="C8989" s="6">
        <v>0.42569444444444443</v>
      </c>
      <c r="D8989" s="5"/>
      <c r="E8989" s="5"/>
      <c r="F8989" s="5" t="s">
        <v>9</v>
      </c>
      <c r="G8989" s="15" t="s">
        <v>9</v>
      </c>
      <c r="H8989" s="24">
        <f t="shared" si="1412"/>
        <v>0.99999999278225005</v>
      </c>
      <c r="I8989" s="24" t="str" cm="1">
        <f t="array" ref="I8989">IFERROR(IF($B8989=I$1, ($A8989+$C8989) - MAX(IF($B$2:$B8988=$B8989, $A$2:$A8988+$C$2:$C8988)), "")*24*60, "")</f>
        <v/>
      </c>
      <c r="J8989" s="24" t="str" cm="1">
        <f t="array" ref="J8989">IFERROR(IF($B8989=J$1, ($A8989+$C8989) - MAX(IF($B$2:$B8988=$B8989, $A$2:$A8988+$C$2:$C8988)), "")*24*60, "")</f>
        <v/>
      </c>
      <c r="K8989" s="24" t="str" cm="1">
        <f t="array" ref="K8989">IFERROR(IF($B8989=K$1, ($A8989+$C8989) - MAX(IF($B$2:$B8988=$B8989, $A$2:$A8988+$C$2:$C8988)), "")*24*60, "")</f>
        <v/>
      </c>
      <c r="L8989" s="24" cm="1">
        <f t="array" ref="L8989">IFERROR(IF($B8989=L$1, ($A8989+$C8989) - MAX(IF($B$2:$B8988=$B8989, $A$2:$A8988+$C$2:$C8988)), "")*24*60, "")</f>
        <v>0.99999999278225005</v>
      </c>
      <c r="M8989" s="24" t="str" cm="1">
        <f t="array" ref="M8989">IFERROR(IF($B8989=M$1, ($A8989+$C8989) - MAX(IF($B$2:$B8988=$B8989, $A$2:$A8988+$C$2:$C8988)), "")*24*60, "")</f>
        <v/>
      </c>
      <c r="N8989" s="24" t="str" cm="1">
        <f t="array" ref="N8989">IFERROR(IF($B8989=N$1, ($A8989+$C8989) - MAX(IF($B$2:$B8988=$B8989, $A$2:$A8988+$C$2:$C8988)), "")*24*60, "")</f>
        <v/>
      </c>
      <c r="O8989" s="24" t="str" cm="1">
        <f t="array" ref="O8989">IFERROR(IF($B8989=O$1, ($A8989+$C8989) - MAX(IF($B$2:$B8988=$B8989, $A$2:$A8988+$C$2:$C8988)), "")*24*60, "")</f>
        <v/>
      </c>
      <c r="P8989" s="24" t="str" cm="1">
        <f t="array" ref="P8989">IFERROR(IF($B8989=P$1, ($A8989+$C8989) - MAX(IF($B$2:$B8988=$B8989, $A$2:$A8988+$C$2:$C8988)), "")*24*60, "")</f>
        <v/>
      </c>
      <c r="Q8989" s="24" t="str" cm="1">
        <f t="array" ref="Q8989">IFERROR(IF($B8989=Q$1, ($A8989+$C8989) - MAX(IF($B$2:$B8988=$B8989, $A$2:$A8988+$C$2:$C8988)), "")*24*60, "")</f>
        <v/>
      </c>
      <c r="R8989" s="24" t="str" cm="1">
        <f t="array" ref="R8989">IFERROR(IF($B8989=R$1, ($A8989+$C8989) - MAX(IF($B$2:$B8988=$B8989, $A$2:$A8988+$C$2:$C8988)), "")*24*60, "")</f>
        <v/>
      </c>
      <c r="S8989" s="24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5"/>
      <c r="E8990" s="5"/>
      <c r="F8990" s="5" t="s">
        <v>9</v>
      </c>
      <c r="G8990" s="15" t="s">
        <v>9</v>
      </c>
      <c r="H8990" s="24">
        <f t="shared" si="1412"/>
        <v>0</v>
      </c>
      <c r="I8990" s="24" t="str" cm="1">
        <f t="array" ref="I8990">IFERROR(IF($B8990=I$1, ($A8990+$C8990) - MAX(IF($B$2:$B8989=$B8990, $A$2:$A8989+$C$2:$C8989)), "")*24*60, "")</f>
        <v/>
      </c>
      <c r="J8990" s="24" t="str" cm="1">
        <f t="array" ref="J8990">IFERROR(IF($B8990=J$1, ($A8990+$C8990) - MAX(IF($B$2:$B8989=$B8990, $A$2:$A8989+$C$2:$C8989)), "")*24*60, "")</f>
        <v/>
      </c>
      <c r="K8990" s="24" t="str" cm="1">
        <f t="array" ref="K8990">IFERROR(IF($B8990=K$1, ($A8990+$C8990) - MAX(IF($B$2:$B8989=$B8990, $A$2:$A8989+$C$2:$C8989)), "")*24*60, "")</f>
        <v/>
      </c>
      <c r="L8990" s="24" cm="1">
        <f t="array" ref="L8990">IFERROR(IF($B8990=L$1, ($A8990+$C8990) - MAX(IF($B$2:$B8989=$B8990, $A$2:$A8989+$C$2:$C8989)), "")*24*60, "")</f>
        <v>0</v>
      </c>
      <c r="M8990" s="24" t="str" cm="1">
        <f t="array" ref="M8990">IFERROR(IF($B8990=M$1, ($A8990+$C8990) - MAX(IF($B$2:$B8989=$B8990, $A$2:$A8989+$C$2:$C8989)), "")*24*60, "")</f>
        <v/>
      </c>
      <c r="N8990" s="24" t="str" cm="1">
        <f t="array" ref="N8990">IFERROR(IF($B8990=N$1, ($A8990+$C8990) - MAX(IF($B$2:$B8989=$B8990, $A$2:$A8989+$C$2:$C8989)), "")*24*60, "")</f>
        <v/>
      </c>
      <c r="O8990" s="24" t="str" cm="1">
        <f t="array" ref="O8990">IFERROR(IF($B8990=O$1, ($A8990+$C8990) - MAX(IF($B$2:$B8989=$B8990, $A$2:$A8989+$C$2:$C8989)), "")*24*60, "")</f>
        <v/>
      </c>
      <c r="P8990" s="24" t="str" cm="1">
        <f t="array" ref="P8990">IFERROR(IF($B8990=P$1, ($A8990+$C8990) - MAX(IF($B$2:$B8989=$B8990, $A$2:$A8989+$C$2:$C8989)), "")*24*60, "")</f>
        <v/>
      </c>
      <c r="Q8990" s="24" t="str" cm="1">
        <f t="array" ref="Q8990">IFERROR(IF($B8990=Q$1, ($A8990+$C8990) - MAX(IF($B$2:$B8989=$B8990, $A$2:$A8989+$C$2:$C8989)), "")*24*60, "")</f>
        <v/>
      </c>
      <c r="R8990" s="24" t="str" cm="1">
        <f t="array" ref="R8990">IFERROR(IF($B8990=R$1, ($A8990+$C8990) - MAX(IF($B$2:$B8989=$B8990, $A$2:$A8989+$C$2:$C8989)), "")*24*60, "")</f>
        <v/>
      </c>
      <c r="S8990" s="24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C8991" si="1423">A8990</f>
        <v>46041</v>
      </c>
      <c r="B8991" s="5" t="str">
        <f t="shared" si="1423"/>
        <v>Carolina Wren</v>
      </c>
      <c r="C8991" s="6">
        <v>0.42777777777777776</v>
      </c>
      <c r="D8991" s="5"/>
      <c r="E8991" s="5"/>
      <c r="F8991" s="5" t="s">
        <v>9</v>
      </c>
      <c r="G8991" s="15" t="s">
        <v>9</v>
      </c>
      <c r="H8991" s="24">
        <f t="shared" si="1412"/>
        <v>2.9999999993015081</v>
      </c>
      <c r="I8991" s="24" t="str" cm="1">
        <f t="array" ref="I8991">IFERROR(IF($B8991=I$1, ($A8991+$C8991) - MAX(IF($B$2:$B8990=$B8991, $A$2:$A8990+$C$2:$C8990)), "")*24*60, "")</f>
        <v/>
      </c>
      <c r="J8991" s="24" t="str" cm="1">
        <f t="array" ref="J8991">IFERROR(IF($B8991=J$1, ($A8991+$C8991) - MAX(IF($B$2:$B8990=$B8991, $A$2:$A8990+$C$2:$C8990)), "")*24*60, "")</f>
        <v/>
      </c>
      <c r="K8991" s="24" t="str" cm="1">
        <f t="array" ref="K8991">IFERROR(IF($B8991=K$1, ($A8991+$C8991) - MAX(IF($B$2:$B8990=$B8991, $A$2:$A8990+$C$2:$C8990)), "")*24*60, "")</f>
        <v/>
      </c>
      <c r="L8991" s="24" cm="1">
        <f t="array" ref="L8991">IFERROR(IF($B8991=L$1, ($A8991+$C8991) - MAX(IF($B$2:$B8990=$B8991, $A$2:$A8990+$C$2:$C8990)), "")*24*60, "")</f>
        <v>2.9999999993015081</v>
      </c>
      <c r="M8991" s="24" t="str" cm="1">
        <f t="array" ref="M8991">IFERROR(IF($B8991=M$1, ($A8991+$C8991) - MAX(IF($B$2:$B8990=$B8991, $A$2:$A8990+$C$2:$C8990)), "")*24*60, "")</f>
        <v/>
      </c>
      <c r="N8991" s="24" t="str" cm="1">
        <f t="array" ref="N8991">IFERROR(IF($B8991=N$1, ($A8991+$C8991) - MAX(IF($B$2:$B8990=$B8991, $A$2:$A8990+$C$2:$C8990)), "")*24*60, "")</f>
        <v/>
      </c>
      <c r="O8991" s="24" t="str" cm="1">
        <f t="array" ref="O8991">IFERROR(IF($B8991=O$1, ($A8991+$C8991) - MAX(IF($B$2:$B8990=$B8991, $A$2:$A8990+$C$2:$C8990)), "")*24*60, "")</f>
        <v/>
      </c>
      <c r="P8991" s="24" t="str" cm="1">
        <f t="array" ref="P8991">IFERROR(IF($B8991=P$1, ($A8991+$C8991) - MAX(IF($B$2:$B8990=$B8991, $A$2:$A8990+$C$2:$C8990)), "")*24*60, "")</f>
        <v/>
      </c>
      <c r="Q8991" s="24" t="str" cm="1">
        <f t="array" ref="Q8991">IFERROR(IF($B8991=Q$1, ($A8991+$C8991) - MAX(IF($B$2:$B8990=$B8991, $A$2:$A8990+$C$2:$C8990)), "")*24*60, "")</f>
        <v/>
      </c>
      <c r="R8991" s="24" t="str" cm="1">
        <f t="array" ref="R8991">IFERROR(IF($B8991=R$1, ($A8991+$C8991) - MAX(IF($B$2:$B8990=$B8991, $A$2:$A8990+$C$2:$C8990)), "")*24*60, "")</f>
        <v/>
      </c>
      <c r="S8991" s="24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5"/>
      <c r="E8992" s="5"/>
      <c r="F8992" s="5" t="s">
        <v>9</v>
      </c>
      <c r="G8992" s="15" t="s">
        <v>9</v>
      </c>
      <c r="H8992" s="24">
        <f t="shared" si="1412"/>
        <v>0</v>
      </c>
      <c r="I8992" s="24" t="str" cm="1">
        <f t="array" ref="I8992">IFERROR(IF($B8992=I$1, ($A8992+$C8992) - MAX(IF($B$2:$B8991=$B8992, $A$2:$A8991+$C$2:$C8991)), "")*24*60, "")</f>
        <v/>
      </c>
      <c r="J8992" s="24" t="str" cm="1">
        <f t="array" ref="J8992">IFERROR(IF($B8992=J$1, ($A8992+$C8992) - MAX(IF($B$2:$B8991=$B8992, $A$2:$A8991+$C$2:$C8991)), "")*24*60, "")</f>
        <v/>
      </c>
      <c r="K8992" s="24" t="str" cm="1">
        <f t="array" ref="K8992">IFERROR(IF($B8992=K$1, ($A8992+$C8992) - MAX(IF($B$2:$B8991=$B8992, $A$2:$A8991+$C$2:$C8991)), "")*24*60, "")</f>
        <v/>
      </c>
      <c r="L8992" s="24" cm="1">
        <f t="array" ref="L8992">IFERROR(IF($B8992=L$1, ($A8992+$C8992) - MAX(IF($B$2:$B8991=$B8992, $A$2:$A8991+$C$2:$C8991)), "")*24*60, "")</f>
        <v>0</v>
      </c>
      <c r="M8992" s="24" t="str" cm="1">
        <f t="array" ref="M8992">IFERROR(IF($B8992=M$1, ($A8992+$C8992) - MAX(IF($B$2:$B8991=$B8992, $A$2:$A8991+$C$2:$C8991)), "")*24*60, "")</f>
        <v/>
      </c>
      <c r="N8992" s="24" t="str" cm="1">
        <f t="array" ref="N8992">IFERROR(IF($B8992=N$1, ($A8992+$C8992) - MAX(IF($B$2:$B8991=$B8992, $A$2:$A8991+$C$2:$C8991)), "")*24*60, "")</f>
        <v/>
      </c>
      <c r="O8992" s="24" t="str" cm="1">
        <f t="array" ref="O8992">IFERROR(IF($B8992=O$1, ($A8992+$C8992) - MAX(IF($B$2:$B8991=$B8992, $A$2:$A8991+$C$2:$C8991)), "")*24*60, "")</f>
        <v/>
      </c>
      <c r="P8992" s="24" t="str" cm="1">
        <f t="array" ref="P8992">IFERROR(IF($B8992=P$1, ($A8992+$C8992) - MAX(IF($B$2:$B8991=$B8992, $A$2:$A8991+$C$2:$C8991)), "")*24*60, "")</f>
        <v/>
      </c>
      <c r="Q8992" s="24" t="str" cm="1">
        <f t="array" ref="Q8992">IFERROR(IF($B8992=Q$1, ($A8992+$C8992) - MAX(IF($B$2:$B8991=$B8992, $A$2:$A8991+$C$2:$C8991)), "")*24*60, "")</f>
        <v/>
      </c>
      <c r="R8992" s="24" t="str" cm="1">
        <f t="array" ref="R8992">IFERROR(IF($B8992=R$1, ($A8992+$C8992) - MAX(IF($B$2:$B8991=$B8992, $A$2:$A8991+$C$2:$C8991)), "")*24*60, "")</f>
        <v/>
      </c>
      <c r="S8992" s="24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C8993" si="1425">A8992</f>
        <v>46041</v>
      </c>
      <c r="B8993" s="5" t="str">
        <f t="shared" si="1425"/>
        <v>Carolina Wren</v>
      </c>
      <c r="C8993" s="6">
        <v>0.44583333333333336</v>
      </c>
      <c r="D8993" s="5"/>
      <c r="E8993" s="5"/>
      <c r="F8993" s="5" t="s">
        <v>9</v>
      </c>
      <c r="G8993" s="15" t="s">
        <v>9</v>
      </c>
      <c r="H8993" s="24">
        <f t="shared" si="1412"/>
        <v>26.000000000931323</v>
      </c>
      <c r="I8993" s="24" t="str" cm="1">
        <f t="array" ref="I8993">IFERROR(IF($B8993=I$1, ($A8993+$C8993) - MAX(IF($B$2:$B8992=$B8993, $A$2:$A8992+$C$2:$C8992)), "")*24*60, "")</f>
        <v/>
      </c>
      <c r="J8993" s="24" t="str" cm="1">
        <f t="array" ref="J8993">IFERROR(IF($B8993=J$1, ($A8993+$C8993) - MAX(IF($B$2:$B8992=$B8993, $A$2:$A8992+$C$2:$C8992)), "")*24*60, "")</f>
        <v/>
      </c>
      <c r="K8993" s="24" t="str" cm="1">
        <f t="array" ref="K8993">IFERROR(IF($B8993=K$1, ($A8993+$C8993) - MAX(IF($B$2:$B8992=$B8993, $A$2:$A8992+$C$2:$C8992)), "")*24*60, "")</f>
        <v/>
      </c>
      <c r="L8993" s="24" cm="1">
        <f t="array" ref="L8993">IFERROR(IF($B8993=L$1, ($A8993+$C8993) - MAX(IF($B$2:$B8992=$B8993, $A$2:$A8992+$C$2:$C8992)), "")*24*60, "")</f>
        <v>26.000000000931323</v>
      </c>
      <c r="M8993" s="24" t="str" cm="1">
        <f t="array" ref="M8993">IFERROR(IF($B8993=M$1, ($A8993+$C8993) - MAX(IF($B$2:$B8992=$B8993, $A$2:$A8992+$C$2:$C8992)), "")*24*60, "")</f>
        <v/>
      </c>
      <c r="N8993" s="24" t="str" cm="1">
        <f t="array" ref="N8993">IFERROR(IF($B8993=N$1, ($A8993+$C8993) - MAX(IF($B$2:$B8992=$B8993, $A$2:$A8992+$C$2:$C8992)), "")*24*60, "")</f>
        <v/>
      </c>
      <c r="O8993" s="24" t="str" cm="1">
        <f t="array" ref="O8993">IFERROR(IF($B8993=O$1, ($A8993+$C8993) - MAX(IF($B$2:$B8992=$B8993, $A$2:$A8992+$C$2:$C8992)), "")*24*60, "")</f>
        <v/>
      </c>
      <c r="P8993" s="24" t="str" cm="1">
        <f t="array" ref="P8993">IFERROR(IF($B8993=P$1, ($A8993+$C8993) - MAX(IF($B$2:$B8992=$B8993, $A$2:$A8992+$C$2:$C8992)), "")*24*60, "")</f>
        <v/>
      </c>
      <c r="Q8993" s="24" t="str" cm="1">
        <f t="array" ref="Q8993">IFERROR(IF($B8993=Q$1, ($A8993+$C8993) - MAX(IF($B$2:$B8992=$B8993, $A$2:$A8992+$C$2:$C8992)), "")*24*60, "")</f>
        <v/>
      </c>
      <c r="R8993" s="24" t="str" cm="1">
        <f t="array" ref="R8993">IFERROR(IF($B8993=R$1, ($A8993+$C8993) - MAX(IF($B$2:$B8992=$B8993, $A$2:$A8992+$C$2:$C8992)), "")*24*60, "")</f>
        <v/>
      </c>
      <c r="S8993" s="24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C8994" si="1426">A8993</f>
        <v>46041</v>
      </c>
      <c r="B8994" s="5" t="str">
        <f t="shared" si="1426"/>
        <v>Carolina Wren</v>
      </c>
      <c r="C8994" s="6">
        <v>0.44583333333333336</v>
      </c>
      <c r="D8994" s="5"/>
      <c r="E8994" s="5"/>
      <c r="F8994" s="5" t="s">
        <v>9</v>
      </c>
      <c r="G8994" s="15" t="s">
        <v>9</v>
      </c>
      <c r="H8994" s="24">
        <f t="shared" si="1412"/>
        <v>0</v>
      </c>
      <c r="I8994" s="24" t="str" cm="1">
        <f t="array" ref="I8994">IFERROR(IF($B8994=I$1, ($A8994+$C8994) - MAX(IF($B$2:$B8993=$B8994, $A$2:$A8993+$C$2:$C8993)), "")*24*60, "")</f>
        <v/>
      </c>
      <c r="J8994" s="24" t="str" cm="1">
        <f t="array" ref="J8994">IFERROR(IF($B8994=J$1, ($A8994+$C8994) - MAX(IF($B$2:$B8993=$B8994, $A$2:$A8993+$C$2:$C8993)), "")*24*60, "")</f>
        <v/>
      </c>
      <c r="K8994" s="24" t="str" cm="1">
        <f t="array" ref="K8994">IFERROR(IF($B8994=K$1, ($A8994+$C8994) - MAX(IF($B$2:$B8993=$B8994, $A$2:$A8993+$C$2:$C8993)), "")*24*60, "")</f>
        <v/>
      </c>
      <c r="L8994" s="24" cm="1">
        <f t="array" ref="L8994">IFERROR(IF($B8994=L$1, ($A8994+$C8994) - MAX(IF($B$2:$B8993=$B8994, $A$2:$A8993+$C$2:$C8993)), "")*24*60, "")</f>
        <v>0</v>
      </c>
      <c r="M8994" s="24" t="str" cm="1">
        <f t="array" ref="M8994">IFERROR(IF($B8994=M$1, ($A8994+$C8994) - MAX(IF($B$2:$B8993=$B8994, $A$2:$A8993+$C$2:$C8993)), "")*24*60, "")</f>
        <v/>
      </c>
      <c r="N8994" s="24" t="str" cm="1">
        <f t="array" ref="N8994">IFERROR(IF($B8994=N$1, ($A8994+$C8994) - MAX(IF($B$2:$B8993=$B8994, $A$2:$A8993+$C$2:$C8993)), "")*24*60, "")</f>
        <v/>
      </c>
      <c r="O8994" s="24" t="str" cm="1">
        <f t="array" ref="O8994">IFERROR(IF($B8994=O$1, ($A8994+$C8994) - MAX(IF($B$2:$B8993=$B8994, $A$2:$A8993+$C$2:$C8993)), "")*24*60, "")</f>
        <v/>
      </c>
      <c r="P8994" s="24" t="str" cm="1">
        <f t="array" ref="P8994">IFERROR(IF($B8994=P$1, ($A8994+$C8994) - MAX(IF($B$2:$B8993=$B8994, $A$2:$A8993+$C$2:$C8993)), "")*24*60, "")</f>
        <v/>
      </c>
      <c r="Q8994" s="24" t="str" cm="1">
        <f t="array" ref="Q8994">IFERROR(IF($B8994=Q$1, ($A8994+$C8994) - MAX(IF($B$2:$B8993=$B8994, $A$2:$A8993+$C$2:$C8993)), "")*24*60, "")</f>
        <v/>
      </c>
      <c r="R8994" s="24" t="str" cm="1">
        <f t="array" ref="R8994">IFERROR(IF($B8994=R$1, ($A8994+$C8994) - MAX(IF($B$2:$B8993=$B8994, $A$2:$A8993+$C$2:$C8993)), "")*24*60, "")</f>
        <v/>
      </c>
      <c r="S8994" s="24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C8995" si="1427">A8994</f>
        <v>46041</v>
      </c>
      <c r="B8995" s="5" t="str">
        <f t="shared" si="1427"/>
        <v>Carolina Wren</v>
      </c>
      <c r="C8995" s="6">
        <v>0.4465277777777778</v>
      </c>
      <c r="D8995" s="5"/>
      <c r="E8995" s="5"/>
      <c r="F8995" s="5" t="s">
        <v>9</v>
      </c>
      <c r="G8995" s="15" t="s">
        <v>9</v>
      </c>
      <c r="H8995" s="24">
        <f t="shared" si="1412"/>
        <v>1.000000003259629</v>
      </c>
      <c r="I8995" s="24" t="str" cm="1">
        <f t="array" ref="I8995">IFERROR(IF($B8995=I$1, ($A8995+$C8995) - MAX(IF($B$2:$B8994=$B8995, $A$2:$A8994+$C$2:$C8994)), "")*24*60, "")</f>
        <v/>
      </c>
      <c r="J8995" s="24" t="str" cm="1">
        <f t="array" ref="J8995">IFERROR(IF($B8995=J$1, ($A8995+$C8995) - MAX(IF($B$2:$B8994=$B8995, $A$2:$A8994+$C$2:$C8994)), "")*24*60, "")</f>
        <v/>
      </c>
      <c r="K8995" s="24" t="str" cm="1">
        <f t="array" ref="K8995">IFERROR(IF($B8995=K$1, ($A8995+$C8995) - MAX(IF($B$2:$B8994=$B8995, $A$2:$A8994+$C$2:$C8994)), "")*24*60, "")</f>
        <v/>
      </c>
      <c r="L8995" s="24" cm="1">
        <f t="array" ref="L8995">IFERROR(IF($B8995=L$1, ($A8995+$C8995) - MAX(IF($B$2:$B8994=$B8995, $A$2:$A8994+$C$2:$C8994)), "")*24*60, "")</f>
        <v>1.000000003259629</v>
      </c>
      <c r="M8995" s="24" t="str" cm="1">
        <f t="array" ref="M8995">IFERROR(IF($B8995=M$1, ($A8995+$C8995) - MAX(IF($B$2:$B8994=$B8995, $A$2:$A8994+$C$2:$C8994)), "")*24*60, "")</f>
        <v/>
      </c>
      <c r="N8995" s="24" t="str" cm="1">
        <f t="array" ref="N8995">IFERROR(IF($B8995=N$1, ($A8995+$C8995) - MAX(IF($B$2:$B8994=$B8995, $A$2:$A8994+$C$2:$C8994)), "")*24*60, "")</f>
        <v/>
      </c>
      <c r="O8995" s="24" t="str" cm="1">
        <f t="array" ref="O8995">IFERROR(IF($B8995=O$1, ($A8995+$C8995) - MAX(IF($B$2:$B8994=$B8995, $A$2:$A8994+$C$2:$C8994)), "")*24*60, "")</f>
        <v/>
      </c>
      <c r="P8995" s="24" t="str" cm="1">
        <f t="array" ref="P8995">IFERROR(IF($B8995=P$1, ($A8995+$C8995) - MAX(IF($B$2:$B8994=$B8995, $A$2:$A8994+$C$2:$C8994)), "")*24*60, "")</f>
        <v/>
      </c>
      <c r="Q8995" s="24" t="str" cm="1">
        <f t="array" ref="Q8995">IFERROR(IF($B8995=Q$1, ($A8995+$C8995) - MAX(IF($B$2:$B8994=$B8995, $A$2:$A8994+$C$2:$C8994)), "")*24*60, "")</f>
        <v/>
      </c>
      <c r="R8995" s="24" t="str" cm="1">
        <f t="array" ref="R8995">IFERROR(IF($B8995=R$1, ($A8995+$C8995) - MAX(IF($B$2:$B8994=$B8995, $A$2:$A8994+$C$2:$C8994)), "")*24*60, "")</f>
        <v/>
      </c>
      <c r="S8995" s="24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C8996" si="1428">A8995</f>
        <v>46041</v>
      </c>
      <c r="B8996" s="5" t="str">
        <f t="shared" si="1428"/>
        <v>Carolina Wren</v>
      </c>
      <c r="C8996" s="6">
        <v>0.46458333333333335</v>
      </c>
      <c r="D8996" s="5"/>
      <c r="E8996" s="5"/>
      <c r="F8996" s="5" t="s">
        <v>9</v>
      </c>
      <c r="G8996" s="15" t="s">
        <v>9</v>
      </c>
      <c r="H8996" s="24">
        <f t="shared" si="1412"/>
        <v>26.000000000931323</v>
      </c>
      <c r="I8996" s="24" t="str" cm="1">
        <f t="array" ref="I8996">IFERROR(IF($B8996=I$1, ($A8996+$C8996) - MAX(IF($B$2:$B8995=$B8996, $A$2:$A8995+$C$2:$C8995)), "")*24*60, "")</f>
        <v/>
      </c>
      <c r="J8996" s="24" t="str" cm="1">
        <f t="array" ref="J8996">IFERROR(IF($B8996=J$1, ($A8996+$C8996) - MAX(IF($B$2:$B8995=$B8996, $A$2:$A8995+$C$2:$C8995)), "")*24*60, "")</f>
        <v/>
      </c>
      <c r="K8996" s="24" t="str" cm="1">
        <f t="array" ref="K8996">IFERROR(IF($B8996=K$1, ($A8996+$C8996) - MAX(IF($B$2:$B8995=$B8996, $A$2:$A8995+$C$2:$C8995)), "")*24*60, "")</f>
        <v/>
      </c>
      <c r="L8996" s="24" cm="1">
        <f t="array" ref="L8996">IFERROR(IF($B8996=L$1, ($A8996+$C8996) - MAX(IF($B$2:$B8995=$B8996, $A$2:$A8995+$C$2:$C8995)), "")*24*60, "")</f>
        <v>26.000000000931323</v>
      </c>
      <c r="M8996" s="24" t="str" cm="1">
        <f t="array" ref="M8996">IFERROR(IF($B8996=M$1, ($A8996+$C8996) - MAX(IF($B$2:$B8995=$B8996, $A$2:$A8995+$C$2:$C8995)), "")*24*60, "")</f>
        <v/>
      </c>
      <c r="N8996" s="24" t="str" cm="1">
        <f t="array" ref="N8996">IFERROR(IF($B8996=N$1, ($A8996+$C8996) - MAX(IF($B$2:$B8995=$B8996, $A$2:$A8995+$C$2:$C8995)), "")*24*60, "")</f>
        <v/>
      </c>
      <c r="O8996" s="24" t="str" cm="1">
        <f t="array" ref="O8996">IFERROR(IF($B8996=O$1, ($A8996+$C8996) - MAX(IF($B$2:$B8995=$B8996, $A$2:$A8995+$C$2:$C8995)), "")*24*60, "")</f>
        <v/>
      </c>
      <c r="P8996" s="24" t="str" cm="1">
        <f t="array" ref="P8996">IFERROR(IF($B8996=P$1, ($A8996+$C8996) - MAX(IF($B$2:$B8995=$B8996, $A$2:$A8995+$C$2:$C8995)), "")*24*60, "")</f>
        <v/>
      </c>
      <c r="Q8996" s="24" t="str" cm="1">
        <f t="array" ref="Q8996">IFERROR(IF($B8996=Q$1, ($A8996+$C8996) - MAX(IF($B$2:$B8995=$B8996, $A$2:$A8995+$C$2:$C8995)), "")*24*60, "")</f>
        <v/>
      </c>
      <c r="R8996" s="24" t="str" cm="1">
        <f t="array" ref="R8996">IFERROR(IF($B8996=R$1, ($A8996+$C8996) - MAX(IF($B$2:$B8995=$B8996, $A$2:$A8995+$C$2:$C8995)), "")*24*60, "")</f>
        <v/>
      </c>
      <c r="S8996" s="24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C8997" si="1429">A8996</f>
        <v>46041</v>
      </c>
      <c r="B8997" s="5" t="str">
        <f t="shared" si="1429"/>
        <v>Carolina Wren</v>
      </c>
      <c r="C8997" s="6">
        <v>0.46527777777777779</v>
      </c>
      <c r="D8997" s="5"/>
      <c r="E8997" s="5"/>
      <c r="F8997" s="5" t="s">
        <v>9</v>
      </c>
      <c r="G8997" s="15" t="s">
        <v>9</v>
      </c>
      <c r="H8997" s="24">
        <f t="shared" si="1412"/>
        <v>1.000000003259629</v>
      </c>
      <c r="I8997" s="24" t="str" cm="1">
        <f t="array" ref="I8997">IFERROR(IF($B8997=I$1, ($A8997+$C8997) - MAX(IF($B$2:$B8996=$B8997, $A$2:$A8996+$C$2:$C8996)), "")*24*60, "")</f>
        <v/>
      </c>
      <c r="J8997" s="24" t="str" cm="1">
        <f t="array" ref="J8997">IFERROR(IF($B8997=J$1, ($A8997+$C8997) - MAX(IF($B$2:$B8996=$B8997, $A$2:$A8996+$C$2:$C8996)), "")*24*60, "")</f>
        <v/>
      </c>
      <c r="K8997" s="24" t="str" cm="1">
        <f t="array" ref="K8997">IFERROR(IF($B8997=K$1, ($A8997+$C8997) - MAX(IF($B$2:$B8996=$B8997, $A$2:$A8996+$C$2:$C8996)), "")*24*60, "")</f>
        <v/>
      </c>
      <c r="L8997" s="24" cm="1">
        <f t="array" ref="L8997">IFERROR(IF($B8997=L$1, ($A8997+$C8997) - MAX(IF($B$2:$B8996=$B8997, $A$2:$A8996+$C$2:$C8996)), "")*24*60, "")</f>
        <v>1.000000003259629</v>
      </c>
      <c r="M8997" s="24" t="str" cm="1">
        <f t="array" ref="M8997">IFERROR(IF($B8997=M$1, ($A8997+$C8997) - MAX(IF($B$2:$B8996=$B8997, $A$2:$A8996+$C$2:$C8996)), "")*24*60, "")</f>
        <v/>
      </c>
      <c r="N8997" s="24" t="str" cm="1">
        <f t="array" ref="N8997">IFERROR(IF($B8997=N$1, ($A8997+$C8997) - MAX(IF($B$2:$B8996=$B8997, $A$2:$A8996+$C$2:$C8996)), "")*24*60, "")</f>
        <v/>
      </c>
      <c r="O8997" s="24" t="str" cm="1">
        <f t="array" ref="O8997">IFERROR(IF($B8997=O$1, ($A8997+$C8997) - MAX(IF($B$2:$B8996=$B8997, $A$2:$A8996+$C$2:$C8996)), "")*24*60, "")</f>
        <v/>
      </c>
      <c r="P8997" s="24" t="str" cm="1">
        <f t="array" ref="P8997">IFERROR(IF($B8997=P$1, ($A8997+$C8997) - MAX(IF($B$2:$B8996=$B8997, $A$2:$A8996+$C$2:$C8996)), "")*24*60, "")</f>
        <v/>
      </c>
      <c r="Q8997" s="24" t="str" cm="1">
        <f t="array" ref="Q8997">IFERROR(IF($B8997=Q$1, ($A8997+$C8997) - MAX(IF($B$2:$B8996=$B8997, $A$2:$A8996+$C$2:$C8996)), "")*24*60, "")</f>
        <v/>
      </c>
      <c r="R8997" s="24" t="str" cm="1">
        <f t="array" ref="R8997">IFERROR(IF($B8997=R$1, ($A8997+$C8997) - MAX(IF($B$2:$B8996=$B8997, $A$2:$A8996+$C$2:$C8996)), "")*24*60, "")</f>
        <v/>
      </c>
      <c r="S8997" s="24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C8998" si="1430">A8997</f>
        <v>46041</v>
      </c>
      <c r="B8998" s="5" t="str">
        <f t="shared" si="1430"/>
        <v>Carolina Wren</v>
      </c>
      <c r="C8998" s="6">
        <v>0.49027777777777776</v>
      </c>
      <c r="D8998" s="5"/>
      <c r="E8998" s="5"/>
      <c r="F8998" s="5" t="s">
        <v>9</v>
      </c>
      <c r="G8998" s="15" t="s">
        <v>9</v>
      </c>
      <c r="H8998" s="24">
        <f t="shared" si="1412"/>
        <v>35.999999991618097</v>
      </c>
      <c r="I8998" s="24" t="str" cm="1">
        <f t="array" ref="I8998">IFERROR(IF($B8998=I$1, ($A8998+$C8998) - MAX(IF($B$2:$B8997=$B8998, $A$2:$A8997+$C$2:$C8997)), "")*24*60, "")</f>
        <v/>
      </c>
      <c r="J8998" s="24" t="str" cm="1">
        <f t="array" ref="J8998">IFERROR(IF($B8998=J$1, ($A8998+$C8998) - MAX(IF($B$2:$B8997=$B8998, $A$2:$A8997+$C$2:$C8997)), "")*24*60, "")</f>
        <v/>
      </c>
      <c r="K8998" s="24" t="str" cm="1">
        <f t="array" ref="K8998">IFERROR(IF($B8998=K$1, ($A8998+$C8998) - MAX(IF($B$2:$B8997=$B8998, $A$2:$A8997+$C$2:$C8997)), "")*24*60, "")</f>
        <v/>
      </c>
      <c r="L8998" s="24" cm="1">
        <f t="array" ref="L8998">IFERROR(IF($B8998=L$1, ($A8998+$C8998) - MAX(IF($B$2:$B8997=$B8998, $A$2:$A8997+$C$2:$C8997)), "")*24*60, "")</f>
        <v>35.999999991618097</v>
      </c>
      <c r="M8998" s="24" t="str" cm="1">
        <f t="array" ref="M8998">IFERROR(IF($B8998=M$1, ($A8998+$C8998) - MAX(IF($B$2:$B8997=$B8998, $A$2:$A8997+$C$2:$C8997)), "")*24*60, "")</f>
        <v/>
      </c>
      <c r="N8998" s="24" t="str" cm="1">
        <f t="array" ref="N8998">IFERROR(IF($B8998=N$1, ($A8998+$C8998) - MAX(IF($B$2:$B8997=$B8998, $A$2:$A8997+$C$2:$C8997)), "")*24*60, "")</f>
        <v/>
      </c>
      <c r="O8998" s="24" t="str" cm="1">
        <f t="array" ref="O8998">IFERROR(IF($B8998=O$1, ($A8998+$C8998) - MAX(IF($B$2:$B8997=$B8998, $A$2:$A8997+$C$2:$C8997)), "")*24*60, "")</f>
        <v/>
      </c>
      <c r="P8998" s="24" t="str" cm="1">
        <f t="array" ref="P8998">IFERROR(IF($B8998=P$1, ($A8998+$C8998) - MAX(IF($B$2:$B8997=$B8998, $A$2:$A8997+$C$2:$C8997)), "")*24*60, "")</f>
        <v/>
      </c>
      <c r="Q8998" s="24" t="str" cm="1">
        <f t="array" ref="Q8998">IFERROR(IF($B8998=Q$1, ($A8998+$C8998) - MAX(IF($B$2:$B8997=$B8998, $A$2:$A8997+$C$2:$C8997)), "")*24*60, "")</f>
        <v/>
      </c>
      <c r="R8998" s="24" t="str" cm="1">
        <f t="array" ref="R8998">IFERROR(IF($B8998=R$1, ($A8998+$C8998) - MAX(IF($B$2:$B8997=$B8998, $A$2:$A8997+$C$2:$C8997)), "")*24*60, "")</f>
        <v/>
      </c>
      <c r="S8998" s="24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:C8999" si="1431">A8998</f>
        <v>46041</v>
      </c>
      <c r="B8999" s="5" t="s">
        <v>3</v>
      </c>
      <c r="C8999" s="6">
        <v>0.52777777777777779</v>
      </c>
      <c r="D8999" s="5"/>
      <c r="E8999" s="5"/>
      <c r="F8999" s="5" t="s">
        <v>9</v>
      </c>
      <c r="G8999" s="15" t="s">
        <v>9</v>
      </c>
      <c r="H8999" s="24">
        <f t="shared" si="1412"/>
        <v>54.000000008381903</v>
      </c>
      <c r="I8999" s="24" cm="1">
        <f t="array" ref="I8999">IFERROR(IF($B8999=I$1, ($A8999+$C8999) - MAX(IF($B$2:$B8998=$B8999, $A$2:$A8998+$C$2:$C8998)), "")*24*60, "")</f>
        <v>148.00000000046566</v>
      </c>
      <c r="J8999" s="24" t="str" cm="1">
        <f t="array" ref="J8999">IFERROR(IF($B8999=J$1, ($A8999+$C8999) - MAX(IF($B$2:$B8998=$B8999, $A$2:$A8998+$C$2:$C8998)), "")*24*60, "")</f>
        <v/>
      </c>
      <c r="K8999" s="24" t="str" cm="1">
        <f t="array" ref="K8999">IFERROR(IF($B8999=K$1, ($A8999+$C8999) - MAX(IF($B$2:$B8998=$B8999, $A$2:$A8998+$C$2:$C8998)), "")*24*60, "")</f>
        <v/>
      </c>
      <c r="L8999" s="24" t="str" cm="1">
        <f t="array" ref="L8999">IFERROR(IF($B8999=L$1, ($A8999+$C8999) - MAX(IF($B$2:$B8998=$B8999, $A$2:$A8998+$C$2:$C8998)), "")*24*60, "")</f>
        <v/>
      </c>
      <c r="M8999" s="24" t="str" cm="1">
        <f t="array" ref="M8999">IFERROR(IF($B8999=M$1, ($A8999+$C8999) - MAX(IF($B$2:$B8998=$B8999, $A$2:$A8998+$C$2:$C8998)), "")*24*60, "")</f>
        <v/>
      </c>
      <c r="N8999" s="24" t="str" cm="1">
        <f t="array" ref="N8999">IFERROR(IF($B8999=N$1, ($A8999+$C8999) - MAX(IF($B$2:$B8998=$B8999, $A$2:$A8998+$C$2:$C8998)), "")*24*60, "")</f>
        <v/>
      </c>
      <c r="O8999" s="24" t="str" cm="1">
        <f t="array" ref="O8999">IFERROR(IF($B8999=O$1, ($A8999+$C8999) - MAX(IF($B$2:$B8998=$B8999, $A$2:$A8998+$C$2:$C8998)), "")*24*60, "")</f>
        <v/>
      </c>
      <c r="P8999" s="24" t="str" cm="1">
        <f t="array" ref="P8999">IFERROR(IF($B8999=P$1, ($A8999+$C8999) - MAX(IF($B$2:$B8998=$B8999, $A$2:$A8998+$C$2:$C8998)), "")*24*60, "")</f>
        <v/>
      </c>
      <c r="Q8999" s="24" t="str" cm="1">
        <f t="array" ref="Q8999">IFERROR(IF($B8999=Q$1, ($A8999+$C8999) - MAX(IF($B$2:$B8998=$B8999, $A$2:$A8998+$C$2:$C8998)), "")*24*60, "")</f>
        <v/>
      </c>
      <c r="R8999" s="24" t="str" cm="1">
        <f t="array" ref="R8999">IFERROR(IF($B8999=R$1, ($A8999+$C8999) - MAX(IF($B$2:$B8998=$B8999, $A$2:$A8998+$C$2:$C8998)), "")*24*60, "")</f>
        <v/>
      </c>
      <c r="S8999" s="24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C9000" si="1432">A8999</f>
        <v>46041</v>
      </c>
      <c r="B9000" s="5" t="str">
        <f t="shared" si="1432"/>
        <v>Northern Cardinal</v>
      </c>
      <c r="C9000" s="6">
        <v>0.52777777777777779</v>
      </c>
      <c r="D9000" s="5"/>
      <c r="E9000" s="5"/>
      <c r="F9000" s="5" t="s">
        <v>9</v>
      </c>
      <c r="G9000" s="15" t="s">
        <v>9</v>
      </c>
      <c r="H9000" s="24">
        <f t="shared" si="1412"/>
        <v>0</v>
      </c>
      <c r="I9000" s="24" cm="1">
        <f t="array" ref="I9000">IFERROR(IF($B9000=I$1, ($A9000+$C9000) - MAX(IF($B$2:$B8999=$B9000, $A$2:$A8999+$C$2:$C8999)), "")*24*60, "")</f>
        <v>0</v>
      </c>
      <c r="J9000" s="24" t="str" cm="1">
        <f t="array" ref="J9000">IFERROR(IF($B9000=J$1, ($A9000+$C9000) - MAX(IF($B$2:$B8999=$B9000, $A$2:$A8999+$C$2:$C8999)), "")*24*60, "")</f>
        <v/>
      </c>
      <c r="K9000" s="24" t="str" cm="1">
        <f t="array" ref="K9000">IFERROR(IF($B9000=K$1, ($A9000+$C9000) - MAX(IF($B$2:$B8999=$B9000, $A$2:$A8999+$C$2:$C8999)), "")*24*60, "")</f>
        <v/>
      </c>
      <c r="L9000" s="24" t="str" cm="1">
        <f t="array" ref="L9000">IFERROR(IF($B9000=L$1, ($A9000+$C9000) - MAX(IF($B$2:$B8999=$B9000, $A$2:$A8999+$C$2:$C8999)), "")*24*60, "")</f>
        <v/>
      </c>
      <c r="M9000" s="24" t="str" cm="1">
        <f t="array" ref="M9000">IFERROR(IF($B9000=M$1, ($A9000+$C9000) - MAX(IF($B$2:$B8999=$B9000, $A$2:$A8999+$C$2:$C8999)), "")*24*60, "")</f>
        <v/>
      </c>
      <c r="N9000" s="24" t="str" cm="1">
        <f t="array" ref="N9000">IFERROR(IF($B9000=N$1, ($A9000+$C9000) - MAX(IF($B$2:$B8999=$B9000, $A$2:$A8999+$C$2:$C8999)), "")*24*60, "")</f>
        <v/>
      </c>
      <c r="O9000" s="24" t="str" cm="1">
        <f t="array" ref="O9000">IFERROR(IF($B9000=O$1, ($A9000+$C9000) - MAX(IF($B$2:$B8999=$B9000, $A$2:$A8999+$C$2:$C8999)), "")*24*60, "")</f>
        <v/>
      </c>
      <c r="P9000" s="24" t="str" cm="1">
        <f t="array" ref="P9000">IFERROR(IF($B9000=P$1, ($A9000+$C9000) - MAX(IF($B$2:$B8999=$B9000, $A$2:$A8999+$C$2:$C8999)), "")*24*60, "")</f>
        <v/>
      </c>
      <c r="Q9000" s="24" t="str" cm="1">
        <f t="array" ref="Q9000">IFERROR(IF($B9000=Q$1, ($A9000+$C9000) - MAX(IF($B$2:$B8999=$B9000, $A$2:$A8999+$C$2:$C8999)), "")*24*60, "")</f>
        <v/>
      </c>
      <c r="R9000" s="24" t="str" cm="1">
        <f t="array" ref="R9000">IFERROR(IF($B9000=R$1, ($A9000+$C9000) - MAX(IF($B$2:$B8999=$B9000, $A$2:$A8999+$C$2:$C8999)), "")*24*60, "")</f>
        <v/>
      </c>
      <c r="S9000" s="24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5"/>
      <c r="E9001" s="5"/>
      <c r="F9001" s="5" t="s">
        <v>9</v>
      </c>
      <c r="G9001" s="15" t="s">
        <v>9</v>
      </c>
      <c r="H9001" s="24">
        <f t="shared" si="1412"/>
        <v>0</v>
      </c>
      <c r="I9001" s="24" t="str" cm="1">
        <f t="array" ref="I9001">IFERROR(IF($B9001=I$1, ($A9001+$C9001) - MAX(IF($B$2:$B9000=$B9001, $A$2:$A9000+$C$2:$C9000)), "")*24*60, "")</f>
        <v/>
      </c>
      <c r="J9001" s="24" t="str" cm="1">
        <f t="array" ref="J9001">IFERROR(IF($B9001=J$1, ($A9001+$C9001) - MAX(IF($B$2:$B9000=$B9001, $A$2:$A9000+$C$2:$C9000)), "")*24*60, "")</f>
        <v/>
      </c>
      <c r="K9001" s="24" t="str" cm="1">
        <f t="array" ref="K9001">IFERROR(IF($B9001=K$1, ($A9001+$C9001) - MAX(IF($B$2:$B9000=$B9001, $A$2:$A9000+$C$2:$C9000)), "")*24*60, "")</f>
        <v/>
      </c>
      <c r="L9001" s="24" t="str" cm="1">
        <f t="array" ref="L9001">IFERROR(IF($B9001=L$1, ($A9001+$C9001) - MAX(IF($B$2:$B9000=$B9001, $A$2:$A9000+$C$2:$C9000)), "")*24*60, "")</f>
        <v/>
      </c>
      <c r="M9001" s="24" t="str" cm="1">
        <f t="array" ref="M9001">IFERROR(IF($B9001=M$1, ($A9001+$C9001) - MAX(IF($B$2:$B9000=$B9001, $A$2:$A9000+$C$2:$C9000)), "")*24*60, "")</f>
        <v/>
      </c>
      <c r="N9001" s="24" cm="1">
        <f t="array" ref="N9001">IFERROR(IF($B9001=N$1, ($A9001+$C9001) - MAX(IF($B$2:$B9000=$B9001, $A$2:$A9000+$C$2:$C9000)), "")*24*60, "")</f>
        <v>28754.000000007218</v>
      </c>
      <c r="O9001" s="24" t="str" cm="1">
        <f t="array" ref="O9001">IFERROR(IF($B9001=O$1, ($A9001+$C9001) - MAX(IF($B$2:$B9000=$B9001, $A$2:$A9000+$C$2:$C9000)), "")*24*60, "")</f>
        <v/>
      </c>
      <c r="P9001" s="24" t="str" cm="1">
        <f t="array" ref="P9001">IFERROR(IF($B9001=P$1, ($A9001+$C9001) - MAX(IF($B$2:$B9000=$B9001, $A$2:$A9000+$C$2:$C9000)), "")*24*60, "")</f>
        <v/>
      </c>
      <c r="Q9001" s="24" t="str" cm="1">
        <f t="array" ref="Q9001">IFERROR(IF($B9001=Q$1, ($A9001+$C9001) - MAX(IF($B$2:$B9000=$B9001, $A$2:$A9000+$C$2:$C9000)), "")*24*60, "")</f>
        <v/>
      </c>
      <c r="R9001" s="24" t="str" cm="1">
        <f t="array" ref="R9001">IFERROR(IF($B9001=R$1, ($A9001+$C9001) - MAX(IF($B$2:$B9000=$B9001, $A$2:$A9000+$C$2:$C9000)), "")*24*60, "")</f>
        <v/>
      </c>
      <c r="S9001" s="24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C9002" si="1434">A9001</f>
        <v>46041</v>
      </c>
      <c r="B9002" s="5" t="str">
        <f t="shared" si="1434"/>
        <v>Red-bellied Woodpecker</v>
      </c>
      <c r="C9002" s="6">
        <v>0.52847222222222223</v>
      </c>
      <c r="D9002" s="5"/>
      <c r="E9002" s="5"/>
      <c r="F9002" s="5" t="s">
        <v>9</v>
      </c>
      <c r="G9002" s="15" t="s">
        <v>9</v>
      </c>
      <c r="H9002" s="24">
        <f t="shared" si="1412"/>
        <v>0.99999999278225005</v>
      </c>
      <c r="I9002" s="24" t="str" cm="1">
        <f t="array" ref="I9002">IFERROR(IF($B9002=I$1, ($A9002+$C9002) - MAX(IF($B$2:$B9001=$B9002, $A$2:$A9001+$C$2:$C9001)), "")*24*60, "")</f>
        <v/>
      </c>
      <c r="J9002" s="24" t="str" cm="1">
        <f t="array" ref="J9002">IFERROR(IF($B9002=J$1, ($A9002+$C9002) - MAX(IF($B$2:$B9001=$B9002, $A$2:$A9001+$C$2:$C9001)), "")*24*60, "")</f>
        <v/>
      </c>
      <c r="K9002" s="24" t="str" cm="1">
        <f t="array" ref="K9002">IFERROR(IF($B9002=K$1, ($A9002+$C9002) - MAX(IF($B$2:$B9001=$B9002, $A$2:$A9001+$C$2:$C9001)), "")*24*60, "")</f>
        <v/>
      </c>
      <c r="L9002" s="24" t="str" cm="1">
        <f t="array" ref="L9002">IFERROR(IF($B9002=L$1, ($A9002+$C9002) - MAX(IF($B$2:$B9001=$B9002, $A$2:$A9001+$C$2:$C9001)), "")*24*60, "")</f>
        <v/>
      </c>
      <c r="M9002" s="24" t="str" cm="1">
        <f t="array" ref="M9002">IFERROR(IF($B9002=M$1, ($A9002+$C9002) - MAX(IF($B$2:$B9001=$B9002, $A$2:$A9001+$C$2:$C9001)), "")*24*60, "")</f>
        <v/>
      </c>
      <c r="N9002" s="24" cm="1">
        <f t="array" ref="N9002">IFERROR(IF($B9002=N$1, ($A9002+$C9002) - MAX(IF($B$2:$B9001=$B9002, $A$2:$A9001+$C$2:$C9001)), "")*24*60, "")</f>
        <v>0.99999999278225005</v>
      </c>
      <c r="O9002" s="24" t="str" cm="1">
        <f t="array" ref="O9002">IFERROR(IF($B9002=O$1, ($A9002+$C9002) - MAX(IF($B$2:$B9001=$B9002, $A$2:$A9001+$C$2:$C9001)), "")*24*60, "")</f>
        <v/>
      </c>
      <c r="P9002" s="24" t="str" cm="1">
        <f t="array" ref="P9002">IFERROR(IF($B9002=P$1, ($A9002+$C9002) - MAX(IF($B$2:$B9001=$B9002, $A$2:$A9001+$C$2:$C9001)), "")*24*60, "")</f>
        <v/>
      </c>
      <c r="Q9002" s="24" t="str" cm="1">
        <f t="array" ref="Q9002">IFERROR(IF($B9002=Q$1, ($A9002+$C9002) - MAX(IF($B$2:$B9001=$B9002, $A$2:$A9001+$C$2:$C9001)), "")*24*60, "")</f>
        <v/>
      </c>
      <c r="R9002" s="24" t="str" cm="1">
        <f t="array" ref="R9002">IFERROR(IF($B9002=R$1, ($A9002+$C9002) - MAX(IF($B$2:$B9001=$B9002, $A$2:$A9001+$C$2:$C9001)), "")*24*60, "")</f>
        <v/>
      </c>
      <c r="S9002" s="24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5"/>
      <c r="E9003" s="5"/>
      <c r="F9003" s="5" t="s">
        <v>9</v>
      </c>
      <c r="G9003" s="15" t="s">
        <v>9</v>
      </c>
      <c r="H9003" s="24">
        <f t="shared" si="1412"/>
        <v>0</v>
      </c>
      <c r="I9003" s="24" t="str" cm="1">
        <f t="array" ref="I9003">IFERROR(IF($B9003=I$1, ($A9003+$C9003) - MAX(IF($B$2:$B9002=$B9003, $A$2:$A9002+$C$2:$C9002)), "")*24*60, "")</f>
        <v/>
      </c>
      <c r="J9003" s="24" t="str" cm="1">
        <f t="array" ref="J9003">IFERROR(IF($B9003=J$1, ($A9003+$C9003) - MAX(IF($B$2:$B9002=$B9003, $A$2:$A9002+$C$2:$C9002)), "")*24*60, "")</f>
        <v/>
      </c>
      <c r="K9003" s="24" t="str" cm="1">
        <f t="array" ref="K9003">IFERROR(IF($B9003=K$1, ($A9003+$C9003) - MAX(IF($B$2:$B9002=$B9003, $A$2:$A9002+$C$2:$C9002)), "")*24*60, "")</f>
        <v/>
      </c>
      <c r="L9003" s="24" t="str" cm="1">
        <f t="array" ref="L9003">IFERROR(IF($B9003=L$1, ($A9003+$C9003) - MAX(IF($B$2:$B9002=$B9003, $A$2:$A9002+$C$2:$C9002)), "")*24*60, "")</f>
        <v/>
      </c>
      <c r="M9003" s="24" t="str" cm="1">
        <f t="array" ref="M9003">IFERROR(IF($B9003=M$1, ($A9003+$C9003) - MAX(IF($B$2:$B9002=$B9003, $A$2:$A9002+$C$2:$C9002)), "")*24*60, "")</f>
        <v/>
      </c>
      <c r="N9003" s="24" cm="1">
        <f t="array" ref="N9003">IFERROR(IF($B9003=N$1, ($A9003+$C9003) - MAX(IF($B$2:$B9002=$B9003, $A$2:$A9002+$C$2:$C9002)), "")*24*60, "")</f>
        <v>0</v>
      </c>
      <c r="O9003" s="24" t="str" cm="1">
        <f t="array" ref="O9003">IFERROR(IF($B9003=O$1, ($A9003+$C9003) - MAX(IF($B$2:$B9002=$B9003, $A$2:$A9002+$C$2:$C9002)), "")*24*60, "")</f>
        <v/>
      </c>
      <c r="P9003" s="24" t="str" cm="1">
        <f t="array" ref="P9003">IFERROR(IF($B9003=P$1, ($A9003+$C9003) - MAX(IF($B$2:$B9002=$B9003, $A$2:$A9002+$C$2:$C9002)), "")*24*60, "")</f>
        <v/>
      </c>
      <c r="Q9003" s="24" t="str" cm="1">
        <f t="array" ref="Q9003">IFERROR(IF($B9003=Q$1, ($A9003+$C9003) - MAX(IF($B$2:$B9002=$B9003, $A$2:$A9002+$C$2:$C9002)), "")*24*60, "")</f>
        <v/>
      </c>
      <c r="R9003" s="24" t="str" cm="1">
        <f t="array" ref="R9003">IFERROR(IF($B9003=R$1, ($A9003+$C9003) - MAX(IF($B$2:$B9002=$B9003, $A$2:$A9002+$C$2:$C9002)), "")*24*60, "")</f>
        <v/>
      </c>
      <c r="S9003" s="24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:C9004" si="1436">A9003</f>
        <v>46041</v>
      </c>
      <c r="B9004" s="5" t="s">
        <v>3</v>
      </c>
      <c r="C9004" s="6">
        <v>0.52916666666666667</v>
      </c>
      <c r="D9004" s="5"/>
      <c r="E9004" s="5"/>
      <c r="F9004" s="5" t="s">
        <v>9</v>
      </c>
      <c r="G9004" s="15" t="s">
        <v>9</v>
      </c>
      <c r="H9004" s="24">
        <f t="shared" si="1412"/>
        <v>1.000000003259629</v>
      </c>
      <c r="I9004" s="24" cm="1">
        <f t="array" ref="I9004">IFERROR(IF($B9004=I$1, ($A9004+$C9004) - MAX(IF($B$2:$B9003=$B9004, $A$2:$A9003+$C$2:$C9003)), "")*24*60, "")</f>
        <v>1.9999999960418791</v>
      </c>
      <c r="J9004" s="24" t="str" cm="1">
        <f t="array" ref="J9004">IFERROR(IF($B9004=J$1, ($A9004+$C9004) - MAX(IF($B$2:$B9003=$B9004, $A$2:$A9003+$C$2:$C9003)), "")*24*60, "")</f>
        <v/>
      </c>
      <c r="K9004" s="24" t="str" cm="1">
        <f t="array" ref="K9004">IFERROR(IF($B9004=K$1, ($A9004+$C9004) - MAX(IF($B$2:$B9003=$B9004, $A$2:$A9003+$C$2:$C9003)), "")*24*60, "")</f>
        <v/>
      </c>
      <c r="L9004" s="24" t="str" cm="1">
        <f t="array" ref="L9004">IFERROR(IF($B9004=L$1, ($A9004+$C9004) - MAX(IF($B$2:$B9003=$B9004, $A$2:$A9003+$C$2:$C9003)), "")*24*60, "")</f>
        <v/>
      </c>
      <c r="M9004" s="24" t="str" cm="1">
        <f t="array" ref="M9004">IFERROR(IF($B9004=M$1, ($A9004+$C9004) - MAX(IF($B$2:$B9003=$B9004, $A$2:$A9003+$C$2:$C9003)), "")*24*60, "")</f>
        <v/>
      </c>
      <c r="N9004" s="24" t="str" cm="1">
        <f t="array" ref="N9004">IFERROR(IF($B9004=N$1, ($A9004+$C9004) - MAX(IF($B$2:$B9003=$B9004, $A$2:$A9003+$C$2:$C9003)), "")*24*60, "")</f>
        <v/>
      </c>
      <c r="O9004" s="24" t="str" cm="1">
        <f t="array" ref="O9004">IFERROR(IF($B9004=O$1, ($A9004+$C9004) - MAX(IF($B$2:$B9003=$B9004, $A$2:$A9003+$C$2:$C9003)), "")*24*60, "")</f>
        <v/>
      </c>
      <c r="P9004" s="24" t="str" cm="1">
        <f t="array" ref="P9004">IFERROR(IF($B9004=P$1, ($A9004+$C9004) - MAX(IF($B$2:$B9003=$B9004, $A$2:$A9003+$C$2:$C9003)), "")*24*60, "")</f>
        <v/>
      </c>
      <c r="Q9004" s="24" t="str" cm="1">
        <f t="array" ref="Q9004">IFERROR(IF($B9004=Q$1, ($A9004+$C9004) - MAX(IF($B$2:$B9003=$B9004, $A$2:$A9003+$C$2:$C9003)), "")*24*60, "")</f>
        <v/>
      </c>
      <c r="R9004" s="24" t="str" cm="1">
        <f t="array" ref="R9004">IFERROR(IF($B9004=R$1, ($A9004+$C9004) - MAX(IF($B$2:$B9003=$B9004, $A$2:$A9003+$C$2:$C9003)), "")*24*60, "")</f>
        <v/>
      </c>
      <c r="S9004" s="24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5"/>
      <c r="E9005" s="5"/>
      <c r="F9005" s="5" t="s">
        <v>9</v>
      </c>
      <c r="G9005" s="15" t="s">
        <v>9</v>
      </c>
      <c r="H9005" s="24">
        <f t="shared" si="1412"/>
        <v>0</v>
      </c>
      <c r="I9005" s="24" cm="1">
        <f t="array" ref="I9005">IFERROR(IF($B9005=I$1, ($A9005+$C9005) - MAX(IF($B$2:$B9004=$B9005, $A$2:$A9004+$C$2:$C9004)), "")*24*60, "")</f>
        <v>0</v>
      </c>
      <c r="J9005" s="24" t="str" cm="1">
        <f t="array" ref="J9005">IFERROR(IF($B9005=J$1, ($A9005+$C9005) - MAX(IF($B$2:$B9004=$B9005, $A$2:$A9004+$C$2:$C9004)), "")*24*60, "")</f>
        <v/>
      </c>
      <c r="K9005" s="24" t="str" cm="1">
        <f t="array" ref="K9005">IFERROR(IF($B9005=K$1, ($A9005+$C9005) - MAX(IF($B$2:$B9004=$B9005, $A$2:$A9004+$C$2:$C9004)), "")*24*60, "")</f>
        <v/>
      </c>
      <c r="L9005" s="24" t="str" cm="1">
        <f t="array" ref="L9005">IFERROR(IF($B9005=L$1, ($A9005+$C9005) - MAX(IF($B$2:$B9004=$B9005, $A$2:$A9004+$C$2:$C9004)), "")*24*60, "")</f>
        <v/>
      </c>
      <c r="M9005" s="24" t="str" cm="1">
        <f t="array" ref="M9005">IFERROR(IF($B9005=M$1, ($A9005+$C9005) - MAX(IF($B$2:$B9004=$B9005, $A$2:$A9004+$C$2:$C9004)), "")*24*60, "")</f>
        <v/>
      </c>
      <c r="N9005" s="24" t="str" cm="1">
        <f t="array" ref="N9005">IFERROR(IF($B9005=N$1, ($A9005+$C9005) - MAX(IF($B$2:$B9004=$B9005, $A$2:$A9004+$C$2:$C9004)), "")*24*60, "")</f>
        <v/>
      </c>
      <c r="O9005" s="24" t="str" cm="1">
        <f t="array" ref="O9005">IFERROR(IF($B9005=O$1, ($A9005+$C9005) - MAX(IF($B$2:$B9004=$B9005, $A$2:$A9004+$C$2:$C9004)), "")*24*60, "")</f>
        <v/>
      </c>
      <c r="P9005" s="24" t="str" cm="1">
        <f t="array" ref="P9005">IFERROR(IF($B9005=P$1, ($A9005+$C9005) - MAX(IF($B$2:$B9004=$B9005, $A$2:$A9004+$C$2:$C9004)), "")*24*60, "")</f>
        <v/>
      </c>
      <c r="Q9005" s="24" t="str" cm="1">
        <f t="array" ref="Q9005">IFERROR(IF($B9005=Q$1, ($A9005+$C9005) - MAX(IF($B$2:$B9004=$B9005, $A$2:$A9004+$C$2:$C9004)), "")*24*60, "")</f>
        <v/>
      </c>
      <c r="R9005" s="24" t="str" cm="1">
        <f t="array" ref="R9005">IFERROR(IF($B9005=R$1, ($A9005+$C9005) - MAX(IF($B$2:$B9004=$B9005, $A$2:$A9004+$C$2:$C9004)), "")*24*60, "")</f>
        <v/>
      </c>
      <c r="S9005" s="24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C9006" si="1438">A9005</f>
        <v>46041</v>
      </c>
      <c r="B9006" s="5" t="str">
        <f t="shared" si="1438"/>
        <v>Northern Cardinal</v>
      </c>
      <c r="C9006" s="6">
        <v>0.52986111111111112</v>
      </c>
      <c r="D9006" s="5"/>
      <c r="E9006" s="5"/>
      <c r="F9006" s="5" t="s">
        <v>9</v>
      </c>
      <c r="G9006" s="15" t="s">
        <v>9</v>
      </c>
      <c r="H9006" s="24">
        <f t="shared" si="1412"/>
        <v>1.000000003259629</v>
      </c>
      <c r="I9006" s="24" cm="1">
        <f t="array" ref="I9006">IFERROR(IF($B9006=I$1, ($A9006+$C9006) - MAX(IF($B$2:$B9005=$B9006, $A$2:$A9005+$C$2:$C9005)), "")*24*60, "")</f>
        <v>1.000000003259629</v>
      </c>
      <c r="J9006" s="24" t="str" cm="1">
        <f t="array" ref="J9006">IFERROR(IF($B9006=J$1, ($A9006+$C9006) - MAX(IF($B$2:$B9005=$B9006, $A$2:$A9005+$C$2:$C9005)), "")*24*60, "")</f>
        <v/>
      </c>
      <c r="K9006" s="24" t="str" cm="1">
        <f t="array" ref="K9006">IFERROR(IF($B9006=K$1, ($A9006+$C9006) - MAX(IF($B$2:$B9005=$B9006, $A$2:$A9005+$C$2:$C9005)), "")*24*60, "")</f>
        <v/>
      </c>
      <c r="L9006" s="24" t="str" cm="1">
        <f t="array" ref="L9006">IFERROR(IF($B9006=L$1, ($A9006+$C9006) - MAX(IF($B$2:$B9005=$B9006, $A$2:$A9005+$C$2:$C9005)), "")*24*60, "")</f>
        <v/>
      </c>
      <c r="M9006" s="24" t="str" cm="1">
        <f t="array" ref="M9006">IFERROR(IF($B9006=M$1, ($A9006+$C9006) - MAX(IF($B$2:$B9005=$B9006, $A$2:$A9005+$C$2:$C9005)), "")*24*60, "")</f>
        <v/>
      </c>
      <c r="N9006" s="24" t="str" cm="1">
        <f t="array" ref="N9006">IFERROR(IF($B9006=N$1, ($A9006+$C9006) - MAX(IF($B$2:$B9005=$B9006, $A$2:$A9005+$C$2:$C9005)), "")*24*60, "")</f>
        <v/>
      </c>
      <c r="O9006" s="24" t="str" cm="1">
        <f t="array" ref="O9006">IFERROR(IF($B9006=O$1, ($A9006+$C9006) - MAX(IF($B$2:$B9005=$B9006, $A$2:$A9005+$C$2:$C9005)), "")*24*60, "")</f>
        <v/>
      </c>
      <c r="P9006" s="24" t="str" cm="1">
        <f t="array" ref="P9006">IFERROR(IF($B9006=P$1, ($A9006+$C9006) - MAX(IF($B$2:$B9005=$B9006, $A$2:$A9005+$C$2:$C9005)), "")*24*60, "")</f>
        <v/>
      </c>
      <c r="Q9006" s="24" t="str" cm="1">
        <f t="array" ref="Q9006">IFERROR(IF($B9006=Q$1, ($A9006+$C9006) - MAX(IF($B$2:$B9005=$B9006, $A$2:$A9005+$C$2:$C9005)), "")*24*60, "")</f>
        <v/>
      </c>
      <c r="R9006" s="24" t="str" cm="1">
        <f t="array" ref="R9006">IFERROR(IF($B9006=R$1, ($A9006+$C9006) - MAX(IF($B$2:$B9005=$B9006, $A$2:$A9005+$C$2:$C9005)), "")*24*60, "")</f>
        <v/>
      </c>
      <c r="S9006" s="24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C9007" si="1439">A9006</f>
        <v>46041</v>
      </c>
      <c r="B9007" s="5" t="str">
        <f t="shared" si="1439"/>
        <v>Northern Cardinal</v>
      </c>
      <c r="C9007" s="6">
        <v>0.53055555555555556</v>
      </c>
      <c r="D9007" s="5"/>
      <c r="E9007" s="5"/>
      <c r="F9007" s="5" t="s">
        <v>9</v>
      </c>
      <c r="G9007" s="15" t="s">
        <v>9</v>
      </c>
      <c r="H9007" s="24">
        <f t="shared" si="1412"/>
        <v>0.99999999278225005</v>
      </c>
      <c r="I9007" s="24" cm="1">
        <f t="array" ref="I9007">IFERROR(IF($B9007=I$1, ($A9007+$C9007) - MAX(IF($B$2:$B9006=$B9007, $A$2:$A9006+$C$2:$C9006)), "")*24*60, "")</f>
        <v>0.99999999278225005</v>
      </c>
      <c r="J9007" s="24" t="str" cm="1">
        <f t="array" ref="J9007">IFERROR(IF($B9007=J$1, ($A9007+$C9007) - MAX(IF($B$2:$B9006=$B9007, $A$2:$A9006+$C$2:$C9006)), "")*24*60, "")</f>
        <v/>
      </c>
      <c r="K9007" s="24" t="str" cm="1">
        <f t="array" ref="K9007">IFERROR(IF($B9007=K$1, ($A9007+$C9007) - MAX(IF($B$2:$B9006=$B9007, $A$2:$A9006+$C$2:$C9006)), "")*24*60, "")</f>
        <v/>
      </c>
      <c r="L9007" s="24" t="str" cm="1">
        <f t="array" ref="L9007">IFERROR(IF($B9007=L$1, ($A9007+$C9007) - MAX(IF($B$2:$B9006=$B9007, $A$2:$A9006+$C$2:$C9006)), "")*24*60, "")</f>
        <v/>
      </c>
      <c r="M9007" s="24" t="str" cm="1">
        <f t="array" ref="M9007">IFERROR(IF($B9007=M$1, ($A9007+$C9007) - MAX(IF($B$2:$B9006=$B9007, $A$2:$A9006+$C$2:$C9006)), "")*24*60, "")</f>
        <v/>
      </c>
      <c r="N9007" s="24" t="str" cm="1">
        <f t="array" ref="N9007">IFERROR(IF($B9007=N$1, ($A9007+$C9007) - MAX(IF($B$2:$B9006=$B9007, $A$2:$A9006+$C$2:$C9006)), "")*24*60, "")</f>
        <v/>
      </c>
      <c r="O9007" s="24" t="str" cm="1">
        <f t="array" ref="O9007">IFERROR(IF($B9007=O$1, ($A9007+$C9007) - MAX(IF($B$2:$B9006=$B9007, $A$2:$A9006+$C$2:$C9006)), "")*24*60, "")</f>
        <v/>
      </c>
      <c r="P9007" s="24" t="str" cm="1">
        <f t="array" ref="P9007">IFERROR(IF($B9007=P$1, ($A9007+$C9007) - MAX(IF($B$2:$B9006=$B9007, $A$2:$A9006+$C$2:$C9006)), "")*24*60, "")</f>
        <v/>
      </c>
      <c r="Q9007" s="24" t="str" cm="1">
        <f t="array" ref="Q9007">IFERROR(IF($B9007=Q$1, ($A9007+$C9007) - MAX(IF($B$2:$B9006=$B9007, $A$2:$A9006+$C$2:$C9006)), "")*24*60, "")</f>
        <v/>
      </c>
      <c r="R9007" s="24" t="str" cm="1">
        <f t="array" ref="R9007">IFERROR(IF($B9007=R$1, ($A9007+$C9007) - MAX(IF($B$2:$B9006=$B9007, $A$2:$A9006+$C$2:$C9006)), "")*24*60, "")</f>
        <v/>
      </c>
      <c r="S9007" s="24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C9008" si="1440">A9007</f>
        <v>46041</v>
      </c>
      <c r="B9008" s="5" t="str">
        <f t="shared" si="1440"/>
        <v>Northern Cardinal</v>
      </c>
      <c r="C9008" s="6">
        <v>0.53125</v>
      </c>
      <c r="D9008" s="5"/>
      <c r="E9008" s="5"/>
      <c r="F9008" s="5" t="s">
        <v>9</v>
      </c>
      <c r="G9008" s="15" t="s">
        <v>9</v>
      </c>
      <c r="H9008" s="24">
        <f t="shared" si="1412"/>
        <v>1.000000003259629</v>
      </c>
      <c r="I9008" s="24" cm="1">
        <f t="array" ref="I9008">IFERROR(IF($B9008=I$1, ($A9008+$C9008) - MAX(IF($B$2:$B9007=$B9008, $A$2:$A9007+$C$2:$C9007)), "")*24*60, "")</f>
        <v>1.000000003259629</v>
      </c>
      <c r="J9008" s="24" t="str" cm="1">
        <f t="array" ref="J9008">IFERROR(IF($B9008=J$1, ($A9008+$C9008) - MAX(IF($B$2:$B9007=$B9008, $A$2:$A9007+$C$2:$C9007)), "")*24*60, "")</f>
        <v/>
      </c>
      <c r="K9008" s="24" t="str" cm="1">
        <f t="array" ref="K9008">IFERROR(IF($B9008=K$1, ($A9008+$C9008) - MAX(IF($B$2:$B9007=$B9008, $A$2:$A9007+$C$2:$C9007)), "")*24*60, "")</f>
        <v/>
      </c>
      <c r="L9008" s="24" t="str" cm="1">
        <f t="array" ref="L9008">IFERROR(IF($B9008=L$1, ($A9008+$C9008) - MAX(IF($B$2:$B9007=$B9008, $A$2:$A9007+$C$2:$C9007)), "")*24*60, "")</f>
        <v/>
      </c>
      <c r="M9008" s="24" t="str" cm="1">
        <f t="array" ref="M9008">IFERROR(IF($B9008=M$1, ($A9008+$C9008) - MAX(IF($B$2:$B9007=$B9008, $A$2:$A9007+$C$2:$C9007)), "")*24*60, "")</f>
        <v/>
      </c>
      <c r="N9008" s="24" t="str" cm="1">
        <f t="array" ref="N9008">IFERROR(IF($B9008=N$1, ($A9008+$C9008) - MAX(IF($B$2:$B9007=$B9008, $A$2:$A9007+$C$2:$C9007)), "")*24*60, "")</f>
        <v/>
      </c>
      <c r="O9008" s="24" t="str" cm="1">
        <f t="array" ref="O9008">IFERROR(IF($B9008=O$1, ($A9008+$C9008) - MAX(IF($B$2:$B9007=$B9008, $A$2:$A9007+$C$2:$C9007)), "")*24*60, "")</f>
        <v/>
      </c>
      <c r="P9008" s="24" t="str" cm="1">
        <f t="array" ref="P9008">IFERROR(IF($B9008=P$1, ($A9008+$C9008) - MAX(IF($B$2:$B9007=$B9008, $A$2:$A9007+$C$2:$C9007)), "")*24*60, "")</f>
        <v/>
      </c>
      <c r="Q9008" s="24" t="str" cm="1">
        <f t="array" ref="Q9008">IFERROR(IF($B9008=Q$1, ($A9008+$C9008) - MAX(IF($B$2:$B9007=$B9008, $A$2:$A9007+$C$2:$C9007)), "")*24*60, "")</f>
        <v/>
      </c>
      <c r="R9008" s="24" t="str" cm="1">
        <f t="array" ref="R9008">IFERROR(IF($B9008=R$1, ($A9008+$C9008) - MAX(IF($B$2:$B9007=$B9008, $A$2:$A9007+$C$2:$C9007)), "")*24*60, "")</f>
        <v/>
      </c>
      <c r="S9008" s="24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C9009" si="1441">A9008</f>
        <v>46041</v>
      </c>
      <c r="B9009" s="5" t="str">
        <f t="shared" si="1441"/>
        <v>Northern Cardinal</v>
      </c>
      <c r="C9009" s="6">
        <v>0.53125</v>
      </c>
      <c r="D9009" s="5"/>
      <c r="E9009" s="5"/>
      <c r="F9009" s="5" t="s">
        <v>9</v>
      </c>
      <c r="G9009" s="15" t="s">
        <v>9</v>
      </c>
      <c r="H9009" s="24">
        <f t="shared" si="1412"/>
        <v>0</v>
      </c>
      <c r="I9009" s="24" cm="1">
        <f t="array" ref="I9009">IFERROR(IF($B9009=I$1, ($A9009+$C9009) - MAX(IF($B$2:$B9008=$B9009, $A$2:$A9008+$C$2:$C9008)), "")*24*60, "")</f>
        <v>0</v>
      </c>
      <c r="J9009" s="24" t="str" cm="1">
        <f t="array" ref="J9009">IFERROR(IF($B9009=J$1, ($A9009+$C9009) - MAX(IF($B$2:$B9008=$B9009, $A$2:$A9008+$C$2:$C9008)), "")*24*60, "")</f>
        <v/>
      </c>
      <c r="K9009" s="24" t="str" cm="1">
        <f t="array" ref="K9009">IFERROR(IF($B9009=K$1, ($A9009+$C9009) - MAX(IF($B$2:$B9008=$B9009, $A$2:$A9008+$C$2:$C9008)), "")*24*60, "")</f>
        <v/>
      </c>
      <c r="L9009" s="24" t="str" cm="1">
        <f t="array" ref="L9009">IFERROR(IF($B9009=L$1, ($A9009+$C9009) - MAX(IF($B$2:$B9008=$B9009, $A$2:$A9008+$C$2:$C9008)), "")*24*60, "")</f>
        <v/>
      </c>
      <c r="M9009" s="24" t="str" cm="1">
        <f t="array" ref="M9009">IFERROR(IF($B9009=M$1, ($A9009+$C9009) - MAX(IF($B$2:$B9008=$B9009, $A$2:$A9008+$C$2:$C9008)), "")*24*60, "")</f>
        <v/>
      </c>
      <c r="N9009" s="24" t="str" cm="1">
        <f t="array" ref="N9009">IFERROR(IF($B9009=N$1, ($A9009+$C9009) - MAX(IF($B$2:$B9008=$B9009, $A$2:$A9008+$C$2:$C9008)), "")*24*60, "")</f>
        <v/>
      </c>
      <c r="O9009" s="24" t="str" cm="1">
        <f t="array" ref="O9009">IFERROR(IF($B9009=O$1, ($A9009+$C9009) - MAX(IF($B$2:$B9008=$B9009, $A$2:$A9008+$C$2:$C9008)), "")*24*60, "")</f>
        <v/>
      </c>
      <c r="P9009" s="24" t="str" cm="1">
        <f t="array" ref="P9009">IFERROR(IF($B9009=P$1, ($A9009+$C9009) - MAX(IF($B$2:$B9008=$B9009, $A$2:$A9008+$C$2:$C9008)), "")*24*60, "")</f>
        <v/>
      </c>
      <c r="Q9009" s="24" t="str" cm="1">
        <f t="array" ref="Q9009">IFERROR(IF($B9009=Q$1, ($A9009+$C9009) - MAX(IF($B$2:$B9008=$B9009, $A$2:$A9008+$C$2:$C9008)), "")*24*60, "")</f>
        <v/>
      </c>
      <c r="R9009" s="24" t="str" cm="1">
        <f t="array" ref="R9009">IFERROR(IF($B9009=R$1, ($A9009+$C9009) - MAX(IF($B$2:$B9008=$B9009, $A$2:$A9008+$C$2:$C9008)), "")*24*60, "")</f>
        <v/>
      </c>
      <c r="S9009" s="24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5"/>
      <c r="E9010" s="5"/>
      <c r="F9010" s="5" t="s">
        <v>9</v>
      </c>
      <c r="G9010" s="15" t="s">
        <v>9</v>
      </c>
      <c r="H9010" s="24">
        <f t="shared" si="1412"/>
        <v>0</v>
      </c>
      <c r="I9010" s="24" cm="1">
        <f t="array" ref="I9010">IFERROR(IF($B9010=I$1, ($A9010+$C9010) - MAX(IF($B$2:$B9009=$B9010, $A$2:$A9009+$C$2:$C9009)), "")*24*60, "")</f>
        <v>0</v>
      </c>
      <c r="J9010" s="24" t="str" cm="1">
        <f t="array" ref="J9010">IFERROR(IF($B9010=J$1, ($A9010+$C9010) - MAX(IF($B$2:$B9009=$B9010, $A$2:$A9009+$C$2:$C9009)), "")*24*60, "")</f>
        <v/>
      </c>
      <c r="K9010" s="24" t="str" cm="1">
        <f t="array" ref="K9010">IFERROR(IF($B9010=K$1, ($A9010+$C9010) - MAX(IF($B$2:$B9009=$B9010, $A$2:$A9009+$C$2:$C9009)), "")*24*60, "")</f>
        <v/>
      </c>
      <c r="L9010" s="24" t="str" cm="1">
        <f t="array" ref="L9010">IFERROR(IF($B9010=L$1, ($A9010+$C9010) - MAX(IF($B$2:$B9009=$B9010, $A$2:$A9009+$C$2:$C9009)), "")*24*60, "")</f>
        <v/>
      </c>
      <c r="M9010" s="24" t="str" cm="1">
        <f t="array" ref="M9010">IFERROR(IF($B9010=M$1, ($A9010+$C9010) - MAX(IF($B$2:$B9009=$B9010, $A$2:$A9009+$C$2:$C9009)), "")*24*60, "")</f>
        <v/>
      </c>
      <c r="N9010" s="24" t="str" cm="1">
        <f t="array" ref="N9010">IFERROR(IF($B9010=N$1, ($A9010+$C9010) - MAX(IF($B$2:$B9009=$B9010, $A$2:$A9009+$C$2:$C9009)), "")*24*60, "")</f>
        <v/>
      </c>
      <c r="O9010" s="24" t="str" cm="1">
        <f t="array" ref="O9010">IFERROR(IF($B9010=O$1, ($A9010+$C9010) - MAX(IF($B$2:$B9009=$B9010, $A$2:$A9009+$C$2:$C9009)), "")*24*60, "")</f>
        <v/>
      </c>
      <c r="P9010" s="24" t="str" cm="1">
        <f t="array" ref="P9010">IFERROR(IF($B9010=P$1, ($A9010+$C9010) - MAX(IF($B$2:$B9009=$B9010, $A$2:$A9009+$C$2:$C9009)), "")*24*60, "")</f>
        <v/>
      </c>
      <c r="Q9010" s="24" t="str" cm="1">
        <f t="array" ref="Q9010">IFERROR(IF($B9010=Q$1, ($A9010+$C9010) - MAX(IF($B$2:$B9009=$B9010, $A$2:$A9009+$C$2:$C9009)), "")*24*60, "")</f>
        <v/>
      </c>
      <c r="R9010" s="24" t="str" cm="1">
        <f t="array" ref="R9010">IFERROR(IF($B9010=R$1, ($A9010+$C9010) - MAX(IF($B$2:$B9009=$B9010, $A$2:$A9009+$C$2:$C9009)), "")*24*60, "")</f>
        <v/>
      </c>
      <c r="S9010" s="24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C9011" si="1443">A9010</f>
        <v>46041</v>
      </c>
      <c r="B9011" s="5" t="str">
        <f t="shared" si="1443"/>
        <v>Northern Cardinal</v>
      </c>
      <c r="C9011" s="6">
        <v>0.53194444444444444</v>
      </c>
      <c r="D9011" s="5"/>
      <c r="E9011" s="5"/>
      <c r="F9011" s="5" t="s">
        <v>9</v>
      </c>
      <c r="G9011" s="15" t="s">
        <v>9</v>
      </c>
      <c r="H9011" s="24">
        <f t="shared" si="1412"/>
        <v>1.000000003259629</v>
      </c>
      <c r="I9011" s="24" cm="1">
        <f t="array" ref="I9011">IFERROR(IF($B9011=I$1, ($A9011+$C9011) - MAX(IF($B$2:$B9010=$B9011, $A$2:$A9010+$C$2:$C9010)), "")*24*60, "")</f>
        <v>1.000000003259629</v>
      </c>
      <c r="J9011" s="24" t="str" cm="1">
        <f t="array" ref="J9011">IFERROR(IF($B9011=J$1, ($A9011+$C9011) - MAX(IF($B$2:$B9010=$B9011, $A$2:$A9010+$C$2:$C9010)), "")*24*60, "")</f>
        <v/>
      </c>
      <c r="K9011" s="24" t="str" cm="1">
        <f t="array" ref="K9011">IFERROR(IF($B9011=K$1, ($A9011+$C9011) - MAX(IF($B$2:$B9010=$B9011, $A$2:$A9010+$C$2:$C9010)), "")*24*60, "")</f>
        <v/>
      </c>
      <c r="L9011" s="24" t="str" cm="1">
        <f t="array" ref="L9011">IFERROR(IF($B9011=L$1, ($A9011+$C9011) - MAX(IF($B$2:$B9010=$B9011, $A$2:$A9010+$C$2:$C9010)), "")*24*60, "")</f>
        <v/>
      </c>
      <c r="M9011" s="24" t="str" cm="1">
        <f t="array" ref="M9011">IFERROR(IF($B9011=M$1, ($A9011+$C9011) - MAX(IF($B$2:$B9010=$B9011, $A$2:$A9010+$C$2:$C9010)), "")*24*60, "")</f>
        <v/>
      </c>
      <c r="N9011" s="24" t="str" cm="1">
        <f t="array" ref="N9011">IFERROR(IF($B9011=N$1, ($A9011+$C9011) - MAX(IF($B$2:$B9010=$B9011, $A$2:$A9010+$C$2:$C9010)), "")*24*60, "")</f>
        <v/>
      </c>
      <c r="O9011" s="24" t="str" cm="1">
        <f t="array" ref="O9011">IFERROR(IF($B9011=O$1, ($A9011+$C9011) - MAX(IF($B$2:$B9010=$B9011, $A$2:$A9010+$C$2:$C9010)), "")*24*60, "")</f>
        <v/>
      </c>
      <c r="P9011" s="24" t="str" cm="1">
        <f t="array" ref="P9011">IFERROR(IF($B9011=P$1, ($A9011+$C9011) - MAX(IF($B$2:$B9010=$B9011, $A$2:$A9010+$C$2:$C9010)), "")*24*60, "")</f>
        <v/>
      </c>
      <c r="Q9011" s="24" t="str" cm="1">
        <f t="array" ref="Q9011">IFERROR(IF($B9011=Q$1, ($A9011+$C9011) - MAX(IF($B$2:$B9010=$B9011, $A$2:$A9010+$C$2:$C9010)), "")*24*60, "")</f>
        <v/>
      </c>
      <c r="R9011" s="24" t="str" cm="1">
        <f t="array" ref="R9011">IFERROR(IF($B9011=R$1, ($A9011+$C9011) - MAX(IF($B$2:$B9010=$B9011, $A$2:$A9010+$C$2:$C9010)), "")*24*60, "")</f>
        <v/>
      </c>
      <c r="S9011" s="24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C9012" si="1444">A9011</f>
        <v>46041</v>
      </c>
      <c r="B9012" s="5" t="str">
        <f t="shared" si="1444"/>
        <v>Northern Cardinal</v>
      </c>
      <c r="C9012" s="6">
        <v>0.53263888888888888</v>
      </c>
      <c r="D9012" s="5"/>
      <c r="E9012" s="5"/>
      <c r="F9012" s="5" t="s">
        <v>9</v>
      </c>
      <c r="G9012" s="15" t="s">
        <v>9</v>
      </c>
      <c r="H9012" s="24">
        <f t="shared" si="1412"/>
        <v>0.99999999278225005</v>
      </c>
      <c r="I9012" s="24" cm="1">
        <f t="array" ref="I9012">IFERROR(IF($B9012=I$1, ($A9012+$C9012) - MAX(IF($B$2:$B9011=$B9012, $A$2:$A9011+$C$2:$C9011)), "")*24*60, "")</f>
        <v>0.99999999278225005</v>
      </c>
      <c r="J9012" s="24" t="str" cm="1">
        <f t="array" ref="J9012">IFERROR(IF($B9012=J$1, ($A9012+$C9012) - MAX(IF($B$2:$B9011=$B9012, $A$2:$A9011+$C$2:$C9011)), "")*24*60, "")</f>
        <v/>
      </c>
      <c r="K9012" s="24" t="str" cm="1">
        <f t="array" ref="K9012">IFERROR(IF($B9012=K$1, ($A9012+$C9012) - MAX(IF($B$2:$B9011=$B9012, $A$2:$A9011+$C$2:$C9011)), "")*24*60, "")</f>
        <v/>
      </c>
      <c r="L9012" s="24" t="str" cm="1">
        <f t="array" ref="L9012">IFERROR(IF($B9012=L$1, ($A9012+$C9012) - MAX(IF($B$2:$B9011=$B9012, $A$2:$A9011+$C$2:$C9011)), "")*24*60, "")</f>
        <v/>
      </c>
      <c r="M9012" s="24" t="str" cm="1">
        <f t="array" ref="M9012">IFERROR(IF($B9012=M$1, ($A9012+$C9012) - MAX(IF($B$2:$B9011=$B9012, $A$2:$A9011+$C$2:$C9011)), "")*24*60, "")</f>
        <v/>
      </c>
      <c r="N9012" s="24" t="str" cm="1">
        <f t="array" ref="N9012">IFERROR(IF($B9012=N$1, ($A9012+$C9012) - MAX(IF($B$2:$B9011=$B9012, $A$2:$A9011+$C$2:$C9011)), "")*24*60, "")</f>
        <v/>
      </c>
      <c r="O9012" s="24" t="str" cm="1">
        <f t="array" ref="O9012">IFERROR(IF($B9012=O$1, ($A9012+$C9012) - MAX(IF($B$2:$B9011=$B9012, $A$2:$A9011+$C$2:$C9011)), "")*24*60, "")</f>
        <v/>
      </c>
      <c r="P9012" s="24" t="str" cm="1">
        <f t="array" ref="P9012">IFERROR(IF($B9012=P$1, ($A9012+$C9012) - MAX(IF($B$2:$B9011=$B9012, $A$2:$A9011+$C$2:$C9011)), "")*24*60, "")</f>
        <v/>
      </c>
      <c r="Q9012" s="24" t="str" cm="1">
        <f t="array" ref="Q9012">IFERROR(IF($B9012=Q$1, ($A9012+$C9012) - MAX(IF($B$2:$B9011=$B9012, $A$2:$A9011+$C$2:$C9011)), "")*24*60, "")</f>
        <v/>
      </c>
      <c r="R9012" s="24" t="str" cm="1">
        <f t="array" ref="R9012">IFERROR(IF($B9012=R$1, ($A9012+$C9012) - MAX(IF($B$2:$B9011=$B9012, $A$2:$A9011+$C$2:$C9011)), "")*24*60, "")</f>
        <v/>
      </c>
      <c r="S9012" s="24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C9013" si="1445">A9012</f>
        <v>46041</v>
      </c>
      <c r="B9013" s="5" t="str">
        <f t="shared" si="1445"/>
        <v>Northern Cardinal</v>
      </c>
      <c r="C9013" s="6">
        <v>0.53263888888888888</v>
      </c>
      <c r="D9013" s="5"/>
      <c r="E9013" s="5"/>
      <c r="F9013" s="5" t="s">
        <v>9</v>
      </c>
      <c r="G9013" s="15" t="s">
        <v>9</v>
      </c>
      <c r="H9013" s="24">
        <f t="shared" si="1412"/>
        <v>0</v>
      </c>
      <c r="I9013" s="24" cm="1">
        <f t="array" ref="I9013">IFERROR(IF($B9013=I$1, ($A9013+$C9013) - MAX(IF($B$2:$B9012=$B9013, $A$2:$A9012+$C$2:$C9012)), "")*24*60, "")</f>
        <v>0</v>
      </c>
      <c r="J9013" s="24" t="str" cm="1">
        <f t="array" ref="J9013">IFERROR(IF($B9013=J$1, ($A9013+$C9013) - MAX(IF($B$2:$B9012=$B9013, $A$2:$A9012+$C$2:$C9012)), "")*24*60, "")</f>
        <v/>
      </c>
      <c r="K9013" s="24" t="str" cm="1">
        <f t="array" ref="K9013">IFERROR(IF($B9013=K$1, ($A9013+$C9013) - MAX(IF($B$2:$B9012=$B9013, $A$2:$A9012+$C$2:$C9012)), "")*24*60, "")</f>
        <v/>
      </c>
      <c r="L9013" s="24" t="str" cm="1">
        <f t="array" ref="L9013">IFERROR(IF($B9013=L$1, ($A9013+$C9013) - MAX(IF($B$2:$B9012=$B9013, $A$2:$A9012+$C$2:$C9012)), "")*24*60, "")</f>
        <v/>
      </c>
      <c r="M9013" s="24" t="str" cm="1">
        <f t="array" ref="M9013">IFERROR(IF($B9013=M$1, ($A9013+$C9013) - MAX(IF($B$2:$B9012=$B9013, $A$2:$A9012+$C$2:$C9012)), "")*24*60, "")</f>
        <v/>
      </c>
      <c r="N9013" s="24" t="str" cm="1">
        <f t="array" ref="N9013">IFERROR(IF($B9013=N$1, ($A9013+$C9013) - MAX(IF($B$2:$B9012=$B9013, $A$2:$A9012+$C$2:$C9012)), "")*24*60, "")</f>
        <v/>
      </c>
      <c r="O9013" s="24" t="str" cm="1">
        <f t="array" ref="O9013">IFERROR(IF($B9013=O$1, ($A9013+$C9013) - MAX(IF($B$2:$B9012=$B9013, $A$2:$A9012+$C$2:$C9012)), "")*24*60, "")</f>
        <v/>
      </c>
      <c r="P9013" s="24" t="str" cm="1">
        <f t="array" ref="P9013">IFERROR(IF($B9013=P$1, ($A9013+$C9013) - MAX(IF($B$2:$B9012=$B9013, $A$2:$A9012+$C$2:$C9012)), "")*24*60, "")</f>
        <v/>
      </c>
      <c r="Q9013" s="24" t="str" cm="1">
        <f t="array" ref="Q9013">IFERROR(IF($B9013=Q$1, ($A9013+$C9013) - MAX(IF($B$2:$B9012=$B9013, $A$2:$A9012+$C$2:$C9012)), "")*24*60, "")</f>
        <v/>
      </c>
      <c r="R9013" s="24" t="str" cm="1">
        <f t="array" ref="R9013">IFERROR(IF($B9013=R$1, ($A9013+$C9013) - MAX(IF($B$2:$B9012=$B9013, $A$2:$A9012+$C$2:$C9012)), "")*24*60, "")</f>
        <v/>
      </c>
      <c r="S9013" s="24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C9014" si="1446">A9013</f>
        <v>46041</v>
      </c>
      <c r="B9014" s="5" t="str">
        <f t="shared" si="1446"/>
        <v>Northern Cardinal</v>
      </c>
      <c r="C9014" s="6">
        <v>0.53333333333333333</v>
      </c>
      <c r="D9014" s="5"/>
      <c r="E9014" s="5"/>
      <c r="F9014" s="5" t="s">
        <v>9</v>
      </c>
      <c r="G9014" s="15" t="s">
        <v>9</v>
      </c>
      <c r="H9014" s="24">
        <f t="shared" si="1412"/>
        <v>1.000000003259629</v>
      </c>
      <c r="I9014" s="24" cm="1">
        <f t="array" ref="I9014">IFERROR(IF($B9014=I$1, ($A9014+$C9014) - MAX(IF($B$2:$B9013=$B9014, $A$2:$A9013+$C$2:$C9013)), "")*24*60, "")</f>
        <v>1.000000003259629</v>
      </c>
      <c r="J9014" s="24" t="str" cm="1">
        <f t="array" ref="J9014">IFERROR(IF($B9014=J$1, ($A9014+$C9014) - MAX(IF($B$2:$B9013=$B9014, $A$2:$A9013+$C$2:$C9013)), "")*24*60, "")</f>
        <v/>
      </c>
      <c r="K9014" s="24" t="str" cm="1">
        <f t="array" ref="K9014">IFERROR(IF($B9014=K$1, ($A9014+$C9014) - MAX(IF($B$2:$B9013=$B9014, $A$2:$A9013+$C$2:$C9013)), "")*24*60, "")</f>
        <v/>
      </c>
      <c r="L9014" s="24" t="str" cm="1">
        <f t="array" ref="L9014">IFERROR(IF($B9014=L$1, ($A9014+$C9014) - MAX(IF($B$2:$B9013=$B9014, $A$2:$A9013+$C$2:$C9013)), "")*24*60, "")</f>
        <v/>
      </c>
      <c r="M9014" s="24" t="str" cm="1">
        <f t="array" ref="M9014">IFERROR(IF($B9014=M$1, ($A9014+$C9014) - MAX(IF($B$2:$B9013=$B9014, $A$2:$A9013+$C$2:$C9013)), "")*24*60, "")</f>
        <v/>
      </c>
      <c r="N9014" s="24" t="str" cm="1">
        <f t="array" ref="N9014">IFERROR(IF($B9014=N$1, ($A9014+$C9014) - MAX(IF($B$2:$B9013=$B9014, $A$2:$A9013+$C$2:$C9013)), "")*24*60, "")</f>
        <v/>
      </c>
      <c r="O9014" s="24" t="str" cm="1">
        <f t="array" ref="O9014">IFERROR(IF($B9014=O$1, ($A9014+$C9014) - MAX(IF($B$2:$B9013=$B9014, $A$2:$A9013+$C$2:$C9013)), "")*24*60, "")</f>
        <v/>
      </c>
      <c r="P9014" s="24" t="str" cm="1">
        <f t="array" ref="P9014">IFERROR(IF($B9014=P$1, ($A9014+$C9014) - MAX(IF($B$2:$B9013=$B9014, $A$2:$A9013+$C$2:$C9013)), "")*24*60, "")</f>
        <v/>
      </c>
      <c r="Q9014" s="24" t="str" cm="1">
        <f t="array" ref="Q9014">IFERROR(IF($B9014=Q$1, ($A9014+$C9014) - MAX(IF($B$2:$B9013=$B9014, $A$2:$A9013+$C$2:$C9013)), "")*24*60, "")</f>
        <v/>
      </c>
      <c r="R9014" s="24" t="str" cm="1">
        <f t="array" ref="R9014">IFERROR(IF($B9014=R$1, ($A9014+$C9014) - MAX(IF($B$2:$B9013=$B9014, $A$2:$A9013+$C$2:$C9013)), "")*24*60, "")</f>
        <v/>
      </c>
      <c r="S9014" s="24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C9015" si="1447">A9014</f>
        <v>46041</v>
      </c>
      <c r="B9015" s="5" t="str">
        <f t="shared" si="1447"/>
        <v>Northern Cardinal</v>
      </c>
      <c r="C9015" s="6">
        <v>0.53333333333333333</v>
      </c>
      <c r="D9015" s="5"/>
      <c r="E9015" s="5"/>
      <c r="F9015" s="5" t="s">
        <v>9</v>
      </c>
      <c r="G9015" s="15" t="s">
        <v>9</v>
      </c>
      <c r="H9015" s="24">
        <f t="shared" si="1412"/>
        <v>0</v>
      </c>
      <c r="I9015" s="24" cm="1">
        <f t="array" ref="I9015">IFERROR(IF($B9015=I$1, ($A9015+$C9015) - MAX(IF($B$2:$B9014=$B9015, $A$2:$A9014+$C$2:$C9014)), "")*24*60, "")</f>
        <v>0</v>
      </c>
      <c r="J9015" s="24" t="str" cm="1">
        <f t="array" ref="J9015">IFERROR(IF($B9015=J$1, ($A9015+$C9015) - MAX(IF($B$2:$B9014=$B9015, $A$2:$A9014+$C$2:$C9014)), "")*24*60, "")</f>
        <v/>
      </c>
      <c r="K9015" s="24" t="str" cm="1">
        <f t="array" ref="K9015">IFERROR(IF($B9015=K$1, ($A9015+$C9015) - MAX(IF($B$2:$B9014=$B9015, $A$2:$A9014+$C$2:$C9014)), "")*24*60, "")</f>
        <v/>
      </c>
      <c r="L9015" s="24" t="str" cm="1">
        <f t="array" ref="L9015">IFERROR(IF($B9015=L$1, ($A9015+$C9015) - MAX(IF($B$2:$B9014=$B9015, $A$2:$A9014+$C$2:$C9014)), "")*24*60, "")</f>
        <v/>
      </c>
      <c r="M9015" s="24" t="str" cm="1">
        <f t="array" ref="M9015">IFERROR(IF($B9015=M$1, ($A9015+$C9015) - MAX(IF($B$2:$B9014=$B9015, $A$2:$A9014+$C$2:$C9014)), "")*24*60, "")</f>
        <v/>
      </c>
      <c r="N9015" s="24" t="str" cm="1">
        <f t="array" ref="N9015">IFERROR(IF($B9015=N$1, ($A9015+$C9015) - MAX(IF($B$2:$B9014=$B9015, $A$2:$A9014+$C$2:$C9014)), "")*24*60, "")</f>
        <v/>
      </c>
      <c r="O9015" s="24" t="str" cm="1">
        <f t="array" ref="O9015">IFERROR(IF($B9015=O$1, ($A9015+$C9015) - MAX(IF($B$2:$B9014=$B9015, $A$2:$A9014+$C$2:$C9014)), "")*24*60, "")</f>
        <v/>
      </c>
      <c r="P9015" s="24" t="str" cm="1">
        <f t="array" ref="P9015">IFERROR(IF($B9015=P$1, ($A9015+$C9015) - MAX(IF($B$2:$B9014=$B9015, $A$2:$A9014+$C$2:$C9014)), "")*24*60, "")</f>
        <v/>
      </c>
      <c r="Q9015" s="24" t="str" cm="1">
        <f t="array" ref="Q9015">IFERROR(IF($B9015=Q$1, ($A9015+$C9015) - MAX(IF($B$2:$B9014=$B9015, $A$2:$A9014+$C$2:$C9014)), "")*24*60, "")</f>
        <v/>
      </c>
      <c r="R9015" s="24" t="str" cm="1">
        <f t="array" ref="R9015">IFERROR(IF($B9015=R$1, ($A9015+$C9015) - MAX(IF($B$2:$B9014=$B9015, $A$2:$A9014+$C$2:$C9014)), "")*24*60, "")</f>
        <v/>
      </c>
      <c r="S9015" s="24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C9016" si="1448">A9015</f>
        <v>46041</v>
      </c>
      <c r="B9016" s="5" t="str">
        <f t="shared" si="1448"/>
        <v>Northern Cardinal</v>
      </c>
      <c r="C9016" s="6">
        <v>0.53402777777777777</v>
      </c>
      <c r="D9016" s="5"/>
      <c r="E9016" s="5"/>
      <c r="F9016" s="5" t="s">
        <v>9</v>
      </c>
      <c r="G9016" s="15" t="s">
        <v>9</v>
      </c>
      <c r="H9016" s="24">
        <f t="shared" si="1412"/>
        <v>1.000000003259629</v>
      </c>
      <c r="I9016" s="24" cm="1">
        <f t="array" ref="I9016">IFERROR(IF($B9016=I$1, ($A9016+$C9016) - MAX(IF($B$2:$B9015=$B9016, $A$2:$A9015+$C$2:$C9015)), "")*24*60, "")</f>
        <v>1.000000003259629</v>
      </c>
      <c r="J9016" s="24" t="str" cm="1">
        <f t="array" ref="J9016">IFERROR(IF($B9016=J$1, ($A9016+$C9016) - MAX(IF($B$2:$B9015=$B9016, $A$2:$A9015+$C$2:$C9015)), "")*24*60, "")</f>
        <v/>
      </c>
      <c r="K9016" s="24" t="str" cm="1">
        <f t="array" ref="K9016">IFERROR(IF($B9016=K$1, ($A9016+$C9016) - MAX(IF($B$2:$B9015=$B9016, $A$2:$A9015+$C$2:$C9015)), "")*24*60, "")</f>
        <v/>
      </c>
      <c r="L9016" s="24" t="str" cm="1">
        <f t="array" ref="L9016">IFERROR(IF($B9016=L$1, ($A9016+$C9016) - MAX(IF($B$2:$B9015=$B9016, $A$2:$A9015+$C$2:$C9015)), "")*24*60, "")</f>
        <v/>
      </c>
      <c r="M9016" s="24" t="str" cm="1">
        <f t="array" ref="M9016">IFERROR(IF($B9016=M$1, ($A9016+$C9016) - MAX(IF($B$2:$B9015=$B9016, $A$2:$A9015+$C$2:$C9015)), "")*24*60, "")</f>
        <v/>
      </c>
      <c r="N9016" s="24" t="str" cm="1">
        <f t="array" ref="N9016">IFERROR(IF($B9016=N$1, ($A9016+$C9016) - MAX(IF($B$2:$B9015=$B9016, $A$2:$A9015+$C$2:$C9015)), "")*24*60, "")</f>
        <v/>
      </c>
      <c r="O9016" s="24" t="str" cm="1">
        <f t="array" ref="O9016">IFERROR(IF($B9016=O$1, ($A9016+$C9016) - MAX(IF($B$2:$B9015=$B9016, $A$2:$A9015+$C$2:$C9015)), "")*24*60, "")</f>
        <v/>
      </c>
      <c r="P9016" s="24" t="str" cm="1">
        <f t="array" ref="P9016">IFERROR(IF($B9016=P$1, ($A9016+$C9016) - MAX(IF($B$2:$B9015=$B9016, $A$2:$A9015+$C$2:$C9015)), "")*24*60, "")</f>
        <v/>
      </c>
      <c r="Q9016" s="24" t="str" cm="1">
        <f t="array" ref="Q9016">IFERROR(IF($B9016=Q$1, ($A9016+$C9016) - MAX(IF($B$2:$B9015=$B9016, $A$2:$A9015+$C$2:$C9015)), "")*24*60, "")</f>
        <v/>
      </c>
      <c r="R9016" s="24" t="str" cm="1">
        <f t="array" ref="R9016">IFERROR(IF($B9016=R$1, ($A9016+$C9016) - MAX(IF($B$2:$B9015=$B9016, $A$2:$A9015+$C$2:$C9015)), "")*24*60, "")</f>
        <v/>
      </c>
      <c r="S9016" s="24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:C9017" si="1449">A9016</f>
        <v>46041</v>
      </c>
      <c r="B9017" s="5" t="s">
        <v>18</v>
      </c>
      <c r="C9017" s="6">
        <v>0.53402777777777777</v>
      </c>
      <c r="D9017" s="5"/>
      <c r="E9017" s="5"/>
      <c r="F9017" s="5" t="s">
        <v>9</v>
      </c>
      <c r="G9017" s="15" t="s">
        <v>9</v>
      </c>
      <c r="H9017" s="24">
        <f t="shared" si="1412"/>
        <v>0</v>
      </c>
      <c r="I9017" s="24" t="str" cm="1">
        <f t="array" ref="I9017">IFERROR(IF($B9017=I$1, ($A9017+$C9017) - MAX(IF($B$2:$B9016=$B9017, $A$2:$A9016+$C$2:$C9016)), "")*24*60, "")</f>
        <v/>
      </c>
      <c r="J9017" s="24" t="str" cm="1">
        <f t="array" ref="J9017">IFERROR(IF($B9017=J$1, ($A9017+$C9017) - MAX(IF($B$2:$B9016=$B9017, $A$2:$A9016+$C$2:$C9016)), "")*24*60, "")</f>
        <v/>
      </c>
      <c r="K9017" s="24" t="str" cm="1">
        <f t="array" ref="K9017">IFERROR(IF($B9017=K$1, ($A9017+$C9017) - MAX(IF($B$2:$B9016=$B9017, $A$2:$A9016+$C$2:$C9016)), "")*24*60, "")</f>
        <v/>
      </c>
      <c r="L9017" s="24" t="str" cm="1">
        <f t="array" ref="L9017">IFERROR(IF($B9017=L$1, ($A9017+$C9017) - MAX(IF($B$2:$B9016=$B9017, $A$2:$A9016+$C$2:$C9016)), "")*24*60, "")</f>
        <v/>
      </c>
      <c r="M9017" s="24" t="str" cm="1">
        <f t="array" ref="M9017">IFERROR(IF($B9017=M$1, ($A9017+$C9017) - MAX(IF($B$2:$B9016=$B9017, $A$2:$A9016+$C$2:$C9016)), "")*24*60, "")</f>
        <v/>
      </c>
      <c r="N9017" s="24" cm="1">
        <f t="array" ref="N9017">IFERROR(IF($B9017=N$1, ($A9017+$C9017) - MAX(IF($B$2:$B9016=$B9017, $A$2:$A9016+$C$2:$C9016)), "")*24*60, "")</f>
        <v>8.0000000051222742</v>
      </c>
      <c r="O9017" s="24" t="str" cm="1">
        <f t="array" ref="O9017">IFERROR(IF($B9017=O$1, ($A9017+$C9017) - MAX(IF($B$2:$B9016=$B9017, $A$2:$A9016+$C$2:$C9016)), "")*24*60, "")</f>
        <v/>
      </c>
      <c r="P9017" s="24" t="str" cm="1">
        <f t="array" ref="P9017">IFERROR(IF($B9017=P$1, ($A9017+$C9017) - MAX(IF($B$2:$B9016=$B9017, $A$2:$A9016+$C$2:$C9016)), "")*24*60, "")</f>
        <v/>
      </c>
      <c r="Q9017" s="24" t="str" cm="1">
        <f t="array" ref="Q9017">IFERROR(IF($B9017=Q$1, ($A9017+$C9017) - MAX(IF($B$2:$B9016=$B9017, $A$2:$A9016+$C$2:$C9016)), "")*24*60, "")</f>
        <v/>
      </c>
      <c r="R9017" s="24" t="str" cm="1">
        <f t="array" ref="R9017">IFERROR(IF($B9017=R$1, ($A9017+$C9017) - MAX(IF($B$2:$B9016=$B9017, $A$2:$A9016+$C$2:$C9016)), "")*24*60, "")</f>
        <v/>
      </c>
      <c r="S9017" s="24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C9018" si="1450">A9017</f>
        <v>46041</v>
      </c>
      <c r="B9018" s="5" t="str">
        <f t="shared" si="1450"/>
        <v>Red-bellied Woodpecker</v>
      </c>
      <c r="C9018" s="6">
        <v>0.53472222222222221</v>
      </c>
      <c r="D9018" s="5"/>
      <c r="E9018" s="5"/>
      <c r="F9018" s="5" t="s">
        <v>9</v>
      </c>
      <c r="G9018" s="15" t="s">
        <v>9</v>
      </c>
      <c r="H9018" s="24">
        <f t="shared" si="1412"/>
        <v>0.99999999278225005</v>
      </c>
      <c r="I9018" s="24" t="str" cm="1">
        <f t="array" ref="I9018">IFERROR(IF($B9018=I$1, ($A9018+$C9018) - MAX(IF($B$2:$B9017=$B9018, $A$2:$A9017+$C$2:$C9017)), "")*24*60, "")</f>
        <v/>
      </c>
      <c r="J9018" s="24" t="str" cm="1">
        <f t="array" ref="J9018">IFERROR(IF($B9018=J$1, ($A9018+$C9018) - MAX(IF($B$2:$B9017=$B9018, $A$2:$A9017+$C$2:$C9017)), "")*24*60, "")</f>
        <v/>
      </c>
      <c r="K9018" s="24" t="str" cm="1">
        <f t="array" ref="K9018">IFERROR(IF($B9018=K$1, ($A9018+$C9018) - MAX(IF($B$2:$B9017=$B9018, $A$2:$A9017+$C$2:$C9017)), "")*24*60, "")</f>
        <v/>
      </c>
      <c r="L9018" s="24" t="str" cm="1">
        <f t="array" ref="L9018">IFERROR(IF($B9018=L$1, ($A9018+$C9018) - MAX(IF($B$2:$B9017=$B9018, $A$2:$A9017+$C$2:$C9017)), "")*24*60, "")</f>
        <v/>
      </c>
      <c r="M9018" s="24" t="str" cm="1">
        <f t="array" ref="M9018">IFERROR(IF($B9018=M$1, ($A9018+$C9018) - MAX(IF($B$2:$B9017=$B9018, $A$2:$A9017+$C$2:$C9017)), "")*24*60, "")</f>
        <v/>
      </c>
      <c r="N9018" s="24" cm="1">
        <f t="array" ref="N9018">IFERROR(IF($B9018=N$1, ($A9018+$C9018) - MAX(IF($B$2:$B9017=$B9018, $A$2:$A9017+$C$2:$C9017)), "")*24*60, "")</f>
        <v>0.99999999278225005</v>
      </c>
      <c r="O9018" s="24" t="str" cm="1">
        <f t="array" ref="O9018">IFERROR(IF($B9018=O$1, ($A9018+$C9018) - MAX(IF($B$2:$B9017=$B9018, $A$2:$A9017+$C$2:$C9017)), "")*24*60, "")</f>
        <v/>
      </c>
      <c r="P9018" s="24" t="str" cm="1">
        <f t="array" ref="P9018">IFERROR(IF($B9018=P$1, ($A9018+$C9018) - MAX(IF($B$2:$B9017=$B9018, $A$2:$A9017+$C$2:$C9017)), "")*24*60, "")</f>
        <v/>
      </c>
      <c r="Q9018" s="24" t="str" cm="1">
        <f t="array" ref="Q9018">IFERROR(IF($B9018=Q$1, ($A9018+$C9018) - MAX(IF($B$2:$B9017=$B9018, $A$2:$A9017+$C$2:$C9017)), "")*24*60, "")</f>
        <v/>
      </c>
      <c r="R9018" s="24" t="str" cm="1">
        <f t="array" ref="R9018">IFERROR(IF($B9018=R$1, ($A9018+$C9018) - MAX(IF($B$2:$B9017=$B9018, $A$2:$A9017+$C$2:$C9017)), "")*24*60, "")</f>
        <v/>
      </c>
      <c r="S9018" s="24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5"/>
      <c r="E9019" s="5"/>
      <c r="F9019" s="5" t="s">
        <v>9</v>
      </c>
      <c r="G9019" s="15" t="s">
        <v>9</v>
      </c>
      <c r="H9019" s="24">
        <f t="shared" si="1412"/>
        <v>0</v>
      </c>
      <c r="I9019" s="24" t="str" cm="1">
        <f t="array" ref="I9019">IFERROR(IF($B9019=I$1, ($A9019+$C9019) - MAX(IF($B$2:$B9018=$B9019, $A$2:$A9018+$C$2:$C9018)), "")*24*60, "")</f>
        <v/>
      </c>
      <c r="J9019" s="24" t="str" cm="1">
        <f t="array" ref="J9019">IFERROR(IF($B9019=J$1, ($A9019+$C9019) - MAX(IF($B$2:$B9018=$B9019, $A$2:$A9018+$C$2:$C9018)), "")*24*60, "")</f>
        <v/>
      </c>
      <c r="K9019" s="24" t="str" cm="1">
        <f t="array" ref="K9019">IFERROR(IF($B9019=K$1, ($A9019+$C9019) - MAX(IF($B$2:$B9018=$B9019, $A$2:$A9018+$C$2:$C9018)), "")*24*60, "")</f>
        <v/>
      </c>
      <c r="L9019" s="24" t="str" cm="1">
        <f t="array" ref="L9019">IFERROR(IF($B9019=L$1, ($A9019+$C9019) - MAX(IF($B$2:$B9018=$B9019, $A$2:$A9018+$C$2:$C9018)), "")*24*60, "")</f>
        <v/>
      </c>
      <c r="M9019" s="24" t="str" cm="1">
        <f t="array" ref="M9019">IFERROR(IF($B9019=M$1, ($A9019+$C9019) - MAX(IF($B$2:$B9018=$B9019, $A$2:$A9018+$C$2:$C9018)), "")*24*60, "")</f>
        <v/>
      </c>
      <c r="N9019" s="24" cm="1">
        <f t="array" ref="N9019">IFERROR(IF($B9019=N$1, ($A9019+$C9019) - MAX(IF($B$2:$B9018=$B9019, $A$2:$A9018+$C$2:$C9018)), "")*24*60, "")</f>
        <v>0</v>
      </c>
      <c r="O9019" s="24" t="str" cm="1">
        <f t="array" ref="O9019">IFERROR(IF($B9019=O$1, ($A9019+$C9019) - MAX(IF($B$2:$B9018=$B9019, $A$2:$A9018+$C$2:$C9018)), "")*24*60, "")</f>
        <v/>
      </c>
      <c r="P9019" s="24" t="str" cm="1">
        <f t="array" ref="P9019">IFERROR(IF($B9019=P$1, ($A9019+$C9019) - MAX(IF($B$2:$B9018=$B9019, $A$2:$A9018+$C$2:$C9018)), "")*24*60, "")</f>
        <v/>
      </c>
      <c r="Q9019" s="24" t="str" cm="1">
        <f t="array" ref="Q9019">IFERROR(IF($B9019=Q$1, ($A9019+$C9019) - MAX(IF($B$2:$B9018=$B9019, $A$2:$A9018+$C$2:$C9018)), "")*24*60, "")</f>
        <v/>
      </c>
      <c r="R9019" s="24" t="str" cm="1">
        <f t="array" ref="R9019">IFERROR(IF($B9019=R$1, ($A9019+$C9019) - MAX(IF($B$2:$B9018=$B9019, $A$2:$A9018+$C$2:$C9018)), "")*24*60, "")</f>
        <v/>
      </c>
      <c r="S9019" s="24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C9020" si="1452">A9019</f>
        <v>46041</v>
      </c>
      <c r="B9020" s="5" t="str">
        <f t="shared" si="1452"/>
        <v>Red-bellied Woodpecker</v>
      </c>
      <c r="C9020" s="6">
        <v>0.61111111111111116</v>
      </c>
      <c r="D9020" s="5"/>
      <c r="E9020" s="5"/>
      <c r="F9020" s="5" t="s">
        <v>9</v>
      </c>
      <c r="G9020" s="15" t="s">
        <v>9</v>
      </c>
      <c r="H9020" s="24">
        <f t="shared" si="1412"/>
        <v>110.00000000232831</v>
      </c>
      <c r="I9020" s="24" t="str" cm="1">
        <f t="array" ref="I9020">IFERROR(IF($B9020=I$1, ($A9020+$C9020) - MAX(IF($B$2:$B9019=$B9020, $A$2:$A9019+$C$2:$C9019)), "")*24*60, "")</f>
        <v/>
      </c>
      <c r="J9020" s="24" t="str" cm="1">
        <f t="array" ref="J9020">IFERROR(IF($B9020=J$1, ($A9020+$C9020) - MAX(IF($B$2:$B9019=$B9020, $A$2:$A9019+$C$2:$C9019)), "")*24*60, "")</f>
        <v/>
      </c>
      <c r="K9020" s="24" t="str" cm="1">
        <f t="array" ref="K9020">IFERROR(IF($B9020=K$1, ($A9020+$C9020) - MAX(IF($B$2:$B9019=$B9020, $A$2:$A9019+$C$2:$C9019)), "")*24*60, "")</f>
        <v/>
      </c>
      <c r="L9020" s="24" t="str" cm="1">
        <f t="array" ref="L9020">IFERROR(IF($B9020=L$1, ($A9020+$C9020) - MAX(IF($B$2:$B9019=$B9020, $A$2:$A9019+$C$2:$C9019)), "")*24*60, "")</f>
        <v/>
      </c>
      <c r="M9020" s="24" t="str" cm="1">
        <f t="array" ref="M9020">IFERROR(IF($B9020=M$1, ($A9020+$C9020) - MAX(IF($B$2:$B9019=$B9020, $A$2:$A9019+$C$2:$C9019)), "")*24*60, "")</f>
        <v/>
      </c>
      <c r="N9020" s="24" cm="1">
        <f t="array" ref="N9020">IFERROR(IF($B9020=N$1, ($A9020+$C9020) - MAX(IF($B$2:$B9019=$B9020, $A$2:$A9019+$C$2:$C9019)), "")*24*60, "")</f>
        <v>110.00000000232831</v>
      </c>
      <c r="O9020" s="24" t="str" cm="1">
        <f t="array" ref="O9020">IFERROR(IF($B9020=O$1, ($A9020+$C9020) - MAX(IF($B$2:$B9019=$B9020, $A$2:$A9019+$C$2:$C9019)), "")*24*60, "")</f>
        <v/>
      </c>
      <c r="P9020" s="24" t="str" cm="1">
        <f t="array" ref="P9020">IFERROR(IF($B9020=P$1, ($A9020+$C9020) - MAX(IF($B$2:$B9019=$B9020, $A$2:$A9019+$C$2:$C9019)), "")*24*60, "")</f>
        <v/>
      </c>
      <c r="Q9020" s="24" t="str" cm="1">
        <f t="array" ref="Q9020">IFERROR(IF($B9020=Q$1, ($A9020+$C9020) - MAX(IF($B$2:$B9019=$B9020, $A$2:$A9019+$C$2:$C9019)), "")*24*60, "")</f>
        <v/>
      </c>
      <c r="R9020" s="24" t="str" cm="1">
        <f t="array" ref="R9020">IFERROR(IF($B9020=R$1, ($A9020+$C9020) - MAX(IF($B$2:$B9019=$B9020, $A$2:$A9019+$C$2:$C9019)), "")*24*60, "")</f>
        <v/>
      </c>
      <c r="S9020" s="24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C9021" si="1453">A9020</f>
        <v>46041</v>
      </c>
      <c r="B9021" s="5" t="str">
        <f t="shared" si="1453"/>
        <v>Red-bellied Woodpecker</v>
      </c>
      <c r="C9021" s="6">
        <v>0.6118055555555556</v>
      </c>
      <c r="D9021" s="5"/>
      <c r="E9021" s="5"/>
      <c r="F9021" s="5" t="s">
        <v>9</v>
      </c>
      <c r="G9021" s="15" t="s">
        <v>9</v>
      </c>
      <c r="H9021" s="24">
        <f t="shared" si="1412"/>
        <v>1.000000003259629</v>
      </c>
      <c r="I9021" s="24" t="str" cm="1">
        <f t="array" ref="I9021">IFERROR(IF($B9021=I$1, ($A9021+$C9021) - MAX(IF($B$2:$B9020=$B9021, $A$2:$A9020+$C$2:$C9020)), "")*24*60, "")</f>
        <v/>
      </c>
      <c r="J9021" s="24" t="str" cm="1">
        <f t="array" ref="J9021">IFERROR(IF($B9021=J$1, ($A9021+$C9021) - MAX(IF($B$2:$B9020=$B9021, $A$2:$A9020+$C$2:$C9020)), "")*24*60, "")</f>
        <v/>
      </c>
      <c r="K9021" s="24" t="str" cm="1">
        <f t="array" ref="K9021">IFERROR(IF($B9021=K$1, ($A9021+$C9021) - MAX(IF($B$2:$B9020=$B9021, $A$2:$A9020+$C$2:$C9020)), "")*24*60, "")</f>
        <v/>
      </c>
      <c r="L9021" s="24" t="str" cm="1">
        <f t="array" ref="L9021">IFERROR(IF($B9021=L$1, ($A9021+$C9021) - MAX(IF($B$2:$B9020=$B9021, $A$2:$A9020+$C$2:$C9020)), "")*24*60, "")</f>
        <v/>
      </c>
      <c r="M9021" s="24" t="str" cm="1">
        <f t="array" ref="M9021">IFERROR(IF($B9021=M$1, ($A9021+$C9021) - MAX(IF($B$2:$B9020=$B9021, $A$2:$A9020+$C$2:$C9020)), "")*24*60, "")</f>
        <v/>
      </c>
      <c r="N9021" s="24" cm="1">
        <f t="array" ref="N9021">IFERROR(IF($B9021=N$1, ($A9021+$C9021) - MAX(IF($B$2:$B9020=$B9021, $A$2:$A9020+$C$2:$C9020)), "")*24*60, "")</f>
        <v>1.000000003259629</v>
      </c>
      <c r="O9021" s="24" t="str" cm="1">
        <f t="array" ref="O9021">IFERROR(IF($B9021=O$1, ($A9021+$C9021) - MAX(IF($B$2:$B9020=$B9021, $A$2:$A9020+$C$2:$C9020)), "")*24*60, "")</f>
        <v/>
      </c>
      <c r="P9021" s="24" t="str" cm="1">
        <f t="array" ref="P9021">IFERROR(IF($B9021=P$1, ($A9021+$C9021) - MAX(IF($B$2:$B9020=$B9021, $A$2:$A9020+$C$2:$C9020)), "")*24*60, "")</f>
        <v/>
      </c>
      <c r="Q9021" s="24" t="str" cm="1">
        <f t="array" ref="Q9021">IFERROR(IF($B9021=Q$1, ($A9021+$C9021) - MAX(IF($B$2:$B9020=$B9021, $A$2:$A9020+$C$2:$C9020)), "")*24*60, "")</f>
        <v/>
      </c>
      <c r="R9021" s="24" t="str" cm="1">
        <f t="array" ref="R9021">IFERROR(IF($B9021=R$1, ($A9021+$C9021) - MAX(IF($B$2:$B9020=$B9021, $A$2:$A9020+$C$2:$C9020)), "")*24*60, "")</f>
        <v/>
      </c>
      <c r="S9021" s="24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C9022" si="1454">A9021</f>
        <v>46041</v>
      </c>
      <c r="B9022" s="5" t="str">
        <f t="shared" si="1454"/>
        <v>Red-bellied Woodpecker</v>
      </c>
      <c r="C9022" s="6">
        <v>0.61250000000000004</v>
      </c>
      <c r="D9022" s="5"/>
      <c r="E9022" s="5"/>
      <c r="F9022" s="5" t="s">
        <v>9</v>
      </c>
      <c r="G9022" s="15" t="s">
        <v>9</v>
      </c>
      <c r="H9022" s="24">
        <f t="shared" si="1412"/>
        <v>1.000000003259629</v>
      </c>
      <c r="I9022" s="24" t="str" cm="1">
        <f t="array" ref="I9022">IFERROR(IF($B9022=I$1, ($A9022+$C9022) - MAX(IF($B$2:$B9021=$B9022, $A$2:$A9021+$C$2:$C9021)), "")*24*60, "")</f>
        <v/>
      </c>
      <c r="J9022" s="24" t="str" cm="1">
        <f t="array" ref="J9022">IFERROR(IF($B9022=J$1, ($A9022+$C9022) - MAX(IF($B$2:$B9021=$B9022, $A$2:$A9021+$C$2:$C9021)), "")*24*60, "")</f>
        <v/>
      </c>
      <c r="K9022" s="24" t="str" cm="1">
        <f t="array" ref="K9022">IFERROR(IF($B9022=K$1, ($A9022+$C9022) - MAX(IF($B$2:$B9021=$B9022, $A$2:$A9021+$C$2:$C9021)), "")*24*60, "")</f>
        <v/>
      </c>
      <c r="L9022" s="24" t="str" cm="1">
        <f t="array" ref="L9022">IFERROR(IF($B9022=L$1, ($A9022+$C9022) - MAX(IF($B$2:$B9021=$B9022, $A$2:$A9021+$C$2:$C9021)), "")*24*60, "")</f>
        <v/>
      </c>
      <c r="M9022" s="24" t="str" cm="1">
        <f t="array" ref="M9022">IFERROR(IF($B9022=M$1, ($A9022+$C9022) - MAX(IF($B$2:$B9021=$B9022, $A$2:$A9021+$C$2:$C9021)), "")*24*60, "")</f>
        <v/>
      </c>
      <c r="N9022" s="24" cm="1">
        <f t="array" ref="N9022">IFERROR(IF($B9022=N$1, ($A9022+$C9022) - MAX(IF($B$2:$B9021=$B9022, $A$2:$A9021+$C$2:$C9021)), "")*24*60, "")</f>
        <v>1.000000003259629</v>
      </c>
      <c r="O9022" s="24" t="str" cm="1">
        <f t="array" ref="O9022">IFERROR(IF($B9022=O$1, ($A9022+$C9022) - MAX(IF($B$2:$B9021=$B9022, $A$2:$A9021+$C$2:$C9021)), "")*24*60, "")</f>
        <v/>
      </c>
      <c r="P9022" s="24" t="str" cm="1">
        <f t="array" ref="P9022">IFERROR(IF($B9022=P$1, ($A9022+$C9022) - MAX(IF($B$2:$B9021=$B9022, $A$2:$A9021+$C$2:$C9021)), "")*24*60, "")</f>
        <v/>
      </c>
      <c r="Q9022" s="24" t="str" cm="1">
        <f t="array" ref="Q9022">IFERROR(IF($B9022=Q$1, ($A9022+$C9022) - MAX(IF($B$2:$B9021=$B9022, $A$2:$A9021+$C$2:$C9021)), "")*24*60, "")</f>
        <v/>
      </c>
      <c r="R9022" s="24" t="str" cm="1">
        <f t="array" ref="R9022">IFERROR(IF($B9022=R$1, ($A9022+$C9022) - MAX(IF($B$2:$B9021=$B9022, $A$2:$A9021+$C$2:$C9021)), "")*24*60, "")</f>
        <v/>
      </c>
      <c r="S9022" s="24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5"/>
      <c r="E9023" s="5"/>
      <c r="F9023" s="5" t="s">
        <v>9</v>
      </c>
      <c r="G9023" s="15" t="s">
        <v>9</v>
      </c>
      <c r="H9023" s="24">
        <f t="shared" si="1412"/>
        <v>0</v>
      </c>
      <c r="I9023" s="24" t="str" cm="1">
        <f t="array" ref="I9023">IFERROR(IF($B9023=I$1, ($A9023+$C9023) - MAX(IF($B$2:$B9022=$B9023, $A$2:$A9022+$C$2:$C9022)), "")*24*60, "")</f>
        <v/>
      </c>
      <c r="J9023" s="24" t="str" cm="1">
        <f t="array" ref="J9023">IFERROR(IF($B9023=J$1, ($A9023+$C9023) - MAX(IF($B$2:$B9022=$B9023, $A$2:$A9022+$C$2:$C9022)), "")*24*60, "")</f>
        <v/>
      </c>
      <c r="K9023" s="24" t="str" cm="1">
        <f t="array" ref="K9023">IFERROR(IF($B9023=K$1, ($A9023+$C9023) - MAX(IF($B$2:$B9022=$B9023, $A$2:$A9022+$C$2:$C9022)), "")*24*60, "")</f>
        <v/>
      </c>
      <c r="L9023" s="24" t="str" cm="1">
        <f t="array" ref="L9023">IFERROR(IF($B9023=L$1, ($A9023+$C9023) - MAX(IF($B$2:$B9022=$B9023, $A$2:$A9022+$C$2:$C9022)), "")*24*60, "")</f>
        <v/>
      </c>
      <c r="M9023" s="24" t="str" cm="1">
        <f t="array" ref="M9023">IFERROR(IF($B9023=M$1, ($A9023+$C9023) - MAX(IF($B$2:$B9022=$B9023, $A$2:$A9022+$C$2:$C9022)), "")*24*60, "")</f>
        <v/>
      </c>
      <c r="N9023" s="24" cm="1">
        <f t="array" ref="N9023">IFERROR(IF($B9023=N$1, ($A9023+$C9023) - MAX(IF($B$2:$B9022=$B9023, $A$2:$A9022+$C$2:$C9022)), "")*24*60, "")</f>
        <v>0</v>
      </c>
      <c r="O9023" s="24" t="str" cm="1">
        <f t="array" ref="O9023">IFERROR(IF($B9023=O$1, ($A9023+$C9023) - MAX(IF($B$2:$B9022=$B9023, $A$2:$A9022+$C$2:$C9022)), "")*24*60, "")</f>
        <v/>
      </c>
      <c r="P9023" s="24" t="str" cm="1">
        <f t="array" ref="P9023">IFERROR(IF($B9023=P$1, ($A9023+$C9023) - MAX(IF($B$2:$B9022=$B9023, $A$2:$A9022+$C$2:$C9022)), "")*24*60, "")</f>
        <v/>
      </c>
      <c r="Q9023" s="24" t="str" cm="1">
        <f t="array" ref="Q9023">IFERROR(IF($B9023=Q$1, ($A9023+$C9023) - MAX(IF($B$2:$B9022=$B9023, $A$2:$A9022+$C$2:$C9022)), "")*24*60, "")</f>
        <v/>
      </c>
      <c r="R9023" s="24" t="str" cm="1">
        <f t="array" ref="R9023">IFERROR(IF($B9023=R$1, ($A9023+$C9023) - MAX(IF($B$2:$B9022=$B9023, $A$2:$A9022+$C$2:$C9022)), "")*24*60, "")</f>
        <v/>
      </c>
      <c r="S9023" s="24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C9024" si="1456">A9023</f>
        <v>46041</v>
      </c>
      <c r="B9024" s="5" t="str">
        <f t="shared" si="1456"/>
        <v>Red-bellied Woodpecker</v>
      </c>
      <c r="C9024" s="6">
        <v>0.61319444444444449</v>
      </c>
      <c r="D9024" s="5"/>
      <c r="E9024" s="5"/>
      <c r="F9024" s="5" t="s">
        <v>9</v>
      </c>
      <c r="G9024" s="15" t="s">
        <v>9</v>
      </c>
      <c r="H9024" s="24">
        <f t="shared" si="1412"/>
        <v>0.99999999278225005</v>
      </c>
      <c r="I9024" s="24" t="str" cm="1">
        <f t="array" ref="I9024">IFERROR(IF($B9024=I$1, ($A9024+$C9024) - MAX(IF($B$2:$B9023=$B9024, $A$2:$A9023+$C$2:$C9023)), "")*24*60, "")</f>
        <v/>
      </c>
      <c r="J9024" s="24" t="str" cm="1">
        <f t="array" ref="J9024">IFERROR(IF($B9024=J$1, ($A9024+$C9024) - MAX(IF($B$2:$B9023=$B9024, $A$2:$A9023+$C$2:$C9023)), "")*24*60, "")</f>
        <v/>
      </c>
      <c r="K9024" s="24" t="str" cm="1">
        <f t="array" ref="K9024">IFERROR(IF($B9024=K$1, ($A9024+$C9024) - MAX(IF($B$2:$B9023=$B9024, $A$2:$A9023+$C$2:$C9023)), "")*24*60, "")</f>
        <v/>
      </c>
      <c r="L9024" s="24" t="str" cm="1">
        <f t="array" ref="L9024">IFERROR(IF($B9024=L$1, ($A9024+$C9024) - MAX(IF($B$2:$B9023=$B9024, $A$2:$A9023+$C$2:$C9023)), "")*24*60, "")</f>
        <v/>
      </c>
      <c r="M9024" s="24" t="str" cm="1">
        <f t="array" ref="M9024">IFERROR(IF($B9024=M$1, ($A9024+$C9024) - MAX(IF($B$2:$B9023=$B9024, $A$2:$A9023+$C$2:$C9023)), "")*24*60, "")</f>
        <v/>
      </c>
      <c r="N9024" s="24" cm="1">
        <f t="array" ref="N9024">IFERROR(IF($B9024=N$1, ($A9024+$C9024) - MAX(IF($B$2:$B9023=$B9024, $A$2:$A9023+$C$2:$C9023)), "")*24*60, "")</f>
        <v>0.99999999278225005</v>
      </c>
      <c r="O9024" s="24" t="str" cm="1">
        <f t="array" ref="O9024">IFERROR(IF($B9024=O$1, ($A9024+$C9024) - MAX(IF($B$2:$B9023=$B9024, $A$2:$A9023+$C$2:$C9023)), "")*24*60, "")</f>
        <v/>
      </c>
      <c r="P9024" s="24" t="str" cm="1">
        <f t="array" ref="P9024">IFERROR(IF($B9024=P$1, ($A9024+$C9024) - MAX(IF($B$2:$B9023=$B9024, $A$2:$A9023+$C$2:$C9023)), "")*24*60, "")</f>
        <v/>
      </c>
      <c r="Q9024" s="24" t="str" cm="1">
        <f t="array" ref="Q9024">IFERROR(IF($B9024=Q$1, ($A9024+$C9024) - MAX(IF($B$2:$B9023=$B9024, $A$2:$A9023+$C$2:$C9023)), "")*24*60, "")</f>
        <v/>
      </c>
      <c r="R9024" s="24" t="str" cm="1">
        <f t="array" ref="R9024">IFERROR(IF($B9024=R$1, ($A9024+$C9024) - MAX(IF($B$2:$B9023=$B9024, $A$2:$A9023+$C$2:$C9023)), "")*24*60, "")</f>
        <v/>
      </c>
      <c r="S9024" s="24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C9025" si="1457">A9024</f>
        <v>46041</v>
      </c>
      <c r="B9025" s="5" t="str">
        <f t="shared" si="1457"/>
        <v>Red-bellied Woodpecker</v>
      </c>
      <c r="C9025" s="6">
        <v>0.62291666666666667</v>
      </c>
      <c r="D9025" s="5"/>
      <c r="E9025" s="5"/>
      <c r="F9025" s="5" t="s">
        <v>9</v>
      </c>
      <c r="G9025" s="15" t="s">
        <v>9</v>
      </c>
      <c r="H9025" s="24">
        <f t="shared" si="1412"/>
        <v>14.00000000372529</v>
      </c>
      <c r="I9025" s="24" t="str" cm="1">
        <f t="array" ref="I9025">IFERROR(IF($B9025=I$1, ($A9025+$C9025) - MAX(IF($B$2:$B9024=$B9025, $A$2:$A9024+$C$2:$C9024)), "")*24*60, "")</f>
        <v/>
      </c>
      <c r="J9025" s="24" t="str" cm="1">
        <f t="array" ref="J9025">IFERROR(IF($B9025=J$1, ($A9025+$C9025) - MAX(IF($B$2:$B9024=$B9025, $A$2:$A9024+$C$2:$C9024)), "")*24*60, "")</f>
        <v/>
      </c>
      <c r="K9025" s="24" t="str" cm="1">
        <f t="array" ref="K9025">IFERROR(IF($B9025=K$1, ($A9025+$C9025) - MAX(IF($B$2:$B9024=$B9025, $A$2:$A9024+$C$2:$C9024)), "")*24*60, "")</f>
        <v/>
      </c>
      <c r="L9025" s="24" t="str" cm="1">
        <f t="array" ref="L9025">IFERROR(IF($B9025=L$1, ($A9025+$C9025) - MAX(IF($B$2:$B9024=$B9025, $A$2:$A9024+$C$2:$C9024)), "")*24*60, "")</f>
        <v/>
      </c>
      <c r="M9025" s="24" t="str" cm="1">
        <f t="array" ref="M9025">IFERROR(IF($B9025=M$1, ($A9025+$C9025) - MAX(IF($B$2:$B9024=$B9025, $A$2:$A9024+$C$2:$C9024)), "")*24*60, "")</f>
        <v/>
      </c>
      <c r="N9025" s="24" cm="1">
        <f t="array" ref="N9025">IFERROR(IF($B9025=N$1, ($A9025+$C9025) - MAX(IF($B$2:$B9024=$B9025, $A$2:$A9024+$C$2:$C9024)), "")*24*60, "")</f>
        <v>14.00000000372529</v>
      </c>
      <c r="O9025" s="24" t="str" cm="1">
        <f t="array" ref="O9025">IFERROR(IF($B9025=O$1, ($A9025+$C9025) - MAX(IF($B$2:$B9024=$B9025, $A$2:$A9024+$C$2:$C9024)), "")*24*60, "")</f>
        <v/>
      </c>
      <c r="P9025" s="24" t="str" cm="1">
        <f t="array" ref="P9025">IFERROR(IF($B9025=P$1, ($A9025+$C9025) - MAX(IF($B$2:$B9024=$B9025, $A$2:$A9024+$C$2:$C9024)), "")*24*60, "")</f>
        <v/>
      </c>
      <c r="Q9025" s="24" t="str" cm="1">
        <f t="array" ref="Q9025">IFERROR(IF($B9025=Q$1, ($A9025+$C9025) - MAX(IF($B$2:$B9024=$B9025, $A$2:$A9024+$C$2:$C9024)), "")*24*60, "")</f>
        <v/>
      </c>
      <c r="R9025" s="24" t="str" cm="1">
        <f t="array" ref="R9025">IFERROR(IF($B9025=R$1, ($A9025+$C9025) - MAX(IF($B$2:$B9024=$B9025, $A$2:$A9024+$C$2:$C9024)), "")*24*60, "")</f>
        <v/>
      </c>
      <c r="S9025" s="24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5"/>
      <c r="E9026" s="5"/>
      <c r="F9026" s="5" t="s">
        <v>9</v>
      </c>
      <c r="G9026" s="15" t="s">
        <v>9</v>
      </c>
      <c r="H9026" s="24">
        <f t="shared" si="1412"/>
        <v>0</v>
      </c>
      <c r="I9026" s="24" t="str" cm="1">
        <f t="array" ref="I9026">IFERROR(IF($B9026=I$1, ($A9026+$C9026) - MAX(IF($B$2:$B9025=$B9026, $A$2:$A9025+$C$2:$C9025)), "")*24*60, "")</f>
        <v/>
      </c>
      <c r="J9026" s="24" t="str" cm="1">
        <f t="array" ref="J9026">IFERROR(IF($B9026=J$1, ($A9026+$C9026) - MAX(IF($B$2:$B9025=$B9026, $A$2:$A9025+$C$2:$C9025)), "")*24*60, "")</f>
        <v/>
      </c>
      <c r="K9026" s="24" t="str" cm="1">
        <f t="array" ref="K9026">IFERROR(IF($B9026=K$1, ($A9026+$C9026) - MAX(IF($B$2:$B9025=$B9026, $A$2:$A9025+$C$2:$C9025)), "")*24*60, "")</f>
        <v/>
      </c>
      <c r="L9026" s="24" t="str" cm="1">
        <f t="array" ref="L9026">IFERROR(IF($B9026=L$1, ($A9026+$C9026) - MAX(IF($B$2:$B9025=$B9026, $A$2:$A9025+$C$2:$C9025)), "")*24*60, "")</f>
        <v/>
      </c>
      <c r="M9026" s="24" t="str" cm="1">
        <f t="array" ref="M9026">IFERROR(IF($B9026=M$1, ($A9026+$C9026) - MAX(IF($B$2:$B9025=$B9026, $A$2:$A9025+$C$2:$C9025)), "")*24*60, "")</f>
        <v/>
      </c>
      <c r="N9026" s="24" cm="1">
        <f t="array" ref="N9026">IFERROR(IF($B9026=N$1, ($A9026+$C9026) - MAX(IF($B$2:$B9025=$B9026, $A$2:$A9025+$C$2:$C9025)), "")*24*60, "")</f>
        <v>0</v>
      </c>
      <c r="O9026" s="24" t="str" cm="1">
        <f t="array" ref="O9026">IFERROR(IF($B9026=O$1, ($A9026+$C9026) - MAX(IF($B$2:$B9025=$B9026, $A$2:$A9025+$C$2:$C9025)), "")*24*60, "")</f>
        <v/>
      </c>
      <c r="P9026" s="24" t="str" cm="1">
        <f t="array" ref="P9026">IFERROR(IF($B9026=P$1, ($A9026+$C9026) - MAX(IF($B$2:$B9025=$B9026, $A$2:$A9025+$C$2:$C9025)), "")*24*60, "")</f>
        <v/>
      </c>
      <c r="Q9026" s="24" t="str" cm="1">
        <f t="array" ref="Q9026">IFERROR(IF($B9026=Q$1, ($A9026+$C9026) - MAX(IF($B$2:$B9025=$B9026, $A$2:$A9025+$C$2:$C9025)), "")*24*60, "")</f>
        <v/>
      </c>
      <c r="R9026" s="24" t="str" cm="1">
        <f t="array" ref="R9026">IFERROR(IF($B9026=R$1, ($A9026+$C9026) - MAX(IF($B$2:$B9025=$B9026, $A$2:$A9025+$C$2:$C9025)), "")*24*60, "")</f>
        <v/>
      </c>
      <c r="S9026" s="24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:C9027" si="1459">A9026</f>
        <v>46041</v>
      </c>
      <c r="B9027" s="5" t="s">
        <v>3</v>
      </c>
      <c r="C9027" s="6">
        <v>0.62361111111111112</v>
      </c>
      <c r="D9027" s="5"/>
      <c r="E9027" s="5"/>
      <c r="F9027" s="5" t="s">
        <v>9</v>
      </c>
      <c r="G9027" s="15" t="s">
        <v>9</v>
      </c>
      <c r="H9027" s="24">
        <f t="shared" si="1412"/>
        <v>1.000000003259629</v>
      </c>
      <c r="I9027" s="24" cm="1">
        <f t="array" ref="I9027">IFERROR(IF($B9027=I$1, ($A9027+$C9027) - MAX(IF($B$2:$B9026=$B9027, $A$2:$A9026+$C$2:$C9026)), "")*24*60, "")</f>
        <v>129.00000000139698</v>
      </c>
      <c r="J9027" s="24" t="str" cm="1">
        <f t="array" ref="J9027">IFERROR(IF($B9027=J$1, ($A9027+$C9027) - MAX(IF($B$2:$B9026=$B9027, $A$2:$A9026+$C$2:$C9026)), "")*24*60, "")</f>
        <v/>
      </c>
      <c r="K9027" s="24" t="str" cm="1">
        <f t="array" ref="K9027">IFERROR(IF($B9027=K$1, ($A9027+$C9027) - MAX(IF($B$2:$B9026=$B9027, $A$2:$A9026+$C$2:$C9026)), "")*24*60, "")</f>
        <v/>
      </c>
      <c r="L9027" s="24" t="str" cm="1">
        <f t="array" ref="L9027">IFERROR(IF($B9027=L$1, ($A9027+$C9027) - MAX(IF($B$2:$B9026=$B9027, $A$2:$A9026+$C$2:$C9026)), "")*24*60, "")</f>
        <v/>
      </c>
      <c r="M9027" s="24" t="str" cm="1">
        <f t="array" ref="M9027">IFERROR(IF($B9027=M$1, ($A9027+$C9027) - MAX(IF($B$2:$B9026=$B9027, $A$2:$A9026+$C$2:$C9026)), "")*24*60, "")</f>
        <v/>
      </c>
      <c r="N9027" s="24" t="str" cm="1">
        <f t="array" ref="N9027">IFERROR(IF($B9027=N$1, ($A9027+$C9027) - MAX(IF($B$2:$B9026=$B9027, $A$2:$A9026+$C$2:$C9026)), "")*24*60, "")</f>
        <v/>
      </c>
      <c r="O9027" s="24" t="str" cm="1">
        <f t="array" ref="O9027">IFERROR(IF($B9027=O$1, ($A9027+$C9027) - MAX(IF($B$2:$B9026=$B9027, $A$2:$A9026+$C$2:$C9026)), "")*24*60, "")</f>
        <v/>
      </c>
      <c r="P9027" s="24" t="str" cm="1">
        <f t="array" ref="P9027">IFERROR(IF($B9027=P$1, ($A9027+$C9027) - MAX(IF($B$2:$B9026=$B9027, $A$2:$A9026+$C$2:$C9026)), "")*24*60, "")</f>
        <v/>
      </c>
      <c r="Q9027" s="24" t="str" cm="1">
        <f t="array" ref="Q9027">IFERROR(IF($B9027=Q$1, ($A9027+$C9027) - MAX(IF($B$2:$B9026=$B9027, $A$2:$A9026+$C$2:$C9026)), "")*24*60, "")</f>
        <v/>
      </c>
      <c r="R9027" s="24" t="str" cm="1">
        <f t="array" ref="R9027">IFERROR(IF($B9027=R$1, ($A9027+$C9027) - MAX(IF($B$2:$B9026=$B9027, $A$2:$A9026+$C$2:$C9026)), "")*24*60, "")</f>
        <v/>
      </c>
      <c r="S9027" s="24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5"/>
      <c r="E9028" s="5"/>
      <c r="F9028" s="5" t="s">
        <v>9</v>
      </c>
      <c r="G9028" s="15" t="s">
        <v>9</v>
      </c>
      <c r="H9028" s="24">
        <f t="shared" si="1412"/>
        <v>0</v>
      </c>
      <c r="I9028" s="24" cm="1">
        <f t="array" ref="I9028">IFERROR(IF($B9028=I$1, ($A9028+$C9028) - MAX(IF($B$2:$B9027=$B9028, $A$2:$A9027+$C$2:$C9027)), "")*24*60, "")</f>
        <v>0</v>
      </c>
      <c r="J9028" s="24" t="str" cm="1">
        <f t="array" ref="J9028">IFERROR(IF($B9028=J$1, ($A9028+$C9028) - MAX(IF($B$2:$B9027=$B9028, $A$2:$A9027+$C$2:$C9027)), "")*24*60, "")</f>
        <v/>
      </c>
      <c r="K9028" s="24" t="str" cm="1">
        <f t="array" ref="K9028">IFERROR(IF($B9028=K$1, ($A9028+$C9028) - MAX(IF($B$2:$B9027=$B9028, $A$2:$A9027+$C$2:$C9027)), "")*24*60, "")</f>
        <v/>
      </c>
      <c r="L9028" s="24" t="str" cm="1">
        <f t="array" ref="L9028">IFERROR(IF($B9028=L$1, ($A9028+$C9028) - MAX(IF($B$2:$B9027=$B9028, $A$2:$A9027+$C$2:$C9027)), "")*24*60, "")</f>
        <v/>
      </c>
      <c r="M9028" s="24" t="str" cm="1">
        <f t="array" ref="M9028">IFERROR(IF($B9028=M$1, ($A9028+$C9028) - MAX(IF($B$2:$B9027=$B9028, $A$2:$A9027+$C$2:$C9027)), "")*24*60, "")</f>
        <v/>
      </c>
      <c r="N9028" s="24" t="str" cm="1">
        <f t="array" ref="N9028">IFERROR(IF($B9028=N$1, ($A9028+$C9028) - MAX(IF($B$2:$B9027=$B9028, $A$2:$A9027+$C$2:$C9027)), "")*24*60, "")</f>
        <v/>
      </c>
      <c r="O9028" s="24" t="str" cm="1">
        <f t="array" ref="O9028">IFERROR(IF($B9028=O$1, ($A9028+$C9028) - MAX(IF($B$2:$B9027=$B9028, $A$2:$A9027+$C$2:$C9027)), "")*24*60, "")</f>
        <v/>
      </c>
      <c r="P9028" s="24" t="str" cm="1">
        <f t="array" ref="P9028">IFERROR(IF($B9028=P$1, ($A9028+$C9028) - MAX(IF($B$2:$B9027=$B9028, $A$2:$A9027+$C$2:$C9027)), "")*24*60, "")</f>
        <v/>
      </c>
      <c r="Q9028" s="24" t="str" cm="1">
        <f t="array" ref="Q9028">IFERROR(IF($B9028=Q$1, ($A9028+$C9028) - MAX(IF($B$2:$B9027=$B9028, $A$2:$A9027+$C$2:$C9027)), "")*24*60, "")</f>
        <v/>
      </c>
      <c r="R9028" s="24" t="str" cm="1">
        <f t="array" ref="R9028">IFERROR(IF($B9028=R$1, ($A9028+$C9028) - MAX(IF($B$2:$B9027=$B9028, $A$2:$A9027+$C$2:$C9027)), "")*24*60, "")</f>
        <v/>
      </c>
      <c r="S9028" s="24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C9029" si="1461">A9028</f>
        <v>46041</v>
      </c>
      <c r="B9029" s="5" t="str">
        <f t="shared" si="1461"/>
        <v>Northern Cardinal</v>
      </c>
      <c r="C9029" s="6">
        <v>0.62430555555555556</v>
      </c>
      <c r="D9029" s="5"/>
      <c r="E9029" s="5"/>
      <c r="F9029" s="5" t="s">
        <v>9</v>
      </c>
      <c r="G9029" s="15" t="s">
        <v>9</v>
      </c>
      <c r="H9029" s="24">
        <f t="shared" si="1412"/>
        <v>0.99999999278225005</v>
      </c>
      <c r="I9029" s="24" cm="1">
        <f t="array" ref="I9029">IFERROR(IF($B9029=I$1, ($A9029+$C9029) - MAX(IF($B$2:$B9028=$B9029, $A$2:$A9028+$C$2:$C9028)), "")*24*60, "")</f>
        <v>0.99999999278225005</v>
      </c>
      <c r="J9029" s="24" t="str" cm="1">
        <f t="array" ref="J9029">IFERROR(IF($B9029=J$1, ($A9029+$C9029) - MAX(IF($B$2:$B9028=$B9029, $A$2:$A9028+$C$2:$C9028)), "")*24*60, "")</f>
        <v/>
      </c>
      <c r="K9029" s="24" t="str" cm="1">
        <f t="array" ref="K9029">IFERROR(IF($B9029=K$1, ($A9029+$C9029) - MAX(IF($B$2:$B9028=$B9029, $A$2:$A9028+$C$2:$C9028)), "")*24*60, "")</f>
        <v/>
      </c>
      <c r="L9029" s="24" t="str" cm="1">
        <f t="array" ref="L9029">IFERROR(IF($B9029=L$1, ($A9029+$C9029) - MAX(IF($B$2:$B9028=$B9029, $A$2:$A9028+$C$2:$C9028)), "")*24*60, "")</f>
        <v/>
      </c>
      <c r="M9029" s="24" t="str" cm="1">
        <f t="array" ref="M9029">IFERROR(IF($B9029=M$1, ($A9029+$C9029) - MAX(IF($B$2:$B9028=$B9029, $A$2:$A9028+$C$2:$C9028)), "")*24*60, "")</f>
        <v/>
      </c>
      <c r="N9029" s="24" t="str" cm="1">
        <f t="array" ref="N9029">IFERROR(IF($B9029=N$1, ($A9029+$C9029) - MAX(IF($B$2:$B9028=$B9029, $A$2:$A9028+$C$2:$C9028)), "")*24*60, "")</f>
        <v/>
      </c>
      <c r="O9029" s="24" t="str" cm="1">
        <f t="array" ref="O9029">IFERROR(IF($B9029=O$1, ($A9029+$C9029) - MAX(IF($B$2:$B9028=$B9029, $A$2:$A9028+$C$2:$C9028)), "")*24*60, "")</f>
        <v/>
      </c>
      <c r="P9029" s="24" t="str" cm="1">
        <f t="array" ref="P9029">IFERROR(IF($B9029=P$1, ($A9029+$C9029) - MAX(IF($B$2:$B9028=$B9029, $A$2:$A9028+$C$2:$C9028)), "")*24*60, "")</f>
        <v/>
      </c>
      <c r="Q9029" s="24" t="str" cm="1">
        <f t="array" ref="Q9029">IFERROR(IF($B9029=Q$1, ($A9029+$C9029) - MAX(IF($B$2:$B9028=$B9029, $A$2:$A9028+$C$2:$C9028)), "")*24*60, "")</f>
        <v/>
      </c>
      <c r="R9029" s="24" t="str" cm="1">
        <f t="array" ref="R9029">IFERROR(IF($B9029=R$1, ($A9029+$C9029) - MAX(IF($B$2:$B9028=$B9029, $A$2:$A9028+$C$2:$C9028)), "")*24*60, "")</f>
        <v/>
      </c>
      <c r="S9029" s="24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5"/>
      <c r="E9030" s="5"/>
      <c r="F9030" s="5" t="s">
        <v>9</v>
      </c>
      <c r="G9030" s="15" t="s">
        <v>9</v>
      </c>
      <c r="H9030" s="24">
        <f t="shared" si="1412"/>
        <v>0</v>
      </c>
      <c r="I9030" s="24" cm="1">
        <f t="array" ref="I9030">IFERROR(IF($B9030=I$1, ($A9030+$C9030) - MAX(IF($B$2:$B9029=$B9030, $A$2:$A9029+$C$2:$C9029)), "")*24*60, "")</f>
        <v>0</v>
      </c>
      <c r="J9030" s="24" t="str" cm="1">
        <f t="array" ref="J9030">IFERROR(IF($B9030=J$1, ($A9030+$C9030) - MAX(IF($B$2:$B9029=$B9030, $A$2:$A9029+$C$2:$C9029)), "")*24*60, "")</f>
        <v/>
      </c>
      <c r="K9030" s="24" t="str" cm="1">
        <f t="array" ref="K9030">IFERROR(IF($B9030=K$1, ($A9030+$C9030) - MAX(IF($B$2:$B9029=$B9030, $A$2:$A9029+$C$2:$C9029)), "")*24*60, "")</f>
        <v/>
      </c>
      <c r="L9030" s="24" t="str" cm="1">
        <f t="array" ref="L9030">IFERROR(IF($B9030=L$1, ($A9030+$C9030) - MAX(IF($B$2:$B9029=$B9030, $A$2:$A9029+$C$2:$C9029)), "")*24*60, "")</f>
        <v/>
      </c>
      <c r="M9030" s="24" t="str" cm="1">
        <f t="array" ref="M9030">IFERROR(IF($B9030=M$1, ($A9030+$C9030) - MAX(IF($B$2:$B9029=$B9030, $A$2:$A9029+$C$2:$C9029)), "")*24*60, "")</f>
        <v/>
      </c>
      <c r="N9030" s="24" t="str" cm="1">
        <f t="array" ref="N9030">IFERROR(IF($B9030=N$1, ($A9030+$C9030) - MAX(IF($B$2:$B9029=$B9030, $A$2:$A9029+$C$2:$C9029)), "")*24*60, "")</f>
        <v/>
      </c>
      <c r="O9030" s="24" t="str" cm="1">
        <f t="array" ref="O9030">IFERROR(IF($B9030=O$1, ($A9030+$C9030) - MAX(IF($B$2:$B9029=$B9030, $A$2:$A9029+$C$2:$C9029)), "")*24*60, "")</f>
        <v/>
      </c>
      <c r="P9030" s="24" t="str" cm="1">
        <f t="array" ref="P9030">IFERROR(IF($B9030=P$1, ($A9030+$C9030) - MAX(IF($B$2:$B9029=$B9030, $A$2:$A9029+$C$2:$C9029)), "")*24*60, "")</f>
        <v/>
      </c>
      <c r="Q9030" s="24" t="str" cm="1">
        <f t="array" ref="Q9030">IFERROR(IF($B9030=Q$1, ($A9030+$C9030) - MAX(IF($B$2:$B9029=$B9030, $A$2:$A9029+$C$2:$C9029)), "")*24*60, "")</f>
        <v/>
      </c>
      <c r="R9030" s="24" t="str" cm="1">
        <f t="array" ref="R9030">IFERROR(IF($B9030=R$1, ($A9030+$C9030) - MAX(IF($B$2:$B9029=$B9030, $A$2:$A9029+$C$2:$C9029)), "")*24*60, "")</f>
        <v/>
      </c>
      <c r="S9030" s="24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C9031" si="1463">A9030</f>
        <v>46041</v>
      </c>
      <c r="B9031" s="5" t="str">
        <f t="shared" si="1463"/>
        <v>Northern Cardinal</v>
      </c>
      <c r="C9031" s="6">
        <v>0.625</v>
      </c>
      <c r="D9031" s="5"/>
      <c r="E9031" s="5"/>
      <c r="F9031" s="5" t="s">
        <v>9</v>
      </c>
      <c r="G9031" s="15" t="s">
        <v>9</v>
      </c>
      <c r="H9031" s="24">
        <f t="shared" si="1412"/>
        <v>1.000000003259629</v>
      </c>
      <c r="I9031" s="24" cm="1">
        <f t="array" ref="I9031">IFERROR(IF($B9031=I$1, ($A9031+$C9031) - MAX(IF($B$2:$B9030=$B9031, $A$2:$A9030+$C$2:$C9030)), "")*24*60, "")</f>
        <v>1.000000003259629</v>
      </c>
      <c r="J9031" s="24" t="str" cm="1">
        <f t="array" ref="J9031">IFERROR(IF($B9031=J$1, ($A9031+$C9031) - MAX(IF($B$2:$B9030=$B9031, $A$2:$A9030+$C$2:$C9030)), "")*24*60, "")</f>
        <v/>
      </c>
      <c r="K9031" s="24" t="str" cm="1">
        <f t="array" ref="K9031">IFERROR(IF($B9031=K$1, ($A9031+$C9031) - MAX(IF($B$2:$B9030=$B9031, $A$2:$A9030+$C$2:$C9030)), "")*24*60, "")</f>
        <v/>
      </c>
      <c r="L9031" s="24" t="str" cm="1">
        <f t="array" ref="L9031">IFERROR(IF($B9031=L$1, ($A9031+$C9031) - MAX(IF($B$2:$B9030=$B9031, $A$2:$A9030+$C$2:$C9030)), "")*24*60, "")</f>
        <v/>
      </c>
      <c r="M9031" s="24" t="str" cm="1">
        <f t="array" ref="M9031">IFERROR(IF($B9031=M$1, ($A9031+$C9031) - MAX(IF($B$2:$B9030=$B9031, $A$2:$A9030+$C$2:$C9030)), "")*24*60, "")</f>
        <v/>
      </c>
      <c r="N9031" s="24" t="str" cm="1">
        <f t="array" ref="N9031">IFERROR(IF($B9031=N$1, ($A9031+$C9031) - MAX(IF($B$2:$B9030=$B9031, $A$2:$A9030+$C$2:$C9030)), "")*24*60, "")</f>
        <v/>
      </c>
      <c r="O9031" s="24" t="str" cm="1">
        <f t="array" ref="O9031">IFERROR(IF($B9031=O$1, ($A9031+$C9031) - MAX(IF($B$2:$B9030=$B9031, $A$2:$A9030+$C$2:$C9030)), "")*24*60, "")</f>
        <v/>
      </c>
      <c r="P9031" s="24" t="str" cm="1">
        <f t="array" ref="P9031">IFERROR(IF($B9031=P$1, ($A9031+$C9031) - MAX(IF($B$2:$B9030=$B9031, $A$2:$A9030+$C$2:$C9030)), "")*24*60, "")</f>
        <v/>
      </c>
      <c r="Q9031" s="24" t="str" cm="1">
        <f t="array" ref="Q9031">IFERROR(IF($B9031=Q$1, ($A9031+$C9031) - MAX(IF($B$2:$B9030=$B9031, $A$2:$A9030+$C$2:$C9030)), "")*24*60, "")</f>
        <v/>
      </c>
      <c r="R9031" s="24" t="str" cm="1">
        <f t="array" ref="R9031">IFERROR(IF($B9031=R$1, ($A9031+$C9031) - MAX(IF($B$2:$B9030=$B9031, $A$2:$A9030+$C$2:$C9030)), "")*24*60, "")</f>
        <v/>
      </c>
      <c r="S9031" s="24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C9032" si="1464">A9031</f>
        <v>46041</v>
      </c>
      <c r="B9032" s="5" t="str">
        <f t="shared" si="1464"/>
        <v>Northern Cardinal</v>
      </c>
      <c r="C9032" s="6">
        <v>0.62569444444444444</v>
      </c>
      <c r="D9032" s="5"/>
      <c r="E9032" s="5"/>
      <c r="F9032" s="5" t="s">
        <v>9</v>
      </c>
      <c r="G9032" s="15" t="s">
        <v>9</v>
      </c>
      <c r="H9032" s="24">
        <f t="shared" si="1412"/>
        <v>1.000000003259629</v>
      </c>
      <c r="I9032" s="24" cm="1">
        <f t="array" ref="I9032">IFERROR(IF($B9032=I$1, ($A9032+$C9032) - MAX(IF($B$2:$B9031=$B9032, $A$2:$A9031+$C$2:$C9031)), "")*24*60, "")</f>
        <v>1.000000003259629</v>
      </c>
      <c r="J9032" s="24" t="str" cm="1">
        <f t="array" ref="J9032">IFERROR(IF($B9032=J$1, ($A9032+$C9032) - MAX(IF($B$2:$B9031=$B9032, $A$2:$A9031+$C$2:$C9031)), "")*24*60, "")</f>
        <v/>
      </c>
      <c r="K9032" s="24" t="str" cm="1">
        <f t="array" ref="K9032">IFERROR(IF($B9032=K$1, ($A9032+$C9032) - MAX(IF($B$2:$B9031=$B9032, $A$2:$A9031+$C$2:$C9031)), "")*24*60, "")</f>
        <v/>
      </c>
      <c r="L9032" s="24" t="str" cm="1">
        <f t="array" ref="L9032">IFERROR(IF($B9032=L$1, ($A9032+$C9032) - MAX(IF($B$2:$B9031=$B9032, $A$2:$A9031+$C$2:$C9031)), "")*24*60, "")</f>
        <v/>
      </c>
      <c r="M9032" s="24" t="str" cm="1">
        <f t="array" ref="M9032">IFERROR(IF($B9032=M$1, ($A9032+$C9032) - MAX(IF($B$2:$B9031=$B9032, $A$2:$A9031+$C$2:$C9031)), "")*24*60, "")</f>
        <v/>
      </c>
      <c r="N9032" s="24" t="str" cm="1">
        <f t="array" ref="N9032">IFERROR(IF($B9032=N$1, ($A9032+$C9032) - MAX(IF($B$2:$B9031=$B9032, $A$2:$A9031+$C$2:$C9031)), "")*24*60, "")</f>
        <v/>
      </c>
      <c r="O9032" s="24" t="str" cm="1">
        <f t="array" ref="O9032">IFERROR(IF($B9032=O$1, ($A9032+$C9032) - MAX(IF($B$2:$B9031=$B9032, $A$2:$A9031+$C$2:$C9031)), "")*24*60, "")</f>
        <v/>
      </c>
      <c r="P9032" s="24" t="str" cm="1">
        <f t="array" ref="P9032">IFERROR(IF($B9032=P$1, ($A9032+$C9032) - MAX(IF($B$2:$B9031=$B9032, $A$2:$A9031+$C$2:$C9031)), "")*24*60, "")</f>
        <v/>
      </c>
      <c r="Q9032" s="24" t="str" cm="1">
        <f t="array" ref="Q9032">IFERROR(IF($B9032=Q$1, ($A9032+$C9032) - MAX(IF($B$2:$B9031=$B9032, $A$2:$A9031+$C$2:$C9031)), "")*24*60, "")</f>
        <v/>
      </c>
      <c r="R9032" s="24" t="str" cm="1">
        <f t="array" ref="R9032">IFERROR(IF($B9032=R$1, ($A9032+$C9032) - MAX(IF($B$2:$B9031=$B9032, $A$2:$A9031+$C$2:$C9031)), "")*24*60, "")</f>
        <v/>
      </c>
      <c r="S9032" s="24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5"/>
      <c r="E9033" s="5"/>
      <c r="F9033" s="5" t="s">
        <v>9</v>
      </c>
      <c r="G9033" s="15" t="s">
        <v>9</v>
      </c>
      <c r="H9033" s="24">
        <f t="shared" si="1412"/>
        <v>0</v>
      </c>
      <c r="I9033" s="24" cm="1">
        <f t="array" ref="I9033">IFERROR(IF($B9033=I$1, ($A9033+$C9033) - MAX(IF($B$2:$B9032=$B9033, $A$2:$A9032+$C$2:$C9032)), "")*24*60, "")</f>
        <v>0</v>
      </c>
      <c r="J9033" s="24" t="str" cm="1">
        <f t="array" ref="J9033">IFERROR(IF($B9033=J$1, ($A9033+$C9033) - MAX(IF($B$2:$B9032=$B9033, $A$2:$A9032+$C$2:$C9032)), "")*24*60, "")</f>
        <v/>
      </c>
      <c r="K9033" s="24" t="str" cm="1">
        <f t="array" ref="K9033">IFERROR(IF($B9033=K$1, ($A9033+$C9033) - MAX(IF($B$2:$B9032=$B9033, $A$2:$A9032+$C$2:$C9032)), "")*24*60, "")</f>
        <v/>
      </c>
      <c r="L9033" s="24" t="str" cm="1">
        <f t="array" ref="L9033">IFERROR(IF($B9033=L$1, ($A9033+$C9033) - MAX(IF($B$2:$B9032=$B9033, $A$2:$A9032+$C$2:$C9032)), "")*24*60, "")</f>
        <v/>
      </c>
      <c r="M9033" s="24" t="str" cm="1">
        <f t="array" ref="M9033">IFERROR(IF($B9033=M$1, ($A9033+$C9033) - MAX(IF($B$2:$B9032=$B9033, $A$2:$A9032+$C$2:$C9032)), "")*24*60, "")</f>
        <v/>
      </c>
      <c r="N9033" s="24" t="str" cm="1">
        <f t="array" ref="N9033">IFERROR(IF($B9033=N$1, ($A9033+$C9033) - MAX(IF($B$2:$B9032=$B9033, $A$2:$A9032+$C$2:$C9032)), "")*24*60, "")</f>
        <v/>
      </c>
      <c r="O9033" s="24" t="str" cm="1">
        <f t="array" ref="O9033">IFERROR(IF($B9033=O$1, ($A9033+$C9033) - MAX(IF($B$2:$B9032=$B9033, $A$2:$A9032+$C$2:$C9032)), "")*24*60, "")</f>
        <v/>
      </c>
      <c r="P9033" s="24" t="str" cm="1">
        <f t="array" ref="P9033">IFERROR(IF($B9033=P$1, ($A9033+$C9033) - MAX(IF($B$2:$B9032=$B9033, $A$2:$A9032+$C$2:$C9032)), "")*24*60, "")</f>
        <v/>
      </c>
      <c r="Q9033" s="24" t="str" cm="1">
        <f t="array" ref="Q9033">IFERROR(IF($B9033=Q$1, ($A9033+$C9033) - MAX(IF($B$2:$B9032=$B9033, $A$2:$A9032+$C$2:$C9032)), "")*24*60, "")</f>
        <v/>
      </c>
      <c r="R9033" s="24" t="str" cm="1">
        <f t="array" ref="R9033">IFERROR(IF($B9033=R$1, ($A9033+$C9033) - MAX(IF($B$2:$B9032=$B9033, $A$2:$A9032+$C$2:$C9032)), "")*24*60, "")</f>
        <v/>
      </c>
      <c r="S9033" s="24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C9034" si="1466">A9033</f>
        <v>46041</v>
      </c>
      <c r="B9034" s="5" t="str">
        <f t="shared" si="1466"/>
        <v>Northern Cardinal</v>
      </c>
      <c r="C9034" s="6">
        <v>0.62638888888888888</v>
      </c>
      <c r="D9034" s="5"/>
      <c r="E9034" s="5"/>
      <c r="F9034" s="5" t="s">
        <v>9</v>
      </c>
      <c r="G9034" s="15" t="s">
        <v>9</v>
      </c>
      <c r="H9034" s="24">
        <f t="shared" si="1412"/>
        <v>0.99999999278225005</v>
      </c>
      <c r="I9034" s="24" cm="1">
        <f t="array" ref="I9034">IFERROR(IF($B9034=I$1, ($A9034+$C9034) - MAX(IF($B$2:$B9033=$B9034, $A$2:$A9033+$C$2:$C9033)), "")*24*60, "")</f>
        <v>0.99999999278225005</v>
      </c>
      <c r="J9034" s="24" t="str" cm="1">
        <f t="array" ref="J9034">IFERROR(IF($B9034=J$1, ($A9034+$C9034) - MAX(IF($B$2:$B9033=$B9034, $A$2:$A9033+$C$2:$C9033)), "")*24*60, "")</f>
        <v/>
      </c>
      <c r="K9034" s="24" t="str" cm="1">
        <f t="array" ref="K9034">IFERROR(IF($B9034=K$1, ($A9034+$C9034) - MAX(IF($B$2:$B9033=$B9034, $A$2:$A9033+$C$2:$C9033)), "")*24*60, "")</f>
        <v/>
      </c>
      <c r="L9034" s="24" t="str" cm="1">
        <f t="array" ref="L9034">IFERROR(IF($B9034=L$1, ($A9034+$C9034) - MAX(IF($B$2:$B9033=$B9034, $A$2:$A9033+$C$2:$C9033)), "")*24*60, "")</f>
        <v/>
      </c>
      <c r="M9034" s="24" t="str" cm="1">
        <f t="array" ref="M9034">IFERROR(IF($B9034=M$1, ($A9034+$C9034) - MAX(IF($B$2:$B9033=$B9034, $A$2:$A9033+$C$2:$C9033)), "")*24*60, "")</f>
        <v/>
      </c>
      <c r="N9034" s="24" t="str" cm="1">
        <f t="array" ref="N9034">IFERROR(IF($B9034=N$1, ($A9034+$C9034) - MAX(IF($B$2:$B9033=$B9034, $A$2:$A9033+$C$2:$C9033)), "")*24*60, "")</f>
        <v/>
      </c>
      <c r="O9034" s="24" t="str" cm="1">
        <f t="array" ref="O9034">IFERROR(IF($B9034=O$1, ($A9034+$C9034) - MAX(IF($B$2:$B9033=$B9034, $A$2:$A9033+$C$2:$C9033)), "")*24*60, "")</f>
        <v/>
      </c>
      <c r="P9034" s="24" t="str" cm="1">
        <f t="array" ref="P9034">IFERROR(IF($B9034=P$1, ($A9034+$C9034) - MAX(IF($B$2:$B9033=$B9034, $A$2:$A9033+$C$2:$C9033)), "")*24*60, "")</f>
        <v/>
      </c>
      <c r="Q9034" s="24" t="str" cm="1">
        <f t="array" ref="Q9034">IFERROR(IF($B9034=Q$1, ($A9034+$C9034) - MAX(IF($B$2:$B9033=$B9034, $A$2:$A9033+$C$2:$C9033)), "")*24*60, "")</f>
        <v/>
      </c>
      <c r="R9034" s="24" t="str" cm="1">
        <f t="array" ref="R9034">IFERROR(IF($B9034=R$1, ($A9034+$C9034) - MAX(IF($B$2:$B9033=$B9034, $A$2:$A9033+$C$2:$C9033)), "")*24*60, "")</f>
        <v/>
      </c>
      <c r="S9034" s="24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5"/>
      <c r="E9035" s="5"/>
      <c r="F9035" s="5" t="s">
        <v>9</v>
      </c>
      <c r="G9035" s="15" t="s">
        <v>9</v>
      </c>
      <c r="H9035" s="24">
        <f t="shared" si="1412"/>
        <v>0</v>
      </c>
      <c r="I9035" s="24" cm="1">
        <f t="array" ref="I9035">IFERROR(IF($B9035=I$1, ($A9035+$C9035) - MAX(IF($B$2:$B9034=$B9035, $A$2:$A9034+$C$2:$C9034)), "")*24*60, "")</f>
        <v>0</v>
      </c>
      <c r="J9035" s="24" t="str" cm="1">
        <f t="array" ref="J9035">IFERROR(IF($B9035=J$1, ($A9035+$C9035) - MAX(IF($B$2:$B9034=$B9035, $A$2:$A9034+$C$2:$C9034)), "")*24*60, "")</f>
        <v/>
      </c>
      <c r="K9035" s="24" t="str" cm="1">
        <f t="array" ref="K9035">IFERROR(IF($B9035=K$1, ($A9035+$C9035) - MAX(IF($B$2:$B9034=$B9035, $A$2:$A9034+$C$2:$C9034)), "")*24*60, "")</f>
        <v/>
      </c>
      <c r="L9035" s="24" t="str" cm="1">
        <f t="array" ref="L9035">IFERROR(IF($B9035=L$1, ($A9035+$C9035) - MAX(IF($B$2:$B9034=$B9035, $A$2:$A9034+$C$2:$C9034)), "")*24*60, "")</f>
        <v/>
      </c>
      <c r="M9035" s="24" t="str" cm="1">
        <f t="array" ref="M9035">IFERROR(IF($B9035=M$1, ($A9035+$C9035) - MAX(IF($B$2:$B9034=$B9035, $A$2:$A9034+$C$2:$C9034)), "")*24*60, "")</f>
        <v/>
      </c>
      <c r="N9035" s="24" t="str" cm="1">
        <f t="array" ref="N9035">IFERROR(IF($B9035=N$1, ($A9035+$C9035) - MAX(IF($B$2:$B9034=$B9035, $A$2:$A9034+$C$2:$C9034)), "")*24*60, "")</f>
        <v/>
      </c>
      <c r="O9035" s="24" t="str" cm="1">
        <f t="array" ref="O9035">IFERROR(IF($B9035=O$1, ($A9035+$C9035) - MAX(IF($B$2:$B9034=$B9035, $A$2:$A9034+$C$2:$C9034)), "")*24*60, "")</f>
        <v/>
      </c>
      <c r="P9035" s="24" t="str" cm="1">
        <f t="array" ref="P9035">IFERROR(IF($B9035=P$1, ($A9035+$C9035) - MAX(IF($B$2:$B9034=$B9035, $A$2:$A9034+$C$2:$C9034)), "")*24*60, "")</f>
        <v/>
      </c>
      <c r="Q9035" s="24" t="str" cm="1">
        <f t="array" ref="Q9035">IFERROR(IF($B9035=Q$1, ($A9035+$C9035) - MAX(IF($B$2:$B9034=$B9035, $A$2:$A9034+$C$2:$C9034)), "")*24*60, "")</f>
        <v/>
      </c>
      <c r="R9035" s="24" t="str" cm="1">
        <f t="array" ref="R9035">IFERROR(IF($B9035=R$1, ($A9035+$C9035) - MAX(IF($B$2:$B9034=$B9035, $A$2:$A9034+$C$2:$C9034)), "")*24*60, "")</f>
        <v/>
      </c>
      <c r="S9035" s="24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5"/>
      <c r="E9036" s="5"/>
      <c r="F9036" s="5" t="s">
        <v>9</v>
      </c>
      <c r="G9036" s="15" t="s">
        <v>9</v>
      </c>
      <c r="H9036" s="24">
        <f t="shared" si="1412"/>
        <v>0</v>
      </c>
      <c r="I9036" s="24" cm="1">
        <f t="array" ref="I9036">IFERROR(IF($B9036=I$1, ($A9036+$C9036) - MAX(IF($B$2:$B9035=$B9036, $A$2:$A9035+$C$2:$C9035)), "")*24*60, "")</f>
        <v>0</v>
      </c>
      <c r="J9036" s="24" t="str" cm="1">
        <f t="array" ref="J9036">IFERROR(IF($B9036=J$1, ($A9036+$C9036) - MAX(IF($B$2:$B9035=$B9036, $A$2:$A9035+$C$2:$C9035)), "")*24*60, "")</f>
        <v/>
      </c>
      <c r="K9036" s="24" t="str" cm="1">
        <f t="array" ref="K9036">IFERROR(IF($B9036=K$1, ($A9036+$C9036) - MAX(IF($B$2:$B9035=$B9036, $A$2:$A9035+$C$2:$C9035)), "")*24*60, "")</f>
        <v/>
      </c>
      <c r="L9036" s="24" t="str" cm="1">
        <f t="array" ref="L9036">IFERROR(IF($B9036=L$1, ($A9036+$C9036) - MAX(IF($B$2:$B9035=$B9036, $A$2:$A9035+$C$2:$C9035)), "")*24*60, "")</f>
        <v/>
      </c>
      <c r="M9036" s="24" t="str" cm="1">
        <f t="array" ref="M9036">IFERROR(IF($B9036=M$1, ($A9036+$C9036) - MAX(IF($B$2:$B9035=$B9036, $A$2:$A9035+$C$2:$C9035)), "")*24*60, "")</f>
        <v/>
      </c>
      <c r="N9036" s="24" t="str" cm="1">
        <f t="array" ref="N9036">IFERROR(IF($B9036=N$1, ($A9036+$C9036) - MAX(IF($B$2:$B9035=$B9036, $A$2:$A9035+$C$2:$C9035)), "")*24*60, "")</f>
        <v/>
      </c>
      <c r="O9036" s="24" t="str" cm="1">
        <f t="array" ref="O9036">IFERROR(IF($B9036=O$1, ($A9036+$C9036) - MAX(IF($B$2:$B9035=$B9036, $A$2:$A9035+$C$2:$C9035)), "")*24*60, "")</f>
        <v/>
      </c>
      <c r="P9036" s="24" t="str" cm="1">
        <f t="array" ref="P9036">IFERROR(IF($B9036=P$1, ($A9036+$C9036) - MAX(IF($B$2:$B9035=$B9036, $A$2:$A9035+$C$2:$C9035)), "")*24*60, "")</f>
        <v/>
      </c>
      <c r="Q9036" s="24" t="str" cm="1">
        <f t="array" ref="Q9036">IFERROR(IF($B9036=Q$1, ($A9036+$C9036) - MAX(IF($B$2:$B9035=$B9036, $A$2:$A9035+$C$2:$C9035)), "")*24*60, "")</f>
        <v/>
      </c>
      <c r="R9036" s="24" t="str" cm="1">
        <f t="array" ref="R9036">IFERROR(IF($B9036=R$1, ($A9036+$C9036) - MAX(IF($B$2:$B9035=$B9036, $A$2:$A9035+$C$2:$C9035)), "")*24*60, "")</f>
        <v/>
      </c>
      <c r="S9036" s="24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C9037" si="1469">A9036</f>
        <v>46041</v>
      </c>
      <c r="B9037" s="5" t="str">
        <f t="shared" si="1469"/>
        <v>Northern Cardinal</v>
      </c>
      <c r="C9037" s="6">
        <v>0.62708333333333333</v>
      </c>
      <c r="D9037" s="5"/>
      <c r="E9037" s="5"/>
      <c r="F9037" s="5" t="s">
        <v>9</v>
      </c>
      <c r="G9037" s="15" t="s">
        <v>9</v>
      </c>
      <c r="H9037" s="24">
        <f t="shared" si="1412"/>
        <v>1.000000003259629</v>
      </c>
      <c r="I9037" s="24" cm="1">
        <f t="array" ref="I9037">IFERROR(IF($B9037=I$1, ($A9037+$C9037) - MAX(IF($B$2:$B9036=$B9037, $A$2:$A9036+$C$2:$C9036)), "")*24*60, "")</f>
        <v>1.000000003259629</v>
      </c>
      <c r="J9037" s="24" t="str" cm="1">
        <f t="array" ref="J9037">IFERROR(IF($B9037=J$1, ($A9037+$C9037) - MAX(IF($B$2:$B9036=$B9037, $A$2:$A9036+$C$2:$C9036)), "")*24*60, "")</f>
        <v/>
      </c>
      <c r="K9037" s="24" t="str" cm="1">
        <f t="array" ref="K9037">IFERROR(IF($B9037=K$1, ($A9037+$C9037) - MAX(IF($B$2:$B9036=$B9037, $A$2:$A9036+$C$2:$C9036)), "")*24*60, "")</f>
        <v/>
      </c>
      <c r="L9037" s="24" t="str" cm="1">
        <f t="array" ref="L9037">IFERROR(IF($B9037=L$1, ($A9037+$C9037) - MAX(IF($B$2:$B9036=$B9037, $A$2:$A9036+$C$2:$C9036)), "")*24*60, "")</f>
        <v/>
      </c>
      <c r="M9037" s="24" t="str" cm="1">
        <f t="array" ref="M9037">IFERROR(IF($B9037=M$1, ($A9037+$C9037) - MAX(IF($B$2:$B9036=$B9037, $A$2:$A9036+$C$2:$C9036)), "")*24*60, "")</f>
        <v/>
      </c>
      <c r="N9037" s="24" t="str" cm="1">
        <f t="array" ref="N9037">IFERROR(IF($B9037=N$1, ($A9037+$C9037) - MAX(IF($B$2:$B9036=$B9037, $A$2:$A9036+$C$2:$C9036)), "")*24*60, "")</f>
        <v/>
      </c>
      <c r="O9037" s="24" t="str" cm="1">
        <f t="array" ref="O9037">IFERROR(IF($B9037=O$1, ($A9037+$C9037) - MAX(IF($B$2:$B9036=$B9037, $A$2:$A9036+$C$2:$C9036)), "")*24*60, "")</f>
        <v/>
      </c>
      <c r="P9037" s="24" t="str" cm="1">
        <f t="array" ref="P9037">IFERROR(IF($B9037=P$1, ($A9037+$C9037) - MAX(IF($B$2:$B9036=$B9037, $A$2:$A9036+$C$2:$C9036)), "")*24*60, "")</f>
        <v/>
      </c>
      <c r="Q9037" s="24" t="str" cm="1">
        <f t="array" ref="Q9037">IFERROR(IF($B9037=Q$1, ($A9037+$C9037) - MAX(IF($B$2:$B9036=$B9037, $A$2:$A9036+$C$2:$C9036)), "")*24*60, "")</f>
        <v/>
      </c>
      <c r="R9037" s="24" t="str" cm="1">
        <f t="array" ref="R9037">IFERROR(IF($B9037=R$1, ($A9037+$C9037) - MAX(IF($B$2:$B9036=$B9037, $A$2:$A9036+$C$2:$C9036)), "")*24*60, "")</f>
        <v/>
      </c>
      <c r="S9037" s="24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5"/>
      <c r="E9038" s="5"/>
      <c r="F9038" s="5" t="s">
        <v>9</v>
      </c>
      <c r="G9038" s="15" t="s">
        <v>9</v>
      </c>
      <c r="H9038" s="24">
        <f t="shared" si="1412"/>
        <v>0</v>
      </c>
      <c r="I9038" s="24" cm="1">
        <f t="array" ref="I9038">IFERROR(IF($B9038=I$1, ($A9038+$C9038) - MAX(IF($B$2:$B9037=$B9038, $A$2:$A9037+$C$2:$C9037)), "")*24*60, "")</f>
        <v>0</v>
      </c>
      <c r="J9038" s="24" t="str" cm="1">
        <f t="array" ref="J9038">IFERROR(IF($B9038=J$1, ($A9038+$C9038) - MAX(IF($B$2:$B9037=$B9038, $A$2:$A9037+$C$2:$C9037)), "")*24*60, "")</f>
        <v/>
      </c>
      <c r="K9038" s="24" t="str" cm="1">
        <f t="array" ref="K9038">IFERROR(IF($B9038=K$1, ($A9038+$C9038) - MAX(IF($B$2:$B9037=$B9038, $A$2:$A9037+$C$2:$C9037)), "")*24*60, "")</f>
        <v/>
      </c>
      <c r="L9038" s="24" t="str" cm="1">
        <f t="array" ref="L9038">IFERROR(IF($B9038=L$1, ($A9038+$C9038) - MAX(IF($B$2:$B9037=$B9038, $A$2:$A9037+$C$2:$C9037)), "")*24*60, "")</f>
        <v/>
      </c>
      <c r="M9038" s="24" t="str" cm="1">
        <f t="array" ref="M9038">IFERROR(IF($B9038=M$1, ($A9038+$C9038) - MAX(IF($B$2:$B9037=$B9038, $A$2:$A9037+$C$2:$C9037)), "")*24*60, "")</f>
        <v/>
      </c>
      <c r="N9038" s="24" t="str" cm="1">
        <f t="array" ref="N9038">IFERROR(IF($B9038=N$1, ($A9038+$C9038) - MAX(IF($B$2:$B9037=$B9038, $A$2:$A9037+$C$2:$C9037)), "")*24*60, "")</f>
        <v/>
      </c>
      <c r="O9038" s="24" t="str" cm="1">
        <f t="array" ref="O9038">IFERROR(IF($B9038=O$1, ($A9038+$C9038) - MAX(IF($B$2:$B9037=$B9038, $A$2:$A9037+$C$2:$C9037)), "")*24*60, "")</f>
        <v/>
      </c>
      <c r="P9038" s="24" t="str" cm="1">
        <f t="array" ref="P9038">IFERROR(IF($B9038=P$1, ($A9038+$C9038) - MAX(IF($B$2:$B9037=$B9038, $A$2:$A9037+$C$2:$C9037)), "")*24*60, "")</f>
        <v/>
      </c>
      <c r="Q9038" s="24" t="str" cm="1">
        <f t="array" ref="Q9038">IFERROR(IF($B9038=Q$1, ($A9038+$C9038) - MAX(IF($B$2:$B9037=$B9038, $A$2:$A9037+$C$2:$C9037)), "")*24*60, "")</f>
        <v/>
      </c>
      <c r="R9038" s="24" t="str" cm="1">
        <f t="array" ref="R9038">IFERROR(IF($B9038=R$1, ($A9038+$C9038) - MAX(IF($B$2:$B9037=$B9038, $A$2:$A9037+$C$2:$C9037)), "")*24*60, "")</f>
        <v/>
      </c>
      <c r="S9038" s="24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C9039" si="1471">A9038</f>
        <v>46041</v>
      </c>
      <c r="B9039" s="5" t="str">
        <f t="shared" si="1471"/>
        <v>Northern Cardinal</v>
      </c>
      <c r="C9039" s="6">
        <v>0.62777777777777777</v>
      </c>
      <c r="D9039" s="5"/>
      <c r="E9039" s="5"/>
      <c r="F9039" s="5" t="s">
        <v>9</v>
      </c>
      <c r="G9039" s="15" t="s">
        <v>9</v>
      </c>
      <c r="H9039" s="24">
        <f t="shared" si="1412"/>
        <v>1.000000003259629</v>
      </c>
      <c r="I9039" s="24" cm="1">
        <f t="array" ref="I9039">IFERROR(IF($B9039=I$1, ($A9039+$C9039) - MAX(IF($B$2:$B9038=$B9039, $A$2:$A9038+$C$2:$C9038)), "")*24*60, "")</f>
        <v>1.000000003259629</v>
      </c>
      <c r="J9039" s="24" t="str" cm="1">
        <f t="array" ref="J9039">IFERROR(IF($B9039=J$1, ($A9039+$C9039) - MAX(IF($B$2:$B9038=$B9039, $A$2:$A9038+$C$2:$C9038)), "")*24*60, "")</f>
        <v/>
      </c>
      <c r="K9039" s="24" t="str" cm="1">
        <f t="array" ref="K9039">IFERROR(IF($B9039=K$1, ($A9039+$C9039) - MAX(IF($B$2:$B9038=$B9039, $A$2:$A9038+$C$2:$C9038)), "")*24*60, "")</f>
        <v/>
      </c>
      <c r="L9039" s="24" t="str" cm="1">
        <f t="array" ref="L9039">IFERROR(IF($B9039=L$1, ($A9039+$C9039) - MAX(IF($B$2:$B9038=$B9039, $A$2:$A9038+$C$2:$C9038)), "")*24*60, "")</f>
        <v/>
      </c>
      <c r="M9039" s="24" t="str" cm="1">
        <f t="array" ref="M9039">IFERROR(IF($B9039=M$1, ($A9039+$C9039) - MAX(IF($B$2:$B9038=$B9039, $A$2:$A9038+$C$2:$C9038)), "")*24*60, "")</f>
        <v/>
      </c>
      <c r="N9039" s="24" t="str" cm="1">
        <f t="array" ref="N9039">IFERROR(IF($B9039=N$1, ($A9039+$C9039) - MAX(IF($B$2:$B9038=$B9039, $A$2:$A9038+$C$2:$C9038)), "")*24*60, "")</f>
        <v/>
      </c>
      <c r="O9039" s="24" t="str" cm="1">
        <f t="array" ref="O9039">IFERROR(IF($B9039=O$1, ($A9039+$C9039) - MAX(IF($B$2:$B9038=$B9039, $A$2:$A9038+$C$2:$C9038)), "")*24*60, "")</f>
        <v/>
      </c>
      <c r="P9039" s="24" t="str" cm="1">
        <f t="array" ref="P9039">IFERROR(IF($B9039=P$1, ($A9039+$C9039) - MAX(IF($B$2:$B9038=$B9039, $A$2:$A9038+$C$2:$C9038)), "")*24*60, "")</f>
        <v/>
      </c>
      <c r="Q9039" s="24" t="str" cm="1">
        <f t="array" ref="Q9039">IFERROR(IF($B9039=Q$1, ($A9039+$C9039) - MAX(IF($B$2:$B9038=$B9039, $A$2:$A9038+$C$2:$C9038)), "")*24*60, "")</f>
        <v/>
      </c>
      <c r="R9039" s="24" t="str" cm="1">
        <f t="array" ref="R9039">IFERROR(IF($B9039=R$1, ($A9039+$C9039) - MAX(IF($B$2:$B9038=$B9039, $A$2:$A9038+$C$2:$C9038)), "")*24*60, "")</f>
        <v/>
      </c>
      <c r="S9039" s="24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5"/>
      <c r="E9040" s="5"/>
      <c r="F9040" s="5" t="s">
        <v>9</v>
      </c>
      <c r="G9040" s="15" t="s">
        <v>9</v>
      </c>
      <c r="H9040" s="24">
        <f t="shared" si="1412"/>
        <v>0</v>
      </c>
      <c r="I9040" s="24" cm="1">
        <f t="array" ref="I9040">IFERROR(IF($B9040=I$1, ($A9040+$C9040) - MAX(IF($B$2:$B9039=$B9040, $A$2:$A9039+$C$2:$C9039)), "")*24*60, "")</f>
        <v>0</v>
      </c>
      <c r="J9040" s="24" t="str" cm="1">
        <f t="array" ref="J9040">IFERROR(IF($B9040=J$1, ($A9040+$C9040) - MAX(IF($B$2:$B9039=$B9040, $A$2:$A9039+$C$2:$C9039)), "")*24*60, "")</f>
        <v/>
      </c>
      <c r="K9040" s="24" t="str" cm="1">
        <f t="array" ref="K9040">IFERROR(IF($B9040=K$1, ($A9040+$C9040) - MAX(IF($B$2:$B9039=$B9040, $A$2:$A9039+$C$2:$C9039)), "")*24*60, "")</f>
        <v/>
      </c>
      <c r="L9040" s="24" t="str" cm="1">
        <f t="array" ref="L9040">IFERROR(IF($B9040=L$1, ($A9040+$C9040) - MAX(IF($B$2:$B9039=$B9040, $A$2:$A9039+$C$2:$C9039)), "")*24*60, "")</f>
        <v/>
      </c>
      <c r="M9040" s="24" t="str" cm="1">
        <f t="array" ref="M9040">IFERROR(IF($B9040=M$1, ($A9040+$C9040) - MAX(IF($B$2:$B9039=$B9040, $A$2:$A9039+$C$2:$C9039)), "")*24*60, "")</f>
        <v/>
      </c>
      <c r="N9040" s="24" t="str" cm="1">
        <f t="array" ref="N9040">IFERROR(IF($B9040=N$1, ($A9040+$C9040) - MAX(IF($B$2:$B9039=$B9040, $A$2:$A9039+$C$2:$C9039)), "")*24*60, "")</f>
        <v/>
      </c>
      <c r="O9040" s="24" t="str" cm="1">
        <f t="array" ref="O9040">IFERROR(IF($B9040=O$1, ($A9040+$C9040) - MAX(IF($B$2:$B9039=$B9040, $A$2:$A9039+$C$2:$C9039)), "")*24*60, "")</f>
        <v/>
      </c>
      <c r="P9040" s="24" t="str" cm="1">
        <f t="array" ref="P9040">IFERROR(IF($B9040=P$1, ($A9040+$C9040) - MAX(IF($B$2:$B9039=$B9040, $A$2:$A9039+$C$2:$C9039)), "")*24*60, "")</f>
        <v/>
      </c>
      <c r="Q9040" s="24" t="str" cm="1">
        <f t="array" ref="Q9040">IFERROR(IF($B9040=Q$1, ($A9040+$C9040) - MAX(IF($B$2:$B9039=$B9040, $A$2:$A9039+$C$2:$C9039)), "")*24*60, "")</f>
        <v/>
      </c>
      <c r="R9040" s="24" t="str" cm="1">
        <f t="array" ref="R9040">IFERROR(IF($B9040=R$1, ($A9040+$C9040) - MAX(IF($B$2:$B9039=$B9040, $A$2:$A9039+$C$2:$C9039)), "")*24*60, "")</f>
        <v/>
      </c>
      <c r="S9040" s="24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C9041" si="1473">A9040</f>
        <v>46041</v>
      </c>
      <c r="B9041" s="5" t="str">
        <f t="shared" si="1473"/>
        <v>Northern Cardinal</v>
      </c>
      <c r="C9041" s="6">
        <v>0.62847222222222221</v>
      </c>
      <c r="D9041" s="5"/>
      <c r="E9041" s="5"/>
      <c r="F9041" s="5" t="s">
        <v>9</v>
      </c>
      <c r="G9041" s="15" t="s">
        <v>9</v>
      </c>
      <c r="H9041" s="24">
        <f t="shared" si="1412"/>
        <v>0.99999999278225005</v>
      </c>
      <c r="I9041" s="24" cm="1">
        <f t="array" ref="I9041">IFERROR(IF($B9041=I$1, ($A9041+$C9041) - MAX(IF($B$2:$B9040=$B9041, $A$2:$A9040+$C$2:$C9040)), "")*24*60, "")</f>
        <v>0.99999999278225005</v>
      </c>
      <c r="J9041" s="24" t="str" cm="1">
        <f t="array" ref="J9041">IFERROR(IF($B9041=J$1, ($A9041+$C9041) - MAX(IF($B$2:$B9040=$B9041, $A$2:$A9040+$C$2:$C9040)), "")*24*60, "")</f>
        <v/>
      </c>
      <c r="K9041" s="24" t="str" cm="1">
        <f t="array" ref="K9041">IFERROR(IF($B9041=K$1, ($A9041+$C9041) - MAX(IF($B$2:$B9040=$B9041, $A$2:$A9040+$C$2:$C9040)), "")*24*60, "")</f>
        <v/>
      </c>
      <c r="L9041" s="24" t="str" cm="1">
        <f t="array" ref="L9041">IFERROR(IF($B9041=L$1, ($A9041+$C9041) - MAX(IF($B$2:$B9040=$B9041, $A$2:$A9040+$C$2:$C9040)), "")*24*60, "")</f>
        <v/>
      </c>
      <c r="M9041" s="24" t="str" cm="1">
        <f t="array" ref="M9041">IFERROR(IF($B9041=M$1, ($A9041+$C9041) - MAX(IF($B$2:$B9040=$B9041, $A$2:$A9040+$C$2:$C9040)), "")*24*60, "")</f>
        <v/>
      </c>
      <c r="N9041" s="24" t="str" cm="1">
        <f t="array" ref="N9041">IFERROR(IF($B9041=N$1, ($A9041+$C9041) - MAX(IF($B$2:$B9040=$B9041, $A$2:$A9040+$C$2:$C9040)), "")*24*60, "")</f>
        <v/>
      </c>
      <c r="O9041" s="24" t="str" cm="1">
        <f t="array" ref="O9041">IFERROR(IF($B9041=O$1, ($A9041+$C9041) - MAX(IF($B$2:$B9040=$B9041, $A$2:$A9040+$C$2:$C9040)), "")*24*60, "")</f>
        <v/>
      </c>
      <c r="P9041" s="24" t="str" cm="1">
        <f t="array" ref="P9041">IFERROR(IF($B9041=P$1, ($A9041+$C9041) - MAX(IF($B$2:$B9040=$B9041, $A$2:$A9040+$C$2:$C9040)), "")*24*60, "")</f>
        <v/>
      </c>
      <c r="Q9041" s="24" t="str" cm="1">
        <f t="array" ref="Q9041">IFERROR(IF($B9041=Q$1, ($A9041+$C9041) - MAX(IF($B$2:$B9040=$B9041, $A$2:$A9040+$C$2:$C9040)), "")*24*60, "")</f>
        <v/>
      </c>
      <c r="R9041" s="24" t="str" cm="1">
        <f t="array" ref="R9041">IFERROR(IF($B9041=R$1, ($A9041+$C9041) - MAX(IF($B$2:$B9040=$B9041, $A$2:$A9040+$C$2:$C9040)), "")*24*60, "")</f>
        <v/>
      </c>
      <c r="S9041" s="24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5"/>
      <c r="E9042" s="5"/>
      <c r="F9042" s="5" t="s">
        <v>9</v>
      </c>
      <c r="G9042" s="15" t="s">
        <v>9</v>
      </c>
      <c r="H9042" s="24">
        <f t="shared" si="1412"/>
        <v>0</v>
      </c>
      <c r="I9042" s="24" cm="1">
        <f t="array" ref="I9042">IFERROR(IF($B9042=I$1, ($A9042+$C9042) - MAX(IF($B$2:$B9041=$B9042, $A$2:$A9041+$C$2:$C9041)), "")*24*60, "")</f>
        <v>0</v>
      </c>
      <c r="J9042" s="24" t="str" cm="1">
        <f t="array" ref="J9042">IFERROR(IF($B9042=J$1, ($A9042+$C9042) - MAX(IF($B$2:$B9041=$B9042, $A$2:$A9041+$C$2:$C9041)), "")*24*60, "")</f>
        <v/>
      </c>
      <c r="K9042" s="24" t="str" cm="1">
        <f t="array" ref="K9042">IFERROR(IF($B9042=K$1, ($A9042+$C9042) - MAX(IF($B$2:$B9041=$B9042, $A$2:$A9041+$C$2:$C9041)), "")*24*60, "")</f>
        <v/>
      </c>
      <c r="L9042" s="24" t="str" cm="1">
        <f t="array" ref="L9042">IFERROR(IF($B9042=L$1, ($A9042+$C9042) - MAX(IF($B$2:$B9041=$B9042, $A$2:$A9041+$C$2:$C9041)), "")*24*60, "")</f>
        <v/>
      </c>
      <c r="M9042" s="24" t="str" cm="1">
        <f t="array" ref="M9042">IFERROR(IF($B9042=M$1, ($A9042+$C9042) - MAX(IF($B$2:$B9041=$B9042, $A$2:$A9041+$C$2:$C9041)), "")*24*60, "")</f>
        <v/>
      </c>
      <c r="N9042" s="24" t="str" cm="1">
        <f t="array" ref="N9042">IFERROR(IF($B9042=N$1, ($A9042+$C9042) - MAX(IF($B$2:$B9041=$B9042, $A$2:$A9041+$C$2:$C9041)), "")*24*60, "")</f>
        <v/>
      </c>
      <c r="O9042" s="24" t="str" cm="1">
        <f t="array" ref="O9042">IFERROR(IF($B9042=O$1, ($A9042+$C9042) - MAX(IF($B$2:$B9041=$B9042, $A$2:$A9041+$C$2:$C9041)), "")*24*60, "")</f>
        <v/>
      </c>
      <c r="P9042" s="24" t="str" cm="1">
        <f t="array" ref="P9042">IFERROR(IF($B9042=P$1, ($A9042+$C9042) - MAX(IF($B$2:$B9041=$B9042, $A$2:$A9041+$C$2:$C9041)), "")*24*60, "")</f>
        <v/>
      </c>
      <c r="Q9042" s="24" t="str" cm="1">
        <f t="array" ref="Q9042">IFERROR(IF($B9042=Q$1, ($A9042+$C9042) - MAX(IF($B$2:$B9041=$B9042, $A$2:$A9041+$C$2:$C9041)), "")*24*60, "")</f>
        <v/>
      </c>
      <c r="R9042" s="24" t="str" cm="1">
        <f t="array" ref="R9042">IFERROR(IF($B9042=R$1, ($A9042+$C9042) - MAX(IF($B$2:$B9041=$B9042, $A$2:$A9041+$C$2:$C9041)), "")*24*60, "")</f>
        <v/>
      </c>
      <c r="S9042" s="24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C9043" si="1475">A9042</f>
        <v>46041</v>
      </c>
      <c r="B9043" s="5" t="str">
        <f t="shared" si="1475"/>
        <v>Northern Cardinal</v>
      </c>
      <c r="C9043" s="6">
        <v>0.62916666666666665</v>
      </c>
      <c r="D9043" s="5"/>
      <c r="E9043" s="5"/>
      <c r="F9043" s="5" t="s">
        <v>9</v>
      </c>
      <c r="G9043" s="15" t="s">
        <v>9</v>
      </c>
      <c r="H9043" s="24">
        <f t="shared" si="1412"/>
        <v>1.000000003259629</v>
      </c>
      <c r="I9043" s="24" cm="1">
        <f t="array" ref="I9043">IFERROR(IF($B9043=I$1, ($A9043+$C9043) - MAX(IF($B$2:$B9042=$B9043, $A$2:$A9042+$C$2:$C9042)), "")*24*60, "")</f>
        <v>1.000000003259629</v>
      </c>
      <c r="J9043" s="24" t="str" cm="1">
        <f t="array" ref="J9043">IFERROR(IF($B9043=J$1, ($A9043+$C9043) - MAX(IF($B$2:$B9042=$B9043, $A$2:$A9042+$C$2:$C9042)), "")*24*60, "")</f>
        <v/>
      </c>
      <c r="K9043" s="24" t="str" cm="1">
        <f t="array" ref="K9043">IFERROR(IF($B9043=K$1, ($A9043+$C9043) - MAX(IF($B$2:$B9042=$B9043, $A$2:$A9042+$C$2:$C9042)), "")*24*60, "")</f>
        <v/>
      </c>
      <c r="L9043" s="24" t="str" cm="1">
        <f t="array" ref="L9043">IFERROR(IF($B9043=L$1, ($A9043+$C9043) - MAX(IF($B$2:$B9042=$B9043, $A$2:$A9042+$C$2:$C9042)), "")*24*60, "")</f>
        <v/>
      </c>
      <c r="M9043" s="24" t="str" cm="1">
        <f t="array" ref="M9043">IFERROR(IF($B9043=M$1, ($A9043+$C9043) - MAX(IF($B$2:$B9042=$B9043, $A$2:$A9042+$C$2:$C9042)), "")*24*60, "")</f>
        <v/>
      </c>
      <c r="N9043" s="24" t="str" cm="1">
        <f t="array" ref="N9043">IFERROR(IF($B9043=N$1, ($A9043+$C9043) - MAX(IF($B$2:$B9042=$B9043, $A$2:$A9042+$C$2:$C9042)), "")*24*60, "")</f>
        <v/>
      </c>
      <c r="O9043" s="24" t="str" cm="1">
        <f t="array" ref="O9043">IFERROR(IF($B9043=O$1, ($A9043+$C9043) - MAX(IF($B$2:$B9042=$B9043, $A$2:$A9042+$C$2:$C9042)), "")*24*60, "")</f>
        <v/>
      </c>
      <c r="P9043" s="24" t="str" cm="1">
        <f t="array" ref="P9043">IFERROR(IF($B9043=P$1, ($A9043+$C9043) - MAX(IF($B$2:$B9042=$B9043, $A$2:$A9042+$C$2:$C9042)), "")*24*60, "")</f>
        <v/>
      </c>
      <c r="Q9043" s="24" t="str" cm="1">
        <f t="array" ref="Q9043">IFERROR(IF($B9043=Q$1, ($A9043+$C9043) - MAX(IF($B$2:$B9042=$B9043, $A$2:$A9042+$C$2:$C9042)), "")*24*60, "")</f>
        <v/>
      </c>
      <c r="R9043" s="24" t="str" cm="1">
        <f t="array" ref="R9043">IFERROR(IF($B9043=R$1, ($A9043+$C9043) - MAX(IF($B$2:$B9042=$B9043, $A$2:$A9042+$C$2:$C9042)), "")*24*60, "")</f>
        <v/>
      </c>
      <c r="S9043" s="24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5"/>
      <c r="E9044" s="5"/>
      <c r="F9044" s="5" t="s">
        <v>9</v>
      </c>
      <c r="G9044" s="15" t="s">
        <v>9</v>
      </c>
      <c r="H9044" s="24">
        <f t="shared" si="1412"/>
        <v>0</v>
      </c>
      <c r="I9044" s="24" cm="1">
        <f t="array" ref="I9044">IFERROR(IF($B9044=I$1, ($A9044+$C9044) - MAX(IF($B$2:$B9043=$B9044, $A$2:$A9043+$C$2:$C9043)), "")*24*60, "")</f>
        <v>0</v>
      </c>
      <c r="J9044" s="24" t="str" cm="1">
        <f t="array" ref="J9044">IFERROR(IF($B9044=J$1, ($A9044+$C9044) - MAX(IF($B$2:$B9043=$B9044, $A$2:$A9043+$C$2:$C9043)), "")*24*60, "")</f>
        <v/>
      </c>
      <c r="K9044" s="24" t="str" cm="1">
        <f t="array" ref="K9044">IFERROR(IF($B9044=K$1, ($A9044+$C9044) - MAX(IF($B$2:$B9043=$B9044, $A$2:$A9043+$C$2:$C9043)), "")*24*60, "")</f>
        <v/>
      </c>
      <c r="L9044" s="24" t="str" cm="1">
        <f t="array" ref="L9044">IFERROR(IF($B9044=L$1, ($A9044+$C9044) - MAX(IF($B$2:$B9043=$B9044, $A$2:$A9043+$C$2:$C9043)), "")*24*60, "")</f>
        <v/>
      </c>
      <c r="M9044" s="24" t="str" cm="1">
        <f t="array" ref="M9044">IFERROR(IF($B9044=M$1, ($A9044+$C9044) - MAX(IF($B$2:$B9043=$B9044, $A$2:$A9043+$C$2:$C9043)), "")*24*60, "")</f>
        <v/>
      </c>
      <c r="N9044" s="24" t="str" cm="1">
        <f t="array" ref="N9044">IFERROR(IF($B9044=N$1, ($A9044+$C9044) - MAX(IF($B$2:$B9043=$B9044, $A$2:$A9043+$C$2:$C9043)), "")*24*60, "")</f>
        <v/>
      </c>
      <c r="O9044" s="24" t="str" cm="1">
        <f t="array" ref="O9044">IFERROR(IF($B9044=O$1, ($A9044+$C9044) - MAX(IF($B$2:$B9043=$B9044, $A$2:$A9043+$C$2:$C9043)), "")*24*60, "")</f>
        <v/>
      </c>
      <c r="P9044" s="24" t="str" cm="1">
        <f t="array" ref="P9044">IFERROR(IF($B9044=P$1, ($A9044+$C9044) - MAX(IF($B$2:$B9043=$B9044, $A$2:$A9043+$C$2:$C9043)), "")*24*60, "")</f>
        <v/>
      </c>
      <c r="Q9044" s="24" t="str" cm="1">
        <f t="array" ref="Q9044">IFERROR(IF($B9044=Q$1, ($A9044+$C9044) - MAX(IF($B$2:$B9043=$B9044, $A$2:$A9043+$C$2:$C9043)), "")*24*60, "")</f>
        <v/>
      </c>
      <c r="R9044" s="24" t="str" cm="1">
        <f t="array" ref="R9044">IFERROR(IF($B9044=R$1, ($A9044+$C9044) - MAX(IF($B$2:$B9043=$B9044, $A$2:$A9043+$C$2:$C9043)), "")*24*60, "")</f>
        <v/>
      </c>
      <c r="S9044" s="24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C9045" si="1477">A9044</f>
        <v>46041</v>
      </c>
      <c r="B9045" s="5" t="str">
        <f t="shared" si="1477"/>
        <v>Northern Cardinal</v>
      </c>
      <c r="C9045" s="6">
        <v>0.62986111111111109</v>
      </c>
      <c r="D9045" s="5"/>
      <c r="E9045" s="5"/>
      <c r="F9045" s="5" t="s">
        <v>9</v>
      </c>
      <c r="G9045" s="15" t="s">
        <v>9</v>
      </c>
      <c r="H9045" s="24">
        <f t="shared" si="1412"/>
        <v>1.000000003259629</v>
      </c>
      <c r="I9045" s="24" cm="1">
        <f t="array" ref="I9045">IFERROR(IF($B9045=I$1, ($A9045+$C9045) - MAX(IF($B$2:$B9044=$B9045, $A$2:$A9044+$C$2:$C9044)), "")*24*60, "")</f>
        <v>1.000000003259629</v>
      </c>
      <c r="J9045" s="24" t="str" cm="1">
        <f t="array" ref="J9045">IFERROR(IF($B9045=J$1, ($A9045+$C9045) - MAX(IF($B$2:$B9044=$B9045, $A$2:$A9044+$C$2:$C9044)), "")*24*60, "")</f>
        <v/>
      </c>
      <c r="K9045" s="24" t="str" cm="1">
        <f t="array" ref="K9045">IFERROR(IF($B9045=K$1, ($A9045+$C9045) - MAX(IF($B$2:$B9044=$B9045, $A$2:$A9044+$C$2:$C9044)), "")*24*60, "")</f>
        <v/>
      </c>
      <c r="L9045" s="24" t="str" cm="1">
        <f t="array" ref="L9045">IFERROR(IF($B9045=L$1, ($A9045+$C9045) - MAX(IF($B$2:$B9044=$B9045, $A$2:$A9044+$C$2:$C9044)), "")*24*60, "")</f>
        <v/>
      </c>
      <c r="M9045" s="24" t="str" cm="1">
        <f t="array" ref="M9045">IFERROR(IF($B9045=M$1, ($A9045+$C9045) - MAX(IF($B$2:$B9044=$B9045, $A$2:$A9044+$C$2:$C9044)), "")*24*60, "")</f>
        <v/>
      </c>
      <c r="N9045" s="24" t="str" cm="1">
        <f t="array" ref="N9045">IFERROR(IF($B9045=N$1, ($A9045+$C9045) - MAX(IF($B$2:$B9044=$B9045, $A$2:$A9044+$C$2:$C9044)), "")*24*60, "")</f>
        <v/>
      </c>
      <c r="O9045" s="24" t="str" cm="1">
        <f t="array" ref="O9045">IFERROR(IF($B9045=O$1, ($A9045+$C9045) - MAX(IF($B$2:$B9044=$B9045, $A$2:$A9044+$C$2:$C9044)), "")*24*60, "")</f>
        <v/>
      </c>
      <c r="P9045" s="24" t="str" cm="1">
        <f t="array" ref="P9045">IFERROR(IF($B9045=P$1, ($A9045+$C9045) - MAX(IF($B$2:$B9044=$B9045, $A$2:$A9044+$C$2:$C9044)), "")*24*60, "")</f>
        <v/>
      </c>
      <c r="Q9045" s="24" t="str" cm="1">
        <f t="array" ref="Q9045">IFERROR(IF($B9045=Q$1, ($A9045+$C9045) - MAX(IF($B$2:$B9044=$B9045, $A$2:$A9044+$C$2:$C9044)), "")*24*60, "")</f>
        <v/>
      </c>
      <c r="R9045" s="24" t="str" cm="1">
        <f t="array" ref="R9045">IFERROR(IF($B9045=R$1, ($A9045+$C9045) - MAX(IF($B$2:$B9044=$B9045, $A$2:$A9044+$C$2:$C9044)), "")*24*60, "")</f>
        <v/>
      </c>
      <c r="S9045" s="24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C9046" si="1478">A9045</f>
        <v>46041</v>
      </c>
      <c r="B9046" s="5" t="str">
        <f t="shared" si="1478"/>
        <v>Northern Cardinal</v>
      </c>
      <c r="C9046" s="6">
        <v>0.63055555555555554</v>
      </c>
      <c r="D9046" s="5"/>
      <c r="E9046" s="5"/>
      <c r="F9046" s="5" t="s">
        <v>9</v>
      </c>
      <c r="G9046" s="15" t="s">
        <v>9</v>
      </c>
      <c r="H9046" s="24">
        <f t="shared" si="1412"/>
        <v>1.000000003259629</v>
      </c>
      <c r="I9046" s="24" cm="1">
        <f t="array" ref="I9046">IFERROR(IF($B9046=I$1, ($A9046+$C9046) - MAX(IF($B$2:$B9045=$B9046, $A$2:$A9045+$C$2:$C9045)), "")*24*60, "")</f>
        <v>1.000000003259629</v>
      </c>
      <c r="J9046" s="24" t="str" cm="1">
        <f t="array" ref="J9046">IFERROR(IF($B9046=J$1, ($A9046+$C9046) - MAX(IF($B$2:$B9045=$B9046, $A$2:$A9045+$C$2:$C9045)), "")*24*60, "")</f>
        <v/>
      </c>
      <c r="K9046" s="24" t="str" cm="1">
        <f t="array" ref="K9046">IFERROR(IF($B9046=K$1, ($A9046+$C9046) - MAX(IF($B$2:$B9045=$B9046, $A$2:$A9045+$C$2:$C9045)), "")*24*60, "")</f>
        <v/>
      </c>
      <c r="L9046" s="24" t="str" cm="1">
        <f t="array" ref="L9046">IFERROR(IF($B9046=L$1, ($A9046+$C9046) - MAX(IF($B$2:$B9045=$B9046, $A$2:$A9045+$C$2:$C9045)), "")*24*60, "")</f>
        <v/>
      </c>
      <c r="M9046" s="24" t="str" cm="1">
        <f t="array" ref="M9046">IFERROR(IF($B9046=M$1, ($A9046+$C9046) - MAX(IF($B$2:$B9045=$B9046, $A$2:$A9045+$C$2:$C9045)), "")*24*60, "")</f>
        <v/>
      </c>
      <c r="N9046" s="24" t="str" cm="1">
        <f t="array" ref="N9046">IFERROR(IF($B9046=N$1, ($A9046+$C9046) - MAX(IF($B$2:$B9045=$B9046, $A$2:$A9045+$C$2:$C9045)), "")*24*60, "")</f>
        <v/>
      </c>
      <c r="O9046" s="24" t="str" cm="1">
        <f t="array" ref="O9046">IFERROR(IF($B9046=O$1, ($A9046+$C9046) - MAX(IF($B$2:$B9045=$B9046, $A$2:$A9045+$C$2:$C9045)), "")*24*60, "")</f>
        <v/>
      </c>
      <c r="P9046" s="24" t="str" cm="1">
        <f t="array" ref="P9046">IFERROR(IF($B9046=P$1, ($A9046+$C9046) - MAX(IF($B$2:$B9045=$B9046, $A$2:$A9045+$C$2:$C9045)), "")*24*60, "")</f>
        <v/>
      </c>
      <c r="Q9046" s="24" t="str" cm="1">
        <f t="array" ref="Q9046">IFERROR(IF($B9046=Q$1, ($A9046+$C9046) - MAX(IF($B$2:$B9045=$B9046, $A$2:$A9045+$C$2:$C9045)), "")*24*60, "")</f>
        <v/>
      </c>
      <c r="R9046" s="24" t="str" cm="1">
        <f t="array" ref="R9046">IFERROR(IF($B9046=R$1, ($A9046+$C9046) - MAX(IF($B$2:$B9045=$B9046, $A$2:$A9045+$C$2:$C9045)), "")*24*60, "")</f>
        <v/>
      </c>
      <c r="S9046" s="24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:C9047" si="1479">A9046</f>
        <v>46041</v>
      </c>
      <c r="B9047" s="5" t="s">
        <v>18</v>
      </c>
      <c r="C9047" s="6">
        <v>0.63402777777777775</v>
      </c>
      <c r="D9047" s="5"/>
      <c r="E9047" s="5"/>
      <c r="F9047" s="5" t="s">
        <v>9</v>
      </c>
      <c r="G9047" s="15" t="s">
        <v>9</v>
      </c>
      <c r="H9047" s="24">
        <f t="shared" si="1412"/>
        <v>4.9999999953433871</v>
      </c>
      <c r="I9047" s="24" t="str" cm="1">
        <f t="array" ref="I9047">IFERROR(IF($B9047=I$1, ($A9047+$C9047) - MAX(IF($B$2:$B9046=$B9047, $A$2:$A9046+$C$2:$C9046)), "")*24*60, "")</f>
        <v/>
      </c>
      <c r="J9047" s="24" t="str" cm="1">
        <f t="array" ref="J9047">IFERROR(IF($B9047=J$1, ($A9047+$C9047) - MAX(IF($B$2:$B9046=$B9047, $A$2:$A9046+$C$2:$C9046)), "")*24*60, "")</f>
        <v/>
      </c>
      <c r="K9047" s="24" t="str" cm="1">
        <f t="array" ref="K9047">IFERROR(IF($B9047=K$1, ($A9047+$C9047) - MAX(IF($B$2:$B9046=$B9047, $A$2:$A9046+$C$2:$C9046)), "")*24*60, "")</f>
        <v/>
      </c>
      <c r="L9047" s="24" t="str" cm="1">
        <f t="array" ref="L9047">IFERROR(IF($B9047=L$1, ($A9047+$C9047) - MAX(IF($B$2:$B9046=$B9047, $A$2:$A9046+$C$2:$C9046)), "")*24*60, "")</f>
        <v/>
      </c>
      <c r="M9047" s="24" t="str" cm="1">
        <f t="array" ref="M9047">IFERROR(IF($B9047=M$1, ($A9047+$C9047) - MAX(IF($B$2:$B9046=$B9047, $A$2:$A9046+$C$2:$C9046)), "")*24*60, "")</f>
        <v/>
      </c>
      <c r="N9047" s="24" cm="1">
        <f t="array" ref="N9047">IFERROR(IF($B9047=N$1, ($A9047+$C9047) - MAX(IF($B$2:$B9046=$B9047, $A$2:$A9046+$C$2:$C9046)), "")*24*60, "")</f>
        <v>15.999999999767169</v>
      </c>
      <c r="O9047" s="24" t="str" cm="1">
        <f t="array" ref="O9047">IFERROR(IF($B9047=O$1, ($A9047+$C9047) - MAX(IF($B$2:$B9046=$B9047, $A$2:$A9046+$C$2:$C9046)), "")*24*60, "")</f>
        <v/>
      </c>
      <c r="P9047" s="24" t="str" cm="1">
        <f t="array" ref="P9047">IFERROR(IF($B9047=P$1, ($A9047+$C9047) - MAX(IF($B$2:$B9046=$B9047, $A$2:$A9046+$C$2:$C9046)), "")*24*60, "")</f>
        <v/>
      </c>
      <c r="Q9047" s="24" t="str" cm="1">
        <f t="array" ref="Q9047">IFERROR(IF($B9047=Q$1, ($A9047+$C9047) - MAX(IF($B$2:$B9046=$B9047, $A$2:$A9046+$C$2:$C9046)), "")*24*60, "")</f>
        <v/>
      </c>
      <c r="R9047" s="24" t="str" cm="1">
        <f t="array" ref="R9047">IFERROR(IF($B9047=R$1, ($A9047+$C9047) - MAX(IF($B$2:$B9046=$B9047, $A$2:$A9046+$C$2:$C9046)), "")*24*60, "")</f>
        <v/>
      </c>
      <c r="S9047" s="24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:C9048" si="1480">A9047</f>
        <v>46041</v>
      </c>
      <c r="B9048" s="5" t="s">
        <v>3</v>
      </c>
      <c r="C9048" s="6">
        <v>0.73888888888888893</v>
      </c>
      <c r="D9048" s="5"/>
      <c r="E9048" s="5"/>
      <c r="F9048" s="5" t="s">
        <v>9</v>
      </c>
      <c r="G9048" s="15" t="s">
        <v>9</v>
      </c>
      <c r="H9048" s="24">
        <f t="shared" si="1412"/>
        <v>150.99999999976717</v>
      </c>
      <c r="I9048" s="24" cm="1">
        <f t="array" ref="I9048">IFERROR(IF($B9048=I$1, ($A9048+$C9048) - MAX(IF($B$2:$B9047=$B9048, $A$2:$A9047+$C$2:$C9047)), "")*24*60, "")</f>
        <v>155.99999999511056</v>
      </c>
      <c r="J9048" s="24" t="str" cm="1">
        <f t="array" ref="J9048">IFERROR(IF($B9048=J$1, ($A9048+$C9048) - MAX(IF($B$2:$B9047=$B9048, $A$2:$A9047+$C$2:$C9047)), "")*24*60, "")</f>
        <v/>
      </c>
      <c r="K9048" s="24" t="str" cm="1">
        <f t="array" ref="K9048">IFERROR(IF($B9048=K$1, ($A9048+$C9048) - MAX(IF($B$2:$B9047=$B9048, $A$2:$A9047+$C$2:$C9047)), "")*24*60, "")</f>
        <v/>
      </c>
      <c r="L9048" s="24" t="str" cm="1">
        <f t="array" ref="L9048">IFERROR(IF($B9048=L$1, ($A9048+$C9048) - MAX(IF($B$2:$B9047=$B9048, $A$2:$A9047+$C$2:$C9047)), "")*24*60, "")</f>
        <v/>
      </c>
      <c r="M9048" s="24" t="str" cm="1">
        <f t="array" ref="M9048">IFERROR(IF($B9048=M$1, ($A9048+$C9048) - MAX(IF($B$2:$B9047=$B9048, $A$2:$A9047+$C$2:$C9047)), "")*24*60, "")</f>
        <v/>
      </c>
      <c r="N9048" s="24" t="str" cm="1">
        <f t="array" ref="N9048">IFERROR(IF($B9048=N$1, ($A9048+$C9048) - MAX(IF($B$2:$B9047=$B9048, $A$2:$A9047+$C$2:$C9047)), "")*24*60, "")</f>
        <v/>
      </c>
      <c r="O9048" s="24" t="str" cm="1">
        <f t="array" ref="O9048">IFERROR(IF($B9048=O$1, ($A9048+$C9048) - MAX(IF($B$2:$B9047=$B9048, $A$2:$A9047+$C$2:$C9047)), "")*24*60, "")</f>
        <v/>
      </c>
      <c r="P9048" s="24" t="str" cm="1">
        <f t="array" ref="P9048">IFERROR(IF($B9048=P$1, ($A9048+$C9048) - MAX(IF($B$2:$B9047=$B9048, $A$2:$A9047+$C$2:$C9047)), "")*24*60, "")</f>
        <v/>
      </c>
      <c r="Q9048" s="24" t="str" cm="1">
        <f t="array" ref="Q9048">IFERROR(IF($B9048=Q$1, ($A9048+$C9048) - MAX(IF($B$2:$B9047=$B9048, $A$2:$A9047+$C$2:$C9047)), "")*24*60, "")</f>
        <v/>
      </c>
      <c r="R9048" s="24" t="str" cm="1">
        <f t="array" ref="R9048">IFERROR(IF($B9048=R$1, ($A9048+$C9048) - MAX(IF($B$2:$B9047=$B9048, $A$2:$A9047+$C$2:$C9047)), "")*24*60, "")</f>
        <v/>
      </c>
      <c r="S9048" s="24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C9049" si="1481">A9048</f>
        <v>46041</v>
      </c>
      <c r="B9049" s="5" t="str">
        <f t="shared" si="1481"/>
        <v>Northern Cardinal</v>
      </c>
      <c r="C9049" s="6">
        <v>0.73958333333333337</v>
      </c>
      <c r="D9049" s="5"/>
      <c r="E9049" s="5"/>
      <c r="F9049" s="5" t="s">
        <v>9</v>
      </c>
      <c r="G9049" s="15" t="s">
        <v>9</v>
      </c>
      <c r="H9049" s="24">
        <f t="shared" si="1412"/>
        <v>1.000000003259629</v>
      </c>
      <c r="I9049" s="24" cm="1">
        <f t="array" ref="I9049">IFERROR(IF($B9049=I$1, ($A9049+$C9049) - MAX(IF($B$2:$B9048=$B9049, $A$2:$A9048+$C$2:$C9048)), "")*24*60, "")</f>
        <v>1.000000003259629</v>
      </c>
      <c r="J9049" s="24" t="str" cm="1">
        <f t="array" ref="J9049">IFERROR(IF($B9049=J$1, ($A9049+$C9049) - MAX(IF($B$2:$B9048=$B9049, $A$2:$A9048+$C$2:$C9048)), "")*24*60, "")</f>
        <v/>
      </c>
      <c r="K9049" s="24" t="str" cm="1">
        <f t="array" ref="K9049">IFERROR(IF($B9049=K$1, ($A9049+$C9049) - MAX(IF($B$2:$B9048=$B9049, $A$2:$A9048+$C$2:$C9048)), "")*24*60, "")</f>
        <v/>
      </c>
      <c r="L9049" s="24" t="str" cm="1">
        <f t="array" ref="L9049">IFERROR(IF($B9049=L$1, ($A9049+$C9049) - MAX(IF($B$2:$B9048=$B9049, $A$2:$A9048+$C$2:$C9048)), "")*24*60, "")</f>
        <v/>
      </c>
      <c r="M9049" s="24" t="str" cm="1">
        <f t="array" ref="M9049">IFERROR(IF($B9049=M$1, ($A9049+$C9049) - MAX(IF($B$2:$B9048=$B9049, $A$2:$A9048+$C$2:$C9048)), "")*24*60, "")</f>
        <v/>
      </c>
      <c r="N9049" s="24" t="str" cm="1">
        <f t="array" ref="N9049">IFERROR(IF($B9049=N$1, ($A9049+$C9049) - MAX(IF($B$2:$B9048=$B9049, $A$2:$A9048+$C$2:$C9048)), "")*24*60, "")</f>
        <v/>
      </c>
      <c r="O9049" s="24" t="str" cm="1">
        <f t="array" ref="O9049">IFERROR(IF($B9049=O$1, ($A9049+$C9049) - MAX(IF($B$2:$B9048=$B9049, $A$2:$A9048+$C$2:$C9048)), "")*24*60, "")</f>
        <v/>
      </c>
      <c r="P9049" s="24" t="str" cm="1">
        <f t="array" ref="P9049">IFERROR(IF($B9049=P$1, ($A9049+$C9049) - MAX(IF($B$2:$B9048=$B9049, $A$2:$A9048+$C$2:$C9048)), "")*24*60, "")</f>
        <v/>
      </c>
      <c r="Q9049" s="24" t="str" cm="1">
        <f t="array" ref="Q9049">IFERROR(IF($B9049=Q$1, ($A9049+$C9049) - MAX(IF($B$2:$B9048=$B9049, $A$2:$A9048+$C$2:$C9048)), "")*24*60, "")</f>
        <v/>
      </c>
      <c r="R9049" s="24" t="str" cm="1">
        <f t="array" ref="R9049">IFERROR(IF($B9049=R$1, ($A9049+$C9049) - MAX(IF($B$2:$B9048=$B9049, $A$2:$A9048+$C$2:$C9048)), "")*24*60, "")</f>
        <v/>
      </c>
      <c r="S9049" s="24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5"/>
      <c r="E9050" s="5"/>
      <c r="F9050" s="5" t="s">
        <v>9</v>
      </c>
      <c r="G9050" s="15" t="s">
        <v>9</v>
      </c>
      <c r="H9050" s="24">
        <f t="shared" si="1412"/>
        <v>0</v>
      </c>
      <c r="I9050" s="24" cm="1">
        <f t="array" ref="I9050">IFERROR(IF($B9050=I$1, ($A9050+$C9050) - MAX(IF($B$2:$B9049=$B9050, $A$2:$A9049+$C$2:$C9049)), "")*24*60, "")</f>
        <v>0</v>
      </c>
      <c r="J9050" s="24" t="str" cm="1">
        <f t="array" ref="J9050">IFERROR(IF($B9050=J$1, ($A9050+$C9050) - MAX(IF($B$2:$B9049=$B9050, $A$2:$A9049+$C$2:$C9049)), "")*24*60, "")</f>
        <v/>
      </c>
      <c r="K9050" s="24" t="str" cm="1">
        <f t="array" ref="K9050">IFERROR(IF($B9050=K$1, ($A9050+$C9050) - MAX(IF($B$2:$B9049=$B9050, $A$2:$A9049+$C$2:$C9049)), "")*24*60, "")</f>
        <v/>
      </c>
      <c r="L9050" s="24" t="str" cm="1">
        <f t="array" ref="L9050">IFERROR(IF($B9050=L$1, ($A9050+$C9050) - MAX(IF($B$2:$B9049=$B9050, $A$2:$A9049+$C$2:$C9049)), "")*24*60, "")</f>
        <v/>
      </c>
      <c r="M9050" s="24" t="str" cm="1">
        <f t="array" ref="M9050">IFERROR(IF($B9050=M$1, ($A9050+$C9050) - MAX(IF($B$2:$B9049=$B9050, $A$2:$A9049+$C$2:$C9049)), "")*24*60, "")</f>
        <v/>
      </c>
      <c r="N9050" s="24" t="str" cm="1">
        <f t="array" ref="N9050">IFERROR(IF($B9050=N$1, ($A9050+$C9050) - MAX(IF($B$2:$B9049=$B9050, $A$2:$A9049+$C$2:$C9049)), "")*24*60, "")</f>
        <v/>
      </c>
      <c r="O9050" s="24" t="str" cm="1">
        <f t="array" ref="O9050">IFERROR(IF($B9050=O$1, ($A9050+$C9050) - MAX(IF($B$2:$B9049=$B9050, $A$2:$A9049+$C$2:$C9049)), "")*24*60, "")</f>
        <v/>
      </c>
      <c r="P9050" s="24" t="str" cm="1">
        <f t="array" ref="P9050">IFERROR(IF($B9050=P$1, ($A9050+$C9050) - MAX(IF($B$2:$B9049=$B9050, $A$2:$A9049+$C$2:$C9049)), "")*24*60, "")</f>
        <v/>
      </c>
      <c r="Q9050" s="24" t="str" cm="1">
        <f t="array" ref="Q9050">IFERROR(IF($B9050=Q$1, ($A9050+$C9050) - MAX(IF($B$2:$B9049=$B9050, $A$2:$A9049+$C$2:$C9049)), "")*24*60, "")</f>
        <v/>
      </c>
      <c r="R9050" s="24" t="str" cm="1">
        <f t="array" ref="R9050">IFERROR(IF($B9050=R$1, ($A9050+$C9050) - MAX(IF($B$2:$B9049=$B9050, $A$2:$A9049+$C$2:$C9049)), "")*24*60, "")</f>
        <v/>
      </c>
      <c r="S9050" s="24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C9051" si="1483">A9050</f>
        <v>46041</v>
      </c>
      <c r="B9051" s="5" t="str">
        <f t="shared" si="1483"/>
        <v>Northern Cardinal</v>
      </c>
      <c r="C9051" s="6">
        <v>0.74027777777777781</v>
      </c>
      <c r="D9051" s="5"/>
      <c r="E9051" s="5"/>
      <c r="F9051" s="5" t="s">
        <v>9</v>
      </c>
      <c r="G9051" s="15" t="s">
        <v>9</v>
      </c>
      <c r="H9051" s="24">
        <f t="shared" si="1412"/>
        <v>0.99999999278225005</v>
      </c>
      <c r="I9051" s="24" cm="1">
        <f t="array" ref="I9051">IFERROR(IF($B9051=I$1, ($A9051+$C9051) - MAX(IF($B$2:$B9050=$B9051, $A$2:$A9050+$C$2:$C9050)), "")*24*60, "")</f>
        <v>0.99999999278225005</v>
      </c>
      <c r="J9051" s="24" t="str" cm="1">
        <f t="array" ref="J9051">IFERROR(IF($B9051=J$1, ($A9051+$C9051) - MAX(IF($B$2:$B9050=$B9051, $A$2:$A9050+$C$2:$C9050)), "")*24*60, "")</f>
        <v/>
      </c>
      <c r="K9051" s="24" t="str" cm="1">
        <f t="array" ref="K9051">IFERROR(IF($B9051=K$1, ($A9051+$C9051) - MAX(IF($B$2:$B9050=$B9051, $A$2:$A9050+$C$2:$C9050)), "")*24*60, "")</f>
        <v/>
      </c>
      <c r="L9051" s="24" t="str" cm="1">
        <f t="array" ref="L9051">IFERROR(IF($B9051=L$1, ($A9051+$C9051) - MAX(IF($B$2:$B9050=$B9051, $A$2:$A9050+$C$2:$C9050)), "")*24*60, "")</f>
        <v/>
      </c>
      <c r="M9051" s="24" t="str" cm="1">
        <f t="array" ref="M9051">IFERROR(IF($B9051=M$1, ($A9051+$C9051) - MAX(IF($B$2:$B9050=$B9051, $A$2:$A9050+$C$2:$C9050)), "")*24*60, "")</f>
        <v/>
      </c>
      <c r="N9051" s="24" t="str" cm="1">
        <f t="array" ref="N9051">IFERROR(IF($B9051=N$1, ($A9051+$C9051) - MAX(IF($B$2:$B9050=$B9051, $A$2:$A9050+$C$2:$C9050)), "")*24*60, "")</f>
        <v/>
      </c>
      <c r="O9051" s="24" t="str" cm="1">
        <f t="array" ref="O9051">IFERROR(IF($B9051=O$1, ($A9051+$C9051) - MAX(IF($B$2:$B9050=$B9051, $A$2:$A9050+$C$2:$C9050)), "")*24*60, "")</f>
        <v/>
      </c>
      <c r="P9051" s="24" t="str" cm="1">
        <f t="array" ref="P9051">IFERROR(IF($B9051=P$1, ($A9051+$C9051) - MAX(IF($B$2:$B9050=$B9051, $A$2:$A9050+$C$2:$C9050)), "")*24*60, "")</f>
        <v/>
      </c>
      <c r="Q9051" s="24" t="str" cm="1">
        <f t="array" ref="Q9051">IFERROR(IF($B9051=Q$1, ($A9051+$C9051) - MAX(IF($B$2:$B9050=$B9051, $A$2:$A9050+$C$2:$C9050)), "")*24*60, "")</f>
        <v/>
      </c>
      <c r="R9051" s="24" t="str" cm="1">
        <f t="array" ref="R9051">IFERROR(IF($B9051=R$1, ($A9051+$C9051) - MAX(IF($B$2:$B9050=$B9051, $A$2:$A9050+$C$2:$C9050)), "")*24*60, "")</f>
        <v/>
      </c>
      <c r="S9051" s="24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C9052" si="1484">A9051</f>
        <v>46041</v>
      </c>
      <c r="B9052" s="5" t="str">
        <f t="shared" si="1484"/>
        <v>Northern Cardinal</v>
      </c>
      <c r="C9052" s="6">
        <v>0.74097222222222225</v>
      </c>
      <c r="D9052" s="5"/>
      <c r="E9052" s="5"/>
      <c r="F9052" s="5" t="s">
        <v>9</v>
      </c>
      <c r="G9052" s="15" t="s">
        <v>9</v>
      </c>
      <c r="H9052" s="24">
        <f t="shared" si="1412"/>
        <v>1.000000003259629</v>
      </c>
      <c r="I9052" s="24" cm="1">
        <f t="array" ref="I9052">IFERROR(IF($B9052=I$1, ($A9052+$C9052) - MAX(IF($B$2:$B9051=$B9052, $A$2:$A9051+$C$2:$C9051)), "")*24*60, "")</f>
        <v>1.000000003259629</v>
      </c>
      <c r="J9052" s="24" t="str" cm="1">
        <f t="array" ref="J9052">IFERROR(IF($B9052=J$1, ($A9052+$C9052) - MAX(IF($B$2:$B9051=$B9052, $A$2:$A9051+$C$2:$C9051)), "")*24*60, "")</f>
        <v/>
      </c>
      <c r="K9052" s="24" t="str" cm="1">
        <f t="array" ref="K9052">IFERROR(IF($B9052=K$1, ($A9052+$C9052) - MAX(IF($B$2:$B9051=$B9052, $A$2:$A9051+$C$2:$C9051)), "")*24*60, "")</f>
        <v/>
      </c>
      <c r="L9052" s="24" t="str" cm="1">
        <f t="array" ref="L9052">IFERROR(IF($B9052=L$1, ($A9052+$C9052) - MAX(IF($B$2:$B9051=$B9052, $A$2:$A9051+$C$2:$C9051)), "")*24*60, "")</f>
        <v/>
      </c>
      <c r="M9052" s="24" t="str" cm="1">
        <f t="array" ref="M9052">IFERROR(IF($B9052=M$1, ($A9052+$C9052) - MAX(IF($B$2:$B9051=$B9052, $A$2:$A9051+$C$2:$C9051)), "")*24*60, "")</f>
        <v/>
      </c>
      <c r="N9052" s="24" t="str" cm="1">
        <f t="array" ref="N9052">IFERROR(IF($B9052=N$1, ($A9052+$C9052) - MAX(IF($B$2:$B9051=$B9052, $A$2:$A9051+$C$2:$C9051)), "")*24*60, "")</f>
        <v/>
      </c>
      <c r="O9052" s="24" t="str" cm="1">
        <f t="array" ref="O9052">IFERROR(IF($B9052=O$1, ($A9052+$C9052) - MAX(IF($B$2:$B9051=$B9052, $A$2:$A9051+$C$2:$C9051)), "")*24*60, "")</f>
        <v/>
      </c>
      <c r="P9052" s="24" t="str" cm="1">
        <f t="array" ref="P9052">IFERROR(IF($B9052=P$1, ($A9052+$C9052) - MAX(IF($B$2:$B9051=$B9052, $A$2:$A9051+$C$2:$C9051)), "")*24*60, "")</f>
        <v/>
      </c>
      <c r="Q9052" s="24" t="str" cm="1">
        <f t="array" ref="Q9052">IFERROR(IF($B9052=Q$1, ($A9052+$C9052) - MAX(IF($B$2:$B9051=$B9052, $A$2:$A9051+$C$2:$C9051)), "")*24*60, "")</f>
        <v/>
      </c>
      <c r="R9052" s="24" t="str" cm="1">
        <f t="array" ref="R9052">IFERROR(IF($B9052=R$1, ($A9052+$C9052) - MAX(IF($B$2:$B9051=$B9052, $A$2:$A9051+$C$2:$C9051)), "")*24*60, "")</f>
        <v/>
      </c>
      <c r="S9052" s="24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C9053" si="1485">A9052</f>
        <v>46041</v>
      </c>
      <c r="B9053" s="5" t="str">
        <f t="shared" si="1485"/>
        <v>Northern Cardinal</v>
      </c>
      <c r="C9053" s="6">
        <v>0.74375000000000002</v>
      </c>
      <c r="D9053" s="5"/>
      <c r="E9053" s="5"/>
      <c r="F9053" s="5" t="s">
        <v>9</v>
      </c>
      <c r="G9053" s="15" t="s">
        <v>9</v>
      </c>
      <c r="H9053" s="24">
        <f t="shared" si="1412"/>
        <v>4.0000000025611371</v>
      </c>
      <c r="I9053" s="24" cm="1">
        <f t="array" ref="I9053">IFERROR(IF($B9053=I$1, ($A9053+$C9053) - MAX(IF($B$2:$B9052=$B9053, $A$2:$A9052+$C$2:$C9052)), "")*24*60, "")</f>
        <v>4.0000000025611371</v>
      </c>
      <c r="J9053" s="24" t="str" cm="1">
        <f t="array" ref="J9053">IFERROR(IF($B9053=J$1, ($A9053+$C9053) - MAX(IF($B$2:$B9052=$B9053, $A$2:$A9052+$C$2:$C9052)), "")*24*60, "")</f>
        <v/>
      </c>
      <c r="K9053" s="24" t="str" cm="1">
        <f t="array" ref="K9053">IFERROR(IF($B9053=K$1, ($A9053+$C9053) - MAX(IF($B$2:$B9052=$B9053, $A$2:$A9052+$C$2:$C9052)), "")*24*60, "")</f>
        <v/>
      </c>
      <c r="L9053" s="24" t="str" cm="1">
        <f t="array" ref="L9053">IFERROR(IF($B9053=L$1, ($A9053+$C9053) - MAX(IF($B$2:$B9052=$B9053, $A$2:$A9052+$C$2:$C9052)), "")*24*60, "")</f>
        <v/>
      </c>
      <c r="M9053" s="24" t="str" cm="1">
        <f t="array" ref="M9053">IFERROR(IF($B9053=M$1, ($A9053+$C9053) - MAX(IF($B$2:$B9052=$B9053, $A$2:$A9052+$C$2:$C9052)), "")*24*60, "")</f>
        <v/>
      </c>
      <c r="N9053" s="24" t="str" cm="1">
        <f t="array" ref="N9053">IFERROR(IF($B9053=N$1, ($A9053+$C9053) - MAX(IF($B$2:$B9052=$B9053, $A$2:$A9052+$C$2:$C9052)), "")*24*60, "")</f>
        <v/>
      </c>
      <c r="O9053" s="24" t="str" cm="1">
        <f t="array" ref="O9053">IFERROR(IF($B9053=O$1, ($A9053+$C9053) - MAX(IF($B$2:$B9052=$B9053, $A$2:$A9052+$C$2:$C9052)), "")*24*60, "")</f>
        <v/>
      </c>
      <c r="P9053" s="24" t="str" cm="1">
        <f t="array" ref="P9053">IFERROR(IF($B9053=P$1, ($A9053+$C9053) - MAX(IF($B$2:$B9052=$B9053, $A$2:$A9052+$C$2:$C9052)), "")*24*60, "")</f>
        <v/>
      </c>
      <c r="Q9053" s="24" t="str" cm="1">
        <f t="array" ref="Q9053">IFERROR(IF($B9053=Q$1, ($A9053+$C9053) - MAX(IF($B$2:$B9052=$B9053, $A$2:$A9052+$C$2:$C9052)), "")*24*60, "")</f>
        <v/>
      </c>
      <c r="R9053" s="24" t="str" cm="1">
        <f t="array" ref="R9053">IFERROR(IF($B9053=R$1, ($A9053+$C9053) - MAX(IF($B$2:$B9052=$B9053, $A$2:$A9052+$C$2:$C9052)), "")*24*60, "")</f>
        <v/>
      </c>
      <c r="S9053" s="24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C9054" si="1486">A9053</f>
        <v>46041</v>
      </c>
      <c r="B9054" s="5" t="str">
        <f t="shared" si="1486"/>
        <v>Northern Cardinal</v>
      </c>
      <c r="C9054" s="6">
        <v>0.74444444444444446</v>
      </c>
      <c r="D9054" s="5"/>
      <c r="E9054" s="5"/>
      <c r="F9054" s="5" t="s">
        <v>9</v>
      </c>
      <c r="G9054" s="15" t="s">
        <v>9</v>
      </c>
      <c r="H9054" s="24">
        <f t="shared" si="1412"/>
        <v>0.99999999278225005</v>
      </c>
      <c r="I9054" s="24" cm="1">
        <f t="array" ref="I9054">IFERROR(IF($B9054=I$1, ($A9054+$C9054) - MAX(IF($B$2:$B9053=$B9054, $A$2:$A9053+$C$2:$C9053)), "")*24*60, "")</f>
        <v>0.99999999278225005</v>
      </c>
      <c r="J9054" s="24" t="str" cm="1">
        <f t="array" ref="J9054">IFERROR(IF($B9054=J$1, ($A9054+$C9054) - MAX(IF($B$2:$B9053=$B9054, $A$2:$A9053+$C$2:$C9053)), "")*24*60, "")</f>
        <v/>
      </c>
      <c r="K9054" s="24" t="str" cm="1">
        <f t="array" ref="K9054">IFERROR(IF($B9054=K$1, ($A9054+$C9054) - MAX(IF($B$2:$B9053=$B9054, $A$2:$A9053+$C$2:$C9053)), "")*24*60, "")</f>
        <v/>
      </c>
      <c r="L9054" s="24" t="str" cm="1">
        <f t="array" ref="L9054">IFERROR(IF($B9054=L$1, ($A9054+$C9054) - MAX(IF($B$2:$B9053=$B9054, $A$2:$A9053+$C$2:$C9053)), "")*24*60, "")</f>
        <v/>
      </c>
      <c r="M9054" s="24" t="str" cm="1">
        <f t="array" ref="M9054">IFERROR(IF($B9054=M$1, ($A9054+$C9054) - MAX(IF($B$2:$B9053=$B9054, $A$2:$A9053+$C$2:$C9053)), "")*24*60, "")</f>
        <v/>
      </c>
      <c r="N9054" s="24" t="str" cm="1">
        <f t="array" ref="N9054">IFERROR(IF($B9054=N$1, ($A9054+$C9054) - MAX(IF($B$2:$B9053=$B9054, $A$2:$A9053+$C$2:$C9053)), "")*24*60, "")</f>
        <v/>
      </c>
      <c r="O9054" s="24" t="str" cm="1">
        <f t="array" ref="O9054">IFERROR(IF($B9054=O$1, ($A9054+$C9054) - MAX(IF($B$2:$B9053=$B9054, $A$2:$A9053+$C$2:$C9053)), "")*24*60, "")</f>
        <v/>
      </c>
      <c r="P9054" s="24" t="str" cm="1">
        <f t="array" ref="P9054">IFERROR(IF($B9054=P$1, ($A9054+$C9054) - MAX(IF($B$2:$B9053=$B9054, $A$2:$A9053+$C$2:$C9053)), "")*24*60, "")</f>
        <v/>
      </c>
      <c r="Q9054" s="24" t="str" cm="1">
        <f t="array" ref="Q9054">IFERROR(IF($B9054=Q$1, ($A9054+$C9054) - MAX(IF($B$2:$B9053=$B9054, $A$2:$A9053+$C$2:$C9053)), "")*24*60, "")</f>
        <v/>
      </c>
      <c r="R9054" s="24" t="str" cm="1">
        <f t="array" ref="R9054">IFERROR(IF($B9054=R$1, ($A9054+$C9054) - MAX(IF($B$2:$B9053=$B9054, $A$2:$A9053+$C$2:$C9053)), "")*24*60, "")</f>
        <v/>
      </c>
      <c r="S9054" s="24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C9055" si="1487">A9054</f>
        <v>46041</v>
      </c>
      <c r="B9055" s="5" t="str">
        <f t="shared" si="1487"/>
        <v>Northern Cardinal</v>
      </c>
      <c r="C9055" s="6">
        <v>0.74513888888888891</v>
      </c>
      <c r="D9055" s="5"/>
      <c r="E9055" s="5"/>
      <c r="F9055" s="5" t="s">
        <v>9</v>
      </c>
      <c r="G9055" s="15" t="s">
        <v>9</v>
      </c>
      <c r="H9055" s="24">
        <f t="shared" si="1412"/>
        <v>1.000000003259629</v>
      </c>
      <c r="I9055" s="24" cm="1">
        <f t="array" ref="I9055">IFERROR(IF($B9055=I$1, ($A9055+$C9055) - MAX(IF($B$2:$B9054=$B9055, $A$2:$A9054+$C$2:$C9054)), "")*24*60, "")</f>
        <v>1.000000003259629</v>
      </c>
      <c r="J9055" s="24" t="str" cm="1">
        <f t="array" ref="J9055">IFERROR(IF($B9055=J$1, ($A9055+$C9055) - MAX(IF($B$2:$B9054=$B9055, $A$2:$A9054+$C$2:$C9054)), "")*24*60, "")</f>
        <v/>
      </c>
      <c r="K9055" s="24" t="str" cm="1">
        <f t="array" ref="K9055">IFERROR(IF($B9055=K$1, ($A9055+$C9055) - MAX(IF($B$2:$B9054=$B9055, $A$2:$A9054+$C$2:$C9054)), "")*24*60, "")</f>
        <v/>
      </c>
      <c r="L9055" s="24" t="str" cm="1">
        <f t="array" ref="L9055">IFERROR(IF($B9055=L$1, ($A9055+$C9055) - MAX(IF($B$2:$B9054=$B9055, $A$2:$A9054+$C$2:$C9054)), "")*24*60, "")</f>
        <v/>
      </c>
      <c r="M9055" s="24" t="str" cm="1">
        <f t="array" ref="M9055">IFERROR(IF($B9055=M$1, ($A9055+$C9055) - MAX(IF($B$2:$B9054=$B9055, $A$2:$A9054+$C$2:$C9054)), "")*24*60, "")</f>
        <v/>
      </c>
      <c r="N9055" s="24" t="str" cm="1">
        <f t="array" ref="N9055">IFERROR(IF($B9055=N$1, ($A9055+$C9055) - MAX(IF($B$2:$B9054=$B9055, $A$2:$A9054+$C$2:$C9054)), "")*24*60, "")</f>
        <v/>
      </c>
      <c r="O9055" s="24" t="str" cm="1">
        <f t="array" ref="O9055">IFERROR(IF($B9055=O$1, ($A9055+$C9055) - MAX(IF($B$2:$B9054=$B9055, $A$2:$A9054+$C$2:$C9054)), "")*24*60, "")</f>
        <v/>
      </c>
      <c r="P9055" s="24" t="str" cm="1">
        <f t="array" ref="P9055">IFERROR(IF($B9055=P$1, ($A9055+$C9055) - MAX(IF($B$2:$B9054=$B9055, $A$2:$A9054+$C$2:$C9054)), "")*24*60, "")</f>
        <v/>
      </c>
      <c r="Q9055" s="24" t="str" cm="1">
        <f t="array" ref="Q9055">IFERROR(IF($B9055=Q$1, ($A9055+$C9055) - MAX(IF($B$2:$B9054=$B9055, $A$2:$A9054+$C$2:$C9054)), "")*24*60, "")</f>
        <v/>
      </c>
      <c r="R9055" s="24" t="str" cm="1">
        <f t="array" ref="R9055">IFERROR(IF($B9055=R$1, ($A9055+$C9055) - MAX(IF($B$2:$B9054=$B9055, $A$2:$A9054+$C$2:$C9054)), "")*24*60, "")</f>
        <v/>
      </c>
      <c r="S9055" s="24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5"/>
      <c r="E9056" s="5"/>
      <c r="F9056" s="5" t="s">
        <v>9</v>
      </c>
      <c r="G9056" s="15" t="s">
        <v>9</v>
      </c>
      <c r="H9056" s="24">
        <f t="shared" si="1412"/>
        <v>0</v>
      </c>
      <c r="I9056" s="24" cm="1">
        <f t="array" ref="I9056">IFERROR(IF($B9056=I$1, ($A9056+$C9056) - MAX(IF($B$2:$B9055=$B9056, $A$2:$A9055+$C$2:$C9055)), "")*24*60, "")</f>
        <v>0</v>
      </c>
      <c r="J9056" s="24" t="str" cm="1">
        <f t="array" ref="J9056">IFERROR(IF($B9056=J$1, ($A9056+$C9056) - MAX(IF($B$2:$B9055=$B9056, $A$2:$A9055+$C$2:$C9055)), "")*24*60, "")</f>
        <v/>
      </c>
      <c r="K9056" s="24" t="str" cm="1">
        <f t="array" ref="K9056">IFERROR(IF($B9056=K$1, ($A9056+$C9056) - MAX(IF($B$2:$B9055=$B9056, $A$2:$A9055+$C$2:$C9055)), "")*24*60, "")</f>
        <v/>
      </c>
      <c r="L9056" s="24" t="str" cm="1">
        <f t="array" ref="L9056">IFERROR(IF($B9056=L$1, ($A9056+$C9056) - MAX(IF($B$2:$B9055=$B9056, $A$2:$A9055+$C$2:$C9055)), "")*24*60, "")</f>
        <v/>
      </c>
      <c r="M9056" s="24" t="str" cm="1">
        <f t="array" ref="M9056">IFERROR(IF($B9056=M$1, ($A9056+$C9056) - MAX(IF($B$2:$B9055=$B9056, $A$2:$A9055+$C$2:$C9055)), "")*24*60, "")</f>
        <v/>
      </c>
      <c r="N9056" s="24" t="str" cm="1">
        <f t="array" ref="N9056">IFERROR(IF($B9056=N$1, ($A9056+$C9056) - MAX(IF($B$2:$B9055=$B9056, $A$2:$A9055+$C$2:$C9055)), "")*24*60, "")</f>
        <v/>
      </c>
      <c r="O9056" s="24" t="str" cm="1">
        <f t="array" ref="O9056">IFERROR(IF($B9056=O$1, ($A9056+$C9056) - MAX(IF($B$2:$B9055=$B9056, $A$2:$A9055+$C$2:$C9055)), "")*24*60, "")</f>
        <v/>
      </c>
      <c r="P9056" s="24" t="str" cm="1">
        <f t="array" ref="P9056">IFERROR(IF($B9056=P$1, ($A9056+$C9056) - MAX(IF($B$2:$B9055=$B9056, $A$2:$A9055+$C$2:$C9055)), "")*24*60, "")</f>
        <v/>
      </c>
      <c r="Q9056" s="24" t="str" cm="1">
        <f t="array" ref="Q9056">IFERROR(IF($B9056=Q$1, ($A9056+$C9056) - MAX(IF($B$2:$B9055=$B9056, $A$2:$A9055+$C$2:$C9055)), "")*24*60, "")</f>
        <v/>
      </c>
      <c r="R9056" s="24" t="str" cm="1">
        <f t="array" ref="R9056">IFERROR(IF($B9056=R$1, ($A9056+$C9056) - MAX(IF($B$2:$B9055=$B9056, $A$2:$A9055+$C$2:$C9055)), "")*24*60, "")</f>
        <v/>
      </c>
      <c r="S9056" s="24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5"/>
      <c r="E9057" s="5"/>
      <c r="F9057" s="5" t="s">
        <v>9</v>
      </c>
      <c r="G9057" s="15" t="s">
        <v>9</v>
      </c>
      <c r="H9057" s="24">
        <f t="shared" si="1412"/>
        <v>0</v>
      </c>
      <c r="I9057" s="24" cm="1">
        <f t="array" ref="I9057">IFERROR(IF($B9057=I$1, ($A9057+$C9057) - MAX(IF($B$2:$B9056=$B9057, $A$2:$A9056+$C$2:$C9056)), "")*24*60, "")</f>
        <v>0</v>
      </c>
      <c r="J9057" s="24" t="str" cm="1">
        <f t="array" ref="J9057">IFERROR(IF($B9057=J$1, ($A9057+$C9057) - MAX(IF($B$2:$B9056=$B9057, $A$2:$A9056+$C$2:$C9056)), "")*24*60, "")</f>
        <v/>
      </c>
      <c r="K9057" s="24" t="str" cm="1">
        <f t="array" ref="K9057">IFERROR(IF($B9057=K$1, ($A9057+$C9057) - MAX(IF($B$2:$B9056=$B9057, $A$2:$A9056+$C$2:$C9056)), "")*24*60, "")</f>
        <v/>
      </c>
      <c r="L9057" s="24" t="str" cm="1">
        <f t="array" ref="L9057">IFERROR(IF($B9057=L$1, ($A9057+$C9057) - MAX(IF($B$2:$B9056=$B9057, $A$2:$A9056+$C$2:$C9056)), "")*24*60, "")</f>
        <v/>
      </c>
      <c r="M9057" s="24" t="str" cm="1">
        <f t="array" ref="M9057">IFERROR(IF($B9057=M$1, ($A9057+$C9057) - MAX(IF($B$2:$B9056=$B9057, $A$2:$A9056+$C$2:$C9056)), "")*24*60, "")</f>
        <v/>
      </c>
      <c r="N9057" s="24" t="str" cm="1">
        <f t="array" ref="N9057">IFERROR(IF($B9057=N$1, ($A9057+$C9057) - MAX(IF($B$2:$B9056=$B9057, $A$2:$A9056+$C$2:$C9056)), "")*24*60, "")</f>
        <v/>
      </c>
      <c r="O9057" s="24" t="str" cm="1">
        <f t="array" ref="O9057">IFERROR(IF($B9057=O$1, ($A9057+$C9057) - MAX(IF($B$2:$B9056=$B9057, $A$2:$A9056+$C$2:$C9056)), "")*24*60, "")</f>
        <v/>
      </c>
      <c r="P9057" s="24" t="str" cm="1">
        <f t="array" ref="P9057">IFERROR(IF($B9057=P$1, ($A9057+$C9057) - MAX(IF($B$2:$B9056=$B9057, $A$2:$A9056+$C$2:$C9056)), "")*24*60, "")</f>
        <v/>
      </c>
      <c r="Q9057" s="24" t="str" cm="1">
        <f t="array" ref="Q9057">IFERROR(IF($B9057=Q$1, ($A9057+$C9057) - MAX(IF($B$2:$B9056=$B9057, $A$2:$A9056+$C$2:$C9056)), "")*24*60, "")</f>
        <v/>
      </c>
      <c r="R9057" s="24" t="str" cm="1">
        <f t="array" ref="R9057">IFERROR(IF($B9057=R$1, ($A9057+$C9057) - MAX(IF($B$2:$B9056=$B9057, $A$2:$A9056+$C$2:$C9056)), "")*24*60, "")</f>
        <v/>
      </c>
      <c r="S9057" s="24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C9058" si="1490">A9057</f>
        <v>46041</v>
      </c>
      <c r="B9058" s="5" t="str">
        <f t="shared" si="1490"/>
        <v>Northern Cardinal</v>
      </c>
      <c r="C9058" s="6">
        <v>0.74583333333333335</v>
      </c>
      <c r="D9058" s="5"/>
      <c r="E9058" s="5"/>
      <c r="F9058" s="5" t="s">
        <v>9</v>
      </c>
      <c r="G9058" s="15" t="s">
        <v>9</v>
      </c>
      <c r="H9058" s="24">
        <f t="shared" si="1412"/>
        <v>1.000000003259629</v>
      </c>
      <c r="I9058" s="24" cm="1">
        <f t="array" ref="I9058">IFERROR(IF($B9058=I$1, ($A9058+$C9058) - MAX(IF($B$2:$B9057=$B9058, $A$2:$A9057+$C$2:$C9057)), "")*24*60, "")</f>
        <v>1.000000003259629</v>
      </c>
      <c r="J9058" s="24" t="str" cm="1">
        <f t="array" ref="J9058">IFERROR(IF($B9058=J$1, ($A9058+$C9058) - MAX(IF($B$2:$B9057=$B9058, $A$2:$A9057+$C$2:$C9057)), "")*24*60, "")</f>
        <v/>
      </c>
      <c r="K9058" s="24" t="str" cm="1">
        <f t="array" ref="K9058">IFERROR(IF($B9058=K$1, ($A9058+$C9058) - MAX(IF($B$2:$B9057=$B9058, $A$2:$A9057+$C$2:$C9057)), "")*24*60, "")</f>
        <v/>
      </c>
      <c r="L9058" s="24" t="str" cm="1">
        <f t="array" ref="L9058">IFERROR(IF($B9058=L$1, ($A9058+$C9058) - MAX(IF($B$2:$B9057=$B9058, $A$2:$A9057+$C$2:$C9057)), "")*24*60, "")</f>
        <v/>
      </c>
      <c r="M9058" s="24" t="str" cm="1">
        <f t="array" ref="M9058">IFERROR(IF($B9058=M$1, ($A9058+$C9058) - MAX(IF($B$2:$B9057=$B9058, $A$2:$A9057+$C$2:$C9057)), "")*24*60, "")</f>
        <v/>
      </c>
      <c r="N9058" s="24" t="str" cm="1">
        <f t="array" ref="N9058">IFERROR(IF($B9058=N$1, ($A9058+$C9058) - MAX(IF($B$2:$B9057=$B9058, $A$2:$A9057+$C$2:$C9057)), "")*24*60, "")</f>
        <v/>
      </c>
      <c r="O9058" s="24" t="str" cm="1">
        <f t="array" ref="O9058">IFERROR(IF($B9058=O$1, ($A9058+$C9058) - MAX(IF($B$2:$B9057=$B9058, $A$2:$A9057+$C$2:$C9057)), "")*24*60, "")</f>
        <v/>
      </c>
      <c r="P9058" s="24" t="str" cm="1">
        <f t="array" ref="P9058">IFERROR(IF($B9058=P$1, ($A9058+$C9058) - MAX(IF($B$2:$B9057=$B9058, $A$2:$A9057+$C$2:$C9057)), "")*24*60, "")</f>
        <v/>
      </c>
      <c r="Q9058" s="24" t="str" cm="1">
        <f t="array" ref="Q9058">IFERROR(IF($B9058=Q$1, ($A9058+$C9058) - MAX(IF($B$2:$B9057=$B9058, $A$2:$A9057+$C$2:$C9057)), "")*24*60, "")</f>
        <v/>
      </c>
      <c r="R9058" s="24" t="str" cm="1">
        <f t="array" ref="R9058">IFERROR(IF($B9058=R$1, ($A9058+$C9058) - MAX(IF($B$2:$B9057=$B9058, $A$2:$A9057+$C$2:$C9057)), "")*24*60, "")</f>
        <v/>
      </c>
      <c r="S9058" s="24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5"/>
      <c r="E9059" s="5"/>
      <c r="F9059" s="5" t="s">
        <v>9</v>
      </c>
      <c r="G9059" s="15" t="s">
        <v>9</v>
      </c>
      <c r="H9059" s="24">
        <f t="shared" si="1412"/>
        <v>0</v>
      </c>
      <c r="I9059" s="24" cm="1">
        <f t="array" ref="I9059">IFERROR(IF($B9059=I$1, ($A9059+$C9059) - MAX(IF($B$2:$B9058=$B9059, $A$2:$A9058+$C$2:$C9058)), "")*24*60, "")</f>
        <v>0</v>
      </c>
      <c r="J9059" s="24" t="str" cm="1">
        <f t="array" ref="J9059">IFERROR(IF($B9059=J$1, ($A9059+$C9059) - MAX(IF($B$2:$B9058=$B9059, $A$2:$A9058+$C$2:$C9058)), "")*24*60, "")</f>
        <v/>
      </c>
      <c r="K9059" s="24" t="str" cm="1">
        <f t="array" ref="K9059">IFERROR(IF($B9059=K$1, ($A9059+$C9059) - MAX(IF($B$2:$B9058=$B9059, $A$2:$A9058+$C$2:$C9058)), "")*24*60, "")</f>
        <v/>
      </c>
      <c r="L9059" s="24" t="str" cm="1">
        <f t="array" ref="L9059">IFERROR(IF($B9059=L$1, ($A9059+$C9059) - MAX(IF($B$2:$B9058=$B9059, $A$2:$A9058+$C$2:$C9058)), "")*24*60, "")</f>
        <v/>
      </c>
      <c r="M9059" s="24" t="str" cm="1">
        <f t="array" ref="M9059">IFERROR(IF($B9059=M$1, ($A9059+$C9059) - MAX(IF($B$2:$B9058=$B9059, $A$2:$A9058+$C$2:$C9058)), "")*24*60, "")</f>
        <v/>
      </c>
      <c r="N9059" s="24" t="str" cm="1">
        <f t="array" ref="N9059">IFERROR(IF($B9059=N$1, ($A9059+$C9059) - MAX(IF($B$2:$B9058=$B9059, $A$2:$A9058+$C$2:$C9058)), "")*24*60, "")</f>
        <v/>
      </c>
      <c r="O9059" s="24" t="str" cm="1">
        <f t="array" ref="O9059">IFERROR(IF($B9059=O$1, ($A9059+$C9059) - MAX(IF($B$2:$B9058=$B9059, $A$2:$A9058+$C$2:$C9058)), "")*24*60, "")</f>
        <v/>
      </c>
      <c r="P9059" s="24" t="str" cm="1">
        <f t="array" ref="P9059">IFERROR(IF($B9059=P$1, ($A9059+$C9059) - MAX(IF($B$2:$B9058=$B9059, $A$2:$A9058+$C$2:$C9058)), "")*24*60, "")</f>
        <v/>
      </c>
      <c r="Q9059" s="24" t="str" cm="1">
        <f t="array" ref="Q9059">IFERROR(IF($B9059=Q$1, ($A9059+$C9059) - MAX(IF($B$2:$B9058=$B9059, $A$2:$A9058+$C$2:$C9058)), "")*24*60, "")</f>
        <v/>
      </c>
      <c r="R9059" s="24" t="str" cm="1">
        <f t="array" ref="R9059">IFERROR(IF($B9059=R$1, ($A9059+$C9059) - MAX(IF($B$2:$B9058=$B9059, $A$2:$A9058+$C$2:$C9058)), "")*24*60, "")</f>
        <v/>
      </c>
      <c r="S9059" s="24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C9060" si="1492">A9059</f>
        <v>46041</v>
      </c>
      <c r="B9060" s="5" t="str">
        <f t="shared" si="1492"/>
        <v>Northern Cardinal</v>
      </c>
      <c r="C9060" s="6">
        <v>0.74652777777777779</v>
      </c>
      <c r="D9060" s="5"/>
      <c r="E9060" s="5"/>
      <c r="F9060" s="5" t="s">
        <v>9</v>
      </c>
      <c r="G9060" s="15" t="s">
        <v>9</v>
      </c>
      <c r="H9060" s="24">
        <f t="shared" si="1412"/>
        <v>1.000000003259629</v>
      </c>
      <c r="I9060" s="24" cm="1">
        <f t="array" ref="I9060">IFERROR(IF($B9060=I$1, ($A9060+$C9060) - MAX(IF($B$2:$B9059=$B9060, $A$2:$A9059+$C$2:$C9059)), "")*24*60, "")</f>
        <v>1.000000003259629</v>
      </c>
      <c r="J9060" s="24" t="str" cm="1">
        <f t="array" ref="J9060">IFERROR(IF($B9060=J$1, ($A9060+$C9060) - MAX(IF($B$2:$B9059=$B9060, $A$2:$A9059+$C$2:$C9059)), "")*24*60, "")</f>
        <v/>
      </c>
      <c r="K9060" s="24" t="str" cm="1">
        <f t="array" ref="K9060">IFERROR(IF($B9060=K$1, ($A9060+$C9060) - MAX(IF($B$2:$B9059=$B9060, $A$2:$A9059+$C$2:$C9059)), "")*24*60, "")</f>
        <v/>
      </c>
      <c r="L9060" s="24" t="str" cm="1">
        <f t="array" ref="L9060">IFERROR(IF($B9060=L$1, ($A9060+$C9060) - MAX(IF($B$2:$B9059=$B9060, $A$2:$A9059+$C$2:$C9059)), "")*24*60, "")</f>
        <v/>
      </c>
      <c r="M9060" s="24" t="str" cm="1">
        <f t="array" ref="M9060">IFERROR(IF($B9060=M$1, ($A9060+$C9060) - MAX(IF($B$2:$B9059=$B9060, $A$2:$A9059+$C$2:$C9059)), "")*24*60, "")</f>
        <v/>
      </c>
      <c r="N9060" s="24" t="str" cm="1">
        <f t="array" ref="N9060">IFERROR(IF($B9060=N$1, ($A9060+$C9060) - MAX(IF($B$2:$B9059=$B9060, $A$2:$A9059+$C$2:$C9059)), "")*24*60, "")</f>
        <v/>
      </c>
      <c r="O9060" s="24" t="str" cm="1">
        <f t="array" ref="O9060">IFERROR(IF($B9060=O$1, ($A9060+$C9060) - MAX(IF($B$2:$B9059=$B9060, $A$2:$A9059+$C$2:$C9059)), "")*24*60, "")</f>
        <v/>
      </c>
      <c r="P9060" s="24" t="str" cm="1">
        <f t="array" ref="P9060">IFERROR(IF($B9060=P$1, ($A9060+$C9060) - MAX(IF($B$2:$B9059=$B9060, $A$2:$A9059+$C$2:$C9059)), "")*24*60, "")</f>
        <v/>
      </c>
      <c r="Q9060" s="24" t="str" cm="1">
        <f t="array" ref="Q9060">IFERROR(IF($B9060=Q$1, ($A9060+$C9060) - MAX(IF($B$2:$B9059=$B9060, $A$2:$A9059+$C$2:$C9059)), "")*24*60, "")</f>
        <v/>
      </c>
      <c r="R9060" s="24" t="str" cm="1">
        <f t="array" ref="R9060">IFERROR(IF($B9060=R$1, ($A9060+$C9060) - MAX(IF($B$2:$B9059=$B9060, $A$2:$A9059+$C$2:$C9059)), "")*24*60, "")</f>
        <v/>
      </c>
      <c r="S9060" s="24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5"/>
      <c r="E9061" s="5"/>
      <c r="F9061" s="5" t="s">
        <v>9</v>
      </c>
      <c r="G9061" s="15" t="s">
        <v>9</v>
      </c>
      <c r="H9061" s="24">
        <f t="shared" si="1412"/>
        <v>0</v>
      </c>
      <c r="I9061" s="24" cm="1">
        <f t="array" ref="I9061">IFERROR(IF($B9061=I$1, ($A9061+$C9061) - MAX(IF($B$2:$B9060=$B9061, $A$2:$A9060+$C$2:$C9060)), "")*24*60, "")</f>
        <v>0</v>
      </c>
      <c r="J9061" s="24" t="str" cm="1">
        <f t="array" ref="J9061">IFERROR(IF($B9061=J$1, ($A9061+$C9061) - MAX(IF($B$2:$B9060=$B9061, $A$2:$A9060+$C$2:$C9060)), "")*24*60, "")</f>
        <v/>
      </c>
      <c r="K9061" s="24" t="str" cm="1">
        <f t="array" ref="K9061">IFERROR(IF($B9061=K$1, ($A9061+$C9061) - MAX(IF($B$2:$B9060=$B9061, $A$2:$A9060+$C$2:$C9060)), "")*24*60, "")</f>
        <v/>
      </c>
      <c r="L9061" s="24" t="str" cm="1">
        <f t="array" ref="L9061">IFERROR(IF($B9061=L$1, ($A9061+$C9061) - MAX(IF($B$2:$B9060=$B9061, $A$2:$A9060+$C$2:$C9060)), "")*24*60, "")</f>
        <v/>
      </c>
      <c r="M9061" s="24" t="str" cm="1">
        <f t="array" ref="M9061">IFERROR(IF($B9061=M$1, ($A9061+$C9061) - MAX(IF($B$2:$B9060=$B9061, $A$2:$A9060+$C$2:$C9060)), "")*24*60, "")</f>
        <v/>
      </c>
      <c r="N9061" s="24" t="str" cm="1">
        <f t="array" ref="N9061">IFERROR(IF($B9061=N$1, ($A9061+$C9061) - MAX(IF($B$2:$B9060=$B9061, $A$2:$A9060+$C$2:$C9060)), "")*24*60, "")</f>
        <v/>
      </c>
      <c r="O9061" s="24" t="str" cm="1">
        <f t="array" ref="O9061">IFERROR(IF($B9061=O$1, ($A9061+$C9061) - MAX(IF($B$2:$B9060=$B9061, $A$2:$A9060+$C$2:$C9060)), "")*24*60, "")</f>
        <v/>
      </c>
      <c r="P9061" s="24" t="str" cm="1">
        <f t="array" ref="P9061">IFERROR(IF($B9061=P$1, ($A9061+$C9061) - MAX(IF($B$2:$B9060=$B9061, $A$2:$A9060+$C$2:$C9060)), "")*24*60, "")</f>
        <v/>
      </c>
      <c r="Q9061" s="24" t="str" cm="1">
        <f t="array" ref="Q9061">IFERROR(IF($B9061=Q$1, ($A9061+$C9061) - MAX(IF($B$2:$B9060=$B9061, $A$2:$A9060+$C$2:$C9060)), "")*24*60, "")</f>
        <v/>
      </c>
      <c r="R9061" s="24" t="str" cm="1">
        <f t="array" ref="R9061">IFERROR(IF($B9061=R$1, ($A9061+$C9061) - MAX(IF($B$2:$B9060=$B9061, $A$2:$A9060+$C$2:$C9060)), "")*24*60, "")</f>
        <v/>
      </c>
      <c r="S9061" s="24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C9062" si="1494">A9061</f>
        <v>46041</v>
      </c>
      <c r="B9062" s="5" t="str">
        <f t="shared" si="1494"/>
        <v>Northern Cardinal</v>
      </c>
      <c r="C9062" s="6">
        <v>0.74722222222222223</v>
      </c>
      <c r="D9062" s="5"/>
      <c r="E9062" s="5"/>
      <c r="F9062" s="5" t="s">
        <v>9</v>
      </c>
      <c r="G9062" s="15" t="s">
        <v>9</v>
      </c>
      <c r="H9062" s="24">
        <f t="shared" si="1412"/>
        <v>0.99999999278225005</v>
      </c>
      <c r="I9062" s="24" cm="1">
        <f t="array" ref="I9062">IFERROR(IF($B9062=I$1, ($A9062+$C9062) - MAX(IF($B$2:$B9061=$B9062, $A$2:$A9061+$C$2:$C9061)), "")*24*60, "")</f>
        <v>0.99999999278225005</v>
      </c>
      <c r="J9062" s="24" t="str" cm="1">
        <f t="array" ref="J9062">IFERROR(IF($B9062=J$1, ($A9062+$C9062) - MAX(IF($B$2:$B9061=$B9062, $A$2:$A9061+$C$2:$C9061)), "")*24*60, "")</f>
        <v/>
      </c>
      <c r="K9062" s="24" t="str" cm="1">
        <f t="array" ref="K9062">IFERROR(IF($B9062=K$1, ($A9062+$C9062) - MAX(IF($B$2:$B9061=$B9062, $A$2:$A9061+$C$2:$C9061)), "")*24*60, "")</f>
        <v/>
      </c>
      <c r="L9062" s="24" t="str" cm="1">
        <f t="array" ref="L9062">IFERROR(IF($B9062=L$1, ($A9062+$C9062) - MAX(IF($B$2:$B9061=$B9062, $A$2:$A9061+$C$2:$C9061)), "")*24*60, "")</f>
        <v/>
      </c>
      <c r="M9062" s="24" t="str" cm="1">
        <f t="array" ref="M9062">IFERROR(IF($B9062=M$1, ($A9062+$C9062) - MAX(IF($B$2:$B9061=$B9062, $A$2:$A9061+$C$2:$C9061)), "")*24*60, "")</f>
        <v/>
      </c>
      <c r="N9062" s="24" t="str" cm="1">
        <f t="array" ref="N9062">IFERROR(IF($B9062=N$1, ($A9062+$C9062) - MAX(IF($B$2:$B9061=$B9062, $A$2:$A9061+$C$2:$C9061)), "")*24*60, "")</f>
        <v/>
      </c>
      <c r="O9062" s="24" t="str" cm="1">
        <f t="array" ref="O9062">IFERROR(IF($B9062=O$1, ($A9062+$C9062) - MAX(IF($B$2:$B9061=$B9062, $A$2:$A9061+$C$2:$C9061)), "")*24*60, "")</f>
        <v/>
      </c>
      <c r="P9062" s="24" t="str" cm="1">
        <f t="array" ref="P9062">IFERROR(IF($B9062=P$1, ($A9062+$C9062) - MAX(IF($B$2:$B9061=$B9062, $A$2:$A9061+$C$2:$C9061)), "")*24*60, "")</f>
        <v/>
      </c>
      <c r="Q9062" s="24" t="str" cm="1">
        <f t="array" ref="Q9062">IFERROR(IF($B9062=Q$1, ($A9062+$C9062) - MAX(IF($B$2:$B9061=$B9062, $A$2:$A9061+$C$2:$C9061)), "")*24*60, "")</f>
        <v/>
      </c>
      <c r="R9062" s="24" t="str" cm="1">
        <f t="array" ref="R9062">IFERROR(IF($B9062=R$1, ($A9062+$C9062) - MAX(IF($B$2:$B9061=$B9062, $A$2:$A9061+$C$2:$C9061)), "")*24*60, "")</f>
        <v/>
      </c>
      <c r="S9062" s="24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5"/>
      <c r="E9063" s="5"/>
      <c r="F9063" s="5" t="s">
        <v>9</v>
      </c>
      <c r="G9063" s="15" t="s">
        <v>9</v>
      </c>
      <c r="H9063" s="24">
        <f t="shared" si="1412"/>
        <v>0</v>
      </c>
      <c r="I9063" s="24" cm="1">
        <f t="array" ref="I9063">IFERROR(IF($B9063=I$1, ($A9063+$C9063) - MAX(IF($B$2:$B9062=$B9063, $A$2:$A9062+$C$2:$C9062)), "")*24*60, "")</f>
        <v>0</v>
      </c>
      <c r="J9063" s="24" t="str" cm="1">
        <f t="array" ref="J9063">IFERROR(IF($B9063=J$1, ($A9063+$C9063) - MAX(IF($B$2:$B9062=$B9063, $A$2:$A9062+$C$2:$C9062)), "")*24*60, "")</f>
        <v/>
      </c>
      <c r="K9063" s="24" t="str" cm="1">
        <f t="array" ref="K9063">IFERROR(IF($B9063=K$1, ($A9063+$C9063) - MAX(IF($B$2:$B9062=$B9063, $A$2:$A9062+$C$2:$C9062)), "")*24*60, "")</f>
        <v/>
      </c>
      <c r="L9063" s="24" t="str" cm="1">
        <f t="array" ref="L9063">IFERROR(IF($B9063=L$1, ($A9063+$C9063) - MAX(IF($B$2:$B9062=$B9063, $A$2:$A9062+$C$2:$C9062)), "")*24*60, "")</f>
        <v/>
      </c>
      <c r="M9063" s="24" t="str" cm="1">
        <f t="array" ref="M9063">IFERROR(IF($B9063=M$1, ($A9063+$C9063) - MAX(IF($B$2:$B9062=$B9063, $A$2:$A9062+$C$2:$C9062)), "")*24*60, "")</f>
        <v/>
      </c>
      <c r="N9063" s="24" t="str" cm="1">
        <f t="array" ref="N9063">IFERROR(IF($B9063=N$1, ($A9063+$C9063) - MAX(IF($B$2:$B9062=$B9063, $A$2:$A9062+$C$2:$C9062)), "")*24*60, "")</f>
        <v/>
      </c>
      <c r="O9063" s="24" t="str" cm="1">
        <f t="array" ref="O9063">IFERROR(IF($B9063=O$1, ($A9063+$C9063) - MAX(IF($B$2:$B9062=$B9063, $A$2:$A9062+$C$2:$C9062)), "")*24*60, "")</f>
        <v/>
      </c>
      <c r="P9063" s="24" t="str" cm="1">
        <f t="array" ref="P9063">IFERROR(IF($B9063=P$1, ($A9063+$C9063) - MAX(IF($B$2:$B9062=$B9063, $A$2:$A9062+$C$2:$C9062)), "")*24*60, "")</f>
        <v/>
      </c>
      <c r="Q9063" s="24" t="str" cm="1">
        <f t="array" ref="Q9063">IFERROR(IF($B9063=Q$1, ($A9063+$C9063) - MAX(IF($B$2:$B9062=$B9063, $A$2:$A9062+$C$2:$C9062)), "")*24*60, "")</f>
        <v/>
      </c>
      <c r="R9063" s="24" t="str" cm="1">
        <f t="array" ref="R9063">IFERROR(IF($B9063=R$1, ($A9063+$C9063) - MAX(IF($B$2:$B9062=$B9063, $A$2:$A9062+$C$2:$C9062)), "")*24*60, "")</f>
        <v/>
      </c>
      <c r="S9063" s="24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C9064" si="1496">A9063</f>
        <v>46041</v>
      </c>
      <c r="B9064" s="5" t="str">
        <f t="shared" si="1496"/>
        <v>Northern Cardinal</v>
      </c>
      <c r="C9064" s="6">
        <v>0.74791666666666667</v>
      </c>
      <c r="D9064" s="5"/>
      <c r="E9064" s="5"/>
      <c r="F9064" s="5" t="s">
        <v>9</v>
      </c>
      <c r="G9064" s="15" t="s">
        <v>9</v>
      </c>
      <c r="H9064" s="24">
        <f t="shared" si="1412"/>
        <v>1.000000003259629</v>
      </c>
      <c r="I9064" s="24" cm="1">
        <f t="array" ref="I9064">IFERROR(IF($B9064=I$1, ($A9064+$C9064) - MAX(IF($B$2:$B9063=$B9064, $A$2:$A9063+$C$2:$C9063)), "")*24*60, "")</f>
        <v>1.000000003259629</v>
      </c>
      <c r="J9064" s="24" t="str" cm="1">
        <f t="array" ref="J9064">IFERROR(IF($B9064=J$1, ($A9064+$C9064) - MAX(IF($B$2:$B9063=$B9064, $A$2:$A9063+$C$2:$C9063)), "")*24*60, "")</f>
        <v/>
      </c>
      <c r="K9064" s="24" t="str" cm="1">
        <f t="array" ref="K9064">IFERROR(IF($B9064=K$1, ($A9064+$C9064) - MAX(IF($B$2:$B9063=$B9064, $A$2:$A9063+$C$2:$C9063)), "")*24*60, "")</f>
        <v/>
      </c>
      <c r="L9064" s="24" t="str" cm="1">
        <f t="array" ref="L9064">IFERROR(IF($B9064=L$1, ($A9064+$C9064) - MAX(IF($B$2:$B9063=$B9064, $A$2:$A9063+$C$2:$C9063)), "")*24*60, "")</f>
        <v/>
      </c>
      <c r="M9064" s="24" t="str" cm="1">
        <f t="array" ref="M9064">IFERROR(IF($B9064=M$1, ($A9064+$C9064) - MAX(IF($B$2:$B9063=$B9064, $A$2:$A9063+$C$2:$C9063)), "")*24*60, "")</f>
        <v/>
      </c>
      <c r="N9064" s="24" t="str" cm="1">
        <f t="array" ref="N9064">IFERROR(IF($B9064=N$1, ($A9064+$C9064) - MAX(IF($B$2:$B9063=$B9064, $A$2:$A9063+$C$2:$C9063)), "")*24*60, "")</f>
        <v/>
      </c>
      <c r="O9064" s="24" t="str" cm="1">
        <f t="array" ref="O9064">IFERROR(IF($B9064=O$1, ($A9064+$C9064) - MAX(IF($B$2:$B9063=$B9064, $A$2:$A9063+$C$2:$C9063)), "")*24*60, "")</f>
        <v/>
      </c>
      <c r="P9064" s="24" t="str" cm="1">
        <f t="array" ref="P9064">IFERROR(IF($B9064=P$1, ($A9064+$C9064) - MAX(IF($B$2:$B9063=$B9064, $A$2:$A9063+$C$2:$C9063)), "")*24*60, "")</f>
        <v/>
      </c>
      <c r="Q9064" s="24" t="str" cm="1">
        <f t="array" ref="Q9064">IFERROR(IF($B9064=Q$1, ($A9064+$C9064) - MAX(IF($B$2:$B9063=$B9064, $A$2:$A9063+$C$2:$C9063)), "")*24*60, "")</f>
        <v/>
      </c>
      <c r="R9064" s="24" t="str" cm="1">
        <f t="array" ref="R9064">IFERROR(IF($B9064=R$1, ($A9064+$C9064) - MAX(IF($B$2:$B9063=$B9064, $A$2:$A9063+$C$2:$C9063)), "")*24*60, "")</f>
        <v/>
      </c>
      <c r="S9064" s="24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C9065" si="1497">A9064</f>
        <v>46041</v>
      </c>
      <c r="B9065" s="5" t="str">
        <f t="shared" si="1497"/>
        <v>Northern Cardinal</v>
      </c>
      <c r="C9065" s="6">
        <v>0.74861111111111112</v>
      </c>
      <c r="D9065" s="5"/>
      <c r="E9065" s="5"/>
      <c r="F9065" s="5" t="s">
        <v>9</v>
      </c>
      <c r="G9065" s="15" t="s">
        <v>9</v>
      </c>
      <c r="H9065" s="24">
        <f t="shared" si="1412"/>
        <v>1.000000003259629</v>
      </c>
      <c r="I9065" s="24" cm="1">
        <f t="array" ref="I9065">IFERROR(IF($B9065=I$1, ($A9065+$C9065) - MAX(IF($B$2:$B9064=$B9065, $A$2:$A9064+$C$2:$C9064)), "")*24*60, "")</f>
        <v>1.000000003259629</v>
      </c>
      <c r="J9065" s="24" t="str" cm="1">
        <f t="array" ref="J9065">IFERROR(IF($B9065=J$1, ($A9065+$C9065) - MAX(IF($B$2:$B9064=$B9065, $A$2:$A9064+$C$2:$C9064)), "")*24*60, "")</f>
        <v/>
      </c>
      <c r="K9065" s="24" t="str" cm="1">
        <f t="array" ref="K9065">IFERROR(IF($B9065=K$1, ($A9065+$C9065) - MAX(IF($B$2:$B9064=$B9065, $A$2:$A9064+$C$2:$C9064)), "")*24*60, "")</f>
        <v/>
      </c>
      <c r="L9065" s="24" t="str" cm="1">
        <f t="array" ref="L9065">IFERROR(IF($B9065=L$1, ($A9065+$C9065) - MAX(IF($B$2:$B9064=$B9065, $A$2:$A9064+$C$2:$C9064)), "")*24*60, "")</f>
        <v/>
      </c>
      <c r="M9065" s="24" t="str" cm="1">
        <f t="array" ref="M9065">IFERROR(IF($B9065=M$1, ($A9065+$C9065) - MAX(IF($B$2:$B9064=$B9065, $A$2:$A9064+$C$2:$C9064)), "")*24*60, "")</f>
        <v/>
      </c>
      <c r="N9065" s="24" t="str" cm="1">
        <f t="array" ref="N9065">IFERROR(IF($B9065=N$1, ($A9065+$C9065) - MAX(IF($B$2:$B9064=$B9065, $A$2:$A9064+$C$2:$C9064)), "")*24*60, "")</f>
        <v/>
      </c>
      <c r="O9065" s="24" t="str" cm="1">
        <f t="array" ref="O9065">IFERROR(IF($B9065=O$1, ($A9065+$C9065) - MAX(IF($B$2:$B9064=$B9065, $A$2:$A9064+$C$2:$C9064)), "")*24*60, "")</f>
        <v/>
      </c>
      <c r="P9065" s="24" t="str" cm="1">
        <f t="array" ref="P9065">IFERROR(IF($B9065=P$1, ($A9065+$C9065) - MAX(IF($B$2:$B9064=$B9065, $A$2:$A9064+$C$2:$C9064)), "")*24*60, "")</f>
        <v/>
      </c>
      <c r="Q9065" s="24" t="str" cm="1">
        <f t="array" ref="Q9065">IFERROR(IF($B9065=Q$1, ($A9065+$C9065) - MAX(IF($B$2:$B9064=$B9065, $A$2:$A9064+$C$2:$C9064)), "")*24*60, "")</f>
        <v/>
      </c>
      <c r="R9065" s="24" t="str" cm="1">
        <f t="array" ref="R9065">IFERROR(IF($B9065=R$1, ($A9065+$C9065) - MAX(IF($B$2:$B9064=$B9065, $A$2:$A9064+$C$2:$C9064)), "")*24*60, "")</f>
        <v/>
      </c>
      <c r="S9065" s="24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5"/>
      <c r="E9066" s="5"/>
      <c r="F9066" s="5" t="s">
        <v>9</v>
      </c>
      <c r="G9066" s="15" t="s">
        <v>9</v>
      </c>
      <c r="H9066" s="24">
        <f t="shared" si="1412"/>
        <v>0</v>
      </c>
      <c r="I9066" s="24" cm="1">
        <f t="array" ref="I9066">IFERROR(IF($B9066=I$1, ($A9066+$C9066) - MAX(IF($B$2:$B9065=$B9066, $A$2:$A9065+$C$2:$C9065)), "")*24*60, "")</f>
        <v>0</v>
      </c>
      <c r="J9066" s="24" t="str" cm="1">
        <f t="array" ref="J9066">IFERROR(IF($B9066=J$1, ($A9066+$C9066) - MAX(IF($B$2:$B9065=$B9066, $A$2:$A9065+$C$2:$C9065)), "")*24*60, "")</f>
        <v/>
      </c>
      <c r="K9066" s="24" t="str" cm="1">
        <f t="array" ref="K9066">IFERROR(IF($B9066=K$1, ($A9066+$C9066) - MAX(IF($B$2:$B9065=$B9066, $A$2:$A9065+$C$2:$C9065)), "")*24*60, "")</f>
        <v/>
      </c>
      <c r="L9066" s="24" t="str" cm="1">
        <f t="array" ref="L9066">IFERROR(IF($B9066=L$1, ($A9066+$C9066) - MAX(IF($B$2:$B9065=$B9066, $A$2:$A9065+$C$2:$C9065)), "")*24*60, "")</f>
        <v/>
      </c>
      <c r="M9066" s="24" t="str" cm="1">
        <f t="array" ref="M9066">IFERROR(IF($B9066=M$1, ($A9066+$C9066) - MAX(IF($B$2:$B9065=$B9066, $A$2:$A9065+$C$2:$C9065)), "")*24*60, "")</f>
        <v/>
      </c>
      <c r="N9066" s="24" t="str" cm="1">
        <f t="array" ref="N9066">IFERROR(IF($B9066=N$1, ($A9066+$C9066) - MAX(IF($B$2:$B9065=$B9066, $A$2:$A9065+$C$2:$C9065)), "")*24*60, "")</f>
        <v/>
      </c>
      <c r="O9066" s="24" t="str" cm="1">
        <f t="array" ref="O9066">IFERROR(IF($B9066=O$1, ($A9066+$C9066) - MAX(IF($B$2:$B9065=$B9066, $A$2:$A9065+$C$2:$C9065)), "")*24*60, "")</f>
        <v/>
      </c>
      <c r="P9066" s="24" t="str" cm="1">
        <f t="array" ref="P9066">IFERROR(IF($B9066=P$1, ($A9066+$C9066) - MAX(IF($B$2:$B9065=$B9066, $A$2:$A9065+$C$2:$C9065)), "")*24*60, "")</f>
        <v/>
      </c>
      <c r="Q9066" s="24" t="str" cm="1">
        <f t="array" ref="Q9066">IFERROR(IF($B9066=Q$1, ($A9066+$C9066) - MAX(IF($B$2:$B9065=$B9066, $A$2:$A9065+$C$2:$C9065)), "")*24*60, "")</f>
        <v/>
      </c>
      <c r="R9066" s="24" t="str" cm="1">
        <f t="array" ref="R9066">IFERROR(IF($B9066=R$1, ($A9066+$C9066) - MAX(IF($B$2:$B9065=$B9066, $A$2:$A9065+$C$2:$C9065)), "")*24*60, "")</f>
        <v/>
      </c>
      <c r="S9066" s="24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C9067" si="1499">A9066</f>
        <v>46041</v>
      </c>
      <c r="B9067" s="5" t="str">
        <f t="shared" si="1499"/>
        <v>Northern Cardinal</v>
      </c>
      <c r="C9067" s="6">
        <v>0.74930555555555556</v>
      </c>
      <c r="D9067" s="5"/>
      <c r="E9067" s="5"/>
      <c r="F9067" s="5" t="s">
        <v>9</v>
      </c>
      <c r="G9067" s="15" t="s">
        <v>9</v>
      </c>
      <c r="H9067" s="24">
        <f t="shared" si="1412"/>
        <v>0.99999999278225005</v>
      </c>
      <c r="I9067" s="24" cm="1">
        <f t="array" ref="I9067">IFERROR(IF($B9067=I$1, ($A9067+$C9067) - MAX(IF($B$2:$B9066=$B9067, $A$2:$A9066+$C$2:$C9066)), "")*24*60, "")</f>
        <v>0.99999999278225005</v>
      </c>
      <c r="J9067" s="24" t="str" cm="1">
        <f t="array" ref="J9067">IFERROR(IF($B9067=J$1, ($A9067+$C9067) - MAX(IF($B$2:$B9066=$B9067, $A$2:$A9066+$C$2:$C9066)), "")*24*60, "")</f>
        <v/>
      </c>
      <c r="K9067" s="24" t="str" cm="1">
        <f t="array" ref="K9067">IFERROR(IF($B9067=K$1, ($A9067+$C9067) - MAX(IF($B$2:$B9066=$B9067, $A$2:$A9066+$C$2:$C9066)), "")*24*60, "")</f>
        <v/>
      </c>
      <c r="L9067" s="24" t="str" cm="1">
        <f t="array" ref="L9067">IFERROR(IF($B9067=L$1, ($A9067+$C9067) - MAX(IF($B$2:$B9066=$B9067, $A$2:$A9066+$C$2:$C9066)), "")*24*60, "")</f>
        <v/>
      </c>
      <c r="M9067" s="24" t="str" cm="1">
        <f t="array" ref="M9067">IFERROR(IF($B9067=M$1, ($A9067+$C9067) - MAX(IF($B$2:$B9066=$B9067, $A$2:$A9066+$C$2:$C9066)), "")*24*60, "")</f>
        <v/>
      </c>
      <c r="N9067" s="24" t="str" cm="1">
        <f t="array" ref="N9067">IFERROR(IF($B9067=N$1, ($A9067+$C9067) - MAX(IF($B$2:$B9066=$B9067, $A$2:$A9066+$C$2:$C9066)), "")*24*60, "")</f>
        <v/>
      </c>
      <c r="O9067" s="24" t="str" cm="1">
        <f t="array" ref="O9067">IFERROR(IF($B9067=O$1, ($A9067+$C9067) - MAX(IF($B$2:$B9066=$B9067, $A$2:$A9066+$C$2:$C9066)), "")*24*60, "")</f>
        <v/>
      </c>
      <c r="P9067" s="24" t="str" cm="1">
        <f t="array" ref="P9067">IFERROR(IF($B9067=P$1, ($A9067+$C9067) - MAX(IF($B$2:$B9066=$B9067, $A$2:$A9066+$C$2:$C9066)), "")*24*60, "")</f>
        <v/>
      </c>
      <c r="Q9067" s="24" t="str" cm="1">
        <f t="array" ref="Q9067">IFERROR(IF($B9067=Q$1, ($A9067+$C9067) - MAX(IF($B$2:$B9066=$B9067, $A$2:$A9066+$C$2:$C9066)), "")*24*60, "")</f>
        <v/>
      </c>
      <c r="R9067" s="24" t="str" cm="1">
        <f t="array" ref="R9067">IFERROR(IF($B9067=R$1, ($A9067+$C9067) - MAX(IF($B$2:$B9066=$B9067, $A$2:$A9066+$C$2:$C9066)), "")*24*60, "")</f>
        <v/>
      </c>
      <c r="S9067" s="24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5"/>
      <c r="E9068" s="5"/>
      <c r="F9068" s="5" t="s">
        <v>9</v>
      </c>
      <c r="G9068" s="15" t="s">
        <v>9</v>
      </c>
      <c r="H9068" s="24">
        <f t="shared" si="1412"/>
        <v>0</v>
      </c>
      <c r="I9068" s="24" cm="1">
        <f t="array" ref="I9068">IFERROR(IF($B9068=I$1, ($A9068+$C9068) - MAX(IF($B$2:$B9067=$B9068, $A$2:$A9067+$C$2:$C9067)), "")*24*60, "")</f>
        <v>0</v>
      </c>
      <c r="J9068" s="24" t="str" cm="1">
        <f t="array" ref="J9068">IFERROR(IF($B9068=J$1, ($A9068+$C9068) - MAX(IF($B$2:$B9067=$B9068, $A$2:$A9067+$C$2:$C9067)), "")*24*60, "")</f>
        <v/>
      </c>
      <c r="K9068" s="24" t="str" cm="1">
        <f t="array" ref="K9068">IFERROR(IF($B9068=K$1, ($A9068+$C9068) - MAX(IF($B$2:$B9067=$B9068, $A$2:$A9067+$C$2:$C9067)), "")*24*60, "")</f>
        <v/>
      </c>
      <c r="L9068" s="24" t="str" cm="1">
        <f t="array" ref="L9068">IFERROR(IF($B9068=L$1, ($A9068+$C9068) - MAX(IF($B$2:$B9067=$B9068, $A$2:$A9067+$C$2:$C9067)), "")*24*60, "")</f>
        <v/>
      </c>
      <c r="M9068" s="24" t="str" cm="1">
        <f t="array" ref="M9068">IFERROR(IF($B9068=M$1, ($A9068+$C9068) - MAX(IF($B$2:$B9067=$B9068, $A$2:$A9067+$C$2:$C9067)), "")*24*60, "")</f>
        <v/>
      </c>
      <c r="N9068" s="24" t="str" cm="1">
        <f t="array" ref="N9068">IFERROR(IF($B9068=N$1, ($A9068+$C9068) - MAX(IF($B$2:$B9067=$B9068, $A$2:$A9067+$C$2:$C9067)), "")*24*60, "")</f>
        <v/>
      </c>
      <c r="O9068" s="24" t="str" cm="1">
        <f t="array" ref="O9068">IFERROR(IF($B9068=O$1, ($A9068+$C9068) - MAX(IF($B$2:$B9067=$B9068, $A$2:$A9067+$C$2:$C9067)), "")*24*60, "")</f>
        <v/>
      </c>
      <c r="P9068" s="24" t="str" cm="1">
        <f t="array" ref="P9068">IFERROR(IF($B9068=P$1, ($A9068+$C9068) - MAX(IF($B$2:$B9067=$B9068, $A$2:$A9067+$C$2:$C9067)), "")*24*60, "")</f>
        <v/>
      </c>
      <c r="Q9068" s="24" t="str" cm="1">
        <f t="array" ref="Q9068">IFERROR(IF($B9068=Q$1, ($A9068+$C9068) - MAX(IF($B$2:$B9067=$B9068, $A$2:$A9067+$C$2:$C9067)), "")*24*60, "")</f>
        <v/>
      </c>
      <c r="R9068" s="24" t="str" cm="1">
        <f t="array" ref="R9068">IFERROR(IF($B9068=R$1, ($A9068+$C9068) - MAX(IF($B$2:$B9067=$B9068, $A$2:$A9067+$C$2:$C9067)), "")*24*60, "")</f>
        <v/>
      </c>
      <c r="S9068" s="24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5"/>
      <c r="E9069" s="5"/>
      <c r="F9069" s="5" t="s">
        <v>9</v>
      </c>
      <c r="G9069" s="15" t="s">
        <v>9</v>
      </c>
      <c r="H9069" s="24">
        <f t="shared" si="1412"/>
        <v>0</v>
      </c>
      <c r="I9069" s="24" cm="1">
        <f t="array" ref="I9069">IFERROR(IF($B9069=I$1, ($A9069+$C9069) - MAX(IF($B$2:$B9068=$B9069, $A$2:$A9068+$C$2:$C9068)), "")*24*60, "")</f>
        <v>0</v>
      </c>
      <c r="J9069" s="24" t="str" cm="1">
        <f t="array" ref="J9069">IFERROR(IF($B9069=J$1, ($A9069+$C9069) - MAX(IF($B$2:$B9068=$B9069, $A$2:$A9068+$C$2:$C9068)), "")*24*60, "")</f>
        <v/>
      </c>
      <c r="K9069" s="24" t="str" cm="1">
        <f t="array" ref="K9069">IFERROR(IF($B9069=K$1, ($A9069+$C9069) - MAX(IF($B$2:$B9068=$B9069, $A$2:$A9068+$C$2:$C9068)), "")*24*60, "")</f>
        <v/>
      </c>
      <c r="L9069" s="24" t="str" cm="1">
        <f t="array" ref="L9069">IFERROR(IF($B9069=L$1, ($A9069+$C9069) - MAX(IF($B$2:$B9068=$B9069, $A$2:$A9068+$C$2:$C9068)), "")*24*60, "")</f>
        <v/>
      </c>
      <c r="M9069" s="24" t="str" cm="1">
        <f t="array" ref="M9069">IFERROR(IF($B9069=M$1, ($A9069+$C9069) - MAX(IF($B$2:$B9068=$B9069, $A$2:$A9068+$C$2:$C9068)), "")*24*60, "")</f>
        <v/>
      </c>
      <c r="N9069" s="24" t="str" cm="1">
        <f t="array" ref="N9069">IFERROR(IF($B9069=N$1, ($A9069+$C9069) - MAX(IF($B$2:$B9068=$B9069, $A$2:$A9068+$C$2:$C9068)), "")*24*60, "")</f>
        <v/>
      </c>
      <c r="O9069" s="24" t="str" cm="1">
        <f t="array" ref="O9069">IFERROR(IF($B9069=O$1, ($A9069+$C9069) - MAX(IF($B$2:$B9068=$B9069, $A$2:$A9068+$C$2:$C9068)), "")*24*60, "")</f>
        <v/>
      </c>
      <c r="P9069" s="24" t="str" cm="1">
        <f t="array" ref="P9069">IFERROR(IF($B9069=P$1, ($A9069+$C9069) - MAX(IF($B$2:$B9068=$B9069, $A$2:$A9068+$C$2:$C9068)), "")*24*60, "")</f>
        <v/>
      </c>
      <c r="Q9069" s="24" t="str" cm="1">
        <f t="array" ref="Q9069">IFERROR(IF($B9069=Q$1, ($A9069+$C9069) - MAX(IF($B$2:$B9068=$B9069, $A$2:$A9068+$C$2:$C9068)), "")*24*60, "")</f>
        <v/>
      </c>
      <c r="R9069" s="24" t="str" cm="1">
        <f t="array" ref="R9069">IFERROR(IF($B9069=R$1, ($A9069+$C9069) - MAX(IF($B$2:$B9068=$B9069, $A$2:$A9068+$C$2:$C9068)), "")*24*60, "")</f>
        <v/>
      </c>
      <c r="S9069" s="24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C9070" si="1502">A9069</f>
        <v>46041</v>
      </c>
      <c r="B9070" s="5" t="str">
        <f t="shared" si="1502"/>
        <v>Northern Cardinal</v>
      </c>
      <c r="C9070" s="6">
        <v>0.75</v>
      </c>
      <c r="D9070" s="5"/>
      <c r="E9070" s="5"/>
      <c r="F9070" s="5" t="s">
        <v>9</v>
      </c>
      <c r="G9070" s="15" t="s">
        <v>9</v>
      </c>
      <c r="H9070" s="24">
        <f t="shared" si="1412"/>
        <v>1.000000003259629</v>
      </c>
      <c r="I9070" s="24" cm="1">
        <f t="array" ref="I9070">IFERROR(IF($B9070=I$1, ($A9070+$C9070) - MAX(IF($B$2:$B9069=$B9070, $A$2:$A9069+$C$2:$C9069)), "")*24*60, "")</f>
        <v>1.000000003259629</v>
      </c>
      <c r="J9070" s="24" t="str" cm="1">
        <f t="array" ref="J9070">IFERROR(IF($B9070=J$1, ($A9070+$C9070) - MAX(IF($B$2:$B9069=$B9070, $A$2:$A9069+$C$2:$C9069)), "")*24*60, "")</f>
        <v/>
      </c>
      <c r="K9070" s="24" t="str" cm="1">
        <f t="array" ref="K9070">IFERROR(IF($B9070=K$1, ($A9070+$C9070) - MAX(IF($B$2:$B9069=$B9070, $A$2:$A9069+$C$2:$C9069)), "")*24*60, "")</f>
        <v/>
      </c>
      <c r="L9070" s="24" t="str" cm="1">
        <f t="array" ref="L9070">IFERROR(IF($B9070=L$1, ($A9070+$C9070) - MAX(IF($B$2:$B9069=$B9070, $A$2:$A9069+$C$2:$C9069)), "")*24*60, "")</f>
        <v/>
      </c>
      <c r="M9070" s="24" t="str" cm="1">
        <f t="array" ref="M9070">IFERROR(IF($B9070=M$1, ($A9070+$C9070) - MAX(IF($B$2:$B9069=$B9070, $A$2:$A9069+$C$2:$C9069)), "")*24*60, "")</f>
        <v/>
      </c>
      <c r="N9070" s="24" t="str" cm="1">
        <f t="array" ref="N9070">IFERROR(IF($B9070=N$1, ($A9070+$C9070) - MAX(IF($B$2:$B9069=$B9070, $A$2:$A9069+$C$2:$C9069)), "")*24*60, "")</f>
        <v/>
      </c>
      <c r="O9070" s="24" t="str" cm="1">
        <f t="array" ref="O9070">IFERROR(IF($B9070=O$1, ($A9070+$C9070) - MAX(IF($B$2:$B9069=$B9070, $A$2:$A9069+$C$2:$C9069)), "")*24*60, "")</f>
        <v/>
      </c>
      <c r="P9070" s="24" t="str" cm="1">
        <f t="array" ref="P9070">IFERROR(IF($B9070=P$1, ($A9070+$C9070) - MAX(IF($B$2:$B9069=$B9070, $A$2:$A9069+$C$2:$C9069)), "")*24*60, "")</f>
        <v/>
      </c>
      <c r="Q9070" s="24" t="str" cm="1">
        <f t="array" ref="Q9070">IFERROR(IF($B9070=Q$1, ($A9070+$C9070) - MAX(IF($B$2:$B9069=$B9070, $A$2:$A9069+$C$2:$C9069)), "")*24*60, "")</f>
        <v/>
      </c>
      <c r="R9070" s="24" t="str" cm="1">
        <f t="array" ref="R9070">IFERROR(IF($B9070=R$1, ($A9070+$C9070) - MAX(IF($B$2:$B9069=$B9070, $A$2:$A9069+$C$2:$C9069)), "")*24*60, "")</f>
        <v/>
      </c>
      <c r="S9070" s="24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5"/>
      <c r="E9071" s="5"/>
      <c r="F9071" s="5" t="s">
        <v>9</v>
      </c>
      <c r="G9071" s="15" t="s">
        <v>9</v>
      </c>
      <c r="H9071" s="24">
        <f t="shared" si="1412"/>
        <v>0</v>
      </c>
      <c r="I9071" s="24" cm="1">
        <f t="array" ref="I9071">IFERROR(IF($B9071=I$1, ($A9071+$C9071) - MAX(IF($B$2:$B9070=$B9071, $A$2:$A9070+$C$2:$C9070)), "")*24*60, "")</f>
        <v>0</v>
      </c>
      <c r="J9071" s="24" t="str" cm="1">
        <f t="array" ref="J9071">IFERROR(IF($B9071=J$1, ($A9071+$C9071) - MAX(IF($B$2:$B9070=$B9071, $A$2:$A9070+$C$2:$C9070)), "")*24*60, "")</f>
        <v/>
      </c>
      <c r="K9071" s="24" t="str" cm="1">
        <f t="array" ref="K9071">IFERROR(IF($B9071=K$1, ($A9071+$C9071) - MAX(IF($B$2:$B9070=$B9071, $A$2:$A9070+$C$2:$C9070)), "")*24*60, "")</f>
        <v/>
      </c>
      <c r="L9071" s="24" t="str" cm="1">
        <f t="array" ref="L9071">IFERROR(IF($B9071=L$1, ($A9071+$C9071) - MAX(IF($B$2:$B9070=$B9071, $A$2:$A9070+$C$2:$C9070)), "")*24*60, "")</f>
        <v/>
      </c>
      <c r="M9071" s="24" t="str" cm="1">
        <f t="array" ref="M9071">IFERROR(IF($B9071=M$1, ($A9071+$C9071) - MAX(IF($B$2:$B9070=$B9071, $A$2:$A9070+$C$2:$C9070)), "")*24*60, "")</f>
        <v/>
      </c>
      <c r="N9071" s="24" t="str" cm="1">
        <f t="array" ref="N9071">IFERROR(IF($B9071=N$1, ($A9071+$C9071) - MAX(IF($B$2:$B9070=$B9071, $A$2:$A9070+$C$2:$C9070)), "")*24*60, "")</f>
        <v/>
      </c>
      <c r="O9071" s="24" t="str" cm="1">
        <f t="array" ref="O9071">IFERROR(IF($B9071=O$1, ($A9071+$C9071) - MAX(IF($B$2:$B9070=$B9071, $A$2:$A9070+$C$2:$C9070)), "")*24*60, "")</f>
        <v/>
      </c>
      <c r="P9071" s="24" t="str" cm="1">
        <f t="array" ref="P9071">IFERROR(IF($B9071=P$1, ($A9071+$C9071) - MAX(IF($B$2:$B9070=$B9071, $A$2:$A9070+$C$2:$C9070)), "")*24*60, "")</f>
        <v/>
      </c>
      <c r="Q9071" s="24" t="str" cm="1">
        <f t="array" ref="Q9071">IFERROR(IF($B9071=Q$1, ($A9071+$C9071) - MAX(IF($B$2:$B9070=$B9071, $A$2:$A9070+$C$2:$C9070)), "")*24*60, "")</f>
        <v/>
      </c>
      <c r="R9071" s="24" t="str" cm="1">
        <f t="array" ref="R9071">IFERROR(IF($B9071=R$1, ($A9071+$C9071) - MAX(IF($B$2:$B9070=$B9071, $A$2:$A9070+$C$2:$C9070)), "")*24*60, "")</f>
        <v/>
      </c>
      <c r="S9071" s="24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C9072" si="1504">A9071</f>
        <v>46041</v>
      </c>
      <c r="B9072" s="5" t="str">
        <f t="shared" si="1504"/>
        <v>Northern Cardinal</v>
      </c>
      <c r="C9072" s="6">
        <v>0.75069444444444444</v>
      </c>
      <c r="D9072" s="5"/>
      <c r="E9072" s="5"/>
      <c r="F9072" s="5" t="s">
        <v>9</v>
      </c>
      <c r="G9072" s="15" t="s">
        <v>9</v>
      </c>
      <c r="H9072" s="24">
        <f t="shared" si="1412"/>
        <v>1.000000003259629</v>
      </c>
      <c r="I9072" s="24" cm="1">
        <f t="array" ref="I9072">IFERROR(IF($B9072=I$1, ($A9072+$C9072) - MAX(IF($B$2:$B9071=$B9072, $A$2:$A9071+$C$2:$C9071)), "")*24*60, "")</f>
        <v>1.000000003259629</v>
      </c>
      <c r="J9072" s="24" t="str" cm="1">
        <f t="array" ref="J9072">IFERROR(IF($B9072=J$1, ($A9072+$C9072) - MAX(IF($B$2:$B9071=$B9072, $A$2:$A9071+$C$2:$C9071)), "")*24*60, "")</f>
        <v/>
      </c>
      <c r="K9072" s="24" t="str" cm="1">
        <f t="array" ref="K9072">IFERROR(IF($B9072=K$1, ($A9072+$C9072) - MAX(IF($B$2:$B9071=$B9072, $A$2:$A9071+$C$2:$C9071)), "")*24*60, "")</f>
        <v/>
      </c>
      <c r="L9072" s="24" t="str" cm="1">
        <f t="array" ref="L9072">IFERROR(IF($B9072=L$1, ($A9072+$C9072) - MAX(IF($B$2:$B9071=$B9072, $A$2:$A9071+$C$2:$C9071)), "")*24*60, "")</f>
        <v/>
      </c>
      <c r="M9072" s="24" t="str" cm="1">
        <f t="array" ref="M9072">IFERROR(IF($B9072=M$1, ($A9072+$C9072) - MAX(IF($B$2:$B9071=$B9072, $A$2:$A9071+$C$2:$C9071)), "")*24*60, "")</f>
        <v/>
      </c>
      <c r="N9072" s="24" t="str" cm="1">
        <f t="array" ref="N9072">IFERROR(IF($B9072=N$1, ($A9072+$C9072) - MAX(IF($B$2:$B9071=$B9072, $A$2:$A9071+$C$2:$C9071)), "")*24*60, "")</f>
        <v/>
      </c>
      <c r="O9072" s="24" t="str" cm="1">
        <f t="array" ref="O9072">IFERROR(IF($B9072=O$1, ($A9072+$C9072) - MAX(IF($B$2:$B9071=$B9072, $A$2:$A9071+$C$2:$C9071)), "")*24*60, "")</f>
        <v/>
      </c>
      <c r="P9072" s="24" t="str" cm="1">
        <f t="array" ref="P9072">IFERROR(IF($B9072=P$1, ($A9072+$C9072) - MAX(IF($B$2:$B9071=$B9072, $A$2:$A9071+$C$2:$C9071)), "")*24*60, "")</f>
        <v/>
      </c>
      <c r="Q9072" s="24" t="str" cm="1">
        <f t="array" ref="Q9072">IFERROR(IF($B9072=Q$1, ($A9072+$C9072) - MAX(IF($B$2:$B9071=$B9072, $A$2:$A9071+$C$2:$C9071)), "")*24*60, "")</f>
        <v/>
      </c>
      <c r="R9072" s="24" t="str" cm="1">
        <f t="array" ref="R9072">IFERROR(IF($B9072=R$1, ($A9072+$C9072) - MAX(IF($B$2:$B9071=$B9072, $A$2:$A9071+$C$2:$C9071)), "")*24*60, "")</f>
        <v/>
      </c>
      <c r="S9072" s="24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5"/>
      <c r="E9073" s="5"/>
      <c r="F9073" s="5" t="s">
        <v>9</v>
      </c>
      <c r="G9073" s="15" t="s">
        <v>9</v>
      </c>
      <c r="H9073" s="24">
        <f t="shared" si="1412"/>
        <v>0</v>
      </c>
      <c r="I9073" s="24" cm="1">
        <f t="array" ref="I9073">IFERROR(IF($B9073=I$1, ($A9073+$C9073) - MAX(IF($B$2:$B9072=$B9073, $A$2:$A9072+$C$2:$C9072)), "")*24*60, "")</f>
        <v>0</v>
      </c>
      <c r="J9073" s="24" t="str" cm="1">
        <f t="array" ref="J9073">IFERROR(IF($B9073=J$1, ($A9073+$C9073) - MAX(IF($B$2:$B9072=$B9073, $A$2:$A9072+$C$2:$C9072)), "")*24*60, "")</f>
        <v/>
      </c>
      <c r="K9073" s="24" t="str" cm="1">
        <f t="array" ref="K9073">IFERROR(IF($B9073=K$1, ($A9073+$C9073) - MAX(IF($B$2:$B9072=$B9073, $A$2:$A9072+$C$2:$C9072)), "")*24*60, "")</f>
        <v/>
      </c>
      <c r="L9073" s="24" t="str" cm="1">
        <f t="array" ref="L9073">IFERROR(IF($B9073=L$1, ($A9073+$C9073) - MAX(IF($B$2:$B9072=$B9073, $A$2:$A9072+$C$2:$C9072)), "")*24*60, "")</f>
        <v/>
      </c>
      <c r="M9073" s="24" t="str" cm="1">
        <f t="array" ref="M9073">IFERROR(IF($B9073=M$1, ($A9073+$C9073) - MAX(IF($B$2:$B9072=$B9073, $A$2:$A9072+$C$2:$C9072)), "")*24*60, "")</f>
        <v/>
      </c>
      <c r="N9073" s="24" t="str" cm="1">
        <f t="array" ref="N9073">IFERROR(IF($B9073=N$1, ($A9073+$C9073) - MAX(IF($B$2:$B9072=$B9073, $A$2:$A9072+$C$2:$C9072)), "")*24*60, "")</f>
        <v/>
      </c>
      <c r="O9073" s="24" t="str" cm="1">
        <f t="array" ref="O9073">IFERROR(IF($B9073=O$1, ($A9073+$C9073) - MAX(IF($B$2:$B9072=$B9073, $A$2:$A9072+$C$2:$C9072)), "")*24*60, "")</f>
        <v/>
      </c>
      <c r="P9073" s="24" t="str" cm="1">
        <f t="array" ref="P9073">IFERROR(IF($B9073=P$1, ($A9073+$C9073) - MAX(IF($B$2:$B9072=$B9073, $A$2:$A9072+$C$2:$C9072)), "")*24*60, "")</f>
        <v/>
      </c>
      <c r="Q9073" s="24" t="str" cm="1">
        <f t="array" ref="Q9073">IFERROR(IF($B9073=Q$1, ($A9073+$C9073) - MAX(IF($B$2:$B9072=$B9073, $A$2:$A9072+$C$2:$C9072)), "")*24*60, "")</f>
        <v/>
      </c>
      <c r="R9073" s="24" t="str" cm="1">
        <f t="array" ref="R9073">IFERROR(IF($B9073=R$1, ($A9073+$C9073) - MAX(IF($B$2:$B9072=$B9073, $A$2:$A9072+$C$2:$C9072)), "")*24*60, "")</f>
        <v/>
      </c>
      <c r="S9073" s="24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C9074" si="1506">A9073</f>
        <v>46041</v>
      </c>
      <c r="B9074" s="5" t="str">
        <f t="shared" si="1506"/>
        <v>Northern Cardinal</v>
      </c>
      <c r="C9074" s="6">
        <v>0.75277777777777777</v>
      </c>
      <c r="D9074" s="5"/>
      <c r="E9074" s="5"/>
      <c r="F9074" s="5" t="s">
        <v>9</v>
      </c>
      <c r="G9074" s="15" t="s">
        <v>9</v>
      </c>
      <c r="H9074" s="24">
        <f t="shared" si="1412"/>
        <v>2.9999999993015081</v>
      </c>
      <c r="I9074" s="24" cm="1">
        <f t="array" ref="I9074">IFERROR(IF($B9074=I$1, ($A9074+$C9074) - MAX(IF($B$2:$B9073=$B9074, $A$2:$A9073+$C$2:$C9073)), "")*24*60, "")</f>
        <v>2.9999999993015081</v>
      </c>
      <c r="J9074" s="24" t="str" cm="1">
        <f t="array" ref="J9074">IFERROR(IF($B9074=J$1, ($A9074+$C9074) - MAX(IF($B$2:$B9073=$B9074, $A$2:$A9073+$C$2:$C9073)), "")*24*60, "")</f>
        <v/>
      </c>
      <c r="K9074" s="24" t="str" cm="1">
        <f t="array" ref="K9074">IFERROR(IF($B9074=K$1, ($A9074+$C9074) - MAX(IF($B$2:$B9073=$B9074, $A$2:$A9073+$C$2:$C9073)), "")*24*60, "")</f>
        <v/>
      </c>
      <c r="L9074" s="24" t="str" cm="1">
        <f t="array" ref="L9074">IFERROR(IF($B9074=L$1, ($A9074+$C9074) - MAX(IF($B$2:$B9073=$B9074, $A$2:$A9073+$C$2:$C9073)), "")*24*60, "")</f>
        <v/>
      </c>
      <c r="M9074" s="24" t="str" cm="1">
        <f t="array" ref="M9074">IFERROR(IF($B9074=M$1, ($A9074+$C9074) - MAX(IF($B$2:$B9073=$B9074, $A$2:$A9073+$C$2:$C9073)), "")*24*60, "")</f>
        <v/>
      </c>
      <c r="N9074" s="24" t="str" cm="1">
        <f t="array" ref="N9074">IFERROR(IF($B9074=N$1, ($A9074+$C9074) - MAX(IF($B$2:$B9073=$B9074, $A$2:$A9073+$C$2:$C9073)), "")*24*60, "")</f>
        <v/>
      </c>
      <c r="O9074" s="24" t="str" cm="1">
        <f t="array" ref="O9074">IFERROR(IF($B9074=O$1, ($A9074+$C9074) - MAX(IF($B$2:$B9073=$B9074, $A$2:$A9073+$C$2:$C9073)), "")*24*60, "")</f>
        <v/>
      </c>
      <c r="P9074" s="24" t="str" cm="1">
        <f t="array" ref="P9074">IFERROR(IF($B9074=P$1, ($A9074+$C9074) - MAX(IF($B$2:$B9073=$B9074, $A$2:$A9073+$C$2:$C9073)), "")*24*60, "")</f>
        <v/>
      </c>
      <c r="Q9074" s="24" t="str" cm="1">
        <f t="array" ref="Q9074">IFERROR(IF($B9074=Q$1, ($A9074+$C9074) - MAX(IF($B$2:$B9073=$B9074, $A$2:$A9073+$C$2:$C9073)), "")*24*60, "")</f>
        <v/>
      </c>
      <c r="R9074" s="24" t="str" cm="1">
        <f t="array" ref="R9074">IFERROR(IF($B9074=R$1, ($A9074+$C9074) - MAX(IF($B$2:$B9073=$B9074, $A$2:$A9073+$C$2:$C9073)), "")*24*60, "")</f>
        <v/>
      </c>
      <c r="S9074" s="24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5"/>
      <c r="E9075" s="5"/>
      <c r="F9075" s="5" t="s">
        <v>9</v>
      </c>
      <c r="G9075" s="15" t="s">
        <v>9</v>
      </c>
      <c r="H9075" s="24">
        <f t="shared" si="1412"/>
        <v>0</v>
      </c>
      <c r="I9075" s="24" cm="1">
        <f t="array" ref="I9075">IFERROR(IF($B9075=I$1, ($A9075+$C9075) - MAX(IF($B$2:$B9074=$B9075, $A$2:$A9074+$C$2:$C9074)), "")*24*60, "")</f>
        <v>0</v>
      </c>
      <c r="J9075" s="24" t="str" cm="1">
        <f t="array" ref="J9075">IFERROR(IF($B9075=J$1, ($A9075+$C9075) - MAX(IF($B$2:$B9074=$B9075, $A$2:$A9074+$C$2:$C9074)), "")*24*60, "")</f>
        <v/>
      </c>
      <c r="K9075" s="24" t="str" cm="1">
        <f t="array" ref="K9075">IFERROR(IF($B9075=K$1, ($A9075+$C9075) - MAX(IF($B$2:$B9074=$B9075, $A$2:$A9074+$C$2:$C9074)), "")*24*60, "")</f>
        <v/>
      </c>
      <c r="L9075" s="24" t="str" cm="1">
        <f t="array" ref="L9075">IFERROR(IF($B9075=L$1, ($A9075+$C9075) - MAX(IF($B$2:$B9074=$B9075, $A$2:$A9074+$C$2:$C9074)), "")*24*60, "")</f>
        <v/>
      </c>
      <c r="M9075" s="24" t="str" cm="1">
        <f t="array" ref="M9075">IFERROR(IF($B9075=M$1, ($A9075+$C9075) - MAX(IF($B$2:$B9074=$B9075, $A$2:$A9074+$C$2:$C9074)), "")*24*60, "")</f>
        <v/>
      </c>
      <c r="N9075" s="24" t="str" cm="1">
        <f t="array" ref="N9075">IFERROR(IF($B9075=N$1, ($A9075+$C9075) - MAX(IF($B$2:$B9074=$B9075, $A$2:$A9074+$C$2:$C9074)), "")*24*60, "")</f>
        <v/>
      </c>
      <c r="O9075" s="24" t="str" cm="1">
        <f t="array" ref="O9075">IFERROR(IF($B9075=O$1, ($A9075+$C9075) - MAX(IF($B$2:$B9074=$B9075, $A$2:$A9074+$C$2:$C9074)), "")*24*60, "")</f>
        <v/>
      </c>
      <c r="P9075" s="24" t="str" cm="1">
        <f t="array" ref="P9075">IFERROR(IF($B9075=P$1, ($A9075+$C9075) - MAX(IF($B$2:$B9074=$B9075, $A$2:$A9074+$C$2:$C9074)), "")*24*60, "")</f>
        <v/>
      </c>
      <c r="Q9075" s="24" t="str" cm="1">
        <f t="array" ref="Q9075">IFERROR(IF($B9075=Q$1, ($A9075+$C9075) - MAX(IF($B$2:$B9074=$B9075, $A$2:$A9074+$C$2:$C9074)), "")*24*60, "")</f>
        <v/>
      </c>
      <c r="R9075" s="24" t="str" cm="1">
        <f t="array" ref="R9075">IFERROR(IF($B9075=R$1, ($A9075+$C9075) - MAX(IF($B$2:$B9074=$B9075, $A$2:$A9074+$C$2:$C9074)), "")*24*60, "")</f>
        <v/>
      </c>
      <c r="S9075" s="24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C9076" si="1508">A9075</f>
        <v>46041</v>
      </c>
      <c r="B9076" s="5" t="str">
        <f t="shared" si="1508"/>
        <v>Northern Cardinal</v>
      </c>
      <c r="C9076" s="6">
        <v>0.75347222222222221</v>
      </c>
      <c r="D9076" s="5"/>
      <c r="E9076" s="5"/>
      <c r="F9076" s="5" t="s">
        <v>9</v>
      </c>
      <c r="G9076" s="15" t="s">
        <v>9</v>
      </c>
      <c r="H9076" s="24">
        <f t="shared" si="1412"/>
        <v>0.99999999278225005</v>
      </c>
      <c r="I9076" s="24" cm="1">
        <f t="array" ref="I9076">IFERROR(IF($B9076=I$1, ($A9076+$C9076) - MAX(IF($B$2:$B9075=$B9076, $A$2:$A9075+$C$2:$C9075)), "")*24*60, "")</f>
        <v>0.99999999278225005</v>
      </c>
      <c r="J9076" s="24" t="str" cm="1">
        <f t="array" ref="J9076">IFERROR(IF($B9076=J$1, ($A9076+$C9076) - MAX(IF($B$2:$B9075=$B9076, $A$2:$A9075+$C$2:$C9075)), "")*24*60, "")</f>
        <v/>
      </c>
      <c r="K9076" s="24" t="str" cm="1">
        <f t="array" ref="K9076">IFERROR(IF($B9076=K$1, ($A9076+$C9076) - MAX(IF($B$2:$B9075=$B9076, $A$2:$A9075+$C$2:$C9075)), "")*24*60, "")</f>
        <v/>
      </c>
      <c r="L9076" s="24" t="str" cm="1">
        <f t="array" ref="L9076">IFERROR(IF($B9076=L$1, ($A9076+$C9076) - MAX(IF($B$2:$B9075=$B9076, $A$2:$A9075+$C$2:$C9075)), "")*24*60, "")</f>
        <v/>
      </c>
      <c r="M9076" s="24" t="str" cm="1">
        <f t="array" ref="M9076">IFERROR(IF($B9076=M$1, ($A9076+$C9076) - MAX(IF($B$2:$B9075=$B9076, $A$2:$A9075+$C$2:$C9075)), "")*24*60, "")</f>
        <v/>
      </c>
      <c r="N9076" s="24" t="str" cm="1">
        <f t="array" ref="N9076">IFERROR(IF($B9076=N$1, ($A9076+$C9076) - MAX(IF($B$2:$B9075=$B9076, $A$2:$A9075+$C$2:$C9075)), "")*24*60, "")</f>
        <v/>
      </c>
      <c r="O9076" s="24" t="str" cm="1">
        <f t="array" ref="O9076">IFERROR(IF($B9076=O$1, ($A9076+$C9076) - MAX(IF($B$2:$B9075=$B9076, $A$2:$A9075+$C$2:$C9075)), "")*24*60, "")</f>
        <v/>
      </c>
      <c r="P9076" s="24" t="str" cm="1">
        <f t="array" ref="P9076">IFERROR(IF($B9076=P$1, ($A9076+$C9076) - MAX(IF($B$2:$B9075=$B9076, $A$2:$A9075+$C$2:$C9075)), "")*24*60, "")</f>
        <v/>
      </c>
      <c r="Q9076" s="24" t="str" cm="1">
        <f t="array" ref="Q9076">IFERROR(IF($B9076=Q$1, ($A9076+$C9076) - MAX(IF($B$2:$B9075=$B9076, $A$2:$A9075+$C$2:$C9075)), "")*24*60, "")</f>
        <v/>
      </c>
      <c r="R9076" s="24" t="str" cm="1">
        <f t="array" ref="R9076">IFERROR(IF($B9076=R$1, ($A9076+$C9076) - MAX(IF($B$2:$B9075=$B9076, $A$2:$A9075+$C$2:$C9075)), "")*24*60, "")</f>
        <v/>
      </c>
      <c r="S9076" s="24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C9077" si="1509">A9076</f>
        <v>46041</v>
      </c>
      <c r="B9077" s="5" t="str">
        <f t="shared" si="1509"/>
        <v>Northern Cardinal</v>
      </c>
      <c r="C9077" s="6">
        <v>0.75416666666666665</v>
      </c>
      <c r="D9077" s="5"/>
      <c r="E9077" s="5"/>
      <c r="F9077" s="5" t="s">
        <v>9</v>
      </c>
      <c r="G9077" s="15" t="s">
        <v>9</v>
      </c>
      <c r="H9077" s="24">
        <f t="shared" si="1412"/>
        <v>1.000000003259629</v>
      </c>
      <c r="I9077" s="24" cm="1">
        <f t="array" ref="I9077">IFERROR(IF($B9077=I$1, ($A9077+$C9077) - MAX(IF($B$2:$B9076=$B9077, $A$2:$A9076+$C$2:$C9076)), "")*24*60, "")</f>
        <v>1.000000003259629</v>
      </c>
      <c r="J9077" s="24" t="str" cm="1">
        <f t="array" ref="J9077">IFERROR(IF($B9077=J$1, ($A9077+$C9077) - MAX(IF($B$2:$B9076=$B9077, $A$2:$A9076+$C$2:$C9076)), "")*24*60, "")</f>
        <v/>
      </c>
      <c r="K9077" s="24" t="str" cm="1">
        <f t="array" ref="K9077">IFERROR(IF($B9077=K$1, ($A9077+$C9077) - MAX(IF($B$2:$B9076=$B9077, $A$2:$A9076+$C$2:$C9076)), "")*24*60, "")</f>
        <v/>
      </c>
      <c r="L9077" s="24" t="str" cm="1">
        <f t="array" ref="L9077">IFERROR(IF($B9077=L$1, ($A9077+$C9077) - MAX(IF($B$2:$B9076=$B9077, $A$2:$A9076+$C$2:$C9076)), "")*24*60, "")</f>
        <v/>
      </c>
      <c r="M9077" s="24" t="str" cm="1">
        <f t="array" ref="M9077">IFERROR(IF($B9077=M$1, ($A9077+$C9077) - MAX(IF($B$2:$B9076=$B9077, $A$2:$A9076+$C$2:$C9076)), "")*24*60, "")</f>
        <v/>
      </c>
      <c r="N9077" s="24" t="str" cm="1">
        <f t="array" ref="N9077">IFERROR(IF($B9077=N$1, ($A9077+$C9077) - MAX(IF($B$2:$B9076=$B9077, $A$2:$A9076+$C$2:$C9076)), "")*24*60, "")</f>
        <v/>
      </c>
      <c r="O9077" s="24" t="str" cm="1">
        <f t="array" ref="O9077">IFERROR(IF($B9077=O$1, ($A9077+$C9077) - MAX(IF($B$2:$B9076=$B9077, $A$2:$A9076+$C$2:$C9076)), "")*24*60, "")</f>
        <v/>
      </c>
      <c r="P9077" s="24" t="str" cm="1">
        <f t="array" ref="P9077">IFERROR(IF($B9077=P$1, ($A9077+$C9077) - MAX(IF($B$2:$B9076=$B9077, $A$2:$A9076+$C$2:$C9076)), "")*24*60, "")</f>
        <v/>
      </c>
      <c r="Q9077" s="24" t="str" cm="1">
        <f t="array" ref="Q9077">IFERROR(IF($B9077=Q$1, ($A9077+$C9077) - MAX(IF($B$2:$B9076=$B9077, $A$2:$A9076+$C$2:$C9076)), "")*24*60, "")</f>
        <v/>
      </c>
      <c r="R9077" s="24" t="str" cm="1">
        <f t="array" ref="R9077">IFERROR(IF($B9077=R$1, ($A9077+$C9077) - MAX(IF($B$2:$B9076=$B9077, $A$2:$A9076+$C$2:$C9076)), "")*24*60, "")</f>
        <v/>
      </c>
      <c r="S9077" s="24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5"/>
      <c r="E9078" s="5"/>
      <c r="F9078" s="5" t="s">
        <v>9</v>
      </c>
      <c r="G9078" s="15" t="s">
        <v>9</v>
      </c>
      <c r="H9078" s="24">
        <f t="shared" si="1412"/>
        <v>0</v>
      </c>
      <c r="I9078" s="24" cm="1">
        <f t="array" ref="I9078">IFERROR(IF($B9078=I$1, ($A9078+$C9078) - MAX(IF($B$2:$B9077=$B9078, $A$2:$A9077+$C$2:$C9077)), "")*24*60, "")</f>
        <v>0</v>
      </c>
      <c r="J9078" s="24" t="str" cm="1">
        <f t="array" ref="J9078">IFERROR(IF($B9078=J$1, ($A9078+$C9078) - MAX(IF($B$2:$B9077=$B9078, $A$2:$A9077+$C$2:$C9077)), "")*24*60, "")</f>
        <v/>
      </c>
      <c r="K9078" s="24" t="str" cm="1">
        <f t="array" ref="K9078">IFERROR(IF($B9078=K$1, ($A9078+$C9078) - MAX(IF($B$2:$B9077=$B9078, $A$2:$A9077+$C$2:$C9077)), "")*24*60, "")</f>
        <v/>
      </c>
      <c r="L9078" s="24" t="str" cm="1">
        <f t="array" ref="L9078">IFERROR(IF($B9078=L$1, ($A9078+$C9078) - MAX(IF($B$2:$B9077=$B9078, $A$2:$A9077+$C$2:$C9077)), "")*24*60, "")</f>
        <v/>
      </c>
      <c r="M9078" s="24" t="str" cm="1">
        <f t="array" ref="M9078">IFERROR(IF($B9078=M$1, ($A9078+$C9078) - MAX(IF($B$2:$B9077=$B9078, $A$2:$A9077+$C$2:$C9077)), "")*24*60, "")</f>
        <v/>
      </c>
      <c r="N9078" s="24" t="str" cm="1">
        <f t="array" ref="N9078">IFERROR(IF($B9078=N$1, ($A9078+$C9078) - MAX(IF($B$2:$B9077=$B9078, $A$2:$A9077+$C$2:$C9077)), "")*24*60, "")</f>
        <v/>
      </c>
      <c r="O9078" s="24" t="str" cm="1">
        <f t="array" ref="O9078">IFERROR(IF($B9078=O$1, ($A9078+$C9078) - MAX(IF($B$2:$B9077=$B9078, $A$2:$A9077+$C$2:$C9077)), "")*24*60, "")</f>
        <v/>
      </c>
      <c r="P9078" s="24" t="str" cm="1">
        <f t="array" ref="P9078">IFERROR(IF($B9078=P$1, ($A9078+$C9078) - MAX(IF($B$2:$B9077=$B9078, $A$2:$A9077+$C$2:$C9077)), "")*24*60, "")</f>
        <v/>
      </c>
      <c r="Q9078" s="24" t="str" cm="1">
        <f t="array" ref="Q9078">IFERROR(IF($B9078=Q$1, ($A9078+$C9078) - MAX(IF($B$2:$B9077=$B9078, $A$2:$A9077+$C$2:$C9077)), "")*24*60, "")</f>
        <v/>
      </c>
      <c r="R9078" s="24" t="str" cm="1">
        <f t="array" ref="R9078">IFERROR(IF($B9078=R$1, ($A9078+$C9078) - MAX(IF($B$2:$B9077=$B9078, $A$2:$A9077+$C$2:$C9077)), "")*24*60, "")</f>
        <v/>
      </c>
      <c r="S9078" s="24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C9079" si="1511">A9078</f>
        <v>46041</v>
      </c>
      <c r="B9079" s="5" t="str">
        <f t="shared" si="1511"/>
        <v>Northern Cardinal</v>
      </c>
      <c r="C9079" s="6">
        <v>0.75486111111111109</v>
      </c>
      <c r="D9079" s="5"/>
      <c r="E9079" s="5"/>
      <c r="F9079" s="5" t="s">
        <v>9</v>
      </c>
      <c r="G9079" s="15" t="s">
        <v>9</v>
      </c>
      <c r="H9079" s="24">
        <f t="shared" si="1412"/>
        <v>1.000000003259629</v>
      </c>
      <c r="I9079" s="24" cm="1">
        <f t="array" ref="I9079">IFERROR(IF($B9079=I$1, ($A9079+$C9079) - MAX(IF($B$2:$B9078=$B9079, $A$2:$A9078+$C$2:$C9078)), "")*24*60, "")</f>
        <v>1.000000003259629</v>
      </c>
      <c r="J9079" s="24" t="str" cm="1">
        <f t="array" ref="J9079">IFERROR(IF($B9079=J$1, ($A9079+$C9079) - MAX(IF($B$2:$B9078=$B9079, $A$2:$A9078+$C$2:$C9078)), "")*24*60, "")</f>
        <v/>
      </c>
      <c r="K9079" s="24" t="str" cm="1">
        <f t="array" ref="K9079">IFERROR(IF($B9079=K$1, ($A9079+$C9079) - MAX(IF($B$2:$B9078=$B9079, $A$2:$A9078+$C$2:$C9078)), "")*24*60, "")</f>
        <v/>
      </c>
      <c r="L9079" s="24" t="str" cm="1">
        <f t="array" ref="L9079">IFERROR(IF($B9079=L$1, ($A9079+$C9079) - MAX(IF($B$2:$B9078=$B9079, $A$2:$A9078+$C$2:$C9078)), "")*24*60, "")</f>
        <v/>
      </c>
      <c r="M9079" s="24" t="str" cm="1">
        <f t="array" ref="M9079">IFERROR(IF($B9079=M$1, ($A9079+$C9079) - MAX(IF($B$2:$B9078=$B9079, $A$2:$A9078+$C$2:$C9078)), "")*24*60, "")</f>
        <v/>
      </c>
      <c r="N9079" s="24" t="str" cm="1">
        <f t="array" ref="N9079">IFERROR(IF($B9079=N$1, ($A9079+$C9079) - MAX(IF($B$2:$B9078=$B9079, $A$2:$A9078+$C$2:$C9078)), "")*24*60, "")</f>
        <v/>
      </c>
      <c r="O9079" s="24" t="str" cm="1">
        <f t="array" ref="O9079">IFERROR(IF($B9079=O$1, ($A9079+$C9079) - MAX(IF($B$2:$B9078=$B9079, $A$2:$A9078+$C$2:$C9078)), "")*24*60, "")</f>
        <v/>
      </c>
      <c r="P9079" s="24" t="str" cm="1">
        <f t="array" ref="P9079">IFERROR(IF($B9079=P$1, ($A9079+$C9079) - MAX(IF($B$2:$B9078=$B9079, $A$2:$A9078+$C$2:$C9078)), "")*24*60, "")</f>
        <v/>
      </c>
      <c r="Q9079" s="24" t="str" cm="1">
        <f t="array" ref="Q9079">IFERROR(IF($B9079=Q$1, ($A9079+$C9079) - MAX(IF($B$2:$B9078=$B9079, $A$2:$A9078+$C$2:$C9078)), "")*24*60, "")</f>
        <v/>
      </c>
      <c r="R9079" s="24" t="str" cm="1">
        <f t="array" ref="R9079">IFERROR(IF($B9079=R$1, ($A9079+$C9079) - MAX(IF($B$2:$B9078=$B9079, $A$2:$A9078+$C$2:$C9078)), "")*24*60, "")</f>
        <v/>
      </c>
      <c r="S9079" s="24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C9080" si="1512">A9079</f>
        <v>46041</v>
      </c>
      <c r="B9080" s="5" t="str">
        <f t="shared" si="1512"/>
        <v>Northern Cardinal</v>
      </c>
      <c r="C9080" s="6">
        <v>0.75555555555555554</v>
      </c>
      <c r="D9080" s="5"/>
      <c r="E9080" s="5"/>
      <c r="F9080" s="5" t="s">
        <v>9</v>
      </c>
      <c r="G9080" s="15" t="s">
        <v>9</v>
      </c>
      <c r="H9080" s="24">
        <f t="shared" si="1412"/>
        <v>1.000000003259629</v>
      </c>
      <c r="I9080" s="24" cm="1">
        <f t="array" ref="I9080">IFERROR(IF($B9080=I$1, ($A9080+$C9080) - MAX(IF($B$2:$B9079=$B9080, $A$2:$A9079+$C$2:$C9079)), "")*24*60, "")</f>
        <v>1.000000003259629</v>
      </c>
      <c r="J9080" s="24" t="str" cm="1">
        <f t="array" ref="J9080">IFERROR(IF($B9080=J$1, ($A9080+$C9080) - MAX(IF($B$2:$B9079=$B9080, $A$2:$A9079+$C$2:$C9079)), "")*24*60, "")</f>
        <v/>
      </c>
      <c r="K9080" s="24" t="str" cm="1">
        <f t="array" ref="K9080">IFERROR(IF($B9080=K$1, ($A9080+$C9080) - MAX(IF($B$2:$B9079=$B9080, $A$2:$A9079+$C$2:$C9079)), "")*24*60, "")</f>
        <v/>
      </c>
      <c r="L9080" s="24" t="str" cm="1">
        <f t="array" ref="L9080">IFERROR(IF($B9080=L$1, ($A9080+$C9080) - MAX(IF($B$2:$B9079=$B9080, $A$2:$A9079+$C$2:$C9079)), "")*24*60, "")</f>
        <v/>
      </c>
      <c r="M9080" s="24" t="str" cm="1">
        <f t="array" ref="M9080">IFERROR(IF($B9080=M$1, ($A9080+$C9080) - MAX(IF($B$2:$B9079=$B9080, $A$2:$A9079+$C$2:$C9079)), "")*24*60, "")</f>
        <v/>
      </c>
      <c r="N9080" s="24" t="str" cm="1">
        <f t="array" ref="N9080">IFERROR(IF($B9080=N$1, ($A9080+$C9080) - MAX(IF($B$2:$B9079=$B9080, $A$2:$A9079+$C$2:$C9079)), "")*24*60, "")</f>
        <v/>
      </c>
      <c r="O9080" s="24" t="str" cm="1">
        <f t="array" ref="O9080">IFERROR(IF($B9080=O$1, ($A9080+$C9080) - MAX(IF($B$2:$B9079=$B9080, $A$2:$A9079+$C$2:$C9079)), "")*24*60, "")</f>
        <v/>
      </c>
      <c r="P9080" s="24" t="str" cm="1">
        <f t="array" ref="P9080">IFERROR(IF($B9080=P$1, ($A9080+$C9080) - MAX(IF($B$2:$B9079=$B9080, $A$2:$A9079+$C$2:$C9079)), "")*24*60, "")</f>
        <v/>
      </c>
      <c r="Q9080" s="24" t="str" cm="1">
        <f t="array" ref="Q9080">IFERROR(IF($B9080=Q$1, ($A9080+$C9080) - MAX(IF($B$2:$B9079=$B9080, $A$2:$A9079+$C$2:$C9079)), "")*24*60, "")</f>
        <v/>
      </c>
      <c r="R9080" s="24" t="str" cm="1">
        <f t="array" ref="R9080">IFERROR(IF($B9080=R$1, ($A9080+$C9080) - MAX(IF($B$2:$B9079=$B9080, $A$2:$A9079+$C$2:$C9079)), "")*24*60, "")</f>
        <v/>
      </c>
      <c r="S9080" s="24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5"/>
      <c r="E9081" s="5"/>
      <c r="F9081" s="5" t="s">
        <v>9</v>
      </c>
      <c r="G9081" s="15" t="s">
        <v>9</v>
      </c>
      <c r="H9081" s="24">
        <f t="shared" si="1412"/>
        <v>0</v>
      </c>
      <c r="I9081" s="24" cm="1">
        <f t="array" ref="I9081">IFERROR(IF($B9081=I$1, ($A9081+$C9081) - MAX(IF($B$2:$B9080=$B9081, $A$2:$A9080+$C$2:$C9080)), "")*24*60, "")</f>
        <v>0</v>
      </c>
      <c r="J9081" s="24" t="str" cm="1">
        <f t="array" ref="J9081">IFERROR(IF($B9081=J$1, ($A9081+$C9081) - MAX(IF($B$2:$B9080=$B9081, $A$2:$A9080+$C$2:$C9080)), "")*24*60, "")</f>
        <v/>
      </c>
      <c r="K9081" s="24" t="str" cm="1">
        <f t="array" ref="K9081">IFERROR(IF($B9081=K$1, ($A9081+$C9081) - MAX(IF($B$2:$B9080=$B9081, $A$2:$A9080+$C$2:$C9080)), "")*24*60, "")</f>
        <v/>
      </c>
      <c r="L9081" s="24" t="str" cm="1">
        <f t="array" ref="L9081">IFERROR(IF($B9081=L$1, ($A9081+$C9081) - MAX(IF($B$2:$B9080=$B9081, $A$2:$A9080+$C$2:$C9080)), "")*24*60, "")</f>
        <v/>
      </c>
      <c r="M9081" s="24" t="str" cm="1">
        <f t="array" ref="M9081">IFERROR(IF($B9081=M$1, ($A9081+$C9081) - MAX(IF($B$2:$B9080=$B9081, $A$2:$A9080+$C$2:$C9080)), "")*24*60, "")</f>
        <v/>
      </c>
      <c r="N9081" s="24" t="str" cm="1">
        <f t="array" ref="N9081">IFERROR(IF($B9081=N$1, ($A9081+$C9081) - MAX(IF($B$2:$B9080=$B9081, $A$2:$A9080+$C$2:$C9080)), "")*24*60, "")</f>
        <v/>
      </c>
      <c r="O9081" s="24" t="str" cm="1">
        <f t="array" ref="O9081">IFERROR(IF($B9081=O$1, ($A9081+$C9081) - MAX(IF($B$2:$B9080=$B9081, $A$2:$A9080+$C$2:$C9080)), "")*24*60, "")</f>
        <v/>
      </c>
      <c r="P9081" s="24" t="str" cm="1">
        <f t="array" ref="P9081">IFERROR(IF($B9081=P$1, ($A9081+$C9081) - MAX(IF($B$2:$B9080=$B9081, $A$2:$A9080+$C$2:$C9080)), "")*24*60, "")</f>
        <v/>
      </c>
      <c r="Q9081" s="24" t="str" cm="1">
        <f t="array" ref="Q9081">IFERROR(IF($B9081=Q$1, ($A9081+$C9081) - MAX(IF($B$2:$B9080=$B9081, $A$2:$A9080+$C$2:$C9080)), "")*24*60, "")</f>
        <v/>
      </c>
      <c r="R9081" s="24" t="str" cm="1">
        <f t="array" ref="R9081">IFERROR(IF($B9081=R$1, ($A9081+$C9081) - MAX(IF($B$2:$B9080=$B9081, $A$2:$A9080+$C$2:$C9080)), "")*24*60, "")</f>
        <v/>
      </c>
      <c r="S9081" s="24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C9082" si="1514">A9081</f>
        <v>46041</v>
      </c>
      <c r="B9082" s="5" t="str">
        <f t="shared" si="1514"/>
        <v>Northern Cardinal</v>
      </c>
      <c r="C9082" s="6">
        <v>0.75624999999999998</v>
      </c>
      <c r="D9082" s="5"/>
      <c r="E9082" s="5"/>
      <c r="F9082" s="5" t="s">
        <v>9</v>
      </c>
      <c r="G9082" s="15" t="s">
        <v>9</v>
      </c>
      <c r="H9082" s="24">
        <f t="shared" si="1412"/>
        <v>0.99999999278225005</v>
      </c>
      <c r="I9082" s="24" cm="1">
        <f t="array" ref="I9082">IFERROR(IF($B9082=I$1, ($A9082+$C9082) - MAX(IF($B$2:$B9081=$B9082, $A$2:$A9081+$C$2:$C9081)), "")*24*60, "")</f>
        <v>0.99999999278225005</v>
      </c>
      <c r="J9082" s="24" t="str" cm="1">
        <f t="array" ref="J9082">IFERROR(IF($B9082=J$1, ($A9082+$C9082) - MAX(IF($B$2:$B9081=$B9082, $A$2:$A9081+$C$2:$C9081)), "")*24*60, "")</f>
        <v/>
      </c>
      <c r="K9082" s="24" t="str" cm="1">
        <f t="array" ref="K9082">IFERROR(IF($B9082=K$1, ($A9082+$C9082) - MAX(IF($B$2:$B9081=$B9082, $A$2:$A9081+$C$2:$C9081)), "")*24*60, "")</f>
        <v/>
      </c>
      <c r="L9082" s="24" t="str" cm="1">
        <f t="array" ref="L9082">IFERROR(IF($B9082=L$1, ($A9082+$C9082) - MAX(IF($B$2:$B9081=$B9082, $A$2:$A9081+$C$2:$C9081)), "")*24*60, "")</f>
        <v/>
      </c>
      <c r="M9082" s="24" t="str" cm="1">
        <f t="array" ref="M9082">IFERROR(IF($B9082=M$1, ($A9082+$C9082) - MAX(IF($B$2:$B9081=$B9082, $A$2:$A9081+$C$2:$C9081)), "")*24*60, "")</f>
        <v/>
      </c>
      <c r="N9082" s="24" t="str" cm="1">
        <f t="array" ref="N9082">IFERROR(IF($B9082=N$1, ($A9082+$C9082) - MAX(IF($B$2:$B9081=$B9082, $A$2:$A9081+$C$2:$C9081)), "")*24*60, "")</f>
        <v/>
      </c>
      <c r="O9082" s="24" t="str" cm="1">
        <f t="array" ref="O9082">IFERROR(IF($B9082=O$1, ($A9082+$C9082) - MAX(IF($B$2:$B9081=$B9082, $A$2:$A9081+$C$2:$C9081)), "")*24*60, "")</f>
        <v/>
      </c>
      <c r="P9082" s="24" t="str" cm="1">
        <f t="array" ref="P9082">IFERROR(IF($B9082=P$1, ($A9082+$C9082) - MAX(IF($B$2:$B9081=$B9082, $A$2:$A9081+$C$2:$C9081)), "")*24*60, "")</f>
        <v/>
      </c>
      <c r="Q9082" s="24" t="str" cm="1">
        <f t="array" ref="Q9082">IFERROR(IF($B9082=Q$1, ($A9082+$C9082) - MAX(IF($B$2:$B9081=$B9082, $A$2:$A9081+$C$2:$C9081)), "")*24*60, "")</f>
        <v/>
      </c>
      <c r="R9082" s="24" t="str" cm="1">
        <f t="array" ref="R9082">IFERROR(IF($B9082=R$1, ($A9082+$C9082) - MAX(IF($B$2:$B9081=$B9082, $A$2:$A9081+$C$2:$C9081)), "")*24*60, "")</f>
        <v/>
      </c>
      <c r="S9082" s="24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5"/>
      <c r="E9083" s="5"/>
      <c r="F9083" s="5" t="s">
        <v>9</v>
      </c>
      <c r="G9083" s="15" t="s">
        <v>9</v>
      </c>
      <c r="H9083" s="24">
        <f t="shared" si="1412"/>
        <v>0</v>
      </c>
      <c r="I9083" s="24" cm="1">
        <f t="array" ref="I9083">IFERROR(IF($B9083=I$1, ($A9083+$C9083) - MAX(IF($B$2:$B9082=$B9083, $A$2:$A9082+$C$2:$C9082)), "")*24*60, "")</f>
        <v>0</v>
      </c>
      <c r="J9083" s="24" t="str" cm="1">
        <f t="array" ref="J9083">IFERROR(IF($B9083=J$1, ($A9083+$C9083) - MAX(IF($B$2:$B9082=$B9083, $A$2:$A9082+$C$2:$C9082)), "")*24*60, "")</f>
        <v/>
      </c>
      <c r="K9083" s="24" t="str" cm="1">
        <f t="array" ref="K9083">IFERROR(IF($B9083=K$1, ($A9083+$C9083) - MAX(IF($B$2:$B9082=$B9083, $A$2:$A9082+$C$2:$C9082)), "")*24*60, "")</f>
        <v/>
      </c>
      <c r="L9083" s="24" t="str" cm="1">
        <f t="array" ref="L9083">IFERROR(IF($B9083=L$1, ($A9083+$C9083) - MAX(IF($B$2:$B9082=$B9083, $A$2:$A9082+$C$2:$C9082)), "")*24*60, "")</f>
        <v/>
      </c>
      <c r="M9083" s="24" t="str" cm="1">
        <f t="array" ref="M9083">IFERROR(IF($B9083=M$1, ($A9083+$C9083) - MAX(IF($B$2:$B9082=$B9083, $A$2:$A9082+$C$2:$C9082)), "")*24*60, "")</f>
        <v/>
      </c>
      <c r="N9083" s="24" t="str" cm="1">
        <f t="array" ref="N9083">IFERROR(IF($B9083=N$1, ($A9083+$C9083) - MAX(IF($B$2:$B9082=$B9083, $A$2:$A9082+$C$2:$C9082)), "")*24*60, "")</f>
        <v/>
      </c>
      <c r="O9083" s="24" t="str" cm="1">
        <f t="array" ref="O9083">IFERROR(IF($B9083=O$1, ($A9083+$C9083) - MAX(IF($B$2:$B9082=$B9083, $A$2:$A9082+$C$2:$C9082)), "")*24*60, "")</f>
        <v/>
      </c>
      <c r="P9083" s="24" t="str" cm="1">
        <f t="array" ref="P9083">IFERROR(IF($B9083=P$1, ($A9083+$C9083) - MAX(IF($B$2:$B9082=$B9083, $A$2:$A9082+$C$2:$C9082)), "")*24*60, "")</f>
        <v/>
      </c>
      <c r="Q9083" s="24" t="str" cm="1">
        <f t="array" ref="Q9083">IFERROR(IF($B9083=Q$1, ($A9083+$C9083) - MAX(IF($B$2:$B9082=$B9083, $A$2:$A9082+$C$2:$C9082)), "")*24*60, "")</f>
        <v/>
      </c>
      <c r="R9083" s="24" t="str" cm="1">
        <f t="array" ref="R9083">IFERROR(IF($B9083=R$1, ($A9083+$C9083) - MAX(IF($B$2:$B9082=$B9083, $A$2:$A9082+$C$2:$C9082)), "")*24*60, "")</f>
        <v/>
      </c>
      <c r="S9083" s="24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5"/>
      <c r="E9084" s="5"/>
      <c r="F9084" s="5" t="s">
        <v>9</v>
      </c>
      <c r="G9084" s="15" t="s">
        <v>9</v>
      </c>
      <c r="H9084" s="24">
        <f t="shared" si="1412"/>
        <v>0</v>
      </c>
      <c r="I9084" s="24" cm="1">
        <f t="array" ref="I9084">IFERROR(IF($B9084=I$1, ($A9084+$C9084) - MAX(IF($B$2:$B9083=$B9084, $A$2:$A9083+$C$2:$C9083)), "")*24*60, "")</f>
        <v>0</v>
      </c>
      <c r="J9084" s="24" t="str" cm="1">
        <f t="array" ref="J9084">IFERROR(IF($B9084=J$1, ($A9084+$C9084) - MAX(IF($B$2:$B9083=$B9084, $A$2:$A9083+$C$2:$C9083)), "")*24*60, "")</f>
        <v/>
      </c>
      <c r="K9084" s="24" t="str" cm="1">
        <f t="array" ref="K9084">IFERROR(IF($B9084=K$1, ($A9084+$C9084) - MAX(IF($B$2:$B9083=$B9084, $A$2:$A9083+$C$2:$C9083)), "")*24*60, "")</f>
        <v/>
      </c>
      <c r="L9084" s="24" t="str" cm="1">
        <f t="array" ref="L9084">IFERROR(IF($B9084=L$1, ($A9084+$C9084) - MAX(IF($B$2:$B9083=$B9084, $A$2:$A9083+$C$2:$C9083)), "")*24*60, "")</f>
        <v/>
      </c>
      <c r="M9084" s="24" t="str" cm="1">
        <f t="array" ref="M9084">IFERROR(IF($B9084=M$1, ($A9084+$C9084) - MAX(IF($B$2:$B9083=$B9084, $A$2:$A9083+$C$2:$C9083)), "")*24*60, "")</f>
        <v/>
      </c>
      <c r="N9084" s="24" t="str" cm="1">
        <f t="array" ref="N9084">IFERROR(IF($B9084=N$1, ($A9084+$C9084) - MAX(IF($B$2:$B9083=$B9084, $A$2:$A9083+$C$2:$C9083)), "")*24*60, "")</f>
        <v/>
      </c>
      <c r="O9084" s="24" t="str" cm="1">
        <f t="array" ref="O9084">IFERROR(IF($B9084=O$1, ($A9084+$C9084) - MAX(IF($B$2:$B9083=$B9084, $A$2:$A9083+$C$2:$C9083)), "")*24*60, "")</f>
        <v/>
      </c>
      <c r="P9084" s="24" t="str" cm="1">
        <f t="array" ref="P9084">IFERROR(IF($B9084=P$1, ($A9084+$C9084) - MAX(IF($B$2:$B9083=$B9084, $A$2:$A9083+$C$2:$C9083)), "")*24*60, "")</f>
        <v/>
      </c>
      <c r="Q9084" s="24" t="str" cm="1">
        <f t="array" ref="Q9084">IFERROR(IF($B9084=Q$1, ($A9084+$C9084) - MAX(IF($B$2:$B9083=$B9084, $A$2:$A9083+$C$2:$C9083)), "")*24*60, "")</f>
        <v/>
      </c>
      <c r="R9084" s="24" t="str" cm="1">
        <f t="array" ref="R9084">IFERROR(IF($B9084=R$1, ($A9084+$C9084) - MAX(IF($B$2:$B9083=$B9084, $A$2:$A9083+$C$2:$C9083)), "")*24*60, "")</f>
        <v/>
      </c>
      <c r="S9084" s="24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C9085" si="1517">A9084</f>
        <v>46041</v>
      </c>
      <c r="B9085" s="5" t="str">
        <f t="shared" si="1517"/>
        <v>Northern Cardinal</v>
      </c>
      <c r="C9085" s="6">
        <v>0.75694444444444442</v>
      </c>
      <c r="D9085" s="5"/>
      <c r="E9085" s="5"/>
      <c r="F9085" s="5" t="s">
        <v>9</v>
      </c>
      <c r="G9085" s="15" t="s">
        <v>9</v>
      </c>
      <c r="H9085" s="24">
        <f t="shared" si="1412"/>
        <v>1.000000003259629</v>
      </c>
      <c r="I9085" s="24" cm="1">
        <f t="array" ref="I9085">IFERROR(IF($B9085=I$1, ($A9085+$C9085) - MAX(IF($B$2:$B9084=$B9085, $A$2:$A9084+$C$2:$C9084)), "")*24*60, "")</f>
        <v>1.000000003259629</v>
      </c>
      <c r="J9085" s="24" t="str" cm="1">
        <f t="array" ref="J9085">IFERROR(IF($B9085=J$1, ($A9085+$C9085) - MAX(IF($B$2:$B9084=$B9085, $A$2:$A9084+$C$2:$C9084)), "")*24*60, "")</f>
        <v/>
      </c>
      <c r="K9085" s="24" t="str" cm="1">
        <f t="array" ref="K9085">IFERROR(IF($B9085=K$1, ($A9085+$C9085) - MAX(IF($B$2:$B9084=$B9085, $A$2:$A9084+$C$2:$C9084)), "")*24*60, "")</f>
        <v/>
      </c>
      <c r="L9085" s="24" t="str" cm="1">
        <f t="array" ref="L9085">IFERROR(IF($B9085=L$1, ($A9085+$C9085) - MAX(IF($B$2:$B9084=$B9085, $A$2:$A9084+$C$2:$C9084)), "")*24*60, "")</f>
        <v/>
      </c>
      <c r="M9085" s="24" t="str" cm="1">
        <f t="array" ref="M9085">IFERROR(IF($B9085=M$1, ($A9085+$C9085) - MAX(IF($B$2:$B9084=$B9085, $A$2:$A9084+$C$2:$C9084)), "")*24*60, "")</f>
        <v/>
      </c>
      <c r="N9085" s="24" t="str" cm="1">
        <f t="array" ref="N9085">IFERROR(IF($B9085=N$1, ($A9085+$C9085) - MAX(IF($B$2:$B9084=$B9085, $A$2:$A9084+$C$2:$C9084)), "")*24*60, "")</f>
        <v/>
      </c>
      <c r="O9085" s="24" t="str" cm="1">
        <f t="array" ref="O9085">IFERROR(IF($B9085=O$1, ($A9085+$C9085) - MAX(IF($B$2:$B9084=$B9085, $A$2:$A9084+$C$2:$C9084)), "")*24*60, "")</f>
        <v/>
      </c>
      <c r="P9085" s="24" t="str" cm="1">
        <f t="array" ref="P9085">IFERROR(IF($B9085=P$1, ($A9085+$C9085) - MAX(IF($B$2:$B9084=$B9085, $A$2:$A9084+$C$2:$C9084)), "")*24*60, "")</f>
        <v/>
      </c>
      <c r="Q9085" s="24" t="str" cm="1">
        <f t="array" ref="Q9085">IFERROR(IF($B9085=Q$1, ($A9085+$C9085) - MAX(IF($B$2:$B9084=$B9085, $A$2:$A9084+$C$2:$C9084)), "")*24*60, "")</f>
        <v/>
      </c>
      <c r="R9085" s="24" t="str" cm="1">
        <f t="array" ref="R9085">IFERROR(IF($B9085=R$1, ($A9085+$C9085) - MAX(IF($B$2:$B9084=$B9085, $A$2:$A9084+$C$2:$C9084)), "")*24*60, "")</f>
        <v/>
      </c>
      <c r="S9085" s="24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5"/>
      <c r="E9086" s="5"/>
      <c r="F9086" s="5" t="s">
        <v>9</v>
      </c>
      <c r="G9086" s="15" t="s">
        <v>9</v>
      </c>
      <c r="H9086" s="24">
        <f t="shared" si="1412"/>
        <v>0</v>
      </c>
      <c r="I9086" s="24" cm="1">
        <f t="array" ref="I9086">IFERROR(IF($B9086=I$1, ($A9086+$C9086) - MAX(IF($B$2:$B9085=$B9086, $A$2:$A9085+$C$2:$C9085)), "")*24*60, "")</f>
        <v>0</v>
      </c>
      <c r="J9086" s="24" t="str" cm="1">
        <f t="array" ref="J9086">IFERROR(IF($B9086=J$1, ($A9086+$C9086) - MAX(IF($B$2:$B9085=$B9086, $A$2:$A9085+$C$2:$C9085)), "")*24*60, "")</f>
        <v/>
      </c>
      <c r="K9086" s="24" t="str" cm="1">
        <f t="array" ref="K9086">IFERROR(IF($B9086=K$1, ($A9086+$C9086) - MAX(IF($B$2:$B9085=$B9086, $A$2:$A9085+$C$2:$C9085)), "")*24*60, "")</f>
        <v/>
      </c>
      <c r="L9086" s="24" t="str" cm="1">
        <f t="array" ref="L9086">IFERROR(IF($B9086=L$1, ($A9086+$C9086) - MAX(IF($B$2:$B9085=$B9086, $A$2:$A9085+$C$2:$C9085)), "")*24*60, "")</f>
        <v/>
      </c>
      <c r="M9086" s="24" t="str" cm="1">
        <f t="array" ref="M9086">IFERROR(IF($B9086=M$1, ($A9086+$C9086) - MAX(IF($B$2:$B9085=$B9086, $A$2:$A9085+$C$2:$C9085)), "")*24*60, "")</f>
        <v/>
      </c>
      <c r="N9086" s="24" t="str" cm="1">
        <f t="array" ref="N9086">IFERROR(IF($B9086=N$1, ($A9086+$C9086) - MAX(IF($B$2:$B9085=$B9086, $A$2:$A9085+$C$2:$C9085)), "")*24*60, "")</f>
        <v/>
      </c>
      <c r="O9086" s="24" t="str" cm="1">
        <f t="array" ref="O9086">IFERROR(IF($B9086=O$1, ($A9086+$C9086) - MAX(IF($B$2:$B9085=$B9086, $A$2:$A9085+$C$2:$C9085)), "")*24*60, "")</f>
        <v/>
      </c>
      <c r="P9086" s="24" t="str" cm="1">
        <f t="array" ref="P9086">IFERROR(IF($B9086=P$1, ($A9086+$C9086) - MAX(IF($B$2:$B9085=$B9086, $A$2:$A9085+$C$2:$C9085)), "")*24*60, "")</f>
        <v/>
      </c>
      <c r="Q9086" s="24" t="str" cm="1">
        <f t="array" ref="Q9086">IFERROR(IF($B9086=Q$1, ($A9086+$C9086) - MAX(IF($B$2:$B9085=$B9086, $A$2:$A9085+$C$2:$C9085)), "")*24*60, "")</f>
        <v/>
      </c>
      <c r="R9086" s="24" t="str" cm="1">
        <f t="array" ref="R9086">IFERROR(IF($B9086=R$1, ($A9086+$C9086) - MAX(IF($B$2:$B9085=$B9086, $A$2:$A9085+$C$2:$C9085)), "")*24*60, "")</f>
        <v/>
      </c>
      <c r="S9086" s="24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C9087" si="1519">A9086</f>
        <v>46041</v>
      </c>
      <c r="B9087" s="5" t="str">
        <f t="shared" si="1519"/>
        <v>Northern Cardinal</v>
      </c>
      <c r="C9087" s="6">
        <v>0.75763888888888886</v>
      </c>
      <c r="D9087" s="5"/>
      <c r="E9087" s="5"/>
      <c r="F9087" s="5" t="s">
        <v>9</v>
      </c>
      <c r="G9087" s="15" t="s">
        <v>9</v>
      </c>
      <c r="H9087" s="24">
        <f t="shared" si="1412"/>
        <v>1.000000003259629</v>
      </c>
      <c r="I9087" s="24" cm="1">
        <f t="array" ref="I9087">IFERROR(IF($B9087=I$1, ($A9087+$C9087) - MAX(IF($B$2:$B9086=$B9087, $A$2:$A9086+$C$2:$C9086)), "")*24*60, "")</f>
        <v>1.000000003259629</v>
      </c>
      <c r="J9087" s="24" t="str" cm="1">
        <f t="array" ref="J9087">IFERROR(IF($B9087=J$1, ($A9087+$C9087) - MAX(IF($B$2:$B9086=$B9087, $A$2:$A9086+$C$2:$C9086)), "")*24*60, "")</f>
        <v/>
      </c>
      <c r="K9087" s="24" t="str" cm="1">
        <f t="array" ref="K9087">IFERROR(IF($B9087=K$1, ($A9087+$C9087) - MAX(IF($B$2:$B9086=$B9087, $A$2:$A9086+$C$2:$C9086)), "")*24*60, "")</f>
        <v/>
      </c>
      <c r="L9087" s="24" t="str" cm="1">
        <f t="array" ref="L9087">IFERROR(IF($B9087=L$1, ($A9087+$C9087) - MAX(IF($B$2:$B9086=$B9087, $A$2:$A9086+$C$2:$C9086)), "")*24*60, "")</f>
        <v/>
      </c>
      <c r="M9087" s="24" t="str" cm="1">
        <f t="array" ref="M9087">IFERROR(IF($B9087=M$1, ($A9087+$C9087) - MAX(IF($B$2:$B9086=$B9087, $A$2:$A9086+$C$2:$C9086)), "")*24*60, "")</f>
        <v/>
      </c>
      <c r="N9087" s="24" t="str" cm="1">
        <f t="array" ref="N9087">IFERROR(IF($B9087=N$1, ($A9087+$C9087) - MAX(IF($B$2:$B9086=$B9087, $A$2:$A9086+$C$2:$C9086)), "")*24*60, "")</f>
        <v/>
      </c>
      <c r="O9087" s="24" t="str" cm="1">
        <f t="array" ref="O9087">IFERROR(IF($B9087=O$1, ($A9087+$C9087) - MAX(IF($B$2:$B9086=$B9087, $A$2:$A9086+$C$2:$C9086)), "")*24*60, "")</f>
        <v/>
      </c>
      <c r="P9087" s="24" t="str" cm="1">
        <f t="array" ref="P9087">IFERROR(IF($B9087=P$1, ($A9087+$C9087) - MAX(IF($B$2:$B9086=$B9087, $A$2:$A9086+$C$2:$C9086)), "")*24*60, "")</f>
        <v/>
      </c>
      <c r="Q9087" s="24" t="str" cm="1">
        <f t="array" ref="Q9087">IFERROR(IF($B9087=Q$1, ($A9087+$C9087) - MAX(IF($B$2:$B9086=$B9087, $A$2:$A9086+$C$2:$C9086)), "")*24*60, "")</f>
        <v/>
      </c>
      <c r="R9087" s="24" t="str" cm="1">
        <f t="array" ref="R9087">IFERROR(IF($B9087=R$1, ($A9087+$C9087) - MAX(IF($B$2:$B9086=$B9087, $A$2:$A9086+$C$2:$C9086)), "")*24*60, "")</f>
        <v/>
      </c>
      <c r="S9087" s="24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5"/>
      <c r="E9088" s="5"/>
      <c r="F9088" s="5" t="s">
        <v>9</v>
      </c>
      <c r="G9088" s="15" t="s">
        <v>9</v>
      </c>
      <c r="H9088" s="24">
        <f t="shared" si="1412"/>
        <v>0</v>
      </c>
      <c r="I9088" s="24" cm="1">
        <f t="array" ref="I9088">IFERROR(IF($B9088=I$1, ($A9088+$C9088) - MAX(IF($B$2:$B9087=$B9088, $A$2:$A9087+$C$2:$C9087)), "")*24*60, "")</f>
        <v>0</v>
      </c>
      <c r="J9088" s="24" t="str" cm="1">
        <f t="array" ref="J9088">IFERROR(IF($B9088=J$1, ($A9088+$C9088) - MAX(IF($B$2:$B9087=$B9088, $A$2:$A9087+$C$2:$C9087)), "")*24*60, "")</f>
        <v/>
      </c>
      <c r="K9088" s="24" t="str" cm="1">
        <f t="array" ref="K9088">IFERROR(IF($B9088=K$1, ($A9088+$C9088) - MAX(IF($B$2:$B9087=$B9088, $A$2:$A9087+$C$2:$C9087)), "")*24*60, "")</f>
        <v/>
      </c>
      <c r="L9088" s="24" t="str" cm="1">
        <f t="array" ref="L9088">IFERROR(IF($B9088=L$1, ($A9088+$C9088) - MAX(IF($B$2:$B9087=$B9088, $A$2:$A9087+$C$2:$C9087)), "")*24*60, "")</f>
        <v/>
      </c>
      <c r="M9088" s="24" t="str" cm="1">
        <f t="array" ref="M9088">IFERROR(IF($B9088=M$1, ($A9088+$C9088) - MAX(IF($B$2:$B9087=$B9088, $A$2:$A9087+$C$2:$C9087)), "")*24*60, "")</f>
        <v/>
      </c>
      <c r="N9088" s="24" t="str" cm="1">
        <f t="array" ref="N9088">IFERROR(IF($B9088=N$1, ($A9088+$C9088) - MAX(IF($B$2:$B9087=$B9088, $A$2:$A9087+$C$2:$C9087)), "")*24*60, "")</f>
        <v/>
      </c>
      <c r="O9088" s="24" t="str" cm="1">
        <f t="array" ref="O9088">IFERROR(IF($B9088=O$1, ($A9088+$C9088) - MAX(IF($B$2:$B9087=$B9088, $A$2:$A9087+$C$2:$C9087)), "")*24*60, "")</f>
        <v/>
      </c>
      <c r="P9088" s="24" t="str" cm="1">
        <f t="array" ref="P9088">IFERROR(IF($B9088=P$1, ($A9088+$C9088) - MAX(IF($B$2:$B9087=$B9088, $A$2:$A9087+$C$2:$C9087)), "")*24*60, "")</f>
        <v/>
      </c>
      <c r="Q9088" s="24" t="str" cm="1">
        <f t="array" ref="Q9088">IFERROR(IF($B9088=Q$1, ($A9088+$C9088) - MAX(IF($B$2:$B9087=$B9088, $A$2:$A9087+$C$2:$C9087)), "")*24*60, "")</f>
        <v/>
      </c>
      <c r="R9088" s="24" t="str" cm="1">
        <f t="array" ref="R9088">IFERROR(IF($B9088=R$1, ($A9088+$C9088) - MAX(IF($B$2:$B9087=$B9088, $A$2:$A9087+$C$2:$C9087)), "")*24*60, "")</f>
        <v/>
      </c>
      <c r="S9088" s="24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C9089" si="1521">A9088</f>
        <v>46041</v>
      </c>
      <c r="B9089" s="7" t="str">
        <f t="shared" si="1521"/>
        <v>Northern Cardinal</v>
      </c>
      <c r="C9089" s="8">
        <v>0.7583333333333333</v>
      </c>
      <c r="D9089" s="7"/>
      <c r="E9089" s="7"/>
      <c r="F9089" s="7" t="s">
        <v>9</v>
      </c>
      <c r="G9089" s="16" t="s">
        <v>9</v>
      </c>
      <c r="H9089" s="25">
        <f t="shared" si="1412"/>
        <v>0.99999999278225005</v>
      </c>
      <c r="I9089" s="25" cm="1">
        <f t="array" ref="I9089">IFERROR(IF($B9089=I$1, ($A9089+$C9089) - MAX(IF($B$2:$B9088=$B9089, $A$2:$A9088+$C$2:$C9088)), "")*24*60, "")</f>
        <v>0.99999999278225005</v>
      </c>
      <c r="J9089" s="25" t="str" cm="1">
        <f t="array" ref="J9089">IFERROR(IF($B9089=J$1, ($A9089+$C9089) - MAX(IF($B$2:$B9088=$B9089, $A$2:$A9088+$C$2:$C9088)), "")*24*60, "")</f>
        <v/>
      </c>
      <c r="K9089" s="25" t="str" cm="1">
        <f t="array" ref="K9089">IFERROR(IF($B9089=K$1, ($A9089+$C9089) - MAX(IF($B$2:$B9088=$B9089, $A$2:$A9088+$C$2:$C9088)), "")*24*60, "")</f>
        <v/>
      </c>
      <c r="L9089" s="25" t="str" cm="1">
        <f t="array" ref="L9089">IFERROR(IF($B9089=L$1, ($A9089+$C9089) - MAX(IF($B$2:$B9088=$B9089, $A$2:$A9088+$C$2:$C9088)), "")*24*60, "")</f>
        <v/>
      </c>
      <c r="M9089" s="25" t="str" cm="1">
        <f t="array" ref="M9089">IFERROR(IF($B9089=M$1, ($A9089+$C9089) - MAX(IF($B$2:$B9088=$B9089, $A$2:$A9088+$C$2:$C9088)), "")*24*60, "")</f>
        <v/>
      </c>
      <c r="N9089" s="25" t="str" cm="1">
        <f t="array" ref="N9089">IFERROR(IF($B9089=N$1, ($A9089+$C9089) - MAX(IF($B$2:$B9088=$B9089, $A$2:$A9088+$C$2:$C9088)), "")*24*60, "")</f>
        <v/>
      </c>
      <c r="O9089" s="25" t="str" cm="1">
        <f t="array" ref="O9089">IFERROR(IF($B9089=O$1, ($A9089+$C9089) - MAX(IF($B$2:$B9088=$B9089, $A$2:$A9088+$C$2:$C9088)), "")*24*60, "")</f>
        <v/>
      </c>
      <c r="P9089" s="25" t="str" cm="1">
        <f t="array" ref="P9089">IFERROR(IF($B9089=P$1, ($A9089+$C9089) - MAX(IF($B$2:$B9088=$B9089, $A$2:$A9088+$C$2:$C9088)), "")*24*60, "")</f>
        <v/>
      </c>
      <c r="Q9089" s="25" t="str" cm="1">
        <f t="array" ref="Q9089">IFERROR(IF($B9089=Q$1, ($A9089+$C9089) - MAX(IF($B$2:$B9088=$B9089, $A$2:$A9088+$C$2:$C9088)), "")*24*60, "")</f>
        <v/>
      </c>
      <c r="R9089" s="25" t="str" cm="1">
        <f t="array" ref="R9089">IFERROR(IF($B9089=R$1, ($A9089+$C9089) - MAX(IF($B$2:$B9088=$B9089, $A$2:$A9088+$C$2:$C9088)), "")*24*60, "")</f>
        <v/>
      </c>
      <c r="S9089" s="25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tr">
        <f t="shared" ref="A9090:C9090" si="1522">B9089</f>
        <v>Northern Cardinal</v>
      </c>
      <c r="C9090" s="6">
        <v>0.29166666666666669</v>
      </c>
      <c r="D9090" s="5"/>
      <c r="E9090" s="5"/>
      <c r="F9090" s="5" t="s">
        <v>9</v>
      </c>
      <c r="G9090" s="15" t="s">
        <v>26</v>
      </c>
      <c r="H9090" s="24">
        <f t="shared" si="1412"/>
        <v>767.99999999930151</v>
      </c>
      <c r="I9090" s="24" cm="1">
        <f t="array" ref="I9090">IFERROR(IF($B9090=I$1, ($A9090+$C9090) - MAX(IF($B$2:$B9089=$B9090, $A$2:$A9089+$C$2:$C9089)), "")*24*60, "")</f>
        <v>767.99999999930151</v>
      </c>
      <c r="J9090" s="24" t="str" cm="1">
        <f t="array" ref="J9090">IFERROR(IF($B9090=J$1, ($A9090+$C9090) - MAX(IF($B$2:$B9089=$B9090, $A$2:$A9089+$C$2:$C9089)), "")*24*60, "")</f>
        <v/>
      </c>
      <c r="K9090" s="24" t="str" cm="1">
        <f t="array" ref="K9090">IFERROR(IF($B9090=K$1, ($A9090+$C9090) - MAX(IF($B$2:$B9089=$B9090, $A$2:$A9089+$C$2:$C9089)), "")*24*60, "")</f>
        <v/>
      </c>
      <c r="L9090" s="24" t="str" cm="1">
        <f t="array" ref="L9090">IFERROR(IF($B9090=L$1, ($A9090+$C9090) - MAX(IF($B$2:$B9089=$B9090, $A$2:$A9089+$C$2:$C9089)), "")*24*60, "")</f>
        <v/>
      </c>
      <c r="M9090" s="24" t="str" cm="1">
        <f t="array" ref="M9090">IFERROR(IF($B9090=M$1, ($A9090+$C9090) - MAX(IF($B$2:$B9089=$B9090, $A$2:$A9089+$C$2:$C9089)), "")*24*60, "")</f>
        <v/>
      </c>
      <c r="N9090" s="24" t="str" cm="1">
        <f t="array" ref="N9090">IFERROR(IF($B9090=N$1, ($A9090+$C9090) - MAX(IF($B$2:$B9089=$B9090, $A$2:$A9089+$C$2:$C9089)), "")*24*60, "")</f>
        <v/>
      </c>
      <c r="O9090" s="24" t="str" cm="1">
        <f t="array" ref="O9090">IFERROR(IF($B9090=O$1, ($A9090+$C9090) - MAX(IF($B$2:$B9089=$B9090, $A$2:$A9089+$C$2:$C9089)), "")*24*60, "")</f>
        <v/>
      </c>
      <c r="P9090" s="24" t="str" cm="1">
        <f t="array" ref="P9090">IFERROR(IF($B9090=P$1, ($A9090+$C9090) - MAX(IF($B$2:$B9089=$B9090, $A$2:$A9089+$C$2:$C9089)), "")*24*60, "")</f>
        <v/>
      </c>
      <c r="Q9090" s="24" t="str" cm="1">
        <f t="array" ref="Q9090">IFERROR(IF($B9090=Q$1, ($A9090+$C9090) - MAX(IF($B$2:$B9089=$B9090, $A$2:$A9089+$C$2:$C9089)), "")*24*60, "")</f>
        <v/>
      </c>
      <c r="R9090" s="24" t="str" cm="1">
        <f t="array" ref="R9090">IFERROR(IF($B9090=R$1, ($A9090+$C9090) - MAX(IF($B$2:$B9089=$B9090, $A$2:$A9089+$C$2:$C9089)), "")*24*60, "")</f>
        <v/>
      </c>
      <c r="S9090" s="24" t="str" cm="1">
        <f t="array" ref="S9090">IFERROR(IF($B9090=S$1, ($A9090+$C9090) - MAX(IF($B$2:$B9089=$B9090, $A$2:$A9089+$C$2:$C9089)), "")*24*60, "")</f>
        <v/>
      </c>
    </row>
    <row r="9091" spans="1:19" x14ac:dyDescent="0.2">
      <c r="A9091" s="12">
        <f t="shared" ref="A9091:C9091" si="1523">A9090</f>
        <v>46042</v>
      </c>
      <c r="B9091" s="5" t="str">
        <f t="shared" si="1523"/>
        <v>Northern Cardinal</v>
      </c>
      <c r="C9091" s="6">
        <f t="shared" si="1523"/>
        <v>0.29166666666666669</v>
      </c>
      <c r="D9091" s="5"/>
      <c r="E9091" s="5"/>
      <c r="F9091" s="5" t="s">
        <v>9</v>
      </c>
      <c r="G9091" s="15" t="s">
        <v>26</v>
      </c>
      <c r="H9091" s="24">
        <f t="shared" si="1412"/>
        <v>0</v>
      </c>
      <c r="I9091" s="24" cm="1">
        <f t="array" ref="I9091">IFERROR(IF($B9091=I$1, ($A9091+$C9091) - MAX(IF($B$2:$B9090=$B9091, $A$2:$A9090+$C$2:$C9090)), "")*24*60, "")</f>
        <v>0</v>
      </c>
      <c r="J9091" s="24" t="str" cm="1">
        <f t="array" ref="J9091">IFERROR(IF($B9091=J$1, ($A9091+$C9091) - MAX(IF($B$2:$B9090=$B9091, $A$2:$A9090+$C$2:$C9090)), "")*24*60, "")</f>
        <v/>
      </c>
      <c r="K9091" s="24" t="str" cm="1">
        <f t="array" ref="K9091">IFERROR(IF($B9091=K$1, ($A9091+$C9091) - MAX(IF($B$2:$B9090=$B9091, $A$2:$A9090+$C$2:$C9090)), "")*24*60, "")</f>
        <v/>
      </c>
      <c r="L9091" s="24" t="str" cm="1">
        <f t="array" ref="L9091">IFERROR(IF($B9091=L$1, ($A9091+$C9091) - MAX(IF($B$2:$B9090=$B9091, $A$2:$A9090+$C$2:$C9090)), "")*24*60, "")</f>
        <v/>
      </c>
      <c r="M9091" s="24" t="str" cm="1">
        <f t="array" ref="M9091">IFERROR(IF($B9091=M$1, ($A9091+$C9091) - MAX(IF($B$2:$B9090=$B9091, $A$2:$A9090+$C$2:$C9090)), "")*24*60, "")</f>
        <v/>
      </c>
      <c r="N9091" s="24" t="str" cm="1">
        <f t="array" ref="N9091">IFERROR(IF($B9091=N$1, ($A9091+$C9091) - MAX(IF($B$2:$B9090=$B9091, $A$2:$A9090+$C$2:$C9090)), "")*24*60, "")</f>
        <v/>
      </c>
      <c r="O9091" s="24" t="str" cm="1">
        <f t="array" ref="O9091">IFERROR(IF($B9091=O$1, ($A9091+$C9091) - MAX(IF($B$2:$B9090=$B9091, $A$2:$A9090+$C$2:$C9090)), "")*24*60, "")</f>
        <v/>
      </c>
      <c r="P9091" s="24" t="str" cm="1">
        <f t="array" ref="P9091">IFERROR(IF($B9091=P$1, ($A9091+$C9091) - MAX(IF($B$2:$B9090=$B9091, $A$2:$A9090+$C$2:$C9090)), "")*24*60, "")</f>
        <v/>
      </c>
      <c r="Q9091" s="24" t="str" cm="1">
        <f t="array" ref="Q9091">IFERROR(IF($B9091=Q$1, ($A9091+$C9091) - MAX(IF($B$2:$B9090=$B9091, $A$2:$A9090+$C$2:$C9090)), "")*24*60, "")</f>
        <v/>
      </c>
      <c r="R9091" s="24" t="str" cm="1">
        <f t="array" ref="R9091">IFERROR(IF($B9091=R$1, ($A9091+$C9091) - MAX(IF($B$2:$B9090=$B9091, $A$2:$A9090+$C$2:$C9090)), "")*24*60, "")</f>
        <v/>
      </c>
      <c r="S9091" s="24" t="str" cm="1">
        <f t="array" ref="S9091">IFERROR(IF($B9091=S$1, ($A9091+$C9091) - MAX(IF($B$2:$B9090=$B9091, $A$2:$A9090+$C$2:$C9090)), "")*24*60, "")</f>
        <v/>
      </c>
    </row>
    <row r="9092" spans="1:19" x14ac:dyDescent="0.2">
      <c r="A9092" s="12">
        <f t="shared" ref="A9092:C9092" si="1524">A9091</f>
        <v>46042</v>
      </c>
      <c r="B9092" s="5" t="str">
        <f t="shared" si="1524"/>
        <v>Northern Cardinal</v>
      </c>
      <c r="C9092" s="6">
        <f t="shared" si="1524"/>
        <v>0.29166666666666669</v>
      </c>
      <c r="D9092" s="5"/>
      <c r="E9092" s="5"/>
      <c r="F9092" s="5" t="s">
        <v>9</v>
      </c>
      <c r="G9092" s="15" t="s">
        <v>26</v>
      </c>
      <c r="H9092" s="24">
        <f t="shared" si="1412"/>
        <v>0</v>
      </c>
      <c r="I9092" s="24" cm="1">
        <f t="array" ref="I9092">IFERROR(IF($B9092=I$1, ($A9092+$C9092) - MAX(IF($B$2:$B9091=$B9092, $A$2:$A9091+$C$2:$C9091)), "")*24*60, "")</f>
        <v>0</v>
      </c>
      <c r="J9092" s="24" t="str" cm="1">
        <f t="array" ref="J9092">IFERROR(IF($B9092=J$1, ($A9092+$C9092) - MAX(IF($B$2:$B9091=$B9092, $A$2:$A9091+$C$2:$C9091)), "")*24*60, "")</f>
        <v/>
      </c>
      <c r="K9092" s="24" t="str" cm="1">
        <f t="array" ref="K9092">IFERROR(IF($B9092=K$1, ($A9092+$C9092) - MAX(IF($B$2:$B9091=$B9092, $A$2:$A9091+$C$2:$C9091)), "")*24*60, "")</f>
        <v/>
      </c>
      <c r="L9092" s="24" t="str" cm="1">
        <f t="array" ref="L9092">IFERROR(IF($B9092=L$1, ($A9092+$C9092) - MAX(IF($B$2:$B9091=$B9092, $A$2:$A9091+$C$2:$C9091)), "")*24*60, "")</f>
        <v/>
      </c>
      <c r="M9092" s="24" t="str" cm="1">
        <f t="array" ref="M9092">IFERROR(IF($B9092=M$1, ($A9092+$C9092) - MAX(IF($B$2:$B9091=$B9092, $A$2:$A9091+$C$2:$C9091)), "")*24*60, "")</f>
        <v/>
      </c>
      <c r="N9092" s="24" t="str" cm="1">
        <f t="array" ref="N9092">IFERROR(IF($B9092=N$1, ($A9092+$C9092) - MAX(IF($B$2:$B9091=$B9092, $A$2:$A9091+$C$2:$C9091)), "")*24*60, "")</f>
        <v/>
      </c>
      <c r="O9092" s="24" t="str" cm="1">
        <f t="array" ref="O9092">IFERROR(IF($B9092=O$1, ($A9092+$C9092) - MAX(IF($B$2:$B9091=$B9092, $A$2:$A9091+$C$2:$C9091)), "")*24*60, "")</f>
        <v/>
      </c>
      <c r="P9092" s="24" t="str" cm="1">
        <f t="array" ref="P9092">IFERROR(IF($B9092=P$1, ($A9092+$C9092) - MAX(IF($B$2:$B9091=$B9092, $A$2:$A9091+$C$2:$C9091)), "")*24*60, "")</f>
        <v/>
      </c>
      <c r="Q9092" s="24" t="str" cm="1">
        <f t="array" ref="Q9092">IFERROR(IF($B9092=Q$1, ($A9092+$C9092) - MAX(IF($B$2:$B9091=$B9092, $A$2:$A9091+$C$2:$C9091)), "")*24*60, "")</f>
        <v/>
      </c>
      <c r="R9092" s="24" t="str" cm="1">
        <f t="array" ref="R9092">IFERROR(IF($B9092=R$1, ($A9092+$C9092) - MAX(IF($B$2:$B9091=$B9092, $A$2:$A9091+$C$2:$C9091)), "")*24*60, "")</f>
        <v/>
      </c>
      <c r="S9092" s="24" t="str" cm="1">
        <f t="array" ref="S9092">IFERROR(IF($B9092=S$1, ($A9092+$C9092) - MAX(IF($B$2:$B9091=$B9092, $A$2:$A9091+$C$2:$C9091)), "")*24*60, "")</f>
        <v/>
      </c>
    </row>
    <row r="9093" spans="1:19" x14ac:dyDescent="0.2">
      <c r="A9093" s="12">
        <f t="shared" ref="A9093:C9093" si="1525">A9092</f>
        <v>46042</v>
      </c>
      <c r="B9093" s="5" t="str">
        <f t="shared" si="1525"/>
        <v>Northern Cardinal</v>
      </c>
      <c r="C9093" s="6">
        <f t="shared" si="1525"/>
        <v>0.29166666666666669</v>
      </c>
      <c r="D9093" s="5"/>
      <c r="E9093" s="5"/>
      <c r="F9093" s="5" t="s">
        <v>9</v>
      </c>
      <c r="G9093" s="15" t="s">
        <v>26</v>
      </c>
      <c r="H9093" s="24">
        <f t="shared" si="1412"/>
        <v>0</v>
      </c>
      <c r="I9093" s="24" cm="1">
        <f t="array" ref="I9093">IFERROR(IF($B9093=I$1, ($A9093+$C9093) - MAX(IF($B$2:$B9092=$B9093, $A$2:$A9092+$C$2:$C9092)), "")*24*60, "")</f>
        <v>0</v>
      </c>
      <c r="J9093" s="24" t="str" cm="1">
        <f t="array" ref="J9093">IFERROR(IF($B9093=J$1, ($A9093+$C9093) - MAX(IF($B$2:$B9092=$B9093, $A$2:$A9092+$C$2:$C9092)), "")*24*60, "")</f>
        <v/>
      </c>
      <c r="K9093" s="24" t="str" cm="1">
        <f t="array" ref="K9093">IFERROR(IF($B9093=K$1, ($A9093+$C9093) - MAX(IF($B$2:$B9092=$B9093, $A$2:$A9092+$C$2:$C9092)), "")*24*60, "")</f>
        <v/>
      </c>
      <c r="L9093" s="24" t="str" cm="1">
        <f t="array" ref="L9093">IFERROR(IF($B9093=L$1, ($A9093+$C9093) - MAX(IF($B$2:$B9092=$B9093, $A$2:$A9092+$C$2:$C9092)), "")*24*60, "")</f>
        <v/>
      </c>
      <c r="M9093" s="24" t="str" cm="1">
        <f t="array" ref="M9093">IFERROR(IF($B9093=M$1, ($A9093+$C9093) - MAX(IF($B$2:$B9092=$B9093, $A$2:$A9092+$C$2:$C9092)), "")*24*60, "")</f>
        <v/>
      </c>
      <c r="N9093" s="24" t="str" cm="1">
        <f t="array" ref="N9093">IFERROR(IF($B9093=N$1, ($A9093+$C9093) - MAX(IF($B$2:$B9092=$B9093, $A$2:$A9092+$C$2:$C9092)), "")*24*60, "")</f>
        <v/>
      </c>
      <c r="O9093" s="24" t="str" cm="1">
        <f t="array" ref="O9093">IFERROR(IF($B9093=O$1, ($A9093+$C9093) - MAX(IF($B$2:$B9092=$B9093, $A$2:$A9092+$C$2:$C9092)), "")*24*60, "")</f>
        <v/>
      </c>
      <c r="P9093" s="24" t="str" cm="1">
        <f t="array" ref="P9093">IFERROR(IF($B9093=P$1, ($A9093+$C9093) - MAX(IF($B$2:$B9092=$B9093, $A$2:$A9092+$C$2:$C9092)), "")*24*60, "")</f>
        <v/>
      </c>
      <c r="Q9093" s="24" t="str" cm="1">
        <f t="array" ref="Q9093">IFERROR(IF($B9093=Q$1, ($A9093+$C9093) - MAX(IF($B$2:$B9092=$B9093, $A$2:$A9092+$C$2:$C9092)), "")*24*60, "")</f>
        <v/>
      </c>
      <c r="R9093" s="24" t="str" cm="1">
        <f t="array" ref="R9093">IFERROR(IF($B9093=R$1, ($A9093+$C9093) - MAX(IF($B$2:$B9092=$B9093, $A$2:$A9092+$C$2:$C9092)), "")*24*60, "")</f>
        <v/>
      </c>
      <c r="S9093" s="24" t="str" cm="1">
        <f t="array" ref="S9093">IFERROR(IF($B9093=S$1, ($A9093+$C9093) - MAX(IF($B$2:$B9092=$B9093, $A$2:$A9092+$C$2:$C9092)), "")*24*60, "")</f>
        <v/>
      </c>
    </row>
    <row r="9094" spans="1:19" x14ac:dyDescent="0.2">
      <c r="A9094" s="12">
        <f t="shared" ref="A9094:C9094" si="1526">A9093</f>
        <v>46042</v>
      </c>
      <c r="B9094" s="5" t="str">
        <f t="shared" si="1526"/>
        <v>Northern Cardinal</v>
      </c>
      <c r="C9094" s="6">
        <f t="shared" si="1526"/>
        <v>0.29166666666666669</v>
      </c>
      <c r="D9094" s="5"/>
      <c r="E9094" s="5"/>
      <c r="F9094" s="5" t="s">
        <v>9</v>
      </c>
      <c r="G9094" s="15" t="s">
        <v>26</v>
      </c>
      <c r="H9094" s="24">
        <f t="shared" si="1412"/>
        <v>0</v>
      </c>
      <c r="I9094" s="24" cm="1">
        <f t="array" ref="I9094">IFERROR(IF($B9094=I$1, ($A9094+$C9094) - MAX(IF($B$2:$B9093=$B9094, $A$2:$A9093+$C$2:$C9093)), "")*24*60, "")</f>
        <v>0</v>
      </c>
      <c r="J9094" s="24" t="str" cm="1">
        <f t="array" ref="J9094">IFERROR(IF($B9094=J$1, ($A9094+$C9094) - MAX(IF($B$2:$B9093=$B9094, $A$2:$A9093+$C$2:$C9093)), "")*24*60, "")</f>
        <v/>
      </c>
      <c r="K9094" s="24" t="str" cm="1">
        <f t="array" ref="K9094">IFERROR(IF($B9094=K$1, ($A9094+$C9094) - MAX(IF($B$2:$B9093=$B9094, $A$2:$A9093+$C$2:$C9093)), "")*24*60, "")</f>
        <v/>
      </c>
      <c r="L9094" s="24" t="str" cm="1">
        <f t="array" ref="L9094">IFERROR(IF($B9094=L$1, ($A9094+$C9094) - MAX(IF($B$2:$B9093=$B9094, $A$2:$A9093+$C$2:$C9093)), "")*24*60, "")</f>
        <v/>
      </c>
      <c r="M9094" s="24" t="str" cm="1">
        <f t="array" ref="M9094">IFERROR(IF($B9094=M$1, ($A9094+$C9094) - MAX(IF($B$2:$B9093=$B9094, $A$2:$A9093+$C$2:$C9093)), "")*24*60, "")</f>
        <v/>
      </c>
      <c r="N9094" s="24" t="str" cm="1">
        <f t="array" ref="N9094">IFERROR(IF($B9094=N$1, ($A9094+$C9094) - MAX(IF($B$2:$B9093=$B9094, $A$2:$A9093+$C$2:$C9093)), "")*24*60, "")</f>
        <v/>
      </c>
      <c r="O9094" s="24" t="str" cm="1">
        <f t="array" ref="O9094">IFERROR(IF($B9094=O$1, ($A9094+$C9094) - MAX(IF($B$2:$B9093=$B9094, $A$2:$A9093+$C$2:$C9093)), "")*24*60, "")</f>
        <v/>
      </c>
      <c r="P9094" s="24" t="str" cm="1">
        <f t="array" ref="P9094">IFERROR(IF($B9094=P$1, ($A9094+$C9094) - MAX(IF($B$2:$B9093=$B9094, $A$2:$A9093+$C$2:$C9093)), "")*24*60, "")</f>
        <v/>
      </c>
      <c r="Q9094" s="24" t="str" cm="1">
        <f t="array" ref="Q9094">IFERROR(IF($B9094=Q$1, ($A9094+$C9094) - MAX(IF($B$2:$B9093=$B9094, $A$2:$A9093+$C$2:$C9093)), "")*24*60, "")</f>
        <v/>
      </c>
      <c r="R9094" s="24" t="str" cm="1">
        <f t="array" ref="R9094">IFERROR(IF($B9094=R$1, ($A9094+$C9094) - MAX(IF($B$2:$B9093=$B9094, $A$2:$A9093+$C$2:$C9093)), "")*24*60, "")</f>
        <v/>
      </c>
      <c r="S9094" s="24" t="str" cm="1">
        <f t="array" ref="S9094">IFERROR(IF($B9094=S$1, ($A9094+$C9094) - MAX(IF($B$2:$B9093=$B9094, $A$2:$A9093+$C$2:$C9093)), "")*24*60, "")</f>
        <v/>
      </c>
    </row>
    <row r="9095" spans="1:19" x14ac:dyDescent="0.2">
      <c r="A9095" s="12">
        <f t="shared" ref="A9095:C9095" si="1527">A9094</f>
        <v>46042</v>
      </c>
      <c r="B9095" s="5" t="str">
        <f t="shared" si="1527"/>
        <v>Northern Cardinal</v>
      </c>
      <c r="C9095" s="6">
        <f t="shared" si="1527"/>
        <v>0.29166666666666669</v>
      </c>
      <c r="D9095" s="5"/>
      <c r="E9095" s="5"/>
      <c r="F9095" s="5" t="s">
        <v>9</v>
      </c>
      <c r="G9095" s="15" t="s">
        <v>26</v>
      </c>
      <c r="H9095" s="24">
        <f t="shared" si="1412"/>
        <v>0</v>
      </c>
      <c r="I9095" s="24" cm="1">
        <f t="array" ref="I9095">IFERROR(IF($B9095=I$1, ($A9095+$C9095) - MAX(IF($B$2:$B9094=$B9095, $A$2:$A9094+$C$2:$C9094)), "")*24*60, "")</f>
        <v>0</v>
      </c>
      <c r="J9095" s="24" t="str" cm="1">
        <f t="array" ref="J9095">IFERROR(IF($B9095=J$1, ($A9095+$C9095) - MAX(IF($B$2:$B9094=$B9095, $A$2:$A9094+$C$2:$C9094)), "")*24*60, "")</f>
        <v/>
      </c>
      <c r="K9095" s="24" t="str" cm="1">
        <f t="array" ref="K9095">IFERROR(IF($B9095=K$1, ($A9095+$C9095) - MAX(IF($B$2:$B9094=$B9095, $A$2:$A9094+$C$2:$C9094)), "")*24*60, "")</f>
        <v/>
      </c>
      <c r="L9095" s="24" t="str" cm="1">
        <f t="array" ref="L9095">IFERROR(IF($B9095=L$1, ($A9095+$C9095) - MAX(IF($B$2:$B9094=$B9095, $A$2:$A9094+$C$2:$C9094)), "")*24*60, "")</f>
        <v/>
      </c>
      <c r="M9095" s="24" t="str" cm="1">
        <f t="array" ref="M9095">IFERROR(IF($B9095=M$1, ($A9095+$C9095) - MAX(IF($B$2:$B9094=$B9095, $A$2:$A9094+$C$2:$C9094)), "")*24*60, "")</f>
        <v/>
      </c>
      <c r="N9095" s="24" t="str" cm="1">
        <f t="array" ref="N9095">IFERROR(IF($B9095=N$1, ($A9095+$C9095) - MAX(IF($B$2:$B9094=$B9095, $A$2:$A9094+$C$2:$C9094)), "")*24*60, "")</f>
        <v/>
      </c>
      <c r="O9095" s="24" t="str" cm="1">
        <f t="array" ref="O9095">IFERROR(IF($B9095=O$1, ($A9095+$C9095) - MAX(IF($B$2:$B9094=$B9095, $A$2:$A9094+$C$2:$C9094)), "")*24*60, "")</f>
        <v/>
      </c>
      <c r="P9095" s="24" t="str" cm="1">
        <f t="array" ref="P9095">IFERROR(IF($B9095=P$1, ($A9095+$C9095) - MAX(IF($B$2:$B9094=$B9095, $A$2:$A9094+$C$2:$C9094)), "")*24*60, "")</f>
        <v/>
      </c>
      <c r="Q9095" s="24" t="str" cm="1">
        <f t="array" ref="Q9095">IFERROR(IF($B9095=Q$1, ($A9095+$C9095) - MAX(IF($B$2:$B9094=$B9095, $A$2:$A9094+$C$2:$C9094)), "")*24*60, "")</f>
        <v/>
      </c>
      <c r="R9095" s="24" t="str" cm="1">
        <f t="array" ref="R9095">IFERROR(IF($B9095=R$1, ($A9095+$C9095) - MAX(IF($B$2:$B9094=$B9095, $A$2:$A9094+$C$2:$C9094)), "")*24*60, "")</f>
        <v/>
      </c>
      <c r="S9095" s="24" t="str" cm="1">
        <f t="array" ref="S9095">IFERROR(IF($B9095=S$1, ($A9095+$C9095) - MAX(IF($B$2:$B9094=$B9095, $A$2:$A9094+$C$2:$C9094)), "")*24*60, "")</f>
        <v/>
      </c>
    </row>
    <row r="9096" spans="1:19" x14ac:dyDescent="0.2">
      <c r="A9096" s="12">
        <f t="shared" ref="A9096:C9096" si="1528">A9095</f>
        <v>46042</v>
      </c>
      <c r="B9096" s="5" t="str">
        <f t="shared" si="1528"/>
        <v>Northern Cardinal</v>
      </c>
      <c r="C9096" s="6">
        <f t="shared" si="1528"/>
        <v>0.29166666666666669</v>
      </c>
      <c r="D9096" s="5"/>
      <c r="E9096" s="5"/>
      <c r="F9096" s="5" t="s">
        <v>9</v>
      </c>
      <c r="G9096" s="15" t="s">
        <v>26</v>
      </c>
      <c r="H9096" s="24">
        <f t="shared" si="1412"/>
        <v>0</v>
      </c>
      <c r="I9096" s="24" cm="1">
        <f t="array" ref="I9096">IFERROR(IF($B9096=I$1, ($A9096+$C9096) - MAX(IF($B$2:$B9095=$B9096, $A$2:$A9095+$C$2:$C9095)), "")*24*60, "")</f>
        <v>0</v>
      </c>
      <c r="J9096" s="24" t="str" cm="1">
        <f t="array" ref="J9096">IFERROR(IF($B9096=J$1, ($A9096+$C9096) - MAX(IF($B$2:$B9095=$B9096, $A$2:$A9095+$C$2:$C9095)), "")*24*60, "")</f>
        <v/>
      </c>
      <c r="K9096" s="24" t="str" cm="1">
        <f t="array" ref="K9096">IFERROR(IF($B9096=K$1, ($A9096+$C9096) - MAX(IF($B$2:$B9095=$B9096, $A$2:$A9095+$C$2:$C9095)), "")*24*60, "")</f>
        <v/>
      </c>
      <c r="L9096" s="24" t="str" cm="1">
        <f t="array" ref="L9096">IFERROR(IF($B9096=L$1, ($A9096+$C9096) - MAX(IF($B$2:$B9095=$B9096, $A$2:$A9095+$C$2:$C9095)), "")*24*60, "")</f>
        <v/>
      </c>
      <c r="M9096" s="24" t="str" cm="1">
        <f t="array" ref="M9096">IFERROR(IF($B9096=M$1, ($A9096+$C9096) - MAX(IF($B$2:$B9095=$B9096, $A$2:$A9095+$C$2:$C9095)), "")*24*60, "")</f>
        <v/>
      </c>
      <c r="N9096" s="24" t="str" cm="1">
        <f t="array" ref="N9096">IFERROR(IF($B9096=N$1, ($A9096+$C9096) - MAX(IF($B$2:$B9095=$B9096, $A$2:$A9095+$C$2:$C9095)), "")*24*60, "")</f>
        <v/>
      </c>
      <c r="O9096" s="24" t="str" cm="1">
        <f t="array" ref="O9096">IFERROR(IF($B9096=O$1, ($A9096+$C9096) - MAX(IF($B$2:$B9095=$B9096, $A$2:$A9095+$C$2:$C9095)), "")*24*60, "")</f>
        <v/>
      </c>
      <c r="P9096" s="24" t="str" cm="1">
        <f t="array" ref="P9096">IFERROR(IF($B9096=P$1, ($A9096+$C9096) - MAX(IF($B$2:$B9095=$B9096, $A$2:$A9095+$C$2:$C9095)), "")*24*60, "")</f>
        <v/>
      </c>
      <c r="Q9096" s="24" t="str" cm="1">
        <f t="array" ref="Q9096">IFERROR(IF($B9096=Q$1, ($A9096+$C9096) - MAX(IF($B$2:$B9095=$B9096, $A$2:$A9095+$C$2:$C9095)), "")*24*60, "")</f>
        <v/>
      </c>
      <c r="R9096" s="24" t="str" cm="1">
        <f t="array" ref="R9096">IFERROR(IF($B9096=R$1, ($A9096+$C9096) - MAX(IF($B$2:$B9095=$B9096, $A$2:$A9095+$C$2:$C9095)), "")*24*60, "")</f>
        <v/>
      </c>
      <c r="S9096" s="24" t="str" cm="1">
        <f t="array" ref="S9096">IFERROR(IF($B9096=S$1, ($A9096+$C9096) - MAX(IF($B$2:$B9095=$B9096, $A$2:$A9095+$C$2:$C9095)), "")*24*60, "")</f>
        <v/>
      </c>
    </row>
    <row r="9097" spans="1:19" x14ac:dyDescent="0.2">
      <c r="A9097" s="12">
        <f t="shared" ref="A9097:C9097" si="1529">A9096</f>
        <v>46042</v>
      </c>
      <c r="B9097" s="5" t="str">
        <f t="shared" si="1529"/>
        <v>Northern Cardinal</v>
      </c>
      <c r="C9097" s="6">
        <f t="shared" si="1529"/>
        <v>0.29166666666666669</v>
      </c>
      <c r="D9097" s="5"/>
      <c r="E9097" s="5"/>
      <c r="F9097" s="5" t="s">
        <v>9</v>
      </c>
      <c r="G9097" s="15" t="s">
        <v>26</v>
      </c>
      <c r="H9097" s="24">
        <f t="shared" si="1412"/>
        <v>0</v>
      </c>
      <c r="I9097" s="24" cm="1">
        <f t="array" ref="I9097">IFERROR(IF($B9097=I$1, ($A9097+$C9097) - MAX(IF($B$2:$B9096=$B9097, $A$2:$A9096+$C$2:$C9096)), "")*24*60, "")</f>
        <v>0</v>
      </c>
      <c r="J9097" s="24" t="str" cm="1">
        <f t="array" ref="J9097">IFERROR(IF($B9097=J$1, ($A9097+$C9097) - MAX(IF($B$2:$B9096=$B9097, $A$2:$A9096+$C$2:$C9096)), "")*24*60, "")</f>
        <v/>
      </c>
      <c r="K9097" s="24" t="str" cm="1">
        <f t="array" ref="K9097">IFERROR(IF($B9097=K$1, ($A9097+$C9097) - MAX(IF($B$2:$B9096=$B9097, $A$2:$A9096+$C$2:$C9096)), "")*24*60, "")</f>
        <v/>
      </c>
      <c r="L9097" s="24" t="str" cm="1">
        <f t="array" ref="L9097">IFERROR(IF($B9097=L$1, ($A9097+$C9097) - MAX(IF($B$2:$B9096=$B9097, $A$2:$A9096+$C$2:$C9096)), "")*24*60, "")</f>
        <v/>
      </c>
      <c r="M9097" s="24" t="str" cm="1">
        <f t="array" ref="M9097">IFERROR(IF($B9097=M$1, ($A9097+$C9097) - MAX(IF($B$2:$B9096=$B9097, $A$2:$A9096+$C$2:$C9096)), "")*24*60, "")</f>
        <v/>
      </c>
      <c r="N9097" s="24" t="str" cm="1">
        <f t="array" ref="N9097">IFERROR(IF($B9097=N$1, ($A9097+$C9097) - MAX(IF($B$2:$B9096=$B9097, $A$2:$A9096+$C$2:$C9096)), "")*24*60, "")</f>
        <v/>
      </c>
      <c r="O9097" s="24" t="str" cm="1">
        <f t="array" ref="O9097">IFERROR(IF($B9097=O$1, ($A9097+$C9097) - MAX(IF($B$2:$B9096=$B9097, $A$2:$A9096+$C$2:$C9096)), "")*24*60, "")</f>
        <v/>
      </c>
      <c r="P9097" s="24" t="str" cm="1">
        <f t="array" ref="P9097">IFERROR(IF($B9097=P$1, ($A9097+$C9097) - MAX(IF($B$2:$B9096=$B9097, $A$2:$A9096+$C$2:$C9096)), "")*24*60, "")</f>
        <v/>
      </c>
      <c r="Q9097" s="24" t="str" cm="1">
        <f t="array" ref="Q9097">IFERROR(IF($B9097=Q$1, ($A9097+$C9097) - MAX(IF($B$2:$B9096=$B9097, $A$2:$A9096+$C$2:$C9096)), "")*24*60, "")</f>
        <v/>
      </c>
      <c r="R9097" s="24" t="str" cm="1">
        <f t="array" ref="R9097">IFERROR(IF($B9097=R$1, ($A9097+$C9097) - MAX(IF($B$2:$B9096=$B9097, $A$2:$A9096+$C$2:$C9096)), "")*24*60, "")</f>
        <v/>
      </c>
      <c r="S9097" s="24" t="str" cm="1">
        <f t="array" ref="S9097">IFERROR(IF($B9097=S$1, ($A9097+$C9097) - MAX(IF($B$2:$B9096=$B9097, $A$2:$A9096+$C$2:$C9096)), "")*24*60, "")</f>
        <v/>
      </c>
    </row>
    <row r="9098" spans="1:19" x14ac:dyDescent="0.2">
      <c r="A9098" s="12">
        <f t="shared" ref="A9098:C9098" si="1530">A9097</f>
        <v>46042</v>
      </c>
      <c r="B9098" s="5" t="str">
        <f t="shared" si="1530"/>
        <v>Northern Cardinal</v>
      </c>
      <c r="C9098" s="6">
        <f t="shared" si="1530"/>
        <v>0.29166666666666669</v>
      </c>
      <c r="D9098" s="5"/>
      <c r="E9098" s="5"/>
      <c r="F9098" s="5" t="s">
        <v>9</v>
      </c>
      <c r="G9098" s="15" t="s">
        <v>26</v>
      </c>
      <c r="H9098" s="24">
        <f t="shared" si="1412"/>
        <v>0</v>
      </c>
      <c r="I9098" s="24" cm="1">
        <f t="array" ref="I9098">IFERROR(IF($B9098=I$1, ($A9098+$C9098) - MAX(IF($B$2:$B9097=$B9098, $A$2:$A9097+$C$2:$C9097)), "")*24*60, "")</f>
        <v>0</v>
      </c>
      <c r="J9098" s="24" t="str" cm="1">
        <f t="array" ref="J9098">IFERROR(IF($B9098=J$1, ($A9098+$C9098) - MAX(IF($B$2:$B9097=$B9098, $A$2:$A9097+$C$2:$C9097)), "")*24*60, "")</f>
        <v/>
      </c>
      <c r="K9098" s="24" t="str" cm="1">
        <f t="array" ref="K9098">IFERROR(IF($B9098=K$1, ($A9098+$C9098) - MAX(IF($B$2:$B9097=$B9098, $A$2:$A9097+$C$2:$C9097)), "")*24*60, "")</f>
        <v/>
      </c>
      <c r="L9098" s="24" t="str" cm="1">
        <f t="array" ref="L9098">IFERROR(IF($B9098=L$1, ($A9098+$C9098) - MAX(IF($B$2:$B9097=$B9098, $A$2:$A9097+$C$2:$C9097)), "")*24*60, "")</f>
        <v/>
      </c>
      <c r="M9098" s="24" t="str" cm="1">
        <f t="array" ref="M9098">IFERROR(IF($B9098=M$1, ($A9098+$C9098) - MAX(IF($B$2:$B9097=$B9098, $A$2:$A9097+$C$2:$C9097)), "")*24*60, "")</f>
        <v/>
      </c>
      <c r="N9098" s="24" t="str" cm="1">
        <f t="array" ref="N9098">IFERROR(IF($B9098=N$1, ($A9098+$C9098) - MAX(IF($B$2:$B9097=$B9098, $A$2:$A9097+$C$2:$C9097)), "")*24*60, "")</f>
        <v/>
      </c>
      <c r="O9098" s="24" t="str" cm="1">
        <f t="array" ref="O9098">IFERROR(IF($B9098=O$1, ($A9098+$C9098) - MAX(IF($B$2:$B9097=$B9098, $A$2:$A9097+$C$2:$C9097)), "")*24*60, "")</f>
        <v/>
      </c>
      <c r="P9098" s="24" t="str" cm="1">
        <f t="array" ref="P9098">IFERROR(IF($B9098=P$1, ($A9098+$C9098) - MAX(IF($B$2:$B9097=$B9098, $A$2:$A9097+$C$2:$C9097)), "")*24*60, "")</f>
        <v/>
      </c>
      <c r="Q9098" s="24" t="str" cm="1">
        <f t="array" ref="Q9098">IFERROR(IF($B9098=Q$1, ($A9098+$C9098) - MAX(IF($B$2:$B9097=$B9098, $A$2:$A9097+$C$2:$C9097)), "")*24*60, "")</f>
        <v/>
      </c>
      <c r="R9098" s="24" t="str" cm="1">
        <f t="array" ref="R9098">IFERROR(IF($B9098=R$1, ($A9098+$C9098) - MAX(IF($B$2:$B9097=$B9098, $A$2:$A9097+$C$2:$C9097)), "")*24*60, "")</f>
        <v/>
      </c>
      <c r="S9098" s="24" t="str" cm="1">
        <f t="array" ref="S9098">IFERROR(IF($B9098=S$1, ($A9098+$C9098) - MAX(IF($B$2:$B9097=$B9098, $A$2:$A9097+$C$2:$C9097)), "")*24*60, "")</f>
        <v/>
      </c>
    </row>
    <row r="9099" spans="1:19" x14ac:dyDescent="0.2">
      <c r="A9099" s="12">
        <f t="shared" ref="A9099:C9099" si="1531">A9098</f>
        <v>46042</v>
      </c>
      <c r="B9099" s="5" t="str">
        <f t="shared" si="1531"/>
        <v>Northern Cardinal</v>
      </c>
      <c r="C9099" s="6">
        <f t="shared" si="1531"/>
        <v>0.29166666666666669</v>
      </c>
      <c r="D9099" s="5"/>
      <c r="E9099" s="5"/>
      <c r="F9099" s="5" t="s">
        <v>9</v>
      </c>
      <c r="G9099" s="15" t="s">
        <v>26</v>
      </c>
      <c r="H9099" s="24">
        <f t="shared" si="1412"/>
        <v>0</v>
      </c>
      <c r="I9099" s="24" cm="1">
        <f t="array" ref="I9099">IFERROR(IF($B9099=I$1, ($A9099+$C9099) - MAX(IF($B$2:$B9098=$B9099, $A$2:$A9098+$C$2:$C9098)), "")*24*60, "")</f>
        <v>0</v>
      </c>
      <c r="J9099" s="24" t="str" cm="1">
        <f t="array" ref="J9099">IFERROR(IF($B9099=J$1, ($A9099+$C9099) - MAX(IF($B$2:$B9098=$B9099, $A$2:$A9098+$C$2:$C9098)), "")*24*60, "")</f>
        <v/>
      </c>
      <c r="K9099" s="24" t="str" cm="1">
        <f t="array" ref="K9099">IFERROR(IF($B9099=K$1, ($A9099+$C9099) - MAX(IF($B$2:$B9098=$B9099, $A$2:$A9098+$C$2:$C9098)), "")*24*60, "")</f>
        <v/>
      </c>
      <c r="L9099" s="24" t="str" cm="1">
        <f t="array" ref="L9099">IFERROR(IF($B9099=L$1, ($A9099+$C9099) - MAX(IF($B$2:$B9098=$B9099, $A$2:$A9098+$C$2:$C9098)), "")*24*60, "")</f>
        <v/>
      </c>
      <c r="M9099" s="24" t="str" cm="1">
        <f t="array" ref="M9099">IFERROR(IF($B9099=M$1, ($A9099+$C9099) - MAX(IF($B$2:$B9098=$B9099, $A$2:$A9098+$C$2:$C9098)), "")*24*60, "")</f>
        <v/>
      </c>
      <c r="N9099" s="24" t="str" cm="1">
        <f t="array" ref="N9099">IFERROR(IF($B9099=N$1, ($A9099+$C9099) - MAX(IF($B$2:$B9098=$B9099, $A$2:$A9098+$C$2:$C9098)), "")*24*60, "")</f>
        <v/>
      </c>
      <c r="O9099" s="24" t="str" cm="1">
        <f t="array" ref="O9099">IFERROR(IF($B9099=O$1, ($A9099+$C9099) - MAX(IF($B$2:$B9098=$B9099, $A$2:$A9098+$C$2:$C9098)), "")*24*60, "")</f>
        <v/>
      </c>
      <c r="P9099" s="24" t="str" cm="1">
        <f t="array" ref="P9099">IFERROR(IF($B9099=P$1, ($A9099+$C9099) - MAX(IF($B$2:$B9098=$B9099, $A$2:$A9098+$C$2:$C9098)), "")*24*60, "")</f>
        <v/>
      </c>
      <c r="Q9099" s="24" t="str" cm="1">
        <f t="array" ref="Q9099">IFERROR(IF($B9099=Q$1, ($A9099+$C9099) - MAX(IF($B$2:$B9098=$B9099, $A$2:$A9098+$C$2:$C9098)), "")*24*60, "")</f>
        <v/>
      </c>
      <c r="R9099" s="24" t="str" cm="1">
        <f t="array" ref="R9099">IFERROR(IF($B9099=R$1, ($A9099+$C9099) - MAX(IF($B$2:$B9098=$B9099, $A$2:$A9098+$C$2:$C9098)), "")*24*60, "")</f>
        <v/>
      </c>
      <c r="S9099" s="24" t="str" cm="1">
        <f t="array" ref="S9099">IFERROR(IF($B9099=S$1, ($A9099+$C9099) - MAX(IF($B$2:$B9098=$B9099, $A$2:$A9098+$C$2:$C9098)), "")*24*60, "")</f>
        <v/>
      </c>
    </row>
    <row r="9100" spans="1:19" x14ac:dyDescent="0.2">
      <c r="A9100" s="12">
        <f t="shared" ref="A9100:C9100" si="1532">A9099</f>
        <v>46042</v>
      </c>
      <c r="B9100" s="5" t="str">
        <f t="shared" si="1532"/>
        <v>Northern Cardinal</v>
      </c>
      <c r="C9100" s="6">
        <f t="shared" si="1532"/>
        <v>0.29166666666666669</v>
      </c>
      <c r="D9100" s="5"/>
      <c r="E9100" s="5"/>
      <c r="F9100" s="5" t="s">
        <v>9</v>
      </c>
      <c r="G9100" s="15" t="s">
        <v>26</v>
      </c>
      <c r="H9100" s="24">
        <f t="shared" si="1412"/>
        <v>0</v>
      </c>
      <c r="I9100" s="24" cm="1">
        <f t="array" ref="I9100">IFERROR(IF($B9100=I$1, ($A9100+$C9100) - MAX(IF($B$2:$B9099=$B9100, $A$2:$A9099+$C$2:$C9099)), "")*24*60, "")</f>
        <v>0</v>
      </c>
      <c r="J9100" s="24" t="str" cm="1">
        <f t="array" ref="J9100">IFERROR(IF($B9100=J$1, ($A9100+$C9100) - MAX(IF($B$2:$B9099=$B9100, $A$2:$A9099+$C$2:$C9099)), "")*24*60, "")</f>
        <v/>
      </c>
      <c r="K9100" s="24" t="str" cm="1">
        <f t="array" ref="K9100">IFERROR(IF($B9100=K$1, ($A9100+$C9100) - MAX(IF($B$2:$B9099=$B9100, $A$2:$A9099+$C$2:$C9099)), "")*24*60, "")</f>
        <v/>
      </c>
      <c r="L9100" s="24" t="str" cm="1">
        <f t="array" ref="L9100">IFERROR(IF($B9100=L$1, ($A9100+$C9100) - MAX(IF($B$2:$B9099=$B9100, $A$2:$A9099+$C$2:$C9099)), "")*24*60, "")</f>
        <v/>
      </c>
      <c r="M9100" s="24" t="str" cm="1">
        <f t="array" ref="M9100">IFERROR(IF($B9100=M$1, ($A9100+$C9100) - MAX(IF($B$2:$B9099=$B9100, $A$2:$A9099+$C$2:$C9099)), "")*24*60, "")</f>
        <v/>
      </c>
      <c r="N9100" s="24" t="str" cm="1">
        <f t="array" ref="N9100">IFERROR(IF($B9100=N$1, ($A9100+$C9100) - MAX(IF($B$2:$B9099=$B9100, $A$2:$A9099+$C$2:$C9099)), "")*24*60, "")</f>
        <v/>
      </c>
      <c r="O9100" s="24" t="str" cm="1">
        <f t="array" ref="O9100">IFERROR(IF($B9100=O$1, ($A9100+$C9100) - MAX(IF($B$2:$B9099=$B9100, $A$2:$A9099+$C$2:$C9099)), "")*24*60, "")</f>
        <v/>
      </c>
      <c r="P9100" s="24" t="str" cm="1">
        <f t="array" ref="P9100">IFERROR(IF($B9100=P$1, ($A9100+$C9100) - MAX(IF($B$2:$B9099=$B9100, $A$2:$A9099+$C$2:$C9099)), "")*24*60, "")</f>
        <v/>
      </c>
      <c r="Q9100" s="24" t="str" cm="1">
        <f t="array" ref="Q9100">IFERROR(IF($B9100=Q$1, ($A9100+$C9100) - MAX(IF($B$2:$B9099=$B9100, $A$2:$A9099+$C$2:$C9099)), "")*24*60, "")</f>
        <v/>
      </c>
      <c r="R9100" s="24" t="str" cm="1">
        <f t="array" ref="R9100">IFERROR(IF($B9100=R$1, ($A9100+$C9100) - MAX(IF($B$2:$B9099=$B9100, $A$2:$A9099+$C$2:$C9099)), "")*24*60, "")</f>
        <v/>
      </c>
      <c r="S9100" s="24" t="str" cm="1">
        <f t="array" ref="S9100">IFERROR(IF($B9100=S$1, ($A9100+$C9100) - MAX(IF($B$2:$B9099=$B9100, $A$2:$A9099+$C$2:$C9099)), "")*24*60, "")</f>
        <v/>
      </c>
    </row>
    <row r="9101" spans="1:19" x14ac:dyDescent="0.2">
      <c r="A9101" s="12">
        <f t="shared" ref="A9101:C9101" si="1533">A9100</f>
        <v>46042</v>
      </c>
      <c r="B9101" s="5" t="str">
        <f t="shared" si="1533"/>
        <v>Northern Cardinal</v>
      </c>
      <c r="C9101" s="6">
        <f t="shared" si="1533"/>
        <v>0.29166666666666669</v>
      </c>
      <c r="D9101" s="5"/>
      <c r="E9101" s="5"/>
      <c r="F9101" s="5" t="s">
        <v>9</v>
      </c>
      <c r="G9101" s="15" t="s">
        <v>26</v>
      </c>
      <c r="H9101" s="24">
        <f t="shared" si="1412"/>
        <v>0</v>
      </c>
      <c r="I9101" s="24" cm="1">
        <f t="array" ref="I9101">IFERROR(IF($B9101=I$1, ($A9101+$C9101) - MAX(IF($B$2:$B9100=$B9101, $A$2:$A9100+$C$2:$C9100)), "")*24*60, "")</f>
        <v>0</v>
      </c>
      <c r="J9101" s="24" t="str" cm="1">
        <f t="array" ref="J9101">IFERROR(IF($B9101=J$1, ($A9101+$C9101) - MAX(IF($B$2:$B9100=$B9101, $A$2:$A9100+$C$2:$C9100)), "")*24*60, "")</f>
        <v/>
      </c>
      <c r="K9101" s="24" t="str" cm="1">
        <f t="array" ref="K9101">IFERROR(IF($B9101=K$1, ($A9101+$C9101) - MAX(IF($B$2:$B9100=$B9101, $A$2:$A9100+$C$2:$C9100)), "")*24*60, "")</f>
        <v/>
      </c>
      <c r="L9101" s="24" t="str" cm="1">
        <f t="array" ref="L9101">IFERROR(IF($B9101=L$1, ($A9101+$C9101) - MAX(IF($B$2:$B9100=$B9101, $A$2:$A9100+$C$2:$C9100)), "")*24*60, "")</f>
        <v/>
      </c>
      <c r="M9101" s="24" t="str" cm="1">
        <f t="array" ref="M9101">IFERROR(IF($B9101=M$1, ($A9101+$C9101) - MAX(IF($B$2:$B9100=$B9101, $A$2:$A9100+$C$2:$C9100)), "")*24*60, "")</f>
        <v/>
      </c>
      <c r="N9101" s="24" t="str" cm="1">
        <f t="array" ref="N9101">IFERROR(IF($B9101=N$1, ($A9101+$C9101) - MAX(IF($B$2:$B9100=$B9101, $A$2:$A9100+$C$2:$C9100)), "")*24*60, "")</f>
        <v/>
      </c>
      <c r="O9101" s="24" t="str" cm="1">
        <f t="array" ref="O9101">IFERROR(IF($B9101=O$1, ($A9101+$C9101) - MAX(IF($B$2:$B9100=$B9101, $A$2:$A9100+$C$2:$C9100)), "")*24*60, "")</f>
        <v/>
      </c>
      <c r="P9101" s="24" t="str" cm="1">
        <f t="array" ref="P9101">IFERROR(IF($B9101=P$1, ($A9101+$C9101) - MAX(IF($B$2:$B9100=$B9101, $A$2:$A9100+$C$2:$C9100)), "")*24*60, "")</f>
        <v/>
      </c>
      <c r="Q9101" s="24" t="str" cm="1">
        <f t="array" ref="Q9101">IFERROR(IF($B9101=Q$1, ($A9101+$C9101) - MAX(IF($B$2:$B9100=$B9101, $A$2:$A9100+$C$2:$C9100)), "")*24*60, "")</f>
        <v/>
      </c>
      <c r="R9101" s="24" t="str" cm="1">
        <f t="array" ref="R9101">IFERROR(IF($B9101=R$1, ($A9101+$C9101) - MAX(IF($B$2:$B9100=$B9101, $A$2:$A9100+$C$2:$C9100)), "")*24*60, "")</f>
        <v/>
      </c>
      <c r="S9101" s="24" t="str" cm="1">
        <f t="array" ref="S9101">IFERROR(IF($B9101=S$1, ($A9101+$C9101) - MAX(IF($B$2:$B9100=$B9101, $A$2:$A9100+$C$2:$C9100)), "")*24*60, "")</f>
        <v/>
      </c>
    </row>
    <row r="9102" spans="1:19" x14ac:dyDescent="0.2">
      <c r="A9102" s="12">
        <f t="shared" ref="A9102:C9102" si="1534">A9101</f>
        <v>46042</v>
      </c>
      <c r="B9102" s="5" t="str">
        <f t="shared" si="1534"/>
        <v>Northern Cardinal</v>
      </c>
      <c r="C9102" s="6">
        <f t="shared" si="1534"/>
        <v>0.29166666666666669</v>
      </c>
      <c r="D9102" s="5"/>
      <c r="E9102" s="5"/>
      <c r="F9102" s="5" t="s">
        <v>9</v>
      </c>
      <c r="G9102" s="15" t="s">
        <v>26</v>
      </c>
      <c r="H9102" s="24">
        <f t="shared" si="1412"/>
        <v>0</v>
      </c>
      <c r="I9102" s="24" cm="1">
        <f t="array" ref="I9102">IFERROR(IF($B9102=I$1, ($A9102+$C9102) - MAX(IF($B$2:$B9101=$B9102, $A$2:$A9101+$C$2:$C9101)), "")*24*60, "")</f>
        <v>0</v>
      </c>
      <c r="J9102" s="24" t="str" cm="1">
        <f t="array" ref="J9102">IFERROR(IF($B9102=J$1, ($A9102+$C9102) - MAX(IF($B$2:$B9101=$B9102, $A$2:$A9101+$C$2:$C9101)), "")*24*60, "")</f>
        <v/>
      </c>
      <c r="K9102" s="24" t="str" cm="1">
        <f t="array" ref="K9102">IFERROR(IF($B9102=K$1, ($A9102+$C9102) - MAX(IF($B$2:$B9101=$B9102, $A$2:$A9101+$C$2:$C9101)), "")*24*60, "")</f>
        <v/>
      </c>
      <c r="L9102" s="24" t="str" cm="1">
        <f t="array" ref="L9102">IFERROR(IF($B9102=L$1, ($A9102+$C9102) - MAX(IF($B$2:$B9101=$B9102, $A$2:$A9101+$C$2:$C9101)), "")*24*60, "")</f>
        <v/>
      </c>
      <c r="M9102" s="24" t="str" cm="1">
        <f t="array" ref="M9102">IFERROR(IF($B9102=M$1, ($A9102+$C9102) - MAX(IF($B$2:$B9101=$B9102, $A$2:$A9101+$C$2:$C9101)), "")*24*60, "")</f>
        <v/>
      </c>
      <c r="N9102" s="24" t="str" cm="1">
        <f t="array" ref="N9102">IFERROR(IF($B9102=N$1, ($A9102+$C9102) - MAX(IF($B$2:$B9101=$B9102, $A$2:$A9101+$C$2:$C9101)), "")*24*60, "")</f>
        <v/>
      </c>
      <c r="O9102" s="24" t="str" cm="1">
        <f t="array" ref="O9102">IFERROR(IF($B9102=O$1, ($A9102+$C9102) - MAX(IF($B$2:$B9101=$B9102, $A$2:$A9101+$C$2:$C9101)), "")*24*60, "")</f>
        <v/>
      </c>
      <c r="P9102" s="24" t="str" cm="1">
        <f t="array" ref="P9102">IFERROR(IF($B9102=P$1, ($A9102+$C9102) - MAX(IF($B$2:$B9101=$B9102, $A$2:$A9101+$C$2:$C9101)), "")*24*60, "")</f>
        <v/>
      </c>
      <c r="Q9102" s="24" t="str" cm="1">
        <f t="array" ref="Q9102">IFERROR(IF($B9102=Q$1, ($A9102+$C9102) - MAX(IF($B$2:$B9101=$B9102, $A$2:$A9101+$C$2:$C9101)), "")*24*60, "")</f>
        <v/>
      </c>
      <c r="R9102" s="24" t="str" cm="1">
        <f t="array" ref="R9102">IFERROR(IF($B9102=R$1, ($A9102+$C9102) - MAX(IF($B$2:$B9101=$B9102, $A$2:$A9101+$C$2:$C9101)), "")*24*60, "")</f>
        <v/>
      </c>
      <c r="S9102" s="24" t="str" cm="1">
        <f t="array" ref="S9102">IFERROR(IF($B9102=S$1, ($A9102+$C9102) - MAX(IF($B$2:$B9101=$B9102, $A$2:$A9101+$C$2:$C9101)), "")*24*60, "")</f>
        <v/>
      </c>
    </row>
    <row r="9103" spans="1:19" x14ac:dyDescent="0.2">
      <c r="A9103" s="12">
        <f t="shared" ref="A9103:C9103" si="1535">A9102</f>
        <v>46042</v>
      </c>
      <c r="B9103" s="5" t="str">
        <f t="shared" si="1535"/>
        <v>Northern Cardinal</v>
      </c>
      <c r="C9103" s="6">
        <f t="shared" si="1535"/>
        <v>0.29166666666666669</v>
      </c>
      <c r="D9103" s="5"/>
      <c r="E9103" s="5"/>
      <c r="F9103" s="5" t="s">
        <v>9</v>
      </c>
      <c r="G9103" s="15" t="s">
        <v>26</v>
      </c>
      <c r="H9103" s="24">
        <f t="shared" si="1412"/>
        <v>0</v>
      </c>
      <c r="I9103" s="24" cm="1">
        <f t="array" ref="I9103">IFERROR(IF($B9103=I$1, ($A9103+$C9103) - MAX(IF($B$2:$B9102=$B9103, $A$2:$A9102+$C$2:$C9102)), "")*24*60, "")</f>
        <v>0</v>
      </c>
      <c r="J9103" s="24" t="str" cm="1">
        <f t="array" ref="J9103">IFERROR(IF($B9103=J$1, ($A9103+$C9103) - MAX(IF($B$2:$B9102=$B9103, $A$2:$A9102+$C$2:$C9102)), "")*24*60, "")</f>
        <v/>
      </c>
      <c r="K9103" s="24" t="str" cm="1">
        <f t="array" ref="K9103">IFERROR(IF($B9103=K$1, ($A9103+$C9103) - MAX(IF($B$2:$B9102=$B9103, $A$2:$A9102+$C$2:$C9102)), "")*24*60, "")</f>
        <v/>
      </c>
      <c r="L9103" s="24" t="str" cm="1">
        <f t="array" ref="L9103">IFERROR(IF($B9103=L$1, ($A9103+$C9103) - MAX(IF($B$2:$B9102=$B9103, $A$2:$A9102+$C$2:$C9102)), "")*24*60, "")</f>
        <v/>
      </c>
      <c r="M9103" s="24" t="str" cm="1">
        <f t="array" ref="M9103">IFERROR(IF($B9103=M$1, ($A9103+$C9103) - MAX(IF($B$2:$B9102=$B9103, $A$2:$A9102+$C$2:$C9102)), "")*24*60, "")</f>
        <v/>
      </c>
      <c r="N9103" s="24" t="str" cm="1">
        <f t="array" ref="N9103">IFERROR(IF($B9103=N$1, ($A9103+$C9103) - MAX(IF($B$2:$B9102=$B9103, $A$2:$A9102+$C$2:$C9102)), "")*24*60, "")</f>
        <v/>
      </c>
      <c r="O9103" s="24" t="str" cm="1">
        <f t="array" ref="O9103">IFERROR(IF($B9103=O$1, ($A9103+$C9103) - MAX(IF($B$2:$B9102=$B9103, $A$2:$A9102+$C$2:$C9102)), "")*24*60, "")</f>
        <v/>
      </c>
      <c r="P9103" s="24" t="str" cm="1">
        <f t="array" ref="P9103">IFERROR(IF($B9103=P$1, ($A9103+$C9103) - MAX(IF($B$2:$B9102=$B9103, $A$2:$A9102+$C$2:$C9102)), "")*24*60, "")</f>
        <v/>
      </c>
      <c r="Q9103" s="24" t="str" cm="1">
        <f t="array" ref="Q9103">IFERROR(IF($B9103=Q$1, ($A9103+$C9103) - MAX(IF($B$2:$B9102=$B9103, $A$2:$A9102+$C$2:$C9102)), "")*24*60, "")</f>
        <v/>
      </c>
      <c r="R9103" s="24" t="str" cm="1">
        <f t="array" ref="R9103">IFERROR(IF($B9103=R$1, ($A9103+$C9103) - MAX(IF($B$2:$B9102=$B9103, $A$2:$A9102+$C$2:$C9102)), "")*24*60, "")</f>
        <v/>
      </c>
      <c r="S9103" s="24" t="str" cm="1">
        <f t="array" ref="S9103">IFERROR(IF($B9103=S$1, ($A9103+$C9103) - MAX(IF($B$2:$B9102=$B9103, $A$2:$A9102+$C$2:$C9102)), "")*24*60, "")</f>
        <v/>
      </c>
    </row>
    <row r="9104" spans="1:19" x14ac:dyDescent="0.2">
      <c r="A9104" s="12">
        <f t="shared" ref="A9104:C9104" si="1536">A9103</f>
        <v>46042</v>
      </c>
      <c r="B9104" s="5" t="str">
        <f t="shared" si="1536"/>
        <v>Northern Cardinal</v>
      </c>
      <c r="C9104" s="6">
        <f t="shared" si="1536"/>
        <v>0.29166666666666669</v>
      </c>
      <c r="D9104" s="5"/>
      <c r="E9104" s="5"/>
      <c r="F9104" s="5" t="s">
        <v>9</v>
      </c>
      <c r="G9104" s="15" t="s">
        <v>26</v>
      </c>
      <c r="H9104" s="24">
        <f t="shared" si="1412"/>
        <v>0</v>
      </c>
      <c r="I9104" s="24" cm="1">
        <f t="array" ref="I9104">IFERROR(IF($B9104=I$1, ($A9104+$C9104) - MAX(IF($B$2:$B9103=$B9104, $A$2:$A9103+$C$2:$C9103)), "")*24*60, "")</f>
        <v>0</v>
      </c>
      <c r="J9104" s="24" t="str" cm="1">
        <f t="array" ref="J9104">IFERROR(IF($B9104=J$1, ($A9104+$C9104) - MAX(IF($B$2:$B9103=$B9104, $A$2:$A9103+$C$2:$C9103)), "")*24*60, "")</f>
        <v/>
      </c>
      <c r="K9104" s="24" t="str" cm="1">
        <f t="array" ref="K9104">IFERROR(IF($B9104=K$1, ($A9104+$C9104) - MAX(IF($B$2:$B9103=$B9104, $A$2:$A9103+$C$2:$C9103)), "")*24*60, "")</f>
        <v/>
      </c>
      <c r="L9104" s="24" t="str" cm="1">
        <f t="array" ref="L9104">IFERROR(IF($B9104=L$1, ($A9104+$C9104) - MAX(IF($B$2:$B9103=$B9104, $A$2:$A9103+$C$2:$C9103)), "")*24*60, "")</f>
        <v/>
      </c>
      <c r="M9104" s="24" t="str" cm="1">
        <f t="array" ref="M9104">IFERROR(IF($B9104=M$1, ($A9104+$C9104) - MAX(IF($B$2:$B9103=$B9104, $A$2:$A9103+$C$2:$C9103)), "")*24*60, "")</f>
        <v/>
      </c>
      <c r="N9104" s="24" t="str" cm="1">
        <f t="array" ref="N9104">IFERROR(IF($B9104=N$1, ($A9104+$C9104) - MAX(IF($B$2:$B9103=$B9104, $A$2:$A9103+$C$2:$C9103)), "")*24*60, "")</f>
        <v/>
      </c>
      <c r="O9104" s="24" t="str" cm="1">
        <f t="array" ref="O9104">IFERROR(IF($B9104=O$1, ($A9104+$C9104) - MAX(IF($B$2:$B9103=$B9104, $A$2:$A9103+$C$2:$C9103)), "")*24*60, "")</f>
        <v/>
      </c>
      <c r="P9104" s="24" t="str" cm="1">
        <f t="array" ref="P9104">IFERROR(IF($B9104=P$1, ($A9104+$C9104) - MAX(IF($B$2:$B9103=$B9104, $A$2:$A9103+$C$2:$C9103)), "")*24*60, "")</f>
        <v/>
      </c>
      <c r="Q9104" s="24" t="str" cm="1">
        <f t="array" ref="Q9104">IFERROR(IF($B9104=Q$1, ($A9104+$C9104) - MAX(IF($B$2:$B9103=$B9104, $A$2:$A9103+$C$2:$C9103)), "")*24*60, "")</f>
        <v/>
      </c>
      <c r="R9104" s="24" t="str" cm="1">
        <f t="array" ref="R9104">IFERROR(IF($B9104=R$1, ($A9104+$C9104) - MAX(IF($B$2:$B9103=$B9104, $A$2:$A9103+$C$2:$C9103)), "")*24*60, "")</f>
        <v/>
      </c>
      <c r="S9104" s="24" t="str" cm="1">
        <f t="array" ref="S9104">IFERROR(IF($B9104=S$1, ($A9104+$C9104) - MAX(IF($B$2:$B9103=$B9104, $A$2:$A9103+$C$2:$C9103)), "")*24*60, "")</f>
        <v/>
      </c>
    </row>
    <row r="9105" spans="1:19" x14ac:dyDescent="0.2">
      <c r="A9105" s="12">
        <f t="shared" ref="A9105:C9105" si="1537">A9104</f>
        <v>46042</v>
      </c>
      <c r="B9105" s="5" t="str">
        <f t="shared" si="1537"/>
        <v>Northern Cardinal</v>
      </c>
      <c r="C9105" s="6">
        <f t="shared" si="1537"/>
        <v>0.29166666666666669</v>
      </c>
      <c r="D9105" s="5"/>
      <c r="E9105" s="5"/>
      <c r="F9105" s="5" t="s">
        <v>9</v>
      </c>
      <c r="G9105" s="15" t="s">
        <v>26</v>
      </c>
      <c r="H9105" s="24">
        <f t="shared" si="1412"/>
        <v>0</v>
      </c>
      <c r="I9105" s="24" cm="1">
        <f t="array" ref="I9105">IFERROR(IF($B9105=I$1, ($A9105+$C9105) - MAX(IF($B$2:$B9104=$B9105, $A$2:$A9104+$C$2:$C9104)), "")*24*60, "")</f>
        <v>0</v>
      </c>
      <c r="J9105" s="24" t="str" cm="1">
        <f t="array" ref="J9105">IFERROR(IF($B9105=J$1, ($A9105+$C9105) - MAX(IF($B$2:$B9104=$B9105, $A$2:$A9104+$C$2:$C9104)), "")*24*60, "")</f>
        <v/>
      </c>
      <c r="K9105" s="24" t="str" cm="1">
        <f t="array" ref="K9105">IFERROR(IF($B9105=K$1, ($A9105+$C9105) - MAX(IF($B$2:$B9104=$B9105, $A$2:$A9104+$C$2:$C9104)), "")*24*60, "")</f>
        <v/>
      </c>
      <c r="L9105" s="24" t="str" cm="1">
        <f t="array" ref="L9105">IFERROR(IF($B9105=L$1, ($A9105+$C9105) - MAX(IF($B$2:$B9104=$B9105, $A$2:$A9104+$C$2:$C9104)), "")*24*60, "")</f>
        <v/>
      </c>
      <c r="M9105" s="24" t="str" cm="1">
        <f t="array" ref="M9105">IFERROR(IF($B9105=M$1, ($A9105+$C9105) - MAX(IF($B$2:$B9104=$B9105, $A$2:$A9104+$C$2:$C9104)), "")*24*60, "")</f>
        <v/>
      </c>
      <c r="N9105" s="24" t="str" cm="1">
        <f t="array" ref="N9105">IFERROR(IF($B9105=N$1, ($A9105+$C9105) - MAX(IF($B$2:$B9104=$B9105, $A$2:$A9104+$C$2:$C9104)), "")*24*60, "")</f>
        <v/>
      </c>
      <c r="O9105" s="24" t="str" cm="1">
        <f t="array" ref="O9105">IFERROR(IF($B9105=O$1, ($A9105+$C9105) - MAX(IF($B$2:$B9104=$B9105, $A$2:$A9104+$C$2:$C9104)), "")*24*60, "")</f>
        <v/>
      </c>
      <c r="P9105" s="24" t="str" cm="1">
        <f t="array" ref="P9105">IFERROR(IF($B9105=P$1, ($A9105+$C9105) - MAX(IF($B$2:$B9104=$B9105, $A$2:$A9104+$C$2:$C9104)), "")*24*60, "")</f>
        <v/>
      </c>
      <c r="Q9105" s="24" t="str" cm="1">
        <f t="array" ref="Q9105">IFERROR(IF($B9105=Q$1, ($A9105+$C9105) - MAX(IF($B$2:$B9104=$B9105, $A$2:$A9104+$C$2:$C9104)), "")*24*60, "")</f>
        <v/>
      </c>
      <c r="R9105" s="24" t="str" cm="1">
        <f t="array" ref="R9105">IFERROR(IF($B9105=R$1, ($A9105+$C9105) - MAX(IF($B$2:$B9104=$B9105, $A$2:$A9104+$C$2:$C9104)), "")*24*60, "")</f>
        <v/>
      </c>
      <c r="S9105" s="24" t="str" cm="1">
        <f t="array" ref="S9105">IFERROR(IF($B9105=S$1, ($A9105+$C9105) - MAX(IF($B$2:$B9104=$B9105, $A$2:$A9104+$C$2:$C9104)), "")*24*60, "")</f>
        <v/>
      </c>
    </row>
    <row r="9106" spans="1:19" x14ac:dyDescent="0.2">
      <c r="A9106" s="12">
        <f t="shared" ref="A9106:C9106" si="1538">A9105</f>
        <v>46042</v>
      </c>
      <c r="B9106" s="5" t="str">
        <f t="shared" si="1538"/>
        <v>Northern Cardinal</v>
      </c>
      <c r="C9106" s="6">
        <f t="shared" si="1538"/>
        <v>0.29166666666666669</v>
      </c>
      <c r="D9106" s="5"/>
      <c r="E9106" s="5"/>
      <c r="F9106" s="5" t="s">
        <v>9</v>
      </c>
      <c r="G9106" s="15" t="s">
        <v>26</v>
      </c>
      <c r="H9106" s="24">
        <f t="shared" si="1412"/>
        <v>0</v>
      </c>
      <c r="I9106" s="24" cm="1">
        <f t="array" ref="I9106">IFERROR(IF($B9106=I$1, ($A9106+$C9106) - MAX(IF($B$2:$B9105=$B9106, $A$2:$A9105+$C$2:$C9105)), "")*24*60, "")</f>
        <v>0</v>
      </c>
      <c r="J9106" s="24" t="str" cm="1">
        <f t="array" ref="J9106">IFERROR(IF($B9106=J$1, ($A9106+$C9106) - MAX(IF($B$2:$B9105=$B9106, $A$2:$A9105+$C$2:$C9105)), "")*24*60, "")</f>
        <v/>
      </c>
      <c r="K9106" s="24" t="str" cm="1">
        <f t="array" ref="K9106">IFERROR(IF($B9106=K$1, ($A9106+$C9106) - MAX(IF($B$2:$B9105=$B9106, $A$2:$A9105+$C$2:$C9105)), "")*24*60, "")</f>
        <v/>
      </c>
      <c r="L9106" s="24" t="str" cm="1">
        <f t="array" ref="L9106">IFERROR(IF($B9106=L$1, ($A9106+$C9106) - MAX(IF($B$2:$B9105=$B9106, $A$2:$A9105+$C$2:$C9105)), "")*24*60, "")</f>
        <v/>
      </c>
      <c r="M9106" s="24" t="str" cm="1">
        <f t="array" ref="M9106">IFERROR(IF($B9106=M$1, ($A9106+$C9106) - MAX(IF($B$2:$B9105=$B9106, $A$2:$A9105+$C$2:$C9105)), "")*24*60, "")</f>
        <v/>
      </c>
      <c r="N9106" s="24" t="str" cm="1">
        <f t="array" ref="N9106">IFERROR(IF($B9106=N$1, ($A9106+$C9106) - MAX(IF($B$2:$B9105=$B9106, $A$2:$A9105+$C$2:$C9105)), "")*24*60, "")</f>
        <v/>
      </c>
      <c r="O9106" s="24" t="str" cm="1">
        <f t="array" ref="O9106">IFERROR(IF($B9106=O$1, ($A9106+$C9106) - MAX(IF($B$2:$B9105=$B9106, $A$2:$A9105+$C$2:$C9105)), "")*24*60, "")</f>
        <v/>
      </c>
      <c r="P9106" s="24" t="str" cm="1">
        <f t="array" ref="P9106">IFERROR(IF($B9106=P$1, ($A9106+$C9106) - MAX(IF($B$2:$B9105=$B9106, $A$2:$A9105+$C$2:$C9105)), "")*24*60, "")</f>
        <v/>
      </c>
      <c r="Q9106" s="24" t="str" cm="1">
        <f t="array" ref="Q9106">IFERROR(IF($B9106=Q$1, ($A9106+$C9106) - MAX(IF($B$2:$B9105=$B9106, $A$2:$A9105+$C$2:$C9105)), "")*24*60, "")</f>
        <v/>
      </c>
      <c r="R9106" s="24" t="str" cm="1">
        <f t="array" ref="R9106">IFERROR(IF($B9106=R$1, ($A9106+$C9106) - MAX(IF($B$2:$B9105=$B9106, $A$2:$A9105+$C$2:$C9105)), "")*24*60, "")</f>
        <v/>
      </c>
      <c r="S9106" s="24" t="str" cm="1">
        <f t="array" ref="S9106">IFERROR(IF($B9106=S$1, ($A9106+$C9106) - MAX(IF($B$2:$B9105=$B9106, $A$2:$A9105+$C$2:$C9105)), "")*24*60, "")</f>
        <v/>
      </c>
    </row>
    <row r="9107" spans="1:19" x14ac:dyDescent="0.2">
      <c r="A9107" s="12">
        <f t="shared" ref="A9107:C9107" si="1539">A9106</f>
        <v>46042</v>
      </c>
      <c r="B9107" s="5" t="str">
        <f t="shared" si="1539"/>
        <v>Northern Cardinal</v>
      </c>
      <c r="C9107" s="6">
        <f t="shared" si="1539"/>
        <v>0.29166666666666669</v>
      </c>
      <c r="D9107" s="5"/>
      <c r="E9107" s="5"/>
      <c r="F9107" s="5" t="s">
        <v>9</v>
      </c>
      <c r="G9107" s="15" t="s">
        <v>26</v>
      </c>
      <c r="H9107" s="24">
        <f t="shared" si="1412"/>
        <v>0</v>
      </c>
      <c r="I9107" s="24" cm="1">
        <f t="array" ref="I9107">IFERROR(IF($B9107=I$1, ($A9107+$C9107) - MAX(IF($B$2:$B9106=$B9107, $A$2:$A9106+$C$2:$C9106)), "")*24*60, "")</f>
        <v>0</v>
      </c>
      <c r="J9107" s="24" t="str" cm="1">
        <f t="array" ref="J9107">IFERROR(IF($B9107=J$1, ($A9107+$C9107) - MAX(IF($B$2:$B9106=$B9107, $A$2:$A9106+$C$2:$C9106)), "")*24*60, "")</f>
        <v/>
      </c>
      <c r="K9107" s="24" t="str" cm="1">
        <f t="array" ref="K9107">IFERROR(IF($B9107=K$1, ($A9107+$C9107) - MAX(IF($B$2:$B9106=$B9107, $A$2:$A9106+$C$2:$C9106)), "")*24*60, "")</f>
        <v/>
      </c>
      <c r="L9107" s="24" t="str" cm="1">
        <f t="array" ref="L9107">IFERROR(IF($B9107=L$1, ($A9107+$C9107) - MAX(IF($B$2:$B9106=$B9107, $A$2:$A9106+$C$2:$C9106)), "")*24*60, "")</f>
        <v/>
      </c>
      <c r="M9107" s="24" t="str" cm="1">
        <f t="array" ref="M9107">IFERROR(IF($B9107=M$1, ($A9107+$C9107) - MAX(IF($B$2:$B9106=$B9107, $A$2:$A9106+$C$2:$C9106)), "")*24*60, "")</f>
        <v/>
      </c>
      <c r="N9107" s="24" t="str" cm="1">
        <f t="array" ref="N9107">IFERROR(IF($B9107=N$1, ($A9107+$C9107) - MAX(IF($B$2:$B9106=$B9107, $A$2:$A9106+$C$2:$C9106)), "")*24*60, "")</f>
        <v/>
      </c>
      <c r="O9107" s="24" t="str" cm="1">
        <f t="array" ref="O9107">IFERROR(IF($B9107=O$1, ($A9107+$C9107) - MAX(IF($B$2:$B9106=$B9107, $A$2:$A9106+$C$2:$C9106)), "")*24*60, "")</f>
        <v/>
      </c>
      <c r="P9107" s="24" t="str" cm="1">
        <f t="array" ref="P9107">IFERROR(IF($B9107=P$1, ($A9107+$C9107) - MAX(IF($B$2:$B9106=$B9107, $A$2:$A9106+$C$2:$C9106)), "")*24*60, "")</f>
        <v/>
      </c>
      <c r="Q9107" s="24" t="str" cm="1">
        <f t="array" ref="Q9107">IFERROR(IF($B9107=Q$1, ($A9107+$C9107) - MAX(IF($B$2:$B9106=$B9107, $A$2:$A9106+$C$2:$C9106)), "")*24*60, "")</f>
        <v/>
      </c>
      <c r="R9107" s="24" t="str" cm="1">
        <f t="array" ref="R9107">IFERROR(IF($B9107=R$1, ($A9107+$C9107) - MAX(IF($B$2:$B9106=$B9107, $A$2:$A9106+$C$2:$C9106)), "")*24*60, "")</f>
        <v/>
      </c>
      <c r="S9107" s="24" t="str" cm="1">
        <f t="array" ref="S9107">IFERROR(IF($B9107=S$1, ($A9107+$C9107) - MAX(IF($B$2:$B9106=$B9107, $A$2:$A9106+$C$2:$C9106)), "")*24*60, "")</f>
        <v/>
      </c>
    </row>
    <row r="9108" spans="1:19" x14ac:dyDescent="0.2">
      <c r="A9108" s="12">
        <f t="shared" ref="A9108:C9108" si="1540">A9107</f>
        <v>46042</v>
      </c>
      <c r="B9108" s="5" t="str">
        <f t="shared" si="1540"/>
        <v>Northern Cardinal</v>
      </c>
      <c r="C9108" s="6">
        <f t="shared" si="1540"/>
        <v>0.29166666666666669</v>
      </c>
      <c r="D9108" s="5"/>
      <c r="E9108" s="5"/>
      <c r="F9108" s="5" t="s">
        <v>9</v>
      </c>
      <c r="G9108" s="15" t="s">
        <v>26</v>
      </c>
      <c r="H9108" s="24">
        <f t="shared" si="1412"/>
        <v>0</v>
      </c>
      <c r="I9108" s="24" cm="1">
        <f t="array" ref="I9108">IFERROR(IF($B9108=I$1, ($A9108+$C9108) - MAX(IF($B$2:$B9107=$B9108, $A$2:$A9107+$C$2:$C9107)), "")*24*60, "")</f>
        <v>0</v>
      </c>
      <c r="J9108" s="24" t="str" cm="1">
        <f t="array" ref="J9108">IFERROR(IF($B9108=J$1, ($A9108+$C9108) - MAX(IF($B$2:$B9107=$B9108, $A$2:$A9107+$C$2:$C9107)), "")*24*60, "")</f>
        <v/>
      </c>
      <c r="K9108" s="24" t="str" cm="1">
        <f t="array" ref="K9108">IFERROR(IF($B9108=K$1, ($A9108+$C9108) - MAX(IF($B$2:$B9107=$B9108, $A$2:$A9107+$C$2:$C9107)), "")*24*60, "")</f>
        <v/>
      </c>
      <c r="L9108" s="24" t="str" cm="1">
        <f t="array" ref="L9108">IFERROR(IF($B9108=L$1, ($A9108+$C9108) - MAX(IF($B$2:$B9107=$B9108, $A$2:$A9107+$C$2:$C9107)), "")*24*60, "")</f>
        <v/>
      </c>
      <c r="M9108" s="24" t="str" cm="1">
        <f t="array" ref="M9108">IFERROR(IF($B9108=M$1, ($A9108+$C9108) - MAX(IF($B$2:$B9107=$B9108, $A$2:$A9107+$C$2:$C9107)), "")*24*60, "")</f>
        <v/>
      </c>
      <c r="N9108" s="24" t="str" cm="1">
        <f t="array" ref="N9108">IFERROR(IF($B9108=N$1, ($A9108+$C9108) - MAX(IF($B$2:$B9107=$B9108, $A$2:$A9107+$C$2:$C9107)), "")*24*60, "")</f>
        <v/>
      </c>
      <c r="O9108" s="24" t="str" cm="1">
        <f t="array" ref="O9108">IFERROR(IF($B9108=O$1, ($A9108+$C9108) - MAX(IF($B$2:$B9107=$B9108, $A$2:$A9107+$C$2:$C9107)), "")*24*60, "")</f>
        <v/>
      </c>
      <c r="P9108" s="24" t="str" cm="1">
        <f t="array" ref="P9108">IFERROR(IF($B9108=P$1, ($A9108+$C9108) - MAX(IF($B$2:$B9107=$B9108, $A$2:$A9107+$C$2:$C9107)), "")*24*60, "")</f>
        <v/>
      </c>
      <c r="Q9108" s="24" t="str" cm="1">
        <f t="array" ref="Q9108">IFERROR(IF($B9108=Q$1, ($A9108+$C9108) - MAX(IF($B$2:$B9107=$B9108, $A$2:$A9107+$C$2:$C9107)), "")*24*60, "")</f>
        <v/>
      </c>
      <c r="R9108" s="24" t="str" cm="1">
        <f t="array" ref="R9108">IFERROR(IF($B9108=R$1, ($A9108+$C9108) - MAX(IF($B$2:$B9107=$B9108, $A$2:$A9107+$C$2:$C9107)), "")*24*60, "")</f>
        <v/>
      </c>
      <c r="S9108" s="24" t="str" cm="1">
        <f t="array" ref="S9108">IFERROR(IF($B9108=S$1, ($A9108+$C9108) - MAX(IF($B$2:$B9107=$B9108, $A$2:$A9107+$C$2:$C9107)), "")*24*60, "")</f>
        <v/>
      </c>
    </row>
    <row r="9109" spans="1:19" x14ac:dyDescent="0.2">
      <c r="A9109" s="12">
        <f t="shared" ref="A9109:C9109" si="1541">A9108</f>
        <v>46042</v>
      </c>
      <c r="B9109" s="5" t="str">
        <f t="shared" si="1541"/>
        <v>Northern Cardinal</v>
      </c>
      <c r="C9109" s="6">
        <f t="shared" si="1541"/>
        <v>0.29166666666666669</v>
      </c>
      <c r="D9109" s="5"/>
      <c r="E9109" s="5"/>
      <c r="F9109" s="5" t="s">
        <v>9</v>
      </c>
      <c r="G9109" s="15" t="s">
        <v>26</v>
      </c>
      <c r="H9109" s="24">
        <f t="shared" si="1412"/>
        <v>0</v>
      </c>
      <c r="I9109" s="24" cm="1">
        <f t="array" ref="I9109">IFERROR(IF($B9109=I$1, ($A9109+$C9109) - MAX(IF($B$2:$B9108=$B9109, $A$2:$A9108+$C$2:$C9108)), "")*24*60, "")</f>
        <v>0</v>
      </c>
      <c r="J9109" s="24" t="str" cm="1">
        <f t="array" ref="J9109">IFERROR(IF($B9109=J$1, ($A9109+$C9109) - MAX(IF($B$2:$B9108=$B9109, $A$2:$A9108+$C$2:$C9108)), "")*24*60, "")</f>
        <v/>
      </c>
      <c r="K9109" s="24" t="str" cm="1">
        <f t="array" ref="K9109">IFERROR(IF($B9109=K$1, ($A9109+$C9109) - MAX(IF($B$2:$B9108=$B9109, $A$2:$A9108+$C$2:$C9108)), "")*24*60, "")</f>
        <v/>
      </c>
      <c r="L9109" s="24" t="str" cm="1">
        <f t="array" ref="L9109">IFERROR(IF($B9109=L$1, ($A9109+$C9109) - MAX(IF($B$2:$B9108=$B9109, $A$2:$A9108+$C$2:$C9108)), "")*24*60, "")</f>
        <v/>
      </c>
      <c r="M9109" s="24" t="str" cm="1">
        <f t="array" ref="M9109">IFERROR(IF($B9109=M$1, ($A9109+$C9109) - MAX(IF($B$2:$B9108=$B9109, $A$2:$A9108+$C$2:$C9108)), "")*24*60, "")</f>
        <v/>
      </c>
      <c r="N9109" s="24" t="str" cm="1">
        <f t="array" ref="N9109">IFERROR(IF($B9109=N$1, ($A9109+$C9109) - MAX(IF($B$2:$B9108=$B9109, $A$2:$A9108+$C$2:$C9108)), "")*24*60, "")</f>
        <v/>
      </c>
      <c r="O9109" s="24" t="str" cm="1">
        <f t="array" ref="O9109">IFERROR(IF($B9109=O$1, ($A9109+$C9109) - MAX(IF($B$2:$B9108=$B9109, $A$2:$A9108+$C$2:$C9108)), "")*24*60, "")</f>
        <v/>
      </c>
      <c r="P9109" s="24" t="str" cm="1">
        <f t="array" ref="P9109">IFERROR(IF($B9109=P$1, ($A9109+$C9109) - MAX(IF($B$2:$B9108=$B9109, $A$2:$A9108+$C$2:$C9108)), "")*24*60, "")</f>
        <v/>
      </c>
      <c r="Q9109" s="24" t="str" cm="1">
        <f t="array" ref="Q9109">IFERROR(IF($B9109=Q$1, ($A9109+$C9109) - MAX(IF($B$2:$B9108=$B9109, $A$2:$A9108+$C$2:$C9108)), "")*24*60, "")</f>
        <v/>
      </c>
      <c r="R9109" s="24" t="str" cm="1">
        <f t="array" ref="R9109">IFERROR(IF($B9109=R$1, ($A9109+$C9109) - MAX(IF($B$2:$B9108=$B9109, $A$2:$A9108+$C$2:$C9108)), "")*24*60, "")</f>
        <v/>
      </c>
      <c r="S9109" s="24" t="str" cm="1">
        <f t="array" ref="S9109">IFERROR(IF($B9109=S$1, ($A9109+$C9109) - MAX(IF($B$2:$B9108=$B9109, $A$2:$A9108+$C$2:$C9108)), "")*24*60, "")</f>
        <v/>
      </c>
    </row>
    <row r="9110" spans="1:19" x14ac:dyDescent="0.2">
      <c r="A9110" s="12">
        <f t="shared" ref="A9110:C9110" si="1542">A9109</f>
        <v>46042</v>
      </c>
      <c r="B9110" s="5" t="str">
        <f t="shared" si="1542"/>
        <v>Northern Cardinal</v>
      </c>
      <c r="C9110" s="6">
        <f t="shared" si="1542"/>
        <v>0.29166666666666669</v>
      </c>
      <c r="D9110" s="5"/>
      <c r="E9110" s="5"/>
      <c r="F9110" s="5" t="s">
        <v>9</v>
      </c>
      <c r="G9110" s="15" t="s">
        <v>26</v>
      </c>
      <c r="H9110" s="24">
        <f t="shared" si="1412"/>
        <v>0</v>
      </c>
      <c r="I9110" s="24" cm="1">
        <f t="array" ref="I9110">IFERROR(IF($B9110=I$1, ($A9110+$C9110) - MAX(IF($B$2:$B9109=$B9110, $A$2:$A9109+$C$2:$C9109)), "")*24*60, "")</f>
        <v>0</v>
      </c>
      <c r="J9110" s="24" t="str" cm="1">
        <f t="array" ref="J9110">IFERROR(IF($B9110=J$1, ($A9110+$C9110) - MAX(IF($B$2:$B9109=$B9110, $A$2:$A9109+$C$2:$C9109)), "")*24*60, "")</f>
        <v/>
      </c>
      <c r="K9110" s="24" t="str" cm="1">
        <f t="array" ref="K9110">IFERROR(IF($B9110=K$1, ($A9110+$C9110) - MAX(IF($B$2:$B9109=$B9110, $A$2:$A9109+$C$2:$C9109)), "")*24*60, "")</f>
        <v/>
      </c>
      <c r="L9110" s="24" t="str" cm="1">
        <f t="array" ref="L9110">IFERROR(IF($B9110=L$1, ($A9110+$C9110) - MAX(IF($B$2:$B9109=$B9110, $A$2:$A9109+$C$2:$C9109)), "")*24*60, "")</f>
        <v/>
      </c>
      <c r="M9110" s="24" t="str" cm="1">
        <f t="array" ref="M9110">IFERROR(IF($B9110=M$1, ($A9110+$C9110) - MAX(IF($B$2:$B9109=$B9110, $A$2:$A9109+$C$2:$C9109)), "")*24*60, "")</f>
        <v/>
      </c>
      <c r="N9110" s="24" t="str" cm="1">
        <f t="array" ref="N9110">IFERROR(IF($B9110=N$1, ($A9110+$C9110) - MAX(IF($B$2:$B9109=$B9110, $A$2:$A9109+$C$2:$C9109)), "")*24*60, "")</f>
        <v/>
      </c>
      <c r="O9110" s="24" t="str" cm="1">
        <f t="array" ref="O9110">IFERROR(IF($B9110=O$1, ($A9110+$C9110) - MAX(IF($B$2:$B9109=$B9110, $A$2:$A9109+$C$2:$C9109)), "")*24*60, "")</f>
        <v/>
      </c>
      <c r="P9110" s="24" t="str" cm="1">
        <f t="array" ref="P9110">IFERROR(IF($B9110=P$1, ($A9110+$C9110) - MAX(IF($B$2:$B9109=$B9110, $A$2:$A9109+$C$2:$C9109)), "")*24*60, "")</f>
        <v/>
      </c>
      <c r="Q9110" s="24" t="str" cm="1">
        <f t="array" ref="Q9110">IFERROR(IF($B9110=Q$1, ($A9110+$C9110) - MAX(IF($B$2:$B9109=$B9110, $A$2:$A9109+$C$2:$C9109)), "")*24*60, "")</f>
        <v/>
      </c>
      <c r="R9110" s="24" t="str" cm="1">
        <f t="array" ref="R9110">IFERROR(IF($B9110=R$1, ($A9110+$C9110) - MAX(IF($B$2:$B9109=$B9110, $A$2:$A9109+$C$2:$C9109)), "")*24*60, "")</f>
        <v/>
      </c>
      <c r="S9110" s="24" t="str" cm="1">
        <f t="array" ref="S9110">IFERROR(IF($B9110=S$1, ($A9110+$C9110) - MAX(IF($B$2:$B9109=$B9110, $A$2:$A9109+$C$2:$C9109)), "")*24*60, "")</f>
        <v/>
      </c>
    </row>
    <row r="9111" spans="1:19" x14ac:dyDescent="0.2">
      <c r="A9111" s="12">
        <f t="shared" ref="A9111:C9111" si="1543">A9110</f>
        <v>46042</v>
      </c>
      <c r="B9111" s="5" t="str">
        <f t="shared" si="1543"/>
        <v>Northern Cardinal</v>
      </c>
      <c r="C9111" s="6">
        <f t="shared" si="1543"/>
        <v>0.29166666666666669</v>
      </c>
      <c r="D9111" s="5"/>
      <c r="E9111" s="5"/>
      <c r="F9111" s="5" t="s">
        <v>9</v>
      </c>
      <c r="G9111" s="15" t="s">
        <v>26</v>
      </c>
      <c r="H9111" s="24">
        <f t="shared" si="1412"/>
        <v>0</v>
      </c>
      <c r="I9111" s="24" cm="1">
        <f t="array" ref="I9111">IFERROR(IF($B9111=I$1, ($A9111+$C9111) - MAX(IF($B$2:$B9110=$B9111, $A$2:$A9110+$C$2:$C9110)), "")*24*60, "")</f>
        <v>0</v>
      </c>
      <c r="J9111" s="24" t="str" cm="1">
        <f t="array" ref="J9111">IFERROR(IF($B9111=J$1, ($A9111+$C9111) - MAX(IF($B$2:$B9110=$B9111, $A$2:$A9110+$C$2:$C9110)), "")*24*60, "")</f>
        <v/>
      </c>
      <c r="K9111" s="24" t="str" cm="1">
        <f t="array" ref="K9111">IFERROR(IF($B9111=K$1, ($A9111+$C9111) - MAX(IF($B$2:$B9110=$B9111, $A$2:$A9110+$C$2:$C9110)), "")*24*60, "")</f>
        <v/>
      </c>
      <c r="L9111" s="24" t="str" cm="1">
        <f t="array" ref="L9111">IFERROR(IF($B9111=L$1, ($A9111+$C9111) - MAX(IF($B$2:$B9110=$B9111, $A$2:$A9110+$C$2:$C9110)), "")*24*60, "")</f>
        <v/>
      </c>
      <c r="M9111" s="24" t="str" cm="1">
        <f t="array" ref="M9111">IFERROR(IF($B9111=M$1, ($A9111+$C9111) - MAX(IF($B$2:$B9110=$B9111, $A$2:$A9110+$C$2:$C9110)), "")*24*60, "")</f>
        <v/>
      </c>
      <c r="N9111" s="24" t="str" cm="1">
        <f t="array" ref="N9111">IFERROR(IF($B9111=N$1, ($A9111+$C9111) - MAX(IF($B$2:$B9110=$B9111, $A$2:$A9110+$C$2:$C9110)), "")*24*60, "")</f>
        <v/>
      </c>
      <c r="O9111" s="24" t="str" cm="1">
        <f t="array" ref="O9111">IFERROR(IF($B9111=O$1, ($A9111+$C9111) - MAX(IF($B$2:$B9110=$B9111, $A$2:$A9110+$C$2:$C9110)), "")*24*60, "")</f>
        <v/>
      </c>
      <c r="P9111" s="24" t="str" cm="1">
        <f t="array" ref="P9111">IFERROR(IF($B9111=P$1, ($A9111+$C9111) - MAX(IF($B$2:$B9110=$B9111, $A$2:$A9110+$C$2:$C9110)), "")*24*60, "")</f>
        <v/>
      </c>
      <c r="Q9111" s="24" t="str" cm="1">
        <f t="array" ref="Q9111">IFERROR(IF($B9111=Q$1, ($A9111+$C9111) - MAX(IF($B$2:$B9110=$B9111, $A$2:$A9110+$C$2:$C9110)), "")*24*60, "")</f>
        <v/>
      </c>
      <c r="R9111" s="24" t="str" cm="1">
        <f t="array" ref="R9111">IFERROR(IF($B9111=R$1, ($A9111+$C9111) - MAX(IF($B$2:$B9110=$B9111, $A$2:$A9110+$C$2:$C9110)), "")*24*60, "")</f>
        <v/>
      </c>
      <c r="S9111" s="24" t="str" cm="1">
        <f t="array" ref="S9111">IFERROR(IF($B9111=S$1, ($A9111+$C9111) - MAX(IF($B$2:$B9110=$B9111, $A$2:$A9110+$C$2:$C9110)), "")*24*60, "")</f>
        <v/>
      </c>
    </row>
    <row r="9112" spans="1:19" x14ac:dyDescent="0.2">
      <c r="A9112" s="12">
        <f t="shared" ref="A9112:C9112" si="1544">A9111</f>
        <v>46042</v>
      </c>
      <c r="B9112" s="5" t="str">
        <f t="shared" si="1544"/>
        <v>Northern Cardinal</v>
      </c>
      <c r="C9112" s="6">
        <f t="shared" si="1544"/>
        <v>0.29166666666666669</v>
      </c>
      <c r="D9112" s="5"/>
      <c r="E9112" s="5"/>
      <c r="F9112" s="5" t="s">
        <v>9</v>
      </c>
      <c r="G9112" s="15" t="s">
        <v>26</v>
      </c>
      <c r="H9112" s="24">
        <f t="shared" si="1412"/>
        <v>0</v>
      </c>
      <c r="I9112" s="24" cm="1">
        <f t="array" ref="I9112">IFERROR(IF($B9112=I$1, ($A9112+$C9112) - MAX(IF($B$2:$B9111=$B9112, $A$2:$A9111+$C$2:$C9111)), "")*24*60, "")</f>
        <v>0</v>
      </c>
      <c r="J9112" s="24" t="str" cm="1">
        <f t="array" ref="J9112">IFERROR(IF($B9112=J$1, ($A9112+$C9112) - MAX(IF($B$2:$B9111=$B9112, $A$2:$A9111+$C$2:$C9111)), "")*24*60, "")</f>
        <v/>
      </c>
      <c r="K9112" s="24" t="str" cm="1">
        <f t="array" ref="K9112">IFERROR(IF($B9112=K$1, ($A9112+$C9112) - MAX(IF($B$2:$B9111=$B9112, $A$2:$A9111+$C$2:$C9111)), "")*24*60, "")</f>
        <v/>
      </c>
      <c r="L9112" s="24" t="str" cm="1">
        <f t="array" ref="L9112">IFERROR(IF($B9112=L$1, ($A9112+$C9112) - MAX(IF($B$2:$B9111=$B9112, $A$2:$A9111+$C$2:$C9111)), "")*24*60, "")</f>
        <v/>
      </c>
      <c r="M9112" s="24" t="str" cm="1">
        <f t="array" ref="M9112">IFERROR(IF($B9112=M$1, ($A9112+$C9112) - MAX(IF($B$2:$B9111=$B9112, $A$2:$A9111+$C$2:$C9111)), "")*24*60, "")</f>
        <v/>
      </c>
      <c r="N9112" s="24" t="str" cm="1">
        <f t="array" ref="N9112">IFERROR(IF($B9112=N$1, ($A9112+$C9112) - MAX(IF($B$2:$B9111=$B9112, $A$2:$A9111+$C$2:$C9111)), "")*24*60, "")</f>
        <v/>
      </c>
      <c r="O9112" s="24" t="str" cm="1">
        <f t="array" ref="O9112">IFERROR(IF($B9112=O$1, ($A9112+$C9112) - MAX(IF($B$2:$B9111=$B9112, $A$2:$A9111+$C$2:$C9111)), "")*24*60, "")</f>
        <v/>
      </c>
      <c r="P9112" s="24" t="str" cm="1">
        <f t="array" ref="P9112">IFERROR(IF($B9112=P$1, ($A9112+$C9112) - MAX(IF($B$2:$B9111=$B9112, $A$2:$A9111+$C$2:$C9111)), "")*24*60, "")</f>
        <v/>
      </c>
      <c r="Q9112" s="24" t="str" cm="1">
        <f t="array" ref="Q9112">IFERROR(IF($B9112=Q$1, ($A9112+$C9112) - MAX(IF($B$2:$B9111=$B9112, $A$2:$A9111+$C$2:$C9111)), "")*24*60, "")</f>
        <v/>
      </c>
      <c r="R9112" s="24" t="str" cm="1">
        <f t="array" ref="R9112">IFERROR(IF($B9112=R$1, ($A9112+$C9112) - MAX(IF($B$2:$B9111=$B9112, $A$2:$A9111+$C$2:$C9111)), "")*24*60, "")</f>
        <v/>
      </c>
      <c r="S9112" s="24" t="str" cm="1">
        <f t="array" ref="S9112">IFERROR(IF($B9112=S$1, ($A9112+$C9112) - MAX(IF($B$2:$B9111=$B9112, $A$2:$A9111+$C$2:$C9111)), "")*24*60, "")</f>
        <v/>
      </c>
    </row>
    <row r="9113" spans="1:19" x14ac:dyDescent="0.2">
      <c r="A9113" s="12">
        <f t="shared" ref="A9113:C9113" si="1545">A9112</f>
        <v>46042</v>
      </c>
      <c r="B9113" s="5" t="str">
        <f t="shared" si="1545"/>
        <v>Northern Cardinal</v>
      </c>
      <c r="C9113" s="6">
        <f t="shared" si="1545"/>
        <v>0.29166666666666669</v>
      </c>
      <c r="D9113" s="5"/>
      <c r="E9113" s="5"/>
      <c r="F9113" s="5" t="s">
        <v>9</v>
      </c>
      <c r="G9113" s="15" t="s">
        <v>26</v>
      </c>
      <c r="H9113" s="24">
        <f t="shared" si="1412"/>
        <v>0</v>
      </c>
      <c r="I9113" s="24" cm="1">
        <f t="array" ref="I9113">IFERROR(IF($B9113=I$1, ($A9113+$C9113) - MAX(IF($B$2:$B9112=$B9113, $A$2:$A9112+$C$2:$C9112)), "")*24*60, "")</f>
        <v>0</v>
      </c>
      <c r="J9113" s="24" t="str" cm="1">
        <f t="array" ref="J9113">IFERROR(IF($B9113=J$1, ($A9113+$C9113) - MAX(IF($B$2:$B9112=$B9113, $A$2:$A9112+$C$2:$C9112)), "")*24*60, "")</f>
        <v/>
      </c>
      <c r="K9113" s="24" t="str" cm="1">
        <f t="array" ref="K9113">IFERROR(IF($B9113=K$1, ($A9113+$C9113) - MAX(IF($B$2:$B9112=$B9113, $A$2:$A9112+$C$2:$C9112)), "")*24*60, "")</f>
        <v/>
      </c>
      <c r="L9113" s="24" t="str" cm="1">
        <f t="array" ref="L9113">IFERROR(IF($B9113=L$1, ($A9113+$C9113) - MAX(IF($B$2:$B9112=$B9113, $A$2:$A9112+$C$2:$C9112)), "")*24*60, "")</f>
        <v/>
      </c>
      <c r="M9113" s="24" t="str" cm="1">
        <f t="array" ref="M9113">IFERROR(IF($B9113=M$1, ($A9113+$C9113) - MAX(IF($B$2:$B9112=$B9113, $A$2:$A9112+$C$2:$C9112)), "")*24*60, "")</f>
        <v/>
      </c>
      <c r="N9113" s="24" t="str" cm="1">
        <f t="array" ref="N9113">IFERROR(IF($B9113=N$1, ($A9113+$C9113) - MAX(IF($B$2:$B9112=$B9113, $A$2:$A9112+$C$2:$C9112)), "")*24*60, "")</f>
        <v/>
      </c>
      <c r="O9113" s="24" t="str" cm="1">
        <f t="array" ref="O9113">IFERROR(IF($B9113=O$1, ($A9113+$C9113) - MAX(IF($B$2:$B9112=$B9113, $A$2:$A9112+$C$2:$C9112)), "")*24*60, "")</f>
        <v/>
      </c>
      <c r="P9113" s="24" t="str" cm="1">
        <f t="array" ref="P9113">IFERROR(IF($B9113=P$1, ($A9113+$C9113) - MAX(IF($B$2:$B9112=$B9113, $A$2:$A9112+$C$2:$C9112)), "")*24*60, "")</f>
        <v/>
      </c>
      <c r="Q9113" s="24" t="str" cm="1">
        <f t="array" ref="Q9113">IFERROR(IF($B9113=Q$1, ($A9113+$C9113) - MAX(IF($B$2:$B9112=$B9113, $A$2:$A9112+$C$2:$C9112)), "")*24*60, "")</f>
        <v/>
      </c>
      <c r="R9113" s="24" t="str" cm="1">
        <f t="array" ref="R9113">IFERROR(IF($B9113=R$1, ($A9113+$C9113) - MAX(IF($B$2:$B9112=$B9113, $A$2:$A9112+$C$2:$C9112)), "")*24*60, "")</f>
        <v/>
      </c>
      <c r="S9113" s="24" t="str" cm="1">
        <f t="array" ref="S9113">IFERROR(IF($B9113=S$1, ($A9113+$C9113) - MAX(IF($B$2:$B9112=$B9113, $A$2:$A9112+$C$2:$C9112)), "")*24*60, "")</f>
        <v/>
      </c>
    </row>
    <row r="9114" spans="1:19" x14ac:dyDescent="0.2">
      <c r="A9114" s="12">
        <f t="shared" ref="A9114:C9114" si="1546">A9113</f>
        <v>46042</v>
      </c>
      <c r="B9114" s="5" t="str">
        <f t="shared" si="1546"/>
        <v>Northern Cardinal</v>
      </c>
      <c r="C9114" s="6">
        <f t="shared" si="1546"/>
        <v>0.29166666666666669</v>
      </c>
      <c r="D9114" s="5"/>
      <c r="E9114" s="5"/>
      <c r="F9114" s="5" t="s">
        <v>9</v>
      </c>
      <c r="G9114" s="15" t="s">
        <v>26</v>
      </c>
      <c r="H9114" s="24">
        <f t="shared" si="1412"/>
        <v>0</v>
      </c>
      <c r="I9114" s="24" cm="1">
        <f t="array" ref="I9114">IFERROR(IF($B9114=I$1, ($A9114+$C9114) - MAX(IF($B$2:$B9113=$B9114, $A$2:$A9113+$C$2:$C9113)), "")*24*60, "")</f>
        <v>0</v>
      </c>
      <c r="J9114" s="24" t="str" cm="1">
        <f t="array" ref="J9114">IFERROR(IF($B9114=J$1, ($A9114+$C9114) - MAX(IF($B$2:$B9113=$B9114, $A$2:$A9113+$C$2:$C9113)), "")*24*60, "")</f>
        <v/>
      </c>
      <c r="K9114" s="24" t="str" cm="1">
        <f t="array" ref="K9114">IFERROR(IF($B9114=K$1, ($A9114+$C9114) - MAX(IF($B$2:$B9113=$B9114, $A$2:$A9113+$C$2:$C9113)), "")*24*60, "")</f>
        <v/>
      </c>
      <c r="L9114" s="24" t="str" cm="1">
        <f t="array" ref="L9114">IFERROR(IF($B9114=L$1, ($A9114+$C9114) - MAX(IF($B$2:$B9113=$B9114, $A$2:$A9113+$C$2:$C9113)), "")*24*60, "")</f>
        <v/>
      </c>
      <c r="M9114" s="24" t="str" cm="1">
        <f t="array" ref="M9114">IFERROR(IF($B9114=M$1, ($A9114+$C9114) - MAX(IF($B$2:$B9113=$B9114, $A$2:$A9113+$C$2:$C9113)), "")*24*60, "")</f>
        <v/>
      </c>
      <c r="N9114" s="24" t="str" cm="1">
        <f t="array" ref="N9114">IFERROR(IF($B9114=N$1, ($A9114+$C9114) - MAX(IF($B$2:$B9113=$B9114, $A$2:$A9113+$C$2:$C9113)), "")*24*60, "")</f>
        <v/>
      </c>
      <c r="O9114" s="24" t="str" cm="1">
        <f t="array" ref="O9114">IFERROR(IF($B9114=O$1, ($A9114+$C9114) - MAX(IF($B$2:$B9113=$B9114, $A$2:$A9113+$C$2:$C9113)), "")*24*60, "")</f>
        <v/>
      </c>
      <c r="P9114" s="24" t="str" cm="1">
        <f t="array" ref="P9114">IFERROR(IF($B9114=P$1, ($A9114+$C9114) - MAX(IF($B$2:$B9113=$B9114, $A$2:$A9113+$C$2:$C9113)), "")*24*60, "")</f>
        <v/>
      </c>
      <c r="Q9114" s="24" t="str" cm="1">
        <f t="array" ref="Q9114">IFERROR(IF($B9114=Q$1, ($A9114+$C9114) - MAX(IF($B$2:$B9113=$B9114, $A$2:$A9113+$C$2:$C9113)), "")*24*60, "")</f>
        <v/>
      </c>
      <c r="R9114" s="24" t="str" cm="1">
        <f t="array" ref="R9114">IFERROR(IF($B9114=R$1, ($A9114+$C9114) - MAX(IF($B$2:$B9113=$B9114, $A$2:$A9113+$C$2:$C9113)), "")*24*60, "")</f>
        <v/>
      </c>
      <c r="S9114" s="24" t="str" cm="1">
        <f t="array" ref="S9114">IFERROR(IF($B9114=S$1, ($A9114+$C9114) - MAX(IF($B$2:$B9113=$B9114, $A$2:$A9113+$C$2:$C9113)), "")*24*60, "")</f>
        <v/>
      </c>
    </row>
    <row r="9115" spans="1:19" x14ac:dyDescent="0.2">
      <c r="A9115" s="12">
        <f t="shared" ref="A9115:C9115" si="1547">A9114</f>
        <v>46042</v>
      </c>
      <c r="B9115" s="5" t="str">
        <f t="shared" si="1547"/>
        <v>Northern Cardinal</v>
      </c>
      <c r="C9115" s="6">
        <f t="shared" si="1547"/>
        <v>0.29166666666666669</v>
      </c>
      <c r="D9115" s="5"/>
      <c r="E9115" s="5"/>
      <c r="F9115" s="5" t="s">
        <v>9</v>
      </c>
      <c r="G9115" s="15" t="s">
        <v>26</v>
      </c>
      <c r="H9115" s="24">
        <f t="shared" si="1412"/>
        <v>0</v>
      </c>
      <c r="I9115" s="24" cm="1">
        <f t="array" ref="I9115">IFERROR(IF($B9115=I$1, ($A9115+$C9115) - MAX(IF($B$2:$B9114=$B9115, $A$2:$A9114+$C$2:$C9114)), "")*24*60, "")</f>
        <v>0</v>
      </c>
      <c r="J9115" s="24" t="str" cm="1">
        <f t="array" ref="J9115">IFERROR(IF($B9115=J$1, ($A9115+$C9115) - MAX(IF($B$2:$B9114=$B9115, $A$2:$A9114+$C$2:$C9114)), "")*24*60, "")</f>
        <v/>
      </c>
      <c r="K9115" s="24" t="str" cm="1">
        <f t="array" ref="K9115">IFERROR(IF($B9115=K$1, ($A9115+$C9115) - MAX(IF($B$2:$B9114=$B9115, $A$2:$A9114+$C$2:$C9114)), "")*24*60, "")</f>
        <v/>
      </c>
      <c r="L9115" s="24" t="str" cm="1">
        <f t="array" ref="L9115">IFERROR(IF($B9115=L$1, ($A9115+$C9115) - MAX(IF($B$2:$B9114=$B9115, $A$2:$A9114+$C$2:$C9114)), "")*24*60, "")</f>
        <v/>
      </c>
      <c r="M9115" s="24" t="str" cm="1">
        <f t="array" ref="M9115">IFERROR(IF($B9115=M$1, ($A9115+$C9115) - MAX(IF($B$2:$B9114=$B9115, $A$2:$A9114+$C$2:$C9114)), "")*24*60, "")</f>
        <v/>
      </c>
      <c r="N9115" s="24" t="str" cm="1">
        <f t="array" ref="N9115">IFERROR(IF($B9115=N$1, ($A9115+$C9115) - MAX(IF($B$2:$B9114=$B9115, $A$2:$A9114+$C$2:$C9114)), "")*24*60, "")</f>
        <v/>
      </c>
      <c r="O9115" s="24" t="str" cm="1">
        <f t="array" ref="O9115">IFERROR(IF($B9115=O$1, ($A9115+$C9115) - MAX(IF($B$2:$B9114=$B9115, $A$2:$A9114+$C$2:$C9114)), "")*24*60, "")</f>
        <v/>
      </c>
      <c r="P9115" s="24" t="str" cm="1">
        <f t="array" ref="P9115">IFERROR(IF($B9115=P$1, ($A9115+$C9115) - MAX(IF($B$2:$B9114=$B9115, $A$2:$A9114+$C$2:$C9114)), "")*24*60, "")</f>
        <v/>
      </c>
      <c r="Q9115" s="24" t="str" cm="1">
        <f t="array" ref="Q9115">IFERROR(IF($B9115=Q$1, ($A9115+$C9115) - MAX(IF($B$2:$B9114=$B9115, $A$2:$A9114+$C$2:$C9114)), "")*24*60, "")</f>
        <v/>
      </c>
      <c r="R9115" s="24" t="str" cm="1">
        <f t="array" ref="R9115">IFERROR(IF($B9115=R$1, ($A9115+$C9115) - MAX(IF($B$2:$B9114=$B9115, $A$2:$A9114+$C$2:$C9114)), "")*24*60, "")</f>
        <v/>
      </c>
      <c r="S9115" s="24" t="str" cm="1">
        <f t="array" ref="S9115">IFERROR(IF($B9115=S$1, ($A9115+$C9115) - MAX(IF($B$2:$B9114=$B9115, $A$2:$A9114+$C$2:$C9114)), "")*24*60, "")</f>
        <v/>
      </c>
    </row>
    <row r="9116" spans="1:19" x14ac:dyDescent="0.2">
      <c r="A9116" s="12">
        <f t="shared" ref="A9116:C9116" si="1548">A9115</f>
        <v>46042</v>
      </c>
      <c r="B9116" s="5" t="str">
        <f t="shared" si="1548"/>
        <v>Northern Cardinal</v>
      </c>
      <c r="C9116" s="6">
        <f t="shared" si="1548"/>
        <v>0.29166666666666669</v>
      </c>
      <c r="D9116" s="5"/>
      <c r="E9116" s="5"/>
      <c r="F9116" s="5" t="s">
        <v>9</v>
      </c>
      <c r="G9116" s="15" t="s">
        <v>26</v>
      </c>
      <c r="H9116" s="24">
        <f t="shared" si="1412"/>
        <v>0</v>
      </c>
      <c r="I9116" s="24" cm="1">
        <f t="array" ref="I9116">IFERROR(IF($B9116=I$1, ($A9116+$C9116) - MAX(IF($B$2:$B9115=$B9116, $A$2:$A9115+$C$2:$C9115)), "")*24*60, "")</f>
        <v>0</v>
      </c>
      <c r="J9116" s="24" t="str" cm="1">
        <f t="array" ref="J9116">IFERROR(IF($B9116=J$1, ($A9116+$C9116) - MAX(IF($B$2:$B9115=$B9116, $A$2:$A9115+$C$2:$C9115)), "")*24*60, "")</f>
        <v/>
      </c>
      <c r="K9116" s="24" t="str" cm="1">
        <f t="array" ref="K9116">IFERROR(IF($B9116=K$1, ($A9116+$C9116) - MAX(IF($B$2:$B9115=$B9116, $A$2:$A9115+$C$2:$C9115)), "")*24*60, "")</f>
        <v/>
      </c>
      <c r="L9116" s="24" t="str" cm="1">
        <f t="array" ref="L9116">IFERROR(IF($B9116=L$1, ($A9116+$C9116) - MAX(IF($B$2:$B9115=$B9116, $A$2:$A9115+$C$2:$C9115)), "")*24*60, "")</f>
        <v/>
      </c>
      <c r="M9116" s="24" t="str" cm="1">
        <f t="array" ref="M9116">IFERROR(IF($B9116=M$1, ($A9116+$C9116) - MAX(IF($B$2:$B9115=$B9116, $A$2:$A9115+$C$2:$C9115)), "")*24*60, "")</f>
        <v/>
      </c>
      <c r="N9116" s="24" t="str" cm="1">
        <f t="array" ref="N9116">IFERROR(IF($B9116=N$1, ($A9116+$C9116) - MAX(IF($B$2:$B9115=$B9116, $A$2:$A9115+$C$2:$C9115)), "")*24*60, "")</f>
        <v/>
      </c>
      <c r="O9116" s="24" t="str" cm="1">
        <f t="array" ref="O9116">IFERROR(IF($B9116=O$1, ($A9116+$C9116) - MAX(IF($B$2:$B9115=$B9116, $A$2:$A9115+$C$2:$C9115)), "")*24*60, "")</f>
        <v/>
      </c>
      <c r="P9116" s="24" t="str" cm="1">
        <f t="array" ref="P9116">IFERROR(IF($B9116=P$1, ($A9116+$C9116) - MAX(IF($B$2:$B9115=$B9116, $A$2:$A9115+$C$2:$C9115)), "")*24*60, "")</f>
        <v/>
      </c>
      <c r="Q9116" s="24" t="str" cm="1">
        <f t="array" ref="Q9116">IFERROR(IF($B9116=Q$1, ($A9116+$C9116) - MAX(IF($B$2:$B9115=$B9116, $A$2:$A9115+$C$2:$C9115)), "")*24*60, "")</f>
        <v/>
      </c>
      <c r="R9116" s="24" t="str" cm="1">
        <f t="array" ref="R9116">IFERROR(IF($B9116=R$1, ($A9116+$C9116) - MAX(IF($B$2:$B9115=$B9116, $A$2:$A9115+$C$2:$C9115)), "")*24*60, "")</f>
        <v/>
      </c>
      <c r="S9116" s="24" t="str" cm="1">
        <f t="array" ref="S9116">IFERROR(IF($B9116=S$1, ($A9116+$C9116) - MAX(IF($B$2:$B9115=$B9116, $A$2:$A9115+$C$2:$C9115)), "")*24*60, "")</f>
        <v/>
      </c>
    </row>
    <row r="9117" spans="1:19" x14ac:dyDescent="0.2">
      <c r="A9117" s="12">
        <f t="shared" ref="A9117:C9117" si="1549">A9116</f>
        <v>46042</v>
      </c>
      <c r="B9117" s="5" t="str">
        <f t="shared" si="1549"/>
        <v>Northern Cardinal</v>
      </c>
      <c r="C9117" s="6">
        <f t="shared" si="1549"/>
        <v>0.29166666666666669</v>
      </c>
      <c r="D9117" s="5"/>
      <c r="E9117" s="5"/>
      <c r="F9117" s="5" t="s">
        <v>9</v>
      </c>
      <c r="G9117" s="15" t="s">
        <v>26</v>
      </c>
      <c r="H9117" s="24">
        <f t="shared" si="1412"/>
        <v>0</v>
      </c>
      <c r="I9117" s="24" cm="1">
        <f t="array" ref="I9117">IFERROR(IF($B9117=I$1, ($A9117+$C9117) - MAX(IF($B$2:$B9116=$B9117, $A$2:$A9116+$C$2:$C9116)), "")*24*60, "")</f>
        <v>0</v>
      </c>
      <c r="J9117" s="24" t="str" cm="1">
        <f t="array" ref="J9117">IFERROR(IF($B9117=J$1, ($A9117+$C9117) - MAX(IF($B$2:$B9116=$B9117, $A$2:$A9116+$C$2:$C9116)), "")*24*60, "")</f>
        <v/>
      </c>
      <c r="K9117" s="24" t="str" cm="1">
        <f t="array" ref="K9117">IFERROR(IF($B9117=K$1, ($A9117+$C9117) - MAX(IF($B$2:$B9116=$B9117, $A$2:$A9116+$C$2:$C9116)), "")*24*60, "")</f>
        <v/>
      </c>
      <c r="L9117" s="24" t="str" cm="1">
        <f t="array" ref="L9117">IFERROR(IF($B9117=L$1, ($A9117+$C9117) - MAX(IF($B$2:$B9116=$B9117, $A$2:$A9116+$C$2:$C9116)), "")*24*60, "")</f>
        <v/>
      </c>
      <c r="M9117" s="24" t="str" cm="1">
        <f t="array" ref="M9117">IFERROR(IF($B9117=M$1, ($A9117+$C9117) - MAX(IF($B$2:$B9116=$B9117, $A$2:$A9116+$C$2:$C9116)), "")*24*60, "")</f>
        <v/>
      </c>
      <c r="N9117" s="24" t="str" cm="1">
        <f t="array" ref="N9117">IFERROR(IF($B9117=N$1, ($A9117+$C9117) - MAX(IF($B$2:$B9116=$B9117, $A$2:$A9116+$C$2:$C9116)), "")*24*60, "")</f>
        <v/>
      </c>
      <c r="O9117" s="24" t="str" cm="1">
        <f t="array" ref="O9117">IFERROR(IF($B9117=O$1, ($A9117+$C9117) - MAX(IF($B$2:$B9116=$B9117, $A$2:$A9116+$C$2:$C9116)), "")*24*60, "")</f>
        <v/>
      </c>
      <c r="P9117" s="24" t="str" cm="1">
        <f t="array" ref="P9117">IFERROR(IF($B9117=P$1, ($A9117+$C9117) - MAX(IF($B$2:$B9116=$B9117, $A$2:$A9116+$C$2:$C9116)), "")*24*60, "")</f>
        <v/>
      </c>
      <c r="Q9117" s="24" t="str" cm="1">
        <f t="array" ref="Q9117">IFERROR(IF($B9117=Q$1, ($A9117+$C9117) - MAX(IF($B$2:$B9116=$B9117, $A$2:$A9116+$C$2:$C9116)), "")*24*60, "")</f>
        <v/>
      </c>
      <c r="R9117" s="24" t="str" cm="1">
        <f t="array" ref="R9117">IFERROR(IF($B9117=R$1, ($A9117+$C9117) - MAX(IF($B$2:$B9116=$B9117, $A$2:$A9116+$C$2:$C9116)), "")*24*60, "")</f>
        <v/>
      </c>
      <c r="S9117" s="24" t="str" cm="1">
        <f t="array" ref="S9117">IFERROR(IF($B9117=S$1, ($A9117+$C9117) - MAX(IF($B$2:$B9116=$B9117, $A$2:$A9116+$C$2:$C9116)), "")*24*60, "")</f>
        <v/>
      </c>
    </row>
    <row r="9118" spans="1:19" x14ac:dyDescent="0.2">
      <c r="A9118" s="12">
        <f t="shared" ref="A9118:C9118" si="1550">A9117</f>
        <v>46042</v>
      </c>
      <c r="B9118" s="5" t="str">
        <f t="shared" si="1550"/>
        <v>Northern Cardinal</v>
      </c>
      <c r="C9118" s="6">
        <f t="shared" si="1550"/>
        <v>0.29166666666666669</v>
      </c>
      <c r="D9118" s="5"/>
      <c r="E9118" s="5"/>
      <c r="F9118" s="5" t="s">
        <v>9</v>
      </c>
      <c r="G9118" s="15" t="s">
        <v>26</v>
      </c>
      <c r="H9118" s="24">
        <f t="shared" si="1412"/>
        <v>0</v>
      </c>
      <c r="I9118" s="24" cm="1">
        <f t="array" ref="I9118">IFERROR(IF($B9118=I$1, ($A9118+$C9118) - MAX(IF($B$2:$B9117=$B9118, $A$2:$A9117+$C$2:$C9117)), "")*24*60, "")</f>
        <v>0</v>
      </c>
      <c r="J9118" s="24" t="str" cm="1">
        <f t="array" ref="J9118">IFERROR(IF($B9118=J$1, ($A9118+$C9118) - MAX(IF($B$2:$B9117=$B9118, $A$2:$A9117+$C$2:$C9117)), "")*24*60, "")</f>
        <v/>
      </c>
      <c r="K9118" s="24" t="str" cm="1">
        <f t="array" ref="K9118">IFERROR(IF($B9118=K$1, ($A9118+$C9118) - MAX(IF($B$2:$B9117=$B9118, $A$2:$A9117+$C$2:$C9117)), "")*24*60, "")</f>
        <v/>
      </c>
      <c r="L9118" s="24" t="str" cm="1">
        <f t="array" ref="L9118">IFERROR(IF($B9118=L$1, ($A9118+$C9118) - MAX(IF($B$2:$B9117=$B9118, $A$2:$A9117+$C$2:$C9117)), "")*24*60, "")</f>
        <v/>
      </c>
      <c r="M9118" s="24" t="str" cm="1">
        <f t="array" ref="M9118">IFERROR(IF($B9118=M$1, ($A9118+$C9118) - MAX(IF($B$2:$B9117=$B9118, $A$2:$A9117+$C$2:$C9117)), "")*24*60, "")</f>
        <v/>
      </c>
      <c r="N9118" s="24" t="str" cm="1">
        <f t="array" ref="N9118">IFERROR(IF($B9118=N$1, ($A9118+$C9118) - MAX(IF($B$2:$B9117=$B9118, $A$2:$A9117+$C$2:$C9117)), "")*24*60, "")</f>
        <v/>
      </c>
      <c r="O9118" s="24" t="str" cm="1">
        <f t="array" ref="O9118">IFERROR(IF($B9118=O$1, ($A9118+$C9118) - MAX(IF($B$2:$B9117=$B9118, $A$2:$A9117+$C$2:$C9117)), "")*24*60, "")</f>
        <v/>
      </c>
      <c r="P9118" s="24" t="str" cm="1">
        <f t="array" ref="P9118">IFERROR(IF($B9118=P$1, ($A9118+$C9118) - MAX(IF($B$2:$B9117=$B9118, $A$2:$A9117+$C$2:$C9117)), "")*24*60, "")</f>
        <v/>
      </c>
      <c r="Q9118" s="24" t="str" cm="1">
        <f t="array" ref="Q9118">IFERROR(IF($B9118=Q$1, ($A9118+$C9118) - MAX(IF($B$2:$B9117=$B9118, $A$2:$A9117+$C$2:$C9117)), "")*24*60, "")</f>
        <v/>
      </c>
      <c r="R9118" s="24" t="str" cm="1">
        <f t="array" ref="R9118">IFERROR(IF($B9118=R$1, ($A9118+$C9118) - MAX(IF($B$2:$B9117=$B9118, $A$2:$A9117+$C$2:$C9117)), "")*24*60, "")</f>
        <v/>
      </c>
      <c r="S9118" s="24" t="str" cm="1">
        <f t="array" ref="S9118">IFERROR(IF($B9118=S$1, ($A9118+$C9118) - MAX(IF($B$2:$B9117=$B9118, $A$2:$A9117+$C$2:$C9117)), "")*24*60, "")</f>
        <v/>
      </c>
    </row>
    <row r="9119" spans="1:19" x14ac:dyDescent="0.2">
      <c r="A9119" s="12">
        <f t="shared" ref="A9119:C9119" si="1551">A9118</f>
        <v>46042</v>
      </c>
      <c r="B9119" s="5" t="str">
        <f t="shared" si="1551"/>
        <v>Northern Cardinal</v>
      </c>
      <c r="C9119" s="6">
        <f t="shared" si="1551"/>
        <v>0.29166666666666669</v>
      </c>
      <c r="D9119" s="5"/>
      <c r="E9119" s="5"/>
      <c r="F9119" s="5" t="s">
        <v>9</v>
      </c>
      <c r="G9119" s="15" t="s">
        <v>26</v>
      </c>
      <c r="H9119" s="24">
        <f t="shared" si="1412"/>
        <v>0</v>
      </c>
      <c r="I9119" s="24" cm="1">
        <f t="array" ref="I9119">IFERROR(IF($B9119=I$1, ($A9119+$C9119) - MAX(IF($B$2:$B9118=$B9119, $A$2:$A9118+$C$2:$C9118)), "")*24*60, "")</f>
        <v>0</v>
      </c>
      <c r="J9119" s="24" t="str" cm="1">
        <f t="array" ref="J9119">IFERROR(IF($B9119=J$1, ($A9119+$C9119) - MAX(IF($B$2:$B9118=$B9119, $A$2:$A9118+$C$2:$C9118)), "")*24*60, "")</f>
        <v/>
      </c>
      <c r="K9119" s="24" t="str" cm="1">
        <f t="array" ref="K9119">IFERROR(IF($B9119=K$1, ($A9119+$C9119) - MAX(IF($B$2:$B9118=$B9119, $A$2:$A9118+$C$2:$C9118)), "")*24*60, "")</f>
        <v/>
      </c>
      <c r="L9119" s="24" t="str" cm="1">
        <f t="array" ref="L9119">IFERROR(IF($B9119=L$1, ($A9119+$C9119) - MAX(IF($B$2:$B9118=$B9119, $A$2:$A9118+$C$2:$C9118)), "")*24*60, "")</f>
        <v/>
      </c>
      <c r="M9119" s="24" t="str" cm="1">
        <f t="array" ref="M9119">IFERROR(IF($B9119=M$1, ($A9119+$C9119) - MAX(IF($B$2:$B9118=$B9119, $A$2:$A9118+$C$2:$C9118)), "")*24*60, "")</f>
        <v/>
      </c>
      <c r="N9119" s="24" t="str" cm="1">
        <f t="array" ref="N9119">IFERROR(IF($B9119=N$1, ($A9119+$C9119) - MAX(IF($B$2:$B9118=$B9119, $A$2:$A9118+$C$2:$C9118)), "")*24*60, "")</f>
        <v/>
      </c>
      <c r="O9119" s="24" t="str" cm="1">
        <f t="array" ref="O9119">IFERROR(IF($B9119=O$1, ($A9119+$C9119) - MAX(IF($B$2:$B9118=$B9119, $A$2:$A9118+$C$2:$C9118)), "")*24*60, "")</f>
        <v/>
      </c>
      <c r="P9119" s="24" t="str" cm="1">
        <f t="array" ref="P9119">IFERROR(IF($B9119=P$1, ($A9119+$C9119) - MAX(IF($B$2:$B9118=$B9119, $A$2:$A9118+$C$2:$C9118)), "")*24*60, "")</f>
        <v/>
      </c>
      <c r="Q9119" s="24" t="str" cm="1">
        <f t="array" ref="Q9119">IFERROR(IF($B9119=Q$1, ($A9119+$C9119) - MAX(IF($B$2:$B9118=$B9119, $A$2:$A9118+$C$2:$C9118)), "")*24*60, "")</f>
        <v/>
      </c>
      <c r="R9119" s="24" t="str" cm="1">
        <f t="array" ref="R9119">IFERROR(IF($B9119=R$1, ($A9119+$C9119) - MAX(IF($B$2:$B9118=$B9119, $A$2:$A9118+$C$2:$C9118)), "")*24*60, "")</f>
        <v/>
      </c>
      <c r="S9119" s="24" t="str" cm="1">
        <f t="array" ref="S9119">IFERROR(IF($B9119=S$1, ($A9119+$C9119) - MAX(IF($B$2:$B9118=$B9119, $A$2:$A9118+$C$2:$C9118)), "")*24*60, "")</f>
        <v/>
      </c>
    </row>
    <row r="9120" spans="1:19" x14ac:dyDescent="0.2">
      <c r="A9120" s="12">
        <f t="shared" ref="A9120:C9120" si="1552">A9119</f>
        <v>46042</v>
      </c>
      <c r="B9120" s="5" t="str">
        <f t="shared" si="1552"/>
        <v>Northern Cardinal</v>
      </c>
      <c r="C9120" s="6">
        <f t="shared" si="1552"/>
        <v>0.29166666666666669</v>
      </c>
      <c r="D9120" s="5"/>
      <c r="E9120" s="5"/>
      <c r="F9120" s="5" t="s">
        <v>9</v>
      </c>
      <c r="G9120" s="15" t="s">
        <v>26</v>
      </c>
      <c r="H9120" s="24">
        <f t="shared" si="1412"/>
        <v>0</v>
      </c>
      <c r="I9120" s="24" cm="1">
        <f t="array" ref="I9120">IFERROR(IF($B9120=I$1, ($A9120+$C9120) - MAX(IF($B$2:$B9119=$B9120, $A$2:$A9119+$C$2:$C9119)), "")*24*60, "")</f>
        <v>0</v>
      </c>
      <c r="J9120" s="24" t="str" cm="1">
        <f t="array" ref="J9120">IFERROR(IF($B9120=J$1, ($A9120+$C9120) - MAX(IF($B$2:$B9119=$B9120, $A$2:$A9119+$C$2:$C9119)), "")*24*60, "")</f>
        <v/>
      </c>
      <c r="K9120" s="24" t="str" cm="1">
        <f t="array" ref="K9120">IFERROR(IF($B9120=K$1, ($A9120+$C9120) - MAX(IF($B$2:$B9119=$B9120, $A$2:$A9119+$C$2:$C9119)), "")*24*60, "")</f>
        <v/>
      </c>
      <c r="L9120" s="24" t="str" cm="1">
        <f t="array" ref="L9120">IFERROR(IF($B9120=L$1, ($A9120+$C9120) - MAX(IF($B$2:$B9119=$B9120, $A$2:$A9119+$C$2:$C9119)), "")*24*60, "")</f>
        <v/>
      </c>
      <c r="M9120" s="24" t="str" cm="1">
        <f t="array" ref="M9120">IFERROR(IF($B9120=M$1, ($A9120+$C9120) - MAX(IF($B$2:$B9119=$B9120, $A$2:$A9119+$C$2:$C9119)), "")*24*60, "")</f>
        <v/>
      </c>
      <c r="N9120" s="24" t="str" cm="1">
        <f t="array" ref="N9120">IFERROR(IF($B9120=N$1, ($A9120+$C9120) - MAX(IF($B$2:$B9119=$B9120, $A$2:$A9119+$C$2:$C9119)), "")*24*60, "")</f>
        <v/>
      </c>
      <c r="O9120" s="24" t="str" cm="1">
        <f t="array" ref="O9120">IFERROR(IF($B9120=O$1, ($A9120+$C9120) - MAX(IF($B$2:$B9119=$B9120, $A$2:$A9119+$C$2:$C9119)), "")*24*60, "")</f>
        <v/>
      </c>
      <c r="P9120" s="24" t="str" cm="1">
        <f t="array" ref="P9120">IFERROR(IF($B9120=P$1, ($A9120+$C9120) - MAX(IF($B$2:$B9119=$B9120, $A$2:$A9119+$C$2:$C9119)), "")*24*60, "")</f>
        <v/>
      </c>
      <c r="Q9120" s="24" t="str" cm="1">
        <f t="array" ref="Q9120">IFERROR(IF($B9120=Q$1, ($A9120+$C9120) - MAX(IF($B$2:$B9119=$B9120, $A$2:$A9119+$C$2:$C9119)), "")*24*60, "")</f>
        <v/>
      </c>
      <c r="R9120" s="24" t="str" cm="1">
        <f t="array" ref="R9120">IFERROR(IF($B9120=R$1, ($A9120+$C9120) - MAX(IF($B$2:$B9119=$B9120, $A$2:$A9119+$C$2:$C9119)), "")*24*60, "")</f>
        <v/>
      </c>
      <c r="S9120" s="24" t="str" cm="1">
        <f t="array" ref="S9120">IFERROR(IF($B9120=S$1, ($A9120+$C9120) - MAX(IF($B$2:$B9119=$B9120, $A$2:$A9119+$C$2:$C9119)), "")*24*60, "")</f>
        <v/>
      </c>
    </row>
    <row r="9121" spans="1:19" x14ac:dyDescent="0.2">
      <c r="A9121" s="12">
        <f t="shared" ref="A9121:C9121" si="1553">A9120</f>
        <v>46042</v>
      </c>
      <c r="B9121" s="5" t="str">
        <f t="shared" si="1553"/>
        <v>Northern Cardinal</v>
      </c>
      <c r="C9121" s="6">
        <f t="shared" si="1553"/>
        <v>0.29166666666666669</v>
      </c>
      <c r="D9121" s="5"/>
      <c r="E9121" s="5"/>
      <c r="F9121" s="5" t="s">
        <v>9</v>
      </c>
      <c r="G9121" s="15" t="s">
        <v>26</v>
      </c>
      <c r="H9121" s="24">
        <f t="shared" si="1412"/>
        <v>0</v>
      </c>
      <c r="I9121" s="24" cm="1">
        <f t="array" ref="I9121">IFERROR(IF($B9121=I$1, ($A9121+$C9121) - MAX(IF($B$2:$B9120=$B9121, $A$2:$A9120+$C$2:$C9120)), "")*24*60, "")</f>
        <v>0</v>
      </c>
      <c r="J9121" s="24" t="str" cm="1">
        <f t="array" ref="J9121">IFERROR(IF($B9121=J$1, ($A9121+$C9121) - MAX(IF($B$2:$B9120=$B9121, $A$2:$A9120+$C$2:$C9120)), "")*24*60, "")</f>
        <v/>
      </c>
      <c r="K9121" s="24" t="str" cm="1">
        <f t="array" ref="K9121">IFERROR(IF($B9121=K$1, ($A9121+$C9121) - MAX(IF($B$2:$B9120=$B9121, $A$2:$A9120+$C$2:$C9120)), "")*24*60, "")</f>
        <v/>
      </c>
      <c r="L9121" s="24" t="str" cm="1">
        <f t="array" ref="L9121">IFERROR(IF($B9121=L$1, ($A9121+$C9121) - MAX(IF($B$2:$B9120=$B9121, $A$2:$A9120+$C$2:$C9120)), "")*24*60, "")</f>
        <v/>
      </c>
      <c r="M9121" s="24" t="str" cm="1">
        <f t="array" ref="M9121">IFERROR(IF($B9121=M$1, ($A9121+$C9121) - MAX(IF($B$2:$B9120=$B9121, $A$2:$A9120+$C$2:$C9120)), "")*24*60, "")</f>
        <v/>
      </c>
      <c r="N9121" s="24" t="str" cm="1">
        <f t="array" ref="N9121">IFERROR(IF($B9121=N$1, ($A9121+$C9121) - MAX(IF($B$2:$B9120=$B9121, $A$2:$A9120+$C$2:$C9120)), "")*24*60, "")</f>
        <v/>
      </c>
      <c r="O9121" s="24" t="str" cm="1">
        <f t="array" ref="O9121">IFERROR(IF($B9121=O$1, ($A9121+$C9121) - MAX(IF($B$2:$B9120=$B9121, $A$2:$A9120+$C$2:$C9120)), "")*24*60, "")</f>
        <v/>
      </c>
      <c r="P9121" s="24" t="str" cm="1">
        <f t="array" ref="P9121">IFERROR(IF($B9121=P$1, ($A9121+$C9121) - MAX(IF($B$2:$B9120=$B9121, $A$2:$A9120+$C$2:$C9120)), "")*24*60, "")</f>
        <v/>
      </c>
      <c r="Q9121" s="24" t="str" cm="1">
        <f t="array" ref="Q9121">IFERROR(IF($B9121=Q$1, ($A9121+$C9121) - MAX(IF($B$2:$B9120=$B9121, $A$2:$A9120+$C$2:$C9120)), "")*24*60, "")</f>
        <v/>
      </c>
      <c r="R9121" s="24" t="str" cm="1">
        <f t="array" ref="R9121">IFERROR(IF($B9121=R$1, ($A9121+$C9121) - MAX(IF($B$2:$B9120=$B9121, $A$2:$A9120+$C$2:$C9120)), "")*24*60, "")</f>
        <v/>
      </c>
      <c r="S9121" s="24" t="str" cm="1">
        <f t="array" ref="S9121">IFERROR(IF($B9121=S$1, ($A9121+$C9121) - MAX(IF($B$2:$B9120=$B9121, $A$2:$A9120+$C$2:$C9120)), "")*24*60, "")</f>
        <v/>
      </c>
    </row>
    <row r="9122" spans="1:19" x14ac:dyDescent="0.2">
      <c r="A9122" s="12">
        <f t="shared" ref="A9122:C9122" si="1554">A9121</f>
        <v>46042</v>
      </c>
      <c r="B9122" s="5" t="str">
        <f t="shared" si="1554"/>
        <v>Northern Cardinal</v>
      </c>
      <c r="C9122" s="6">
        <f t="shared" si="1554"/>
        <v>0.29166666666666669</v>
      </c>
      <c r="D9122" s="5"/>
      <c r="E9122" s="5"/>
      <c r="F9122" s="5" t="s">
        <v>9</v>
      </c>
      <c r="G9122" s="15" t="s">
        <v>26</v>
      </c>
      <c r="H9122" s="24">
        <f t="shared" si="1412"/>
        <v>0</v>
      </c>
      <c r="I9122" s="24" cm="1">
        <f t="array" ref="I9122">IFERROR(IF($B9122=I$1, ($A9122+$C9122) - MAX(IF($B$2:$B9121=$B9122, $A$2:$A9121+$C$2:$C9121)), "")*24*60, "")</f>
        <v>0</v>
      </c>
      <c r="J9122" s="24" t="str" cm="1">
        <f t="array" ref="J9122">IFERROR(IF($B9122=J$1, ($A9122+$C9122) - MAX(IF($B$2:$B9121=$B9122, $A$2:$A9121+$C$2:$C9121)), "")*24*60, "")</f>
        <v/>
      </c>
      <c r="K9122" s="24" t="str" cm="1">
        <f t="array" ref="K9122">IFERROR(IF($B9122=K$1, ($A9122+$C9122) - MAX(IF($B$2:$B9121=$B9122, $A$2:$A9121+$C$2:$C9121)), "")*24*60, "")</f>
        <v/>
      </c>
      <c r="L9122" s="24" t="str" cm="1">
        <f t="array" ref="L9122">IFERROR(IF($B9122=L$1, ($A9122+$C9122) - MAX(IF($B$2:$B9121=$B9122, $A$2:$A9121+$C$2:$C9121)), "")*24*60, "")</f>
        <v/>
      </c>
      <c r="M9122" s="24" t="str" cm="1">
        <f t="array" ref="M9122">IFERROR(IF($B9122=M$1, ($A9122+$C9122) - MAX(IF($B$2:$B9121=$B9122, $A$2:$A9121+$C$2:$C9121)), "")*24*60, "")</f>
        <v/>
      </c>
      <c r="N9122" s="24" t="str" cm="1">
        <f t="array" ref="N9122">IFERROR(IF($B9122=N$1, ($A9122+$C9122) - MAX(IF($B$2:$B9121=$B9122, $A$2:$A9121+$C$2:$C9121)), "")*24*60, "")</f>
        <v/>
      </c>
      <c r="O9122" s="24" t="str" cm="1">
        <f t="array" ref="O9122">IFERROR(IF($B9122=O$1, ($A9122+$C9122) - MAX(IF($B$2:$B9121=$B9122, $A$2:$A9121+$C$2:$C9121)), "")*24*60, "")</f>
        <v/>
      </c>
      <c r="P9122" s="24" t="str" cm="1">
        <f t="array" ref="P9122">IFERROR(IF($B9122=P$1, ($A9122+$C9122) - MAX(IF($B$2:$B9121=$B9122, $A$2:$A9121+$C$2:$C9121)), "")*24*60, "")</f>
        <v/>
      </c>
      <c r="Q9122" s="24" t="str" cm="1">
        <f t="array" ref="Q9122">IFERROR(IF($B9122=Q$1, ($A9122+$C9122) - MAX(IF($B$2:$B9121=$B9122, $A$2:$A9121+$C$2:$C9121)), "")*24*60, "")</f>
        <v/>
      </c>
      <c r="R9122" s="24" t="str" cm="1">
        <f t="array" ref="R9122">IFERROR(IF($B9122=R$1, ($A9122+$C9122) - MAX(IF($B$2:$B9121=$B9122, $A$2:$A9121+$C$2:$C9121)), "")*24*60, "")</f>
        <v/>
      </c>
      <c r="S9122" s="24" t="str" cm="1">
        <f t="array" ref="S9122">IFERROR(IF($B9122=S$1, ($A9122+$C9122) - MAX(IF($B$2:$B9121=$B9122, $A$2:$A9121+$C$2:$C9121)), "")*24*60, "")</f>
        <v/>
      </c>
    </row>
    <row r="9123" spans="1:19" x14ac:dyDescent="0.2">
      <c r="A9123" s="12">
        <f t="shared" ref="A9123:C9123" si="1555">A9122</f>
        <v>46042</v>
      </c>
      <c r="B9123" s="5" t="str">
        <f t="shared" si="1555"/>
        <v>Northern Cardinal</v>
      </c>
      <c r="C9123" s="6">
        <f t="shared" si="1555"/>
        <v>0.29166666666666669</v>
      </c>
      <c r="D9123" s="5"/>
      <c r="E9123" s="5"/>
      <c r="F9123" s="5" t="s">
        <v>9</v>
      </c>
      <c r="G9123" s="15" t="s">
        <v>26</v>
      </c>
      <c r="H9123" s="24">
        <f t="shared" si="1412"/>
        <v>0</v>
      </c>
      <c r="I9123" s="24" cm="1">
        <f t="array" ref="I9123">IFERROR(IF($B9123=I$1, ($A9123+$C9123) - MAX(IF($B$2:$B9122=$B9123, $A$2:$A9122+$C$2:$C9122)), "")*24*60, "")</f>
        <v>0</v>
      </c>
      <c r="J9123" s="24" t="str" cm="1">
        <f t="array" ref="J9123">IFERROR(IF($B9123=J$1, ($A9123+$C9123) - MAX(IF($B$2:$B9122=$B9123, $A$2:$A9122+$C$2:$C9122)), "")*24*60, "")</f>
        <v/>
      </c>
      <c r="K9123" s="24" t="str" cm="1">
        <f t="array" ref="K9123">IFERROR(IF($B9123=K$1, ($A9123+$C9123) - MAX(IF($B$2:$B9122=$B9123, $A$2:$A9122+$C$2:$C9122)), "")*24*60, "")</f>
        <v/>
      </c>
      <c r="L9123" s="24" t="str" cm="1">
        <f t="array" ref="L9123">IFERROR(IF($B9123=L$1, ($A9123+$C9123) - MAX(IF($B$2:$B9122=$B9123, $A$2:$A9122+$C$2:$C9122)), "")*24*60, "")</f>
        <v/>
      </c>
      <c r="M9123" s="24" t="str" cm="1">
        <f t="array" ref="M9123">IFERROR(IF($B9123=M$1, ($A9123+$C9123) - MAX(IF($B$2:$B9122=$B9123, $A$2:$A9122+$C$2:$C9122)), "")*24*60, "")</f>
        <v/>
      </c>
      <c r="N9123" s="24" t="str" cm="1">
        <f t="array" ref="N9123">IFERROR(IF($B9123=N$1, ($A9123+$C9123) - MAX(IF($B$2:$B9122=$B9123, $A$2:$A9122+$C$2:$C9122)), "")*24*60, "")</f>
        <v/>
      </c>
      <c r="O9123" s="24" t="str" cm="1">
        <f t="array" ref="O9123">IFERROR(IF($B9123=O$1, ($A9123+$C9123) - MAX(IF($B$2:$B9122=$B9123, $A$2:$A9122+$C$2:$C9122)), "")*24*60, "")</f>
        <v/>
      </c>
      <c r="P9123" s="24" t="str" cm="1">
        <f t="array" ref="P9123">IFERROR(IF($B9123=P$1, ($A9123+$C9123) - MAX(IF($B$2:$B9122=$B9123, $A$2:$A9122+$C$2:$C9122)), "")*24*60, "")</f>
        <v/>
      </c>
      <c r="Q9123" s="24" t="str" cm="1">
        <f t="array" ref="Q9123">IFERROR(IF($B9123=Q$1, ($A9123+$C9123) - MAX(IF($B$2:$B9122=$B9123, $A$2:$A9122+$C$2:$C9122)), "")*24*60, "")</f>
        <v/>
      </c>
      <c r="R9123" s="24" t="str" cm="1">
        <f t="array" ref="R9123">IFERROR(IF($B9123=R$1, ($A9123+$C9123) - MAX(IF($B$2:$B9122=$B9123, $A$2:$A9122+$C$2:$C9122)), "")*24*60, "")</f>
        <v/>
      </c>
      <c r="S9123" s="24" t="str" cm="1">
        <f t="array" ref="S9123">IFERROR(IF($B9123=S$1, ($A9123+$C9123) - MAX(IF($B$2:$B9122=$B9123, $A$2:$A9122+$C$2:$C9122)), "")*24*60, "")</f>
        <v/>
      </c>
    </row>
    <row r="9124" spans="1:19" x14ac:dyDescent="0.2">
      <c r="A9124" s="12">
        <f t="shared" ref="A9124:C9124" si="1556">A9123</f>
        <v>46042</v>
      </c>
      <c r="B9124" s="5" t="str">
        <f t="shared" si="1556"/>
        <v>Northern Cardinal</v>
      </c>
      <c r="C9124" s="6">
        <f t="shared" si="1556"/>
        <v>0.29166666666666669</v>
      </c>
      <c r="D9124" s="5"/>
      <c r="E9124" s="5"/>
      <c r="F9124" s="5" t="s">
        <v>9</v>
      </c>
      <c r="G9124" s="15" t="s">
        <v>26</v>
      </c>
      <c r="H9124" s="24">
        <f t="shared" si="1412"/>
        <v>0</v>
      </c>
      <c r="I9124" s="24" cm="1">
        <f t="array" ref="I9124">IFERROR(IF($B9124=I$1, ($A9124+$C9124) - MAX(IF($B$2:$B9123=$B9124, $A$2:$A9123+$C$2:$C9123)), "")*24*60, "")</f>
        <v>0</v>
      </c>
      <c r="J9124" s="24" t="str" cm="1">
        <f t="array" ref="J9124">IFERROR(IF($B9124=J$1, ($A9124+$C9124) - MAX(IF($B$2:$B9123=$B9124, $A$2:$A9123+$C$2:$C9123)), "")*24*60, "")</f>
        <v/>
      </c>
      <c r="K9124" s="24" t="str" cm="1">
        <f t="array" ref="K9124">IFERROR(IF($B9124=K$1, ($A9124+$C9124) - MAX(IF($B$2:$B9123=$B9124, $A$2:$A9123+$C$2:$C9123)), "")*24*60, "")</f>
        <v/>
      </c>
      <c r="L9124" s="24" t="str" cm="1">
        <f t="array" ref="L9124">IFERROR(IF($B9124=L$1, ($A9124+$C9124) - MAX(IF($B$2:$B9123=$B9124, $A$2:$A9123+$C$2:$C9123)), "")*24*60, "")</f>
        <v/>
      </c>
      <c r="M9124" s="24" t="str" cm="1">
        <f t="array" ref="M9124">IFERROR(IF($B9124=M$1, ($A9124+$C9124) - MAX(IF($B$2:$B9123=$B9124, $A$2:$A9123+$C$2:$C9123)), "")*24*60, "")</f>
        <v/>
      </c>
      <c r="N9124" s="24" t="str" cm="1">
        <f t="array" ref="N9124">IFERROR(IF($B9124=N$1, ($A9124+$C9124) - MAX(IF($B$2:$B9123=$B9124, $A$2:$A9123+$C$2:$C9123)), "")*24*60, "")</f>
        <v/>
      </c>
      <c r="O9124" s="24" t="str" cm="1">
        <f t="array" ref="O9124">IFERROR(IF($B9124=O$1, ($A9124+$C9124) - MAX(IF($B$2:$B9123=$B9124, $A$2:$A9123+$C$2:$C9123)), "")*24*60, "")</f>
        <v/>
      </c>
      <c r="P9124" s="24" t="str" cm="1">
        <f t="array" ref="P9124">IFERROR(IF($B9124=P$1, ($A9124+$C9124) - MAX(IF($B$2:$B9123=$B9124, $A$2:$A9123+$C$2:$C9123)), "")*24*60, "")</f>
        <v/>
      </c>
      <c r="Q9124" s="24" t="str" cm="1">
        <f t="array" ref="Q9124">IFERROR(IF($B9124=Q$1, ($A9124+$C9124) - MAX(IF($B$2:$B9123=$B9124, $A$2:$A9123+$C$2:$C9123)), "")*24*60, "")</f>
        <v/>
      </c>
      <c r="R9124" s="24" t="str" cm="1">
        <f t="array" ref="R9124">IFERROR(IF($B9124=R$1, ($A9124+$C9124) - MAX(IF($B$2:$B9123=$B9124, $A$2:$A9123+$C$2:$C9123)), "")*24*60, "")</f>
        <v/>
      </c>
      <c r="S9124" s="24" t="str" cm="1">
        <f t="array" ref="S9124">IFERROR(IF($B9124=S$1, ($A9124+$C9124) - MAX(IF($B$2:$B9123=$B9124, $A$2:$A9123+$C$2:$C9123)), "")*24*60, "")</f>
        <v/>
      </c>
    </row>
    <row r="9125" spans="1:19" x14ac:dyDescent="0.2">
      <c r="A9125" s="12">
        <f t="shared" ref="A9125:C9125" si="1557">A9124</f>
        <v>46042</v>
      </c>
      <c r="B9125" s="5" t="str">
        <f t="shared" si="1557"/>
        <v>Northern Cardinal</v>
      </c>
      <c r="C9125" s="6">
        <f t="shared" si="1557"/>
        <v>0.29166666666666669</v>
      </c>
      <c r="D9125" s="5"/>
      <c r="E9125" s="5"/>
      <c r="F9125" s="5" t="s">
        <v>9</v>
      </c>
      <c r="G9125" s="15" t="s">
        <v>26</v>
      </c>
      <c r="H9125" s="24">
        <f t="shared" si="1412"/>
        <v>0</v>
      </c>
      <c r="I9125" s="24" cm="1">
        <f t="array" ref="I9125">IFERROR(IF($B9125=I$1, ($A9125+$C9125) - MAX(IF($B$2:$B9124=$B9125, $A$2:$A9124+$C$2:$C9124)), "")*24*60, "")</f>
        <v>0</v>
      </c>
      <c r="J9125" s="24" t="str" cm="1">
        <f t="array" ref="J9125">IFERROR(IF($B9125=J$1, ($A9125+$C9125) - MAX(IF($B$2:$B9124=$B9125, $A$2:$A9124+$C$2:$C9124)), "")*24*60, "")</f>
        <v/>
      </c>
      <c r="K9125" s="24" t="str" cm="1">
        <f t="array" ref="K9125">IFERROR(IF($B9125=K$1, ($A9125+$C9125) - MAX(IF($B$2:$B9124=$B9125, $A$2:$A9124+$C$2:$C9124)), "")*24*60, "")</f>
        <v/>
      </c>
      <c r="L9125" s="24" t="str" cm="1">
        <f t="array" ref="L9125">IFERROR(IF($B9125=L$1, ($A9125+$C9125) - MAX(IF($B$2:$B9124=$B9125, $A$2:$A9124+$C$2:$C9124)), "")*24*60, "")</f>
        <v/>
      </c>
      <c r="M9125" s="24" t="str" cm="1">
        <f t="array" ref="M9125">IFERROR(IF($B9125=M$1, ($A9125+$C9125) - MAX(IF($B$2:$B9124=$B9125, $A$2:$A9124+$C$2:$C9124)), "")*24*60, "")</f>
        <v/>
      </c>
      <c r="N9125" s="24" t="str" cm="1">
        <f t="array" ref="N9125">IFERROR(IF($B9125=N$1, ($A9125+$C9125) - MAX(IF($B$2:$B9124=$B9125, $A$2:$A9124+$C$2:$C9124)), "")*24*60, "")</f>
        <v/>
      </c>
      <c r="O9125" s="24" t="str" cm="1">
        <f t="array" ref="O9125">IFERROR(IF($B9125=O$1, ($A9125+$C9125) - MAX(IF($B$2:$B9124=$B9125, $A$2:$A9124+$C$2:$C9124)), "")*24*60, "")</f>
        <v/>
      </c>
      <c r="P9125" s="24" t="str" cm="1">
        <f t="array" ref="P9125">IFERROR(IF($B9125=P$1, ($A9125+$C9125) - MAX(IF($B$2:$B9124=$B9125, $A$2:$A9124+$C$2:$C9124)), "")*24*60, "")</f>
        <v/>
      </c>
      <c r="Q9125" s="24" t="str" cm="1">
        <f t="array" ref="Q9125">IFERROR(IF($B9125=Q$1, ($A9125+$C9125) - MAX(IF($B$2:$B9124=$B9125, $A$2:$A9124+$C$2:$C9124)), "")*24*60, "")</f>
        <v/>
      </c>
      <c r="R9125" s="24" t="str" cm="1">
        <f t="array" ref="R9125">IFERROR(IF($B9125=R$1, ($A9125+$C9125) - MAX(IF($B$2:$B9124=$B9125, $A$2:$A9124+$C$2:$C9124)), "")*24*60, "")</f>
        <v/>
      </c>
      <c r="S9125" s="24" t="str" cm="1">
        <f t="array" ref="S9125">IFERROR(IF($B9125=S$1, ($A9125+$C9125) - MAX(IF($B$2:$B9124=$B9125, $A$2:$A9124+$C$2:$C9124)), "")*24*60, "")</f>
        <v/>
      </c>
    </row>
    <row r="9126" spans="1:19" x14ac:dyDescent="0.2">
      <c r="A9126" s="12">
        <f t="shared" ref="A9126:C9126" si="1558">A9125</f>
        <v>46042</v>
      </c>
      <c r="B9126" s="5" t="str">
        <f t="shared" si="1558"/>
        <v>Northern Cardinal</v>
      </c>
      <c r="C9126" s="6">
        <f t="shared" si="1558"/>
        <v>0.29166666666666669</v>
      </c>
      <c r="D9126" s="5"/>
      <c r="E9126" s="5"/>
      <c r="F9126" s="5" t="s">
        <v>9</v>
      </c>
      <c r="G9126" s="15" t="s">
        <v>26</v>
      </c>
      <c r="H9126" s="24">
        <f t="shared" si="1412"/>
        <v>0</v>
      </c>
      <c r="I9126" s="24" cm="1">
        <f t="array" ref="I9126">IFERROR(IF($B9126=I$1, ($A9126+$C9126) - MAX(IF($B$2:$B9125=$B9126, $A$2:$A9125+$C$2:$C9125)), "")*24*60, "")</f>
        <v>0</v>
      </c>
      <c r="J9126" s="24" t="str" cm="1">
        <f t="array" ref="J9126">IFERROR(IF($B9126=J$1, ($A9126+$C9126) - MAX(IF($B$2:$B9125=$B9126, $A$2:$A9125+$C$2:$C9125)), "")*24*60, "")</f>
        <v/>
      </c>
      <c r="K9126" s="24" t="str" cm="1">
        <f t="array" ref="K9126">IFERROR(IF($B9126=K$1, ($A9126+$C9126) - MAX(IF($B$2:$B9125=$B9126, $A$2:$A9125+$C$2:$C9125)), "")*24*60, "")</f>
        <v/>
      </c>
      <c r="L9126" s="24" t="str" cm="1">
        <f t="array" ref="L9126">IFERROR(IF($B9126=L$1, ($A9126+$C9126) - MAX(IF($B$2:$B9125=$B9126, $A$2:$A9125+$C$2:$C9125)), "")*24*60, "")</f>
        <v/>
      </c>
      <c r="M9126" s="24" t="str" cm="1">
        <f t="array" ref="M9126">IFERROR(IF($B9126=M$1, ($A9126+$C9126) - MAX(IF($B$2:$B9125=$B9126, $A$2:$A9125+$C$2:$C9125)), "")*24*60, "")</f>
        <v/>
      </c>
      <c r="N9126" s="24" t="str" cm="1">
        <f t="array" ref="N9126">IFERROR(IF($B9126=N$1, ($A9126+$C9126) - MAX(IF($B$2:$B9125=$B9126, $A$2:$A9125+$C$2:$C9125)), "")*24*60, "")</f>
        <v/>
      </c>
      <c r="O9126" s="24" t="str" cm="1">
        <f t="array" ref="O9126">IFERROR(IF($B9126=O$1, ($A9126+$C9126) - MAX(IF($B$2:$B9125=$B9126, $A$2:$A9125+$C$2:$C9125)), "")*24*60, "")</f>
        <v/>
      </c>
      <c r="P9126" s="24" t="str" cm="1">
        <f t="array" ref="P9126">IFERROR(IF($B9126=P$1, ($A9126+$C9126) - MAX(IF($B$2:$B9125=$B9126, $A$2:$A9125+$C$2:$C9125)), "")*24*60, "")</f>
        <v/>
      </c>
      <c r="Q9126" s="24" t="str" cm="1">
        <f t="array" ref="Q9126">IFERROR(IF($B9126=Q$1, ($A9126+$C9126) - MAX(IF($B$2:$B9125=$B9126, $A$2:$A9125+$C$2:$C9125)), "")*24*60, "")</f>
        <v/>
      </c>
      <c r="R9126" s="24" t="str" cm="1">
        <f t="array" ref="R9126">IFERROR(IF($B9126=R$1, ($A9126+$C9126) - MAX(IF($B$2:$B9125=$B9126, $A$2:$A9125+$C$2:$C9125)), "")*24*60, "")</f>
        <v/>
      </c>
      <c r="S9126" s="24" t="str" cm="1">
        <f t="array" ref="S9126">IFERROR(IF($B9126=S$1, ($A9126+$C9126) - MAX(IF($B$2:$B9125=$B9126, $A$2:$A9125+$C$2:$C9125)), "")*24*60, "")</f>
        <v/>
      </c>
    </row>
    <row r="9127" spans="1:19" x14ac:dyDescent="0.2">
      <c r="A9127" s="12">
        <f t="shared" ref="A9127:C9127" si="1559">A9126</f>
        <v>46042</v>
      </c>
      <c r="B9127" s="5" t="str">
        <f t="shared" si="1559"/>
        <v>Northern Cardinal</v>
      </c>
      <c r="C9127" s="6">
        <f t="shared" si="1559"/>
        <v>0.29166666666666669</v>
      </c>
      <c r="D9127" s="5"/>
      <c r="E9127" s="5"/>
      <c r="F9127" s="5" t="s">
        <v>9</v>
      </c>
      <c r="G9127" s="15" t="s">
        <v>26</v>
      </c>
      <c r="H9127" s="24">
        <f t="shared" si="1412"/>
        <v>0</v>
      </c>
      <c r="I9127" s="24" cm="1">
        <f t="array" ref="I9127">IFERROR(IF($B9127=I$1, ($A9127+$C9127) - MAX(IF($B$2:$B9126=$B9127, $A$2:$A9126+$C$2:$C9126)), "")*24*60, "")</f>
        <v>0</v>
      </c>
      <c r="J9127" s="24" t="str" cm="1">
        <f t="array" ref="J9127">IFERROR(IF($B9127=J$1, ($A9127+$C9127) - MAX(IF($B$2:$B9126=$B9127, $A$2:$A9126+$C$2:$C9126)), "")*24*60, "")</f>
        <v/>
      </c>
      <c r="K9127" s="24" t="str" cm="1">
        <f t="array" ref="K9127">IFERROR(IF($B9127=K$1, ($A9127+$C9127) - MAX(IF($B$2:$B9126=$B9127, $A$2:$A9126+$C$2:$C9126)), "")*24*60, "")</f>
        <v/>
      </c>
      <c r="L9127" s="24" t="str" cm="1">
        <f t="array" ref="L9127">IFERROR(IF($B9127=L$1, ($A9127+$C9127) - MAX(IF($B$2:$B9126=$B9127, $A$2:$A9126+$C$2:$C9126)), "")*24*60, "")</f>
        <v/>
      </c>
      <c r="M9127" s="24" t="str" cm="1">
        <f t="array" ref="M9127">IFERROR(IF($B9127=M$1, ($A9127+$C9127) - MAX(IF($B$2:$B9126=$B9127, $A$2:$A9126+$C$2:$C9126)), "")*24*60, "")</f>
        <v/>
      </c>
      <c r="N9127" s="24" t="str" cm="1">
        <f t="array" ref="N9127">IFERROR(IF($B9127=N$1, ($A9127+$C9127) - MAX(IF($B$2:$B9126=$B9127, $A$2:$A9126+$C$2:$C9126)), "")*24*60, "")</f>
        <v/>
      </c>
      <c r="O9127" s="24" t="str" cm="1">
        <f t="array" ref="O9127">IFERROR(IF($B9127=O$1, ($A9127+$C9127) - MAX(IF($B$2:$B9126=$B9127, $A$2:$A9126+$C$2:$C9126)), "")*24*60, "")</f>
        <v/>
      </c>
      <c r="P9127" s="24" t="str" cm="1">
        <f t="array" ref="P9127">IFERROR(IF($B9127=P$1, ($A9127+$C9127) - MAX(IF($B$2:$B9126=$B9127, $A$2:$A9126+$C$2:$C9126)), "")*24*60, "")</f>
        <v/>
      </c>
      <c r="Q9127" s="24" t="str" cm="1">
        <f t="array" ref="Q9127">IFERROR(IF($B9127=Q$1, ($A9127+$C9127) - MAX(IF($B$2:$B9126=$B9127, $A$2:$A9126+$C$2:$C9126)), "")*24*60, "")</f>
        <v/>
      </c>
      <c r="R9127" s="24" t="str" cm="1">
        <f t="array" ref="R9127">IFERROR(IF($B9127=R$1, ($A9127+$C9127) - MAX(IF($B$2:$B9126=$B9127, $A$2:$A9126+$C$2:$C9126)), "")*24*60, "")</f>
        <v/>
      </c>
      <c r="S9127" s="24" t="str" cm="1">
        <f t="array" ref="S9127">IFERROR(IF($B9127=S$1, ($A9127+$C9127) - MAX(IF($B$2:$B9126=$B9127, $A$2:$A9126+$C$2:$C9126)), "")*24*60, "")</f>
        <v/>
      </c>
    </row>
    <row r="9128" spans="1:19" x14ac:dyDescent="0.2">
      <c r="A9128" s="12">
        <f t="shared" ref="A9128:C9128" si="1560">A9127</f>
        <v>46042</v>
      </c>
      <c r="B9128" s="5" t="str">
        <f t="shared" si="1560"/>
        <v>Northern Cardinal</v>
      </c>
      <c r="C9128" s="6">
        <f t="shared" si="1560"/>
        <v>0.29166666666666669</v>
      </c>
      <c r="D9128" s="5"/>
      <c r="E9128" s="5"/>
      <c r="F9128" s="5" t="s">
        <v>9</v>
      </c>
      <c r="G9128" s="15" t="s">
        <v>26</v>
      </c>
      <c r="H9128" s="24">
        <f t="shared" si="1412"/>
        <v>0</v>
      </c>
      <c r="I9128" s="24" cm="1">
        <f t="array" ref="I9128">IFERROR(IF($B9128=I$1, ($A9128+$C9128) - MAX(IF($B$2:$B9127=$B9128, $A$2:$A9127+$C$2:$C9127)), "")*24*60, "")</f>
        <v>0</v>
      </c>
      <c r="J9128" s="24" t="str" cm="1">
        <f t="array" ref="J9128">IFERROR(IF($B9128=J$1, ($A9128+$C9128) - MAX(IF($B$2:$B9127=$B9128, $A$2:$A9127+$C$2:$C9127)), "")*24*60, "")</f>
        <v/>
      </c>
      <c r="K9128" s="24" t="str" cm="1">
        <f t="array" ref="K9128">IFERROR(IF($B9128=K$1, ($A9128+$C9128) - MAX(IF($B$2:$B9127=$B9128, $A$2:$A9127+$C$2:$C9127)), "")*24*60, "")</f>
        <v/>
      </c>
      <c r="L9128" s="24" t="str" cm="1">
        <f t="array" ref="L9128">IFERROR(IF($B9128=L$1, ($A9128+$C9128) - MAX(IF($B$2:$B9127=$B9128, $A$2:$A9127+$C$2:$C9127)), "")*24*60, "")</f>
        <v/>
      </c>
      <c r="M9128" s="24" t="str" cm="1">
        <f t="array" ref="M9128">IFERROR(IF($B9128=M$1, ($A9128+$C9128) - MAX(IF($B$2:$B9127=$B9128, $A$2:$A9127+$C$2:$C9127)), "")*24*60, "")</f>
        <v/>
      </c>
      <c r="N9128" s="24" t="str" cm="1">
        <f t="array" ref="N9128">IFERROR(IF($B9128=N$1, ($A9128+$C9128) - MAX(IF($B$2:$B9127=$B9128, $A$2:$A9127+$C$2:$C9127)), "")*24*60, "")</f>
        <v/>
      </c>
      <c r="O9128" s="24" t="str" cm="1">
        <f t="array" ref="O9128">IFERROR(IF($B9128=O$1, ($A9128+$C9128) - MAX(IF($B$2:$B9127=$B9128, $A$2:$A9127+$C$2:$C9127)), "")*24*60, "")</f>
        <v/>
      </c>
      <c r="P9128" s="24" t="str" cm="1">
        <f t="array" ref="P9128">IFERROR(IF($B9128=P$1, ($A9128+$C9128) - MAX(IF($B$2:$B9127=$B9128, $A$2:$A9127+$C$2:$C9127)), "")*24*60, "")</f>
        <v/>
      </c>
      <c r="Q9128" s="24" t="str" cm="1">
        <f t="array" ref="Q9128">IFERROR(IF($B9128=Q$1, ($A9128+$C9128) - MAX(IF($B$2:$B9127=$B9128, $A$2:$A9127+$C$2:$C9127)), "")*24*60, "")</f>
        <v/>
      </c>
      <c r="R9128" s="24" t="str" cm="1">
        <f t="array" ref="R9128">IFERROR(IF($B9128=R$1, ($A9128+$C9128) - MAX(IF($B$2:$B9127=$B9128, $A$2:$A9127+$C$2:$C9127)), "")*24*60, "")</f>
        <v/>
      </c>
      <c r="S9128" s="24" t="str" cm="1">
        <f t="array" ref="S9128">IFERROR(IF($B9128=S$1, ($A9128+$C9128) - MAX(IF($B$2:$B9127=$B9128, $A$2:$A9127+$C$2:$C9127)), "")*24*60, "")</f>
        <v/>
      </c>
    </row>
    <row r="9129" spans="1:19" x14ac:dyDescent="0.2">
      <c r="A9129" s="12">
        <f t="shared" ref="A9129:C9129" si="1561">A9128</f>
        <v>46042</v>
      </c>
      <c r="B9129" s="5" t="str">
        <f t="shared" si="1561"/>
        <v>Northern Cardinal</v>
      </c>
      <c r="C9129" s="6">
        <f t="shared" si="1561"/>
        <v>0.29166666666666669</v>
      </c>
      <c r="D9129" s="5"/>
      <c r="E9129" s="5"/>
      <c r="F9129" s="5" t="s">
        <v>9</v>
      </c>
      <c r="G9129" s="15" t="s">
        <v>26</v>
      </c>
      <c r="H9129" s="24">
        <f t="shared" si="1412"/>
        <v>0</v>
      </c>
      <c r="I9129" s="24" cm="1">
        <f t="array" ref="I9129">IFERROR(IF($B9129=I$1, ($A9129+$C9129) - MAX(IF($B$2:$B9128=$B9129, $A$2:$A9128+$C$2:$C9128)), "")*24*60, "")</f>
        <v>0</v>
      </c>
      <c r="J9129" s="24" t="str" cm="1">
        <f t="array" ref="J9129">IFERROR(IF($B9129=J$1, ($A9129+$C9129) - MAX(IF($B$2:$B9128=$B9129, $A$2:$A9128+$C$2:$C9128)), "")*24*60, "")</f>
        <v/>
      </c>
      <c r="K9129" s="24" t="str" cm="1">
        <f t="array" ref="K9129">IFERROR(IF($B9129=K$1, ($A9129+$C9129) - MAX(IF($B$2:$B9128=$B9129, $A$2:$A9128+$C$2:$C9128)), "")*24*60, "")</f>
        <v/>
      </c>
      <c r="L9129" s="24" t="str" cm="1">
        <f t="array" ref="L9129">IFERROR(IF($B9129=L$1, ($A9129+$C9129) - MAX(IF($B$2:$B9128=$B9129, $A$2:$A9128+$C$2:$C9128)), "")*24*60, "")</f>
        <v/>
      </c>
      <c r="M9129" s="24" t="str" cm="1">
        <f t="array" ref="M9129">IFERROR(IF($B9129=M$1, ($A9129+$C9129) - MAX(IF($B$2:$B9128=$B9129, $A$2:$A9128+$C$2:$C9128)), "")*24*60, "")</f>
        <v/>
      </c>
      <c r="N9129" s="24" t="str" cm="1">
        <f t="array" ref="N9129">IFERROR(IF($B9129=N$1, ($A9129+$C9129) - MAX(IF($B$2:$B9128=$B9129, $A$2:$A9128+$C$2:$C9128)), "")*24*60, "")</f>
        <v/>
      </c>
      <c r="O9129" s="24" t="str" cm="1">
        <f t="array" ref="O9129">IFERROR(IF($B9129=O$1, ($A9129+$C9129) - MAX(IF($B$2:$B9128=$B9129, $A$2:$A9128+$C$2:$C9128)), "")*24*60, "")</f>
        <v/>
      </c>
      <c r="P9129" s="24" t="str" cm="1">
        <f t="array" ref="P9129">IFERROR(IF($B9129=P$1, ($A9129+$C9129) - MAX(IF($B$2:$B9128=$B9129, $A$2:$A9128+$C$2:$C9128)), "")*24*60, "")</f>
        <v/>
      </c>
      <c r="Q9129" s="24" t="str" cm="1">
        <f t="array" ref="Q9129">IFERROR(IF($B9129=Q$1, ($A9129+$C9129) - MAX(IF($B$2:$B9128=$B9129, $A$2:$A9128+$C$2:$C9128)), "")*24*60, "")</f>
        <v/>
      </c>
      <c r="R9129" s="24" t="str" cm="1">
        <f t="array" ref="R9129">IFERROR(IF($B9129=R$1, ($A9129+$C9129) - MAX(IF($B$2:$B9128=$B9129, $A$2:$A9128+$C$2:$C9128)), "")*24*60, "")</f>
        <v/>
      </c>
      <c r="S9129" s="24" t="str" cm="1">
        <f t="array" ref="S9129">IFERROR(IF($B9129=S$1, ($A9129+$C9129) - MAX(IF($B$2:$B9128=$B9129, $A$2:$A9128+$C$2:$C9128)), "")*24*60, "")</f>
        <v/>
      </c>
    </row>
    <row r="9130" spans="1:19" x14ac:dyDescent="0.2">
      <c r="A9130" s="12">
        <f t="shared" ref="A9130:C9130" si="1562">A9129</f>
        <v>46042</v>
      </c>
      <c r="B9130" s="5" t="str">
        <f t="shared" si="1562"/>
        <v>Northern Cardinal</v>
      </c>
      <c r="C9130" s="6">
        <f t="shared" si="1562"/>
        <v>0.29166666666666669</v>
      </c>
      <c r="D9130" s="5"/>
      <c r="E9130" s="5"/>
      <c r="F9130" s="5" t="s">
        <v>9</v>
      </c>
      <c r="G9130" s="15" t="s">
        <v>26</v>
      </c>
      <c r="H9130" s="24">
        <f t="shared" si="1412"/>
        <v>0</v>
      </c>
      <c r="I9130" s="24" cm="1">
        <f t="array" ref="I9130">IFERROR(IF($B9130=I$1, ($A9130+$C9130) - MAX(IF($B$2:$B9129=$B9130, $A$2:$A9129+$C$2:$C9129)), "")*24*60, "")</f>
        <v>0</v>
      </c>
      <c r="J9130" s="24" t="str" cm="1">
        <f t="array" ref="J9130">IFERROR(IF($B9130=J$1, ($A9130+$C9130) - MAX(IF($B$2:$B9129=$B9130, $A$2:$A9129+$C$2:$C9129)), "")*24*60, "")</f>
        <v/>
      </c>
      <c r="K9130" s="24" t="str" cm="1">
        <f t="array" ref="K9130">IFERROR(IF($B9130=K$1, ($A9130+$C9130) - MAX(IF($B$2:$B9129=$B9130, $A$2:$A9129+$C$2:$C9129)), "")*24*60, "")</f>
        <v/>
      </c>
      <c r="L9130" s="24" t="str" cm="1">
        <f t="array" ref="L9130">IFERROR(IF($B9130=L$1, ($A9130+$C9130) - MAX(IF($B$2:$B9129=$B9130, $A$2:$A9129+$C$2:$C9129)), "")*24*60, "")</f>
        <v/>
      </c>
      <c r="M9130" s="24" t="str" cm="1">
        <f t="array" ref="M9130">IFERROR(IF($B9130=M$1, ($A9130+$C9130) - MAX(IF($B$2:$B9129=$B9130, $A$2:$A9129+$C$2:$C9129)), "")*24*60, "")</f>
        <v/>
      </c>
      <c r="N9130" s="24" t="str" cm="1">
        <f t="array" ref="N9130">IFERROR(IF($B9130=N$1, ($A9130+$C9130) - MAX(IF($B$2:$B9129=$B9130, $A$2:$A9129+$C$2:$C9129)), "")*24*60, "")</f>
        <v/>
      </c>
      <c r="O9130" s="24" t="str" cm="1">
        <f t="array" ref="O9130">IFERROR(IF($B9130=O$1, ($A9130+$C9130) - MAX(IF($B$2:$B9129=$B9130, $A$2:$A9129+$C$2:$C9129)), "")*24*60, "")</f>
        <v/>
      </c>
      <c r="P9130" s="24" t="str" cm="1">
        <f t="array" ref="P9130">IFERROR(IF($B9130=P$1, ($A9130+$C9130) - MAX(IF($B$2:$B9129=$B9130, $A$2:$A9129+$C$2:$C9129)), "")*24*60, "")</f>
        <v/>
      </c>
      <c r="Q9130" s="24" t="str" cm="1">
        <f t="array" ref="Q9130">IFERROR(IF($B9130=Q$1, ($A9130+$C9130) - MAX(IF($B$2:$B9129=$B9130, $A$2:$A9129+$C$2:$C9129)), "")*24*60, "")</f>
        <v/>
      </c>
      <c r="R9130" s="24" t="str" cm="1">
        <f t="array" ref="R9130">IFERROR(IF($B9130=R$1, ($A9130+$C9130) - MAX(IF($B$2:$B9129=$B9130, $A$2:$A9129+$C$2:$C9129)), "")*24*60, "")</f>
        <v/>
      </c>
      <c r="S9130" s="24" t="str" cm="1">
        <f t="array" ref="S9130">IFERROR(IF($B9130=S$1, ($A9130+$C9130) - MAX(IF($B$2:$B9129=$B9130, $A$2:$A9129+$C$2:$C9129)), "")*24*60, "")</f>
        <v/>
      </c>
    </row>
    <row r="9131" spans="1:19" x14ac:dyDescent="0.2">
      <c r="A9131" s="12">
        <f t="shared" ref="A9131:C9131" si="1563">A9130</f>
        <v>46042</v>
      </c>
      <c r="B9131" s="5" t="str">
        <f t="shared" si="1563"/>
        <v>Northern Cardinal</v>
      </c>
      <c r="C9131" s="6">
        <f t="shared" si="1563"/>
        <v>0.29166666666666669</v>
      </c>
      <c r="D9131" s="5"/>
      <c r="E9131" s="5"/>
      <c r="F9131" s="5" t="s">
        <v>9</v>
      </c>
      <c r="G9131" s="15" t="s">
        <v>26</v>
      </c>
      <c r="H9131" s="24">
        <f t="shared" si="1412"/>
        <v>0</v>
      </c>
      <c r="I9131" s="24" cm="1">
        <f t="array" ref="I9131">IFERROR(IF($B9131=I$1, ($A9131+$C9131) - MAX(IF($B$2:$B9130=$B9131, $A$2:$A9130+$C$2:$C9130)), "")*24*60, "")</f>
        <v>0</v>
      </c>
      <c r="J9131" s="24" t="str" cm="1">
        <f t="array" ref="J9131">IFERROR(IF($B9131=J$1, ($A9131+$C9131) - MAX(IF($B$2:$B9130=$B9131, $A$2:$A9130+$C$2:$C9130)), "")*24*60, "")</f>
        <v/>
      </c>
      <c r="K9131" s="24" t="str" cm="1">
        <f t="array" ref="K9131">IFERROR(IF($B9131=K$1, ($A9131+$C9131) - MAX(IF($B$2:$B9130=$B9131, $A$2:$A9130+$C$2:$C9130)), "")*24*60, "")</f>
        <v/>
      </c>
      <c r="L9131" s="24" t="str" cm="1">
        <f t="array" ref="L9131">IFERROR(IF($B9131=L$1, ($A9131+$C9131) - MAX(IF($B$2:$B9130=$B9131, $A$2:$A9130+$C$2:$C9130)), "")*24*60, "")</f>
        <v/>
      </c>
      <c r="M9131" s="24" t="str" cm="1">
        <f t="array" ref="M9131">IFERROR(IF($B9131=M$1, ($A9131+$C9131) - MAX(IF($B$2:$B9130=$B9131, $A$2:$A9130+$C$2:$C9130)), "")*24*60, "")</f>
        <v/>
      </c>
      <c r="N9131" s="24" t="str" cm="1">
        <f t="array" ref="N9131">IFERROR(IF($B9131=N$1, ($A9131+$C9131) - MAX(IF($B$2:$B9130=$B9131, $A$2:$A9130+$C$2:$C9130)), "")*24*60, "")</f>
        <v/>
      </c>
      <c r="O9131" s="24" t="str" cm="1">
        <f t="array" ref="O9131">IFERROR(IF($B9131=O$1, ($A9131+$C9131) - MAX(IF($B$2:$B9130=$B9131, $A$2:$A9130+$C$2:$C9130)), "")*24*60, "")</f>
        <v/>
      </c>
      <c r="P9131" s="24" t="str" cm="1">
        <f t="array" ref="P9131">IFERROR(IF($B9131=P$1, ($A9131+$C9131) - MAX(IF($B$2:$B9130=$B9131, $A$2:$A9130+$C$2:$C9130)), "")*24*60, "")</f>
        <v/>
      </c>
      <c r="Q9131" s="24" t="str" cm="1">
        <f t="array" ref="Q9131">IFERROR(IF($B9131=Q$1, ($A9131+$C9131) - MAX(IF($B$2:$B9130=$B9131, $A$2:$A9130+$C$2:$C9130)), "")*24*60, "")</f>
        <v/>
      </c>
      <c r="R9131" s="24" t="str" cm="1">
        <f t="array" ref="R9131">IFERROR(IF($B9131=R$1, ($A9131+$C9131) - MAX(IF($B$2:$B9130=$B9131, $A$2:$A9130+$C$2:$C9130)), "")*24*60, "")</f>
        <v/>
      </c>
      <c r="S9131" s="24" t="str" cm="1">
        <f t="array" ref="S9131">IFERROR(IF($B9131=S$1, ($A9131+$C9131) - MAX(IF($B$2:$B9130=$B9131, $A$2:$A9130+$C$2:$C9130)), "")*24*60, "")</f>
        <v/>
      </c>
    </row>
    <row r="9132" spans="1:19" x14ac:dyDescent="0.2">
      <c r="A9132" s="12">
        <f t="shared" ref="A9132:C9132" si="1564">A9131</f>
        <v>46042</v>
      </c>
      <c r="B9132" s="5" t="str">
        <f t="shared" si="1564"/>
        <v>Northern Cardinal</v>
      </c>
      <c r="C9132" s="6">
        <f t="shared" si="1564"/>
        <v>0.29166666666666669</v>
      </c>
      <c r="D9132" s="5"/>
      <c r="E9132" s="5"/>
      <c r="F9132" s="5" t="s">
        <v>9</v>
      </c>
      <c r="G9132" s="15" t="s">
        <v>26</v>
      </c>
      <c r="H9132" s="24">
        <f t="shared" si="1412"/>
        <v>0</v>
      </c>
      <c r="I9132" s="24" cm="1">
        <f t="array" ref="I9132">IFERROR(IF($B9132=I$1, ($A9132+$C9132) - MAX(IF($B$2:$B9131=$B9132, $A$2:$A9131+$C$2:$C9131)), "")*24*60, "")</f>
        <v>0</v>
      </c>
      <c r="J9132" s="24" t="str" cm="1">
        <f t="array" ref="J9132">IFERROR(IF($B9132=J$1, ($A9132+$C9132) - MAX(IF($B$2:$B9131=$B9132, $A$2:$A9131+$C$2:$C9131)), "")*24*60, "")</f>
        <v/>
      </c>
      <c r="K9132" s="24" t="str" cm="1">
        <f t="array" ref="K9132">IFERROR(IF($B9132=K$1, ($A9132+$C9132) - MAX(IF($B$2:$B9131=$B9132, $A$2:$A9131+$C$2:$C9131)), "")*24*60, "")</f>
        <v/>
      </c>
      <c r="L9132" s="24" t="str" cm="1">
        <f t="array" ref="L9132">IFERROR(IF($B9132=L$1, ($A9132+$C9132) - MAX(IF($B$2:$B9131=$B9132, $A$2:$A9131+$C$2:$C9131)), "")*24*60, "")</f>
        <v/>
      </c>
      <c r="M9132" s="24" t="str" cm="1">
        <f t="array" ref="M9132">IFERROR(IF($B9132=M$1, ($A9132+$C9132) - MAX(IF($B$2:$B9131=$B9132, $A$2:$A9131+$C$2:$C9131)), "")*24*60, "")</f>
        <v/>
      </c>
      <c r="N9132" s="24" t="str" cm="1">
        <f t="array" ref="N9132">IFERROR(IF($B9132=N$1, ($A9132+$C9132) - MAX(IF($B$2:$B9131=$B9132, $A$2:$A9131+$C$2:$C9131)), "")*24*60, "")</f>
        <v/>
      </c>
      <c r="O9132" s="24" t="str" cm="1">
        <f t="array" ref="O9132">IFERROR(IF($B9132=O$1, ($A9132+$C9132) - MAX(IF($B$2:$B9131=$B9132, $A$2:$A9131+$C$2:$C9131)), "")*24*60, "")</f>
        <v/>
      </c>
      <c r="P9132" s="24" t="str" cm="1">
        <f t="array" ref="P9132">IFERROR(IF($B9132=P$1, ($A9132+$C9132) - MAX(IF($B$2:$B9131=$B9132, $A$2:$A9131+$C$2:$C9131)), "")*24*60, "")</f>
        <v/>
      </c>
      <c r="Q9132" s="24" t="str" cm="1">
        <f t="array" ref="Q9132">IFERROR(IF($B9132=Q$1, ($A9132+$C9132) - MAX(IF($B$2:$B9131=$B9132, $A$2:$A9131+$C$2:$C9131)), "")*24*60, "")</f>
        <v/>
      </c>
      <c r="R9132" s="24" t="str" cm="1">
        <f t="array" ref="R9132">IFERROR(IF($B9132=R$1, ($A9132+$C9132) - MAX(IF($B$2:$B9131=$B9132, $A$2:$A9131+$C$2:$C9131)), "")*24*60, "")</f>
        <v/>
      </c>
      <c r="S9132" s="24" t="str" cm="1">
        <f t="array" ref="S9132">IFERROR(IF($B9132=S$1, ($A9132+$C9132) - MAX(IF($B$2:$B9131=$B9132, $A$2:$A9131+$C$2:$C9131)), "")*24*60, "")</f>
        <v/>
      </c>
    </row>
    <row r="9133" spans="1:19" x14ac:dyDescent="0.2">
      <c r="A9133" s="12">
        <f t="shared" ref="A9133:C9133" si="1565">A9132</f>
        <v>46042</v>
      </c>
      <c r="B9133" s="5" t="str">
        <f t="shared" si="1565"/>
        <v>Northern Cardinal</v>
      </c>
      <c r="C9133" s="6">
        <f t="shared" si="1565"/>
        <v>0.29166666666666669</v>
      </c>
      <c r="D9133" s="5"/>
      <c r="E9133" s="5"/>
      <c r="F9133" s="5" t="s">
        <v>9</v>
      </c>
      <c r="G9133" s="15" t="s">
        <v>26</v>
      </c>
      <c r="H9133" s="24">
        <f t="shared" si="1412"/>
        <v>0</v>
      </c>
      <c r="I9133" s="24" cm="1">
        <f t="array" ref="I9133">IFERROR(IF($B9133=I$1, ($A9133+$C9133) - MAX(IF($B$2:$B9132=$B9133, $A$2:$A9132+$C$2:$C9132)), "")*24*60, "")</f>
        <v>0</v>
      </c>
      <c r="J9133" s="24" t="str" cm="1">
        <f t="array" ref="J9133">IFERROR(IF($B9133=J$1, ($A9133+$C9133) - MAX(IF($B$2:$B9132=$B9133, $A$2:$A9132+$C$2:$C9132)), "")*24*60, "")</f>
        <v/>
      </c>
      <c r="K9133" s="24" t="str" cm="1">
        <f t="array" ref="K9133">IFERROR(IF($B9133=K$1, ($A9133+$C9133) - MAX(IF($B$2:$B9132=$B9133, $A$2:$A9132+$C$2:$C9132)), "")*24*60, "")</f>
        <v/>
      </c>
      <c r="L9133" s="24" t="str" cm="1">
        <f t="array" ref="L9133">IFERROR(IF($B9133=L$1, ($A9133+$C9133) - MAX(IF($B$2:$B9132=$B9133, $A$2:$A9132+$C$2:$C9132)), "")*24*60, "")</f>
        <v/>
      </c>
      <c r="M9133" s="24" t="str" cm="1">
        <f t="array" ref="M9133">IFERROR(IF($B9133=M$1, ($A9133+$C9133) - MAX(IF($B$2:$B9132=$B9133, $A$2:$A9132+$C$2:$C9132)), "")*24*60, "")</f>
        <v/>
      </c>
      <c r="N9133" s="24" t="str" cm="1">
        <f t="array" ref="N9133">IFERROR(IF($B9133=N$1, ($A9133+$C9133) - MAX(IF($B$2:$B9132=$B9133, $A$2:$A9132+$C$2:$C9132)), "")*24*60, "")</f>
        <v/>
      </c>
      <c r="O9133" s="24" t="str" cm="1">
        <f t="array" ref="O9133">IFERROR(IF($B9133=O$1, ($A9133+$C9133) - MAX(IF($B$2:$B9132=$B9133, $A$2:$A9132+$C$2:$C9132)), "")*24*60, "")</f>
        <v/>
      </c>
      <c r="P9133" s="24" t="str" cm="1">
        <f t="array" ref="P9133">IFERROR(IF($B9133=P$1, ($A9133+$C9133) - MAX(IF($B$2:$B9132=$B9133, $A$2:$A9132+$C$2:$C9132)), "")*24*60, "")</f>
        <v/>
      </c>
      <c r="Q9133" s="24" t="str" cm="1">
        <f t="array" ref="Q9133">IFERROR(IF($B9133=Q$1, ($A9133+$C9133) - MAX(IF($B$2:$B9132=$B9133, $A$2:$A9132+$C$2:$C9132)), "")*24*60, "")</f>
        <v/>
      </c>
      <c r="R9133" s="24" t="str" cm="1">
        <f t="array" ref="R9133">IFERROR(IF($B9133=R$1, ($A9133+$C9133) - MAX(IF($B$2:$B9132=$B9133, $A$2:$A9132+$C$2:$C9132)), "")*24*60, "")</f>
        <v/>
      </c>
      <c r="S9133" s="24" t="str" cm="1">
        <f t="array" ref="S9133">IFERROR(IF($B9133=S$1, ($A9133+$C9133) - MAX(IF($B$2:$B9132=$B9133, $A$2:$A9132+$C$2:$C9132)), "")*24*60, "")</f>
        <v/>
      </c>
    </row>
    <row r="9134" spans="1:19" x14ac:dyDescent="0.2">
      <c r="A9134" s="12">
        <f t="shared" ref="A9134:C9134" si="1566">A9133</f>
        <v>46042</v>
      </c>
      <c r="B9134" s="5" t="str">
        <f t="shared" si="1566"/>
        <v>Northern Cardinal</v>
      </c>
      <c r="C9134" s="6">
        <f t="shared" si="1566"/>
        <v>0.29166666666666669</v>
      </c>
      <c r="D9134" s="5"/>
      <c r="E9134" s="5"/>
      <c r="F9134" s="5" t="s">
        <v>9</v>
      </c>
      <c r="G9134" s="15" t="s">
        <v>26</v>
      </c>
      <c r="H9134" s="24">
        <f t="shared" si="1412"/>
        <v>0</v>
      </c>
      <c r="I9134" s="24" cm="1">
        <f t="array" ref="I9134">IFERROR(IF($B9134=I$1, ($A9134+$C9134) - MAX(IF($B$2:$B9133=$B9134, $A$2:$A9133+$C$2:$C9133)), "")*24*60, "")</f>
        <v>0</v>
      </c>
      <c r="J9134" s="24" t="str" cm="1">
        <f t="array" ref="J9134">IFERROR(IF($B9134=J$1, ($A9134+$C9134) - MAX(IF($B$2:$B9133=$B9134, $A$2:$A9133+$C$2:$C9133)), "")*24*60, "")</f>
        <v/>
      </c>
      <c r="K9134" s="24" t="str" cm="1">
        <f t="array" ref="K9134">IFERROR(IF($B9134=K$1, ($A9134+$C9134) - MAX(IF($B$2:$B9133=$B9134, $A$2:$A9133+$C$2:$C9133)), "")*24*60, "")</f>
        <v/>
      </c>
      <c r="L9134" s="24" t="str" cm="1">
        <f t="array" ref="L9134">IFERROR(IF($B9134=L$1, ($A9134+$C9134) - MAX(IF($B$2:$B9133=$B9134, $A$2:$A9133+$C$2:$C9133)), "")*24*60, "")</f>
        <v/>
      </c>
      <c r="M9134" s="24" t="str" cm="1">
        <f t="array" ref="M9134">IFERROR(IF($B9134=M$1, ($A9134+$C9134) - MAX(IF($B$2:$B9133=$B9134, $A$2:$A9133+$C$2:$C9133)), "")*24*60, "")</f>
        <v/>
      </c>
      <c r="N9134" s="24" t="str" cm="1">
        <f t="array" ref="N9134">IFERROR(IF($B9134=N$1, ($A9134+$C9134) - MAX(IF($B$2:$B9133=$B9134, $A$2:$A9133+$C$2:$C9133)), "")*24*60, "")</f>
        <v/>
      </c>
      <c r="O9134" s="24" t="str" cm="1">
        <f t="array" ref="O9134">IFERROR(IF($B9134=O$1, ($A9134+$C9134) - MAX(IF($B$2:$B9133=$B9134, $A$2:$A9133+$C$2:$C9133)), "")*24*60, "")</f>
        <v/>
      </c>
      <c r="P9134" s="24" t="str" cm="1">
        <f t="array" ref="P9134">IFERROR(IF($B9134=P$1, ($A9134+$C9134) - MAX(IF($B$2:$B9133=$B9134, $A$2:$A9133+$C$2:$C9133)), "")*24*60, "")</f>
        <v/>
      </c>
      <c r="Q9134" s="24" t="str" cm="1">
        <f t="array" ref="Q9134">IFERROR(IF($B9134=Q$1, ($A9134+$C9134) - MAX(IF($B$2:$B9133=$B9134, $A$2:$A9133+$C$2:$C9133)), "")*24*60, "")</f>
        <v/>
      </c>
      <c r="R9134" s="24" t="str" cm="1">
        <f t="array" ref="R9134">IFERROR(IF($B9134=R$1, ($A9134+$C9134) - MAX(IF($B$2:$B9133=$B9134, $A$2:$A9133+$C$2:$C9133)), "")*24*60, "")</f>
        <v/>
      </c>
      <c r="S9134" s="24" t="str" cm="1">
        <f t="array" ref="S9134">IFERROR(IF($B9134=S$1, ($A9134+$C9134) - MAX(IF($B$2:$B9133=$B9134, $A$2:$A9133+$C$2:$C9133)), "")*24*60, "")</f>
        <v/>
      </c>
    </row>
    <row r="9135" spans="1:19" x14ac:dyDescent="0.2">
      <c r="A9135" s="12">
        <f t="shared" ref="A9135:C9135" si="1567">A9134</f>
        <v>46042</v>
      </c>
      <c r="B9135" s="5" t="str">
        <f t="shared" si="1567"/>
        <v>Northern Cardinal</v>
      </c>
      <c r="C9135" s="6">
        <f t="shared" si="1567"/>
        <v>0.29166666666666669</v>
      </c>
      <c r="D9135" s="5"/>
      <c r="E9135" s="5"/>
      <c r="F9135" s="5" t="s">
        <v>9</v>
      </c>
      <c r="G9135" s="15" t="s">
        <v>26</v>
      </c>
      <c r="H9135" s="24">
        <f t="shared" si="1412"/>
        <v>0</v>
      </c>
      <c r="I9135" s="24" cm="1">
        <f t="array" ref="I9135">IFERROR(IF($B9135=I$1, ($A9135+$C9135) - MAX(IF($B$2:$B9134=$B9135, $A$2:$A9134+$C$2:$C9134)), "")*24*60, "")</f>
        <v>0</v>
      </c>
      <c r="J9135" s="24" t="str" cm="1">
        <f t="array" ref="J9135">IFERROR(IF($B9135=J$1, ($A9135+$C9135) - MAX(IF($B$2:$B9134=$B9135, $A$2:$A9134+$C$2:$C9134)), "")*24*60, "")</f>
        <v/>
      </c>
      <c r="K9135" s="24" t="str" cm="1">
        <f t="array" ref="K9135">IFERROR(IF($B9135=K$1, ($A9135+$C9135) - MAX(IF($B$2:$B9134=$B9135, $A$2:$A9134+$C$2:$C9134)), "")*24*60, "")</f>
        <v/>
      </c>
      <c r="L9135" s="24" t="str" cm="1">
        <f t="array" ref="L9135">IFERROR(IF($B9135=L$1, ($A9135+$C9135) - MAX(IF($B$2:$B9134=$B9135, $A$2:$A9134+$C$2:$C9134)), "")*24*60, "")</f>
        <v/>
      </c>
      <c r="M9135" s="24" t="str" cm="1">
        <f t="array" ref="M9135">IFERROR(IF($B9135=M$1, ($A9135+$C9135) - MAX(IF($B$2:$B9134=$B9135, $A$2:$A9134+$C$2:$C9134)), "")*24*60, "")</f>
        <v/>
      </c>
      <c r="N9135" s="24" t="str" cm="1">
        <f t="array" ref="N9135">IFERROR(IF($B9135=N$1, ($A9135+$C9135) - MAX(IF($B$2:$B9134=$B9135, $A$2:$A9134+$C$2:$C9134)), "")*24*60, "")</f>
        <v/>
      </c>
      <c r="O9135" s="24" t="str" cm="1">
        <f t="array" ref="O9135">IFERROR(IF($B9135=O$1, ($A9135+$C9135) - MAX(IF($B$2:$B9134=$B9135, $A$2:$A9134+$C$2:$C9134)), "")*24*60, "")</f>
        <v/>
      </c>
      <c r="P9135" s="24" t="str" cm="1">
        <f t="array" ref="P9135">IFERROR(IF($B9135=P$1, ($A9135+$C9135) - MAX(IF($B$2:$B9134=$B9135, $A$2:$A9134+$C$2:$C9134)), "")*24*60, "")</f>
        <v/>
      </c>
      <c r="Q9135" s="24" t="str" cm="1">
        <f t="array" ref="Q9135">IFERROR(IF($B9135=Q$1, ($A9135+$C9135) - MAX(IF($B$2:$B9134=$B9135, $A$2:$A9134+$C$2:$C9134)), "")*24*60, "")</f>
        <v/>
      </c>
      <c r="R9135" s="24" t="str" cm="1">
        <f t="array" ref="R9135">IFERROR(IF($B9135=R$1, ($A9135+$C9135) - MAX(IF($B$2:$B9134=$B9135, $A$2:$A9134+$C$2:$C9134)), "")*24*60, "")</f>
        <v/>
      </c>
      <c r="S9135" s="24" t="str" cm="1">
        <f t="array" ref="S9135">IFERROR(IF($B9135=S$1, ($A9135+$C9135) - MAX(IF($B$2:$B9134=$B9135, $A$2:$A9134+$C$2:$C9134)), "")*24*60, "")</f>
        <v/>
      </c>
    </row>
    <row r="9136" spans="1:19" x14ac:dyDescent="0.2">
      <c r="A9136" s="12">
        <f t="shared" ref="A9136:C9136" si="1568">A9135</f>
        <v>46042</v>
      </c>
      <c r="B9136" s="5" t="str">
        <f t="shared" si="1568"/>
        <v>Northern Cardinal</v>
      </c>
      <c r="C9136" s="6">
        <f t="shared" si="1568"/>
        <v>0.29166666666666669</v>
      </c>
      <c r="D9136" s="5"/>
      <c r="E9136" s="5"/>
      <c r="F9136" s="5" t="s">
        <v>9</v>
      </c>
      <c r="G9136" s="15" t="s">
        <v>26</v>
      </c>
      <c r="H9136" s="24">
        <f t="shared" si="1412"/>
        <v>0</v>
      </c>
      <c r="I9136" s="24" cm="1">
        <f t="array" ref="I9136">IFERROR(IF($B9136=I$1, ($A9136+$C9136) - MAX(IF($B$2:$B9135=$B9136, $A$2:$A9135+$C$2:$C9135)), "")*24*60, "")</f>
        <v>0</v>
      </c>
      <c r="J9136" s="24" t="str" cm="1">
        <f t="array" ref="J9136">IFERROR(IF($B9136=J$1, ($A9136+$C9136) - MAX(IF($B$2:$B9135=$B9136, $A$2:$A9135+$C$2:$C9135)), "")*24*60, "")</f>
        <v/>
      </c>
      <c r="K9136" s="24" t="str" cm="1">
        <f t="array" ref="K9136">IFERROR(IF($B9136=K$1, ($A9136+$C9136) - MAX(IF($B$2:$B9135=$B9136, $A$2:$A9135+$C$2:$C9135)), "")*24*60, "")</f>
        <v/>
      </c>
      <c r="L9136" s="24" t="str" cm="1">
        <f t="array" ref="L9136">IFERROR(IF($B9136=L$1, ($A9136+$C9136) - MAX(IF($B$2:$B9135=$B9136, $A$2:$A9135+$C$2:$C9135)), "")*24*60, "")</f>
        <v/>
      </c>
      <c r="M9136" s="24" t="str" cm="1">
        <f t="array" ref="M9136">IFERROR(IF($B9136=M$1, ($A9136+$C9136) - MAX(IF($B$2:$B9135=$B9136, $A$2:$A9135+$C$2:$C9135)), "")*24*60, "")</f>
        <v/>
      </c>
      <c r="N9136" s="24" t="str" cm="1">
        <f t="array" ref="N9136">IFERROR(IF($B9136=N$1, ($A9136+$C9136) - MAX(IF($B$2:$B9135=$B9136, $A$2:$A9135+$C$2:$C9135)), "")*24*60, "")</f>
        <v/>
      </c>
      <c r="O9136" s="24" t="str" cm="1">
        <f t="array" ref="O9136">IFERROR(IF($B9136=O$1, ($A9136+$C9136) - MAX(IF($B$2:$B9135=$B9136, $A$2:$A9135+$C$2:$C9135)), "")*24*60, "")</f>
        <v/>
      </c>
      <c r="P9136" s="24" t="str" cm="1">
        <f t="array" ref="P9136">IFERROR(IF($B9136=P$1, ($A9136+$C9136) - MAX(IF($B$2:$B9135=$B9136, $A$2:$A9135+$C$2:$C9135)), "")*24*60, "")</f>
        <v/>
      </c>
      <c r="Q9136" s="24" t="str" cm="1">
        <f t="array" ref="Q9136">IFERROR(IF($B9136=Q$1, ($A9136+$C9136) - MAX(IF($B$2:$B9135=$B9136, $A$2:$A9135+$C$2:$C9135)), "")*24*60, "")</f>
        <v/>
      </c>
      <c r="R9136" s="24" t="str" cm="1">
        <f t="array" ref="R9136">IFERROR(IF($B9136=R$1, ($A9136+$C9136) - MAX(IF($B$2:$B9135=$B9136, $A$2:$A9135+$C$2:$C9135)), "")*24*60, "")</f>
        <v/>
      </c>
      <c r="S9136" s="24" t="str" cm="1">
        <f t="array" ref="S9136">IFERROR(IF($B9136=S$1, ($A9136+$C9136) - MAX(IF($B$2:$B9135=$B9136, $A$2:$A9135+$C$2:$C9135)), "")*24*60, "")</f>
        <v/>
      </c>
    </row>
    <row r="9137" spans="1:19" x14ac:dyDescent="0.2">
      <c r="A9137" s="12">
        <f t="shared" ref="A9137:C9137" si="1569">A9136</f>
        <v>46042</v>
      </c>
      <c r="B9137" s="5" t="str">
        <f t="shared" si="1569"/>
        <v>Northern Cardinal</v>
      </c>
      <c r="C9137" s="6">
        <f t="shared" si="1569"/>
        <v>0.29166666666666669</v>
      </c>
      <c r="D9137" s="5"/>
      <c r="E9137" s="5"/>
      <c r="F9137" s="5" t="s">
        <v>9</v>
      </c>
      <c r="G9137" s="15" t="s">
        <v>26</v>
      </c>
      <c r="H9137" s="24">
        <f t="shared" si="1412"/>
        <v>0</v>
      </c>
      <c r="I9137" s="24" cm="1">
        <f t="array" ref="I9137">IFERROR(IF($B9137=I$1, ($A9137+$C9137) - MAX(IF($B$2:$B9136=$B9137, $A$2:$A9136+$C$2:$C9136)), "")*24*60, "")</f>
        <v>0</v>
      </c>
      <c r="J9137" s="24" t="str" cm="1">
        <f t="array" ref="J9137">IFERROR(IF($B9137=J$1, ($A9137+$C9137) - MAX(IF($B$2:$B9136=$B9137, $A$2:$A9136+$C$2:$C9136)), "")*24*60, "")</f>
        <v/>
      </c>
      <c r="K9137" s="24" t="str" cm="1">
        <f t="array" ref="K9137">IFERROR(IF($B9137=K$1, ($A9137+$C9137) - MAX(IF($B$2:$B9136=$B9137, $A$2:$A9136+$C$2:$C9136)), "")*24*60, "")</f>
        <v/>
      </c>
      <c r="L9137" s="24" t="str" cm="1">
        <f t="array" ref="L9137">IFERROR(IF($B9137=L$1, ($A9137+$C9137) - MAX(IF($B$2:$B9136=$B9137, $A$2:$A9136+$C$2:$C9136)), "")*24*60, "")</f>
        <v/>
      </c>
      <c r="M9137" s="24" t="str" cm="1">
        <f t="array" ref="M9137">IFERROR(IF($B9137=M$1, ($A9137+$C9137) - MAX(IF($B$2:$B9136=$B9137, $A$2:$A9136+$C$2:$C9136)), "")*24*60, "")</f>
        <v/>
      </c>
      <c r="N9137" s="24" t="str" cm="1">
        <f t="array" ref="N9137">IFERROR(IF($B9137=N$1, ($A9137+$C9137) - MAX(IF($B$2:$B9136=$B9137, $A$2:$A9136+$C$2:$C9136)), "")*24*60, "")</f>
        <v/>
      </c>
      <c r="O9137" s="24" t="str" cm="1">
        <f t="array" ref="O9137">IFERROR(IF($B9137=O$1, ($A9137+$C9137) - MAX(IF($B$2:$B9136=$B9137, $A$2:$A9136+$C$2:$C9136)), "")*24*60, "")</f>
        <v/>
      </c>
      <c r="P9137" s="24" t="str" cm="1">
        <f t="array" ref="P9137">IFERROR(IF($B9137=P$1, ($A9137+$C9137) - MAX(IF($B$2:$B9136=$B9137, $A$2:$A9136+$C$2:$C9136)), "")*24*60, "")</f>
        <v/>
      </c>
      <c r="Q9137" s="24" t="str" cm="1">
        <f t="array" ref="Q9137">IFERROR(IF($B9137=Q$1, ($A9137+$C9137) - MAX(IF($B$2:$B9136=$B9137, $A$2:$A9136+$C$2:$C9136)), "")*24*60, "")</f>
        <v/>
      </c>
      <c r="R9137" s="24" t="str" cm="1">
        <f t="array" ref="R9137">IFERROR(IF($B9137=R$1, ($A9137+$C9137) - MAX(IF($B$2:$B9136=$B9137, $A$2:$A9136+$C$2:$C9136)), "")*24*60, "")</f>
        <v/>
      </c>
      <c r="S9137" s="24" t="str" cm="1">
        <f t="array" ref="S9137">IFERROR(IF($B9137=S$1, ($A9137+$C9137) - MAX(IF($B$2:$B9136=$B9137, $A$2:$A9136+$C$2:$C9136)), "")*24*60, "")</f>
        <v/>
      </c>
    </row>
    <row r="9138" spans="1:19" x14ac:dyDescent="0.2">
      <c r="A9138" s="12">
        <f t="shared" ref="A9138:C9138" si="1570">A9137</f>
        <v>46042</v>
      </c>
      <c r="B9138" s="5" t="str">
        <f t="shared" si="1570"/>
        <v>Northern Cardinal</v>
      </c>
      <c r="C9138" s="6">
        <f t="shared" si="1570"/>
        <v>0.29166666666666669</v>
      </c>
      <c r="D9138" s="5"/>
      <c r="E9138" s="5"/>
      <c r="F9138" s="5" t="s">
        <v>9</v>
      </c>
      <c r="G9138" s="15" t="s">
        <v>26</v>
      </c>
      <c r="H9138" s="24">
        <f t="shared" si="1412"/>
        <v>0</v>
      </c>
      <c r="I9138" s="24" cm="1">
        <f t="array" ref="I9138">IFERROR(IF($B9138=I$1, ($A9138+$C9138) - MAX(IF($B$2:$B9137=$B9138, $A$2:$A9137+$C$2:$C9137)), "")*24*60, "")</f>
        <v>0</v>
      </c>
      <c r="J9138" s="24" t="str" cm="1">
        <f t="array" ref="J9138">IFERROR(IF($B9138=J$1, ($A9138+$C9138) - MAX(IF($B$2:$B9137=$B9138, $A$2:$A9137+$C$2:$C9137)), "")*24*60, "")</f>
        <v/>
      </c>
      <c r="K9138" s="24" t="str" cm="1">
        <f t="array" ref="K9138">IFERROR(IF($B9138=K$1, ($A9138+$C9138) - MAX(IF($B$2:$B9137=$B9138, $A$2:$A9137+$C$2:$C9137)), "")*24*60, "")</f>
        <v/>
      </c>
      <c r="L9138" s="24" t="str" cm="1">
        <f t="array" ref="L9138">IFERROR(IF($B9138=L$1, ($A9138+$C9138) - MAX(IF($B$2:$B9137=$B9138, $A$2:$A9137+$C$2:$C9137)), "")*24*60, "")</f>
        <v/>
      </c>
      <c r="M9138" s="24" t="str" cm="1">
        <f t="array" ref="M9138">IFERROR(IF($B9138=M$1, ($A9138+$C9138) - MAX(IF($B$2:$B9137=$B9138, $A$2:$A9137+$C$2:$C9137)), "")*24*60, "")</f>
        <v/>
      </c>
      <c r="N9138" s="24" t="str" cm="1">
        <f t="array" ref="N9138">IFERROR(IF($B9138=N$1, ($A9138+$C9138) - MAX(IF($B$2:$B9137=$B9138, $A$2:$A9137+$C$2:$C9137)), "")*24*60, "")</f>
        <v/>
      </c>
      <c r="O9138" s="24" t="str" cm="1">
        <f t="array" ref="O9138">IFERROR(IF($B9138=O$1, ($A9138+$C9138) - MAX(IF($B$2:$B9137=$B9138, $A$2:$A9137+$C$2:$C9137)), "")*24*60, "")</f>
        <v/>
      </c>
      <c r="P9138" s="24" t="str" cm="1">
        <f t="array" ref="P9138">IFERROR(IF($B9138=P$1, ($A9138+$C9138) - MAX(IF($B$2:$B9137=$B9138, $A$2:$A9137+$C$2:$C9137)), "")*24*60, "")</f>
        <v/>
      </c>
      <c r="Q9138" s="24" t="str" cm="1">
        <f t="array" ref="Q9138">IFERROR(IF($B9138=Q$1, ($A9138+$C9138) - MAX(IF($B$2:$B9137=$B9138, $A$2:$A9137+$C$2:$C9137)), "")*24*60, "")</f>
        <v/>
      </c>
      <c r="R9138" s="24" t="str" cm="1">
        <f t="array" ref="R9138">IFERROR(IF($B9138=R$1, ($A9138+$C9138) - MAX(IF($B$2:$B9137=$B9138, $A$2:$A9137+$C$2:$C9137)), "")*24*60, "")</f>
        <v/>
      </c>
      <c r="S9138" s="24" t="str" cm="1">
        <f t="array" ref="S9138">IFERROR(IF($B9138=S$1, ($A9138+$C9138) - MAX(IF($B$2:$B9137=$B9138, $A$2:$A9137+$C$2:$C9137)), "")*24*60, "")</f>
        <v/>
      </c>
    </row>
    <row r="9139" spans="1:19" x14ac:dyDescent="0.2">
      <c r="A9139" s="12">
        <f t="shared" ref="A9139:C9139" si="1571">A9138</f>
        <v>46042</v>
      </c>
      <c r="B9139" s="5" t="str">
        <f t="shared" si="1571"/>
        <v>Northern Cardinal</v>
      </c>
      <c r="C9139" s="6">
        <f t="shared" si="1571"/>
        <v>0.29166666666666669</v>
      </c>
      <c r="D9139" s="5"/>
      <c r="E9139" s="5"/>
      <c r="F9139" s="5" t="s">
        <v>9</v>
      </c>
      <c r="G9139" s="15" t="s">
        <v>26</v>
      </c>
      <c r="H9139" s="24">
        <f t="shared" si="1412"/>
        <v>0</v>
      </c>
      <c r="I9139" s="24" cm="1">
        <f t="array" ref="I9139">IFERROR(IF($B9139=I$1, ($A9139+$C9139) - MAX(IF($B$2:$B9138=$B9139, $A$2:$A9138+$C$2:$C9138)), "")*24*60, "")</f>
        <v>0</v>
      </c>
      <c r="J9139" s="24" t="str" cm="1">
        <f t="array" ref="J9139">IFERROR(IF($B9139=J$1, ($A9139+$C9139) - MAX(IF($B$2:$B9138=$B9139, $A$2:$A9138+$C$2:$C9138)), "")*24*60, "")</f>
        <v/>
      </c>
      <c r="K9139" s="24" t="str" cm="1">
        <f t="array" ref="K9139">IFERROR(IF($B9139=K$1, ($A9139+$C9139) - MAX(IF($B$2:$B9138=$B9139, $A$2:$A9138+$C$2:$C9138)), "")*24*60, "")</f>
        <v/>
      </c>
      <c r="L9139" s="24" t="str" cm="1">
        <f t="array" ref="L9139">IFERROR(IF($B9139=L$1, ($A9139+$C9139) - MAX(IF($B$2:$B9138=$B9139, $A$2:$A9138+$C$2:$C9138)), "")*24*60, "")</f>
        <v/>
      </c>
      <c r="M9139" s="24" t="str" cm="1">
        <f t="array" ref="M9139">IFERROR(IF($B9139=M$1, ($A9139+$C9139) - MAX(IF($B$2:$B9138=$B9139, $A$2:$A9138+$C$2:$C9138)), "")*24*60, "")</f>
        <v/>
      </c>
      <c r="N9139" s="24" t="str" cm="1">
        <f t="array" ref="N9139">IFERROR(IF($B9139=N$1, ($A9139+$C9139) - MAX(IF($B$2:$B9138=$B9139, $A$2:$A9138+$C$2:$C9138)), "")*24*60, "")</f>
        <v/>
      </c>
      <c r="O9139" s="24" t="str" cm="1">
        <f t="array" ref="O9139">IFERROR(IF($B9139=O$1, ($A9139+$C9139) - MAX(IF($B$2:$B9138=$B9139, $A$2:$A9138+$C$2:$C9138)), "")*24*60, "")</f>
        <v/>
      </c>
      <c r="P9139" s="24" t="str" cm="1">
        <f t="array" ref="P9139">IFERROR(IF($B9139=P$1, ($A9139+$C9139) - MAX(IF($B$2:$B9138=$B9139, $A$2:$A9138+$C$2:$C9138)), "")*24*60, "")</f>
        <v/>
      </c>
      <c r="Q9139" s="24" t="str" cm="1">
        <f t="array" ref="Q9139">IFERROR(IF($B9139=Q$1, ($A9139+$C9139) - MAX(IF($B$2:$B9138=$B9139, $A$2:$A9138+$C$2:$C9138)), "")*24*60, "")</f>
        <v/>
      </c>
      <c r="R9139" s="24" t="str" cm="1">
        <f t="array" ref="R9139">IFERROR(IF($B9139=R$1, ($A9139+$C9139) - MAX(IF($B$2:$B9138=$B9139, $A$2:$A9138+$C$2:$C9138)), "")*24*60, "")</f>
        <v/>
      </c>
      <c r="S9139" s="24" t="str" cm="1">
        <f t="array" ref="S9139">IFERROR(IF($B9139=S$1, ($A9139+$C9139) - MAX(IF($B$2:$B9138=$B9139, $A$2:$A9138+$C$2:$C9138)), "")*24*60, "")</f>
        <v/>
      </c>
    </row>
    <row r="9140" spans="1:19" x14ac:dyDescent="0.2">
      <c r="A9140" s="12">
        <f t="shared" ref="A9140:C9140" si="1572">A9139</f>
        <v>46042</v>
      </c>
      <c r="B9140" s="5" t="str">
        <f t="shared" si="1572"/>
        <v>Northern Cardinal</v>
      </c>
      <c r="C9140" s="6">
        <f t="shared" si="1572"/>
        <v>0.29166666666666669</v>
      </c>
      <c r="D9140" s="5"/>
      <c r="E9140" s="5"/>
      <c r="F9140" s="5" t="s">
        <v>9</v>
      </c>
      <c r="G9140" s="15" t="s">
        <v>26</v>
      </c>
      <c r="H9140" s="24">
        <f t="shared" si="1412"/>
        <v>0</v>
      </c>
      <c r="I9140" s="24" cm="1">
        <f t="array" ref="I9140">IFERROR(IF($B9140=I$1, ($A9140+$C9140) - MAX(IF($B$2:$B9139=$B9140, $A$2:$A9139+$C$2:$C9139)), "")*24*60, "")</f>
        <v>0</v>
      </c>
      <c r="J9140" s="24" t="str" cm="1">
        <f t="array" ref="J9140">IFERROR(IF($B9140=J$1, ($A9140+$C9140) - MAX(IF($B$2:$B9139=$B9140, $A$2:$A9139+$C$2:$C9139)), "")*24*60, "")</f>
        <v/>
      </c>
      <c r="K9140" s="24" t="str" cm="1">
        <f t="array" ref="K9140">IFERROR(IF($B9140=K$1, ($A9140+$C9140) - MAX(IF($B$2:$B9139=$B9140, $A$2:$A9139+$C$2:$C9139)), "")*24*60, "")</f>
        <v/>
      </c>
      <c r="L9140" s="24" t="str" cm="1">
        <f t="array" ref="L9140">IFERROR(IF($B9140=L$1, ($A9140+$C9140) - MAX(IF($B$2:$B9139=$B9140, $A$2:$A9139+$C$2:$C9139)), "")*24*60, "")</f>
        <v/>
      </c>
      <c r="M9140" s="24" t="str" cm="1">
        <f t="array" ref="M9140">IFERROR(IF($B9140=M$1, ($A9140+$C9140) - MAX(IF($B$2:$B9139=$B9140, $A$2:$A9139+$C$2:$C9139)), "")*24*60, "")</f>
        <v/>
      </c>
      <c r="N9140" s="24" t="str" cm="1">
        <f t="array" ref="N9140">IFERROR(IF($B9140=N$1, ($A9140+$C9140) - MAX(IF($B$2:$B9139=$B9140, $A$2:$A9139+$C$2:$C9139)), "")*24*60, "")</f>
        <v/>
      </c>
      <c r="O9140" s="24" t="str" cm="1">
        <f t="array" ref="O9140">IFERROR(IF($B9140=O$1, ($A9140+$C9140) - MAX(IF($B$2:$B9139=$B9140, $A$2:$A9139+$C$2:$C9139)), "")*24*60, "")</f>
        <v/>
      </c>
      <c r="P9140" s="24" t="str" cm="1">
        <f t="array" ref="P9140">IFERROR(IF($B9140=P$1, ($A9140+$C9140) - MAX(IF($B$2:$B9139=$B9140, $A$2:$A9139+$C$2:$C9139)), "")*24*60, "")</f>
        <v/>
      </c>
      <c r="Q9140" s="24" t="str" cm="1">
        <f t="array" ref="Q9140">IFERROR(IF($B9140=Q$1, ($A9140+$C9140) - MAX(IF($B$2:$B9139=$B9140, $A$2:$A9139+$C$2:$C9139)), "")*24*60, "")</f>
        <v/>
      </c>
      <c r="R9140" s="24" t="str" cm="1">
        <f t="array" ref="R9140">IFERROR(IF($B9140=R$1, ($A9140+$C9140) - MAX(IF($B$2:$B9139=$B9140, $A$2:$A9139+$C$2:$C9139)), "")*24*60, "")</f>
        <v/>
      </c>
      <c r="S9140" s="24" t="str" cm="1">
        <f t="array" ref="S9140">IFERROR(IF($B9140=S$1, ($A9140+$C9140) - MAX(IF($B$2:$B9139=$B9140, $A$2:$A9139+$C$2:$C9139)), "")*24*60, "")</f>
        <v/>
      </c>
    </row>
    <row r="9141" spans="1:19" x14ac:dyDescent="0.2">
      <c r="A9141" s="12">
        <f t="shared" ref="A9141:C9141" si="1573">A9140</f>
        <v>46042</v>
      </c>
      <c r="B9141" s="5" t="str">
        <f t="shared" si="1573"/>
        <v>Northern Cardinal</v>
      </c>
      <c r="C9141" s="6">
        <f t="shared" si="1573"/>
        <v>0.29166666666666669</v>
      </c>
      <c r="D9141" s="5"/>
      <c r="E9141" s="5"/>
      <c r="F9141" s="5" t="s">
        <v>9</v>
      </c>
      <c r="G9141" s="15" t="s">
        <v>26</v>
      </c>
      <c r="H9141" s="24">
        <f t="shared" si="1412"/>
        <v>0</v>
      </c>
      <c r="I9141" s="24" cm="1">
        <f t="array" ref="I9141">IFERROR(IF($B9141=I$1, ($A9141+$C9141) - MAX(IF($B$2:$B9140=$B9141, $A$2:$A9140+$C$2:$C9140)), "")*24*60, "")</f>
        <v>0</v>
      </c>
      <c r="J9141" s="24" t="str" cm="1">
        <f t="array" ref="J9141">IFERROR(IF($B9141=J$1, ($A9141+$C9141) - MAX(IF($B$2:$B9140=$B9141, $A$2:$A9140+$C$2:$C9140)), "")*24*60, "")</f>
        <v/>
      </c>
      <c r="K9141" s="24" t="str" cm="1">
        <f t="array" ref="K9141">IFERROR(IF($B9141=K$1, ($A9141+$C9141) - MAX(IF($B$2:$B9140=$B9141, $A$2:$A9140+$C$2:$C9140)), "")*24*60, "")</f>
        <v/>
      </c>
      <c r="L9141" s="24" t="str" cm="1">
        <f t="array" ref="L9141">IFERROR(IF($B9141=L$1, ($A9141+$C9141) - MAX(IF($B$2:$B9140=$B9141, $A$2:$A9140+$C$2:$C9140)), "")*24*60, "")</f>
        <v/>
      </c>
      <c r="M9141" s="24" t="str" cm="1">
        <f t="array" ref="M9141">IFERROR(IF($B9141=M$1, ($A9141+$C9141) - MAX(IF($B$2:$B9140=$B9141, $A$2:$A9140+$C$2:$C9140)), "")*24*60, "")</f>
        <v/>
      </c>
      <c r="N9141" s="24" t="str" cm="1">
        <f t="array" ref="N9141">IFERROR(IF($B9141=N$1, ($A9141+$C9141) - MAX(IF($B$2:$B9140=$B9141, $A$2:$A9140+$C$2:$C9140)), "")*24*60, "")</f>
        <v/>
      </c>
      <c r="O9141" s="24" t="str" cm="1">
        <f t="array" ref="O9141">IFERROR(IF($B9141=O$1, ($A9141+$C9141) - MAX(IF($B$2:$B9140=$B9141, $A$2:$A9140+$C$2:$C9140)), "")*24*60, "")</f>
        <v/>
      </c>
      <c r="P9141" s="24" t="str" cm="1">
        <f t="array" ref="P9141">IFERROR(IF($B9141=P$1, ($A9141+$C9141) - MAX(IF($B$2:$B9140=$B9141, $A$2:$A9140+$C$2:$C9140)), "")*24*60, "")</f>
        <v/>
      </c>
      <c r="Q9141" s="24" t="str" cm="1">
        <f t="array" ref="Q9141">IFERROR(IF($B9141=Q$1, ($A9141+$C9141) - MAX(IF($B$2:$B9140=$B9141, $A$2:$A9140+$C$2:$C9140)), "")*24*60, "")</f>
        <v/>
      </c>
      <c r="R9141" s="24" t="str" cm="1">
        <f t="array" ref="R9141">IFERROR(IF($B9141=R$1, ($A9141+$C9141) - MAX(IF($B$2:$B9140=$B9141, $A$2:$A9140+$C$2:$C9140)), "")*24*60, "")</f>
        <v/>
      </c>
      <c r="S9141" s="24" t="str" cm="1">
        <f t="array" ref="S9141">IFERROR(IF($B9141=S$1, ($A9141+$C9141) - MAX(IF($B$2:$B9140=$B9141, $A$2:$A9140+$C$2:$C9140)), "")*24*60, "")</f>
        <v/>
      </c>
    </row>
    <row r="9142" spans="1:19" x14ac:dyDescent="0.2">
      <c r="A9142" s="12">
        <f t="shared" ref="A9142:C9142" si="1574">A9141</f>
        <v>46042</v>
      </c>
      <c r="B9142" s="5" t="str">
        <f t="shared" si="1574"/>
        <v>Northern Cardinal</v>
      </c>
      <c r="C9142" s="6">
        <f t="shared" si="1574"/>
        <v>0.29166666666666669</v>
      </c>
      <c r="D9142" s="5"/>
      <c r="E9142" s="5"/>
      <c r="F9142" s="5" t="s">
        <v>9</v>
      </c>
      <c r="G9142" s="15" t="s">
        <v>26</v>
      </c>
      <c r="H9142" s="24">
        <f t="shared" si="1412"/>
        <v>0</v>
      </c>
      <c r="I9142" s="24" cm="1">
        <f t="array" ref="I9142">IFERROR(IF($B9142=I$1, ($A9142+$C9142) - MAX(IF($B$2:$B9141=$B9142, $A$2:$A9141+$C$2:$C9141)), "")*24*60, "")</f>
        <v>0</v>
      </c>
      <c r="J9142" s="24" t="str" cm="1">
        <f t="array" ref="J9142">IFERROR(IF($B9142=J$1, ($A9142+$C9142) - MAX(IF($B$2:$B9141=$B9142, $A$2:$A9141+$C$2:$C9141)), "")*24*60, "")</f>
        <v/>
      </c>
      <c r="K9142" s="24" t="str" cm="1">
        <f t="array" ref="K9142">IFERROR(IF($B9142=K$1, ($A9142+$C9142) - MAX(IF($B$2:$B9141=$B9142, $A$2:$A9141+$C$2:$C9141)), "")*24*60, "")</f>
        <v/>
      </c>
      <c r="L9142" s="24" t="str" cm="1">
        <f t="array" ref="L9142">IFERROR(IF($B9142=L$1, ($A9142+$C9142) - MAX(IF($B$2:$B9141=$B9142, $A$2:$A9141+$C$2:$C9141)), "")*24*60, "")</f>
        <v/>
      </c>
      <c r="M9142" s="24" t="str" cm="1">
        <f t="array" ref="M9142">IFERROR(IF($B9142=M$1, ($A9142+$C9142) - MAX(IF($B$2:$B9141=$B9142, $A$2:$A9141+$C$2:$C9141)), "")*24*60, "")</f>
        <v/>
      </c>
      <c r="N9142" s="24" t="str" cm="1">
        <f t="array" ref="N9142">IFERROR(IF($B9142=N$1, ($A9142+$C9142) - MAX(IF($B$2:$B9141=$B9142, $A$2:$A9141+$C$2:$C9141)), "")*24*60, "")</f>
        <v/>
      </c>
      <c r="O9142" s="24" t="str" cm="1">
        <f t="array" ref="O9142">IFERROR(IF($B9142=O$1, ($A9142+$C9142) - MAX(IF($B$2:$B9141=$B9142, $A$2:$A9141+$C$2:$C9141)), "")*24*60, "")</f>
        <v/>
      </c>
      <c r="P9142" s="24" t="str" cm="1">
        <f t="array" ref="P9142">IFERROR(IF($B9142=P$1, ($A9142+$C9142) - MAX(IF($B$2:$B9141=$B9142, $A$2:$A9141+$C$2:$C9141)), "")*24*60, "")</f>
        <v/>
      </c>
      <c r="Q9142" s="24" t="str" cm="1">
        <f t="array" ref="Q9142">IFERROR(IF($B9142=Q$1, ($A9142+$C9142) - MAX(IF($B$2:$B9141=$B9142, $A$2:$A9141+$C$2:$C9141)), "")*24*60, "")</f>
        <v/>
      </c>
      <c r="R9142" s="24" t="str" cm="1">
        <f t="array" ref="R9142">IFERROR(IF($B9142=R$1, ($A9142+$C9142) - MAX(IF($B$2:$B9141=$B9142, $A$2:$A9141+$C$2:$C9141)), "")*24*60, "")</f>
        <v/>
      </c>
      <c r="S9142" s="24" t="str" cm="1">
        <f t="array" ref="S9142">IFERROR(IF($B9142=S$1, ($A9142+$C9142) - MAX(IF($B$2:$B9141=$B9142, $A$2:$A9141+$C$2:$C9141)), "")*24*60, "")</f>
        <v/>
      </c>
    </row>
    <row r="9143" spans="1:19" x14ac:dyDescent="0.2">
      <c r="A9143" s="12">
        <f t="shared" ref="A9143:C9143" si="1575">A9142</f>
        <v>46042</v>
      </c>
      <c r="B9143" s="5" t="str">
        <f t="shared" si="1575"/>
        <v>Northern Cardinal</v>
      </c>
      <c r="C9143" s="6">
        <f t="shared" si="1575"/>
        <v>0.29166666666666669</v>
      </c>
      <c r="D9143" s="5"/>
      <c r="E9143" s="5"/>
      <c r="F9143" s="5" t="s">
        <v>9</v>
      </c>
      <c r="G9143" s="15" t="s">
        <v>26</v>
      </c>
      <c r="H9143" s="24">
        <f t="shared" si="1412"/>
        <v>0</v>
      </c>
      <c r="I9143" s="24" cm="1">
        <f t="array" ref="I9143">IFERROR(IF($B9143=I$1, ($A9143+$C9143) - MAX(IF($B$2:$B9142=$B9143, $A$2:$A9142+$C$2:$C9142)), "")*24*60, "")</f>
        <v>0</v>
      </c>
      <c r="J9143" s="24" t="str" cm="1">
        <f t="array" ref="J9143">IFERROR(IF($B9143=J$1, ($A9143+$C9143) - MAX(IF($B$2:$B9142=$B9143, $A$2:$A9142+$C$2:$C9142)), "")*24*60, "")</f>
        <v/>
      </c>
      <c r="K9143" s="24" t="str" cm="1">
        <f t="array" ref="K9143">IFERROR(IF($B9143=K$1, ($A9143+$C9143) - MAX(IF($B$2:$B9142=$B9143, $A$2:$A9142+$C$2:$C9142)), "")*24*60, "")</f>
        <v/>
      </c>
      <c r="L9143" s="24" t="str" cm="1">
        <f t="array" ref="L9143">IFERROR(IF($B9143=L$1, ($A9143+$C9143) - MAX(IF($B$2:$B9142=$B9143, $A$2:$A9142+$C$2:$C9142)), "")*24*60, "")</f>
        <v/>
      </c>
      <c r="M9143" s="24" t="str" cm="1">
        <f t="array" ref="M9143">IFERROR(IF($B9143=M$1, ($A9143+$C9143) - MAX(IF($B$2:$B9142=$B9143, $A$2:$A9142+$C$2:$C9142)), "")*24*60, "")</f>
        <v/>
      </c>
      <c r="N9143" s="24" t="str" cm="1">
        <f t="array" ref="N9143">IFERROR(IF($B9143=N$1, ($A9143+$C9143) - MAX(IF($B$2:$B9142=$B9143, $A$2:$A9142+$C$2:$C9142)), "")*24*60, "")</f>
        <v/>
      </c>
      <c r="O9143" s="24" t="str" cm="1">
        <f t="array" ref="O9143">IFERROR(IF($B9143=O$1, ($A9143+$C9143) - MAX(IF($B$2:$B9142=$B9143, $A$2:$A9142+$C$2:$C9142)), "")*24*60, "")</f>
        <v/>
      </c>
      <c r="P9143" s="24" t="str" cm="1">
        <f t="array" ref="P9143">IFERROR(IF($B9143=P$1, ($A9143+$C9143) - MAX(IF($B$2:$B9142=$B9143, $A$2:$A9142+$C$2:$C9142)), "")*24*60, "")</f>
        <v/>
      </c>
      <c r="Q9143" s="24" t="str" cm="1">
        <f t="array" ref="Q9143">IFERROR(IF($B9143=Q$1, ($A9143+$C9143) - MAX(IF($B$2:$B9142=$B9143, $A$2:$A9142+$C$2:$C9142)), "")*24*60, "")</f>
        <v/>
      </c>
      <c r="R9143" s="24" t="str" cm="1">
        <f t="array" ref="R9143">IFERROR(IF($B9143=R$1, ($A9143+$C9143) - MAX(IF($B$2:$B9142=$B9143, $A$2:$A9142+$C$2:$C9142)), "")*24*60, "")</f>
        <v/>
      </c>
      <c r="S9143" s="24" t="str" cm="1">
        <f t="array" ref="S9143">IFERROR(IF($B9143=S$1, ($A9143+$C9143) - MAX(IF($B$2:$B9142=$B9143, $A$2:$A9142+$C$2:$C9142)), "")*24*60, "")</f>
        <v/>
      </c>
    </row>
    <row r="9144" spans="1:19" x14ac:dyDescent="0.2">
      <c r="A9144" s="12">
        <f t="shared" ref="A9144:C9144" si="1576">A9143</f>
        <v>46042</v>
      </c>
      <c r="B9144" s="5" t="str">
        <f t="shared" si="1576"/>
        <v>Northern Cardinal</v>
      </c>
      <c r="C9144" s="6">
        <f t="shared" si="1576"/>
        <v>0.29166666666666669</v>
      </c>
      <c r="D9144" s="5"/>
      <c r="E9144" s="5"/>
      <c r="F9144" s="5" t="s">
        <v>9</v>
      </c>
      <c r="G9144" s="15" t="s">
        <v>26</v>
      </c>
      <c r="H9144" s="24">
        <f t="shared" si="1412"/>
        <v>0</v>
      </c>
      <c r="I9144" s="24" cm="1">
        <f t="array" ref="I9144">IFERROR(IF($B9144=I$1, ($A9144+$C9144) - MAX(IF($B$2:$B9143=$B9144, $A$2:$A9143+$C$2:$C9143)), "")*24*60, "")</f>
        <v>0</v>
      </c>
      <c r="J9144" s="24" t="str" cm="1">
        <f t="array" ref="J9144">IFERROR(IF($B9144=J$1, ($A9144+$C9144) - MAX(IF($B$2:$B9143=$B9144, $A$2:$A9143+$C$2:$C9143)), "")*24*60, "")</f>
        <v/>
      </c>
      <c r="K9144" s="24" t="str" cm="1">
        <f t="array" ref="K9144">IFERROR(IF($B9144=K$1, ($A9144+$C9144) - MAX(IF($B$2:$B9143=$B9144, $A$2:$A9143+$C$2:$C9143)), "")*24*60, "")</f>
        <v/>
      </c>
      <c r="L9144" s="24" t="str" cm="1">
        <f t="array" ref="L9144">IFERROR(IF($B9144=L$1, ($A9144+$C9144) - MAX(IF($B$2:$B9143=$B9144, $A$2:$A9143+$C$2:$C9143)), "")*24*60, "")</f>
        <v/>
      </c>
      <c r="M9144" s="24" t="str" cm="1">
        <f t="array" ref="M9144">IFERROR(IF($B9144=M$1, ($A9144+$C9144) - MAX(IF($B$2:$B9143=$B9144, $A$2:$A9143+$C$2:$C9143)), "")*24*60, "")</f>
        <v/>
      </c>
      <c r="N9144" s="24" t="str" cm="1">
        <f t="array" ref="N9144">IFERROR(IF($B9144=N$1, ($A9144+$C9144) - MAX(IF($B$2:$B9143=$B9144, $A$2:$A9143+$C$2:$C9143)), "")*24*60, "")</f>
        <v/>
      </c>
      <c r="O9144" s="24" t="str" cm="1">
        <f t="array" ref="O9144">IFERROR(IF($B9144=O$1, ($A9144+$C9144) - MAX(IF($B$2:$B9143=$B9144, $A$2:$A9143+$C$2:$C9143)), "")*24*60, "")</f>
        <v/>
      </c>
      <c r="P9144" s="24" t="str" cm="1">
        <f t="array" ref="P9144">IFERROR(IF($B9144=P$1, ($A9144+$C9144) - MAX(IF($B$2:$B9143=$B9144, $A$2:$A9143+$C$2:$C9143)), "")*24*60, "")</f>
        <v/>
      </c>
      <c r="Q9144" s="24" t="str" cm="1">
        <f t="array" ref="Q9144">IFERROR(IF($B9144=Q$1, ($A9144+$C9144) - MAX(IF($B$2:$B9143=$B9144, $A$2:$A9143+$C$2:$C9143)), "")*24*60, "")</f>
        <v/>
      </c>
      <c r="R9144" s="24" t="str" cm="1">
        <f t="array" ref="R9144">IFERROR(IF($B9144=R$1, ($A9144+$C9144) - MAX(IF($B$2:$B9143=$B9144, $A$2:$A9143+$C$2:$C9143)), "")*24*60, "")</f>
        <v/>
      </c>
      <c r="S9144" s="24" t="str" cm="1">
        <f t="array" ref="S9144">IFERROR(IF($B9144=S$1, ($A9144+$C9144) - MAX(IF($B$2:$B9143=$B9144, $A$2:$A9143+$C$2:$C9143)), "")*24*60, "")</f>
        <v/>
      </c>
    </row>
    <row r="9145" spans="1:19" x14ac:dyDescent="0.2">
      <c r="A9145" s="12">
        <f t="shared" ref="A9145:C9145" si="1577">A9144</f>
        <v>46042</v>
      </c>
      <c r="B9145" s="5" t="str">
        <f t="shared" si="1577"/>
        <v>Northern Cardinal</v>
      </c>
      <c r="C9145" s="6">
        <f t="shared" si="1577"/>
        <v>0.29166666666666669</v>
      </c>
      <c r="D9145" s="5"/>
      <c r="E9145" s="5"/>
      <c r="F9145" s="5" t="s">
        <v>9</v>
      </c>
      <c r="G9145" s="15" t="s">
        <v>26</v>
      </c>
      <c r="H9145" s="24">
        <f t="shared" si="1412"/>
        <v>0</v>
      </c>
      <c r="I9145" s="24" cm="1">
        <f t="array" ref="I9145">IFERROR(IF($B9145=I$1, ($A9145+$C9145) - MAX(IF($B$2:$B9144=$B9145, $A$2:$A9144+$C$2:$C9144)), "")*24*60, "")</f>
        <v>0</v>
      </c>
      <c r="J9145" s="24" t="str" cm="1">
        <f t="array" ref="J9145">IFERROR(IF($B9145=J$1, ($A9145+$C9145) - MAX(IF($B$2:$B9144=$B9145, $A$2:$A9144+$C$2:$C9144)), "")*24*60, "")</f>
        <v/>
      </c>
      <c r="K9145" s="24" t="str" cm="1">
        <f t="array" ref="K9145">IFERROR(IF($B9145=K$1, ($A9145+$C9145) - MAX(IF($B$2:$B9144=$B9145, $A$2:$A9144+$C$2:$C9144)), "")*24*60, "")</f>
        <v/>
      </c>
      <c r="L9145" s="24" t="str" cm="1">
        <f t="array" ref="L9145">IFERROR(IF($B9145=L$1, ($A9145+$C9145) - MAX(IF($B$2:$B9144=$B9145, $A$2:$A9144+$C$2:$C9144)), "")*24*60, "")</f>
        <v/>
      </c>
      <c r="M9145" s="24" t="str" cm="1">
        <f t="array" ref="M9145">IFERROR(IF($B9145=M$1, ($A9145+$C9145) - MAX(IF($B$2:$B9144=$B9145, $A$2:$A9144+$C$2:$C9144)), "")*24*60, "")</f>
        <v/>
      </c>
      <c r="N9145" s="24" t="str" cm="1">
        <f t="array" ref="N9145">IFERROR(IF($B9145=N$1, ($A9145+$C9145) - MAX(IF($B$2:$B9144=$B9145, $A$2:$A9144+$C$2:$C9144)), "")*24*60, "")</f>
        <v/>
      </c>
      <c r="O9145" s="24" t="str" cm="1">
        <f t="array" ref="O9145">IFERROR(IF($B9145=O$1, ($A9145+$C9145) - MAX(IF($B$2:$B9144=$B9145, $A$2:$A9144+$C$2:$C9144)), "")*24*60, "")</f>
        <v/>
      </c>
      <c r="P9145" s="24" t="str" cm="1">
        <f t="array" ref="P9145">IFERROR(IF($B9145=P$1, ($A9145+$C9145) - MAX(IF($B$2:$B9144=$B9145, $A$2:$A9144+$C$2:$C9144)), "")*24*60, "")</f>
        <v/>
      </c>
      <c r="Q9145" s="24" t="str" cm="1">
        <f t="array" ref="Q9145">IFERROR(IF($B9145=Q$1, ($A9145+$C9145) - MAX(IF($B$2:$B9144=$B9145, $A$2:$A9144+$C$2:$C9144)), "")*24*60, "")</f>
        <v/>
      </c>
      <c r="R9145" s="24" t="str" cm="1">
        <f t="array" ref="R9145">IFERROR(IF($B9145=R$1, ($A9145+$C9145) - MAX(IF($B$2:$B9144=$B9145, $A$2:$A9144+$C$2:$C9144)), "")*24*60, "")</f>
        <v/>
      </c>
      <c r="S9145" s="24" t="str" cm="1">
        <f t="array" ref="S9145">IFERROR(IF($B9145=S$1, ($A9145+$C9145) - MAX(IF($B$2:$B9144=$B9145, $A$2:$A9144+$C$2:$C9144)), "")*24*60, "")</f>
        <v/>
      </c>
    </row>
    <row r="9146" spans="1:19" x14ac:dyDescent="0.2">
      <c r="A9146" s="12">
        <f t="shared" ref="A9146:C9146" si="1578">A9145</f>
        <v>46042</v>
      </c>
      <c r="B9146" s="5" t="str">
        <f t="shared" si="1578"/>
        <v>Northern Cardinal</v>
      </c>
      <c r="C9146" s="6">
        <f t="shared" si="1578"/>
        <v>0.29166666666666669</v>
      </c>
      <c r="D9146" s="5"/>
      <c r="E9146" s="5"/>
      <c r="F9146" s="5" t="s">
        <v>9</v>
      </c>
      <c r="G9146" s="15" t="s">
        <v>26</v>
      </c>
      <c r="H9146" s="24">
        <f t="shared" si="1412"/>
        <v>0</v>
      </c>
      <c r="I9146" s="24" cm="1">
        <f t="array" ref="I9146">IFERROR(IF($B9146=I$1, ($A9146+$C9146) - MAX(IF($B$2:$B9145=$B9146, $A$2:$A9145+$C$2:$C9145)), "")*24*60, "")</f>
        <v>0</v>
      </c>
      <c r="J9146" s="24" t="str" cm="1">
        <f t="array" ref="J9146">IFERROR(IF($B9146=J$1, ($A9146+$C9146) - MAX(IF($B$2:$B9145=$B9146, $A$2:$A9145+$C$2:$C9145)), "")*24*60, "")</f>
        <v/>
      </c>
      <c r="K9146" s="24" t="str" cm="1">
        <f t="array" ref="K9146">IFERROR(IF($B9146=K$1, ($A9146+$C9146) - MAX(IF($B$2:$B9145=$B9146, $A$2:$A9145+$C$2:$C9145)), "")*24*60, "")</f>
        <v/>
      </c>
      <c r="L9146" s="24" t="str" cm="1">
        <f t="array" ref="L9146">IFERROR(IF($B9146=L$1, ($A9146+$C9146) - MAX(IF($B$2:$B9145=$B9146, $A$2:$A9145+$C$2:$C9145)), "")*24*60, "")</f>
        <v/>
      </c>
      <c r="M9146" s="24" t="str" cm="1">
        <f t="array" ref="M9146">IFERROR(IF($B9146=M$1, ($A9146+$C9146) - MAX(IF($B$2:$B9145=$B9146, $A$2:$A9145+$C$2:$C9145)), "")*24*60, "")</f>
        <v/>
      </c>
      <c r="N9146" s="24" t="str" cm="1">
        <f t="array" ref="N9146">IFERROR(IF($B9146=N$1, ($A9146+$C9146) - MAX(IF($B$2:$B9145=$B9146, $A$2:$A9145+$C$2:$C9145)), "")*24*60, "")</f>
        <v/>
      </c>
      <c r="O9146" s="24" t="str" cm="1">
        <f t="array" ref="O9146">IFERROR(IF($B9146=O$1, ($A9146+$C9146) - MAX(IF($B$2:$B9145=$B9146, $A$2:$A9145+$C$2:$C9145)), "")*24*60, "")</f>
        <v/>
      </c>
      <c r="P9146" s="24" t="str" cm="1">
        <f t="array" ref="P9146">IFERROR(IF($B9146=P$1, ($A9146+$C9146) - MAX(IF($B$2:$B9145=$B9146, $A$2:$A9145+$C$2:$C9145)), "")*24*60, "")</f>
        <v/>
      </c>
      <c r="Q9146" s="24" t="str" cm="1">
        <f t="array" ref="Q9146">IFERROR(IF($B9146=Q$1, ($A9146+$C9146) - MAX(IF($B$2:$B9145=$B9146, $A$2:$A9145+$C$2:$C9145)), "")*24*60, "")</f>
        <v/>
      </c>
      <c r="R9146" s="24" t="str" cm="1">
        <f t="array" ref="R9146">IFERROR(IF($B9146=R$1, ($A9146+$C9146) - MAX(IF($B$2:$B9145=$B9146, $A$2:$A9145+$C$2:$C9145)), "")*24*60, "")</f>
        <v/>
      </c>
      <c r="S9146" s="24" t="str" cm="1">
        <f t="array" ref="S9146">IFERROR(IF($B9146=S$1, ($A9146+$C9146) - MAX(IF($B$2:$B9145=$B9146, $A$2:$A9145+$C$2:$C9145)), "")*24*60, "")</f>
        <v/>
      </c>
    </row>
    <row r="9147" spans="1:19" x14ac:dyDescent="0.2">
      <c r="A9147" s="12">
        <f t="shared" ref="A9147:C9147" si="1579">A9146</f>
        <v>46042</v>
      </c>
      <c r="B9147" s="5" t="str">
        <f t="shared" si="1579"/>
        <v>Northern Cardinal</v>
      </c>
      <c r="C9147" s="6">
        <f t="shared" si="1579"/>
        <v>0.29166666666666669</v>
      </c>
      <c r="D9147" s="5"/>
      <c r="E9147" s="5"/>
      <c r="F9147" s="5" t="s">
        <v>9</v>
      </c>
      <c r="G9147" s="15" t="s">
        <v>26</v>
      </c>
      <c r="H9147" s="24">
        <f t="shared" si="1412"/>
        <v>0</v>
      </c>
      <c r="I9147" s="24" cm="1">
        <f t="array" ref="I9147">IFERROR(IF($B9147=I$1, ($A9147+$C9147) - MAX(IF($B$2:$B9146=$B9147, $A$2:$A9146+$C$2:$C9146)), "")*24*60, "")</f>
        <v>0</v>
      </c>
      <c r="J9147" s="24" t="str" cm="1">
        <f t="array" ref="J9147">IFERROR(IF($B9147=J$1, ($A9147+$C9147) - MAX(IF($B$2:$B9146=$B9147, $A$2:$A9146+$C$2:$C9146)), "")*24*60, "")</f>
        <v/>
      </c>
      <c r="K9147" s="24" t="str" cm="1">
        <f t="array" ref="K9147">IFERROR(IF($B9147=K$1, ($A9147+$C9147) - MAX(IF($B$2:$B9146=$B9147, $A$2:$A9146+$C$2:$C9146)), "")*24*60, "")</f>
        <v/>
      </c>
      <c r="L9147" s="24" t="str" cm="1">
        <f t="array" ref="L9147">IFERROR(IF($B9147=L$1, ($A9147+$C9147) - MAX(IF($B$2:$B9146=$B9147, $A$2:$A9146+$C$2:$C9146)), "")*24*60, "")</f>
        <v/>
      </c>
      <c r="M9147" s="24" t="str" cm="1">
        <f t="array" ref="M9147">IFERROR(IF($B9147=M$1, ($A9147+$C9147) - MAX(IF($B$2:$B9146=$B9147, $A$2:$A9146+$C$2:$C9146)), "")*24*60, "")</f>
        <v/>
      </c>
      <c r="N9147" s="24" t="str" cm="1">
        <f t="array" ref="N9147">IFERROR(IF($B9147=N$1, ($A9147+$C9147) - MAX(IF($B$2:$B9146=$B9147, $A$2:$A9146+$C$2:$C9146)), "")*24*60, "")</f>
        <v/>
      </c>
      <c r="O9147" s="24" t="str" cm="1">
        <f t="array" ref="O9147">IFERROR(IF($B9147=O$1, ($A9147+$C9147) - MAX(IF($B$2:$B9146=$B9147, $A$2:$A9146+$C$2:$C9146)), "")*24*60, "")</f>
        <v/>
      </c>
      <c r="P9147" s="24" t="str" cm="1">
        <f t="array" ref="P9147">IFERROR(IF($B9147=P$1, ($A9147+$C9147) - MAX(IF($B$2:$B9146=$B9147, $A$2:$A9146+$C$2:$C9146)), "")*24*60, "")</f>
        <v/>
      </c>
      <c r="Q9147" s="24" t="str" cm="1">
        <f t="array" ref="Q9147">IFERROR(IF($B9147=Q$1, ($A9147+$C9147) - MAX(IF($B$2:$B9146=$B9147, $A$2:$A9146+$C$2:$C9146)), "")*24*60, "")</f>
        <v/>
      </c>
      <c r="R9147" s="24" t="str" cm="1">
        <f t="array" ref="R9147">IFERROR(IF($B9147=R$1, ($A9147+$C9147) - MAX(IF($B$2:$B9146=$B9147, $A$2:$A9146+$C$2:$C9146)), "")*24*60, "")</f>
        <v/>
      </c>
      <c r="S9147" s="24" t="str" cm="1">
        <f t="array" ref="S9147">IFERROR(IF($B9147=S$1, ($A9147+$C9147) - MAX(IF($B$2:$B9146=$B9147, $A$2:$A9146+$C$2:$C9146)), "")*24*60, "")</f>
        <v/>
      </c>
    </row>
    <row r="9148" spans="1:19" x14ac:dyDescent="0.2">
      <c r="A9148" s="12">
        <f t="shared" ref="A9148:C9148" si="1580">A9147</f>
        <v>46042</v>
      </c>
      <c r="B9148" s="5" t="str">
        <f t="shared" si="1580"/>
        <v>Northern Cardinal</v>
      </c>
      <c r="C9148" s="6">
        <f t="shared" si="1580"/>
        <v>0.29166666666666669</v>
      </c>
      <c r="D9148" s="5"/>
      <c r="E9148" s="5"/>
      <c r="F9148" s="5" t="s">
        <v>9</v>
      </c>
      <c r="G9148" s="15" t="s">
        <v>26</v>
      </c>
      <c r="H9148" s="24">
        <f t="shared" si="1412"/>
        <v>0</v>
      </c>
      <c r="I9148" s="24" cm="1">
        <f t="array" ref="I9148">IFERROR(IF($B9148=I$1, ($A9148+$C9148) - MAX(IF($B$2:$B9147=$B9148, $A$2:$A9147+$C$2:$C9147)), "")*24*60, "")</f>
        <v>0</v>
      </c>
      <c r="J9148" s="24" t="str" cm="1">
        <f t="array" ref="J9148">IFERROR(IF($B9148=J$1, ($A9148+$C9148) - MAX(IF($B$2:$B9147=$B9148, $A$2:$A9147+$C$2:$C9147)), "")*24*60, "")</f>
        <v/>
      </c>
      <c r="K9148" s="24" t="str" cm="1">
        <f t="array" ref="K9148">IFERROR(IF($B9148=K$1, ($A9148+$C9148) - MAX(IF($B$2:$B9147=$B9148, $A$2:$A9147+$C$2:$C9147)), "")*24*60, "")</f>
        <v/>
      </c>
      <c r="L9148" s="24" t="str" cm="1">
        <f t="array" ref="L9148">IFERROR(IF($B9148=L$1, ($A9148+$C9148) - MAX(IF($B$2:$B9147=$B9148, $A$2:$A9147+$C$2:$C9147)), "")*24*60, "")</f>
        <v/>
      </c>
      <c r="M9148" s="24" t="str" cm="1">
        <f t="array" ref="M9148">IFERROR(IF($B9148=M$1, ($A9148+$C9148) - MAX(IF($B$2:$B9147=$B9148, $A$2:$A9147+$C$2:$C9147)), "")*24*60, "")</f>
        <v/>
      </c>
      <c r="N9148" s="24" t="str" cm="1">
        <f t="array" ref="N9148">IFERROR(IF($B9148=N$1, ($A9148+$C9148) - MAX(IF($B$2:$B9147=$B9148, $A$2:$A9147+$C$2:$C9147)), "")*24*60, "")</f>
        <v/>
      </c>
      <c r="O9148" s="24" t="str" cm="1">
        <f t="array" ref="O9148">IFERROR(IF($B9148=O$1, ($A9148+$C9148) - MAX(IF($B$2:$B9147=$B9148, $A$2:$A9147+$C$2:$C9147)), "")*24*60, "")</f>
        <v/>
      </c>
      <c r="P9148" s="24" t="str" cm="1">
        <f t="array" ref="P9148">IFERROR(IF($B9148=P$1, ($A9148+$C9148) - MAX(IF($B$2:$B9147=$B9148, $A$2:$A9147+$C$2:$C9147)), "")*24*60, "")</f>
        <v/>
      </c>
      <c r="Q9148" s="24" t="str" cm="1">
        <f t="array" ref="Q9148">IFERROR(IF($B9148=Q$1, ($A9148+$C9148) - MAX(IF($B$2:$B9147=$B9148, $A$2:$A9147+$C$2:$C9147)), "")*24*60, "")</f>
        <v/>
      </c>
      <c r="R9148" s="24" t="str" cm="1">
        <f t="array" ref="R9148">IFERROR(IF($B9148=R$1, ($A9148+$C9148) - MAX(IF($B$2:$B9147=$B9148, $A$2:$A9147+$C$2:$C9147)), "")*24*60, "")</f>
        <v/>
      </c>
      <c r="S9148" s="24" t="str" cm="1">
        <f t="array" ref="S9148">IFERROR(IF($B9148=S$1, ($A9148+$C9148) - MAX(IF($B$2:$B9147=$B9148, $A$2:$A9147+$C$2:$C9147)), "")*24*60, "")</f>
        <v/>
      </c>
    </row>
    <row r="9149" spans="1:19" x14ac:dyDescent="0.2">
      <c r="A9149" s="12">
        <f t="shared" ref="A9149:C9149" si="1581">A9148</f>
        <v>46042</v>
      </c>
      <c r="B9149" s="5" t="str">
        <f t="shared" si="1581"/>
        <v>Northern Cardinal</v>
      </c>
      <c r="C9149" s="6">
        <f t="shared" si="1581"/>
        <v>0.29166666666666669</v>
      </c>
      <c r="D9149" s="5"/>
      <c r="E9149" s="5"/>
      <c r="F9149" s="5" t="s">
        <v>9</v>
      </c>
      <c r="G9149" s="15" t="s">
        <v>26</v>
      </c>
      <c r="H9149" s="24">
        <f t="shared" si="1412"/>
        <v>0</v>
      </c>
      <c r="I9149" s="24" cm="1">
        <f t="array" ref="I9149">IFERROR(IF($B9149=I$1, ($A9149+$C9149) - MAX(IF($B$2:$B9148=$B9149, $A$2:$A9148+$C$2:$C9148)), "")*24*60, "")</f>
        <v>0</v>
      </c>
      <c r="J9149" s="24" t="str" cm="1">
        <f t="array" ref="J9149">IFERROR(IF($B9149=J$1, ($A9149+$C9149) - MAX(IF($B$2:$B9148=$B9149, $A$2:$A9148+$C$2:$C9148)), "")*24*60, "")</f>
        <v/>
      </c>
      <c r="K9149" s="24" t="str" cm="1">
        <f t="array" ref="K9149">IFERROR(IF($B9149=K$1, ($A9149+$C9149) - MAX(IF($B$2:$B9148=$B9149, $A$2:$A9148+$C$2:$C9148)), "")*24*60, "")</f>
        <v/>
      </c>
      <c r="L9149" s="24" t="str" cm="1">
        <f t="array" ref="L9149">IFERROR(IF($B9149=L$1, ($A9149+$C9149) - MAX(IF($B$2:$B9148=$B9149, $A$2:$A9148+$C$2:$C9148)), "")*24*60, "")</f>
        <v/>
      </c>
      <c r="M9149" s="24" t="str" cm="1">
        <f t="array" ref="M9149">IFERROR(IF($B9149=M$1, ($A9149+$C9149) - MAX(IF($B$2:$B9148=$B9149, $A$2:$A9148+$C$2:$C9148)), "")*24*60, "")</f>
        <v/>
      </c>
      <c r="N9149" s="24" t="str" cm="1">
        <f t="array" ref="N9149">IFERROR(IF($B9149=N$1, ($A9149+$C9149) - MAX(IF($B$2:$B9148=$B9149, $A$2:$A9148+$C$2:$C9148)), "")*24*60, "")</f>
        <v/>
      </c>
      <c r="O9149" s="24" t="str" cm="1">
        <f t="array" ref="O9149">IFERROR(IF($B9149=O$1, ($A9149+$C9149) - MAX(IF($B$2:$B9148=$B9149, $A$2:$A9148+$C$2:$C9148)), "")*24*60, "")</f>
        <v/>
      </c>
      <c r="P9149" s="24" t="str" cm="1">
        <f t="array" ref="P9149">IFERROR(IF($B9149=P$1, ($A9149+$C9149) - MAX(IF($B$2:$B9148=$B9149, $A$2:$A9148+$C$2:$C9148)), "")*24*60, "")</f>
        <v/>
      </c>
      <c r="Q9149" s="24" t="str" cm="1">
        <f t="array" ref="Q9149">IFERROR(IF($B9149=Q$1, ($A9149+$C9149) - MAX(IF($B$2:$B9148=$B9149, $A$2:$A9148+$C$2:$C9148)), "")*24*60, "")</f>
        <v/>
      </c>
      <c r="R9149" s="24" t="str" cm="1">
        <f t="array" ref="R9149">IFERROR(IF($B9149=R$1, ($A9149+$C9149) - MAX(IF($B$2:$B9148=$B9149, $A$2:$A9148+$C$2:$C9148)), "")*24*60, "")</f>
        <v/>
      </c>
      <c r="S9149" s="24" t="str" cm="1">
        <f t="array" ref="S9149">IFERROR(IF($B9149=S$1, ($A9149+$C9149) - MAX(IF($B$2:$B9148=$B9149, $A$2:$A9148+$C$2:$C9148)), "")*24*60, "")</f>
        <v/>
      </c>
    </row>
    <row r="9150" spans="1:19" x14ac:dyDescent="0.2">
      <c r="A9150" s="12">
        <f t="shared" ref="A9150:C9150" si="1582">A9149</f>
        <v>46042</v>
      </c>
      <c r="B9150" s="5" t="str">
        <f t="shared" si="1582"/>
        <v>Northern Cardinal</v>
      </c>
      <c r="C9150" s="6">
        <f t="shared" si="1582"/>
        <v>0.29166666666666669</v>
      </c>
      <c r="D9150" s="5"/>
      <c r="E9150" s="5"/>
      <c r="F9150" s="5" t="s">
        <v>9</v>
      </c>
      <c r="G9150" s="15" t="s">
        <v>26</v>
      </c>
      <c r="H9150" s="24">
        <f t="shared" si="1412"/>
        <v>0</v>
      </c>
      <c r="I9150" s="24" cm="1">
        <f t="array" ref="I9150">IFERROR(IF($B9150=I$1, ($A9150+$C9150) - MAX(IF($B$2:$B9149=$B9150, $A$2:$A9149+$C$2:$C9149)), "")*24*60, "")</f>
        <v>0</v>
      </c>
      <c r="J9150" s="24" t="str" cm="1">
        <f t="array" ref="J9150">IFERROR(IF($B9150=J$1, ($A9150+$C9150) - MAX(IF($B$2:$B9149=$B9150, $A$2:$A9149+$C$2:$C9149)), "")*24*60, "")</f>
        <v/>
      </c>
      <c r="K9150" s="24" t="str" cm="1">
        <f t="array" ref="K9150">IFERROR(IF($B9150=K$1, ($A9150+$C9150) - MAX(IF($B$2:$B9149=$B9150, $A$2:$A9149+$C$2:$C9149)), "")*24*60, "")</f>
        <v/>
      </c>
      <c r="L9150" s="24" t="str" cm="1">
        <f t="array" ref="L9150">IFERROR(IF($B9150=L$1, ($A9150+$C9150) - MAX(IF($B$2:$B9149=$B9150, $A$2:$A9149+$C$2:$C9149)), "")*24*60, "")</f>
        <v/>
      </c>
      <c r="M9150" s="24" t="str" cm="1">
        <f t="array" ref="M9150">IFERROR(IF($B9150=M$1, ($A9150+$C9150) - MAX(IF($B$2:$B9149=$B9150, $A$2:$A9149+$C$2:$C9149)), "")*24*60, "")</f>
        <v/>
      </c>
      <c r="N9150" s="24" t="str" cm="1">
        <f t="array" ref="N9150">IFERROR(IF($B9150=N$1, ($A9150+$C9150) - MAX(IF($B$2:$B9149=$B9150, $A$2:$A9149+$C$2:$C9149)), "")*24*60, "")</f>
        <v/>
      </c>
      <c r="O9150" s="24" t="str" cm="1">
        <f t="array" ref="O9150">IFERROR(IF($B9150=O$1, ($A9150+$C9150) - MAX(IF($B$2:$B9149=$B9150, $A$2:$A9149+$C$2:$C9149)), "")*24*60, "")</f>
        <v/>
      </c>
      <c r="P9150" s="24" t="str" cm="1">
        <f t="array" ref="P9150">IFERROR(IF($B9150=P$1, ($A9150+$C9150) - MAX(IF($B$2:$B9149=$B9150, $A$2:$A9149+$C$2:$C9149)), "")*24*60, "")</f>
        <v/>
      </c>
      <c r="Q9150" s="24" t="str" cm="1">
        <f t="array" ref="Q9150">IFERROR(IF($B9150=Q$1, ($A9150+$C9150) - MAX(IF($B$2:$B9149=$B9150, $A$2:$A9149+$C$2:$C9149)), "")*24*60, "")</f>
        <v/>
      </c>
      <c r="R9150" s="24" t="str" cm="1">
        <f t="array" ref="R9150">IFERROR(IF($B9150=R$1, ($A9150+$C9150) - MAX(IF($B$2:$B9149=$B9150, $A$2:$A9149+$C$2:$C9149)), "")*24*60, "")</f>
        <v/>
      </c>
      <c r="S9150" s="24" t="str" cm="1">
        <f t="array" ref="S9150">IFERROR(IF($B9150=S$1, ($A9150+$C9150) - MAX(IF($B$2:$B9149=$B9150, $A$2:$A9149+$C$2:$C9149)), "")*24*60, "")</f>
        <v/>
      </c>
    </row>
    <row r="9151" spans="1:19" x14ac:dyDescent="0.2">
      <c r="A9151" s="12">
        <f t="shared" ref="A9151:C9151" si="1583">A9150</f>
        <v>46042</v>
      </c>
      <c r="B9151" s="5" t="str">
        <f t="shared" si="1583"/>
        <v>Northern Cardinal</v>
      </c>
      <c r="C9151" s="6">
        <f t="shared" si="1583"/>
        <v>0.29166666666666669</v>
      </c>
      <c r="D9151" s="5"/>
      <c r="E9151" s="5"/>
      <c r="F9151" s="5" t="s">
        <v>9</v>
      </c>
      <c r="G9151" s="15" t="s">
        <v>26</v>
      </c>
      <c r="H9151" s="24">
        <f t="shared" si="1412"/>
        <v>0</v>
      </c>
      <c r="I9151" s="24" cm="1">
        <f t="array" ref="I9151">IFERROR(IF($B9151=I$1, ($A9151+$C9151) - MAX(IF($B$2:$B9150=$B9151, $A$2:$A9150+$C$2:$C9150)), "")*24*60, "")</f>
        <v>0</v>
      </c>
      <c r="J9151" s="24" t="str" cm="1">
        <f t="array" ref="J9151">IFERROR(IF($B9151=J$1, ($A9151+$C9151) - MAX(IF($B$2:$B9150=$B9151, $A$2:$A9150+$C$2:$C9150)), "")*24*60, "")</f>
        <v/>
      </c>
      <c r="K9151" s="24" t="str" cm="1">
        <f t="array" ref="K9151">IFERROR(IF($B9151=K$1, ($A9151+$C9151) - MAX(IF($B$2:$B9150=$B9151, $A$2:$A9150+$C$2:$C9150)), "")*24*60, "")</f>
        <v/>
      </c>
      <c r="L9151" s="24" t="str" cm="1">
        <f t="array" ref="L9151">IFERROR(IF($B9151=L$1, ($A9151+$C9151) - MAX(IF($B$2:$B9150=$B9151, $A$2:$A9150+$C$2:$C9150)), "")*24*60, "")</f>
        <v/>
      </c>
      <c r="M9151" s="24" t="str" cm="1">
        <f t="array" ref="M9151">IFERROR(IF($B9151=M$1, ($A9151+$C9151) - MAX(IF($B$2:$B9150=$B9151, $A$2:$A9150+$C$2:$C9150)), "")*24*60, "")</f>
        <v/>
      </c>
      <c r="N9151" s="24" t="str" cm="1">
        <f t="array" ref="N9151">IFERROR(IF($B9151=N$1, ($A9151+$C9151) - MAX(IF($B$2:$B9150=$B9151, $A$2:$A9150+$C$2:$C9150)), "")*24*60, "")</f>
        <v/>
      </c>
      <c r="O9151" s="24" t="str" cm="1">
        <f t="array" ref="O9151">IFERROR(IF($B9151=O$1, ($A9151+$C9151) - MAX(IF($B$2:$B9150=$B9151, $A$2:$A9150+$C$2:$C9150)), "")*24*60, "")</f>
        <v/>
      </c>
      <c r="P9151" s="24" t="str" cm="1">
        <f t="array" ref="P9151">IFERROR(IF($B9151=P$1, ($A9151+$C9151) - MAX(IF($B$2:$B9150=$B9151, $A$2:$A9150+$C$2:$C9150)), "")*24*60, "")</f>
        <v/>
      </c>
      <c r="Q9151" s="24" t="str" cm="1">
        <f t="array" ref="Q9151">IFERROR(IF($B9151=Q$1, ($A9151+$C9151) - MAX(IF($B$2:$B9150=$B9151, $A$2:$A9150+$C$2:$C9150)), "")*24*60, "")</f>
        <v/>
      </c>
      <c r="R9151" s="24" t="str" cm="1">
        <f t="array" ref="R9151">IFERROR(IF($B9151=R$1, ($A9151+$C9151) - MAX(IF($B$2:$B9150=$B9151, $A$2:$A9150+$C$2:$C9150)), "")*24*60, "")</f>
        <v/>
      </c>
      <c r="S9151" s="24" t="str" cm="1">
        <f t="array" ref="S9151">IFERROR(IF($B9151=S$1, ($A9151+$C9151) - MAX(IF($B$2:$B9150=$B9151, $A$2:$A9150+$C$2:$C9150)), "")*24*60, "")</f>
        <v/>
      </c>
    </row>
    <row r="9152" spans="1:19" x14ac:dyDescent="0.2">
      <c r="A9152" s="12">
        <f t="shared" ref="A9152:C9152" si="1584">A9151</f>
        <v>46042</v>
      </c>
      <c r="B9152" s="5" t="str">
        <f t="shared" si="1584"/>
        <v>Northern Cardinal</v>
      </c>
      <c r="C9152" s="6">
        <f t="shared" si="1584"/>
        <v>0.29166666666666669</v>
      </c>
      <c r="D9152" s="5"/>
      <c r="E9152" s="5"/>
      <c r="F9152" s="5" t="s">
        <v>9</v>
      </c>
      <c r="G9152" s="15" t="s">
        <v>26</v>
      </c>
      <c r="H9152" s="24">
        <f t="shared" si="1412"/>
        <v>0</v>
      </c>
      <c r="I9152" s="24" cm="1">
        <f t="array" ref="I9152">IFERROR(IF($B9152=I$1, ($A9152+$C9152) - MAX(IF($B$2:$B9151=$B9152, $A$2:$A9151+$C$2:$C9151)), "")*24*60, "")</f>
        <v>0</v>
      </c>
      <c r="J9152" s="24" t="str" cm="1">
        <f t="array" ref="J9152">IFERROR(IF($B9152=J$1, ($A9152+$C9152) - MAX(IF($B$2:$B9151=$B9152, $A$2:$A9151+$C$2:$C9151)), "")*24*60, "")</f>
        <v/>
      </c>
      <c r="K9152" s="24" t="str" cm="1">
        <f t="array" ref="K9152">IFERROR(IF($B9152=K$1, ($A9152+$C9152) - MAX(IF($B$2:$B9151=$B9152, $A$2:$A9151+$C$2:$C9151)), "")*24*60, "")</f>
        <v/>
      </c>
      <c r="L9152" s="24" t="str" cm="1">
        <f t="array" ref="L9152">IFERROR(IF($B9152=L$1, ($A9152+$C9152) - MAX(IF($B$2:$B9151=$B9152, $A$2:$A9151+$C$2:$C9151)), "")*24*60, "")</f>
        <v/>
      </c>
      <c r="M9152" s="24" t="str" cm="1">
        <f t="array" ref="M9152">IFERROR(IF($B9152=M$1, ($A9152+$C9152) - MAX(IF($B$2:$B9151=$B9152, $A$2:$A9151+$C$2:$C9151)), "")*24*60, "")</f>
        <v/>
      </c>
      <c r="N9152" s="24" t="str" cm="1">
        <f t="array" ref="N9152">IFERROR(IF($B9152=N$1, ($A9152+$C9152) - MAX(IF($B$2:$B9151=$B9152, $A$2:$A9151+$C$2:$C9151)), "")*24*60, "")</f>
        <v/>
      </c>
      <c r="O9152" s="24" t="str" cm="1">
        <f t="array" ref="O9152">IFERROR(IF($B9152=O$1, ($A9152+$C9152) - MAX(IF($B$2:$B9151=$B9152, $A$2:$A9151+$C$2:$C9151)), "")*24*60, "")</f>
        <v/>
      </c>
      <c r="P9152" s="24" t="str" cm="1">
        <f t="array" ref="P9152">IFERROR(IF($B9152=P$1, ($A9152+$C9152) - MAX(IF($B$2:$B9151=$B9152, $A$2:$A9151+$C$2:$C9151)), "")*24*60, "")</f>
        <v/>
      </c>
      <c r="Q9152" s="24" t="str" cm="1">
        <f t="array" ref="Q9152">IFERROR(IF($B9152=Q$1, ($A9152+$C9152) - MAX(IF($B$2:$B9151=$B9152, $A$2:$A9151+$C$2:$C9151)), "")*24*60, "")</f>
        <v/>
      </c>
      <c r="R9152" s="24" t="str" cm="1">
        <f t="array" ref="R9152">IFERROR(IF($B9152=R$1, ($A9152+$C9152) - MAX(IF($B$2:$B9151=$B9152, $A$2:$A9151+$C$2:$C9151)), "")*24*60, "")</f>
        <v/>
      </c>
      <c r="S9152" s="24" t="str" cm="1">
        <f t="array" ref="S9152">IFERROR(IF($B9152=S$1, ($A9152+$C9152) - MAX(IF($B$2:$B9151=$B9152, $A$2:$A9151+$C$2:$C9151)), "")*24*60, "")</f>
        <v/>
      </c>
    </row>
    <row r="9153" spans="1:19" x14ac:dyDescent="0.2">
      <c r="A9153" s="12">
        <f t="shared" ref="A9153:C9153" si="1585">A9152</f>
        <v>46042</v>
      </c>
      <c r="B9153" s="5" t="str">
        <f t="shared" si="1585"/>
        <v>Northern Cardinal</v>
      </c>
      <c r="C9153" s="6">
        <f t="shared" si="1585"/>
        <v>0.29166666666666669</v>
      </c>
      <c r="D9153" s="5"/>
      <c r="E9153" s="5"/>
      <c r="F9153" s="5" t="s">
        <v>9</v>
      </c>
      <c r="G9153" s="15" t="s">
        <v>26</v>
      </c>
      <c r="H9153" s="24">
        <f t="shared" si="1412"/>
        <v>0</v>
      </c>
      <c r="I9153" s="24" cm="1">
        <f t="array" ref="I9153">IFERROR(IF($B9153=I$1, ($A9153+$C9153) - MAX(IF($B$2:$B9152=$B9153, $A$2:$A9152+$C$2:$C9152)), "")*24*60, "")</f>
        <v>0</v>
      </c>
      <c r="J9153" s="24" t="str" cm="1">
        <f t="array" ref="J9153">IFERROR(IF($B9153=J$1, ($A9153+$C9153) - MAX(IF($B$2:$B9152=$B9153, $A$2:$A9152+$C$2:$C9152)), "")*24*60, "")</f>
        <v/>
      </c>
      <c r="K9153" s="24" t="str" cm="1">
        <f t="array" ref="K9153">IFERROR(IF($B9153=K$1, ($A9153+$C9153) - MAX(IF($B$2:$B9152=$B9153, $A$2:$A9152+$C$2:$C9152)), "")*24*60, "")</f>
        <v/>
      </c>
      <c r="L9153" s="24" t="str" cm="1">
        <f t="array" ref="L9153">IFERROR(IF($B9153=L$1, ($A9153+$C9153) - MAX(IF($B$2:$B9152=$B9153, $A$2:$A9152+$C$2:$C9152)), "")*24*60, "")</f>
        <v/>
      </c>
      <c r="M9153" s="24" t="str" cm="1">
        <f t="array" ref="M9153">IFERROR(IF($B9153=M$1, ($A9153+$C9153) - MAX(IF($B$2:$B9152=$B9153, $A$2:$A9152+$C$2:$C9152)), "")*24*60, "")</f>
        <v/>
      </c>
      <c r="N9153" s="24" t="str" cm="1">
        <f t="array" ref="N9153">IFERROR(IF($B9153=N$1, ($A9153+$C9153) - MAX(IF($B$2:$B9152=$B9153, $A$2:$A9152+$C$2:$C9152)), "")*24*60, "")</f>
        <v/>
      </c>
      <c r="O9153" s="24" t="str" cm="1">
        <f t="array" ref="O9153">IFERROR(IF($B9153=O$1, ($A9153+$C9153) - MAX(IF($B$2:$B9152=$B9153, $A$2:$A9152+$C$2:$C9152)), "")*24*60, "")</f>
        <v/>
      </c>
      <c r="P9153" s="24" t="str" cm="1">
        <f t="array" ref="P9153">IFERROR(IF($B9153=P$1, ($A9153+$C9153) - MAX(IF($B$2:$B9152=$B9153, $A$2:$A9152+$C$2:$C9152)), "")*24*60, "")</f>
        <v/>
      </c>
      <c r="Q9153" s="24" t="str" cm="1">
        <f t="array" ref="Q9153">IFERROR(IF($B9153=Q$1, ($A9153+$C9153) - MAX(IF($B$2:$B9152=$B9153, $A$2:$A9152+$C$2:$C9152)), "")*24*60, "")</f>
        <v/>
      </c>
      <c r="R9153" s="24" t="str" cm="1">
        <f t="array" ref="R9153">IFERROR(IF($B9153=R$1, ($A9153+$C9153) - MAX(IF($B$2:$B9152=$B9153, $A$2:$A9152+$C$2:$C9152)), "")*24*60, "")</f>
        <v/>
      </c>
      <c r="S9153" s="24" t="str" cm="1">
        <f t="array" ref="S9153">IFERROR(IF($B9153=S$1, ($A9153+$C9153) - MAX(IF($B$2:$B9152=$B9153, $A$2:$A9152+$C$2:$C9152)), "")*24*60, "")</f>
        <v/>
      </c>
    </row>
    <row r="9154" spans="1:19" x14ac:dyDescent="0.2">
      <c r="A9154" s="12">
        <f t="shared" ref="A9154:C9154" si="1586">A9153</f>
        <v>46042</v>
      </c>
      <c r="B9154" s="5" t="str">
        <f t="shared" si="1586"/>
        <v>Northern Cardinal</v>
      </c>
      <c r="C9154" s="6">
        <f t="shared" si="1586"/>
        <v>0.29166666666666669</v>
      </c>
      <c r="D9154" s="5"/>
      <c r="E9154" s="5"/>
      <c r="F9154" s="5" t="s">
        <v>9</v>
      </c>
      <c r="G9154" s="15" t="s">
        <v>26</v>
      </c>
      <c r="H9154" s="24">
        <f t="shared" si="1412"/>
        <v>0</v>
      </c>
      <c r="I9154" s="24" cm="1">
        <f t="array" ref="I9154">IFERROR(IF($B9154=I$1, ($A9154+$C9154) - MAX(IF($B$2:$B9153=$B9154, $A$2:$A9153+$C$2:$C9153)), "")*24*60, "")</f>
        <v>0</v>
      </c>
      <c r="J9154" s="24" t="str" cm="1">
        <f t="array" ref="J9154">IFERROR(IF($B9154=J$1, ($A9154+$C9154) - MAX(IF($B$2:$B9153=$B9154, $A$2:$A9153+$C$2:$C9153)), "")*24*60, "")</f>
        <v/>
      </c>
      <c r="K9154" s="24" t="str" cm="1">
        <f t="array" ref="K9154">IFERROR(IF($B9154=K$1, ($A9154+$C9154) - MAX(IF($B$2:$B9153=$B9154, $A$2:$A9153+$C$2:$C9153)), "")*24*60, "")</f>
        <v/>
      </c>
      <c r="L9154" s="24" t="str" cm="1">
        <f t="array" ref="L9154">IFERROR(IF($B9154=L$1, ($A9154+$C9154) - MAX(IF($B$2:$B9153=$B9154, $A$2:$A9153+$C$2:$C9153)), "")*24*60, "")</f>
        <v/>
      </c>
      <c r="M9154" s="24" t="str" cm="1">
        <f t="array" ref="M9154">IFERROR(IF($B9154=M$1, ($A9154+$C9154) - MAX(IF($B$2:$B9153=$B9154, $A$2:$A9153+$C$2:$C9153)), "")*24*60, "")</f>
        <v/>
      </c>
      <c r="N9154" s="24" t="str" cm="1">
        <f t="array" ref="N9154">IFERROR(IF($B9154=N$1, ($A9154+$C9154) - MAX(IF($B$2:$B9153=$B9154, $A$2:$A9153+$C$2:$C9153)), "")*24*60, "")</f>
        <v/>
      </c>
      <c r="O9154" s="24" t="str" cm="1">
        <f t="array" ref="O9154">IFERROR(IF($B9154=O$1, ($A9154+$C9154) - MAX(IF($B$2:$B9153=$B9154, $A$2:$A9153+$C$2:$C9153)), "")*24*60, "")</f>
        <v/>
      </c>
      <c r="P9154" s="24" t="str" cm="1">
        <f t="array" ref="P9154">IFERROR(IF($B9154=P$1, ($A9154+$C9154) - MAX(IF($B$2:$B9153=$B9154, $A$2:$A9153+$C$2:$C9153)), "")*24*60, "")</f>
        <v/>
      </c>
      <c r="Q9154" s="24" t="str" cm="1">
        <f t="array" ref="Q9154">IFERROR(IF($B9154=Q$1, ($A9154+$C9154) - MAX(IF($B$2:$B9153=$B9154, $A$2:$A9153+$C$2:$C9153)), "")*24*60, "")</f>
        <v/>
      </c>
      <c r="R9154" s="24" t="str" cm="1">
        <f t="array" ref="R9154">IFERROR(IF($B9154=R$1, ($A9154+$C9154) - MAX(IF($B$2:$B9153=$B9154, $A$2:$A9153+$C$2:$C9153)), "")*24*60, "")</f>
        <v/>
      </c>
      <c r="S9154" s="24" t="str" cm="1">
        <f t="array" ref="S9154">IFERROR(IF($B9154=S$1, ($A9154+$C9154) - MAX(IF($B$2:$B9153=$B9154, $A$2:$A9153+$C$2:$C9153)), "")*24*60, "")</f>
        <v/>
      </c>
    </row>
    <row r="9155" spans="1:19" x14ac:dyDescent="0.2">
      <c r="A9155" s="12">
        <f t="shared" ref="A9155:C9155" si="1587">A9154</f>
        <v>46042</v>
      </c>
      <c r="B9155" s="5" t="str">
        <f t="shared" si="1587"/>
        <v>Northern Cardinal</v>
      </c>
      <c r="C9155" s="6">
        <f t="shared" si="1587"/>
        <v>0.29166666666666669</v>
      </c>
      <c r="D9155" s="5"/>
      <c r="E9155" s="5"/>
      <c r="F9155" s="5" t="s">
        <v>9</v>
      </c>
      <c r="G9155" s="15" t="s">
        <v>26</v>
      </c>
      <c r="H9155" s="24">
        <f t="shared" si="1412"/>
        <v>0</v>
      </c>
      <c r="I9155" s="24" cm="1">
        <f t="array" ref="I9155">IFERROR(IF($B9155=I$1, ($A9155+$C9155) - MAX(IF($B$2:$B9154=$B9155, $A$2:$A9154+$C$2:$C9154)), "")*24*60, "")</f>
        <v>0</v>
      </c>
      <c r="J9155" s="24" t="str" cm="1">
        <f t="array" ref="J9155">IFERROR(IF($B9155=J$1, ($A9155+$C9155) - MAX(IF($B$2:$B9154=$B9155, $A$2:$A9154+$C$2:$C9154)), "")*24*60, "")</f>
        <v/>
      </c>
      <c r="K9155" s="24" t="str" cm="1">
        <f t="array" ref="K9155">IFERROR(IF($B9155=K$1, ($A9155+$C9155) - MAX(IF($B$2:$B9154=$B9155, $A$2:$A9154+$C$2:$C9154)), "")*24*60, "")</f>
        <v/>
      </c>
      <c r="L9155" s="24" t="str" cm="1">
        <f t="array" ref="L9155">IFERROR(IF($B9155=L$1, ($A9155+$C9155) - MAX(IF($B$2:$B9154=$B9155, $A$2:$A9154+$C$2:$C9154)), "")*24*60, "")</f>
        <v/>
      </c>
      <c r="M9155" s="24" t="str" cm="1">
        <f t="array" ref="M9155">IFERROR(IF($B9155=M$1, ($A9155+$C9155) - MAX(IF($B$2:$B9154=$B9155, $A$2:$A9154+$C$2:$C9154)), "")*24*60, "")</f>
        <v/>
      </c>
      <c r="N9155" s="24" t="str" cm="1">
        <f t="array" ref="N9155">IFERROR(IF($B9155=N$1, ($A9155+$C9155) - MAX(IF($B$2:$B9154=$B9155, $A$2:$A9154+$C$2:$C9154)), "")*24*60, "")</f>
        <v/>
      </c>
      <c r="O9155" s="24" t="str" cm="1">
        <f t="array" ref="O9155">IFERROR(IF($B9155=O$1, ($A9155+$C9155) - MAX(IF($B$2:$B9154=$B9155, $A$2:$A9154+$C$2:$C9154)), "")*24*60, "")</f>
        <v/>
      </c>
      <c r="P9155" s="24" t="str" cm="1">
        <f t="array" ref="P9155">IFERROR(IF($B9155=P$1, ($A9155+$C9155) - MAX(IF($B$2:$B9154=$B9155, $A$2:$A9154+$C$2:$C9154)), "")*24*60, "")</f>
        <v/>
      </c>
      <c r="Q9155" s="24" t="str" cm="1">
        <f t="array" ref="Q9155">IFERROR(IF($B9155=Q$1, ($A9155+$C9155) - MAX(IF($B$2:$B9154=$B9155, $A$2:$A9154+$C$2:$C9154)), "")*24*60, "")</f>
        <v/>
      </c>
      <c r="R9155" s="24" t="str" cm="1">
        <f t="array" ref="R9155">IFERROR(IF($B9155=R$1, ($A9155+$C9155) - MAX(IF($B$2:$B9154=$B9155, $A$2:$A9154+$C$2:$C9154)), "")*24*60, "")</f>
        <v/>
      </c>
      <c r="S9155" s="24" t="str" cm="1">
        <f t="array" ref="S9155">IFERROR(IF($B9155=S$1, ($A9155+$C9155) - MAX(IF($B$2:$B9154=$B9155, $A$2:$A9154+$C$2:$C9154)), "")*24*60, "")</f>
        <v/>
      </c>
    </row>
    <row r="9156" spans="1:19" x14ac:dyDescent="0.2">
      <c r="A9156" s="12">
        <f t="shared" ref="A9156:C9156" si="1588">A9155</f>
        <v>46042</v>
      </c>
      <c r="B9156" s="5" t="str">
        <f t="shared" si="1588"/>
        <v>Northern Cardinal</v>
      </c>
      <c r="C9156" s="6">
        <f t="shared" si="1588"/>
        <v>0.29166666666666669</v>
      </c>
      <c r="D9156" s="5"/>
      <c r="E9156" s="5"/>
      <c r="F9156" s="5" t="s">
        <v>9</v>
      </c>
      <c r="G9156" s="15" t="s">
        <v>26</v>
      </c>
      <c r="H9156" s="24">
        <f t="shared" si="1412"/>
        <v>0</v>
      </c>
      <c r="I9156" s="24" cm="1">
        <f t="array" ref="I9156">IFERROR(IF($B9156=I$1, ($A9156+$C9156) - MAX(IF($B$2:$B9155=$B9156, $A$2:$A9155+$C$2:$C9155)), "")*24*60, "")</f>
        <v>0</v>
      </c>
      <c r="J9156" s="24" t="str" cm="1">
        <f t="array" ref="J9156">IFERROR(IF($B9156=J$1, ($A9156+$C9156) - MAX(IF($B$2:$B9155=$B9156, $A$2:$A9155+$C$2:$C9155)), "")*24*60, "")</f>
        <v/>
      </c>
      <c r="K9156" s="24" t="str" cm="1">
        <f t="array" ref="K9156">IFERROR(IF($B9156=K$1, ($A9156+$C9156) - MAX(IF($B$2:$B9155=$B9156, $A$2:$A9155+$C$2:$C9155)), "")*24*60, "")</f>
        <v/>
      </c>
      <c r="L9156" s="24" t="str" cm="1">
        <f t="array" ref="L9156">IFERROR(IF($B9156=L$1, ($A9156+$C9156) - MAX(IF($B$2:$B9155=$B9156, $A$2:$A9155+$C$2:$C9155)), "")*24*60, "")</f>
        <v/>
      </c>
      <c r="M9156" s="24" t="str" cm="1">
        <f t="array" ref="M9156">IFERROR(IF($B9156=M$1, ($A9156+$C9156) - MAX(IF($B$2:$B9155=$B9156, $A$2:$A9155+$C$2:$C9155)), "")*24*60, "")</f>
        <v/>
      </c>
      <c r="N9156" s="24" t="str" cm="1">
        <f t="array" ref="N9156">IFERROR(IF($B9156=N$1, ($A9156+$C9156) - MAX(IF($B$2:$B9155=$B9156, $A$2:$A9155+$C$2:$C9155)), "")*24*60, "")</f>
        <v/>
      </c>
      <c r="O9156" s="24" t="str" cm="1">
        <f t="array" ref="O9156">IFERROR(IF($B9156=O$1, ($A9156+$C9156) - MAX(IF($B$2:$B9155=$B9156, $A$2:$A9155+$C$2:$C9155)), "")*24*60, "")</f>
        <v/>
      </c>
      <c r="P9156" s="24" t="str" cm="1">
        <f t="array" ref="P9156">IFERROR(IF($B9156=P$1, ($A9156+$C9156) - MAX(IF($B$2:$B9155=$B9156, $A$2:$A9155+$C$2:$C9155)), "")*24*60, "")</f>
        <v/>
      </c>
      <c r="Q9156" s="24" t="str" cm="1">
        <f t="array" ref="Q9156">IFERROR(IF($B9156=Q$1, ($A9156+$C9156) - MAX(IF($B$2:$B9155=$B9156, $A$2:$A9155+$C$2:$C9155)), "")*24*60, "")</f>
        <v/>
      </c>
      <c r="R9156" s="24" t="str" cm="1">
        <f t="array" ref="R9156">IFERROR(IF($B9156=R$1, ($A9156+$C9156) - MAX(IF($B$2:$B9155=$B9156, $A$2:$A9155+$C$2:$C9155)), "")*24*60, "")</f>
        <v/>
      </c>
      <c r="S9156" s="24" t="str" cm="1">
        <f t="array" ref="S9156">IFERROR(IF($B9156=S$1, ($A9156+$C9156) - MAX(IF($B$2:$B9155=$B9156, $A$2:$A9155+$C$2:$C9155)), "")*24*60, "")</f>
        <v/>
      </c>
    </row>
    <row r="9157" spans="1:19" x14ac:dyDescent="0.2">
      <c r="A9157" s="12">
        <f t="shared" ref="A9157:C9157" si="1589">A9156</f>
        <v>46042</v>
      </c>
      <c r="B9157" s="5" t="str">
        <f t="shared" si="1589"/>
        <v>Northern Cardinal</v>
      </c>
      <c r="C9157" s="6">
        <f t="shared" si="1589"/>
        <v>0.29166666666666669</v>
      </c>
      <c r="D9157" s="5"/>
      <c r="E9157" s="5"/>
      <c r="F9157" s="5" t="s">
        <v>9</v>
      </c>
      <c r="G9157" s="15" t="s">
        <v>26</v>
      </c>
      <c r="H9157" s="24">
        <f t="shared" si="1412"/>
        <v>0</v>
      </c>
      <c r="I9157" s="24" cm="1">
        <f t="array" ref="I9157">IFERROR(IF($B9157=I$1, ($A9157+$C9157) - MAX(IF($B$2:$B9156=$B9157, $A$2:$A9156+$C$2:$C9156)), "")*24*60, "")</f>
        <v>0</v>
      </c>
      <c r="J9157" s="24" t="str" cm="1">
        <f t="array" ref="J9157">IFERROR(IF($B9157=J$1, ($A9157+$C9157) - MAX(IF($B$2:$B9156=$B9157, $A$2:$A9156+$C$2:$C9156)), "")*24*60, "")</f>
        <v/>
      </c>
      <c r="K9157" s="24" t="str" cm="1">
        <f t="array" ref="K9157">IFERROR(IF($B9157=K$1, ($A9157+$C9157) - MAX(IF($B$2:$B9156=$B9157, $A$2:$A9156+$C$2:$C9156)), "")*24*60, "")</f>
        <v/>
      </c>
      <c r="L9157" s="24" t="str" cm="1">
        <f t="array" ref="L9157">IFERROR(IF($B9157=L$1, ($A9157+$C9157) - MAX(IF($B$2:$B9156=$B9157, $A$2:$A9156+$C$2:$C9156)), "")*24*60, "")</f>
        <v/>
      </c>
      <c r="M9157" s="24" t="str" cm="1">
        <f t="array" ref="M9157">IFERROR(IF($B9157=M$1, ($A9157+$C9157) - MAX(IF($B$2:$B9156=$B9157, $A$2:$A9156+$C$2:$C9156)), "")*24*60, "")</f>
        <v/>
      </c>
      <c r="N9157" s="24" t="str" cm="1">
        <f t="array" ref="N9157">IFERROR(IF($B9157=N$1, ($A9157+$C9157) - MAX(IF($B$2:$B9156=$B9157, $A$2:$A9156+$C$2:$C9156)), "")*24*60, "")</f>
        <v/>
      </c>
      <c r="O9157" s="24" t="str" cm="1">
        <f t="array" ref="O9157">IFERROR(IF($B9157=O$1, ($A9157+$C9157) - MAX(IF($B$2:$B9156=$B9157, $A$2:$A9156+$C$2:$C9156)), "")*24*60, "")</f>
        <v/>
      </c>
      <c r="P9157" s="24" t="str" cm="1">
        <f t="array" ref="P9157">IFERROR(IF($B9157=P$1, ($A9157+$C9157) - MAX(IF($B$2:$B9156=$B9157, $A$2:$A9156+$C$2:$C9156)), "")*24*60, "")</f>
        <v/>
      </c>
      <c r="Q9157" s="24" t="str" cm="1">
        <f t="array" ref="Q9157">IFERROR(IF($B9157=Q$1, ($A9157+$C9157) - MAX(IF($B$2:$B9156=$B9157, $A$2:$A9156+$C$2:$C9156)), "")*24*60, "")</f>
        <v/>
      </c>
      <c r="R9157" s="24" t="str" cm="1">
        <f t="array" ref="R9157">IFERROR(IF($B9157=R$1, ($A9157+$C9157) - MAX(IF($B$2:$B9156=$B9157, $A$2:$A9156+$C$2:$C9156)), "")*24*60, "")</f>
        <v/>
      </c>
      <c r="S9157" s="24" t="str" cm="1">
        <f t="array" ref="S9157">IFERROR(IF($B9157=S$1, ($A9157+$C9157) - MAX(IF($B$2:$B9156=$B9157, $A$2:$A9156+$C$2:$C9156)), "")*24*60, "")</f>
        <v/>
      </c>
    </row>
    <row r="9158" spans="1:19" x14ac:dyDescent="0.2">
      <c r="A9158" s="12">
        <f t="shared" ref="A9158:C9158" si="1590">A9157</f>
        <v>46042</v>
      </c>
      <c r="B9158" s="5" t="str">
        <f t="shared" si="1590"/>
        <v>Northern Cardinal</v>
      </c>
      <c r="C9158" s="6">
        <f t="shared" si="1590"/>
        <v>0.29166666666666669</v>
      </c>
      <c r="D9158" s="5"/>
      <c r="E9158" s="5"/>
      <c r="F9158" s="5" t="s">
        <v>9</v>
      </c>
      <c r="G9158" s="15" t="s">
        <v>26</v>
      </c>
      <c r="H9158" s="24">
        <f t="shared" si="1412"/>
        <v>0</v>
      </c>
      <c r="I9158" s="24" cm="1">
        <f t="array" ref="I9158">IFERROR(IF($B9158=I$1, ($A9158+$C9158) - MAX(IF($B$2:$B9157=$B9158, $A$2:$A9157+$C$2:$C9157)), "")*24*60, "")</f>
        <v>0</v>
      </c>
      <c r="J9158" s="24" t="str" cm="1">
        <f t="array" ref="J9158">IFERROR(IF($B9158=J$1, ($A9158+$C9158) - MAX(IF($B$2:$B9157=$B9158, $A$2:$A9157+$C$2:$C9157)), "")*24*60, "")</f>
        <v/>
      </c>
      <c r="K9158" s="24" t="str" cm="1">
        <f t="array" ref="K9158">IFERROR(IF($B9158=K$1, ($A9158+$C9158) - MAX(IF($B$2:$B9157=$B9158, $A$2:$A9157+$C$2:$C9157)), "")*24*60, "")</f>
        <v/>
      </c>
      <c r="L9158" s="24" t="str" cm="1">
        <f t="array" ref="L9158">IFERROR(IF($B9158=L$1, ($A9158+$C9158) - MAX(IF($B$2:$B9157=$B9158, $A$2:$A9157+$C$2:$C9157)), "")*24*60, "")</f>
        <v/>
      </c>
      <c r="M9158" s="24" t="str" cm="1">
        <f t="array" ref="M9158">IFERROR(IF($B9158=M$1, ($A9158+$C9158) - MAX(IF($B$2:$B9157=$B9158, $A$2:$A9157+$C$2:$C9157)), "")*24*60, "")</f>
        <v/>
      </c>
      <c r="N9158" s="24" t="str" cm="1">
        <f t="array" ref="N9158">IFERROR(IF($B9158=N$1, ($A9158+$C9158) - MAX(IF($B$2:$B9157=$B9158, $A$2:$A9157+$C$2:$C9157)), "")*24*60, "")</f>
        <v/>
      </c>
      <c r="O9158" s="24" t="str" cm="1">
        <f t="array" ref="O9158">IFERROR(IF($B9158=O$1, ($A9158+$C9158) - MAX(IF($B$2:$B9157=$B9158, $A$2:$A9157+$C$2:$C9157)), "")*24*60, "")</f>
        <v/>
      </c>
      <c r="P9158" s="24" t="str" cm="1">
        <f t="array" ref="P9158">IFERROR(IF($B9158=P$1, ($A9158+$C9158) - MAX(IF($B$2:$B9157=$B9158, $A$2:$A9157+$C$2:$C9157)), "")*24*60, "")</f>
        <v/>
      </c>
      <c r="Q9158" s="24" t="str" cm="1">
        <f t="array" ref="Q9158">IFERROR(IF($B9158=Q$1, ($A9158+$C9158) - MAX(IF($B$2:$B9157=$B9158, $A$2:$A9157+$C$2:$C9157)), "")*24*60, "")</f>
        <v/>
      </c>
      <c r="R9158" s="24" t="str" cm="1">
        <f t="array" ref="R9158">IFERROR(IF($B9158=R$1, ($A9158+$C9158) - MAX(IF($B$2:$B9157=$B9158, $A$2:$A9157+$C$2:$C9157)), "")*24*60, "")</f>
        <v/>
      </c>
      <c r="S9158" s="24" t="str" cm="1">
        <f t="array" ref="S9158">IFERROR(IF($B9158=S$1, ($A9158+$C9158) - MAX(IF($B$2:$B9157=$B9158, $A$2:$A9157+$C$2:$C9157)), "")*24*60, "")</f>
        <v/>
      </c>
    </row>
    <row r="9159" spans="1:19" x14ac:dyDescent="0.2">
      <c r="A9159" s="12">
        <f t="shared" ref="A9159:C9159" si="1591">A9158</f>
        <v>46042</v>
      </c>
      <c r="B9159" s="5" t="str">
        <f t="shared" si="1591"/>
        <v>Northern Cardinal</v>
      </c>
      <c r="C9159" s="6">
        <f t="shared" si="1591"/>
        <v>0.29166666666666669</v>
      </c>
      <c r="D9159" s="5"/>
      <c r="E9159" s="5"/>
      <c r="F9159" s="5" t="s">
        <v>9</v>
      </c>
      <c r="G9159" s="15" t="s">
        <v>26</v>
      </c>
      <c r="H9159" s="24">
        <f t="shared" si="1412"/>
        <v>0</v>
      </c>
      <c r="I9159" s="24" cm="1">
        <f t="array" ref="I9159">IFERROR(IF($B9159=I$1, ($A9159+$C9159) - MAX(IF($B$2:$B9158=$B9159, $A$2:$A9158+$C$2:$C9158)), "")*24*60, "")</f>
        <v>0</v>
      </c>
      <c r="J9159" s="24" t="str" cm="1">
        <f t="array" ref="J9159">IFERROR(IF($B9159=J$1, ($A9159+$C9159) - MAX(IF($B$2:$B9158=$B9159, $A$2:$A9158+$C$2:$C9158)), "")*24*60, "")</f>
        <v/>
      </c>
      <c r="K9159" s="24" t="str" cm="1">
        <f t="array" ref="K9159">IFERROR(IF($B9159=K$1, ($A9159+$C9159) - MAX(IF($B$2:$B9158=$B9159, $A$2:$A9158+$C$2:$C9158)), "")*24*60, "")</f>
        <v/>
      </c>
      <c r="L9159" s="24" t="str" cm="1">
        <f t="array" ref="L9159">IFERROR(IF($B9159=L$1, ($A9159+$C9159) - MAX(IF($B$2:$B9158=$B9159, $A$2:$A9158+$C$2:$C9158)), "")*24*60, "")</f>
        <v/>
      </c>
      <c r="M9159" s="24" t="str" cm="1">
        <f t="array" ref="M9159">IFERROR(IF($B9159=M$1, ($A9159+$C9159) - MAX(IF($B$2:$B9158=$B9159, $A$2:$A9158+$C$2:$C9158)), "")*24*60, "")</f>
        <v/>
      </c>
      <c r="N9159" s="24" t="str" cm="1">
        <f t="array" ref="N9159">IFERROR(IF($B9159=N$1, ($A9159+$C9159) - MAX(IF($B$2:$B9158=$B9159, $A$2:$A9158+$C$2:$C9158)), "")*24*60, "")</f>
        <v/>
      </c>
      <c r="O9159" s="24" t="str" cm="1">
        <f t="array" ref="O9159">IFERROR(IF($B9159=O$1, ($A9159+$C9159) - MAX(IF($B$2:$B9158=$B9159, $A$2:$A9158+$C$2:$C9158)), "")*24*60, "")</f>
        <v/>
      </c>
      <c r="P9159" s="24" t="str" cm="1">
        <f t="array" ref="P9159">IFERROR(IF($B9159=P$1, ($A9159+$C9159) - MAX(IF($B$2:$B9158=$B9159, $A$2:$A9158+$C$2:$C9158)), "")*24*60, "")</f>
        <v/>
      </c>
      <c r="Q9159" s="24" t="str" cm="1">
        <f t="array" ref="Q9159">IFERROR(IF($B9159=Q$1, ($A9159+$C9159) - MAX(IF($B$2:$B9158=$B9159, $A$2:$A9158+$C$2:$C9158)), "")*24*60, "")</f>
        <v/>
      </c>
      <c r="R9159" s="24" t="str" cm="1">
        <f t="array" ref="R9159">IFERROR(IF($B9159=R$1, ($A9159+$C9159) - MAX(IF($B$2:$B9158=$B9159, $A$2:$A9158+$C$2:$C9158)), "")*24*60, "")</f>
        <v/>
      </c>
      <c r="S9159" s="24" t="str" cm="1">
        <f t="array" ref="S9159">IFERROR(IF($B9159=S$1, ($A9159+$C9159) - MAX(IF($B$2:$B9158=$B9159, $A$2:$A9158+$C$2:$C9158)), "")*24*60, "")</f>
        <v/>
      </c>
    </row>
    <row r="9160" spans="1:19" x14ac:dyDescent="0.2">
      <c r="A9160" s="12">
        <f t="shared" ref="A9160:C9160" si="1592">A9159</f>
        <v>46042</v>
      </c>
      <c r="B9160" s="5" t="str">
        <f t="shared" si="1592"/>
        <v>Northern Cardinal</v>
      </c>
      <c r="C9160" s="6">
        <f t="shared" si="1592"/>
        <v>0.29166666666666669</v>
      </c>
      <c r="D9160" s="5"/>
      <c r="E9160" s="5"/>
      <c r="F9160" s="5" t="s">
        <v>9</v>
      </c>
      <c r="G9160" s="15" t="s">
        <v>26</v>
      </c>
      <c r="H9160" s="24">
        <f t="shared" si="1412"/>
        <v>0</v>
      </c>
      <c r="I9160" s="24" cm="1">
        <f t="array" ref="I9160">IFERROR(IF($B9160=I$1, ($A9160+$C9160) - MAX(IF($B$2:$B9159=$B9160, $A$2:$A9159+$C$2:$C9159)), "")*24*60, "")</f>
        <v>0</v>
      </c>
      <c r="J9160" s="24" t="str" cm="1">
        <f t="array" ref="J9160">IFERROR(IF($B9160=J$1, ($A9160+$C9160) - MAX(IF($B$2:$B9159=$B9160, $A$2:$A9159+$C$2:$C9159)), "")*24*60, "")</f>
        <v/>
      </c>
      <c r="K9160" s="24" t="str" cm="1">
        <f t="array" ref="K9160">IFERROR(IF($B9160=K$1, ($A9160+$C9160) - MAX(IF($B$2:$B9159=$B9160, $A$2:$A9159+$C$2:$C9159)), "")*24*60, "")</f>
        <v/>
      </c>
      <c r="L9160" s="24" t="str" cm="1">
        <f t="array" ref="L9160">IFERROR(IF($B9160=L$1, ($A9160+$C9160) - MAX(IF($B$2:$B9159=$B9160, $A$2:$A9159+$C$2:$C9159)), "")*24*60, "")</f>
        <v/>
      </c>
      <c r="M9160" s="24" t="str" cm="1">
        <f t="array" ref="M9160">IFERROR(IF($B9160=M$1, ($A9160+$C9160) - MAX(IF($B$2:$B9159=$B9160, $A$2:$A9159+$C$2:$C9159)), "")*24*60, "")</f>
        <v/>
      </c>
      <c r="N9160" s="24" t="str" cm="1">
        <f t="array" ref="N9160">IFERROR(IF($B9160=N$1, ($A9160+$C9160) - MAX(IF($B$2:$B9159=$B9160, $A$2:$A9159+$C$2:$C9159)), "")*24*60, "")</f>
        <v/>
      </c>
      <c r="O9160" s="24" t="str" cm="1">
        <f t="array" ref="O9160">IFERROR(IF($B9160=O$1, ($A9160+$C9160) - MAX(IF($B$2:$B9159=$B9160, $A$2:$A9159+$C$2:$C9159)), "")*24*60, "")</f>
        <v/>
      </c>
      <c r="P9160" s="24" t="str" cm="1">
        <f t="array" ref="P9160">IFERROR(IF($B9160=P$1, ($A9160+$C9160) - MAX(IF($B$2:$B9159=$B9160, $A$2:$A9159+$C$2:$C9159)), "")*24*60, "")</f>
        <v/>
      </c>
      <c r="Q9160" s="24" t="str" cm="1">
        <f t="array" ref="Q9160">IFERROR(IF($B9160=Q$1, ($A9160+$C9160) - MAX(IF($B$2:$B9159=$B9160, $A$2:$A9159+$C$2:$C9159)), "")*24*60, "")</f>
        <v/>
      </c>
      <c r="R9160" s="24" t="str" cm="1">
        <f t="array" ref="R9160">IFERROR(IF($B9160=R$1, ($A9160+$C9160) - MAX(IF($B$2:$B9159=$B9160, $A$2:$A9159+$C$2:$C9159)), "")*24*60, "")</f>
        <v/>
      </c>
      <c r="S9160" s="24" t="str" cm="1">
        <f t="array" ref="S9160">IFERROR(IF($B9160=S$1, ($A9160+$C9160) - MAX(IF($B$2:$B9159=$B9160, $A$2:$A9159+$C$2:$C9159)),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51"/>
  <sheetViews>
    <sheetView zoomScale="120" zoomScaleNormal="120" workbookViewId="0">
      <pane ySplit="1" topLeftCell="A323" activePane="bottomLeft" state="frozen"/>
      <selection pane="bottomLeft" activeCell="C349" sqref="C349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26">
        <v>46027</v>
      </c>
      <c r="B319" s="27" t="s">
        <v>10</v>
      </c>
      <c r="C319" s="27">
        <f>COUNTIFS(RawData!$B:$B, $B319, RawData!$A:$A, DailySummaries!$A319)</f>
        <v>24</v>
      </c>
      <c r="D319" s="27">
        <f>SUMIFS(RawData!$D:$D,RawData!$B:$B,$B319,RawData!$A:$A,DailySummaries!$A319)+1</f>
        <v>6</v>
      </c>
      <c r="E319" s="27">
        <f>SUMIFS(RawData!$E:$E,RawData!$B:$B,$B319,RawData!$A:$A,DailySummaries!$A319)+1</f>
        <v>46</v>
      </c>
    </row>
    <row r="320" spans="1:5" x14ac:dyDescent="0.25">
      <c r="A320" s="10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26">
        <v>46028</v>
      </c>
      <c r="B321" s="27" t="s">
        <v>3</v>
      </c>
      <c r="C321" s="27">
        <f>COUNTIFS(RawData!$B:$B, $B321, RawData!$A:$A, DailySummaries!$A321)</f>
        <v>22</v>
      </c>
      <c r="D321" s="27">
        <f>SUMIFS(RawData!$D:$D,RawData!$B:$B,$B321,RawData!$A:$A,DailySummaries!$A321)+1</f>
        <v>1</v>
      </c>
      <c r="E321" s="27">
        <f>SUMIFS(RawData!$E:$E,RawData!$B:$B,$B321,RawData!$A:$A,DailySummaries!$A321)+1</f>
        <v>73</v>
      </c>
    </row>
    <row r="322" spans="1:5" x14ac:dyDescent="0.25">
      <c r="A322" s="10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10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26">
        <v>46029</v>
      </c>
      <c r="B324" s="27" t="s">
        <v>16</v>
      </c>
      <c r="C324" s="27">
        <f>COUNTIFS(RawData!$B:$B, $B324, RawData!$A:$A, DailySummaries!$A324)</f>
        <v>9</v>
      </c>
      <c r="D324" s="27">
        <f>SUMIFS(RawData!$D:$D,RawData!$B:$B,$B324,RawData!$A:$A,DailySummaries!$A324)+1</f>
        <v>63</v>
      </c>
      <c r="E324" s="27">
        <f>SUMIFS(RawData!$E:$E,RawData!$B:$B,$B324,RawData!$A:$A,DailySummaries!$A324)+1</f>
        <v>25</v>
      </c>
    </row>
    <row r="325" spans="1:5" x14ac:dyDescent="0.25">
      <c r="A325" s="10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10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26">
        <v>46030</v>
      </c>
      <c r="B327" s="27" t="s">
        <v>16</v>
      </c>
      <c r="C327" s="27">
        <f>COUNTIFS(RawData!$B:$B, $B327, RawData!$A:$A, DailySummaries!$A327)</f>
        <v>6</v>
      </c>
      <c r="D327" s="27">
        <f>SUMIFS(RawData!$D:$D,RawData!$B:$B,$B327,RawData!$A:$A,DailySummaries!$A327)+1</f>
        <v>19</v>
      </c>
      <c r="E327" s="27">
        <f>SUMIFS(RawData!$E:$E,RawData!$B:$B,$B327,RawData!$A:$A,DailySummaries!$A327)+1</f>
        <v>13</v>
      </c>
    </row>
    <row r="328" spans="1:5" x14ac:dyDescent="0.25">
      <c r="A328" s="10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10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26">
        <v>46031</v>
      </c>
      <c r="B330" s="27" t="s">
        <v>16</v>
      </c>
      <c r="C330" s="27">
        <f>COUNTIFS(RawData!$B:$B, $B330, RawData!$A:$A, DailySummaries!$A330)</f>
        <v>8</v>
      </c>
      <c r="D330" s="27">
        <f>SUMIFS(RawData!$D:$D,RawData!$B:$B,$B330,RawData!$A:$A,DailySummaries!$A330)+1</f>
        <v>47</v>
      </c>
      <c r="E330" s="27">
        <f>SUMIFS(RawData!$E:$E,RawData!$B:$B,$B330,RawData!$A:$A,DailySummaries!$A330)+1</f>
        <v>9</v>
      </c>
    </row>
    <row r="331" spans="1:5" x14ac:dyDescent="0.25">
      <c r="A331" s="10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10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10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10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26">
        <v>46032</v>
      </c>
      <c r="B335" s="27" t="s">
        <v>10</v>
      </c>
      <c r="C335" s="27">
        <f>COUNTIFS(RawData!$B:$B, $B335, RawData!$A:$A, DailySummaries!$A335)</f>
        <v>4</v>
      </c>
      <c r="D335" s="27">
        <f>SUMIFS(RawData!$D:$D,RawData!$B:$B,$B335,RawData!$A:$A,DailySummaries!$A335)+1</f>
        <v>1</v>
      </c>
      <c r="E335" s="27">
        <f>SUMIFS(RawData!$E:$E,RawData!$B:$B,$B335,RawData!$A:$A,DailySummaries!$A335)+1</f>
        <v>6</v>
      </c>
    </row>
    <row r="336" spans="1:5" x14ac:dyDescent="0.25">
      <c r="A336" s="32">
        <v>46033</v>
      </c>
      <c r="B336" s="33" t="s">
        <v>3</v>
      </c>
      <c r="C336" s="33">
        <f>COUNTIFS(RawData!$B:$B, $B336, RawData!$A:$A, DailySummaries!$A336)</f>
        <v>16</v>
      </c>
      <c r="D336" s="33">
        <f>SUMIFS(RawData!$D:$D,RawData!$B:$B,$B336,RawData!$A:$A,DailySummaries!$A336)+1</f>
        <v>1</v>
      </c>
      <c r="E336" s="33">
        <f>SUMIFS(RawData!$E:$E,RawData!$B:$B,$B336,RawData!$A:$A,DailySummaries!$A336)+1</f>
        <v>50</v>
      </c>
    </row>
    <row r="337" spans="1:5" x14ac:dyDescent="0.25">
      <c r="A337" s="10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26">
        <v>46034</v>
      </c>
      <c r="B338" s="27" t="s">
        <v>16</v>
      </c>
      <c r="C338" s="27">
        <f>COUNTIFS(RawData!$B:$B, $B338, RawData!$A:$A, DailySummaries!$A338)</f>
        <v>2</v>
      </c>
      <c r="D338" s="27">
        <f>SUMIFS(RawData!$D:$D,RawData!$B:$B,$B338,RawData!$A:$A,DailySummaries!$A338)+1</f>
        <v>18</v>
      </c>
      <c r="E338" s="27">
        <f>SUMIFS(RawData!$E:$E,RawData!$B:$B,$B338,RawData!$A:$A,DailySummaries!$A338)+1</f>
        <v>1</v>
      </c>
    </row>
    <row r="339" spans="1:5" x14ac:dyDescent="0.25">
      <c r="A339" s="10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26">
        <v>46035</v>
      </c>
      <c r="B340" s="27" t="s">
        <v>16</v>
      </c>
      <c r="C340" s="27">
        <f>COUNTIFS(RawData!$B:$B, $B340, RawData!$A:$A, DailySummaries!$A340)</f>
        <v>2</v>
      </c>
      <c r="D340" s="27">
        <f>SUMIFS(RawData!$D:$D,RawData!$B:$B,$B340,RawData!$A:$A,DailySummaries!$A340)+1</f>
        <v>10</v>
      </c>
      <c r="E340" s="27">
        <f>SUMIFS(RawData!$E:$E,RawData!$B:$B,$B340,RawData!$A:$A,DailySummaries!$A340)+1</f>
        <v>2</v>
      </c>
    </row>
    <row r="341" spans="1:5" x14ac:dyDescent="0.25">
      <c r="A341" s="32">
        <v>46036</v>
      </c>
      <c r="B341" s="33" t="s">
        <v>3</v>
      </c>
      <c r="C341" s="33">
        <f>COUNTIFS(RawData!$B:$B, $B341, RawData!$A:$A, DailySummaries!$A341)</f>
        <v>36</v>
      </c>
      <c r="D341" s="33">
        <f>SUMIFS(RawData!$D:$D,RawData!$B:$B,$B341,RawData!$A:$A,DailySummaries!$A341)+1</f>
        <v>16</v>
      </c>
      <c r="E341" s="33">
        <f>SUMIFS(RawData!$E:$E,RawData!$B:$B,$B341,RawData!$A:$A,DailySummaries!$A341)+1</f>
        <v>78</v>
      </c>
    </row>
    <row r="342" spans="1:5" x14ac:dyDescent="0.25">
      <c r="A342" s="10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26">
        <v>46037</v>
      </c>
      <c r="B343" s="27" t="s">
        <v>16</v>
      </c>
      <c r="C343" s="27">
        <f>COUNTIFS(RawData!$B:$B, $B343, RawData!$A:$A, DailySummaries!$A343)</f>
        <v>13</v>
      </c>
      <c r="D343" s="27">
        <f>SUMIFS(RawData!$D:$D,RawData!$B:$B,$B343,RawData!$A:$A,DailySummaries!$A343)+1</f>
        <v>52</v>
      </c>
      <c r="E343" s="27">
        <f>SUMIFS(RawData!$E:$E,RawData!$B:$B,$B343,RawData!$A:$A,DailySummaries!$A343)+1</f>
        <v>24</v>
      </c>
    </row>
    <row r="344" spans="1:5" x14ac:dyDescent="0.25">
      <c r="A344" s="10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26">
        <v>46038</v>
      </c>
      <c r="B345" s="27" t="s">
        <v>16</v>
      </c>
      <c r="C345" s="27">
        <f>COUNTIFS(RawData!$B:$B, $B345, RawData!$A:$A, DailySummaries!$A345)</f>
        <v>6</v>
      </c>
      <c r="D345" s="27">
        <f>SUMIFS(RawData!$D:$D,RawData!$B:$B,$B345,RawData!$A:$A,DailySummaries!$A345)+1</f>
        <v>61</v>
      </c>
      <c r="E345" s="27">
        <f>SUMIFS(RawData!$E:$E,RawData!$B:$B,$B345,RawData!$A:$A,DailySummaries!$A345)+1</f>
        <v>3</v>
      </c>
    </row>
    <row r="346" spans="1:5" x14ac:dyDescent="0.25">
      <c r="A346" s="10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26">
        <v>46039</v>
      </c>
      <c r="B347" s="27" t="s">
        <v>16</v>
      </c>
      <c r="C347" s="27">
        <f>COUNTIFS(RawData!$B:$B, $B347, RawData!$A:$A, DailySummaries!$A347)</f>
        <v>5</v>
      </c>
      <c r="D347" s="27">
        <f>SUMIFS(RawData!$D:$D,RawData!$B:$B,$B347,RawData!$A:$A,DailySummaries!$A347)+1</f>
        <v>27</v>
      </c>
      <c r="E347" s="27">
        <f>SUMIFS(RawData!$E:$E,RawData!$B:$B,$B347,RawData!$A:$A,DailySummaries!$A347)+1</f>
        <v>14</v>
      </c>
    </row>
    <row r="348" spans="1:5" x14ac:dyDescent="0.25">
      <c r="A348" s="32">
        <v>46040</v>
      </c>
      <c r="B348" s="33" t="s">
        <v>3</v>
      </c>
      <c r="C348" s="33">
        <f>COUNTIFS(RawData!$B:$B, $B348, RawData!$A:$A, DailySummaries!$A348)</f>
        <v>36</v>
      </c>
      <c r="D348" s="33">
        <f>SUMIFS(RawData!$D:$D,RawData!$B:$B,$B348,RawData!$A:$A,DailySummaries!$A348)+1</f>
        <v>8</v>
      </c>
      <c r="E348" s="33">
        <f>SUMIFS(RawData!$E:$E,RawData!$B:$B,$B348,RawData!$A:$A,DailySummaries!$A348)+1</f>
        <v>95</v>
      </c>
    </row>
    <row r="349" spans="1:5" x14ac:dyDescent="0.25">
      <c r="A349" s="10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10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26">
        <v>46041</v>
      </c>
      <c r="B351" s="27" t="s">
        <v>18</v>
      </c>
      <c r="C351" s="27">
        <f>COUNTIFS(RawData!$B:$B, $B351, RawData!$A:$A, DailySummaries!$A351)</f>
        <v>14</v>
      </c>
      <c r="D351" s="27"/>
      <c r="E351" s="27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2026-01-20T10:05:19Z</dcterms:modified>
</cp:coreProperties>
</file>
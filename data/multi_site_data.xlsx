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C36A0F10-B6B2-BD4C-80D5-1C896ED321E0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2" i="2" l="1"/>
  <c r="D202" i="2"/>
  <c r="E202" i="2"/>
  <c r="C203" i="2"/>
  <c r="D203" i="2"/>
  <c r="E203" i="2"/>
  <c r="C204" i="2"/>
  <c r="D204" i="2"/>
  <c r="E204" i="2"/>
  <c r="C205" i="2"/>
  <c r="D205" i="2"/>
  <c r="E205" i="2"/>
  <c r="C206" i="2"/>
  <c r="D206" i="2"/>
  <c r="E206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5988" i="1" l="1"/>
  <c r="B5987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O5987" i="1" l="1" a="1"/>
  <c r="O5987" i="1" s="1"/>
  <c r="J5987" i="1" a="1"/>
  <c r="J5987" i="1" s="1"/>
  <c r="N5987" i="1" a="1"/>
  <c r="N5987" i="1" s="1"/>
  <c r="R5987" i="1" a="1"/>
  <c r="R5987" i="1" s="1"/>
  <c r="K5987" i="1" a="1"/>
  <c r="K5987" i="1" s="1"/>
  <c r="S5987" i="1" a="1"/>
  <c r="S5987" i="1" s="1"/>
  <c r="P5987" i="1" a="1"/>
  <c r="P5987" i="1" s="1"/>
  <c r="Q5987" i="1" a="1"/>
  <c r="Q5987" i="1" s="1"/>
  <c r="B5988" i="1"/>
  <c r="L5987" i="1" a="1"/>
  <c r="L5987" i="1" s="1"/>
  <c r="M5987" i="1" a="1"/>
  <c r="M5987" i="1" s="1"/>
  <c r="A5989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I5987" i="1" l="1" a="1"/>
  <c r="I5987" i="1" s="1"/>
  <c r="C5988" i="1"/>
  <c r="O5988" i="1" s="1" a="1"/>
  <c r="O5988" i="1" s="1"/>
  <c r="H5987" i="1"/>
  <c r="A5990" i="1"/>
  <c r="B5989" i="1"/>
  <c r="M5988" i="1" a="1"/>
  <c r="M5988" i="1" s="1"/>
  <c r="Q5988" i="1" a="1"/>
  <c r="Q5988" i="1" s="1"/>
  <c r="J5988" i="1" a="1"/>
  <c r="J5988" i="1" s="1"/>
  <c r="N5988" i="1" a="1"/>
  <c r="N5988" i="1" s="1"/>
  <c r="R5988" i="1" a="1"/>
  <c r="R5988" i="1" s="1"/>
  <c r="P5988" i="1" a="1"/>
  <c r="P5988" i="1" s="1"/>
  <c r="S5988" i="1" a="1"/>
  <c r="S5988" i="1" s="1"/>
  <c r="K5988" i="1" a="1"/>
  <c r="K5988" i="1" s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5988" i="1" l="1" a="1"/>
  <c r="I5988" i="1" s="1"/>
  <c r="L5988" i="1" a="1"/>
  <c r="L5988" i="1" s="1"/>
  <c r="C5989" i="1"/>
  <c r="L5989" i="1" s="1" a="1"/>
  <c r="L5989" i="1" s="1"/>
  <c r="H5988" i="1"/>
  <c r="P5989" i="1" a="1"/>
  <c r="P5989" i="1" s="1"/>
  <c r="B5990" i="1"/>
  <c r="M5989" i="1" a="1"/>
  <c r="M5989" i="1" s="1"/>
  <c r="Q5989" i="1" a="1"/>
  <c r="Q5989" i="1" s="1"/>
  <c r="K5989" i="1" a="1"/>
  <c r="K5989" i="1" s="1"/>
  <c r="N5989" i="1" a="1"/>
  <c r="N5989" i="1" s="1"/>
  <c r="R5989" i="1" a="1"/>
  <c r="R5989" i="1" s="1"/>
  <c r="J5989" i="1" a="1"/>
  <c r="J5989" i="1" s="1"/>
  <c r="S5989" i="1" a="1"/>
  <c r="S5989" i="1" s="1"/>
  <c r="A599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I5989" i="1" l="1" a="1"/>
  <c r="I5989" i="1" s="1"/>
  <c r="O5989" i="1" a="1"/>
  <c r="O5989" i="1" s="1"/>
  <c r="C5990" i="1"/>
  <c r="L5990" i="1" s="1" a="1"/>
  <c r="L5990" i="1" s="1"/>
  <c r="H5989" i="1"/>
  <c r="A5992" i="1"/>
  <c r="K5990" i="1" a="1"/>
  <c r="K5990" i="1" s="1"/>
  <c r="O5990" i="1" a="1"/>
  <c r="O5990" i="1" s="1"/>
  <c r="S5990" i="1" a="1"/>
  <c r="S5990" i="1" s="1"/>
  <c r="P5990" i="1" a="1"/>
  <c r="P5990" i="1" s="1"/>
  <c r="B5991" i="1"/>
  <c r="R5990" i="1" a="1"/>
  <c r="R5990" i="1" s="1"/>
  <c r="J5990" i="1" a="1"/>
  <c r="J5990" i="1" s="1"/>
  <c r="M5990" i="1" a="1"/>
  <c r="M5990" i="1" s="1"/>
  <c r="N5990" i="1" a="1"/>
  <c r="N5990" i="1" s="1"/>
  <c r="Q5990" i="1" a="1"/>
  <c r="Q5990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I5990" i="1" l="1" a="1"/>
  <c r="I5990" i="1" s="1"/>
  <c r="C5991" i="1"/>
  <c r="J5991" i="1" s="1" a="1"/>
  <c r="J5991" i="1" s="1"/>
  <c r="H5990" i="1"/>
  <c r="N5991" i="1" a="1"/>
  <c r="N5991" i="1" s="1"/>
  <c r="R5991" i="1" a="1"/>
  <c r="R5991" i="1" s="1"/>
  <c r="K5991" i="1" a="1"/>
  <c r="K5991" i="1" s="1"/>
  <c r="S5991" i="1" a="1"/>
  <c r="S5991" i="1" s="1"/>
  <c r="P5991" i="1" a="1"/>
  <c r="P5991" i="1" s="1"/>
  <c r="Q5991" i="1" a="1"/>
  <c r="Q5991" i="1" s="1"/>
  <c r="B5992" i="1"/>
  <c r="M5991" i="1" a="1"/>
  <c r="M5991" i="1" s="1"/>
  <c r="A5993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I5991" i="1" l="1" a="1"/>
  <c r="I5991" i="1" s="1"/>
  <c r="L5991" i="1" a="1"/>
  <c r="L5991" i="1" s="1"/>
  <c r="O5991" i="1" a="1"/>
  <c r="O5991" i="1" s="1"/>
  <c r="C5992" i="1"/>
  <c r="J5992" i="1" s="1" a="1"/>
  <c r="J5992" i="1" s="1"/>
  <c r="H5991" i="1"/>
  <c r="A5994" i="1"/>
  <c r="B5993" i="1"/>
  <c r="M5992" i="1" a="1"/>
  <c r="M5992" i="1" s="1"/>
  <c r="Q5992" i="1" a="1"/>
  <c r="Q5992" i="1" s="1"/>
  <c r="N5992" i="1" a="1"/>
  <c r="N5992" i="1" s="1"/>
  <c r="R5992" i="1" a="1"/>
  <c r="R5992" i="1" s="1"/>
  <c r="K5992" i="1" a="1"/>
  <c r="K5992" i="1" s="1"/>
  <c r="S5992" i="1" a="1"/>
  <c r="S5992" i="1" s="1"/>
  <c r="P5992" i="1" a="1"/>
  <c r="P5992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5992" i="1" l="1" a="1"/>
  <c r="I5992" i="1" s="1"/>
  <c r="O5992" i="1" a="1"/>
  <c r="O5992" i="1" s="1"/>
  <c r="L5992" i="1" a="1"/>
  <c r="L5992" i="1" s="1"/>
  <c r="C5993" i="1"/>
  <c r="L5993" i="1" s="1" a="1"/>
  <c r="L5993" i="1" s="1"/>
  <c r="H5992" i="1"/>
  <c r="P5993" i="1" a="1"/>
  <c r="P5993" i="1" s="1"/>
  <c r="B5994" i="1"/>
  <c r="K5993" i="1" a="1"/>
  <c r="K5993" i="1" s="1"/>
  <c r="R5993" i="1" a="1"/>
  <c r="R5993" i="1" s="1"/>
  <c r="M5993" i="1" a="1"/>
  <c r="M5993" i="1" s="1"/>
  <c r="S5993" i="1" a="1"/>
  <c r="S5993" i="1" s="1"/>
  <c r="N5993" i="1" a="1"/>
  <c r="N5993" i="1" s="1"/>
  <c r="J5993" i="1" a="1"/>
  <c r="J5993" i="1" s="1"/>
  <c r="Q5993" i="1" a="1"/>
  <c r="Q5993" i="1" s="1"/>
  <c r="A599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I5993" i="1" l="1" a="1"/>
  <c r="I5993" i="1" s="1"/>
  <c r="O5993" i="1" a="1"/>
  <c r="O5993" i="1" s="1"/>
  <c r="C5994" i="1"/>
  <c r="O5994" i="1" s="1" a="1"/>
  <c r="O5994" i="1" s="1"/>
  <c r="H5993" i="1"/>
  <c r="A5996" i="1"/>
  <c r="K5994" i="1" a="1"/>
  <c r="K5994" i="1" s="1"/>
  <c r="S5994" i="1" a="1"/>
  <c r="S5994" i="1" s="1"/>
  <c r="Q5994" i="1" a="1"/>
  <c r="Q5994" i="1" s="1"/>
  <c r="L5994" i="1" a="1"/>
  <c r="L5994" i="1" s="1"/>
  <c r="R5994" i="1" a="1"/>
  <c r="R5994" i="1" s="1"/>
  <c r="M5994" i="1" a="1"/>
  <c r="M5994" i="1" s="1"/>
  <c r="B5995" i="1"/>
  <c r="N5994" i="1" a="1"/>
  <c r="N5994" i="1" s="1"/>
  <c r="P5994" i="1" a="1"/>
  <c r="P5994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I5994" i="1" l="1" a="1"/>
  <c r="I5994" i="1" s="1"/>
  <c r="J5994" i="1" a="1"/>
  <c r="J5994" i="1" s="1"/>
  <c r="C5995" i="1"/>
  <c r="J5995" i="1" s="1" a="1"/>
  <c r="J5995" i="1" s="1"/>
  <c r="H5994" i="1"/>
  <c r="B5996" i="1"/>
  <c r="K5995" i="1" a="1"/>
  <c r="K5995" i="1" s="1"/>
  <c r="P5995" i="1" a="1"/>
  <c r="P5995" i="1" s="1"/>
  <c r="L5995" i="1" a="1"/>
  <c r="L5995" i="1" s="1"/>
  <c r="Q5995" i="1" a="1"/>
  <c r="Q5995" i="1" s="1"/>
  <c r="R5995" i="1" a="1"/>
  <c r="R5995" i="1" s="1"/>
  <c r="M5995" i="1" a="1"/>
  <c r="M5995" i="1" s="1"/>
  <c r="S5995" i="1" a="1"/>
  <c r="S5995" i="1" s="1"/>
  <c r="N5995" i="1" a="1"/>
  <c r="N5995" i="1" s="1"/>
  <c r="A599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I5995" i="1" l="1" a="1"/>
  <c r="I5995" i="1" s="1"/>
  <c r="O5995" i="1" a="1"/>
  <c r="O5995" i="1" s="1"/>
  <c r="C5996" i="1"/>
  <c r="L5996" i="1" s="1" a="1"/>
  <c r="L5996" i="1" s="1"/>
  <c r="H5995" i="1"/>
  <c r="A5998" i="1"/>
  <c r="B5997" i="1"/>
  <c r="M5996" i="1" a="1"/>
  <c r="M5996" i="1" s="1"/>
  <c r="N5996" i="1" a="1"/>
  <c r="N5996" i="1" s="1"/>
  <c r="S5996" i="1" a="1"/>
  <c r="S5996" i="1" s="1"/>
  <c r="J5996" i="1" a="1"/>
  <c r="J5996" i="1" s="1"/>
  <c r="K5996" i="1" a="1"/>
  <c r="K5996" i="1" s="1"/>
  <c r="P5996" i="1" a="1"/>
  <c r="P5996" i="1" s="1"/>
  <c r="Q5996" i="1" a="1"/>
  <c r="Q5996" i="1" s="1"/>
  <c r="R5996" i="1" a="1"/>
  <c r="R5996" i="1" s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5996" i="1" l="1" a="1"/>
  <c r="I5996" i="1" s="1"/>
  <c r="O5996" i="1" a="1"/>
  <c r="O5996" i="1" s="1"/>
  <c r="C5997" i="1"/>
  <c r="K5997" i="1" s="1" a="1"/>
  <c r="K5997" i="1" s="1"/>
  <c r="H5996" i="1"/>
  <c r="B5998" i="1"/>
  <c r="P5997" i="1" a="1"/>
  <c r="P5997" i="1" s="1"/>
  <c r="Q5997" i="1" a="1"/>
  <c r="Q5997" i="1" s="1"/>
  <c r="M5997" i="1" a="1"/>
  <c r="M5997" i="1" s="1"/>
  <c r="R5997" i="1" a="1"/>
  <c r="R5997" i="1" s="1"/>
  <c r="N5997" i="1" a="1"/>
  <c r="N5997" i="1" s="1"/>
  <c r="S5997" i="1" a="1"/>
  <c r="S5997" i="1" s="1"/>
  <c r="J5997" i="1" a="1"/>
  <c r="J5997" i="1" s="1"/>
  <c r="A5999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I5997" i="1" l="1" a="1"/>
  <c r="I5997" i="1" s="1"/>
  <c r="O5997" i="1" a="1"/>
  <c r="O5997" i="1" s="1"/>
  <c r="L5997" i="1" a="1"/>
  <c r="L5997" i="1" s="1"/>
  <c r="C5998" i="1"/>
  <c r="H5997" i="1"/>
  <c r="A6000" i="1"/>
  <c r="S5998" i="1" a="1"/>
  <c r="S5998" i="1" s="1"/>
  <c r="I5998" i="1" a="1"/>
  <c r="I5998" i="1" s="1"/>
  <c r="N5998" i="1" a="1"/>
  <c r="N5998" i="1" s="1"/>
  <c r="O5998" i="1" a="1"/>
  <c r="O5998" i="1" s="1"/>
  <c r="B5999" i="1"/>
  <c r="J5998" i="1" a="1"/>
  <c r="J5998" i="1" s="1"/>
  <c r="P5998" i="1" a="1"/>
  <c r="P5998" i="1" s="1"/>
  <c r="K5998" i="1" a="1"/>
  <c r="K5998" i="1" s="1"/>
  <c r="L5998" i="1" a="1"/>
  <c r="L5998" i="1" s="1"/>
  <c r="Q5998" i="1" a="1"/>
  <c r="Q5998" i="1" s="1"/>
  <c r="R5998" i="1" a="1"/>
  <c r="R5998" i="1" s="1"/>
  <c r="M5998" i="1" a="1"/>
  <c r="M5998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C5999" i="1" l="1"/>
  <c r="J5999" i="1" s="1" a="1"/>
  <c r="J5999" i="1" s="1"/>
  <c r="H5998" i="1"/>
  <c r="Q5999" i="1" a="1"/>
  <c r="Q5999" i="1" s="1"/>
  <c r="R5999" i="1" a="1"/>
  <c r="R5999" i="1" s="1"/>
  <c r="M5999" i="1" a="1"/>
  <c r="M5999" i="1" s="1"/>
  <c r="N5999" i="1" a="1"/>
  <c r="N5999" i="1" s="1"/>
  <c r="S5999" i="1" a="1"/>
  <c r="S5999" i="1" s="1"/>
  <c r="K5999" i="1" a="1"/>
  <c r="K5999" i="1" s="1"/>
  <c r="P5999" i="1" a="1"/>
  <c r="P5999" i="1" s="1"/>
  <c r="B6000" i="1"/>
  <c r="A6001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I5999" i="1" l="1" a="1"/>
  <c r="I5999" i="1" s="1"/>
  <c r="L5999" i="1" a="1"/>
  <c r="L5999" i="1" s="1"/>
  <c r="O5999" i="1" a="1"/>
  <c r="O5999" i="1" s="1"/>
  <c r="C6000" i="1"/>
  <c r="L6000" i="1" s="1" a="1"/>
  <c r="L6000" i="1" s="1"/>
  <c r="H5999" i="1"/>
  <c r="A6002" i="1"/>
  <c r="B6001" i="1"/>
  <c r="M6000" i="1" a="1"/>
  <c r="M6000" i="1" s="1"/>
  <c r="I6000" i="1" a="1"/>
  <c r="I6000" i="1" s="1"/>
  <c r="R6000" i="1" a="1"/>
  <c r="R6000" i="1" s="1"/>
  <c r="N6000" i="1" a="1"/>
  <c r="N6000" i="1" s="1"/>
  <c r="J6000" i="1" a="1"/>
  <c r="J6000" i="1" s="1"/>
  <c r="S6000" i="1" a="1"/>
  <c r="S6000" i="1" s="1"/>
  <c r="K6000" i="1" a="1"/>
  <c r="K6000" i="1" s="1"/>
  <c r="P6000" i="1" a="1"/>
  <c r="P6000" i="1" s="1"/>
  <c r="Q6000" i="1" a="1"/>
  <c r="Q6000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O6000" i="1" l="1" a="1"/>
  <c r="O6000" i="1" s="1"/>
  <c r="C6001" i="1"/>
  <c r="J6001" i="1" s="1" a="1"/>
  <c r="J6001" i="1" s="1"/>
  <c r="H6000" i="1"/>
  <c r="I6001" i="1" a="1"/>
  <c r="I6001" i="1" s="1"/>
  <c r="R6001" i="1" a="1"/>
  <c r="R6001" i="1" s="1"/>
  <c r="N6001" i="1" a="1"/>
  <c r="N6001" i="1" s="1"/>
  <c r="S6001" i="1" a="1"/>
  <c r="S6001" i="1" s="1"/>
  <c r="K6001" i="1" a="1"/>
  <c r="K6001" i="1" s="1"/>
  <c r="P6001" i="1" a="1"/>
  <c r="P6001" i="1" s="1"/>
  <c r="B6002" i="1"/>
  <c r="M6001" i="1" a="1"/>
  <c r="M6001" i="1" s="1"/>
  <c r="Q6001" i="1" a="1"/>
  <c r="Q6001" i="1" s="1"/>
  <c r="A600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O6001" i="1" l="1" a="1"/>
  <c r="O6001" i="1" s="1"/>
  <c r="L6001" i="1" a="1"/>
  <c r="L6001" i="1" s="1"/>
  <c r="C6002" i="1"/>
  <c r="L6002" i="1" s="1" a="1"/>
  <c r="L6002" i="1" s="1"/>
  <c r="H6001" i="1"/>
  <c r="A6004" i="1"/>
  <c r="N6002" i="1" a="1"/>
  <c r="N6002" i="1" s="1"/>
  <c r="S6002" i="1" a="1"/>
  <c r="S6002" i="1" s="1"/>
  <c r="J6002" i="1" a="1"/>
  <c r="J6002" i="1" s="1"/>
  <c r="P6002" i="1" a="1"/>
  <c r="P6002" i="1" s="1"/>
  <c r="B6003" i="1"/>
  <c r="Q6002" i="1" a="1"/>
  <c r="Q6002" i="1" s="1"/>
  <c r="K6002" i="1" a="1"/>
  <c r="K6002" i="1" s="1"/>
  <c r="M6002" i="1" a="1"/>
  <c r="M6002" i="1" s="1"/>
  <c r="R6002" i="1" a="1"/>
  <c r="R6002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6002" i="1" l="1" a="1"/>
  <c r="I6002" i="1" s="1"/>
  <c r="O6002" i="1" a="1"/>
  <c r="O6002" i="1" s="1"/>
  <c r="C6003" i="1"/>
  <c r="O6003" i="1" s="1" a="1"/>
  <c r="O6003" i="1" s="1"/>
  <c r="H6002" i="1"/>
  <c r="K6003" i="1" a="1"/>
  <c r="K6003" i="1" s="1"/>
  <c r="Q6003" i="1" a="1"/>
  <c r="Q6003" i="1" s="1"/>
  <c r="M6003" i="1" a="1"/>
  <c r="M6003" i="1" s="1"/>
  <c r="R6003" i="1" a="1"/>
  <c r="R6003" i="1" s="1"/>
  <c r="S6003" i="1" a="1"/>
  <c r="S6003" i="1" s="1"/>
  <c r="B6004" i="1"/>
  <c r="N6003" i="1" a="1"/>
  <c r="N6003" i="1" s="1"/>
  <c r="P6003" i="1" a="1"/>
  <c r="P6003" i="1" s="1"/>
  <c r="A600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I6003" i="1" l="1" a="1"/>
  <c r="I6003" i="1" s="1"/>
  <c r="L6003" i="1" a="1"/>
  <c r="L6003" i="1" s="1"/>
  <c r="J6003" i="1" a="1"/>
  <c r="J6003" i="1" s="1"/>
  <c r="C6004" i="1"/>
  <c r="O6004" i="1" s="1" a="1"/>
  <c r="O6004" i="1" s="1"/>
  <c r="H6003" i="1"/>
  <c r="B6005" i="1"/>
  <c r="K6004" i="1" a="1"/>
  <c r="K6004" i="1" s="1"/>
  <c r="P6004" i="1" a="1"/>
  <c r="P6004" i="1" s="1"/>
  <c r="M6004" i="1" a="1"/>
  <c r="M6004" i="1" s="1"/>
  <c r="R6004" i="1" a="1"/>
  <c r="R6004" i="1" s="1"/>
  <c r="Q6004" i="1" a="1"/>
  <c r="Q6004" i="1" s="1"/>
  <c r="S6004" i="1" a="1"/>
  <c r="S6004" i="1" s="1"/>
  <c r="N6004" i="1" a="1"/>
  <c r="N6004" i="1" s="1"/>
  <c r="A6006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6004" i="1" l="1" a="1"/>
  <c r="I6004" i="1" s="1"/>
  <c r="L6004" i="1" a="1"/>
  <c r="L6004" i="1" s="1"/>
  <c r="J6004" i="1" a="1"/>
  <c r="J6004" i="1" s="1"/>
  <c r="C6005" i="1"/>
  <c r="K6005" i="1" s="1" a="1"/>
  <c r="K6005" i="1" s="1"/>
  <c r="H6004" i="1"/>
  <c r="A6007" i="1"/>
  <c r="Q6005" i="1" a="1"/>
  <c r="Q6005" i="1" s="1"/>
  <c r="R6005" i="1" a="1"/>
  <c r="R6005" i="1" s="1"/>
  <c r="N6005" i="1" a="1"/>
  <c r="N6005" i="1" s="1"/>
  <c r="M6005" i="1" a="1"/>
  <c r="M6005" i="1" s="1"/>
  <c r="P6005" i="1" a="1"/>
  <c r="P6005" i="1" s="1"/>
  <c r="J6005" i="1" a="1"/>
  <c r="J6005" i="1" s="1"/>
  <c r="S6005" i="1" a="1"/>
  <c r="S6005" i="1" s="1"/>
  <c r="B6006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I6005" i="1" l="1" a="1"/>
  <c r="I6005" i="1" s="1"/>
  <c r="O6005" i="1" a="1"/>
  <c r="O6005" i="1" s="1"/>
  <c r="L6005" i="1" a="1"/>
  <c r="L6005" i="1" s="1"/>
  <c r="C6006" i="1"/>
  <c r="K6006" i="1" s="1" a="1"/>
  <c r="K6006" i="1" s="1"/>
  <c r="H6005" i="1"/>
  <c r="Q6006" i="1" a="1"/>
  <c r="Q6006" i="1" s="1"/>
  <c r="M6006" i="1" a="1"/>
  <c r="M6006" i="1" s="1"/>
  <c r="N6006" i="1" a="1"/>
  <c r="N6006" i="1" s="1"/>
  <c r="S6006" i="1" a="1"/>
  <c r="S6006" i="1" s="1"/>
  <c r="O6006" i="1" a="1"/>
  <c r="O6006" i="1" s="1"/>
  <c r="R6006" i="1" a="1"/>
  <c r="R6006" i="1" s="1"/>
  <c r="B6007" i="1"/>
  <c r="P6006" i="1" a="1"/>
  <c r="P6006" i="1" s="1"/>
  <c r="A6008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I6006" i="1" l="1" a="1"/>
  <c r="I6006" i="1" s="1"/>
  <c r="J6006" i="1" a="1"/>
  <c r="J6006" i="1" s="1"/>
  <c r="L6006" i="1" a="1"/>
  <c r="L6006" i="1" s="1"/>
  <c r="C6007" i="1"/>
  <c r="O6007" i="1" s="1" a="1"/>
  <c r="O6007" i="1" s="1"/>
  <c r="H6006" i="1"/>
  <c r="A6009" i="1"/>
  <c r="M6007" i="1" a="1"/>
  <c r="M6007" i="1" s="1"/>
  <c r="R6007" i="1" a="1"/>
  <c r="R6007" i="1" s="1"/>
  <c r="N6007" i="1" a="1"/>
  <c r="N6007" i="1" s="1"/>
  <c r="K6007" i="1" a="1"/>
  <c r="K6007" i="1" s="1"/>
  <c r="B6008" i="1"/>
  <c r="P6007" i="1" a="1"/>
  <c r="P6007" i="1" s="1"/>
  <c r="J6007" i="1" a="1"/>
  <c r="J6007" i="1" s="1"/>
  <c r="L6007" i="1" a="1"/>
  <c r="L6007" i="1" s="1"/>
  <c r="Q6007" i="1" a="1"/>
  <c r="Q6007" i="1" s="1"/>
  <c r="S6007" i="1" a="1"/>
  <c r="S6007" i="1" s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I6007" i="1" l="1" a="1"/>
  <c r="I6007" i="1" s="1"/>
  <c r="C6008" i="1"/>
  <c r="O6008" i="1" s="1" a="1"/>
  <c r="O6008" i="1" s="1"/>
  <c r="H6007" i="1"/>
  <c r="B6009" i="1"/>
  <c r="N6008" i="1" a="1"/>
  <c r="N6008" i="1" s="1"/>
  <c r="J6008" i="1" a="1"/>
  <c r="J6008" i="1" s="1"/>
  <c r="S6008" i="1" a="1"/>
  <c r="S6008" i="1" s="1"/>
  <c r="I6008" i="1" a="1"/>
  <c r="I6008" i="1" s="1"/>
  <c r="K6008" i="1" a="1"/>
  <c r="K6008" i="1" s="1"/>
  <c r="P6008" i="1" a="1"/>
  <c r="P6008" i="1" s="1"/>
  <c r="L6008" i="1" a="1"/>
  <c r="L6008" i="1" s="1"/>
  <c r="M6008" i="1" a="1"/>
  <c r="M6008" i="1" s="1"/>
  <c r="Q6008" i="1" a="1"/>
  <c r="Q6008" i="1" s="1"/>
  <c r="R6008" i="1" a="1"/>
  <c r="R6008" i="1" s="1"/>
  <c r="A6010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C6009" i="1" l="1"/>
  <c r="J6009" i="1" s="1" a="1"/>
  <c r="J6009" i="1" s="1"/>
  <c r="H6008" i="1"/>
  <c r="A6011" i="1"/>
  <c r="S6009" i="1" a="1"/>
  <c r="S6009" i="1" s="1"/>
  <c r="K6009" i="1" a="1"/>
  <c r="K6009" i="1" s="1"/>
  <c r="L6009" i="1" a="1"/>
  <c r="L6009" i="1" s="1"/>
  <c r="Q6009" i="1" a="1"/>
  <c r="Q6009" i="1" s="1"/>
  <c r="M6009" i="1" a="1"/>
  <c r="M6009" i="1" s="1"/>
  <c r="R6009" i="1" a="1"/>
  <c r="R6009" i="1" s="1"/>
  <c r="N6009" i="1" a="1"/>
  <c r="N6009" i="1" s="1"/>
  <c r="P6009" i="1" a="1"/>
  <c r="P6009" i="1" s="1"/>
  <c r="B6010" i="1"/>
  <c r="I6009" i="1" a="1"/>
  <c r="I6009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O6009" i="1" l="1" a="1"/>
  <c r="O6009" i="1" s="1"/>
  <c r="C6010" i="1"/>
  <c r="K6010" i="1" s="1" a="1"/>
  <c r="K6010" i="1" s="1"/>
  <c r="H6009" i="1"/>
  <c r="S6010" i="1" a="1"/>
  <c r="S6010" i="1" s="1"/>
  <c r="N6010" i="1" a="1"/>
  <c r="N6010" i="1" s="1"/>
  <c r="O6010" i="1" a="1"/>
  <c r="O6010" i="1" s="1"/>
  <c r="B6011" i="1"/>
  <c r="J6010" i="1" a="1"/>
  <c r="J6010" i="1" s="1"/>
  <c r="P6010" i="1" a="1"/>
  <c r="P6010" i="1" s="1"/>
  <c r="M6010" i="1" a="1"/>
  <c r="M6010" i="1" s="1"/>
  <c r="Q6010" i="1" a="1"/>
  <c r="Q6010" i="1" s="1"/>
  <c r="R6010" i="1" a="1"/>
  <c r="R6010" i="1" s="1"/>
  <c r="A6012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6010" i="1" l="1" a="1"/>
  <c r="I6010" i="1" s="1"/>
  <c r="L6010" i="1" a="1"/>
  <c r="L6010" i="1" s="1"/>
  <c r="C6011" i="1"/>
  <c r="L6011" i="1" s="1" a="1"/>
  <c r="L6011" i="1" s="1"/>
  <c r="H6010" i="1"/>
  <c r="P6011" i="1" a="1"/>
  <c r="P6011" i="1" s="1"/>
  <c r="B6012" i="1"/>
  <c r="K6011" i="1" a="1"/>
  <c r="K6011" i="1" s="1"/>
  <c r="Q6011" i="1" a="1"/>
  <c r="Q6011" i="1" s="1"/>
  <c r="R6011" i="1" a="1"/>
  <c r="R6011" i="1" s="1"/>
  <c r="M6011" i="1" a="1"/>
  <c r="M6011" i="1" s="1"/>
  <c r="N6011" i="1" a="1"/>
  <c r="N6011" i="1" s="1"/>
  <c r="S6011" i="1" a="1"/>
  <c r="S6011" i="1" s="1"/>
  <c r="J6011" i="1" a="1"/>
  <c r="J6011" i="1" s="1"/>
  <c r="A6013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I6011" i="1" l="1" a="1"/>
  <c r="I6011" i="1" s="1"/>
  <c r="O6011" i="1" a="1"/>
  <c r="O6011" i="1" s="1"/>
  <c r="C6012" i="1"/>
  <c r="L6012" i="1" s="1" a="1"/>
  <c r="L6012" i="1" s="1"/>
  <c r="H6011" i="1"/>
  <c r="A6014" i="1"/>
  <c r="B6013" i="1"/>
  <c r="Q6012" i="1" a="1"/>
  <c r="Q6012" i="1" s="1"/>
  <c r="I6012" i="1" a="1"/>
  <c r="I6012" i="1" s="1"/>
  <c r="N6012" i="1" a="1"/>
  <c r="N6012" i="1" s="1"/>
  <c r="S6012" i="1" a="1"/>
  <c r="S6012" i="1" s="1"/>
  <c r="J6012" i="1" a="1"/>
  <c r="J6012" i="1" s="1"/>
  <c r="K6012" i="1" a="1"/>
  <c r="K6012" i="1" s="1"/>
  <c r="P6012" i="1" a="1"/>
  <c r="P6012" i="1" s="1"/>
  <c r="R6012" i="1" a="1"/>
  <c r="R6012" i="1" s="1"/>
  <c r="M6012" i="1" a="1"/>
  <c r="M6012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O6012" i="1" l="1" a="1"/>
  <c r="O6012" i="1" s="1"/>
  <c r="C6013" i="1"/>
  <c r="L6013" i="1" s="1" a="1"/>
  <c r="L6013" i="1" s="1"/>
  <c r="H6012" i="1"/>
  <c r="M6013" i="1" a="1"/>
  <c r="M6013" i="1" s="1"/>
  <c r="K6013" i="1" a="1"/>
  <c r="K6013" i="1" s="1"/>
  <c r="Q6013" i="1" a="1"/>
  <c r="Q6013" i="1" s="1"/>
  <c r="R6013" i="1" a="1"/>
  <c r="R6013" i="1" s="1"/>
  <c r="N6013" i="1" a="1"/>
  <c r="N6013" i="1" s="1"/>
  <c r="S6013" i="1" a="1"/>
  <c r="S6013" i="1" s="1"/>
  <c r="P6013" i="1" a="1"/>
  <c r="P6013" i="1" s="1"/>
  <c r="B6014" i="1"/>
  <c r="J6013" i="1" a="1"/>
  <c r="J6013" i="1" s="1"/>
  <c r="A6015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I6013" i="1" l="1" a="1"/>
  <c r="I6013" i="1" s="1"/>
  <c r="O6013" i="1" a="1"/>
  <c r="O6013" i="1" s="1"/>
  <c r="C6014" i="1"/>
  <c r="O6014" i="1" s="1" a="1"/>
  <c r="O6014" i="1" s="1"/>
  <c r="H6013" i="1"/>
  <c r="I6014" i="1" a="1"/>
  <c r="I6014" i="1" s="1"/>
  <c r="R6014" i="1" a="1"/>
  <c r="R6014" i="1" s="1"/>
  <c r="N6014" i="1" a="1"/>
  <c r="N6014" i="1" s="1"/>
  <c r="J6014" i="1" a="1"/>
  <c r="J6014" i="1" s="1"/>
  <c r="B6015" i="1"/>
  <c r="K6014" i="1" a="1"/>
  <c r="K6014" i="1" s="1"/>
  <c r="P6014" i="1" a="1"/>
  <c r="P6014" i="1" s="1"/>
  <c r="S6014" i="1" a="1"/>
  <c r="S6014" i="1" s="1"/>
  <c r="L6014" i="1" a="1"/>
  <c r="L6014" i="1" s="1"/>
  <c r="M6014" i="1" a="1"/>
  <c r="M6014" i="1" s="1"/>
  <c r="Q6014" i="1" a="1"/>
  <c r="Q6014" i="1" s="1"/>
  <c r="A6016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C6015" i="1" l="1"/>
  <c r="J6015" i="1" s="1" a="1"/>
  <c r="J6015" i="1" s="1"/>
  <c r="H6014" i="1"/>
  <c r="A6017" i="1"/>
  <c r="S6015" i="1" a="1"/>
  <c r="S6015" i="1" s="1"/>
  <c r="L6015" i="1" a="1"/>
  <c r="L6015" i="1" s="1"/>
  <c r="Q6015" i="1" a="1"/>
  <c r="Q6015" i="1" s="1"/>
  <c r="R6015" i="1" a="1"/>
  <c r="R6015" i="1" s="1"/>
  <c r="M6015" i="1" a="1"/>
  <c r="M6015" i="1" s="1"/>
  <c r="N6015" i="1" a="1"/>
  <c r="N6015" i="1" s="1"/>
  <c r="B6016" i="1"/>
  <c r="K6015" i="1" a="1"/>
  <c r="K6015" i="1" s="1"/>
  <c r="P6015" i="1" a="1"/>
  <c r="P6015" i="1" s="1"/>
  <c r="O6015" i="1" a="1"/>
  <c r="O6015" i="1" s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I6015" i="1" l="1" a="1"/>
  <c r="I6015" i="1" s="1"/>
  <c r="C6016" i="1"/>
  <c r="O6016" i="1" s="1" a="1"/>
  <c r="O6016" i="1" s="1"/>
  <c r="H6015" i="1"/>
  <c r="B6017" i="1"/>
  <c r="I6016" i="1" a="1"/>
  <c r="I6016" i="1" s="1"/>
  <c r="N6016" i="1" a="1"/>
  <c r="N6016" i="1" s="1"/>
  <c r="S6016" i="1" a="1"/>
  <c r="S6016" i="1" s="1"/>
  <c r="J6016" i="1" a="1"/>
  <c r="J6016" i="1" s="1"/>
  <c r="K6016" i="1" a="1"/>
  <c r="K6016" i="1" s="1"/>
  <c r="P6016" i="1" a="1"/>
  <c r="P6016" i="1" s="1"/>
  <c r="Q6016" i="1" a="1"/>
  <c r="Q6016" i="1" s="1"/>
  <c r="M6016" i="1" a="1"/>
  <c r="M6016" i="1" s="1"/>
  <c r="R6016" i="1" a="1"/>
  <c r="R6016" i="1" s="1"/>
  <c r="A6018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L6016" i="1" l="1" a="1"/>
  <c r="L6016" i="1" s="1"/>
  <c r="C6017" i="1"/>
  <c r="L6017" i="1" s="1" a="1"/>
  <c r="L6017" i="1" s="1"/>
  <c r="H6016" i="1"/>
  <c r="A6019" i="1"/>
  <c r="K6017" i="1" a="1"/>
  <c r="K6017" i="1" s="1"/>
  <c r="P6017" i="1" a="1"/>
  <c r="P6017" i="1" s="1"/>
  <c r="B6018" i="1"/>
  <c r="Q6017" i="1" a="1"/>
  <c r="Q6017" i="1" s="1"/>
  <c r="M6017" i="1" a="1"/>
  <c r="M6017" i="1" s="1"/>
  <c r="R6017" i="1" a="1"/>
  <c r="R6017" i="1" s="1"/>
  <c r="I6017" i="1" a="1"/>
  <c r="I6017" i="1" s="1"/>
  <c r="N6017" i="1" a="1"/>
  <c r="N6017" i="1" s="1"/>
  <c r="S6017" i="1" a="1"/>
  <c r="S6017" i="1" s="1"/>
  <c r="J6017" i="1" a="1"/>
  <c r="J6017" i="1" s="1"/>
  <c r="O6017" i="1" a="1"/>
  <c r="O6017" i="1" s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C6018" i="1" l="1"/>
  <c r="J6018" i="1" s="1" a="1"/>
  <c r="J6018" i="1" s="1"/>
  <c r="H6017" i="1"/>
  <c r="N6018" i="1" a="1"/>
  <c r="N6018" i="1" s="1"/>
  <c r="B6019" i="1"/>
  <c r="K6018" i="1" a="1"/>
  <c r="K6018" i="1" s="1"/>
  <c r="P6018" i="1" a="1"/>
  <c r="P6018" i="1" s="1"/>
  <c r="Q6018" i="1" a="1"/>
  <c r="Q6018" i="1" s="1"/>
  <c r="M6018" i="1" a="1"/>
  <c r="M6018" i="1" s="1"/>
  <c r="R6018" i="1" a="1"/>
  <c r="R6018" i="1" s="1"/>
  <c r="S6018" i="1" a="1"/>
  <c r="S6018" i="1" s="1"/>
  <c r="A6020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6018" i="1" l="1" a="1"/>
  <c r="I6018" i="1" s="1"/>
  <c r="O6018" i="1" a="1"/>
  <c r="O6018" i="1" s="1"/>
  <c r="L6018" i="1" a="1"/>
  <c r="L6018" i="1" s="1"/>
  <c r="C6019" i="1"/>
  <c r="I6019" i="1" s="1" a="1"/>
  <c r="I6019" i="1" s="1"/>
  <c r="H6018" i="1"/>
  <c r="A6021" i="1"/>
  <c r="Q6019" i="1" a="1"/>
  <c r="Q6019" i="1" s="1"/>
  <c r="L6019" i="1" a="1"/>
  <c r="L6019" i="1" s="1"/>
  <c r="R6019" i="1" a="1"/>
  <c r="R6019" i="1" s="1"/>
  <c r="M6019" i="1" a="1"/>
  <c r="M6019" i="1" s="1"/>
  <c r="N6019" i="1" a="1"/>
  <c r="N6019" i="1" s="1"/>
  <c r="S6019" i="1" a="1"/>
  <c r="S6019" i="1" s="1"/>
  <c r="J6019" i="1" a="1"/>
  <c r="J6019" i="1" s="1"/>
  <c r="K6019" i="1" a="1"/>
  <c r="K6019" i="1" s="1"/>
  <c r="O6019" i="1" a="1"/>
  <c r="O6019" i="1" s="1"/>
  <c r="P6019" i="1" a="1"/>
  <c r="P6019" i="1" s="1"/>
  <c r="B6020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C6020" i="1" l="1"/>
  <c r="L6020" i="1" s="1" a="1"/>
  <c r="L6020" i="1" s="1"/>
  <c r="H6019" i="1"/>
  <c r="B6021" i="1"/>
  <c r="I6020" i="1" a="1"/>
  <c r="I6020" i="1" s="1"/>
  <c r="R6020" i="1" a="1"/>
  <c r="R6020" i="1" s="1"/>
  <c r="J6020" i="1" a="1"/>
  <c r="J6020" i="1" s="1"/>
  <c r="K6020" i="1" a="1"/>
  <c r="K6020" i="1" s="1"/>
  <c r="P6020" i="1" a="1"/>
  <c r="P6020" i="1" s="1"/>
  <c r="Q6020" i="1" a="1"/>
  <c r="Q6020" i="1" s="1"/>
  <c r="M6020" i="1" a="1"/>
  <c r="M6020" i="1" s="1"/>
  <c r="N6020" i="1" a="1"/>
  <c r="N6020" i="1" s="1"/>
  <c r="S6020" i="1" a="1"/>
  <c r="S6020" i="1" s="1"/>
  <c r="A6022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O6020" i="1" l="1" a="1"/>
  <c r="O6020" i="1" s="1"/>
  <c r="C6021" i="1"/>
  <c r="L6021" i="1" s="1" a="1"/>
  <c r="L6021" i="1" s="1"/>
  <c r="H6020" i="1"/>
  <c r="A6023" i="1"/>
  <c r="N6021" i="1" a="1"/>
  <c r="N6021" i="1" s="1"/>
  <c r="Q6021" i="1" a="1"/>
  <c r="Q6021" i="1" s="1"/>
  <c r="M6021" i="1" a="1"/>
  <c r="M6021" i="1" s="1"/>
  <c r="R6021" i="1" a="1"/>
  <c r="R6021" i="1" s="1"/>
  <c r="S6021" i="1" a="1"/>
  <c r="S6021" i="1" s="1"/>
  <c r="K6021" i="1" a="1"/>
  <c r="K6021" i="1" s="1"/>
  <c r="P6021" i="1" a="1"/>
  <c r="P6021" i="1" s="1"/>
  <c r="B6022" i="1"/>
  <c r="J6021" i="1" a="1"/>
  <c r="J6021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I6021" i="1" l="1" a="1"/>
  <c r="I6021" i="1" s="1"/>
  <c r="O6021" i="1" a="1"/>
  <c r="O6021" i="1" s="1"/>
  <c r="C6022" i="1"/>
  <c r="L6022" i="1" s="1" a="1"/>
  <c r="L6022" i="1" s="1"/>
  <c r="H6021" i="1"/>
  <c r="J6022" i="1" a="1"/>
  <c r="J6022" i="1" s="1"/>
  <c r="N6022" i="1" a="1"/>
  <c r="N6022" i="1" s="1"/>
  <c r="B6023" i="1"/>
  <c r="K6022" i="1" a="1"/>
  <c r="K6022" i="1" s="1"/>
  <c r="P6022" i="1" a="1"/>
  <c r="P6022" i="1" s="1"/>
  <c r="Q6022" i="1" a="1"/>
  <c r="Q6022" i="1" s="1"/>
  <c r="M6022" i="1" a="1"/>
  <c r="M6022" i="1" s="1"/>
  <c r="R6022" i="1" a="1"/>
  <c r="R6022" i="1" s="1"/>
  <c r="S6022" i="1" a="1"/>
  <c r="S6022" i="1" s="1"/>
  <c r="A6024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6022" i="1" l="1" a="1"/>
  <c r="I6022" i="1" s="1"/>
  <c r="O6022" i="1" a="1"/>
  <c r="O6022" i="1" s="1"/>
  <c r="C6023" i="1"/>
  <c r="O6023" i="1" s="1" a="1"/>
  <c r="O6023" i="1" s="1"/>
  <c r="H6022" i="1"/>
  <c r="K6023" i="1" a="1"/>
  <c r="K6023" i="1" s="1"/>
  <c r="Q6023" i="1" a="1"/>
  <c r="Q6023" i="1" s="1"/>
  <c r="R6023" i="1" a="1"/>
  <c r="R6023" i="1" s="1"/>
  <c r="M6023" i="1" a="1"/>
  <c r="M6023" i="1" s="1"/>
  <c r="N6023" i="1" a="1"/>
  <c r="N6023" i="1" s="1"/>
  <c r="S6023" i="1" a="1"/>
  <c r="S6023" i="1" s="1"/>
  <c r="P6023" i="1" a="1"/>
  <c r="P6023" i="1" s="1"/>
  <c r="B6024" i="1"/>
  <c r="J6023" i="1" a="1"/>
  <c r="J6023" i="1" s="1"/>
  <c r="A6025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I6023" i="1" l="1" a="1"/>
  <c r="I6023" i="1" s="1"/>
  <c r="L6023" i="1" a="1"/>
  <c r="L6023" i="1" s="1"/>
  <c r="C6024" i="1"/>
  <c r="L6024" i="1" s="1" a="1"/>
  <c r="L6024" i="1" s="1"/>
  <c r="H6023" i="1"/>
  <c r="A6026" i="1"/>
  <c r="B6025" i="1"/>
  <c r="P6024" i="1" a="1"/>
  <c r="P6024" i="1" s="1"/>
  <c r="K6024" i="1" a="1"/>
  <c r="K6024" i="1" s="1"/>
  <c r="Q6024" i="1" a="1"/>
  <c r="Q6024" i="1" s="1"/>
  <c r="N6024" i="1" a="1"/>
  <c r="N6024" i="1" s="1"/>
  <c r="R6024" i="1" a="1"/>
  <c r="R6024" i="1" s="1"/>
  <c r="S6024" i="1" a="1"/>
  <c r="S6024" i="1" s="1"/>
  <c r="M6024" i="1" a="1"/>
  <c r="M6024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I6024" i="1" l="1" a="1"/>
  <c r="I6024" i="1" s="1"/>
  <c r="O6024" i="1" a="1"/>
  <c r="O6024" i="1" s="1"/>
  <c r="J6024" i="1" a="1"/>
  <c r="J6024" i="1" s="1"/>
  <c r="C6025" i="1"/>
  <c r="J6025" i="1" s="1" a="1"/>
  <c r="J6025" i="1" s="1"/>
  <c r="H6024" i="1"/>
  <c r="Q6025" i="1" a="1"/>
  <c r="Q6025" i="1" s="1"/>
  <c r="M6025" i="1" a="1"/>
  <c r="M6025" i="1" s="1"/>
  <c r="R6025" i="1" a="1"/>
  <c r="R6025" i="1" s="1"/>
  <c r="N6025" i="1" a="1"/>
  <c r="N6025" i="1" s="1"/>
  <c r="S6025" i="1" a="1"/>
  <c r="S6025" i="1" s="1"/>
  <c r="P6025" i="1" a="1"/>
  <c r="P6025" i="1" s="1"/>
  <c r="B6026" i="1"/>
  <c r="K6025" i="1" a="1"/>
  <c r="K6025" i="1" s="1"/>
  <c r="A602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I6025" i="1" l="1" a="1"/>
  <c r="I6025" i="1" s="1"/>
  <c r="O6025" i="1" a="1"/>
  <c r="O6025" i="1" s="1"/>
  <c r="L6025" i="1" a="1"/>
  <c r="L6025" i="1" s="1"/>
  <c r="C6026" i="1"/>
  <c r="O6026" i="1" s="1" a="1"/>
  <c r="O6026" i="1" s="1"/>
  <c r="H6025" i="1"/>
  <c r="A6028" i="1"/>
  <c r="M6026" i="1" a="1"/>
  <c r="M6026" i="1" s="1"/>
  <c r="J6026" i="1" a="1"/>
  <c r="J6026" i="1" s="1"/>
  <c r="B6027" i="1"/>
  <c r="K6026" i="1" a="1"/>
  <c r="K6026" i="1" s="1"/>
  <c r="P6026" i="1" a="1"/>
  <c r="P6026" i="1" s="1"/>
  <c r="L6026" i="1" a="1"/>
  <c r="L6026" i="1" s="1"/>
  <c r="Q6026" i="1" a="1"/>
  <c r="Q6026" i="1" s="1"/>
  <c r="N6026" i="1" a="1"/>
  <c r="N6026" i="1" s="1"/>
  <c r="R6026" i="1" a="1"/>
  <c r="R6026" i="1" s="1"/>
  <c r="S6026" i="1" a="1"/>
  <c r="S6026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6026" i="1" l="1" a="1"/>
  <c r="I6026" i="1" s="1"/>
  <c r="C6027" i="1"/>
  <c r="J6027" i="1" s="1" a="1"/>
  <c r="J6027" i="1" s="1"/>
  <c r="H6026" i="1"/>
  <c r="I6027" i="1" a="1"/>
  <c r="I6027" i="1" s="1"/>
  <c r="N6027" i="1" a="1"/>
  <c r="N6027" i="1" s="1"/>
  <c r="Q6027" i="1" a="1"/>
  <c r="Q6027" i="1" s="1"/>
  <c r="R6027" i="1" a="1"/>
  <c r="R6027" i="1" s="1"/>
  <c r="M6027" i="1" a="1"/>
  <c r="M6027" i="1" s="1"/>
  <c r="S6027" i="1" a="1"/>
  <c r="S6027" i="1" s="1"/>
  <c r="P6027" i="1" a="1"/>
  <c r="P6027" i="1" s="1"/>
  <c r="B6028" i="1"/>
  <c r="K6027" i="1" a="1"/>
  <c r="K6027" i="1" s="1"/>
  <c r="A6029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L6027" i="1" l="1" a="1"/>
  <c r="L6027" i="1" s="1"/>
  <c r="O6027" i="1" a="1"/>
  <c r="O6027" i="1" s="1"/>
  <c r="C6028" i="1"/>
  <c r="K6028" i="1" s="1" a="1"/>
  <c r="K6028" i="1" s="1"/>
  <c r="H6027" i="1"/>
  <c r="A6030" i="1"/>
  <c r="B6029" i="1"/>
  <c r="S6028" i="1" a="1"/>
  <c r="S6028" i="1" s="1"/>
  <c r="P6028" i="1" a="1"/>
  <c r="P6028" i="1" s="1"/>
  <c r="Q6028" i="1" a="1"/>
  <c r="Q6028" i="1" s="1"/>
  <c r="R6028" i="1" a="1"/>
  <c r="R6028" i="1" s="1"/>
  <c r="M6028" i="1" a="1"/>
  <c r="M6028" i="1" s="1"/>
  <c r="N6028" i="1" a="1"/>
  <c r="N6028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I6028" i="1" l="1" a="1"/>
  <c r="I6028" i="1" s="1"/>
  <c r="O6028" i="1" a="1"/>
  <c r="O6028" i="1" s="1"/>
  <c r="J6028" i="1" a="1"/>
  <c r="J6028" i="1" s="1"/>
  <c r="L6028" i="1" a="1"/>
  <c r="L6028" i="1" s="1"/>
  <c r="C6029" i="1"/>
  <c r="L6029" i="1" s="1" a="1"/>
  <c r="L6029" i="1" s="1"/>
  <c r="H6028" i="1"/>
  <c r="M6029" i="1" a="1"/>
  <c r="M6029" i="1" s="1"/>
  <c r="R6029" i="1" a="1"/>
  <c r="R6029" i="1" s="1"/>
  <c r="I6029" i="1" a="1"/>
  <c r="I6029" i="1" s="1"/>
  <c r="N6029" i="1" a="1"/>
  <c r="N6029" i="1" s="1"/>
  <c r="S6029" i="1" a="1"/>
  <c r="S6029" i="1" s="1"/>
  <c r="B6030" i="1"/>
  <c r="Q6029" i="1" a="1"/>
  <c r="Q6029" i="1" s="1"/>
  <c r="J6029" i="1" a="1"/>
  <c r="J6029" i="1" s="1"/>
  <c r="K6029" i="1" a="1"/>
  <c r="K6029" i="1" s="1"/>
  <c r="P6029" i="1" a="1"/>
  <c r="P6029" i="1" s="1"/>
  <c r="A6031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O6029" i="1" l="1" a="1"/>
  <c r="O6029" i="1" s="1"/>
  <c r="C6030" i="1"/>
  <c r="J6030" i="1" s="1" a="1"/>
  <c r="J6030" i="1" s="1"/>
  <c r="H6029" i="1"/>
  <c r="P6030" i="1" a="1"/>
  <c r="P6030" i="1" s="1"/>
  <c r="B6031" i="1"/>
  <c r="K6030" i="1" a="1"/>
  <c r="K6030" i="1" s="1"/>
  <c r="L6030" i="1" a="1"/>
  <c r="L6030" i="1" s="1"/>
  <c r="Q6030" i="1" a="1"/>
  <c r="Q6030" i="1" s="1"/>
  <c r="S6030" i="1" a="1"/>
  <c r="S6030" i="1" s="1"/>
  <c r="M6030" i="1" a="1"/>
  <c r="M6030" i="1" s="1"/>
  <c r="N6030" i="1" a="1"/>
  <c r="N6030" i="1" s="1"/>
  <c r="R6030" i="1" a="1"/>
  <c r="R6030" i="1" s="1"/>
  <c r="A6032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I6030" i="1" l="1" a="1"/>
  <c r="I6030" i="1" s="1"/>
  <c r="O6030" i="1" a="1"/>
  <c r="O6030" i="1" s="1"/>
  <c r="C6031" i="1"/>
  <c r="O6031" i="1" s="1" a="1"/>
  <c r="O6031" i="1" s="1"/>
  <c r="H6030" i="1"/>
  <c r="A6033" i="1"/>
  <c r="R6031" i="1" a="1"/>
  <c r="R6031" i="1" s="1"/>
  <c r="M6031" i="1" a="1"/>
  <c r="M6031" i="1" s="1"/>
  <c r="N6031" i="1" a="1"/>
  <c r="N6031" i="1" s="1"/>
  <c r="S6031" i="1" a="1"/>
  <c r="S6031" i="1" s="1"/>
  <c r="B6032" i="1"/>
  <c r="K6031" i="1" a="1"/>
  <c r="K6031" i="1" s="1"/>
  <c r="P6031" i="1" a="1"/>
  <c r="P6031" i="1" s="1"/>
  <c r="Q6031" i="1" a="1"/>
  <c r="Q6031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I6031" i="1" l="1" a="1"/>
  <c r="I6031" i="1" s="1"/>
  <c r="J6031" i="1" a="1"/>
  <c r="J6031" i="1" s="1"/>
  <c r="L6031" i="1" a="1"/>
  <c r="L6031" i="1" s="1"/>
  <c r="C6032" i="1"/>
  <c r="L6032" i="1" s="1" a="1"/>
  <c r="L6032" i="1" s="1"/>
  <c r="H6031" i="1"/>
  <c r="B6033" i="1"/>
  <c r="M6032" i="1" a="1"/>
  <c r="M6032" i="1" s="1"/>
  <c r="K6032" i="1" a="1"/>
  <c r="K6032" i="1" s="1"/>
  <c r="P6032" i="1" a="1"/>
  <c r="P6032" i="1" s="1"/>
  <c r="Q6032" i="1" a="1"/>
  <c r="Q6032" i="1" s="1"/>
  <c r="R6032" i="1" a="1"/>
  <c r="R6032" i="1" s="1"/>
  <c r="N6032" i="1" a="1"/>
  <c r="N6032" i="1" s="1"/>
  <c r="S6032" i="1" a="1"/>
  <c r="S6032" i="1" s="1"/>
  <c r="A603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I6032" i="1" l="1" a="1"/>
  <c r="I6032" i="1" s="1"/>
  <c r="O6032" i="1" a="1"/>
  <c r="O6032" i="1" s="1"/>
  <c r="J6032" i="1" a="1"/>
  <c r="J6032" i="1" s="1"/>
  <c r="C6033" i="1"/>
  <c r="L6033" i="1" s="1" a="1"/>
  <c r="L6033" i="1" s="1"/>
  <c r="H6032" i="1"/>
  <c r="A6035" i="1"/>
  <c r="R6033" i="1" a="1"/>
  <c r="R6033" i="1" s="1"/>
  <c r="M6033" i="1" a="1"/>
  <c r="M6033" i="1" s="1"/>
  <c r="N6033" i="1" a="1"/>
  <c r="N6033" i="1" s="1"/>
  <c r="S6033" i="1" a="1"/>
  <c r="S6033" i="1" s="1"/>
  <c r="J6033" i="1" a="1"/>
  <c r="J6033" i="1" s="1"/>
  <c r="B6034" i="1"/>
  <c r="K6033" i="1" a="1"/>
  <c r="K6033" i="1" s="1"/>
  <c r="P6033" i="1" a="1"/>
  <c r="P6033" i="1" s="1"/>
  <c r="Q6033" i="1" a="1"/>
  <c r="Q6033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6033" i="1" l="1" a="1"/>
  <c r="I6033" i="1" s="1"/>
  <c r="O6033" i="1" a="1"/>
  <c r="O6033" i="1" s="1"/>
  <c r="C6034" i="1"/>
  <c r="L6034" i="1" s="1" a="1"/>
  <c r="L6034" i="1" s="1"/>
  <c r="H6033" i="1"/>
  <c r="N6034" i="1" a="1"/>
  <c r="N6034" i="1" s="1"/>
  <c r="R6034" i="1" a="1"/>
  <c r="R6034" i="1" s="1"/>
  <c r="J6034" i="1" a="1"/>
  <c r="J6034" i="1" s="1"/>
  <c r="K6034" i="1" a="1"/>
  <c r="K6034" i="1" s="1"/>
  <c r="P6034" i="1" a="1"/>
  <c r="P6034" i="1" s="1"/>
  <c r="B6035" i="1"/>
  <c r="Q6034" i="1" a="1"/>
  <c r="Q6034" i="1" s="1"/>
  <c r="M6034" i="1" a="1"/>
  <c r="M6034" i="1" s="1"/>
  <c r="S6034" i="1" a="1"/>
  <c r="S6034" i="1" s="1"/>
  <c r="A6036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I6034" i="1" l="1" a="1"/>
  <c r="I6034" i="1" s="1"/>
  <c r="O6034" i="1" a="1"/>
  <c r="O6034" i="1" s="1"/>
  <c r="C6035" i="1"/>
  <c r="K6035" i="1" s="1" a="1"/>
  <c r="K6035" i="1" s="1"/>
  <c r="H6034" i="1"/>
  <c r="M6035" i="1" a="1"/>
  <c r="M6035" i="1" s="1"/>
  <c r="Q6035" i="1" a="1"/>
  <c r="Q6035" i="1" s="1"/>
  <c r="P6035" i="1" a="1"/>
  <c r="P6035" i="1" s="1"/>
  <c r="B6036" i="1"/>
  <c r="R6035" i="1" a="1"/>
  <c r="R6035" i="1" s="1"/>
  <c r="N6035" i="1" a="1"/>
  <c r="N6035" i="1" s="1"/>
  <c r="S6035" i="1" a="1"/>
  <c r="S6035" i="1" s="1"/>
  <c r="A6037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I6035" i="1" l="1" a="1"/>
  <c r="I6035" i="1" s="1"/>
  <c r="O6035" i="1" a="1"/>
  <c r="O6035" i="1" s="1"/>
  <c r="L6035" i="1" a="1"/>
  <c r="L6035" i="1" s="1"/>
  <c r="J6035" i="1" a="1"/>
  <c r="J6035" i="1" s="1"/>
  <c r="C6036" i="1"/>
  <c r="J6036" i="1" s="1" a="1"/>
  <c r="J6036" i="1" s="1"/>
  <c r="H6035" i="1"/>
  <c r="P6036" i="1" a="1"/>
  <c r="P6036" i="1" s="1"/>
  <c r="Q6036" i="1" a="1"/>
  <c r="Q6036" i="1" s="1"/>
  <c r="M6036" i="1" a="1"/>
  <c r="M6036" i="1" s="1"/>
  <c r="R6036" i="1" a="1"/>
  <c r="R6036" i="1" s="1"/>
  <c r="N6036" i="1" a="1"/>
  <c r="N6036" i="1" s="1"/>
  <c r="B6037" i="1"/>
  <c r="S6036" i="1" a="1"/>
  <c r="S6036" i="1" s="1"/>
  <c r="A6038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I6036" i="1" l="1" a="1"/>
  <c r="I6036" i="1" s="1"/>
  <c r="O6036" i="1" a="1"/>
  <c r="O6036" i="1" s="1"/>
  <c r="L6036" i="1" a="1"/>
  <c r="L6036" i="1" s="1"/>
  <c r="K6036" i="1" a="1"/>
  <c r="K6036" i="1" s="1"/>
  <c r="C6037" i="1"/>
  <c r="L6037" i="1" s="1" a="1"/>
  <c r="L6037" i="1" s="1"/>
  <c r="H6036" i="1"/>
  <c r="A6039" i="1"/>
  <c r="K6037" i="1" a="1"/>
  <c r="K6037" i="1" s="1"/>
  <c r="S6037" i="1" a="1"/>
  <c r="S6037" i="1" s="1"/>
  <c r="Q6037" i="1" a="1"/>
  <c r="Q6037" i="1" s="1"/>
  <c r="M6037" i="1" a="1"/>
  <c r="M6037" i="1" s="1"/>
  <c r="R6037" i="1" a="1"/>
  <c r="R6037" i="1" s="1"/>
  <c r="N6037" i="1" a="1"/>
  <c r="N6037" i="1" s="1"/>
  <c r="J6037" i="1" a="1"/>
  <c r="J6037" i="1" s="1"/>
  <c r="B6038" i="1"/>
  <c r="P6037" i="1" a="1"/>
  <c r="P6037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6037" i="1" l="1" a="1"/>
  <c r="I6037" i="1" s="1"/>
  <c r="O6037" i="1" a="1"/>
  <c r="O6037" i="1" s="1"/>
  <c r="C6038" i="1"/>
  <c r="L6038" i="1" s="1" a="1"/>
  <c r="L6038" i="1" s="1"/>
  <c r="H6037" i="1"/>
  <c r="J6038" i="1" a="1"/>
  <c r="J6038" i="1" s="1"/>
  <c r="N6038" i="1" a="1"/>
  <c r="N6038" i="1" s="1"/>
  <c r="R6038" i="1" a="1"/>
  <c r="R6038" i="1" s="1"/>
  <c r="M6038" i="1" a="1"/>
  <c r="M6038" i="1" s="1"/>
  <c r="I6038" i="1" a="1"/>
  <c r="I6038" i="1" s="1"/>
  <c r="S6038" i="1" a="1"/>
  <c r="S6038" i="1" s="1"/>
  <c r="O6038" i="1" a="1"/>
  <c r="O6038" i="1" s="1"/>
  <c r="K6038" i="1" a="1"/>
  <c r="K6038" i="1" s="1"/>
  <c r="Q6038" i="1" a="1"/>
  <c r="Q6038" i="1" s="1"/>
  <c r="B6039" i="1"/>
  <c r="P6038" i="1" a="1"/>
  <c r="P6038" i="1" s="1"/>
  <c r="A6040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C6039" i="1" l="1"/>
  <c r="O6039" i="1" s="1" a="1"/>
  <c r="O6039" i="1" s="1"/>
  <c r="H6038" i="1"/>
  <c r="M6039" i="1" a="1"/>
  <c r="M6039" i="1" s="1"/>
  <c r="Q6039" i="1" a="1"/>
  <c r="Q6039" i="1" s="1"/>
  <c r="N6039" i="1" a="1"/>
  <c r="N6039" i="1" s="1"/>
  <c r="J6039" i="1" a="1"/>
  <c r="J6039" i="1" s="1"/>
  <c r="S6039" i="1" a="1"/>
  <c r="S6039" i="1" s="1"/>
  <c r="K6039" i="1" a="1"/>
  <c r="K6039" i="1" s="1"/>
  <c r="P6039" i="1" a="1"/>
  <c r="P6039" i="1" s="1"/>
  <c r="B6040" i="1"/>
  <c r="R6039" i="1" a="1"/>
  <c r="R6039" i="1" s="1"/>
  <c r="L6039" i="1" a="1"/>
  <c r="L6039" i="1" s="1"/>
  <c r="A6041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6039" i="1" l="1" a="1"/>
  <c r="I6039" i="1" s="1"/>
  <c r="C6040" i="1"/>
  <c r="L6040" i="1" s="1" a="1"/>
  <c r="L6040" i="1" s="1"/>
  <c r="H6039" i="1"/>
  <c r="A6042" i="1"/>
  <c r="P6040" i="1" a="1"/>
  <c r="P6040" i="1" s="1"/>
  <c r="J6040" i="1" a="1"/>
  <c r="J6040" i="1" s="1"/>
  <c r="S6040" i="1" a="1"/>
  <c r="S6040" i="1" s="1"/>
  <c r="O6040" i="1" a="1"/>
  <c r="O6040" i="1" s="1"/>
  <c r="K6040" i="1" a="1"/>
  <c r="K6040" i="1" s="1"/>
  <c r="B6041" i="1"/>
  <c r="Q6040" i="1" a="1"/>
  <c r="Q6040" i="1" s="1"/>
  <c r="R6040" i="1" a="1"/>
  <c r="R6040" i="1" s="1"/>
  <c r="I6040" i="1" a="1"/>
  <c r="I6040" i="1" s="1"/>
  <c r="N6040" i="1" a="1"/>
  <c r="N6040" i="1" s="1"/>
  <c r="M6040" i="1" a="1"/>
  <c r="M6040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C6041" i="1" l="1"/>
  <c r="O6041" i="1" s="1" a="1"/>
  <c r="O6041" i="1" s="1"/>
  <c r="H6040" i="1"/>
  <c r="K6041" i="1" a="1"/>
  <c r="K6041" i="1" s="1"/>
  <c r="S6041" i="1" a="1"/>
  <c r="S6041" i="1" s="1"/>
  <c r="P6041" i="1" a="1"/>
  <c r="P6041" i="1" s="1"/>
  <c r="B6042" i="1"/>
  <c r="L6041" i="1" a="1"/>
  <c r="L6041" i="1" s="1"/>
  <c r="Q6041" i="1" a="1"/>
  <c r="Q6041" i="1" s="1"/>
  <c r="M6041" i="1" a="1"/>
  <c r="M6041" i="1" s="1"/>
  <c r="R6041" i="1" a="1"/>
  <c r="R6041" i="1" s="1"/>
  <c r="I6041" i="1" a="1"/>
  <c r="I6041" i="1" s="1"/>
  <c r="N6041" i="1" a="1"/>
  <c r="N6041" i="1" s="1"/>
  <c r="A6043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6041" i="1" l="1" a="1"/>
  <c r="J6041" i="1" s="1"/>
  <c r="C6042" i="1"/>
  <c r="J6042" i="1" s="1" a="1"/>
  <c r="J6042" i="1" s="1"/>
  <c r="H6041" i="1"/>
  <c r="A6044" i="1"/>
  <c r="N6042" i="1" a="1"/>
  <c r="N6042" i="1" s="1"/>
  <c r="R6042" i="1" a="1"/>
  <c r="R6042" i="1" s="1"/>
  <c r="P6042" i="1" a="1"/>
  <c r="P6042" i="1" s="1"/>
  <c r="B6043" i="1"/>
  <c r="Q6042" i="1" a="1"/>
  <c r="Q6042" i="1" s="1"/>
  <c r="M6042" i="1" a="1"/>
  <c r="M6042" i="1" s="1"/>
  <c r="S6042" i="1" a="1"/>
  <c r="S6042" i="1" s="1"/>
  <c r="K6042" i="1" a="1"/>
  <c r="K6042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I6042" i="1" l="1" a="1"/>
  <c r="I6042" i="1" s="1"/>
  <c r="O6042" i="1" a="1"/>
  <c r="O6042" i="1" s="1"/>
  <c r="L6042" i="1" a="1"/>
  <c r="L6042" i="1" s="1"/>
  <c r="C6043" i="1"/>
  <c r="I6043" i="1" s="1" a="1"/>
  <c r="I6043" i="1" s="1"/>
  <c r="H6042" i="1"/>
  <c r="M6043" i="1" a="1"/>
  <c r="M6043" i="1" s="1"/>
  <c r="Q6043" i="1" a="1"/>
  <c r="Q6043" i="1" s="1"/>
  <c r="L6043" i="1" a="1"/>
  <c r="L6043" i="1" s="1"/>
  <c r="R6043" i="1" a="1"/>
  <c r="R6043" i="1" s="1"/>
  <c r="N6043" i="1" a="1"/>
  <c r="N6043" i="1" s="1"/>
  <c r="J6043" i="1" a="1"/>
  <c r="J6043" i="1" s="1"/>
  <c r="S6043" i="1" a="1"/>
  <c r="S6043" i="1" s="1"/>
  <c r="O6043" i="1" a="1"/>
  <c r="O6043" i="1" s="1"/>
  <c r="P6043" i="1" a="1"/>
  <c r="P6043" i="1" s="1"/>
  <c r="K6043" i="1" a="1"/>
  <c r="K6043" i="1" s="1"/>
  <c r="B6044" i="1"/>
  <c r="A6045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C6044" i="1" l="1"/>
  <c r="J6044" i="1" s="1" a="1"/>
  <c r="J6044" i="1" s="1"/>
  <c r="H6043" i="1"/>
  <c r="A6046" i="1"/>
  <c r="L6044" i="1" a="1"/>
  <c r="L6044" i="1" s="1"/>
  <c r="P6044" i="1" a="1"/>
  <c r="P6044" i="1" s="1"/>
  <c r="M6044" i="1" a="1"/>
  <c r="M6044" i="1" s="1"/>
  <c r="I6044" i="1" a="1"/>
  <c r="I6044" i="1" s="1"/>
  <c r="R6044" i="1" a="1"/>
  <c r="R6044" i="1" s="1"/>
  <c r="N6044" i="1" a="1"/>
  <c r="N6044" i="1" s="1"/>
  <c r="S6044" i="1" a="1"/>
  <c r="S6044" i="1" s="1"/>
  <c r="Q6044" i="1" a="1"/>
  <c r="Q6044" i="1" s="1"/>
  <c r="B6045" i="1"/>
  <c r="K6044" i="1" a="1"/>
  <c r="K6044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O6044" i="1" l="1" a="1"/>
  <c r="O6044" i="1" s="1"/>
  <c r="C6045" i="1"/>
  <c r="O6045" i="1" s="1" a="1"/>
  <c r="O6045" i="1" s="1"/>
  <c r="H6044" i="1"/>
  <c r="K6045" i="1" a="1"/>
  <c r="K6045" i="1" s="1"/>
  <c r="S6045" i="1" a="1"/>
  <c r="S6045" i="1" s="1"/>
  <c r="R6045" i="1" a="1"/>
  <c r="R6045" i="1" s="1"/>
  <c r="N6045" i="1" a="1"/>
  <c r="N6045" i="1" s="1"/>
  <c r="J6045" i="1" a="1"/>
  <c r="J6045" i="1" s="1"/>
  <c r="P6045" i="1" a="1"/>
  <c r="P6045" i="1" s="1"/>
  <c r="B6046" i="1"/>
  <c r="M6045" i="1" a="1"/>
  <c r="M6045" i="1" s="1"/>
  <c r="Q6045" i="1" a="1"/>
  <c r="Q6045" i="1" s="1"/>
  <c r="L6045" i="1" a="1"/>
  <c r="L6045" i="1" s="1"/>
  <c r="A6047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I6045" i="1" l="1" a="1"/>
  <c r="I6045" i="1" s="1"/>
  <c r="C6046" i="1"/>
  <c r="L6046" i="1" s="1" a="1"/>
  <c r="L6046" i="1" s="1"/>
  <c r="H6045" i="1"/>
  <c r="A6048" i="1"/>
  <c r="J6046" i="1" a="1"/>
  <c r="J6046" i="1" s="1"/>
  <c r="N6046" i="1" a="1"/>
  <c r="N6046" i="1" s="1"/>
  <c r="R6046" i="1" a="1"/>
  <c r="R6046" i="1" s="1"/>
  <c r="S6046" i="1" a="1"/>
  <c r="S6046" i="1" s="1"/>
  <c r="K6046" i="1" a="1"/>
  <c r="K6046" i="1" s="1"/>
  <c r="P6046" i="1" a="1"/>
  <c r="P6046" i="1" s="1"/>
  <c r="B6047" i="1"/>
  <c r="M6046" i="1" a="1"/>
  <c r="M6046" i="1" s="1"/>
  <c r="Q6046" i="1" a="1"/>
  <c r="Q6046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6046" i="1" l="1" a="1"/>
  <c r="I6046" i="1" s="1"/>
  <c r="O6046" i="1" a="1"/>
  <c r="O6046" i="1" s="1"/>
  <c r="C6047" i="1"/>
  <c r="K6047" i="1" s="1" a="1"/>
  <c r="K6047" i="1" s="1"/>
  <c r="H6046" i="1"/>
  <c r="M6047" i="1" a="1"/>
  <c r="M6047" i="1" s="1"/>
  <c r="Q6047" i="1" a="1"/>
  <c r="Q6047" i="1" s="1"/>
  <c r="P6047" i="1" a="1"/>
  <c r="P6047" i="1" s="1"/>
  <c r="B6048" i="1"/>
  <c r="L6047" i="1" a="1"/>
  <c r="L6047" i="1" s="1"/>
  <c r="N6047" i="1" a="1"/>
  <c r="N6047" i="1" s="1"/>
  <c r="R6047" i="1" a="1"/>
  <c r="R6047" i="1" s="1"/>
  <c r="S6047" i="1" a="1"/>
  <c r="S6047" i="1" s="1"/>
  <c r="A604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I6047" i="1" l="1" a="1"/>
  <c r="I6047" i="1" s="1"/>
  <c r="O6047" i="1" a="1"/>
  <c r="O6047" i="1" s="1"/>
  <c r="J6047" i="1" a="1"/>
  <c r="J6047" i="1" s="1"/>
  <c r="C6048" i="1"/>
  <c r="J6048" i="1" s="1" a="1"/>
  <c r="J6048" i="1" s="1"/>
  <c r="H6047" i="1"/>
  <c r="P6048" i="1" a="1"/>
  <c r="P6048" i="1" s="1"/>
  <c r="K6048" i="1" a="1"/>
  <c r="K6048" i="1" s="1"/>
  <c r="B6049" i="1"/>
  <c r="Q6048" i="1" a="1"/>
  <c r="Q6048" i="1" s="1"/>
  <c r="M6048" i="1" a="1"/>
  <c r="M6048" i="1" s="1"/>
  <c r="R6048" i="1" a="1"/>
  <c r="R6048" i="1" s="1"/>
  <c r="N6048" i="1" a="1"/>
  <c r="N6048" i="1" s="1"/>
  <c r="O6048" i="1" a="1"/>
  <c r="O6048" i="1" s="1"/>
  <c r="S6048" i="1" a="1"/>
  <c r="S6048" i="1" s="1"/>
  <c r="A6050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I6048" i="1" l="1" a="1"/>
  <c r="I6048" i="1" s="1"/>
  <c r="L6048" i="1" a="1"/>
  <c r="L6048" i="1" s="1"/>
  <c r="C6049" i="1"/>
  <c r="O6049" i="1" s="1" a="1"/>
  <c r="O6049" i="1" s="1"/>
  <c r="H6048" i="1"/>
  <c r="A6051" i="1"/>
  <c r="S6049" i="1" a="1"/>
  <c r="S6049" i="1" s="1"/>
  <c r="Q6049" i="1" a="1"/>
  <c r="Q6049" i="1" s="1"/>
  <c r="M6049" i="1" a="1"/>
  <c r="M6049" i="1" s="1"/>
  <c r="I6049" i="1" a="1"/>
  <c r="I6049" i="1" s="1"/>
  <c r="R6049" i="1" a="1"/>
  <c r="R6049" i="1" s="1"/>
  <c r="N6049" i="1" a="1"/>
  <c r="N6049" i="1" s="1"/>
  <c r="B6050" i="1"/>
  <c r="P6049" i="1" a="1"/>
  <c r="P6049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J6049" i="1" l="1" a="1"/>
  <c r="J6049" i="1" s="1"/>
  <c r="L6049" i="1" a="1"/>
  <c r="L6049" i="1" s="1"/>
  <c r="K6049" i="1" a="1"/>
  <c r="K6049" i="1" s="1"/>
  <c r="C6050" i="1"/>
  <c r="O6050" i="1" s="1" a="1"/>
  <c r="O6050" i="1" s="1"/>
  <c r="H6049" i="1"/>
  <c r="J6050" i="1" a="1"/>
  <c r="J6050" i="1" s="1"/>
  <c r="N6050" i="1" a="1"/>
  <c r="N6050" i="1" s="1"/>
  <c r="R6050" i="1" a="1"/>
  <c r="R6050" i="1" s="1"/>
  <c r="Q6050" i="1" a="1"/>
  <c r="Q6050" i="1" s="1"/>
  <c r="M6050" i="1" a="1"/>
  <c r="M6050" i="1" s="1"/>
  <c r="S6050" i="1" a="1"/>
  <c r="S6050" i="1" s="1"/>
  <c r="B6051" i="1"/>
  <c r="K6050" i="1" a="1"/>
  <c r="K6050" i="1" s="1"/>
  <c r="P6050" i="1" a="1"/>
  <c r="P6050" i="1" s="1"/>
  <c r="A6052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6050" i="1" l="1" a="1"/>
  <c r="I6050" i="1" s="1"/>
  <c r="L6050" i="1" a="1"/>
  <c r="L6050" i="1" s="1"/>
  <c r="C6051" i="1"/>
  <c r="O6051" i="1" s="1" a="1"/>
  <c r="O6051" i="1" s="1"/>
  <c r="H6050" i="1"/>
  <c r="A6053" i="1"/>
  <c r="M6051" i="1" a="1"/>
  <c r="M6051" i="1" s="1"/>
  <c r="Q6051" i="1" a="1"/>
  <c r="Q6051" i="1" s="1"/>
  <c r="R6051" i="1" a="1"/>
  <c r="R6051" i="1" s="1"/>
  <c r="N6051" i="1" a="1"/>
  <c r="N6051" i="1" s="1"/>
  <c r="J6051" i="1" a="1"/>
  <c r="J6051" i="1" s="1"/>
  <c r="S6051" i="1" a="1"/>
  <c r="S6051" i="1" s="1"/>
  <c r="K6051" i="1" a="1"/>
  <c r="K6051" i="1" s="1"/>
  <c r="B6052" i="1"/>
  <c r="L6051" i="1" a="1"/>
  <c r="L6051" i="1" s="1"/>
  <c r="P6051" i="1" a="1"/>
  <c r="P6051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I6051" i="1" l="1" a="1"/>
  <c r="I6051" i="1" s="1"/>
  <c r="C6052" i="1"/>
  <c r="J6052" i="1" s="1" a="1"/>
  <c r="J6052" i="1" s="1"/>
  <c r="H6051" i="1"/>
  <c r="A6054" i="1"/>
  <c r="I6052" i="1" a="1"/>
  <c r="I6052" i="1" s="1"/>
  <c r="M6052" i="1" a="1"/>
  <c r="M6052" i="1" s="1"/>
  <c r="Q6052" i="1" a="1"/>
  <c r="Q6052" i="1" s="1"/>
  <c r="N6052" i="1" a="1"/>
  <c r="N6052" i="1" s="1"/>
  <c r="R6052" i="1" a="1"/>
  <c r="R6052" i="1" s="1"/>
  <c r="K6052" i="1" a="1"/>
  <c r="K6052" i="1" s="1"/>
  <c r="P6052" i="1" a="1"/>
  <c r="P6052" i="1" s="1"/>
  <c r="S6052" i="1" a="1"/>
  <c r="S6052" i="1" s="1"/>
  <c r="L6052" i="1" a="1"/>
  <c r="L6052" i="1" s="1"/>
  <c r="B6053" i="1"/>
  <c r="O6052" i="1" a="1"/>
  <c r="O6052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C6053" i="1" l="1"/>
  <c r="L6053" i="1" s="1" a="1"/>
  <c r="L6053" i="1" s="1"/>
  <c r="H6052" i="1"/>
  <c r="P6053" i="1" a="1"/>
  <c r="P6053" i="1" s="1"/>
  <c r="B6054" i="1"/>
  <c r="I6053" i="1" a="1"/>
  <c r="I6053" i="1" s="1"/>
  <c r="M6053" i="1" a="1"/>
  <c r="M6053" i="1" s="1"/>
  <c r="Q6053" i="1" a="1"/>
  <c r="Q6053" i="1" s="1"/>
  <c r="J6053" i="1" a="1"/>
  <c r="J6053" i="1" s="1"/>
  <c r="K6053" i="1" a="1"/>
  <c r="K6053" i="1" s="1"/>
  <c r="R6053" i="1" a="1"/>
  <c r="R6053" i="1" s="1"/>
  <c r="S6053" i="1" a="1"/>
  <c r="S6053" i="1" s="1"/>
  <c r="N6053" i="1" a="1"/>
  <c r="N6053" i="1" s="1"/>
  <c r="O6053" i="1" a="1"/>
  <c r="O6053" i="1" s="1"/>
  <c r="A6055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C6054" i="1" l="1"/>
  <c r="J6054" i="1" s="1" a="1"/>
  <c r="J6054" i="1" s="1"/>
  <c r="H6053" i="1"/>
  <c r="K6054" i="1" a="1"/>
  <c r="K6054" i="1" s="1"/>
  <c r="O6054" i="1" a="1"/>
  <c r="O6054" i="1" s="1"/>
  <c r="S6054" i="1" a="1"/>
  <c r="S6054" i="1" s="1"/>
  <c r="L6054" i="1" a="1"/>
  <c r="L6054" i="1" s="1"/>
  <c r="P6054" i="1" a="1"/>
  <c r="P6054" i="1" s="1"/>
  <c r="Q6054" i="1" a="1"/>
  <c r="Q6054" i="1" s="1"/>
  <c r="R6054" i="1" a="1"/>
  <c r="R6054" i="1" s="1"/>
  <c r="M6054" i="1" a="1"/>
  <c r="M6054" i="1" s="1"/>
  <c r="I6054" i="1" a="1"/>
  <c r="I6054" i="1" s="1"/>
  <c r="N6054" i="1" a="1"/>
  <c r="N6054" i="1" s="1"/>
  <c r="B6055" i="1"/>
  <c r="A6056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C6055" i="1" l="1"/>
  <c r="J6055" i="1" s="1" a="1"/>
  <c r="J6055" i="1" s="1"/>
  <c r="H6054" i="1"/>
  <c r="A6057" i="1"/>
  <c r="N6055" i="1" a="1"/>
  <c r="N6055" i="1" s="1"/>
  <c r="R6055" i="1" a="1"/>
  <c r="R6055" i="1" s="1"/>
  <c r="K6055" i="1" a="1"/>
  <c r="K6055" i="1" s="1"/>
  <c r="S6055" i="1" a="1"/>
  <c r="S6055" i="1" s="1"/>
  <c r="I6055" i="1" a="1"/>
  <c r="I6055" i="1" s="1"/>
  <c r="P6055" i="1" a="1"/>
  <c r="P6055" i="1" s="1"/>
  <c r="Q6055" i="1" a="1"/>
  <c r="Q6055" i="1" s="1"/>
  <c r="L6055" i="1" a="1"/>
  <c r="L6055" i="1" s="1"/>
  <c r="B6056" i="1"/>
  <c r="M6055" i="1" a="1"/>
  <c r="M6055" i="1" s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O6055" i="1" l="1" a="1"/>
  <c r="O6055" i="1" s="1"/>
  <c r="C6056" i="1"/>
  <c r="I6056" i="1" s="1" a="1"/>
  <c r="I6056" i="1" s="1"/>
  <c r="H6055" i="1"/>
  <c r="M6056" i="1" a="1"/>
  <c r="M6056" i="1" s="1"/>
  <c r="Q6056" i="1" a="1"/>
  <c r="Q6056" i="1" s="1"/>
  <c r="J6056" i="1" a="1"/>
  <c r="J6056" i="1" s="1"/>
  <c r="O6056" i="1" a="1"/>
  <c r="O6056" i="1" s="1"/>
  <c r="B6057" i="1"/>
  <c r="K6056" i="1" a="1"/>
  <c r="K6056" i="1" s="1"/>
  <c r="P6056" i="1" a="1"/>
  <c r="P6056" i="1" s="1"/>
  <c r="L6056" i="1" a="1"/>
  <c r="L6056" i="1" s="1"/>
  <c r="R6056" i="1" a="1"/>
  <c r="R6056" i="1" s="1"/>
  <c r="S6056" i="1" a="1"/>
  <c r="S6056" i="1" s="1"/>
  <c r="N6056" i="1" a="1"/>
  <c r="N6056" i="1" s="1"/>
  <c r="A6058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C6057" i="1" l="1"/>
  <c r="L6057" i="1" s="1" a="1"/>
  <c r="L6057" i="1" s="1"/>
  <c r="H6056" i="1"/>
  <c r="P6057" i="1" a="1"/>
  <c r="P6057" i="1" s="1"/>
  <c r="B6058" i="1"/>
  <c r="M6057" i="1" a="1"/>
  <c r="M6057" i="1" s="1"/>
  <c r="R6057" i="1" a="1"/>
  <c r="R6057" i="1" s="1"/>
  <c r="N6057" i="1" a="1"/>
  <c r="N6057" i="1" s="1"/>
  <c r="S6057" i="1" a="1"/>
  <c r="S6057" i="1" s="1"/>
  <c r="K6057" i="1" a="1"/>
  <c r="K6057" i="1" s="1"/>
  <c r="Q6057" i="1" a="1"/>
  <c r="Q6057" i="1" s="1"/>
  <c r="A605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6057" i="1" l="1" a="1"/>
  <c r="I6057" i="1" s="1"/>
  <c r="O6057" i="1" a="1"/>
  <c r="O6057" i="1" s="1"/>
  <c r="J6057" i="1" a="1"/>
  <c r="J6057" i="1" s="1"/>
  <c r="C6058" i="1"/>
  <c r="K6058" i="1" s="1" a="1"/>
  <c r="K6058" i="1" s="1"/>
  <c r="H6057" i="1"/>
  <c r="A6060" i="1"/>
  <c r="S6058" i="1" a="1"/>
  <c r="S6058" i="1" s="1"/>
  <c r="P6058" i="1" a="1"/>
  <c r="P6058" i="1" s="1"/>
  <c r="Q6058" i="1" a="1"/>
  <c r="Q6058" i="1" s="1"/>
  <c r="M6058" i="1" a="1"/>
  <c r="M6058" i="1" s="1"/>
  <c r="R6058" i="1" a="1"/>
  <c r="R6058" i="1" s="1"/>
  <c r="B6059" i="1"/>
  <c r="I6058" i="1" a="1"/>
  <c r="I6058" i="1" s="1"/>
  <c r="N6058" i="1" a="1"/>
  <c r="N6058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058" i="1" l="1" a="1"/>
  <c r="L6058" i="1" s="1"/>
  <c r="O6058" i="1" a="1"/>
  <c r="O6058" i="1" s="1"/>
  <c r="J6058" i="1" a="1"/>
  <c r="J6058" i="1" s="1"/>
  <c r="C6059" i="1"/>
  <c r="K6059" i="1" s="1" a="1"/>
  <c r="K6059" i="1" s="1"/>
  <c r="H6058" i="1"/>
  <c r="N6059" i="1" a="1"/>
  <c r="N6059" i="1" s="1"/>
  <c r="R6059" i="1" a="1"/>
  <c r="R6059" i="1" s="1"/>
  <c r="M6059" i="1" a="1"/>
  <c r="M6059" i="1" s="1"/>
  <c r="S6059" i="1" a="1"/>
  <c r="S6059" i="1" s="1"/>
  <c r="B6060" i="1"/>
  <c r="P6059" i="1" a="1"/>
  <c r="P6059" i="1" s="1"/>
  <c r="Q6059" i="1" a="1"/>
  <c r="Q6059" i="1" s="1"/>
  <c r="A6061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I6059" i="1" l="1" a="1"/>
  <c r="I6059" i="1" s="1"/>
  <c r="O6059" i="1" a="1"/>
  <c r="O6059" i="1" s="1"/>
  <c r="L6059" i="1" a="1"/>
  <c r="L6059" i="1" s="1"/>
  <c r="J6059" i="1" a="1"/>
  <c r="J6059" i="1" s="1"/>
  <c r="C6060" i="1"/>
  <c r="O6060" i="1" s="1" a="1"/>
  <c r="O6060" i="1" s="1"/>
  <c r="H6059" i="1"/>
  <c r="I6060" i="1" a="1"/>
  <c r="I6060" i="1" s="1"/>
  <c r="M6060" i="1" a="1"/>
  <c r="M6060" i="1" s="1"/>
  <c r="Q6060" i="1" a="1"/>
  <c r="Q6060" i="1" s="1"/>
  <c r="K6060" i="1" a="1"/>
  <c r="K6060" i="1" s="1"/>
  <c r="P6060" i="1" a="1"/>
  <c r="P6060" i="1" s="1"/>
  <c r="B6061" i="1"/>
  <c r="L6060" i="1" a="1"/>
  <c r="L6060" i="1" s="1"/>
  <c r="R6060" i="1" a="1"/>
  <c r="R6060" i="1" s="1"/>
  <c r="J6060" i="1" a="1"/>
  <c r="J6060" i="1" s="1"/>
  <c r="N6060" i="1" a="1"/>
  <c r="N6060" i="1" s="1"/>
  <c r="S6060" i="1" a="1"/>
  <c r="S6060" i="1" s="1"/>
  <c r="A6062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C6061" i="1" l="1"/>
  <c r="J6061" i="1" s="1" a="1"/>
  <c r="J6061" i="1" s="1"/>
  <c r="H6060" i="1"/>
  <c r="P6061" i="1" a="1"/>
  <c r="P6061" i="1" s="1"/>
  <c r="Q6061" i="1" a="1"/>
  <c r="Q6061" i="1" s="1"/>
  <c r="M6061" i="1" a="1"/>
  <c r="M6061" i="1" s="1"/>
  <c r="I6061" i="1" a="1"/>
  <c r="I6061" i="1" s="1"/>
  <c r="R6061" i="1" a="1"/>
  <c r="R6061" i="1" s="1"/>
  <c r="N6061" i="1" a="1"/>
  <c r="N6061" i="1" s="1"/>
  <c r="B6062" i="1"/>
  <c r="K6061" i="1" a="1"/>
  <c r="K6061" i="1" s="1"/>
  <c r="O6061" i="1" a="1"/>
  <c r="O6061" i="1" s="1"/>
  <c r="S6061" i="1" a="1"/>
  <c r="S6061" i="1" s="1"/>
  <c r="A606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6061" i="1" l="1" a="1"/>
  <c r="L6061" i="1" s="1"/>
  <c r="C6062" i="1"/>
  <c r="O6062" i="1" s="1" a="1"/>
  <c r="O6062" i="1" s="1"/>
  <c r="H6061" i="1"/>
  <c r="A6064" i="1"/>
  <c r="K6062" i="1" a="1"/>
  <c r="K6062" i="1" s="1"/>
  <c r="S6062" i="1" a="1"/>
  <c r="S6062" i="1" s="1"/>
  <c r="Q6062" i="1" a="1"/>
  <c r="Q6062" i="1" s="1"/>
  <c r="M6062" i="1" a="1"/>
  <c r="M6062" i="1" s="1"/>
  <c r="R6062" i="1" a="1"/>
  <c r="R6062" i="1" s="1"/>
  <c r="N6062" i="1" a="1"/>
  <c r="N6062" i="1" s="1"/>
  <c r="J6062" i="1" a="1"/>
  <c r="J6062" i="1" s="1"/>
  <c r="B6063" i="1"/>
  <c r="L6062" i="1" a="1"/>
  <c r="L6062" i="1" s="1"/>
  <c r="P6062" i="1" a="1"/>
  <c r="P6062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I6062" i="1" l="1" a="1"/>
  <c r="I6062" i="1" s="1"/>
  <c r="C6063" i="1"/>
  <c r="K6063" i="1" s="1" a="1"/>
  <c r="K6063" i="1" s="1"/>
  <c r="H6062" i="1"/>
  <c r="J6063" i="1" a="1"/>
  <c r="J6063" i="1" s="1"/>
  <c r="N6063" i="1" a="1"/>
  <c r="N6063" i="1" s="1"/>
  <c r="R6063" i="1" a="1"/>
  <c r="R6063" i="1" s="1"/>
  <c r="M6063" i="1" a="1"/>
  <c r="M6063" i="1" s="1"/>
  <c r="I6063" i="1" a="1"/>
  <c r="I6063" i="1" s="1"/>
  <c r="S6063" i="1" a="1"/>
  <c r="S6063" i="1" s="1"/>
  <c r="Q6063" i="1" a="1"/>
  <c r="Q6063" i="1" s="1"/>
  <c r="B6064" i="1"/>
  <c r="L6063" i="1" a="1"/>
  <c r="L6063" i="1" s="1"/>
  <c r="P6063" i="1" a="1"/>
  <c r="P6063" i="1" s="1"/>
  <c r="A6065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O6063" i="1" l="1" a="1"/>
  <c r="O6063" i="1" s="1"/>
  <c r="C6064" i="1"/>
  <c r="O6064" i="1" s="1" a="1"/>
  <c r="O6064" i="1" s="1"/>
  <c r="H6063" i="1"/>
  <c r="A6066" i="1"/>
  <c r="M6064" i="1" a="1"/>
  <c r="M6064" i="1" s="1"/>
  <c r="Q6064" i="1" a="1"/>
  <c r="Q6064" i="1" s="1"/>
  <c r="N6064" i="1" a="1"/>
  <c r="N6064" i="1" s="1"/>
  <c r="J6064" i="1" a="1"/>
  <c r="J6064" i="1" s="1"/>
  <c r="S6064" i="1" a="1"/>
  <c r="S6064" i="1" s="1"/>
  <c r="P6064" i="1" a="1"/>
  <c r="P6064" i="1" s="1"/>
  <c r="B6065" i="1"/>
  <c r="R6064" i="1" a="1"/>
  <c r="R6064" i="1" s="1"/>
  <c r="L6064" i="1" a="1"/>
  <c r="L6064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I6064" i="1" l="1" a="1"/>
  <c r="I6064" i="1" s="1"/>
  <c r="K6064" i="1" a="1"/>
  <c r="K6064" i="1" s="1"/>
  <c r="C6065" i="1"/>
  <c r="O6065" i="1" s="1" a="1"/>
  <c r="O6065" i="1" s="1"/>
  <c r="H6064" i="1"/>
  <c r="P6065" i="1" a="1"/>
  <c r="P6065" i="1" s="1"/>
  <c r="J6065" i="1" a="1"/>
  <c r="J6065" i="1" s="1"/>
  <c r="S6065" i="1" a="1"/>
  <c r="S6065" i="1" s="1"/>
  <c r="K6065" i="1" a="1"/>
  <c r="K6065" i="1" s="1"/>
  <c r="B6066" i="1"/>
  <c r="Q6065" i="1" a="1"/>
  <c r="Q6065" i="1" s="1"/>
  <c r="R6065" i="1" a="1"/>
  <c r="R6065" i="1" s="1"/>
  <c r="I6065" i="1" a="1"/>
  <c r="I6065" i="1" s="1"/>
  <c r="M6065" i="1" a="1"/>
  <c r="M6065" i="1" s="1"/>
  <c r="N6065" i="1" a="1"/>
  <c r="N6065" i="1" s="1"/>
  <c r="A6067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L6065" i="1" l="1" a="1"/>
  <c r="L6065" i="1" s="1"/>
  <c r="C6066" i="1"/>
  <c r="K6066" i="1" s="1" a="1"/>
  <c r="K6066" i="1" s="1"/>
  <c r="H6065" i="1"/>
  <c r="S6066" i="1" a="1"/>
  <c r="S6066" i="1" s="1"/>
  <c r="P6066" i="1" a="1"/>
  <c r="P6066" i="1" s="1"/>
  <c r="B6067" i="1"/>
  <c r="L6066" i="1" a="1"/>
  <c r="L6066" i="1" s="1"/>
  <c r="Q6066" i="1" a="1"/>
  <c r="Q6066" i="1" s="1"/>
  <c r="M6066" i="1" a="1"/>
  <c r="M6066" i="1" s="1"/>
  <c r="R6066" i="1" a="1"/>
  <c r="R6066" i="1" s="1"/>
  <c r="N6066" i="1" a="1"/>
  <c r="N6066" i="1" s="1"/>
  <c r="J6066" i="1" a="1"/>
  <c r="J6066" i="1" s="1"/>
  <c r="A6068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I6066" i="1" l="1" a="1"/>
  <c r="I6066" i="1" s="1"/>
  <c r="O6066" i="1" a="1"/>
  <c r="O6066" i="1" s="1"/>
  <c r="C6067" i="1"/>
  <c r="J6067" i="1" s="1" a="1"/>
  <c r="J6067" i="1" s="1"/>
  <c r="H6066" i="1"/>
  <c r="A6069" i="1"/>
  <c r="N6067" i="1" a="1"/>
  <c r="N6067" i="1" s="1"/>
  <c r="R6067" i="1" a="1"/>
  <c r="R6067" i="1" s="1"/>
  <c r="P6067" i="1" a="1"/>
  <c r="P6067" i="1" s="1"/>
  <c r="B6068" i="1"/>
  <c r="Q6067" i="1" a="1"/>
  <c r="Q6067" i="1" s="1"/>
  <c r="M6067" i="1" a="1"/>
  <c r="M6067" i="1" s="1"/>
  <c r="S6067" i="1" a="1"/>
  <c r="S6067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I6067" i="1" l="1" a="1"/>
  <c r="I6067" i="1" s="1"/>
  <c r="O6067" i="1" a="1"/>
  <c r="O6067" i="1" s="1"/>
  <c r="L6067" i="1" a="1"/>
  <c r="L6067" i="1" s="1"/>
  <c r="K6067" i="1" a="1"/>
  <c r="K6067" i="1" s="1"/>
  <c r="C6068" i="1"/>
  <c r="K6068" i="1" s="1" a="1"/>
  <c r="K6068" i="1" s="1"/>
  <c r="H6067" i="1"/>
  <c r="M6068" i="1" a="1"/>
  <c r="M6068" i="1" s="1"/>
  <c r="Q6068" i="1" a="1"/>
  <c r="Q6068" i="1" s="1"/>
  <c r="R6068" i="1" a="1"/>
  <c r="R6068" i="1" s="1"/>
  <c r="N6068" i="1" a="1"/>
  <c r="N6068" i="1" s="1"/>
  <c r="S6068" i="1" a="1"/>
  <c r="S6068" i="1" s="1"/>
  <c r="P6068" i="1" a="1"/>
  <c r="P6068" i="1" s="1"/>
  <c r="B6069" i="1"/>
  <c r="A6070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I6068" i="1" l="1" a="1"/>
  <c r="I6068" i="1" s="1"/>
  <c r="O6068" i="1" a="1"/>
  <c r="O6068" i="1" s="1"/>
  <c r="J6068" i="1" a="1"/>
  <c r="J6068" i="1" s="1"/>
  <c r="L6068" i="1" a="1"/>
  <c r="L6068" i="1" s="1"/>
  <c r="C6069" i="1"/>
  <c r="O6069" i="1" s="1" a="1"/>
  <c r="O6069" i="1" s="1"/>
  <c r="H6068" i="1"/>
  <c r="A6071" i="1"/>
  <c r="L6069" i="1" a="1"/>
  <c r="L6069" i="1" s="1"/>
  <c r="P6069" i="1" a="1"/>
  <c r="P6069" i="1" s="1"/>
  <c r="M6069" i="1" a="1"/>
  <c r="M6069" i="1" s="1"/>
  <c r="R6069" i="1" a="1"/>
  <c r="R6069" i="1" s="1"/>
  <c r="N6069" i="1" a="1"/>
  <c r="N6069" i="1" s="1"/>
  <c r="S6069" i="1" a="1"/>
  <c r="S6069" i="1" s="1"/>
  <c r="Q6069" i="1" a="1"/>
  <c r="Q6069" i="1" s="1"/>
  <c r="B6070" i="1"/>
  <c r="K6069" i="1" a="1"/>
  <c r="K6069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I6069" i="1" l="1" a="1"/>
  <c r="I6069" i="1" s="1"/>
  <c r="J6069" i="1" a="1"/>
  <c r="J6069" i="1" s="1"/>
  <c r="C6070" i="1"/>
  <c r="O6070" i="1" s="1" a="1"/>
  <c r="O6070" i="1" s="1"/>
  <c r="H6069" i="1"/>
  <c r="K6070" i="1" a="1"/>
  <c r="K6070" i="1" s="1"/>
  <c r="S6070" i="1" a="1"/>
  <c r="S6070" i="1" s="1"/>
  <c r="I6070" i="1" a="1"/>
  <c r="I6070" i="1" s="1"/>
  <c r="R6070" i="1" a="1"/>
  <c r="R6070" i="1" s="1"/>
  <c r="N6070" i="1" a="1"/>
  <c r="N6070" i="1" s="1"/>
  <c r="J6070" i="1" a="1"/>
  <c r="J6070" i="1" s="1"/>
  <c r="P6070" i="1" a="1"/>
  <c r="P6070" i="1" s="1"/>
  <c r="B6071" i="1"/>
  <c r="M6070" i="1" a="1"/>
  <c r="M6070" i="1" s="1"/>
  <c r="Q6070" i="1" a="1"/>
  <c r="Q6070" i="1" s="1"/>
  <c r="L6070" i="1" a="1"/>
  <c r="L6070" i="1" s="1"/>
  <c r="A6072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C6071" i="1" l="1"/>
  <c r="H6070" i="1"/>
  <c r="A6073" i="1"/>
  <c r="J6071" i="1" a="1"/>
  <c r="J6071" i="1" s="1"/>
  <c r="N6071" i="1" a="1"/>
  <c r="N6071" i="1" s="1"/>
  <c r="R6071" i="1" a="1"/>
  <c r="R6071" i="1" s="1"/>
  <c r="S6071" i="1" a="1"/>
  <c r="S6071" i="1" s="1"/>
  <c r="O6071" i="1" a="1"/>
  <c r="O6071" i="1" s="1"/>
  <c r="K6071" i="1" a="1"/>
  <c r="K6071" i="1" s="1"/>
  <c r="P6071" i="1" a="1"/>
  <c r="P6071" i="1" s="1"/>
  <c r="B6072" i="1"/>
  <c r="L6071" i="1" a="1"/>
  <c r="L6071" i="1" s="1"/>
  <c r="M6071" i="1" a="1"/>
  <c r="M6071" i="1" s="1"/>
  <c r="Q6071" i="1" a="1"/>
  <c r="Q6071" i="1" s="1"/>
  <c r="I6071" i="1" a="1"/>
  <c r="I6071" i="1" s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C6072" i="1" l="1"/>
  <c r="L6072" i="1" s="1" a="1"/>
  <c r="L6072" i="1" s="1"/>
  <c r="H6071" i="1"/>
  <c r="M6072" i="1" a="1"/>
  <c r="M6072" i="1" s="1"/>
  <c r="Q6072" i="1" a="1"/>
  <c r="Q6072" i="1" s="1"/>
  <c r="O6072" i="1" a="1"/>
  <c r="O6072" i="1" s="1"/>
  <c r="K6072" i="1" a="1"/>
  <c r="K6072" i="1" s="1"/>
  <c r="P6072" i="1" a="1"/>
  <c r="P6072" i="1" s="1"/>
  <c r="B6073" i="1"/>
  <c r="J6072" i="1" a="1"/>
  <c r="J6072" i="1" s="1"/>
  <c r="N6072" i="1" a="1"/>
  <c r="N6072" i="1" s="1"/>
  <c r="R6072" i="1" a="1"/>
  <c r="R6072" i="1" s="1"/>
  <c r="S6072" i="1" a="1"/>
  <c r="S6072" i="1" s="1"/>
  <c r="A6074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I6072" i="1" l="1" a="1"/>
  <c r="I6072" i="1" s="1"/>
  <c r="C6073" i="1"/>
  <c r="L6073" i="1" s="1" a="1"/>
  <c r="L6073" i="1" s="1"/>
  <c r="H6072" i="1"/>
  <c r="P6073" i="1" a="1"/>
  <c r="P6073" i="1" s="1"/>
  <c r="K6073" i="1" a="1"/>
  <c r="K6073" i="1" s="1"/>
  <c r="B6074" i="1"/>
  <c r="Q6073" i="1" a="1"/>
  <c r="Q6073" i="1" s="1"/>
  <c r="M6073" i="1" a="1"/>
  <c r="M6073" i="1" s="1"/>
  <c r="R6073" i="1" a="1"/>
  <c r="R6073" i="1" s="1"/>
  <c r="J6073" i="1" a="1"/>
  <c r="J6073" i="1" s="1"/>
  <c r="N6073" i="1" a="1"/>
  <c r="N6073" i="1" s="1"/>
  <c r="S6073" i="1" a="1"/>
  <c r="S6073" i="1" s="1"/>
  <c r="A607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I6073" i="1" l="1" a="1"/>
  <c r="I6073" i="1" s="1"/>
  <c r="O6073" i="1" a="1"/>
  <c r="O6073" i="1" s="1"/>
  <c r="C6074" i="1"/>
  <c r="K6074" i="1" s="1" a="1"/>
  <c r="K6074" i="1" s="1"/>
  <c r="H6073" i="1"/>
  <c r="A6076" i="1"/>
  <c r="S6074" i="1" a="1"/>
  <c r="S6074" i="1" s="1"/>
  <c r="Q6074" i="1" a="1"/>
  <c r="Q6074" i="1" s="1"/>
  <c r="M6074" i="1" a="1"/>
  <c r="M6074" i="1" s="1"/>
  <c r="I6074" i="1" a="1"/>
  <c r="I6074" i="1" s="1"/>
  <c r="R6074" i="1" a="1"/>
  <c r="R6074" i="1" s="1"/>
  <c r="N6074" i="1" a="1"/>
  <c r="N6074" i="1" s="1"/>
  <c r="J6074" i="1" a="1"/>
  <c r="J6074" i="1" s="1"/>
  <c r="B6075" i="1"/>
  <c r="P6074" i="1" a="1"/>
  <c r="P6074" i="1" s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O6074" i="1" l="1" a="1"/>
  <c r="O6074" i="1" s="1"/>
  <c r="L6074" i="1" a="1"/>
  <c r="L6074" i="1" s="1"/>
  <c r="C6075" i="1"/>
  <c r="J6075" i="1" s="1" a="1"/>
  <c r="J6075" i="1" s="1"/>
  <c r="H6074" i="1"/>
  <c r="N6075" i="1" a="1"/>
  <c r="N6075" i="1" s="1"/>
  <c r="R6075" i="1" a="1"/>
  <c r="R6075" i="1" s="1"/>
  <c r="Q6075" i="1" a="1"/>
  <c r="Q6075" i="1" s="1"/>
  <c r="M6075" i="1" a="1"/>
  <c r="M6075" i="1" s="1"/>
  <c r="S6075" i="1" a="1"/>
  <c r="S6075" i="1" s="1"/>
  <c r="B6076" i="1"/>
  <c r="K6075" i="1" a="1"/>
  <c r="K6075" i="1" s="1"/>
  <c r="P6075" i="1" a="1"/>
  <c r="P6075" i="1" s="1"/>
  <c r="A607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I6075" i="1" l="1" a="1"/>
  <c r="I6075" i="1" s="1"/>
  <c r="O6075" i="1" a="1"/>
  <c r="O6075" i="1" s="1"/>
  <c r="L6075" i="1" a="1"/>
  <c r="L6075" i="1" s="1"/>
  <c r="C6076" i="1"/>
  <c r="L6076" i="1" s="1" a="1"/>
  <c r="L6076" i="1" s="1"/>
  <c r="H6075" i="1"/>
  <c r="A6078" i="1"/>
  <c r="I6076" i="1" a="1"/>
  <c r="I6076" i="1" s="1"/>
  <c r="M6076" i="1" a="1"/>
  <c r="M6076" i="1" s="1"/>
  <c r="Q6076" i="1" a="1"/>
  <c r="Q6076" i="1" s="1"/>
  <c r="R6076" i="1" a="1"/>
  <c r="R6076" i="1" s="1"/>
  <c r="N6076" i="1" a="1"/>
  <c r="N6076" i="1" s="1"/>
  <c r="S6076" i="1" a="1"/>
  <c r="S6076" i="1" s="1"/>
  <c r="K6076" i="1" a="1"/>
  <c r="K6076" i="1" s="1"/>
  <c r="B6077" i="1"/>
  <c r="P6076" i="1" a="1"/>
  <c r="P6076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O6076" i="1" l="1" a="1"/>
  <c r="O6076" i="1" s="1"/>
  <c r="J6076" i="1" a="1"/>
  <c r="J6076" i="1" s="1"/>
  <c r="C6077" i="1"/>
  <c r="L6077" i="1" s="1" a="1"/>
  <c r="L6077" i="1" s="1"/>
  <c r="H6076" i="1"/>
  <c r="P6077" i="1" a="1"/>
  <c r="P6077" i="1" s="1"/>
  <c r="N6077" i="1" a="1"/>
  <c r="N6077" i="1" s="1"/>
  <c r="S6077" i="1" a="1"/>
  <c r="S6077" i="1" s="1"/>
  <c r="O6077" i="1" a="1"/>
  <c r="O6077" i="1" s="1"/>
  <c r="K6077" i="1" a="1"/>
  <c r="K6077" i="1" s="1"/>
  <c r="B6078" i="1"/>
  <c r="R6077" i="1" a="1"/>
  <c r="R6077" i="1" s="1"/>
  <c r="M6077" i="1" a="1"/>
  <c r="M6077" i="1" s="1"/>
  <c r="Q6077" i="1" a="1"/>
  <c r="Q6077" i="1" s="1"/>
  <c r="A607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I6077" i="1" l="1" a="1"/>
  <c r="I6077" i="1" s="1"/>
  <c r="J6077" i="1" a="1"/>
  <c r="J6077" i="1" s="1"/>
  <c r="C6078" i="1"/>
  <c r="L6078" i="1" s="1" a="1"/>
  <c r="L6078" i="1" s="1"/>
  <c r="H6077" i="1"/>
  <c r="K6078" i="1" a="1"/>
  <c r="K6078" i="1" s="1"/>
  <c r="S6078" i="1" a="1"/>
  <c r="S6078" i="1" s="1"/>
  <c r="J6078" i="1" a="1"/>
  <c r="J6078" i="1" s="1"/>
  <c r="P6078" i="1" a="1"/>
  <c r="P6078" i="1" s="1"/>
  <c r="B6079" i="1"/>
  <c r="Q6078" i="1" a="1"/>
  <c r="Q6078" i="1" s="1"/>
  <c r="R6078" i="1" a="1"/>
  <c r="R6078" i="1" s="1"/>
  <c r="M6078" i="1" a="1"/>
  <c r="M6078" i="1" s="1"/>
  <c r="N6078" i="1" a="1"/>
  <c r="N6078" i="1" s="1"/>
  <c r="A6080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I6078" i="1" l="1" a="1"/>
  <c r="I6078" i="1" s="1"/>
  <c r="O6078" i="1" a="1"/>
  <c r="O6078" i="1" s="1"/>
  <c r="C6079" i="1"/>
  <c r="I6079" i="1" s="1" a="1"/>
  <c r="I6079" i="1" s="1"/>
  <c r="H6078" i="1"/>
  <c r="J6079" i="1" a="1"/>
  <c r="J6079" i="1" s="1"/>
  <c r="N6079" i="1" a="1"/>
  <c r="N6079" i="1" s="1"/>
  <c r="R6079" i="1" a="1"/>
  <c r="R6079" i="1" s="1"/>
  <c r="K6079" i="1" a="1"/>
  <c r="K6079" i="1" s="1"/>
  <c r="P6079" i="1" a="1"/>
  <c r="P6079" i="1" s="1"/>
  <c r="B6080" i="1"/>
  <c r="L6079" i="1" a="1"/>
  <c r="L6079" i="1" s="1"/>
  <c r="Q6079" i="1" a="1"/>
  <c r="Q6079" i="1" s="1"/>
  <c r="M6079" i="1" a="1"/>
  <c r="M6079" i="1" s="1"/>
  <c r="S6079" i="1" a="1"/>
  <c r="S6079" i="1" s="1"/>
  <c r="O6079" i="1" a="1"/>
  <c r="O6079" i="1" s="1"/>
  <c r="A6081" i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C6080" i="1" l="1"/>
  <c r="J6080" i="1" s="1" a="1"/>
  <c r="J6080" i="1" s="1"/>
  <c r="H6079" i="1"/>
  <c r="A6082" i="1"/>
  <c r="I6080" i="1" a="1"/>
  <c r="I6080" i="1" s="1"/>
  <c r="M6080" i="1" a="1"/>
  <c r="M6080" i="1" s="1"/>
  <c r="Q6080" i="1" a="1"/>
  <c r="Q6080" i="1" s="1"/>
  <c r="P6080" i="1" a="1"/>
  <c r="P6080" i="1" s="1"/>
  <c r="B6081" i="1"/>
  <c r="L6080" i="1" a="1"/>
  <c r="L6080" i="1" s="1"/>
  <c r="R6080" i="1" a="1"/>
  <c r="R6080" i="1" s="1"/>
  <c r="N6080" i="1" a="1"/>
  <c r="N6080" i="1" s="1"/>
  <c r="S6080" i="1" a="1"/>
  <c r="S6080" i="1" s="1"/>
  <c r="K6080" i="1" a="1"/>
  <c r="K6080" i="1" s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O6080" i="1" l="1" a="1"/>
  <c r="O6080" i="1" s="1"/>
  <c r="C6081" i="1"/>
  <c r="J6081" i="1" s="1" a="1"/>
  <c r="J6081" i="1" s="1"/>
  <c r="H6080" i="1"/>
  <c r="L6081" i="1" a="1"/>
  <c r="L6081" i="1" s="1"/>
  <c r="P6081" i="1" a="1"/>
  <c r="P6081" i="1" s="1"/>
  <c r="Q6081" i="1" a="1"/>
  <c r="Q6081" i="1" s="1"/>
  <c r="M6081" i="1" a="1"/>
  <c r="M6081" i="1" s="1"/>
  <c r="I6081" i="1" a="1"/>
  <c r="I6081" i="1" s="1"/>
  <c r="R6081" i="1" a="1"/>
  <c r="R6081" i="1" s="1"/>
  <c r="N6081" i="1" a="1"/>
  <c r="N6081" i="1" s="1"/>
  <c r="S6081" i="1" a="1"/>
  <c r="S6081" i="1" s="1"/>
  <c r="B6082" i="1"/>
  <c r="O6081" i="1" a="1"/>
  <c r="O6081" i="1" s="1"/>
  <c r="K6081" i="1" a="1"/>
  <c r="K6081" i="1" s="1"/>
  <c r="A6083" i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C6082" i="1" l="1"/>
  <c r="J6082" i="1" s="1" a="1"/>
  <c r="J6082" i="1" s="1"/>
  <c r="H6081" i="1"/>
  <c r="K6082" i="1" a="1"/>
  <c r="K6082" i="1" s="1"/>
  <c r="O6082" i="1" a="1"/>
  <c r="O6082" i="1" s="1"/>
  <c r="S6082" i="1" a="1"/>
  <c r="S6082" i="1" s="1"/>
  <c r="M6082" i="1" a="1"/>
  <c r="M6082" i="1" s="1"/>
  <c r="R6082" i="1" a="1"/>
  <c r="R6082" i="1" s="1"/>
  <c r="N6082" i="1" a="1"/>
  <c r="N6082" i="1" s="1"/>
  <c r="P6082" i="1" a="1"/>
  <c r="P6082" i="1" s="1"/>
  <c r="Q6082" i="1" a="1"/>
  <c r="Q6082" i="1" s="1"/>
  <c r="B6083" i="1"/>
  <c r="A608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I6082" i="1" l="1" a="1"/>
  <c r="I6082" i="1" s="1"/>
  <c r="L6082" i="1" a="1"/>
  <c r="L6082" i="1" s="1"/>
  <c r="C6083" i="1"/>
  <c r="O6083" i="1" s="1" a="1"/>
  <c r="O6083" i="1" s="1"/>
  <c r="H6082" i="1"/>
  <c r="A6085" i="1"/>
  <c r="J6083" i="1" a="1"/>
  <c r="J6083" i="1" s="1"/>
  <c r="N6083" i="1" a="1"/>
  <c r="N6083" i="1" s="1"/>
  <c r="R6083" i="1" a="1"/>
  <c r="R6083" i="1" s="1"/>
  <c r="I6083" i="1" a="1"/>
  <c r="I6083" i="1" s="1"/>
  <c r="S6083" i="1" a="1"/>
  <c r="S6083" i="1" s="1"/>
  <c r="K6083" i="1" a="1"/>
  <c r="K6083" i="1" s="1"/>
  <c r="P6083" i="1" a="1"/>
  <c r="P6083" i="1" s="1"/>
  <c r="B6084" i="1"/>
  <c r="M6083" i="1" a="1"/>
  <c r="M6083" i="1" s="1"/>
  <c r="Q6083" i="1" a="1"/>
  <c r="Q6083" i="1" s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6083" i="1" l="1" a="1"/>
  <c r="L6083" i="1" s="1"/>
  <c r="C6084" i="1"/>
  <c r="L6084" i="1" s="1" a="1"/>
  <c r="L6084" i="1" s="1"/>
  <c r="H6083" i="1"/>
  <c r="M6084" i="1" a="1"/>
  <c r="M6084" i="1" s="1"/>
  <c r="Q6084" i="1" a="1"/>
  <c r="Q6084" i="1" s="1"/>
  <c r="J6084" i="1" a="1"/>
  <c r="J6084" i="1" s="1"/>
  <c r="S6084" i="1" a="1"/>
  <c r="S6084" i="1" s="1"/>
  <c r="K6084" i="1" a="1"/>
  <c r="K6084" i="1" s="1"/>
  <c r="P6084" i="1" a="1"/>
  <c r="P6084" i="1" s="1"/>
  <c r="B6085" i="1"/>
  <c r="N6084" i="1" a="1"/>
  <c r="N6084" i="1" s="1"/>
  <c r="R6084" i="1" a="1"/>
  <c r="R6084" i="1" s="1"/>
  <c r="A6086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I6084" i="1" l="1" a="1"/>
  <c r="I6084" i="1" s="1"/>
  <c r="O6084" i="1" a="1"/>
  <c r="O6084" i="1" s="1"/>
  <c r="C6085" i="1"/>
  <c r="H6084" i="1"/>
  <c r="A6087" i="1"/>
  <c r="L6085" i="1" a="1"/>
  <c r="L6085" i="1" s="1"/>
  <c r="P6085" i="1" a="1"/>
  <c r="P6085" i="1" s="1"/>
  <c r="O6085" i="1" a="1"/>
  <c r="O6085" i="1" s="1"/>
  <c r="K6085" i="1" a="1"/>
  <c r="K6085" i="1" s="1"/>
  <c r="B6086" i="1"/>
  <c r="Q6085" i="1" a="1"/>
  <c r="Q6085" i="1" s="1"/>
  <c r="M6085" i="1" a="1"/>
  <c r="M6085" i="1" s="1"/>
  <c r="N6085" i="1" a="1"/>
  <c r="N6085" i="1" s="1"/>
  <c r="R6085" i="1" a="1"/>
  <c r="R6085" i="1" s="1"/>
  <c r="I6085" i="1" a="1"/>
  <c r="I6085" i="1" s="1"/>
  <c r="J6085" i="1" a="1"/>
  <c r="J6085" i="1" s="1"/>
  <c r="S6085" i="1" a="1"/>
  <c r="S6085" i="1" s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C6086" i="1" l="1"/>
  <c r="O6086" i="1" s="1" a="1"/>
  <c r="O6086" i="1" s="1"/>
  <c r="H6085" i="1"/>
  <c r="K6086" i="1" a="1"/>
  <c r="K6086" i="1" s="1"/>
  <c r="S6086" i="1" a="1"/>
  <c r="S6086" i="1" s="1"/>
  <c r="P6086" i="1" a="1"/>
  <c r="P6086" i="1" s="1"/>
  <c r="B6087" i="1"/>
  <c r="Q6086" i="1" a="1"/>
  <c r="Q6086" i="1" s="1"/>
  <c r="M6086" i="1" a="1"/>
  <c r="M6086" i="1" s="1"/>
  <c r="I6086" i="1" a="1"/>
  <c r="I6086" i="1" s="1"/>
  <c r="R6086" i="1" a="1"/>
  <c r="R6086" i="1" s="1"/>
  <c r="N6086" i="1" a="1"/>
  <c r="N6086" i="1" s="1"/>
  <c r="J6086" i="1" a="1"/>
  <c r="J6086" i="1" s="1"/>
  <c r="A6088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L6086" i="1" l="1" a="1"/>
  <c r="L6086" i="1" s="1"/>
  <c r="C6087" i="1"/>
  <c r="L6087" i="1" s="1" a="1"/>
  <c r="L6087" i="1" s="1"/>
  <c r="H6086" i="1"/>
  <c r="A6089" i="1"/>
  <c r="J6087" i="1" a="1"/>
  <c r="J6087" i="1" s="1"/>
  <c r="N6087" i="1" a="1"/>
  <c r="N6087" i="1" s="1"/>
  <c r="R6087" i="1" a="1"/>
  <c r="R6087" i="1" s="1"/>
  <c r="Q6087" i="1" a="1"/>
  <c r="Q6087" i="1" s="1"/>
  <c r="M6087" i="1" a="1"/>
  <c r="M6087" i="1" s="1"/>
  <c r="I6087" i="1" a="1"/>
  <c r="I6087" i="1" s="1"/>
  <c r="S6087" i="1" a="1"/>
  <c r="S6087" i="1" s="1"/>
  <c r="K6087" i="1" a="1"/>
  <c r="K6087" i="1" s="1"/>
  <c r="O6087" i="1" a="1"/>
  <c r="O6087" i="1" s="1"/>
  <c r="P6087" i="1" a="1"/>
  <c r="P6087" i="1" s="1"/>
  <c r="B6088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C6088" i="1" l="1"/>
  <c r="O6088" i="1" s="1" a="1"/>
  <c r="O6088" i="1" s="1"/>
  <c r="H6087" i="1"/>
  <c r="M6088" i="1" a="1"/>
  <c r="M6088" i="1" s="1"/>
  <c r="Q6088" i="1" a="1"/>
  <c r="Q6088" i="1" s="1"/>
  <c r="R6088" i="1" a="1"/>
  <c r="R6088" i="1" s="1"/>
  <c r="N6088" i="1" a="1"/>
  <c r="N6088" i="1" s="1"/>
  <c r="J6088" i="1" a="1"/>
  <c r="J6088" i="1" s="1"/>
  <c r="S6088" i="1" a="1"/>
  <c r="S6088" i="1" s="1"/>
  <c r="K6088" i="1" a="1"/>
  <c r="K6088" i="1" s="1"/>
  <c r="L6088" i="1" a="1"/>
  <c r="L6088" i="1" s="1"/>
  <c r="P6088" i="1" a="1"/>
  <c r="P6088" i="1" s="1"/>
  <c r="B6089" i="1"/>
  <c r="A609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6088" i="1" l="1" a="1"/>
  <c r="I6088" i="1" s="1"/>
  <c r="C6089" i="1"/>
  <c r="L6089" i="1" s="1" a="1"/>
  <c r="L6089" i="1" s="1"/>
  <c r="H6088" i="1"/>
  <c r="A6091" i="1"/>
  <c r="P6089" i="1" a="1"/>
  <c r="P6089" i="1" s="1"/>
  <c r="I6089" i="1" a="1"/>
  <c r="I6089" i="1" s="1"/>
  <c r="R6089" i="1" a="1"/>
  <c r="R6089" i="1" s="1"/>
  <c r="N6089" i="1" a="1"/>
  <c r="N6089" i="1" s="1"/>
  <c r="J6089" i="1" a="1"/>
  <c r="J6089" i="1" s="1"/>
  <c r="S6089" i="1" a="1"/>
  <c r="S6089" i="1" s="1"/>
  <c r="K6089" i="1" a="1"/>
  <c r="K6089" i="1" s="1"/>
  <c r="B6090" i="1"/>
  <c r="M6089" i="1" a="1"/>
  <c r="M6089" i="1" s="1"/>
  <c r="Q6089" i="1" a="1"/>
  <c r="Q6089" i="1" s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O6089" i="1" l="1" a="1"/>
  <c r="O6089" i="1" s="1"/>
  <c r="C6090" i="1"/>
  <c r="L6090" i="1" s="1" a="1"/>
  <c r="L6090" i="1" s="1"/>
  <c r="H6089" i="1"/>
  <c r="K6090" i="1" a="1"/>
  <c r="K6090" i="1" s="1"/>
  <c r="S6090" i="1" a="1"/>
  <c r="S6090" i="1" s="1"/>
  <c r="N6090" i="1" a="1"/>
  <c r="N6090" i="1" s="1"/>
  <c r="J6090" i="1" a="1"/>
  <c r="J6090" i="1" s="1"/>
  <c r="P6090" i="1" a="1"/>
  <c r="P6090" i="1" s="1"/>
  <c r="B6091" i="1"/>
  <c r="R6090" i="1" a="1"/>
  <c r="R6090" i="1" s="1"/>
  <c r="M6090" i="1" a="1"/>
  <c r="M6090" i="1" s="1"/>
  <c r="Q6090" i="1" a="1"/>
  <c r="Q6090" i="1" s="1"/>
  <c r="A6092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I6090" i="1" l="1" a="1"/>
  <c r="I6090" i="1" s="1"/>
  <c r="O6090" i="1" a="1"/>
  <c r="O6090" i="1" s="1"/>
  <c r="C6091" i="1"/>
  <c r="L6091" i="1" s="1" a="1"/>
  <c r="L6091" i="1" s="1"/>
  <c r="H6090" i="1"/>
  <c r="A6093" i="1"/>
  <c r="J6091" i="1" a="1"/>
  <c r="J6091" i="1" s="1"/>
  <c r="N6091" i="1" a="1"/>
  <c r="N6091" i="1" s="1"/>
  <c r="R6091" i="1" a="1"/>
  <c r="R6091" i="1" s="1"/>
  <c r="P6091" i="1" a="1"/>
  <c r="P6091" i="1" s="1"/>
  <c r="B6092" i="1"/>
  <c r="Q6091" i="1" a="1"/>
  <c r="Q6091" i="1" s="1"/>
  <c r="S6091" i="1" a="1"/>
  <c r="S6091" i="1" s="1"/>
  <c r="K6091" i="1" a="1"/>
  <c r="K6091" i="1" s="1"/>
  <c r="M6091" i="1" a="1"/>
  <c r="M6091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I6091" i="1" l="1" a="1"/>
  <c r="I6091" i="1" s="1"/>
  <c r="O6091" i="1" a="1"/>
  <c r="O6091" i="1" s="1"/>
  <c r="C6092" i="1"/>
  <c r="L6092" i="1" s="1" a="1"/>
  <c r="L6092" i="1" s="1"/>
  <c r="H6091" i="1"/>
  <c r="M6092" i="1" a="1"/>
  <c r="M6092" i="1" s="1"/>
  <c r="Q6092" i="1" a="1"/>
  <c r="Q6092" i="1" s="1"/>
  <c r="K6092" i="1" a="1"/>
  <c r="K6092" i="1" s="1"/>
  <c r="R6092" i="1" a="1"/>
  <c r="R6092" i="1" s="1"/>
  <c r="B6093" i="1"/>
  <c r="N6092" i="1" a="1"/>
  <c r="N6092" i="1" s="1"/>
  <c r="S6092" i="1" a="1"/>
  <c r="S6092" i="1" s="1"/>
  <c r="J6092" i="1" a="1"/>
  <c r="J6092" i="1" s="1"/>
  <c r="P6092" i="1" a="1"/>
  <c r="P6092" i="1" s="1"/>
  <c r="A6094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I6092" i="1" l="1" a="1"/>
  <c r="I6092" i="1" s="1"/>
  <c r="O6092" i="1" a="1"/>
  <c r="O6092" i="1" s="1"/>
  <c r="C6093" i="1"/>
  <c r="O6093" i="1" s="1" a="1"/>
  <c r="O6093" i="1" s="1"/>
  <c r="H6092" i="1"/>
  <c r="L6093" i="1" a="1"/>
  <c r="L6093" i="1" s="1"/>
  <c r="P6093" i="1" a="1"/>
  <c r="P6093" i="1" s="1"/>
  <c r="R6093" i="1" a="1"/>
  <c r="R6093" i="1" s="1"/>
  <c r="N6093" i="1" a="1"/>
  <c r="N6093" i="1" s="1"/>
  <c r="J6093" i="1" a="1"/>
  <c r="J6093" i="1" s="1"/>
  <c r="Q6093" i="1" a="1"/>
  <c r="Q6093" i="1" s="1"/>
  <c r="K6093" i="1" a="1"/>
  <c r="K6093" i="1" s="1"/>
  <c r="M6093" i="1" a="1"/>
  <c r="M6093" i="1" s="1"/>
  <c r="S6093" i="1" a="1"/>
  <c r="S6093" i="1" s="1"/>
  <c r="B6094" i="1"/>
  <c r="A609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I6093" i="1" l="1" a="1"/>
  <c r="I6093" i="1" s="1"/>
  <c r="C6094" i="1"/>
  <c r="H6093" i="1"/>
  <c r="A6096" i="1"/>
  <c r="K6094" i="1" a="1"/>
  <c r="K6094" i="1" s="1"/>
  <c r="O6094" i="1" a="1"/>
  <c r="O6094" i="1" s="1"/>
  <c r="S6094" i="1" a="1"/>
  <c r="S6094" i="1" s="1"/>
  <c r="Q6094" i="1" a="1"/>
  <c r="Q6094" i="1" s="1"/>
  <c r="N6094" i="1" a="1"/>
  <c r="N6094" i="1" s="1"/>
  <c r="J6094" i="1" a="1"/>
  <c r="J6094" i="1" s="1"/>
  <c r="P6094" i="1" a="1"/>
  <c r="P6094" i="1" s="1"/>
  <c r="I6094" i="1" a="1"/>
  <c r="I6094" i="1" s="1"/>
  <c r="L6094" i="1" a="1"/>
  <c r="L6094" i="1" s="1"/>
  <c r="M6094" i="1" a="1"/>
  <c r="M6094" i="1" s="1"/>
  <c r="R6094" i="1" a="1"/>
  <c r="R6094" i="1" s="1"/>
  <c r="B6095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C6095" i="1" l="1"/>
  <c r="H6094" i="1"/>
  <c r="J6095" i="1" a="1"/>
  <c r="J6095" i="1" s="1"/>
  <c r="N6095" i="1" a="1"/>
  <c r="N6095" i="1" s="1"/>
  <c r="R6095" i="1" a="1"/>
  <c r="R6095" i="1" s="1"/>
  <c r="M6095" i="1" a="1"/>
  <c r="M6095" i="1" s="1"/>
  <c r="S6095" i="1" a="1"/>
  <c r="S6095" i="1" s="1"/>
  <c r="I6095" i="1" a="1"/>
  <c r="I6095" i="1" s="1"/>
  <c r="O6095" i="1" a="1"/>
  <c r="O6095" i="1" s="1"/>
  <c r="K6095" i="1" a="1"/>
  <c r="K6095" i="1" s="1"/>
  <c r="P6095" i="1" a="1"/>
  <c r="P6095" i="1" s="1"/>
  <c r="L6095" i="1" a="1"/>
  <c r="L6095" i="1" s="1"/>
  <c r="Q6095" i="1" a="1"/>
  <c r="Q6095" i="1" s="1"/>
  <c r="B6096" i="1"/>
  <c r="A6097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C6096" i="1" l="1"/>
  <c r="J6096" i="1" s="1" a="1"/>
  <c r="J6096" i="1" s="1"/>
  <c r="H6095" i="1"/>
  <c r="M6096" i="1" a="1"/>
  <c r="M6096" i="1" s="1"/>
  <c r="Q6096" i="1" a="1"/>
  <c r="Q6096" i="1" s="1"/>
  <c r="N6096" i="1" a="1"/>
  <c r="N6096" i="1" s="1"/>
  <c r="K6096" i="1" a="1"/>
  <c r="K6096" i="1" s="1"/>
  <c r="P6096" i="1" a="1"/>
  <c r="P6096" i="1" s="1"/>
  <c r="L6096" i="1" a="1"/>
  <c r="L6096" i="1" s="1"/>
  <c r="S6096" i="1" a="1"/>
  <c r="S6096" i="1" s="1"/>
  <c r="B6097" i="1"/>
  <c r="O6096" i="1" a="1"/>
  <c r="O6096" i="1" s="1"/>
  <c r="R6096" i="1" a="1"/>
  <c r="R6096" i="1" s="1"/>
  <c r="A609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I6096" i="1" l="1" a="1"/>
  <c r="I6096" i="1" s="1"/>
  <c r="C6097" i="1"/>
  <c r="K6097" i="1" s="1" a="1"/>
  <c r="K6097" i="1" s="1"/>
  <c r="H6096" i="1"/>
  <c r="A6099" i="1"/>
  <c r="P6097" i="1" a="1"/>
  <c r="P6097" i="1" s="1"/>
  <c r="J6097" i="1" a="1"/>
  <c r="J6097" i="1" s="1"/>
  <c r="S6097" i="1" a="1"/>
  <c r="S6097" i="1" s="1"/>
  <c r="I6097" i="1" a="1"/>
  <c r="I6097" i="1" s="1"/>
  <c r="N6097" i="1" a="1"/>
  <c r="N6097" i="1" s="1"/>
  <c r="O6097" i="1" a="1"/>
  <c r="O6097" i="1" s="1"/>
  <c r="B6098" i="1"/>
  <c r="Q6097" i="1" a="1"/>
  <c r="Q6097" i="1" s="1"/>
  <c r="R6097" i="1" a="1"/>
  <c r="R6097" i="1" s="1"/>
  <c r="M6097" i="1" a="1"/>
  <c r="M6097" i="1" s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6097" i="1" l="1" a="1"/>
  <c r="L6097" i="1" s="1"/>
  <c r="C6098" i="1"/>
  <c r="O6098" i="1" s="1" a="1"/>
  <c r="O6098" i="1" s="1"/>
  <c r="H6097" i="1"/>
  <c r="S6098" i="1" a="1"/>
  <c r="S6098" i="1" s="1"/>
  <c r="Q6098" i="1" a="1"/>
  <c r="Q6098" i="1" s="1"/>
  <c r="M6098" i="1" a="1"/>
  <c r="M6098" i="1" s="1"/>
  <c r="B6099" i="1"/>
  <c r="N6098" i="1" a="1"/>
  <c r="N6098" i="1" s="1"/>
  <c r="P6098" i="1" a="1"/>
  <c r="P6098" i="1" s="1"/>
  <c r="R6098" i="1" a="1"/>
  <c r="R6098" i="1" s="1"/>
  <c r="J6098" i="1" a="1"/>
  <c r="J6098" i="1" s="1"/>
  <c r="A6100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I6098" i="1" l="1" a="1"/>
  <c r="I6098" i="1" s="1"/>
  <c r="L6098" i="1" a="1"/>
  <c r="L6098" i="1" s="1"/>
  <c r="K6098" i="1" a="1"/>
  <c r="K6098" i="1" s="1"/>
  <c r="C6099" i="1"/>
  <c r="O6099" i="1" s="1" a="1"/>
  <c r="O6099" i="1" s="1"/>
  <c r="H6098" i="1"/>
  <c r="N6099" i="1" a="1"/>
  <c r="N6099" i="1" s="1"/>
  <c r="R6099" i="1" a="1"/>
  <c r="R6099" i="1" s="1"/>
  <c r="P6099" i="1" a="1"/>
  <c r="P6099" i="1" s="1"/>
  <c r="B6100" i="1"/>
  <c r="S6099" i="1" a="1"/>
  <c r="S6099" i="1" s="1"/>
  <c r="Q6099" i="1" a="1"/>
  <c r="Q6099" i="1" s="1"/>
  <c r="K6099" i="1" a="1"/>
  <c r="K6099" i="1" s="1"/>
  <c r="M6099" i="1" a="1"/>
  <c r="M6099" i="1" s="1"/>
  <c r="A6101" i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6099" i="1" l="1" a="1"/>
  <c r="I6099" i="1" s="1"/>
  <c r="L6099" i="1" a="1"/>
  <c r="L6099" i="1" s="1"/>
  <c r="J6099" i="1" a="1"/>
  <c r="J6099" i="1" s="1"/>
  <c r="C6100" i="1"/>
  <c r="K6100" i="1" s="1" a="1"/>
  <c r="K6100" i="1" s="1"/>
  <c r="H6099" i="1"/>
  <c r="A6102" i="1"/>
  <c r="M6100" i="1" a="1"/>
  <c r="M6100" i="1" s="1"/>
  <c r="Q6100" i="1" a="1"/>
  <c r="Q6100" i="1" s="1"/>
  <c r="L6100" i="1" a="1"/>
  <c r="L6100" i="1" s="1"/>
  <c r="P6100" i="1" a="1"/>
  <c r="P6100" i="1" s="1"/>
  <c r="R6100" i="1" a="1"/>
  <c r="R6100" i="1" s="1"/>
  <c r="N6100" i="1" a="1"/>
  <c r="N6100" i="1" s="1"/>
  <c r="B6101" i="1"/>
  <c r="S6100" i="1" a="1"/>
  <c r="S6100" i="1" s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6100" i="1" l="1" a="1"/>
  <c r="I6100" i="1" s="1"/>
  <c r="O6100" i="1" a="1"/>
  <c r="O6100" i="1" s="1"/>
  <c r="J6100" i="1" a="1"/>
  <c r="J6100" i="1" s="1"/>
  <c r="C6101" i="1"/>
  <c r="J6101" i="1" s="1" a="1"/>
  <c r="J6101" i="1" s="1"/>
  <c r="H6100" i="1"/>
  <c r="A6103" i="1"/>
  <c r="L6101" i="1" a="1"/>
  <c r="L6101" i="1" s="1"/>
  <c r="M6101" i="1" a="1"/>
  <c r="M6101" i="1" s="1"/>
  <c r="Q6101" i="1" a="1"/>
  <c r="Q6101" i="1" s="1"/>
  <c r="N6101" i="1" a="1"/>
  <c r="N6101" i="1" s="1"/>
  <c r="S6101" i="1" a="1"/>
  <c r="S6101" i="1" s="1"/>
  <c r="P6101" i="1" a="1"/>
  <c r="P6101" i="1" s="1"/>
  <c r="K6101" i="1" a="1"/>
  <c r="K6101" i="1" s="1"/>
  <c r="R6101" i="1" a="1"/>
  <c r="R6101" i="1" s="1"/>
  <c r="B6102" i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I6101" i="1" l="1" a="1"/>
  <c r="I6101" i="1" s="1"/>
  <c r="O6101" i="1" a="1"/>
  <c r="O6101" i="1" s="1"/>
  <c r="C6102" i="1"/>
  <c r="L6102" i="1" s="1" a="1"/>
  <c r="L6102" i="1" s="1"/>
  <c r="H6101" i="1"/>
  <c r="P6102" i="1" a="1"/>
  <c r="P6102" i="1" s="1"/>
  <c r="J6102" i="1" a="1"/>
  <c r="J6102" i="1" s="1"/>
  <c r="S6102" i="1" a="1"/>
  <c r="S6102" i="1" s="1"/>
  <c r="K6102" i="1" a="1"/>
  <c r="K6102" i="1" s="1"/>
  <c r="B6103" i="1"/>
  <c r="Q6102" i="1" a="1"/>
  <c r="Q6102" i="1" s="1"/>
  <c r="R6102" i="1" a="1"/>
  <c r="R6102" i="1" s="1"/>
  <c r="M6102" i="1" a="1"/>
  <c r="M6102" i="1" s="1"/>
  <c r="N6102" i="1" a="1"/>
  <c r="N6102" i="1" s="1"/>
  <c r="A610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I6102" i="1" l="1" a="1"/>
  <c r="I6102" i="1" s="1"/>
  <c r="O6102" i="1" a="1"/>
  <c r="O6102" i="1" s="1"/>
  <c r="C6103" i="1"/>
  <c r="K6103" i="1" s="1" a="1"/>
  <c r="K6103" i="1" s="1"/>
  <c r="H6102" i="1"/>
  <c r="S6103" i="1" a="1"/>
  <c r="S6103" i="1" s="1"/>
  <c r="P6103" i="1" a="1"/>
  <c r="P6103" i="1" s="1"/>
  <c r="B6104" i="1"/>
  <c r="L6103" i="1" a="1"/>
  <c r="L6103" i="1" s="1"/>
  <c r="J6103" i="1" a="1"/>
  <c r="J6103" i="1" s="1"/>
  <c r="R6103" i="1" a="1"/>
  <c r="R6103" i="1" s="1"/>
  <c r="M6103" i="1" a="1"/>
  <c r="M6103" i="1" s="1"/>
  <c r="N6103" i="1" a="1"/>
  <c r="N6103" i="1" s="1"/>
  <c r="Q6103" i="1" a="1"/>
  <c r="Q6103" i="1" s="1"/>
  <c r="A610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6103" i="1" l="1" a="1"/>
  <c r="I6103" i="1" s="1"/>
  <c r="O6103" i="1" a="1"/>
  <c r="O6103" i="1" s="1"/>
  <c r="C6104" i="1"/>
  <c r="L6104" i="1" s="1" a="1"/>
  <c r="L6104" i="1" s="1"/>
  <c r="H6103" i="1"/>
  <c r="A6106" i="1"/>
  <c r="J6104" i="1" a="1"/>
  <c r="J6104" i="1" s="1"/>
  <c r="N6104" i="1" a="1"/>
  <c r="N6104" i="1" s="1"/>
  <c r="R6104" i="1" a="1"/>
  <c r="R6104" i="1" s="1"/>
  <c r="P6104" i="1" a="1"/>
  <c r="P6104" i="1" s="1"/>
  <c r="B6105" i="1"/>
  <c r="Q6104" i="1" a="1"/>
  <c r="Q6104" i="1" s="1"/>
  <c r="M6104" i="1" a="1"/>
  <c r="M6104" i="1" s="1"/>
  <c r="K6104" i="1" a="1"/>
  <c r="K6104" i="1" s="1"/>
  <c r="S6104" i="1" a="1"/>
  <c r="S6104" i="1" s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I6104" i="1" l="1" a="1"/>
  <c r="I6104" i="1" s="1"/>
  <c r="O6104" i="1" a="1"/>
  <c r="O6104" i="1" s="1"/>
  <c r="C6105" i="1"/>
  <c r="J6105" i="1" s="1" a="1"/>
  <c r="J6105" i="1" s="1"/>
  <c r="H6104" i="1"/>
  <c r="M6105" i="1" a="1"/>
  <c r="M6105" i="1" s="1"/>
  <c r="Q6105" i="1" a="1"/>
  <c r="Q6105" i="1" s="1"/>
  <c r="L6105" i="1" a="1"/>
  <c r="L6105" i="1" s="1"/>
  <c r="R6105" i="1" a="1"/>
  <c r="R6105" i="1" s="1"/>
  <c r="B6106" i="1"/>
  <c r="P6105" i="1" a="1"/>
  <c r="P6105" i="1" s="1"/>
  <c r="K6105" i="1" a="1"/>
  <c r="K6105" i="1" s="1"/>
  <c r="S6105" i="1" a="1"/>
  <c r="S6105" i="1" s="1"/>
  <c r="N6105" i="1" a="1"/>
  <c r="N6105" i="1" s="1"/>
  <c r="A610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I6105" i="1" l="1" a="1"/>
  <c r="I6105" i="1" s="1"/>
  <c r="O6105" i="1" a="1"/>
  <c r="O6105" i="1" s="1"/>
  <c r="C6106" i="1"/>
  <c r="L6106" i="1" s="1" a="1"/>
  <c r="L6106" i="1" s="1"/>
  <c r="H6105" i="1"/>
  <c r="P6106" i="1" a="1"/>
  <c r="P6106" i="1" s="1"/>
  <c r="M6106" i="1" a="1"/>
  <c r="M6106" i="1" s="1"/>
  <c r="I6106" i="1" a="1"/>
  <c r="I6106" i="1" s="1"/>
  <c r="R6106" i="1" a="1"/>
  <c r="R6106" i="1" s="1"/>
  <c r="N6106" i="1" a="1"/>
  <c r="N6106" i="1" s="1"/>
  <c r="J6106" i="1" a="1"/>
  <c r="J6106" i="1" s="1"/>
  <c r="Q6106" i="1" a="1"/>
  <c r="Q6106" i="1" s="1"/>
  <c r="K6106" i="1" a="1"/>
  <c r="K6106" i="1" s="1"/>
  <c r="S6106" i="1" a="1"/>
  <c r="S6106" i="1" s="1"/>
  <c r="B6107" i="1"/>
  <c r="A6108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O6106" i="1" l="1" a="1"/>
  <c r="O6106" i="1" s="1"/>
  <c r="C6107" i="1"/>
  <c r="J6107" i="1" s="1" a="1"/>
  <c r="J6107" i="1" s="1"/>
  <c r="H6106" i="1"/>
  <c r="A6109" i="1"/>
  <c r="K6107" i="1" a="1"/>
  <c r="K6107" i="1" s="1"/>
  <c r="S6107" i="1" a="1"/>
  <c r="S6107" i="1" s="1"/>
  <c r="R6107" i="1" a="1"/>
  <c r="R6107" i="1" s="1"/>
  <c r="N6107" i="1" a="1"/>
  <c r="N6107" i="1" s="1"/>
  <c r="Q6107" i="1" a="1"/>
  <c r="Q6107" i="1" s="1"/>
  <c r="L6107" i="1" a="1"/>
  <c r="L6107" i="1" s="1"/>
  <c r="B6108" i="1"/>
  <c r="M6107" i="1" a="1"/>
  <c r="M6107" i="1" s="1"/>
  <c r="P6107" i="1" a="1"/>
  <c r="P6107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6107" i="1" l="1" a="1"/>
  <c r="I6107" i="1" s="1"/>
  <c r="O6107" i="1" a="1"/>
  <c r="O6107" i="1" s="1"/>
  <c r="C6108" i="1"/>
  <c r="O6108" i="1" s="1" a="1"/>
  <c r="O6108" i="1" s="1"/>
  <c r="H6107" i="1"/>
  <c r="J6108" i="1" a="1"/>
  <c r="J6108" i="1" s="1"/>
  <c r="N6108" i="1" a="1"/>
  <c r="N6108" i="1" s="1"/>
  <c r="R6108" i="1" a="1"/>
  <c r="R6108" i="1" s="1"/>
  <c r="S6108" i="1" a="1"/>
  <c r="S6108" i="1" s="1"/>
  <c r="K6108" i="1" a="1"/>
  <c r="K6108" i="1" s="1"/>
  <c r="L6108" i="1" a="1"/>
  <c r="L6108" i="1" s="1"/>
  <c r="B6109" i="1"/>
  <c r="M6108" i="1" a="1"/>
  <c r="M6108" i="1" s="1"/>
  <c r="P6108" i="1" a="1"/>
  <c r="P6108" i="1" s="1"/>
  <c r="Q6108" i="1" a="1"/>
  <c r="Q6108" i="1" s="1"/>
  <c r="A611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6108" i="1" l="1" a="1"/>
  <c r="I6108" i="1" s="1"/>
  <c r="C6109" i="1"/>
  <c r="I6109" i="1" s="1" a="1"/>
  <c r="I6109" i="1" s="1"/>
  <c r="H6108" i="1"/>
  <c r="M6109" i="1" a="1"/>
  <c r="M6109" i="1" s="1"/>
  <c r="Q6109" i="1" a="1"/>
  <c r="Q6109" i="1" s="1"/>
  <c r="O6109" i="1" a="1"/>
  <c r="O6109" i="1" s="1"/>
  <c r="K6109" i="1" a="1"/>
  <c r="K6109" i="1" s="1"/>
  <c r="P6109" i="1" a="1"/>
  <c r="P6109" i="1" s="1"/>
  <c r="B6110" i="1"/>
  <c r="N6109" i="1" a="1"/>
  <c r="N6109" i="1" s="1"/>
  <c r="J6109" i="1" a="1"/>
  <c r="J6109" i="1" s="1"/>
  <c r="R6109" i="1" a="1"/>
  <c r="R6109" i="1" s="1"/>
  <c r="L6109" i="1" a="1"/>
  <c r="L6109" i="1" s="1"/>
  <c r="S6109" i="1" a="1"/>
  <c r="S6109" i="1" s="1"/>
  <c r="A611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C6110" i="1" l="1"/>
  <c r="L6110" i="1" s="1" a="1"/>
  <c r="L6110" i="1" s="1"/>
  <c r="H6109" i="1"/>
  <c r="P6110" i="1" a="1"/>
  <c r="P6110" i="1" s="1"/>
  <c r="K6110" i="1" a="1"/>
  <c r="K6110" i="1" s="1"/>
  <c r="B6111" i="1"/>
  <c r="Q6110" i="1" a="1"/>
  <c r="Q6110" i="1" s="1"/>
  <c r="I6110" i="1" a="1"/>
  <c r="I6110" i="1" s="1"/>
  <c r="J6110" i="1" a="1"/>
  <c r="J6110" i="1" s="1"/>
  <c r="R6110" i="1" a="1"/>
  <c r="R6110" i="1" s="1"/>
  <c r="M6110" i="1" a="1"/>
  <c r="M6110" i="1" s="1"/>
  <c r="S6110" i="1" a="1"/>
  <c r="S6110" i="1" s="1"/>
  <c r="N6110" i="1" a="1"/>
  <c r="N6110" i="1" s="1"/>
  <c r="A611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O6110" i="1" l="1" a="1"/>
  <c r="O6110" i="1" s="1"/>
  <c r="C6111" i="1"/>
  <c r="K6111" i="1" s="1" a="1"/>
  <c r="K6111" i="1" s="1"/>
  <c r="H6110" i="1"/>
  <c r="S6111" i="1" a="1"/>
  <c r="S6111" i="1" s="1"/>
  <c r="Q6111" i="1" a="1"/>
  <c r="Q6111" i="1" s="1"/>
  <c r="M6111" i="1" a="1"/>
  <c r="M6111" i="1" s="1"/>
  <c r="P6111" i="1" a="1"/>
  <c r="P6111" i="1" s="1"/>
  <c r="J6111" i="1" a="1"/>
  <c r="J6111" i="1" s="1"/>
  <c r="R6111" i="1" a="1"/>
  <c r="R6111" i="1" s="1"/>
  <c r="N6111" i="1" a="1"/>
  <c r="N6111" i="1" s="1"/>
  <c r="B6112" i="1"/>
  <c r="A6113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I6111" i="1" l="1" a="1"/>
  <c r="I6111" i="1" s="1"/>
  <c r="L6111" i="1" a="1"/>
  <c r="L6111" i="1" s="1"/>
  <c r="O6111" i="1" a="1"/>
  <c r="O6111" i="1" s="1"/>
  <c r="C6112" i="1"/>
  <c r="K6112" i="1" s="1" a="1"/>
  <c r="K6112" i="1" s="1"/>
  <c r="H6111" i="1"/>
  <c r="A6114" i="1"/>
  <c r="J6112" i="1" a="1"/>
  <c r="J6112" i="1" s="1"/>
  <c r="N6112" i="1" a="1"/>
  <c r="N6112" i="1" s="1"/>
  <c r="R6112" i="1" a="1"/>
  <c r="R6112" i="1" s="1"/>
  <c r="Q6112" i="1" a="1"/>
  <c r="Q6112" i="1" s="1"/>
  <c r="M6112" i="1" a="1"/>
  <c r="M6112" i="1" s="1"/>
  <c r="S6112" i="1" a="1"/>
  <c r="S6112" i="1" s="1"/>
  <c r="B6113" i="1"/>
  <c r="P6112" i="1" a="1"/>
  <c r="P6112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6112" i="1" l="1" a="1"/>
  <c r="I6112" i="1" s="1"/>
  <c r="O6112" i="1" a="1"/>
  <c r="O6112" i="1" s="1"/>
  <c r="L6112" i="1" a="1"/>
  <c r="L6112" i="1" s="1"/>
  <c r="C6113" i="1"/>
  <c r="L6113" i="1" s="1" a="1"/>
  <c r="L6113" i="1" s="1"/>
  <c r="H6112" i="1"/>
  <c r="A6115" i="1"/>
  <c r="I6113" i="1" a="1"/>
  <c r="I6113" i="1" s="1"/>
  <c r="M6113" i="1" a="1"/>
  <c r="M6113" i="1" s="1"/>
  <c r="Q6113" i="1" a="1"/>
  <c r="Q6113" i="1" s="1"/>
  <c r="R6113" i="1" a="1"/>
  <c r="R6113" i="1" s="1"/>
  <c r="N6113" i="1" a="1"/>
  <c r="N6113" i="1" s="1"/>
  <c r="J6113" i="1" a="1"/>
  <c r="J6113" i="1" s="1"/>
  <c r="S6113" i="1" a="1"/>
  <c r="S6113" i="1" s="1"/>
  <c r="B6114" i="1"/>
  <c r="P6113" i="1" a="1"/>
  <c r="P6113" i="1" s="1"/>
  <c r="K6113" i="1" a="1"/>
  <c r="K6113" i="1" s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O6113" i="1" l="1" a="1"/>
  <c r="O6113" i="1" s="1"/>
  <c r="C6114" i="1"/>
  <c r="H6113" i="1"/>
  <c r="L6114" i="1" a="1"/>
  <c r="L6114" i="1" s="1"/>
  <c r="P6114" i="1" a="1"/>
  <c r="P6114" i="1" s="1"/>
  <c r="N6114" i="1" a="1"/>
  <c r="N6114" i="1" s="1"/>
  <c r="J6114" i="1" a="1"/>
  <c r="J6114" i="1" s="1"/>
  <c r="S6114" i="1" a="1"/>
  <c r="S6114" i="1" s="1"/>
  <c r="O6114" i="1" a="1"/>
  <c r="O6114" i="1" s="1"/>
  <c r="I6114" i="1" a="1"/>
  <c r="I6114" i="1" s="1"/>
  <c r="Q6114" i="1" a="1"/>
  <c r="Q6114" i="1" s="1"/>
  <c r="K6114" i="1" a="1"/>
  <c r="K6114" i="1" s="1"/>
  <c r="R6114" i="1" a="1"/>
  <c r="R6114" i="1" s="1"/>
  <c r="B6115" i="1"/>
  <c r="M6114" i="1" a="1"/>
  <c r="M6114" i="1" s="1"/>
  <c r="A6116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C6115" i="1" l="1"/>
  <c r="I6115" i="1" s="1" a="1"/>
  <c r="I6115" i="1" s="1"/>
  <c r="H6114" i="1"/>
  <c r="A6117" i="1"/>
  <c r="K6115" i="1" a="1"/>
  <c r="K6115" i="1" s="1"/>
  <c r="O6115" i="1" a="1"/>
  <c r="O6115" i="1" s="1"/>
  <c r="S6115" i="1" a="1"/>
  <c r="S6115" i="1" s="1"/>
  <c r="J6115" i="1" a="1"/>
  <c r="J6115" i="1" s="1"/>
  <c r="P6115" i="1" a="1"/>
  <c r="P6115" i="1" s="1"/>
  <c r="B6116" i="1"/>
  <c r="Q6115" i="1" a="1"/>
  <c r="Q6115" i="1" s="1"/>
  <c r="L6115" i="1" a="1"/>
  <c r="L6115" i="1" s="1"/>
  <c r="R6115" i="1" a="1"/>
  <c r="R6115" i="1" s="1"/>
  <c r="M6115" i="1" a="1"/>
  <c r="M6115" i="1" s="1"/>
  <c r="N6115" i="1" a="1"/>
  <c r="N6115" i="1" s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C6116" i="1" l="1"/>
  <c r="J6116" i="1" s="1" a="1"/>
  <c r="J6116" i="1" s="1"/>
  <c r="H6115" i="1"/>
  <c r="N6116" i="1" a="1"/>
  <c r="N6116" i="1" s="1"/>
  <c r="R6116" i="1" a="1"/>
  <c r="R6116" i="1" s="1"/>
  <c r="K6116" i="1" a="1"/>
  <c r="K6116" i="1" s="1"/>
  <c r="P6116" i="1" a="1"/>
  <c r="P6116" i="1" s="1"/>
  <c r="B6117" i="1"/>
  <c r="L6116" i="1" a="1"/>
  <c r="L6116" i="1" s="1"/>
  <c r="S6116" i="1" a="1"/>
  <c r="S6116" i="1" s="1"/>
  <c r="M6116" i="1" a="1"/>
  <c r="M6116" i="1" s="1"/>
  <c r="Q6116" i="1" a="1"/>
  <c r="Q6116" i="1" s="1"/>
  <c r="A6118" i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6116" i="1" l="1" a="1"/>
  <c r="I6116" i="1" s="1"/>
  <c r="O6116" i="1" a="1"/>
  <c r="O6116" i="1" s="1"/>
  <c r="C6117" i="1"/>
  <c r="L6117" i="1" s="1" a="1"/>
  <c r="L6117" i="1" s="1"/>
  <c r="H6116" i="1"/>
  <c r="M6117" i="1" a="1"/>
  <c r="M6117" i="1" s="1"/>
  <c r="Q6117" i="1" a="1"/>
  <c r="Q6117" i="1" s="1"/>
  <c r="P6117" i="1" a="1"/>
  <c r="P6117" i="1" s="1"/>
  <c r="B6118" i="1"/>
  <c r="K6117" i="1" a="1"/>
  <c r="K6117" i="1" s="1"/>
  <c r="S6117" i="1" a="1"/>
  <c r="S6117" i="1" s="1"/>
  <c r="N6117" i="1" a="1"/>
  <c r="N6117" i="1" s="1"/>
  <c r="O6117" i="1" a="1"/>
  <c r="O6117" i="1" s="1"/>
  <c r="J6117" i="1" a="1"/>
  <c r="J6117" i="1" s="1"/>
  <c r="R6117" i="1" a="1"/>
  <c r="R6117" i="1" s="1"/>
  <c r="A611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I6117" i="1" l="1" a="1"/>
  <c r="I6117" i="1" s="1"/>
  <c r="C6118" i="1"/>
  <c r="L6118" i="1" s="1" a="1"/>
  <c r="L6118" i="1" s="1"/>
  <c r="H6117" i="1"/>
  <c r="A6120" i="1"/>
  <c r="P6118" i="1" a="1"/>
  <c r="P6118" i="1" s="1"/>
  <c r="Q6118" i="1" a="1"/>
  <c r="Q6118" i="1" s="1"/>
  <c r="M6118" i="1" a="1"/>
  <c r="M6118" i="1" s="1"/>
  <c r="I6118" i="1" a="1"/>
  <c r="I6118" i="1" s="1"/>
  <c r="R6118" i="1" a="1"/>
  <c r="R6118" i="1" s="1"/>
  <c r="N6118" i="1" a="1"/>
  <c r="N6118" i="1" s="1"/>
  <c r="B6119" i="1"/>
  <c r="J6118" i="1" a="1"/>
  <c r="J6118" i="1" s="1"/>
  <c r="K6118" i="1" a="1"/>
  <c r="K6118" i="1" s="1"/>
  <c r="S6118" i="1" a="1"/>
  <c r="S6118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O6118" i="1" l="1" a="1"/>
  <c r="O6118" i="1" s="1"/>
  <c r="C6119" i="1"/>
  <c r="K6119" i="1" s="1" a="1"/>
  <c r="K6119" i="1" s="1"/>
  <c r="H6118" i="1"/>
  <c r="S6119" i="1" a="1"/>
  <c r="S6119" i="1" s="1"/>
  <c r="M6119" i="1" a="1"/>
  <c r="M6119" i="1" s="1"/>
  <c r="I6119" i="1" a="1"/>
  <c r="I6119" i="1" s="1"/>
  <c r="R6119" i="1" a="1"/>
  <c r="R6119" i="1" s="1"/>
  <c r="N6119" i="1" a="1"/>
  <c r="N6119" i="1" s="1"/>
  <c r="P6119" i="1" a="1"/>
  <c r="P6119" i="1" s="1"/>
  <c r="Q6119" i="1" a="1"/>
  <c r="Q6119" i="1" s="1"/>
  <c r="L6119" i="1" a="1"/>
  <c r="L6119" i="1" s="1"/>
  <c r="B6120" i="1"/>
  <c r="A612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O6119" i="1" l="1" a="1"/>
  <c r="O6119" i="1" s="1"/>
  <c r="J6119" i="1" a="1"/>
  <c r="J6119" i="1" s="1"/>
  <c r="C6120" i="1"/>
  <c r="O6120" i="1" s="1" a="1"/>
  <c r="O6120" i="1" s="1"/>
  <c r="H6119" i="1"/>
  <c r="A6122" i="1"/>
  <c r="J6120" i="1" a="1"/>
  <c r="J6120" i="1" s="1"/>
  <c r="N6120" i="1" a="1"/>
  <c r="N6120" i="1" s="1"/>
  <c r="R6120" i="1" a="1"/>
  <c r="R6120" i="1" s="1"/>
  <c r="S6120" i="1" a="1"/>
  <c r="S6120" i="1" s="1"/>
  <c r="K6120" i="1" a="1"/>
  <c r="K6120" i="1" s="1"/>
  <c r="Q6120" i="1" a="1"/>
  <c r="Q6120" i="1" s="1"/>
  <c r="B6121" i="1"/>
  <c r="M6120" i="1" a="1"/>
  <c r="M6120" i="1" s="1"/>
  <c r="P6120" i="1" a="1"/>
  <c r="P6120" i="1" s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I6120" i="1" l="1" a="1"/>
  <c r="I6120" i="1" s="1"/>
  <c r="L6120" i="1" a="1"/>
  <c r="L6120" i="1" s="1"/>
  <c r="C6121" i="1"/>
  <c r="O6121" i="1" s="1" a="1"/>
  <c r="O6121" i="1" s="1"/>
  <c r="H6120" i="1"/>
  <c r="I6121" i="1" a="1"/>
  <c r="I6121" i="1" s="1"/>
  <c r="M6121" i="1" a="1"/>
  <c r="M6121" i="1" s="1"/>
  <c r="Q6121" i="1" a="1"/>
  <c r="Q6121" i="1" s="1"/>
  <c r="J6121" i="1" a="1"/>
  <c r="J6121" i="1" s="1"/>
  <c r="S6121" i="1" a="1"/>
  <c r="S6121" i="1" s="1"/>
  <c r="K6121" i="1" a="1"/>
  <c r="K6121" i="1" s="1"/>
  <c r="R6121" i="1" a="1"/>
  <c r="R6121" i="1" s="1"/>
  <c r="L6121" i="1" a="1"/>
  <c r="L6121" i="1" s="1"/>
  <c r="B6122" i="1"/>
  <c r="N6121" i="1" a="1"/>
  <c r="N6121" i="1" s="1"/>
  <c r="P6121" i="1" a="1"/>
  <c r="P6121" i="1" s="1"/>
  <c r="A6123" i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C6122" i="1" l="1"/>
  <c r="O6122" i="1" s="1" a="1"/>
  <c r="O6122" i="1" s="1"/>
  <c r="H6121" i="1"/>
  <c r="A6124" i="1"/>
  <c r="L6122" i="1" a="1"/>
  <c r="L6122" i="1" s="1"/>
  <c r="P6122" i="1" a="1"/>
  <c r="P6122" i="1" s="1"/>
  <c r="K6122" i="1" a="1"/>
  <c r="K6122" i="1" s="1"/>
  <c r="B6123" i="1"/>
  <c r="M6122" i="1" a="1"/>
  <c r="M6122" i="1" s="1"/>
  <c r="S6122" i="1" a="1"/>
  <c r="S6122" i="1" s="1"/>
  <c r="N6122" i="1" a="1"/>
  <c r="N6122" i="1" s="1"/>
  <c r="Q6122" i="1" a="1"/>
  <c r="Q6122" i="1" s="1"/>
  <c r="J6122" i="1" a="1"/>
  <c r="J6122" i="1" s="1"/>
  <c r="R6122" i="1" a="1"/>
  <c r="R6122" i="1" s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I6122" i="1" l="1" a="1"/>
  <c r="I6122" i="1" s="1"/>
  <c r="C6123" i="1"/>
  <c r="O6123" i="1" s="1" a="1"/>
  <c r="O6123" i="1" s="1"/>
  <c r="H6122" i="1"/>
  <c r="A6125" i="1"/>
  <c r="K6123" i="1" a="1"/>
  <c r="K6123" i="1" s="1"/>
  <c r="S6123" i="1" a="1"/>
  <c r="S6123" i="1" s="1"/>
  <c r="P6123" i="1" a="1"/>
  <c r="P6123" i="1" s="1"/>
  <c r="B6124" i="1"/>
  <c r="R6123" i="1" a="1"/>
  <c r="R6123" i="1" s="1"/>
  <c r="M6123" i="1" a="1"/>
  <c r="M6123" i="1" s="1"/>
  <c r="N6123" i="1" a="1"/>
  <c r="N6123" i="1" s="1"/>
  <c r="Q6123" i="1" a="1"/>
  <c r="Q6123" i="1" s="1"/>
  <c r="J6123" i="1" a="1"/>
  <c r="J6123" i="1" s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I6123" i="1" l="1" a="1"/>
  <c r="I6123" i="1" s="1"/>
  <c r="L6123" i="1" a="1"/>
  <c r="L6123" i="1" s="1"/>
  <c r="C6124" i="1"/>
  <c r="O6124" i="1" s="1" a="1"/>
  <c r="O6124" i="1" s="1"/>
  <c r="H6123" i="1"/>
  <c r="J6124" i="1" a="1"/>
  <c r="J6124" i="1" s="1"/>
  <c r="N6124" i="1" a="1"/>
  <c r="N6124" i="1" s="1"/>
  <c r="R6124" i="1" a="1"/>
  <c r="R6124" i="1" s="1"/>
  <c r="Q6124" i="1" a="1"/>
  <c r="Q6124" i="1" s="1"/>
  <c r="K6124" i="1" a="1"/>
  <c r="K6124" i="1" s="1"/>
  <c r="M6124" i="1" a="1"/>
  <c r="M6124" i="1" s="1"/>
  <c r="S6124" i="1" a="1"/>
  <c r="S6124" i="1" s="1"/>
  <c r="B6125" i="1"/>
  <c r="P6124" i="1" a="1"/>
  <c r="P6124" i="1" s="1"/>
  <c r="A6126" i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I6124" i="1" l="1" a="1"/>
  <c r="I6124" i="1" s="1"/>
  <c r="L6124" i="1" a="1"/>
  <c r="L6124" i="1" s="1"/>
  <c r="C6125" i="1"/>
  <c r="L6125" i="1" s="1" a="1"/>
  <c r="L6125" i="1" s="1"/>
  <c r="H6124" i="1"/>
  <c r="A6127" i="1"/>
  <c r="M6125" i="1" a="1"/>
  <c r="M6125" i="1" s="1"/>
  <c r="Q6125" i="1" a="1"/>
  <c r="Q6125" i="1" s="1"/>
  <c r="R6125" i="1" a="1"/>
  <c r="R6125" i="1" s="1"/>
  <c r="P6125" i="1" a="1"/>
  <c r="P6125" i="1" s="1"/>
  <c r="K6125" i="1" a="1"/>
  <c r="K6125" i="1" s="1"/>
  <c r="S6125" i="1" a="1"/>
  <c r="S6125" i="1" s="1"/>
  <c r="N6125" i="1" a="1"/>
  <c r="N6125" i="1" s="1"/>
  <c r="O6125" i="1" a="1"/>
  <c r="O6125" i="1" s="1"/>
  <c r="B6126" i="1"/>
  <c r="J6125" i="1" a="1"/>
  <c r="J6125" i="1" s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I6125" i="1" l="1" a="1"/>
  <c r="I6125" i="1" s="1"/>
  <c r="C6126" i="1"/>
  <c r="J6126" i="1" s="1" a="1"/>
  <c r="J6126" i="1" s="1"/>
  <c r="H6125" i="1"/>
  <c r="P6126" i="1" a="1"/>
  <c r="P6126" i="1" s="1"/>
  <c r="I6126" i="1" a="1"/>
  <c r="I6126" i="1" s="1"/>
  <c r="R6126" i="1" a="1"/>
  <c r="R6126" i="1" s="1"/>
  <c r="N6126" i="1" a="1"/>
  <c r="N6126" i="1" s="1"/>
  <c r="K6126" i="1" a="1"/>
  <c r="K6126" i="1" s="1"/>
  <c r="Q6126" i="1" a="1"/>
  <c r="Q6126" i="1" s="1"/>
  <c r="S6126" i="1" a="1"/>
  <c r="S6126" i="1" s="1"/>
  <c r="M6126" i="1" a="1"/>
  <c r="M6126" i="1" s="1"/>
  <c r="O6126" i="1" a="1"/>
  <c r="O6126" i="1" s="1"/>
  <c r="B6127" i="1"/>
  <c r="A612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L6126" i="1" l="1" a="1"/>
  <c r="L6126" i="1" s="1"/>
  <c r="C6127" i="1"/>
  <c r="O6127" i="1" s="1" a="1"/>
  <c r="O6127" i="1" s="1"/>
  <c r="H6126" i="1"/>
  <c r="A6129" i="1"/>
  <c r="K6127" i="1" a="1"/>
  <c r="K6127" i="1" s="1"/>
  <c r="S6127" i="1" a="1"/>
  <c r="S6127" i="1" s="1"/>
  <c r="N6127" i="1" a="1"/>
  <c r="N6127" i="1" s="1"/>
  <c r="J6127" i="1" a="1"/>
  <c r="J6127" i="1" s="1"/>
  <c r="P6127" i="1" a="1"/>
  <c r="P6127" i="1" s="1"/>
  <c r="Q6127" i="1" a="1"/>
  <c r="Q6127" i="1" s="1"/>
  <c r="L6127" i="1" a="1"/>
  <c r="L6127" i="1" s="1"/>
  <c r="R6127" i="1" a="1"/>
  <c r="R6127" i="1" s="1"/>
  <c r="M6127" i="1" a="1"/>
  <c r="M6127" i="1" s="1"/>
  <c r="B6128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6127" i="1" l="1" a="1"/>
  <c r="I6127" i="1" s="1"/>
  <c r="C6128" i="1"/>
  <c r="O6128" i="1" s="1" a="1"/>
  <c r="O6128" i="1" s="1"/>
  <c r="H6127" i="1"/>
  <c r="J6128" i="1" a="1"/>
  <c r="J6128" i="1" s="1"/>
  <c r="N6128" i="1" a="1"/>
  <c r="N6128" i="1" s="1"/>
  <c r="R6128" i="1" a="1"/>
  <c r="R6128" i="1" s="1"/>
  <c r="K6128" i="1" a="1"/>
  <c r="K6128" i="1" s="1"/>
  <c r="B6129" i="1"/>
  <c r="I6128" i="1" a="1"/>
  <c r="I6128" i="1" s="1"/>
  <c r="P6128" i="1" a="1"/>
  <c r="P6128" i="1" s="1"/>
  <c r="Q6128" i="1" a="1"/>
  <c r="Q6128" i="1" s="1"/>
  <c r="L6128" i="1" a="1"/>
  <c r="L6128" i="1" s="1"/>
  <c r="M6128" i="1" a="1"/>
  <c r="M6128" i="1" s="1"/>
  <c r="S6128" i="1" a="1"/>
  <c r="S6128" i="1" s="1"/>
  <c r="A613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C6129" i="1" l="1"/>
  <c r="H6128" i="1"/>
  <c r="I6129" i="1" a="1"/>
  <c r="I6129" i="1" s="1"/>
  <c r="M6129" i="1" a="1"/>
  <c r="M6129" i="1" s="1"/>
  <c r="Q6129" i="1" a="1"/>
  <c r="Q6129" i="1" s="1"/>
  <c r="K6129" i="1" a="1"/>
  <c r="K6129" i="1" s="1"/>
  <c r="P6129" i="1" a="1"/>
  <c r="P6129" i="1" s="1"/>
  <c r="B6130" i="1"/>
  <c r="S6129" i="1" a="1"/>
  <c r="S6129" i="1" s="1"/>
  <c r="N6129" i="1" a="1"/>
  <c r="N6129" i="1" s="1"/>
  <c r="O6129" i="1" a="1"/>
  <c r="O6129" i="1" s="1"/>
  <c r="J6129" i="1" a="1"/>
  <c r="J6129" i="1" s="1"/>
  <c r="L6129" i="1" a="1"/>
  <c r="L6129" i="1" s="1"/>
  <c r="R6129" i="1" a="1"/>
  <c r="R6129" i="1" s="1"/>
  <c r="A613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C6130" i="1" l="1"/>
  <c r="O6130" i="1" s="1" a="1"/>
  <c r="O6130" i="1" s="1"/>
  <c r="H6129" i="1"/>
  <c r="P6130" i="1" a="1"/>
  <c r="P6130" i="1" s="1"/>
  <c r="Q6130" i="1" a="1"/>
  <c r="Q6130" i="1" s="1"/>
  <c r="M6130" i="1" a="1"/>
  <c r="M6130" i="1" s="1"/>
  <c r="S6130" i="1" a="1"/>
  <c r="S6130" i="1" s="1"/>
  <c r="N6130" i="1" a="1"/>
  <c r="N6130" i="1" s="1"/>
  <c r="B6131" i="1"/>
  <c r="J6130" i="1" a="1"/>
  <c r="J6130" i="1" s="1"/>
  <c r="R6130" i="1" a="1"/>
  <c r="R6130" i="1" s="1"/>
  <c r="K6130" i="1" a="1"/>
  <c r="K6130" i="1" s="1"/>
  <c r="A613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I6130" i="1" l="1" a="1"/>
  <c r="I6130" i="1" s="1"/>
  <c r="L6130" i="1" a="1"/>
  <c r="L6130" i="1" s="1"/>
  <c r="C6131" i="1"/>
  <c r="O6131" i="1" s="1" a="1"/>
  <c r="O6131" i="1" s="1"/>
  <c r="H6130" i="1"/>
  <c r="K6131" i="1" a="1"/>
  <c r="K6131" i="1" s="1"/>
  <c r="S6131" i="1" a="1"/>
  <c r="S6131" i="1" s="1"/>
  <c r="Q6131" i="1" a="1"/>
  <c r="Q6131" i="1" s="1"/>
  <c r="M6131" i="1" a="1"/>
  <c r="M6131" i="1" s="1"/>
  <c r="R6131" i="1" a="1"/>
  <c r="R6131" i="1" s="1"/>
  <c r="L6131" i="1" a="1"/>
  <c r="L6131" i="1" s="1"/>
  <c r="N6131" i="1" a="1"/>
  <c r="N6131" i="1" s="1"/>
  <c r="B6132" i="1"/>
  <c r="J6131" i="1" a="1"/>
  <c r="J6131" i="1" s="1"/>
  <c r="P6131" i="1" a="1"/>
  <c r="P6131" i="1" s="1"/>
  <c r="A6133" i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6131" i="1" l="1" a="1"/>
  <c r="I6131" i="1" s="1"/>
  <c r="C6132" i="1"/>
  <c r="L6132" i="1" s="1" a="1"/>
  <c r="L6132" i="1" s="1"/>
  <c r="H6131" i="1"/>
  <c r="A6134" i="1"/>
  <c r="J6132" i="1" a="1"/>
  <c r="J6132" i="1" s="1"/>
  <c r="N6132" i="1" a="1"/>
  <c r="N6132" i="1" s="1"/>
  <c r="R6132" i="1" a="1"/>
  <c r="R6132" i="1" s="1"/>
  <c r="M6132" i="1" a="1"/>
  <c r="M6132" i="1" s="1"/>
  <c r="K6132" i="1" a="1"/>
  <c r="K6132" i="1" s="1"/>
  <c r="Q6132" i="1" a="1"/>
  <c r="Q6132" i="1" s="1"/>
  <c r="S6132" i="1" a="1"/>
  <c r="S6132" i="1" s="1"/>
  <c r="B6133" i="1"/>
  <c r="P6132" i="1" a="1"/>
  <c r="P6132" i="1" s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I6132" i="1" l="1" a="1"/>
  <c r="I6132" i="1" s="1"/>
  <c r="O6132" i="1" a="1"/>
  <c r="O6132" i="1" s="1"/>
  <c r="C6133" i="1"/>
  <c r="O6133" i="1" s="1" a="1"/>
  <c r="O6133" i="1" s="1"/>
  <c r="H6132" i="1"/>
  <c r="M6133" i="1" a="1"/>
  <c r="M6133" i="1" s="1"/>
  <c r="Q6133" i="1" a="1"/>
  <c r="Q6133" i="1" s="1"/>
  <c r="N6133" i="1" a="1"/>
  <c r="N6133" i="1" s="1"/>
  <c r="J6133" i="1" a="1"/>
  <c r="J6133" i="1" s="1"/>
  <c r="S6133" i="1" a="1"/>
  <c r="S6133" i="1" s="1"/>
  <c r="P6133" i="1" a="1"/>
  <c r="P6133" i="1" s="1"/>
  <c r="K6133" i="1" a="1"/>
  <c r="K6133" i="1" s="1"/>
  <c r="L6133" i="1" a="1"/>
  <c r="L6133" i="1" s="1"/>
  <c r="R6133" i="1" a="1"/>
  <c r="R6133" i="1" s="1"/>
  <c r="B6134" i="1"/>
  <c r="A6135" i="1"/>
  <c r="A3525" i="1"/>
  <c r="I3524" i="1" a="1"/>
  <c r="I3524" i="1" s="1"/>
  <c r="H3524" i="1"/>
  <c r="I6133" i="1" l="1" a="1"/>
  <c r="I6133" i="1" s="1"/>
  <c r="C6134" i="1"/>
  <c r="L6134" i="1" s="1" a="1"/>
  <c r="L6134" i="1" s="1"/>
  <c r="H6133" i="1"/>
  <c r="A6136" i="1"/>
  <c r="P6134" i="1" a="1"/>
  <c r="P6134" i="1" s="1"/>
  <c r="J6134" i="1" a="1"/>
  <c r="J6134" i="1" s="1"/>
  <c r="S6134" i="1" a="1"/>
  <c r="S6134" i="1" s="1"/>
  <c r="O6134" i="1" a="1"/>
  <c r="O6134" i="1" s="1"/>
  <c r="I6134" i="1" a="1"/>
  <c r="I6134" i="1" s="1"/>
  <c r="K6134" i="1" a="1"/>
  <c r="K6134" i="1" s="1"/>
  <c r="Q6134" i="1" a="1"/>
  <c r="Q6134" i="1" s="1"/>
  <c r="R6134" i="1" a="1"/>
  <c r="R6134" i="1" s="1"/>
  <c r="M6134" i="1" a="1"/>
  <c r="M6134" i="1" s="1"/>
  <c r="B6135" i="1"/>
  <c r="N6134" i="1" a="1"/>
  <c r="N6134" i="1" s="1"/>
  <c r="A3526" i="1"/>
  <c r="I3525" i="1" a="1"/>
  <c r="I3525" i="1" s="1"/>
  <c r="H3525" i="1"/>
  <c r="C6135" i="1" l="1"/>
  <c r="O6135" i="1" s="1" a="1"/>
  <c r="O6135" i="1" s="1"/>
  <c r="H6134" i="1"/>
  <c r="K6135" i="1" a="1"/>
  <c r="K6135" i="1" s="1"/>
  <c r="S6135" i="1" a="1"/>
  <c r="S6135" i="1" s="1"/>
  <c r="P6135" i="1" a="1"/>
  <c r="P6135" i="1" s="1"/>
  <c r="B6136" i="1"/>
  <c r="N6135" i="1" a="1"/>
  <c r="N6135" i="1" s="1"/>
  <c r="I6135" i="1" a="1"/>
  <c r="I6135" i="1" s="1"/>
  <c r="J6135" i="1" a="1"/>
  <c r="J6135" i="1" s="1"/>
  <c r="Q6135" i="1" a="1"/>
  <c r="Q6135" i="1" s="1"/>
  <c r="L6135" i="1" a="1"/>
  <c r="L6135" i="1" s="1"/>
  <c r="R6135" i="1" a="1"/>
  <c r="R6135" i="1" s="1"/>
  <c r="M6135" i="1" a="1"/>
  <c r="M6135" i="1" s="1"/>
  <c r="A6137" i="1"/>
  <c r="A3527" i="1"/>
  <c r="L3526" i="1" a="1"/>
  <c r="L3526" i="1" s="1"/>
  <c r="H3526" i="1"/>
  <c r="C6136" i="1" l="1"/>
  <c r="J6136" i="1" s="1" a="1"/>
  <c r="J6136" i="1" s="1"/>
  <c r="H6135" i="1"/>
  <c r="A6138" i="1"/>
  <c r="N6136" i="1" a="1"/>
  <c r="N6136" i="1" s="1"/>
  <c r="R6136" i="1" a="1"/>
  <c r="R6136" i="1" s="1"/>
  <c r="P6136" i="1" a="1"/>
  <c r="P6136" i="1" s="1"/>
  <c r="B6137" i="1"/>
  <c r="I6136" i="1" a="1"/>
  <c r="I6136" i="1" s="1"/>
  <c r="O6136" i="1" a="1"/>
  <c r="O6136" i="1" s="1"/>
  <c r="Q6136" i="1" a="1"/>
  <c r="Q6136" i="1" s="1"/>
  <c r="K6136" i="1" a="1"/>
  <c r="K6136" i="1" s="1"/>
  <c r="S6136" i="1" a="1"/>
  <c r="S6136" i="1" s="1"/>
  <c r="M6136" i="1" a="1"/>
  <c r="M6136" i="1" s="1"/>
  <c r="L3527" i="1" a="1"/>
  <c r="L3527" i="1" s="1"/>
  <c r="A3528" i="1"/>
  <c r="H3527" i="1"/>
  <c r="L6136" i="1" l="1" a="1"/>
  <c r="L6136" i="1" s="1"/>
  <c r="C6137" i="1"/>
  <c r="J6137" i="1" s="1" a="1"/>
  <c r="J6137" i="1" s="1"/>
  <c r="H6136" i="1"/>
  <c r="A6139" i="1"/>
  <c r="M6137" i="1" a="1"/>
  <c r="M6137" i="1" s="1"/>
  <c r="Q6137" i="1" a="1"/>
  <c r="Q6137" i="1" s="1"/>
  <c r="S6137" i="1" a="1"/>
  <c r="S6137" i="1" s="1"/>
  <c r="N6137" i="1" a="1"/>
  <c r="N6137" i="1" s="1"/>
  <c r="B6138" i="1"/>
  <c r="P6137" i="1" a="1"/>
  <c r="P6137" i="1" s="1"/>
  <c r="K6137" i="1" a="1"/>
  <c r="K6137" i="1" s="1"/>
  <c r="R6137" i="1" a="1"/>
  <c r="R6137" i="1" s="1"/>
  <c r="A3529" i="1"/>
  <c r="O3528" i="1" a="1"/>
  <c r="O3528" i="1" s="1"/>
  <c r="H3528" i="1"/>
  <c r="I6137" i="1" l="1" a="1"/>
  <c r="I6137" i="1" s="1"/>
  <c r="L6137" i="1" a="1"/>
  <c r="L6137" i="1" s="1"/>
  <c r="O6137" i="1" a="1"/>
  <c r="O6137" i="1" s="1"/>
  <c r="C6138" i="1"/>
  <c r="O6138" i="1" s="1" a="1"/>
  <c r="O6138" i="1" s="1"/>
  <c r="H6137" i="1"/>
  <c r="P6138" i="1" a="1"/>
  <c r="P6138" i="1" s="1"/>
  <c r="M6138" i="1" a="1"/>
  <c r="M6138" i="1" s="1"/>
  <c r="I6138" i="1" a="1"/>
  <c r="I6138" i="1" s="1"/>
  <c r="R6138" i="1" a="1"/>
  <c r="R6138" i="1" s="1"/>
  <c r="S6138" i="1" a="1"/>
  <c r="S6138" i="1" s="1"/>
  <c r="N6138" i="1" a="1"/>
  <c r="N6138" i="1" s="1"/>
  <c r="B6139" i="1"/>
  <c r="J6138" i="1" a="1"/>
  <c r="J6138" i="1" s="1"/>
  <c r="Q6138" i="1" a="1"/>
  <c r="Q6138" i="1" s="1"/>
  <c r="K6138" i="1" a="1"/>
  <c r="K6138" i="1" s="1"/>
  <c r="A6140" i="1"/>
  <c r="A3530" i="1"/>
  <c r="H3529" i="1"/>
  <c r="O3529" i="1" a="1"/>
  <c r="O3529" i="1" s="1"/>
  <c r="L6138" i="1" l="1" a="1"/>
  <c r="L6138" i="1" s="1"/>
  <c r="C6139" i="1"/>
  <c r="O6139" i="1" s="1" a="1"/>
  <c r="O6139" i="1" s="1"/>
  <c r="H6138" i="1"/>
  <c r="K6139" i="1" a="1"/>
  <c r="K6139" i="1" s="1"/>
  <c r="S6139" i="1" a="1"/>
  <c r="S6139" i="1" s="1"/>
  <c r="I6139" i="1" a="1"/>
  <c r="I6139" i="1" s="1"/>
  <c r="R6139" i="1" a="1"/>
  <c r="R6139" i="1" s="1"/>
  <c r="N6139" i="1" a="1"/>
  <c r="N6139" i="1" s="1"/>
  <c r="Q6139" i="1" a="1"/>
  <c r="Q6139" i="1" s="1"/>
  <c r="L6139" i="1" a="1"/>
  <c r="L6139" i="1" s="1"/>
  <c r="M6139" i="1" a="1"/>
  <c r="M6139" i="1" s="1"/>
  <c r="B6140" i="1"/>
  <c r="J6139" i="1" a="1"/>
  <c r="J6139" i="1" s="1"/>
  <c r="P6139" i="1" a="1"/>
  <c r="P6139" i="1" s="1"/>
  <c r="A6141" i="1"/>
  <c r="A3531" i="1"/>
  <c r="H3530" i="1"/>
  <c r="O3530" i="1" a="1"/>
  <c r="O3530" i="1" s="1"/>
  <c r="C6140" i="1" l="1"/>
  <c r="O6140" i="1" s="1" a="1"/>
  <c r="O6140" i="1" s="1"/>
  <c r="H6139" i="1"/>
  <c r="A6142" i="1"/>
  <c r="J6140" i="1" a="1"/>
  <c r="J6140" i="1" s="1"/>
  <c r="N6140" i="1" a="1"/>
  <c r="N6140" i="1" s="1"/>
  <c r="R6140" i="1" a="1"/>
  <c r="R6140" i="1" s="1"/>
  <c r="S6140" i="1" a="1"/>
  <c r="S6140" i="1" s="1"/>
  <c r="K6140" i="1" a="1"/>
  <c r="K6140" i="1" s="1"/>
  <c r="Q6140" i="1" a="1"/>
  <c r="Q6140" i="1" s="1"/>
  <c r="L6140" i="1" a="1"/>
  <c r="L6140" i="1" s="1"/>
  <c r="M6140" i="1" a="1"/>
  <c r="M6140" i="1" s="1"/>
  <c r="B6141" i="1"/>
  <c r="P6140" i="1" a="1"/>
  <c r="P6140" i="1" s="1"/>
  <c r="A3532" i="1"/>
  <c r="H3531" i="1"/>
  <c r="O3531" i="1" a="1"/>
  <c r="O3531" i="1" s="1"/>
  <c r="I6140" i="1" l="1" a="1"/>
  <c r="I6140" i="1" s="1"/>
  <c r="C6141" i="1"/>
  <c r="I6141" i="1" s="1" a="1"/>
  <c r="I6141" i="1" s="1"/>
  <c r="H6140" i="1"/>
  <c r="M6141" i="1" a="1"/>
  <c r="M6141" i="1" s="1"/>
  <c r="Q6141" i="1" a="1"/>
  <c r="Q6141" i="1" s="1"/>
  <c r="O6141" i="1" a="1"/>
  <c r="O6141" i="1" s="1"/>
  <c r="K6141" i="1" a="1"/>
  <c r="K6141" i="1" s="1"/>
  <c r="P6141" i="1" a="1"/>
  <c r="P6141" i="1" s="1"/>
  <c r="J6141" i="1" a="1"/>
  <c r="J6141" i="1" s="1"/>
  <c r="L6141" i="1" a="1"/>
  <c r="L6141" i="1" s="1"/>
  <c r="R6141" i="1" a="1"/>
  <c r="R6141" i="1" s="1"/>
  <c r="S6141" i="1" a="1"/>
  <c r="S6141" i="1" s="1"/>
  <c r="N6141" i="1" a="1"/>
  <c r="N6141" i="1" s="1"/>
  <c r="B6142" i="1"/>
  <c r="A6143" i="1"/>
  <c r="A3533" i="1"/>
  <c r="O3532" i="1" a="1"/>
  <c r="O3532" i="1" s="1"/>
  <c r="H3532" i="1"/>
  <c r="C6142" i="1" l="1"/>
  <c r="H6141" i="1"/>
  <c r="A6144" i="1"/>
  <c r="L6142" i="1" a="1"/>
  <c r="L6142" i="1" s="1"/>
  <c r="P6142" i="1" a="1"/>
  <c r="P6142" i="1" s="1"/>
  <c r="K6142" i="1" a="1"/>
  <c r="K6142" i="1" s="1"/>
  <c r="B6143" i="1"/>
  <c r="I6142" i="1" a="1"/>
  <c r="I6142" i="1" s="1"/>
  <c r="O6142" i="1" a="1"/>
  <c r="O6142" i="1" s="1"/>
  <c r="J6142" i="1" a="1"/>
  <c r="J6142" i="1" s="1"/>
  <c r="Q6142" i="1" a="1"/>
  <c r="Q6142" i="1" s="1"/>
  <c r="R6142" i="1" a="1"/>
  <c r="R6142" i="1" s="1"/>
  <c r="M6142" i="1" a="1"/>
  <c r="M6142" i="1" s="1"/>
  <c r="N6142" i="1" a="1"/>
  <c r="N6142" i="1" s="1"/>
  <c r="S6142" i="1" a="1"/>
  <c r="S6142" i="1" s="1"/>
  <c r="A3534" i="1"/>
  <c r="H3533" i="1"/>
  <c r="O3533" i="1" a="1"/>
  <c r="O3533" i="1" s="1"/>
  <c r="C6143" i="1" l="1"/>
  <c r="O6143" i="1" s="1" a="1"/>
  <c r="O6143" i="1" s="1"/>
  <c r="H6142" i="1"/>
  <c r="A6145" i="1"/>
  <c r="K6143" i="1" a="1"/>
  <c r="K6143" i="1" s="1"/>
  <c r="S6143" i="1" a="1"/>
  <c r="S6143" i="1" s="1"/>
  <c r="L6143" i="1" a="1"/>
  <c r="L6143" i="1" s="1"/>
  <c r="Q6143" i="1" a="1"/>
  <c r="Q6143" i="1" s="1"/>
  <c r="N6143" i="1" a="1"/>
  <c r="N6143" i="1" s="1"/>
  <c r="I6143" i="1" a="1"/>
  <c r="I6143" i="1" s="1"/>
  <c r="B6144" i="1"/>
  <c r="J6143" i="1" a="1"/>
  <c r="J6143" i="1" s="1"/>
  <c r="P6143" i="1" a="1"/>
  <c r="P6143" i="1" s="1"/>
  <c r="R6143" i="1" a="1"/>
  <c r="R6143" i="1" s="1"/>
  <c r="M6143" i="1" a="1"/>
  <c r="M6143" i="1" s="1"/>
  <c r="A3535" i="1"/>
  <c r="O3534" i="1" a="1"/>
  <c r="O3534" i="1" s="1"/>
  <c r="H3534" i="1"/>
  <c r="C6144" i="1" l="1"/>
  <c r="J6144" i="1" s="1" a="1"/>
  <c r="J6144" i="1" s="1"/>
  <c r="H6143" i="1"/>
  <c r="N6144" i="1" a="1"/>
  <c r="N6144" i="1" s="1"/>
  <c r="R6144" i="1" a="1"/>
  <c r="R6144" i="1" s="1"/>
  <c r="Q6144" i="1" a="1"/>
  <c r="Q6144" i="1" s="1"/>
  <c r="M6144" i="1" a="1"/>
  <c r="M6144" i="1" s="1"/>
  <c r="S6144" i="1" a="1"/>
  <c r="S6144" i="1" s="1"/>
  <c r="O6144" i="1" a="1"/>
  <c r="O6144" i="1" s="1"/>
  <c r="B6145" i="1"/>
  <c r="K6144" i="1" a="1"/>
  <c r="K6144" i="1" s="1"/>
  <c r="P6144" i="1" a="1"/>
  <c r="P6144" i="1" s="1"/>
  <c r="L6144" i="1" a="1"/>
  <c r="L6144" i="1" s="1"/>
  <c r="A6146" i="1"/>
  <c r="A3536" i="1"/>
  <c r="H3535" i="1"/>
  <c r="O3535" i="1" a="1"/>
  <c r="O3535" i="1" s="1"/>
  <c r="I6144" i="1" l="1" a="1"/>
  <c r="I6144" i="1" s="1"/>
  <c r="C6145" i="1"/>
  <c r="L6145" i="1" s="1" a="1"/>
  <c r="L6145" i="1" s="1"/>
  <c r="H6144" i="1"/>
  <c r="A6147" i="1"/>
  <c r="M6145" i="1" a="1"/>
  <c r="M6145" i="1" s="1"/>
  <c r="Q6145" i="1" a="1"/>
  <c r="Q6145" i="1" s="1"/>
  <c r="R6145" i="1" a="1"/>
  <c r="R6145" i="1" s="1"/>
  <c r="B6146" i="1"/>
  <c r="K6145" i="1" a="1"/>
  <c r="K6145" i="1" s="1"/>
  <c r="P6145" i="1" a="1"/>
  <c r="P6145" i="1" s="1"/>
  <c r="N6145" i="1" a="1"/>
  <c r="N6145" i="1" s="1"/>
  <c r="S6145" i="1" a="1"/>
  <c r="S6145" i="1" s="1"/>
  <c r="J6145" i="1" a="1"/>
  <c r="J6145" i="1" s="1"/>
  <c r="A3537" i="1"/>
  <c r="H3536" i="1"/>
  <c r="O3536" i="1" a="1"/>
  <c r="O3536" i="1" s="1"/>
  <c r="I6145" i="1" l="1" a="1"/>
  <c r="I6145" i="1" s="1"/>
  <c r="O6145" i="1" a="1"/>
  <c r="O6145" i="1" s="1"/>
  <c r="C6146" i="1"/>
  <c r="O6146" i="1" s="1" a="1"/>
  <c r="O6146" i="1" s="1"/>
  <c r="H6145" i="1"/>
  <c r="P6146" i="1" a="1"/>
  <c r="P6146" i="1" s="1"/>
  <c r="N6146" i="1" a="1"/>
  <c r="N6146" i="1" s="1"/>
  <c r="M6146" i="1" a="1"/>
  <c r="M6146" i="1" s="1"/>
  <c r="R6146" i="1" a="1"/>
  <c r="R6146" i="1" s="1"/>
  <c r="S6146" i="1" a="1"/>
  <c r="S6146" i="1" s="1"/>
  <c r="B6147" i="1"/>
  <c r="K6146" i="1" a="1"/>
  <c r="K6146" i="1" s="1"/>
  <c r="Q6146" i="1" a="1"/>
  <c r="Q6146" i="1" s="1"/>
  <c r="A6148" i="1"/>
  <c r="A3538" i="1"/>
  <c r="H3537" i="1"/>
  <c r="O3537" i="1" a="1"/>
  <c r="O3537" i="1" s="1"/>
  <c r="I6146" i="1" l="1" a="1"/>
  <c r="I6146" i="1" s="1"/>
  <c r="L6146" i="1" a="1"/>
  <c r="L6146" i="1" s="1"/>
  <c r="J6146" i="1" a="1"/>
  <c r="J6146" i="1" s="1"/>
  <c r="C6147" i="1"/>
  <c r="K6147" i="1" s="1" a="1"/>
  <c r="K6147" i="1" s="1"/>
  <c r="H6146" i="1"/>
  <c r="A6149" i="1"/>
  <c r="O6147" i="1" a="1"/>
  <c r="O6147" i="1" s="1"/>
  <c r="S6147" i="1" a="1"/>
  <c r="S6147" i="1" s="1"/>
  <c r="P6147" i="1" a="1"/>
  <c r="P6147" i="1" s="1"/>
  <c r="L6147" i="1" a="1"/>
  <c r="L6147" i="1" s="1"/>
  <c r="Q6147" i="1" a="1"/>
  <c r="Q6147" i="1" s="1"/>
  <c r="M6147" i="1" a="1"/>
  <c r="M6147" i="1" s="1"/>
  <c r="R6147" i="1" a="1"/>
  <c r="R6147" i="1" s="1"/>
  <c r="N6147" i="1" a="1"/>
  <c r="N6147" i="1" s="1"/>
  <c r="B6148" i="1"/>
  <c r="I6147" i="1" a="1"/>
  <c r="I6147" i="1" s="1"/>
  <c r="A3539" i="1"/>
  <c r="O3538" i="1" a="1"/>
  <c r="O3538" i="1" s="1"/>
  <c r="H3538" i="1"/>
  <c r="J6147" i="1" l="1" a="1"/>
  <c r="J6147" i="1" s="1"/>
  <c r="C6148" i="1"/>
  <c r="L6148" i="1" s="1" a="1"/>
  <c r="L6148" i="1" s="1"/>
  <c r="H6147" i="1"/>
  <c r="Q6148" i="1" a="1"/>
  <c r="Q6148" i="1" s="1"/>
  <c r="M6148" i="1" a="1"/>
  <c r="M6148" i="1" s="1"/>
  <c r="I6148" i="1" a="1"/>
  <c r="I6148" i="1" s="1"/>
  <c r="R6148" i="1" a="1"/>
  <c r="R6148" i="1" s="1"/>
  <c r="N6148" i="1" a="1"/>
  <c r="N6148" i="1" s="1"/>
  <c r="S6148" i="1" a="1"/>
  <c r="S6148" i="1" s="1"/>
  <c r="J6148" i="1" a="1"/>
  <c r="J6148" i="1" s="1"/>
  <c r="K6148" i="1" a="1"/>
  <c r="K6148" i="1" s="1"/>
  <c r="B6149" i="1"/>
  <c r="P6148" i="1" a="1"/>
  <c r="P6148" i="1" s="1"/>
  <c r="A6150" i="1"/>
  <c r="A3540" i="1"/>
  <c r="H3539" i="1"/>
  <c r="O3539" i="1" a="1"/>
  <c r="O3539" i="1" s="1"/>
  <c r="O6148" i="1" l="1" a="1"/>
  <c r="O6148" i="1" s="1"/>
  <c r="C6149" i="1"/>
  <c r="K6149" i="1" s="1" a="1"/>
  <c r="K6149" i="1" s="1"/>
  <c r="H6148" i="1"/>
  <c r="M6149" i="1" a="1"/>
  <c r="M6149" i="1" s="1"/>
  <c r="R6149" i="1" a="1"/>
  <c r="R6149" i="1" s="1"/>
  <c r="N6149" i="1" a="1"/>
  <c r="N6149" i="1" s="1"/>
  <c r="J6149" i="1" a="1"/>
  <c r="J6149" i="1" s="1"/>
  <c r="S6149" i="1" a="1"/>
  <c r="S6149" i="1" s="1"/>
  <c r="O6149" i="1" a="1"/>
  <c r="O6149" i="1" s="1"/>
  <c r="P6149" i="1" a="1"/>
  <c r="P6149" i="1" s="1"/>
  <c r="B6150" i="1"/>
  <c r="Q6149" i="1" a="1"/>
  <c r="Q6149" i="1" s="1"/>
  <c r="A6151" i="1"/>
  <c r="A3541" i="1"/>
  <c r="O3540" i="1" a="1"/>
  <c r="O3540" i="1" s="1"/>
  <c r="H3540" i="1"/>
  <c r="I4438" i="1" a="1"/>
  <c r="I4438" i="1" s="1"/>
  <c r="I6149" i="1" l="1" a="1"/>
  <c r="I6149" i="1" s="1"/>
  <c r="L6149" i="1" a="1"/>
  <c r="L6149" i="1" s="1"/>
  <c r="C6150" i="1"/>
  <c r="H6149" i="1"/>
  <c r="B6151" i="1"/>
  <c r="N6150" i="1" a="1"/>
  <c r="N6150" i="1" s="1"/>
  <c r="J6150" i="1" a="1"/>
  <c r="J6150" i="1" s="1"/>
  <c r="S6150" i="1" a="1"/>
  <c r="S6150" i="1" s="1"/>
  <c r="O6150" i="1" a="1"/>
  <c r="O6150" i="1" s="1"/>
  <c r="K6150" i="1" a="1"/>
  <c r="K6150" i="1" s="1"/>
  <c r="P6150" i="1" a="1"/>
  <c r="P6150" i="1" s="1"/>
  <c r="L6150" i="1" a="1"/>
  <c r="L6150" i="1" s="1"/>
  <c r="Q6150" i="1" a="1"/>
  <c r="Q6150" i="1" s="1"/>
  <c r="M6150" i="1" a="1"/>
  <c r="M6150" i="1" s="1"/>
  <c r="R6150" i="1" a="1"/>
  <c r="R6150" i="1" s="1"/>
  <c r="I6150" i="1" a="1"/>
  <c r="I6150" i="1" s="1"/>
  <c r="A6152" i="1"/>
  <c r="A3542" i="1"/>
  <c r="H3541" i="1"/>
  <c r="O3541" i="1" a="1"/>
  <c r="O3541" i="1" s="1"/>
  <c r="C4439" i="1"/>
  <c r="H4438" i="1"/>
  <c r="C6151" i="1" l="1"/>
  <c r="L6151" i="1" s="1" a="1"/>
  <c r="L6151" i="1" s="1"/>
  <c r="H6150" i="1"/>
  <c r="A6153" i="1"/>
  <c r="J6151" i="1" a="1"/>
  <c r="J6151" i="1" s="1"/>
  <c r="S6151" i="1" a="1"/>
  <c r="S6151" i="1" s="1"/>
  <c r="O6151" i="1" a="1"/>
  <c r="O6151" i="1" s="1"/>
  <c r="K6151" i="1" a="1"/>
  <c r="K6151" i="1" s="1"/>
  <c r="P6151" i="1" a="1"/>
  <c r="P6151" i="1" s="1"/>
  <c r="B6152" i="1"/>
  <c r="Q6151" i="1" a="1"/>
  <c r="Q6151" i="1" s="1"/>
  <c r="M6151" i="1" a="1"/>
  <c r="M6151" i="1" s="1"/>
  <c r="R6151" i="1" a="1"/>
  <c r="R6151" i="1" s="1"/>
  <c r="N6151" i="1" a="1"/>
  <c r="N6151" i="1" s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6151" i="1" l="1" a="1"/>
  <c r="I6151" i="1" s="1"/>
  <c r="C6152" i="1"/>
  <c r="H6151" i="1"/>
  <c r="K6152" i="1" a="1"/>
  <c r="K6152" i="1" s="1"/>
  <c r="P6152" i="1" a="1"/>
  <c r="P6152" i="1" s="1"/>
  <c r="B6153" i="1"/>
  <c r="L6152" i="1" a="1"/>
  <c r="L6152" i="1" s="1"/>
  <c r="Q6152" i="1" a="1"/>
  <c r="Q6152" i="1" s="1"/>
  <c r="M6152" i="1" a="1"/>
  <c r="M6152" i="1" s="1"/>
  <c r="I6152" i="1" a="1"/>
  <c r="I6152" i="1" s="1"/>
  <c r="R6152" i="1" a="1"/>
  <c r="R6152" i="1" s="1"/>
  <c r="J6152" i="1" a="1"/>
  <c r="J6152" i="1" s="1"/>
  <c r="N6152" i="1" a="1"/>
  <c r="N6152" i="1" s="1"/>
  <c r="O6152" i="1" a="1"/>
  <c r="O6152" i="1" s="1"/>
  <c r="S6152" i="1" a="1"/>
  <c r="S6152" i="1" s="1"/>
  <c r="A6154" i="1"/>
  <c r="A3544" i="1"/>
  <c r="H3543" i="1"/>
  <c r="O3543" i="1" a="1"/>
  <c r="O3543" i="1" s="1"/>
  <c r="C4441" i="1"/>
  <c r="H4440" i="1"/>
  <c r="C6153" i="1" l="1"/>
  <c r="O6153" i="1" s="1" a="1"/>
  <c r="O6153" i="1" s="1"/>
  <c r="H6152" i="1"/>
  <c r="A6155" i="1"/>
  <c r="P6153" i="1" a="1"/>
  <c r="P6153" i="1" s="1"/>
  <c r="B6154" i="1"/>
  <c r="L6153" i="1" a="1"/>
  <c r="L6153" i="1" s="1"/>
  <c r="Q6153" i="1" a="1"/>
  <c r="Q6153" i="1" s="1"/>
  <c r="M6153" i="1" a="1"/>
  <c r="M6153" i="1" s="1"/>
  <c r="R6153" i="1" a="1"/>
  <c r="R6153" i="1" s="1"/>
  <c r="N6153" i="1" a="1"/>
  <c r="N6153" i="1" s="1"/>
  <c r="J6153" i="1" a="1"/>
  <c r="J6153" i="1" s="1"/>
  <c r="S6153" i="1" a="1"/>
  <c r="S6153" i="1" s="1"/>
  <c r="K6153" i="1" a="1"/>
  <c r="K6153" i="1" s="1"/>
  <c r="A3545" i="1"/>
  <c r="O3544" i="1" a="1"/>
  <c r="O3544" i="1" s="1"/>
  <c r="H3544" i="1"/>
  <c r="I4441" i="1" a="1"/>
  <c r="I4441" i="1" s="1"/>
  <c r="I4442" i="1" a="1"/>
  <c r="I4442" i="1" s="1"/>
  <c r="H4441" i="1"/>
  <c r="I6153" i="1" l="1" a="1"/>
  <c r="I6153" i="1" s="1"/>
  <c r="C6154" i="1"/>
  <c r="J6154" i="1" s="1" a="1"/>
  <c r="J6154" i="1" s="1"/>
  <c r="H6153" i="1"/>
  <c r="B6155" i="1"/>
  <c r="L6154" i="1" a="1"/>
  <c r="L6154" i="1" s="1"/>
  <c r="Q6154" i="1" a="1"/>
  <c r="Q6154" i="1" s="1"/>
  <c r="M6154" i="1" a="1"/>
  <c r="M6154" i="1" s="1"/>
  <c r="R6154" i="1" a="1"/>
  <c r="R6154" i="1" s="1"/>
  <c r="N6154" i="1" a="1"/>
  <c r="N6154" i="1" s="1"/>
  <c r="S6154" i="1" a="1"/>
  <c r="S6154" i="1" s="1"/>
  <c r="P6154" i="1" a="1"/>
  <c r="P6154" i="1" s="1"/>
  <c r="K6154" i="1" a="1"/>
  <c r="K6154" i="1" s="1"/>
  <c r="A6156" i="1"/>
  <c r="A3546" i="1"/>
  <c r="O3545" i="1" a="1"/>
  <c r="O3545" i="1" s="1"/>
  <c r="H3545" i="1"/>
  <c r="C4443" i="1"/>
  <c r="H4442" i="1"/>
  <c r="I6154" i="1" l="1" a="1"/>
  <c r="I6154" i="1" s="1"/>
  <c r="O6154" i="1" a="1"/>
  <c r="O6154" i="1" s="1"/>
  <c r="C6155" i="1"/>
  <c r="O6155" i="1" s="1" a="1"/>
  <c r="O6155" i="1" s="1"/>
  <c r="H6154" i="1"/>
  <c r="A6157" i="1"/>
  <c r="M6155" i="1" a="1"/>
  <c r="M6155" i="1" s="1"/>
  <c r="I6155" i="1" a="1"/>
  <c r="I6155" i="1" s="1"/>
  <c r="R6155" i="1" a="1"/>
  <c r="R6155" i="1" s="1"/>
  <c r="N6155" i="1" a="1"/>
  <c r="N6155" i="1" s="1"/>
  <c r="J6155" i="1" a="1"/>
  <c r="J6155" i="1" s="1"/>
  <c r="S6155" i="1" a="1"/>
  <c r="S6155" i="1" s="1"/>
  <c r="K6155" i="1" a="1"/>
  <c r="K6155" i="1" s="1"/>
  <c r="P6155" i="1" a="1"/>
  <c r="P6155" i="1" s="1"/>
  <c r="B6156" i="1"/>
  <c r="L6155" i="1" a="1"/>
  <c r="L6155" i="1" s="1"/>
  <c r="Q6155" i="1" a="1"/>
  <c r="Q6155" i="1" s="1"/>
  <c r="A3547" i="1"/>
  <c r="H3546" i="1"/>
  <c r="O3546" i="1" a="1"/>
  <c r="O3546" i="1" s="1"/>
  <c r="I4443" i="1" a="1"/>
  <c r="I4443" i="1" s="1"/>
  <c r="I4444" i="1" a="1"/>
  <c r="I4444" i="1" s="1"/>
  <c r="H4443" i="1"/>
  <c r="C6156" i="1" l="1"/>
  <c r="O6156" i="1" s="1" a="1"/>
  <c r="O6156" i="1" s="1"/>
  <c r="H6155" i="1"/>
  <c r="R6156" i="1" a="1"/>
  <c r="R6156" i="1" s="1"/>
  <c r="N6156" i="1" a="1"/>
  <c r="N6156" i="1" s="1"/>
  <c r="S6156" i="1" a="1"/>
  <c r="S6156" i="1" s="1"/>
  <c r="J6156" i="1" a="1"/>
  <c r="J6156" i="1" s="1"/>
  <c r="K6156" i="1" a="1"/>
  <c r="K6156" i="1" s="1"/>
  <c r="P6156" i="1" a="1"/>
  <c r="P6156" i="1" s="1"/>
  <c r="B6157" i="1"/>
  <c r="L6156" i="1" a="1"/>
  <c r="L6156" i="1" s="1"/>
  <c r="M6156" i="1" a="1"/>
  <c r="M6156" i="1" s="1"/>
  <c r="Q6156" i="1" a="1"/>
  <c r="Q6156" i="1" s="1"/>
  <c r="A6158" i="1"/>
  <c r="A3548" i="1"/>
  <c r="H3547" i="1"/>
  <c r="O3547" i="1" a="1"/>
  <c r="O3547" i="1" s="1"/>
  <c r="I4445" i="1" a="1"/>
  <c r="I4445" i="1" s="1"/>
  <c r="H4444" i="1"/>
  <c r="I6156" i="1" l="1" a="1"/>
  <c r="I6156" i="1" s="1"/>
  <c r="C6157" i="1"/>
  <c r="J6157" i="1" s="1" a="1"/>
  <c r="J6157" i="1" s="1"/>
  <c r="H6156" i="1"/>
  <c r="A6159" i="1"/>
  <c r="S6157" i="1" a="1"/>
  <c r="S6157" i="1" s="1"/>
  <c r="K6157" i="1" a="1"/>
  <c r="K6157" i="1" s="1"/>
  <c r="L6157" i="1" a="1"/>
  <c r="L6157" i="1" s="1"/>
  <c r="Q6157" i="1" a="1"/>
  <c r="Q6157" i="1" s="1"/>
  <c r="B6158" i="1"/>
  <c r="M6157" i="1" a="1"/>
  <c r="M6157" i="1" s="1"/>
  <c r="N6157" i="1" a="1"/>
  <c r="N6157" i="1" s="1"/>
  <c r="P6157" i="1" a="1"/>
  <c r="P6157" i="1" s="1"/>
  <c r="R6157" i="1" a="1"/>
  <c r="R6157" i="1" s="1"/>
  <c r="A3549" i="1"/>
  <c r="O3548" i="1" a="1"/>
  <c r="O3548" i="1" s="1"/>
  <c r="H3548" i="1"/>
  <c r="I4446" i="1" a="1"/>
  <c r="I4446" i="1" s="1"/>
  <c r="H4445" i="1"/>
  <c r="I6157" i="1" l="1" a="1"/>
  <c r="I6157" i="1" s="1"/>
  <c r="O6157" i="1" a="1"/>
  <c r="O6157" i="1" s="1"/>
  <c r="C6158" i="1"/>
  <c r="H6157" i="1"/>
  <c r="A6160" i="1"/>
  <c r="B6159" i="1"/>
  <c r="O6158" i="1" a="1"/>
  <c r="O6158" i="1" s="1"/>
  <c r="K6158" i="1" a="1"/>
  <c r="K6158" i="1" s="1"/>
  <c r="P6158" i="1" a="1"/>
  <c r="P6158" i="1" s="1"/>
  <c r="M6158" i="1" a="1"/>
  <c r="M6158" i="1" s="1"/>
  <c r="I6158" i="1" a="1"/>
  <c r="I6158" i="1" s="1"/>
  <c r="R6158" i="1" a="1"/>
  <c r="R6158" i="1" s="1"/>
  <c r="S6158" i="1" a="1"/>
  <c r="S6158" i="1" s="1"/>
  <c r="J6158" i="1" a="1"/>
  <c r="J6158" i="1" s="1"/>
  <c r="L6158" i="1" a="1"/>
  <c r="L6158" i="1" s="1"/>
  <c r="N6158" i="1" a="1"/>
  <c r="N6158" i="1" s="1"/>
  <c r="Q6158" i="1" a="1"/>
  <c r="Q6158" i="1" s="1"/>
  <c r="A3550" i="1"/>
  <c r="O3549" i="1" a="1"/>
  <c r="O3549" i="1" s="1"/>
  <c r="H3549" i="1"/>
  <c r="I4447" i="1" a="1"/>
  <c r="I4447" i="1" s="1"/>
  <c r="H4446" i="1"/>
  <c r="C6159" i="1" l="1"/>
  <c r="L6159" i="1" s="1" a="1"/>
  <c r="L6159" i="1" s="1"/>
  <c r="H6158" i="1"/>
  <c r="K6159" i="1" a="1"/>
  <c r="K6159" i="1" s="1"/>
  <c r="P6159" i="1" a="1"/>
  <c r="P6159" i="1" s="1"/>
  <c r="B6160" i="1"/>
  <c r="Q6159" i="1" a="1"/>
  <c r="Q6159" i="1" s="1"/>
  <c r="I6159" i="1" a="1"/>
  <c r="I6159" i="1" s="1"/>
  <c r="R6159" i="1" a="1"/>
  <c r="R6159" i="1" s="1"/>
  <c r="N6159" i="1" a="1"/>
  <c r="N6159" i="1" s="1"/>
  <c r="S6159" i="1" a="1"/>
  <c r="S6159" i="1" s="1"/>
  <c r="J6159" i="1" a="1"/>
  <c r="J6159" i="1" s="1"/>
  <c r="M6159" i="1" a="1"/>
  <c r="M6159" i="1" s="1"/>
  <c r="O6159" i="1" a="1"/>
  <c r="O6159" i="1" s="1"/>
  <c r="A6161" i="1"/>
  <c r="A3551" i="1"/>
  <c r="H3550" i="1"/>
  <c r="O3550" i="1" a="1"/>
  <c r="O3550" i="1" s="1"/>
  <c r="C4448" i="1"/>
  <c r="H4447" i="1"/>
  <c r="O4447" i="1" a="1"/>
  <c r="O4447" i="1" s="1"/>
  <c r="C6160" i="1" l="1"/>
  <c r="J6160" i="1" s="1" a="1"/>
  <c r="J6160" i="1" s="1"/>
  <c r="H6159" i="1"/>
  <c r="Q6160" i="1" a="1"/>
  <c r="Q6160" i="1" s="1"/>
  <c r="M6160" i="1" a="1"/>
  <c r="M6160" i="1" s="1"/>
  <c r="N6160" i="1" a="1"/>
  <c r="N6160" i="1" s="1"/>
  <c r="S6160" i="1" a="1"/>
  <c r="S6160" i="1" s="1"/>
  <c r="R6160" i="1" a="1"/>
  <c r="R6160" i="1" s="1"/>
  <c r="I6160" i="1" a="1"/>
  <c r="I6160" i="1" s="1"/>
  <c r="B6161" i="1"/>
  <c r="K6160" i="1" a="1"/>
  <c r="K6160" i="1" s="1"/>
  <c r="P6160" i="1" a="1"/>
  <c r="P6160" i="1" s="1"/>
  <c r="A6162" i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O6160" i="1" l="1" a="1"/>
  <c r="O6160" i="1" s="1"/>
  <c r="L6160" i="1" a="1"/>
  <c r="L6160" i="1" s="1"/>
  <c r="C6161" i="1"/>
  <c r="L6161" i="1" s="1" a="1"/>
  <c r="L6161" i="1" s="1"/>
  <c r="H6160" i="1"/>
  <c r="A6163" i="1"/>
  <c r="Q6161" i="1" a="1"/>
  <c r="Q6161" i="1" s="1"/>
  <c r="M6161" i="1" a="1"/>
  <c r="M6161" i="1" s="1"/>
  <c r="R6161" i="1" a="1"/>
  <c r="R6161" i="1" s="1"/>
  <c r="N6161" i="1" a="1"/>
  <c r="N6161" i="1" s="1"/>
  <c r="K6161" i="1" a="1"/>
  <c r="K6161" i="1" s="1"/>
  <c r="S6161" i="1" a="1"/>
  <c r="S6161" i="1" s="1"/>
  <c r="B6162" i="1"/>
  <c r="J6161" i="1" a="1"/>
  <c r="J6161" i="1" s="1"/>
  <c r="P6161" i="1" a="1"/>
  <c r="P6161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I6161" i="1" l="1" a="1"/>
  <c r="I6161" i="1" s="1"/>
  <c r="C6162" i="1"/>
  <c r="I6162" i="1" s="1" a="1"/>
  <c r="I6162" i="1" s="1"/>
  <c r="H6161" i="1"/>
  <c r="O6161" i="1" a="1"/>
  <c r="O6161" i="1" s="1"/>
  <c r="B6163" i="1"/>
  <c r="R6162" i="1" a="1"/>
  <c r="R6162" i="1" s="1"/>
  <c r="N6162" i="1" a="1"/>
  <c r="N6162" i="1" s="1"/>
  <c r="K6162" i="1" a="1"/>
  <c r="K6162" i="1" s="1"/>
  <c r="P6162" i="1" a="1"/>
  <c r="P6162" i="1" s="1"/>
  <c r="O6162" i="1" a="1"/>
  <c r="O6162" i="1" s="1"/>
  <c r="Q6162" i="1" a="1"/>
  <c r="Q6162" i="1" s="1"/>
  <c r="J6162" i="1" a="1"/>
  <c r="J6162" i="1" s="1"/>
  <c r="S6162" i="1" a="1"/>
  <c r="S6162" i="1" s="1"/>
  <c r="L6162" i="1" a="1"/>
  <c r="L6162" i="1" s="1"/>
  <c r="M6162" i="1" a="1"/>
  <c r="M6162" i="1" s="1"/>
  <c r="A6164" i="1"/>
  <c r="A3554" i="1"/>
  <c r="I3553" i="1" a="1"/>
  <c r="I3553" i="1" s="1"/>
  <c r="H3553" i="1"/>
  <c r="I4450" i="1" a="1"/>
  <c r="I4450" i="1" s="1"/>
  <c r="H4450" i="1"/>
  <c r="O4450" i="1" a="1"/>
  <c r="O4450" i="1" s="1"/>
  <c r="C6163" i="1" l="1"/>
  <c r="L6163" i="1" s="1" a="1"/>
  <c r="L6163" i="1" s="1"/>
  <c r="H6162" i="1"/>
  <c r="A6165" i="1"/>
  <c r="N6163" i="1" a="1"/>
  <c r="N6163" i="1" s="1"/>
  <c r="J6163" i="1" a="1"/>
  <c r="J6163" i="1" s="1"/>
  <c r="S6163" i="1" a="1"/>
  <c r="S6163" i="1" s="1"/>
  <c r="I6163" i="1" a="1"/>
  <c r="I6163" i="1" s="1"/>
  <c r="P6163" i="1" a="1"/>
  <c r="P6163" i="1" s="1"/>
  <c r="K6163" i="1" a="1"/>
  <c r="K6163" i="1" s="1"/>
  <c r="Q6163" i="1" a="1"/>
  <c r="Q6163" i="1" s="1"/>
  <c r="R6163" i="1" a="1"/>
  <c r="R6163" i="1" s="1"/>
  <c r="O6163" i="1" a="1"/>
  <c r="O6163" i="1" s="1"/>
  <c r="B6164" i="1"/>
  <c r="M6163" i="1" a="1"/>
  <c r="M6163" i="1" s="1"/>
  <c r="A3555" i="1"/>
  <c r="I3554" i="1" a="1"/>
  <c r="I3554" i="1" s="1"/>
  <c r="H3554" i="1"/>
  <c r="I4451" i="1" a="1"/>
  <c r="I4451" i="1" s="1"/>
  <c r="K4451" i="1" a="1"/>
  <c r="K4451" i="1" s="1"/>
  <c r="H4451" i="1"/>
  <c r="C6164" i="1" l="1"/>
  <c r="O6164" i="1" s="1" a="1"/>
  <c r="O6164" i="1" s="1"/>
  <c r="H6163" i="1"/>
  <c r="J6164" i="1" a="1"/>
  <c r="J6164" i="1" s="1"/>
  <c r="K6164" i="1" a="1"/>
  <c r="K6164" i="1" s="1"/>
  <c r="N6164" i="1" a="1"/>
  <c r="N6164" i="1" s="1"/>
  <c r="I6164" i="1" a="1"/>
  <c r="I6164" i="1" s="1"/>
  <c r="P6164" i="1" a="1"/>
  <c r="P6164" i="1" s="1"/>
  <c r="Q6164" i="1" a="1"/>
  <c r="Q6164" i="1" s="1"/>
  <c r="L6164" i="1" a="1"/>
  <c r="L6164" i="1" s="1"/>
  <c r="S6164" i="1" a="1"/>
  <c r="S6164" i="1" s="1"/>
  <c r="B6165" i="1"/>
  <c r="M6164" i="1" a="1"/>
  <c r="M6164" i="1" s="1"/>
  <c r="R6164" i="1" a="1"/>
  <c r="R6164" i="1" s="1"/>
  <c r="A616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C6165" i="1" l="1"/>
  <c r="K6165" i="1" s="1" a="1"/>
  <c r="K6165" i="1" s="1"/>
  <c r="H6164" i="1"/>
  <c r="A6167" i="1"/>
  <c r="P6165" i="1" a="1"/>
  <c r="P6165" i="1" s="1"/>
  <c r="B6166" i="1"/>
  <c r="N6165" i="1" a="1"/>
  <c r="N6165" i="1" s="1"/>
  <c r="I6165" i="1" a="1"/>
  <c r="I6165" i="1" s="1"/>
  <c r="J6165" i="1" a="1"/>
  <c r="J6165" i="1" s="1"/>
  <c r="Q6165" i="1" a="1"/>
  <c r="Q6165" i="1" s="1"/>
  <c r="M6165" i="1" a="1"/>
  <c r="M6165" i="1" s="1"/>
  <c r="R6165" i="1" a="1"/>
  <c r="R6165" i="1" s="1"/>
  <c r="S6165" i="1" a="1"/>
  <c r="S6165" i="1" s="1"/>
  <c r="A3557" i="1"/>
  <c r="I3556" i="1" a="1"/>
  <c r="I3556" i="1" s="1"/>
  <c r="H3556" i="1"/>
  <c r="I4453" i="1" a="1"/>
  <c r="I4453" i="1" s="1"/>
  <c r="K4453" i="1" a="1"/>
  <c r="K4453" i="1" s="1"/>
  <c r="H4453" i="1"/>
  <c r="L6165" i="1" l="1" a="1"/>
  <c r="L6165" i="1" s="1"/>
  <c r="O6165" i="1" a="1"/>
  <c r="O6165" i="1" s="1"/>
  <c r="C6166" i="1"/>
  <c r="J6166" i="1" s="1" a="1"/>
  <c r="J6166" i="1" s="1"/>
  <c r="H6165" i="1"/>
  <c r="A6168" i="1"/>
  <c r="B6167" i="1"/>
  <c r="P6166" i="1" a="1"/>
  <c r="P6166" i="1" s="1"/>
  <c r="Q6166" i="1" a="1"/>
  <c r="Q6166" i="1" s="1"/>
  <c r="S6166" i="1" a="1"/>
  <c r="S6166" i="1" s="1"/>
  <c r="N6166" i="1" a="1"/>
  <c r="N6166" i="1" s="1"/>
  <c r="K6166" i="1" a="1"/>
  <c r="K6166" i="1" s="1"/>
  <c r="M6166" i="1" a="1"/>
  <c r="M6166" i="1" s="1"/>
  <c r="R6166" i="1" a="1"/>
  <c r="R6166" i="1" s="1"/>
  <c r="A3558" i="1"/>
  <c r="I3557" i="1" a="1"/>
  <c r="I3557" i="1" s="1"/>
  <c r="H3557" i="1"/>
  <c r="I4454" i="1" a="1"/>
  <c r="I4454" i="1" s="1"/>
  <c r="K4454" i="1" a="1"/>
  <c r="K4454" i="1" s="1"/>
  <c r="H4454" i="1"/>
  <c r="I6166" i="1" l="1" a="1"/>
  <c r="I6166" i="1" s="1"/>
  <c r="L6166" i="1" a="1"/>
  <c r="L6166" i="1" s="1"/>
  <c r="O6166" i="1" a="1"/>
  <c r="O6166" i="1" s="1"/>
  <c r="C6167" i="1"/>
  <c r="O6167" i="1" s="1" a="1"/>
  <c r="O6167" i="1" s="1"/>
  <c r="H6166" i="1"/>
  <c r="A6169" i="1"/>
  <c r="Q6167" i="1" a="1"/>
  <c r="Q6167" i="1" s="1"/>
  <c r="M6167" i="1" a="1"/>
  <c r="M6167" i="1" s="1"/>
  <c r="S6167" i="1" a="1"/>
  <c r="S6167" i="1" s="1"/>
  <c r="N6167" i="1" a="1"/>
  <c r="N6167" i="1" s="1"/>
  <c r="B6168" i="1"/>
  <c r="K6167" i="1" a="1"/>
  <c r="K6167" i="1" s="1"/>
  <c r="P6167" i="1" a="1"/>
  <c r="P6167" i="1" s="1"/>
  <c r="R6167" i="1" a="1"/>
  <c r="R6167" i="1" s="1"/>
  <c r="J6167" i="1" a="1"/>
  <c r="J6167" i="1" s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6167" i="1" l="1" a="1"/>
  <c r="I6167" i="1" s="1"/>
  <c r="L6167" i="1" a="1"/>
  <c r="L6167" i="1" s="1"/>
  <c r="C6168" i="1"/>
  <c r="L6168" i="1" s="1" a="1"/>
  <c r="L6168" i="1" s="1"/>
  <c r="H6167" i="1"/>
  <c r="A6170" i="1"/>
  <c r="M6168" i="1" a="1"/>
  <c r="M6168" i="1" s="1"/>
  <c r="I6168" i="1" a="1"/>
  <c r="I6168" i="1" s="1"/>
  <c r="R6168" i="1" a="1"/>
  <c r="R6168" i="1" s="1"/>
  <c r="Q6168" i="1" a="1"/>
  <c r="Q6168" i="1" s="1"/>
  <c r="S6168" i="1" a="1"/>
  <c r="S6168" i="1" s="1"/>
  <c r="N6168" i="1" a="1"/>
  <c r="N6168" i="1" s="1"/>
  <c r="B6169" i="1"/>
  <c r="P6168" i="1" a="1"/>
  <c r="P6168" i="1" s="1"/>
  <c r="J6168" i="1" a="1"/>
  <c r="J6168" i="1" s="1"/>
  <c r="K6168" i="1" a="1"/>
  <c r="K6168" i="1" s="1"/>
  <c r="A3560" i="1"/>
  <c r="I3559" i="1" a="1"/>
  <c r="I3559" i="1" s="1"/>
  <c r="H3559" i="1"/>
  <c r="I4456" i="1" a="1"/>
  <c r="I4456" i="1" s="1"/>
  <c r="K4456" i="1" a="1"/>
  <c r="K4456" i="1" s="1"/>
  <c r="H4456" i="1"/>
  <c r="O6168" i="1" l="1" a="1"/>
  <c r="O6168" i="1" s="1"/>
  <c r="C6169" i="1"/>
  <c r="J6169" i="1" s="1" a="1"/>
  <c r="J6169" i="1" s="1"/>
  <c r="H6168" i="1"/>
  <c r="N6169" i="1" a="1"/>
  <c r="N6169" i="1" s="1"/>
  <c r="S6169" i="1" a="1"/>
  <c r="S6169" i="1" s="1"/>
  <c r="K6169" i="1" a="1"/>
  <c r="K6169" i="1" s="1"/>
  <c r="Q6169" i="1" a="1"/>
  <c r="Q6169" i="1" s="1"/>
  <c r="R6169" i="1" a="1"/>
  <c r="R6169" i="1" s="1"/>
  <c r="M6169" i="1" a="1"/>
  <c r="M6169" i="1" s="1"/>
  <c r="B6170" i="1"/>
  <c r="P6169" i="1" a="1"/>
  <c r="P6169" i="1" s="1"/>
  <c r="A6171" i="1"/>
  <c r="A3561" i="1"/>
  <c r="I3560" i="1" a="1"/>
  <c r="I3560" i="1" s="1"/>
  <c r="H3560" i="1"/>
  <c r="I4457" i="1" a="1"/>
  <c r="I4457" i="1" s="1"/>
  <c r="K4457" i="1" a="1"/>
  <c r="K4457" i="1" s="1"/>
  <c r="H4457" i="1"/>
  <c r="I6169" i="1" l="1" a="1"/>
  <c r="I6169" i="1" s="1"/>
  <c r="O6169" i="1" a="1"/>
  <c r="O6169" i="1" s="1"/>
  <c r="L6169" i="1" a="1"/>
  <c r="L6169" i="1" s="1"/>
  <c r="C6170" i="1"/>
  <c r="K6170" i="1" s="1" a="1"/>
  <c r="K6170" i="1" s="1"/>
  <c r="H6169" i="1"/>
  <c r="B6171" i="1"/>
  <c r="J6170" i="1" a="1"/>
  <c r="J6170" i="1" s="1"/>
  <c r="S6170" i="1" a="1"/>
  <c r="S6170" i="1" s="1"/>
  <c r="P6170" i="1" a="1"/>
  <c r="P6170" i="1" s="1"/>
  <c r="Q6170" i="1" a="1"/>
  <c r="Q6170" i="1" s="1"/>
  <c r="L6170" i="1" a="1"/>
  <c r="L6170" i="1" s="1"/>
  <c r="R6170" i="1" a="1"/>
  <c r="R6170" i="1" s="1"/>
  <c r="M6170" i="1" a="1"/>
  <c r="M6170" i="1" s="1"/>
  <c r="N6170" i="1" a="1"/>
  <c r="N6170" i="1" s="1"/>
  <c r="A6172" i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I6170" i="1" l="1" a="1"/>
  <c r="I6170" i="1" s="1"/>
  <c r="O6170" i="1" a="1"/>
  <c r="O6170" i="1" s="1"/>
  <c r="C6171" i="1"/>
  <c r="O6171" i="1" s="1" a="1"/>
  <c r="O6171" i="1" s="1"/>
  <c r="H6170" i="1"/>
  <c r="A6173" i="1"/>
  <c r="P6171" i="1" a="1"/>
  <c r="P6171" i="1" s="1"/>
  <c r="B6172" i="1"/>
  <c r="J6171" i="1" a="1"/>
  <c r="J6171" i="1" s="1"/>
  <c r="Q6171" i="1" a="1"/>
  <c r="Q6171" i="1" s="1"/>
  <c r="L6171" i="1" a="1"/>
  <c r="L6171" i="1" s="1"/>
  <c r="R6171" i="1" a="1"/>
  <c r="R6171" i="1" s="1"/>
  <c r="M6171" i="1" a="1"/>
  <c r="M6171" i="1" s="1"/>
  <c r="N6171" i="1" a="1"/>
  <c r="N6171" i="1" s="1"/>
  <c r="S6171" i="1" a="1"/>
  <c r="S6171" i="1" s="1"/>
  <c r="A3563" i="1"/>
  <c r="I3562" i="1" a="1"/>
  <c r="I3562" i="1" s="1"/>
  <c r="H3562" i="1"/>
  <c r="I4459" i="1" a="1"/>
  <c r="I4459" i="1" s="1"/>
  <c r="K4459" i="1" a="1"/>
  <c r="K4459" i="1" s="1"/>
  <c r="H4459" i="1"/>
  <c r="I6171" i="1" l="1" a="1"/>
  <c r="I6171" i="1" s="1"/>
  <c r="K6171" i="1" a="1"/>
  <c r="K6171" i="1" s="1"/>
  <c r="C6172" i="1"/>
  <c r="J6172" i="1" s="1" a="1"/>
  <c r="J6172" i="1" s="1"/>
  <c r="H6171" i="1"/>
  <c r="A6174" i="1"/>
  <c r="P6172" i="1" a="1"/>
  <c r="P6172" i="1" s="1"/>
  <c r="B6173" i="1"/>
  <c r="N6172" i="1" a="1"/>
  <c r="N6172" i="1" s="1"/>
  <c r="I6172" i="1" a="1"/>
  <c r="I6172" i="1" s="1"/>
  <c r="Q6172" i="1" a="1"/>
  <c r="Q6172" i="1" s="1"/>
  <c r="K6172" i="1" a="1"/>
  <c r="K6172" i="1" s="1"/>
  <c r="M6172" i="1" a="1"/>
  <c r="M6172" i="1" s="1"/>
  <c r="R6172" i="1" a="1"/>
  <c r="R6172" i="1" s="1"/>
  <c r="S6172" i="1" a="1"/>
  <c r="S6172" i="1" s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L6172" i="1" l="1" a="1"/>
  <c r="L6172" i="1" s="1"/>
  <c r="O6172" i="1" a="1"/>
  <c r="O6172" i="1" s="1"/>
  <c r="C6173" i="1"/>
  <c r="L6173" i="1" s="1" a="1"/>
  <c r="L6173" i="1" s="1"/>
  <c r="H6172" i="1"/>
  <c r="Q6173" i="1" a="1"/>
  <c r="Q6173" i="1" s="1"/>
  <c r="N6173" i="1" a="1"/>
  <c r="N6173" i="1" s="1"/>
  <c r="I6173" i="1" a="1"/>
  <c r="I6173" i="1" s="1"/>
  <c r="B6174" i="1"/>
  <c r="J6173" i="1" a="1"/>
  <c r="J6173" i="1" s="1"/>
  <c r="P6173" i="1" a="1"/>
  <c r="P6173" i="1" s="1"/>
  <c r="R6173" i="1" a="1"/>
  <c r="R6173" i="1" s="1"/>
  <c r="S6173" i="1" a="1"/>
  <c r="S6173" i="1" s="1"/>
  <c r="K6173" i="1" a="1"/>
  <c r="K6173" i="1" s="1"/>
  <c r="M6173" i="1" a="1"/>
  <c r="M6173" i="1" s="1"/>
  <c r="A6175" i="1"/>
  <c r="A3565" i="1"/>
  <c r="I3564" i="1" a="1"/>
  <c r="I3564" i="1" s="1"/>
  <c r="H3564" i="1"/>
  <c r="I4461" i="1" a="1"/>
  <c r="I4461" i="1" s="1"/>
  <c r="K4461" i="1" a="1"/>
  <c r="K4461" i="1" s="1"/>
  <c r="H4461" i="1"/>
  <c r="O6173" i="1" l="1" a="1"/>
  <c r="O6173" i="1" s="1"/>
  <c r="C6174" i="1"/>
  <c r="O6174" i="1" s="1" a="1"/>
  <c r="O6174" i="1" s="1"/>
  <c r="H6173" i="1"/>
  <c r="A6176" i="1"/>
  <c r="B6175" i="1"/>
  <c r="M6174" i="1" a="1"/>
  <c r="M6174" i="1" s="1"/>
  <c r="I6174" i="1" a="1"/>
  <c r="I6174" i="1" s="1"/>
  <c r="R6174" i="1" a="1"/>
  <c r="R6174" i="1" s="1"/>
  <c r="L6174" i="1" a="1"/>
  <c r="L6174" i="1" s="1"/>
  <c r="S6174" i="1" a="1"/>
  <c r="S6174" i="1" s="1"/>
  <c r="N6174" i="1" a="1"/>
  <c r="N6174" i="1" s="1"/>
  <c r="J6174" i="1" a="1"/>
  <c r="J6174" i="1" s="1"/>
  <c r="K6174" i="1" a="1"/>
  <c r="K6174" i="1" s="1"/>
  <c r="P6174" i="1" a="1"/>
  <c r="P6174" i="1" s="1"/>
  <c r="Q6174" i="1" a="1"/>
  <c r="Q6174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C6175" i="1" l="1"/>
  <c r="L6175" i="1" s="1" a="1"/>
  <c r="L6175" i="1" s="1"/>
  <c r="H6174" i="1"/>
  <c r="R6175" i="1" a="1"/>
  <c r="R6175" i="1" s="1"/>
  <c r="N6175" i="1" a="1"/>
  <c r="N6175" i="1" s="1"/>
  <c r="S6175" i="1" a="1"/>
  <c r="S6175" i="1" s="1"/>
  <c r="M6175" i="1" a="1"/>
  <c r="M6175" i="1" s="1"/>
  <c r="B6176" i="1"/>
  <c r="J6175" i="1" a="1"/>
  <c r="J6175" i="1" s="1"/>
  <c r="K6175" i="1" a="1"/>
  <c r="K6175" i="1" s="1"/>
  <c r="P6175" i="1" a="1"/>
  <c r="P6175" i="1" s="1"/>
  <c r="Q6175" i="1" a="1"/>
  <c r="Q6175" i="1" s="1"/>
  <c r="A617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6175" i="1" l="1" a="1"/>
  <c r="I6175" i="1" s="1"/>
  <c r="O6175" i="1" a="1"/>
  <c r="O6175" i="1" s="1"/>
  <c r="C6176" i="1"/>
  <c r="O6176" i="1" s="1" a="1"/>
  <c r="O6176" i="1" s="1"/>
  <c r="H6175" i="1"/>
  <c r="N6176" i="1" a="1"/>
  <c r="N6176" i="1" s="1"/>
  <c r="S6176" i="1" a="1"/>
  <c r="S6176" i="1" s="1"/>
  <c r="J6176" i="1" a="1"/>
  <c r="J6176" i="1" s="1"/>
  <c r="Q6176" i="1" a="1"/>
  <c r="Q6176" i="1" s="1"/>
  <c r="L6176" i="1" a="1"/>
  <c r="L6176" i="1" s="1"/>
  <c r="R6176" i="1" a="1"/>
  <c r="R6176" i="1" s="1"/>
  <c r="M6176" i="1" a="1"/>
  <c r="M6176" i="1" s="1"/>
  <c r="B6177" i="1"/>
  <c r="K6176" i="1" a="1"/>
  <c r="K6176" i="1" s="1"/>
  <c r="P6176" i="1" a="1"/>
  <c r="P6176" i="1" s="1"/>
  <c r="A6178" i="1"/>
  <c r="A3568" i="1"/>
  <c r="I3567" i="1" a="1"/>
  <c r="I3567" i="1" s="1"/>
  <c r="H3567" i="1"/>
  <c r="I4464" i="1" a="1"/>
  <c r="I4464" i="1" s="1"/>
  <c r="K4464" i="1" a="1"/>
  <c r="K4464" i="1" s="1"/>
  <c r="H4464" i="1"/>
  <c r="I6176" i="1" l="1" a="1"/>
  <c r="I6176" i="1" s="1"/>
  <c r="C6177" i="1"/>
  <c r="K6177" i="1" s="1" a="1"/>
  <c r="K6177" i="1" s="1"/>
  <c r="H6176" i="1"/>
  <c r="A6179" i="1"/>
  <c r="O6177" i="1" a="1"/>
  <c r="O6177" i="1" s="1"/>
  <c r="J6177" i="1" a="1"/>
  <c r="J6177" i="1" s="1"/>
  <c r="Q6177" i="1" a="1"/>
  <c r="Q6177" i="1" s="1"/>
  <c r="L6177" i="1" a="1"/>
  <c r="L6177" i="1" s="1"/>
  <c r="R6177" i="1" a="1"/>
  <c r="R6177" i="1" s="1"/>
  <c r="M6177" i="1" a="1"/>
  <c r="M6177" i="1" s="1"/>
  <c r="S6177" i="1" a="1"/>
  <c r="S6177" i="1" s="1"/>
  <c r="N6177" i="1" a="1"/>
  <c r="N6177" i="1" s="1"/>
  <c r="P6177" i="1" a="1"/>
  <c r="P6177" i="1" s="1"/>
  <c r="B6178" i="1"/>
  <c r="I6177" i="1" a="1"/>
  <c r="I6177" i="1" s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C6178" i="1" l="1"/>
  <c r="K6178" i="1" s="1" a="1"/>
  <c r="K6178" i="1" s="1"/>
  <c r="H6177" i="1"/>
  <c r="B6179" i="1"/>
  <c r="P6178" i="1" a="1"/>
  <c r="P6178" i="1" s="1"/>
  <c r="J6178" i="1" a="1"/>
  <c r="J6178" i="1" s="1"/>
  <c r="Q6178" i="1" a="1"/>
  <c r="Q6178" i="1" s="1"/>
  <c r="R6178" i="1" a="1"/>
  <c r="R6178" i="1" s="1"/>
  <c r="M6178" i="1" a="1"/>
  <c r="M6178" i="1" s="1"/>
  <c r="S6178" i="1" a="1"/>
  <c r="S6178" i="1" s="1"/>
  <c r="N6178" i="1" a="1"/>
  <c r="N6178" i="1" s="1"/>
  <c r="A6180" i="1"/>
  <c r="A3570" i="1"/>
  <c r="I3569" i="1" a="1"/>
  <c r="I3569" i="1" s="1"/>
  <c r="H3569" i="1"/>
  <c r="I4466" i="1" a="1"/>
  <c r="I4466" i="1" s="1"/>
  <c r="K4466" i="1" a="1"/>
  <c r="K4466" i="1" s="1"/>
  <c r="H4466" i="1"/>
  <c r="I6178" i="1" l="1" a="1"/>
  <c r="I6178" i="1" s="1"/>
  <c r="O6178" i="1" a="1"/>
  <c r="O6178" i="1" s="1"/>
  <c r="L6178" i="1" a="1"/>
  <c r="L6178" i="1" s="1"/>
  <c r="C6179" i="1"/>
  <c r="L6179" i="1" s="1" a="1"/>
  <c r="L6179" i="1" s="1"/>
  <c r="H6178" i="1"/>
  <c r="A6181" i="1"/>
  <c r="Q6179" i="1" a="1"/>
  <c r="Q6179" i="1" s="1"/>
  <c r="I6179" i="1" a="1"/>
  <c r="I6179" i="1" s="1"/>
  <c r="B6180" i="1"/>
  <c r="J6179" i="1" a="1"/>
  <c r="J6179" i="1" s="1"/>
  <c r="P6179" i="1" a="1"/>
  <c r="P6179" i="1" s="1"/>
  <c r="K6179" i="1" a="1"/>
  <c r="K6179" i="1" s="1"/>
  <c r="R6179" i="1" a="1"/>
  <c r="R6179" i="1" s="1"/>
  <c r="S6179" i="1" a="1"/>
  <c r="S6179" i="1" s="1"/>
  <c r="M6179" i="1" a="1"/>
  <c r="M6179" i="1" s="1"/>
  <c r="N6179" i="1" a="1"/>
  <c r="N6179" i="1" s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O6179" i="1" l="1" a="1"/>
  <c r="O6179" i="1" s="1"/>
  <c r="C6180" i="1"/>
  <c r="O6180" i="1" s="1" a="1"/>
  <c r="O6180" i="1" s="1"/>
  <c r="H6179" i="1"/>
  <c r="Q6180" i="1" a="1"/>
  <c r="Q6180" i="1" s="1"/>
  <c r="M6180" i="1" a="1"/>
  <c r="M6180" i="1" s="1"/>
  <c r="N6180" i="1" a="1"/>
  <c r="N6180" i="1" s="1"/>
  <c r="I6180" i="1" a="1"/>
  <c r="I6180" i="1" s="1"/>
  <c r="B6181" i="1"/>
  <c r="J6180" i="1" a="1"/>
  <c r="J6180" i="1" s="1"/>
  <c r="P6180" i="1" a="1"/>
  <c r="P6180" i="1" s="1"/>
  <c r="K6180" i="1" a="1"/>
  <c r="K6180" i="1" s="1"/>
  <c r="R6180" i="1" a="1"/>
  <c r="R6180" i="1" s="1"/>
  <c r="S6180" i="1" a="1"/>
  <c r="S6180" i="1" s="1"/>
  <c r="A6182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L6180" i="1" l="1" a="1"/>
  <c r="L6180" i="1" s="1"/>
  <c r="C6181" i="1"/>
  <c r="I6181" i="1" s="1" a="1"/>
  <c r="I6181" i="1" s="1"/>
  <c r="H6180" i="1"/>
  <c r="M6181" i="1" a="1"/>
  <c r="M6181" i="1" s="1"/>
  <c r="R6181" i="1" a="1"/>
  <c r="R6181" i="1" s="1"/>
  <c r="N6181" i="1" a="1"/>
  <c r="N6181" i="1" s="1"/>
  <c r="O6181" i="1" a="1"/>
  <c r="O6181" i="1" s="1"/>
  <c r="B6182" i="1"/>
  <c r="J6181" i="1" a="1"/>
  <c r="J6181" i="1" s="1"/>
  <c r="P6181" i="1" a="1"/>
  <c r="P6181" i="1" s="1"/>
  <c r="K6181" i="1" a="1"/>
  <c r="K6181" i="1" s="1"/>
  <c r="L6181" i="1" a="1"/>
  <c r="L6181" i="1" s="1"/>
  <c r="Q6181" i="1" a="1"/>
  <c r="Q6181" i="1" s="1"/>
  <c r="S6181" i="1" a="1"/>
  <c r="S6181" i="1" s="1"/>
  <c r="A6183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C6182" i="1" l="1"/>
  <c r="O6182" i="1" s="1" a="1"/>
  <c r="O6182" i="1" s="1"/>
  <c r="H6181" i="1"/>
  <c r="A6184" i="1"/>
  <c r="B6183" i="1"/>
  <c r="N6182" i="1" a="1"/>
  <c r="N6182" i="1" s="1"/>
  <c r="J6182" i="1" a="1"/>
  <c r="J6182" i="1" s="1"/>
  <c r="S6182" i="1" a="1"/>
  <c r="S6182" i="1" s="1"/>
  <c r="L6182" i="1" a="1"/>
  <c r="L6182" i="1" s="1"/>
  <c r="R6182" i="1" a="1"/>
  <c r="R6182" i="1" s="1"/>
  <c r="M6182" i="1" a="1"/>
  <c r="M6182" i="1" s="1"/>
  <c r="P6182" i="1" a="1"/>
  <c r="P6182" i="1" s="1"/>
  <c r="Q6182" i="1" a="1"/>
  <c r="Q6182" i="1" s="1"/>
  <c r="K6182" i="1" a="1"/>
  <c r="K6182" i="1" s="1"/>
  <c r="I4470" i="1" a="1"/>
  <c r="I4470" i="1" s="1"/>
  <c r="K4470" i="1" a="1"/>
  <c r="K4470" i="1" s="1"/>
  <c r="H4470" i="1"/>
  <c r="O4470" i="1" a="1"/>
  <c r="O4470" i="1" s="1"/>
  <c r="I6182" i="1" l="1" a="1"/>
  <c r="I6182" i="1" s="1"/>
  <c r="C6183" i="1"/>
  <c r="L6183" i="1" s="1" a="1"/>
  <c r="L6183" i="1" s="1"/>
  <c r="H6182" i="1"/>
  <c r="J6183" i="1" a="1"/>
  <c r="J6183" i="1" s="1"/>
  <c r="S6183" i="1" a="1"/>
  <c r="S6183" i="1" s="1"/>
  <c r="R6183" i="1" a="1"/>
  <c r="R6183" i="1" s="1"/>
  <c r="M6183" i="1" a="1"/>
  <c r="M6183" i="1" s="1"/>
  <c r="B6184" i="1"/>
  <c r="N6183" i="1" a="1"/>
  <c r="N6183" i="1" s="1"/>
  <c r="Q6183" i="1" a="1"/>
  <c r="Q6183" i="1" s="1"/>
  <c r="K6183" i="1" a="1"/>
  <c r="K6183" i="1" s="1"/>
  <c r="P6183" i="1" a="1"/>
  <c r="P6183" i="1" s="1"/>
  <c r="A6185" i="1"/>
  <c r="I4471" i="1" a="1"/>
  <c r="I4471" i="1" s="1"/>
  <c r="K4471" i="1" a="1"/>
  <c r="K4471" i="1" s="1"/>
  <c r="C4472" i="1"/>
  <c r="H4471" i="1"/>
  <c r="O4471" i="1" a="1"/>
  <c r="O4471" i="1" s="1"/>
  <c r="I6183" i="1" l="1" a="1"/>
  <c r="I6183" i="1" s="1"/>
  <c r="O6183" i="1" a="1"/>
  <c r="O6183" i="1" s="1"/>
  <c r="C6184" i="1"/>
  <c r="O6184" i="1" s="1" a="1"/>
  <c r="O6184" i="1" s="1"/>
  <c r="H6183" i="1"/>
  <c r="K6184" i="1" a="1"/>
  <c r="K6184" i="1" s="1"/>
  <c r="P6184" i="1" a="1"/>
  <c r="P6184" i="1" s="1"/>
  <c r="B6185" i="1"/>
  <c r="J6184" i="1" a="1"/>
  <c r="J6184" i="1" s="1"/>
  <c r="Q6184" i="1" a="1"/>
  <c r="Q6184" i="1" s="1"/>
  <c r="R6184" i="1" a="1"/>
  <c r="R6184" i="1" s="1"/>
  <c r="M6184" i="1" a="1"/>
  <c r="M6184" i="1" s="1"/>
  <c r="S6184" i="1" a="1"/>
  <c r="S6184" i="1" s="1"/>
  <c r="I6184" i="1" a="1"/>
  <c r="I6184" i="1" s="1"/>
  <c r="N6184" i="1" a="1"/>
  <c r="N6184" i="1" s="1"/>
  <c r="A6186" i="1"/>
  <c r="L4474" i="1" a="1"/>
  <c r="L4474" i="1" s="1"/>
  <c r="I4472" i="1" a="1"/>
  <c r="I4472" i="1" s="1"/>
  <c r="K4472" i="1" a="1"/>
  <c r="K4472" i="1" s="1"/>
  <c r="H4472" i="1"/>
  <c r="O4472" i="1" a="1"/>
  <c r="O4472" i="1" s="1"/>
  <c r="L6184" i="1" l="1" a="1"/>
  <c r="L6184" i="1" s="1"/>
  <c r="C6185" i="1"/>
  <c r="L6185" i="1" s="1" a="1"/>
  <c r="L6185" i="1" s="1"/>
  <c r="H6184" i="1"/>
  <c r="A6187" i="1"/>
  <c r="P6185" i="1" a="1"/>
  <c r="P6185" i="1" s="1"/>
  <c r="B6186" i="1"/>
  <c r="J6185" i="1" a="1"/>
  <c r="J6185" i="1" s="1"/>
  <c r="Q6185" i="1" a="1"/>
  <c r="Q6185" i="1" s="1"/>
  <c r="K6185" i="1" a="1"/>
  <c r="K6185" i="1" s="1"/>
  <c r="R6185" i="1" a="1"/>
  <c r="R6185" i="1" s="1"/>
  <c r="M6185" i="1" a="1"/>
  <c r="M6185" i="1" s="1"/>
  <c r="S6185" i="1" a="1"/>
  <c r="S6185" i="1" s="1"/>
  <c r="I6185" i="1" a="1"/>
  <c r="I6185" i="1" s="1"/>
  <c r="N6185" i="1" a="1"/>
  <c r="N6185" i="1" s="1"/>
  <c r="O6185" i="1" a="1"/>
  <c r="O6185" i="1" s="1"/>
  <c r="I4473" i="1" a="1"/>
  <c r="I4473" i="1" s="1"/>
  <c r="K4473" i="1" a="1"/>
  <c r="K4473" i="1" s="1"/>
  <c r="H4473" i="1"/>
  <c r="O4473" i="1" a="1"/>
  <c r="O4473" i="1" s="1"/>
  <c r="C6186" i="1" l="1"/>
  <c r="L6186" i="1" s="1" a="1"/>
  <c r="L6186" i="1" s="1"/>
  <c r="H6185" i="1"/>
  <c r="Q6186" i="1" a="1"/>
  <c r="Q6186" i="1" s="1"/>
  <c r="I6186" i="1" a="1"/>
  <c r="I6186" i="1" s="1"/>
  <c r="N6186" i="1" a="1"/>
  <c r="N6186" i="1" s="1"/>
  <c r="S6186" i="1" a="1"/>
  <c r="S6186" i="1" s="1"/>
  <c r="J6186" i="1" a="1"/>
  <c r="J6186" i="1" s="1"/>
  <c r="B6187" i="1"/>
  <c r="K6186" i="1" a="1"/>
  <c r="K6186" i="1" s="1"/>
  <c r="P6186" i="1" a="1"/>
  <c r="P6186" i="1" s="1"/>
  <c r="M6186" i="1" a="1"/>
  <c r="M6186" i="1" s="1"/>
  <c r="R6186" i="1" a="1"/>
  <c r="R6186" i="1" s="1"/>
  <c r="A6188" i="1"/>
  <c r="I4474" i="1" a="1"/>
  <c r="I4474" i="1" s="1"/>
  <c r="K4474" i="1" a="1"/>
  <c r="K4474" i="1" s="1"/>
  <c r="C4475" i="1"/>
  <c r="H4474" i="1"/>
  <c r="O4474" i="1" a="1"/>
  <c r="O4474" i="1" s="1"/>
  <c r="O6186" i="1" l="1" a="1"/>
  <c r="O6186" i="1" s="1"/>
  <c r="C6187" i="1"/>
  <c r="J6187" i="1" s="1" a="1"/>
  <c r="J6187" i="1" s="1"/>
  <c r="H6186" i="1"/>
  <c r="P6187" i="1" a="1"/>
  <c r="P6187" i="1" s="1"/>
  <c r="O6187" i="1" a="1"/>
  <c r="O6187" i="1" s="1"/>
  <c r="K6187" i="1" a="1"/>
  <c r="K6187" i="1" s="1"/>
  <c r="B6188" i="1"/>
  <c r="Q6187" i="1" a="1"/>
  <c r="Q6187" i="1" s="1"/>
  <c r="M6187" i="1" a="1"/>
  <c r="M6187" i="1" s="1"/>
  <c r="N6187" i="1" a="1"/>
  <c r="N6187" i="1" s="1"/>
  <c r="R6187" i="1" a="1"/>
  <c r="R6187" i="1" s="1"/>
  <c r="S6187" i="1" a="1"/>
  <c r="S6187" i="1" s="1"/>
  <c r="A6189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6187" i="1" l="1" a="1"/>
  <c r="I6187" i="1" s="1"/>
  <c r="L6187" i="1" a="1"/>
  <c r="L6187" i="1" s="1"/>
  <c r="C6188" i="1"/>
  <c r="L6188" i="1" s="1" a="1"/>
  <c r="L6188" i="1" s="1"/>
  <c r="H6187" i="1"/>
  <c r="K6188" i="1" a="1"/>
  <c r="K6188" i="1" s="1"/>
  <c r="S6188" i="1" a="1"/>
  <c r="S6188" i="1" s="1"/>
  <c r="P6188" i="1" a="1"/>
  <c r="P6188" i="1" s="1"/>
  <c r="B6189" i="1"/>
  <c r="Q6188" i="1" a="1"/>
  <c r="Q6188" i="1" s="1"/>
  <c r="M6188" i="1" a="1"/>
  <c r="M6188" i="1" s="1"/>
  <c r="I6188" i="1" a="1"/>
  <c r="I6188" i="1" s="1"/>
  <c r="R6188" i="1" a="1"/>
  <c r="R6188" i="1" s="1"/>
  <c r="J6188" i="1" a="1"/>
  <c r="J6188" i="1" s="1"/>
  <c r="N6188" i="1" a="1"/>
  <c r="N6188" i="1" s="1"/>
  <c r="A6190" i="1"/>
  <c r="I4476" i="1" a="1"/>
  <c r="I4476" i="1" s="1"/>
  <c r="K4476" i="1" a="1"/>
  <c r="K4476" i="1" s="1"/>
  <c r="L4477" i="1" a="1"/>
  <c r="L4477" i="1" s="1"/>
  <c r="H4476" i="1"/>
  <c r="O4476" i="1" a="1"/>
  <c r="O4476" i="1" s="1"/>
  <c r="O6188" i="1" l="1" a="1"/>
  <c r="O6188" i="1" s="1"/>
  <c r="C6189" i="1"/>
  <c r="J6189" i="1" s="1" a="1"/>
  <c r="J6189" i="1" s="1"/>
  <c r="H6188" i="1"/>
  <c r="A6191" i="1"/>
  <c r="N6189" i="1" a="1"/>
  <c r="N6189" i="1" s="1"/>
  <c r="R6189" i="1" a="1"/>
  <c r="R6189" i="1" s="1"/>
  <c r="Q6189" i="1" a="1"/>
  <c r="Q6189" i="1" s="1"/>
  <c r="M6189" i="1" a="1"/>
  <c r="M6189" i="1" s="1"/>
  <c r="S6189" i="1" a="1"/>
  <c r="S6189" i="1" s="1"/>
  <c r="B6190" i="1"/>
  <c r="P6189" i="1" a="1"/>
  <c r="P6189" i="1" s="1"/>
  <c r="I4477" i="1" a="1"/>
  <c r="I4477" i="1" s="1"/>
  <c r="K4477" i="1" a="1"/>
  <c r="K4477" i="1" s="1"/>
  <c r="C4478" i="1"/>
  <c r="H4477" i="1"/>
  <c r="O4477" i="1" a="1"/>
  <c r="O4477" i="1" s="1"/>
  <c r="I6189" i="1" l="1" a="1"/>
  <c r="I6189" i="1" s="1"/>
  <c r="L6189" i="1" a="1"/>
  <c r="L6189" i="1" s="1"/>
  <c r="O6189" i="1" a="1"/>
  <c r="O6189" i="1" s="1"/>
  <c r="K6189" i="1" a="1"/>
  <c r="K6189" i="1" s="1"/>
  <c r="C6190" i="1"/>
  <c r="O6190" i="1" s="1" a="1"/>
  <c r="O6190" i="1" s="1"/>
  <c r="H6189" i="1"/>
  <c r="A6192" i="1"/>
  <c r="I6190" i="1" a="1"/>
  <c r="I6190" i="1" s="1"/>
  <c r="M6190" i="1" a="1"/>
  <c r="M6190" i="1" s="1"/>
  <c r="Q6190" i="1" a="1"/>
  <c r="Q6190" i="1" s="1"/>
  <c r="R6190" i="1" a="1"/>
  <c r="R6190" i="1" s="1"/>
  <c r="N6190" i="1" a="1"/>
  <c r="N6190" i="1" s="1"/>
  <c r="J6190" i="1" a="1"/>
  <c r="J6190" i="1" s="1"/>
  <c r="S6190" i="1" a="1"/>
  <c r="S6190" i="1" s="1"/>
  <c r="B6191" i="1"/>
  <c r="K6190" i="1" a="1"/>
  <c r="K6190" i="1" s="1"/>
  <c r="L6190" i="1" a="1"/>
  <c r="L6190" i="1" s="1"/>
  <c r="P6190" i="1" a="1"/>
  <c r="P6190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C6191" i="1" l="1"/>
  <c r="L6191" i="1" s="1" a="1"/>
  <c r="L6191" i="1" s="1"/>
  <c r="H6190" i="1"/>
  <c r="P6191" i="1" a="1"/>
  <c r="P6191" i="1" s="1"/>
  <c r="I6191" i="1" a="1"/>
  <c r="I6191" i="1" s="1"/>
  <c r="R6191" i="1" a="1"/>
  <c r="R6191" i="1" s="1"/>
  <c r="N6191" i="1" a="1"/>
  <c r="N6191" i="1" s="1"/>
  <c r="J6191" i="1" a="1"/>
  <c r="J6191" i="1" s="1"/>
  <c r="S6191" i="1" a="1"/>
  <c r="S6191" i="1" s="1"/>
  <c r="O6191" i="1" a="1"/>
  <c r="O6191" i="1" s="1"/>
  <c r="K6191" i="1" a="1"/>
  <c r="K6191" i="1" s="1"/>
  <c r="B6192" i="1"/>
  <c r="M6191" i="1" a="1"/>
  <c r="M6191" i="1" s="1"/>
  <c r="Q6191" i="1" a="1"/>
  <c r="Q6191" i="1" s="1"/>
  <c r="A6193" i="1"/>
  <c r="I4479" i="1" a="1"/>
  <c r="I4479" i="1" s="1"/>
  <c r="K4479" i="1" a="1"/>
  <c r="K4479" i="1" s="1"/>
  <c r="L4480" i="1" a="1"/>
  <c r="L4480" i="1" s="1"/>
  <c r="H4479" i="1"/>
  <c r="O4479" i="1" a="1"/>
  <c r="O4479" i="1" s="1"/>
  <c r="C6192" i="1" l="1"/>
  <c r="K6192" i="1" s="1" a="1"/>
  <c r="K6192" i="1" s="1"/>
  <c r="H6191" i="1"/>
  <c r="A6194" i="1"/>
  <c r="O6192" i="1" a="1"/>
  <c r="O6192" i="1" s="1"/>
  <c r="S6192" i="1" a="1"/>
  <c r="S6192" i="1" s="1"/>
  <c r="N6192" i="1" a="1"/>
  <c r="N6192" i="1" s="1"/>
  <c r="P6192" i="1" a="1"/>
  <c r="P6192" i="1" s="1"/>
  <c r="B6193" i="1"/>
  <c r="R6192" i="1" a="1"/>
  <c r="R6192" i="1" s="1"/>
  <c r="M6192" i="1" a="1"/>
  <c r="M6192" i="1" s="1"/>
  <c r="Q6192" i="1" a="1"/>
  <c r="Q6192" i="1" s="1"/>
  <c r="I4480" i="1" a="1"/>
  <c r="I4480" i="1" s="1"/>
  <c r="K4480" i="1" a="1"/>
  <c r="K4480" i="1" s="1"/>
  <c r="L4481" i="1" a="1"/>
  <c r="L4481" i="1" s="1"/>
  <c r="H4480" i="1"/>
  <c r="O4480" i="1" a="1"/>
  <c r="O4480" i="1" s="1"/>
  <c r="I6192" i="1" l="1" a="1"/>
  <c r="I6192" i="1" s="1"/>
  <c r="J6192" i="1" a="1"/>
  <c r="J6192" i="1" s="1"/>
  <c r="L6192" i="1" a="1"/>
  <c r="L6192" i="1" s="1"/>
  <c r="C6193" i="1"/>
  <c r="J6193" i="1" s="1" a="1"/>
  <c r="J6193" i="1" s="1"/>
  <c r="H6192" i="1"/>
  <c r="N6193" i="1" a="1"/>
  <c r="N6193" i="1" s="1"/>
  <c r="R6193" i="1" a="1"/>
  <c r="R6193" i="1" s="1"/>
  <c r="K6193" i="1" a="1"/>
  <c r="K6193" i="1" s="1"/>
  <c r="P6193" i="1" a="1"/>
  <c r="P6193" i="1" s="1"/>
  <c r="B6194" i="1"/>
  <c r="Q6193" i="1" a="1"/>
  <c r="Q6193" i="1" s="1"/>
  <c r="S6193" i="1" a="1"/>
  <c r="S6193" i="1" s="1"/>
  <c r="M6193" i="1" a="1"/>
  <c r="M6193" i="1" s="1"/>
  <c r="A6195" i="1"/>
  <c r="I4481" i="1" a="1"/>
  <c r="I4481" i="1" s="1"/>
  <c r="K4481" i="1" a="1"/>
  <c r="K4481" i="1" s="1"/>
  <c r="C4482" i="1"/>
  <c r="H4481" i="1"/>
  <c r="O4481" i="1" a="1"/>
  <c r="O4481" i="1" s="1"/>
  <c r="I6193" i="1" l="1" a="1"/>
  <c r="I6193" i="1" s="1"/>
  <c r="O6193" i="1" a="1"/>
  <c r="O6193" i="1" s="1"/>
  <c r="L6193" i="1" a="1"/>
  <c r="L6193" i="1" s="1"/>
  <c r="C6194" i="1"/>
  <c r="H6193" i="1"/>
  <c r="I6194" i="1" a="1"/>
  <c r="I6194" i="1" s="1"/>
  <c r="M6194" i="1" a="1"/>
  <c r="M6194" i="1" s="1"/>
  <c r="Q6194" i="1" a="1"/>
  <c r="Q6194" i="1" s="1"/>
  <c r="K6194" i="1" a="1"/>
  <c r="K6194" i="1" s="1"/>
  <c r="P6194" i="1" a="1"/>
  <c r="P6194" i="1" s="1"/>
  <c r="B6195" i="1"/>
  <c r="L6194" i="1" a="1"/>
  <c r="L6194" i="1" s="1"/>
  <c r="R6194" i="1" a="1"/>
  <c r="R6194" i="1" s="1"/>
  <c r="O6194" i="1" a="1"/>
  <c r="O6194" i="1" s="1"/>
  <c r="S6194" i="1" a="1"/>
  <c r="S6194" i="1" s="1"/>
  <c r="J6194" i="1" a="1"/>
  <c r="J6194" i="1" s="1"/>
  <c r="N6194" i="1" a="1"/>
  <c r="N6194" i="1" s="1"/>
  <c r="A6196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C6195" i="1" l="1"/>
  <c r="O6195" i="1" s="1" a="1"/>
  <c r="O6195" i="1" s="1"/>
  <c r="H6194" i="1"/>
  <c r="P6195" i="1" a="1"/>
  <c r="P6195" i="1" s="1"/>
  <c r="Q6195" i="1" a="1"/>
  <c r="Q6195" i="1" s="1"/>
  <c r="M6195" i="1" a="1"/>
  <c r="M6195" i="1" s="1"/>
  <c r="I6195" i="1" a="1"/>
  <c r="I6195" i="1" s="1"/>
  <c r="R6195" i="1" a="1"/>
  <c r="R6195" i="1" s="1"/>
  <c r="N6195" i="1" a="1"/>
  <c r="N6195" i="1" s="1"/>
  <c r="S6195" i="1" a="1"/>
  <c r="S6195" i="1" s="1"/>
  <c r="J6195" i="1" a="1"/>
  <c r="J6195" i="1" s="1"/>
  <c r="B6196" i="1"/>
  <c r="K6195" i="1" a="1"/>
  <c r="K6195" i="1" s="1"/>
  <c r="A6197" i="1"/>
  <c r="I4483" i="1" a="1"/>
  <c r="I4483" i="1" s="1"/>
  <c r="K4483" i="1" a="1"/>
  <c r="K4483" i="1" s="1"/>
  <c r="L4484" i="1" a="1"/>
  <c r="L4484" i="1" s="1"/>
  <c r="H4483" i="1"/>
  <c r="O4483" i="1" a="1"/>
  <c r="O4483" i="1" s="1"/>
  <c r="L6195" i="1" l="1" a="1"/>
  <c r="L6195" i="1" s="1"/>
  <c r="C6196" i="1"/>
  <c r="I6196" i="1" s="1" a="1"/>
  <c r="I6196" i="1" s="1"/>
  <c r="H6195" i="1"/>
  <c r="A6198" i="1"/>
  <c r="K6196" i="1" a="1"/>
  <c r="K6196" i="1" s="1"/>
  <c r="O6196" i="1" a="1"/>
  <c r="O6196" i="1" s="1"/>
  <c r="S6196" i="1" a="1"/>
  <c r="S6196" i="1" s="1"/>
  <c r="Q6196" i="1" a="1"/>
  <c r="Q6196" i="1" s="1"/>
  <c r="M6196" i="1" a="1"/>
  <c r="M6196" i="1" s="1"/>
  <c r="R6196" i="1" a="1"/>
  <c r="R6196" i="1" s="1"/>
  <c r="N6196" i="1" a="1"/>
  <c r="N6196" i="1" s="1"/>
  <c r="J6196" i="1" a="1"/>
  <c r="J6196" i="1" s="1"/>
  <c r="P6196" i="1" a="1"/>
  <c r="P6196" i="1" s="1"/>
  <c r="B6197" i="1"/>
  <c r="L6196" i="1" a="1"/>
  <c r="L6196" i="1" s="1"/>
  <c r="I4484" i="1" a="1"/>
  <c r="I4484" i="1" s="1"/>
  <c r="K4484" i="1" a="1"/>
  <c r="K4484" i="1" s="1"/>
  <c r="C4485" i="1"/>
  <c r="H4484" i="1"/>
  <c r="O4484" i="1" a="1"/>
  <c r="O4484" i="1" s="1"/>
  <c r="C6197" i="1" l="1"/>
  <c r="J6197" i="1" s="1" a="1"/>
  <c r="J6197" i="1" s="1"/>
  <c r="H6196" i="1"/>
  <c r="N6197" i="1" a="1"/>
  <c r="N6197" i="1" s="1"/>
  <c r="R6197" i="1" a="1"/>
  <c r="R6197" i="1" s="1"/>
  <c r="M6197" i="1" a="1"/>
  <c r="M6197" i="1" s="1"/>
  <c r="I6197" i="1" a="1"/>
  <c r="I6197" i="1" s="1"/>
  <c r="S6197" i="1" a="1"/>
  <c r="S6197" i="1" s="1"/>
  <c r="K6197" i="1" a="1"/>
  <c r="K6197" i="1" s="1"/>
  <c r="P6197" i="1" a="1"/>
  <c r="P6197" i="1" s="1"/>
  <c r="Q6197" i="1" a="1"/>
  <c r="Q6197" i="1" s="1"/>
  <c r="B6198" i="1"/>
  <c r="L6197" i="1" a="1"/>
  <c r="L6197" i="1" s="1"/>
  <c r="A6199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O6197" i="1" l="1" a="1"/>
  <c r="O6197" i="1" s="1"/>
  <c r="C6198" i="1"/>
  <c r="K6198" i="1" s="1" a="1"/>
  <c r="K6198" i="1" s="1"/>
  <c r="H6197" i="1"/>
  <c r="A6200" i="1"/>
  <c r="I6198" i="1" a="1"/>
  <c r="I6198" i="1" s="1"/>
  <c r="M6198" i="1" a="1"/>
  <c r="M6198" i="1" s="1"/>
  <c r="Q6198" i="1" a="1"/>
  <c r="Q6198" i="1" s="1"/>
  <c r="N6198" i="1" a="1"/>
  <c r="N6198" i="1" s="1"/>
  <c r="J6198" i="1" a="1"/>
  <c r="J6198" i="1" s="1"/>
  <c r="S6198" i="1" a="1"/>
  <c r="S6198" i="1" s="1"/>
  <c r="P6198" i="1" a="1"/>
  <c r="P6198" i="1" s="1"/>
  <c r="B6199" i="1"/>
  <c r="R6198" i="1" a="1"/>
  <c r="R6198" i="1" s="1"/>
  <c r="L6198" i="1" a="1"/>
  <c r="L6198" i="1" s="1"/>
  <c r="I4486" i="1" a="1"/>
  <c r="I4486" i="1" s="1"/>
  <c r="K4486" i="1" a="1"/>
  <c r="K4486" i="1" s="1"/>
  <c r="L4487" i="1" a="1"/>
  <c r="L4487" i="1" s="1"/>
  <c r="H4486" i="1"/>
  <c r="O4486" i="1" a="1"/>
  <c r="O4486" i="1" s="1"/>
  <c r="O6198" i="1" l="1" a="1"/>
  <c r="O6198" i="1" s="1"/>
  <c r="C6199" i="1"/>
  <c r="L6199" i="1" s="1" a="1"/>
  <c r="L6199" i="1" s="1"/>
  <c r="H6198" i="1"/>
  <c r="P6199" i="1" a="1"/>
  <c r="P6199" i="1" s="1"/>
  <c r="J6199" i="1" a="1"/>
  <c r="J6199" i="1" s="1"/>
  <c r="S6199" i="1" a="1"/>
  <c r="S6199" i="1" s="1"/>
  <c r="K6199" i="1" a="1"/>
  <c r="K6199" i="1" s="1"/>
  <c r="B6200" i="1"/>
  <c r="Q6199" i="1" a="1"/>
  <c r="Q6199" i="1" s="1"/>
  <c r="M6199" i="1" a="1"/>
  <c r="M6199" i="1" s="1"/>
  <c r="N6199" i="1" a="1"/>
  <c r="N6199" i="1" s="1"/>
  <c r="R6199" i="1" a="1"/>
  <c r="R6199" i="1" s="1"/>
  <c r="A6201" i="1"/>
  <c r="I4487" i="1" a="1"/>
  <c r="I4487" i="1" s="1"/>
  <c r="K4487" i="1" a="1"/>
  <c r="K4487" i="1" s="1"/>
  <c r="L4488" i="1" a="1"/>
  <c r="L4488" i="1" s="1"/>
  <c r="H4487" i="1"/>
  <c r="O4487" i="1" a="1"/>
  <c r="O4487" i="1" s="1"/>
  <c r="I6199" i="1" l="1" a="1"/>
  <c r="I6199" i="1" s="1"/>
  <c r="O6199" i="1" a="1"/>
  <c r="O6199" i="1" s="1"/>
  <c r="C6200" i="1"/>
  <c r="K6200" i="1" s="1" a="1"/>
  <c r="K6200" i="1" s="1"/>
  <c r="H6199" i="1"/>
  <c r="S6200" i="1" a="1"/>
  <c r="S6200" i="1" s="1"/>
  <c r="P6200" i="1" a="1"/>
  <c r="P6200" i="1" s="1"/>
  <c r="B6201" i="1"/>
  <c r="Q6200" i="1" a="1"/>
  <c r="Q6200" i="1" s="1"/>
  <c r="M6200" i="1" a="1"/>
  <c r="M6200" i="1" s="1"/>
  <c r="N6200" i="1" a="1"/>
  <c r="N6200" i="1" s="1"/>
  <c r="R6200" i="1" a="1"/>
  <c r="R6200" i="1" s="1"/>
  <c r="A6202" i="1"/>
  <c r="I4488" i="1" a="1"/>
  <c r="I4488" i="1" s="1"/>
  <c r="K4488" i="1" a="1"/>
  <c r="K4488" i="1" s="1"/>
  <c r="H4488" i="1"/>
  <c r="O4488" i="1" a="1"/>
  <c r="O4488" i="1" s="1"/>
  <c r="I6200" i="1" l="1" a="1"/>
  <c r="I6200" i="1" s="1"/>
  <c r="L6200" i="1" a="1"/>
  <c r="L6200" i="1" s="1"/>
  <c r="O6200" i="1" a="1"/>
  <c r="O6200" i="1" s="1"/>
  <c r="J6200" i="1" a="1"/>
  <c r="J6200" i="1" s="1"/>
  <c r="C6201" i="1"/>
  <c r="J6201" i="1" s="1" a="1"/>
  <c r="J6201" i="1" s="1"/>
  <c r="H6200" i="1"/>
  <c r="A6203" i="1"/>
  <c r="N6201" i="1" a="1"/>
  <c r="N6201" i="1" s="1"/>
  <c r="R6201" i="1" a="1"/>
  <c r="R6201" i="1" s="1"/>
  <c r="P6201" i="1" a="1"/>
  <c r="P6201" i="1" s="1"/>
  <c r="B6202" i="1"/>
  <c r="Q6201" i="1" a="1"/>
  <c r="Q6201" i="1" s="1"/>
  <c r="M6201" i="1" a="1"/>
  <c r="M6201" i="1" s="1"/>
  <c r="I6201" i="1" a="1"/>
  <c r="I6201" i="1" s="1"/>
  <c r="K6201" i="1" a="1"/>
  <c r="K6201" i="1" s="1"/>
  <c r="S6201" i="1" a="1"/>
  <c r="S6201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O6201" i="1" l="1" a="1"/>
  <c r="O6201" i="1" s="1"/>
  <c r="L6201" i="1" a="1"/>
  <c r="L6201" i="1" s="1"/>
  <c r="C6202" i="1"/>
  <c r="O6202" i="1" s="1" a="1"/>
  <c r="O6202" i="1" s="1"/>
  <c r="H6201" i="1"/>
  <c r="M6202" i="1" a="1"/>
  <c r="M6202" i="1" s="1"/>
  <c r="Q6202" i="1" a="1"/>
  <c r="Q6202" i="1" s="1"/>
  <c r="L6202" i="1" a="1"/>
  <c r="L6202" i="1" s="1"/>
  <c r="R6202" i="1" a="1"/>
  <c r="R6202" i="1" s="1"/>
  <c r="N6202" i="1" a="1"/>
  <c r="N6202" i="1" s="1"/>
  <c r="J6202" i="1" a="1"/>
  <c r="J6202" i="1" s="1"/>
  <c r="S6202" i="1" a="1"/>
  <c r="S6202" i="1" s="1"/>
  <c r="B6203" i="1"/>
  <c r="K6202" i="1" a="1"/>
  <c r="K6202" i="1" s="1"/>
  <c r="P6202" i="1" a="1"/>
  <c r="P6202" i="1" s="1"/>
  <c r="A6204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I6202" i="1" l="1" a="1"/>
  <c r="I6202" i="1" s="1"/>
  <c r="C6203" i="1"/>
  <c r="O6203" i="1" s="1" a="1"/>
  <c r="O6203" i="1" s="1"/>
  <c r="H6202" i="1"/>
  <c r="A6205" i="1"/>
  <c r="L6203" i="1" a="1"/>
  <c r="L6203" i="1" s="1"/>
  <c r="P6203" i="1" a="1"/>
  <c r="P6203" i="1" s="1"/>
  <c r="M6203" i="1" a="1"/>
  <c r="M6203" i="1" s="1"/>
  <c r="I6203" i="1" a="1"/>
  <c r="I6203" i="1" s="1"/>
  <c r="R6203" i="1" a="1"/>
  <c r="R6203" i="1" s="1"/>
  <c r="N6203" i="1" a="1"/>
  <c r="N6203" i="1" s="1"/>
  <c r="J6203" i="1" a="1"/>
  <c r="J6203" i="1" s="1"/>
  <c r="S6203" i="1" a="1"/>
  <c r="S6203" i="1" s="1"/>
  <c r="K6203" i="1" a="1"/>
  <c r="K6203" i="1" s="1"/>
  <c r="Q6203" i="1" a="1"/>
  <c r="Q6203" i="1" s="1"/>
  <c r="B6204" i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C6204" i="1" l="1"/>
  <c r="K6204" i="1" s="1" a="1"/>
  <c r="K6204" i="1" s="1"/>
  <c r="H6203" i="1"/>
  <c r="S6204" i="1" a="1"/>
  <c r="S6204" i="1" s="1"/>
  <c r="I6204" i="1" a="1"/>
  <c r="I6204" i="1" s="1"/>
  <c r="R6204" i="1" a="1"/>
  <c r="R6204" i="1" s="1"/>
  <c r="N6204" i="1" a="1"/>
  <c r="N6204" i="1" s="1"/>
  <c r="J6204" i="1" a="1"/>
  <c r="J6204" i="1" s="1"/>
  <c r="P6204" i="1" a="1"/>
  <c r="P6204" i="1" s="1"/>
  <c r="B6205" i="1"/>
  <c r="M6204" i="1" a="1"/>
  <c r="M6204" i="1" s="1"/>
  <c r="Q6204" i="1" a="1"/>
  <c r="Q6204" i="1" s="1"/>
  <c r="A620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6204" i="1" l="1" a="1"/>
  <c r="L6204" i="1" s="1"/>
  <c r="O6204" i="1" a="1"/>
  <c r="O6204" i="1" s="1"/>
  <c r="C6205" i="1"/>
  <c r="J6205" i="1" s="1" a="1"/>
  <c r="J6205" i="1" s="1"/>
  <c r="H6204" i="1"/>
  <c r="A6207" i="1"/>
  <c r="N6205" i="1" a="1"/>
  <c r="N6205" i="1" s="1"/>
  <c r="R6205" i="1" a="1"/>
  <c r="R6205" i="1" s="1"/>
  <c r="S6205" i="1" a="1"/>
  <c r="S6205" i="1" s="1"/>
  <c r="K6205" i="1" a="1"/>
  <c r="K6205" i="1" s="1"/>
  <c r="P6205" i="1" a="1"/>
  <c r="P6205" i="1" s="1"/>
  <c r="B6206" i="1"/>
  <c r="M6205" i="1" a="1"/>
  <c r="M6205" i="1" s="1"/>
  <c r="Q6205" i="1" a="1"/>
  <c r="Q6205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I6205" i="1" l="1" a="1"/>
  <c r="I6205" i="1" s="1"/>
  <c r="L6205" i="1" a="1"/>
  <c r="L6205" i="1" s="1"/>
  <c r="O6205" i="1" a="1"/>
  <c r="O6205" i="1" s="1"/>
  <c r="C6206" i="1"/>
  <c r="O6206" i="1" s="1" a="1"/>
  <c r="O6206" i="1" s="1"/>
  <c r="H6205" i="1"/>
  <c r="M6206" i="1" a="1"/>
  <c r="M6206" i="1" s="1"/>
  <c r="Q6206" i="1" a="1"/>
  <c r="Q6206" i="1" s="1"/>
  <c r="P6206" i="1" a="1"/>
  <c r="P6206" i="1" s="1"/>
  <c r="B6207" i="1"/>
  <c r="S6206" i="1" a="1"/>
  <c r="S6206" i="1" s="1"/>
  <c r="N6206" i="1" a="1"/>
  <c r="N6206" i="1" s="1"/>
  <c r="J6206" i="1" a="1"/>
  <c r="J6206" i="1" s="1"/>
  <c r="R6206" i="1" a="1"/>
  <c r="R6206" i="1" s="1"/>
  <c r="A6208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I6206" i="1" l="1" a="1"/>
  <c r="I6206" i="1" s="1"/>
  <c r="L6206" i="1" a="1"/>
  <c r="L6206" i="1" s="1"/>
  <c r="K6206" i="1" a="1"/>
  <c r="K6206" i="1" s="1"/>
  <c r="C6207" i="1"/>
  <c r="L6207" i="1" s="1" a="1"/>
  <c r="L6207" i="1" s="1"/>
  <c r="H6206" i="1"/>
  <c r="P6207" i="1" a="1"/>
  <c r="P6207" i="1" s="1"/>
  <c r="K6207" i="1" a="1"/>
  <c r="K6207" i="1" s="1"/>
  <c r="B6208" i="1"/>
  <c r="Q6207" i="1" a="1"/>
  <c r="Q6207" i="1" s="1"/>
  <c r="M6207" i="1" a="1"/>
  <c r="M6207" i="1" s="1"/>
  <c r="R6207" i="1" a="1"/>
  <c r="R6207" i="1" s="1"/>
  <c r="S6207" i="1" a="1"/>
  <c r="S6207" i="1" s="1"/>
  <c r="N6207" i="1" a="1"/>
  <c r="N6207" i="1" s="1"/>
  <c r="J6207" i="1" a="1"/>
  <c r="J6207" i="1" s="1"/>
  <c r="O6207" i="1" a="1"/>
  <c r="O6207" i="1" s="1"/>
  <c r="A6209" i="1"/>
  <c r="J4534" i="1" a="1"/>
  <c r="J4534" i="1" s="1"/>
  <c r="I6207" i="1" l="1" a="1"/>
  <c r="I6207" i="1" s="1"/>
  <c r="C6208" i="1"/>
  <c r="O6208" i="1" s="1" a="1"/>
  <c r="O6208" i="1" s="1"/>
  <c r="H6207" i="1"/>
  <c r="K6208" i="1" a="1"/>
  <c r="K6208" i="1" s="1"/>
  <c r="S6208" i="1" a="1"/>
  <c r="S6208" i="1" s="1"/>
  <c r="L6208" i="1" a="1"/>
  <c r="L6208" i="1" s="1"/>
  <c r="P6208" i="1" a="1"/>
  <c r="P6208" i="1" s="1"/>
  <c r="B6209" i="1"/>
  <c r="M6208" i="1" a="1"/>
  <c r="M6208" i="1" s="1"/>
  <c r="Q6208" i="1" a="1"/>
  <c r="Q6208" i="1" s="1"/>
  <c r="R6208" i="1" a="1"/>
  <c r="R6208" i="1" s="1"/>
  <c r="J6208" i="1" a="1"/>
  <c r="J6208" i="1" s="1"/>
  <c r="N6208" i="1" a="1"/>
  <c r="N6208" i="1" s="1"/>
  <c r="A6210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I6208" i="1" l="1" a="1"/>
  <c r="I6208" i="1" s="1"/>
  <c r="C6209" i="1"/>
  <c r="J6209" i="1" s="1" a="1"/>
  <c r="J6209" i="1" s="1"/>
  <c r="H6208" i="1"/>
  <c r="N6209" i="1" a="1"/>
  <c r="N6209" i="1" s="1"/>
  <c r="R6209" i="1" a="1"/>
  <c r="R6209" i="1" s="1"/>
  <c r="K6209" i="1" a="1"/>
  <c r="K6209" i="1" s="1"/>
  <c r="S6209" i="1" a="1"/>
  <c r="S6209" i="1" s="1"/>
  <c r="L6209" i="1" a="1"/>
  <c r="L6209" i="1" s="1"/>
  <c r="P6209" i="1" a="1"/>
  <c r="P6209" i="1" s="1"/>
  <c r="M6209" i="1" a="1"/>
  <c r="M6209" i="1" s="1"/>
  <c r="B6210" i="1"/>
  <c r="Q6209" i="1" a="1"/>
  <c r="Q6209" i="1" s="1"/>
  <c r="A6211" i="1"/>
  <c r="J4597" i="1" a="1"/>
  <c r="J4597" i="1" s="1"/>
  <c r="I6209" i="1" l="1" a="1"/>
  <c r="I6209" i="1" s="1"/>
  <c r="O6209" i="1" a="1"/>
  <c r="O6209" i="1" s="1"/>
  <c r="C6210" i="1"/>
  <c r="O6210" i="1" s="1" a="1"/>
  <c r="O6210" i="1" s="1"/>
  <c r="H6209" i="1"/>
  <c r="M6210" i="1" a="1"/>
  <c r="M6210" i="1" s="1"/>
  <c r="Q6210" i="1" a="1"/>
  <c r="Q6210" i="1" s="1"/>
  <c r="J6210" i="1" a="1"/>
  <c r="J6210" i="1" s="1"/>
  <c r="N6210" i="1" a="1"/>
  <c r="N6210" i="1" s="1"/>
  <c r="R6210" i="1" a="1"/>
  <c r="R6210" i="1" s="1"/>
  <c r="K6210" i="1" a="1"/>
  <c r="K6210" i="1" s="1"/>
  <c r="S6210" i="1" a="1"/>
  <c r="S6210" i="1" s="1"/>
  <c r="B6211" i="1"/>
  <c r="L6210" i="1" a="1"/>
  <c r="L6210" i="1" s="1"/>
  <c r="P6210" i="1" a="1"/>
  <c r="P6210" i="1" s="1"/>
  <c r="A621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I6210" i="1" l="1" a="1"/>
  <c r="I6210" i="1" s="1"/>
  <c r="C6211" i="1"/>
  <c r="K6211" i="1" s="1" a="1"/>
  <c r="K6211" i="1" s="1"/>
  <c r="H6210" i="1"/>
  <c r="A6213" i="1"/>
  <c r="P6211" i="1" a="1"/>
  <c r="P6211" i="1" s="1"/>
  <c r="B6212" i="1"/>
  <c r="M6211" i="1" a="1"/>
  <c r="M6211" i="1" s="1"/>
  <c r="Q6211" i="1" a="1"/>
  <c r="Q6211" i="1" s="1"/>
  <c r="J6211" i="1" a="1"/>
  <c r="J6211" i="1" s="1"/>
  <c r="N6211" i="1" a="1"/>
  <c r="N6211" i="1" s="1"/>
  <c r="R6211" i="1" a="1"/>
  <c r="R6211" i="1" s="1"/>
  <c r="S6211" i="1" a="1"/>
  <c r="S6211" i="1" s="1"/>
  <c r="O6211" i="1" a="1"/>
  <c r="O6211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6211" i="1" l="1" a="1"/>
  <c r="I6211" i="1" s="1"/>
  <c r="L6211" i="1" a="1"/>
  <c r="L6211" i="1" s="1"/>
  <c r="C6212" i="1"/>
  <c r="K6212" i="1" s="1" a="1"/>
  <c r="K6212" i="1" s="1"/>
  <c r="H6211" i="1"/>
  <c r="S6212" i="1" a="1"/>
  <c r="S6212" i="1" s="1"/>
  <c r="M6212" i="1" a="1"/>
  <c r="M6212" i="1" s="1"/>
  <c r="Q6212" i="1" a="1"/>
  <c r="Q6212" i="1" s="1"/>
  <c r="P6212" i="1" a="1"/>
  <c r="P6212" i="1" s="1"/>
  <c r="R6212" i="1" a="1"/>
  <c r="R6212" i="1" s="1"/>
  <c r="J6212" i="1" a="1"/>
  <c r="J6212" i="1" s="1"/>
  <c r="N6212" i="1" a="1"/>
  <c r="N6212" i="1" s="1"/>
  <c r="B6213" i="1"/>
  <c r="A6214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I6212" i="1" l="1" a="1"/>
  <c r="I6212" i="1" s="1"/>
  <c r="O6212" i="1" a="1"/>
  <c r="O6212" i="1" s="1"/>
  <c r="L6212" i="1" a="1"/>
  <c r="L6212" i="1" s="1"/>
  <c r="C6213" i="1"/>
  <c r="O6213" i="1" s="1" a="1"/>
  <c r="O6213" i="1" s="1"/>
  <c r="H6212" i="1"/>
  <c r="A6215" i="1"/>
  <c r="N6213" i="1" a="1"/>
  <c r="N6213" i="1" s="1"/>
  <c r="R6213" i="1" a="1"/>
  <c r="R6213" i="1" s="1"/>
  <c r="L6213" i="1" a="1"/>
  <c r="L6213" i="1" s="1"/>
  <c r="P6213" i="1" a="1"/>
  <c r="P6213" i="1" s="1"/>
  <c r="S6213" i="1" a="1"/>
  <c r="S6213" i="1" s="1"/>
  <c r="M6213" i="1" a="1"/>
  <c r="M6213" i="1" s="1"/>
  <c r="Q6213" i="1" a="1"/>
  <c r="Q6213" i="1" s="1"/>
  <c r="B6214" i="1"/>
  <c r="K6213" i="1" a="1"/>
  <c r="K6213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I6213" i="1" l="1" a="1"/>
  <c r="I6213" i="1" s="1"/>
  <c r="J6213" i="1" a="1"/>
  <c r="J6213" i="1" s="1"/>
  <c r="C6214" i="1"/>
  <c r="J6214" i="1" s="1" a="1"/>
  <c r="J6214" i="1" s="1"/>
  <c r="H6213" i="1"/>
  <c r="M6214" i="1" a="1"/>
  <c r="M6214" i="1" s="1"/>
  <c r="Q6214" i="1" a="1"/>
  <c r="Q6214" i="1" s="1"/>
  <c r="K6214" i="1" a="1"/>
  <c r="K6214" i="1" s="1"/>
  <c r="S6214" i="1" a="1"/>
  <c r="S6214" i="1" s="1"/>
  <c r="B6215" i="1"/>
  <c r="P6214" i="1" a="1"/>
  <c r="P6214" i="1" s="1"/>
  <c r="R6214" i="1" a="1"/>
  <c r="R6214" i="1" s="1"/>
  <c r="L6214" i="1" a="1"/>
  <c r="L6214" i="1" s="1"/>
  <c r="N6214" i="1" a="1"/>
  <c r="N6214" i="1" s="1"/>
  <c r="A621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I6214" i="1" l="1" a="1"/>
  <c r="I6214" i="1" s="1"/>
  <c r="O6214" i="1" a="1"/>
  <c r="O6214" i="1" s="1"/>
  <c r="C6215" i="1"/>
  <c r="O6215" i="1" s="1" a="1"/>
  <c r="O6215" i="1" s="1"/>
  <c r="H6214" i="1"/>
  <c r="A6217" i="1"/>
  <c r="L6215" i="1" a="1"/>
  <c r="L6215" i="1" s="1"/>
  <c r="P6215" i="1" a="1"/>
  <c r="P6215" i="1" s="1"/>
  <c r="B6216" i="1"/>
  <c r="N6215" i="1" a="1"/>
  <c r="N6215" i="1" s="1"/>
  <c r="R6215" i="1" a="1"/>
  <c r="R6215" i="1" s="1"/>
  <c r="I6215" i="1" a="1"/>
  <c r="I6215" i="1" s="1"/>
  <c r="K6215" i="1" a="1"/>
  <c r="K6215" i="1" s="1"/>
  <c r="M6215" i="1" a="1"/>
  <c r="M6215" i="1" s="1"/>
  <c r="S6215" i="1" a="1"/>
  <c r="S6215" i="1" s="1"/>
  <c r="Q6215" i="1" a="1"/>
  <c r="Q6215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J6215" i="1" l="1" a="1"/>
  <c r="J6215" i="1" s="1"/>
  <c r="C6216" i="1"/>
  <c r="O6216" i="1" s="1" a="1"/>
  <c r="O6216" i="1" s="1"/>
  <c r="H6215" i="1"/>
  <c r="K6216" i="1" a="1"/>
  <c r="K6216" i="1" s="1"/>
  <c r="S6216" i="1" a="1"/>
  <c r="S6216" i="1" s="1"/>
  <c r="I6216" i="1" a="1"/>
  <c r="I6216" i="1" s="1"/>
  <c r="M6216" i="1" a="1"/>
  <c r="M6216" i="1" s="1"/>
  <c r="Q6216" i="1" a="1"/>
  <c r="Q6216" i="1" s="1"/>
  <c r="N6216" i="1" a="1"/>
  <c r="N6216" i="1" s="1"/>
  <c r="B6217" i="1"/>
  <c r="P6216" i="1" a="1"/>
  <c r="P6216" i="1" s="1"/>
  <c r="L6216" i="1" a="1"/>
  <c r="L6216" i="1" s="1"/>
  <c r="R6216" i="1" a="1"/>
  <c r="R6216" i="1" s="1"/>
  <c r="J6216" i="1" a="1"/>
  <c r="J6216" i="1" s="1"/>
  <c r="A6218" i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C6217" i="1" l="1"/>
  <c r="J6217" i="1" s="1" a="1"/>
  <c r="J6217" i="1" s="1"/>
  <c r="H6216" i="1"/>
  <c r="N6217" i="1" a="1"/>
  <c r="N6217" i="1" s="1"/>
  <c r="R6217" i="1" a="1"/>
  <c r="R6217" i="1" s="1"/>
  <c r="P6217" i="1" a="1"/>
  <c r="P6217" i="1" s="1"/>
  <c r="B6218" i="1"/>
  <c r="O6217" i="1" a="1"/>
  <c r="O6217" i="1" s="1"/>
  <c r="I6217" i="1" a="1"/>
  <c r="I6217" i="1" s="1"/>
  <c r="K6217" i="1" a="1"/>
  <c r="K6217" i="1" s="1"/>
  <c r="Q6217" i="1" a="1"/>
  <c r="Q6217" i="1" s="1"/>
  <c r="S6217" i="1" a="1"/>
  <c r="S6217" i="1" s="1"/>
  <c r="M6217" i="1" a="1"/>
  <c r="M6217" i="1" s="1"/>
  <c r="A621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6217" i="1" l="1" a="1"/>
  <c r="L6217" i="1" s="1"/>
  <c r="C6218" i="1"/>
  <c r="O6218" i="1" s="1" a="1"/>
  <c r="O6218" i="1" s="1"/>
  <c r="H6217" i="1"/>
  <c r="M6218" i="1" a="1"/>
  <c r="M6218" i="1" s="1"/>
  <c r="Q6218" i="1" a="1"/>
  <c r="Q6218" i="1" s="1"/>
  <c r="K6218" i="1" a="1"/>
  <c r="K6218" i="1" s="1"/>
  <c r="S6218" i="1" a="1"/>
  <c r="S6218" i="1" s="1"/>
  <c r="N6218" i="1" a="1"/>
  <c r="N6218" i="1" s="1"/>
  <c r="B6219" i="1"/>
  <c r="R6218" i="1" a="1"/>
  <c r="R6218" i="1" s="1"/>
  <c r="L6218" i="1" a="1"/>
  <c r="L6218" i="1" s="1"/>
  <c r="J6218" i="1" a="1"/>
  <c r="J6218" i="1" s="1"/>
  <c r="P6218" i="1" a="1"/>
  <c r="P6218" i="1" s="1"/>
  <c r="A6220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I6218" i="1" l="1" a="1"/>
  <c r="I6218" i="1" s="1"/>
  <c r="C6219" i="1"/>
  <c r="J6219" i="1" s="1" a="1"/>
  <c r="J6219" i="1" s="1"/>
  <c r="H6218" i="1"/>
  <c r="P6219" i="1" a="1"/>
  <c r="P6219" i="1" s="1"/>
  <c r="B6220" i="1"/>
  <c r="N6219" i="1" a="1"/>
  <c r="N6219" i="1" s="1"/>
  <c r="R6219" i="1" a="1"/>
  <c r="R6219" i="1" s="1"/>
  <c r="O6219" i="1" a="1"/>
  <c r="O6219" i="1" s="1"/>
  <c r="Q6219" i="1" a="1"/>
  <c r="Q6219" i="1" s="1"/>
  <c r="K6219" i="1" a="1"/>
  <c r="K6219" i="1" s="1"/>
  <c r="S6219" i="1" a="1"/>
  <c r="S6219" i="1" s="1"/>
  <c r="M6219" i="1" a="1"/>
  <c r="M6219" i="1" s="1"/>
  <c r="A6221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I6219" i="1" l="1" a="1"/>
  <c r="I6219" i="1" s="1"/>
  <c r="L6219" i="1" a="1"/>
  <c r="L6219" i="1" s="1"/>
  <c r="C6220" i="1"/>
  <c r="J6220" i="1" s="1" a="1"/>
  <c r="J6220" i="1" s="1"/>
  <c r="H6219" i="1"/>
  <c r="A6222" i="1"/>
  <c r="K6220" i="1" a="1"/>
  <c r="K6220" i="1" s="1"/>
  <c r="S6220" i="1" a="1"/>
  <c r="S6220" i="1" s="1"/>
  <c r="I6220" i="1" a="1"/>
  <c r="I6220" i="1" s="1"/>
  <c r="M6220" i="1" a="1"/>
  <c r="M6220" i="1" s="1"/>
  <c r="Q6220" i="1" a="1"/>
  <c r="Q6220" i="1" s="1"/>
  <c r="N6220" i="1" a="1"/>
  <c r="N6220" i="1" s="1"/>
  <c r="B6221" i="1"/>
  <c r="R6220" i="1" a="1"/>
  <c r="R6220" i="1" s="1"/>
  <c r="P6220" i="1" a="1"/>
  <c r="P6220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6220" i="1" l="1" a="1"/>
  <c r="L6220" i="1" s="1"/>
  <c r="O6220" i="1" a="1"/>
  <c r="O6220" i="1" s="1"/>
  <c r="C6221" i="1"/>
  <c r="J6221" i="1" s="1" a="1"/>
  <c r="J6221" i="1" s="1"/>
  <c r="H6220" i="1"/>
  <c r="N6221" i="1" a="1"/>
  <c r="N6221" i="1" s="1"/>
  <c r="R6221" i="1" a="1"/>
  <c r="R6221" i="1" s="1"/>
  <c r="L6221" i="1" a="1"/>
  <c r="L6221" i="1" s="1"/>
  <c r="Q6221" i="1" a="1"/>
  <c r="Q6221" i="1" s="1"/>
  <c r="M6221" i="1" a="1"/>
  <c r="M6221" i="1" s="1"/>
  <c r="S6221" i="1" a="1"/>
  <c r="S6221" i="1" s="1"/>
  <c r="I6221" i="1" a="1"/>
  <c r="I6221" i="1" s="1"/>
  <c r="O6221" i="1" a="1"/>
  <c r="O6221" i="1" s="1"/>
  <c r="B6222" i="1"/>
  <c r="K6221" i="1" a="1"/>
  <c r="K6221" i="1" s="1"/>
  <c r="P6221" i="1" a="1"/>
  <c r="P6221" i="1" s="1"/>
  <c r="A622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C6222" i="1" l="1"/>
  <c r="J6222" i="1" s="1" a="1"/>
  <c r="J6222" i="1" s="1"/>
  <c r="H6221" i="1"/>
  <c r="A6224" i="1"/>
  <c r="M6222" i="1" a="1"/>
  <c r="M6222" i="1" s="1"/>
  <c r="Q6222" i="1" a="1"/>
  <c r="Q6222" i="1" s="1"/>
  <c r="N6222" i="1" a="1"/>
  <c r="N6222" i="1" s="1"/>
  <c r="S6222" i="1" a="1"/>
  <c r="S6222" i="1" s="1"/>
  <c r="O6222" i="1" a="1"/>
  <c r="O6222" i="1" s="1"/>
  <c r="P6222" i="1" a="1"/>
  <c r="P6222" i="1" s="1"/>
  <c r="B6223" i="1"/>
  <c r="L6222" i="1" a="1"/>
  <c r="L6222" i="1" s="1"/>
  <c r="R6222" i="1" a="1"/>
  <c r="R6222" i="1" s="1"/>
  <c r="K6222" i="1" a="1"/>
  <c r="K6222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I6222" i="1" l="1" a="1"/>
  <c r="I6222" i="1" s="1"/>
  <c r="C6223" i="1"/>
  <c r="O6223" i="1" s="1" a="1"/>
  <c r="O6223" i="1" s="1"/>
  <c r="H6222" i="1"/>
  <c r="L6223" i="1" a="1"/>
  <c r="L6223" i="1" s="1"/>
  <c r="P6223" i="1" a="1"/>
  <c r="P6223" i="1" s="1"/>
  <c r="J6223" i="1" a="1"/>
  <c r="J6223" i="1" s="1"/>
  <c r="S6223" i="1" a="1"/>
  <c r="S6223" i="1" s="1"/>
  <c r="K6223" i="1" a="1"/>
  <c r="K6223" i="1" s="1"/>
  <c r="B6224" i="1"/>
  <c r="Q6223" i="1" a="1"/>
  <c r="Q6223" i="1" s="1"/>
  <c r="M6223" i="1" a="1"/>
  <c r="M6223" i="1" s="1"/>
  <c r="R6223" i="1" a="1"/>
  <c r="R6223" i="1" s="1"/>
  <c r="N6223" i="1" a="1"/>
  <c r="N6223" i="1" s="1"/>
  <c r="A622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6223" i="1" l="1" a="1"/>
  <c r="I6223" i="1" s="1"/>
  <c r="C6224" i="1"/>
  <c r="K6224" i="1" s="1" a="1"/>
  <c r="K6224" i="1" s="1"/>
  <c r="H6223" i="1"/>
  <c r="S6224" i="1" a="1"/>
  <c r="S6224" i="1" s="1"/>
  <c r="P6224" i="1" a="1"/>
  <c r="P6224" i="1" s="1"/>
  <c r="B6225" i="1"/>
  <c r="L6224" i="1" a="1"/>
  <c r="L6224" i="1" s="1"/>
  <c r="M6224" i="1" a="1"/>
  <c r="M6224" i="1" s="1"/>
  <c r="R6224" i="1" a="1"/>
  <c r="R6224" i="1" s="1"/>
  <c r="Q6224" i="1" a="1"/>
  <c r="Q6224" i="1" s="1"/>
  <c r="J6224" i="1" a="1"/>
  <c r="J6224" i="1" s="1"/>
  <c r="N6224" i="1" a="1"/>
  <c r="N6224" i="1" s="1"/>
  <c r="A6226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I6224" i="1" l="1" a="1"/>
  <c r="I6224" i="1" s="1"/>
  <c r="O6224" i="1" a="1"/>
  <c r="O6224" i="1" s="1"/>
  <c r="C6225" i="1"/>
  <c r="J6225" i="1" s="1" a="1"/>
  <c r="J6225" i="1" s="1"/>
  <c r="H6224" i="1"/>
  <c r="A6227" i="1"/>
  <c r="N6225" i="1" a="1"/>
  <c r="N6225" i="1" s="1"/>
  <c r="R6225" i="1" a="1"/>
  <c r="R6225" i="1" s="1"/>
  <c r="P6225" i="1" a="1"/>
  <c r="P6225" i="1" s="1"/>
  <c r="B6226" i="1"/>
  <c r="Q6225" i="1" a="1"/>
  <c r="Q6225" i="1" s="1"/>
  <c r="I6225" i="1" a="1"/>
  <c r="I6225" i="1" s="1"/>
  <c r="S6225" i="1" a="1"/>
  <c r="S6225" i="1" s="1"/>
  <c r="K6225" i="1" a="1"/>
  <c r="K6225" i="1" s="1"/>
  <c r="M6225" i="1" a="1"/>
  <c r="M6225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6225" i="1" l="1" a="1"/>
  <c r="L6225" i="1" s="1"/>
  <c r="O6225" i="1" a="1"/>
  <c r="O6225" i="1" s="1"/>
  <c r="C6226" i="1"/>
  <c r="K6226" i="1" s="1" a="1"/>
  <c r="K6226" i="1" s="1"/>
  <c r="H6225" i="1"/>
  <c r="M6226" i="1" a="1"/>
  <c r="M6226" i="1" s="1"/>
  <c r="Q6226" i="1" a="1"/>
  <c r="Q6226" i="1" s="1"/>
  <c r="L6226" i="1" a="1"/>
  <c r="L6226" i="1" s="1"/>
  <c r="R6226" i="1" a="1"/>
  <c r="R6226" i="1" s="1"/>
  <c r="S6226" i="1" a="1"/>
  <c r="S6226" i="1" s="1"/>
  <c r="N6226" i="1" a="1"/>
  <c r="N6226" i="1" s="1"/>
  <c r="P6226" i="1" a="1"/>
  <c r="P6226" i="1" s="1"/>
  <c r="B6227" i="1"/>
  <c r="A6228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6226" i="1" l="1" a="1"/>
  <c r="I6226" i="1" s="1"/>
  <c r="O6226" i="1" a="1"/>
  <c r="O6226" i="1" s="1"/>
  <c r="J6226" i="1" a="1"/>
  <c r="J6226" i="1" s="1"/>
  <c r="C6227" i="1"/>
  <c r="J6227" i="1" s="1" a="1"/>
  <c r="J6227" i="1" s="1"/>
  <c r="H6226" i="1"/>
  <c r="A6229" i="1"/>
  <c r="P6227" i="1" a="1"/>
  <c r="P6227" i="1" s="1"/>
  <c r="M6227" i="1" a="1"/>
  <c r="M6227" i="1" s="1"/>
  <c r="I6227" i="1" a="1"/>
  <c r="I6227" i="1" s="1"/>
  <c r="R6227" i="1" a="1"/>
  <c r="R6227" i="1" s="1"/>
  <c r="N6227" i="1" a="1"/>
  <c r="N6227" i="1" s="1"/>
  <c r="K6227" i="1" a="1"/>
  <c r="K6227" i="1" s="1"/>
  <c r="B6228" i="1"/>
  <c r="Q6227" i="1" a="1"/>
  <c r="Q6227" i="1" s="1"/>
  <c r="S6227" i="1" a="1"/>
  <c r="S6227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6227" i="1" l="1" a="1"/>
  <c r="L6227" i="1" s="1"/>
  <c r="O6227" i="1" a="1"/>
  <c r="O6227" i="1" s="1"/>
  <c r="C6228" i="1"/>
  <c r="K6228" i="1" s="1" a="1"/>
  <c r="K6228" i="1" s="1"/>
  <c r="H6227" i="1"/>
  <c r="S6228" i="1" a="1"/>
  <c r="S6228" i="1" s="1"/>
  <c r="R6228" i="1" a="1"/>
  <c r="R6228" i="1" s="1"/>
  <c r="N6228" i="1" a="1"/>
  <c r="N6228" i="1" s="1"/>
  <c r="P6228" i="1" a="1"/>
  <c r="P6228" i="1" s="1"/>
  <c r="B6229" i="1"/>
  <c r="L6228" i="1" a="1"/>
  <c r="L6228" i="1" s="1"/>
  <c r="M6228" i="1" a="1"/>
  <c r="M6228" i="1" s="1"/>
  <c r="Q6228" i="1" a="1"/>
  <c r="Q6228" i="1" s="1"/>
  <c r="A6230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I6228" i="1" l="1" a="1"/>
  <c r="I6228" i="1" s="1"/>
  <c r="O6228" i="1" a="1"/>
  <c r="O6228" i="1" s="1"/>
  <c r="J6228" i="1" a="1"/>
  <c r="J6228" i="1" s="1"/>
  <c r="C6229" i="1"/>
  <c r="J6229" i="1" s="1" a="1"/>
  <c r="J6229" i="1" s="1"/>
  <c r="H6228" i="1"/>
  <c r="A6231" i="1"/>
  <c r="N6229" i="1" a="1"/>
  <c r="N6229" i="1" s="1"/>
  <c r="R6229" i="1" a="1"/>
  <c r="R6229" i="1" s="1"/>
  <c r="S6229" i="1" a="1"/>
  <c r="S6229" i="1" s="1"/>
  <c r="O6229" i="1" a="1"/>
  <c r="O6229" i="1" s="1"/>
  <c r="K6229" i="1" a="1"/>
  <c r="K6229" i="1" s="1"/>
  <c r="Q6229" i="1" a="1"/>
  <c r="Q6229" i="1" s="1"/>
  <c r="M6229" i="1" a="1"/>
  <c r="M6229" i="1" s="1"/>
  <c r="P6229" i="1" a="1"/>
  <c r="P6229" i="1" s="1"/>
  <c r="B6230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I6229" i="1" l="1" a="1"/>
  <c r="I6229" i="1" s="1"/>
  <c r="L6229" i="1" a="1"/>
  <c r="L6229" i="1" s="1"/>
  <c r="C6230" i="1"/>
  <c r="J6230" i="1" s="1" a="1"/>
  <c r="J6230" i="1" s="1"/>
  <c r="H6229" i="1"/>
  <c r="M6230" i="1" a="1"/>
  <c r="M6230" i="1" s="1"/>
  <c r="Q6230" i="1" a="1"/>
  <c r="Q6230" i="1" s="1"/>
  <c r="K6230" i="1" a="1"/>
  <c r="K6230" i="1" s="1"/>
  <c r="P6230" i="1" a="1"/>
  <c r="P6230" i="1" s="1"/>
  <c r="B6231" i="1"/>
  <c r="R6230" i="1" a="1"/>
  <c r="R6230" i="1" s="1"/>
  <c r="L6230" i="1" a="1"/>
  <c r="L6230" i="1" s="1"/>
  <c r="N6230" i="1" a="1"/>
  <c r="N6230" i="1" s="1"/>
  <c r="S6230" i="1" a="1"/>
  <c r="S6230" i="1" s="1"/>
  <c r="A6232" i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I6230" i="1" l="1" a="1"/>
  <c r="I6230" i="1" s="1"/>
  <c r="O6230" i="1" a="1"/>
  <c r="O6230" i="1" s="1"/>
  <c r="C6231" i="1"/>
  <c r="J6231" i="1" s="1" a="1"/>
  <c r="J6231" i="1" s="1"/>
  <c r="H6230" i="1"/>
  <c r="P6231" i="1" a="1"/>
  <c r="P6231" i="1" s="1"/>
  <c r="K6231" i="1" a="1"/>
  <c r="K6231" i="1" s="1"/>
  <c r="B6232" i="1"/>
  <c r="Q6231" i="1" a="1"/>
  <c r="Q6231" i="1" s="1"/>
  <c r="I6231" i="1" a="1"/>
  <c r="I6231" i="1" s="1"/>
  <c r="R6231" i="1" a="1"/>
  <c r="R6231" i="1" s="1"/>
  <c r="S6231" i="1" a="1"/>
  <c r="S6231" i="1" s="1"/>
  <c r="M6231" i="1" a="1"/>
  <c r="M6231" i="1" s="1"/>
  <c r="N6231" i="1" a="1"/>
  <c r="N6231" i="1" s="1"/>
  <c r="A6233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O6231" i="1" l="1" a="1"/>
  <c r="O6231" i="1" s="1"/>
  <c r="L6231" i="1" a="1"/>
  <c r="L6231" i="1" s="1"/>
  <c r="C6232" i="1"/>
  <c r="K6232" i="1" s="1" a="1"/>
  <c r="K6232" i="1" s="1"/>
  <c r="H6231" i="1"/>
  <c r="S6232" i="1" a="1"/>
  <c r="S6232" i="1" s="1"/>
  <c r="Q6232" i="1" a="1"/>
  <c r="Q6232" i="1" s="1"/>
  <c r="M6232" i="1" a="1"/>
  <c r="M6232" i="1" s="1"/>
  <c r="N6232" i="1" a="1"/>
  <c r="N6232" i="1" s="1"/>
  <c r="P6232" i="1" a="1"/>
  <c r="P6232" i="1" s="1"/>
  <c r="R6232" i="1" a="1"/>
  <c r="R6232" i="1" s="1"/>
  <c r="B6233" i="1"/>
  <c r="A6234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6232" i="1" l="1" a="1"/>
  <c r="I6232" i="1" s="1"/>
  <c r="L6232" i="1" a="1"/>
  <c r="L6232" i="1" s="1"/>
  <c r="O6232" i="1" a="1"/>
  <c r="O6232" i="1" s="1"/>
  <c r="J6232" i="1" a="1"/>
  <c r="J6232" i="1" s="1"/>
  <c r="C6233" i="1"/>
  <c r="O6233" i="1" s="1" a="1"/>
  <c r="O6233" i="1" s="1"/>
  <c r="H6232" i="1"/>
  <c r="A6235" i="1"/>
  <c r="J6233" i="1" a="1"/>
  <c r="J6233" i="1" s="1"/>
  <c r="N6233" i="1" a="1"/>
  <c r="N6233" i="1" s="1"/>
  <c r="R6233" i="1" a="1"/>
  <c r="R6233" i="1" s="1"/>
  <c r="Q6233" i="1" a="1"/>
  <c r="Q6233" i="1" s="1"/>
  <c r="M6233" i="1" a="1"/>
  <c r="M6233" i="1" s="1"/>
  <c r="L6233" i="1" a="1"/>
  <c r="L6233" i="1" s="1"/>
  <c r="B6234" i="1"/>
  <c r="P6233" i="1" a="1"/>
  <c r="P6233" i="1" s="1"/>
  <c r="K6233" i="1" a="1"/>
  <c r="K6233" i="1" s="1"/>
  <c r="S6233" i="1" a="1"/>
  <c r="S6233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I6233" i="1" l="1" a="1"/>
  <c r="I6233" i="1" s="1"/>
  <c r="C6234" i="1"/>
  <c r="O6234" i="1" s="1" a="1"/>
  <c r="O6234" i="1" s="1"/>
  <c r="H6233" i="1"/>
  <c r="I6234" i="1" a="1"/>
  <c r="I6234" i="1" s="1"/>
  <c r="M6234" i="1" a="1"/>
  <c r="M6234" i="1" s="1"/>
  <c r="Q6234" i="1" a="1"/>
  <c r="Q6234" i="1" s="1"/>
  <c r="R6234" i="1" a="1"/>
  <c r="R6234" i="1" s="1"/>
  <c r="N6234" i="1" a="1"/>
  <c r="N6234" i="1" s="1"/>
  <c r="J6234" i="1" a="1"/>
  <c r="J6234" i="1" s="1"/>
  <c r="S6234" i="1" a="1"/>
  <c r="S6234" i="1" s="1"/>
  <c r="P6234" i="1" a="1"/>
  <c r="P6234" i="1" s="1"/>
  <c r="K6234" i="1" a="1"/>
  <c r="K6234" i="1" s="1"/>
  <c r="B6235" i="1"/>
  <c r="L6234" i="1" a="1"/>
  <c r="L6234" i="1" s="1"/>
  <c r="A623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C6235" i="1" l="1"/>
  <c r="K6235" i="1" s="1" a="1"/>
  <c r="K6235" i="1" s="1"/>
  <c r="H6234" i="1"/>
  <c r="A6237" i="1"/>
  <c r="P6235" i="1" a="1"/>
  <c r="P6235" i="1" s="1"/>
  <c r="N6235" i="1" a="1"/>
  <c r="N6235" i="1" s="1"/>
  <c r="S6235" i="1" a="1"/>
  <c r="S6235" i="1" s="1"/>
  <c r="O6235" i="1" a="1"/>
  <c r="O6235" i="1" s="1"/>
  <c r="Q6235" i="1" a="1"/>
  <c r="Q6235" i="1" s="1"/>
  <c r="R6235" i="1" a="1"/>
  <c r="R6235" i="1" s="1"/>
  <c r="B6236" i="1"/>
  <c r="M6235" i="1" a="1"/>
  <c r="M6235" i="1" s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6235" i="1" l="1" a="1"/>
  <c r="I6235" i="1" s="1"/>
  <c r="J6235" i="1" a="1"/>
  <c r="J6235" i="1" s="1"/>
  <c r="L6235" i="1" a="1"/>
  <c r="L6235" i="1" s="1"/>
  <c r="C6236" i="1"/>
  <c r="K6236" i="1" s="1" a="1"/>
  <c r="K6236" i="1" s="1"/>
  <c r="H6235" i="1"/>
  <c r="S6236" i="1" a="1"/>
  <c r="S6236" i="1" s="1"/>
  <c r="P6236" i="1" a="1"/>
  <c r="P6236" i="1" s="1"/>
  <c r="B6237" i="1"/>
  <c r="R6236" i="1" a="1"/>
  <c r="R6236" i="1" s="1"/>
  <c r="M6236" i="1" a="1"/>
  <c r="M6236" i="1" s="1"/>
  <c r="N6236" i="1" a="1"/>
  <c r="N6236" i="1" s="1"/>
  <c r="Q6236" i="1" a="1"/>
  <c r="Q6236" i="1" s="1"/>
  <c r="A6238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I6236" i="1" l="1" a="1"/>
  <c r="I6236" i="1" s="1"/>
  <c r="O6236" i="1" a="1"/>
  <c r="O6236" i="1" s="1"/>
  <c r="L6236" i="1" a="1"/>
  <c r="L6236" i="1" s="1"/>
  <c r="J6236" i="1" a="1"/>
  <c r="J6236" i="1" s="1"/>
  <c r="C6237" i="1"/>
  <c r="L6237" i="1" s="1" a="1"/>
  <c r="L6237" i="1" s="1"/>
  <c r="H6236" i="1"/>
  <c r="J6237" i="1" a="1"/>
  <c r="J6237" i="1" s="1"/>
  <c r="N6237" i="1" a="1"/>
  <c r="N6237" i="1" s="1"/>
  <c r="R6237" i="1" a="1"/>
  <c r="R6237" i="1" s="1"/>
  <c r="K6237" i="1" a="1"/>
  <c r="K6237" i="1" s="1"/>
  <c r="P6237" i="1" a="1"/>
  <c r="P6237" i="1" s="1"/>
  <c r="B6238" i="1"/>
  <c r="S6237" i="1" a="1"/>
  <c r="S6237" i="1" s="1"/>
  <c r="M6237" i="1" a="1"/>
  <c r="M6237" i="1" s="1"/>
  <c r="O6237" i="1" a="1"/>
  <c r="O6237" i="1" s="1"/>
  <c r="I6237" i="1" a="1"/>
  <c r="I6237" i="1" s="1"/>
  <c r="Q6237" i="1" a="1"/>
  <c r="Q6237" i="1" s="1"/>
  <c r="A6239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C6238" i="1" l="1"/>
  <c r="J6238" i="1" s="1" a="1"/>
  <c r="J6238" i="1" s="1"/>
  <c r="H6237" i="1"/>
  <c r="I6238" i="1" a="1"/>
  <c r="I6238" i="1" s="1"/>
  <c r="M6238" i="1" a="1"/>
  <c r="M6238" i="1" s="1"/>
  <c r="Q6238" i="1" a="1"/>
  <c r="Q6238" i="1" s="1"/>
  <c r="P6238" i="1" a="1"/>
  <c r="P6238" i="1" s="1"/>
  <c r="B6239" i="1"/>
  <c r="L6238" i="1" a="1"/>
  <c r="L6238" i="1" s="1"/>
  <c r="N6238" i="1" a="1"/>
  <c r="N6238" i="1" s="1"/>
  <c r="R6238" i="1" a="1"/>
  <c r="R6238" i="1" s="1"/>
  <c r="K6238" i="1" a="1"/>
  <c r="K6238" i="1" s="1"/>
  <c r="S6238" i="1" a="1"/>
  <c r="S6238" i="1" s="1"/>
  <c r="A6240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O6238" i="1" l="1" a="1"/>
  <c r="O6238" i="1" s="1"/>
  <c r="C6239" i="1"/>
  <c r="O6239" i="1" s="1" a="1"/>
  <c r="O6239" i="1" s="1"/>
  <c r="H6238" i="1"/>
  <c r="A6241" i="1"/>
  <c r="L6239" i="1" a="1"/>
  <c r="L6239" i="1" s="1"/>
  <c r="P6239" i="1" a="1"/>
  <c r="P6239" i="1" s="1"/>
  <c r="Q6239" i="1" a="1"/>
  <c r="Q6239" i="1" s="1"/>
  <c r="M6239" i="1" a="1"/>
  <c r="M6239" i="1" s="1"/>
  <c r="R6239" i="1" a="1"/>
  <c r="R6239" i="1" s="1"/>
  <c r="J6239" i="1" a="1"/>
  <c r="J6239" i="1" s="1"/>
  <c r="K6239" i="1" a="1"/>
  <c r="K6239" i="1" s="1"/>
  <c r="S6239" i="1" a="1"/>
  <c r="S6239" i="1" s="1"/>
  <c r="N6239" i="1" a="1"/>
  <c r="N6239" i="1" s="1"/>
  <c r="B6240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6239" i="1" l="1" a="1"/>
  <c r="I6239" i="1" s="1"/>
  <c r="C6240" i="1"/>
  <c r="K6240" i="1" s="1" a="1"/>
  <c r="K6240" i="1" s="1"/>
  <c r="H6239" i="1"/>
  <c r="S6240" i="1" a="1"/>
  <c r="S6240" i="1" s="1"/>
  <c r="M6240" i="1" a="1"/>
  <c r="M6240" i="1" s="1"/>
  <c r="I6240" i="1" a="1"/>
  <c r="I6240" i="1" s="1"/>
  <c r="R6240" i="1" a="1"/>
  <c r="R6240" i="1" s="1"/>
  <c r="N6240" i="1" a="1"/>
  <c r="N6240" i="1" s="1"/>
  <c r="J6240" i="1" a="1"/>
  <c r="J6240" i="1" s="1"/>
  <c r="Q6240" i="1" a="1"/>
  <c r="Q6240" i="1" s="1"/>
  <c r="B6241" i="1"/>
  <c r="P6240" i="1" a="1"/>
  <c r="P6240" i="1" s="1"/>
  <c r="A6242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O6240" i="1" l="1" a="1"/>
  <c r="O6240" i="1" s="1"/>
  <c r="L6240" i="1" a="1"/>
  <c r="L6240" i="1" s="1"/>
  <c r="C6241" i="1"/>
  <c r="L6241" i="1" s="1" a="1"/>
  <c r="L6241" i="1" s="1"/>
  <c r="H6240" i="1"/>
  <c r="A6243" i="1"/>
  <c r="J6241" i="1" a="1"/>
  <c r="J6241" i="1" s="1"/>
  <c r="N6241" i="1" a="1"/>
  <c r="N6241" i="1" s="1"/>
  <c r="R6241" i="1" a="1"/>
  <c r="R6241" i="1" s="1"/>
  <c r="S6241" i="1" a="1"/>
  <c r="S6241" i="1" s="1"/>
  <c r="B6242" i="1"/>
  <c r="M6241" i="1" a="1"/>
  <c r="M6241" i="1" s="1"/>
  <c r="K6241" i="1" a="1"/>
  <c r="K6241" i="1" s="1"/>
  <c r="P6241" i="1" a="1"/>
  <c r="P6241" i="1" s="1"/>
  <c r="Q6241" i="1" a="1"/>
  <c r="Q6241" i="1" s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I6241" i="1" l="1" a="1"/>
  <c r="I6241" i="1" s="1"/>
  <c r="O6241" i="1" a="1"/>
  <c r="O6241" i="1" s="1"/>
  <c r="C6242" i="1"/>
  <c r="O6242" i="1" s="1" a="1"/>
  <c r="O6242" i="1" s="1"/>
  <c r="H6241" i="1"/>
  <c r="I6242" i="1" a="1"/>
  <c r="I6242" i="1" s="1"/>
  <c r="M6242" i="1" a="1"/>
  <c r="M6242" i="1" s="1"/>
  <c r="Q6242" i="1" a="1"/>
  <c r="Q6242" i="1" s="1"/>
  <c r="J6242" i="1" a="1"/>
  <c r="J6242" i="1" s="1"/>
  <c r="S6242" i="1" a="1"/>
  <c r="S6242" i="1" s="1"/>
  <c r="K6242" i="1" a="1"/>
  <c r="K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C6243" i="1" l="1"/>
  <c r="L6243" i="1" s="1" a="1"/>
  <c r="L6243" i="1" s="1"/>
  <c r="H6242" i="1"/>
  <c r="P6243" i="1" a="1"/>
  <c r="P6243" i="1" s="1"/>
  <c r="O6243" i="1" a="1"/>
  <c r="O6243" i="1" s="1"/>
  <c r="K6243" i="1" a="1"/>
  <c r="K6243" i="1" s="1"/>
  <c r="B6244" i="1"/>
  <c r="N6243" i="1" a="1"/>
  <c r="N6243" i="1" s="1"/>
  <c r="I6243" i="1" a="1"/>
  <c r="I6243" i="1" s="1"/>
  <c r="Q6243" i="1" a="1"/>
  <c r="Q6243" i="1" s="1"/>
  <c r="J6243" i="1" a="1"/>
  <c r="J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C6244" i="1" l="1"/>
  <c r="O6244" i="1" s="1" a="1"/>
  <c r="O6244" i="1" s="1"/>
  <c r="H6243" i="1"/>
  <c r="A6246" i="1"/>
  <c r="K6244" i="1" a="1"/>
  <c r="K6244" i="1" s="1"/>
  <c r="S6244" i="1" a="1"/>
  <c r="S6244" i="1" s="1"/>
  <c r="P6244" i="1" a="1"/>
  <c r="P6244" i="1" s="1"/>
  <c r="B6245" i="1"/>
  <c r="L6244" i="1" a="1"/>
  <c r="L6244" i="1" s="1"/>
  <c r="Q6244" i="1" a="1"/>
  <c r="Q6244" i="1" s="1"/>
  <c r="J6244" i="1" a="1"/>
  <c r="J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I6244" i="1" l="1" a="1"/>
  <c r="I6244" i="1" s="1"/>
  <c r="C6245" i="1"/>
  <c r="J6245" i="1" s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K6245" i="1" a="1"/>
  <c r="K6245" i="1" s="1"/>
  <c r="S6245" i="1" a="1"/>
  <c r="S6245" i="1" s="1"/>
  <c r="B6246" i="1"/>
  <c r="P6245" i="1" a="1"/>
  <c r="P6245" i="1" s="1"/>
  <c r="I6245" i="1" a="1"/>
  <c r="I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O6245" i="1" l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L6246" i="1" a="1"/>
  <c r="L6246" i="1" s="1"/>
  <c r="B6247" i="1"/>
  <c r="S6246" i="1" a="1"/>
  <c r="S6246" i="1" s="1"/>
  <c r="J6246" i="1" a="1"/>
  <c r="J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I6246" i="1" l="1" a="1"/>
  <c r="I6246" i="1" s="1"/>
  <c r="K6246" i="1" a="1"/>
  <c r="K6246" i="1" s="1"/>
  <c r="C6247" i="1"/>
  <c r="J6247" i="1" s="1" a="1"/>
  <c r="J6247" i="1" s="1"/>
  <c r="H6246" i="1"/>
  <c r="P6247" i="1" a="1"/>
  <c r="P6247" i="1" s="1"/>
  <c r="I6247" i="1" a="1"/>
  <c r="I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O6247" i="1" l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C6249" i="1"/>
  <c r="J6249" i="1" s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K6250" i="1" a="1"/>
  <c r="K6250" i="1" s="1"/>
  <c r="P6250" i="1" a="1"/>
  <c r="P6250" i="1" s="1"/>
  <c r="B6251" i="1"/>
  <c r="S6250" i="1" a="1"/>
  <c r="S6250" i="1" s="1"/>
  <c r="N6250" i="1" a="1"/>
  <c r="N6250" i="1" s="1"/>
  <c r="J6250" i="1" a="1"/>
  <c r="J6250" i="1" s="1"/>
  <c r="O6250" i="1" a="1"/>
  <c r="O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I6250" i="1" l="1" a="1"/>
  <c r="I6250" i="1" s="1"/>
  <c r="C6251" i="1"/>
  <c r="J6251" i="1" s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I6251" i="1" a="1"/>
  <c r="I6251" i="1" s="1"/>
  <c r="O6251" i="1" a="1"/>
  <c r="O6251" i="1" s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6251" i="1" l="1" a="1"/>
  <c r="L6251" i="1" s="1"/>
  <c r="C6252" i="1"/>
  <c r="K6252" i="1" s="1" a="1"/>
  <c r="K6252" i="1" s="1"/>
  <c r="H6251" i="1"/>
  <c r="A6254" i="1"/>
  <c r="S6252" i="1" a="1"/>
  <c r="S6252" i="1" s="1"/>
  <c r="Q6252" i="1" a="1"/>
  <c r="Q6252" i="1" s="1"/>
  <c r="M6252" i="1" a="1"/>
  <c r="M6252" i="1" s="1"/>
  <c r="I6252" i="1" a="1"/>
  <c r="I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O6252" i="1" l="1" a="1"/>
  <c r="O6252" i="1" s="1"/>
  <c r="L6252" i="1" a="1"/>
  <c r="L6252" i="1" s="1"/>
  <c r="J6252" i="1" a="1"/>
  <c r="J6252" i="1" s="1"/>
  <c r="C6253" i="1"/>
  <c r="K6253" i="1" s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C6254" i="1"/>
  <c r="K6254" i="1" s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J6255" i="1" a="1"/>
  <c r="J6255" i="1" s="1"/>
  <c r="S6255" i="1" a="1"/>
  <c r="S6255" i="1" s="1"/>
  <c r="K6255" i="1" a="1"/>
  <c r="K6255" i="1" s="1"/>
  <c r="B6256" i="1"/>
  <c r="M6255" i="1" a="1"/>
  <c r="M6255" i="1" s="1"/>
  <c r="N6255" i="1" a="1"/>
  <c r="N6255" i="1" s="1"/>
  <c r="R6255" i="1" a="1"/>
  <c r="R6255" i="1" s="1"/>
  <c r="I6255" i="1" a="1"/>
  <c r="I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O6255" i="1" l="1" a="1"/>
  <c r="O6255" i="1" s="1"/>
  <c r="C6256" i="1"/>
  <c r="K6256" i="1" s="1" a="1"/>
  <c r="K6256" i="1" s="1"/>
  <c r="H6255" i="1"/>
  <c r="S6256" i="1" a="1"/>
  <c r="S6256" i="1" s="1"/>
  <c r="P6256" i="1" a="1"/>
  <c r="P6256" i="1" s="1"/>
  <c r="B6257" i="1"/>
  <c r="N6256" i="1" a="1"/>
  <c r="N6256" i="1" s="1"/>
  <c r="I6256" i="1" a="1"/>
  <c r="I6256" i="1" s="1"/>
  <c r="Q6256" i="1" a="1"/>
  <c r="Q6256" i="1" s="1"/>
  <c r="J6256" i="1" a="1"/>
  <c r="J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6256" i="1" l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C6258" i="1"/>
  <c r="K6258" i="1" s="1" a="1"/>
  <c r="K6258" i="1" s="1"/>
  <c r="H6257" i="1"/>
  <c r="I6258" i="1" a="1"/>
  <c r="I6258" i="1" s="1"/>
  <c r="M6258" i="1" a="1"/>
  <c r="M6258" i="1" s="1"/>
  <c r="Q6258" i="1" a="1"/>
  <c r="Q6258" i="1" s="1"/>
  <c r="R6258" i="1" a="1"/>
  <c r="R6258" i="1" s="1"/>
  <c r="J6258" i="1" a="1"/>
  <c r="J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O6258" i="1" l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O6259" i="1" a="1"/>
  <c r="O6259" i="1" s="1"/>
  <c r="J6259" i="1" a="1"/>
  <c r="J6259" i="1" s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I6259" i="1" l="1" a="1"/>
  <c r="I6259" i="1" s="1"/>
  <c r="L6259" i="1" a="1"/>
  <c r="L6259" i="1" s="1"/>
  <c r="C6260" i="1"/>
  <c r="L6260" i="1" s="1" a="1"/>
  <c r="L6260" i="1" s="1"/>
  <c r="H6259" i="1"/>
  <c r="K6260" i="1" a="1"/>
  <c r="K6260" i="1" s="1"/>
  <c r="S6260" i="1" a="1"/>
  <c r="S6260" i="1" s="1"/>
  <c r="I6260" i="1" a="1"/>
  <c r="I6260" i="1" s="1"/>
  <c r="R6260" i="1" a="1"/>
  <c r="R6260" i="1" s="1"/>
  <c r="N6260" i="1" a="1"/>
  <c r="N6260" i="1" s="1"/>
  <c r="J6260" i="1" a="1"/>
  <c r="J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O6260" i="1" l="1" a="1"/>
  <c r="O6260" i="1" s="1"/>
  <c r="C6261" i="1"/>
  <c r="O6261" i="1" s="1" a="1"/>
  <c r="O6261" i="1" s="1"/>
  <c r="H6260" i="1"/>
  <c r="J6261" i="1" a="1"/>
  <c r="J6261" i="1" s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I6261" i="1" a="1"/>
  <c r="I6261" i="1" s="1"/>
  <c r="Q6261" i="1" a="1"/>
  <c r="Q6261" i="1" s="1"/>
  <c r="B6262" i="1"/>
  <c r="L6261" i="1" a="1"/>
  <c r="L6261" i="1" s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C6262" i="1" l="1"/>
  <c r="J6262" i="1" s="1" a="1"/>
  <c r="J6262" i="1" s="1"/>
  <c r="H6261" i="1"/>
  <c r="A6264" i="1"/>
  <c r="I6262" i="1" a="1"/>
  <c r="I6262" i="1" s="1"/>
  <c r="M6262" i="1" a="1"/>
  <c r="M6262" i="1" s="1"/>
  <c r="Q6262" i="1" a="1"/>
  <c r="Q6262" i="1" s="1"/>
  <c r="O6262" i="1" a="1"/>
  <c r="O6262" i="1" s="1"/>
  <c r="K6262" i="1" a="1"/>
  <c r="K6262" i="1" s="1"/>
  <c r="P6262" i="1" a="1"/>
  <c r="P6262" i="1" s="1"/>
  <c r="B6263" i="1"/>
  <c r="R6262" i="1" a="1"/>
  <c r="R6262" i="1" s="1"/>
  <c r="L6262" i="1" a="1"/>
  <c r="L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C6263" i="1" l="1"/>
  <c r="K6263" i="1" s="1" a="1"/>
  <c r="K6263" i="1" s="1"/>
  <c r="H6262" i="1"/>
  <c r="P6263" i="1" a="1"/>
  <c r="P6263" i="1" s="1"/>
  <c r="B6264" i="1"/>
  <c r="Q6263" i="1" a="1"/>
  <c r="Q6263" i="1" s="1"/>
  <c r="J6263" i="1" a="1"/>
  <c r="J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6263" i="1" l="1" a="1"/>
  <c r="I6263" i="1" s="1"/>
  <c r="O6263" i="1" a="1"/>
  <c r="O6263" i="1" s="1"/>
  <c r="L6263" i="1" a="1"/>
  <c r="L6263" i="1" s="1"/>
  <c r="C6264" i="1"/>
  <c r="K6264" i="1" s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J6264" i="1" a="1"/>
  <c r="J6264" i="1" s="1"/>
  <c r="P6264" i="1" a="1"/>
  <c r="P6264" i="1" s="1"/>
  <c r="I6264" i="1" l="1" a="1"/>
  <c r="I6264" i="1" s="1"/>
  <c r="O6264" i="1" a="1"/>
  <c r="O6264" i="1" s="1"/>
  <c r="L6264" i="1" a="1"/>
  <c r="L6264" i="1" s="1"/>
  <c r="C6265" i="1"/>
  <c r="J6265" i="1" s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C6266" i="1"/>
  <c r="H6265" i="1"/>
  <c r="A6268" i="1"/>
  <c r="I6266" i="1" a="1"/>
  <c r="I6266" i="1" s="1"/>
  <c r="M6266" i="1" a="1"/>
  <c r="M6266" i="1" s="1"/>
  <c r="Q6266" i="1" a="1"/>
  <c r="Q6266" i="1" s="1"/>
  <c r="R6266" i="1" a="1"/>
  <c r="R6266" i="1" s="1"/>
  <c r="N6266" i="1" a="1"/>
  <c r="N6266" i="1" s="1"/>
  <c r="J6266" i="1" a="1"/>
  <c r="J6266" i="1" s="1"/>
  <c r="S6266" i="1" a="1"/>
  <c r="S6266" i="1" s="1"/>
  <c r="P6266" i="1" a="1"/>
  <c r="P6266" i="1" s="1"/>
  <c r="K6266" i="1" a="1"/>
  <c r="K6266" i="1" s="1"/>
  <c r="L6266" i="1" a="1"/>
  <c r="L6266" i="1" s="1"/>
  <c r="O6266" i="1" a="1"/>
  <c r="O6266" i="1" s="1"/>
  <c r="B6267" i="1"/>
  <c r="C6267" i="1" l="1"/>
  <c r="L6267" i="1" s="1" a="1"/>
  <c r="L6267" i="1" s="1"/>
  <c r="H6266" i="1"/>
  <c r="P6267" i="1" a="1"/>
  <c r="P6267" i="1" s="1"/>
  <c r="N6267" i="1" a="1"/>
  <c r="N6267" i="1" s="1"/>
  <c r="J6267" i="1" a="1"/>
  <c r="J6267" i="1" s="1"/>
  <c r="S6267" i="1" a="1"/>
  <c r="S6267" i="1" s="1"/>
  <c r="O6267" i="1" a="1"/>
  <c r="O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I6267" i="1" l="1" a="1"/>
  <c r="I6267" i="1" s="1"/>
  <c r="C6268" i="1"/>
  <c r="O6268" i="1" s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C6269" i="1"/>
  <c r="J6269" i="1" s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B6270" i="1"/>
  <c r="M6269" i="1" a="1"/>
  <c r="M6269" i="1" s="1"/>
  <c r="O6269" i="1" a="1"/>
  <c r="O6269" i="1" s="1"/>
  <c r="I6269" i="1" a="1"/>
  <c r="I6269" i="1" s="1"/>
  <c r="Q6269" i="1" a="1"/>
  <c r="Q6269" i="1" s="1"/>
  <c r="S6269" i="1" a="1"/>
  <c r="S6269" i="1" s="1"/>
  <c r="A6271" i="1"/>
  <c r="L6269" i="1" l="1" a="1"/>
  <c r="L6269" i="1" s="1"/>
  <c r="C6270" i="1"/>
  <c r="L6270" i="1" s="1" a="1"/>
  <c r="L6270" i="1" s="1"/>
  <c r="H6269" i="1"/>
  <c r="I6270" i="1" a="1"/>
  <c r="I6270" i="1" s="1"/>
  <c r="M6270" i="1" a="1"/>
  <c r="M6270" i="1" s="1"/>
  <c r="Q6270" i="1" a="1"/>
  <c r="Q6270" i="1" s="1"/>
  <c r="P6270" i="1" a="1"/>
  <c r="P6270" i="1" s="1"/>
  <c r="B6271" i="1"/>
  <c r="J6270" i="1" a="1"/>
  <c r="J6270" i="1" s="1"/>
  <c r="R6270" i="1" a="1"/>
  <c r="R6270" i="1" s="1"/>
  <c r="S6270" i="1" a="1"/>
  <c r="S6270" i="1" s="1"/>
  <c r="K6270" i="1" a="1"/>
  <c r="K6270" i="1" s="1"/>
  <c r="N6270" i="1" a="1"/>
  <c r="N6270" i="1" s="1"/>
  <c r="A6272" i="1"/>
  <c r="O6270" i="1" l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C6272" i="1"/>
  <c r="K6272" i="1" s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C6274" i="1"/>
  <c r="K6274" i="1" s="1" a="1"/>
  <c r="K6274" i="1" s="1"/>
  <c r="H6273" i="1"/>
  <c r="A6276" i="1"/>
  <c r="B6275" i="1"/>
  <c r="I6274" i="1" a="1"/>
  <c r="I6274" i="1" s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L6274" i="1" l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K6275" i="1" a="1"/>
  <c r="K6275" i="1" s="1"/>
  <c r="R6275" i="1" a="1"/>
  <c r="R6275" i="1" s="1"/>
  <c r="M6275" i="1" a="1"/>
  <c r="M6275" i="1" s="1"/>
  <c r="S6275" i="1" a="1"/>
  <c r="S6275" i="1" s="1"/>
  <c r="N6275" i="1" a="1"/>
  <c r="N6275" i="1" s="1"/>
  <c r="J6275" i="1" a="1"/>
  <c r="J6275" i="1" s="1"/>
  <c r="Q6275" i="1" a="1"/>
  <c r="Q6275" i="1" s="1"/>
  <c r="A6277" i="1"/>
  <c r="I6275" i="1" l="1" a="1"/>
  <c r="I6275" i="1" s="1"/>
  <c r="O6275" i="1" a="1"/>
  <c r="O6275" i="1" s="1"/>
  <c r="C6276" i="1"/>
  <c r="K6276" i="1" s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I6277" i="1" a="1"/>
  <c r="I6277" i="1" s="1"/>
  <c r="M6277" i="1" a="1"/>
  <c r="M6277" i="1" s="1"/>
  <c r="A6279" i="1"/>
  <c r="L6277" i="1" l="1" a="1"/>
  <c r="L6277" i="1" s="1"/>
  <c r="O6277" i="1" a="1"/>
  <c r="O6277" i="1" s="1"/>
  <c r="C6278" i="1"/>
  <c r="K6278" i="1" s="1" a="1"/>
  <c r="K6278" i="1" s="1"/>
  <c r="H6277" i="1"/>
  <c r="A6280" i="1"/>
  <c r="M6278" i="1" a="1"/>
  <c r="M6278" i="1" s="1"/>
  <c r="N6278" i="1" a="1"/>
  <c r="N6278" i="1" s="1"/>
  <c r="S6278" i="1" a="1"/>
  <c r="S6278" i="1" s="1"/>
  <c r="J6278" i="1" a="1"/>
  <c r="J6278" i="1" s="1"/>
  <c r="B6279" i="1"/>
  <c r="P6278" i="1" a="1"/>
  <c r="P6278" i="1" s="1"/>
  <c r="Q6278" i="1" a="1"/>
  <c r="Q6278" i="1" s="1"/>
  <c r="R6278" i="1" a="1"/>
  <c r="R6278" i="1" s="1"/>
  <c r="L6278" i="1" a="1"/>
  <c r="L6278" i="1" s="1"/>
  <c r="I6278" i="1" l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K6279" i="1" a="1"/>
  <c r="K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I6279" i="1" l="1" a="1"/>
  <c r="I6279" i="1" s="1"/>
  <c r="O6279" i="1" a="1"/>
  <c r="O6279" i="1" s="1"/>
  <c r="J6279" i="1" a="1"/>
  <c r="J6279" i="1" s="1"/>
  <c r="C6280" i="1"/>
  <c r="O6280" i="1" s="1" a="1"/>
  <c r="O6280" i="1" s="1"/>
  <c r="H6279" i="1"/>
  <c r="K6280" i="1" a="1"/>
  <c r="K6280" i="1" s="1"/>
  <c r="P6280" i="1" a="1"/>
  <c r="P6280" i="1" s="1"/>
  <c r="B6281" i="1"/>
  <c r="L6280" i="1" a="1"/>
  <c r="L6280" i="1" s="1"/>
  <c r="Q6280" i="1" a="1"/>
  <c r="Q6280" i="1" s="1"/>
  <c r="M6280" i="1" a="1"/>
  <c r="M6280" i="1" s="1"/>
  <c r="N6280" i="1" a="1"/>
  <c r="N6280" i="1" s="1"/>
  <c r="R6280" i="1" a="1"/>
  <c r="R6280" i="1" s="1"/>
  <c r="I6280" i="1" a="1"/>
  <c r="I6280" i="1" s="1"/>
  <c r="S6280" i="1" a="1"/>
  <c r="S6280" i="1" s="1"/>
  <c r="J6280" i="1" a="1"/>
  <c r="J6280" i="1" s="1"/>
  <c r="A6282" i="1"/>
  <c r="C6281" i="1" l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I6281" i="1" a="1"/>
  <c r="I6281" i="1" s="1"/>
  <c r="R6281" i="1" a="1"/>
  <c r="R6281" i="1" s="1"/>
  <c r="N6281" i="1" a="1"/>
  <c r="N6281" i="1" s="1"/>
  <c r="S6281" i="1" a="1"/>
  <c r="S6281" i="1" s="1"/>
  <c r="J6281" i="1" a="1"/>
  <c r="J6281" i="1" s="1"/>
  <c r="K6281" i="1" a="1"/>
  <c r="K6281" i="1" s="1"/>
  <c r="A6283" i="1"/>
  <c r="O6281" i="1" l="1" a="1"/>
  <c r="O6281" i="1" s="1"/>
  <c r="C6282" i="1"/>
  <c r="O6282" i="1" s="1" a="1"/>
  <c r="O6282" i="1" s="1"/>
  <c r="H6281" i="1"/>
  <c r="A6284" i="1"/>
  <c r="L6282" i="1" a="1"/>
  <c r="L6282" i="1" s="1"/>
  <c r="Q6282" i="1" a="1"/>
  <c r="Q6282" i="1" s="1"/>
  <c r="M6282" i="1" a="1"/>
  <c r="M6282" i="1" s="1"/>
  <c r="R6282" i="1" a="1"/>
  <c r="R6282" i="1" s="1"/>
  <c r="N6282" i="1" a="1"/>
  <c r="N6282" i="1" s="1"/>
  <c r="J6282" i="1" a="1"/>
  <c r="J6282" i="1" s="1"/>
  <c r="S6282" i="1" a="1"/>
  <c r="S6282" i="1" s="1"/>
  <c r="P6282" i="1" a="1"/>
  <c r="P6282" i="1" s="1"/>
  <c r="B6283" i="1"/>
  <c r="K6282" i="1" a="1"/>
  <c r="K6282" i="1" s="1"/>
  <c r="I6282" i="1" l="1" a="1"/>
  <c r="I6282" i="1" s="1"/>
  <c r="C6283" i="1"/>
  <c r="L6283" i="1" s="1" a="1"/>
  <c r="L6283" i="1" s="1"/>
  <c r="H6282" i="1"/>
  <c r="B6284" i="1"/>
  <c r="M6283" i="1" a="1"/>
  <c r="M6283" i="1" s="1"/>
  <c r="R6283" i="1" a="1"/>
  <c r="R6283" i="1" s="1"/>
  <c r="N6283" i="1" a="1"/>
  <c r="N6283" i="1" s="1"/>
  <c r="J6283" i="1" a="1"/>
  <c r="J6283" i="1" s="1"/>
  <c r="S6283" i="1" a="1"/>
  <c r="S6283" i="1" s="1"/>
  <c r="P6283" i="1" a="1"/>
  <c r="P6283" i="1" s="1"/>
  <c r="Q6283" i="1" a="1"/>
  <c r="Q6283" i="1" s="1"/>
  <c r="K6283" i="1" a="1"/>
  <c r="K6283" i="1" s="1"/>
  <c r="A6285" i="1"/>
  <c r="I6283" i="1" l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J6284" i="1" a="1"/>
  <c r="J6284" i="1" s="1"/>
  <c r="S6284" i="1" a="1"/>
  <c r="S6284" i="1" s="1"/>
  <c r="O6284" i="1" a="1"/>
  <c r="O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I6284" i="1" l="1" a="1"/>
  <c r="I6284" i="1" s="1"/>
  <c r="C6285" i="1"/>
  <c r="L6285" i="1" s="1" a="1"/>
  <c r="L6285" i="1" s="1"/>
  <c r="H6284" i="1"/>
  <c r="N6285" i="1" a="1"/>
  <c r="N6285" i="1" s="1"/>
  <c r="S6285" i="1" a="1"/>
  <c r="S6285" i="1" s="1"/>
  <c r="J6285" i="1" a="1"/>
  <c r="J6285" i="1" s="1"/>
  <c r="O6285" i="1" a="1"/>
  <c r="O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I6285" i="1" l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L6286" i="1" a="1"/>
  <c r="L6286" i="1" s="1"/>
  <c r="Q6286" i="1" a="1"/>
  <c r="Q6286" i="1" s="1"/>
  <c r="I6286" i="1" a="1"/>
  <c r="I6286" i="1" s="1"/>
  <c r="M6286" i="1" a="1"/>
  <c r="M6286" i="1" s="1"/>
  <c r="N6286" i="1" a="1"/>
  <c r="N6286" i="1" s="1"/>
  <c r="R6286" i="1" a="1"/>
  <c r="R6286" i="1" s="1"/>
  <c r="S6286" i="1" a="1"/>
  <c r="S6286" i="1" s="1"/>
  <c r="O6286" i="1" l="1" a="1"/>
  <c r="O6286" i="1" s="1"/>
  <c r="C6287" i="1"/>
  <c r="J6287" i="1" s="1" a="1"/>
  <c r="J6287" i="1" s="1"/>
  <c r="H6286" i="1"/>
  <c r="B6288" i="1"/>
  <c r="K6287" i="1" a="1"/>
  <c r="K6287" i="1" s="1"/>
  <c r="P6287" i="1" a="1"/>
  <c r="P6287" i="1" s="1"/>
  <c r="L6287" i="1" a="1"/>
  <c r="L6287" i="1" s="1"/>
  <c r="Q6287" i="1" a="1"/>
  <c r="Q6287" i="1" s="1"/>
  <c r="M6287" i="1" a="1"/>
  <c r="M6287" i="1" s="1"/>
  <c r="I6287" i="1" a="1"/>
  <c r="I6287" i="1" s="1"/>
  <c r="R6287" i="1" a="1"/>
  <c r="R6287" i="1" s="1"/>
  <c r="N6287" i="1" a="1"/>
  <c r="N6287" i="1" s="1"/>
  <c r="S6287" i="1" a="1"/>
  <c r="S6287" i="1" s="1"/>
  <c r="A6289" i="1"/>
  <c r="O6287" i="1" l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I6288" i="1" a="1"/>
  <c r="I6288" i="1" s="1"/>
  <c r="R6288" i="1" a="1"/>
  <c r="R6288" i="1" s="1"/>
  <c r="N6288" i="1" a="1"/>
  <c r="N6288" i="1" s="1"/>
  <c r="J6288" i="1" a="1"/>
  <c r="J6288" i="1" s="1"/>
  <c r="B6289" i="1"/>
  <c r="P6288" i="1" a="1"/>
  <c r="P6288" i="1" s="1"/>
  <c r="S6288" i="1" a="1"/>
  <c r="S6288" i="1" s="1"/>
  <c r="O6288" i="1" l="1" a="1"/>
  <c r="O6288" i="1" s="1"/>
  <c r="L6288" i="1" a="1"/>
  <c r="L6288" i="1" s="1"/>
  <c r="C6289" i="1"/>
  <c r="O6289" i="1" s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J6289" i="1" a="1"/>
  <c r="J6289" i="1" s="1"/>
  <c r="B6290" i="1"/>
  <c r="K6289" i="1" a="1"/>
  <c r="K6289" i="1" s="1"/>
  <c r="P6289" i="1" a="1"/>
  <c r="P6289" i="1" s="1"/>
  <c r="A6291" i="1"/>
  <c r="I6289" i="1" l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I6290" i="1" a="1"/>
  <c r="I6290" i="1" s="1"/>
  <c r="N6290" i="1" a="1"/>
  <c r="N6290" i="1" s="1"/>
  <c r="J6290" i="1" a="1"/>
  <c r="J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O6290" i="1" l="1" a="1"/>
  <c r="O6290" i="1" s="1"/>
  <c r="C6291" i="1"/>
  <c r="O6291" i="1" s="1" a="1"/>
  <c r="O6291" i="1" s="1"/>
  <c r="H6290" i="1"/>
  <c r="A6293" i="1"/>
  <c r="B6292" i="1"/>
  <c r="N6291" i="1" a="1"/>
  <c r="N6291" i="1" s="1"/>
  <c r="J6291" i="1" a="1"/>
  <c r="J6291" i="1" s="1"/>
  <c r="S6291" i="1" a="1"/>
  <c r="S6291" i="1" s="1"/>
  <c r="K6291" i="1" a="1"/>
  <c r="K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I6291" i="1" l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L6292" i="1" a="1"/>
  <c r="L6292" i="1" s="1"/>
  <c r="Q6292" i="1" a="1"/>
  <c r="Q6292" i="1" s="1"/>
  <c r="R6292" i="1" a="1"/>
  <c r="R6292" i="1" s="1"/>
  <c r="M6292" i="1" a="1"/>
  <c r="M6292" i="1" s="1"/>
  <c r="N6292" i="1" a="1"/>
  <c r="N6292" i="1" s="1"/>
  <c r="A6294" i="1"/>
  <c r="I6292" i="1" l="1" a="1"/>
  <c r="I6292" i="1" s="1"/>
  <c r="O6292" i="1" a="1"/>
  <c r="O6292" i="1" s="1"/>
  <c r="C6293" i="1"/>
  <c r="O6293" i="1" s="1" a="1"/>
  <c r="O6293" i="1" s="1"/>
  <c r="H6292" i="1"/>
  <c r="A6295" i="1"/>
  <c r="K6293" i="1" a="1"/>
  <c r="K6293" i="1" s="1"/>
  <c r="P6293" i="1" a="1"/>
  <c r="P6293" i="1" s="1"/>
  <c r="B6294" i="1"/>
  <c r="L6293" i="1" a="1"/>
  <c r="L6293" i="1" s="1"/>
  <c r="Q6293" i="1" a="1"/>
  <c r="Q6293" i="1" s="1"/>
  <c r="M6293" i="1" a="1"/>
  <c r="M6293" i="1" s="1"/>
  <c r="R6293" i="1" a="1"/>
  <c r="R6293" i="1" s="1"/>
  <c r="S6293" i="1" a="1"/>
  <c r="S6293" i="1" s="1"/>
  <c r="I6293" i="1" a="1"/>
  <c r="I6293" i="1" s="1"/>
  <c r="N6293" i="1" a="1"/>
  <c r="N6293" i="1" s="1"/>
  <c r="J6293" i="1" a="1"/>
  <c r="J6293" i="1" s="1"/>
  <c r="C6294" i="1" l="1"/>
  <c r="H6293" i="1"/>
  <c r="P6294" i="1" a="1"/>
  <c r="P6294" i="1" s="1"/>
  <c r="B6295" i="1"/>
  <c r="L6294" i="1" a="1"/>
  <c r="L6294" i="1" s="1"/>
  <c r="Q6294" i="1" a="1"/>
  <c r="Q6294" i="1" s="1"/>
  <c r="M6294" i="1" a="1"/>
  <c r="M6294" i="1" s="1"/>
  <c r="R6294" i="1" a="1"/>
  <c r="R6294" i="1" s="1"/>
  <c r="I6294" i="1" a="1"/>
  <c r="I6294" i="1" s="1"/>
  <c r="N6294" i="1" a="1"/>
  <c r="N6294" i="1" s="1"/>
  <c r="O6294" i="1" a="1"/>
  <c r="O6294" i="1" s="1"/>
  <c r="S6294" i="1" a="1"/>
  <c r="S6294" i="1" s="1"/>
  <c r="J6294" i="1" a="1"/>
  <c r="J6294" i="1" s="1"/>
  <c r="K6294" i="1" a="1"/>
  <c r="K6294" i="1" s="1"/>
  <c r="A6296" i="1"/>
  <c r="C6295" i="1" l="1"/>
  <c r="L6295" i="1" s="1" a="1"/>
  <c r="L6295" i="1" s="1"/>
  <c r="H6294" i="1"/>
  <c r="A6297" i="1"/>
  <c r="B6296" i="1"/>
  <c r="Q6295" i="1" a="1"/>
  <c r="Q6295" i="1" s="1"/>
  <c r="M6295" i="1" a="1"/>
  <c r="M6295" i="1" s="1"/>
  <c r="I6295" i="1" a="1"/>
  <c r="I6295" i="1" s="1"/>
  <c r="R6295" i="1" a="1"/>
  <c r="R6295" i="1" s="1"/>
  <c r="N6295" i="1" a="1"/>
  <c r="N6295" i="1" s="1"/>
  <c r="J6295" i="1" a="1"/>
  <c r="J6295" i="1" s="1"/>
  <c r="S6295" i="1" a="1"/>
  <c r="S6295" i="1" s="1"/>
  <c r="P6295" i="1" a="1"/>
  <c r="P6295" i="1" s="1"/>
  <c r="K6295" i="1" a="1"/>
  <c r="K6295" i="1" s="1"/>
  <c r="O6295" i="1" l="1" a="1"/>
  <c r="O6295" i="1" s="1"/>
  <c r="C6296" i="1"/>
  <c r="J6296" i="1" s="1" a="1"/>
  <c r="J6296" i="1" s="1"/>
  <c r="H6295" i="1"/>
  <c r="M6296" i="1" a="1"/>
  <c r="M6296" i="1" s="1"/>
  <c r="I6296" i="1" a="1"/>
  <c r="I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B6297" i="1"/>
  <c r="K6296" i="1" a="1"/>
  <c r="K6296" i="1" s="1"/>
  <c r="A6298" i="1"/>
  <c r="L6296" i="1" l="1" a="1"/>
  <c r="L6296" i="1" s="1"/>
  <c r="O6296" i="1" a="1"/>
  <c r="O6296" i="1" s="1"/>
  <c r="C6297" i="1"/>
  <c r="O6297" i="1" s="1" a="1"/>
  <c r="O6297" i="1" s="1"/>
  <c r="H6296" i="1"/>
  <c r="R6297" i="1" a="1"/>
  <c r="R6297" i="1" s="1"/>
  <c r="N6297" i="1" a="1"/>
  <c r="N6297" i="1" s="1"/>
  <c r="S6297" i="1" a="1"/>
  <c r="S6297" i="1" s="1"/>
  <c r="J6297" i="1" a="1"/>
  <c r="J6297" i="1" s="1"/>
  <c r="K6297" i="1" a="1"/>
  <c r="K6297" i="1" s="1"/>
  <c r="P6297" i="1" a="1"/>
  <c r="P6297" i="1" s="1"/>
  <c r="B6298" i="1"/>
  <c r="M6297" i="1" a="1"/>
  <c r="M6297" i="1" s="1"/>
  <c r="Q6297" i="1" a="1"/>
  <c r="Q6297" i="1" s="1"/>
  <c r="L6297" i="1" a="1"/>
  <c r="L6297" i="1" s="1"/>
  <c r="A6299" i="1"/>
  <c r="I6297" i="1" l="1" a="1"/>
  <c r="I6297" i="1" s="1"/>
  <c r="C6298" i="1"/>
  <c r="J6298" i="1" s="1" a="1"/>
  <c r="J6298" i="1" s="1"/>
  <c r="H6297" i="1"/>
  <c r="S6298" i="1" a="1"/>
  <c r="S6298" i="1" s="1"/>
  <c r="K6298" i="1" a="1"/>
  <c r="K6298" i="1" s="1"/>
  <c r="P6298" i="1" a="1"/>
  <c r="P6298" i="1" s="1"/>
  <c r="B6299" i="1"/>
  <c r="L6298" i="1" a="1"/>
  <c r="L6298" i="1" s="1"/>
  <c r="M6298" i="1" a="1"/>
  <c r="M6298" i="1" s="1"/>
  <c r="N6298" i="1" a="1"/>
  <c r="N6298" i="1" s="1"/>
  <c r="Q6298" i="1" a="1"/>
  <c r="Q6298" i="1" s="1"/>
  <c r="R6298" i="1" a="1"/>
  <c r="R6298" i="1" s="1"/>
  <c r="A6300" i="1"/>
  <c r="I6298" i="1" l="1" a="1"/>
  <c r="I6298" i="1" s="1"/>
  <c r="O6298" i="1" a="1"/>
  <c r="O6298" i="1" s="1"/>
  <c r="C6299" i="1"/>
  <c r="J6299" i="1" s="1" a="1"/>
  <c r="J6299" i="1" s="1"/>
  <c r="H6298" i="1"/>
  <c r="A6301" i="1"/>
  <c r="B6300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I6299" i="1" a="1"/>
  <c r="I6299" i="1" s="1"/>
  <c r="S6299" i="1" a="1"/>
  <c r="S6299" i="1" s="1"/>
  <c r="O6299" i="1" l="1" a="1"/>
  <c r="O6299" i="1" s="1"/>
  <c r="L6299" i="1" a="1"/>
  <c r="L6299" i="1" s="1"/>
  <c r="C6300" i="1"/>
  <c r="K6300" i="1" s="1" a="1"/>
  <c r="K6300" i="1" s="1"/>
  <c r="H6299" i="1"/>
  <c r="P6300" i="1" a="1"/>
  <c r="P6300" i="1" s="1"/>
  <c r="B6301" i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J6301" i="1" a="1"/>
  <c r="J6301" i="1" s="1"/>
  <c r="B6302" i="1"/>
  <c r="K6301" i="1" a="1"/>
  <c r="K6301" i="1" s="1"/>
  <c r="P6301" i="1" a="1"/>
  <c r="P6301" i="1" s="1"/>
  <c r="I6301" i="1" l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J6302" i="1" a="1"/>
  <c r="J6302" i="1" s="1"/>
  <c r="S6302" i="1" a="1"/>
  <c r="S6302" i="1" s="1"/>
  <c r="B6303" i="1"/>
  <c r="K6302" i="1" a="1"/>
  <c r="K6302" i="1" s="1"/>
  <c r="P6302" i="1" a="1"/>
  <c r="P6302" i="1" s="1"/>
  <c r="A6304" i="1"/>
  <c r="I6302" i="1" l="1" a="1"/>
  <c r="I6302" i="1" s="1"/>
  <c r="L6302" i="1" a="1"/>
  <c r="L6302" i="1" s="1"/>
  <c r="C6303" i="1"/>
  <c r="K6303" i="1" s="1" a="1"/>
  <c r="K6303" i="1" s="1"/>
  <c r="H6302" i="1"/>
  <c r="A6305" i="1"/>
  <c r="B6304" i="1"/>
  <c r="R6303" i="1" a="1"/>
  <c r="R6303" i="1" s="1"/>
  <c r="N6303" i="1" a="1"/>
  <c r="N6303" i="1" s="1"/>
  <c r="J6303" i="1" a="1"/>
  <c r="J6303" i="1" s="1"/>
  <c r="S6303" i="1" a="1"/>
  <c r="S6303" i="1" s="1"/>
  <c r="M6303" i="1" a="1"/>
  <c r="M6303" i="1" s="1"/>
  <c r="Q6303" i="1" a="1"/>
  <c r="Q6303" i="1" s="1"/>
  <c r="P6303" i="1" a="1"/>
  <c r="P6303" i="1" s="1"/>
  <c r="I6303" i="1" l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B6305" i="1"/>
  <c r="L6304" i="1" a="1"/>
  <c r="L6304" i="1" s="1"/>
  <c r="R6304" i="1" a="1"/>
  <c r="R6304" i="1" s="1"/>
  <c r="I6304" i="1" a="1"/>
  <c r="I6304" i="1" s="1"/>
  <c r="M6304" i="1" a="1"/>
  <c r="M6304" i="1" s="1"/>
  <c r="Q6304" i="1" a="1"/>
  <c r="Q6304" i="1" s="1"/>
  <c r="A6306" i="1"/>
  <c r="O6304" i="1" l="1" a="1"/>
  <c r="O6304" i="1" s="1"/>
  <c r="C6305" i="1"/>
  <c r="J6305" i="1" s="1" a="1"/>
  <c r="J6305" i="1" s="1"/>
  <c r="H6304" i="1"/>
  <c r="A6307" i="1"/>
  <c r="K6305" i="1" a="1"/>
  <c r="K6305" i="1" s="1"/>
  <c r="P6305" i="1" a="1"/>
  <c r="P6305" i="1" s="1"/>
  <c r="B6306" i="1"/>
  <c r="L6305" i="1" a="1"/>
  <c r="L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I6305" i="1" l="1" a="1"/>
  <c r="I6305" i="1" s="1"/>
  <c r="O6305" i="1" a="1"/>
  <c r="O6305" i="1" s="1"/>
  <c r="C6306" i="1"/>
  <c r="O6306" i="1" s="1" a="1"/>
  <c r="O6306" i="1" s="1"/>
  <c r="H6305" i="1"/>
  <c r="K6306" i="1" a="1"/>
  <c r="K6306" i="1" s="1"/>
  <c r="P6306" i="1" a="1"/>
  <c r="P6306" i="1" s="1"/>
  <c r="B6307" i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J6306" i="1" a="1"/>
  <c r="J6306" i="1" s="1"/>
  <c r="N6306" i="1" a="1"/>
  <c r="N6306" i="1" s="1"/>
  <c r="A6308" i="1"/>
  <c r="I6306" i="1" l="1" a="1"/>
  <c r="I6306" i="1" s="1"/>
  <c r="C6307" i="1"/>
  <c r="L6307" i="1" s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I6307" i="1" a="1"/>
  <c r="I6307" i="1" s="1"/>
  <c r="N6307" i="1" a="1"/>
  <c r="N6307" i="1" s="1"/>
  <c r="R6307" i="1" a="1"/>
  <c r="R6307" i="1" s="1"/>
  <c r="S6307" i="1" a="1"/>
  <c r="S6307" i="1" s="1"/>
  <c r="J6307" i="1" a="1"/>
  <c r="J6307" i="1" s="1"/>
  <c r="K6307" i="1" a="1"/>
  <c r="K6307" i="1" s="1"/>
  <c r="O6307" i="1" a="1"/>
  <c r="O6307" i="1" s="1"/>
  <c r="C6308" i="1" l="1"/>
  <c r="H6307" i="1"/>
  <c r="K6308" i="1" a="1"/>
  <c r="K6308" i="1" s="1"/>
  <c r="O6308" i="1" a="1"/>
  <c r="O6308" i="1" s="1"/>
  <c r="S6308" i="1" a="1"/>
  <c r="S6308" i="1" s="1"/>
  <c r="L6308" i="1" a="1"/>
  <c r="L6308" i="1" s="1"/>
  <c r="P6308" i="1" a="1"/>
  <c r="P6308" i="1" s="1"/>
  <c r="B6309" i="1"/>
  <c r="I6308" i="1" a="1"/>
  <c r="I6308" i="1" s="1"/>
  <c r="M6308" i="1" a="1"/>
  <c r="M6308" i="1" s="1"/>
  <c r="Q6308" i="1" a="1"/>
  <c r="Q6308" i="1" s="1"/>
  <c r="N6308" i="1" a="1"/>
  <c r="N6308" i="1" s="1"/>
  <c r="R6308" i="1" a="1"/>
  <c r="R6308" i="1" s="1"/>
  <c r="J6308" i="1" a="1"/>
  <c r="J6308" i="1" s="1"/>
  <c r="A6310" i="1"/>
  <c r="C6309" i="1" l="1"/>
  <c r="J6309" i="1" s="1" a="1"/>
  <c r="J6309" i="1" s="1"/>
  <c r="H6308" i="1"/>
  <c r="N6309" i="1" a="1"/>
  <c r="N6309" i="1" s="1"/>
  <c r="R6309" i="1" a="1"/>
  <c r="R6309" i="1" s="1"/>
  <c r="K6309" i="1" a="1"/>
  <c r="K6309" i="1" s="1"/>
  <c r="O6309" i="1" a="1"/>
  <c r="O6309" i="1" s="1"/>
  <c r="S6309" i="1" a="1"/>
  <c r="S6309" i="1" s="1"/>
  <c r="P6309" i="1" a="1"/>
  <c r="P6309" i="1" s="1"/>
  <c r="M6309" i="1" a="1"/>
  <c r="M6309" i="1" s="1"/>
  <c r="Q6309" i="1" a="1"/>
  <c r="Q6309" i="1" s="1"/>
  <c r="I6309" i="1" a="1"/>
  <c r="I6309" i="1" s="1"/>
  <c r="B6310" i="1"/>
  <c r="A6311" i="1"/>
  <c r="L6309" i="1" l="1" a="1"/>
  <c r="L6309" i="1" s="1"/>
  <c r="C6310" i="1"/>
  <c r="J6310" i="1" s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K6310" i="1" a="1"/>
  <c r="K6310" i="1" s="1"/>
  <c r="S6310" i="1" a="1"/>
  <c r="S6310" i="1" s="1"/>
  <c r="B6311" i="1"/>
  <c r="P6310" i="1" a="1"/>
  <c r="P6310" i="1" s="1"/>
  <c r="A6312" i="1"/>
  <c r="I6310" i="1" l="1" a="1"/>
  <c r="I6310" i="1" s="1"/>
  <c r="O6310" i="1" a="1"/>
  <c r="O6310" i="1" s="1"/>
  <c r="L6310" i="1" a="1"/>
  <c r="L6310" i="1" s="1"/>
  <c r="C6311" i="1"/>
  <c r="L6311" i="1" s="1" a="1"/>
  <c r="L6311" i="1" s="1"/>
  <c r="H6310" i="1"/>
  <c r="A6313" i="1"/>
  <c r="P6311" i="1" a="1"/>
  <c r="P6311" i="1" s="1"/>
  <c r="B6312" i="1"/>
  <c r="I6311" i="1" a="1"/>
  <c r="I6311" i="1" s="1"/>
  <c r="M6311" i="1" a="1"/>
  <c r="M6311" i="1" s="1"/>
  <c r="Q6311" i="1" a="1"/>
  <c r="Q6311" i="1" s="1"/>
  <c r="J6311" i="1" a="1"/>
  <c r="J6311" i="1" s="1"/>
  <c r="N6311" i="1" a="1"/>
  <c r="N6311" i="1" s="1"/>
  <c r="R6311" i="1" a="1"/>
  <c r="R6311" i="1" s="1"/>
  <c r="S6311" i="1" a="1"/>
  <c r="S6311" i="1" s="1"/>
  <c r="K6311" i="1" a="1"/>
  <c r="K6311" i="1" s="1"/>
  <c r="O6311" i="1" a="1"/>
  <c r="O6311" i="1" s="1"/>
  <c r="C6312" i="1" l="1"/>
  <c r="O6312" i="1" s="1" a="1"/>
  <c r="O6312" i="1" s="1"/>
  <c r="H6311" i="1"/>
  <c r="K6312" i="1" a="1"/>
  <c r="K6312" i="1" s="1"/>
  <c r="S6312" i="1" a="1"/>
  <c r="S6312" i="1" s="1"/>
  <c r="L6312" i="1" a="1"/>
  <c r="L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J6312" i="1" a="1"/>
  <c r="J6312" i="1" s="1"/>
  <c r="N6312" i="1" a="1"/>
  <c r="N6312" i="1" s="1"/>
  <c r="A6314" i="1"/>
  <c r="I6312" i="1" l="1" a="1"/>
  <c r="I6312" i="1" s="1"/>
  <c r="C6313" i="1"/>
  <c r="L6313" i="1" s="1" a="1"/>
  <c r="L6313" i="1" s="1"/>
  <c r="H6312" i="1"/>
  <c r="A6315" i="1"/>
  <c r="J6313" i="1" a="1"/>
  <c r="J6313" i="1" s="1"/>
  <c r="N6313" i="1" a="1"/>
  <c r="N6313" i="1" s="1"/>
  <c r="R6313" i="1" a="1"/>
  <c r="R6313" i="1" s="1"/>
  <c r="K6313" i="1" a="1"/>
  <c r="K6313" i="1" s="1"/>
  <c r="O6313" i="1" a="1"/>
  <c r="O6313" i="1" s="1"/>
  <c r="S6313" i="1" a="1"/>
  <c r="S6313" i="1" s="1"/>
  <c r="P6313" i="1" a="1"/>
  <c r="P6313" i="1" s="1"/>
  <c r="M6313" i="1" a="1"/>
  <c r="M6313" i="1" s="1"/>
  <c r="Q6313" i="1" a="1"/>
  <c r="Q6313" i="1" s="1"/>
  <c r="I6313" i="1" a="1"/>
  <c r="I6313" i="1" s="1"/>
  <c r="B6314" i="1"/>
  <c r="C6314" i="1" l="1"/>
  <c r="O6314" i="1" s="1" a="1"/>
  <c r="O6314" i="1" s="1"/>
  <c r="H6313" i="1"/>
  <c r="I6314" i="1" a="1"/>
  <c r="I6314" i="1" s="1"/>
  <c r="M6314" i="1" a="1"/>
  <c r="M6314" i="1" s="1"/>
  <c r="Q6314" i="1" a="1"/>
  <c r="Q6314" i="1" s="1"/>
  <c r="J6314" i="1" a="1"/>
  <c r="J6314" i="1" s="1"/>
  <c r="N6314" i="1" a="1"/>
  <c r="N6314" i="1" s="1"/>
  <c r="R6314" i="1" a="1"/>
  <c r="R6314" i="1" s="1"/>
  <c r="K6314" i="1" a="1"/>
  <c r="K6314" i="1" s="1"/>
  <c r="S6314" i="1" a="1"/>
  <c r="S6314" i="1" s="1"/>
  <c r="B6315" i="1"/>
  <c r="P6314" i="1" a="1"/>
  <c r="P6314" i="1" s="1"/>
  <c r="A6316" i="1"/>
  <c r="L6314" i="1" l="1" a="1"/>
  <c r="L6314" i="1" s="1"/>
  <c r="C6315" i="1"/>
  <c r="J6315" i="1" s="1" a="1"/>
  <c r="J6315" i="1" s="1"/>
  <c r="H6314" i="1"/>
  <c r="A6317" i="1"/>
  <c r="L6315" i="1" a="1"/>
  <c r="L6315" i="1" s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a="1"/>
  <c r="K6315" i="1" s="1"/>
  <c r="I6315" i="1" l="1" a="1"/>
  <c r="I6315" i="1" s="1"/>
  <c r="O6315" i="1" a="1"/>
  <c r="O6315" i="1" s="1"/>
  <c r="C6316" i="1"/>
  <c r="L6316" i="1" s="1" a="1"/>
  <c r="L6316" i="1" s="1"/>
  <c r="H6315" i="1"/>
  <c r="K6316" i="1" a="1"/>
  <c r="K6316" i="1" s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J6316" i="1" a="1"/>
  <c r="J6316" i="1" s="1"/>
  <c r="N6316" i="1" a="1"/>
  <c r="N6316" i="1" s="1"/>
  <c r="A6318" i="1"/>
  <c r="I6316" i="1" l="1" a="1"/>
  <c r="I6316" i="1" s="1"/>
  <c r="O6316" i="1" a="1"/>
  <c r="O6316" i="1" s="1"/>
  <c r="C6317" i="1"/>
  <c r="J6317" i="1" s="1" a="1"/>
  <c r="J6317" i="1" s="1"/>
  <c r="H6316" i="1"/>
  <c r="N6317" i="1" a="1"/>
  <c r="N6317" i="1" s="1"/>
  <c r="R6317" i="1" a="1"/>
  <c r="R6317" i="1" s="1"/>
  <c r="K6317" i="1" a="1"/>
  <c r="K6317" i="1" s="1"/>
  <c r="O6317" i="1" a="1"/>
  <c r="O6317" i="1" s="1"/>
  <c r="S6317" i="1" a="1"/>
  <c r="S6317" i="1" s="1"/>
  <c r="L6317" i="1" a="1"/>
  <c r="L6317" i="1" s="1"/>
  <c r="P6317" i="1" a="1"/>
  <c r="P6317" i="1" s="1"/>
  <c r="Q6317" i="1" a="1"/>
  <c r="Q6317" i="1" s="1"/>
  <c r="I6317" i="1" a="1"/>
  <c r="I6317" i="1" s="1"/>
  <c r="B6318" i="1"/>
  <c r="M6317" i="1" a="1"/>
  <c r="M6317" i="1" s="1"/>
  <c r="A6319" i="1"/>
  <c r="C6318" i="1" l="1"/>
  <c r="L6318" i="1" s="1" a="1"/>
  <c r="L6318" i="1" s="1"/>
  <c r="H6317" i="1"/>
  <c r="M6318" i="1" a="1"/>
  <c r="M6318" i="1" s="1"/>
  <c r="Q6318" i="1" a="1"/>
  <c r="Q6318" i="1" s="1"/>
  <c r="J6318" i="1" a="1"/>
  <c r="J6318" i="1" s="1"/>
  <c r="N6318" i="1" a="1"/>
  <c r="N6318" i="1" s="1"/>
  <c r="R6318" i="1" a="1"/>
  <c r="R6318" i="1" s="1"/>
  <c r="K6318" i="1" a="1"/>
  <c r="K6318" i="1" s="1"/>
  <c r="S6318" i="1" a="1"/>
  <c r="S6318" i="1" s="1"/>
  <c r="P6318" i="1" a="1"/>
  <c r="P6318" i="1" s="1"/>
  <c r="B6319" i="1"/>
  <c r="A6320" i="1"/>
  <c r="I6318" i="1" l="1" a="1"/>
  <c r="I6318" i="1" s="1"/>
  <c r="O6318" i="1" a="1"/>
  <c r="O6318" i="1" s="1"/>
  <c r="C6319" i="1"/>
  <c r="J6319" i="1" s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J6320" i="1" a="1"/>
  <c r="J6320" i="1" s="1"/>
  <c r="N6320" i="1" a="1"/>
  <c r="N6320" i="1" s="1"/>
  <c r="A6322" i="1"/>
  <c r="I6320" i="1" l="1" a="1"/>
  <c r="I6320" i="1" s="1"/>
  <c r="L6320" i="1" a="1"/>
  <c r="L6320" i="1" s="1"/>
  <c r="C6321" i="1"/>
  <c r="O6321" i="1" s="1" a="1"/>
  <c r="O6321" i="1" s="1"/>
  <c r="H6320" i="1"/>
  <c r="J6321" i="1" a="1"/>
  <c r="J6321" i="1" s="1"/>
  <c r="N6321" i="1" a="1"/>
  <c r="N6321" i="1" s="1"/>
  <c r="R6321" i="1" a="1"/>
  <c r="R6321" i="1" s="1"/>
  <c r="K6321" i="1" a="1"/>
  <c r="K6321" i="1" s="1"/>
  <c r="S6321" i="1" a="1"/>
  <c r="S6321" i="1" s="1"/>
  <c r="L6321" i="1" a="1"/>
  <c r="L6321" i="1" s="1"/>
  <c r="P6321" i="1" a="1"/>
  <c r="P6321" i="1" s="1"/>
  <c r="Q6321" i="1" a="1"/>
  <c r="Q6321" i="1" s="1"/>
  <c r="I6321" i="1" a="1"/>
  <c r="I6321" i="1" s="1"/>
  <c r="B6322" i="1"/>
  <c r="M6321" i="1" a="1"/>
  <c r="M6321" i="1" s="1"/>
  <c r="A6323" i="1"/>
  <c r="C6322" i="1" l="1"/>
  <c r="O6322" i="1" s="1" a="1"/>
  <c r="O6322" i="1" s="1"/>
  <c r="H6321" i="1"/>
  <c r="A6324" i="1"/>
  <c r="I6322" i="1" a="1"/>
  <c r="I6322" i="1" s="1"/>
  <c r="M6322" i="1" a="1"/>
  <c r="M6322" i="1" s="1"/>
  <c r="Q6322" i="1" a="1"/>
  <c r="Q6322" i="1" s="1"/>
  <c r="J6322" i="1" a="1"/>
  <c r="J6322" i="1" s="1"/>
  <c r="N6322" i="1" a="1"/>
  <c r="N6322" i="1" s="1"/>
  <c r="R6322" i="1" a="1"/>
  <c r="R6322" i="1" s="1"/>
  <c r="K6322" i="1" a="1"/>
  <c r="K6322" i="1" s="1"/>
  <c r="S6322" i="1" a="1"/>
  <c r="S6322" i="1" s="1"/>
  <c r="P6322" i="1" a="1"/>
  <c r="P6322" i="1" s="1"/>
  <c r="B6323" i="1"/>
  <c r="L6322" i="1" a="1"/>
  <c r="L6322" i="1" s="1"/>
  <c r="C6323" i="1" l="1"/>
  <c r="L6323" i="1" s="1" a="1"/>
  <c r="L6323" i="1" s="1"/>
  <c r="H6322" i="1"/>
  <c r="P6323" i="1" a="1"/>
  <c r="P6323" i="1" s="1"/>
  <c r="B6324" i="1"/>
  <c r="M6323" i="1" a="1"/>
  <c r="M6323" i="1" s="1"/>
  <c r="Q6323" i="1" a="1"/>
  <c r="Q6323" i="1" s="1"/>
  <c r="J6323" i="1" a="1"/>
  <c r="J6323" i="1" s="1"/>
  <c r="N6323" i="1" a="1"/>
  <c r="N6323" i="1" s="1"/>
  <c r="R6323" i="1" a="1"/>
  <c r="R6323" i="1" s="1"/>
  <c r="K6323" i="1" a="1"/>
  <c r="K6323" i="1" s="1"/>
  <c r="O6323" i="1" a="1"/>
  <c r="O6323" i="1" s="1"/>
  <c r="S6323" i="1" a="1"/>
  <c r="S6323" i="1" s="1"/>
  <c r="A6325" i="1"/>
  <c r="I6323" i="1" l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L6324" i="1" a="1"/>
  <c r="L6324" i="1" s="1"/>
  <c r="P6324" i="1" a="1"/>
  <c r="P6324" i="1" s="1"/>
  <c r="B6325" i="1"/>
  <c r="I6324" i="1" a="1"/>
  <c r="I6324" i="1" s="1"/>
  <c r="M6324" i="1" a="1"/>
  <c r="M6324" i="1" s="1"/>
  <c r="Q6324" i="1" a="1"/>
  <c r="Q6324" i="1" s="1"/>
  <c r="J6324" i="1" a="1"/>
  <c r="J6324" i="1" s="1"/>
  <c r="N6324" i="1" a="1"/>
  <c r="N6324" i="1" s="1"/>
  <c r="R6324" i="1" a="1"/>
  <c r="R6324" i="1" s="1"/>
  <c r="C6325" i="1" l="1"/>
  <c r="H6324" i="1"/>
  <c r="J6325" i="1" a="1"/>
  <c r="J6325" i="1" s="1"/>
  <c r="N6325" i="1" a="1"/>
  <c r="N6325" i="1" s="1"/>
  <c r="R6325" i="1" a="1"/>
  <c r="R6325" i="1" s="1"/>
  <c r="K6325" i="1" a="1"/>
  <c r="K6325" i="1" s="1"/>
  <c r="O6325" i="1" a="1"/>
  <c r="O6325" i="1" s="1"/>
  <c r="S6325" i="1" a="1"/>
  <c r="S6325" i="1" s="1"/>
  <c r="L6325" i="1" a="1"/>
  <c r="L6325" i="1" s="1"/>
  <c r="P6325" i="1" a="1"/>
  <c r="P6325" i="1" s="1"/>
  <c r="Q6325" i="1" a="1"/>
  <c r="Q6325" i="1" s="1"/>
  <c r="I6325" i="1" a="1"/>
  <c r="I6325" i="1" s="1"/>
  <c r="B6326" i="1"/>
  <c r="M6325" i="1" a="1"/>
  <c r="M6325" i="1" s="1"/>
  <c r="A6327" i="1"/>
  <c r="C6326" i="1" l="1"/>
  <c r="O6326" i="1" s="1" a="1"/>
  <c r="O6326" i="1" s="1"/>
  <c r="H6325" i="1"/>
  <c r="M6326" i="1" a="1"/>
  <c r="M6326" i="1" s="1"/>
  <c r="Q6326" i="1" a="1"/>
  <c r="Q6326" i="1" s="1"/>
  <c r="J6326" i="1" a="1"/>
  <c r="J6326" i="1" s="1"/>
  <c r="N6326" i="1" a="1"/>
  <c r="N6326" i="1" s="1"/>
  <c r="R6326" i="1" a="1"/>
  <c r="R6326" i="1" s="1"/>
  <c r="K6326" i="1" a="1"/>
  <c r="K6326" i="1" s="1"/>
  <c r="S6326" i="1" a="1"/>
  <c r="S6326" i="1" s="1"/>
  <c r="P6326" i="1" a="1"/>
  <c r="P6326" i="1" s="1"/>
  <c r="L6326" i="1" a="1"/>
  <c r="L6326" i="1" s="1"/>
  <c r="B6327" i="1"/>
  <c r="A6328" i="1"/>
  <c r="I6326" i="1" l="1" a="1"/>
  <c r="I6326" i="1" s="1"/>
  <c r="C6327" i="1"/>
  <c r="L6327" i="1" s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J6327" i="1" a="1"/>
  <c r="J6327" i="1" s="1"/>
  <c r="N6327" i="1" a="1"/>
  <c r="N6327" i="1" s="1"/>
  <c r="R6327" i="1" a="1"/>
  <c r="R6327" i="1" s="1"/>
  <c r="O6327" i="1" a="1"/>
  <c r="O6327" i="1" s="1"/>
  <c r="K6327" i="1" a="1"/>
  <c r="K6327" i="1" s="1"/>
  <c r="S6327" i="1" a="1"/>
  <c r="S6327" i="1" s="1"/>
  <c r="I6327" i="1" l="1" a="1"/>
  <c r="I6327" i="1" s="1"/>
  <c r="C6328" i="1"/>
  <c r="O6328" i="1" s="1" a="1"/>
  <c r="O6328" i="1" s="1"/>
  <c r="H6327" i="1"/>
  <c r="K6328" i="1" a="1"/>
  <c r="K6328" i="1" s="1"/>
  <c r="S6328" i="1" a="1"/>
  <c r="S6328" i="1" s="1"/>
  <c r="L6328" i="1" a="1"/>
  <c r="L6328" i="1" s="1"/>
  <c r="P6328" i="1" a="1"/>
  <c r="P6328" i="1" s="1"/>
  <c r="B6329" i="1"/>
  <c r="I6328" i="1" a="1"/>
  <c r="I6328" i="1" s="1"/>
  <c r="M6328" i="1" a="1"/>
  <c r="M6328" i="1" s="1"/>
  <c r="Q6328" i="1" a="1"/>
  <c r="Q6328" i="1" s="1"/>
  <c r="N6328" i="1" a="1"/>
  <c r="N6328" i="1" s="1"/>
  <c r="R6328" i="1" a="1"/>
  <c r="R6328" i="1" s="1"/>
  <c r="A6330" i="1"/>
  <c r="J6328" i="1" l="1" a="1"/>
  <c r="J6328" i="1" s="1"/>
  <c r="C6329" i="1"/>
  <c r="L6329" i="1" s="1" a="1"/>
  <c r="L6329" i="1" s="1"/>
  <c r="H6328" i="1"/>
  <c r="J6329" i="1" a="1"/>
  <c r="J6329" i="1" s="1"/>
  <c r="N6329" i="1" a="1"/>
  <c r="N6329" i="1" s="1"/>
  <c r="R6329" i="1" a="1"/>
  <c r="R6329" i="1" s="1"/>
  <c r="K6329" i="1" a="1"/>
  <c r="K6329" i="1" s="1"/>
  <c r="O6329" i="1" a="1"/>
  <c r="O6329" i="1" s="1"/>
  <c r="S6329" i="1" a="1"/>
  <c r="S6329" i="1" s="1"/>
  <c r="P6329" i="1" a="1"/>
  <c r="P6329" i="1" s="1"/>
  <c r="Q6329" i="1" a="1"/>
  <c r="Q6329" i="1" s="1"/>
  <c r="B6330" i="1"/>
  <c r="M6329" i="1" a="1"/>
  <c r="M6329" i="1" s="1"/>
  <c r="A6331" i="1"/>
  <c r="I6329" i="1" l="1" a="1"/>
  <c r="I6329" i="1" s="1"/>
  <c r="C6330" i="1"/>
  <c r="O6330" i="1" s="1" a="1"/>
  <c r="O6330" i="1" s="1"/>
  <c r="H6329" i="1"/>
  <c r="M6330" i="1" a="1"/>
  <c r="M6330" i="1" s="1"/>
  <c r="Q6330" i="1" a="1"/>
  <c r="Q6330" i="1" s="1"/>
  <c r="J6330" i="1" a="1"/>
  <c r="J6330" i="1" s="1"/>
  <c r="N6330" i="1" a="1"/>
  <c r="N6330" i="1" s="1"/>
  <c r="R6330" i="1" a="1"/>
  <c r="R6330" i="1" s="1"/>
  <c r="K6330" i="1" a="1"/>
  <c r="K6330" i="1" s="1"/>
  <c r="S6330" i="1" a="1"/>
  <c r="S6330" i="1" s="1"/>
  <c r="L6330" i="1" a="1"/>
  <c r="L6330" i="1" s="1"/>
  <c r="B6331" i="1"/>
  <c r="P6330" i="1" a="1"/>
  <c r="P6330" i="1" s="1"/>
  <c r="A6332" i="1"/>
  <c r="I6330" i="1" l="1" a="1"/>
  <c r="I6330" i="1" s="1"/>
  <c r="C6331" i="1"/>
  <c r="J6331" i="1" s="1" a="1"/>
  <c r="J6331" i="1" s="1"/>
  <c r="H6330" i="1"/>
  <c r="A6333" i="1"/>
  <c r="P6331" i="1" a="1"/>
  <c r="P6331" i="1" s="1"/>
  <c r="B6332" i="1"/>
  <c r="I6331" i="1" a="1"/>
  <c r="I6331" i="1" s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O6331" i="1" l="1" a="1"/>
  <c r="O6331" i="1" s="1"/>
  <c r="L6331" i="1" a="1"/>
  <c r="L6331" i="1" s="1"/>
  <c r="C6332" i="1"/>
  <c r="J6332" i="1" s="1" a="1"/>
  <c r="J6332" i="1" s="1"/>
  <c r="H6331" i="1"/>
  <c r="S6332" i="1" a="1"/>
  <c r="S6332" i="1" s="1"/>
  <c r="I6332" i="1" a="1"/>
  <c r="I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L6332" i="1" l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K6333" i="1" a="1"/>
  <c r="K6333" i="1" s="1"/>
  <c r="Q6333" i="1" a="1"/>
  <c r="Q6333" i="1" s="1"/>
  <c r="S6333" i="1" a="1"/>
  <c r="S6333" i="1" s="1"/>
  <c r="B6334" i="1"/>
  <c r="M6333" i="1" a="1"/>
  <c r="M6333" i="1" s="1"/>
  <c r="I6333" i="1" l="1" a="1"/>
  <c r="I6333" i="1" s="1"/>
  <c r="O6333" i="1" a="1"/>
  <c r="O6333" i="1" s="1"/>
  <c r="J6333" i="1" a="1"/>
  <c r="J6333" i="1" s="1"/>
  <c r="C6334" i="1"/>
  <c r="J6334" i="1" s="1" a="1"/>
  <c r="J6334" i="1" s="1"/>
  <c r="H6333" i="1"/>
  <c r="I6334" i="1" a="1"/>
  <c r="I6334" i="1" s="1"/>
  <c r="M6334" i="1" a="1"/>
  <c r="M6334" i="1" s="1"/>
  <c r="Q6334" i="1" a="1"/>
  <c r="Q6334" i="1" s="1"/>
  <c r="K6334" i="1" a="1"/>
  <c r="K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O6334" i="1" l="1" a="1"/>
  <c r="O6334" i="1" s="1"/>
  <c r="L6334" i="1" a="1"/>
  <c r="L6334" i="1" s="1"/>
  <c r="C6335" i="1"/>
  <c r="L6335" i="1" s="1" a="1"/>
  <c r="L6335" i="1" s="1"/>
  <c r="H6334" i="1"/>
  <c r="P6335" i="1" a="1"/>
  <c r="P6335" i="1" s="1"/>
  <c r="B6336" i="1"/>
  <c r="J6335" i="1" a="1"/>
  <c r="J6335" i="1" s="1"/>
  <c r="N6335" i="1" a="1"/>
  <c r="N6335" i="1" s="1"/>
  <c r="R6335" i="1" a="1"/>
  <c r="R6335" i="1" s="1"/>
  <c r="O6335" i="1" a="1"/>
  <c r="O6335" i="1" s="1"/>
  <c r="Q6335" i="1" a="1"/>
  <c r="Q6335" i="1" s="1"/>
  <c r="K6335" i="1" a="1"/>
  <c r="K6335" i="1" s="1"/>
  <c r="M6335" i="1" a="1"/>
  <c r="M6335" i="1" s="1"/>
  <c r="S6335" i="1" a="1"/>
  <c r="S6335" i="1" s="1"/>
  <c r="A6337" i="1"/>
  <c r="I6335" i="1" l="1" a="1"/>
  <c r="I6335" i="1" s="1"/>
  <c r="C6336" i="1"/>
  <c r="K6336" i="1" s="1" a="1"/>
  <c r="K6336" i="1" s="1"/>
  <c r="H6335" i="1"/>
  <c r="S6336" i="1" a="1"/>
  <c r="S6336" i="1" s="1"/>
  <c r="I6336" i="1" a="1"/>
  <c r="I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J6336" i="1" a="1"/>
  <c r="J6336" i="1" s="1"/>
  <c r="R6336" i="1" a="1"/>
  <c r="R6336" i="1" s="1"/>
  <c r="A6338" i="1"/>
  <c r="L6336" i="1" l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L6337" i="1" a="1"/>
  <c r="L6337" i="1" s="1"/>
  <c r="P6337" i="1" a="1"/>
  <c r="P6337" i="1" s="1"/>
  <c r="B6338" i="1"/>
  <c r="K6337" i="1" a="1"/>
  <c r="K6337" i="1" s="1"/>
  <c r="Q6337" i="1" a="1"/>
  <c r="Q6337" i="1" s="1"/>
  <c r="S6337" i="1" a="1"/>
  <c r="S6337" i="1" s="1"/>
  <c r="M6337" i="1" a="1"/>
  <c r="M6337" i="1" s="1"/>
  <c r="A6339" i="1"/>
  <c r="I6337" i="1" l="1" a="1"/>
  <c r="I6337" i="1" s="1"/>
  <c r="O6337" i="1" a="1"/>
  <c r="O6337" i="1" s="1"/>
  <c r="C6338" i="1"/>
  <c r="O6338" i="1" s="1" a="1"/>
  <c r="O6338" i="1" s="1"/>
  <c r="H6337" i="1"/>
  <c r="M6338" i="1" a="1"/>
  <c r="M6338" i="1" s="1"/>
  <c r="Q6338" i="1" a="1"/>
  <c r="Q6338" i="1" s="1"/>
  <c r="K6338" i="1" a="1"/>
  <c r="K6338" i="1" s="1"/>
  <c r="S6338" i="1" a="1"/>
  <c r="S6338" i="1" s="1"/>
  <c r="N6338" i="1" a="1"/>
  <c r="N6338" i="1" s="1"/>
  <c r="B6339" i="1"/>
  <c r="J6338" i="1" a="1"/>
  <c r="J6338" i="1" s="1"/>
  <c r="P6338" i="1" a="1"/>
  <c r="P6338" i="1" s="1"/>
  <c r="L6338" i="1" a="1"/>
  <c r="L6338" i="1" s="1"/>
  <c r="R6338" i="1" a="1"/>
  <c r="R6338" i="1" s="1"/>
  <c r="A6340" i="1"/>
  <c r="I6338" i="1" l="1" a="1"/>
  <c r="I6338" i="1" s="1"/>
  <c r="C6339" i="1"/>
  <c r="J6339" i="1" s="1" a="1"/>
  <c r="J6339" i="1" s="1"/>
  <c r="H6338" i="1"/>
  <c r="P6339" i="1" a="1"/>
  <c r="P6339" i="1" s="1"/>
  <c r="B6340" i="1"/>
  <c r="N6339" i="1" a="1"/>
  <c r="N6339" i="1" s="1"/>
  <c r="R6339" i="1" a="1"/>
  <c r="R6339" i="1" s="1"/>
  <c r="I6339" i="1" a="1"/>
  <c r="I6339" i="1" s="1"/>
  <c r="Q6339" i="1" a="1"/>
  <c r="Q6339" i="1" s="1"/>
  <c r="M6339" i="1" a="1"/>
  <c r="M6339" i="1" s="1"/>
  <c r="S6339" i="1" a="1"/>
  <c r="S6339" i="1" s="1"/>
  <c r="A6341" i="1"/>
  <c r="O6339" i="1" l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I6340" i="1" a="1"/>
  <c r="I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O6340" i="1" l="1" a="1"/>
  <c r="O6340" i="1" s="1"/>
  <c r="L6340" i="1" a="1"/>
  <c r="L6340" i="1" s="1"/>
  <c r="J6340" i="1" a="1"/>
  <c r="J6340" i="1" s="1"/>
  <c r="C6341" i="1"/>
  <c r="J6341" i="1" s="1" a="1"/>
  <c r="J6341" i="1" s="1"/>
  <c r="H6340" i="1"/>
  <c r="N6341" i="1" a="1"/>
  <c r="N6341" i="1" s="1"/>
  <c r="R6341" i="1" a="1"/>
  <c r="R6341" i="1" s="1"/>
  <c r="L6341" i="1" a="1"/>
  <c r="L6341" i="1" s="1"/>
  <c r="P6341" i="1" a="1"/>
  <c r="P6341" i="1" s="1"/>
  <c r="M6341" i="1" a="1"/>
  <c r="M6341" i="1" s="1"/>
  <c r="B6342" i="1"/>
  <c r="O6341" i="1" a="1"/>
  <c r="O6341" i="1" s="1"/>
  <c r="Q6341" i="1" a="1"/>
  <c r="Q6341" i="1" s="1"/>
  <c r="S6341" i="1" a="1"/>
  <c r="S6341" i="1" s="1"/>
  <c r="K6341" i="1" a="1"/>
  <c r="K6341" i="1" s="1"/>
  <c r="A6343" i="1"/>
  <c r="I6341" i="1" l="1" a="1"/>
  <c r="I6341" i="1" s="1"/>
  <c r="C6342" i="1"/>
  <c r="O6342" i="1" s="1" a="1"/>
  <c r="O6342" i="1" s="1"/>
  <c r="H6341" i="1"/>
  <c r="A6344" i="1"/>
  <c r="M6342" i="1" a="1"/>
  <c r="M6342" i="1" s="1"/>
  <c r="Q6342" i="1" a="1"/>
  <c r="Q6342" i="1" s="1"/>
  <c r="K6342" i="1" a="1"/>
  <c r="K6342" i="1" s="1"/>
  <c r="S6342" i="1" a="1"/>
  <c r="S6342" i="1" s="1"/>
  <c r="N6342" i="1" a="1"/>
  <c r="N6342" i="1" s="1"/>
  <c r="B6343" i="1"/>
  <c r="J6342" i="1" a="1"/>
  <c r="J6342" i="1" s="1"/>
  <c r="P6342" i="1" a="1"/>
  <c r="P6342" i="1" s="1"/>
  <c r="R6342" i="1" a="1"/>
  <c r="R6342" i="1" s="1"/>
  <c r="L6342" i="1" a="1"/>
  <c r="L6342" i="1" s="1"/>
  <c r="I6342" i="1" l="1" a="1"/>
  <c r="I6342" i="1" s="1"/>
  <c r="C6343" i="1"/>
  <c r="L6343" i="1" s="1" a="1"/>
  <c r="L6343" i="1" s="1"/>
  <c r="H6342" i="1"/>
  <c r="P6343" i="1" a="1"/>
  <c r="P6343" i="1" s="1"/>
  <c r="B6344" i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C6344" i="1"/>
  <c r="O6344" i="1" s="1" a="1"/>
  <c r="O6344" i="1" s="1"/>
  <c r="H6343" i="1"/>
  <c r="K6344" i="1" a="1"/>
  <c r="K6344" i="1" s="1"/>
  <c r="S6344" i="1" a="1"/>
  <c r="S6344" i="1" s="1"/>
  <c r="B6345" i="1"/>
  <c r="J6344" i="1" a="1"/>
  <c r="J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I6344" i="1" l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B6346" i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C6346" i="1"/>
  <c r="O6346" i="1" s="1" a="1"/>
  <c r="O6346" i="1" s="1"/>
  <c r="H6345" i="1"/>
  <c r="M6346" i="1" a="1"/>
  <c r="M6346" i="1" s="1"/>
  <c r="Q6346" i="1" a="1"/>
  <c r="Q6346" i="1" s="1"/>
  <c r="B6347" i="1"/>
  <c r="K6346" i="1" a="1"/>
  <c r="K6346" i="1" s="1"/>
  <c r="P6346" i="1" a="1"/>
  <c r="P6346" i="1" s="1"/>
  <c r="R6346" i="1" a="1"/>
  <c r="R6346" i="1" s="1"/>
  <c r="J6346" i="1" a="1"/>
  <c r="J6346" i="1" s="1"/>
  <c r="N6346" i="1" a="1"/>
  <c r="N6346" i="1" s="1"/>
  <c r="S6346" i="1" a="1"/>
  <c r="S6346" i="1" s="1"/>
  <c r="A6348" i="1"/>
  <c r="I6346" i="1" l="1" a="1"/>
  <c r="I6346" i="1" s="1"/>
  <c r="L6346" i="1" a="1"/>
  <c r="L6346" i="1" s="1"/>
  <c r="C6347" i="1"/>
  <c r="J6347" i="1" s="1" a="1"/>
  <c r="J6347" i="1" s="1"/>
  <c r="H6346" i="1"/>
  <c r="A6349" i="1"/>
  <c r="L6347" i="1" a="1"/>
  <c r="L6347" i="1" s="1"/>
  <c r="P6347" i="1" a="1"/>
  <c r="P6347" i="1" s="1"/>
  <c r="B6348" i="1"/>
  <c r="I6347" i="1" a="1"/>
  <c r="I6347" i="1" s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a="1"/>
  <c r="K6347" i="1" s="1"/>
  <c r="O6347" i="1" l="1" a="1"/>
  <c r="O6347" i="1" s="1"/>
  <c r="C6348" i="1"/>
  <c r="L6348" i="1" s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J6348" i="1" a="1"/>
  <c r="J6348" i="1" s="1"/>
  <c r="B6349" i="1"/>
  <c r="I6348" i="1" a="1"/>
  <c r="I6348" i="1" s="1"/>
  <c r="O6348" i="1" l="1" a="1"/>
  <c r="O6348" i="1" s="1"/>
  <c r="C6349" i="1"/>
  <c r="J6349" i="1" s="1" a="1"/>
  <c r="J6349" i="1" s="1"/>
  <c r="H6348" i="1"/>
  <c r="A6351" i="1"/>
  <c r="N6349" i="1" a="1"/>
  <c r="N6349" i="1" s="1"/>
  <c r="R6349" i="1" a="1"/>
  <c r="R6349" i="1" s="1"/>
  <c r="O6349" i="1" a="1"/>
  <c r="O6349" i="1" s="1"/>
  <c r="B6350" i="1"/>
  <c r="K6349" i="1" a="1"/>
  <c r="K6349" i="1" s="1"/>
  <c r="P6349" i="1" a="1"/>
  <c r="P6349" i="1" s="1"/>
  <c r="M6349" i="1" a="1"/>
  <c r="M6349" i="1" s="1"/>
  <c r="Q6349" i="1" a="1"/>
  <c r="Q6349" i="1" s="1"/>
  <c r="S6349" i="1" a="1"/>
  <c r="S6349" i="1" s="1"/>
  <c r="L6349" i="1" a="1"/>
  <c r="L6349" i="1" s="1"/>
  <c r="I6349" i="1" l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L6350" i="1" a="1"/>
  <c r="L6350" i="1" s="1"/>
  <c r="R6350" i="1" a="1"/>
  <c r="R6350" i="1" s="1"/>
  <c r="N6350" i="1" a="1"/>
  <c r="N6350" i="1" s="1"/>
  <c r="S6350" i="1" a="1"/>
  <c r="S6350" i="1" s="1"/>
  <c r="P6350" i="1" a="1"/>
  <c r="P6350" i="1" s="1"/>
  <c r="B6351" i="1"/>
  <c r="J6350" i="1" a="1"/>
  <c r="J6350" i="1" s="1"/>
  <c r="K6350" i="1" a="1"/>
  <c r="K6350" i="1" s="1"/>
  <c r="I6350" i="1" l="1" a="1"/>
  <c r="I6350" i="1" s="1"/>
  <c r="C6351" i="1"/>
  <c r="L6351" i="1" s="1" a="1"/>
  <c r="L6351" i="1" s="1"/>
  <c r="H6350" i="1"/>
  <c r="P6351" i="1" a="1"/>
  <c r="P6351" i="1" s="1"/>
  <c r="B6352" i="1"/>
  <c r="J6351" i="1" a="1"/>
  <c r="J6351" i="1" s="1"/>
  <c r="K6351" i="1" a="1"/>
  <c r="K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I6351" i="1" l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B6353" i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K6353" i="1" a="1"/>
  <c r="K6353" i="1" s="1"/>
  <c r="P6353" i="1" a="1"/>
  <c r="P6353" i="1" s="1"/>
  <c r="B6354" i="1"/>
  <c r="Q6353" i="1" a="1"/>
  <c r="Q6353" i="1" s="1"/>
  <c r="S6353" i="1" a="1"/>
  <c r="S6353" i="1" s="1"/>
  <c r="I6353" i="1" a="1"/>
  <c r="I6353" i="1" s="1"/>
  <c r="M6353" i="1" a="1"/>
  <c r="M6353" i="1" s="1"/>
  <c r="A6355" i="1"/>
  <c r="L6353" i="1" l="1" a="1"/>
  <c r="L6353" i="1" s="1"/>
  <c r="O6353" i="1" a="1"/>
  <c r="O6353" i="1" s="1"/>
  <c r="C6354" i="1"/>
  <c r="O6354" i="1" s="1" a="1"/>
  <c r="O6354" i="1" s="1"/>
  <c r="H6353" i="1"/>
  <c r="A6356" i="1"/>
  <c r="I6354" i="1" a="1"/>
  <c r="I6354" i="1" s="1"/>
  <c r="M6354" i="1" a="1"/>
  <c r="M6354" i="1" s="1"/>
  <c r="Q6354" i="1" a="1"/>
  <c r="Q6354" i="1" s="1"/>
  <c r="K6354" i="1" a="1"/>
  <c r="K6354" i="1" s="1"/>
  <c r="P6354" i="1" a="1"/>
  <c r="P6354" i="1" s="1"/>
  <c r="B6355" i="1"/>
  <c r="R6354" i="1" a="1"/>
  <c r="R6354" i="1" s="1"/>
  <c r="S6354" i="1" a="1"/>
  <c r="S6354" i="1" s="1"/>
  <c r="J6354" i="1" a="1"/>
  <c r="J6354" i="1" s="1"/>
  <c r="N6354" i="1" a="1"/>
  <c r="N6354" i="1" s="1"/>
  <c r="L6354" i="1" l="1" a="1"/>
  <c r="L6354" i="1" s="1"/>
  <c r="C6355" i="1"/>
  <c r="J6355" i="1" s="1" a="1"/>
  <c r="J6355" i="1" s="1"/>
  <c r="H6354" i="1"/>
  <c r="L6355" i="1" a="1"/>
  <c r="L6355" i="1" s="1"/>
  <c r="P6355" i="1" a="1"/>
  <c r="P6355" i="1" s="1"/>
  <c r="Q6355" i="1" a="1"/>
  <c r="Q6355" i="1" s="1"/>
  <c r="M6355" i="1" a="1"/>
  <c r="M6355" i="1" s="1"/>
  <c r="I6355" i="1" a="1"/>
  <c r="I6355" i="1" s="1"/>
  <c r="R6355" i="1" a="1"/>
  <c r="R6355" i="1" s="1"/>
  <c r="N6355" i="1" a="1"/>
  <c r="N6355" i="1" s="1"/>
  <c r="S6355" i="1" a="1"/>
  <c r="S6355" i="1" s="1"/>
  <c r="K6355" i="1" a="1"/>
  <c r="K6355" i="1" s="1"/>
  <c r="B6356" i="1"/>
  <c r="A6357" i="1"/>
  <c r="O6355" i="1" l="1" a="1"/>
  <c r="O6355" i="1" s="1"/>
  <c r="C6356" i="1"/>
  <c r="L6356" i="1" s="1" a="1"/>
  <c r="L6356" i="1" s="1"/>
  <c r="H6355" i="1"/>
  <c r="K6356" i="1" a="1"/>
  <c r="K6356" i="1" s="1"/>
  <c r="S6356" i="1" a="1"/>
  <c r="S6356" i="1" s="1"/>
  <c r="Q6356" i="1" a="1"/>
  <c r="Q6356" i="1" s="1"/>
  <c r="M6356" i="1" a="1"/>
  <c r="M6356" i="1" s="1"/>
  <c r="N6356" i="1" a="1"/>
  <c r="N6356" i="1" s="1"/>
  <c r="R6356" i="1" a="1"/>
  <c r="R6356" i="1" s="1"/>
  <c r="B6357" i="1"/>
  <c r="J6356" i="1" a="1"/>
  <c r="J6356" i="1" s="1"/>
  <c r="P6356" i="1" a="1"/>
  <c r="P6356" i="1" s="1"/>
  <c r="A6358" i="1"/>
  <c r="I6356" i="1" l="1" a="1"/>
  <c r="I6356" i="1" s="1"/>
  <c r="O6356" i="1" a="1"/>
  <c r="O6356" i="1" s="1"/>
  <c r="C6357" i="1"/>
  <c r="J6357" i="1" s="1" a="1"/>
  <c r="J6357" i="1" s="1"/>
  <c r="H6356" i="1"/>
  <c r="A6359" i="1"/>
  <c r="N6357" i="1" a="1"/>
  <c r="N6357" i="1" s="1"/>
  <c r="R6357" i="1" a="1"/>
  <c r="R6357" i="1" s="1"/>
  <c r="M6357" i="1" a="1"/>
  <c r="M6357" i="1" s="1"/>
  <c r="I6357" i="1" a="1"/>
  <c r="I6357" i="1" s="1"/>
  <c r="S6357" i="1" a="1"/>
  <c r="S6357" i="1" s="1"/>
  <c r="B6358" i="1"/>
  <c r="P6357" i="1" a="1"/>
  <c r="P6357" i="1" s="1"/>
  <c r="K6357" i="1" a="1"/>
  <c r="K6357" i="1" s="1"/>
  <c r="Q6357" i="1" a="1"/>
  <c r="Q6357" i="1" s="1"/>
  <c r="L6357" i="1" l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K6358" i="1" a="1"/>
  <c r="K6358" i="1" s="1"/>
  <c r="B6359" i="1"/>
  <c r="P6358" i="1" a="1"/>
  <c r="P6358" i="1" s="1"/>
  <c r="S6358" i="1" a="1"/>
  <c r="S6358" i="1" s="1"/>
  <c r="R6358" i="1" a="1"/>
  <c r="R6358" i="1" s="1"/>
  <c r="A6360" i="1"/>
  <c r="I6358" i="1" l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J6359" i="1" a="1"/>
  <c r="J6359" i="1" s="1"/>
  <c r="S6359" i="1" a="1"/>
  <c r="S6359" i="1" s="1"/>
  <c r="Q6359" i="1" a="1"/>
  <c r="Q6359" i="1" s="1"/>
  <c r="M6359" i="1" a="1"/>
  <c r="M6359" i="1" s="1"/>
  <c r="R6359" i="1" a="1"/>
  <c r="R6359" i="1" s="1"/>
  <c r="N6359" i="1" a="1"/>
  <c r="N6359" i="1" s="1"/>
  <c r="B6360" i="1"/>
  <c r="K6359" i="1" a="1"/>
  <c r="K6359" i="1" s="1"/>
  <c r="A6361" i="1"/>
  <c r="I6359" i="1" l="1" a="1"/>
  <c r="I6359" i="1" s="1"/>
  <c r="O6359" i="1" a="1"/>
  <c r="O6359" i="1" s="1"/>
  <c r="C6360" i="1"/>
  <c r="J6360" i="1" s="1" a="1"/>
  <c r="J6360" i="1" s="1"/>
  <c r="H6359" i="1"/>
  <c r="A6362" i="1"/>
  <c r="K6360" i="1" a="1"/>
  <c r="K6360" i="1" s="1"/>
  <c r="S6360" i="1" a="1"/>
  <c r="S6360" i="1" s="1"/>
  <c r="I6360" i="1" a="1"/>
  <c r="I6360" i="1" s="1"/>
  <c r="N6360" i="1" a="1"/>
  <c r="N6360" i="1" s="1"/>
  <c r="B6361" i="1"/>
  <c r="P6360" i="1" a="1"/>
  <c r="P6360" i="1" s="1"/>
  <c r="Q6360" i="1" a="1"/>
  <c r="Q6360" i="1" s="1"/>
  <c r="M6360" i="1" a="1"/>
  <c r="M6360" i="1" s="1"/>
  <c r="R6360" i="1" a="1"/>
  <c r="R6360" i="1" s="1"/>
  <c r="O6360" i="1" l="1" a="1"/>
  <c r="O6360" i="1" s="1"/>
  <c r="L6360" i="1" a="1"/>
  <c r="L6360" i="1" s="1"/>
  <c r="C6361" i="1"/>
  <c r="L6361" i="1" s="1" a="1"/>
  <c r="L6361" i="1" s="1"/>
  <c r="H6360" i="1"/>
  <c r="J6361" i="1" a="1"/>
  <c r="J6361" i="1" s="1"/>
  <c r="N6361" i="1" a="1"/>
  <c r="N6361" i="1" s="1"/>
  <c r="R6361" i="1" a="1"/>
  <c r="R6361" i="1" s="1"/>
  <c r="P6361" i="1" a="1"/>
  <c r="P6361" i="1" s="1"/>
  <c r="B6362" i="1"/>
  <c r="Q6361" i="1" a="1"/>
  <c r="Q6361" i="1" s="1"/>
  <c r="K6361" i="1" a="1"/>
  <c r="K6361" i="1" s="1"/>
  <c r="M6361" i="1" a="1"/>
  <c r="M6361" i="1" s="1"/>
  <c r="S6361" i="1" a="1"/>
  <c r="S6361" i="1" s="1"/>
  <c r="I6361" i="1" a="1"/>
  <c r="I6361" i="1" s="1"/>
  <c r="A6363" i="1"/>
  <c r="O6361" i="1" l="1" a="1"/>
  <c r="O6361" i="1" s="1"/>
  <c r="C6362" i="1"/>
  <c r="J6362" i="1" s="1" a="1"/>
  <c r="J6362" i="1" s="1"/>
  <c r="H6361" i="1"/>
  <c r="A6364" i="1"/>
  <c r="M6362" i="1" a="1"/>
  <c r="M6362" i="1" s="1"/>
  <c r="Q6362" i="1" a="1"/>
  <c r="Q6362" i="1" s="1"/>
  <c r="L6362" i="1" a="1"/>
  <c r="L6362" i="1" s="1"/>
  <c r="B6363" i="1"/>
  <c r="S6362" i="1" a="1"/>
  <c r="S6362" i="1" s="1"/>
  <c r="K6362" i="1" a="1"/>
  <c r="K6362" i="1" s="1"/>
  <c r="P6362" i="1" a="1"/>
  <c r="P6362" i="1" s="1"/>
  <c r="R6362" i="1" a="1"/>
  <c r="R6362" i="1" s="1"/>
  <c r="N6362" i="1" a="1"/>
  <c r="N6362" i="1" s="1"/>
  <c r="I6362" i="1" l="1" a="1"/>
  <c r="I6362" i="1" s="1"/>
  <c r="O6362" i="1" a="1"/>
  <c r="O6362" i="1" s="1"/>
  <c r="C6363" i="1"/>
  <c r="J6363" i="1" s="1" a="1"/>
  <c r="J6363" i="1" s="1"/>
  <c r="H6362" i="1"/>
  <c r="P6363" i="1" a="1"/>
  <c r="P6363" i="1" s="1"/>
  <c r="M6363" i="1" a="1"/>
  <c r="M6363" i="1" s="1"/>
  <c r="Q6363" i="1" a="1"/>
  <c r="Q6363" i="1" s="1"/>
  <c r="R6363" i="1" a="1"/>
  <c r="R6363" i="1" s="1"/>
  <c r="I6363" i="1" a="1"/>
  <c r="I6363" i="1" s="1"/>
  <c r="N6363" i="1" a="1"/>
  <c r="N6363" i="1" s="1"/>
  <c r="S6363" i="1" a="1"/>
  <c r="S6363" i="1" s="1"/>
  <c r="K6363" i="1" a="1"/>
  <c r="K6363" i="1" s="1"/>
  <c r="B6364" i="1"/>
  <c r="A6365" i="1"/>
  <c r="L6363" i="1" l="1" a="1"/>
  <c r="L6363" i="1" s="1"/>
  <c r="O6363" i="1" a="1"/>
  <c r="O6363" i="1" s="1"/>
  <c r="C6364" i="1"/>
  <c r="J6364" i="1" s="1" a="1"/>
  <c r="J6364" i="1" s="1"/>
  <c r="H6363" i="1"/>
  <c r="A6366" i="1"/>
  <c r="K6364" i="1" a="1"/>
  <c r="K6364" i="1" s="1"/>
  <c r="S6364" i="1" a="1"/>
  <c r="S6364" i="1" s="1"/>
  <c r="R6364" i="1" a="1"/>
  <c r="R6364" i="1" s="1"/>
  <c r="N6364" i="1" a="1"/>
  <c r="N6364" i="1" s="1"/>
  <c r="B6365" i="1"/>
  <c r="P6364" i="1" a="1"/>
  <c r="P6364" i="1" s="1"/>
  <c r="Q6364" i="1" a="1"/>
  <c r="Q6364" i="1" s="1"/>
  <c r="M6364" i="1" a="1"/>
  <c r="M6364" i="1" s="1"/>
  <c r="I6364" i="1" l="1" a="1"/>
  <c r="I6364" i="1" s="1"/>
  <c r="L6364" i="1" a="1"/>
  <c r="L6364" i="1" s="1"/>
  <c r="O6364" i="1" a="1"/>
  <c r="O6364" i="1" s="1"/>
  <c r="C6365" i="1"/>
  <c r="O6365" i="1" s="1" a="1"/>
  <c r="O6365" i="1" s="1"/>
  <c r="H6364" i="1"/>
  <c r="J6365" i="1" a="1"/>
  <c r="J6365" i="1" s="1"/>
  <c r="N6365" i="1" a="1"/>
  <c r="N6365" i="1" s="1"/>
  <c r="R6365" i="1" a="1"/>
  <c r="R6365" i="1" s="1"/>
  <c r="S6365" i="1" a="1"/>
  <c r="S6365" i="1" s="1"/>
  <c r="L6365" i="1" a="1"/>
  <c r="L6365" i="1" s="1"/>
  <c r="Q6365" i="1" a="1"/>
  <c r="Q6365" i="1" s="1"/>
  <c r="M6365" i="1" a="1"/>
  <c r="M6365" i="1" s="1"/>
  <c r="B6366" i="1"/>
  <c r="K6365" i="1" a="1"/>
  <c r="K6365" i="1" s="1"/>
  <c r="P6365" i="1" a="1"/>
  <c r="P6365" i="1" s="1"/>
  <c r="A6367" i="1"/>
  <c r="I6365" i="1" l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J6366" i="1" a="1"/>
  <c r="J6366" i="1" s="1"/>
  <c r="B6367" i="1"/>
  <c r="N6366" i="1" a="1"/>
  <c r="N6366" i="1" s="1"/>
  <c r="K6366" i="1" a="1"/>
  <c r="K6366" i="1" s="1"/>
  <c r="P6366" i="1" a="1"/>
  <c r="P6366" i="1" s="1"/>
  <c r="L6366" i="1" a="1"/>
  <c r="L6366" i="1" s="1"/>
  <c r="R6366" i="1" a="1"/>
  <c r="R6366" i="1" s="1"/>
  <c r="S6366" i="1" a="1"/>
  <c r="S6366" i="1" s="1"/>
  <c r="I6366" i="1" l="1" a="1"/>
  <c r="I6366" i="1" s="1"/>
  <c r="C6367" i="1"/>
  <c r="L6367" i="1" s="1" a="1"/>
  <c r="L6367" i="1" s="1"/>
  <c r="H6366" i="1"/>
  <c r="P6367" i="1" a="1"/>
  <c r="P6367" i="1" s="1"/>
  <c r="K6367" i="1" a="1"/>
  <c r="K6367" i="1" s="1"/>
  <c r="B6368" i="1"/>
  <c r="M6367" i="1" a="1"/>
  <c r="M6367" i="1" s="1"/>
  <c r="R6367" i="1" a="1"/>
  <c r="R6367" i="1" s="1"/>
  <c r="I6367" i="1" a="1"/>
  <c r="I6367" i="1" s="1"/>
  <c r="N6367" i="1" a="1"/>
  <c r="N6367" i="1" s="1"/>
  <c r="S6367" i="1" a="1"/>
  <c r="S6367" i="1" s="1"/>
  <c r="Q6367" i="1" a="1"/>
  <c r="Q6367" i="1" s="1"/>
  <c r="J6367" i="1" a="1"/>
  <c r="J6367" i="1" s="1"/>
  <c r="A6369" i="1"/>
  <c r="O6367" i="1" l="1" a="1"/>
  <c r="O6367" i="1" s="1"/>
  <c r="C6368" i="1"/>
  <c r="O6368" i="1" s="1" a="1"/>
  <c r="O6368" i="1" s="1"/>
  <c r="H6367" i="1"/>
  <c r="A6370" i="1"/>
  <c r="K6368" i="1" a="1"/>
  <c r="K6368" i="1" s="1"/>
  <c r="S6368" i="1" a="1"/>
  <c r="S6368" i="1" s="1"/>
  <c r="L6368" i="1" a="1"/>
  <c r="L6368" i="1" s="1"/>
  <c r="J6368" i="1" a="1"/>
  <c r="J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I6368" i="1" l="1" a="1"/>
  <c r="I6368" i="1" s="1"/>
  <c r="C6369" i="1"/>
  <c r="J6369" i="1" s="1" a="1"/>
  <c r="J6369" i="1" s="1"/>
  <c r="H6368" i="1"/>
  <c r="N6369" i="1" a="1"/>
  <c r="N6369" i="1" s="1"/>
  <c r="R6369" i="1" a="1"/>
  <c r="R6369" i="1" s="1"/>
  <c r="Q6369" i="1" a="1"/>
  <c r="Q6369" i="1" s="1"/>
  <c r="L6369" i="1" a="1"/>
  <c r="L6369" i="1" s="1"/>
  <c r="M6369" i="1" a="1"/>
  <c r="M6369" i="1" s="1"/>
  <c r="S6369" i="1" a="1"/>
  <c r="S6369" i="1" s="1"/>
  <c r="I6369" i="1" a="1"/>
  <c r="I6369" i="1" s="1"/>
  <c r="B6370" i="1"/>
  <c r="K6369" i="1" a="1"/>
  <c r="K6369" i="1" s="1"/>
  <c r="P6369" i="1" a="1"/>
  <c r="P6369" i="1" s="1"/>
  <c r="A6371" i="1"/>
  <c r="O6369" i="1" l="1" a="1"/>
  <c r="O6369" i="1" s="1"/>
  <c r="C6370" i="1"/>
  <c r="K6370" i="1" s="1" a="1"/>
  <c r="K6370" i="1" s="1"/>
  <c r="H6369" i="1"/>
  <c r="I6370" i="1" a="1"/>
  <c r="I6370" i="1" s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O6370" i="1" l="1" a="1"/>
  <c r="O6370" i="1" s="1"/>
  <c r="L6370" i="1" a="1"/>
  <c r="L6370" i="1" s="1"/>
  <c r="J6370" i="1" a="1"/>
  <c r="J6370" i="1" s="1"/>
  <c r="C6371" i="1"/>
  <c r="L6371" i="1" s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Q6371" i="1" a="1"/>
  <c r="Q6371" i="1" s="1"/>
  <c r="J6371" i="1" a="1"/>
  <c r="J6371" i="1" s="1"/>
  <c r="B6372" i="1"/>
  <c r="K6371" i="1" a="1"/>
  <c r="K6371" i="1" s="1"/>
  <c r="A6373" i="1"/>
  <c r="I6371" i="1" l="1" a="1"/>
  <c r="I6371" i="1" s="1"/>
  <c r="O6371" i="1" a="1"/>
  <c r="O6371" i="1" s="1"/>
  <c r="C6372" i="1"/>
  <c r="L6372" i="1" s="1" a="1"/>
  <c r="L6372" i="1" s="1"/>
  <c r="H6371" i="1"/>
  <c r="A6374" i="1"/>
  <c r="K6372" i="1" a="1"/>
  <c r="K6372" i="1" s="1"/>
  <c r="S6372" i="1" a="1"/>
  <c r="S6372" i="1" s="1"/>
  <c r="J6372" i="1" a="1"/>
  <c r="J6372" i="1" s="1"/>
  <c r="B6373" i="1"/>
  <c r="P6372" i="1" a="1"/>
  <c r="P6372" i="1" s="1"/>
  <c r="Q6372" i="1" a="1"/>
  <c r="Q6372" i="1" s="1"/>
  <c r="M6372" i="1" a="1"/>
  <c r="M6372" i="1" s="1"/>
  <c r="R6372" i="1" a="1"/>
  <c r="R6372" i="1" s="1"/>
  <c r="N6372" i="1" a="1"/>
  <c r="N6372" i="1" s="1"/>
  <c r="I6372" i="1" l="1" a="1"/>
  <c r="I6372" i="1" s="1"/>
  <c r="O6372" i="1" a="1"/>
  <c r="O6372" i="1" s="1"/>
  <c r="C6373" i="1"/>
  <c r="J6373" i="1" s="1" a="1"/>
  <c r="J6373" i="1" s="1"/>
  <c r="H6372" i="1"/>
  <c r="N6373" i="1" a="1"/>
  <c r="N6373" i="1" s="1"/>
  <c r="R6373" i="1" a="1"/>
  <c r="R6373" i="1" s="1"/>
  <c r="K6373" i="1" a="1"/>
  <c r="K6373" i="1" s="1"/>
  <c r="L6373" i="1" a="1"/>
  <c r="L6373" i="1" s="1"/>
  <c r="M6373" i="1" a="1"/>
  <c r="M6373" i="1" s="1"/>
  <c r="S6373" i="1" a="1"/>
  <c r="S6373" i="1" s="1"/>
  <c r="Q6373" i="1" a="1"/>
  <c r="Q6373" i="1" s="1"/>
  <c r="B6374" i="1"/>
  <c r="P6373" i="1" a="1"/>
  <c r="P6373" i="1" s="1"/>
  <c r="A6375" i="1"/>
  <c r="I6373" i="1" l="1" a="1"/>
  <c r="I6373" i="1" s="1"/>
  <c r="O6373" i="1" a="1"/>
  <c r="O6373" i="1" s="1"/>
  <c r="C6374" i="1"/>
  <c r="O6374" i="1" s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J6374" i="1" a="1"/>
  <c r="J6374" i="1" s="1"/>
  <c r="K6374" i="1" a="1"/>
  <c r="K6374" i="1" s="1"/>
  <c r="R6374" i="1" a="1"/>
  <c r="R6374" i="1" s="1"/>
  <c r="N6374" i="1" a="1"/>
  <c r="N6374" i="1" s="1"/>
  <c r="S6374" i="1" a="1"/>
  <c r="S6374" i="1" s="1"/>
  <c r="I6374" i="1" l="1" a="1"/>
  <c r="I6374" i="1" s="1"/>
  <c r="L6374" i="1" a="1"/>
  <c r="L6374" i="1" s="1"/>
  <c r="C6375" i="1"/>
  <c r="L6375" i="1" s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I6375" i="1" a="1"/>
  <c r="I6375" i="1" s="1"/>
  <c r="N6375" i="1" a="1"/>
  <c r="N6375" i="1" s="1"/>
  <c r="S6375" i="1" a="1"/>
  <c r="S6375" i="1" s="1"/>
  <c r="J6375" i="1" a="1"/>
  <c r="J6375" i="1" s="1"/>
  <c r="B6376" i="1"/>
  <c r="K6375" i="1" a="1"/>
  <c r="K6375" i="1" s="1"/>
  <c r="A6377" i="1"/>
  <c r="O6375" i="1" l="1" a="1"/>
  <c r="O6375" i="1" s="1"/>
  <c r="C6376" i="1"/>
  <c r="J6376" i="1" s="1" a="1"/>
  <c r="J6376" i="1" s="1"/>
  <c r="H6375" i="1"/>
  <c r="A6378" i="1"/>
  <c r="K6376" i="1" a="1"/>
  <c r="K6376" i="1" s="1"/>
  <c r="O6376" i="1" a="1"/>
  <c r="O6376" i="1" s="1"/>
  <c r="S6376" i="1" a="1"/>
  <c r="S6376" i="1" s="1"/>
  <c r="M6376" i="1" a="1"/>
  <c r="M6376" i="1" s="1"/>
  <c r="B6377" i="1"/>
  <c r="P6376" i="1" a="1"/>
  <c r="P6376" i="1" s="1"/>
  <c r="Q6376" i="1" a="1"/>
  <c r="Q6376" i="1" s="1"/>
  <c r="R6376" i="1" a="1"/>
  <c r="R6376" i="1" s="1"/>
  <c r="I6376" i="1" a="1"/>
  <c r="I6376" i="1" s="1"/>
  <c r="N6376" i="1" a="1"/>
  <c r="N6376" i="1" s="1"/>
  <c r="L6376" i="1" l="1" a="1"/>
  <c r="L6376" i="1" s="1"/>
  <c r="C6377" i="1"/>
  <c r="O6377" i="1" s="1" a="1"/>
  <c r="O6377" i="1" s="1"/>
  <c r="H6376" i="1"/>
  <c r="J6377" i="1" a="1"/>
  <c r="J6377" i="1" s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L6377" i="1" a="1"/>
  <c r="L6377" i="1" s="1"/>
  <c r="B6378" i="1"/>
  <c r="K6377" i="1" a="1"/>
  <c r="K6377" i="1" s="1"/>
  <c r="P6377" i="1" a="1"/>
  <c r="P6377" i="1" s="1"/>
  <c r="Q6377" i="1" a="1"/>
  <c r="Q6377" i="1" s="1"/>
  <c r="A6379" i="1"/>
  <c r="C6378" i="1" l="1"/>
  <c r="J6378" i="1" s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K6378" i="1" a="1"/>
  <c r="K6378" i="1" s="1"/>
  <c r="P6378" i="1" a="1"/>
  <c r="P6378" i="1" s="1"/>
  <c r="L6378" i="1" a="1"/>
  <c r="L6378" i="1" s="1"/>
  <c r="R6378" i="1" a="1"/>
  <c r="R6378" i="1" s="1"/>
  <c r="N6378" i="1" a="1"/>
  <c r="N6378" i="1" s="1"/>
  <c r="I6378" i="1" l="1" a="1"/>
  <c r="I6378" i="1" s="1"/>
  <c r="O6378" i="1" a="1"/>
  <c r="O6378" i="1" s="1"/>
  <c r="C6379" i="1"/>
  <c r="O6379" i="1" s="1" a="1"/>
  <c r="O6379" i="1" s="1"/>
  <c r="H6378" i="1"/>
  <c r="P6379" i="1" a="1"/>
  <c r="P6379" i="1" s="1"/>
  <c r="M6379" i="1" a="1"/>
  <c r="M6379" i="1" s="1"/>
  <c r="R6379" i="1" a="1"/>
  <c r="R6379" i="1" s="1"/>
  <c r="I6379" i="1" a="1"/>
  <c r="I6379" i="1" s="1"/>
  <c r="N6379" i="1" a="1"/>
  <c r="N6379" i="1" s="1"/>
  <c r="S6379" i="1" a="1"/>
  <c r="S6379" i="1" s="1"/>
  <c r="B6380" i="1"/>
  <c r="Q6379" i="1" a="1"/>
  <c r="Q6379" i="1" s="1"/>
  <c r="A6381" i="1"/>
  <c r="L6379" i="1" l="1" a="1"/>
  <c r="L6379" i="1" s="1"/>
  <c r="K6379" i="1" a="1"/>
  <c r="K6379" i="1" s="1"/>
  <c r="J6379" i="1" a="1"/>
  <c r="J6379" i="1" s="1"/>
  <c r="C6380" i="1"/>
  <c r="L6380" i="1" s="1" a="1"/>
  <c r="L6380" i="1" s="1"/>
  <c r="H6379" i="1"/>
  <c r="A6382" i="1"/>
  <c r="K6380" i="1" a="1"/>
  <c r="K6380" i="1" s="1"/>
  <c r="S6380" i="1" a="1"/>
  <c r="S6380" i="1" s="1"/>
  <c r="P6380" i="1" a="1"/>
  <c r="P6380" i="1" s="1"/>
  <c r="B6381" i="1"/>
  <c r="J6380" i="1" a="1"/>
  <c r="J6380" i="1" s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O6380" i="1" l="1" a="1"/>
  <c r="O6380" i="1" s="1"/>
  <c r="C6381" i="1"/>
  <c r="O6381" i="1" s="1" a="1"/>
  <c r="O6381" i="1" s="1"/>
  <c r="H6380" i="1"/>
  <c r="A6383" i="1"/>
  <c r="J6381" i="1" a="1"/>
  <c r="J6381" i="1" s="1"/>
  <c r="N6381" i="1" a="1"/>
  <c r="N6381" i="1" s="1"/>
  <c r="R6381" i="1" a="1"/>
  <c r="R6381" i="1" s="1"/>
  <c r="L6381" i="1" a="1"/>
  <c r="L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a="1"/>
  <c r="Q6381" i="1" s="1"/>
  <c r="I6381" i="1" l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K6382" i="1" a="1"/>
  <c r="K6382" i="1" s="1"/>
  <c r="P6382" i="1" a="1"/>
  <c r="P6382" i="1" s="1"/>
  <c r="L6382" i="1" a="1"/>
  <c r="L6382" i="1" s="1"/>
  <c r="R6382" i="1" a="1"/>
  <c r="R6382" i="1" s="1"/>
  <c r="J6382" i="1" a="1"/>
  <c r="J6382" i="1" s="1"/>
  <c r="O6382" i="1" a="1"/>
  <c r="O6382" i="1" s="1"/>
  <c r="N6382" i="1" a="1"/>
  <c r="N6382" i="1" s="1"/>
  <c r="S6382" i="1" a="1"/>
  <c r="S6382" i="1" s="1"/>
  <c r="A6384" i="1"/>
  <c r="C6383" i="1" l="1"/>
  <c r="J6383" i="1" s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K6383" i="1" a="1"/>
  <c r="K6383" i="1" s="1"/>
  <c r="Q6383" i="1" a="1"/>
  <c r="Q6383" i="1" s="1"/>
  <c r="I6383" i="1" l="1" a="1"/>
  <c r="I6383" i="1" s="1"/>
  <c r="O6383" i="1" a="1"/>
  <c r="O6383" i="1" s="1"/>
  <c r="C6384" i="1"/>
  <c r="O6384" i="1" s="1" a="1"/>
  <c r="O6384" i="1" s="1"/>
  <c r="H6383" i="1"/>
  <c r="K6384" i="1" a="1"/>
  <c r="K6384" i="1" s="1"/>
  <c r="S6384" i="1" a="1"/>
  <c r="S6384" i="1" s="1"/>
  <c r="N6384" i="1" a="1"/>
  <c r="N6384" i="1" s="1"/>
  <c r="P6384" i="1" a="1"/>
  <c r="P6384" i="1" s="1"/>
  <c r="B6385" i="1"/>
  <c r="Q6384" i="1" a="1"/>
  <c r="Q6384" i="1" s="1"/>
  <c r="M6384" i="1" a="1"/>
  <c r="M6384" i="1" s="1"/>
  <c r="R6384" i="1" a="1"/>
  <c r="R6384" i="1" s="1"/>
  <c r="J6384" i="1" a="1"/>
  <c r="J6384" i="1" s="1"/>
  <c r="A6386" i="1"/>
  <c r="I6384" i="1" l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O6385" i="1" a="1"/>
  <c r="O6385" i="1" s="1"/>
  <c r="M6385" i="1" a="1"/>
  <c r="M6385" i="1" s="1"/>
  <c r="S6385" i="1" a="1"/>
  <c r="S6385" i="1" s="1"/>
  <c r="I6385" i="1" a="1"/>
  <c r="I6385" i="1" s="1"/>
  <c r="B6386" i="1"/>
  <c r="P6385" i="1" a="1"/>
  <c r="P6385" i="1" s="1"/>
  <c r="Q6385" i="1" a="1"/>
  <c r="Q6385" i="1" s="1"/>
  <c r="L6385" i="1" a="1"/>
  <c r="L6385" i="1" s="1"/>
  <c r="K6385" i="1" l="1" a="1"/>
  <c r="K6385" i="1" s="1"/>
  <c r="C6386" i="1"/>
  <c r="L6386" i="1" s="1" a="1"/>
  <c r="L6386" i="1" s="1"/>
  <c r="H6385" i="1"/>
  <c r="M6386" i="1" a="1"/>
  <c r="M6386" i="1" s="1"/>
  <c r="Q6386" i="1" a="1"/>
  <c r="Q6386" i="1" s="1"/>
  <c r="K6386" i="1" a="1"/>
  <c r="K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I6386" i="1" l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I6387" i="1" a="1"/>
  <c r="I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O6387" i="1" l="1" a="1"/>
  <c r="O6387" i="1" s="1"/>
  <c r="L6387" i="1" a="1"/>
  <c r="L6387" i="1" s="1"/>
  <c r="C6388" i="1"/>
  <c r="J6388" i="1" s="1" a="1"/>
  <c r="J6388" i="1" s="1"/>
  <c r="H6387" i="1"/>
  <c r="K6388" i="1" a="1"/>
  <c r="K6388" i="1" s="1"/>
  <c r="S6388" i="1" a="1"/>
  <c r="S6388" i="1" s="1"/>
  <c r="Q6388" i="1" a="1"/>
  <c r="Q6388" i="1" s="1"/>
  <c r="P6388" i="1" a="1"/>
  <c r="P6388" i="1" s="1"/>
  <c r="L6388" i="1" a="1"/>
  <c r="L6388" i="1" s="1"/>
  <c r="M6388" i="1" a="1"/>
  <c r="M6388" i="1" s="1"/>
  <c r="R6388" i="1" a="1"/>
  <c r="R6388" i="1" s="1"/>
  <c r="N6388" i="1" a="1"/>
  <c r="N6388" i="1" s="1"/>
  <c r="B6389" i="1"/>
  <c r="A6390" i="1"/>
  <c r="I6388" i="1" l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K6389" i="1" a="1"/>
  <c r="K6389" i="1" s="1"/>
  <c r="P6389" i="1" a="1"/>
  <c r="P6389" i="1" s="1"/>
  <c r="L6389" i="1" a="1"/>
  <c r="L6389" i="1" s="1"/>
  <c r="Q6389" i="1" a="1"/>
  <c r="Q6389" i="1" s="1"/>
  <c r="A6391" i="1"/>
  <c r="I6389" i="1" l="1" a="1"/>
  <c r="I6389" i="1" s="1"/>
  <c r="O6389" i="1" a="1"/>
  <c r="O6389" i="1" s="1"/>
  <c r="C6390" i="1"/>
  <c r="L6390" i="1" s="1" a="1"/>
  <c r="L6390" i="1" s="1"/>
  <c r="H6389" i="1"/>
  <c r="A6392" i="1"/>
  <c r="M6390" i="1" a="1"/>
  <c r="M6390" i="1" s="1"/>
  <c r="Q6390" i="1" a="1"/>
  <c r="Q6390" i="1" s="1"/>
  <c r="N6390" i="1" a="1"/>
  <c r="N6390" i="1" s="1"/>
  <c r="K6390" i="1" a="1"/>
  <c r="K6390" i="1" s="1"/>
  <c r="P6390" i="1" a="1"/>
  <c r="P6390" i="1" s="1"/>
  <c r="B6391" i="1"/>
  <c r="R6390" i="1" a="1"/>
  <c r="R6390" i="1" s="1"/>
  <c r="S6390" i="1" a="1"/>
  <c r="S6390" i="1" s="1"/>
  <c r="J6390" i="1" a="1"/>
  <c r="J6390" i="1" s="1"/>
  <c r="I6390" i="1" l="1" a="1"/>
  <c r="I6390" i="1" s="1"/>
  <c r="O6390" i="1" a="1"/>
  <c r="O6390" i="1" s="1"/>
  <c r="C6391" i="1"/>
  <c r="J6391" i="1" s="1" a="1"/>
  <c r="J6391" i="1" s="1"/>
  <c r="H6390" i="1"/>
  <c r="P6391" i="1" a="1"/>
  <c r="P6391" i="1" s="1"/>
  <c r="S6391" i="1" a="1"/>
  <c r="S6391" i="1" s="1"/>
  <c r="I6391" i="1" a="1"/>
  <c r="I6391" i="1" s="1"/>
  <c r="N6391" i="1" a="1"/>
  <c r="N6391" i="1" s="1"/>
  <c r="B6392" i="1"/>
  <c r="R6391" i="1" a="1"/>
  <c r="R6391" i="1" s="1"/>
  <c r="K6391" i="1" a="1"/>
  <c r="K6391" i="1" s="1"/>
  <c r="M6391" i="1" a="1"/>
  <c r="M6391" i="1" s="1"/>
  <c r="Q6391" i="1" a="1"/>
  <c r="Q6391" i="1" s="1"/>
  <c r="A6393" i="1"/>
  <c r="O6391" i="1" l="1" a="1"/>
  <c r="O6391" i="1" s="1"/>
  <c r="L6391" i="1" a="1"/>
  <c r="L6391" i="1" s="1"/>
  <c r="C6392" i="1"/>
  <c r="J6392" i="1" s="1" a="1"/>
  <c r="J6392" i="1" s="1"/>
  <c r="H6391" i="1"/>
  <c r="K6392" i="1" a="1"/>
  <c r="K6392" i="1" s="1"/>
  <c r="O6392" i="1" a="1"/>
  <c r="O6392" i="1" s="1"/>
  <c r="S6392" i="1" a="1"/>
  <c r="S6392" i="1" s="1"/>
  <c r="L6392" i="1" a="1"/>
  <c r="L6392" i="1" s="1"/>
  <c r="Q6392" i="1" a="1"/>
  <c r="Q6392" i="1" s="1"/>
  <c r="P6392" i="1" a="1"/>
  <c r="P6392" i="1" s="1"/>
  <c r="M6392" i="1" a="1"/>
  <c r="M6392" i="1" s="1"/>
  <c r="R6392" i="1" a="1"/>
  <c r="R6392" i="1" s="1"/>
  <c r="I6392" i="1" a="1"/>
  <c r="I6392" i="1" s="1"/>
  <c r="N6392" i="1" a="1"/>
  <c r="N6392" i="1" s="1"/>
  <c r="B6393" i="1"/>
  <c r="A6394" i="1"/>
  <c r="C6393" i="1" l="1"/>
  <c r="J6393" i="1" s="1" a="1"/>
  <c r="J6393" i="1" s="1"/>
  <c r="H6392" i="1"/>
  <c r="A6395" i="1"/>
  <c r="K6393" i="1" a="1"/>
  <c r="K6393" i="1" s="1"/>
  <c r="S6393" i="1" a="1"/>
  <c r="S6393" i="1" s="1"/>
  <c r="M6393" i="1" a="1"/>
  <c r="M6393" i="1" s="1"/>
  <c r="I6393" i="1" a="1"/>
  <c r="I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O6393" i="1" l="1" a="1"/>
  <c r="O6393" i="1" s="1"/>
  <c r="L6393" i="1" a="1"/>
  <c r="L6393" i="1" s="1"/>
  <c r="C6394" i="1"/>
  <c r="L6394" i="1" s="1" a="1"/>
  <c r="L6394" i="1" s="1"/>
  <c r="H6393" i="1"/>
  <c r="J6394" i="1" a="1"/>
  <c r="J6394" i="1" s="1"/>
  <c r="N6394" i="1" a="1"/>
  <c r="N6394" i="1" s="1"/>
  <c r="R6394" i="1" a="1"/>
  <c r="R6394" i="1" s="1"/>
  <c r="K6394" i="1" a="1"/>
  <c r="K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6394" i="1" l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Q6395" i="1" a="1"/>
  <c r="Q6395" i="1" s="1"/>
  <c r="P6395" i="1" a="1"/>
  <c r="P6395" i="1" s="1"/>
  <c r="N6395" i="1" a="1"/>
  <c r="N6395" i="1" s="1"/>
  <c r="R6395" i="1" a="1"/>
  <c r="R6395" i="1" s="1"/>
  <c r="K6395" i="1" a="1"/>
  <c r="K6395" i="1" s="1"/>
  <c r="S6395" i="1" a="1"/>
  <c r="S6395" i="1" s="1"/>
  <c r="I6395" i="1" l="1" a="1"/>
  <c r="I6395" i="1" s="1"/>
  <c r="O6395" i="1" a="1"/>
  <c r="O6395" i="1" s="1"/>
  <c r="L6395" i="1" a="1"/>
  <c r="L6395" i="1" s="1"/>
  <c r="C6396" i="1"/>
  <c r="L6396" i="1" s="1" a="1"/>
  <c r="L6396" i="1" s="1"/>
  <c r="H6395" i="1"/>
  <c r="P6396" i="1" a="1"/>
  <c r="P6396" i="1" s="1"/>
  <c r="K6396" i="1" a="1"/>
  <c r="K6396" i="1" s="1"/>
  <c r="B6397" i="1"/>
  <c r="I6396" i="1" a="1"/>
  <c r="I6396" i="1" s="1"/>
  <c r="M6396" i="1" a="1"/>
  <c r="M6396" i="1" s="1"/>
  <c r="Q6396" i="1" a="1"/>
  <c r="Q6396" i="1" s="1"/>
  <c r="J6396" i="1" a="1"/>
  <c r="J6396" i="1" s="1"/>
  <c r="N6396" i="1" a="1"/>
  <c r="N6396" i="1" s="1"/>
  <c r="R6396" i="1" a="1"/>
  <c r="R6396" i="1" s="1"/>
  <c r="S6396" i="1" a="1"/>
  <c r="S6396" i="1" s="1"/>
  <c r="A6398" i="1"/>
  <c r="O6396" i="1" l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J6397" i="1" a="1"/>
  <c r="J6397" i="1" s="1"/>
  <c r="B6398" i="1"/>
  <c r="I6397" i="1" a="1"/>
  <c r="I6397" i="1" s="1"/>
  <c r="M6397" i="1" a="1"/>
  <c r="M6397" i="1" s="1"/>
  <c r="Q6397" i="1" a="1"/>
  <c r="Q6397" i="1" s="1"/>
  <c r="A6399" i="1"/>
  <c r="O6397" i="1" l="1" a="1"/>
  <c r="O6397" i="1" s="1"/>
  <c r="C6398" i="1"/>
  <c r="H6397" i="1"/>
  <c r="A6400" i="1"/>
  <c r="J6398" i="1" a="1"/>
  <c r="J6398" i="1" s="1"/>
  <c r="N6398" i="1" a="1"/>
  <c r="N6398" i="1" s="1"/>
  <c r="R6398" i="1" a="1"/>
  <c r="R6398" i="1" s="1"/>
  <c r="M6398" i="1" a="1"/>
  <c r="M6398" i="1" s="1"/>
  <c r="K6398" i="1" a="1"/>
  <c r="K6398" i="1" s="1"/>
  <c r="O6398" i="1" a="1"/>
  <c r="O6398" i="1" s="1"/>
  <c r="S6398" i="1" a="1"/>
  <c r="S6398" i="1" s="1"/>
  <c r="Q6398" i="1" a="1"/>
  <c r="Q6398" i="1" s="1"/>
  <c r="L6398" i="1" a="1"/>
  <c r="L6398" i="1" s="1"/>
  <c r="P6398" i="1" a="1"/>
  <c r="P6398" i="1" s="1"/>
  <c r="B6399" i="1"/>
  <c r="I6398" i="1" a="1"/>
  <c r="I6398" i="1" s="1"/>
  <c r="C6399" i="1" l="1"/>
  <c r="H6398" i="1"/>
  <c r="A6401" i="1"/>
  <c r="B6400" i="1"/>
  <c r="I6399" i="1" a="1"/>
  <c r="I6399" i="1" s="1"/>
  <c r="M6399" i="1" a="1"/>
  <c r="M6399" i="1" s="1"/>
  <c r="Q6399" i="1" a="1"/>
  <c r="Q6399" i="1" s="1"/>
  <c r="L6399" i="1" a="1"/>
  <c r="L6399" i="1" s="1"/>
  <c r="J6399" i="1" a="1"/>
  <c r="J6399" i="1" s="1"/>
  <c r="N6399" i="1" a="1"/>
  <c r="N6399" i="1" s="1"/>
  <c r="R6399" i="1" a="1"/>
  <c r="R6399" i="1" s="1"/>
  <c r="P6399" i="1" a="1"/>
  <c r="P6399" i="1" s="1"/>
  <c r="K6399" i="1" a="1"/>
  <c r="K6399" i="1" s="1"/>
  <c r="O6399" i="1" a="1"/>
  <c r="O6399" i="1" s="1"/>
  <c r="S6399" i="1" a="1"/>
  <c r="S6399" i="1" s="1"/>
  <c r="C6400" i="1" l="1"/>
  <c r="O6400" i="1" s="1" a="1"/>
  <c r="O6400" i="1" s="1"/>
  <c r="H6399" i="1"/>
  <c r="L6400" i="1" a="1"/>
  <c r="L6400" i="1" s="1"/>
  <c r="P6400" i="1" a="1"/>
  <c r="P6400" i="1" s="1"/>
  <c r="B6401" i="1"/>
  <c r="M6400" i="1" a="1"/>
  <c r="M6400" i="1" s="1"/>
  <c r="Q6400" i="1" a="1"/>
  <c r="Q6400" i="1" s="1"/>
  <c r="S6400" i="1" a="1"/>
  <c r="S6400" i="1" s="1"/>
  <c r="J6400" i="1" a="1"/>
  <c r="J6400" i="1" s="1"/>
  <c r="N6400" i="1" a="1"/>
  <c r="N6400" i="1" s="1"/>
  <c r="R6400" i="1" a="1"/>
  <c r="R6400" i="1" s="1"/>
  <c r="K6400" i="1" a="1"/>
  <c r="K6400" i="1" s="1"/>
  <c r="A6402" i="1"/>
  <c r="I6400" i="1" l="1" a="1"/>
  <c r="I6400" i="1" s="1"/>
  <c r="C6401" i="1"/>
  <c r="O6401" i="1" s="1" a="1"/>
  <c r="O6401" i="1" s="1"/>
  <c r="H6400" i="1"/>
  <c r="A6403" i="1"/>
  <c r="J6401" i="1" a="1"/>
  <c r="J6401" i="1" s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6401" i="1" l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Q6402" i="1" a="1"/>
  <c r="Q6402" i="1" s="1"/>
  <c r="K6402" i="1" a="1"/>
  <c r="K6402" i="1" s="1"/>
  <c r="S6402" i="1" a="1"/>
  <c r="S6402" i="1" s="1"/>
  <c r="L6402" i="1" a="1"/>
  <c r="L6402" i="1" s="1"/>
  <c r="P6402" i="1" a="1"/>
  <c r="P6402" i="1" s="1"/>
  <c r="I6402" i="1" a="1"/>
  <c r="I6402" i="1" s="1"/>
  <c r="M6402" i="1" a="1"/>
  <c r="M6402" i="1" s="1"/>
  <c r="A6404" i="1"/>
  <c r="O6402" i="1" l="1" a="1"/>
  <c r="O6402" i="1" s="1"/>
  <c r="C6403" i="1"/>
  <c r="L6403" i="1" s="1" a="1"/>
  <c r="L6403" i="1" s="1"/>
  <c r="H6402" i="1"/>
  <c r="A6405" i="1"/>
  <c r="B6404" i="1"/>
  <c r="M6403" i="1" a="1"/>
  <c r="M6403" i="1" s="1"/>
  <c r="Q6403" i="1" a="1"/>
  <c r="Q6403" i="1" s="1"/>
  <c r="J6403" i="1" a="1"/>
  <c r="J6403" i="1" s="1"/>
  <c r="N6403" i="1" a="1"/>
  <c r="N6403" i="1" s="1"/>
  <c r="R6403" i="1" a="1"/>
  <c r="R6403" i="1" s="1"/>
  <c r="K6403" i="1" a="1"/>
  <c r="K6403" i="1" s="1"/>
  <c r="S6403" i="1" a="1"/>
  <c r="S6403" i="1" s="1"/>
  <c r="P6403" i="1" a="1"/>
  <c r="P6403" i="1" s="1"/>
  <c r="I6403" i="1" l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Q6404" i="1" a="1"/>
  <c r="Q6404" i="1" s="1"/>
  <c r="K6404" i="1" a="1"/>
  <c r="K6404" i="1" s="1"/>
  <c r="S6404" i="1" a="1"/>
  <c r="S6404" i="1" s="1"/>
  <c r="N6404" i="1" a="1"/>
  <c r="N6404" i="1" s="1"/>
  <c r="R6404" i="1" a="1"/>
  <c r="R6404" i="1" s="1"/>
  <c r="A6406" i="1"/>
  <c r="I6404" i="1" l="1" a="1"/>
  <c r="I6404" i="1" s="1"/>
  <c r="O6404" i="1" a="1"/>
  <c r="O6404" i="1" s="1"/>
  <c r="L6404" i="1" a="1"/>
  <c r="L6404" i="1" s="1"/>
  <c r="C6405" i="1"/>
  <c r="O6405" i="1" s="1" a="1"/>
  <c r="O6405" i="1" s="1"/>
  <c r="H6404" i="1"/>
  <c r="A6407" i="1"/>
  <c r="K6405" i="1" a="1"/>
  <c r="K6405" i="1" s="1"/>
  <c r="S6405" i="1" a="1"/>
  <c r="S6405" i="1" s="1"/>
  <c r="J6405" i="1" a="1"/>
  <c r="J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I6405" i="1" l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I6406" i="1" a="1"/>
  <c r="I6406" i="1" s="1"/>
  <c r="K6406" i="1" a="1"/>
  <c r="K6406" i="1" s="1"/>
  <c r="S6406" i="1" a="1"/>
  <c r="S6406" i="1" s="1"/>
  <c r="M6406" i="1" a="1"/>
  <c r="M6406" i="1" s="1"/>
  <c r="L6406" i="1" a="1"/>
  <c r="L6406" i="1" s="1"/>
  <c r="P6406" i="1" a="1"/>
  <c r="P6406" i="1" s="1"/>
  <c r="A6408" i="1"/>
  <c r="O6406" i="1" l="1" a="1"/>
  <c r="O6406" i="1" s="1"/>
  <c r="C6407" i="1"/>
  <c r="J6407" i="1" s="1" a="1"/>
  <c r="J6407" i="1" s="1"/>
  <c r="H6406" i="1"/>
  <c r="A6409" i="1"/>
  <c r="B6408" i="1"/>
  <c r="I6407" i="1" a="1"/>
  <c r="I6407" i="1" s="1"/>
  <c r="M6407" i="1" a="1"/>
  <c r="M6407" i="1" s="1"/>
  <c r="Q6407" i="1" a="1"/>
  <c r="Q6407" i="1" s="1"/>
  <c r="N6407" i="1" a="1"/>
  <c r="N6407" i="1" s="1"/>
  <c r="R6407" i="1" a="1"/>
  <c r="R6407" i="1" s="1"/>
  <c r="K6407" i="1" a="1"/>
  <c r="K6407" i="1" s="1"/>
  <c r="S6407" i="1" a="1"/>
  <c r="S6407" i="1" s="1"/>
  <c r="P6407" i="1" a="1"/>
  <c r="P6407" i="1" s="1"/>
  <c r="O6407" i="1" l="1" a="1"/>
  <c r="O6407" i="1" s="1"/>
  <c r="L6407" i="1" a="1"/>
  <c r="L6407" i="1" s="1"/>
  <c r="C6408" i="1"/>
  <c r="J6408" i="1" s="1" a="1"/>
  <c r="J6408" i="1" s="1"/>
  <c r="H6407" i="1"/>
  <c r="S6408" i="1" a="1"/>
  <c r="S6408" i="1" s="1"/>
  <c r="L6408" i="1" a="1"/>
  <c r="L6408" i="1" s="1"/>
  <c r="P6408" i="1" a="1"/>
  <c r="P6408" i="1" s="1"/>
  <c r="B6409" i="1"/>
  <c r="K6408" i="1" a="1"/>
  <c r="K6408" i="1" s="1"/>
  <c r="M6408" i="1" a="1"/>
  <c r="M6408" i="1" s="1"/>
  <c r="Q6408" i="1" a="1"/>
  <c r="Q6408" i="1" s="1"/>
  <c r="O6408" i="1" a="1"/>
  <c r="O6408" i="1" s="1"/>
  <c r="N6408" i="1" a="1"/>
  <c r="N6408" i="1" s="1"/>
  <c r="R6408" i="1" a="1"/>
  <c r="R6408" i="1" s="1"/>
  <c r="A6410" i="1"/>
  <c r="I6408" i="1" l="1" a="1"/>
  <c r="I6408" i="1" s="1"/>
  <c r="C6409" i="1"/>
  <c r="I6409" i="1" s="1" a="1"/>
  <c r="I6409" i="1" s="1"/>
  <c r="H6408" i="1"/>
  <c r="A6411" i="1"/>
  <c r="K6409" i="1" a="1"/>
  <c r="K6409" i="1" s="1"/>
  <c r="O6409" i="1" a="1"/>
  <c r="O6409" i="1" s="1"/>
  <c r="S6409" i="1" a="1"/>
  <c r="S6409" i="1" s="1"/>
  <c r="J6409" i="1" a="1"/>
  <c r="J6409" i="1" s="1"/>
  <c r="L6409" i="1" a="1"/>
  <c r="L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C6410" i="1" l="1"/>
  <c r="K6410" i="1" s="1" a="1"/>
  <c r="K6410" i="1" s="1"/>
  <c r="H6409" i="1"/>
  <c r="A6412" i="1"/>
  <c r="B6411" i="1"/>
  <c r="J6410" i="1" a="1"/>
  <c r="J6410" i="1" s="1"/>
  <c r="N6410" i="1" a="1"/>
  <c r="N6410" i="1" s="1"/>
  <c r="R6410" i="1" a="1"/>
  <c r="R6410" i="1" s="1"/>
  <c r="Q6410" i="1" a="1"/>
  <c r="Q6410" i="1" s="1"/>
  <c r="O6410" i="1" a="1"/>
  <c r="O6410" i="1" s="1"/>
  <c r="S6410" i="1" a="1"/>
  <c r="S6410" i="1" s="1"/>
  <c r="M6410" i="1" a="1"/>
  <c r="M6410" i="1" s="1"/>
  <c r="L6410" i="1" a="1"/>
  <c r="L6410" i="1" s="1"/>
  <c r="P6410" i="1" a="1"/>
  <c r="P6410" i="1" s="1"/>
  <c r="I6410" i="1" l="1" a="1"/>
  <c r="I6410" i="1" s="1"/>
  <c r="C6411" i="1"/>
  <c r="O6411" i="1" s="1" a="1"/>
  <c r="O6411" i="1" s="1"/>
  <c r="H6410" i="1"/>
  <c r="B6412" i="1"/>
  <c r="M6411" i="1" a="1"/>
  <c r="M6411" i="1" s="1"/>
  <c r="Q6411" i="1" a="1"/>
  <c r="Q6411" i="1" s="1"/>
  <c r="L6411" i="1" a="1"/>
  <c r="L6411" i="1" s="1"/>
  <c r="J6411" i="1" a="1"/>
  <c r="J6411" i="1" s="1"/>
  <c r="N6411" i="1" a="1"/>
  <c r="N6411" i="1" s="1"/>
  <c r="R6411" i="1" a="1"/>
  <c r="R6411" i="1" s="1"/>
  <c r="K6411" i="1" a="1"/>
  <c r="K6411" i="1" s="1"/>
  <c r="S6411" i="1" a="1"/>
  <c r="S6411" i="1" s="1"/>
  <c r="P6411" i="1" a="1"/>
  <c r="P6411" i="1" s="1"/>
  <c r="A6413" i="1"/>
  <c r="I6411" i="1" l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Q6412" i="1" a="1"/>
  <c r="Q6412" i="1" s="1"/>
  <c r="R6412" i="1" a="1"/>
  <c r="R6412" i="1" s="1"/>
  <c r="K6412" i="1" a="1"/>
  <c r="K6412" i="1" s="1"/>
  <c r="N6412" i="1" a="1"/>
  <c r="N6412" i="1" s="1"/>
  <c r="I6412" i="1" l="1" a="1"/>
  <c r="I6412" i="1" s="1"/>
  <c r="L6412" i="1" a="1"/>
  <c r="L6412" i="1" s="1"/>
  <c r="O6412" i="1" a="1"/>
  <c r="O6412" i="1" s="1"/>
  <c r="C6413" i="1"/>
  <c r="H6413" i="1" s="1"/>
  <c r="H6412" i="1"/>
  <c r="S6413" i="1" a="1"/>
  <c r="S6413" i="1" s="1"/>
  <c r="R6413" i="1" a="1"/>
  <c r="R6413" i="1" s="1"/>
  <c r="L6413" i="1" a="1"/>
  <c r="L6413" i="1" s="1"/>
  <c r="P6413" i="1" a="1"/>
  <c r="P6413" i="1" s="1"/>
  <c r="J6413" i="1" a="1"/>
  <c r="J6413" i="1" s="1"/>
  <c r="M6413" i="1" a="1"/>
  <c r="M6413" i="1" s="1"/>
  <c r="I6413" i="1" a="1"/>
  <c r="I6413" i="1" s="1"/>
  <c r="Q6413" i="1" a="1"/>
  <c r="Q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K6413" i="1" l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<sst xmlns="http://schemas.openxmlformats.org/spreadsheetml/2006/main" count="58052" uniqueCount="26">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</sst>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6413"/>
  <sheetViews>
    <sheetView zoomScale="90" zoomScaleNormal="90" workbookViewId="0">
      <pane ySplit="1" topLeftCell="A5986" activePane="bottomLeft" state="frozen"/>
      <selection pane="bottomLeft" activeCell="D5987" sqref="D598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tr">
        <f t="shared" ref="A5987:C5987" si="1128">B5986</f>
        <v>Northern Cardinal</v>
      </c>
      <c r="C5987" s="6">
        <v>0.28611111111111109</v>
      </c>
      <c r="D5987" s="5"/>
      <c r="E5987" s="5"/>
      <c r="F5987" s="5" t="s">
        <v>8</v>
      </c>
      <c r="G5987" s="15" t="s">
        <v>9</v>
      </c>
      <c r="H5987" s="24">
        <f t="shared" ref="H5851:H6105" si="1129">IFERROR((($A5987+$C5987) - ($A5986+$C5986))*24*60, "")</f>
        <v>794.00000000023283</v>
      </c>
      <c r="I5987" s="24" cm="1">
        <f t="array" ref="I5987">IFERROR(IF($B5987=I$1, ($A5987+$C5987) - MAX(IF($B$2:$B5986=$B5987, $A$2:$A5986+$C$2:$C5986)), "")*24*60, "")</f>
        <v>794.00000000023283</v>
      </c>
      <c r="J5987" s="24" t="str" cm="1">
        <f t="array" ref="J5987">IFERROR(IF($B5987=J$1, ($A5987+$C5987) - MAX(IF($B$2:$B5986=$B5987, $A$2:$A5986+$C$2:$C5986)), "")*24*60, "")</f>
        <v/>
      </c>
      <c r="K5987" s="24" t="str" cm="1">
        <f t="array" ref="K5987">IFERROR(IF($B5987=K$1, ($A5987+$C5987) - MAX(IF($B$2:$B5986=$B5987, $A$2:$A5986+$C$2:$C5986)), "")*24*60, "")</f>
        <v/>
      </c>
      <c r="L5987" s="24" t="str" cm="1">
        <f t="array" ref="L5987">IFERROR(IF($B5987=L$1, ($A5987+$C5987) - MAX(IF($B$2:$B5986=$B5987, $A$2:$A5986+$C$2:$C5986)), "")*24*60, "")</f>
        <v/>
      </c>
      <c r="M5987" s="24" t="str" cm="1">
        <f t="array" ref="M5987">IFERROR(IF($B5987=M$1, ($A5987+$C5987) - MAX(IF($B$2:$B5986=$B5987, $A$2:$A5986+$C$2:$C5986)), "")*24*60, "")</f>
        <v/>
      </c>
      <c r="N5987" s="24" t="str" cm="1">
        <f t="array" ref="N5987">IFERROR(IF($B5987=N$1, ($A5987+$C5987) - MAX(IF($B$2:$B5986=$B5987, $A$2:$A5986+$C$2:$C5986)), "")*24*60, "")</f>
        <v/>
      </c>
      <c r="O5987" s="24" t="str" cm="1">
        <f t="array" ref="O5987">IFERROR(IF($B5987=O$1, ($A5987+$C5987) - MAX(IF($B$2:$B5986=$B5987, $A$2:$A5986+$C$2:$C5986)), "")*24*60, "")</f>
        <v/>
      </c>
      <c r="P5987" s="24" t="str" cm="1">
        <f t="array" ref="P5987">IFERROR(IF($B5987=P$1, ($A5987+$C5987) - MAX(IF($B$2:$B5986=$B5987, $A$2:$A5986+$C$2:$C5986)), "")*24*60, "")</f>
        <v/>
      </c>
      <c r="Q5987" s="24" t="str" cm="1">
        <f t="array" ref="Q5987">IFERROR(IF($B5987=Q$1, ($A5987+$C5987) - MAX(IF($B$2:$B5986=$B5987, $A$2:$A5986+$C$2:$C5986)), "")*24*60, "")</f>
        <v/>
      </c>
      <c r="R5987" s="24" t="str" cm="1">
        <f t="array" ref="R5987">IFERROR(IF($B5987=R$1, ($A5987+$C5987) - MAX(IF($B$2:$B5986=$B5987, $A$2:$A5986+$C$2:$C5986)), "")*24*60, "")</f>
        <v/>
      </c>
      <c r="S5987" s="24" t="str" cm="1">
        <f t="array" ref="S5987">IFERROR(IF($B5987=S$1, ($A5987+$C5987) - MAX(IF($B$2:$B5986=$B5987, $A$2:$A5986+$C$2:$C5986)), "")*24*60, "")</f>
        <v/>
      </c>
    </row>
    <row r="5988" spans="1:19" x14ac:dyDescent="0.2">
      <c r="A5988" s="12">
        <f t="shared" ref="A5988:C5988" si="1130">A5987</f>
        <v>45987</v>
      </c>
      <c r="B5988" s="5" t="str">
        <f t="shared" si="1130"/>
        <v>Northern Cardinal</v>
      </c>
      <c r="C5988" s="6">
        <f t="shared" si="1130"/>
        <v>0.28611111111111109</v>
      </c>
      <c r="D5988" s="5"/>
      <c r="E5988" s="5"/>
      <c r="F5988" s="5" t="s">
        <v>8</v>
      </c>
      <c r="G5988" s="15" t="s">
        <v>9</v>
      </c>
      <c r="H5988" s="24">
        <f t="shared" si="1129"/>
        <v>0</v>
      </c>
      <c r="I5988" s="24" cm="1">
        <f t="array" ref="I5988">IFERROR(IF($B5988=I$1, ($A5988+$C5988) - MAX(IF($B$2:$B5987=$B5988, $A$2:$A5987+$C$2:$C5987)), "")*24*60, "")</f>
        <v>0</v>
      </c>
      <c r="J5988" s="24" t="str" cm="1">
        <f t="array" ref="J5988">IFERROR(IF($B5988=J$1, ($A5988+$C5988) - MAX(IF($B$2:$B5987=$B5988, $A$2:$A5987+$C$2:$C5987)), "")*24*60, "")</f>
        <v/>
      </c>
      <c r="K5988" s="24" t="str" cm="1">
        <f t="array" ref="K5988">IFERROR(IF($B5988=K$1, ($A5988+$C5988) - MAX(IF($B$2:$B5987=$B5988, $A$2:$A5987+$C$2:$C5987)), "")*24*60, "")</f>
        <v/>
      </c>
      <c r="L5988" s="24" t="str" cm="1">
        <f t="array" ref="L5988">IFERROR(IF($B5988=L$1, ($A5988+$C5988) - MAX(IF($B$2:$B5987=$B5988, $A$2:$A5987+$C$2:$C5987)), "")*24*60, "")</f>
        <v/>
      </c>
      <c r="M5988" s="24" t="str" cm="1">
        <f t="array" ref="M5988">IFERROR(IF($B5988=M$1, ($A5988+$C5988) - MAX(IF($B$2:$B5987=$B5988, $A$2:$A5987+$C$2:$C5987)), "")*24*60, "")</f>
        <v/>
      </c>
      <c r="N5988" s="24" t="str" cm="1">
        <f t="array" ref="N5988">IFERROR(IF($B5988=N$1, ($A5988+$C5988) - MAX(IF($B$2:$B5987=$B5988, $A$2:$A5987+$C$2:$C5987)), "")*24*60, "")</f>
        <v/>
      </c>
      <c r="O5988" s="24" t="str" cm="1">
        <f t="array" ref="O5988">IFERROR(IF($B5988=O$1, ($A5988+$C5988) - MAX(IF($B$2:$B5987=$B5988, $A$2:$A5987+$C$2:$C5987)), "")*24*60, "")</f>
        <v/>
      </c>
      <c r="P5988" s="24" t="str" cm="1">
        <f t="array" ref="P5988">IFERROR(IF($B5988=P$1, ($A5988+$C5988) - MAX(IF($B$2:$B5987=$B5988, $A$2:$A5987+$C$2:$C5987)), "")*24*60, "")</f>
        <v/>
      </c>
      <c r="Q5988" s="24" t="str" cm="1">
        <f t="array" ref="Q5988">IFERROR(IF($B5988=Q$1, ($A5988+$C5988) - MAX(IF($B$2:$B5987=$B5988, $A$2:$A5987+$C$2:$C5987)), "")*24*60, "")</f>
        <v/>
      </c>
      <c r="R5988" s="24" t="str" cm="1">
        <f t="array" ref="R5988">IFERROR(IF($B5988=R$1, ($A5988+$C5988) - MAX(IF($B$2:$B5987=$B5988, $A$2:$A5987+$C$2:$C5987)), "")*24*60, "")</f>
        <v/>
      </c>
      <c r="S5988" s="24" t="str" cm="1">
        <f t="array" ref="S5988">IFERROR(IF($B5988=S$1, ($A5988+$C5988) - MAX(IF($B$2:$B5987=$B5988, $A$2:$A5987+$C$2:$C5987)), "")*24*60, "")</f>
        <v/>
      </c>
    </row>
    <row r="5989" spans="1:19" x14ac:dyDescent="0.2">
      <c r="A5989" s="12">
        <f t="shared" ref="A5989:C5989" si="1131">A5988</f>
        <v>45987</v>
      </c>
      <c r="B5989" s="5" t="str">
        <f t="shared" si="1131"/>
        <v>Northern Cardinal</v>
      </c>
      <c r="C5989" s="6">
        <f t="shared" si="1131"/>
        <v>0.28611111111111109</v>
      </c>
      <c r="D5989" s="5"/>
      <c r="E5989" s="5"/>
      <c r="F5989" s="5" t="s">
        <v>8</v>
      </c>
      <c r="G5989" s="15" t="s">
        <v>9</v>
      </c>
      <c r="H5989" s="24">
        <f t="shared" si="1129"/>
        <v>0</v>
      </c>
      <c r="I5989" s="24" cm="1">
        <f t="array" ref="I5989">IFERROR(IF($B5989=I$1, ($A5989+$C5989) - MAX(IF($B$2:$B5988=$B5989, $A$2:$A5988+$C$2:$C5988)), "")*24*60, "")</f>
        <v>0</v>
      </c>
      <c r="J5989" s="24" t="str" cm="1">
        <f t="array" ref="J5989">IFERROR(IF($B5989=J$1, ($A5989+$C5989) - MAX(IF($B$2:$B5988=$B5989, $A$2:$A5988+$C$2:$C5988)), "")*24*60, "")</f>
        <v/>
      </c>
      <c r="K5989" s="24" t="str" cm="1">
        <f t="array" ref="K5989">IFERROR(IF($B5989=K$1, ($A5989+$C5989) - MAX(IF($B$2:$B5988=$B5989, $A$2:$A5988+$C$2:$C5988)), "")*24*60, "")</f>
        <v/>
      </c>
      <c r="L5989" s="24" t="str" cm="1">
        <f t="array" ref="L5989">IFERROR(IF($B5989=L$1, ($A5989+$C5989) - MAX(IF($B$2:$B5988=$B5989, $A$2:$A5988+$C$2:$C5988)), "")*24*60, "")</f>
        <v/>
      </c>
      <c r="M5989" s="24" t="str" cm="1">
        <f t="array" ref="M5989">IFERROR(IF($B5989=M$1, ($A5989+$C5989) - MAX(IF($B$2:$B5988=$B5989, $A$2:$A5988+$C$2:$C5988)), "")*24*60, "")</f>
        <v/>
      </c>
      <c r="N5989" s="24" t="str" cm="1">
        <f t="array" ref="N5989">IFERROR(IF($B5989=N$1, ($A5989+$C5989) - MAX(IF($B$2:$B5988=$B5989, $A$2:$A5988+$C$2:$C5988)), "")*24*60, "")</f>
        <v/>
      </c>
      <c r="O5989" s="24" t="str" cm="1">
        <f t="array" ref="O5989">IFERROR(IF($B5989=O$1, ($A5989+$C5989) - MAX(IF($B$2:$B5988=$B5989, $A$2:$A5988+$C$2:$C5988)), "")*24*60, "")</f>
        <v/>
      </c>
      <c r="P5989" s="24" t="str" cm="1">
        <f t="array" ref="P5989">IFERROR(IF($B5989=P$1, ($A5989+$C5989) - MAX(IF($B$2:$B5988=$B5989, $A$2:$A5988+$C$2:$C5988)), "")*24*60, "")</f>
        <v/>
      </c>
      <c r="Q5989" s="24" t="str" cm="1">
        <f t="array" ref="Q5989">IFERROR(IF($B5989=Q$1, ($A5989+$C5989) - MAX(IF($B$2:$B5988=$B5989, $A$2:$A5988+$C$2:$C5988)), "")*24*60, "")</f>
        <v/>
      </c>
      <c r="R5989" s="24" t="str" cm="1">
        <f t="array" ref="R5989">IFERROR(IF($B5989=R$1, ($A5989+$C5989) - MAX(IF($B$2:$B5988=$B5989, $A$2:$A5988+$C$2:$C5988)), "")*24*60, "")</f>
        <v/>
      </c>
      <c r="S5989" s="24" t="str" cm="1">
        <f t="array" ref="S5989">IFERROR(IF($B5989=S$1, ($A5989+$C5989) - MAX(IF($B$2:$B5988=$B5989, $A$2:$A5988+$C$2:$C5988)), "")*24*60, "")</f>
        <v/>
      </c>
    </row>
    <row r="5990" spans="1:19" x14ac:dyDescent="0.2">
      <c r="A5990" s="12">
        <f t="shared" ref="A5990:C5990" si="1132">A5989</f>
        <v>45987</v>
      </c>
      <c r="B5990" s="5" t="str">
        <f t="shared" si="1132"/>
        <v>Northern Cardinal</v>
      </c>
      <c r="C5990" s="6">
        <f t="shared" si="1132"/>
        <v>0.28611111111111109</v>
      </c>
      <c r="D5990" s="5"/>
      <c r="E5990" s="5"/>
      <c r="F5990" s="5" t="s">
        <v>8</v>
      </c>
      <c r="G5990" s="15" t="s">
        <v>9</v>
      </c>
      <c r="H5990" s="24">
        <f t="shared" si="1129"/>
        <v>0</v>
      </c>
      <c r="I5990" s="24" cm="1">
        <f t="array" ref="I5990">IFERROR(IF($B5990=I$1, ($A5990+$C5990) - MAX(IF($B$2:$B5989=$B5990, $A$2:$A5989+$C$2:$C5989)), "")*24*60, "")</f>
        <v>0</v>
      </c>
      <c r="J5990" s="24" t="str" cm="1">
        <f t="array" ref="J5990">IFERROR(IF($B5990=J$1, ($A5990+$C5990) - MAX(IF($B$2:$B5989=$B5990, $A$2:$A5989+$C$2:$C5989)), "")*24*60, "")</f>
        <v/>
      </c>
      <c r="K5990" s="24" t="str" cm="1">
        <f t="array" ref="K5990">IFERROR(IF($B5990=K$1, ($A5990+$C5990) - MAX(IF($B$2:$B5989=$B5990, $A$2:$A5989+$C$2:$C5989)), "")*24*60, "")</f>
        <v/>
      </c>
      <c r="L5990" s="24" t="str" cm="1">
        <f t="array" ref="L5990">IFERROR(IF($B5990=L$1, ($A5990+$C5990) - MAX(IF($B$2:$B5989=$B5990, $A$2:$A5989+$C$2:$C5989)), "")*24*60, "")</f>
        <v/>
      </c>
      <c r="M5990" s="24" t="str" cm="1">
        <f t="array" ref="M5990">IFERROR(IF($B5990=M$1, ($A5990+$C5990) - MAX(IF($B$2:$B5989=$B5990, $A$2:$A5989+$C$2:$C5989)), "")*24*60, "")</f>
        <v/>
      </c>
      <c r="N5990" s="24" t="str" cm="1">
        <f t="array" ref="N5990">IFERROR(IF($B5990=N$1, ($A5990+$C5990) - MAX(IF($B$2:$B5989=$B5990, $A$2:$A5989+$C$2:$C5989)), "")*24*60, "")</f>
        <v/>
      </c>
      <c r="O5990" s="24" t="str" cm="1">
        <f t="array" ref="O5990">IFERROR(IF($B5990=O$1, ($A5990+$C5990) - MAX(IF($B$2:$B5989=$B5990, $A$2:$A5989+$C$2:$C5989)), "")*24*60, "")</f>
        <v/>
      </c>
      <c r="P5990" s="24" t="str" cm="1">
        <f t="array" ref="P5990">IFERROR(IF($B5990=P$1, ($A5990+$C5990) - MAX(IF($B$2:$B5989=$B5990, $A$2:$A5989+$C$2:$C5989)), "")*24*60, "")</f>
        <v/>
      </c>
      <c r="Q5990" s="24" t="str" cm="1">
        <f t="array" ref="Q5990">IFERROR(IF($B5990=Q$1, ($A5990+$C5990) - MAX(IF($B$2:$B5989=$B5990, $A$2:$A5989+$C$2:$C5989)), "")*24*60, "")</f>
        <v/>
      </c>
      <c r="R5990" s="24" t="str" cm="1">
        <f t="array" ref="R5990">IFERROR(IF($B5990=R$1, ($A5990+$C5990) - MAX(IF($B$2:$B5989=$B5990, $A$2:$A5989+$C$2:$C5989)), "")*24*60, "")</f>
        <v/>
      </c>
      <c r="S5990" s="24" t="str" cm="1">
        <f t="array" ref="S5990">IFERROR(IF($B5990=S$1, ($A5990+$C5990) - MAX(IF($B$2:$B5989=$B5990, $A$2:$A5989+$C$2:$C5989)), "")*24*60, "")</f>
        <v/>
      </c>
    </row>
    <row r="5991" spans="1:19" x14ac:dyDescent="0.2">
      <c r="A5991" s="12">
        <f t="shared" ref="A5991:C5991" si="1133">A5990</f>
        <v>45987</v>
      </c>
      <c r="B5991" s="5" t="str">
        <f t="shared" si="1133"/>
        <v>Northern Cardinal</v>
      </c>
      <c r="C5991" s="6">
        <f t="shared" si="1133"/>
        <v>0.28611111111111109</v>
      </c>
      <c r="D5991" s="5"/>
      <c r="E5991" s="5"/>
      <c r="F5991" s="5" t="s">
        <v>8</v>
      </c>
      <c r="G5991" s="15" t="s">
        <v>9</v>
      </c>
      <c r="H5991" s="24">
        <f t="shared" si="1129"/>
        <v>0</v>
      </c>
      <c r="I5991" s="24" cm="1">
        <f t="array" ref="I5991">IFERROR(IF($B5991=I$1, ($A5991+$C5991) - MAX(IF($B$2:$B5990=$B5991, $A$2:$A5990+$C$2:$C5990)), "")*24*60, "")</f>
        <v>0</v>
      </c>
      <c r="J5991" s="24" t="str" cm="1">
        <f t="array" ref="J5991">IFERROR(IF($B5991=J$1, ($A5991+$C5991) - MAX(IF($B$2:$B5990=$B5991, $A$2:$A5990+$C$2:$C5990)), "")*24*60, "")</f>
        <v/>
      </c>
      <c r="K5991" s="24" t="str" cm="1">
        <f t="array" ref="K5991">IFERROR(IF($B5991=K$1, ($A5991+$C5991) - MAX(IF($B$2:$B5990=$B5991, $A$2:$A5990+$C$2:$C5990)), "")*24*60, "")</f>
        <v/>
      </c>
      <c r="L5991" s="24" t="str" cm="1">
        <f t="array" ref="L5991">IFERROR(IF($B5991=L$1, ($A5991+$C5991) - MAX(IF($B$2:$B5990=$B5991, $A$2:$A5990+$C$2:$C5990)), "")*24*60, "")</f>
        <v/>
      </c>
      <c r="M5991" s="24" t="str" cm="1">
        <f t="array" ref="M5991">IFERROR(IF($B5991=M$1, ($A5991+$C5991) - MAX(IF($B$2:$B5990=$B5991, $A$2:$A5990+$C$2:$C5990)), "")*24*60, "")</f>
        <v/>
      </c>
      <c r="N5991" s="24" t="str" cm="1">
        <f t="array" ref="N5991">IFERROR(IF($B5991=N$1, ($A5991+$C5991) - MAX(IF($B$2:$B5990=$B5991, $A$2:$A5990+$C$2:$C5990)), "")*24*60, "")</f>
        <v/>
      </c>
      <c r="O5991" s="24" t="str" cm="1">
        <f t="array" ref="O5991">IFERROR(IF($B5991=O$1, ($A5991+$C5991) - MAX(IF($B$2:$B5990=$B5991, $A$2:$A5990+$C$2:$C5990)), "")*24*60, "")</f>
        <v/>
      </c>
      <c r="P5991" s="24" t="str" cm="1">
        <f t="array" ref="P5991">IFERROR(IF($B5991=P$1, ($A5991+$C5991) - MAX(IF($B$2:$B5990=$B5991, $A$2:$A5990+$C$2:$C5990)), "")*24*60, "")</f>
        <v/>
      </c>
      <c r="Q5991" s="24" t="str" cm="1">
        <f t="array" ref="Q5991">IFERROR(IF($B5991=Q$1, ($A5991+$C5991) - MAX(IF($B$2:$B5990=$B5991, $A$2:$A5990+$C$2:$C5990)), "")*24*60, "")</f>
        <v/>
      </c>
      <c r="R5991" s="24" t="str" cm="1">
        <f t="array" ref="R5991">IFERROR(IF($B5991=R$1, ($A5991+$C5991) - MAX(IF($B$2:$B5990=$B5991, $A$2:$A5990+$C$2:$C5990)), "")*24*60, "")</f>
        <v/>
      </c>
      <c r="S5991" s="24" t="str" cm="1">
        <f t="array" ref="S5991">IFERROR(IF($B5991=S$1, ($A5991+$C5991) - MAX(IF($B$2:$B5990=$B5991, $A$2:$A5990+$C$2:$C5990)), "")*24*60, "")</f>
        <v/>
      </c>
    </row>
    <row r="5992" spans="1:19" x14ac:dyDescent="0.2">
      <c r="A5992" s="12">
        <f t="shared" ref="A5992:C5992" si="1134">A5991</f>
        <v>45987</v>
      </c>
      <c r="B5992" s="5" t="str">
        <f t="shared" si="1134"/>
        <v>Northern Cardinal</v>
      </c>
      <c r="C5992" s="6">
        <f t="shared" si="1134"/>
        <v>0.28611111111111109</v>
      </c>
      <c r="D5992" s="5"/>
      <c r="E5992" s="5"/>
      <c r="F5992" s="5" t="s">
        <v>8</v>
      </c>
      <c r="G5992" s="15" t="s">
        <v>9</v>
      </c>
      <c r="H5992" s="24">
        <f t="shared" si="1129"/>
        <v>0</v>
      </c>
      <c r="I5992" s="24" cm="1">
        <f t="array" ref="I5992">IFERROR(IF($B5992=I$1, ($A5992+$C5992) - MAX(IF($B$2:$B5991=$B5992, $A$2:$A5991+$C$2:$C5991)), "")*24*60, "")</f>
        <v>0</v>
      </c>
      <c r="J5992" s="24" t="str" cm="1">
        <f t="array" ref="J5992">IFERROR(IF($B5992=J$1, ($A5992+$C5992) - MAX(IF($B$2:$B5991=$B5992, $A$2:$A5991+$C$2:$C5991)), "")*24*60, "")</f>
        <v/>
      </c>
      <c r="K5992" s="24" t="str" cm="1">
        <f t="array" ref="K5992">IFERROR(IF($B5992=K$1, ($A5992+$C5992) - MAX(IF($B$2:$B5991=$B5992, $A$2:$A5991+$C$2:$C5991)), "")*24*60, "")</f>
        <v/>
      </c>
      <c r="L5992" s="24" t="str" cm="1">
        <f t="array" ref="L5992">IFERROR(IF($B5992=L$1, ($A5992+$C5992) - MAX(IF($B$2:$B5991=$B5992, $A$2:$A5991+$C$2:$C5991)), "")*24*60, "")</f>
        <v/>
      </c>
      <c r="M5992" s="24" t="str" cm="1">
        <f t="array" ref="M5992">IFERROR(IF($B5992=M$1, ($A5992+$C5992) - MAX(IF($B$2:$B5991=$B5992, $A$2:$A5991+$C$2:$C5991)), "")*24*60, "")</f>
        <v/>
      </c>
      <c r="N5992" s="24" t="str" cm="1">
        <f t="array" ref="N5992">IFERROR(IF($B5992=N$1, ($A5992+$C5992) - MAX(IF($B$2:$B5991=$B5992, $A$2:$A5991+$C$2:$C5991)), "")*24*60, "")</f>
        <v/>
      </c>
      <c r="O5992" s="24" t="str" cm="1">
        <f t="array" ref="O5992">IFERROR(IF($B5992=O$1, ($A5992+$C5992) - MAX(IF($B$2:$B5991=$B5992, $A$2:$A5991+$C$2:$C5991)), "")*24*60, "")</f>
        <v/>
      </c>
      <c r="P5992" s="24" t="str" cm="1">
        <f t="array" ref="P5992">IFERROR(IF($B5992=P$1, ($A5992+$C5992) - MAX(IF($B$2:$B5991=$B5992, $A$2:$A5991+$C$2:$C5991)), "")*24*60, "")</f>
        <v/>
      </c>
      <c r="Q5992" s="24" t="str" cm="1">
        <f t="array" ref="Q5992">IFERROR(IF($B5992=Q$1, ($A5992+$C5992) - MAX(IF($B$2:$B5991=$B5992, $A$2:$A5991+$C$2:$C5991)), "")*24*60, "")</f>
        <v/>
      </c>
      <c r="R5992" s="24" t="str" cm="1">
        <f t="array" ref="R5992">IFERROR(IF($B5992=R$1, ($A5992+$C5992) - MAX(IF($B$2:$B5991=$B5992, $A$2:$A5991+$C$2:$C5991)), "")*24*60, "")</f>
        <v/>
      </c>
      <c r="S5992" s="24" t="str" cm="1">
        <f t="array" ref="S5992">IFERROR(IF($B5992=S$1, ($A5992+$C5992) - MAX(IF($B$2:$B5991=$B5992, $A$2:$A5991+$C$2:$C5991)), "")*24*60, "")</f>
        <v/>
      </c>
    </row>
    <row r="5993" spans="1:19" x14ac:dyDescent="0.2">
      <c r="A5993" s="12">
        <f t="shared" ref="A5993:C5993" si="1135">A5992</f>
        <v>45987</v>
      </c>
      <c r="B5993" s="5" t="str">
        <f t="shared" si="1135"/>
        <v>Northern Cardinal</v>
      </c>
      <c r="C5993" s="6">
        <f t="shared" si="1135"/>
        <v>0.28611111111111109</v>
      </c>
      <c r="D5993" s="5"/>
      <c r="E5993" s="5"/>
      <c r="F5993" s="5" t="s">
        <v>8</v>
      </c>
      <c r="G5993" s="15" t="s">
        <v>9</v>
      </c>
      <c r="H5993" s="24">
        <f t="shared" si="1129"/>
        <v>0</v>
      </c>
      <c r="I5993" s="24" cm="1">
        <f t="array" ref="I5993">IFERROR(IF($B5993=I$1, ($A5993+$C5993) - MAX(IF($B$2:$B5992=$B5993, $A$2:$A5992+$C$2:$C5992)), "")*24*60, "")</f>
        <v>0</v>
      </c>
      <c r="J5993" s="24" t="str" cm="1">
        <f t="array" ref="J5993">IFERROR(IF($B5993=J$1, ($A5993+$C5993) - MAX(IF($B$2:$B5992=$B5993, $A$2:$A5992+$C$2:$C5992)), "")*24*60, "")</f>
        <v/>
      </c>
      <c r="K5993" s="24" t="str" cm="1">
        <f t="array" ref="K5993">IFERROR(IF($B5993=K$1, ($A5993+$C5993) - MAX(IF($B$2:$B5992=$B5993, $A$2:$A5992+$C$2:$C5992)), "")*24*60, "")</f>
        <v/>
      </c>
      <c r="L5993" s="24" t="str" cm="1">
        <f t="array" ref="L5993">IFERROR(IF($B5993=L$1, ($A5993+$C5993) - MAX(IF($B$2:$B5992=$B5993, $A$2:$A5992+$C$2:$C5992)), "")*24*60, "")</f>
        <v/>
      </c>
      <c r="M5993" s="24" t="str" cm="1">
        <f t="array" ref="M5993">IFERROR(IF($B5993=M$1, ($A5993+$C5993) - MAX(IF($B$2:$B5992=$B5993, $A$2:$A5992+$C$2:$C5992)), "")*24*60, "")</f>
        <v/>
      </c>
      <c r="N5993" s="24" t="str" cm="1">
        <f t="array" ref="N5993">IFERROR(IF($B5993=N$1, ($A5993+$C5993) - MAX(IF($B$2:$B5992=$B5993, $A$2:$A5992+$C$2:$C5992)), "")*24*60, "")</f>
        <v/>
      </c>
      <c r="O5993" s="24" t="str" cm="1">
        <f t="array" ref="O5993">IFERROR(IF($B5993=O$1, ($A5993+$C5993) - MAX(IF($B$2:$B5992=$B5993, $A$2:$A5992+$C$2:$C5992)), "")*24*60, "")</f>
        <v/>
      </c>
      <c r="P5993" s="24" t="str" cm="1">
        <f t="array" ref="P5993">IFERROR(IF($B5993=P$1, ($A5993+$C5993) - MAX(IF($B$2:$B5992=$B5993, $A$2:$A5992+$C$2:$C5992)), "")*24*60, "")</f>
        <v/>
      </c>
      <c r="Q5993" s="24" t="str" cm="1">
        <f t="array" ref="Q5993">IFERROR(IF($B5993=Q$1, ($A5993+$C5993) - MAX(IF($B$2:$B5992=$B5993, $A$2:$A5992+$C$2:$C5992)), "")*24*60, "")</f>
        <v/>
      </c>
      <c r="R5993" s="24" t="str" cm="1">
        <f t="array" ref="R5993">IFERROR(IF($B5993=R$1, ($A5993+$C5993) - MAX(IF($B$2:$B5992=$B5993, $A$2:$A5992+$C$2:$C5992)), "")*24*60, "")</f>
        <v/>
      </c>
      <c r="S5993" s="24" t="str" cm="1">
        <f t="array" ref="S5993">IFERROR(IF($B5993=S$1, ($A5993+$C5993) - MAX(IF($B$2:$B5992=$B5993, $A$2:$A5992+$C$2:$C5992)), "")*24*60, "")</f>
        <v/>
      </c>
    </row>
    <row r="5994" spans="1:19" x14ac:dyDescent="0.2">
      <c r="A5994" s="12">
        <f t="shared" ref="A5994:C5994" si="1136">A5993</f>
        <v>45987</v>
      </c>
      <c r="B5994" s="5" t="str">
        <f t="shared" si="1136"/>
        <v>Northern Cardinal</v>
      </c>
      <c r="C5994" s="6">
        <f t="shared" si="1136"/>
        <v>0.28611111111111109</v>
      </c>
      <c r="D5994" s="5"/>
      <c r="E5994" s="5"/>
      <c r="F5994" s="5" t="s">
        <v>8</v>
      </c>
      <c r="G5994" s="15" t="s">
        <v>9</v>
      </c>
      <c r="H5994" s="24">
        <f t="shared" si="1129"/>
        <v>0</v>
      </c>
      <c r="I5994" s="24" cm="1">
        <f t="array" ref="I5994">IFERROR(IF($B5994=I$1, ($A5994+$C5994) - MAX(IF($B$2:$B5993=$B5994, $A$2:$A5993+$C$2:$C5993)), "")*24*60, "")</f>
        <v>0</v>
      </c>
      <c r="J5994" s="24" t="str" cm="1">
        <f t="array" ref="J5994">IFERROR(IF($B5994=J$1, ($A5994+$C5994) - MAX(IF($B$2:$B5993=$B5994, $A$2:$A5993+$C$2:$C5993)), "")*24*60, "")</f>
        <v/>
      </c>
      <c r="K5994" s="24" t="str" cm="1">
        <f t="array" ref="K5994">IFERROR(IF($B5994=K$1, ($A5994+$C5994) - MAX(IF($B$2:$B5993=$B5994, $A$2:$A5993+$C$2:$C5993)), "")*24*60, "")</f>
        <v/>
      </c>
      <c r="L5994" s="24" t="str" cm="1">
        <f t="array" ref="L5994">IFERROR(IF($B5994=L$1, ($A5994+$C5994) - MAX(IF($B$2:$B5993=$B5994, $A$2:$A5993+$C$2:$C5993)), "")*24*60, "")</f>
        <v/>
      </c>
      <c r="M5994" s="24" t="str" cm="1">
        <f t="array" ref="M5994">IFERROR(IF($B5994=M$1, ($A5994+$C5994) - MAX(IF($B$2:$B5993=$B5994, $A$2:$A5993+$C$2:$C5993)), "")*24*60, "")</f>
        <v/>
      </c>
      <c r="N5994" s="24" t="str" cm="1">
        <f t="array" ref="N5994">IFERROR(IF($B5994=N$1, ($A5994+$C5994) - MAX(IF($B$2:$B5993=$B5994, $A$2:$A5993+$C$2:$C5993)), "")*24*60, "")</f>
        <v/>
      </c>
      <c r="O5994" s="24" t="str" cm="1">
        <f t="array" ref="O5994">IFERROR(IF($B5994=O$1, ($A5994+$C5994) - MAX(IF($B$2:$B5993=$B5994, $A$2:$A5993+$C$2:$C5993)), "")*24*60, "")</f>
        <v/>
      </c>
      <c r="P5994" s="24" t="str" cm="1">
        <f t="array" ref="P5994">IFERROR(IF($B5994=P$1, ($A5994+$C5994) - MAX(IF($B$2:$B5993=$B5994, $A$2:$A5993+$C$2:$C5993)), "")*24*60, "")</f>
        <v/>
      </c>
      <c r="Q5994" s="24" t="str" cm="1">
        <f t="array" ref="Q5994">IFERROR(IF($B5994=Q$1, ($A5994+$C5994) - MAX(IF($B$2:$B5993=$B5994, $A$2:$A5993+$C$2:$C5993)), "")*24*60, "")</f>
        <v/>
      </c>
      <c r="R5994" s="24" t="str" cm="1">
        <f t="array" ref="R5994">IFERROR(IF($B5994=R$1, ($A5994+$C5994) - MAX(IF($B$2:$B5993=$B5994, $A$2:$A5993+$C$2:$C5993)), "")*24*60, "")</f>
        <v/>
      </c>
      <c r="S5994" s="24" t="str" cm="1">
        <f t="array" ref="S5994">IFERROR(IF($B5994=S$1, ($A5994+$C5994) - MAX(IF($B$2:$B5993=$B5994, $A$2:$A5993+$C$2:$C5993)), "")*24*60, "")</f>
        <v/>
      </c>
    </row>
    <row r="5995" spans="1:19" x14ac:dyDescent="0.2">
      <c r="A5995" s="12">
        <f t="shared" ref="A5995:C5995" si="1137">A5994</f>
        <v>45987</v>
      </c>
      <c r="B5995" s="5" t="str">
        <f t="shared" si="1137"/>
        <v>Northern Cardinal</v>
      </c>
      <c r="C5995" s="6">
        <f t="shared" si="1137"/>
        <v>0.28611111111111109</v>
      </c>
      <c r="D5995" s="5"/>
      <c r="E5995" s="5"/>
      <c r="F5995" s="5" t="s">
        <v>8</v>
      </c>
      <c r="G5995" s="15" t="s">
        <v>9</v>
      </c>
      <c r="H5995" s="24">
        <f t="shared" si="1129"/>
        <v>0</v>
      </c>
      <c r="I5995" s="24" cm="1">
        <f t="array" ref="I5995">IFERROR(IF($B5995=I$1, ($A5995+$C5995) - MAX(IF($B$2:$B5994=$B5995, $A$2:$A5994+$C$2:$C5994)), "")*24*60, "")</f>
        <v>0</v>
      </c>
      <c r="J5995" s="24" t="str" cm="1">
        <f t="array" ref="J5995">IFERROR(IF($B5995=J$1, ($A5995+$C5995) - MAX(IF($B$2:$B5994=$B5995, $A$2:$A5994+$C$2:$C5994)), "")*24*60, "")</f>
        <v/>
      </c>
      <c r="K5995" s="24" t="str" cm="1">
        <f t="array" ref="K5995">IFERROR(IF($B5995=K$1, ($A5995+$C5995) - MAX(IF($B$2:$B5994=$B5995, $A$2:$A5994+$C$2:$C5994)), "")*24*60, "")</f>
        <v/>
      </c>
      <c r="L5995" s="24" t="str" cm="1">
        <f t="array" ref="L5995">IFERROR(IF($B5995=L$1, ($A5995+$C5995) - MAX(IF($B$2:$B5994=$B5995, $A$2:$A5994+$C$2:$C5994)), "")*24*60, "")</f>
        <v/>
      </c>
      <c r="M5995" s="24" t="str" cm="1">
        <f t="array" ref="M5995">IFERROR(IF($B5995=M$1, ($A5995+$C5995) - MAX(IF($B$2:$B5994=$B5995, $A$2:$A5994+$C$2:$C5994)), "")*24*60, "")</f>
        <v/>
      </c>
      <c r="N5995" s="24" t="str" cm="1">
        <f t="array" ref="N5995">IFERROR(IF($B5995=N$1, ($A5995+$C5995) - MAX(IF($B$2:$B5994=$B5995, $A$2:$A5994+$C$2:$C5994)), "")*24*60, "")</f>
        <v/>
      </c>
      <c r="O5995" s="24" t="str" cm="1">
        <f t="array" ref="O5995">IFERROR(IF($B5995=O$1, ($A5995+$C5995) - MAX(IF($B$2:$B5994=$B5995, $A$2:$A5994+$C$2:$C5994)), "")*24*60, "")</f>
        <v/>
      </c>
      <c r="P5995" s="24" t="str" cm="1">
        <f t="array" ref="P5995">IFERROR(IF($B5995=P$1, ($A5995+$C5995) - MAX(IF($B$2:$B5994=$B5995, $A$2:$A5994+$C$2:$C5994)), "")*24*60, "")</f>
        <v/>
      </c>
      <c r="Q5995" s="24" t="str" cm="1">
        <f t="array" ref="Q5995">IFERROR(IF($B5995=Q$1, ($A5995+$C5995) - MAX(IF($B$2:$B5994=$B5995, $A$2:$A5994+$C$2:$C5994)), "")*24*60, "")</f>
        <v/>
      </c>
      <c r="R5995" s="24" t="str" cm="1">
        <f t="array" ref="R5995">IFERROR(IF($B5995=R$1, ($A5995+$C5995) - MAX(IF($B$2:$B5994=$B5995, $A$2:$A5994+$C$2:$C5994)), "")*24*60, "")</f>
        <v/>
      </c>
      <c r="S5995" s="24" t="str" cm="1">
        <f t="array" ref="S5995">IFERROR(IF($B5995=S$1, ($A5995+$C5995) - MAX(IF($B$2:$B5994=$B5995, $A$2:$A5994+$C$2:$C5994)), "")*24*60, "")</f>
        <v/>
      </c>
    </row>
    <row r="5996" spans="1:19" x14ac:dyDescent="0.2">
      <c r="A5996" s="12">
        <f t="shared" ref="A5996:C5996" si="1138">A5995</f>
        <v>45987</v>
      </c>
      <c r="B5996" s="5" t="str">
        <f t="shared" si="1138"/>
        <v>Northern Cardinal</v>
      </c>
      <c r="C5996" s="6">
        <f t="shared" si="1138"/>
        <v>0.28611111111111109</v>
      </c>
      <c r="D5996" s="5"/>
      <c r="E5996" s="5"/>
      <c r="F5996" s="5" t="s">
        <v>8</v>
      </c>
      <c r="G5996" s="15" t="s">
        <v>9</v>
      </c>
      <c r="H5996" s="24">
        <f t="shared" si="1129"/>
        <v>0</v>
      </c>
      <c r="I5996" s="24" cm="1">
        <f t="array" ref="I5996">IFERROR(IF($B5996=I$1, ($A5996+$C5996) - MAX(IF($B$2:$B5995=$B5996, $A$2:$A5995+$C$2:$C5995)), "")*24*60, "")</f>
        <v>0</v>
      </c>
      <c r="J5996" s="24" t="str" cm="1">
        <f t="array" ref="J5996">IFERROR(IF($B5996=J$1, ($A5996+$C5996) - MAX(IF($B$2:$B5995=$B5996, $A$2:$A5995+$C$2:$C5995)), "")*24*60, "")</f>
        <v/>
      </c>
      <c r="K5996" s="24" t="str" cm="1">
        <f t="array" ref="K5996">IFERROR(IF($B5996=K$1, ($A5996+$C5996) - MAX(IF($B$2:$B5995=$B5996, $A$2:$A5995+$C$2:$C5995)), "")*24*60, "")</f>
        <v/>
      </c>
      <c r="L5996" s="24" t="str" cm="1">
        <f t="array" ref="L5996">IFERROR(IF($B5996=L$1, ($A5996+$C5996) - MAX(IF($B$2:$B5995=$B5996, $A$2:$A5995+$C$2:$C5995)), "")*24*60, "")</f>
        <v/>
      </c>
      <c r="M5996" s="24" t="str" cm="1">
        <f t="array" ref="M5996">IFERROR(IF($B5996=M$1, ($A5996+$C5996) - MAX(IF($B$2:$B5995=$B5996, $A$2:$A5995+$C$2:$C5995)), "")*24*60, "")</f>
        <v/>
      </c>
      <c r="N5996" s="24" t="str" cm="1">
        <f t="array" ref="N5996">IFERROR(IF($B5996=N$1, ($A5996+$C5996) - MAX(IF($B$2:$B5995=$B5996, $A$2:$A5995+$C$2:$C5995)), "")*24*60, "")</f>
        <v/>
      </c>
      <c r="O5996" s="24" t="str" cm="1">
        <f t="array" ref="O5996">IFERROR(IF($B5996=O$1, ($A5996+$C5996) - MAX(IF($B$2:$B5995=$B5996, $A$2:$A5995+$C$2:$C5995)), "")*24*60, "")</f>
        <v/>
      </c>
      <c r="P5996" s="24" t="str" cm="1">
        <f t="array" ref="P5996">IFERROR(IF($B5996=P$1, ($A5996+$C5996) - MAX(IF($B$2:$B5995=$B5996, $A$2:$A5995+$C$2:$C5995)), "")*24*60, "")</f>
        <v/>
      </c>
      <c r="Q5996" s="24" t="str" cm="1">
        <f t="array" ref="Q5996">IFERROR(IF($B5996=Q$1, ($A5996+$C5996) - MAX(IF($B$2:$B5995=$B5996, $A$2:$A5995+$C$2:$C5995)), "")*24*60, "")</f>
        <v/>
      </c>
      <c r="R5996" s="24" t="str" cm="1">
        <f t="array" ref="R5996">IFERROR(IF($B5996=R$1, ($A5996+$C5996) - MAX(IF($B$2:$B5995=$B5996, $A$2:$A5995+$C$2:$C5995)), "")*24*60, "")</f>
        <v/>
      </c>
      <c r="S5996" s="24" t="str" cm="1">
        <f t="array" ref="S5996">IFERROR(IF($B5996=S$1, ($A5996+$C5996) - MAX(IF($B$2:$B5995=$B5996, $A$2:$A5995+$C$2:$C5995)), "")*24*60, "")</f>
        <v/>
      </c>
    </row>
    <row r="5997" spans="1:19" x14ac:dyDescent="0.2">
      <c r="A5997" s="12">
        <f t="shared" ref="A5997:C5997" si="1139">A5996</f>
        <v>45987</v>
      </c>
      <c r="B5997" s="5" t="str">
        <f t="shared" si="1139"/>
        <v>Northern Cardinal</v>
      </c>
      <c r="C5997" s="6">
        <f t="shared" si="1139"/>
        <v>0.28611111111111109</v>
      </c>
      <c r="D5997" s="5"/>
      <c r="E5997" s="5"/>
      <c r="F5997" s="5" t="s">
        <v>8</v>
      </c>
      <c r="G5997" s="15" t="s">
        <v>9</v>
      </c>
      <c r="H5997" s="24">
        <f t="shared" si="1129"/>
        <v>0</v>
      </c>
      <c r="I5997" s="24" cm="1">
        <f t="array" ref="I5997">IFERROR(IF($B5997=I$1, ($A5997+$C5997) - MAX(IF($B$2:$B5996=$B5997, $A$2:$A5996+$C$2:$C5996)), "")*24*60, "")</f>
        <v>0</v>
      </c>
      <c r="J5997" s="24" t="str" cm="1">
        <f t="array" ref="J5997">IFERROR(IF($B5997=J$1, ($A5997+$C5997) - MAX(IF($B$2:$B5996=$B5997, $A$2:$A5996+$C$2:$C5996)), "")*24*60, "")</f>
        <v/>
      </c>
      <c r="K5997" s="24" t="str" cm="1">
        <f t="array" ref="K5997">IFERROR(IF($B5997=K$1, ($A5997+$C5997) - MAX(IF($B$2:$B5996=$B5997, $A$2:$A5996+$C$2:$C5996)), "")*24*60, "")</f>
        <v/>
      </c>
      <c r="L5997" s="24" t="str" cm="1">
        <f t="array" ref="L5997">IFERROR(IF($B5997=L$1, ($A5997+$C5997) - MAX(IF($B$2:$B5996=$B5997, $A$2:$A5996+$C$2:$C5996)), "")*24*60, "")</f>
        <v/>
      </c>
      <c r="M5997" s="24" t="str" cm="1">
        <f t="array" ref="M5997">IFERROR(IF($B5997=M$1, ($A5997+$C5997) - MAX(IF($B$2:$B5996=$B5997, $A$2:$A5996+$C$2:$C5996)), "")*24*60, "")</f>
        <v/>
      </c>
      <c r="N5997" s="24" t="str" cm="1">
        <f t="array" ref="N5997">IFERROR(IF($B5997=N$1, ($A5997+$C5997) - MAX(IF($B$2:$B5996=$B5997, $A$2:$A5996+$C$2:$C5996)), "")*24*60, "")</f>
        <v/>
      </c>
      <c r="O5997" s="24" t="str" cm="1">
        <f t="array" ref="O5997">IFERROR(IF($B5997=O$1, ($A5997+$C5997) - MAX(IF($B$2:$B5996=$B5997, $A$2:$A5996+$C$2:$C5996)), "")*24*60, "")</f>
        <v/>
      </c>
      <c r="P5997" s="24" t="str" cm="1">
        <f t="array" ref="P5997">IFERROR(IF($B5997=P$1, ($A5997+$C5997) - MAX(IF($B$2:$B5996=$B5997, $A$2:$A5996+$C$2:$C5996)), "")*24*60, "")</f>
        <v/>
      </c>
      <c r="Q5997" s="24" t="str" cm="1">
        <f t="array" ref="Q5997">IFERROR(IF($B5997=Q$1, ($A5997+$C5997) - MAX(IF($B$2:$B5996=$B5997, $A$2:$A5996+$C$2:$C5996)), "")*24*60, "")</f>
        <v/>
      </c>
      <c r="R5997" s="24" t="str" cm="1">
        <f t="array" ref="R5997">IFERROR(IF($B5997=R$1, ($A5997+$C5997) - MAX(IF($B$2:$B5996=$B5997, $A$2:$A5996+$C$2:$C5996)), "")*24*60, "")</f>
        <v/>
      </c>
      <c r="S5997" s="24" t="str" cm="1">
        <f t="array" ref="S5997">IFERROR(IF($B5997=S$1, ($A5997+$C5997) - MAX(IF($B$2:$B5996=$B5997, $A$2:$A5996+$C$2:$C5996)), "")*24*60, "")</f>
        <v/>
      </c>
    </row>
    <row r="5998" spans="1:19" x14ac:dyDescent="0.2">
      <c r="A5998" s="12">
        <f t="shared" ref="A5998:C5998" si="1140">A5997</f>
        <v>45987</v>
      </c>
      <c r="B5998" s="5" t="str">
        <f t="shared" si="1140"/>
        <v>Northern Cardinal</v>
      </c>
      <c r="C5998" s="6">
        <f t="shared" si="1140"/>
        <v>0.28611111111111109</v>
      </c>
      <c r="D5998" s="5"/>
      <c r="E5998" s="5"/>
      <c r="F5998" s="5" t="s">
        <v>8</v>
      </c>
      <c r="G5998" s="15" t="s">
        <v>9</v>
      </c>
      <c r="H5998" s="24">
        <f t="shared" si="1129"/>
        <v>0</v>
      </c>
      <c r="I5998" s="24" cm="1">
        <f t="array" ref="I5998">IFERROR(IF($B5998=I$1, ($A5998+$C5998) - MAX(IF($B$2:$B5997=$B5998, $A$2:$A5997+$C$2:$C5997)), "")*24*60, "")</f>
        <v>0</v>
      </c>
      <c r="J5998" s="24" t="str" cm="1">
        <f t="array" ref="J5998">IFERROR(IF($B5998=J$1, ($A5998+$C5998) - MAX(IF($B$2:$B5997=$B5998, $A$2:$A5997+$C$2:$C5997)), "")*24*60, "")</f>
        <v/>
      </c>
      <c r="K5998" s="24" t="str" cm="1">
        <f t="array" ref="K5998">IFERROR(IF($B5998=K$1, ($A5998+$C5998) - MAX(IF($B$2:$B5997=$B5998, $A$2:$A5997+$C$2:$C5997)), "")*24*60, "")</f>
        <v/>
      </c>
      <c r="L5998" s="24" t="str" cm="1">
        <f t="array" ref="L5998">IFERROR(IF($B5998=L$1, ($A5998+$C5998) - MAX(IF($B$2:$B5997=$B5998, $A$2:$A5997+$C$2:$C5997)), "")*24*60, "")</f>
        <v/>
      </c>
      <c r="M5998" s="24" t="str" cm="1">
        <f t="array" ref="M5998">IFERROR(IF($B5998=M$1, ($A5998+$C5998) - MAX(IF($B$2:$B5997=$B5998, $A$2:$A5997+$C$2:$C5997)), "")*24*60, "")</f>
        <v/>
      </c>
      <c r="N5998" s="24" t="str" cm="1">
        <f t="array" ref="N5998">IFERROR(IF($B5998=N$1, ($A5998+$C5998) - MAX(IF($B$2:$B5997=$B5998, $A$2:$A5997+$C$2:$C5997)), "")*24*60, "")</f>
        <v/>
      </c>
      <c r="O5998" s="24" t="str" cm="1">
        <f t="array" ref="O5998">IFERROR(IF($B5998=O$1, ($A5998+$C5998) - MAX(IF($B$2:$B5997=$B5998, $A$2:$A5997+$C$2:$C5997)), "")*24*60, "")</f>
        <v/>
      </c>
      <c r="P5998" s="24" t="str" cm="1">
        <f t="array" ref="P5998">IFERROR(IF($B5998=P$1, ($A5998+$C5998) - MAX(IF($B$2:$B5997=$B5998, $A$2:$A5997+$C$2:$C5997)), "")*24*60, "")</f>
        <v/>
      </c>
      <c r="Q5998" s="24" t="str" cm="1">
        <f t="array" ref="Q5998">IFERROR(IF($B5998=Q$1, ($A5998+$C5998) - MAX(IF($B$2:$B5997=$B5998, $A$2:$A5997+$C$2:$C5997)), "")*24*60, "")</f>
        <v/>
      </c>
      <c r="R5998" s="24" t="str" cm="1">
        <f t="array" ref="R5998">IFERROR(IF($B5998=R$1, ($A5998+$C5998) - MAX(IF($B$2:$B5997=$B5998, $A$2:$A5997+$C$2:$C5997)), "")*24*60, "")</f>
        <v/>
      </c>
      <c r="S5998" s="24" t="str" cm="1">
        <f t="array" ref="S5998">IFERROR(IF($B5998=S$1, ($A5998+$C5998) - MAX(IF($B$2:$B5997=$B5998, $A$2:$A5997+$C$2:$C5997)), "")*24*60, "")</f>
        <v/>
      </c>
    </row>
    <row r="5999" spans="1:19" x14ac:dyDescent="0.2">
      <c r="A5999" s="12">
        <f t="shared" ref="A5999:C5999" si="1141">A5998</f>
        <v>45987</v>
      </c>
      <c r="B5999" s="5" t="str">
        <f t="shared" si="1141"/>
        <v>Northern Cardinal</v>
      </c>
      <c r="C5999" s="6">
        <f t="shared" si="1141"/>
        <v>0.28611111111111109</v>
      </c>
      <c r="D5999" s="5"/>
      <c r="E5999" s="5"/>
      <c r="F5999" s="5" t="s">
        <v>8</v>
      </c>
      <c r="G5999" s="15" t="s">
        <v>9</v>
      </c>
      <c r="H5999" s="24">
        <f t="shared" si="1129"/>
        <v>0</v>
      </c>
      <c r="I5999" s="24" cm="1">
        <f t="array" ref="I5999">IFERROR(IF($B5999=I$1, ($A5999+$C5999) - MAX(IF($B$2:$B5998=$B5999, $A$2:$A5998+$C$2:$C5998)), "")*24*60, "")</f>
        <v>0</v>
      </c>
      <c r="J5999" s="24" t="str" cm="1">
        <f t="array" ref="J5999">IFERROR(IF($B5999=J$1, ($A5999+$C5999) - MAX(IF($B$2:$B5998=$B5999, $A$2:$A5998+$C$2:$C5998)), "")*24*60, "")</f>
        <v/>
      </c>
      <c r="K5999" s="24" t="str" cm="1">
        <f t="array" ref="K5999">IFERROR(IF($B5999=K$1, ($A5999+$C5999) - MAX(IF($B$2:$B5998=$B5999, $A$2:$A5998+$C$2:$C5998)), "")*24*60, "")</f>
        <v/>
      </c>
      <c r="L5999" s="24" t="str" cm="1">
        <f t="array" ref="L5999">IFERROR(IF($B5999=L$1, ($A5999+$C5999) - MAX(IF($B$2:$B5998=$B5999, $A$2:$A5998+$C$2:$C5998)), "")*24*60, "")</f>
        <v/>
      </c>
      <c r="M5999" s="24" t="str" cm="1">
        <f t="array" ref="M5999">IFERROR(IF($B5999=M$1, ($A5999+$C5999) - MAX(IF($B$2:$B5998=$B5999, $A$2:$A5998+$C$2:$C5998)), "")*24*60, "")</f>
        <v/>
      </c>
      <c r="N5999" s="24" t="str" cm="1">
        <f t="array" ref="N5999">IFERROR(IF($B5999=N$1, ($A5999+$C5999) - MAX(IF($B$2:$B5998=$B5999, $A$2:$A5998+$C$2:$C5998)), "")*24*60, "")</f>
        <v/>
      </c>
      <c r="O5999" s="24" t="str" cm="1">
        <f t="array" ref="O5999">IFERROR(IF($B5999=O$1, ($A5999+$C5999) - MAX(IF($B$2:$B5998=$B5999, $A$2:$A5998+$C$2:$C5998)), "")*24*60, "")</f>
        <v/>
      </c>
      <c r="P5999" s="24" t="str" cm="1">
        <f t="array" ref="P5999">IFERROR(IF($B5999=P$1, ($A5999+$C5999) - MAX(IF($B$2:$B5998=$B5999, $A$2:$A5998+$C$2:$C5998)), "")*24*60, "")</f>
        <v/>
      </c>
      <c r="Q5999" s="24" t="str" cm="1">
        <f t="array" ref="Q5999">IFERROR(IF($B5999=Q$1, ($A5999+$C5999) - MAX(IF($B$2:$B5998=$B5999, $A$2:$A5998+$C$2:$C5998)), "")*24*60, "")</f>
        <v/>
      </c>
      <c r="R5999" s="24" t="str" cm="1">
        <f t="array" ref="R5999">IFERROR(IF($B5999=R$1, ($A5999+$C5999) - MAX(IF($B$2:$B5998=$B5999, $A$2:$A5998+$C$2:$C5998)), "")*24*60, "")</f>
        <v/>
      </c>
      <c r="S5999" s="24" t="str" cm="1">
        <f t="array" ref="S5999">IFERROR(IF($B5999=S$1, ($A5999+$C5999) - MAX(IF($B$2:$B5998=$B5999, $A$2:$A5998+$C$2:$C5998)), "")*24*60, "")</f>
        <v/>
      </c>
    </row>
    <row r="6000" spans="1:19" x14ac:dyDescent="0.2">
      <c r="A6000" s="12">
        <f t="shared" ref="A6000:C6000" si="1142">A5999</f>
        <v>45987</v>
      </c>
      <c r="B6000" s="5" t="str">
        <f t="shared" si="1142"/>
        <v>Northern Cardinal</v>
      </c>
      <c r="C6000" s="6">
        <f t="shared" si="1142"/>
        <v>0.28611111111111109</v>
      </c>
      <c r="D6000" s="5"/>
      <c r="E6000" s="5"/>
      <c r="F6000" s="5" t="s">
        <v>8</v>
      </c>
      <c r="G6000" s="15" t="s">
        <v>9</v>
      </c>
      <c r="H6000" s="24">
        <f t="shared" si="1129"/>
        <v>0</v>
      </c>
      <c r="I6000" s="24" cm="1">
        <f t="array" ref="I6000">IFERROR(IF($B6000=I$1, ($A6000+$C6000) - MAX(IF($B$2:$B5999=$B6000, $A$2:$A5999+$C$2:$C5999)), "")*24*60, "")</f>
        <v>0</v>
      </c>
      <c r="J6000" s="24" t="str" cm="1">
        <f t="array" ref="J6000">IFERROR(IF($B6000=J$1, ($A6000+$C6000) - MAX(IF($B$2:$B5999=$B6000, $A$2:$A5999+$C$2:$C5999)), "")*24*60, "")</f>
        <v/>
      </c>
      <c r="K6000" s="24" t="str" cm="1">
        <f t="array" ref="K6000">IFERROR(IF($B6000=K$1, ($A6000+$C6000) - MAX(IF($B$2:$B5999=$B6000, $A$2:$A5999+$C$2:$C5999)), "")*24*60, "")</f>
        <v/>
      </c>
      <c r="L6000" s="24" t="str" cm="1">
        <f t="array" ref="L6000">IFERROR(IF($B6000=L$1, ($A6000+$C6000) - MAX(IF($B$2:$B5999=$B6000, $A$2:$A5999+$C$2:$C5999)), "")*24*60, "")</f>
        <v/>
      </c>
      <c r="M6000" s="24" t="str" cm="1">
        <f t="array" ref="M6000">IFERROR(IF($B6000=M$1, ($A6000+$C6000) - MAX(IF($B$2:$B5999=$B6000, $A$2:$A5999+$C$2:$C5999)), "")*24*60, "")</f>
        <v/>
      </c>
      <c r="N6000" s="24" t="str" cm="1">
        <f t="array" ref="N6000">IFERROR(IF($B6000=N$1, ($A6000+$C6000) - MAX(IF($B$2:$B5999=$B6000, $A$2:$A5999+$C$2:$C5999)), "")*24*60, "")</f>
        <v/>
      </c>
      <c r="O6000" s="24" t="str" cm="1">
        <f t="array" ref="O6000">IFERROR(IF($B6000=O$1, ($A6000+$C6000) - MAX(IF($B$2:$B5999=$B6000, $A$2:$A5999+$C$2:$C5999)), "")*24*60, "")</f>
        <v/>
      </c>
      <c r="P6000" s="24" t="str" cm="1">
        <f t="array" ref="P6000">IFERROR(IF($B6000=P$1, ($A6000+$C6000) - MAX(IF($B$2:$B5999=$B6000, $A$2:$A5999+$C$2:$C5999)), "")*24*60, "")</f>
        <v/>
      </c>
      <c r="Q6000" s="24" t="str" cm="1">
        <f t="array" ref="Q6000">IFERROR(IF($B6000=Q$1, ($A6000+$C6000) - MAX(IF($B$2:$B5999=$B6000, $A$2:$A5999+$C$2:$C5999)), "")*24*60, "")</f>
        <v/>
      </c>
      <c r="R6000" s="24" t="str" cm="1">
        <f t="array" ref="R6000">IFERROR(IF($B6000=R$1, ($A6000+$C6000) - MAX(IF($B$2:$B5999=$B6000, $A$2:$A5999+$C$2:$C5999)), "")*24*60, "")</f>
        <v/>
      </c>
      <c r="S6000" s="24" t="str" cm="1">
        <f t="array" ref="S6000">IFERROR(IF($B6000=S$1, ($A6000+$C6000) - MAX(IF($B$2:$B5999=$B6000, $A$2:$A5999+$C$2:$C5999)), "")*24*60, "")</f>
        <v/>
      </c>
    </row>
    <row r="6001" spans="1:19" x14ac:dyDescent="0.2">
      <c r="A6001" s="12">
        <f t="shared" ref="A6001:C6001" si="1143">A6000</f>
        <v>45987</v>
      </c>
      <c r="B6001" s="5" t="str">
        <f t="shared" si="1143"/>
        <v>Northern Cardinal</v>
      </c>
      <c r="C6001" s="6">
        <f t="shared" si="1143"/>
        <v>0.28611111111111109</v>
      </c>
      <c r="D6001" s="5"/>
      <c r="E6001" s="5"/>
      <c r="F6001" s="5" t="s">
        <v>8</v>
      </c>
      <c r="G6001" s="15" t="s">
        <v>9</v>
      </c>
      <c r="H6001" s="24">
        <f t="shared" si="1129"/>
        <v>0</v>
      </c>
      <c r="I6001" s="24" cm="1">
        <f t="array" ref="I6001">IFERROR(IF($B6001=I$1, ($A6001+$C6001) - MAX(IF($B$2:$B6000=$B6001, $A$2:$A6000+$C$2:$C6000)), "")*24*60, "")</f>
        <v>0</v>
      </c>
      <c r="J6001" s="24" t="str" cm="1">
        <f t="array" ref="J6001">IFERROR(IF($B6001=J$1, ($A6001+$C6001) - MAX(IF($B$2:$B6000=$B6001, $A$2:$A6000+$C$2:$C6000)), "")*24*60, "")</f>
        <v/>
      </c>
      <c r="K6001" s="24" t="str" cm="1">
        <f t="array" ref="K6001">IFERROR(IF($B6001=K$1, ($A6001+$C6001) - MAX(IF($B$2:$B6000=$B6001, $A$2:$A6000+$C$2:$C6000)), "")*24*60, "")</f>
        <v/>
      </c>
      <c r="L6001" s="24" t="str" cm="1">
        <f t="array" ref="L6001">IFERROR(IF($B6001=L$1, ($A6001+$C6001) - MAX(IF($B$2:$B6000=$B6001, $A$2:$A6000+$C$2:$C6000)), "")*24*60, "")</f>
        <v/>
      </c>
      <c r="M6001" s="24" t="str" cm="1">
        <f t="array" ref="M6001">IFERROR(IF($B6001=M$1, ($A6001+$C6001) - MAX(IF($B$2:$B6000=$B6001, $A$2:$A6000+$C$2:$C6000)), "")*24*60, "")</f>
        <v/>
      </c>
      <c r="N6001" s="24" t="str" cm="1">
        <f t="array" ref="N6001">IFERROR(IF($B6001=N$1, ($A6001+$C6001) - MAX(IF($B$2:$B6000=$B6001, $A$2:$A6000+$C$2:$C6000)), "")*24*60, "")</f>
        <v/>
      </c>
      <c r="O6001" s="24" t="str" cm="1">
        <f t="array" ref="O6001">IFERROR(IF($B6001=O$1, ($A6001+$C6001) - MAX(IF($B$2:$B6000=$B6001, $A$2:$A6000+$C$2:$C6000)), "")*24*60, "")</f>
        <v/>
      </c>
      <c r="P6001" s="24" t="str" cm="1">
        <f t="array" ref="P6001">IFERROR(IF($B6001=P$1, ($A6001+$C6001) - MAX(IF($B$2:$B6000=$B6001, $A$2:$A6000+$C$2:$C6000)), "")*24*60, "")</f>
        <v/>
      </c>
      <c r="Q6001" s="24" t="str" cm="1">
        <f t="array" ref="Q6001">IFERROR(IF($B6001=Q$1, ($A6001+$C6001) - MAX(IF($B$2:$B6000=$B6001, $A$2:$A6000+$C$2:$C6000)), "")*24*60, "")</f>
        <v/>
      </c>
      <c r="R6001" s="24" t="str" cm="1">
        <f t="array" ref="R6001">IFERROR(IF($B6001=R$1, ($A6001+$C6001) - MAX(IF($B$2:$B6000=$B6001, $A$2:$A6000+$C$2:$C6000)), "")*24*60, "")</f>
        <v/>
      </c>
      <c r="S6001" s="24" t="str" cm="1">
        <f t="array" ref="S6001">IFERROR(IF($B6001=S$1, ($A6001+$C6001) - MAX(IF($B$2:$B6000=$B6001, $A$2:$A6000+$C$2:$C6000)), "")*24*60, "")</f>
        <v/>
      </c>
    </row>
    <row r="6002" spans="1:19" x14ac:dyDescent="0.2">
      <c r="A6002" s="12">
        <f t="shared" ref="A6002:C6002" si="1144">A6001</f>
        <v>45987</v>
      </c>
      <c r="B6002" s="5" t="str">
        <f t="shared" si="1144"/>
        <v>Northern Cardinal</v>
      </c>
      <c r="C6002" s="6">
        <f t="shared" si="1144"/>
        <v>0.28611111111111109</v>
      </c>
      <c r="D6002" s="5"/>
      <c r="E6002" s="5"/>
      <c r="F6002" s="5" t="s">
        <v>8</v>
      </c>
      <c r="G6002" s="15" t="s">
        <v>9</v>
      </c>
      <c r="H6002" s="24">
        <f t="shared" si="1129"/>
        <v>0</v>
      </c>
      <c r="I6002" s="24" cm="1">
        <f t="array" ref="I6002">IFERROR(IF($B6002=I$1, ($A6002+$C6002) - MAX(IF($B$2:$B6001=$B6002, $A$2:$A6001+$C$2:$C6001)), "")*24*60, "")</f>
        <v>0</v>
      </c>
      <c r="J6002" s="24" t="str" cm="1">
        <f t="array" ref="J6002">IFERROR(IF($B6002=J$1, ($A6002+$C6002) - MAX(IF($B$2:$B6001=$B6002, $A$2:$A6001+$C$2:$C6001)), "")*24*60, "")</f>
        <v/>
      </c>
      <c r="K6002" s="24" t="str" cm="1">
        <f t="array" ref="K6002">IFERROR(IF($B6002=K$1, ($A6002+$C6002) - MAX(IF($B$2:$B6001=$B6002, $A$2:$A6001+$C$2:$C6001)), "")*24*60, "")</f>
        <v/>
      </c>
      <c r="L6002" s="24" t="str" cm="1">
        <f t="array" ref="L6002">IFERROR(IF($B6002=L$1, ($A6002+$C6002) - MAX(IF($B$2:$B6001=$B6002, $A$2:$A6001+$C$2:$C6001)), "")*24*60, "")</f>
        <v/>
      </c>
      <c r="M6002" s="24" t="str" cm="1">
        <f t="array" ref="M6002">IFERROR(IF($B6002=M$1, ($A6002+$C6002) - MAX(IF($B$2:$B6001=$B6002, $A$2:$A6001+$C$2:$C6001)), "")*24*60, "")</f>
        <v/>
      </c>
      <c r="N6002" s="24" t="str" cm="1">
        <f t="array" ref="N6002">IFERROR(IF($B6002=N$1, ($A6002+$C6002) - MAX(IF($B$2:$B6001=$B6002, $A$2:$A6001+$C$2:$C6001)), "")*24*60, "")</f>
        <v/>
      </c>
      <c r="O6002" s="24" t="str" cm="1">
        <f t="array" ref="O6002">IFERROR(IF($B6002=O$1, ($A6002+$C6002) - MAX(IF($B$2:$B6001=$B6002, $A$2:$A6001+$C$2:$C6001)), "")*24*60, "")</f>
        <v/>
      </c>
      <c r="P6002" s="24" t="str" cm="1">
        <f t="array" ref="P6002">IFERROR(IF($B6002=P$1, ($A6002+$C6002) - MAX(IF($B$2:$B6001=$B6002, $A$2:$A6001+$C$2:$C6001)), "")*24*60, "")</f>
        <v/>
      </c>
      <c r="Q6002" s="24" t="str" cm="1">
        <f t="array" ref="Q6002">IFERROR(IF($B6002=Q$1, ($A6002+$C6002) - MAX(IF($B$2:$B6001=$B6002, $A$2:$A6001+$C$2:$C6001)), "")*24*60, "")</f>
        <v/>
      </c>
      <c r="R6002" s="24" t="str" cm="1">
        <f t="array" ref="R6002">IFERROR(IF($B6002=R$1, ($A6002+$C6002) - MAX(IF($B$2:$B6001=$B6002, $A$2:$A6001+$C$2:$C6001)), "")*24*60, "")</f>
        <v/>
      </c>
      <c r="S6002" s="24" t="str" cm="1">
        <f t="array" ref="S6002">IFERROR(IF($B6002=S$1, ($A6002+$C6002) - MAX(IF($B$2:$B6001=$B6002, $A$2:$A6001+$C$2:$C6001)), "")*24*60, "")</f>
        <v/>
      </c>
    </row>
    <row r="6003" spans="1:19" x14ac:dyDescent="0.2">
      <c r="A6003" s="12">
        <f t="shared" ref="A6003:C6003" si="1145">A6002</f>
        <v>45987</v>
      </c>
      <c r="B6003" s="5" t="str">
        <f t="shared" si="1145"/>
        <v>Northern Cardinal</v>
      </c>
      <c r="C6003" s="6">
        <f t="shared" si="1145"/>
        <v>0.28611111111111109</v>
      </c>
      <c r="D6003" s="5"/>
      <c r="E6003" s="5"/>
      <c r="F6003" s="5" t="s">
        <v>8</v>
      </c>
      <c r="G6003" s="15" t="s">
        <v>9</v>
      </c>
      <c r="H6003" s="24">
        <f t="shared" si="1129"/>
        <v>0</v>
      </c>
      <c r="I6003" s="24" cm="1">
        <f t="array" ref="I6003">IFERROR(IF($B6003=I$1, ($A6003+$C6003) - MAX(IF($B$2:$B6002=$B6003, $A$2:$A6002+$C$2:$C6002)), "")*24*60, "")</f>
        <v>0</v>
      </c>
      <c r="J6003" s="24" t="str" cm="1">
        <f t="array" ref="J6003">IFERROR(IF($B6003=J$1, ($A6003+$C6003) - MAX(IF($B$2:$B6002=$B6003, $A$2:$A6002+$C$2:$C6002)), "")*24*60, "")</f>
        <v/>
      </c>
      <c r="K6003" s="24" t="str" cm="1">
        <f t="array" ref="K6003">IFERROR(IF($B6003=K$1, ($A6003+$C6003) - MAX(IF($B$2:$B6002=$B6003, $A$2:$A6002+$C$2:$C6002)), "")*24*60, "")</f>
        <v/>
      </c>
      <c r="L6003" s="24" t="str" cm="1">
        <f t="array" ref="L6003">IFERROR(IF($B6003=L$1, ($A6003+$C6003) - MAX(IF($B$2:$B6002=$B6003, $A$2:$A6002+$C$2:$C6002)), "")*24*60, "")</f>
        <v/>
      </c>
      <c r="M6003" s="24" t="str" cm="1">
        <f t="array" ref="M6003">IFERROR(IF($B6003=M$1, ($A6003+$C6003) - MAX(IF($B$2:$B6002=$B6003, $A$2:$A6002+$C$2:$C6002)), "")*24*60, "")</f>
        <v/>
      </c>
      <c r="N6003" s="24" t="str" cm="1">
        <f t="array" ref="N6003">IFERROR(IF($B6003=N$1, ($A6003+$C6003) - MAX(IF($B$2:$B6002=$B6003, $A$2:$A6002+$C$2:$C6002)), "")*24*60, "")</f>
        <v/>
      </c>
      <c r="O6003" s="24" t="str" cm="1">
        <f t="array" ref="O6003">IFERROR(IF($B6003=O$1, ($A6003+$C6003) - MAX(IF($B$2:$B6002=$B6003, $A$2:$A6002+$C$2:$C6002)), "")*24*60, "")</f>
        <v/>
      </c>
      <c r="P6003" s="24" t="str" cm="1">
        <f t="array" ref="P6003">IFERROR(IF($B6003=P$1, ($A6003+$C6003) - MAX(IF($B$2:$B6002=$B6003, $A$2:$A6002+$C$2:$C6002)), "")*24*60, "")</f>
        <v/>
      </c>
      <c r="Q6003" s="24" t="str" cm="1">
        <f t="array" ref="Q6003">IFERROR(IF($B6003=Q$1, ($A6003+$C6003) - MAX(IF($B$2:$B6002=$B6003, $A$2:$A6002+$C$2:$C6002)), "")*24*60, "")</f>
        <v/>
      </c>
      <c r="R6003" s="24" t="str" cm="1">
        <f t="array" ref="R6003">IFERROR(IF($B6003=R$1, ($A6003+$C6003) - MAX(IF($B$2:$B6002=$B6003, $A$2:$A6002+$C$2:$C6002)), "")*24*60, "")</f>
        <v/>
      </c>
      <c r="S6003" s="24" t="str" cm="1">
        <f t="array" ref="S6003">IFERROR(IF($B6003=S$1, ($A6003+$C6003) - MAX(IF($B$2:$B6002=$B6003, $A$2:$A6002+$C$2:$C6002)), "")*24*60, "")</f>
        <v/>
      </c>
    </row>
    <row r="6004" spans="1:19" x14ac:dyDescent="0.2">
      <c r="A6004" s="12">
        <f t="shared" ref="A6004:C6004" si="1146">A6003</f>
        <v>45987</v>
      </c>
      <c r="B6004" s="5" t="str">
        <f t="shared" si="1146"/>
        <v>Northern Cardinal</v>
      </c>
      <c r="C6004" s="6">
        <f t="shared" si="1146"/>
        <v>0.28611111111111109</v>
      </c>
      <c r="D6004" s="5"/>
      <c r="E6004" s="5"/>
      <c r="F6004" s="5" t="s">
        <v>8</v>
      </c>
      <c r="G6004" s="15" t="s">
        <v>9</v>
      </c>
      <c r="H6004" s="24">
        <f t="shared" si="1129"/>
        <v>0</v>
      </c>
      <c r="I6004" s="24" cm="1">
        <f t="array" ref="I6004">IFERROR(IF($B6004=I$1, ($A6004+$C6004) - MAX(IF($B$2:$B6003=$B6004, $A$2:$A6003+$C$2:$C6003)), "")*24*60, "")</f>
        <v>0</v>
      </c>
      <c r="J6004" s="24" t="str" cm="1">
        <f t="array" ref="J6004">IFERROR(IF($B6004=J$1, ($A6004+$C6004) - MAX(IF($B$2:$B6003=$B6004, $A$2:$A6003+$C$2:$C6003)), "")*24*60, "")</f>
        <v/>
      </c>
      <c r="K6004" s="24" t="str" cm="1">
        <f t="array" ref="K6004">IFERROR(IF($B6004=K$1, ($A6004+$C6004) - MAX(IF($B$2:$B6003=$B6004, $A$2:$A6003+$C$2:$C6003)), "")*24*60, "")</f>
        <v/>
      </c>
      <c r="L6004" s="24" t="str" cm="1">
        <f t="array" ref="L6004">IFERROR(IF($B6004=L$1, ($A6004+$C6004) - MAX(IF($B$2:$B6003=$B6004, $A$2:$A6003+$C$2:$C6003)), "")*24*60, "")</f>
        <v/>
      </c>
      <c r="M6004" s="24" t="str" cm="1">
        <f t="array" ref="M6004">IFERROR(IF($B6004=M$1, ($A6004+$C6004) - MAX(IF($B$2:$B6003=$B6004, $A$2:$A6003+$C$2:$C6003)), "")*24*60, "")</f>
        <v/>
      </c>
      <c r="N6004" s="24" t="str" cm="1">
        <f t="array" ref="N6004">IFERROR(IF($B6004=N$1, ($A6004+$C6004) - MAX(IF($B$2:$B6003=$B6004, $A$2:$A6003+$C$2:$C6003)), "")*24*60, "")</f>
        <v/>
      </c>
      <c r="O6004" s="24" t="str" cm="1">
        <f t="array" ref="O6004">IFERROR(IF($B6004=O$1, ($A6004+$C6004) - MAX(IF($B$2:$B6003=$B6004, $A$2:$A6003+$C$2:$C6003)), "")*24*60, "")</f>
        <v/>
      </c>
      <c r="P6004" s="24" t="str" cm="1">
        <f t="array" ref="P6004">IFERROR(IF($B6004=P$1, ($A6004+$C6004) - MAX(IF($B$2:$B6003=$B6004, $A$2:$A6003+$C$2:$C6003)), "")*24*60, "")</f>
        <v/>
      </c>
      <c r="Q6004" s="24" t="str" cm="1">
        <f t="array" ref="Q6004">IFERROR(IF($B6004=Q$1, ($A6004+$C6004) - MAX(IF($B$2:$B6003=$B6004, $A$2:$A6003+$C$2:$C6003)), "")*24*60, "")</f>
        <v/>
      </c>
      <c r="R6004" s="24" t="str" cm="1">
        <f t="array" ref="R6004">IFERROR(IF($B6004=R$1, ($A6004+$C6004) - MAX(IF($B$2:$B6003=$B6004, $A$2:$A6003+$C$2:$C6003)), "")*24*60, "")</f>
        <v/>
      </c>
      <c r="S6004" s="24" t="str" cm="1">
        <f t="array" ref="S6004">IFERROR(IF($B6004=S$1, ($A6004+$C6004) - MAX(IF($B$2:$B6003=$B6004, $A$2:$A6003+$C$2:$C6003)), "")*24*60, "")</f>
        <v/>
      </c>
    </row>
    <row r="6005" spans="1:19" x14ac:dyDescent="0.2">
      <c r="A6005" s="12">
        <f t="shared" ref="A6005:C6005" si="1147">A6004</f>
        <v>45987</v>
      </c>
      <c r="B6005" s="5" t="str">
        <f t="shared" si="1147"/>
        <v>Northern Cardinal</v>
      </c>
      <c r="C6005" s="6">
        <f t="shared" si="1147"/>
        <v>0.28611111111111109</v>
      </c>
      <c r="D6005" s="5"/>
      <c r="E6005" s="5"/>
      <c r="F6005" s="5" t="s">
        <v>8</v>
      </c>
      <c r="G6005" s="15" t="s">
        <v>9</v>
      </c>
      <c r="H6005" s="24">
        <f t="shared" si="1129"/>
        <v>0</v>
      </c>
      <c r="I6005" s="24" cm="1">
        <f t="array" ref="I6005">IFERROR(IF($B6005=I$1, ($A6005+$C6005) - MAX(IF($B$2:$B6004=$B6005, $A$2:$A6004+$C$2:$C6004)), "")*24*60, "")</f>
        <v>0</v>
      </c>
      <c r="J6005" s="24" t="str" cm="1">
        <f t="array" ref="J6005">IFERROR(IF($B6005=J$1, ($A6005+$C6005) - MAX(IF($B$2:$B6004=$B6005, $A$2:$A6004+$C$2:$C6004)), "")*24*60, "")</f>
        <v/>
      </c>
      <c r="K6005" s="24" t="str" cm="1">
        <f t="array" ref="K6005">IFERROR(IF($B6005=K$1, ($A6005+$C6005) - MAX(IF($B$2:$B6004=$B6005, $A$2:$A6004+$C$2:$C6004)), "")*24*60, "")</f>
        <v/>
      </c>
      <c r="L6005" s="24" t="str" cm="1">
        <f t="array" ref="L6005">IFERROR(IF($B6005=L$1, ($A6005+$C6005) - MAX(IF($B$2:$B6004=$B6005, $A$2:$A6004+$C$2:$C6004)), "")*24*60, "")</f>
        <v/>
      </c>
      <c r="M6005" s="24" t="str" cm="1">
        <f t="array" ref="M6005">IFERROR(IF($B6005=M$1, ($A6005+$C6005) - MAX(IF($B$2:$B6004=$B6005, $A$2:$A6004+$C$2:$C6004)), "")*24*60, "")</f>
        <v/>
      </c>
      <c r="N6005" s="24" t="str" cm="1">
        <f t="array" ref="N6005">IFERROR(IF($B6005=N$1, ($A6005+$C6005) - MAX(IF($B$2:$B6004=$B6005, $A$2:$A6004+$C$2:$C6004)), "")*24*60, "")</f>
        <v/>
      </c>
      <c r="O6005" s="24" t="str" cm="1">
        <f t="array" ref="O6005">IFERROR(IF($B6005=O$1, ($A6005+$C6005) - MAX(IF($B$2:$B6004=$B6005, $A$2:$A6004+$C$2:$C6004)), "")*24*60, "")</f>
        <v/>
      </c>
      <c r="P6005" s="24" t="str" cm="1">
        <f t="array" ref="P6005">IFERROR(IF($B6005=P$1, ($A6005+$C6005) - MAX(IF($B$2:$B6004=$B6005, $A$2:$A6004+$C$2:$C6004)), "")*24*60, "")</f>
        <v/>
      </c>
      <c r="Q6005" s="24" t="str" cm="1">
        <f t="array" ref="Q6005">IFERROR(IF($B6005=Q$1, ($A6005+$C6005) - MAX(IF($B$2:$B6004=$B6005, $A$2:$A6004+$C$2:$C6004)), "")*24*60, "")</f>
        <v/>
      </c>
      <c r="R6005" s="24" t="str" cm="1">
        <f t="array" ref="R6005">IFERROR(IF($B6005=R$1, ($A6005+$C6005) - MAX(IF($B$2:$B6004=$B6005, $A$2:$A6004+$C$2:$C6004)), "")*24*60, "")</f>
        <v/>
      </c>
      <c r="S6005" s="24" t="str" cm="1">
        <f t="array" ref="S6005">IFERROR(IF($B6005=S$1, ($A6005+$C6005) - MAX(IF($B$2:$B6004=$B6005, $A$2:$A6004+$C$2:$C6004)), "")*24*60, "")</f>
        <v/>
      </c>
    </row>
    <row r="6006" spans="1:19" x14ac:dyDescent="0.2">
      <c r="A6006" s="12">
        <f t="shared" ref="A6006:C6006" si="1148">A6005</f>
        <v>45987</v>
      </c>
      <c r="B6006" s="5" t="str">
        <f t="shared" si="1148"/>
        <v>Northern Cardinal</v>
      </c>
      <c r="C6006" s="6">
        <f t="shared" si="1148"/>
        <v>0.28611111111111109</v>
      </c>
      <c r="D6006" s="5"/>
      <c r="E6006" s="5"/>
      <c r="F6006" s="5" t="s">
        <v>8</v>
      </c>
      <c r="G6006" s="15" t="s">
        <v>9</v>
      </c>
      <c r="H6006" s="24">
        <f t="shared" si="1129"/>
        <v>0</v>
      </c>
      <c r="I6006" s="24" cm="1">
        <f t="array" ref="I6006">IFERROR(IF($B6006=I$1, ($A6006+$C6006) - MAX(IF($B$2:$B6005=$B6006, $A$2:$A6005+$C$2:$C6005)), "")*24*60, "")</f>
        <v>0</v>
      </c>
      <c r="J6006" s="24" t="str" cm="1">
        <f t="array" ref="J6006">IFERROR(IF($B6006=J$1, ($A6006+$C6006) - MAX(IF($B$2:$B6005=$B6006, $A$2:$A6005+$C$2:$C6005)), "")*24*60, "")</f>
        <v/>
      </c>
      <c r="K6006" s="24" t="str" cm="1">
        <f t="array" ref="K6006">IFERROR(IF($B6006=K$1, ($A6006+$C6006) - MAX(IF($B$2:$B6005=$B6006, $A$2:$A6005+$C$2:$C6005)), "")*24*60, "")</f>
        <v/>
      </c>
      <c r="L6006" s="24" t="str" cm="1">
        <f t="array" ref="L6006">IFERROR(IF($B6006=L$1, ($A6006+$C6006) - MAX(IF($B$2:$B6005=$B6006, $A$2:$A6005+$C$2:$C6005)), "")*24*60, "")</f>
        <v/>
      </c>
      <c r="M6006" s="24" t="str" cm="1">
        <f t="array" ref="M6006">IFERROR(IF($B6006=M$1, ($A6006+$C6006) - MAX(IF($B$2:$B6005=$B6006, $A$2:$A6005+$C$2:$C6005)), "")*24*60, "")</f>
        <v/>
      </c>
      <c r="N6006" s="24" t="str" cm="1">
        <f t="array" ref="N6006">IFERROR(IF($B6006=N$1, ($A6006+$C6006) - MAX(IF($B$2:$B6005=$B6006, $A$2:$A6005+$C$2:$C6005)), "")*24*60, "")</f>
        <v/>
      </c>
      <c r="O6006" s="24" t="str" cm="1">
        <f t="array" ref="O6006">IFERROR(IF($B6006=O$1, ($A6006+$C6006) - MAX(IF($B$2:$B6005=$B6006, $A$2:$A6005+$C$2:$C6005)), "")*24*60, "")</f>
        <v/>
      </c>
      <c r="P6006" s="24" t="str" cm="1">
        <f t="array" ref="P6006">IFERROR(IF($B6006=P$1, ($A6006+$C6006) - MAX(IF($B$2:$B6005=$B6006, $A$2:$A6005+$C$2:$C6005)), "")*24*60, "")</f>
        <v/>
      </c>
      <c r="Q6006" s="24" t="str" cm="1">
        <f t="array" ref="Q6006">IFERROR(IF($B6006=Q$1, ($A6006+$C6006) - MAX(IF($B$2:$B6005=$B6006, $A$2:$A6005+$C$2:$C6005)), "")*24*60, "")</f>
        <v/>
      </c>
      <c r="R6006" s="24" t="str" cm="1">
        <f t="array" ref="R6006">IFERROR(IF($B6006=R$1, ($A6006+$C6006) - MAX(IF($B$2:$B6005=$B6006, $A$2:$A6005+$C$2:$C6005)), "")*24*60, "")</f>
        <v/>
      </c>
      <c r="S6006" s="24" t="str" cm="1">
        <f t="array" ref="S6006">IFERROR(IF($B6006=S$1, ($A6006+$C6006) - MAX(IF($B$2:$B6005=$B6006, $A$2:$A6005+$C$2:$C6005)), "")*24*60, "")</f>
        <v/>
      </c>
    </row>
    <row r="6007" spans="1:19" x14ac:dyDescent="0.2">
      <c r="A6007" s="12">
        <f t="shared" ref="A6007:C6007" si="1149">A6006</f>
        <v>45987</v>
      </c>
      <c r="B6007" s="5" t="str">
        <f t="shared" si="1149"/>
        <v>Northern Cardinal</v>
      </c>
      <c r="C6007" s="6">
        <f t="shared" si="1149"/>
        <v>0.28611111111111109</v>
      </c>
      <c r="D6007" s="5"/>
      <c r="E6007" s="5"/>
      <c r="F6007" s="5" t="s">
        <v>8</v>
      </c>
      <c r="G6007" s="15" t="s">
        <v>9</v>
      </c>
      <c r="H6007" s="24">
        <f t="shared" si="1129"/>
        <v>0</v>
      </c>
      <c r="I6007" s="24" cm="1">
        <f t="array" ref="I6007">IFERROR(IF($B6007=I$1, ($A6007+$C6007) - MAX(IF($B$2:$B6006=$B6007, $A$2:$A6006+$C$2:$C6006)), "")*24*60, "")</f>
        <v>0</v>
      </c>
      <c r="J6007" s="24" t="str" cm="1">
        <f t="array" ref="J6007">IFERROR(IF($B6007=J$1, ($A6007+$C6007) - MAX(IF($B$2:$B6006=$B6007, $A$2:$A6006+$C$2:$C6006)), "")*24*60, "")</f>
        <v/>
      </c>
      <c r="K6007" s="24" t="str" cm="1">
        <f t="array" ref="K6007">IFERROR(IF($B6007=K$1, ($A6007+$C6007) - MAX(IF($B$2:$B6006=$B6007, $A$2:$A6006+$C$2:$C6006)), "")*24*60, "")</f>
        <v/>
      </c>
      <c r="L6007" s="24" t="str" cm="1">
        <f t="array" ref="L6007">IFERROR(IF($B6007=L$1, ($A6007+$C6007) - MAX(IF($B$2:$B6006=$B6007, $A$2:$A6006+$C$2:$C6006)), "")*24*60, "")</f>
        <v/>
      </c>
      <c r="M6007" s="24" t="str" cm="1">
        <f t="array" ref="M6007">IFERROR(IF($B6007=M$1, ($A6007+$C6007) - MAX(IF($B$2:$B6006=$B6007, $A$2:$A6006+$C$2:$C6006)), "")*24*60, "")</f>
        <v/>
      </c>
      <c r="N6007" s="24" t="str" cm="1">
        <f t="array" ref="N6007">IFERROR(IF($B6007=N$1, ($A6007+$C6007) - MAX(IF($B$2:$B6006=$B6007, $A$2:$A6006+$C$2:$C6006)), "")*24*60, "")</f>
        <v/>
      </c>
      <c r="O6007" s="24" t="str" cm="1">
        <f t="array" ref="O6007">IFERROR(IF($B6007=O$1, ($A6007+$C6007) - MAX(IF($B$2:$B6006=$B6007, $A$2:$A6006+$C$2:$C6006)), "")*24*60, "")</f>
        <v/>
      </c>
      <c r="P6007" s="24" t="str" cm="1">
        <f t="array" ref="P6007">IFERROR(IF($B6007=P$1, ($A6007+$C6007) - MAX(IF($B$2:$B6006=$B6007, $A$2:$A6006+$C$2:$C6006)), "")*24*60, "")</f>
        <v/>
      </c>
      <c r="Q6007" s="24" t="str" cm="1">
        <f t="array" ref="Q6007">IFERROR(IF($B6007=Q$1, ($A6007+$C6007) - MAX(IF($B$2:$B6006=$B6007, $A$2:$A6006+$C$2:$C6006)), "")*24*60, "")</f>
        <v/>
      </c>
      <c r="R6007" s="24" t="str" cm="1">
        <f t="array" ref="R6007">IFERROR(IF($B6007=R$1, ($A6007+$C6007) - MAX(IF($B$2:$B6006=$B6007, $A$2:$A6006+$C$2:$C6006)), "")*24*60, "")</f>
        <v/>
      </c>
      <c r="S6007" s="24" t="str" cm="1">
        <f t="array" ref="S6007">IFERROR(IF($B6007=S$1, ($A6007+$C6007) - MAX(IF($B$2:$B6006=$B6007, $A$2:$A6006+$C$2:$C6006)), "")*24*60, "")</f>
        <v/>
      </c>
    </row>
    <row r="6008" spans="1:19" x14ac:dyDescent="0.2">
      <c r="A6008" s="12">
        <f t="shared" ref="A6008:C6008" si="1150">A6007</f>
        <v>45987</v>
      </c>
      <c r="B6008" s="5" t="str">
        <f t="shared" si="1150"/>
        <v>Northern Cardinal</v>
      </c>
      <c r="C6008" s="6">
        <f t="shared" si="1150"/>
        <v>0.28611111111111109</v>
      </c>
      <c r="D6008" s="5"/>
      <c r="E6008" s="5"/>
      <c r="F6008" s="5" t="s">
        <v>8</v>
      </c>
      <c r="G6008" s="15" t="s">
        <v>9</v>
      </c>
      <c r="H6008" s="24">
        <f t="shared" si="1129"/>
        <v>0</v>
      </c>
      <c r="I6008" s="24" cm="1">
        <f t="array" ref="I6008">IFERROR(IF($B6008=I$1, ($A6008+$C6008) - MAX(IF($B$2:$B6007=$B6008, $A$2:$A6007+$C$2:$C6007)), "")*24*60, "")</f>
        <v>0</v>
      </c>
      <c r="J6008" s="24" t="str" cm="1">
        <f t="array" ref="J6008">IFERROR(IF($B6008=J$1, ($A6008+$C6008) - MAX(IF($B$2:$B6007=$B6008, $A$2:$A6007+$C$2:$C6007)), "")*24*60, "")</f>
        <v/>
      </c>
      <c r="K6008" s="24" t="str" cm="1">
        <f t="array" ref="K6008">IFERROR(IF($B6008=K$1, ($A6008+$C6008) - MAX(IF($B$2:$B6007=$B6008, $A$2:$A6007+$C$2:$C6007)), "")*24*60, "")</f>
        <v/>
      </c>
      <c r="L6008" s="24" t="str" cm="1">
        <f t="array" ref="L6008">IFERROR(IF($B6008=L$1, ($A6008+$C6008) - MAX(IF($B$2:$B6007=$B6008, $A$2:$A6007+$C$2:$C6007)), "")*24*60, "")</f>
        <v/>
      </c>
      <c r="M6008" s="24" t="str" cm="1">
        <f t="array" ref="M6008">IFERROR(IF($B6008=M$1, ($A6008+$C6008) - MAX(IF($B$2:$B6007=$B6008, $A$2:$A6007+$C$2:$C6007)), "")*24*60, "")</f>
        <v/>
      </c>
      <c r="N6008" s="24" t="str" cm="1">
        <f t="array" ref="N6008">IFERROR(IF($B6008=N$1, ($A6008+$C6008) - MAX(IF($B$2:$B6007=$B6008, $A$2:$A6007+$C$2:$C6007)), "")*24*60, "")</f>
        <v/>
      </c>
      <c r="O6008" s="24" t="str" cm="1">
        <f t="array" ref="O6008">IFERROR(IF($B6008=O$1, ($A6008+$C6008) - MAX(IF($B$2:$B6007=$B6008, $A$2:$A6007+$C$2:$C6007)), "")*24*60, "")</f>
        <v/>
      </c>
      <c r="P6008" s="24" t="str" cm="1">
        <f t="array" ref="P6008">IFERROR(IF($B6008=P$1, ($A6008+$C6008) - MAX(IF($B$2:$B6007=$B6008, $A$2:$A6007+$C$2:$C6007)), "")*24*60, "")</f>
        <v/>
      </c>
      <c r="Q6008" s="24" t="str" cm="1">
        <f t="array" ref="Q6008">IFERROR(IF($B6008=Q$1, ($A6008+$C6008) - MAX(IF($B$2:$B6007=$B6008, $A$2:$A6007+$C$2:$C6007)), "")*24*60, "")</f>
        <v/>
      </c>
      <c r="R6008" s="24" t="str" cm="1">
        <f t="array" ref="R6008">IFERROR(IF($B6008=R$1, ($A6008+$C6008) - MAX(IF($B$2:$B6007=$B6008, $A$2:$A6007+$C$2:$C6007)), "")*24*60, "")</f>
        <v/>
      </c>
      <c r="S6008" s="24" t="str" cm="1">
        <f t="array" ref="S6008">IFERROR(IF($B6008=S$1, ($A6008+$C6008) - MAX(IF($B$2:$B6007=$B6008, $A$2:$A6007+$C$2:$C6007)), "")*24*60, "")</f>
        <v/>
      </c>
    </row>
    <row r="6009" spans="1:19" x14ac:dyDescent="0.2">
      <c r="A6009" s="12">
        <f t="shared" ref="A6009:C6009" si="1151">A6008</f>
        <v>45987</v>
      </c>
      <c r="B6009" s="5" t="str">
        <f t="shared" si="1151"/>
        <v>Northern Cardinal</v>
      </c>
      <c r="C6009" s="6">
        <f t="shared" si="1151"/>
        <v>0.28611111111111109</v>
      </c>
      <c r="D6009" s="5"/>
      <c r="E6009" s="5"/>
      <c r="F6009" s="5" t="s">
        <v>8</v>
      </c>
      <c r="G6009" s="15" t="s">
        <v>9</v>
      </c>
      <c r="H6009" s="24">
        <f t="shared" si="1129"/>
        <v>0</v>
      </c>
      <c r="I6009" s="24" cm="1">
        <f t="array" ref="I6009">IFERROR(IF($B6009=I$1, ($A6009+$C6009) - MAX(IF($B$2:$B6008=$B6009, $A$2:$A6008+$C$2:$C6008)), "")*24*60, "")</f>
        <v>0</v>
      </c>
      <c r="J6009" s="24" t="str" cm="1">
        <f t="array" ref="J6009">IFERROR(IF($B6009=J$1, ($A6009+$C6009) - MAX(IF($B$2:$B6008=$B6009, $A$2:$A6008+$C$2:$C6008)), "")*24*60, "")</f>
        <v/>
      </c>
      <c r="K6009" s="24" t="str" cm="1">
        <f t="array" ref="K6009">IFERROR(IF($B6009=K$1, ($A6009+$C6009) - MAX(IF($B$2:$B6008=$B6009, $A$2:$A6008+$C$2:$C6008)), "")*24*60, "")</f>
        <v/>
      </c>
      <c r="L6009" s="24" t="str" cm="1">
        <f t="array" ref="L6009">IFERROR(IF($B6009=L$1, ($A6009+$C6009) - MAX(IF($B$2:$B6008=$B6009, $A$2:$A6008+$C$2:$C6008)), "")*24*60, "")</f>
        <v/>
      </c>
      <c r="M6009" s="24" t="str" cm="1">
        <f t="array" ref="M6009">IFERROR(IF($B6009=M$1, ($A6009+$C6009) - MAX(IF($B$2:$B6008=$B6009, $A$2:$A6008+$C$2:$C6008)), "")*24*60, "")</f>
        <v/>
      </c>
      <c r="N6009" s="24" t="str" cm="1">
        <f t="array" ref="N6009">IFERROR(IF($B6009=N$1, ($A6009+$C6009) - MAX(IF($B$2:$B6008=$B6009, $A$2:$A6008+$C$2:$C6008)), "")*24*60, "")</f>
        <v/>
      </c>
      <c r="O6009" s="24" t="str" cm="1">
        <f t="array" ref="O6009">IFERROR(IF($B6009=O$1, ($A6009+$C6009) - MAX(IF($B$2:$B6008=$B6009, $A$2:$A6008+$C$2:$C6008)), "")*24*60, "")</f>
        <v/>
      </c>
      <c r="P6009" s="24" t="str" cm="1">
        <f t="array" ref="P6009">IFERROR(IF($B6009=P$1, ($A6009+$C6009) - MAX(IF($B$2:$B6008=$B6009, $A$2:$A6008+$C$2:$C6008)), "")*24*60, "")</f>
        <v/>
      </c>
      <c r="Q6009" s="24" t="str" cm="1">
        <f t="array" ref="Q6009">IFERROR(IF($B6009=Q$1, ($A6009+$C6009) - MAX(IF($B$2:$B6008=$B6009, $A$2:$A6008+$C$2:$C6008)), "")*24*60, "")</f>
        <v/>
      </c>
      <c r="R6009" s="24" t="str" cm="1">
        <f t="array" ref="R6009">IFERROR(IF($B6009=R$1, ($A6009+$C6009) - MAX(IF($B$2:$B6008=$B6009, $A$2:$A6008+$C$2:$C6008)), "")*24*60, "")</f>
        <v/>
      </c>
      <c r="S6009" s="24" t="str" cm="1">
        <f t="array" ref="S6009">IFERROR(IF($B6009=S$1, ($A6009+$C6009) - MAX(IF($B$2:$B6008=$B6009, $A$2:$A6008+$C$2:$C6008)), "")*24*60, "")</f>
        <v/>
      </c>
    </row>
    <row r="6010" spans="1:19" x14ac:dyDescent="0.2">
      <c r="A6010" s="12">
        <f t="shared" ref="A6010:C6010" si="1152">A6009</f>
        <v>45987</v>
      </c>
      <c r="B6010" s="5" t="str">
        <f t="shared" si="1152"/>
        <v>Northern Cardinal</v>
      </c>
      <c r="C6010" s="6">
        <f t="shared" si="1152"/>
        <v>0.28611111111111109</v>
      </c>
      <c r="D6010" s="5"/>
      <c r="E6010" s="5"/>
      <c r="F6010" s="5" t="s">
        <v>8</v>
      </c>
      <c r="G6010" s="15" t="s">
        <v>9</v>
      </c>
      <c r="H6010" s="24">
        <f t="shared" si="1129"/>
        <v>0</v>
      </c>
      <c r="I6010" s="24" cm="1">
        <f t="array" ref="I6010">IFERROR(IF($B6010=I$1, ($A6010+$C6010) - MAX(IF($B$2:$B6009=$B6010, $A$2:$A6009+$C$2:$C6009)), "")*24*60, "")</f>
        <v>0</v>
      </c>
      <c r="J6010" s="24" t="str" cm="1">
        <f t="array" ref="J6010">IFERROR(IF($B6010=J$1, ($A6010+$C6010) - MAX(IF($B$2:$B6009=$B6010, $A$2:$A6009+$C$2:$C6009)), "")*24*60, "")</f>
        <v/>
      </c>
      <c r="K6010" s="24" t="str" cm="1">
        <f t="array" ref="K6010">IFERROR(IF($B6010=K$1, ($A6010+$C6010) - MAX(IF($B$2:$B6009=$B6010, $A$2:$A6009+$C$2:$C6009)), "")*24*60, "")</f>
        <v/>
      </c>
      <c r="L6010" s="24" t="str" cm="1">
        <f t="array" ref="L6010">IFERROR(IF($B6010=L$1, ($A6010+$C6010) - MAX(IF($B$2:$B6009=$B6010, $A$2:$A6009+$C$2:$C6009)), "")*24*60, "")</f>
        <v/>
      </c>
      <c r="M6010" s="24" t="str" cm="1">
        <f t="array" ref="M6010">IFERROR(IF($B6010=M$1, ($A6010+$C6010) - MAX(IF($B$2:$B6009=$B6010, $A$2:$A6009+$C$2:$C6009)), "")*24*60, "")</f>
        <v/>
      </c>
      <c r="N6010" s="24" t="str" cm="1">
        <f t="array" ref="N6010">IFERROR(IF($B6010=N$1, ($A6010+$C6010) - MAX(IF($B$2:$B6009=$B6010, $A$2:$A6009+$C$2:$C6009)), "")*24*60, "")</f>
        <v/>
      </c>
      <c r="O6010" s="24" t="str" cm="1">
        <f t="array" ref="O6010">IFERROR(IF($B6010=O$1, ($A6010+$C6010) - MAX(IF($B$2:$B6009=$B6010, $A$2:$A6009+$C$2:$C6009)), "")*24*60, "")</f>
        <v/>
      </c>
      <c r="P6010" s="24" t="str" cm="1">
        <f t="array" ref="P6010">IFERROR(IF($B6010=P$1, ($A6010+$C6010) - MAX(IF($B$2:$B6009=$B6010, $A$2:$A6009+$C$2:$C6009)), "")*24*60, "")</f>
        <v/>
      </c>
      <c r="Q6010" s="24" t="str" cm="1">
        <f t="array" ref="Q6010">IFERROR(IF($B6010=Q$1, ($A6010+$C6010) - MAX(IF($B$2:$B6009=$B6010, $A$2:$A6009+$C$2:$C6009)), "")*24*60, "")</f>
        <v/>
      </c>
      <c r="R6010" s="24" t="str" cm="1">
        <f t="array" ref="R6010">IFERROR(IF($B6010=R$1, ($A6010+$C6010) - MAX(IF($B$2:$B6009=$B6010, $A$2:$A6009+$C$2:$C6009)), "")*24*60, "")</f>
        <v/>
      </c>
      <c r="S6010" s="24" t="str" cm="1">
        <f t="array" ref="S6010">IFERROR(IF($B6010=S$1, ($A6010+$C6010) - MAX(IF($B$2:$B6009=$B6010, $A$2:$A6009+$C$2:$C6009)), "")*24*60, "")</f>
        <v/>
      </c>
    </row>
    <row r="6011" spans="1:19" x14ac:dyDescent="0.2">
      <c r="A6011" s="12">
        <f t="shared" ref="A6011:C6011" si="1153">A6010</f>
        <v>45987</v>
      </c>
      <c r="B6011" s="5" t="str">
        <f t="shared" si="1153"/>
        <v>Northern Cardinal</v>
      </c>
      <c r="C6011" s="6">
        <f t="shared" si="1153"/>
        <v>0.28611111111111109</v>
      </c>
      <c r="D6011" s="5"/>
      <c r="E6011" s="5"/>
      <c r="F6011" s="5" t="s">
        <v>8</v>
      </c>
      <c r="G6011" s="15" t="s">
        <v>9</v>
      </c>
      <c r="H6011" s="24">
        <f t="shared" si="1129"/>
        <v>0</v>
      </c>
      <c r="I6011" s="24" cm="1">
        <f t="array" ref="I6011">IFERROR(IF($B6011=I$1, ($A6011+$C6011) - MAX(IF($B$2:$B6010=$B6011, $A$2:$A6010+$C$2:$C6010)), "")*24*60, "")</f>
        <v>0</v>
      </c>
      <c r="J6011" s="24" t="str" cm="1">
        <f t="array" ref="J6011">IFERROR(IF($B6011=J$1, ($A6011+$C6011) - MAX(IF($B$2:$B6010=$B6011, $A$2:$A6010+$C$2:$C6010)), "")*24*60, "")</f>
        <v/>
      </c>
      <c r="K6011" s="24" t="str" cm="1">
        <f t="array" ref="K6011">IFERROR(IF($B6011=K$1, ($A6011+$C6011) - MAX(IF($B$2:$B6010=$B6011, $A$2:$A6010+$C$2:$C6010)), "")*24*60, "")</f>
        <v/>
      </c>
      <c r="L6011" s="24" t="str" cm="1">
        <f t="array" ref="L6011">IFERROR(IF($B6011=L$1, ($A6011+$C6011) - MAX(IF($B$2:$B6010=$B6011, $A$2:$A6010+$C$2:$C6010)), "")*24*60, "")</f>
        <v/>
      </c>
      <c r="M6011" s="24" t="str" cm="1">
        <f t="array" ref="M6011">IFERROR(IF($B6011=M$1, ($A6011+$C6011) - MAX(IF($B$2:$B6010=$B6011, $A$2:$A6010+$C$2:$C6010)), "")*24*60, "")</f>
        <v/>
      </c>
      <c r="N6011" s="24" t="str" cm="1">
        <f t="array" ref="N6011">IFERROR(IF($B6011=N$1, ($A6011+$C6011) - MAX(IF($B$2:$B6010=$B6011, $A$2:$A6010+$C$2:$C6010)), "")*24*60, "")</f>
        <v/>
      </c>
      <c r="O6011" s="24" t="str" cm="1">
        <f t="array" ref="O6011">IFERROR(IF($B6011=O$1, ($A6011+$C6011) - MAX(IF($B$2:$B6010=$B6011, $A$2:$A6010+$C$2:$C6010)), "")*24*60, "")</f>
        <v/>
      </c>
      <c r="P6011" s="24" t="str" cm="1">
        <f t="array" ref="P6011">IFERROR(IF($B6011=P$1, ($A6011+$C6011) - MAX(IF($B$2:$B6010=$B6011, $A$2:$A6010+$C$2:$C6010)), "")*24*60, "")</f>
        <v/>
      </c>
      <c r="Q6011" s="24" t="str" cm="1">
        <f t="array" ref="Q6011">IFERROR(IF($B6011=Q$1, ($A6011+$C6011) - MAX(IF($B$2:$B6010=$B6011, $A$2:$A6010+$C$2:$C6010)), "")*24*60, "")</f>
        <v/>
      </c>
      <c r="R6011" s="24" t="str" cm="1">
        <f t="array" ref="R6011">IFERROR(IF($B6011=R$1, ($A6011+$C6011) - MAX(IF($B$2:$B6010=$B6011, $A$2:$A6010+$C$2:$C6010)), "")*24*60, "")</f>
        <v/>
      </c>
      <c r="S6011" s="24" t="str" cm="1">
        <f t="array" ref="S6011">IFERROR(IF($B6011=S$1, ($A6011+$C6011) - MAX(IF($B$2:$B6010=$B6011, $A$2:$A6010+$C$2:$C6010)), "")*24*60, "")</f>
        <v/>
      </c>
    </row>
    <row r="6012" spans="1:19" x14ac:dyDescent="0.2">
      <c r="A6012" s="12">
        <f t="shared" ref="A6012:C6012" si="1154">A6011</f>
        <v>45987</v>
      </c>
      <c r="B6012" s="5" t="str">
        <f t="shared" si="1154"/>
        <v>Northern Cardinal</v>
      </c>
      <c r="C6012" s="6">
        <f t="shared" si="1154"/>
        <v>0.28611111111111109</v>
      </c>
      <c r="D6012" s="5"/>
      <c r="E6012" s="5"/>
      <c r="F6012" s="5" t="s">
        <v>8</v>
      </c>
      <c r="G6012" s="15" t="s">
        <v>9</v>
      </c>
      <c r="H6012" s="24">
        <f t="shared" si="1129"/>
        <v>0</v>
      </c>
      <c r="I6012" s="24" cm="1">
        <f t="array" ref="I6012">IFERROR(IF($B6012=I$1, ($A6012+$C6012) - MAX(IF($B$2:$B6011=$B6012, $A$2:$A6011+$C$2:$C6011)), "")*24*60, "")</f>
        <v>0</v>
      </c>
      <c r="J6012" s="24" t="str" cm="1">
        <f t="array" ref="J6012">IFERROR(IF($B6012=J$1, ($A6012+$C6012) - MAX(IF($B$2:$B6011=$B6012, $A$2:$A6011+$C$2:$C6011)), "")*24*60, "")</f>
        <v/>
      </c>
      <c r="K6012" s="24" t="str" cm="1">
        <f t="array" ref="K6012">IFERROR(IF($B6012=K$1, ($A6012+$C6012) - MAX(IF($B$2:$B6011=$B6012, $A$2:$A6011+$C$2:$C6011)), "")*24*60, "")</f>
        <v/>
      </c>
      <c r="L6012" s="24" t="str" cm="1">
        <f t="array" ref="L6012">IFERROR(IF($B6012=L$1, ($A6012+$C6012) - MAX(IF($B$2:$B6011=$B6012, $A$2:$A6011+$C$2:$C6011)), "")*24*60, "")</f>
        <v/>
      </c>
      <c r="M6012" s="24" t="str" cm="1">
        <f t="array" ref="M6012">IFERROR(IF($B6012=M$1, ($A6012+$C6012) - MAX(IF($B$2:$B6011=$B6012, $A$2:$A6011+$C$2:$C6011)), "")*24*60, "")</f>
        <v/>
      </c>
      <c r="N6012" s="24" t="str" cm="1">
        <f t="array" ref="N6012">IFERROR(IF($B6012=N$1, ($A6012+$C6012) - MAX(IF($B$2:$B6011=$B6012, $A$2:$A6011+$C$2:$C6011)), "")*24*60, "")</f>
        <v/>
      </c>
      <c r="O6012" s="24" t="str" cm="1">
        <f t="array" ref="O6012">IFERROR(IF($B6012=O$1, ($A6012+$C6012) - MAX(IF($B$2:$B6011=$B6012, $A$2:$A6011+$C$2:$C6011)), "")*24*60, "")</f>
        <v/>
      </c>
      <c r="P6012" s="24" t="str" cm="1">
        <f t="array" ref="P6012">IFERROR(IF($B6012=P$1, ($A6012+$C6012) - MAX(IF($B$2:$B6011=$B6012, $A$2:$A6011+$C$2:$C6011)), "")*24*60, "")</f>
        <v/>
      </c>
      <c r="Q6012" s="24" t="str" cm="1">
        <f t="array" ref="Q6012">IFERROR(IF($B6012=Q$1, ($A6012+$C6012) - MAX(IF($B$2:$B6011=$B6012, $A$2:$A6011+$C$2:$C6011)), "")*24*60, "")</f>
        <v/>
      </c>
      <c r="R6012" s="24" t="str" cm="1">
        <f t="array" ref="R6012">IFERROR(IF($B6012=R$1, ($A6012+$C6012) - MAX(IF($B$2:$B6011=$B6012, $A$2:$A6011+$C$2:$C6011)), "")*24*60, "")</f>
        <v/>
      </c>
      <c r="S6012" s="24" t="str" cm="1">
        <f t="array" ref="S6012">IFERROR(IF($B6012=S$1, ($A6012+$C6012) - MAX(IF($B$2:$B6011=$B6012, $A$2:$A6011+$C$2:$C6011)), "")*24*60, "")</f>
        <v/>
      </c>
    </row>
    <row r="6013" spans="1:19" x14ac:dyDescent="0.2">
      <c r="A6013" s="12">
        <f t="shared" ref="A6013:C6013" si="1155">A6012</f>
        <v>45987</v>
      </c>
      <c r="B6013" s="5" t="str">
        <f t="shared" si="1155"/>
        <v>Northern Cardinal</v>
      </c>
      <c r="C6013" s="6">
        <f t="shared" si="1155"/>
        <v>0.28611111111111109</v>
      </c>
      <c r="D6013" s="5"/>
      <c r="E6013" s="5"/>
      <c r="F6013" s="5" t="s">
        <v>8</v>
      </c>
      <c r="G6013" s="15" t="s">
        <v>9</v>
      </c>
      <c r="H6013" s="24">
        <f t="shared" si="1129"/>
        <v>0</v>
      </c>
      <c r="I6013" s="24" cm="1">
        <f t="array" ref="I6013">IFERROR(IF($B6013=I$1, ($A6013+$C6013) - MAX(IF($B$2:$B6012=$B6013, $A$2:$A6012+$C$2:$C6012)), "")*24*60, "")</f>
        <v>0</v>
      </c>
      <c r="J6013" s="24" t="str" cm="1">
        <f t="array" ref="J6013">IFERROR(IF($B6013=J$1, ($A6013+$C6013) - MAX(IF($B$2:$B6012=$B6013, $A$2:$A6012+$C$2:$C6012)), "")*24*60, "")</f>
        <v/>
      </c>
      <c r="K6013" s="24" t="str" cm="1">
        <f t="array" ref="K6013">IFERROR(IF($B6013=K$1, ($A6013+$C6013) - MAX(IF($B$2:$B6012=$B6013, $A$2:$A6012+$C$2:$C6012)), "")*24*60, "")</f>
        <v/>
      </c>
      <c r="L6013" s="24" t="str" cm="1">
        <f t="array" ref="L6013">IFERROR(IF($B6013=L$1, ($A6013+$C6013) - MAX(IF($B$2:$B6012=$B6013, $A$2:$A6012+$C$2:$C6012)), "")*24*60, "")</f>
        <v/>
      </c>
      <c r="M6013" s="24" t="str" cm="1">
        <f t="array" ref="M6013">IFERROR(IF($B6013=M$1, ($A6013+$C6013) - MAX(IF($B$2:$B6012=$B6013, $A$2:$A6012+$C$2:$C6012)), "")*24*60, "")</f>
        <v/>
      </c>
      <c r="N6013" s="24" t="str" cm="1">
        <f t="array" ref="N6013">IFERROR(IF($B6013=N$1, ($A6013+$C6013) - MAX(IF($B$2:$B6012=$B6013, $A$2:$A6012+$C$2:$C6012)), "")*24*60, "")</f>
        <v/>
      </c>
      <c r="O6013" s="24" t="str" cm="1">
        <f t="array" ref="O6013">IFERROR(IF($B6013=O$1, ($A6013+$C6013) - MAX(IF($B$2:$B6012=$B6013, $A$2:$A6012+$C$2:$C6012)), "")*24*60, "")</f>
        <v/>
      </c>
      <c r="P6013" s="24" t="str" cm="1">
        <f t="array" ref="P6013">IFERROR(IF($B6013=P$1, ($A6013+$C6013) - MAX(IF($B$2:$B6012=$B6013, $A$2:$A6012+$C$2:$C6012)), "")*24*60, "")</f>
        <v/>
      </c>
      <c r="Q6013" s="24" t="str" cm="1">
        <f t="array" ref="Q6013">IFERROR(IF($B6013=Q$1, ($A6013+$C6013) - MAX(IF($B$2:$B6012=$B6013, $A$2:$A6012+$C$2:$C6012)), "")*24*60, "")</f>
        <v/>
      </c>
      <c r="R6013" s="24" t="str" cm="1">
        <f t="array" ref="R6013">IFERROR(IF($B6013=R$1, ($A6013+$C6013) - MAX(IF($B$2:$B6012=$B6013, $A$2:$A6012+$C$2:$C6012)), "")*24*60, "")</f>
        <v/>
      </c>
      <c r="S6013" s="24" t="str" cm="1">
        <f t="array" ref="S6013">IFERROR(IF($B6013=S$1, ($A6013+$C6013) - MAX(IF($B$2:$B6012=$B6013, $A$2:$A6012+$C$2:$C6012)), "")*24*60, "")</f>
        <v/>
      </c>
    </row>
    <row r="6014" spans="1:19" x14ac:dyDescent="0.2">
      <c r="A6014" s="12">
        <f t="shared" ref="A6014:C6014" si="1156">A6013</f>
        <v>45987</v>
      </c>
      <c r="B6014" s="5" t="str">
        <f t="shared" si="1156"/>
        <v>Northern Cardinal</v>
      </c>
      <c r="C6014" s="6">
        <f t="shared" si="1156"/>
        <v>0.28611111111111109</v>
      </c>
      <c r="D6014" s="5"/>
      <c r="E6014" s="5"/>
      <c r="F6014" s="5" t="s">
        <v>8</v>
      </c>
      <c r="G6014" s="15" t="s">
        <v>9</v>
      </c>
      <c r="H6014" s="24">
        <f t="shared" si="1129"/>
        <v>0</v>
      </c>
      <c r="I6014" s="24" cm="1">
        <f t="array" ref="I6014">IFERROR(IF($B6014=I$1, ($A6014+$C6014) - MAX(IF($B$2:$B6013=$B6014, $A$2:$A6013+$C$2:$C6013)), "")*24*60, "")</f>
        <v>0</v>
      </c>
      <c r="J6014" s="24" t="str" cm="1">
        <f t="array" ref="J6014">IFERROR(IF($B6014=J$1, ($A6014+$C6014) - MAX(IF($B$2:$B6013=$B6014, $A$2:$A6013+$C$2:$C6013)), "")*24*60, "")</f>
        <v/>
      </c>
      <c r="K6014" s="24" t="str" cm="1">
        <f t="array" ref="K6014">IFERROR(IF($B6014=K$1, ($A6014+$C6014) - MAX(IF($B$2:$B6013=$B6014, $A$2:$A6013+$C$2:$C6013)), "")*24*60, "")</f>
        <v/>
      </c>
      <c r="L6014" s="24" t="str" cm="1">
        <f t="array" ref="L6014">IFERROR(IF($B6014=L$1, ($A6014+$C6014) - MAX(IF($B$2:$B6013=$B6014, $A$2:$A6013+$C$2:$C6013)), "")*24*60, "")</f>
        <v/>
      </c>
      <c r="M6014" s="24" t="str" cm="1">
        <f t="array" ref="M6014">IFERROR(IF($B6014=M$1, ($A6014+$C6014) - MAX(IF($B$2:$B6013=$B6014, $A$2:$A6013+$C$2:$C6013)), "")*24*60, "")</f>
        <v/>
      </c>
      <c r="N6014" s="24" t="str" cm="1">
        <f t="array" ref="N6014">IFERROR(IF($B6014=N$1, ($A6014+$C6014) - MAX(IF($B$2:$B6013=$B6014, $A$2:$A6013+$C$2:$C6013)), "")*24*60, "")</f>
        <v/>
      </c>
      <c r="O6014" s="24" t="str" cm="1">
        <f t="array" ref="O6014">IFERROR(IF($B6014=O$1, ($A6014+$C6014) - MAX(IF($B$2:$B6013=$B6014, $A$2:$A6013+$C$2:$C6013)), "")*24*60, "")</f>
        <v/>
      </c>
      <c r="P6014" s="24" t="str" cm="1">
        <f t="array" ref="P6014">IFERROR(IF($B6014=P$1, ($A6014+$C6014) - MAX(IF($B$2:$B6013=$B6014, $A$2:$A6013+$C$2:$C6013)), "")*24*60, "")</f>
        <v/>
      </c>
      <c r="Q6014" s="24" t="str" cm="1">
        <f t="array" ref="Q6014">IFERROR(IF($B6014=Q$1, ($A6014+$C6014) - MAX(IF($B$2:$B6013=$B6014, $A$2:$A6013+$C$2:$C6013)), "")*24*60, "")</f>
        <v/>
      </c>
      <c r="R6014" s="24" t="str" cm="1">
        <f t="array" ref="R6014">IFERROR(IF($B6014=R$1, ($A6014+$C6014) - MAX(IF($B$2:$B6013=$B6014, $A$2:$A6013+$C$2:$C6013)), "")*24*60, "")</f>
        <v/>
      </c>
      <c r="S6014" s="24" t="str" cm="1">
        <f t="array" ref="S6014">IFERROR(IF($B6014=S$1, ($A6014+$C6014) - MAX(IF($B$2:$B6013=$B6014, $A$2:$A6013+$C$2:$C6013)), "")*24*60, "")</f>
        <v/>
      </c>
    </row>
    <row r="6015" spans="1:19" x14ac:dyDescent="0.2">
      <c r="A6015" s="12">
        <f t="shared" ref="A6015:C6015" si="1157">A6014</f>
        <v>45987</v>
      </c>
      <c r="B6015" s="5" t="str">
        <f t="shared" si="1157"/>
        <v>Northern Cardinal</v>
      </c>
      <c r="C6015" s="6">
        <f t="shared" si="1157"/>
        <v>0.28611111111111109</v>
      </c>
      <c r="D6015" s="5"/>
      <c r="E6015" s="5"/>
      <c r="F6015" s="5" t="s">
        <v>8</v>
      </c>
      <c r="G6015" s="15" t="s">
        <v>9</v>
      </c>
      <c r="H6015" s="24">
        <f t="shared" si="1129"/>
        <v>0</v>
      </c>
      <c r="I6015" s="24" cm="1">
        <f t="array" ref="I6015">IFERROR(IF($B6015=I$1, ($A6015+$C6015) - MAX(IF($B$2:$B6014=$B6015, $A$2:$A6014+$C$2:$C6014)), "")*24*60, "")</f>
        <v>0</v>
      </c>
      <c r="J6015" s="24" t="str" cm="1">
        <f t="array" ref="J6015">IFERROR(IF($B6015=J$1, ($A6015+$C6015) - MAX(IF($B$2:$B6014=$B6015, $A$2:$A6014+$C$2:$C6014)), "")*24*60, "")</f>
        <v/>
      </c>
      <c r="K6015" s="24" t="str" cm="1">
        <f t="array" ref="K6015">IFERROR(IF($B6015=K$1, ($A6015+$C6015) - MAX(IF($B$2:$B6014=$B6015, $A$2:$A6014+$C$2:$C6014)), "")*24*60, "")</f>
        <v/>
      </c>
      <c r="L6015" s="24" t="str" cm="1">
        <f t="array" ref="L6015">IFERROR(IF($B6015=L$1, ($A6015+$C6015) - MAX(IF($B$2:$B6014=$B6015, $A$2:$A6014+$C$2:$C6014)), "")*24*60, "")</f>
        <v/>
      </c>
      <c r="M6015" s="24" t="str" cm="1">
        <f t="array" ref="M6015">IFERROR(IF($B6015=M$1, ($A6015+$C6015) - MAX(IF($B$2:$B6014=$B6015, $A$2:$A6014+$C$2:$C6014)), "")*24*60, "")</f>
        <v/>
      </c>
      <c r="N6015" s="24" t="str" cm="1">
        <f t="array" ref="N6015">IFERROR(IF($B6015=N$1, ($A6015+$C6015) - MAX(IF($B$2:$B6014=$B6015, $A$2:$A6014+$C$2:$C6014)), "")*24*60, "")</f>
        <v/>
      </c>
      <c r="O6015" s="24" t="str" cm="1">
        <f t="array" ref="O6015">IFERROR(IF($B6015=O$1, ($A6015+$C6015) - MAX(IF($B$2:$B6014=$B6015, $A$2:$A6014+$C$2:$C6014)), "")*24*60, "")</f>
        <v/>
      </c>
      <c r="P6015" s="24" t="str" cm="1">
        <f t="array" ref="P6015">IFERROR(IF($B6015=P$1, ($A6015+$C6015) - MAX(IF($B$2:$B6014=$B6015, $A$2:$A6014+$C$2:$C6014)), "")*24*60, "")</f>
        <v/>
      </c>
      <c r="Q6015" s="24" t="str" cm="1">
        <f t="array" ref="Q6015">IFERROR(IF($B6015=Q$1, ($A6015+$C6015) - MAX(IF($B$2:$B6014=$B6015, $A$2:$A6014+$C$2:$C6014)), "")*24*60, "")</f>
        <v/>
      </c>
      <c r="R6015" s="24" t="str" cm="1">
        <f t="array" ref="R6015">IFERROR(IF($B6015=R$1, ($A6015+$C6015) - MAX(IF($B$2:$B6014=$B6015, $A$2:$A6014+$C$2:$C6014)), "")*24*60, "")</f>
        <v/>
      </c>
      <c r="S6015" s="24" t="str" cm="1">
        <f t="array" ref="S6015">IFERROR(IF($B6015=S$1, ($A6015+$C6015) - MAX(IF($B$2:$B6014=$B6015, $A$2:$A6014+$C$2:$C6014)), "")*24*60, "")</f>
        <v/>
      </c>
    </row>
    <row r="6016" spans="1:19" x14ac:dyDescent="0.2">
      <c r="A6016" s="12">
        <f t="shared" ref="A6016:C6016" si="1158">A6015</f>
        <v>45987</v>
      </c>
      <c r="B6016" s="5" t="str">
        <f t="shared" si="1158"/>
        <v>Northern Cardinal</v>
      </c>
      <c r="C6016" s="6">
        <f t="shared" si="1158"/>
        <v>0.28611111111111109</v>
      </c>
      <c r="D6016" s="5"/>
      <c r="E6016" s="5"/>
      <c r="F6016" s="5" t="s">
        <v>8</v>
      </c>
      <c r="G6016" s="15" t="s">
        <v>9</v>
      </c>
      <c r="H6016" s="24">
        <f t="shared" si="1129"/>
        <v>0</v>
      </c>
      <c r="I6016" s="24" cm="1">
        <f t="array" ref="I6016">IFERROR(IF($B6016=I$1, ($A6016+$C6016) - MAX(IF($B$2:$B6015=$B6016, $A$2:$A6015+$C$2:$C6015)), "")*24*60, "")</f>
        <v>0</v>
      </c>
      <c r="J6016" s="24" t="str" cm="1">
        <f t="array" ref="J6016">IFERROR(IF($B6016=J$1, ($A6016+$C6016) - MAX(IF($B$2:$B6015=$B6016, $A$2:$A6015+$C$2:$C6015)), "")*24*60, "")</f>
        <v/>
      </c>
      <c r="K6016" s="24" t="str" cm="1">
        <f t="array" ref="K6016">IFERROR(IF($B6016=K$1, ($A6016+$C6016) - MAX(IF($B$2:$B6015=$B6016, $A$2:$A6015+$C$2:$C6015)), "")*24*60, "")</f>
        <v/>
      </c>
      <c r="L6016" s="24" t="str" cm="1">
        <f t="array" ref="L6016">IFERROR(IF($B6016=L$1, ($A6016+$C6016) - MAX(IF($B$2:$B6015=$B6016, $A$2:$A6015+$C$2:$C6015)), "")*24*60, "")</f>
        <v/>
      </c>
      <c r="M6016" s="24" t="str" cm="1">
        <f t="array" ref="M6016">IFERROR(IF($B6016=M$1, ($A6016+$C6016) - MAX(IF($B$2:$B6015=$B6016, $A$2:$A6015+$C$2:$C6015)), "")*24*60, "")</f>
        <v/>
      </c>
      <c r="N6016" s="24" t="str" cm="1">
        <f t="array" ref="N6016">IFERROR(IF($B6016=N$1, ($A6016+$C6016) - MAX(IF($B$2:$B6015=$B6016, $A$2:$A6015+$C$2:$C6015)), "")*24*60, "")</f>
        <v/>
      </c>
      <c r="O6016" s="24" t="str" cm="1">
        <f t="array" ref="O6016">IFERROR(IF($B6016=O$1, ($A6016+$C6016) - MAX(IF($B$2:$B6015=$B6016, $A$2:$A6015+$C$2:$C6015)), "")*24*60, "")</f>
        <v/>
      </c>
      <c r="P6016" s="24" t="str" cm="1">
        <f t="array" ref="P6016">IFERROR(IF($B6016=P$1, ($A6016+$C6016) - MAX(IF($B$2:$B6015=$B6016, $A$2:$A6015+$C$2:$C6015)), "")*24*60, "")</f>
        <v/>
      </c>
      <c r="Q6016" s="24" t="str" cm="1">
        <f t="array" ref="Q6016">IFERROR(IF($B6016=Q$1, ($A6016+$C6016) - MAX(IF($B$2:$B6015=$B6016, $A$2:$A6015+$C$2:$C6015)), "")*24*60, "")</f>
        <v/>
      </c>
      <c r="R6016" s="24" t="str" cm="1">
        <f t="array" ref="R6016">IFERROR(IF($B6016=R$1, ($A6016+$C6016) - MAX(IF($B$2:$B6015=$B6016, $A$2:$A6015+$C$2:$C6015)), "")*24*60, "")</f>
        <v/>
      </c>
      <c r="S6016" s="24" t="str" cm="1">
        <f t="array" ref="S6016">IFERROR(IF($B6016=S$1, ($A6016+$C6016) - MAX(IF($B$2:$B6015=$B6016, $A$2:$A6015+$C$2:$C6015)), "")*24*60, "")</f>
        <v/>
      </c>
    </row>
    <row r="6017" spans="1:19" x14ac:dyDescent="0.2">
      <c r="A6017" s="12">
        <f t="shared" ref="A6017:C6017" si="1159">A6016</f>
        <v>45987</v>
      </c>
      <c r="B6017" s="5" t="str">
        <f t="shared" si="1159"/>
        <v>Northern Cardinal</v>
      </c>
      <c r="C6017" s="6">
        <f t="shared" si="1159"/>
        <v>0.28611111111111109</v>
      </c>
      <c r="D6017" s="5"/>
      <c r="E6017" s="5"/>
      <c r="F6017" s="5" t="s">
        <v>8</v>
      </c>
      <c r="G6017" s="15" t="s">
        <v>9</v>
      </c>
      <c r="H6017" s="24">
        <f t="shared" si="1129"/>
        <v>0</v>
      </c>
      <c r="I6017" s="24" cm="1">
        <f t="array" ref="I6017">IFERROR(IF($B6017=I$1, ($A6017+$C6017) - MAX(IF($B$2:$B6016=$B6017, $A$2:$A6016+$C$2:$C6016)), "")*24*60, "")</f>
        <v>0</v>
      </c>
      <c r="J6017" s="24" t="str" cm="1">
        <f t="array" ref="J6017">IFERROR(IF($B6017=J$1, ($A6017+$C6017) - MAX(IF($B$2:$B6016=$B6017, $A$2:$A6016+$C$2:$C6016)), "")*24*60, "")</f>
        <v/>
      </c>
      <c r="K6017" s="24" t="str" cm="1">
        <f t="array" ref="K6017">IFERROR(IF($B6017=K$1, ($A6017+$C6017) - MAX(IF($B$2:$B6016=$B6017, $A$2:$A6016+$C$2:$C6016)), "")*24*60, "")</f>
        <v/>
      </c>
      <c r="L6017" s="24" t="str" cm="1">
        <f t="array" ref="L6017">IFERROR(IF($B6017=L$1, ($A6017+$C6017) - MAX(IF($B$2:$B6016=$B6017, $A$2:$A6016+$C$2:$C6016)), "")*24*60, "")</f>
        <v/>
      </c>
      <c r="M6017" s="24" t="str" cm="1">
        <f t="array" ref="M6017">IFERROR(IF($B6017=M$1, ($A6017+$C6017) - MAX(IF($B$2:$B6016=$B6017, $A$2:$A6016+$C$2:$C6016)), "")*24*60, "")</f>
        <v/>
      </c>
      <c r="N6017" s="24" t="str" cm="1">
        <f t="array" ref="N6017">IFERROR(IF($B6017=N$1, ($A6017+$C6017) - MAX(IF($B$2:$B6016=$B6017, $A$2:$A6016+$C$2:$C6016)), "")*24*60, "")</f>
        <v/>
      </c>
      <c r="O6017" s="24" t="str" cm="1">
        <f t="array" ref="O6017">IFERROR(IF($B6017=O$1, ($A6017+$C6017) - MAX(IF($B$2:$B6016=$B6017, $A$2:$A6016+$C$2:$C6016)), "")*24*60, "")</f>
        <v/>
      </c>
      <c r="P6017" s="24" t="str" cm="1">
        <f t="array" ref="P6017">IFERROR(IF($B6017=P$1, ($A6017+$C6017) - MAX(IF($B$2:$B6016=$B6017, $A$2:$A6016+$C$2:$C6016)), "")*24*60, "")</f>
        <v/>
      </c>
      <c r="Q6017" s="24" t="str" cm="1">
        <f t="array" ref="Q6017">IFERROR(IF($B6017=Q$1, ($A6017+$C6017) - MAX(IF($B$2:$B6016=$B6017, $A$2:$A6016+$C$2:$C6016)), "")*24*60, "")</f>
        <v/>
      </c>
      <c r="R6017" s="24" t="str" cm="1">
        <f t="array" ref="R6017">IFERROR(IF($B6017=R$1, ($A6017+$C6017) - MAX(IF($B$2:$B6016=$B6017, $A$2:$A6016+$C$2:$C6016)), "")*24*60, "")</f>
        <v/>
      </c>
      <c r="S6017" s="24" t="str" cm="1">
        <f t="array" ref="S6017">IFERROR(IF($B6017=S$1, ($A6017+$C6017) - MAX(IF($B$2:$B6016=$B6017, $A$2:$A6016+$C$2:$C6016)), "")*24*60, "")</f>
        <v/>
      </c>
    </row>
    <row r="6018" spans="1:19" x14ac:dyDescent="0.2">
      <c r="A6018" s="12">
        <f t="shared" ref="A6018:C6018" si="1160">A6017</f>
        <v>45987</v>
      </c>
      <c r="B6018" s="5" t="str">
        <f t="shared" si="1160"/>
        <v>Northern Cardinal</v>
      </c>
      <c r="C6018" s="6">
        <f t="shared" si="1160"/>
        <v>0.28611111111111109</v>
      </c>
      <c r="D6018" s="5"/>
      <c r="E6018" s="5"/>
      <c r="F6018" s="5" t="s">
        <v>8</v>
      </c>
      <c r="G6018" s="15" t="s">
        <v>9</v>
      </c>
      <c r="H6018" s="24">
        <f t="shared" si="1129"/>
        <v>0</v>
      </c>
      <c r="I6018" s="24" cm="1">
        <f t="array" ref="I6018">IFERROR(IF($B6018=I$1, ($A6018+$C6018) - MAX(IF($B$2:$B6017=$B6018, $A$2:$A6017+$C$2:$C6017)), "")*24*60, "")</f>
        <v>0</v>
      </c>
      <c r="J6018" s="24" t="str" cm="1">
        <f t="array" ref="J6018">IFERROR(IF($B6018=J$1, ($A6018+$C6018) - MAX(IF($B$2:$B6017=$B6018, $A$2:$A6017+$C$2:$C6017)), "")*24*60, "")</f>
        <v/>
      </c>
      <c r="K6018" s="24" t="str" cm="1">
        <f t="array" ref="K6018">IFERROR(IF($B6018=K$1, ($A6018+$C6018) - MAX(IF($B$2:$B6017=$B6018, $A$2:$A6017+$C$2:$C6017)), "")*24*60, "")</f>
        <v/>
      </c>
      <c r="L6018" s="24" t="str" cm="1">
        <f t="array" ref="L6018">IFERROR(IF($B6018=L$1, ($A6018+$C6018) - MAX(IF($B$2:$B6017=$B6018, $A$2:$A6017+$C$2:$C6017)), "")*24*60, "")</f>
        <v/>
      </c>
      <c r="M6018" s="24" t="str" cm="1">
        <f t="array" ref="M6018">IFERROR(IF($B6018=M$1, ($A6018+$C6018) - MAX(IF($B$2:$B6017=$B6018, $A$2:$A6017+$C$2:$C6017)), "")*24*60, "")</f>
        <v/>
      </c>
      <c r="N6018" s="24" t="str" cm="1">
        <f t="array" ref="N6018">IFERROR(IF($B6018=N$1, ($A6018+$C6018) - MAX(IF($B$2:$B6017=$B6018, $A$2:$A6017+$C$2:$C6017)), "")*24*60, "")</f>
        <v/>
      </c>
      <c r="O6018" s="24" t="str" cm="1">
        <f t="array" ref="O6018">IFERROR(IF($B6018=O$1, ($A6018+$C6018) - MAX(IF($B$2:$B6017=$B6018, $A$2:$A6017+$C$2:$C6017)), "")*24*60, "")</f>
        <v/>
      </c>
      <c r="P6018" s="24" t="str" cm="1">
        <f t="array" ref="P6018">IFERROR(IF($B6018=P$1, ($A6018+$C6018) - MAX(IF($B$2:$B6017=$B6018, $A$2:$A6017+$C$2:$C6017)), "")*24*60, "")</f>
        <v/>
      </c>
      <c r="Q6018" s="24" t="str" cm="1">
        <f t="array" ref="Q6018">IFERROR(IF($B6018=Q$1, ($A6018+$C6018) - MAX(IF($B$2:$B6017=$B6018, $A$2:$A6017+$C$2:$C6017)), "")*24*60, "")</f>
        <v/>
      </c>
      <c r="R6018" s="24" t="str" cm="1">
        <f t="array" ref="R6018">IFERROR(IF($B6018=R$1, ($A6018+$C6018) - MAX(IF($B$2:$B6017=$B6018, $A$2:$A6017+$C$2:$C6017)), "")*24*60, "")</f>
        <v/>
      </c>
      <c r="S6018" s="24" t="str" cm="1">
        <f t="array" ref="S6018">IFERROR(IF($B6018=S$1, ($A6018+$C6018) - MAX(IF($B$2:$B6017=$B6018, $A$2:$A6017+$C$2:$C6017)), "")*24*60, "")</f>
        <v/>
      </c>
    </row>
    <row r="6019" spans="1:19" x14ac:dyDescent="0.2">
      <c r="A6019" s="12">
        <f t="shared" ref="A6019:C6019" si="1161">A6018</f>
        <v>45987</v>
      </c>
      <c r="B6019" s="5" t="str">
        <f t="shared" si="1161"/>
        <v>Northern Cardinal</v>
      </c>
      <c r="C6019" s="6">
        <f t="shared" si="1161"/>
        <v>0.28611111111111109</v>
      </c>
      <c r="D6019" s="5"/>
      <c r="E6019" s="5"/>
      <c r="F6019" s="5" t="s">
        <v>8</v>
      </c>
      <c r="G6019" s="15" t="s">
        <v>9</v>
      </c>
      <c r="H6019" s="24">
        <f t="shared" si="1129"/>
        <v>0</v>
      </c>
      <c r="I6019" s="24" cm="1">
        <f t="array" ref="I6019">IFERROR(IF($B6019=I$1, ($A6019+$C6019) - MAX(IF($B$2:$B6018=$B6019, $A$2:$A6018+$C$2:$C6018)), "")*24*60, "")</f>
        <v>0</v>
      </c>
      <c r="J6019" s="24" t="str" cm="1">
        <f t="array" ref="J6019">IFERROR(IF($B6019=J$1, ($A6019+$C6019) - MAX(IF($B$2:$B6018=$B6019, $A$2:$A6018+$C$2:$C6018)), "")*24*60, "")</f>
        <v/>
      </c>
      <c r="K6019" s="24" t="str" cm="1">
        <f t="array" ref="K6019">IFERROR(IF($B6019=K$1, ($A6019+$C6019) - MAX(IF($B$2:$B6018=$B6019, $A$2:$A6018+$C$2:$C6018)), "")*24*60, "")</f>
        <v/>
      </c>
      <c r="L6019" s="24" t="str" cm="1">
        <f t="array" ref="L6019">IFERROR(IF($B6019=L$1, ($A6019+$C6019) - MAX(IF($B$2:$B6018=$B6019, $A$2:$A6018+$C$2:$C6018)), "")*24*60, "")</f>
        <v/>
      </c>
      <c r="M6019" s="24" t="str" cm="1">
        <f t="array" ref="M6019">IFERROR(IF($B6019=M$1, ($A6019+$C6019) - MAX(IF($B$2:$B6018=$B6019, $A$2:$A6018+$C$2:$C6018)), "")*24*60, "")</f>
        <v/>
      </c>
      <c r="N6019" s="24" t="str" cm="1">
        <f t="array" ref="N6019">IFERROR(IF($B6019=N$1, ($A6019+$C6019) - MAX(IF($B$2:$B6018=$B6019, $A$2:$A6018+$C$2:$C6018)), "")*24*60, "")</f>
        <v/>
      </c>
      <c r="O6019" s="24" t="str" cm="1">
        <f t="array" ref="O6019">IFERROR(IF($B6019=O$1, ($A6019+$C6019) - MAX(IF($B$2:$B6018=$B6019, $A$2:$A6018+$C$2:$C6018)), "")*24*60, "")</f>
        <v/>
      </c>
      <c r="P6019" s="24" t="str" cm="1">
        <f t="array" ref="P6019">IFERROR(IF($B6019=P$1, ($A6019+$C6019) - MAX(IF($B$2:$B6018=$B6019, $A$2:$A6018+$C$2:$C6018)), "")*24*60, "")</f>
        <v/>
      </c>
      <c r="Q6019" s="24" t="str" cm="1">
        <f t="array" ref="Q6019">IFERROR(IF($B6019=Q$1, ($A6019+$C6019) - MAX(IF($B$2:$B6018=$B6019, $A$2:$A6018+$C$2:$C6018)), "")*24*60, "")</f>
        <v/>
      </c>
      <c r="R6019" s="24" t="str" cm="1">
        <f t="array" ref="R6019">IFERROR(IF($B6019=R$1, ($A6019+$C6019) - MAX(IF($B$2:$B6018=$B6019, $A$2:$A6018+$C$2:$C6018)), "")*24*60, "")</f>
        <v/>
      </c>
      <c r="S6019" s="24" t="str" cm="1">
        <f t="array" ref="S6019">IFERROR(IF($B6019=S$1, ($A6019+$C6019) - MAX(IF($B$2:$B6018=$B6019, $A$2:$A6018+$C$2:$C6018)), "")*24*60, "")</f>
        <v/>
      </c>
    </row>
    <row r="6020" spans="1:19" x14ac:dyDescent="0.2">
      <c r="A6020" s="12">
        <f t="shared" ref="A6020:C6020" si="1162">A6019</f>
        <v>45987</v>
      </c>
      <c r="B6020" s="5" t="str">
        <f t="shared" si="1162"/>
        <v>Northern Cardinal</v>
      </c>
      <c r="C6020" s="6">
        <f t="shared" si="1162"/>
        <v>0.28611111111111109</v>
      </c>
      <c r="D6020" s="5"/>
      <c r="E6020" s="5"/>
      <c r="F6020" s="5" t="s">
        <v>8</v>
      </c>
      <c r="G6020" s="15" t="s">
        <v>9</v>
      </c>
      <c r="H6020" s="24">
        <f t="shared" si="1129"/>
        <v>0</v>
      </c>
      <c r="I6020" s="24" cm="1">
        <f t="array" ref="I6020">IFERROR(IF($B6020=I$1, ($A6020+$C6020) - MAX(IF($B$2:$B6019=$B6020, $A$2:$A6019+$C$2:$C6019)), "")*24*60, "")</f>
        <v>0</v>
      </c>
      <c r="J6020" s="24" t="str" cm="1">
        <f t="array" ref="J6020">IFERROR(IF($B6020=J$1, ($A6020+$C6020) - MAX(IF($B$2:$B6019=$B6020, $A$2:$A6019+$C$2:$C6019)), "")*24*60, "")</f>
        <v/>
      </c>
      <c r="K6020" s="24" t="str" cm="1">
        <f t="array" ref="K6020">IFERROR(IF($B6020=K$1, ($A6020+$C6020) - MAX(IF($B$2:$B6019=$B6020, $A$2:$A6019+$C$2:$C6019)), "")*24*60, "")</f>
        <v/>
      </c>
      <c r="L6020" s="24" t="str" cm="1">
        <f t="array" ref="L6020">IFERROR(IF($B6020=L$1, ($A6020+$C6020) - MAX(IF($B$2:$B6019=$B6020, $A$2:$A6019+$C$2:$C6019)), "")*24*60, "")</f>
        <v/>
      </c>
      <c r="M6020" s="24" t="str" cm="1">
        <f t="array" ref="M6020">IFERROR(IF($B6020=M$1, ($A6020+$C6020) - MAX(IF($B$2:$B6019=$B6020, $A$2:$A6019+$C$2:$C6019)), "")*24*60, "")</f>
        <v/>
      </c>
      <c r="N6020" s="24" t="str" cm="1">
        <f t="array" ref="N6020">IFERROR(IF($B6020=N$1, ($A6020+$C6020) - MAX(IF($B$2:$B6019=$B6020, $A$2:$A6019+$C$2:$C6019)), "")*24*60, "")</f>
        <v/>
      </c>
      <c r="O6020" s="24" t="str" cm="1">
        <f t="array" ref="O6020">IFERROR(IF($B6020=O$1, ($A6020+$C6020) - MAX(IF($B$2:$B6019=$B6020, $A$2:$A6019+$C$2:$C6019)), "")*24*60, "")</f>
        <v/>
      </c>
      <c r="P6020" s="24" t="str" cm="1">
        <f t="array" ref="P6020">IFERROR(IF($B6020=P$1, ($A6020+$C6020) - MAX(IF($B$2:$B6019=$B6020, $A$2:$A6019+$C$2:$C6019)), "")*24*60, "")</f>
        <v/>
      </c>
      <c r="Q6020" s="24" t="str" cm="1">
        <f t="array" ref="Q6020">IFERROR(IF($B6020=Q$1, ($A6020+$C6020) - MAX(IF($B$2:$B6019=$B6020, $A$2:$A6019+$C$2:$C6019)), "")*24*60, "")</f>
        <v/>
      </c>
      <c r="R6020" s="24" t="str" cm="1">
        <f t="array" ref="R6020">IFERROR(IF($B6020=R$1, ($A6020+$C6020) - MAX(IF($B$2:$B6019=$B6020, $A$2:$A6019+$C$2:$C6019)), "")*24*60, "")</f>
        <v/>
      </c>
      <c r="S6020" s="24" t="str" cm="1">
        <f t="array" ref="S6020">IFERROR(IF($B6020=S$1, ($A6020+$C6020) - MAX(IF($B$2:$B6019=$B6020, $A$2:$A6019+$C$2:$C6019)), "")*24*60, "")</f>
        <v/>
      </c>
    </row>
    <row r="6021" spans="1:19" x14ac:dyDescent="0.2">
      <c r="A6021" s="12">
        <f t="shared" ref="A6021:C6021" si="1163">A6020</f>
        <v>45987</v>
      </c>
      <c r="B6021" s="5" t="str">
        <f t="shared" si="1163"/>
        <v>Northern Cardinal</v>
      </c>
      <c r="C6021" s="6">
        <f t="shared" si="1163"/>
        <v>0.28611111111111109</v>
      </c>
      <c r="D6021" s="5"/>
      <c r="E6021" s="5"/>
      <c r="F6021" s="5" t="s">
        <v>8</v>
      </c>
      <c r="G6021" s="15" t="s">
        <v>9</v>
      </c>
      <c r="H6021" s="24">
        <f t="shared" si="1129"/>
        <v>0</v>
      </c>
      <c r="I6021" s="24" cm="1">
        <f t="array" ref="I6021">IFERROR(IF($B6021=I$1, ($A6021+$C6021) - MAX(IF($B$2:$B6020=$B6021, $A$2:$A6020+$C$2:$C6020)), "")*24*60, "")</f>
        <v>0</v>
      </c>
      <c r="J6021" s="24" t="str" cm="1">
        <f t="array" ref="J6021">IFERROR(IF($B6021=J$1, ($A6021+$C6021) - MAX(IF($B$2:$B6020=$B6021, $A$2:$A6020+$C$2:$C6020)), "")*24*60, "")</f>
        <v/>
      </c>
      <c r="K6021" s="24" t="str" cm="1">
        <f t="array" ref="K6021">IFERROR(IF($B6021=K$1, ($A6021+$C6021) - MAX(IF($B$2:$B6020=$B6021, $A$2:$A6020+$C$2:$C6020)), "")*24*60, "")</f>
        <v/>
      </c>
      <c r="L6021" s="24" t="str" cm="1">
        <f t="array" ref="L6021">IFERROR(IF($B6021=L$1, ($A6021+$C6021) - MAX(IF($B$2:$B6020=$B6021, $A$2:$A6020+$C$2:$C6020)), "")*24*60, "")</f>
        <v/>
      </c>
      <c r="M6021" s="24" t="str" cm="1">
        <f t="array" ref="M6021">IFERROR(IF($B6021=M$1, ($A6021+$C6021) - MAX(IF($B$2:$B6020=$B6021, $A$2:$A6020+$C$2:$C6020)), "")*24*60, "")</f>
        <v/>
      </c>
      <c r="N6021" s="24" t="str" cm="1">
        <f t="array" ref="N6021">IFERROR(IF($B6021=N$1, ($A6021+$C6021) - MAX(IF($B$2:$B6020=$B6021, $A$2:$A6020+$C$2:$C6020)), "")*24*60, "")</f>
        <v/>
      </c>
      <c r="O6021" s="24" t="str" cm="1">
        <f t="array" ref="O6021">IFERROR(IF($B6021=O$1, ($A6021+$C6021) - MAX(IF($B$2:$B6020=$B6021, $A$2:$A6020+$C$2:$C6020)), "")*24*60, "")</f>
        <v/>
      </c>
      <c r="P6021" s="24" t="str" cm="1">
        <f t="array" ref="P6021">IFERROR(IF($B6021=P$1, ($A6021+$C6021) - MAX(IF($B$2:$B6020=$B6021, $A$2:$A6020+$C$2:$C6020)), "")*24*60, "")</f>
        <v/>
      </c>
      <c r="Q6021" s="24" t="str" cm="1">
        <f t="array" ref="Q6021">IFERROR(IF($B6021=Q$1, ($A6021+$C6021) - MAX(IF($B$2:$B6020=$B6021, $A$2:$A6020+$C$2:$C6020)), "")*24*60, "")</f>
        <v/>
      </c>
      <c r="R6021" s="24" t="str" cm="1">
        <f t="array" ref="R6021">IFERROR(IF($B6021=R$1, ($A6021+$C6021) - MAX(IF($B$2:$B6020=$B6021, $A$2:$A6020+$C$2:$C6020)), "")*24*60, "")</f>
        <v/>
      </c>
      <c r="S6021" s="24" t="str" cm="1">
        <f t="array" ref="S6021">IFERROR(IF($B6021=S$1, ($A6021+$C6021) - MAX(IF($B$2:$B6020=$B6021, $A$2:$A6020+$C$2:$C6020)), "")*24*60, "")</f>
        <v/>
      </c>
    </row>
    <row r="6022" spans="1:19" x14ac:dyDescent="0.2">
      <c r="A6022" s="12">
        <f t="shared" ref="A6022:C6022" si="1164">A6021</f>
        <v>45987</v>
      </c>
      <c r="B6022" s="5" t="str">
        <f t="shared" si="1164"/>
        <v>Northern Cardinal</v>
      </c>
      <c r="C6022" s="6">
        <f t="shared" si="1164"/>
        <v>0.28611111111111109</v>
      </c>
      <c r="D6022" s="5"/>
      <c r="E6022" s="5"/>
      <c r="F6022" s="5" t="s">
        <v>8</v>
      </c>
      <c r="G6022" s="15" t="s">
        <v>9</v>
      </c>
      <c r="H6022" s="24">
        <f t="shared" si="1129"/>
        <v>0</v>
      </c>
      <c r="I6022" s="24" cm="1">
        <f t="array" ref="I6022">IFERROR(IF($B6022=I$1, ($A6022+$C6022) - MAX(IF($B$2:$B6021=$B6022, $A$2:$A6021+$C$2:$C6021)), "")*24*60, "")</f>
        <v>0</v>
      </c>
      <c r="J6022" s="24" t="str" cm="1">
        <f t="array" ref="J6022">IFERROR(IF($B6022=J$1, ($A6022+$C6022) - MAX(IF($B$2:$B6021=$B6022, $A$2:$A6021+$C$2:$C6021)), "")*24*60, "")</f>
        <v/>
      </c>
      <c r="K6022" s="24" t="str" cm="1">
        <f t="array" ref="K6022">IFERROR(IF($B6022=K$1, ($A6022+$C6022) - MAX(IF($B$2:$B6021=$B6022, $A$2:$A6021+$C$2:$C6021)), "")*24*60, "")</f>
        <v/>
      </c>
      <c r="L6022" s="24" t="str" cm="1">
        <f t="array" ref="L6022">IFERROR(IF($B6022=L$1, ($A6022+$C6022) - MAX(IF($B$2:$B6021=$B6022, $A$2:$A6021+$C$2:$C6021)), "")*24*60, "")</f>
        <v/>
      </c>
      <c r="M6022" s="24" t="str" cm="1">
        <f t="array" ref="M6022">IFERROR(IF($B6022=M$1, ($A6022+$C6022) - MAX(IF($B$2:$B6021=$B6022, $A$2:$A6021+$C$2:$C6021)), "")*24*60, "")</f>
        <v/>
      </c>
      <c r="N6022" s="24" t="str" cm="1">
        <f t="array" ref="N6022">IFERROR(IF($B6022=N$1, ($A6022+$C6022) - MAX(IF($B$2:$B6021=$B6022, $A$2:$A6021+$C$2:$C6021)), "")*24*60, "")</f>
        <v/>
      </c>
      <c r="O6022" s="24" t="str" cm="1">
        <f t="array" ref="O6022">IFERROR(IF($B6022=O$1, ($A6022+$C6022) - MAX(IF($B$2:$B6021=$B6022, $A$2:$A6021+$C$2:$C6021)), "")*24*60, "")</f>
        <v/>
      </c>
      <c r="P6022" s="24" t="str" cm="1">
        <f t="array" ref="P6022">IFERROR(IF($B6022=P$1, ($A6022+$C6022) - MAX(IF($B$2:$B6021=$B6022, $A$2:$A6021+$C$2:$C6021)), "")*24*60, "")</f>
        <v/>
      </c>
      <c r="Q6022" s="24" t="str" cm="1">
        <f t="array" ref="Q6022">IFERROR(IF($B6022=Q$1, ($A6022+$C6022) - MAX(IF($B$2:$B6021=$B6022, $A$2:$A6021+$C$2:$C6021)), "")*24*60, "")</f>
        <v/>
      </c>
      <c r="R6022" s="24" t="str" cm="1">
        <f t="array" ref="R6022">IFERROR(IF($B6022=R$1, ($A6022+$C6022) - MAX(IF($B$2:$B6021=$B6022, $A$2:$A6021+$C$2:$C6021)), "")*24*60, "")</f>
        <v/>
      </c>
      <c r="S6022" s="24" t="str" cm="1">
        <f t="array" ref="S6022">IFERROR(IF($B6022=S$1, ($A6022+$C6022) - MAX(IF($B$2:$B6021=$B6022, $A$2:$A6021+$C$2:$C6021)), "")*24*60, "")</f>
        <v/>
      </c>
    </row>
    <row r="6023" spans="1:19" x14ac:dyDescent="0.2">
      <c r="A6023" s="12">
        <f t="shared" ref="A6023:C6023" si="1165">A6022</f>
        <v>45987</v>
      </c>
      <c r="B6023" s="5" t="str">
        <f t="shared" si="1165"/>
        <v>Northern Cardinal</v>
      </c>
      <c r="C6023" s="6">
        <f t="shared" si="1165"/>
        <v>0.28611111111111109</v>
      </c>
      <c r="D6023" s="5"/>
      <c r="E6023" s="5"/>
      <c r="F6023" s="5" t="s">
        <v>8</v>
      </c>
      <c r="G6023" s="15" t="s">
        <v>9</v>
      </c>
      <c r="H6023" s="24">
        <f t="shared" si="1129"/>
        <v>0</v>
      </c>
      <c r="I6023" s="24" cm="1">
        <f t="array" ref="I6023">IFERROR(IF($B6023=I$1, ($A6023+$C6023) - MAX(IF($B$2:$B6022=$B6023, $A$2:$A6022+$C$2:$C6022)), "")*24*60, "")</f>
        <v>0</v>
      </c>
      <c r="J6023" s="24" t="str" cm="1">
        <f t="array" ref="J6023">IFERROR(IF($B6023=J$1, ($A6023+$C6023) - MAX(IF($B$2:$B6022=$B6023, $A$2:$A6022+$C$2:$C6022)), "")*24*60, "")</f>
        <v/>
      </c>
      <c r="K6023" s="24" t="str" cm="1">
        <f t="array" ref="K6023">IFERROR(IF($B6023=K$1, ($A6023+$C6023) - MAX(IF($B$2:$B6022=$B6023, $A$2:$A6022+$C$2:$C6022)), "")*24*60, "")</f>
        <v/>
      </c>
      <c r="L6023" s="24" t="str" cm="1">
        <f t="array" ref="L6023">IFERROR(IF($B6023=L$1, ($A6023+$C6023) - MAX(IF($B$2:$B6022=$B6023, $A$2:$A6022+$C$2:$C6022)), "")*24*60, "")</f>
        <v/>
      </c>
      <c r="M6023" s="24" t="str" cm="1">
        <f t="array" ref="M6023">IFERROR(IF($B6023=M$1, ($A6023+$C6023) - MAX(IF($B$2:$B6022=$B6023, $A$2:$A6022+$C$2:$C6022)), "")*24*60, "")</f>
        <v/>
      </c>
      <c r="N6023" s="24" t="str" cm="1">
        <f t="array" ref="N6023">IFERROR(IF($B6023=N$1, ($A6023+$C6023) - MAX(IF($B$2:$B6022=$B6023, $A$2:$A6022+$C$2:$C6022)), "")*24*60, "")</f>
        <v/>
      </c>
      <c r="O6023" s="24" t="str" cm="1">
        <f t="array" ref="O6023">IFERROR(IF($B6023=O$1, ($A6023+$C6023) - MAX(IF($B$2:$B6022=$B6023, $A$2:$A6022+$C$2:$C6022)), "")*24*60, "")</f>
        <v/>
      </c>
      <c r="P6023" s="24" t="str" cm="1">
        <f t="array" ref="P6023">IFERROR(IF($B6023=P$1, ($A6023+$C6023) - MAX(IF($B$2:$B6022=$B6023, $A$2:$A6022+$C$2:$C6022)), "")*24*60, "")</f>
        <v/>
      </c>
      <c r="Q6023" s="24" t="str" cm="1">
        <f t="array" ref="Q6023">IFERROR(IF($B6023=Q$1, ($A6023+$C6023) - MAX(IF($B$2:$B6022=$B6023, $A$2:$A6022+$C$2:$C6022)), "")*24*60, "")</f>
        <v/>
      </c>
      <c r="R6023" s="24" t="str" cm="1">
        <f t="array" ref="R6023">IFERROR(IF($B6023=R$1, ($A6023+$C6023) - MAX(IF($B$2:$B6022=$B6023, $A$2:$A6022+$C$2:$C6022)), "")*24*60, "")</f>
        <v/>
      </c>
      <c r="S6023" s="24" t="str" cm="1">
        <f t="array" ref="S6023">IFERROR(IF($B6023=S$1, ($A6023+$C6023) - MAX(IF($B$2:$B6022=$B6023, $A$2:$A6022+$C$2:$C6022)), "")*24*60, "")</f>
        <v/>
      </c>
    </row>
    <row r="6024" spans="1:19" x14ac:dyDescent="0.2">
      <c r="A6024" s="12">
        <f t="shared" ref="A6024:C6024" si="1166">A6023</f>
        <v>45987</v>
      </c>
      <c r="B6024" s="5" t="str">
        <f t="shared" si="1166"/>
        <v>Northern Cardinal</v>
      </c>
      <c r="C6024" s="6">
        <f t="shared" si="1166"/>
        <v>0.28611111111111109</v>
      </c>
      <c r="D6024" s="5"/>
      <c r="E6024" s="5"/>
      <c r="F6024" s="5" t="s">
        <v>8</v>
      </c>
      <c r="G6024" s="15" t="s">
        <v>9</v>
      </c>
      <c r="H6024" s="24">
        <f t="shared" si="1129"/>
        <v>0</v>
      </c>
      <c r="I6024" s="24" cm="1">
        <f t="array" ref="I6024">IFERROR(IF($B6024=I$1, ($A6024+$C6024) - MAX(IF($B$2:$B6023=$B6024, $A$2:$A6023+$C$2:$C6023)), "")*24*60, "")</f>
        <v>0</v>
      </c>
      <c r="J6024" s="24" t="str" cm="1">
        <f t="array" ref="J6024">IFERROR(IF($B6024=J$1, ($A6024+$C6024) - MAX(IF($B$2:$B6023=$B6024, $A$2:$A6023+$C$2:$C6023)), "")*24*60, "")</f>
        <v/>
      </c>
      <c r="K6024" s="24" t="str" cm="1">
        <f t="array" ref="K6024">IFERROR(IF($B6024=K$1, ($A6024+$C6024) - MAX(IF($B$2:$B6023=$B6024, $A$2:$A6023+$C$2:$C6023)), "")*24*60, "")</f>
        <v/>
      </c>
      <c r="L6024" s="24" t="str" cm="1">
        <f t="array" ref="L6024">IFERROR(IF($B6024=L$1, ($A6024+$C6024) - MAX(IF($B$2:$B6023=$B6024, $A$2:$A6023+$C$2:$C6023)), "")*24*60, "")</f>
        <v/>
      </c>
      <c r="M6024" s="24" t="str" cm="1">
        <f t="array" ref="M6024">IFERROR(IF($B6024=M$1, ($A6024+$C6024) - MAX(IF($B$2:$B6023=$B6024, $A$2:$A6023+$C$2:$C6023)), "")*24*60, "")</f>
        <v/>
      </c>
      <c r="N6024" s="24" t="str" cm="1">
        <f t="array" ref="N6024">IFERROR(IF($B6024=N$1, ($A6024+$C6024) - MAX(IF($B$2:$B6023=$B6024, $A$2:$A6023+$C$2:$C6023)), "")*24*60, "")</f>
        <v/>
      </c>
      <c r="O6024" s="24" t="str" cm="1">
        <f t="array" ref="O6024">IFERROR(IF($B6024=O$1, ($A6024+$C6024) - MAX(IF($B$2:$B6023=$B6024, $A$2:$A6023+$C$2:$C6023)), "")*24*60, "")</f>
        <v/>
      </c>
      <c r="P6024" s="24" t="str" cm="1">
        <f t="array" ref="P6024">IFERROR(IF($B6024=P$1, ($A6024+$C6024) - MAX(IF($B$2:$B6023=$B6024, $A$2:$A6023+$C$2:$C6023)), "")*24*60, "")</f>
        <v/>
      </c>
      <c r="Q6024" s="24" t="str" cm="1">
        <f t="array" ref="Q6024">IFERROR(IF($B6024=Q$1, ($A6024+$C6024) - MAX(IF($B$2:$B6023=$B6024, $A$2:$A6023+$C$2:$C6023)), "")*24*60, "")</f>
        <v/>
      </c>
      <c r="R6024" s="24" t="str" cm="1">
        <f t="array" ref="R6024">IFERROR(IF($B6024=R$1, ($A6024+$C6024) - MAX(IF($B$2:$B6023=$B6024, $A$2:$A6023+$C$2:$C6023)), "")*24*60, "")</f>
        <v/>
      </c>
      <c r="S6024" s="24" t="str" cm="1">
        <f t="array" ref="S6024">IFERROR(IF($B6024=S$1, ($A6024+$C6024) - MAX(IF($B$2:$B6023=$B6024, $A$2:$A6023+$C$2:$C6023)), "")*24*60, "")</f>
        <v/>
      </c>
    </row>
    <row r="6025" spans="1:19" x14ac:dyDescent="0.2">
      <c r="A6025" s="12">
        <f t="shared" ref="A6025:C6025" si="1167">A6024</f>
        <v>45987</v>
      </c>
      <c r="B6025" s="5" t="str">
        <f t="shared" si="1167"/>
        <v>Northern Cardinal</v>
      </c>
      <c r="C6025" s="6">
        <f t="shared" si="1167"/>
        <v>0.28611111111111109</v>
      </c>
      <c r="D6025" s="5"/>
      <c r="E6025" s="5"/>
      <c r="F6025" s="5" t="s">
        <v>8</v>
      </c>
      <c r="G6025" s="15" t="s">
        <v>9</v>
      </c>
      <c r="H6025" s="24">
        <f t="shared" si="1129"/>
        <v>0</v>
      </c>
      <c r="I6025" s="24" cm="1">
        <f t="array" ref="I6025">IFERROR(IF($B6025=I$1, ($A6025+$C6025) - MAX(IF($B$2:$B6024=$B6025, $A$2:$A6024+$C$2:$C6024)), "")*24*60, "")</f>
        <v>0</v>
      </c>
      <c r="J6025" s="24" t="str" cm="1">
        <f t="array" ref="J6025">IFERROR(IF($B6025=J$1, ($A6025+$C6025) - MAX(IF($B$2:$B6024=$B6025, $A$2:$A6024+$C$2:$C6024)), "")*24*60, "")</f>
        <v/>
      </c>
      <c r="K6025" s="24" t="str" cm="1">
        <f t="array" ref="K6025">IFERROR(IF($B6025=K$1, ($A6025+$C6025) - MAX(IF($B$2:$B6024=$B6025, $A$2:$A6024+$C$2:$C6024)), "")*24*60, "")</f>
        <v/>
      </c>
      <c r="L6025" s="24" t="str" cm="1">
        <f t="array" ref="L6025">IFERROR(IF($B6025=L$1, ($A6025+$C6025) - MAX(IF($B$2:$B6024=$B6025, $A$2:$A6024+$C$2:$C6024)), "")*24*60, "")</f>
        <v/>
      </c>
      <c r="M6025" s="24" t="str" cm="1">
        <f t="array" ref="M6025">IFERROR(IF($B6025=M$1, ($A6025+$C6025) - MAX(IF($B$2:$B6024=$B6025, $A$2:$A6024+$C$2:$C6024)), "")*24*60, "")</f>
        <v/>
      </c>
      <c r="N6025" s="24" t="str" cm="1">
        <f t="array" ref="N6025">IFERROR(IF($B6025=N$1, ($A6025+$C6025) - MAX(IF($B$2:$B6024=$B6025, $A$2:$A6024+$C$2:$C6024)), "")*24*60, "")</f>
        <v/>
      </c>
      <c r="O6025" s="24" t="str" cm="1">
        <f t="array" ref="O6025">IFERROR(IF($B6025=O$1, ($A6025+$C6025) - MAX(IF($B$2:$B6024=$B6025, $A$2:$A6024+$C$2:$C6024)), "")*24*60, "")</f>
        <v/>
      </c>
      <c r="P6025" s="24" t="str" cm="1">
        <f t="array" ref="P6025">IFERROR(IF($B6025=P$1, ($A6025+$C6025) - MAX(IF($B$2:$B6024=$B6025, $A$2:$A6024+$C$2:$C6024)), "")*24*60, "")</f>
        <v/>
      </c>
      <c r="Q6025" s="24" t="str" cm="1">
        <f t="array" ref="Q6025">IFERROR(IF($B6025=Q$1, ($A6025+$C6025) - MAX(IF($B$2:$B6024=$B6025, $A$2:$A6024+$C$2:$C6024)), "")*24*60, "")</f>
        <v/>
      </c>
      <c r="R6025" s="24" t="str" cm="1">
        <f t="array" ref="R6025">IFERROR(IF($B6025=R$1, ($A6025+$C6025) - MAX(IF($B$2:$B6024=$B6025, $A$2:$A6024+$C$2:$C6024)), "")*24*60, "")</f>
        <v/>
      </c>
      <c r="S6025" s="24" t="str" cm="1">
        <f t="array" ref="S6025">IFERROR(IF($B6025=S$1, ($A6025+$C6025) - MAX(IF($B$2:$B6024=$B6025, $A$2:$A6024+$C$2:$C6024)), "")*24*60, "")</f>
        <v/>
      </c>
    </row>
    <row r="6026" spans="1:19" x14ac:dyDescent="0.2">
      <c r="A6026" s="12">
        <f t="shared" ref="A6026:C6026" si="1168">A6025</f>
        <v>45987</v>
      </c>
      <c r="B6026" s="5" t="str">
        <f t="shared" si="1168"/>
        <v>Northern Cardinal</v>
      </c>
      <c r="C6026" s="6">
        <f t="shared" si="1168"/>
        <v>0.28611111111111109</v>
      </c>
      <c r="D6026" s="5"/>
      <c r="E6026" s="5"/>
      <c r="F6026" s="5" t="s">
        <v>8</v>
      </c>
      <c r="G6026" s="15" t="s">
        <v>9</v>
      </c>
      <c r="H6026" s="24">
        <f t="shared" si="1129"/>
        <v>0</v>
      </c>
      <c r="I6026" s="24" cm="1">
        <f t="array" ref="I6026">IFERROR(IF($B6026=I$1, ($A6026+$C6026) - MAX(IF($B$2:$B6025=$B6026, $A$2:$A6025+$C$2:$C6025)), "")*24*60, "")</f>
        <v>0</v>
      </c>
      <c r="J6026" s="24" t="str" cm="1">
        <f t="array" ref="J6026">IFERROR(IF($B6026=J$1, ($A6026+$C6026) - MAX(IF($B$2:$B6025=$B6026, $A$2:$A6025+$C$2:$C6025)), "")*24*60, "")</f>
        <v/>
      </c>
      <c r="K6026" s="24" t="str" cm="1">
        <f t="array" ref="K6026">IFERROR(IF($B6026=K$1, ($A6026+$C6026) - MAX(IF($B$2:$B6025=$B6026, $A$2:$A6025+$C$2:$C6025)), "")*24*60, "")</f>
        <v/>
      </c>
      <c r="L6026" s="24" t="str" cm="1">
        <f t="array" ref="L6026">IFERROR(IF($B6026=L$1, ($A6026+$C6026) - MAX(IF($B$2:$B6025=$B6026, $A$2:$A6025+$C$2:$C6025)), "")*24*60, "")</f>
        <v/>
      </c>
      <c r="M6026" s="24" t="str" cm="1">
        <f t="array" ref="M6026">IFERROR(IF($B6026=M$1, ($A6026+$C6026) - MAX(IF($B$2:$B6025=$B6026, $A$2:$A6025+$C$2:$C6025)), "")*24*60, "")</f>
        <v/>
      </c>
      <c r="N6026" s="24" t="str" cm="1">
        <f t="array" ref="N6026">IFERROR(IF($B6026=N$1, ($A6026+$C6026) - MAX(IF($B$2:$B6025=$B6026, $A$2:$A6025+$C$2:$C6025)), "")*24*60, "")</f>
        <v/>
      </c>
      <c r="O6026" s="24" t="str" cm="1">
        <f t="array" ref="O6026">IFERROR(IF($B6026=O$1, ($A6026+$C6026) - MAX(IF($B$2:$B6025=$B6026, $A$2:$A6025+$C$2:$C6025)), "")*24*60, "")</f>
        <v/>
      </c>
      <c r="P6026" s="24" t="str" cm="1">
        <f t="array" ref="P6026">IFERROR(IF($B6026=P$1, ($A6026+$C6026) - MAX(IF($B$2:$B6025=$B6026, $A$2:$A6025+$C$2:$C6025)), "")*24*60, "")</f>
        <v/>
      </c>
      <c r="Q6026" s="24" t="str" cm="1">
        <f t="array" ref="Q6026">IFERROR(IF($B6026=Q$1, ($A6026+$C6026) - MAX(IF($B$2:$B6025=$B6026, $A$2:$A6025+$C$2:$C6025)), "")*24*60, "")</f>
        <v/>
      </c>
      <c r="R6026" s="24" t="str" cm="1">
        <f t="array" ref="R6026">IFERROR(IF($B6026=R$1, ($A6026+$C6026) - MAX(IF($B$2:$B6025=$B6026, $A$2:$A6025+$C$2:$C6025)), "")*24*60, "")</f>
        <v/>
      </c>
      <c r="S6026" s="24" t="str" cm="1">
        <f t="array" ref="S6026">IFERROR(IF($B6026=S$1, ($A6026+$C6026) - MAX(IF($B$2:$B6025=$B6026, $A$2:$A6025+$C$2:$C6025)), "")*24*60, "")</f>
        <v/>
      </c>
    </row>
    <row r="6027" spans="1:19" x14ac:dyDescent="0.2">
      <c r="A6027" s="12">
        <f t="shared" ref="A6027:C6027" si="1169">A6026</f>
        <v>45987</v>
      </c>
      <c r="B6027" s="5" t="str">
        <f t="shared" si="1169"/>
        <v>Northern Cardinal</v>
      </c>
      <c r="C6027" s="6">
        <f t="shared" si="1169"/>
        <v>0.28611111111111109</v>
      </c>
      <c r="D6027" s="5"/>
      <c r="E6027" s="5"/>
      <c r="F6027" s="5" t="s">
        <v>8</v>
      </c>
      <c r="G6027" s="15" t="s">
        <v>9</v>
      </c>
      <c r="H6027" s="24">
        <f t="shared" si="1129"/>
        <v>0</v>
      </c>
      <c r="I6027" s="24" cm="1">
        <f t="array" ref="I6027">IFERROR(IF($B6027=I$1, ($A6027+$C6027) - MAX(IF($B$2:$B6026=$B6027, $A$2:$A6026+$C$2:$C6026)), "")*24*60, "")</f>
        <v>0</v>
      </c>
      <c r="J6027" s="24" t="str" cm="1">
        <f t="array" ref="J6027">IFERROR(IF($B6027=J$1, ($A6027+$C6027) - MAX(IF($B$2:$B6026=$B6027, $A$2:$A6026+$C$2:$C6026)), "")*24*60, "")</f>
        <v/>
      </c>
      <c r="K6027" s="24" t="str" cm="1">
        <f t="array" ref="K6027">IFERROR(IF($B6027=K$1, ($A6027+$C6027) - MAX(IF($B$2:$B6026=$B6027, $A$2:$A6026+$C$2:$C6026)), "")*24*60, "")</f>
        <v/>
      </c>
      <c r="L6027" s="24" t="str" cm="1">
        <f t="array" ref="L6027">IFERROR(IF($B6027=L$1, ($A6027+$C6027) - MAX(IF($B$2:$B6026=$B6027, $A$2:$A6026+$C$2:$C6026)), "")*24*60, "")</f>
        <v/>
      </c>
      <c r="M6027" s="24" t="str" cm="1">
        <f t="array" ref="M6027">IFERROR(IF($B6027=M$1, ($A6027+$C6027) - MAX(IF($B$2:$B6026=$B6027, $A$2:$A6026+$C$2:$C6026)), "")*24*60, "")</f>
        <v/>
      </c>
      <c r="N6027" s="24" t="str" cm="1">
        <f t="array" ref="N6027">IFERROR(IF($B6027=N$1, ($A6027+$C6027) - MAX(IF($B$2:$B6026=$B6027, $A$2:$A6026+$C$2:$C6026)), "")*24*60, "")</f>
        <v/>
      </c>
      <c r="O6027" s="24" t="str" cm="1">
        <f t="array" ref="O6027">IFERROR(IF($B6027=O$1, ($A6027+$C6027) - MAX(IF($B$2:$B6026=$B6027, $A$2:$A6026+$C$2:$C6026)), "")*24*60, "")</f>
        <v/>
      </c>
      <c r="P6027" s="24" t="str" cm="1">
        <f t="array" ref="P6027">IFERROR(IF($B6027=P$1, ($A6027+$C6027) - MAX(IF($B$2:$B6026=$B6027, $A$2:$A6026+$C$2:$C6026)), "")*24*60, "")</f>
        <v/>
      </c>
      <c r="Q6027" s="24" t="str" cm="1">
        <f t="array" ref="Q6027">IFERROR(IF($B6027=Q$1, ($A6027+$C6027) - MAX(IF($B$2:$B6026=$B6027, $A$2:$A6026+$C$2:$C6026)), "")*24*60, "")</f>
        <v/>
      </c>
      <c r="R6027" s="24" t="str" cm="1">
        <f t="array" ref="R6027">IFERROR(IF($B6027=R$1, ($A6027+$C6027) - MAX(IF($B$2:$B6026=$B6027, $A$2:$A6026+$C$2:$C6026)), "")*24*60, "")</f>
        <v/>
      </c>
      <c r="S6027" s="24" t="str" cm="1">
        <f t="array" ref="S6027">IFERROR(IF($B6027=S$1, ($A6027+$C6027) - MAX(IF($B$2:$B6026=$B6027, $A$2:$A6026+$C$2:$C6026)), "")*24*60, "")</f>
        <v/>
      </c>
    </row>
    <row r="6028" spans="1:19" x14ac:dyDescent="0.2">
      <c r="A6028" s="12">
        <f t="shared" ref="A6028:C6028" si="1170">A6027</f>
        <v>45987</v>
      </c>
      <c r="B6028" s="5" t="str">
        <f t="shared" si="1170"/>
        <v>Northern Cardinal</v>
      </c>
      <c r="C6028" s="6">
        <f t="shared" si="1170"/>
        <v>0.28611111111111109</v>
      </c>
      <c r="D6028" s="5"/>
      <c r="E6028" s="5"/>
      <c r="F6028" s="5" t="s">
        <v>8</v>
      </c>
      <c r="G6028" s="15" t="s">
        <v>9</v>
      </c>
      <c r="H6028" s="24">
        <f t="shared" si="1129"/>
        <v>0</v>
      </c>
      <c r="I6028" s="24" cm="1">
        <f t="array" ref="I6028">IFERROR(IF($B6028=I$1, ($A6028+$C6028) - MAX(IF($B$2:$B6027=$B6028, $A$2:$A6027+$C$2:$C6027)), "")*24*60, "")</f>
        <v>0</v>
      </c>
      <c r="J6028" s="24" t="str" cm="1">
        <f t="array" ref="J6028">IFERROR(IF($B6028=J$1, ($A6028+$C6028) - MAX(IF($B$2:$B6027=$B6028, $A$2:$A6027+$C$2:$C6027)), "")*24*60, "")</f>
        <v/>
      </c>
      <c r="K6028" s="24" t="str" cm="1">
        <f t="array" ref="K6028">IFERROR(IF($B6028=K$1, ($A6028+$C6028) - MAX(IF($B$2:$B6027=$B6028, $A$2:$A6027+$C$2:$C6027)), "")*24*60, "")</f>
        <v/>
      </c>
      <c r="L6028" s="24" t="str" cm="1">
        <f t="array" ref="L6028">IFERROR(IF($B6028=L$1, ($A6028+$C6028) - MAX(IF($B$2:$B6027=$B6028, $A$2:$A6027+$C$2:$C6027)), "")*24*60, "")</f>
        <v/>
      </c>
      <c r="M6028" s="24" t="str" cm="1">
        <f t="array" ref="M6028">IFERROR(IF($B6028=M$1, ($A6028+$C6028) - MAX(IF($B$2:$B6027=$B6028, $A$2:$A6027+$C$2:$C6027)), "")*24*60, "")</f>
        <v/>
      </c>
      <c r="N6028" s="24" t="str" cm="1">
        <f t="array" ref="N6028">IFERROR(IF($B6028=N$1, ($A6028+$C6028) - MAX(IF($B$2:$B6027=$B6028, $A$2:$A6027+$C$2:$C6027)), "")*24*60, "")</f>
        <v/>
      </c>
      <c r="O6028" s="24" t="str" cm="1">
        <f t="array" ref="O6028">IFERROR(IF($B6028=O$1, ($A6028+$C6028) - MAX(IF($B$2:$B6027=$B6028, $A$2:$A6027+$C$2:$C6027)), "")*24*60, "")</f>
        <v/>
      </c>
      <c r="P6028" s="24" t="str" cm="1">
        <f t="array" ref="P6028">IFERROR(IF($B6028=P$1, ($A6028+$C6028) - MAX(IF($B$2:$B6027=$B6028, $A$2:$A6027+$C$2:$C6027)), "")*24*60, "")</f>
        <v/>
      </c>
      <c r="Q6028" s="24" t="str" cm="1">
        <f t="array" ref="Q6028">IFERROR(IF($B6028=Q$1, ($A6028+$C6028) - MAX(IF($B$2:$B6027=$B6028, $A$2:$A6027+$C$2:$C6027)), "")*24*60, "")</f>
        <v/>
      </c>
      <c r="R6028" s="24" t="str" cm="1">
        <f t="array" ref="R6028">IFERROR(IF($B6028=R$1, ($A6028+$C6028) - MAX(IF($B$2:$B6027=$B6028, $A$2:$A6027+$C$2:$C6027)), "")*24*60, "")</f>
        <v/>
      </c>
      <c r="S6028" s="24" t="str" cm="1">
        <f t="array" ref="S6028">IFERROR(IF($B6028=S$1, ($A6028+$C6028) - MAX(IF($B$2:$B6027=$B6028, $A$2:$A6027+$C$2:$C6027)), "")*24*60, "")</f>
        <v/>
      </c>
    </row>
    <row r="6029" spans="1:19" x14ac:dyDescent="0.2">
      <c r="A6029" s="12">
        <f t="shared" ref="A6029:C6029" si="1171">A6028</f>
        <v>45987</v>
      </c>
      <c r="B6029" s="5" t="str">
        <f t="shared" si="1171"/>
        <v>Northern Cardinal</v>
      </c>
      <c r="C6029" s="6">
        <f t="shared" si="1171"/>
        <v>0.28611111111111109</v>
      </c>
      <c r="D6029" s="5"/>
      <c r="E6029" s="5"/>
      <c r="F6029" s="5" t="s">
        <v>8</v>
      </c>
      <c r="G6029" s="15" t="s">
        <v>9</v>
      </c>
      <c r="H6029" s="24">
        <f t="shared" si="1129"/>
        <v>0</v>
      </c>
      <c r="I6029" s="24" cm="1">
        <f t="array" ref="I6029">IFERROR(IF($B6029=I$1, ($A6029+$C6029) - MAX(IF($B$2:$B6028=$B6029, $A$2:$A6028+$C$2:$C6028)), "")*24*60, "")</f>
        <v>0</v>
      </c>
      <c r="J6029" s="24" t="str" cm="1">
        <f t="array" ref="J6029">IFERROR(IF($B6029=J$1, ($A6029+$C6029) - MAX(IF($B$2:$B6028=$B6029, $A$2:$A6028+$C$2:$C6028)), "")*24*60, "")</f>
        <v/>
      </c>
      <c r="K6029" s="24" t="str" cm="1">
        <f t="array" ref="K6029">IFERROR(IF($B6029=K$1, ($A6029+$C6029) - MAX(IF($B$2:$B6028=$B6029, $A$2:$A6028+$C$2:$C6028)), "")*24*60, "")</f>
        <v/>
      </c>
      <c r="L6029" s="24" t="str" cm="1">
        <f t="array" ref="L6029">IFERROR(IF($B6029=L$1, ($A6029+$C6029) - MAX(IF($B$2:$B6028=$B6029, $A$2:$A6028+$C$2:$C6028)), "")*24*60, "")</f>
        <v/>
      </c>
      <c r="M6029" s="24" t="str" cm="1">
        <f t="array" ref="M6029">IFERROR(IF($B6029=M$1, ($A6029+$C6029) - MAX(IF($B$2:$B6028=$B6029, $A$2:$A6028+$C$2:$C6028)), "")*24*60, "")</f>
        <v/>
      </c>
      <c r="N6029" s="24" t="str" cm="1">
        <f t="array" ref="N6029">IFERROR(IF($B6029=N$1, ($A6029+$C6029) - MAX(IF($B$2:$B6028=$B6029, $A$2:$A6028+$C$2:$C6028)), "")*24*60, "")</f>
        <v/>
      </c>
      <c r="O6029" s="24" t="str" cm="1">
        <f t="array" ref="O6029">IFERROR(IF($B6029=O$1, ($A6029+$C6029) - MAX(IF($B$2:$B6028=$B6029, $A$2:$A6028+$C$2:$C6028)), "")*24*60, "")</f>
        <v/>
      </c>
      <c r="P6029" s="24" t="str" cm="1">
        <f t="array" ref="P6029">IFERROR(IF($B6029=P$1, ($A6029+$C6029) - MAX(IF($B$2:$B6028=$B6029, $A$2:$A6028+$C$2:$C6028)), "")*24*60, "")</f>
        <v/>
      </c>
      <c r="Q6029" s="24" t="str" cm="1">
        <f t="array" ref="Q6029">IFERROR(IF($B6029=Q$1, ($A6029+$C6029) - MAX(IF($B$2:$B6028=$B6029, $A$2:$A6028+$C$2:$C6028)), "")*24*60, "")</f>
        <v/>
      </c>
      <c r="R6029" s="24" t="str" cm="1">
        <f t="array" ref="R6029">IFERROR(IF($B6029=R$1, ($A6029+$C6029) - MAX(IF($B$2:$B6028=$B6029, $A$2:$A6028+$C$2:$C6028)), "")*24*60, "")</f>
        <v/>
      </c>
      <c r="S6029" s="24" t="str" cm="1">
        <f t="array" ref="S6029">IFERROR(IF($B6029=S$1, ($A6029+$C6029) - MAX(IF($B$2:$B6028=$B6029, $A$2:$A6028+$C$2:$C6028)), "")*24*60, "")</f>
        <v/>
      </c>
    </row>
    <row r="6030" spans="1:19" x14ac:dyDescent="0.2">
      <c r="A6030" s="12">
        <f t="shared" ref="A6030:C6030" si="1172">A6029</f>
        <v>45987</v>
      </c>
      <c r="B6030" s="5" t="str">
        <f t="shared" si="1172"/>
        <v>Northern Cardinal</v>
      </c>
      <c r="C6030" s="6">
        <f t="shared" si="1172"/>
        <v>0.28611111111111109</v>
      </c>
      <c r="D6030" s="5"/>
      <c r="E6030" s="5"/>
      <c r="F6030" s="5" t="s">
        <v>8</v>
      </c>
      <c r="G6030" s="15" t="s">
        <v>9</v>
      </c>
      <c r="H6030" s="24">
        <f t="shared" si="1129"/>
        <v>0</v>
      </c>
      <c r="I6030" s="24" cm="1">
        <f t="array" ref="I6030">IFERROR(IF($B6030=I$1, ($A6030+$C6030) - MAX(IF($B$2:$B6029=$B6030, $A$2:$A6029+$C$2:$C6029)), "")*24*60, "")</f>
        <v>0</v>
      </c>
      <c r="J6030" s="24" t="str" cm="1">
        <f t="array" ref="J6030">IFERROR(IF($B6030=J$1, ($A6030+$C6030) - MAX(IF($B$2:$B6029=$B6030, $A$2:$A6029+$C$2:$C6029)), "")*24*60, "")</f>
        <v/>
      </c>
      <c r="K6030" s="24" t="str" cm="1">
        <f t="array" ref="K6030">IFERROR(IF($B6030=K$1, ($A6030+$C6030) - MAX(IF($B$2:$B6029=$B6030, $A$2:$A6029+$C$2:$C6029)), "")*24*60, "")</f>
        <v/>
      </c>
      <c r="L6030" s="24" t="str" cm="1">
        <f t="array" ref="L6030">IFERROR(IF($B6030=L$1, ($A6030+$C6030) - MAX(IF($B$2:$B6029=$B6030, $A$2:$A6029+$C$2:$C6029)), "")*24*60, "")</f>
        <v/>
      </c>
      <c r="M6030" s="24" t="str" cm="1">
        <f t="array" ref="M6030">IFERROR(IF($B6030=M$1, ($A6030+$C6030) - MAX(IF($B$2:$B6029=$B6030, $A$2:$A6029+$C$2:$C6029)), "")*24*60, "")</f>
        <v/>
      </c>
      <c r="N6030" s="24" t="str" cm="1">
        <f t="array" ref="N6030">IFERROR(IF($B6030=N$1, ($A6030+$C6030) - MAX(IF($B$2:$B6029=$B6030, $A$2:$A6029+$C$2:$C6029)), "")*24*60, "")</f>
        <v/>
      </c>
      <c r="O6030" s="24" t="str" cm="1">
        <f t="array" ref="O6030">IFERROR(IF($B6030=O$1, ($A6030+$C6030) - MAX(IF($B$2:$B6029=$B6030, $A$2:$A6029+$C$2:$C6029)), "")*24*60, "")</f>
        <v/>
      </c>
      <c r="P6030" s="24" t="str" cm="1">
        <f t="array" ref="P6030">IFERROR(IF($B6030=P$1, ($A6030+$C6030) - MAX(IF($B$2:$B6029=$B6030, $A$2:$A6029+$C$2:$C6029)), "")*24*60, "")</f>
        <v/>
      </c>
      <c r="Q6030" s="24" t="str" cm="1">
        <f t="array" ref="Q6030">IFERROR(IF($B6030=Q$1, ($A6030+$C6030) - MAX(IF($B$2:$B6029=$B6030, $A$2:$A6029+$C$2:$C6029)), "")*24*60, "")</f>
        <v/>
      </c>
      <c r="R6030" s="24" t="str" cm="1">
        <f t="array" ref="R6030">IFERROR(IF($B6030=R$1, ($A6030+$C6030) - MAX(IF($B$2:$B6029=$B6030, $A$2:$A6029+$C$2:$C6029)), "")*24*60, "")</f>
        <v/>
      </c>
      <c r="S6030" s="24" t="str" cm="1">
        <f t="array" ref="S6030">IFERROR(IF($B6030=S$1, ($A6030+$C6030) - MAX(IF($B$2:$B6029=$B6030, $A$2:$A6029+$C$2:$C6029)), "")*24*60, "")</f>
        <v/>
      </c>
    </row>
    <row r="6031" spans="1:19" x14ac:dyDescent="0.2">
      <c r="A6031" s="12">
        <f t="shared" ref="A6031:C6031" si="1173">A6030</f>
        <v>45987</v>
      </c>
      <c r="B6031" s="5" t="str">
        <f t="shared" si="1173"/>
        <v>Northern Cardinal</v>
      </c>
      <c r="C6031" s="6">
        <f t="shared" si="1173"/>
        <v>0.28611111111111109</v>
      </c>
      <c r="D6031" s="5"/>
      <c r="E6031" s="5"/>
      <c r="F6031" s="5" t="s">
        <v>8</v>
      </c>
      <c r="G6031" s="15" t="s">
        <v>9</v>
      </c>
      <c r="H6031" s="24">
        <f t="shared" si="1129"/>
        <v>0</v>
      </c>
      <c r="I6031" s="24" cm="1">
        <f t="array" ref="I6031">IFERROR(IF($B6031=I$1, ($A6031+$C6031) - MAX(IF($B$2:$B6030=$B6031, $A$2:$A6030+$C$2:$C6030)), "")*24*60, "")</f>
        <v>0</v>
      </c>
      <c r="J6031" s="24" t="str" cm="1">
        <f t="array" ref="J6031">IFERROR(IF($B6031=J$1, ($A6031+$C6031) - MAX(IF($B$2:$B6030=$B6031, $A$2:$A6030+$C$2:$C6030)), "")*24*60, "")</f>
        <v/>
      </c>
      <c r="K6031" s="24" t="str" cm="1">
        <f t="array" ref="K6031">IFERROR(IF($B6031=K$1, ($A6031+$C6031) - MAX(IF($B$2:$B6030=$B6031, $A$2:$A6030+$C$2:$C6030)), "")*24*60, "")</f>
        <v/>
      </c>
      <c r="L6031" s="24" t="str" cm="1">
        <f t="array" ref="L6031">IFERROR(IF($B6031=L$1, ($A6031+$C6031) - MAX(IF($B$2:$B6030=$B6031, $A$2:$A6030+$C$2:$C6030)), "")*24*60, "")</f>
        <v/>
      </c>
      <c r="M6031" s="24" t="str" cm="1">
        <f t="array" ref="M6031">IFERROR(IF($B6031=M$1, ($A6031+$C6031) - MAX(IF($B$2:$B6030=$B6031, $A$2:$A6030+$C$2:$C6030)), "")*24*60, "")</f>
        <v/>
      </c>
      <c r="N6031" s="24" t="str" cm="1">
        <f t="array" ref="N6031">IFERROR(IF($B6031=N$1, ($A6031+$C6031) - MAX(IF($B$2:$B6030=$B6031, $A$2:$A6030+$C$2:$C6030)), "")*24*60, "")</f>
        <v/>
      </c>
      <c r="O6031" s="24" t="str" cm="1">
        <f t="array" ref="O6031">IFERROR(IF($B6031=O$1, ($A6031+$C6031) - MAX(IF($B$2:$B6030=$B6031, $A$2:$A6030+$C$2:$C6030)), "")*24*60, "")</f>
        <v/>
      </c>
      <c r="P6031" s="24" t="str" cm="1">
        <f t="array" ref="P6031">IFERROR(IF($B6031=P$1, ($A6031+$C6031) - MAX(IF($B$2:$B6030=$B6031, $A$2:$A6030+$C$2:$C6030)), "")*24*60, "")</f>
        <v/>
      </c>
      <c r="Q6031" s="24" t="str" cm="1">
        <f t="array" ref="Q6031">IFERROR(IF($B6031=Q$1, ($A6031+$C6031) - MAX(IF($B$2:$B6030=$B6031, $A$2:$A6030+$C$2:$C6030)), "")*24*60, "")</f>
        <v/>
      </c>
      <c r="R6031" s="24" t="str" cm="1">
        <f t="array" ref="R6031">IFERROR(IF($B6031=R$1, ($A6031+$C6031) - MAX(IF($B$2:$B6030=$B6031, $A$2:$A6030+$C$2:$C6030)), "")*24*60, "")</f>
        <v/>
      </c>
      <c r="S6031" s="24" t="str" cm="1">
        <f t="array" ref="S6031">IFERROR(IF($B6031=S$1, ($A6031+$C6031) - MAX(IF($B$2:$B6030=$B6031, $A$2:$A6030+$C$2:$C6030)), "")*24*60, "")</f>
        <v/>
      </c>
    </row>
    <row r="6032" spans="1:19" x14ac:dyDescent="0.2">
      <c r="A6032" s="12">
        <f t="shared" ref="A6032:C6032" si="1174">A6031</f>
        <v>45987</v>
      </c>
      <c r="B6032" s="5" t="str">
        <f t="shared" si="1174"/>
        <v>Northern Cardinal</v>
      </c>
      <c r="C6032" s="6">
        <f t="shared" si="1174"/>
        <v>0.28611111111111109</v>
      </c>
      <c r="D6032" s="5"/>
      <c r="E6032" s="5"/>
      <c r="F6032" s="5" t="s">
        <v>8</v>
      </c>
      <c r="G6032" s="15" t="s">
        <v>9</v>
      </c>
      <c r="H6032" s="24">
        <f t="shared" si="1129"/>
        <v>0</v>
      </c>
      <c r="I6032" s="24" cm="1">
        <f t="array" ref="I6032">IFERROR(IF($B6032=I$1, ($A6032+$C6032) - MAX(IF($B$2:$B6031=$B6032, $A$2:$A6031+$C$2:$C6031)), "")*24*60, "")</f>
        <v>0</v>
      </c>
      <c r="J6032" s="24" t="str" cm="1">
        <f t="array" ref="J6032">IFERROR(IF($B6032=J$1, ($A6032+$C6032) - MAX(IF($B$2:$B6031=$B6032, $A$2:$A6031+$C$2:$C6031)), "")*24*60, "")</f>
        <v/>
      </c>
      <c r="K6032" s="24" t="str" cm="1">
        <f t="array" ref="K6032">IFERROR(IF($B6032=K$1, ($A6032+$C6032) - MAX(IF($B$2:$B6031=$B6032, $A$2:$A6031+$C$2:$C6031)), "")*24*60, "")</f>
        <v/>
      </c>
      <c r="L6032" s="24" t="str" cm="1">
        <f t="array" ref="L6032">IFERROR(IF($B6032=L$1, ($A6032+$C6032) - MAX(IF($B$2:$B6031=$B6032, $A$2:$A6031+$C$2:$C6031)), "")*24*60, "")</f>
        <v/>
      </c>
      <c r="M6032" s="24" t="str" cm="1">
        <f t="array" ref="M6032">IFERROR(IF($B6032=M$1, ($A6032+$C6032) - MAX(IF($B$2:$B6031=$B6032, $A$2:$A6031+$C$2:$C6031)), "")*24*60, "")</f>
        <v/>
      </c>
      <c r="N6032" s="24" t="str" cm="1">
        <f t="array" ref="N6032">IFERROR(IF($B6032=N$1, ($A6032+$C6032) - MAX(IF($B$2:$B6031=$B6032, $A$2:$A6031+$C$2:$C6031)), "")*24*60, "")</f>
        <v/>
      </c>
      <c r="O6032" s="24" t="str" cm="1">
        <f t="array" ref="O6032">IFERROR(IF($B6032=O$1, ($A6032+$C6032) - MAX(IF($B$2:$B6031=$B6032, $A$2:$A6031+$C$2:$C6031)), "")*24*60, "")</f>
        <v/>
      </c>
      <c r="P6032" s="24" t="str" cm="1">
        <f t="array" ref="P6032">IFERROR(IF($B6032=P$1, ($A6032+$C6032) - MAX(IF($B$2:$B6031=$B6032, $A$2:$A6031+$C$2:$C6031)), "")*24*60, "")</f>
        <v/>
      </c>
      <c r="Q6032" s="24" t="str" cm="1">
        <f t="array" ref="Q6032">IFERROR(IF($B6032=Q$1, ($A6032+$C6032) - MAX(IF($B$2:$B6031=$B6032, $A$2:$A6031+$C$2:$C6031)), "")*24*60, "")</f>
        <v/>
      </c>
      <c r="R6032" s="24" t="str" cm="1">
        <f t="array" ref="R6032">IFERROR(IF($B6032=R$1, ($A6032+$C6032) - MAX(IF($B$2:$B6031=$B6032, $A$2:$A6031+$C$2:$C6031)), "")*24*60, "")</f>
        <v/>
      </c>
      <c r="S6032" s="24" t="str" cm="1">
        <f t="array" ref="S6032">IFERROR(IF($B6032=S$1, ($A6032+$C6032) - MAX(IF($B$2:$B6031=$B6032, $A$2:$A6031+$C$2:$C6031)), "")*24*60, "")</f>
        <v/>
      </c>
    </row>
    <row r="6033" spans="1:19" x14ac:dyDescent="0.2">
      <c r="A6033" s="12">
        <f t="shared" ref="A6033:C6033" si="1175">A6032</f>
        <v>45987</v>
      </c>
      <c r="B6033" s="5" t="str">
        <f t="shared" si="1175"/>
        <v>Northern Cardinal</v>
      </c>
      <c r="C6033" s="6">
        <f t="shared" si="1175"/>
        <v>0.28611111111111109</v>
      </c>
      <c r="D6033" s="5"/>
      <c r="E6033" s="5"/>
      <c r="F6033" s="5" t="s">
        <v>8</v>
      </c>
      <c r="G6033" s="15" t="s">
        <v>9</v>
      </c>
      <c r="H6033" s="24">
        <f t="shared" si="1129"/>
        <v>0</v>
      </c>
      <c r="I6033" s="24" cm="1">
        <f t="array" ref="I6033">IFERROR(IF($B6033=I$1, ($A6033+$C6033) - MAX(IF($B$2:$B6032=$B6033, $A$2:$A6032+$C$2:$C6032)), "")*24*60, "")</f>
        <v>0</v>
      </c>
      <c r="J6033" s="24" t="str" cm="1">
        <f t="array" ref="J6033">IFERROR(IF($B6033=J$1, ($A6033+$C6033) - MAX(IF($B$2:$B6032=$B6033, $A$2:$A6032+$C$2:$C6032)), "")*24*60, "")</f>
        <v/>
      </c>
      <c r="K6033" s="24" t="str" cm="1">
        <f t="array" ref="K6033">IFERROR(IF($B6033=K$1, ($A6033+$C6033) - MAX(IF($B$2:$B6032=$B6033, $A$2:$A6032+$C$2:$C6032)), "")*24*60, "")</f>
        <v/>
      </c>
      <c r="L6033" s="24" t="str" cm="1">
        <f t="array" ref="L6033">IFERROR(IF($B6033=L$1, ($A6033+$C6033) - MAX(IF($B$2:$B6032=$B6033, $A$2:$A6032+$C$2:$C6032)), "")*24*60, "")</f>
        <v/>
      </c>
      <c r="M6033" s="24" t="str" cm="1">
        <f t="array" ref="M6033">IFERROR(IF($B6033=M$1, ($A6033+$C6033) - MAX(IF($B$2:$B6032=$B6033, $A$2:$A6032+$C$2:$C6032)), "")*24*60, "")</f>
        <v/>
      </c>
      <c r="N6033" s="24" t="str" cm="1">
        <f t="array" ref="N6033">IFERROR(IF($B6033=N$1, ($A6033+$C6033) - MAX(IF($B$2:$B6032=$B6033, $A$2:$A6032+$C$2:$C6032)), "")*24*60, "")</f>
        <v/>
      </c>
      <c r="O6033" s="24" t="str" cm="1">
        <f t="array" ref="O6033">IFERROR(IF($B6033=O$1, ($A6033+$C6033) - MAX(IF($B$2:$B6032=$B6033, $A$2:$A6032+$C$2:$C6032)), "")*24*60, "")</f>
        <v/>
      </c>
      <c r="P6033" s="24" t="str" cm="1">
        <f t="array" ref="P6033">IFERROR(IF($B6033=P$1, ($A6033+$C6033) - MAX(IF($B$2:$B6032=$B6033, $A$2:$A6032+$C$2:$C6032)), "")*24*60, "")</f>
        <v/>
      </c>
      <c r="Q6033" s="24" t="str" cm="1">
        <f t="array" ref="Q6033">IFERROR(IF($B6033=Q$1, ($A6033+$C6033) - MAX(IF($B$2:$B6032=$B6033, $A$2:$A6032+$C$2:$C6032)), "")*24*60, "")</f>
        <v/>
      </c>
      <c r="R6033" s="24" t="str" cm="1">
        <f t="array" ref="R6033">IFERROR(IF($B6033=R$1, ($A6033+$C6033) - MAX(IF($B$2:$B6032=$B6033, $A$2:$A6032+$C$2:$C6032)), "")*24*60, "")</f>
        <v/>
      </c>
      <c r="S6033" s="24" t="str" cm="1">
        <f t="array" ref="S6033">IFERROR(IF($B6033=S$1, ($A6033+$C6033) - MAX(IF($B$2:$B6032=$B6033, $A$2:$A6032+$C$2:$C6032)), "")*24*60, "")</f>
        <v/>
      </c>
    </row>
    <row r="6034" spans="1:19" x14ac:dyDescent="0.2">
      <c r="A6034" s="12">
        <f t="shared" ref="A6034:C6034" si="1176">A6033</f>
        <v>45987</v>
      </c>
      <c r="B6034" s="5" t="str">
        <f t="shared" si="1176"/>
        <v>Northern Cardinal</v>
      </c>
      <c r="C6034" s="6">
        <f t="shared" si="1176"/>
        <v>0.28611111111111109</v>
      </c>
      <c r="D6034" s="5"/>
      <c r="E6034" s="5"/>
      <c r="F6034" s="5" t="s">
        <v>8</v>
      </c>
      <c r="G6034" s="15" t="s">
        <v>9</v>
      </c>
      <c r="H6034" s="24">
        <f t="shared" si="1129"/>
        <v>0</v>
      </c>
      <c r="I6034" s="24" cm="1">
        <f t="array" ref="I6034">IFERROR(IF($B6034=I$1, ($A6034+$C6034) - MAX(IF($B$2:$B6033=$B6034, $A$2:$A6033+$C$2:$C6033)), "")*24*60, "")</f>
        <v>0</v>
      </c>
      <c r="J6034" s="24" t="str" cm="1">
        <f t="array" ref="J6034">IFERROR(IF($B6034=J$1, ($A6034+$C6034) - MAX(IF($B$2:$B6033=$B6034, $A$2:$A6033+$C$2:$C6033)), "")*24*60, "")</f>
        <v/>
      </c>
      <c r="K6034" s="24" t="str" cm="1">
        <f t="array" ref="K6034">IFERROR(IF($B6034=K$1, ($A6034+$C6034) - MAX(IF($B$2:$B6033=$B6034, $A$2:$A6033+$C$2:$C6033)), "")*24*60, "")</f>
        <v/>
      </c>
      <c r="L6034" s="24" t="str" cm="1">
        <f t="array" ref="L6034">IFERROR(IF($B6034=L$1, ($A6034+$C6034) - MAX(IF($B$2:$B6033=$B6034, $A$2:$A6033+$C$2:$C6033)), "")*24*60, "")</f>
        <v/>
      </c>
      <c r="M6034" s="24" t="str" cm="1">
        <f t="array" ref="M6034">IFERROR(IF($B6034=M$1, ($A6034+$C6034) - MAX(IF($B$2:$B6033=$B6034, $A$2:$A6033+$C$2:$C6033)), "")*24*60, "")</f>
        <v/>
      </c>
      <c r="N6034" s="24" t="str" cm="1">
        <f t="array" ref="N6034">IFERROR(IF($B6034=N$1, ($A6034+$C6034) - MAX(IF($B$2:$B6033=$B6034, $A$2:$A6033+$C$2:$C6033)), "")*24*60, "")</f>
        <v/>
      </c>
      <c r="O6034" s="24" t="str" cm="1">
        <f t="array" ref="O6034">IFERROR(IF($B6034=O$1, ($A6034+$C6034) - MAX(IF($B$2:$B6033=$B6034, $A$2:$A6033+$C$2:$C6033)), "")*24*60, "")</f>
        <v/>
      </c>
      <c r="P6034" s="24" t="str" cm="1">
        <f t="array" ref="P6034">IFERROR(IF($B6034=P$1, ($A6034+$C6034) - MAX(IF($B$2:$B6033=$B6034, $A$2:$A6033+$C$2:$C6033)), "")*24*60, "")</f>
        <v/>
      </c>
      <c r="Q6034" s="24" t="str" cm="1">
        <f t="array" ref="Q6034">IFERROR(IF($B6034=Q$1, ($A6034+$C6034) - MAX(IF($B$2:$B6033=$B6034, $A$2:$A6033+$C$2:$C6033)), "")*24*60, "")</f>
        <v/>
      </c>
      <c r="R6034" s="24" t="str" cm="1">
        <f t="array" ref="R6034">IFERROR(IF($B6034=R$1, ($A6034+$C6034) - MAX(IF($B$2:$B6033=$B6034, $A$2:$A6033+$C$2:$C6033)), "")*24*60, "")</f>
        <v/>
      </c>
      <c r="S6034" s="24" t="str" cm="1">
        <f t="array" ref="S6034">IFERROR(IF($B6034=S$1, ($A6034+$C6034) - MAX(IF($B$2:$B6033=$B6034, $A$2:$A6033+$C$2:$C6033)), "")*24*60, "")</f>
        <v/>
      </c>
    </row>
    <row r="6035" spans="1:19" x14ac:dyDescent="0.2">
      <c r="A6035" s="12">
        <f t="shared" ref="A6035:C6035" si="1177">A6034</f>
        <v>45987</v>
      </c>
      <c r="B6035" s="5" t="str">
        <f t="shared" si="1177"/>
        <v>Northern Cardinal</v>
      </c>
      <c r="C6035" s="6">
        <f t="shared" si="1177"/>
        <v>0.28611111111111109</v>
      </c>
      <c r="D6035" s="5"/>
      <c r="E6035" s="5"/>
      <c r="F6035" s="5" t="s">
        <v>8</v>
      </c>
      <c r="G6035" s="15" t="s">
        <v>9</v>
      </c>
      <c r="H6035" s="24">
        <f t="shared" si="1129"/>
        <v>0</v>
      </c>
      <c r="I6035" s="24" cm="1">
        <f t="array" ref="I6035">IFERROR(IF($B6035=I$1, ($A6035+$C6035) - MAX(IF($B$2:$B6034=$B6035, $A$2:$A6034+$C$2:$C6034)), "")*24*60, "")</f>
        <v>0</v>
      </c>
      <c r="J6035" s="24" t="str" cm="1">
        <f t="array" ref="J6035">IFERROR(IF($B6035=J$1, ($A6035+$C6035) - MAX(IF($B$2:$B6034=$B6035, $A$2:$A6034+$C$2:$C6034)), "")*24*60, "")</f>
        <v/>
      </c>
      <c r="K6035" s="24" t="str" cm="1">
        <f t="array" ref="K6035">IFERROR(IF($B6035=K$1, ($A6035+$C6035) - MAX(IF($B$2:$B6034=$B6035, $A$2:$A6034+$C$2:$C6034)), "")*24*60, "")</f>
        <v/>
      </c>
      <c r="L6035" s="24" t="str" cm="1">
        <f t="array" ref="L6035">IFERROR(IF($B6035=L$1, ($A6035+$C6035) - MAX(IF($B$2:$B6034=$B6035, $A$2:$A6034+$C$2:$C6034)), "")*24*60, "")</f>
        <v/>
      </c>
      <c r="M6035" s="24" t="str" cm="1">
        <f t="array" ref="M6035">IFERROR(IF($B6035=M$1, ($A6035+$C6035) - MAX(IF($B$2:$B6034=$B6035, $A$2:$A6034+$C$2:$C6034)), "")*24*60, "")</f>
        <v/>
      </c>
      <c r="N6035" s="24" t="str" cm="1">
        <f t="array" ref="N6035">IFERROR(IF($B6035=N$1, ($A6035+$C6035) - MAX(IF($B$2:$B6034=$B6035, $A$2:$A6034+$C$2:$C6034)), "")*24*60, "")</f>
        <v/>
      </c>
      <c r="O6035" s="24" t="str" cm="1">
        <f t="array" ref="O6035">IFERROR(IF($B6035=O$1, ($A6035+$C6035) - MAX(IF($B$2:$B6034=$B6035, $A$2:$A6034+$C$2:$C6034)), "")*24*60, "")</f>
        <v/>
      </c>
      <c r="P6035" s="24" t="str" cm="1">
        <f t="array" ref="P6035">IFERROR(IF($B6035=P$1, ($A6035+$C6035) - MAX(IF($B$2:$B6034=$B6035, $A$2:$A6034+$C$2:$C6034)), "")*24*60, "")</f>
        <v/>
      </c>
      <c r="Q6035" s="24" t="str" cm="1">
        <f t="array" ref="Q6035">IFERROR(IF($B6035=Q$1, ($A6035+$C6035) - MAX(IF($B$2:$B6034=$B6035, $A$2:$A6034+$C$2:$C6034)), "")*24*60, "")</f>
        <v/>
      </c>
      <c r="R6035" s="24" t="str" cm="1">
        <f t="array" ref="R6035">IFERROR(IF($B6035=R$1, ($A6035+$C6035) - MAX(IF($B$2:$B6034=$B6035, $A$2:$A6034+$C$2:$C6034)), "")*24*60, "")</f>
        <v/>
      </c>
      <c r="S6035" s="24" t="str" cm="1">
        <f t="array" ref="S6035">IFERROR(IF($B6035=S$1, ($A6035+$C6035) - MAX(IF($B$2:$B6034=$B6035, $A$2:$A6034+$C$2:$C6034)), "")*24*60, "")</f>
        <v/>
      </c>
    </row>
    <row r="6036" spans="1:19" x14ac:dyDescent="0.2">
      <c r="A6036" s="12">
        <f t="shared" ref="A6036:C6036" si="1178">A6035</f>
        <v>45987</v>
      </c>
      <c r="B6036" s="5" t="str">
        <f t="shared" si="1178"/>
        <v>Northern Cardinal</v>
      </c>
      <c r="C6036" s="6">
        <f t="shared" si="1178"/>
        <v>0.28611111111111109</v>
      </c>
      <c r="D6036" s="5"/>
      <c r="E6036" s="5"/>
      <c r="F6036" s="5" t="s">
        <v>8</v>
      </c>
      <c r="G6036" s="15" t="s">
        <v>9</v>
      </c>
      <c r="H6036" s="24">
        <f t="shared" si="1129"/>
        <v>0</v>
      </c>
      <c r="I6036" s="24" cm="1">
        <f t="array" ref="I6036">IFERROR(IF($B6036=I$1, ($A6036+$C6036) - MAX(IF($B$2:$B6035=$B6036, $A$2:$A6035+$C$2:$C6035)), "")*24*60, "")</f>
        <v>0</v>
      </c>
      <c r="J6036" s="24" t="str" cm="1">
        <f t="array" ref="J6036">IFERROR(IF($B6036=J$1, ($A6036+$C6036) - MAX(IF($B$2:$B6035=$B6036, $A$2:$A6035+$C$2:$C6035)), "")*24*60, "")</f>
        <v/>
      </c>
      <c r="K6036" s="24" t="str" cm="1">
        <f t="array" ref="K6036">IFERROR(IF($B6036=K$1, ($A6036+$C6036) - MAX(IF($B$2:$B6035=$B6036, $A$2:$A6035+$C$2:$C6035)), "")*24*60, "")</f>
        <v/>
      </c>
      <c r="L6036" s="24" t="str" cm="1">
        <f t="array" ref="L6036">IFERROR(IF($B6036=L$1, ($A6036+$C6036) - MAX(IF($B$2:$B6035=$B6036, $A$2:$A6035+$C$2:$C6035)), "")*24*60, "")</f>
        <v/>
      </c>
      <c r="M6036" s="24" t="str" cm="1">
        <f t="array" ref="M6036">IFERROR(IF($B6036=M$1, ($A6036+$C6036) - MAX(IF($B$2:$B6035=$B6036, $A$2:$A6035+$C$2:$C6035)), "")*24*60, "")</f>
        <v/>
      </c>
      <c r="N6036" s="24" t="str" cm="1">
        <f t="array" ref="N6036">IFERROR(IF($B6036=N$1, ($A6036+$C6036) - MAX(IF($B$2:$B6035=$B6036, $A$2:$A6035+$C$2:$C6035)), "")*24*60, "")</f>
        <v/>
      </c>
      <c r="O6036" s="24" t="str" cm="1">
        <f t="array" ref="O6036">IFERROR(IF($B6036=O$1, ($A6036+$C6036) - MAX(IF($B$2:$B6035=$B6036, $A$2:$A6035+$C$2:$C6035)), "")*24*60, "")</f>
        <v/>
      </c>
      <c r="P6036" s="24" t="str" cm="1">
        <f t="array" ref="P6036">IFERROR(IF($B6036=P$1, ($A6036+$C6036) - MAX(IF($B$2:$B6035=$B6036, $A$2:$A6035+$C$2:$C6035)), "")*24*60, "")</f>
        <v/>
      </c>
      <c r="Q6036" s="24" t="str" cm="1">
        <f t="array" ref="Q6036">IFERROR(IF($B6036=Q$1, ($A6036+$C6036) - MAX(IF($B$2:$B6035=$B6036, $A$2:$A6035+$C$2:$C6035)), "")*24*60, "")</f>
        <v/>
      </c>
      <c r="R6036" s="24" t="str" cm="1">
        <f t="array" ref="R6036">IFERROR(IF($B6036=R$1, ($A6036+$C6036) - MAX(IF($B$2:$B6035=$B6036, $A$2:$A6035+$C$2:$C6035)), "")*24*60, "")</f>
        <v/>
      </c>
      <c r="S6036" s="24" t="str" cm="1">
        <f t="array" ref="S6036">IFERROR(IF($B6036=S$1, ($A6036+$C6036) - MAX(IF($B$2:$B6035=$B6036, $A$2:$A6035+$C$2:$C6035)), "")*24*60, "")</f>
        <v/>
      </c>
    </row>
    <row r="6037" spans="1:19" x14ac:dyDescent="0.2">
      <c r="A6037" s="12">
        <f t="shared" ref="A6037:C6037" si="1179">A6036</f>
        <v>45987</v>
      </c>
      <c r="B6037" s="5" t="str">
        <f t="shared" si="1179"/>
        <v>Northern Cardinal</v>
      </c>
      <c r="C6037" s="6">
        <f t="shared" si="1179"/>
        <v>0.28611111111111109</v>
      </c>
      <c r="D6037" s="5"/>
      <c r="E6037" s="5"/>
      <c r="F6037" s="5" t="s">
        <v>8</v>
      </c>
      <c r="G6037" s="15" t="s">
        <v>9</v>
      </c>
      <c r="H6037" s="24">
        <f t="shared" si="1129"/>
        <v>0</v>
      </c>
      <c r="I6037" s="24" cm="1">
        <f t="array" ref="I6037">IFERROR(IF($B6037=I$1, ($A6037+$C6037) - MAX(IF($B$2:$B6036=$B6037, $A$2:$A6036+$C$2:$C6036)), "")*24*60, "")</f>
        <v>0</v>
      </c>
      <c r="J6037" s="24" t="str" cm="1">
        <f t="array" ref="J6037">IFERROR(IF($B6037=J$1, ($A6037+$C6037) - MAX(IF($B$2:$B6036=$B6037, $A$2:$A6036+$C$2:$C6036)), "")*24*60, "")</f>
        <v/>
      </c>
      <c r="K6037" s="24" t="str" cm="1">
        <f t="array" ref="K6037">IFERROR(IF($B6037=K$1, ($A6037+$C6037) - MAX(IF($B$2:$B6036=$B6037, $A$2:$A6036+$C$2:$C6036)), "")*24*60, "")</f>
        <v/>
      </c>
      <c r="L6037" s="24" t="str" cm="1">
        <f t="array" ref="L6037">IFERROR(IF($B6037=L$1, ($A6037+$C6037) - MAX(IF($B$2:$B6036=$B6037, $A$2:$A6036+$C$2:$C6036)), "")*24*60, "")</f>
        <v/>
      </c>
      <c r="M6037" s="24" t="str" cm="1">
        <f t="array" ref="M6037">IFERROR(IF($B6037=M$1, ($A6037+$C6037) - MAX(IF($B$2:$B6036=$B6037, $A$2:$A6036+$C$2:$C6036)), "")*24*60, "")</f>
        <v/>
      </c>
      <c r="N6037" s="24" t="str" cm="1">
        <f t="array" ref="N6037">IFERROR(IF($B6037=N$1, ($A6037+$C6037) - MAX(IF($B$2:$B6036=$B6037, $A$2:$A6036+$C$2:$C6036)), "")*24*60, "")</f>
        <v/>
      </c>
      <c r="O6037" s="24" t="str" cm="1">
        <f t="array" ref="O6037">IFERROR(IF($B6037=O$1, ($A6037+$C6037) - MAX(IF($B$2:$B6036=$B6037, $A$2:$A6036+$C$2:$C6036)), "")*24*60, "")</f>
        <v/>
      </c>
      <c r="P6037" s="24" t="str" cm="1">
        <f t="array" ref="P6037">IFERROR(IF($B6037=P$1, ($A6037+$C6037) - MAX(IF($B$2:$B6036=$B6037, $A$2:$A6036+$C$2:$C6036)), "")*24*60, "")</f>
        <v/>
      </c>
      <c r="Q6037" s="24" t="str" cm="1">
        <f t="array" ref="Q6037">IFERROR(IF($B6037=Q$1, ($A6037+$C6037) - MAX(IF($B$2:$B6036=$B6037, $A$2:$A6036+$C$2:$C6036)), "")*24*60, "")</f>
        <v/>
      </c>
      <c r="R6037" s="24" t="str" cm="1">
        <f t="array" ref="R6037">IFERROR(IF($B6037=R$1, ($A6037+$C6037) - MAX(IF($B$2:$B6036=$B6037, $A$2:$A6036+$C$2:$C6036)), "")*24*60, "")</f>
        <v/>
      </c>
      <c r="S6037" s="24" t="str" cm="1">
        <f t="array" ref="S6037">IFERROR(IF($B6037=S$1, ($A6037+$C6037) - MAX(IF($B$2:$B6036=$B6037, $A$2:$A6036+$C$2:$C6036)), "")*24*60, "")</f>
        <v/>
      </c>
    </row>
    <row r="6038" spans="1:19" x14ac:dyDescent="0.2">
      <c r="A6038" s="12">
        <f t="shared" ref="A6038:C6038" si="1180">A6037</f>
        <v>45987</v>
      </c>
      <c r="B6038" s="5" t="str">
        <f t="shared" si="1180"/>
        <v>Northern Cardinal</v>
      </c>
      <c r="C6038" s="6">
        <f t="shared" si="1180"/>
        <v>0.28611111111111109</v>
      </c>
      <c r="D6038" s="5"/>
      <c r="E6038" s="5"/>
      <c r="F6038" s="5" t="s">
        <v>8</v>
      </c>
      <c r="G6038" s="15" t="s">
        <v>9</v>
      </c>
      <c r="H6038" s="24">
        <f t="shared" si="1129"/>
        <v>0</v>
      </c>
      <c r="I6038" s="24" cm="1">
        <f t="array" ref="I6038">IFERROR(IF($B6038=I$1, ($A6038+$C6038) - MAX(IF($B$2:$B6037=$B6038, $A$2:$A6037+$C$2:$C6037)), "")*24*60, "")</f>
        <v>0</v>
      </c>
      <c r="J6038" s="24" t="str" cm="1">
        <f t="array" ref="J6038">IFERROR(IF($B6038=J$1, ($A6038+$C6038) - MAX(IF($B$2:$B6037=$B6038, $A$2:$A6037+$C$2:$C6037)), "")*24*60, "")</f>
        <v/>
      </c>
      <c r="K6038" s="24" t="str" cm="1">
        <f t="array" ref="K6038">IFERROR(IF($B6038=K$1, ($A6038+$C6038) - MAX(IF($B$2:$B6037=$B6038, $A$2:$A6037+$C$2:$C6037)), "")*24*60, "")</f>
        <v/>
      </c>
      <c r="L6038" s="24" t="str" cm="1">
        <f t="array" ref="L6038">IFERROR(IF($B6038=L$1, ($A6038+$C6038) - MAX(IF($B$2:$B6037=$B6038, $A$2:$A6037+$C$2:$C6037)), "")*24*60, "")</f>
        <v/>
      </c>
      <c r="M6038" s="24" t="str" cm="1">
        <f t="array" ref="M6038">IFERROR(IF($B6038=M$1, ($A6038+$C6038) - MAX(IF($B$2:$B6037=$B6038, $A$2:$A6037+$C$2:$C6037)), "")*24*60, "")</f>
        <v/>
      </c>
      <c r="N6038" s="24" t="str" cm="1">
        <f t="array" ref="N6038">IFERROR(IF($B6038=N$1, ($A6038+$C6038) - MAX(IF($B$2:$B6037=$B6038, $A$2:$A6037+$C$2:$C6037)), "")*24*60, "")</f>
        <v/>
      </c>
      <c r="O6038" s="24" t="str" cm="1">
        <f t="array" ref="O6038">IFERROR(IF($B6038=O$1, ($A6038+$C6038) - MAX(IF($B$2:$B6037=$B6038, $A$2:$A6037+$C$2:$C6037)), "")*24*60, "")</f>
        <v/>
      </c>
      <c r="P6038" s="24" t="str" cm="1">
        <f t="array" ref="P6038">IFERROR(IF($B6038=P$1, ($A6038+$C6038) - MAX(IF($B$2:$B6037=$B6038, $A$2:$A6037+$C$2:$C6037)), "")*24*60, "")</f>
        <v/>
      </c>
      <c r="Q6038" s="24" t="str" cm="1">
        <f t="array" ref="Q6038">IFERROR(IF($B6038=Q$1, ($A6038+$C6038) - MAX(IF($B$2:$B6037=$B6038, $A$2:$A6037+$C$2:$C6037)), "")*24*60, "")</f>
        <v/>
      </c>
      <c r="R6038" s="24" t="str" cm="1">
        <f t="array" ref="R6038">IFERROR(IF($B6038=R$1, ($A6038+$C6038) - MAX(IF($B$2:$B6037=$B6038, $A$2:$A6037+$C$2:$C6037)), "")*24*60, "")</f>
        <v/>
      </c>
      <c r="S6038" s="24" t="str" cm="1">
        <f t="array" ref="S6038">IFERROR(IF($B6038=S$1, ($A6038+$C6038) - MAX(IF($B$2:$B6037=$B6038, $A$2:$A6037+$C$2:$C6037)), "")*24*60, "")</f>
        <v/>
      </c>
    </row>
    <row r="6039" spans="1:19" x14ac:dyDescent="0.2">
      <c r="A6039" s="12">
        <f t="shared" ref="A6039:C6039" si="1181">A6038</f>
        <v>45987</v>
      </c>
      <c r="B6039" s="5" t="str">
        <f t="shared" si="1181"/>
        <v>Northern Cardinal</v>
      </c>
      <c r="C6039" s="6">
        <f t="shared" si="1181"/>
        <v>0.28611111111111109</v>
      </c>
      <c r="D6039" s="5"/>
      <c r="E6039" s="5"/>
      <c r="F6039" s="5" t="s">
        <v>8</v>
      </c>
      <c r="G6039" s="15" t="s">
        <v>9</v>
      </c>
      <c r="H6039" s="24">
        <f t="shared" si="1129"/>
        <v>0</v>
      </c>
      <c r="I6039" s="24" cm="1">
        <f t="array" ref="I6039">IFERROR(IF($B6039=I$1, ($A6039+$C6039) - MAX(IF($B$2:$B6038=$B6039, $A$2:$A6038+$C$2:$C6038)), "")*24*60, "")</f>
        <v>0</v>
      </c>
      <c r="J6039" s="24" t="str" cm="1">
        <f t="array" ref="J6039">IFERROR(IF($B6039=J$1, ($A6039+$C6039) - MAX(IF($B$2:$B6038=$B6039, $A$2:$A6038+$C$2:$C6038)), "")*24*60, "")</f>
        <v/>
      </c>
      <c r="K6039" s="24" t="str" cm="1">
        <f t="array" ref="K6039">IFERROR(IF($B6039=K$1, ($A6039+$C6039) - MAX(IF($B$2:$B6038=$B6039, $A$2:$A6038+$C$2:$C6038)), "")*24*60, "")</f>
        <v/>
      </c>
      <c r="L6039" s="24" t="str" cm="1">
        <f t="array" ref="L6039">IFERROR(IF($B6039=L$1, ($A6039+$C6039) - MAX(IF($B$2:$B6038=$B6039, $A$2:$A6038+$C$2:$C6038)), "")*24*60, "")</f>
        <v/>
      </c>
      <c r="M6039" s="24" t="str" cm="1">
        <f t="array" ref="M6039">IFERROR(IF($B6039=M$1, ($A6039+$C6039) - MAX(IF($B$2:$B6038=$B6039, $A$2:$A6038+$C$2:$C6038)), "")*24*60, "")</f>
        <v/>
      </c>
      <c r="N6039" s="24" t="str" cm="1">
        <f t="array" ref="N6039">IFERROR(IF($B6039=N$1, ($A6039+$C6039) - MAX(IF($B$2:$B6038=$B6039, $A$2:$A6038+$C$2:$C6038)), "")*24*60, "")</f>
        <v/>
      </c>
      <c r="O6039" s="24" t="str" cm="1">
        <f t="array" ref="O6039">IFERROR(IF($B6039=O$1, ($A6039+$C6039) - MAX(IF($B$2:$B6038=$B6039, $A$2:$A6038+$C$2:$C6038)), "")*24*60, "")</f>
        <v/>
      </c>
      <c r="P6039" s="24" t="str" cm="1">
        <f t="array" ref="P6039">IFERROR(IF($B6039=P$1, ($A6039+$C6039) - MAX(IF($B$2:$B6038=$B6039, $A$2:$A6038+$C$2:$C6038)), "")*24*60, "")</f>
        <v/>
      </c>
      <c r="Q6039" s="24" t="str" cm="1">
        <f t="array" ref="Q6039">IFERROR(IF($B6039=Q$1, ($A6039+$C6039) - MAX(IF($B$2:$B6038=$B6039, $A$2:$A6038+$C$2:$C6038)), "")*24*60, "")</f>
        <v/>
      </c>
      <c r="R6039" s="24" t="str" cm="1">
        <f t="array" ref="R6039">IFERROR(IF($B6039=R$1, ($A6039+$C6039) - MAX(IF($B$2:$B6038=$B6039, $A$2:$A6038+$C$2:$C6038)), "")*24*60, "")</f>
        <v/>
      </c>
      <c r="S6039" s="24" t="str" cm="1">
        <f t="array" ref="S6039">IFERROR(IF($B6039=S$1, ($A6039+$C6039) - MAX(IF($B$2:$B6038=$B6039, $A$2:$A6038+$C$2:$C6038)), "")*24*60, "")</f>
        <v/>
      </c>
    </row>
    <row r="6040" spans="1:19" x14ac:dyDescent="0.2">
      <c r="A6040" s="12">
        <f t="shared" ref="A6040:C6040" si="1182">A6039</f>
        <v>45987</v>
      </c>
      <c r="B6040" s="5" t="str">
        <f t="shared" si="1182"/>
        <v>Northern Cardinal</v>
      </c>
      <c r="C6040" s="6">
        <f t="shared" si="1182"/>
        <v>0.28611111111111109</v>
      </c>
      <c r="D6040" s="5"/>
      <c r="E6040" s="5"/>
      <c r="F6040" s="5" t="s">
        <v>8</v>
      </c>
      <c r="G6040" s="15" t="s">
        <v>9</v>
      </c>
      <c r="H6040" s="24">
        <f t="shared" si="1129"/>
        <v>0</v>
      </c>
      <c r="I6040" s="24" cm="1">
        <f t="array" ref="I6040">IFERROR(IF($B6040=I$1, ($A6040+$C6040) - MAX(IF($B$2:$B6039=$B6040, $A$2:$A6039+$C$2:$C6039)), "")*24*60, "")</f>
        <v>0</v>
      </c>
      <c r="J6040" s="24" t="str" cm="1">
        <f t="array" ref="J6040">IFERROR(IF($B6040=J$1, ($A6040+$C6040) - MAX(IF($B$2:$B6039=$B6040, $A$2:$A6039+$C$2:$C6039)), "")*24*60, "")</f>
        <v/>
      </c>
      <c r="K6040" s="24" t="str" cm="1">
        <f t="array" ref="K6040">IFERROR(IF($B6040=K$1, ($A6040+$C6040) - MAX(IF($B$2:$B6039=$B6040, $A$2:$A6039+$C$2:$C6039)), "")*24*60, "")</f>
        <v/>
      </c>
      <c r="L6040" s="24" t="str" cm="1">
        <f t="array" ref="L6040">IFERROR(IF($B6040=L$1, ($A6040+$C6040) - MAX(IF($B$2:$B6039=$B6040, $A$2:$A6039+$C$2:$C6039)), "")*24*60, "")</f>
        <v/>
      </c>
      <c r="M6040" s="24" t="str" cm="1">
        <f t="array" ref="M6040">IFERROR(IF($B6040=M$1, ($A6040+$C6040) - MAX(IF($B$2:$B6039=$B6040, $A$2:$A6039+$C$2:$C6039)), "")*24*60, "")</f>
        <v/>
      </c>
      <c r="N6040" s="24" t="str" cm="1">
        <f t="array" ref="N6040">IFERROR(IF($B6040=N$1, ($A6040+$C6040) - MAX(IF($B$2:$B6039=$B6040, $A$2:$A6039+$C$2:$C6039)), "")*24*60, "")</f>
        <v/>
      </c>
      <c r="O6040" s="24" t="str" cm="1">
        <f t="array" ref="O6040">IFERROR(IF($B6040=O$1, ($A6040+$C6040) - MAX(IF($B$2:$B6039=$B6040, $A$2:$A6039+$C$2:$C6039)), "")*24*60, "")</f>
        <v/>
      </c>
      <c r="P6040" s="24" t="str" cm="1">
        <f t="array" ref="P6040">IFERROR(IF($B6040=P$1, ($A6040+$C6040) - MAX(IF($B$2:$B6039=$B6040, $A$2:$A6039+$C$2:$C6039)), "")*24*60, "")</f>
        <v/>
      </c>
      <c r="Q6040" s="24" t="str" cm="1">
        <f t="array" ref="Q6040">IFERROR(IF($B6040=Q$1, ($A6040+$C6040) - MAX(IF($B$2:$B6039=$B6040, $A$2:$A6039+$C$2:$C6039)), "")*24*60, "")</f>
        <v/>
      </c>
      <c r="R6040" s="24" t="str" cm="1">
        <f t="array" ref="R6040">IFERROR(IF($B6040=R$1, ($A6040+$C6040) - MAX(IF($B$2:$B6039=$B6040, $A$2:$A6039+$C$2:$C6039)), "")*24*60, "")</f>
        <v/>
      </c>
      <c r="S6040" s="24" t="str" cm="1">
        <f t="array" ref="S6040">IFERROR(IF($B6040=S$1, ($A6040+$C6040) - MAX(IF($B$2:$B6039=$B6040, $A$2:$A6039+$C$2:$C6039)), "")*24*60, "")</f>
        <v/>
      </c>
    </row>
    <row r="6041" spans="1:19" x14ac:dyDescent="0.2">
      <c r="A6041" s="12">
        <f t="shared" ref="A6041:C6041" si="1183">A6040</f>
        <v>45987</v>
      </c>
      <c r="B6041" s="5" t="str">
        <f t="shared" si="1183"/>
        <v>Northern Cardinal</v>
      </c>
      <c r="C6041" s="6">
        <f t="shared" si="1183"/>
        <v>0.28611111111111109</v>
      </c>
      <c r="D6041" s="5"/>
      <c r="E6041" s="5"/>
      <c r="F6041" s="5" t="s">
        <v>8</v>
      </c>
      <c r="G6041" s="15" t="s">
        <v>9</v>
      </c>
      <c r="H6041" s="24">
        <f t="shared" si="1129"/>
        <v>0</v>
      </c>
      <c r="I6041" s="24" cm="1">
        <f t="array" ref="I6041">IFERROR(IF($B6041=I$1, ($A6041+$C6041) - MAX(IF($B$2:$B6040=$B6041, $A$2:$A6040+$C$2:$C6040)), "")*24*60, "")</f>
        <v>0</v>
      </c>
      <c r="J6041" s="24" t="str" cm="1">
        <f t="array" ref="J6041">IFERROR(IF($B6041=J$1, ($A6041+$C6041) - MAX(IF($B$2:$B6040=$B6041, $A$2:$A6040+$C$2:$C6040)), "")*24*60, "")</f>
        <v/>
      </c>
      <c r="K6041" s="24" t="str" cm="1">
        <f t="array" ref="K6041">IFERROR(IF($B6041=K$1, ($A6041+$C6041) - MAX(IF($B$2:$B6040=$B6041, $A$2:$A6040+$C$2:$C6040)), "")*24*60, "")</f>
        <v/>
      </c>
      <c r="L6041" s="24" t="str" cm="1">
        <f t="array" ref="L6041">IFERROR(IF($B6041=L$1, ($A6041+$C6041) - MAX(IF($B$2:$B6040=$B6041, $A$2:$A6040+$C$2:$C6040)), "")*24*60, "")</f>
        <v/>
      </c>
      <c r="M6041" s="24" t="str" cm="1">
        <f t="array" ref="M6041">IFERROR(IF($B6041=M$1, ($A6041+$C6041) - MAX(IF($B$2:$B6040=$B6041, $A$2:$A6040+$C$2:$C6040)), "")*24*60, "")</f>
        <v/>
      </c>
      <c r="N6041" s="24" t="str" cm="1">
        <f t="array" ref="N6041">IFERROR(IF($B6041=N$1, ($A6041+$C6041) - MAX(IF($B$2:$B6040=$B6041, $A$2:$A6040+$C$2:$C6040)), "")*24*60, "")</f>
        <v/>
      </c>
      <c r="O6041" s="24" t="str" cm="1">
        <f t="array" ref="O6041">IFERROR(IF($B6041=O$1, ($A6041+$C6041) - MAX(IF($B$2:$B6040=$B6041, $A$2:$A6040+$C$2:$C6040)), "")*24*60, "")</f>
        <v/>
      </c>
      <c r="P6041" s="24" t="str" cm="1">
        <f t="array" ref="P6041">IFERROR(IF($B6041=P$1, ($A6041+$C6041) - MAX(IF($B$2:$B6040=$B6041, $A$2:$A6040+$C$2:$C6040)), "")*24*60, "")</f>
        <v/>
      </c>
      <c r="Q6041" s="24" t="str" cm="1">
        <f t="array" ref="Q6041">IFERROR(IF($B6041=Q$1, ($A6041+$C6041) - MAX(IF($B$2:$B6040=$B6041, $A$2:$A6040+$C$2:$C6040)), "")*24*60, "")</f>
        <v/>
      </c>
      <c r="R6041" s="24" t="str" cm="1">
        <f t="array" ref="R6041">IFERROR(IF($B6041=R$1, ($A6041+$C6041) - MAX(IF($B$2:$B6040=$B6041, $A$2:$A6040+$C$2:$C6040)), "")*24*60, "")</f>
        <v/>
      </c>
      <c r="S6041" s="24" t="str" cm="1">
        <f t="array" ref="S6041">IFERROR(IF($B6041=S$1, ($A6041+$C6041) - MAX(IF($B$2:$B6040=$B6041, $A$2:$A6040+$C$2:$C6040)), "")*24*60, "")</f>
        <v/>
      </c>
    </row>
    <row r="6042" spans="1:19" x14ac:dyDescent="0.2">
      <c r="A6042" s="12">
        <f t="shared" ref="A6042:C6042" si="1184">A6041</f>
        <v>45987</v>
      </c>
      <c r="B6042" s="5" t="str">
        <f t="shared" si="1184"/>
        <v>Northern Cardinal</v>
      </c>
      <c r="C6042" s="6">
        <f t="shared" si="1184"/>
        <v>0.28611111111111109</v>
      </c>
      <c r="D6042" s="5"/>
      <c r="E6042" s="5"/>
      <c r="F6042" s="5" t="s">
        <v>8</v>
      </c>
      <c r="G6042" s="15" t="s">
        <v>9</v>
      </c>
      <c r="H6042" s="24">
        <f t="shared" si="1129"/>
        <v>0</v>
      </c>
      <c r="I6042" s="24" cm="1">
        <f t="array" ref="I6042">IFERROR(IF($B6042=I$1, ($A6042+$C6042) - MAX(IF($B$2:$B6041=$B6042, $A$2:$A6041+$C$2:$C6041)), "")*24*60, "")</f>
        <v>0</v>
      </c>
      <c r="J6042" s="24" t="str" cm="1">
        <f t="array" ref="J6042">IFERROR(IF($B6042=J$1, ($A6042+$C6042) - MAX(IF($B$2:$B6041=$B6042, $A$2:$A6041+$C$2:$C6041)), "")*24*60, "")</f>
        <v/>
      </c>
      <c r="K6042" s="24" t="str" cm="1">
        <f t="array" ref="K6042">IFERROR(IF($B6042=K$1, ($A6042+$C6042) - MAX(IF($B$2:$B6041=$B6042, $A$2:$A6041+$C$2:$C6041)), "")*24*60, "")</f>
        <v/>
      </c>
      <c r="L6042" s="24" t="str" cm="1">
        <f t="array" ref="L6042">IFERROR(IF($B6042=L$1, ($A6042+$C6042) - MAX(IF($B$2:$B6041=$B6042, $A$2:$A6041+$C$2:$C6041)), "")*24*60, "")</f>
        <v/>
      </c>
      <c r="M6042" s="24" t="str" cm="1">
        <f t="array" ref="M6042">IFERROR(IF($B6042=M$1, ($A6042+$C6042) - MAX(IF($B$2:$B6041=$B6042, $A$2:$A6041+$C$2:$C6041)), "")*24*60, "")</f>
        <v/>
      </c>
      <c r="N6042" s="24" t="str" cm="1">
        <f t="array" ref="N6042">IFERROR(IF($B6042=N$1, ($A6042+$C6042) - MAX(IF($B$2:$B6041=$B6042, $A$2:$A6041+$C$2:$C6041)), "")*24*60, "")</f>
        <v/>
      </c>
      <c r="O6042" s="24" t="str" cm="1">
        <f t="array" ref="O6042">IFERROR(IF($B6042=O$1, ($A6042+$C6042) - MAX(IF($B$2:$B6041=$B6042, $A$2:$A6041+$C$2:$C6041)), "")*24*60, "")</f>
        <v/>
      </c>
      <c r="P6042" s="24" t="str" cm="1">
        <f t="array" ref="P6042">IFERROR(IF($B6042=P$1, ($A6042+$C6042) - MAX(IF($B$2:$B6041=$B6042, $A$2:$A6041+$C$2:$C6041)), "")*24*60, "")</f>
        <v/>
      </c>
      <c r="Q6042" s="24" t="str" cm="1">
        <f t="array" ref="Q6042">IFERROR(IF($B6042=Q$1, ($A6042+$C6042) - MAX(IF($B$2:$B6041=$B6042, $A$2:$A6041+$C$2:$C6041)), "")*24*60, "")</f>
        <v/>
      </c>
      <c r="R6042" s="24" t="str" cm="1">
        <f t="array" ref="R6042">IFERROR(IF($B6042=R$1, ($A6042+$C6042) - MAX(IF($B$2:$B6041=$B6042, $A$2:$A6041+$C$2:$C6041)), "")*24*60, "")</f>
        <v/>
      </c>
      <c r="S6042" s="24" t="str" cm="1">
        <f t="array" ref="S6042">IFERROR(IF($B6042=S$1, ($A6042+$C6042) - MAX(IF($B$2:$B6041=$B6042, $A$2:$A6041+$C$2:$C6041)), "")*24*60, "")</f>
        <v/>
      </c>
    </row>
    <row r="6043" spans="1:19" x14ac:dyDescent="0.2">
      <c r="A6043" s="12">
        <f t="shared" ref="A6043:C6043" si="1185">A6042</f>
        <v>45987</v>
      </c>
      <c r="B6043" s="5" t="str">
        <f t="shared" si="1185"/>
        <v>Northern Cardinal</v>
      </c>
      <c r="C6043" s="6">
        <f t="shared" si="1185"/>
        <v>0.28611111111111109</v>
      </c>
      <c r="D6043" s="5"/>
      <c r="E6043" s="5"/>
      <c r="F6043" s="5" t="s">
        <v>8</v>
      </c>
      <c r="G6043" s="15" t="s">
        <v>9</v>
      </c>
      <c r="H6043" s="24">
        <f t="shared" si="1129"/>
        <v>0</v>
      </c>
      <c r="I6043" s="24" cm="1">
        <f t="array" ref="I6043">IFERROR(IF($B6043=I$1, ($A6043+$C6043) - MAX(IF($B$2:$B6042=$B6043, $A$2:$A6042+$C$2:$C6042)), "")*24*60, "")</f>
        <v>0</v>
      </c>
      <c r="J6043" s="24" t="str" cm="1">
        <f t="array" ref="J6043">IFERROR(IF($B6043=J$1, ($A6043+$C6043) - MAX(IF($B$2:$B6042=$B6043, $A$2:$A6042+$C$2:$C6042)), "")*24*60, "")</f>
        <v/>
      </c>
      <c r="K6043" s="24" t="str" cm="1">
        <f t="array" ref="K6043">IFERROR(IF($B6043=K$1, ($A6043+$C6043) - MAX(IF($B$2:$B6042=$B6043, $A$2:$A6042+$C$2:$C6042)), "")*24*60, "")</f>
        <v/>
      </c>
      <c r="L6043" s="24" t="str" cm="1">
        <f t="array" ref="L6043">IFERROR(IF($B6043=L$1, ($A6043+$C6043) - MAX(IF($B$2:$B6042=$B6043, $A$2:$A6042+$C$2:$C6042)), "")*24*60, "")</f>
        <v/>
      </c>
      <c r="M6043" s="24" t="str" cm="1">
        <f t="array" ref="M6043">IFERROR(IF($B6043=M$1, ($A6043+$C6043) - MAX(IF($B$2:$B6042=$B6043, $A$2:$A6042+$C$2:$C6042)), "")*24*60, "")</f>
        <v/>
      </c>
      <c r="N6043" s="24" t="str" cm="1">
        <f t="array" ref="N6043">IFERROR(IF($B6043=N$1, ($A6043+$C6043) - MAX(IF($B$2:$B6042=$B6043, $A$2:$A6042+$C$2:$C6042)), "")*24*60, "")</f>
        <v/>
      </c>
      <c r="O6043" s="24" t="str" cm="1">
        <f t="array" ref="O6043">IFERROR(IF($B6043=O$1, ($A6043+$C6043) - MAX(IF($B$2:$B6042=$B6043, $A$2:$A6042+$C$2:$C6042)), "")*24*60, "")</f>
        <v/>
      </c>
      <c r="P6043" s="24" t="str" cm="1">
        <f t="array" ref="P6043">IFERROR(IF($B6043=P$1, ($A6043+$C6043) - MAX(IF($B$2:$B6042=$B6043, $A$2:$A6042+$C$2:$C6042)), "")*24*60, "")</f>
        <v/>
      </c>
      <c r="Q6043" s="24" t="str" cm="1">
        <f t="array" ref="Q6043">IFERROR(IF($B6043=Q$1, ($A6043+$C6043) - MAX(IF($B$2:$B6042=$B6043, $A$2:$A6042+$C$2:$C6042)), "")*24*60, "")</f>
        <v/>
      </c>
      <c r="R6043" s="24" t="str" cm="1">
        <f t="array" ref="R6043">IFERROR(IF($B6043=R$1, ($A6043+$C6043) - MAX(IF($B$2:$B6042=$B6043, $A$2:$A6042+$C$2:$C6042)), "")*24*60, "")</f>
        <v/>
      </c>
      <c r="S6043" s="24" t="str" cm="1">
        <f t="array" ref="S6043">IFERROR(IF($B6043=S$1, ($A6043+$C6043) - MAX(IF($B$2:$B6042=$B6043, $A$2:$A6042+$C$2:$C6042)), "")*24*60, "")</f>
        <v/>
      </c>
    </row>
    <row r="6044" spans="1:19" x14ac:dyDescent="0.2">
      <c r="A6044" s="12">
        <f t="shared" ref="A6044:C6044" si="1186">A6043</f>
        <v>45987</v>
      </c>
      <c r="B6044" s="5" t="str">
        <f t="shared" si="1186"/>
        <v>Northern Cardinal</v>
      </c>
      <c r="C6044" s="6">
        <f t="shared" si="1186"/>
        <v>0.28611111111111109</v>
      </c>
      <c r="D6044" s="5"/>
      <c r="E6044" s="5"/>
      <c r="F6044" s="5" t="s">
        <v>8</v>
      </c>
      <c r="G6044" s="15" t="s">
        <v>9</v>
      </c>
      <c r="H6044" s="24">
        <f t="shared" si="1129"/>
        <v>0</v>
      </c>
      <c r="I6044" s="24" cm="1">
        <f t="array" ref="I6044">IFERROR(IF($B6044=I$1, ($A6044+$C6044) - MAX(IF($B$2:$B6043=$B6044, $A$2:$A6043+$C$2:$C6043)), "")*24*60, "")</f>
        <v>0</v>
      </c>
      <c r="J6044" s="24" t="str" cm="1">
        <f t="array" ref="J6044">IFERROR(IF($B6044=J$1, ($A6044+$C6044) - MAX(IF($B$2:$B6043=$B6044, $A$2:$A6043+$C$2:$C6043)), "")*24*60, "")</f>
        <v/>
      </c>
      <c r="K6044" s="24" t="str" cm="1">
        <f t="array" ref="K6044">IFERROR(IF($B6044=K$1, ($A6044+$C6044) - MAX(IF($B$2:$B6043=$B6044, $A$2:$A6043+$C$2:$C6043)), "")*24*60, "")</f>
        <v/>
      </c>
      <c r="L6044" s="24" t="str" cm="1">
        <f t="array" ref="L6044">IFERROR(IF($B6044=L$1, ($A6044+$C6044) - MAX(IF($B$2:$B6043=$B6044, $A$2:$A6043+$C$2:$C6043)), "")*24*60, "")</f>
        <v/>
      </c>
      <c r="M6044" s="24" t="str" cm="1">
        <f t="array" ref="M6044">IFERROR(IF($B6044=M$1, ($A6044+$C6044) - MAX(IF($B$2:$B6043=$B6044, $A$2:$A6043+$C$2:$C6043)), "")*24*60, "")</f>
        <v/>
      </c>
      <c r="N6044" s="24" t="str" cm="1">
        <f t="array" ref="N6044">IFERROR(IF($B6044=N$1, ($A6044+$C6044) - MAX(IF($B$2:$B6043=$B6044, $A$2:$A6043+$C$2:$C6043)), "")*24*60, "")</f>
        <v/>
      </c>
      <c r="O6044" s="24" t="str" cm="1">
        <f t="array" ref="O6044">IFERROR(IF($B6044=O$1, ($A6044+$C6044) - MAX(IF($B$2:$B6043=$B6044, $A$2:$A6043+$C$2:$C6043)), "")*24*60, "")</f>
        <v/>
      </c>
      <c r="P6044" s="24" t="str" cm="1">
        <f t="array" ref="P6044">IFERROR(IF($B6044=P$1, ($A6044+$C6044) - MAX(IF($B$2:$B6043=$B6044, $A$2:$A6043+$C$2:$C6043)), "")*24*60, "")</f>
        <v/>
      </c>
      <c r="Q6044" s="24" t="str" cm="1">
        <f t="array" ref="Q6044">IFERROR(IF($B6044=Q$1, ($A6044+$C6044) - MAX(IF($B$2:$B6043=$B6044, $A$2:$A6043+$C$2:$C6043)), "")*24*60, "")</f>
        <v/>
      </c>
      <c r="R6044" s="24" t="str" cm="1">
        <f t="array" ref="R6044">IFERROR(IF($B6044=R$1, ($A6044+$C6044) - MAX(IF($B$2:$B6043=$B6044, $A$2:$A6043+$C$2:$C6043)), "")*24*60, "")</f>
        <v/>
      </c>
      <c r="S6044" s="24" t="str" cm="1">
        <f t="array" ref="S6044">IFERROR(IF($B6044=S$1, ($A6044+$C6044) - MAX(IF($B$2:$B6043=$B6044, $A$2:$A6043+$C$2:$C6043)), "")*24*60, "")</f>
        <v/>
      </c>
    </row>
    <row r="6045" spans="1:19" x14ac:dyDescent="0.2">
      <c r="A6045" s="12">
        <f t="shared" ref="A6045:C6045" si="1187">A6044</f>
        <v>45987</v>
      </c>
      <c r="B6045" s="5" t="str">
        <f t="shared" si="1187"/>
        <v>Northern Cardinal</v>
      </c>
      <c r="C6045" s="6">
        <f t="shared" si="1187"/>
        <v>0.28611111111111109</v>
      </c>
      <c r="D6045" s="5"/>
      <c r="E6045" s="5"/>
      <c r="F6045" s="5" t="s">
        <v>8</v>
      </c>
      <c r="G6045" s="15" t="s">
        <v>9</v>
      </c>
      <c r="H6045" s="24">
        <f t="shared" si="1129"/>
        <v>0</v>
      </c>
      <c r="I6045" s="24" cm="1">
        <f t="array" ref="I6045">IFERROR(IF($B6045=I$1, ($A6045+$C6045) - MAX(IF($B$2:$B6044=$B6045, $A$2:$A6044+$C$2:$C6044)), "")*24*60, "")</f>
        <v>0</v>
      </c>
      <c r="J6045" s="24" t="str" cm="1">
        <f t="array" ref="J6045">IFERROR(IF($B6045=J$1, ($A6045+$C6045) - MAX(IF($B$2:$B6044=$B6045, $A$2:$A6044+$C$2:$C6044)), "")*24*60, "")</f>
        <v/>
      </c>
      <c r="K6045" s="24" t="str" cm="1">
        <f t="array" ref="K6045">IFERROR(IF($B6045=K$1, ($A6045+$C6045) - MAX(IF($B$2:$B6044=$B6045, $A$2:$A6044+$C$2:$C6044)), "")*24*60, "")</f>
        <v/>
      </c>
      <c r="L6045" s="24" t="str" cm="1">
        <f t="array" ref="L6045">IFERROR(IF($B6045=L$1, ($A6045+$C6045) - MAX(IF($B$2:$B6044=$B6045, $A$2:$A6044+$C$2:$C6044)), "")*24*60, "")</f>
        <v/>
      </c>
      <c r="M6045" s="24" t="str" cm="1">
        <f t="array" ref="M6045">IFERROR(IF($B6045=M$1, ($A6045+$C6045) - MAX(IF($B$2:$B6044=$B6045, $A$2:$A6044+$C$2:$C6044)), "")*24*60, "")</f>
        <v/>
      </c>
      <c r="N6045" s="24" t="str" cm="1">
        <f t="array" ref="N6045">IFERROR(IF($B6045=N$1, ($A6045+$C6045) - MAX(IF($B$2:$B6044=$B6045, $A$2:$A6044+$C$2:$C6044)), "")*24*60, "")</f>
        <v/>
      </c>
      <c r="O6045" s="24" t="str" cm="1">
        <f t="array" ref="O6045">IFERROR(IF($B6045=O$1, ($A6045+$C6045) - MAX(IF($B$2:$B6044=$B6045, $A$2:$A6044+$C$2:$C6044)), "")*24*60, "")</f>
        <v/>
      </c>
      <c r="P6045" s="24" t="str" cm="1">
        <f t="array" ref="P6045">IFERROR(IF($B6045=P$1, ($A6045+$C6045) - MAX(IF($B$2:$B6044=$B6045, $A$2:$A6044+$C$2:$C6044)), "")*24*60, "")</f>
        <v/>
      </c>
      <c r="Q6045" s="24" t="str" cm="1">
        <f t="array" ref="Q6045">IFERROR(IF($B6045=Q$1, ($A6045+$C6045) - MAX(IF($B$2:$B6044=$B6045, $A$2:$A6044+$C$2:$C6044)), "")*24*60, "")</f>
        <v/>
      </c>
      <c r="R6045" s="24" t="str" cm="1">
        <f t="array" ref="R6045">IFERROR(IF($B6045=R$1, ($A6045+$C6045) - MAX(IF($B$2:$B6044=$B6045, $A$2:$A6044+$C$2:$C6044)), "")*24*60, "")</f>
        <v/>
      </c>
      <c r="S6045" s="24" t="str" cm="1">
        <f t="array" ref="S6045">IFERROR(IF($B6045=S$1, ($A6045+$C6045) - MAX(IF($B$2:$B6044=$B6045, $A$2:$A6044+$C$2:$C6044)), "")*24*60, "")</f>
        <v/>
      </c>
    </row>
    <row r="6046" spans="1:19" x14ac:dyDescent="0.2">
      <c r="A6046" s="12">
        <f t="shared" ref="A6046:C6046" si="1188">A6045</f>
        <v>45987</v>
      </c>
      <c r="B6046" s="5" t="str">
        <f t="shared" si="1188"/>
        <v>Northern Cardinal</v>
      </c>
      <c r="C6046" s="6">
        <f t="shared" si="1188"/>
        <v>0.28611111111111109</v>
      </c>
      <c r="D6046" s="5"/>
      <c r="E6046" s="5"/>
      <c r="F6046" s="5" t="s">
        <v>8</v>
      </c>
      <c r="G6046" s="15" t="s">
        <v>9</v>
      </c>
      <c r="H6046" s="24">
        <f t="shared" si="1129"/>
        <v>0</v>
      </c>
      <c r="I6046" s="24" cm="1">
        <f t="array" ref="I6046">IFERROR(IF($B6046=I$1, ($A6046+$C6046) - MAX(IF($B$2:$B6045=$B6046, $A$2:$A6045+$C$2:$C6045)), "")*24*60, "")</f>
        <v>0</v>
      </c>
      <c r="J6046" s="24" t="str" cm="1">
        <f t="array" ref="J6046">IFERROR(IF($B6046=J$1, ($A6046+$C6046) - MAX(IF($B$2:$B6045=$B6046, $A$2:$A6045+$C$2:$C6045)), "")*24*60, "")</f>
        <v/>
      </c>
      <c r="K6046" s="24" t="str" cm="1">
        <f t="array" ref="K6046">IFERROR(IF($B6046=K$1, ($A6046+$C6046) - MAX(IF($B$2:$B6045=$B6046, $A$2:$A6045+$C$2:$C6045)), "")*24*60, "")</f>
        <v/>
      </c>
      <c r="L6046" s="24" t="str" cm="1">
        <f t="array" ref="L6046">IFERROR(IF($B6046=L$1, ($A6046+$C6046) - MAX(IF($B$2:$B6045=$B6046, $A$2:$A6045+$C$2:$C6045)), "")*24*60, "")</f>
        <v/>
      </c>
      <c r="M6046" s="24" t="str" cm="1">
        <f t="array" ref="M6046">IFERROR(IF($B6046=M$1, ($A6046+$C6046) - MAX(IF($B$2:$B6045=$B6046, $A$2:$A6045+$C$2:$C6045)), "")*24*60, "")</f>
        <v/>
      </c>
      <c r="N6046" s="24" t="str" cm="1">
        <f t="array" ref="N6046">IFERROR(IF($B6046=N$1, ($A6046+$C6046) - MAX(IF($B$2:$B6045=$B6046, $A$2:$A6045+$C$2:$C6045)), "")*24*60, "")</f>
        <v/>
      </c>
      <c r="O6046" s="24" t="str" cm="1">
        <f t="array" ref="O6046">IFERROR(IF($B6046=O$1, ($A6046+$C6046) - MAX(IF($B$2:$B6045=$B6046, $A$2:$A6045+$C$2:$C6045)), "")*24*60, "")</f>
        <v/>
      </c>
      <c r="P6046" s="24" t="str" cm="1">
        <f t="array" ref="P6046">IFERROR(IF($B6046=P$1, ($A6046+$C6046) - MAX(IF($B$2:$B6045=$B6046, $A$2:$A6045+$C$2:$C6045)), "")*24*60, "")</f>
        <v/>
      </c>
      <c r="Q6046" s="24" t="str" cm="1">
        <f t="array" ref="Q6046">IFERROR(IF($B6046=Q$1, ($A6046+$C6046) - MAX(IF($B$2:$B6045=$B6046, $A$2:$A6045+$C$2:$C6045)), "")*24*60, "")</f>
        <v/>
      </c>
      <c r="R6046" s="24" t="str" cm="1">
        <f t="array" ref="R6046">IFERROR(IF($B6046=R$1, ($A6046+$C6046) - MAX(IF($B$2:$B6045=$B6046, $A$2:$A6045+$C$2:$C6045)), "")*24*60, "")</f>
        <v/>
      </c>
      <c r="S6046" s="24" t="str" cm="1">
        <f t="array" ref="S6046">IFERROR(IF($B6046=S$1, ($A6046+$C6046) - MAX(IF($B$2:$B6045=$B6046, $A$2:$A6045+$C$2:$C6045)), "")*24*60, "")</f>
        <v/>
      </c>
    </row>
    <row r="6047" spans="1:19" x14ac:dyDescent="0.2">
      <c r="A6047" s="12">
        <f t="shared" ref="A6047:C6047" si="1189">A6046</f>
        <v>45987</v>
      </c>
      <c r="B6047" s="5" t="str">
        <f t="shared" si="1189"/>
        <v>Northern Cardinal</v>
      </c>
      <c r="C6047" s="6">
        <f t="shared" si="1189"/>
        <v>0.28611111111111109</v>
      </c>
      <c r="D6047" s="5"/>
      <c r="E6047" s="5"/>
      <c r="F6047" s="5" t="s">
        <v>8</v>
      </c>
      <c r="G6047" s="15" t="s">
        <v>9</v>
      </c>
      <c r="H6047" s="24">
        <f t="shared" si="1129"/>
        <v>0</v>
      </c>
      <c r="I6047" s="24" cm="1">
        <f t="array" ref="I6047">IFERROR(IF($B6047=I$1, ($A6047+$C6047) - MAX(IF($B$2:$B6046=$B6047, $A$2:$A6046+$C$2:$C6046)), "")*24*60, "")</f>
        <v>0</v>
      </c>
      <c r="J6047" s="24" t="str" cm="1">
        <f t="array" ref="J6047">IFERROR(IF($B6047=J$1, ($A6047+$C6047) - MAX(IF($B$2:$B6046=$B6047, $A$2:$A6046+$C$2:$C6046)), "")*24*60, "")</f>
        <v/>
      </c>
      <c r="K6047" s="24" t="str" cm="1">
        <f t="array" ref="K6047">IFERROR(IF($B6047=K$1, ($A6047+$C6047) - MAX(IF($B$2:$B6046=$B6047, $A$2:$A6046+$C$2:$C6046)), "")*24*60, "")</f>
        <v/>
      </c>
      <c r="L6047" s="24" t="str" cm="1">
        <f t="array" ref="L6047">IFERROR(IF($B6047=L$1, ($A6047+$C6047) - MAX(IF($B$2:$B6046=$B6047, $A$2:$A6046+$C$2:$C6046)), "")*24*60, "")</f>
        <v/>
      </c>
      <c r="M6047" s="24" t="str" cm="1">
        <f t="array" ref="M6047">IFERROR(IF($B6047=M$1, ($A6047+$C6047) - MAX(IF($B$2:$B6046=$B6047, $A$2:$A6046+$C$2:$C6046)), "")*24*60, "")</f>
        <v/>
      </c>
      <c r="N6047" s="24" t="str" cm="1">
        <f t="array" ref="N6047">IFERROR(IF($B6047=N$1, ($A6047+$C6047) - MAX(IF($B$2:$B6046=$B6047, $A$2:$A6046+$C$2:$C6046)), "")*24*60, "")</f>
        <v/>
      </c>
      <c r="O6047" s="24" t="str" cm="1">
        <f t="array" ref="O6047">IFERROR(IF($B6047=O$1, ($A6047+$C6047) - MAX(IF($B$2:$B6046=$B6047, $A$2:$A6046+$C$2:$C6046)), "")*24*60, "")</f>
        <v/>
      </c>
      <c r="P6047" s="24" t="str" cm="1">
        <f t="array" ref="P6047">IFERROR(IF($B6047=P$1, ($A6047+$C6047) - MAX(IF($B$2:$B6046=$B6047, $A$2:$A6046+$C$2:$C6046)), "")*24*60, "")</f>
        <v/>
      </c>
      <c r="Q6047" s="24" t="str" cm="1">
        <f t="array" ref="Q6047">IFERROR(IF($B6047=Q$1, ($A6047+$C6047) - MAX(IF($B$2:$B6046=$B6047, $A$2:$A6046+$C$2:$C6046)), "")*24*60, "")</f>
        <v/>
      </c>
      <c r="R6047" s="24" t="str" cm="1">
        <f t="array" ref="R6047">IFERROR(IF($B6047=R$1, ($A6047+$C6047) - MAX(IF($B$2:$B6046=$B6047, $A$2:$A6046+$C$2:$C6046)), "")*24*60, "")</f>
        <v/>
      </c>
      <c r="S6047" s="24" t="str" cm="1">
        <f t="array" ref="S6047">IFERROR(IF($B6047=S$1, ($A6047+$C6047) - MAX(IF($B$2:$B6046=$B6047, $A$2:$A6046+$C$2:$C6046)), "")*24*60, "")</f>
        <v/>
      </c>
    </row>
    <row r="6048" spans="1:19" x14ac:dyDescent="0.2">
      <c r="A6048" s="12">
        <f t="shared" ref="A6048:C6048" si="1190">A6047</f>
        <v>45987</v>
      </c>
      <c r="B6048" s="5" t="str">
        <f t="shared" si="1190"/>
        <v>Northern Cardinal</v>
      </c>
      <c r="C6048" s="6">
        <f t="shared" si="1190"/>
        <v>0.28611111111111109</v>
      </c>
      <c r="D6048" s="5"/>
      <c r="E6048" s="5"/>
      <c r="F6048" s="5" t="s">
        <v>8</v>
      </c>
      <c r="G6048" s="15" t="s">
        <v>9</v>
      </c>
      <c r="H6048" s="24">
        <f t="shared" si="1129"/>
        <v>0</v>
      </c>
      <c r="I6048" s="24" cm="1">
        <f t="array" ref="I6048">IFERROR(IF($B6048=I$1, ($A6048+$C6048) - MAX(IF($B$2:$B6047=$B6048, $A$2:$A6047+$C$2:$C6047)), "")*24*60, "")</f>
        <v>0</v>
      </c>
      <c r="J6048" s="24" t="str" cm="1">
        <f t="array" ref="J6048">IFERROR(IF($B6048=J$1, ($A6048+$C6048) - MAX(IF($B$2:$B6047=$B6048, $A$2:$A6047+$C$2:$C6047)), "")*24*60, "")</f>
        <v/>
      </c>
      <c r="K6048" s="24" t="str" cm="1">
        <f t="array" ref="K6048">IFERROR(IF($B6048=K$1, ($A6048+$C6048) - MAX(IF($B$2:$B6047=$B6048, $A$2:$A6047+$C$2:$C6047)), "")*24*60, "")</f>
        <v/>
      </c>
      <c r="L6048" s="24" t="str" cm="1">
        <f t="array" ref="L6048">IFERROR(IF($B6048=L$1, ($A6048+$C6048) - MAX(IF($B$2:$B6047=$B6048, $A$2:$A6047+$C$2:$C6047)), "")*24*60, "")</f>
        <v/>
      </c>
      <c r="M6048" s="24" t="str" cm="1">
        <f t="array" ref="M6048">IFERROR(IF($B6048=M$1, ($A6048+$C6048) - MAX(IF($B$2:$B6047=$B6048, $A$2:$A6047+$C$2:$C6047)), "")*24*60, "")</f>
        <v/>
      </c>
      <c r="N6048" s="24" t="str" cm="1">
        <f t="array" ref="N6048">IFERROR(IF($B6048=N$1, ($A6048+$C6048) - MAX(IF($B$2:$B6047=$B6048, $A$2:$A6047+$C$2:$C6047)), "")*24*60, "")</f>
        <v/>
      </c>
      <c r="O6048" s="24" t="str" cm="1">
        <f t="array" ref="O6048">IFERROR(IF($B6048=O$1, ($A6048+$C6048) - MAX(IF($B$2:$B6047=$B6048, $A$2:$A6047+$C$2:$C6047)), "")*24*60, "")</f>
        <v/>
      </c>
      <c r="P6048" s="24" t="str" cm="1">
        <f t="array" ref="P6048">IFERROR(IF($B6048=P$1, ($A6048+$C6048) - MAX(IF($B$2:$B6047=$B6048, $A$2:$A6047+$C$2:$C6047)), "")*24*60, "")</f>
        <v/>
      </c>
      <c r="Q6048" s="24" t="str" cm="1">
        <f t="array" ref="Q6048">IFERROR(IF($B6048=Q$1, ($A6048+$C6048) - MAX(IF($B$2:$B6047=$B6048, $A$2:$A6047+$C$2:$C6047)), "")*24*60, "")</f>
        <v/>
      </c>
      <c r="R6048" s="24" t="str" cm="1">
        <f t="array" ref="R6048">IFERROR(IF($B6048=R$1, ($A6048+$C6048) - MAX(IF($B$2:$B6047=$B6048, $A$2:$A6047+$C$2:$C6047)), "")*24*60, "")</f>
        <v/>
      </c>
      <c r="S6048" s="24" t="str" cm="1">
        <f t="array" ref="S6048">IFERROR(IF($B6048=S$1, ($A6048+$C6048) - MAX(IF($B$2:$B6047=$B6048, $A$2:$A6047+$C$2:$C6047)), "")*24*60, "")</f>
        <v/>
      </c>
    </row>
    <row r="6049" spans="1:19" x14ac:dyDescent="0.2">
      <c r="A6049" s="12">
        <f t="shared" ref="A6049:C6049" si="1191">A6048</f>
        <v>45987</v>
      </c>
      <c r="B6049" s="5" t="str">
        <f t="shared" si="1191"/>
        <v>Northern Cardinal</v>
      </c>
      <c r="C6049" s="6">
        <f t="shared" si="1191"/>
        <v>0.28611111111111109</v>
      </c>
      <c r="D6049" s="5"/>
      <c r="E6049" s="5"/>
      <c r="F6049" s="5" t="s">
        <v>8</v>
      </c>
      <c r="G6049" s="15" t="s">
        <v>9</v>
      </c>
      <c r="H6049" s="24">
        <f t="shared" si="1129"/>
        <v>0</v>
      </c>
      <c r="I6049" s="24" cm="1">
        <f t="array" ref="I6049">IFERROR(IF($B6049=I$1, ($A6049+$C6049) - MAX(IF($B$2:$B6048=$B6049, $A$2:$A6048+$C$2:$C6048)), "")*24*60, "")</f>
        <v>0</v>
      </c>
      <c r="J6049" s="24" t="str" cm="1">
        <f t="array" ref="J6049">IFERROR(IF($B6049=J$1, ($A6049+$C6049) - MAX(IF($B$2:$B6048=$B6049, $A$2:$A6048+$C$2:$C6048)), "")*24*60, "")</f>
        <v/>
      </c>
      <c r="K6049" s="24" t="str" cm="1">
        <f t="array" ref="K6049">IFERROR(IF($B6049=K$1, ($A6049+$C6049) - MAX(IF($B$2:$B6048=$B6049, $A$2:$A6048+$C$2:$C6048)), "")*24*60, "")</f>
        <v/>
      </c>
      <c r="L6049" s="24" t="str" cm="1">
        <f t="array" ref="L6049">IFERROR(IF($B6049=L$1, ($A6049+$C6049) - MAX(IF($B$2:$B6048=$B6049, $A$2:$A6048+$C$2:$C6048)), "")*24*60, "")</f>
        <v/>
      </c>
      <c r="M6049" s="24" t="str" cm="1">
        <f t="array" ref="M6049">IFERROR(IF($B6049=M$1, ($A6049+$C6049) - MAX(IF($B$2:$B6048=$B6049, $A$2:$A6048+$C$2:$C6048)), "")*24*60, "")</f>
        <v/>
      </c>
      <c r="N6049" s="24" t="str" cm="1">
        <f t="array" ref="N6049">IFERROR(IF($B6049=N$1, ($A6049+$C6049) - MAX(IF($B$2:$B6048=$B6049, $A$2:$A6048+$C$2:$C6048)), "")*24*60, "")</f>
        <v/>
      </c>
      <c r="O6049" s="24" t="str" cm="1">
        <f t="array" ref="O6049">IFERROR(IF($B6049=O$1, ($A6049+$C6049) - MAX(IF($B$2:$B6048=$B6049, $A$2:$A6048+$C$2:$C6048)), "")*24*60, "")</f>
        <v/>
      </c>
      <c r="P6049" s="24" t="str" cm="1">
        <f t="array" ref="P6049">IFERROR(IF($B6049=P$1, ($A6049+$C6049) - MAX(IF($B$2:$B6048=$B6049, $A$2:$A6048+$C$2:$C6048)), "")*24*60, "")</f>
        <v/>
      </c>
      <c r="Q6049" s="24" t="str" cm="1">
        <f t="array" ref="Q6049">IFERROR(IF($B6049=Q$1, ($A6049+$C6049) - MAX(IF($B$2:$B6048=$B6049, $A$2:$A6048+$C$2:$C6048)), "")*24*60, "")</f>
        <v/>
      </c>
      <c r="R6049" s="24" t="str" cm="1">
        <f t="array" ref="R6049">IFERROR(IF($B6049=R$1, ($A6049+$C6049) - MAX(IF($B$2:$B6048=$B6049, $A$2:$A6048+$C$2:$C6048)), "")*24*60, "")</f>
        <v/>
      </c>
      <c r="S6049" s="24" t="str" cm="1">
        <f t="array" ref="S6049">IFERROR(IF($B6049=S$1, ($A6049+$C6049) - MAX(IF($B$2:$B6048=$B6049, $A$2:$A6048+$C$2:$C6048)), "")*24*60, "")</f>
        <v/>
      </c>
    </row>
    <row r="6050" spans="1:19" x14ac:dyDescent="0.2">
      <c r="A6050" s="12">
        <f t="shared" ref="A6050:C6050" si="1192">A6049</f>
        <v>45987</v>
      </c>
      <c r="B6050" s="5" t="str">
        <f t="shared" si="1192"/>
        <v>Northern Cardinal</v>
      </c>
      <c r="C6050" s="6">
        <f t="shared" si="1192"/>
        <v>0.28611111111111109</v>
      </c>
      <c r="D6050" s="5"/>
      <c r="E6050" s="5"/>
      <c r="F6050" s="5" t="s">
        <v>8</v>
      </c>
      <c r="G6050" s="15" t="s">
        <v>9</v>
      </c>
      <c r="H6050" s="24">
        <f t="shared" si="1129"/>
        <v>0</v>
      </c>
      <c r="I6050" s="24" cm="1">
        <f t="array" ref="I6050">IFERROR(IF($B6050=I$1, ($A6050+$C6050) - MAX(IF($B$2:$B6049=$B6050, $A$2:$A6049+$C$2:$C6049)), "")*24*60, "")</f>
        <v>0</v>
      </c>
      <c r="J6050" s="24" t="str" cm="1">
        <f t="array" ref="J6050">IFERROR(IF($B6050=J$1, ($A6050+$C6050) - MAX(IF($B$2:$B6049=$B6050, $A$2:$A6049+$C$2:$C6049)), "")*24*60, "")</f>
        <v/>
      </c>
      <c r="K6050" s="24" t="str" cm="1">
        <f t="array" ref="K6050">IFERROR(IF($B6050=K$1, ($A6050+$C6050) - MAX(IF($B$2:$B6049=$B6050, $A$2:$A6049+$C$2:$C6049)), "")*24*60, "")</f>
        <v/>
      </c>
      <c r="L6050" s="24" t="str" cm="1">
        <f t="array" ref="L6050">IFERROR(IF($B6050=L$1, ($A6050+$C6050) - MAX(IF($B$2:$B6049=$B6050, $A$2:$A6049+$C$2:$C6049)), "")*24*60, "")</f>
        <v/>
      </c>
      <c r="M6050" s="24" t="str" cm="1">
        <f t="array" ref="M6050">IFERROR(IF($B6050=M$1, ($A6050+$C6050) - MAX(IF($B$2:$B6049=$B6050, $A$2:$A6049+$C$2:$C6049)), "")*24*60, "")</f>
        <v/>
      </c>
      <c r="N6050" s="24" t="str" cm="1">
        <f t="array" ref="N6050">IFERROR(IF($B6050=N$1, ($A6050+$C6050) - MAX(IF($B$2:$B6049=$B6050, $A$2:$A6049+$C$2:$C6049)), "")*24*60, "")</f>
        <v/>
      </c>
      <c r="O6050" s="24" t="str" cm="1">
        <f t="array" ref="O6050">IFERROR(IF($B6050=O$1, ($A6050+$C6050) - MAX(IF($B$2:$B6049=$B6050, $A$2:$A6049+$C$2:$C6049)), "")*24*60, "")</f>
        <v/>
      </c>
      <c r="P6050" s="24" t="str" cm="1">
        <f t="array" ref="P6050">IFERROR(IF($B6050=P$1, ($A6050+$C6050) - MAX(IF($B$2:$B6049=$B6050, $A$2:$A6049+$C$2:$C6049)), "")*24*60, "")</f>
        <v/>
      </c>
      <c r="Q6050" s="24" t="str" cm="1">
        <f t="array" ref="Q6050">IFERROR(IF($B6050=Q$1, ($A6050+$C6050) - MAX(IF($B$2:$B6049=$B6050, $A$2:$A6049+$C$2:$C6049)), "")*24*60, "")</f>
        <v/>
      </c>
      <c r="R6050" s="24" t="str" cm="1">
        <f t="array" ref="R6050">IFERROR(IF($B6050=R$1, ($A6050+$C6050) - MAX(IF($B$2:$B6049=$B6050, $A$2:$A6049+$C$2:$C6049)), "")*24*60, "")</f>
        <v/>
      </c>
      <c r="S6050" s="24" t="str" cm="1">
        <f t="array" ref="S6050">IFERROR(IF($B6050=S$1, ($A6050+$C6050) - MAX(IF($B$2:$B6049=$B6050, $A$2:$A6049+$C$2:$C6049)), "")*24*60, "")</f>
        <v/>
      </c>
    </row>
    <row r="6051" spans="1:19" x14ac:dyDescent="0.2">
      <c r="A6051" s="12">
        <f t="shared" ref="A6051:C6051" si="1193">A6050</f>
        <v>45987</v>
      </c>
      <c r="B6051" s="5" t="str">
        <f t="shared" si="1193"/>
        <v>Northern Cardinal</v>
      </c>
      <c r="C6051" s="6">
        <f t="shared" si="1193"/>
        <v>0.28611111111111109</v>
      </c>
      <c r="D6051" s="5"/>
      <c r="E6051" s="5"/>
      <c r="F6051" s="5" t="s">
        <v>8</v>
      </c>
      <c r="G6051" s="15" t="s">
        <v>9</v>
      </c>
      <c r="H6051" s="24">
        <f t="shared" si="1129"/>
        <v>0</v>
      </c>
      <c r="I6051" s="24" cm="1">
        <f t="array" ref="I6051">IFERROR(IF($B6051=I$1, ($A6051+$C6051) - MAX(IF($B$2:$B6050=$B6051, $A$2:$A6050+$C$2:$C6050)), "")*24*60, "")</f>
        <v>0</v>
      </c>
      <c r="J6051" s="24" t="str" cm="1">
        <f t="array" ref="J6051">IFERROR(IF($B6051=J$1, ($A6051+$C6051) - MAX(IF($B$2:$B6050=$B6051, $A$2:$A6050+$C$2:$C6050)), "")*24*60, "")</f>
        <v/>
      </c>
      <c r="K6051" s="24" t="str" cm="1">
        <f t="array" ref="K6051">IFERROR(IF($B6051=K$1, ($A6051+$C6051) - MAX(IF($B$2:$B6050=$B6051, $A$2:$A6050+$C$2:$C6050)), "")*24*60, "")</f>
        <v/>
      </c>
      <c r="L6051" s="24" t="str" cm="1">
        <f t="array" ref="L6051">IFERROR(IF($B6051=L$1, ($A6051+$C6051) - MAX(IF($B$2:$B6050=$B6051, $A$2:$A6050+$C$2:$C6050)), "")*24*60, "")</f>
        <v/>
      </c>
      <c r="M6051" s="24" t="str" cm="1">
        <f t="array" ref="M6051">IFERROR(IF($B6051=M$1, ($A6051+$C6051) - MAX(IF($B$2:$B6050=$B6051, $A$2:$A6050+$C$2:$C6050)), "")*24*60, "")</f>
        <v/>
      </c>
      <c r="N6051" s="24" t="str" cm="1">
        <f t="array" ref="N6051">IFERROR(IF($B6051=N$1, ($A6051+$C6051) - MAX(IF($B$2:$B6050=$B6051, $A$2:$A6050+$C$2:$C6050)), "")*24*60, "")</f>
        <v/>
      </c>
      <c r="O6051" s="24" t="str" cm="1">
        <f t="array" ref="O6051">IFERROR(IF($B6051=O$1, ($A6051+$C6051) - MAX(IF($B$2:$B6050=$B6051, $A$2:$A6050+$C$2:$C6050)), "")*24*60, "")</f>
        <v/>
      </c>
      <c r="P6051" s="24" t="str" cm="1">
        <f t="array" ref="P6051">IFERROR(IF($B6051=P$1, ($A6051+$C6051) - MAX(IF($B$2:$B6050=$B6051, $A$2:$A6050+$C$2:$C6050)), "")*24*60, "")</f>
        <v/>
      </c>
      <c r="Q6051" s="24" t="str" cm="1">
        <f t="array" ref="Q6051">IFERROR(IF($B6051=Q$1, ($A6051+$C6051) - MAX(IF($B$2:$B6050=$B6051, $A$2:$A6050+$C$2:$C6050)), "")*24*60, "")</f>
        <v/>
      </c>
      <c r="R6051" s="24" t="str" cm="1">
        <f t="array" ref="R6051">IFERROR(IF($B6051=R$1, ($A6051+$C6051) - MAX(IF($B$2:$B6050=$B6051, $A$2:$A6050+$C$2:$C6050)), "")*24*60, "")</f>
        <v/>
      </c>
      <c r="S6051" s="24" t="str" cm="1">
        <f t="array" ref="S6051">IFERROR(IF($B6051=S$1, ($A6051+$C6051) - MAX(IF($B$2:$B6050=$B6051, $A$2:$A6050+$C$2:$C6050)), "")*24*60, "")</f>
        <v/>
      </c>
    </row>
    <row r="6052" spans="1:19" x14ac:dyDescent="0.2">
      <c r="A6052" s="12">
        <f t="shared" ref="A6052:C6052" si="1194">A6051</f>
        <v>45987</v>
      </c>
      <c r="B6052" s="5" t="str">
        <f t="shared" si="1194"/>
        <v>Northern Cardinal</v>
      </c>
      <c r="C6052" s="6">
        <f t="shared" si="1194"/>
        <v>0.28611111111111109</v>
      </c>
      <c r="D6052" s="5"/>
      <c r="E6052" s="5"/>
      <c r="F6052" s="5" t="s">
        <v>8</v>
      </c>
      <c r="G6052" s="15" t="s">
        <v>9</v>
      </c>
      <c r="H6052" s="24">
        <f t="shared" si="1129"/>
        <v>0</v>
      </c>
      <c r="I6052" s="24" cm="1">
        <f t="array" ref="I6052">IFERROR(IF($B6052=I$1, ($A6052+$C6052) - MAX(IF($B$2:$B6051=$B6052, $A$2:$A6051+$C$2:$C6051)), "")*24*60, "")</f>
        <v>0</v>
      </c>
      <c r="J6052" s="24" t="str" cm="1">
        <f t="array" ref="J6052">IFERROR(IF($B6052=J$1, ($A6052+$C6052) - MAX(IF($B$2:$B6051=$B6052, $A$2:$A6051+$C$2:$C6051)), "")*24*60, "")</f>
        <v/>
      </c>
      <c r="K6052" s="24" t="str" cm="1">
        <f t="array" ref="K6052">IFERROR(IF($B6052=K$1, ($A6052+$C6052) - MAX(IF($B$2:$B6051=$B6052, $A$2:$A6051+$C$2:$C6051)), "")*24*60, "")</f>
        <v/>
      </c>
      <c r="L6052" s="24" t="str" cm="1">
        <f t="array" ref="L6052">IFERROR(IF($B6052=L$1, ($A6052+$C6052) - MAX(IF($B$2:$B6051=$B6052, $A$2:$A6051+$C$2:$C6051)), "")*24*60, "")</f>
        <v/>
      </c>
      <c r="M6052" s="24" t="str" cm="1">
        <f t="array" ref="M6052">IFERROR(IF($B6052=M$1, ($A6052+$C6052) - MAX(IF($B$2:$B6051=$B6052, $A$2:$A6051+$C$2:$C6051)), "")*24*60, "")</f>
        <v/>
      </c>
      <c r="N6052" s="24" t="str" cm="1">
        <f t="array" ref="N6052">IFERROR(IF($B6052=N$1, ($A6052+$C6052) - MAX(IF($B$2:$B6051=$B6052, $A$2:$A6051+$C$2:$C6051)), "")*24*60, "")</f>
        <v/>
      </c>
      <c r="O6052" s="24" t="str" cm="1">
        <f t="array" ref="O6052">IFERROR(IF($B6052=O$1, ($A6052+$C6052) - MAX(IF($B$2:$B6051=$B6052, $A$2:$A6051+$C$2:$C6051)), "")*24*60, "")</f>
        <v/>
      </c>
      <c r="P6052" s="24" t="str" cm="1">
        <f t="array" ref="P6052">IFERROR(IF($B6052=P$1, ($A6052+$C6052) - MAX(IF($B$2:$B6051=$B6052, $A$2:$A6051+$C$2:$C6051)), "")*24*60, "")</f>
        <v/>
      </c>
      <c r="Q6052" s="24" t="str" cm="1">
        <f t="array" ref="Q6052">IFERROR(IF($B6052=Q$1, ($A6052+$C6052) - MAX(IF($B$2:$B6051=$B6052, $A$2:$A6051+$C$2:$C6051)), "")*24*60, "")</f>
        <v/>
      </c>
      <c r="R6052" s="24" t="str" cm="1">
        <f t="array" ref="R6052">IFERROR(IF($B6052=R$1, ($A6052+$C6052) - MAX(IF($B$2:$B6051=$B6052, $A$2:$A6051+$C$2:$C6051)), "")*24*60, "")</f>
        <v/>
      </c>
      <c r="S6052" s="24" t="str" cm="1">
        <f t="array" ref="S6052">IFERROR(IF($B6052=S$1, ($A6052+$C6052) - MAX(IF($B$2:$B6051=$B6052, $A$2:$A6051+$C$2:$C6051)), "")*24*60, "")</f>
        <v/>
      </c>
    </row>
    <row r="6053" spans="1:19" x14ac:dyDescent="0.2">
      <c r="A6053" s="12">
        <f t="shared" ref="A6053:C6053" si="1195">A6052</f>
        <v>45987</v>
      </c>
      <c r="B6053" s="5" t="str">
        <f t="shared" si="1195"/>
        <v>Northern Cardinal</v>
      </c>
      <c r="C6053" s="6">
        <f t="shared" si="1195"/>
        <v>0.28611111111111109</v>
      </c>
      <c r="D6053" s="5"/>
      <c r="E6053" s="5"/>
      <c r="F6053" s="5" t="s">
        <v>8</v>
      </c>
      <c r="G6053" s="15" t="s">
        <v>9</v>
      </c>
      <c r="H6053" s="24">
        <f t="shared" si="1129"/>
        <v>0</v>
      </c>
      <c r="I6053" s="24" cm="1">
        <f t="array" ref="I6053">IFERROR(IF($B6053=I$1, ($A6053+$C6053) - MAX(IF($B$2:$B6052=$B6053, $A$2:$A6052+$C$2:$C6052)), "")*24*60, "")</f>
        <v>0</v>
      </c>
      <c r="J6053" s="24" t="str" cm="1">
        <f t="array" ref="J6053">IFERROR(IF($B6053=J$1, ($A6053+$C6053) - MAX(IF($B$2:$B6052=$B6053, $A$2:$A6052+$C$2:$C6052)), "")*24*60, "")</f>
        <v/>
      </c>
      <c r="K6053" s="24" t="str" cm="1">
        <f t="array" ref="K6053">IFERROR(IF($B6053=K$1, ($A6053+$C6053) - MAX(IF($B$2:$B6052=$B6053, $A$2:$A6052+$C$2:$C6052)), "")*24*60, "")</f>
        <v/>
      </c>
      <c r="L6053" s="24" t="str" cm="1">
        <f t="array" ref="L6053">IFERROR(IF($B6053=L$1, ($A6053+$C6053) - MAX(IF($B$2:$B6052=$B6053, $A$2:$A6052+$C$2:$C6052)), "")*24*60, "")</f>
        <v/>
      </c>
      <c r="M6053" s="24" t="str" cm="1">
        <f t="array" ref="M6053">IFERROR(IF($B6053=M$1, ($A6053+$C6053) - MAX(IF($B$2:$B6052=$B6053, $A$2:$A6052+$C$2:$C6052)), "")*24*60, "")</f>
        <v/>
      </c>
      <c r="N6053" s="24" t="str" cm="1">
        <f t="array" ref="N6053">IFERROR(IF($B6053=N$1, ($A6053+$C6053) - MAX(IF($B$2:$B6052=$B6053, $A$2:$A6052+$C$2:$C6052)), "")*24*60, "")</f>
        <v/>
      </c>
      <c r="O6053" s="24" t="str" cm="1">
        <f t="array" ref="O6053">IFERROR(IF($B6053=O$1, ($A6053+$C6053) - MAX(IF($B$2:$B6052=$B6053, $A$2:$A6052+$C$2:$C6052)), "")*24*60, "")</f>
        <v/>
      </c>
      <c r="P6053" s="24" t="str" cm="1">
        <f t="array" ref="P6053">IFERROR(IF($B6053=P$1, ($A6053+$C6053) - MAX(IF($B$2:$B6052=$B6053, $A$2:$A6052+$C$2:$C6052)), "")*24*60, "")</f>
        <v/>
      </c>
      <c r="Q6053" s="24" t="str" cm="1">
        <f t="array" ref="Q6053">IFERROR(IF($B6053=Q$1, ($A6053+$C6053) - MAX(IF($B$2:$B6052=$B6053, $A$2:$A6052+$C$2:$C6052)), "")*24*60, "")</f>
        <v/>
      </c>
      <c r="R6053" s="24" t="str" cm="1">
        <f t="array" ref="R6053">IFERROR(IF($B6053=R$1, ($A6053+$C6053) - MAX(IF($B$2:$B6052=$B6053, $A$2:$A6052+$C$2:$C6052)), "")*24*60, "")</f>
        <v/>
      </c>
      <c r="S6053" s="24" t="str" cm="1">
        <f t="array" ref="S6053">IFERROR(IF($B6053=S$1, ($A6053+$C6053) - MAX(IF($B$2:$B6052=$B6053, $A$2:$A6052+$C$2:$C6052)), "")*24*60, "")</f>
        <v/>
      </c>
    </row>
    <row r="6054" spans="1:19" x14ac:dyDescent="0.2">
      <c r="A6054" s="12">
        <f t="shared" ref="A6054:C6054" si="1196">A6053</f>
        <v>45987</v>
      </c>
      <c r="B6054" s="5" t="str">
        <f t="shared" si="1196"/>
        <v>Northern Cardinal</v>
      </c>
      <c r="C6054" s="6">
        <f t="shared" si="1196"/>
        <v>0.28611111111111109</v>
      </c>
      <c r="D6054" s="5"/>
      <c r="E6054" s="5"/>
      <c r="F6054" s="5" t="s">
        <v>8</v>
      </c>
      <c r="G6054" s="15" t="s">
        <v>9</v>
      </c>
      <c r="H6054" s="24">
        <f t="shared" si="1129"/>
        <v>0</v>
      </c>
      <c r="I6054" s="24" cm="1">
        <f t="array" ref="I6054">IFERROR(IF($B6054=I$1, ($A6054+$C6054) - MAX(IF($B$2:$B6053=$B6054, $A$2:$A6053+$C$2:$C6053)), "")*24*60, "")</f>
        <v>0</v>
      </c>
      <c r="J6054" s="24" t="str" cm="1">
        <f t="array" ref="J6054">IFERROR(IF($B6054=J$1, ($A6054+$C6054) - MAX(IF($B$2:$B6053=$B6054, $A$2:$A6053+$C$2:$C6053)), "")*24*60, "")</f>
        <v/>
      </c>
      <c r="K6054" s="24" t="str" cm="1">
        <f t="array" ref="K6054">IFERROR(IF($B6054=K$1, ($A6054+$C6054) - MAX(IF($B$2:$B6053=$B6054, $A$2:$A6053+$C$2:$C6053)), "")*24*60, "")</f>
        <v/>
      </c>
      <c r="L6054" s="24" t="str" cm="1">
        <f t="array" ref="L6054">IFERROR(IF($B6054=L$1, ($A6054+$C6054) - MAX(IF($B$2:$B6053=$B6054, $A$2:$A6053+$C$2:$C6053)), "")*24*60, "")</f>
        <v/>
      </c>
      <c r="M6054" s="24" t="str" cm="1">
        <f t="array" ref="M6054">IFERROR(IF($B6054=M$1, ($A6054+$C6054) - MAX(IF($B$2:$B6053=$B6054, $A$2:$A6053+$C$2:$C6053)), "")*24*60, "")</f>
        <v/>
      </c>
      <c r="N6054" s="24" t="str" cm="1">
        <f t="array" ref="N6054">IFERROR(IF($B6054=N$1, ($A6054+$C6054) - MAX(IF($B$2:$B6053=$B6054, $A$2:$A6053+$C$2:$C6053)), "")*24*60, "")</f>
        <v/>
      </c>
      <c r="O6054" s="24" t="str" cm="1">
        <f t="array" ref="O6054">IFERROR(IF($B6054=O$1, ($A6054+$C6054) - MAX(IF($B$2:$B6053=$B6054, $A$2:$A6053+$C$2:$C6053)), "")*24*60, "")</f>
        <v/>
      </c>
      <c r="P6054" s="24" t="str" cm="1">
        <f t="array" ref="P6054">IFERROR(IF($B6054=P$1, ($A6054+$C6054) - MAX(IF($B$2:$B6053=$B6054, $A$2:$A6053+$C$2:$C6053)), "")*24*60, "")</f>
        <v/>
      </c>
      <c r="Q6054" s="24" t="str" cm="1">
        <f t="array" ref="Q6054">IFERROR(IF($B6054=Q$1, ($A6054+$C6054) - MAX(IF($B$2:$B6053=$B6054, $A$2:$A6053+$C$2:$C6053)), "")*24*60, "")</f>
        <v/>
      </c>
      <c r="R6054" s="24" t="str" cm="1">
        <f t="array" ref="R6054">IFERROR(IF($B6054=R$1, ($A6054+$C6054) - MAX(IF($B$2:$B6053=$B6054, $A$2:$A6053+$C$2:$C6053)), "")*24*60, "")</f>
        <v/>
      </c>
      <c r="S6054" s="24" t="str" cm="1">
        <f t="array" ref="S6054">IFERROR(IF($B6054=S$1, ($A6054+$C6054) - MAX(IF($B$2:$B6053=$B6054, $A$2:$A6053+$C$2:$C6053)), "")*24*60, "")</f>
        <v/>
      </c>
    </row>
    <row r="6055" spans="1:19" x14ac:dyDescent="0.2">
      <c r="A6055" s="12">
        <f t="shared" ref="A6055:C6055" si="1197">A6054</f>
        <v>45987</v>
      </c>
      <c r="B6055" s="5" t="str">
        <f t="shared" si="1197"/>
        <v>Northern Cardinal</v>
      </c>
      <c r="C6055" s="6">
        <f t="shared" si="1197"/>
        <v>0.28611111111111109</v>
      </c>
      <c r="D6055" s="5"/>
      <c r="E6055" s="5"/>
      <c r="F6055" s="5" t="s">
        <v>8</v>
      </c>
      <c r="G6055" s="15" t="s">
        <v>9</v>
      </c>
      <c r="H6055" s="24">
        <f t="shared" si="1129"/>
        <v>0</v>
      </c>
      <c r="I6055" s="24" cm="1">
        <f t="array" ref="I6055">IFERROR(IF($B6055=I$1, ($A6055+$C6055) - MAX(IF($B$2:$B6054=$B6055, $A$2:$A6054+$C$2:$C6054)), "")*24*60, "")</f>
        <v>0</v>
      </c>
      <c r="J6055" s="24" t="str" cm="1">
        <f t="array" ref="J6055">IFERROR(IF($B6055=J$1, ($A6055+$C6055) - MAX(IF($B$2:$B6054=$B6055, $A$2:$A6054+$C$2:$C6054)), "")*24*60, "")</f>
        <v/>
      </c>
      <c r="K6055" s="24" t="str" cm="1">
        <f t="array" ref="K6055">IFERROR(IF($B6055=K$1, ($A6055+$C6055) - MAX(IF($B$2:$B6054=$B6055, $A$2:$A6054+$C$2:$C6054)), "")*24*60, "")</f>
        <v/>
      </c>
      <c r="L6055" s="24" t="str" cm="1">
        <f t="array" ref="L6055">IFERROR(IF($B6055=L$1, ($A6055+$C6055) - MAX(IF($B$2:$B6054=$B6055, $A$2:$A6054+$C$2:$C6054)), "")*24*60, "")</f>
        <v/>
      </c>
      <c r="M6055" s="24" t="str" cm="1">
        <f t="array" ref="M6055">IFERROR(IF($B6055=M$1, ($A6055+$C6055) - MAX(IF($B$2:$B6054=$B6055, $A$2:$A6054+$C$2:$C6054)), "")*24*60, "")</f>
        <v/>
      </c>
      <c r="N6055" s="24" t="str" cm="1">
        <f t="array" ref="N6055">IFERROR(IF($B6055=N$1, ($A6055+$C6055) - MAX(IF($B$2:$B6054=$B6055, $A$2:$A6054+$C$2:$C6054)), "")*24*60, "")</f>
        <v/>
      </c>
      <c r="O6055" s="24" t="str" cm="1">
        <f t="array" ref="O6055">IFERROR(IF($B6055=O$1, ($A6055+$C6055) - MAX(IF($B$2:$B6054=$B6055, $A$2:$A6054+$C$2:$C6054)), "")*24*60, "")</f>
        <v/>
      </c>
      <c r="P6055" s="24" t="str" cm="1">
        <f t="array" ref="P6055">IFERROR(IF($B6055=P$1, ($A6055+$C6055) - MAX(IF($B$2:$B6054=$B6055, $A$2:$A6054+$C$2:$C6054)), "")*24*60, "")</f>
        <v/>
      </c>
      <c r="Q6055" s="24" t="str" cm="1">
        <f t="array" ref="Q6055">IFERROR(IF($B6055=Q$1, ($A6055+$C6055) - MAX(IF($B$2:$B6054=$B6055, $A$2:$A6054+$C$2:$C6054)), "")*24*60, "")</f>
        <v/>
      </c>
      <c r="R6055" s="24" t="str" cm="1">
        <f t="array" ref="R6055">IFERROR(IF($B6055=R$1, ($A6055+$C6055) - MAX(IF($B$2:$B6054=$B6055, $A$2:$A6054+$C$2:$C6054)), "")*24*60, "")</f>
        <v/>
      </c>
      <c r="S6055" s="24" t="str" cm="1">
        <f t="array" ref="S6055">IFERROR(IF($B6055=S$1, ($A6055+$C6055) - MAX(IF($B$2:$B6054=$B6055, $A$2:$A6054+$C$2:$C6054)), "")*24*60, "")</f>
        <v/>
      </c>
    </row>
    <row r="6056" spans="1:19" x14ac:dyDescent="0.2">
      <c r="A6056" s="12">
        <f t="shared" ref="A6056:C6056" si="1198">A6055</f>
        <v>45987</v>
      </c>
      <c r="B6056" s="5" t="str">
        <f t="shared" si="1198"/>
        <v>Northern Cardinal</v>
      </c>
      <c r="C6056" s="6">
        <f t="shared" si="1198"/>
        <v>0.28611111111111109</v>
      </c>
      <c r="D6056" s="5"/>
      <c r="E6056" s="5"/>
      <c r="F6056" s="5" t="s">
        <v>8</v>
      </c>
      <c r="G6056" s="15" t="s">
        <v>9</v>
      </c>
      <c r="H6056" s="24">
        <f t="shared" si="1129"/>
        <v>0</v>
      </c>
      <c r="I6056" s="24" cm="1">
        <f t="array" ref="I6056">IFERROR(IF($B6056=I$1, ($A6056+$C6056) - MAX(IF($B$2:$B6055=$B6056, $A$2:$A6055+$C$2:$C6055)), "")*24*60, "")</f>
        <v>0</v>
      </c>
      <c r="J6056" s="24" t="str" cm="1">
        <f t="array" ref="J6056">IFERROR(IF($B6056=J$1, ($A6056+$C6056) - MAX(IF($B$2:$B6055=$B6056, $A$2:$A6055+$C$2:$C6055)), "")*24*60, "")</f>
        <v/>
      </c>
      <c r="K6056" s="24" t="str" cm="1">
        <f t="array" ref="K6056">IFERROR(IF($B6056=K$1, ($A6056+$C6056) - MAX(IF($B$2:$B6055=$B6056, $A$2:$A6055+$C$2:$C6055)), "")*24*60, "")</f>
        <v/>
      </c>
      <c r="L6056" s="24" t="str" cm="1">
        <f t="array" ref="L6056">IFERROR(IF($B6056=L$1, ($A6056+$C6056) - MAX(IF($B$2:$B6055=$B6056, $A$2:$A6055+$C$2:$C6055)), "")*24*60, "")</f>
        <v/>
      </c>
      <c r="M6056" s="24" t="str" cm="1">
        <f t="array" ref="M6056">IFERROR(IF($B6056=M$1, ($A6056+$C6056) - MAX(IF($B$2:$B6055=$B6056, $A$2:$A6055+$C$2:$C6055)), "")*24*60, "")</f>
        <v/>
      </c>
      <c r="N6056" s="24" t="str" cm="1">
        <f t="array" ref="N6056">IFERROR(IF($B6056=N$1, ($A6056+$C6056) - MAX(IF($B$2:$B6055=$B6056, $A$2:$A6055+$C$2:$C6055)), "")*24*60, "")</f>
        <v/>
      </c>
      <c r="O6056" s="24" t="str" cm="1">
        <f t="array" ref="O6056">IFERROR(IF($B6056=O$1, ($A6056+$C6056) - MAX(IF($B$2:$B6055=$B6056, $A$2:$A6055+$C$2:$C6055)), "")*24*60, "")</f>
        <v/>
      </c>
      <c r="P6056" s="24" t="str" cm="1">
        <f t="array" ref="P6056">IFERROR(IF($B6056=P$1, ($A6056+$C6056) - MAX(IF($B$2:$B6055=$B6056, $A$2:$A6055+$C$2:$C6055)), "")*24*60, "")</f>
        <v/>
      </c>
      <c r="Q6056" s="24" t="str" cm="1">
        <f t="array" ref="Q6056">IFERROR(IF($B6056=Q$1, ($A6056+$C6056) - MAX(IF($B$2:$B6055=$B6056, $A$2:$A6055+$C$2:$C6055)), "")*24*60, "")</f>
        <v/>
      </c>
      <c r="R6056" s="24" t="str" cm="1">
        <f t="array" ref="R6056">IFERROR(IF($B6056=R$1, ($A6056+$C6056) - MAX(IF($B$2:$B6055=$B6056, $A$2:$A6055+$C$2:$C6055)), "")*24*60, "")</f>
        <v/>
      </c>
      <c r="S6056" s="24" t="str" cm="1">
        <f t="array" ref="S6056">IFERROR(IF($B6056=S$1, ($A6056+$C6056) - MAX(IF($B$2:$B6055=$B6056, $A$2:$A6055+$C$2:$C6055)), "")*24*60, "")</f>
        <v/>
      </c>
    </row>
    <row r="6057" spans="1:19" x14ac:dyDescent="0.2">
      <c r="A6057" s="12">
        <f t="shared" ref="A6057:C6057" si="1199">A6056</f>
        <v>45987</v>
      </c>
      <c r="B6057" s="5" t="str">
        <f t="shared" si="1199"/>
        <v>Northern Cardinal</v>
      </c>
      <c r="C6057" s="6">
        <f t="shared" si="1199"/>
        <v>0.28611111111111109</v>
      </c>
      <c r="D6057" s="5"/>
      <c r="E6057" s="5"/>
      <c r="F6057" s="5" t="s">
        <v>8</v>
      </c>
      <c r="G6057" s="15" t="s">
        <v>9</v>
      </c>
      <c r="H6057" s="24">
        <f t="shared" si="1129"/>
        <v>0</v>
      </c>
      <c r="I6057" s="24" cm="1">
        <f t="array" ref="I6057">IFERROR(IF($B6057=I$1, ($A6057+$C6057) - MAX(IF($B$2:$B6056=$B6057, $A$2:$A6056+$C$2:$C6056)), "")*24*60, "")</f>
        <v>0</v>
      </c>
      <c r="J6057" s="24" t="str" cm="1">
        <f t="array" ref="J6057">IFERROR(IF($B6057=J$1, ($A6057+$C6057) - MAX(IF($B$2:$B6056=$B6057, $A$2:$A6056+$C$2:$C6056)), "")*24*60, "")</f>
        <v/>
      </c>
      <c r="K6057" s="24" t="str" cm="1">
        <f t="array" ref="K6057">IFERROR(IF($B6057=K$1, ($A6057+$C6057) - MAX(IF($B$2:$B6056=$B6057, $A$2:$A6056+$C$2:$C6056)), "")*24*60, "")</f>
        <v/>
      </c>
      <c r="L6057" s="24" t="str" cm="1">
        <f t="array" ref="L6057">IFERROR(IF($B6057=L$1, ($A6057+$C6057) - MAX(IF($B$2:$B6056=$B6057, $A$2:$A6056+$C$2:$C6056)), "")*24*60, "")</f>
        <v/>
      </c>
      <c r="M6057" s="24" t="str" cm="1">
        <f t="array" ref="M6057">IFERROR(IF($B6057=M$1, ($A6057+$C6057) - MAX(IF($B$2:$B6056=$B6057, $A$2:$A6056+$C$2:$C6056)), "")*24*60, "")</f>
        <v/>
      </c>
      <c r="N6057" s="24" t="str" cm="1">
        <f t="array" ref="N6057">IFERROR(IF($B6057=N$1, ($A6057+$C6057) - MAX(IF($B$2:$B6056=$B6057, $A$2:$A6056+$C$2:$C6056)), "")*24*60, "")</f>
        <v/>
      </c>
      <c r="O6057" s="24" t="str" cm="1">
        <f t="array" ref="O6057">IFERROR(IF($B6057=O$1, ($A6057+$C6057) - MAX(IF($B$2:$B6056=$B6057, $A$2:$A6056+$C$2:$C6056)), "")*24*60, "")</f>
        <v/>
      </c>
      <c r="P6057" s="24" t="str" cm="1">
        <f t="array" ref="P6057">IFERROR(IF($B6057=P$1, ($A6057+$C6057) - MAX(IF($B$2:$B6056=$B6057, $A$2:$A6056+$C$2:$C6056)), "")*24*60, "")</f>
        <v/>
      </c>
      <c r="Q6057" s="24" t="str" cm="1">
        <f t="array" ref="Q6057">IFERROR(IF($B6057=Q$1, ($A6057+$C6057) - MAX(IF($B$2:$B6056=$B6057, $A$2:$A6056+$C$2:$C6056)), "")*24*60, "")</f>
        <v/>
      </c>
      <c r="R6057" s="24" t="str" cm="1">
        <f t="array" ref="R6057">IFERROR(IF($B6057=R$1, ($A6057+$C6057) - MAX(IF($B$2:$B6056=$B6057, $A$2:$A6056+$C$2:$C6056)), "")*24*60, "")</f>
        <v/>
      </c>
      <c r="S6057" s="24" t="str" cm="1">
        <f t="array" ref="S6057">IFERROR(IF($B6057=S$1, ($A6057+$C6057) - MAX(IF($B$2:$B6056=$B6057, $A$2:$A6056+$C$2:$C6056)), "")*24*60, "")</f>
        <v/>
      </c>
    </row>
    <row r="6058" spans="1:19" x14ac:dyDescent="0.2">
      <c r="A6058" s="12">
        <f t="shared" ref="A6058:C6058" si="1200">A6057</f>
        <v>45987</v>
      </c>
      <c r="B6058" s="5" t="str">
        <f t="shared" si="1200"/>
        <v>Northern Cardinal</v>
      </c>
      <c r="C6058" s="6">
        <f t="shared" si="1200"/>
        <v>0.28611111111111109</v>
      </c>
      <c r="D6058" s="5"/>
      <c r="E6058" s="5"/>
      <c r="F6058" s="5" t="s">
        <v>8</v>
      </c>
      <c r="G6058" s="15" t="s">
        <v>9</v>
      </c>
      <c r="H6058" s="24">
        <f t="shared" si="1129"/>
        <v>0</v>
      </c>
      <c r="I6058" s="24" cm="1">
        <f t="array" ref="I6058">IFERROR(IF($B6058=I$1, ($A6058+$C6058) - MAX(IF($B$2:$B6057=$B6058, $A$2:$A6057+$C$2:$C6057)), "")*24*60, "")</f>
        <v>0</v>
      </c>
      <c r="J6058" s="24" t="str" cm="1">
        <f t="array" ref="J6058">IFERROR(IF($B6058=J$1, ($A6058+$C6058) - MAX(IF($B$2:$B6057=$B6058, $A$2:$A6057+$C$2:$C6057)), "")*24*60, "")</f>
        <v/>
      </c>
      <c r="K6058" s="24" t="str" cm="1">
        <f t="array" ref="K6058">IFERROR(IF($B6058=K$1, ($A6058+$C6058) - MAX(IF($B$2:$B6057=$B6058, $A$2:$A6057+$C$2:$C6057)), "")*24*60, "")</f>
        <v/>
      </c>
      <c r="L6058" s="24" t="str" cm="1">
        <f t="array" ref="L6058">IFERROR(IF($B6058=L$1, ($A6058+$C6058) - MAX(IF($B$2:$B6057=$B6058, $A$2:$A6057+$C$2:$C6057)), "")*24*60, "")</f>
        <v/>
      </c>
      <c r="M6058" s="24" t="str" cm="1">
        <f t="array" ref="M6058">IFERROR(IF($B6058=M$1, ($A6058+$C6058) - MAX(IF($B$2:$B6057=$B6058, $A$2:$A6057+$C$2:$C6057)), "")*24*60, "")</f>
        <v/>
      </c>
      <c r="N6058" s="24" t="str" cm="1">
        <f t="array" ref="N6058">IFERROR(IF($B6058=N$1, ($A6058+$C6058) - MAX(IF($B$2:$B6057=$B6058, $A$2:$A6057+$C$2:$C6057)), "")*24*60, "")</f>
        <v/>
      </c>
      <c r="O6058" s="24" t="str" cm="1">
        <f t="array" ref="O6058">IFERROR(IF($B6058=O$1, ($A6058+$C6058) - MAX(IF($B$2:$B6057=$B6058, $A$2:$A6057+$C$2:$C6057)), "")*24*60, "")</f>
        <v/>
      </c>
      <c r="P6058" s="24" t="str" cm="1">
        <f t="array" ref="P6058">IFERROR(IF($B6058=P$1, ($A6058+$C6058) - MAX(IF($B$2:$B6057=$B6058, $A$2:$A6057+$C$2:$C6057)), "")*24*60, "")</f>
        <v/>
      </c>
      <c r="Q6058" s="24" t="str" cm="1">
        <f t="array" ref="Q6058">IFERROR(IF($B6058=Q$1, ($A6058+$C6058) - MAX(IF($B$2:$B6057=$B6058, $A$2:$A6057+$C$2:$C6057)), "")*24*60, "")</f>
        <v/>
      </c>
      <c r="R6058" s="24" t="str" cm="1">
        <f t="array" ref="R6058">IFERROR(IF($B6058=R$1, ($A6058+$C6058) - MAX(IF($B$2:$B6057=$B6058, $A$2:$A6057+$C$2:$C6057)), "")*24*60, "")</f>
        <v/>
      </c>
      <c r="S6058" s="24" t="str" cm="1">
        <f t="array" ref="S6058">IFERROR(IF($B6058=S$1, ($A6058+$C6058) - MAX(IF($B$2:$B6057=$B6058, $A$2:$A6057+$C$2:$C6057)), "")*24*60, "")</f>
        <v/>
      </c>
    </row>
    <row r="6059" spans="1:19" x14ac:dyDescent="0.2">
      <c r="A6059" s="12">
        <f t="shared" ref="A6059:C6059" si="1201">A6058</f>
        <v>45987</v>
      </c>
      <c r="B6059" s="5" t="str">
        <f t="shared" si="1201"/>
        <v>Northern Cardinal</v>
      </c>
      <c r="C6059" s="6">
        <f t="shared" si="1201"/>
        <v>0.28611111111111109</v>
      </c>
      <c r="D6059" s="5"/>
      <c r="E6059" s="5"/>
      <c r="F6059" s="5" t="s">
        <v>8</v>
      </c>
      <c r="G6059" s="15" t="s">
        <v>9</v>
      </c>
      <c r="H6059" s="24">
        <f t="shared" si="1129"/>
        <v>0</v>
      </c>
      <c r="I6059" s="24" cm="1">
        <f t="array" ref="I6059">IFERROR(IF($B6059=I$1, ($A6059+$C6059) - MAX(IF($B$2:$B6058=$B6059, $A$2:$A6058+$C$2:$C6058)), "")*24*60, "")</f>
        <v>0</v>
      </c>
      <c r="J6059" s="24" t="str" cm="1">
        <f t="array" ref="J6059">IFERROR(IF($B6059=J$1, ($A6059+$C6059) - MAX(IF($B$2:$B6058=$B6059, $A$2:$A6058+$C$2:$C6058)), "")*24*60, "")</f>
        <v/>
      </c>
      <c r="K6059" s="24" t="str" cm="1">
        <f t="array" ref="K6059">IFERROR(IF($B6059=K$1, ($A6059+$C6059) - MAX(IF($B$2:$B6058=$B6059, $A$2:$A6058+$C$2:$C6058)), "")*24*60, "")</f>
        <v/>
      </c>
      <c r="L6059" s="24" t="str" cm="1">
        <f t="array" ref="L6059">IFERROR(IF($B6059=L$1, ($A6059+$C6059) - MAX(IF($B$2:$B6058=$B6059, $A$2:$A6058+$C$2:$C6058)), "")*24*60, "")</f>
        <v/>
      </c>
      <c r="M6059" s="24" t="str" cm="1">
        <f t="array" ref="M6059">IFERROR(IF($B6059=M$1, ($A6059+$C6059) - MAX(IF($B$2:$B6058=$B6059, $A$2:$A6058+$C$2:$C6058)), "")*24*60, "")</f>
        <v/>
      </c>
      <c r="N6059" s="24" t="str" cm="1">
        <f t="array" ref="N6059">IFERROR(IF($B6059=N$1, ($A6059+$C6059) - MAX(IF($B$2:$B6058=$B6059, $A$2:$A6058+$C$2:$C6058)), "")*24*60, "")</f>
        <v/>
      </c>
      <c r="O6059" s="24" t="str" cm="1">
        <f t="array" ref="O6059">IFERROR(IF($B6059=O$1, ($A6059+$C6059) - MAX(IF($B$2:$B6058=$B6059, $A$2:$A6058+$C$2:$C6058)), "")*24*60, "")</f>
        <v/>
      </c>
      <c r="P6059" s="24" t="str" cm="1">
        <f t="array" ref="P6059">IFERROR(IF($B6059=P$1, ($A6059+$C6059) - MAX(IF($B$2:$B6058=$B6059, $A$2:$A6058+$C$2:$C6058)), "")*24*60, "")</f>
        <v/>
      </c>
      <c r="Q6059" s="24" t="str" cm="1">
        <f t="array" ref="Q6059">IFERROR(IF($B6059=Q$1, ($A6059+$C6059) - MAX(IF($B$2:$B6058=$B6059, $A$2:$A6058+$C$2:$C6058)), "")*24*60, "")</f>
        <v/>
      </c>
      <c r="R6059" s="24" t="str" cm="1">
        <f t="array" ref="R6059">IFERROR(IF($B6059=R$1, ($A6059+$C6059) - MAX(IF($B$2:$B6058=$B6059, $A$2:$A6058+$C$2:$C6058)), "")*24*60, "")</f>
        <v/>
      </c>
      <c r="S6059" s="24" t="str" cm="1">
        <f t="array" ref="S6059">IFERROR(IF($B6059=S$1, ($A6059+$C6059) - MAX(IF($B$2:$B6058=$B6059, $A$2:$A6058+$C$2:$C6058)), "")*24*60, "")</f>
        <v/>
      </c>
    </row>
    <row r="6060" spans="1:19" x14ac:dyDescent="0.2">
      <c r="A6060" s="12">
        <f t="shared" ref="A6060:C6060" si="1202">A6059</f>
        <v>45987</v>
      </c>
      <c r="B6060" s="5" t="str">
        <f t="shared" si="1202"/>
        <v>Northern Cardinal</v>
      </c>
      <c r="C6060" s="6">
        <f t="shared" si="1202"/>
        <v>0.28611111111111109</v>
      </c>
      <c r="D6060" s="5"/>
      <c r="E6060" s="5"/>
      <c r="F6060" s="5" t="s">
        <v>8</v>
      </c>
      <c r="G6060" s="15" t="s">
        <v>9</v>
      </c>
      <c r="H6060" s="24">
        <f t="shared" si="1129"/>
        <v>0</v>
      </c>
      <c r="I6060" s="24" cm="1">
        <f t="array" ref="I6060">IFERROR(IF($B6060=I$1, ($A6060+$C6060) - MAX(IF($B$2:$B6059=$B6060, $A$2:$A6059+$C$2:$C6059)), "")*24*60, "")</f>
        <v>0</v>
      </c>
      <c r="J6060" s="24" t="str" cm="1">
        <f t="array" ref="J6060">IFERROR(IF($B6060=J$1, ($A6060+$C6060) - MAX(IF($B$2:$B6059=$B6060, $A$2:$A6059+$C$2:$C6059)), "")*24*60, "")</f>
        <v/>
      </c>
      <c r="K6060" s="24" t="str" cm="1">
        <f t="array" ref="K6060">IFERROR(IF($B6060=K$1, ($A6060+$C6060) - MAX(IF($B$2:$B6059=$B6060, $A$2:$A6059+$C$2:$C6059)), "")*24*60, "")</f>
        <v/>
      </c>
      <c r="L6060" s="24" t="str" cm="1">
        <f t="array" ref="L6060">IFERROR(IF($B6060=L$1, ($A6060+$C6060) - MAX(IF($B$2:$B6059=$B6060, $A$2:$A6059+$C$2:$C6059)), "")*24*60, "")</f>
        <v/>
      </c>
      <c r="M6060" s="24" t="str" cm="1">
        <f t="array" ref="M6060">IFERROR(IF($B6060=M$1, ($A6060+$C6060) - MAX(IF($B$2:$B6059=$B6060, $A$2:$A6059+$C$2:$C6059)), "")*24*60, "")</f>
        <v/>
      </c>
      <c r="N6060" s="24" t="str" cm="1">
        <f t="array" ref="N6060">IFERROR(IF($B6060=N$1, ($A6060+$C6060) - MAX(IF($B$2:$B6059=$B6060, $A$2:$A6059+$C$2:$C6059)), "")*24*60, "")</f>
        <v/>
      </c>
      <c r="O6060" s="24" t="str" cm="1">
        <f t="array" ref="O6060">IFERROR(IF($B6060=O$1, ($A6060+$C6060) - MAX(IF($B$2:$B6059=$B6060, $A$2:$A6059+$C$2:$C6059)), "")*24*60, "")</f>
        <v/>
      </c>
      <c r="P6060" s="24" t="str" cm="1">
        <f t="array" ref="P6060">IFERROR(IF($B6060=P$1, ($A6060+$C6060) - MAX(IF($B$2:$B6059=$B6060, $A$2:$A6059+$C$2:$C6059)), "")*24*60, "")</f>
        <v/>
      </c>
      <c r="Q6060" s="24" t="str" cm="1">
        <f t="array" ref="Q6060">IFERROR(IF($B6060=Q$1, ($A6060+$C6060) - MAX(IF($B$2:$B6059=$B6060, $A$2:$A6059+$C$2:$C6059)), "")*24*60, "")</f>
        <v/>
      </c>
      <c r="R6060" s="24" t="str" cm="1">
        <f t="array" ref="R6060">IFERROR(IF($B6060=R$1, ($A6060+$C6060) - MAX(IF($B$2:$B6059=$B6060, $A$2:$A6059+$C$2:$C6059)), "")*24*60, "")</f>
        <v/>
      </c>
      <c r="S6060" s="24" t="str" cm="1">
        <f t="array" ref="S6060">IFERROR(IF($B6060=S$1, ($A6060+$C6060) - MAX(IF($B$2:$B6059=$B6060, $A$2:$A6059+$C$2:$C6059)), "")*24*60, "")</f>
        <v/>
      </c>
    </row>
    <row r="6061" spans="1:19" x14ac:dyDescent="0.2">
      <c r="A6061" s="12">
        <f t="shared" ref="A6061:C6061" si="1203">A6060</f>
        <v>45987</v>
      </c>
      <c r="B6061" s="5" t="str">
        <f t="shared" si="1203"/>
        <v>Northern Cardinal</v>
      </c>
      <c r="C6061" s="6">
        <f t="shared" si="1203"/>
        <v>0.28611111111111109</v>
      </c>
      <c r="D6061" s="5"/>
      <c r="E6061" s="5"/>
      <c r="F6061" s="5" t="s">
        <v>8</v>
      </c>
      <c r="G6061" s="15" t="s">
        <v>9</v>
      </c>
      <c r="H6061" s="24">
        <f t="shared" si="1129"/>
        <v>0</v>
      </c>
      <c r="I6061" s="24" cm="1">
        <f t="array" ref="I6061">IFERROR(IF($B6061=I$1, ($A6061+$C6061) - MAX(IF($B$2:$B6060=$B6061, $A$2:$A6060+$C$2:$C6060)), "")*24*60, "")</f>
        <v>0</v>
      </c>
      <c r="J6061" s="24" t="str" cm="1">
        <f t="array" ref="J6061">IFERROR(IF($B6061=J$1, ($A6061+$C6061) - MAX(IF($B$2:$B6060=$B6061, $A$2:$A6060+$C$2:$C6060)), "")*24*60, "")</f>
        <v/>
      </c>
      <c r="K6061" s="24" t="str" cm="1">
        <f t="array" ref="K6061">IFERROR(IF($B6061=K$1, ($A6061+$C6061) - MAX(IF($B$2:$B6060=$B6061, $A$2:$A6060+$C$2:$C6060)), "")*24*60, "")</f>
        <v/>
      </c>
      <c r="L6061" s="24" t="str" cm="1">
        <f t="array" ref="L6061">IFERROR(IF($B6061=L$1, ($A6061+$C6061) - MAX(IF($B$2:$B6060=$B6061, $A$2:$A6060+$C$2:$C6060)), "")*24*60, "")</f>
        <v/>
      </c>
      <c r="M6061" s="24" t="str" cm="1">
        <f t="array" ref="M6061">IFERROR(IF($B6061=M$1, ($A6061+$C6061) - MAX(IF($B$2:$B6060=$B6061, $A$2:$A6060+$C$2:$C6060)), "")*24*60, "")</f>
        <v/>
      </c>
      <c r="N6061" s="24" t="str" cm="1">
        <f t="array" ref="N6061">IFERROR(IF($B6061=N$1, ($A6061+$C6061) - MAX(IF($B$2:$B6060=$B6061, $A$2:$A6060+$C$2:$C6060)), "")*24*60, "")</f>
        <v/>
      </c>
      <c r="O6061" s="24" t="str" cm="1">
        <f t="array" ref="O6061">IFERROR(IF($B6061=O$1, ($A6061+$C6061) - MAX(IF($B$2:$B6060=$B6061, $A$2:$A6060+$C$2:$C6060)), "")*24*60, "")</f>
        <v/>
      </c>
      <c r="P6061" s="24" t="str" cm="1">
        <f t="array" ref="P6061">IFERROR(IF($B6061=P$1, ($A6061+$C6061) - MAX(IF($B$2:$B6060=$B6061, $A$2:$A6060+$C$2:$C6060)), "")*24*60, "")</f>
        <v/>
      </c>
      <c r="Q6061" s="24" t="str" cm="1">
        <f t="array" ref="Q6061">IFERROR(IF($B6061=Q$1, ($A6061+$C6061) - MAX(IF($B$2:$B6060=$B6061, $A$2:$A6060+$C$2:$C6060)), "")*24*60, "")</f>
        <v/>
      </c>
      <c r="R6061" s="24" t="str" cm="1">
        <f t="array" ref="R6061">IFERROR(IF($B6061=R$1, ($A6061+$C6061) - MAX(IF($B$2:$B6060=$B6061, $A$2:$A6060+$C$2:$C6060)), "")*24*60, "")</f>
        <v/>
      </c>
      <c r="S6061" s="24" t="str" cm="1">
        <f t="array" ref="S6061">IFERROR(IF($B6061=S$1, ($A6061+$C6061) - MAX(IF($B$2:$B6060=$B6061, $A$2:$A6060+$C$2:$C6060)), "")*24*60, "")</f>
        <v/>
      </c>
    </row>
    <row r="6062" spans="1:19" x14ac:dyDescent="0.2">
      <c r="A6062" s="12">
        <f t="shared" ref="A6062:C6062" si="1204">A6061</f>
        <v>45987</v>
      </c>
      <c r="B6062" s="5" t="str">
        <f t="shared" si="1204"/>
        <v>Northern Cardinal</v>
      </c>
      <c r="C6062" s="6">
        <f t="shared" si="1204"/>
        <v>0.28611111111111109</v>
      </c>
      <c r="D6062" s="5"/>
      <c r="E6062" s="5"/>
      <c r="F6062" s="5" t="s">
        <v>8</v>
      </c>
      <c r="G6062" s="15" t="s">
        <v>9</v>
      </c>
      <c r="H6062" s="24">
        <f t="shared" si="1129"/>
        <v>0</v>
      </c>
      <c r="I6062" s="24" cm="1">
        <f t="array" ref="I6062">IFERROR(IF($B6062=I$1, ($A6062+$C6062) - MAX(IF($B$2:$B6061=$B6062, $A$2:$A6061+$C$2:$C6061)), "")*24*60, "")</f>
        <v>0</v>
      </c>
      <c r="J6062" s="24" t="str" cm="1">
        <f t="array" ref="J6062">IFERROR(IF($B6062=J$1, ($A6062+$C6062) - MAX(IF($B$2:$B6061=$B6062, $A$2:$A6061+$C$2:$C6061)), "")*24*60, "")</f>
        <v/>
      </c>
      <c r="K6062" s="24" t="str" cm="1">
        <f t="array" ref="K6062">IFERROR(IF($B6062=K$1, ($A6062+$C6062) - MAX(IF($B$2:$B6061=$B6062, $A$2:$A6061+$C$2:$C6061)), "")*24*60, "")</f>
        <v/>
      </c>
      <c r="L6062" s="24" t="str" cm="1">
        <f t="array" ref="L6062">IFERROR(IF($B6062=L$1, ($A6062+$C6062) - MAX(IF($B$2:$B6061=$B6062, $A$2:$A6061+$C$2:$C6061)), "")*24*60, "")</f>
        <v/>
      </c>
      <c r="M6062" s="24" t="str" cm="1">
        <f t="array" ref="M6062">IFERROR(IF($B6062=M$1, ($A6062+$C6062) - MAX(IF($B$2:$B6061=$B6062, $A$2:$A6061+$C$2:$C6061)), "")*24*60, "")</f>
        <v/>
      </c>
      <c r="N6062" s="24" t="str" cm="1">
        <f t="array" ref="N6062">IFERROR(IF($B6062=N$1, ($A6062+$C6062) - MAX(IF($B$2:$B6061=$B6062, $A$2:$A6061+$C$2:$C6061)), "")*24*60, "")</f>
        <v/>
      </c>
      <c r="O6062" s="24" t="str" cm="1">
        <f t="array" ref="O6062">IFERROR(IF($B6062=O$1, ($A6062+$C6062) - MAX(IF($B$2:$B6061=$B6062, $A$2:$A6061+$C$2:$C6061)), "")*24*60, "")</f>
        <v/>
      </c>
      <c r="P6062" s="24" t="str" cm="1">
        <f t="array" ref="P6062">IFERROR(IF($B6062=P$1, ($A6062+$C6062) - MAX(IF($B$2:$B6061=$B6062, $A$2:$A6061+$C$2:$C6061)), "")*24*60, "")</f>
        <v/>
      </c>
      <c r="Q6062" s="24" t="str" cm="1">
        <f t="array" ref="Q6062">IFERROR(IF($B6062=Q$1, ($A6062+$C6062) - MAX(IF($B$2:$B6061=$B6062, $A$2:$A6061+$C$2:$C6061)), "")*24*60, "")</f>
        <v/>
      </c>
      <c r="R6062" s="24" t="str" cm="1">
        <f t="array" ref="R6062">IFERROR(IF($B6062=R$1, ($A6062+$C6062) - MAX(IF($B$2:$B6061=$B6062, $A$2:$A6061+$C$2:$C6061)), "")*24*60, "")</f>
        <v/>
      </c>
      <c r="S6062" s="24" t="str" cm="1">
        <f t="array" ref="S6062">IFERROR(IF($B6062=S$1, ($A6062+$C6062) - MAX(IF($B$2:$B6061=$B6062, $A$2:$A6061+$C$2:$C6061)), "")*24*60, "")</f>
        <v/>
      </c>
    </row>
    <row r="6063" spans="1:19" x14ac:dyDescent="0.2">
      <c r="A6063" s="12">
        <f t="shared" ref="A6063:C6063" si="1205">A6062</f>
        <v>45987</v>
      </c>
      <c r="B6063" s="5" t="str">
        <f t="shared" si="1205"/>
        <v>Northern Cardinal</v>
      </c>
      <c r="C6063" s="6">
        <f t="shared" si="1205"/>
        <v>0.28611111111111109</v>
      </c>
      <c r="D6063" s="5"/>
      <c r="E6063" s="5"/>
      <c r="F6063" s="5" t="s">
        <v>8</v>
      </c>
      <c r="G6063" s="15" t="s">
        <v>9</v>
      </c>
      <c r="H6063" s="24">
        <f t="shared" si="1129"/>
        <v>0</v>
      </c>
      <c r="I6063" s="24" cm="1">
        <f t="array" ref="I6063">IFERROR(IF($B6063=I$1, ($A6063+$C6063) - MAX(IF($B$2:$B6062=$B6063, $A$2:$A6062+$C$2:$C6062)), "")*24*60, "")</f>
        <v>0</v>
      </c>
      <c r="J6063" s="24" t="str" cm="1">
        <f t="array" ref="J6063">IFERROR(IF($B6063=J$1, ($A6063+$C6063) - MAX(IF($B$2:$B6062=$B6063, $A$2:$A6062+$C$2:$C6062)), "")*24*60, "")</f>
        <v/>
      </c>
      <c r="K6063" s="24" t="str" cm="1">
        <f t="array" ref="K6063">IFERROR(IF($B6063=K$1, ($A6063+$C6063) - MAX(IF($B$2:$B6062=$B6063, $A$2:$A6062+$C$2:$C6062)), "")*24*60, "")</f>
        <v/>
      </c>
      <c r="L6063" s="24" t="str" cm="1">
        <f t="array" ref="L6063">IFERROR(IF($B6063=L$1, ($A6063+$C6063) - MAX(IF($B$2:$B6062=$B6063, $A$2:$A6062+$C$2:$C6062)), "")*24*60, "")</f>
        <v/>
      </c>
      <c r="M6063" s="24" t="str" cm="1">
        <f t="array" ref="M6063">IFERROR(IF($B6063=M$1, ($A6063+$C6063) - MAX(IF($B$2:$B6062=$B6063, $A$2:$A6062+$C$2:$C6062)), "")*24*60, "")</f>
        <v/>
      </c>
      <c r="N6063" s="24" t="str" cm="1">
        <f t="array" ref="N6063">IFERROR(IF($B6063=N$1, ($A6063+$C6063) - MAX(IF($B$2:$B6062=$B6063, $A$2:$A6062+$C$2:$C6062)), "")*24*60, "")</f>
        <v/>
      </c>
      <c r="O6063" s="24" t="str" cm="1">
        <f t="array" ref="O6063">IFERROR(IF($B6063=O$1, ($A6063+$C6063) - MAX(IF($B$2:$B6062=$B6063, $A$2:$A6062+$C$2:$C6062)), "")*24*60, "")</f>
        <v/>
      </c>
      <c r="P6063" s="24" t="str" cm="1">
        <f t="array" ref="P6063">IFERROR(IF($B6063=P$1, ($A6063+$C6063) - MAX(IF($B$2:$B6062=$B6063, $A$2:$A6062+$C$2:$C6062)), "")*24*60, "")</f>
        <v/>
      </c>
      <c r="Q6063" s="24" t="str" cm="1">
        <f t="array" ref="Q6063">IFERROR(IF($B6063=Q$1, ($A6063+$C6063) - MAX(IF($B$2:$B6062=$B6063, $A$2:$A6062+$C$2:$C6062)), "")*24*60, "")</f>
        <v/>
      </c>
      <c r="R6063" s="24" t="str" cm="1">
        <f t="array" ref="R6063">IFERROR(IF($B6063=R$1, ($A6063+$C6063) - MAX(IF($B$2:$B6062=$B6063, $A$2:$A6062+$C$2:$C6062)), "")*24*60, "")</f>
        <v/>
      </c>
      <c r="S6063" s="24" t="str" cm="1">
        <f t="array" ref="S6063">IFERROR(IF($B6063=S$1, ($A6063+$C6063) - MAX(IF($B$2:$B6062=$B6063, $A$2:$A6062+$C$2:$C6062)), "")*24*60, "")</f>
        <v/>
      </c>
    </row>
    <row r="6064" spans="1:19" x14ac:dyDescent="0.2">
      <c r="A6064" s="12">
        <f t="shared" ref="A6064:C6064" si="1206">A6063</f>
        <v>45987</v>
      </c>
      <c r="B6064" s="5" t="str">
        <f t="shared" si="1206"/>
        <v>Northern Cardinal</v>
      </c>
      <c r="C6064" s="6">
        <f t="shared" si="1206"/>
        <v>0.28611111111111109</v>
      </c>
      <c r="D6064" s="5"/>
      <c r="E6064" s="5"/>
      <c r="F6064" s="5" t="s">
        <v>8</v>
      </c>
      <c r="G6064" s="15" t="s">
        <v>9</v>
      </c>
      <c r="H6064" s="24">
        <f t="shared" si="1129"/>
        <v>0</v>
      </c>
      <c r="I6064" s="24" cm="1">
        <f t="array" ref="I6064">IFERROR(IF($B6064=I$1, ($A6064+$C6064) - MAX(IF($B$2:$B6063=$B6064, $A$2:$A6063+$C$2:$C6063)), "")*24*60, "")</f>
        <v>0</v>
      </c>
      <c r="J6064" s="24" t="str" cm="1">
        <f t="array" ref="J6064">IFERROR(IF($B6064=J$1, ($A6064+$C6064) - MAX(IF($B$2:$B6063=$B6064, $A$2:$A6063+$C$2:$C6063)), "")*24*60, "")</f>
        <v/>
      </c>
      <c r="K6064" s="24" t="str" cm="1">
        <f t="array" ref="K6064">IFERROR(IF($B6064=K$1, ($A6064+$C6064) - MAX(IF($B$2:$B6063=$B6064, $A$2:$A6063+$C$2:$C6063)), "")*24*60, "")</f>
        <v/>
      </c>
      <c r="L6064" s="24" t="str" cm="1">
        <f t="array" ref="L6064">IFERROR(IF($B6064=L$1, ($A6064+$C6064) - MAX(IF($B$2:$B6063=$B6064, $A$2:$A6063+$C$2:$C6063)), "")*24*60, "")</f>
        <v/>
      </c>
      <c r="M6064" s="24" t="str" cm="1">
        <f t="array" ref="M6064">IFERROR(IF($B6064=M$1, ($A6064+$C6064) - MAX(IF($B$2:$B6063=$B6064, $A$2:$A6063+$C$2:$C6063)), "")*24*60, "")</f>
        <v/>
      </c>
      <c r="N6064" s="24" t="str" cm="1">
        <f t="array" ref="N6064">IFERROR(IF($B6064=N$1, ($A6064+$C6064) - MAX(IF($B$2:$B6063=$B6064, $A$2:$A6063+$C$2:$C6063)), "")*24*60, "")</f>
        <v/>
      </c>
      <c r="O6064" s="24" t="str" cm="1">
        <f t="array" ref="O6064">IFERROR(IF($B6064=O$1, ($A6064+$C6064) - MAX(IF($B$2:$B6063=$B6064, $A$2:$A6063+$C$2:$C6063)), "")*24*60, "")</f>
        <v/>
      </c>
      <c r="P6064" s="24" t="str" cm="1">
        <f t="array" ref="P6064">IFERROR(IF($B6064=P$1, ($A6064+$C6064) - MAX(IF($B$2:$B6063=$B6064, $A$2:$A6063+$C$2:$C6063)), "")*24*60, "")</f>
        <v/>
      </c>
      <c r="Q6064" s="24" t="str" cm="1">
        <f t="array" ref="Q6064">IFERROR(IF($B6064=Q$1, ($A6064+$C6064) - MAX(IF($B$2:$B6063=$B6064, $A$2:$A6063+$C$2:$C6063)), "")*24*60, "")</f>
        <v/>
      </c>
      <c r="R6064" s="24" t="str" cm="1">
        <f t="array" ref="R6064">IFERROR(IF($B6064=R$1, ($A6064+$C6064) - MAX(IF($B$2:$B6063=$B6064, $A$2:$A6063+$C$2:$C6063)), "")*24*60, "")</f>
        <v/>
      </c>
      <c r="S6064" s="24" t="str" cm="1">
        <f t="array" ref="S6064">IFERROR(IF($B6064=S$1, ($A6064+$C6064) - MAX(IF($B$2:$B6063=$B6064, $A$2:$A6063+$C$2:$C6063)), "")*24*60, "")</f>
        <v/>
      </c>
    </row>
    <row r="6065" spans="1:19" x14ac:dyDescent="0.2">
      <c r="A6065" s="12">
        <f t="shared" ref="A6065:C6065" si="1207">A6064</f>
        <v>45987</v>
      </c>
      <c r="B6065" s="5" t="str">
        <f t="shared" si="1207"/>
        <v>Northern Cardinal</v>
      </c>
      <c r="C6065" s="6">
        <f t="shared" si="1207"/>
        <v>0.28611111111111109</v>
      </c>
      <c r="D6065" s="5"/>
      <c r="E6065" s="5"/>
      <c r="F6065" s="5" t="s">
        <v>8</v>
      </c>
      <c r="G6065" s="15" t="s">
        <v>9</v>
      </c>
      <c r="H6065" s="24">
        <f t="shared" si="1129"/>
        <v>0</v>
      </c>
      <c r="I6065" s="24" cm="1">
        <f t="array" ref="I6065">IFERROR(IF($B6065=I$1, ($A6065+$C6065) - MAX(IF($B$2:$B6064=$B6065, $A$2:$A6064+$C$2:$C6064)), "")*24*60, "")</f>
        <v>0</v>
      </c>
      <c r="J6065" s="24" t="str" cm="1">
        <f t="array" ref="J6065">IFERROR(IF($B6065=J$1, ($A6065+$C6065) - MAX(IF($B$2:$B6064=$B6065, $A$2:$A6064+$C$2:$C6064)), "")*24*60, "")</f>
        <v/>
      </c>
      <c r="K6065" s="24" t="str" cm="1">
        <f t="array" ref="K6065">IFERROR(IF($B6065=K$1, ($A6065+$C6065) - MAX(IF($B$2:$B6064=$B6065, $A$2:$A6064+$C$2:$C6064)), "")*24*60, "")</f>
        <v/>
      </c>
      <c r="L6065" s="24" t="str" cm="1">
        <f t="array" ref="L6065">IFERROR(IF($B6065=L$1, ($A6065+$C6065) - MAX(IF($B$2:$B6064=$B6065, $A$2:$A6064+$C$2:$C6064)), "")*24*60, "")</f>
        <v/>
      </c>
      <c r="M6065" s="24" t="str" cm="1">
        <f t="array" ref="M6065">IFERROR(IF($B6065=M$1, ($A6065+$C6065) - MAX(IF($B$2:$B6064=$B6065, $A$2:$A6064+$C$2:$C6064)), "")*24*60, "")</f>
        <v/>
      </c>
      <c r="N6065" s="24" t="str" cm="1">
        <f t="array" ref="N6065">IFERROR(IF($B6065=N$1, ($A6065+$C6065) - MAX(IF($B$2:$B6064=$B6065, $A$2:$A6064+$C$2:$C6064)), "")*24*60, "")</f>
        <v/>
      </c>
      <c r="O6065" s="24" t="str" cm="1">
        <f t="array" ref="O6065">IFERROR(IF($B6065=O$1, ($A6065+$C6065) - MAX(IF($B$2:$B6064=$B6065, $A$2:$A6064+$C$2:$C6064)), "")*24*60, "")</f>
        <v/>
      </c>
      <c r="P6065" s="24" t="str" cm="1">
        <f t="array" ref="P6065">IFERROR(IF($B6065=P$1, ($A6065+$C6065) - MAX(IF($B$2:$B6064=$B6065, $A$2:$A6064+$C$2:$C6064)), "")*24*60, "")</f>
        <v/>
      </c>
      <c r="Q6065" s="24" t="str" cm="1">
        <f t="array" ref="Q6065">IFERROR(IF($B6065=Q$1, ($A6065+$C6065) - MAX(IF($B$2:$B6064=$B6065, $A$2:$A6064+$C$2:$C6064)), "")*24*60, "")</f>
        <v/>
      </c>
      <c r="R6065" s="24" t="str" cm="1">
        <f t="array" ref="R6065">IFERROR(IF($B6065=R$1, ($A6065+$C6065) - MAX(IF($B$2:$B6064=$B6065, $A$2:$A6064+$C$2:$C6064)), "")*24*60, "")</f>
        <v/>
      </c>
      <c r="S6065" s="24" t="str" cm="1">
        <f t="array" ref="S6065">IFERROR(IF($B6065=S$1, ($A6065+$C6065) - MAX(IF($B$2:$B6064=$B6065, $A$2:$A6064+$C$2:$C6064)), "")*24*60, "")</f>
        <v/>
      </c>
    </row>
    <row r="6066" spans="1:19" x14ac:dyDescent="0.2">
      <c r="A6066" s="12">
        <f t="shared" ref="A6066:C6066" si="1208">A6065</f>
        <v>45987</v>
      </c>
      <c r="B6066" s="5" t="str">
        <f t="shared" si="1208"/>
        <v>Northern Cardinal</v>
      </c>
      <c r="C6066" s="6">
        <f t="shared" si="1208"/>
        <v>0.28611111111111109</v>
      </c>
      <c r="D6066" s="5"/>
      <c r="E6066" s="5"/>
      <c r="F6066" s="5" t="s">
        <v>8</v>
      </c>
      <c r="G6066" s="15" t="s">
        <v>9</v>
      </c>
      <c r="H6066" s="24">
        <f t="shared" si="1129"/>
        <v>0</v>
      </c>
      <c r="I6066" s="24" cm="1">
        <f t="array" ref="I6066">IFERROR(IF($B6066=I$1, ($A6066+$C6066) - MAX(IF($B$2:$B6065=$B6066, $A$2:$A6065+$C$2:$C6065)), "")*24*60, "")</f>
        <v>0</v>
      </c>
      <c r="J6066" s="24" t="str" cm="1">
        <f t="array" ref="J6066">IFERROR(IF($B6066=J$1, ($A6066+$C6066) - MAX(IF($B$2:$B6065=$B6066, $A$2:$A6065+$C$2:$C6065)), "")*24*60, "")</f>
        <v/>
      </c>
      <c r="K6066" s="24" t="str" cm="1">
        <f t="array" ref="K6066">IFERROR(IF($B6066=K$1, ($A6066+$C6066) - MAX(IF($B$2:$B6065=$B6066, $A$2:$A6065+$C$2:$C6065)), "")*24*60, "")</f>
        <v/>
      </c>
      <c r="L6066" s="24" t="str" cm="1">
        <f t="array" ref="L6066">IFERROR(IF($B6066=L$1, ($A6066+$C6066) - MAX(IF($B$2:$B6065=$B6066, $A$2:$A6065+$C$2:$C6065)), "")*24*60, "")</f>
        <v/>
      </c>
      <c r="M6066" s="24" t="str" cm="1">
        <f t="array" ref="M6066">IFERROR(IF($B6066=M$1, ($A6066+$C6066) - MAX(IF($B$2:$B6065=$B6066, $A$2:$A6065+$C$2:$C6065)), "")*24*60, "")</f>
        <v/>
      </c>
      <c r="N6066" s="24" t="str" cm="1">
        <f t="array" ref="N6066">IFERROR(IF($B6066=N$1, ($A6066+$C6066) - MAX(IF($B$2:$B6065=$B6066, $A$2:$A6065+$C$2:$C6065)), "")*24*60, "")</f>
        <v/>
      </c>
      <c r="O6066" s="24" t="str" cm="1">
        <f t="array" ref="O6066">IFERROR(IF($B6066=O$1, ($A6066+$C6066) - MAX(IF($B$2:$B6065=$B6066, $A$2:$A6065+$C$2:$C6065)), "")*24*60, "")</f>
        <v/>
      </c>
      <c r="P6066" s="24" t="str" cm="1">
        <f t="array" ref="P6066">IFERROR(IF($B6066=P$1, ($A6066+$C6066) - MAX(IF($B$2:$B6065=$B6066, $A$2:$A6065+$C$2:$C6065)), "")*24*60, "")</f>
        <v/>
      </c>
      <c r="Q6066" s="24" t="str" cm="1">
        <f t="array" ref="Q6066">IFERROR(IF($B6066=Q$1, ($A6066+$C6066) - MAX(IF($B$2:$B6065=$B6066, $A$2:$A6065+$C$2:$C6065)), "")*24*60, "")</f>
        <v/>
      </c>
      <c r="R6066" s="24" t="str" cm="1">
        <f t="array" ref="R6066">IFERROR(IF($B6066=R$1, ($A6066+$C6066) - MAX(IF($B$2:$B6065=$B6066, $A$2:$A6065+$C$2:$C6065)), "")*24*60, "")</f>
        <v/>
      </c>
      <c r="S6066" s="24" t="str" cm="1">
        <f t="array" ref="S6066">IFERROR(IF($B6066=S$1, ($A6066+$C6066) - MAX(IF($B$2:$B6065=$B6066, $A$2:$A6065+$C$2:$C6065)), "")*24*60, "")</f>
        <v/>
      </c>
    </row>
    <row r="6067" spans="1:19" x14ac:dyDescent="0.2">
      <c r="A6067" s="12">
        <f t="shared" ref="A6067:C6067" si="1209">A6066</f>
        <v>45987</v>
      </c>
      <c r="B6067" s="5" t="str">
        <f t="shared" si="1209"/>
        <v>Northern Cardinal</v>
      </c>
      <c r="C6067" s="6">
        <f t="shared" si="1209"/>
        <v>0.28611111111111109</v>
      </c>
      <c r="D6067" s="5"/>
      <c r="E6067" s="5"/>
      <c r="F6067" s="5" t="s">
        <v>8</v>
      </c>
      <c r="G6067" s="15" t="s">
        <v>9</v>
      </c>
      <c r="H6067" s="24">
        <f t="shared" si="1129"/>
        <v>0</v>
      </c>
      <c r="I6067" s="24" cm="1">
        <f t="array" ref="I6067">IFERROR(IF($B6067=I$1, ($A6067+$C6067) - MAX(IF($B$2:$B6066=$B6067, $A$2:$A6066+$C$2:$C6066)), "")*24*60, "")</f>
        <v>0</v>
      </c>
      <c r="J6067" s="24" t="str" cm="1">
        <f t="array" ref="J6067">IFERROR(IF($B6067=J$1, ($A6067+$C6067) - MAX(IF($B$2:$B6066=$B6067, $A$2:$A6066+$C$2:$C6066)), "")*24*60, "")</f>
        <v/>
      </c>
      <c r="K6067" s="24" t="str" cm="1">
        <f t="array" ref="K6067">IFERROR(IF($B6067=K$1, ($A6067+$C6067) - MAX(IF($B$2:$B6066=$B6067, $A$2:$A6066+$C$2:$C6066)), "")*24*60, "")</f>
        <v/>
      </c>
      <c r="L6067" s="24" t="str" cm="1">
        <f t="array" ref="L6067">IFERROR(IF($B6067=L$1, ($A6067+$C6067) - MAX(IF($B$2:$B6066=$B6067, $A$2:$A6066+$C$2:$C6066)), "")*24*60, "")</f>
        <v/>
      </c>
      <c r="M6067" s="24" t="str" cm="1">
        <f t="array" ref="M6067">IFERROR(IF($B6067=M$1, ($A6067+$C6067) - MAX(IF($B$2:$B6066=$B6067, $A$2:$A6066+$C$2:$C6066)), "")*24*60, "")</f>
        <v/>
      </c>
      <c r="N6067" s="24" t="str" cm="1">
        <f t="array" ref="N6067">IFERROR(IF($B6067=N$1, ($A6067+$C6067) - MAX(IF($B$2:$B6066=$B6067, $A$2:$A6066+$C$2:$C6066)), "")*24*60, "")</f>
        <v/>
      </c>
      <c r="O6067" s="24" t="str" cm="1">
        <f t="array" ref="O6067">IFERROR(IF($B6067=O$1, ($A6067+$C6067) - MAX(IF($B$2:$B6066=$B6067, $A$2:$A6066+$C$2:$C6066)), "")*24*60, "")</f>
        <v/>
      </c>
      <c r="P6067" s="24" t="str" cm="1">
        <f t="array" ref="P6067">IFERROR(IF($B6067=P$1, ($A6067+$C6067) - MAX(IF($B$2:$B6066=$B6067, $A$2:$A6066+$C$2:$C6066)), "")*24*60, "")</f>
        <v/>
      </c>
      <c r="Q6067" s="24" t="str" cm="1">
        <f t="array" ref="Q6067">IFERROR(IF($B6067=Q$1, ($A6067+$C6067) - MAX(IF($B$2:$B6066=$B6067, $A$2:$A6066+$C$2:$C6066)), "")*24*60, "")</f>
        <v/>
      </c>
      <c r="R6067" s="24" t="str" cm="1">
        <f t="array" ref="R6067">IFERROR(IF($B6067=R$1, ($A6067+$C6067) - MAX(IF($B$2:$B6066=$B6067, $A$2:$A6066+$C$2:$C6066)), "")*24*60, "")</f>
        <v/>
      </c>
      <c r="S6067" s="24" t="str" cm="1">
        <f t="array" ref="S6067">IFERROR(IF($B6067=S$1, ($A6067+$C6067) - MAX(IF($B$2:$B6066=$B6067, $A$2:$A6066+$C$2:$C6066)), "")*24*60, "")</f>
        <v/>
      </c>
    </row>
    <row r="6068" spans="1:19" x14ac:dyDescent="0.2">
      <c r="A6068" s="12">
        <f t="shared" ref="A6068:C6068" si="1210">A6067</f>
        <v>45987</v>
      </c>
      <c r="B6068" s="5" t="str">
        <f t="shared" si="1210"/>
        <v>Northern Cardinal</v>
      </c>
      <c r="C6068" s="6">
        <f t="shared" si="1210"/>
        <v>0.28611111111111109</v>
      </c>
      <c r="D6068" s="5"/>
      <c r="E6068" s="5"/>
      <c r="F6068" s="5" t="s">
        <v>8</v>
      </c>
      <c r="G6068" s="15" t="s">
        <v>9</v>
      </c>
      <c r="H6068" s="24">
        <f t="shared" si="1129"/>
        <v>0</v>
      </c>
      <c r="I6068" s="24" cm="1">
        <f t="array" ref="I6068">IFERROR(IF($B6068=I$1, ($A6068+$C6068) - MAX(IF($B$2:$B6067=$B6068, $A$2:$A6067+$C$2:$C6067)), "")*24*60, "")</f>
        <v>0</v>
      </c>
      <c r="J6068" s="24" t="str" cm="1">
        <f t="array" ref="J6068">IFERROR(IF($B6068=J$1, ($A6068+$C6068) - MAX(IF($B$2:$B6067=$B6068, $A$2:$A6067+$C$2:$C6067)), "")*24*60, "")</f>
        <v/>
      </c>
      <c r="K6068" s="24" t="str" cm="1">
        <f t="array" ref="K6068">IFERROR(IF($B6068=K$1, ($A6068+$C6068) - MAX(IF($B$2:$B6067=$B6068, $A$2:$A6067+$C$2:$C6067)), "")*24*60, "")</f>
        <v/>
      </c>
      <c r="L6068" s="24" t="str" cm="1">
        <f t="array" ref="L6068">IFERROR(IF($B6068=L$1, ($A6068+$C6068) - MAX(IF($B$2:$B6067=$B6068, $A$2:$A6067+$C$2:$C6067)), "")*24*60, "")</f>
        <v/>
      </c>
      <c r="M6068" s="24" t="str" cm="1">
        <f t="array" ref="M6068">IFERROR(IF($B6068=M$1, ($A6068+$C6068) - MAX(IF($B$2:$B6067=$B6068, $A$2:$A6067+$C$2:$C6067)), "")*24*60, "")</f>
        <v/>
      </c>
      <c r="N6068" s="24" t="str" cm="1">
        <f t="array" ref="N6068">IFERROR(IF($B6068=N$1, ($A6068+$C6068) - MAX(IF($B$2:$B6067=$B6068, $A$2:$A6067+$C$2:$C6067)), "")*24*60, "")</f>
        <v/>
      </c>
      <c r="O6068" s="24" t="str" cm="1">
        <f t="array" ref="O6068">IFERROR(IF($B6068=O$1, ($A6068+$C6068) - MAX(IF($B$2:$B6067=$B6068, $A$2:$A6067+$C$2:$C6067)), "")*24*60, "")</f>
        <v/>
      </c>
      <c r="P6068" s="24" t="str" cm="1">
        <f t="array" ref="P6068">IFERROR(IF($B6068=P$1, ($A6068+$C6068) - MAX(IF($B$2:$B6067=$B6068, $A$2:$A6067+$C$2:$C6067)), "")*24*60, "")</f>
        <v/>
      </c>
      <c r="Q6068" s="24" t="str" cm="1">
        <f t="array" ref="Q6068">IFERROR(IF($B6068=Q$1, ($A6068+$C6068) - MAX(IF($B$2:$B6067=$B6068, $A$2:$A6067+$C$2:$C6067)), "")*24*60, "")</f>
        <v/>
      </c>
      <c r="R6068" s="24" t="str" cm="1">
        <f t="array" ref="R6068">IFERROR(IF($B6068=R$1, ($A6068+$C6068) - MAX(IF($B$2:$B6067=$B6068, $A$2:$A6067+$C$2:$C6067)), "")*24*60, "")</f>
        <v/>
      </c>
      <c r="S6068" s="24" t="str" cm="1">
        <f t="array" ref="S6068">IFERROR(IF($B6068=S$1, ($A6068+$C6068) - MAX(IF($B$2:$B6067=$B6068, $A$2:$A6067+$C$2:$C6067)), "")*24*60, "")</f>
        <v/>
      </c>
    </row>
    <row r="6069" spans="1:19" x14ac:dyDescent="0.2">
      <c r="A6069" s="12">
        <f t="shared" ref="A6069:C6069" si="1211">A6068</f>
        <v>45987</v>
      </c>
      <c r="B6069" s="5" t="str">
        <f t="shared" si="1211"/>
        <v>Northern Cardinal</v>
      </c>
      <c r="C6069" s="6">
        <f t="shared" si="1211"/>
        <v>0.28611111111111109</v>
      </c>
      <c r="D6069" s="5"/>
      <c r="E6069" s="5"/>
      <c r="F6069" s="5" t="s">
        <v>8</v>
      </c>
      <c r="G6069" s="15" t="s">
        <v>9</v>
      </c>
      <c r="H6069" s="24">
        <f t="shared" si="1129"/>
        <v>0</v>
      </c>
      <c r="I6069" s="24" cm="1">
        <f t="array" ref="I6069">IFERROR(IF($B6069=I$1, ($A6069+$C6069) - MAX(IF($B$2:$B6068=$B6069, $A$2:$A6068+$C$2:$C6068)), "")*24*60, "")</f>
        <v>0</v>
      </c>
      <c r="J6069" s="24" t="str" cm="1">
        <f t="array" ref="J6069">IFERROR(IF($B6069=J$1, ($A6069+$C6069) - MAX(IF($B$2:$B6068=$B6069, $A$2:$A6068+$C$2:$C6068)), "")*24*60, "")</f>
        <v/>
      </c>
      <c r="K6069" s="24" t="str" cm="1">
        <f t="array" ref="K6069">IFERROR(IF($B6069=K$1, ($A6069+$C6069) - MAX(IF($B$2:$B6068=$B6069, $A$2:$A6068+$C$2:$C6068)), "")*24*60, "")</f>
        <v/>
      </c>
      <c r="L6069" s="24" t="str" cm="1">
        <f t="array" ref="L6069">IFERROR(IF($B6069=L$1, ($A6069+$C6069) - MAX(IF($B$2:$B6068=$B6069, $A$2:$A6068+$C$2:$C6068)), "")*24*60, "")</f>
        <v/>
      </c>
      <c r="M6069" s="24" t="str" cm="1">
        <f t="array" ref="M6069">IFERROR(IF($B6069=M$1, ($A6069+$C6069) - MAX(IF($B$2:$B6068=$B6069, $A$2:$A6068+$C$2:$C6068)), "")*24*60, "")</f>
        <v/>
      </c>
      <c r="N6069" s="24" t="str" cm="1">
        <f t="array" ref="N6069">IFERROR(IF($B6069=N$1, ($A6069+$C6069) - MAX(IF($B$2:$B6068=$B6069, $A$2:$A6068+$C$2:$C6068)), "")*24*60, "")</f>
        <v/>
      </c>
      <c r="O6069" s="24" t="str" cm="1">
        <f t="array" ref="O6069">IFERROR(IF($B6069=O$1, ($A6069+$C6069) - MAX(IF($B$2:$B6068=$B6069, $A$2:$A6068+$C$2:$C6068)), "")*24*60, "")</f>
        <v/>
      </c>
      <c r="P6069" s="24" t="str" cm="1">
        <f t="array" ref="P6069">IFERROR(IF($B6069=P$1, ($A6069+$C6069) - MAX(IF($B$2:$B6068=$B6069, $A$2:$A6068+$C$2:$C6068)), "")*24*60, "")</f>
        <v/>
      </c>
      <c r="Q6069" s="24" t="str" cm="1">
        <f t="array" ref="Q6069">IFERROR(IF($B6069=Q$1, ($A6069+$C6069) - MAX(IF($B$2:$B6068=$B6069, $A$2:$A6068+$C$2:$C6068)), "")*24*60, "")</f>
        <v/>
      </c>
      <c r="R6069" s="24" t="str" cm="1">
        <f t="array" ref="R6069">IFERROR(IF($B6069=R$1, ($A6069+$C6069) - MAX(IF($B$2:$B6068=$B6069, $A$2:$A6068+$C$2:$C6068)), "")*24*60, "")</f>
        <v/>
      </c>
      <c r="S6069" s="24" t="str" cm="1">
        <f t="array" ref="S6069">IFERROR(IF($B6069=S$1, ($A6069+$C6069) - MAX(IF($B$2:$B6068=$B6069, $A$2:$A6068+$C$2:$C6068)), "")*24*60, "")</f>
        <v/>
      </c>
    </row>
    <row r="6070" spans="1:19" x14ac:dyDescent="0.2">
      <c r="A6070" s="12">
        <f t="shared" ref="A6070:C6070" si="1212">A6069</f>
        <v>45987</v>
      </c>
      <c r="B6070" s="5" t="str">
        <f t="shared" si="1212"/>
        <v>Northern Cardinal</v>
      </c>
      <c r="C6070" s="6">
        <f t="shared" si="1212"/>
        <v>0.28611111111111109</v>
      </c>
      <c r="D6070" s="5"/>
      <c r="E6070" s="5"/>
      <c r="F6070" s="5" t="s">
        <v>8</v>
      </c>
      <c r="G6070" s="15" t="s">
        <v>9</v>
      </c>
      <c r="H6070" s="24">
        <f t="shared" si="1129"/>
        <v>0</v>
      </c>
      <c r="I6070" s="24" cm="1">
        <f t="array" ref="I6070">IFERROR(IF($B6070=I$1, ($A6070+$C6070) - MAX(IF($B$2:$B6069=$B6070, $A$2:$A6069+$C$2:$C6069)), "")*24*60, "")</f>
        <v>0</v>
      </c>
      <c r="J6070" s="24" t="str" cm="1">
        <f t="array" ref="J6070">IFERROR(IF($B6070=J$1, ($A6070+$C6070) - MAX(IF($B$2:$B6069=$B6070, $A$2:$A6069+$C$2:$C6069)), "")*24*60, "")</f>
        <v/>
      </c>
      <c r="K6070" s="24" t="str" cm="1">
        <f t="array" ref="K6070">IFERROR(IF($B6070=K$1, ($A6070+$C6070) - MAX(IF($B$2:$B6069=$B6070, $A$2:$A6069+$C$2:$C6069)), "")*24*60, "")</f>
        <v/>
      </c>
      <c r="L6070" s="24" t="str" cm="1">
        <f t="array" ref="L6070">IFERROR(IF($B6070=L$1, ($A6070+$C6070) - MAX(IF($B$2:$B6069=$B6070, $A$2:$A6069+$C$2:$C6069)), "")*24*60, "")</f>
        <v/>
      </c>
      <c r="M6070" s="24" t="str" cm="1">
        <f t="array" ref="M6070">IFERROR(IF($B6070=M$1, ($A6070+$C6070) - MAX(IF($B$2:$B6069=$B6070, $A$2:$A6069+$C$2:$C6069)), "")*24*60, "")</f>
        <v/>
      </c>
      <c r="N6070" s="24" t="str" cm="1">
        <f t="array" ref="N6070">IFERROR(IF($B6070=N$1, ($A6070+$C6070) - MAX(IF($B$2:$B6069=$B6070, $A$2:$A6069+$C$2:$C6069)), "")*24*60, "")</f>
        <v/>
      </c>
      <c r="O6070" s="24" t="str" cm="1">
        <f t="array" ref="O6070">IFERROR(IF($B6070=O$1, ($A6070+$C6070) - MAX(IF($B$2:$B6069=$B6070, $A$2:$A6069+$C$2:$C6069)), "")*24*60, "")</f>
        <v/>
      </c>
      <c r="P6070" s="24" t="str" cm="1">
        <f t="array" ref="P6070">IFERROR(IF($B6070=P$1, ($A6070+$C6070) - MAX(IF($B$2:$B6069=$B6070, $A$2:$A6069+$C$2:$C6069)), "")*24*60, "")</f>
        <v/>
      </c>
      <c r="Q6070" s="24" t="str" cm="1">
        <f t="array" ref="Q6070">IFERROR(IF($B6070=Q$1, ($A6070+$C6070) - MAX(IF($B$2:$B6069=$B6070, $A$2:$A6069+$C$2:$C6069)), "")*24*60, "")</f>
        <v/>
      </c>
      <c r="R6070" s="24" t="str" cm="1">
        <f t="array" ref="R6070">IFERROR(IF($B6070=R$1, ($A6070+$C6070) - MAX(IF($B$2:$B6069=$B6070, $A$2:$A6069+$C$2:$C6069)), "")*24*60, "")</f>
        <v/>
      </c>
      <c r="S6070" s="24" t="str" cm="1">
        <f t="array" ref="S6070">IFERROR(IF($B6070=S$1, ($A6070+$C6070) - MAX(IF($B$2:$B6069=$B6070, $A$2:$A6069+$C$2:$C6069)), "")*24*60, "")</f>
        <v/>
      </c>
    </row>
    <row r="6071" spans="1:19" x14ac:dyDescent="0.2">
      <c r="A6071" s="12">
        <f t="shared" ref="A6071:C6071" si="1213">A6070</f>
        <v>45987</v>
      </c>
      <c r="B6071" s="5" t="str">
        <f t="shared" si="1213"/>
        <v>Northern Cardinal</v>
      </c>
      <c r="C6071" s="6">
        <f t="shared" si="1213"/>
        <v>0.28611111111111109</v>
      </c>
      <c r="D6071" s="5"/>
      <c r="E6071" s="5"/>
      <c r="F6071" s="5" t="s">
        <v>8</v>
      </c>
      <c r="G6071" s="15" t="s">
        <v>9</v>
      </c>
      <c r="H6071" s="24">
        <f t="shared" si="1129"/>
        <v>0</v>
      </c>
      <c r="I6071" s="24" cm="1">
        <f t="array" ref="I6071">IFERROR(IF($B6071=I$1, ($A6071+$C6071) - MAX(IF($B$2:$B6070=$B6071, $A$2:$A6070+$C$2:$C6070)), "")*24*60, "")</f>
        <v>0</v>
      </c>
      <c r="J6071" s="24" t="str" cm="1">
        <f t="array" ref="J6071">IFERROR(IF($B6071=J$1, ($A6071+$C6071) - MAX(IF($B$2:$B6070=$B6071, $A$2:$A6070+$C$2:$C6070)), "")*24*60, "")</f>
        <v/>
      </c>
      <c r="K6071" s="24" t="str" cm="1">
        <f t="array" ref="K6071">IFERROR(IF($B6071=K$1, ($A6071+$C6071) - MAX(IF($B$2:$B6070=$B6071, $A$2:$A6070+$C$2:$C6070)), "")*24*60, "")</f>
        <v/>
      </c>
      <c r="L6071" s="24" t="str" cm="1">
        <f t="array" ref="L6071">IFERROR(IF($B6071=L$1, ($A6071+$C6071) - MAX(IF($B$2:$B6070=$B6071, $A$2:$A6070+$C$2:$C6070)), "")*24*60, "")</f>
        <v/>
      </c>
      <c r="M6071" s="24" t="str" cm="1">
        <f t="array" ref="M6071">IFERROR(IF($B6071=M$1, ($A6071+$C6071) - MAX(IF($B$2:$B6070=$B6071, $A$2:$A6070+$C$2:$C6070)), "")*24*60, "")</f>
        <v/>
      </c>
      <c r="N6071" s="24" t="str" cm="1">
        <f t="array" ref="N6071">IFERROR(IF($B6071=N$1, ($A6071+$C6071) - MAX(IF($B$2:$B6070=$B6071, $A$2:$A6070+$C$2:$C6070)), "")*24*60, "")</f>
        <v/>
      </c>
      <c r="O6071" s="24" t="str" cm="1">
        <f t="array" ref="O6071">IFERROR(IF($B6071=O$1, ($A6071+$C6071) - MAX(IF($B$2:$B6070=$B6071, $A$2:$A6070+$C$2:$C6070)), "")*24*60, "")</f>
        <v/>
      </c>
      <c r="P6071" s="24" t="str" cm="1">
        <f t="array" ref="P6071">IFERROR(IF($B6071=P$1, ($A6071+$C6071) - MAX(IF($B$2:$B6070=$B6071, $A$2:$A6070+$C$2:$C6070)), "")*24*60, "")</f>
        <v/>
      </c>
      <c r="Q6071" s="24" t="str" cm="1">
        <f t="array" ref="Q6071">IFERROR(IF($B6071=Q$1, ($A6071+$C6071) - MAX(IF($B$2:$B6070=$B6071, $A$2:$A6070+$C$2:$C6070)), "")*24*60, "")</f>
        <v/>
      </c>
      <c r="R6071" s="24" t="str" cm="1">
        <f t="array" ref="R6071">IFERROR(IF($B6071=R$1, ($A6071+$C6071) - MAX(IF($B$2:$B6070=$B6071, $A$2:$A6070+$C$2:$C6070)), "")*24*60, "")</f>
        <v/>
      </c>
      <c r="S6071" s="24" t="str" cm="1">
        <f t="array" ref="S6071">IFERROR(IF($B6071=S$1, ($A6071+$C6071) - MAX(IF($B$2:$B6070=$B6071, $A$2:$A6070+$C$2:$C6070)), "")*24*60, "")</f>
        <v/>
      </c>
    </row>
    <row r="6072" spans="1:19" x14ac:dyDescent="0.2">
      <c r="A6072" s="12">
        <f t="shared" ref="A6072:C6072" si="1214">A6071</f>
        <v>45987</v>
      </c>
      <c r="B6072" s="5" t="str">
        <f t="shared" si="1214"/>
        <v>Northern Cardinal</v>
      </c>
      <c r="C6072" s="6">
        <f t="shared" si="1214"/>
        <v>0.28611111111111109</v>
      </c>
      <c r="D6072" s="5"/>
      <c r="E6072" s="5"/>
      <c r="F6072" s="5" t="s">
        <v>8</v>
      </c>
      <c r="G6072" s="15" t="s">
        <v>9</v>
      </c>
      <c r="H6072" s="24">
        <f t="shared" si="1129"/>
        <v>0</v>
      </c>
      <c r="I6072" s="24" cm="1">
        <f t="array" ref="I6072">IFERROR(IF($B6072=I$1, ($A6072+$C6072) - MAX(IF($B$2:$B6071=$B6072, $A$2:$A6071+$C$2:$C6071)), "")*24*60, "")</f>
        <v>0</v>
      </c>
      <c r="J6072" s="24" t="str" cm="1">
        <f t="array" ref="J6072">IFERROR(IF($B6072=J$1, ($A6072+$C6072) - MAX(IF($B$2:$B6071=$B6072, $A$2:$A6071+$C$2:$C6071)), "")*24*60, "")</f>
        <v/>
      </c>
      <c r="K6072" s="24" t="str" cm="1">
        <f t="array" ref="K6072">IFERROR(IF($B6072=K$1, ($A6072+$C6072) - MAX(IF($B$2:$B6071=$B6072, $A$2:$A6071+$C$2:$C6071)), "")*24*60, "")</f>
        <v/>
      </c>
      <c r="L6072" s="24" t="str" cm="1">
        <f t="array" ref="L6072">IFERROR(IF($B6072=L$1, ($A6072+$C6072) - MAX(IF($B$2:$B6071=$B6072, $A$2:$A6071+$C$2:$C6071)), "")*24*60, "")</f>
        <v/>
      </c>
      <c r="M6072" s="24" t="str" cm="1">
        <f t="array" ref="M6072">IFERROR(IF($B6072=M$1, ($A6072+$C6072) - MAX(IF($B$2:$B6071=$B6072, $A$2:$A6071+$C$2:$C6071)), "")*24*60, "")</f>
        <v/>
      </c>
      <c r="N6072" s="24" t="str" cm="1">
        <f t="array" ref="N6072">IFERROR(IF($B6072=N$1, ($A6072+$C6072) - MAX(IF($B$2:$B6071=$B6072, $A$2:$A6071+$C$2:$C6071)), "")*24*60, "")</f>
        <v/>
      </c>
      <c r="O6072" s="24" t="str" cm="1">
        <f t="array" ref="O6072">IFERROR(IF($B6072=O$1, ($A6072+$C6072) - MAX(IF($B$2:$B6071=$B6072, $A$2:$A6071+$C$2:$C6071)), "")*24*60, "")</f>
        <v/>
      </c>
      <c r="P6072" s="24" t="str" cm="1">
        <f t="array" ref="P6072">IFERROR(IF($B6072=P$1, ($A6072+$C6072) - MAX(IF($B$2:$B6071=$B6072, $A$2:$A6071+$C$2:$C6071)), "")*24*60, "")</f>
        <v/>
      </c>
      <c r="Q6072" s="24" t="str" cm="1">
        <f t="array" ref="Q6072">IFERROR(IF($B6072=Q$1, ($A6072+$C6072) - MAX(IF($B$2:$B6071=$B6072, $A$2:$A6071+$C$2:$C6071)), "")*24*60, "")</f>
        <v/>
      </c>
      <c r="R6072" s="24" t="str" cm="1">
        <f t="array" ref="R6072">IFERROR(IF($B6072=R$1, ($A6072+$C6072) - MAX(IF($B$2:$B6071=$B6072, $A$2:$A6071+$C$2:$C6071)), "")*24*60, "")</f>
        <v/>
      </c>
      <c r="S6072" s="24" t="str" cm="1">
        <f t="array" ref="S6072">IFERROR(IF($B6072=S$1, ($A6072+$C6072) - MAX(IF($B$2:$B6071=$B6072, $A$2:$A6071+$C$2:$C6071)), "")*24*60, "")</f>
        <v/>
      </c>
    </row>
    <row r="6073" spans="1:19" x14ac:dyDescent="0.2">
      <c r="A6073" s="12">
        <f t="shared" ref="A6073:C6073" si="1215">A6072</f>
        <v>45987</v>
      </c>
      <c r="B6073" s="5" t="str">
        <f t="shared" si="1215"/>
        <v>Northern Cardinal</v>
      </c>
      <c r="C6073" s="6">
        <f t="shared" si="1215"/>
        <v>0.28611111111111109</v>
      </c>
      <c r="D6073" s="5"/>
      <c r="E6073" s="5"/>
      <c r="F6073" s="5" t="s">
        <v>8</v>
      </c>
      <c r="G6073" s="15" t="s">
        <v>9</v>
      </c>
      <c r="H6073" s="24">
        <f t="shared" si="1129"/>
        <v>0</v>
      </c>
      <c r="I6073" s="24" cm="1">
        <f t="array" ref="I6073">IFERROR(IF($B6073=I$1, ($A6073+$C6073) - MAX(IF($B$2:$B6072=$B6073, $A$2:$A6072+$C$2:$C6072)), "")*24*60, "")</f>
        <v>0</v>
      </c>
      <c r="J6073" s="24" t="str" cm="1">
        <f t="array" ref="J6073">IFERROR(IF($B6073=J$1, ($A6073+$C6073) - MAX(IF($B$2:$B6072=$B6073, $A$2:$A6072+$C$2:$C6072)), "")*24*60, "")</f>
        <v/>
      </c>
      <c r="K6073" s="24" t="str" cm="1">
        <f t="array" ref="K6073">IFERROR(IF($B6073=K$1, ($A6073+$C6073) - MAX(IF($B$2:$B6072=$B6073, $A$2:$A6072+$C$2:$C6072)), "")*24*60, "")</f>
        <v/>
      </c>
      <c r="L6073" s="24" t="str" cm="1">
        <f t="array" ref="L6073">IFERROR(IF($B6073=L$1, ($A6073+$C6073) - MAX(IF($B$2:$B6072=$B6073, $A$2:$A6072+$C$2:$C6072)), "")*24*60, "")</f>
        <v/>
      </c>
      <c r="M6073" s="24" t="str" cm="1">
        <f t="array" ref="M6073">IFERROR(IF($B6073=M$1, ($A6073+$C6073) - MAX(IF($B$2:$B6072=$B6073, $A$2:$A6072+$C$2:$C6072)), "")*24*60, "")</f>
        <v/>
      </c>
      <c r="N6073" s="24" t="str" cm="1">
        <f t="array" ref="N6073">IFERROR(IF($B6073=N$1, ($A6073+$C6073) - MAX(IF($B$2:$B6072=$B6073, $A$2:$A6072+$C$2:$C6072)), "")*24*60, "")</f>
        <v/>
      </c>
      <c r="O6073" s="24" t="str" cm="1">
        <f t="array" ref="O6073">IFERROR(IF($B6073=O$1, ($A6073+$C6073) - MAX(IF($B$2:$B6072=$B6073, $A$2:$A6072+$C$2:$C6072)), "")*24*60, "")</f>
        <v/>
      </c>
      <c r="P6073" s="24" t="str" cm="1">
        <f t="array" ref="P6073">IFERROR(IF($B6073=P$1, ($A6073+$C6073) - MAX(IF($B$2:$B6072=$B6073, $A$2:$A6072+$C$2:$C6072)), "")*24*60, "")</f>
        <v/>
      </c>
      <c r="Q6073" s="24" t="str" cm="1">
        <f t="array" ref="Q6073">IFERROR(IF($B6073=Q$1, ($A6073+$C6073) - MAX(IF($B$2:$B6072=$B6073, $A$2:$A6072+$C$2:$C6072)), "")*24*60, "")</f>
        <v/>
      </c>
      <c r="R6073" s="24" t="str" cm="1">
        <f t="array" ref="R6073">IFERROR(IF($B6073=R$1, ($A6073+$C6073) - MAX(IF($B$2:$B6072=$B6073, $A$2:$A6072+$C$2:$C6072)), "")*24*60, "")</f>
        <v/>
      </c>
      <c r="S6073" s="24" t="str" cm="1">
        <f t="array" ref="S6073">IFERROR(IF($B6073=S$1, ($A6073+$C6073) - MAX(IF($B$2:$B6072=$B6073, $A$2:$A6072+$C$2:$C6072)), "")*24*60, "")</f>
        <v/>
      </c>
    </row>
    <row r="6074" spans="1:19" x14ac:dyDescent="0.2">
      <c r="A6074" s="12">
        <f t="shared" ref="A6074:C6074" si="1216">A6073</f>
        <v>45987</v>
      </c>
      <c r="B6074" s="5" t="str">
        <f t="shared" si="1216"/>
        <v>Northern Cardinal</v>
      </c>
      <c r="C6074" s="6">
        <f t="shared" si="1216"/>
        <v>0.28611111111111109</v>
      </c>
      <c r="D6074" s="5"/>
      <c r="E6074" s="5"/>
      <c r="F6074" s="5" t="s">
        <v>8</v>
      </c>
      <c r="G6074" s="15" t="s">
        <v>9</v>
      </c>
      <c r="H6074" s="24">
        <f t="shared" si="1129"/>
        <v>0</v>
      </c>
      <c r="I6074" s="24" cm="1">
        <f t="array" ref="I6074">IFERROR(IF($B6074=I$1, ($A6074+$C6074) - MAX(IF($B$2:$B6073=$B6074, $A$2:$A6073+$C$2:$C6073)), "")*24*60, "")</f>
        <v>0</v>
      </c>
      <c r="J6074" s="24" t="str" cm="1">
        <f t="array" ref="J6074">IFERROR(IF($B6074=J$1, ($A6074+$C6074) - MAX(IF($B$2:$B6073=$B6074, $A$2:$A6073+$C$2:$C6073)), "")*24*60, "")</f>
        <v/>
      </c>
      <c r="K6074" s="24" t="str" cm="1">
        <f t="array" ref="K6074">IFERROR(IF($B6074=K$1, ($A6074+$C6074) - MAX(IF($B$2:$B6073=$B6074, $A$2:$A6073+$C$2:$C6073)), "")*24*60, "")</f>
        <v/>
      </c>
      <c r="L6074" s="24" t="str" cm="1">
        <f t="array" ref="L6074">IFERROR(IF($B6074=L$1, ($A6074+$C6074) - MAX(IF($B$2:$B6073=$B6074, $A$2:$A6073+$C$2:$C6073)), "")*24*60, "")</f>
        <v/>
      </c>
      <c r="M6074" s="24" t="str" cm="1">
        <f t="array" ref="M6074">IFERROR(IF($B6074=M$1, ($A6074+$C6074) - MAX(IF($B$2:$B6073=$B6074, $A$2:$A6073+$C$2:$C6073)), "")*24*60, "")</f>
        <v/>
      </c>
      <c r="N6074" s="24" t="str" cm="1">
        <f t="array" ref="N6074">IFERROR(IF($B6074=N$1, ($A6074+$C6074) - MAX(IF($B$2:$B6073=$B6074, $A$2:$A6073+$C$2:$C6073)), "")*24*60, "")</f>
        <v/>
      </c>
      <c r="O6074" s="24" t="str" cm="1">
        <f t="array" ref="O6074">IFERROR(IF($B6074=O$1, ($A6074+$C6074) - MAX(IF($B$2:$B6073=$B6074, $A$2:$A6073+$C$2:$C6073)), "")*24*60, "")</f>
        <v/>
      </c>
      <c r="P6074" s="24" t="str" cm="1">
        <f t="array" ref="P6074">IFERROR(IF($B6074=P$1, ($A6074+$C6074) - MAX(IF($B$2:$B6073=$B6074, $A$2:$A6073+$C$2:$C6073)), "")*24*60, "")</f>
        <v/>
      </c>
      <c r="Q6074" s="24" t="str" cm="1">
        <f t="array" ref="Q6074">IFERROR(IF($B6074=Q$1, ($A6074+$C6074) - MAX(IF($B$2:$B6073=$B6074, $A$2:$A6073+$C$2:$C6073)), "")*24*60, "")</f>
        <v/>
      </c>
      <c r="R6074" s="24" t="str" cm="1">
        <f t="array" ref="R6074">IFERROR(IF($B6074=R$1, ($A6074+$C6074) - MAX(IF($B$2:$B6073=$B6074, $A$2:$A6073+$C$2:$C6073)), "")*24*60, "")</f>
        <v/>
      </c>
      <c r="S6074" s="24" t="str" cm="1">
        <f t="array" ref="S6074">IFERROR(IF($B6074=S$1, ($A6074+$C6074) - MAX(IF($B$2:$B6073=$B6074, $A$2:$A6073+$C$2:$C6073)), "")*24*60, "")</f>
        <v/>
      </c>
    </row>
    <row r="6075" spans="1:19" x14ac:dyDescent="0.2">
      <c r="A6075" s="12">
        <f t="shared" ref="A6075:C6075" si="1217">A6074</f>
        <v>45987</v>
      </c>
      <c r="B6075" s="5" t="str">
        <f t="shared" si="1217"/>
        <v>Northern Cardinal</v>
      </c>
      <c r="C6075" s="6">
        <f t="shared" si="1217"/>
        <v>0.28611111111111109</v>
      </c>
      <c r="D6075" s="5"/>
      <c r="E6075" s="5"/>
      <c r="F6075" s="5" t="s">
        <v>8</v>
      </c>
      <c r="G6075" s="15" t="s">
        <v>9</v>
      </c>
      <c r="H6075" s="24">
        <f t="shared" si="1129"/>
        <v>0</v>
      </c>
      <c r="I6075" s="24" cm="1">
        <f t="array" ref="I6075">IFERROR(IF($B6075=I$1, ($A6075+$C6075) - MAX(IF($B$2:$B6074=$B6075, $A$2:$A6074+$C$2:$C6074)), "")*24*60, "")</f>
        <v>0</v>
      </c>
      <c r="J6075" s="24" t="str" cm="1">
        <f t="array" ref="J6075">IFERROR(IF($B6075=J$1, ($A6075+$C6075) - MAX(IF($B$2:$B6074=$B6075, $A$2:$A6074+$C$2:$C6074)), "")*24*60, "")</f>
        <v/>
      </c>
      <c r="K6075" s="24" t="str" cm="1">
        <f t="array" ref="K6075">IFERROR(IF($B6075=K$1, ($A6075+$C6075) - MAX(IF($B$2:$B6074=$B6075, $A$2:$A6074+$C$2:$C6074)), "")*24*60, "")</f>
        <v/>
      </c>
      <c r="L6075" s="24" t="str" cm="1">
        <f t="array" ref="L6075">IFERROR(IF($B6075=L$1, ($A6075+$C6075) - MAX(IF($B$2:$B6074=$B6075, $A$2:$A6074+$C$2:$C6074)), "")*24*60, "")</f>
        <v/>
      </c>
      <c r="M6075" s="24" t="str" cm="1">
        <f t="array" ref="M6075">IFERROR(IF($B6075=M$1, ($A6075+$C6075) - MAX(IF($B$2:$B6074=$B6075, $A$2:$A6074+$C$2:$C6074)), "")*24*60, "")</f>
        <v/>
      </c>
      <c r="N6075" s="24" t="str" cm="1">
        <f t="array" ref="N6075">IFERROR(IF($B6075=N$1, ($A6075+$C6075) - MAX(IF($B$2:$B6074=$B6075, $A$2:$A6074+$C$2:$C6074)), "")*24*60, "")</f>
        <v/>
      </c>
      <c r="O6075" s="24" t="str" cm="1">
        <f t="array" ref="O6075">IFERROR(IF($B6075=O$1, ($A6075+$C6075) - MAX(IF($B$2:$B6074=$B6075, $A$2:$A6074+$C$2:$C6074)), "")*24*60, "")</f>
        <v/>
      </c>
      <c r="P6075" s="24" t="str" cm="1">
        <f t="array" ref="P6075">IFERROR(IF($B6075=P$1, ($A6075+$C6075) - MAX(IF($B$2:$B6074=$B6075, $A$2:$A6074+$C$2:$C6074)), "")*24*60, "")</f>
        <v/>
      </c>
      <c r="Q6075" s="24" t="str" cm="1">
        <f t="array" ref="Q6075">IFERROR(IF($B6075=Q$1, ($A6075+$C6075) - MAX(IF($B$2:$B6074=$B6075, $A$2:$A6074+$C$2:$C6074)), "")*24*60, "")</f>
        <v/>
      </c>
      <c r="R6075" s="24" t="str" cm="1">
        <f t="array" ref="R6075">IFERROR(IF($B6075=R$1, ($A6075+$C6075) - MAX(IF($B$2:$B6074=$B6075, $A$2:$A6074+$C$2:$C6074)), "")*24*60, "")</f>
        <v/>
      </c>
      <c r="S6075" s="24" t="str" cm="1">
        <f t="array" ref="S6075">IFERROR(IF($B6075=S$1, ($A6075+$C6075) - MAX(IF($B$2:$B6074=$B6075, $A$2:$A6074+$C$2:$C6074)), "")*24*60, "")</f>
        <v/>
      </c>
    </row>
    <row r="6076" spans="1:19" x14ac:dyDescent="0.2">
      <c r="A6076" s="12">
        <f t="shared" ref="A6076:C6076" si="1218">A6075</f>
        <v>45987</v>
      </c>
      <c r="B6076" s="5" t="str">
        <f t="shared" si="1218"/>
        <v>Northern Cardinal</v>
      </c>
      <c r="C6076" s="6">
        <f t="shared" si="1218"/>
        <v>0.28611111111111109</v>
      </c>
      <c r="D6076" s="5"/>
      <c r="E6076" s="5"/>
      <c r="F6076" s="5" t="s">
        <v>8</v>
      </c>
      <c r="G6076" s="15" t="s">
        <v>9</v>
      </c>
      <c r="H6076" s="24">
        <f t="shared" si="1129"/>
        <v>0</v>
      </c>
      <c r="I6076" s="24" cm="1">
        <f t="array" ref="I6076">IFERROR(IF($B6076=I$1, ($A6076+$C6076) - MAX(IF($B$2:$B6075=$B6076, $A$2:$A6075+$C$2:$C6075)), "")*24*60, "")</f>
        <v>0</v>
      </c>
      <c r="J6076" s="24" t="str" cm="1">
        <f t="array" ref="J6076">IFERROR(IF($B6076=J$1, ($A6076+$C6076) - MAX(IF($B$2:$B6075=$B6076, $A$2:$A6075+$C$2:$C6075)), "")*24*60, "")</f>
        <v/>
      </c>
      <c r="K6076" s="24" t="str" cm="1">
        <f t="array" ref="K6076">IFERROR(IF($B6076=K$1, ($A6076+$C6076) - MAX(IF($B$2:$B6075=$B6076, $A$2:$A6075+$C$2:$C6075)), "")*24*60, "")</f>
        <v/>
      </c>
      <c r="L6076" s="24" t="str" cm="1">
        <f t="array" ref="L6076">IFERROR(IF($B6076=L$1, ($A6076+$C6076) - MAX(IF($B$2:$B6075=$B6076, $A$2:$A6075+$C$2:$C6075)), "")*24*60, "")</f>
        <v/>
      </c>
      <c r="M6076" s="24" t="str" cm="1">
        <f t="array" ref="M6076">IFERROR(IF($B6076=M$1, ($A6076+$C6076) - MAX(IF($B$2:$B6075=$B6076, $A$2:$A6075+$C$2:$C6075)), "")*24*60, "")</f>
        <v/>
      </c>
      <c r="N6076" s="24" t="str" cm="1">
        <f t="array" ref="N6076">IFERROR(IF($B6076=N$1, ($A6076+$C6076) - MAX(IF($B$2:$B6075=$B6076, $A$2:$A6075+$C$2:$C6075)), "")*24*60, "")</f>
        <v/>
      </c>
      <c r="O6076" s="24" t="str" cm="1">
        <f t="array" ref="O6076">IFERROR(IF($B6076=O$1, ($A6076+$C6076) - MAX(IF($B$2:$B6075=$B6076, $A$2:$A6075+$C$2:$C6075)), "")*24*60, "")</f>
        <v/>
      </c>
      <c r="P6076" s="24" t="str" cm="1">
        <f t="array" ref="P6076">IFERROR(IF($B6076=P$1, ($A6076+$C6076) - MAX(IF($B$2:$B6075=$B6076, $A$2:$A6075+$C$2:$C6075)), "")*24*60, "")</f>
        <v/>
      </c>
      <c r="Q6076" s="24" t="str" cm="1">
        <f t="array" ref="Q6076">IFERROR(IF($B6076=Q$1, ($A6076+$C6076) - MAX(IF($B$2:$B6075=$B6076, $A$2:$A6075+$C$2:$C6075)), "")*24*60, "")</f>
        <v/>
      </c>
      <c r="R6076" s="24" t="str" cm="1">
        <f t="array" ref="R6076">IFERROR(IF($B6076=R$1, ($A6076+$C6076) - MAX(IF($B$2:$B6075=$B6076, $A$2:$A6075+$C$2:$C6075)), "")*24*60, "")</f>
        <v/>
      </c>
      <c r="S6076" s="24" t="str" cm="1">
        <f t="array" ref="S6076">IFERROR(IF($B6076=S$1, ($A6076+$C6076) - MAX(IF($B$2:$B6075=$B6076, $A$2:$A6075+$C$2:$C6075)), "")*24*60, "")</f>
        <v/>
      </c>
    </row>
    <row r="6077" spans="1:19" x14ac:dyDescent="0.2">
      <c r="A6077" s="12">
        <f t="shared" ref="A6077:C6077" si="1219">A6076</f>
        <v>45987</v>
      </c>
      <c r="B6077" s="5" t="str">
        <f t="shared" si="1219"/>
        <v>Northern Cardinal</v>
      </c>
      <c r="C6077" s="6">
        <f t="shared" si="1219"/>
        <v>0.28611111111111109</v>
      </c>
      <c r="D6077" s="5"/>
      <c r="E6077" s="5"/>
      <c r="F6077" s="5" t="s">
        <v>8</v>
      </c>
      <c r="G6077" s="15" t="s">
        <v>9</v>
      </c>
      <c r="H6077" s="24">
        <f t="shared" si="1129"/>
        <v>0</v>
      </c>
      <c r="I6077" s="24" cm="1">
        <f t="array" ref="I6077">IFERROR(IF($B6077=I$1, ($A6077+$C6077) - MAX(IF($B$2:$B6076=$B6077, $A$2:$A6076+$C$2:$C6076)), "")*24*60, "")</f>
        <v>0</v>
      </c>
      <c r="J6077" s="24" t="str" cm="1">
        <f t="array" ref="J6077">IFERROR(IF($B6077=J$1, ($A6077+$C6077) - MAX(IF($B$2:$B6076=$B6077, $A$2:$A6076+$C$2:$C6076)), "")*24*60, "")</f>
        <v/>
      </c>
      <c r="K6077" s="24" t="str" cm="1">
        <f t="array" ref="K6077">IFERROR(IF($B6077=K$1, ($A6077+$C6077) - MAX(IF($B$2:$B6076=$B6077, $A$2:$A6076+$C$2:$C6076)), "")*24*60, "")</f>
        <v/>
      </c>
      <c r="L6077" s="24" t="str" cm="1">
        <f t="array" ref="L6077">IFERROR(IF($B6077=L$1, ($A6077+$C6077) - MAX(IF($B$2:$B6076=$B6077, $A$2:$A6076+$C$2:$C6076)), "")*24*60, "")</f>
        <v/>
      </c>
      <c r="M6077" s="24" t="str" cm="1">
        <f t="array" ref="M6077">IFERROR(IF($B6077=M$1, ($A6077+$C6077) - MAX(IF($B$2:$B6076=$B6077, $A$2:$A6076+$C$2:$C6076)), "")*24*60, "")</f>
        <v/>
      </c>
      <c r="N6077" s="24" t="str" cm="1">
        <f t="array" ref="N6077">IFERROR(IF($B6077=N$1, ($A6077+$C6077) - MAX(IF($B$2:$B6076=$B6077, $A$2:$A6076+$C$2:$C6076)), "")*24*60, "")</f>
        <v/>
      </c>
      <c r="O6077" s="24" t="str" cm="1">
        <f t="array" ref="O6077">IFERROR(IF($B6077=O$1, ($A6077+$C6077) - MAX(IF($B$2:$B6076=$B6077, $A$2:$A6076+$C$2:$C6076)), "")*24*60, "")</f>
        <v/>
      </c>
      <c r="P6077" s="24" t="str" cm="1">
        <f t="array" ref="P6077">IFERROR(IF($B6077=P$1, ($A6077+$C6077) - MAX(IF($B$2:$B6076=$B6077, $A$2:$A6076+$C$2:$C6076)), "")*24*60, "")</f>
        <v/>
      </c>
      <c r="Q6077" s="24" t="str" cm="1">
        <f t="array" ref="Q6077">IFERROR(IF($B6077=Q$1, ($A6077+$C6077) - MAX(IF($B$2:$B6076=$B6077, $A$2:$A6076+$C$2:$C6076)), "")*24*60, "")</f>
        <v/>
      </c>
      <c r="R6077" s="24" t="str" cm="1">
        <f t="array" ref="R6077">IFERROR(IF($B6077=R$1, ($A6077+$C6077) - MAX(IF($B$2:$B6076=$B6077, $A$2:$A6076+$C$2:$C6076)), "")*24*60, "")</f>
        <v/>
      </c>
      <c r="S6077" s="24" t="str" cm="1">
        <f t="array" ref="S6077">IFERROR(IF($B6077=S$1, ($A6077+$C6077) - MAX(IF($B$2:$B6076=$B6077, $A$2:$A6076+$C$2:$C6076)), "")*24*60, "")</f>
        <v/>
      </c>
    </row>
    <row r="6078" spans="1:19" x14ac:dyDescent="0.2">
      <c r="A6078" s="12">
        <f t="shared" ref="A6078:C6078" si="1220">A6077</f>
        <v>45987</v>
      </c>
      <c r="B6078" s="5" t="str">
        <f t="shared" si="1220"/>
        <v>Northern Cardinal</v>
      </c>
      <c r="C6078" s="6">
        <f t="shared" si="1220"/>
        <v>0.28611111111111109</v>
      </c>
      <c r="D6078" s="5"/>
      <c r="E6078" s="5"/>
      <c r="F6078" s="5" t="s">
        <v>8</v>
      </c>
      <c r="G6078" s="15" t="s">
        <v>9</v>
      </c>
      <c r="H6078" s="24">
        <f t="shared" si="1129"/>
        <v>0</v>
      </c>
      <c r="I6078" s="24" cm="1">
        <f t="array" ref="I6078">IFERROR(IF($B6078=I$1, ($A6078+$C6078) - MAX(IF($B$2:$B6077=$B6078, $A$2:$A6077+$C$2:$C6077)), "")*24*60, "")</f>
        <v>0</v>
      </c>
      <c r="J6078" s="24" t="str" cm="1">
        <f t="array" ref="J6078">IFERROR(IF($B6078=J$1, ($A6078+$C6078) - MAX(IF($B$2:$B6077=$B6078, $A$2:$A6077+$C$2:$C6077)), "")*24*60, "")</f>
        <v/>
      </c>
      <c r="K6078" s="24" t="str" cm="1">
        <f t="array" ref="K6078">IFERROR(IF($B6078=K$1, ($A6078+$C6078) - MAX(IF($B$2:$B6077=$B6078, $A$2:$A6077+$C$2:$C6077)), "")*24*60, "")</f>
        <v/>
      </c>
      <c r="L6078" s="24" t="str" cm="1">
        <f t="array" ref="L6078">IFERROR(IF($B6078=L$1, ($A6078+$C6078) - MAX(IF($B$2:$B6077=$B6078, $A$2:$A6077+$C$2:$C6077)), "")*24*60, "")</f>
        <v/>
      </c>
      <c r="M6078" s="24" t="str" cm="1">
        <f t="array" ref="M6078">IFERROR(IF($B6078=M$1, ($A6078+$C6078) - MAX(IF($B$2:$B6077=$B6078, $A$2:$A6077+$C$2:$C6077)), "")*24*60, "")</f>
        <v/>
      </c>
      <c r="N6078" s="24" t="str" cm="1">
        <f t="array" ref="N6078">IFERROR(IF($B6078=N$1, ($A6078+$C6078) - MAX(IF($B$2:$B6077=$B6078, $A$2:$A6077+$C$2:$C6077)), "")*24*60, "")</f>
        <v/>
      </c>
      <c r="O6078" s="24" t="str" cm="1">
        <f t="array" ref="O6078">IFERROR(IF($B6078=O$1, ($A6078+$C6078) - MAX(IF($B$2:$B6077=$B6078, $A$2:$A6077+$C$2:$C6077)), "")*24*60, "")</f>
        <v/>
      </c>
      <c r="P6078" s="24" t="str" cm="1">
        <f t="array" ref="P6078">IFERROR(IF($B6078=P$1, ($A6078+$C6078) - MAX(IF($B$2:$B6077=$B6078, $A$2:$A6077+$C$2:$C6077)), "")*24*60, "")</f>
        <v/>
      </c>
      <c r="Q6078" s="24" t="str" cm="1">
        <f t="array" ref="Q6078">IFERROR(IF($B6078=Q$1, ($A6078+$C6078) - MAX(IF($B$2:$B6077=$B6078, $A$2:$A6077+$C$2:$C6077)), "")*24*60, "")</f>
        <v/>
      </c>
      <c r="R6078" s="24" t="str" cm="1">
        <f t="array" ref="R6078">IFERROR(IF($B6078=R$1, ($A6078+$C6078) - MAX(IF($B$2:$B6077=$B6078, $A$2:$A6077+$C$2:$C6077)), "")*24*60, "")</f>
        <v/>
      </c>
      <c r="S6078" s="24" t="str" cm="1">
        <f t="array" ref="S6078">IFERROR(IF($B6078=S$1, ($A6078+$C6078) - MAX(IF($B$2:$B6077=$B6078, $A$2:$A6077+$C$2:$C6077)), "")*24*60, "")</f>
        <v/>
      </c>
    </row>
    <row r="6079" spans="1:19" x14ac:dyDescent="0.2">
      <c r="A6079" s="12">
        <f t="shared" ref="A6079:C6079" si="1221">A6078</f>
        <v>45987</v>
      </c>
      <c r="B6079" s="5" t="str">
        <f t="shared" si="1221"/>
        <v>Northern Cardinal</v>
      </c>
      <c r="C6079" s="6">
        <f t="shared" si="1221"/>
        <v>0.28611111111111109</v>
      </c>
      <c r="D6079" s="5"/>
      <c r="E6079" s="5"/>
      <c r="F6079" s="5" t="s">
        <v>8</v>
      </c>
      <c r="G6079" s="15" t="s">
        <v>9</v>
      </c>
      <c r="H6079" s="24">
        <f t="shared" si="1129"/>
        <v>0</v>
      </c>
      <c r="I6079" s="24" cm="1">
        <f t="array" ref="I6079">IFERROR(IF($B6079=I$1, ($A6079+$C6079) - MAX(IF($B$2:$B6078=$B6079, $A$2:$A6078+$C$2:$C6078)), "")*24*60, "")</f>
        <v>0</v>
      </c>
      <c r="J6079" s="24" t="str" cm="1">
        <f t="array" ref="J6079">IFERROR(IF($B6079=J$1, ($A6079+$C6079) - MAX(IF($B$2:$B6078=$B6079, $A$2:$A6078+$C$2:$C6078)), "")*24*60, "")</f>
        <v/>
      </c>
      <c r="K6079" s="24" t="str" cm="1">
        <f t="array" ref="K6079">IFERROR(IF($B6079=K$1, ($A6079+$C6079) - MAX(IF($B$2:$B6078=$B6079, $A$2:$A6078+$C$2:$C6078)), "")*24*60, "")</f>
        <v/>
      </c>
      <c r="L6079" s="24" t="str" cm="1">
        <f t="array" ref="L6079">IFERROR(IF($B6079=L$1, ($A6079+$C6079) - MAX(IF($B$2:$B6078=$B6079, $A$2:$A6078+$C$2:$C6078)), "")*24*60, "")</f>
        <v/>
      </c>
      <c r="M6079" s="24" t="str" cm="1">
        <f t="array" ref="M6079">IFERROR(IF($B6079=M$1, ($A6079+$C6079) - MAX(IF($B$2:$B6078=$B6079, $A$2:$A6078+$C$2:$C6078)), "")*24*60, "")</f>
        <v/>
      </c>
      <c r="N6079" s="24" t="str" cm="1">
        <f t="array" ref="N6079">IFERROR(IF($B6079=N$1, ($A6079+$C6079) - MAX(IF($B$2:$B6078=$B6079, $A$2:$A6078+$C$2:$C6078)), "")*24*60, "")</f>
        <v/>
      </c>
      <c r="O6079" s="24" t="str" cm="1">
        <f t="array" ref="O6079">IFERROR(IF($B6079=O$1, ($A6079+$C6079) - MAX(IF($B$2:$B6078=$B6079, $A$2:$A6078+$C$2:$C6078)), "")*24*60, "")</f>
        <v/>
      </c>
      <c r="P6079" s="24" t="str" cm="1">
        <f t="array" ref="P6079">IFERROR(IF($B6079=P$1, ($A6079+$C6079) - MAX(IF($B$2:$B6078=$B6079, $A$2:$A6078+$C$2:$C6078)), "")*24*60, "")</f>
        <v/>
      </c>
      <c r="Q6079" s="24" t="str" cm="1">
        <f t="array" ref="Q6079">IFERROR(IF($B6079=Q$1, ($A6079+$C6079) - MAX(IF($B$2:$B6078=$B6079, $A$2:$A6078+$C$2:$C6078)), "")*24*60, "")</f>
        <v/>
      </c>
      <c r="R6079" s="24" t="str" cm="1">
        <f t="array" ref="R6079">IFERROR(IF($B6079=R$1, ($A6079+$C6079) - MAX(IF($B$2:$B6078=$B6079, $A$2:$A6078+$C$2:$C6078)), "")*24*60, "")</f>
        <v/>
      </c>
      <c r="S6079" s="24" t="str" cm="1">
        <f t="array" ref="S6079">IFERROR(IF($B6079=S$1, ($A6079+$C6079) - MAX(IF($B$2:$B6078=$B6079, $A$2:$A6078+$C$2:$C6078)), "")*24*60, "")</f>
        <v/>
      </c>
    </row>
    <row r="6080" spans="1:19" x14ac:dyDescent="0.2">
      <c r="A6080" s="12">
        <f t="shared" ref="A6080:C6080" si="1222">A6079</f>
        <v>45987</v>
      </c>
      <c r="B6080" s="5" t="str">
        <f t="shared" si="1222"/>
        <v>Northern Cardinal</v>
      </c>
      <c r="C6080" s="6">
        <f t="shared" si="1222"/>
        <v>0.28611111111111109</v>
      </c>
      <c r="D6080" s="5"/>
      <c r="E6080" s="5"/>
      <c r="F6080" s="5" t="s">
        <v>8</v>
      </c>
      <c r="G6080" s="15" t="s">
        <v>9</v>
      </c>
      <c r="H6080" s="24">
        <f t="shared" si="1129"/>
        <v>0</v>
      </c>
      <c r="I6080" s="24" cm="1">
        <f t="array" ref="I6080">IFERROR(IF($B6080=I$1, ($A6080+$C6080) - MAX(IF($B$2:$B6079=$B6080, $A$2:$A6079+$C$2:$C6079)), "")*24*60, "")</f>
        <v>0</v>
      </c>
      <c r="J6080" s="24" t="str" cm="1">
        <f t="array" ref="J6080">IFERROR(IF($B6080=J$1, ($A6080+$C6080) - MAX(IF($B$2:$B6079=$B6080, $A$2:$A6079+$C$2:$C6079)), "")*24*60, "")</f>
        <v/>
      </c>
      <c r="K6080" s="24" t="str" cm="1">
        <f t="array" ref="K6080">IFERROR(IF($B6080=K$1, ($A6080+$C6080) - MAX(IF($B$2:$B6079=$B6080, $A$2:$A6079+$C$2:$C6079)), "")*24*60, "")</f>
        <v/>
      </c>
      <c r="L6080" s="24" t="str" cm="1">
        <f t="array" ref="L6080">IFERROR(IF($B6080=L$1, ($A6080+$C6080) - MAX(IF($B$2:$B6079=$B6080, $A$2:$A6079+$C$2:$C6079)), "")*24*60, "")</f>
        <v/>
      </c>
      <c r="M6080" s="24" t="str" cm="1">
        <f t="array" ref="M6080">IFERROR(IF($B6080=M$1, ($A6080+$C6080) - MAX(IF($B$2:$B6079=$B6080, $A$2:$A6079+$C$2:$C6079)), "")*24*60, "")</f>
        <v/>
      </c>
      <c r="N6080" s="24" t="str" cm="1">
        <f t="array" ref="N6080">IFERROR(IF($B6080=N$1, ($A6080+$C6080) - MAX(IF($B$2:$B6079=$B6080, $A$2:$A6079+$C$2:$C6079)), "")*24*60, "")</f>
        <v/>
      </c>
      <c r="O6080" s="24" t="str" cm="1">
        <f t="array" ref="O6080">IFERROR(IF($B6080=O$1, ($A6080+$C6080) - MAX(IF($B$2:$B6079=$B6080, $A$2:$A6079+$C$2:$C6079)), "")*24*60, "")</f>
        <v/>
      </c>
      <c r="P6080" s="24" t="str" cm="1">
        <f t="array" ref="P6080">IFERROR(IF($B6080=P$1, ($A6080+$C6080) - MAX(IF($B$2:$B6079=$B6080, $A$2:$A6079+$C$2:$C6079)), "")*24*60, "")</f>
        <v/>
      </c>
      <c r="Q6080" s="24" t="str" cm="1">
        <f t="array" ref="Q6080">IFERROR(IF($B6080=Q$1, ($A6080+$C6080) - MAX(IF($B$2:$B6079=$B6080, $A$2:$A6079+$C$2:$C6079)), "")*24*60, "")</f>
        <v/>
      </c>
      <c r="R6080" s="24" t="str" cm="1">
        <f t="array" ref="R6080">IFERROR(IF($B6080=R$1, ($A6080+$C6080) - MAX(IF($B$2:$B6079=$B6080, $A$2:$A6079+$C$2:$C6079)), "")*24*60, "")</f>
        <v/>
      </c>
      <c r="S6080" s="24" t="str" cm="1">
        <f t="array" ref="S6080">IFERROR(IF($B6080=S$1, ($A6080+$C6080) - MAX(IF($B$2:$B6079=$B6080, $A$2:$A6079+$C$2:$C6079)), "")*24*60, "")</f>
        <v/>
      </c>
    </row>
    <row r="6081" spans="1:19" x14ac:dyDescent="0.2">
      <c r="A6081" s="12">
        <f t="shared" ref="A6081:C6081" si="1223">A6080</f>
        <v>45987</v>
      </c>
      <c r="B6081" s="5" t="str">
        <f t="shared" si="1223"/>
        <v>Northern Cardinal</v>
      </c>
      <c r="C6081" s="6">
        <f t="shared" si="1223"/>
        <v>0.28611111111111109</v>
      </c>
      <c r="D6081" s="5"/>
      <c r="E6081" s="5"/>
      <c r="F6081" s="5" t="s">
        <v>8</v>
      </c>
      <c r="G6081" s="15" t="s">
        <v>9</v>
      </c>
      <c r="H6081" s="24">
        <f t="shared" si="1129"/>
        <v>0</v>
      </c>
      <c r="I6081" s="24" cm="1">
        <f t="array" ref="I6081">IFERROR(IF($B6081=I$1, ($A6081+$C6081) - MAX(IF($B$2:$B6080=$B6081, $A$2:$A6080+$C$2:$C6080)), "")*24*60, "")</f>
        <v>0</v>
      </c>
      <c r="J6081" s="24" t="str" cm="1">
        <f t="array" ref="J6081">IFERROR(IF($B6081=J$1, ($A6081+$C6081) - MAX(IF($B$2:$B6080=$B6081, $A$2:$A6080+$C$2:$C6080)), "")*24*60, "")</f>
        <v/>
      </c>
      <c r="K6081" s="24" t="str" cm="1">
        <f t="array" ref="K6081">IFERROR(IF($B6081=K$1, ($A6081+$C6081) - MAX(IF($B$2:$B6080=$B6081, $A$2:$A6080+$C$2:$C6080)), "")*24*60, "")</f>
        <v/>
      </c>
      <c r="L6081" s="24" t="str" cm="1">
        <f t="array" ref="L6081">IFERROR(IF($B6081=L$1, ($A6081+$C6081) - MAX(IF($B$2:$B6080=$B6081, $A$2:$A6080+$C$2:$C6080)), "")*24*60, "")</f>
        <v/>
      </c>
      <c r="M6081" s="24" t="str" cm="1">
        <f t="array" ref="M6081">IFERROR(IF($B6081=M$1, ($A6081+$C6081) - MAX(IF($B$2:$B6080=$B6081, $A$2:$A6080+$C$2:$C6080)), "")*24*60, "")</f>
        <v/>
      </c>
      <c r="N6081" s="24" t="str" cm="1">
        <f t="array" ref="N6081">IFERROR(IF($B6081=N$1, ($A6081+$C6081) - MAX(IF($B$2:$B6080=$B6081, $A$2:$A6080+$C$2:$C6080)), "")*24*60, "")</f>
        <v/>
      </c>
      <c r="O6081" s="24" t="str" cm="1">
        <f t="array" ref="O6081">IFERROR(IF($B6081=O$1, ($A6081+$C6081) - MAX(IF($B$2:$B6080=$B6081, $A$2:$A6080+$C$2:$C6080)), "")*24*60, "")</f>
        <v/>
      </c>
      <c r="P6081" s="24" t="str" cm="1">
        <f t="array" ref="P6081">IFERROR(IF($B6081=P$1, ($A6081+$C6081) - MAX(IF($B$2:$B6080=$B6081, $A$2:$A6080+$C$2:$C6080)), "")*24*60, "")</f>
        <v/>
      </c>
      <c r="Q6081" s="24" t="str" cm="1">
        <f t="array" ref="Q6081">IFERROR(IF($B6081=Q$1, ($A6081+$C6081) - MAX(IF($B$2:$B6080=$B6081, $A$2:$A6080+$C$2:$C6080)), "")*24*60, "")</f>
        <v/>
      </c>
      <c r="R6081" s="24" t="str" cm="1">
        <f t="array" ref="R6081">IFERROR(IF($B6081=R$1, ($A6081+$C6081) - MAX(IF($B$2:$B6080=$B6081, $A$2:$A6080+$C$2:$C6080)), "")*24*60, "")</f>
        <v/>
      </c>
      <c r="S6081" s="24" t="str" cm="1">
        <f t="array" ref="S6081">IFERROR(IF($B6081=S$1, ($A6081+$C6081) - MAX(IF($B$2:$B6080=$B6081, $A$2:$A6080+$C$2:$C6080)), "")*24*60, "")</f>
        <v/>
      </c>
    </row>
    <row r="6082" spans="1:19" x14ac:dyDescent="0.2">
      <c r="A6082" s="12">
        <f t="shared" ref="A6082:C6082" si="1224">A6081</f>
        <v>45987</v>
      </c>
      <c r="B6082" s="5" t="str">
        <f t="shared" si="1224"/>
        <v>Northern Cardinal</v>
      </c>
      <c r="C6082" s="6">
        <f t="shared" si="1224"/>
        <v>0.28611111111111109</v>
      </c>
      <c r="D6082" s="5"/>
      <c r="E6082" s="5"/>
      <c r="F6082" s="5" t="s">
        <v>8</v>
      </c>
      <c r="G6082" s="15" t="s">
        <v>9</v>
      </c>
      <c r="H6082" s="24">
        <f t="shared" si="1129"/>
        <v>0</v>
      </c>
      <c r="I6082" s="24" cm="1">
        <f t="array" ref="I6082">IFERROR(IF($B6082=I$1, ($A6082+$C6082) - MAX(IF($B$2:$B6081=$B6082, $A$2:$A6081+$C$2:$C6081)), "")*24*60, "")</f>
        <v>0</v>
      </c>
      <c r="J6082" s="24" t="str" cm="1">
        <f t="array" ref="J6082">IFERROR(IF($B6082=J$1, ($A6082+$C6082) - MAX(IF($B$2:$B6081=$B6082, $A$2:$A6081+$C$2:$C6081)), "")*24*60, "")</f>
        <v/>
      </c>
      <c r="K6082" s="24" t="str" cm="1">
        <f t="array" ref="K6082">IFERROR(IF($B6082=K$1, ($A6082+$C6082) - MAX(IF($B$2:$B6081=$B6082, $A$2:$A6081+$C$2:$C6081)), "")*24*60, "")</f>
        <v/>
      </c>
      <c r="L6082" s="24" t="str" cm="1">
        <f t="array" ref="L6082">IFERROR(IF($B6082=L$1, ($A6082+$C6082) - MAX(IF($B$2:$B6081=$B6082, $A$2:$A6081+$C$2:$C6081)), "")*24*60, "")</f>
        <v/>
      </c>
      <c r="M6082" s="24" t="str" cm="1">
        <f t="array" ref="M6082">IFERROR(IF($B6082=M$1, ($A6082+$C6082) - MAX(IF($B$2:$B6081=$B6082, $A$2:$A6081+$C$2:$C6081)), "")*24*60, "")</f>
        <v/>
      </c>
      <c r="N6082" s="24" t="str" cm="1">
        <f t="array" ref="N6082">IFERROR(IF($B6082=N$1, ($A6082+$C6082) - MAX(IF($B$2:$B6081=$B6082, $A$2:$A6081+$C$2:$C6081)), "")*24*60, "")</f>
        <v/>
      </c>
      <c r="O6082" s="24" t="str" cm="1">
        <f t="array" ref="O6082">IFERROR(IF($B6082=O$1, ($A6082+$C6082) - MAX(IF($B$2:$B6081=$B6082, $A$2:$A6081+$C$2:$C6081)), "")*24*60, "")</f>
        <v/>
      </c>
      <c r="P6082" s="24" t="str" cm="1">
        <f t="array" ref="P6082">IFERROR(IF($B6082=P$1, ($A6082+$C6082) - MAX(IF($B$2:$B6081=$B6082, $A$2:$A6081+$C$2:$C6081)), "")*24*60, "")</f>
        <v/>
      </c>
      <c r="Q6082" s="24" t="str" cm="1">
        <f t="array" ref="Q6082">IFERROR(IF($B6082=Q$1, ($A6082+$C6082) - MAX(IF($B$2:$B6081=$B6082, $A$2:$A6081+$C$2:$C6081)), "")*24*60, "")</f>
        <v/>
      </c>
      <c r="R6082" s="24" t="str" cm="1">
        <f t="array" ref="R6082">IFERROR(IF($B6082=R$1, ($A6082+$C6082) - MAX(IF($B$2:$B6081=$B6082, $A$2:$A6081+$C$2:$C6081)), "")*24*60, "")</f>
        <v/>
      </c>
      <c r="S6082" s="24" t="str" cm="1">
        <f t="array" ref="S6082">IFERROR(IF($B6082=S$1, ($A6082+$C6082) - MAX(IF($B$2:$B6081=$B6082, $A$2:$A6081+$C$2:$C6081)), "")*24*60, "")</f>
        <v/>
      </c>
    </row>
    <row r="6083" spans="1:19" x14ac:dyDescent="0.2">
      <c r="A6083" s="12">
        <f t="shared" ref="A6083:C6083" si="1225">A6082</f>
        <v>45987</v>
      </c>
      <c r="B6083" s="5" t="str">
        <f t="shared" si="1225"/>
        <v>Northern Cardinal</v>
      </c>
      <c r="C6083" s="6">
        <f t="shared" si="1225"/>
        <v>0.28611111111111109</v>
      </c>
      <c r="D6083" s="5"/>
      <c r="E6083" s="5"/>
      <c r="F6083" s="5" t="s">
        <v>8</v>
      </c>
      <c r="G6083" s="15" t="s">
        <v>9</v>
      </c>
      <c r="H6083" s="24">
        <f t="shared" si="1129"/>
        <v>0</v>
      </c>
      <c r="I6083" s="24" cm="1">
        <f t="array" ref="I6083">IFERROR(IF($B6083=I$1, ($A6083+$C6083) - MAX(IF($B$2:$B6082=$B6083, $A$2:$A6082+$C$2:$C6082)), "")*24*60, "")</f>
        <v>0</v>
      </c>
      <c r="J6083" s="24" t="str" cm="1">
        <f t="array" ref="J6083">IFERROR(IF($B6083=J$1, ($A6083+$C6083) - MAX(IF($B$2:$B6082=$B6083, $A$2:$A6082+$C$2:$C6082)), "")*24*60, "")</f>
        <v/>
      </c>
      <c r="K6083" s="24" t="str" cm="1">
        <f t="array" ref="K6083">IFERROR(IF($B6083=K$1, ($A6083+$C6083) - MAX(IF($B$2:$B6082=$B6083, $A$2:$A6082+$C$2:$C6082)), "")*24*60, "")</f>
        <v/>
      </c>
      <c r="L6083" s="24" t="str" cm="1">
        <f t="array" ref="L6083">IFERROR(IF($B6083=L$1, ($A6083+$C6083) - MAX(IF($B$2:$B6082=$B6083, $A$2:$A6082+$C$2:$C6082)), "")*24*60, "")</f>
        <v/>
      </c>
      <c r="M6083" s="24" t="str" cm="1">
        <f t="array" ref="M6083">IFERROR(IF($B6083=M$1, ($A6083+$C6083) - MAX(IF($B$2:$B6082=$B6083, $A$2:$A6082+$C$2:$C6082)), "")*24*60, "")</f>
        <v/>
      </c>
      <c r="N6083" s="24" t="str" cm="1">
        <f t="array" ref="N6083">IFERROR(IF($B6083=N$1, ($A6083+$C6083) - MAX(IF($B$2:$B6082=$B6083, $A$2:$A6082+$C$2:$C6082)), "")*24*60, "")</f>
        <v/>
      </c>
      <c r="O6083" s="24" t="str" cm="1">
        <f t="array" ref="O6083">IFERROR(IF($B6083=O$1, ($A6083+$C6083) - MAX(IF($B$2:$B6082=$B6083, $A$2:$A6082+$C$2:$C6082)), "")*24*60, "")</f>
        <v/>
      </c>
      <c r="P6083" s="24" t="str" cm="1">
        <f t="array" ref="P6083">IFERROR(IF($B6083=P$1, ($A6083+$C6083) - MAX(IF($B$2:$B6082=$B6083, $A$2:$A6082+$C$2:$C6082)), "")*24*60, "")</f>
        <v/>
      </c>
      <c r="Q6083" s="24" t="str" cm="1">
        <f t="array" ref="Q6083">IFERROR(IF($B6083=Q$1, ($A6083+$C6083) - MAX(IF($B$2:$B6082=$B6083, $A$2:$A6082+$C$2:$C6082)), "")*24*60, "")</f>
        <v/>
      </c>
      <c r="R6083" s="24" t="str" cm="1">
        <f t="array" ref="R6083">IFERROR(IF($B6083=R$1, ($A6083+$C6083) - MAX(IF($B$2:$B6082=$B6083, $A$2:$A6082+$C$2:$C6082)), "")*24*60, "")</f>
        <v/>
      </c>
      <c r="S6083" s="24" t="str" cm="1">
        <f t="array" ref="S6083">IFERROR(IF($B6083=S$1, ($A6083+$C6083) - MAX(IF($B$2:$B6082=$B6083, $A$2:$A6082+$C$2:$C6082)), "")*24*60, "")</f>
        <v/>
      </c>
    </row>
    <row r="6084" spans="1:19" x14ac:dyDescent="0.2">
      <c r="A6084" s="12">
        <f t="shared" ref="A6084:C6084" si="1226">A6083</f>
        <v>45987</v>
      </c>
      <c r="B6084" s="5" t="str">
        <f t="shared" si="1226"/>
        <v>Northern Cardinal</v>
      </c>
      <c r="C6084" s="6">
        <f t="shared" si="1226"/>
        <v>0.28611111111111109</v>
      </c>
      <c r="D6084" s="5"/>
      <c r="E6084" s="5"/>
      <c r="F6084" s="5" t="s">
        <v>8</v>
      </c>
      <c r="G6084" s="15" t="s">
        <v>9</v>
      </c>
      <c r="H6084" s="24">
        <f t="shared" si="1129"/>
        <v>0</v>
      </c>
      <c r="I6084" s="24" cm="1">
        <f t="array" ref="I6084">IFERROR(IF($B6084=I$1, ($A6084+$C6084) - MAX(IF($B$2:$B6083=$B6084, $A$2:$A6083+$C$2:$C6083)), "")*24*60, "")</f>
        <v>0</v>
      </c>
      <c r="J6084" s="24" t="str" cm="1">
        <f t="array" ref="J6084">IFERROR(IF($B6084=J$1, ($A6084+$C6084) - MAX(IF($B$2:$B6083=$B6084, $A$2:$A6083+$C$2:$C6083)), "")*24*60, "")</f>
        <v/>
      </c>
      <c r="K6084" s="24" t="str" cm="1">
        <f t="array" ref="K6084">IFERROR(IF($B6084=K$1, ($A6084+$C6084) - MAX(IF($B$2:$B6083=$B6084, $A$2:$A6083+$C$2:$C6083)), "")*24*60, "")</f>
        <v/>
      </c>
      <c r="L6084" s="24" t="str" cm="1">
        <f t="array" ref="L6084">IFERROR(IF($B6084=L$1, ($A6084+$C6084) - MAX(IF($B$2:$B6083=$B6084, $A$2:$A6083+$C$2:$C6083)), "")*24*60, "")</f>
        <v/>
      </c>
      <c r="M6084" s="24" t="str" cm="1">
        <f t="array" ref="M6084">IFERROR(IF($B6084=M$1, ($A6084+$C6084) - MAX(IF($B$2:$B6083=$B6084, $A$2:$A6083+$C$2:$C6083)), "")*24*60, "")</f>
        <v/>
      </c>
      <c r="N6084" s="24" t="str" cm="1">
        <f t="array" ref="N6084">IFERROR(IF($B6084=N$1, ($A6084+$C6084) - MAX(IF($B$2:$B6083=$B6084, $A$2:$A6083+$C$2:$C6083)), "")*24*60, "")</f>
        <v/>
      </c>
      <c r="O6084" s="24" t="str" cm="1">
        <f t="array" ref="O6084">IFERROR(IF($B6084=O$1, ($A6084+$C6084) - MAX(IF($B$2:$B6083=$B6084, $A$2:$A6083+$C$2:$C6083)), "")*24*60, "")</f>
        <v/>
      </c>
      <c r="P6084" s="24" t="str" cm="1">
        <f t="array" ref="P6084">IFERROR(IF($B6084=P$1, ($A6084+$C6084) - MAX(IF($B$2:$B6083=$B6084, $A$2:$A6083+$C$2:$C6083)), "")*24*60, "")</f>
        <v/>
      </c>
      <c r="Q6084" s="24" t="str" cm="1">
        <f t="array" ref="Q6084">IFERROR(IF($B6084=Q$1, ($A6084+$C6084) - MAX(IF($B$2:$B6083=$B6084, $A$2:$A6083+$C$2:$C6083)), "")*24*60, "")</f>
        <v/>
      </c>
      <c r="R6084" s="24" t="str" cm="1">
        <f t="array" ref="R6084">IFERROR(IF($B6084=R$1, ($A6084+$C6084) - MAX(IF($B$2:$B6083=$B6084, $A$2:$A6083+$C$2:$C6083)), "")*24*60, "")</f>
        <v/>
      </c>
      <c r="S6084" s="24" t="str" cm="1">
        <f t="array" ref="S6084">IFERROR(IF($B6084=S$1, ($A6084+$C6084) - MAX(IF($B$2:$B6083=$B6084, $A$2:$A6083+$C$2:$C6083)), "")*24*60, "")</f>
        <v/>
      </c>
    </row>
    <row r="6085" spans="1:19" x14ac:dyDescent="0.2">
      <c r="A6085" s="12">
        <f t="shared" ref="A6085:C6085" si="1227">A6084</f>
        <v>45987</v>
      </c>
      <c r="B6085" s="5" t="str">
        <f t="shared" si="1227"/>
        <v>Northern Cardinal</v>
      </c>
      <c r="C6085" s="6">
        <f t="shared" si="1227"/>
        <v>0.28611111111111109</v>
      </c>
      <c r="D6085" s="5"/>
      <c r="E6085" s="5"/>
      <c r="F6085" s="5" t="s">
        <v>8</v>
      </c>
      <c r="G6085" s="15" t="s">
        <v>9</v>
      </c>
      <c r="H6085" s="24">
        <f t="shared" si="1129"/>
        <v>0</v>
      </c>
      <c r="I6085" s="24" cm="1">
        <f t="array" ref="I6085">IFERROR(IF($B6085=I$1, ($A6085+$C6085) - MAX(IF($B$2:$B6084=$B6085, $A$2:$A6084+$C$2:$C6084)), "")*24*60, "")</f>
        <v>0</v>
      </c>
      <c r="J6085" s="24" t="str" cm="1">
        <f t="array" ref="J6085">IFERROR(IF($B6085=J$1, ($A6085+$C6085) - MAX(IF($B$2:$B6084=$B6085, $A$2:$A6084+$C$2:$C6084)), "")*24*60, "")</f>
        <v/>
      </c>
      <c r="K6085" s="24" t="str" cm="1">
        <f t="array" ref="K6085">IFERROR(IF($B6085=K$1, ($A6085+$C6085) - MAX(IF($B$2:$B6084=$B6085, $A$2:$A6084+$C$2:$C6084)), "")*24*60, "")</f>
        <v/>
      </c>
      <c r="L6085" s="24" t="str" cm="1">
        <f t="array" ref="L6085">IFERROR(IF($B6085=L$1, ($A6085+$C6085) - MAX(IF($B$2:$B6084=$B6085, $A$2:$A6084+$C$2:$C6084)), "")*24*60, "")</f>
        <v/>
      </c>
      <c r="M6085" s="24" t="str" cm="1">
        <f t="array" ref="M6085">IFERROR(IF($B6085=M$1, ($A6085+$C6085) - MAX(IF($B$2:$B6084=$B6085, $A$2:$A6084+$C$2:$C6084)), "")*24*60, "")</f>
        <v/>
      </c>
      <c r="N6085" s="24" t="str" cm="1">
        <f t="array" ref="N6085">IFERROR(IF($B6085=N$1, ($A6085+$C6085) - MAX(IF($B$2:$B6084=$B6085, $A$2:$A6084+$C$2:$C6084)), "")*24*60, "")</f>
        <v/>
      </c>
      <c r="O6085" s="24" t="str" cm="1">
        <f t="array" ref="O6085">IFERROR(IF($B6085=O$1, ($A6085+$C6085) - MAX(IF($B$2:$B6084=$B6085, $A$2:$A6084+$C$2:$C6084)), "")*24*60, "")</f>
        <v/>
      </c>
      <c r="P6085" s="24" t="str" cm="1">
        <f t="array" ref="P6085">IFERROR(IF($B6085=P$1, ($A6085+$C6085) - MAX(IF($B$2:$B6084=$B6085, $A$2:$A6084+$C$2:$C6084)), "")*24*60, "")</f>
        <v/>
      </c>
      <c r="Q6085" s="24" t="str" cm="1">
        <f t="array" ref="Q6085">IFERROR(IF($B6085=Q$1, ($A6085+$C6085) - MAX(IF($B$2:$B6084=$B6085, $A$2:$A6084+$C$2:$C6084)), "")*24*60, "")</f>
        <v/>
      </c>
      <c r="R6085" s="24" t="str" cm="1">
        <f t="array" ref="R6085">IFERROR(IF($B6085=R$1, ($A6085+$C6085) - MAX(IF($B$2:$B6084=$B6085, $A$2:$A6084+$C$2:$C6084)), "")*24*60, "")</f>
        <v/>
      </c>
      <c r="S6085" s="24" t="str" cm="1">
        <f t="array" ref="S6085">IFERROR(IF($B6085=S$1, ($A6085+$C6085) - MAX(IF($B$2:$B6084=$B6085, $A$2:$A6084+$C$2:$C6084)), "")*24*60, "")</f>
        <v/>
      </c>
    </row>
    <row r="6086" spans="1:19" x14ac:dyDescent="0.2">
      <c r="A6086" s="12">
        <f t="shared" ref="A6086:C6086" si="1228">A6085</f>
        <v>45987</v>
      </c>
      <c r="B6086" s="5" t="str">
        <f t="shared" si="1228"/>
        <v>Northern Cardinal</v>
      </c>
      <c r="C6086" s="6">
        <f t="shared" si="1228"/>
        <v>0.28611111111111109</v>
      </c>
      <c r="D6086" s="5"/>
      <c r="E6086" s="5"/>
      <c r="F6086" s="5" t="s">
        <v>8</v>
      </c>
      <c r="G6086" s="15" t="s">
        <v>9</v>
      </c>
      <c r="H6086" s="24">
        <f t="shared" si="1129"/>
        <v>0</v>
      </c>
      <c r="I6086" s="24" cm="1">
        <f t="array" ref="I6086">IFERROR(IF($B6086=I$1, ($A6086+$C6086) - MAX(IF($B$2:$B6085=$B6086, $A$2:$A6085+$C$2:$C6085)), "")*24*60, "")</f>
        <v>0</v>
      </c>
      <c r="J6086" s="24" t="str" cm="1">
        <f t="array" ref="J6086">IFERROR(IF($B6086=J$1, ($A6086+$C6086) - MAX(IF($B$2:$B6085=$B6086, $A$2:$A6085+$C$2:$C6085)), "")*24*60, "")</f>
        <v/>
      </c>
      <c r="K6086" s="24" t="str" cm="1">
        <f t="array" ref="K6086">IFERROR(IF($B6086=K$1, ($A6086+$C6086) - MAX(IF($B$2:$B6085=$B6086, $A$2:$A6085+$C$2:$C6085)), "")*24*60, "")</f>
        <v/>
      </c>
      <c r="L6086" s="24" t="str" cm="1">
        <f t="array" ref="L6086">IFERROR(IF($B6086=L$1, ($A6086+$C6086) - MAX(IF($B$2:$B6085=$B6086, $A$2:$A6085+$C$2:$C6085)), "")*24*60, "")</f>
        <v/>
      </c>
      <c r="M6086" s="24" t="str" cm="1">
        <f t="array" ref="M6086">IFERROR(IF($B6086=M$1, ($A6086+$C6086) - MAX(IF($B$2:$B6085=$B6086, $A$2:$A6085+$C$2:$C6085)), "")*24*60, "")</f>
        <v/>
      </c>
      <c r="N6086" s="24" t="str" cm="1">
        <f t="array" ref="N6086">IFERROR(IF($B6086=N$1, ($A6086+$C6086) - MAX(IF($B$2:$B6085=$B6086, $A$2:$A6085+$C$2:$C6085)), "")*24*60, "")</f>
        <v/>
      </c>
      <c r="O6086" s="24" t="str" cm="1">
        <f t="array" ref="O6086">IFERROR(IF($B6086=O$1, ($A6086+$C6086) - MAX(IF($B$2:$B6085=$B6086, $A$2:$A6085+$C$2:$C6085)), "")*24*60, "")</f>
        <v/>
      </c>
      <c r="P6086" s="24" t="str" cm="1">
        <f t="array" ref="P6086">IFERROR(IF($B6086=P$1, ($A6086+$C6086) - MAX(IF($B$2:$B6085=$B6086, $A$2:$A6085+$C$2:$C6085)), "")*24*60, "")</f>
        <v/>
      </c>
      <c r="Q6086" s="24" t="str" cm="1">
        <f t="array" ref="Q6086">IFERROR(IF($B6086=Q$1, ($A6086+$C6086) - MAX(IF($B$2:$B6085=$B6086, $A$2:$A6085+$C$2:$C6085)), "")*24*60, "")</f>
        <v/>
      </c>
      <c r="R6086" s="24" t="str" cm="1">
        <f t="array" ref="R6086">IFERROR(IF($B6086=R$1, ($A6086+$C6086) - MAX(IF($B$2:$B6085=$B6086, $A$2:$A6085+$C$2:$C6085)), "")*24*60, "")</f>
        <v/>
      </c>
      <c r="S6086" s="24" t="str" cm="1">
        <f t="array" ref="S6086">IFERROR(IF($B6086=S$1, ($A6086+$C6086) - MAX(IF($B$2:$B6085=$B6086, $A$2:$A6085+$C$2:$C6085)), "")*24*60, "")</f>
        <v/>
      </c>
    </row>
    <row r="6087" spans="1:19" x14ac:dyDescent="0.2">
      <c r="A6087" s="12">
        <f t="shared" ref="A6087:C6087" si="1229">A6086</f>
        <v>45987</v>
      </c>
      <c r="B6087" s="5" t="str">
        <f t="shared" si="1229"/>
        <v>Northern Cardinal</v>
      </c>
      <c r="C6087" s="6">
        <f t="shared" si="1229"/>
        <v>0.28611111111111109</v>
      </c>
      <c r="D6087" s="5"/>
      <c r="E6087" s="5"/>
      <c r="F6087" s="5" t="s">
        <v>8</v>
      </c>
      <c r="G6087" s="15" t="s">
        <v>9</v>
      </c>
      <c r="H6087" s="24">
        <f t="shared" si="1129"/>
        <v>0</v>
      </c>
      <c r="I6087" s="24" cm="1">
        <f t="array" ref="I6087">IFERROR(IF($B6087=I$1, ($A6087+$C6087) - MAX(IF($B$2:$B6086=$B6087, $A$2:$A6086+$C$2:$C6086)), "")*24*60, "")</f>
        <v>0</v>
      </c>
      <c r="J6087" s="24" t="str" cm="1">
        <f t="array" ref="J6087">IFERROR(IF($B6087=J$1, ($A6087+$C6087) - MAX(IF($B$2:$B6086=$B6087, $A$2:$A6086+$C$2:$C6086)), "")*24*60, "")</f>
        <v/>
      </c>
      <c r="K6087" s="24" t="str" cm="1">
        <f t="array" ref="K6087">IFERROR(IF($B6087=K$1, ($A6087+$C6087) - MAX(IF($B$2:$B6086=$B6087, $A$2:$A6086+$C$2:$C6086)), "")*24*60, "")</f>
        <v/>
      </c>
      <c r="L6087" s="24" t="str" cm="1">
        <f t="array" ref="L6087">IFERROR(IF($B6087=L$1, ($A6087+$C6087) - MAX(IF($B$2:$B6086=$B6087, $A$2:$A6086+$C$2:$C6086)), "")*24*60, "")</f>
        <v/>
      </c>
      <c r="M6087" s="24" t="str" cm="1">
        <f t="array" ref="M6087">IFERROR(IF($B6087=M$1, ($A6087+$C6087) - MAX(IF($B$2:$B6086=$B6087, $A$2:$A6086+$C$2:$C6086)), "")*24*60, "")</f>
        <v/>
      </c>
      <c r="N6087" s="24" t="str" cm="1">
        <f t="array" ref="N6087">IFERROR(IF($B6087=N$1, ($A6087+$C6087) - MAX(IF($B$2:$B6086=$B6087, $A$2:$A6086+$C$2:$C6086)), "")*24*60, "")</f>
        <v/>
      </c>
      <c r="O6087" s="24" t="str" cm="1">
        <f t="array" ref="O6087">IFERROR(IF($B6087=O$1, ($A6087+$C6087) - MAX(IF($B$2:$B6086=$B6087, $A$2:$A6086+$C$2:$C6086)), "")*24*60, "")</f>
        <v/>
      </c>
      <c r="P6087" s="24" t="str" cm="1">
        <f t="array" ref="P6087">IFERROR(IF($B6087=P$1, ($A6087+$C6087) - MAX(IF($B$2:$B6086=$B6087, $A$2:$A6086+$C$2:$C6086)), "")*24*60, "")</f>
        <v/>
      </c>
      <c r="Q6087" s="24" t="str" cm="1">
        <f t="array" ref="Q6087">IFERROR(IF($B6087=Q$1, ($A6087+$C6087) - MAX(IF($B$2:$B6086=$B6087, $A$2:$A6086+$C$2:$C6086)), "")*24*60, "")</f>
        <v/>
      </c>
      <c r="R6087" s="24" t="str" cm="1">
        <f t="array" ref="R6087">IFERROR(IF($B6087=R$1, ($A6087+$C6087) - MAX(IF($B$2:$B6086=$B6087, $A$2:$A6086+$C$2:$C6086)), "")*24*60, "")</f>
        <v/>
      </c>
      <c r="S6087" s="24" t="str" cm="1">
        <f t="array" ref="S6087">IFERROR(IF($B6087=S$1, ($A6087+$C6087) - MAX(IF($B$2:$B6086=$B6087, $A$2:$A6086+$C$2:$C6086)), "")*24*60, "")</f>
        <v/>
      </c>
    </row>
    <row r="6088" spans="1:19" x14ac:dyDescent="0.2">
      <c r="A6088" s="12">
        <f t="shared" ref="A6088:C6088" si="1230">A6087</f>
        <v>45987</v>
      </c>
      <c r="B6088" s="5" t="str">
        <f t="shared" si="1230"/>
        <v>Northern Cardinal</v>
      </c>
      <c r="C6088" s="6">
        <f t="shared" si="1230"/>
        <v>0.28611111111111109</v>
      </c>
      <c r="D6088" s="5"/>
      <c r="E6088" s="5"/>
      <c r="F6088" s="5" t="s">
        <v>8</v>
      </c>
      <c r="G6088" s="15" t="s">
        <v>9</v>
      </c>
      <c r="H6088" s="24">
        <f t="shared" si="1129"/>
        <v>0</v>
      </c>
      <c r="I6088" s="24" cm="1">
        <f t="array" ref="I6088">IFERROR(IF($B6088=I$1, ($A6088+$C6088) - MAX(IF($B$2:$B6087=$B6088, $A$2:$A6087+$C$2:$C6087)), "")*24*60, "")</f>
        <v>0</v>
      </c>
      <c r="J6088" s="24" t="str" cm="1">
        <f t="array" ref="J6088">IFERROR(IF($B6088=J$1, ($A6088+$C6088) - MAX(IF($B$2:$B6087=$B6088, $A$2:$A6087+$C$2:$C6087)), "")*24*60, "")</f>
        <v/>
      </c>
      <c r="K6088" s="24" t="str" cm="1">
        <f t="array" ref="K6088">IFERROR(IF($B6088=K$1, ($A6088+$C6088) - MAX(IF($B$2:$B6087=$B6088, $A$2:$A6087+$C$2:$C6087)), "")*24*60, "")</f>
        <v/>
      </c>
      <c r="L6088" s="24" t="str" cm="1">
        <f t="array" ref="L6088">IFERROR(IF($B6088=L$1, ($A6088+$C6088) - MAX(IF($B$2:$B6087=$B6088, $A$2:$A6087+$C$2:$C6087)), "")*24*60, "")</f>
        <v/>
      </c>
      <c r="M6088" s="24" t="str" cm="1">
        <f t="array" ref="M6088">IFERROR(IF($B6088=M$1, ($A6088+$C6088) - MAX(IF($B$2:$B6087=$B6088, $A$2:$A6087+$C$2:$C6087)), "")*24*60, "")</f>
        <v/>
      </c>
      <c r="N6088" s="24" t="str" cm="1">
        <f t="array" ref="N6088">IFERROR(IF($B6088=N$1, ($A6088+$C6088) - MAX(IF($B$2:$B6087=$B6088, $A$2:$A6087+$C$2:$C6087)), "")*24*60, "")</f>
        <v/>
      </c>
      <c r="O6088" s="24" t="str" cm="1">
        <f t="array" ref="O6088">IFERROR(IF($B6088=O$1, ($A6088+$C6088) - MAX(IF($B$2:$B6087=$B6088, $A$2:$A6087+$C$2:$C6087)), "")*24*60, "")</f>
        <v/>
      </c>
      <c r="P6088" s="24" t="str" cm="1">
        <f t="array" ref="P6088">IFERROR(IF($B6088=P$1, ($A6088+$C6088) - MAX(IF($B$2:$B6087=$B6088, $A$2:$A6087+$C$2:$C6087)), "")*24*60, "")</f>
        <v/>
      </c>
      <c r="Q6088" s="24" t="str" cm="1">
        <f t="array" ref="Q6088">IFERROR(IF($B6088=Q$1, ($A6088+$C6088) - MAX(IF($B$2:$B6087=$B6088, $A$2:$A6087+$C$2:$C6087)), "")*24*60, "")</f>
        <v/>
      </c>
      <c r="R6088" s="24" t="str" cm="1">
        <f t="array" ref="R6088">IFERROR(IF($B6088=R$1, ($A6088+$C6088) - MAX(IF($B$2:$B6087=$B6088, $A$2:$A6087+$C$2:$C6087)), "")*24*60, "")</f>
        <v/>
      </c>
      <c r="S6088" s="24" t="str" cm="1">
        <f t="array" ref="S6088">IFERROR(IF($B6088=S$1, ($A6088+$C6088) - MAX(IF($B$2:$B6087=$B6088, $A$2:$A6087+$C$2:$C6087)), "")*24*60, "")</f>
        <v/>
      </c>
    </row>
    <row r="6089" spans="1:19" x14ac:dyDescent="0.2">
      <c r="A6089" s="12">
        <f t="shared" ref="A6089:C6089" si="1231">A6088</f>
        <v>45987</v>
      </c>
      <c r="B6089" s="5" t="str">
        <f t="shared" si="1231"/>
        <v>Northern Cardinal</v>
      </c>
      <c r="C6089" s="6">
        <f t="shared" si="1231"/>
        <v>0.28611111111111109</v>
      </c>
      <c r="D6089" s="5"/>
      <c r="E6089" s="5"/>
      <c r="F6089" s="5" t="s">
        <v>8</v>
      </c>
      <c r="G6089" s="15" t="s">
        <v>9</v>
      </c>
      <c r="H6089" s="24">
        <f t="shared" si="1129"/>
        <v>0</v>
      </c>
      <c r="I6089" s="24" cm="1">
        <f t="array" ref="I6089">IFERROR(IF($B6089=I$1, ($A6089+$C6089) - MAX(IF($B$2:$B6088=$B6089, $A$2:$A6088+$C$2:$C6088)), "")*24*60, "")</f>
        <v>0</v>
      </c>
      <c r="J6089" s="24" t="str" cm="1">
        <f t="array" ref="J6089">IFERROR(IF($B6089=J$1, ($A6089+$C6089) - MAX(IF($B$2:$B6088=$B6089, $A$2:$A6088+$C$2:$C6088)), "")*24*60, "")</f>
        <v/>
      </c>
      <c r="K6089" s="24" t="str" cm="1">
        <f t="array" ref="K6089">IFERROR(IF($B6089=K$1, ($A6089+$C6089) - MAX(IF($B$2:$B6088=$B6089, $A$2:$A6088+$C$2:$C6088)), "")*24*60, "")</f>
        <v/>
      </c>
      <c r="L6089" s="24" t="str" cm="1">
        <f t="array" ref="L6089">IFERROR(IF($B6089=L$1, ($A6089+$C6089) - MAX(IF($B$2:$B6088=$B6089, $A$2:$A6088+$C$2:$C6088)), "")*24*60, "")</f>
        <v/>
      </c>
      <c r="M6089" s="24" t="str" cm="1">
        <f t="array" ref="M6089">IFERROR(IF($B6089=M$1, ($A6089+$C6089) - MAX(IF($B$2:$B6088=$B6089, $A$2:$A6088+$C$2:$C6088)), "")*24*60, "")</f>
        <v/>
      </c>
      <c r="N6089" s="24" t="str" cm="1">
        <f t="array" ref="N6089">IFERROR(IF($B6089=N$1, ($A6089+$C6089) - MAX(IF($B$2:$B6088=$B6089, $A$2:$A6088+$C$2:$C6088)), "")*24*60, "")</f>
        <v/>
      </c>
      <c r="O6089" s="24" t="str" cm="1">
        <f t="array" ref="O6089">IFERROR(IF($B6089=O$1, ($A6089+$C6089) - MAX(IF($B$2:$B6088=$B6089, $A$2:$A6088+$C$2:$C6088)), "")*24*60, "")</f>
        <v/>
      </c>
      <c r="P6089" s="24" t="str" cm="1">
        <f t="array" ref="P6089">IFERROR(IF($B6089=P$1, ($A6089+$C6089) - MAX(IF($B$2:$B6088=$B6089, $A$2:$A6088+$C$2:$C6088)), "")*24*60, "")</f>
        <v/>
      </c>
      <c r="Q6089" s="24" t="str" cm="1">
        <f t="array" ref="Q6089">IFERROR(IF($B6089=Q$1, ($A6089+$C6089) - MAX(IF($B$2:$B6088=$B6089, $A$2:$A6088+$C$2:$C6088)), "")*24*60, "")</f>
        <v/>
      </c>
      <c r="R6089" s="24" t="str" cm="1">
        <f t="array" ref="R6089">IFERROR(IF($B6089=R$1, ($A6089+$C6089) - MAX(IF($B$2:$B6088=$B6089, $A$2:$A6088+$C$2:$C6088)), "")*24*60, "")</f>
        <v/>
      </c>
      <c r="S6089" s="24" t="str" cm="1">
        <f t="array" ref="S6089">IFERROR(IF($B6089=S$1, ($A6089+$C6089) - MAX(IF($B$2:$B6088=$B6089, $A$2:$A6088+$C$2:$C6088)), "")*24*60, "")</f>
        <v/>
      </c>
    </row>
    <row r="6090" spans="1:19" x14ac:dyDescent="0.2">
      <c r="A6090" s="12">
        <f t="shared" ref="A6090:C6090" si="1232">A6089</f>
        <v>45987</v>
      </c>
      <c r="B6090" s="5" t="str">
        <f t="shared" si="1232"/>
        <v>Northern Cardinal</v>
      </c>
      <c r="C6090" s="6">
        <f t="shared" si="1232"/>
        <v>0.28611111111111109</v>
      </c>
      <c r="D6090" s="5"/>
      <c r="E6090" s="5"/>
      <c r="F6090" s="5" t="s">
        <v>8</v>
      </c>
      <c r="G6090" s="15" t="s">
        <v>9</v>
      </c>
      <c r="H6090" s="24">
        <f t="shared" si="1129"/>
        <v>0</v>
      </c>
      <c r="I6090" s="24" cm="1">
        <f t="array" ref="I6090">IFERROR(IF($B6090=I$1, ($A6090+$C6090) - MAX(IF($B$2:$B6089=$B6090, $A$2:$A6089+$C$2:$C6089)), "")*24*60, "")</f>
        <v>0</v>
      </c>
      <c r="J6090" s="24" t="str" cm="1">
        <f t="array" ref="J6090">IFERROR(IF($B6090=J$1, ($A6090+$C6090) - MAX(IF($B$2:$B6089=$B6090, $A$2:$A6089+$C$2:$C6089)), "")*24*60, "")</f>
        <v/>
      </c>
      <c r="K6090" s="24" t="str" cm="1">
        <f t="array" ref="K6090">IFERROR(IF($B6090=K$1, ($A6090+$C6090) - MAX(IF($B$2:$B6089=$B6090, $A$2:$A6089+$C$2:$C6089)), "")*24*60, "")</f>
        <v/>
      </c>
      <c r="L6090" s="24" t="str" cm="1">
        <f t="array" ref="L6090">IFERROR(IF($B6090=L$1, ($A6090+$C6090) - MAX(IF($B$2:$B6089=$B6090, $A$2:$A6089+$C$2:$C6089)), "")*24*60, "")</f>
        <v/>
      </c>
      <c r="M6090" s="24" t="str" cm="1">
        <f t="array" ref="M6090">IFERROR(IF($B6090=M$1, ($A6090+$C6090) - MAX(IF($B$2:$B6089=$B6090, $A$2:$A6089+$C$2:$C6089)), "")*24*60, "")</f>
        <v/>
      </c>
      <c r="N6090" s="24" t="str" cm="1">
        <f t="array" ref="N6090">IFERROR(IF($B6090=N$1, ($A6090+$C6090) - MAX(IF($B$2:$B6089=$B6090, $A$2:$A6089+$C$2:$C6089)), "")*24*60, "")</f>
        <v/>
      </c>
      <c r="O6090" s="24" t="str" cm="1">
        <f t="array" ref="O6090">IFERROR(IF($B6090=O$1, ($A6090+$C6090) - MAX(IF($B$2:$B6089=$B6090, $A$2:$A6089+$C$2:$C6089)), "")*24*60, "")</f>
        <v/>
      </c>
      <c r="P6090" s="24" t="str" cm="1">
        <f t="array" ref="P6090">IFERROR(IF($B6090=P$1, ($A6090+$C6090) - MAX(IF($B$2:$B6089=$B6090, $A$2:$A6089+$C$2:$C6089)), "")*24*60, "")</f>
        <v/>
      </c>
      <c r="Q6090" s="24" t="str" cm="1">
        <f t="array" ref="Q6090">IFERROR(IF($B6090=Q$1, ($A6090+$C6090) - MAX(IF($B$2:$B6089=$B6090, $A$2:$A6089+$C$2:$C6089)), "")*24*60, "")</f>
        <v/>
      </c>
      <c r="R6090" s="24" t="str" cm="1">
        <f t="array" ref="R6090">IFERROR(IF($B6090=R$1, ($A6090+$C6090) - MAX(IF($B$2:$B6089=$B6090, $A$2:$A6089+$C$2:$C6089)), "")*24*60, "")</f>
        <v/>
      </c>
      <c r="S6090" s="24" t="str" cm="1">
        <f t="array" ref="S6090">IFERROR(IF($B6090=S$1, ($A6090+$C6090) - MAX(IF($B$2:$B6089=$B6090, $A$2:$A6089+$C$2:$C6089)), "")*24*60, "")</f>
        <v/>
      </c>
    </row>
    <row r="6091" spans="1:19" x14ac:dyDescent="0.2">
      <c r="A6091" s="12">
        <f t="shared" ref="A6091:C6091" si="1233">A6090</f>
        <v>45987</v>
      </c>
      <c r="B6091" s="5" t="str">
        <f t="shared" si="1233"/>
        <v>Northern Cardinal</v>
      </c>
      <c r="C6091" s="6">
        <f t="shared" si="1233"/>
        <v>0.28611111111111109</v>
      </c>
      <c r="D6091" s="5"/>
      <c r="E6091" s="5"/>
      <c r="F6091" s="5" t="s">
        <v>8</v>
      </c>
      <c r="G6091" s="15" t="s">
        <v>9</v>
      </c>
      <c r="H6091" s="24">
        <f t="shared" si="1129"/>
        <v>0</v>
      </c>
      <c r="I6091" s="24" cm="1">
        <f t="array" ref="I6091">IFERROR(IF($B6091=I$1, ($A6091+$C6091) - MAX(IF($B$2:$B6090=$B6091, $A$2:$A6090+$C$2:$C6090)), "")*24*60, "")</f>
        <v>0</v>
      </c>
      <c r="J6091" s="24" t="str" cm="1">
        <f t="array" ref="J6091">IFERROR(IF($B6091=J$1, ($A6091+$C6091) - MAX(IF($B$2:$B6090=$B6091, $A$2:$A6090+$C$2:$C6090)), "")*24*60, "")</f>
        <v/>
      </c>
      <c r="K6091" s="24" t="str" cm="1">
        <f t="array" ref="K6091">IFERROR(IF($B6091=K$1, ($A6091+$C6091) - MAX(IF($B$2:$B6090=$B6091, $A$2:$A6090+$C$2:$C6090)), "")*24*60, "")</f>
        <v/>
      </c>
      <c r="L6091" s="24" t="str" cm="1">
        <f t="array" ref="L6091">IFERROR(IF($B6091=L$1, ($A6091+$C6091) - MAX(IF($B$2:$B6090=$B6091, $A$2:$A6090+$C$2:$C6090)), "")*24*60, "")</f>
        <v/>
      </c>
      <c r="M6091" s="24" t="str" cm="1">
        <f t="array" ref="M6091">IFERROR(IF($B6091=M$1, ($A6091+$C6091) - MAX(IF($B$2:$B6090=$B6091, $A$2:$A6090+$C$2:$C6090)), "")*24*60, "")</f>
        <v/>
      </c>
      <c r="N6091" s="24" t="str" cm="1">
        <f t="array" ref="N6091">IFERROR(IF($B6091=N$1, ($A6091+$C6091) - MAX(IF($B$2:$B6090=$B6091, $A$2:$A6090+$C$2:$C6090)), "")*24*60, "")</f>
        <v/>
      </c>
      <c r="O6091" s="24" t="str" cm="1">
        <f t="array" ref="O6091">IFERROR(IF($B6091=O$1, ($A6091+$C6091) - MAX(IF($B$2:$B6090=$B6091, $A$2:$A6090+$C$2:$C6090)), "")*24*60, "")</f>
        <v/>
      </c>
      <c r="P6091" s="24" t="str" cm="1">
        <f t="array" ref="P6091">IFERROR(IF($B6091=P$1, ($A6091+$C6091) - MAX(IF($B$2:$B6090=$B6091, $A$2:$A6090+$C$2:$C6090)), "")*24*60, "")</f>
        <v/>
      </c>
      <c r="Q6091" s="24" t="str" cm="1">
        <f t="array" ref="Q6091">IFERROR(IF($B6091=Q$1, ($A6091+$C6091) - MAX(IF($B$2:$B6090=$B6091, $A$2:$A6090+$C$2:$C6090)), "")*24*60, "")</f>
        <v/>
      </c>
      <c r="R6091" s="24" t="str" cm="1">
        <f t="array" ref="R6091">IFERROR(IF($B6091=R$1, ($A6091+$C6091) - MAX(IF($B$2:$B6090=$B6091, $A$2:$A6090+$C$2:$C6090)), "")*24*60, "")</f>
        <v/>
      </c>
      <c r="S6091" s="24" t="str" cm="1">
        <f t="array" ref="S6091">IFERROR(IF($B6091=S$1, ($A6091+$C6091) - MAX(IF($B$2:$B6090=$B6091, $A$2:$A6090+$C$2:$C6090)), "")*24*60, "")</f>
        <v/>
      </c>
    </row>
    <row r="6092" spans="1:19" x14ac:dyDescent="0.2">
      <c r="A6092" s="12">
        <f t="shared" ref="A6092:C6092" si="1234">A6091</f>
        <v>45987</v>
      </c>
      <c r="B6092" s="5" t="str">
        <f t="shared" si="1234"/>
        <v>Northern Cardinal</v>
      </c>
      <c r="C6092" s="6">
        <f t="shared" si="1234"/>
        <v>0.28611111111111109</v>
      </c>
      <c r="D6092" s="5"/>
      <c r="E6092" s="5"/>
      <c r="F6092" s="5" t="s">
        <v>8</v>
      </c>
      <c r="G6092" s="15" t="s">
        <v>9</v>
      </c>
      <c r="H6092" s="24">
        <f t="shared" si="1129"/>
        <v>0</v>
      </c>
      <c r="I6092" s="24" cm="1">
        <f t="array" ref="I6092">IFERROR(IF($B6092=I$1, ($A6092+$C6092) - MAX(IF($B$2:$B6091=$B6092, $A$2:$A6091+$C$2:$C6091)), "")*24*60, "")</f>
        <v>0</v>
      </c>
      <c r="J6092" s="24" t="str" cm="1">
        <f t="array" ref="J6092">IFERROR(IF($B6092=J$1, ($A6092+$C6092) - MAX(IF($B$2:$B6091=$B6092, $A$2:$A6091+$C$2:$C6091)), "")*24*60, "")</f>
        <v/>
      </c>
      <c r="K6092" s="24" t="str" cm="1">
        <f t="array" ref="K6092">IFERROR(IF($B6092=K$1, ($A6092+$C6092) - MAX(IF($B$2:$B6091=$B6092, $A$2:$A6091+$C$2:$C6091)), "")*24*60, "")</f>
        <v/>
      </c>
      <c r="L6092" s="24" t="str" cm="1">
        <f t="array" ref="L6092">IFERROR(IF($B6092=L$1, ($A6092+$C6092) - MAX(IF($B$2:$B6091=$B6092, $A$2:$A6091+$C$2:$C6091)), "")*24*60, "")</f>
        <v/>
      </c>
      <c r="M6092" s="24" t="str" cm="1">
        <f t="array" ref="M6092">IFERROR(IF($B6092=M$1, ($A6092+$C6092) - MAX(IF($B$2:$B6091=$B6092, $A$2:$A6091+$C$2:$C6091)), "")*24*60, "")</f>
        <v/>
      </c>
      <c r="N6092" s="24" t="str" cm="1">
        <f t="array" ref="N6092">IFERROR(IF($B6092=N$1, ($A6092+$C6092) - MAX(IF($B$2:$B6091=$B6092, $A$2:$A6091+$C$2:$C6091)), "")*24*60, "")</f>
        <v/>
      </c>
      <c r="O6092" s="24" t="str" cm="1">
        <f t="array" ref="O6092">IFERROR(IF($B6092=O$1, ($A6092+$C6092) - MAX(IF($B$2:$B6091=$B6092, $A$2:$A6091+$C$2:$C6091)), "")*24*60, "")</f>
        <v/>
      </c>
      <c r="P6092" s="24" t="str" cm="1">
        <f t="array" ref="P6092">IFERROR(IF($B6092=P$1, ($A6092+$C6092) - MAX(IF($B$2:$B6091=$B6092, $A$2:$A6091+$C$2:$C6091)), "")*24*60, "")</f>
        <v/>
      </c>
      <c r="Q6092" s="24" t="str" cm="1">
        <f t="array" ref="Q6092">IFERROR(IF($B6092=Q$1, ($A6092+$C6092) - MAX(IF($B$2:$B6091=$B6092, $A$2:$A6091+$C$2:$C6091)), "")*24*60, "")</f>
        <v/>
      </c>
      <c r="R6092" s="24" t="str" cm="1">
        <f t="array" ref="R6092">IFERROR(IF($B6092=R$1, ($A6092+$C6092) - MAX(IF($B$2:$B6091=$B6092, $A$2:$A6091+$C$2:$C6091)), "")*24*60, "")</f>
        <v/>
      </c>
      <c r="S6092" s="24" t="str" cm="1">
        <f t="array" ref="S6092">IFERROR(IF($B6092=S$1, ($A6092+$C6092) - MAX(IF($B$2:$B6091=$B6092, $A$2:$A6091+$C$2:$C6091)), "")*24*60, "")</f>
        <v/>
      </c>
    </row>
    <row r="6093" spans="1:19" x14ac:dyDescent="0.2">
      <c r="A6093" s="12">
        <f t="shared" ref="A6093:C6093" si="1235">A6092</f>
        <v>45987</v>
      </c>
      <c r="B6093" s="5" t="str">
        <f t="shared" si="1235"/>
        <v>Northern Cardinal</v>
      </c>
      <c r="C6093" s="6">
        <f t="shared" si="1235"/>
        <v>0.28611111111111109</v>
      </c>
      <c r="D6093" s="5"/>
      <c r="E6093" s="5"/>
      <c r="F6093" s="5" t="s">
        <v>8</v>
      </c>
      <c r="G6093" s="15" t="s">
        <v>9</v>
      </c>
      <c r="H6093" s="24">
        <f t="shared" si="1129"/>
        <v>0</v>
      </c>
      <c r="I6093" s="24" cm="1">
        <f t="array" ref="I6093">IFERROR(IF($B6093=I$1, ($A6093+$C6093) - MAX(IF($B$2:$B6092=$B6093, $A$2:$A6092+$C$2:$C6092)), "")*24*60, "")</f>
        <v>0</v>
      </c>
      <c r="J6093" s="24" t="str" cm="1">
        <f t="array" ref="J6093">IFERROR(IF($B6093=J$1, ($A6093+$C6093) - MAX(IF($B$2:$B6092=$B6093, $A$2:$A6092+$C$2:$C6092)), "")*24*60, "")</f>
        <v/>
      </c>
      <c r="K6093" s="24" t="str" cm="1">
        <f t="array" ref="K6093">IFERROR(IF($B6093=K$1, ($A6093+$C6093) - MAX(IF($B$2:$B6092=$B6093, $A$2:$A6092+$C$2:$C6092)), "")*24*60, "")</f>
        <v/>
      </c>
      <c r="L6093" s="24" t="str" cm="1">
        <f t="array" ref="L6093">IFERROR(IF($B6093=L$1, ($A6093+$C6093) - MAX(IF($B$2:$B6092=$B6093, $A$2:$A6092+$C$2:$C6092)), "")*24*60, "")</f>
        <v/>
      </c>
      <c r="M6093" s="24" t="str" cm="1">
        <f t="array" ref="M6093">IFERROR(IF($B6093=M$1, ($A6093+$C6093) - MAX(IF($B$2:$B6092=$B6093, $A$2:$A6092+$C$2:$C6092)), "")*24*60, "")</f>
        <v/>
      </c>
      <c r="N6093" s="24" t="str" cm="1">
        <f t="array" ref="N6093">IFERROR(IF($B6093=N$1, ($A6093+$C6093) - MAX(IF($B$2:$B6092=$B6093, $A$2:$A6092+$C$2:$C6092)), "")*24*60, "")</f>
        <v/>
      </c>
      <c r="O6093" s="24" t="str" cm="1">
        <f t="array" ref="O6093">IFERROR(IF($B6093=O$1, ($A6093+$C6093) - MAX(IF($B$2:$B6092=$B6093, $A$2:$A6092+$C$2:$C6092)), "")*24*60, "")</f>
        <v/>
      </c>
      <c r="P6093" s="24" t="str" cm="1">
        <f t="array" ref="P6093">IFERROR(IF($B6093=P$1, ($A6093+$C6093) - MAX(IF($B$2:$B6092=$B6093, $A$2:$A6092+$C$2:$C6092)), "")*24*60, "")</f>
        <v/>
      </c>
      <c r="Q6093" s="24" t="str" cm="1">
        <f t="array" ref="Q6093">IFERROR(IF($B6093=Q$1, ($A6093+$C6093) - MAX(IF($B$2:$B6092=$B6093, $A$2:$A6092+$C$2:$C6092)), "")*24*60, "")</f>
        <v/>
      </c>
      <c r="R6093" s="24" t="str" cm="1">
        <f t="array" ref="R6093">IFERROR(IF($B6093=R$1, ($A6093+$C6093) - MAX(IF($B$2:$B6092=$B6093, $A$2:$A6092+$C$2:$C6092)), "")*24*60, "")</f>
        <v/>
      </c>
      <c r="S6093" s="24" t="str" cm="1">
        <f t="array" ref="S6093">IFERROR(IF($B6093=S$1, ($A6093+$C6093) - MAX(IF($B$2:$B6092=$B6093, $A$2:$A6092+$C$2:$C6092)), "")*24*60, "")</f>
        <v/>
      </c>
    </row>
    <row r="6094" spans="1:19" x14ac:dyDescent="0.2">
      <c r="A6094" s="12">
        <f t="shared" ref="A6094:C6094" si="1236">A6093</f>
        <v>45987</v>
      </c>
      <c r="B6094" s="5" t="str">
        <f t="shared" si="1236"/>
        <v>Northern Cardinal</v>
      </c>
      <c r="C6094" s="6">
        <f t="shared" si="1236"/>
        <v>0.28611111111111109</v>
      </c>
      <c r="D6094" s="5"/>
      <c r="E6094" s="5"/>
      <c r="F6094" s="5" t="s">
        <v>8</v>
      </c>
      <c r="G6094" s="15" t="s">
        <v>9</v>
      </c>
      <c r="H6094" s="24">
        <f t="shared" si="1129"/>
        <v>0</v>
      </c>
      <c r="I6094" s="24" cm="1">
        <f t="array" ref="I6094">IFERROR(IF($B6094=I$1, ($A6094+$C6094) - MAX(IF($B$2:$B6093=$B6094, $A$2:$A6093+$C$2:$C6093)), "")*24*60, "")</f>
        <v>0</v>
      </c>
      <c r="J6094" s="24" t="str" cm="1">
        <f t="array" ref="J6094">IFERROR(IF($B6094=J$1, ($A6094+$C6094) - MAX(IF($B$2:$B6093=$B6094, $A$2:$A6093+$C$2:$C6093)), "")*24*60, "")</f>
        <v/>
      </c>
      <c r="K6094" s="24" t="str" cm="1">
        <f t="array" ref="K6094">IFERROR(IF($B6094=K$1, ($A6094+$C6094) - MAX(IF($B$2:$B6093=$B6094, $A$2:$A6093+$C$2:$C6093)), "")*24*60, "")</f>
        <v/>
      </c>
      <c r="L6094" s="24" t="str" cm="1">
        <f t="array" ref="L6094">IFERROR(IF($B6094=L$1, ($A6094+$C6094) - MAX(IF($B$2:$B6093=$B6094, $A$2:$A6093+$C$2:$C6093)), "")*24*60, "")</f>
        <v/>
      </c>
      <c r="M6094" s="24" t="str" cm="1">
        <f t="array" ref="M6094">IFERROR(IF($B6094=M$1, ($A6094+$C6094) - MAX(IF($B$2:$B6093=$B6094, $A$2:$A6093+$C$2:$C6093)), "")*24*60, "")</f>
        <v/>
      </c>
      <c r="N6094" s="24" t="str" cm="1">
        <f t="array" ref="N6094">IFERROR(IF($B6094=N$1, ($A6094+$C6094) - MAX(IF($B$2:$B6093=$B6094, $A$2:$A6093+$C$2:$C6093)), "")*24*60, "")</f>
        <v/>
      </c>
      <c r="O6094" s="24" t="str" cm="1">
        <f t="array" ref="O6094">IFERROR(IF($B6094=O$1, ($A6094+$C6094) - MAX(IF($B$2:$B6093=$B6094, $A$2:$A6093+$C$2:$C6093)), "")*24*60, "")</f>
        <v/>
      </c>
      <c r="P6094" s="24" t="str" cm="1">
        <f t="array" ref="P6094">IFERROR(IF($B6094=P$1, ($A6094+$C6094) - MAX(IF($B$2:$B6093=$B6094, $A$2:$A6093+$C$2:$C6093)), "")*24*60, "")</f>
        <v/>
      </c>
      <c r="Q6094" s="24" t="str" cm="1">
        <f t="array" ref="Q6094">IFERROR(IF($B6094=Q$1, ($A6094+$C6094) - MAX(IF($B$2:$B6093=$B6094, $A$2:$A6093+$C$2:$C6093)), "")*24*60, "")</f>
        <v/>
      </c>
      <c r="R6094" s="24" t="str" cm="1">
        <f t="array" ref="R6094">IFERROR(IF($B6094=R$1, ($A6094+$C6094) - MAX(IF($B$2:$B6093=$B6094, $A$2:$A6093+$C$2:$C6093)), "")*24*60, "")</f>
        <v/>
      </c>
      <c r="S6094" s="24" t="str" cm="1">
        <f t="array" ref="S6094">IFERROR(IF($B6094=S$1, ($A6094+$C6094) - MAX(IF($B$2:$B6093=$B6094, $A$2:$A6093+$C$2:$C6093)), "")*24*60, "")</f>
        <v/>
      </c>
    </row>
    <row r="6095" spans="1:19" x14ac:dyDescent="0.2">
      <c r="A6095" s="12">
        <f t="shared" ref="A6095:C6095" si="1237">A6094</f>
        <v>45987</v>
      </c>
      <c r="B6095" s="5" t="str">
        <f t="shared" si="1237"/>
        <v>Northern Cardinal</v>
      </c>
      <c r="C6095" s="6">
        <f t="shared" si="1237"/>
        <v>0.28611111111111109</v>
      </c>
      <c r="D6095" s="5"/>
      <c r="E6095" s="5"/>
      <c r="F6095" s="5" t="s">
        <v>8</v>
      </c>
      <c r="G6095" s="15" t="s">
        <v>9</v>
      </c>
      <c r="H6095" s="24">
        <f t="shared" si="1129"/>
        <v>0</v>
      </c>
      <c r="I6095" s="24" cm="1">
        <f t="array" ref="I6095">IFERROR(IF($B6095=I$1, ($A6095+$C6095) - MAX(IF($B$2:$B6094=$B6095, $A$2:$A6094+$C$2:$C6094)), "")*24*60, "")</f>
        <v>0</v>
      </c>
      <c r="J6095" s="24" t="str" cm="1">
        <f t="array" ref="J6095">IFERROR(IF($B6095=J$1, ($A6095+$C6095) - MAX(IF($B$2:$B6094=$B6095, $A$2:$A6094+$C$2:$C6094)), "")*24*60, "")</f>
        <v/>
      </c>
      <c r="K6095" s="24" t="str" cm="1">
        <f t="array" ref="K6095">IFERROR(IF($B6095=K$1, ($A6095+$C6095) - MAX(IF($B$2:$B6094=$B6095, $A$2:$A6094+$C$2:$C6094)), "")*24*60, "")</f>
        <v/>
      </c>
      <c r="L6095" s="24" t="str" cm="1">
        <f t="array" ref="L6095">IFERROR(IF($B6095=L$1, ($A6095+$C6095) - MAX(IF($B$2:$B6094=$B6095, $A$2:$A6094+$C$2:$C6094)), "")*24*60, "")</f>
        <v/>
      </c>
      <c r="M6095" s="24" t="str" cm="1">
        <f t="array" ref="M6095">IFERROR(IF($B6095=M$1, ($A6095+$C6095) - MAX(IF($B$2:$B6094=$B6095, $A$2:$A6094+$C$2:$C6094)), "")*24*60, "")</f>
        <v/>
      </c>
      <c r="N6095" s="24" t="str" cm="1">
        <f t="array" ref="N6095">IFERROR(IF($B6095=N$1, ($A6095+$C6095) - MAX(IF($B$2:$B6094=$B6095, $A$2:$A6094+$C$2:$C6094)), "")*24*60, "")</f>
        <v/>
      </c>
      <c r="O6095" s="24" t="str" cm="1">
        <f t="array" ref="O6095">IFERROR(IF($B6095=O$1, ($A6095+$C6095) - MAX(IF($B$2:$B6094=$B6095, $A$2:$A6094+$C$2:$C6094)), "")*24*60, "")</f>
        <v/>
      </c>
      <c r="P6095" s="24" t="str" cm="1">
        <f t="array" ref="P6095">IFERROR(IF($B6095=P$1, ($A6095+$C6095) - MAX(IF($B$2:$B6094=$B6095, $A$2:$A6094+$C$2:$C6094)), "")*24*60, "")</f>
        <v/>
      </c>
      <c r="Q6095" s="24" t="str" cm="1">
        <f t="array" ref="Q6095">IFERROR(IF($B6095=Q$1, ($A6095+$C6095) - MAX(IF($B$2:$B6094=$B6095, $A$2:$A6094+$C$2:$C6094)), "")*24*60, "")</f>
        <v/>
      </c>
      <c r="R6095" s="24" t="str" cm="1">
        <f t="array" ref="R6095">IFERROR(IF($B6095=R$1, ($A6095+$C6095) - MAX(IF($B$2:$B6094=$B6095, $A$2:$A6094+$C$2:$C6094)), "")*24*60, "")</f>
        <v/>
      </c>
      <c r="S6095" s="24" t="str" cm="1">
        <f t="array" ref="S6095">IFERROR(IF($B6095=S$1, ($A6095+$C6095) - MAX(IF($B$2:$B6094=$B6095, $A$2:$A6094+$C$2:$C6094)), "")*24*60, "")</f>
        <v/>
      </c>
    </row>
    <row r="6096" spans="1:19" x14ac:dyDescent="0.2">
      <c r="A6096" s="12">
        <f t="shared" ref="A6096:C6096" si="1238">A6095</f>
        <v>45987</v>
      </c>
      <c r="B6096" s="5" t="str">
        <f t="shared" si="1238"/>
        <v>Northern Cardinal</v>
      </c>
      <c r="C6096" s="6">
        <f t="shared" si="1238"/>
        <v>0.28611111111111109</v>
      </c>
      <c r="D6096" s="5"/>
      <c r="E6096" s="5"/>
      <c r="F6096" s="5" t="s">
        <v>8</v>
      </c>
      <c r="G6096" s="15" t="s">
        <v>9</v>
      </c>
      <c r="H6096" s="24">
        <f t="shared" si="1129"/>
        <v>0</v>
      </c>
      <c r="I6096" s="24" cm="1">
        <f t="array" ref="I6096">IFERROR(IF($B6096=I$1, ($A6096+$C6096) - MAX(IF($B$2:$B6095=$B6096, $A$2:$A6095+$C$2:$C6095)), "")*24*60, "")</f>
        <v>0</v>
      </c>
      <c r="J6096" s="24" t="str" cm="1">
        <f t="array" ref="J6096">IFERROR(IF($B6096=J$1, ($A6096+$C6096) - MAX(IF($B$2:$B6095=$B6096, $A$2:$A6095+$C$2:$C6095)), "")*24*60, "")</f>
        <v/>
      </c>
      <c r="K6096" s="24" t="str" cm="1">
        <f t="array" ref="K6096">IFERROR(IF($B6096=K$1, ($A6096+$C6096) - MAX(IF($B$2:$B6095=$B6096, $A$2:$A6095+$C$2:$C6095)), "")*24*60, "")</f>
        <v/>
      </c>
      <c r="L6096" s="24" t="str" cm="1">
        <f t="array" ref="L6096">IFERROR(IF($B6096=L$1, ($A6096+$C6096) - MAX(IF($B$2:$B6095=$B6096, $A$2:$A6095+$C$2:$C6095)), "")*24*60, "")</f>
        <v/>
      </c>
      <c r="M6096" s="24" t="str" cm="1">
        <f t="array" ref="M6096">IFERROR(IF($B6096=M$1, ($A6096+$C6096) - MAX(IF($B$2:$B6095=$B6096, $A$2:$A6095+$C$2:$C6095)), "")*24*60, "")</f>
        <v/>
      </c>
      <c r="N6096" s="24" t="str" cm="1">
        <f t="array" ref="N6096">IFERROR(IF($B6096=N$1, ($A6096+$C6096) - MAX(IF($B$2:$B6095=$B6096, $A$2:$A6095+$C$2:$C6095)), "")*24*60, "")</f>
        <v/>
      </c>
      <c r="O6096" s="24" t="str" cm="1">
        <f t="array" ref="O6096">IFERROR(IF($B6096=O$1, ($A6096+$C6096) - MAX(IF($B$2:$B6095=$B6096, $A$2:$A6095+$C$2:$C6095)), "")*24*60, "")</f>
        <v/>
      </c>
      <c r="P6096" s="24" t="str" cm="1">
        <f t="array" ref="P6096">IFERROR(IF($B6096=P$1, ($A6096+$C6096) - MAX(IF($B$2:$B6095=$B6096, $A$2:$A6095+$C$2:$C6095)), "")*24*60, "")</f>
        <v/>
      </c>
      <c r="Q6096" s="24" t="str" cm="1">
        <f t="array" ref="Q6096">IFERROR(IF($B6096=Q$1, ($A6096+$C6096) - MAX(IF($B$2:$B6095=$B6096, $A$2:$A6095+$C$2:$C6095)), "")*24*60, "")</f>
        <v/>
      </c>
      <c r="R6096" s="24" t="str" cm="1">
        <f t="array" ref="R6096">IFERROR(IF($B6096=R$1, ($A6096+$C6096) - MAX(IF($B$2:$B6095=$B6096, $A$2:$A6095+$C$2:$C6095)), "")*24*60, "")</f>
        <v/>
      </c>
      <c r="S6096" s="24" t="str" cm="1">
        <f t="array" ref="S6096">IFERROR(IF($B6096=S$1, ($A6096+$C6096) - MAX(IF($B$2:$B6095=$B6096, $A$2:$A6095+$C$2:$C6095)), "")*24*60, "")</f>
        <v/>
      </c>
    </row>
    <row r="6097" spans="1:19" x14ac:dyDescent="0.2">
      <c r="A6097" s="12">
        <f t="shared" ref="A6097:C6097" si="1239">A6096</f>
        <v>45987</v>
      </c>
      <c r="B6097" s="5" t="str">
        <f t="shared" si="1239"/>
        <v>Northern Cardinal</v>
      </c>
      <c r="C6097" s="6">
        <f t="shared" si="1239"/>
        <v>0.28611111111111109</v>
      </c>
      <c r="D6097" s="5"/>
      <c r="E6097" s="5"/>
      <c r="F6097" s="5" t="s">
        <v>8</v>
      </c>
      <c r="G6097" s="15" t="s">
        <v>9</v>
      </c>
      <c r="H6097" s="24">
        <f t="shared" si="1129"/>
        <v>0</v>
      </c>
      <c r="I6097" s="24" cm="1">
        <f t="array" ref="I6097">IFERROR(IF($B6097=I$1, ($A6097+$C6097) - MAX(IF($B$2:$B6096=$B6097, $A$2:$A6096+$C$2:$C6096)), "")*24*60, "")</f>
        <v>0</v>
      </c>
      <c r="J6097" s="24" t="str" cm="1">
        <f t="array" ref="J6097">IFERROR(IF($B6097=J$1, ($A6097+$C6097) - MAX(IF($B$2:$B6096=$B6097, $A$2:$A6096+$C$2:$C6096)), "")*24*60, "")</f>
        <v/>
      </c>
      <c r="K6097" s="24" t="str" cm="1">
        <f t="array" ref="K6097">IFERROR(IF($B6097=K$1, ($A6097+$C6097) - MAX(IF($B$2:$B6096=$B6097, $A$2:$A6096+$C$2:$C6096)), "")*24*60, "")</f>
        <v/>
      </c>
      <c r="L6097" s="24" t="str" cm="1">
        <f t="array" ref="L6097">IFERROR(IF($B6097=L$1, ($A6097+$C6097) - MAX(IF($B$2:$B6096=$B6097, $A$2:$A6096+$C$2:$C6096)), "")*24*60, "")</f>
        <v/>
      </c>
      <c r="M6097" s="24" t="str" cm="1">
        <f t="array" ref="M6097">IFERROR(IF($B6097=M$1, ($A6097+$C6097) - MAX(IF($B$2:$B6096=$B6097, $A$2:$A6096+$C$2:$C6096)), "")*24*60, "")</f>
        <v/>
      </c>
      <c r="N6097" s="24" t="str" cm="1">
        <f t="array" ref="N6097">IFERROR(IF($B6097=N$1, ($A6097+$C6097) - MAX(IF($B$2:$B6096=$B6097, $A$2:$A6096+$C$2:$C6096)), "")*24*60, "")</f>
        <v/>
      </c>
      <c r="O6097" s="24" t="str" cm="1">
        <f t="array" ref="O6097">IFERROR(IF($B6097=O$1, ($A6097+$C6097) - MAX(IF($B$2:$B6096=$B6097, $A$2:$A6096+$C$2:$C6096)), "")*24*60, "")</f>
        <v/>
      </c>
      <c r="P6097" s="24" t="str" cm="1">
        <f t="array" ref="P6097">IFERROR(IF($B6097=P$1, ($A6097+$C6097) - MAX(IF($B$2:$B6096=$B6097, $A$2:$A6096+$C$2:$C6096)), "")*24*60, "")</f>
        <v/>
      </c>
      <c r="Q6097" s="24" t="str" cm="1">
        <f t="array" ref="Q6097">IFERROR(IF($B6097=Q$1, ($A6097+$C6097) - MAX(IF($B$2:$B6096=$B6097, $A$2:$A6096+$C$2:$C6096)), "")*24*60, "")</f>
        <v/>
      </c>
      <c r="R6097" s="24" t="str" cm="1">
        <f t="array" ref="R6097">IFERROR(IF($B6097=R$1, ($A6097+$C6097) - MAX(IF($B$2:$B6096=$B6097, $A$2:$A6096+$C$2:$C6096)), "")*24*60, "")</f>
        <v/>
      </c>
      <c r="S6097" s="24" t="str" cm="1">
        <f t="array" ref="S6097">IFERROR(IF($B6097=S$1, ($A6097+$C6097) - MAX(IF($B$2:$B6096=$B6097, $A$2:$A6096+$C$2:$C6096)), "")*24*60, "")</f>
        <v/>
      </c>
    </row>
    <row r="6098" spans="1:19" x14ac:dyDescent="0.2">
      <c r="A6098" s="12">
        <f t="shared" ref="A6098:C6098" si="1240">A6097</f>
        <v>45987</v>
      </c>
      <c r="B6098" s="5" t="str">
        <f t="shared" si="1240"/>
        <v>Northern Cardinal</v>
      </c>
      <c r="C6098" s="6">
        <f t="shared" si="1240"/>
        <v>0.28611111111111109</v>
      </c>
      <c r="D6098" s="5"/>
      <c r="E6098" s="5"/>
      <c r="F6098" s="5" t="s">
        <v>8</v>
      </c>
      <c r="G6098" s="15" t="s">
        <v>9</v>
      </c>
      <c r="H6098" s="24">
        <f t="shared" si="1129"/>
        <v>0</v>
      </c>
      <c r="I6098" s="24" cm="1">
        <f t="array" ref="I6098">IFERROR(IF($B6098=I$1, ($A6098+$C6098) - MAX(IF($B$2:$B6097=$B6098, $A$2:$A6097+$C$2:$C6097)), "")*24*60, "")</f>
        <v>0</v>
      </c>
      <c r="J6098" s="24" t="str" cm="1">
        <f t="array" ref="J6098">IFERROR(IF($B6098=J$1, ($A6098+$C6098) - MAX(IF($B$2:$B6097=$B6098, $A$2:$A6097+$C$2:$C6097)), "")*24*60, "")</f>
        <v/>
      </c>
      <c r="K6098" s="24" t="str" cm="1">
        <f t="array" ref="K6098">IFERROR(IF($B6098=K$1, ($A6098+$C6098) - MAX(IF($B$2:$B6097=$B6098, $A$2:$A6097+$C$2:$C6097)), "")*24*60, "")</f>
        <v/>
      </c>
      <c r="L6098" s="24" t="str" cm="1">
        <f t="array" ref="L6098">IFERROR(IF($B6098=L$1, ($A6098+$C6098) - MAX(IF($B$2:$B6097=$B6098, $A$2:$A6097+$C$2:$C6097)), "")*24*60, "")</f>
        <v/>
      </c>
      <c r="M6098" s="24" t="str" cm="1">
        <f t="array" ref="M6098">IFERROR(IF($B6098=M$1, ($A6098+$C6098) - MAX(IF($B$2:$B6097=$B6098, $A$2:$A6097+$C$2:$C6097)), "")*24*60, "")</f>
        <v/>
      </c>
      <c r="N6098" s="24" t="str" cm="1">
        <f t="array" ref="N6098">IFERROR(IF($B6098=N$1, ($A6098+$C6098) - MAX(IF($B$2:$B6097=$B6098, $A$2:$A6097+$C$2:$C6097)), "")*24*60, "")</f>
        <v/>
      </c>
      <c r="O6098" s="24" t="str" cm="1">
        <f t="array" ref="O6098">IFERROR(IF($B6098=O$1, ($A6098+$C6098) - MAX(IF($B$2:$B6097=$B6098, $A$2:$A6097+$C$2:$C6097)), "")*24*60, "")</f>
        <v/>
      </c>
      <c r="P6098" s="24" t="str" cm="1">
        <f t="array" ref="P6098">IFERROR(IF($B6098=P$1, ($A6098+$C6098) - MAX(IF($B$2:$B6097=$B6098, $A$2:$A6097+$C$2:$C6097)), "")*24*60, "")</f>
        <v/>
      </c>
      <c r="Q6098" s="24" t="str" cm="1">
        <f t="array" ref="Q6098">IFERROR(IF($B6098=Q$1, ($A6098+$C6098) - MAX(IF($B$2:$B6097=$B6098, $A$2:$A6097+$C$2:$C6097)), "")*24*60, "")</f>
        <v/>
      </c>
      <c r="R6098" s="24" t="str" cm="1">
        <f t="array" ref="R6098">IFERROR(IF($B6098=R$1, ($A6098+$C6098) - MAX(IF($B$2:$B6097=$B6098, $A$2:$A6097+$C$2:$C6097)), "")*24*60, "")</f>
        <v/>
      </c>
      <c r="S6098" s="24" t="str" cm="1">
        <f t="array" ref="S6098">IFERROR(IF($B6098=S$1, ($A6098+$C6098) - MAX(IF($B$2:$B6097=$B6098, $A$2:$A6097+$C$2:$C6097)), "")*24*60, "")</f>
        <v/>
      </c>
    </row>
    <row r="6099" spans="1:19" x14ac:dyDescent="0.2">
      <c r="A6099" s="12">
        <f t="shared" ref="A6099:C6099" si="1241">A6098</f>
        <v>45987</v>
      </c>
      <c r="B6099" s="5" t="str">
        <f t="shared" si="1241"/>
        <v>Northern Cardinal</v>
      </c>
      <c r="C6099" s="6">
        <f t="shared" si="1241"/>
        <v>0.28611111111111109</v>
      </c>
      <c r="D6099" s="5"/>
      <c r="E6099" s="5"/>
      <c r="F6099" s="5" t="s">
        <v>8</v>
      </c>
      <c r="G6099" s="15" t="s">
        <v>9</v>
      </c>
      <c r="H6099" s="24">
        <f t="shared" si="1129"/>
        <v>0</v>
      </c>
      <c r="I6099" s="24" cm="1">
        <f t="array" ref="I6099">IFERROR(IF($B6099=I$1, ($A6099+$C6099) - MAX(IF($B$2:$B6098=$B6099, $A$2:$A6098+$C$2:$C6098)), "")*24*60, "")</f>
        <v>0</v>
      </c>
      <c r="J6099" s="24" t="str" cm="1">
        <f t="array" ref="J6099">IFERROR(IF($B6099=J$1, ($A6099+$C6099) - MAX(IF($B$2:$B6098=$B6099, $A$2:$A6098+$C$2:$C6098)), "")*24*60, "")</f>
        <v/>
      </c>
      <c r="K6099" s="24" t="str" cm="1">
        <f t="array" ref="K6099">IFERROR(IF($B6099=K$1, ($A6099+$C6099) - MAX(IF($B$2:$B6098=$B6099, $A$2:$A6098+$C$2:$C6098)), "")*24*60, "")</f>
        <v/>
      </c>
      <c r="L6099" s="24" t="str" cm="1">
        <f t="array" ref="L6099">IFERROR(IF($B6099=L$1, ($A6099+$C6099) - MAX(IF($B$2:$B6098=$B6099, $A$2:$A6098+$C$2:$C6098)), "")*24*60, "")</f>
        <v/>
      </c>
      <c r="M6099" s="24" t="str" cm="1">
        <f t="array" ref="M6099">IFERROR(IF($B6099=M$1, ($A6099+$C6099) - MAX(IF($B$2:$B6098=$B6099, $A$2:$A6098+$C$2:$C6098)), "")*24*60, "")</f>
        <v/>
      </c>
      <c r="N6099" s="24" t="str" cm="1">
        <f t="array" ref="N6099">IFERROR(IF($B6099=N$1, ($A6099+$C6099) - MAX(IF($B$2:$B6098=$B6099, $A$2:$A6098+$C$2:$C6098)), "")*24*60, "")</f>
        <v/>
      </c>
      <c r="O6099" s="24" t="str" cm="1">
        <f t="array" ref="O6099">IFERROR(IF($B6099=O$1, ($A6099+$C6099) - MAX(IF($B$2:$B6098=$B6099, $A$2:$A6098+$C$2:$C6098)), "")*24*60, "")</f>
        <v/>
      </c>
      <c r="P6099" s="24" t="str" cm="1">
        <f t="array" ref="P6099">IFERROR(IF($B6099=P$1, ($A6099+$C6099) - MAX(IF($B$2:$B6098=$B6099, $A$2:$A6098+$C$2:$C6098)), "")*24*60, "")</f>
        <v/>
      </c>
      <c r="Q6099" s="24" t="str" cm="1">
        <f t="array" ref="Q6099">IFERROR(IF($B6099=Q$1, ($A6099+$C6099) - MAX(IF($B$2:$B6098=$B6099, $A$2:$A6098+$C$2:$C6098)), "")*24*60, "")</f>
        <v/>
      </c>
      <c r="R6099" s="24" t="str" cm="1">
        <f t="array" ref="R6099">IFERROR(IF($B6099=R$1, ($A6099+$C6099) - MAX(IF($B$2:$B6098=$B6099, $A$2:$A6098+$C$2:$C6098)), "")*24*60, "")</f>
        <v/>
      </c>
      <c r="S6099" s="24" t="str" cm="1">
        <f t="array" ref="S6099">IFERROR(IF($B6099=S$1, ($A6099+$C6099) - MAX(IF($B$2:$B6098=$B6099, $A$2:$A6098+$C$2:$C6098)), "")*24*60, "")</f>
        <v/>
      </c>
    </row>
    <row r="6100" spans="1:19" x14ac:dyDescent="0.2">
      <c r="A6100" s="12">
        <f t="shared" ref="A6100:C6100" si="1242">A6099</f>
        <v>45987</v>
      </c>
      <c r="B6100" s="5" t="str">
        <f t="shared" si="1242"/>
        <v>Northern Cardinal</v>
      </c>
      <c r="C6100" s="6">
        <f t="shared" si="1242"/>
        <v>0.28611111111111109</v>
      </c>
      <c r="D6100" s="5"/>
      <c r="E6100" s="5"/>
      <c r="F6100" s="5" t="s">
        <v>8</v>
      </c>
      <c r="G6100" s="15" t="s">
        <v>9</v>
      </c>
      <c r="H6100" s="24">
        <f t="shared" si="1129"/>
        <v>0</v>
      </c>
      <c r="I6100" s="24" cm="1">
        <f t="array" ref="I6100">IFERROR(IF($B6100=I$1, ($A6100+$C6100) - MAX(IF($B$2:$B6099=$B6100, $A$2:$A6099+$C$2:$C6099)), "")*24*60, "")</f>
        <v>0</v>
      </c>
      <c r="J6100" s="24" t="str" cm="1">
        <f t="array" ref="J6100">IFERROR(IF($B6100=J$1, ($A6100+$C6100) - MAX(IF($B$2:$B6099=$B6100, $A$2:$A6099+$C$2:$C6099)), "")*24*60, "")</f>
        <v/>
      </c>
      <c r="K6100" s="24" t="str" cm="1">
        <f t="array" ref="K6100">IFERROR(IF($B6100=K$1, ($A6100+$C6100) - MAX(IF($B$2:$B6099=$B6100, $A$2:$A6099+$C$2:$C6099)), "")*24*60, "")</f>
        <v/>
      </c>
      <c r="L6100" s="24" t="str" cm="1">
        <f t="array" ref="L6100">IFERROR(IF($B6100=L$1, ($A6100+$C6100) - MAX(IF($B$2:$B6099=$B6100, $A$2:$A6099+$C$2:$C6099)), "")*24*60, "")</f>
        <v/>
      </c>
      <c r="M6100" s="24" t="str" cm="1">
        <f t="array" ref="M6100">IFERROR(IF($B6100=M$1, ($A6100+$C6100) - MAX(IF($B$2:$B6099=$B6100, $A$2:$A6099+$C$2:$C6099)), "")*24*60, "")</f>
        <v/>
      </c>
      <c r="N6100" s="24" t="str" cm="1">
        <f t="array" ref="N6100">IFERROR(IF($B6100=N$1, ($A6100+$C6100) - MAX(IF($B$2:$B6099=$B6100, $A$2:$A6099+$C$2:$C6099)), "")*24*60, "")</f>
        <v/>
      </c>
      <c r="O6100" s="24" t="str" cm="1">
        <f t="array" ref="O6100">IFERROR(IF($B6100=O$1, ($A6100+$C6100) - MAX(IF($B$2:$B6099=$B6100, $A$2:$A6099+$C$2:$C6099)), "")*24*60, "")</f>
        <v/>
      </c>
      <c r="P6100" s="24" t="str" cm="1">
        <f t="array" ref="P6100">IFERROR(IF($B6100=P$1, ($A6100+$C6100) - MAX(IF($B$2:$B6099=$B6100, $A$2:$A6099+$C$2:$C6099)), "")*24*60, "")</f>
        <v/>
      </c>
      <c r="Q6100" s="24" t="str" cm="1">
        <f t="array" ref="Q6100">IFERROR(IF($B6100=Q$1, ($A6100+$C6100) - MAX(IF($B$2:$B6099=$B6100, $A$2:$A6099+$C$2:$C6099)), "")*24*60, "")</f>
        <v/>
      </c>
      <c r="R6100" s="24" t="str" cm="1">
        <f t="array" ref="R6100">IFERROR(IF($B6100=R$1, ($A6100+$C6100) - MAX(IF($B$2:$B6099=$B6100, $A$2:$A6099+$C$2:$C6099)), "")*24*60, "")</f>
        <v/>
      </c>
      <c r="S6100" s="24" t="str" cm="1">
        <f t="array" ref="S6100">IFERROR(IF($B6100=S$1, ($A6100+$C6100) - MAX(IF($B$2:$B6099=$B6100, $A$2:$A6099+$C$2:$C6099)), "")*24*60, "")</f>
        <v/>
      </c>
    </row>
    <row r="6101" spans="1:19" x14ac:dyDescent="0.2">
      <c r="A6101" s="12">
        <f t="shared" ref="A6101:C6101" si="1243">A6100</f>
        <v>45987</v>
      </c>
      <c r="B6101" s="5" t="str">
        <f t="shared" si="1243"/>
        <v>Northern Cardinal</v>
      </c>
      <c r="C6101" s="6">
        <f t="shared" si="1243"/>
        <v>0.28611111111111109</v>
      </c>
      <c r="D6101" s="5"/>
      <c r="E6101" s="5"/>
      <c r="F6101" s="5" t="s">
        <v>8</v>
      </c>
      <c r="G6101" s="15" t="s">
        <v>9</v>
      </c>
      <c r="H6101" s="24">
        <f t="shared" si="1129"/>
        <v>0</v>
      </c>
      <c r="I6101" s="24" cm="1">
        <f t="array" ref="I6101">IFERROR(IF($B6101=I$1, ($A6101+$C6101) - MAX(IF($B$2:$B6100=$B6101, $A$2:$A6100+$C$2:$C6100)), "")*24*60, "")</f>
        <v>0</v>
      </c>
      <c r="J6101" s="24" t="str" cm="1">
        <f t="array" ref="J6101">IFERROR(IF($B6101=J$1, ($A6101+$C6101) - MAX(IF($B$2:$B6100=$B6101, $A$2:$A6100+$C$2:$C6100)), "")*24*60, "")</f>
        <v/>
      </c>
      <c r="K6101" s="24" t="str" cm="1">
        <f t="array" ref="K6101">IFERROR(IF($B6101=K$1, ($A6101+$C6101) - MAX(IF($B$2:$B6100=$B6101, $A$2:$A6100+$C$2:$C6100)), "")*24*60, "")</f>
        <v/>
      </c>
      <c r="L6101" s="24" t="str" cm="1">
        <f t="array" ref="L6101">IFERROR(IF($B6101=L$1, ($A6101+$C6101) - MAX(IF($B$2:$B6100=$B6101, $A$2:$A6100+$C$2:$C6100)), "")*24*60, "")</f>
        <v/>
      </c>
      <c r="M6101" s="24" t="str" cm="1">
        <f t="array" ref="M6101">IFERROR(IF($B6101=M$1, ($A6101+$C6101) - MAX(IF($B$2:$B6100=$B6101, $A$2:$A6100+$C$2:$C6100)), "")*24*60, "")</f>
        <v/>
      </c>
      <c r="N6101" s="24" t="str" cm="1">
        <f t="array" ref="N6101">IFERROR(IF($B6101=N$1, ($A6101+$C6101) - MAX(IF($B$2:$B6100=$B6101, $A$2:$A6100+$C$2:$C6100)), "")*24*60, "")</f>
        <v/>
      </c>
      <c r="O6101" s="24" t="str" cm="1">
        <f t="array" ref="O6101">IFERROR(IF($B6101=O$1, ($A6101+$C6101) - MAX(IF($B$2:$B6100=$B6101, $A$2:$A6100+$C$2:$C6100)), "")*24*60, "")</f>
        <v/>
      </c>
      <c r="P6101" s="24" t="str" cm="1">
        <f t="array" ref="P6101">IFERROR(IF($B6101=P$1, ($A6101+$C6101) - MAX(IF($B$2:$B6100=$B6101, $A$2:$A6100+$C$2:$C6100)), "")*24*60, "")</f>
        <v/>
      </c>
      <c r="Q6101" s="24" t="str" cm="1">
        <f t="array" ref="Q6101">IFERROR(IF($B6101=Q$1, ($A6101+$C6101) - MAX(IF($B$2:$B6100=$B6101, $A$2:$A6100+$C$2:$C6100)), "")*24*60, "")</f>
        <v/>
      </c>
      <c r="R6101" s="24" t="str" cm="1">
        <f t="array" ref="R6101">IFERROR(IF($B6101=R$1, ($A6101+$C6101) - MAX(IF($B$2:$B6100=$B6101, $A$2:$A6100+$C$2:$C6100)), "")*24*60, "")</f>
        <v/>
      </c>
      <c r="S6101" s="24" t="str" cm="1">
        <f t="array" ref="S6101">IFERROR(IF($B6101=S$1, ($A6101+$C6101) - MAX(IF($B$2:$B6100=$B6101, $A$2:$A6100+$C$2:$C6100)), "")*24*60, "")</f>
        <v/>
      </c>
    </row>
    <row r="6102" spans="1:19" x14ac:dyDescent="0.2">
      <c r="A6102" s="12">
        <f t="shared" ref="A6102:C6102" si="1244">A6101</f>
        <v>45987</v>
      </c>
      <c r="B6102" s="5" t="str">
        <f t="shared" si="1244"/>
        <v>Northern Cardinal</v>
      </c>
      <c r="C6102" s="6">
        <f t="shared" si="1244"/>
        <v>0.28611111111111109</v>
      </c>
      <c r="D6102" s="5"/>
      <c r="E6102" s="5"/>
      <c r="F6102" s="5" t="s">
        <v>8</v>
      </c>
      <c r="G6102" s="15" t="s">
        <v>9</v>
      </c>
      <c r="H6102" s="24">
        <f t="shared" si="1129"/>
        <v>0</v>
      </c>
      <c r="I6102" s="24" cm="1">
        <f t="array" ref="I6102">IFERROR(IF($B6102=I$1, ($A6102+$C6102) - MAX(IF($B$2:$B6101=$B6102, $A$2:$A6101+$C$2:$C6101)), "")*24*60, "")</f>
        <v>0</v>
      </c>
      <c r="J6102" s="24" t="str" cm="1">
        <f t="array" ref="J6102">IFERROR(IF($B6102=J$1, ($A6102+$C6102) - MAX(IF($B$2:$B6101=$B6102, $A$2:$A6101+$C$2:$C6101)), "")*24*60, "")</f>
        <v/>
      </c>
      <c r="K6102" s="24" t="str" cm="1">
        <f t="array" ref="K6102">IFERROR(IF($B6102=K$1, ($A6102+$C6102) - MAX(IF($B$2:$B6101=$B6102, $A$2:$A6101+$C$2:$C6101)), "")*24*60, "")</f>
        <v/>
      </c>
      <c r="L6102" s="24" t="str" cm="1">
        <f t="array" ref="L6102">IFERROR(IF($B6102=L$1, ($A6102+$C6102) - MAX(IF($B$2:$B6101=$B6102, $A$2:$A6101+$C$2:$C6101)), "")*24*60, "")</f>
        <v/>
      </c>
      <c r="M6102" s="24" t="str" cm="1">
        <f t="array" ref="M6102">IFERROR(IF($B6102=M$1, ($A6102+$C6102) - MAX(IF($B$2:$B6101=$B6102, $A$2:$A6101+$C$2:$C6101)), "")*24*60, "")</f>
        <v/>
      </c>
      <c r="N6102" s="24" t="str" cm="1">
        <f t="array" ref="N6102">IFERROR(IF($B6102=N$1, ($A6102+$C6102) - MAX(IF($B$2:$B6101=$B6102, $A$2:$A6101+$C$2:$C6101)), "")*24*60, "")</f>
        <v/>
      </c>
      <c r="O6102" s="24" t="str" cm="1">
        <f t="array" ref="O6102">IFERROR(IF($B6102=O$1, ($A6102+$C6102) - MAX(IF($B$2:$B6101=$B6102, $A$2:$A6101+$C$2:$C6101)), "")*24*60, "")</f>
        <v/>
      </c>
      <c r="P6102" s="24" t="str" cm="1">
        <f t="array" ref="P6102">IFERROR(IF($B6102=P$1, ($A6102+$C6102) - MAX(IF($B$2:$B6101=$B6102, $A$2:$A6101+$C$2:$C6101)), "")*24*60, "")</f>
        <v/>
      </c>
      <c r="Q6102" s="24" t="str" cm="1">
        <f t="array" ref="Q6102">IFERROR(IF($B6102=Q$1, ($A6102+$C6102) - MAX(IF($B$2:$B6101=$B6102, $A$2:$A6101+$C$2:$C6101)), "")*24*60, "")</f>
        <v/>
      </c>
      <c r="R6102" s="24" t="str" cm="1">
        <f t="array" ref="R6102">IFERROR(IF($B6102=R$1, ($A6102+$C6102) - MAX(IF($B$2:$B6101=$B6102, $A$2:$A6101+$C$2:$C6101)), "")*24*60, "")</f>
        <v/>
      </c>
      <c r="S6102" s="24" t="str" cm="1">
        <f t="array" ref="S6102">IFERROR(IF($B6102=S$1, ($A6102+$C6102) - MAX(IF($B$2:$B6101=$B6102, $A$2:$A6101+$C$2:$C6101)), "")*24*60, "")</f>
        <v/>
      </c>
    </row>
    <row r="6103" spans="1:19" x14ac:dyDescent="0.2">
      <c r="A6103" s="12">
        <f t="shared" ref="A6103:C6103" si="1245">A6102</f>
        <v>45987</v>
      </c>
      <c r="B6103" s="5" t="str">
        <f t="shared" si="1245"/>
        <v>Northern Cardinal</v>
      </c>
      <c r="C6103" s="6">
        <f t="shared" si="1245"/>
        <v>0.28611111111111109</v>
      </c>
      <c r="D6103" s="5"/>
      <c r="E6103" s="5"/>
      <c r="F6103" s="5" t="s">
        <v>8</v>
      </c>
      <c r="G6103" s="15" t="s">
        <v>9</v>
      </c>
      <c r="H6103" s="24">
        <f t="shared" si="1129"/>
        <v>0</v>
      </c>
      <c r="I6103" s="24" cm="1">
        <f t="array" ref="I6103">IFERROR(IF($B6103=I$1, ($A6103+$C6103) - MAX(IF($B$2:$B6102=$B6103, $A$2:$A6102+$C$2:$C6102)), "")*24*60, "")</f>
        <v>0</v>
      </c>
      <c r="J6103" s="24" t="str" cm="1">
        <f t="array" ref="J6103">IFERROR(IF($B6103=J$1, ($A6103+$C6103) - MAX(IF($B$2:$B6102=$B6103, $A$2:$A6102+$C$2:$C6102)), "")*24*60, "")</f>
        <v/>
      </c>
      <c r="K6103" s="24" t="str" cm="1">
        <f t="array" ref="K6103">IFERROR(IF($B6103=K$1, ($A6103+$C6103) - MAX(IF($B$2:$B6102=$B6103, $A$2:$A6102+$C$2:$C6102)), "")*24*60, "")</f>
        <v/>
      </c>
      <c r="L6103" s="24" t="str" cm="1">
        <f t="array" ref="L6103">IFERROR(IF($B6103=L$1, ($A6103+$C6103) - MAX(IF($B$2:$B6102=$B6103, $A$2:$A6102+$C$2:$C6102)), "")*24*60, "")</f>
        <v/>
      </c>
      <c r="M6103" s="24" t="str" cm="1">
        <f t="array" ref="M6103">IFERROR(IF($B6103=M$1, ($A6103+$C6103) - MAX(IF($B$2:$B6102=$B6103, $A$2:$A6102+$C$2:$C6102)), "")*24*60, "")</f>
        <v/>
      </c>
      <c r="N6103" s="24" t="str" cm="1">
        <f t="array" ref="N6103">IFERROR(IF($B6103=N$1, ($A6103+$C6103) - MAX(IF($B$2:$B6102=$B6103, $A$2:$A6102+$C$2:$C6102)), "")*24*60, "")</f>
        <v/>
      </c>
      <c r="O6103" s="24" t="str" cm="1">
        <f t="array" ref="O6103">IFERROR(IF($B6103=O$1, ($A6103+$C6103) - MAX(IF($B$2:$B6102=$B6103, $A$2:$A6102+$C$2:$C6102)), "")*24*60, "")</f>
        <v/>
      </c>
      <c r="P6103" s="24" t="str" cm="1">
        <f t="array" ref="P6103">IFERROR(IF($B6103=P$1, ($A6103+$C6103) - MAX(IF($B$2:$B6102=$B6103, $A$2:$A6102+$C$2:$C6102)), "")*24*60, "")</f>
        <v/>
      </c>
      <c r="Q6103" s="24" t="str" cm="1">
        <f t="array" ref="Q6103">IFERROR(IF($B6103=Q$1, ($A6103+$C6103) - MAX(IF($B$2:$B6102=$B6103, $A$2:$A6102+$C$2:$C6102)), "")*24*60, "")</f>
        <v/>
      </c>
      <c r="R6103" s="24" t="str" cm="1">
        <f t="array" ref="R6103">IFERROR(IF($B6103=R$1, ($A6103+$C6103) - MAX(IF($B$2:$B6102=$B6103, $A$2:$A6102+$C$2:$C6102)), "")*24*60, "")</f>
        <v/>
      </c>
      <c r="S6103" s="24" t="str" cm="1">
        <f t="array" ref="S6103">IFERROR(IF($B6103=S$1, ($A6103+$C6103) - MAX(IF($B$2:$B6102=$B6103, $A$2:$A6102+$C$2:$C6102)), "")*24*60, "")</f>
        <v/>
      </c>
    </row>
    <row r="6104" spans="1:19" x14ac:dyDescent="0.2">
      <c r="A6104" s="12">
        <f t="shared" ref="A6104:C6104" si="1246">A6103</f>
        <v>45987</v>
      </c>
      <c r="B6104" s="5" t="str">
        <f t="shared" si="1246"/>
        <v>Northern Cardinal</v>
      </c>
      <c r="C6104" s="6">
        <f t="shared" si="1246"/>
        <v>0.28611111111111109</v>
      </c>
      <c r="D6104" s="5"/>
      <c r="E6104" s="5"/>
      <c r="F6104" s="5" t="s">
        <v>8</v>
      </c>
      <c r="G6104" s="15" t="s">
        <v>9</v>
      </c>
      <c r="H6104" s="24">
        <f t="shared" si="1129"/>
        <v>0</v>
      </c>
      <c r="I6104" s="24" cm="1">
        <f t="array" ref="I6104">IFERROR(IF($B6104=I$1, ($A6104+$C6104) - MAX(IF($B$2:$B6103=$B6104, $A$2:$A6103+$C$2:$C6103)), "")*24*60, "")</f>
        <v>0</v>
      </c>
      <c r="J6104" s="24" t="str" cm="1">
        <f t="array" ref="J6104">IFERROR(IF($B6104=J$1, ($A6104+$C6104) - MAX(IF($B$2:$B6103=$B6104, $A$2:$A6103+$C$2:$C6103)), "")*24*60, "")</f>
        <v/>
      </c>
      <c r="K6104" s="24" t="str" cm="1">
        <f t="array" ref="K6104">IFERROR(IF($B6104=K$1, ($A6104+$C6104) - MAX(IF($B$2:$B6103=$B6104, $A$2:$A6103+$C$2:$C6103)), "")*24*60, "")</f>
        <v/>
      </c>
      <c r="L6104" s="24" t="str" cm="1">
        <f t="array" ref="L6104">IFERROR(IF($B6104=L$1, ($A6104+$C6104) - MAX(IF($B$2:$B6103=$B6104, $A$2:$A6103+$C$2:$C6103)), "")*24*60, "")</f>
        <v/>
      </c>
      <c r="M6104" s="24" t="str" cm="1">
        <f t="array" ref="M6104">IFERROR(IF($B6104=M$1, ($A6104+$C6104) - MAX(IF($B$2:$B6103=$B6104, $A$2:$A6103+$C$2:$C6103)), "")*24*60, "")</f>
        <v/>
      </c>
      <c r="N6104" s="24" t="str" cm="1">
        <f t="array" ref="N6104">IFERROR(IF($B6104=N$1, ($A6104+$C6104) - MAX(IF($B$2:$B6103=$B6104, $A$2:$A6103+$C$2:$C6103)), "")*24*60, "")</f>
        <v/>
      </c>
      <c r="O6104" s="24" t="str" cm="1">
        <f t="array" ref="O6104">IFERROR(IF($B6104=O$1, ($A6104+$C6104) - MAX(IF($B$2:$B6103=$B6104, $A$2:$A6103+$C$2:$C6103)), "")*24*60, "")</f>
        <v/>
      </c>
      <c r="P6104" s="24" t="str" cm="1">
        <f t="array" ref="P6104">IFERROR(IF($B6104=P$1, ($A6104+$C6104) - MAX(IF($B$2:$B6103=$B6104, $A$2:$A6103+$C$2:$C6103)), "")*24*60, "")</f>
        <v/>
      </c>
      <c r="Q6104" s="24" t="str" cm="1">
        <f t="array" ref="Q6104">IFERROR(IF($B6104=Q$1, ($A6104+$C6104) - MAX(IF($B$2:$B6103=$B6104, $A$2:$A6103+$C$2:$C6103)), "")*24*60, "")</f>
        <v/>
      </c>
      <c r="R6104" s="24" t="str" cm="1">
        <f t="array" ref="R6104">IFERROR(IF($B6104=R$1, ($A6104+$C6104) - MAX(IF($B$2:$B6103=$B6104, $A$2:$A6103+$C$2:$C6103)), "")*24*60, "")</f>
        <v/>
      </c>
      <c r="S6104" s="24" t="str" cm="1">
        <f t="array" ref="S6104">IFERROR(IF($B6104=S$1, ($A6104+$C6104) - MAX(IF($B$2:$B6103=$B6104, $A$2:$A6103+$C$2:$C6103)), "")*24*60, "")</f>
        <v/>
      </c>
    </row>
    <row r="6105" spans="1:19" x14ac:dyDescent="0.2">
      <c r="A6105" s="12">
        <f t="shared" ref="A6105:C6105" si="1247">A6104</f>
        <v>45987</v>
      </c>
      <c r="B6105" s="5" t="str">
        <f t="shared" si="1247"/>
        <v>Northern Cardinal</v>
      </c>
      <c r="C6105" s="6">
        <f t="shared" si="1247"/>
        <v>0.28611111111111109</v>
      </c>
      <c r="D6105" s="5"/>
      <c r="E6105" s="5"/>
      <c r="F6105" s="5" t="s">
        <v>8</v>
      </c>
      <c r="G6105" s="15" t="s">
        <v>9</v>
      </c>
      <c r="H6105" s="24">
        <f t="shared" si="1129"/>
        <v>0</v>
      </c>
      <c r="I6105" s="24" cm="1">
        <f t="array" ref="I6105">IFERROR(IF($B6105=I$1, ($A6105+$C6105) - MAX(IF($B$2:$B6104=$B6105, $A$2:$A6104+$C$2:$C6104)), "")*24*60, "")</f>
        <v>0</v>
      </c>
      <c r="J6105" s="24" t="str" cm="1">
        <f t="array" ref="J6105">IFERROR(IF($B6105=J$1, ($A6105+$C6105) - MAX(IF($B$2:$B6104=$B6105, $A$2:$A6104+$C$2:$C6104)), "")*24*60, "")</f>
        <v/>
      </c>
      <c r="K6105" s="24" t="str" cm="1">
        <f t="array" ref="K6105">IFERROR(IF($B6105=K$1, ($A6105+$C6105) - MAX(IF($B$2:$B6104=$B6105, $A$2:$A6104+$C$2:$C6104)), "")*24*60, "")</f>
        <v/>
      </c>
      <c r="L6105" s="24" t="str" cm="1">
        <f t="array" ref="L6105">IFERROR(IF($B6105=L$1, ($A6105+$C6105) - MAX(IF($B$2:$B6104=$B6105, $A$2:$A6104+$C$2:$C6104)), "")*24*60, "")</f>
        <v/>
      </c>
      <c r="M6105" s="24" t="str" cm="1">
        <f t="array" ref="M6105">IFERROR(IF($B6105=M$1, ($A6105+$C6105) - MAX(IF($B$2:$B6104=$B6105, $A$2:$A6104+$C$2:$C6104)), "")*24*60, "")</f>
        <v/>
      </c>
      <c r="N6105" s="24" t="str" cm="1">
        <f t="array" ref="N6105">IFERROR(IF($B6105=N$1, ($A6105+$C6105) - MAX(IF($B$2:$B6104=$B6105, $A$2:$A6104+$C$2:$C6104)), "")*24*60, "")</f>
        <v/>
      </c>
      <c r="O6105" s="24" t="str" cm="1">
        <f t="array" ref="O6105">IFERROR(IF($B6105=O$1, ($A6105+$C6105) - MAX(IF($B$2:$B6104=$B6105, $A$2:$A6104+$C$2:$C6104)), "")*24*60, "")</f>
        <v/>
      </c>
      <c r="P6105" s="24" t="str" cm="1">
        <f t="array" ref="P6105">IFERROR(IF($B6105=P$1, ($A6105+$C6105) - MAX(IF($B$2:$B6104=$B6105, $A$2:$A6104+$C$2:$C6104)), "")*24*60, "")</f>
        <v/>
      </c>
      <c r="Q6105" s="24" t="str" cm="1">
        <f t="array" ref="Q6105">IFERROR(IF($B6105=Q$1, ($A6105+$C6105) - MAX(IF($B$2:$B6104=$B6105, $A$2:$A6104+$C$2:$C6104)), "")*24*60, "")</f>
        <v/>
      </c>
      <c r="R6105" s="24" t="str" cm="1">
        <f t="array" ref="R6105">IFERROR(IF($B6105=R$1, ($A6105+$C6105) - MAX(IF($B$2:$B6104=$B6105, $A$2:$A6104+$C$2:$C6104)), "")*24*60, "")</f>
        <v/>
      </c>
      <c r="S6105" s="24" t="str" cm="1">
        <f t="array" ref="S6105">IFERROR(IF($B6105=S$1, ($A6105+$C6105) - MAX(IF($B$2:$B6104=$B6105, $A$2:$A6104+$C$2:$C6104)), "")*24*60, "")</f>
        <v/>
      </c>
    </row>
    <row r="6106" spans="1:19" x14ac:dyDescent="0.2">
      <c r="A6106" s="12">
        <f t="shared" ref="A6106:C6106" si="1248">A6105</f>
        <v>45987</v>
      </c>
      <c r="B6106" s="5" t="str">
        <f t="shared" si="1248"/>
        <v>Northern Cardinal</v>
      </c>
      <c r="C6106" s="6">
        <f t="shared" si="1248"/>
        <v>0.28611111111111109</v>
      </c>
      <c r="D6106" s="5"/>
      <c r="E6106" s="5"/>
      <c r="F6106" s="5" t="s">
        <v>8</v>
      </c>
      <c r="G6106" s="15" t="s">
        <v>9</v>
      </c>
      <c r="H6106" s="24">
        <f t="shared" ref="H6106:H6169" si="1249">IFERROR((($A6106+$C6106) - ($A6105+$C6105))*24*60, "")</f>
        <v>0</v>
      </c>
      <c r="I6106" s="24" cm="1">
        <f t="array" ref="I6106">IFERROR(IF($B6106=I$1, ($A6106+$C6106) - MAX(IF($B$2:$B6105=$B6106, $A$2:$A6105+$C$2:$C6105)), "")*24*60, "")</f>
        <v>0</v>
      </c>
      <c r="J6106" s="24" t="str" cm="1">
        <f t="array" ref="J6106">IFERROR(IF($B6106=J$1, ($A6106+$C6106) - MAX(IF($B$2:$B6105=$B6106, $A$2:$A6105+$C$2:$C6105)), "")*24*60, "")</f>
        <v/>
      </c>
      <c r="K6106" s="24" t="str" cm="1">
        <f t="array" ref="K6106">IFERROR(IF($B6106=K$1, ($A6106+$C6106) - MAX(IF($B$2:$B6105=$B6106, $A$2:$A6105+$C$2:$C6105)), "")*24*60, "")</f>
        <v/>
      </c>
      <c r="L6106" s="24" t="str" cm="1">
        <f t="array" ref="L6106">IFERROR(IF($B6106=L$1, ($A6106+$C6106) - MAX(IF($B$2:$B6105=$B6106, $A$2:$A6105+$C$2:$C6105)), "")*24*60, "")</f>
        <v/>
      </c>
      <c r="M6106" s="24" t="str" cm="1">
        <f t="array" ref="M6106">IFERROR(IF($B6106=M$1, ($A6106+$C6106) - MAX(IF($B$2:$B6105=$B6106, $A$2:$A6105+$C$2:$C6105)), "")*24*60, "")</f>
        <v/>
      </c>
      <c r="N6106" s="24" t="str" cm="1">
        <f t="array" ref="N6106">IFERROR(IF($B6106=N$1, ($A6106+$C6106) - MAX(IF($B$2:$B6105=$B6106, $A$2:$A6105+$C$2:$C6105)), "")*24*60, "")</f>
        <v/>
      </c>
      <c r="O6106" s="24" t="str" cm="1">
        <f t="array" ref="O6106">IFERROR(IF($B6106=O$1, ($A6106+$C6106) - MAX(IF($B$2:$B6105=$B6106, $A$2:$A6105+$C$2:$C6105)), "")*24*60, "")</f>
        <v/>
      </c>
      <c r="P6106" s="24" t="str" cm="1">
        <f t="array" ref="P6106">IFERROR(IF($B6106=P$1, ($A6106+$C6106) - MAX(IF($B$2:$B6105=$B6106, $A$2:$A6105+$C$2:$C6105)), "")*24*60, "")</f>
        <v/>
      </c>
      <c r="Q6106" s="24" t="str" cm="1">
        <f t="array" ref="Q6106">IFERROR(IF($B6106=Q$1, ($A6106+$C6106) - MAX(IF($B$2:$B6105=$B6106, $A$2:$A6105+$C$2:$C6105)), "")*24*60, "")</f>
        <v/>
      </c>
      <c r="R6106" s="24" t="str" cm="1">
        <f t="array" ref="R6106">IFERROR(IF($B6106=R$1, ($A6106+$C6106) - MAX(IF($B$2:$B6105=$B6106, $A$2:$A6105+$C$2:$C6105)), "")*24*60, "")</f>
        <v/>
      </c>
      <c r="S6106" s="24" t="str" cm="1">
        <f t="array" ref="S6106">IFERROR(IF($B6106=S$1, ($A6106+$C6106) - MAX(IF($B$2:$B6105=$B6106, $A$2:$A6105+$C$2:$C6105)), "")*24*60, "")</f>
        <v/>
      </c>
    </row>
    <row r="6107" spans="1:19" x14ac:dyDescent="0.2">
      <c r="A6107" s="12">
        <f t="shared" ref="A6107:C6107" si="1250">A6106</f>
        <v>45987</v>
      </c>
      <c r="B6107" s="5" t="str">
        <f t="shared" si="1250"/>
        <v>Northern Cardinal</v>
      </c>
      <c r="C6107" s="6">
        <f t="shared" si="1250"/>
        <v>0.28611111111111109</v>
      </c>
      <c r="D6107" s="5"/>
      <c r="E6107" s="5"/>
      <c r="F6107" s="5" t="s">
        <v>8</v>
      </c>
      <c r="G6107" s="15" t="s">
        <v>9</v>
      </c>
      <c r="H6107" s="24">
        <f t="shared" si="1249"/>
        <v>0</v>
      </c>
      <c r="I6107" s="24" cm="1">
        <f t="array" ref="I6107">IFERROR(IF($B6107=I$1, ($A6107+$C6107) - MAX(IF($B$2:$B6106=$B6107, $A$2:$A6106+$C$2:$C6106)), "")*24*60, "")</f>
        <v>0</v>
      </c>
      <c r="J6107" s="24" t="str" cm="1">
        <f t="array" ref="J6107">IFERROR(IF($B6107=J$1, ($A6107+$C6107) - MAX(IF($B$2:$B6106=$B6107, $A$2:$A6106+$C$2:$C6106)), "")*24*60, "")</f>
        <v/>
      </c>
      <c r="K6107" s="24" t="str" cm="1">
        <f t="array" ref="K6107">IFERROR(IF($B6107=K$1, ($A6107+$C6107) - MAX(IF($B$2:$B6106=$B6107, $A$2:$A6106+$C$2:$C6106)), "")*24*60, "")</f>
        <v/>
      </c>
      <c r="L6107" s="24" t="str" cm="1">
        <f t="array" ref="L6107">IFERROR(IF($B6107=L$1, ($A6107+$C6107) - MAX(IF($B$2:$B6106=$B6107, $A$2:$A6106+$C$2:$C6106)), "")*24*60, "")</f>
        <v/>
      </c>
      <c r="M6107" s="24" t="str" cm="1">
        <f t="array" ref="M6107">IFERROR(IF($B6107=M$1, ($A6107+$C6107) - MAX(IF($B$2:$B6106=$B6107, $A$2:$A6106+$C$2:$C6106)), "")*24*60, "")</f>
        <v/>
      </c>
      <c r="N6107" s="24" t="str" cm="1">
        <f t="array" ref="N6107">IFERROR(IF($B6107=N$1, ($A6107+$C6107) - MAX(IF($B$2:$B6106=$B6107, $A$2:$A6106+$C$2:$C6106)), "")*24*60, "")</f>
        <v/>
      </c>
      <c r="O6107" s="24" t="str" cm="1">
        <f t="array" ref="O6107">IFERROR(IF($B6107=O$1, ($A6107+$C6107) - MAX(IF($B$2:$B6106=$B6107, $A$2:$A6106+$C$2:$C6106)), "")*24*60, "")</f>
        <v/>
      </c>
      <c r="P6107" s="24" t="str" cm="1">
        <f t="array" ref="P6107">IFERROR(IF($B6107=P$1, ($A6107+$C6107) - MAX(IF($B$2:$B6106=$B6107, $A$2:$A6106+$C$2:$C6106)), "")*24*60, "")</f>
        <v/>
      </c>
      <c r="Q6107" s="24" t="str" cm="1">
        <f t="array" ref="Q6107">IFERROR(IF($B6107=Q$1, ($A6107+$C6107) - MAX(IF($B$2:$B6106=$B6107, $A$2:$A6106+$C$2:$C6106)), "")*24*60, "")</f>
        <v/>
      </c>
      <c r="R6107" s="24" t="str" cm="1">
        <f t="array" ref="R6107">IFERROR(IF($B6107=R$1, ($A6107+$C6107) - MAX(IF($B$2:$B6106=$B6107, $A$2:$A6106+$C$2:$C6106)), "")*24*60, "")</f>
        <v/>
      </c>
      <c r="S6107" s="24" t="str" cm="1">
        <f t="array" ref="S6107">IFERROR(IF($B6107=S$1, ($A6107+$C6107) - MAX(IF($B$2:$B6106=$B6107, $A$2:$A6106+$C$2:$C6106)), "")*24*60, "")</f>
        <v/>
      </c>
    </row>
    <row r="6108" spans="1:19" x14ac:dyDescent="0.2">
      <c r="A6108" s="12">
        <f t="shared" ref="A6108:C6108" si="1251">A6107</f>
        <v>45987</v>
      </c>
      <c r="B6108" s="5" t="str">
        <f t="shared" si="1251"/>
        <v>Northern Cardinal</v>
      </c>
      <c r="C6108" s="6">
        <f t="shared" si="1251"/>
        <v>0.28611111111111109</v>
      </c>
      <c r="D6108" s="5"/>
      <c r="E6108" s="5"/>
      <c r="F6108" s="5" t="s">
        <v>8</v>
      </c>
      <c r="G6108" s="15" t="s">
        <v>9</v>
      </c>
      <c r="H6108" s="24">
        <f t="shared" si="1249"/>
        <v>0</v>
      </c>
      <c r="I6108" s="24" cm="1">
        <f t="array" ref="I6108">IFERROR(IF($B6108=I$1, ($A6108+$C6108) - MAX(IF($B$2:$B6107=$B6108, $A$2:$A6107+$C$2:$C6107)), "")*24*60, "")</f>
        <v>0</v>
      </c>
      <c r="J6108" s="24" t="str" cm="1">
        <f t="array" ref="J6108">IFERROR(IF($B6108=J$1, ($A6108+$C6108) - MAX(IF($B$2:$B6107=$B6108, $A$2:$A6107+$C$2:$C6107)), "")*24*60, "")</f>
        <v/>
      </c>
      <c r="K6108" s="24" t="str" cm="1">
        <f t="array" ref="K6108">IFERROR(IF($B6108=K$1, ($A6108+$C6108) - MAX(IF($B$2:$B6107=$B6108, $A$2:$A6107+$C$2:$C6107)), "")*24*60, "")</f>
        <v/>
      </c>
      <c r="L6108" s="24" t="str" cm="1">
        <f t="array" ref="L6108">IFERROR(IF($B6108=L$1, ($A6108+$C6108) - MAX(IF($B$2:$B6107=$B6108, $A$2:$A6107+$C$2:$C6107)), "")*24*60, "")</f>
        <v/>
      </c>
      <c r="M6108" s="24" t="str" cm="1">
        <f t="array" ref="M6108">IFERROR(IF($B6108=M$1, ($A6108+$C6108) - MAX(IF($B$2:$B6107=$B6108, $A$2:$A6107+$C$2:$C6107)), "")*24*60, "")</f>
        <v/>
      </c>
      <c r="N6108" s="24" t="str" cm="1">
        <f t="array" ref="N6108">IFERROR(IF($B6108=N$1, ($A6108+$C6108) - MAX(IF($B$2:$B6107=$B6108, $A$2:$A6107+$C$2:$C6107)), "")*24*60, "")</f>
        <v/>
      </c>
      <c r="O6108" s="24" t="str" cm="1">
        <f t="array" ref="O6108">IFERROR(IF($B6108=O$1, ($A6108+$C6108) - MAX(IF($B$2:$B6107=$B6108, $A$2:$A6107+$C$2:$C6107)), "")*24*60, "")</f>
        <v/>
      </c>
      <c r="P6108" s="24" t="str" cm="1">
        <f t="array" ref="P6108">IFERROR(IF($B6108=P$1, ($A6108+$C6108) - MAX(IF($B$2:$B6107=$B6108, $A$2:$A6107+$C$2:$C6107)), "")*24*60, "")</f>
        <v/>
      </c>
      <c r="Q6108" s="24" t="str" cm="1">
        <f t="array" ref="Q6108">IFERROR(IF($B6108=Q$1, ($A6108+$C6108) - MAX(IF($B$2:$B6107=$B6108, $A$2:$A6107+$C$2:$C6107)), "")*24*60, "")</f>
        <v/>
      </c>
      <c r="R6108" s="24" t="str" cm="1">
        <f t="array" ref="R6108">IFERROR(IF($B6108=R$1, ($A6108+$C6108) - MAX(IF($B$2:$B6107=$B6108, $A$2:$A6107+$C$2:$C6107)), "")*24*60, "")</f>
        <v/>
      </c>
      <c r="S6108" s="24" t="str" cm="1">
        <f t="array" ref="S6108">IFERROR(IF($B6108=S$1, ($A6108+$C6108) - MAX(IF($B$2:$B6107=$B6108, $A$2:$A6107+$C$2:$C6107)), "")*24*60, "")</f>
        <v/>
      </c>
    </row>
    <row r="6109" spans="1:19" x14ac:dyDescent="0.2">
      <c r="A6109" s="12">
        <f t="shared" ref="A6109:C6109" si="1252">A6108</f>
        <v>45987</v>
      </c>
      <c r="B6109" s="5" t="str">
        <f t="shared" si="1252"/>
        <v>Northern Cardinal</v>
      </c>
      <c r="C6109" s="6">
        <f t="shared" si="1252"/>
        <v>0.28611111111111109</v>
      </c>
      <c r="D6109" s="5"/>
      <c r="E6109" s="5"/>
      <c r="F6109" s="5" t="s">
        <v>8</v>
      </c>
      <c r="G6109" s="15" t="s">
        <v>9</v>
      </c>
      <c r="H6109" s="24">
        <f t="shared" si="1249"/>
        <v>0</v>
      </c>
      <c r="I6109" s="24" cm="1">
        <f t="array" ref="I6109">IFERROR(IF($B6109=I$1, ($A6109+$C6109) - MAX(IF($B$2:$B6108=$B6109, $A$2:$A6108+$C$2:$C6108)), "")*24*60, "")</f>
        <v>0</v>
      </c>
      <c r="J6109" s="24" t="str" cm="1">
        <f t="array" ref="J6109">IFERROR(IF($B6109=J$1, ($A6109+$C6109) - MAX(IF($B$2:$B6108=$B6109, $A$2:$A6108+$C$2:$C6108)), "")*24*60, "")</f>
        <v/>
      </c>
      <c r="K6109" s="24" t="str" cm="1">
        <f t="array" ref="K6109">IFERROR(IF($B6109=K$1, ($A6109+$C6109) - MAX(IF($B$2:$B6108=$B6109, $A$2:$A6108+$C$2:$C6108)), "")*24*60, "")</f>
        <v/>
      </c>
      <c r="L6109" s="24" t="str" cm="1">
        <f t="array" ref="L6109">IFERROR(IF($B6109=L$1, ($A6109+$C6109) - MAX(IF($B$2:$B6108=$B6109, $A$2:$A6108+$C$2:$C6108)), "")*24*60, "")</f>
        <v/>
      </c>
      <c r="M6109" s="24" t="str" cm="1">
        <f t="array" ref="M6109">IFERROR(IF($B6109=M$1, ($A6109+$C6109) - MAX(IF($B$2:$B6108=$B6109, $A$2:$A6108+$C$2:$C6108)), "")*24*60, "")</f>
        <v/>
      </c>
      <c r="N6109" s="24" t="str" cm="1">
        <f t="array" ref="N6109">IFERROR(IF($B6109=N$1, ($A6109+$C6109) - MAX(IF($B$2:$B6108=$B6109, $A$2:$A6108+$C$2:$C6108)), "")*24*60, "")</f>
        <v/>
      </c>
      <c r="O6109" s="24" t="str" cm="1">
        <f t="array" ref="O6109">IFERROR(IF($B6109=O$1, ($A6109+$C6109) - MAX(IF($B$2:$B6108=$B6109, $A$2:$A6108+$C$2:$C6108)), "")*24*60, "")</f>
        <v/>
      </c>
      <c r="P6109" s="24" t="str" cm="1">
        <f t="array" ref="P6109">IFERROR(IF($B6109=P$1, ($A6109+$C6109) - MAX(IF($B$2:$B6108=$B6109, $A$2:$A6108+$C$2:$C6108)), "")*24*60, "")</f>
        <v/>
      </c>
      <c r="Q6109" s="24" t="str" cm="1">
        <f t="array" ref="Q6109">IFERROR(IF($B6109=Q$1, ($A6109+$C6109) - MAX(IF($B$2:$B6108=$B6109, $A$2:$A6108+$C$2:$C6108)), "")*24*60, "")</f>
        <v/>
      </c>
      <c r="R6109" s="24" t="str" cm="1">
        <f t="array" ref="R6109">IFERROR(IF($B6109=R$1, ($A6109+$C6109) - MAX(IF($B$2:$B6108=$B6109, $A$2:$A6108+$C$2:$C6108)), "")*24*60, "")</f>
        <v/>
      </c>
      <c r="S6109" s="24" t="str" cm="1">
        <f t="array" ref="S6109">IFERROR(IF($B6109=S$1, ($A6109+$C6109) - MAX(IF($B$2:$B6108=$B6109, $A$2:$A6108+$C$2:$C6108)), "")*24*60, "")</f>
        <v/>
      </c>
    </row>
    <row r="6110" spans="1:19" x14ac:dyDescent="0.2">
      <c r="A6110" s="12">
        <f t="shared" ref="A6110:C6110" si="1253">A6109</f>
        <v>45987</v>
      </c>
      <c r="B6110" s="5" t="str">
        <f t="shared" si="1253"/>
        <v>Northern Cardinal</v>
      </c>
      <c r="C6110" s="6">
        <f t="shared" si="1253"/>
        <v>0.28611111111111109</v>
      </c>
      <c r="D6110" s="5"/>
      <c r="E6110" s="5"/>
      <c r="F6110" s="5" t="s">
        <v>8</v>
      </c>
      <c r="G6110" s="15" t="s">
        <v>9</v>
      </c>
      <c r="H6110" s="24">
        <f t="shared" si="1249"/>
        <v>0</v>
      </c>
      <c r="I6110" s="24" cm="1">
        <f t="array" ref="I6110">IFERROR(IF($B6110=I$1, ($A6110+$C6110) - MAX(IF($B$2:$B6109=$B6110, $A$2:$A6109+$C$2:$C6109)), "")*24*60, "")</f>
        <v>0</v>
      </c>
      <c r="J6110" s="24" t="str" cm="1">
        <f t="array" ref="J6110">IFERROR(IF($B6110=J$1, ($A6110+$C6110) - MAX(IF($B$2:$B6109=$B6110, $A$2:$A6109+$C$2:$C6109)), "")*24*60, "")</f>
        <v/>
      </c>
      <c r="K6110" s="24" t="str" cm="1">
        <f t="array" ref="K6110">IFERROR(IF($B6110=K$1, ($A6110+$C6110) - MAX(IF($B$2:$B6109=$B6110, $A$2:$A6109+$C$2:$C6109)), "")*24*60, "")</f>
        <v/>
      </c>
      <c r="L6110" s="24" t="str" cm="1">
        <f t="array" ref="L6110">IFERROR(IF($B6110=L$1, ($A6110+$C6110) - MAX(IF($B$2:$B6109=$B6110, $A$2:$A6109+$C$2:$C6109)), "")*24*60, "")</f>
        <v/>
      </c>
      <c r="M6110" s="24" t="str" cm="1">
        <f t="array" ref="M6110">IFERROR(IF($B6110=M$1, ($A6110+$C6110) - MAX(IF($B$2:$B6109=$B6110, $A$2:$A6109+$C$2:$C6109)), "")*24*60, "")</f>
        <v/>
      </c>
      <c r="N6110" s="24" t="str" cm="1">
        <f t="array" ref="N6110">IFERROR(IF($B6110=N$1, ($A6110+$C6110) - MAX(IF($B$2:$B6109=$B6110, $A$2:$A6109+$C$2:$C6109)), "")*24*60, "")</f>
        <v/>
      </c>
      <c r="O6110" s="24" t="str" cm="1">
        <f t="array" ref="O6110">IFERROR(IF($B6110=O$1, ($A6110+$C6110) - MAX(IF($B$2:$B6109=$B6110, $A$2:$A6109+$C$2:$C6109)), "")*24*60, "")</f>
        <v/>
      </c>
      <c r="P6110" s="24" t="str" cm="1">
        <f t="array" ref="P6110">IFERROR(IF($B6110=P$1, ($A6110+$C6110) - MAX(IF($B$2:$B6109=$B6110, $A$2:$A6109+$C$2:$C6109)), "")*24*60, "")</f>
        <v/>
      </c>
      <c r="Q6110" s="24" t="str" cm="1">
        <f t="array" ref="Q6110">IFERROR(IF($B6110=Q$1, ($A6110+$C6110) - MAX(IF($B$2:$B6109=$B6110, $A$2:$A6109+$C$2:$C6109)), "")*24*60, "")</f>
        <v/>
      </c>
      <c r="R6110" s="24" t="str" cm="1">
        <f t="array" ref="R6110">IFERROR(IF($B6110=R$1, ($A6110+$C6110) - MAX(IF($B$2:$B6109=$B6110, $A$2:$A6109+$C$2:$C6109)), "")*24*60, "")</f>
        <v/>
      </c>
      <c r="S6110" s="24" t="str" cm="1">
        <f t="array" ref="S6110">IFERROR(IF($B6110=S$1, ($A6110+$C6110) - MAX(IF($B$2:$B6109=$B6110, $A$2:$A6109+$C$2:$C6109)), "")*24*60, "")</f>
        <v/>
      </c>
    </row>
    <row r="6111" spans="1:19" x14ac:dyDescent="0.2">
      <c r="A6111" s="12">
        <f t="shared" ref="A6111:C6111" si="1254">A6110</f>
        <v>45987</v>
      </c>
      <c r="B6111" s="5" t="str">
        <f t="shared" si="1254"/>
        <v>Northern Cardinal</v>
      </c>
      <c r="C6111" s="6">
        <f t="shared" si="1254"/>
        <v>0.28611111111111109</v>
      </c>
      <c r="D6111" s="5"/>
      <c r="E6111" s="5"/>
      <c r="F6111" s="5" t="s">
        <v>8</v>
      </c>
      <c r="G6111" s="15" t="s">
        <v>9</v>
      </c>
      <c r="H6111" s="24">
        <f t="shared" si="1249"/>
        <v>0</v>
      </c>
      <c r="I6111" s="24" cm="1">
        <f t="array" ref="I6111">IFERROR(IF($B6111=I$1, ($A6111+$C6111) - MAX(IF($B$2:$B6110=$B6111, $A$2:$A6110+$C$2:$C6110)), "")*24*60, "")</f>
        <v>0</v>
      </c>
      <c r="J6111" s="24" t="str" cm="1">
        <f t="array" ref="J6111">IFERROR(IF($B6111=J$1, ($A6111+$C6111) - MAX(IF($B$2:$B6110=$B6111, $A$2:$A6110+$C$2:$C6110)), "")*24*60, "")</f>
        <v/>
      </c>
      <c r="K6111" s="24" t="str" cm="1">
        <f t="array" ref="K6111">IFERROR(IF($B6111=K$1, ($A6111+$C6111) - MAX(IF($B$2:$B6110=$B6111, $A$2:$A6110+$C$2:$C6110)), "")*24*60, "")</f>
        <v/>
      </c>
      <c r="L6111" s="24" t="str" cm="1">
        <f t="array" ref="L6111">IFERROR(IF($B6111=L$1, ($A6111+$C6111) - MAX(IF($B$2:$B6110=$B6111, $A$2:$A6110+$C$2:$C6110)), "")*24*60, "")</f>
        <v/>
      </c>
      <c r="M6111" s="24" t="str" cm="1">
        <f t="array" ref="M6111">IFERROR(IF($B6111=M$1, ($A6111+$C6111) - MAX(IF($B$2:$B6110=$B6111, $A$2:$A6110+$C$2:$C6110)), "")*24*60, "")</f>
        <v/>
      </c>
      <c r="N6111" s="24" t="str" cm="1">
        <f t="array" ref="N6111">IFERROR(IF($B6111=N$1, ($A6111+$C6111) - MAX(IF($B$2:$B6110=$B6111, $A$2:$A6110+$C$2:$C6110)), "")*24*60, "")</f>
        <v/>
      </c>
      <c r="O6111" s="24" t="str" cm="1">
        <f t="array" ref="O6111">IFERROR(IF($B6111=O$1, ($A6111+$C6111) - MAX(IF($B$2:$B6110=$B6111, $A$2:$A6110+$C$2:$C6110)), "")*24*60, "")</f>
        <v/>
      </c>
      <c r="P6111" s="24" t="str" cm="1">
        <f t="array" ref="P6111">IFERROR(IF($B6111=P$1, ($A6111+$C6111) - MAX(IF($B$2:$B6110=$B6111, $A$2:$A6110+$C$2:$C6110)), "")*24*60, "")</f>
        <v/>
      </c>
      <c r="Q6111" s="24" t="str" cm="1">
        <f t="array" ref="Q6111">IFERROR(IF($B6111=Q$1, ($A6111+$C6111) - MAX(IF($B$2:$B6110=$B6111, $A$2:$A6110+$C$2:$C6110)), "")*24*60, "")</f>
        <v/>
      </c>
      <c r="R6111" s="24" t="str" cm="1">
        <f t="array" ref="R6111">IFERROR(IF($B6111=R$1, ($A6111+$C6111) - MAX(IF($B$2:$B6110=$B6111, $A$2:$A6110+$C$2:$C6110)), "")*24*60, "")</f>
        <v/>
      </c>
      <c r="S6111" s="24" t="str" cm="1">
        <f t="array" ref="S6111">IFERROR(IF($B6111=S$1, ($A6111+$C6111) - MAX(IF($B$2:$B6110=$B6111, $A$2:$A6110+$C$2:$C6110)), "")*24*60, "")</f>
        <v/>
      </c>
    </row>
    <row r="6112" spans="1:19" x14ac:dyDescent="0.2">
      <c r="A6112" s="12">
        <f t="shared" ref="A6112:C6112" si="1255">A6111</f>
        <v>45987</v>
      </c>
      <c r="B6112" s="5" t="str">
        <f t="shared" si="1255"/>
        <v>Northern Cardinal</v>
      </c>
      <c r="C6112" s="6">
        <f t="shared" si="1255"/>
        <v>0.28611111111111109</v>
      </c>
      <c r="D6112" s="5"/>
      <c r="E6112" s="5"/>
      <c r="F6112" s="5" t="s">
        <v>8</v>
      </c>
      <c r="G6112" s="15" t="s">
        <v>9</v>
      </c>
      <c r="H6112" s="24">
        <f t="shared" si="1249"/>
        <v>0</v>
      </c>
      <c r="I6112" s="24" cm="1">
        <f t="array" ref="I6112">IFERROR(IF($B6112=I$1, ($A6112+$C6112) - MAX(IF($B$2:$B6111=$B6112, $A$2:$A6111+$C$2:$C6111)), "")*24*60, "")</f>
        <v>0</v>
      </c>
      <c r="J6112" s="24" t="str" cm="1">
        <f t="array" ref="J6112">IFERROR(IF($B6112=J$1, ($A6112+$C6112) - MAX(IF($B$2:$B6111=$B6112, $A$2:$A6111+$C$2:$C6111)), "")*24*60, "")</f>
        <v/>
      </c>
      <c r="K6112" s="24" t="str" cm="1">
        <f t="array" ref="K6112">IFERROR(IF($B6112=K$1, ($A6112+$C6112) - MAX(IF($B$2:$B6111=$B6112, $A$2:$A6111+$C$2:$C6111)), "")*24*60, "")</f>
        <v/>
      </c>
      <c r="L6112" s="24" t="str" cm="1">
        <f t="array" ref="L6112">IFERROR(IF($B6112=L$1, ($A6112+$C6112) - MAX(IF($B$2:$B6111=$B6112, $A$2:$A6111+$C$2:$C6111)), "")*24*60, "")</f>
        <v/>
      </c>
      <c r="M6112" s="24" t="str" cm="1">
        <f t="array" ref="M6112">IFERROR(IF($B6112=M$1, ($A6112+$C6112) - MAX(IF($B$2:$B6111=$B6112, $A$2:$A6111+$C$2:$C6111)), "")*24*60, "")</f>
        <v/>
      </c>
      <c r="N6112" s="24" t="str" cm="1">
        <f t="array" ref="N6112">IFERROR(IF($B6112=N$1, ($A6112+$C6112) - MAX(IF($B$2:$B6111=$B6112, $A$2:$A6111+$C$2:$C6111)), "")*24*60, "")</f>
        <v/>
      </c>
      <c r="O6112" s="24" t="str" cm="1">
        <f t="array" ref="O6112">IFERROR(IF($B6112=O$1, ($A6112+$C6112) - MAX(IF($B$2:$B6111=$B6112, $A$2:$A6111+$C$2:$C6111)), "")*24*60, "")</f>
        <v/>
      </c>
      <c r="P6112" s="24" t="str" cm="1">
        <f t="array" ref="P6112">IFERROR(IF($B6112=P$1, ($A6112+$C6112) - MAX(IF($B$2:$B6111=$B6112, $A$2:$A6111+$C$2:$C6111)), "")*24*60, "")</f>
        <v/>
      </c>
      <c r="Q6112" s="24" t="str" cm="1">
        <f t="array" ref="Q6112">IFERROR(IF($B6112=Q$1, ($A6112+$C6112) - MAX(IF($B$2:$B6111=$B6112, $A$2:$A6111+$C$2:$C6111)), "")*24*60, "")</f>
        <v/>
      </c>
      <c r="R6112" s="24" t="str" cm="1">
        <f t="array" ref="R6112">IFERROR(IF($B6112=R$1, ($A6112+$C6112) - MAX(IF($B$2:$B6111=$B6112, $A$2:$A6111+$C$2:$C6111)), "")*24*60, "")</f>
        <v/>
      </c>
      <c r="S6112" s="24" t="str" cm="1">
        <f t="array" ref="S6112">IFERROR(IF($B6112=S$1, ($A6112+$C6112) - MAX(IF($B$2:$B6111=$B6112, $A$2:$A6111+$C$2:$C6111)), "")*24*60, "")</f>
        <v/>
      </c>
    </row>
    <row r="6113" spans="1:19" x14ac:dyDescent="0.2">
      <c r="A6113" s="12">
        <f t="shared" ref="A6113:C6113" si="1256">A6112</f>
        <v>45987</v>
      </c>
      <c r="B6113" s="5" t="str">
        <f t="shared" si="1256"/>
        <v>Northern Cardinal</v>
      </c>
      <c r="C6113" s="6">
        <f t="shared" si="1256"/>
        <v>0.28611111111111109</v>
      </c>
      <c r="D6113" s="5"/>
      <c r="E6113" s="5"/>
      <c r="F6113" s="5" t="s">
        <v>8</v>
      </c>
      <c r="G6113" s="15" t="s">
        <v>9</v>
      </c>
      <c r="H6113" s="24">
        <f t="shared" si="1249"/>
        <v>0</v>
      </c>
      <c r="I6113" s="24" cm="1">
        <f t="array" ref="I6113">IFERROR(IF($B6113=I$1, ($A6113+$C6113) - MAX(IF($B$2:$B6112=$B6113, $A$2:$A6112+$C$2:$C6112)), "")*24*60, "")</f>
        <v>0</v>
      </c>
      <c r="J6113" s="24" t="str" cm="1">
        <f t="array" ref="J6113">IFERROR(IF($B6113=J$1, ($A6113+$C6113) - MAX(IF($B$2:$B6112=$B6113, $A$2:$A6112+$C$2:$C6112)), "")*24*60, "")</f>
        <v/>
      </c>
      <c r="K6113" s="24" t="str" cm="1">
        <f t="array" ref="K6113">IFERROR(IF($B6113=K$1, ($A6113+$C6113) - MAX(IF($B$2:$B6112=$B6113, $A$2:$A6112+$C$2:$C6112)), "")*24*60, "")</f>
        <v/>
      </c>
      <c r="L6113" s="24" t="str" cm="1">
        <f t="array" ref="L6113">IFERROR(IF($B6113=L$1, ($A6113+$C6113) - MAX(IF($B$2:$B6112=$B6113, $A$2:$A6112+$C$2:$C6112)), "")*24*60, "")</f>
        <v/>
      </c>
      <c r="M6113" s="24" t="str" cm="1">
        <f t="array" ref="M6113">IFERROR(IF($B6113=M$1, ($A6113+$C6113) - MAX(IF($B$2:$B6112=$B6113, $A$2:$A6112+$C$2:$C6112)), "")*24*60, "")</f>
        <v/>
      </c>
      <c r="N6113" s="24" t="str" cm="1">
        <f t="array" ref="N6113">IFERROR(IF($B6113=N$1, ($A6113+$C6113) - MAX(IF($B$2:$B6112=$B6113, $A$2:$A6112+$C$2:$C6112)), "")*24*60, "")</f>
        <v/>
      </c>
      <c r="O6113" s="24" t="str" cm="1">
        <f t="array" ref="O6113">IFERROR(IF($B6113=O$1, ($A6113+$C6113) - MAX(IF($B$2:$B6112=$B6113, $A$2:$A6112+$C$2:$C6112)), "")*24*60, "")</f>
        <v/>
      </c>
      <c r="P6113" s="24" t="str" cm="1">
        <f t="array" ref="P6113">IFERROR(IF($B6113=P$1, ($A6113+$C6113) - MAX(IF($B$2:$B6112=$B6113, $A$2:$A6112+$C$2:$C6112)), "")*24*60, "")</f>
        <v/>
      </c>
      <c r="Q6113" s="24" t="str" cm="1">
        <f t="array" ref="Q6113">IFERROR(IF($B6113=Q$1, ($A6113+$C6113) - MAX(IF($B$2:$B6112=$B6113, $A$2:$A6112+$C$2:$C6112)), "")*24*60, "")</f>
        <v/>
      </c>
      <c r="R6113" s="24" t="str" cm="1">
        <f t="array" ref="R6113">IFERROR(IF($B6113=R$1, ($A6113+$C6113) - MAX(IF($B$2:$B6112=$B6113, $A$2:$A6112+$C$2:$C6112)), "")*24*60, "")</f>
        <v/>
      </c>
      <c r="S6113" s="24" t="str" cm="1">
        <f t="array" ref="S6113">IFERROR(IF($B6113=S$1, ($A6113+$C6113) - MAX(IF($B$2:$B6112=$B6113, $A$2:$A6112+$C$2:$C6112)), "")*24*60, "")</f>
        <v/>
      </c>
    </row>
    <row r="6114" spans="1:19" x14ac:dyDescent="0.2">
      <c r="A6114" s="12">
        <f t="shared" ref="A6114:C6114" si="1257">A6113</f>
        <v>45987</v>
      </c>
      <c r="B6114" s="5" t="str">
        <f t="shared" si="1257"/>
        <v>Northern Cardinal</v>
      </c>
      <c r="C6114" s="6">
        <f t="shared" si="1257"/>
        <v>0.28611111111111109</v>
      </c>
      <c r="D6114" s="5"/>
      <c r="E6114" s="5"/>
      <c r="F6114" s="5" t="s">
        <v>8</v>
      </c>
      <c r="G6114" s="15" t="s">
        <v>9</v>
      </c>
      <c r="H6114" s="24">
        <f t="shared" si="1249"/>
        <v>0</v>
      </c>
      <c r="I6114" s="24" cm="1">
        <f t="array" ref="I6114">IFERROR(IF($B6114=I$1, ($A6114+$C6114) - MAX(IF($B$2:$B6113=$B6114, $A$2:$A6113+$C$2:$C6113)), "")*24*60, "")</f>
        <v>0</v>
      </c>
      <c r="J6114" s="24" t="str" cm="1">
        <f t="array" ref="J6114">IFERROR(IF($B6114=J$1, ($A6114+$C6114) - MAX(IF($B$2:$B6113=$B6114, $A$2:$A6113+$C$2:$C6113)), "")*24*60, "")</f>
        <v/>
      </c>
      <c r="K6114" s="24" t="str" cm="1">
        <f t="array" ref="K6114">IFERROR(IF($B6114=K$1, ($A6114+$C6114) - MAX(IF($B$2:$B6113=$B6114, $A$2:$A6113+$C$2:$C6113)), "")*24*60, "")</f>
        <v/>
      </c>
      <c r="L6114" s="24" t="str" cm="1">
        <f t="array" ref="L6114">IFERROR(IF($B6114=L$1, ($A6114+$C6114) - MAX(IF($B$2:$B6113=$B6114, $A$2:$A6113+$C$2:$C6113)), "")*24*60, "")</f>
        <v/>
      </c>
      <c r="M6114" s="24" t="str" cm="1">
        <f t="array" ref="M6114">IFERROR(IF($B6114=M$1, ($A6114+$C6114) - MAX(IF($B$2:$B6113=$B6114, $A$2:$A6113+$C$2:$C6113)), "")*24*60, "")</f>
        <v/>
      </c>
      <c r="N6114" s="24" t="str" cm="1">
        <f t="array" ref="N6114">IFERROR(IF($B6114=N$1, ($A6114+$C6114) - MAX(IF($B$2:$B6113=$B6114, $A$2:$A6113+$C$2:$C6113)), "")*24*60, "")</f>
        <v/>
      </c>
      <c r="O6114" s="24" t="str" cm="1">
        <f t="array" ref="O6114">IFERROR(IF($B6114=O$1, ($A6114+$C6114) - MAX(IF($B$2:$B6113=$B6114, $A$2:$A6113+$C$2:$C6113)), "")*24*60, "")</f>
        <v/>
      </c>
      <c r="P6114" s="24" t="str" cm="1">
        <f t="array" ref="P6114">IFERROR(IF($B6114=P$1, ($A6114+$C6114) - MAX(IF($B$2:$B6113=$B6114, $A$2:$A6113+$C$2:$C6113)), "")*24*60, "")</f>
        <v/>
      </c>
      <c r="Q6114" s="24" t="str" cm="1">
        <f t="array" ref="Q6114">IFERROR(IF($B6114=Q$1, ($A6114+$C6114) - MAX(IF($B$2:$B6113=$B6114, $A$2:$A6113+$C$2:$C6113)), "")*24*60, "")</f>
        <v/>
      </c>
      <c r="R6114" s="24" t="str" cm="1">
        <f t="array" ref="R6114">IFERROR(IF($B6114=R$1, ($A6114+$C6114) - MAX(IF($B$2:$B6113=$B6114, $A$2:$A6113+$C$2:$C6113)), "")*24*60, "")</f>
        <v/>
      </c>
      <c r="S6114" s="24" t="str" cm="1">
        <f t="array" ref="S6114">IFERROR(IF($B6114=S$1, ($A6114+$C6114) - MAX(IF($B$2:$B6113=$B6114, $A$2:$A6113+$C$2:$C6113)), "")*24*60, "")</f>
        <v/>
      </c>
    </row>
    <row r="6115" spans="1:19" x14ac:dyDescent="0.2">
      <c r="A6115" s="12">
        <f t="shared" ref="A6115:C6115" si="1258">A6114</f>
        <v>45987</v>
      </c>
      <c r="B6115" s="5" t="str">
        <f t="shared" si="1258"/>
        <v>Northern Cardinal</v>
      </c>
      <c r="C6115" s="6">
        <f t="shared" si="1258"/>
        <v>0.28611111111111109</v>
      </c>
      <c r="D6115" s="5"/>
      <c r="E6115" s="5"/>
      <c r="F6115" s="5" t="s">
        <v>8</v>
      </c>
      <c r="G6115" s="15" t="s">
        <v>9</v>
      </c>
      <c r="H6115" s="24">
        <f t="shared" si="1249"/>
        <v>0</v>
      </c>
      <c r="I6115" s="24" cm="1">
        <f t="array" ref="I6115">IFERROR(IF($B6115=I$1, ($A6115+$C6115) - MAX(IF($B$2:$B6114=$B6115, $A$2:$A6114+$C$2:$C6114)), "")*24*60, "")</f>
        <v>0</v>
      </c>
      <c r="J6115" s="24" t="str" cm="1">
        <f t="array" ref="J6115">IFERROR(IF($B6115=J$1, ($A6115+$C6115) - MAX(IF($B$2:$B6114=$B6115, $A$2:$A6114+$C$2:$C6114)), "")*24*60, "")</f>
        <v/>
      </c>
      <c r="K6115" s="24" t="str" cm="1">
        <f t="array" ref="K6115">IFERROR(IF($B6115=K$1, ($A6115+$C6115) - MAX(IF($B$2:$B6114=$B6115, $A$2:$A6114+$C$2:$C6114)), "")*24*60, "")</f>
        <v/>
      </c>
      <c r="L6115" s="24" t="str" cm="1">
        <f t="array" ref="L6115">IFERROR(IF($B6115=L$1, ($A6115+$C6115) - MAX(IF($B$2:$B6114=$B6115, $A$2:$A6114+$C$2:$C6114)), "")*24*60, "")</f>
        <v/>
      </c>
      <c r="M6115" s="24" t="str" cm="1">
        <f t="array" ref="M6115">IFERROR(IF($B6115=M$1, ($A6115+$C6115) - MAX(IF($B$2:$B6114=$B6115, $A$2:$A6114+$C$2:$C6114)), "")*24*60, "")</f>
        <v/>
      </c>
      <c r="N6115" s="24" t="str" cm="1">
        <f t="array" ref="N6115">IFERROR(IF($B6115=N$1, ($A6115+$C6115) - MAX(IF($B$2:$B6114=$B6115, $A$2:$A6114+$C$2:$C6114)), "")*24*60, "")</f>
        <v/>
      </c>
      <c r="O6115" s="24" t="str" cm="1">
        <f t="array" ref="O6115">IFERROR(IF($B6115=O$1, ($A6115+$C6115) - MAX(IF($B$2:$B6114=$B6115, $A$2:$A6114+$C$2:$C6114)), "")*24*60, "")</f>
        <v/>
      </c>
      <c r="P6115" s="24" t="str" cm="1">
        <f t="array" ref="P6115">IFERROR(IF($B6115=P$1, ($A6115+$C6115) - MAX(IF($B$2:$B6114=$B6115, $A$2:$A6114+$C$2:$C6114)), "")*24*60, "")</f>
        <v/>
      </c>
      <c r="Q6115" s="24" t="str" cm="1">
        <f t="array" ref="Q6115">IFERROR(IF($B6115=Q$1, ($A6115+$C6115) - MAX(IF($B$2:$B6114=$B6115, $A$2:$A6114+$C$2:$C6114)), "")*24*60, "")</f>
        <v/>
      </c>
      <c r="R6115" s="24" t="str" cm="1">
        <f t="array" ref="R6115">IFERROR(IF($B6115=R$1, ($A6115+$C6115) - MAX(IF($B$2:$B6114=$B6115, $A$2:$A6114+$C$2:$C6114)), "")*24*60, "")</f>
        <v/>
      </c>
      <c r="S6115" s="24" t="str" cm="1">
        <f t="array" ref="S6115">IFERROR(IF($B6115=S$1, ($A6115+$C6115) - MAX(IF($B$2:$B6114=$B6115, $A$2:$A6114+$C$2:$C6114)), "")*24*60, "")</f>
        <v/>
      </c>
    </row>
    <row r="6116" spans="1:19" x14ac:dyDescent="0.2">
      <c r="A6116" s="12">
        <f t="shared" ref="A6116:C6116" si="1259">A6115</f>
        <v>45987</v>
      </c>
      <c r="B6116" s="5" t="str">
        <f t="shared" si="1259"/>
        <v>Northern Cardinal</v>
      </c>
      <c r="C6116" s="6">
        <f t="shared" si="1259"/>
        <v>0.28611111111111109</v>
      </c>
      <c r="D6116" s="5"/>
      <c r="E6116" s="5"/>
      <c r="F6116" s="5" t="s">
        <v>8</v>
      </c>
      <c r="G6116" s="15" t="s">
        <v>9</v>
      </c>
      <c r="H6116" s="24">
        <f t="shared" si="1249"/>
        <v>0</v>
      </c>
      <c r="I6116" s="24" cm="1">
        <f t="array" ref="I6116">IFERROR(IF($B6116=I$1, ($A6116+$C6116) - MAX(IF($B$2:$B6115=$B6116, $A$2:$A6115+$C$2:$C6115)), "")*24*60, "")</f>
        <v>0</v>
      </c>
      <c r="J6116" s="24" t="str" cm="1">
        <f t="array" ref="J6116">IFERROR(IF($B6116=J$1, ($A6116+$C6116) - MAX(IF($B$2:$B6115=$B6116, $A$2:$A6115+$C$2:$C6115)), "")*24*60, "")</f>
        <v/>
      </c>
      <c r="K6116" s="24" t="str" cm="1">
        <f t="array" ref="K6116">IFERROR(IF($B6116=K$1, ($A6116+$C6116) - MAX(IF($B$2:$B6115=$B6116, $A$2:$A6115+$C$2:$C6115)), "")*24*60, "")</f>
        <v/>
      </c>
      <c r="L6116" s="24" t="str" cm="1">
        <f t="array" ref="L6116">IFERROR(IF($B6116=L$1, ($A6116+$C6116) - MAX(IF($B$2:$B6115=$B6116, $A$2:$A6115+$C$2:$C6115)), "")*24*60, "")</f>
        <v/>
      </c>
      <c r="M6116" s="24" t="str" cm="1">
        <f t="array" ref="M6116">IFERROR(IF($B6116=M$1, ($A6116+$C6116) - MAX(IF($B$2:$B6115=$B6116, $A$2:$A6115+$C$2:$C6115)), "")*24*60, "")</f>
        <v/>
      </c>
      <c r="N6116" s="24" t="str" cm="1">
        <f t="array" ref="N6116">IFERROR(IF($B6116=N$1, ($A6116+$C6116) - MAX(IF($B$2:$B6115=$B6116, $A$2:$A6115+$C$2:$C6115)), "")*24*60, "")</f>
        <v/>
      </c>
      <c r="O6116" s="24" t="str" cm="1">
        <f t="array" ref="O6116">IFERROR(IF($B6116=O$1, ($A6116+$C6116) - MAX(IF($B$2:$B6115=$B6116, $A$2:$A6115+$C$2:$C6115)), "")*24*60, "")</f>
        <v/>
      </c>
      <c r="P6116" s="24" t="str" cm="1">
        <f t="array" ref="P6116">IFERROR(IF($B6116=P$1, ($A6116+$C6116) - MAX(IF($B$2:$B6115=$B6116, $A$2:$A6115+$C$2:$C6115)), "")*24*60, "")</f>
        <v/>
      </c>
      <c r="Q6116" s="24" t="str" cm="1">
        <f t="array" ref="Q6116">IFERROR(IF($B6116=Q$1, ($A6116+$C6116) - MAX(IF($B$2:$B6115=$B6116, $A$2:$A6115+$C$2:$C6115)), "")*24*60, "")</f>
        <v/>
      </c>
      <c r="R6116" s="24" t="str" cm="1">
        <f t="array" ref="R6116">IFERROR(IF($B6116=R$1, ($A6116+$C6116) - MAX(IF($B$2:$B6115=$B6116, $A$2:$A6115+$C$2:$C6115)), "")*24*60, "")</f>
        <v/>
      </c>
      <c r="S6116" s="24" t="str" cm="1">
        <f t="array" ref="S6116">IFERROR(IF($B6116=S$1, ($A6116+$C6116) - MAX(IF($B$2:$B6115=$B6116, $A$2:$A6115+$C$2:$C6115)), "")*24*60, "")</f>
        <v/>
      </c>
    </row>
    <row r="6117" spans="1:19" x14ac:dyDescent="0.2">
      <c r="A6117" s="12">
        <f t="shared" ref="A6117:C6117" si="1260">A6116</f>
        <v>45987</v>
      </c>
      <c r="B6117" s="5" t="str">
        <f t="shared" si="1260"/>
        <v>Northern Cardinal</v>
      </c>
      <c r="C6117" s="6">
        <f t="shared" si="1260"/>
        <v>0.28611111111111109</v>
      </c>
      <c r="D6117" s="5"/>
      <c r="E6117" s="5"/>
      <c r="F6117" s="5" t="s">
        <v>8</v>
      </c>
      <c r="G6117" s="15" t="s">
        <v>9</v>
      </c>
      <c r="H6117" s="24">
        <f t="shared" si="1249"/>
        <v>0</v>
      </c>
      <c r="I6117" s="24" cm="1">
        <f t="array" ref="I6117">IFERROR(IF($B6117=I$1, ($A6117+$C6117) - MAX(IF($B$2:$B6116=$B6117, $A$2:$A6116+$C$2:$C6116)), "")*24*60, "")</f>
        <v>0</v>
      </c>
      <c r="J6117" s="24" t="str" cm="1">
        <f t="array" ref="J6117">IFERROR(IF($B6117=J$1, ($A6117+$C6117) - MAX(IF($B$2:$B6116=$B6117, $A$2:$A6116+$C$2:$C6116)), "")*24*60, "")</f>
        <v/>
      </c>
      <c r="K6117" s="24" t="str" cm="1">
        <f t="array" ref="K6117">IFERROR(IF($B6117=K$1, ($A6117+$C6117) - MAX(IF($B$2:$B6116=$B6117, $A$2:$A6116+$C$2:$C6116)), "")*24*60, "")</f>
        <v/>
      </c>
      <c r="L6117" s="24" t="str" cm="1">
        <f t="array" ref="L6117">IFERROR(IF($B6117=L$1, ($A6117+$C6117) - MAX(IF($B$2:$B6116=$B6117, $A$2:$A6116+$C$2:$C6116)), "")*24*60, "")</f>
        <v/>
      </c>
      <c r="M6117" s="24" t="str" cm="1">
        <f t="array" ref="M6117">IFERROR(IF($B6117=M$1, ($A6117+$C6117) - MAX(IF($B$2:$B6116=$B6117, $A$2:$A6116+$C$2:$C6116)), "")*24*60, "")</f>
        <v/>
      </c>
      <c r="N6117" s="24" t="str" cm="1">
        <f t="array" ref="N6117">IFERROR(IF($B6117=N$1, ($A6117+$C6117) - MAX(IF($B$2:$B6116=$B6117, $A$2:$A6116+$C$2:$C6116)), "")*24*60, "")</f>
        <v/>
      </c>
      <c r="O6117" s="24" t="str" cm="1">
        <f t="array" ref="O6117">IFERROR(IF($B6117=O$1, ($A6117+$C6117) - MAX(IF($B$2:$B6116=$B6117, $A$2:$A6116+$C$2:$C6116)), "")*24*60, "")</f>
        <v/>
      </c>
      <c r="P6117" s="24" t="str" cm="1">
        <f t="array" ref="P6117">IFERROR(IF($B6117=P$1, ($A6117+$C6117) - MAX(IF($B$2:$B6116=$B6117, $A$2:$A6116+$C$2:$C6116)), "")*24*60, "")</f>
        <v/>
      </c>
      <c r="Q6117" s="24" t="str" cm="1">
        <f t="array" ref="Q6117">IFERROR(IF($B6117=Q$1, ($A6117+$C6117) - MAX(IF($B$2:$B6116=$B6117, $A$2:$A6116+$C$2:$C6116)), "")*24*60, "")</f>
        <v/>
      </c>
      <c r="R6117" s="24" t="str" cm="1">
        <f t="array" ref="R6117">IFERROR(IF($B6117=R$1, ($A6117+$C6117) - MAX(IF($B$2:$B6116=$B6117, $A$2:$A6116+$C$2:$C6116)), "")*24*60, "")</f>
        <v/>
      </c>
      <c r="S6117" s="24" t="str" cm="1">
        <f t="array" ref="S6117">IFERROR(IF($B6117=S$1, ($A6117+$C6117) - MAX(IF($B$2:$B6116=$B6117, $A$2:$A6116+$C$2:$C6116)), "")*24*60, "")</f>
        <v/>
      </c>
    </row>
    <row r="6118" spans="1:19" x14ac:dyDescent="0.2">
      <c r="A6118" s="12">
        <f t="shared" ref="A6118:C6118" si="1261">A6117</f>
        <v>45987</v>
      </c>
      <c r="B6118" s="5" t="str">
        <f t="shared" si="1261"/>
        <v>Northern Cardinal</v>
      </c>
      <c r="C6118" s="6">
        <f t="shared" si="1261"/>
        <v>0.28611111111111109</v>
      </c>
      <c r="D6118" s="5"/>
      <c r="E6118" s="5"/>
      <c r="F6118" s="5" t="s">
        <v>8</v>
      </c>
      <c r="G6118" s="15" t="s">
        <v>9</v>
      </c>
      <c r="H6118" s="24">
        <f t="shared" si="1249"/>
        <v>0</v>
      </c>
      <c r="I6118" s="24" cm="1">
        <f t="array" ref="I6118">IFERROR(IF($B6118=I$1, ($A6118+$C6118) - MAX(IF($B$2:$B6117=$B6118, $A$2:$A6117+$C$2:$C6117)), "")*24*60, "")</f>
        <v>0</v>
      </c>
      <c r="J6118" s="24" t="str" cm="1">
        <f t="array" ref="J6118">IFERROR(IF($B6118=J$1, ($A6118+$C6118) - MAX(IF($B$2:$B6117=$B6118, $A$2:$A6117+$C$2:$C6117)), "")*24*60, "")</f>
        <v/>
      </c>
      <c r="K6118" s="24" t="str" cm="1">
        <f t="array" ref="K6118">IFERROR(IF($B6118=K$1, ($A6118+$C6118) - MAX(IF($B$2:$B6117=$B6118, $A$2:$A6117+$C$2:$C6117)), "")*24*60, "")</f>
        <v/>
      </c>
      <c r="L6118" s="24" t="str" cm="1">
        <f t="array" ref="L6118">IFERROR(IF($B6118=L$1, ($A6118+$C6118) - MAX(IF($B$2:$B6117=$B6118, $A$2:$A6117+$C$2:$C6117)), "")*24*60, "")</f>
        <v/>
      </c>
      <c r="M6118" s="24" t="str" cm="1">
        <f t="array" ref="M6118">IFERROR(IF($B6118=M$1, ($A6118+$C6118) - MAX(IF($B$2:$B6117=$B6118, $A$2:$A6117+$C$2:$C6117)), "")*24*60, "")</f>
        <v/>
      </c>
      <c r="N6118" s="24" t="str" cm="1">
        <f t="array" ref="N6118">IFERROR(IF($B6118=N$1, ($A6118+$C6118) - MAX(IF($B$2:$B6117=$B6118, $A$2:$A6117+$C$2:$C6117)), "")*24*60, "")</f>
        <v/>
      </c>
      <c r="O6118" s="24" t="str" cm="1">
        <f t="array" ref="O6118">IFERROR(IF($B6118=O$1, ($A6118+$C6118) - MAX(IF($B$2:$B6117=$B6118, $A$2:$A6117+$C$2:$C6117)), "")*24*60, "")</f>
        <v/>
      </c>
      <c r="P6118" s="24" t="str" cm="1">
        <f t="array" ref="P6118">IFERROR(IF($B6118=P$1, ($A6118+$C6118) - MAX(IF($B$2:$B6117=$B6118, $A$2:$A6117+$C$2:$C6117)), "")*24*60, "")</f>
        <v/>
      </c>
      <c r="Q6118" s="24" t="str" cm="1">
        <f t="array" ref="Q6118">IFERROR(IF($B6118=Q$1, ($A6118+$C6118) - MAX(IF($B$2:$B6117=$B6118, $A$2:$A6117+$C$2:$C6117)), "")*24*60, "")</f>
        <v/>
      </c>
      <c r="R6118" s="24" t="str" cm="1">
        <f t="array" ref="R6118">IFERROR(IF($B6118=R$1, ($A6118+$C6118) - MAX(IF($B$2:$B6117=$B6118, $A$2:$A6117+$C$2:$C6117)), "")*24*60, "")</f>
        <v/>
      </c>
      <c r="S6118" s="24" t="str" cm="1">
        <f t="array" ref="S6118">IFERROR(IF($B6118=S$1, ($A6118+$C6118) - MAX(IF($B$2:$B6117=$B6118, $A$2:$A6117+$C$2:$C6117)), "")*24*60, "")</f>
        <v/>
      </c>
    </row>
    <row r="6119" spans="1:19" x14ac:dyDescent="0.2">
      <c r="A6119" s="12">
        <f t="shared" ref="A6119:C6119" si="1262">A6118</f>
        <v>45987</v>
      </c>
      <c r="B6119" s="5" t="str">
        <f t="shared" si="1262"/>
        <v>Northern Cardinal</v>
      </c>
      <c r="C6119" s="6">
        <f t="shared" si="1262"/>
        <v>0.28611111111111109</v>
      </c>
      <c r="D6119" s="5"/>
      <c r="E6119" s="5"/>
      <c r="F6119" s="5" t="s">
        <v>8</v>
      </c>
      <c r="G6119" s="15" t="s">
        <v>9</v>
      </c>
      <c r="H6119" s="24">
        <f t="shared" si="1249"/>
        <v>0</v>
      </c>
      <c r="I6119" s="24" cm="1">
        <f t="array" ref="I6119">IFERROR(IF($B6119=I$1, ($A6119+$C6119) - MAX(IF($B$2:$B6118=$B6119, $A$2:$A6118+$C$2:$C6118)), "")*24*60, "")</f>
        <v>0</v>
      </c>
      <c r="J6119" s="24" t="str" cm="1">
        <f t="array" ref="J6119">IFERROR(IF($B6119=J$1, ($A6119+$C6119) - MAX(IF($B$2:$B6118=$B6119, $A$2:$A6118+$C$2:$C6118)), "")*24*60, "")</f>
        <v/>
      </c>
      <c r="K6119" s="24" t="str" cm="1">
        <f t="array" ref="K6119">IFERROR(IF($B6119=K$1, ($A6119+$C6119) - MAX(IF($B$2:$B6118=$B6119, $A$2:$A6118+$C$2:$C6118)), "")*24*60, "")</f>
        <v/>
      </c>
      <c r="L6119" s="24" t="str" cm="1">
        <f t="array" ref="L6119">IFERROR(IF($B6119=L$1, ($A6119+$C6119) - MAX(IF($B$2:$B6118=$B6119, $A$2:$A6118+$C$2:$C6118)), "")*24*60, "")</f>
        <v/>
      </c>
      <c r="M6119" s="24" t="str" cm="1">
        <f t="array" ref="M6119">IFERROR(IF($B6119=M$1, ($A6119+$C6119) - MAX(IF($B$2:$B6118=$B6119, $A$2:$A6118+$C$2:$C6118)), "")*24*60, "")</f>
        <v/>
      </c>
      <c r="N6119" s="24" t="str" cm="1">
        <f t="array" ref="N6119">IFERROR(IF($B6119=N$1, ($A6119+$C6119) - MAX(IF($B$2:$B6118=$B6119, $A$2:$A6118+$C$2:$C6118)), "")*24*60, "")</f>
        <v/>
      </c>
      <c r="O6119" s="24" t="str" cm="1">
        <f t="array" ref="O6119">IFERROR(IF($B6119=O$1, ($A6119+$C6119) - MAX(IF($B$2:$B6118=$B6119, $A$2:$A6118+$C$2:$C6118)), "")*24*60, "")</f>
        <v/>
      </c>
      <c r="P6119" s="24" t="str" cm="1">
        <f t="array" ref="P6119">IFERROR(IF($B6119=P$1, ($A6119+$C6119) - MAX(IF($B$2:$B6118=$B6119, $A$2:$A6118+$C$2:$C6118)), "")*24*60, "")</f>
        <v/>
      </c>
      <c r="Q6119" s="24" t="str" cm="1">
        <f t="array" ref="Q6119">IFERROR(IF($B6119=Q$1, ($A6119+$C6119) - MAX(IF($B$2:$B6118=$B6119, $A$2:$A6118+$C$2:$C6118)), "")*24*60, "")</f>
        <v/>
      </c>
      <c r="R6119" s="24" t="str" cm="1">
        <f t="array" ref="R6119">IFERROR(IF($B6119=R$1, ($A6119+$C6119) - MAX(IF($B$2:$B6118=$B6119, $A$2:$A6118+$C$2:$C6118)), "")*24*60, "")</f>
        <v/>
      </c>
      <c r="S6119" s="24" t="str" cm="1">
        <f t="array" ref="S6119">IFERROR(IF($B6119=S$1, ($A6119+$C6119) - MAX(IF($B$2:$B6118=$B6119, $A$2:$A6118+$C$2:$C6118)), "")*24*60, "")</f>
        <v/>
      </c>
    </row>
    <row r="6120" spans="1:19" x14ac:dyDescent="0.2">
      <c r="A6120" s="12">
        <f t="shared" ref="A6120:C6120" si="1263">A6119</f>
        <v>45987</v>
      </c>
      <c r="B6120" s="5" t="str">
        <f t="shared" si="1263"/>
        <v>Northern Cardinal</v>
      </c>
      <c r="C6120" s="6">
        <f t="shared" si="1263"/>
        <v>0.28611111111111109</v>
      </c>
      <c r="D6120" s="5"/>
      <c r="E6120" s="5"/>
      <c r="F6120" s="5" t="s">
        <v>8</v>
      </c>
      <c r="G6120" s="15" t="s">
        <v>9</v>
      </c>
      <c r="H6120" s="24">
        <f t="shared" si="1249"/>
        <v>0</v>
      </c>
      <c r="I6120" s="24" cm="1">
        <f t="array" ref="I6120">IFERROR(IF($B6120=I$1, ($A6120+$C6120) - MAX(IF($B$2:$B6119=$B6120, $A$2:$A6119+$C$2:$C6119)), "")*24*60, "")</f>
        <v>0</v>
      </c>
      <c r="J6120" s="24" t="str" cm="1">
        <f t="array" ref="J6120">IFERROR(IF($B6120=J$1, ($A6120+$C6120) - MAX(IF($B$2:$B6119=$B6120, $A$2:$A6119+$C$2:$C6119)), "")*24*60, "")</f>
        <v/>
      </c>
      <c r="K6120" s="24" t="str" cm="1">
        <f t="array" ref="K6120">IFERROR(IF($B6120=K$1, ($A6120+$C6120) - MAX(IF($B$2:$B6119=$B6120, $A$2:$A6119+$C$2:$C6119)), "")*24*60, "")</f>
        <v/>
      </c>
      <c r="L6120" s="24" t="str" cm="1">
        <f t="array" ref="L6120">IFERROR(IF($B6120=L$1, ($A6120+$C6120) - MAX(IF($B$2:$B6119=$B6120, $A$2:$A6119+$C$2:$C6119)), "")*24*60, "")</f>
        <v/>
      </c>
      <c r="M6120" s="24" t="str" cm="1">
        <f t="array" ref="M6120">IFERROR(IF($B6120=M$1, ($A6120+$C6120) - MAX(IF($B$2:$B6119=$B6120, $A$2:$A6119+$C$2:$C6119)), "")*24*60, "")</f>
        <v/>
      </c>
      <c r="N6120" s="24" t="str" cm="1">
        <f t="array" ref="N6120">IFERROR(IF($B6120=N$1, ($A6120+$C6120) - MAX(IF($B$2:$B6119=$B6120, $A$2:$A6119+$C$2:$C6119)), "")*24*60, "")</f>
        <v/>
      </c>
      <c r="O6120" s="24" t="str" cm="1">
        <f t="array" ref="O6120">IFERROR(IF($B6120=O$1, ($A6120+$C6120) - MAX(IF($B$2:$B6119=$B6120, $A$2:$A6119+$C$2:$C6119)), "")*24*60, "")</f>
        <v/>
      </c>
      <c r="P6120" s="24" t="str" cm="1">
        <f t="array" ref="P6120">IFERROR(IF($B6120=P$1, ($A6120+$C6120) - MAX(IF($B$2:$B6119=$B6120, $A$2:$A6119+$C$2:$C6119)), "")*24*60, "")</f>
        <v/>
      </c>
      <c r="Q6120" s="24" t="str" cm="1">
        <f t="array" ref="Q6120">IFERROR(IF($B6120=Q$1, ($A6120+$C6120) - MAX(IF($B$2:$B6119=$B6120, $A$2:$A6119+$C$2:$C6119)), "")*24*60, "")</f>
        <v/>
      </c>
      <c r="R6120" s="24" t="str" cm="1">
        <f t="array" ref="R6120">IFERROR(IF($B6120=R$1, ($A6120+$C6120) - MAX(IF($B$2:$B6119=$B6120, $A$2:$A6119+$C$2:$C6119)), "")*24*60, "")</f>
        <v/>
      </c>
      <c r="S6120" s="24" t="str" cm="1">
        <f t="array" ref="S6120">IFERROR(IF($B6120=S$1, ($A6120+$C6120) - MAX(IF($B$2:$B6119=$B6120, $A$2:$A6119+$C$2:$C6119)), "")*24*60, "")</f>
        <v/>
      </c>
    </row>
    <row r="6121" spans="1:19" x14ac:dyDescent="0.2">
      <c r="A6121" s="12">
        <f t="shared" ref="A6121:C6121" si="1264">A6120</f>
        <v>45987</v>
      </c>
      <c r="B6121" s="5" t="str">
        <f t="shared" si="1264"/>
        <v>Northern Cardinal</v>
      </c>
      <c r="C6121" s="6">
        <f t="shared" si="1264"/>
        <v>0.28611111111111109</v>
      </c>
      <c r="D6121" s="5"/>
      <c r="E6121" s="5"/>
      <c r="F6121" s="5" t="s">
        <v>8</v>
      </c>
      <c r="G6121" s="15" t="s">
        <v>9</v>
      </c>
      <c r="H6121" s="24">
        <f t="shared" si="1249"/>
        <v>0</v>
      </c>
      <c r="I6121" s="24" cm="1">
        <f t="array" ref="I6121">IFERROR(IF($B6121=I$1, ($A6121+$C6121) - MAX(IF($B$2:$B6120=$B6121, $A$2:$A6120+$C$2:$C6120)), "")*24*60, "")</f>
        <v>0</v>
      </c>
      <c r="J6121" s="24" t="str" cm="1">
        <f t="array" ref="J6121">IFERROR(IF($B6121=J$1, ($A6121+$C6121) - MAX(IF($B$2:$B6120=$B6121, $A$2:$A6120+$C$2:$C6120)), "")*24*60, "")</f>
        <v/>
      </c>
      <c r="K6121" s="24" t="str" cm="1">
        <f t="array" ref="K6121">IFERROR(IF($B6121=K$1, ($A6121+$C6121) - MAX(IF($B$2:$B6120=$B6121, $A$2:$A6120+$C$2:$C6120)), "")*24*60, "")</f>
        <v/>
      </c>
      <c r="L6121" s="24" t="str" cm="1">
        <f t="array" ref="L6121">IFERROR(IF($B6121=L$1, ($A6121+$C6121) - MAX(IF($B$2:$B6120=$B6121, $A$2:$A6120+$C$2:$C6120)), "")*24*60, "")</f>
        <v/>
      </c>
      <c r="M6121" s="24" t="str" cm="1">
        <f t="array" ref="M6121">IFERROR(IF($B6121=M$1, ($A6121+$C6121) - MAX(IF($B$2:$B6120=$B6121, $A$2:$A6120+$C$2:$C6120)), "")*24*60, "")</f>
        <v/>
      </c>
      <c r="N6121" s="24" t="str" cm="1">
        <f t="array" ref="N6121">IFERROR(IF($B6121=N$1, ($A6121+$C6121) - MAX(IF($B$2:$B6120=$B6121, $A$2:$A6120+$C$2:$C6120)), "")*24*60, "")</f>
        <v/>
      </c>
      <c r="O6121" s="24" t="str" cm="1">
        <f t="array" ref="O6121">IFERROR(IF($B6121=O$1, ($A6121+$C6121) - MAX(IF($B$2:$B6120=$B6121, $A$2:$A6120+$C$2:$C6120)), "")*24*60, "")</f>
        <v/>
      </c>
      <c r="P6121" s="24" t="str" cm="1">
        <f t="array" ref="P6121">IFERROR(IF($B6121=P$1, ($A6121+$C6121) - MAX(IF($B$2:$B6120=$B6121, $A$2:$A6120+$C$2:$C6120)), "")*24*60, "")</f>
        <v/>
      </c>
      <c r="Q6121" s="24" t="str" cm="1">
        <f t="array" ref="Q6121">IFERROR(IF($B6121=Q$1, ($A6121+$C6121) - MAX(IF($B$2:$B6120=$B6121, $A$2:$A6120+$C$2:$C6120)), "")*24*60, "")</f>
        <v/>
      </c>
      <c r="R6121" s="24" t="str" cm="1">
        <f t="array" ref="R6121">IFERROR(IF($B6121=R$1, ($A6121+$C6121) - MAX(IF($B$2:$B6120=$B6121, $A$2:$A6120+$C$2:$C6120)), "")*24*60, "")</f>
        <v/>
      </c>
      <c r="S6121" s="24" t="str" cm="1">
        <f t="array" ref="S6121">IFERROR(IF($B6121=S$1, ($A6121+$C6121) - MAX(IF($B$2:$B6120=$B6121, $A$2:$A6120+$C$2:$C6120)), "")*24*60, "")</f>
        <v/>
      </c>
    </row>
    <row r="6122" spans="1:19" x14ac:dyDescent="0.2">
      <c r="A6122" s="12">
        <f t="shared" ref="A6122:C6122" si="1265">A6121</f>
        <v>45987</v>
      </c>
      <c r="B6122" s="5" t="str">
        <f t="shared" si="1265"/>
        <v>Northern Cardinal</v>
      </c>
      <c r="C6122" s="6">
        <f t="shared" si="1265"/>
        <v>0.28611111111111109</v>
      </c>
      <c r="D6122" s="5"/>
      <c r="E6122" s="5"/>
      <c r="F6122" s="5" t="s">
        <v>8</v>
      </c>
      <c r="G6122" s="15" t="s">
        <v>9</v>
      </c>
      <c r="H6122" s="24">
        <f t="shared" si="1249"/>
        <v>0</v>
      </c>
      <c r="I6122" s="24" cm="1">
        <f t="array" ref="I6122">IFERROR(IF($B6122=I$1, ($A6122+$C6122) - MAX(IF($B$2:$B6121=$B6122, $A$2:$A6121+$C$2:$C6121)), "")*24*60, "")</f>
        <v>0</v>
      </c>
      <c r="J6122" s="24" t="str" cm="1">
        <f t="array" ref="J6122">IFERROR(IF($B6122=J$1, ($A6122+$C6122) - MAX(IF($B$2:$B6121=$B6122, $A$2:$A6121+$C$2:$C6121)), "")*24*60, "")</f>
        <v/>
      </c>
      <c r="K6122" s="24" t="str" cm="1">
        <f t="array" ref="K6122">IFERROR(IF($B6122=K$1, ($A6122+$C6122) - MAX(IF($B$2:$B6121=$B6122, $A$2:$A6121+$C$2:$C6121)), "")*24*60, "")</f>
        <v/>
      </c>
      <c r="L6122" s="24" t="str" cm="1">
        <f t="array" ref="L6122">IFERROR(IF($B6122=L$1, ($A6122+$C6122) - MAX(IF($B$2:$B6121=$B6122, $A$2:$A6121+$C$2:$C6121)), "")*24*60, "")</f>
        <v/>
      </c>
      <c r="M6122" s="24" t="str" cm="1">
        <f t="array" ref="M6122">IFERROR(IF($B6122=M$1, ($A6122+$C6122) - MAX(IF($B$2:$B6121=$B6122, $A$2:$A6121+$C$2:$C6121)), "")*24*60, "")</f>
        <v/>
      </c>
      <c r="N6122" s="24" t="str" cm="1">
        <f t="array" ref="N6122">IFERROR(IF($B6122=N$1, ($A6122+$C6122) - MAX(IF($B$2:$B6121=$B6122, $A$2:$A6121+$C$2:$C6121)), "")*24*60, "")</f>
        <v/>
      </c>
      <c r="O6122" s="24" t="str" cm="1">
        <f t="array" ref="O6122">IFERROR(IF($B6122=O$1, ($A6122+$C6122) - MAX(IF($B$2:$B6121=$B6122, $A$2:$A6121+$C$2:$C6121)), "")*24*60, "")</f>
        <v/>
      </c>
      <c r="P6122" s="24" t="str" cm="1">
        <f t="array" ref="P6122">IFERROR(IF($B6122=P$1, ($A6122+$C6122) - MAX(IF($B$2:$B6121=$B6122, $A$2:$A6121+$C$2:$C6121)), "")*24*60, "")</f>
        <v/>
      </c>
      <c r="Q6122" s="24" t="str" cm="1">
        <f t="array" ref="Q6122">IFERROR(IF($B6122=Q$1, ($A6122+$C6122) - MAX(IF($B$2:$B6121=$B6122, $A$2:$A6121+$C$2:$C6121)), "")*24*60, "")</f>
        <v/>
      </c>
      <c r="R6122" s="24" t="str" cm="1">
        <f t="array" ref="R6122">IFERROR(IF($B6122=R$1, ($A6122+$C6122) - MAX(IF($B$2:$B6121=$B6122, $A$2:$A6121+$C$2:$C6121)), "")*24*60, "")</f>
        <v/>
      </c>
      <c r="S6122" s="24" t="str" cm="1">
        <f t="array" ref="S6122">IFERROR(IF($B6122=S$1, ($A6122+$C6122) - MAX(IF($B$2:$B6121=$B6122, $A$2:$A6121+$C$2:$C6121)), "")*24*60, "")</f>
        <v/>
      </c>
    </row>
    <row r="6123" spans="1:19" x14ac:dyDescent="0.2">
      <c r="A6123" s="12">
        <f t="shared" ref="A6123:C6123" si="1266">A6122</f>
        <v>45987</v>
      </c>
      <c r="B6123" s="5" t="str">
        <f t="shared" si="1266"/>
        <v>Northern Cardinal</v>
      </c>
      <c r="C6123" s="6">
        <f t="shared" si="1266"/>
        <v>0.28611111111111109</v>
      </c>
      <c r="D6123" s="5"/>
      <c r="E6123" s="5"/>
      <c r="F6123" s="5" t="s">
        <v>8</v>
      </c>
      <c r="G6123" s="15" t="s">
        <v>9</v>
      </c>
      <c r="H6123" s="24">
        <f t="shared" si="1249"/>
        <v>0</v>
      </c>
      <c r="I6123" s="24" cm="1">
        <f t="array" ref="I6123">IFERROR(IF($B6123=I$1, ($A6123+$C6123) - MAX(IF($B$2:$B6122=$B6123, $A$2:$A6122+$C$2:$C6122)), "")*24*60, "")</f>
        <v>0</v>
      </c>
      <c r="J6123" s="24" t="str" cm="1">
        <f t="array" ref="J6123">IFERROR(IF($B6123=J$1, ($A6123+$C6123) - MAX(IF($B$2:$B6122=$B6123, $A$2:$A6122+$C$2:$C6122)), "")*24*60, "")</f>
        <v/>
      </c>
      <c r="K6123" s="24" t="str" cm="1">
        <f t="array" ref="K6123">IFERROR(IF($B6123=K$1, ($A6123+$C6123) - MAX(IF($B$2:$B6122=$B6123, $A$2:$A6122+$C$2:$C6122)), "")*24*60, "")</f>
        <v/>
      </c>
      <c r="L6123" s="24" t="str" cm="1">
        <f t="array" ref="L6123">IFERROR(IF($B6123=L$1, ($A6123+$C6123) - MAX(IF($B$2:$B6122=$B6123, $A$2:$A6122+$C$2:$C6122)), "")*24*60, "")</f>
        <v/>
      </c>
      <c r="M6123" s="24" t="str" cm="1">
        <f t="array" ref="M6123">IFERROR(IF($B6123=M$1, ($A6123+$C6123) - MAX(IF($B$2:$B6122=$B6123, $A$2:$A6122+$C$2:$C6122)), "")*24*60, "")</f>
        <v/>
      </c>
      <c r="N6123" s="24" t="str" cm="1">
        <f t="array" ref="N6123">IFERROR(IF($B6123=N$1, ($A6123+$C6123) - MAX(IF($B$2:$B6122=$B6123, $A$2:$A6122+$C$2:$C6122)), "")*24*60, "")</f>
        <v/>
      </c>
      <c r="O6123" s="24" t="str" cm="1">
        <f t="array" ref="O6123">IFERROR(IF($B6123=O$1, ($A6123+$C6123) - MAX(IF($B$2:$B6122=$B6123, $A$2:$A6122+$C$2:$C6122)), "")*24*60, "")</f>
        <v/>
      </c>
      <c r="P6123" s="24" t="str" cm="1">
        <f t="array" ref="P6123">IFERROR(IF($B6123=P$1, ($A6123+$C6123) - MAX(IF($B$2:$B6122=$B6123, $A$2:$A6122+$C$2:$C6122)), "")*24*60, "")</f>
        <v/>
      </c>
      <c r="Q6123" s="24" t="str" cm="1">
        <f t="array" ref="Q6123">IFERROR(IF($B6123=Q$1, ($A6123+$C6123) - MAX(IF($B$2:$B6122=$B6123, $A$2:$A6122+$C$2:$C6122)), "")*24*60, "")</f>
        <v/>
      </c>
      <c r="R6123" s="24" t="str" cm="1">
        <f t="array" ref="R6123">IFERROR(IF($B6123=R$1, ($A6123+$C6123) - MAX(IF($B$2:$B6122=$B6123, $A$2:$A6122+$C$2:$C6122)), "")*24*60, "")</f>
        <v/>
      </c>
      <c r="S6123" s="24" t="str" cm="1">
        <f t="array" ref="S6123">IFERROR(IF($B6123=S$1, ($A6123+$C6123) - MAX(IF($B$2:$B6122=$B6123, $A$2:$A6122+$C$2:$C6122)), "")*24*60, "")</f>
        <v/>
      </c>
    </row>
    <row r="6124" spans="1:19" x14ac:dyDescent="0.2">
      <c r="A6124" s="12">
        <f t="shared" ref="A6124:C6124" si="1267">A6123</f>
        <v>45987</v>
      </c>
      <c r="B6124" s="5" t="str">
        <f t="shared" si="1267"/>
        <v>Northern Cardinal</v>
      </c>
      <c r="C6124" s="6">
        <f t="shared" si="1267"/>
        <v>0.28611111111111109</v>
      </c>
      <c r="D6124" s="5"/>
      <c r="E6124" s="5"/>
      <c r="F6124" s="5" t="s">
        <v>8</v>
      </c>
      <c r="G6124" s="15" t="s">
        <v>9</v>
      </c>
      <c r="H6124" s="24">
        <f t="shared" si="1249"/>
        <v>0</v>
      </c>
      <c r="I6124" s="24" cm="1">
        <f t="array" ref="I6124">IFERROR(IF($B6124=I$1, ($A6124+$C6124) - MAX(IF($B$2:$B6123=$B6124, $A$2:$A6123+$C$2:$C6123)), "")*24*60, "")</f>
        <v>0</v>
      </c>
      <c r="J6124" s="24" t="str" cm="1">
        <f t="array" ref="J6124">IFERROR(IF($B6124=J$1, ($A6124+$C6124) - MAX(IF($B$2:$B6123=$B6124, $A$2:$A6123+$C$2:$C6123)), "")*24*60, "")</f>
        <v/>
      </c>
      <c r="K6124" s="24" t="str" cm="1">
        <f t="array" ref="K6124">IFERROR(IF($B6124=K$1, ($A6124+$C6124) - MAX(IF($B$2:$B6123=$B6124, $A$2:$A6123+$C$2:$C6123)), "")*24*60, "")</f>
        <v/>
      </c>
      <c r="L6124" s="24" t="str" cm="1">
        <f t="array" ref="L6124">IFERROR(IF($B6124=L$1, ($A6124+$C6124) - MAX(IF($B$2:$B6123=$B6124, $A$2:$A6123+$C$2:$C6123)), "")*24*60, "")</f>
        <v/>
      </c>
      <c r="M6124" s="24" t="str" cm="1">
        <f t="array" ref="M6124">IFERROR(IF($B6124=M$1, ($A6124+$C6124) - MAX(IF($B$2:$B6123=$B6124, $A$2:$A6123+$C$2:$C6123)), "")*24*60, "")</f>
        <v/>
      </c>
      <c r="N6124" s="24" t="str" cm="1">
        <f t="array" ref="N6124">IFERROR(IF($B6124=N$1, ($A6124+$C6124) - MAX(IF($B$2:$B6123=$B6124, $A$2:$A6123+$C$2:$C6123)), "")*24*60, "")</f>
        <v/>
      </c>
      <c r="O6124" s="24" t="str" cm="1">
        <f t="array" ref="O6124">IFERROR(IF($B6124=O$1, ($A6124+$C6124) - MAX(IF($B$2:$B6123=$B6124, $A$2:$A6123+$C$2:$C6123)), "")*24*60, "")</f>
        <v/>
      </c>
      <c r="P6124" s="24" t="str" cm="1">
        <f t="array" ref="P6124">IFERROR(IF($B6124=P$1, ($A6124+$C6124) - MAX(IF($B$2:$B6123=$B6124, $A$2:$A6123+$C$2:$C6123)), "")*24*60, "")</f>
        <v/>
      </c>
      <c r="Q6124" s="24" t="str" cm="1">
        <f t="array" ref="Q6124">IFERROR(IF($B6124=Q$1, ($A6124+$C6124) - MAX(IF($B$2:$B6123=$B6124, $A$2:$A6123+$C$2:$C6123)), "")*24*60, "")</f>
        <v/>
      </c>
      <c r="R6124" s="24" t="str" cm="1">
        <f t="array" ref="R6124">IFERROR(IF($B6124=R$1, ($A6124+$C6124) - MAX(IF($B$2:$B6123=$B6124, $A$2:$A6123+$C$2:$C6123)), "")*24*60, "")</f>
        <v/>
      </c>
      <c r="S6124" s="24" t="str" cm="1">
        <f t="array" ref="S6124">IFERROR(IF($B6124=S$1, ($A6124+$C6124) - MAX(IF($B$2:$B6123=$B6124, $A$2:$A6123+$C$2:$C6123)), "")*24*60, "")</f>
        <v/>
      </c>
    </row>
    <row r="6125" spans="1:19" x14ac:dyDescent="0.2">
      <c r="A6125" s="12">
        <f t="shared" ref="A6125:C6125" si="1268">A6124</f>
        <v>45987</v>
      </c>
      <c r="B6125" s="5" t="str">
        <f t="shared" si="1268"/>
        <v>Northern Cardinal</v>
      </c>
      <c r="C6125" s="6">
        <f t="shared" si="1268"/>
        <v>0.28611111111111109</v>
      </c>
      <c r="D6125" s="5"/>
      <c r="E6125" s="5"/>
      <c r="F6125" s="5" t="s">
        <v>8</v>
      </c>
      <c r="G6125" s="15" t="s">
        <v>9</v>
      </c>
      <c r="H6125" s="24">
        <f t="shared" si="1249"/>
        <v>0</v>
      </c>
      <c r="I6125" s="24" cm="1">
        <f t="array" ref="I6125">IFERROR(IF($B6125=I$1, ($A6125+$C6125) - MAX(IF($B$2:$B6124=$B6125, $A$2:$A6124+$C$2:$C6124)), "")*24*60, "")</f>
        <v>0</v>
      </c>
      <c r="J6125" s="24" t="str" cm="1">
        <f t="array" ref="J6125">IFERROR(IF($B6125=J$1, ($A6125+$C6125) - MAX(IF($B$2:$B6124=$B6125, $A$2:$A6124+$C$2:$C6124)), "")*24*60, "")</f>
        <v/>
      </c>
      <c r="K6125" s="24" t="str" cm="1">
        <f t="array" ref="K6125">IFERROR(IF($B6125=K$1, ($A6125+$C6125) - MAX(IF($B$2:$B6124=$B6125, $A$2:$A6124+$C$2:$C6124)), "")*24*60, "")</f>
        <v/>
      </c>
      <c r="L6125" s="24" t="str" cm="1">
        <f t="array" ref="L6125">IFERROR(IF($B6125=L$1, ($A6125+$C6125) - MAX(IF($B$2:$B6124=$B6125, $A$2:$A6124+$C$2:$C6124)), "")*24*60, "")</f>
        <v/>
      </c>
      <c r="M6125" s="24" t="str" cm="1">
        <f t="array" ref="M6125">IFERROR(IF($B6125=M$1, ($A6125+$C6125) - MAX(IF($B$2:$B6124=$B6125, $A$2:$A6124+$C$2:$C6124)), "")*24*60, "")</f>
        <v/>
      </c>
      <c r="N6125" s="24" t="str" cm="1">
        <f t="array" ref="N6125">IFERROR(IF($B6125=N$1, ($A6125+$C6125) - MAX(IF($B$2:$B6124=$B6125, $A$2:$A6124+$C$2:$C6124)), "")*24*60, "")</f>
        <v/>
      </c>
      <c r="O6125" s="24" t="str" cm="1">
        <f t="array" ref="O6125">IFERROR(IF($B6125=O$1, ($A6125+$C6125) - MAX(IF($B$2:$B6124=$B6125, $A$2:$A6124+$C$2:$C6124)), "")*24*60, "")</f>
        <v/>
      </c>
      <c r="P6125" s="24" t="str" cm="1">
        <f t="array" ref="P6125">IFERROR(IF($B6125=P$1, ($A6125+$C6125) - MAX(IF($B$2:$B6124=$B6125, $A$2:$A6124+$C$2:$C6124)), "")*24*60, "")</f>
        <v/>
      </c>
      <c r="Q6125" s="24" t="str" cm="1">
        <f t="array" ref="Q6125">IFERROR(IF($B6125=Q$1, ($A6125+$C6125) - MAX(IF($B$2:$B6124=$B6125, $A$2:$A6124+$C$2:$C6124)), "")*24*60, "")</f>
        <v/>
      </c>
      <c r="R6125" s="24" t="str" cm="1">
        <f t="array" ref="R6125">IFERROR(IF($B6125=R$1, ($A6125+$C6125) - MAX(IF($B$2:$B6124=$B6125, $A$2:$A6124+$C$2:$C6124)), "")*24*60, "")</f>
        <v/>
      </c>
      <c r="S6125" s="24" t="str" cm="1">
        <f t="array" ref="S6125">IFERROR(IF($B6125=S$1, ($A6125+$C6125) - MAX(IF($B$2:$B6124=$B6125, $A$2:$A6124+$C$2:$C6124)), "")*24*60, "")</f>
        <v/>
      </c>
    </row>
    <row r="6126" spans="1:19" x14ac:dyDescent="0.2">
      <c r="A6126" s="12">
        <f t="shared" ref="A6126:C6126" si="1269">A6125</f>
        <v>45987</v>
      </c>
      <c r="B6126" s="5" t="str">
        <f t="shared" si="1269"/>
        <v>Northern Cardinal</v>
      </c>
      <c r="C6126" s="6">
        <f t="shared" si="1269"/>
        <v>0.28611111111111109</v>
      </c>
      <c r="D6126" s="5"/>
      <c r="E6126" s="5"/>
      <c r="F6126" s="5" t="s">
        <v>8</v>
      </c>
      <c r="G6126" s="15" t="s">
        <v>9</v>
      </c>
      <c r="H6126" s="24">
        <f t="shared" si="1249"/>
        <v>0</v>
      </c>
      <c r="I6126" s="24" cm="1">
        <f t="array" ref="I6126">IFERROR(IF($B6126=I$1, ($A6126+$C6126) - MAX(IF($B$2:$B6125=$B6126, $A$2:$A6125+$C$2:$C6125)), "")*24*60, "")</f>
        <v>0</v>
      </c>
      <c r="J6126" s="24" t="str" cm="1">
        <f t="array" ref="J6126">IFERROR(IF($B6126=J$1, ($A6126+$C6126) - MAX(IF($B$2:$B6125=$B6126, $A$2:$A6125+$C$2:$C6125)), "")*24*60, "")</f>
        <v/>
      </c>
      <c r="K6126" s="24" t="str" cm="1">
        <f t="array" ref="K6126">IFERROR(IF($B6126=K$1, ($A6126+$C6126) - MAX(IF($B$2:$B6125=$B6126, $A$2:$A6125+$C$2:$C6125)), "")*24*60, "")</f>
        <v/>
      </c>
      <c r="L6126" s="24" t="str" cm="1">
        <f t="array" ref="L6126">IFERROR(IF($B6126=L$1, ($A6126+$C6126) - MAX(IF($B$2:$B6125=$B6126, $A$2:$A6125+$C$2:$C6125)), "")*24*60, "")</f>
        <v/>
      </c>
      <c r="M6126" s="24" t="str" cm="1">
        <f t="array" ref="M6126">IFERROR(IF($B6126=M$1, ($A6126+$C6126) - MAX(IF($B$2:$B6125=$B6126, $A$2:$A6125+$C$2:$C6125)), "")*24*60, "")</f>
        <v/>
      </c>
      <c r="N6126" s="24" t="str" cm="1">
        <f t="array" ref="N6126">IFERROR(IF($B6126=N$1, ($A6126+$C6126) - MAX(IF($B$2:$B6125=$B6126, $A$2:$A6125+$C$2:$C6125)), "")*24*60, "")</f>
        <v/>
      </c>
      <c r="O6126" s="24" t="str" cm="1">
        <f t="array" ref="O6126">IFERROR(IF($B6126=O$1, ($A6126+$C6126) - MAX(IF($B$2:$B6125=$B6126, $A$2:$A6125+$C$2:$C6125)), "")*24*60, "")</f>
        <v/>
      </c>
      <c r="P6126" s="24" t="str" cm="1">
        <f t="array" ref="P6126">IFERROR(IF($B6126=P$1, ($A6126+$C6126) - MAX(IF($B$2:$B6125=$B6126, $A$2:$A6125+$C$2:$C6125)), "")*24*60, "")</f>
        <v/>
      </c>
      <c r="Q6126" s="24" t="str" cm="1">
        <f t="array" ref="Q6126">IFERROR(IF($B6126=Q$1, ($A6126+$C6126) - MAX(IF($B$2:$B6125=$B6126, $A$2:$A6125+$C$2:$C6125)), "")*24*60, "")</f>
        <v/>
      </c>
      <c r="R6126" s="24" t="str" cm="1">
        <f t="array" ref="R6126">IFERROR(IF($B6126=R$1, ($A6126+$C6126) - MAX(IF($B$2:$B6125=$B6126, $A$2:$A6125+$C$2:$C6125)), "")*24*60, "")</f>
        <v/>
      </c>
      <c r="S6126" s="24" t="str" cm="1">
        <f t="array" ref="S6126">IFERROR(IF($B6126=S$1, ($A6126+$C6126) - MAX(IF($B$2:$B6125=$B6126, $A$2:$A6125+$C$2:$C6125)), "")*24*60, "")</f>
        <v/>
      </c>
    </row>
    <row r="6127" spans="1:19" x14ac:dyDescent="0.2">
      <c r="A6127" s="12">
        <f t="shared" ref="A6127:C6127" si="1270">A6126</f>
        <v>45987</v>
      </c>
      <c r="B6127" s="5" t="str">
        <f t="shared" si="1270"/>
        <v>Northern Cardinal</v>
      </c>
      <c r="C6127" s="6">
        <f t="shared" si="1270"/>
        <v>0.28611111111111109</v>
      </c>
      <c r="D6127" s="5"/>
      <c r="E6127" s="5"/>
      <c r="F6127" s="5" t="s">
        <v>8</v>
      </c>
      <c r="G6127" s="15" t="s">
        <v>9</v>
      </c>
      <c r="H6127" s="24">
        <f t="shared" si="1249"/>
        <v>0</v>
      </c>
      <c r="I6127" s="24" cm="1">
        <f t="array" ref="I6127">IFERROR(IF($B6127=I$1, ($A6127+$C6127) - MAX(IF($B$2:$B6126=$B6127, $A$2:$A6126+$C$2:$C6126)), "")*24*60, "")</f>
        <v>0</v>
      </c>
      <c r="J6127" s="24" t="str" cm="1">
        <f t="array" ref="J6127">IFERROR(IF($B6127=J$1, ($A6127+$C6127) - MAX(IF($B$2:$B6126=$B6127, $A$2:$A6126+$C$2:$C6126)), "")*24*60, "")</f>
        <v/>
      </c>
      <c r="K6127" s="24" t="str" cm="1">
        <f t="array" ref="K6127">IFERROR(IF($B6127=K$1, ($A6127+$C6127) - MAX(IF($B$2:$B6126=$B6127, $A$2:$A6126+$C$2:$C6126)), "")*24*60, "")</f>
        <v/>
      </c>
      <c r="L6127" s="24" t="str" cm="1">
        <f t="array" ref="L6127">IFERROR(IF($B6127=L$1, ($A6127+$C6127) - MAX(IF($B$2:$B6126=$B6127, $A$2:$A6126+$C$2:$C6126)), "")*24*60, "")</f>
        <v/>
      </c>
      <c r="M6127" s="24" t="str" cm="1">
        <f t="array" ref="M6127">IFERROR(IF($B6127=M$1, ($A6127+$C6127) - MAX(IF($B$2:$B6126=$B6127, $A$2:$A6126+$C$2:$C6126)), "")*24*60, "")</f>
        <v/>
      </c>
      <c r="N6127" s="24" t="str" cm="1">
        <f t="array" ref="N6127">IFERROR(IF($B6127=N$1, ($A6127+$C6127) - MAX(IF($B$2:$B6126=$B6127, $A$2:$A6126+$C$2:$C6126)), "")*24*60, "")</f>
        <v/>
      </c>
      <c r="O6127" s="24" t="str" cm="1">
        <f t="array" ref="O6127">IFERROR(IF($B6127=O$1, ($A6127+$C6127) - MAX(IF($B$2:$B6126=$B6127, $A$2:$A6126+$C$2:$C6126)), "")*24*60, "")</f>
        <v/>
      </c>
      <c r="P6127" s="24" t="str" cm="1">
        <f t="array" ref="P6127">IFERROR(IF($B6127=P$1, ($A6127+$C6127) - MAX(IF($B$2:$B6126=$B6127, $A$2:$A6126+$C$2:$C6126)), "")*24*60, "")</f>
        <v/>
      </c>
      <c r="Q6127" s="24" t="str" cm="1">
        <f t="array" ref="Q6127">IFERROR(IF($B6127=Q$1, ($A6127+$C6127) - MAX(IF($B$2:$B6126=$B6127, $A$2:$A6126+$C$2:$C6126)), "")*24*60, "")</f>
        <v/>
      </c>
      <c r="R6127" s="24" t="str" cm="1">
        <f t="array" ref="R6127">IFERROR(IF($B6127=R$1, ($A6127+$C6127) - MAX(IF($B$2:$B6126=$B6127, $A$2:$A6126+$C$2:$C6126)), "")*24*60, "")</f>
        <v/>
      </c>
      <c r="S6127" s="24" t="str" cm="1">
        <f t="array" ref="S6127">IFERROR(IF($B6127=S$1, ($A6127+$C6127) - MAX(IF($B$2:$B6126=$B6127, $A$2:$A6126+$C$2:$C6126)), "")*24*60, "")</f>
        <v/>
      </c>
    </row>
    <row r="6128" spans="1:19" x14ac:dyDescent="0.2">
      <c r="A6128" s="12">
        <f t="shared" ref="A6128:C6128" si="1271">A6127</f>
        <v>45987</v>
      </c>
      <c r="B6128" s="5" t="str">
        <f t="shared" si="1271"/>
        <v>Northern Cardinal</v>
      </c>
      <c r="C6128" s="6">
        <f t="shared" si="1271"/>
        <v>0.28611111111111109</v>
      </c>
      <c r="D6128" s="5"/>
      <c r="E6128" s="5"/>
      <c r="F6128" s="5" t="s">
        <v>8</v>
      </c>
      <c r="G6128" s="15" t="s">
        <v>9</v>
      </c>
      <c r="H6128" s="24">
        <f t="shared" si="1249"/>
        <v>0</v>
      </c>
      <c r="I6128" s="24" cm="1">
        <f t="array" ref="I6128">IFERROR(IF($B6128=I$1, ($A6128+$C6128) - MAX(IF($B$2:$B6127=$B6128, $A$2:$A6127+$C$2:$C6127)), "")*24*60, "")</f>
        <v>0</v>
      </c>
      <c r="J6128" s="24" t="str" cm="1">
        <f t="array" ref="J6128">IFERROR(IF($B6128=J$1, ($A6128+$C6128) - MAX(IF($B$2:$B6127=$B6128, $A$2:$A6127+$C$2:$C6127)), "")*24*60, "")</f>
        <v/>
      </c>
      <c r="K6128" s="24" t="str" cm="1">
        <f t="array" ref="K6128">IFERROR(IF($B6128=K$1, ($A6128+$C6128) - MAX(IF($B$2:$B6127=$B6128, $A$2:$A6127+$C$2:$C6127)), "")*24*60, "")</f>
        <v/>
      </c>
      <c r="L6128" s="24" t="str" cm="1">
        <f t="array" ref="L6128">IFERROR(IF($B6128=L$1, ($A6128+$C6128) - MAX(IF($B$2:$B6127=$B6128, $A$2:$A6127+$C$2:$C6127)), "")*24*60, "")</f>
        <v/>
      </c>
      <c r="M6128" s="24" t="str" cm="1">
        <f t="array" ref="M6128">IFERROR(IF($B6128=M$1, ($A6128+$C6128) - MAX(IF($B$2:$B6127=$B6128, $A$2:$A6127+$C$2:$C6127)), "")*24*60, "")</f>
        <v/>
      </c>
      <c r="N6128" s="24" t="str" cm="1">
        <f t="array" ref="N6128">IFERROR(IF($B6128=N$1, ($A6128+$C6128) - MAX(IF($B$2:$B6127=$B6128, $A$2:$A6127+$C$2:$C6127)), "")*24*60, "")</f>
        <v/>
      </c>
      <c r="O6128" s="24" t="str" cm="1">
        <f t="array" ref="O6128">IFERROR(IF($B6128=O$1, ($A6128+$C6128) - MAX(IF($B$2:$B6127=$B6128, $A$2:$A6127+$C$2:$C6127)), "")*24*60, "")</f>
        <v/>
      </c>
      <c r="P6128" s="24" t="str" cm="1">
        <f t="array" ref="P6128">IFERROR(IF($B6128=P$1, ($A6128+$C6128) - MAX(IF($B$2:$B6127=$B6128, $A$2:$A6127+$C$2:$C6127)), "")*24*60, "")</f>
        <v/>
      </c>
      <c r="Q6128" s="24" t="str" cm="1">
        <f t="array" ref="Q6128">IFERROR(IF($B6128=Q$1, ($A6128+$C6128) - MAX(IF($B$2:$B6127=$B6128, $A$2:$A6127+$C$2:$C6127)), "")*24*60, "")</f>
        <v/>
      </c>
      <c r="R6128" s="24" t="str" cm="1">
        <f t="array" ref="R6128">IFERROR(IF($B6128=R$1, ($A6128+$C6128) - MAX(IF($B$2:$B6127=$B6128, $A$2:$A6127+$C$2:$C6127)), "")*24*60, "")</f>
        <v/>
      </c>
      <c r="S6128" s="24" t="str" cm="1">
        <f t="array" ref="S6128">IFERROR(IF($B6128=S$1, ($A6128+$C6128) - MAX(IF($B$2:$B6127=$B6128, $A$2:$A6127+$C$2:$C6127)), "")*24*60, "")</f>
        <v/>
      </c>
    </row>
    <row r="6129" spans="1:19" x14ac:dyDescent="0.2">
      <c r="A6129" s="12">
        <f t="shared" ref="A6129:C6129" si="1272">A6128</f>
        <v>45987</v>
      </c>
      <c r="B6129" s="5" t="str">
        <f t="shared" si="1272"/>
        <v>Northern Cardinal</v>
      </c>
      <c r="C6129" s="6">
        <f t="shared" si="1272"/>
        <v>0.28611111111111109</v>
      </c>
      <c r="D6129" s="5"/>
      <c r="E6129" s="5"/>
      <c r="F6129" s="5" t="s">
        <v>8</v>
      </c>
      <c r="G6129" s="15" t="s">
        <v>9</v>
      </c>
      <c r="H6129" s="24">
        <f t="shared" si="1249"/>
        <v>0</v>
      </c>
      <c r="I6129" s="24" cm="1">
        <f t="array" ref="I6129">IFERROR(IF($B6129=I$1, ($A6129+$C6129) - MAX(IF($B$2:$B6128=$B6129, $A$2:$A6128+$C$2:$C6128)), "")*24*60, "")</f>
        <v>0</v>
      </c>
      <c r="J6129" s="24" t="str" cm="1">
        <f t="array" ref="J6129">IFERROR(IF($B6129=J$1, ($A6129+$C6129) - MAX(IF($B$2:$B6128=$B6129, $A$2:$A6128+$C$2:$C6128)), "")*24*60, "")</f>
        <v/>
      </c>
      <c r="K6129" s="24" t="str" cm="1">
        <f t="array" ref="K6129">IFERROR(IF($B6129=K$1, ($A6129+$C6129) - MAX(IF($B$2:$B6128=$B6129, $A$2:$A6128+$C$2:$C6128)), "")*24*60, "")</f>
        <v/>
      </c>
      <c r="L6129" s="24" t="str" cm="1">
        <f t="array" ref="L6129">IFERROR(IF($B6129=L$1, ($A6129+$C6129) - MAX(IF($B$2:$B6128=$B6129, $A$2:$A6128+$C$2:$C6128)), "")*24*60, "")</f>
        <v/>
      </c>
      <c r="M6129" s="24" t="str" cm="1">
        <f t="array" ref="M6129">IFERROR(IF($B6129=M$1, ($A6129+$C6129) - MAX(IF($B$2:$B6128=$B6129, $A$2:$A6128+$C$2:$C6128)), "")*24*60, "")</f>
        <v/>
      </c>
      <c r="N6129" s="24" t="str" cm="1">
        <f t="array" ref="N6129">IFERROR(IF($B6129=N$1, ($A6129+$C6129) - MAX(IF($B$2:$B6128=$B6129, $A$2:$A6128+$C$2:$C6128)), "")*24*60, "")</f>
        <v/>
      </c>
      <c r="O6129" s="24" t="str" cm="1">
        <f t="array" ref="O6129">IFERROR(IF($B6129=O$1, ($A6129+$C6129) - MAX(IF($B$2:$B6128=$B6129, $A$2:$A6128+$C$2:$C6128)), "")*24*60, "")</f>
        <v/>
      </c>
      <c r="P6129" s="24" t="str" cm="1">
        <f t="array" ref="P6129">IFERROR(IF($B6129=P$1, ($A6129+$C6129) - MAX(IF($B$2:$B6128=$B6129, $A$2:$A6128+$C$2:$C6128)), "")*24*60, "")</f>
        <v/>
      </c>
      <c r="Q6129" s="24" t="str" cm="1">
        <f t="array" ref="Q6129">IFERROR(IF($B6129=Q$1, ($A6129+$C6129) - MAX(IF($B$2:$B6128=$B6129, $A$2:$A6128+$C$2:$C6128)), "")*24*60, "")</f>
        <v/>
      </c>
      <c r="R6129" s="24" t="str" cm="1">
        <f t="array" ref="R6129">IFERROR(IF($B6129=R$1, ($A6129+$C6129) - MAX(IF($B$2:$B6128=$B6129, $A$2:$A6128+$C$2:$C6128)), "")*24*60, "")</f>
        <v/>
      </c>
      <c r="S6129" s="24" t="str" cm="1">
        <f t="array" ref="S6129">IFERROR(IF($B6129=S$1, ($A6129+$C6129) - MAX(IF($B$2:$B6128=$B6129, $A$2:$A6128+$C$2:$C6128)), "")*24*60, "")</f>
        <v/>
      </c>
    </row>
    <row r="6130" spans="1:19" x14ac:dyDescent="0.2">
      <c r="A6130" s="12">
        <f t="shared" ref="A6130:C6130" si="1273">A6129</f>
        <v>45987</v>
      </c>
      <c r="B6130" s="5" t="str">
        <f t="shared" si="1273"/>
        <v>Northern Cardinal</v>
      </c>
      <c r="C6130" s="6">
        <f t="shared" si="1273"/>
        <v>0.28611111111111109</v>
      </c>
      <c r="D6130" s="5"/>
      <c r="E6130" s="5"/>
      <c r="F6130" s="5" t="s">
        <v>8</v>
      </c>
      <c r="G6130" s="15" t="s">
        <v>9</v>
      </c>
      <c r="H6130" s="24">
        <f t="shared" si="1249"/>
        <v>0</v>
      </c>
      <c r="I6130" s="24" cm="1">
        <f t="array" ref="I6130">IFERROR(IF($B6130=I$1, ($A6130+$C6130) - MAX(IF($B$2:$B6129=$B6130, $A$2:$A6129+$C$2:$C6129)), "")*24*60, "")</f>
        <v>0</v>
      </c>
      <c r="J6130" s="24" t="str" cm="1">
        <f t="array" ref="J6130">IFERROR(IF($B6130=J$1, ($A6130+$C6130) - MAX(IF($B$2:$B6129=$B6130, $A$2:$A6129+$C$2:$C6129)), "")*24*60, "")</f>
        <v/>
      </c>
      <c r="K6130" s="24" t="str" cm="1">
        <f t="array" ref="K6130">IFERROR(IF($B6130=K$1, ($A6130+$C6130) - MAX(IF($B$2:$B6129=$B6130, $A$2:$A6129+$C$2:$C6129)), "")*24*60, "")</f>
        <v/>
      </c>
      <c r="L6130" s="24" t="str" cm="1">
        <f t="array" ref="L6130">IFERROR(IF($B6130=L$1, ($A6130+$C6130) - MAX(IF($B$2:$B6129=$B6130, $A$2:$A6129+$C$2:$C6129)), "")*24*60, "")</f>
        <v/>
      </c>
      <c r="M6130" s="24" t="str" cm="1">
        <f t="array" ref="M6130">IFERROR(IF($B6130=M$1, ($A6130+$C6130) - MAX(IF($B$2:$B6129=$B6130, $A$2:$A6129+$C$2:$C6129)), "")*24*60, "")</f>
        <v/>
      </c>
      <c r="N6130" s="24" t="str" cm="1">
        <f t="array" ref="N6130">IFERROR(IF($B6130=N$1, ($A6130+$C6130) - MAX(IF($B$2:$B6129=$B6130, $A$2:$A6129+$C$2:$C6129)), "")*24*60, "")</f>
        <v/>
      </c>
      <c r="O6130" s="24" t="str" cm="1">
        <f t="array" ref="O6130">IFERROR(IF($B6130=O$1, ($A6130+$C6130) - MAX(IF($B$2:$B6129=$B6130, $A$2:$A6129+$C$2:$C6129)), "")*24*60, "")</f>
        <v/>
      </c>
      <c r="P6130" s="24" t="str" cm="1">
        <f t="array" ref="P6130">IFERROR(IF($B6130=P$1, ($A6130+$C6130) - MAX(IF($B$2:$B6129=$B6130, $A$2:$A6129+$C$2:$C6129)), "")*24*60, "")</f>
        <v/>
      </c>
      <c r="Q6130" s="24" t="str" cm="1">
        <f t="array" ref="Q6130">IFERROR(IF($B6130=Q$1, ($A6130+$C6130) - MAX(IF($B$2:$B6129=$B6130, $A$2:$A6129+$C$2:$C6129)), "")*24*60, "")</f>
        <v/>
      </c>
      <c r="R6130" s="24" t="str" cm="1">
        <f t="array" ref="R6130">IFERROR(IF($B6130=R$1, ($A6130+$C6130) - MAX(IF($B$2:$B6129=$B6130, $A$2:$A6129+$C$2:$C6129)), "")*24*60, "")</f>
        <v/>
      </c>
      <c r="S6130" s="24" t="str" cm="1">
        <f t="array" ref="S6130">IFERROR(IF($B6130=S$1, ($A6130+$C6130) - MAX(IF($B$2:$B6129=$B6130, $A$2:$A6129+$C$2:$C6129)), "")*24*60, "")</f>
        <v/>
      </c>
    </row>
    <row r="6131" spans="1:19" x14ac:dyDescent="0.2">
      <c r="A6131" s="12">
        <f t="shared" ref="A6131:C6131" si="1274">A6130</f>
        <v>45987</v>
      </c>
      <c r="B6131" s="5" t="str">
        <f t="shared" si="1274"/>
        <v>Northern Cardinal</v>
      </c>
      <c r="C6131" s="6">
        <f t="shared" si="1274"/>
        <v>0.28611111111111109</v>
      </c>
      <c r="D6131" s="5"/>
      <c r="E6131" s="5"/>
      <c r="F6131" s="5" t="s">
        <v>8</v>
      </c>
      <c r="G6131" s="15" t="s">
        <v>9</v>
      </c>
      <c r="H6131" s="24">
        <f t="shared" si="1249"/>
        <v>0</v>
      </c>
      <c r="I6131" s="24" cm="1">
        <f t="array" ref="I6131">IFERROR(IF($B6131=I$1, ($A6131+$C6131) - MAX(IF($B$2:$B6130=$B6131, $A$2:$A6130+$C$2:$C6130)), "")*24*60, "")</f>
        <v>0</v>
      </c>
      <c r="J6131" s="24" t="str" cm="1">
        <f t="array" ref="J6131">IFERROR(IF($B6131=J$1, ($A6131+$C6131) - MAX(IF($B$2:$B6130=$B6131, $A$2:$A6130+$C$2:$C6130)), "")*24*60, "")</f>
        <v/>
      </c>
      <c r="K6131" s="24" t="str" cm="1">
        <f t="array" ref="K6131">IFERROR(IF($B6131=K$1, ($A6131+$C6131) - MAX(IF($B$2:$B6130=$B6131, $A$2:$A6130+$C$2:$C6130)), "")*24*60, "")</f>
        <v/>
      </c>
      <c r="L6131" s="24" t="str" cm="1">
        <f t="array" ref="L6131">IFERROR(IF($B6131=L$1, ($A6131+$C6131) - MAX(IF($B$2:$B6130=$B6131, $A$2:$A6130+$C$2:$C6130)), "")*24*60, "")</f>
        <v/>
      </c>
      <c r="M6131" s="24" t="str" cm="1">
        <f t="array" ref="M6131">IFERROR(IF($B6131=M$1, ($A6131+$C6131) - MAX(IF($B$2:$B6130=$B6131, $A$2:$A6130+$C$2:$C6130)), "")*24*60, "")</f>
        <v/>
      </c>
      <c r="N6131" s="24" t="str" cm="1">
        <f t="array" ref="N6131">IFERROR(IF($B6131=N$1, ($A6131+$C6131) - MAX(IF($B$2:$B6130=$B6131, $A$2:$A6130+$C$2:$C6130)), "")*24*60, "")</f>
        <v/>
      </c>
      <c r="O6131" s="24" t="str" cm="1">
        <f t="array" ref="O6131">IFERROR(IF($B6131=O$1, ($A6131+$C6131) - MAX(IF($B$2:$B6130=$B6131, $A$2:$A6130+$C$2:$C6130)), "")*24*60, "")</f>
        <v/>
      </c>
      <c r="P6131" s="24" t="str" cm="1">
        <f t="array" ref="P6131">IFERROR(IF($B6131=P$1, ($A6131+$C6131) - MAX(IF($B$2:$B6130=$B6131, $A$2:$A6130+$C$2:$C6130)), "")*24*60, "")</f>
        <v/>
      </c>
      <c r="Q6131" s="24" t="str" cm="1">
        <f t="array" ref="Q6131">IFERROR(IF($B6131=Q$1, ($A6131+$C6131) - MAX(IF($B$2:$B6130=$B6131, $A$2:$A6130+$C$2:$C6130)), "")*24*60, "")</f>
        <v/>
      </c>
      <c r="R6131" s="24" t="str" cm="1">
        <f t="array" ref="R6131">IFERROR(IF($B6131=R$1, ($A6131+$C6131) - MAX(IF($B$2:$B6130=$B6131, $A$2:$A6130+$C$2:$C6130)), "")*24*60, "")</f>
        <v/>
      </c>
      <c r="S6131" s="24" t="str" cm="1">
        <f t="array" ref="S6131">IFERROR(IF($B6131=S$1, ($A6131+$C6131) - MAX(IF($B$2:$B6130=$B6131, $A$2:$A6130+$C$2:$C6130)), "")*24*60, "")</f>
        <v/>
      </c>
    </row>
    <row r="6132" spans="1:19" x14ac:dyDescent="0.2">
      <c r="A6132" s="12">
        <f t="shared" ref="A6132:C6132" si="1275">A6131</f>
        <v>45987</v>
      </c>
      <c r="B6132" s="5" t="str">
        <f t="shared" si="1275"/>
        <v>Northern Cardinal</v>
      </c>
      <c r="C6132" s="6">
        <f t="shared" si="1275"/>
        <v>0.28611111111111109</v>
      </c>
      <c r="D6132" s="5"/>
      <c r="E6132" s="5"/>
      <c r="F6132" s="5" t="s">
        <v>8</v>
      </c>
      <c r="G6132" s="15" t="s">
        <v>9</v>
      </c>
      <c r="H6132" s="24">
        <f t="shared" si="1249"/>
        <v>0</v>
      </c>
      <c r="I6132" s="24" cm="1">
        <f t="array" ref="I6132">IFERROR(IF($B6132=I$1, ($A6132+$C6132) - MAX(IF($B$2:$B6131=$B6132, $A$2:$A6131+$C$2:$C6131)), "")*24*60, "")</f>
        <v>0</v>
      </c>
      <c r="J6132" s="24" t="str" cm="1">
        <f t="array" ref="J6132">IFERROR(IF($B6132=J$1, ($A6132+$C6132) - MAX(IF($B$2:$B6131=$B6132, $A$2:$A6131+$C$2:$C6131)), "")*24*60, "")</f>
        <v/>
      </c>
      <c r="K6132" s="24" t="str" cm="1">
        <f t="array" ref="K6132">IFERROR(IF($B6132=K$1, ($A6132+$C6132) - MAX(IF($B$2:$B6131=$B6132, $A$2:$A6131+$C$2:$C6131)), "")*24*60, "")</f>
        <v/>
      </c>
      <c r="L6132" s="24" t="str" cm="1">
        <f t="array" ref="L6132">IFERROR(IF($B6132=L$1, ($A6132+$C6132) - MAX(IF($B$2:$B6131=$B6132, $A$2:$A6131+$C$2:$C6131)), "")*24*60, "")</f>
        <v/>
      </c>
      <c r="M6132" s="24" t="str" cm="1">
        <f t="array" ref="M6132">IFERROR(IF($B6132=M$1, ($A6132+$C6132) - MAX(IF($B$2:$B6131=$B6132, $A$2:$A6131+$C$2:$C6131)), "")*24*60, "")</f>
        <v/>
      </c>
      <c r="N6132" s="24" t="str" cm="1">
        <f t="array" ref="N6132">IFERROR(IF($B6132=N$1, ($A6132+$C6132) - MAX(IF($B$2:$B6131=$B6132, $A$2:$A6131+$C$2:$C6131)), "")*24*60, "")</f>
        <v/>
      </c>
      <c r="O6132" s="24" t="str" cm="1">
        <f t="array" ref="O6132">IFERROR(IF($B6132=O$1, ($A6132+$C6132) - MAX(IF($B$2:$B6131=$B6132, $A$2:$A6131+$C$2:$C6131)), "")*24*60, "")</f>
        <v/>
      </c>
      <c r="P6132" s="24" t="str" cm="1">
        <f t="array" ref="P6132">IFERROR(IF($B6132=P$1, ($A6132+$C6132) - MAX(IF($B$2:$B6131=$B6132, $A$2:$A6131+$C$2:$C6131)), "")*24*60, "")</f>
        <v/>
      </c>
      <c r="Q6132" s="24" t="str" cm="1">
        <f t="array" ref="Q6132">IFERROR(IF($B6132=Q$1, ($A6132+$C6132) - MAX(IF($B$2:$B6131=$B6132, $A$2:$A6131+$C$2:$C6131)), "")*24*60, "")</f>
        <v/>
      </c>
      <c r="R6132" s="24" t="str" cm="1">
        <f t="array" ref="R6132">IFERROR(IF($B6132=R$1, ($A6132+$C6132) - MAX(IF($B$2:$B6131=$B6132, $A$2:$A6131+$C$2:$C6131)), "")*24*60, "")</f>
        <v/>
      </c>
      <c r="S6132" s="24" t="str" cm="1">
        <f t="array" ref="S6132">IFERROR(IF($B6132=S$1, ($A6132+$C6132) - MAX(IF($B$2:$B6131=$B6132, $A$2:$A6131+$C$2:$C6131)), "")*24*60, "")</f>
        <v/>
      </c>
    </row>
    <row r="6133" spans="1:19" x14ac:dyDescent="0.2">
      <c r="A6133" s="12">
        <f t="shared" ref="A6133:C6133" si="1276">A6132</f>
        <v>45987</v>
      </c>
      <c r="B6133" s="5" t="str">
        <f t="shared" si="1276"/>
        <v>Northern Cardinal</v>
      </c>
      <c r="C6133" s="6">
        <f t="shared" si="1276"/>
        <v>0.28611111111111109</v>
      </c>
      <c r="D6133" s="5"/>
      <c r="E6133" s="5"/>
      <c r="F6133" s="5" t="s">
        <v>8</v>
      </c>
      <c r="G6133" s="15" t="s">
        <v>9</v>
      </c>
      <c r="H6133" s="24">
        <f t="shared" si="1249"/>
        <v>0</v>
      </c>
      <c r="I6133" s="24" cm="1">
        <f t="array" ref="I6133">IFERROR(IF($B6133=I$1, ($A6133+$C6133) - MAX(IF($B$2:$B6132=$B6133, $A$2:$A6132+$C$2:$C6132)), "")*24*60, "")</f>
        <v>0</v>
      </c>
      <c r="J6133" s="24" t="str" cm="1">
        <f t="array" ref="J6133">IFERROR(IF($B6133=J$1, ($A6133+$C6133) - MAX(IF($B$2:$B6132=$B6133, $A$2:$A6132+$C$2:$C6132)), "")*24*60, "")</f>
        <v/>
      </c>
      <c r="K6133" s="24" t="str" cm="1">
        <f t="array" ref="K6133">IFERROR(IF($B6133=K$1, ($A6133+$C6133) - MAX(IF($B$2:$B6132=$B6133, $A$2:$A6132+$C$2:$C6132)), "")*24*60, "")</f>
        <v/>
      </c>
      <c r="L6133" s="24" t="str" cm="1">
        <f t="array" ref="L6133">IFERROR(IF($B6133=L$1, ($A6133+$C6133) - MAX(IF($B$2:$B6132=$B6133, $A$2:$A6132+$C$2:$C6132)), "")*24*60, "")</f>
        <v/>
      </c>
      <c r="M6133" s="24" t="str" cm="1">
        <f t="array" ref="M6133">IFERROR(IF($B6133=M$1, ($A6133+$C6133) - MAX(IF($B$2:$B6132=$B6133, $A$2:$A6132+$C$2:$C6132)), "")*24*60, "")</f>
        <v/>
      </c>
      <c r="N6133" s="24" t="str" cm="1">
        <f t="array" ref="N6133">IFERROR(IF($B6133=N$1, ($A6133+$C6133) - MAX(IF($B$2:$B6132=$B6133, $A$2:$A6132+$C$2:$C6132)), "")*24*60, "")</f>
        <v/>
      </c>
      <c r="O6133" s="24" t="str" cm="1">
        <f t="array" ref="O6133">IFERROR(IF($B6133=O$1, ($A6133+$C6133) - MAX(IF($B$2:$B6132=$B6133, $A$2:$A6132+$C$2:$C6132)), "")*24*60, "")</f>
        <v/>
      </c>
      <c r="P6133" s="24" t="str" cm="1">
        <f t="array" ref="P6133">IFERROR(IF($B6133=P$1, ($A6133+$C6133) - MAX(IF($B$2:$B6132=$B6133, $A$2:$A6132+$C$2:$C6132)), "")*24*60, "")</f>
        <v/>
      </c>
      <c r="Q6133" s="24" t="str" cm="1">
        <f t="array" ref="Q6133">IFERROR(IF($B6133=Q$1, ($A6133+$C6133) - MAX(IF($B$2:$B6132=$B6133, $A$2:$A6132+$C$2:$C6132)), "")*24*60, "")</f>
        <v/>
      </c>
      <c r="R6133" s="24" t="str" cm="1">
        <f t="array" ref="R6133">IFERROR(IF($B6133=R$1, ($A6133+$C6133) - MAX(IF($B$2:$B6132=$B6133, $A$2:$A6132+$C$2:$C6132)), "")*24*60, "")</f>
        <v/>
      </c>
      <c r="S6133" s="24" t="str" cm="1">
        <f t="array" ref="S6133">IFERROR(IF($B6133=S$1, ($A6133+$C6133) - MAX(IF($B$2:$B6132=$B6133, $A$2:$A6132+$C$2:$C6132)), "")*24*60, "")</f>
        <v/>
      </c>
    </row>
    <row r="6134" spans="1:19" x14ac:dyDescent="0.2">
      <c r="A6134" s="12">
        <f t="shared" ref="A6134:C6134" si="1277">A6133</f>
        <v>45987</v>
      </c>
      <c r="B6134" s="5" t="str">
        <f t="shared" si="1277"/>
        <v>Northern Cardinal</v>
      </c>
      <c r="C6134" s="6">
        <f t="shared" si="1277"/>
        <v>0.28611111111111109</v>
      </c>
      <c r="D6134" s="5"/>
      <c r="E6134" s="5"/>
      <c r="F6134" s="5" t="s">
        <v>8</v>
      </c>
      <c r="G6134" s="15" t="s">
        <v>9</v>
      </c>
      <c r="H6134" s="24">
        <f t="shared" si="1249"/>
        <v>0</v>
      </c>
      <c r="I6134" s="24" cm="1">
        <f t="array" ref="I6134">IFERROR(IF($B6134=I$1, ($A6134+$C6134) - MAX(IF($B$2:$B6133=$B6134, $A$2:$A6133+$C$2:$C6133)), "")*24*60, "")</f>
        <v>0</v>
      </c>
      <c r="J6134" s="24" t="str" cm="1">
        <f t="array" ref="J6134">IFERROR(IF($B6134=J$1, ($A6134+$C6134) - MAX(IF($B$2:$B6133=$B6134, $A$2:$A6133+$C$2:$C6133)), "")*24*60, "")</f>
        <v/>
      </c>
      <c r="K6134" s="24" t="str" cm="1">
        <f t="array" ref="K6134">IFERROR(IF($B6134=K$1, ($A6134+$C6134) - MAX(IF($B$2:$B6133=$B6134, $A$2:$A6133+$C$2:$C6133)), "")*24*60, "")</f>
        <v/>
      </c>
      <c r="L6134" s="24" t="str" cm="1">
        <f t="array" ref="L6134">IFERROR(IF($B6134=L$1, ($A6134+$C6134) - MAX(IF($B$2:$B6133=$B6134, $A$2:$A6133+$C$2:$C6133)), "")*24*60, "")</f>
        <v/>
      </c>
      <c r="M6134" s="24" t="str" cm="1">
        <f t="array" ref="M6134">IFERROR(IF($B6134=M$1, ($A6134+$C6134) - MAX(IF($B$2:$B6133=$B6134, $A$2:$A6133+$C$2:$C6133)), "")*24*60, "")</f>
        <v/>
      </c>
      <c r="N6134" s="24" t="str" cm="1">
        <f t="array" ref="N6134">IFERROR(IF($B6134=N$1, ($A6134+$C6134) - MAX(IF($B$2:$B6133=$B6134, $A$2:$A6133+$C$2:$C6133)), "")*24*60, "")</f>
        <v/>
      </c>
      <c r="O6134" s="24" t="str" cm="1">
        <f t="array" ref="O6134">IFERROR(IF($B6134=O$1, ($A6134+$C6134) - MAX(IF($B$2:$B6133=$B6134, $A$2:$A6133+$C$2:$C6133)), "")*24*60, "")</f>
        <v/>
      </c>
      <c r="P6134" s="24" t="str" cm="1">
        <f t="array" ref="P6134">IFERROR(IF($B6134=P$1, ($A6134+$C6134) - MAX(IF($B$2:$B6133=$B6134, $A$2:$A6133+$C$2:$C6133)), "")*24*60, "")</f>
        <v/>
      </c>
      <c r="Q6134" s="24" t="str" cm="1">
        <f t="array" ref="Q6134">IFERROR(IF($B6134=Q$1, ($A6134+$C6134) - MAX(IF($B$2:$B6133=$B6134, $A$2:$A6133+$C$2:$C6133)), "")*24*60, "")</f>
        <v/>
      </c>
      <c r="R6134" s="24" t="str" cm="1">
        <f t="array" ref="R6134">IFERROR(IF($B6134=R$1, ($A6134+$C6134) - MAX(IF($B$2:$B6133=$B6134, $A$2:$A6133+$C$2:$C6133)), "")*24*60, "")</f>
        <v/>
      </c>
      <c r="S6134" s="24" t="str" cm="1">
        <f t="array" ref="S6134">IFERROR(IF($B6134=S$1, ($A6134+$C6134) - MAX(IF($B$2:$B6133=$B6134, $A$2:$A6133+$C$2:$C6133)), "")*24*60, "")</f>
        <v/>
      </c>
    </row>
    <row r="6135" spans="1:19" x14ac:dyDescent="0.2">
      <c r="A6135" s="12">
        <f t="shared" ref="A6135:C6135" si="1278">A6134</f>
        <v>45987</v>
      </c>
      <c r="B6135" s="5" t="str">
        <f t="shared" si="1278"/>
        <v>Northern Cardinal</v>
      </c>
      <c r="C6135" s="6">
        <f t="shared" si="1278"/>
        <v>0.28611111111111109</v>
      </c>
      <c r="D6135" s="5"/>
      <c r="E6135" s="5"/>
      <c r="F6135" s="5" t="s">
        <v>8</v>
      </c>
      <c r="G6135" s="15" t="s">
        <v>9</v>
      </c>
      <c r="H6135" s="24">
        <f t="shared" si="1249"/>
        <v>0</v>
      </c>
      <c r="I6135" s="24" cm="1">
        <f t="array" ref="I6135">IFERROR(IF($B6135=I$1, ($A6135+$C6135) - MAX(IF($B$2:$B6134=$B6135, $A$2:$A6134+$C$2:$C6134)), "")*24*60, "")</f>
        <v>0</v>
      </c>
      <c r="J6135" s="24" t="str" cm="1">
        <f t="array" ref="J6135">IFERROR(IF($B6135=J$1, ($A6135+$C6135) - MAX(IF($B$2:$B6134=$B6135, $A$2:$A6134+$C$2:$C6134)), "")*24*60, "")</f>
        <v/>
      </c>
      <c r="K6135" s="24" t="str" cm="1">
        <f t="array" ref="K6135">IFERROR(IF($B6135=K$1, ($A6135+$C6135) - MAX(IF($B$2:$B6134=$B6135, $A$2:$A6134+$C$2:$C6134)), "")*24*60, "")</f>
        <v/>
      </c>
      <c r="L6135" s="24" t="str" cm="1">
        <f t="array" ref="L6135">IFERROR(IF($B6135=L$1, ($A6135+$C6135) - MAX(IF($B$2:$B6134=$B6135, $A$2:$A6134+$C$2:$C6134)), "")*24*60, "")</f>
        <v/>
      </c>
      <c r="M6135" s="24" t="str" cm="1">
        <f t="array" ref="M6135">IFERROR(IF($B6135=M$1, ($A6135+$C6135) - MAX(IF($B$2:$B6134=$B6135, $A$2:$A6134+$C$2:$C6134)), "")*24*60, "")</f>
        <v/>
      </c>
      <c r="N6135" s="24" t="str" cm="1">
        <f t="array" ref="N6135">IFERROR(IF($B6135=N$1, ($A6135+$C6135) - MAX(IF($B$2:$B6134=$B6135, $A$2:$A6134+$C$2:$C6134)), "")*24*60, "")</f>
        <v/>
      </c>
      <c r="O6135" s="24" t="str" cm="1">
        <f t="array" ref="O6135">IFERROR(IF($B6135=O$1, ($A6135+$C6135) - MAX(IF($B$2:$B6134=$B6135, $A$2:$A6134+$C$2:$C6134)), "")*24*60, "")</f>
        <v/>
      </c>
      <c r="P6135" s="24" t="str" cm="1">
        <f t="array" ref="P6135">IFERROR(IF($B6135=P$1, ($A6135+$C6135) - MAX(IF($B$2:$B6134=$B6135, $A$2:$A6134+$C$2:$C6134)), "")*24*60, "")</f>
        <v/>
      </c>
      <c r="Q6135" s="24" t="str" cm="1">
        <f t="array" ref="Q6135">IFERROR(IF($B6135=Q$1, ($A6135+$C6135) - MAX(IF($B$2:$B6134=$B6135, $A$2:$A6134+$C$2:$C6134)), "")*24*60, "")</f>
        <v/>
      </c>
      <c r="R6135" s="24" t="str" cm="1">
        <f t="array" ref="R6135">IFERROR(IF($B6135=R$1, ($A6135+$C6135) - MAX(IF($B$2:$B6134=$B6135, $A$2:$A6134+$C$2:$C6134)), "")*24*60, "")</f>
        <v/>
      </c>
      <c r="S6135" s="24" t="str" cm="1">
        <f t="array" ref="S6135">IFERROR(IF($B6135=S$1, ($A6135+$C6135) - MAX(IF($B$2:$B6134=$B6135, $A$2:$A6134+$C$2:$C6134)), "")*24*60, "")</f>
        <v/>
      </c>
    </row>
    <row r="6136" spans="1:19" x14ac:dyDescent="0.2">
      <c r="A6136" s="12">
        <f t="shared" ref="A6136:C6136" si="1279">A6135</f>
        <v>45987</v>
      </c>
      <c r="B6136" s="5" t="str">
        <f t="shared" si="1279"/>
        <v>Northern Cardinal</v>
      </c>
      <c r="C6136" s="6">
        <f t="shared" si="1279"/>
        <v>0.28611111111111109</v>
      </c>
      <c r="D6136" s="5"/>
      <c r="E6136" s="5"/>
      <c r="F6136" s="5" t="s">
        <v>8</v>
      </c>
      <c r="G6136" s="15" t="s">
        <v>9</v>
      </c>
      <c r="H6136" s="24">
        <f t="shared" si="1249"/>
        <v>0</v>
      </c>
      <c r="I6136" s="24" cm="1">
        <f t="array" ref="I6136">IFERROR(IF($B6136=I$1, ($A6136+$C6136) - MAX(IF($B$2:$B6135=$B6136, $A$2:$A6135+$C$2:$C6135)), "")*24*60, "")</f>
        <v>0</v>
      </c>
      <c r="J6136" s="24" t="str" cm="1">
        <f t="array" ref="J6136">IFERROR(IF($B6136=J$1, ($A6136+$C6136) - MAX(IF($B$2:$B6135=$B6136, $A$2:$A6135+$C$2:$C6135)), "")*24*60, "")</f>
        <v/>
      </c>
      <c r="K6136" s="24" t="str" cm="1">
        <f t="array" ref="K6136">IFERROR(IF($B6136=K$1, ($A6136+$C6136) - MAX(IF($B$2:$B6135=$B6136, $A$2:$A6135+$C$2:$C6135)), "")*24*60, "")</f>
        <v/>
      </c>
      <c r="L6136" s="24" t="str" cm="1">
        <f t="array" ref="L6136">IFERROR(IF($B6136=L$1, ($A6136+$C6136) - MAX(IF($B$2:$B6135=$B6136, $A$2:$A6135+$C$2:$C6135)), "")*24*60, "")</f>
        <v/>
      </c>
      <c r="M6136" s="24" t="str" cm="1">
        <f t="array" ref="M6136">IFERROR(IF($B6136=M$1, ($A6136+$C6136) - MAX(IF($B$2:$B6135=$B6136, $A$2:$A6135+$C$2:$C6135)), "")*24*60, "")</f>
        <v/>
      </c>
      <c r="N6136" s="24" t="str" cm="1">
        <f t="array" ref="N6136">IFERROR(IF($B6136=N$1, ($A6136+$C6136) - MAX(IF($B$2:$B6135=$B6136, $A$2:$A6135+$C$2:$C6135)), "")*24*60, "")</f>
        <v/>
      </c>
      <c r="O6136" s="24" t="str" cm="1">
        <f t="array" ref="O6136">IFERROR(IF($B6136=O$1, ($A6136+$C6136) - MAX(IF($B$2:$B6135=$B6136, $A$2:$A6135+$C$2:$C6135)), "")*24*60, "")</f>
        <v/>
      </c>
      <c r="P6136" s="24" t="str" cm="1">
        <f t="array" ref="P6136">IFERROR(IF($B6136=P$1, ($A6136+$C6136) - MAX(IF($B$2:$B6135=$B6136, $A$2:$A6135+$C$2:$C6135)), "")*24*60, "")</f>
        <v/>
      </c>
      <c r="Q6136" s="24" t="str" cm="1">
        <f t="array" ref="Q6136">IFERROR(IF($B6136=Q$1, ($A6136+$C6136) - MAX(IF($B$2:$B6135=$B6136, $A$2:$A6135+$C$2:$C6135)), "")*24*60, "")</f>
        <v/>
      </c>
      <c r="R6136" s="24" t="str" cm="1">
        <f t="array" ref="R6136">IFERROR(IF($B6136=R$1, ($A6136+$C6136) - MAX(IF($B$2:$B6135=$B6136, $A$2:$A6135+$C$2:$C6135)), "")*24*60, "")</f>
        <v/>
      </c>
      <c r="S6136" s="24" t="str" cm="1">
        <f t="array" ref="S6136">IFERROR(IF($B6136=S$1, ($A6136+$C6136) - MAX(IF($B$2:$B6135=$B6136, $A$2:$A6135+$C$2:$C6135)), "")*24*60, "")</f>
        <v/>
      </c>
    </row>
    <row r="6137" spans="1:19" x14ac:dyDescent="0.2">
      <c r="A6137" s="12">
        <f t="shared" ref="A6137:C6137" si="1280">A6136</f>
        <v>45987</v>
      </c>
      <c r="B6137" s="5" t="str">
        <f t="shared" si="1280"/>
        <v>Northern Cardinal</v>
      </c>
      <c r="C6137" s="6">
        <f t="shared" si="1280"/>
        <v>0.28611111111111109</v>
      </c>
      <c r="D6137" s="5"/>
      <c r="E6137" s="5"/>
      <c r="F6137" s="5" t="s">
        <v>8</v>
      </c>
      <c r="G6137" s="15" t="s">
        <v>9</v>
      </c>
      <c r="H6137" s="24">
        <f t="shared" si="1249"/>
        <v>0</v>
      </c>
      <c r="I6137" s="24" cm="1">
        <f t="array" ref="I6137">IFERROR(IF($B6137=I$1, ($A6137+$C6137) - MAX(IF($B$2:$B6136=$B6137, $A$2:$A6136+$C$2:$C6136)), "")*24*60, "")</f>
        <v>0</v>
      </c>
      <c r="J6137" s="24" t="str" cm="1">
        <f t="array" ref="J6137">IFERROR(IF($B6137=J$1, ($A6137+$C6137) - MAX(IF($B$2:$B6136=$B6137, $A$2:$A6136+$C$2:$C6136)), "")*24*60, "")</f>
        <v/>
      </c>
      <c r="K6137" s="24" t="str" cm="1">
        <f t="array" ref="K6137">IFERROR(IF($B6137=K$1, ($A6137+$C6137) - MAX(IF($B$2:$B6136=$B6137, $A$2:$A6136+$C$2:$C6136)), "")*24*60, "")</f>
        <v/>
      </c>
      <c r="L6137" s="24" t="str" cm="1">
        <f t="array" ref="L6137">IFERROR(IF($B6137=L$1, ($A6137+$C6137) - MAX(IF($B$2:$B6136=$B6137, $A$2:$A6136+$C$2:$C6136)), "")*24*60, "")</f>
        <v/>
      </c>
      <c r="M6137" s="24" t="str" cm="1">
        <f t="array" ref="M6137">IFERROR(IF($B6137=M$1, ($A6137+$C6137) - MAX(IF($B$2:$B6136=$B6137, $A$2:$A6136+$C$2:$C6136)), "")*24*60, "")</f>
        <v/>
      </c>
      <c r="N6137" s="24" t="str" cm="1">
        <f t="array" ref="N6137">IFERROR(IF($B6137=N$1, ($A6137+$C6137) - MAX(IF($B$2:$B6136=$B6137, $A$2:$A6136+$C$2:$C6136)), "")*24*60, "")</f>
        <v/>
      </c>
      <c r="O6137" s="24" t="str" cm="1">
        <f t="array" ref="O6137">IFERROR(IF($B6137=O$1, ($A6137+$C6137) - MAX(IF($B$2:$B6136=$B6137, $A$2:$A6136+$C$2:$C6136)), "")*24*60, "")</f>
        <v/>
      </c>
      <c r="P6137" s="24" t="str" cm="1">
        <f t="array" ref="P6137">IFERROR(IF($B6137=P$1, ($A6137+$C6137) - MAX(IF($B$2:$B6136=$B6137, $A$2:$A6136+$C$2:$C6136)), "")*24*60, "")</f>
        <v/>
      </c>
      <c r="Q6137" s="24" t="str" cm="1">
        <f t="array" ref="Q6137">IFERROR(IF($B6137=Q$1, ($A6137+$C6137) - MAX(IF($B$2:$B6136=$B6137, $A$2:$A6136+$C$2:$C6136)), "")*24*60, "")</f>
        <v/>
      </c>
      <c r="R6137" s="24" t="str" cm="1">
        <f t="array" ref="R6137">IFERROR(IF($B6137=R$1, ($A6137+$C6137) - MAX(IF($B$2:$B6136=$B6137, $A$2:$A6136+$C$2:$C6136)), "")*24*60, "")</f>
        <v/>
      </c>
      <c r="S6137" s="24" t="str" cm="1">
        <f t="array" ref="S6137">IFERROR(IF($B6137=S$1, ($A6137+$C6137) - MAX(IF($B$2:$B6136=$B6137, $A$2:$A6136+$C$2:$C6136)), "")*24*60, "")</f>
        <v/>
      </c>
    </row>
    <row r="6138" spans="1:19" x14ac:dyDescent="0.2">
      <c r="A6138" s="12">
        <f t="shared" ref="A6138:C6138" si="1281">A6137</f>
        <v>45987</v>
      </c>
      <c r="B6138" s="5" t="str">
        <f t="shared" si="1281"/>
        <v>Northern Cardinal</v>
      </c>
      <c r="C6138" s="6">
        <f t="shared" si="1281"/>
        <v>0.28611111111111109</v>
      </c>
      <c r="D6138" s="5"/>
      <c r="E6138" s="5"/>
      <c r="F6138" s="5" t="s">
        <v>8</v>
      </c>
      <c r="G6138" s="15" t="s">
        <v>9</v>
      </c>
      <c r="H6138" s="24">
        <f t="shared" si="1249"/>
        <v>0</v>
      </c>
      <c r="I6138" s="24" cm="1">
        <f t="array" ref="I6138">IFERROR(IF($B6138=I$1, ($A6138+$C6138) - MAX(IF($B$2:$B6137=$B6138, $A$2:$A6137+$C$2:$C6137)), "")*24*60, "")</f>
        <v>0</v>
      </c>
      <c r="J6138" s="24" t="str" cm="1">
        <f t="array" ref="J6138">IFERROR(IF($B6138=J$1, ($A6138+$C6138) - MAX(IF($B$2:$B6137=$B6138, $A$2:$A6137+$C$2:$C6137)), "")*24*60, "")</f>
        <v/>
      </c>
      <c r="K6138" s="24" t="str" cm="1">
        <f t="array" ref="K6138">IFERROR(IF($B6138=K$1, ($A6138+$C6138) - MAX(IF($B$2:$B6137=$B6138, $A$2:$A6137+$C$2:$C6137)), "")*24*60, "")</f>
        <v/>
      </c>
      <c r="L6138" s="24" t="str" cm="1">
        <f t="array" ref="L6138">IFERROR(IF($B6138=L$1, ($A6138+$C6138) - MAX(IF($B$2:$B6137=$B6138, $A$2:$A6137+$C$2:$C6137)), "")*24*60, "")</f>
        <v/>
      </c>
      <c r="M6138" s="24" t="str" cm="1">
        <f t="array" ref="M6138">IFERROR(IF($B6138=M$1, ($A6138+$C6138) - MAX(IF($B$2:$B6137=$B6138, $A$2:$A6137+$C$2:$C6137)), "")*24*60, "")</f>
        <v/>
      </c>
      <c r="N6138" s="24" t="str" cm="1">
        <f t="array" ref="N6138">IFERROR(IF($B6138=N$1, ($A6138+$C6138) - MAX(IF($B$2:$B6137=$B6138, $A$2:$A6137+$C$2:$C6137)), "")*24*60, "")</f>
        <v/>
      </c>
      <c r="O6138" s="24" t="str" cm="1">
        <f t="array" ref="O6138">IFERROR(IF($B6138=O$1, ($A6138+$C6138) - MAX(IF($B$2:$B6137=$B6138, $A$2:$A6137+$C$2:$C6137)), "")*24*60, "")</f>
        <v/>
      </c>
      <c r="P6138" s="24" t="str" cm="1">
        <f t="array" ref="P6138">IFERROR(IF($B6138=P$1, ($A6138+$C6138) - MAX(IF($B$2:$B6137=$B6138, $A$2:$A6137+$C$2:$C6137)), "")*24*60, "")</f>
        <v/>
      </c>
      <c r="Q6138" s="24" t="str" cm="1">
        <f t="array" ref="Q6138">IFERROR(IF($B6138=Q$1, ($A6138+$C6138) - MAX(IF($B$2:$B6137=$B6138, $A$2:$A6137+$C$2:$C6137)), "")*24*60, "")</f>
        <v/>
      </c>
      <c r="R6138" s="24" t="str" cm="1">
        <f t="array" ref="R6138">IFERROR(IF($B6138=R$1, ($A6138+$C6138) - MAX(IF($B$2:$B6137=$B6138, $A$2:$A6137+$C$2:$C6137)), "")*24*60, "")</f>
        <v/>
      </c>
      <c r="S6138" s="24" t="str" cm="1">
        <f t="array" ref="S6138">IFERROR(IF($B6138=S$1, ($A6138+$C6138) - MAX(IF($B$2:$B6137=$B6138, $A$2:$A6137+$C$2:$C6137)), "")*24*60, "")</f>
        <v/>
      </c>
    </row>
    <row r="6139" spans="1:19" x14ac:dyDescent="0.2">
      <c r="A6139" s="12">
        <f t="shared" ref="A6139:C6139" si="1282">A6138</f>
        <v>45987</v>
      </c>
      <c r="B6139" s="5" t="str">
        <f t="shared" si="1282"/>
        <v>Northern Cardinal</v>
      </c>
      <c r="C6139" s="6">
        <f t="shared" si="1282"/>
        <v>0.28611111111111109</v>
      </c>
      <c r="D6139" s="5"/>
      <c r="E6139" s="5"/>
      <c r="F6139" s="5" t="s">
        <v>8</v>
      </c>
      <c r="G6139" s="15" t="s">
        <v>9</v>
      </c>
      <c r="H6139" s="24">
        <f t="shared" si="1249"/>
        <v>0</v>
      </c>
      <c r="I6139" s="24" cm="1">
        <f t="array" ref="I6139">IFERROR(IF($B6139=I$1, ($A6139+$C6139) - MAX(IF($B$2:$B6138=$B6139, $A$2:$A6138+$C$2:$C6138)), "")*24*60, "")</f>
        <v>0</v>
      </c>
      <c r="J6139" s="24" t="str" cm="1">
        <f t="array" ref="J6139">IFERROR(IF($B6139=J$1, ($A6139+$C6139) - MAX(IF($B$2:$B6138=$B6139, $A$2:$A6138+$C$2:$C6138)), "")*24*60, "")</f>
        <v/>
      </c>
      <c r="K6139" s="24" t="str" cm="1">
        <f t="array" ref="K6139">IFERROR(IF($B6139=K$1, ($A6139+$C6139) - MAX(IF($B$2:$B6138=$B6139, $A$2:$A6138+$C$2:$C6138)), "")*24*60, "")</f>
        <v/>
      </c>
      <c r="L6139" s="24" t="str" cm="1">
        <f t="array" ref="L6139">IFERROR(IF($B6139=L$1, ($A6139+$C6139) - MAX(IF($B$2:$B6138=$B6139, $A$2:$A6138+$C$2:$C6138)), "")*24*60, "")</f>
        <v/>
      </c>
      <c r="M6139" s="24" t="str" cm="1">
        <f t="array" ref="M6139">IFERROR(IF($B6139=M$1, ($A6139+$C6139) - MAX(IF($B$2:$B6138=$B6139, $A$2:$A6138+$C$2:$C6138)), "")*24*60, "")</f>
        <v/>
      </c>
      <c r="N6139" s="24" t="str" cm="1">
        <f t="array" ref="N6139">IFERROR(IF($B6139=N$1, ($A6139+$C6139) - MAX(IF($B$2:$B6138=$B6139, $A$2:$A6138+$C$2:$C6138)), "")*24*60, "")</f>
        <v/>
      </c>
      <c r="O6139" s="24" t="str" cm="1">
        <f t="array" ref="O6139">IFERROR(IF($B6139=O$1, ($A6139+$C6139) - MAX(IF($B$2:$B6138=$B6139, $A$2:$A6138+$C$2:$C6138)), "")*24*60, "")</f>
        <v/>
      </c>
      <c r="P6139" s="24" t="str" cm="1">
        <f t="array" ref="P6139">IFERROR(IF($B6139=P$1, ($A6139+$C6139) - MAX(IF($B$2:$B6138=$B6139, $A$2:$A6138+$C$2:$C6138)), "")*24*60, "")</f>
        <v/>
      </c>
      <c r="Q6139" s="24" t="str" cm="1">
        <f t="array" ref="Q6139">IFERROR(IF($B6139=Q$1, ($A6139+$C6139) - MAX(IF($B$2:$B6138=$B6139, $A$2:$A6138+$C$2:$C6138)), "")*24*60, "")</f>
        <v/>
      </c>
      <c r="R6139" s="24" t="str" cm="1">
        <f t="array" ref="R6139">IFERROR(IF($B6139=R$1, ($A6139+$C6139) - MAX(IF($B$2:$B6138=$B6139, $A$2:$A6138+$C$2:$C6138)), "")*24*60, "")</f>
        <v/>
      </c>
      <c r="S6139" s="24" t="str" cm="1">
        <f t="array" ref="S6139">IFERROR(IF($B6139=S$1, ($A6139+$C6139) - MAX(IF($B$2:$B6138=$B6139, $A$2:$A6138+$C$2:$C6138)), "")*24*60, "")</f>
        <v/>
      </c>
    </row>
    <row r="6140" spans="1:19" x14ac:dyDescent="0.2">
      <c r="A6140" s="12">
        <f t="shared" ref="A6140:C6140" si="1283">A6139</f>
        <v>45987</v>
      </c>
      <c r="B6140" s="5" t="str">
        <f t="shared" si="1283"/>
        <v>Northern Cardinal</v>
      </c>
      <c r="C6140" s="6">
        <f t="shared" si="1283"/>
        <v>0.28611111111111109</v>
      </c>
      <c r="D6140" s="5"/>
      <c r="E6140" s="5"/>
      <c r="F6140" s="5" t="s">
        <v>8</v>
      </c>
      <c r="G6140" s="15" t="s">
        <v>9</v>
      </c>
      <c r="H6140" s="24">
        <f t="shared" si="1249"/>
        <v>0</v>
      </c>
      <c r="I6140" s="24" cm="1">
        <f t="array" ref="I6140">IFERROR(IF($B6140=I$1, ($A6140+$C6140) - MAX(IF($B$2:$B6139=$B6140, $A$2:$A6139+$C$2:$C6139)), "")*24*60, "")</f>
        <v>0</v>
      </c>
      <c r="J6140" s="24" t="str" cm="1">
        <f t="array" ref="J6140">IFERROR(IF($B6140=J$1, ($A6140+$C6140) - MAX(IF($B$2:$B6139=$B6140, $A$2:$A6139+$C$2:$C6139)), "")*24*60, "")</f>
        <v/>
      </c>
      <c r="K6140" s="24" t="str" cm="1">
        <f t="array" ref="K6140">IFERROR(IF($B6140=K$1, ($A6140+$C6140) - MAX(IF($B$2:$B6139=$B6140, $A$2:$A6139+$C$2:$C6139)), "")*24*60, "")</f>
        <v/>
      </c>
      <c r="L6140" s="24" t="str" cm="1">
        <f t="array" ref="L6140">IFERROR(IF($B6140=L$1, ($A6140+$C6140) - MAX(IF($B$2:$B6139=$B6140, $A$2:$A6139+$C$2:$C6139)), "")*24*60, "")</f>
        <v/>
      </c>
      <c r="M6140" s="24" t="str" cm="1">
        <f t="array" ref="M6140">IFERROR(IF($B6140=M$1, ($A6140+$C6140) - MAX(IF($B$2:$B6139=$B6140, $A$2:$A6139+$C$2:$C6139)), "")*24*60, "")</f>
        <v/>
      </c>
      <c r="N6140" s="24" t="str" cm="1">
        <f t="array" ref="N6140">IFERROR(IF($B6140=N$1, ($A6140+$C6140) - MAX(IF($B$2:$B6139=$B6140, $A$2:$A6139+$C$2:$C6139)), "")*24*60, "")</f>
        <v/>
      </c>
      <c r="O6140" s="24" t="str" cm="1">
        <f t="array" ref="O6140">IFERROR(IF($B6140=O$1, ($A6140+$C6140) - MAX(IF($B$2:$B6139=$B6140, $A$2:$A6139+$C$2:$C6139)), "")*24*60, "")</f>
        <v/>
      </c>
      <c r="P6140" s="24" t="str" cm="1">
        <f t="array" ref="P6140">IFERROR(IF($B6140=P$1, ($A6140+$C6140) - MAX(IF($B$2:$B6139=$B6140, $A$2:$A6139+$C$2:$C6139)), "")*24*60, "")</f>
        <v/>
      </c>
      <c r="Q6140" s="24" t="str" cm="1">
        <f t="array" ref="Q6140">IFERROR(IF($B6140=Q$1, ($A6140+$C6140) - MAX(IF($B$2:$B6139=$B6140, $A$2:$A6139+$C$2:$C6139)), "")*24*60, "")</f>
        <v/>
      </c>
      <c r="R6140" s="24" t="str" cm="1">
        <f t="array" ref="R6140">IFERROR(IF($B6140=R$1, ($A6140+$C6140) - MAX(IF($B$2:$B6139=$B6140, $A$2:$A6139+$C$2:$C6139)), "")*24*60, "")</f>
        <v/>
      </c>
      <c r="S6140" s="24" t="str" cm="1">
        <f t="array" ref="S6140">IFERROR(IF($B6140=S$1, ($A6140+$C6140) - MAX(IF($B$2:$B6139=$B6140, $A$2:$A6139+$C$2:$C6139)), "")*24*60, "")</f>
        <v/>
      </c>
    </row>
    <row r="6141" spans="1:19" x14ac:dyDescent="0.2">
      <c r="A6141" s="12">
        <f t="shared" ref="A6141:C6141" si="1284">A6140</f>
        <v>45987</v>
      </c>
      <c r="B6141" s="5" t="str">
        <f t="shared" si="1284"/>
        <v>Northern Cardinal</v>
      </c>
      <c r="C6141" s="6">
        <f t="shared" si="1284"/>
        <v>0.28611111111111109</v>
      </c>
      <c r="D6141" s="5"/>
      <c r="E6141" s="5"/>
      <c r="F6141" s="5" t="s">
        <v>8</v>
      </c>
      <c r="G6141" s="15" t="s">
        <v>9</v>
      </c>
      <c r="H6141" s="24">
        <f t="shared" si="1249"/>
        <v>0</v>
      </c>
      <c r="I6141" s="24" cm="1">
        <f t="array" ref="I6141">IFERROR(IF($B6141=I$1, ($A6141+$C6141) - MAX(IF($B$2:$B6140=$B6141, $A$2:$A6140+$C$2:$C6140)), "")*24*60, "")</f>
        <v>0</v>
      </c>
      <c r="J6141" s="24" t="str" cm="1">
        <f t="array" ref="J6141">IFERROR(IF($B6141=J$1, ($A6141+$C6141) - MAX(IF($B$2:$B6140=$B6141, $A$2:$A6140+$C$2:$C6140)), "")*24*60, "")</f>
        <v/>
      </c>
      <c r="K6141" s="24" t="str" cm="1">
        <f t="array" ref="K6141">IFERROR(IF($B6141=K$1, ($A6141+$C6141) - MAX(IF($B$2:$B6140=$B6141, $A$2:$A6140+$C$2:$C6140)), "")*24*60, "")</f>
        <v/>
      </c>
      <c r="L6141" s="24" t="str" cm="1">
        <f t="array" ref="L6141">IFERROR(IF($B6141=L$1, ($A6141+$C6141) - MAX(IF($B$2:$B6140=$B6141, $A$2:$A6140+$C$2:$C6140)), "")*24*60, "")</f>
        <v/>
      </c>
      <c r="M6141" s="24" t="str" cm="1">
        <f t="array" ref="M6141">IFERROR(IF($B6141=M$1, ($A6141+$C6141) - MAX(IF($B$2:$B6140=$B6141, $A$2:$A6140+$C$2:$C6140)), "")*24*60, "")</f>
        <v/>
      </c>
      <c r="N6141" s="24" t="str" cm="1">
        <f t="array" ref="N6141">IFERROR(IF($B6141=N$1, ($A6141+$C6141) - MAX(IF($B$2:$B6140=$B6141, $A$2:$A6140+$C$2:$C6140)), "")*24*60, "")</f>
        <v/>
      </c>
      <c r="O6141" s="24" t="str" cm="1">
        <f t="array" ref="O6141">IFERROR(IF($B6141=O$1, ($A6141+$C6141) - MAX(IF($B$2:$B6140=$B6141, $A$2:$A6140+$C$2:$C6140)), "")*24*60, "")</f>
        <v/>
      </c>
      <c r="P6141" s="24" t="str" cm="1">
        <f t="array" ref="P6141">IFERROR(IF($B6141=P$1, ($A6141+$C6141) - MAX(IF($B$2:$B6140=$B6141, $A$2:$A6140+$C$2:$C6140)), "")*24*60, "")</f>
        <v/>
      </c>
      <c r="Q6141" s="24" t="str" cm="1">
        <f t="array" ref="Q6141">IFERROR(IF($B6141=Q$1, ($A6141+$C6141) - MAX(IF($B$2:$B6140=$B6141, $A$2:$A6140+$C$2:$C6140)), "")*24*60, "")</f>
        <v/>
      </c>
      <c r="R6141" s="24" t="str" cm="1">
        <f t="array" ref="R6141">IFERROR(IF($B6141=R$1, ($A6141+$C6141) - MAX(IF($B$2:$B6140=$B6141, $A$2:$A6140+$C$2:$C6140)), "")*24*60, "")</f>
        <v/>
      </c>
      <c r="S6141" s="24" t="str" cm="1">
        <f t="array" ref="S6141">IFERROR(IF($B6141=S$1, ($A6141+$C6141) - MAX(IF($B$2:$B6140=$B6141, $A$2:$A6140+$C$2:$C6140)), "")*24*60, "")</f>
        <v/>
      </c>
    </row>
    <row r="6142" spans="1:19" x14ac:dyDescent="0.2">
      <c r="A6142" s="12">
        <f t="shared" ref="A6142:C6142" si="1285">A6141</f>
        <v>45987</v>
      </c>
      <c r="B6142" s="5" t="str">
        <f t="shared" si="1285"/>
        <v>Northern Cardinal</v>
      </c>
      <c r="C6142" s="6">
        <f t="shared" si="1285"/>
        <v>0.28611111111111109</v>
      </c>
      <c r="D6142" s="5"/>
      <c r="E6142" s="5"/>
      <c r="F6142" s="5" t="s">
        <v>8</v>
      </c>
      <c r="G6142" s="15" t="s">
        <v>9</v>
      </c>
      <c r="H6142" s="24">
        <f t="shared" si="1249"/>
        <v>0</v>
      </c>
      <c r="I6142" s="24" cm="1">
        <f t="array" ref="I6142">IFERROR(IF($B6142=I$1, ($A6142+$C6142) - MAX(IF($B$2:$B6141=$B6142, $A$2:$A6141+$C$2:$C6141)), "")*24*60, "")</f>
        <v>0</v>
      </c>
      <c r="J6142" s="24" t="str" cm="1">
        <f t="array" ref="J6142">IFERROR(IF($B6142=J$1, ($A6142+$C6142) - MAX(IF($B$2:$B6141=$B6142, $A$2:$A6141+$C$2:$C6141)), "")*24*60, "")</f>
        <v/>
      </c>
      <c r="K6142" s="24" t="str" cm="1">
        <f t="array" ref="K6142">IFERROR(IF($B6142=K$1, ($A6142+$C6142) - MAX(IF($B$2:$B6141=$B6142, $A$2:$A6141+$C$2:$C6141)), "")*24*60, "")</f>
        <v/>
      </c>
      <c r="L6142" s="24" t="str" cm="1">
        <f t="array" ref="L6142">IFERROR(IF($B6142=L$1, ($A6142+$C6142) - MAX(IF($B$2:$B6141=$B6142, $A$2:$A6141+$C$2:$C6141)), "")*24*60, "")</f>
        <v/>
      </c>
      <c r="M6142" s="24" t="str" cm="1">
        <f t="array" ref="M6142">IFERROR(IF($B6142=M$1, ($A6142+$C6142) - MAX(IF($B$2:$B6141=$B6142, $A$2:$A6141+$C$2:$C6141)), "")*24*60, "")</f>
        <v/>
      </c>
      <c r="N6142" s="24" t="str" cm="1">
        <f t="array" ref="N6142">IFERROR(IF($B6142=N$1, ($A6142+$C6142) - MAX(IF($B$2:$B6141=$B6142, $A$2:$A6141+$C$2:$C6141)), "")*24*60, "")</f>
        <v/>
      </c>
      <c r="O6142" s="24" t="str" cm="1">
        <f t="array" ref="O6142">IFERROR(IF($B6142=O$1, ($A6142+$C6142) - MAX(IF($B$2:$B6141=$B6142, $A$2:$A6141+$C$2:$C6141)), "")*24*60, "")</f>
        <v/>
      </c>
      <c r="P6142" s="24" t="str" cm="1">
        <f t="array" ref="P6142">IFERROR(IF($B6142=P$1, ($A6142+$C6142) - MAX(IF($B$2:$B6141=$B6142, $A$2:$A6141+$C$2:$C6141)), "")*24*60, "")</f>
        <v/>
      </c>
      <c r="Q6142" s="24" t="str" cm="1">
        <f t="array" ref="Q6142">IFERROR(IF($B6142=Q$1, ($A6142+$C6142) - MAX(IF($B$2:$B6141=$B6142, $A$2:$A6141+$C$2:$C6141)), "")*24*60, "")</f>
        <v/>
      </c>
      <c r="R6142" s="24" t="str" cm="1">
        <f t="array" ref="R6142">IFERROR(IF($B6142=R$1, ($A6142+$C6142) - MAX(IF($B$2:$B6141=$B6142, $A$2:$A6141+$C$2:$C6141)), "")*24*60, "")</f>
        <v/>
      </c>
      <c r="S6142" s="24" t="str" cm="1">
        <f t="array" ref="S6142">IFERROR(IF($B6142=S$1, ($A6142+$C6142) - MAX(IF($B$2:$B6141=$B6142, $A$2:$A6141+$C$2:$C6141)), "")*24*60, "")</f>
        <v/>
      </c>
    </row>
    <row r="6143" spans="1:19" x14ac:dyDescent="0.2">
      <c r="A6143" s="12">
        <f t="shared" ref="A6143:C6143" si="1286">A6142</f>
        <v>45987</v>
      </c>
      <c r="B6143" s="5" t="str">
        <f t="shared" si="1286"/>
        <v>Northern Cardinal</v>
      </c>
      <c r="C6143" s="6">
        <f t="shared" si="1286"/>
        <v>0.28611111111111109</v>
      </c>
      <c r="D6143" s="5"/>
      <c r="E6143" s="5"/>
      <c r="F6143" s="5" t="s">
        <v>8</v>
      </c>
      <c r="G6143" s="15" t="s">
        <v>9</v>
      </c>
      <c r="H6143" s="24">
        <f t="shared" si="1249"/>
        <v>0</v>
      </c>
      <c r="I6143" s="24" cm="1">
        <f t="array" ref="I6143">IFERROR(IF($B6143=I$1, ($A6143+$C6143) - MAX(IF($B$2:$B6142=$B6143, $A$2:$A6142+$C$2:$C6142)), "")*24*60, "")</f>
        <v>0</v>
      </c>
      <c r="J6143" s="24" t="str" cm="1">
        <f t="array" ref="J6143">IFERROR(IF($B6143=J$1, ($A6143+$C6143) - MAX(IF($B$2:$B6142=$B6143, $A$2:$A6142+$C$2:$C6142)), "")*24*60, "")</f>
        <v/>
      </c>
      <c r="K6143" s="24" t="str" cm="1">
        <f t="array" ref="K6143">IFERROR(IF($B6143=K$1, ($A6143+$C6143) - MAX(IF($B$2:$B6142=$B6143, $A$2:$A6142+$C$2:$C6142)), "")*24*60, "")</f>
        <v/>
      </c>
      <c r="L6143" s="24" t="str" cm="1">
        <f t="array" ref="L6143">IFERROR(IF($B6143=L$1, ($A6143+$C6143) - MAX(IF($B$2:$B6142=$B6143, $A$2:$A6142+$C$2:$C6142)), "")*24*60, "")</f>
        <v/>
      </c>
      <c r="M6143" s="24" t="str" cm="1">
        <f t="array" ref="M6143">IFERROR(IF($B6143=M$1, ($A6143+$C6143) - MAX(IF($B$2:$B6142=$B6143, $A$2:$A6142+$C$2:$C6142)), "")*24*60, "")</f>
        <v/>
      </c>
      <c r="N6143" s="24" t="str" cm="1">
        <f t="array" ref="N6143">IFERROR(IF($B6143=N$1, ($A6143+$C6143) - MAX(IF($B$2:$B6142=$B6143, $A$2:$A6142+$C$2:$C6142)), "")*24*60, "")</f>
        <v/>
      </c>
      <c r="O6143" s="24" t="str" cm="1">
        <f t="array" ref="O6143">IFERROR(IF($B6143=O$1, ($A6143+$C6143) - MAX(IF($B$2:$B6142=$B6143, $A$2:$A6142+$C$2:$C6142)), "")*24*60, "")</f>
        <v/>
      </c>
      <c r="P6143" s="24" t="str" cm="1">
        <f t="array" ref="P6143">IFERROR(IF($B6143=P$1, ($A6143+$C6143) - MAX(IF($B$2:$B6142=$B6143, $A$2:$A6142+$C$2:$C6142)), "")*24*60, "")</f>
        <v/>
      </c>
      <c r="Q6143" s="24" t="str" cm="1">
        <f t="array" ref="Q6143">IFERROR(IF($B6143=Q$1, ($A6143+$C6143) - MAX(IF($B$2:$B6142=$B6143, $A$2:$A6142+$C$2:$C6142)), "")*24*60, "")</f>
        <v/>
      </c>
      <c r="R6143" s="24" t="str" cm="1">
        <f t="array" ref="R6143">IFERROR(IF($B6143=R$1, ($A6143+$C6143) - MAX(IF($B$2:$B6142=$B6143, $A$2:$A6142+$C$2:$C6142)), "")*24*60, "")</f>
        <v/>
      </c>
      <c r="S6143" s="24" t="str" cm="1">
        <f t="array" ref="S6143">IFERROR(IF($B6143=S$1, ($A6143+$C6143) - MAX(IF($B$2:$B6142=$B6143, $A$2:$A6142+$C$2:$C6142)), "")*24*60, "")</f>
        <v/>
      </c>
    </row>
    <row r="6144" spans="1:19" x14ac:dyDescent="0.2">
      <c r="A6144" s="12">
        <f t="shared" ref="A6144:C6144" si="1287">A6143</f>
        <v>45987</v>
      </c>
      <c r="B6144" s="5" t="str">
        <f t="shared" si="1287"/>
        <v>Northern Cardinal</v>
      </c>
      <c r="C6144" s="6">
        <f t="shared" si="1287"/>
        <v>0.28611111111111109</v>
      </c>
      <c r="D6144" s="5"/>
      <c r="E6144" s="5"/>
      <c r="F6144" s="5" t="s">
        <v>8</v>
      </c>
      <c r="G6144" s="15" t="s">
        <v>9</v>
      </c>
      <c r="H6144" s="24">
        <f t="shared" si="1249"/>
        <v>0</v>
      </c>
      <c r="I6144" s="24" cm="1">
        <f t="array" ref="I6144">IFERROR(IF($B6144=I$1, ($A6144+$C6144) - MAX(IF($B$2:$B6143=$B6144, $A$2:$A6143+$C$2:$C6143)), "")*24*60, "")</f>
        <v>0</v>
      </c>
      <c r="J6144" s="24" t="str" cm="1">
        <f t="array" ref="J6144">IFERROR(IF($B6144=J$1, ($A6144+$C6144) - MAX(IF($B$2:$B6143=$B6144, $A$2:$A6143+$C$2:$C6143)), "")*24*60, "")</f>
        <v/>
      </c>
      <c r="K6144" s="24" t="str" cm="1">
        <f t="array" ref="K6144">IFERROR(IF($B6144=K$1, ($A6144+$C6144) - MAX(IF($B$2:$B6143=$B6144, $A$2:$A6143+$C$2:$C6143)), "")*24*60, "")</f>
        <v/>
      </c>
      <c r="L6144" s="24" t="str" cm="1">
        <f t="array" ref="L6144">IFERROR(IF($B6144=L$1, ($A6144+$C6144) - MAX(IF($B$2:$B6143=$B6144, $A$2:$A6143+$C$2:$C6143)), "")*24*60, "")</f>
        <v/>
      </c>
      <c r="M6144" s="24" t="str" cm="1">
        <f t="array" ref="M6144">IFERROR(IF($B6144=M$1, ($A6144+$C6144) - MAX(IF($B$2:$B6143=$B6144, $A$2:$A6143+$C$2:$C6143)), "")*24*60, "")</f>
        <v/>
      </c>
      <c r="N6144" s="24" t="str" cm="1">
        <f t="array" ref="N6144">IFERROR(IF($B6144=N$1, ($A6144+$C6144) - MAX(IF($B$2:$B6143=$B6144, $A$2:$A6143+$C$2:$C6143)), "")*24*60, "")</f>
        <v/>
      </c>
      <c r="O6144" s="24" t="str" cm="1">
        <f t="array" ref="O6144">IFERROR(IF($B6144=O$1, ($A6144+$C6144) - MAX(IF($B$2:$B6143=$B6144, $A$2:$A6143+$C$2:$C6143)), "")*24*60, "")</f>
        <v/>
      </c>
      <c r="P6144" s="24" t="str" cm="1">
        <f t="array" ref="P6144">IFERROR(IF($B6144=P$1, ($A6144+$C6144) - MAX(IF($B$2:$B6143=$B6144, $A$2:$A6143+$C$2:$C6143)), "")*24*60, "")</f>
        <v/>
      </c>
      <c r="Q6144" s="24" t="str" cm="1">
        <f t="array" ref="Q6144">IFERROR(IF($B6144=Q$1, ($A6144+$C6144) - MAX(IF($B$2:$B6143=$B6144, $A$2:$A6143+$C$2:$C6143)), "")*24*60, "")</f>
        <v/>
      </c>
      <c r="R6144" s="24" t="str" cm="1">
        <f t="array" ref="R6144">IFERROR(IF($B6144=R$1, ($A6144+$C6144) - MAX(IF($B$2:$B6143=$B6144, $A$2:$A6143+$C$2:$C6143)), "")*24*60, "")</f>
        <v/>
      </c>
      <c r="S6144" s="24" t="str" cm="1">
        <f t="array" ref="S6144">IFERROR(IF($B6144=S$1, ($A6144+$C6144) - MAX(IF($B$2:$B6143=$B6144, $A$2:$A6143+$C$2:$C6143)), "")*24*60, "")</f>
        <v/>
      </c>
    </row>
    <row r="6145" spans="1:19" x14ac:dyDescent="0.2">
      <c r="A6145" s="12">
        <f t="shared" ref="A6145:C6145" si="1288">A6144</f>
        <v>45987</v>
      </c>
      <c r="B6145" s="5" t="str">
        <f t="shared" si="1288"/>
        <v>Northern Cardinal</v>
      </c>
      <c r="C6145" s="6">
        <f t="shared" si="1288"/>
        <v>0.28611111111111109</v>
      </c>
      <c r="D6145" s="5"/>
      <c r="E6145" s="5"/>
      <c r="F6145" s="5" t="s">
        <v>8</v>
      </c>
      <c r="G6145" s="15" t="s">
        <v>9</v>
      </c>
      <c r="H6145" s="24">
        <f t="shared" si="1249"/>
        <v>0</v>
      </c>
      <c r="I6145" s="24" cm="1">
        <f t="array" ref="I6145">IFERROR(IF($B6145=I$1, ($A6145+$C6145) - MAX(IF($B$2:$B6144=$B6145, $A$2:$A6144+$C$2:$C6144)), "")*24*60, "")</f>
        <v>0</v>
      </c>
      <c r="J6145" s="24" t="str" cm="1">
        <f t="array" ref="J6145">IFERROR(IF($B6145=J$1, ($A6145+$C6145) - MAX(IF($B$2:$B6144=$B6145, $A$2:$A6144+$C$2:$C6144)), "")*24*60, "")</f>
        <v/>
      </c>
      <c r="K6145" s="24" t="str" cm="1">
        <f t="array" ref="K6145">IFERROR(IF($B6145=K$1, ($A6145+$C6145) - MAX(IF($B$2:$B6144=$B6145, $A$2:$A6144+$C$2:$C6144)), "")*24*60, "")</f>
        <v/>
      </c>
      <c r="L6145" s="24" t="str" cm="1">
        <f t="array" ref="L6145">IFERROR(IF($B6145=L$1, ($A6145+$C6145) - MAX(IF($B$2:$B6144=$B6145, $A$2:$A6144+$C$2:$C6144)), "")*24*60, "")</f>
        <v/>
      </c>
      <c r="M6145" s="24" t="str" cm="1">
        <f t="array" ref="M6145">IFERROR(IF($B6145=M$1, ($A6145+$C6145) - MAX(IF($B$2:$B6144=$B6145, $A$2:$A6144+$C$2:$C6144)), "")*24*60, "")</f>
        <v/>
      </c>
      <c r="N6145" s="24" t="str" cm="1">
        <f t="array" ref="N6145">IFERROR(IF($B6145=N$1, ($A6145+$C6145) - MAX(IF($B$2:$B6144=$B6145, $A$2:$A6144+$C$2:$C6144)), "")*24*60, "")</f>
        <v/>
      </c>
      <c r="O6145" s="24" t="str" cm="1">
        <f t="array" ref="O6145">IFERROR(IF($B6145=O$1, ($A6145+$C6145) - MAX(IF($B$2:$B6144=$B6145, $A$2:$A6144+$C$2:$C6144)), "")*24*60, "")</f>
        <v/>
      </c>
      <c r="P6145" s="24" t="str" cm="1">
        <f t="array" ref="P6145">IFERROR(IF($B6145=P$1, ($A6145+$C6145) - MAX(IF($B$2:$B6144=$B6145, $A$2:$A6144+$C$2:$C6144)), "")*24*60, "")</f>
        <v/>
      </c>
      <c r="Q6145" s="24" t="str" cm="1">
        <f t="array" ref="Q6145">IFERROR(IF($B6145=Q$1, ($A6145+$C6145) - MAX(IF($B$2:$B6144=$B6145, $A$2:$A6144+$C$2:$C6144)), "")*24*60, "")</f>
        <v/>
      </c>
      <c r="R6145" s="24" t="str" cm="1">
        <f t="array" ref="R6145">IFERROR(IF($B6145=R$1, ($A6145+$C6145) - MAX(IF($B$2:$B6144=$B6145, $A$2:$A6144+$C$2:$C6144)), "")*24*60, "")</f>
        <v/>
      </c>
      <c r="S6145" s="24" t="str" cm="1">
        <f t="array" ref="S6145">IFERROR(IF($B6145=S$1, ($A6145+$C6145) - MAX(IF($B$2:$B6144=$B6145, $A$2:$A6144+$C$2:$C6144)), "")*24*60, "")</f>
        <v/>
      </c>
    </row>
    <row r="6146" spans="1:19" x14ac:dyDescent="0.2">
      <c r="A6146" s="12">
        <f t="shared" ref="A6146:C6146" si="1289">A6145</f>
        <v>45987</v>
      </c>
      <c r="B6146" s="5" t="str">
        <f t="shared" si="1289"/>
        <v>Northern Cardinal</v>
      </c>
      <c r="C6146" s="6">
        <f t="shared" si="1289"/>
        <v>0.28611111111111109</v>
      </c>
      <c r="D6146" s="5"/>
      <c r="E6146" s="5"/>
      <c r="F6146" s="5" t="s">
        <v>8</v>
      </c>
      <c r="G6146" s="15" t="s">
        <v>9</v>
      </c>
      <c r="H6146" s="24">
        <f t="shared" si="1249"/>
        <v>0</v>
      </c>
      <c r="I6146" s="24" cm="1">
        <f t="array" ref="I6146">IFERROR(IF($B6146=I$1, ($A6146+$C6146) - MAX(IF($B$2:$B6145=$B6146, $A$2:$A6145+$C$2:$C6145)), "")*24*60, "")</f>
        <v>0</v>
      </c>
      <c r="J6146" s="24" t="str" cm="1">
        <f t="array" ref="J6146">IFERROR(IF($B6146=J$1, ($A6146+$C6146) - MAX(IF($B$2:$B6145=$B6146, $A$2:$A6145+$C$2:$C6145)), "")*24*60, "")</f>
        <v/>
      </c>
      <c r="K6146" s="24" t="str" cm="1">
        <f t="array" ref="K6146">IFERROR(IF($B6146=K$1, ($A6146+$C6146) - MAX(IF($B$2:$B6145=$B6146, $A$2:$A6145+$C$2:$C6145)), "")*24*60, "")</f>
        <v/>
      </c>
      <c r="L6146" s="24" t="str" cm="1">
        <f t="array" ref="L6146">IFERROR(IF($B6146=L$1, ($A6146+$C6146) - MAX(IF($B$2:$B6145=$B6146, $A$2:$A6145+$C$2:$C6145)), "")*24*60, "")</f>
        <v/>
      </c>
      <c r="M6146" s="24" t="str" cm="1">
        <f t="array" ref="M6146">IFERROR(IF($B6146=M$1, ($A6146+$C6146) - MAX(IF($B$2:$B6145=$B6146, $A$2:$A6145+$C$2:$C6145)), "")*24*60, "")</f>
        <v/>
      </c>
      <c r="N6146" s="24" t="str" cm="1">
        <f t="array" ref="N6146">IFERROR(IF($B6146=N$1, ($A6146+$C6146) - MAX(IF($B$2:$B6145=$B6146, $A$2:$A6145+$C$2:$C6145)), "")*24*60, "")</f>
        <v/>
      </c>
      <c r="O6146" s="24" t="str" cm="1">
        <f t="array" ref="O6146">IFERROR(IF($B6146=O$1, ($A6146+$C6146) - MAX(IF($B$2:$B6145=$B6146, $A$2:$A6145+$C$2:$C6145)), "")*24*60, "")</f>
        <v/>
      </c>
      <c r="P6146" s="24" t="str" cm="1">
        <f t="array" ref="P6146">IFERROR(IF($B6146=P$1, ($A6146+$C6146) - MAX(IF($B$2:$B6145=$B6146, $A$2:$A6145+$C$2:$C6145)), "")*24*60, "")</f>
        <v/>
      </c>
      <c r="Q6146" s="24" t="str" cm="1">
        <f t="array" ref="Q6146">IFERROR(IF($B6146=Q$1, ($A6146+$C6146) - MAX(IF($B$2:$B6145=$B6146, $A$2:$A6145+$C$2:$C6145)), "")*24*60, "")</f>
        <v/>
      </c>
      <c r="R6146" s="24" t="str" cm="1">
        <f t="array" ref="R6146">IFERROR(IF($B6146=R$1, ($A6146+$C6146) - MAX(IF($B$2:$B6145=$B6146, $A$2:$A6145+$C$2:$C6145)), "")*24*60, "")</f>
        <v/>
      </c>
      <c r="S6146" s="24" t="str" cm="1">
        <f t="array" ref="S6146">IFERROR(IF($B6146=S$1, ($A6146+$C6146) - MAX(IF($B$2:$B6145=$B6146, $A$2:$A6145+$C$2:$C6145)), "")*24*60, "")</f>
        <v/>
      </c>
    </row>
    <row r="6147" spans="1:19" x14ac:dyDescent="0.2">
      <c r="A6147" s="12">
        <f t="shared" ref="A6147:C6147" si="1290">A6146</f>
        <v>45987</v>
      </c>
      <c r="B6147" s="5" t="str">
        <f t="shared" si="1290"/>
        <v>Northern Cardinal</v>
      </c>
      <c r="C6147" s="6">
        <f t="shared" si="1290"/>
        <v>0.28611111111111109</v>
      </c>
      <c r="D6147" s="5"/>
      <c r="E6147" s="5"/>
      <c r="F6147" s="5" t="s">
        <v>8</v>
      </c>
      <c r="G6147" s="15" t="s">
        <v>9</v>
      </c>
      <c r="H6147" s="24">
        <f t="shared" si="1249"/>
        <v>0</v>
      </c>
      <c r="I6147" s="24" cm="1">
        <f t="array" ref="I6147">IFERROR(IF($B6147=I$1, ($A6147+$C6147) - MAX(IF($B$2:$B6146=$B6147, $A$2:$A6146+$C$2:$C6146)), "")*24*60, "")</f>
        <v>0</v>
      </c>
      <c r="J6147" s="24" t="str" cm="1">
        <f t="array" ref="J6147">IFERROR(IF($B6147=J$1, ($A6147+$C6147) - MAX(IF($B$2:$B6146=$B6147, $A$2:$A6146+$C$2:$C6146)), "")*24*60, "")</f>
        <v/>
      </c>
      <c r="K6147" s="24" t="str" cm="1">
        <f t="array" ref="K6147">IFERROR(IF($B6147=K$1, ($A6147+$C6147) - MAX(IF($B$2:$B6146=$B6147, $A$2:$A6146+$C$2:$C6146)), "")*24*60, "")</f>
        <v/>
      </c>
      <c r="L6147" s="24" t="str" cm="1">
        <f t="array" ref="L6147">IFERROR(IF($B6147=L$1, ($A6147+$C6147) - MAX(IF($B$2:$B6146=$B6147, $A$2:$A6146+$C$2:$C6146)), "")*24*60, "")</f>
        <v/>
      </c>
      <c r="M6147" s="24" t="str" cm="1">
        <f t="array" ref="M6147">IFERROR(IF($B6147=M$1, ($A6147+$C6147) - MAX(IF($B$2:$B6146=$B6147, $A$2:$A6146+$C$2:$C6146)), "")*24*60, "")</f>
        <v/>
      </c>
      <c r="N6147" s="24" t="str" cm="1">
        <f t="array" ref="N6147">IFERROR(IF($B6147=N$1, ($A6147+$C6147) - MAX(IF($B$2:$B6146=$B6147, $A$2:$A6146+$C$2:$C6146)), "")*24*60, "")</f>
        <v/>
      </c>
      <c r="O6147" s="24" t="str" cm="1">
        <f t="array" ref="O6147">IFERROR(IF($B6147=O$1, ($A6147+$C6147) - MAX(IF($B$2:$B6146=$B6147, $A$2:$A6146+$C$2:$C6146)), "")*24*60, "")</f>
        <v/>
      </c>
      <c r="P6147" s="24" t="str" cm="1">
        <f t="array" ref="P6147">IFERROR(IF($B6147=P$1, ($A6147+$C6147) - MAX(IF($B$2:$B6146=$B6147, $A$2:$A6146+$C$2:$C6146)), "")*24*60, "")</f>
        <v/>
      </c>
      <c r="Q6147" s="24" t="str" cm="1">
        <f t="array" ref="Q6147">IFERROR(IF($B6147=Q$1, ($A6147+$C6147) - MAX(IF($B$2:$B6146=$B6147, $A$2:$A6146+$C$2:$C6146)), "")*24*60, "")</f>
        <v/>
      </c>
      <c r="R6147" s="24" t="str" cm="1">
        <f t="array" ref="R6147">IFERROR(IF($B6147=R$1, ($A6147+$C6147) - MAX(IF($B$2:$B6146=$B6147, $A$2:$A6146+$C$2:$C6146)), "")*24*60, "")</f>
        <v/>
      </c>
      <c r="S6147" s="24" t="str" cm="1">
        <f t="array" ref="S6147">IFERROR(IF($B6147=S$1, ($A6147+$C6147) - MAX(IF($B$2:$B6146=$B6147, $A$2:$A6146+$C$2:$C6146)), "")*24*60, "")</f>
        <v/>
      </c>
    </row>
    <row r="6148" spans="1:19" x14ac:dyDescent="0.2">
      <c r="A6148" s="12">
        <f t="shared" ref="A6148:C6148" si="1291">A6147</f>
        <v>45987</v>
      </c>
      <c r="B6148" s="5" t="str">
        <f t="shared" si="1291"/>
        <v>Northern Cardinal</v>
      </c>
      <c r="C6148" s="6">
        <f t="shared" si="1291"/>
        <v>0.28611111111111109</v>
      </c>
      <c r="D6148" s="5"/>
      <c r="E6148" s="5"/>
      <c r="F6148" s="5" t="s">
        <v>8</v>
      </c>
      <c r="G6148" s="15" t="s">
        <v>9</v>
      </c>
      <c r="H6148" s="24">
        <f t="shared" si="1249"/>
        <v>0</v>
      </c>
      <c r="I6148" s="24" cm="1">
        <f t="array" ref="I6148">IFERROR(IF($B6148=I$1, ($A6148+$C6148) - MAX(IF($B$2:$B6147=$B6148, $A$2:$A6147+$C$2:$C6147)), "")*24*60, "")</f>
        <v>0</v>
      </c>
      <c r="J6148" s="24" t="str" cm="1">
        <f t="array" ref="J6148">IFERROR(IF($B6148=J$1, ($A6148+$C6148) - MAX(IF($B$2:$B6147=$B6148, $A$2:$A6147+$C$2:$C6147)), "")*24*60, "")</f>
        <v/>
      </c>
      <c r="K6148" s="24" t="str" cm="1">
        <f t="array" ref="K6148">IFERROR(IF($B6148=K$1, ($A6148+$C6148) - MAX(IF($B$2:$B6147=$B6148, $A$2:$A6147+$C$2:$C6147)), "")*24*60, "")</f>
        <v/>
      </c>
      <c r="L6148" s="24" t="str" cm="1">
        <f t="array" ref="L6148">IFERROR(IF($B6148=L$1, ($A6148+$C6148) - MAX(IF($B$2:$B6147=$B6148, $A$2:$A6147+$C$2:$C6147)), "")*24*60, "")</f>
        <v/>
      </c>
      <c r="M6148" s="24" t="str" cm="1">
        <f t="array" ref="M6148">IFERROR(IF($B6148=M$1, ($A6148+$C6148) - MAX(IF($B$2:$B6147=$B6148, $A$2:$A6147+$C$2:$C6147)), "")*24*60, "")</f>
        <v/>
      </c>
      <c r="N6148" s="24" t="str" cm="1">
        <f t="array" ref="N6148">IFERROR(IF($B6148=N$1, ($A6148+$C6148) - MAX(IF($B$2:$B6147=$B6148, $A$2:$A6147+$C$2:$C6147)), "")*24*60, "")</f>
        <v/>
      </c>
      <c r="O6148" s="24" t="str" cm="1">
        <f t="array" ref="O6148">IFERROR(IF($B6148=O$1, ($A6148+$C6148) - MAX(IF($B$2:$B6147=$B6148, $A$2:$A6147+$C$2:$C6147)), "")*24*60, "")</f>
        <v/>
      </c>
      <c r="P6148" s="24" t="str" cm="1">
        <f t="array" ref="P6148">IFERROR(IF($B6148=P$1, ($A6148+$C6148) - MAX(IF($B$2:$B6147=$B6148, $A$2:$A6147+$C$2:$C6147)), "")*24*60, "")</f>
        <v/>
      </c>
      <c r="Q6148" s="24" t="str" cm="1">
        <f t="array" ref="Q6148">IFERROR(IF($B6148=Q$1, ($A6148+$C6148) - MAX(IF($B$2:$B6147=$B6148, $A$2:$A6147+$C$2:$C6147)), "")*24*60, "")</f>
        <v/>
      </c>
      <c r="R6148" s="24" t="str" cm="1">
        <f t="array" ref="R6148">IFERROR(IF($B6148=R$1, ($A6148+$C6148) - MAX(IF($B$2:$B6147=$B6148, $A$2:$A6147+$C$2:$C6147)), "")*24*60, "")</f>
        <v/>
      </c>
      <c r="S6148" s="24" t="str" cm="1">
        <f t="array" ref="S6148">IFERROR(IF($B6148=S$1, ($A6148+$C6148) - MAX(IF($B$2:$B6147=$B6148, $A$2:$A6147+$C$2:$C6147)), "")*24*60, "")</f>
        <v/>
      </c>
    </row>
    <row r="6149" spans="1:19" x14ac:dyDescent="0.2">
      <c r="A6149" s="12">
        <f t="shared" ref="A6149:C6149" si="1292">A6148</f>
        <v>45987</v>
      </c>
      <c r="B6149" s="5" t="str">
        <f t="shared" si="1292"/>
        <v>Northern Cardinal</v>
      </c>
      <c r="C6149" s="6">
        <f t="shared" si="1292"/>
        <v>0.28611111111111109</v>
      </c>
      <c r="D6149" s="5"/>
      <c r="E6149" s="5"/>
      <c r="F6149" s="5" t="s">
        <v>8</v>
      </c>
      <c r="G6149" s="15" t="s">
        <v>9</v>
      </c>
      <c r="H6149" s="24">
        <f t="shared" si="1249"/>
        <v>0</v>
      </c>
      <c r="I6149" s="24" cm="1">
        <f t="array" ref="I6149">IFERROR(IF($B6149=I$1, ($A6149+$C6149) - MAX(IF($B$2:$B6148=$B6149, $A$2:$A6148+$C$2:$C6148)), "")*24*60, "")</f>
        <v>0</v>
      </c>
      <c r="J6149" s="24" t="str" cm="1">
        <f t="array" ref="J6149">IFERROR(IF($B6149=J$1, ($A6149+$C6149) - MAX(IF($B$2:$B6148=$B6149, $A$2:$A6148+$C$2:$C6148)), "")*24*60, "")</f>
        <v/>
      </c>
      <c r="K6149" s="24" t="str" cm="1">
        <f t="array" ref="K6149">IFERROR(IF($B6149=K$1, ($A6149+$C6149) - MAX(IF($B$2:$B6148=$B6149, $A$2:$A6148+$C$2:$C6148)), "")*24*60, "")</f>
        <v/>
      </c>
      <c r="L6149" s="24" t="str" cm="1">
        <f t="array" ref="L6149">IFERROR(IF($B6149=L$1, ($A6149+$C6149) - MAX(IF($B$2:$B6148=$B6149, $A$2:$A6148+$C$2:$C6148)), "")*24*60, "")</f>
        <v/>
      </c>
      <c r="M6149" s="24" t="str" cm="1">
        <f t="array" ref="M6149">IFERROR(IF($B6149=M$1, ($A6149+$C6149) - MAX(IF($B$2:$B6148=$B6149, $A$2:$A6148+$C$2:$C6148)), "")*24*60, "")</f>
        <v/>
      </c>
      <c r="N6149" s="24" t="str" cm="1">
        <f t="array" ref="N6149">IFERROR(IF($B6149=N$1, ($A6149+$C6149) - MAX(IF($B$2:$B6148=$B6149, $A$2:$A6148+$C$2:$C6148)), "")*24*60, "")</f>
        <v/>
      </c>
      <c r="O6149" s="24" t="str" cm="1">
        <f t="array" ref="O6149">IFERROR(IF($B6149=O$1, ($A6149+$C6149) - MAX(IF($B$2:$B6148=$B6149, $A$2:$A6148+$C$2:$C6148)), "")*24*60, "")</f>
        <v/>
      </c>
      <c r="P6149" s="24" t="str" cm="1">
        <f t="array" ref="P6149">IFERROR(IF($B6149=P$1, ($A6149+$C6149) - MAX(IF($B$2:$B6148=$B6149, $A$2:$A6148+$C$2:$C6148)), "")*24*60, "")</f>
        <v/>
      </c>
      <c r="Q6149" s="24" t="str" cm="1">
        <f t="array" ref="Q6149">IFERROR(IF($B6149=Q$1, ($A6149+$C6149) - MAX(IF($B$2:$B6148=$B6149, $A$2:$A6148+$C$2:$C6148)), "")*24*60, "")</f>
        <v/>
      </c>
      <c r="R6149" s="24" t="str" cm="1">
        <f t="array" ref="R6149">IFERROR(IF($B6149=R$1, ($A6149+$C6149) - MAX(IF($B$2:$B6148=$B6149, $A$2:$A6148+$C$2:$C6148)), "")*24*60, "")</f>
        <v/>
      </c>
      <c r="S6149" s="24" t="str" cm="1">
        <f t="array" ref="S6149">IFERROR(IF($B6149=S$1, ($A6149+$C6149) - MAX(IF($B$2:$B6148=$B6149, $A$2:$A6148+$C$2:$C6148)), "")*24*60, "")</f>
        <v/>
      </c>
    </row>
    <row r="6150" spans="1:19" x14ac:dyDescent="0.2">
      <c r="A6150" s="12">
        <f t="shared" ref="A6150:C6150" si="1293">A6149</f>
        <v>45987</v>
      </c>
      <c r="B6150" s="5" t="str">
        <f t="shared" si="1293"/>
        <v>Northern Cardinal</v>
      </c>
      <c r="C6150" s="6">
        <f t="shared" si="1293"/>
        <v>0.28611111111111109</v>
      </c>
      <c r="D6150" s="5"/>
      <c r="E6150" s="5"/>
      <c r="F6150" s="5" t="s">
        <v>8</v>
      </c>
      <c r="G6150" s="15" t="s">
        <v>9</v>
      </c>
      <c r="H6150" s="24">
        <f t="shared" si="1249"/>
        <v>0</v>
      </c>
      <c r="I6150" s="24" cm="1">
        <f t="array" ref="I6150">IFERROR(IF($B6150=I$1, ($A6150+$C6150) - MAX(IF($B$2:$B6149=$B6150, $A$2:$A6149+$C$2:$C6149)), "")*24*60, "")</f>
        <v>0</v>
      </c>
      <c r="J6150" s="24" t="str" cm="1">
        <f t="array" ref="J6150">IFERROR(IF($B6150=J$1, ($A6150+$C6150) - MAX(IF($B$2:$B6149=$B6150, $A$2:$A6149+$C$2:$C6149)), "")*24*60, "")</f>
        <v/>
      </c>
      <c r="K6150" s="24" t="str" cm="1">
        <f t="array" ref="K6150">IFERROR(IF($B6150=K$1, ($A6150+$C6150) - MAX(IF($B$2:$B6149=$B6150, $A$2:$A6149+$C$2:$C6149)), "")*24*60, "")</f>
        <v/>
      </c>
      <c r="L6150" s="24" t="str" cm="1">
        <f t="array" ref="L6150">IFERROR(IF($B6150=L$1, ($A6150+$C6150) - MAX(IF($B$2:$B6149=$B6150, $A$2:$A6149+$C$2:$C6149)), "")*24*60, "")</f>
        <v/>
      </c>
      <c r="M6150" s="24" t="str" cm="1">
        <f t="array" ref="M6150">IFERROR(IF($B6150=M$1, ($A6150+$C6150) - MAX(IF($B$2:$B6149=$B6150, $A$2:$A6149+$C$2:$C6149)), "")*24*60, "")</f>
        <v/>
      </c>
      <c r="N6150" s="24" t="str" cm="1">
        <f t="array" ref="N6150">IFERROR(IF($B6150=N$1, ($A6150+$C6150) - MAX(IF($B$2:$B6149=$B6150, $A$2:$A6149+$C$2:$C6149)), "")*24*60, "")</f>
        <v/>
      </c>
      <c r="O6150" s="24" t="str" cm="1">
        <f t="array" ref="O6150">IFERROR(IF($B6150=O$1, ($A6150+$C6150) - MAX(IF($B$2:$B6149=$B6150, $A$2:$A6149+$C$2:$C6149)), "")*24*60, "")</f>
        <v/>
      </c>
      <c r="P6150" s="24" t="str" cm="1">
        <f t="array" ref="P6150">IFERROR(IF($B6150=P$1, ($A6150+$C6150) - MAX(IF($B$2:$B6149=$B6150, $A$2:$A6149+$C$2:$C6149)), "")*24*60, "")</f>
        <v/>
      </c>
      <c r="Q6150" s="24" t="str" cm="1">
        <f t="array" ref="Q6150">IFERROR(IF($B6150=Q$1, ($A6150+$C6150) - MAX(IF($B$2:$B6149=$B6150, $A$2:$A6149+$C$2:$C6149)), "")*24*60, "")</f>
        <v/>
      </c>
      <c r="R6150" s="24" t="str" cm="1">
        <f t="array" ref="R6150">IFERROR(IF($B6150=R$1, ($A6150+$C6150) - MAX(IF($B$2:$B6149=$B6150, $A$2:$A6149+$C$2:$C6149)), "")*24*60, "")</f>
        <v/>
      </c>
      <c r="S6150" s="24" t="str" cm="1">
        <f t="array" ref="S6150">IFERROR(IF($B6150=S$1, ($A6150+$C6150) - MAX(IF($B$2:$B6149=$B6150, $A$2:$A6149+$C$2:$C6149)), "")*24*60, "")</f>
        <v/>
      </c>
    </row>
    <row r="6151" spans="1:19" x14ac:dyDescent="0.2">
      <c r="A6151" s="12">
        <f t="shared" ref="A6151:C6151" si="1294">A6150</f>
        <v>45987</v>
      </c>
      <c r="B6151" s="5" t="str">
        <f t="shared" si="1294"/>
        <v>Northern Cardinal</v>
      </c>
      <c r="C6151" s="6">
        <f t="shared" si="1294"/>
        <v>0.28611111111111109</v>
      </c>
      <c r="D6151" s="5"/>
      <c r="E6151" s="5"/>
      <c r="F6151" s="5" t="s">
        <v>8</v>
      </c>
      <c r="G6151" s="15" t="s">
        <v>9</v>
      </c>
      <c r="H6151" s="24">
        <f t="shared" si="1249"/>
        <v>0</v>
      </c>
      <c r="I6151" s="24" cm="1">
        <f t="array" ref="I6151">IFERROR(IF($B6151=I$1, ($A6151+$C6151) - MAX(IF($B$2:$B6150=$B6151, $A$2:$A6150+$C$2:$C6150)), "")*24*60, "")</f>
        <v>0</v>
      </c>
      <c r="J6151" s="24" t="str" cm="1">
        <f t="array" ref="J6151">IFERROR(IF($B6151=J$1, ($A6151+$C6151) - MAX(IF($B$2:$B6150=$B6151, $A$2:$A6150+$C$2:$C6150)), "")*24*60, "")</f>
        <v/>
      </c>
      <c r="K6151" s="24" t="str" cm="1">
        <f t="array" ref="K6151">IFERROR(IF($B6151=K$1, ($A6151+$C6151) - MAX(IF($B$2:$B6150=$B6151, $A$2:$A6150+$C$2:$C6150)), "")*24*60, "")</f>
        <v/>
      </c>
      <c r="L6151" s="24" t="str" cm="1">
        <f t="array" ref="L6151">IFERROR(IF($B6151=L$1, ($A6151+$C6151) - MAX(IF($B$2:$B6150=$B6151, $A$2:$A6150+$C$2:$C6150)), "")*24*60, "")</f>
        <v/>
      </c>
      <c r="M6151" s="24" t="str" cm="1">
        <f t="array" ref="M6151">IFERROR(IF($B6151=M$1, ($A6151+$C6151) - MAX(IF($B$2:$B6150=$B6151, $A$2:$A6150+$C$2:$C6150)), "")*24*60, "")</f>
        <v/>
      </c>
      <c r="N6151" s="24" t="str" cm="1">
        <f t="array" ref="N6151">IFERROR(IF($B6151=N$1, ($A6151+$C6151) - MAX(IF($B$2:$B6150=$B6151, $A$2:$A6150+$C$2:$C6150)), "")*24*60, "")</f>
        <v/>
      </c>
      <c r="O6151" s="24" t="str" cm="1">
        <f t="array" ref="O6151">IFERROR(IF($B6151=O$1, ($A6151+$C6151) - MAX(IF($B$2:$B6150=$B6151, $A$2:$A6150+$C$2:$C6150)), "")*24*60, "")</f>
        <v/>
      </c>
      <c r="P6151" s="24" t="str" cm="1">
        <f t="array" ref="P6151">IFERROR(IF($B6151=P$1, ($A6151+$C6151) - MAX(IF($B$2:$B6150=$B6151, $A$2:$A6150+$C$2:$C6150)), "")*24*60, "")</f>
        <v/>
      </c>
      <c r="Q6151" s="24" t="str" cm="1">
        <f t="array" ref="Q6151">IFERROR(IF($B6151=Q$1, ($A6151+$C6151) - MAX(IF($B$2:$B6150=$B6151, $A$2:$A6150+$C$2:$C6150)), "")*24*60, "")</f>
        <v/>
      </c>
      <c r="R6151" s="24" t="str" cm="1">
        <f t="array" ref="R6151">IFERROR(IF($B6151=R$1, ($A6151+$C6151) - MAX(IF($B$2:$B6150=$B6151, $A$2:$A6150+$C$2:$C6150)), "")*24*60, "")</f>
        <v/>
      </c>
      <c r="S6151" s="24" t="str" cm="1">
        <f t="array" ref="S6151">IFERROR(IF($B6151=S$1, ($A6151+$C6151) - MAX(IF($B$2:$B6150=$B6151, $A$2:$A6150+$C$2:$C6150)), "")*24*60, "")</f>
        <v/>
      </c>
    </row>
    <row r="6152" spans="1:19" x14ac:dyDescent="0.2">
      <c r="A6152" s="12">
        <f t="shared" ref="A6152:C6152" si="1295">A6151</f>
        <v>45987</v>
      </c>
      <c r="B6152" s="5" t="str">
        <f t="shared" si="1295"/>
        <v>Northern Cardinal</v>
      </c>
      <c r="C6152" s="6">
        <f t="shared" si="1295"/>
        <v>0.28611111111111109</v>
      </c>
      <c r="D6152" s="5"/>
      <c r="E6152" s="5"/>
      <c r="F6152" s="5" t="s">
        <v>8</v>
      </c>
      <c r="G6152" s="15" t="s">
        <v>9</v>
      </c>
      <c r="H6152" s="24">
        <f t="shared" si="1249"/>
        <v>0</v>
      </c>
      <c r="I6152" s="24" cm="1">
        <f t="array" ref="I6152">IFERROR(IF($B6152=I$1, ($A6152+$C6152) - MAX(IF($B$2:$B6151=$B6152, $A$2:$A6151+$C$2:$C6151)), "")*24*60, "")</f>
        <v>0</v>
      </c>
      <c r="J6152" s="24" t="str" cm="1">
        <f t="array" ref="J6152">IFERROR(IF($B6152=J$1, ($A6152+$C6152) - MAX(IF($B$2:$B6151=$B6152, $A$2:$A6151+$C$2:$C6151)), "")*24*60, "")</f>
        <v/>
      </c>
      <c r="K6152" s="24" t="str" cm="1">
        <f t="array" ref="K6152">IFERROR(IF($B6152=K$1, ($A6152+$C6152) - MAX(IF($B$2:$B6151=$B6152, $A$2:$A6151+$C$2:$C6151)), "")*24*60, "")</f>
        <v/>
      </c>
      <c r="L6152" s="24" t="str" cm="1">
        <f t="array" ref="L6152">IFERROR(IF($B6152=L$1, ($A6152+$C6152) - MAX(IF($B$2:$B6151=$B6152, $A$2:$A6151+$C$2:$C6151)), "")*24*60, "")</f>
        <v/>
      </c>
      <c r="M6152" s="24" t="str" cm="1">
        <f t="array" ref="M6152">IFERROR(IF($B6152=M$1, ($A6152+$C6152) - MAX(IF($B$2:$B6151=$B6152, $A$2:$A6151+$C$2:$C6151)), "")*24*60, "")</f>
        <v/>
      </c>
      <c r="N6152" s="24" t="str" cm="1">
        <f t="array" ref="N6152">IFERROR(IF($B6152=N$1, ($A6152+$C6152) - MAX(IF($B$2:$B6151=$B6152, $A$2:$A6151+$C$2:$C6151)), "")*24*60, "")</f>
        <v/>
      </c>
      <c r="O6152" s="24" t="str" cm="1">
        <f t="array" ref="O6152">IFERROR(IF($B6152=O$1, ($A6152+$C6152) - MAX(IF($B$2:$B6151=$B6152, $A$2:$A6151+$C$2:$C6151)), "")*24*60, "")</f>
        <v/>
      </c>
      <c r="P6152" s="24" t="str" cm="1">
        <f t="array" ref="P6152">IFERROR(IF($B6152=P$1, ($A6152+$C6152) - MAX(IF($B$2:$B6151=$B6152, $A$2:$A6151+$C$2:$C6151)), "")*24*60, "")</f>
        <v/>
      </c>
      <c r="Q6152" s="24" t="str" cm="1">
        <f t="array" ref="Q6152">IFERROR(IF($B6152=Q$1, ($A6152+$C6152) - MAX(IF($B$2:$B6151=$B6152, $A$2:$A6151+$C$2:$C6151)), "")*24*60, "")</f>
        <v/>
      </c>
      <c r="R6152" s="24" t="str" cm="1">
        <f t="array" ref="R6152">IFERROR(IF($B6152=R$1, ($A6152+$C6152) - MAX(IF($B$2:$B6151=$B6152, $A$2:$A6151+$C$2:$C6151)), "")*24*60, "")</f>
        <v/>
      </c>
      <c r="S6152" s="24" t="str" cm="1">
        <f t="array" ref="S6152">IFERROR(IF($B6152=S$1, ($A6152+$C6152) - MAX(IF($B$2:$B6151=$B6152, $A$2:$A6151+$C$2:$C6151)), "")*24*60, "")</f>
        <v/>
      </c>
    </row>
    <row r="6153" spans="1:19" x14ac:dyDescent="0.2">
      <c r="A6153" s="12">
        <f t="shared" ref="A6153:C6153" si="1296">A6152</f>
        <v>45987</v>
      </c>
      <c r="B6153" s="5" t="str">
        <f t="shared" si="1296"/>
        <v>Northern Cardinal</v>
      </c>
      <c r="C6153" s="6">
        <f t="shared" si="1296"/>
        <v>0.28611111111111109</v>
      </c>
      <c r="D6153" s="5"/>
      <c r="E6153" s="5"/>
      <c r="F6153" s="5" t="s">
        <v>8</v>
      </c>
      <c r="G6153" s="15" t="s">
        <v>9</v>
      </c>
      <c r="H6153" s="24">
        <f t="shared" si="1249"/>
        <v>0</v>
      </c>
      <c r="I6153" s="24" cm="1">
        <f t="array" ref="I6153">IFERROR(IF($B6153=I$1, ($A6153+$C6153) - MAX(IF($B$2:$B6152=$B6153, $A$2:$A6152+$C$2:$C6152)), "")*24*60, "")</f>
        <v>0</v>
      </c>
      <c r="J6153" s="24" t="str" cm="1">
        <f t="array" ref="J6153">IFERROR(IF($B6153=J$1, ($A6153+$C6153) - MAX(IF($B$2:$B6152=$B6153, $A$2:$A6152+$C$2:$C6152)), "")*24*60, "")</f>
        <v/>
      </c>
      <c r="K6153" s="24" t="str" cm="1">
        <f t="array" ref="K6153">IFERROR(IF($B6153=K$1, ($A6153+$C6153) - MAX(IF($B$2:$B6152=$B6153, $A$2:$A6152+$C$2:$C6152)), "")*24*60, "")</f>
        <v/>
      </c>
      <c r="L6153" s="24" t="str" cm="1">
        <f t="array" ref="L6153">IFERROR(IF($B6153=L$1, ($A6153+$C6153) - MAX(IF($B$2:$B6152=$B6153, $A$2:$A6152+$C$2:$C6152)), "")*24*60, "")</f>
        <v/>
      </c>
      <c r="M6153" s="24" t="str" cm="1">
        <f t="array" ref="M6153">IFERROR(IF($B6153=M$1, ($A6153+$C6153) - MAX(IF($B$2:$B6152=$B6153, $A$2:$A6152+$C$2:$C6152)), "")*24*60, "")</f>
        <v/>
      </c>
      <c r="N6153" s="24" t="str" cm="1">
        <f t="array" ref="N6153">IFERROR(IF($B6153=N$1, ($A6153+$C6153) - MAX(IF($B$2:$B6152=$B6153, $A$2:$A6152+$C$2:$C6152)), "")*24*60, "")</f>
        <v/>
      </c>
      <c r="O6153" s="24" t="str" cm="1">
        <f t="array" ref="O6153">IFERROR(IF($B6153=O$1, ($A6153+$C6153) - MAX(IF($B$2:$B6152=$B6153, $A$2:$A6152+$C$2:$C6152)), "")*24*60, "")</f>
        <v/>
      </c>
      <c r="P6153" s="24" t="str" cm="1">
        <f t="array" ref="P6153">IFERROR(IF($B6153=P$1, ($A6153+$C6153) - MAX(IF($B$2:$B6152=$B6153, $A$2:$A6152+$C$2:$C6152)), "")*24*60, "")</f>
        <v/>
      </c>
      <c r="Q6153" s="24" t="str" cm="1">
        <f t="array" ref="Q6153">IFERROR(IF($B6153=Q$1, ($A6153+$C6153) - MAX(IF($B$2:$B6152=$B6153, $A$2:$A6152+$C$2:$C6152)), "")*24*60, "")</f>
        <v/>
      </c>
      <c r="R6153" s="24" t="str" cm="1">
        <f t="array" ref="R6153">IFERROR(IF($B6153=R$1, ($A6153+$C6153) - MAX(IF($B$2:$B6152=$B6153, $A$2:$A6152+$C$2:$C6152)), "")*24*60, "")</f>
        <v/>
      </c>
      <c r="S6153" s="24" t="str" cm="1">
        <f t="array" ref="S6153">IFERROR(IF($B6153=S$1, ($A6153+$C6153) - MAX(IF($B$2:$B6152=$B6153, $A$2:$A6152+$C$2:$C6152)), "")*24*60, "")</f>
        <v/>
      </c>
    </row>
    <row r="6154" spans="1:19" x14ac:dyDescent="0.2">
      <c r="A6154" s="12">
        <f t="shared" ref="A6154:C6154" si="1297">A6153</f>
        <v>45987</v>
      </c>
      <c r="B6154" s="5" t="str">
        <f t="shared" si="1297"/>
        <v>Northern Cardinal</v>
      </c>
      <c r="C6154" s="6">
        <f t="shared" si="1297"/>
        <v>0.28611111111111109</v>
      </c>
      <c r="D6154" s="5"/>
      <c r="E6154" s="5"/>
      <c r="F6154" s="5" t="s">
        <v>8</v>
      </c>
      <c r="G6154" s="15" t="s">
        <v>9</v>
      </c>
      <c r="H6154" s="24">
        <f t="shared" si="1249"/>
        <v>0</v>
      </c>
      <c r="I6154" s="24" cm="1">
        <f t="array" ref="I6154">IFERROR(IF($B6154=I$1, ($A6154+$C6154) - MAX(IF($B$2:$B6153=$B6154, $A$2:$A6153+$C$2:$C6153)), "")*24*60, "")</f>
        <v>0</v>
      </c>
      <c r="J6154" s="24" t="str" cm="1">
        <f t="array" ref="J6154">IFERROR(IF($B6154=J$1, ($A6154+$C6154) - MAX(IF($B$2:$B6153=$B6154, $A$2:$A6153+$C$2:$C6153)), "")*24*60, "")</f>
        <v/>
      </c>
      <c r="K6154" s="24" t="str" cm="1">
        <f t="array" ref="K6154">IFERROR(IF($B6154=K$1, ($A6154+$C6154) - MAX(IF($B$2:$B6153=$B6154, $A$2:$A6153+$C$2:$C6153)), "")*24*60, "")</f>
        <v/>
      </c>
      <c r="L6154" s="24" t="str" cm="1">
        <f t="array" ref="L6154">IFERROR(IF($B6154=L$1, ($A6154+$C6154) - MAX(IF($B$2:$B6153=$B6154, $A$2:$A6153+$C$2:$C6153)), "")*24*60, "")</f>
        <v/>
      </c>
      <c r="M6154" s="24" t="str" cm="1">
        <f t="array" ref="M6154">IFERROR(IF($B6154=M$1, ($A6154+$C6154) - MAX(IF($B$2:$B6153=$B6154, $A$2:$A6153+$C$2:$C6153)), "")*24*60, "")</f>
        <v/>
      </c>
      <c r="N6154" s="24" t="str" cm="1">
        <f t="array" ref="N6154">IFERROR(IF($B6154=N$1, ($A6154+$C6154) - MAX(IF($B$2:$B6153=$B6154, $A$2:$A6153+$C$2:$C6153)), "")*24*60, "")</f>
        <v/>
      </c>
      <c r="O6154" s="24" t="str" cm="1">
        <f t="array" ref="O6154">IFERROR(IF($B6154=O$1, ($A6154+$C6154) - MAX(IF($B$2:$B6153=$B6154, $A$2:$A6153+$C$2:$C6153)), "")*24*60, "")</f>
        <v/>
      </c>
      <c r="P6154" s="24" t="str" cm="1">
        <f t="array" ref="P6154">IFERROR(IF($B6154=P$1, ($A6154+$C6154) - MAX(IF($B$2:$B6153=$B6154, $A$2:$A6153+$C$2:$C6153)), "")*24*60, "")</f>
        <v/>
      </c>
      <c r="Q6154" s="24" t="str" cm="1">
        <f t="array" ref="Q6154">IFERROR(IF($B6154=Q$1, ($A6154+$C6154) - MAX(IF($B$2:$B6153=$B6154, $A$2:$A6153+$C$2:$C6153)), "")*24*60, "")</f>
        <v/>
      </c>
      <c r="R6154" s="24" t="str" cm="1">
        <f t="array" ref="R6154">IFERROR(IF($B6154=R$1, ($A6154+$C6154) - MAX(IF($B$2:$B6153=$B6154, $A$2:$A6153+$C$2:$C6153)), "")*24*60, "")</f>
        <v/>
      </c>
      <c r="S6154" s="24" t="str" cm="1">
        <f t="array" ref="S6154">IFERROR(IF($B6154=S$1, ($A6154+$C6154) - MAX(IF($B$2:$B6153=$B6154, $A$2:$A6153+$C$2:$C6153)), "")*24*60, "")</f>
        <v/>
      </c>
    </row>
    <row r="6155" spans="1:19" x14ac:dyDescent="0.2">
      <c r="A6155" s="12">
        <f t="shared" ref="A6155:C6155" si="1298">A6154</f>
        <v>45987</v>
      </c>
      <c r="B6155" s="5" t="str">
        <f t="shared" si="1298"/>
        <v>Northern Cardinal</v>
      </c>
      <c r="C6155" s="6">
        <f t="shared" si="1298"/>
        <v>0.28611111111111109</v>
      </c>
      <c r="D6155" s="5"/>
      <c r="E6155" s="5"/>
      <c r="F6155" s="5" t="s">
        <v>8</v>
      </c>
      <c r="G6155" s="15" t="s">
        <v>9</v>
      </c>
      <c r="H6155" s="24">
        <f t="shared" si="1249"/>
        <v>0</v>
      </c>
      <c r="I6155" s="24" cm="1">
        <f t="array" ref="I6155">IFERROR(IF($B6155=I$1, ($A6155+$C6155) - MAX(IF($B$2:$B6154=$B6155, $A$2:$A6154+$C$2:$C6154)), "")*24*60, "")</f>
        <v>0</v>
      </c>
      <c r="J6155" s="24" t="str" cm="1">
        <f t="array" ref="J6155">IFERROR(IF($B6155=J$1, ($A6155+$C6155) - MAX(IF($B$2:$B6154=$B6155, $A$2:$A6154+$C$2:$C6154)), "")*24*60, "")</f>
        <v/>
      </c>
      <c r="K6155" s="24" t="str" cm="1">
        <f t="array" ref="K6155">IFERROR(IF($B6155=K$1, ($A6155+$C6155) - MAX(IF($B$2:$B6154=$B6155, $A$2:$A6154+$C$2:$C6154)), "")*24*60, "")</f>
        <v/>
      </c>
      <c r="L6155" s="24" t="str" cm="1">
        <f t="array" ref="L6155">IFERROR(IF($B6155=L$1, ($A6155+$C6155) - MAX(IF($B$2:$B6154=$B6155, $A$2:$A6154+$C$2:$C6154)), "")*24*60, "")</f>
        <v/>
      </c>
      <c r="M6155" s="24" t="str" cm="1">
        <f t="array" ref="M6155">IFERROR(IF($B6155=M$1, ($A6155+$C6155) - MAX(IF($B$2:$B6154=$B6155, $A$2:$A6154+$C$2:$C6154)), "")*24*60, "")</f>
        <v/>
      </c>
      <c r="N6155" s="24" t="str" cm="1">
        <f t="array" ref="N6155">IFERROR(IF($B6155=N$1, ($A6155+$C6155) - MAX(IF($B$2:$B6154=$B6155, $A$2:$A6154+$C$2:$C6154)), "")*24*60, "")</f>
        <v/>
      </c>
      <c r="O6155" s="24" t="str" cm="1">
        <f t="array" ref="O6155">IFERROR(IF($B6155=O$1, ($A6155+$C6155) - MAX(IF($B$2:$B6154=$B6155, $A$2:$A6154+$C$2:$C6154)), "")*24*60, "")</f>
        <v/>
      </c>
      <c r="P6155" s="24" t="str" cm="1">
        <f t="array" ref="P6155">IFERROR(IF($B6155=P$1, ($A6155+$C6155) - MAX(IF($B$2:$B6154=$B6155, $A$2:$A6154+$C$2:$C6154)), "")*24*60, "")</f>
        <v/>
      </c>
      <c r="Q6155" s="24" t="str" cm="1">
        <f t="array" ref="Q6155">IFERROR(IF($B6155=Q$1, ($A6155+$C6155) - MAX(IF($B$2:$B6154=$B6155, $A$2:$A6154+$C$2:$C6154)), "")*24*60, "")</f>
        <v/>
      </c>
      <c r="R6155" s="24" t="str" cm="1">
        <f t="array" ref="R6155">IFERROR(IF($B6155=R$1, ($A6155+$C6155) - MAX(IF($B$2:$B6154=$B6155, $A$2:$A6154+$C$2:$C6154)), "")*24*60, "")</f>
        <v/>
      </c>
      <c r="S6155" s="24" t="str" cm="1">
        <f t="array" ref="S6155">IFERROR(IF($B6155=S$1, ($A6155+$C6155) - MAX(IF($B$2:$B6154=$B6155, $A$2:$A6154+$C$2:$C6154)), "")*24*60, "")</f>
        <v/>
      </c>
    </row>
    <row r="6156" spans="1:19" x14ac:dyDescent="0.2">
      <c r="A6156" s="12">
        <f t="shared" ref="A6156:C6156" si="1299">A6155</f>
        <v>45987</v>
      </c>
      <c r="B6156" s="5" t="str">
        <f t="shared" si="1299"/>
        <v>Northern Cardinal</v>
      </c>
      <c r="C6156" s="6">
        <f t="shared" si="1299"/>
        <v>0.28611111111111109</v>
      </c>
      <c r="D6156" s="5"/>
      <c r="E6156" s="5"/>
      <c r="F6156" s="5" t="s">
        <v>8</v>
      </c>
      <c r="G6156" s="15" t="s">
        <v>9</v>
      </c>
      <c r="H6156" s="24">
        <f t="shared" si="1249"/>
        <v>0</v>
      </c>
      <c r="I6156" s="24" cm="1">
        <f t="array" ref="I6156">IFERROR(IF($B6156=I$1, ($A6156+$C6156) - MAX(IF($B$2:$B6155=$B6156, $A$2:$A6155+$C$2:$C6155)), "")*24*60, "")</f>
        <v>0</v>
      </c>
      <c r="J6156" s="24" t="str" cm="1">
        <f t="array" ref="J6156">IFERROR(IF($B6156=J$1, ($A6156+$C6156) - MAX(IF($B$2:$B6155=$B6156, $A$2:$A6155+$C$2:$C6155)), "")*24*60, "")</f>
        <v/>
      </c>
      <c r="K6156" s="24" t="str" cm="1">
        <f t="array" ref="K6156">IFERROR(IF($B6156=K$1, ($A6156+$C6156) - MAX(IF($B$2:$B6155=$B6156, $A$2:$A6155+$C$2:$C6155)), "")*24*60, "")</f>
        <v/>
      </c>
      <c r="L6156" s="24" t="str" cm="1">
        <f t="array" ref="L6156">IFERROR(IF($B6156=L$1, ($A6156+$C6156) - MAX(IF($B$2:$B6155=$B6156, $A$2:$A6155+$C$2:$C6155)), "")*24*60, "")</f>
        <v/>
      </c>
      <c r="M6156" s="24" t="str" cm="1">
        <f t="array" ref="M6156">IFERROR(IF($B6156=M$1, ($A6156+$C6156) - MAX(IF($B$2:$B6155=$B6156, $A$2:$A6155+$C$2:$C6155)), "")*24*60, "")</f>
        <v/>
      </c>
      <c r="N6156" s="24" t="str" cm="1">
        <f t="array" ref="N6156">IFERROR(IF($B6156=N$1, ($A6156+$C6156) - MAX(IF($B$2:$B6155=$B6156, $A$2:$A6155+$C$2:$C6155)), "")*24*60, "")</f>
        <v/>
      </c>
      <c r="O6156" s="24" t="str" cm="1">
        <f t="array" ref="O6156">IFERROR(IF($B6156=O$1, ($A6156+$C6156) - MAX(IF($B$2:$B6155=$B6156, $A$2:$A6155+$C$2:$C6155)), "")*24*60, "")</f>
        <v/>
      </c>
      <c r="P6156" s="24" t="str" cm="1">
        <f t="array" ref="P6156">IFERROR(IF($B6156=P$1, ($A6156+$C6156) - MAX(IF($B$2:$B6155=$B6156, $A$2:$A6155+$C$2:$C6155)), "")*24*60, "")</f>
        <v/>
      </c>
      <c r="Q6156" s="24" t="str" cm="1">
        <f t="array" ref="Q6156">IFERROR(IF($B6156=Q$1, ($A6156+$C6156) - MAX(IF($B$2:$B6155=$B6156, $A$2:$A6155+$C$2:$C6155)), "")*24*60, "")</f>
        <v/>
      </c>
      <c r="R6156" s="24" t="str" cm="1">
        <f t="array" ref="R6156">IFERROR(IF($B6156=R$1, ($A6156+$C6156) - MAX(IF($B$2:$B6155=$B6156, $A$2:$A6155+$C$2:$C6155)), "")*24*60, "")</f>
        <v/>
      </c>
      <c r="S6156" s="24" t="str" cm="1">
        <f t="array" ref="S6156">IFERROR(IF($B6156=S$1, ($A6156+$C6156) - MAX(IF($B$2:$B6155=$B6156, $A$2:$A6155+$C$2:$C6155)), "")*24*60, "")</f>
        <v/>
      </c>
    </row>
    <row r="6157" spans="1:19" x14ac:dyDescent="0.2">
      <c r="A6157" s="12">
        <f t="shared" ref="A6157:C6157" si="1300">A6156</f>
        <v>45987</v>
      </c>
      <c r="B6157" s="5" t="str">
        <f t="shared" si="1300"/>
        <v>Northern Cardinal</v>
      </c>
      <c r="C6157" s="6">
        <f t="shared" si="1300"/>
        <v>0.28611111111111109</v>
      </c>
      <c r="D6157" s="5"/>
      <c r="E6157" s="5"/>
      <c r="F6157" s="5" t="s">
        <v>8</v>
      </c>
      <c r="G6157" s="15" t="s">
        <v>9</v>
      </c>
      <c r="H6157" s="24">
        <f t="shared" si="1249"/>
        <v>0</v>
      </c>
      <c r="I6157" s="24" cm="1">
        <f t="array" ref="I6157">IFERROR(IF($B6157=I$1, ($A6157+$C6157) - MAX(IF($B$2:$B6156=$B6157, $A$2:$A6156+$C$2:$C6156)), "")*24*60, "")</f>
        <v>0</v>
      </c>
      <c r="J6157" s="24" t="str" cm="1">
        <f t="array" ref="J6157">IFERROR(IF($B6157=J$1, ($A6157+$C6157) - MAX(IF($B$2:$B6156=$B6157, $A$2:$A6156+$C$2:$C6156)), "")*24*60, "")</f>
        <v/>
      </c>
      <c r="K6157" s="24" t="str" cm="1">
        <f t="array" ref="K6157">IFERROR(IF($B6157=K$1, ($A6157+$C6157) - MAX(IF($B$2:$B6156=$B6157, $A$2:$A6156+$C$2:$C6156)), "")*24*60, "")</f>
        <v/>
      </c>
      <c r="L6157" s="24" t="str" cm="1">
        <f t="array" ref="L6157">IFERROR(IF($B6157=L$1, ($A6157+$C6157) - MAX(IF($B$2:$B6156=$B6157, $A$2:$A6156+$C$2:$C6156)), "")*24*60, "")</f>
        <v/>
      </c>
      <c r="M6157" s="24" t="str" cm="1">
        <f t="array" ref="M6157">IFERROR(IF($B6157=M$1, ($A6157+$C6157) - MAX(IF($B$2:$B6156=$B6157, $A$2:$A6156+$C$2:$C6156)), "")*24*60, "")</f>
        <v/>
      </c>
      <c r="N6157" s="24" t="str" cm="1">
        <f t="array" ref="N6157">IFERROR(IF($B6157=N$1, ($A6157+$C6157) - MAX(IF($B$2:$B6156=$B6157, $A$2:$A6156+$C$2:$C6156)), "")*24*60, "")</f>
        <v/>
      </c>
      <c r="O6157" s="24" t="str" cm="1">
        <f t="array" ref="O6157">IFERROR(IF($B6157=O$1, ($A6157+$C6157) - MAX(IF($B$2:$B6156=$B6157, $A$2:$A6156+$C$2:$C6156)), "")*24*60, "")</f>
        <v/>
      </c>
      <c r="P6157" s="24" t="str" cm="1">
        <f t="array" ref="P6157">IFERROR(IF($B6157=P$1, ($A6157+$C6157) - MAX(IF($B$2:$B6156=$B6157, $A$2:$A6156+$C$2:$C6156)), "")*24*60, "")</f>
        <v/>
      </c>
      <c r="Q6157" s="24" t="str" cm="1">
        <f t="array" ref="Q6157">IFERROR(IF($B6157=Q$1, ($A6157+$C6157) - MAX(IF($B$2:$B6156=$B6157, $A$2:$A6156+$C$2:$C6156)), "")*24*60, "")</f>
        <v/>
      </c>
      <c r="R6157" s="24" t="str" cm="1">
        <f t="array" ref="R6157">IFERROR(IF($B6157=R$1, ($A6157+$C6157) - MAX(IF($B$2:$B6156=$B6157, $A$2:$A6156+$C$2:$C6156)), "")*24*60, "")</f>
        <v/>
      </c>
      <c r="S6157" s="24" t="str" cm="1">
        <f t="array" ref="S6157">IFERROR(IF($B6157=S$1, ($A6157+$C6157) - MAX(IF($B$2:$B6156=$B6157, $A$2:$A6156+$C$2:$C6156)), "")*24*60, "")</f>
        <v/>
      </c>
    </row>
    <row r="6158" spans="1:19" x14ac:dyDescent="0.2">
      <c r="A6158" s="12">
        <f t="shared" ref="A6158:C6158" si="1301">A6157</f>
        <v>45987</v>
      </c>
      <c r="B6158" s="5" t="str">
        <f t="shared" si="1301"/>
        <v>Northern Cardinal</v>
      </c>
      <c r="C6158" s="6">
        <f t="shared" si="1301"/>
        <v>0.28611111111111109</v>
      </c>
      <c r="D6158" s="5"/>
      <c r="E6158" s="5"/>
      <c r="F6158" s="5" t="s">
        <v>8</v>
      </c>
      <c r="G6158" s="15" t="s">
        <v>9</v>
      </c>
      <c r="H6158" s="24">
        <f t="shared" si="1249"/>
        <v>0</v>
      </c>
      <c r="I6158" s="24" cm="1">
        <f t="array" ref="I6158">IFERROR(IF($B6158=I$1, ($A6158+$C6158) - MAX(IF($B$2:$B6157=$B6158, $A$2:$A6157+$C$2:$C6157)), "")*24*60, "")</f>
        <v>0</v>
      </c>
      <c r="J6158" s="24" t="str" cm="1">
        <f t="array" ref="J6158">IFERROR(IF($B6158=J$1, ($A6158+$C6158) - MAX(IF($B$2:$B6157=$B6158, $A$2:$A6157+$C$2:$C6157)), "")*24*60, "")</f>
        <v/>
      </c>
      <c r="K6158" s="24" t="str" cm="1">
        <f t="array" ref="K6158">IFERROR(IF($B6158=K$1, ($A6158+$C6158) - MAX(IF($B$2:$B6157=$B6158, $A$2:$A6157+$C$2:$C6157)), "")*24*60, "")</f>
        <v/>
      </c>
      <c r="L6158" s="24" t="str" cm="1">
        <f t="array" ref="L6158">IFERROR(IF($B6158=L$1, ($A6158+$C6158) - MAX(IF($B$2:$B6157=$B6158, $A$2:$A6157+$C$2:$C6157)), "")*24*60, "")</f>
        <v/>
      </c>
      <c r="M6158" s="24" t="str" cm="1">
        <f t="array" ref="M6158">IFERROR(IF($B6158=M$1, ($A6158+$C6158) - MAX(IF($B$2:$B6157=$B6158, $A$2:$A6157+$C$2:$C6157)), "")*24*60, "")</f>
        <v/>
      </c>
      <c r="N6158" s="24" t="str" cm="1">
        <f t="array" ref="N6158">IFERROR(IF($B6158=N$1, ($A6158+$C6158) - MAX(IF($B$2:$B6157=$B6158, $A$2:$A6157+$C$2:$C6157)), "")*24*60, "")</f>
        <v/>
      </c>
      <c r="O6158" s="24" t="str" cm="1">
        <f t="array" ref="O6158">IFERROR(IF($B6158=O$1, ($A6158+$C6158) - MAX(IF($B$2:$B6157=$B6158, $A$2:$A6157+$C$2:$C6157)), "")*24*60, "")</f>
        <v/>
      </c>
      <c r="P6158" s="24" t="str" cm="1">
        <f t="array" ref="P6158">IFERROR(IF($B6158=P$1, ($A6158+$C6158) - MAX(IF($B$2:$B6157=$B6158, $A$2:$A6157+$C$2:$C6157)), "")*24*60, "")</f>
        <v/>
      </c>
      <c r="Q6158" s="24" t="str" cm="1">
        <f t="array" ref="Q6158">IFERROR(IF($B6158=Q$1, ($A6158+$C6158) - MAX(IF($B$2:$B6157=$B6158, $A$2:$A6157+$C$2:$C6157)), "")*24*60, "")</f>
        <v/>
      </c>
      <c r="R6158" s="24" t="str" cm="1">
        <f t="array" ref="R6158">IFERROR(IF($B6158=R$1, ($A6158+$C6158) - MAX(IF($B$2:$B6157=$B6158, $A$2:$A6157+$C$2:$C6157)), "")*24*60, "")</f>
        <v/>
      </c>
      <c r="S6158" s="24" t="str" cm="1">
        <f t="array" ref="S6158">IFERROR(IF($B6158=S$1, ($A6158+$C6158) - MAX(IF($B$2:$B6157=$B6158, $A$2:$A6157+$C$2:$C6157)), "")*24*60, "")</f>
        <v/>
      </c>
    </row>
    <row r="6159" spans="1:19" x14ac:dyDescent="0.2">
      <c r="A6159" s="12">
        <f t="shared" ref="A6159:C6159" si="1302">A6158</f>
        <v>45987</v>
      </c>
      <c r="B6159" s="5" t="str">
        <f t="shared" si="1302"/>
        <v>Northern Cardinal</v>
      </c>
      <c r="C6159" s="6">
        <f t="shared" si="1302"/>
        <v>0.28611111111111109</v>
      </c>
      <c r="D6159" s="5"/>
      <c r="E6159" s="5"/>
      <c r="F6159" s="5" t="s">
        <v>8</v>
      </c>
      <c r="G6159" s="15" t="s">
        <v>9</v>
      </c>
      <c r="H6159" s="24">
        <f t="shared" si="1249"/>
        <v>0</v>
      </c>
      <c r="I6159" s="24" cm="1">
        <f t="array" ref="I6159">IFERROR(IF($B6159=I$1, ($A6159+$C6159) - MAX(IF($B$2:$B6158=$B6159, $A$2:$A6158+$C$2:$C6158)), "")*24*60, "")</f>
        <v>0</v>
      </c>
      <c r="J6159" s="24" t="str" cm="1">
        <f t="array" ref="J6159">IFERROR(IF($B6159=J$1, ($A6159+$C6159) - MAX(IF($B$2:$B6158=$B6159, $A$2:$A6158+$C$2:$C6158)), "")*24*60, "")</f>
        <v/>
      </c>
      <c r="K6159" s="24" t="str" cm="1">
        <f t="array" ref="K6159">IFERROR(IF($B6159=K$1, ($A6159+$C6159) - MAX(IF($B$2:$B6158=$B6159, $A$2:$A6158+$C$2:$C6158)), "")*24*60, "")</f>
        <v/>
      </c>
      <c r="L6159" s="24" t="str" cm="1">
        <f t="array" ref="L6159">IFERROR(IF($B6159=L$1, ($A6159+$C6159) - MAX(IF($B$2:$B6158=$B6159, $A$2:$A6158+$C$2:$C6158)), "")*24*60, "")</f>
        <v/>
      </c>
      <c r="M6159" s="24" t="str" cm="1">
        <f t="array" ref="M6159">IFERROR(IF($B6159=M$1, ($A6159+$C6159) - MAX(IF($B$2:$B6158=$B6159, $A$2:$A6158+$C$2:$C6158)), "")*24*60, "")</f>
        <v/>
      </c>
      <c r="N6159" s="24" t="str" cm="1">
        <f t="array" ref="N6159">IFERROR(IF($B6159=N$1, ($A6159+$C6159) - MAX(IF($B$2:$B6158=$B6159, $A$2:$A6158+$C$2:$C6158)), "")*24*60, "")</f>
        <v/>
      </c>
      <c r="O6159" s="24" t="str" cm="1">
        <f t="array" ref="O6159">IFERROR(IF($B6159=O$1, ($A6159+$C6159) - MAX(IF($B$2:$B6158=$B6159, $A$2:$A6158+$C$2:$C6158)), "")*24*60, "")</f>
        <v/>
      </c>
      <c r="P6159" s="24" t="str" cm="1">
        <f t="array" ref="P6159">IFERROR(IF($B6159=P$1, ($A6159+$C6159) - MAX(IF($B$2:$B6158=$B6159, $A$2:$A6158+$C$2:$C6158)), "")*24*60, "")</f>
        <v/>
      </c>
      <c r="Q6159" s="24" t="str" cm="1">
        <f t="array" ref="Q6159">IFERROR(IF($B6159=Q$1, ($A6159+$C6159) - MAX(IF($B$2:$B6158=$B6159, $A$2:$A6158+$C$2:$C6158)), "")*24*60, "")</f>
        <v/>
      </c>
      <c r="R6159" s="24" t="str" cm="1">
        <f t="array" ref="R6159">IFERROR(IF($B6159=R$1, ($A6159+$C6159) - MAX(IF($B$2:$B6158=$B6159, $A$2:$A6158+$C$2:$C6158)), "")*24*60, "")</f>
        <v/>
      </c>
      <c r="S6159" s="24" t="str" cm="1">
        <f t="array" ref="S6159">IFERROR(IF($B6159=S$1, ($A6159+$C6159) - MAX(IF($B$2:$B6158=$B6159, $A$2:$A6158+$C$2:$C6158)), "")*24*60, "")</f>
        <v/>
      </c>
    </row>
    <row r="6160" spans="1:19" x14ac:dyDescent="0.2">
      <c r="A6160" s="12">
        <f t="shared" ref="A6160:C6160" si="1303">A6159</f>
        <v>45987</v>
      </c>
      <c r="B6160" s="5" t="str">
        <f t="shared" si="1303"/>
        <v>Northern Cardinal</v>
      </c>
      <c r="C6160" s="6">
        <f t="shared" si="1303"/>
        <v>0.28611111111111109</v>
      </c>
      <c r="D6160" s="5"/>
      <c r="E6160" s="5"/>
      <c r="F6160" s="5" t="s">
        <v>8</v>
      </c>
      <c r="G6160" s="15" t="s">
        <v>9</v>
      </c>
      <c r="H6160" s="24">
        <f t="shared" si="1249"/>
        <v>0</v>
      </c>
      <c r="I6160" s="24" cm="1">
        <f t="array" ref="I6160">IFERROR(IF($B6160=I$1, ($A6160+$C6160) - MAX(IF($B$2:$B6159=$B6160, $A$2:$A6159+$C$2:$C6159)), "")*24*60, "")</f>
        <v>0</v>
      </c>
      <c r="J6160" s="24" t="str" cm="1">
        <f t="array" ref="J6160">IFERROR(IF($B6160=J$1, ($A6160+$C6160) - MAX(IF($B$2:$B6159=$B6160, $A$2:$A6159+$C$2:$C6159)), "")*24*60, "")</f>
        <v/>
      </c>
      <c r="K6160" s="24" t="str" cm="1">
        <f t="array" ref="K6160">IFERROR(IF($B6160=K$1, ($A6160+$C6160) - MAX(IF($B$2:$B6159=$B6160, $A$2:$A6159+$C$2:$C6159)), "")*24*60, "")</f>
        <v/>
      </c>
      <c r="L6160" s="24" t="str" cm="1">
        <f t="array" ref="L6160">IFERROR(IF($B6160=L$1, ($A6160+$C6160) - MAX(IF($B$2:$B6159=$B6160, $A$2:$A6159+$C$2:$C6159)), "")*24*60, "")</f>
        <v/>
      </c>
      <c r="M6160" s="24" t="str" cm="1">
        <f t="array" ref="M6160">IFERROR(IF($B6160=M$1, ($A6160+$C6160) - MAX(IF($B$2:$B6159=$B6160, $A$2:$A6159+$C$2:$C6159)), "")*24*60, "")</f>
        <v/>
      </c>
      <c r="N6160" s="24" t="str" cm="1">
        <f t="array" ref="N6160">IFERROR(IF($B6160=N$1, ($A6160+$C6160) - MAX(IF($B$2:$B6159=$B6160, $A$2:$A6159+$C$2:$C6159)), "")*24*60, "")</f>
        <v/>
      </c>
      <c r="O6160" s="24" t="str" cm="1">
        <f t="array" ref="O6160">IFERROR(IF($B6160=O$1, ($A6160+$C6160) - MAX(IF($B$2:$B6159=$B6160, $A$2:$A6159+$C$2:$C6159)), "")*24*60, "")</f>
        <v/>
      </c>
      <c r="P6160" s="24" t="str" cm="1">
        <f t="array" ref="P6160">IFERROR(IF($B6160=P$1, ($A6160+$C6160) - MAX(IF($B$2:$B6159=$B6160, $A$2:$A6159+$C$2:$C6159)), "")*24*60, "")</f>
        <v/>
      </c>
      <c r="Q6160" s="24" t="str" cm="1">
        <f t="array" ref="Q6160">IFERROR(IF($B6160=Q$1, ($A6160+$C6160) - MAX(IF($B$2:$B6159=$B6160, $A$2:$A6159+$C$2:$C6159)), "")*24*60, "")</f>
        <v/>
      </c>
      <c r="R6160" s="24" t="str" cm="1">
        <f t="array" ref="R6160">IFERROR(IF($B6160=R$1, ($A6160+$C6160) - MAX(IF($B$2:$B6159=$B6160, $A$2:$A6159+$C$2:$C6159)), "")*24*60, "")</f>
        <v/>
      </c>
      <c r="S6160" s="24" t="str" cm="1">
        <f t="array" ref="S6160">IFERROR(IF($B6160=S$1, ($A6160+$C6160) - MAX(IF($B$2:$B6159=$B6160, $A$2:$A6159+$C$2:$C6159)), "")*24*60, "")</f>
        <v/>
      </c>
    </row>
    <row r="6161" spans="1:19" x14ac:dyDescent="0.2">
      <c r="A6161" s="12">
        <f t="shared" ref="A6161:C6161" si="1304">A6160</f>
        <v>45987</v>
      </c>
      <c r="B6161" s="5" t="str">
        <f t="shared" si="1304"/>
        <v>Northern Cardinal</v>
      </c>
      <c r="C6161" s="6">
        <f t="shared" si="1304"/>
        <v>0.28611111111111109</v>
      </c>
      <c r="D6161" s="5"/>
      <c r="E6161" s="5"/>
      <c r="F6161" s="5" t="s">
        <v>8</v>
      </c>
      <c r="G6161" s="15" t="s">
        <v>9</v>
      </c>
      <c r="H6161" s="24">
        <f t="shared" si="1249"/>
        <v>0</v>
      </c>
      <c r="I6161" s="24" cm="1">
        <f t="array" ref="I6161">IFERROR(IF($B6161=I$1, ($A6161+$C6161) - MAX(IF($B$2:$B6160=$B6161, $A$2:$A6160+$C$2:$C6160)), "")*24*60, "")</f>
        <v>0</v>
      </c>
      <c r="J6161" s="24" t="str" cm="1">
        <f t="array" ref="J6161">IFERROR(IF($B6161=J$1, ($A6161+$C6161) - MAX(IF($B$2:$B6160=$B6161, $A$2:$A6160+$C$2:$C6160)), "")*24*60, "")</f>
        <v/>
      </c>
      <c r="K6161" s="24" t="str" cm="1">
        <f t="array" ref="K6161">IFERROR(IF($B6161=K$1, ($A6161+$C6161) - MAX(IF($B$2:$B6160=$B6161, $A$2:$A6160+$C$2:$C6160)), "")*24*60, "")</f>
        <v/>
      </c>
      <c r="L6161" s="24" t="str" cm="1">
        <f t="array" ref="L6161">IFERROR(IF($B6161=L$1, ($A6161+$C6161) - MAX(IF($B$2:$B6160=$B6161, $A$2:$A6160+$C$2:$C6160)), "")*24*60, "")</f>
        <v/>
      </c>
      <c r="M6161" s="24" t="str" cm="1">
        <f t="array" ref="M6161">IFERROR(IF($B6161=M$1, ($A6161+$C6161) - MAX(IF($B$2:$B6160=$B6161, $A$2:$A6160+$C$2:$C6160)), "")*24*60, "")</f>
        <v/>
      </c>
      <c r="N6161" s="24" t="str" cm="1">
        <f t="array" ref="N6161">IFERROR(IF($B6161=N$1, ($A6161+$C6161) - MAX(IF($B$2:$B6160=$B6161, $A$2:$A6160+$C$2:$C6160)), "")*24*60, "")</f>
        <v/>
      </c>
      <c r="O6161" s="24" t="str" cm="1">
        <f t="array" ref="O6161">IFERROR(IF($B6161=O$1, ($A6161+$C6161) - MAX(IF($B$2:$B6160=$B6161, $A$2:$A6160+$C$2:$C6160)), "")*24*60, "")</f>
        <v/>
      </c>
      <c r="P6161" s="24" t="str" cm="1">
        <f t="array" ref="P6161">IFERROR(IF($B6161=P$1, ($A6161+$C6161) - MAX(IF($B$2:$B6160=$B6161, $A$2:$A6160+$C$2:$C6160)), "")*24*60, "")</f>
        <v/>
      </c>
      <c r="Q6161" s="24" t="str" cm="1">
        <f t="array" ref="Q6161">IFERROR(IF($B6161=Q$1, ($A6161+$C6161) - MAX(IF($B$2:$B6160=$B6161, $A$2:$A6160+$C$2:$C6160)), "")*24*60, "")</f>
        <v/>
      </c>
      <c r="R6161" s="24" t="str" cm="1">
        <f t="array" ref="R6161">IFERROR(IF($B6161=R$1, ($A6161+$C6161) - MAX(IF($B$2:$B6160=$B6161, $A$2:$A6160+$C$2:$C6160)), "")*24*60, "")</f>
        <v/>
      </c>
      <c r="S6161" s="24" t="str" cm="1">
        <f t="array" ref="S6161">IFERROR(IF($B6161=S$1, ($A6161+$C6161) - MAX(IF($B$2:$B6160=$B6161, $A$2:$A6160+$C$2:$C6160)), "")*24*60, "")</f>
        <v/>
      </c>
    </row>
    <row r="6162" spans="1:19" x14ac:dyDescent="0.2">
      <c r="A6162" s="12">
        <f t="shared" ref="A6162:C6162" si="1305">A6161</f>
        <v>45987</v>
      </c>
      <c r="B6162" s="5" t="str">
        <f t="shared" si="1305"/>
        <v>Northern Cardinal</v>
      </c>
      <c r="C6162" s="6">
        <f t="shared" si="1305"/>
        <v>0.28611111111111109</v>
      </c>
      <c r="D6162" s="5"/>
      <c r="E6162" s="5"/>
      <c r="F6162" s="5" t="s">
        <v>8</v>
      </c>
      <c r="G6162" s="15" t="s">
        <v>9</v>
      </c>
      <c r="H6162" s="24">
        <f t="shared" si="1249"/>
        <v>0</v>
      </c>
      <c r="I6162" s="24" cm="1">
        <f t="array" ref="I6162">IFERROR(IF($B6162=I$1, ($A6162+$C6162) - MAX(IF($B$2:$B6161=$B6162, $A$2:$A6161+$C$2:$C6161)), "")*24*60, "")</f>
        <v>0</v>
      </c>
      <c r="J6162" s="24" t="str" cm="1">
        <f t="array" ref="J6162">IFERROR(IF($B6162=J$1, ($A6162+$C6162) - MAX(IF($B$2:$B6161=$B6162, $A$2:$A6161+$C$2:$C6161)), "")*24*60, "")</f>
        <v/>
      </c>
      <c r="K6162" s="24" t="str" cm="1">
        <f t="array" ref="K6162">IFERROR(IF($B6162=K$1, ($A6162+$C6162) - MAX(IF($B$2:$B6161=$B6162, $A$2:$A6161+$C$2:$C6161)), "")*24*60, "")</f>
        <v/>
      </c>
      <c r="L6162" s="24" t="str" cm="1">
        <f t="array" ref="L6162">IFERROR(IF($B6162=L$1, ($A6162+$C6162) - MAX(IF($B$2:$B6161=$B6162, $A$2:$A6161+$C$2:$C6161)), "")*24*60, "")</f>
        <v/>
      </c>
      <c r="M6162" s="24" t="str" cm="1">
        <f t="array" ref="M6162">IFERROR(IF($B6162=M$1, ($A6162+$C6162) - MAX(IF($B$2:$B6161=$B6162, $A$2:$A6161+$C$2:$C6161)), "")*24*60, "")</f>
        <v/>
      </c>
      <c r="N6162" s="24" t="str" cm="1">
        <f t="array" ref="N6162">IFERROR(IF($B6162=N$1, ($A6162+$C6162) - MAX(IF($B$2:$B6161=$B6162, $A$2:$A6161+$C$2:$C6161)), "")*24*60, "")</f>
        <v/>
      </c>
      <c r="O6162" s="24" t="str" cm="1">
        <f t="array" ref="O6162">IFERROR(IF($B6162=O$1, ($A6162+$C6162) - MAX(IF($B$2:$B6161=$B6162, $A$2:$A6161+$C$2:$C6161)), "")*24*60, "")</f>
        <v/>
      </c>
      <c r="P6162" s="24" t="str" cm="1">
        <f t="array" ref="P6162">IFERROR(IF($B6162=P$1, ($A6162+$C6162) - MAX(IF($B$2:$B6161=$B6162, $A$2:$A6161+$C$2:$C6161)), "")*24*60, "")</f>
        <v/>
      </c>
      <c r="Q6162" s="24" t="str" cm="1">
        <f t="array" ref="Q6162">IFERROR(IF($B6162=Q$1, ($A6162+$C6162) - MAX(IF($B$2:$B6161=$B6162, $A$2:$A6161+$C$2:$C6161)), "")*24*60, "")</f>
        <v/>
      </c>
      <c r="R6162" s="24" t="str" cm="1">
        <f t="array" ref="R6162">IFERROR(IF($B6162=R$1, ($A6162+$C6162) - MAX(IF($B$2:$B6161=$B6162, $A$2:$A6161+$C$2:$C6161)), "")*24*60, "")</f>
        <v/>
      </c>
      <c r="S6162" s="24" t="str" cm="1">
        <f t="array" ref="S6162">IFERROR(IF($B6162=S$1, ($A6162+$C6162) - MAX(IF($B$2:$B6161=$B6162, $A$2:$A6161+$C$2:$C6161)), "")*24*60, "")</f>
        <v/>
      </c>
    </row>
    <row r="6163" spans="1:19" x14ac:dyDescent="0.2">
      <c r="A6163" s="12">
        <f t="shared" ref="A6163:C6163" si="1306">A6162</f>
        <v>45987</v>
      </c>
      <c r="B6163" s="5" t="str">
        <f t="shared" si="1306"/>
        <v>Northern Cardinal</v>
      </c>
      <c r="C6163" s="6">
        <f t="shared" si="1306"/>
        <v>0.28611111111111109</v>
      </c>
      <c r="D6163" s="5"/>
      <c r="E6163" s="5"/>
      <c r="F6163" s="5" t="s">
        <v>8</v>
      </c>
      <c r="G6163" s="15" t="s">
        <v>9</v>
      </c>
      <c r="H6163" s="24">
        <f t="shared" si="1249"/>
        <v>0</v>
      </c>
      <c r="I6163" s="24" cm="1">
        <f t="array" ref="I6163">IFERROR(IF($B6163=I$1, ($A6163+$C6163) - MAX(IF($B$2:$B6162=$B6163, $A$2:$A6162+$C$2:$C6162)), "")*24*60, "")</f>
        <v>0</v>
      </c>
      <c r="J6163" s="24" t="str" cm="1">
        <f t="array" ref="J6163">IFERROR(IF($B6163=J$1, ($A6163+$C6163) - MAX(IF($B$2:$B6162=$B6163, $A$2:$A6162+$C$2:$C6162)), "")*24*60, "")</f>
        <v/>
      </c>
      <c r="K6163" s="24" t="str" cm="1">
        <f t="array" ref="K6163">IFERROR(IF($B6163=K$1, ($A6163+$C6163) - MAX(IF($B$2:$B6162=$B6163, $A$2:$A6162+$C$2:$C6162)), "")*24*60, "")</f>
        <v/>
      </c>
      <c r="L6163" s="24" t="str" cm="1">
        <f t="array" ref="L6163">IFERROR(IF($B6163=L$1, ($A6163+$C6163) - MAX(IF($B$2:$B6162=$B6163, $A$2:$A6162+$C$2:$C6162)), "")*24*60, "")</f>
        <v/>
      </c>
      <c r="M6163" s="24" t="str" cm="1">
        <f t="array" ref="M6163">IFERROR(IF($B6163=M$1, ($A6163+$C6163) - MAX(IF($B$2:$B6162=$B6163, $A$2:$A6162+$C$2:$C6162)), "")*24*60, "")</f>
        <v/>
      </c>
      <c r="N6163" s="24" t="str" cm="1">
        <f t="array" ref="N6163">IFERROR(IF($B6163=N$1, ($A6163+$C6163) - MAX(IF($B$2:$B6162=$B6163, $A$2:$A6162+$C$2:$C6162)), "")*24*60, "")</f>
        <v/>
      </c>
      <c r="O6163" s="24" t="str" cm="1">
        <f t="array" ref="O6163">IFERROR(IF($B6163=O$1, ($A6163+$C6163) - MAX(IF($B$2:$B6162=$B6163, $A$2:$A6162+$C$2:$C6162)), "")*24*60, "")</f>
        <v/>
      </c>
      <c r="P6163" s="24" t="str" cm="1">
        <f t="array" ref="P6163">IFERROR(IF($B6163=P$1, ($A6163+$C6163) - MAX(IF($B$2:$B6162=$B6163, $A$2:$A6162+$C$2:$C6162)), "")*24*60, "")</f>
        <v/>
      </c>
      <c r="Q6163" s="24" t="str" cm="1">
        <f t="array" ref="Q6163">IFERROR(IF($B6163=Q$1, ($A6163+$C6163) - MAX(IF($B$2:$B6162=$B6163, $A$2:$A6162+$C$2:$C6162)), "")*24*60, "")</f>
        <v/>
      </c>
      <c r="R6163" s="24" t="str" cm="1">
        <f t="array" ref="R6163">IFERROR(IF($B6163=R$1, ($A6163+$C6163) - MAX(IF($B$2:$B6162=$B6163, $A$2:$A6162+$C$2:$C6162)), "")*24*60, "")</f>
        <v/>
      </c>
      <c r="S6163" s="24" t="str" cm="1">
        <f t="array" ref="S6163">IFERROR(IF($B6163=S$1, ($A6163+$C6163) - MAX(IF($B$2:$B6162=$B6163, $A$2:$A6162+$C$2:$C6162)), "")*24*60, "")</f>
        <v/>
      </c>
    </row>
    <row r="6164" spans="1:19" x14ac:dyDescent="0.2">
      <c r="A6164" s="12">
        <f t="shared" ref="A6164:C6164" si="1307">A6163</f>
        <v>45987</v>
      </c>
      <c r="B6164" s="5" t="str">
        <f t="shared" si="1307"/>
        <v>Northern Cardinal</v>
      </c>
      <c r="C6164" s="6">
        <f t="shared" si="1307"/>
        <v>0.28611111111111109</v>
      </c>
      <c r="D6164" s="5"/>
      <c r="E6164" s="5"/>
      <c r="F6164" s="5" t="s">
        <v>8</v>
      </c>
      <c r="G6164" s="15" t="s">
        <v>9</v>
      </c>
      <c r="H6164" s="24">
        <f t="shared" si="1249"/>
        <v>0</v>
      </c>
      <c r="I6164" s="24" cm="1">
        <f t="array" ref="I6164">IFERROR(IF($B6164=I$1, ($A6164+$C6164) - MAX(IF($B$2:$B6163=$B6164, $A$2:$A6163+$C$2:$C6163)), "")*24*60, "")</f>
        <v>0</v>
      </c>
      <c r="J6164" s="24" t="str" cm="1">
        <f t="array" ref="J6164">IFERROR(IF($B6164=J$1, ($A6164+$C6164) - MAX(IF($B$2:$B6163=$B6164, $A$2:$A6163+$C$2:$C6163)), "")*24*60, "")</f>
        <v/>
      </c>
      <c r="K6164" s="24" t="str" cm="1">
        <f t="array" ref="K6164">IFERROR(IF($B6164=K$1, ($A6164+$C6164) - MAX(IF($B$2:$B6163=$B6164, $A$2:$A6163+$C$2:$C6163)), "")*24*60, "")</f>
        <v/>
      </c>
      <c r="L6164" s="24" t="str" cm="1">
        <f t="array" ref="L6164">IFERROR(IF($B6164=L$1, ($A6164+$C6164) - MAX(IF($B$2:$B6163=$B6164, $A$2:$A6163+$C$2:$C6163)), "")*24*60, "")</f>
        <v/>
      </c>
      <c r="M6164" s="24" t="str" cm="1">
        <f t="array" ref="M6164">IFERROR(IF($B6164=M$1, ($A6164+$C6164) - MAX(IF($B$2:$B6163=$B6164, $A$2:$A6163+$C$2:$C6163)), "")*24*60, "")</f>
        <v/>
      </c>
      <c r="N6164" s="24" t="str" cm="1">
        <f t="array" ref="N6164">IFERROR(IF($B6164=N$1, ($A6164+$C6164) - MAX(IF($B$2:$B6163=$B6164, $A$2:$A6163+$C$2:$C6163)), "")*24*60, "")</f>
        <v/>
      </c>
      <c r="O6164" s="24" t="str" cm="1">
        <f t="array" ref="O6164">IFERROR(IF($B6164=O$1, ($A6164+$C6164) - MAX(IF($B$2:$B6163=$B6164, $A$2:$A6163+$C$2:$C6163)), "")*24*60, "")</f>
        <v/>
      </c>
      <c r="P6164" s="24" t="str" cm="1">
        <f t="array" ref="P6164">IFERROR(IF($B6164=P$1, ($A6164+$C6164) - MAX(IF($B$2:$B6163=$B6164, $A$2:$A6163+$C$2:$C6163)), "")*24*60, "")</f>
        <v/>
      </c>
      <c r="Q6164" s="24" t="str" cm="1">
        <f t="array" ref="Q6164">IFERROR(IF($B6164=Q$1, ($A6164+$C6164) - MAX(IF($B$2:$B6163=$B6164, $A$2:$A6163+$C$2:$C6163)), "")*24*60, "")</f>
        <v/>
      </c>
      <c r="R6164" s="24" t="str" cm="1">
        <f t="array" ref="R6164">IFERROR(IF($B6164=R$1, ($A6164+$C6164) - MAX(IF($B$2:$B6163=$B6164, $A$2:$A6163+$C$2:$C6163)), "")*24*60, "")</f>
        <v/>
      </c>
      <c r="S6164" s="24" t="str" cm="1">
        <f t="array" ref="S6164">IFERROR(IF($B6164=S$1, ($A6164+$C6164) - MAX(IF($B$2:$B6163=$B6164, $A$2:$A6163+$C$2:$C6163)), "")*24*60, "")</f>
        <v/>
      </c>
    </row>
    <row r="6165" spans="1:19" x14ac:dyDescent="0.2">
      <c r="A6165" s="12">
        <f t="shared" ref="A6165:C6165" si="1308">A6164</f>
        <v>45987</v>
      </c>
      <c r="B6165" s="5" t="str">
        <f t="shared" si="1308"/>
        <v>Northern Cardinal</v>
      </c>
      <c r="C6165" s="6">
        <f t="shared" si="1308"/>
        <v>0.28611111111111109</v>
      </c>
      <c r="D6165" s="5"/>
      <c r="E6165" s="5"/>
      <c r="F6165" s="5" t="s">
        <v>8</v>
      </c>
      <c r="G6165" s="15" t="s">
        <v>9</v>
      </c>
      <c r="H6165" s="24">
        <f t="shared" si="1249"/>
        <v>0</v>
      </c>
      <c r="I6165" s="24" cm="1">
        <f t="array" ref="I6165">IFERROR(IF($B6165=I$1, ($A6165+$C6165) - MAX(IF($B$2:$B6164=$B6165, $A$2:$A6164+$C$2:$C6164)), "")*24*60, "")</f>
        <v>0</v>
      </c>
      <c r="J6165" s="24" t="str" cm="1">
        <f t="array" ref="J6165">IFERROR(IF($B6165=J$1, ($A6165+$C6165) - MAX(IF($B$2:$B6164=$B6165, $A$2:$A6164+$C$2:$C6164)), "")*24*60, "")</f>
        <v/>
      </c>
      <c r="K6165" s="24" t="str" cm="1">
        <f t="array" ref="K6165">IFERROR(IF($B6165=K$1, ($A6165+$C6165) - MAX(IF($B$2:$B6164=$B6165, $A$2:$A6164+$C$2:$C6164)), "")*24*60, "")</f>
        <v/>
      </c>
      <c r="L6165" s="24" t="str" cm="1">
        <f t="array" ref="L6165">IFERROR(IF($B6165=L$1, ($A6165+$C6165) - MAX(IF($B$2:$B6164=$B6165, $A$2:$A6164+$C$2:$C6164)), "")*24*60, "")</f>
        <v/>
      </c>
      <c r="M6165" s="24" t="str" cm="1">
        <f t="array" ref="M6165">IFERROR(IF($B6165=M$1, ($A6165+$C6165) - MAX(IF($B$2:$B6164=$B6165, $A$2:$A6164+$C$2:$C6164)), "")*24*60, "")</f>
        <v/>
      </c>
      <c r="N6165" s="24" t="str" cm="1">
        <f t="array" ref="N6165">IFERROR(IF($B6165=N$1, ($A6165+$C6165) - MAX(IF($B$2:$B6164=$B6165, $A$2:$A6164+$C$2:$C6164)), "")*24*60, "")</f>
        <v/>
      </c>
      <c r="O6165" s="24" t="str" cm="1">
        <f t="array" ref="O6165">IFERROR(IF($B6165=O$1, ($A6165+$C6165) - MAX(IF($B$2:$B6164=$B6165, $A$2:$A6164+$C$2:$C6164)), "")*24*60, "")</f>
        <v/>
      </c>
      <c r="P6165" s="24" t="str" cm="1">
        <f t="array" ref="P6165">IFERROR(IF($B6165=P$1, ($A6165+$C6165) - MAX(IF($B$2:$B6164=$B6165, $A$2:$A6164+$C$2:$C6164)), "")*24*60, "")</f>
        <v/>
      </c>
      <c r="Q6165" s="24" t="str" cm="1">
        <f t="array" ref="Q6165">IFERROR(IF($B6165=Q$1, ($A6165+$C6165) - MAX(IF($B$2:$B6164=$B6165, $A$2:$A6164+$C$2:$C6164)), "")*24*60, "")</f>
        <v/>
      </c>
      <c r="R6165" s="24" t="str" cm="1">
        <f t="array" ref="R6165">IFERROR(IF($B6165=R$1, ($A6165+$C6165) - MAX(IF($B$2:$B6164=$B6165, $A$2:$A6164+$C$2:$C6164)), "")*24*60, "")</f>
        <v/>
      </c>
      <c r="S6165" s="24" t="str" cm="1">
        <f t="array" ref="S6165">IFERROR(IF($B6165=S$1, ($A6165+$C6165) - MAX(IF($B$2:$B6164=$B6165, $A$2:$A6164+$C$2:$C6164)), "")*24*60, "")</f>
        <v/>
      </c>
    </row>
    <row r="6166" spans="1:19" x14ac:dyDescent="0.2">
      <c r="A6166" s="12">
        <f t="shared" ref="A6166:C6166" si="1309">A6165</f>
        <v>45987</v>
      </c>
      <c r="B6166" s="5" t="str">
        <f t="shared" si="1309"/>
        <v>Northern Cardinal</v>
      </c>
      <c r="C6166" s="6">
        <f t="shared" si="1309"/>
        <v>0.28611111111111109</v>
      </c>
      <c r="D6166" s="5"/>
      <c r="E6166" s="5"/>
      <c r="F6166" s="5" t="s">
        <v>8</v>
      </c>
      <c r="G6166" s="15" t="s">
        <v>9</v>
      </c>
      <c r="H6166" s="24">
        <f t="shared" si="1249"/>
        <v>0</v>
      </c>
      <c r="I6166" s="24" cm="1">
        <f t="array" ref="I6166">IFERROR(IF($B6166=I$1, ($A6166+$C6166) - MAX(IF($B$2:$B6165=$B6166, $A$2:$A6165+$C$2:$C6165)), "")*24*60, "")</f>
        <v>0</v>
      </c>
      <c r="J6166" s="24" t="str" cm="1">
        <f t="array" ref="J6166">IFERROR(IF($B6166=J$1, ($A6166+$C6166) - MAX(IF($B$2:$B6165=$B6166, $A$2:$A6165+$C$2:$C6165)), "")*24*60, "")</f>
        <v/>
      </c>
      <c r="K6166" s="24" t="str" cm="1">
        <f t="array" ref="K6166">IFERROR(IF($B6166=K$1, ($A6166+$C6166) - MAX(IF($B$2:$B6165=$B6166, $A$2:$A6165+$C$2:$C6165)), "")*24*60, "")</f>
        <v/>
      </c>
      <c r="L6166" s="24" t="str" cm="1">
        <f t="array" ref="L6166">IFERROR(IF($B6166=L$1, ($A6166+$C6166) - MAX(IF($B$2:$B6165=$B6166, $A$2:$A6165+$C$2:$C6165)), "")*24*60, "")</f>
        <v/>
      </c>
      <c r="M6166" s="24" t="str" cm="1">
        <f t="array" ref="M6166">IFERROR(IF($B6166=M$1, ($A6166+$C6166) - MAX(IF($B$2:$B6165=$B6166, $A$2:$A6165+$C$2:$C6165)), "")*24*60, "")</f>
        <v/>
      </c>
      <c r="N6166" s="24" t="str" cm="1">
        <f t="array" ref="N6166">IFERROR(IF($B6166=N$1, ($A6166+$C6166) - MAX(IF($B$2:$B6165=$B6166, $A$2:$A6165+$C$2:$C6165)), "")*24*60, "")</f>
        <v/>
      </c>
      <c r="O6166" s="24" t="str" cm="1">
        <f t="array" ref="O6166">IFERROR(IF($B6166=O$1, ($A6166+$C6166) - MAX(IF($B$2:$B6165=$B6166, $A$2:$A6165+$C$2:$C6165)), "")*24*60, "")</f>
        <v/>
      </c>
      <c r="P6166" s="24" t="str" cm="1">
        <f t="array" ref="P6166">IFERROR(IF($B6166=P$1, ($A6166+$C6166) - MAX(IF($B$2:$B6165=$B6166, $A$2:$A6165+$C$2:$C6165)), "")*24*60, "")</f>
        <v/>
      </c>
      <c r="Q6166" s="24" t="str" cm="1">
        <f t="array" ref="Q6166">IFERROR(IF($B6166=Q$1, ($A6166+$C6166) - MAX(IF($B$2:$B6165=$B6166, $A$2:$A6165+$C$2:$C6165)), "")*24*60, "")</f>
        <v/>
      </c>
      <c r="R6166" s="24" t="str" cm="1">
        <f t="array" ref="R6166">IFERROR(IF($B6166=R$1, ($A6166+$C6166) - MAX(IF($B$2:$B6165=$B6166, $A$2:$A6165+$C$2:$C6165)), "")*24*60, "")</f>
        <v/>
      </c>
      <c r="S6166" s="24" t="str" cm="1">
        <f t="array" ref="S6166">IFERROR(IF($B6166=S$1, ($A6166+$C6166) - MAX(IF($B$2:$B6165=$B6166, $A$2:$A6165+$C$2:$C6165)), "")*24*60, "")</f>
        <v/>
      </c>
    </row>
    <row r="6167" spans="1:19" x14ac:dyDescent="0.2">
      <c r="A6167" s="12">
        <f t="shared" ref="A6167:C6167" si="1310">A6166</f>
        <v>45987</v>
      </c>
      <c r="B6167" s="5" t="str">
        <f t="shared" si="1310"/>
        <v>Northern Cardinal</v>
      </c>
      <c r="C6167" s="6">
        <f t="shared" si="1310"/>
        <v>0.28611111111111109</v>
      </c>
      <c r="D6167" s="5"/>
      <c r="E6167" s="5"/>
      <c r="F6167" s="5" t="s">
        <v>8</v>
      </c>
      <c r="G6167" s="15" t="s">
        <v>9</v>
      </c>
      <c r="H6167" s="24">
        <f t="shared" si="1249"/>
        <v>0</v>
      </c>
      <c r="I6167" s="24" cm="1">
        <f t="array" ref="I6167">IFERROR(IF($B6167=I$1, ($A6167+$C6167) - MAX(IF($B$2:$B6166=$B6167, $A$2:$A6166+$C$2:$C6166)), "")*24*60, "")</f>
        <v>0</v>
      </c>
      <c r="J6167" s="24" t="str" cm="1">
        <f t="array" ref="J6167">IFERROR(IF($B6167=J$1, ($A6167+$C6167) - MAX(IF($B$2:$B6166=$B6167, $A$2:$A6166+$C$2:$C6166)), "")*24*60, "")</f>
        <v/>
      </c>
      <c r="K6167" s="24" t="str" cm="1">
        <f t="array" ref="K6167">IFERROR(IF($B6167=K$1, ($A6167+$C6167) - MAX(IF($B$2:$B6166=$B6167, $A$2:$A6166+$C$2:$C6166)), "")*24*60, "")</f>
        <v/>
      </c>
      <c r="L6167" s="24" t="str" cm="1">
        <f t="array" ref="L6167">IFERROR(IF($B6167=L$1, ($A6167+$C6167) - MAX(IF($B$2:$B6166=$B6167, $A$2:$A6166+$C$2:$C6166)), "")*24*60, "")</f>
        <v/>
      </c>
      <c r="M6167" s="24" t="str" cm="1">
        <f t="array" ref="M6167">IFERROR(IF($B6167=M$1, ($A6167+$C6167) - MAX(IF($B$2:$B6166=$B6167, $A$2:$A6166+$C$2:$C6166)), "")*24*60, "")</f>
        <v/>
      </c>
      <c r="N6167" s="24" t="str" cm="1">
        <f t="array" ref="N6167">IFERROR(IF($B6167=N$1, ($A6167+$C6167) - MAX(IF($B$2:$B6166=$B6167, $A$2:$A6166+$C$2:$C6166)), "")*24*60, "")</f>
        <v/>
      </c>
      <c r="O6167" s="24" t="str" cm="1">
        <f t="array" ref="O6167">IFERROR(IF($B6167=O$1, ($A6167+$C6167) - MAX(IF($B$2:$B6166=$B6167, $A$2:$A6166+$C$2:$C6166)), "")*24*60, "")</f>
        <v/>
      </c>
      <c r="P6167" s="24" t="str" cm="1">
        <f t="array" ref="P6167">IFERROR(IF($B6167=P$1, ($A6167+$C6167) - MAX(IF($B$2:$B6166=$B6167, $A$2:$A6166+$C$2:$C6166)), "")*24*60, "")</f>
        <v/>
      </c>
      <c r="Q6167" s="24" t="str" cm="1">
        <f t="array" ref="Q6167">IFERROR(IF($B6167=Q$1, ($A6167+$C6167) - MAX(IF($B$2:$B6166=$B6167, $A$2:$A6166+$C$2:$C6166)), "")*24*60, "")</f>
        <v/>
      </c>
      <c r="R6167" s="24" t="str" cm="1">
        <f t="array" ref="R6167">IFERROR(IF($B6167=R$1, ($A6167+$C6167) - MAX(IF($B$2:$B6166=$B6167, $A$2:$A6166+$C$2:$C6166)), "")*24*60, "")</f>
        <v/>
      </c>
      <c r="S6167" s="24" t="str" cm="1">
        <f t="array" ref="S6167">IFERROR(IF($B6167=S$1, ($A6167+$C6167) - MAX(IF($B$2:$B6166=$B6167, $A$2:$A6166+$C$2:$C6166)), "")*24*60, "")</f>
        <v/>
      </c>
    </row>
    <row r="6168" spans="1:19" x14ac:dyDescent="0.2">
      <c r="A6168" s="12">
        <f t="shared" ref="A6168:C6168" si="1311">A6167</f>
        <v>45987</v>
      </c>
      <c r="B6168" s="5" t="str">
        <f t="shared" si="1311"/>
        <v>Northern Cardinal</v>
      </c>
      <c r="C6168" s="6">
        <f t="shared" si="1311"/>
        <v>0.28611111111111109</v>
      </c>
      <c r="D6168" s="5"/>
      <c r="E6168" s="5"/>
      <c r="F6168" s="5" t="s">
        <v>8</v>
      </c>
      <c r="G6168" s="15" t="s">
        <v>9</v>
      </c>
      <c r="H6168" s="24">
        <f t="shared" si="1249"/>
        <v>0</v>
      </c>
      <c r="I6168" s="24" cm="1">
        <f t="array" ref="I6168">IFERROR(IF($B6168=I$1, ($A6168+$C6168) - MAX(IF($B$2:$B6167=$B6168, $A$2:$A6167+$C$2:$C6167)), "")*24*60, "")</f>
        <v>0</v>
      </c>
      <c r="J6168" s="24" t="str" cm="1">
        <f t="array" ref="J6168">IFERROR(IF($B6168=J$1, ($A6168+$C6168) - MAX(IF($B$2:$B6167=$B6168, $A$2:$A6167+$C$2:$C6167)), "")*24*60, "")</f>
        <v/>
      </c>
      <c r="K6168" s="24" t="str" cm="1">
        <f t="array" ref="K6168">IFERROR(IF($B6168=K$1, ($A6168+$C6168) - MAX(IF($B$2:$B6167=$B6168, $A$2:$A6167+$C$2:$C6167)), "")*24*60, "")</f>
        <v/>
      </c>
      <c r="L6168" s="24" t="str" cm="1">
        <f t="array" ref="L6168">IFERROR(IF($B6168=L$1, ($A6168+$C6168) - MAX(IF($B$2:$B6167=$B6168, $A$2:$A6167+$C$2:$C6167)), "")*24*60, "")</f>
        <v/>
      </c>
      <c r="M6168" s="24" t="str" cm="1">
        <f t="array" ref="M6168">IFERROR(IF($B6168=M$1, ($A6168+$C6168) - MAX(IF($B$2:$B6167=$B6168, $A$2:$A6167+$C$2:$C6167)), "")*24*60, "")</f>
        <v/>
      </c>
      <c r="N6168" s="24" t="str" cm="1">
        <f t="array" ref="N6168">IFERROR(IF($B6168=N$1, ($A6168+$C6168) - MAX(IF($B$2:$B6167=$B6168, $A$2:$A6167+$C$2:$C6167)), "")*24*60, "")</f>
        <v/>
      </c>
      <c r="O6168" s="24" t="str" cm="1">
        <f t="array" ref="O6168">IFERROR(IF($B6168=O$1, ($A6168+$C6168) - MAX(IF($B$2:$B6167=$B6168, $A$2:$A6167+$C$2:$C6167)), "")*24*60, "")</f>
        <v/>
      </c>
      <c r="P6168" s="24" t="str" cm="1">
        <f t="array" ref="P6168">IFERROR(IF($B6168=P$1, ($A6168+$C6168) - MAX(IF($B$2:$B6167=$B6168, $A$2:$A6167+$C$2:$C6167)), "")*24*60, "")</f>
        <v/>
      </c>
      <c r="Q6168" s="24" t="str" cm="1">
        <f t="array" ref="Q6168">IFERROR(IF($B6168=Q$1, ($A6168+$C6168) - MAX(IF($B$2:$B6167=$B6168, $A$2:$A6167+$C$2:$C6167)), "")*24*60, "")</f>
        <v/>
      </c>
      <c r="R6168" s="24" t="str" cm="1">
        <f t="array" ref="R6168">IFERROR(IF($B6168=R$1, ($A6168+$C6168) - MAX(IF($B$2:$B6167=$B6168, $A$2:$A6167+$C$2:$C6167)), "")*24*60, "")</f>
        <v/>
      </c>
      <c r="S6168" s="24" t="str" cm="1">
        <f t="array" ref="S6168">IFERROR(IF($B6168=S$1, ($A6168+$C6168) - MAX(IF($B$2:$B6167=$B6168, $A$2:$A6167+$C$2:$C6167)), "")*24*60, "")</f>
        <v/>
      </c>
    </row>
    <row r="6169" spans="1:19" x14ac:dyDescent="0.2">
      <c r="A6169" s="12">
        <f t="shared" ref="A6169:C6169" si="1312">A6168</f>
        <v>45987</v>
      </c>
      <c r="B6169" s="5" t="str">
        <f t="shared" si="1312"/>
        <v>Northern Cardinal</v>
      </c>
      <c r="C6169" s="6">
        <f t="shared" si="1312"/>
        <v>0.28611111111111109</v>
      </c>
      <c r="D6169" s="5"/>
      <c r="E6169" s="5"/>
      <c r="F6169" s="5" t="s">
        <v>8</v>
      </c>
      <c r="G6169" s="15" t="s">
        <v>9</v>
      </c>
      <c r="H6169" s="24">
        <f t="shared" si="1249"/>
        <v>0</v>
      </c>
      <c r="I6169" s="24" cm="1">
        <f t="array" ref="I6169">IFERROR(IF($B6169=I$1, ($A6169+$C6169) - MAX(IF($B$2:$B6168=$B6169, $A$2:$A6168+$C$2:$C6168)), "")*24*60, "")</f>
        <v>0</v>
      </c>
      <c r="J6169" s="24" t="str" cm="1">
        <f t="array" ref="J6169">IFERROR(IF($B6169=J$1, ($A6169+$C6169) - MAX(IF($B$2:$B6168=$B6169, $A$2:$A6168+$C$2:$C6168)), "")*24*60, "")</f>
        <v/>
      </c>
      <c r="K6169" s="24" t="str" cm="1">
        <f t="array" ref="K6169">IFERROR(IF($B6169=K$1, ($A6169+$C6169) - MAX(IF($B$2:$B6168=$B6169, $A$2:$A6168+$C$2:$C6168)), "")*24*60, "")</f>
        <v/>
      </c>
      <c r="L6169" s="24" t="str" cm="1">
        <f t="array" ref="L6169">IFERROR(IF($B6169=L$1, ($A6169+$C6169) - MAX(IF($B$2:$B6168=$B6169, $A$2:$A6168+$C$2:$C6168)), "")*24*60, "")</f>
        <v/>
      </c>
      <c r="M6169" s="24" t="str" cm="1">
        <f t="array" ref="M6169">IFERROR(IF($B6169=M$1, ($A6169+$C6169) - MAX(IF($B$2:$B6168=$B6169, $A$2:$A6168+$C$2:$C6168)), "")*24*60, "")</f>
        <v/>
      </c>
      <c r="N6169" s="24" t="str" cm="1">
        <f t="array" ref="N6169">IFERROR(IF($B6169=N$1, ($A6169+$C6169) - MAX(IF($B$2:$B6168=$B6169, $A$2:$A6168+$C$2:$C6168)), "")*24*60, "")</f>
        <v/>
      </c>
      <c r="O6169" s="24" t="str" cm="1">
        <f t="array" ref="O6169">IFERROR(IF($B6169=O$1, ($A6169+$C6169) - MAX(IF($B$2:$B6168=$B6169, $A$2:$A6168+$C$2:$C6168)), "")*24*60, "")</f>
        <v/>
      </c>
      <c r="P6169" s="24" t="str" cm="1">
        <f t="array" ref="P6169">IFERROR(IF($B6169=P$1, ($A6169+$C6169) - MAX(IF($B$2:$B6168=$B6169, $A$2:$A6168+$C$2:$C6168)), "")*24*60, "")</f>
        <v/>
      </c>
      <c r="Q6169" s="24" t="str" cm="1">
        <f t="array" ref="Q6169">IFERROR(IF($B6169=Q$1, ($A6169+$C6169) - MAX(IF($B$2:$B6168=$B6169, $A$2:$A6168+$C$2:$C6168)), "")*24*60, "")</f>
        <v/>
      </c>
      <c r="R6169" s="24" t="str" cm="1">
        <f t="array" ref="R6169">IFERROR(IF($B6169=R$1, ($A6169+$C6169) - MAX(IF($B$2:$B6168=$B6169, $A$2:$A6168+$C$2:$C6168)), "")*24*60, "")</f>
        <v/>
      </c>
      <c r="S6169" s="24" t="str" cm="1">
        <f t="array" ref="S6169">IFERROR(IF($B6169=S$1, ($A6169+$C6169) - MAX(IF($B$2:$B6168=$B6169, $A$2:$A6168+$C$2:$C6168)), "")*24*60, "")</f>
        <v/>
      </c>
    </row>
    <row r="6170" spans="1:19" x14ac:dyDescent="0.2">
      <c r="A6170" s="12">
        <f t="shared" ref="A6170:C6170" si="1313">A6169</f>
        <v>45987</v>
      </c>
      <c r="B6170" s="5" t="str">
        <f t="shared" si="1313"/>
        <v>Northern Cardinal</v>
      </c>
      <c r="C6170" s="6">
        <f t="shared" si="1313"/>
        <v>0.28611111111111109</v>
      </c>
      <c r="D6170" s="5"/>
      <c r="E6170" s="5"/>
      <c r="F6170" s="5" t="s">
        <v>8</v>
      </c>
      <c r="G6170" s="15" t="s">
        <v>9</v>
      </c>
      <c r="H6170" s="24">
        <f t="shared" ref="H6170:H6233" si="1314">IFERROR((($A6170+$C6170) - ($A6169+$C6169))*24*60, "")</f>
        <v>0</v>
      </c>
      <c r="I6170" s="24" cm="1">
        <f t="array" ref="I6170">IFERROR(IF($B6170=I$1, ($A6170+$C6170) - MAX(IF($B$2:$B6169=$B6170, $A$2:$A6169+$C$2:$C6169)), "")*24*60, "")</f>
        <v>0</v>
      </c>
      <c r="J6170" s="24" t="str" cm="1">
        <f t="array" ref="J6170">IFERROR(IF($B6170=J$1, ($A6170+$C6170) - MAX(IF($B$2:$B6169=$B6170, $A$2:$A6169+$C$2:$C6169)), "")*24*60, "")</f>
        <v/>
      </c>
      <c r="K6170" s="24" t="str" cm="1">
        <f t="array" ref="K6170">IFERROR(IF($B6170=K$1, ($A6170+$C6170) - MAX(IF($B$2:$B6169=$B6170, $A$2:$A6169+$C$2:$C6169)), "")*24*60, "")</f>
        <v/>
      </c>
      <c r="L6170" s="24" t="str" cm="1">
        <f t="array" ref="L6170">IFERROR(IF($B6170=L$1, ($A6170+$C6170) - MAX(IF($B$2:$B6169=$B6170, $A$2:$A6169+$C$2:$C6169)), "")*24*60, "")</f>
        <v/>
      </c>
      <c r="M6170" s="24" t="str" cm="1">
        <f t="array" ref="M6170">IFERROR(IF($B6170=M$1, ($A6170+$C6170) - MAX(IF($B$2:$B6169=$B6170, $A$2:$A6169+$C$2:$C6169)), "")*24*60, "")</f>
        <v/>
      </c>
      <c r="N6170" s="24" t="str" cm="1">
        <f t="array" ref="N6170">IFERROR(IF($B6170=N$1, ($A6170+$C6170) - MAX(IF($B$2:$B6169=$B6170, $A$2:$A6169+$C$2:$C6169)), "")*24*60, "")</f>
        <v/>
      </c>
      <c r="O6170" s="24" t="str" cm="1">
        <f t="array" ref="O6170">IFERROR(IF($B6170=O$1, ($A6170+$C6170) - MAX(IF($B$2:$B6169=$B6170, $A$2:$A6169+$C$2:$C6169)), "")*24*60, "")</f>
        <v/>
      </c>
      <c r="P6170" s="24" t="str" cm="1">
        <f t="array" ref="P6170">IFERROR(IF($B6170=P$1, ($A6170+$C6170) - MAX(IF($B$2:$B6169=$B6170, $A$2:$A6169+$C$2:$C6169)), "")*24*60, "")</f>
        <v/>
      </c>
      <c r="Q6170" s="24" t="str" cm="1">
        <f t="array" ref="Q6170">IFERROR(IF($B6170=Q$1, ($A6170+$C6170) - MAX(IF($B$2:$B6169=$B6170, $A$2:$A6169+$C$2:$C6169)), "")*24*60, "")</f>
        <v/>
      </c>
      <c r="R6170" s="24" t="str" cm="1">
        <f t="array" ref="R6170">IFERROR(IF($B6170=R$1, ($A6170+$C6170) - MAX(IF($B$2:$B6169=$B6170, $A$2:$A6169+$C$2:$C6169)), "")*24*60, "")</f>
        <v/>
      </c>
      <c r="S6170" s="24" t="str" cm="1">
        <f t="array" ref="S6170">IFERROR(IF($B6170=S$1, ($A6170+$C6170) - MAX(IF($B$2:$B6169=$B6170, $A$2:$A6169+$C$2:$C6169)), "")*24*60, "")</f>
        <v/>
      </c>
    </row>
    <row r="6171" spans="1:19" x14ac:dyDescent="0.2">
      <c r="A6171" s="12">
        <f t="shared" ref="A6171:C6171" si="1315">A6170</f>
        <v>45987</v>
      </c>
      <c r="B6171" s="5" t="str">
        <f t="shared" si="1315"/>
        <v>Northern Cardinal</v>
      </c>
      <c r="C6171" s="6">
        <f t="shared" si="1315"/>
        <v>0.28611111111111109</v>
      </c>
      <c r="D6171" s="5"/>
      <c r="E6171" s="5"/>
      <c r="F6171" s="5" t="s">
        <v>8</v>
      </c>
      <c r="G6171" s="15" t="s">
        <v>9</v>
      </c>
      <c r="H6171" s="24">
        <f t="shared" si="1314"/>
        <v>0</v>
      </c>
      <c r="I6171" s="24" cm="1">
        <f t="array" ref="I6171">IFERROR(IF($B6171=I$1, ($A6171+$C6171) - MAX(IF($B$2:$B6170=$B6171, $A$2:$A6170+$C$2:$C6170)), "")*24*60, "")</f>
        <v>0</v>
      </c>
      <c r="J6171" s="24" t="str" cm="1">
        <f t="array" ref="J6171">IFERROR(IF($B6171=J$1, ($A6171+$C6171) - MAX(IF($B$2:$B6170=$B6171, $A$2:$A6170+$C$2:$C6170)), "")*24*60, "")</f>
        <v/>
      </c>
      <c r="K6171" s="24" t="str" cm="1">
        <f t="array" ref="K6171">IFERROR(IF($B6171=K$1, ($A6171+$C6171) - MAX(IF($B$2:$B6170=$B6171, $A$2:$A6170+$C$2:$C6170)), "")*24*60, "")</f>
        <v/>
      </c>
      <c r="L6171" s="24" t="str" cm="1">
        <f t="array" ref="L6171">IFERROR(IF($B6171=L$1, ($A6171+$C6171) - MAX(IF($B$2:$B6170=$B6171, $A$2:$A6170+$C$2:$C6170)), "")*24*60, "")</f>
        <v/>
      </c>
      <c r="M6171" s="24" t="str" cm="1">
        <f t="array" ref="M6171">IFERROR(IF($B6171=M$1, ($A6171+$C6171) - MAX(IF($B$2:$B6170=$B6171, $A$2:$A6170+$C$2:$C6170)), "")*24*60, "")</f>
        <v/>
      </c>
      <c r="N6171" s="24" t="str" cm="1">
        <f t="array" ref="N6171">IFERROR(IF($B6171=N$1, ($A6171+$C6171) - MAX(IF($B$2:$B6170=$B6171, $A$2:$A6170+$C$2:$C6170)), "")*24*60, "")</f>
        <v/>
      </c>
      <c r="O6171" s="24" t="str" cm="1">
        <f t="array" ref="O6171">IFERROR(IF($B6171=O$1, ($A6171+$C6171) - MAX(IF($B$2:$B6170=$B6171, $A$2:$A6170+$C$2:$C6170)), "")*24*60, "")</f>
        <v/>
      </c>
      <c r="P6171" s="24" t="str" cm="1">
        <f t="array" ref="P6171">IFERROR(IF($B6171=P$1, ($A6171+$C6171) - MAX(IF($B$2:$B6170=$B6171, $A$2:$A6170+$C$2:$C6170)), "")*24*60, "")</f>
        <v/>
      </c>
      <c r="Q6171" s="24" t="str" cm="1">
        <f t="array" ref="Q6171">IFERROR(IF($B6171=Q$1, ($A6171+$C6171) - MAX(IF($B$2:$B6170=$B6171, $A$2:$A6170+$C$2:$C6170)), "")*24*60, "")</f>
        <v/>
      </c>
      <c r="R6171" s="24" t="str" cm="1">
        <f t="array" ref="R6171">IFERROR(IF($B6171=R$1, ($A6171+$C6171) - MAX(IF($B$2:$B6170=$B6171, $A$2:$A6170+$C$2:$C6170)), "")*24*60, "")</f>
        <v/>
      </c>
      <c r="S6171" s="24" t="str" cm="1">
        <f t="array" ref="S6171">IFERROR(IF($B6171=S$1, ($A6171+$C6171) - MAX(IF($B$2:$B6170=$B6171, $A$2:$A6170+$C$2:$C6170)), "")*24*60, "")</f>
        <v/>
      </c>
    </row>
    <row r="6172" spans="1:19" x14ac:dyDescent="0.2">
      <c r="A6172" s="12">
        <f t="shared" ref="A6172:C6172" si="1316">A6171</f>
        <v>45987</v>
      </c>
      <c r="B6172" s="5" t="str">
        <f t="shared" si="1316"/>
        <v>Northern Cardinal</v>
      </c>
      <c r="C6172" s="6">
        <f t="shared" si="1316"/>
        <v>0.28611111111111109</v>
      </c>
      <c r="D6172" s="5"/>
      <c r="E6172" s="5"/>
      <c r="F6172" s="5" t="s">
        <v>8</v>
      </c>
      <c r="G6172" s="15" t="s">
        <v>9</v>
      </c>
      <c r="H6172" s="24">
        <f t="shared" si="1314"/>
        <v>0</v>
      </c>
      <c r="I6172" s="24" cm="1">
        <f t="array" ref="I6172">IFERROR(IF($B6172=I$1, ($A6172+$C6172) - MAX(IF($B$2:$B6171=$B6172, $A$2:$A6171+$C$2:$C6171)), "")*24*60, "")</f>
        <v>0</v>
      </c>
      <c r="J6172" s="24" t="str" cm="1">
        <f t="array" ref="J6172">IFERROR(IF($B6172=J$1, ($A6172+$C6172) - MAX(IF($B$2:$B6171=$B6172, $A$2:$A6171+$C$2:$C6171)), "")*24*60, "")</f>
        <v/>
      </c>
      <c r="K6172" s="24" t="str" cm="1">
        <f t="array" ref="K6172">IFERROR(IF($B6172=K$1, ($A6172+$C6172) - MAX(IF($B$2:$B6171=$B6172, $A$2:$A6171+$C$2:$C6171)), "")*24*60, "")</f>
        <v/>
      </c>
      <c r="L6172" s="24" t="str" cm="1">
        <f t="array" ref="L6172">IFERROR(IF($B6172=L$1, ($A6172+$C6172) - MAX(IF($B$2:$B6171=$B6172, $A$2:$A6171+$C$2:$C6171)), "")*24*60, "")</f>
        <v/>
      </c>
      <c r="M6172" s="24" t="str" cm="1">
        <f t="array" ref="M6172">IFERROR(IF($B6172=M$1, ($A6172+$C6172) - MAX(IF($B$2:$B6171=$B6172, $A$2:$A6171+$C$2:$C6171)), "")*24*60, "")</f>
        <v/>
      </c>
      <c r="N6172" s="24" t="str" cm="1">
        <f t="array" ref="N6172">IFERROR(IF($B6172=N$1, ($A6172+$C6172) - MAX(IF($B$2:$B6171=$B6172, $A$2:$A6171+$C$2:$C6171)), "")*24*60, "")</f>
        <v/>
      </c>
      <c r="O6172" s="24" t="str" cm="1">
        <f t="array" ref="O6172">IFERROR(IF($B6172=O$1, ($A6172+$C6172) - MAX(IF($B$2:$B6171=$B6172, $A$2:$A6171+$C$2:$C6171)), "")*24*60, "")</f>
        <v/>
      </c>
      <c r="P6172" s="24" t="str" cm="1">
        <f t="array" ref="P6172">IFERROR(IF($B6172=P$1, ($A6172+$C6172) - MAX(IF($B$2:$B6171=$B6172, $A$2:$A6171+$C$2:$C6171)), "")*24*60, "")</f>
        <v/>
      </c>
      <c r="Q6172" s="24" t="str" cm="1">
        <f t="array" ref="Q6172">IFERROR(IF($B6172=Q$1, ($A6172+$C6172) - MAX(IF($B$2:$B6171=$B6172, $A$2:$A6171+$C$2:$C6171)), "")*24*60, "")</f>
        <v/>
      </c>
      <c r="R6172" s="24" t="str" cm="1">
        <f t="array" ref="R6172">IFERROR(IF($B6172=R$1, ($A6172+$C6172) - MAX(IF($B$2:$B6171=$B6172, $A$2:$A6171+$C$2:$C6171)), "")*24*60, "")</f>
        <v/>
      </c>
      <c r="S6172" s="24" t="str" cm="1">
        <f t="array" ref="S6172">IFERROR(IF($B6172=S$1, ($A6172+$C6172) - MAX(IF($B$2:$B6171=$B6172, $A$2:$A6171+$C$2:$C6171)), "")*24*60, "")</f>
        <v/>
      </c>
    </row>
    <row r="6173" spans="1:19" x14ac:dyDescent="0.2">
      <c r="A6173" s="12">
        <f t="shared" ref="A6173:C6173" si="1317">A6172</f>
        <v>45987</v>
      </c>
      <c r="B6173" s="5" t="str">
        <f t="shared" si="1317"/>
        <v>Northern Cardinal</v>
      </c>
      <c r="C6173" s="6">
        <f t="shared" si="1317"/>
        <v>0.28611111111111109</v>
      </c>
      <c r="D6173" s="5"/>
      <c r="E6173" s="5"/>
      <c r="F6173" s="5" t="s">
        <v>8</v>
      </c>
      <c r="G6173" s="15" t="s">
        <v>9</v>
      </c>
      <c r="H6173" s="24">
        <f t="shared" si="1314"/>
        <v>0</v>
      </c>
      <c r="I6173" s="24" cm="1">
        <f t="array" ref="I6173">IFERROR(IF($B6173=I$1, ($A6173+$C6173) - MAX(IF($B$2:$B6172=$B6173, $A$2:$A6172+$C$2:$C6172)), "")*24*60, "")</f>
        <v>0</v>
      </c>
      <c r="J6173" s="24" t="str" cm="1">
        <f t="array" ref="J6173">IFERROR(IF($B6173=J$1, ($A6173+$C6173) - MAX(IF($B$2:$B6172=$B6173, $A$2:$A6172+$C$2:$C6172)), "")*24*60, "")</f>
        <v/>
      </c>
      <c r="K6173" s="24" t="str" cm="1">
        <f t="array" ref="K6173">IFERROR(IF($B6173=K$1, ($A6173+$C6173) - MAX(IF($B$2:$B6172=$B6173, $A$2:$A6172+$C$2:$C6172)), "")*24*60, "")</f>
        <v/>
      </c>
      <c r="L6173" s="24" t="str" cm="1">
        <f t="array" ref="L6173">IFERROR(IF($B6173=L$1, ($A6173+$C6173) - MAX(IF($B$2:$B6172=$B6173, $A$2:$A6172+$C$2:$C6172)), "")*24*60, "")</f>
        <v/>
      </c>
      <c r="M6173" s="24" t="str" cm="1">
        <f t="array" ref="M6173">IFERROR(IF($B6173=M$1, ($A6173+$C6173) - MAX(IF($B$2:$B6172=$B6173, $A$2:$A6172+$C$2:$C6172)), "")*24*60, "")</f>
        <v/>
      </c>
      <c r="N6173" s="24" t="str" cm="1">
        <f t="array" ref="N6173">IFERROR(IF($B6173=N$1, ($A6173+$C6173) - MAX(IF($B$2:$B6172=$B6173, $A$2:$A6172+$C$2:$C6172)), "")*24*60, "")</f>
        <v/>
      </c>
      <c r="O6173" s="24" t="str" cm="1">
        <f t="array" ref="O6173">IFERROR(IF($B6173=O$1, ($A6173+$C6173) - MAX(IF($B$2:$B6172=$B6173, $A$2:$A6172+$C$2:$C6172)), "")*24*60, "")</f>
        <v/>
      </c>
      <c r="P6173" s="24" t="str" cm="1">
        <f t="array" ref="P6173">IFERROR(IF($B6173=P$1, ($A6173+$C6173) - MAX(IF($B$2:$B6172=$B6173, $A$2:$A6172+$C$2:$C6172)), "")*24*60, "")</f>
        <v/>
      </c>
      <c r="Q6173" s="24" t="str" cm="1">
        <f t="array" ref="Q6173">IFERROR(IF($B6173=Q$1, ($A6173+$C6173) - MAX(IF($B$2:$B6172=$B6173, $A$2:$A6172+$C$2:$C6172)), "")*24*60, "")</f>
        <v/>
      </c>
      <c r="R6173" s="24" t="str" cm="1">
        <f t="array" ref="R6173">IFERROR(IF($B6173=R$1, ($A6173+$C6173) - MAX(IF($B$2:$B6172=$B6173, $A$2:$A6172+$C$2:$C6172)), "")*24*60, "")</f>
        <v/>
      </c>
      <c r="S6173" s="24" t="str" cm="1">
        <f t="array" ref="S6173">IFERROR(IF($B6173=S$1, ($A6173+$C6173) - MAX(IF($B$2:$B6172=$B6173, $A$2:$A6172+$C$2:$C6172)), "")*24*60, "")</f>
        <v/>
      </c>
    </row>
    <row r="6174" spans="1:19" x14ac:dyDescent="0.2">
      <c r="A6174" s="12">
        <f t="shared" ref="A6174:C6174" si="1318">A6173</f>
        <v>45987</v>
      </c>
      <c r="B6174" s="5" t="str">
        <f t="shared" si="1318"/>
        <v>Northern Cardinal</v>
      </c>
      <c r="C6174" s="6">
        <f t="shared" si="1318"/>
        <v>0.28611111111111109</v>
      </c>
      <c r="D6174" s="5"/>
      <c r="E6174" s="5"/>
      <c r="F6174" s="5" t="s">
        <v>8</v>
      </c>
      <c r="G6174" s="15" t="s">
        <v>9</v>
      </c>
      <c r="H6174" s="24">
        <f t="shared" si="1314"/>
        <v>0</v>
      </c>
      <c r="I6174" s="24" cm="1">
        <f t="array" ref="I6174">IFERROR(IF($B6174=I$1, ($A6174+$C6174) - MAX(IF($B$2:$B6173=$B6174, $A$2:$A6173+$C$2:$C6173)), "")*24*60, "")</f>
        <v>0</v>
      </c>
      <c r="J6174" s="24" t="str" cm="1">
        <f t="array" ref="J6174">IFERROR(IF($B6174=J$1, ($A6174+$C6174) - MAX(IF($B$2:$B6173=$B6174, $A$2:$A6173+$C$2:$C6173)), "")*24*60, "")</f>
        <v/>
      </c>
      <c r="K6174" s="24" t="str" cm="1">
        <f t="array" ref="K6174">IFERROR(IF($B6174=K$1, ($A6174+$C6174) - MAX(IF($B$2:$B6173=$B6174, $A$2:$A6173+$C$2:$C6173)), "")*24*60, "")</f>
        <v/>
      </c>
      <c r="L6174" s="24" t="str" cm="1">
        <f t="array" ref="L6174">IFERROR(IF($B6174=L$1, ($A6174+$C6174) - MAX(IF($B$2:$B6173=$B6174, $A$2:$A6173+$C$2:$C6173)), "")*24*60, "")</f>
        <v/>
      </c>
      <c r="M6174" s="24" t="str" cm="1">
        <f t="array" ref="M6174">IFERROR(IF($B6174=M$1, ($A6174+$C6174) - MAX(IF($B$2:$B6173=$B6174, $A$2:$A6173+$C$2:$C6173)), "")*24*60, "")</f>
        <v/>
      </c>
      <c r="N6174" s="24" t="str" cm="1">
        <f t="array" ref="N6174">IFERROR(IF($B6174=N$1, ($A6174+$C6174) - MAX(IF($B$2:$B6173=$B6174, $A$2:$A6173+$C$2:$C6173)), "")*24*60, "")</f>
        <v/>
      </c>
      <c r="O6174" s="24" t="str" cm="1">
        <f t="array" ref="O6174">IFERROR(IF($B6174=O$1, ($A6174+$C6174) - MAX(IF($B$2:$B6173=$B6174, $A$2:$A6173+$C$2:$C6173)), "")*24*60, "")</f>
        <v/>
      </c>
      <c r="P6174" s="24" t="str" cm="1">
        <f t="array" ref="P6174">IFERROR(IF($B6174=P$1, ($A6174+$C6174) - MAX(IF($B$2:$B6173=$B6174, $A$2:$A6173+$C$2:$C6173)), "")*24*60, "")</f>
        <v/>
      </c>
      <c r="Q6174" s="24" t="str" cm="1">
        <f t="array" ref="Q6174">IFERROR(IF($B6174=Q$1, ($A6174+$C6174) - MAX(IF($B$2:$B6173=$B6174, $A$2:$A6173+$C$2:$C6173)), "")*24*60, "")</f>
        <v/>
      </c>
      <c r="R6174" s="24" t="str" cm="1">
        <f t="array" ref="R6174">IFERROR(IF($B6174=R$1, ($A6174+$C6174) - MAX(IF($B$2:$B6173=$B6174, $A$2:$A6173+$C$2:$C6173)), "")*24*60, "")</f>
        <v/>
      </c>
      <c r="S6174" s="24" t="str" cm="1">
        <f t="array" ref="S6174">IFERROR(IF($B6174=S$1, ($A6174+$C6174) - MAX(IF($B$2:$B6173=$B6174, $A$2:$A6173+$C$2:$C6173)), "")*24*60, "")</f>
        <v/>
      </c>
    </row>
    <row r="6175" spans="1:19" x14ac:dyDescent="0.2">
      <c r="A6175" s="12">
        <f t="shared" ref="A6175:C6175" si="1319">A6174</f>
        <v>45987</v>
      </c>
      <c r="B6175" s="5" t="str">
        <f t="shared" si="1319"/>
        <v>Northern Cardinal</v>
      </c>
      <c r="C6175" s="6">
        <f t="shared" si="1319"/>
        <v>0.28611111111111109</v>
      </c>
      <c r="D6175" s="5"/>
      <c r="E6175" s="5"/>
      <c r="F6175" s="5" t="s">
        <v>8</v>
      </c>
      <c r="G6175" s="15" t="s">
        <v>9</v>
      </c>
      <c r="H6175" s="24">
        <f t="shared" si="1314"/>
        <v>0</v>
      </c>
      <c r="I6175" s="24" cm="1">
        <f t="array" ref="I6175">IFERROR(IF($B6175=I$1, ($A6175+$C6175) - MAX(IF($B$2:$B6174=$B6175, $A$2:$A6174+$C$2:$C6174)), "")*24*60, "")</f>
        <v>0</v>
      </c>
      <c r="J6175" s="24" t="str" cm="1">
        <f t="array" ref="J6175">IFERROR(IF($B6175=J$1, ($A6175+$C6175) - MAX(IF($B$2:$B6174=$B6175, $A$2:$A6174+$C$2:$C6174)), "")*24*60, "")</f>
        <v/>
      </c>
      <c r="K6175" s="24" t="str" cm="1">
        <f t="array" ref="K6175">IFERROR(IF($B6175=K$1, ($A6175+$C6175) - MAX(IF($B$2:$B6174=$B6175, $A$2:$A6174+$C$2:$C6174)), "")*24*60, "")</f>
        <v/>
      </c>
      <c r="L6175" s="24" t="str" cm="1">
        <f t="array" ref="L6175">IFERROR(IF($B6175=L$1, ($A6175+$C6175) - MAX(IF($B$2:$B6174=$B6175, $A$2:$A6174+$C$2:$C6174)), "")*24*60, "")</f>
        <v/>
      </c>
      <c r="M6175" s="24" t="str" cm="1">
        <f t="array" ref="M6175">IFERROR(IF($B6175=M$1, ($A6175+$C6175) - MAX(IF($B$2:$B6174=$B6175, $A$2:$A6174+$C$2:$C6174)), "")*24*60, "")</f>
        <v/>
      </c>
      <c r="N6175" s="24" t="str" cm="1">
        <f t="array" ref="N6175">IFERROR(IF($B6175=N$1, ($A6175+$C6175) - MAX(IF($B$2:$B6174=$B6175, $A$2:$A6174+$C$2:$C6174)), "")*24*60, "")</f>
        <v/>
      </c>
      <c r="O6175" s="24" t="str" cm="1">
        <f t="array" ref="O6175">IFERROR(IF($B6175=O$1, ($A6175+$C6175) - MAX(IF($B$2:$B6174=$B6175, $A$2:$A6174+$C$2:$C6174)), "")*24*60, "")</f>
        <v/>
      </c>
      <c r="P6175" s="24" t="str" cm="1">
        <f t="array" ref="P6175">IFERROR(IF($B6175=P$1, ($A6175+$C6175) - MAX(IF($B$2:$B6174=$B6175, $A$2:$A6174+$C$2:$C6174)), "")*24*60, "")</f>
        <v/>
      </c>
      <c r="Q6175" s="24" t="str" cm="1">
        <f t="array" ref="Q6175">IFERROR(IF($B6175=Q$1, ($A6175+$C6175) - MAX(IF($B$2:$B6174=$B6175, $A$2:$A6174+$C$2:$C6174)), "")*24*60, "")</f>
        <v/>
      </c>
      <c r="R6175" s="24" t="str" cm="1">
        <f t="array" ref="R6175">IFERROR(IF($B6175=R$1, ($A6175+$C6175) - MAX(IF($B$2:$B6174=$B6175, $A$2:$A6174+$C$2:$C6174)), "")*24*60, "")</f>
        <v/>
      </c>
      <c r="S6175" s="24" t="str" cm="1">
        <f t="array" ref="S6175">IFERROR(IF($B6175=S$1, ($A6175+$C6175) - MAX(IF($B$2:$B6174=$B6175, $A$2:$A6174+$C$2:$C6174)), "")*24*60, "")</f>
        <v/>
      </c>
    </row>
    <row r="6176" spans="1:19" x14ac:dyDescent="0.2">
      <c r="A6176" s="12">
        <f t="shared" ref="A6176:C6176" si="1320">A6175</f>
        <v>45987</v>
      </c>
      <c r="B6176" s="5" t="str">
        <f t="shared" si="1320"/>
        <v>Northern Cardinal</v>
      </c>
      <c r="C6176" s="6">
        <f t="shared" si="1320"/>
        <v>0.28611111111111109</v>
      </c>
      <c r="D6176" s="5"/>
      <c r="E6176" s="5"/>
      <c r="F6176" s="5" t="s">
        <v>8</v>
      </c>
      <c r="G6176" s="15" t="s">
        <v>9</v>
      </c>
      <c r="H6176" s="24">
        <f t="shared" si="1314"/>
        <v>0</v>
      </c>
      <c r="I6176" s="24" cm="1">
        <f t="array" ref="I6176">IFERROR(IF($B6176=I$1, ($A6176+$C6176) - MAX(IF($B$2:$B6175=$B6176, $A$2:$A6175+$C$2:$C6175)), "")*24*60, "")</f>
        <v>0</v>
      </c>
      <c r="J6176" s="24" t="str" cm="1">
        <f t="array" ref="J6176">IFERROR(IF($B6176=J$1, ($A6176+$C6176) - MAX(IF($B$2:$B6175=$B6176, $A$2:$A6175+$C$2:$C6175)), "")*24*60, "")</f>
        <v/>
      </c>
      <c r="K6176" s="24" t="str" cm="1">
        <f t="array" ref="K6176">IFERROR(IF($B6176=K$1, ($A6176+$C6176) - MAX(IF($B$2:$B6175=$B6176, $A$2:$A6175+$C$2:$C6175)), "")*24*60, "")</f>
        <v/>
      </c>
      <c r="L6176" s="24" t="str" cm="1">
        <f t="array" ref="L6176">IFERROR(IF($B6176=L$1, ($A6176+$C6176) - MAX(IF($B$2:$B6175=$B6176, $A$2:$A6175+$C$2:$C6175)), "")*24*60, "")</f>
        <v/>
      </c>
      <c r="M6176" s="24" t="str" cm="1">
        <f t="array" ref="M6176">IFERROR(IF($B6176=M$1, ($A6176+$C6176) - MAX(IF($B$2:$B6175=$B6176, $A$2:$A6175+$C$2:$C6175)), "")*24*60, "")</f>
        <v/>
      </c>
      <c r="N6176" s="24" t="str" cm="1">
        <f t="array" ref="N6176">IFERROR(IF($B6176=N$1, ($A6176+$C6176) - MAX(IF($B$2:$B6175=$B6176, $A$2:$A6175+$C$2:$C6175)), "")*24*60, "")</f>
        <v/>
      </c>
      <c r="O6176" s="24" t="str" cm="1">
        <f t="array" ref="O6176">IFERROR(IF($B6176=O$1, ($A6176+$C6176) - MAX(IF($B$2:$B6175=$B6176, $A$2:$A6175+$C$2:$C6175)), "")*24*60, "")</f>
        <v/>
      </c>
      <c r="P6176" s="24" t="str" cm="1">
        <f t="array" ref="P6176">IFERROR(IF($B6176=P$1, ($A6176+$C6176) - MAX(IF($B$2:$B6175=$B6176, $A$2:$A6175+$C$2:$C6175)), "")*24*60, "")</f>
        <v/>
      </c>
      <c r="Q6176" s="24" t="str" cm="1">
        <f t="array" ref="Q6176">IFERROR(IF($B6176=Q$1, ($A6176+$C6176) - MAX(IF($B$2:$B6175=$B6176, $A$2:$A6175+$C$2:$C6175)), "")*24*60, "")</f>
        <v/>
      </c>
      <c r="R6176" s="24" t="str" cm="1">
        <f t="array" ref="R6176">IFERROR(IF($B6176=R$1, ($A6176+$C6176) - MAX(IF($B$2:$B6175=$B6176, $A$2:$A6175+$C$2:$C6175)), "")*24*60, "")</f>
        <v/>
      </c>
      <c r="S6176" s="24" t="str" cm="1">
        <f t="array" ref="S6176">IFERROR(IF($B6176=S$1, ($A6176+$C6176) - MAX(IF($B$2:$B6175=$B6176, $A$2:$A6175+$C$2:$C6175)), "")*24*60, "")</f>
        <v/>
      </c>
    </row>
    <row r="6177" spans="1:19" x14ac:dyDescent="0.2">
      <c r="A6177" s="12">
        <f t="shared" ref="A6177:C6177" si="1321">A6176</f>
        <v>45987</v>
      </c>
      <c r="B6177" s="5" t="str">
        <f t="shared" si="1321"/>
        <v>Northern Cardinal</v>
      </c>
      <c r="C6177" s="6">
        <f t="shared" si="1321"/>
        <v>0.28611111111111109</v>
      </c>
      <c r="D6177" s="5"/>
      <c r="E6177" s="5"/>
      <c r="F6177" s="5" t="s">
        <v>8</v>
      </c>
      <c r="G6177" s="15" t="s">
        <v>9</v>
      </c>
      <c r="H6177" s="24">
        <f t="shared" si="1314"/>
        <v>0</v>
      </c>
      <c r="I6177" s="24" cm="1">
        <f t="array" ref="I6177">IFERROR(IF($B6177=I$1, ($A6177+$C6177) - MAX(IF($B$2:$B6176=$B6177, $A$2:$A6176+$C$2:$C6176)), "")*24*60, "")</f>
        <v>0</v>
      </c>
      <c r="J6177" s="24" t="str" cm="1">
        <f t="array" ref="J6177">IFERROR(IF($B6177=J$1, ($A6177+$C6177) - MAX(IF($B$2:$B6176=$B6177, $A$2:$A6176+$C$2:$C6176)), "")*24*60, "")</f>
        <v/>
      </c>
      <c r="K6177" s="24" t="str" cm="1">
        <f t="array" ref="K6177">IFERROR(IF($B6177=K$1, ($A6177+$C6177) - MAX(IF($B$2:$B6176=$B6177, $A$2:$A6176+$C$2:$C6176)), "")*24*60, "")</f>
        <v/>
      </c>
      <c r="L6177" s="24" t="str" cm="1">
        <f t="array" ref="L6177">IFERROR(IF($B6177=L$1, ($A6177+$C6177) - MAX(IF($B$2:$B6176=$B6177, $A$2:$A6176+$C$2:$C6176)), "")*24*60, "")</f>
        <v/>
      </c>
      <c r="M6177" s="24" t="str" cm="1">
        <f t="array" ref="M6177">IFERROR(IF($B6177=M$1, ($A6177+$C6177) - MAX(IF($B$2:$B6176=$B6177, $A$2:$A6176+$C$2:$C6176)), "")*24*60, "")</f>
        <v/>
      </c>
      <c r="N6177" s="24" t="str" cm="1">
        <f t="array" ref="N6177">IFERROR(IF($B6177=N$1, ($A6177+$C6177) - MAX(IF($B$2:$B6176=$B6177, $A$2:$A6176+$C$2:$C6176)), "")*24*60, "")</f>
        <v/>
      </c>
      <c r="O6177" s="24" t="str" cm="1">
        <f t="array" ref="O6177">IFERROR(IF($B6177=O$1, ($A6177+$C6177) - MAX(IF($B$2:$B6176=$B6177, $A$2:$A6176+$C$2:$C6176)), "")*24*60, "")</f>
        <v/>
      </c>
      <c r="P6177" s="24" t="str" cm="1">
        <f t="array" ref="P6177">IFERROR(IF($B6177=P$1, ($A6177+$C6177) - MAX(IF($B$2:$B6176=$B6177, $A$2:$A6176+$C$2:$C6176)), "")*24*60, "")</f>
        <v/>
      </c>
      <c r="Q6177" s="24" t="str" cm="1">
        <f t="array" ref="Q6177">IFERROR(IF($B6177=Q$1, ($A6177+$C6177) - MAX(IF($B$2:$B6176=$B6177, $A$2:$A6176+$C$2:$C6176)), "")*24*60, "")</f>
        <v/>
      </c>
      <c r="R6177" s="24" t="str" cm="1">
        <f t="array" ref="R6177">IFERROR(IF($B6177=R$1, ($A6177+$C6177) - MAX(IF($B$2:$B6176=$B6177, $A$2:$A6176+$C$2:$C6176)), "")*24*60, "")</f>
        <v/>
      </c>
      <c r="S6177" s="24" t="str" cm="1">
        <f t="array" ref="S6177">IFERROR(IF($B6177=S$1, ($A6177+$C6177) - MAX(IF($B$2:$B6176=$B6177, $A$2:$A6176+$C$2:$C6176)), "")*24*60, "")</f>
        <v/>
      </c>
    </row>
    <row r="6178" spans="1:19" x14ac:dyDescent="0.2">
      <c r="A6178" s="12">
        <f t="shared" ref="A6178:C6178" si="1322">A6177</f>
        <v>45987</v>
      </c>
      <c r="B6178" s="5" t="str">
        <f t="shared" si="1322"/>
        <v>Northern Cardinal</v>
      </c>
      <c r="C6178" s="6">
        <f t="shared" si="1322"/>
        <v>0.28611111111111109</v>
      </c>
      <c r="D6178" s="5"/>
      <c r="E6178" s="5"/>
      <c r="F6178" s="5" t="s">
        <v>8</v>
      </c>
      <c r="G6178" s="15" t="s">
        <v>9</v>
      </c>
      <c r="H6178" s="24">
        <f t="shared" si="1314"/>
        <v>0</v>
      </c>
      <c r="I6178" s="24" cm="1">
        <f t="array" ref="I6178">IFERROR(IF($B6178=I$1, ($A6178+$C6178) - MAX(IF($B$2:$B6177=$B6178, $A$2:$A6177+$C$2:$C6177)), "")*24*60, "")</f>
        <v>0</v>
      </c>
      <c r="J6178" s="24" t="str" cm="1">
        <f t="array" ref="J6178">IFERROR(IF($B6178=J$1, ($A6178+$C6178) - MAX(IF($B$2:$B6177=$B6178, $A$2:$A6177+$C$2:$C6177)), "")*24*60, "")</f>
        <v/>
      </c>
      <c r="K6178" s="24" t="str" cm="1">
        <f t="array" ref="K6178">IFERROR(IF($B6178=K$1, ($A6178+$C6178) - MAX(IF($B$2:$B6177=$B6178, $A$2:$A6177+$C$2:$C6177)), "")*24*60, "")</f>
        <v/>
      </c>
      <c r="L6178" s="24" t="str" cm="1">
        <f t="array" ref="L6178">IFERROR(IF($B6178=L$1, ($A6178+$C6178) - MAX(IF($B$2:$B6177=$B6178, $A$2:$A6177+$C$2:$C6177)), "")*24*60, "")</f>
        <v/>
      </c>
      <c r="M6178" s="24" t="str" cm="1">
        <f t="array" ref="M6178">IFERROR(IF($B6178=M$1, ($A6178+$C6178) - MAX(IF($B$2:$B6177=$B6178, $A$2:$A6177+$C$2:$C6177)), "")*24*60, "")</f>
        <v/>
      </c>
      <c r="N6178" s="24" t="str" cm="1">
        <f t="array" ref="N6178">IFERROR(IF($B6178=N$1, ($A6178+$C6178) - MAX(IF($B$2:$B6177=$B6178, $A$2:$A6177+$C$2:$C6177)), "")*24*60, "")</f>
        <v/>
      </c>
      <c r="O6178" s="24" t="str" cm="1">
        <f t="array" ref="O6178">IFERROR(IF($B6178=O$1, ($A6178+$C6178) - MAX(IF($B$2:$B6177=$B6178, $A$2:$A6177+$C$2:$C6177)), "")*24*60, "")</f>
        <v/>
      </c>
      <c r="P6178" s="24" t="str" cm="1">
        <f t="array" ref="P6178">IFERROR(IF($B6178=P$1, ($A6178+$C6178) - MAX(IF($B$2:$B6177=$B6178, $A$2:$A6177+$C$2:$C6177)), "")*24*60, "")</f>
        <v/>
      </c>
      <c r="Q6178" s="24" t="str" cm="1">
        <f t="array" ref="Q6178">IFERROR(IF($B6178=Q$1, ($A6178+$C6178) - MAX(IF($B$2:$B6177=$B6178, $A$2:$A6177+$C$2:$C6177)), "")*24*60, "")</f>
        <v/>
      </c>
      <c r="R6178" s="24" t="str" cm="1">
        <f t="array" ref="R6178">IFERROR(IF($B6178=R$1, ($A6178+$C6178) - MAX(IF($B$2:$B6177=$B6178, $A$2:$A6177+$C$2:$C6177)), "")*24*60, "")</f>
        <v/>
      </c>
      <c r="S6178" s="24" t="str" cm="1">
        <f t="array" ref="S6178">IFERROR(IF($B6178=S$1, ($A6178+$C6178) - MAX(IF($B$2:$B6177=$B6178, $A$2:$A6177+$C$2:$C6177)), "")*24*60, "")</f>
        <v/>
      </c>
    </row>
    <row r="6179" spans="1:19" x14ac:dyDescent="0.2">
      <c r="A6179" s="12">
        <f t="shared" ref="A6179:C6179" si="1323">A6178</f>
        <v>45987</v>
      </c>
      <c r="B6179" s="5" t="str">
        <f t="shared" si="1323"/>
        <v>Northern Cardinal</v>
      </c>
      <c r="C6179" s="6">
        <f t="shared" si="1323"/>
        <v>0.28611111111111109</v>
      </c>
      <c r="D6179" s="5"/>
      <c r="E6179" s="5"/>
      <c r="F6179" s="5" t="s">
        <v>8</v>
      </c>
      <c r="G6179" s="15" t="s">
        <v>9</v>
      </c>
      <c r="H6179" s="24">
        <f t="shared" si="1314"/>
        <v>0</v>
      </c>
      <c r="I6179" s="24" cm="1">
        <f t="array" ref="I6179">IFERROR(IF($B6179=I$1, ($A6179+$C6179) - MAX(IF($B$2:$B6178=$B6179, $A$2:$A6178+$C$2:$C6178)), "")*24*60, "")</f>
        <v>0</v>
      </c>
      <c r="J6179" s="24" t="str" cm="1">
        <f t="array" ref="J6179">IFERROR(IF($B6179=J$1, ($A6179+$C6179) - MAX(IF($B$2:$B6178=$B6179, $A$2:$A6178+$C$2:$C6178)), "")*24*60, "")</f>
        <v/>
      </c>
      <c r="K6179" s="24" t="str" cm="1">
        <f t="array" ref="K6179">IFERROR(IF($B6179=K$1, ($A6179+$C6179) - MAX(IF($B$2:$B6178=$B6179, $A$2:$A6178+$C$2:$C6178)), "")*24*60, "")</f>
        <v/>
      </c>
      <c r="L6179" s="24" t="str" cm="1">
        <f t="array" ref="L6179">IFERROR(IF($B6179=L$1, ($A6179+$C6179) - MAX(IF($B$2:$B6178=$B6179, $A$2:$A6178+$C$2:$C6178)), "")*24*60, "")</f>
        <v/>
      </c>
      <c r="M6179" s="24" t="str" cm="1">
        <f t="array" ref="M6179">IFERROR(IF($B6179=M$1, ($A6179+$C6179) - MAX(IF($B$2:$B6178=$B6179, $A$2:$A6178+$C$2:$C6178)), "")*24*60, "")</f>
        <v/>
      </c>
      <c r="N6179" s="24" t="str" cm="1">
        <f t="array" ref="N6179">IFERROR(IF($B6179=N$1, ($A6179+$C6179) - MAX(IF($B$2:$B6178=$B6179, $A$2:$A6178+$C$2:$C6178)), "")*24*60, "")</f>
        <v/>
      </c>
      <c r="O6179" s="24" t="str" cm="1">
        <f t="array" ref="O6179">IFERROR(IF($B6179=O$1, ($A6179+$C6179) - MAX(IF($B$2:$B6178=$B6179, $A$2:$A6178+$C$2:$C6178)), "")*24*60, "")</f>
        <v/>
      </c>
      <c r="P6179" s="24" t="str" cm="1">
        <f t="array" ref="P6179">IFERROR(IF($B6179=P$1, ($A6179+$C6179) - MAX(IF($B$2:$B6178=$B6179, $A$2:$A6178+$C$2:$C6178)), "")*24*60, "")</f>
        <v/>
      </c>
      <c r="Q6179" s="24" t="str" cm="1">
        <f t="array" ref="Q6179">IFERROR(IF($B6179=Q$1, ($A6179+$C6179) - MAX(IF($B$2:$B6178=$B6179, $A$2:$A6178+$C$2:$C6178)), "")*24*60, "")</f>
        <v/>
      </c>
      <c r="R6179" s="24" t="str" cm="1">
        <f t="array" ref="R6179">IFERROR(IF($B6179=R$1, ($A6179+$C6179) - MAX(IF($B$2:$B6178=$B6179, $A$2:$A6178+$C$2:$C6178)), "")*24*60, "")</f>
        <v/>
      </c>
      <c r="S6179" s="24" t="str" cm="1">
        <f t="array" ref="S6179">IFERROR(IF($B6179=S$1, ($A6179+$C6179) - MAX(IF($B$2:$B6178=$B6179, $A$2:$A6178+$C$2:$C6178)), "")*24*60, "")</f>
        <v/>
      </c>
    </row>
    <row r="6180" spans="1:19" x14ac:dyDescent="0.2">
      <c r="A6180" s="12">
        <f t="shared" ref="A6180:C6180" si="1324">A6179</f>
        <v>45987</v>
      </c>
      <c r="B6180" s="5" t="str">
        <f t="shared" si="1324"/>
        <v>Northern Cardinal</v>
      </c>
      <c r="C6180" s="6">
        <f t="shared" si="1324"/>
        <v>0.28611111111111109</v>
      </c>
      <c r="D6180" s="5"/>
      <c r="E6180" s="5"/>
      <c r="F6180" s="5" t="s">
        <v>8</v>
      </c>
      <c r="G6180" s="15" t="s">
        <v>9</v>
      </c>
      <c r="H6180" s="24">
        <f t="shared" si="1314"/>
        <v>0</v>
      </c>
      <c r="I6180" s="24" cm="1">
        <f t="array" ref="I6180">IFERROR(IF($B6180=I$1, ($A6180+$C6180) - MAX(IF($B$2:$B6179=$B6180, $A$2:$A6179+$C$2:$C6179)), "")*24*60, "")</f>
        <v>0</v>
      </c>
      <c r="J6180" s="24" t="str" cm="1">
        <f t="array" ref="J6180">IFERROR(IF($B6180=J$1, ($A6180+$C6180) - MAX(IF($B$2:$B6179=$B6180, $A$2:$A6179+$C$2:$C6179)), "")*24*60, "")</f>
        <v/>
      </c>
      <c r="K6180" s="24" t="str" cm="1">
        <f t="array" ref="K6180">IFERROR(IF($B6180=K$1, ($A6180+$C6180) - MAX(IF($B$2:$B6179=$B6180, $A$2:$A6179+$C$2:$C6179)), "")*24*60, "")</f>
        <v/>
      </c>
      <c r="L6180" s="24" t="str" cm="1">
        <f t="array" ref="L6180">IFERROR(IF($B6180=L$1, ($A6180+$C6180) - MAX(IF($B$2:$B6179=$B6180, $A$2:$A6179+$C$2:$C6179)), "")*24*60, "")</f>
        <v/>
      </c>
      <c r="M6180" s="24" t="str" cm="1">
        <f t="array" ref="M6180">IFERROR(IF($B6180=M$1, ($A6180+$C6180) - MAX(IF($B$2:$B6179=$B6180, $A$2:$A6179+$C$2:$C6179)), "")*24*60, "")</f>
        <v/>
      </c>
      <c r="N6180" s="24" t="str" cm="1">
        <f t="array" ref="N6180">IFERROR(IF($B6180=N$1, ($A6180+$C6180) - MAX(IF($B$2:$B6179=$B6180, $A$2:$A6179+$C$2:$C6179)), "")*24*60, "")</f>
        <v/>
      </c>
      <c r="O6180" s="24" t="str" cm="1">
        <f t="array" ref="O6180">IFERROR(IF($B6180=O$1, ($A6180+$C6180) - MAX(IF($B$2:$B6179=$B6180, $A$2:$A6179+$C$2:$C6179)), "")*24*60, "")</f>
        <v/>
      </c>
      <c r="P6180" s="24" t="str" cm="1">
        <f t="array" ref="P6180">IFERROR(IF($B6180=P$1, ($A6180+$C6180) - MAX(IF($B$2:$B6179=$B6180, $A$2:$A6179+$C$2:$C6179)), "")*24*60, "")</f>
        <v/>
      </c>
      <c r="Q6180" s="24" t="str" cm="1">
        <f t="array" ref="Q6180">IFERROR(IF($B6180=Q$1, ($A6180+$C6180) - MAX(IF($B$2:$B6179=$B6180, $A$2:$A6179+$C$2:$C6179)), "")*24*60, "")</f>
        <v/>
      </c>
      <c r="R6180" s="24" t="str" cm="1">
        <f t="array" ref="R6180">IFERROR(IF($B6180=R$1, ($A6180+$C6180) - MAX(IF($B$2:$B6179=$B6180, $A$2:$A6179+$C$2:$C6179)), "")*24*60, "")</f>
        <v/>
      </c>
      <c r="S6180" s="24" t="str" cm="1">
        <f t="array" ref="S6180">IFERROR(IF($B6180=S$1, ($A6180+$C6180) - MAX(IF($B$2:$B6179=$B6180, $A$2:$A6179+$C$2:$C6179)), "")*24*60, "")</f>
        <v/>
      </c>
    </row>
    <row r="6181" spans="1:19" x14ac:dyDescent="0.2">
      <c r="A6181" s="12">
        <f t="shared" ref="A6181:C6181" si="1325">A6180</f>
        <v>45987</v>
      </c>
      <c r="B6181" s="5" t="str">
        <f t="shared" si="1325"/>
        <v>Northern Cardinal</v>
      </c>
      <c r="C6181" s="6">
        <f t="shared" si="1325"/>
        <v>0.28611111111111109</v>
      </c>
      <c r="D6181" s="5"/>
      <c r="E6181" s="5"/>
      <c r="F6181" s="5" t="s">
        <v>8</v>
      </c>
      <c r="G6181" s="15" t="s">
        <v>9</v>
      </c>
      <c r="H6181" s="24">
        <f t="shared" si="1314"/>
        <v>0</v>
      </c>
      <c r="I6181" s="24" cm="1">
        <f t="array" ref="I6181">IFERROR(IF($B6181=I$1, ($A6181+$C6181) - MAX(IF($B$2:$B6180=$B6181, $A$2:$A6180+$C$2:$C6180)), "")*24*60, "")</f>
        <v>0</v>
      </c>
      <c r="J6181" s="24" t="str" cm="1">
        <f t="array" ref="J6181">IFERROR(IF($B6181=J$1, ($A6181+$C6181) - MAX(IF($B$2:$B6180=$B6181, $A$2:$A6180+$C$2:$C6180)), "")*24*60, "")</f>
        <v/>
      </c>
      <c r="K6181" s="24" t="str" cm="1">
        <f t="array" ref="K6181">IFERROR(IF($B6181=K$1, ($A6181+$C6181) - MAX(IF($B$2:$B6180=$B6181, $A$2:$A6180+$C$2:$C6180)), "")*24*60, "")</f>
        <v/>
      </c>
      <c r="L6181" s="24" t="str" cm="1">
        <f t="array" ref="L6181">IFERROR(IF($B6181=L$1, ($A6181+$C6181) - MAX(IF($B$2:$B6180=$B6181, $A$2:$A6180+$C$2:$C6180)), "")*24*60, "")</f>
        <v/>
      </c>
      <c r="M6181" s="24" t="str" cm="1">
        <f t="array" ref="M6181">IFERROR(IF($B6181=M$1, ($A6181+$C6181) - MAX(IF($B$2:$B6180=$B6181, $A$2:$A6180+$C$2:$C6180)), "")*24*60, "")</f>
        <v/>
      </c>
      <c r="N6181" s="24" t="str" cm="1">
        <f t="array" ref="N6181">IFERROR(IF($B6181=N$1, ($A6181+$C6181) - MAX(IF($B$2:$B6180=$B6181, $A$2:$A6180+$C$2:$C6180)), "")*24*60, "")</f>
        <v/>
      </c>
      <c r="O6181" s="24" t="str" cm="1">
        <f t="array" ref="O6181">IFERROR(IF($B6181=O$1, ($A6181+$C6181) - MAX(IF($B$2:$B6180=$B6181, $A$2:$A6180+$C$2:$C6180)), "")*24*60, "")</f>
        <v/>
      </c>
      <c r="P6181" s="24" t="str" cm="1">
        <f t="array" ref="P6181">IFERROR(IF($B6181=P$1, ($A6181+$C6181) - MAX(IF($B$2:$B6180=$B6181, $A$2:$A6180+$C$2:$C6180)), "")*24*60, "")</f>
        <v/>
      </c>
      <c r="Q6181" s="24" t="str" cm="1">
        <f t="array" ref="Q6181">IFERROR(IF($B6181=Q$1, ($A6181+$C6181) - MAX(IF($B$2:$B6180=$B6181, $A$2:$A6180+$C$2:$C6180)), "")*24*60, "")</f>
        <v/>
      </c>
      <c r="R6181" s="24" t="str" cm="1">
        <f t="array" ref="R6181">IFERROR(IF($B6181=R$1, ($A6181+$C6181) - MAX(IF($B$2:$B6180=$B6181, $A$2:$A6180+$C$2:$C6180)), "")*24*60, "")</f>
        <v/>
      </c>
      <c r="S6181" s="24" t="str" cm="1">
        <f t="array" ref="S6181">IFERROR(IF($B6181=S$1, ($A6181+$C6181) - MAX(IF($B$2:$B6180=$B6181, $A$2:$A6180+$C$2:$C6180)), "")*24*60, "")</f>
        <v/>
      </c>
    </row>
    <row r="6182" spans="1:19" x14ac:dyDescent="0.2">
      <c r="A6182" s="12">
        <f t="shared" ref="A6182:C6182" si="1326">A6181</f>
        <v>45987</v>
      </c>
      <c r="B6182" s="5" t="str">
        <f t="shared" si="1326"/>
        <v>Northern Cardinal</v>
      </c>
      <c r="C6182" s="6">
        <f t="shared" si="1326"/>
        <v>0.28611111111111109</v>
      </c>
      <c r="D6182" s="5"/>
      <c r="E6182" s="5"/>
      <c r="F6182" s="5" t="s">
        <v>8</v>
      </c>
      <c r="G6182" s="15" t="s">
        <v>9</v>
      </c>
      <c r="H6182" s="24">
        <f t="shared" si="1314"/>
        <v>0</v>
      </c>
      <c r="I6182" s="24" cm="1">
        <f t="array" ref="I6182">IFERROR(IF($B6182=I$1, ($A6182+$C6182) - MAX(IF($B$2:$B6181=$B6182, $A$2:$A6181+$C$2:$C6181)), "")*24*60, "")</f>
        <v>0</v>
      </c>
      <c r="J6182" s="24" t="str" cm="1">
        <f t="array" ref="J6182">IFERROR(IF($B6182=J$1, ($A6182+$C6182) - MAX(IF($B$2:$B6181=$B6182, $A$2:$A6181+$C$2:$C6181)), "")*24*60, "")</f>
        <v/>
      </c>
      <c r="K6182" s="24" t="str" cm="1">
        <f t="array" ref="K6182">IFERROR(IF($B6182=K$1, ($A6182+$C6182) - MAX(IF($B$2:$B6181=$B6182, $A$2:$A6181+$C$2:$C6181)), "")*24*60, "")</f>
        <v/>
      </c>
      <c r="L6182" s="24" t="str" cm="1">
        <f t="array" ref="L6182">IFERROR(IF($B6182=L$1, ($A6182+$C6182) - MAX(IF($B$2:$B6181=$B6182, $A$2:$A6181+$C$2:$C6181)), "")*24*60, "")</f>
        <v/>
      </c>
      <c r="M6182" s="24" t="str" cm="1">
        <f t="array" ref="M6182">IFERROR(IF($B6182=M$1, ($A6182+$C6182) - MAX(IF($B$2:$B6181=$B6182, $A$2:$A6181+$C$2:$C6181)), "")*24*60, "")</f>
        <v/>
      </c>
      <c r="N6182" s="24" t="str" cm="1">
        <f t="array" ref="N6182">IFERROR(IF($B6182=N$1, ($A6182+$C6182) - MAX(IF($B$2:$B6181=$B6182, $A$2:$A6181+$C$2:$C6181)), "")*24*60, "")</f>
        <v/>
      </c>
      <c r="O6182" s="24" t="str" cm="1">
        <f t="array" ref="O6182">IFERROR(IF($B6182=O$1, ($A6182+$C6182) - MAX(IF($B$2:$B6181=$B6182, $A$2:$A6181+$C$2:$C6181)), "")*24*60, "")</f>
        <v/>
      </c>
      <c r="P6182" s="24" t="str" cm="1">
        <f t="array" ref="P6182">IFERROR(IF($B6182=P$1, ($A6182+$C6182) - MAX(IF($B$2:$B6181=$B6182, $A$2:$A6181+$C$2:$C6181)), "")*24*60, "")</f>
        <v/>
      </c>
      <c r="Q6182" s="24" t="str" cm="1">
        <f t="array" ref="Q6182">IFERROR(IF($B6182=Q$1, ($A6182+$C6182) - MAX(IF($B$2:$B6181=$B6182, $A$2:$A6181+$C$2:$C6181)), "")*24*60, "")</f>
        <v/>
      </c>
      <c r="R6182" s="24" t="str" cm="1">
        <f t="array" ref="R6182">IFERROR(IF($B6182=R$1, ($A6182+$C6182) - MAX(IF($B$2:$B6181=$B6182, $A$2:$A6181+$C$2:$C6181)), "")*24*60, "")</f>
        <v/>
      </c>
      <c r="S6182" s="24" t="str" cm="1">
        <f t="array" ref="S6182">IFERROR(IF($B6182=S$1, ($A6182+$C6182) - MAX(IF($B$2:$B6181=$B6182, $A$2:$A6181+$C$2:$C6181)), "")*24*60, "")</f>
        <v/>
      </c>
    </row>
    <row r="6183" spans="1:19" x14ac:dyDescent="0.2">
      <c r="A6183" s="12">
        <f t="shared" ref="A6183:C6183" si="1327">A6182</f>
        <v>45987</v>
      </c>
      <c r="B6183" s="5" t="str">
        <f t="shared" si="1327"/>
        <v>Northern Cardinal</v>
      </c>
      <c r="C6183" s="6">
        <f t="shared" si="1327"/>
        <v>0.28611111111111109</v>
      </c>
      <c r="D6183" s="5"/>
      <c r="E6183" s="5"/>
      <c r="F6183" s="5" t="s">
        <v>8</v>
      </c>
      <c r="G6183" s="15" t="s">
        <v>9</v>
      </c>
      <c r="H6183" s="24">
        <f t="shared" si="1314"/>
        <v>0</v>
      </c>
      <c r="I6183" s="24" cm="1">
        <f t="array" ref="I6183">IFERROR(IF($B6183=I$1, ($A6183+$C6183) - MAX(IF($B$2:$B6182=$B6183, $A$2:$A6182+$C$2:$C6182)), "")*24*60, "")</f>
        <v>0</v>
      </c>
      <c r="J6183" s="24" t="str" cm="1">
        <f t="array" ref="J6183">IFERROR(IF($B6183=J$1, ($A6183+$C6183) - MAX(IF($B$2:$B6182=$B6183, $A$2:$A6182+$C$2:$C6182)), "")*24*60, "")</f>
        <v/>
      </c>
      <c r="K6183" s="24" t="str" cm="1">
        <f t="array" ref="K6183">IFERROR(IF($B6183=K$1, ($A6183+$C6183) - MAX(IF($B$2:$B6182=$B6183, $A$2:$A6182+$C$2:$C6182)), "")*24*60, "")</f>
        <v/>
      </c>
      <c r="L6183" s="24" t="str" cm="1">
        <f t="array" ref="L6183">IFERROR(IF($B6183=L$1, ($A6183+$C6183) - MAX(IF($B$2:$B6182=$B6183, $A$2:$A6182+$C$2:$C6182)), "")*24*60, "")</f>
        <v/>
      </c>
      <c r="M6183" s="24" t="str" cm="1">
        <f t="array" ref="M6183">IFERROR(IF($B6183=M$1, ($A6183+$C6183) - MAX(IF($B$2:$B6182=$B6183, $A$2:$A6182+$C$2:$C6182)), "")*24*60, "")</f>
        <v/>
      </c>
      <c r="N6183" s="24" t="str" cm="1">
        <f t="array" ref="N6183">IFERROR(IF($B6183=N$1, ($A6183+$C6183) - MAX(IF($B$2:$B6182=$B6183, $A$2:$A6182+$C$2:$C6182)), "")*24*60, "")</f>
        <v/>
      </c>
      <c r="O6183" s="24" t="str" cm="1">
        <f t="array" ref="O6183">IFERROR(IF($B6183=O$1, ($A6183+$C6183) - MAX(IF($B$2:$B6182=$B6183, $A$2:$A6182+$C$2:$C6182)), "")*24*60, "")</f>
        <v/>
      </c>
      <c r="P6183" s="24" t="str" cm="1">
        <f t="array" ref="P6183">IFERROR(IF($B6183=P$1, ($A6183+$C6183) - MAX(IF($B$2:$B6182=$B6183, $A$2:$A6182+$C$2:$C6182)), "")*24*60, "")</f>
        <v/>
      </c>
      <c r="Q6183" s="24" t="str" cm="1">
        <f t="array" ref="Q6183">IFERROR(IF($B6183=Q$1, ($A6183+$C6183) - MAX(IF($B$2:$B6182=$B6183, $A$2:$A6182+$C$2:$C6182)), "")*24*60, "")</f>
        <v/>
      </c>
      <c r="R6183" s="24" t="str" cm="1">
        <f t="array" ref="R6183">IFERROR(IF($B6183=R$1, ($A6183+$C6183) - MAX(IF($B$2:$B6182=$B6183, $A$2:$A6182+$C$2:$C6182)), "")*24*60, "")</f>
        <v/>
      </c>
      <c r="S6183" s="24" t="str" cm="1">
        <f t="array" ref="S6183">IFERROR(IF($B6183=S$1, ($A6183+$C6183) - MAX(IF($B$2:$B6182=$B6183, $A$2:$A6182+$C$2:$C6182)), "")*24*60, "")</f>
        <v/>
      </c>
    </row>
    <row r="6184" spans="1:19" x14ac:dyDescent="0.2">
      <c r="A6184" s="12">
        <f t="shared" ref="A6184:C6184" si="1328">A6183</f>
        <v>45987</v>
      </c>
      <c r="B6184" s="5" t="str">
        <f t="shared" si="1328"/>
        <v>Northern Cardinal</v>
      </c>
      <c r="C6184" s="6">
        <f t="shared" si="1328"/>
        <v>0.28611111111111109</v>
      </c>
      <c r="D6184" s="5"/>
      <c r="E6184" s="5"/>
      <c r="F6184" s="5" t="s">
        <v>8</v>
      </c>
      <c r="G6184" s="15" t="s">
        <v>9</v>
      </c>
      <c r="H6184" s="24">
        <f t="shared" si="1314"/>
        <v>0</v>
      </c>
      <c r="I6184" s="24" cm="1">
        <f t="array" ref="I6184">IFERROR(IF($B6184=I$1, ($A6184+$C6184) - MAX(IF($B$2:$B6183=$B6184, $A$2:$A6183+$C$2:$C6183)), "")*24*60, "")</f>
        <v>0</v>
      </c>
      <c r="J6184" s="24" t="str" cm="1">
        <f t="array" ref="J6184">IFERROR(IF($B6184=J$1, ($A6184+$C6184) - MAX(IF($B$2:$B6183=$B6184, $A$2:$A6183+$C$2:$C6183)), "")*24*60, "")</f>
        <v/>
      </c>
      <c r="K6184" s="24" t="str" cm="1">
        <f t="array" ref="K6184">IFERROR(IF($B6184=K$1, ($A6184+$C6184) - MAX(IF($B$2:$B6183=$B6184, $A$2:$A6183+$C$2:$C6183)), "")*24*60, "")</f>
        <v/>
      </c>
      <c r="L6184" s="24" t="str" cm="1">
        <f t="array" ref="L6184">IFERROR(IF($B6184=L$1, ($A6184+$C6184) - MAX(IF($B$2:$B6183=$B6184, $A$2:$A6183+$C$2:$C6183)), "")*24*60, "")</f>
        <v/>
      </c>
      <c r="M6184" s="24" t="str" cm="1">
        <f t="array" ref="M6184">IFERROR(IF($B6184=M$1, ($A6184+$C6184) - MAX(IF($B$2:$B6183=$B6184, $A$2:$A6183+$C$2:$C6183)), "")*24*60, "")</f>
        <v/>
      </c>
      <c r="N6184" s="24" t="str" cm="1">
        <f t="array" ref="N6184">IFERROR(IF($B6184=N$1, ($A6184+$C6184) - MAX(IF($B$2:$B6183=$B6184, $A$2:$A6183+$C$2:$C6183)), "")*24*60, "")</f>
        <v/>
      </c>
      <c r="O6184" s="24" t="str" cm="1">
        <f t="array" ref="O6184">IFERROR(IF($B6184=O$1, ($A6184+$C6184) - MAX(IF($B$2:$B6183=$B6184, $A$2:$A6183+$C$2:$C6183)), "")*24*60, "")</f>
        <v/>
      </c>
      <c r="P6184" s="24" t="str" cm="1">
        <f t="array" ref="P6184">IFERROR(IF($B6184=P$1, ($A6184+$C6184) - MAX(IF($B$2:$B6183=$B6184, $A$2:$A6183+$C$2:$C6183)), "")*24*60, "")</f>
        <v/>
      </c>
      <c r="Q6184" s="24" t="str" cm="1">
        <f t="array" ref="Q6184">IFERROR(IF($B6184=Q$1, ($A6184+$C6184) - MAX(IF($B$2:$B6183=$B6184, $A$2:$A6183+$C$2:$C6183)), "")*24*60, "")</f>
        <v/>
      </c>
      <c r="R6184" s="24" t="str" cm="1">
        <f t="array" ref="R6184">IFERROR(IF($B6184=R$1, ($A6184+$C6184) - MAX(IF($B$2:$B6183=$B6184, $A$2:$A6183+$C$2:$C6183)), "")*24*60, "")</f>
        <v/>
      </c>
      <c r="S6184" s="24" t="str" cm="1">
        <f t="array" ref="S6184">IFERROR(IF($B6184=S$1, ($A6184+$C6184) - MAX(IF($B$2:$B6183=$B6184, $A$2:$A6183+$C$2:$C6183)), "")*24*60, "")</f>
        <v/>
      </c>
    </row>
    <row r="6185" spans="1:19" x14ac:dyDescent="0.2">
      <c r="A6185" s="12">
        <f t="shared" ref="A6185:C6185" si="1329">A6184</f>
        <v>45987</v>
      </c>
      <c r="B6185" s="5" t="str">
        <f t="shared" si="1329"/>
        <v>Northern Cardinal</v>
      </c>
      <c r="C6185" s="6">
        <f t="shared" si="1329"/>
        <v>0.28611111111111109</v>
      </c>
      <c r="D6185" s="5"/>
      <c r="E6185" s="5"/>
      <c r="F6185" s="5" t="s">
        <v>8</v>
      </c>
      <c r="G6185" s="15" t="s">
        <v>9</v>
      </c>
      <c r="H6185" s="24">
        <f t="shared" si="1314"/>
        <v>0</v>
      </c>
      <c r="I6185" s="24" cm="1">
        <f t="array" ref="I6185">IFERROR(IF($B6185=I$1, ($A6185+$C6185) - MAX(IF($B$2:$B6184=$B6185, $A$2:$A6184+$C$2:$C6184)), "")*24*60, "")</f>
        <v>0</v>
      </c>
      <c r="J6185" s="24" t="str" cm="1">
        <f t="array" ref="J6185">IFERROR(IF($B6185=J$1, ($A6185+$C6185) - MAX(IF($B$2:$B6184=$B6185, $A$2:$A6184+$C$2:$C6184)), "")*24*60, "")</f>
        <v/>
      </c>
      <c r="K6185" s="24" t="str" cm="1">
        <f t="array" ref="K6185">IFERROR(IF($B6185=K$1, ($A6185+$C6185) - MAX(IF($B$2:$B6184=$B6185, $A$2:$A6184+$C$2:$C6184)), "")*24*60, "")</f>
        <v/>
      </c>
      <c r="L6185" s="24" t="str" cm="1">
        <f t="array" ref="L6185">IFERROR(IF($B6185=L$1, ($A6185+$C6185) - MAX(IF($B$2:$B6184=$B6185, $A$2:$A6184+$C$2:$C6184)), "")*24*60, "")</f>
        <v/>
      </c>
      <c r="M6185" s="24" t="str" cm="1">
        <f t="array" ref="M6185">IFERROR(IF($B6185=M$1, ($A6185+$C6185) - MAX(IF($B$2:$B6184=$B6185, $A$2:$A6184+$C$2:$C6184)), "")*24*60, "")</f>
        <v/>
      </c>
      <c r="N6185" s="24" t="str" cm="1">
        <f t="array" ref="N6185">IFERROR(IF($B6185=N$1, ($A6185+$C6185) - MAX(IF($B$2:$B6184=$B6185, $A$2:$A6184+$C$2:$C6184)), "")*24*60, "")</f>
        <v/>
      </c>
      <c r="O6185" s="24" t="str" cm="1">
        <f t="array" ref="O6185">IFERROR(IF($B6185=O$1, ($A6185+$C6185) - MAX(IF($B$2:$B6184=$B6185, $A$2:$A6184+$C$2:$C6184)), "")*24*60, "")</f>
        <v/>
      </c>
      <c r="P6185" s="24" t="str" cm="1">
        <f t="array" ref="P6185">IFERROR(IF($B6185=P$1, ($A6185+$C6185) - MAX(IF($B$2:$B6184=$B6185, $A$2:$A6184+$C$2:$C6184)), "")*24*60, "")</f>
        <v/>
      </c>
      <c r="Q6185" s="24" t="str" cm="1">
        <f t="array" ref="Q6185">IFERROR(IF($B6185=Q$1, ($A6185+$C6185) - MAX(IF($B$2:$B6184=$B6185, $A$2:$A6184+$C$2:$C6184)), "")*24*60, "")</f>
        <v/>
      </c>
      <c r="R6185" s="24" t="str" cm="1">
        <f t="array" ref="R6185">IFERROR(IF($B6185=R$1, ($A6185+$C6185) - MAX(IF($B$2:$B6184=$B6185, $A$2:$A6184+$C$2:$C6184)), "")*24*60, "")</f>
        <v/>
      </c>
      <c r="S6185" s="24" t="str" cm="1">
        <f t="array" ref="S6185">IFERROR(IF($B6185=S$1, ($A6185+$C6185) - MAX(IF($B$2:$B6184=$B6185, $A$2:$A6184+$C$2:$C6184)), "")*24*60, "")</f>
        <v/>
      </c>
    </row>
    <row r="6186" spans="1:19" x14ac:dyDescent="0.2">
      <c r="A6186" s="12">
        <f t="shared" ref="A6186:C6186" si="1330">A6185</f>
        <v>45987</v>
      </c>
      <c r="B6186" s="5" t="str">
        <f t="shared" si="1330"/>
        <v>Northern Cardinal</v>
      </c>
      <c r="C6186" s="6">
        <f t="shared" si="1330"/>
        <v>0.28611111111111109</v>
      </c>
      <c r="D6186" s="5"/>
      <c r="E6186" s="5"/>
      <c r="F6186" s="5" t="s">
        <v>8</v>
      </c>
      <c r="G6186" s="15" t="s">
        <v>9</v>
      </c>
      <c r="H6186" s="24">
        <f t="shared" si="1314"/>
        <v>0</v>
      </c>
      <c r="I6186" s="24" cm="1">
        <f t="array" ref="I6186">IFERROR(IF($B6186=I$1, ($A6186+$C6186) - MAX(IF($B$2:$B6185=$B6186, $A$2:$A6185+$C$2:$C6185)), "")*24*60, "")</f>
        <v>0</v>
      </c>
      <c r="J6186" s="24" t="str" cm="1">
        <f t="array" ref="J6186">IFERROR(IF($B6186=J$1, ($A6186+$C6186) - MAX(IF($B$2:$B6185=$B6186, $A$2:$A6185+$C$2:$C6185)), "")*24*60, "")</f>
        <v/>
      </c>
      <c r="K6186" s="24" t="str" cm="1">
        <f t="array" ref="K6186">IFERROR(IF($B6186=K$1, ($A6186+$C6186) - MAX(IF($B$2:$B6185=$B6186, $A$2:$A6185+$C$2:$C6185)), "")*24*60, "")</f>
        <v/>
      </c>
      <c r="L6186" s="24" t="str" cm="1">
        <f t="array" ref="L6186">IFERROR(IF($B6186=L$1, ($A6186+$C6186) - MAX(IF($B$2:$B6185=$B6186, $A$2:$A6185+$C$2:$C6185)), "")*24*60, "")</f>
        <v/>
      </c>
      <c r="M6186" s="24" t="str" cm="1">
        <f t="array" ref="M6186">IFERROR(IF($B6186=M$1, ($A6186+$C6186) - MAX(IF($B$2:$B6185=$B6186, $A$2:$A6185+$C$2:$C6185)), "")*24*60, "")</f>
        <v/>
      </c>
      <c r="N6186" s="24" t="str" cm="1">
        <f t="array" ref="N6186">IFERROR(IF($B6186=N$1, ($A6186+$C6186) - MAX(IF($B$2:$B6185=$B6186, $A$2:$A6185+$C$2:$C6185)), "")*24*60, "")</f>
        <v/>
      </c>
      <c r="O6186" s="24" t="str" cm="1">
        <f t="array" ref="O6186">IFERROR(IF($B6186=O$1, ($A6186+$C6186) - MAX(IF($B$2:$B6185=$B6186, $A$2:$A6185+$C$2:$C6185)), "")*24*60, "")</f>
        <v/>
      </c>
      <c r="P6186" s="24" t="str" cm="1">
        <f t="array" ref="P6186">IFERROR(IF($B6186=P$1, ($A6186+$C6186) - MAX(IF($B$2:$B6185=$B6186, $A$2:$A6185+$C$2:$C6185)), "")*24*60, "")</f>
        <v/>
      </c>
      <c r="Q6186" s="24" t="str" cm="1">
        <f t="array" ref="Q6186">IFERROR(IF($B6186=Q$1, ($A6186+$C6186) - MAX(IF($B$2:$B6185=$B6186, $A$2:$A6185+$C$2:$C6185)), "")*24*60, "")</f>
        <v/>
      </c>
      <c r="R6186" s="24" t="str" cm="1">
        <f t="array" ref="R6186">IFERROR(IF($B6186=R$1, ($A6186+$C6186) - MAX(IF($B$2:$B6185=$B6186, $A$2:$A6185+$C$2:$C6185)), "")*24*60, "")</f>
        <v/>
      </c>
      <c r="S6186" s="24" t="str" cm="1">
        <f t="array" ref="S6186">IFERROR(IF($B6186=S$1, ($A6186+$C6186) - MAX(IF($B$2:$B6185=$B6186, $A$2:$A6185+$C$2:$C6185)), "")*24*60, "")</f>
        <v/>
      </c>
    </row>
    <row r="6187" spans="1:19" x14ac:dyDescent="0.2">
      <c r="A6187" s="12">
        <f t="shared" ref="A6187:C6187" si="1331">A6186</f>
        <v>45987</v>
      </c>
      <c r="B6187" s="5" t="str">
        <f t="shared" si="1331"/>
        <v>Northern Cardinal</v>
      </c>
      <c r="C6187" s="6">
        <f t="shared" si="1331"/>
        <v>0.28611111111111109</v>
      </c>
      <c r="D6187" s="5"/>
      <c r="E6187" s="5"/>
      <c r="F6187" s="5" t="s">
        <v>8</v>
      </c>
      <c r="G6187" s="15" t="s">
        <v>9</v>
      </c>
      <c r="H6187" s="24">
        <f t="shared" si="1314"/>
        <v>0</v>
      </c>
      <c r="I6187" s="24" cm="1">
        <f t="array" ref="I6187">IFERROR(IF($B6187=I$1, ($A6187+$C6187) - MAX(IF($B$2:$B6186=$B6187, $A$2:$A6186+$C$2:$C6186)), "")*24*60, "")</f>
        <v>0</v>
      </c>
      <c r="J6187" s="24" t="str" cm="1">
        <f t="array" ref="J6187">IFERROR(IF($B6187=J$1, ($A6187+$C6187) - MAX(IF($B$2:$B6186=$B6187, $A$2:$A6186+$C$2:$C6186)), "")*24*60, "")</f>
        <v/>
      </c>
      <c r="K6187" s="24" t="str" cm="1">
        <f t="array" ref="K6187">IFERROR(IF($B6187=K$1, ($A6187+$C6187) - MAX(IF($B$2:$B6186=$B6187, $A$2:$A6186+$C$2:$C6186)), "")*24*60, "")</f>
        <v/>
      </c>
      <c r="L6187" s="24" t="str" cm="1">
        <f t="array" ref="L6187">IFERROR(IF($B6187=L$1, ($A6187+$C6187) - MAX(IF($B$2:$B6186=$B6187, $A$2:$A6186+$C$2:$C6186)), "")*24*60, "")</f>
        <v/>
      </c>
      <c r="M6187" s="24" t="str" cm="1">
        <f t="array" ref="M6187">IFERROR(IF($B6187=M$1, ($A6187+$C6187) - MAX(IF($B$2:$B6186=$B6187, $A$2:$A6186+$C$2:$C6186)), "")*24*60, "")</f>
        <v/>
      </c>
      <c r="N6187" s="24" t="str" cm="1">
        <f t="array" ref="N6187">IFERROR(IF($B6187=N$1, ($A6187+$C6187) - MAX(IF($B$2:$B6186=$B6187, $A$2:$A6186+$C$2:$C6186)), "")*24*60, "")</f>
        <v/>
      </c>
      <c r="O6187" s="24" t="str" cm="1">
        <f t="array" ref="O6187">IFERROR(IF($B6187=O$1, ($A6187+$C6187) - MAX(IF($B$2:$B6186=$B6187, $A$2:$A6186+$C$2:$C6186)), "")*24*60, "")</f>
        <v/>
      </c>
      <c r="P6187" s="24" t="str" cm="1">
        <f t="array" ref="P6187">IFERROR(IF($B6187=P$1, ($A6187+$C6187) - MAX(IF($B$2:$B6186=$B6187, $A$2:$A6186+$C$2:$C6186)), "")*24*60, "")</f>
        <v/>
      </c>
      <c r="Q6187" s="24" t="str" cm="1">
        <f t="array" ref="Q6187">IFERROR(IF($B6187=Q$1, ($A6187+$C6187) - MAX(IF($B$2:$B6186=$B6187, $A$2:$A6186+$C$2:$C6186)), "")*24*60, "")</f>
        <v/>
      </c>
      <c r="R6187" s="24" t="str" cm="1">
        <f t="array" ref="R6187">IFERROR(IF($B6187=R$1, ($A6187+$C6187) - MAX(IF($B$2:$B6186=$B6187, $A$2:$A6186+$C$2:$C6186)), "")*24*60, "")</f>
        <v/>
      </c>
      <c r="S6187" s="24" t="str" cm="1">
        <f t="array" ref="S6187">IFERROR(IF($B6187=S$1, ($A6187+$C6187) - MAX(IF($B$2:$B6186=$B6187, $A$2:$A6186+$C$2:$C6186)), "")*24*60, "")</f>
        <v/>
      </c>
    </row>
    <row r="6188" spans="1:19" x14ac:dyDescent="0.2">
      <c r="A6188" s="12">
        <f t="shared" ref="A6188:C6188" si="1332">A6187</f>
        <v>45987</v>
      </c>
      <c r="B6188" s="5" t="str">
        <f t="shared" si="1332"/>
        <v>Northern Cardinal</v>
      </c>
      <c r="C6188" s="6">
        <f t="shared" si="1332"/>
        <v>0.28611111111111109</v>
      </c>
      <c r="D6188" s="5"/>
      <c r="E6188" s="5"/>
      <c r="F6188" s="5" t="s">
        <v>8</v>
      </c>
      <c r="G6188" s="15" t="s">
        <v>9</v>
      </c>
      <c r="H6188" s="24">
        <f t="shared" si="1314"/>
        <v>0</v>
      </c>
      <c r="I6188" s="24" cm="1">
        <f t="array" ref="I6188">IFERROR(IF($B6188=I$1, ($A6188+$C6188) - MAX(IF($B$2:$B6187=$B6188, $A$2:$A6187+$C$2:$C6187)), "")*24*60, "")</f>
        <v>0</v>
      </c>
      <c r="J6188" s="24" t="str" cm="1">
        <f t="array" ref="J6188">IFERROR(IF($B6188=J$1, ($A6188+$C6188) - MAX(IF($B$2:$B6187=$B6188, $A$2:$A6187+$C$2:$C6187)), "")*24*60, "")</f>
        <v/>
      </c>
      <c r="K6188" s="24" t="str" cm="1">
        <f t="array" ref="K6188">IFERROR(IF($B6188=K$1, ($A6188+$C6188) - MAX(IF($B$2:$B6187=$B6188, $A$2:$A6187+$C$2:$C6187)), "")*24*60, "")</f>
        <v/>
      </c>
      <c r="L6188" s="24" t="str" cm="1">
        <f t="array" ref="L6188">IFERROR(IF($B6188=L$1, ($A6188+$C6188) - MAX(IF($B$2:$B6187=$B6188, $A$2:$A6187+$C$2:$C6187)), "")*24*60, "")</f>
        <v/>
      </c>
      <c r="M6188" s="24" t="str" cm="1">
        <f t="array" ref="M6188">IFERROR(IF($B6188=M$1, ($A6188+$C6188) - MAX(IF($B$2:$B6187=$B6188, $A$2:$A6187+$C$2:$C6187)), "")*24*60, "")</f>
        <v/>
      </c>
      <c r="N6188" s="24" t="str" cm="1">
        <f t="array" ref="N6188">IFERROR(IF($B6188=N$1, ($A6188+$C6188) - MAX(IF($B$2:$B6187=$B6188, $A$2:$A6187+$C$2:$C6187)), "")*24*60, "")</f>
        <v/>
      </c>
      <c r="O6188" s="24" t="str" cm="1">
        <f t="array" ref="O6188">IFERROR(IF($B6188=O$1, ($A6188+$C6188) - MAX(IF($B$2:$B6187=$B6188, $A$2:$A6187+$C$2:$C6187)), "")*24*60, "")</f>
        <v/>
      </c>
      <c r="P6188" s="24" t="str" cm="1">
        <f t="array" ref="P6188">IFERROR(IF($B6188=P$1, ($A6188+$C6188) - MAX(IF($B$2:$B6187=$B6188, $A$2:$A6187+$C$2:$C6187)), "")*24*60, "")</f>
        <v/>
      </c>
      <c r="Q6188" s="24" t="str" cm="1">
        <f t="array" ref="Q6188">IFERROR(IF($B6188=Q$1, ($A6188+$C6188) - MAX(IF($B$2:$B6187=$B6188, $A$2:$A6187+$C$2:$C6187)), "")*24*60, "")</f>
        <v/>
      </c>
      <c r="R6188" s="24" t="str" cm="1">
        <f t="array" ref="R6188">IFERROR(IF($B6188=R$1, ($A6188+$C6188) - MAX(IF($B$2:$B6187=$B6188, $A$2:$A6187+$C$2:$C6187)), "")*24*60, "")</f>
        <v/>
      </c>
      <c r="S6188" s="24" t="str" cm="1">
        <f t="array" ref="S6188">IFERROR(IF($B6188=S$1, ($A6188+$C6188) - MAX(IF($B$2:$B6187=$B6188, $A$2:$A6187+$C$2:$C6187)), "")*24*60, "")</f>
        <v/>
      </c>
    </row>
    <row r="6189" spans="1:19" x14ac:dyDescent="0.2">
      <c r="A6189" s="12">
        <f t="shared" ref="A6189:C6189" si="1333">A6188</f>
        <v>45987</v>
      </c>
      <c r="B6189" s="5" t="str">
        <f t="shared" si="1333"/>
        <v>Northern Cardinal</v>
      </c>
      <c r="C6189" s="6">
        <f t="shared" si="1333"/>
        <v>0.28611111111111109</v>
      </c>
      <c r="D6189" s="5"/>
      <c r="E6189" s="5"/>
      <c r="F6189" s="5" t="s">
        <v>8</v>
      </c>
      <c r="G6189" s="15" t="s">
        <v>9</v>
      </c>
      <c r="H6189" s="24">
        <f t="shared" si="1314"/>
        <v>0</v>
      </c>
      <c r="I6189" s="24" cm="1">
        <f t="array" ref="I6189">IFERROR(IF($B6189=I$1, ($A6189+$C6189) - MAX(IF($B$2:$B6188=$B6189, $A$2:$A6188+$C$2:$C6188)), "")*24*60, "")</f>
        <v>0</v>
      </c>
      <c r="J6189" s="24" t="str" cm="1">
        <f t="array" ref="J6189">IFERROR(IF($B6189=J$1, ($A6189+$C6189) - MAX(IF($B$2:$B6188=$B6189, $A$2:$A6188+$C$2:$C6188)), "")*24*60, "")</f>
        <v/>
      </c>
      <c r="K6189" s="24" t="str" cm="1">
        <f t="array" ref="K6189">IFERROR(IF($B6189=K$1, ($A6189+$C6189) - MAX(IF($B$2:$B6188=$B6189, $A$2:$A6188+$C$2:$C6188)), "")*24*60, "")</f>
        <v/>
      </c>
      <c r="L6189" s="24" t="str" cm="1">
        <f t="array" ref="L6189">IFERROR(IF($B6189=L$1, ($A6189+$C6189) - MAX(IF($B$2:$B6188=$B6189, $A$2:$A6188+$C$2:$C6188)), "")*24*60, "")</f>
        <v/>
      </c>
      <c r="M6189" s="24" t="str" cm="1">
        <f t="array" ref="M6189">IFERROR(IF($B6189=M$1, ($A6189+$C6189) - MAX(IF($B$2:$B6188=$B6189, $A$2:$A6188+$C$2:$C6188)), "")*24*60, "")</f>
        <v/>
      </c>
      <c r="N6189" s="24" t="str" cm="1">
        <f t="array" ref="N6189">IFERROR(IF($B6189=N$1, ($A6189+$C6189) - MAX(IF($B$2:$B6188=$B6189, $A$2:$A6188+$C$2:$C6188)), "")*24*60, "")</f>
        <v/>
      </c>
      <c r="O6189" s="24" t="str" cm="1">
        <f t="array" ref="O6189">IFERROR(IF($B6189=O$1, ($A6189+$C6189) - MAX(IF($B$2:$B6188=$B6189, $A$2:$A6188+$C$2:$C6188)), "")*24*60, "")</f>
        <v/>
      </c>
      <c r="P6189" s="24" t="str" cm="1">
        <f t="array" ref="P6189">IFERROR(IF($B6189=P$1, ($A6189+$C6189) - MAX(IF($B$2:$B6188=$B6189, $A$2:$A6188+$C$2:$C6188)), "")*24*60, "")</f>
        <v/>
      </c>
      <c r="Q6189" s="24" t="str" cm="1">
        <f t="array" ref="Q6189">IFERROR(IF($B6189=Q$1, ($A6189+$C6189) - MAX(IF($B$2:$B6188=$B6189, $A$2:$A6188+$C$2:$C6188)), "")*24*60, "")</f>
        <v/>
      </c>
      <c r="R6189" s="24" t="str" cm="1">
        <f t="array" ref="R6189">IFERROR(IF($B6189=R$1, ($A6189+$C6189) - MAX(IF($B$2:$B6188=$B6189, $A$2:$A6188+$C$2:$C6188)), "")*24*60, "")</f>
        <v/>
      </c>
      <c r="S6189" s="24" t="str" cm="1">
        <f t="array" ref="S6189">IFERROR(IF($B6189=S$1, ($A6189+$C6189) - MAX(IF($B$2:$B6188=$B6189, $A$2:$A6188+$C$2:$C6188)), "")*24*60, "")</f>
        <v/>
      </c>
    </row>
    <row r="6190" spans="1:19" x14ac:dyDescent="0.2">
      <c r="A6190" s="12">
        <f t="shared" ref="A6190:C6190" si="1334">A6189</f>
        <v>45987</v>
      </c>
      <c r="B6190" s="5" t="str">
        <f t="shared" si="1334"/>
        <v>Northern Cardinal</v>
      </c>
      <c r="C6190" s="6">
        <f t="shared" si="1334"/>
        <v>0.28611111111111109</v>
      </c>
      <c r="D6190" s="5"/>
      <c r="E6190" s="5"/>
      <c r="F6190" s="5" t="s">
        <v>8</v>
      </c>
      <c r="G6190" s="15" t="s">
        <v>9</v>
      </c>
      <c r="H6190" s="24">
        <f t="shared" si="1314"/>
        <v>0</v>
      </c>
      <c r="I6190" s="24" cm="1">
        <f t="array" ref="I6190">IFERROR(IF($B6190=I$1, ($A6190+$C6190) - MAX(IF($B$2:$B6189=$B6190, $A$2:$A6189+$C$2:$C6189)), "")*24*60, "")</f>
        <v>0</v>
      </c>
      <c r="J6190" s="24" t="str" cm="1">
        <f t="array" ref="J6190">IFERROR(IF($B6190=J$1, ($A6190+$C6190) - MAX(IF($B$2:$B6189=$B6190, $A$2:$A6189+$C$2:$C6189)), "")*24*60, "")</f>
        <v/>
      </c>
      <c r="K6190" s="24" t="str" cm="1">
        <f t="array" ref="K6190">IFERROR(IF($B6190=K$1, ($A6190+$C6190) - MAX(IF($B$2:$B6189=$B6190, $A$2:$A6189+$C$2:$C6189)), "")*24*60, "")</f>
        <v/>
      </c>
      <c r="L6190" s="24" t="str" cm="1">
        <f t="array" ref="L6190">IFERROR(IF($B6190=L$1, ($A6190+$C6190) - MAX(IF($B$2:$B6189=$B6190, $A$2:$A6189+$C$2:$C6189)), "")*24*60, "")</f>
        <v/>
      </c>
      <c r="M6190" s="24" t="str" cm="1">
        <f t="array" ref="M6190">IFERROR(IF($B6190=M$1, ($A6190+$C6190) - MAX(IF($B$2:$B6189=$B6190, $A$2:$A6189+$C$2:$C6189)), "")*24*60, "")</f>
        <v/>
      </c>
      <c r="N6190" s="24" t="str" cm="1">
        <f t="array" ref="N6190">IFERROR(IF($B6190=N$1, ($A6190+$C6190) - MAX(IF($B$2:$B6189=$B6190, $A$2:$A6189+$C$2:$C6189)), "")*24*60, "")</f>
        <v/>
      </c>
      <c r="O6190" s="24" t="str" cm="1">
        <f t="array" ref="O6190">IFERROR(IF($B6190=O$1, ($A6190+$C6190) - MAX(IF($B$2:$B6189=$B6190, $A$2:$A6189+$C$2:$C6189)), "")*24*60, "")</f>
        <v/>
      </c>
      <c r="P6190" s="24" t="str" cm="1">
        <f t="array" ref="P6190">IFERROR(IF($B6190=P$1, ($A6190+$C6190) - MAX(IF($B$2:$B6189=$B6190, $A$2:$A6189+$C$2:$C6189)), "")*24*60, "")</f>
        <v/>
      </c>
      <c r="Q6190" s="24" t="str" cm="1">
        <f t="array" ref="Q6190">IFERROR(IF($B6190=Q$1, ($A6190+$C6190) - MAX(IF($B$2:$B6189=$B6190, $A$2:$A6189+$C$2:$C6189)), "")*24*60, "")</f>
        <v/>
      </c>
      <c r="R6190" s="24" t="str" cm="1">
        <f t="array" ref="R6190">IFERROR(IF($B6190=R$1, ($A6190+$C6190) - MAX(IF($B$2:$B6189=$B6190, $A$2:$A6189+$C$2:$C6189)), "")*24*60, "")</f>
        <v/>
      </c>
      <c r="S6190" s="24" t="str" cm="1">
        <f t="array" ref="S6190">IFERROR(IF($B6190=S$1, ($A6190+$C6190) - MAX(IF($B$2:$B6189=$B6190, $A$2:$A6189+$C$2:$C6189)), "")*24*60, "")</f>
        <v/>
      </c>
    </row>
    <row r="6191" spans="1:19" x14ac:dyDescent="0.2">
      <c r="A6191" s="12">
        <f t="shared" ref="A6191:C6191" si="1335">A6190</f>
        <v>45987</v>
      </c>
      <c r="B6191" s="5" t="str">
        <f t="shared" si="1335"/>
        <v>Northern Cardinal</v>
      </c>
      <c r="C6191" s="6">
        <f t="shared" si="1335"/>
        <v>0.28611111111111109</v>
      </c>
      <c r="D6191" s="5"/>
      <c r="E6191" s="5"/>
      <c r="F6191" s="5" t="s">
        <v>8</v>
      </c>
      <c r="G6191" s="15" t="s">
        <v>9</v>
      </c>
      <c r="H6191" s="24">
        <f t="shared" si="1314"/>
        <v>0</v>
      </c>
      <c r="I6191" s="24" cm="1">
        <f t="array" ref="I6191">IFERROR(IF($B6191=I$1, ($A6191+$C6191) - MAX(IF($B$2:$B6190=$B6191, $A$2:$A6190+$C$2:$C6190)), "")*24*60, "")</f>
        <v>0</v>
      </c>
      <c r="J6191" s="24" t="str" cm="1">
        <f t="array" ref="J6191">IFERROR(IF($B6191=J$1, ($A6191+$C6191) - MAX(IF($B$2:$B6190=$B6191, $A$2:$A6190+$C$2:$C6190)), "")*24*60, "")</f>
        <v/>
      </c>
      <c r="K6191" s="24" t="str" cm="1">
        <f t="array" ref="K6191">IFERROR(IF($B6191=K$1, ($A6191+$C6191) - MAX(IF($B$2:$B6190=$B6191, $A$2:$A6190+$C$2:$C6190)), "")*24*60, "")</f>
        <v/>
      </c>
      <c r="L6191" s="24" t="str" cm="1">
        <f t="array" ref="L6191">IFERROR(IF($B6191=L$1, ($A6191+$C6191) - MAX(IF($B$2:$B6190=$B6191, $A$2:$A6190+$C$2:$C6190)), "")*24*60, "")</f>
        <v/>
      </c>
      <c r="M6191" s="24" t="str" cm="1">
        <f t="array" ref="M6191">IFERROR(IF($B6191=M$1, ($A6191+$C6191) - MAX(IF($B$2:$B6190=$B6191, $A$2:$A6190+$C$2:$C6190)), "")*24*60, "")</f>
        <v/>
      </c>
      <c r="N6191" s="24" t="str" cm="1">
        <f t="array" ref="N6191">IFERROR(IF($B6191=N$1, ($A6191+$C6191) - MAX(IF($B$2:$B6190=$B6191, $A$2:$A6190+$C$2:$C6190)), "")*24*60, "")</f>
        <v/>
      </c>
      <c r="O6191" s="24" t="str" cm="1">
        <f t="array" ref="O6191">IFERROR(IF($B6191=O$1, ($A6191+$C6191) - MAX(IF($B$2:$B6190=$B6191, $A$2:$A6190+$C$2:$C6190)), "")*24*60, "")</f>
        <v/>
      </c>
      <c r="P6191" s="24" t="str" cm="1">
        <f t="array" ref="P6191">IFERROR(IF($B6191=P$1, ($A6191+$C6191) - MAX(IF($B$2:$B6190=$B6191, $A$2:$A6190+$C$2:$C6190)), "")*24*60, "")</f>
        <v/>
      </c>
      <c r="Q6191" s="24" t="str" cm="1">
        <f t="array" ref="Q6191">IFERROR(IF($B6191=Q$1, ($A6191+$C6191) - MAX(IF($B$2:$B6190=$B6191, $A$2:$A6190+$C$2:$C6190)), "")*24*60, "")</f>
        <v/>
      </c>
      <c r="R6191" s="24" t="str" cm="1">
        <f t="array" ref="R6191">IFERROR(IF($B6191=R$1, ($A6191+$C6191) - MAX(IF($B$2:$B6190=$B6191, $A$2:$A6190+$C$2:$C6190)), "")*24*60, "")</f>
        <v/>
      </c>
      <c r="S6191" s="24" t="str" cm="1">
        <f t="array" ref="S6191">IFERROR(IF($B6191=S$1, ($A6191+$C6191) - MAX(IF($B$2:$B6190=$B6191, $A$2:$A6190+$C$2:$C6190)), "")*24*60, "")</f>
        <v/>
      </c>
    </row>
    <row r="6192" spans="1:19" x14ac:dyDescent="0.2">
      <c r="A6192" s="12">
        <f t="shared" ref="A6192:C6192" si="1336">A6191</f>
        <v>45987</v>
      </c>
      <c r="B6192" s="5" t="str">
        <f t="shared" si="1336"/>
        <v>Northern Cardinal</v>
      </c>
      <c r="C6192" s="6">
        <f t="shared" si="1336"/>
        <v>0.28611111111111109</v>
      </c>
      <c r="D6192" s="5"/>
      <c r="E6192" s="5"/>
      <c r="F6192" s="5" t="s">
        <v>8</v>
      </c>
      <c r="G6192" s="15" t="s">
        <v>9</v>
      </c>
      <c r="H6192" s="24">
        <f t="shared" si="1314"/>
        <v>0</v>
      </c>
      <c r="I6192" s="24" cm="1">
        <f t="array" ref="I6192">IFERROR(IF($B6192=I$1, ($A6192+$C6192) - MAX(IF($B$2:$B6191=$B6192, $A$2:$A6191+$C$2:$C6191)), "")*24*60, "")</f>
        <v>0</v>
      </c>
      <c r="J6192" s="24" t="str" cm="1">
        <f t="array" ref="J6192">IFERROR(IF($B6192=J$1, ($A6192+$C6192) - MAX(IF($B$2:$B6191=$B6192, $A$2:$A6191+$C$2:$C6191)), "")*24*60, "")</f>
        <v/>
      </c>
      <c r="K6192" s="24" t="str" cm="1">
        <f t="array" ref="K6192">IFERROR(IF($B6192=K$1, ($A6192+$C6192) - MAX(IF($B$2:$B6191=$B6192, $A$2:$A6191+$C$2:$C6191)), "")*24*60, "")</f>
        <v/>
      </c>
      <c r="L6192" s="24" t="str" cm="1">
        <f t="array" ref="L6192">IFERROR(IF($B6192=L$1, ($A6192+$C6192) - MAX(IF($B$2:$B6191=$B6192, $A$2:$A6191+$C$2:$C6191)), "")*24*60, "")</f>
        <v/>
      </c>
      <c r="M6192" s="24" t="str" cm="1">
        <f t="array" ref="M6192">IFERROR(IF($B6192=M$1, ($A6192+$C6192) - MAX(IF($B$2:$B6191=$B6192, $A$2:$A6191+$C$2:$C6191)), "")*24*60, "")</f>
        <v/>
      </c>
      <c r="N6192" s="24" t="str" cm="1">
        <f t="array" ref="N6192">IFERROR(IF($B6192=N$1, ($A6192+$C6192) - MAX(IF($B$2:$B6191=$B6192, $A$2:$A6191+$C$2:$C6191)), "")*24*60, "")</f>
        <v/>
      </c>
      <c r="O6192" s="24" t="str" cm="1">
        <f t="array" ref="O6192">IFERROR(IF($B6192=O$1, ($A6192+$C6192) - MAX(IF($B$2:$B6191=$B6192, $A$2:$A6191+$C$2:$C6191)), "")*24*60, "")</f>
        <v/>
      </c>
      <c r="P6192" s="24" t="str" cm="1">
        <f t="array" ref="P6192">IFERROR(IF($B6192=P$1, ($A6192+$C6192) - MAX(IF($B$2:$B6191=$B6192, $A$2:$A6191+$C$2:$C6191)), "")*24*60, "")</f>
        <v/>
      </c>
      <c r="Q6192" s="24" t="str" cm="1">
        <f t="array" ref="Q6192">IFERROR(IF($B6192=Q$1, ($A6192+$C6192) - MAX(IF($B$2:$B6191=$B6192, $A$2:$A6191+$C$2:$C6191)), "")*24*60, "")</f>
        <v/>
      </c>
      <c r="R6192" s="24" t="str" cm="1">
        <f t="array" ref="R6192">IFERROR(IF($B6192=R$1, ($A6192+$C6192) - MAX(IF($B$2:$B6191=$B6192, $A$2:$A6191+$C$2:$C6191)), "")*24*60, "")</f>
        <v/>
      </c>
      <c r="S6192" s="24" t="str" cm="1">
        <f t="array" ref="S6192">IFERROR(IF($B6192=S$1, ($A6192+$C6192) - MAX(IF($B$2:$B6191=$B6192, $A$2:$A6191+$C$2:$C6191)), "")*24*60, "")</f>
        <v/>
      </c>
    </row>
    <row r="6193" spans="1:19" x14ac:dyDescent="0.2">
      <c r="A6193" s="12">
        <f t="shared" ref="A6193:C6193" si="1337">A6192</f>
        <v>45987</v>
      </c>
      <c r="B6193" s="5" t="str">
        <f t="shared" si="1337"/>
        <v>Northern Cardinal</v>
      </c>
      <c r="C6193" s="6">
        <f t="shared" si="1337"/>
        <v>0.28611111111111109</v>
      </c>
      <c r="D6193" s="5"/>
      <c r="E6193" s="5"/>
      <c r="F6193" s="5" t="s">
        <v>8</v>
      </c>
      <c r="G6193" s="15" t="s">
        <v>9</v>
      </c>
      <c r="H6193" s="24">
        <f t="shared" si="1314"/>
        <v>0</v>
      </c>
      <c r="I6193" s="24" cm="1">
        <f t="array" ref="I6193">IFERROR(IF($B6193=I$1, ($A6193+$C6193) - MAX(IF($B$2:$B6192=$B6193, $A$2:$A6192+$C$2:$C6192)), "")*24*60, "")</f>
        <v>0</v>
      </c>
      <c r="J6193" s="24" t="str" cm="1">
        <f t="array" ref="J6193">IFERROR(IF($B6193=J$1, ($A6193+$C6193) - MAX(IF($B$2:$B6192=$B6193, $A$2:$A6192+$C$2:$C6192)), "")*24*60, "")</f>
        <v/>
      </c>
      <c r="K6193" s="24" t="str" cm="1">
        <f t="array" ref="K6193">IFERROR(IF($B6193=K$1, ($A6193+$C6193) - MAX(IF($B$2:$B6192=$B6193, $A$2:$A6192+$C$2:$C6192)), "")*24*60, "")</f>
        <v/>
      </c>
      <c r="L6193" s="24" t="str" cm="1">
        <f t="array" ref="L6193">IFERROR(IF($B6193=L$1, ($A6193+$C6193) - MAX(IF($B$2:$B6192=$B6193, $A$2:$A6192+$C$2:$C6192)), "")*24*60, "")</f>
        <v/>
      </c>
      <c r="M6193" s="24" t="str" cm="1">
        <f t="array" ref="M6193">IFERROR(IF($B6193=M$1, ($A6193+$C6193) - MAX(IF($B$2:$B6192=$B6193, $A$2:$A6192+$C$2:$C6192)), "")*24*60, "")</f>
        <v/>
      </c>
      <c r="N6193" s="24" t="str" cm="1">
        <f t="array" ref="N6193">IFERROR(IF($B6193=N$1, ($A6193+$C6193) - MAX(IF($B$2:$B6192=$B6193, $A$2:$A6192+$C$2:$C6192)), "")*24*60, "")</f>
        <v/>
      </c>
      <c r="O6193" s="24" t="str" cm="1">
        <f t="array" ref="O6193">IFERROR(IF($B6193=O$1, ($A6193+$C6193) - MAX(IF($B$2:$B6192=$B6193, $A$2:$A6192+$C$2:$C6192)), "")*24*60, "")</f>
        <v/>
      </c>
      <c r="P6193" s="24" t="str" cm="1">
        <f t="array" ref="P6193">IFERROR(IF($B6193=P$1, ($A6193+$C6193) - MAX(IF($B$2:$B6192=$B6193, $A$2:$A6192+$C$2:$C6192)), "")*24*60, "")</f>
        <v/>
      </c>
      <c r="Q6193" s="24" t="str" cm="1">
        <f t="array" ref="Q6193">IFERROR(IF($B6193=Q$1, ($A6193+$C6193) - MAX(IF($B$2:$B6192=$B6193, $A$2:$A6192+$C$2:$C6192)), "")*24*60, "")</f>
        <v/>
      </c>
      <c r="R6193" s="24" t="str" cm="1">
        <f t="array" ref="R6193">IFERROR(IF($B6193=R$1, ($A6193+$C6193) - MAX(IF($B$2:$B6192=$B6193, $A$2:$A6192+$C$2:$C6192)), "")*24*60, "")</f>
        <v/>
      </c>
      <c r="S6193" s="24" t="str" cm="1">
        <f t="array" ref="S6193">IFERROR(IF($B6193=S$1, ($A6193+$C6193) - MAX(IF($B$2:$B6192=$B6193, $A$2:$A6192+$C$2:$C6192)), "")*24*60, "")</f>
        <v/>
      </c>
    </row>
    <row r="6194" spans="1:19" x14ac:dyDescent="0.2">
      <c r="A6194" s="12">
        <f t="shared" ref="A6194:C6194" si="1338">A6193</f>
        <v>45987</v>
      </c>
      <c r="B6194" s="5" t="str">
        <f t="shared" si="1338"/>
        <v>Northern Cardinal</v>
      </c>
      <c r="C6194" s="6">
        <f t="shared" si="1338"/>
        <v>0.28611111111111109</v>
      </c>
      <c r="D6194" s="5"/>
      <c r="E6194" s="5"/>
      <c r="F6194" s="5" t="s">
        <v>8</v>
      </c>
      <c r="G6194" s="15" t="s">
        <v>9</v>
      </c>
      <c r="H6194" s="24">
        <f t="shared" si="1314"/>
        <v>0</v>
      </c>
      <c r="I6194" s="24" cm="1">
        <f t="array" ref="I6194">IFERROR(IF($B6194=I$1, ($A6194+$C6194) - MAX(IF($B$2:$B6193=$B6194, $A$2:$A6193+$C$2:$C6193)), "")*24*60, "")</f>
        <v>0</v>
      </c>
      <c r="J6194" s="24" t="str" cm="1">
        <f t="array" ref="J6194">IFERROR(IF($B6194=J$1, ($A6194+$C6194) - MAX(IF($B$2:$B6193=$B6194, $A$2:$A6193+$C$2:$C6193)), "")*24*60, "")</f>
        <v/>
      </c>
      <c r="K6194" s="24" t="str" cm="1">
        <f t="array" ref="K6194">IFERROR(IF($B6194=K$1, ($A6194+$C6194) - MAX(IF($B$2:$B6193=$B6194, $A$2:$A6193+$C$2:$C6193)), "")*24*60, "")</f>
        <v/>
      </c>
      <c r="L6194" s="24" t="str" cm="1">
        <f t="array" ref="L6194">IFERROR(IF($B6194=L$1, ($A6194+$C6194) - MAX(IF($B$2:$B6193=$B6194, $A$2:$A6193+$C$2:$C6193)), "")*24*60, "")</f>
        <v/>
      </c>
      <c r="M6194" s="24" t="str" cm="1">
        <f t="array" ref="M6194">IFERROR(IF($B6194=M$1, ($A6194+$C6194) - MAX(IF($B$2:$B6193=$B6194, $A$2:$A6193+$C$2:$C6193)), "")*24*60, "")</f>
        <v/>
      </c>
      <c r="N6194" s="24" t="str" cm="1">
        <f t="array" ref="N6194">IFERROR(IF($B6194=N$1, ($A6194+$C6194) - MAX(IF($B$2:$B6193=$B6194, $A$2:$A6193+$C$2:$C6193)), "")*24*60, "")</f>
        <v/>
      </c>
      <c r="O6194" s="24" t="str" cm="1">
        <f t="array" ref="O6194">IFERROR(IF($B6194=O$1, ($A6194+$C6194) - MAX(IF($B$2:$B6193=$B6194, $A$2:$A6193+$C$2:$C6193)), "")*24*60, "")</f>
        <v/>
      </c>
      <c r="P6194" s="24" t="str" cm="1">
        <f t="array" ref="P6194">IFERROR(IF($B6194=P$1, ($A6194+$C6194) - MAX(IF($B$2:$B6193=$B6194, $A$2:$A6193+$C$2:$C6193)), "")*24*60, "")</f>
        <v/>
      </c>
      <c r="Q6194" s="24" t="str" cm="1">
        <f t="array" ref="Q6194">IFERROR(IF($B6194=Q$1, ($A6194+$C6194) - MAX(IF($B$2:$B6193=$B6194, $A$2:$A6193+$C$2:$C6193)), "")*24*60, "")</f>
        <v/>
      </c>
      <c r="R6194" s="24" t="str" cm="1">
        <f t="array" ref="R6194">IFERROR(IF($B6194=R$1, ($A6194+$C6194) - MAX(IF($B$2:$B6193=$B6194, $A$2:$A6193+$C$2:$C6193)), "")*24*60, "")</f>
        <v/>
      </c>
      <c r="S6194" s="24" t="str" cm="1">
        <f t="array" ref="S6194">IFERROR(IF($B6194=S$1, ($A6194+$C6194) - MAX(IF($B$2:$B6193=$B6194, $A$2:$A6193+$C$2:$C6193)), "")*24*60, "")</f>
        <v/>
      </c>
    </row>
    <row r="6195" spans="1:19" x14ac:dyDescent="0.2">
      <c r="A6195" s="12">
        <f t="shared" ref="A6195:C6195" si="1339">A6194</f>
        <v>45987</v>
      </c>
      <c r="B6195" s="5" t="str">
        <f t="shared" si="1339"/>
        <v>Northern Cardinal</v>
      </c>
      <c r="C6195" s="6">
        <f t="shared" si="1339"/>
        <v>0.28611111111111109</v>
      </c>
      <c r="D6195" s="5"/>
      <c r="E6195" s="5"/>
      <c r="F6195" s="5" t="s">
        <v>8</v>
      </c>
      <c r="G6195" s="15" t="s">
        <v>9</v>
      </c>
      <c r="H6195" s="24">
        <f t="shared" si="1314"/>
        <v>0</v>
      </c>
      <c r="I6195" s="24" cm="1">
        <f t="array" ref="I6195">IFERROR(IF($B6195=I$1, ($A6195+$C6195) - MAX(IF($B$2:$B6194=$B6195, $A$2:$A6194+$C$2:$C6194)), "")*24*60, "")</f>
        <v>0</v>
      </c>
      <c r="J6195" s="24" t="str" cm="1">
        <f t="array" ref="J6195">IFERROR(IF($B6195=J$1, ($A6195+$C6195) - MAX(IF($B$2:$B6194=$B6195, $A$2:$A6194+$C$2:$C6194)), "")*24*60, "")</f>
        <v/>
      </c>
      <c r="K6195" s="24" t="str" cm="1">
        <f t="array" ref="K6195">IFERROR(IF($B6195=K$1, ($A6195+$C6195) - MAX(IF($B$2:$B6194=$B6195, $A$2:$A6194+$C$2:$C6194)), "")*24*60, "")</f>
        <v/>
      </c>
      <c r="L6195" s="24" t="str" cm="1">
        <f t="array" ref="L6195">IFERROR(IF($B6195=L$1, ($A6195+$C6195) - MAX(IF($B$2:$B6194=$B6195, $A$2:$A6194+$C$2:$C6194)), "")*24*60, "")</f>
        <v/>
      </c>
      <c r="M6195" s="24" t="str" cm="1">
        <f t="array" ref="M6195">IFERROR(IF($B6195=M$1, ($A6195+$C6195) - MAX(IF($B$2:$B6194=$B6195, $A$2:$A6194+$C$2:$C6194)), "")*24*60, "")</f>
        <v/>
      </c>
      <c r="N6195" s="24" t="str" cm="1">
        <f t="array" ref="N6195">IFERROR(IF($B6195=N$1, ($A6195+$C6195) - MAX(IF($B$2:$B6194=$B6195, $A$2:$A6194+$C$2:$C6194)), "")*24*60, "")</f>
        <v/>
      </c>
      <c r="O6195" s="24" t="str" cm="1">
        <f t="array" ref="O6195">IFERROR(IF($B6195=O$1, ($A6195+$C6195) - MAX(IF($B$2:$B6194=$B6195, $A$2:$A6194+$C$2:$C6194)), "")*24*60, "")</f>
        <v/>
      </c>
      <c r="P6195" s="24" t="str" cm="1">
        <f t="array" ref="P6195">IFERROR(IF($B6195=P$1, ($A6195+$C6195) - MAX(IF($B$2:$B6194=$B6195, $A$2:$A6194+$C$2:$C6194)), "")*24*60, "")</f>
        <v/>
      </c>
      <c r="Q6195" s="24" t="str" cm="1">
        <f t="array" ref="Q6195">IFERROR(IF($B6195=Q$1, ($A6195+$C6195) - MAX(IF($B$2:$B6194=$B6195, $A$2:$A6194+$C$2:$C6194)), "")*24*60, "")</f>
        <v/>
      </c>
      <c r="R6195" s="24" t="str" cm="1">
        <f t="array" ref="R6195">IFERROR(IF($B6195=R$1, ($A6195+$C6195) - MAX(IF($B$2:$B6194=$B6195, $A$2:$A6194+$C$2:$C6194)), "")*24*60, "")</f>
        <v/>
      </c>
      <c r="S6195" s="24" t="str" cm="1">
        <f t="array" ref="S6195">IFERROR(IF($B6195=S$1, ($A6195+$C6195) - MAX(IF($B$2:$B6194=$B6195, $A$2:$A6194+$C$2:$C6194)), "")*24*60, "")</f>
        <v/>
      </c>
    </row>
    <row r="6196" spans="1:19" x14ac:dyDescent="0.2">
      <c r="A6196" s="12">
        <f t="shared" ref="A6196:C6196" si="1340">A6195</f>
        <v>45987</v>
      </c>
      <c r="B6196" s="5" t="str">
        <f t="shared" si="1340"/>
        <v>Northern Cardinal</v>
      </c>
      <c r="C6196" s="6">
        <f t="shared" si="1340"/>
        <v>0.28611111111111109</v>
      </c>
      <c r="D6196" s="5"/>
      <c r="E6196" s="5"/>
      <c r="F6196" s="5" t="s">
        <v>8</v>
      </c>
      <c r="G6196" s="15" t="s">
        <v>9</v>
      </c>
      <c r="H6196" s="24">
        <f t="shared" si="1314"/>
        <v>0</v>
      </c>
      <c r="I6196" s="24" cm="1">
        <f t="array" ref="I6196">IFERROR(IF($B6196=I$1, ($A6196+$C6196) - MAX(IF($B$2:$B6195=$B6196, $A$2:$A6195+$C$2:$C6195)), "")*24*60, "")</f>
        <v>0</v>
      </c>
      <c r="J6196" s="24" t="str" cm="1">
        <f t="array" ref="J6196">IFERROR(IF($B6196=J$1, ($A6196+$C6196) - MAX(IF($B$2:$B6195=$B6196, $A$2:$A6195+$C$2:$C6195)), "")*24*60, "")</f>
        <v/>
      </c>
      <c r="K6196" s="24" t="str" cm="1">
        <f t="array" ref="K6196">IFERROR(IF($B6196=K$1, ($A6196+$C6196) - MAX(IF($B$2:$B6195=$B6196, $A$2:$A6195+$C$2:$C6195)), "")*24*60, "")</f>
        <v/>
      </c>
      <c r="L6196" s="24" t="str" cm="1">
        <f t="array" ref="L6196">IFERROR(IF($B6196=L$1, ($A6196+$C6196) - MAX(IF($B$2:$B6195=$B6196, $A$2:$A6195+$C$2:$C6195)), "")*24*60, "")</f>
        <v/>
      </c>
      <c r="M6196" s="24" t="str" cm="1">
        <f t="array" ref="M6196">IFERROR(IF($B6196=M$1, ($A6196+$C6196) - MAX(IF($B$2:$B6195=$B6196, $A$2:$A6195+$C$2:$C6195)), "")*24*60, "")</f>
        <v/>
      </c>
      <c r="N6196" s="24" t="str" cm="1">
        <f t="array" ref="N6196">IFERROR(IF($B6196=N$1, ($A6196+$C6196) - MAX(IF($B$2:$B6195=$B6196, $A$2:$A6195+$C$2:$C6195)), "")*24*60, "")</f>
        <v/>
      </c>
      <c r="O6196" s="24" t="str" cm="1">
        <f t="array" ref="O6196">IFERROR(IF($B6196=O$1, ($A6196+$C6196) - MAX(IF($B$2:$B6195=$B6196, $A$2:$A6195+$C$2:$C6195)), "")*24*60, "")</f>
        <v/>
      </c>
      <c r="P6196" s="24" t="str" cm="1">
        <f t="array" ref="P6196">IFERROR(IF($B6196=P$1, ($A6196+$C6196) - MAX(IF($B$2:$B6195=$B6196, $A$2:$A6195+$C$2:$C6195)), "")*24*60, "")</f>
        <v/>
      </c>
      <c r="Q6196" s="24" t="str" cm="1">
        <f t="array" ref="Q6196">IFERROR(IF($B6196=Q$1, ($A6196+$C6196) - MAX(IF($B$2:$B6195=$B6196, $A$2:$A6195+$C$2:$C6195)), "")*24*60, "")</f>
        <v/>
      </c>
      <c r="R6196" s="24" t="str" cm="1">
        <f t="array" ref="R6196">IFERROR(IF($B6196=R$1, ($A6196+$C6196) - MAX(IF($B$2:$B6195=$B6196, $A$2:$A6195+$C$2:$C6195)), "")*24*60, "")</f>
        <v/>
      </c>
      <c r="S6196" s="24" t="str" cm="1">
        <f t="array" ref="S6196">IFERROR(IF($B6196=S$1, ($A6196+$C6196) - MAX(IF($B$2:$B6195=$B6196, $A$2:$A6195+$C$2:$C6195)), "")*24*60, "")</f>
        <v/>
      </c>
    </row>
    <row r="6197" spans="1:19" x14ac:dyDescent="0.2">
      <c r="A6197" s="12">
        <f t="shared" ref="A6197:C6197" si="1341">A6196</f>
        <v>45987</v>
      </c>
      <c r="B6197" s="5" t="str">
        <f t="shared" si="1341"/>
        <v>Northern Cardinal</v>
      </c>
      <c r="C6197" s="6">
        <f t="shared" si="1341"/>
        <v>0.28611111111111109</v>
      </c>
      <c r="D6197" s="5"/>
      <c r="E6197" s="5"/>
      <c r="F6197" s="5" t="s">
        <v>8</v>
      </c>
      <c r="G6197" s="15" t="s">
        <v>9</v>
      </c>
      <c r="H6197" s="24">
        <f t="shared" si="1314"/>
        <v>0</v>
      </c>
      <c r="I6197" s="24" cm="1">
        <f t="array" ref="I6197">IFERROR(IF($B6197=I$1, ($A6197+$C6197) - MAX(IF($B$2:$B6196=$B6197, $A$2:$A6196+$C$2:$C6196)), "")*24*60, "")</f>
        <v>0</v>
      </c>
      <c r="J6197" s="24" t="str" cm="1">
        <f t="array" ref="J6197">IFERROR(IF($B6197=J$1, ($A6197+$C6197) - MAX(IF($B$2:$B6196=$B6197, $A$2:$A6196+$C$2:$C6196)), "")*24*60, "")</f>
        <v/>
      </c>
      <c r="K6197" s="24" t="str" cm="1">
        <f t="array" ref="K6197">IFERROR(IF($B6197=K$1, ($A6197+$C6197) - MAX(IF($B$2:$B6196=$B6197, $A$2:$A6196+$C$2:$C6196)), "")*24*60, "")</f>
        <v/>
      </c>
      <c r="L6197" s="24" t="str" cm="1">
        <f t="array" ref="L6197">IFERROR(IF($B6197=L$1, ($A6197+$C6197) - MAX(IF($B$2:$B6196=$B6197, $A$2:$A6196+$C$2:$C6196)), "")*24*60, "")</f>
        <v/>
      </c>
      <c r="M6197" s="24" t="str" cm="1">
        <f t="array" ref="M6197">IFERROR(IF($B6197=M$1, ($A6197+$C6197) - MAX(IF($B$2:$B6196=$B6197, $A$2:$A6196+$C$2:$C6196)), "")*24*60, "")</f>
        <v/>
      </c>
      <c r="N6197" s="24" t="str" cm="1">
        <f t="array" ref="N6197">IFERROR(IF($B6197=N$1, ($A6197+$C6197) - MAX(IF($B$2:$B6196=$B6197, $A$2:$A6196+$C$2:$C6196)), "")*24*60, "")</f>
        <v/>
      </c>
      <c r="O6197" s="24" t="str" cm="1">
        <f t="array" ref="O6197">IFERROR(IF($B6197=O$1, ($A6197+$C6197) - MAX(IF($B$2:$B6196=$B6197, $A$2:$A6196+$C$2:$C6196)), "")*24*60, "")</f>
        <v/>
      </c>
      <c r="P6197" s="24" t="str" cm="1">
        <f t="array" ref="P6197">IFERROR(IF($B6197=P$1, ($A6197+$C6197) - MAX(IF($B$2:$B6196=$B6197, $A$2:$A6196+$C$2:$C6196)), "")*24*60, "")</f>
        <v/>
      </c>
      <c r="Q6197" s="24" t="str" cm="1">
        <f t="array" ref="Q6197">IFERROR(IF($B6197=Q$1, ($A6197+$C6197) - MAX(IF($B$2:$B6196=$B6197, $A$2:$A6196+$C$2:$C6196)), "")*24*60, "")</f>
        <v/>
      </c>
      <c r="R6197" s="24" t="str" cm="1">
        <f t="array" ref="R6197">IFERROR(IF($B6197=R$1, ($A6197+$C6197) - MAX(IF($B$2:$B6196=$B6197, $A$2:$A6196+$C$2:$C6196)), "")*24*60, "")</f>
        <v/>
      </c>
      <c r="S6197" s="24" t="str" cm="1">
        <f t="array" ref="S6197">IFERROR(IF($B6197=S$1, ($A6197+$C6197) - MAX(IF($B$2:$B6196=$B6197, $A$2:$A6196+$C$2:$C6196)), "")*24*60, "")</f>
        <v/>
      </c>
    </row>
    <row r="6198" spans="1:19" x14ac:dyDescent="0.2">
      <c r="A6198" s="12">
        <f t="shared" ref="A6198:C6198" si="1342">A6197</f>
        <v>45987</v>
      </c>
      <c r="B6198" s="5" t="str">
        <f t="shared" si="1342"/>
        <v>Northern Cardinal</v>
      </c>
      <c r="C6198" s="6">
        <f t="shared" si="1342"/>
        <v>0.28611111111111109</v>
      </c>
      <c r="D6198" s="5"/>
      <c r="E6198" s="5"/>
      <c r="F6198" s="5" t="s">
        <v>8</v>
      </c>
      <c r="G6198" s="15" t="s">
        <v>9</v>
      </c>
      <c r="H6198" s="24">
        <f t="shared" si="1314"/>
        <v>0</v>
      </c>
      <c r="I6198" s="24" cm="1">
        <f t="array" ref="I6198">IFERROR(IF($B6198=I$1, ($A6198+$C6198) - MAX(IF($B$2:$B6197=$B6198, $A$2:$A6197+$C$2:$C6197)), "")*24*60, "")</f>
        <v>0</v>
      </c>
      <c r="J6198" s="24" t="str" cm="1">
        <f t="array" ref="J6198">IFERROR(IF($B6198=J$1, ($A6198+$C6198) - MAX(IF($B$2:$B6197=$B6198, $A$2:$A6197+$C$2:$C6197)), "")*24*60, "")</f>
        <v/>
      </c>
      <c r="K6198" s="24" t="str" cm="1">
        <f t="array" ref="K6198">IFERROR(IF($B6198=K$1, ($A6198+$C6198) - MAX(IF($B$2:$B6197=$B6198, $A$2:$A6197+$C$2:$C6197)), "")*24*60, "")</f>
        <v/>
      </c>
      <c r="L6198" s="24" t="str" cm="1">
        <f t="array" ref="L6198">IFERROR(IF($B6198=L$1, ($A6198+$C6198) - MAX(IF($B$2:$B6197=$B6198, $A$2:$A6197+$C$2:$C6197)), "")*24*60, "")</f>
        <v/>
      </c>
      <c r="M6198" s="24" t="str" cm="1">
        <f t="array" ref="M6198">IFERROR(IF($B6198=M$1, ($A6198+$C6198) - MAX(IF($B$2:$B6197=$B6198, $A$2:$A6197+$C$2:$C6197)), "")*24*60, "")</f>
        <v/>
      </c>
      <c r="N6198" s="24" t="str" cm="1">
        <f t="array" ref="N6198">IFERROR(IF($B6198=N$1, ($A6198+$C6198) - MAX(IF($B$2:$B6197=$B6198, $A$2:$A6197+$C$2:$C6197)), "")*24*60, "")</f>
        <v/>
      </c>
      <c r="O6198" s="24" t="str" cm="1">
        <f t="array" ref="O6198">IFERROR(IF($B6198=O$1, ($A6198+$C6198) - MAX(IF($B$2:$B6197=$B6198, $A$2:$A6197+$C$2:$C6197)), "")*24*60, "")</f>
        <v/>
      </c>
      <c r="P6198" s="24" t="str" cm="1">
        <f t="array" ref="P6198">IFERROR(IF($B6198=P$1, ($A6198+$C6198) - MAX(IF($B$2:$B6197=$B6198, $A$2:$A6197+$C$2:$C6197)), "")*24*60, "")</f>
        <v/>
      </c>
      <c r="Q6198" s="24" t="str" cm="1">
        <f t="array" ref="Q6198">IFERROR(IF($B6198=Q$1, ($A6198+$C6198) - MAX(IF($B$2:$B6197=$B6198, $A$2:$A6197+$C$2:$C6197)), "")*24*60, "")</f>
        <v/>
      </c>
      <c r="R6198" s="24" t="str" cm="1">
        <f t="array" ref="R6198">IFERROR(IF($B6198=R$1, ($A6198+$C6198) - MAX(IF($B$2:$B6197=$B6198, $A$2:$A6197+$C$2:$C6197)), "")*24*60, "")</f>
        <v/>
      </c>
      <c r="S6198" s="24" t="str" cm="1">
        <f t="array" ref="S6198">IFERROR(IF($B6198=S$1, ($A6198+$C6198) - MAX(IF($B$2:$B6197=$B6198, $A$2:$A6197+$C$2:$C6197)), "")*24*60, "")</f>
        <v/>
      </c>
    </row>
    <row r="6199" spans="1:19" x14ac:dyDescent="0.2">
      <c r="A6199" s="12">
        <f t="shared" ref="A6199:C6199" si="1343">A6198</f>
        <v>45987</v>
      </c>
      <c r="B6199" s="5" t="str">
        <f t="shared" si="1343"/>
        <v>Northern Cardinal</v>
      </c>
      <c r="C6199" s="6">
        <f t="shared" si="1343"/>
        <v>0.28611111111111109</v>
      </c>
      <c r="D6199" s="5"/>
      <c r="E6199" s="5"/>
      <c r="F6199" s="5" t="s">
        <v>8</v>
      </c>
      <c r="G6199" s="15" t="s">
        <v>9</v>
      </c>
      <c r="H6199" s="24">
        <f t="shared" si="1314"/>
        <v>0</v>
      </c>
      <c r="I6199" s="24" cm="1">
        <f t="array" ref="I6199">IFERROR(IF($B6199=I$1, ($A6199+$C6199) - MAX(IF($B$2:$B6198=$B6199, $A$2:$A6198+$C$2:$C6198)), "")*24*60, "")</f>
        <v>0</v>
      </c>
      <c r="J6199" s="24" t="str" cm="1">
        <f t="array" ref="J6199">IFERROR(IF($B6199=J$1, ($A6199+$C6199) - MAX(IF($B$2:$B6198=$B6199, $A$2:$A6198+$C$2:$C6198)), "")*24*60, "")</f>
        <v/>
      </c>
      <c r="K6199" s="24" t="str" cm="1">
        <f t="array" ref="K6199">IFERROR(IF($B6199=K$1, ($A6199+$C6199) - MAX(IF($B$2:$B6198=$B6199, $A$2:$A6198+$C$2:$C6198)), "")*24*60, "")</f>
        <v/>
      </c>
      <c r="L6199" s="24" t="str" cm="1">
        <f t="array" ref="L6199">IFERROR(IF($B6199=L$1, ($A6199+$C6199) - MAX(IF($B$2:$B6198=$B6199, $A$2:$A6198+$C$2:$C6198)), "")*24*60, "")</f>
        <v/>
      </c>
      <c r="M6199" s="24" t="str" cm="1">
        <f t="array" ref="M6199">IFERROR(IF($B6199=M$1, ($A6199+$C6199) - MAX(IF($B$2:$B6198=$B6199, $A$2:$A6198+$C$2:$C6198)), "")*24*60, "")</f>
        <v/>
      </c>
      <c r="N6199" s="24" t="str" cm="1">
        <f t="array" ref="N6199">IFERROR(IF($B6199=N$1, ($A6199+$C6199) - MAX(IF($B$2:$B6198=$B6199, $A$2:$A6198+$C$2:$C6198)), "")*24*60, "")</f>
        <v/>
      </c>
      <c r="O6199" s="24" t="str" cm="1">
        <f t="array" ref="O6199">IFERROR(IF($B6199=O$1, ($A6199+$C6199) - MAX(IF($B$2:$B6198=$B6199, $A$2:$A6198+$C$2:$C6198)), "")*24*60, "")</f>
        <v/>
      </c>
      <c r="P6199" s="24" t="str" cm="1">
        <f t="array" ref="P6199">IFERROR(IF($B6199=P$1, ($A6199+$C6199) - MAX(IF($B$2:$B6198=$B6199, $A$2:$A6198+$C$2:$C6198)), "")*24*60, "")</f>
        <v/>
      </c>
      <c r="Q6199" s="24" t="str" cm="1">
        <f t="array" ref="Q6199">IFERROR(IF($B6199=Q$1, ($A6199+$C6199) - MAX(IF($B$2:$B6198=$B6199, $A$2:$A6198+$C$2:$C6198)), "")*24*60, "")</f>
        <v/>
      </c>
      <c r="R6199" s="24" t="str" cm="1">
        <f t="array" ref="R6199">IFERROR(IF($B6199=R$1, ($A6199+$C6199) - MAX(IF($B$2:$B6198=$B6199, $A$2:$A6198+$C$2:$C6198)), "")*24*60, "")</f>
        <v/>
      </c>
      <c r="S6199" s="24" t="str" cm="1">
        <f t="array" ref="S6199">IFERROR(IF($B6199=S$1, ($A6199+$C6199) - MAX(IF($B$2:$B6198=$B6199, $A$2:$A6198+$C$2:$C6198)), "")*24*60, "")</f>
        <v/>
      </c>
    </row>
    <row r="6200" spans="1:19" x14ac:dyDescent="0.2">
      <c r="A6200" s="12">
        <f t="shared" ref="A6200:C6200" si="1344">A6199</f>
        <v>45987</v>
      </c>
      <c r="B6200" s="5" t="str">
        <f t="shared" si="1344"/>
        <v>Northern Cardinal</v>
      </c>
      <c r="C6200" s="6">
        <f t="shared" si="1344"/>
        <v>0.28611111111111109</v>
      </c>
      <c r="D6200" s="5"/>
      <c r="E6200" s="5"/>
      <c r="F6200" s="5" t="s">
        <v>8</v>
      </c>
      <c r="G6200" s="15" t="s">
        <v>9</v>
      </c>
      <c r="H6200" s="24">
        <f t="shared" si="1314"/>
        <v>0</v>
      </c>
      <c r="I6200" s="24" cm="1">
        <f t="array" ref="I6200">IFERROR(IF($B6200=I$1, ($A6200+$C6200) - MAX(IF($B$2:$B6199=$B6200, $A$2:$A6199+$C$2:$C6199)), "")*24*60, "")</f>
        <v>0</v>
      </c>
      <c r="J6200" s="24" t="str" cm="1">
        <f t="array" ref="J6200">IFERROR(IF($B6200=J$1, ($A6200+$C6200) - MAX(IF($B$2:$B6199=$B6200, $A$2:$A6199+$C$2:$C6199)), "")*24*60, "")</f>
        <v/>
      </c>
      <c r="K6200" s="24" t="str" cm="1">
        <f t="array" ref="K6200">IFERROR(IF($B6200=K$1, ($A6200+$C6200) - MAX(IF($B$2:$B6199=$B6200, $A$2:$A6199+$C$2:$C6199)), "")*24*60, "")</f>
        <v/>
      </c>
      <c r="L6200" s="24" t="str" cm="1">
        <f t="array" ref="L6200">IFERROR(IF($B6200=L$1, ($A6200+$C6200) - MAX(IF($B$2:$B6199=$B6200, $A$2:$A6199+$C$2:$C6199)), "")*24*60, "")</f>
        <v/>
      </c>
      <c r="M6200" s="24" t="str" cm="1">
        <f t="array" ref="M6200">IFERROR(IF($B6200=M$1, ($A6200+$C6200) - MAX(IF($B$2:$B6199=$B6200, $A$2:$A6199+$C$2:$C6199)), "")*24*60, "")</f>
        <v/>
      </c>
      <c r="N6200" s="24" t="str" cm="1">
        <f t="array" ref="N6200">IFERROR(IF($B6200=N$1, ($A6200+$C6200) - MAX(IF($B$2:$B6199=$B6200, $A$2:$A6199+$C$2:$C6199)), "")*24*60, "")</f>
        <v/>
      </c>
      <c r="O6200" s="24" t="str" cm="1">
        <f t="array" ref="O6200">IFERROR(IF($B6200=O$1, ($A6200+$C6200) - MAX(IF($B$2:$B6199=$B6200, $A$2:$A6199+$C$2:$C6199)), "")*24*60, "")</f>
        <v/>
      </c>
      <c r="P6200" s="24" t="str" cm="1">
        <f t="array" ref="P6200">IFERROR(IF($B6200=P$1, ($A6200+$C6200) - MAX(IF($B$2:$B6199=$B6200, $A$2:$A6199+$C$2:$C6199)), "")*24*60, "")</f>
        <v/>
      </c>
      <c r="Q6200" s="24" t="str" cm="1">
        <f t="array" ref="Q6200">IFERROR(IF($B6200=Q$1, ($A6200+$C6200) - MAX(IF($B$2:$B6199=$B6200, $A$2:$A6199+$C$2:$C6199)), "")*24*60, "")</f>
        <v/>
      </c>
      <c r="R6200" s="24" t="str" cm="1">
        <f t="array" ref="R6200">IFERROR(IF($B6200=R$1, ($A6200+$C6200) - MAX(IF($B$2:$B6199=$B6200, $A$2:$A6199+$C$2:$C6199)), "")*24*60, "")</f>
        <v/>
      </c>
      <c r="S6200" s="24" t="str" cm="1">
        <f t="array" ref="S6200">IFERROR(IF($B6200=S$1, ($A6200+$C6200) - MAX(IF($B$2:$B6199=$B6200, $A$2:$A6199+$C$2:$C6199)), "")*24*60, "")</f>
        <v/>
      </c>
    </row>
    <row r="6201" spans="1:19" x14ac:dyDescent="0.2">
      <c r="A6201" s="12">
        <f t="shared" ref="A6201:C6201" si="1345">A6200</f>
        <v>45987</v>
      </c>
      <c r="B6201" s="5" t="str">
        <f t="shared" si="1345"/>
        <v>Northern Cardinal</v>
      </c>
      <c r="C6201" s="6">
        <f t="shared" si="1345"/>
        <v>0.28611111111111109</v>
      </c>
      <c r="D6201" s="5"/>
      <c r="E6201" s="5"/>
      <c r="F6201" s="5" t="s">
        <v>8</v>
      </c>
      <c r="G6201" s="15" t="s">
        <v>9</v>
      </c>
      <c r="H6201" s="24">
        <f t="shared" si="1314"/>
        <v>0</v>
      </c>
      <c r="I6201" s="24" cm="1">
        <f t="array" ref="I6201">IFERROR(IF($B6201=I$1, ($A6201+$C6201) - MAX(IF($B$2:$B6200=$B6201, $A$2:$A6200+$C$2:$C6200)), "")*24*60, "")</f>
        <v>0</v>
      </c>
      <c r="J6201" s="24" t="str" cm="1">
        <f t="array" ref="J6201">IFERROR(IF($B6201=J$1, ($A6201+$C6201) - MAX(IF($B$2:$B6200=$B6201, $A$2:$A6200+$C$2:$C6200)), "")*24*60, "")</f>
        <v/>
      </c>
      <c r="K6201" s="24" t="str" cm="1">
        <f t="array" ref="K6201">IFERROR(IF($B6201=K$1, ($A6201+$C6201) - MAX(IF($B$2:$B6200=$B6201, $A$2:$A6200+$C$2:$C6200)), "")*24*60, "")</f>
        <v/>
      </c>
      <c r="L6201" s="24" t="str" cm="1">
        <f t="array" ref="L6201">IFERROR(IF($B6201=L$1, ($A6201+$C6201) - MAX(IF($B$2:$B6200=$B6201, $A$2:$A6200+$C$2:$C6200)), "")*24*60, "")</f>
        <v/>
      </c>
      <c r="M6201" s="24" t="str" cm="1">
        <f t="array" ref="M6201">IFERROR(IF($B6201=M$1, ($A6201+$C6201) - MAX(IF($B$2:$B6200=$B6201, $A$2:$A6200+$C$2:$C6200)), "")*24*60, "")</f>
        <v/>
      </c>
      <c r="N6201" s="24" t="str" cm="1">
        <f t="array" ref="N6201">IFERROR(IF($B6201=N$1, ($A6201+$C6201) - MAX(IF($B$2:$B6200=$B6201, $A$2:$A6200+$C$2:$C6200)), "")*24*60, "")</f>
        <v/>
      </c>
      <c r="O6201" s="24" t="str" cm="1">
        <f t="array" ref="O6201">IFERROR(IF($B6201=O$1, ($A6201+$C6201) - MAX(IF($B$2:$B6200=$B6201, $A$2:$A6200+$C$2:$C6200)), "")*24*60, "")</f>
        <v/>
      </c>
      <c r="P6201" s="24" t="str" cm="1">
        <f t="array" ref="P6201">IFERROR(IF($B6201=P$1, ($A6201+$C6201) - MAX(IF($B$2:$B6200=$B6201, $A$2:$A6200+$C$2:$C6200)), "")*24*60, "")</f>
        <v/>
      </c>
      <c r="Q6201" s="24" t="str" cm="1">
        <f t="array" ref="Q6201">IFERROR(IF($B6201=Q$1, ($A6201+$C6201) - MAX(IF($B$2:$B6200=$B6201, $A$2:$A6200+$C$2:$C6200)), "")*24*60, "")</f>
        <v/>
      </c>
      <c r="R6201" s="24" t="str" cm="1">
        <f t="array" ref="R6201">IFERROR(IF($B6201=R$1, ($A6201+$C6201) - MAX(IF($B$2:$B6200=$B6201, $A$2:$A6200+$C$2:$C6200)), "")*24*60, "")</f>
        <v/>
      </c>
      <c r="S6201" s="24" t="str" cm="1">
        <f t="array" ref="S6201">IFERROR(IF($B6201=S$1, ($A6201+$C6201) - MAX(IF($B$2:$B6200=$B6201, $A$2:$A6200+$C$2:$C6200)), "")*24*60, "")</f>
        <v/>
      </c>
    </row>
    <row r="6202" spans="1:19" x14ac:dyDescent="0.2">
      <c r="A6202" s="12">
        <f t="shared" ref="A6202:C6202" si="1346">A6201</f>
        <v>45987</v>
      </c>
      <c r="B6202" s="5" t="str">
        <f t="shared" si="1346"/>
        <v>Northern Cardinal</v>
      </c>
      <c r="C6202" s="6">
        <f t="shared" si="1346"/>
        <v>0.28611111111111109</v>
      </c>
      <c r="D6202" s="5"/>
      <c r="E6202" s="5"/>
      <c r="F6202" s="5" t="s">
        <v>8</v>
      </c>
      <c r="G6202" s="15" t="s">
        <v>9</v>
      </c>
      <c r="H6202" s="24">
        <f t="shared" si="1314"/>
        <v>0</v>
      </c>
      <c r="I6202" s="24" cm="1">
        <f t="array" ref="I6202">IFERROR(IF($B6202=I$1, ($A6202+$C6202) - MAX(IF($B$2:$B6201=$B6202, $A$2:$A6201+$C$2:$C6201)), "")*24*60, "")</f>
        <v>0</v>
      </c>
      <c r="J6202" s="24" t="str" cm="1">
        <f t="array" ref="J6202">IFERROR(IF($B6202=J$1, ($A6202+$C6202) - MAX(IF($B$2:$B6201=$B6202, $A$2:$A6201+$C$2:$C6201)), "")*24*60, "")</f>
        <v/>
      </c>
      <c r="K6202" s="24" t="str" cm="1">
        <f t="array" ref="K6202">IFERROR(IF($B6202=K$1, ($A6202+$C6202) - MAX(IF($B$2:$B6201=$B6202, $A$2:$A6201+$C$2:$C6201)), "")*24*60, "")</f>
        <v/>
      </c>
      <c r="L6202" s="24" t="str" cm="1">
        <f t="array" ref="L6202">IFERROR(IF($B6202=L$1, ($A6202+$C6202) - MAX(IF($B$2:$B6201=$B6202, $A$2:$A6201+$C$2:$C6201)), "")*24*60, "")</f>
        <v/>
      </c>
      <c r="M6202" s="24" t="str" cm="1">
        <f t="array" ref="M6202">IFERROR(IF($B6202=M$1, ($A6202+$C6202) - MAX(IF($B$2:$B6201=$B6202, $A$2:$A6201+$C$2:$C6201)), "")*24*60, "")</f>
        <v/>
      </c>
      <c r="N6202" s="24" t="str" cm="1">
        <f t="array" ref="N6202">IFERROR(IF($B6202=N$1, ($A6202+$C6202) - MAX(IF($B$2:$B6201=$B6202, $A$2:$A6201+$C$2:$C6201)), "")*24*60, "")</f>
        <v/>
      </c>
      <c r="O6202" s="24" t="str" cm="1">
        <f t="array" ref="O6202">IFERROR(IF($B6202=O$1, ($A6202+$C6202) - MAX(IF($B$2:$B6201=$B6202, $A$2:$A6201+$C$2:$C6201)), "")*24*60, "")</f>
        <v/>
      </c>
      <c r="P6202" s="24" t="str" cm="1">
        <f t="array" ref="P6202">IFERROR(IF($B6202=P$1, ($A6202+$C6202) - MAX(IF($B$2:$B6201=$B6202, $A$2:$A6201+$C$2:$C6201)), "")*24*60, "")</f>
        <v/>
      </c>
      <c r="Q6202" s="24" t="str" cm="1">
        <f t="array" ref="Q6202">IFERROR(IF($B6202=Q$1, ($A6202+$C6202) - MAX(IF($B$2:$B6201=$B6202, $A$2:$A6201+$C$2:$C6201)), "")*24*60, "")</f>
        <v/>
      </c>
      <c r="R6202" s="24" t="str" cm="1">
        <f t="array" ref="R6202">IFERROR(IF($B6202=R$1, ($A6202+$C6202) - MAX(IF($B$2:$B6201=$B6202, $A$2:$A6201+$C$2:$C6201)), "")*24*60, "")</f>
        <v/>
      </c>
      <c r="S6202" s="24" t="str" cm="1">
        <f t="array" ref="S6202">IFERROR(IF($B6202=S$1, ($A6202+$C6202) - MAX(IF($B$2:$B6201=$B6202, $A$2:$A6201+$C$2:$C6201)), "")*24*60, "")</f>
        <v/>
      </c>
    </row>
    <row r="6203" spans="1:19" x14ac:dyDescent="0.2">
      <c r="A6203" s="12">
        <f t="shared" ref="A6203:C6203" si="1347">A6202</f>
        <v>45987</v>
      </c>
      <c r="B6203" s="5" t="str">
        <f t="shared" si="1347"/>
        <v>Northern Cardinal</v>
      </c>
      <c r="C6203" s="6">
        <f t="shared" si="1347"/>
        <v>0.28611111111111109</v>
      </c>
      <c r="D6203" s="5"/>
      <c r="E6203" s="5"/>
      <c r="F6203" s="5" t="s">
        <v>8</v>
      </c>
      <c r="G6203" s="15" t="s">
        <v>9</v>
      </c>
      <c r="H6203" s="24">
        <f t="shared" si="1314"/>
        <v>0</v>
      </c>
      <c r="I6203" s="24" cm="1">
        <f t="array" ref="I6203">IFERROR(IF($B6203=I$1, ($A6203+$C6203) - MAX(IF($B$2:$B6202=$B6203, $A$2:$A6202+$C$2:$C6202)), "")*24*60, "")</f>
        <v>0</v>
      </c>
      <c r="J6203" s="24" t="str" cm="1">
        <f t="array" ref="J6203">IFERROR(IF($B6203=J$1, ($A6203+$C6203) - MAX(IF($B$2:$B6202=$B6203, $A$2:$A6202+$C$2:$C6202)), "")*24*60, "")</f>
        <v/>
      </c>
      <c r="K6203" s="24" t="str" cm="1">
        <f t="array" ref="K6203">IFERROR(IF($B6203=K$1, ($A6203+$C6203) - MAX(IF($B$2:$B6202=$B6203, $A$2:$A6202+$C$2:$C6202)), "")*24*60, "")</f>
        <v/>
      </c>
      <c r="L6203" s="24" t="str" cm="1">
        <f t="array" ref="L6203">IFERROR(IF($B6203=L$1, ($A6203+$C6203) - MAX(IF($B$2:$B6202=$B6203, $A$2:$A6202+$C$2:$C6202)), "")*24*60, "")</f>
        <v/>
      </c>
      <c r="M6203" s="24" t="str" cm="1">
        <f t="array" ref="M6203">IFERROR(IF($B6203=M$1, ($A6203+$C6203) - MAX(IF($B$2:$B6202=$B6203, $A$2:$A6202+$C$2:$C6202)), "")*24*60, "")</f>
        <v/>
      </c>
      <c r="N6203" s="24" t="str" cm="1">
        <f t="array" ref="N6203">IFERROR(IF($B6203=N$1, ($A6203+$C6203) - MAX(IF($B$2:$B6202=$B6203, $A$2:$A6202+$C$2:$C6202)), "")*24*60, "")</f>
        <v/>
      </c>
      <c r="O6203" s="24" t="str" cm="1">
        <f t="array" ref="O6203">IFERROR(IF($B6203=O$1, ($A6203+$C6203) - MAX(IF($B$2:$B6202=$B6203, $A$2:$A6202+$C$2:$C6202)), "")*24*60, "")</f>
        <v/>
      </c>
      <c r="P6203" s="24" t="str" cm="1">
        <f t="array" ref="P6203">IFERROR(IF($B6203=P$1, ($A6203+$C6203) - MAX(IF($B$2:$B6202=$B6203, $A$2:$A6202+$C$2:$C6202)), "")*24*60, "")</f>
        <v/>
      </c>
      <c r="Q6203" s="24" t="str" cm="1">
        <f t="array" ref="Q6203">IFERROR(IF($B6203=Q$1, ($A6203+$C6203) - MAX(IF($B$2:$B6202=$B6203, $A$2:$A6202+$C$2:$C6202)), "")*24*60, "")</f>
        <v/>
      </c>
      <c r="R6203" s="24" t="str" cm="1">
        <f t="array" ref="R6203">IFERROR(IF($B6203=R$1, ($A6203+$C6203) - MAX(IF($B$2:$B6202=$B6203, $A$2:$A6202+$C$2:$C6202)), "")*24*60, "")</f>
        <v/>
      </c>
      <c r="S6203" s="24" t="str" cm="1">
        <f t="array" ref="S6203">IFERROR(IF($B6203=S$1, ($A6203+$C6203) - MAX(IF($B$2:$B6202=$B6203, $A$2:$A6202+$C$2:$C6202)), "")*24*60, "")</f>
        <v/>
      </c>
    </row>
    <row r="6204" spans="1:19" x14ac:dyDescent="0.2">
      <c r="A6204" s="12">
        <f t="shared" ref="A6204:C6204" si="1348">A6203</f>
        <v>45987</v>
      </c>
      <c r="B6204" s="5" t="str">
        <f t="shared" si="1348"/>
        <v>Northern Cardinal</v>
      </c>
      <c r="C6204" s="6">
        <f t="shared" si="1348"/>
        <v>0.28611111111111109</v>
      </c>
      <c r="D6204" s="5"/>
      <c r="E6204" s="5"/>
      <c r="F6204" s="5" t="s">
        <v>8</v>
      </c>
      <c r="G6204" s="15" t="s">
        <v>9</v>
      </c>
      <c r="H6204" s="24">
        <f t="shared" si="1314"/>
        <v>0</v>
      </c>
      <c r="I6204" s="24" cm="1">
        <f t="array" ref="I6204">IFERROR(IF($B6204=I$1, ($A6204+$C6204) - MAX(IF($B$2:$B6203=$B6204, $A$2:$A6203+$C$2:$C6203)), "")*24*60, "")</f>
        <v>0</v>
      </c>
      <c r="J6204" s="24" t="str" cm="1">
        <f t="array" ref="J6204">IFERROR(IF($B6204=J$1, ($A6204+$C6204) - MAX(IF($B$2:$B6203=$B6204, $A$2:$A6203+$C$2:$C6203)), "")*24*60, "")</f>
        <v/>
      </c>
      <c r="K6204" s="24" t="str" cm="1">
        <f t="array" ref="K6204">IFERROR(IF($B6204=K$1, ($A6204+$C6204) - MAX(IF($B$2:$B6203=$B6204, $A$2:$A6203+$C$2:$C6203)), "")*24*60, "")</f>
        <v/>
      </c>
      <c r="L6204" s="24" t="str" cm="1">
        <f t="array" ref="L6204">IFERROR(IF($B6204=L$1, ($A6204+$C6204) - MAX(IF($B$2:$B6203=$B6204, $A$2:$A6203+$C$2:$C6203)), "")*24*60, "")</f>
        <v/>
      </c>
      <c r="M6204" s="24" t="str" cm="1">
        <f t="array" ref="M6204">IFERROR(IF($B6204=M$1, ($A6204+$C6204) - MAX(IF($B$2:$B6203=$B6204, $A$2:$A6203+$C$2:$C6203)), "")*24*60, "")</f>
        <v/>
      </c>
      <c r="N6204" s="24" t="str" cm="1">
        <f t="array" ref="N6204">IFERROR(IF($B6204=N$1, ($A6204+$C6204) - MAX(IF($B$2:$B6203=$B6204, $A$2:$A6203+$C$2:$C6203)), "")*24*60, "")</f>
        <v/>
      </c>
      <c r="O6204" s="24" t="str" cm="1">
        <f t="array" ref="O6204">IFERROR(IF($B6204=O$1, ($A6204+$C6204) - MAX(IF($B$2:$B6203=$B6204, $A$2:$A6203+$C$2:$C6203)), "")*24*60, "")</f>
        <v/>
      </c>
      <c r="P6204" s="24" t="str" cm="1">
        <f t="array" ref="P6204">IFERROR(IF($B6204=P$1, ($A6204+$C6204) - MAX(IF($B$2:$B6203=$B6204, $A$2:$A6203+$C$2:$C6203)), "")*24*60, "")</f>
        <v/>
      </c>
      <c r="Q6204" s="24" t="str" cm="1">
        <f t="array" ref="Q6204">IFERROR(IF($B6204=Q$1, ($A6204+$C6204) - MAX(IF($B$2:$B6203=$B6204, $A$2:$A6203+$C$2:$C6203)), "")*24*60, "")</f>
        <v/>
      </c>
      <c r="R6204" s="24" t="str" cm="1">
        <f t="array" ref="R6204">IFERROR(IF($B6204=R$1, ($A6204+$C6204) - MAX(IF($B$2:$B6203=$B6204, $A$2:$A6203+$C$2:$C6203)), "")*24*60, "")</f>
        <v/>
      </c>
      <c r="S6204" s="24" t="str" cm="1">
        <f t="array" ref="S6204">IFERROR(IF($B6204=S$1, ($A6204+$C6204) - MAX(IF($B$2:$B6203=$B6204, $A$2:$A6203+$C$2:$C6203)), "")*24*60, "")</f>
        <v/>
      </c>
    </row>
    <row r="6205" spans="1:19" x14ac:dyDescent="0.2">
      <c r="A6205" s="12">
        <f t="shared" ref="A6205:C6205" si="1349">A6204</f>
        <v>45987</v>
      </c>
      <c r="B6205" s="5" t="str">
        <f t="shared" si="1349"/>
        <v>Northern Cardinal</v>
      </c>
      <c r="C6205" s="6">
        <f t="shared" si="1349"/>
        <v>0.28611111111111109</v>
      </c>
      <c r="D6205" s="5"/>
      <c r="E6205" s="5"/>
      <c r="F6205" s="5" t="s">
        <v>8</v>
      </c>
      <c r="G6205" s="15" t="s">
        <v>9</v>
      </c>
      <c r="H6205" s="24">
        <f t="shared" si="1314"/>
        <v>0</v>
      </c>
      <c r="I6205" s="24" cm="1">
        <f t="array" ref="I6205">IFERROR(IF($B6205=I$1, ($A6205+$C6205) - MAX(IF($B$2:$B6204=$B6205, $A$2:$A6204+$C$2:$C6204)), "")*24*60, "")</f>
        <v>0</v>
      </c>
      <c r="J6205" s="24" t="str" cm="1">
        <f t="array" ref="J6205">IFERROR(IF($B6205=J$1, ($A6205+$C6205) - MAX(IF($B$2:$B6204=$B6205, $A$2:$A6204+$C$2:$C6204)), "")*24*60, "")</f>
        <v/>
      </c>
      <c r="K6205" s="24" t="str" cm="1">
        <f t="array" ref="K6205">IFERROR(IF($B6205=K$1, ($A6205+$C6205) - MAX(IF($B$2:$B6204=$B6205, $A$2:$A6204+$C$2:$C6204)), "")*24*60, "")</f>
        <v/>
      </c>
      <c r="L6205" s="24" t="str" cm="1">
        <f t="array" ref="L6205">IFERROR(IF($B6205=L$1, ($A6205+$C6205) - MAX(IF($B$2:$B6204=$B6205, $A$2:$A6204+$C$2:$C6204)), "")*24*60, "")</f>
        <v/>
      </c>
      <c r="M6205" s="24" t="str" cm="1">
        <f t="array" ref="M6205">IFERROR(IF($B6205=M$1, ($A6205+$C6205) - MAX(IF($B$2:$B6204=$B6205, $A$2:$A6204+$C$2:$C6204)), "")*24*60, "")</f>
        <v/>
      </c>
      <c r="N6205" s="24" t="str" cm="1">
        <f t="array" ref="N6205">IFERROR(IF($B6205=N$1, ($A6205+$C6205) - MAX(IF($B$2:$B6204=$B6205, $A$2:$A6204+$C$2:$C6204)), "")*24*60, "")</f>
        <v/>
      </c>
      <c r="O6205" s="24" t="str" cm="1">
        <f t="array" ref="O6205">IFERROR(IF($B6205=O$1, ($A6205+$C6205) - MAX(IF($B$2:$B6204=$B6205, $A$2:$A6204+$C$2:$C6204)), "")*24*60, "")</f>
        <v/>
      </c>
      <c r="P6205" s="24" t="str" cm="1">
        <f t="array" ref="P6205">IFERROR(IF($B6205=P$1, ($A6205+$C6205) - MAX(IF($B$2:$B6204=$B6205, $A$2:$A6204+$C$2:$C6204)), "")*24*60, "")</f>
        <v/>
      </c>
      <c r="Q6205" s="24" t="str" cm="1">
        <f t="array" ref="Q6205">IFERROR(IF($B6205=Q$1, ($A6205+$C6205) - MAX(IF($B$2:$B6204=$B6205, $A$2:$A6204+$C$2:$C6204)), "")*24*60, "")</f>
        <v/>
      </c>
      <c r="R6205" s="24" t="str" cm="1">
        <f t="array" ref="R6205">IFERROR(IF($B6205=R$1, ($A6205+$C6205) - MAX(IF($B$2:$B6204=$B6205, $A$2:$A6204+$C$2:$C6204)), "")*24*60, "")</f>
        <v/>
      </c>
      <c r="S6205" s="24" t="str" cm="1">
        <f t="array" ref="S6205">IFERROR(IF($B6205=S$1, ($A6205+$C6205) - MAX(IF($B$2:$B6204=$B6205, $A$2:$A6204+$C$2:$C6204)), "")*24*60, "")</f>
        <v/>
      </c>
    </row>
    <row r="6206" spans="1:19" x14ac:dyDescent="0.2">
      <c r="A6206" s="12">
        <f t="shared" ref="A6206:C6206" si="1350">A6205</f>
        <v>45987</v>
      </c>
      <c r="B6206" s="5" t="str">
        <f t="shared" si="1350"/>
        <v>Northern Cardinal</v>
      </c>
      <c r="C6206" s="6">
        <f t="shared" si="1350"/>
        <v>0.28611111111111109</v>
      </c>
      <c r="D6206" s="5"/>
      <c r="E6206" s="5"/>
      <c r="F6206" s="5" t="s">
        <v>8</v>
      </c>
      <c r="G6206" s="15" t="s">
        <v>9</v>
      </c>
      <c r="H6206" s="24">
        <f t="shared" si="1314"/>
        <v>0</v>
      </c>
      <c r="I6206" s="24" cm="1">
        <f t="array" ref="I6206">IFERROR(IF($B6206=I$1, ($A6206+$C6206) - MAX(IF($B$2:$B6205=$B6206, $A$2:$A6205+$C$2:$C6205)), "")*24*60, "")</f>
        <v>0</v>
      </c>
      <c r="J6206" s="24" t="str" cm="1">
        <f t="array" ref="J6206">IFERROR(IF($B6206=J$1, ($A6206+$C6206) - MAX(IF($B$2:$B6205=$B6206, $A$2:$A6205+$C$2:$C6205)), "")*24*60, "")</f>
        <v/>
      </c>
      <c r="K6206" s="24" t="str" cm="1">
        <f t="array" ref="K6206">IFERROR(IF($B6206=K$1, ($A6206+$C6206) - MAX(IF($B$2:$B6205=$B6206, $A$2:$A6205+$C$2:$C6205)), "")*24*60, "")</f>
        <v/>
      </c>
      <c r="L6206" s="24" t="str" cm="1">
        <f t="array" ref="L6206">IFERROR(IF($B6206=L$1, ($A6206+$C6206) - MAX(IF($B$2:$B6205=$B6206, $A$2:$A6205+$C$2:$C6205)), "")*24*60, "")</f>
        <v/>
      </c>
      <c r="M6206" s="24" t="str" cm="1">
        <f t="array" ref="M6206">IFERROR(IF($B6206=M$1, ($A6206+$C6206) - MAX(IF($B$2:$B6205=$B6206, $A$2:$A6205+$C$2:$C6205)), "")*24*60, "")</f>
        <v/>
      </c>
      <c r="N6206" s="24" t="str" cm="1">
        <f t="array" ref="N6206">IFERROR(IF($B6206=N$1, ($A6206+$C6206) - MAX(IF($B$2:$B6205=$B6206, $A$2:$A6205+$C$2:$C6205)), "")*24*60, "")</f>
        <v/>
      </c>
      <c r="O6206" s="24" t="str" cm="1">
        <f t="array" ref="O6206">IFERROR(IF($B6206=O$1, ($A6206+$C6206) - MAX(IF($B$2:$B6205=$B6206, $A$2:$A6205+$C$2:$C6205)), "")*24*60, "")</f>
        <v/>
      </c>
      <c r="P6206" s="24" t="str" cm="1">
        <f t="array" ref="P6206">IFERROR(IF($B6206=P$1, ($A6206+$C6206) - MAX(IF($B$2:$B6205=$B6206, $A$2:$A6205+$C$2:$C6205)), "")*24*60, "")</f>
        <v/>
      </c>
      <c r="Q6206" s="24" t="str" cm="1">
        <f t="array" ref="Q6206">IFERROR(IF($B6206=Q$1, ($A6206+$C6206) - MAX(IF($B$2:$B6205=$B6206, $A$2:$A6205+$C$2:$C6205)), "")*24*60, "")</f>
        <v/>
      </c>
      <c r="R6206" s="24" t="str" cm="1">
        <f t="array" ref="R6206">IFERROR(IF($B6206=R$1, ($A6206+$C6206) - MAX(IF($B$2:$B6205=$B6206, $A$2:$A6205+$C$2:$C6205)), "")*24*60, "")</f>
        <v/>
      </c>
      <c r="S6206" s="24" t="str" cm="1">
        <f t="array" ref="S6206">IFERROR(IF($B6206=S$1, ($A6206+$C6206) - MAX(IF($B$2:$B6205=$B6206, $A$2:$A6205+$C$2:$C6205)), "")*24*60, "")</f>
        <v/>
      </c>
    </row>
    <row r="6207" spans="1:19" x14ac:dyDescent="0.2">
      <c r="A6207" s="12">
        <f t="shared" ref="A6207:C6207" si="1351">A6206</f>
        <v>45987</v>
      </c>
      <c r="B6207" s="5" t="str">
        <f t="shared" si="1351"/>
        <v>Northern Cardinal</v>
      </c>
      <c r="C6207" s="6">
        <f t="shared" si="1351"/>
        <v>0.28611111111111109</v>
      </c>
      <c r="D6207" s="5"/>
      <c r="E6207" s="5"/>
      <c r="F6207" s="5" t="s">
        <v>8</v>
      </c>
      <c r="G6207" s="15" t="s">
        <v>9</v>
      </c>
      <c r="H6207" s="24">
        <f t="shared" si="1314"/>
        <v>0</v>
      </c>
      <c r="I6207" s="24" cm="1">
        <f t="array" ref="I6207">IFERROR(IF($B6207=I$1, ($A6207+$C6207) - MAX(IF($B$2:$B6206=$B6207, $A$2:$A6206+$C$2:$C6206)), "")*24*60, "")</f>
        <v>0</v>
      </c>
      <c r="J6207" s="24" t="str" cm="1">
        <f t="array" ref="J6207">IFERROR(IF($B6207=J$1, ($A6207+$C6207) - MAX(IF($B$2:$B6206=$B6207, $A$2:$A6206+$C$2:$C6206)), "")*24*60, "")</f>
        <v/>
      </c>
      <c r="K6207" s="24" t="str" cm="1">
        <f t="array" ref="K6207">IFERROR(IF($B6207=K$1, ($A6207+$C6207) - MAX(IF($B$2:$B6206=$B6207, $A$2:$A6206+$C$2:$C6206)), "")*24*60, "")</f>
        <v/>
      </c>
      <c r="L6207" s="24" t="str" cm="1">
        <f t="array" ref="L6207">IFERROR(IF($B6207=L$1, ($A6207+$C6207) - MAX(IF($B$2:$B6206=$B6207, $A$2:$A6206+$C$2:$C6206)), "")*24*60, "")</f>
        <v/>
      </c>
      <c r="M6207" s="24" t="str" cm="1">
        <f t="array" ref="M6207">IFERROR(IF($B6207=M$1, ($A6207+$C6207) - MAX(IF($B$2:$B6206=$B6207, $A$2:$A6206+$C$2:$C6206)), "")*24*60, "")</f>
        <v/>
      </c>
      <c r="N6207" s="24" t="str" cm="1">
        <f t="array" ref="N6207">IFERROR(IF($B6207=N$1, ($A6207+$C6207) - MAX(IF($B$2:$B6206=$B6207, $A$2:$A6206+$C$2:$C6206)), "")*24*60, "")</f>
        <v/>
      </c>
      <c r="O6207" s="24" t="str" cm="1">
        <f t="array" ref="O6207">IFERROR(IF($B6207=O$1, ($A6207+$C6207) - MAX(IF($B$2:$B6206=$B6207, $A$2:$A6206+$C$2:$C6206)), "")*24*60, "")</f>
        <v/>
      </c>
      <c r="P6207" s="24" t="str" cm="1">
        <f t="array" ref="P6207">IFERROR(IF($B6207=P$1, ($A6207+$C6207) - MAX(IF($B$2:$B6206=$B6207, $A$2:$A6206+$C$2:$C6206)), "")*24*60, "")</f>
        <v/>
      </c>
      <c r="Q6207" s="24" t="str" cm="1">
        <f t="array" ref="Q6207">IFERROR(IF($B6207=Q$1, ($A6207+$C6207) - MAX(IF($B$2:$B6206=$B6207, $A$2:$A6206+$C$2:$C6206)), "")*24*60, "")</f>
        <v/>
      </c>
      <c r="R6207" s="24" t="str" cm="1">
        <f t="array" ref="R6207">IFERROR(IF($B6207=R$1, ($A6207+$C6207) - MAX(IF($B$2:$B6206=$B6207, $A$2:$A6206+$C$2:$C6206)), "")*24*60, "")</f>
        <v/>
      </c>
      <c r="S6207" s="24" t="str" cm="1">
        <f t="array" ref="S6207">IFERROR(IF($B6207=S$1, ($A6207+$C6207) - MAX(IF($B$2:$B6206=$B6207, $A$2:$A6206+$C$2:$C6206)), "")*24*60, "")</f>
        <v/>
      </c>
    </row>
    <row r="6208" spans="1:19" x14ac:dyDescent="0.2">
      <c r="A6208" s="12">
        <f t="shared" ref="A6208:C6208" si="1352">A6207</f>
        <v>45987</v>
      </c>
      <c r="B6208" s="5" t="str">
        <f t="shared" si="1352"/>
        <v>Northern Cardinal</v>
      </c>
      <c r="C6208" s="6">
        <f t="shared" si="1352"/>
        <v>0.28611111111111109</v>
      </c>
      <c r="D6208" s="5"/>
      <c r="E6208" s="5"/>
      <c r="F6208" s="5" t="s">
        <v>8</v>
      </c>
      <c r="G6208" s="15" t="s">
        <v>9</v>
      </c>
      <c r="H6208" s="24">
        <f t="shared" si="1314"/>
        <v>0</v>
      </c>
      <c r="I6208" s="24" cm="1">
        <f t="array" ref="I6208">IFERROR(IF($B6208=I$1, ($A6208+$C6208) - MAX(IF($B$2:$B6207=$B6208, $A$2:$A6207+$C$2:$C6207)), "")*24*60, "")</f>
        <v>0</v>
      </c>
      <c r="J6208" s="24" t="str" cm="1">
        <f t="array" ref="J6208">IFERROR(IF($B6208=J$1, ($A6208+$C6208) - MAX(IF($B$2:$B6207=$B6208, $A$2:$A6207+$C$2:$C6207)), "")*24*60, "")</f>
        <v/>
      </c>
      <c r="K6208" s="24" t="str" cm="1">
        <f t="array" ref="K6208">IFERROR(IF($B6208=K$1, ($A6208+$C6208) - MAX(IF($B$2:$B6207=$B6208, $A$2:$A6207+$C$2:$C6207)), "")*24*60, "")</f>
        <v/>
      </c>
      <c r="L6208" s="24" t="str" cm="1">
        <f t="array" ref="L6208">IFERROR(IF($B6208=L$1, ($A6208+$C6208) - MAX(IF($B$2:$B6207=$B6208, $A$2:$A6207+$C$2:$C6207)), "")*24*60, "")</f>
        <v/>
      </c>
      <c r="M6208" s="24" t="str" cm="1">
        <f t="array" ref="M6208">IFERROR(IF($B6208=M$1, ($A6208+$C6208) - MAX(IF($B$2:$B6207=$B6208, $A$2:$A6207+$C$2:$C6207)), "")*24*60, "")</f>
        <v/>
      </c>
      <c r="N6208" s="24" t="str" cm="1">
        <f t="array" ref="N6208">IFERROR(IF($B6208=N$1, ($A6208+$C6208) - MAX(IF($B$2:$B6207=$B6208, $A$2:$A6207+$C$2:$C6207)), "")*24*60, "")</f>
        <v/>
      </c>
      <c r="O6208" s="24" t="str" cm="1">
        <f t="array" ref="O6208">IFERROR(IF($B6208=O$1, ($A6208+$C6208) - MAX(IF($B$2:$B6207=$B6208, $A$2:$A6207+$C$2:$C6207)), "")*24*60, "")</f>
        <v/>
      </c>
      <c r="P6208" s="24" t="str" cm="1">
        <f t="array" ref="P6208">IFERROR(IF($B6208=P$1, ($A6208+$C6208) - MAX(IF($B$2:$B6207=$B6208, $A$2:$A6207+$C$2:$C6207)), "")*24*60, "")</f>
        <v/>
      </c>
      <c r="Q6208" s="24" t="str" cm="1">
        <f t="array" ref="Q6208">IFERROR(IF($B6208=Q$1, ($A6208+$C6208) - MAX(IF($B$2:$B6207=$B6208, $A$2:$A6207+$C$2:$C6207)), "")*24*60, "")</f>
        <v/>
      </c>
      <c r="R6208" s="24" t="str" cm="1">
        <f t="array" ref="R6208">IFERROR(IF($B6208=R$1, ($A6208+$C6208) - MAX(IF($B$2:$B6207=$B6208, $A$2:$A6207+$C$2:$C6207)), "")*24*60, "")</f>
        <v/>
      </c>
      <c r="S6208" s="24" t="str" cm="1">
        <f t="array" ref="S6208">IFERROR(IF($B6208=S$1, ($A6208+$C6208) - MAX(IF($B$2:$B6207=$B6208, $A$2:$A6207+$C$2:$C6207)), "")*24*60, "")</f>
        <v/>
      </c>
    </row>
    <row r="6209" spans="1:19" x14ac:dyDescent="0.2">
      <c r="A6209" s="12">
        <f t="shared" ref="A6209:C6209" si="1353">A6208</f>
        <v>45987</v>
      </c>
      <c r="B6209" s="5" t="str">
        <f t="shared" si="1353"/>
        <v>Northern Cardinal</v>
      </c>
      <c r="C6209" s="6">
        <f t="shared" si="1353"/>
        <v>0.28611111111111109</v>
      </c>
      <c r="D6209" s="5"/>
      <c r="E6209" s="5"/>
      <c r="F6209" s="5" t="s">
        <v>8</v>
      </c>
      <c r="G6209" s="15" t="s">
        <v>9</v>
      </c>
      <c r="H6209" s="24">
        <f t="shared" si="1314"/>
        <v>0</v>
      </c>
      <c r="I6209" s="24" cm="1">
        <f t="array" ref="I6209">IFERROR(IF($B6209=I$1, ($A6209+$C6209) - MAX(IF($B$2:$B6208=$B6209, $A$2:$A6208+$C$2:$C6208)), "")*24*60, "")</f>
        <v>0</v>
      </c>
      <c r="J6209" s="24" t="str" cm="1">
        <f t="array" ref="J6209">IFERROR(IF($B6209=J$1, ($A6209+$C6209) - MAX(IF($B$2:$B6208=$B6209, $A$2:$A6208+$C$2:$C6208)), "")*24*60, "")</f>
        <v/>
      </c>
      <c r="K6209" s="24" t="str" cm="1">
        <f t="array" ref="K6209">IFERROR(IF($B6209=K$1, ($A6209+$C6209) - MAX(IF($B$2:$B6208=$B6209, $A$2:$A6208+$C$2:$C6208)), "")*24*60, "")</f>
        <v/>
      </c>
      <c r="L6209" s="24" t="str" cm="1">
        <f t="array" ref="L6209">IFERROR(IF($B6209=L$1, ($A6209+$C6209) - MAX(IF($B$2:$B6208=$B6209, $A$2:$A6208+$C$2:$C6208)), "")*24*60, "")</f>
        <v/>
      </c>
      <c r="M6209" s="24" t="str" cm="1">
        <f t="array" ref="M6209">IFERROR(IF($B6209=M$1, ($A6209+$C6209) - MAX(IF($B$2:$B6208=$B6209, $A$2:$A6208+$C$2:$C6208)), "")*24*60, "")</f>
        <v/>
      </c>
      <c r="N6209" s="24" t="str" cm="1">
        <f t="array" ref="N6209">IFERROR(IF($B6209=N$1, ($A6209+$C6209) - MAX(IF($B$2:$B6208=$B6209, $A$2:$A6208+$C$2:$C6208)), "")*24*60, "")</f>
        <v/>
      </c>
      <c r="O6209" s="24" t="str" cm="1">
        <f t="array" ref="O6209">IFERROR(IF($B6209=O$1, ($A6209+$C6209) - MAX(IF($B$2:$B6208=$B6209, $A$2:$A6208+$C$2:$C6208)), "")*24*60, "")</f>
        <v/>
      </c>
      <c r="P6209" s="24" t="str" cm="1">
        <f t="array" ref="P6209">IFERROR(IF($B6209=P$1, ($A6209+$C6209) - MAX(IF($B$2:$B6208=$B6209, $A$2:$A6208+$C$2:$C6208)), "")*24*60, "")</f>
        <v/>
      </c>
      <c r="Q6209" s="24" t="str" cm="1">
        <f t="array" ref="Q6209">IFERROR(IF($B6209=Q$1, ($A6209+$C6209) - MAX(IF($B$2:$B6208=$B6209, $A$2:$A6208+$C$2:$C6208)), "")*24*60, "")</f>
        <v/>
      </c>
      <c r="R6209" s="24" t="str" cm="1">
        <f t="array" ref="R6209">IFERROR(IF($B6209=R$1, ($A6209+$C6209) - MAX(IF($B$2:$B6208=$B6209, $A$2:$A6208+$C$2:$C6208)), "")*24*60, "")</f>
        <v/>
      </c>
      <c r="S6209" s="24" t="str" cm="1">
        <f t="array" ref="S6209">IFERROR(IF($B6209=S$1, ($A6209+$C6209) - MAX(IF($B$2:$B6208=$B6209, $A$2:$A6208+$C$2:$C6208)), "")*24*60, "")</f>
        <v/>
      </c>
    </row>
    <row r="6210" spans="1:19" x14ac:dyDescent="0.2">
      <c r="A6210" s="12">
        <f t="shared" ref="A6210:C6210" si="1354">A6209</f>
        <v>45987</v>
      </c>
      <c r="B6210" s="5" t="str">
        <f t="shared" si="1354"/>
        <v>Northern Cardinal</v>
      </c>
      <c r="C6210" s="6">
        <f t="shared" si="1354"/>
        <v>0.28611111111111109</v>
      </c>
      <c r="D6210" s="5"/>
      <c r="E6210" s="5"/>
      <c r="F6210" s="5" t="s">
        <v>8</v>
      </c>
      <c r="G6210" s="15" t="s">
        <v>9</v>
      </c>
      <c r="H6210" s="24">
        <f t="shared" si="1314"/>
        <v>0</v>
      </c>
      <c r="I6210" s="24" cm="1">
        <f t="array" ref="I6210">IFERROR(IF($B6210=I$1, ($A6210+$C6210) - MAX(IF($B$2:$B6209=$B6210, $A$2:$A6209+$C$2:$C6209)), "")*24*60, "")</f>
        <v>0</v>
      </c>
      <c r="J6210" s="24" t="str" cm="1">
        <f t="array" ref="J6210">IFERROR(IF($B6210=J$1, ($A6210+$C6210) - MAX(IF($B$2:$B6209=$B6210, $A$2:$A6209+$C$2:$C6209)), "")*24*60, "")</f>
        <v/>
      </c>
      <c r="K6210" s="24" t="str" cm="1">
        <f t="array" ref="K6210">IFERROR(IF($B6210=K$1, ($A6210+$C6210) - MAX(IF($B$2:$B6209=$B6210, $A$2:$A6209+$C$2:$C6209)), "")*24*60, "")</f>
        <v/>
      </c>
      <c r="L6210" s="24" t="str" cm="1">
        <f t="array" ref="L6210">IFERROR(IF($B6210=L$1, ($A6210+$C6210) - MAX(IF($B$2:$B6209=$B6210, $A$2:$A6209+$C$2:$C6209)), "")*24*60, "")</f>
        <v/>
      </c>
      <c r="M6210" s="24" t="str" cm="1">
        <f t="array" ref="M6210">IFERROR(IF($B6210=M$1, ($A6210+$C6210) - MAX(IF($B$2:$B6209=$B6210, $A$2:$A6209+$C$2:$C6209)), "")*24*60, "")</f>
        <v/>
      </c>
      <c r="N6210" s="24" t="str" cm="1">
        <f t="array" ref="N6210">IFERROR(IF($B6210=N$1, ($A6210+$C6210) - MAX(IF($B$2:$B6209=$B6210, $A$2:$A6209+$C$2:$C6209)), "")*24*60, "")</f>
        <v/>
      </c>
      <c r="O6210" s="24" t="str" cm="1">
        <f t="array" ref="O6210">IFERROR(IF($B6210=O$1, ($A6210+$C6210) - MAX(IF($B$2:$B6209=$B6210, $A$2:$A6209+$C$2:$C6209)), "")*24*60, "")</f>
        <v/>
      </c>
      <c r="P6210" s="24" t="str" cm="1">
        <f t="array" ref="P6210">IFERROR(IF($B6210=P$1, ($A6210+$C6210) - MAX(IF($B$2:$B6209=$B6210, $A$2:$A6209+$C$2:$C6209)), "")*24*60, "")</f>
        <v/>
      </c>
      <c r="Q6210" s="24" t="str" cm="1">
        <f t="array" ref="Q6210">IFERROR(IF($B6210=Q$1, ($A6210+$C6210) - MAX(IF($B$2:$B6209=$B6210, $A$2:$A6209+$C$2:$C6209)), "")*24*60, "")</f>
        <v/>
      </c>
      <c r="R6210" s="24" t="str" cm="1">
        <f t="array" ref="R6210">IFERROR(IF($B6210=R$1, ($A6210+$C6210) - MAX(IF($B$2:$B6209=$B6210, $A$2:$A6209+$C$2:$C6209)), "")*24*60, "")</f>
        <v/>
      </c>
      <c r="S6210" s="24" t="str" cm="1">
        <f t="array" ref="S6210">IFERROR(IF($B6210=S$1, ($A6210+$C6210) - MAX(IF($B$2:$B6209=$B6210, $A$2:$A6209+$C$2:$C6209)), "")*24*60, "")</f>
        <v/>
      </c>
    </row>
    <row r="6211" spans="1:19" x14ac:dyDescent="0.2">
      <c r="A6211" s="12">
        <f t="shared" ref="A6211:C6211" si="1355">A6210</f>
        <v>45987</v>
      </c>
      <c r="B6211" s="5" t="str">
        <f t="shared" si="1355"/>
        <v>Northern Cardinal</v>
      </c>
      <c r="C6211" s="6">
        <f t="shared" si="1355"/>
        <v>0.28611111111111109</v>
      </c>
      <c r="D6211" s="5"/>
      <c r="E6211" s="5"/>
      <c r="F6211" s="5" t="s">
        <v>8</v>
      </c>
      <c r="G6211" s="15" t="s">
        <v>9</v>
      </c>
      <c r="H6211" s="24">
        <f t="shared" si="1314"/>
        <v>0</v>
      </c>
      <c r="I6211" s="24" cm="1">
        <f t="array" ref="I6211">IFERROR(IF($B6211=I$1, ($A6211+$C6211) - MAX(IF($B$2:$B6210=$B6211, $A$2:$A6210+$C$2:$C6210)), "")*24*60, "")</f>
        <v>0</v>
      </c>
      <c r="J6211" s="24" t="str" cm="1">
        <f t="array" ref="J6211">IFERROR(IF($B6211=J$1, ($A6211+$C6211) - MAX(IF($B$2:$B6210=$B6211, $A$2:$A6210+$C$2:$C6210)), "")*24*60, "")</f>
        <v/>
      </c>
      <c r="K6211" s="24" t="str" cm="1">
        <f t="array" ref="K6211">IFERROR(IF($B6211=K$1, ($A6211+$C6211) - MAX(IF($B$2:$B6210=$B6211, $A$2:$A6210+$C$2:$C6210)), "")*24*60, "")</f>
        <v/>
      </c>
      <c r="L6211" s="24" t="str" cm="1">
        <f t="array" ref="L6211">IFERROR(IF($B6211=L$1, ($A6211+$C6211) - MAX(IF($B$2:$B6210=$B6211, $A$2:$A6210+$C$2:$C6210)), "")*24*60, "")</f>
        <v/>
      </c>
      <c r="M6211" s="24" t="str" cm="1">
        <f t="array" ref="M6211">IFERROR(IF($B6211=M$1, ($A6211+$C6211) - MAX(IF($B$2:$B6210=$B6211, $A$2:$A6210+$C$2:$C6210)), "")*24*60, "")</f>
        <v/>
      </c>
      <c r="N6211" s="24" t="str" cm="1">
        <f t="array" ref="N6211">IFERROR(IF($B6211=N$1, ($A6211+$C6211) - MAX(IF($B$2:$B6210=$B6211, $A$2:$A6210+$C$2:$C6210)), "")*24*60, "")</f>
        <v/>
      </c>
      <c r="O6211" s="24" t="str" cm="1">
        <f t="array" ref="O6211">IFERROR(IF($B6211=O$1, ($A6211+$C6211) - MAX(IF($B$2:$B6210=$B6211, $A$2:$A6210+$C$2:$C6210)), "")*24*60, "")</f>
        <v/>
      </c>
      <c r="P6211" s="24" t="str" cm="1">
        <f t="array" ref="P6211">IFERROR(IF($B6211=P$1, ($A6211+$C6211) - MAX(IF($B$2:$B6210=$B6211, $A$2:$A6210+$C$2:$C6210)), "")*24*60, "")</f>
        <v/>
      </c>
      <c r="Q6211" s="24" t="str" cm="1">
        <f t="array" ref="Q6211">IFERROR(IF($B6211=Q$1, ($A6211+$C6211) - MAX(IF($B$2:$B6210=$B6211, $A$2:$A6210+$C$2:$C6210)), "")*24*60, "")</f>
        <v/>
      </c>
      <c r="R6211" s="24" t="str" cm="1">
        <f t="array" ref="R6211">IFERROR(IF($B6211=R$1, ($A6211+$C6211) - MAX(IF($B$2:$B6210=$B6211, $A$2:$A6210+$C$2:$C6210)), "")*24*60, "")</f>
        <v/>
      </c>
      <c r="S6211" s="24" t="str" cm="1">
        <f t="array" ref="S6211">IFERROR(IF($B6211=S$1, ($A6211+$C6211) - MAX(IF($B$2:$B6210=$B6211, $A$2:$A6210+$C$2:$C6210)), "")*24*60, "")</f>
        <v/>
      </c>
    </row>
    <row r="6212" spans="1:19" x14ac:dyDescent="0.2">
      <c r="A6212" s="12">
        <f t="shared" ref="A6212:C6212" si="1356">A6211</f>
        <v>45987</v>
      </c>
      <c r="B6212" s="5" t="str">
        <f t="shared" si="1356"/>
        <v>Northern Cardinal</v>
      </c>
      <c r="C6212" s="6">
        <f t="shared" si="1356"/>
        <v>0.28611111111111109</v>
      </c>
      <c r="D6212" s="5"/>
      <c r="E6212" s="5"/>
      <c r="F6212" s="5" t="s">
        <v>8</v>
      </c>
      <c r="G6212" s="15" t="s">
        <v>9</v>
      </c>
      <c r="H6212" s="24">
        <f t="shared" si="1314"/>
        <v>0</v>
      </c>
      <c r="I6212" s="24" cm="1">
        <f t="array" ref="I6212">IFERROR(IF($B6212=I$1, ($A6212+$C6212) - MAX(IF($B$2:$B6211=$B6212, $A$2:$A6211+$C$2:$C6211)), "")*24*60, "")</f>
        <v>0</v>
      </c>
      <c r="J6212" s="24" t="str" cm="1">
        <f t="array" ref="J6212">IFERROR(IF($B6212=J$1, ($A6212+$C6212) - MAX(IF($B$2:$B6211=$B6212, $A$2:$A6211+$C$2:$C6211)), "")*24*60, "")</f>
        <v/>
      </c>
      <c r="K6212" s="24" t="str" cm="1">
        <f t="array" ref="K6212">IFERROR(IF($B6212=K$1, ($A6212+$C6212) - MAX(IF($B$2:$B6211=$B6212, $A$2:$A6211+$C$2:$C6211)), "")*24*60, "")</f>
        <v/>
      </c>
      <c r="L6212" s="24" t="str" cm="1">
        <f t="array" ref="L6212">IFERROR(IF($B6212=L$1, ($A6212+$C6212) - MAX(IF($B$2:$B6211=$B6212, $A$2:$A6211+$C$2:$C6211)), "")*24*60, "")</f>
        <v/>
      </c>
      <c r="M6212" s="24" t="str" cm="1">
        <f t="array" ref="M6212">IFERROR(IF($B6212=M$1, ($A6212+$C6212) - MAX(IF($B$2:$B6211=$B6212, $A$2:$A6211+$C$2:$C6211)), "")*24*60, "")</f>
        <v/>
      </c>
      <c r="N6212" s="24" t="str" cm="1">
        <f t="array" ref="N6212">IFERROR(IF($B6212=N$1, ($A6212+$C6212) - MAX(IF($B$2:$B6211=$B6212, $A$2:$A6211+$C$2:$C6211)), "")*24*60, "")</f>
        <v/>
      </c>
      <c r="O6212" s="24" t="str" cm="1">
        <f t="array" ref="O6212">IFERROR(IF($B6212=O$1, ($A6212+$C6212) - MAX(IF($B$2:$B6211=$B6212, $A$2:$A6211+$C$2:$C6211)), "")*24*60, "")</f>
        <v/>
      </c>
      <c r="P6212" s="24" t="str" cm="1">
        <f t="array" ref="P6212">IFERROR(IF($B6212=P$1, ($A6212+$C6212) - MAX(IF($B$2:$B6211=$B6212, $A$2:$A6211+$C$2:$C6211)), "")*24*60, "")</f>
        <v/>
      </c>
      <c r="Q6212" s="24" t="str" cm="1">
        <f t="array" ref="Q6212">IFERROR(IF($B6212=Q$1, ($A6212+$C6212) - MAX(IF($B$2:$B6211=$B6212, $A$2:$A6211+$C$2:$C6211)), "")*24*60, "")</f>
        <v/>
      </c>
      <c r="R6212" s="24" t="str" cm="1">
        <f t="array" ref="R6212">IFERROR(IF($B6212=R$1, ($A6212+$C6212) - MAX(IF($B$2:$B6211=$B6212, $A$2:$A6211+$C$2:$C6211)), "")*24*60, "")</f>
        <v/>
      </c>
      <c r="S6212" s="24" t="str" cm="1">
        <f t="array" ref="S6212">IFERROR(IF($B6212=S$1, ($A6212+$C6212) - MAX(IF($B$2:$B6211=$B6212, $A$2:$A6211+$C$2:$C6211)), "")*24*60, "")</f>
        <v/>
      </c>
    </row>
    <row r="6213" spans="1:19" x14ac:dyDescent="0.2">
      <c r="A6213" s="12">
        <f t="shared" ref="A6213:C6213" si="1357">A6212</f>
        <v>45987</v>
      </c>
      <c r="B6213" s="5" t="str">
        <f t="shared" si="1357"/>
        <v>Northern Cardinal</v>
      </c>
      <c r="C6213" s="6">
        <f t="shared" si="1357"/>
        <v>0.28611111111111109</v>
      </c>
      <c r="D6213" s="5"/>
      <c r="E6213" s="5"/>
      <c r="F6213" s="5" t="s">
        <v>8</v>
      </c>
      <c r="G6213" s="15" t="s">
        <v>9</v>
      </c>
      <c r="H6213" s="24">
        <f t="shared" si="1314"/>
        <v>0</v>
      </c>
      <c r="I6213" s="24" cm="1">
        <f t="array" ref="I6213">IFERROR(IF($B6213=I$1, ($A6213+$C6213) - MAX(IF($B$2:$B6212=$B6213, $A$2:$A6212+$C$2:$C6212)), "")*24*60, "")</f>
        <v>0</v>
      </c>
      <c r="J6213" s="24" t="str" cm="1">
        <f t="array" ref="J6213">IFERROR(IF($B6213=J$1, ($A6213+$C6213) - MAX(IF($B$2:$B6212=$B6213, $A$2:$A6212+$C$2:$C6212)), "")*24*60, "")</f>
        <v/>
      </c>
      <c r="K6213" s="24" t="str" cm="1">
        <f t="array" ref="K6213">IFERROR(IF($B6213=K$1, ($A6213+$C6213) - MAX(IF($B$2:$B6212=$B6213, $A$2:$A6212+$C$2:$C6212)), "")*24*60, "")</f>
        <v/>
      </c>
      <c r="L6213" s="24" t="str" cm="1">
        <f t="array" ref="L6213">IFERROR(IF($B6213=L$1, ($A6213+$C6213) - MAX(IF($B$2:$B6212=$B6213, $A$2:$A6212+$C$2:$C6212)), "")*24*60, "")</f>
        <v/>
      </c>
      <c r="M6213" s="24" t="str" cm="1">
        <f t="array" ref="M6213">IFERROR(IF($B6213=M$1, ($A6213+$C6213) - MAX(IF($B$2:$B6212=$B6213, $A$2:$A6212+$C$2:$C6212)), "")*24*60, "")</f>
        <v/>
      </c>
      <c r="N6213" s="24" t="str" cm="1">
        <f t="array" ref="N6213">IFERROR(IF($B6213=N$1, ($A6213+$C6213) - MAX(IF($B$2:$B6212=$B6213, $A$2:$A6212+$C$2:$C6212)), "")*24*60, "")</f>
        <v/>
      </c>
      <c r="O6213" s="24" t="str" cm="1">
        <f t="array" ref="O6213">IFERROR(IF($B6213=O$1, ($A6213+$C6213) - MAX(IF($B$2:$B6212=$B6213, $A$2:$A6212+$C$2:$C6212)), "")*24*60, "")</f>
        <v/>
      </c>
      <c r="P6213" s="24" t="str" cm="1">
        <f t="array" ref="P6213">IFERROR(IF($B6213=P$1, ($A6213+$C6213) - MAX(IF($B$2:$B6212=$B6213, $A$2:$A6212+$C$2:$C6212)), "")*24*60, "")</f>
        <v/>
      </c>
      <c r="Q6213" s="24" t="str" cm="1">
        <f t="array" ref="Q6213">IFERROR(IF($B6213=Q$1, ($A6213+$C6213) - MAX(IF($B$2:$B6212=$B6213, $A$2:$A6212+$C$2:$C6212)), "")*24*60, "")</f>
        <v/>
      </c>
      <c r="R6213" s="24" t="str" cm="1">
        <f t="array" ref="R6213">IFERROR(IF($B6213=R$1, ($A6213+$C6213) - MAX(IF($B$2:$B6212=$B6213, $A$2:$A6212+$C$2:$C6212)), "")*24*60, "")</f>
        <v/>
      </c>
      <c r="S6213" s="24" t="str" cm="1">
        <f t="array" ref="S6213">IFERROR(IF($B6213=S$1, ($A6213+$C6213) - MAX(IF($B$2:$B6212=$B6213, $A$2:$A6212+$C$2:$C6212)), "")*24*60, "")</f>
        <v/>
      </c>
    </row>
    <row r="6214" spans="1:19" x14ac:dyDescent="0.2">
      <c r="A6214" s="12">
        <f t="shared" ref="A6214:C6214" si="1358">A6213</f>
        <v>45987</v>
      </c>
      <c r="B6214" s="5" t="str">
        <f t="shared" si="1358"/>
        <v>Northern Cardinal</v>
      </c>
      <c r="C6214" s="6">
        <f t="shared" si="1358"/>
        <v>0.28611111111111109</v>
      </c>
      <c r="D6214" s="5"/>
      <c r="E6214" s="5"/>
      <c r="F6214" s="5" t="s">
        <v>8</v>
      </c>
      <c r="G6214" s="15" t="s">
        <v>9</v>
      </c>
      <c r="H6214" s="24">
        <f t="shared" si="1314"/>
        <v>0</v>
      </c>
      <c r="I6214" s="24" cm="1">
        <f t="array" ref="I6214">IFERROR(IF($B6214=I$1, ($A6214+$C6214) - MAX(IF($B$2:$B6213=$B6214, $A$2:$A6213+$C$2:$C6213)), "")*24*60, "")</f>
        <v>0</v>
      </c>
      <c r="J6214" s="24" t="str" cm="1">
        <f t="array" ref="J6214">IFERROR(IF($B6214=J$1, ($A6214+$C6214) - MAX(IF($B$2:$B6213=$B6214, $A$2:$A6213+$C$2:$C6213)), "")*24*60, "")</f>
        <v/>
      </c>
      <c r="K6214" s="24" t="str" cm="1">
        <f t="array" ref="K6214">IFERROR(IF($B6214=K$1, ($A6214+$C6214) - MAX(IF($B$2:$B6213=$B6214, $A$2:$A6213+$C$2:$C6213)), "")*24*60, "")</f>
        <v/>
      </c>
      <c r="L6214" s="24" t="str" cm="1">
        <f t="array" ref="L6214">IFERROR(IF($B6214=L$1, ($A6214+$C6214) - MAX(IF($B$2:$B6213=$B6214, $A$2:$A6213+$C$2:$C6213)), "")*24*60, "")</f>
        <v/>
      </c>
      <c r="M6214" s="24" t="str" cm="1">
        <f t="array" ref="M6214">IFERROR(IF($B6214=M$1, ($A6214+$C6214) - MAX(IF($B$2:$B6213=$B6214, $A$2:$A6213+$C$2:$C6213)), "")*24*60, "")</f>
        <v/>
      </c>
      <c r="N6214" s="24" t="str" cm="1">
        <f t="array" ref="N6214">IFERROR(IF($B6214=N$1, ($A6214+$C6214) - MAX(IF($B$2:$B6213=$B6214, $A$2:$A6213+$C$2:$C6213)), "")*24*60, "")</f>
        <v/>
      </c>
      <c r="O6214" s="24" t="str" cm="1">
        <f t="array" ref="O6214">IFERROR(IF($B6214=O$1, ($A6214+$C6214) - MAX(IF($B$2:$B6213=$B6214, $A$2:$A6213+$C$2:$C6213)), "")*24*60, "")</f>
        <v/>
      </c>
      <c r="P6214" s="24" t="str" cm="1">
        <f t="array" ref="P6214">IFERROR(IF($B6214=P$1, ($A6214+$C6214) - MAX(IF($B$2:$B6213=$B6214, $A$2:$A6213+$C$2:$C6213)), "")*24*60, "")</f>
        <v/>
      </c>
      <c r="Q6214" s="24" t="str" cm="1">
        <f t="array" ref="Q6214">IFERROR(IF($B6214=Q$1, ($A6214+$C6214) - MAX(IF($B$2:$B6213=$B6214, $A$2:$A6213+$C$2:$C6213)), "")*24*60, "")</f>
        <v/>
      </c>
      <c r="R6214" s="24" t="str" cm="1">
        <f t="array" ref="R6214">IFERROR(IF($B6214=R$1, ($A6214+$C6214) - MAX(IF($B$2:$B6213=$B6214, $A$2:$A6213+$C$2:$C6213)), "")*24*60, "")</f>
        <v/>
      </c>
      <c r="S6214" s="24" t="str" cm="1">
        <f t="array" ref="S6214">IFERROR(IF($B6214=S$1, ($A6214+$C6214) - MAX(IF($B$2:$B6213=$B6214, $A$2:$A6213+$C$2:$C6213)), "")*24*60, "")</f>
        <v/>
      </c>
    </row>
    <row r="6215" spans="1:19" x14ac:dyDescent="0.2">
      <c r="A6215" s="12">
        <f t="shared" ref="A6215:C6215" si="1359">A6214</f>
        <v>45987</v>
      </c>
      <c r="B6215" s="5" t="str">
        <f t="shared" si="1359"/>
        <v>Northern Cardinal</v>
      </c>
      <c r="C6215" s="6">
        <f t="shared" si="1359"/>
        <v>0.28611111111111109</v>
      </c>
      <c r="D6215" s="5"/>
      <c r="E6215" s="5"/>
      <c r="F6215" s="5" t="s">
        <v>8</v>
      </c>
      <c r="G6215" s="15" t="s">
        <v>9</v>
      </c>
      <c r="H6215" s="24">
        <f t="shared" si="1314"/>
        <v>0</v>
      </c>
      <c r="I6215" s="24" cm="1">
        <f t="array" ref="I6215">IFERROR(IF($B6215=I$1, ($A6215+$C6215) - MAX(IF($B$2:$B6214=$B6215, $A$2:$A6214+$C$2:$C6214)), "")*24*60, "")</f>
        <v>0</v>
      </c>
      <c r="J6215" s="24" t="str" cm="1">
        <f t="array" ref="J6215">IFERROR(IF($B6215=J$1, ($A6215+$C6215) - MAX(IF($B$2:$B6214=$B6215, $A$2:$A6214+$C$2:$C6214)), "")*24*60, "")</f>
        <v/>
      </c>
      <c r="K6215" s="24" t="str" cm="1">
        <f t="array" ref="K6215">IFERROR(IF($B6215=K$1, ($A6215+$C6215) - MAX(IF($B$2:$B6214=$B6215, $A$2:$A6214+$C$2:$C6214)), "")*24*60, "")</f>
        <v/>
      </c>
      <c r="L6215" s="24" t="str" cm="1">
        <f t="array" ref="L6215">IFERROR(IF($B6215=L$1, ($A6215+$C6215) - MAX(IF($B$2:$B6214=$B6215, $A$2:$A6214+$C$2:$C6214)), "")*24*60, "")</f>
        <v/>
      </c>
      <c r="M6215" s="24" t="str" cm="1">
        <f t="array" ref="M6215">IFERROR(IF($B6215=M$1, ($A6215+$C6215) - MAX(IF($B$2:$B6214=$B6215, $A$2:$A6214+$C$2:$C6214)), "")*24*60, "")</f>
        <v/>
      </c>
      <c r="N6215" s="24" t="str" cm="1">
        <f t="array" ref="N6215">IFERROR(IF($B6215=N$1, ($A6215+$C6215) - MAX(IF($B$2:$B6214=$B6215, $A$2:$A6214+$C$2:$C6214)), "")*24*60, "")</f>
        <v/>
      </c>
      <c r="O6215" s="24" t="str" cm="1">
        <f t="array" ref="O6215">IFERROR(IF($B6215=O$1, ($A6215+$C6215) - MAX(IF($B$2:$B6214=$B6215, $A$2:$A6214+$C$2:$C6214)), "")*24*60, "")</f>
        <v/>
      </c>
      <c r="P6215" s="24" t="str" cm="1">
        <f t="array" ref="P6215">IFERROR(IF($B6215=P$1, ($A6215+$C6215) - MAX(IF($B$2:$B6214=$B6215, $A$2:$A6214+$C$2:$C6214)), "")*24*60, "")</f>
        <v/>
      </c>
      <c r="Q6215" s="24" t="str" cm="1">
        <f t="array" ref="Q6215">IFERROR(IF($B6215=Q$1, ($A6215+$C6215) - MAX(IF($B$2:$B6214=$B6215, $A$2:$A6214+$C$2:$C6214)), "")*24*60, "")</f>
        <v/>
      </c>
      <c r="R6215" s="24" t="str" cm="1">
        <f t="array" ref="R6215">IFERROR(IF($B6215=R$1, ($A6215+$C6215) - MAX(IF($B$2:$B6214=$B6215, $A$2:$A6214+$C$2:$C6214)), "")*24*60, "")</f>
        <v/>
      </c>
      <c r="S6215" s="24" t="str" cm="1">
        <f t="array" ref="S6215">IFERROR(IF($B6215=S$1, ($A6215+$C6215) - MAX(IF($B$2:$B6214=$B6215, $A$2:$A6214+$C$2:$C6214)), "")*24*60, "")</f>
        <v/>
      </c>
    </row>
    <row r="6216" spans="1:19" x14ac:dyDescent="0.2">
      <c r="A6216" s="12">
        <f t="shared" ref="A6216:C6216" si="1360">A6215</f>
        <v>45987</v>
      </c>
      <c r="B6216" s="5" t="str">
        <f t="shared" si="1360"/>
        <v>Northern Cardinal</v>
      </c>
      <c r="C6216" s="6">
        <f t="shared" si="1360"/>
        <v>0.28611111111111109</v>
      </c>
      <c r="D6216" s="5"/>
      <c r="E6216" s="5"/>
      <c r="F6216" s="5" t="s">
        <v>8</v>
      </c>
      <c r="G6216" s="15" t="s">
        <v>9</v>
      </c>
      <c r="H6216" s="24">
        <f t="shared" si="1314"/>
        <v>0</v>
      </c>
      <c r="I6216" s="24" cm="1">
        <f t="array" ref="I6216">IFERROR(IF($B6216=I$1, ($A6216+$C6216) - MAX(IF($B$2:$B6215=$B6216, $A$2:$A6215+$C$2:$C6215)), "")*24*60, "")</f>
        <v>0</v>
      </c>
      <c r="J6216" s="24" t="str" cm="1">
        <f t="array" ref="J6216">IFERROR(IF($B6216=J$1, ($A6216+$C6216) - MAX(IF($B$2:$B6215=$B6216, $A$2:$A6215+$C$2:$C6215)), "")*24*60, "")</f>
        <v/>
      </c>
      <c r="K6216" s="24" t="str" cm="1">
        <f t="array" ref="K6216">IFERROR(IF($B6216=K$1, ($A6216+$C6216) - MAX(IF($B$2:$B6215=$B6216, $A$2:$A6215+$C$2:$C6215)), "")*24*60, "")</f>
        <v/>
      </c>
      <c r="L6216" s="24" t="str" cm="1">
        <f t="array" ref="L6216">IFERROR(IF($B6216=L$1, ($A6216+$C6216) - MAX(IF($B$2:$B6215=$B6216, $A$2:$A6215+$C$2:$C6215)), "")*24*60, "")</f>
        <v/>
      </c>
      <c r="M6216" s="24" t="str" cm="1">
        <f t="array" ref="M6216">IFERROR(IF($B6216=M$1, ($A6216+$C6216) - MAX(IF($B$2:$B6215=$B6216, $A$2:$A6215+$C$2:$C6215)), "")*24*60, "")</f>
        <v/>
      </c>
      <c r="N6216" s="24" t="str" cm="1">
        <f t="array" ref="N6216">IFERROR(IF($B6216=N$1, ($A6216+$C6216) - MAX(IF($B$2:$B6215=$B6216, $A$2:$A6215+$C$2:$C6215)), "")*24*60, "")</f>
        <v/>
      </c>
      <c r="O6216" s="24" t="str" cm="1">
        <f t="array" ref="O6216">IFERROR(IF($B6216=O$1, ($A6216+$C6216) - MAX(IF($B$2:$B6215=$B6216, $A$2:$A6215+$C$2:$C6215)), "")*24*60, "")</f>
        <v/>
      </c>
      <c r="P6216" s="24" t="str" cm="1">
        <f t="array" ref="P6216">IFERROR(IF($B6216=P$1, ($A6216+$C6216) - MAX(IF($B$2:$B6215=$B6216, $A$2:$A6215+$C$2:$C6215)), "")*24*60, "")</f>
        <v/>
      </c>
      <c r="Q6216" s="24" t="str" cm="1">
        <f t="array" ref="Q6216">IFERROR(IF($B6216=Q$1, ($A6216+$C6216) - MAX(IF($B$2:$B6215=$B6216, $A$2:$A6215+$C$2:$C6215)), "")*24*60, "")</f>
        <v/>
      </c>
      <c r="R6216" s="24" t="str" cm="1">
        <f t="array" ref="R6216">IFERROR(IF($B6216=R$1, ($A6216+$C6216) - MAX(IF($B$2:$B6215=$B6216, $A$2:$A6215+$C$2:$C6215)), "")*24*60, "")</f>
        <v/>
      </c>
      <c r="S6216" s="24" t="str" cm="1">
        <f t="array" ref="S6216">IFERROR(IF($B6216=S$1, ($A6216+$C6216) - MAX(IF($B$2:$B6215=$B6216, $A$2:$A6215+$C$2:$C6215)), "")*24*60, "")</f>
        <v/>
      </c>
    </row>
    <row r="6217" spans="1:19" x14ac:dyDescent="0.2">
      <c r="A6217" s="12">
        <f t="shared" ref="A6217:C6217" si="1361">A6216</f>
        <v>45987</v>
      </c>
      <c r="B6217" s="5" t="str">
        <f t="shared" si="1361"/>
        <v>Northern Cardinal</v>
      </c>
      <c r="C6217" s="6">
        <f t="shared" si="1361"/>
        <v>0.28611111111111109</v>
      </c>
      <c r="D6217" s="5"/>
      <c r="E6217" s="5"/>
      <c r="F6217" s="5" t="s">
        <v>8</v>
      </c>
      <c r="G6217" s="15" t="s">
        <v>9</v>
      </c>
      <c r="H6217" s="24">
        <f t="shared" si="1314"/>
        <v>0</v>
      </c>
      <c r="I6217" s="24" cm="1">
        <f t="array" ref="I6217">IFERROR(IF($B6217=I$1, ($A6217+$C6217) - MAX(IF($B$2:$B6216=$B6217, $A$2:$A6216+$C$2:$C6216)), "")*24*60, "")</f>
        <v>0</v>
      </c>
      <c r="J6217" s="24" t="str" cm="1">
        <f t="array" ref="J6217">IFERROR(IF($B6217=J$1, ($A6217+$C6217) - MAX(IF($B$2:$B6216=$B6217, $A$2:$A6216+$C$2:$C6216)), "")*24*60, "")</f>
        <v/>
      </c>
      <c r="K6217" s="24" t="str" cm="1">
        <f t="array" ref="K6217">IFERROR(IF($B6217=K$1, ($A6217+$C6217) - MAX(IF($B$2:$B6216=$B6217, $A$2:$A6216+$C$2:$C6216)), "")*24*60, "")</f>
        <v/>
      </c>
      <c r="L6217" s="24" t="str" cm="1">
        <f t="array" ref="L6217">IFERROR(IF($B6217=L$1, ($A6217+$C6217) - MAX(IF($B$2:$B6216=$B6217, $A$2:$A6216+$C$2:$C6216)), "")*24*60, "")</f>
        <v/>
      </c>
      <c r="M6217" s="24" t="str" cm="1">
        <f t="array" ref="M6217">IFERROR(IF($B6217=M$1, ($A6217+$C6217) - MAX(IF($B$2:$B6216=$B6217, $A$2:$A6216+$C$2:$C6216)), "")*24*60, "")</f>
        <v/>
      </c>
      <c r="N6217" s="24" t="str" cm="1">
        <f t="array" ref="N6217">IFERROR(IF($B6217=N$1, ($A6217+$C6217) - MAX(IF($B$2:$B6216=$B6217, $A$2:$A6216+$C$2:$C6216)), "")*24*60, "")</f>
        <v/>
      </c>
      <c r="O6217" s="24" t="str" cm="1">
        <f t="array" ref="O6217">IFERROR(IF($B6217=O$1, ($A6217+$C6217) - MAX(IF($B$2:$B6216=$B6217, $A$2:$A6216+$C$2:$C6216)), "")*24*60, "")</f>
        <v/>
      </c>
      <c r="P6217" s="24" t="str" cm="1">
        <f t="array" ref="P6217">IFERROR(IF($B6217=P$1, ($A6217+$C6217) - MAX(IF($B$2:$B6216=$B6217, $A$2:$A6216+$C$2:$C6216)), "")*24*60, "")</f>
        <v/>
      </c>
      <c r="Q6217" s="24" t="str" cm="1">
        <f t="array" ref="Q6217">IFERROR(IF($B6217=Q$1, ($A6217+$C6217) - MAX(IF($B$2:$B6216=$B6217, $A$2:$A6216+$C$2:$C6216)), "")*24*60, "")</f>
        <v/>
      </c>
      <c r="R6217" s="24" t="str" cm="1">
        <f t="array" ref="R6217">IFERROR(IF($B6217=R$1, ($A6217+$C6217) - MAX(IF($B$2:$B6216=$B6217, $A$2:$A6216+$C$2:$C6216)), "")*24*60, "")</f>
        <v/>
      </c>
      <c r="S6217" s="24" t="str" cm="1">
        <f t="array" ref="S6217">IFERROR(IF($B6217=S$1, ($A6217+$C6217) - MAX(IF($B$2:$B6216=$B6217, $A$2:$A6216+$C$2:$C6216)), "")*24*60, "")</f>
        <v/>
      </c>
    </row>
    <row r="6218" spans="1:19" x14ac:dyDescent="0.2">
      <c r="A6218" s="12">
        <f t="shared" ref="A6218:C6218" si="1362">A6217</f>
        <v>45987</v>
      </c>
      <c r="B6218" s="5" t="str">
        <f t="shared" si="1362"/>
        <v>Northern Cardinal</v>
      </c>
      <c r="C6218" s="6">
        <f t="shared" si="1362"/>
        <v>0.28611111111111109</v>
      </c>
      <c r="D6218" s="5"/>
      <c r="E6218" s="5"/>
      <c r="F6218" s="5" t="s">
        <v>8</v>
      </c>
      <c r="G6218" s="15" t="s">
        <v>9</v>
      </c>
      <c r="H6218" s="24">
        <f t="shared" si="1314"/>
        <v>0</v>
      </c>
      <c r="I6218" s="24" cm="1">
        <f t="array" ref="I6218">IFERROR(IF($B6218=I$1, ($A6218+$C6218) - MAX(IF($B$2:$B6217=$B6218, $A$2:$A6217+$C$2:$C6217)), "")*24*60, "")</f>
        <v>0</v>
      </c>
      <c r="J6218" s="24" t="str" cm="1">
        <f t="array" ref="J6218">IFERROR(IF($B6218=J$1, ($A6218+$C6218) - MAX(IF($B$2:$B6217=$B6218, $A$2:$A6217+$C$2:$C6217)), "")*24*60, "")</f>
        <v/>
      </c>
      <c r="K6218" s="24" t="str" cm="1">
        <f t="array" ref="K6218">IFERROR(IF($B6218=K$1, ($A6218+$C6218) - MAX(IF($B$2:$B6217=$B6218, $A$2:$A6217+$C$2:$C6217)), "")*24*60, "")</f>
        <v/>
      </c>
      <c r="L6218" s="24" t="str" cm="1">
        <f t="array" ref="L6218">IFERROR(IF($B6218=L$1, ($A6218+$C6218) - MAX(IF($B$2:$B6217=$B6218, $A$2:$A6217+$C$2:$C6217)), "")*24*60, "")</f>
        <v/>
      </c>
      <c r="M6218" s="24" t="str" cm="1">
        <f t="array" ref="M6218">IFERROR(IF($B6218=M$1, ($A6218+$C6218) - MAX(IF($B$2:$B6217=$B6218, $A$2:$A6217+$C$2:$C6217)), "")*24*60, "")</f>
        <v/>
      </c>
      <c r="N6218" s="24" t="str" cm="1">
        <f t="array" ref="N6218">IFERROR(IF($B6218=N$1, ($A6218+$C6218) - MAX(IF($B$2:$B6217=$B6218, $A$2:$A6217+$C$2:$C6217)), "")*24*60, "")</f>
        <v/>
      </c>
      <c r="O6218" s="24" t="str" cm="1">
        <f t="array" ref="O6218">IFERROR(IF($B6218=O$1, ($A6218+$C6218) - MAX(IF($B$2:$B6217=$B6218, $A$2:$A6217+$C$2:$C6217)), "")*24*60, "")</f>
        <v/>
      </c>
      <c r="P6218" s="24" t="str" cm="1">
        <f t="array" ref="P6218">IFERROR(IF($B6218=P$1, ($A6218+$C6218) - MAX(IF($B$2:$B6217=$B6218, $A$2:$A6217+$C$2:$C6217)), "")*24*60, "")</f>
        <v/>
      </c>
      <c r="Q6218" s="24" t="str" cm="1">
        <f t="array" ref="Q6218">IFERROR(IF($B6218=Q$1, ($A6218+$C6218) - MAX(IF($B$2:$B6217=$B6218, $A$2:$A6217+$C$2:$C6217)), "")*24*60, "")</f>
        <v/>
      </c>
      <c r="R6218" s="24" t="str" cm="1">
        <f t="array" ref="R6218">IFERROR(IF($B6218=R$1, ($A6218+$C6218) - MAX(IF($B$2:$B6217=$B6218, $A$2:$A6217+$C$2:$C6217)), "")*24*60, "")</f>
        <v/>
      </c>
      <c r="S6218" s="24" t="str" cm="1">
        <f t="array" ref="S6218">IFERROR(IF($B6218=S$1, ($A6218+$C6218) - MAX(IF($B$2:$B6217=$B6218, $A$2:$A6217+$C$2:$C6217)), "")*24*60, "")</f>
        <v/>
      </c>
    </row>
    <row r="6219" spans="1:19" x14ac:dyDescent="0.2">
      <c r="A6219" s="12">
        <f t="shared" ref="A6219:C6219" si="1363">A6218</f>
        <v>45987</v>
      </c>
      <c r="B6219" s="5" t="str">
        <f t="shared" si="1363"/>
        <v>Northern Cardinal</v>
      </c>
      <c r="C6219" s="6">
        <f t="shared" si="1363"/>
        <v>0.28611111111111109</v>
      </c>
      <c r="D6219" s="5"/>
      <c r="E6219" s="5"/>
      <c r="F6219" s="5" t="s">
        <v>8</v>
      </c>
      <c r="G6219" s="15" t="s">
        <v>9</v>
      </c>
      <c r="H6219" s="24">
        <f t="shared" si="1314"/>
        <v>0</v>
      </c>
      <c r="I6219" s="24" cm="1">
        <f t="array" ref="I6219">IFERROR(IF($B6219=I$1, ($A6219+$C6219) - MAX(IF($B$2:$B6218=$B6219, $A$2:$A6218+$C$2:$C6218)), "")*24*60, "")</f>
        <v>0</v>
      </c>
      <c r="J6219" s="24" t="str" cm="1">
        <f t="array" ref="J6219">IFERROR(IF($B6219=J$1, ($A6219+$C6219) - MAX(IF($B$2:$B6218=$B6219, $A$2:$A6218+$C$2:$C6218)), "")*24*60, "")</f>
        <v/>
      </c>
      <c r="K6219" s="24" t="str" cm="1">
        <f t="array" ref="K6219">IFERROR(IF($B6219=K$1, ($A6219+$C6219) - MAX(IF($B$2:$B6218=$B6219, $A$2:$A6218+$C$2:$C6218)), "")*24*60, "")</f>
        <v/>
      </c>
      <c r="L6219" s="24" t="str" cm="1">
        <f t="array" ref="L6219">IFERROR(IF($B6219=L$1, ($A6219+$C6219) - MAX(IF($B$2:$B6218=$B6219, $A$2:$A6218+$C$2:$C6218)), "")*24*60, "")</f>
        <v/>
      </c>
      <c r="M6219" s="24" t="str" cm="1">
        <f t="array" ref="M6219">IFERROR(IF($B6219=M$1, ($A6219+$C6219) - MAX(IF($B$2:$B6218=$B6219, $A$2:$A6218+$C$2:$C6218)), "")*24*60, "")</f>
        <v/>
      </c>
      <c r="N6219" s="24" t="str" cm="1">
        <f t="array" ref="N6219">IFERROR(IF($B6219=N$1, ($A6219+$C6219) - MAX(IF($B$2:$B6218=$B6219, $A$2:$A6218+$C$2:$C6218)), "")*24*60, "")</f>
        <v/>
      </c>
      <c r="O6219" s="24" t="str" cm="1">
        <f t="array" ref="O6219">IFERROR(IF($B6219=O$1, ($A6219+$C6219) - MAX(IF($B$2:$B6218=$B6219, $A$2:$A6218+$C$2:$C6218)), "")*24*60, "")</f>
        <v/>
      </c>
      <c r="P6219" s="24" t="str" cm="1">
        <f t="array" ref="P6219">IFERROR(IF($B6219=P$1, ($A6219+$C6219) - MAX(IF($B$2:$B6218=$B6219, $A$2:$A6218+$C$2:$C6218)), "")*24*60, "")</f>
        <v/>
      </c>
      <c r="Q6219" s="24" t="str" cm="1">
        <f t="array" ref="Q6219">IFERROR(IF($B6219=Q$1, ($A6219+$C6219) - MAX(IF($B$2:$B6218=$B6219, $A$2:$A6218+$C$2:$C6218)), "")*24*60, "")</f>
        <v/>
      </c>
      <c r="R6219" s="24" t="str" cm="1">
        <f t="array" ref="R6219">IFERROR(IF($B6219=R$1, ($A6219+$C6219) - MAX(IF($B$2:$B6218=$B6219, $A$2:$A6218+$C$2:$C6218)), "")*24*60, "")</f>
        <v/>
      </c>
      <c r="S6219" s="24" t="str" cm="1">
        <f t="array" ref="S6219">IFERROR(IF($B6219=S$1, ($A6219+$C6219) - MAX(IF($B$2:$B6218=$B6219, $A$2:$A6218+$C$2:$C6218)), "")*24*60, "")</f>
        <v/>
      </c>
    </row>
    <row r="6220" spans="1:19" x14ac:dyDescent="0.2">
      <c r="A6220" s="12">
        <f t="shared" ref="A6220:C6220" si="1364">A6219</f>
        <v>45987</v>
      </c>
      <c r="B6220" s="5" t="str">
        <f t="shared" si="1364"/>
        <v>Northern Cardinal</v>
      </c>
      <c r="C6220" s="6">
        <f t="shared" si="1364"/>
        <v>0.28611111111111109</v>
      </c>
      <c r="D6220" s="5"/>
      <c r="E6220" s="5"/>
      <c r="F6220" s="5" t="s">
        <v>8</v>
      </c>
      <c r="G6220" s="15" t="s">
        <v>9</v>
      </c>
      <c r="H6220" s="24">
        <f t="shared" si="1314"/>
        <v>0</v>
      </c>
      <c r="I6220" s="24" cm="1">
        <f t="array" ref="I6220">IFERROR(IF($B6220=I$1, ($A6220+$C6220) - MAX(IF($B$2:$B6219=$B6220, $A$2:$A6219+$C$2:$C6219)), "")*24*60, "")</f>
        <v>0</v>
      </c>
      <c r="J6220" s="24" t="str" cm="1">
        <f t="array" ref="J6220">IFERROR(IF($B6220=J$1, ($A6220+$C6220) - MAX(IF($B$2:$B6219=$B6220, $A$2:$A6219+$C$2:$C6219)), "")*24*60, "")</f>
        <v/>
      </c>
      <c r="K6220" s="24" t="str" cm="1">
        <f t="array" ref="K6220">IFERROR(IF($B6220=K$1, ($A6220+$C6220) - MAX(IF($B$2:$B6219=$B6220, $A$2:$A6219+$C$2:$C6219)), "")*24*60, "")</f>
        <v/>
      </c>
      <c r="L6220" s="24" t="str" cm="1">
        <f t="array" ref="L6220">IFERROR(IF($B6220=L$1, ($A6220+$C6220) - MAX(IF($B$2:$B6219=$B6220, $A$2:$A6219+$C$2:$C6219)), "")*24*60, "")</f>
        <v/>
      </c>
      <c r="M6220" s="24" t="str" cm="1">
        <f t="array" ref="M6220">IFERROR(IF($B6220=M$1, ($A6220+$C6220) - MAX(IF($B$2:$B6219=$B6220, $A$2:$A6219+$C$2:$C6219)), "")*24*60, "")</f>
        <v/>
      </c>
      <c r="N6220" s="24" t="str" cm="1">
        <f t="array" ref="N6220">IFERROR(IF($B6220=N$1, ($A6220+$C6220) - MAX(IF($B$2:$B6219=$B6220, $A$2:$A6219+$C$2:$C6219)), "")*24*60, "")</f>
        <v/>
      </c>
      <c r="O6220" s="24" t="str" cm="1">
        <f t="array" ref="O6220">IFERROR(IF($B6220=O$1, ($A6220+$C6220) - MAX(IF($B$2:$B6219=$B6220, $A$2:$A6219+$C$2:$C6219)), "")*24*60, "")</f>
        <v/>
      </c>
      <c r="P6220" s="24" t="str" cm="1">
        <f t="array" ref="P6220">IFERROR(IF($B6220=P$1, ($A6220+$C6220) - MAX(IF($B$2:$B6219=$B6220, $A$2:$A6219+$C$2:$C6219)), "")*24*60, "")</f>
        <v/>
      </c>
      <c r="Q6220" s="24" t="str" cm="1">
        <f t="array" ref="Q6220">IFERROR(IF($B6220=Q$1, ($A6220+$C6220) - MAX(IF($B$2:$B6219=$B6220, $A$2:$A6219+$C$2:$C6219)), "")*24*60, "")</f>
        <v/>
      </c>
      <c r="R6220" s="24" t="str" cm="1">
        <f t="array" ref="R6220">IFERROR(IF($B6220=R$1, ($A6220+$C6220) - MAX(IF($B$2:$B6219=$B6220, $A$2:$A6219+$C$2:$C6219)), "")*24*60, "")</f>
        <v/>
      </c>
      <c r="S6220" s="24" t="str" cm="1">
        <f t="array" ref="S6220">IFERROR(IF($B6220=S$1, ($A6220+$C6220) - MAX(IF($B$2:$B6219=$B6220, $A$2:$A6219+$C$2:$C6219)), "")*24*60, "")</f>
        <v/>
      </c>
    </row>
    <row r="6221" spans="1:19" x14ac:dyDescent="0.2">
      <c r="A6221" s="12">
        <f t="shared" ref="A6221:C6221" si="1365">A6220</f>
        <v>45987</v>
      </c>
      <c r="B6221" s="5" t="str">
        <f t="shared" si="1365"/>
        <v>Northern Cardinal</v>
      </c>
      <c r="C6221" s="6">
        <f t="shared" si="1365"/>
        <v>0.28611111111111109</v>
      </c>
      <c r="D6221" s="5"/>
      <c r="E6221" s="5"/>
      <c r="F6221" s="5" t="s">
        <v>8</v>
      </c>
      <c r="G6221" s="15" t="s">
        <v>9</v>
      </c>
      <c r="H6221" s="24">
        <f t="shared" si="1314"/>
        <v>0</v>
      </c>
      <c r="I6221" s="24" cm="1">
        <f t="array" ref="I6221">IFERROR(IF($B6221=I$1, ($A6221+$C6221) - MAX(IF($B$2:$B6220=$B6221, $A$2:$A6220+$C$2:$C6220)), "")*24*60, "")</f>
        <v>0</v>
      </c>
      <c r="J6221" s="24" t="str" cm="1">
        <f t="array" ref="J6221">IFERROR(IF($B6221=J$1, ($A6221+$C6221) - MAX(IF($B$2:$B6220=$B6221, $A$2:$A6220+$C$2:$C6220)), "")*24*60, "")</f>
        <v/>
      </c>
      <c r="K6221" s="24" t="str" cm="1">
        <f t="array" ref="K6221">IFERROR(IF($B6221=K$1, ($A6221+$C6221) - MAX(IF($B$2:$B6220=$B6221, $A$2:$A6220+$C$2:$C6220)), "")*24*60, "")</f>
        <v/>
      </c>
      <c r="L6221" s="24" t="str" cm="1">
        <f t="array" ref="L6221">IFERROR(IF($B6221=L$1, ($A6221+$C6221) - MAX(IF($B$2:$B6220=$B6221, $A$2:$A6220+$C$2:$C6220)), "")*24*60, "")</f>
        <v/>
      </c>
      <c r="M6221" s="24" t="str" cm="1">
        <f t="array" ref="M6221">IFERROR(IF($B6221=M$1, ($A6221+$C6221) - MAX(IF($B$2:$B6220=$B6221, $A$2:$A6220+$C$2:$C6220)), "")*24*60, "")</f>
        <v/>
      </c>
      <c r="N6221" s="24" t="str" cm="1">
        <f t="array" ref="N6221">IFERROR(IF($B6221=N$1, ($A6221+$C6221) - MAX(IF($B$2:$B6220=$B6221, $A$2:$A6220+$C$2:$C6220)), "")*24*60, "")</f>
        <v/>
      </c>
      <c r="O6221" s="24" t="str" cm="1">
        <f t="array" ref="O6221">IFERROR(IF($B6221=O$1, ($A6221+$C6221) - MAX(IF($B$2:$B6220=$B6221, $A$2:$A6220+$C$2:$C6220)), "")*24*60, "")</f>
        <v/>
      </c>
      <c r="P6221" s="24" t="str" cm="1">
        <f t="array" ref="P6221">IFERROR(IF($B6221=P$1, ($A6221+$C6221) - MAX(IF($B$2:$B6220=$B6221, $A$2:$A6220+$C$2:$C6220)), "")*24*60, "")</f>
        <v/>
      </c>
      <c r="Q6221" s="24" t="str" cm="1">
        <f t="array" ref="Q6221">IFERROR(IF($B6221=Q$1, ($A6221+$C6221) - MAX(IF($B$2:$B6220=$B6221, $A$2:$A6220+$C$2:$C6220)), "")*24*60, "")</f>
        <v/>
      </c>
      <c r="R6221" s="24" t="str" cm="1">
        <f t="array" ref="R6221">IFERROR(IF($B6221=R$1, ($A6221+$C6221) - MAX(IF($B$2:$B6220=$B6221, $A$2:$A6220+$C$2:$C6220)), "")*24*60, "")</f>
        <v/>
      </c>
      <c r="S6221" s="24" t="str" cm="1">
        <f t="array" ref="S6221">IFERROR(IF($B6221=S$1, ($A6221+$C6221) - MAX(IF($B$2:$B6220=$B6221, $A$2:$A6220+$C$2:$C6220)), "")*24*60, "")</f>
        <v/>
      </c>
    </row>
    <row r="6222" spans="1:19" x14ac:dyDescent="0.2">
      <c r="A6222" s="12">
        <f t="shared" ref="A6222:C6222" si="1366">A6221</f>
        <v>45987</v>
      </c>
      <c r="B6222" s="5" t="str">
        <f t="shared" si="1366"/>
        <v>Northern Cardinal</v>
      </c>
      <c r="C6222" s="6">
        <f t="shared" si="1366"/>
        <v>0.28611111111111109</v>
      </c>
      <c r="D6222" s="5"/>
      <c r="E6222" s="5"/>
      <c r="F6222" s="5" t="s">
        <v>8</v>
      </c>
      <c r="G6222" s="15" t="s">
        <v>9</v>
      </c>
      <c r="H6222" s="24">
        <f t="shared" si="1314"/>
        <v>0</v>
      </c>
      <c r="I6222" s="24" cm="1">
        <f t="array" ref="I6222">IFERROR(IF($B6222=I$1, ($A6222+$C6222) - MAX(IF($B$2:$B6221=$B6222, $A$2:$A6221+$C$2:$C6221)), "")*24*60, "")</f>
        <v>0</v>
      </c>
      <c r="J6222" s="24" t="str" cm="1">
        <f t="array" ref="J6222">IFERROR(IF($B6222=J$1, ($A6222+$C6222) - MAX(IF($B$2:$B6221=$B6222, $A$2:$A6221+$C$2:$C6221)), "")*24*60, "")</f>
        <v/>
      </c>
      <c r="K6222" s="24" t="str" cm="1">
        <f t="array" ref="K6222">IFERROR(IF($B6222=K$1, ($A6222+$C6222) - MAX(IF($B$2:$B6221=$B6222, $A$2:$A6221+$C$2:$C6221)), "")*24*60, "")</f>
        <v/>
      </c>
      <c r="L6222" s="24" t="str" cm="1">
        <f t="array" ref="L6222">IFERROR(IF($B6222=L$1, ($A6222+$C6222) - MAX(IF($B$2:$B6221=$B6222, $A$2:$A6221+$C$2:$C6221)), "")*24*60, "")</f>
        <v/>
      </c>
      <c r="M6222" s="24" t="str" cm="1">
        <f t="array" ref="M6222">IFERROR(IF($B6222=M$1, ($A6222+$C6222) - MAX(IF($B$2:$B6221=$B6222, $A$2:$A6221+$C$2:$C6221)), "")*24*60, "")</f>
        <v/>
      </c>
      <c r="N6222" s="24" t="str" cm="1">
        <f t="array" ref="N6222">IFERROR(IF($B6222=N$1, ($A6222+$C6222) - MAX(IF($B$2:$B6221=$B6222, $A$2:$A6221+$C$2:$C6221)), "")*24*60, "")</f>
        <v/>
      </c>
      <c r="O6222" s="24" t="str" cm="1">
        <f t="array" ref="O6222">IFERROR(IF($B6222=O$1, ($A6222+$C6222) - MAX(IF($B$2:$B6221=$B6222, $A$2:$A6221+$C$2:$C6221)), "")*24*60, "")</f>
        <v/>
      </c>
      <c r="P6222" s="24" t="str" cm="1">
        <f t="array" ref="P6222">IFERROR(IF($B6222=P$1, ($A6222+$C6222) - MAX(IF($B$2:$B6221=$B6222, $A$2:$A6221+$C$2:$C6221)), "")*24*60, "")</f>
        <v/>
      </c>
      <c r="Q6222" s="24" t="str" cm="1">
        <f t="array" ref="Q6222">IFERROR(IF($B6222=Q$1, ($A6222+$C6222) - MAX(IF($B$2:$B6221=$B6222, $A$2:$A6221+$C$2:$C6221)), "")*24*60, "")</f>
        <v/>
      </c>
      <c r="R6222" s="24" t="str" cm="1">
        <f t="array" ref="R6222">IFERROR(IF($B6222=R$1, ($A6222+$C6222) - MAX(IF($B$2:$B6221=$B6222, $A$2:$A6221+$C$2:$C6221)), "")*24*60, "")</f>
        <v/>
      </c>
      <c r="S6222" s="24" t="str" cm="1">
        <f t="array" ref="S6222">IFERROR(IF($B6222=S$1, ($A6222+$C6222) - MAX(IF($B$2:$B6221=$B6222, $A$2:$A6221+$C$2:$C6221)), "")*24*60, "")</f>
        <v/>
      </c>
    </row>
    <row r="6223" spans="1:19" x14ac:dyDescent="0.2">
      <c r="A6223" s="12">
        <f t="shared" ref="A6223:C6223" si="1367">A6222</f>
        <v>45987</v>
      </c>
      <c r="B6223" s="5" t="str">
        <f t="shared" si="1367"/>
        <v>Northern Cardinal</v>
      </c>
      <c r="C6223" s="6">
        <f t="shared" si="1367"/>
        <v>0.28611111111111109</v>
      </c>
      <c r="D6223" s="5"/>
      <c r="E6223" s="5"/>
      <c r="F6223" s="5" t="s">
        <v>8</v>
      </c>
      <c r="G6223" s="15" t="s">
        <v>9</v>
      </c>
      <c r="H6223" s="24">
        <f t="shared" si="1314"/>
        <v>0</v>
      </c>
      <c r="I6223" s="24" cm="1">
        <f t="array" ref="I6223">IFERROR(IF($B6223=I$1, ($A6223+$C6223) - MAX(IF($B$2:$B6222=$B6223, $A$2:$A6222+$C$2:$C6222)), "")*24*60, "")</f>
        <v>0</v>
      </c>
      <c r="J6223" s="24" t="str" cm="1">
        <f t="array" ref="J6223">IFERROR(IF($B6223=J$1, ($A6223+$C6223) - MAX(IF($B$2:$B6222=$B6223, $A$2:$A6222+$C$2:$C6222)), "")*24*60, "")</f>
        <v/>
      </c>
      <c r="K6223" s="24" t="str" cm="1">
        <f t="array" ref="K6223">IFERROR(IF($B6223=K$1, ($A6223+$C6223) - MAX(IF($B$2:$B6222=$B6223, $A$2:$A6222+$C$2:$C6222)), "")*24*60, "")</f>
        <v/>
      </c>
      <c r="L6223" s="24" t="str" cm="1">
        <f t="array" ref="L6223">IFERROR(IF($B6223=L$1, ($A6223+$C6223) - MAX(IF($B$2:$B6222=$B6223, $A$2:$A6222+$C$2:$C6222)), "")*24*60, "")</f>
        <v/>
      </c>
      <c r="M6223" s="24" t="str" cm="1">
        <f t="array" ref="M6223">IFERROR(IF($B6223=M$1, ($A6223+$C6223) - MAX(IF($B$2:$B6222=$B6223, $A$2:$A6222+$C$2:$C6222)), "")*24*60, "")</f>
        <v/>
      </c>
      <c r="N6223" s="24" t="str" cm="1">
        <f t="array" ref="N6223">IFERROR(IF($B6223=N$1, ($A6223+$C6223) - MAX(IF($B$2:$B6222=$B6223, $A$2:$A6222+$C$2:$C6222)), "")*24*60, "")</f>
        <v/>
      </c>
      <c r="O6223" s="24" t="str" cm="1">
        <f t="array" ref="O6223">IFERROR(IF($B6223=O$1, ($A6223+$C6223) - MAX(IF($B$2:$B6222=$B6223, $A$2:$A6222+$C$2:$C6222)), "")*24*60, "")</f>
        <v/>
      </c>
      <c r="P6223" s="24" t="str" cm="1">
        <f t="array" ref="P6223">IFERROR(IF($B6223=P$1, ($A6223+$C6223) - MAX(IF($B$2:$B6222=$B6223, $A$2:$A6222+$C$2:$C6222)), "")*24*60, "")</f>
        <v/>
      </c>
      <c r="Q6223" s="24" t="str" cm="1">
        <f t="array" ref="Q6223">IFERROR(IF($B6223=Q$1, ($A6223+$C6223) - MAX(IF($B$2:$B6222=$B6223, $A$2:$A6222+$C$2:$C6222)), "")*24*60, "")</f>
        <v/>
      </c>
      <c r="R6223" s="24" t="str" cm="1">
        <f t="array" ref="R6223">IFERROR(IF($B6223=R$1, ($A6223+$C6223) - MAX(IF($B$2:$B6222=$B6223, $A$2:$A6222+$C$2:$C6222)), "")*24*60, "")</f>
        <v/>
      </c>
      <c r="S6223" s="24" t="str" cm="1">
        <f t="array" ref="S6223">IFERROR(IF($B6223=S$1, ($A6223+$C6223) - MAX(IF($B$2:$B6222=$B6223, $A$2:$A6222+$C$2:$C6222)), "")*24*60, "")</f>
        <v/>
      </c>
    </row>
    <row r="6224" spans="1:19" x14ac:dyDescent="0.2">
      <c r="A6224" s="12">
        <f t="shared" ref="A6224:C6224" si="1368">A6223</f>
        <v>45987</v>
      </c>
      <c r="B6224" s="5" t="str">
        <f t="shared" si="1368"/>
        <v>Northern Cardinal</v>
      </c>
      <c r="C6224" s="6">
        <f t="shared" si="1368"/>
        <v>0.28611111111111109</v>
      </c>
      <c r="D6224" s="5"/>
      <c r="E6224" s="5"/>
      <c r="F6224" s="5" t="s">
        <v>8</v>
      </c>
      <c r="G6224" s="15" t="s">
        <v>9</v>
      </c>
      <c r="H6224" s="24">
        <f t="shared" si="1314"/>
        <v>0</v>
      </c>
      <c r="I6224" s="24" cm="1">
        <f t="array" ref="I6224">IFERROR(IF($B6224=I$1, ($A6224+$C6224) - MAX(IF($B$2:$B6223=$B6224, $A$2:$A6223+$C$2:$C6223)), "")*24*60, "")</f>
        <v>0</v>
      </c>
      <c r="J6224" s="24" t="str" cm="1">
        <f t="array" ref="J6224">IFERROR(IF($B6224=J$1, ($A6224+$C6224) - MAX(IF($B$2:$B6223=$B6224, $A$2:$A6223+$C$2:$C6223)), "")*24*60, "")</f>
        <v/>
      </c>
      <c r="K6224" s="24" t="str" cm="1">
        <f t="array" ref="K6224">IFERROR(IF($B6224=K$1, ($A6224+$C6224) - MAX(IF($B$2:$B6223=$B6224, $A$2:$A6223+$C$2:$C6223)), "")*24*60, "")</f>
        <v/>
      </c>
      <c r="L6224" s="24" t="str" cm="1">
        <f t="array" ref="L6224">IFERROR(IF($B6224=L$1, ($A6224+$C6224) - MAX(IF($B$2:$B6223=$B6224, $A$2:$A6223+$C$2:$C6223)), "")*24*60, "")</f>
        <v/>
      </c>
      <c r="M6224" s="24" t="str" cm="1">
        <f t="array" ref="M6224">IFERROR(IF($B6224=M$1, ($A6224+$C6224) - MAX(IF($B$2:$B6223=$B6224, $A$2:$A6223+$C$2:$C6223)), "")*24*60, "")</f>
        <v/>
      </c>
      <c r="N6224" s="24" t="str" cm="1">
        <f t="array" ref="N6224">IFERROR(IF($B6224=N$1, ($A6224+$C6224) - MAX(IF($B$2:$B6223=$B6224, $A$2:$A6223+$C$2:$C6223)), "")*24*60, "")</f>
        <v/>
      </c>
      <c r="O6224" s="24" t="str" cm="1">
        <f t="array" ref="O6224">IFERROR(IF($B6224=O$1, ($A6224+$C6224) - MAX(IF($B$2:$B6223=$B6224, $A$2:$A6223+$C$2:$C6223)), "")*24*60, "")</f>
        <v/>
      </c>
      <c r="P6224" s="24" t="str" cm="1">
        <f t="array" ref="P6224">IFERROR(IF($B6224=P$1, ($A6224+$C6224) - MAX(IF($B$2:$B6223=$B6224, $A$2:$A6223+$C$2:$C6223)), "")*24*60, "")</f>
        <v/>
      </c>
      <c r="Q6224" s="24" t="str" cm="1">
        <f t="array" ref="Q6224">IFERROR(IF($B6224=Q$1, ($A6224+$C6224) - MAX(IF($B$2:$B6223=$B6224, $A$2:$A6223+$C$2:$C6223)), "")*24*60, "")</f>
        <v/>
      </c>
      <c r="R6224" s="24" t="str" cm="1">
        <f t="array" ref="R6224">IFERROR(IF($B6224=R$1, ($A6224+$C6224) - MAX(IF($B$2:$B6223=$B6224, $A$2:$A6223+$C$2:$C6223)), "")*24*60, "")</f>
        <v/>
      </c>
      <c r="S6224" s="24" t="str" cm="1">
        <f t="array" ref="S6224">IFERROR(IF($B6224=S$1, ($A6224+$C6224) - MAX(IF($B$2:$B6223=$B6224, $A$2:$A6223+$C$2:$C6223)), "")*24*60, "")</f>
        <v/>
      </c>
    </row>
    <row r="6225" spans="1:19" x14ac:dyDescent="0.2">
      <c r="A6225" s="12">
        <f t="shared" ref="A6225:C6225" si="1369">A6224</f>
        <v>45987</v>
      </c>
      <c r="B6225" s="5" t="str">
        <f t="shared" si="1369"/>
        <v>Northern Cardinal</v>
      </c>
      <c r="C6225" s="6">
        <f t="shared" si="1369"/>
        <v>0.28611111111111109</v>
      </c>
      <c r="D6225" s="5"/>
      <c r="E6225" s="5"/>
      <c r="F6225" s="5" t="s">
        <v>8</v>
      </c>
      <c r="G6225" s="15" t="s">
        <v>9</v>
      </c>
      <c r="H6225" s="24">
        <f t="shared" si="1314"/>
        <v>0</v>
      </c>
      <c r="I6225" s="24" cm="1">
        <f t="array" ref="I6225">IFERROR(IF($B6225=I$1, ($A6225+$C6225) - MAX(IF($B$2:$B6224=$B6225, $A$2:$A6224+$C$2:$C6224)), "")*24*60, "")</f>
        <v>0</v>
      </c>
      <c r="J6225" s="24" t="str" cm="1">
        <f t="array" ref="J6225">IFERROR(IF($B6225=J$1, ($A6225+$C6225) - MAX(IF($B$2:$B6224=$B6225, $A$2:$A6224+$C$2:$C6224)), "")*24*60, "")</f>
        <v/>
      </c>
      <c r="K6225" s="24" t="str" cm="1">
        <f t="array" ref="K6225">IFERROR(IF($B6225=K$1, ($A6225+$C6225) - MAX(IF($B$2:$B6224=$B6225, $A$2:$A6224+$C$2:$C6224)), "")*24*60, "")</f>
        <v/>
      </c>
      <c r="L6225" s="24" t="str" cm="1">
        <f t="array" ref="L6225">IFERROR(IF($B6225=L$1, ($A6225+$C6225) - MAX(IF($B$2:$B6224=$B6225, $A$2:$A6224+$C$2:$C6224)), "")*24*60, "")</f>
        <v/>
      </c>
      <c r="M6225" s="24" t="str" cm="1">
        <f t="array" ref="M6225">IFERROR(IF($B6225=M$1, ($A6225+$C6225) - MAX(IF($B$2:$B6224=$B6225, $A$2:$A6224+$C$2:$C6224)), "")*24*60, "")</f>
        <v/>
      </c>
      <c r="N6225" s="24" t="str" cm="1">
        <f t="array" ref="N6225">IFERROR(IF($B6225=N$1, ($A6225+$C6225) - MAX(IF($B$2:$B6224=$B6225, $A$2:$A6224+$C$2:$C6224)), "")*24*60, "")</f>
        <v/>
      </c>
      <c r="O6225" s="24" t="str" cm="1">
        <f t="array" ref="O6225">IFERROR(IF($B6225=O$1, ($A6225+$C6225) - MAX(IF($B$2:$B6224=$B6225, $A$2:$A6224+$C$2:$C6224)), "")*24*60, "")</f>
        <v/>
      </c>
      <c r="P6225" s="24" t="str" cm="1">
        <f t="array" ref="P6225">IFERROR(IF($B6225=P$1, ($A6225+$C6225) - MAX(IF($B$2:$B6224=$B6225, $A$2:$A6224+$C$2:$C6224)), "")*24*60, "")</f>
        <v/>
      </c>
      <c r="Q6225" s="24" t="str" cm="1">
        <f t="array" ref="Q6225">IFERROR(IF($B6225=Q$1, ($A6225+$C6225) - MAX(IF($B$2:$B6224=$B6225, $A$2:$A6224+$C$2:$C6224)), "")*24*60, "")</f>
        <v/>
      </c>
      <c r="R6225" s="24" t="str" cm="1">
        <f t="array" ref="R6225">IFERROR(IF($B6225=R$1, ($A6225+$C6225) - MAX(IF($B$2:$B6224=$B6225, $A$2:$A6224+$C$2:$C6224)), "")*24*60, "")</f>
        <v/>
      </c>
      <c r="S6225" s="24" t="str" cm="1">
        <f t="array" ref="S6225">IFERROR(IF($B6225=S$1, ($A6225+$C6225) - MAX(IF($B$2:$B6224=$B6225, $A$2:$A6224+$C$2:$C6224)), "")*24*60, "")</f>
        <v/>
      </c>
    </row>
    <row r="6226" spans="1:19" x14ac:dyDescent="0.2">
      <c r="A6226" s="12">
        <f t="shared" ref="A6226:C6226" si="1370">A6225</f>
        <v>45987</v>
      </c>
      <c r="B6226" s="5" t="str">
        <f t="shared" si="1370"/>
        <v>Northern Cardinal</v>
      </c>
      <c r="C6226" s="6">
        <f t="shared" si="1370"/>
        <v>0.28611111111111109</v>
      </c>
      <c r="D6226" s="5"/>
      <c r="E6226" s="5"/>
      <c r="F6226" s="5" t="s">
        <v>8</v>
      </c>
      <c r="G6226" s="15" t="s">
        <v>9</v>
      </c>
      <c r="H6226" s="24">
        <f t="shared" si="1314"/>
        <v>0</v>
      </c>
      <c r="I6226" s="24" cm="1">
        <f t="array" ref="I6226">IFERROR(IF($B6226=I$1, ($A6226+$C6226) - MAX(IF($B$2:$B6225=$B6226, $A$2:$A6225+$C$2:$C6225)), "")*24*60, "")</f>
        <v>0</v>
      </c>
      <c r="J6226" s="24" t="str" cm="1">
        <f t="array" ref="J6226">IFERROR(IF($B6226=J$1, ($A6226+$C6226) - MAX(IF($B$2:$B6225=$B6226, $A$2:$A6225+$C$2:$C6225)), "")*24*60, "")</f>
        <v/>
      </c>
      <c r="K6226" s="24" t="str" cm="1">
        <f t="array" ref="K6226">IFERROR(IF($B6226=K$1, ($A6226+$C6226) - MAX(IF($B$2:$B6225=$B6226, $A$2:$A6225+$C$2:$C6225)), "")*24*60, "")</f>
        <v/>
      </c>
      <c r="L6226" s="24" t="str" cm="1">
        <f t="array" ref="L6226">IFERROR(IF($B6226=L$1, ($A6226+$C6226) - MAX(IF($B$2:$B6225=$B6226, $A$2:$A6225+$C$2:$C6225)), "")*24*60, "")</f>
        <v/>
      </c>
      <c r="M6226" s="24" t="str" cm="1">
        <f t="array" ref="M6226">IFERROR(IF($B6226=M$1, ($A6226+$C6226) - MAX(IF($B$2:$B6225=$B6226, $A$2:$A6225+$C$2:$C6225)), "")*24*60, "")</f>
        <v/>
      </c>
      <c r="N6226" s="24" t="str" cm="1">
        <f t="array" ref="N6226">IFERROR(IF($B6226=N$1, ($A6226+$C6226) - MAX(IF($B$2:$B6225=$B6226, $A$2:$A6225+$C$2:$C6225)), "")*24*60, "")</f>
        <v/>
      </c>
      <c r="O6226" s="24" t="str" cm="1">
        <f t="array" ref="O6226">IFERROR(IF($B6226=O$1, ($A6226+$C6226) - MAX(IF($B$2:$B6225=$B6226, $A$2:$A6225+$C$2:$C6225)), "")*24*60, "")</f>
        <v/>
      </c>
      <c r="P6226" s="24" t="str" cm="1">
        <f t="array" ref="P6226">IFERROR(IF($B6226=P$1, ($A6226+$C6226) - MAX(IF($B$2:$B6225=$B6226, $A$2:$A6225+$C$2:$C6225)), "")*24*60, "")</f>
        <v/>
      </c>
      <c r="Q6226" s="24" t="str" cm="1">
        <f t="array" ref="Q6226">IFERROR(IF($B6226=Q$1, ($A6226+$C6226) - MAX(IF($B$2:$B6225=$B6226, $A$2:$A6225+$C$2:$C6225)), "")*24*60, "")</f>
        <v/>
      </c>
      <c r="R6226" s="24" t="str" cm="1">
        <f t="array" ref="R6226">IFERROR(IF($B6226=R$1, ($A6226+$C6226) - MAX(IF($B$2:$B6225=$B6226, $A$2:$A6225+$C$2:$C6225)), "")*24*60, "")</f>
        <v/>
      </c>
      <c r="S6226" s="24" t="str" cm="1">
        <f t="array" ref="S6226">IFERROR(IF($B6226=S$1, ($A6226+$C6226) - MAX(IF($B$2:$B6225=$B6226, $A$2:$A6225+$C$2:$C6225)), "")*24*60, "")</f>
        <v/>
      </c>
    </row>
    <row r="6227" spans="1:19" x14ac:dyDescent="0.2">
      <c r="A6227" s="12">
        <f t="shared" ref="A6227:C6227" si="1371">A6226</f>
        <v>45987</v>
      </c>
      <c r="B6227" s="5" t="str">
        <f t="shared" si="1371"/>
        <v>Northern Cardinal</v>
      </c>
      <c r="C6227" s="6">
        <f t="shared" si="1371"/>
        <v>0.28611111111111109</v>
      </c>
      <c r="D6227" s="5"/>
      <c r="E6227" s="5"/>
      <c r="F6227" s="5" t="s">
        <v>8</v>
      </c>
      <c r="G6227" s="15" t="s">
        <v>9</v>
      </c>
      <c r="H6227" s="24">
        <f t="shared" si="1314"/>
        <v>0</v>
      </c>
      <c r="I6227" s="24" cm="1">
        <f t="array" ref="I6227">IFERROR(IF($B6227=I$1, ($A6227+$C6227) - MAX(IF($B$2:$B6226=$B6227, $A$2:$A6226+$C$2:$C6226)), "")*24*60, "")</f>
        <v>0</v>
      </c>
      <c r="J6227" s="24" t="str" cm="1">
        <f t="array" ref="J6227">IFERROR(IF($B6227=J$1, ($A6227+$C6227) - MAX(IF($B$2:$B6226=$B6227, $A$2:$A6226+$C$2:$C6226)), "")*24*60, "")</f>
        <v/>
      </c>
      <c r="K6227" s="24" t="str" cm="1">
        <f t="array" ref="K6227">IFERROR(IF($B6227=K$1, ($A6227+$C6227) - MAX(IF($B$2:$B6226=$B6227, $A$2:$A6226+$C$2:$C6226)), "")*24*60, "")</f>
        <v/>
      </c>
      <c r="L6227" s="24" t="str" cm="1">
        <f t="array" ref="L6227">IFERROR(IF($B6227=L$1, ($A6227+$C6227) - MAX(IF($B$2:$B6226=$B6227, $A$2:$A6226+$C$2:$C6226)), "")*24*60, "")</f>
        <v/>
      </c>
      <c r="M6227" s="24" t="str" cm="1">
        <f t="array" ref="M6227">IFERROR(IF($B6227=M$1, ($A6227+$C6227) - MAX(IF($B$2:$B6226=$B6227, $A$2:$A6226+$C$2:$C6226)), "")*24*60, "")</f>
        <v/>
      </c>
      <c r="N6227" s="24" t="str" cm="1">
        <f t="array" ref="N6227">IFERROR(IF($B6227=N$1, ($A6227+$C6227) - MAX(IF($B$2:$B6226=$B6227, $A$2:$A6226+$C$2:$C6226)), "")*24*60, "")</f>
        <v/>
      </c>
      <c r="O6227" s="24" t="str" cm="1">
        <f t="array" ref="O6227">IFERROR(IF($B6227=O$1, ($A6227+$C6227) - MAX(IF($B$2:$B6226=$B6227, $A$2:$A6226+$C$2:$C6226)), "")*24*60, "")</f>
        <v/>
      </c>
      <c r="P6227" s="24" t="str" cm="1">
        <f t="array" ref="P6227">IFERROR(IF($B6227=P$1, ($A6227+$C6227) - MAX(IF($B$2:$B6226=$B6227, $A$2:$A6226+$C$2:$C6226)), "")*24*60, "")</f>
        <v/>
      </c>
      <c r="Q6227" s="24" t="str" cm="1">
        <f t="array" ref="Q6227">IFERROR(IF($B6227=Q$1, ($A6227+$C6227) - MAX(IF($B$2:$B6226=$B6227, $A$2:$A6226+$C$2:$C6226)), "")*24*60, "")</f>
        <v/>
      </c>
      <c r="R6227" s="24" t="str" cm="1">
        <f t="array" ref="R6227">IFERROR(IF($B6227=R$1, ($A6227+$C6227) - MAX(IF($B$2:$B6226=$B6227, $A$2:$A6226+$C$2:$C6226)), "")*24*60, "")</f>
        <v/>
      </c>
      <c r="S6227" s="24" t="str" cm="1">
        <f t="array" ref="S6227">IFERROR(IF($B6227=S$1, ($A6227+$C6227) - MAX(IF($B$2:$B6226=$B6227, $A$2:$A6226+$C$2:$C6226)), "")*24*60, "")</f>
        <v/>
      </c>
    </row>
    <row r="6228" spans="1:19" x14ac:dyDescent="0.2">
      <c r="A6228" s="12">
        <f t="shared" ref="A6228:C6228" si="1372">A6227</f>
        <v>45987</v>
      </c>
      <c r="B6228" s="5" t="str">
        <f t="shared" si="1372"/>
        <v>Northern Cardinal</v>
      </c>
      <c r="C6228" s="6">
        <f t="shared" si="1372"/>
        <v>0.28611111111111109</v>
      </c>
      <c r="D6228" s="5"/>
      <c r="E6228" s="5"/>
      <c r="F6228" s="5" t="s">
        <v>8</v>
      </c>
      <c r="G6228" s="15" t="s">
        <v>9</v>
      </c>
      <c r="H6228" s="24">
        <f t="shared" si="1314"/>
        <v>0</v>
      </c>
      <c r="I6228" s="24" cm="1">
        <f t="array" ref="I6228">IFERROR(IF($B6228=I$1, ($A6228+$C6228) - MAX(IF($B$2:$B6227=$B6228, $A$2:$A6227+$C$2:$C6227)), "")*24*60, "")</f>
        <v>0</v>
      </c>
      <c r="J6228" s="24" t="str" cm="1">
        <f t="array" ref="J6228">IFERROR(IF($B6228=J$1, ($A6228+$C6228) - MAX(IF($B$2:$B6227=$B6228, $A$2:$A6227+$C$2:$C6227)), "")*24*60, "")</f>
        <v/>
      </c>
      <c r="K6228" s="24" t="str" cm="1">
        <f t="array" ref="K6228">IFERROR(IF($B6228=K$1, ($A6228+$C6228) - MAX(IF($B$2:$B6227=$B6228, $A$2:$A6227+$C$2:$C6227)), "")*24*60, "")</f>
        <v/>
      </c>
      <c r="L6228" s="24" t="str" cm="1">
        <f t="array" ref="L6228">IFERROR(IF($B6228=L$1, ($A6228+$C6228) - MAX(IF($B$2:$B6227=$B6228, $A$2:$A6227+$C$2:$C6227)), "")*24*60, "")</f>
        <v/>
      </c>
      <c r="M6228" s="24" t="str" cm="1">
        <f t="array" ref="M6228">IFERROR(IF($B6228=M$1, ($A6228+$C6228) - MAX(IF($B$2:$B6227=$B6228, $A$2:$A6227+$C$2:$C6227)), "")*24*60, "")</f>
        <v/>
      </c>
      <c r="N6228" s="24" t="str" cm="1">
        <f t="array" ref="N6228">IFERROR(IF($B6228=N$1, ($A6228+$C6228) - MAX(IF($B$2:$B6227=$B6228, $A$2:$A6227+$C$2:$C6227)), "")*24*60, "")</f>
        <v/>
      </c>
      <c r="O6228" s="24" t="str" cm="1">
        <f t="array" ref="O6228">IFERROR(IF($B6228=O$1, ($A6228+$C6228) - MAX(IF($B$2:$B6227=$B6228, $A$2:$A6227+$C$2:$C6227)), "")*24*60, "")</f>
        <v/>
      </c>
      <c r="P6228" s="24" t="str" cm="1">
        <f t="array" ref="P6228">IFERROR(IF($B6228=P$1, ($A6228+$C6228) - MAX(IF($B$2:$B6227=$B6228, $A$2:$A6227+$C$2:$C6227)), "")*24*60, "")</f>
        <v/>
      </c>
      <c r="Q6228" s="24" t="str" cm="1">
        <f t="array" ref="Q6228">IFERROR(IF($B6228=Q$1, ($A6228+$C6228) - MAX(IF($B$2:$B6227=$B6228, $A$2:$A6227+$C$2:$C6227)), "")*24*60, "")</f>
        <v/>
      </c>
      <c r="R6228" s="24" t="str" cm="1">
        <f t="array" ref="R6228">IFERROR(IF($B6228=R$1, ($A6228+$C6228) - MAX(IF($B$2:$B6227=$B6228, $A$2:$A6227+$C$2:$C6227)), "")*24*60, "")</f>
        <v/>
      </c>
      <c r="S6228" s="24" t="str" cm="1">
        <f t="array" ref="S6228">IFERROR(IF($B6228=S$1, ($A6228+$C6228) - MAX(IF($B$2:$B6227=$B6228, $A$2:$A6227+$C$2:$C6227)), "")*24*60, "")</f>
        <v/>
      </c>
    </row>
    <row r="6229" spans="1:19" x14ac:dyDescent="0.2">
      <c r="A6229" s="12">
        <f t="shared" ref="A6229:C6229" si="1373">A6228</f>
        <v>45987</v>
      </c>
      <c r="B6229" s="5" t="str">
        <f t="shared" si="1373"/>
        <v>Northern Cardinal</v>
      </c>
      <c r="C6229" s="6">
        <f t="shared" si="1373"/>
        <v>0.28611111111111109</v>
      </c>
      <c r="D6229" s="5"/>
      <c r="E6229" s="5"/>
      <c r="F6229" s="5" t="s">
        <v>8</v>
      </c>
      <c r="G6229" s="15" t="s">
        <v>9</v>
      </c>
      <c r="H6229" s="24">
        <f t="shared" si="1314"/>
        <v>0</v>
      </c>
      <c r="I6229" s="24" cm="1">
        <f t="array" ref="I6229">IFERROR(IF($B6229=I$1, ($A6229+$C6229) - MAX(IF($B$2:$B6228=$B6229, $A$2:$A6228+$C$2:$C6228)), "")*24*60, "")</f>
        <v>0</v>
      </c>
      <c r="J6229" s="24" t="str" cm="1">
        <f t="array" ref="J6229">IFERROR(IF($B6229=J$1, ($A6229+$C6229) - MAX(IF($B$2:$B6228=$B6229, $A$2:$A6228+$C$2:$C6228)), "")*24*60, "")</f>
        <v/>
      </c>
      <c r="K6229" s="24" t="str" cm="1">
        <f t="array" ref="K6229">IFERROR(IF($B6229=K$1, ($A6229+$C6229) - MAX(IF($B$2:$B6228=$B6229, $A$2:$A6228+$C$2:$C6228)), "")*24*60, "")</f>
        <v/>
      </c>
      <c r="L6229" s="24" t="str" cm="1">
        <f t="array" ref="L6229">IFERROR(IF($B6229=L$1, ($A6229+$C6229) - MAX(IF($B$2:$B6228=$B6229, $A$2:$A6228+$C$2:$C6228)), "")*24*60, "")</f>
        <v/>
      </c>
      <c r="M6229" s="24" t="str" cm="1">
        <f t="array" ref="M6229">IFERROR(IF($B6229=M$1, ($A6229+$C6229) - MAX(IF($B$2:$B6228=$B6229, $A$2:$A6228+$C$2:$C6228)), "")*24*60, "")</f>
        <v/>
      </c>
      <c r="N6229" s="24" t="str" cm="1">
        <f t="array" ref="N6229">IFERROR(IF($B6229=N$1, ($A6229+$C6229) - MAX(IF($B$2:$B6228=$B6229, $A$2:$A6228+$C$2:$C6228)), "")*24*60, "")</f>
        <v/>
      </c>
      <c r="O6229" s="24" t="str" cm="1">
        <f t="array" ref="O6229">IFERROR(IF($B6229=O$1, ($A6229+$C6229) - MAX(IF($B$2:$B6228=$B6229, $A$2:$A6228+$C$2:$C6228)), "")*24*60, "")</f>
        <v/>
      </c>
      <c r="P6229" s="24" t="str" cm="1">
        <f t="array" ref="P6229">IFERROR(IF($B6229=P$1, ($A6229+$C6229) - MAX(IF($B$2:$B6228=$B6229, $A$2:$A6228+$C$2:$C6228)), "")*24*60, "")</f>
        <v/>
      </c>
      <c r="Q6229" s="24" t="str" cm="1">
        <f t="array" ref="Q6229">IFERROR(IF($B6229=Q$1, ($A6229+$C6229) - MAX(IF($B$2:$B6228=$B6229, $A$2:$A6228+$C$2:$C6228)), "")*24*60, "")</f>
        <v/>
      </c>
      <c r="R6229" s="24" t="str" cm="1">
        <f t="array" ref="R6229">IFERROR(IF($B6229=R$1, ($A6229+$C6229) - MAX(IF($B$2:$B6228=$B6229, $A$2:$A6228+$C$2:$C6228)), "")*24*60, "")</f>
        <v/>
      </c>
      <c r="S6229" s="24" t="str" cm="1">
        <f t="array" ref="S6229">IFERROR(IF($B6229=S$1, ($A6229+$C6229) - MAX(IF($B$2:$B6228=$B6229, $A$2:$A6228+$C$2:$C6228)), "")*24*60, "")</f>
        <v/>
      </c>
    </row>
    <row r="6230" spans="1:19" x14ac:dyDescent="0.2">
      <c r="A6230" s="12">
        <f t="shared" ref="A6230:C6230" si="1374">A6229</f>
        <v>45987</v>
      </c>
      <c r="B6230" s="5" t="str">
        <f t="shared" si="1374"/>
        <v>Northern Cardinal</v>
      </c>
      <c r="C6230" s="6">
        <f t="shared" si="1374"/>
        <v>0.28611111111111109</v>
      </c>
      <c r="D6230" s="5"/>
      <c r="E6230" s="5"/>
      <c r="F6230" s="5" t="s">
        <v>8</v>
      </c>
      <c r="G6230" s="15" t="s">
        <v>9</v>
      </c>
      <c r="H6230" s="24">
        <f t="shared" si="1314"/>
        <v>0</v>
      </c>
      <c r="I6230" s="24" cm="1">
        <f t="array" ref="I6230">IFERROR(IF($B6230=I$1, ($A6230+$C6230) - MAX(IF($B$2:$B6229=$B6230, $A$2:$A6229+$C$2:$C6229)), "")*24*60, "")</f>
        <v>0</v>
      </c>
      <c r="J6230" s="24" t="str" cm="1">
        <f t="array" ref="J6230">IFERROR(IF($B6230=J$1, ($A6230+$C6230) - MAX(IF($B$2:$B6229=$B6230, $A$2:$A6229+$C$2:$C6229)), "")*24*60, "")</f>
        <v/>
      </c>
      <c r="K6230" s="24" t="str" cm="1">
        <f t="array" ref="K6230">IFERROR(IF($B6230=K$1, ($A6230+$C6230) - MAX(IF($B$2:$B6229=$B6230, $A$2:$A6229+$C$2:$C6229)), "")*24*60, "")</f>
        <v/>
      </c>
      <c r="L6230" s="24" t="str" cm="1">
        <f t="array" ref="L6230">IFERROR(IF($B6230=L$1, ($A6230+$C6230) - MAX(IF($B$2:$B6229=$B6230, $A$2:$A6229+$C$2:$C6229)), "")*24*60, "")</f>
        <v/>
      </c>
      <c r="M6230" s="24" t="str" cm="1">
        <f t="array" ref="M6230">IFERROR(IF($B6230=M$1, ($A6230+$C6230) - MAX(IF($B$2:$B6229=$B6230, $A$2:$A6229+$C$2:$C6229)), "")*24*60, "")</f>
        <v/>
      </c>
      <c r="N6230" s="24" t="str" cm="1">
        <f t="array" ref="N6230">IFERROR(IF($B6230=N$1, ($A6230+$C6230) - MAX(IF($B$2:$B6229=$B6230, $A$2:$A6229+$C$2:$C6229)), "")*24*60, "")</f>
        <v/>
      </c>
      <c r="O6230" s="24" t="str" cm="1">
        <f t="array" ref="O6230">IFERROR(IF($B6230=O$1, ($A6230+$C6230) - MAX(IF($B$2:$B6229=$B6230, $A$2:$A6229+$C$2:$C6229)), "")*24*60, "")</f>
        <v/>
      </c>
      <c r="P6230" s="24" t="str" cm="1">
        <f t="array" ref="P6230">IFERROR(IF($B6230=P$1, ($A6230+$C6230) - MAX(IF($B$2:$B6229=$B6230, $A$2:$A6229+$C$2:$C6229)), "")*24*60, "")</f>
        <v/>
      </c>
      <c r="Q6230" s="24" t="str" cm="1">
        <f t="array" ref="Q6230">IFERROR(IF($B6230=Q$1, ($A6230+$C6230) - MAX(IF($B$2:$B6229=$B6230, $A$2:$A6229+$C$2:$C6229)), "")*24*60, "")</f>
        <v/>
      </c>
      <c r="R6230" s="24" t="str" cm="1">
        <f t="array" ref="R6230">IFERROR(IF($B6230=R$1, ($A6230+$C6230) - MAX(IF($B$2:$B6229=$B6230, $A$2:$A6229+$C$2:$C6229)), "")*24*60, "")</f>
        <v/>
      </c>
      <c r="S6230" s="24" t="str" cm="1">
        <f t="array" ref="S6230">IFERROR(IF($B6230=S$1, ($A6230+$C6230) - MAX(IF($B$2:$B6229=$B6230, $A$2:$A6229+$C$2:$C6229)), "")*24*60, "")</f>
        <v/>
      </c>
    </row>
    <row r="6231" spans="1:19" x14ac:dyDescent="0.2">
      <c r="A6231" s="12">
        <f t="shared" ref="A6231:C6231" si="1375">A6230</f>
        <v>45987</v>
      </c>
      <c r="B6231" s="5" t="str">
        <f t="shared" si="1375"/>
        <v>Northern Cardinal</v>
      </c>
      <c r="C6231" s="6">
        <f t="shared" si="1375"/>
        <v>0.28611111111111109</v>
      </c>
      <c r="D6231" s="5"/>
      <c r="E6231" s="5"/>
      <c r="F6231" s="5" t="s">
        <v>8</v>
      </c>
      <c r="G6231" s="15" t="s">
        <v>9</v>
      </c>
      <c r="H6231" s="24">
        <f t="shared" si="1314"/>
        <v>0</v>
      </c>
      <c r="I6231" s="24" cm="1">
        <f t="array" ref="I6231">IFERROR(IF($B6231=I$1, ($A6231+$C6231) - MAX(IF($B$2:$B6230=$B6231, $A$2:$A6230+$C$2:$C6230)), "")*24*60, "")</f>
        <v>0</v>
      </c>
      <c r="J6231" s="24" t="str" cm="1">
        <f t="array" ref="J6231">IFERROR(IF($B6231=J$1, ($A6231+$C6231) - MAX(IF($B$2:$B6230=$B6231, $A$2:$A6230+$C$2:$C6230)), "")*24*60, "")</f>
        <v/>
      </c>
      <c r="K6231" s="24" t="str" cm="1">
        <f t="array" ref="K6231">IFERROR(IF($B6231=K$1, ($A6231+$C6231) - MAX(IF($B$2:$B6230=$B6231, $A$2:$A6230+$C$2:$C6230)), "")*24*60, "")</f>
        <v/>
      </c>
      <c r="L6231" s="24" t="str" cm="1">
        <f t="array" ref="L6231">IFERROR(IF($B6231=L$1, ($A6231+$C6231) - MAX(IF($B$2:$B6230=$B6231, $A$2:$A6230+$C$2:$C6230)), "")*24*60, "")</f>
        <v/>
      </c>
      <c r="M6231" s="24" t="str" cm="1">
        <f t="array" ref="M6231">IFERROR(IF($B6231=M$1, ($A6231+$C6231) - MAX(IF($B$2:$B6230=$B6231, $A$2:$A6230+$C$2:$C6230)), "")*24*60, "")</f>
        <v/>
      </c>
      <c r="N6231" s="24" t="str" cm="1">
        <f t="array" ref="N6231">IFERROR(IF($B6231=N$1, ($A6231+$C6231) - MAX(IF($B$2:$B6230=$B6231, $A$2:$A6230+$C$2:$C6230)), "")*24*60, "")</f>
        <v/>
      </c>
      <c r="O6231" s="24" t="str" cm="1">
        <f t="array" ref="O6231">IFERROR(IF($B6231=O$1, ($A6231+$C6231) - MAX(IF($B$2:$B6230=$B6231, $A$2:$A6230+$C$2:$C6230)), "")*24*60, "")</f>
        <v/>
      </c>
      <c r="P6231" s="24" t="str" cm="1">
        <f t="array" ref="P6231">IFERROR(IF($B6231=P$1, ($A6231+$C6231) - MAX(IF($B$2:$B6230=$B6231, $A$2:$A6230+$C$2:$C6230)), "")*24*60, "")</f>
        <v/>
      </c>
      <c r="Q6231" s="24" t="str" cm="1">
        <f t="array" ref="Q6231">IFERROR(IF($B6231=Q$1, ($A6231+$C6231) - MAX(IF($B$2:$B6230=$B6231, $A$2:$A6230+$C$2:$C6230)), "")*24*60, "")</f>
        <v/>
      </c>
      <c r="R6231" s="24" t="str" cm="1">
        <f t="array" ref="R6231">IFERROR(IF($B6231=R$1, ($A6231+$C6231) - MAX(IF($B$2:$B6230=$B6231, $A$2:$A6230+$C$2:$C6230)), "")*24*60, "")</f>
        <v/>
      </c>
      <c r="S6231" s="24" t="str" cm="1">
        <f t="array" ref="S6231">IFERROR(IF($B6231=S$1, ($A6231+$C6231) - MAX(IF($B$2:$B6230=$B6231, $A$2:$A6230+$C$2:$C6230)), "")*24*60, "")</f>
        <v/>
      </c>
    </row>
    <row r="6232" spans="1:19" x14ac:dyDescent="0.2">
      <c r="A6232" s="12">
        <f t="shared" ref="A6232:C6232" si="1376">A6231</f>
        <v>45987</v>
      </c>
      <c r="B6232" s="5" t="str">
        <f t="shared" si="1376"/>
        <v>Northern Cardinal</v>
      </c>
      <c r="C6232" s="6">
        <f t="shared" si="1376"/>
        <v>0.28611111111111109</v>
      </c>
      <c r="D6232" s="5"/>
      <c r="E6232" s="5"/>
      <c r="F6232" s="5" t="s">
        <v>8</v>
      </c>
      <c r="G6232" s="15" t="s">
        <v>9</v>
      </c>
      <c r="H6232" s="24">
        <f t="shared" si="1314"/>
        <v>0</v>
      </c>
      <c r="I6232" s="24" cm="1">
        <f t="array" ref="I6232">IFERROR(IF($B6232=I$1, ($A6232+$C6232) - MAX(IF($B$2:$B6231=$B6232, $A$2:$A6231+$C$2:$C6231)), "")*24*60, "")</f>
        <v>0</v>
      </c>
      <c r="J6232" s="24" t="str" cm="1">
        <f t="array" ref="J6232">IFERROR(IF($B6232=J$1, ($A6232+$C6232) - MAX(IF($B$2:$B6231=$B6232, $A$2:$A6231+$C$2:$C6231)), "")*24*60, "")</f>
        <v/>
      </c>
      <c r="K6232" s="24" t="str" cm="1">
        <f t="array" ref="K6232">IFERROR(IF($B6232=K$1, ($A6232+$C6232) - MAX(IF($B$2:$B6231=$B6232, $A$2:$A6231+$C$2:$C6231)), "")*24*60, "")</f>
        <v/>
      </c>
      <c r="L6232" s="24" t="str" cm="1">
        <f t="array" ref="L6232">IFERROR(IF($B6232=L$1, ($A6232+$C6232) - MAX(IF($B$2:$B6231=$B6232, $A$2:$A6231+$C$2:$C6231)), "")*24*60, "")</f>
        <v/>
      </c>
      <c r="M6232" s="24" t="str" cm="1">
        <f t="array" ref="M6232">IFERROR(IF($B6232=M$1, ($A6232+$C6232) - MAX(IF($B$2:$B6231=$B6232, $A$2:$A6231+$C$2:$C6231)), "")*24*60, "")</f>
        <v/>
      </c>
      <c r="N6232" s="24" t="str" cm="1">
        <f t="array" ref="N6232">IFERROR(IF($B6232=N$1, ($A6232+$C6232) - MAX(IF($B$2:$B6231=$B6232, $A$2:$A6231+$C$2:$C6231)), "")*24*60, "")</f>
        <v/>
      </c>
      <c r="O6232" s="24" t="str" cm="1">
        <f t="array" ref="O6232">IFERROR(IF($B6232=O$1, ($A6232+$C6232) - MAX(IF($B$2:$B6231=$B6232, $A$2:$A6231+$C$2:$C6231)), "")*24*60, "")</f>
        <v/>
      </c>
      <c r="P6232" s="24" t="str" cm="1">
        <f t="array" ref="P6232">IFERROR(IF($B6232=P$1, ($A6232+$C6232) - MAX(IF($B$2:$B6231=$B6232, $A$2:$A6231+$C$2:$C6231)), "")*24*60, "")</f>
        <v/>
      </c>
      <c r="Q6232" s="24" t="str" cm="1">
        <f t="array" ref="Q6232">IFERROR(IF($B6232=Q$1, ($A6232+$C6232) - MAX(IF($B$2:$B6231=$B6232, $A$2:$A6231+$C$2:$C6231)), "")*24*60, "")</f>
        <v/>
      </c>
      <c r="R6232" s="24" t="str" cm="1">
        <f t="array" ref="R6232">IFERROR(IF($B6232=R$1, ($A6232+$C6232) - MAX(IF($B$2:$B6231=$B6232, $A$2:$A6231+$C$2:$C6231)), "")*24*60, "")</f>
        <v/>
      </c>
      <c r="S6232" s="24" t="str" cm="1">
        <f t="array" ref="S6232">IFERROR(IF($B6232=S$1, ($A6232+$C6232) - MAX(IF($B$2:$B6231=$B6232, $A$2:$A6231+$C$2:$C6231)), "")*24*60, "")</f>
        <v/>
      </c>
    </row>
    <row r="6233" spans="1:19" x14ac:dyDescent="0.2">
      <c r="A6233" s="12">
        <f t="shared" ref="A6233:C6233" si="1377">A6232</f>
        <v>45987</v>
      </c>
      <c r="B6233" s="5" t="str">
        <f t="shared" si="1377"/>
        <v>Northern Cardinal</v>
      </c>
      <c r="C6233" s="6">
        <f t="shared" si="1377"/>
        <v>0.28611111111111109</v>
      </c>
      <c r="D6233" s="5"/>
      <c r="E6233" s="5"/>
      <c r="F6233" s="5" t="s">
        <v>8</v>
      </c>
      <c r="G6233" s="15" t="s">
        <v>9</v>
      </c>
      <c r="H6233" s="24">
        <f t="shared" si="1314"/>
        <v>0</v>
      </c>
      <c r="I6233" s="24" cm="1">
        <f t="array" ref="I6233">IFERROR(IF($B6233=I$1, ($A6233+$C6233) - MAX(IF($B$2:$B6232=$B6233, $A$2:$A6232+$C$2:$C6232)), "")*24*60, "")</f>
        <v>0</v>
      </c>
      <c r="J6233" s="24" t="str" cm="1">
        <f t="array" ref="J6233">IFERROR(IF($B6233=J$1, ($A6233+$C6233) - MAX(IF($B$2:$B6232=$B6233, $A$2:$A6232+$C$2:$C6232)), "")*24*60, "")</f>
        <v/>
      </c>
      <c r="K6233" s="24" t="str" cm="1">
        <f t="array" ref="K6233">IFERROR(IF($B6233=K$1, ($A6233+$C6233) - MAX(IF($B$2:$B6232=$B6233, $A$2:$A6232+$C$2:$C6232)), "")*24*60, "")</f>
        <v/>
      </c>
      <c r="L6233" s="24" t="str" cm="1">
        <f t="array" ref="L6233">IFERROR(IF($B6233=L$1, ($A6233+$C6233) - MAX(IF($B$2:$B6232=$B6233, $A$2:$A6232+$C$2:$C6232)), "")*24*60, "")</f>
        <v/>
      </c>
      <c r="M6233" s="24" t="str" cm="1">
        <f t="array" ref="M6233">IFERROR(IF($B6233=M$1, ($A6233+$C6233) - MAX(IF($B$2:$B6232=$B6233, $A$2:$A6232+$C$2:$C6232)), "")*24*60, "")</f>
        <v/>
      </c>
      <c r="N6233" s="24" t="str" cm="1">
        <f t="array" ref="N6233">IFERROR(IF($B6233=N$1, ($A6233+$C6233) - MAX(IF($B$2:$B6232=$B6233, $A$2:$A6232+$C$2:$C6232)), "")*24*60, "")</f>
        <v/>
      </c>
      <c r="O6233" s="24" t="str" cm="1">
        <f t="array" ref="O6233">IFERROR(IF($B6233=O$1, ($A6233+$C6233) - MAX(IF($B$2:$B6232=$B6233, $A$2:$A6232+$C$2:$C6232)), "")*24*60, "")</f>
        <v/>
      </c>
      <c r="P6233" s="24" t="str" cm="1">
        <f t="array" ref="P6233">IFERROR(IF($B6233=P$1, ($A6233+$C6233) - MAX(IF($B$2:$B6232=$B6233, $A$2:$A6232+$C$2:$C6232)), "")*24*60, "")</f>
        <v/>
      </c>
      <c r="Q6233" s="24" t="str" cm="1">
        <f t="array" ref="Q6233">IFERROR(IF($B6233=Q$1, ($A6233+$C6233) - MAX(IF($B$2:$B6232=$B6233, $A$2:$A6232+$C$2:$C6232)), "")*24*60, "")</f>
        <v/>
      </c>
      <c r="R6233" s="24" t="str" cm="1">
        <f t="array" ref="R6233">IFERROR(IF($B6233=R$1, ($A6233+$C6233) - MAX(IF($B$2:$B6232=$B6233, $A$2:$A6232+$C$2:$C6232)), "")*24*60, "")</f>
        <v/>
      </c>
      <c r="S6233" s="24" t="str" cm="1">
        <f t="array" ref="S6233">IFERROR(IF($B6233=S$1, ($A6233+$C6233) - MAX(IF($B$2:$B6232=$B6233, $A$2:$A6232+$C$2:$C6232)), "")*24*60, "")</f>
        <v/>
      </c>
    </row>
    <row r="6234" spans="1:19" x14ac:dyDescent="0.2">
      <c r="A6234" s="12">
        <f t="shared" ref="A6234:C6234" si="1378">A6233</f>
        <v>45987</v>
      </c>
      <c r="B6234" s="5" t="str">
        <f t="shared" si="1378"/>
        <v>Northern Cardinal</v>
      </c>
      <c r="C6234" s="6">
        <f t="shared" si="1378"/>
        <v>0.28611111111111109</v>
      </c>
      <c r="D6234" s="5"/>
      <c r="E6234" s="5"/>
      <c r="F6234" s="5" t="s">
        <v>8</v>
      </c>
      <c r="G6234" s="15" t="s">
        <v>9</v>
      </c>
      <c r="H6234" s="24">
        <f t="shared" ref="H6234:H6297" si="1379">IFERROR((($A6234+$C6234) - ($A6233+$C6233))*24*60, "")</f>
        <v>0</v>
      </c>
      <c r="I6234" s="24" cm="1">
        <f t="array" ref="I6234">IFERROR(IF($B6234=I$1, ($A6234+$C6234) - MAX(IF($B$2:$B6233=$B6234, $A$2:$A6233+$C$2:$C6233)), "")*24*60, "")</f>
        <v>0</v>
      </c>
      <c r="J6234" s="24" t="str" cm="1">
        <f t="array" ref="J6234">IFERROR(IF($B6234=J$1, ($A6234+$C6234) - MAX(IF($B$2:$B6233=$B6234, $A$2:$A6233+$C$2:$C6233)), "")*24*60, "")</f>
        <v/>
      </c>
      <c r="K6234" s="24" t="str" cm="1">
        <f t="array" ref="K6234">IFERROR(IF($B6234=K$1, ($A6234+$C6234) - MAX(IF($B$2:$B6233=$B6234, $A$2:$A6233+$C$2:$C6233)), "")*24*60, "")</f>
        <v/>
      </c>
      <c r="L6234" s="24" t="str" cm="1">
        <f t="array" ref="L6234">IFERROR(IF($B6234=L$1, ($A6234+$C6234) - MAX(IF($B$2:$B6233=$B6234, $A$2:$A6233+$C$2:$C6233)), "")*24*60, "")</f>
        <v/>
      </c>
      <c r="M6234" s="24" t="str" cm="1">
        <f t="array" ref="M6234">IFERROR(IF($B6234=M$1, ($A6234+$C6234) - MAX(IF($B$2:$B6233=$B6234, $A$2:$A6233+$C$2:$C6233)), "")*24*60, "")</f>
        <v/>
      </c>
      <c r="N6234" s="24" t="str" cm="1">
        <f t="array" ref="N6234">IFERROR(IF($B6234=N$1, ($A6234+$C6234) - MAX(IF($B$2:$B6233=$B6234, $A$2:$A6233+$C$2:$C6233)), "")*24*60, "")</f>
        <v/>
      </c>
      <c r="O6234" s="24" t="str" cm="1">
        <f t="array" ref="O6234">IFERROR(IF($B6234=O$1, ($A6234+$C6234) - MAX(IF($B$2:$B6233=$B6234, $A$2:$A6233+$C$2:$C6233)), "")*24*60, "")</f>
        <v/>
      </c>
      <c r="P6234" s="24" t="str" cm="1">
        <f t="array" ref="P6234">IFERROR(IF($B6234=P$1, ($A6234+$C6234) - MAX(IF($B$2:$B6233=$B6234, $A$2:$A6233+$C$2:$C6233)), "")*24*60, "")</f>
        <v/>
      </c>
      <c r="Q6234" s="24" t="str" cm="1">
        <f t="array" ref="Q6234">IFERROR(IF($B6234=Q$1, ($A6234+$C6234) - MAX(IF($B$2:$B6233=$B6234, $A$2:$A6233+$C$2:$C6233)), "")*24*60, "")</f>
        <v/>
      </c>
      <c r="R6234" s="24" t="str" cm="1">
        <f t="array" ref="R6234">IFERROR(IF($B6234=R$1, ($A6234+$C6234) - MAX(IF($B$2:$B6233=$B6234, $A$2:$A6233+$C$2:$C6233)), "")*24*60, "")</f>
        <v/>
      </c>
      <c r="S6234" s="24" t="str" cm="1">
        <f t="array" ref="S6234">IFERROR(IF($B6234=S$1, ($A6234+$C6234) - MAX(IF($B$2:$B6233=$B6234, $A$2:$A6233+$C$2:$C6233)), "")*24*60, "")</f>
        <v/>
      </c>
    </row>
    <row r="6235" spans="1:19" x14ac:dyDescent="0.2">
      <c r="A6235" s="12">
        <f t="shared" ref="A6235:C6235" si="1380">A6234</f>
        <v>45987</v>
      </c>
      <c r="B6235" s="5" t="str">
        <f t="shared" si="1380"/>
        <v>Northern Cardinal</v>
      </c>
      <c r="C6235" s="6">
        <f t="shared" si="1380"/>
        <v>0.28611111111111109</v>
      </c>
      <c r="D6235" s="5"/>
      <c r="E6235" s="5"/>
      <c r="F6235" s="5" t="s">
        <v>8</v>
      </c>
      <c r="G6235" s="15" t="s">
        <v>9</v>
      </c>
      <c r="H6235" s="24">
        <f t="shared" si="1379"/>
        <v>0</v>
      </c>
      <c r="I6235" s="24" cm="1">
        <f t="array" ref="I6235">IFERROR(IF($B6235=I$1, ($A6235+$C6235) - MAX(IF($B$2:$B6234=$B6235, $A$2:$A6234+$C$2:$C6234)), "")*24*60, "")</f>
        <v>0</v>
      </c>
      <c r="J6235" s="24" t="str" cm="1">
        <f t="array" ref="J6235">IFERROR(IF($B6235=J$1, ($A6235+$C6235) - MAX(IF($B$2:$B6234=$B6235, $A$2:$A6234+$C$2:$C6234)), "")*24*60, "")</f>
        <v/>
      </c>
      <c r="K6235" s="24" t="str" cm="1">
        <f t="array" ref="K6235">IFERROR(IF($B6235=K$1, ($A6235+$C6235) - MAX(IF($B$2:$B6234=$B6235, $A$2:$A6234+$C$2:$C6234)), "")*24*60, "")</f>
        <v/>
      </c>
      <c r="L6235" s="24" t="str" cm="1">
        <f t="array" ref="L6235">IFERROR(IF($B6235=L$1, ($A6235+$C6235) - MAX(IF($B$2:$B6234=$B6235, $A$2:$A6234+$C$2:$C6234)), "")*24*60, "")</f>
        <v/>
      </c>
      <c r="M6235" s="24" t="str" cm="1">
        <f t="array" ref="M6235">IFERROR(IF($B6235=M$1, ($A6235+$C6235) - MAX(IF($B$2:$B6234=$B6235, $A$2:$A6234+$C$2:$C6234)), "")*24*60, "")</f>
        <v/>
      </c>
      <c r="N6235" s="24" t="str" cm="1">
        <f t="array" ref="N6235">IFERROR(IF($B6235=N$1, ($A6235+$C6235) - MAX(IF($B$2:$B6234=$B6235, $A$2:$A6234+$C$2:$C6234)), "")*24*60, "")</f>
        <v/>
      </c>
      <c r="O6235" s="24" t="str" cm="1">
        <f t="array" ref="O6235">IFERROR(IF($B6235=O$1, ($A6235+$C6235) - MAX(IF($B$2:$B6234=$B6235, $A$2:$A6234+$C$2:$C6234)), "")*24*60, "")</f>
        <v/>
      </c>
      <c r="P6235" s="24" t="str" cm="1">
        <f t="array" ref="P6235">IFERROR(IF($B6235=P$1, ($A6235+$C6235) - MAX(IF($B$2:$B6234=$B6235, $A$2:$A6234+$C$2:$C6234)), "")*24*60, "")</f>
        <v/>
      </c>
      <c r="Q6235" s="24" t="str" cm="1">
        <f t="array" ref="Q6235">IFERROR(IF($B6235=Q$1, ($A6235+$C6235) - MAX(IF($B$2:$B6234=$B6235, $A$2:$A6234+$C$2:$C6234)), "")*24*60, "")</f>
        <v/>
      </c>
      <c r="R6235" s="24" t="str" cm="1">
        <f t="array" ref="R6235">IFERROR(IF($B6235=R$1, ($A6235+$C6235) - MAX(IF($B$2:$B6234=$B6235, $A$2:$A6234+$C$2:$C6234)), "")*24*60, "")</f>
        <v/>
      </c>
      <c r="S6235" s="24" t="str" cm="1">
        <f t="array" ref="S6235">IFERROR(IF($B6235=S$1, ($A6235+$C6235) - MAX(IF($B$2:$B6234=$B6235, $A$2:$A6234+$C$2:$C6234)), "")*24*60, "")</f>
        <v/>
      </c>
    </row>
    <row r="6236" spans="1:19" x14ac:dyDescent="0.2">
      <c r="A6236" s="12">
        <f t="shared" ref="A6236:C6236" si="1381">A6235</f>
        <v>45987</v>
      </c>
      <c r="B6236" s="5" t="str">
        <f t="shared" si="1381"/>
        <v>Northern Cardinal</v>
      </c>
      <c r="C6236" s="6">
        <f t="shared" si="1381"/>
        <v>0.28611111111111109</v>
      </c>
      <c r="D6236" s="5"/>
      <c r="E6236" s="5"/>
      <c r="F6236" s="5" t="s">
        <v>8</v>
      </c>
      <c r="G6236" s="15" t="s">
        <v>9</v>
      </c>
      <c r="H6236" s="24">
        <f t="shared" si="1379"/>
        <v>0</v>
      </c>
      <c r="I6236" s="24" cm="1">
        <f t="array" ref="I6236">IFERROR(IF($B6236=I$1, ($A6236+$C6236) - MAX(IF($B$2:$B6235=$B6236, $A$2:$A6235+$C$2:$C6235)), "")*24*60, "")</f>
        <v>0</v>
      </c>
      <c r="J6236" s="24" t="str" cm="1">
        <f t="array" ref="J6236">IFERROR(IF($B6236=J$1, ($A6236+$C6236) - MAX(IF($B$2:$B6235=$B6236, $A$2:$A6235+$C$2:$C6235)), "")*24*60, "")</f>
        <v/>
      </c>
      <c r="K6236" s="24" t="str" cm="1">
        <f t="array" ref="K6236">IFERROR(IF($B6236=K$1, ($A6236+$C6236) - MAX(IF($B$2:$B6235=$B6236, $A$2:$A6235+$C$2:$C6235)), "")*24*60, "")</f>
        <v/>
      </c>
      <c r="L6236" s="24" t="str" cm="1">
        <f t="array" ref="L6236">IFERROR(IF($B6236=L$1, ($A6236+$C6236) - MAX(IF($B$2:$B6235=$B6236, $A$2:$A6235+$C$2:$C6235)), "")*24*60, "")</f>
        <v/>
      </c>
      <c r="M6236" s="24" t="str" cm="1">
        <f t="array" ref="M6236">IFERROR(IF($B6236=M$1, ($A6236+$C6236) - MAX(IF($B$2:$B6235=$B6236, $A$2:$A6235+$C$2:$C6235)), "")*24*60, "")</f>
        <v/>
      </c>
      <c r="N6236" s="24" t="str" cm="1">
        <f t="array" ref="N6236">IFERROR(IF($B6236=N$1, ($A6236+$C6236) - MAX(IF($B$2:$B6235=$B6236, $A$2:$A6235+$C$2:$C6235)), "")*24*60, "")</f>
        <v/>
      </c>
      <c r="O6236" s="24" t="str" cm="1">
        <f t="array" ref="O6236">IFERROR(IF($B6236=O$1, ($A6236+$C6236) - MAX(IF($B$2:$B6235=$B6236, $A$2:$A6235+$C$2:$C6235)), "")*24*60, "")</f>
        <v/>
      </c>
      <c r="P6236" s="24" t="str" cm="1">
        <f t="array" ref="P6236">IFERROR(IF($B6236=P$1, ($A6236+$C6236) - MAX(IF($B$2:$B6235=$B6236, $A$2:$A6235+$C$2:$C6235)), "")*24*60, "")</f>
        <v/>
      </c>
      <c r="Q6236" s="24" t="str" cm="1">
        <f t="array" ref="Q6236">IFERROR(IF($B6236=Q$1, ($A6236+$C6236) - MAX(IF($B$2:$B6235=$B6236, $A$2:$A6235+$C$2:$C6235)), "")*24*60, "")</f>
        <v/>
      </c>
      <c r="R6236" s="24" t="str" cm="1">
        <f t="array" ref="R6236">IFERROR(IF($B6236=R$1, ($A6236+$C6236) - MAX(IF($B$2:$B6235=$B6236, $A$2:$A6235+$C$2:$C6235)), "")*24*60, "")</f>
        <v/>
      </c>
      <c r="S6236" s="24" t="str" cm="1">
        <f t="array" ref="S6236">IFERROR(IF($B6236=S$1, ($A6236+$C6236) - MAX(IF($B$2:$B6235=$B6236, $A$2:$A6235+$C$2:$C6235)), "")*24*60, "")</f>
        <v/>
      </c>
    </row>
    <row r="6237" spans="1:19" x14ac:dyDescent="0.2">
      <c r="A6237" s="12">
        <f t="shared" ref="A6237:C6237" si="1382">A6236</f>
        <v>45987</v>
      </c>
      <c r="B6237" s="5" t="str">
        <f t="shared" si="1382"/>
        <v>Northern Cardinal</v>
      </c>
      <c r="C6237" s="6">
        <f t="shared" si="1382"/>
        <v>0.28611111111111109</v>
      </c>
      <c r="D6237" s="5"/>
      <c r="E6237" s="5"/>
      <c r="F6237" s="5" t="s">
        <v>8</v>
      </c>
      <c r="G6237" s="15" t="s">
        <v>9</v>
      </c>
      <c r="H6237" s="24">
        <f t="shared" si="1379"/>
        <v>0</v>
      </c>
      <c r="I6237" s="24" cm="1">
        <f t="array" ref="I6237">IFERROR(IF($B6237=I$1, ($A6237+$C6237) - MAX(IF($B$2:$B6236=$B6237, $A$2:$A6236+$C$2:$C6236)), "")*24*60, "")</f>
        <v>0</v>
      </c>
      <c r="J6237" s="24" t="str" cm="1">
        <f t="array" ref="J6237">IFERROR(IF($B6237=J$1, ($A6237+$C6237) - MAX(IF($B$2:$B6236=$B6237, $A$2:$A6236+$C$2:$C6236)), "")*24*60, "")</f>
        <v/>
      </c>
      <c r="K6237" s="24" t="str" cm="1">
        <f t="array" ref="K6237">IFERROR(IF($B6237=K$1, ($A6237+$C6237) - MAX(IF($B$2:$B6236=$B6237, $A$2:$A6236+$C$2:$C6236)), "")*24*60, "")</f>
        <v/>
      </c>
      <c r="L6237" s="24" t="str" cm="1">
        <f t="array" ref="L6237">IFERROR(IF($B6237=L$1, ($A6237+$C6237) - MAX(IF($B$2:$B6236=$B6237, $A$2:$A6236+$C$2:$C6236)), "")*24*60, "")</f>
        <v/>
      </c>
      <c r="M6237" s="24" t="str" cm="1">
        <f t="array" ref="M6237">IFERROR(IF($B6237=M$1, ($A6237+$C6237) - MAX(IF($B$2:$B6236=$B6237, $A$2:$A6236+$C$2:$C6236)), "")*24*60, "")</f>
        <v/>
      </c>
      <c r="N6237" s="24" t="str" cm="1">
        <f t="array" ref="N6237">IFERROR(IF($B6237=N$1, ($A6237+$C6237) - MAX(IF($B$2:$B6236=$B6237, $A$2:$A6236+$C$2:$C6236)), "")*24*60, "")</f>
        <v/>
      </c>
      <c r="O6237" s="24" t="str" cm="1">
        <f t="array" ref="O6237">IFERROR(IF($B6237=O$1, ($A6237+$C6237) - MAX(IF($B$2:$B6236=$B6237, $A$2:$A6236+$C$2:$C6236)), "")*24*60, "")</f>
        <v/>
      </c>
      <c r="P6237" s="24" t="str" cm="1">
        <f t="array" ref="P6237">IFERROR(IF($B6237=P$1, ($A6237+$C6237) - MAX(IF($B$2:$B6236=$B6237, $A$2:$A6236+$C$2:$C6236)), "")*24*60, "")</f>
        <v/>
      </c>
      <c r="Q6237" s="24" t="str" cm="1">
        <f t="array" ref="Q6237">IFERROR(IF($B6237=Q$1, ($A6237+$C6237) - MAX(IF($B$2:$B6236=$B6237, $A$2:$A6236+$C$2:$C6236)), "")*24*60, "")</f>
        <v/>
      </c>
      <c r="R6237" s="24" t="str" cm="1">
        <f t="array" ref="R6237">IFERROR(IF($B6237=R$1, ($A6237+$C6237) - MAX(IF($B$2:$B6236=$B6237, $A$2:$A6236+$C$2:$C6236)), "")*24*60, "")</f>
        <v/>
      </c>
      <c r="S6237" s="24" t="str" cm="1">
        <f t="array" ref="S6237">IFERROR(IF($B6237=S$1, ($A6237+$C6237) - MAX(IF($B$2:$B6236=$B6237, $A$2:$A6236+$C$2:$C6236)), "")*24*60, "")</f>
        <v/>
      </c>
    </row>
    <row r="6238" spans="1:19" x14ac:dyDescent="0.2">
      <c r="A6238" s="12">
        <f t="shared" ref="A6238:C6238" si="1383">A6237</f>
        <v>45987</v>
      </c>
      <c r="B6238" s="5" t="str">
        <f t="shared" si="1383"/>
        <v>Northern Cardinal</v>
      </c>
      <c r="C6238" s="6">
        <f t="shared" si="1383"/>
        <v>0.28611111111111109</v>
      </c>
      <c r="D6238" s="5"/>
      <c r="E6238" s="5"/>
      <c r="F6238" s="5" t="s">
        <v>8</v>
      </c>
      <c r="G6238" s="15" t="s">
        <v>9</v>
      </c>
      <c r="H6238" s="24">
        <f t="shared" si="1379"/>
        <v>0</v>
      </c>
      <c r="I6238" s="24" cm="1">
        <f t="array" ref="I6238">IFERROR(IF($B6238=I$1, ($A6238+$C6238) - MAX(IF($B$2:$B6237=$B6238, $A$2:$A6237+$C$2:$C6237)), "")*24*60, "")</f>
        <v>0</v>
      </c>
      <c r="J6238" s="24" t="str" cm="1">
        <f t="array" ref="J6238">IFERROR(IF($B6238=J$1, ($A6238+$C6238) - MAX(IF($B$2:$B6237=$B6238, $A$2:$A6237+$C$2:$C6237)), "")*24*60, "")</f>
        <v/>
      </c>
      <c r="K6238" s="24" t="str" cm="1">
        <f t="array" ref="K6238">IFERROR(IF($B6238=K$1, ($A6238+$C6238) - MAX(IF($B$2:$B6237=$B6238, $A$2:$A6237+$C$2:$C6237)), "")*24*60, "")</f>
        <v/>
      </c>
      <c r="L6238" s="24" t="str" cm="1">
        <f t="array" ref="L6238">IFERROR(IF($B6238=L$1, ($A6238+$C6238) - MAX(IF($B$2:$B6237=$B6238, $A$2:$A6237+$C$2:$C6237)), "")*24*60, "")</f>
        <v/>
      </c>
      <c r="M6238" s="24" t="str" cm="1">
        <f t="array" ref="M6238">IFERROR(IF($B6238=M$1, ($A6238+$C6238) - MAX(IF($B$2:$B6237=$B6238, $A$2:$A6237+$C$2:$C6237)), "")*24*60, "")</f>
        <v/>
      </c>
      <c r="N6238" s="24" t="str" cm="1">
        <f t="array" ref="N6238">IFERROR(IF($B6238=N$1, ($A6238+$C6238) - MAX(IF($B$2:$B6237=$B6238, $A$2:$A6237+$C$2:$C6237)), "")*24*60, "")</f>
        <v/>
      </c>
      <c r="O6238" s="24" t="str" cm="1">
        <f t="array" ref="O6238">IFERROR(IF($B6238=O$1, ($A6238+$C6238) - MAX(IF($B$2:$B6237=$B6238, $A$2:$A6237+$C$2:$C6237)), "")*24*60, "")</f>
        <v/>
      </c>
      <c r="P6238" s="24" t="str" cm="1">
        <f t="array" ref="P6238">IFERROR(IF($B6238=P$1, ($A6238+$C6238) - MAX(IF($B$2:$B6237=$B6238, $A$2:$A6237+$C$2:$C6237)), "")*24*60, "")</f>
        <v/>
      </c>
      <c r="Q6238" s="24" t="str" cm="1">
        <f t="array" ref="Q6238">IFERROR(IF($B6238=Q$1, ($A6238+$C6238) - MAX(IF($B$2:$B6237=$B6238, $A$2:$A6237+$C$2:$C6237)), "")*24*60, "")</f>
        <v/>
      </c>
      <c r="R6238" s="24" t="str" cm="1">
        <f t="array" ref="R6238">IFERROR(IF($B6238=R$1, ($A6238+$C6238) - MAX(IF($B$2:$B6237=$B6238, $A$2:$A6237+$C$2:$C6237)), "")*24*60, "")</f>
        <v/>
      </c>
      <c r="S6238" s="24" t="str" cm="1">
        <f t="array" ref="S6238">IFERROR(IF($B6238=S$1, ($A6238+$C6238) - MAX(IF($B$2:$B6237=$B6238, $A$2:$A6237+$C$2:$C6237)), "")*24*60, "")</f>
        <v/>
      </c>
    </row>
    <row r="6239" spans="1:19" x14ac:dyDescent="0.2">
      <c r="A6239" s="12">
        <f t="shared" ref="A6239:C6239" si="1384">A6238</f>
        <v>45987</v>
      </c>
      <c r="B6239" s="5" t="str">
        <f t="shared" si="1384"/>
        <v>Northern Cardinal</v>
      </c>
      <c r="C6239" s="6">
        <f t="shared" si="1384"/>
        <v>0.28611111111111109</v>
      </c>
      <c r="D6239" s="5"/>
      <c r="E6239" s="5"/>
      <c r="F6239" s="5" t="s">
        <v>8</v>
      </c>
      <c r="G6239" s="15" t="s">
        <v>9</v>
      </c>
      <c r="H6239" s="24">
        <f t="shared" si="1379"/>
        <v>0</v>
      </c>
      <c r="I6239" s="24" cm="1">
        <f t="array" ref="I6239">IFERROR(IF($B6239=I$1, ($A6239+$C6239) - MAX(IF($B$2:$B6238=$B6239, $A$2:$A6238+$C$2:$C6238)), "")*24*60, "")</f>
        <v>0</v>
      </c>
      <c r="J6239" s="24" t="str" cm="1">
        <f t="array" ref="J6239">IFERROR(IF($B6239=J$1, ($A6239+$C6239) - MAX(IF($B$2:$B6238=$B6239, $A$2:$A6238+$C$2:$C6238)), "")*24*60, "")</f>
        <v/>
      </c>
      <c r="K6239" s="24" t="str" cm="1">
        <f t="array" ref="K6239">IFERROR(IF($B6239=K$1, ($A6239+$C6239) - MAX(IF($B$2:$B6238=$B6239, $A$2:$A6238+$C$2:$C6238)), "")*24*60, "")</f>
        <v/>
      </c>
      <c r="L6239" s="24" t="str" cm="1">
        <f t="array" ref="L6239">IFERROR(IF($B6239=L$1, ($A6239+$C6239) - MAX(IF($B$2:$B6238=$B6239, $A$2:$A6238+$C$2:$C6238)), "")*24*60, "")</f>
        <v/>
      </c>
      <c r="M6239" s="24" t="str" cm="1">
        <f t="array" ref="M6239">IFERROR(IF($B6239=M$1, ($A6239+$C6239) - MAX(IF($B$2:$B6238=$B6239, $A$2:$A6238+$C$2:$C6238)), "")*24*60, "")</f>
        <v/>
      </c>
      <c r="N6239" s="24" t="str" cm="1">
        <f t="array" ref="N6239">IFERROR(IF($B6239=N$1, ($A6239+$C6239) - MAX(IF($B$2:$B6238=$B6239, $A$2:$A6238+$C$2:$C6238)), "")*24*60, "")</f>
        <v/>
      </c>
      <c r="O6239" s="24" t="str" cm="1">
        <f t="array" ref="O6239">IFERROR(IF($B6239=O$1, ($A6239+$C6239) - MAX(IF($B$2:$B6238=$B6239, $A$2:$A6238+$C$2:$C6238)), "")*24*60, "")</f>
        <v/>
      </c>
      <c r="P6239" s="24" t="str" cm="1">
        <f t="array" ref="P6239">IFERROR(IF($B6239=P$1, ($A6239+$C6239) - MAX(IF($B$2:$B6238=$B6239, $A$2:$A6238+$C$2:$C6238)), "")*24*60, "")</f>
        <v/>
      </c>
      <c r="Q6239" s="24" t="str" cm="1">
        <f t="array" ref="Q6239">IFERROR(IF($B6239=Q$1, ($A6239+$C6239) - MAX(IF($B$2:$B6238=$B6239, $A$2:$A6238+$C$2:$C6238)), "")*24*60, "")</f>
        <v/>
      </c>
      <c r="R6239" s="24" t="str" cm="1">
        <f t="array" ref="R6239">IFERROR(IF($B6239=R$1, ($A6239+$C6239) - MAX(IF($B$2:$B6238=$B6239, $A$2:$A6238+$C$2:$C6238)), "")*24*60, "")</f>
        <v/>
      </c>
      <c r="S6239" s="24" t="str" cm="1">
        <f t="array" ref="S6239">IFERROR(IF($B6239=S$1, ($A6239+$C6239) - MAX(IF($B$2:$B6238=$B6239, $A$2:$A6238+$C$2:$C6238)), "")*24*60, "")</f>
        <v/>
      </c>
    </row>
    <row r="6240" spans="1:19" x14ac:dyDescent="0.2">
      <c r="A6240" s="12">
        <f t="shared" ref="A6240:C6240" si="1385">A6239</f>
        <v>45987</v>
      </c>
      <c r="B6240" s="5" t="str">
        <f t="shared" si="1385"/>
        <v>Northern Cardinal</v>
      </c>
      <c r="C6240" s="6">
        <f t="shared" si="1385"/>
        <v>0.28611111111111109</v>
      </c>
      <c r="D6240" s="5"/>
      <c r="E6240" s="5"/>
      <c r="F6240" s="5" t="s">
        <v>8</v>
      </c>
      <c r="G6240" s="15" t="s">
        <v>9</v>
      </c>
      <c r="H6240" s="24">
        <f t="shared" si="1379"/>
        <v>0</v>
      </c>
      <c r="I6240" s="24" cm="1">
        <f t="array" ref="I6240">IFERROR(IF($B6240=I$1, ($A6240+$C6240) - MAX(IF($B$2:$B6239=$B6240, $A$2:$A6239+$C$2:$C6239)), "")*24*60, "")</f>
        <v>0</v>
      </c>
      <c r="J6240" s="24" t="str" cm="1">
        <f t="array" ref="J6240">IFERROR(IF($B6240=J$1, ($A6240+$C6240) - MAX(IF($B$2:$B6239=$B6240, $A$2:$A6239+$C$2:$C6239)), "")*24*60, "")</f>
        <v/>
      </c>
      <c r="K6240" s="24" t="str" cm="1">
        <f t="array" ref="K6240">IFERROR(IF($B6240=K$1, ($A6240+$C6240) - MAX(IF($B$2:$B6239=$B6240, $A$2:$A6239+$C$2:$C6239)), "")*24*60, "")</f>
        <v/>
      </c>
      <c r="L6240" s="24" t="str" cm="1">
        <f t="array" ref="L6240">IFERROR(IF($B6240=L$1, ($A6240+$C6240) - MAX(IF($B$2:$B6239=$B6240, $A$2:$A6239+$C$2:$C6239)), "")*24*60, "")</f>
        <v/>
      </c>
      <c r="M6240" s="24" t="str" cm="1">
        <f t="array" ref="M6240">IFERROR(IF($B6240=M$1, ($A6240+$C6240) - MAX(IF($B$2:$B6239=$B6240, $A$2:$A6239+$C$2:$C6239)), "")*24*60, "")</f>
        <v/>
      </c>
      <c r="N6240" s="24" t="str" cm="1">
        <f t="array" ref="N6240">IFERROR(IF($B6240=N$1, ($A6240+$C6240) - MAX(IF($B$2:$B6239=$B6240, $A$2:$A6239+$C$2:$C6239)), "")*24*60, "")</f>
        <v/>
      </c>
      <c r="O6240" s="24" t="str" cm="1">
        <f t="array" ref="O6240">IFERROR(IF($B6240=O$1, ($A6240+$C6240) - MAX(IF($B$2:$B6239=$B6240, $A$2:$A6239+$C$2:$C6239)), "")*24*60, "")</f>
        <v/>
      </c>
      <c r="P6240" s="24" t="str" cm="1">
        <f t="array" ref="P6240">IFERROR(IF($B6240=P$1, ($A6240+$C6240) - MAX(IF($B$2:$B6239=$B6240, $A$2:$A6239+$C$2:$C6239)), "")*24*60, "")</f>
        <v/>
      </c>
      <c r="Q6240" s="24" t="str" cm="1">
        <f t="array" ref="Q6240">IFERROR(IF($B6240=Q$1, ($A6240+$C6240) - MAX(IF($B$2:$B6239=$B6240, $A$2:$A6239+$C$2:$C6239)), "")*24*60, "")</f>
        <v/>
      </c>
      <c r="R6240" s="24" t="str" cm="1">
        <f t="array" ref="R6240">IFERROR(IF($B6240=R$1, ($A6240+$C6240) - MAX(IF($B$2:$B6239=$B6240, $A$2:$A6239+$C$2:$C6239)), "")*24*60, "")</f>
        <v/>
      </c>
      <c r="S6240" s="24" t="str" cm="1">
        <f t="array" ref="S6240">IFERROR(IF($B6240=S$1, ($A6240+$C6240) - MAX(IF($B$2:$B6239=$B6240, $A$2:$A6239+$C$2:$C6239)), "")*24*60, "")</f>
        <v/>
      </c>
    </row>
    <row r="6241" spans="1:19" x14ac:dyDescent="0.2">
      <c r="A6241" s="12">
        <f t="shared" ref="A6241:C6241" si="1386">A6240</f>
        <v>45987</v>
      </c>
      <c r="B6241" s="5" t="str">
        <f t="shared" si="1386"/>
        <v>Northern Cardinal</v>
      </c>
      <c r="C6241" s="6">
        <f t="shared" si="1386"/>
        <v>0.28611111111111109</v>
      </c>
      <c r="D6241" s="5"/>
      <c r="E6241" s="5"/>
      <c r="F6241" s="5" t="s">
        <v>8</v>
      </c>
      <c r="G6241" s="15" t="s">
        <v>9</v>
      </c>
      <c r="H6241" s="24">
        <f t="shared" si="1379"/>
        <v>0</v>
      </c>
      <c r="I6241" s="24" cm="1">
        <f t="array" ref="I6241">IFERROR(IF($B6241=I$1, ($A6241+$C6241) - MAX(IF($B$2:$B6240=$B6241, $A$2:$A6240+$C$2:$C6240)), "")*24*60, "")</f>
        <v>0</v>
      </c>
      <c r="J6241" s="24" t="str" cm="1">
        <f t="array" ref="J6241">IFERROR(IF($B6241=J$1, ($A6241+$C6241) - MAX(IF($B$2:$B6240=$B6241, $A$2:$A6240+$C$2:$C6240)), "")*24*60, "")</f>
        <v/>
      </c>
      <c r="K6241" s="24" t="str" cm="1">
        <f t="array" ref="K6241">IFERROR(IF($B6241=K$1, ($A6241+$C6241) - MAX(IF($B$2:$B6240=$B6241, $A$2:$A6240+$C$2:$C6240)), "")*24*60, "")</f>
        <v/>
      </c>
      <c r="L6241" s="24" t="str" cm="1">
        <f t="array" ref="L6241">IFERROR(IF($B6241=L$1, ($A6241+$C6241) - MAX(IF($B$2:$B6240=$B6241, $A$2:$A6240+$C$2:$C6240)), "")*24*60, "")</f>
        <v/>
      </c>
      <c r="M6241" s="24" t="str" cm="1">
        <f t="array" ref="M6241">IFERROR(IF($B6241=M$1, ($A6241+$C6241) - MAX(IF($B$2:$B6240=$B6241, $A$2:$A6240+$C$2:$C6240)), "")*24*60, "")</f>
        <v/>
      </c>
      <c r="N6241" s="24" t="str" cm="1">
        <f t="array" ref="N6241">IFERROR(IF($B6241=N$1, ($A6241+$C6241) - MAX(IF($B$2:$B6240=$B6241, $A$2:$A6240+$C$2:$C6240)), "")*24*60, "")</f>
        <v/>
      </c>
      <c r="O6241" s="24" t="str" cm="1">
        <f t="array" ref="O6241">IFERROR(IF($B6241=O$1, ($A6241+$C6241) - MAX(IF($B$2:$B6240=$B6241, $A$2:$A6240+$C$2:$C6240)), "")*24*60, "")</f>
        <v/>
      </c>
      <c r="P6241" s="24" t="str" cm="1">
        <f t="array" ref="P6241">IFERROR(IF($B6241=P$1, ($A6241+$C6241) - MAX(IF($B$2:$B6240=$B6241, $A$2:$A6240+$C$2:$C6240)), "")*24*60, "")</f>
        <v/>
      </c>
      <c r="Q6241" s="24" t="str" cm="1">
        <f t="array" ref="Q6241">IFERROR(IF($B6241=Q$1, ($A6241+$C6241) - MAX(IF($B$2:$B6240=$B6241, $A$2:$A6240+$C$2:$C6240)), "")*24*60, "")</f>
        <v/>
      </c>
      <c r="R6241" s="24" t="str" cm="1">
        <f t="array" ref="R6241">IFERROR(IF($B6241=R$1, ($A6241+$C6241) - MAX(IF($B$2:$B6240=$B6241, $A$2:$A6240+$C$2:$C6240)), "")*24*60, "")</f>
        <v/>
      </c>
      <c r="S6241" s="24" t="str" cm="1">
        <f t="array" ref="S6241">IFERROR(IF($B6241=S$1, ($A6241+$C6241) - MAX(IF($B$2:$B6240=$B6241, $A$2:$A6240+$C$2:$C6240)), "")*24*60, "")</f>
        <v/>
      </c>
    </row>
    <row r="6242" spans="1:19" x14ac:dyDescent="0.2">
      <c r="A6242" s="12">
        <f t="shared" ref="A6242:C6242" si="1387">A6241</f>
        <v>45987</v>
      </c>
      <c r="B6242" s="5" t="str">
        <f t="shared" si="1387"/>
        <v>Northern Cardinal</v>
      </c>
      <c r="C6242" s="6">
        <f t="shared" si="1387"/>
        <v>0.28611111111111109</v>
      </c>
      <c r="D6242" s="5"/>
      <c r="E6242" s="5"/>
      <c r="F6242" s="5" t="s">
        <v>8</v>
      </c>
      <c r="G6242" s="15" t="s">
        <v>9</v>
      </c>
      <c r="H6242" s="24">
        <f t="shared" si="1379"/>
        <v>0</v>
      </c>
      <c r="I6242" s="24" cm="1">
        <f t="array" ref="I6242">IFERROR(IF($B6242=I$1, ($A6242+$C6242) - MAX(IF($B$2:$B6241=$B6242, $A$2:$A6241+$C$2:$C6241)), "")*24*60, "")</f>
        <v>0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388">A6242</f>
        <v>45987</v>
      </c>
      <c r="B6243" s="5" t="str">
        <f t="shared" si="1388"/>
        <v>Northern Cardinal</v>
      </c>
      <c r="C6243" s="6">
        <f t="shared" si="1388"/>
        <v>0.28611111111111109</v>
      </c>
      <c r="D6243" s="5"/>
      <c r="E6243" s="5"/>
      <c r="F6243" s="5" t="s">
        <v>8</v>
      </c>
      <c r="G6243" s="15" t="s">
        <v>9</v>
      </c>
      <c r="H6243" s="24">
        <f t="shared" si="137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C6244" si="1389">A6243</f>
        <v>45987</v>
      </c>
      <c r="B6244" s="5" t="str">
        <f t="shared" si="1389"/>
        <v>Northern Cardinal</v>
      </c>
      <c r="C6244" s="6">
        <f t="shared" si="1389"/>
        <v>0.28611111111111109</v>
      </c>
      <c r="D6244" s="5"/>
      <c r="E6244" s="5"/>
      <c r="F6244" s="5" t="s">
        <v>8</v>
      </c>
      <c r="G6244" s="15" t="s">
        <v>9</v>
      </c>
      <c r="H6244" s="24">
        <f t="shared" si="1379"/>
        <v>0</v>
      </c>
      <c r="I6244" s="24" cm="1">
        <f t="array" ref="I6244">IFERROR(IF($B6244=I$1, ($A6244+$C6244) - MAX(IF($B$2:$B6243=$B6244, $A$2:$A6243+$C$2:$C6243)), "")*24*60, "")</f>
        <v>0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:C6245" si="1390">A6244</f>
        <v>45987</v>
      </c>
      <c r="B6245" s="5" t="str">
        <f t="shared" si="1390"/>
        <v>Northern Cardinal</v>
      </c>
      <c r="C6245" s="6">
        <f t="shared" si="1390"/>
        <v>0.28611111111111109</v>
      </c>
      <c r="D6245" s="5"/>
      <c r="E6245" s="5"/>
      <c r="F6245" s="5" t="s">
        <v>8</v>
      </c>
      <c r="G6245" s="15" t="s">
        <v>9</v>
      </c>
      <c r="H6245" s="24">
        <f t="shared" si="1379"/>
        <v>0</v>
      </c>
      <c r="I6245" s="24" cm="1">
        <f t="array" ref="I6245">IFERROR(IF($B6245=I$1, ($A6245+$C6245) - MAX(IF($B$2:$B6244=$B6245, $A$2:$A6244+$C$2:$C6244)), "")*24*60, "")</f>
        <v>0</v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t="str" cm="1">
        <f t="array" ref="O6245">IFERROR(IF($B6245=O$1, ($A6245+$C6245) - MAX(IF($B$2:$B6244=$B6245, $A$2:$A6244+$C$2:$C6244)), "")*24*60, "")</f>
        <v/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391">A6245</f>
        <v>45987</v>
      </c>
      <c r="B6246" s="5" t="str">
        <f t="shared" si="1391"/>
        <v>Northern Cardinal</v>
      </c>
      <c r="C6246" s="6">
        <f t="shared" si="1391"/>
        <v>0.28611111111111109</v>
      </c>
      <c r="D6246" s="5"/>
      <c r="E6246" s="5"/>
      <c r="F6246" s="5" t="s">
        <v>8</v>
      </c>
      <c r="G6246" s="15" t="s">
        <v>9</v>
      </c>
      <c r="H6246" s="24">
        <f t="shared" si="1379"/>
        <v>0</v>
      </c>
      <c r="I6246" s="24" cm="1">
        <f t="array" ref="I6246">IFERROR(IF($B6246=I$1, ($A6246+$C6246) - MAX(IF($B$2:$B6245=$B6246, $A$2:$A6245+$C$2:$C6245)), "")*24*60, "")</f>
        <v>0</v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t="str" cm="1">
        <f t="array" ref="O6246">IFERROR(IF($B6246=O$1, ($A6246+$C6246) - MAX(IF($B$2:$B6245=$B6246, $A$2:$A6245+$C$2:$C6245)), "")*24*60, "")</f>
        <v/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C6247" si="1392">A6246</f>
        <v>45987</v>
      </c>
      <c r="B6247" s="5" t="str">
        <f t="shared" si="1392"/>
        <v>Northern Cardinal</v>
      </c>
      <c r="C6247" s="6">
        <f t="shared" si="1392"/>
        <v>0.28611111111111109</v>
      </c>
      <c r="D6247" s="5"/>
      <c r="E6247" s="5"/>
      <c r="F6247" s="5" t="s">
        <v>8</v>
      </c>
      <c r="G6247" s="15" t="s">
        <v>9</v>
      </c>
      <c r="H6247" s="24">
        <f t="shared" si="1379"/>
        <v>0</v>
      </c>
      <c r="I6247" s="24" cm="1">
        <f t="array" ref="I6247">IFERROR(IF($B6247=I$1, ($A6247+$C6247) - MAX(IF($B$2:$B6246=$B6247, $A$2:$A6246+$C$2:$C6246)), "")*24*60, "")</f>
        <v>0</v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t="str" cm="1">
        <f t="array" ref="O6247">IFERROR(IF($B6247=O$1, ($A6247+$C6247) - MAX(IF($B$2:$B6246=$B6247, $A$2:$A6246+$C$2:$C6246)), "")*24*60, "")</f>
        <v/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393">A6247</f>
        <v>45987</v>
      </c>
      <c r="B6248" s="5" t="str">
        <f t="shared" si="1393"/>
        <v>Northern Cardinal</v>
      </c>
      <c r="C6248" s="6">
        <f t="shared" si="1393"/>
        <v>0.28611111111111109</v>
      </c>
      <c r="D6248" s="5"/>
      <c r="E6248" s="5"/>
      <c r="F6248" s="5" t="s">
        <v>8</v>
      </c>
      <c r="G6248" s="15" t="s">
        <v>9</v>
      </c>
      <c r="H6248" s="24">
        <f t="shared" si="1379"/>
        <v>0</v>
      </c>
      <c r="I6248" s="24" cm="1">
        <f t="array" ref="I6248">IFERROR(IF($B6248=I$1, ($A6248+$C6248) - MAX(IF($B$2:$B6247=$B6248, $A$2:$A6247+$C$2:$C6247)), "")*24*60, "")</f>
        <v>0</v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t="str" cm="1">
        <f t="array" ref="O6248">IFERROR(IF($B6248=O$1, ($A6248+$C6248) - MAX(IF($B$2:$B6247=$B6248, $A$2:$A6247+$C$2:$C6247)), "")*24*60, "")</f>
        <v/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C6249" si="1394">A6248</f>
        <v>45987</v>
      </c>
      <c r="B6249" s="5" t="str">
        <f t="shared" si="1394"/>
        <v>Northern Cardinal</v>
      </c>
      <c r="C6249" s="6">
        <f t="shared" si="1394"/>
        <v>0.28611111111111109</v>
      </c>
      <c r="D6249" s="5"/>
      <c r="E6249" s="5"/>
      <c r="F6249" s="5" t="s">
        <v>8</v>
      </c>
      <c r="G6249" s="15" t="s">
        <v>9</v>
      </c>
      <c r="H6249" s="24">
        <f t="shared" si="1379"/>
        <v>0</v>
      </c>
      <c r="I6249" s="24" cm="1">
        <f t="array" ref="I6249">IFERROR(IF($B6249=I$1, ($A6249+$C6249) - MAX(IF($B$2:$B6248=$B6249, $A$2:$A6248+$C$2:$C6248)), "")*24*60, "")</f>
        <v>0</v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t="str" cm="1">
        <f t="array" ref="O6249">IFERROR(IF($B6249=O$1, ($A6249+$C6249) - MAX(IF($B$2:$B6248=$B6249, $A$2:$A6248+$C$2:$C6248)), "")*24*60, "")</f>
        <v/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395">A6249</f>
        <v>45987</v>
      </c>
      <c r="B6250" s="5" t="str">
        <f t="shared" si="1395"/>
        <v>Northern Cardinal</v>
      </c>
      <c r="C6250" s="6">
        <f t="shared" si="1395"/>
        <v>0.28611111111111109</v>
      </c>
      <c r="D6250" s="5"/>
      <c r="E6250" s="5"/>
      <c r="F6250" s="5" t="s">
        <v>8</v>
      </c>
      <c r="G6250" s="15" t="s">
        <v>9</v>
      </c>
      <c r="H6250" s="24">
        <f t="shared" si="1379"/>
        <v>0</v>
      </c>
      <c r="I6250" s="24" cm="1">
        <f t="array" ref="I6250">IFERROR(IF($B6250=I$1, ($A6250+$C6250) - MAX(IF($B$2:$B6249=$B6250, $A$2:$A6249+$C$2:$C6249)), "")*24*60, "")</f>
        <v>0</v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t="str" cm="1">
        <f t="array" ref="O6250">IFERROR(IF($B6250=O$1, ($A6250+$C6250) - MAX(IF($B$2:$B6249=$B6250, $A$2:$A6249+$C$2:$C6249)), "")*24*60, "")</f>
        <v/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C6251" si="1396">A6250</f>
        <v>45987</v>
      </c>
      <c r="B6251" s="5" t="str">
        <f t="shared" si="1396"/>
        <v>Northern Cardinal</v>
      </c>
      <c r="C6251" s="6">
        <f t="shared" si="1396"/>
        <v>0.28611111111111109</v>
      </c>
      <c r="D6251" s="5"/>
      <c r="E6251" s="5"/>
      <c r="F6251" s="5" t="s">
        <v>8</v>
      </c>
      <c r="G6251" s="15" t="s">
        <v>9</v>
      </c>
      <c r="H6251" s="24">
        <f t="shared" si="1379"/>
        <v>0</v>
      </c>
      <c r="I6251" s="24" cm="1">
        <f t="array" ref="I6251">IFERROR(IF($B6251=I$1, ($A6251+$C6251) - MAX(IF($B$2:$B6250=$B6251, $A$2:$A6250+$C$2:$C6250)), "")*24*60, "")</f>
        <v>0</v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t="str" cm="1">
        <f t="array" ref="O6251">IFERROR(IF($B6251=O$1, ($A6251+$C6251) - MAX(IF($B$2:$B6250=$B6251, $A$2:$A6250+$C$2:$C6250)), "")*24*60, "")</f>
        <v/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C6252" si="1397">A6251</f>
        <v>45987</v>
      </c>
      <c r="B6252" s="5" t="str">
        <f t="shared" si="1397"/>
        <v>Northern Cardinal</v>
      </c>
      <c r="C6252" s="6">
        <f t="shared" si="1397"/>
        <v>0.28611111111111109</v>
      </c>
      <c r="D6252" s="5"/>
      <c r="E6252" s="5"/>
      <c r="F6252" s="5" t="s">
        <v>8</v>
      </c>
      <c r="G6252" s="15" t="s">
        <v>9</v>
      </c>
      <c r="H6252" s="24">
        <f t="shared" si="1379"/>
        <v>0</v>
      </c>
      <c r="I6252" s="24" cm="1">
        <f t="array" ref="I6252">IFERROR(IF($B6252=I$1, ($A6252+$C6252) - MAX(IF($B$2:$B6251=$B6252, $A$2:$A6251+$C$2:$C6251)), "")*24*60, "")</f>
        <v>0</v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t="str" cm="1">
        <f t="array" ref="O6252">IFERROR(IF($B6252=O$1, ($A6252+$C6252) - MAX(IF($B$2:$B6251=$B6252, $A$2:$A6251+$C$2:$C6251)), "")*24*60, "")</f>
        <v/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C6253" si="1398">A6252</f>
        <v>45987</v>
      </c>
      <c r="B6253" s="5" t="str">
        <f t="shared" si="1398"/>
        <v>Northern Cardinal</v>
      </c>
      <c r="C6253" s="6">
        <f t="shared" si="1398"/>
        <v>0.28611111111111109</v>
      </c>
      <c r="D6253" s="5"/>
      <c r="E6253" s="5"/>
      <c r="F6253" s="5" t="s">
        <v>8</v>
      </c>
      <c r="G6253" s="15" t="s">
        <v>9</v>
      </c>
      <c r="H6253" s="24">
        <f t="shared" si="1379"/>
        <v>0</v>
      </c>
      <c r="I6253" s="24" cm="1">
        <f t="array" ref="I6253">IFERROR(IF($B6253=I$1, ($A6253+$C6253) - MAX(IF($B$2:$B6252=$B6253, $A$2:$A6252+$C$2:$C6252)), "")*24*60, "")</f>
        <v>0</v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t="str" cm="1">
        <f t="array" ref="O6253">IFERROR(IF($B6253=O$1, ($A6253+$C6253) - MAX(IF($B$2:$B6252=$B6253, $A$2:$A6252+$C$2:$C6252)), "")*24*60, "")</f>
        <v/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C6254" si="1399">A6253</f>
        <v>45987</v>
      </c>
      <c r="B6254" s="5" t="str">
        <f t="shared" si="1399"/>
        <v>Northern Cardinal</v>
      </c>
      <c r="C6254" s="6">
        <f t="shared" si="1399"/>
        <v>0.28611111111111109</v>
      </c>
      <c r="D6254" s="5"/>
      <c r="E6254" s="5"/>
      <c r="F6254" s="5" t="s">
        <v>8</v>
      </c>
      <c r="G6254" s="15" t="s">
        <v>9</v>
      </c>
      <c r="H6254" s="24">
        <f t="shared" si="1379"/>
        <v>0</v>
      </c>
      <c r="I6254" s="24" cm="1">
        <f t="array" ref="I6254">IFERROR(IF($B6254=I$1, ($A6254+$C6254) - MAX(IF($B$2:$B6253=$B6254, $A$2:$A6253+$C$2:$C6253)), "")*24*60, "")</f>
        <v>0</v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t="str" cm="1">
        <f t="array" ref="O6254">IFERROR(IF($B6254=O$1, ($A6254+$C6254) - MAX(IF($B$2:$B6253=$B6254, $A$2:$A6253+$C$2:$C6253)), "")*24*60, "")</f>
        <v/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400">A6254</f>
        <v>45987</v>
      </c>
      <c r="B6255" s="5" t="str">
        <f t="shared" si="1400"/>
        <v>Northern Cardinal</v>
      </c>
      <c r="C6255" s="6">
        <f t="shared" si="1400"/>
        <v>0.28611111111111109</v>
      </c>
      <c r="D6255" s="5"/>
      <c r="E6255" s="5"/>
      <c r="F6255" s="5" t="s">
        <v>8</v>
      </c>
      <c r="G6255" s="15" t="s">
        <v>9</v>
      </c>
      <c r="H6255" s="24">
        <f t="shared" si="1379"/>
        <v>0</v>
      </c>
      <c r="I6255" s="24" cm="1">
        <f t="array" ref="I6255">IFERROR(IF($B6255=I$1, ($A6255+$C6255) - MAX(IF($B$2:$B6254=$B6255, $A$2:$A6254+$C$2:$C6254)), "")*24*60, "")</f>
        <v>0</v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t="str" cm="1">
        <f t="array" ref="O6255">IFERROR(IF($B6255=O$1, ($A6255+$C6255) - MAX(IF($B$2:$B6254=$B6255, $A$2:$A6254+$C$2:$C6254)), "")*24*60, "")</f>
        <v/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C6256" si="1401">A6255</f>
        <v>45987</v>
      </c>
      <c r="B6256" s="5" t="str">
        <f t="shared" si="1401"/>
        <v>Northern Cardinal</v>
      </c>
      <c r="C6256" s="6">
        <f t="shared" si="1401"/>
        <v>0.28611111111111109</v>
      </c>
      <c r="D6256" s="5"/>
      <c r="E6256" s="5"/>
      <c r="F6256" s="5" t="s">
        <v>8</v>
      </c>
      <c r="G6256" s="15" t="s">
        <v>9</v>
      </c>
      <c r="H6256" s="24">
        <f t="shared" si="1379"/>
        <v>0</v>
      </c>
      <c r="I6256" s="24" cm="1">
        <f t="array" ref="I6256">IFERROR(IF($B6256=I$1, ($A6256+$C6256) - MAX(IF($B$2:$B6255=$B6256, $A$2:$A6255+$C$2:$C6255)), "")*24*60, "")</f>
        <v>0</v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t="str" cm="1">
        <f t="array" ref="O6256">IFERROR(IF($B6256=O$1, ($A6256+$C6256) - MAX(IF($B$2:$B6255=$B6256, $A$2:$A6255+$C$2:$C6255)), "")*24*60, "")</f>
        <v/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402">A6256</f>
        <v>45987</v>
      </c>
      <c r="B6257" s="5" t="str">
        <f t="shared" si="1402"/>
        <v>Northern Cardinal</v>
      </c>
      <c r="C6257" s="6">
        <f t="shared" si="1402"/>
        <v>0.28611111111111109</v>
      </c>
      <c r="D6257" s="5"/>
      <c r="E6257" s="5"/>
      <c r="F6257" s="5" t="s">
        <v>8</v>
      </c>
      <c r="G6257" s="15" t="s">
        <v>9</v>
      </c>
      <c r="H6257" s="24">
        <f t="shared" si="1379"/>
        <v>0</v>
      </c>
      <c r="I6257" s="24" cm="1">
        <f t="array" ref="I6257">IFERROR(IF($B6257=I$1, ($A6257+$C6257) - MAX(IF($B$2:$B6256=$B6257, $A$2:$A6256+$C$2:$C6256)), "")*24*60, "")</f>
        <v>0</v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t="str" cm="1">
        <f t="array" ref="O6257">IFERROR(IF($B6257=O$1, ($A6257+$C6257) - MAX(IF($B$2:$B6256=$B6257, $A$2:$A6256+$C$2:$C6256)), "")*24*60, "")</f>
        <v/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C6258" si="1403">A6257</f>
        <v>45987</v>
      </c>
      <c r="B6258" s="5" t="str">
        <f t="shared" si="1403"/>
        <v>Northern Cardinal</v>
      </c>
      <c r="C6258" s="6">
        <f t="shared" si="1403"/>
        <v>0.28611111111111109</v>
      </c>
      <c r="D6258" s="5"/>
      <c r="E6258" s="5"/>
      <c r="F6258" s="5" t="s">
        <v>8</v>
      </c>
      <c r="G6258" s="15" t="s">
        <v>9</v>
      </c>
      <c r="H6258" s="24">
        <f t="shared" si="1379"/>
        <v>0</v>
      </c>
      <c r="I6258" s="24" cm="1">
        <f t="array" ref="I6258">IFERROR(IF($B6258=I$1, ($A6258+$C6258) - MAX(IF($B$2:$B6257=$B6258, $A$2:$A6257+$C$2:$C6257)), "")*24*60, "")</f>
        <v>0</v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t="str" cm="1">
        <f t="array" ref="O6258">IFERROR(IF($B6258=O$1, ($A6258+$C6258) - MAX(IF($B$2:$B6257=$B6258, $A$2:$A6257+$C$2:$C6257)), "")*24*60, "")</f>
        <v/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404">A6258</f>
        <v>45987</v>
      </c>
      <c r="B6259" s="5" t="str">
        <f t="shared" si="1404"/>
        <v>Northern Cardinal</v>
      </c>
      <c r="C6259" s="6">
        <f t="shared" si="1404"/>
        <v>0.28611111111111109</v>
      </c>
      <c r="D6259" s="5"/>
      <c r="E6259" s="5"/>
      <c r="F6259" s="5" t="s">
        <v>8</v>
      </c>
      <c r="G6259" s="15" t="s">
        <v>9</v>
      </c>
      <c r="H6259" s="24">
        <f t="shared" si="1379"/>
        <v>0</v>
      </c>
      <c r="I6259" s="24" cm="1">
        <f t="array" ref="I6259">IFERROR(IF($B6259=I$1, ($A6259+$C6259) - MAX(IF($B$2:$B6258=$B6259, $A$2:$A6258+$C$2:$C6258)), "")*24*60, "")</f>
        <v>0</v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t="str" cm="1">
        <f t="array" ref="O6259">IFERROR(IF($B6259=O$1, ($A6259+$C6259) - MAX(IF($B$2:$B6258=$B6259, $A$2:$A6258+$C$2:$C6258)), "")*24*60, "")</f>
        <v/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C6260" si="1405">A6259</f>
        <v>45987</v>
      </c>
      <c r="B6260" s="5" t="str">
        <f t="shared" si="1405"/>
        <v>Northern Cardinal</v>
      </c>
      <c r="C6260" s="6">
        <f t="shared" si="1405"/>
        <v>0.28611111111111109</v>
      </c>
      <c r="D6260" s="5"/>
      <c r="E6260" s="5"/>
      <c r="F6260" s="5" t="s">
        <v>8</v>
      </c>
      <c r="G6260" s="15" t="s">
        <v>9</v>
      </c>
      <c r="H6260" s="24">
        <f t="shared" si="1379"/>
        <v>0</v>
      </c>
      <c r="I6260" s="24" cm="1">
        <f t="array" ref="I6260">IFERROR(IF($B6260=I$1, ($A6260+$C6260) - MAX(IF($B$2:$B6259=$B6260, $A$2:$A6259+$C$2:$C6259)), "")*24*60, "")</f>
        <v>0</v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t="str" cm="1">
        <f t="array" ref="O6260">IFERROR(IF($B6260=O$1, ($A6260+$C6260) - MAX(IF($B$2:$B6259=$B6260, $A$2:$A6259+$C$2:$C6259)), "")*24*60, "")</f>
        <v/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C6261" si="1406">A6260</f>
        <v>45987</v>
      </c>
      <c r="B6261" s="5" t="str">
        <f t="shared" si="1406"/>
        <v>Northern Cardinal</v>
      </c>
      <c r="C6261" s="6">
        <f t="shared" si="1406"/>
        <v>0.28611111111111109</v>
      </c>
      <c r="D6261" s="5"/>
      <c r="E6261" s="5"/>
      <c r="F6261" s="5" t="s">
        <v>8</v>
      </c>
      <c r="G6261" s="15" t="s">
        <v>9</v>
      </c>
      <c r="H6261" s="24">
        <f t="shared" si="1379"/>
        <v>0</v>
      </c>
      <c r="I6261" s="24" cm="1">
        <f t="array" ref="I6261">IFERROR(IF($B6261=I$1, ($A6261+$C6261) - MAX(IF($B$2:$B6260=$B6261, $A$2:$A6260+$C$2:$C6260)), "")*24*60, "")</f>
        <v>0</v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t="str" cm="1">
        <f t="array" ref="O6261">IFERROR(IF($B6261=O$1, ($A6261+$C6261) - MAX(IF($B$2:$B6260=$B6261, $A$2:$A6260+$C$2:$C6260)), "")*24*60, "")</f>
        <v/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C6262" si="1407">A6261</f>
        <v>45987</v>
      </c>
      <c r="B6262" s="5" t="str">
        <f t="shared" si="1407"/>
        <v>Northern Cardinal</v>
      </c>
      <c r="C6262" s="6">
        <f t="shared" si="1407"/>
        <v>0.28611111111111109</v>
      </c>
      <c r="D6262" s="5"/>
      <c r="E6262" s="5"/>
      <c r="F6262" s="5" t="s">
        <v>8</v>
      </c>
      <c r="G6262" s="15" t="s">
        <v>9</v>
      </c>
      <c r="H6262" s="24">
        <f t="shared" si="1379"/>
        <v>0</v>
      </c>
      <c r="I6262" s="24" cm="1">
        <f t="array" ref="I6262">IFERROR(IF($B6262=I$1, ($A6262+$C6262) - MAX(IF($B$2:$B6261=$B6262, $A$2:$A6261+$C$2:$C6261)), "")*24*60, "")</f>
        <v>0</v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t="str" cm="1">
        <f t="array" ref="O6262">IFERROR(IF($B6262=O$1, ($A6262+$C6262) - MAX(IF($B$2:$B6261=$B6262, $A$2:$A6261+$C$2:$C6261)), "")*24*60, "")</f>
        <v/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C6263" si="1408">A6262</f>
        <v>45987</v>
      </c>
      <c r="B6263" s="5" t="str">
        <f t="shared" si="1408"/>
        <v>Northern Cardinal</v>
      </c>
      <c r="C6263" s="6">
        <f t="shared" si="1408"/>
        <v>0.28611111111111109</v>
      </c>
      <c r="D6263" s="5"/>
      <c r="E6263" s="5"/>
      <c r="F6263" s="5" t="s">
        <v>8</v>
      </c>
      <c r="G6263" s="15" t="s">
        <v>9</v>
      </c>
      <c r="H6263" s="24">
        <f t="shared" si="1379"/>
        <v>0</v>
      </c>
      <c r="I6263" s="24" cm="1">
        <f t="array" ref="I6263">IFERROR(IF($B6263=I$1, ($A6263+$C6263) - MAX(IF($B$2:$B6262=$B6263, $A$2:$A6262+$C$2:$C6262)), "")*24*60, "")</f>
        <v>0</v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t="str" cm="1">
        <f t="array" ref="O6263">IFERROR(IF($B6263=O$1, ($A6263+$C6263) - MAX(IF($B$2:$B6262=$B6263, $A$2:$A6262+$C$2:$C6262)), "")*24*60, "")</f>
        <v/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409">A6263</f>
        <v>45987</v>
      </c>
      <c r="B6264" s="5" t="str">
        <f t="shared" si="1409"/>
        <v>Northern Cardinal</v>
      </c>
      <c r="C6264" s="6">
        <f t="shared" si="1409"/>
        <v>0.28611111111111109</v>
      </c>
      <c r="D6264" s="5"/>
      <c r="E6264" s="5"/>
      <c r="F6264" s="5" t="s">
        <v>8</v>
      </c>
      <c r="G6264" s="15" t="s">
        <v>9</v>
      </c>
      <c r="H6264" s="24">
        <f t="shared" si="1379"/>
        <v>0</v>
      </c>
      <c r="I6264" s="24" cm="1">
        <f t="array" ref="I6264">IFERROR(IF($B6264=I$1, ($A6264+$C6264) - MAX(IF($B$2:$B6263=$B6264, $A$2:$A6263+$C$2:$C6263)), "")*24*60, "")</f>
        <v>0</v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t="str" cm="1">
        <f t="array" ref="O6264">IFERROR(IF($B6264=O$1, ($A6264+$C6264) - MAX(IF($B$2:$B6263=$B6264, $A$2:$A6263+$C$2:$C6263)), "")*24*60, "")</f>
        <v/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C6265" si="1410">A6264</f>
        <v>45987</v>
      </c>
      <c r="B6265" s="5" t="str">
        <f t="shared" si="1410"/>
        <v>Northern Cardinal</v>
      </c>
      <c r="C6265" s="6">
        <f t="shared" si="1410"/>
        <v>0.28611111111111109</v>
      </c>
      <c r="D6265" s="5"/>
      <c r="E6265" s="5"/>
      <c r="F6265" s="5" t="s">
        <v>8</v>
      </c>
      <c r="G6265" s="15" t="s">
        <v>9</v>
      </c>
      <c r="H6265" s="24">
        <f t="shared" si="1379"/>
        <v>0</v>
      </c>
      <c r="I6265" s="24" cm="1">
        <f t="array" ref="I6265">IFERROR(IF($B6265=I$1, ($A6265+$C6265) - MAX(IF($B$2:$B6264=$B6265, $A$2:$A6264+$C$2:$C6264)), "")*24*60, "")</f>
        <v>0</v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t="str" cm="1">
        <f t="array" ref="O6265">IFERROR(IF($B6265=O$1, ($A6265+$C6265) - MAX(IF($B$2:$B6264=$B6265, $A$2:$A6264+$C$2:$C6264)), "")*24*60, "")</f>
        <v/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C6266" si="1411">A6265</f>
        <v>45987</v>
      </c>
      <c r="B6266" s="5" t="str">
        <f t="shared" si="1411"/>
        <v>Northern Cardinal</v>
      </c>
      <c r="C6266" s="6">
        <f t="shared" si="1411"/>
        <v>0.28611111111111109</v>
      </c>
      <c r="D6266" s="5"/>
      <c r="E6266" s="5"/>
      <c r="F6266" s="5" t="s">
        <v>8</v>
      </c>
      <c r="G6266" s="15" t="s">
        <v>9</v>
      </c>
      <c r="H6266" s="24">
        <f t="shared" si="1379"/>
        <v>0</v>
      </c>
      <c r="I6266" s="24" cm="1">
        <f t="array" ref="I6266">IFERROR(IF($B6266=I$1, ($A6266+$C6266) - MAX(IF($B$2:$B6265=$B6266, $A$2:$A6265+$C$2:$C6265)), "")*24*60, "")</f>
        <v>0</v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t="str" cm="1">
        <f t="array" ref="O6266">IFERROR(IF($B6266=O$1, ($A6266+$C6266) - MAX(IF($B$2:$B6265=$B6266, $A$2:$A6265+$C$2:$C6265)), "")*24*60, "")</f>
        <v/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:C6267" si="1412">A6266</f>
        <v>45987</v>
      </c>
      <c r="B6267" s="5" t="str">
        <f t="shared" si="1412"/>
        <v>Northern Cardinal</v>
      </c>
      <c r="C6267" s="6">
        <f t="shared" si="1412"/>
        <v>0.28611111111111109</v>
      </c>
      <c r="D6267" s="5"/>
      <c r="E6267" s="5"/>
      <c r="F6267" s="5" t="s">
        <v>8</v>
      </c>
      <c r="G6267" s="15" t="s">
        <v>9</v>
      </c>
      <c r="H6267" s="24">
        <f t="shared" si="1379"/>
        <v>0</v>
      </c>
      <c r="I6267" s="24" cm="1">
        <f t="array" ref="I6267">IFERROR(IF($B6267=I$1, ($A6267+$C6267) - MAX(IF($B$2:$B6266=$B6267, $A$2:$A6266+$C$2:$C6266)), "")*24*60, "")</f>
        <v>0</v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t="str" cm="1">
        <f t="array" ref="L6267">IFERROR(IF($B6267=L$1, ($A6267+$C6267) - MAX(IF($B$2:$B6266=$B6267, $A$2:$A6266+$C$2:$C6266)), "")*24*60, "")</f>
        <v/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C6268" si="1413">A6267</f>
        <v>45987</v>
      </c>
      <c r="B6268" s="5" t="str">
        <f t="shared" si="1413"/>
        <v>Northern Cardinal</v>
      </c>
      <c r="C6268" s="6">
        <f t="shared" si="1413"/>
        <v>0.28611111111111109</v>
      </c>
      <c r="D6268" s="5"/>
      <c r="E6268" s="5"/>
      <c r="F6268" s="5" t="s">
        <v>8</v>
      </c>
      <c r="G6268" s="15" t="s">
        <v>9</v>
      </c>
      <c r="H6268" s="24">
        <f t="shared" si="1379"/>
        <v>0</v>
      </c>
      <c r="I6268" s="24" cm="1">
        <f t="array" ref="I6268">IFERROR(IF($B6268=I$1, ($A6268+$C6268) - MAX(IF($B$2:$B6267=$B6268, $A$2:$A6267+$C$2:$C6267)), "")*24*60, "")</f>
        <v>0</v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t="str" cm="1">
        <f t="array" ref="L6268">IFERROR(IF($B6268=L$1, ($A6268+$C6268) - MAX(IF($B$2:$B6267=$B6268, $A$2:$A6267+$C$2:$C6267)), "")*24*60, "")</f>
        <v/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C6269" si="1414">A6268</f>
        <v>45987</v>
      </c>
      <c r="B6269" s="5" t="str">
        <f t="shared" si="1414"/>
        <v>Northern Cardinal</v>
      </c>
      <c r="C6269" s="6">
        <f t="shared" si="1414"/>
        <v>0.28611111111111109</v>
      </c>
      <c r="D6269" s="5"/>
      <c r="E6269" s="5"/>
      <c r="F6269" s="5" t="s">
        <v>8</v>
      </c>
      <c r="G6269" s="15" t="s">
        <v>9</v>
      </c>
      <c r="H6269" s="24">
        <f t="shared" si="1379"/>
        <v>0</v>
      </c>
      <c r="I6269" s="24" cm="1">
        <f t="array" ref="I6269">IFERROR(IF($B6269=I$1, ($A6269+$C6269) - MAX(IF($B$2:$B6268=$B6269, $A$2:$A6268+$C$2:$C6268)), "")*24*60, "")</f>
        <v>0</v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t="str" cm="1">
        <f t="array" ref="L6269">IFERROR(IF($B6269=L$1, ($A6269+$C6269) - MAX(IF($B$2:$B6268=$B6269, $A$2:$A6268+$C$2:$C6268)), "")*24*60, "")</f>
        <v/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:C6270" si="1415">A6269</f>
        <v>45987</v>
      </c>
      <c r="B6270" s="5" t="str">
        <f t="shared" si="1415"/>
        <v>Northern Cardinal</v>
      </c>
      <c r="C6270" s="6">
        <f t="shared" si="1415"/>
        <v>0.28611111111111109</v>
      </c>
      <c r="D6270" s="5"/>
      <c r="E6270" s="5"/>
      <c r="F6270" s="5" t="s">
        <v>8</v>
      </c>
      <c r="G6270" s="15" t="s">
        <v>9</v>
      </c>
      <c r="H6270" s="24">
        <f t="shared" si="1379"/>
        <v>0</v>
      </c>
      <c r="I6270" s="24" cm="1">
        <f t="array" ref="I6270">IFERROR(IF($B6270=I$1, ($A6270+$C6270) - MAX(IF($B$2:$B6269=$B6270, $A$2:$A6269+$C$2:$C6269)), "")*24*60, "")</f>
        <v>0</v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t="str" cm="1">
        <f t="array" ref="O6270">IFERROR(IF($B6270=O$1, ($A6270+$C6270) - MAX(IF($B$2:$B6269=$B6270, $A$2:$A6269+$C$2:$C6269)), "")*24*60, "")</f>
        <v/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416">A6270</f>
        <v>45987</v>
      </c>
      <c r="B6271" s="5" t="str">
        <f t="shared" si="1416"/>
        <v>Northern Cardinal</v>
      </c>
      <c r="C6271" s="6">
        <f t="shared" si="1416"/>
        <v>0.28611111111111109</v>
      </c>
      <c r="D6271" s="5"/>
      <c r="E6271" s="5"/>
      <c r="F6271" s="5" t="s">
        <v>8</v>
      </c>
      <c r="G6271" s="15" t="s">
        <v>9</v>
      </c>
      <c r="H6271" s="24">
        <f t="shared" si="1379"/>
        <v>0</v>
      </c>
      <c r="I6271" s="24" cm="1">
        <f t="array" ref="I6271">IFERROR(IF($B6271=I$1, ($A6271+$C6271) - MAX(IF($B$2:$B6270=$B6271, $A$2:$A6270+$C$2:$C6270)), "")*24*60, "")</f>
        <v>0</v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t="str" cm="1">
        <f t="array" ref="O6271">IFERROR(IF($B6271=O$1, ($A6271+$C6271) - MAX(IF($B$2:$B6270=$B6271, $A$2:$A6270+$C$2:$C6270)), "")*24*60, "")</f>
        <v/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C6272" si="1417">A6271</f>
        <v>45987</v>
      </c>
      <c r="B6272" s="5" t="str">
        <f t="shared" si="1417"/>
        <v>Northern Cardinal</v>
      </c>
      <c r="C6272" s="6">
        <f t="shared" si="1417"/>
        <v>0.28611111111111109</v>
      </c>
      <c r="D6272" s="5"/>
      <c r="E6272" s="5"/>
      <c r="F6272" s="5" t="s">
        <v>8</v>
      </c>
      <c r="G6272" s="15" t="s">
        <v>9</v>
      </c>
      <c r="H6272" s="24">
        <f t="shared" si="1379"/>
        <v>0</v>
      </c>
      <c r="I6272" s="24" cm="1">
        <f t="array" ref="I6272">IFERROR(IF($B6272=I$1, ($A6272+$C6272) - MAX(IF($B$2:$B6271=$B6272, $A$2:$A6271+$C$2:$C6271)), "")*24*60, "")</f>
        <v>0</v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t="str" cm="1">
        <f t="array" ref="O6272">IFERROR(IF($B6272=O$1, ($A6272+$C6272) - MAX(IF($B$2:$B6271=$B6272, $A$2:$A6271+$C$2:$C6271)), "")*24*60, "")</f>
        <v/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418">A6272</f>
        <v>45987</v>
      </c>
      <c r="B6273" s="5" t="str">
        <f t="shared" si="1418"/>
        <v>Northern Cardinal</v>
      </c>
      <c r="C6273" s="6">
        <f t="shared" si="1418"/>
        <v>0.28611111111111109</v>
      </c>
      <c r="D6273" s="5"/>
      <c r="E6273" s="5"/>
      <c r="F6273" s="5" t="s">
        <v>8</v>
      </c>
      <c r="G6273" s="15" t="s">
        <v>9</v>
      </c>
      <c r="H6273" s="24">
        <f t="shared" si="1379"/>
        <v>0</v>
      </c>
      <c r="I6273" s="24" cm="1">
        <f t="array" ref="I6273">IFERROR(IF($B6273=I$1, ($A6273+$C6273) - MAX(IF($B$2:$B6272=$B6273, $A$2:$A6272+$C$2:$C6272)), "")*24*60, "")</f>
        <v>0</v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t="str" cm="1">
        <f t="array" ref="O6273">IFERROR(IF($B6273=O$1, ($A6273+$C6273) - MAX(IF($B$2:$B6272=$B6273, $A$2:$A6272+$C$2:$C6272)), "")*24*60, "")</f>
        <v/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C6274" si="1419">A6273</f>
        <v>45987</v>
      </c>
      <c r="B6274" s="5" t="str">
        <f t="shared" si="1419"/>
        <v>Northern Cardinal</v>
      </c>
      <c r="C6274" s="6">
        <f t="shared" si="1419"/>
        <v>0.28611111111111109</v>
      </c>
      <c r="D6274" s="5"/>
      <c r="E6274" s="5"/>
      <c r="F6274" s="5" t="s">
        <v>8</v>
      </c>
      <c r="G6274" s="15" t="s">
        <v>9</v>
      </c>
      <c r="H6274" s="24">
        <f t="shared" si="1379"/>
        <v>0</v>
      </c>
      <c r="I6274" s="24" cm="1">
        <f t="array" ref="I6274">IFERROR(IF($B6274=I$1, ($A6274+$C6274) - MAX(IF($B$2:$B6273=$B6274, $A$2:$A6273+$C$2:$C6273)), "")*24*60, "")</f>
        <v>0</v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t="str" cm="1">
        <f t="array" ref="O6274">IFERROR(IF($B6274=O$1, ($A6274+$C6274) - MAX(IF($B$2:$B6273=$B6274, $A$2:$A6273+$C$2:$C6273)), "")*24*60, "")</f>
        <v/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420">A6274</f>
        <v>45987</v>
      </c>
      <c r="B6275" s="5" t="str">
        <f t="shared" si="1420"/>
        <v>Northern Cardinal</v>
      </c>
      <c r="C6275" s="6">
        <f t="shared" si="1420"/>
        <v>0.28611111111111109</v>
      </c>
      <c r="D6275" s="5"/>
      <c r="E6275" s="5"/>
      <c r="F6275" s="5" t="s">
        <v>8</v>
      </c>
      <c r="G6275" s="15" t="s">
        <v>9</v>
      </c>
      <c r="H6275" s="24">
        <f t="shared" si="1379"/>
        <v>0</v>
      </c>
      <c r="I6275" s="24" cm="1">
        <f t="array" ref="I6275">IFERROR(IF($B6275=I$1, ($A6275+$C6275) - MAX(IF($B$2:$B6274=$B6275, $A$2:$A6274+$C$2:$C6274)), "")*24*60, "")</f>
        <v>0</v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t="str" cm="1">
        <f t="array" ref="O6275">IFERROR(IF($B6275=O$1, ($A6275+$C6275) - MAX(IF($B$2:$B6274=$B6275, $A$2:$A6274+$C$2:$C6274)), "")*24*60, "")</f>
        <v/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C6276" si="1421">A6275</f>
        <v>45987</v>
      </c>
      <c r="B6276" s="5" t="str">
        <f t="shared" si="1421"/>
        <v>Northern Cardinal</v>
      </c>
      <c r="C6276" s="6">
        <f t="shared" si="1421"/>
        <v>0.28611111111111109</v>
      </c>
      <c r="D6276" s="5"/>
      <c r="E6276" s="5"/>
      <c r="F6276" s="5" t="s">
        <v>8</v>
      </c>
      <c r="G6276" s="15" t="s">
        <v>9</v>
      </c>
      <c r="H6276" s="24">
        <f t="shared" si="1379"/>
        <v>0</v>
      </c>
      <c r="I6276" s="24" cm="1">
        <f t="array" ref="I6276">IFERROR(IF($B6276=I$1, ($A6276+$C6276) - MAX(IF($B$2:$B6275=$B6276, $A$2:$A6275+$C$2:$C6275)), "")*24*60, "")</f>
        <v>0</v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t="str" cm="1">
        <f t="array" ref="O6276">IFERROR(IF($B6276=O$1, ($A6276+$C6276) - MAX(IF($B$2:$B6275=$B6276, $A$2:$A6275+$C$2:$C6275)), "")*24*60, "")</f>
        <v/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422">A6276</f>
        <v>45987</v>
      </c>
      <c r="B6277" s="5" t="str">
        <f t="shared" si="1422"/>
        <v>Northern Cardinal</v>
      </c>
      <c r="C6277" s="6">
        <f t="shared" si="1422"/>
        <v>0.28611111111111109</v>
      </c>
      <c r="D6277" s="5"/>
      <c r="E6277" s="5"/>
      <c r="F6277" s="5" t="s">
        <v>8</v>
      </c>
      <c r="G6277" s="15" t="s">
        <v>9</v>
      </c>
      <c r="H6277" s="24">
        <f t="shared" si="1379"/>
        <v>0</v>
      </c>
      <c r="I6277" s="24" cm="1">
        <f t="array" ref="I6277">IFERROR(IF($B6277=I$1, ($A6277+$C6277) - MAX(IF($B$2:$B6276=$B6277, $A$2:$A6276+$C$2:$C6276)), "")*24*60, "")</f>
        <v>0</v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t="str" cm="1">
        <f t="array" ref="O6277">IFERROR(IF($B6277=O$1, ($A6277+$C6277) - MAX(IF($B$2:$B6276=$B6277, $A$2:$A6276+$C$2:$C6276)), "")*24*60, "")</f>
        <v/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C6278" si="1423">A6277</f>
        <v>45987</v>
      </c>
      <c r="B6278" s="5" t="str">
        <f t="shared" si="1423"/>
        <v>Northern Cardinal</v>
      </c>
      <c r="C6278" s="6">
        <f t="shared" si="1423"/>
        <v>0.28611111111111109</v>
      </c>
      <c r="D6278" s="5"/>
      <c r="E6278" s="5"/>
      <c r="F6278" s="5" t="s">
        <v>8</v>
      </c>
      <c r="G6278" s="15" t="s">
        <v>9</v>
      </c>
      <c r="H6278" s="24">
        <f t="shared" si="1379"/>
        <v>0</v>
      </c>
      <c r="I6278" s="24" cm="1">
        <f t="array" ref="I6278">IFERROR(IF($B6278=I$1, ($A6278+$C6278) - MAX(IF($B$2:$B6277=$B6278, $A$2:$A6277+$C$2:$C6277)), "")*24*60, "")</f>
        <v>0</v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t="str" cm="1">
        <f t="array" ref="O6278">IFERROR(IF($B6278=O$1, ($A6278+$C6278) - MAX(IF($B$2:$B6277=$B6278, $A$2:$A6277+$C$2:$C6277)), "")*24*60, "")</f>
        <v/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424">A6278</f>
        <v>45987</v>
      </c>
      <c r="B6279" s="5" t="str">
        <f t="shared" si="1424"/>
        <v>Northern Cardinal</v>
      </c>
      <c r="C6279" s="6">
        <f t="shared" si="1424"/>
        <v>0.28611111111111109</v>
      </c>
      <c r="D6279" s="5"/>
      <c r="E6279" s="5"/>
      <c r="F6279" s="5" t="s">
        <v>8</v>
      </c>
      <c r="G6279" s="15" t="s">
        <v>9</v>
      </c>
      <c r="H6279" s="24">
        <f t="shared" si="1379"/>
        <v>0</v>
      </c>
      <c r="I6279" s="24" cm="1">
        <f t="array" ref="I6279">IFERROR(IF($B6279=I$1, ($A6279+$C6279) - MAX(IF($B$2:$B6278=$B6279, $A$2:$A6278+$C$2:$C6278)), "")*24*60, "")</f>
        <v>0</v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t="str" cm="1">
        <f t="array" ref="O6279">IFERROR(IF($B6279=O$1, ($A6279+$C6279) - MAX(IF($B$2:$B6278=$B6279, $A$2:$A6278+$C$2:$C6278)), "")*24*60, "")</f>
        <v/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C6280" si="1425">A6279</f>
        <v>45987</v>
      </c>
      <c r="B6280" s="5" t="str">
        <f t="shared" si="1425"/>
        <v>Northern Cardinal</v>
      </c>
      <c r="C6280" s="6">
        <f t="shared" si="1425"/>
        <v>0.28611111111111109</v>
      </c>
      <c r="D6280" s="5"/>
      <c r="E6280" s="5"/>
      <c r="F6280" s="5" t="s">
        <v>8</v>
      </c>
      <c r="G6280" s="15" t="s">
        <v>9</v>
      </c>
      <c r="H6280" s="24">
        <f t="shared" si="1379"/>
        <v>0</v>
      </c>
      <c r="I6280" s="24" cm="1">
        <f t="array" ref="I6280">IFERROR(IF($B6280=I$1, ($A6280+$C6280) - MAX(IF($B$2:$B6279=$B6280, $A$2:$A6279+$C$2:$C6279)), "")*24*60, "")</f>
        <v>0</v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t="str" cm="1">
        <f t="array" ref="O6280">IFERROR(IF($B6280=O$1, ($A6280+$C6280) - MAX(IF($B$2:$B6279=$B6280, $A$2:$A6279+$C$2:$C6279)), "")*24*60, "")</f>
        <v/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426">A6280</f>
        <v>45987</v>
      </c>
      <c r="B6281" s="5" t="str">
        <f t="shared" si="1426"/>
        <v>Northern Cardinal</v>
      </c>
      <c r="C6281" s="6">
        <f t="shared" si="1426"/>
        <v>0.28611111111111109</v>
      </c>
      <c r="D6281" s="5"/>
      <c r="E6281" s="5"/>
      <c r="F6281" s="5" t="s">
        <v>8</v>
      </c>
      <c r="G6281" s="15" t="s">
        <v>9</v>
      </c>
      <c r="H6281" s="24">
        <f t="shared" si="1379"/>
        <v>0</v>
      </c>
      <c r="I6281" s="24" cm="1">
        <f t="array" ref="I6281">IFERROR(IF($B6281=I$1, ($A6281+$C6281) - MAX(IF($B$2:$B6280=$B6281, $A$2:$A6280+$C$2:$C6280)), "")*24*60, "")</f>
        <v>0</v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t="str" cm="1">
        <f t="array" ref="O6281">IFERROR(IF($B6281=O$1, ($A6281+$C6281) - MAX(IF($B$2:$B6280=$B6281, $A$2:$A6280+$C$2:$C6280)), "")*24*60, "")</f>
        <v/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C6282" si="1427">A6281</f>
        <v>45987</v>
      </c>
      <c r="B6282" s="5" t="str">
        <f t="shared" si="1427"/>
        <v>Northern Cardinal</v>
      </c>
      <c r="C6282" s="6">
        <f t="shared" si="1427"/>
        <v>0.28611111111111109</v>
      </c>
      <c r="D6282" s="5"/>
      <c r="E6282" s="5"/>
      <c r="F6282" s="5" t="s">
        <v>8</v>
      </c>
      <c r="G6282" s="15" t="s">
        <v>9</v>
      </c>
      <c r="H6282" s="24">
        <f t="shared" si="1379"/>
        <v>0</v>
      </c>
      <c r="I6282" s="24" cm="1">
        <f t="array" ref="I6282">IFERROR(IF($B6282=I$1, ($A6282+$C6282) - MAX(IF($B$2:$B6281=$B6282, $A$2:$A6281+$C$2:$C6281)), "")*24*60, "")</f>
        <v>0</v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t="str" cm="1">
        <f t="array" ref="O6282">IFERROR(IF($B6282=O$1, ($A6282+$C6282) - MAX(IF($B$2:$B6281=$B6282, $A$2:$A6281+$C$2:$C6281)), "")*24*60, "")</f>
        <v/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C6283" si="1428">A6282</f>
        <v>45987</v>
      </c>
      <c r="B6283" s="5" t="str">
        <f t="shared" si="1428"/>
        <v>Northern Cardinal</v>
      </c>
      <c r="C6283" s="6">
        <f t="shared" si="1428"/>
        <v>0.28611111111111109</v>
      </c>
      <c r="D6283" s="5"/>
      <c r="E6283" s="5"/>
      <c r="F6283" s="5" t="s">
        <v>8</v>
      </c>
      <c r="G6283" s="15" t="s">
        <v>9</v>
      </c>
      <c r="H6283" s="24">
        <f t="shared" si="1379"/>
        <v>0</v>
      </c>
      <c r="I6283" s="24" cm="1">
        <f t="array" ref="I6283">IFERROR(IF($B6283=I$1, ($A6283+$C6283) - MAX(IF($B$2:$B6282=$B6283, $A$2:$A6282+$C$2:$C6282)), "")*24*60, "")</f>
        <v>0</v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t="str" cm="1">
        <f t="array" ref="O6283">IFERROR(IF($B6283=O$1, ($A6283+$C6283) - MAX(IF($B$2:$B6282=$B6283, $A$2:$A6282+$C$2:$C6282)), "")*24*60, "")</f>
        <v/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429">A6283</f>
        <v>45987</v>
      </c>
      <c r="B6284" s="5" t="str">
        <f t="shared" si="1429"/>
        <v>Northern Cardinal</v>
      </c>
      <c r="C6284" s="6">
        <f t="shared" si="1429"/>
        <v>0.28611111111111109</v>
      </c>
      <c r="D6284" s="5"/>
      <c r="E6284" s="5"/>
      <c r="F6284" s="5" t="s">
        <v>8</v>
      </c>
      <c r="G6284" s="15" t="s">
        <v>9</v>
      </c>
      <c r="H6284" s="24">
        <f t="shared" si="1379"/>
        <v>0</v>
      </c>
      <c r="I6284" s="24" cm="1">
        <f t="array" ref="I6284">IFERROR(IF($B6284=I$1, ($A6284+$C6284) - MAX(IF($B$2:$B6283=$B6284, $A$2:$A6283+$C$2:$C6283)), "")*24*60, "")</f>
        <v>0</v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t="str" cm="1">
        <f t="array" ref="O6284">IFERROR(IF($B6284=O$1, ($A6284+$C6284) - MAX(IF($B$2:$B6283=$B6284, $A$2:$A6283+$C$2:$C6283)), "")*24*60, "")</f>
        <v/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C6285" si="1430">A6284</f>
        <v>45987</v>
      </c>
      <c r="B6285" s="5" t="str">
        <f t="shared" si="1430"/>
        <v>Northern Cardinal</v>
      </c>
      <c r="C6285" s="6">
        <f t="shared" si="1430"/>
        <v>0.28611111111111109</v>
      </c>
      <c r="D6285" s="5"/>
      <c r="E6285" s="5"/>
      <c r="F6285" s="5" t="s">
        <v>8</v>
      </c>
      <c r="G6285" s="15" t="s">
        <v>9</v>
      </c>
      <c r="H6285" s="24">
        <f t="shared" si="1379"/>
        <v>0</v>
      </c>
      <c r="I6285" s="24" cm="1">
        <f t="array" ref="I6285">IFERROR(IF($B6285=I$1, ($A6285+$C6285) - MAX(IF($B$2:$B6284=$B6285, $A$2:$A6284+$C$2:$C6284)), "")*24*60, "")</f>
        <v>0</v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t="str" cm="1">
        <f t="array" ref="O6285">IFERROR(IF($B6285=O$1, ($A6285+$C6285) - MAX(IF($B$2:$B6284=$B6285, $A$2:$A6284+$C$2:$C6284)), "")*24*60, "")</f>
        <v/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431">A6285</f>
        <v>45987</v>
      </c>
      <c r="B6286" s="5" t="str">
        <f t="shared" si="1431"/>
        <v>Northern Cardinal</v>
      </c>
      <c r="C6286" s="6">
        <f t="shared" si="1431"/>
        <v>0.28611111111111109</v>
      </c>
      <c r="D6286" s="5"/>
      <c r="E6286" s="5"/>
      <c r="F6286" s="5" t="s">
        <v>8</v>
      </c>
      <c r="G6286" s="15" t="s">
        <v>9</v>
      </c>
      <c r="H6286" s="24">
        <f t="shared" si="1379"/>
        <v>0</v>
      </c>
      <c r="I6286" s="24" cm="1">
        <f t="array" ref="I6286">IFERROR(IF($B6286=I$1, ($A6286+$C6286) - MAX(IF($B$2:$B6285=$B6286, $A$2:$A6285+$C$2:$C6285)), "")*24*60, "")</f>
        <v>0</v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t="str" cm="1">
        <f t="array" ref="O6286">IFERROR(IF($B6286=O$1, ($A6286+$C6286) - MAX(IF($B$2:$B6285=$B6286, $A$2:$A6285+$C$2:$C6285)), "")*24*60, "")</f>
        <v/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C6287" si="1432">A6286</f>
        <v>45987</v>
      </c>
      <c r="B6287" s="5" t="str">
        <f t="shared" si="1432"/>
        <v>Northern Cardinal</v>
      </c>
      <c r="C6287" s="6">
        <f t="shared" si="1432"/>
        <v>0.28611111111111109</v>
      </c>
      <c r="D6287" s="5"/>
      <c r="E6287" s="5"/>
      <c r="F6287" s="5" t="s">
        <v>8</v>
      </c>
      <c r="G6287" s="15" t="s">
        <v>9</v>
      </c>
      <c r="H6287" s="24">
        <f t="shared" si="1379"/>
        <v>0</v>
      </c>
      <c r="I6287" s="24" cm="1">
        <f t="array" ref="I6287">IFERROR(IF($B6287=I$1, ($A6287+$C6287) - MAX(IF($B$2:$B6286=$B6287, $A$2:$A6286+$C$2:$C6286)), "")*24*60, "")</f>
        <v>0</v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t="str" cm="1">
        <f t="array" ref="O6287">IFERROR(IF($B6287=O$1, ($A6287+$C6287) - MAX(IF($B$2:$B6286=$B6287, $A$2:$A6286+$C$2:$C6286)), "")*24*60, "")</f>
        <v/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433">A6287</f>
        <v>45987</v>
      </c>
      <c r="B6288" s="5" t="str">
        <f t="shared" si="1433"/>
        <v>Northern Cardinal</v>
      </c>
      <c r="C6288" s="6">
        <f t="shared" si="1433"/>
        <v>0.28611111111111109</v>
      </c>
      <c r="D6288" s="5"/>
      <c r="E6288" s="5"/>
      <c r="F6288" s="5" t="s">
        <v>8</v>
      </c>
      <c r="G6288" s="15" t="s">
        <v>9</v>
      </c>
      <c r="H6288" s="24">
        <f t="shared" si="1379"/>
        <v>0</v>
      </c>
      <c r="I6288" s="24" cm="1">
        <f t="array" ref="I6288">IFERROR(IF($B6288=I$1, ($A6288+$C6288) - MAX(IF($B$2:$B6287=$B6288, $A$2:$A6287+$C$2:$C6287)), "")*24*60, "")</f>
        <v>0</v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t="str" cm="1">
        <f t="array" ref="O6288">IFERROR(IF($B6288=O$1, ($A6288+$C6288) - MAX(IF($B$2:$B6287=$B6288, $A$2:$A6287+$C$2:$C6287)), "")*24*60, "")</f>
        <v/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C6289" si="1434">A6288</f>
        <v>45987</v>
      </c>
      <c r="B6289" s="5" t="str">
        <f t="shared" si="1434"/>
        <v>Northern Cardinal</v>
      </c>
      <c r="C6289" s="6">
        <f t="shared" si="1434"/>
        <v>0.28611111111111109</v>
      </c>
      <c r="D6289" s="5"/>
      <c r="E6289" s="5"/>
      <c r="F6289" s="5" t="s">
        <v>8</v>
      </c>
      <c r="G6289" s="15" t="s">
        <v>9</v>
      </c>
      <c r="H6289" s="24">
        <f t="shared" si="1379"/>
        <v>0</v>
      </c>
      <c r="I6289" s="24" cm="1">
        <f t="array" ref="I6289">IFERROR(IF($B6289=I$1, ($A6289+$C6289) - MAX(IF($B$2:$B6288=$B6289, $A$2:$A6288+$C$2:$C6288)), "")*24*60, "")</f>
        <v>0</v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t="str" cm="1">
        <f t="array" ref="O6289">IFERROR(IF($B6289=O$1, ($A6289+$C6289) - MAX(IF($B$2:$B6288=$B6289, $A$2:$A6288+$C$2:$C6288)), "")*24*60, "")</f>
        <v/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435">A6289</f>
        <v>45987</v>
      </c>
      <c r="B6290" s="5" t="str">
        <f t="shared" si="1435"/>
        <v>Northern Cardinal</v>
      </c>
      <c r="C6290" s="6">
        <f t="shared" si="1435"/>
        <v>0.28611111111111109</v>
      </c>
      <c r="D6290" s="5"/>
      <c r="E6290" s="5"/>
      <c r="F6290" s="5" t="s">
        <v>8</v>
      </c>
      <c r="G6290" s="15" t="s">
        <v>9</v>
      </c>
      <c r="H6290" s="24">
        <f t="shared" si="1379"/>
        <v>0</v>
      </c>
      <c r="I6290" s="24" cm="1">
        <f t="array" ref="I6290">IFERROR(IF($B6290=I$1, ($A6290+$C6290) - MAX(IF($B$2:$B6289=$B6290, $A$2:$A6289+$C$2:$C6289)), "")*24*60, "")</f>
        <v>0</v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t="str" cm="1">
        <f t="array" ref="O6290">IFERROR(IF($B6290=O$1, ($A6290+$C6290) - MAX(IF($B$2:$B6289=$B6290, $A$2:$A6289+$C$2:$C6289)), "")*24*60, "")</f>
        <v/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C6291" si="1436">A6290</f>
        <v>45987</v>
      </c>
      <c r="B6291" s="5" t="str">
        <f t="shared" si="1436"/>
        <v>Northern Cardinal</v>
      </c>
      <c r="C6291" s="6">
        <f t="shared" si="1436"/>
        <v>0.28611111111111109</v>
      </c>
      <c r="D6291" s="5"/>
      <c r="E6291" s="5"/>
      <c r="F6291" s="5" t="s">
        <v>8</v>
      </c>
      <c r="G6291" s="15" t="s">
        <v>9</v>
      </c>
      <c r="H6291" s="24">
        <f t="shared" si="1379"/>
        <v>0</v>
      </c>
      <c r="I6291" s="24" cm="1">
        <f t="array" ref="I6291">IFERROR(IF($B6291=I$1, ($A6291+$C6291) - MAX(IF($B$2:$B6290=$B6291, $A$2:$A6290+$C$2:$C6290)), "")*24*60, "")</f>
        <v>0</v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t="str" cm="1">
        <f t="array" ref="O6291">IFERROR(IF($B6291=O$1, ($A6291+$C6291) - MAX(IF($B$2:$B6290=$B6291, $A$2:$A6290+$C$2:$C6290)), "")*24*60, "")</f>
        <v/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437">A6291</f>
        <v>45987</v>
      </c>
      <c r="B6292" s="5" t="str">
        <f t="shared" si="1437"/>
        <v>Northern Cardinal</v>
      </c>
      <c r="C6292" s="6">
        <f t="shared" si="1437"/>
        <v>0.28611111111111109</v>
      </c>
      <c r="D6292" s="5"/>
      <c r="E6292" s="5"/>
      <c r="F6292" s="5" t="s">
        <v>8</v>
      </c>
      <c r="G6292" s="15" t="s">
        <v>9</v>
      </c>
      <c r="H6292" s="24">
        <f t="shared" si="1379"/>
        <v>0</v>
      </c>
      <c r="I6292" s="24" cm="1">
        <f t="array" ref="I6292">IFERROR(IF($B6292=I$1, ($A6292+$C6292) - MAX(IF($B$2:$B6291=$B6292, $A$2:$A6291+$C$2:$C6291)), "")*24*60, "")</f>
        <v>0</v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t="str" cm="1">
        <f t="array" ref="O6292">IFERROR(IF($B6292=O$1, ($A6292+$C6292) - MAX(IF($B$2:$B6291=$B6292, $A$2:$A6291+$C$2:$C6291)), "")*24*60, "")</f>
        <v/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C6293" si="1438">A6292</f>
        <v>45987</v>
      </c>
      <c r="B6293" s="5" t="str">
        <f t="shared" si="1438"/>
        <v>Northern Cardinal</v>
      </c>
      <c r="C6293" s="6">
        <f t="shared" si="1438"/>
        <v>0.28611111111111109</v>
      </c>
      <c r="D6293" s="5"/>
      <c r="E6293" s="5"/>
      <c r="F6293" s="5" t="s">
        <v>8</v>
      </c>
      <c r="G6293" s="15" t="s">
        <v>9</v>
      </c>
      <c r="H6293" s="24">
        <f t="shared" si="1379"/>
        <v>0</v>
      </c>
      <c r="I6293" s="24" cm="1">
        <f t="array" ref="I6293">IFERROR(IF($B6293=I$1, ($A6293+$C6293) - MAX(IF($B$2:$B6292=$B6293, $A$2:$A6292+$C$2:$C6292)), "")*24*60, "")</f>
        <v>0</v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t="str" cm="1">
        <f t="array" ref="O6293">IFERROR(IF($B6293=O$1, ($A6293+$C6293) - MAX(IF($B$2:$B6292=$B6293, $A$2:$A6292+$C$2:$C6292)), "")*24*60, "")</f>
        <v/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C6294" si="1439">A6293</f>
        <v>45987</v>
      </c>
      <c r="B6294" s="5" t="str">
        <f t="shared" si="1439"/>
        <v>Northern Cardinal</v>
      </c>
      <c r="C6294" s="6">
        <f t="shared" si="1439"/>
        <v>0.28611111111111109</v>
      </c>
      <c r="D6294" s="5"/>
      <c r="E6294" s="5"/>
      <c r="F6294" s="5" t="s">
        <v>8</v>
      </c>
      <c r="G6294" s="15" t="s">
        <v>9</v>
      </c>
      <c r="H6294" s="24">
        <f t="shared" si="1379"/>
        <v>0</v>
      </c>
      <c r="I6294" s="24" cm="1">
        <f t="array" ref="I6294">IFERROR(IF($B6294=I$1, ($A6294+$C6294) - MAX(IF($B$2:$B6293=$B6294, $A$2:$A6293+$C$2:$C6293)), "")*24*60, "")</f>
        <v>0</v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t="str" cm="1">
        <f t="array" ref="O6294">IFERROR(IF($B6294=O$1, ($A6294+$C6294) - MAX(IF($B$2:$B6293=$B6294, $A$2:$A6293+$C$2:$C6293)), "")*24*60, "")</f>
        <v/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440">A6294</f>
        <v>45987</v>
      </c>
      <c r="B6295" s="5" t="str">
        <f t="shared" si="1440"/>
        <v>Northern Cardinal</v>
      </c>
      <c r="C6295" s="6">
        <f t="shared" si="1440"/>
        <v>0.28611111111111109</v>
      </c>
      <c r="D6295" s="5"/>
      <c r="E6295" s="5"/>
      <c r="F6295" s="5" t="s">
        <v>8</v>
      </c>
      <c r="G6295" s="15" t="s">
        <v>9</v>
      </c>
      <c r="H6295" s="24">
        <f t="shared" si="1379"/>
        <v>0</v>
      </c>
      <c r="I6295" s="24" cm="1">
        <f t="array" ref="I6295">IFERROR(IF($B6295=I$1, ($A6295+$C6295) - MAX(IF($B$2:$B6294=$B6295, $A$2:$A6294+$C$2:$C6294)), "")*24*60, "")</f>
        <v>0</v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t="str" cm="1">
        <f t="array" ref="O6295">IFERROR(IF($B6295=O$1, ($A6295+$C6295) - MAX(IF($B$2:$B6294=$B6295, $A$2:$A6294+$C$2:$C6294)), "")*24*60, "")</f>
        <v/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C6296" si="1441">A6295</f>
        <v>45987</v>
      </c>
      <c r="B6296" s="5" t="str">
        <f t="shared" si="1441"/>
        <v>Northern Cardinal</v>
      </c>
      <c r="C6296" s="6">
        <f t="shared" si="1441"/>
        <v>0.28611111111111109</v>
      </c>
      <c r="D6296" s="5"/>
      <c r="E6296" s="5"/>
      <c r="F6296" s="5" t="s">
        <v>8</v>
      </c>
      <c r="G6296" s="15" t="s">
        <v>9</v>
      </c>
      <c r="H6296" s="24">
        <f t="shared" si="1379"/>
        <v>0</v>
      </c>
      <c r="I6296" s="24" cm="1">
        <f t="array" ref="I6296">IFERROR(IF($B6296=I$1, ($A6296+$C6296) - MAX(IF($B$2:$B6295=$B6296, $A$2:$A6295+$C$2:$C6295)), "")*24*60, "")</f>
        <v>0</v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t="str" cm="1">
        <f t="array" ref="O6296">IFERROR(IF($B6296=O$1, ($A6296+$C6296) - MAX(IF($B$2:$B6295=$B6296, $A$2:$A6295+$C$2:$C6295)), "")*24*60, "")</f>
        <v/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:C6297" si="1442">A6296</f>
        <v>45987</v>
      </c>
      <c r="B6297" s="5" t="str">
        <f t="shared" si="1442"/>
        <v>Northern Cardinal</v>
      </c>
      <c r="C6297" s="6">
        <f t="shared" si="1442"/>
        <v>0.28611111111111109</v>
      </c>
      <c r="D6297" s="5"/>
      <c r="E6297" s="5"/>
      <c r="F6297" s="5" t="s">
        <v>8</v>
      </c>
      <c r="G6297" s="15" t="s">
        <v>9</v>
      </c>
      <c r="H6297" s="24">
        <f t="shared" si="1379"/>
        <v>0</v>
      </c>
      <c r="I6297" s="24" cm="1">
        <f t="array" ref="I6297">IFERROR(IF($B6297=I$1, ($A6297+$C6297) - MAX(IF($B$2:$B6296=$B6297, $A$2:$A6296+$C$2:$C6296)), "")*24*60, "")</f>
        <v>0</v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t="str" cm="1">
        <f t="array" ref="L6297">IFERROR(IF($B6297=L$1, ($A6297+$C6297) - MAX(IF($B$2:$B6296=$B6297, $A$2:$A6296+$C$2:$C6296)), "")*24*60, "")</f>
        <v/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C6298" si="1443">A6297</f>
        <v>45987</v>
      </c>
      <c r="B6298" s="5" t="str">
        <f t="shared" si="1443"/>
        <v>Northern Cardinal</v>
      </c>
      <c r="C6298" s="6">
        <f t="shared" si="1443"/>
        <v>0.28611111111111109</v>
      </c>
      <c r="D6298" s="5"/>
      <c r="E6298" s="5"/>
      <c r="F6298" s="5" t="s">
        <v>8</v>
      </c>
      <c r="G6298" s="15" t="s">
        <v>9</v>
      </c>
      <c r="H6298" s="24">
        <f t="shared" ref="H6298:H6361" si="1444">IFERROR((($A6298+$C6298) - ($A6297+$C6297))*24*60, "")</f>
        <v>0</v>
      </c>
      <c r="I6298" s="24" cm="1">
        <f t="array" ref="I6298">IFERROR(IF($B6298=I$1, ($A6298+$C6298) - MAX(IF($B$2:$B6297=$B6298, $A$2:$A6297+$C$2:$C6297)), "")*24*60, "")</f>
        <v>0</v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t="str" cm="1">
        <f t="array" ref="L6298">IFERROR(IF($B6298=L$1, ($A6298+$C6298) - MAX(IF($B$2:$B6297=$B6298, $A$2:$A6297+$C$2:$C6297)), "")*24*60, "")</f>
        <v/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445">A6298</f>
        <v>45987</v>
      </c>
      <c r="B6299" s="5" t="str">
        <f t="shared" si="1445"/>
        <v>Northern Cardinal</v>
      </c>
      <c r="C6299" s="6">
        <f t="shared" si="1445"/>
        <v>0.28611111111111109</v>
      </c>
      <c r="D6299" s="5"/>
      <c r="E6299" s="5"/>
      <c r="F6299" s="5" t="s">
        <v>8</v>
      </c>
      <c r="G6299" s="15" t="s">
        <v>9</v>
      </c>
      <c r="H6299" s="24">
        <f t="shared" si="1444"/>
        <v>0</v>
      </c>
      <c r="I6299" s="24" cm="1">
        <f t="array" ref="I6299">IFERROR(IF($B6299=I$1, ($A6299+$C6299) - MAX(IF($B$2:$B6298=$B6299, $A$2:$A6298+$C$2:$C6298)), "")*24*60, "")</f>
        <v>0</v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t="str" cm="1">
        <f t="array" ref="L6299">IFERROR(IF($B6299=L$1, ($A6299+$C6299) - MAX(IF($B$2:$B6298=$B6299, $A$2:$A6298+$C$2:$C6298)), "")*24*60, "")</f>
        <v/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:C6300" si="1446">A6299</f>
        <v>45987</v>
      </c>
      <c r="B6300" s="5" t="str">
        <f t="shared" si="1446"/>
        <v>Northern Cardinal</v>
      </c>
      <c r="C6300" s="6">
        <f t="shared" si="1446"/>
        <v>0.28611111111111109</v>
      </c>
      <c r="D6300" s="5"/>
      <c r="E6300" s="5"/>
      <c r="F6300" s="5" t="s">
        <v>8</v>
      </c>
      <c r="G6300" s="15" t="s">
        <v>9</v>
      </c>
      <c r="H6300" s="24">
        <f t="shared" si="1444"/>
        <v>0</v>
      </c>
      <c r="I6300" s="24" cm="1">
        <f t="array" ref="I6300">IFERROR(IF($B6300=I$1, ($A6300+$C6300) - MAX(IF($B$2:$B6299=$B6300, $A$2:$A6299+$C$2:$C6299)), "")*24*60, "")</f>
        <v>0</v>
      </c>
      <c r="J6300" s="24" t="str" cm="1">
        <f t="array" ref="J6300">IFERROR(IF($B6300=J$1, ($A6300+$C6300) - MAX(IF($B$2:$B6299=$B6300, $A$2:$A6299+$C$2:$C6299)), "")*24*60, "")</f>
        <v/>
      </c>
      <c r="K6300" s="24" t="str" cm="1">
        <f t="array" ref="K6300">IFERROR(IF($B6300=K$1, ($A6300+$C6300) - MAX(IF($B$2:$B6299=$B6300, $A$2:$A6299+$C$2:$C6299)), "")*24*60, "")</f>
        <v/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447">A6300</f>
        <v>45987</v>
      </c>
      <c r="B6301" s="5" t="str">
        <f t="shared" si="1447"/>
        <v>Northern Cardinal</v>
      </c>
      <c r="C6301" s="6">
        <f t="shared" si="1447"/>
        <v>0.28611111111111109</v>
      </c>
      <c r="D6301" s="5"/>
      <c r="E6301" s="5"/>
      <c r="F6301" s="5" t="s">
        <v>8</v>
      </c>
      <c r="G6301" s="15" t="s">
        <v>9</v>
      </c>
      <c r="H6301" s="24">
        <f t="shared" si="1444"/>
        <v>0</v>
      </c>
      <c r="I6301" s="24" cm="1">
        <f t="array" ref="I6301">IFERROR(IF($B6301=I$1, ($A6301+$C6301) - MAX(IF($B$2:$B6300=$B6301, $A$2:$A6300+$C$2:$C6300)), "")*24*60, "")</f>
        <v>0</v>
      </c>
      <c r="J6301" s="24" t="str" cm="1">
        <f t="array" ref="J6301">IFERROR(IF($B6301=J$1, ($A6301+$C6301) - MAX(IF($B$2:$B6300=$B6301, $A$2:$A6300+$C$2:$C6300)), "")*24*60, "")</f>
        <v/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448">A6301</f>
        <v>45987</v>
      </c>
      <c r="B6302" s="5" t="str">
        <f t="shared" si="1448"/>
        <v>Northern Cardinal</v>
      </c>
      <c r="C6302" s="6">
        <f t="shared" si="1448"/>
        <v>0.28611111111111109</v>
      </c>
      <c r="D6302" s="5"/>
      <c r="E6302" s="5"/>
      <c r="F6302" s="5" t="s">
        <v>8</v>
      </c>
      <c r="G6302" s="15" t="s">
        <v>9</v>
      </c>
      <c r="H6302" s="24">
        <f t="shared" si="1444"/>
        <v>0</v>
      </c>
      <c r="I6302" s="24" cm="1">
        <f t="array" ref="I6302">IFERROR(IF($B6302=I$1, ($A6302+$C6302) - MAX(IF($B$2:$B6301=$B6302, $A$2:$A6301+$C$2:$C6301)), "")*24*60, "")</f>
        <v>0</v>
      </c>
      <c r="J6302" s="24" t="str" cm="1">
        <f t="array" ref="J6302">IFERROR(IF($B6302=J$1, ($A6302+$C6302) - MAX(IF($B$2:$B6301=$B6302, $A$2:$A6301+$C$2:$C6301)), "")*24*60, "")</f>
        <v/>
      </c>
      <c r="K6302" s="24" t="str" cm="1">
        <f t="array" ref="K6302">IFERROR(IF($B6302=K$1, ($A6302+$C6302) - MAX(IF($B$2:$B6301=$B6302, $A$2:$A6301+$C$2:$C6301)), "")*24*60, "")</f>
        <v/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:C6303" si="1449">A6302</f>
        <v>45987</v>
      </c>
      <c r="B6303" s="5" t="str">
        <f t="shared" si="1449"/>
        <v>Northern Cardinal</v>
      </c>
      <c r="C6303" s="6">
        <f t="shared" si="1449"/>
        <v>0.28611111111111109</v>
      </c>
      <c r="D6303" s="5"/>
      <c r="E6303" s="5"/>
      <c r="F6303" s="5" t="s">
        <v>8</v>
      </c>
      <c r="G6303" s="15" t="s">
        <v>9</v>
      </c>
      <c r="H6303" s="24">
        <f t="shared" si="1444"/>
        <v>0</v>
      </c>
      <c r="I6303" s="24" cm="1">
        <f t="array" ref="I6303">IFERROR(IF($B6303=I$1, ($A6303+$C6303) - MAX(IF($B$2:$B6302=$B6303, $A$2:$A6302+$C$2:$C6302)), "")*24*60, "")</f>
        <v>0</v>
      </c>
      <c r="J6303" s="24" t="str" cm="1">
        <f t="array" ref="J6303">IFERROR(IF($B6303=J$1, ($A6303+$C6303) - MAX(IF($B$2:$B6302=$B6303, $A$2:$A6302+$C$2:$C6302)), "")*24*60, "")</f>
        <v/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450">A6303</f>
        <v>45987</v>
      </c>
      <c r="B6304" s="5" t="str">
        <f t="shared" si="1450"/>
        <v>Northern Cardinal</v>
      </c>
      <c r="C6304" s="6">
        <f t="shared" si="1450"/>
        <v>0.28611111111111109</v>
      </c>
      <c r="D6304" s="5"/>
      <c r="E6304" s="5"/>
      <c r="F6304" s="5" t="s">
        <v>8</v>
      </c>
      <c r="G6304" s="15" t="s">
        <v>9</v>
      </c>
      <c r="H6304" s="24">
        <f t="shared" si="1444"/>
        <v>0</v>
      </c>
      <c r="I6304" s="24" cm="1">
        <f t="array" ref="I6304">IFERROR(IF($B6304=I$1, ($A6304+$C6304) - MAX(IF($B$2:$B6303=$B6304, $A$2:$A6303+$C$2:$C6303)), "")*24*60, "")</f>
        <v>0</v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t="str" cm="1">
        <f t="array" ref="L6304">IFERROR(IF($B6304=L$1, ($A6304+$C6304) - MAX(IF($B$2:$B6303=$B6304, $A$2:$A6303+$C$2:$C6303)), "")*24*60, "")</f>
        <v/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451">A6304</f>
        <v>45987</v>
      </c>
      <c r="B6305" s="5" t="str">
        <f t="shared" si="1451"/>
        <v>Northern Cardinal</v>
      </c>
      <c r="C6305" s="6">
        <f t="shared" si="1451"/>
        <v>0.28611111111111109</v>
      </c>
      <c r="D6305" s="5"/>
      <c r="E6305" s="5"/>
      <c r="F6305" s="5" t="s">
        <v>8</v>
      </c>
      <c r="G6305" s="15" t="s">
        <v>9</v>
      </c>
      <c r="H6305" s="24">
        <f t="shared" si="1444"/>
        <v>0</v>
      </c>
      <c r="I6305" s="24" cm="1">
        <f t="array" ref="I6305">IFERROR(IF($B6305=I$1, ($A6305+$C6305) - MAX(IF($B$2:$B6304=$B6305, $A$2:$A6304+$C$2:$C6304)), "")*24*60, "")</f>
        <v>0</v>
      </c>
      <c r="J6305" s="24" t="str" cm="1">
        <f t="array" ref="J6305">IFERROR(IF($B6305=J$1, ($A6305+$C6305) - MAX(IF($B$2:$B6304=$B6305, $A$2:$A6304+$C$2:$C6304)), "")*24*60, "")</f>
        <v/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:C6306" si="1452">A6305</f>
        <v>45987</v>
      </c>
      <c r="B6306" s="5" t="str">
        <f t="shared" si="1452"/>
        <v>Northern Cardinal</v>
      </c>
      <c r="C6306" s="6">
        <f t="shared" si="1452"/>
        <v>0.28611111111111109</v>
      </c>
      <c r="D6306" s="5"/>
      <c r="E6306" s="5"/>
      <c r="F6306" s="5" t="s">
        <v>8</v>
      </c>
      <c r="G6306" s="15" t="s">
        <v>9</v>
      </c>
      <c r="H6306" s="24">
        <f t="shared" si="1444"/>
        <v>0</v>
      </c>
      <c r="I6306" s="24" cm="1">
        <f t="array" ref="I6306">IFERROR(IF($B6306=I$1, ($A6306+$C6306) - MAX(IF($B$2:$B6305=$B6306, $A$2:$A6305+$C$2:$C6305)), "")*24*60, "")</f>
        <v>0</v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t="str" cm="1">
        <f t="array" ref="L6306">IFERROR(IF($B6306=L$1, ($A6306+$C6306) - MAX(IF($B$2:$B6305=$B6306, $A$2:$A6305+$C$2:$C6305)), "")*24*60, "")</f>
        <v/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:C6307" si="1453">A6306</f>
        <v>45987</v>
      </c>
      <c r="B6307" s="5" t="str">
        <f t="shared" si="1453"/>
        <v>Northern Cardinal</v>
      </c>
      <c r="C6307" s="6">
        <f t="shared" si="1453"/>
        <v>0.28611111111111109</v>
      </c>
      <c r="D6307" s="5"/>
      <c r="E6307" s="5"/>
      <c r="F6307" s="5" t="s">
        <v>8</v>
      </c>
      <c r="G6307" s="15" t="s">
        <v>9</v>
      </c>
      <c r="H6307" s="24">
        <f t="shared" si="1444"/>
        <v>0</v>
      </c>
      <c r="I6307" s="24" cm="1">
        <f t="array" ref="I6307">IFERROR(IF($B6307=I$1, ($A6307+$C6307) - MAX(IF($B$2:$B6306=$B6307, $A$2:$A6306+$C$2:$C6306)), "")*24*60, "")</f>
        <v>0</v>
      </c>
      <c r="J6307" s="24" t="str" cm="1">
        <f t="array" ref="J6307">IFERROR(IF($B6307=J$1, ($A6307+$C6307) - MAX(IF($B$2:$B6306=$B6307, $A$2:$A6306+$C$2:$C6306)), "")*24*60, "")</f>
        <v/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454">A6307</f>
        <v>45987</v>
      </c>
      <c r="B6308" s="5" t="str">
        <f t="shared" si="1454"/>
        <v>Northern Cardinal</v>
      </c>
      <c r="C6308" s="6">
        <f t="shared" si="1454"/>
        <v>0.28611111111111109</v>
      </c>
      <c r="D6308" s="5"/>
      <c r="E6308" s="5"/>
      <c r="F6308" s="5" t="s">
        <v>8</v>
      </c>
      <c r="G6308" s="15" t="s">
        <v>9</v>
      </c>
      <c r="H6308" s="24">
        <f t="shared" si="1444"/>
        <v>0</v>
      </c>
      <c r="I6308" s="24" cm="1">
        <f t="array" ref="I6308">IFERROR(IF($B6308=I$1, ($A6308+$C6308) - MAX(IF($B$2:$B6307=$B6308, $A$2:$A6307+$C$2:$C6307)), "")*24*60, "")</f>
        <v>0</v>
      </c>
      <c r="J6308" s="24" t="str" cm="1">
        <f t="array" ref="J6308">IFERROR(IF($B6308=J$1, ($A6308+$C6308) - MAX(IF($B$2:$B6307=$B6308, $A$2:$A6307+$C$2:$C6307)), "")*24*60, "")</f>
        <v/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455">A6308</f>
        <v>45987</v>
      </c>
      <c r="B6309" s="5" t="str">
        <f t="shared" si="1455"/>
        <v>Northern Cardinal</v>
      </c>
      <c r="C6309" s="6">
        <f t="shared" si="1455"/>
        <v>0.28611111111111109</v>
      </c>
      <c r="D6309" s="5"/>
      <c r="E6309" s="5"/>
      <c r="F6309" s="5" t="s">
        <v>8</v>
      </c>
      <c r="G6309" s="15" t="s">
        <v>9</v>
      </c>
      <c r="H6309" s="24">
        <f t="shared" si="1444"/>
        <v>0</v>
      </c>
      <c r="I6309" s="24" cm="1">
        <f t="array" ref="I6309">IFERROR(IF($B6309=I$1, ($A6309+$C6309) - MAX(IF($B$2:$B6308=$B6309, $A$2:$A6308+$C$2:$C6308)), "")*24*60, "")</f>
        <v>0</v>
      </c>
      <c r="J6309" s="24" t="str" cm="1">
        <f t="array" ref="J6309">IFERROR(IF($B6309=J$1, ($A6309+$C6309) - MAX(IF($B$2:$B6308=$B6309, $A$2:$A6308+$C$2:$C6308)), "")*24*60, "")</f>
        <v/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C6310" si="1456">A6309</f>
        <v>45987</v>
      </c>
      <c r="B6310" s="5" t="str">
        <f t="shared" si="1456"/>
        <v>Northern Cardinal</v>
      </c>
      <c r="C6310" s="6">
        <f t="shared" si="1456"/>
        <v>0.28611111111111109</v>
      </c>
      <c r="D6310" s="5"/>
      <c r="E6310" s="5"/>
      <c r="F6310" s="5" t="s">
        <v>8</v>
      </c>
      <c r="G6310" s="15" t="s">
        <v>9</v>
      </c>
      <c r="H6310" s="24">
        <f t="shared" si="1444"/>
        <v>0</v>
      </c>
      <c r="I6310" s="24" cm="1">
        <f t="array" ref="I6310">IFERROR(IF($B6310=I$1, ($A6310+$C6310) - MAX(IF($B$2:$B6309=$B6310, $A$2:$A6309+$C$2:$C6309)), "")*24*60, "")</f>
        <v>0</v>
      </c>
      <c r="J6310" s="24" t="str" cm="1">
        <f t="array" ref="J6310">IFERROR(IF($B6310=J$1, ($A6310+$C6310) - MAX(IF($B$2:$B6309=$B6310, $A$2:$A6309+$C$2:$C6309)), "")*24*60, "")</f>
        <v/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C6311" si="1457">A6310</f>
        <v>45987</v>
      </c>
      <c r="B6311" s="5" t="str">
        <f t="shared" si="1457"/>
        <v>Northern Cardinal</v>
      </c>
      <c r="C6311" s="6">
        <f t="shared" si="1457"/>
        <v>0.28611111111111109</v>
      </c>
      <c r="D6311" s="5"/>
      <c r="E6311" s="5"/>
      <c r="F6311" s="5" t="s">
        <v>8</v>
      </c>
      <c r="G6311" s="15" t="s">
        <v>9</v>
      </c>
      <c r="H6311" s="24">
        <f t="shared" si="1444"/>
        <v>0</v>
      </c>
      <c r="I6311" s="24" cm="1">
        <f t="array" ref="I6311">IFERROR(IF($B6311=I$1, ($A6311+$C6311) - MAX(IF($B$2:$B6310=$B6311, $A$2:$A6310+$C$2:$C6310)), "")*24*60, "")</f>
        <v>0</v>
      </c>
      <c r="J6311" s="24" t="str" cm="1">
        <f t="array" ref="J6311">IFERROR(IF($B6311=J$1, ($A6311+$C6311) - MAX(IF($B$2:$B6310=$B6311, $A$2:$A6310+$C$2:$C6310)), "")*24*60, "")</f>
        <v/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458">A6311</f>
        <v>45987</v>
      </c>
      <c r="B6312" s="5" t="str">
        <f t="shared" si="1458"/>
        <v>Northern Cardinal</v>
      </c>
      <c r="C6312" s="6">
        <f t="shared" si="1458"/>
        <v>0.28611111111111109</v>
      </c>
      <c r="D6312" s="5"/>
      <c r="E6312" s="5"/>
      <c r="F6312" s="5" t="s">
        <v>8</v>
      </c>
      <c r="G6312" s="15" t="s">
        <v>9</v>
      </c>
      <c r="H6312" s="24">
        <f t="shared" si="1444"/>
        <v>0</v>
      </c>
      <c r="I6312" s="24" cm="1">
        <f t="array" ref="I6312">IFERROR(IF($B6312=I$1, ($A6312+$C6312) - MAX(IF($B$2:$B6311=$B6312, $A$2:$A6311+$C$2:$C6311)), "")*24*60, "")</f>
        <v>0</v>
      </c>
      <c r="J6312" s="24" t="str" cm="1">
        <f t="array" ref="J6312">IFERROR(IF($B6312=J$1, ($A6312+$C6312) - MAX(IF($B$2:$B6311=$B6312, $A$2:$A6311+$C$2:$C6311)), "")*24*60, "")</f>
        <v/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C6313" si="1459">A6312</f>
        <v>45987</v>
      </c>
      <c r="B6313" s="5" t="str">
        <f t="shared" si="1459"/>
        <v>Northern Cardinal</v>
      </c>
      <c r="C6313" s="6">
        <f t="shared" si="1459"/>
        <v>0.28611111111111109</v>
      </c>
      <c r="D6313" s="5"/>
      <c r="E6313" s="5"/>
      <c r="F6313" s="5" t="s">
        <v>8</v>
      </c>
      <c r="G6313" s="15" t="s">
        <v>9</v>
      </c>
      <c r="H6313" s="24">
        <f t="shared" si="1444"/>
        <v>0</v>
      </c>
      <c r="I6313" s="24" cm="1">
        <f t="array" ref="I6313">IFERROR(IF($B6313=I$1, ($A6313+$C6313) - MAX(IF($B$2:$B6312=$B6313, $A$2:$A6312+$C$2:$C6312)), "")*24*60, "")</f>
        <v>0</v>
      </c>
      <c r="J6313" s="24" t="str" cm="1">
        <f t="array" ref="J6313">IFERROR(IF($B6313=J$1, ($A6313+$C6313) - MAX(IF($B$2:$B6312=$B6313, $A$2:$A6312+$C$2:$C6312)), "")*24*60, "")</f>
        <v/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460">A6313</f>
        <v>45987</v>
      </c>
      <c r="B6314" s="5" t="str">
        <f t="shared" si="1460"/>
        <v>Northern Cardinal</v>
      </c>
      <c r="C6314" s="6">
        <f t="shared" si="1460"/>
        <v>0.28611111111111109</v>
      </c>
      <c r="D6314" s="5"/>
      <c r="E6314" s="5"/>
      <c r="F6314" s="5" t="s">
        <v>8</v>
      </c>
      <c r="G6314" s="15" t="s">
        <v>9</v>
      </c>
      <c r="H6314" s="24">
        <f t="shared" si="1444"/>
        <v>0</v>
      </c>
      <c r="I6314" s="24" cm="1">
        <f t="array" ref="I6314">IFERROR(IF($B6314=I$1, ($A6314+$C6314) - MAX(IF($B$2:$B6313=$B6314, $A$2:$A6313+$C$2:$C6313)), "")*24*60, "")</f>
        <v>0</v>
      </c>
      <c r="J6314" s="24" t="str" cm="1">
        <f t="array" ref="J6314">IFERROR(IF($B6314=J$1, ($A6314+$C6314) - MAX(IF($B$2:$B6313=$B6314, $A$2:$A6313+$C$2:$C6313)), "")*24*60, "")</f>
        <v/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461">A6314</f>
        <v>45987</v>
      </c>
      <c r="B6315" s="5" t="str">
        <f t="shared" si="1461"/>
        <v>Northern Cardinal</v>
      </c>
      <c r="C6315" s="6">
        <f t="shared" si="1461"/>
        <v>0.28611111111111109</v>
      </c>
      <c r="D6315" s="5"/>
      <c r="E6315" s="5"/>
      <c r="F6315" s="5" t="s">
        <v>8</v>
      </c>
      <c r="G6315" s="15" t="s">
        <v>9</v>
      </c>
      <c r="H6315" s="24">
        <f t="shared" si="1444"/>
        <v>0</v>
      </c>
      <c r="I6315" s="24" cm="1">
        <f t="array" ref="I6315">IFERROR(IF($B6315=I$1, ($A6315+$C6315) - MAX(IF($B$2:$B6314=$B6315, $A$2:$A6314+$C$2:$C6314)), "")*24*60, "")</f>
        <v>0</v>
      </c>
      <c r="J6315" s="24" t="str" cm="1">
        <f t="array" ref="J6315">IFERROR(IF($B6315=J$1, ($A6315+$C6315) - MAX(IF($B$2:$B6314=$B6315, $A$2:$A6314+$C$2:$C6314)), "")*24*60, "")</f>
        <v/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C6316" si="1462">A6315</f>
        <v>45987</v>
      </c>
      <c r="B6316" s="5" t="str">
        <f t="shared" si="1462"/>
        <v>Northern Cardinal</v>
      </c>
      <c r="C6316" s="6">
        <f t="shared" si="1462"/>
        <v>0.28611111111111109</v>
      </c>
      <c r="D6316" s="5"/>
      <c r="E6316" s="5"/>
      <c r="F6316" s="5" t="s">
        <v>8</v>
      </c>
      <c r="G6316" s="15" t="s">
        <v>9</v>
      </c>
      <c r="H6316" s="24">
        <f t="shared" si="1444"/>
        <v>0</v>
      </c>
      <c r="I6316" s="24" cm="1">
        <f t="array" ref="I6316">IFERROR(IF($B6316=I$1, ($A6316+$C6316) - MAX(IF($B$2:$B6315=$B6316, $A$2:$A6315+$C$2:$C6315)), "")*24*60, "")</f>
        <v>0</v>
      </c>
      <c r="J6316" s="24" t="str" cm="1">
        <f t="array" ref="J6316">IFERROR(IF($B6316=J$1, ($A6316+$C6316) - MAX(IF($B$2:$B6315=$B6316, $A$2:$A6315+$C$2:$C6315)), "")*24*60, "")</f>
        <v/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C6317" si="1463">A6316</f>
        <v>45987</v>
      </c>
      <c r="B6317" s="5" t="str">
        <f t="shared" si="1463"/>
        <v>Northern Cardinal</v>
      </c>
      <c r="C6317" s="6">
        <f t="shared" si="1463"/>
        <v>0.28611111111111109</v>
      </c>
      <c r="D6317" s="5"/>
      <c r="E6317" s="5"/>
      <c r="F6317" s="5" t="s">
        <v>8</v>
      </c>
      <c r="G6317" s="15" t="s">
        <v>9</v>
      </c>
      <c r="H6317" s="24">
        <f t="shared" si="1444"/>
        <v>0</v>
      </c>
      <c r="I6317" s="24" cm="1">
        <f t="array" ref="I6317">IFERROR(IF($B6317=I$1, ($A6317+$C6317) - MAX(IF($B$2:$B6316=$B6317, $A$2:$A6316+$C$2:$C6316)), "")*24*60, "")</f>
        <v>0</v>
      </c>
      <c r="J6317" s="24" t="str" cm="1">
        <f t="array" ref="J6317">IFERROR(IF($B6317=J$1, ($A6317+$C6317) - MAX(IF($B$2:$B6316=$B6317, $A$2:$A6316+$C$2:$C6316)), "")*24*60, "")</f>
        <v/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C6318" si="1464">A6317</f>
        <v>45987</v>
      </c>
      <c r="B6318" s="5" t="str">
        <f t="shared" si="1464"/>
        <v>Northern Cardinal</v>
      </c>
      <c r="C6318" s="6">
        <f t="shared" si="1464"/>
        <v>0.28611111111111109</v>
      </c>
      <c r="D6318" s="5"/>
      <c r="E6318" s="5"/>
      <c r="F6318" s="5" t="s">
        <v>8</v>
      </c>
      <c r="G6318" s="15" t="s">
        <v>9</v>
      </c>
      <c r="H6318" s="24">
        <f t="shared" si="1444"/>
        <v>0</v>
      </c>
      <c r="I6318" s="24" cm="1">
        <f t="array" ref="I6318">IFERROR(IF($B6318=I$1, ($A6318+$C6318) - MAX(IF($B$2:$B6317=$B6318, $A$2:$A6317+$C$2:$C6317)), "")*24*60, "")</f>
        <v>0</v>
      </c>
      <c r="J6318" s="24" t="str" cm="1">
        <f t="array" ref="J6318">IFERROR(IF($B6318=J$1, ($A6318+$C6318) - MAX(IF($B$2:$B6317=$B6318, $A$2:$A6317+$C$2:$C6317)), "")*24*60, "")</f>
        <v/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C6319" si="1465">A6318</f>
        <v>45987</v>
      </c>
      <c r="B6319" s="5" t="str">
        <f t="shared" si="1465"/>
        <v>Northern Cardinal</v>
      </c>
      <c r="C6319" s="6">
        <f t="shared" si="1465"/>
        <v>0.28611111111111109</v>
      </c>
      <c r="D6319" s="5"/>
      <c r="E6319" s="5"/>
      <c r="F6319" s="5" t="s">
        <v>8</v>
      </c>
      <c r="G6319" s="15" t="s">
        <v>9</v>
      </c>
      <c r="H6319" s="24">
        <f t="shared" si="1444"/>
        <v>0</v>
      </c>
      <c r="I6319" s="24" cm="1">
        <f t="array" ref="I6319">IFERROR(IF($B6319=I$1, ($A6319+$C6319) - MAX(IF($B$2:$B6318=$B6319, $A$2:$A6318+$C$2:$C6318)), "")*24*60, "")</f>
        <v>0</v>
      </c>
      <c r="J6319" s="24" t="str" cm="1">
        <f t="array" ref="J6319">IFERROR(IF($B6319=J$1, ($A6319+$C6319) - MAX(IF($B$2:$B6318=$B6319, $A$2:$A6318+$C$2:$C6318)), "")*24*60, "")</f>
        <v/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466">A6319</f>
        <v>45987</v>
      </c>
      <c r="B6320" s="5" t="str">
        <f t="shared" si="1466"/>
        <v>Northern Cardinal</v>
      </c>
      <c r="C6320" s="6">
        <f t="shared" si="1466"/>
        <v>0.28611111111111109</v>
      </c>
      <c r="D6320" s="5"/>
      <c r="E6320" s="5"/>
      <c r="F6320" s="5" t="s">
        <v>8</v>
      </c>
      <c r="G6320" s="15" t="s">
        <v>9</v>
      </c>
      <c r="H6320" s="24">
        <f t="shared" si="1444"/>
        <v>0</v>
      </c>
      <c r="I6320" s="24" cm="1">
        <f t="array" ref="I6320">IFERROR(IF($B6320=I$1, ($A6320+$C6320) - MAX(IF($B$2:$B6319=$B6320, $A$2:$A6319+$C$2:$C6319)), "")*24*60, "")</f>
        <v>0</v>
      </c>
      <c r="J6320" s="24" t="str" cm="1">
        <f t="array" ref="J6320">IFERROR(IF($B6320=J$1, ($A6320+$C6320) - MAX(IF($B$2:$B6319=$B6320, $A$2:$A6319+$C$2:$C6319)), "")*24*60, "")</f>
        <v/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C6321" si="1467">A6320</f>
        <v>45987</v>
      </c>
      <c r="B6321" s="5" t="str">
        <f t="shared" si="1467"/>
        <v>Northern Cardinal</v>
      </c>
      <c r="C6321" s="6">
        <f t="shared" si="1467"/>
        <v>0.28611111111111109</v>
      </c>
      <c r="D6321" s="5"/>
      <c r="E6321" s="5"/>
      <c r="F6321" s="5" t="s">
        <v>8</v>
      </c>
      <c r="G6321" s="15" t="s">
        <v>9</v>
      </c>
      <c r="H6321" s="24">
        <f t="shared" si="1444"/>
        <v>0</v>
      </c>
      <c r="I6321" s="24" cm="1">
        <f t="array" ref="I6321">IFERROR(IF($B6321=I$1, ($A6321+$C6321) - MAX(IF($B$2:$B6320=$B6321, $A$2:$A6320+$C$2:$C6320)), "")*24*60, "")</f>
        <v>0</v>
      </c>
      <c r="J6321" s="24" t="str" cm="1">
        <f t="array" ref="J6321">IFERROR(IF($B6321=J$1, ($A6321+$C6321) - MAX(IF($B$2:$B6320=$B6321, $A$2:$A6320+$C$2:$C6320)), "")*24*60, "")</f>
        <v/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468">A6321</f>
        <v>45987</v>
      </c>
      <c r="B6322" s="5" t="str">
        <f t="shared" si="1468"/>
        <v>Northern Cardinal</v>
      </c>
      <c r="C6322" s="6">
        <f t="shared" si="1468"/>
        <v>0.28611111111111109</v>
      </c>
      <c r="D6322" s="5"/>
      <c r="E6322" s="5"/>
      <c r="F6322" s="5" t="s">
        <v>8</v>
      </c>
      <c r="G6322" s="15" t="s">
        <v>9</v>
      </c>
      <c r="H6322" s="24">
        <f t="shared" si="1444"/>
        <v>0</v>
      </c>
      <c r="I6322" s="24" cm="1">
        <f t="array" ref="I6322">IFERROR(IF($B6322=I$1, ($A6322+$C6322) - MAX(IF($B$2:$B6321=$B6322, $A$2:$A6321+$C$2:$C6321)), "")*24*60, "")</f>
        <v>0</v>
      </c>
      <c r="J6322" s="24" t="str" cm="1">
        <f t="array" ref="J6322">IFERROR(IF($B6322=J$1, ($A6322+$C6322) - MAX(IF($B$2:$B6321=$B6322, $A$2:$A6321+$C$2:$C6321)), "")*24*60, "")</f>
        <v/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C6323" si="1469">A6322</f>
        <v>45987</v>
      </c>
      <c r="B6323" s="5" t="str">
        <f t="shared" si="1469"/>
        <v>Northern Cardinal</v>
      </c>
      <c r="C6323" s="6">
        <f t="shared" si="1469"/>
        <v>0.28611111111111109</v>
      </c>
      <c r="D6323" s="5"/>
      <c r="E6323" s="5"/>
      <c r="F6323" s="5" t="s">
        <v>8</v>
      </c>
      <c r="G6323" s="15" t="s">
        <v>9</v>
      </c>
      <c r="H6323" s="24">
        <f t="shared" si="1444"/>
        <v>0</v>
      </c>
      <c r="I6323" s="24" cm="1">
        <f t="array" ref="I6323">IFERROR(IF($B6323=I$1, ($A6323+$C6323) - MAX(IF($B$2:$B6322=$B6323, $A$2:$A6322+$C$2:$C6322)), "")*24*60, "")</f>
        <v>0</v>
      </c>
      <c r="J6323" s="24" t="str" cm="1">
        <f t="array" ref="J6323">IFERROR(IF($B6323=J$1, ($A6323+$C6323) - MAX(IF($B$2:$B6322=$B6323, $A$2:$A6322+$C$2:$C6322)), "")*24*60, "")</f>
        <v/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470">A6323</f>
        <v>45987</v>
      </c>
      <c r="B6324" s="5" t="str">
        <f t="shared" si="1470"/>
        <v>Northern Cardinal</v>
      </c>
      <c r="C6324" s="6">
        <f t="shared" si="1470"/>
        <v>0.28611111111111109</v>
      </c>
      <c r="D6324" s="5"/>
      <c r="E6324" s="5"/>
      <c r="F6324" s="5" t="s">
        <v>8</v>
      </c>
      <c r="G6324" s="15" t="s">
        <v>9</v>
      </c>
      <c r="H6324" s="24">
        <f t="shared" si="1444"/>
        <v>0</v>
      </c>
      <c r="I6324" s="24" cm="1">
        <f t="array" ref="I6324">IFERROR(IF($B6324=I$1, ($A6324+$C6324) - MAX(IF($B$2:$B6323=$B6324, $A$2:$A6323+$C$2:$C6323)), "")*24*60, "")</f>
        <v>0</v>
      </c>
      <c r="J6324" s="24" t="str" cm="1">
        <f t="array" ref="J6324">IFERROR(IF($B6324=J$1, ($A6324+$C6324) - MAX(IF($B$2:$B6323=$B6324, $A$2:$A6323+$C$2:$C6323)), "")*24*60, "")</f>
        <v/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C6325" si="1471">A6324</f>
        <v>45987</v>
      </c>
      <c r="B6325" s="5" t="str">
        <f t="shared" si="1471"/>
        <v>Northern Cardinal</v>
      </c>
      <c r="C6325" s="6">
        <f t="shared" si="1471"/>
        <v>0.28611111111111109</v>
      </c>
      <c r="D6325" s="5"/>
      <c r="E6325" s="5"/>
      <c r="F6325" s="5" t="s">
        <v>8</v>
      </c>
      <c r="G6325" s="15" t="s">
        <v>9</v>
      </c>
      <c r="H6325" s="24">
        <f t="shared" si="1444"/>
        <v>0</v>
      </c>
      <c r="I6325" s="24" cm="1">
        <f t="array" ref="I6325">IFERROR(IF($B6325=I$1, ($A6325+$C6325) - MAX(IF($B$2:$B6324=$B6325, $A$2:$A6324+$C$2:$C6324)), "")*24*60, "")</f>
        <v>0</v>
      </c>
      <c r="J6325" s="24" t="str" cm="1">
        <f t="array" ref="J6325">IFERROR(IF($B6325=J$1, ($A6325+$C6325) - MAX(IF($B$2:$B6324=$B6325, $A$2:$A6324+$C$2:$C6324)), "")*24*60, "")</f>
        <v/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C6326" si="1472">A6325</f>
        <v>45987</v>
      </c>
      <c r="B6326" s="5" t="str">
        <f t="shared" si="1472"/>
        <v>Northern Cardinal</v>
      </c>
      <c r="C6326" s="6">
        <f t="shared" si="1472"/>
        <v>0.28611111111111109</v>
      </c>
      <c r="D6326" s="5"/>
      <c r="E6326" s="5"/>
      <c r="F6326" s="5" t="s">
        <v>8</v>
      </c>
      <c r="G6326" s="15" t="s">
        <v>9</v>
      </c>
      <c r="H6326" s="24">
        <f t="shared" si="1444"/>
        <v>0</v>
      </c>
      <c r="I6326" s="24" cm="1">
        <f t="array" ref="I6326">IFERROR(IF($B6326=I$1, ($A6326+$C6326) - MAX(IF($B$2:$B6325=$B6326, $A$2:$A6325+$C$2:$C6325)), "")*24*60, "")</f>
        <v>0</v>
      </c>
      <c r="J6326" s="24" t="str" cm="1">
        <f t="array" ref="J6326">IFERROR(IF($B6326=J$1, ($A6326+$C6326) - MAX(IF($B$2:$B6325=$B6326, $A$2:$A6325+$C$2:$C6325)), "")*24*60, "")</f>
        <v/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C6327" si="1473">A6326</f>
        <v>45987</v>
      </c>
      <c r="B6327" s="5" t="str">
        <f t="shared" si="1473"/>
        <v>Northern Cardinal</v>
      </c>
      <c r="C6327" s="6">
        <f t="shared" si="1473"/>
        <v>0.28611111111111109</v>
      </c>
      <c r="D6327" s="5"/>
      <c r="E6327" s="5"/>
      <c r="F6327" s="5" t="s">
        <v>8</v>
      </c>
      <c r="G6327" s="15" t="s">
        <v>9</v>
      </c>
      <c r="H6327" s="24">
        <f t="shared" si="1444"/>
        <v>0</v>
      </c>
      <c r="I6327" s="24" cm="1">
        <f t="array" ref="I6327">IFERROR(IF($B6327=I$1, ($A6327+$C6327) - MAX(IF($B$2:$B6326=$B6327, $A$2:$A6326+$C$2:$C6326)), "")*24*60, "")</f>
        <v>0</v>
      </c>
      <c r="J6327" s="24" t="str" cm="1">
        <f t="array" ref="J6327">IFERROR(IF($B6327=J$1, ($A6327+$C6327) - MAX(IF($B$2:$B6326=$B6327, $A$2:$A6326+$C$2:$C6326)), "")*24*60, "")</f>
        <v/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C6328" si="1474">A6327</f>
        <v>45987</v>
      </c>
      <c r="B6328" s="5" t="str">
        <f t="shared" si="1474"/>
        <v>Northern Cardinal</v>
      </c>
      <c r="C6328" s="6">
        <f t="shared" si="1474"/>
        <v>0.28611111111111109</v>
      </c>
      <c r="D6328" s="5"/>
      <c r="E6328" s="5"/>
      <c r="F6328" s="5" t="s">
        <v>8</v>
      </c>
      <c r="G6328" s="15" t="s">
        <v>9</v>
      </c>
      <c r="H6328" s="24">
        <f t="shared" si="1444"/>
        <v>0</v>
      </c>
      <c r="I6328" s="24" cm="1">
        <f t="array" ref="I6328">IFERROR(IF($B6328=I$1, ($A6328+$C6328) - MAX(IF($B$2:$B6327=$B6328, $A$2:$A6327+$C$2:$C6327)), "")*24*60, "")</f>
        <v>0</v>
      </c>
      <c r="J6328" s="24" t="str" cm="1">
        <f t="array" ref="J6328">IFERROR(IF($B6328=J$1, ($A6328+$C6328) - MAX(IF($B$2:$B6327=$B6328, $A$2:$A6327+$C$2:$C6327)), "")*24*60, "")</f>
        <v/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C6329" si="1475">A6328</f>
        <v>45987</v>
      </c>
      <c r="B6329" s="5" t="str">
        <f t="shared" si="1475"/>
        <v>Northern Cardinal</v>
      </c>
      <c r="C6329" s="6">
        <f t="shared" si="1475"/>
        <v>0.28611111111111109</v>
      </c>
      <c r="D6329" s="5"/>
      <c r="E6329" s="5"/>
      <c r="F6329" s="5" t="s">
        <v>8</v>
      </c>
      <c r="G6329" s="15" t="s">
        <v>9</v>
      </c>
      <c r="H6329" s="24">
        <f t="shared" si="1444"/>
        <v>0</v>
      </c>
      <c r="I6329" s="24" cm="1">
        <f t="array" ref="I6329">IFERROR(IF($B6329=I$1, ($A6329+$C6329) - MAX(IF($B$2:$B6328=$B6329, $A$2:$A6328+$C$2:$C6328)), "")*24*60, "")</f>
        <v>0</v>
      </c>
      <c r="J6329" s="24" t="str" cm="1">
        <f t="array" ref="J6329">IFERROR(IF($B6329=J$1, ($A6329+$C6329) - MAX(IF($B$2:$B6328=$B6329, $A$2:$A6328+$C$2:$C6328)), "")*24*60, "")</f>
        <v/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:C6330" si="1476">A6329</f>
        <v>45987</v>
      </c>
      <c r="B6330" s="5" t="str">
        <f t="shared" si="1476"/>
        <v>Northern Cardinal</v>
      </c>
      <c r="C6330" s="6">
        <f t="shared" si="1476"/>
        <v>0.28611111111111109</v>
      </c>
      <c r="D6330" s="5"/>
      <c r="E6330" s="5"/>
      <c r="F6330" s="5" t="s">
        <v>8</v>
      </c>
      <c r="G6330" s="15" t="s">
        <v>9</v>
      </c>
      <c r="H6330" s="24">
        <f t="shared" si="1444"/>
        <v>0</v>
      </c>
      <c r="I6330" s="24" cm="1">
        <f t="array" ref="I6330">IFERROR(IF($B6330=I$1, ($A6330+$C6330) - MAX(IF($B$2:$B6329=$B6330, $A$2:$A6329+$C$2:$C6329)), "")*24*60, "")</f>
        <v>0</v>
      </c>
      <c r="J6330" s="24" t="str" cm="1">
        <f t="array" ref="J6330">IFERROR(IF($B6330=J$1, ($A6330+$C6330) - MAX(IF($B$2:$B6329=$B6330, $A$2:$A6329+$C$2:$C6329)), "")*24*60, "")</f>
        <v/>
      </c>
      <c r="K6330" s="24" t="str" cm="1">
        <f t="array" ref="K6330">IFERROR(IF($B6330=K$1, ($A6330+$C6330) - MAX(IF($B$2:$B6329=$B6330, $A$2:$A6329+$C$2:$C6329)), "")*24*60, "")</f>
        <v/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477">A6330</f>
        <v>45987</v>
      </c>
      <c r="B6331" s="5" t="str">
        <f t="shared" si="1477"/>
        <v>Northern Cardinal</v>
      </c>
      <c r="C6331" s="6">
        <f t="shared" si="1477"/>
        <v>0.28611111111111109</v>
      </c>
      <c r="D6331" s="5"/>
      <c r="E6331" s="5"/>
      <c r="F6331" s="5" t="s">
        <v>8</v>
      </c>
      <c r="G6331" s="15" t="s">
        <v>9</v>
      </c>
      <c r="H6331" s="24">
        <f t="shared" si="1444"/>
        <v>0</v>
      </c>
      <c r="I6331" s="24" cm="1">
        <f t="array" ref="I6331">IFERROR(IF($B6331=I$1, ($A6331+$C6331) - MAX(IF($B$2:$B6330=$B6331, $A$2:$A6330+$C$2:$C6330)), "")*24*60, "")</f>
        <v>0</v>
      </c>
      <c r="J6331" s="24" t="str" cm="1">
        <f t="array" ref="J6331">IFERROR(IF($B6331=J$1, ($A6331+$C6331) - MAX(IF($B$2:$B6330=$B6331, $A$2:$A6330+$C$2:$C6330)), "")*24*60, "")</f>
        <v/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C6332" si="1478">A6331</f>
        <v>45987</v>
      </c>
      <c r="B6332" s="5" t="str">
        <f t="shared" si="1478"/>
        <v>Northern Cardinal</v>
      </c>
      <c r="C6332" s="6">
        <f t="shared" si="1478"/>
        <v>0.28611111111111109</v>
      </c>
      <c r="D6332" s="5"/>
      <c r="E6332" s="5"/>
      <c r="F6332" s="5" t="s">
        <v>8</v>
      </c>
      <c r="G6332" s="15" t="s">
        <v>9</v>
      </c>
      <c r="H6332" s="24">
        <f t="shared" si="1444"/>
        <v>0</v>
      </c>
      <c r="I6332" s="24" cm="1">
        <f t="array" ref="I6332">IFERROR(IF($B6332=I$1, ($A6332+$C6332) - MAX(IF($B$2:$B6331=$B6332, $A$2:$A6331+$C$2:$C6331)), "")*24*60, "")</f>
        <v>0</v>
      </c>
      <c r="J6332" s="24" t="str" cm="1">
        <f t="array" ref="J6332">IFERROR(IF($B6332=J$1, ($A6332+$C6332) - MAX(IF($B$2:$B6331=$B6332, $A$2:$A6331+$C$2:$C6331)), "")*24*60, "")</f>
        <v/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479">A6332</f>
        <v>45987</v>
      </c>
      <c r="B6333" s="5" t="str">
        <f t="shared" si="1479"/>
        <v>Northern Cardinal</v>
      </c>
      <c r="C6333" s="6">
        <f t="shared" si="1479"/>
        <v>0.28611111111111109</v>
      </c>
      <c r="D6333" s="5"/>
      <c r="E6333" s="5"/>
      <c r="F6333" s="5" t="s">
        <v>8</v>
      </c>
      <c r="G6333" s="15" t="s">
        <v>9</v>
      </c>
      <c r="H6333" s="24">
        <f t="shared" si="1444"/>
        <v>0</v>
      </c>
      <c r="I6333" s="24" cm="1">
        <f t="array" ref="I6333">IFERROR(IF($B6333=I$1, ($A6333+$C6333) - MAX(IF($B$2:$B6332=$B6333, $A$2:$A6332+$C$2:$C6332)), "")*24*60, "")</f>
        <v>0</v>
      </c>
      <c r="J6333" s="24" t="str" cm="1">
        <f t="array" ref="J6333">IFERROR(IF($B6333=J$1, ($A6333+$C6333) - MAX(IF($B$2:$B6332=$B6333, $A$2:$A6332+$C$2:$C6332)), "")*24*60, "")</f>
        <v/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C6334" si="1480">A6333</f>
        <v>45987</v>
      </c>
      <c r="B6334" s="5" t="str">
        <f t="shared" si="1480"/>
        <v>Northern Cardinal</v>
      </c>
      <c r="C6334" s="6">
        <f t="shared" si="1480"/>
        <v>0.28611111111111109</v>
      </c>
      <c r="D6334" s="5"/>
      <c r="E6334" s="5"/>
      <c r="F6334" s="5" t="s">
        <v>8</v>
      </c>
      <c r="G6334" s="15" t="s">
        <v>9</v>
      </c>
      <c r="H6334" s="24">
        <f t="shared" si="1444"/>
        <v>0</v>
      </c>
      <c r="I6334" s="24" cm="1">
        <f t="array" ref="I6334">IFERROR(IF($B6334=I$1, ($A6334+$C6334) - MAX(IF($B$2:$B6333=$B6334, $A$2:$A6333+$C$2:$C6333)), "")*24*60, "")</f>
        <v>0</v>
      </c>
      <c r="J6334" s="24" t="str" cm="1">
        <f t="array" ref="J6334">IFERROR(IF($B6334=J$1, ($A6334+$C6334) - MAX(IF($B$2:$B6333=$B6334, $A$2:$A6333+$C$2:$C6333)), "")*24*60, "")</f>
        <v/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C6335" si="1481">A6334</f>
        <v>45987</v>
      </c>
      <c r="B6335" s="5" t="str">
        <f t="shared" si="1481"/>
        <v>Northern Cardinal</v>
      </c>
      <c r="C6335" s="6">
        <f t="shared" si="1481"/>
        <v>0.28611111111111109</v>
      </c>
      <c r="D6335" s="5"/>
      <c r="E6335" s="5"/>
      <c r="F6335" s="5" t="s">
        <v>8</v>
      </c>
      <c r="G6335" s="15" t="s">
        <v>9</v>
      </c>
      <c r="H6335" s="24">
        <f t="shared" si="1444"/>
        <v>0</v>
      </c>
      <c r="I6335" s="24" cm="1">
        <f t="array" ref="I6335">IFERROR(IF($B6335=I$1, ($A6335+$C6335) - MAX(IF($B$2:$B6334=$B6335, $A$2:$A6334+$C$2:$C6334)), "")*24*60, "")</f>
        <v>0</v>
      </c>
      <c r="J6335" s="24" t="str" cm="1">
        <f t="array" ref="J6335">IFERROR(IF($B6335=J$1, ($A6335+$C6335) - MAX(IF($B$2:$B6334=$B6335, $A$2:$A6334+$C$2:$C6334)), "")*24*60, "")</f>
        <v/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C6336" si="1482">A6335</f>
        <v>45987</v>
      </c>
      <c r="B6336" s="5" t="str">
        <f t="shared" si="1482"/>
        <v>Northern Cardinal</v>
      </c>
      <c r="C6336" s="6">
        <f t="shared" si="1482"/>
        <v>0.28611111111111109</v>
      </c>
      <c r="D6336" s="5"/>
      <c r="E6336" s="5"/>
      <c r="F6336" s="5" t="s">
        <v>8</v>
      </c>
      <c r="G6336" s="15" t="s">
        <v>9</v>
      </c>
      <c r="H6336" s="24">
        <f t="shared" si="1444"/>
        <v>0</v>
      </c>
      <c r="I6336" s="24" cm="1">
        <f t="array" ref="I6336">IFERROR(IF($B6336=I$1, ($A6336+$C6336) - MAX(IF($B$2:$B6335=$B6336, $A$2:$A6335+$C$2:$C6335)), "")*24*60, "")</f>
        <v>0</v>
      </c>
      <c r="J6336" s="24" t="str" cm="1">
        <f t="array" ref="J6336">IFERROR(IF($B6336=J$1, ($A6336+$C6336) - MAX(IF($B$2:$B6335=$B6336, $A$2:$A6335+$C$2:$C6335)), "")*24*60, "")</f>
        <v/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483">A6336</f>
        <v>45987</v>
      </c>
      <c r="B6337" s="5" t="str">
        <f t="shared" si="1483"/>
        <v>Northern Cardinal</v>
      </c>
      <c r="C6337" s="6">
        <f t="shared" si="1483"/>
        <v>0.28611111111111109</v>
      </c>
      <c r="D6337" s="5"/>
      <c r="E6337" s="5"/>
      <c r="F6337" s="5" t="s">
        <v>8</v>
      </c>
      <c r="G6337" s="15" t="s">
        <v>9</v>
      </c>
      <c r="H6337" s="24">
        <f t="shared" si="1444"/>
        <v>0</v>
      </c>
      <c r="I6337" s="24" cm="1">
        <f t="array" ref="I6337">IFERROR(IF($B6337=I$1, ($A6337+$C6337) - MAX(IF($B$2:$B6336=$B6337, $A$2:$A6336+$C$2:$C6336)), "")*24*60, "")</f>
        <v>0</v>
      </c>
      <c r="J6337" s="24" t="str" cm="1">
        <f t="array" ref="J6337">IFERROR(IF($B6337=J$1, ($A6337+$C6337) - MAX(IF($B$2:$B6336=$B6337, $A$2:$A6336+$C$2:$C6336)), "")*24*60, "")</f>
        <v/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C6338" si="1484">A6337</f>
        <v>45987</v>
      </c>
      <c r="B6338" s="5" t="str">
        <f t="shared" si="1484"/>
        <v>Northern Cardinal</v>
      </c>
      <c r="C6338" s="6">
        <f t="shared" si="1484"/>
        <v>0.28611111111111109</v>
      </c>
      <c r="D6338" s="5"/>
      <c r="E6338" s="5"/>
      <c r="F6338" s="5" t="s">
        <v>8</v>
      </c>
      <c r="G6338" s="15" t="s">
        <v>9</v>
      </c>
      <c r="H6338" s="24">
        <f t="shared" si="1444"/>
        <v>0</v>
      </c>
      <c r="I6338" s="24" cm="1">
        <f t="array" ref="I6338">IFERROR(IF($B6338=I$1, ($A6338+$C6338) - MAX(IF($B$2:$B6337=$B6338, $A$2:$A6337+$C$2:$C6337)), "")*24*60, "")</f>
        <v>0</v>
      </c>
      <c r="J6338" s="24" t="str" cm="1">
        <f t="array" ref="J6338">IFERROR(IF($B6338=J$1, ($A6338+$C6338) - MAX(IF($B$2:$B6337=$B6338, $A$2:$A6337+$C$2:$C6337)), "")*24*60, "")</f>
        <v/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485">A6338</f>
        <v>45987</v>
      </c>
      <c r="B6339" s="5" t="str">
        <f t="shared" si="1485"/>
        <v>Northern Cardinal</v>
      </c>
      <c r="C6339" s="6">
        <f t="shared" si="1485"/>
        <v>0.28611111111111109</v>
      </c>
      <c r="D6339" s="5"/>
      <c r="E6339" s="5"/>
      <c r="F6339" s="5" t="s">
        <v>8</v>
      </c>
      <c r="G6339" s="15" t="s">
        <v>9</v>
      </c>
      <c r="H6339" s="24">
        <f t="shared" si="1444"/>
        <v>0</v>
      </c>
      <c r="I6339" s="24" cm="1">
        <f t="array" ref="I6339">IFERROR(IF($B6339=I$1, ($A6339+$C6339) - MAX(IF($B$2:$B6338=$B6339, $A$2:$A6338+$C$2:$C6338)), "")*24*60, "")</f>
        <v>0</v>
      </c>
      <c r="J6339" s="24" t="str" cm="1">
        <f t="array" ref="J6339">IFERROR(IF($B6339=J$1, ($A6339+$C6339) - MAX(IF($B$2:$B6338=$B6339, $A$2:$A6338+$C$2:$C6338)), "")*24*60, "")</f>
        <v/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486">A6339</f>
        <v>45987</v>
      </c>
      <c r="B6340" s="5" t="str">
        <f t="shared" si="1486"/>
        <v>Northern Cardinal</v>
      </c>
      <c r="C6340" s="6">
        <f t="shared" si="1486"/>
        <v>0.28611111111111109</v>
      </c>
      <c r="D6340" s="5"/>
      <c r="E6340" s="5"/>
      <c r="F6340" s="5" t="s">
        <v>8</v>
      </c>
      <c r="G6340" s="15" t="s">
        <v>9</v>
      </c>
      <c r="H6340" s="24">
        <f t="shared" si="1444"/>
        <v>0</v>
      </c>
      <c r="I6340" s="24" cm="1">
        <f t="array" ref="I6340">IFERROR(IF($B6340=I$1, ($A6340+$C6340) - MAX(IF($B$2:$B6339=$B6340, $A$2:$A6339+$C$2:$C6339)), "")*24*60, "")</f>
        <v>0</v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t="str" cm="1">
        <f t="array" ref="L6340">IFERROR(IF($B6340=L$1, ($A6340+$C6340) - MAX(IF($B$2:$B6339=$B6340, $A$2:$A6339+$C$2:$C6339)), "")*24*60, "")</f>
        <v/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C6341" si="1487">A6340</f>
        <v>45987</v>
      </c>
      <c r="B6341" s="5" t="str">
        <f t="shared" si="1487"/>
        <v>Northern Cardinal</v>
      </c>
      <c r="C6341" s="6">
        <f t="shared" si="1487"/>
        <v>0.28611111111111109</v>
      </c>
      <c r="D6341" s="5"/>
      <c r="E6341" s="5"/>
      <c r="F6341" s="5" t="s">
        <v>8</v>
      </c>
      <c r="G6341" s="15" t="s">
        <v>9</v>
      </c>
      <c r="H6341" s="24">
        <f t="shared" si="1444"/>
        <v>0</v>
      </c>
      <c r="I6341" s="24" cm="1">
        <f t="array" ref="I6341">IFERROR(IF($B6341=I$1, ($A6341+$C6341) - MAX(IF($B$2:$B6340=$B6341, $A$2:$A6340+$C$2:$C6340)), "")*24*60, "")</f>
        <v>0</v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t="str" cm="1">
        <f t="array" ref="L6341">IFERROR(IF($B6341=L$1, ($A6341+$C6341) - MAX(IF($B$2:$B6340=$B6341, $A$2:$A6340+$C$2:$C6340)), "")*24*60, "")</f>
        <v/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:C6342" si="1488">A6341</f>
        <v>45987</v>
      </c>
      <c r="B6342" s="5" t="str">
        <f t="shared" si="1488"/>
        <v>Northern Cardinal</v>
      </c>
      <c r="C6342" s="6">
        <f t="shared" si="1488"/>
        <v>0.28611111111111109</v>
      </c>
      <c r="D6342" s="5"/>
      <c r="E6342" s="5"/>
      <c r="F6342" s="5" t="s">
        <v>8</v>
      </c>
      <c r="G6342" s="15" t="s">
        <v>9</v>
      </c>
      <c r="H6342" s="24">
        <f t="shared" si="1444"/>
        <v>0</v>
      </c>
      <c r="I6342" s="24" cm="1">
        <f t="array" ref="I6342">IFERROR(IF($B6342=I$1, ($A6342+$C6342) - MAX(IF($B$2:$B6341=$B6342, $A$2:$A6341+$C$2:$C6341)), "")*24*60, "")</f>
        <v>0</v>
      </c>
      <c r="J6342" s="24" t="str" cm="1">
        <f t="array" ref="J6342">IFERROR(IF($B6342=J$1, ($A6342+$C6342) - MAX(IF($B$2:$B6341=$B6342, $A$2:$A6341+$C$2:$C6341)), "")*24*60, "")</f>
        <v/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:C6343" si="1489">A6342</f>
        <v>45987</v>
      </c>
      <c r="B6343" s="5" t="str">
        <f t="shared" si="1489"/>
        <v>Northern Cardinal</v>
      </c>
      <c r="C6343" s="6">
        <f t="shared" si="1489"/>
        <v>0.28611111111111109</v>
      </c>
      <c r="D6343" s="5"/>
      <c r="E6343" s="5"/>
      <c r="F6343" s="5" t="s">
        <v>8</v>
      </c>
      <c r="G6343" s="15" t="s">
        <v>9</v>
      </c>
      <c r="H6343" s="24">
        <f t="shared" si="1444"/>
        <v>0</v>
      </c>
      <c r="I6343" s="24" cm="1">
        <f t="array" ref="I6343">IFERROR(IF($B6343=I$1, ($A6343+$C6343) - MAX(IF($B$2:$B6342=$B6343, $A$2:$A6342+$C$2:$C6342)), "")*24*60, "")</f>
        <v>0</v>
      </c>
      <c r="J6343" s="24" t="str" cm="1">
        <f t="array" ref="J6343">IFERROR(IF($B6343=J$1, ($A6343+$C6343) - MAX(IF($B$2:$B6342=$B6343, $A$2:$A6342+$C$2:$C6342)), "")*24*60, "")</f>
        <v/>
      </c>
      <c r="K6343" s="24" t="str" cm="1">
        <f t="array" ref="K6343">IFERROR(IF($B6343=K$1, ($A6343+$C6343) - MAX(IF($B$2:$B6342=$B6343, $A$2:$A6342+$C$2:$C6342)), "")*24*60, "")</f>
        <v/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:C6344" si="1490">A6343</f>
        <v>45987</v>
      </c>
      <c r="B6344" s="5" t="str">
        <f t="shared" si="1490"/>
        <v>Northern Cardinal</v>
      </c>
      <c r="C6344" s="6">
        <f t="shared" si="1490"/>
        <v>0.28611111111111109</v>
      </c>
      <c r="D6344" s="5"/>
      <c r="E6344" s="5"/>
      <c r="F6344" s="5" t="s">
        <v>8</v>
      </c>
      <c r="G6344" s="15" t="s">
        <v>9</v>
      </c>
      <c r="H6344" s="24">
        <f t="shared" si="1444"/>
        <v>0</v>
      </c>
      <c r="I6344" s="24" cm="1">
        <f t="array" ref="I6344">IFERROR(IF($B6344=I$1, ($A6344+$C6344) - MAX(IF($B$2:$B6343=$B6344, $A$2:$A6343+$C$2:$C6343)), "")*24*60, "")</f>
        <v>0</v>
      </c>
      <c r="J6344" s="24" t="str" cm="1">
        <f t="array" ref="J6344">IFERROR(IF($B6344=J$1, ($A6344+$C6344) - MAX(IF($B$2:$B6343=$B6344, $A$2:$A6343+$C$2:$C6343)), "")*24*60, "")</f>
        <v/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491">A6344</f>
        <v>45987</v>
      </c>
      <c r="B6345" s="5" t="str">
        <f t="shared" si="1491"/>
        <v>Northern Cardinal</v>
      </c>
      <c r="C6345" s="6">
        <f t="shared" si="1491"/>
        <v>0.28611111111111109</v>
      </c>
      <c r="D6345" s="5"/>
      <c r="E6345" s="5"/>
      <c r="F6345" s="5" t="s">
        <v>8</v>
      </c>
      <c r="G6345" s="15" t="s">
        <v>9</v>
      </c>
      <c r="H6345" s="24">
        <f t="shared" si="1444"/>
        <v>0</v>
      </c>
      <c r="I6345" s="24" cm="1">
        <f t="array" ref="I6345">IFERROR(IF($B6345=I$1, ($A6345+$C6345) - MAX(IF($B$2:$B6344=$B6345, $A$2:$A6344+$C$2:$C6344)), "")*24*60, "")</f>
        <v>0</v>
      </c>
      <c r="J6345" s="24" t="str" cm="1">
        <f t="array" ref="J6345">IFERROR(IF($B6345=J$1, ($A6345+$C6345) - MAX(IF($B$2:$B6344=$B6345, $A$2:$A6344+$C$2:$C6344)), "")*24*60, "")</f>
        <v/>
      </c>
      <c r="K6345" s="24" t="str" cm="1">
        <f t="array" ref="K6345">IFERROR(IF($B6345=K$1, ($A6345+$C6345) - MAX(IF($B$2:$B6344=$B6345, $A$2:$A6344+$C$2:$C6344)), "")*24*60, "")</f>
        <v/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:C6346" si="1492">A6345</f>
        <v>45987</v>
      </c>
      <c r="B6346" s="5" t="str">
        <f t="shared" si="1492"/>
        <v>Northern Cardinal</v>
      </c>
      <c r="C6346" s="6">
        <f t="shared" si="1492"/>
        <v>0.28611111111111109</v>
      </c>
      <c r="D6346" s="5"/>
      <c r="E6346" s="5"/>
      <c r="F6346" s="5" t="s">
        <v>8</v>
      </c>
      <c r="G6346" s="15" t="s">
        <v>9</v>
      </c>
      <c r="H6346" s="24">
        <f t="shared" si="1444"/>
        <v>0</v>
      </c>
      <c r="I6346" s="24" cm="1">
        <f t="array" ref="I6346">IFERROR(IF($B6346=I$1, ($A6346+$C6346) - MAX(IF($B$2:$B6345=$B6346, $A$2:$A6345+$C$2:$C6345)), "")*24*60, "")</f>
        <v>0</v>
      </c>
      <c r="J6346" s="24" t="str" cm="1">
        <f t="array" ref="J6346">IFERROR(IF($B6346=J$1, ($A6346+$C6346) - MAX(IF($B$2:$B6345=$B6346, $A$2:$A6345+$C$2:$C6345)), "")*24*60, "")</f>
        <v/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493">A6346</f>
        <v>45987</v>
      </c>
      <c r="B6347" s="5" t="str">
        <f t="shared" si="1493"/>
        <v>Northern Cardinal</v>
      </c>
      <c r="C6347" s="6">
        <f t="shared" si="1493"/>
        <v>0.28611111111111109</v>
      </c>
      <c r="D6347" s="5"/>
      <c r="E6347" s="5"/>
      <c r="F6347" s="5" t="s">
        <v>8</v>
      </c>
      <c r="G6347" s="15" t="s">
        <v>9</v>
      </c>
      <c r="H6347" s="24">
        <f t="shared" si="1444"/>
        <v>0</v>
      </c>
      <c r="I6347" s="24" cm="1">
        <f t="array" ref="I6347">IFERROR(IF($B6347=I$1, ($A6347+$C6347) - MAX(IF($B$2:$B6346=$B6347, $A$2:$A6346+$C$2:$C6346)), "")*24*60, "")</f>
        <v>0</v>
      </c>
      <c r="J6347" s="24" t="str" cm="1">
        <f t="array" ref="J6347">IFERROR(IF($B6347=J$1, ($A6347+$C6347) - MAX(IF($B$2:$B6346=$B6347, $A$2:$A6346+$C$2:$C6346)), "")*24*60, "")</f>
        <v/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C6348" si="1494">A6347</f>
        <v>45987</v>
      </c>
      <c r="B6348" s="5" t="str">
        <f t="shared" si="1494"/>
        <v>Northern Cardinal</v>
      </c>
      <c r="C6348" s="6">
        <f t="shared" si="1494"/>
        <v>0.28611111111111109</v>
      </c>
      <c r="D6348" s="5"/>
      <c r="E6348" s="5"/>
      <c r="F6348" s="5" t="s">
        <v>8</v>
      </c>
      <c r="G6348" s="15" t="s">
        <v>9</v>
      </c>
      <c r="H6348" s="24">
        <f t="shared" si="1444"/>
        <v>0</v>
      </c>
      <c r="I6348" s="24" cm="1">
        <f t="array" ref="I6348">IFERROR(IF($B6348=I$1, ($A6348+$C6348) - MAX(IF($B$2:$B6347=$B6348, $A$2:$A6347+$C$2:$C6347)), "")*24*60, "")</f>
        <v>0</v>
      </c>
      <c r="J6348" s="24" t="str" cm="1">
        <f t="array" ref="J6348">IFERROR(IF($B6348=J$1, ($A6348+$C6348) - MAX(IF($B$2:$B6347=$B6348, $A$2:$A6347+$C$2:$C6347)), "")*24*60, "")</f>
        <v/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:C6349" si="1495">A6348</f>
        <v>45987</v>
      </c>
      <c r="B6349" s="5" t="str">
        <f t="shared" si="1495"/>
        <v>Northern Cardinal</v>
      </c>
      <c r="C6349" s="6">
        <f t="shared" si="1495"/>
        <v>0.28611111111111109</v>
      </c>
      <c r="D6349" s="5"/>
      <c r="E6349" s="5"/>
      <c r="F6349" s="5" t="s">
        <v>8</v>
      </c>
      <c r="G6349" s="15" t="s">
        <v>9</v>
      </c>
      <c r="H6349" s="24">
        <f t="shared" si="1444"/>
        <v>0</v>
      </c>
      <c r="I6349" s="24" cm="1">
        <f t="array" ref="I6349">IFERROR(IF($B6349=I$1, ($A6349+$C6349) - MAX(IF($B$2:$B6348=$B6349, $A$2:$A6348+$C$2:$C6348)), "")*24*60, "")</f>
        <v>0</v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t="str" cm="1">
        <f t="array" ref="Q6349">IFERROR(IF($B6349=Q$1, ($A6349+$C6349) - MAX(IF($B$2:$B6348=$B6349, $A$2:$A6348+$C$2:$C6348)), "")*24*60, "")</f>
        <v/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496">A6349</f>
        <v>45987</v>
      </c>
      <c r="B6350" s="5" t="str">
        <f t="shared" si="1496"/>
        <v>Northern Cardinal</v>
      </c>
      <c r="C6350" s="6">
        <f t="shared" si="1496"/>
        <v>0.28611111111111109</v>
      </c>
      <c r="D6350" s="5"/>
      <c r="E6350" s="5"/>
      <c r="F6350" s="5" t="s">
        <v>8</v>
      </c>
      <c r="G6350" s="15" t="s">
        <v>9</v>
      </c>
      <c r="H6350" s="24">
        <f t="shared" si="1444"/>
        <v>0</v>
      </c>
      <c r="I6350" s="24" cm="1">
        <f t="array" ref="I6350">IFERROR(IF($B6350=I$1, ($A6350+$C6350) - MAX(IF($B$2:$B6349=$B6350, $A$2:$A6349+$C$2:$C6349)), "")*24*60, "")</f>
        <v>0</v>
      </c>
      <c r="J6350" s="24" t="str" cm="1">
        <f t="array" ref="J6350">IFERROR(IF($B6350=J$1, ($A6350+$C6350) - MAX(IF($B$2:$B6349=$B6350, $A$2:$A6349+$C$2:$C6349)), "")*24*60, "")</f>
        <v/>
      </c>
      <c r="K6350" s="24" t="str" cm="1">
        <f t="array" ref="K6350">IFERROR(IF($B6350=K$1, ($A6350+$C6350) - MAX(IF($B$2:$B6349=$B6350, $A$2:$A6349+$C$2:$C6349)), "")*24*60, "")</f>
        <v/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497">A6350</f>
        <v>45987</v>
      </c>
      <c r="B6351" s="5" t="str">
        <f t="shared" si="1497"/>
        <v>Northern Cardinal</v>
      </c>
      <c r="C6351" s="6">
        <f t="shared" si="1497"/>
        <v>0.28611111111111109</v>
      </c>
      <c r="D6351" s="5"/>
      <c r="E6351" s="5"/>
      <c r="F6351" s="5" t="s">
        <v>8</v>
      </c>
      <c r="G6351" s="15" t="s">
        <v>9</v>
      </c>
      <c r="H6351" s="24">
        <f t="shared" si="1444"/>
        <v>0</v>
      </c>
      <c r="I6351" s="24" cm="1">
        <f t="array" ref="I6351">IFERROR(IF($B6351=I$1, ($A6351+$C6351) - MAX(IF($B$2:$B6350=$B6351, $A$2:$A6350+$C$2:$C6350)), "")*24*60, "")</f>
        <v>0</v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t="str" cm="1">
        <f t="array" ref="Q6351">IFERROR(IF($B6351=Q$1, ($A6351+$C6351) - MAX(IF($B$2:$B6350=$B6351, $A$2:$A6350+$C$2:$C6350)), "")*24*60, "")</f>
        <v/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498">A6351</f>
        <v>45987</v>
      </c>
      <c r="B6352" s="5" t="str">
        <f t="shared" si="1498"/>
        <v>Northern Cardinal</v>
      </c>
      <c r="C6352" s="6">
        <f t="shared" si="1498"/>
        <v>0.28611111111111109</v>
      </c>
      <c r="D6352" s="5"/>
      <c r="E6352" s="5"/>
      <c r="F6352" s="5" t="s">
        <v>8</v>
      </c>
      <c r="G6352" s="15" t="s">
        <v>9</v>
      </c>
      <c r="H6352" s="24">
        <f t="shared" si="1444"/>
        <v>0</v>
      </c>
      <c r="I6352" s="24" cm="1">
        <f t="array" ref="I6352">IFERROR(IF($B6352=I$1, ($A6352+$C6352) - MAX(IF($B$2:$B6351=$B6352, $A$2:$A6351+$C$2:$C6351)), "")*24*60, "")</f>
        <v>0</v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t="str" cm="1">
        <f t="array" ref="S6352">IFERROR(IF($B6352=S$1, ($A6352+$C6352) - MAX(IF($B$2:$B6351=$B6352, $A$2:$A6351+$C$2:$C6351)), "")*24*60, "")</f>
        <v/>
      </c>
    </row>
    <row r="6353" spans="1:19" x14ac:dyDescent="0.2">
      <c r="A6353" s="12">
        <f t="shared" ref="A6353:C6353" si="1499">A6352</f>
        <v>45987</v>
      </c>
      <c r="B6353" s="5" t="str">
        <f t="shared" si="1499"/>
        <v>Northern Cardinal</v>
      </c>
      <c r="C6353" s="6">
        <f t="shared" si="1499"/>
        <v>0.28611111111111109</v>
      </c>
      <c r="D6353" s="5"/>
      <c r="E6353" s="5"/>
      <c r="F6353" s="5" t="s">
        <v>8</v>
      </c>
      <c r="G6353" s="15" t="s">
        <v>9</v>
      </c>
      <c r="H6353" s="24">
        <f t="shared" si="1444"/>
        <v>0</v>
      </c>
      <c r="I6353" s="24" cm="1">
        <f t="array" ref="I6353">IFERROR(IF($B6353=I$1, ($A6353+$C6353) - MAX(IF($B$2:$B6352=$B6353, $A$2:$A6352+$C$2:$C6352)), "")*24*60, "")</f>
        <v>0</v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t="str" cm="1">
        <f t="array" ref="Q6353">IFERROR(IF($B6353=Q$1, ($A6353+$C6353) - MAX(IF($B$2:$B6352=$B6353, $A$2:$A6352+$C$2:$C6352)), "")*24*60, "")</f>
        <v/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C6354" si="1500">A6353</f>
        <v>45987</v>
      </c>
      <c r="B6354" s="5" t="str">
        <f t="shared" si="1500"/>
        <v>Northern Cardinal</v>
      </c>
      <c r="C6354" s="6">
        <f t="shared" si="1500"/>
        <v>0.28611111111111109</v>
      </c>
      <c r="D6354" s="5"/>
      <c r="E6354" s="5"/>
      <c r="F6354" s="5" t="s">
        <v>8</v>
      </c>
      <c r="G6354" s="15" t="s">
        <v>9</v>
      </c>
      <c r="H6354" s="24">
        <f t="shared" si="1444"/>
        <v>0</v>
      </c>
      <c r="I6354" s="24" cm="1">
        <f t="array" ref="I6354">IFERROR(IF($B6354=I$1, ($A6354+$C6354) - MAX(IF($B$2:$B6353=$B6354, $A$2:$A6353+$C$2:$C6353)), "")*24*60, "")</f>
        <v>0</v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t="str" cm="1">
        <f t="array" ref="Q6354">IFERROR(IF($B6354=Q$1, ($A6354+$C6354) - MAX(IF($B$2:$B6353=$B6354, $A$2:$A6353+$C$2:$C6353)), "")*24*60, "")</f>
        <v/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501">A6354</f>
        <v>45987</v>
      </c>
      <c r="B6355" s="5" t="str">
        <f t="shared" si="1501"/>
        <v>Northern Cardinal</v>
      </c>
      <c r="C6355" s="6">
        <f t="shared" si="1501"/>
        <v>0.28611111111111109</v>
      </c>
      <c r="D6355" s="5"/>
      <c r="E6355" s="5"/>
      <c r="F6355" s="5" t="s">
        <v>8</v>
      </c>
      <c r="G6355" s="15" t="s">
        <v>9</v>
      </c>
      <c r="H6355" s="24">
        <f t="shared" si="1444"/>
        <v>0</v>
      </c>
      <c r="I6355" s="24" cm="1">
        <f t="array" ref="I6355">IFERROR(IF($B6355=I$1, ($A6355+$C6355) - MAX(IF($B$2:$B6354=$B6355, $A$2:$A6354+$C$2:$C6354)), "")*24*60, "")</f>
        <v>0</v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t="str" cm="1">
        <f t="array" ref="S6355">IFERROR(IF($B6355=S$1, ($A6355+$C6355) - MAX(IF($B$2:$B6354=$B6355, $A$2:$A6354+$C$2:$C6354)), "")*24*60, "")</f>
        <v/>
      </c>
    </row>
    <row r="6356" spans="1:19" x14ac:dyDescent="0.2">
      <c r="A6356" s="12">
        <f t="shared" ref="A6356:C6356" si="1502">A6355</f>
        <v>45987</v>
      </c>
      <c r="B6356" s="5" t="str">
        <f t="shared" si="1502"/>
        <v>Northern Cardinal</v>
      </c>
      <c r="C6356" s="6">
        <f t="shared" si="1502"/>
        <v>0.28611111111111109</v>
      </c>
      <c r="D6356" s="5"/>
      <c r="E6356" s="5"/>
      <c r="F6356" s="5" t="s">
        <v>8</v>
      </c>
      <c r="G6356" s="15" t="s">
        <v>9</v>
      </c>
      <c r="H6356" s="24">
        <f t="shared" si="1444"/>
        <v>0</v>
      </c>
      <c r="I6356" s="24" cm="1">
        <f t="array" ref="I6356">IFERROR(IF($B6356=I$1, ($A6356+$C6356) - MAX(IF($B$2:$B6355=$B6356, $A$2:$A6355+$C$2:$C6355)), "")*24*60, "")</f>
        <v>0</v>
      </c>
      <c r="J6356" s="24" t="str" cm="1">
        <f t="array" ref="J6356">IFERROR(IF($B6356=J$1, ($A6356+$C6356) - MAX(IF($B$2:$B6355=$B6356, $A$2:$A6355+$C$2:$C6355)), "")*24*60, "")</f>
        <v/>
      </c>
      <c r="K6356" s="24" t="str" cm="1">
        <f t="array" ref="K6356">IFERROR(IF($B6356=K$1, ($A6356+$C6356) - MAX(IF($B$2:$B6355=$B6356, $A$2:$A6355+$C$2:$C6355)), "")*24*60, "")</f>
        <v/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:C6357" si="1503">A6356</f>
        <v>45987</v>
      </c>
      <c r="B6357" s="5" t="str">
        <f t="shared" si="1503"/>
        <v>Northern Cardinal</v>
      </c>
      <c r="C6357" s="6">
        <f t="shared" si="1503"/>
        <v>0.28611111111111109</v>
      </c>
      <c r="D6357" s="5"/>
      <c r="E6357" s="5"/>
      <c r="F6357" s="5" t="s">
        <v>8</v>
      </c>
      <c r="G6357" s="15" t="s">
        <v>9</v>
      </c>
      <c r="H6357" s="24">
        <f t="shared" si="1444"/>
        <v>0</v>
      </c>
      <c r="I6357" s="24" cm="1">
        <f t="array" ref="I6357">IFERROR(IF($B6357=I$1, ($A6357+$C6357) - MAX(IF($B$2:$B6356=$B6357, $A$2:$A6356+$C$2:$C6356)), "")*24*60, "")</f>
        <v>0</v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t="str" cm="1">
        <f t="array" ref="Q6357">IFERROR(IF($B6357=Q$1, ($A6357+$C6357) - MAX(IF($B$2:$B6356=$B6357, $A$2:$A6356+$C$2:$C6356)), "")*24*60, "")</f>
        <v/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504">A6357</f>
        <v>45987</v>
      </c>
      <c r="B6358" s="5" t="str">
        <f t="shared" si="1504"/>
        <v>Northern Cardinal</v>
      </c>
      <c r="C6358" s="6">
        <f t="shared" si="1504"/>
        <v>0.28611111111111109</v>
      </c>
      <c r="D6358" s="5"/>
      <c r="E6358" s="5"/>
      <c r="F6358" s="5" t="s">
        <v>8</v>
      </c>
      <c r="G6358" s="15" t="s">
        <v>9</v>
      </c>
      <c r="H6358" s="24">
        <f t="shared" si="1444"/>
        <v>0</v>
      </c>
      <c r="I6358" s="24" cm="1">
        <f t="array" ref="I6358">IFERROR(IF($B6358=I$1, ($A6358+$C6358) - MAX(IF($B$2:$B6357=$B6358, $A$2:$A6357+$C$2:$C6357)), "")*24*60, "")</f>
        <v>0</v>
      </c>
      <c r="J6358" s="24" t="str" cm="1">
        <f t="array" ref="J6358">IFERROR(IF($B6358=J$1, ($A6358+$C6358) - MAX(IF($B$2:$B6357=$B6358, $A$2:$A6357+$C$2:$C6357)), "")*24*60, "")</f>
        <v/>
      </c>
      <c r="K6358" s="24" t="str" cm="1">
        <f t="array" ref="K6358">IFERROR(IF($B6358=K$1, ($A6358+$C6358) - MAX(IF($B$2:$B6357=$B6358, $A$2:$A6357+$C$2:$C6357)), "")*24*60, "")</f>
        <v/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505">A6358</f>
        <v>45987</v>
      </c>
      <c r="B6359" s="5" t="str">
        <f t="shared" si="1505"/>
        <v>Northern Cardinal</v>
      </c>
      <c r="C6359" s="6">
        <f t="shared" si="1505"/>
        <v>0.28611111111111109</v>
      </c>
      <c r="D6359" s="5"/>
      <c r="E6359" s="5"/>
      <c r="F6359" s="5" t="s">
        <v>8</v>
      </c>
      <c r="G6359" s="15" t="s">
        <v>9</v>
      </c>
      <c r="H6359" s="24">
        <f t="shared" si="1444"/>
        <v>0</v>
      </c>
      <c r="I6359" s="24" cm="1">
        <f t="array" ref="I6359">IFERROR(IF($B6359=I$1, ($A6359+$C6359) - MAX(IF($B$2:$B6358=$B6359, $A$2:$A6358+$C$2:$C6358)), "")*24*60, "")</f>
        <v>0</v>
      </c>
      <c r="J6359" s="24" t="str" cm="1">
        <f t="array" ref="J6359">IFERROR(IF($B6359=J$1, ($A6359+$C6359) - MAX(IF($B$2:$B6358=$B6359, $A$2:$A6358+$C$2:$C6358)), "")*24*60, "")</f>
        <v/>
      </c>
      <c r="K6359" s="24" t="str" cm="1">
        <f t="array" ref="K6359">IFERROR(IF($B6359=K$1, ($A6359+$C6359) - MAX(IF($B$2:$B6358=$B6359, $A$2:$A6358+$C$2:$C6358)), "")*24*60, "")</f>
        <v/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:C6360" si="1506">A6359</f>
        <v>45987</v>
      </c>
      <c r="B6360" s="5" t="str">
        <f t="shared" si="1506"/>
        <v>Northern Cardinal</v>
      </c>
      <c r="C6360" s="6">
        <f t="shared" si="1506"/>
        <v>0.28611111111111109</v>
      </c>
      <c r="D6360" s="5"/>
      <c r="E6360" s="5"/>
      <c r="F6360" s="5" t="s">
        <v>8</v>
      </c>
      <c r="G6360" s="15" t="s">
        <v>9</v>
      </c>
      <c r="H6360" s="24">
        <f t="shared" si="1444"/>
        <v>0</v>
      </c>
      <c r="I6360" s="24" cm="1">
        <f t="array" ref="I6360">IFERROR(IF($B6360=I$1, ($A6360+$C6360) - MAX(IF($B$2:$B6359=$B6360, $A$2:$A6359+$C$2:$C6359)), "")*24*60, "")</f>
        <v>0</v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t="str" cm="1">
        <f t="array" ref="L6360">IFERROR(IF($B6360=L$1, ($A6360+$C6360) - MAX(IF($B$2:$B6359=$B6360, $A$2:$A6359+$C$2:$C6359)), "")*24*60, "")</f>
        <v/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507">A6360</f>
        <v>45987</v>
      </c>
      <c r="B6361" s="5" t="str">
        <f t="shared" si="1507"/>
        <v>Northern Cardinal</v>
      </c>
      <c r="C6361" s="6">
        <f t="shared" si="1507"/>
        <v>0.28611111111111109</v>
      </c>
      <c r="D6361" s="5"/>
      <c r="E6361" s="5"/>
      <c r="F6361" s="5" t="s">
        <v>8</v>
      </c>
      <c r="G6361" s="15" t="s">
        <v>9</v>
      </c>
      <c r="H6361" s="24">
        <f t="shared" si="1444"/>
        <v>0</v>
      </c>
      <c r="I6361" s="24" cm="1">
        <f t="array" ref="I6361">IFERROR(IF($B6361=I$1, ($A6361+$C6361) - MAX(IF($B$2:$B6360=$B6361, $A$2:$A6360+$C$2:$C6360)), "")*24*60, "")</f>
        <v>0</v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t="str" cm="1">
        <f t="array" ref="L6361">IFERROR(IF($B6361=L$1, ($A6361+$C6361) - MAX(IF($B$2:$B6360=$B6361, $A$2:$A6360+$C$2:$C6360)), "")*24*60, "")</f>
        <v/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C6362" si="1508">A6361</f>
        <v>45987</v>
      </c>
      <c r="B6362" s="5" t="str">
        <f t="shared" si="1508"/>
        <v>Northern Cardinal</v>
      </c>
      <c r="C6362" s="6">
        <f t="shared" si="1508"/>
        <v>0.28611111111111109</v>
      </c>
      <c r="D6362" s="5"/>
      <c r="E6362" s="5"/>
      <c r="F6362" s="5" t="s">
        <v>8</v>
      </c>
      <c r="G6362" s="15" t="s">
        <v>9</v>
      </c>
      <c r="H6362" s="24">
        <f t="shared" ref="H6362:H6413" si="1509">IFERROR((($A6362+$C6362) - ($A6361+$C6361))*24*60, "")</f>
        <v>0</v>
      </c>
      <c r="I6362" s="24" cm="1">
        <f t="array" ref="I6362">IFERROR(IF($B6362=I$1, ($A6362+$C6362) - MAX(IF($B$2:$B6361=$B6362, $A$2:$A6361+$C$2:$C6361)), "")*24*60, "")</f>
        <v>0</v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t="str" cm="1">
        <f t="array" ref="L6362">IFERROR(IF($B6362=L$1, ($A6362+$C6362) - MAX(IF($B$2:$B6361=$B6362, $A$2:$A6361+$C$2:$C6361)), "")*24*60, "")</f>
        <v/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:C6363" si="1510">A6362</f>
        <v>45987</v>
      </c>
      <c r="B6363" s="5" t="str">
        <f t="shared" si="1510"/>
        <v>Northern Cardinal</v>
      </c>
      <c r="C6363" s="6">
        <f t="shared" si="1510"/>
        <v>0.28611111111111109</v>
      </c>
      <c r="D6363" s="5"/>
      <c r="E6363" s="5"/>
      <c r="F6363" s="5" t="s">
        <v>8</v>
      </c>
      <c r="G6363" s="15" t="s">
        <v>9</v>
      </c>
      <c r="H6363" s="24">
        <f t="shared" si="1509"/>
        <v>0</v>
      </c>
      <c r="I6363" s="24" cm="1">
        <f t="array" ref="I6363">IFERROR(IF($B6363=I$1, ($A6363+$C6363) - MAX(IF($B$2:$B6362=$B6363, $A$2:$A6362+$C$2:$C6362)), "")*24*60, "")</f>
        <v>0</v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t="str" cm="1">
        <f t="array" ref="O6363">IFERROR(IF($B6363=O$1, ($A6363+$C6363) - MAX(IF($B$2:$B6362=$B6363, $A$2:$A6362+$C$2:$C6362)), "")*24*60, "")</f>
        <v/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C6364" si="1511">A6363</f>
        <v>45987</v>
      </c>
      <c r="B6364" s="5" t="str">
        <f t="shared" si="1511"/>
        <v>Northern Cardinal</v>
      </c>
      <c r="C6364" s="6">
        <f t="shared" si="1511"/>
        <v>0.28611111111111109</v>
      </c>
      <c r="D6364" s="5"/>
      <c r="E6364" s="5"/>
      <c r="F6364" s="5" t="s">
        <v>8</v>
      </c>
      <c r="G6364" s="15" t="s">
        <v>9</v>
      </c>
      <c r="H6364" s="24">
        <f t="shared" si="1509"/>
        <v>0</v>
      </c>
      <c r="I6364" s="24" cm="1">
        <f t="array" ref="I6364">IFERROR(IF($B6364=I$1, ($A6364+$C6364) - MAX(IF($B$2:$B6363=$B6364, $A$2:$A6363+$C$2:$C6363)), "")*24*60, "")</f>
        <v>0</v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t="str" cm="1">
        <f t="array" ref="O6364">IFERROR(IF($B6364=O$1, ($A6364+$C6364) - MAX(IF($B$2:$B6363=$B6364, $A$2:$A6363+$C$2:$C6363)), "")*24*60, "")</f>
        <v/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C6365" si="1512">A6364</f>
        <v>45987</v>
      </c>
      <c r="B6365" s="5" t="str">
        <f t="shared" si="1512"/>
        <v>Northern Cardinal</v>
      </c>
      <c r="C6365" s="6">
        <f t="shared" si="1512"/>
        <v>0.28611111111111109</v>
      </c>
      <c r="D6365" s="5"/>
      <c r="E6365" s="5"/>
      <c r="F6365" s="5" t="s">
        <v>8</v>
      </c>
      <c r="G6365" s="15" t="s">
        <v>9</v>
      </c>
      <c r="H6365" s="24">
        <f t="shared" si="1509"/>
        <v>0</v>
      </c>
      <c r="I6365" s="24" cm="1">
        <f t="array" ref="I6365">IFERROR(IF($B6365=I$1, ($A6365+$C6365) - MAX(IF($B$2:$B6364=$B6365, $A$2:$A6364+$C$2:$C6364)), "")*24*60, "")</f>
        <v>0</v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t="str" cm="1">
        <f t="array" ref="O6365">IFERROR(IF($B6365=O$1, ($A6365+$C6365) - MAX(IF($B$2:$B6364=$B6365, $A$2:$A6364+$C$2:$C6364)), "")*24*60, "")</f>
        <v/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513">A6365</f>
        <v>45987</v>
      </c>
      <c r="B6366" s="5" t="str">
        <f t="shared" si="1513"/>
        <v>Northern Cardinal</v>
      </c>
      <c r="C6366" s="6">
        <f t="shared" si="1513"/>
        <v>0.28611111111111109</v>
      </c>
      <c r="D6366" s="5"/>
      <c r="E6366" s="5"/>
      <c r="F6366" s="5" t="s">
        <v>8</v>
      </c>
      <c r="G6366" s="15" t="s">
        <v>9</v>
      </c>
      <c r="H6366" s="24">
        <f t="shared" si="1509"/>
        <v>0</v>
      </c>
      <c r="I6366" s="24" cm="1">
        <f t="array" ref="I6366">IFERROR(IF($B6366=I$1, ($A6366+$C6366) - MAX(IF($B$2:$B6365=$B6366, $A$2:$A6365+$C$2:$C6365)), "")*24*60, "")</f>
        <v>0</v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t="str" cm="1">
        <f t="array" ref="O6366">IFERROR(IF($B6366=O$1, ($A6366+$C6366) - MAX(IF($B$2:$B6365=$B6366, $A$2:$A6365+$C$2:$C6365)), "")*24*60, "")</f>
        <v/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C6367" si="1514">A6366</f>
        <v>45987</v>
      </c>
      <c r="B6367" s="5" t="str">
        <f t="shared" si="1514"/>
        <v>Northern Cardinal</v>
      </c>
      <c r="C6367" s="6">
        <f t="shared" si="1514"/>
        <v>0.28611111111111109</v>
      </c>
      <c r="D6367" s="5"/>
      <c r="E6367" s="5"/>
      <c r="F6367" s="5" t="s">
        <v>8</v>
      </c>
      <c r="G6367" s="15" t="s">
        <v>9</v>
      </c>
      <c r="H6367" s="24">
        <f t="shared" si="1509"/>
        <v>0</v>
      </c>
      <c r="I6367" s="24" cm="1">
        <f t="array" ref="I6367">IFERROR(IF($B6367=I$1, ($A6367+$C6367) - MAX(IF($B$2:$B6366=$B6367, $A$2:$A6366+$C$2:$C6366)), "")*24*60, "")</f>
        <v>0</v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t="str" cm="1">
        <f t="array" ref="O6367">IFERROR(IF($B6367=O$1, ($A6367+$C6367) - MAX(IF($B$2:$B6366=$B6367, $A$2:$A6366+$C$2:$C6366)), "")*24*60, "")</f>
        <v/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515">A6367</f>
        <v>45987</v>
      </c>
      <c r="B6368" s="5" t="str">
        <f t="shared" si="1515"/>
        <v>Northern Cardinal</v>
      </c>
      <c r="C6368" s="6">
        <f t="shared" si="1515"/>
        <v>0.28611111111111109</v>
      </c>
      <c r="D6368" s="5"/>
      <c r="E6368" s="5"/>
      <c r="F6368" s="5" t="s">
        <v>8</v>
      </c>
      <c r="G6368" s="15" t="s">
        <v>9</v>
      </c>
      <c r="H6368" s="24">
        <f t="shared" si="1509"/>
        <v>0</v>
      </c>
      <c r="I6368" s="24" cm="1">
        <f t="array" ref="I6368">IFERROR(IF($B6368=I$1, ($A6368+$C6368) - MAX(IF($B$2:$B6367=$B6368, $A$2:$A6367+$C$2:$C6367)), "")*24*60, "")</f>
        <v>0</v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t="str" cm="1">
        <f t="array" ref="O6368">IFERROR(IF($B6368=O$1, ($A6368+$C6368) - MAX(IF($B$2:$B6367=$B6368, $A$2:$A6367+$C$2:$C6367)), "")*24*60, "")</f>
        <v/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C6369" si="1516">A6368</f>
        <v>45987</v>
      </c>
      <c r="B6369" s="5" t="str">
        <f t="shared" si="1516"/>
        <v>Northern Cardinal</v>
      </c>
      <c r="C6369" s="6">
        <f t="shared" si="1516"/>
        <v>0.28611111111111109</v>
      </c>
      <c r="D6369" s="5"/>
      <c r="E6369" s="5"/>
      <c r="F6369" s="5" t="s">
        <v>8</v>
      </c>
      <c r="G6369" s="15" t="s">
        <v>9</v>
      </c>
      <c r="H6369" s="24">
        <f t="shared" si="1509"/>
        <v>0</v>
      </c>
      <c r="I6369" s="24" cm="1">
        <f t="array" ref="I6369">IFERROR(IF($B6369=I$1, ($A6369+$C6369) - MAX(IF($B$2:$B6368=$B6369, $A$2:$A6368+$C$2:$C6368)), "")*24*60, "")</f>
        <v>0</v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t="str" cm="1">
        <f t="array" ref="O6369">IFERROR(IF($B6369=O$1, ($A6369+$C6369) - MAX(IF($B$2:$B6368=$B6369, $A$2:$A6368+$C$2:$C6368)), "")*24*60, "")</f>
        <v/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517">A6369</f>
        <v>45987</v>
      </c>
      <c r="B6370" s="5" t="str">
        <f t="shared" si="1517"/>
        <v>Northern Cardinal</v>
      </c>
      <c r="C6370" s="6">
        <f t="shared" si="1517"/>
        <v>0.28611111111111109</v>
      </c>
      <c r="D6370" s="5"/>
      <c r="E6370" s="5"/>
      <c r="F6370" s="5" t="s">
        <v>8</v>
      </c>
      <c r="G6370" s="15" t="s">
        <v>9</v>
      </c>
      <c r="H6370" s="24">
        <f t="shared" si="1509"/>
        <v>0</v>
      </c>
      <c r="I6370" s="24" cm="1">
        <f t="array" ref="I6370">IFERROR(IF($B6370=I$1, ($A6370+$C6370) - MAX(IF($B$2:$B6369=$B6370, $A$2:$A6369+$C$2:$C6369)), "")*24*60, "")</f>
        <v>0</v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t="str" cm="1">
        <f t="array" ref="O6370">IFERROR(IF($B6370=O$1, ($A6370+$C6370) - MAX(IF($B$2:$B6369=$B6370, $A$2:$A6369+$C$2:$C6369)), "")*24*60, "")</f>
        <v/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C6371" si="1518">A6370</f>
        <v>45987</v>
      </c>
      <c r="B6371" s="5" t="str">
        <f t="shared" si="1518"/>
        <v>Northern Cardinal</v>
      </c>
      <c r="C6371" s="6">
        <f t="shared" si="1518"/>
        <v>0.28611111111111109</v>
      </c>
      <c r="D6371" s="5"/>
      <c r="E6371" s="5"/>
      <c r="F6371" s="5" t="s">
        <v>8</v>
      </c>
      <c r="G6371" s="15" t="s">
        <v>9</v>
      </c>
      <c r="H6371" s="24">
        <f t="shared" si="1509"/>
        <v>0</v>
      </c>
      <c r="I6371" s="24" cm="1">
        <f t="array" ref="I6371">IFERROR(IF($B6371=I$1, ($A6371+$C6371) - MAX(IF($B$2:$B6370=$B6371, $A$2:$A6370+$C$2:$C6370)), "")*24*60, "")</f>
        <v>0</v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t="str" cm="1">
        <f t="array" ref="O6371">IFERROR(IF($B6371=O$1, ($A6371+$C6371) - MAX(IF($B$2:$B6370=$B6371, $A$2:$A6370+$C$2:$C6370)), "")*24*60, "")</f>
        <v/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C6372" si="1519">A6371</f>
        <v>45987</v>
      </c>
      <c r="B6372" s="5" t="str">
        <f t="shared" si="1519"/>
        <v>Northern Cardinal</v>
      </c>
      <c r="C6372" s="6">
        <f t="shared" si="1519"/>
        <v>0.28611111111111109</v>
      </c>
      <c r="D6372" s="5"/>
      <c r="E6372" s="5"/>
      <c r="F6372" s="5" t="s">
        <v>8</v>
      </c>
      <c r="G6372" s="15" t="s">
        <v>9</v>
      </c>
      <c r="H6372" s="24">
        <f t="shared" si="1509"/>
        <v>0</v>
      </c>
      <c r="I6372" s="24" cm="1">
        <f t="array" ref="I6372">IFERROR(IF($B6372=I$1, ($A6372+$C6372) - MAX(IF($B$2:$B6371=$B6372, $A$2:$A6371+$C$2:$C6371)), "")*24*60, "")</f>
        <v>0</v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t="str" cm="1">
        <f t="array" ref="O6372">IFERROR(IF($B6372=O$1, ($A6372+$C6372) - MAX(IF($B$2:$B6371=$B6372, $A$2:$A6371+$C$2:$C6371)), "")*24*60, "")</f>
        <v/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C6373" si="1520">A6372</f>
        <v>45987</v>
      </c>
      <c r="B6373" s="5" t="str">
        <f t="shared" si="1520"/>
        <v>Northern Cardinal</v>
      </c>
      <c r="C6373" s="6">
        <f t="shared" si="1520"/>
        <v>0.28611111111111109</v>
      </c>
      <c r="D6373" s="5"/>
      <c r="E6373" s="5"/>
      <c r="F6373" s="5" t="s">
        <v>8</v>
      </c>
      <c r="G6373" s="15" t="s">
        <v>9</v>
      </c>
      <c r="H6373" s="24">
        <f t="shared" si="1509"/>
        <v>0</v>
      </c>
      <c r="I6373" s="24" cm="1">
        <f t="array" ref="I6373">IFERROR(IF($B6373=I$1, ($A6373+$C6373) - MAX(IF($B$2:$B6372=$B6373, $A$2:$A6372+$C$2:$C6372)), "")*24*60, "")</f>
        <v>0</v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t="str" cm="1">
        <f t="array" ref="O6373">IFERROR(IF($B6373=O$1, ($A6373+$C6373) - MAX(IF($B$2:$B6372=$B6373, $A$2:$A6372+$C$2:$C6372)), "")*24*60, "")</f>
        <v/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C6374" si="1521">A6373</f>
        <v>45987</v>
      </c>
      <c r="B6374" s="5" t="str">
        <f t="shared" si="1521"/>
        <v>Northern Cardinal</v>
      </c>
      <c r="C6374" s="6">
        <f t="shared" si="1521"/>
        <v>0.28611111111111109</v>
      </c>
      <c r="D6374" s="5"/>
      <c r="E6374" s="5"/>
      <c r="F6374" s="5" t="s">
        <v>8</v>
      </c>
      <c r="G6374" s="15" t="s">
        <v>9</v>
      </c>
      <c r="H6374" s="24">
        <f t="shared" si="1509"/>
        <v>0</v>
      </c>
      <c r="I6374" s="24" cm="1">
        <f t="array" ref="I6374">IFERROR(IF($B6374=I$1, ($A6374+$C6374) - MAX(IF($B$2:$B6373=$B6374, $A$2:$A6373+$C$2:$C6373)), "")*24*60, "")</f>
        <v>0</v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t="str" cm="1">
        <f t="array" ref="O6374">IFERROR(IF($B6374=O$1, ($A6374+$C6374) - MAX(IF($B$2:$B6373=$B6374, $A$2:$A6373+$C$2:$C6373)), "")*24*60, "")</f>
        <v/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C6375" si="1522">A6374</f>
        <v>45987</v>
      </c>
      <c r="B6375" s="5" t="str">
        <f t="shared" si="1522"/>
        <v>Northern Cardinal</v>
      </c>
      <c r="C6375" s="6">
        <f t="shared" si="1522"/>
        <v>0.28611111111111109</v>
      </c>
      <c r="D6375" s="5"/>
      <c r="E6375" s="5"/>
      <c r="F6375" s="5" t="s">
        <v>8</v>
      </c>
      <c r="G6375" s="15" t="s">
        <v>9</v>
      </c>
      <c r="H6375" s="24">
        <f t="shared" si="1509"/>
        <v>0</v>
      </c>
      <c r="I6375" s="24" cm="1">
        <f t="array" ref="I6375">IFERROR(IF($B6375=I$1, ($A6375+$C6375) - MAX(IF($B$2:$B6374=$B6375, $A$2:$A6374+$C$2:$C6374)), "")*24*60, "")</f>
        <v>0</v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t="str" cm="1">
        <f t="array" ref="O6375">IFERROR(IF($B6375=O$1, ($A6375+$C6375) - MAX(IF($B$2:$B6374=$B6375, $A$2:$A6374+$C$2:$C6374)), "")*24*60, "")</f>
        <v/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523">A6375</f>
        <v>45987</v>
      </c>
      <c r="B6376" s="5" t="str">
        <f t="shared" si="1523"/>
        <v>Northern Cardinal</v>
      </c>
      <c r="C6376" s="6">
        <f t="shared" si="1523"/>
        <v>0.28611111111111109</v>
      </c>
      <c r="D6376" s="5"/>
      <c r="E6376" s="5"/>
      <c r="F6376" s="5" t="s">
        <v>8</v>
      </c>
      <c r="G6376" s="15" t="s">
        <v>9</v>
      </c>
      <c r="H6376" s="24">
        <f t="shared" si="1509"/>
        <v>0</v>
      </c>
      <c r="I6376" s="24" cm="1">
        <f t="array" ref="I6376">IFERROR(IF($B6376=I$1, ($A6376+$C6376) - MAX(IF($B$2:$B6375=$B6376, $A$2:$A6375+$C$2:$C6375)), "")*24*60, "")</f>
        <v>0</v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t="str" cm="1">
        <f t="array" ref="O6376">IFERROR(IF($B6376=O$1, ($A6376+$C6376) - MAX(IF($B$2:$B6375=$B6376, $A$2:$A6375+$C$2:$C6375)), "")*24*60, "")</f>
        <v/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C6377" si="1524">A6376</f>
        <v>45987</v>
      </c>
      <c r="B6377" s="5" t="str">
        <f t="shared" si="1524"/>
        <v>Northern Cardinal</v>
      </c>
      <c r="C6377" s="6">
        <f t="shared" si="1524"/>
        <v>0.28611111111111109</v>
      </c>
      <c r="D6377" s="5"/>
      <c r="E6377" s="5"/>
      <c r="F6377" s="5" t="s">
        <v>8</v>
      </c>
      <c r="G6377" s="15" t="s">
        <v>9</v>
      </c>
      <c r="H6377" s="24">
        <f t="shared" si="1509"/>
        <v>0</v>
      </c>
      <c r="I6377" s="24" cm="1">
        <f t="array" ref="I6377">IFERROR(IF($B6377=I$1, ($A6377+$C6377) - MAX(IF($B$2:$B6376=$B6377, $A$2:$A6376+$C$2:$C6376)), "")*24*60, "")</f>
        <v>0</v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t="str" cm="1">
        <f t="array" ref="O6377">IFERROR(IF($B6377=O$1, ($A6377+$C6377) - MAX(IF($B$2:$B6376=$B6377, $A$2:$A6376+$C$2:$C6376)), "")*24*60, "")</f>
        <v/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525">A6377</f>
        <v>45987</v>
      </c>
      <c r="B6378" s="5" t="str">
        <f t="shared" si="1525"/>
        <v>Northern Cardinal</v>
      </c>
      <c r="C6378" s="6">
        <f t="shared" si="1525"/>
        <v>0.28611111111111109</v>
      </c>
      <c r="D6378" s="5"/>
      <c r="E6378" s="5"/>
      <c r="F6378" s="5" t="s">
        <v>8</v>
      </c>
      <c r="G6378" s="15" t="s">
        <v>9</v>
      </c>
      <c r="H6378" s="24">
        <f t="shared" si="1509"/>
        <v>0</v>
      </c>
      <c r="I6378" s="24" cm="1">
        <f t="array" ref="I6378">IFERROR(IF($B6378=I$1, ($A6378+$C6378) - MAX(IF($B$2:$B6377=$B6378, $A$2:$A6377+$C$2:$C6377)), "")*24*60, "")</f>
        <v>0</v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t="str" cm="1">
        <f t="array" ref="O6378">IFERROR(IF($B6378=O$1, ($A6378+$C6378) - MAX(IF($B$2:$B6377=$B6378, $A$2:$A6377+$C$2:$C6377)), "")*24*60, "")</f>
        <v/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C6379" si="1526">A6378</f>
        <v>45987</v>
      </c>
      <c r="B6379" s="5" t="str">
        <f t="shared" si="1526"/>
        <v>Northern Cardinal</v>
      </c>
      <c r="C6379" s="6">
        <f t="shared" si="1526"/>
        <v>0.28611111111111109</v>
      </c>
      <c r="D6379" s="5"/>
      <c r="E6379" s="5"/>
      <c r="F6379" s="5" t="s">
        <v>8</v>
      </c>
      <c r="G6379" s="15" t="s">
        <v>9</v>
      </c>
      <c r="H6379" s="24">
        <f t="shared" si="1509"/>
        <v>0</v>
      </c>
      <c r="I6379" s="24" cm="1">
        <f t="array" ref="I6379">IFERROR(IF($B6379=I$1, ($A6379+$C6379) - MAX(IF($B$2:$B6378=$B6379, $A$2:$A6378+$C$2:$C6378)), "")*24*60, "")</f>
        <v>0</v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t="str" cm="1">
        <f t="array" ref="O6379">IFERROR(IF($B6379=O$1, ($A6379+$C6379) - MAX(IF($B$2:$B6378=$B6379, $A$2:$A6378+$C$2:$C6378)), "")*24*60, "")</f>
        <v/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C6380" si="1527">A6379</f>
        <v>45987</v>
      </c>
      <c r="B6380" s="5" t="str">
        <f t="shared" si="1527"/>
        <v>Northern Cardinal</v>
      </c>
      <c r="C6380" s="6">
        <f t="shared" si="1527"/>
        <v>0.28611111111111109</v>
      </c>
      <c r="D6380" s="5"/>
      <c r="E6380" s="5"/>
      <c r="F6380" s="5" t="s">
        <v>8</v>
      </c>
      <c r="G6380" s="15" t="s">
        <v>9</v>
      </c>
      <c r="H6380" s="24">
        <f t="shared" si="1509"/>
        <v>0</v>
      </c>
      <c r="I6380" s="24" cm="1">
        <f t="array" ref="I6380">IFERROR(IF($B6380=I$1, ($A6380+$C6380) - MAX(IF($B$2:$B6379=$B6380, $A$2:$A6379+$C$2:$C6379)), "")*24*60, "")</f>
        <v>0</v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t="str" cm="1">
        <f t="array" ref="O6380">IFERROR(IF($B6380=O$1, ($A6380+$C6380) - MAX(IF($B$2:$B6379=$B6380, $A$2:$A6379+$C$2:$C6379)), "")*24*60, "")</f>
        <v/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C6381" si="1528">A6380</f>
        <v>45987</v>
      </c>
      <c r="B6381" s="5" t="str">
        <f t="shared" si="1528"/>
        <v>Northern Cardinal</v>
      </c>
      <c r="C6381" s="6">
        <f t="shared" si="1528"/>
        <v>0.28611111111111109</v>
      </c>
      <c r="D6381" s="5"/>
      <c r="E6381" s="5"/>
      <c r="F6381" s="5" t="s">
        <v>8</v>
      </c>
      <c r="G6381" s="15" t="s">
        <v>9</v>
      </c>
      <c r="H6381" s="24">
        <f t="shared" si="1509"/>
        <v>0</v>
      </c>
      <c r="I6381" s="24" cm="1">
        <f t="array" ref="I6381">IFERROR(IF($B6381=I$1, ($A6381+$C6381) - MAX(IF($B$2:$B6380=$B6381, $A$2:$A6380+$C$2:$C6380)), "")*24*60, "")</f>
        <v>0</v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t="str" cm="1">
        <f t="array" ref="O6381">IFERROR(IF($B6381=O$1, ($A6381+$C6381) - MAX(IF($B$2:$B6380=$B6381, $A$2:$A6380+$C$2:$C6380)), "")*24*60, "")</f>
        <v/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529">A6381</f>
        <v>45987</v>
      </c>
      <c r="B6382" s="5" t="str">
        <f t="shared" si="1529"/>
        <v>Northern Cardinal</v>
      </c>
      <c r="C6382" s="6">
        <f t="shared" si="1529"/>
        <v>0.28611111111111109</v>
      </c>
      <c r="D6382" s="5"/>
      <c r="E6382" s="5"/>
      <c r="F6382" s="5" t="s">
        <v>8</v>
      </c>
      <c r="G6382" s="15" t="s">
        <v>9</v>
      </c>
      <c r="H6382" s="24">
        <f t="shared" si="1509"/>
        <v>0</v>
      </c>
      <c r="I6382" s="24" cm="1">
        <f t="array" ref="I6382">IFERROR(IF($B6382=I$1, ($A6382+$C6382) - MAX(IF($B$2:$B6381=$B6382, $A$2:$A6381+$C$2:$C6381)), "")*24*60, "")</f>
        <v>0</v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t="str" cm="1">
        <f t="array" ref="O6382">IFERROR(IF($B6382=O$1, ($A6382+$C6382) - MAX(IF($B$2:$B6381=$B6382, $A$2:$A6381+$C$2:$C6381)), "")*24*60, "")</f>
        <v/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C6383" si="1530">A6382</f>
        <v>45987</v>
      </c>
      <c r="B6383" s="5" t="str">
        <f t="shared" si="1530"/>
        <v>Northern Cardinal</v>
      </c>
      <c r="C6383" s="6">
        <f t="shared" si="1530"/>
        <v>0.28611111111111109</v>
      </c>
      <c r="D6383" s="5"/>
      <c r="E6383" s="5"/>
      <c r="F6383" s="5" t="s">
        <v>8</v>
      </c>
      <c r="G6383" s="15" t="s">
        <v>9</v>
      </c>
      <c r="H6383" s="24">
        <f t="shared" si="1509"/>
        <v>0</v>
      </c>
      <c r="I6383" s="24" cm="1">
        <f t="array" ref="I6383">IFERROR(IF($B6383=I$1, ($A6383+$C6383) - MAX(IF($B$2:$B6382=$B6383, $A$2:$A6382+$C$2:$C6382)), "")*24*60, "")</f>
        <v>0</v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t="str" cm="1">
        <f t="array" ref="O6383">IFERROR(IF($B6383=O$1, ($A6383+$C6383) - MAX(IF($B$2:$B6382=$B6383, $A$2:$A6382+$C$2:$C6382)), "")*24*60, "")</f>
        <v/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C6384" si="1531">A6383</f>
        <v>45987</v>
      </c>
      <c r="B6384" s="5" t="str">
        <f t="shared" si="1531"/>
        <v>Northern Cardinal</v>
      </c>
      <c r="C6384" s="6">
        <f t="shared" si="1531"/>
        <v>0.28611111111111109</v>
      </c>
      <c r="D6384" s="5"/>
      <c r="E6384" s="5"/>
      <c r="F6384" s="5" t="s">
        <v>8</v>
      </c>
      <c r="G6384" s="15" t="s">
        <v>9</v>
      </c>
      <c r="H6384" s="24">
        <f t="shared" si="1509"/>
        <v>0</v>
      </c>
      <c r="I6384" s="24" cm="1">
        <f t="array" ref="I6384">IFERROR(IF($B6384=I$1, ($A6384+$C6384) - MAX(IF($B$2:$B6383=$B6384, $A$2:$A6383+$C$2:$C6383)), "")*24*60, "")</f>
        <v>0</v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t="str" cm="1">
        <f t="array" ref="O6384">IFERROR(IF($B6384=O$1, ($A6384+$C6384) - MAX(IF($B$2:$B6383=$B6384, $A$2:$A6383+$C$2:$C6383)), "")*24*60, "")</f>
        <v/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532">A6384</f>
        <v>45987</v>
      </c>
      <c r="B6385" s="5" t="str">
        <f t="shared" si="1532"/>
        <v>Northern Cardinal</v>
      </c>
      <c r="C6385" s="6">
        <f t="shared" si="1532"/>
        <v>0.28611111111111109</v>
      </c>
      <c r="D6385" s="5"/>
      <c r="E6385" s="5"/>
      <c r="F6385" s="5" t="s">
        <v>8</v>
      </c>
      <c r="G6385" s="15" t="s">
        <v>9</v>
      </c>
      <c r="H6385" s="24">
        <f t="shared" si="1509"/>
        <v>0</v>
      </c>
      <c r="I6385" s="24" cm="1">
        <f t="array" ref="I6385">IFERROR(IF($B6385=I$1, ($A6385+$C6385) - MAX(IF($B$2:$B6384=$B6385, $A$2:$A6384+$C$2:$C6384)), "")*24*60, "")</f>
        <v>0</v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t="str" cm="1">
        <f t="array" ref="O6385">IFERROR(IF($B6385=O$1, ($A6385+$C6385) - MAX(IF($B$2:$B6384=$B6385, $A$2:$A6384+$C$2:$C6384)), "")*24*60, "")</f>
        <v/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C6386" si="1533">A6385</f>
        <v>45987</v>
      </c>
      <c r="B6386" s="5" t="str">
        <f t="shared" si="1533"/>
        <v>Northern Cardinal</v>
      </c>
      <c r="C6386" s="6">
        <f t="shared" si="1533"/>
        <v>0.28611111111111109</v>
      </c>
      <c r="D6386" s="5"/>
      <c r="E6386" s="5"/>
      <c r="F6386" s="5" t="s">
        <v>8</v>
      </c>
      <c r="G6386" s="15" t="s">
        <v>9</v>
      </c>
      <c r="H6386" s="24">
        <f t="shared" si="1509"/>
        <v>0</v>
      </c>
      <c r="I6386" s="24" cm="1">
        <f t="array" ref="I6386">IFERROR(IF($B6386=I$1, ($A6386+$C6386) - MAX(IF($B$2:$B6385=$B6386, $A$2:$A6385+$C$2:$C6385)), "")*24*60, "")</f>
        <v>0</v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t="str" cm="1">
        <f t="array" ref="O6386">IFERROR(IF($B6386=O$1, ($A6386+$C6386) - MAX(IF($B$2:$B6385=$B6386, $A$2:$A6385+$C$2:$C6385)), "")*24*60, "")</f>
        <v/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534">A6386</f>
        <v>45987</v>
      </c>
      <c r="B6387" s="5" t="str">
        <f t="shared" si="1534"/>
        <v>Northern Cardinal</v>
      </c>
      <c r="C6387" s="6">
        <f t="shared" si="1534"/>
        <v>0.28611111111111109</v>
      </c>
      <c r="D6387" s="5"/>
      <c r="E6387" s="5"/>
      <c r="F6387" s="5" t="s">
        <v>8</v>
      </c>
      <c r="G6387" s="15" t="s">
        <v>9</v>
      </c>
      <c r="H6387" s="24">
        <f t="shared" si="1509"/>
        <v>0</v>
      </c>
      <c r="I6387" s="24" cm="1">
        <f t="array" ref="I6387">IFERROR(IF($B6387=I$1, ($A6387+$C6387) - MAX(IF($B$2:$B6386=$B6387, $A$2:$A6386+$C$2:$C6386)), "")*24*60, "")</f>
        <v>0</v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t="str" cm="1">
        <f t="array" ref="O6387">IFERROR(IF($B6387=O$1, ($A6387+$C6387) - MAX(IF($B$2:$B6386=$B6387, $A$2:$A6386+$C$2:$C6386)), "")*24*60, "")</f>
        <v/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C6388" si="1535">A6387</f>
        <v>45987</v>
      </c>
      <c r="B6388" s="5" t="str">
        <f t="shared" si="1535"/>
        <v>Northern Cardinal</v>
      </c>
      <c r="C6388" s="6">
        <f t="shared" si="1535"/>
        <v>0.28611111111111109</v>
      </c>
      <c r="D6388" s="5"/>
      <c r="E6388" s="5"/>
      <c r="F6388" s="5" t="s">
        <v>8</v>
      </c>
      <c r="G6388" s="15" t="s">
        <v>9</v>
      </c>
      <c r="H6388" s="24">
        <f t="shared" si="1509"/>
        <v>0</v>
      </c>
      <c r="I6388" s="24" cm="1">
        <f t="array" ref="I6388">IFERROR(IF($B6388=I$1, ($A6388+$C6388) - MAX(IF($B$2:$B6387=$B6388, $A$2:$A6387+$C$2:$C6387)), "")*24*60, "")</f>
        <v>0</v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t="str" cm="1">
        <f t="array" ref="O6388">IFERROR(IF($B6388=O$1, ($A6388+$C6388) - MAX(IF($B$2:$B6387=$B6388, $A$2:$A6387+$C$2:$C6387)), "")*24*60, "")</f>
        <v/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536">A6388</f>
        <v>45987</v>
      </c>
      <c r="B6389" s="5" t="str">
        <f t="shared" si="1536"/>
        <v>Northern Cardinal</v>
      </c>
      <c r="C6389" s="6">
        <f t="shared" si="1536"/>
        <v>0.28611111111111109</v>
      </c>
      <c r="D6389" s="5"/>
      <c r="E6389" s="5"/>
      <c r="F6389" s="5" t="s">
        <v>8</v>
      </c>
      <c r="G6389" s="15" t="s">
        <v>9</v>
      </c>
      <c r="H6389" s="24">
        <f t="shared" si="1509"/>
        <v>0</v>
      </c>
      <c r="I6389" s="24" cm="1">
        <f t="array" ref="I6389">IFERROR(IF($B6389=I$1, ($A6389+$C6389) - MAX(IF($B$2:$B6388=$B6389, $A$2:$A6388+$C$2:$C6388)), "")*24*60, "")</f>
        <v>0</v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t="str" cm="1">
        <f t="array" ref="O6389">IFERROR(IF($B6389=O$1, ($A6389+$C6389) - MAX(IF($B$2:$B6388=$B6389, $A$2:$A6388+$C$2:$C6388)), "")*24*60, "")</f>
        <v/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C6390" si="1537">A6389</f>
        <v>45987</v>
      </c>
      <c r="B6390" s="5" t="str">
        <f t="shared" si="1537"/>
        <v>Northern Cardinal</v>
      </c>
      <c r="C6390" s="6">
        <f t="shared" si="1537"/>
        <v>0.28611111111111109</v>
      </c>
      <c r="D6390" s="5"/>
      <c r="E6390" s="5"/>
      <c r="F6390" s="5" t="s">
        <v>8</v>
      </c>
      <c r="G6390" s="15" t="s">
        <v>9</v>
      </c>
      <c r="H6390" s="24">
        <f t="shared" si="1509"/>
        <v>0</v>
      </c>
      <c r="I6390" s="24" cm="1">
        <f t="array" ref="I6390">IFERROR(IF($B6390=I$1, ($A6390+$C6390) - MAX(IF($B$2:$B6389=$B6390, $A$2:$A6389+$C$2:$C6389)), "")*24*60, "")</f>
        <v>0</v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t="str" cm="1">
        <f t="array" ref="O6390">IFERROR(IF($B6390=O$1, ($A6390+$C6390) - MAX(IF($B$2:$B6389=$B6390, $A$2:$A6389+$C$2:$C6389)), "")*24*60, "")</f>
        <v/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C6391" si="1538">A6390</f>
        <v>45987</v>
      </c>
      <c r="B6391" s="5" t="str">
        <f t="shared" si="1538"/>
        <v>Northern Cardinal</v>
      </c>
      <c r="C6391" s="6">
        <f t="shared" si="1538"/>
        <v>0.28611111111111109</v>
      </c>
      <c r="D6391" s="5"/>
      <c r="E6391" s="5"/>
      <c r="F6391" s="5" t="s">
        <v>8</v>
      </c>
      <c r="G6391" s="15" t="s">
        <v>9</v>
      </c>
      <c r="H6391" s="24">
        <f t="shared" si="1509"/>
        <v>0</v>
      </c>
      <c r="I6391" s="24" cm="1">
        <f t="array" ref="I6391">IFERROR(IF($B6391=I$1, ($A6391+$C6391) - MAX(IF($B$2:$B6390=$B6391, $A$2:$A6390+$C$2:$C6390)), "")*24*60, "")</f>
        <v>0</v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t="str" cm="1">
        <f t="array" ref="O6391">IFERROR(IF($B6391=O$1, ($A6391+$C6391) - MAX(IF($B$2:$B6390=$B6391, $A$2:$A6390+$C$2:$C6390)), "")*24*60, "")</f>
        <v/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539">A6391</f>
        <v>45987</v>
      </c>
      <c r="B6392" s="5" t="str">
        <f t="shared" si="1539"/>
        <v>Northern Cardinal</v>
      </c>
      <c r="C6392" s="6">
        <f t="shared" si="1539"/>
        <v>0.28611111111111109</v>
      </c>
      <c r="D6392" s="5"/>
      <c r="E6392" s="5"/>
      <c r="F6392" s="5" t="s">
        <v>8</v>
      </c>
      <c r="G6392" s="15" t="s">
        <v>9</v>
      </c>
      <c r="H6392" s="24">
        <f t="shared" si="1509"/>
        <v>0</v>
      </c>
      <c r="I6392" s="24" cm="1">
        <f t="array" ref="I6392">IFERROR(IF($B6392=I$1, ($A6392+$C6392) - MAX(IF($B$2:$B6391=$B6392, $A$2:$A6391+$C$2:$C6391)), "")*24*60, "")</f>
        <v>0</v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t="str" cm="1">
        <f t="array" ref="O6392">IFERROR(IF($B6392=O$1, ($A6392+$C6392) - MAX(IF($B$2:$B6391=$B6392, $A$2:$A6391+$C$2:$C6391)), "")*24*60, "")</f>
        <v/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C6393" si="1540">A6392</f>
        <v>45987</v>
      </c>
      <c r="B6393" s="5" t="str">
        <f t="shared" si="1540"/>
        <v>Northern Cardinal</v>
      </c>
      <c r="C6393" s="6">
        <f t="shared" si="1540"/>
        <v>0.28611111111111109</v>
      </c>
      <c r="D6393" s="5"/>
      <c r="E6393" s="5"/>
      <c r="F6393" s="5" t="s">
        <v>8</v>
      </c>
      <c r="G6393" s="15" t="s">
        <v>9</v>
      </c>
      <c r="H6393" s="24">
        <f t="shared" si="1509"/>
        <v>0</v>
      </c>
      <c r="I6393" s="24" cm="1">
        <f t="array" ref="I6393">IFERROR(IF($B6393=I$1, ($A6393+$C6393) - MAX(IF($B$2:$B6392=$B6393, $A$2:$A6392+$C$2:$C6392)), "")*24*60, "")</f>
        <v>0</v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t="str" cm="1">
        <f t="array" ref="O6393">IFERROR(IF($B6393=O$1, ($A6393+$C6393) - MAX(IF($B$2:$B6392=$B6393, $A$2:$A6392+$C$2:$C6392)), "")*24*60, "")</f>
        <v/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C6394" si="1541">A6393</f>
        <v>45987</v>
      </c>
      <c r="B6394" s="5" t="str">
        <f t="shared" si="1541"/>
        <v>Northern Cardinal</v>
      </c>
      <c r="C6394" s="6">
        <f t="shared" si="1541"/>
        <v>0.28611111111111109</v>
      </c>
      <c r="D6394" s="5"/>
      <c r="E6394" s="5"/>
      <c r="F6394" s="5" t="s">
        <v>8</v>
      </c>
      <c r="G6394" s="15" t="s">
        <v>9</v>
      </c>
      <c r="H6394" s="24">
        <f t="shared" si="1509"/>
        <v>0</v>
      </c>
      <c r="I6394" s="24" cm="1">
        <f t="array" ref="I6394">IFERROR(IF($B6394=I$1, ($A6394+$C6394) - MAX(IF($B$2:$B6393=$B6394, $A$2:$A6393+$C$2:$C6393)), "")*24*60, "")</f>
        <v>0</v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t="str" cm="1">
        <f t="array" ref="O6394">IFERROR(IF($B6394=O$1, ($A6394+$C6394) - MAX(IF($B$2:$B6393=$B6394, $A$2:$A6393+$C$2:$C6393)), "")*24*60, "")</f>
        <v/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542">A6394</f>
        <v>45987</v>
      </c>
      <c r="B6395" s="5" t="str">
        <f t="shared" si="1542"/>
        <v>Northern Cardinal</v>
      </c>
      <c r="C6395" s="6">
        <f t="shared" si="1542"/>
        <v>0.28611111111111109</v>
      </c>
      <c r="D6395" s="5"/>
      <c r="E6395" s="5"/>
      <c r="F6395" s="5" t="s">
        <v>8</v>
      </c>
      <c r="G6395" s="15" t="s">
        <v>9</v>
      </c>
      <c r="H6395" s="24">
        <f t="shared" si="1509"/>
        <v>0</v>
      </c>
      <c r="I6395" s="24" cm="1">
        <f t="array" ref="I6395">IFERROR(IF($B6395=I$1, ($A6395+$C6395) - MAX(IF($B$2:$B6394=$B6395, $A$2:$A6394+$C$2:$C6394)), "")*24*60, "")</f>
        <v>0</v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t="str" cm="1">
        <f t="array" ref="O6395">IFERROR(IF($B6395=O$1, ($A6395+$C6395) - MAX(IF($B$2:$B6394=$B6395, $A$2:$A6394+$C$2:$C6394)), "")*24*60, "")</f>
        <v/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C6396" si="1543">A6395</f>
        <v>45987</v>
      </c>
      <c r="B6396" s="5" t="str">
        <f t="shared" si="1543"/>
        <v>Northern Cardinal</v>
      </c>
      <c r="C6396" s="6">
        <f t="shared" si="1543"/>
        <v>0.28611111111111109</v>
      </c>
      <c r="D6396" s="5"/>
      <c r="E6396" s="5"/>
      <c r="F6396" s="5" t="s">
        <v>8</v>
      </c>
      <c r="G6396" s="15" t="s">
        <v>9</v>
      </c>
      <c r="H6396" s="24">
        <f t="shared" si="1509"/>
        <v>0</v>
      </c>
      <c r="I6396" s="24" cm="1">
        <f t="array" ref="I6396">IFERROR(IF($B6396=I$1, ($A6396+$C6396) - MAX(IF($B$2:$B6395=$B6396, $A$2:$A6395+$C$2:$C6395)), "")*24*60, "")</f>
        <v>0</v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t="str" cm="1">
        <f t="array" ref="O6396">IFERROR(IF($B6396=O$1, ($A6396+$C6396) - MAX(IF($B$2:$B6395=$B6396, $A$2:$A6395+$C$2:$C6395)), "")*24*60, "")</f>
        <v/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544">A6396</f>
        <v>45987</v>
      </c>
      <c r="B6397" s="5" t="str">
        <f t="shared" si="1544"/>
        <v>Northern Cardinal</v>
      </c>
      <c r="C6397" s="6">
        <f t="shared" si="1544"/>
        <v>0.28611111111111109</v>
      </c>
      <c r="D6397" s="5"/>
      <c r="E6397" s="5"/>
      <c r="F6397" s="5" t="s">
        <v>8</v>
      </c>
      <c r="G6397" s="15" t="s">
        <v>9</v>
      </c>
      <c r="H6397" s="24">
        <f t="shared" si="1509"/>
        <v>0</v>
      </c>
      <c r="I6397" s="24" cm="1">
        <f t="array" ref="I6397">IFERROR(IF($B6397=I$1, ($A6397+$C6397) - MAX(IF($B$2:$B6396=$B6397, $A$2:$A6396+$C$2:$C6396)), "")*24*60, "")</f>
        <v>0</v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t="str" cm="1">
        <f t="array" ref="O6397">IFERROR(IF($B6397=O$1, ($A6397+$C6397) - MAX(IF($B$2:$B6396=$B6397, $A$2:$A6396+$C$2:$C6396)), "")*24*60, "")</f>
        <v/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C6398" si="1545">A6397</f>
        <v>45987</v>
      </c>
      <c r="B6398" s="5" t="str">
        <f t="shared" si="1545"/>
        <v>Northern Cardinal</v>
      </c>
      <c r="C6398" s="6">
        <f t="shared" si="1545"/>
        <v>0.28611111111111109</v>
      </c>
      <c r="D6398" s="5"/>
      <c r="E6398" s="5"/>
      <c r="F6398" s="5" t="s">
        <v>8</v>
      </c>
      <c r="G6398" s="15" t="s">
        <v>9</v>
      </c>
      <c r="H6398" s="24">
        <f t="shared" si="1509"/>
        <v>0</v>
      </c>
      <c r="I6398" s="24" cm="1">
        <f t="array" ref="I6398">IFERROR(IF($B6398=I$1, ($A6398+$C6398) - MAX(IF($B$2:$B6397=$B6398, $A$2:$A6397+$C$2:$C6397)), "")*24*60, "")</f>
        <v>0</v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t="str" cm="1">
        <f t="array" ref="O6398">IFERROR(IF($B6398=O$1, ($A6398+$C6398) - MAX(IF($B$2:$B6397=$B6398, $A$2:$A6397+$C$2:$C6397)), "")*24*60, "")</f>
        <v/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546">A6398</f>
        <v>45987</v>
      </c>
      <c r="B6399" s="5" t="str">
        <f t="shared" si="1546"/>
        <v>Northern Cardinal</v>
      </c>
      <c r="C6399" s="6">
        <f t="shared" si="1546"/>
        <v>0.28611111111111109</v>
      </c>
      <c r="D6399" s="5"/>
      <c r="E6399" s="5"/>
      <c r="F6399" s="5" t="s">
        <v>8</v>
      </c>
      <c r="G6399" s="15" t="s">
        <v>9</v>
      </c>
      <c r="H6399" s="24">
        <f t="shared" si="1509"/>
        <v>0</v>
      </c>
      <c r="I6399" s="24" cm="1">
        <f t="array" ref="I6399">IFERROR(IF($B6399=I$1, ($A6399+$C6399) - MAX(IF($B$2:$B6398=$B6399, $A$2:$A6398+$C$2:$C6398)), "")*24*60, "")</f>
        <v>0</v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t="str" cm="1">
        <f t="array" ref="O6399">IFERROR(IF($B6399=O$1, ($A6399+$C6399) - MAX(IF($B$2:$B6398=$B6399, $A$2:$A6398+$C$2:$C6398)), "")*24*60, "")</f>
        <v/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:C6400" si="1547">A6399</f>
        <v>45987</v>
      </c>
      <c r="B6400" s="5" t="str">
        <f t="shared" si="1547"/>
        <v>Northern Cardinal</v>
      </c>
      <c r="C6400" s="6">
        <f t="shared" si="1547"/>
        <v>0.28611111111111109</v>
      </c>
      <c r="D6400" s="5"/>
      <c r="E6400" s="5"/>
      <c r="F6400" s="5" t="s">
        <v>8</v>
      </c>
      <c r="G6400" s="15" t="s">
        <v>9</v>
      </c>
      <c r="H6400" s="24">
        <f t="shared" si="1509"/>
        <v>0</v>
      </c>
      <c r="I6400" s="24" cm="1">
        <f t="array" ref="I6400">IFERROR(IF($B6400=I$1, ($A6400+$C6400) - MAX(IF($B$2:$B6399=$B6400, $A$2:$A6399+$C$2:$C6399)), "")*24*60, "")</f>
        <v>0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C6401" si="1548">A6400</f>
        <v>45987</v>
      </c>
      <c r="B6401" s="5" t="str">
        <f t="shared" si="1548"/>
        <v>Northern Cardinal</v>
      </c>
      <c r="C6401" s="6">
        <f t="shared" si="1548"/>
        <v>0.28611111111111109</v>
      </c>
      <c r="D6401" s="5"/>
      <c r="E6401" s="5"/>
      <c r="F6401" s="5" t="s">
        <v>8</v>
      </c>
      <c r="G6401" s="15" t="s">
        <v>9</v>
      </c>
      <c r="H6401" s="24">
        <f t="shared" si="1509"/>
        <v>0</v>
      </c>
      <c r="I6401" s="24" cm="1">
        <f t="array" ref="I6401">IFERROR(IF($B6401=I$1, ($A6401+$C6401) - MAX(IF($B$2:$B6400=$B6401, $A$2:$A6400+$C$2:$C6400)), "")*24*60, "")</f>
        <v>0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549">A6401</f>
        <v>45987</v>
      </c>
      <c r="B6402" s="5" t="str">
        <f t="shared" si="1549"/>
        <v>Northern Cardinal</v>
      </c>
      <c r="C6402" s="6">
        <f t="shared" si="1549"/>
        <v>0.28611111111111109</v>
      </c>
      <c r="D6402" s="5"/>
      <c r="E6402" s="5"/>
      <c r="F6402" s="5" t="s">
        <v>8</v>
      </c>
      <c r="G6402" s="15" t="s">
        <v>9</v>
      </c>
      <c r="H6402" s="24">
        <f t="shared" si="1509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C6403" si="1550">A6402</f>
        <v>45987</v>
      </c>
      <c r="B6403" s="5" t="str">
        <f t="shared" si="1550"/>
        <v>Northern Cardinal</v>
      </c>
      <c r="C6403" s="6">
        <f t="shared" si="1550"/>
        <v>0.28611111111111109</v>
      </c>
      <c r="D6403" s="5"/>
      <c r="E6403" s="5"/>
      <c r="F6403" s="5" t="s">
        <v>8</v>
      </c>
      <c r="G6403" s="15" t="s">
        <v>9</v>
      </c>
      <c r="H6403" s="24">
        <f t="shared" si="1509"/>
        <v>0</v>
      </c>
      <c r="I6403" s="24" cm="1">
        <f t="array" ref="I6403">IFERROR(IF($B6403=I$1, ($A6403+$C6403) - MAX(IF($B$2:$B6402=$B6403, $A$2:$A6402+$C$2:$C6402)), "")*24*60, "")</f>
        <v>0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551">A6403</f>
        <v>45987</v>
      </c>
      <c r="B6404" s="5" t="str">
        <f t="shared" si="1551"/>
        <v>Northern Cardinal</v>
      </c>
      <c r="C6404" s="6">
        <f t="shared" si="1551"/>
        <v>0.28611111111111109</v>
      </c>
      <c r="D6404" s="5"/>
      <c r="E6404" s="5"/>
      <c r="F6404" s="5" t="s">
        <v>8</v>
      </c>
      <c r="G6404" s="15" t="s">
        <v>9</v>
      </c>
      <c r="H6404" s="24">
        <f t="shared" si="1509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C6405" si="1552">A6404</f>
        <v>45987</v>
      </c>
      <c r="B6405" s="5" t="str">
        <f t="shared" si="1552"/>
        <v>Northern Cardinal</v>
      </c>
      <c r="C6405" s="6">
        <f t="shared" si="1552"/>
        <v>0.28611111111111109</v>
      </c>
      <c r="D6405" s="5"/>
      <c r="E6405" s="5"/>
      <c r="F6405" s="5" t="s">
        <v>8</v>
      </c>
      <c r="G6405" s="15" t="s">
        <v>9</v>
      </c>
      <c r="H6405" s="24">
        <f t="shared" si="1509"/>
        <v>0</v>
      </c>
      <c r="I6405" s="24" cm="1">
        <f t="array" ref="I6405">IFERROR(IF($B6405=I$1, ($A6405+$C6405) - MAX(IF($B$2:$B6404=$B6405, $A$2:$A6404+$C$2:$C6404)), "")*24*60, "")</f>
        <v>0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553">A6405</f>
        <v>45987</v>
      </c>
      <c r="B6406" s="5" t="str">
        <f t="shared" si="1553"/>
        <v>Northern Cardinal</v>
      </c>
      <c r="C6406" s="6">
        <f t="shared" si="1553"/>
        <v>0.28611111111111109</v>
      </c>
      <c r="D6406" s="5"/>
      <c r="E6406" s="5"/>
      <c r="F6406" s="5" t="s">
        <v>8</v>
      </c>
      <c r="G6406" s="15" t="s">
        <v>9</v>
      </c>
      <c r="H6406" s="24">
        <f t="shared" si="1509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C6407" si="1554">A6406</f>
        <v>45987</v>
      </c>
      <c r="B6407" s="5" t="str">
        <f t="shared" si="1554"/>
        <v>Northern Cardinal</v>
      </c>
      <c r="C6407" s="6">
        <f t="shared" si="1554"/>
        <v>0.28611111111111109</v>
      </c>
      <c r="D6407" s="5"/>
      <c r="E6407" s="5"/>
      <c r="F6407" s="5" t="s">
        <v>8</v>
      </c>
      <c r="G6407" s="15" t="s">
        <v>9</v>
      </c>
      <c r="H6407" s="24">
        <f t="shared" si="1509"/>
        <v>0</v>
      </c>
      <c r="I6407" s="24" cm="1">
        <f t="array" ref="I6407">IFERROR(IF($B6407=I$1, ($A6407+$C6407) - MAX(IF($B$2:$B6406=$B6407, $A$2:$A6406+$C$2:$C6406)), "")*24*60, "")</f>
        <v>0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C6408" si="1555">A6407</f>
        <v>45987</v>
      </c>
      <c r="B6408" s="5" t="str">
        <f t="shared" si="1555"/>
        <v>Northern Cardinal</v>
      </c>
      <c r="C6408" s="6">
        <f t="shared" si="1555"/>
        <v>0.28611111111111109</v>
      </c>
      <c r="D6408" s="5"/>
      <c r="E6408" s="5"/>
      <c r="F6408" s="5" t="s">
        <v>8</v>
      </c>
      <c r="G6408" s="15" t="s">
        <v>9</v>
      </c>
      <c r="H6408" s="24">
        <f t="shared" si="1509"/>
        <v>0</v>
      </c>
      <c r="I6408" s="24" cm="1">
        <f t="array" ref="I6408">IFERROR(IF($B6408=I$1, ($A6408+$C6408) - MAX(IF($B$2:$B6407=$B6408, $A$2:$A6407+$C$2:$C6407)), "")*24*60, "")</f>
        <v>0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556">A6408</f>
        <v>45987</v>
      </c>
      <c r="B6409" s="5" t="str">
        <f t="shared" si="1556"/>
        <v>Northern Cardinal</v>
      </c>
      <c r="C6409" s="6">
        <f t="shared" si="1556"/>
        <v>0.28611111111111109</v>
      </c>
      <c r="D6409" s="5"/>
      <c r="E6409" s="5"/>
      <c r="F6409" s="5" t="s">
        <v>8</v>
      </c>
      <c r="G6409" s="15" t="s">
        <v>9</v>
      </c>
      <c r="H6409" s="24">
        <f t="shared" si="1509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557">A6409</f>
        <v>45987</v>
      </c>
      <c r="B6410" s="5" t="str">
        <f t="shared" si="1557"/>
        <v>Northern Cardinal</v>
      </c>
      <c r="C6410" s="6">
        <f t="shared" si="1557"/>
        <v>0.28611111111111109</v>
      </c>
      <c r="D6410" s="5"/>
      <c r="E6410" s="5"/>
      <c r="F6410" s="5" t="s">
        <v>8</v>
      </c>
      <c r="G6410" s="15" t="s">
        <v>9</v>
      </c>
      <c r="H6410" s="24">
        <f t="shared" si="1509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C6411" si="1558">A6410</f>
        <v>45987</v>
      </c>
      <c r="B6411" s="5" t="str">
        <f t="shared" si="1558"/>
        <v>Northern Cardinal</v>
      </c>
      <c r="C6411" s="6">
        <f t="shared" si="1558"/>
        <v>0.28611111111111109</v>
      </c>
      <c r="D6411" s="5"/>
      <c r="E6411" s="5"/>
      <c r="F6411" s="5" t="s">
        <v>8</v>
      </c>
      <c r="G6411" s="15" t="s">
        <v>9</v>
      </c>
      <c r="H6411" s="24">
        <f t="shared" si="1509"/>
        <v>0</v>
      </c>
      <c r="I6411" s="24" cm="1">
        <f t="array" ref="I6411">IFERROR(IF($B6411=I$1, ($A6411+$C6411) - MAX(IF($B$2:$B6410=$B6411, $A$2:$A6410+$C$2:$C6410)), "")*24*60, "")</f>
        <v>0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559">A6411</f>
        <v>45987</v>
      </c>
      <c r="B6412" s="5" t="str">
        <f t="shared" si="1559"/>
        <v>Northern Cardinal</v>
      </c>
      <c r="C6412" s="6">
        <f t="shared" si="1559"/>
        <v>0.28611111111111109</v>
      </c>
      <c r="D6412" s="5"/>
      <c r="E6412" s="5"/>
      <c r="F6412" s="5" t="s">
        <v>8</v>
      </c>
      <c r="G6412" s="15" t="s">
        <v>9</v>
      </c>
      <c r="H6412" s="24">
        <f t="shared" si="1509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C6413" si="1560">A6412</f>
        <v>45987</v>
      </c>
      <c r="B6413" s="5" t="str">
        <f t="shared" si="1560"/>
        <v>Northern Cardinal</v>
      </c>
      <c r="C6413" s="6">
        <f t="shared" si="1560"/>
        <v>0.28611111111111109</v>
      </c>
      <c r="D6413" s="5"/>
      <c r="E6413" s="5"/>
      <c r="F6413" s="5" t="s">
        <v>8</v>
      </c>
      <c r="G6413" s="15" t="s">
        <v>9</v>
      </c>
      <c r="H6413" s="24">
        <f t="shared" si="1509"/>
        <v>0</v>
      </c>
      <c r="I6413" s="24" cm="1">
        <f t="array" ref="I6413">IFERROR(IF($B6413=I$1, ($A6413+$C6413) - MAX(IF($B$2:$B6412=$B6413, $A$2:$A6412+$C$2:$C6412)), "")*24*60, "")</f>
        <v>0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06"/>
  <sheetViews>
    <sheetView tabSelected="1" zoomScale="120" zoomScaleNormal="120" workbookViewId="0">
      <pane ySplit="1" topLeftCell="A186" activePane="bottomLeft" state="frozen"/>
      <selection pane="bottomLeft" activeCell="A202" sqref="A202:E206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10">
        <v>45986</v>
      </c>
      <c r="B206" s="11" t="s">
        <v>10</v>
      </c>
      <c r="C206" s="11">
        <f>COUNTIFS(RawData!$B:$B, $B206, RawData!$A:$A, DailySummaries!$A206)</f>
        <v>25</v>
      </c>
      <c r="D206" s="11">
        <f>SUMIFS(RawData!$D:$D,RawData!$B:$B,$B206,RawData!$A:$A,DailySummaries!$A206)+1</f>
        <v>42</v>
      </c>
      <c r="E206" s="11">
        <f>SUMIFS(RawData!$E:$E,RawData!$B:$B,$B206,RawData!$A:$A,DailySummaries!$A206)+1</f>
        <v>25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2025-11-26T10:15:52Z</dcterms:modified>
</cp:coreProperties>
</file>
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EAB14350-38E0-474E-A921-E4810F5CAF58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2" i="2" l="1"/>
  <c r="D212" i="2"/>
  <c r="E212" i="2"/>
  <c r="C213" i="2"/>
  <c r="D213" i="2"/>
  <c r="E213" i="2"/>
  <c r="C214" i="2"/>
  <c r="D214" i="2"/>
  <c r="E214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P4649" i="1" l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3514" i="1" l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3515" i="1" l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P3515" i="1" l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O3516" i="1" l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3517" i="1" l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3518" i="1" l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3519" i="1" l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3520" i="1" l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3521" i="1" l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A3526" i="1" l="1"/>
  <c r="I3525" i="1" a="1"/>
  <c r="I3525" i="1" s="1"/>
  <c r="H3525" i="1"/>
  <c r="A3527" i="1" l="1"/>
  <c r="L3526" i="1" a="1"/>
  <c r="L3526" i="1" s="1"/>
  <c r="H3526" i="1"/>
  <c r="L3527" i="1" l="1" a="1"/>
  <c r="L3527" i="1" s="1"/>
  <c r="A3528" i="1"/>
  <c r="H3527" i="1"/>
  <c r="A3529" i="1" l="1"/>
  <c r="O3528" i="1" a="1"/>
  <c r="O3528" i="1" s="1"/>
  <c r="H3528" i="1"/>
  <c r="A3530" i="1" l="1"/>
  <c r="H3529" i="1"/>
  <c r="O3529" i="1" a="1"/>
  <c r="O3529" i="1" s="1"/>
  <c r="A3531" i="1" l="1"/>
  <c r="H3530" i="1"/>
  <c r="O3530" i="1" a="1"/>
  <c r="O3530" i="1" s="1"/>
  <c r="A3532" i="1" l="1"/>
  <c r="H3531" i="1"/>
  <c r="O3531" i="1" a="1"/>
  <c r="O3531" i="1" s="1"/>
  <c r="A3533" i="1" l="1"/>
  <c r="O3532" i="1" a="1"/>
  <c r="O3532" i="1" s="1"/>
  <c r="H3532" i="1"/>
  <c r="A3534" i="1" l="1"/>
  <c r="H3533" i="1"/>
  <c r="O3533" i="1" a="1"/>
  <c r="O3533" i="1" s="1"/>
  <c r="A3535" i="1" l="1"/>
  <c r="O3534" i="1" a="1"/>
  <c r="O3534" i="1" s="1"/>
  <c r="H3534" i="1"/>
  <c r="A3536" i="1" l="1"/>
  <c r="H3535" i="1"/>
  <c r="O3535" i="1" a="1"/>
  <c r="O3535" i="1" s="1"/>
  <c r="A3537" i="1" l="1"/>
  <c r="H3536" i="1"/>
  <c r="O3536" i="1" a="1"/>
  <c r="O3536" i="1" s="1"/>
  <c r="A3538" i="1" l="1"/>
  <c r="H3537" i="1"/>
  <c r="O3537" i="1" a="1"/>
  <c r="O3537" i="1" s="1"/>
  <c r="A3539" i="1" l="1"/>
  <c r="O3538" i="1" a="1"/>
  <c r="O3538" i="1" s="1"/>
  <c r="H3538" i="1"/>
  <c r="A3540" i="1" l="1"/>
  <c r="H3539" i="1"/>
  <c r="O3539" i="1" a="1"/>
  <c r="O3539" i="1" s="1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D205" i="2" l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D211" i="2" l="1"/>
  <c r="C210" i="2"/>
  <c r="E205" i="2"/>
  <c r="D209" i="2"/>
  <c r="C203" i="2"/>
  <c r="C206" i="2"/>
  <c r="D208" i="2"/>
  <c r="E204" i="2"/>
  <c r="D203" i="2"/>
  <c r="E208" i="2"/>
  <c r="E209" i="2"/>
  <c r="D206" i="2"/>
  <c r="C205" i="2"/>
  <c r="D210" i="2"/>
  <c r="C204" i="2"/>
  <c r="E203" i="2"/>
  <c r="C211" i="2"/>
  <c r="E206" i="2"/>
  <c r="E211" i="2"/>
  <c r="C209" i="2"/>
  <c r="D204" i="2"/>
  <c r="E210" i="2"/>
  <c r="C208" i="2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C6244" i="1"/>
  <c r="O6244" i="1" s="1" a="1"/>
  <c r="O6244" i="1" s="1"/>
  <c r="H6243" i="1"/>
  <c r="A6246" i="1"/>
  <c r="K6244" i="1" a="1"/>
  <c r="K6244" i="1" s="1"/>
  <c r="S6244" i="1" a="1"/>
  <c r="S6244" i="1" s="1"/>
  <c r="P6244" i="1" a="1"/>
  <c r="P6244" i="1" s="1"/>
  <c r="B6245" i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C6245" i="1"/>
  <c r="J6245" i="1" s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C6247" i="1"/>
  <c r="J6247" i="1" s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C6249" i="1"/>
  <c r="J6249" i="1" s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C6251" i="1"/>
  <c r="J6251" i="1" s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C6252" i="1"/>
  <c r="K6252" i="1" s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C6253" i="1"/>
  <c r="K6253" i="1" s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C6254" i="1"/>
  <c r="K6254" i="1" s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C6256" i="1"/>
  <c r="K6256" i="1" s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C6258" i="1"/>
  <c r="K6258" i="1" s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C6260" i="1"/>
  <c r="L6260" i="1" s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C6261" i="1"/>
  <c r="O6261" i="1" s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C6262" i="1"/>
  <c r="J6262" i="1" s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C6263" i="1"/>
  <c r="K6263" i="1" s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C6264" i="1"/>
  <c r="K6264" i="1" s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C6265" i="1"/>
  <c r="J6265" i="1" s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C6266" i="1"/>
  <c r="O6266" i="1" s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B6267" i="1"/>
  <c r="I6266" i="1" l="1" a="1"/>
  <c r="I6266" i="1" s="1"/>
  <c r="J6266" i="1" a="1"/>
  <c r="J6266" i="1" s="1"/>
  <c r="C6267" i="1"/>
  <c r="L6267" i="1" s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C6268" i="1"/>
  <c r="O6268" i="1" s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C6269" i="1"/>
  <c r="J6269" i="1" s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B6270" i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C6270" i="1"/>
  <c r="L6270" i="1" s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C6272" i="1"/>
  <c r="K6272" i="1" s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C6274" i="1"/>
  <c r="K6274" i="1" s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C6276" i="1"/>
  <c r="K6276" i="1" s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C6278" i="1"/>
  <c r="K6278" i="1" s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a="1"/>
  <c r="L6278" i="1" s="1"/>
  <c r="J6278" i="1" l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C6280" i="1"/>
  <c r="O6280" i="1" s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C6282" i="1"/>
  <c r="O6282" i="1" s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C6283" i="1"/>
  <c r="L6283" i="1" s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C6285" i="1"/>
  <c r="L6285" i="1" s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C6287" i="1"/>
  <c r="J6287" i="1" s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C6289" i="1"/>
  <c r="O6289" i="1" s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C6291" i="1"/>
  <c r="O6291" i="1" s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C6293" i="1"/>
  <c r="O6293" i="1" s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C6294" i="1"/>
  <c r="O6294" i="1" s="1" a="1"/>
  <c r="O6294" i="1" s="1"/>
  <c r="H6293" i="1"/>
  <c r="P6294" i="1" a="1"/>
  <c r="P6294" i="1" s="1"/>
  <c r="B6295" i="1"/>
  <c r="L6294" i="1" a="1"/>
  <c r="L6294" i="1" s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I6294" i="1" l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C6296" i="1"/>
  <c r="J6296" i="1" s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B6297" i="1"/>
  <c r="K6296" i="1" a="1"/>
  <c r="K6296" i="1" s="1"/>
  <c r="A6298" i="1"/>
  <c r="I6296" i="1" l="1" a="1"/>
  <c r="I6296" i="1" s="1"/>
  <c r="L6296" i="1" a="1"/>
  <c r="L6296" i="1" s="1"/>
  <c r="O6296" i="1" a="1"/>
  <c r="O6296" i="1" s="1"/>
  <c r="C6297" i="1"/>
  <c r="O6297" i="1" s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C6298" i="1"/>
  <c r="J6298" i="1" s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B6300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C6300" i="1"/>
  <c r="K6300" i="1" s="1" a="1"/>
  <c r="K6300" i="1" s="1"/>
  <c r="H6299" i="1"/>
  <c r="P6300" i="1" a="1"/>
  <c r="P6300" i="1" s="1"/>
  <c r="B6301" i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B6302" i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B6303" i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C6303" i="1"/>
  <c r="K6303" i="1" s="1" a="1"/>
  <c r="K6303" i="1" s="1"/>
  <c r="H6302" i="1"/>
  <c r="A6305" i="1"/>
  <c r="B6304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B6305" i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K6305" i="1" a="1"/>
  <c r="K6305" i="1" s="1"/>
  <c r="P6305" i="1" a="1"/>
  <c r="P6305" i="1" s="1"/>
  <c r="B6306" i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L6305" i="1" l="1" a="1"/>
  <c r="L6305" i="1" s="1"/>
  <c r="I6305" i="1" a="1"/>
  <c r="I6305" i="1" s="1"/>
  <c r="O6305" i="1" a="1"/>
  <c r="O6305" i="1" s="1"/>
  <c r="C6306" i="1"/>
  <c r="O6306" i="1" s="1" a="1"/>
  <c r="O6306" i="1" s="1"/>
  <c r="H6305" i="1"/>
  <c r="K6306" i="1" a="1"/>
  <c r="K6306" i="1" s="1"/>
  <c r="P6306" i="1" a="1"/>
  <c r="P6306" i="1" s="1"/>
  <c r="B6307" i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C6307" i="1"/>
  <c r="L6307" i="1" s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L6308" i="1" a="1"/>
  <c r="L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J6308" i="1" l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K6309" i="1" a="1"/>
  <c r="K6309" i="1" s="1"/>
  <c r="O6309" i="1" a="1"/>
  <c r="O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I6309" i="1" l="1" a="1"/>
  <c r="I6309" i="1" s="1"/>
  <c r="L6309" i="1" a="1"/>
  <c r="L6309" i="1" s="1"/>
  <c r="C6310" i="1"/>
  <c r="J6310" i="1" s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K6310" i="1" a="1"/>
  <c r="K6310" i="1" s="1"/>
  <c r="S6310" i="1" a="1"/>
  <c r="S6310" i="1" s="1"/>
  <c r="B6311" i="1"/>
  <c r="P6310" i="1" a="1"/>
  <c r="P6310" i="1" s="1"/>
  <c r="A6312" i="1"/>
  <c r="I6310" i="1" l="1" a="1"/>
  <c r="I6310" i="1" s="1"/>
  <c r="O6310" i="1" a="1"/>
  <c r="O6310" i="1" s="1"/>
  <c r="L6310" i="1" a="1"/>
  <c r="L6310" i="1" s="1"/>
  <c r="C6311" i="1"/>
  <c r="L6311" i="1" s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C6313" i="1"/>
  <c r="L6313" i="1" s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a="1"/>
  <c r="K6315" i="1" s="1"/>
  <c r="L6315" i="1" l="1" a="1"/>
  <c r="L6315" i="1" s="1"/>
  <c r="I6315" i="1" a="1"/>
  <c r="I6315" i="1" s="1"/>
  <c r="O6315" i="1" a="1"/>
  <c r="O6315" i="1" s="1"/>
  <c r="C6316" i="1"/>
  <c r="L6316" i="1" s="1" a="1"/>
  <c r="L6316" i="1" s="1"/>
  <c r="H6315" i="1"/>
  <c r="K6316" i="1" a="1"/>
  <c r="K6316" i="1" s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J6316" i="1" l="1" a="1"/>
  <c r="J6316" i="1" s="1"/>
  <c r="I6316" i="1" a="1"/>
  <c r="I6316" i="1" s="1"/>
  <c r="O6316" i="1" a="1"/>
  <c r="O6316" i="1" s="1"/>
  <c r="C6317" i="1"/>
  <c r="J6317" i="1" s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C6318" i="1"/>
  <c r="L6318" i="1" s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C6319" i="1"/>
  <c r="J6319" i="1" s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C6321" i="1"/>
  <c r="O6321" i="1" s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a="1"/>
  <c r="L6322" i="1" s="1"/>
  <c r="I6322" i="1" l="1" a="1"/>
  <c r="I6322" i="1" s="1"/>
  <c r="J6322" i="1" a="1"/>
  <c r="J6322" i="1" s="1"/>
  <c r="K6322" i="1" a="1"/>
  <c r="K6322" i="1" s="1"/>
  <c r="C6323" i="1"/>
  <c r="L6323" i="1" s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C6325" i="1"/>
  <c r="O6325" i="1" s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C6326" i="1"/>
  <c r="O6326" i="1" s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C6327" i="1"/>
  <c r="L6327" i="1" s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C6328" i="1"/>
  <c r="O6328" i="1" s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C6329" i="1"/>
  <c r="L6329" i="1" s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B6330" i="1"/>
  <c r="M6329" i="1" a="1"/>
  <c r="M6329" i="1" s="1"/>
  <c r="A6331" i="1"/>
  <c r="J6329" i="1" l="1" a="1"/>
  <c r="J6329" i="1" s="1"/>
  <c r="O6329" i="1" a="1"/>
  <c r="O6329" i="1" s="1"/>
  <c r="I6329" i="1" a="1"/>
  <c r="I6329" i="1" s="1"/>
  <c r="C6330" i="1"/>
  <c r="O6330" i="1" s="1" a="1"/>
  <c r="O6330" i="1" s="1"/>
  <c r="H6329" i="1"/>
  <c r="M6330" i="1" a="1"/>
  <c r="M6330" i="1" s="1"/>
  <c r="Q6330" i="1" a="1"/>
  <c r="Q6330" i="1" s="1"/>
  <c r="J6330" i="1" a="1"/>
  <c r="J6330" i="1" s="1"/>
  <c r="N6330" i="1" a="1"/>
  <c r="N6330" i="1" s="1"/>
  <c r="R6330" i="1" a="1"/>
  <c r="R6330" i="1" s="1"/>
  <c r="S6330" i="1" a="1"/>
  <c r="S6330" i="1" s="1"/>
  <c r="L6330" i="1" a="1"/>
  <c r="L6330" i="1" s="1"/>
  <c r="B6331" i="1"/>
  <c r="P6330" i="1" a="1"/>
  <c r="P6330" i="1" s="1"/>
  <c r="A6332" i="1"/>
  <c r="K6330" i="1" l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C6332" i="1"/>
  <c r="J6332" i="1" s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C6334" i="1"/>
  <c r="J6334" i="1" s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C6335" i="1"/>
  <c r="L6335" i="1" s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K6335" i="1" a="1"/>
  <c r="K6335" i="1" s="1"/>
  <c r="M6335" i="1" a="1"/>
  <c r="M6335" i="1" s="1"/>
  <c r="S6335" i="1" a="1"/>
  <c r="S6335" i="1" s="1"/>
  <c r="A6337" i="1"/>
  <c r="J6335" i="1" l="1" a="1"/>
  <c r="J6335" i="1" s="1"/>
  <c r="O6335" i="1" a="1"/>
  <c r="O6335" i="1" s="1"/>
  <c r="I6335" i="1" a="1"/>
  <c r="I6335" i="1" s="1"/>
  <c r="C6336" i="1"/>
  <c r="K6336" i="1" s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C6338" i="1"/>
  <c r="O6338" i="1" s="1" a="1"/>
  <c r="O6338" i="1" s="1"/>
  <c r="H6337" i="1"/>
  <c r="M6338" i="1" a="1"/>
  <c r="M6338" i="1" s="1"/>
  <c r="Q6338" i="1" a="1"/>
  <c r="Q6338" i="1" s="1"/>
  <c r="K6338" i="1" a="1"/>
  <c r="K6338" i="1" s="1"/>
  <c r="S6338" i="1" a="1"/>
  <c r="S6338" i="1" s="1"/>
  <c r="N6338" i="1" a="1"/>
  <c r="N6338" i="1" s="1"/>
  <c r="B6339" i="1"/>
  <c r="J6338" i="1" a="1"/>
  <c r="J6338" i="1" s="1"/>
  <c r="P6338" i="1" a="1"/>
  <c r="P6338" i="1" s="1"/>
  <c r="R6338" i="1" a="1"/>
  <c r="R6338" i="1" s="1"/>
  <c r="A6340" i="1"/>
  <c r="L6338" i="1" l="1" a="1"/>
  <c r="L6338" i="1" s="1"/>
  <c r="I6338" i="1" a="1"/>
  <c r="I6338" i="1" s="1"/>
  <c r="C6339" i="1"/>
  <c r="J6339" i="1" s="1" a="1"/>
  <c r="J6339" i="1" s="1"/>
  <c r="H6338" i="1"/>
  <c r="P6339" i="1" a="1"/>
  <c r="P6339" i="1" s="1"/>
  <c r="B6340" i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C6341" i="1"/>
  <c r="J6341" i="1" s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B6342" i="1"/>
  <c r="Q6341" i="1" a="1"/>
  <c r="Q6341" i="1" s="1"/>
  <c r="S6341" i="1" a="1"/>
  <c r="S6341" i="1" s="1"/>
  <c r="K6341" i="1" a="1"/>
  <c r="K6341" i="1" s="1"/>
  <c r="A6343" i="1"/>
  <c r="L6341" i="1" l="1" a="1"/>
  <c r="L6341" i="1" s="1"/>
  <c r="O6341" i="1" a="1"/>
  <c r="O6341" i="1" s="1"/>
  <c r="I6341" i="1" a="1"/>
  <c r="I6341" i="1" s="1"/>
  <c r="C6342" i="1"/>
  <c r="O6342" i="1" s="1" a="1"/>
  <c r="O6342" i="1" s="1"/>
  <c r="H6341" i="1"/>
  <c r="A6344" i="1"/>
  <c r="M6342" i="1" a="1"/>
  <c r="M6342" i="1" s="1"/>
  <c r="Q6342" i="1" a="1"/>
  <c r="Q6342" i="1" s="1"/>
  <c r="K6342" i="1" a="1"/>
  <c r="K6342" i="1" s="1"/>
  <c r="S6342" i="1" a="1"/>
  <c r="S6342" i="1" s="1"/>
  <c r="N6342" i="1" a="1"/>
  <c r="N6342" i="1" s="1"/>
  <c r="B6343" i="1"/>
  <c r="P6342" i="1" a="1"/>
  <c r="P6342" i="1" s="1"/>
  <c r="R6342" i="1" a="1"/>
  <c r="R6342" i="1" s="1"/>
  <c r="L6342" i="1" l="1" a="1"/>
  <c r="L6342" i="1" s="1"/>
  <c r="J6342" i="1" a="1"/>
  <c r="J6342" i="1" s="1"/>
  <c r="I6342" i="1" a="1"/>
  <c r="I6342" i="1" s="1"/>
  <c r="C6343" i="1"/>
  <c r="L6343" i="1" s="1" a="1"/>
  <c r="L6343" i="1" s="1"/>
  <c r="H6342" i="1"/>
  <c r="P6343" i="1" a="1"/>
  <c r="P6343" i="1" s="1"/>
  <c r="B6344" i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C6344" i="1"/>
  <c r="O6344" i="1" s="1" a="1"/>
  <c r="O6344" i="1" s="1"/>
  <c r="H6343" i="1"/>
  <c r="K6344" i="1" a="1"/>
  <c r="K6344" i="1" s="1"/>
  <c r="S6344" i="1" a="1"/>
  <c r="S6344" i="1" s="1"/>
  <c r="B6345" i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B6346" i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C6346" i="1"/>
  <c r="O6346" i="1" s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a="1"/>
  <c r="K6347" i="1" s="1"/>
  <c r="I6347" i="1" l="1" a="1"/>
  <c r="I6347" i="1" s="1"/>
  <c r="L6347" i="1" a="1"/>
  <c r="L6347" i="1" s="1"/>
  <c r="O6347" i="1" a="1"/>
  <c r="O6347" i="1" s="1"/>
  <c r="C6348" i="1"/>
  <c r="L6348" i="1" s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B6349" i="1"/>
  <c r="I6348" i="1" l="1" a="1"/>
  <c r="I6348" i="1" s="1"/>
  <c r="J6348" i="1" a="1"/>
  <c r="J6348" i="1" s="1"/>
  <c r="O6348" i="1" a="1"/>
  <c r="O6348" i="1" s="1"/>
  <c r="C6349" i="1"/>
  <c r="J6349" i="1" s="1" a="1"/>
  <c r="J6349" i="1" s="1"/>
  <c r="H6348" i="1"/>
  <c r="A6351" i="1"/>
  <c r="N6349" i="1" a="1"/>
  <c r="N6349" i="1" s="1"/>
  <c r="R6349" i="1" a="1"/>
  <c r="R6349" i="1" s="1"/>
  <c r="B6350" i="1"/>
  <c r="K6349" i="1" a="1"/>
  <c r="K6349" i="1" s="1"/>
  <c r="P6349" i="1" a="1"/>
  <c r="P6349" i="1" s="1"/>
  <c r="M6349" i="1" a="1"/>
  <c r="M6349" i="1" s="1"/>
  <c r="Q6349" i="1" a="1"/>
  <c r="Q6349" i="1" s="1"/>
  <c r="S6349" i="1" a="1"/>
  <c r="S6349" i="1" s="1"/>
  <c r="L6349" i="1" a="1"/>
  <c r="L6349" i="1" s="1"/>
  <c r="O6349" i="1" l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B6351" i="1"/>
  <c r="J6350" i="1" a="1"/>
  <c r="J6350" i="1" s="1"/>
  <c r="K6350" i="1" a="1"/>
  <c r="K6350" i="1" s="1"/>
  <c r="L6350" i="1" l="1" a="1"/>
  <c r="L6350" i="1" s="1"/>
  <c r="I6350" i="1" a="1"/>
  <c r="I6350" i="1" s="1"/>
  <c r="C6351" i="1"/>
  <c r="L6351" i="1" s="1" a="1"/>
  <c r="L6351" i="1" s="1"/>
  <c r="H6350" i="1"/>
  <c r="P6351" i="1" a="1"/>
  <c r="P6351" i="1" s="1"/>
  <c r="B6352" i="1"/>
  <c r="J6351" i="1" a="1"/>
  <c r="J6351" i="1" s="1"/>
  <c r="K6351" i="1" a="1"/>
  <c r="K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I6351" i="1" l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B6353" i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K6353" i="1" a="1"/>
  <c r="K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I6353" i="1" l="1" a="1"/>
  <c r="I6353" i="1" s="1"/>
  <c r="L6353" i="1" a="1"/>
  <c r="L6353" i="1" s="1"/>
  <c r="O6353" i="1" a="1"/>
  <c r="O6353" i="1" s="1"/>
  <c r="C6354" i="1"/>
  <c r="O6354" i="1" s="1" a="1"/>
  <c r="O6354" i="1" s="1"/>
  <c r="H6353" i="1"/>
  <c r="A6356" i="1"/>
  <c r="M6354" i="1" a="1"/>
  <c r="M6354" i="1" s="1"/>
  <c r="Q6354" i="1" a="1"/>
  <c r="Q6354" i="1" s="1"/>
  <c r="P6354" i="1" a="1"/>
  <c r="P6354" i="1" s="1"/>
  <c r="B6355" i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L6355" i="1" a="1"/>
  <c r="L6355" i="1" s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B6356" i="1"/>
  <c r="A6357" i="1"/>
  <c r="K6355" i="1" l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Q6356" i="1" a="1"/>
  <c r="Q6356" i="1" s="1"/>
  <c r="M6356" i="1" a="1"/>
  <c r="M6356" i="1" s="1"/>
  <c r="N6356" i="1" a="1"/>
  <c r="N6356" i="1" s="1"/>
  <c r="R6356" i="1" a="1"/>
  <c r="R6356" i="1" s="1"/>
  <c r="B6357" i="1"/>
  <c r="P6356" i="1" a="1"/>
  <c r="P6356" i="1" s="1"/>
  <c r="A6358" i="1"/>
  <c r="J6356" i="1" l="1" a="1"/>
  <c r="J6356" i="1" s="1"/>
  <c r="I6356" i="1" a="1"/>
  <c r="I6356" i="1" s="1"/>
  <c r="O6356" i="1" a="1"/>
  <c r="O6356" i="1" s="1"/>
  <c r="C6357" i="1"/>
  <c r="J6357" i="1" s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B6358" i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Q6359" i="1" a="1"/>
  <c r="Q6359" i="1" s="1"/>
  <c r="M6359" i="1" a="1"/>
  <c r="M6359" i="1" s="1"/>
  <c r="R6359" i="1" a="1"/>
  <c r="R6359" i="1" s="1"/>
  <c r="N6359" i="1" a="1"/>
  <c r="N6359" i="1" s="1"/>
  <c r="B6360" i="1"/>
  <c r="K6359" i="1" a="1"/>
  <c r="K6359" i="1" s="1"/>
  <c r="A6361" i="1"/>
  <c r="J6359" i="1" l="1" a="1"/>
  <c r="J6359" i="1" s="1"/>
  <c r="I6359" i="1" a="1"/>
  <c r="I6359" i="1" s="1"/>
  <c r="O6359" i="1" a="1"/>
  <c r="O6359" i="1" s="1"/>
  <c r="C6360" i="1"/>
  <c r="J6360" i="1" s="1" a="1"/>
  <c r="J6360" i="1" s="1"/>
  <c r="H6359" i="1"/>
  <c r="A6362" i="1"/>
  <c r="K6360" i="1" a="1"/>
  <c r="K6360" i="1" s="1"/>
  <c r="S6360" i="1" a="1"/>
  <c r="S6360" i="1" s="1"/>
  <c r="N6360" i="1" a="1"/>
  <c r="N6360" i="1" s="1"/>
  <c r="B6361" i="1"/>
  <c r="P6360" i="1" a="1"/>
  <c r="P6360" i="1" s="1"/>
  <c r="Q6360" i="1" a="1"/>
  <c r="Q6360" i="1" s="1"/>
  <c r="M6360" i="1" a="1"/>
  <c r="M6360" i="1" s="1"/>
  <c r="R6360" i="1" a="1"/>
  <c r="R6360" i="1" s="1"/>
  <c r="I6360" i="1" l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Q6361" i="1" a="1"/>
  <c r="Q6361" i="1" s="1"/>
  <c r="K6361" i="1" a="1"/>
  <c r="K6361" i="1" s="1"/>
  <c r="M6361" i="1" a="1"/>
  <c r="M6361" i="1" s="1"/>
  <c r="S6361" i="1" a="1"/>
  <c r="S6361" i="1" s="1"/>
  <c r="A6363" i="1"/>
  <c r="I6361" i="1" l="1" a="1"/>
  <c r="I6361" i="1" s="1"/>
  <c r="J6361" i="1" a="1"/>
  <c r="J6361" i="1" s="1"/>
  <c r="O6361" i="1" a="1"/>
  <c r="O6361" i="1" s="1"/>
  <c r="C6362" i="1"/>
  <c r="J6362" i="1" s="1" a="1"/>
  <c r="J6362" i="1" s="1"/>
  <c r="H6361" i="1"/>
  <c r="A6364" i="1"/>
  <c r="M6362" i="1" a="1"/>
  <c r="M6362" i="1" s="1"/>
  <c r="Q6362" i="1" a="1"/>
  <c r="Q6362" i="1" s="1"/>
  <c r="L6362" i="1" a="1"/>
  <c r="L6362" i="1" s="1"/>
  <c r="B6363" i="1"/>
  <c r="S6362" i="1" a="1"/>
  <c r="S6362" i="1" s="1"/>
  <c r="K6362" i="1" a="1"/>
  <c r="K6362" i="1" s="1"/>
  <c r="P6362" i="1" a="1"/>
  <c r="P6362" i="1" s="1"/>
  <c r="R6362" i="1" a="1"/>
  <c r="R6362" i="1" s="1"/>
  <c r="N6362" i="1" a="1"/>
  <c r="N6362" i="1" s="1"/>
  <c r="I6362" i="1" l="1" a="1"/>
  <c r="I6362" i="1" s="1"/>
  <c r="O6362" i="1" a="1"/>
  <c r="O6362" i="1" s="1"/>
  <c r="C6363" i="1"/>
  <c r="J6363" i="1" s="1" a="1"/>
  <c r="J6363" i="1" s="1"/>
  <c r="H6362" i="1"/>
  <c r="P6363" i="1" a="1"/>
  <c r="P6363" i="1" s="1"/>
  <c r="M6363" i="1" a="1"/>
  <c r="M6363" i="1" s="1"/>
  <c r="Q6363" i="1" a="1"/>
  <c r="Q6363" i="1" s="1"/>
  <c r="R6363" i="1" a="1"/>
  <c r="R6363" i="1" s="1"/>
  <c r="N6363" i="1" a="1"/>
  <c r="N6363" i="1" s="1"/>
  <c r="S6363" i="1" a="1"/>
  <c r="S6363" i="1" s="1"/>
  <c r="K6363" i="1" a="1"/>
  <c r="K6363" i="1" s="1"/>
  <c r="B6364" i="1"/>
  <c r="A6365" i="1"/>
  <c r="I6363" i="1" l="1" a="1"/>
  <c r="I6363" i="1" s="1"/>
  <c r="L6363" i="1" a="1"/>
  <c r="L6363" i="1" s="1"/>
  <c r="O6363" i="1" a="1"/>
  <c r="O6363" i="1" s="1"/>
  <c r="C6364" i="1"/>
  <c r="J6364" i="1" s="1" a="1"/>
  <c r="J6364" i="1" s="1"/>
  <c r="H6363" i="1"/>
  <c r="A6366" i="1"/>
  <c r="K6364" i="1" a="1"/>
  <c r="K6364" i="1" s="1"/>
  <c r="S6364" i="1" a="1"/>
  <c r="S6364" i="1" s="1"/>
  <c r="R6364" i="1" a="1"/>
  <c r="R6364" i="1" s="1"/>
  <c r="N6364" i="1" a="1"/>
  <c r="N6364" i="1" s="1"/>
  <c r="B6365" i="1"/>
  <c r="P6364" i="1" a="1"/>
  <c r="P6364" i="1" s="1"/>
  <c r="Q6364" i="1" a="1"/>
  <c r="Q6364" i="1" s="1"/>
  <c r="M6364" i="1" a="1"/>
  <c r="M6364" i="1" s="1"/>
  <c r="I6364" i="1" l="1" a="1"/>
  <c r="I6364" i="1" s="1"/>
  <c r="L6364" i="1" a="1"/>
  <c r="L6364" i="1" s="1"/>
  <c r="O6364" i="1" a="1"/>
  <c r="O6364" i="1" s="1"/>
  <c r="C6365" i="1"/>
  <c r="O6365" i="1" s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K6365" i="1" a="1"/>
  <c r="K6365" i="1" s="1"/>
  <c r="P6365" i="1" a="1"/>
  <c r="P6365" i="1" s="1"/>
  <c r="A6367" i="1"/>
  <c r="J6365" i="1" l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K6366" i="1" a="1"/>
  <c r="K6366" i="1" s="1"/>
  <c r="P6366" i="1" a="1"/>
  <c r="P6366" i="1" s="1"/>
  <c r="R6366" i="1" a="1"/>
  <c r="R6366" i="1" s="1"/>
  <c r="S6366" i="1" a="1"/>
  <c r="S6366" i="1" s="1"/>
  <c r="L6366" i="1" l="1" a="1"/>
  <c r="L6366" i="1" s="1"/>
  <c r="J6366" i="1" a="1"/>
  <c r="J6366" i="1" s="1"/>
  <c r="I6366" i="1" a="1"/>
  <c r="I6366" i="1" s="1"/>
  <c r="C6367" i="1"/>
  <c r="L6367" i="1" s="1" a="1"/>
  <c r="L6367" i="1" s="1"/>
  <c r="H6366" i="1"/>
  <c r="P6367" i="1" a="1"/>
  <c r="P6367" i="1" s="1"/>
  <c r="K6367" i="1" a="1"/>
  <c r="K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J6367" i="1" l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K6368" i="1" a="1"/>
  <c r="K6368" i="1" s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L6368" i="1" l="1" a="1"/>
  <c r="L6368" i="1" s="1"/>
  <c r="J6368" i="1" a="1"/>
  <c r="J6368" i="1" s="1"/>
  <c r="I6368" i="1" a="1"/>
  <c r="I6368" i="1" s="1"/>
  <c r="C6369" i="1"/>
  <c r="J6369" i="1" s="1" a="1"/>
  <c r="J6369" i="1" s="1"/>
  <c r="H6368" i="1"/>
  <c r="N6369" i="1" a="1"/>
  <c r="N6369" i="1" s="1"/>
  <c r="R6369" i="1" a="1"/>
  <c r="R6369" i="1" s="1"/>
  <c r="Q6369" i="1" a="1"/>
  <c r="Q6369" i="1" s="1"/>
  <c r="M6369" i="1" a="1"/>
  <c r="M6369" i="1" s="1"/>
  <c r="S6369" i="1" a="1"/>
  <c r="S6369" i="1" s="1"/>
  <c r="B6370" i="1"/>
  <c r="K6369" i="1" a="1"/>
  <c r="K6369" i="1" s="1"/>
  <c r="P6369" i="1" a="1"/>
  <c r="P6369" i="1" s="1"/>
  <c r="A6371" i="1"/>
  <c r="I6369" i="1" l="1" a="1"/>
  <c r="I6369" i="1" s="1"/>
  <c r="L6369" i="1" a="1"/>
  <c r="L6369" i="1" s="1"/>
  <c r="O6369" i="1" a="1"/>
  <c r="O6369" i="1" s="1"/>
  <c r="C6370" i="1"/>
  <c r="K6370" i="1" s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C6371" i="1"/>
  <c r="L6371" i="1" s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Q6371" i="1" a="1"/>
  <c r="Q6371" i="1" s="1"/>
  <c r="B6372" i="1"/>
  <c r="K6371" i="1" a="1"/>
  <c r="K6371" i="1" s="1"/>
  <c r="A6373" i="1"/>
  <c r="J6371" i="1" l="1" a="1"/>
  <c r="J6371" i="1" s="1"/>
  <c r="I6371" i="1" a="1"/>
  <c r="I6371" i="1" s="1"/>
  <c r="O6371" i="1" a="1"/>
  <c r="O6371" i="1" s="1"/>
  <c r="C6372" i="1"/>
  <c r="L6372" i="1" s="1" a="1"/>
  <c r="L6372" i="1" s="1"/>
  <c r="H6371" i="1"/>
  <c r="A6374" i="1"/>
  <c r="K6372" i="1" a="1"/>
  <c r="K6372" i="1" s="1"/>
  <c r="S6372" i="1" a="1"/>
  <c r="S6372" i="1" s="1"/>
  <c r="J6372" i="1" a="1"/>
  <c r="J6372" i="1" s="1"/>
  <c r="B6373" i="1"/>
  <c r="P6372" i="1" a="1"/>
  <c r="P6372" i="1" s="1"/>
  <c r="Q6372" i="1" a="1"/>
  <c r="Q6372" i="1" s="1"/>
  <c r="M6372" i="1" a="1"/>
  <c r="M6372" i="1" s="1"/>
  <c r="R6372" i="1" a="1"/>
  <c r="R6372" i="1" s="1"/>
  <c r="N6372" i="1" a="1"/>
  <c r="N6372" i="1" s="1"/>
  <c r="I6372" i="1" l="1" a="1"/>
  <c r="I6372" i="1" s="1"/>
  <c r="O6372" i="1" a="1"/>
  <c r="O6372" i="1" s="1"/>
  <c r="C6373" i="1"/>
  <c r="J6373" i="1" s="1" a="1"/>
  <c r="J6373" i="1" s="1"/>
  <c r="H6372" i="1"/>
  <c r="N6373" i="1" a="1"/>
  <c r="N6373" i="1" s="1"/>
  <c r="R6373" i="1" a="1"/>
  <c r="R6373" i="1" s="1"/>
  <c r="K6373" i="1" a="1"/>
  <c r="K6373" i="1" s="1"/>
  <c r="L6373" i="1" a="1"/>
  <c r="L6373" i="1" s="1"/>
  <c r="M6373" i="1" a="1"/>
  <c r="M6373" i="1" s="1"/>
  <c r="S6373" i="1" a="1"/>
  <c r="S6373" i="1" s="1"/>
  <c r="Q6373" i="1" a="1"/>
  <c r="Q6373" i="1" s="1"/>
  <c r="B6374" i="1"/>
  <c r="P6373" i="1" a="1"/>
  <c r="P6373" i="1" s="1"/>
  <c r="A6375" i="1"/>
  <c r="I6373" i="1" l="1" a="1"/>
  <c r="I6373" i="1" s="1"/>
  <c r="O6373" i="1" a="1"/>
  <c r="O6373" i="1" s="1"/>
  <c r="C6374" i="1"/>
  <c r="O6374" i="1" s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C6375" i="1"/>
  <c r="L6375" i="1" s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K6375" i="1" a="1"/>
  <c r="K6375" i="1" s="1"/>
  <c r="A6377" i="1"/>
  <c r="J6375" i="1" l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Q6376" i="1" a="1"/>
  <c r="Q6376" i="1" s="1"/>
  <c r="R6376" i="1" a="1"/>
  <c r="R6376" i="1" s="1"/>
  <c r="N6376" i="1" a="1"/>
  <c r="N6376" i="1" s="1"/>
  <c r="I6376" i="1" l="1" a="1"/>
  <c r="I6376" i="1" s="1"/>
  <c r="O6376" i="1" a="1"/>
  <c r="O6376" i="1" s="1"/>
  <c r="L6376" i="1" a="1"/>
  <c r="L6376" i="1" s="1"/>
  <c r="C6377" i="1"/>
  <c r="O6377" i="1" s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L6377" i="1" a="1"/>
  <c r="L6377" i="1" s="1"/>
  <c r="B6378" i="1"/>
  <c r="K6377" i="1" a="1"/>
  <c r="K6377" i="1" s="1"/>
  <c r="P6377" i="1" a="1"/>
  <c r="P6377" i="1" s="1"/>
  <c r="Q6377" i="1" a="1"/>
  <c r="Q6377" i="1" s="1"/>
  <c r="A6379" i="1"/>
  <c r="J6377" i="1" l="1" a="1"/>
  <c r="J6377" i="1" s="1"/>
  <c r="C6378" i="1"/>
  <c r="J6378" i="1" s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K6378" i="1" a="1"/>
  <c r="K6378" i="1" s="1"/>
  <c r="P6378" i="1" a="1"/>
  <c r="P6378" i="1" s="1"/>
  <c r="R6378" i="1" a="1"/>
  <c r="R6378" i="1" s="1"/>
  <c r="N6378" i="1" a="1"/>
  <c r="N6378" i="1" s="1"/>
  <c r="L6378" i="1" l="1" a="1"/>
  <c r="L6378" i="1" s="1"/>
  <c r="I6378" i="1" a="1"/>
  <c r="I6378" i="1" s="1"/>
  <c r="O6378" i="1" a="1"/>
  <c r="O6378" i="1" s="1"/>
  <c r="C6379" i="1"/>
  <c r="O6379" i="1" s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C6380" i="1"/>
  <c r="L6380" i="1" s="1" a="1"/>
  <c r="L6380" i="1" s="1"/>
  <c r="H6379" i="1"/>
  <c r="A6382" i="1"/>
  <c r="K6380" i="1" a="1"/>
  <c r="K6380" i="1" s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J6380" i="1" l="1" a="1"/>
  <c r="J6380" i="1" s="1"/>
  <c r="O6380" i="1" a="1"/>
  <c r="O6380" i="1" s="1"/>
  <c r="C6381" i="1"/>
  <c r="O6381" i="1" s="1" a="1"/>
  <c r="O6381" i="1" s="1"/>
  <c r="H6380" i="1"/>
  <c r="A6383" i="1"/>
  <c r="J6381" i="1" a="1"/>
  <c r="J6381" i="1" s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a="1"/>
  <c r="Q6381" i="1" s="1"/>
  <c r="L6381" i="1" l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K6382" i="1" a="1"/>
  <c r="K6382" i="1" s="1"/>
  <c r="P6382" i="1" a="1"/>
  <c r="P6382" i="1" s="1"/>
  <c r="R6382" i="1" a="1"/>
  <c r="R6382" i="1" s="1"/>
  <c r="N6382" i="1" a="1"/>
  <c r="N6382" i="1" s="1"/>
  <c r="S6382" i="1" a="1"/>
  <c r="S6382" i="1" s="1"/>
  <c r="A6384" i="1"/>
  <c r="J6382" i="1" l="1" a="1"/>
  <c r="J6382" i="1" s="1"/>
  <c r="L6382" i="1" a="1"/>
  <c r="L6382" i="1" s="1"/>
  <c r="O6382" i="1" a="1"/>
  <c r="O6382" i="1" s="1"/>
  <c r="C6383" i="1"/>
  <c r="J6383" i="1" s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K6383" i="1" a="1"/>
  <c r="K6383" i="1" s="1"/>
  <c r="Q6383" i="1" a="1"/>
  <c r="Q6383" i="1" s="1"/>
  <c r="I6383" i="1" l="1" a="1"/>
  <c r="I6383" i="1" s="1"/>
  <c r="O6383" i="1" a="1"/>
  <c r="O6383" i="1" s="1"/>
  <c r="C6384" i="1"/>
  <c r="O6384" i="1" s="1" a="1"/>
  <c r="O6384" i="1" s="1"/>
  <c r="H6383" i="1"/>
  <c r="K6384" i="1" a="1"/>
  <c r="K6384" i="1" s="1"/>
  <c r="S6384" i="1" a="1"/>
  <c r="S6384" i="1" s="1"/>
  <c r="N6384" i="1" a="1"/>
  <c r="N6384" i="1" s="1"/>
  <c r="P6384" i="1" a="1"/>
  <c r="P6384" i="1" s="1"/>
  <c r="B6385" i="1"/>
  <c r="Q6384" i="1" a="1"/>
  <c r="Q6384" i="1" s="1"/>
  <c r="M6384" i="1" a="1"/>
  <c r="M6384" i="1" s="1"/>
  <c r="R6384" i="1" a="1"/>
  <c r="R6384" i="1" s="1"/>
  <c r="A6386" i="1"/>
  <c r="J6384" i="1" l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C6386" i="1"/>
  <c r="L6386" i="1" s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C6388" i="1"/>
  <c r="J6388" i="1" s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C6390" i="1"/>
  <c r="L6390" i="1" s="1" a="1"/>
  <c r="L6390" i="1" s="1"/>
  <c r="H6389" i="1"/>
  <c r="A6392" i="1"/>
  <c r="M6390" i="1" a="1"/>
  <c r="M6390" i="1" s="1"/>
  <c r="Q6390" i="1" a="1"/>
  <c r="Q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J6390" i="1" l="1" a="1"/>
  <c r="J6390" i="1" s="1"/>
  <c r="K6390" i="1" a="1"/>
  <c r="K6390" i="1" s="1"/>
  <c r="I6390" i="1" a="1"/>
  <c r="I6390" i="1" s="1"/>
  <c r="O6390" i="1" a="1"/>
  <c r="O6390" i="1" s="1"/>
  <c r="C6391" i="1"/>
  <c r="J6391" i="1" s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K6391" i="1" a="1"/>
  <c r="K6391" i="1" s="1"/>
  <c r="M6391" i="1" a="1"/>
  <c r="M6391" i="1" s="1"/>
  <c r="Q6391" i="1" a="1"/>
  <c r="Q6391" i="1" s="1"/>
  <c r="A6393" i="1"/>
  <c r="I6391" i="1" l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L6392" i="1" a="1"/>
  <c r="L6392" i="1" s="1"/>
  <c r="Q6392" i="1" a="1"/>
  <c r="Q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O6392" i="1" l="1" a="1"/>
  <c r="O6392" i="1" s="1"/>
  <c r="I6392" i="1" a="1"/>
  <c r="I6392" i="1" s="1"/>
  <c r="C6393" i="1"/>
  <c r="J6393" i="1" s="1" a="1"/>
  <c r="J6393" i="1" s="1"/>
  <c r="H6392" i="1"/>
  <c r="A6395" i="1"/>
  <c r="K6393" i="1" a="1"/>
  <c r="K6393" i="1" s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I6393" i="1" l="1" a="1"/>
  <c r="I6393" i="1" s="1"/>
  <c r="O6393" i="1" a="1"/>
  <c r="O6393" i="1" s="1"/>
  <c r="L6393" i="1" a="1"/>
  <c r="L6393" i="1" s="1"/>
  <c r="C6394" i="1"/>
  <c r="L6394" i="1" s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Q6395" i="1" a="1"/>
  <c r="Q6395" i="1" s="1"/>
  <c r="P6395" i="1" a="1"/>
  <c r="P6395" i="1" s="1"/>
  <c r="N6395" i="1" a="1"/>
  <c r="N6395" i="1" s="1"/>
  <c r="R6395" i="1" a="1"/>
  <c r="R6395" i="1" s="1"/>
  <c r="S6395" i="1" a="1"/>
  <c r="S6395" i="1" s="1"/>
  <c r="K6395" i="1" l="1" a="1"/>
  <c r="K6395" i="1" s="1"/>
  <c r="I6395" i="1" a="1"/>
  <c r="I6395" i="1" s="1"/>
  <c r="O6395" i="1" a="1"/>
  <c r="O6395" i="1" s="1"/>
  <c r="L6395" i="1" a="1"/>
  <c r="L6395" i="1" s="1"/>
  <c r="C6396" i="1"/>
  <c r="L6396" i="1" s="1" a="1"/>
  <c r="L6396" i="1" s="1"/>
  <c r="H6395" i="1"/>
  <c r="P6396" i="1" a="1"/>
  <c r="P6396" i="1" s="1"/>
  <c r="K6396" i="1" a="1"/>
  <c r="K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J6396" i="1" l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C6398" i="1"/>
  <c r="O6398" i="1" s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Q6398" i="1" a="1"/>
  <c r="Q6398" i="1" s="1"/>
  <c r="L6398" i="1" a="1"/>
  <c r="L6398" i="1" s="1"/>
  <c r="P6398" i="1" a="1"/>
  <c r="P6398" i="1" s="1"/>
  <c r="B6399" i="1"/>
  <c r="I6398" i="1" l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B6400" i="1"/>
  <c r="M6399" i="1" a="1"/>
  <c r="M6399" i="1" s="1"/>
  <c r="Q6399" i="1" a="1"/>
  <c r="Q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O6399" i="1" l="1" a="1"/>
  <c r="O6399" i="1" s="1"/>
  <c r="I6399" i="1" a="1"/>
  <c r="I6399" i="1" s="1"/>
  <c r="J6399" i="1" a="1"/>
  <c r="J6399" i="1" s="1"/>
  <c r="C6400" i="1"/>
  <c r="O6400" i="1" s="1" a="1"/>
  <c r="O6400" i="1" s="1"/>
  <c r="H6399" i="1"/>
  <c r="P6400" i="1" a="1"/>
  <c r="P6400" i="1" s="1"/>
  <c r="B6401" i="1"/>
  <c r="M6400" i="1" a="1"/>
  <c r="M6400" i="1" s="1"/>
  <c r="Q6400" i="1" a="1"/>
  <c r="Q6400" i="1" s="1"/>
  <c r="S6400" i="1" a="1"/>
  <c r="S6400" i="1" s="1"/>
  <c r="N6400" i="1" a="1"/>
  <c r="N6400" i="1" s="1"/>
  <c r="R6400" i="1" a="1"/>
  <c r="R6400" i="1" s="1"/>
  <c r="K6400" i="1" a="1"/>
  <c r="K6400" i="1" s="1"/>
  <c r="A6402" i="1"/>
  <c r="L6400" i="1" l="1" a="1"/>
  <c r="L6400" i="1" s="1"/>
  <c r="J6400" i="1" a="1"/>
  <c r="J6400" i="1" s="1"/>
  <c r="I6400" i="1" a="1"/>
  <c r="I6400" i="1" s="1"/>
  <c r="C6401" i="1"/>
  <c r="O6401" i="1" s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Q6402" i="1" a="1"/>
  <c r="Q6402" i="1" s="1"/>
  <c r="S6402" i="1" a="1"/>
  <c r="S6402" i="1" s="1"/>
  <c r="P6402" i="1" a="1"/>
  <c r="P6402" i="1" s="1"/>
  <c r="M6402" i="1" a="1"/>
  <c r="M6402" i="1" s="1"/>
  <c r="A6404" i="1"/>
  <c r="L6402" i="1" l="1" a="1"/>
  <c r="L6402" i="1" s="1"/>
  <c r="K6402" i="1" a="1"/>
  <c r="K6402" i="1" s="1"/>
  <c r="I6402" i="1" a="1"/>
  <c r="I6402" i="1" s="1"/>
  <c r="O6402" i="1" a="1"/>
  <c r="O6402" i="1" s="1"/>
  <c r="C6403" i="1"/>
  <c r="L6403" i="1" s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Q6404" i="1" a="1"/>
  <c r="Q6404" i="1" s="1"/>
  <c r="S6404" i="1" a="1"/>
  <c r="S6404" i="1" s="1"/>
  <c r="N6404" i="1" a="1"/>
  <c r="N6404" i="1" s="1"/>
  <c r="R6404" i="1" a="1"/>
  <c r="R6404" i="1" s="1"/>
  <c r="A6406" i="1"/>
  <c r="K6404" i="1" l="1" a="1"/>
  <c r="K6404" i="1" s="1"/>
  <c r="I6404" i="1" a="1"/>
  <c r="I6404" i="1" s="1"/>
  <c r="O6404" i="1" a="1"/>
  <c r="O6404" i="1" s="1"/>
  <c r="L6404" i="1" a="1"/>
  <c r="L6404" i="1" s="1"/>
  <c r="C6405" i="1"/>
  <c r="O6405" i="1" s="1" a="1"/>
  <c r="O6405" i="1" s="1"/>
  <c r="H6404" i="1"/>
  <c r="A6407" i="1"/>
  <c r="K6405" i="1" a="1"/>
  <c r="K6405" i="1" s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J6405" i="1" l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C6407" i="1"/>
  <c r="J6407" i="1" s="1" a="1"/>
  <c r="J6407" i="1" s="1"/>
  <c r="H6406" i="1"/>
  <c r="A6409" i="1"/>
  <c r="B6408" i="1"/>
  <c r="M6407" i="1" a="1"/>
  <c r="M6407" i="1" s="1"/>
  <c r="Q6407" i="1" a="1"/>
  <c r="Q6407" i="1" s="1"/>
  <c r="N6407" i="1" a="1"/>
  <c r="N6407" i="1" s="1"/>
  <c r="R6407" i="1" a="1"/>
  <c r="R6407" i="1" s="1"/>
  <c r="K6407" i="1" a="1"/>
  <c r="K6407" i="1" s="1"/>
  <c r="S6407" i="1" a="1"/>
  <c r="S6407" i="1" s="1"/>
  <c r="P6407" i="1" a="1"/>
  <c r="P6407" i="1" s="1"/>
  <c r="I6407" i="1" l="1" a="1"/>
  <c r="I6407" i="1" s="1"/>
  <c r="O6407" i="1" a="1"/>
  <c r="O6407" i="1" s="1"/>
  <c r="L6407" i="1" a="1"/>
  <c r="L6407" i="1" s="1"/>
  <c r="C6408" i="1"/>
  <c r="J6408" i="1" s="1" a="1"/>
  <c r="J6408" i="1" s="1"/>
  <c r="H6407" i="1"/>
  <c r="S6408" i="1" a="1"/>
  <c r="S6408" i="1" s="1"/>
  <c r="L6408" i="1" a="1"/>
  <c r="L6408" i="1" s="1"/>
  <c r="P6408" i="1" a="1"/>
  <c r="P6408" i="1" s="1"/>
  <c r="B6409" i="1"/>
  <c r="M6408" i="1" a="1"/>
  <c r="M6408" i="1" s="1"/>
  <c r="Q6408" i="1" a="1"/>
  <c r="Q6408" i="1" s="1"/>
  <c r="N6408" i="1" a="1"/>
  <c r="N6408" i="1" s="1"/>
  <c r="R6408" i="1" a="1"/>
  <c r="R6408" i="1" s="1"/>
  <c r="A6410" i="1"/>
  <c r="K6408" i="1" l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K6409" i="1" a="1"/>
  <c r="K6409" i="1" s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J6409" i="1" l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L6410" i="1" a="1"/>
  <c r="L6410" i="1" s="1"/>
  <c r="P6410" i="1" a="1"/>
  <c r="P6410" i="1" s="1"/>
  <c r="J6410" i="1" l="1" a="1"/>
  <c r="J6410" i="1" s="1"/>
  <c r="O6410" i="1" a="1"/>
  <c r="O6410" i="1" s="1"/>
  <c r="I6410" i="1" a="1"/>
  <c r="I6410" i="1" s="1"/>
  <c r="C6411" i="1"/>
  <c r="O6411" i="1" s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K6411" i="1" a="1"/>
  <c r="K6411" i="1" s="1"/>
  <c r="S6411" i="1" a="1"/>
  <c r="S6411" i="1" s="1"/>
  <c r="P6411" i="1" a="1"/>
  <c r="P6411" i="1" s="1"/>
  <c r="A6413" i="1"/>
  <c r="D207" i="2" l="1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Q6412" i="1" a="1"/>
  <c r="Q6412" i="1" s="1"/>
  <c r="R6412" i="1" a="1"/>
  <c r="R6412" i="1" s="1"/>
  <c r="K6412" i="1" a="1"/>
  <c r="K6412" i="1" s="1"/>
  <c r="N6412" i="1" a="1"/>
  <c r="N6412" i="1" s="1"/>
  <c r="I6412" i="1" l="1" a="1"/>
  <c r="I6412" i="1" s="1"/>
  <c r="L6412" i="1" a="1"/>
  <c r="L6412" i="1" s="1"/>
  <c r="O6412" i="1" a="1"/>
  <c r="O6412" i="1" s="1"/>
  <c r="C6413" i="1"/>
  <c r="H6413" i="1" s="1"/>
  <c r="H6412" i="1"/>
  <c r="S6413" i="1" a="1"/>
  <c r="S6413" i="1" s="1"/>
  <c r="R6413" i="1" a="1"/>
  <c r="R6413" i="1" s="1"/>
  <c r="P6413" i="1" a="1"/>
  <c r="P6413" i="1" s="1"/>
  <c r="M6413" i="1" a="1"/>
  <c r="M6413" i="1" s="1"/>
  <c r="Q6413" i="1" a="1"/>
  <c r="Q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I6413" i="1" l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<sst xmlns="http://schemas.openxmlformats.org/spreadsheetml/2006/main" count="60865" uniqueCount="26">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</sst>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6413"/>
  <sheetViews>
    <sheetView zoomScale="90" zoomScaleNormal="90" workbookViewId="0">
      <pane ySplit="1" topLeftCell="A6241" activePane="bottomLeft" state="frozen"/>
      <selection pane="bottomLeft" activeCell="D6242" sqref="D624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A6242:C6242" si="1128">B6241</f>
        <v>Northern Cardinal</v>
      </c>
      <c r="C6242" s="6">
        <v>0.28541666666666665</v>
      </c>
      <c r="D6242" s="5"/>
      <c r="E6242" s="5"/>
      <c r="F6242" s="5" t="s">
        <v>8</v>
      </c>
      <c r="G6242" s="15" t="s">
        <v>9</v>
      </c>
      <c r="H6242" s="24">
        <f t="shared" ref="H6234:H6297" si="1129">IFERROR((($A6242+$C6242) - ($A6241+$C6241))*24*60, "")</f>
        <v>789.99999999767169</v>
      </c>
      <c r="I6242" s="24" cm="1">
        <f t="array" ref="I6242">IFERROR(IF($B6242=I$1, ($A6242+$C6242) - MAX(IF($B$2:$B6241=$B6242, $A$2:$A6241+$C$2:$C6241)), "")*24*60, "")</f>
        <v>789.99999999767169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0.28541666666666665</v>
      </c>
      <c r="D6243" s="5"/>
      <c r="E6243" s="5"/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C6244" si="1131">A6243</f>
        <v>45989</v>
      </c>
      <c r="B6244" s="5" t="str">
        <f t="shared" si="1131"/>
        <v>Northern Cardinal</v>
      </c>
      <c r="C6244" s="6">
        <f t="shared" si="1131"/>
        <v>0.28541666666666665</v>
      </c>
      <c r="D6244" s="5"/>
      <c r="E6244" s="5"/>
      <c r="F6244" s="5" t="s">
        <v>8</v>
      </c>
      <c r="G6244" s="15" t="s">
        <v>9</v>
      </c>
      <c r="H6244" s="24">
        <f t="shared" si="1129"/>
        <v>0</v>
      </c>
      <c r="I6244" s="24" cm="1">
        <f t="array" ref="I6244">IFERROR(IF($B6244=I$1, ($A6244+$C6244) - MAX(IF($B$2:$B6243=$B6244, $A$2:$A6243+$C$2:$C6243)), "")*24*60, "")</f>
        <v>0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:C6245" si="1132">A6244</f>
        <v>45989</v>
      </c>
      <c r="B6245" s="5" t="str">
        <f t="shared" si="1132"/>
        <v>Northern Cardinal</v>
      </c>
      <c r="C6245" s="6">
        <f t="shared" si="1132"/>
        <v>0.28541666666666665</v>
      </c>
      <c r="D6245" s="5"/>
      <c r="E6245" s="5"/>
      <c r="F6245" s="5" t="s">
        <v>8</v>
      </c>
      <c r="G6245" s="15" t="s">
        <v>9</v>
      </c>
      <c r="H6245" s="24">
        <f t="shared" si="1129"/>
        <v>0</v>
      </c>
      <c r="I6245" s="24" cm="1">
        <f t="array" ref="I6245">IFERROR(IF($B6245=I$1, ($A6245+$C6245) - MAX(IF($B$2:$B6244=$B6245, $A$2:$A6244+$C$2:$C6244)), "")*24*60, "")</f>
        <v>0</v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t="str" cm="1">
        <f t="array" ref="O6245">IFERROR(IF($B6245=O$1, ($A6245+$C6245) - MAX(IF($B$2:$B6244=$B6245, $A$2:$A6244+$C$2:$C6244)), "")*24*60, "")</f>
        <v/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Northern Cardinal</v>
      </c>
      <c r="C6246" s="6">
        <f t="shared" si="1133"/>
        <v>0.28541666666666665</v>
      </c>
      <c r="D6246" s="5"/>
      <c r="E6246" s="5"/>
      <c r="F6246" s="5" t="s">
        <v>8</v>
      </c>
      <c r="G6246" s="15" t="s">
        <v>9</v>
      </c>
      <c r="H6246" s="24">
        <f t="shared" si="1129"/>
        <v>0</v>
      </c>
      <c r="I6246" s="24" cm="1">
        <f t="array" ref="I6246">IFERROR(IF($B6246=I$1, ($A6246+$C6246) - MAX(IF($B$2:$B6245=$B6246, $A$2:$A6245+$C$2:$C6245)), "")*24*60, "")</f>
        <v>0</v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t="str" cm="1">
        <f t="array" ref="O6246">IFERROR(IF($B6246=O$1, ($A6246+$C6246) - MAX(IF($B$2:$B6245=$B6246, $A$2:$A6245+$C$2:$C6245)), "")*24*60, "")</f>
        <v/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C6247" si="1134">A6246</f>
        <v>45989</v>
      </c>
      <c r="B6247" s="5" t="str">
        <f t="shared" si="1134"/>
        <v>Northern Cardinal</v>
      </c>
      <c r="C6247" s="6">
        <f t="shared" si="1134"/>
        <v>0.28541666666666665</v>
      </c>
      <c r="D6247" s="5"/>
      <c r="E6247" s="5"/>
      <c r="F6247" s="5" t="s">
        <v>8</v>
      </c>
      <c r="G6247" s="15" t="s">
        <v>9</v>
      </c>
      <c r="H6247" s="24">
        <f t="shared" si="1129"/>
        <v>0</v>
      </c>
      <c r="I6247" s="24" cm="1">
        <f t="array" ref="I6247">IFERROR(IF($B6247=I$1, ($A6247+$C6247) - MAX(IF($B$2:$B6246=$B6247, $A$2:$A6246+$C$2:$C6246)), "")*24*60, "")</f>
        <v>0</v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t="str" cm="1">
        <f t="array" ref="O6247">IFERROR(IF($B6247=O$1, ($A6247+$C6247) - MAX(IF($B$2:$B6246=$B6247, $A$2:$A6246+$C$2:$C6246)), "")*24*60, "")</f>
        <v/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Northern Cardinal</v>
      </c>
      <c r="C6248" s="6">
        <f t="shared" si="1135"/>
        <v>0.28541666666666665</v>
      </c>
      <c r="D6248" s="5"/>
      <c r="E6248" s="5"/>
      <c r="F6248" s="5" t="s">
        <v>8</v>
      </c>
      <c r="G6248" s="15" t="s">
        <v>9</v>
      </c>
      <c r="H6248" s="24">
        <f t="shared" si="1129"/>
        <v>0</v>
      </c>
      <c r="I6248" s="24" cm="1">
        <f t="array" ref="I6248">IFERROR(IF($B6248=I$1, ($A6248+$C6248) - MAX(IF($B$2:$B6247=$B6248, $A$2:$A6247+$C$2:$C6247)), "")*24*60, "")</f>
        <v>0</v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t="str" cm="1">
        <f t="array" ref="O6248">IFERROR(IF($B6248=O$1, ($A6248+$C6248) - MAX(IF($B$2:$B6247=$B6248, $A$2:$A6247+$C$2:$C6247)), "")*24*60, "")</f>
        <v/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C6249" si="1136">A6248</f>
        <v>45989</v>
      </c>
      <c r="B6249" s="5" t="str">
        <f t="shared" si="1136"/>
        <v>Northern Cardinal</v>
      </c>
      <c r="C6249" s="6">
        <f t="shared" si="1136"/>
        <v>0.28541666666666665</v>
      </c>
      <c r="D6249" s="5"/>
      <c r="E6249" s="5"/>
      <c r="F6249" s="5" t="s">
        <v>8</v>
      </c>
      <c r="G6249" s="15" t="s">
        <v>9</v>
      </c>
      <c r="H6249" s="24">
        <f t="shared" si="1129"/>
        <v>0</v>
      </c>
      <c r="I6249" s="24" cm="1">
        <f t="array" ref="I6249">IFERROR(IF($B6249=I$1, ($A6249+$C6249) - MAX(IF($B$2:$B6248=$B6249, $A$2:$A6248+$C$2:$C6248)), "")*24*60, "")</f>
        <v>0</v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t="str" cm="1">
        <f t="array" ref="O6249">IFERROR(IF($B6249=O$1, ($A6249+$C6249) - MAX(IF($B$2:$B6248=$B6249, $A$2:$A6248+$C$2:$C6248)), "")*24*60, "")</f>
        <v/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Northern Cardinal</v>
      </c>
      <c r="C6250" s="6">
        <f t="shared" si="1137"/>
        <v>0.28541666666666665</v>
      </c>
      <c r="D6250" s="5"/>
      <c r="E6250" s="5"/>
      <c r="F6250" s="5" t="s">
        <v>8</v>
      </c>
      <c r="G6250" s="15" t="s">
        <v>9</v>
      </c>
      <c r="H6250" s="24">
        <f t="shared" si="1129"/>
        <v>0</v>
      </c>
      <c r="I6250" s="24" cm="1">
        <f t="array" ref="I6250">IFERROR(IF($B6250=I$1, ($A6250+$C6250) - MAX(IF($B$2:$B6249=$B6250, $A$2:$A6249+$C$2:$C6249)), "")*24*60, "")</f>
        <v>0</v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t="str" cm="1">
        <f t="array" ref="O6250">IFERROR(IF($B6250=O$1, ($A6250+$C6250) - MAX(IF($B$2:$B6249=$B6250, $A$2:$A6249+$C$2:$C6249)), "")*24*60, "")</f>
        <v/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C6251" si="1138">A6250</f>
        <v>45989</v>
      </c>
      <c r="B6251" s="5" t="str">
        <f t="shared" si="1138"/>
        <v>Northern Cardinal</v>
      </c>
      <c r="C6251" s="6">
        <f t="shared" si="1138"/>
        <v>0.28541666666666665</v>
      </c>
      <c r="D6251" s="5"/>
      <c r="E6251" s="5"/>
      <c r="F6251" s="5" t="s">
        <v>8</v>
      </c>
      <c r="G6251" s="15" t="s">
        <v>9</v>
      </c>
      <c r="H6251" s="24">
        <f t="shared" si="1129"/>
        <v>0</v>
      </c>
      <c r="I6251" s="24" cm="1">
        <f t="array" ref="I6251">IFERROR(IF($B6251=I$1, ($A6251+$C6251) - MAX(IF($B$2:$B6250=$B6251, $A$2:$A6250+$C$2:$C6250)), "")*24*60, "")</f>
        <v>0</v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t="str" cm="1">
        <f t="array" ref="O6251">IFERROR(IF($B6251=O$1, ($A6251+$C6251) - MAX(IF($B$2:$B6250=$B6251, $A$2:$A6250+$C$2:$C6250)), "")*24*60, "")</f>
        <v/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C6252" si="1139">A6251</f>
        <v>45989</v>
      </c>
      <c r="B6252" s="5" t="str">
        <f t="shared" si="1139"/>
        <v>Northern Cardinal</v>
      </c>
      <c r="C6252" s="6">
        <f t="shared" si="1139"/>
        <v>0.28541666666666665</v>
      </c>
      <c r="D6252" s="5"/>
      <c r="E6252" s="5"/>
      <c r="F6252" s="5" t="s">
        <v>8</v>
      </c>
      <c r="G6252" s="15" t="s">
        <v>9</v>
      </c>
      <c r="H6252" s="24">
        <f t="shared" si="1129"/>
        <v>0</v>
      </c>
      <c r="I6252" s="24" cm="1">
        <f t="array" ref="I6252">IFERROR(IF($B6252=I$1, ($A6252+$C6252) - MAX(IF($B$2:$B6251=$B6252, $A$2:$A6251+$C$2:$C6251)), "")*24*60, "")</f>
        <v>0</v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t="str" cm="1">
        <f t="array" ref="O6252">IFERROR(IF($B6252=O$1, ($A6252+$C6252) - MAX(IF($B$2:$B6251=$B6252, $A$2:$A6251+$C$2:$C6251)), "")*24*60, "")</f>
        <v/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C6253" si="1140">A6252</f>
        <v>45989</v>
      </c>
      <c r="B6253" s="5" t="str">
        <f t="shared" si="1140"/>
        <v>Northern Cardinal</v>
      </c>
      <c r="C6253" s="6">
        <f t="shared" si="1140"/>
        <v>0.28541666666666665</v>
      </c>
      <c r="D6253" s="5"/>
      <c r="E6253" s="5"/>
      <c r="F6253" s="5" t="s">
        <v>8</v>
      </c>
      <c r="G6253" s="15" t="s">
        <v>9</v>
      </c>
      <c r="H6253" s="24">
        <f t="shared" si="1129"/>
        <v>0</v>
      </c>
      <c r="I6253" s="24" cm="1">
        <f t="array" ref="I6253">IFERROR(IF($B6253=I$1, ($A6253+$C6253) - MAX(IF($B$2:$B6252=$B6253, $A$2:$A6252+$C$2:$C6252)), "")*24*60, "")</f>
        <v>0</v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t="str" cm="1">
        <f t="array" ref="O6253">IFERROR(IF($B6253=O$1, ($A6253+$C6253) - MAX(IF($B$2:$B6252=$B6253, $A$2:$A6252+$C$2:$C6252)), "")*24*60, "")</f>
        <v/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C6254" si="1141">A6253</f>
        <v>45989</v>
      </c>
      <c r="B6254" s="5" t="str">
        <f t="shared" si="1141"/>
        <v>Northern Cardinal</v>
      </c>
      <c r="C6254" s="6">
        <f t="shared" si="1141"/>
        <v>0.28541666666666665</v>
      </c>
      <c r="D6254" s="5"/>
      <c r="E6254" s="5"/>
      <c r="F6254" s="5" t="s">
        <v>8</v>
      </c>
      <c r="G6254" s="15" t="s">
        <v>9</v>
      </c>
      <c r="H6254" s="24">
        <f t="shared" si="1129"/>
        <v>0</v>
      </c>
      <c r="I6254" s="24" cm="1">
        <f t="array" ref="I6254">IFERROR(IF($B6254=I$1, ($A6254+$C6254) - MAX(IF($B$2:$B6253=$B6254, $A$2:$A6253+$C$2:$C6253)), "")*24*60, "")</f>
        <v>0</v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t="str" cm="1">
        <f t="array" ref="O6254">IFERROR(IF($B6254=O$1, ($A6254+$C6254) - MAX(IF($B$2:$B6253=$B6254, $A$2:$A6253+$C$2:$C6253)), "")*24*60, "")</f>
        <v/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Northern Cardinal</v>
      </c>
      <c r="C6255" s="6">
        <f t="shared" si="1142"/>
        <v>0.28541666666666665</v>
      </c>
      <c r="D6255" s="5"/>
      <c r="E6255" s="5"/>
      <c r="F6255" s="5" t="s">
        <v>8</v>
      </c>
      <c r="G6255" s="15" t="s">
        <v>9</v>
      </c>
      <c r="H6255" s="24">
        <f t="shared" si="1129"/>
        <v>0</v>
      </c>
      <c r="I6255" s="24" cm="1">
        <f t="array" ref="I6255">IFERROR(IF($B6255=I$1, ($A6255+$C6255) - MAX(IF($B$2:$B6254=$B6255, $A$2:$A6254+$C$2:$C6254)), "")*24*60, "")</f>
        <v>0</v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t="str" cm="1">
        <f t="array" ref="O6255">IFERROR(IF($B6255=O$1, ($A6255+$C6255) - MAX(IF($B$2:$B6254=$B6255, $A$2:$A6254+$C$2:$C6254)), "")*24*60, "")</f>
        <v/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C6256" si="1143">A6255</f>
        <v>45989</v>
      </c>
      <c r="B6256" s="5" t="str">
        <f t="shared" si="1143"/>
        <v>Northern Cardinal</v>
      </c>
      <c r="C6256" s="6">
        <f t="shared" si="1143"/>
        <v>0.28541666666666665</v>
      </c>
      <c r="D6256" s="5"/>
      <c r="E6256" s="5"/>
      <c r="F6256" s="5" t="s">
        <v>8</v>
      </c>
      <c r="G6256" s="15" t="s">
        <v>9</v>
      </c>
      <c r="H6256" s="24">
        <f t="shared" si="1129"/>
        <v>0</v>
      </c>
      <c r="I6256" s="24" cm="1">
        <f t="array" ref="I6256">IFERROR(IF($B6256=I$1, ($A6256+$C6256) - MAX(IF($B$2:$B6255=$B6256, $A$2:$A6255+$C$2:$C6255)), "")*24*60, "")</f>
        <v>0</v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t="str" cm="1">
        <f t="array" ref="O6256">IFERROR(IF($B6256=O$1, ($A6256+$C6256) - MAX(IF($B$2:$B6255=$B6256, $A$2:$A6255+$C$2:$C6255)), "")*24*60, "")</f>
        <v/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Northern Cardinal</v>
      </c>
      <c r="C6257" s="6">
        <f t="shared" si="1144"/>
        <v>0.28541666666666665</v>
      </c>
      <c r="D6257" s="5"/>
      <c r="E6257" s="5"/>
      <c r="F6257" s="5" t="s">
        <v>8</v>
      </c>
      <c r="G6257" s="15" t="s">
        <v>9</v>
      </c>
      <c r="H6257" s="24">
        <f t="shared" si="1129"/>
        <v>0</v>
      </c>
      <c r="I6257" s="24" cm="1">
        <f t="array" ref="I6257">IFERROR(IF($B6257=I$1, ($A6257+$C6257) - MAX(IF($B$2:$B6256=$B6257, $A$2:$A6256+$C$2:$C6256)), "")*24*60, "")</f>
        <v>0</v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t="str" cm="1">
        <f t="array" ref="O6257">IFERROR(IF($B6257=O$1, ($A6257+$C6257) - MAX(IF($B$2:$B6256=$B6257, $A$2:$A6256+$C$2:$C6256)), "")*24*60, "")</f>
        <v/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C6258" si="1145">A6257</f>
        <v>45989</v>
      </c>
      <c r="B6258" s="5" t="str">
        <f t="shared" si="1145"/>
        <v>Northern Cardinal</v>
      </c>
      <c r="C6258" s="6">
        <f t="shared" si="1145"/>
        <v>0.28541666666666665</v>
      </c>
      <c r="D6258" s="5"/>
      <c r="E6258" s="5"/>
      <c r="F6258" s="5" t="s">
        <v>8</v>
      </c>
      <c r="G6258" s="15" t="s">
        <v>9</v>
      </c>
      <c r="H6258" s="24">
        <f t="shared" si="1129"/>
        <v>0</v>
      </c>
      <c r="I6258" s="24" cm="1">
        <f t="array" ref="I6258">IFERROR(IF($B6258=I$1, ($A6258+$C6258) - MAX(IF($B$2:$B6257=$B6258, $A$2:$A6257+$C$2:$C6257)), "")*24*60, "")</f>
        <v>0</v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t="str" cm="1">
        <f t="array" ref="O6258">IFERROR(IF($B6258=O$1, ($A6258+$C6258) - MAX(IF($B$2:$B6257=$B6258, $A$2:$A6257+$C$2:$C6257)), "")*24*60, "")</f>
        <v/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Northern Cardinal</v>
      </c>
      <c r="C6259" s="6">
        <f t="shared" si="1146"/>
        <v>0.28541666666666665</v>
      </c>
      <c r="D6259" s="5"/>
      <c r="E6259" s="5"/>
      <c r="F6259" s="5" t="s">
        <v>8</v>
      </c>
      <c r="G6259" s="15" t="s">
        <v>9</v>
      </c>
      <c r="H6259" s="24">
        <f t="shared" si="1129"/>
        <v>0</v>
      </c>
      <c r="I6259" s="24" cm="1">
        <f t="array" ref="I6259">IFERROR(IF($B6259=I$1, ($A6259+$C6259) - MAX(IF($B$2:$B6258=$B6259, $A$2:$A6258+$C$2:$C6258)), "")*24*60, "")</f>
        <v>0</v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t="str" cm="1">
        <f t="array" ref="O6259">IFERROR(IF($B6259=O$1, ($A6259+$C6259) - MAX(IF($B$2:$B6258=$B6259, $A$2:$A6258+$C$2:$C6258)), "")*24*60, "")</f>
        <v/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C6260" si="1147">A6259</f>
        <v>45989</v>
      </c>
      <c r="B6260" s="5" t="str">
        <f t="shared" si="1147"/>
        <v>Northern Cardinal</v>
      </c>
      <c r="C6260" s="6">
        <f t="shared" si="1147"/>
        <v>0.28541666666666665</v>
      </c>
      <c r="D6260" s="5"/>
      <c r="E6260" s="5"/>
      <c r="F6260" s="5" t="s">
        <v>8</v>
      </c>
      <c r="G6260" s="15" t="s">
        <v>9</v>
      </c>
      <c r="H6260" s="24">
        <f t="shared" si="1129"/>
        <v>0</v>
      </c>
      <c r="I6260" s="24" cm="1">
        <f t="array" ref="I6260">IFERROR(IF($B6260=I$1, ($A6260+$C6260) - MAX(IF($B$2:$B6259=$B6260, $A$2:$A6259+$C$2:$C6259)), "")*24*60, "")</f>
        <v>0</v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t="str" cm="1">
        <f t="array" ref="O6260">IFERROR(IF($B6260=O$1, ($A6260+$C6260) - MAX(IF($B$2:$B6259=$B6260, $A$2:$A6259+$C$2:$C6259)), "")*24*60, "")</f>
        <v/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C6261" si="1148">A6260</f>
        <v>45989</v>
      </c>
      <c r="B6261" s="5" t="str">
        <f t="shared" si="1148"/>
        <v>Northern Cardinal</v>
      </c>
      <c r="C6261" s="6">
        <f t="shared" si="1148"/>
        <v>0.28541666666666665</v>
      </c>
      <c r="D6261" s="5"/>
      <c r="E6261" s="5"/>
      <c r="F6261" s="5" t="s">
        <v>8</v>
      </c>
      <c r="G6261" s="15" t="s">
        <v>9</v>
      </c>
      <c r="H6261" s="24">
        <f t="shared" si="1129"/>
        <v>0</v>
      </c>
      <c r="I6261" s="24" cm="1">
        <f t="array" ref="I6261">IFERROR(IF($B6261=I$1, ($A6261+$C6261) - MAX(IF($B$2:$B6260=$B6261, $A$2:$A6260+$C$2:$C6260)), "")*24*60, "")</f>
        <v>0</v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t="str" cm="1">
        <f t="array" ref="O6261">IFERROR(IF($B6261=O$1, ($A6261+$C6261) - MAX(IF($B$2:$B6260=$B6261, $A$2:$A6260+$C$2:$C6260)), "")*24*60, "")</f>
        <v/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C6262" si="1149">A6261</f>
        <v>45989</v>
      </c>
      <c r="B6262" s="5" t="str">
        <f t="shared" si="1149"/>
        <v>Northern Cardinal</v>
      </c>
      <c r="C6262" s="6">
        <f t="shared" si="1149"/>
        <v>0.28541666666666665</v>
      </c>
      <c r="D6262" s="5"/>
      <c r="E6262" s="5"/>
      <c r="F6262" s="5" t="s">
        <v>8</v>
      </c>
      <c r="G6262" s="15" t="s">
        <v>9</v>
      </c>
      <c r="H6262" s="24">
        <f t="shared" si="1129"/>
        <v>0</v>
      </c>
      <c r="I6262" s="24" cm="1">
        <f t="array" ref="I6262">IFERROR(IF($B6262=I$1, ($A6262+$C6262) - MAX(IF($B$2:$B6261=$B6262, $A$2:$A6261+$C$2:$C6261)), "")*24*60, "")</f>
        <v>0</v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t="str" cm="1">
        <f t="array" ref="O6262">IFERROR(IF($B6262=O$1, ($A6262+$C6262) - MAX(IF($B$2:$B6261=$B6262, $A$2:$A6261+$C$2:$C6261)), "")*24*60, "")</f>
        <v/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C6263" si="1150">A6262</f>
        <v>45989</v>
      </c>
      <c r="B6263" s="5" t="str">
        <f t="shared" si="1150"/>
        <v>Northern Cardinal</v>
      </c>
      <c r="C6263" s="6">
        <f t="shared" si="1150"/>
        <v>0.28541666666666665</v>
      </c>
      <c r="D6263" s="5"/>
      <c r="E6263" s="5"/>
      <c r="F6263" s="5" t="s">
        <v>8</v>
      </c>
      <c r="G6263" s="15" t="s">
        <v>9</v>
      </c>
      <c r="H6263" s="24">
        <f t="shared" si="1129"/>
        <v>0</v>
      </c>
      <c r="I6263" s="24" cm="1">
        <f t="array" ref="I6263">IFERROR(IF($B6263=I$1, ($A6263+$C6263) - MAX(IF($B$2:$B6262=$B6263, $A$2:$A6262+$C$2:$C6262)), "")*24*60, "")</f>
        <v>0</v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t="str" cm="1">
        <f t="array" ref="O6263">IFERROR(IF($B6263=O$1, ($A6263+$C6263) - MAX(IF($B$2:$B6262=$B6263, $A$2:$A6262+$C$2:$C6262)), "")*24*60, "")</f>
        <v/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Northern Cardinal</v>
      </c>
      <c r="C6264" s="6">
        <f t="shared" si="1151"/>
        <v>0.28541666666666665</v>
      </c>
      <c r="D6264" s="5"/>
      <c r="E6264" s="5"/>
      <c r="F6264" s="5" t="s">
        <v>8</v>
      </c>
      <c r="G6264" s="15" t="s">
        <v>9</v>
      </c>
      <c r="H6264" s="24">
        <f t="shared" si="1129"/>
        <v>0</v>
      </c>
      <c r="I6264" s="24" cm="1">
        <f t="array" ref="I6264">IFERROR(IF($B6264=I$1, ($A6264+$C6264) - MAX(IF($B$2:$B6263=$B6264, $A$2:$A6263+$C$2:$C6263)), "")*24*60, "")</f>
        <v>0</v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t="str" cm="1">
        <f t="array" ref="O6264">IFERROR(IF($B6264=O$1, ($A6264+$C6264) - MAX(IF($B$2:$B6263=$B6264, $A$2:$A6263+$C$2:$C6263)), "")*24*60, "")</f>
        <v/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C6265" si="1152">A6264</f>
        <v>45989</v>
      </c>
      <c r="B6265" s="5" t="str">
        <f t="shared" si="1152"/>
        <v>Northern Cardinal</v>
      </c>
      <c r="C6265" s="6">
        <f t="shared" si="1152"/>
        <v>0.28541666666666665</v>
      </c>
      <c r="D6265" s="5"/>
      <c r="E6265" s="5"/>
      <c r="F6265" s="5" t="s">
        <v>8</v>
      </c>
      <c r="G6265" s="15" t="s">
        <v>9</v>
      </c>
      <c r="H6265" s="24">
        <f t="shared" si="1129"/>
        <v>0</v>
      </c>
      <c r="I6265" s="24" cm="1">
        <f t="array" ref="I6265">IFERROR(IF($B6265=I$1, ($A6265+$C6265) - MAX(IF($B$2:$B6264=$B6265, $A$2:$A6264+$C$2:$C6264)), "")*24*60, "")</f>
        <v>0</v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t="str" cm="1">
        <f t="array" ref="O6265">IFERROR(IF($B6265=O$1, ($A6265+$C6265) - MAX(IF($B$2:$B6264=$B6265, $A$2:$A6264+$C$2:$C6264)), "")*24*60, "")</f>
        <v/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C6266" si="1153">A6265</f>
        <v>45989</v>
      </c>
      <c r="B6266" s="5" t="str">
        <f t="shared" si="1153"/>
        <v>Northern Cardinal</v>
      </c>
      <c r="C6266" s="6">
        <f t="shared" si="1153"/>
        <v>0.28541666666666665</v>
      </c>
      <c r="D6266" s="5"/>
      <c r="E6266" s="5"/>
      <c r="F6266" s="5" t="s">
        <v>8</v>
      </c>
      <c r="G6266" s="15" t="s">
        <v>9</v>
      </c>
      <c r="H6266" s="24">
        <f t="shared" si="1129"/>
        <v>0</v>
      </c>
      <c r="I6266" s="24" cm="1">
        <f t="array" ref="I6266">IFERROR(IF($B6266=I$1, ($A6266+$C6266) - MAX(IF($B$2:$B6265=$B6266, $A$2:$A6265+$C$2:$C6265)), "")*24*60, "")</f>
        <v>0</v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t="str" cm="1">
        <f t="array" ref="O6266">IFERROR(IF($B6266=O$1, ($A6266+$C6266) - MAX(IF($B$2:$B6265=$B6266, $A$2:$A6265+$C$2:$C6265)), "")*24*60, "")</f>
        <v/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:C6267" si="1154">A6266</f>
        <v>45989</v>
      </c>
      <c r="B6267" s="5" t="str">
        <f t="shared" si="1154"/>
        <v>Northern Cardinal</v>
      </c>
      <c r="C6267" s="6">
        <f t="shared" si="1154"/>
        <v>0.28541666666666665</v>
      </c>
      <c r="D6267" s="5"/>
      <c r="E6267" s="5"/>
      <c r="F6267" s="5" t="s">
        <v>8</v>
      </c>
      <c r="G6267" s="15" t="s">
        <v>9</v>
      </c>
      <c r="H6267" s="24">
        <f t="shared" si="1129"/>
        <v>0</v>
      </c>
      <c r="I6267" s="24" cm="1">
        <f t="array" ref="I6267">IFERROR(IF($B6267=I$1, ($A6267+$C6267) - MAX(IF($B$2:$B6266=$B6267, $A$2:$A6266+$C$2:$C6266)), "")*24*60, "")</f>
        <v>0</v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t="str" cm="1">
        <f t="array" ref="L6267">IFERROR(IF($B6267=L$1, ($A6267+$C6267) - MAX(IF($B$2:$B6266=$B6267, $A$2:$A6266+$C$2:$C6266)), "")*24*60, "")</f>
        <v/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C6268" si="1155">A6267</f>
        <v>45989</v>
      </c>
      <c r="B6268" s="5" t="str">
        <f t="shared" si="1155"/>
        <v>Northern Cardinal</v>
      </c>
      <c r="C6268" s="6">
        <f t="shared" si="1155"/>
        <v>0.28541666666666665</v>
      </c>
      <c r="D6268" s="5"/>
      <c r="E6268" s="5"/>
      <c r="F6268" s="5" t="s">
        <v>8</v>
      </c>
      <c r="G6268" s="15" t="s">
        <v>9</v>
      </c>
      <c r="H6268" s="24">
        <f t="shared" si="1129"/>
        <v>0</v>
      </c>
      <c r="I6268" s="24" cm="1">
        <f t="array" ref="I6268">IFERROR(IF($B6268=I$1, ($A6268+$C6268) - MAX(IF($B$2:$B6267=$B6268, $A$2:$A6267+$C$2:$C6267)), "")*24*60, "")</f>
        <v>0</v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t="str" cm="1">
        <f t="array" ref="L6268">IFERROR(IF($B6268=L$1, ($A6268+$C6268) - MAX(IF($B$2:$B6267=$B6268, $A$2:$A6267+$C$2:$C6267)), "")*24*60, "")</f>
        <v/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C6269" si="1156">A6268</f>
        <v>45989</v>
      </c>
      <c r="B6269" s="5" t="str">
        <f t="shared" si="1156"/>
        <v>Northern Cardinal</v>
      </c>
      <c r="C6269" s="6">
        <f t="shared" si="1156"/>
        <v>0.28541666666666665</v>
      </c>
      <c r="D6269" s="5"/>
      <c r="E6269" s="5"/>
      <c r="F6269" s="5" t="s">
        <v>8</v>
      </c>
      <c r="G6269" s="15" t="s">
        <v>9</v>
      </c>
      <c r="H6269" s="24">
        <f t="shared" si="1129"/>
        <v>0</v>
      </c>
      <c r="I6269" s="24" cm="1">
        <f t="array" ref="I6269">IFERROR(IF($B6269=I$1, ($A6269+$C6269) - MAX(IF($B$2:$B6268=$B6269, $A$2:$A6268+$C$2:$C6268)), "")*24*60, "")</f>
        <v>0</v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t="str" cm="1">
        <f t="array" ref="L6269">IFERROR(IF($B6269=L$1, ($A6269+$C6269) - MAX(IF($B$2:$B6268=$B6269, $A$2:$A6268+$C$2:$C6268)), "")*24*60, "")</f>
        <v/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:C6270" si="1157">A6269</f>
        <v>45989</v>
      </c>
      <c r="B6270" s="5" t="str">
        <f t="shared" si="1157"/>
        <v>Northern Cardinal</v>
      </c>
      <c r="C6270" s="6">
        <f t="shared" si="1157"/>
        <v>0.28541666666666665</v>
      </c>
      <c r="D6270" s="5"/>
      <c r="E6270" s="5"/>
      <c r="F6270" s="5" t="s">
        <v>8</v>
      </c>
      <c r="G6270" s="15" t="s">
        <v>9</v>
      </c>
      <c r="H6270" s="24">
        <f t="shared" si="1129"/>
        <v>0</v>
      </c>
      <c r="I6270" s="24" cm="1">
        <f t="array" ref="I6270">IFERROR(IF($B6270=I$1, ($A6270+$C6270) - MAX(IF($B$2:$B6269=$B6270, $A$2:$A6269+$C$2:$C6269)), "")*24*60, "")</f>
        <v>0</v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t="str" cm="1">
        <f t="array" ref="O6270">IFERROR(IF($B6270=O$1, ($A6270+$C6270) - MAX(IF($B$2:$B6269=$B6270, $A$2:$A6269+$C$2:$C6269)), "")*24*60, "")</f>
        <v/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Northern Cardinal</v>
      </c>
      <c r="C6271" s="6">
        <f t="shared" si="1158"/>
        <v>0.28541666666666665</v>
      </c>
      <c r="D6271" s="5"/>
      <c r="E6271" s="5"/>
      <c r="F6271" s="5" t="s">
        <v>8</v>
      </c>
      <c r="G6271" s="15" t="s">
        <v>9</v>
      </c>
      <c r="H6271" s="24">
        <f t="shared" si="1129"/>
        <v>0</v>
      </c>
      <c r="I6271" s="24" cm="1">
        <f t="array" ref="I6271">IFERROR(IF($B6271=I$1, ($A6271+$C6271) - MAX(IF($B$2:$B6270=$B6271, $A$2:$A6270+$C$2:$C6270)), "")*24*60, "")</f>
        <v>0</v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t="str" cm="1">
        <f t="array" ref="O6271">IFERROR(IF($B6271=O$1, ($A6271+$C6271) - MAX(IF($B$2:$B6270=$B6271, $A$2:$A6270+$C$2:$C6270)), "")*24*60, "")</f>
        <v/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C6272" si="1159">A6271</f>
        <v>45989</v>
      </c>
      <c r="B6272" s="5" t="str">
        <f t="shared" si="1159"/>
        <v>Northern Cardinal</v>
      </c>
      <c r="C6272" s="6">
        <f t="shared" si="1159"/>
        <v>0.28541666666666665</v>
      </c>
      <c r="D6272" s="5"/>
      <c r="E6272" s="5"/>
      <c r="F6272" s="5" t="s">
        <v>8</v>
      </c>
      <c r="G6272" s="15" t="s">
        <v>9</v>
      </c>
      <c r="H6272" s="24">
        <f t="shared" si="1129"/>
        <v>0</v>
      </c>
      <c r="I6272" s="24" cm="1">
        <f t="array" ref="I6272">IFERROR(IF($B6272=I$1, ($A6272+$C6272) - MAX(IF($B$2:$B6271=$B6272, $A$2:$A6271+$C$2:$C6271)), "")*24*60, "")</f>
        <v>0</v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t="str" cm="1">
        <f t="array" ref="O6272">IFERROR(IF($B6272=O$1, ($A6272+$C6272) - MAX(IF($B$2:$B6271=$B6272, $A$2:$A6271+$C$2:$C6271)), "")*24*60, "")</f>
        <v/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Northern Cardinal</v>
      </c>
      <c r="C6273" s="6">
        <f t="shared" si="1160"/>
        <v>0.28541666666666665</v>
      </c>
      <c r="D6273" s="5"/>
      <c r="E6273" s="5"/>
      <c r="F6273" s="5" t="s">
        <v>8</v>
      </c>
      <c r="G6273" s="15" t="s">
        <v>9</v>
      </c>
      <c r="H6273" s="24">
        <f t="shared" si="1129"/>
        <v>0</v>
      </c>
      <c r="I6273" s="24" cm="1">
        <f t="array" ref="I6273">IFERROR(IF($B6273=I$1, ($A6273+$C6273) - MAX(IF($B$2:$B6272=$B6273, $A$2:$A6272+$C$2:$C6272)), "")*24*60, "")</f>
        <v>0</v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t="str" cm="1">
        <f t="array" ref="O6273">IFERROR(IF($B6273=O$1, ($A6273+$C6273) - MAX(IF($B$2:$B6272=$B6273, $A$2:$A6272+$C$2:$C6272)), "")*24*60, "")</f>
        <v/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C6274" si="1161">A6273</f>
        <v>45989</v>
      </c>
      <c r="B6274" s="5" t="str">
        <f t="shared" si="1161"/>
        <v>Northern Cardinal</v>
      </c>
      <c r="C6274" s="6">
        <f t="shared" si="1161"/>
        <v>0.28541666666666665</v>
      </c>
      <c r="D6274" s="5"/>
      <c r="E6274" s="5"/>
      <c r="F6274" s="5" t="s">
        <v>8</v>
      </c>
      <c r="G6274" s="15" t="s">
        <v>9</v>
      </c>
      <c r="H6274" s="24">
        <f t="shared" si="1129"/>
        <v>0</v>
      </c>
      <c r="I6274" s="24" cm="1">
        <f t="array" ref="I6274">IFERROR(IF($B6274=I$1, ($A6274+$C6274) - MAX(IF($B$2:$B6273=$B6274, $A$2:$A6273+$C$2:$C6273)), "")*24*60, "")</f>
        <v>0</v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t="str" cm="1">
        <f t="array" ref="O6274">IFERROR(IF($B6274=O$1, ($A6274+$C6274) - MAX(IF($B$2:$B6273=$B6274, $A$2:$A6273+$C$2:$C6273)), "")*24*60, "")</f>
        <v/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Northern Cardinal</v>
      </c>
      <c r="C6275" s="6">
        <f t="shared" si="1162"/>
        <v>0.28541666666666665</v>
      </c>
      <c r="D6275" s="5"/>
      <c r="E6275" s="5"/>
      <c r="F6275" s="5" t="s">
        <v>8</v>
      </c>
      <c r="G6275" s="15" t="s">
        <v>9</v>
      </c>
      <c r="H6275" s="24">
        <f t="shared" si="1129"/>
        <v>0</v>
      </c>
      <c r="I6275" s="24" cm="1">
        <f t="array" ref="I6275">IFERROR(IF($B6275=I$1, ($A6275+$C6275) - MAX(IF($B$2:$B6274=$B6275, $A$2:$A6274+$C$2:$C6274)), "")*24*60, "")</f>
        <v>0</v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t="str" cm="1">
        <f t="array" ref="O6275">IFERROR(IF($B6275=O$1, ($A6275+$C6275) - MAX(IF($B$2:$B6274=$B6275, $A$2:$A6274+$C$2:$C6274)), "")*24*60, "")</f>
        <v/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C6276" si="1163">A6275</f>
        <v>45989</v>
      </c>
      <c r="B6276" s="5" t="str">
        <f t="shared" si="1163"/>
        <v>Northern Cardinal</v>
      </c>
      <c r="C6276" s="6">
        <f t="shared" si="1163"/>
        <v>0.28541666666666665</v>
      </c>
      <c r="D6276" s="5"/>
      <c r="E6276" s="5"/>
      <c r="F6276" s="5" t="s">
        <v>8</v>
      </c>
      <c r="G6276" s="15" t="s">
        <v>9</v>
      </c>
      <c r="H6276" s="24">
        <f t="shared" si="1129"/>
        <v>0</v>
      </c>
      <c r="I6276" s="24" cm="1">
        <f t="array" ref="I6276">IFERROR(IF($B6276=I$1, ($A6276+$C6276) - MAX(IF($B$2:$B6275=$B6276, $A$2:$A6275+$C$2:$C6275)), "")*24*60, "")</f>
        <v>0</v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t="str" cm="1">
        <f t="array" ref="O6276">IFERROR(IF($B6276=O$1, ($A6276+$C6276) - MAX(IF($B$2:$B6275=$B6276, $A$2:$A6275+$C$2:$C6275)), "")*24*60, "")</f>
        <v/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Northern Cardinal</v>
      </c>
      <c r="C6277" s="6">
        <f t="shared" si="1164"/>
        <v>0.28541666666666665</v>
      </c>
      <c r="D6277" s="5"/>
      <c r="E6277" s="5"/>
      <c r="F6277" s="5" t="s">
        <v>8</v>
      </c>
      <c r="G6277" s="15" t="s">
        <v>9</v>
      </c>
      <c r="H6277" s="24">
        <f t="shared" si="1129"/>
        <v>0</v>
      </c>
      <c r="I6277" s="24" cm="1">
        <f t="array" ref="I6277">IFERROR(IF($B6277=I$1, ($A6277+$C6277) - MAX(IF($B$2:$B6276=$B6277, $A$2:$A6276+$C$2:$C6276)), "")*24*60, "")</f>
        <v>0</v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t="str" cm="1">
        <f t="array" ref="O6277">IFERROR(IF($B6277=O$1, ($A6277+$C6277) - MAX(IF($B$2:$B6276=$B6277, $A$2:$A6276+$C$2:$C6276)), "")*24*60, "")</f>
        <v/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C6278" si="1165">A6277</f>
        <v>45989</v>
      </c>
      <c r="B6278" s="5" t="str">
        <f t="shared" si="1165"/>
        <v>Northern Cardinal</v>
      </c>
      <c r="C6278" s="6">
        <f t="shared" si="1165"/>
        <v>0.28541666666666665</v>
      </c>
      <c r="D6278" s="5"/>
      <c r="E6278" s="5"/>
      <c r="F6278" s="5" t="s">
        <v>8</v>
      </c>
      <c r="G6278" s="15" t="s">
        <v>9</v>
      </c>
      <c r="H6278" s="24">
        <f t="shared" si="1129"/>
        <v>0</v>
      </c>
      <c r="I6278" s="24" cm="1">
        <f t="array" ref="I6278">IFERROR(IF($B6278=I$1, ($A6278+$C6278) - MAX(IF($B$2:$B6277=$B6278, $A$2:$A6277+$C$2:$C6277)), "")*24*60, "")</f>
        <v>0</v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t="str" cm="1">
        <f t="array" ref="O6278">IFERROR(IF($B6278=O$1, ($A6278+$C6278) - MAX(IF($B$2:$B6277=$B6278, $A$2:$A6277+$C$2:$C6277)), "")*24*60, "")</f>
        <v/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Northern Cardinal</v>
      </c>
      <c r="C6279" s="6">
        <f t="shared" si="1166"/>
        <v>0.28541666666666665</v>
      </c>
      <c r="D6279" s="5"/>
      <c r="E6279" s="5"/>
      <c r="F6279" s="5" t="s">
        <v>8</v>
      </c>
      <c r="G6279" s="15" t="s">
        <v>9</v>
      </c>
      <c r="H6279" s="24">
        <f t="shared" si="1129"/>
        <v>0</v>
      </c>
      <c r="I6279" s="24" cm="1">
        <f t="array" ref="I6279">IFERROR(IF($B6279=I$1, ($A6279+$C6279) - MAX(IF($B$2:$B6278=$B6279, $A$2:$A6278+$C$2:$C6278)), "")*24*60, "")</f>
        <v>0</v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t="str" cm="1">
        <f t="array" ref="O6279">IFERROR(IF($B6279=O$1, ($A6279+$C6279) - MAX(IF($B$2:$B6278=$B6279, $A$2:$A6278+$C$2:$C6278)), "")*24*60, "")</f>
        <v/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C6280" si="1167">A6279</f>
        <v>45989</v>
      </c>
      <c r="B6280" s="5" t="str">
        <f t="shared" si="1167"/>
        <v>Northern Cardinal</v>
      </c>
      <c r="C6280" s="6">
        <f t="shared" si="1167"/>
        <v>0.28541666666666665</v>
      </c>
      <c r="D6280" s="5"/>
      <c r="E6280" s="5"/>
      <c r="F6280" s="5" t="s">
        <v>8</v>
      </c>
      <c r="G6280" s="15" t="s">
        <v>9</v>
      </c>
      <c r="H6280" s="24">
        <f t="shared" si="1129"/>
        <v>0</v>
      </c>
      <c r="I6280" s="24" cm="1">
        <f t="array" ref="I6280">IFERROR(IF($B6280=I$1, ($A6280+$C6280) - MAX(IF($B$2:$B6279=$B6280, $A$2:$A6279+$C$2:$C6279)), "")*24*60, "")</f>
        <v>0</v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t="str" cm="1">
        <f t="array" ref="O6280">IFERROR(IF($B6280=O$1, ($A6280+$C6280) - MAX(IF($B$2:$B6279=$B6280, $A$2:$A6279+$C$2:$C6279)), "")*24*60, "")</f>
        <v/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Northern Cardinal</v>
      </c>
      <c r="C6281" s="6">
        <f t="shared" si="1168"/>
        <v>0.28541666666666665</v>
      </c>
      <c r="D6281" s="5"/>
      <c r="E6281" s="5"/>
      <c r="F6281" s="5" t="s">
        <v>8</v>
      </c>
      <c r="G6281" s="15" t="s">
        <v>9</v>
      </c>
      <c r="H6281" s="24">
        <f t="shared" si="1129"/>
        <v>0</v>
      </c>
      <c r="I6281" s="24" cm="1">
        <f t="array" ref="I6281">IFERROR(IF($B6281=I$1, ($A6281+$C6281) - MAX(IF($B$2:$B6280=$B6281, $A$2:$A6280+$C$2:$C6280)), "")*24*60, "")</f>
        <v>0</v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t="str" cm="1">
        <f t="array" ref="O6281">IFERROR(IF($B6281=O$1, ($A6281+$C6281) - MAX(IF($B$2:$B6280=$B6281, $A$2:$A6280+$C$2:$C6280)), "")*24*60, "")</f>
        <v/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C6282" si="1169">A6281</f>
        <v>45989</v>
      </c>
      <c r="B6282" s="5" t="str">
        <f t="shared" si="1169"/>
        <v>Northern Cardinal</v>
      </c>
      <c r="C6282" s="6">
        <f t="shared" si="1169"/>
        <v>0.28541666666666665</v>
      </c>
      <c r="D6282" s="5"/>
      <c r="E6282" s="5"/>
      <c r="F6282" s="5" t="s">
        <v>8</v>
      </c>
      <c r="G6282" s="15" t="s">
        <v>9</v>
      </c>
      <c r="H6282" s="24">
        <f t="shared" si="1129"/>
        <v>0</v>
      </c>
      <c r="I6282" s="24" cm="1">
        <f t="array" ref="I6282">IFERROR(IF($B6282=I$1, ($A6282+$C6282) - MAX(IF($B$2:$B6281=$B6282, $A$2:$A6281+$C$2:$C6281)), "")*24*60, "")</f>
        <v>0</v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t="str" cm="1">
        <f t="array" ref="O6282">IFERROR(IF($B6282=O$1, ($A6282+$C6282) - MAX(IF($B$2:$B6281=$B6282, $A$2:$A6281+$C$2:$C6281)), "")*24*60, "")</f>
        <v/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C6283" si="1170">A6282</f>
        <v>45989</v>
      </c>
      <c r="B6283" s="5" t="str">
        <f t="shared" si="1170"/>
        <v>Northern Cardinal</v>
      </c>
      <c r="C6283" s="6">
        <f t="shared" si="1170"/>
        <v>0.28541666666666665</v>
      </c>
      <c r="D6283" s="5"/>
      <c r="E6283" s="5"/>
      <c r="F6283" s="5" t="s">
        <v>8</v>
      </c>
      <c r="G6283" s="15" t="s">
        <v>9</v>
      </c>
      <c r="H6283" s="24">
        <f t="shared" si="1129"/>
        <v>0</v>
      </c>
      <c r="I6283" s="24" cm="1">
        <f t="array" ref="I6283">IFERROR(IF($B6283=I$1, ($A6283+$C6283) - MAX(IF($B$2:$B6282=$B6283, $A$2:$A6282+$C$2:$C6282)), "")*24*60, "")</f>
        <v>0</v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t="str" cm="1">
        <f t="array" ref="O6283">IFERROR(IF($B6283=O$1, ($A6283+$C6283) - MAX(IF($B$2:$B6282=$B6283, $A$2:$A6282+$C$2:$C6282)), "")*24*60, "")</f>
        <v/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Northern Cardinal</v>
      </c>
      <c r="C6284" s="6">
        <f t="shared" si="1171"/>
        <v>0.28541666666666665</v>
      </c>
      <c r="D6284" s="5"/>
      <c r="E6284" s="5"/>
      <c r="F6284" s="5" t="s">
        <v>8</v>
      </c>
      <c r="G6284" s="15" t="s">
        <v>9</v>
      </c>
      <c r="H6284" s="24">
        <f t="shared" si="1129"/>
        <v>0</v>
      </c>
      <c r="I6284" s="24" cm="1">
        <f t="array" ref="I6284">IFERROR(IF($B6284=I$1, ($A6284+$C6284) - MAX(IF($B$2:$B6283=$B6284, $A$2:$A6283+$C$2:$C6283)), "")*24*60, "")</f>
        <v>0</v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t="str" cm="1">
        <f t="array" ref="O6284">IFERROR(IF($B6284=O$1, ($A6284+$C6284) - MAX(IF($B$2:$B6283=$B6284, $A$2:$A6283+$C$2:$C6283)), "")*24*60, "")</f>
        <v/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C6285" si="1172">A6284</f>
        <v>45989</v>
      </c>
      <c r="B6285" s="5" t="str">
        <f t="shared" si="1172"/>
        <v>Northern Cardinal</v>
      </c>
      <c r="C6285" s="6">
        <f t="shared" si="1172"/>
        <v>0.28541666666666665</v>
      </c>
      <c r="D6285" s="5"/>
      <c r="E6285" s="5"/>
      <c r="F6285" s="5" t="s">
        <v>8</v>
      </c>
      <c r="G6285" s="15" t="s">
        <v>9</v>
      </c>
      <c r="H6285" s="24">
        <f t="shared" si="1129"/>
        <v>0</v>
      </c>
      <c r="I6285" s="24" cm="1">
        <f t="array" ref="I6285">IFERROR(IF($B6285=I$1, ($A6285+$C6285) - MAX(IF($B$2:$B6284=$B6285, $A$2:$A6284+$C$2:$C6284)), "")*24*60, "")</f>
        <v>0</v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t="str" cm="1">
        <f t="array" ref="O6285">IFERROR(IF($B6285=O$1, ($A6285+$C6285) - MAX(IF($B$2:$B6284=$B6285, $A$2:$A6284+$C$2:$C6284)), "")*24*60, "")</f>
        <v/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Northern Cardinal</v>
      </c>
      <c r="C6286" s="6">
        <f t="shared" si="1173"/>
        <v>0.28541666666666665</v>
      </c>
      <c r="D6286" s="5"/>
      <c r="E6286" s="5"/>
      <c r="F6286" s="5" t="s">
        <v>8</v>
      </c>
      <c r="G6286" s="15" t="s">
        <v>9</v>
      </c>
      <c r="H6286" s="24">
        <f t="shared" si="1129"/>
        <v>0</v>
      </c>
      <c r="I6286" s="24" cm="1">
        <f t="array" ref="I6286">IFERROR(IF($B6286=I$1, ($A6286+$C6286) - MAX(IF($B$2:$B6285=$B6286, $A$2:$A6285+$C$2:$C6285)), "")*24*60, "")</f>
        <v>0</v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t="str" cm="1">
        <f t="array" ref="O6286">IFERROR(IF($B6286=O$1, ($A6286+$C6286) - MAX(IF($B$2:$B6285=$B6286, $A$2:$A6285+$C$2:$C6285)), "")*24*60, "")</f>
        <v/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C6287" si="1174">A6286</f>
        <v>45989</v>
      </c>
      <c r="B6287" s="5" t="str">
        <f t="shared" si="1174"/>
        <v>Northern Cardinal</v>
      </c>
      <c r="C6287" s="6">
        <f t="shared" si="1174"/>
        <v>0.28541666666666665</v>
      </c>
      <c r="D6287" s="5"/>
      <c r="E6287" s="5"/>
      <c r="F6287" s="5" t="s">
        <v>8</v>
      </c>
      <c r="G6287" s="15" t="s">
        <v>9</v>
      </c>
      <c r="H6287" s="24">
        <f t="shared" si="1129"/>
        <v>0</v>
      </c>
      <c r="I6287" s="24" cm="1">
        <f t="array" ref="I6287">IFERROR(IF($B6287=I$1, ($A6287+$C6287) - MAX(IF($B$2:$B6286=$B6287, $A$2:$A6286+$C$2:$C6286)), "")*24*60, "")</f>
        <v>0</v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t="str" cm="1">
        <f t="array" ref="O6287">IFERROR(IF($B6287=O$1, ($A6287+$C6287) - MAX(IF($B$2:$B6286=$B6287, $A$2:$A6286+$C$2:$C6286)), "")*24*60, "")</f>
        <v/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Northern Cardinal</v>
      </c>
      <c r="C6288" s="6">
        <f t="shared" si="1175"/>
        <v>0.28541666666666665</v>
      </c>
      <c r="D6288" s="5"/>
      <c r="E6288" s="5"/>
      <c r="F6288" s="5" t="s">
        <v>8</v>
      </c>
      <c r="G6288" s="15" t="s">
        <v>9</v>
      </c>
      <c r="H6288" s="24">
        <f t="shared" si="1129"/>
        <v>0</v>
      </c>
      <c r="I6288" s="24" cm="1">
        <f t="array" ref="I6288">IFERROR(IF($B6288=I$1, ($A6288+$C6288) - MAX(IF($B$2:$B6287=$B6288, $A$2:$A6287+$C$2:$C6287)), "")*24*60, "")</f>
        <v>0</v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t="str" cm="1">
        <f t="array" ref="O6288">IFERROR(IF($B6288=O$1, ($A6288+$C6288) - MAX(IF($B$2:$B6287=$B6288, $A$2:$A6287+$C$2:$C6287)), "")*24*60, "")</f>
        <v/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C6289" si="1176">A6288</f>
        <v>45989</v>
      </c>
      <c r="B6289" s="5" t="str">
        <f t="shared" si="1176"/>
        <v>Northern Cardinal</v>
      </c>
      <c r="C6289" s="6">
        <f t="shared" si="1176"/>
        <v>0.28541666666666665</v>
      </c>
      <c r="D6289" s="5"/>
      <c r="E6289" s="5"/>
      <c r="F6289" s="5" t="s">
        <v>8</v>
      </c>
      <c r="G6289" s="15" t="s">
        <v>9</v>
      </c>
      <c r="H6289" s="24">
        <f t="shared" si="1129"/>
        <v>0</v>
      </c>
      <c r="I6289" s="24" cm="1">
        <f t="array" ref="I6289">IFERROR(IF($B6289=I$1, ($A6289+$C6289) - MAX(IF($B$2:$B6288=$B6289, $A$2:$A6288+$C$2:$C6288)), "")*24*60, "")</f>
        <v>0</v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t="str" cm="1">
        <f t="array" ref="O6289">IFERROR(IF($B6289=O$1, ($A6289+$C6289) - MAX(IF($B$2:$B6288=$B6289, $A$2:$A6288+$C$2:$C6288)), "")*24*60, "")</f>
        <v/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Northern Cardinal</v>
      </c>
      <c r="C6290" s="6">
        <f t="shared" si="1177"/>
        <v>0.28541666666666665</v>
      </c>
      <c r="D6290" s="5"/>
      <c r="E6290" s="5"/>
      <c r="F6290" s="5" t="s">
        <v>8</v>
      </c>
      <c r="G6290" s="15" t="s">
        <v>9</v>
      </c>
      <c r="H6290" s="24">
        <f t="shared" si="1129"/>
        <v>0</v>
      </c>
      <c r="I6290" s="24" cm="1">
        <f t="array" ref="I6290">IFERROR(IF($B6290=I$1, ($A6290+$C6290) - MAX(IF($B$2:$B6289=$B6290, $A$2:$A6289+$C$2:$C6289)), "")*24*60, "")</f>
        <v>0</v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t="str" cm="1">
        <f t="array" ref="O6290">IFERROR(IF($B6290=O$1, ($A6290+$C6290) - MAX(IF($B$2:$B6289=$B6290, $A$2:$A6289+$C$2:$C6289)), "")*24*60, "")</f>
        <v/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C6291" si="1178">A6290</f>
        <v>45989</v>
      </c>
      <c r="B6291" s="5" t="str">
        <f t="shared" si="1178"/>
        <v>Northern Cardinal</v>
      </c>
      <c r="C6291" s="6">
        <f t="shared" si="1178"/>
        <v>0.28541666666666665</v>
      </c>
      <c r="D6291" s="5"/>
      <c r="E6291" s="5"/>
      <c r="F6291" s="5" t="s">
        <v>8</v>
      </c>
      <c r="G6291" s="15" t="s">
        <v>9</v>
      </c>
      <c r="H6291" s="24">
        <f t="shared" si="1129"/>
        <v>0</v>
      </c>
      <c r="I6291" s="24" cm="1">
        <f t="array" ref="I6291">IFERROR(IF($B6291=I$1, ($A6291+$C6291) - MAX(IF($B$2:$B6290=$B6291, $A$2:$A6290+$C$2:$C6290)), "")*24*60, "")</f>
        <v>0</v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t="str" cm="1">
        <f t="array" ref="O6291">IFERROR(IF($B6291=O$1, ($A6291+$C6291) - MAX(IF($B$2:$B6290=$B6291, $A$2:$A6290+$C$2:$C6290)), "")*24*60, "")</f>
        <v/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Northern Cardinal</v>
      </c>
      <c r="C6292" s="6">
        <f t="shared" si="1179"/>
        <v>0.28541666666666665</v>
      </c>
      <c r="D6292" s="5"/>
      <c r="E6292" s="5"/>
      <c r="F6292" s="5" t="s">
        <v>8</v>
      </c>
      <c r="G6292" s="15" t="s">
        <v>9</v>
      </c>
      <c r="H6292" s="24">
        <f t="shared" si="1129"/>
        <v>0</v>
      </c>
      <c r="I6292" s="24" cm="1">
        <f t="array" ref="I6292">IFERROR(IF($B6292=I$1, ($A6292+$C6292) - MAX(IF($B$2:$B6291=$B6292, $A$2:$A6291+$C$2:$C6291)), "")*24*60, "")</f>
        <v>0</v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t="str" cm="1">
        <f t="array" ref="O6292">IFERROR(IF($B6292=O$1, ($A6292+$C6292) - MAX(IF($B$2:$B6291=$B6292, $A$2:$A6291+$C$2:$C6291)), "")*24*60, "")</f>
        <v/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C6293" si="1180">A6292</f>
        <v>45989</v>
      </c>
      <c r="B6293" s="5" t="str">
        <f t="shared" si="1180"/>
        <v>Northern Cardinal</v>
      </c>
      <c r="C6293" s="6">
        <f t="shared" si="1180"/>
        <v>0.28541666666666665</v>
      </c>
      <c r="D6293" s="5"/>
      <c r="E6293" s="5"/>
      <c r="F6293" s="5" t="s">
        <v>8</v>
      </c>
      <c r="G6293" s="15" t="s">
        <v>9</v>
      </c>
      <c r="H6293" s="24">
        <f t="shared" si="1129"/>
        <v>0</v>
      </c>
      <c r="I6293" s="24" cm="1">
        <f t="array" ref="I6293">IFERROR(IF($B6293=I$1, ($A6293+$C6293) - MAX(IF($B$2:$B6292=$B6293, $A$2:$A6292+$C$2:$C6292)), "")*24*60, "")</f>
        <v>0</v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t="str" cm="1">
        <f t="array" ref="O6293">IFERROR(IF($B6293=O$1, ($A6293+$C6293) - MAX(IF($B$2:$B6292=$B6293, $A$2:$A6292+$C$2:$C6292)), "")*24*60, "")</f>
        <v/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C6294" si="1181">A6293</f>
        <v>45989</v>
      </c>
      <c r="B6294" s="5" t="str">
        <f t="shared" si="1181"/>
        <v>Northern Cardinal</v>
      </c>
      <c r="C6294" s="6">
        <f t="shared" si="1181"/>
        <v>0.28541666666666665</v>
      </c>
      <c r="D6294" s="5"/>
      <c r="E6294" s="5"/>
      <c r="F6294" s="5" t="s">
        <v>8</v>
      </c>
      <c r="G6294" s="15" t="s">
        <v>9</v>
      </c>
      <c r="H6294" s="24">
        <f t="shared" si="1129"/>
        <v>0</v>
      </c>
      <c r="I6294" s="24" cm="1">
        <f t="array" ref="I6294">IFERROR(IF($B6294=I$1, ($A6294+$C6294) - MAX(IF($B$2:$B6293=$B6294, $A$2:$A6293+$C$2:$C6293)), "")*24*60, "")</f>
        <v>0</v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t="str" cm="1">
        <f t="array" ref="O6294">IFERROR(IF($B6294=O$1, ($A6294+$C6294) - MAX(IF($B$2:$B6293=$B6294, $A$2:$A6293+$C$2:$C6293)), "")*24*60, "")</f>
        <v/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Northern Cardinal</v>
      </c>
      <c r="C6295" s="6">
        <f t="shared" si="1182"/>
        <v>0.28541666666666665</v>
      </c>
      <c r="D6295" s="5"/>
      <c r="E6295" s="5"/>
      <c r="F6295" s="5" t="s">
        <v>8</v>
      </c>
      <c r="G6295" s="15" t="s">
        <v>9</v>
      </c>
      <c r="H6295" s="24">
        <f t="shared" si="1129"/>
        <v>0</v>
      </c>
      <c r="I6295" s="24" cm="1">
        <f t="array" ref="I6295">IFERROR(IF($B6295=I$1, ($A6295+$C6295) - MAX(IF($B$2:$B6294=$B6295, $A$2:$A6294+$C$2:$C6294)), "")*24*60, "")</f>
        <v>0</v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t="str" cm="1">
        <f t="array" ref="O6295">IFERROR(IF($B6295=O$1, ($A6295+$C6295) - MAX(IF($B$2:$B6294=$B6295, $A$2:$A6294+$C$2:$C6294)), "")*24*60, "")</f>
        <v/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C6296" si="1183">A6295</f>
        <v>45989</v>
      </c>
      <c r="B6296" s="5" t="str">
        <f t="shared" si="1183"/>
        <v>Northern Cardinal</v>
      </c>
      <c r="C6296" s="6">
        <f t="shared" si="1183"/>
        <v>0.28541666666666665</v>
      </c>
      <c r="D6296" s="5"/>
      <c r="E6296" s="5"/>
      <c r="F6296" s="5" t="s">
        <v>8</v>
      </c>
      <c r="G6296" s="15" t="s">
        <v>9</v>
      </c>
      <c r="H6296" s="24">
        <f t="shared" si="1129"/>
        <v>0</v>
      </c>
      <c r="I6296" s="24" cm="1">
        <f t="array" ref="I6296">IFERROR(IF($B6296=I$1, ($A6296+$C6296) - MAX(IF($B$2:$B6295=$B6296, $A$2:$A6295+$C$2:$C6295)), "")*24*60, "")</f>
        <v>0</v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t="str" cm="1">
        <f t="array" ref="O6296">IFERROR(IF($B6296=O$1, ($A6296+$C6296) - MAX(IF($B$2:$B6295=$B6296, $A$2:$A6295+$C$2:$C6295)), "")*24*60, "")</f>
        <v/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:C6297" si="1184">A6296</f>
        <v>45989</v>
      </c>
      <c r="B6297" s="5" t="str">
        <f t="shared" si="1184"/>
        <v>Northern Cardinal</v>
      </c>
      <c r="C6297" s="6">
        <f t="shared" si="1184"/>
        <v>0.28541666666666665</v>
      </c>
      <c r="D6297" s="5"/>
      <c r="E6297" s="5"/>
      <c r="F6297" s="5" t="s">
        <v>8</v>
      </c>
      <c r="G6297" s="15" t="s">
        <v>9</v>
      </c>
      <c r="H6297" s="24">
        <f t="shared" si="1129"/>
        <v>0</v>
      </c>
      <c r="I6297" s="24" cm="1">
        <f t="array" ref="I6297">IFERROR(IF($B6297=I$1, ($A6297+$C6297) - MAX(IF($B$2:$B6296=$B6297, $A$2:$A6296+$C$2:$C6296)), "")*24*60, "")</f>
        <v>0</v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t="str" cm="1">
        <f t="array" ref="L6297">IFERROR(IF($B6297=L$1, ($A6297+$C6297) - MAX(IF($B$2:$B6296=$B6297, $A$2:$A6296+$C$2:$C6296)), "")*24*60, "")</f>
        <v/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C6298" si="1185">A6297</f>
        <v>45989</v>
      </c>
      <c r="B6298" s="5" t="str">
        <f t="shared" si="1185"/>
        <v>Northern Cardinal</v>
      </c>
      <c r="C6298" s="6">
        <f t="shared" si="1185"/>
        <v>0.28541666666666665</v>
      </c>
      <c r="D6298" s="5"/>
      <c r="E6298" s="5"/>
      <c r="F6298" s="5" t="s">
        <v>8</v>
      </c>
      <c r="G6298" s="15" t="s">
        <v>9</v>
      </c>
      <c r="H6298" s="24">
        <f t="shared" ref="H6298:H6361" si="1186">IFERROR((($A6298+$C6298) - ($A6297+$C6297))*24*60, "")</f>
        <v>0</v>
      </c>
      <c r="I6298" s="24" cm="1">
        <f t="array" ref="I6298">IFERROR(IF($B6298=I$1, ($A6298+$C6298) - MAX(IF($B$2:$B6297=$B6298, $A$2:$A6297+$C$2:$C6297)), "")*24*60, "")</f>
        <v>0</v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t="str" cm="1">
        <f t="array" ref="L6298">IFERROR(IF($B6298=L$1, ($A6298+$C6298) - MAX(IF($B$2:$B6297=$B6298, $A$2:$A6297+$C$2:$C6297)), "")*24*60, "")</f>
        <v/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Northern Cardinal</v>
      </c>
      <c r="C6299" s="6">
        <f t="shared" si="1187"/>
        <v>0.28541666666666665</v>
      </c>
      <c r="D6299" s="5"/>
      <c r="E6299" s="5"/>
      <c r="F6299" s="5" t="s">
        <v>8</v>
      </c>
      <c r="G6299" s="15" t="s">
        <v>9</v>
      </c>
      <c r="H6299" s="24">
        <f t="shared" si="1186"/>
        <v>0</v>
      </c>
      <c r="I6299" s="24" cm="1">
        <f t="array" ref="I6299">IFERROR(IF($B6299=I$1, ($A6299+$C6299) - MAX(IF($B$2:$B6298=$B6299, $A$2:$A6298+$C$2:$C6298)), "")*24*60, "")</f>
        <v>0</v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t="str" cm="1">
        <f t="array" ref="L6299">IFERROR(IF($B6299=L$1, ($A6299+$C6299) - MAX(IF($B$2:$B6298=$B6299, $A$2:$A6298+$C$2:$C6298)), "")*24*60, "")</f>
        <v/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:C6300" si="1188">A6299</f>
        <v>45989</v>
      </c>
      <c r="B6300" s="5" t="str">
        <f t="shared" si="1188"/>
        <v>Northern Cardinal</v>
      </c>
      <c r="C6300" s="6">
        <f t="shared" si="1188"/>
        <v>0.28541666666666665</v>
      </c>
      <c r="D6300" s="5"/>
      <c r="E6300" s="5"/>
      <c r="F6300" s="5" t="s">
        <v>8</v>
      </c>
      <c r="G6300" s="15" t="s">
        <v>9</v>
      </c>
      <c r="H6300" s="24">
        <f t="shared" si="1186"/>
        <v>0</v>
      </c>
      <c r="I6300" s="24" cm="1">
        <f t="array" ref="I6300">IFERROR(IF($B6300=I$1, ($A6300+$C6300) - MAX(IF($B$2:$B6299=$B6300, $A$2:$A6299+$C$2:$C6299)), "")*24*60, "")</f>
        <v>0</v>
      </c>
      <c r="J6300" s="24" t="str" cm="1">
        <f t="array" ref="J6300">IFERROR(IF($B6300=J$1, ($A6300+$C6300) - MAX(IF($B$2:$B6299=$B6300, $A$2:$A6299+$C$2:$C6299)), "")*24*60, "")</f>
        <v/>
      </c>
      <c r="K6300" s="24" t="str" cm="1">
        <f t="array" ref="K6300">IFERROR(IF($B6300=K$1, ($A6300+$C6300) - MAX(IF($B$2:$B6299=$B6300, $A$2:$A6299+$C$2:$C6299)), "")*24*60, "")</f>
        <v/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tr">
        <f t="shared" si="1189"/>
        <v>Northern Cardinal</v>
      </c>
      <c r="C6301" s="6">
        <f t="shared" si="1189"/>
        <v>0.28541666666666665</v>
      </c>
      <c r="D6301" s="5"/>
      <c r="E6301" s="5"/>
      <c r="F6301" s="5" t="s">
        <v>8</v>
      </c>
      <c r="G6301" s="15" t="s">
        <v>9</v>
      </c>
      <c r="H6301" s="24">
        <f t="shared" si="1186"/>
        <v>0</v>
      </c>
      <c r="I6301" s="24" cm="1">
        <f t="array" ref="I6301">IFERROR(IF($B6301=I$1, ($A6301+$C6301) - MAX(IF($B$2:$B6300=$B6301, $A$2:$A6300+$C$2:$C6300)), "")*24*60, "")</f>
        <v>0</v>
      </c>
      <c r="J6301" s="24" t="str" cm="1">
        <f t="array" ref="J6301">IFERROR(IF($B6301=J$1, ($A6301+$C6301) - MAX(IF($B$2:$B6300=$B6301, $A$2:$A6300+$C$2:$C6300)), "")*24*60, "")</f>
        <v/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tr">
        <f t="shared" si="1190"/>
        <v>Northern Cardinal</v>
      </c>
      <c r="C6302" s="6">
        <f t="shared" si="1190"/>
        <v>0.28541666666666665</v>
      </c>
      <c r="D6302" s="5"/>
      <c r="E6302" s="5"/>
      <c r="F6302" s="5" t="s">
        <v>8</v>
      </c>
      <c r="G6302" s="15" t="s">
        <v>9</v>
      </c>
      <c r="H6302" s="24">
        <f t="shared" si="1186"/>
        <v>0</v>
      </c>
      <c r="I6302" s="24" cm="1">
        <f t="array" ref="I6302">IFERROR(IF($B6302=I$1, ($A6302+$C6302) - MAX(IF($B$2:$B6301=$B6302, $A$2:$A6301+$C$2:$C6301)), "")*24*60, "")</f>
        <v>0</v>
      </c>
      <c r="J6302" s="24" t="str" cm="1">
        <f t="array" ref="J6302">IFERROR(IF($B6302=J$1, ($A6302+$C6302) - MAX(IF($B$2:$B6301=$B6302, $A$2:$A6301+$C$2:$C6301)), "")*24*60, "")</f>
        <v/>
      </c>
      <c r="K6302" s="24" t="str" cm="1">
        <f t="array" ref="K6302">IFERROR(IF($B6302=K$1, ($A6302+$C6302) - MAX(IF($B$2:$B6301=$B6302, $A$2:$A6301+$C$2:$C6301)), "")*24*60, "")</f>
        <v/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:C6303" si="1191">A6302</f>
        <v>45989</v>
      </c>
      <c r="B6303" s="5" t="str">
        <f t="shared" si="1191"/>
        <v>Northern Cardinal</v>
      </c>
      <c r="C6303" s="6">
        <f t="shared" si="1191"/>
        <v>0.28541666666666665</v>
      </c>
      <c r="D6303" s="5"/>
      <c r="E6303" s="5"/>
      <c r="F6303" s="5" t="s">
        <v>8</v>
      </c>
      <c r="G6303" s="15" t="s">
        <v>9</v>
      </c>
      <c r="H6303" s="24">
        <f t="shared" si="1186"/>
        <v>0</v>
      </c>
      <c r="I6303" s="24" cm="1">
        <f t="array" ref="I6303">IFERROR(IF($B6303=I$1, ($A6303+$C6303) - MAX(IF($B$2:$B6302=$B6303, $A$2:$A6302+$C$2:$C6302)), "")*24*60, "")</f>
        <v>0</v>
      </c>
      <c r="J6303" s="24" t="str" cm="1">
        <f t="array" ref="J6303">IFERROR(IF($B6303=J$1, ($A6303+$C6303) - MAX(IF($B$2:$B6302=$B6303, $A$2:$A6302+$C$2:$C6302)), "")*24*60, "")</f>
        <v/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tr">
        <f t="shared" si="1192"/>
        <v>Northern Cardinal</v>
      </c>
      <c r="C6304" s="6">
        <f t="shared" si="1192"/>
        <v>0.28541666666666665</v>
      </c>
      <c r="D6304" s="5"/>
      <c r="E6304" s="5"/>
      <c r="F6304" s="5" t="s">
        <v>8</v>
      </c>
      <c r="G6304" s="15" t="s">
        <v>9</v>
      </c>
      <c r="H6304" s="24">
        <f t="shared" si="1186"/>
        <v>0</v>
      </c>
      <c r="I6304" s="24" cm="1">
        <f t="array" ref="I6304">IFERROR(IF($B6304=I$1, ($A6304+$C6304) - MAX(IF($B$2:$B6303=$B6304, $A$2:$A6303+$C$2:$C6303)), "")*24*60, "")</f>
        <v>0</v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t="str" cm="1">
        <f t="array" ref="L6304">IFERROR(IF($B6304=L$1, ($A6304+$C6304) - MAX(IF($B$2:$B6303=$B6304, $A$2:$A6303+$C$2:$C6303)), "")*24*60, "")</f>
        <v/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tr">
        <f t="shared" si="1193"/>
        <v>Northern Cardinal</v>
      </c>
      <c r="C6305" s="6">
        <f t="shared" si="1193"/>
        <v>0.28541666666666665</v>
      </c>
      <c r="D6305" s="5"/>
      <c r="E6305" s="5"/>
      <c r="F6305" s="5" t="s">
        <v>8</v>
      </c>
      <c r="G6305" s="15" t="s">
        <v>9</v>
      </c>
      <c r="H6305" s="24">
        <f t="shared" si="1186"/>
        <v>0</v>
      </c>
      <c r="I6305" s="24" cm="1">
        <f t="array" ref="I6305">IFERROR(IF($B6305=I$1, ($A6305+$C6305) - MAX(IF($B$2:$B6304=$B6305, $A$2:$A6304+$C$2:$C6304)), "")*24*60, "")</f>
        <v>0</v>
      </c>
      <c r="J6305" s="24" t="str" cm="1">
        <f t="array" ref="J6305">IFERROR(IF($B6305=J$1, ($A6305+$C6305) - MAX(IF($B$2:$B6304=$B6305, $A$2:$A6304+$C$2:$C6304)), "")*24*60, "")</f>
        <v/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:C6306" si="1194">A6305</f>
        <v>45989</v>
      </c>
      <c r="B6306" s="5" t="str">
        <f t="shared" si="1194"/>
        <v>Northern Cardinal</v>
      </c>
      <c r="C6306" s="6">
        <f t="shared" si="1194"/>
        <v>0.28541666666666665</v>
      </c>
      <c r="D6306" s="5"/>
      <c r="E6306" s="5"/>
      <c r="F6306" s="5" t="s">
        <v>8</v>
      </c>
      <c r="G6306" s="15" t="s">
        <v>9</v>
      </c>
      <c r="H6306" s="24">
        <f t="shared" si="1186"/>
        <v>0</v>
      </c>
      <c r="I6306" s="24" cm="1">
        <f t="array" ref="I6306">IFERROR(IF($B6306=I$1, ($A6306+$C6306) - MAX(IF($B$2:$B6305=$B6306, $A$2:$A6305+$C$2:$C6305)), "")*24*60, "")</f>
        <v>0</v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t="str" cm="1">
        <f t="array" ref="L6306">IFERROR(IF($B6306=L$1, ($A6306+$C6306) - MAX(IF($B$2:$B6305=$B6306, $A$2:$A6305+$C$2:$C6305)), "")*24*60, "")</f>
        <v/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:C6307" si="1195">A6306</f>
        <v>45989</v>
      </c>
      <c r="B6307" s="5" t="str">
        <f t="shared" si="1195"/>
        <v>Northern Cardinal</v>
      </c>
      <c r="C6307" s="6">
        <f t="shared" si="1195"/>
        <v>0.28541666666666665</v>
      </c>
      <c r="D6307" s="5"/>
      <c r="E6307" s="5"/>
      <c r="F6307" s="5" t="s">
        <v>8</v>
      </c>
      <c r="G6307" s="15" t="s">
        <v>9</v>
      </c>
      <c r="H6307" s="24">
        <f t="shared" si="1186"/>
        <v>0</v>
      </c>
      <c r="I6307" s="24" cm="1">
        <f t="array" ref="I6307">IFERROR(IF($B6307=I$1, ($A6307+$C6307) - MAX(IF($B$2:$B6306=$B6307, $A$2:$A6306+$C$2:$C6306)), "")*24*60, "")</f>
        <v>0</v>
      </c>
      <c r="J6307" s="24" t="str" cm="1">
        <f t="array" ref="J6307">IFERROR(IF($B6307=J$1, ($A6307+$C6307) - MAX(IF($B$2:$B6306=$B6307, $A$2:$A6306+$C$2:$C6306)), "")*24*60, "")</f>
        <v/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Northern Cardinal</v>
      </c>
      <c r="C6308" s="6">
        <f t="shared" si="1196"/>
        <v>0.28541666666666665</v>
      </c>
      <c r="D6308" s="5"/>
      <c r="E6308" s="5"/>
      <c r="F6308" s="5" t="s">
        <v>8</v>
      </c>
      <c r="G6308" s="15" t="s">
        <v>9</v>
      </c>
      <c r="H6308" s="24">
        <f t="shared" si="1186"/>
        <v>0</v>
      </c>
      <c r="I6308" s="24" cm="1">
        <f t="array" ref="I6308">IFERROR(IF($B6308=I$1, ($A6308+$C6308) - MAX(IF($B$2:$B6307=$B6308, $A$2:$A6307+$C$2:$C6307)), "")*24*60, "")</f>
        <v>0</v>
      </c>
      <c r="J6308" s="24" t="str" cm="1">
        <f t="array" ref="J6308">IFERROR(IF($B6308=J$1, ($A6308+$C6308) - MAX(IF($B$2:$B6307=$B6308, $A$2:$A6307+$C$2:$C6307)), "")*24*60, "")</f>
        <v/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Northern Cardinal</v>
      </c>
      <c r="C6309" s="6">
        <f t="shared" si="1197"/>
        <v>0.28541666666666665</v>
      </c>
      <c r="D6309" s="5"/>
      <c r="E6309" s="5"/>
      <c r="F6309" s="5" t="s">
        <v>8</v>
      </c>
      <c r="G6309" s="15" t="s">
        <v>9</v>
      </c>
      <c r="H6309" s="24">
        <f t="shared" si="1186"/>
        <v>0</v>
      </c>
      <c r="I6309" s="24" cm="1">
        <f t="array" ref="I6309">IFERROR(IF($B6309=I$1, ($A6309+$C6309) - MAX(IF($B$2:$B6308=$B6309, $A$2:$A6308+$C$2:$C6308)), "")*24*60, "")</f>
        <v>0</v>
      </c>
      <c r="J6309" s="24" t="str" cm="1">
        <f t="array" ref="J6309">IFERROR(IF($B6309=J$1, ($A6309+$C6309) - MAX(IF($B$2:$B6308=$B6309, $A$2:$A6308+$C$2:$C6308)), "")*24*60, "")</f>
        <v/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C6310" si="1198">A6309</f>
        <v>45989</v>
      </c>
      <c r="B6310" s="5" t="str">
        <f t="shared" si="1198"/>
        <v>Northern Cardinal</v>
      </c>
      <c r="C6310" s="6">
        <f t="shared" si="1198"/>
        <v>0.28541666666666665</v>
      </c>
      <c r="D6310" s="5"/>
      <c r="E6310" s="5"/>
      <c r="F6310" s="5" t="s">
        <v>8</v>
      </c>
      <c r="G6310" s="15" t="s">
        <v>9</v>
      </c>
      <c r="H6310" s="24">
        <f t="shared" si="1186"/>
        <v>0</v>
      </c>
      <c r="I6310" s="24" cm="1">
        <f t="array" ref="I6310">IFERROR(IF($B6310=I$1, ($A6310+$C6310) - MAX(IF($B$2:$B6309=$B6310, $A$2:$A6309+$C$2:$C6309)), "")*24*60, "")</f>
        <v>0</v>
      </c>
      <c r="J6310" s="24" t="str" cm="1">
        <f t="array" ref="J6310">IFERROR(IF($B6310=J$1, ($A6310+$C6310) - MAX(IF($B$2:$B6309=$B6310, $A$2:$A6309+$C$2:$C6309)), "")*24*60, "")</f>
        <v/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C6311" si="1199">A6310</f>
        <v>45989</v>
      </c>
      <c r="B6311" s="5" t="str">
        <f t="shared" si="1199"/>
        <v>Northern Cardinal</v>
      </c>
      <c r="C6311" s="6">
        <f t="shared" si="1199"/>
        <v>0.28541666666666665</v>
      </c>
      <c r="D6311" s="5"/>
      <c r="E6311" s="5"/>
      <c r="F6311" s="5" t="s">
        <v>8</v>
      </c>
      <c r="G6311" s="15" t="s">
        <v>9</v>
      </c>
      <c r="H6311" s="24">
        <f t="shared" si="1186"/>
        <v>0</v>
      </c>
      <c r="I6311" s="24" cm="1">
        <f t="array" ref="I6311">IFERROR(IF($B6311=I$1, ($A6311+$C6311) - MAX(IF($B$2:$B6310=$B6311, $A$2:$A6310+$C$2:$C6310)), "")*24*60, "")</f>
        <v>0</v>
      </c>
      <c r="J6311" s="24" t="str" cm="1">
        <f t="array" ref="J6311">IFERROR(IF($B6311=J$1, ($A6311+$C6311) - MAX(IF($B$2:$B6310=$B6311, $A$2:$A6310+$C$2:$C6310)), "")*24*60, "")</f>
        <v/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Northern Cardinal</v>
      </c>
      <c r="C6312" s="6">
        <f t="shared" si="1200"/>
        <v>0.28541666666666665</v>
      </c>
      <c r="D6312" s="5"/>
      <c r="E6312" s="5"/>
      <c r="F6312" s="5" t="s">
        <v>8</v>
      </c>
      <c r="G6312" s="15" t="s">
        <v>9</v>
      </c>
      <c r="H6312" s="24">
        <f t="shared" si="1186"/>
        <v>0</v>
      </c>
      <c r="I6312" s="24" cm="1">
        <f t="array" ref="I6312">IFERROR(IF($B6312=I$1, ($A6312+$C6312) - MAX(IF($B$2:$B6311=$B6312, $A$2:$A6311+$C$2:$C6311)), "")*24*60, "")</f>
        <v>0</v>
      </c>
      <c r="J6312" s="24" t="str" cm="1">
        <f t="array" ref="J6312">IFERROR(IF($B6312=J$1, ($A6312+$C6312) - MAX(IF($B$2:$B6311=$B6312, $A$2:$A6311+$C$2:$C6311)), "")*24*60, "")</f>
        <v/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C6313" si="1201">A6312</f>
        <v>45989</v>
      </c>
      <c r="B6313" s="5" t="str">
        <f t="shared" si="1201"/>
        <v>Northern Cardinal</v>
      </c>
      <c r="C6313" s="6">
        <f t="shared" si="1201"/>
        <v>0.28541666666666665</v>
      </c>
      <c r="D6313" s="5"/>
      <c r="E6313" s="5"/>
      <c r="F6313" s="5" t="s">
        <v>8</v>
      </c>
      <c r="G6313" s="15" t="s">
        <v>9</v>
      </c>
      <c r="H6313" s="24">
        <f t="shared" si="1186"/>
        <v>0</v>
      </c>
      <c r="I6313" s="24" cm="1">
        <f t="array" ref="I6313">IFERROR(IF($B6313=I$1, ($A6313+$C6313) - MAX(IF($B$2:$B6312=$B6313, $A$2:$A6312+$C$2:$C6312)), "")*24*60, "")</f>
        <v>0</v>
      </c>
      <c r="J6313" s="24" t="str" cm="1">
        <f t="array" ref="J6313">IFERROR(IF($B6313=J$1, ($A6313+$C6313) - MAX(IF($B$2:$B6312=$B6313, $A$2:$A6312+$C$2:$C6312)), "")*24*60, "")</f>
        <v/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Northern Cardinal</v>
      </c>
      <c r="C6314" s="6">
        <f t="shared" si="1202"/>
        <v>0.28541666666666665</v>
      </c>
      <c r="D6314" s="5"/>
      <c r="E6314" s="5"/>
      <c r="F6314" s="5" t="s">
        <v>8</v>
      </c>
      <c r="G6314" s="15" t="s">
        <v>9</v>
      </c>
      <c r="H6314" s="24">
        <f t="shared" si="1186"/>
        <v>0</v>
      </c>
      <c r="I6314" s="24" cm="1">
        <f t="array" ref="I6314">IFERROR(IF($B6314=I$1, ($A6314+$C6314) - MAX(IF($B$2:$B6313=$B6314, $A$2:$A6313+$C$2:$C6313)), "")*24*60, "")</f>
        <v>0</v>
      </c>
      <c r="J6314" s="24" t="str" cm="1">
        <f t="array" ref="J6314">IFERROR(IF($B6314=J$1, ($A6314+$C6314) - MAX(IF($B$2:$B6313=$B6314, $A$2:$A6313+$C$2:$C6313)), "")*24*60, "")</f>
        <v/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Northern Cardinal</v>
      </c>
      <c r="C6315" s="6">
        <f t="shared" si="1203"/>
        <v>0.28541666666666665</v>
      </c>
      <c r="D6315" s="5"/>
      <c r="E6315" s="5"/>
      <c r="F6315" s="5" t="s">
        <v>8</v>
      </c>
      <c r="G6315" s="15" t="s">
        <v>9</v>
      </c>
      <c r="H6315" s="24">
        <f t="shared" si="1186"/>
        <v>0</v>
      </c>
      <c r="I6315" s="24" cm="1">
        <f t="array" ref="I6315">IFERROR(IF($B6315=I$1, ($A6315+$C6315) - MAX(IF($B$2:$B6314=$B6315, $A$2:$A6314+$C$2:$C6314)), "")*24*60, "")</f>
        <v>0</v>
      </c>
      <c r="J6315" s="24" t="str" cm="1">
        <f t="array" ref="J6315">IFERROR(IF($B6315=J$1, ($A6315+$C6315) - MAX(IF($B$2:$B6314=$B6315, $A$2:$A6314+$C$2:$C6314)), "")*24*60, "")</f>
        <v/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C6316" si="1204">A6315</f>
        <v>45989</v>
      </c>
      <c r="B6316" s="5" t="str">
        <f t="shared" si="1204"/>
        <v>Northern Cardinal</v>
      </c>
      <c r="C6316" s="6">
        <f t="shared" si="1204"/>
        <v>0.28541666666666665</v>
      </c>
      <c r="D6316" s="5"/>
      <c r="E6316" s="5"/>
      <c r="F6316" s="5" t="s">
        <v>8</v>
      </c>
      <c r="G6316" s="15" t="s">
        <v>9</v>
      </c>
      <c r="H6316" s="24">
        <f t="shared" si="1186"/>
        <v>0</v>
      </c>
      <c r="I6316" s="24" cm="1">
        <f t="array" ref="I6316">IFERROR(IF($B6316=I$1, ($A6316+$C6316) - MAX(IF($B$2:$B6315=$B6316, $A$2:$A6315+$C$2:$C6315)), "")*24*60, "")</f>
        <v>0</v>
      </c>
      <c r="J6316" s="24" t="str" cm="1">
        <f t="array" ref="J6316">IFERROR(IF($B6316=J$1, ($A6316+$C6316) - MAX(IF($B$2:$B6315=$B6316, $A$2:$A6315+$C$2:$C6315)), "")*24*60, "")</f>
        <v/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C6317" si="1205">A6316</f>
        <v>45989</v>
      </c>
      <c r="B6317" s="5" t="str">
        <f t="shared" si="1205"/>
        <v>Northern Cardinal</v>
      </c>
      <c r="C6317" s="6">
        <f t="shared" si="1205"/>
        <v>0.28541666666666665</v>
      </c>
      <c r="D6317" s="5"/>
      <c r="E6317" s="5"/>
      <c r="F6317" s="5" t="s">
        <v>8</v>
      </c>
      <c r="G6317" s="15" t="s">
        <v>9</v>
      </c>
      <c r="H6317" s="24">
        <f t="shared" si="1186"/>
        <v>0</v>
      </c>
      <c r="I6317" s="24" cm="1">
        <f t="array" ref="I6317">IFERROR(IF($B6317=I$1, ($A6317+$C6317) - MAX(IF($B$2:$B6316=$B6317, $A$2:$A6316+$C$2:$C6316)), "")*24*60, "")</f>
        <v>0</v>
      </c>
      <c r="J6317" s="24" t="str" cm="1">
        <f t="array" ref="J6317">IFERROR(IF($B6317=J$1, ($A6317+$C6317) - MAX(IF($B$2:$B6316=$B6317, $A$2:$A6316+$C$2:$C6316)), "")*24*60, "")</f>
        <v/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C6318" si="1206">A6317</f>
        <v>45989</v>
      </c>
      <c r="B6318" s="5" t="str">
        <f t="shared" si="1206"/>
        <v>Northern Cardinal</v>
      </c>
      <c r="C6318" s="6">
        <f t="shared" si="1206"/>
        <v>0.28541666666666665</v>
      </c>
      <c r="D6318" s="5"/>
      <c r="E6318" s="5"/>
      <c r="F6318" s="5" t="s">
        <v>8</v>
      </c>
      <c r="G6318" s="15" t="s">
        <v>9</v>
      </c>
      <c r="H6318" s="24">
        <f t="shared" si="1186"/>
        <v>0</v>
      </c>
      <c r="I6318" s="24" cm="1">
        <f t="array" ref="I6318">IFERROR(IF($B6318=I$1, ($A6318+$C6318) - MAX(IF($B$2:$B6317=$B6318, $A$2:$A6317+$C$2:$C6317)), "")*24*60, "")</f>
        <v>0</v>
      </c>
      <c r="J6318" s="24" t="str" cm="1">
        <f t="array" ref="J6318">IFERROR(IF($B6318=J$1, ($A6318+$C6318) - MAX(IF($B$2:$B6317=$B6318, $A$2:$A6317+$C$2:$C6317)), "")*24*60, "")</f>
        <v/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C6319" si="1207">A6318</f>
        <v>45989</v>
      </c>
      <c r="B6319" s="5" t="str">
        <f t="shared" si="1207"/>
        <v>Northern Cardinal</v>
      </c>
      <c r="C6319" s="6">
        <f t="shared" si="1207"/>
        <v>0.28541666666666665</v>
      </c>
      <c r="D6319" s="5"/>
      <c r="E6319" s="5"/>
      <c r="F6319" s="5" t="s">
        <v>8</v>
      </c>
      <c r="G6319" s="15" t="s">
        <v>9</v>
      </c>
      <c r="H6319" s="24">
        <f t="shared" si="1186"/>
        <v>0</v>
      </c>
      <c r="I6319" s="24" cm="1">
        <f t="array" ref="I6319">IFERROR(IF($B6319=I$1, ($A6319+$C6319) - MAX(IF($B$2:$B6318=$B6319, $A$2:$A6318+$C$2:$C6318)), "")*24*60, "")</f>
        <v>0</v>
      </c>
      <c r="J6319" s="24" t="str" cm="1">
        <f t="array" ref="J6319">IFERROR(IF($B6319=J$1, ($A6319+$C6319) - MAX(IF($B$2:$B6318=$B6319, $A$2:$A6318+$C$2:$C6318)), "")*24*60, "")</f>
        <v/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Northern Cardinal</v>
      </c>
      <c r="C6320" s="6">
        <f t="shared" si="1208"/>
        <v>0.28541666666666665</v>
      </c>
      <c r="D6320" s="5"/>
      <c r="E6320" s="5"/>
      <c r="F6320" s="5" t="s">
        <v>8</v>
      </c>
      <c r="G6320" s="15" t="s">
        <v>9</v>
      </c>
      <c r="H6320" s="24">
        <f t="shared" si="1186"/>
        <v>0</v>
      </c>
      <c r="I6320" s="24" cm="1">
        <f t="array" ref="I6320">IFERROR(IF($B6320=I$1, ($A6320+$C6320) - MAX(IF($B$2:$B6319=$B6320, $A$2:$A6319+$C$2:$C6319)), "")*24*60, "")</f>
        <v>0</v>
      </c>
      <c r="J6320" s="24" t="str" cm="1">
        <f t="array" ref="J6320">IFERROR(IF($B6320=J$1, ($A6320+$C6320) - MAX(IF($B$2:$B6319=$B6320, $A$2:$A6319+$C$2:$C6319)), "")*24*60, "")</f>
        <v/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C6321" si="1209">A6320</f>
        <v>45989</v>
      </c>
      <c r="B6321" s="5" t="str">
        <f t="shared" si="1209"/>
        <v>Northern Cardinal</v>
      </c>
      <c r="C6321" s="6">
        <f t="shared" si="1209"/>
        <v>0.28541666666666665</v>
      </c>
      <c r="D6321" s="5"/>
      <c r="E6321" s="5"/>
      <c r="F6321" s="5" t="s">
        <v>8</v>
      </c>
      <c r="G6321" s="15" t="s">
        <v>9</v>
      </c>
      <c r="H6321" s="24">
        <f t="shared" si="1186"/>
        <v>0</v>
      </c>
      <c r="I6321" s="24" cm="1">
        <f t="array" ref="I6321">IFERROR(IF($B6321=I$1, ($A6321+$C6321) - MAX(IF($B$2:$B6320=$B6321, $A$2:$A6320+$C$2:$C6320)), "")*24*60, "")</f>
        <v>0</v>
      </c>
      <c r="J6321" s="24" t="str" cm="1">
        <f t="array" ref="J6321">IFERROR(IF($B6321=J$1, ($A6321+$C6321) - MAX(IF($B$2:$B6320=$B6321, $A$2:$A6320+$C$2:$C6320)), "")*24*60, "")</f>
        <v/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Northern Cardinal</v>
      </c>
      <c r="C6322" s="6">
        <f t="shared" si="1210"/>
        <v>0.28541666666666665</v>
      </c>
      <c r="D6322" s="5"/>
      <c r="E6322" s="5"/>
      <c r="F6322" s="5" t="s">
        <v>8</v>
      </c>
      <c r="G6322" s="15" t="s">
        <v>9</v>
      </c>
      <c r="H6322" s="24">
        <f t="shared" si="1186"/>
        <v>0</v>
      </c>
      <c r="I6322" s="24" cm="1">
        <f t="array" ref="I6322">IFERROR(IF($B6322=I$1, ($A6322+$C6322) - MAX(IF($B$2:$B6321=$B6322, $A$2:$A6321+$C$2:$C6321)), "")*24*60, "")</f>
        <v>0</v>
      </c>
      <c r="J6322" s="24" t="str" cm="1">
        <f t="array" ref="J6322">IFERROR(IF($B6322=J$1, ($A6322+$C6322) - MAX(IF($B$2:$B6321=$B6322, $A$2:$A6321+$C$2:$C6321)), "")*24*60, "")</f>
        <v/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C6323" si="1211">A6322</f>
        <v>45989</v>
      </c>
      <c r="B6323" s="5" t="str">
        <f t="shared" si="1211"/>
        <v>Northern Cardinal</v>
      </c>
      <c r="C6323" s="6">
        <f t="shared" si="1211"/>
        <v>0.28541666666666665</v>
      </c>
      <c r="D6323" s="5"/>
      <c r="E6323" s="5"/>
      <c r="F6323" s="5" t="s">
        <v>8</v>
      </c>
      <c r="G6323" s="15" t="s">
        <v>9</v>
      </c>
      <c r="H6323" s="24">
        <f t="shared" si="1186"/>
        <v>0</v>
      </c>
      <c r="I6323" s="24" cm="1">
        <f t="array" ref="I6323">IFERROR(IF($B6323=I$1, ($A6323+$C6323) - MAX(IF($B$2:$B6322=$B6323, $A$2:$A6322+$C$2:$C6322)), "")*24*60, "")</f>
        <v>0</v>
      </c>
      <c r="J6323" s="24" t="str" cm="1">
        <f t="array" ref="J6323">IFERROR(IF($B6323=J$1, ($A6323+$C6323) - MAX(IF($B$2:$B6322=$B6323, $A$2:$A6322+$C$2:$C6322)), "")*24*60, "")</f>
        <v/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Northern Cardinal</v>
      </c>
      <c r="C6324" s="6">
        <f t="shared" si="1212"/>
        <v>0.28541666666666665</v>
      </c>
      <c r="D6324" s="5"/>
      <c r="E6324" s="5"/>
      <c r="F6324" s="5" t="s">
        <v>8</v>
      </c>
      <c r="G6324" s="15" t="s">
        <v>9</v>
      </c>
      <c r="H6324" s="24">
        <f t="shared" si="1186"/>
        <v>0</v>
      </c>
      <c r="I6324" s="24" cm="1">
        <f t="array" ref="I6324">IFERROR(IF($B6324=I$1, ($A6324+$C6324) - MAX(IF($B$2:$B6323=$B6324, $A$2:$A6323+$C$2:$C6323)), "")*24*60, "")</f>
        <v>0</v>
      </c>
      <c r="J6324" s="24" t="str" cm="1">
        <f t="array" ref="J6324">IFERROR(IF($B6324=J$1, ($A6324+$C6324) - MAX(IF($B$2:$B6323=$B6324, $A$2:$A6323+$C$2:$C6323)), "")*24*60, "")</f>
        <v/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C6325" si="1213">A6324</f>
        <v>45989</v>
      </c>
      <c r="B6325" s="5" t="str">
        <f t="shared" si="1213"/>
        <v>Northern Cardinal</v>
      </c>
      <c r="C6325" s="6">
        <f t="shared" si="1213"/>
        <v>0.28541666666666665</v>
      </c>
      <c r="D6325" s="5"/>
      <c r="E6325" s="5"/>
      <c r="F6325" s="5" t="s">
        <v>8</v>
      </c>
      <c r="G6325" s="15" t="s">
        <v>9</v>
      </c>
      <c r="H6325" s="24">
        <f t="shared" si="1186"/>
        <v>0</v>
      </c>
      <c r="I6325" s="24" cm="1">
        <f t="array" ref="I6325">IFERROR(IF($B6325=I$1, ($A6325+$C6325) - MAX(IF($B$2:$B6324=$B6325, $A$2:$A6324+$C$2:$C6324)), "")*24*60, "")</f>
        <v>0</v>
      </c>
      <c r="J6325" s="24" t="str" cm="1">
        <f t="array" ref="J6325">IFERROR(IF($B6325=J$1, ($A6325+$C6325) - MAX(IF($B$2:$B6324=$B6325, $A$2:$A6324+$C$2:$C6324)), "")*24*60, "")</f>
        <v/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C6326" si="1214">A6325</f>
        <v>45989</v>
      </c>
      <c r="B6326" s="5" t="str">
        <f t="shared" si="1214"/>
        <v>Northern Cardinal</v>
      </c>
      <c r="C6326" s="6">
        <f t="shared" si="1214"/>
        <v>0.28541666666666665</v>
      </c>
      <c r="D6326" s="5"/>
      <c r="E6326" s="5"/>
      <c r="F6326" s="5" t="s">
        <v>8</v>
      </c>
      <c r="G6326" s="15" t="s">
        <v>9</v>
      </c>
      <c r="H6326" s="24">
        <f t="shared" si="1186"/>
        <v>0</v>
      </c>
      <c r="I6326" s="24" cm="1">
        <f t="array" ref="I6326">IFERROR(IF($B6326=I$1, ($A6326+$C6326) - MAX(IF($B$2:$B6325=$B6326, $A$2:$A6325+$C$2:$C6325)), "")*24*60, "")</f>
        <v>0</v>
      </c>
      <c r="J6326" s="24" t="str" cm="1">
        <f t="array" ref="J6326">IFERROR(IF($B6326=J$1, ($A6326+$C6326) - MAX(IF($B$2:$B6325=$B6326, $A$2:$A6325+$C$2:$C6325)), "")*24*60, "")</f>
        <v/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C6327" si="1215">A6326</f>
        <v>45989</v>
      </c>
      <c r="B6327" s="5" t="str">
        <f t="shared" si="1215"/>
        <v>Northern Cardinal</v>
      </c>
      <c r="C6327" s="6">
        <f t="shared" si="1215"/>
        <v>0.28541666666666665</v>
      </c>
      <c r="D6327" s="5"/>
      <c r="E6327" s="5"/>
      <c r="F6327" s="5" t="s">
        <v>8</v>
      </c>
      <c r="G6327" s="15" t="s">
        <v>9</v>
      </c>
      <c r="H6327" s="24">
        <f t="shared" si="1186"/>
        <v>0</v>
      </c>
      <c r="I6327" s="24" cm="1">
        <f t="array" ref="I6327">IFERROR(IF($B6327=I$1, ($A6327+$C6327) - MAX(IF($B$2:$B6326=$B6327, $A$2:$A6326+$C$2:$C6326)), "")*24*60, "")</f>
        <v>0</v>
      </c>
      <c r="J6327" s="24" t="str" cm="1">
        <f t="array" ref="J6327">IFERROR(IF($B6327=J$1, ($A6327+$C6327) - MAX(IF($B$2:$B6326=$B6327, $A$2:$A6326+$C$2:$C6326)), "")*24*60, "")</f>
        <v/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C6328" si="1216">A6327</f>
        <v>45989</v>
      </c>
      <c r="B6328" s="5" t="str">
        <f t="shared" si="1216"/>
        <v>Northern Cardinal</v>
      </c>
      <c r="C6328" s="6">
        <f t="shared" si="1216"/>
        <v>0.28541666666666665</v>
      </c>
      <c r="D6328" s="5"/>
      <c r="E6328" s="5"/>
      <c r="F6328" s="5" t="s">
        <v>8</v>
      </c>
      <c r="G6328" s="15" t="s">
        <v>9</v>
      </c>
      <c r="H6328" s="24">
        <f t="shared" si="1186"/>
        <v>0</v>
      </c>
      <c r="I6328" s="24" cm="1">
        <f t="array" ref="I6328">IFERROR(IF($B6328=I$1, ($A6328+$C6328) - MAX(IF($B$2:$B6327=$B6328, $A$2:$A6327+$C$2:$C6327)), "")*24*60, "")</f>
        <v>0</v>
      </c>
      <c r="J6328" s="24" t="str" cm="1">
        <f t="array" ref="J6328">IFERROR(IF($B6328=J$1, ($A6328+$C6328) - MAX(IF($B$2:$B6327=$B6328, $A$2:$A6327+$C$2:$C6327)), "")*24*60, "")</f>
        <v/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C6329" si="1217">A6328</f>
        <v>45989</v>
      </c>
      <c r="B6329" s="5" t="str">
        <f t="shared" si="1217"/>
        <v>Northern Cardinal</v>
      </c>
      <c r="C6329" s="6">
        <f t="shared" si="1217"/>
        <v>0.28541666666666665</v>
      </c>
      <c r="D6329" s="5"/>
      <c r="E6329" s="5"/>
      <c r="F6329" s="5" t="s">
        <v>8</v>
      </c>
      <c r="G6329" s="15" t="s">
        <v>9</v>
      </c>
      <c r="H6329" s="24">
        <f t="shared" si="1186"/>
        <v>0</v>
      </c>
      <c r="I6329" s="24" cm="1">
        <f t="array" ref="I6329">IFERROR(IF($B6329=I$1, ($A6329+$C6329) - MAX(IF($B$2:$B6328=$B6329, $A$2:$A6328+$C$2:$C6328)), "")*24*60, "")</f>
        <v>0</v>
      </c>
      <c r="J6329" s="24" t="str" cm="1">
        <f t="array" ref="J6329">IFERROR(IF($B6329=J$1, ($A6329+$C6329) - MAX(IF($B$2:$B6328=$B6329, $A$2:$A6328+$C$2:$C6328)), "")*24*60, "")</f>
        <v/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:C6330" si="1218">A6329</f>
        <v>45989</v>
      </c>
      <c r="B6330" s="5" t="str">
        <f t="shared" si="1218"/>
        <v>Northern Cardinal</v>
      </c>
      <c r="C6330" s="6">
        <f t="shared" si="1218"/>
        <v>0.28541666666666665</v>
      </c>
      <c r="D6330" s="5"/>
      <c r="E6330" s="5"/>
      <c r="F6330" s="5" t="s">
        <v>8</v>
      </c>
      <c r="G6330" s="15" t="s">
        <v>9</v>
      </c>
      <c r="H6330" s="24">
        <f t="shared" si="1186"/>
        <v>0</v>
      </c>
      <c r="I6330" s="24" cm="1">
        <f t="array" ref="I6330">IFERROR(IF($B6330=I$1, ($A6330+$C6330) - MAX(IF($B$2:$B6329=$B6330, $A$2:$A6329+$C$2:$C6329)), "")*24*60, "")</f>
        <v>0</v>
      </c>
      <c r="J6330" s="24" t="str" cm="1">
        <f t="array" ref="J6330">IFERROR(IF($B6330=J$1, ($A6330+$C6330) - MAX(IF($B$2:$B6329=$B6330, $A$2:$A6329+$C$2:$C6329)), "")*24*60, "")</f>
        <v/>
      </c>
      <c r="K6330" s="24" t="str" cm="1">
        <f t="array" ref="K6330">IFERROR(IF($B6330=K$1, ($A6330+$C6330) - MAX(IF($B$2:$B6329=$B6330, $A$2:$A6329+$C$2:$C6329)), "")*24*60, "")</f>
        <v/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tr">
        <f t="shared" si="1219"/>
        <v>Northern Cardinal</v>
      </c>
      <c r="C6331" s="6">
        <f t="shared" si="1219"/>
        <v>0.28541666666666665</v>
      </c>
      <c r="D6331" s="5"/>
      <c r="E6331" s="5"/>
      <c r="F6331" s="5" t="s">
        <v>8</v>
      </c>
      <c r="G6331" s="15" t="s">
        <v>9</v>
      </c>
      <c r="H6331" s="24">
        <f t="shared" si="1186"/>
        <v>0</v>
      </c>
      <c r="I6331" s="24" cm="1">
        <f t="array" ref="I6331">IFERROR(IF($B6331=I$1, ($A6331+$C6331) - MAX(IF($B$2:$B6330=$B6331, $A$2:$A6330+$C$2:$C6330)), "")*24*60, "")</f>
        <v>0</v>
      </c>
      <c r="J6331" s="24" t="str" cm="1">
        <f t="array" ref="J6331">IFERROR(IF($B6331=J$1, ($A6331+$C6331) - MAX(IF($B$2:$B6330=$B6331, $A$2:$A6330+$C$2:$C6330)), "")*24*60, "")</f>
        <v/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C6332" si="1220">A6331</f>
        <v>45989</v>
      </c>
      <c r="B6332" s="5" t="str">
        <f t="shared" si="1220"/>
        <v>Northern Cardinal</v>
      </c>
      <c r="C6332" s="6">
        <f t="shared" si="1220"/>
        <v>0.28541666666666665</v>
      </c>
      <c r="D6332" s="5"/>
      <c r="E6332" s="5"/>
      <c r="F6332" s="5" t="s">
        <v>8</v>
      </c>
      <c r="G6332" s="15" t="s">
        <v>9</v>
      </c>
      <c r="H6332" s="24">
        <f t="shared" si="1186"/>
        <v>0</v>
      </c>
      <c r="I6332" s="24" cm="1">
        <f t="array" ref="I6332">IFERROR(IF($B6332=I$1, ($A6332+$C6332) - MAX(IF($B$2:$B6331=$B6332, $A$2:$A6331+$C$2:$C6331)), "")*24*60, "")</f>
        <v>0</v>
      </c>
      <c r="J6332" s="24" t="str" cm="1">
        <f t="array" ref="J6332">IFERROR(IF($B6332=J$1, ($A6332+$C6332) - MAX(IF($B$2:$B6331=$B6332, $A$2:$A6331+$C$2:$C6331)), "")*24*60, "")</f>
        <v/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Northern Cardinal</v>
      </c>
      <c r="C6333" s="6">
        <f t="shared" si="1221"/>
        <v>0.28541666666666665</v>
      </c>
      <c r="D6333" s="5"/>
      <c r="E6333" s="5"/>
      <c r="F6333" s="5" t="s">
        <v>8</v>
      </c>
      <c r="G6333" s="15" t="s">
        <v>9</v>
      </c>
      <c r="H6333" s="24">
        <f t="shared" si="1186"/>
        <v>0</v>
      </c>
      <c r="I6333" s="24" cm="1">
        <f t="array" ref="I6333">IFERROR(IF($B6333=I$1, ($A6333+$C6333) - MAX(IF($B$2:$B6332=$B6333, $A$2:$A6332+$C$2:$C6332)), "")*24*60, "")</f>
        <v>0</v>
      </c>
      <c r="J6333" s="24" t="str" cm="1">
        <f t="array" ref="J6333">IFERROR(IF($B6333=J$1, ($A6333+$C6333) - MAX(IF($B$2:$B6332=$B6333, $A$2:$A6332+$C$2:$C6332)), "")*24*60, "")</f>
        <v/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C6334" si="1222">A6333</f>
        <v>45989</v>
      </c>
      <c r="B6334" s="5" t="str">
        <f t="shared" si="1222"/>
        <v>Northern Cardinal</v>
      </c>
      <c r="C6334" s="6">
        <f t="shared" si="1222"/>
        <v>0.28541666666666665</v>
      </c>
      <c r="D6334" s="5"/>
      <c r="E6334" s="5"/>
      <c r="F6334" s="5" t="s">
        <v>8</v>
      </c>
      <c r="G6334" s="15" t="s">
        <v>9</v>
      </c>
      <c r="H6334" s="24">
        <f t="shared" si="1186"/>
        <v>0</v>
      </c>
      <c r="I6334" s="24" cm="1">
        <f t="array" ref="I6334">IFERROR(IF($B6334=I$1, ($A6334+$C6334) - MAX(IF($B$2:$B6333=$B6334, $A$2:$A6333+$C$2:$C6333)), "")*24*60, "")</f>
        <v>0</v>
      </c>
      <c r="J6334" s="24" t="str" cm="1">
        <f t="array" ref="J6334">IFERROR(IF($B6334=J$1, ($A6334+$C6334) - MAX(IF($B$2:$B6333=$B6334, $A$2:$A6333+$C$2:$C6333)), "")*24*60, "")</f>
        <v/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C6335" si="1223">A6334</f>
        <v>45989</v>
      </c>
      <c r="B6335" s="5" t="str">
        <f t="shared" si="1223"/>
        <v>Northern Cardinal</v>
      </c>
      <c r="C6335" s="6">
        <f t="shared" si="1223"/>
        <v>0.28541666666666665</v>
      </c>
      <c r="D6335" s="5"/>
      <c r="E6335" s="5"/>
      <c r="F6335" s="5" t="s">
        <v>8</v>
      </c>
      <c r="G6335" s="15" t="s">
        <v>9</v>
      </c>
      <c r="H6335" s="24">
        <f t="shared" si="1186"/>
        <v>0</v>
      </c>
      <c r="I6335" s="24" cm="1">
        <f t="array" ref="I6335">IFERROR(IF($B6335=I$1, ($A6335+$C6335) - MAX(IF($B$2:$B6334=$B6335, $A$2:$A6334+$C$2:$C6334)), "")*24*60, "")</f>
        <v>0</v>
      </c>
      <c r="J6335" s="24" t="str" cm="1">
        <f t="array" ref="J6335">IFERROR(IF($B6335=J$1, ($A6335+$C6335) - MAX(IF($B$2:$B6334=$B6335, $A$2:$A6334+$C$2:$C6334)), "")*24*60, "")</f>
        <v/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C6336" si="1224">A6335</f>
        <v>45989</v>
      </c>
      <c r="B6336" s="5" t="str">
        <f t="shared" si="1224"/>
        <v>Northern Cardinal</v>
      </c>
      <c r="C6336" s="6">
        <f t="shared" si="1224"/>
        <v>0.28541666666666665</v>
      </c>
      <c r="D6336" s="5"/>
      <c r="E6336" s="5"/>
      <c r="F6336" s="5" t="s">
        <v>8</v>
      </c>
      <c r="G6336" s="15" t="s">
        <v>9</v>
      </c>
      <c r="H6336" s="24">
        <f t="shared" si="1186"/>
        <v>0</v>
      </c>
      <c r="I6336" s="24" cm="1">
        <f t="array" ref="I6336">IFERROR(IF($B6336=I$1, ($A6336+$C6336) - MAX(IF($B$2:$B6335=$B6336, $A$2:$A6335+$C$2:$C6335)), "")*24*60, "")</f>
        <v>0</v>
      </c>
      <c r="J6336" s="24" t="str" cm="1">
        <f t="array" ref="J6336">IFERROR(IF($B6336=J$1, ($A6336+$C6336) - MAX(IF($B$2:$B6335=$B6336, $A$2:$A6335+$C$2:$C6335)), "")*24*60, "")</f>
        <v/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Northern Cardinal</v>
      </c>
      <c r="C6337" s="6">
        <f t="shared" si="1225"/>
        <v>0.28541666666666665</v>
      </c>
      <c r="D6337" s="5"/>
      <c r="E6337" s="5"/>
      <c r="F6337" s="5" t="s">
        <v>8</v>
      </c>
      <c r="G6337" s="15" t="s">
        <v>9</v>
      </c>
      <c r="H6337" s="24">
        <f t="shared" si="1186"/>
        <v>0</v>
      </c>
      <c r="I6337" s="24" cm="1">
        <f t="array" ref="I6337">IFERROR(IF($B6337=I$1, ($A6337+$C6337) - MAX(IF($B$2:$B6336=$B6337, $A$2:$A6336+$C$2:$C6336)), "")*24*60, "")</f>
        <v>0</v>
      </c>
      <c r="J6337" s="24" t="str" cm="1">
        <f t="array" ref="J6337">IFERROR(IF($B6337=J$1, ($A6337+$C6337) - MAX(IF($B$2:$B6336=$B6337, $A$2:$A6336+$C$2:$C6336)), "")*24*60, "")</f>
        <v/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C6338" si="1226">A6337</f>
        <v>45989</v>
      </c>
      <c r="B6338" s="5" t="str">
        <f t="shared" si="1226"/>
        <v>Northern Cardinal</v>
      </c>
      <c r="C6338" s="6">
        <f t="shared" si="1226"/>
        <v>0.28541666666666665</v>
      </c>
      <c r="D6338" s="5"/>
      <c r="E6338" s="5"/>
      <c r="F6338" s="5" t="s">
        <v>8</v>
      </c>
      <c r="G6338" s="15" t="s">
        <v>9</v>
      </c>
      <c r="H6338" s="24">
        <f t="shared" si="1186"/>
        <v>0</v>
      </c>
      <c r="I6338" s="24" cm="1">
        <f t="array" ref="I6338">IFERROR(IF($B6338=I$1, ($A6338+$C6338) - MAX(IF($B$2:$B6337=$B6338, $A$2:$A6337+$C$2:$C6337)), "")*24*60, "")</f>
        <v>0</v>
      </c>
      <c r="J6338" s="24" t="str" cm="1">
        <f t="array" ref="J6338">IFERROR(IF($B6338=J$1, ($A6338+$C6338) - MAX(IF($B$2:$B6337=$B6338, $A$2:$A6337+$C$2:$C6337)), "")*24*60, "")</f>
        <v/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Northern Cardinal</v>
      </c>
      <c r="C6339" s="6">
        <f t="shared" si="1227"/>
        <v>0.28541666666666665</v>
      </c>
      <c r="D6339" s="5"/>
      <c r="E6339" s="5"/>
      <c r="F6339" s="5" t="s">
        <v>8</v>
      </c>
      <c r="G6339" s="15" t="s">
        <v>9</v>
      </c>
      <c r="H6339" s="24">
        <f t="shared" si="1186"/>
        <v>0</v>
      </c>
      <c r="I6339" s="24" cm="1">
        <f t="array" ref="I6339">IFERROR(IF($B6339=I$1, ($A6339+$C6339) - MAX(IF($B$2:$B6338=$B6339, $A$2:$A6338+$C$2:$C6338)), "")*24*60, "")</f>
        <v>0</v>
      </c>
      <c r="J6339" s="24" t="str" cm="1">
        <f t="array" ref="J6339">IFERROR(IF($B6339=J$1, ($A6339+$C6339) - MAX(IF($B$2:$B6338=$B6339, $A$2:$A6338+$C$2:$C6338)), "")*24*60, "")</f>
        <v/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tr">
        <f t="shared" si="1228"/>
        <v>Northern Cardinal</v>
      </c>
      <c r="C6340" s="6">
        <f t="shared" si="1228"/>
        <v>0.28541666666666665</v>
      </c>
      <c r="D6340" s="5"/>
      <c r="E6340" s="5"/>
      <c r="F6340" s="5" t="s">
        <v>8</v>
      </c>
      <c r="G6340" s="15" t="s">
        <v>9</v>
      </c>
      <c r="H6340" s="24">
        <f t="shared" si="1186"/>
        <v>0</v>
      </c>
      <c r="I6340" s="24" cm="1">
        <f t="array" ref="I6340">IFERROR(IF($B6340=I$1, ($A6340+$C6340) - MAX(IF($B$2:$B6339=$B6340, $A$2:$A6339+$C$2:$C6339)), "")*24*60, "")</f>
        <v>0</v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t="str" cm="1">
        <f t="array" ref="L6340">IFERROR(IF($B6340=L$1, ($A6340+$C6340) - MAX(IF($B$2:$B6339=$B6340, $A$2:$A6339+$C$2:$C6339)), "")*24*60, "")</f>
        <v/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C6341" si="1229">A6340</f>
        <v>45989</v>
      </c>
      <c r="B6341" s="5" t="str">
        <f t="shared" si="1229"/>
        <v>Northern Cardinal</v>
      </c>
      <c r="C6341" s="6">
        <f t="shared" si="1229"/>
        <v>0.28541666666666665</v>
      </c>
      <c r="D6341" s="5"/>
      <c r="E6341" s="5"/>
      <c r="F6341" s="5" t="s">
        <v>8</v>
      </c>
      <c r="G6341" s="15" t="s">
        <v>9</v>
      </c>
      <c r="H6341" s="24">
        <f t="shared" si="1186"/>
        <v>0</v>
      </c>
      <c r="I6341" s="24" cm="1">
        <f t="array" ref="I6341">IFERROR(IF($B6341=I$1, ($A6341+$C6341) - MAX(IF($B$2:$B6340=$B6341, $A$2:$A6340+$C$2:$C6340)), "")*24*60, "")</f>
        <v>0</v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t="str" cm="1">
        <f t="array" ref="L6341">IFERROR(IF($B6341=L$1, ($A6341+$C6341) - MAX(IF($B$2:$B6340=$B6341, $A$2:$A6340+$C$2:$C6340)), "")*24*60, "")</f>
        <v/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:C6342" si="1230">A6341</f>
        <v>45989</v>
      </c>
      <c r="B6342" s="5" t="str">
        <f t="shared" si="1230"/>
        <v>Northern Cardinal</v>
      </c>
      <c r="C6342" s="6">
        <f t="shared" si="1230"/>
        <v>0.28541666666666665</v>
      </c>
      <c r="D6342" s="5"/>
      <c r="E6342" s="5"/>
      <c r="F6342" s="5" t="s">
        <v>8</v>
      </c>
      <c r="G6342" s="15" t="s">
        <v>9</v>
      </c>
      <c r="H6342" s="24">
        <f t="shared" si="1186"/>
        <v>0</v>
      </c>
      <c r="I6342" s="24" cm="1">
        <f t="array" ref="I6342">IFERROR(IF($B6342=I$1, ($A6342+$C6342) - MAX(IF($B$2:$B6341=$B6342, $A$2:$A6341+$C$2:$C6341)), "")*24*60, "")</f>
        <v>0</v>
      </c>
      <c r="J6342" s="24" t="str" cm="1">
        <f t="array" ref="J6342">IFERROR(IF($B6342=J$1, ($A6342+$C6342) - MAX(IF($B$2:$B6341=$B6342, $A$2:$A6341+$C$2:$C6341)), "")*24*60, "")</f>
        <v/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:C6343" si="1231">A6342</f>
        <v>45989</v>
      </c>
      <c r="B6343" s="5" t="str">
        <f t="shared" si="1231"/>
        <v>Northern Cardinal</v>
      </c>
      <c r="C6343" s="6">
        <f t="shared" si="1231"/>
        <v>0.28541666666666665</v>
      </c>
      <c r="D6343" s="5"/>
      <c r="E6343" s="5"/>
      <c r="F6343" s="5" t="s">
        <v>8</v>
      </c>
      <c r="G6343" s="15" t="s">
        <v>9</v>
      </c>
      <c r="H6343" s="24">
        <f t="shared" si="1186"/>
        <v>0</v>
      </c>
      <c r="I6343" s="24" cm="1">
        <f t="array" ref="I6343">IFERROR(IF($B6343=I$1, ($A6343+$C6343) - MAX(IF($B$2:$B6342=$B6343, $A$2:$A6342+$C$2:$C6342)), "")*24*60, "")</f>
        <v>0</v>
      </c>
      <c r="J6343" s="24" t="str" cm="1">
        <f t="array" ref="J6343">IFERROR(IF($B6343=J$1, ($A6343+$C6343) - MAX(IF($B$2:$B6342=$B6343, $A$2:$A6342+$C$2:$C6342)), "")*24*60, "")</f>
        <v/>
      </c>
      <c r="K6343" s="24" t="str" cm="1">
        <f t="array" ref="K6343">IFERROR(IF($B6343=K$1, ($A6343+$C6343) - MAX(IF($B$2:$B6342=$B6343, $A$2:$A6342+$C$2:$C6342)), "")*24*60, "")</f>
        <v/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:C6344" si="1232">A6343</f>
        <v>45989</v>
      </c>
      <c r="B6344" s="5" t="str">
        <f t="shared" si="1232"/>
        <v>Northern Cardinal</v>
      </c>
      <c r="C6344" s="6">
        <f t="shared" si="1232"/>
        <v>0.28541666666666665</v>
      </c>
      <c r="D6344" s="5"/>
      <c r="E6344" s="5"/>
      <c r="F6344" s="5" t="s">
        <v>8</v>
      </c>
      <c r="G6344" s="15" t="s">
        <v>9</v>
      </c>
      <c r="H6344" s="24">
        <f t="shared" si="1186"/>
        <v>0</v>
      </c>
      <c r="I6344" s="24" cm="1">
        <f t="array" ref="I6344">IFERROR(IF($B6344=I$1, ($A6344+$C6344) - MAX(IF($B$2:$B6343=$B6344, $A$2:$A6343+$C$2:$C6343)), "")*24*60, "")</f>
        <v>0</v>
      </c>
      <c r="J6344" s="24" t="str" cm="1">
        <f t="array" ref="J6344">IFERROR(IF($B6344=J$1, ($A6344+$C6344) - MAX(IF($B$2:$B6343=$B6344, $A$2:$A6343+$C$2:$C6343)), "")*24*60, "")</f>
        <v/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tr">
        <f t="shared" si="1233"/>
        <v>Northern Cardinal</v>
      </c>
      <c r="C6345" s="6">
        <f t="shared" si="1233"/>
        <v>0.28541666666666665</v>
      </c>
      <c r="D6345" s="5"/>
      <c r="E6345" s="5"/>
      <c r="F6345" s="5" t="s">
        <v>8</v>
      </c>
      <c r="G6345" s="15" t="s">
        <v>9</v>
      </c>
      <c r="H6345" s="24">
        <f t="shared" si="1186"/>
        <v>0</v>
      </c>
      <c r="I6345" s="24" cm="1">
        <f t="array" ref="I6345">IFERROR(IF($B6345=I$1, ($A6345+$C6345) - MAX(IF($B$2:$B6344=$B6345, $A$2:$A6344+$C$2:$C6344)), "")*24*60, "")</f>
        <v>0</v>
      </c>
      <c r="J6345" s="24" t="str" cm="1">
        <f t="array" ref="J6345">IFERROR(IF($B6345=J$1, ($A6345+$C6345) - MAX(IF($B$2:$B6344=$B6345, $A$2:$A6344+$C$2:$C6344)), "")*24*60, "")</f>
        <v/>
      </c>
      <c r="K6345" s="24" t="str" cm="1">
        <f t="array" ref="K6345">IFERROR(IF($B6345=K$1, ($A6345+$C6345) - MAX(IF($B$2:$B6344=$B6345, $A$2:$A6344+$C$2:$C6344)), "")*24*60, "")</f>
        <v/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:C6346" si="1234">A6345</f>
        <v>45989</v>
      </c>
      <c r="B6346" s="5" t="str">
        <f t="shared" si="1234"/>
        <v>Northern Cardinal</v>
      </c>
      <c r="C6346" s="6">
        <f t="shared" si="1234"/>
        <v>0.28541666666666665</v>
      </c>
      <c r="D6346" s="5"/>
      <c r="E6346" s="5"/>
      <c r="F6346" s="5" t="s">
        <v>8</v>
      </c>
      <c r="G6346" s="15" t="s">
        <v>9</v>
      </c>
      <c r="H6346" s="24">
        <f t="shared" si="1186"/>
        <v>0</v>
      </c>
      <c r="I6346" s="24" cm="1">
        <f t="array" ref="I6346">IFERROR(IF($B6346=I$1, ($A6346+$C6346) - MAX(IF($B$2:$B6345=$B6346, $A$2:$A6345+$C$2:$C6345)), "")*24*60, "")</f>
        <v>0</v>
      </c>
      <c r="J6346" s="24" t="str" cm="1">
        <f t="array" ref="J6346">IFERROR(IF($B6346=J$1, ($A6346+$C6346) - MAX(IF($B$2:$B6345=$B6346, $A$2:$A6345+$C$2:$C6345)), "")*24*60, "")</f>
        <v/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Northern Cardinal</v>
      </c>
      <c r="C6347" s="6">
        <f t="shared" si="1235"/>
        <v>0.28541666666666665</v>
      </c>
      <c r="D6347" s="5"/>
      <c r="E6347" s="5"/>
      <c r="F6347" s="5" t="s">
        <v>8</v>
      </c>
      <c r="G6347" s="15" t="s">
        <v>9</v>
      </c>
      <c r="H6347" s="24">
        <f t="shared" si="1186"/>
        <v>0</v>
      </c>
      <c r="I6347" s="24" cm="1">
        <f t="array" ref="I6347">IFERROR(IF($B6347=I$1, ($A6347+$C6347) - MAX(IF($B$2:$B6346=$B6347, $A$2:$A6346+$C$2:$C6346)), "")*24*60, "")</f>
        <v>0</v>
      </c>
      <c r="J6347" s="24" t="str" cm="1">
        <f t="array" ref="J6347">IFERROR(IF($B6347=J$1, ($A6347+$C6347) - MAX(IF($B$2:$B6346=$B6347, $A$2:$A6346+$C$2:$C6346)), "")*24*60, "")</f>
        <v/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C6348" si="1236">A6347</f>
        <v>45989</v>
      </c>
      <c r="B6348" s="5" t="str">
        <f t="shared" si="1236"/>
        <v>Northern Cardinal</v>
      </c>
      <c r="C6348" s="6">
        <f t="shared" si="1236"/>
        <v>0.28541666666666665</v>
      </c>
      <c r="D6348" s="5"/>
      <c r="E6348" s="5"/>
      <c r="F6348" s="5" t="s">
        <v>8</v>
      </c>
      <c r="G6348" s="15" t="s">
        <v>9</v>
      </c>
      <c r="H6348" s="24">
        <f t="shared" si="1186"/>
        <v>0</v>
      </c>
      <c r="I6348" s="24" cm="1">
        <f t="array" ref="I6348">IFERROR(IF($B6348=I$1, ($A6348+$C6348) - MAX(IF($B$2:$B6347=$B6348, $A$2:$A6347+$C$2:$C6347)), "")*24*60, "")</f>
        <v>0</v>
      </c>
      <c r="J6348" s="24" t="str" cm="1">
        <f t="array" ref="J6348">IFERROR(IF($B6348=J$1, ($A6348+$C6348) - MAX(IF($B$2:$B6347=$B6348, $A$2:$A6347+$C$2:$C6347)), "")*24*60, "")</f>
        <v/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:C6349" si="1237">A6348</f>
        <v>45989</v>
      </c>
      <c r="B6349" s="5" t="str">
        <f t="shared" si="1237"/>
        <v>Northern Cardinal</v>
      </c>
      <c r="C6349" s="6">
        <f t="shared" si="1237"/>
        <v>0.28541666666666665</v>
      </c>
      <c r="D6349" s="5"/>
      <c r="E6349" s="5"/>
      <c r="F6349" s="5" t="s">
        <v>8</v>
      </c>
      <c r="G6349" s="15" t="s">
        <v>9</v>
      </c>
      <c r="H6349" s="24">
        <f t="shared" si="1186"/>
        <v>0</v>
      </c>
      <c r="I6349" s="24" cm="1">
        <f t="array" ref="I6349">IFERROR(IF($B6349=I$1, ($A6349+$C6349) - MAX(IF($B$2:$B6348=$B6349, $A$2:$A6348+$C$2:$C6348)), "")*24*60, "")</f>
        <v>0</v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t="str" cm="1">
        <f t="array" ref="Q6349">IFERROR(IF($B6349=Q$1, ($A6349+$C6349) - MAX(IF($B$2:$B6348=$B6349, $A$2:$A6348+$C$2:$C6348)), "")*24*60, "")</f>
        <v/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tr">
        <f t="shared" si="1238"/>
        <v>Northern Cardinal</v>
      </c>
      <c r="C6350" s="6">
        <f t="shared" si="1238"/>
        <v>0.28541666666666665</v>
      </c>
      <c r="D6350" s="5"/>
      <c r="E6350" s="5"/>
      <c r="F6350" s="5" t="s">
        <v>8</v>
      </c>
      <c r="G6350" s="15" t="s">
        <v>9</v>
      </c>
      <c r="H6350" s="24">
        <f t="shared" si="1186"/>
        <v>0</v>
      </c>
      <c r="I6350" s="24" cm="1">
        <f t="array" ref="I6350">IFERROR(IF($B6350=I$1, ($A6350+$C6350) - MAX(IF($B$2:$B6349=$B6350, $A$2:$A6349+$C$2:$C6349)), "")*24*60, "")</f>
        <v>0</v>
      </c>
      <c r="J6350" s="24" t="str" cm="1">
        <f t="array" ref="J6350">IFERROR(IF($B6350=J$1, ($A6350+$C6350) - MAX(IF($B$2:$B6349=$B6350, $A$2:$A6349+$C$2:$C6349)), "")*24*60, "")</f>
        <v/>
      </c>
      <c r="K6350" s="24" t="str" cm="1">
        <f t="array" ref="K6350">IFERROR(IF($B6350=K$1, ($A6350+$C6350) - MAX(IF($B$2:$B6349=$B6350, $A$2:$A6349+$C$2:$C6349)), "")*24*60, "")</f>
        <v/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tr">
        <f t="shared" si="1239"/>
        <v>Northern Cardinal</v>
      </c>
      <c r="C6351" s="6">
        <f t="shared" si="1239"/>
        <v>0.28541666666666665</v>
      </c>
      <c r="D6351" s="5"/>
      <c r="E6351" s="5"/>
      <c r="F6351" s="5" t="s">
        <v>8</v>
      </c>
      <c r="G6351" s="15" t="s">
        <v>9</v>
      </c>
      <c r="H6351" s="24">
        <f t="shared" si="1186"/>
        <v>0</v>
      </c>
      <c r="I6351" s="24" cm="1">
        <f t="array" ref="I6351">IFERROR(IF($B6351=I$1, ($A6351+$C6351) - MAX(IF($B$2:$B6350=$B6351, $A$2:$A6350+$C$2:$C6350)), "")*24*60, "")</f>
        <v>0</v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t="str" cm="1">
        <f t="array" ref="Q6351">IFERROR(IF($B6351=Q$1, ($A6351+$C6351) - MAX(IF($B$2:$B6350=$B6351, $A$2:$A6350+$C$2:$C6350)), "")*24*60, "")</f>
        <v/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tr">
        <f t="shared" si="1240"/>
        <v>Northern Cardinal</v>
      </c>
      <c r="C6352" s="6">
        <f t="shared" si="1240"/>
        <v>0.28541666666666665</v>
      </c>
      <c r="D6352" s="5"/>
      <c r="E6352" s="5"/>
      <c r="F6352" s="5" t="s">
        <v>8</v>
      </c>
      <c r="G6352" s="15" t="s">
        <v>9</v>
      </c>
      <c r="H6352" s="24">
        <f t="shared" si="1186"/>
        <v>0</v>
      </c>
      <c r="I6352" s="24" cm="1">
        <f t="array" ref="I6352">IFERROR(IF($B6352=I$1, ($A6352+$C6352) - MAX(IF($B$2:$B6351=$B6352, $A$2:$A6351+$C$2:$C6351)), "")*24*60, "")</f>
        <v>0</v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t="str" cm="1">
        <f t="array" ref="S6352">IFERROR(IF($B6352=S$1, ($A6352+$C6352) - MAX(IF($B$2:$B6351=$B6352, $A$2:$A6351+$C$2:$C6351)), "")*24*60, "")</f>
        <v/>
      </c>
    </row>
    <row r="6353" spans="1:19" x14ac:dyDescent="0.2">
      <c r="A6353" s="12">
        <f t="shared" ref="A6353:C6353" si="1241">A6352</f>
        <v>45989</v>
      </c>
      <c r="B6353" s="5" t="str">
        <f t="shared" si="1241"/>
        <v>Northern Cardinal</v>
      </c>
      <c r="C6353" s="6">
        <f t="shared" si="1241"/>
        <v>0.28541666666666665</v>
      </c>
      <c r="D6353" s="5"/>
      <c r="E6353" s="5"/>
      <c r="F6353" s="5" t="s">
        <v>8</v>
      </c>
      <c r="G6353" s="15" t="s">
        <v>9</v>
      </c>
      <c r="H6353" s="24">
        <f t="shared" si="1186"/>
        <v>0</v>
      </c>
      <c r="I6353" s="24" cm="1">
        <f t="array" ref="I6353">IFERROR(IF($B6353=I$1, ($A6353+$C6353) - MAX(IF($B$2:$B6352=$B6353, $A$2:$A6352+$C$2:$C6352)), "")*24*60, "")</f>
        <v>0</v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t="str" cm="1">
        <f t="array" ref="Q6353">IFERROR(IF($B6353=Q$1, ($A6353+$C6353) - MAX(IF($B$2:$B6352=$B6353, $A$2:$A6352+$C$2:$C6352)), "")*24*60, "")</f>
        <v/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C6354" si="1242">A6353</f>
        <v>45989</v>
      </c>
      <c r="B6354" s="5" t="str">
        <f t="shared" si="1242"/>
        <v>Northern Cardinal</v>
      </c>
      <c r="C6354" s="6">
        <f t="shared" si="1242"/>
        <v>0.28541666666666665</v>
      </c>
      <c r="D6354" s="5"/>
      <c r="E6354" s="5"/>
      <c r="F6354" s="5" t="s">
        <v>8</v>
      </c>
      <c r="G6354" s="15" t="s">
        <v>9</v>
      </c>
      <c r="H6354" s="24">
        <f t="shared" si="1186"/>
        <v>0</v>
      </c>
      <c r="I6354" s="24" cm="1">
        <f t="array" ref="I6354">IFERROR(IF($B6354=I$1, ($A6354+$C6354) - MAX(IF($B$2:$B6353=$B6354, $A$2:$A6353+$C$2:$C6353)), "")*24*60, "")</f>
        <v>0</v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t="str" cm="1">
        <f t="array" ref="Q6354">IFERROR(IF($B6354=Q$1, ($A6354+$C6354) - MAX(IF($B$2:$B6353=$B6354, $A$2:$A6353+$C$2:$C6353)), "")*24*60, "")</f>
        <v/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tr">
        <f t="shared" si="1243"/>
        <v>Northern Cardinal</v>
      </c>
      <c r="C6355" s="6">
        <f t="shared" si="1243"/>
        <v>0.28541666666666665</v>
      </c>
      <c r="D6355" s="5"/>
      <c r="E6355" s="5"/>
      <c r="F6355" s="5" t="s">
        <v>8</v>
      </c>
      <c r="G6355" s="15" t="s">
        <v>9</v>
      </c>
      <c r="H6355" s="24">
        <f t="shared" si="1186"/>
        <v>0</v>
      </c>
      <c r="I6355" s="24" cm="1">
        <f t="array" ref="I6355">IFERROR(IF($B6355=I$1, ($A6355+$C6355) - MAX(IF($B$2:$B6354=$B6355, $A$2:$A6354+$C$2:$C6354)), "")*24*60, "")</f>
        <v>0</v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t="str" cm="1">
        <f t="array" ref="S6355">IFERROR(IF($B6355=S$1, ($A6355+$C6355) - MAX(IF($B$2:$B6354=$B6355, $A$2:$A6354+$C$2:$C6354)), "")*24*60, "")</f>
        <v/>
      </c>
    </row>
    <row r="6356" spans="1:19" x14ac:dyDescent="0.2">
      <c r="A6356" s="12">
        <f t="shared" ref="A6356:C6356" si="1244">A6355</f>
        <v>45989</v>
      </c>
      <c r="B6356" s="5" t="str">
        <f t="shared" si="1244"/>
        <v>Northern Cardinal</v>
      </c>
      <c r="C6356" s="6">
        <f t="shared" si="1244"/>
        <v>0.28541666666666665</v>
      </c>
      <c r="D6356" s="5"/>
      <c r="E6356" s="5"/>
      <c r="F6356" s="5" t="s">
        <v>8</v>
      </c>
      <c r="G6356" s="15" t="s">
        <v>9</v>
      </c>
      <c r="H6356" s="24">
        <f t="shared" si="1186"/>
        <v>0</v>
      </c>
      <c r="I6356" s="24" cm="1">
        <f t="array" ref="I6356">IFERROR(IF($B6356=I$1, ($A6356+$C6356) - MAX(IF($B$2:$B6355=$B6356, $A$2:$A6355+$C$2:$C6355)), "")*24*60, "")</f>
        <v>0</v>
      </c>
      <c r="J6356" s="24" t="str" cm="1">
        <f t="array" ref="J6356">IFERROR(IF($B6356=J$1, ($A6356+$C6356) - MAX(IF($B$2:$B6355=$B6356, $A$2:$A6355+$C$2:$C6355)), "")*24*60, "")</f>
        <v/>
      </c>
      <c r="K6356" s="24" t="str" cm="1">
        <f t="array" ref="K6356">IFERROR(IF($B6356=K$1, ($A6356+$C6356) - MAX(IF($B$2:$B6355=$B6356, $A$2:$A6355+$C$2:$C6355)), "")*24*60, "")</f>
        <v/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:C6357" si="1245">A6356</f>
        <v>45989</v>
      </c>
      <c r="B6357" s="5" t="str">
        <f t="shared" si="1245"/>
        <v>Northern Cardinal</v>
      </c>
      <c r="C6357" s="6">
        <f t="shared" si="1245"/>
        <v>0.28541666666666665</v>
      </c>
      <c r="D6357" s="5"/>
      <c r="E6357" s="5"/>
      <c r="F6357" s="5" t="s">
        <v>8</v>
      </c>
      <c r="G6357" s="15" t="s">
        <v>9</v>
      </c>
      <c r="H6357" s="24">
        <f t="shared" si="1186"/>
        <v>0</v>
      </c>
      <c r="I6357" s="24" cm="1">
        <f t="array" ref="I6357">IFERROR(IF($B6357=I$1, ($A6357+$C6357) - MAX(IF($B$2:$B6356=$B6357, $A$2:$A6356+$C$2:$C6356)), "")*24*60, "")</f>
        <v>0</v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t="str" cm="1">
        <f t="array" ref="Q6357">IFERROR(IF($B6357=Q$1, ($A6357+$C6357) - MAX(IF($B$2:$B6356=$B6357, $A$2:$A6356+$C$2:$C6356)), "")*24*60, "")</f>
        <v/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tr">
        <f t="shared" si="1246"/>
        <v>Northern Cardinal</v>
      </c>
      <c r="C6358" s="6">
        <f t="shared" si="1246"/>
        <v>0.28541666666666665</v>
      </c>
      <c r="D6358" s="5"/>
      <c r="E6358" s="5"/>
      <c r="F6358" s="5" t="s">
        <v>8</v>
      </c>
      <c r="G6358" s="15" t="s">
        <v>9</v>
      </c>
      <c r="H6358" s="24">
        <f t="shared" si="1186"/>
        <v>0</v>
      </c>
      <c r="I6358" s="24" cm="1">
        <f t="array" ref="I6358">IFERROR(IF($B6358=I$1, ($A6358+$C6358) - MAX(IF($B$2:$B6357=$B6358, $A$2:$A6357+$C$2:$C6357)), "")*24*60, "")</f>
        <v>0</v>
      </c>
      <c r="J6358" s="24" t="str" cm="1">
        <f t="array" ref="J6358">IFERROR(IF($B6358=J$1, ($A6358+$C6358) - MAX(IF($B$2:$B6357=$B6358, $A$2:$A6357+$C$2:$C6357)), "")*24*60, "")</f>
        <v/>
      </c>
      <c r="K6358" s="24" t="str" cm="1">
        <f t="array" ref="K6358">IFERROR(IF($B6358=K$1, ($A6358+$C6358) - MAX(IF($B$2:$B6357=$B6358, $A$2:$A6357+$C$2:$C6357)), "")*24*60, "")</f>
        <v/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Northern Cardinal</v>
      </c>
      <c r="C6359" s="6">
        <f t="shared" si="1247"/>
        <v>0.28541666666666665</v>
      </c>
      <c r="D6359" s="5"/>
      <c r="E6359" s="5"/>
      <c r="F6359" s="5" t="s">
        <v>8</v>
      </c>
      <c r="G6359" s="15" t="s">
        <v>9</v>
      </c>
      <c r="H6359" s="24">
        <f t="shared" si="1186"/>
        <v>0</v>
      </c>
      <c r="I6359" s="24" cm="1">
        <f t="array" ref="I6359">IFERROR(IF($B6359=I$1, ($A6359+$C6359) - MAX(IF($B$2:$B6358=$B6359, $A$2:$A6358+$C$2:$C6358)), "")*24*60, "")</f>
        <v>0</v>
      </c>
      <c r="J6359" s="24" t="str" cm="1">
        <f t="array" ref="J6359">IFERROR(IF($B6359=J$1, ($A6359+$C6359) - MAX(IF($B$2:$B6358=$B6359, $A$2:$A6358+$C$2:$C6358)), "")*24*60, "")</f>
        <v/>
      </c>
      <c r="K6359" s="24" t="str" cm="1">
        <f t="array" ref="K6359">IFERROR(IF($B6359=K$1, ($A6359+$C6359) - MAX(IF($B$2:$B6358=$B6359, $A$2:$A6358+$C$2:$C6358)), "")*24*60, "")</f>
        <v/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:C6360" si="1248">A6359</f>
        <v>45989</v>
      </c>
      <c r="B6360" s="5" t="str">
        <f t="shared" si="1248"/>
        <v>Northern Cardinal</v>
      </c>
      <c r="C6360" s="6">
        <f t="shared" si="1248"/>
        <v>0.28541666666666665</v>
      </c>
      <c r="D6360" s="5"/>
      <c r="E6360" s="5"/>
      <c r="F6360" s="5" t="s">
        <v>8</v>
      </c>
      <c r="G6360" s="15" t="s">
        <v>9</v>
      </c>
      <c r="H6360" s="24">
        <f t="shared" si="1186"/>
        <v>0</v>
      </c>
      <c r="I6360" s="24" cm="1">
        <f t="array" ref="I6360">IFERROR(IF($B6360=I$1, ($A6360+$C6360) - MAX(IF($B$2:$B6359=$B6360, $A$2:$A6359+$C$2:$C6359)), "")*24*60, "")</f>
        <v>0</v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t="str" cm="1">
        <f t="array" ref="L6360">IFERROR(IF($B6360=L$1, ($A6360+$C6360) - MAX(IF($B$2:$B6359=$B6360, $A$2:$A6359+$C$2:$C6359)), "")*24*60, "")</f>
        <v/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Northern Cardinal</v>
      </c>
      <c r="C6361" s="6">
        <f t="shared" si="1249"/>
        <v>0.28541666666666665</v>
      </c>
      <c r="D6361" s="5"/>
      <c r="E6361" s="5"/>
      <c r="F6361" s="5" t="s">
        <v>8</v>
      </c>
      <c r="G6361" s="15" t="s">
        <v>9</v>
      </c>
      <c r="H6361" s="24">
        <f t="shared" si="1186"/>
        <v>0</v>
      </c>
      <c r="I6361" s="24" cm="1">
        <f t="array" ref="I6361">IFERROR(IF($B6361=I$1, ($A6361+$C6361) - MAX(IF($B$2:$B6360=$B6361, $A$2:$A6360+$C$2:$C6360)), "")*24*60, "")</f>
        <v>0</v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t="str" cm="1">
        <f t="array" ref="L6361">IFERROR(IF($B6361=L$1, ($A6361+$C6361) - MAX(IF($B$2:$B6360=$B6361, $A$2:$A6360+$C$2:$C6360)), "")*24*60, "")</f>
        <v/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C6362" si="1250">A6361</f>
        <v>45989</v>
      </c>
      <c r="B6362" s="5" t="str">
        <f t="shared" si="1250"/>
        <v>Northern Cardinal</v>
      </c>
      <c r="C6362" s="6">
        <f t="shared" si="1250"/>
        <v>0.28541666666666665</v>
      </c>
      <c r="D6362" s="5"/>
      <c r="E6362" s="5"/>
      <c r="F6362" s="5" t="s">
        <v>8</v>
      </c>
      <c r="G6362" s="15" t="s">
        <v>9</v>
      </c>
      <c r="H6362" s="24">
        <f t="shared" ref="H6362:H6413" si="1251">IFERROR((($A6362+$C6362) - ($A6361+$C6361))*24*60, "")</f>
        <v>0</v>
      </c>
      <c r="I6362" s="24" cm="1">
        <f t="array" ref="I6362">IFERROR(IF($B6362=I$1, ($A6362+$C6362) - MAX(IF($B$2:$B6361=$B6362, $A$2:$A6361+$C$2:$C6361)), "")*24*60, "")</f>
        <v>0</v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t="str" cm="1">
        <f t="array" ref="L6362">IFERROR(IF($B6362=L$1, ($A6362+$C6362) - MAX(IF($B$2:$B6361=$B6362, $A$2:$A6361+$C$2:$C6361)), "")*24*60, "")</f>
        <v/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:C6363" si="1252">A6362</f>
        <v>45989</v>
      </c>
      <c r="B6363" s="5" t="str">
        <f t="shared" si="1252"/>
        <v>Northern Cardinal</v>
      </c>
      <c r="C6363" s="6">
        <f t="shared" si="1252"/>
        <v>0.28541666666666665</v>
      </c>
      <c r="D6363" s="5"/>
      <c r="E6363" s="5"/>
      <c r="F6363" s="5" t="s">
        <v>8</v>
      </c>
      <c r="G6363" s="15" t="s">
        <v>9</v>
      </c>
      <c r="H6363" s="24">
        <f t="shared" si="1251"/>
        <v>0</v>
      </c>
      <c r="I6363" s="24" cm="1">
        <f t="array" ref="I6363">IFERROR(IF($B6363=I$1, ($A6363+$C6363) - MAX(IF($B$2:$B6362=$B6363, $A$2:$A6362+$C$2:$C6362)), "")*24*60, "")</f>
        <v>0</v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t="str" cm="1">
        <f t="array" ref="O6363">IFERROR(IF($B6363=O$1, ($A6363+$C6363) - MAX(IF($B$2:$B6362=$B6363, $A$2:$A6362+$C$2:$C6362)), "")*24*60, "")</f>
        <v/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C6364" si="1253">A6363</f>
        <v>45989</v>
      </c>
      <c r="B6364" s="5" t="str">
        <f t="shared" si="1253"/>
        <v>Northern Cardinal</v>
      </c>
      <c r="C6364" s="6">
        <f t="shared" si="1253"/>
        <v>0.28541666666666665</v>
      </c>
      <c r="D6364" s="5"/>
      <c r="E6364" s="5"/>
      <c r="F6364" s="5" t="s">
        <v>8</v>
      </c>
      <c r="G6364" s="15" t="s">
        <v>9</v>
      </c>
      <c r="H6364" s="24">
        <f t="shared" si="1251"/>
        <v>0</v>
      </c>
      <c r="I6364" s="24" cm="1">
        <f t="array" ref="I6364">IFERROR(IF($B6364=I$1, ($A6364+$C6364) - MAX(IF($B$2:$B6363=$B6364, $A$2:$A6363+$C$2:$C6363)), "")*24*60, "")</f>
        <v>0</v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t="str" cm="1">
        <f t="array" ref="O6364">IFERROR(IF($B6364=O$1, ($A6364+$C6364) - MAX(IF($B$2:$B6363=$B6364, $A$2:$A6363+$C$2:$C6363)), "")*24*60, "")</f>
        <v/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C6365" si="1254">A6364</f>
        <v>45989</v>
      </c>
      <c r="B6365" s="5" t="str">
        <f t="shared" si="1254"/>
        <v>Northern Cardinal</v>
      </c>
      <c r="C6365" s="6">
        <f t="shared" si="1254"/>
        <v>0.28541666666666665</v>
      </c>
      <c r="D6365" s="5"/>
      <c r="E6365" s="5"/>
      <c r="F6365" s="5" t="s">
        <v>8</v>
      </c>
      <c r="G6365" s="15" t="s">
        <v>9</v>
      </c>
      <c r="H6365" s="24">
        <f t="shared" si="1251"/>
        <v>0</v>
      </c>
      <c r="I6365" s="24" cm="1">
        <f t="array" ref="I6365">IFERROR(IF($B6365=I$1, ($A6365+$C6365) - MAX(IF($B$2:$B6364=$B6365, $A$2:$A6364+$C$2:$C6364)), "")*24*60, "")</f>
        <v>0</v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t="str" cm="1">
        <f t="array" ref="O6365">IFERROR(IF($B6365=O$1, ($A6365+$C6365) - MAX(IF($B$2:$B6364=$B6365, $A$2:$A6364+$C$2:$C6364)), "")*24*60, "")</f>
        <v/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Northern Cardinal</v>
      </c>
      <c r="C6366" s="6">
        <f t="shared" si="1255"/>
        <v>0.28541666666666665</v>
      </c>
      <c r="D6366" s="5"/>
      <c r="E6366" s="5"/>
      <c r="F6366" s="5" t="s">
        <v>8</v>
      </c>
      <c r="G6366" s="15" t="s">
        <v>9</v>
      </c>
      <c r="H6366" s="24">
        <f t="shared" si="1251"/>
        <v>0</v>
      </c>
      <c r="I6366" s="24" cm="1">
        <f t="array" ref="I6366">IFERROR(IF($B6366=I$1, ($A6366+$C6366) - MAX(IF($B$2:$B6365=$B6366, $A$2:$A6365+$C$2:$C6365)), "")*24*60, "")</f>
        <v>0</v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t="str" cm="1">
        <f t="array" ref="O6366">IFERROR(IF($B6366=O$1, ($A6366+$C6366) - MAX(IF($B$2:$B6365=$B6366, $A$2:$A6365+$C$2:$C6365)), "")*24*60, "")</f>
        <v/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C6367" si="1256">A6366</f>
        <v>45989</v>
      </c>
      <c r="B6367" s="5" t="str">
        <f t="shared" si="1256"/>
        <v>Northern Cardinal</v>
      </c>
      <c r="C6367" s="6">
        <f t="shared" si="1256"/>
        <v>0.28541666666666665</v>
      </c>
      <c r="D6367" s="5"/>
      <c r="E6367" s="5"/>
      <c r="F6367" s="5" t="s">
        <v>8</v>
      </c>
      <c r="G6367" s="15" t="s">
        <v>9</v>
      </c>
      <c r="H6367" s="24">
        <f t="shared" si="1251"/>
        <v>0</v>
      </c>
      <c r="I6367" s="24" cm="1">
        <f t="array" ref="I6367">IFERROR(IF($B6367=I$1, ($A6367+$C6367) - MAX(IF($B$2:$B6366=$B6367, $A$2:$A6366+$C$2:$C6366)), "")*24*60, "")</f>
        <v>0</v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t="str" cm="1">
        <f t="array" ref="O6367">IFERROR(IF($B6367=O$1, ($A6367+$C6367) - MAX(IF($B$2:$B6366=$B6367, $A$2:$A6366+$C$2:$C6366)), "")*24*60, "")</f>
        <v/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Northern Cardinal</v>
      </c>
      <c r="C6368" s="6">
        <f t="shared" si="1257"/>
        <v>0.28541666666666665</v>
      </c>
      <c r="D6368" s="5"/>
      <c r="E6368" s="5"/>
      <c r="F6368" s="5" t="s">
        <v>8</v>
      </c>
      <c r="G6368" s="15" t="s">
        <v>9</v>
      </c>
      <c r="H6368" s="24">
        <f t="shared" si="1251"/>
        <v>0</v>
      </c>
      <c r="I6368" s="24" cm="1">
        <f t="array" ref="I6368">IFERROR(IF($B6368=I$1, ($A6368+$C6368) - MAX(IF($B$2:$B6367=$B6368, $A$2:$A6367+$C$2:$C6367)), "")*24*60, "")</f>
        <v>0</v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t="str" cm="1">
        <f t="array" ref="O6368">IFERROR(IF($B6368=O$1, ($A6368+$C6368) - MAX(IF($B$2:$B6367=$B6368, $A$2:$A6367+$C$2:$C6367)), "")*24*60, "")</f>
        <v/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C6369" si="1258">A6368</f>
        <v>45989</v>
      </c>
      <c r="B6369" s="5" t="str">
        <f t="shared" si="1258"/>
        <v>Northern Cardinal</v>
      </c>
      <c r="C6369" s="6">
        <f t="shared" si="1258"/>
        <v>0.28541666666666665</v>
      </c>
      <c r="D6369" s="5"/>
      <c r="E6369" s="5"/>
      <c r="F6369" s="5" t="s">
        <v>8</v>
      </c>
      <c r="G6369" s="15" t="s">
        <v>9</v>
      </c>
      <c r="H6369" s="24">
        <f t="shared" si="1251"/>
        <v>0</v>
      </c>
      <c r="I6369" s="24" cm="1">
        <f t="array" ref="I6369">IFERROR(IF($B6369=I$1, ($A6369+$C6369) - MAX(IF($B$2:$B6368=$B6369, $A$2:$A6368+$C$2:$C6368)), "")*24*60, "")</f>
        <v>0</v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t="str" cm="1">
        <f t="array" ref="O6369">IFERROR(IF($B6369=O$1, ($A6369+$C6369) - MAX(IF($B$2:$B6368=$B6369, $A$2:$A6368+$C$2:$C6368)), "")*24*60, "")</f>
        <v/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Northern Cardinal</v>
      </c>
      <c r="C6370" s="6">
        <f t="shared" si="1259"/>
        <v>0.28541666666666665</v>
      </c>
      <c r="D6370" s="5"/>
      <c r="E6370" s="5"/>
      <c r="F6370" s="5" t="s">
        <v>8</v>
      </c>
      <c r="G6370" s="15" t="s">
        <v>9</v>
      </c>
      <c r="H6370" s="24">
        <f t="shared" si="1251"/>
        <v>0</v>
      </c>
      <c r="I6370" s="24" cm="1">
        <f t="array" ref="I6370">IFERROR(IF($B6370=I$1, ($A6370+$C6370) - MAX(IF($B$2:$B6369=$B6370, $A$2:$A6369+$C$2:$C6369)), "")*24*60, "")</f>
        <v>0</v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t="str" cm="1">
        <f t="array" ref="O6370">IFERROR(IF($B6370=O$1, ($A6370+$C6370) - MAX(IF($B$2:$B6369=$B6370, $A$2:$A6369+$C$2:$C6369)), "")*24*60, "")</f>
        <v/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C6371" si="1260">A6370</f>
        <v>45989</v>
      </c>
      <c r="B6371" s="5" t="str">
        <f t="shared" si="1260"/>
        <v>Northern Cardinal</v>
      </c>
      <c r="C6371" s="6">
        <f t="shared" si="1260"/>
        <v>0.28541666666666665</v>
      </c>
      <c r="D6371" s="5"/>
      <c r="E6371" s="5"/>
      <c r="F6371" s="5" t="s">
        <v>8</v>
      </c>
      <c r="G6371" s="15" t="s">
        <v>9</v>
      </c>
      <c r="H6371" s="24">
        <f t="shared" si="1251"/>
        <v>0</v>
      </c>
      <c r="I6371" s="24" cm="1">
        <f t="array" ref="I6371">IFERROR(IF($B6371=I$1, ($A6371+$C6371) - MAX(IF($B$2:$B6370=$B6371, $A$2:$A6370+$C$2:$C6370)), "")*24*60, "")</f>
        <v>0</v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t="str" cm="1">
        <f t="array" ref="O6371">IFERROR(IF($B6371=O$1, ($A6371+$C6371) - MAX(IF($B$2:$B6370=$B6371, $A$2:$A6370+$C$2:$C6370)), "")*24*60, "")</f>
        <v/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C6372" si="1261">A6371</f>
        <v>45989</v>
      </c>
      <c r="B6372" s="5" t="str">
        <f t="shared" si="1261"/>
        <v>Northern Cardinal</v>
      </c>
      <c r="C6372" s="6">
        <f t="shared" si="1261"/>
        <v>0.28541666666666665</v>
      </c>
      <c r="D6372" s="5"/>
      <c r="E6372" s="5"/>
      <c r="F6372" s="5" t="s">
        <v>8</v>
      </c>
      <c r="G6372" s="15" t="s">
        <v>9</v>
      </c>
      <c r="H6372" s="24">
        <f t="shared" si="1251"/>
        <v>0</v>
      </c>
      <c r="I6372" s="24" cm="1">
        <f t="array" ref="I6372">IFERROR(IF($B6372=I$1, ($A6372+$C6372) - MAX(IF($B$2:$B6371=$B6372, $A$2:$A6371+$C$2:$C6371)), "")*24*60, "")</f>
        <v>0</v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t="str" cm="1">
        <f t="array" ref="O6372">IFERROR(IF($B6372=O$1, ($A6372+$C6372) - MAX(IF($B$2:$B6371=$B6372, $A$2:$A6371+$C$2:$C6371)), "")*24*60, "")</f>
        <v/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C6373" si="1262">A6372</f>
        <v>45989</v>
      </c>
      <c r="B6373" s="5" t="str">
        <f t="shared" si="1262"/>
        <v>Northern Cardinal</v>
      </c>
      <c r="C6373" s="6">
        <f t="shared" si="1262"/>
        <v>0.28541666666666665</v>
      </c>
      <c r="D6373" s="5"/>
      <c r="E6373" s="5"/>
      <c r="F6373" s="5" t="s">
        <v>8</v>
      </c>
      <c r="G6373" s="15" t="s">
        <v>9</v>
      </c>
      <c r="H6373" s="24">
        <f t="shared" si="1251"/>
        <v>0</v>
      </c>
      <c r="I6373" s="24" cm="1">
        <f t="array" ref="I6373">IFERROR(IF($B6373=I$1, ($A6373+$C6373) - MAX(IF($B$2:$B6372=$B6373, $A$2:$A6372+$C$2:$C6372)), "")*24*60, "")</f>
        <v>0</v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t="str" cm="1">
        <f t="array" ref="O6373">IFERROR(IF($B6373=O$1, ($A6373+$C6373) - MAX(IF($B$2:$B6372=$B6373, $A$2:$A6372+$C$2:$C6372)), "")*24*60, "")</f>
        <v/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C6374" si="1263">A6373</f>
        <v>45989</v>
      </c>
      <c r="B6374" s="5" t="str">
        <f t="shared" si="1263"/>
        <v>Northern Cardinal</v>
      </c>
      <c r="C6374" s="6">
        <f t="shared" si="1263"/>
        <v>0.28541666666666665</v>
      </c>
      <c r="D6374" s="5"/>
      <c r="E6374" s="5"/>
      <c r="F6374" s="5" t="s">
        <v>8</v>
      </c>
      <c r="G6374" s="15" t="s">
        <v>9</v>
      </c>
      <c r="H6374" s="24">
        <f t="shared" si="1251"/>
        <v>0</v>
      </c>
      <c r="I6374" s="24" cm="1">
        <f t="array" ref="I6374">IFERROR(IF($B6374=I$1, ($A6374+$C6374) - MAX(IF($B$2:$B6373=$B6374, $A$2:$A6373+$C$2:$C6373)), "")*24*60, "")</f>
        <v>0</v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t="str" cm="1">
        <f t="array" ref="O6374">IFERROR(IF($B6374=O$1, ($A6374+$C6374) - MAX(IF($B$2:$B6373=$B6374, $A$2:$A6373+$C$2:$C6373)), "")*24*60, "")</f>
        <v/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C6375" si="1264">A6374</f>
        <v>45989</v>
      </c>
      <c r="B6375" s="5" t="str">
        <f t="shared" si="1264"/>
        <v>Northern Cardinal</v>
      </c>
      <c r="C6375" s="6">
        <f t="shared" si="1264"/>
        <v>0.28541666666666665</v>
      </c>
      <c r="D6375" s="5"/>
      <c r="E6375" s="5"/>
      <c r="F6375" s="5" t="s">
        <v>8</v>
      </c>
      <c r="G6375" s="15" t="s">
        <v>9</v>
      </c>
      <c r="H6375" s="24">
        <f t="shared" si="1251"/>
        <v>0</v>
      </c>
      <c r="I6375" s="24" cm="1">
        <f t="array" ref="I6375">IFERROR(IF($B6375=I$1, ($A6375+$C6375) - MAX(IF($B$2:$B6374=$B6375, $A$2:$A6374+$C$2:$C6374)), "")*24*60, "")</f>
        <v>0</v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t="str" cm="1">
        <f t="array" ref="O6375">IFERROR(IF($B6375=O$1, ($A6375+$C6375) - MAX(IF($B$2:$B6374=$B6375, $A$2:$A6374+$C$2:$C6374)), "")*24*60, "")</f>
        <v/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Northern Cardinal</v>
      </c>
      <c r="C6376" s="6">
        <f t="shared" si="1265"/>
        <v>0.28541666666666665</v>
      </c>
      <c r="D6376" s="5"/>
      <c r="E6376" s="5"/>
      <c r="F6376" s="5" t="s">
        <v>8</v>
      </c>
      <c r="G6376" s="15" t="s">
        <v>9</v>
      </c>
      <c r="H6376" s="24">
        <f t="shared" si="1251"/>
        <v>0</v>
      </c>
      <c r="I6376" s="24" cm="1">
        <f t="array" ref="I6376">IFERROR(IF($B6376=I$1, ($A6376+$C6376) - MAX(IF($B$2:$B6375=$B6376, $A$2:$A6375+$C$2:$C6375)), "")*24*60, "")</f>
        <v>0</v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t="str" cm="1">
        <f t="array" ref="O6376">IFERROR(IF($B6376=O$1, ($A6376+$C6376) - MAX(IF($B$2:$B6375=$B6376, $A$2:$A6375+$C$2:$C6375)), "")*24*60, "")</f>
        <v/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C6377" si="1266">A6376</f>
        <v>45989</v>
      </c>
      <c r="B6377" s="5" t="str">
        <f t="shared" si="1266"/>
        <v>Northern Cardinal</v>
      </c>
      <c r="C6377" s="6">
        <f t="shared" si="1266"/>
        <v>0.28541666666666665</v>
      </c>
      <c r="D6377" s="5"/>
      <c r="E6377" s="5"/>
      <c r="F6377" s="5" t="s">
        <v>8</v>
      </c>
      <c r="G6377" s="15" t="s">
        <v>9</v>
      </c>
      <c r="H6377" s="24">
        <f t="shared" si="1251"/>
        <v>0</v>
      </c>
      <c r="I6377" s="24" cm="1">
        <f t="array" ref="I6377">IFERROR(IF($B6377=I$1, ($A6377+$C6377) - MAX(IF($B$2:$B6376=$B6377, $A$2:$A6376+$C$2:$C6376)), "")*24*60, "")</f>
        <v>0</v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t="str" cm="1">
        <f t="array" ref="O6377">IFERROR(IF($B6377=O$1, ($A6377+$C6377) - MAX(IF($B$2:$B6376=$B6377, $A$2:$A6376+$C$2:$C6376)), "")*24*60, "")</f>
        <v/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Northern Cardinal</v>
      </c>
      <c r="C6378" s="6">
        <f t="shared" si="1267"/>
        <v>0.28541666666666665</v>
      </c>
      <c r="D6378" s="5"/>
      <c r="E6378" s="5"/>
      <c r="F6378" s="5" t="s">
        <v>8</v>
      </c>
      <c r="G6378" s="15" t="s">
        <v>9</v>
      </c>
      <c r="H6378" s="24">
        <f t="shared" si="1251"/>
        <v>0</v>
      </c>
      <c r="I6378" s="24" cm="1">
        <f t="array" ref="I6378">IFERROR(IF($B6378=I$1, ($A6378+$C6378) - MAX(IF($B$2:$B6377=$B6378, $A$2:$A6377+$C$2:$C6377)), "")*24*60, "")</f>
        <v>0</v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t="str" cm="1">
        <f t="array" ref="O6378">IFERROR(IF($B6378=O$1, ($A6378+$C6378) - MAX(IF($B$2:$B6377=$B6378, $A$2:$A6377+$C$2:$C6377)), "")*24*60, "")</f>
        <v/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C6379" si="1268">A6378</f>
        <v>45989</v>
      </c>
      <c r="B6379" s="5" t="str">
        <f t="shared" si="1268"/>
        <v>Northern Cardinal</v>
      </c>
      <c r="C6379" s="6">
        <f t="shared" si="1268"/>
        <v>0.28541666666666665</v>
      </c>
      <c r="D6379" s="5"/>
      <c r="E6379" s="5"/>
      <c r="F6379" s="5" t="s">
        <v>8</v>
      </c>
      <c r="G6379" s="15" t="s">
        <v>9</v>
      </c>
      <c r="H6379" s="24">
        <f t="shared" si="1251"/>
        <v>0</v>
      </c>
      <c r="I6379" s="24" cm="1">
        <f t="array" ref="I6379">IFERROR(IF($B6379=I$1, ($A6379+$C6379) - MAX(IF($B$2:$B6378=$B6379, $A$2:$A6378+$C$2:$C6378)), "")*24*60, "")</f>
        <v>0</v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t="str" cm="1">
        <f t="array" ref="O6379">IFERROR(IF($B6379=O$1, ($A6379+$C6379) - MAX(IF($B$2:$B6378=$B6379, $A$2:$A6378+$C$2:$C6378)), "")*24*60, "")</f>
        <v/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C6380" si="1269">A6379</f>
        <v>45989</v>
      </c>
      <c r="B6380" s="5" t="str">
        <f t="shared" si="1269"/>
        <v>Northern Cardinal</v>
      </c>
      <c r="C6380" s="6">
        <f t="shared" si="1269"/>
        <v>0.28541666666666665</v>
      </c>
      <c r="D6380" s="5"/>
      <c r="E6380" s="5"/>
      <c r="F6380" s="5" t="s">
        <v>8</v>
      </c>
      <c r="G6380" s="15" t="s">
        <v>9</v>
      </c>
      <c r="H6380" s="24">
        <f t="shared" si="1251"/>
        <v>0</v>
      </c>
      <c r="I6380" s="24" cm="1">
        <f t="array" ref="I6380">IFERROR(IF($B6380=I$1, ($A6380+$C6380) - MAX(IF($B$2:$B6379=$B6380, $A$2:$A6379+$C$2:$C6379)), "")*24*60, "")</f>
        <v>0</v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t="str" cm="1">
        <f t="array" ref="O6380">IFERROR(IF($B6380=O$1, ($A6380+$C6380) - MAX(IF($B$2:$B6379=$B6380, $A$2:$A6379+$C$2:$C6379)), "")*24*60, "")</f>
        <v/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C6381" si="1270">A6380</f>
        <v>45989</v>
      </c>
      <c r="B6381" s="5" t="str">
        <f t="shared" si="1270"/>
        <v>Northern Cardinal</v>
      </c>
      <c r="C6381" s="6">
        <f t="shared" si="1270"/>
        <v>0.28541666666666665</v>
      </c>
      <c r="D6381" s="5"/>
      <c r="E6381" s="5"/>
      <c r="F6381" s="5" t="s">
        <v>8</v>
      </c>
      <c r="G6381" s="15" t="s">
        <v>9</v>
      </c>
      <c r="H6381" s="24">
        <f t="shared" si="1251"/>
        <v>0</v>
      </c>
      <c r="I6381" s="24" cm="1">
        <f t="array" ref="I6381">IFERROR(IF($B6381=I$1, ($A6381+$C6381) - MAX(IF($B$2:$B6380=$B6381, $A$2:$A6380+$C$2:$C6380)), "")*24*60, "")</f>
        <v>0</v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t="str" cm="1">
        <f t="array" ref="O6381">IFERROR(IF($B6381=O$1, ($A6381+$C6381) - MAX(IF($B$2:$B6380=$B6381, $A$2:$A6380+$C$2:$C6380)), "")*24*60, "")</f>
        <v/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Northern Cardinal</v>
      </c>
      <c r="C6382" s="6">
        <f t="shared" si="1271"/>
        <v>0.28541666666666665</v>
      </c>
      <c r="D6382" s="5"/>
      <c r="E6382" s="5"/>
      <c r="F6382" s="5" t="s">
        <v>8</v>
      </c>
      <c r="G6382" s="15" t="s">
        <v>9</v>
      </c>
      <c r="H6382" s="24">
        <f t="shared" si="1251"/>
        <v>0</v>
      </c>
      <c r="I6382" s="24" cm="1">
        <f t="array" ref="I6382">IFERROR(IF($B6382=I$1, ($A6382+$C6382) - MAX(IF($B$2:$B6381=$B6382, $A$2:$A6381+$C$2:$C6381)), "")*24*60, "")</f>
        <v>0</v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t="str" cm="1">
        <f t="array" ref="O6382">IFERROR(IF($B6382=O$1, ($A6382+$C6382) - MAX(IF($B$2:$B6381=$B6382, $A$2:$A6381+$C$2:$C6381)), "")*24*60, "")</f>
        <v/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C6383" si="1272">A6382</f>
        <v>45989</v>
      </c>
      <c r="B6383" s="5" t="str">
        <f t="shared" si="1272"/>
        <v>Northern Cardinal</v>
      </c>
      <c r="C6383" s="6">
        <f t="shared" si="1272"/>
        <v>0.28541666666666665</v>
      </c>
      <c r="D6383" s="5"/>
      <c r="E6383" s="5"/>
      <c r="F6383" s="5" t="s">
        <v>8</v>
      </c>
      <c r="G6383" s="15" t="s">
        <v>9</v>
      </c>
      <c r="H6383" s="24">
        <f t="shared" si="1251"/>
        <v>0</v>
      </c>
      <c r="I6383" s="24" cm="1">
        <f t="array" ref="I6383">IFERROR(IF($B6383=I$1, ($A6383+$C6383) - MAX(IF($B$2:$B6382=$B6383, $A$2:$A6382+$C$2:$C6382)), "")*24*60, "")</f>
        <v>0</v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t="str" cm="1">
        <f t="array" ref="O6383">IFERROR(IF($B6383=O$1, ($A6383+$C6383) - MAX(IF($B$2:$B6382=$B6383, $A$2:$A6382+$C$2:$C6382)), "")*24*60, "")</f>
        <v/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C6384" si="1273">A6383</f>
        <v>45989</v>
      </c>
      <c r="B6384" s="5" t="str">
        <f t="shared" si="1273"/>
        <v>Northern Cardinal</v>
      </c>
      <c r="C6384" s="6">
        <f t="shared" si="1273"/>
        <v>0.28541666666666665</v>
      </c>
      <c r="D6384" s="5"/>
      <c r="E6384" s="5"/>
      <c r="F6384" s="5" t="s">
        <v>8</v>
      </c>
      <c r="G6384" s="15" t="s">
        <v>9</v>
      </c>
      <c r="H6384" s="24">
        <f t="shared" si="1251"/>
        <v>0</v>
      </c>
      <c r="I6384" s="24" cm="1">
        <f t="array" ref="I6384">IFERROR(IF($B6384=I$1, ($A6384+$C6384) - MAX(IF($B$2:$B6383=$B6384, $A$2:$A6383+$C$2:$C6383)), "")*24*60, "")</f>
        <v>0</v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t="str" cm="1">
        <f t="array" ref="O6384">IFERROR(IF($B6384=O$1, ($A6384+$C6384) - MAX(IF($B$2:$B6383=$B6384, $A$2:$A6383+$C$2:$C6383)), "")*24*60, "")</f>
        <v/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Northern Cardinal</v>
      </c>
      <c r="C6385" s="6">
        <f t="shared" si="1274"/>
        <v>0.28541666666666665</v>
      </c>
      <c r="D6385" s="5"/>
      <c r="E6385" s="5"/>
      <c r="F6385" s="5" t="s">
        <v>8</v>
      </c>
      <c r="G6385" s="15" t="s">
        <v>9</v>
      </c>
      <c r="H6385" s="24">
        <f t="shared" si="1251"/>
        <v>0</v>
      </c>
      <c r="I6385" s="24" cm="1">
        <f t="array" ref="I6385">IFERROR(IF($B6385=I$1, ($A6385+$C6385) - MAX(IF($B$2:$B6384=$B6385, $A$2:$A6384+$C$2:$C6384)), "")*24*60, "")</f>
        <v>0</v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t="str" cm="1">
        <f t="array" ref="O6385">IFERROR(IF($B6385=O$1, ($A6385+$C6385) - MAX(IF($B$2:$B6384=$B6385, $A$2:$A6384+$C$2:$C6384)), "")*24*60, "")</f>
        <v/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C6386" si="1275">A6385</f>
        <v>45989</v>
      </c>
      <c r="B6386" s="5" t="str">
        <f t="shared" si="1275"/>
        <v>Northern Cardinal</v>
      </c>
      <c r="C6386" s="6">
        <f t="shared" si="1275"/>
        <v>0.28541666666666665</v>
      </c>
      <c r="D6386" s="5"/>
      <c r="E6386" s="5"/>
      <c r="F6386" s="5" t="s">
        <v>8</v>
      </c>
      <c r="G6386" s="15" t="s">
        <v>9</v>
      </c>
      <c r="H6386" s="24">
        <f t="shared" si="1251"/>
        <v>0</v>
      </c>
      <c r="I6386" s="24" cm="1">
        <f t="array" ref="I6386">IFERROR(IF($B6386=I$1, ($A6386+$C6386) - MAX(IF($B$2:$B6385=$B6386, $A$2:$A6385+$C$2:$C6385)), "")*24*60, "")</f>
        <v>0</v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t="str" cm="1">
        <f t="array" ref="O6386">IFERROR(IF($B6386=O$1, ($A6386+$C6386) - MAX(IF($B$2:$B6385=$B6386, $A$2:$A6385+$C$2:$C6385)), "")*24*60, "")</f>
        <v/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Northern Cardinal</v>
      </c>
      <c r="C6387" s="6">
        <f t="shared" si="1276"/>
        <v>0.28541666666666665</v>
      </c>
      <c r="D6387" s="5"/>
      <c r="E6387" s="5"/>
      <c r="F6387" s="5" t="s">
        <v>8</v>
      </c>
      <c r="G6387" s="15" t="s">
        <v>9</v>
      </c>
      <c r="H6387" s="24">
        <f t="shared" si="1251"/>
        <v>0</v>
      </c>
      <c r="I6387" s="24" cm="1">
        <f t="array" ref="I6387">IFERROR(IF($B6387=I$1, ($A6387+$C6387) - MAX(IF($B$2:$B6386=$B6387, $A$2:$A6386+$C$2:$C6386)), "")*24*60, "")</f>
        <v>0</v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t="str" cm="1">
        <f t="array" ref="O6387">IFERROR(IF($B6387=O$1, ($A6387+$C6387) - MAX(IF($B$2:$B6386=$B6387, $A$2:$A6386+$C$2:$C6386)), "")*24*60, "")</f>
        <v/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C6388" si="1277">A6387</f>
        <v>45989</v>
      </c>
      <c r="B6388" s="5" t="str">
        <f t="shared" si="1277"/>
        <v>Northern Cardinal</v>
      </c>
      <c r="C6388" s="6">
        <f t="shared" si="1277"/>
        <v>0.28541666666666665</v>
      </c>
      <c r="D6388" s="5"/>
      <c r="E6388" s="5"/>
      <c r="F6388" s="5" t="s">
        <v>8</v>
      </c>
      <c r="G6388" s="15" t="s">
        <v>9</v>
      </c>
      <c r="H6388" s="24">
        <f t="shared" si="1251"/>
        <v>0</v>
      </c>
      <c r="I6388" s="24" cm="1">
        <f t="array" ref="I6388">IFERROR(IF($B6388=I$1, ($A6388+$C6388) - MAX(IF($B$2:$B6387=$B6388, $A$2:$A6387+$C$2:$C6387)), "")*24*60, "")</f>
        <v>0</v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t="str" cm="1">
        <f t="array" ref="O6388">IFERROR(IF($B6388=O$1, ($A6388+$C6388) - MAX(IF($B$2:$B6387=$B6388, $A$2:$A6387+$C$2:$C6387)), "")*24*60, "")</f>
        <v/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Northern Cardinal</v>
      </c>
      <c r="C6389" s="6">
        <f t="shared" si="1278"/>
        <v>0.28541666666666665</v>
      </c>
      <c r="D6389" s="5"/>
      <c r="E6389" s="5"/>
      <c r="F6389" s="5" t="s">
        <v>8</v>
      </c>
      <c r="G6389" s="15" t="s">
        <v>9</v>
      </c>
      <c r="H6389" s="24">
        <f t="shared" si="1251"/>
        <v>0</v>
      </c>
      <c r="I6389" s="24" cm="1">
        <f t="array" ref="I6389">IFERROR(IF($B6389=I$1, ($A6389+$C6389) - MAX(IF($B$2:$B6388=$B6389, $A$2:$A6388+$C$2:$C6388)), "")*24*60, "")</f>
        <v>0</v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t="str" cm="1">
        <f t="array" ref="O6389">IFERROR(IF($B6389=O$1, ($A6389+$C6389) - MAX(IF($B$2:$B6388=$B6389, $A$2:$A6388+$C$2:$C6388)), "")*24*60, "")</f>
        <v/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C6390" si="1279">A6389</f>
        <v>45989</v>
      </c>
      <c r="B6390" s="5" t="str">
        <f t="shared" si="1279"/>
        <v>Northern Cardinal</v>
      </c>
      <c r="C6390" s="6">
        <f t="shared" si="1279"/>
        <v>0.28541666666666665</v>
      </c>
      <c r="D6390" s="5"/>
      <c r="E6390" s="5"/>
      <c r="F6390" s="5" t="s">
        <v>8</v>
      </c>
      <c r="G6390" s="15" t="s">
        <v>9</v>
      </c>
      <c r="H6390" s="24">
        <f t="shared" si="1251"/>
        <v>0</v>
      </c>
      <c r="I6390" s="24" cm="1">
        <f t="array" ref="I6390">IFERROR(IF($B6390=I$1, ($A6390+$C6390) - MAX(IF($B$2:$B6389=$B6390, $A$2:$A6389+$C$2:$C6389)), "")*24*60, "")</f>
        <v>0</v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t="str" cm="1">
        <f t="array" ref="O6390">IFERROR(IF($B6390=O$1, ($A6390+$C6390) - MAX(IF($B$2:$B6389=$B6390, $A$2:$A6389+$C$2:$C6389)), "")*24*60, "")</f>
        <v/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C6391" si="1280">A6390</f>
        <v>45989</v>
      </c>
      <c r="B6391" s="5" t="str">
        <f t="shared" si="1280"/>
        <v>Northern Cardinal</v>
      </c>
      <c r="C6391" s="6">
        <f t="shared" si="1280"/>
        <v>0.28541666666666665</v>
      </c>
      <c r="D6391" s="5"/>
      <c r="E6391" s="5"/>
      <c r="F6391" s="5" t="s">
        <v>8</v>
      </c>
      <c r="G6391" s="15" t="s">
        <v>9</v>
      </c>
      <c r="H6391" s="24">
        <f t="shared" si="1251"/>
        <v>0</v>
      </c>
      <c r="I6391" s="24" cm="1">
        <f t="array" ref="I6391">IFERROR(IF($B6391=I$1, ($A6391+$C6391) - MAX(IF($B$2:$B6390=$B6391, $A$2:$A6390+$C$2:$C6390)), "")*24*60, "")</f>
        <v>0</v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t="str" cm="1">
        <f t="array" ref="O6391">IFERROR(IF($B6391=O$1, ($A6391+$C6391) - MAX(IF($B$2:$B6390=$B6391, $A$2:$A6390+$C$2:$C6390)), "")*24*60, "")</f>
        <v/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Northern Cardinal</v>
      </c>
      <c r="C6392" s="6">
        <f t="shared" si="1281"/>
        <v>0.28541666666666665</v>
      </c>
      <c r="D6392" s="5"/>
      <c r="E6392" s="5"/>
      <c r="F6392" s="5" t="s">
        <v>8</v>
      </c>
      <c r="G6392" s="15" t="s">
        <v>9</v>
      </c>
      <c r="H6392" s="24">
        <f t="shared" si="1251"/>
        <v>0</v>
      </c>
      <c r="I6392" s="24" cm="1">
        <f t="array" ref="I6392">IFERROR(IF($B6392=I$1, ($A6392+$C6392) - MAX(IF($B$2:$B6391=$B6392, $A$2:$A6391+$C$2:$C6391)), "")*24*60, "")</f>
        <v>0</v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t="str" cm="1">
        <f t="array" ref="O6392">IFERROR(IF($B6392=O$1, ($A6392+$C6392) - MAX(IF($B$2:$B6391=$B6392, $A$2:$A6391+$C$2:$C6391)), "")*24*60, "")</f>
        <v/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C6393" si="1282">A6392</f>
        <v>45989</v>
      </c>
      <c r="B6393" s="5" t="str">
        <f t="shared" si="1282"/>
        <v>Northern Cardinal</v>
      </c>
      <c r="C6393" s="6">
        <f t="shared" si="1282"/>
        <v>0.28541666666666665</v>
      </c>
      <c r="D6393" s="5"/>
      <c r="E6393" s="5"/>
      <c r="F6393" s="5" t="s">
        <v>8</v>
      </c>
      <c r="G6393" s="15" t="s">
        <v>9</v>
      </c>
      <c r="H6393" s="24">
        <f t="shared" si="1251"/>
        <v>0</v>
      </c>
      <c r="I6393" s="24" cm="1">
        <f t="array" ref="I6393">IFERROR(IF($B6393=I$1, ($A6393+$C6393) - MAX(IF($B$2:$B6392=$B6393, $A$2:$A6392+$C$2:$C6392)), "")*24*60, "")</f>
        <v>0</v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t="str" cm="1">
        <f t="array" ref="O6393">IFERROR(IF($B6393=O$1, ($A6393+$C6393) - MAX(IF($B$2:$B6392=$B6393, $A$2:$A6392+$C$2:$C6392)), "")*24*60, "")</f>
        <v/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C6394" si="1283">A6393</f>
        <v>45989</v>
      </c>
      <c r="B6394" s="5" t="str">
        <f t="shared" si="1283"/>
        <v>Northern Cardinal</v>
      </c>
      <c r="C6394" s="6">
        <f t="shared" si="1283"/>
        <v>0.28541666666666665</v>
      </c>
      <c r="D6394" s="5"/>
      <c r="E6394" s="5"/>
      <c r="F6394" s="5" t="s">
        <v>8</v>
      </c>
      <c r="G6394" s="15" t="s">
        <v>9</v>
      </c>
      <c r="H6394" s="24">
        <f t="shared" si="1251"/>
        <v>0</v>
      </c>
      <c r="I6394" s="24" cm="1">
        <f t="array" ref="I6394">IFERROR(IF($B6394=I$1, ($A6394+$C6394) - MAX(IF($B$2:$B6393=$B6394, $A$2:$A6393+$C$2:$C6393)), "")*24*60, "")</f>
        <v>0</v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t="str" cm="1">
        <f t="array" ref="O6394">IFERROR(IF($B6394=O$1, ($A6394+$C6394) - MAX(IF($B$2:$B6393=$B6394, $A$2:$A6393+$C$2:$C6393)), "")*24*60, "")</f>
        <v/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Northern Cardinal</v>
      </c>
      <c r="C6395" s="6">
        <f t="shared" si="1284"/>
        <v>0.28541666666666665</v>
      </c>
      <c r="D6395" s="5"/>
      <c r="E6395" s="5"/>
      <c r="F6395" s="5" t="s">
        <v>8</v>
      </c>
      <c r="G6395" s="15" t="s">
        <v>9</v>
      </c>
      <c r="H6395" s="24">
        <f t="shared" si="1251"/>
        <v>0</v>
      </c>
      <c r="I6395" s="24" cm="1">
        <f t="array" ref="I6395">IFERROR(IF($B6395=I$1, ($A6395+$C6395) - MAX(IF($B$2:$B6394=$B6395, $A$2:$A6394+$C$2:$C6394)), "")*24*60, "")</f>
        <v>0</v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t="str" cm="1">
        <f t="array" ref="O6395">IFERROR(IF($B6395=O$1, ($A6395+$C6395) - MAX(IF($B$2:$B6394=$B6395, $A$2:$A6394+$C$2:$C6394)), "")*24*60, "")</f>
        <v/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C6396" si="1285">A6395</f>
        <v>45989</v>
      </c>
      <c r="B6396" s="5" t="str">
        <f t="shared" si="1285"/>
        <v>Northern Cardinal</v>
      </c>
      <c r="C6396" s="6">
        <f t="shared" si="1285"/>
        <v>0.28541666666666665</v>
      </c>
      <c r="D6396" s="5"/>
      <c r="E6396" s="5"/>
      <c r="F6396" s="5" t="s">
        <v>8</v>
      </c>
      <c r="G6396" s="15" t="s">
        <v>9</v>
      </c>
      <c r="H6396" s="24">
        <f t="shared" si="1251"/>
        <v>0</v>
      </c>
      <c r="I6396" s="24" cm="1">
        <f t="array" ref="I6396">IFERROR(IF($B6396=I$1, ($A6396+$C6396) - MAX(IF($B$2:$B6395=$B6396, $A$2:$A6395+$C$2:$C6395)), "")*24*60, "")</f>
        <v>0</v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t="str" cm="1">
        <f t="array" ref="O6396">IFERROR(IF($B6396=O$1, ($A6396+$C6396) - MAX(IF($B$2:$B6395=$B6396, $A$2:$A6395+$C$2:$C6395)), "")*24*60, "")</f>
        <v/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Northern Cardinal</v>
      </c>
      <c r="C6397" s="6">
        <f t="shared" si="1286"/>
        <v>0.28541666666666665</v>
      </c>
      <c r="D6397" s="5"/>
      <c r="E6397" s="5"/>
      <c r="F6397" s="5" t="s">
        <v>8</v>
      </c>
      <c r="G6397" s="15" t="s">
        <v>9</v>
      </c>
      <c r="H6397" s="24">
        <f t="shared" si="1251"/>
        <v>0</v>
      </c>
      <c r="I6397" s="24" cm="1">
        <f t="array" ref="I6397">IFERROR(IF($B6397=I$1, ($A6397+$C6397) - MAX(IF($B$2:$B6396=$B6397, $A$2:$A6396+$C$2:$C6396)), "")*24*60, "")</f>
        <v>0</v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t="str" cm="1">
        <f t="array" ref="O6397">IFERROR(IF($B6397=O$1, ($A6397+$C6397) - MAX(IF($B$2:$B6396=$B6397, $A$2:$A6396+$C$2:$C6396)), "")*24*60, "")</f>
        <v/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C6398" si="1287">A6397</f>
        <v>45989</v>
      </c>
      <c r="B6398" s="5" t="str">
        <f t="shared" si="1287"/>
        <v>Northern Cardinal</v>
      </c>
      <c r="C6398" s="6">
        <f t="shared" si="1287"/>
        <v>0.28541666666666665</v>
      </c>
      <c r="D6398" s="5"/>
      <c r="E6398" s="5"/>
      <c r="F6398" s="5" t="s">
        <v>8</v>
      </c>
      <c r="G6398" s="15" t="s">
        <v>9</v>
      </c>
      <c r="H6398" s="24">
        <f t="shared" si="1251"/>
        <v>0</v>
      </c>
      <c r="I6398" s="24" cm="1">
        <f t="array" ref="I6398">IFERROR(IF($B6398=I$1, ($A6398+$C6398) - MAX(IF($B$2:$B6397=$B6398, $A$2:$A6397+$C$2:$C6397)), "")*24*60, "")</f>
        <v>0</v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t="str" cm="1">
        <f t="array" ref="O6398">IFERROR(IF($B6398=O$1, ($A6398+$C6398) - MAX(IF($B$2:$B6397=$B6398, $A$2:$A6397+$C$2:$C6397)), "")*24*60, "")</f>
        <v/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Northern Cardinal</v>
      </c>
      <c r="C6399" s="6">
        <f t="shared" si="1288"/>
        <v>0.28541666666666665</v>
      </c>
      <c r="D6399" s="5"/>
      <c r="E6399" s="5"/>
      <c r="F6399" s="5" t="s">
        <v>8</v>
      </c>
      <c r="G6399" s="15" t="s">
        <v>9</v>
      </c>
      <c r="H6399" s="24">
        <f t="shared" si="1251"/>
        <v>0</v>
      </c>
      <c r="I6399" s="24" cm="1">
        <f t="array" ref="I6399">IFERROR(IF($B6399=I$1, ($A6399+$C6399) - MAX(IF($B$2:$B6398=$B6399, $A$2:$A6398+$C$2:$C6398)), "")*24*60, "")</f>
        <v>0</v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t="str" cm="1">
        <f t="array" ref="O6399">IFERROR(IF($B6399=O$1, ($A6399+$C6399) - MAX(IF($B$2:$B6398=$B6399, $A$2:$A6398+$C$2:$C6398)), "")*24*60, "")</f>
        <v/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:C6400" si="1289">A6399</f>
        <v>45989</v>
      </c>
      <c r="B6400" s="5" t="str">
        <f t="shared" si="1289"/>
        <v>Northern Cardinal</v>
      </c>
      <c r="C6400" s="6">
        <f t="shared" si="1289"/>
        <v>0.28541666666666665</v>
      </c>
      <c r="D6400" s="5"/>
      <c r="E6400" s="5"/>
      <c r="F6400" s="5" t="s">
        <v>8</v>
      </c>
      <c r="G6400" s="15" t="s">
        <v>9</v>
      </c>
      <c r="H6400" s="24">
        <f t="shared" si="1251"/>
        <v>0</v>
      </c>
      <c r="I6400" s="24" cm="1">
        <f t="array" ref="I6400">IFERROR(IF($B6400=I$1, ($A6400+$C6400) - MAX(IF($B$2:$B6399=$B6400, $A$2:$A6399+$C$2:$C6399)), "")*24*60, "")</f>
        <v>0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C6401" si="1290">A6400</f>
        <v>45989</v>
      </c>
      <c r="B6401" s="5" t="str">
        <f t="shared" si="1290"/>
        <v>Northern Cardinal</v>
      </c>
      <c r="C6401" s="6">
        <f t="shared" si="1290"/>
        <v>0.28541666666666665</v>
      </c>
      <c r="D6401" s="5"/>
      <c r="E6401" s="5"/>
      <c r="F6401" s="5" t="s">
        <v>8</v>
      </c>
      <c r="G6401" s="15" t="s">
        <v>9</v>
      </c>
      <c r="H6401" s="24">
        <f t="shared" si="1251"/>
        <v>0</v>
      </c>
      <c r="I6401" s="24" cm="1">
        <f t="array" ref="I6401">IFERROR(IF($B6401=I$1, ($A6401+$C6401) - MAX(IF($B$2:$B6400=$B6401, $A$2:$A6400+$C$2:$C6400)), "")*24*60, "")</f>
        <v>0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0.28541666666666665</v>
      </c>
      <c r="D6402" s="5"/>
      <c r="E6402" s="5"/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C6403" si="1292">A6402</f>
        <v>45989</v>
      </c>
      <c r="B6403" s="5" t="str">
        <f t="shared" si="1292"/>
        <v>Northern Cardinal</v>
      </c>
      <c r="C6403" s="6">
        <f t="shared" si="1292"/>
        <v>0.28541666666666665</v>
      </c>
      <c r="D6403" s="5"/>
      <c r="E6403" s="5"/>
      <c r="F6403" s="5" t="s">
        <v>8</v>
      </c>
      <c r="G6403" s="15" t="s">
        <v>9</v>
      </c>
      <c r="H6403" s="24">
        <f t="shared" si="1251"/>
        <v>0</v>
      </c>
      <c r="I6403" s="24" cm="1">
        <f t="array" ref="I6403">IFERROR(IF($B6403=I$1, ($A6403+$C6403) - MAX(IF($B$2:$B6402=$B6403, $A$2:$A6402+$C$2:$C6402)), "")*24*60, "")</f>
        <v>0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0.28541666666666665</v>
      </c>
      <c r="D6404" s="5"/>
      <c r="E6404" s="5"/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C6405" si="1294">A6404</f>
        <v>45989</v>
      </c>
      <c r="B6405" s="5" t="str">
        <f t="shared" si="1294"/>
        <v>Northern Cardinal</v>
      </c>
      <c r="C6405" s="6">
        <f t="shared" si="1294"/>
        <v>0.28541666666666665</v>
      </c>
      <c r="D6405" s="5"/>
      <c r="E6405" s="5"/>
      <c r="F6405" s="5" t="s">
        <v>8</v>
      </c>
      <c r="G6405" s="15" t="s">
        <v>9</v>
      </c>
      <c r="H6405" s="24">
        <f t="shared" si="1251"/>
        <v>0</v>
      </c>
      <c r="I6405" s="24" cm="1">
        <f t="array" ref="I6405">IFERROR(IF($B6405=I$1, ($A6405+$C6405) - MAX(IF($B$2:$B6404=$B6405, $A$2:$A6404+$C$2:$C6404)), "")*24*60, "")</f>
        <v>0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0.28541666666666665</v>
      </c>
      <c r="D6406" s="5"/>
      <c r="E6406" s="5"/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C6407" si="1296">A6406</f>
        <v>45989</v>
      </c>
      <c r="B6407" s="5" t="str">
        <f t="shared" si="1296"/>
        <v>Northern Cardinal</v>
      </c>
      <c r="C6407" s="6">
        <f t="shared" si="1296"/>
        <v>0.28541666666666665</v>
      </c>
      <c r="D6407" s="5"/>
      <c r="E6407" s="5"/>
      <c r="F6407" s="5" t="s">
        <v>8</v>
      </c>
      <c r="G6407" s="15" t="s">
        <v>9</v>
      </c>
      <c r="H6407" s="24">
        <f t="shared" si="1251"/>
        <v>0</v>
      </c>
      <c r="I6407" s="24" cm="1">
        <f t="array" ref="I6407">IFERROR(IF($B6407=I$1, ($A6407+$C6407) - MAX(IF($B$2:$B6406=$B6407, $A$2:$A6406+$C$2:$C6406)), "")*24*60, "")</f>
        <v>0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C6408" si="1297">A6407</f>
        <v>45989</v>
      </c>
      <c r="B6408" s="5" t="str">
        <f t="shared" si="1297"/>
        <v>Northern Cardinal</v>
      </c>
      <c r="C6408" s="6">
        <f t="shared" si="1297"/>
        <v>0.28541666666666665</v>
      </c>
      <c r="D6408" s="5"/>
      <c r="E6408" s="5"/>
      <c r="F6408" s="5" t="s">
        <v>8</v>
      </c>
      <c r="G6408" s="15" t="s">
        <v>9</v>
      </c>
      <c r="H6408" s="24">
        <f t="shared" si="1251"/>
        <v>0</v>
      </c>
      <c r="I6408" s="24" cm="1">
        <f t="array" ref="I6408">IFERROR(IF($B6408=I$1, ($A6408+$C6408) - MAX(IF($B$2:$B6407=$B6408, $A$2:$A6407+$C$2:$C6407)), "")*24*60, "")</f>
        <v>0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0.28541666666666665</v>
      </c>
      <c r="D6409" s="5"/>
      <c r="E6409" s="5"/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0.28541666666666665</v>
      </c>
      <c r="D6410" s="5"/>
      <c r="E6410" s="5"/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C6411" si="1300">A6410</f>
        <v>45989</v>
      </c>
      <c r="B6411" s="5" t="str">
        <f t="shared" si="1300"/>
        <v>Northern Cardinal</v>
      </c>
      <c r="C6411" s="6">
        <f t="shared" si="1300"/>
        <v>0.28541666666666665</v>
      </c>
      <c r="D6411" s="5"/>
      <c r="E6411" s="5"/>
      <c r="F6411" s="5" t="s">
        <v>8</v>
      </c>
      <c r="G6411" s="15" t="s">
        <v>9</v>
      </c>
      <c r="H6411" s="24">
        <f t="shared" si="1251"/>
        <v>0</v>
      </c>
      <c r="I6411" s="24" cm="1">
        <f t="array" ref="I6411">IFERROR(IF($B6411=I$1, ($A6411+$C6411) - MAX(IF($B$2:$B6410=$B6411, $A$2:$A6410+$C$2:$C6410)), "")*24*60, "")</f>
        <v>0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0.28541666666666665</v>
      </c>
      <c r="D6412" s="5"/>
      <c r="E6412" s="5"/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C6413" si="1302">A6412</f>
        <v>45989</v>
      </c>
      <c r="B6413" s="5" t="str">
        <f t="shared" si="1302"/>
        <v>Northern Cardinal</v>
      </c>
      <c r="C6413" s="6">
        <f t="shared" si="1302"/>
        <v>0.28541666666666665</v>
      </c>
      <c r="D6413" s="5"/>
      <c r="E6413" s="5"/>
      <c r="F6413" s="5" t="s">
        <v>8</v>
      </c>
      <c r="G6413" s="15" t="s">
        <v>9</v>
      </c>
      <c r="H6413" s="24">
        <f t="shared" si="1251"/>
        <v>0</v>
      </c>
      <c r="I6413" s="24" cm="1">
        <f t="array" ref="I6413">IFERROR(IF($B6413=I$1, ($A6413+$C6413) - MAX(IF($B$2:$B6412=$B6413, $A$2:$A6412+$C$2:$C6412)), "")*24*60, "")</f>
        <v>0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15"/>
  <sheetViews>
    <sheetView tabSelected="1" zoomScale="120" zoomScaleNormal="120" workbookViewId="0">
      <pane ySplit="1" topLeftCell="A186" activePane="bottomLeft" state="frozen"/>
      <selection pane="bottomLeft" activeCell="A212" sqref="A212:E214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10">
        <v>45988</v>
      </c>
      <c r="B214" s="11" t="s">
        <v>20</v>
      </c>
      <c r="C214" s="11">
        <f>COUNTIFS(RawData!$B:$B, $B214, RawData!$A:$A, DailySummaries!$A214)</f>
        <v>57</v>
      </c>
      <c r="D214" s="11">
        <f>SUMIFS(RawData!$D:$D,RawData!$B:$B,$B214,RawData!$A:$A,DailySummaries!$A214)+1</f>
        <v>36</v>
      </c>
      <c r="E214" s="11">
        <f>SUMIFS(RawData!$E:$E,RawData!$B:$B,$B214,RawData!$A:$A,DailySummaries!$A214)+1</f>
        <v>360</v>
      </c>
    </row>
    <row r="215" spans="1:5" x14ac:dyDescent="0.25">
      <c r="A215" s="44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2025-11-28T13:04:32Z</dcterms:modified>
</cp:coreProperties>
</file>
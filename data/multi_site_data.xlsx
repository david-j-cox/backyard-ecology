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782BD8DF-BF40-564D-B921-51E48946974C}" xr6:coauthVersionLast="47" xr6:coauthVersionMax="47" xr10:uidLastSave="{00000000-0000-0000-0000-000000000000}"/>
  <bookViews>
    <workbookView xWindow="3360" yWindow="500" windowWidth="3024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8" i="2" l="1"/>
  <c r="D148" i="2"/>
  <c r="C148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F467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50" i="2"/>
  <c r="A51" i="2" s="1"/>
  <c r="A49" i="2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5" i="1" l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B4535" i="1"/>
  <c r="A4536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6" i="1" l="1"/>
  <c r="M4535" i="1" a="1"/>
  <c r="M4535" i="1" s="1"/>
  <c r="P4535" i="1" a="1"/>
  <c r="P4535" i="1" s="1"/>
  <c r="A4537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8" i="1" l="1"/>
  <c r="B4537" i="1"/>
  <c r="M4536" i="1" a="1"/>
  <c r="M4536" i="1" s="1"/>
  <c r="P4536" i="1" a="1"/>
  <c r="P4536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8" i="1" l="1"/>
  <c r="M4537" i="1" a="1"/>
  <c r="M4537" i="1" s="1"/>
  <c r="P4537" i="1" a="1"/>
  <c r="P4537" i="1" s="1"/>
  <c r="A4539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8" i="1" l="1" a="1"/>
  <c r="M4538" i="1" s="1"/>
  <c r="B4539" i="1"/>
  <c r="P4538" i="1" a="1"/>
  <c r="P4538" i="1" s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3" i="1" l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C146" i="2" l="1"/>
  <c r="M4542" i="1" a="1"/>
  <c r="M4542" i="1" s="1"/>
  <c r="P4542" i="1" a="1"/>
  <c r="P4542" i="1" s="1"/>
  <c r="B4543" i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E147" i="2" l="1"/>
  <c r="D147" i="2"/>
  <c r="C147" i="2"/>
  <c r="C142" i="2"/>
  <c r="D142" i="2"/>
  <c r="E142" i="2"/>
  <c r="A3538" i="1"/>
  <c r="H3537" i="1"/>
  <c r="O3537" i="1" a="1"/>
  <c r="O3537" i="1" s="1"/>
  <c r="M4673" i="1" a="1"/>
  <c r="M4673" i="1" s="1"/>
  <c r="B4674" i="1"/>
  <c r="P4673" i="1" a="1"/>
  <c r="P4673" i="1" s="1"/>
  <c r="E146" i="2" l="1"/>
  <c r="D146" i="2"/>
  <c r="D143" i="2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J4535" i="1" s="1" a="1"/>
  <c r="J4535" i="1" s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J4536" i="1" s="1" a="1"/>
  <c r="J4536" i="1" s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J4537" i="1" s="1" a="1"/>
  <c r="J4537" i="1" s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J4538" i="1" s="1" a="1"/>
  <c r="J4538" i="1" s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<sst xmlns="http://schemas.openxmlformats.org/spreadsheetml/2006/main" count="40200" uniqueCount="23">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</sst>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zoomScale="140" zoomScaleNormal="140" workbookViewId="0">
      <pane ySplit="1" topLeftCell="A4530" activePane="bottomLeft" state="frozen"/>
      <selection pane="bottomLeft" activeCell="D4534" sqref="D4534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6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6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6" x14ac:dyDescent="0.2">
      <c r="A4534" s="12">
        <v>45972</v>
      </c>
      <c r="B4534" s="5" t="str">
        <f t="shared" ref="A4534:C4534" si="1073">B4533</f>
        <v>Northern Cardinal</v>
      </c>
      <c r="C4534" s="6">
        <v>0.29166666666666669</v>
      </c>
      <c r="D4534" s="5"/>
      <c r="E4534" s="5"/>
      <c r="F4534" s="5" t="str">
        <f t="shared" ref="F4534:G4534" si="1074">F4533</f>
        <v>None</v>
      </c>
      <c r="G4534" s="15" t="str">
        <f t="shared" si="1074"/>
        <v>None</v>
      </c>
      <c r="H4534" s="24">
        <f t="shared" si="961"/>
        <v>800.9999999916181</v>
      </c>
      <c r="I4534" s="24" cm="1">
        <f t="array" ref="I4534">IFERROR(IF($B4534=I$1, ($A4534+$C4534) - MAX(IF($B$2:$B4533=$B4534, $A$2:$A4533+$C$2:$C4533)), "")*24*60, "")</f>
        <v>800.9999999916181</v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t="str" cm="1">
        <f t="array" ref="O4534">IFERROR(IF($B4534=O$1, ($A4534+$C4534) - MAX(IF($B$2:$B4533=$B4534, $A$2:$A4533+$C$2:$C4533)), "")*24*60, "")</f>
        <v/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075">A4534</f>
        <v>45972</v>
      </c>
      <c r="B4535" s="5" t="str">
        <f t="shared" si="1075"/>
        <v>Northern Cardinal</v>
      </c>
      <c r="C4535" s="6">
        <f t="shared" si="1075"/>
        <v>0.29166666666666669</v>
      </c>
      <c r="D4535" s="5"/>
      <c r="E4535" s="5"/>
      <c r="F4535" s="5" t="str">
        <f t="shared" ref="F4535:G4535" si="1076">F4534</f>
        <v>None</v>
      </c>
      <c r="G4535" s="15" t="str">
        <f t="shared" si="1076"/>
        <v>None</v>
      </c>
      <c r="H4535" s="24">
        <f t="shared" si="961"/>
        <v>0</v>
      </c>
      <c r="I4535" s="24" cm="1">
        <f t="array" ref="I4535">IFERROR(IF($B4535=I$1, ($A4535+$C4535) - MAX(IF($B$2:$B4534=$B4535, $A$2:$A4534+$C$2:$C4534)), "")*24*60, "")</f>
        <v>0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077">A4535</f>
        <v>45972</v>
      </c>
      <c r="B4536" s="5" t="str">
        <f t="shared" si="1077"/>
        <v>Northern Cardinal</v>
      </c>
      <c r="C4536" s="6">
        <f t="shared" si="1077"/>
        <v>0.29166666666666669</v>
      </c>
      <c r="D4536" s="5"/>
      <c r="E4536" s="5"/>
      <c r="F4536" s="5" t="str">
        <f t="shared" ref="F4536:G4536" si="1078">F4535</f>
        <v>None</v>
      </c>
      <c r="G4536" s="15" t="str">
        <f t="shared" si="1078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079">A4536</f>
        <v>45972</v>
      </c>
      <c r="B4537" s="5" t="str">
        <f t="shared" si="1079"/>
        <v>Northern Cardinal</v>
      </c>
      <c r="C4537" s="6">
        <f t="shared" si="1079"/>
        <v>0.29166666666666669</v>
      </c>
      <c r="D4537" s="5"/>
      <c r="E4537" s="5"/>
      <c r="F4537" s="5" t="str">
        <f t="shared" ref="F4537:G4537" si="1080">F4536</f>
        <v>None</v>
      </c>
      <c r="G4537" s="15" t="str">
        <f t="shared" si="1080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081">A4537</f>
        <v>45972</v>
      </c>
      <c r="B4538" s="5" t="str">
        <f t="shared" si="1081"/>
        <v>Northern Cardinal</v>
      </c>
      <c r="C4538" s="6">
        <f t="shared" si="1081"/>
        <v>0.29166666666666669</v>
      </c>
      <c r="D4538" s="5"/>
      <c r="E4538" s="5"/>
      <c r="F4538" s="5" t="str">
        <f t="shared" ref="F4538:G4538" si="1082">F4537</f>
        <v>None</v>
      </c>
      <c r="G4538" s="15" t="str">
        <f t="shared" si="1082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083">A4538</f>
        <v>45972</v>
      </c>
      <c r="B4539" s="5" t="str">
        <f t="shared" si="1083"/>
        <v>Northern Cardinal</v>
      </c>
      <c r="C4539" s="6">
        <f t="shared" si="1083"/>
        <v>0.29166666666666669</v>
      </c>
      <c r="D4539" s="5"/>
      <c r="E4539" s="5"/>
      <c r="F4539" s="5" t="str">
        <f t="shared" ref="F4539:G4539" si="1084">F4538</f>
        <v>None</v>
      </c>
      <c r="G4539" s="15" t="str">
        <f t="shared" si="1084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85">A4539</f>
        <v>45972</v>
      </c>
      <c r="B4540" s="5" t="str">
        <f t="shared" si="1085"/>
        <v>Northern Cardinal</v>
      </c>
      <c r="C4540" s="6">
        <f t="shared" si="1085"/>
        <v>0.29166666666666669</v>
      </c>
      <c r="D4540" s="5"/>
      <c r="E4540" s="5"/>
      <c r="F4540" s="5" t="str">
        <f t="shared" ref="F4540:G4540" si="1086">F4539</f>
        <v>None</v>
      </c>
      <c r="G4540" s="15" t="str">
        <f t="shared" si="1086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87">A4540</f>
        <v>45972</v>
      </c>
      <c r="B4541" s="5" t="str">
        <f t="shared" si="1087"/>
        <v>Northern Cardinal</v>
      </c>
      <c r="C4541" s="6">
        <f t="shared" si="1087"/>
        <v>0.29166666666666669</v>
      </c>
      <c r="D4541" s="5"/>
      <c r="E4541" s="5"/>
      <c r="F4541" s="5" t="str">
        <f t="shared" ref="F4541:G4541" si="1088">F4540</f>
        <v>None</v>
      </c>
      <c r="G4541" s="15" t="str">
        <f t="shared" si="1088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89">A4541</f>
        <v>45972</v>
      </c>
      <c r="B4542" s="5" t="str">
        <f t="shared" si="1089"/>
        <v>Northern Cardinal</v>
      </c>
      <c r="C4542" s="6">
        <f t="shared" si="1089"/>
        <v>0.29166666666666669</v>
      </c>
      <c r="D4542" s="5"/>
      <c r="E4542" s="5"/>
      <c r="F4542" s="5" t="str">
        <f t="shared" ref="F4542:G4542" si="1090">F4541</f>
        <v>None</v>
      </c>
      <c r="G4542" s="15" t="str">
        <f t="shared" si="1090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091">A4542</f>
        <v>45972</v>
      </c>
      <c r="B4543" s="5" t="str">
        <f t="shared" si="1091"/>
        <v>Northern Cardinal</v>
      </c>
      <c r="C4543" s="6">
        <f t="shared" si="1091"/>
        <v>0.29166666666666669</v>
      </c>
      <c r="D4543" s="5"/>
      <c r="E4543" s="5"/>
      <c r="F4543" s="5" t="str">
        <f t="shared" ref="F4543:G4543" si="1092">F4542</f>
        <v>None</v>
      </c>
      <c r="G4543" s="15" t="str">
        <f t="shared" si="1092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093">A4543</f>
        <v>45972</v>
      </c>
      <c r="B4544" s="5" t="str">
        <f t="shared" si="1093"/>
        <v>Northern Cardinal</v>
      </c>
      <c r="C4544" s="6">
        <f t="shared" si="1093"/>
        <v>0.29166666666666669</v>
      </c>
      <c r="D4544" s="5"/>
      <c r="E4544" s="5"/>
      <c r="F4544" s="5" t="str">
        <f t="shared" ref="F4544:G4544" si="1094">F4543</f>
        <v>None</v>
      </c>
      <c r="G4544" s="15" t="str">
        <f t="shared" si="1094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095">A4544</f>
        <v>45972</v>
      </c>
      <c r="B4545" s="5" t="str">
        <f t="shared" si="1095"/>
        <v>Northern Cardinal</v>
      </c>
      <c r="C4545" s="6">
        <f t="shared" si="1095"/>
        <v>0.29166666666666669</v>
      </c>
      <c r="D4545" s="5"/>
      <c r="E4545" s="5"/>
      <c r="F4545" s="5" t="str">
        <f t="shared" ref="F4545:G4545" si="1096">F4544</f>
        <v>None</v>
      </c>
      <c r="G4545" s="15" t="str">
        <f t="shared" si="1096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097">A4545</f>
        <v>45972</v>
      </c>
      <c r="B4546" s="5" t="str">
        <f t="shared" si="1097"/>
        <v>Northern Cardinal</v>
      </c>
      <c r="C4546" s="6">
        <f t="shared" si="1097"/>
        <v>0.29166666666666669</v>
      </c>
      <c r="D4546" s="5"/>
      <c r="E4546" s="5"/>
      <c r="F4546" s="5" t="str">
        <f t="shared" ref="F4546:G4546" si="1098">F4545</f>
        <v>None</v>
      </c>
      <c r="G4546" s="15" t="str">
        <f t="shared" si="1098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099">A4546</f>
        <v>45972</v>
      </c>
      <c r="B4547" s="5" t="str">
        <f t="shared" si="1099"/>
        <v>Northern Cardinal</v>
      </c>
      <c r="C4547" s="6">
        <f t="shared" si="1099"/>
        <v>0.29166666666666669</v>
      </c>
      <c r="D4547" s="5"/>
      <c r="E4547" s="5"/>
      <c r="F4547" s="5" t="str">
        <f t="shared" ref="F4547:G4547" si="1100">F4546</f>
        <v>None</v>
      </c>
      <c r="G4547" s="15" t="str">
        <f t="shared" si="1100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01">A4547</f>
        <v>45972</v>
      </c>
      <c r="B4548" s="5" t="str">
        <f t="shared" si="1101"/>
        <v>Northern Cardinal</v>
      </c>
      <c r="C4548" s="6">
        <f t="shared" si="1101"/>
        <v>0.29166666666666669</v>
      </c>
      <c r="D4548" s="5"/>
      <c r="E4548" s="5"/>
      <c r="F4548" s="5" t="str">
        <f t="shared" ref="F4548:G4548" si="1102">F4547</f>
        <v>None</v>
      </c>
      <c r="G4548" s="15" t="str">
        <f t="shared" si="1102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03">A4548</f>
        <v>45972</v>
      </c>
      <c r="B4549" s="5" t="str">
        <f t="shared" si="1103"/>
        <v>Northern Cardinal</v>
      </c>
      <c r="C4549" s="6">
        <f t="shared" si="1103"/>
        <v>0.29166666666666669</v>
      </c>
      <c r="D4549" s="5"/>
      <c r="E4549" s="5"/>
      <c r="F4549" s="5" t="str">
        <f t="shared" ref="F4549:G4549" si="1104">F4548</f>
        <v>None</v>
      </c>
      <c r="G4549" s="15" t="str">
        <f t="shared" si="1104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05">A4549</f>
        <v>45972</v>
      </c>
      <c r="B4550" s="5" t="str">
        <f t="shared" si="1105"/>
        <v>Northern Cardinal</v>
      </c>
      <c r="C4550" s="6">
        <f t="shared" si="1105"/>
        <v>0.29166666666666669</v>
      </c>
      <c r="D4550" s="5"/>
      <c r="E4550" s="5"/>
      <c r="F4550" s="5" t="str">
        <f t="shared" ref="F4550:G4550" si="1106">F4549</f>
        <v>None</v>
      </c>
      <c r="G4550" s="15" t="str">
        <f t="shared" si="1106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07">A4550</f>
        <v>45972</v>
      </c>
      <c r="B4551" s="5" t="str">
        <f t="shared" si="1107"/>
        <v>Northern Cardinal</v>
      </c>
      <c r="C4551" s="6">
        <f t="shared" si="1107"/>
        <v>0.29166666666666669</v>
      </c>
      <c r="D4551" s="5"/>
      <c r="E4551" s="5"/>
      <c r="F4551" s="5" t="str">
        <f t="shared" ref="F4551:G4551" si="1108">F4550</f>
        <v>None</v>
      </c>
      <c r="G4551" s="15" t="str">
        <f t="shared" si="1108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09">A4551</f>
        <v>45972</v>
      </c>
      <c r="B4552" s="5" t="str">
        <f t="shared" si="1109"/>
        <v>Northern Cardinal</v>
      </c>
      <c r="C4552" s="6">
        <f t="shared" si="1109"/>
        <v>0.29166666666666669</v>
      </c>
      <c r="D4552" s="5"/>
      <c r="E4552" s="5"/>
      <c r="F4552" s="5" t="str">
        <f t="shared" ref="F4552:G4552" si="1110">F4551</f>
        <v>None</v>
      </c>
      <c r="G4552" s="15" t="str">
        <f t="shared" si="1110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11">A4552</f>
        <v>45972</v>
      </c>
      <c r="B4553" s="5" t="str">
        <f t="shared" si="1111"/>
        <v>Northern Cardinal</v>
      </c>
      <c r="C4553" s="6">
        <f t="shared" si="1111"/>
        <v>0.29166666666666669</v>
      </c>
      <c r="D4553" s="5"/>
      <c r="E4553" s="5"/>
      <c r="F4553" s="5" t="str">
        <f t="shared" ref="F4553:G4553" si="1112">F4552</f>
        <v>None</v>
      </c>
      <c r="G4553" s="15" t="str">
        <f t="shared" si="1112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13">A4553</f>
        <v>45972</v>
      </c>
      <c r="B4554" s="5" t="str">
        <f t="shared" si="1113"/>
        <v>Northern Cardinal</v>
      </c>
      <c r="C4554" s="6">
        <f t="shared" si="1113"/>
        <v>0.29166666666666669</v>
      </c>
      <c r="D4554" s="5"/>
      <c r="E4554" s="5"/>
      <c r="F4554" s="5" t="str">
        <f t="shared" ref="F4554:G4554" si="1114">F4553</f>
        <v>None</v>
      </c>
      <c r="G4554" s="15" t="str">
        <f t="shared" si="1114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15">A4554</f>
        <v>45972</v>
      </c>
      <c r="B4555" s="5" t="str">
        <f t="shared" si="1115"/>
        <v>Northern Cardinal</v>
      </c>
      <c r="C4555" s="6">
        <f t="shared" si="1115"/>
        <v>0.29166666666666669</v>
      </c>
      <c r="D4555" s="5"/>
      <c r="E4555" s="5"/>
      <c r="F4555" s="5" t="str">
        <f t="shared" ref="F4555:G4555" si="1116">F4554</f>
        <v>None</v>
      </c>
      <c r="G4555" s="15" t="str">
        <f t="shared" si="1116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17">A4555</f>
        <v>45972</v>
      </c>
      <c r="B4556" s="5" t="str">
        <f t="shared" si="1117"/>
        <v>Northern Cardinal</v>
      </c>
      <c r="C4556" s="6">
        <f t="shared" si="1117"/>
        <v>0.29166666666666669</v>
      </c>
      <c r="D4556" s="5"/>
      <c r="E4556" s="5"/>
      <c r="F4556" s="5" t="str">
        <f t="shared" ref="F4556:G4556" si="1118">F4555</f>
        <v>None</v>
      </c>
      <c r="G4556" s="15" t="str">
        <f t="shared" si="1118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19">A4556</f>
        <v>45972</v>
      </c>
      <c r="B4557" s="5" t="str">
        <f t="shared" si="1119"/>
        <v>Northern Cardinal</v>
      </c>
      <c r="C4557" s="6">
        <f t="shared" si="1119"/>
        <v>0.29166666666666669</v>
      </c>
      <c r="D4557" s="5"/>
      <c r="E4557" s="5"/>
      <c r="F4557" s="5" t="str">
        <f t="shared" ref="F4557:G4557" si="1120">F4556</f>
        <v>None</v>
      </c>
      <c r="G4557" s="15" t="str">
        <f t="shared" si="1120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21">A4557</f>
        <v>45972</v>
      </c>
      <c r="B4558" s="5" t="str">
        <f t="shared" si="1121"/>
        <v>Northern Cardinal</v>
      </c>
      <c r="C4558" s="6">
        <f t="shared" si="1121"/>
        <v>0.29166666666666669</v>
      </c>
      <c r="D4558" s="5"/>
      <c r="E4558" s="5"/>
      <c r="F4558" s="5" t="str">
        <f t="shared" ref="F4558:G4558" si="1122">F4557</f>
        <v>None</v>
      </c>
      <c r="G4558" s="15" t="str">
        <f t="shared" si="1122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23">A4558</f>
        <v>45972</v>
      </c>
      <c r="B4559" s="5" t="str">
        <f t="shared" si="1123"/>
        <v>Northern Cardinal</v>
      </c>
      <c r="C4559" s="6">
        <f t="shared" si="1123"/>
        <v>0.29166666666666669</v>
      </c>
      <c r="D4559" s="5"/>
      <c r="E4559" s="5"/>
      <c r="F4559" s="5" t="str">
        <f t="shared" ref="F4559:G4559" si="1124">F4558</f>
        <v>None</v>
      </c>
      <c r="G4559" s="15" t="str">
        <f t="shared" si="1124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25">A4559</f>
        <v>45972</v>
      </c>
      <c r="B4560" s="5" t="str">
        <f t="shared" si="1125"/>
        <v>Northern Cardinal</v>
      </c>
      <c r="C4560" s="6">
        <f t="shared" si="1125"/>
        <v>0.29166666666666669</v>
      </c>
      <c r="D4560" s="5"/>
      <c r="E4560" s="5"/>
      <c r="F4560" s="5" t="str">
        <f t="shared" ref="F4560:G4560" si="1126">F4559</f>
        <v>None</v>
      </c>
      <c r="G4560" s="15" t="str">
        <f t="shared" si="1126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27">A4560</f>
        <v>45972</v>
      </c>
      <c r="B4561" s="5" t="str">
        <f t="shared" si="1127"/>
        <v>Northern Cardinal</v>
      </c>
      <c r="C4561" s="6">
        <f t="shared" si="1127"/>
        <v>0.29166666666666669</v>
      </c>
      <c r="D4561" s="5"/>
      <c r="E4561" s="5"/>
      <c r="F4561" s="5" t="str">
        <f t="shared" ref="F4561:G4561" si="1128">F4560</f>
        <v>None</v>
      </c>
      <c r="G4561" s="15" t="str">
        <f t="shared" si="1128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29">A4561</f>
        <v>45972</v>
      </c>
      <c r="B4562" s="5" t="str">
        <f t="shared" si="1129"/>
        <v>Northern Cardinal</v>
      </c>
      <c r="C4562" s="6">
        <f t="shared" si="1129"/>
        <v>0.29166666666666669</v>
      </c>
      <c r="D4562" s="5"/>
      <c r="E4562" s="5"/>
      <c r="F4562" s="5" t="str">
        <f t="shared" ref="F4562:G4562" si="1130">F4561</f>
        <v>None</v>
      </c>
      <c r="G4562" s="15" t="str">
        <f t="shared" si="1130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31">A4562</f>
        <v>45972</v>
      </c>
      <c r="B4563" s="5" t="str">
        <f t="shared" si="1131"/>
        <v>Northern Cardinal</v>
      </c>
      <c r="C4563" s="6">
        <f t="shared" si="1131"/>
        <v>0.29166666666666669</v>
      </c>
      <c r="D4563" s="5"/>
      <c r="E4563" s="5"/>
      <c r="F4563" s="5" t="str">
        <f t="shared" ref="F4563:G4563" si="1132">F4562</f>
        <v>None</v>
      </c>
      <c r="G4563" s="15" t="str">
        <f t="shared" si="1132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33">A4563</f>
        <v>45972</v>
      </c>
      <c r="B4564" s="5" t="str">
        <f t="shared" si="1133"/>
        <v>Northern Cardinal</v>
      </c>
      <c r="C4564" s="6">
        <f t="shared" si="1133"/>
        <v>0.29166666666666669</v>
      </c>
      <c r="D4564" s="5"/>
      <c r="E4564" s="5"/>
      <c r="F4564" s="5" t="str">
        <f t="shared" ref="F4564:G4564" si="1134">F4563</f>
        <v>None</v>
      </c>
      <c r="G4564" s="15" t="str">
        <f t="shared" si="1134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35">A4564</f>
        <v>45972</v>
      </c>
      <c r="B4565" s="5" t="str">
        <f t="shared" si="1135"/>
        <v>Northern Cardinal</v>
      </c>
      <c r="C4565" s="6">
        <f t="shared" si="1135"/>
        <v>0.29166666666666669</v>
      </c>
      <c r="D4565" s="5"/>
      <c r="E4565" s="5"/>
      <c r="F4565" s="5" t="str">
        <f t="shared" ref="F4565:G4565" si="1136">F4564</f>
        <v>None</v>
      </c>
      <c r="G4565" s="15" t="str">
        <f t="shared" si="1136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37">A4565</f>
        <v>45972</v>
      </c>
      <c r="B4566" s="5" t="str">
        <f t="shared" si="1137"/>
        <v>Northern Cardinal</v>
      </c>
      <c r="C4566" s="6">
        <f t="shared" si="1137"/>
        <v>0.29166666666666669</v>
      </c>
      <c r="D4566" s="5"/>
      <c r="E4566" s="5"/>
      <c r="F4566" s="5" t="str">
        <f t="shared" ref="F4566:G4566" si="1138">F4565</f>
        <v>None</v>
      </c>
      <c r="G4566" s="15" t="str">
        <f t="shared" si="1138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39">A4566</f>
        <v>45972</v>
      </c>
      <c r="B4567" s="5" t="str">
        <f t="shared" si="1139"/>
        <v>Northern Cardinal</v>
      </c>
      <c r="C4567" s="6">
        <f t="shared" si="1139"/>
        <v>0.29166666666666669</v>
      </c>
      <c r="D4567" s="5"/>
      <c r="E4567" s="5"/>
      <c r="F4567" s="5" t="str">
        <f t="shared" ref="F4567:G4567" si="1140">F4566</f>
        <v>None</v>
      </c>
      <c r="G4567" s="15" t="str">
        <f t="shared" si="1140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41">A4567</f>
        <v>45972</v>
      </c>
      <c r="B4568" s="5" t="str">
        <f t="shared" si="1141"/>
        <v>Northern Cardinal</v>
      </c>
      <c r="C4568" s="6">
        <f t="shared" si="1141"/>
        <v>0.29166666666666669</v>
      </c>
      <c r="D4568" s="5"/>
      <c r="E4568" s="5"/>
      <c r="F4568" s="5" t="str">
        <f t="shared" ref="F4568:G4568" si="1142">F4567</f>
        <v>None</v>
      </c>
      <c r="G4568" s="15" t="str">
        <f t="shared" si="1142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43">A4568</f>
        <v>45972</v>
      </c>
      <c r="B4569" s="5" t="str">
        <f t="shared" si="1143"/>
        <v>Northern Cardinal</v>
      </c>
      <c r="C4569" s="6">
        <f t="shared" si="1143"/>
        <v>0.29166666666666669</v>
      </c>
      <c r="D4569" s="5"/>
      <c r="E4569" s="5"/>
      <c r="F4569" s="5" t="str">
        <f t="shared" ref="F4569:G4569" si="1144">F4568</f>
        <v>None</v>
      </c>
      <c r="G4569" s="15" t="str">
        <f t="shared" si="1144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45">A4569</f>
        <v>45972</v>
      </c>
      <c r="B4570" s="5" t="str">
        <f t="shared" si="1145"/>
        <v>Northern Cardinal</v>
      </c>
      <c r="C4570" s="6">
        <f t="shared" si="1145"/>
        <v>0.29166666666666669</v>
      </c>
      <c r="D4570" s="5"/>
      <c r="E4570" s="5"/>
      <c r="F4570" s="5" t="str">
        <f t="shared" ref="F4570:G4570" si="1146">F4569</f>
        <v>None</v>
      </c>
      <c r="G4570" s="15" t="str">
        <f t="shared" si="1146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47">A4570</f>
        <v>45972</v>
      </c>
      <c r="B4571" s="5" t="str">
        <f t="shared" si="1147"/>
        <v>Northern Cardinal</v>
      </c>
      <c r="C4571" s="6">
        <f t="shared" si="1147"/>
        <v>0.29166666666666669</v>
      </c>
      <c r="D4571" s="5"/>
      <c r="E4571" s="5"/>
      <c r="F4571" s="5" t="str">
        <f t="shared" ref="F4571:G4571" si="1148">F4570</f>
        <v>None</v>
      </c>
      <c r="G4571" s="15" t="str">
        <f t="shared" si="1148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49">A4571</f>
        <v>45972</v>
      </c>
      <c r="B4572" s="5" t="str">
        <f t="shared" si="1149"/>
        <v>Northern Cardinal</v>
      </c>
      <c r="C4572" s="6">
        <f t="shared" si="1149"/>
        <v>0.29166666666666669</v>
      </c>
      <c r="D4572" s="5"/>
      <c r="E4572" s="5"/>
      <c r="F4572" s="5" t="str">
        <f t="shared" ref="F4572:G4572" si="1150">F4571</f>
        <v>None</v>
      </c>
      <c r="G4572" s="15" t="str">
        <f t="shared" si="1150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51">A4572</f>
        <v>45972</v>
      </c>
      <c r="B4573" s="5" t="str">
        <f t="shared" si="1151"/>
        <v>Northern Cardinal</v>
      </c>
      <c r="C4573" s="6">
        <f t="shared" si="1151"/>
        <v>0.29166666666666669</v>
      </c>
      <c r="D4573" s="5"/>
      <c r="E4573" s="5"/>
      <c r="F4573" s="5" t="str">
        <f t="shared" ref="F4573:G4573" si="1152">F4572</f>
        <v>None</v>
      </c>
      <c r="G4573" s="15" t="str">
        <f t="shared" si="1152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53">A4573</f>
        <v>45972</v>
      </c>
      <c r="B4574" s="5" t="str">
        <f t="shared" si="1153"/>
        <v>Northern Cardinal</v>
      </c>
      <c r="C4574" s="6">
        <f t="shared" si="1153"/>
        <v>0.29166666666666669</v>
      </c>
      <c r="D4574" s="5"/>
      <c r="E4574" s="5"/>
      <c r="F4574" s="5" t="str">
        <f t="shared" ref="F4574:G4574" si="1154">F4573</f>
        <v>None</v>
      </c>
      <c r="G4574" s="15" t="str">
        <f t="shared" si="1154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55">A4574</f>
        <v>45972</v>
      </c>
      <c r="B4575" s="5" t="str">
        <f t="shared" si="1155"/>
        <v>Northern Cardinal</v>
      </c>
      <c r="C4575" s="6">
        <f t="shared" si="1155"/>
        <v>0.29166666666666669</v>
      </c>
      <c r="D4575" s="5"/>
      <c r="E4575" s="5"/>
      <c r="F4575" s="5" t="str">
        <f t="shared" ref="F4575:G4575" si="1156">F4574</f>
        <v>None</v>
      </c>
      <c r="G4575" s="15" t="str">
        <f t="shared" si="1156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57">A4575</f>
        <v>45972</v>
      </c>
      <c r="B4576" s="5" t="str">
        <f t="shared" si="1157"/>
        <v>Northern Cardinal</v>
      </c>
      <c r="C4576" s="6">
        <f t="shared" si="1157"/>
        <v>0.29166666666666669</v>
      </c>
      <c r="D4576" s="5"/>
      <c r="E4576" s="5"/>
      <c r="F4576" s="5" t="str">
        <f t="shared" ref="F4576:G4576" si="1158">F4575</f>
        <v>None</v>
      </c>
      <c r="G4576" s="15" t="str">
        <f t="shared" si="1158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59">A4576</f>
        <v>45972</v>
      </c>
      <c r="B4577" s="5" t="str">
        <f t="shared" si="1159"/>
        <v>Northern Cardinal</v>
      </c>
      <c r="C4577" s="6">
        <f t="shared" si="1159"/>
        <v>0.29166666666666669</v>
      </c>
      <c r="D4577" s="5"/>
      <c r="E4577" s="5"/>
      <c r="F4577" s="5" t="str">
        <f t="shared" ref="F4577:G4577" si="1160">F4576</f>
        <v>None</v>
      </c>
      <c r="G4577" s="15" t="str">
        <f t="shared" si="1160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61">A4577</f>
        <v>45972</v>
      </c>
      <c r="B4578" s="5" t="str">
        <f t="shared" si="1161"/>
        <v>Northern Cardinal</v>
      </c>
      <c r="C4578" s="6">
        <f t="shared" si="1161"/>
        <v>0.29166666666666669</v>
      </c>
      <c r="D4578" s="5"/>
      <c r="E4578" s="5"/>
      <c r="F4578" s="5" t="str">
        <f t="shared" ref="F4578:G4578" si="1162">F4577</f>
        <v>None</v>
      </c>
      <c r="G4578" s="15" t="str">
        <f t="shared" si="1162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63">A4578</f>
        <v>45972</v>
      </c>
      <c r="B4579" s="5" t="str">
        <f t="shared" si="1163"/>
        <v>Northern Cardinal</v>
      </c>
      <c r="C4579" s="6">
        <f t="shared" si="1163"/>
        <v>0.29166666666666669</v>
      </c>
      <c r="D4579" s="5"/>
      <c r="E4579" s="5"/>
      <c r="F4579" s="5" t="str">
        <f t="shared" ref="F4579:G4579" si="1164">F4578</f>
        <v>None</v>
      </c>
      <c r="G4579" s="15" t="str">
        <f t="shared" si="1164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65">A4579</f>
        <v>45972</v>
      </c>
      <c r="B4580" s="5" t="str">
        <f t="shared" si="1165"/>
        <v>Northern Cardinal</v>
      </c>
      <c r="C4580" s="6">
        <f t="shared" si="1165"/>
        <v>0.29166666666666669</v>
      </c>
      <c r="D4580" s="5"/>
      <c r="E4580" s="5"/>
      <c r="F4580" s="5" t="str">
        <f t="shared" ref="F4580:G4580" si="1166">F4579</f>
        <v>None</v>
      </c>
      <c r="G4580" s="15" t="str">
        <f t="shared" si="1166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67">A4580</f>
        <v>45972</v>
      </c>
      <c r="B4581" s="5" t="str">
        <f t="shared" si="1167"/>
        <v>Northern Cardinal</v>
      </c>
      <c r="C4581" s="6">
        <f t="shared" si="1167"/>
        <v>0.29166666666666669</v>
      </c>
      <c r="D4581" s="5"/>
      <c r="E4581" s="5"/>
      <c r="F4581" s="5" t="str">
        <f t="shared" ref="F4581:G4581" si="1168">F4580</f>
        <v>None</v>
      </c>
      <c r="G4581" s="15" t="str">
        <f t="shared" si="1168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69">A4581</f>
        <v>45972</v>
      </c>
      <c r="B4582" s="5" t="str">
        <f t="shared" si="1169"/>
        <v>Northern Cardinal</v>
      </c>
      <c r="C4582" s="6">
        <f t="shared" si="1169"/>
        <v>0.29166666666666669</v>
      </c>
      <c r="D4582" s="5"/>
      <c r="E4582" s="5"/>
      <c r="F4582" s="5" t="str">
        <f t="shared" ref="F4582:G4582" si="1170">F4581</f>
        <v>None</v>
      </c>
      <c r="G4582" s="15" t="str">
        <f t="shared" si="1170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71">A4582</f>
        <v>45972</v>
      </c>
      <c r="B4583" s="5" t="str">
        <f t="shared" si="1171"/>
        <v>Northern Cardinal</v>
      </c>
      <c r="C4583" s="6">
        <f t="shared" si="1171"/>
        <v>0.29166666666666669</v>
      </c>
      <c r="D4583" s="5"/>
      <c r="E4583" s="5"/>
      <c r="F4583" s="5" t="str">
        <f t="shared" ref="F4583:G4583" si="1172">F4582</f>
        <v>None</v>
      </c>
      <c r="G4583" s="15" t="str">
        <f t="shared" si="1172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73">A4583</f>
        <v>45972</v>
      </c>
      <c r="B4584" s="5" t="str">
        <f t="shared" si="1173"/>
        <v>Northern Cardinal</v>
      </c>
      <c r="C4584" s="6">
        <f t="shared" si="1173"/>
        <v>0.29166666666666669</v>
      </c>
      <c r="D4584" s="5"/>
      <c r="E4584" s="5"/>
      <c r="F4584" s="5" t="str">
        <f t="shared" ref="F4584:G4584" si="1174">F4583</f>
        <v>None</v>
      </c>
      <c r="G4584" s="15" t="str">
        <f t="shared" si="1174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75">A4584</f>
        <v>45972</v>
      </c>
      <c r="B4585" s="5" t="str">
        <f t="shared" si="1175"/>
        <v>Northern Cardinal</v>
      </c>
      <c r="C4585" s="6">
        <f t="shared" si="1175"/>
        <v>0.29166666666666669</v>
      </c>
      <c r="D4585" s="5"/>
      <c r="E4585" s="5"/>
      <c r="F4585" s="5" t="str">
        <f t="shared" ref="F4585:G4585" si="1176">F4584</f>
        <v>None</v>
      </c>
      <c r="G4585" s="15" t="str">
        <f t="shared" si="1176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77">A4585</f>
        <v>45972</v>
      </c>
      <c r="B4586" s="5" t="str">
        <f t="shared" si="1177"/>
        <v>Northern Cardinal</v>
      </c>
      <c r="C4586" s="6">
        <f t="shared" si="1177"/>
        <v>0.29166666666666669</v>
      </c>
      <c r="D4586" s="5"/>
      <c r="E4586" s="5"/>
      <c r="F4586" s="5" t="str">
        <f t="shared" ref="F4586:G4586" si="1178">F4585</f>
        <v>None</v>
      </c>
      <c r="G4586" s="15" t="str">
        <f t="shared" si="1178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79">A4586</f>
        <v>45972</v>
      </c>
      <c r="B4587" s="5" t="str">
        <f t="shared" si="1179"/>
        <v>Northern Cardinal</v>
      </c>
      <c r="C4587" s="6">
        <f t="shared" si="1179"/>
        <v>0.29166666666666669</v>
      </c>
      <c r="D4587" s="5"/>
      <c r="E4587" s="5"/>
      <c r="F4587" s="5" t="str">
        <f t="shared" ref="F4587:G4587" si="1180">F4586</f>
        <v>None</v>
      </c>
      <c r="G4587" s="15" t="str">
        <f t="shared" si="1180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81">A4587</f>
        <v>45972</v>
      </c>
      <c r="B4588" s="5" t="str">
        <f t="shared" si="1181"/>
        <v>Northern Cardinal</v>
      </c>
      <c r="C4588" s="6">
        <f t="shared" si="1181"/>
        <v>0.29166666666666669</v>
      </c>
      <c r="D4588" s="5"/>
      <c r="E4588" s="5"/>
      <c r="F4588" s="5" t="str">
        <f t="shared" ref="F4588:G4588" si="1182">F4587</f>
        <v>None</v>
      </c>
      <c r="G4588" s="15" t="str">
        <f t="shared" si="1182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83">A4588</f>
        <v>45972</v>
      </c>
      <c r="B4589" s="5" t="str">
        <f t="shared" si="1183"/>
        <v>Northern Cardinal</v>
      </c>
      <c r="C4589" s="6">
        <f t="shared" si="1183"/>
        <v>0.29166666666666669</v>
      </c>
      <c r="D4589" s="5"/>
      <c r="E4589" s="5"/>
      <c r="F4589" s="5" t="str">
        <f t="shared" ref="F4589:G4589" si="1184">F4588</f>
        <v>None</v>
      </c>
      <c r="G4589" s="15" t="str">
        <f t="shared" si="1184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85">A4589</f>
        <v>45972</v>
      </c>
      <c r="B4590" s="5" t="str">
        <f t="shared" si="1185"/>
        <v>Northern Cardinal</v>
      </c>
      <c r="C4590" s="6">
        <f t="shared" si="1185"/>
        <v>0.29166666666666669</v>
      </c>
      <c r="D4590" s="5"/>
      <c r="E4590" s="5"/>
      <c r="F4590" s="5" t="str">
        <f t="shared" ref="F4590:G4590" si="1186">F4589</f>
        <v>None</v>
      </c>
      <c r="G4590" s="15" t="str">
        <f t="shared" si="1186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87">A4590</f>
        <v>45972</v>
      </c>
      <c r="B4591" s="5" t="str">
        <f t="shared" si="1187"/>
        <v>Northern Cardinal</v>
      </c>
      <c r="C4591" s="6">
        <f t="shared" si="1187"/>
        <v>0.29166666666666669</v>
      </c>
      <c r="D4591" s="5"/>
      <c r="E4591" s="5"/>
      <c r="F4591" s="5" t="str">
        <f t="shared" ref="F4591:G4591" si="1188">F4590</f>
        <v>None</v>
      </c>
      <c r="G4591" s="15" t="str">
        <f t="shared" si="1188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89">A4591</f>
        <v>45972</v>
      </c>
      <c r="B4592" s="5" t="str">
        <f t="shared" si="1189"/>
        <v>Northern Cardinal</v>
      </c>
      <c r="C4592" s="6">
        <f t="shared" si="1189"/>
        <v>0.29166666666666669</v>
      </c>
      <c r="D4592" s="5"/>
      <c r="E4592" s="5"/>
      <c r="F4592" s="5" t="str">
        <f t="shared" ref="F4592:G4592" si="1190">F4591</f>
        <v>None</v>
      </c>
      <c r="G4592" s="15" t="str">
        <f t="shared" si="1190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191">A4592</f>
        <v>45972</v>
      </c>
      <c r="B4593" s="5" t="str">
        <f t="shared" si="1191"/>
        <v>Northern Cardinal</v>
      </c>
      <c r="C4593" s="6">
        <f t="shared" si="1191"/>
        <v>0.29166666666666669</v>
      </c>
      <c r="D4593" s="5"/>
      <c r="E4593" s="5"/>
      <c r="F4593" s="5" t="str">
        <f t="shared" ref="F4593:G4593" si="1192">F4592</f>
        <v>None</v>
      </c>
      <c r="G4593" s="15" t="str">
        <f t="shared" si="1192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193">A4593</f>
        <v>45972</v>
      </c>
      <c r="B4594" s="5" t="str">
        <f t="shared" si="1193"/>
        <v>Northern Cardinal</v>
      </c>
      <c r="C4594" s="6">
        <f t="shared" si="1193"/>
        <v>0.29166666666666669</v>
      </c>
      <c r="D4594" s="5"/>
      <c r="E4594" s="5"/>
      <c r="F4594" s="5" t="str">
        <f t="shared" ref="F4594:G4594" si="1194">F4593</f>
        <v>None</v>
      </c>
      <c r="G4594" s="15" t="str">
        <f t="shared" si="1194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195">A4594</f>
        <v>45972</v>
      </c>
      <c r="B4595" s="5" t="str">
        <f t="shared" si="1195"/>
        <v>Northern Cardinal</v>
      </c>
      <c r="C4595" s="6">
        <f t="shared" si="1195"/>
        <v>0.29166666666666669</v>
      </c>
      <c r="D4595" s="5"/>
      <c r="E4595" s="5"/>
      <c r="F4595" s="5" t="str">
        <f t="shared" ref="F4595:G4595" si="1196">F4594</f>
        <v>None</v>
      </c>
      <c r="G4595" s="15" t="str">
        <f t="shared" si="1196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197">A4595</f>
        <v>45972</v>
      </c>
      <c r="B4596" s="5" t="str">
        <f t="shared" si="1197"/>
        <v>Northern Cardinal</v>
      </c>
      <c r="C4596" s="6">
        <f t="shared" si="1197"/>
        <v>0.29166666666666669</v>
      </c>
      <c r="D4596" s="5"/>
      <c r="E4596" s="5"/>
      <c r="F4596" s="5" t="str">
        <f t="shared" ref="F4596:G4596" si="1198">F4595</f>
        <v>None</v>
      </c>
      <c r="G4596" s="15" t="str">
        <f t="shared" si="1198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199">A4596</f>
        <v>45972</v>
      </c>
      <c r="B4597" s="5" t="str">
        <f t="shared" si="1199"/>
        <v>Northern Cardinal</v>
      </c>
      <c r="C4597" s="6">
        <f t="shared" si="1199"/>
        <v>0.29166666666666669</v>
      </c>
      <c r="D4597" s="5"/>
      <c r="E4597" s="5"/>
      <c r="F4597" s="5" t="str">
        <f t="shared" ref="F4597:G4597" si="1200">F4596</f>
        <v>None</v>
      </c>
      <c r="G4597" s="15" t="str">
        <f t="shared" si="1200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01">A4597</f>
        <v>45972</v>
      </c>
      <c r="B4598" s="5" t="str">
        <f t="shared" si="1201"/>
        <v>Northern Cardinal</v>
      </c>
      <c r="C4598" s="6">
        <f t="shared" si="1201"/>
        <v>0.29166666666666669</v>
      </c>
      <c r="D4598" s="5"/>
      <c r="E4598" s="5"/>
      <c r="F4598" s="5" t="str">
        <f t="shared" ref="F4598:G4598" si="1202">F4597</f>
        <v>None</v>
      </c>
      <c r="G4598" s="15" t="str">
        <f t="shared" si="1202"/>
        <v>None</v>
      </c>
      <c r="H4598" s="24">
        <f t="shared" si="961"/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03">A4598</f>
        <v>45972</v>
      </c>
      <c r="B4599" s="5" t="str">
        <f t="shared" si="1203"/>
        <v>Northern Cardinal</v>
      </c>
      <c r="C4599" s="6">
        <f t="shared" si="1203"/>
        <v>0.29166666666666669</v>
      </c>
      <c r="D4599" s="5"/>
      <c r="E4599" s="5"/>
      <c r="F4599" s="5" t="str">
        <f t="shared" ref="F4599:G4599" si="1204">F4598</f>
        <v>None</v>
      </c>
      <c r="G4599" s="15" t="str">
        <f t="shared" si="1204"/>
        <v>None</v>
      </c>
      <c r="H4599" s="24">
        <f t="shared" ref="H4599:H4662" si="1205">IFERROR((($A4599+$C4599) - ($A4598+$C4598))*24*60, "")</f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06">A4599</f>
        <v>45972</v>
      </c>
      <c r="B4600" s="5" t="str">
        <f t="shared" si="1206"/>
        <v>Northern Cardinal</v>
      </c>
      <c r="C4600" s="6">
        <f t="shared" si="1206"/>
        <v>0.29166666666666669</v>
      </c>
      <c r="D4600" s="5"/>
      <c r="E4600" s="5"/>
      <c r="F4600" s="5" t="str">
        <f t="shared" ref="F4600:G4600" si="1207">F4599</f>
        <v>None</v>
      </c>
      <c r="G4600" s="15" t="str">
        <f t="shared" si="1207"/>
        <v>None</v>
      </c>
      <c r="H4600" s="24">
        <f t="shared" si="1205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08">A4600</f>
        <v>45972</v>
      </c>
      <c r="B4601" s="5" t="str">
        <f t="shared" si="1208"/>
        <v>Northern Cardinal</v>
      </c>
      <c r="C4601" s="6">
        <f t="shared" si="1208"/>
        <v>0.29166666666666669</v>
      </c>
      <c r="D4601" s="5"/>
      <c r="E4601" s="5"/>
      <c r="F4601" s="5" t="str">
        <f t="shared" ref="F4601:G4601" si="1209">F4600</f>
        <v>None</v>
      </c>
      <c r="G4601" s="15" t="str">
        <f t="shared" si="1209"/>
        <v>None</v>
      </c>
      <c r="H4601" s="24">
        <f t="shared" si="1205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10">A4601</f>
        <v>45972</v>
      </c>
      <c r="B4602" s="5" t="str">
        <f t="shared" si="1210"/>
        <v>Northern Cardinal</v>
      </c>
      <c r="C4602" s="6">
        <f t="shared" si="1210"/>
        <v>0.29166666666666669</v>
      </c>
      <c r="D4602" s="5"/>
      <c r="E4602" s="5"/>
      <c r="F4602" s="5" t="str">
        <f t="shared" ref="F4602:G4602" si="1211">F4601</f>
        <v>None</v>
      </c>
      <c r="G4602" s="15" t="str">
        <f t="shared" si="1211"/>
        <v>None</v>
      </c>
      <c r="H4602" s="24">
        <f t="shared" si="1205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12">A4602</f>
        <v>45972</v>
      </c>
      <c r="B4603" s="5" t="str">
        <f t="shared" si="1212"/>
        <v>Northern Cardinal</v>
      </c>
      <c r="C4603" s="6">
        <f t="shared" si="1212"/>
        <v>0.29166666666666669</v>
      </c>
      <c r="D4603" s="5"/>
      <c r="E4603" s="5"/>
      <c r="F4603" s="5" t="str">
        <f t="shared" ref="F4603:G4603" si="1213">F4602</f>
        <v>None</v>
      </c>
      <c r="G4603" s="15" t="str">
        <f t="shared" si="1213"/>
        <v>None</v>
      </c>
      <c r="H4603" s="24">
        <f t="shared" si="1205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14">A4603</f>
        <v>45972</v>
      </c>
      <c r="B4604" s="5" t="str">
        <f t="shared" si="1214"/>
        <v>Northern Cardinal</v>
      </c>
      <c r="C4604" s="6">
        <f t="shared" si="1214"/>
        <v>0.29166666666666669</v>
      </c>
      <c r="D4604" s="5"/>
      <c r="E4604" s="5"/>
      <c r="F4604" s="5" t="str">
        <f t="shared" ref="F4604:G4604" si="1215">F4603</f>
        <v>None</v>
      </c>
      <c r="G4604" s="15" t="str">
        <f t="shared" si="1215"/>
        <v>None</v>
      </c>
      <c r="H4604" s="24">
        <f t="shared" si="1205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16">A4604</f>
        <v>45972</v>
      </c>
      <c r="B4605" s="5" t="str">
        <f t="shared" si="1216"/>
        <v>Northern Cardinal</v>
      </c>
      <c r="C4605" s="6">
        <f t="shared" si="1216"/>
        <v>0.29166666666666669</v>
      </c>
      <c r="D4605" s="5"/>
      <c r="E4605" s="5"/>
      <c r="F4605" s="5" t="str">
        <f t="shared" ref="F4605:G4605" si="1217">F4604</f>
        <v>None</v>
      </c>
      <c r="G4605" s="15" t="str">
        <f t="shared" si="1217"/>
        <v>None</v>
      </c>
      <c r="H4605" s="24">
        <f t="shared" si="1205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18">A4605</f>
        <v>45972</v>
      </c>
      <c r="B4606" s="5" t="str">
        <f t="shared" si="1218"/>
        <v>Northern Cardinal</v>
      </c>
      <c r="C4606" s="6">
        <f t="shared" si="1218"/>
        <v>0.29166666666666669</v>
      </c>
      <c r="D4606" s="5"/>
      <c r="E4606" s="5"/>
      <c r="F4606" s="5" t="str">
        <f t="shared" ref="F4606:G4606" si="1219">F4605</f>
        <v>None</v>
      </c>
      <c r="G4606" s="15" t="str">
        <f t="shared" si="1219"/>
        <v>None</v>
      </c>
      <c r="H4606" s="24">
        <f t="shared" si="1205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20">A4606</f>
        <v>45972</v>
      </c>
      <c r="B4607" s="5" t="str">
        <f t="shared" si="1220"/>
        <v>Northern Cardinal</v>
      </c>
      <c r="C4607" s="6">
        <f t="shared" si="1220"/>
        <v>0.29166666666666669</v>
      </c>
      <c r="D4607" s="5"/>
      <c r="E4607" s="5"/>
      <c r="F4607" s="5" t="str">
        <f t="shared" ref="F4607:G4607" si="1221">F4606</f>
        <v>None</v>
      </c>
      <c r="G4607" s="15" t="str">
        <f t="shared" si="1221"/>
        <v>None</v>
      </c>
      <c r="H4607" s="24">
        <f t="shared" si="1205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22">A4607</f>
        <v>45972</v>
      </c>
      <c r="B4608" s="5" t="str">
        <f t="shared" si="1222"/>
        <v>Northern Cardinal</v>
      </c>
      <c r="C4608" s="6">
        <f t="shared" si="1222"/>
        <v>0.29166666666666669</v>
      </c>
      <c r="D4608" s="5"/>
      <c r="E4608" s="5"/>
      <c r="F4608" s="5" t="str">
        <f t="shared" ref="F4608:G4608" si="1223">F4607</f>
        <v>None</v>
      </c>
      <c r="G4608" s="15" t="str">
        <f t="shared" si="1223"/>
        <v>None</v>
      </c>
      <c r="H4608" s="24">
        <f t="shared" si="1205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24">A4608</f>
        <v>45972</v>
      </c>
      <c r="B4609" s="5" t="str">
        <f t="shared" si="1224"/>
        <v>Northern Cardinal</v>
      </c>
      <c r="C4609" s="6">
        <f t="shared" si="1224"/>
        <v>0.29166666666666669</v>
      </c>
      <c r="D4609" s="5"/>
      <c r="E4609" s="5"/>
      <c r="F4609" s="5" t="str">
        <f t="shared" ref="F4609:G4609" si="1225">F4608</f>
        <v>None</v>
      </c>
      <c r="G4609" s="15" t="str">
        <f t="shared" si="1225"/>
        <v>None</v>
      </c>
      <c r="H4609" s="24">
        <f t="shared" si="1205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26">A4609</f>
        <v>45972</v>
      </c>
      <c r="B4610" s="5" t="str">
        <f t="shared" si="1226"/>
        <v>Northern Cardinal</v>
      </c>
      <c r="C4610" s="6">
        <f t="shared" si="1226"/>
        <v>0.29166666666666669</v>
      </c>
      <c r="D4610" s="5"/>
      <c r="E4610" s="5"/>
      <c r="F4610" s="5" t="str">
        <f t="shared" ref="F4610:G4610" si="1227">F4609</f>
        <v>None</v>
      </c>
      <c r="G4610" s="15" t="str">
        <f t="shared" si="1227"/>
        <v>None</v>
      </c>
      <c r="H4610" s="24">
        <f t="shared" si="1205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28">A4610</f>
        <v>45972</v>
      </c>
      <c r="B4611" s="5" t="str">
        <f t="shared" si="1228"/>
        <v>Northern Cardinal</v>
      </c>
      <c r="C4611" s="6">
        <f t="shared" si="1228"/>
        <v>0.29166666666666669</v>
      </c>
      <c r="D4611" s="5"/>
      <c r="E4611" s="5"/>
      <c r="F4611" s="5" t="str">
        <f t="shared" ref="F4611:G4611" si="1229">F4610</f>
        <v>None</v>
      </c>
      <c r="G4611" s="15" t="str">
        <f t="shared" si="1229"/>
        <v>None</v>
      </c>
      <c r="H4611" s="24">
        <f t="shared" si="1205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30">A4611</f>
        <v>45972</v>
      </c>
      <c r="B4612" s="5" t="str">
        <f t="shared" si="1230"/>
        <v>Northern Cardinal</v>
      </c>
      <c r="C4612" s="6">
        <f t="shared" si="1230"/>
        <v>0.29166666666666669</v>
      </c>
      <c r="D4612" s="5"/>
      <c r="E4612" s="5"/>
      <c r="F4612" s="5" t="str">
        <f t="shared" ref="F4612:G4612" si="1231">F4611</f>
        <v>None</v>
      </c>
      <c r="G4612" s="15" t="str">
        <f t="shared" si="1231"/>
        <v>None</v>
      </c>
      <c r="H4612" s="24">
        <f t="shared" si="1205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32">A4612</f>
        <v>45972</v>
      </c>
      <c r="B4613" s="5" t="str">
        <f t="shared" si="1232"/>
        <v>Northern Cardinal</v>
      </c>
      <c r="C4613" s="6">
        <f t="shared" si="1232"/>
        <v>0.29166666666666669</v>
      </c>
      <c r="D4613" s="5"/>
      <c r="E4613" s="5"/>
      <c r="F4613" s="5" t="str">
        <f t="shared" ref="F4613:G4613" si="1233">F4612</f>
        <v>None</v>
      </c>
      <c r="G4613" s="15" t="str">
        <f t="shared" si="1233"/>
        <v>None</v>
      </c>
      <c r="H4613" s="24">
        <f t="shared" si="1205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34">A4613</f>
        <v>45972</v>
      </c>
      <c r="B4614" s="5" t="str">
        <f t="shared" si="1234"/>
        <v>Northern Cardinal</v>
      </c>
      <c r="C4614" s="6">
        <f t="shared" si="1234"/>
        <v>0.29166666666666669</v>
      </c>
      <c r="D4614" s="5"/>
      <c r="E4614" s="5"/>
      <c r="F4614" s="5" t="str">
        <f t="shared" ref="F4614:G4614" si="1235">F4613</f>
        <v>None</v>
      </c>
      <c r="G4614" s="15" t="str">
        <f t="shared" si="1235"/>
        <v>None</v>
      </c>
      <c r="H4614" s="24">
        <f t="shared" si="1205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36">A4614</f>
        <v>45972</v>
      </c>
      <c r="B4615" s="5" t="str">
        <f t="shared" si="1236"/>
        <v>Northern Cardinal</v>
      </c>
      <c r="C4615" s="6">
        <f t="shared" si="1236"/>
        <v>0.29166666666666669</v>
      </c>
      <c r="D4615" s="5"/>
      <c r="E4615" s="5"/>
      <c r="F4615" s="5" t="str">
        <f t="shared" ref="F4615:G4615" si="1237">F4614</f>
        <v>None</v>
      </c>
      <c r="G4615" s="15" t="str">
        <f t="shared" si="1237"/>
        <v>None</v>
      </c>
      <c r="H4615" s="24">
        <f t="shared" si="1205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38">A4615</f>
        <v>45972</v>
      </c>
      <c r="B4616" s="5" t="str">
        <f t="shared" si="1238"/>
        <v>Northern Cardinal</v>
      </c>
      <c r="C4616" s="6">
        <f t="shared" si="1238"/>
        <v>0.29166666666666669</v>
      </c>
      <c r="D4616" s="5"/>
      <c r="E4616" s="5"/>
      <c r="F4616" s="5" t="str">
        <f t="shared" ref="F4616:G4616" si="1239">F4615</f>
        <v>None</v>
      </c>
      <c r="G4616" s="15" t="str">
        <f t="shared" si="1239"/>
        <v>None</v>
      </c>
      <c r="H4616" s="24">
        <f t="shared" si="1205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40">A4616</f>
        <v>45972</v>
      </c>
      <c r="B4617" s="5" t="str">
        <f t="shared" si="1240"/>
        <v>Northern Cardinal</v>
      </c>
      <c r="C4617" s="6">
        <f t="shared" si="1240"/>
        <v>0.29166666666666669</v>
      </c>
      <c r="D4617" s="5"/>
      <c r="E4617" s="5"/>
      <c r="F4617" s="5" t="str">
        <f t="shared" ref="F4617:G4617" si="1241">F4616</f>
        <v>None</v>
      </c>
      <c r="G4617" s="15" t="str">
        <f t="shared" si="1241"/>
        <v>None</v>
      </c>
      <c r="H4617" s="24">
        <f t="shared" si="1205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42">A4617</f>
        <v>45972</v>
      </c>
      <c r="B4618" s="5" t="str">
        <f t="shared" si="1242"/>
        <v>Northern Cardinal</v>
      </c>
      <c r="C4618" s="6">
        <f t="shared" si="1242"/>
        <v>0.29166666666666669</v>
      </c>
      <c r="D4618" s="5"/>
      <c r="E4618" s="5"/>
      <c r="F4618" s="5" t="str">
        <f t="shared" ref="F4618:G4618" si="1243">F4617</f>
        <v>None</v>
      </c>
      <c r="G4618" s="15" t="str">
        <f t="shared" si="1243"/>
        <v>None</v>
      </c>
      <c r="H4618" s="24">
        <f t="shared" si="1205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44">A4618</f>
        <v>45972</v>
      </c>
      <c r="B4619" s="5" t="str">
        <f t="shared" si="1244"/>
        <v>Northern Cardinal</v>
      </c>
      <c r="C4619" s="6">
        <f t="shared" si="1244"/>
        <v>0.29166666666666669</v>
      </c>
      <c r="D4619" s="5"/>
      <c r="E4619" s="5"/>
      <c r="F4619" s="5" t="str">
        <f t="shared" ref="F4619:G4619" si="1245">F4618</f>
        <v>None</v>
      </c>
      <c r="G4619" s="15" t="str">
        <f t="shared" si="1245"/>
        <v>None</v>
      </c>
      <c r="H4619" s="24">
        <f t="shared" si="1205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46">A4619</f>
        <v>45972</v>
      </c>
      <c r="B4620" s="5" t="str">
        <f t="shared" si="1246"/>
        <v>Northern Cardinal</v>
      </c>
      <c r="C4620" s="6">
        <f t="shared" si="1246"/>
        <v>0.29166666666666669</v>
      </c>
      <c r="D4620" s="5"/>
      <c r="E4620" s="5"/>
      <c r="F4620" s="5" t="str">
        <f t="shared" ref="F4620:G4620" si="1247">F4619</f>
        <v>None</v>
      </c>
      <c r="G4620" s="15" t="str">
        <f t="shared" si="1247"/>
        <v>None</v>
      </c>
      <c r="H4620" s="24">
        <f t="shared" si="1205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48">A4620</f>
        <v>45972</v>
      </c>
      <c r="B4621" s="5" t="str">
        <f t="shared" si="1248"/>
        <v>Northern Cardinal</v>
      </c>
      <c r="C4621" s="6">
        <f t="shared" si="1248"/>
        <v>0.29166666666666669</v>
      </c>
      <c r="D4621" s="5"/>
      <c r="E4621" s="5"/>
      <c r="F4621" s="5" t="str">
        <f t="shared" ref="F4621:G4621" si="1249">F4620</f>
        <v>None</v>
      </c>
      <c r="G4621" s="15" t="str">
        <f t="shared" si="1249"/>
        <v>None</v>
      </c>
      <c r="H4621" s="24">
        <f t="shared" si="1205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50">A4621</f>
        <v>45972</v>
      </c>
      <c r="B4622" s="5" t="str">
        <f t="shared" si="1250"/>
        <v>Northern Cardinal</v>
      </c>
      <c r="C4622" s="6">
        <f t="shared" si="1250"/>
        <v>0.29166666666666669</v>
      </c>
      <c r="D4622" s="5"/>
      <c r="E4622" s="5"/>
      <c r="F4622" s="5" t="str">
        <f t="shared" ref="F4622:G4622" si="1251">F4621</f>
        <v>None</v>
      </c>
      <c r="G4622" s="15" t="str">
        <f t="shared" si="1251"/>
        <v>None</v>
      </c>
      <c r="H4622" s="24">
        <f t="shared" si="1205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52">A4622</f>
        <v>45972</v>
      </c>
      <c r="B4623" s="5" t="str">
        <f t="shared" si="1252"/>
        <v>Northern Cardinal</v>
      </c>
      <c r="C4623" s="6">
        <f t="shared" si="1252"/>
        <v>0.29166666666666669</v>
      </c>
      <c r="D4623" s="5"/>
      <c r="E4623" s="5"/>
      <c r="F4623" s="5" t="str">
        <f t="shared" ref="F4623:G4623" si="1253">F4622</f>
        <v>None</v>
      </c>
      <c r="G4623" s="15" t="str">
        <f t="shared" si="1253"/>
        <v>None</v>
      </c>
      <c r="H4623" s="24">
        <f t="shared" si="1205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54">A4623</f>
        <v>45972</v>
      </c>
      <c r="B4624" s="5" t="str">
        <f t="shared" si="1254"/>
        <v>Northern Cardinal</v>
      </c>
      <c r="C4624" s="6">
        <f t="shared" si="1254"/>
        <v>0.29166666666666669</v>
      </c>
      <c r="D4624" s="5"/>
      <c r="E4624" s="5"/>
      <c r="F4624" s="5" t="str">
        <f t="shared" ref="F4624:G4624" si="1255">F4623</f>
        <v>None</v>
      </c>
      <c r="G4624" s="15" t="str">
        <f t="shared" si="1255"/>
        <v>None</v>
      </c>
      <c r="H4624" s="24">
        <f t="shared" si="1205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56">A4624</f>
        <v>45972</v>
      </c>
      <c r="B4625" s="5" t="str">
        <f t="shared" si="1256"/>
        <v>Northern Cardinal</v>
      </c>
      <c r="C4625" s="6">
        <f t="shared" si="1256"/>
        <v>0.29166666666666669</v>
      </c>
      <c r="D4625" s="5"/>
      <c r="E4625" s="5"/>
      <c r="F4625" s="5" t="str">
        <f t="shared" ref="F4625:G4625" si="1257">F4624</f>
        <v>None</v>
      </c>
      <c r="G4625" s="15" t="str">
        <f t="shared" si="1257"/>
        <v>None</v>
      </c>
      <c r="H4625" s="24">
        <f t="shared" si="1205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58">A4625</f>
        <v>45972</v>
      </c>
      <c r="B4626" s="5" t="str">
        <f t="shared" si="1258"/>
        <v>Northern Cardinal</v>
      </c>
      <c r="C4626" s="6">
        <f t="shared" si="1258"/>
        <v>0.29166666666666669</v>
      </c>
      <c r="D4626" s="5"/>
      <c r="E4626" s="5"/>
      <c r="F4626" s="5" t="str">
        <f t="shared" ref="F4626:G4626" si="1259">F4625</f>
        <v>None</v>
      </c>
      <c r="G4626" s="15" t="str">
        <f t="shared" si="1259"/>
        <v>None</v>
      </c>
      <c r="H4626" s="24">
        <f t="shared" si="1205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60">A4626</f>
        <v>45972</v>
      </c>
      <c r="B4627" s="5" t="str">
        <f t="shared" si="1260"/>
        <v>Northern Cardinal</v>
      </c>
      <c r="C4627" s="6">
        <f t="shared" si="1260"/>
        <v>0.29166666666666669</v>
      </c>
      <c r="D4627" s="5"/>
      <c r="E4627" s="5"/>
      <c r="F4627" s="5" t="str">
        <f t="shared" ref="F4627:G4627" si="1261">F4626</f>
        <v>None</v>
      </c>
      <c r="G4627" s="15" t="str">
        <f t="shared" si="1261"/>
        <v>None</v>
      </c>
      <c r="H4627" s="24">
        <f t="shared" si="1205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262">A4627</f>
        <v>45972</v>
      </c>
      <c r="B4628" s="5" t="str">
        <f t="shared" si="1262"/>
        <v>Northern Cardinal</v>
      </c>
      <c r="C4628" s="6">
        <f t="shared" si="1262"/>
        <v>0.29166666666666669</v>
      </c>
      <c r="D4628" s="5"/>
      <c r="E4628" s="5"/>
      <c r="F4628" s="5" t="str">
        <f t="shared" ref="F4628:G4628" si="1263">F4627</f>
        <v>None</v>
      </c>
      <c r="G4628" s="15" t="str">
        <f t="shared" si="1263"/>
        <v>None</v>
      </c>
      <c r="H4628" s="24">
        <f t="shared" si="1205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264">A4628</f>
        <v>45972</v>
      </c>
      <c r="B4629" s="5" t="str">
        <f t="shared" si="1264"/>
        <v>Northern Cardinal</v>
      </c>
      <c r="C4629" s="6">
        <f t="shared" si="1264"/>
        <v>0.29166666666666669</v>
      </c>
      <c r="D4629" s="5"/>
      <c r="E4629" s="5"/>
      <c r="F4629" s="5" t="str">
        <f t="shared" ref="F4629:G4629" si="1265">F4628</f>
        <v>None</v>
      </c>
      <c r="G4629" s="15" t="str">
        <f t="shared" si="1265"/>
        <v>None</v>
      </c>
      <c r="H4629" s="24">
        <f t="shared" si="1205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266">A4629</f>
        <v>45972</v>
      </c>
      <c r="B4630" s="5" t="str">
        <f t="shared" si="1266"/>
        <v>Northern Cardinal</v>
      </c>
      <c r="C4630" s="6">
        <f t="shared" si="1266"/>
        <v>0.29166666666666669</v>
      </c>
      <c r="D4630" s="5"/>
      <c r="E4630" s="5"/>
      <c r="F4630" s="5" t="str">
        <f t="shared" ref="F4630:G4630" si="1267">F4629</f>
        <v>None</v>
      </c>
      <c r="G4630" s="15" t="str">
        <f t="shared" si="1267"/>
        <v>None</v>
      </c>
      <c r="H4630" s="24">
        <f t="shared" si="1205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268">A4630</f>
        <v>45972</v>
      </c>
      <c r="B4631" s="5" t="str">
        <f t="shared" si="1268"/>
        <v>Northern Cardinal</v>
      </c>
      <c r="C4631" s="6">
        <f t="shared" si="1268"/>
        <v>0.29166666666666669</v>
      </c>
      <c r="D4631" s="5"/>
      <c r="E4631" s="5"/>
      <c r="F4631" s="5" t="str">
        <f t="shared" ref="F4631:G4631" si="1269">F4630</f>
        <v>None</v>
      </c>
      <c r="G4631" s="15" t="str">
        <f t="shared" si="1269"/>
        <v>None</v>
      </c>
      <c r="H4631" s="24">
        <f t="shared" si="1205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270">A4631</f>
        <v>45972</v>
      </c>
      <c r="B4632" s="5" t="str">
        <f t="shared" si="1270"/>
        <v>Northern Cardinal</v>
      </c>
      <c r="C4632" s="6">
        <f t="shared" si="1270"/>
        <v>0.29166666666666669</v>
      </c>
      <c r="D4632" s="5"/>
      <c r="E4632" s="5"/>
      <c r="F4632" s="5" t="str">
        <f t="shared" ref="F4632:G4632" si="1271">F4631</f>
        <v>None</v>
      </c>
      <c r="G4632" s="15" t="str">
        <f t="shared" si="1271"/>
        <v>None</v>
      </c>
      <c r="H4632" s="24">
        <f t="shared" si="1205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272">A4632</f>
        <v>45972</v>
      </c>
      <c r="B4633" s="5" t="str">
        <f t="shared" si="1272"/>
        <v>Northern Cardinal</v>
      </c>
      <c r="C4633" s="6">
        <f t="shared" si="1272"/>
        <v>0.29166666666666669</v>
      </c>
      <c r="D4633" s="5"/>
      <c r="E4633" s="5"/>
      <c r="F4633" s="5" t="str">
        <f t="shared" ref="F4633:G4633" si="1273">F4632</f>
        <v>None</v>
      </c>
      <c r="G4633" s="15" t="str">
        <f t="shared" si="1273"/>
        <v>None</v>
      </c>
      <c r="H4633" s="24">
        <f t="shared" si="1205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274">A4633</f>
        <v>45972</v>
      </c>
      <c r="B4634" s="5" t="str">
        <f t="shared" si="1274"/>
        <v>Northern Cardinal</v>
      </c>
      <c r="C4634" s="6">
        <f t="shared" si="1274"/>
        <v>0.29166666666666669</v>
      </c>
      <c r="D4634" s="5"/>
      <c r="E4634" s="5"/>
      <c r="F4634" s="5" t="str">
        <f t="shared" ref="F4634:G4634" si="1275">F4633</f>
        <v>None</v>
      </c>
      <c r="G4634" s="15" t="str">
        <f t="shared" si="1275"/>
        <v>None</v>
      </c>
      <c r="H4634" s="24">
        <f t="shared" si="1205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276">A4634</f>
        <v>45972</v>
      </c>
      <c r="B4635" s="5" t="str">
        <f t="shared" si="1276"/>
        <v>Northern Cardinal</v>
      </c>
      <c r="C4635" s="6">
        <f t="shared" si="1276"/>
        <v>0.29166666666666669</v>
      </c>
      <c r="D4635" s="5"/>
      <c r="E4635" s="5"/>
      <c r="F4635" s="5" t="str">
        <f t="shared" ref="F4635:G4635" si="1277">F4634</f>
        <v>None</v>
      </c>
      <c r="G4635" s="15" t="str">
        <f t="shared" si="1277"/>
        <v>None</v>
      </c>
      <c r="H4635" s="24">
        <f t="shared" si="1205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278">A4635</f>
        <v>45972</v>
      </c>
      <c r="B4636" s="5" t="str">
        <f t="shared" si="1278"/>
        <v>Northern Cardinal</v>
      </c>
      <c r="C4636" s="6">
        <f t="shared" si="1278"/>
        <v>0.29166666666666669</v>
      </c>
      <c r="D4636" s="5"/>
      <c r="E4636" s="5"/>
      <c r="F4636" s="5" t="str">
        <f t="shared" ref="F4636:G4636" si="1279">F4635</f>
        <v>None</v>
      </c>
      <c r="G4636" s="15" t="str">
        <f t="shared" si="1279"/>
        <v>None</v>
      </c>
      <c r="H4636" s="24">
        <f t="shared" si="1205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280">A4636</f>
        <v>45972</v>
      </c>
      <c r="B4637" s="5" t="str">
        <f t="shared" si="1280"/>
        <v>Northern Cardinal</v>
      </c>
      <c r="C4637" s="6">
        <f t="shared" si="1280"/>
        <v>0.29166666666666669</v>
      </c>
      <c r="D4637" s="5"/>
      <c r="E4637" s="5"/>
      <c r="F4637" s="5" t="str">
        <f t="shared" ref="F4637:G4637" si="1281">F4636</f>
        <v>None</v>
      </c>
      <c r="G4637" s="15" t="str">
        <f t="shared" si="1281"/>
        <v>None</v>
      </c>
      <c r="H4637" s="24">
        <f t="shared" si="1205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282">A4637</f>
        <v>45972</v>
      </c>
      <c r="B4638" s="5" t="str">
        <f t="shared" si="1282"/>
        <v>Northern Cardinal</v>
      </c>
      <c r="C4638" s="6">
        <f t="shared" si="1282"/>
        <v>0.29166666666666669</v>
      </c>
      <c r="D4638" s="5"/>
      <c r="E4638" s="5"/>
      <c r="F4638" s="5" t="str">
        <f t="shared" ref="F4638:G4638" si="1283">F4637</f>
        <v>None</v>
      </c>
      <c r="G4638" s="15" t="str">
        <f t="shared" si="1283"/>
        <v>None</v>
      </c>
      <c r="H4638" s="24">
        <f t="shared" si="1205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284">A4638</f>
        <v>45972</v>
      </c>
      <c r="B4639" s="5" t="str">
        <f t="shared" si="1284"/>
        <v>Northern Cardinal</v>
      </c>
      <c r="C4639" s="6">
        <f t="shared" si="1284"/>
        <v>0.29166666666666669</v>
      </c>
      <c r="D4639" s="5"/>
      <c r="E4639" s="5"/>
      <c r="F4639" s="5" t="str">
        <f t="shared" ref="F4639:G4639" si="1285">F4638</f>
        <v>None</v>
      </c>
      <c r="G4639" s="15" t="str">
        <f t="shared" si="1285"/>
        <v>None</v>
      </c>
      <c r="H4639" s="24">
        <f t="shared" si="1205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286">A4639</f>
        <v>45972</v>
      </c>
      <c r="B4640" s="5" t="str">
        <f t="shared" si="1286"/>
        <v>Northern Cardinal</v>
      </c>
      <c r="C4640" s="6">
        <f t="shared" si="1286"/>
        <v>0.29166666666666669</v>
      </c>
      <c r="D4640" s="5"/>
      <c r="E4640" s="5"/>
      <c r="F4640" s="5" t="str">
        <f t="shared" ref="F4640:G4640" si="1287">F4639</f>
        <v>None</v>
      </c>
      <c r="G4640" s="15" t="str">
        <f t="shared" si="1287"/>
        <v>None</v>
      </c>
      <c r="H4640" s="24">
        <f t="shared" si="1205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288">A4640</f>
        <v>45972</v>
      </c>
      <c r="B4641" s="5" t="str">
        <f t="shared" si="1288"/>
        <v>Northern Cardinal</v>
      </c>
      <c r="C4641" s="6">
        <f t="shared" si="1288"/>
        <v>0.29166666666666669</v>
      </c>
      <c r="D4641" s="5"/>
      <c r="E4641" s="5"/>
      <c r="F4641" s="5" t="str">
        <f t="shared" ref="F4641:G4641" si="1289">F4640</f>
        <v>None</v>
      </c>
      <c r="G4641" s="15" t="str">
        <f t="shared" si="1289"/>
        <v>None</v>
      </c>
      <c r="H4641" s="24">
        <f t="shared" si="1205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290">A4641</f>
        <v>45972</v>
      </c>
      <c r="B4642" s="5" t="str">
        <f t="shared" si="1290"/>
        <v>Northern Cardinal</v>
      </c>
      <c r="C4642" s="6">
        <f t="shared" si="1290"/>
        <v>0.29166666666666669</v>
      </c>
      <c r="D4642" s="5"/>
      <c r="E4642" s="5"/>
      <c r="F4642" s="5" t="str">
        <f t="shared" ref="F4642:G4642" si="1291">F4641</f>
        <v>None</v>
      </c>
      <c r="G4642" s="15" t="str">
        <f t="shared" si="1291"/>
        <v>None</v>
      </c>
      <c r="H4642" s="24">
        <f t="shared" si="1205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292">A4642</f>
        <v>45972</v>
      </c>
      <c r="B4643" s="5" t="str">
        <f t="shared" si="1292"/>
        <v>Northern Cardinal</v>
      </c>
      <c r="C4643" s="6">
        <f t="shared" si="1292"/>
        <v>0.29166666666666669</v>
      </c>
      <c r="D4643" s="5"/>
      <c r="E4643" s="5"/>
      <c r="F4643" s="5" t="str">
        <f t="shared" ref="F4643:G4643" si="1293">F4642</f>
        <v>None</v>
      </c>
      <c r="G4643" s="15" t="str">
        <f t="shared" si="1293"/>
        <v>None</v>
      </c>
      <c r="H4643" s="24">
        <f t="shared" si="1205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294">A4643</f>
        <v>45972</v>
      </c>
      <c r="B4644" s="5" t="str">
        <f t="shared" si="1294"/>
        <v>Northern Cardinal</v>
      </c>
      <c r="C4644" s="6">
        <f t="shared" si="1294"/>
        <v>0.29166666666666669</v>
      </c>
      <c r="D4644" s="5"/>
      <c r="E4644" s="5"/>
      <c r="F4644" s="5" t="str">
        <f t="shared" ref="F4644:G4644" si="1295">F4643</f>
        <v>None</v>
      </c>
      <c r="G4644" s="15" t="str">
        <f t="shared" si="1295"/>
        <v>None</v>
      </c>
      <c r="H4644" s="24">
        <f t="shared" si="1205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296">A4644</f>
        <v>45972</v>
      </c>
      <c r="B4645" s="5" t="str">
        <f t="shared" si="1296"/>
        <v>Northern Cardinal</v>
      </c>
      <c r="C4645" s="6">
        <f t="shared" si="1296"/>
        <v>0.29166666666666669</v>
      </c>
      <c r="D4645" s="5"/>
      <c r="E4645" s="5"/>
      <c r="F4645" s="5" t="str">
        <f t="shared" ref="F4645:G4645" si="1297">F4644</f>
        <v>None</v>
      </c>
      <c r="G4645" s="15" t="str">
        <f t="shared" si="1297"/>
        <v>None</v>
      </c>
      <c r="H4645" s="24">
        <f t="shared" si="1205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298">A4645</f>
        <v>45972</v>
      </c>
      <c r="B4646" s="5" t="str">
        <f t="shared" si="1298"/>
        <v>Northern Cardinal</v>
      </c>
      <c r="C4646" s="6">
        <f t="shared" si="1298"/>
        <v>0.29166666666666669</v>
      </c>
      <c r="D4646" s="5"/>
      <c r="E4646" s="5"/>
      <c r="F4646" s="5" t="str">
        <f t="shared" ref="F4646:G4646" si="1299">F4645</f>
        <v>None</v>
      </c>
      <c r="G4646" s="15" t="str">
        <f t="shared" si="1299"/>
        <v>None</v>
      </c>
      <c r="H4646" s="24">
        <f t="shared" si="1205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00">A4646</f>
        <v>45972</v>
      </c>
      <c r="B4647" s="5" t="str">
        <f t="shared" si="1300"/>
        <v>Northern Cardinal</v>
      </c>
      <c r="C4647" s="6">
        <f t="shared" si="1300"/>
        <v>0.29166666666666669</v>
      </c>
      <c r="D4647" s="5"/>
      <c r="E4647" s="5"/>
      <c r="F4647" s="5" t="str">
        <f t="shared" ref="F4647:G4647" si="1301">F4646</f>
        <v>None</v>
      </c>
      <c r="G4647" s="15" t="str">
        <f t="shared" si="1301"/>
        <v>None</v>
      </c>
      <c r="H4647" s="24">
        <f t="shared" si="1205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02">A4647</f>
        <v>45972</v>
      </c>
      <c r="B4648" s="5" t="str">
        <f t="shared" si="1302"/>
        <v>Northern Cardinal</v>
      </c>
      <c r="C4648" s="6">
        <f t="shared" si="1302"/>
        <v>0.29166666666666669</v>
      </c>
      <c r="D4648" s="5"/>
      <c r="E4648" s="5"/>
      <c r="F4648" s="5" t="str">
        <f t="shared" ref="F4648:G4648" si="1303">F4647</f>
        <v>None</v>
      </c>
      <c r="G4648" s="15" t="str">
        <f t="shared" si="1303"/>
        <v>None</v>
      </c>
      <c r="H4648" s="24">
        <f t="shared" si="1205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04">A4648</f>
        <v>45972</v>
      </c>
      <c r="B4649" s="5" t="str">
        <f t="shared" si="1304"/>
        <v>Northern Cardinal</v>
      </c>
      <c r="C4649" s="6">
        <f t="shared" si="1304"/>
        <v>0.29166666666666669</v>
      </c>
      <c r="D4649" s="5"/>
      <c r="E4649" s="5"/>
      <c r="F4649" s="5" t="str">
        <f t="shared" ref="F4649:G4649" si="1305">F4648</f>
        <v>None</v>
      </c>
      <c r="G4649" s="15" t="str">
        <f t="shared" si="1305"/>
        <v>None</v>
      </c>
      <c r="H4649" s="24">
        <f t="shared" si="1205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06">A4649</f>
        <v>45972</v>
      </c>
      <c r="B4650" s="5" t="str">
        <f t="shared" si="1306"/>
        <v>Northern Cardinal</v>
      </c>
      <c r="C4650" s="6">
        <f t="shared" si="1306"/>
        <v>0.29166666666666669</v>
      </c>
      <c r="D4650" s="5"/>
      <c r="E4650" s="5"/>
      <c r="F4650" s="5" t="str">
        <f t="shared" ref="F4650:G4650" si="1307">F4649</f>
        <v>None</v>
      </c>
      <c r="G4650" s="15" t="str">
        <f t="shared" si="1307"/>
        <v>None</v>
      </c>
      <c r="H4650" s="24">
        <f t="shared" si="1205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08">A4650</f>
        <v>45972</v>
      </c>
      <c r="B4651" s="5" t="str">
        <f t="shared" si="1308"/>
        <v>Northern Cardinal</v>
      </c>
      <c r="C4651" s="6">
        <f t="shared" si="1308"/>
        <v>0.29166666666666669</v>
      </c>
      <c r="D4651" s="5"/>
      <c r="E4651" s="5"/>
      <c r="F4651" s="5" t="str">
        <f t="shared" ref="F4651:G4651" si="1309">F4650</f>
        <v>None</v>
      </c>
      <c r="G4651" s="15" t="str">
        <f t="shared" si="1309"/>
        <v>None</v>
      </c>
      <c r="H4651" s="24">
        <f t="shared" si="1205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10">A4651</f>
        <v>45972</v>
      </c>
      <c r="B4652" s="5" t="str">
        <f t="shared" si="1310"/>
        <v>Northern Cardinal</v>
      </c>
      <c r="C4652" s="6">
        <f t="shared" si="1310"/>
        <v>0.29166666666666669</v>
      </c>
      <c r="D4652" s="5"/>
      <c r="E4652" s="5"/>
      <c r="F4652" s="5" t="str">
        <f t="shared" ref="F4652:G4652" si="1311">F4651</f>
        <v>None</v>
      </c>
      <c r="G4652" s="15" t="str">
        <f t="shared" si="1311"/>
        <v>None</v>
      </c>
      <c r="H4652" s="24">
        <f t="shared" si="1205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12">A4652</f>
        <v>45972</v>
      </c>
      <c r="B4653" s="5" t="str">
        <f t="shared" si="1312"/>
        <v>Northern Cardinal</v>
      </c>
      <c r="C4653" s="6">
        <f t="shared" si="1312"/>
        <v>0.29166666666666669</v>
      </c>
      <c r="D4653" s="5"/>
      <c r="E4653" s="5"/>
      <c r="F4653" s="5" t="str">
        <f t="shared" ref="F4653:G4653" si="1313">F4652</f>
        <v>None</v>
      </c>
      <c r="G4653" s="15" t="str">
        <f t="shared" si="1313"/>
        <v>None</v>
      </c>
      <c r="H4653" s="24">
        <f t="shared" si="1205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14">A4653</f>
        <v>45972</v>
      </c>
      <c r="B4654" s="5" t="str">
        <f t="shared" si="1314"/>
        <v>Northern Cardinal</v>
      </c>
      <c r="C4654" s="6">
        <f t="shared" si="1314"/>
        <v>0.29166666666666669</v>
      </c>
      <c r="D4654" s="5"/>
      <c r="E4654" s="5"/>
      <c r="F4654" s="5" t="str">
        <f t="shared" ref="F4654:G4654" si="1315">F4653</f>
        <v>None</v>
      </c>
      <c r="G4654" s="15" t="str">
        <f t="shared" si="1315"/>
        <v>None</v>
      </c>
      <c r="H4654" s="24">
        <f t="shared" si="1205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16">A4654</f>
        <v>45972</v>
      </c>
      <c r="B4655" s="5" t="str">
        <f t="shared" si="1316"/>
        <v>Northern Cardinal</v>
      </c>
      <c r="C4655" s="6">
        <f t="shared" si="1316"/>
        <v>0.29166666666666669</v>
      </c>
      <c r="D4655" s="5"/>
      <c r="E4655" s="5"/>
      <c r="F4655" s="5" t="str">
        <f t="shared" ref="F4655:G4655" si="1317">F4654</f>
        <v>None</v>
      </c>
      <c r="G4655" s="15" t="str">
        <f t="shared" si="1317"/>
        <v>None</v>
      </c>
      <c r="H4655" s="24">
        <f t="shared" si="1205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18">A4655</f>
        <v>45972</v>
      </c>
      <c r="B4656" s="5" t="str">
        <f t="shared" si="1318"/>
        <v>Northern Cardinal</v>
      </c>
      <c r="C4656" s="6">
        <f t="shared" si="1318"/>
        <v>0.29166666666666669</v>
      </c>
      <c r="D4656" s="5"/>
      <c r="E4656" s="5"/>
      <c r="F4656" s="5" t="str">
        <f t="shared" ref="F4656:G4656" si="1319">F4655</f>
        <v>None</v>
      </c>
      <c r="G4656" s="15" t="str">
        <f t="shared" si="1319"/>
        <v>None</v>
      </c>
      <c r="H4656" s="24">
        <f t="shared" si="1205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20">A4656</f>
        <v>45972</v>
      </c>
      <c r="B4657" s="5" t="str">
        <f t="shared" si="1320"/>
        <v>Northern Cardinal</v>
      </c>
      <c r="C4657" s="6">
        <f t="shared" si="1320"/>
        <v>0.29166666666666669</v>
      </c>
      <c r="D4657" s="5"/>
      <c r="E4657" s="5"/>
      <c r="F4657" s="5" t="str">
        <f t="shared" ref="F4657:G4657" si="1321">F4656</f>
        <v>None</v>
      </c>
      <c r="G4657" s="15" t="str">
        <f t="shared" si="1321"/>
        <v>None</v>
      </c>
      <c r="H4657" s="24">
        <f t="shared" si="1205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22">A4657</f>
        <v>45972</v>
      </c>
      <c r="B4658" s="5" t="str">
        <f t="shared" si="1322"/>
        <v>Northern Cardinal</v>
      </c>
      <c r="C4658" s="6">
        <f t="shared" si="1322"/>
        <v>0.29166666666666669</v>
      </c>
      <c r="D4658" s="5"/>
      <c r="E4658" s="5"/>
      <c r="F4658" s="5" t="str">
        <f t="shared" ref="F4658:G4658" si="1323">F4657</f>
        <v>None</v>
      </c>
      <c r="G4658" s="15" t="str">
        <f t="shared" si="1323"/>
        <v>None</v>
      </c>
      <c r="H4658" s="24">
        <f t="shared" si="1205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24">A4658</f>
        <v>45972</v>
      </c>
      <c r="B4659" s="5" t="str">
        <f t="shared" si="1324"/>
        <v>Northern Cardinal</v>
      </c>
      <c r="C4659" s="6">
        <f t="shared" si="1324"/>
        <v>0.29166666666666669</v>
      </c>
      <c r="D4659" s="5"/>
      <c r="E4659" s="5"/>
      <c r="F4659" s="5" t="str">
        <f t="shared" ref="F4659:G4659" si="1325">F4658</f>
        <v>None</v>
      </c>
      <c r="G4659" s="15" t="str">
        <f t="shared" si="1325"/>
        <v>None</v>
      </c>
      <c r="H4659" s="24">
        <f t="shared" si="1205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26">A4659</f>
        <v>45972</v>
      </c>
      <c r="B4660" s="5" t="str">
        <f t="shared" si="1326"/>
        <v>Northern Cardinal</v>
      </c>
      <c r="C4660" s="6">
        <f t="shared" si="1326"/>
        <v>0.29166666666666669</v>
      </c>
      <c r="D4660" s="5"/>
      <c r="E4660" s="5"/>
      <c r="F4660" s="5" t="str">
        <f t="shared" ref="F4660:G4660" si="1327">F4659</f>
        <v>None</v>
      </c>
      <c r="G4660" s="15" t="str">
        <f t="shared" si="1327"/>
        <v>None</v>
      </c>
      <c r="H4660" s="24">
        <f t="shared" si="1205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28">A4660</f>
        <v>45972</v>
      </c>
      <c r="B4661" s="5" t="str">
        <f t="shared" si="1328"/>
        <v>Northern Cardinal</v>
      </c>
      <c r="C4661" s="6">
        <f t="shared" si="1328"/>
        <v>0.29166666666666669</v>
      </c>
      <c r="D4661" s="5"/>
      <c r="E4661" s="5"/>
      <c r="F4661" s="5" t="str">
        <f t="shared" ref="F4661:G4661" si="1329">F4660</f>
        <v>None</v>
      </c>
      <c r="G4661" s="15" t="str">
        <f t="shared" si="1329"/>
        <v>None</v>
      </c>
      <c r="H4661" s="24">
        <f t="shared" si="1205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30">A4661</f>
        <v>45972</v>
      </c>
      <c r="B4662" s="5" t="str">
        <f t="shared" si="1330"/>
        <v>Northern Cardinal</v>
      </c>
      <c r="C4662" s="6">
        <f t="shared" si="1330"/>
        <v>0.29166666666666669</v>
      </c>
      <c r="D4662" s="5"/>
      <c r="E4662" s="5"/>
      <c r="F4662" s="5" t="str">
        <f t="shared" ref="F4662:G4662" si="1331">F4661</f>
        <v>None</v>
      </c>
      <c r="G4662" s="15" t="str">
        <f t="shared" si="1331"/>
        <v>None</v>
      </c>
      <c r="H4662" s="24">
        <f t="shared" si="1205"/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32">A4662</f>
        <v>45972</v>
      </c>
      <c r="B4663" s="5" t="str">
        <f t="shared" si="1332"/>
        <v>Northern Cardinal</v>
      </c>
      <c r="C4663" s="6">
        <f t="shared" si="1332"/>
        <v>0.29166666666666669</v>
      </c>
      <c r="D4663" s="5"/>
      <c r="E4663" s="5"/>
      <c r="F4663" s="5" t="str">
        <f t="shared" ref="F4663:G4663" si="1333">F4662</f>
        <v>None</v>
      </c>
      <c r="G4663" s="15" t="str">
        <f t="shared" si="1333"/>
        <v>None</v>
      </c>
      <c r="H4663" s="24">
        <f t="shared" ref="H4663:H4674" si="1334">IFERROR((($A4663+$C4663) - ($A4662+$C4662))*24*60, "")</f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35">A4663</f>
        <v>45972</v>
      </c>
      <c r="B4664" s="5" t="str">
        <f t="shared" si="1335"/>
        <v>Northern Cardinal</v>
      </c>
      <c r="C4664" s="6">
        <f t="shared" si="1335"/>
        <v>0.29166666666666669</v>
      </c>
      <c r="D4664" s="5"/>
      <c r="E4664" s="5"/>
      <c r="F4664" s="5" t="str">
        <f t="shared" ref="F4664:G4664" si="1336">F4663</f>
        <v>None</v>
      </c>
      <c r="G4664" s="15" t="str">
        <f t="shared" si="1336"/>
        <v>None</v>
      </c>
      <c r="H4664" s="24">
        <f t="shared" si="1334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37">A4664</f>
        <v>45972</v>
      </c>
      <c r="B4665" s="5" t="str">
        <f t="shared" si="1337"/>
        <v>Northern Cardinal</v>
      </c>
      <c r="C4665" s="6">
        <f t="shared" si="1337"/>
        <v>0.29166666666666669</v>
      </c>
      <c r="D4665" s="5"/>
      <c r="E4665" s="5"/>
      <c r="F4665" s="5" t="str">
        <f t="shared" ref="F4665:G4665" si="1338">F4664</f>
        <v>None</v>
      </c>
      <c r="G4665" s="15" t="str">
        <f t="shared" si="1338"/>
        <v>None</v>
      </c>
      <c r="H4665" s="24">
        <f t="shared" si="1334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39">A4665</f>
        <v>45972</v>
      </c>
      <c r="B4666" s="5" t="str">
        <f t="shared" si="1339"/>
        <v>Northern Cardinal</v>
      </c>
      <c r="C4666" s="6">
        <f t="shared" si="1339"/>
        <v>0.29166666666666669</v>
      </c>
      <c r="D4666" s="5"/>
      <c r="E4666" s="5"/>
      <c r="F4666" s="5" t="str">
        <f t="shared" ref="F4666:G4666" si="1340">F4665</f>
        <v>None</v>
      </c>
      <c r="G4666" s="15" t="str">
        <f t="shared" si="1340"/>
        <v>None</v>
      </c>
      <c r="H4666" s="24">
        <f t="shared" si="1334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41">A4666</f>
        <v>45972</v>
      </c>
      <c r="B4667" s="5" t="str">
        <f t="shared" si="1341"/>
        <v>Northern Cardinal</v>
      </c>
      <c r="C4667" s="6">
        <f t="shared" si="1341"/>
        <v>0.29166666666666669</v>
      </c>
      <c r="D4667" s="5"/>
      <c r="E4667" s="5"/>
      <c r="F4667" s="5" t="str">
        <f t="shared" ref="F4667:G4667" si="1342">F4666</f>
        <v>None</v>
      </c>
      <c r="G4667" s="15" t="str">
        <f t="shared" si="1342"/>
        <v>None</v>
      </c>
      <c r="H4667" s="24">
        <f t="shared" si="1334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43">A4667</f>
        <v>45972</v>
      </c>
      <c r="B4668" s="5" t="str">
        <f t="shared" si="1343"/>
        <v>Northern Cardinal</v>
      </c>
      <c r="C4668" s="6">
        <f t="shared" si="1343"/>
        <v>0.29166666666666669</v>
      </c>
      <c r="D4668" s="5"/>
      <c r="E4668" s="5"/>
      <c r="F4668" s="5" t="str">
        <f t="shared" ref="F4668:G4668" si="1344">F4667</f>
        <v>None</v>
      </c>
      <c r="G4668" s="15" t="str">
        <f t="shared" si="1344"/>
        <v>None</v>
      </c>
      <c r="H4668" s="24">
        <f t="shared" si="1334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45">A4668</f>
        <v>45972</v>
      </c>
      <c r="B4669" s="5" t="str">
        <f t="shared" si="1345"/>
        <v>Northern Cardinal</v>
      </c>
      <c r="C4669" s="6">
        <f t="shared" si="1345"/>
        <v>0.29166666666666669</v>
      </c>
      <c r="D4669" s="5"/>
      <c r="E4669" s="5"/>
      <c r="F4669" s="5" t="str">
        <f t="shared" ref="F4669:G4669" si="1346">F4668</f>
        <v>None</v>
      </c>
      <c r="G4669" s="15" t="str">
        <f t="shared" si="1346"/>
        <v>None</v>
      </c>
      <c r="H4669" s="24">
        <f t="shared" si="1334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47">A4669</f>
        <v>45972</v>
      </c>
      <c r="B4670" s="5" t="str">
        <f t="shared" si="1347"/>
        <v>Northern Cardinal</v>
      </c>
      <c r="C4670" s="6">
        <f t="shared" si="1347"/>
        <v>0.29166666666666669</v>
      </c>
      <c r="D4670" s="5"/>
      <c r="E4670" s="5"/>
      <c r="F4670" s="5" t="str">
        <f t="shared" ref="F4670:G4670" si="1348">F4669</f>
        <v>None</v>
      </c>
      <c r="G4670" s="15" t="str">
        <f t="shared" si="1348"/>
        <v>None</v>
      </c>
      <c r="H4670" s="24">
        <f t="shared" si="1334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49">A4670</f>
        <v>45972</v>
      </c>
      <c r="B4671" s="5" t="str">
        <f t="shared" si="1349"/>
        <v>Northern Cardinal</v>
      </c>
      <c r="C4671" s="6">
        <f t="shared" si="1349"/>
        <v>0.29166666666666669</v>
      </c>
      <c r="D4671" s="5"/>
      <c r="E4671" s="5"/>
      <c r="F4671" s="5" t="str">
        <f t="shared" ref="F4671:G4671" si="1350">F4670</f>
        <v>None</v>
      </c>
      <c r="G4671" s="15" t="str">
        <f t="shared" si="1350"/>
        <v>None</v>
      </c>
      <c r="H4671" s="24">
        <f t="shared" si="1334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51">A4671</f>
        <v>45972</v>
      </c>
      <c r="B4672" s="5" t="str">
        <f t="shared" si="1351"/>
        <v>Northern Cardinal</v>
      </c>
      <c r="C4672" s="6">
        <f t="shared" si="1351"/>
        <v>0.29166666666666669</v>
      </c>
      <c r="D4672" s="5"/>
      <c r="E4672" s="5"/>
      <c r="F4672" s="5" t="str">
        <f t="shared" ref="F4672:G4672" si="1352">F4671</f>
        <v>None</v>
      </c>
      <c r="G4672" s="15" t="str">
        <f t="shared" si="1352"/>
        <v>None</v>
      </c>
      <c r="H4672" s="24">
        <f t="shared" si="1334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53">A4672</f>
        <v>45972</v>
      </c>
      <c r="B4673" s="5" t="str">
        <f t="shared" si="1353"/>
        <v>Northern Cardinal</v>
      </c>
      <c r="C4673" s="6">
        <f t="shared" si="1353"/>
        <v>0.29166666666666669</v>
      </c>
      <c r="D4673" s="5"/>
      <c r="E4673" s="5"/>
      <c r="F4673" s="5" t="str">
        <f t="shared" ref="F4673:G4673" si="1354">F4672</f>
        <v>None</v>
      </c>
      <c r="G4673" s="15" t="str">
        <f t="shared" si="1354"/>
        <v>None</v>
      </c>
      <c r="H4673" s="24">
        <f t="shared" si="1334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355">A4673</f>
        <v>45972</v>
      </c>
      <c r="B4674" s="5" t="str">
        <f t="shared" si="1355"/>
        <v>Northern Cardinal</v>
      </c>
      <c r="C4674" s="6">
        <f t="shared" si="1355"/>
        <v>0.29166666666666669</v>
      </c>
      <c r="D4674" s="5"/>
      <c r="E4674" s="5"/>
      <c r="F4674" s="5" t="str">
        <f t="shared" ref="F4674:G4674" si="1356">F4673</f>
        <v>None</v>
      </c>
      <c r="G4674" s="15" t="str">
        <f t="shared" si="1356"/>
        <v>None</v>
      </c>
      <c r="H4674" s="24">
        <f t="shared" si="1334"/>
        <v>0</v>
      </c>
      <c r="I4674" s="24" cm="1">
        <f t="array" ref="I4674">IFERROR(IF($B4674=I$1, ($A4674+$C4674) - MAX(IF($B$2:$B4673=$B4674, $A$2:$A4673+$C$2:$C4673)), "")*24*60, "")</f>
        <v>0</v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48"/>
  <sheetViews>
    <sheetView tabSelected="1" zoomScale="140" zoomScaleNormal="140" workbookViewId="0">
      <pane ySplit="1" topLeftCell="A132" activePane="bottomLeft" state="frozen"/>
      <selection pane="bottomLeft" activeCell="A148" sqref="A14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10">
        <v>45971</v>
      </c>
      <c r="B148" s="11" t="s">
        <v>3</v>
      </c>
      <c r="C148" s="11">
        <f>COUNTIFS(RawData!$B:$B, $B148, RawData!$A:$A, DailySummaries!$A148)</f>
        <v>1</v>
      </c>
      <c r="D148" s="11">
        <f>SUMIFS(RawData!$D:$D,RawData!$B:$B,$B148,RawData!$A:$A,DailySummaries!$A148)+1</f>
        <v>1</v>
      </c>
      <c r="E148" s="11">
        <f>SUMIFS(RawData!$E:$E,RawData!$B:$B,$B148,RawData!$A:$A,DailySummaries!$A148)+1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2025-11-11T10:59:53Z</dcterms:modified>
</cp:coreProperties>
</file>
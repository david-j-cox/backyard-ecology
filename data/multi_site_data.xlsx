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8FAAB960-209A-914D-AEDC-E5F181332DA5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0" i="2" l="1"/>
  <c r="D270" i="2"/>
  <c r="E270" i="2"/>
  <c r="C271" i="2"/>
  <c r="D271" i="2"/>
  <c r="E271" i="2"/>
  <c r="C272" i="2"/>
  <c r="D272" i="2"/>
  <c r="E272" i="2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6970" i="1" l="1"/>
  <c r="C6973" i="1" s="1"/>
  <c r="C6976" i="1" s="1"/>
  <c r="C6979" i="1" s="1"/>
  <c r="C6981" i="1" s="1"/>
  <c r="C6993" i="1" s="1"/>
  <c r="C6995" i="1" s="1"/>
  <c r="C6999" i="1" s="1"/>
  <c r="C7000" i="1" s="1"/>
  <c r="C7001" i="1" s="1"/>
  <c r="C7002" i="1" s="1"/>
  <c r="C7003" i="1" s="1"/>
  <c r="C7004" i="1" s="1"/>
  <c r="C7005" i="1" s="1"/>
  <c r="C7006" i="1" s="1"/>
  <c r="C7007" i="1" s="1"/>
  <c r="C7008" i="1" s="1"/>
  <c r="C7009" i="1" s="1"/>
  <c r="C7010" i="1" s="1"/>
  <c r="C7011" i="1" s="1"/>
  <c r="C7012" i="1" s="1"/>
  <c r="C7013" i="1" s="1"/>
  <c r="C7014" i="1" s="1"/>
  <c r="C7015" i="1" s="1"/>
  <c r="C7016" i="1" s="1"/>
  <c r="C7017" i="1" s="1"/>
  <c r="C7018" i="1" s="1"/>
  <c r="C7019" i="1" s="1"/>
  <c r="C7020" i="1" s="1"/>
  <c r="C7021" i="1" s="1"/>
  <c r="C7022" i="1" s="1"/>
  <c r="C7023" i="1" s="1"/>
  <c r="C7024" i="1" s="1"/>
  <c r="C7025" i="1" s="1"/>
  <c r="C7026" i="1" s="1"/>
  <c r="C7027" i="1" s="1"/>
  <c r="C7028" i="1" s="1"/>
  <c r="C7029" i="1" s="1"/>
  <c r="C7030" i="1" s="1"/>
  <c r="C7031" i="1" s="1"/>
  <c r="C7032" i="1" s="1"/>
  <c r="C7033" i="1" s="1"/>
  <c r="C7034" i="1" s="1"/>
  <c r="C7035" i="1" s="1"/>
  <c r="C7036" i="1" s="1"/>
  <c r="C7037" i="1" s="1"/>
  <c r="C7038" i="1" s="1"/>
  <c r="C7039" i="1" s="1"/>
  <c r="C7040" i="1" s="1"/>
  <c r="C7041" i="1" s="1"/>
  <c r="C7042" i="1" s="1"/>
  <c r="C7043" i="1" s="1"/>
  <c r="C7044" i="1" s="1"/>
  <c r="C7045" i="1" s="1"/>
  <c r="C7046" i="1" s="1"/>
  <c r="C7047" i="1" s="1"/>
  <c r="C7048" i="1" s="1"/>
  <c r="C7049" i="1" s="1"/>
  <c r="C7050" i="1" s="1"/>
  <c r="C7051" i="1" s="1"/>
  <c r="C7052" i="1" s="1"/>
  <c r="C7053" i="1" s="1"/>
  <c r="C7054" i="1" s="1"/>
  <c r="C7055" i="1" s="1"/>
  <c r="C7056" i="1" s="1"/>
  <c r="C7057" i="1" s="1"/>
  <c r="C7058" i="1" s="1"/>
  <c r="C7059" i="1" s="1"/>
  <c r="C7060" i="1" s="1"/>
  <c r="C7061" i="1" s="1"/>
  <c r="C7062" i="1" s="1"/>
  <c r="C7063" i="1" s="1"/>
  <c r="C7064" i="1" s="1"/>
  <c r="C7065" i="1" s="1"/>
  <c r="C7066" i="1" s="1"/>
  <c r="C7067" i="1" s="1"/>
  <c r="C7068" i="1" s="1"/>
  <c r="C7069" i="1" s="1"/>
  <c r="C7070" i="1" s="1"/>
  <c r="C7071" i="1" s="1"/>
  <c r="C7072" i="1" s="1"/>
  <c r="C7073" i="1" s="1"/>
  <c r="C7074" i="1" s="1"/>
  <c r="C7075" i="1" s="1"/>
  <c r="C7076" i="1" s="1"/>
  <c r="C7077" i="1" s="1"/>
  <c r="C7078" i="1" s="1"/>
  <c r="C7079" i="1" s="1"/>
  <c r="C7080" i="1" s="1"/>
  <c r="C7081" i="1" s="1"/>
  <c r="C7082" i="1" s="1"/>
  <c r="C7083" i="1" s="1"/>
  <c r="C7084" i="1" s="1"/>
  <c r="C7085" i="1" s="1"/>
  <c r="C7086" i="1" s="1"/>
  <c r="C7087" i="1" s="1"/>
  <c r="C7088" i="1" s="1"/>
  <c r="C7089" i="1" s="1"/>
  <c r="C7090" i="1" s="1"/>
  <c r="C7091" i="1" s="1"/>
  <c r="C7092" i="1" s="1"/>
  <c r="C7093" i="1" s="1"/>
  <c r="C7094" i="1" s="1"/>
  <c r="C7095" i="1" s="1"/>
  <c r="C7096" i="1" s="1"/>
  <c r="C7097" i="1" s="1"/>
  <c r="C7098" i="1" s="1"/>
  <c r="C7099" i="1" s="1"/>
  <c r="C7100" i="1" s="1"/>
  <c r="C7101" i="1" s="1"/>
  <c r="C7102" i="1" s="1"/>
  <c r="C7103" i="1" s="1"/>
  <c r="C7104" i="1" s="1"/>
  <c r="C7105" i="1" s="1"/>
  <c r="C7106" i="1" s="1"/>
  <c r="C7107" i="1" s="1"/>
  <c r="C7108" i="1" s="1"/>
  <c r="C7109" i="1" s="1"/>
  <c r="C7110" i="1" s="1"/>
  <c r="C7111" i="1" s="1"/>
  <c r="C7112" i="1" s="1"/>
  <c r="C7113" i="1" s="1"/>
  <c r="C7114" i="1" s="1"/>
  <c r="C7115" i="1" s="1"/>
  <c r="C7116" i="1" s="1"/>
  <c r="C7117" i="1" s="1"/>
  <c r="C7118" i="1" s="1"/>
  <c r="C7119" i="1" s="1"/>
  <c r="C7120" i="1" s="1"/>
  <c r="C7121" i="1" s="1"/>
  <c r="C7122" i="1" s="1"/>
  <c r="C7123" i="1" s="1"/>
  <c r="C7124" i="1" s="1"/>
  <c r="C7125" i="1" s="1"/>
  <c r="C7126" i="1" s="1"/>
  <c r="C7127" i="1" s="1"/>
  <c r="C7128" i="1" s="1"/>
  <c r="C7129" i="1" s="1"/>
  <c r="C7130" i="1" s="1"/>
  <c r="C7131" i="1" s="1"/>
  <c r="C7132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E260" i="2" l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C267" i="2" l="1"/>
  <c r="E267" i="2"/>
  <c r="C266" i="2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B6998" i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E258" i="2" l="1"/>
  <c r="D268" i="2"/>
  <c r="C265" i="2"/>
  <c r="C259" i="2"/>
  <c r="C268" i="2"/>
  <c r="C258" i="2"/>
  <c r="C264" i="2"/>
  <c r="C260" i="2"/>
  <c r="E259" i="2"/>
  <c r="E262" i="2"/>
  <c r="E264" i="2"/>
  <c r="E266" i="2"/>
  <c r="E265" i="2"/>
  <c r="C262" i="2"/>
  <c r="E268" i="2"/>
  <c r="A6999" i="1"/>
  <c r="H6998" i="1"/>
  <c r="K6998" i="1" a="1"/>
  <c r="K6998" i="1" s="1"/>
  <c r="O6998" i="1" a="1"/>
  <c r="O6998" i="1" s="1"/>
  <c r="S6998" i="1" a="1"/>
  <c r="S6998" i="1" s="1"/>
  <c r="L6998" i="1" a="1"/>
  <c r="L6998" i="1" s="1"/>
  <c r="P6998" i="1" a="1"/>
  <c r="P6998" i="1" s="1"/>
  <c r="B6999" i="1"/>
  <c r="I6998" i="1" a="1"/>
  <c r="I6998" i="1" s="1"/>
  <c r="M6998" i="1" a="1"/>
  <c r="M6998" i="1" s="1"/>
  <c r="Q6998" i="1" a="1"/>
  <c r="Q6998" i="1" s="1"/>
  <c r="N6998" i="1" a="1"/>
  <c r="N6998" i="1" s="1"/>
  <c r="R6998" i="1" a="1"/>
  <c r="R6998" i="1" s="1"/>
  <c r="J6998" i="1" a="1"/>
  <c r="J6998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J6999" i="1" l="1" a="1"/>
  <c r="J6999" i="1" s="1"/>
  <c r="N6999" i="1" a="1"/>
  <c r="N6999" i="1" s="1"/>
  <c r="R6999" i="1" a="1"/>
  <c r="R6999" i="1" s="1"/>
  <c r="K6999" i="1" a="1"/>
  <c r="K6999" i="1" s="1"/>
  <c r="O6999" i="1" a="1"/>
  <c r="O6999" i="1" s="1"/>
  <c r="S6999" i="1" a="1"/>
  <c r="S6999" i="1" s="1"/>
  <c r="L6999" i="1" a="1"/>
  <c r="L6999" i="1" s="1"/>
  <c r="P6999" i="1" a="1"/>
  <c r="P6999" i="1" s="1"/>
  <c r="I6999" i="1" a="1"/>
  <c r="I6999" i="1" s="1"/>
  <c r="B7000" i="1"/>
  <c r="M6999" i="1" a="1"/>
  <c r="M6999" i="1" s="1"/>
  <c r="Q6999" i="1" a="1"/>
  <c r="Q6999" i="1" s="1"/>
  <c r="A7000" i="1"/>
  <c r="H6999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H7000" i="1" l="1"/>
  <c r="A7001" i="1"/>
  <c r="I7000" i="1" a="1"/>
  <c r="I7000" i="1" s="1"/>
  <c r="M7000" i="1" a="1"/>
  <c r="M7000" i="1" s="1"/>
  <c r="Q7000" i="1" a="1"/>
  <c r="Q7000" i="1" s="1"/>
  <c r="J7000" i="1" a="1"/>
  <c r="J7000" i="1" s="1"/>
  <c r="N7000" i="1" a="1"/>
  <c r="N7000" i="1" s="1"/>
  <c r="R7000" i="1" a="1"/>
  <c r="R7000" i="1" s="1"/>
  <c r="K7000" i="1" a="1"/>
  <c r="K7000" i="1" s="1"/>
  <c r="O7000" i="1" a="1"/>
  <c r="O7000" i="1" s="1"/>
  <c r="S7000" i="1" a="1"/>
  <c r="S7000" i="1" s="1"/>
  <c r="B7001" i="1"/>
  <c r="L7000" i="1" a="1"/>
  <c r="L7000" i="1" s="1"/>
  <c r="P7000" i="1" a="1"/>
  <c r="P7000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L7001" i="1" l="1" a="1"/>
  <c r="L7001" i="1" s="1"/>
  <c r="P7001" i="1" a="1"/>
  <c r="P7001" i="1" s="1"/>
  <c r="B7002" i="1"/>
  <c r="I7001" i="1" a="1"/>
  <c r="I7001" i="1" s="1"/>
  <c r="M7001" i="1" a="1"/>
  <c r="M7001" i="1" s="1"/>
  <c r="Q7001" i="1" a="1"/>
  <c r="Q7001" i="1" s="1"/>
  <c r="J7001" i="1" a="1"/>
  <c r="J7001" i="1" s="1"/>
  <c r="O7001" i="1" a="1"/>
  <c r="O7001" i="1" s="1"/>
  <c r="R7001" i="1" a="1"/>
  <c r="R7001" i="1" s="1"/>
  <c r="K7001" i="1" a="1"/>
  <c r="K7001" i="1" s="1"/>
  <c r="S7001" i="1" a="1"/>
  <c r="S7001" i="1" s="1"/>
  <c r="N7001" i="1" a="1"/>
  <c r="N7001" i="1" s="1"/>
  <c r="A7002" i="1"/>
  <c r="H7001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H7002" i="1" l="1"/>
  <c r="A7003" i="1"/>
  <c r="K7002" i="1" a="1"/>
  <c r="K7002" i="1" s="1"/>
  <c r="O7002" i="1" a="1"/>
  <c r="O7002" i="1" s="1"/>
  <c r="S7002" i="1" a="1"/>
  <c r="S7002" i="1" s="1"/>
  <c r="B7003" i="1"/>
  <c r="I7002" i="1" a="1"/>
  <c r="I7002" i="1" s="1"/>
  <c r="P7002" i="1" a="1"/>
  <c r="P7002" i="1" s="1"/>
  <c r="J7002" i="1" a="1"/>
  <c r="J7002" i="1" s="1"/>
  <c r="Q7002" i="1" a="1"/>
  <c r="Q7002" i="1" s="1"/>
  <c r="M7002" i="1" a="1"/>
  <c r="M7002" i="1" s="1"/>
  <c r="L7002" i="1" a="1"/>
  <c r="L7002" i="1" s="1"/>
  <c r="N7002" i="1" a="1"/>
  <c r="N7002" i="1" s="1"/>
  <c r="R7002" i="1" a="1"/>
  <c r="R700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J7003" i="1" l="1" a="1"/>
  <c r="J7003" i="1" s="1"/>
  <c r="N7003" i="1" a="1"/>
  <c r="N7003" i="1" s="1"/>
  <c r="R7003" i="1" a="1"/>
  <c r="R7003" i="1" s="1"/>
  <c r="O7003" i="1" a="1"/>
  <c r="O7003" i="1" s="1"/>
  <c r="I7003" i="1" a="1"/>
  <c r="I7003" i="1" s="1"/>
  <c r="P7003" i="1" a="1"/>
  <c r="P7003" i="1" s="1"/>
  <c r="K7003" i="1" a="1"/>
  <c r="K7003" i="1" s="1"/>
  <c r="Q7003" i="1" a="1"/>
  <c r="Q7003" i="1" s="1"/>
  <c r="S7003" i="1" a="1"/>
  <c r="S7003" i="1" s="1"/>
  <c r="L7003" i="1" a="1"/>
  <c r="L7003" i="1" s="1"/>
  <c r="M7003" i="1" a="1"/>
  <c r="M7003" i="1" s="1"/>
  <c r="B7004" i="1"/>
  <c r="H7003" i="1"/>
  <c r="A700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H7004" i="1" l="1"/>
  <c r="A7005" i="1"/>
  <c r="I7004" i="1" a="1"/>
  <c r="I7004" i="1" s="1"/>
  <c r="M7004" i="1" a="1"/>
  <c r="M7004" i="1" s="1"/>
  <c r="Q7004" i="1" a="1"/>
  <c r="Q7004" i="1" s="1"/>
  <c r="O7004" i="1" a="1"/>
  <c r="O7004" i="1" s="1"/>
  <c r="B7005" i="1"/>
  <c r="J7004" i="1" a="1"/>
  <c r="J7004" i="1" s="1"/>
  <c r="P7004" i="1" a="1"/>
  <c r="P7004" i="1" s="1"/>
  <c r="K7004" i="1" a="1"/>
  <c r="K7004" i="1" s="1"/>
  <c r="L7004" i="1" a="1"/>
  <c r="L7004" i="1" s="1"/>
  <c r="S7004" i="1" a="1"/>
  <c r="S7004" i="1" s="1"/>
  <c r="N7004" i="1" a="1"/>
  <c r="N7004" i="1" s="1"/>
  <c r="R7004" i="1" a="1"/>
  <c r="R7004" i="1" s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L7005" i="1" l="1" a="1"/>
  <c r="L7005" i="1" s="1"/>
  <c r="P7005" i="1" a="1"/>
  <c r="P7005" i="1" s="1"/>
  <c r="B7006" i="1"/>
  <c r="I7005" i="1" a="1"/>
  <c r="I7005" i="1" s="1"/>
  <c r="O7005" i="1" a="1"/>
  <c r="O7005" i="1" s="1"/>
  <c r="J7005" i="1" a="1"/>
  <c r="J7005" i="1" s="1"/>
  <c r="Q7005" i="1" a="1"/>
  <c r="Q7005" i="1" s="1"/>
  <c r="S7005" i="1" a="1"/>
  <c r="S7005" i="1" s="1"/>
  <c r="K7005" i="1" a="1"/>
  <c r="K7005" i="1" s="1"/>
  <c r="M7005" i="1" a="1"/>
  <c r="M7005" i="1" s="1"/>
  <c r="N7005" i="1" a="1"/>
  <c r="N7005" i="1" s="1"/>
  <c r="R7005" i="1" a="1"/>
  <c r="R7005" i="1" s="1"/>
  <c r="A7006" i="1"/>
  <c r="H7005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H7006" i="1" l="1"/>
  <c r="A7007" i="1"/>
  <c r="K7006" i="1" a="1"/>
  <c r="K7006" i="1" s="1"/>
  <c r="O7006" i="1" a="1"/>
  <c r="O7006" i="1" s="1"/>
  <c r="S7006" i="1" a="1"/>
  <c r="S7006" i="1" s="1"/>
  <c r="B7007" i="1"/>
  <c r="N7006" i="1" a="1"/>
  <c r="N7006" i="1" s="1"/>
  <c r="I7006" i="1" a="1"/>
  <c r="I7006" i="1" s="1"/>
  <c r="P7006" i="1" a="1"/>
  <c r="P7006" i="1" s="1"/>
  <c r="J7006" i="1" a="1"/>
  <c r="J7006" i="1" s="1"/>
  <c r="Q7006" i="1" a="1"/>
  <c r="Q7006" i="1" s="1"/>
  <c r="L7006" i="1" a="1"/>
  <c r="L7006" i="1" s="1"/>
  <c r="R7006" i="1" a="1"/>
  <c r="R7006" i="1" s="1"/>
  <c r="M7006" i="1" a="1"/>
  <c r="M700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7007" i="1" l="1" a="1"/>
  <c r="J7007" i="1" s="1"/>
  <c r="N7007" i="1" a="1"/>
  <c r="N7007" i="1" s="1"/>
  <c r="R7007" i="1" a="1"/>
  <c r="R7007" i="1" s="1"/>
  <c r="S7007" i="1" a="1"/>
  <c r="S7007" i="1" s="1"/>
  <c r="O7007" i="1" a="1"/>
  <c r="O7007" i="1" s="1"/>
  <c r="I7007" i="1" a="1"/>
  <c r="I7007" i="1" s="1"/>
  <c r="P7007" i="1" a="1"/>
  <c r="P7007" i="1" s="1"/>
  <c r="B7008" i="1"/>
  <c r="L7007" i="1" a="1"/>
  <c r="L7007" i="1" s="1"/>
  <c r="Q7007" i="1" a="1"/>
  <c r="Q7007" i="1" s="1"/>
  <c r="K7007" i="1" a="1"/>
  <c r="K7007" i="1" s="1"/>
  <c r="M7007" i="1" a="1"/>
  <c r="M7007" i="1" s="1"/>
  <c r="H7007" i="1"/>
  <c r="A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B7018" i="1"/>
  <c r="A7018" i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H7018" i="1" l="1"/>
  <c r="A7019" i="1"/>
  <c r="K7018" i="1" a="1"/>
  <c r="K7018" i="1" s="1"/>
  <c r="O7018" i="1" a="1"/>
  <c r="O7018" i="1" s="1"/>
  <c r="S7018" i="1" a="1"/>
  <c r="S7018" i="1" s="1"/>
  <c r="M7018" i="1" a="1"/>
  <c r="M7018" i="1" s="1"/>
  <c r="I7018" i="1" a="1"/>
  <c r="I7018" i="1" s="1"/>
  <c r="R7018" i="1" a="1"/>
  <c r="R7018" i="1" s="1"/>
  <c r="N7018" i="1" a="1"/>
  <c r="N7018" i="1" s="1"/>
  <c r="J7018" i="1" a="1"/>
  <c r="J7018" i="1" s="1"/>
  <c r="B7019" i="1"/>
  <c r="L7018" i="1" a="1"/>
  <c r="L7018" i="1" s="1"/>
  <c r="P7018" i="1" a="1"/>
  <c r="P7018" i="1" s="1"/>
  <c r="Q7018" i="1" a="1"/>
  <c r="Q701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7020" i="1" l="1"/>
  <c r="H7019" i="1"/>
  <c r="J7019" i="1" a="1"/>
  <c r="J7019" i="1" s="1"/>
  <c r="N7019" i="1" a="1"/>
  <c r="N7019" i="1" s="1"/>
  <c r="R7019" i="1" a="1"/>
  <c r="R7019" i="1" s="1"/>
  <c r="I7019" i="1" a="1"/>
  <c r="I7019" i="1" s="1"/>
  <c r="S7019" i="1" a="1"/>
  <c r="S7019" i="1" s="1"/>
  <c r="O7019" i="1" a="1"/>
  <c r="O7019" i="1" s="1"/>
  <c r="K7019" i="1" a="1"/>
  <c r="K7019" i="1" s="1"/>
  <c r="P7019" i="1" a="1"/>
  <c r="P7019" i="1" s="1"/>
  <c r="Q7019" i="1" a="1"/>
  <c r="Q7019" i="1" s="1"/>
  <c r="B7020" i="1"/>
  <c r="L7019" i="1" a="1"/>
  <c r="L7019" i="1" s="1"/>
  <c r="M7019" i="1" a="1"/>
  <c r="M7019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7020" i="1" l="1" a="1"/>
  <c r="I7020" i="1" s="1"/>
  <c r="M7020" i="1" a="1"/>
  <c r="M7020" i="1" s="1"/>
  <c r="Q7020" i="1" a="1"/>
  <c r="Q7020" i="1" s="1"/>
  <c r="J7020" i="1" a="1"/>
  <c r="J7020" i="1" s="1"/>
  <c r="S7020" i="1" a="1"/>
  <c r="S7020" i="1" s="1"/>
  <c r="O7020" i="1" a="1"/>
  <c r="O7020" i="1" s="1"/>
  <c r="K7020" i="1" a="1"/>
  <c r="K7020" i="1" s="1"/>
  <c r="P7020" i="1" a="1"/>
  <c r="P7020" i="1" s="1"/>
  <c r="B7021" i="1"/>
  <c r="L7020" i="1" a="1"/>
  <c r="L7020" i="1" s="1"/>
  <c r="N7020" i="1" a="1"/>
  <c r="N7020" i="1" s="1"/>
  <c r="R7020" i="1" a="1"/>
  <c r="R7020" i="1" s="1"/>
  <c r="A7021" i="1"/>
  <c r="H702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7022" i="1" l="1"/>
  <c r="H7021" i="1"/>
  <c r="L7021" i="1" a="1"/>
  <c r="L7021" i="1" s="1"/>
  <c r="P7021" i="1" a="1"/>
  <c r="P7021" i="1" s="1"/>
  <c r="O7021" i="1" a="1"/>
  <c r="O7021" i="1" s="1"/>
  <c r="K7021" i="1" a="1"/>
  <c r="K7021" i="1" s="1"/>
  <c r="B7022" i="1"/>
  <c r="Q7021" i="1" a="1"/>
  <c r="Q7021" i="1" s="1"/>
  <c r="I7021" i="1" a="1"/>
  <c r="I7021" i="1" s="1"/>
  <c r="R7021" i="1" a="1"/>
  <c r="R7021" i="1" s="1"/>
  <c r="J7021" i="1" a="1"/>
  <c r="J7021" i="1" s="1"/>
  <c r="S7021" i="1" a="1"/>
  <c r="S7021" i="1" s="1"/>
  <c r="M7021" i="1" a="1"/>
  <c r="M7021" i="1" s="1"/>
  <c r="N7021" i="1" a="1"/>
  <c r="N7021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K7022" i="1" l="1" a="1"/>
  <c r="K7022" i="1" s="1"/>
  <c r="O7022" i="1" a="1"/>
  <c r="O7022" i="1" s="1"/>
  <c r="S7022" i="1" a="1"/>
  <c r="S7022" i="1" s="1"/>
  <c r="P7022" i="1" a="1"/>
  <c r="P7022" i="1" s="1"/>
  <c r="B7023" i="1"/>
  <c r="L7022" i="1" a="1"/>
  <c r="L7022" i="1" s="1"/>
  <c r="Q7022" i="1" a="1"/>
  <c r="Q7022" i="1" s="1"/>
  <c r="M7022" i="1" a="1"/>
  <c r="M7022" i="1" s="1"/>
  <c r="N7022" i="1" a="1"/>
  <c r="N7022" i="1" s="1"/>
  <c r="I7022" i="1" a="1"/>
  <c r="I7022" i="1" s="1"/>
  <c r="R7022" i="1" a="1"/>
  <c r="R7022" i="1" s="1"/>
  <c r="J7022" i="1" a="1"/>
  <c r="J7022" i="1" s="1"/>
  <c r="H7022" i="1"/>
  <c r="A7023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H7023" i="1" l="1"/>
  <c r="A7024" i="1"/>
  <c r="J7023" i="1" a="1"/>
  <c r="J7023" i="1" s="1"/>
  <c r="N7023" i="1" a="1"/>
  <c r="N7023" i="1" s="1"/>
  <c r="R7023" i="1" a="1"/>
  <c r="R7023" i="1" s="1"/>
  <c r="L7023" i="1" a="1"/>
  <c r="L7023" i="1" s="1"/>
  <c r="Q7023" i="1" a="1"/>
  <c r="Q7023" i="1" s="1"/>
  <c r="M7023" i="1" a="1"/>
  <c r="M7023" i="1" s="1"/>
  <c r="I7023" i="1" a="1"/>
  <c r="I7023" i="1" s="1"/>
  <c r="S7023" i="1" a="1"/>
  <c r="S7023" i="1" s="1"/>
  <c r="K7023" i="1" a="1"/>
  <c r="K7023" i="1" s="1"/>
  <c r="B7024" i="1"/>
  <c r="O7023" i="1" a="1"/>
  <c r="O7023" i="1" s="1"/>
  <c r="P7023" i="1" a="1"/>
  <c r="P702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7024" i="1" l="1"/>
  <c r="A7025" i="1"/>
  <c r="I7024" i="1" a="1"/>
  <c r="I7024" i="1" s="1"/>
  <c r="M7024" i="1" a="1"/>
  <c r="M7024" i="1" s="1"/>
  <c r="Q7024" i="1" a="1"/>
  <c r="Q7024" i="1" s="1"/>
  <c r="R7024" i="1" a="1"/>
  <c r="R7024" i="1" s="1"/>
  <c r="N7024" i="1" a="1"/>
  <c r="N7024" i="1" s="1"/>
  <c r="J7024" i="1" a="1"/>
  <c r="J7024" i="1" s="1"/>
  <c r="S7024" i="1" a="1"/>
  <c r="S7024" i="1" s="1"/>
  <c r="O7024" i="1" a="1"/>
  <c r="O7024" i="1" s="1"/>
  <c r="P7024" i="1" a="1"/>
  <c r="P7024" i="1" s="1"/>
  <c r="K7024" i="1" a="1"/>
  <c r="K7024" i="1" s="1"/>
  <c r="B7025" i="1"/>
  <c r="L7024" i="1" a="1"/>
  <c r="L7024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025" i="1" l="1" a="1"/>
  <c r="L7025" i="1" s="1"/>
  <c r="P7025" i="1" a="1"/>
  <c r="P7025" i="1" s="1"/>
  <c r="I7025" i="1" a="1"/>
  <c r="I7025" i="1" s="1"/>
  <c r="R7025" i="1" a="1"/>
  <c r="R7025" i="1" s="1"/>
  <c r="N7025" i="1" a="1"/>
  <c r="N7025" i="1" s="1"/>
  <c r="J7025" i="1" a="1"/>
  <c r="J7025" i="1" s="1"/>
  <c r="S7025" i="1" a="1"/>
  <c r="S7025" i="1" s="1"/>
  <c r="O7025" i="1" a="1"/>
  <c r="O7025" i="1" s="1"/>
  <c r="K7025" i="1" a="1"/>
  <c r="K7025" i="1" s="1"/>
  <c r="B7026" i="1"/>
  <c r="M7025" i="1" a="1"/>
  <c r="M7025" i="1" s="1"/>
  <c r="Q7025" i="1" a="1"/>
  <c r="Q7025" i="1" s="1"/>
  <c r="A7026" i="1"/>
  <c r="H7025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7027" i="1" l="1"/>
  <c r="H7026" i="1"/>
  <c r="K7026" i="1" a="1"/>
  <c r="K7026" i="1" s="1"/>
  <c r="O7026" i="1" a="1"/>
  <c r="O7026" i="1" s="1"/>
  <c r="S7026" i="1" a="1"/>
  <c r="S7026" i="1" s="1"/>
  <c r="N7026" i="1" a="1"/>
  <c r="N7026" i="1" s="1"/>
  <c r="J7026" i="1" a="1"/>
  <c r="J7026" i="1" s="1"/>
  <c r="P7026" i="1" a="1"/>
  <c r="P7026" i="1" s="1"/>
  <c r="B7027" i="1"/>
  <c r="Q7026" i="1" a="1"/>
  <c r="Q7026" i="1" s="1"/>
  <c r="I7026" i="1" a="1"/>
  <c r="I7026" i="1" s="1"/>
  <c r="R7026" i="1" a="1"/>
  <c r="R7026" i="1" s="1"/>
  <c r="L7026" i="1" a="1"/>
  <c r="L7026" i="1" s="1"/>
  <c r="M7026" i="1" a="1"/>
  <c r="M7026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A7028" i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7029" i="1" l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A7030" i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A7031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B7032" i="1"/>
  <c r="O7031" i="1" a="1"/>
  <c r="O7031" i="1" s="1"/>
  <c r="P7031" i="1" a="1"/>
  <c r="P7031" i="1" s="1"/>
  <c r="K7031" i="1" a="1"/>
  <c r="K7031" i="1" s="1"/>
  <c r="Q7031" i="1" a="1"/>
  <c r="Q7031" i="1" s="1"/>
  <c r="H7031" i="1"/>
  <c r="A7032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A7033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7034" i="1" l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A7035" i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A7036" i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A7037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7038" i="1" l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A7039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7040" i="1" l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A7041" i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A7042" i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A7043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A7044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A7045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7046" i="1" l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7047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A7048" i="1"/>
  <c r="H7047" i="1"/>
  <c r="A3527" i="1"/>
  <c r="L3526" i="1" a="1"/>
  <c r="L3526" i="1" s="1"/>
  <c r="H3526" i="1"/>
  <c r="H7048" i="1" l="1"/>
  <c r="A7049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A7050" i="1"/>
  <c r="H7049" i="1"/>
  <c r="A3529" i="1"/>
  <c r="O3528" i="1" a="1"/>
  <c r="O3528" i="1" s="1"/>
  <c r="H3528" i="1"/>
  <c r="H7050" i="1" l="1"/>
  <c r="A7051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7052" i="1"/>
  <c r="A3531" i="1"/>
  <c r="H3530" i="1"/>
  <c r="O3530" i="1" a="1"/>
  <c r="O3530" i="1" s="1"/>
  <c r="H7052" i="1" l="1"/>
  <c r="A7053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A7054" i="1"/>
  <c r="H7053" i="1"/>
  <c r="A3533" i="1"/>
  <c r="O3532" i="1" a="1"/>
  <c r="O3532" i="1" s="1"/>
  <c r="H3532" i="1"/>
  <c r="H7054" i="1" l="1"/>
  <c r="A7055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A7056" i="1" l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A7057" i="1"/>
  <c r="H7056" i="1"/>
  <c r="A3536" i="1"/>
  <c r="H3535" i="1"/>
  <c r="O3535" i="1" a="1"/>
  <c r="O3535" i="1" s="1"/>
  <c r="H7057" i="1" l="1"/>
  <c r="A7058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7059" i="1"/>
  <c r="A3538" i="1"/>
  <c r="H3537" i="1"/>
  <c r="O3537" i="1" a="1"/>
  <c r="O3537" i="1" s="1"/>
  <c r="H7059" i="1" l="1"/>
  <c r="A7060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7061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7062" i="1"/>
  <c r="A3541" i="1"/>
  <c r="O3540" i="1" a="1"/>
  <c r="O3540" i="1" s="1"/>
  <c r="H3540" i="1"/>
  <c r="I4438" i="1" a="1"/>
  <c r="I4438" i="1" s="1"/>
  <c r="A7063" i="1" l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A7064" i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7065" i="1" l="1"/>
  <c r="H7064" i="1"/>
  <c r="P7064" i="1" a="1"/>
  <c r="P7064" i="1" s="1"/>
  <c r="B7065" i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B7066" i="1" l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7066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A7067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7068" i="1"/>
  <c r="A3547" i="1"/>
  <c r="H3546" i="1"/>
  <c r="O3546" i="1" a="1"/>
  <c r="O3546" i="1" s="1"/>
  <c r="I4443" i="1" a="1"/>
  <c r="I4443" i="1" s="1"/>
  <c r="I4444" i="1" a="1"/>
  <c r="I4444" i="1" s="1"/>
  <c r="H4443" i="1"/>
  <c r="A7069" i="1" l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7070" i="1"/>
  <c r="A3549" i="1"/>
  <c r="O3548" i="1" a="1"/>
  <c r="O3548" i="1" s="1"/>
  <c r="H3548" i="1"/>
  <c r="I4446" i="1" a="1"/>
  <c r="I4446" i="1" s="1"/>
  <c r="H4445" i="1"/>
  <c r="H7070" i="1" l="1"/>
  <c r="A7071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A7072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A7073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A7074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A7075" i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A7076" i="1" l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A7077" i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A7078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7079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7080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A7081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B7081" i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7082" i="1"/>
  <c r="A3561" i="1"/>
  <c r="I3560" i="1" a="1"/>
  <c r="I3560" i="1" s="1"/>
  <c r="H3560" i="1"/>
  <c r="I4457" i="1" a="1"/>
  <c r="I4457" i="1" s="1"/>
  <c r="K4457" i="1" a="1"/>
  <c r="K4457" i="1" s="1"/>
  <c r="H4457" i="1"/>
  <c r="A7083" i="1" l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A7084" i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A7085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7086" i="1"/>
  <c r="A3565" i="1"/>
  <c r="I3564" i="1" a="1"/>
  <c r="I3564" i="1" s="1"/>
  <c r="H3564" i="1"/>
  <c r="I4461" i="1" a="1"/>
  <c r="I4461" i="1" s="1"/>
  <c r="K4461" i="1" a="1"/>
  <c r="K4461" i="1" s="1"/>
  <c r="H4461" i="1"/>
  <c r="A7087" i="1" l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A7088" i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7089" i="1" l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7090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A7091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B7092" i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7092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M7092" i="1" l="1" a="1"/>
  <c r="M7092" i="1" s="1"/>
  <c r="R7092" i="1" a="1"/>
  <c r="R7092" i="1" s="1"/>
  <c r="I7092" i="1" a="1"/>
  <c r="I7092" i="1" s="1"/>
  <c r="N7092" i="1" a="1"/>
  <c r="N7092" i="1" s="1"/>
  <c r="J7092" i="1" a="1"/>
  <c r="J7092" i="1" s="1"/>
  <c r="S7092" i="1" a="1"/>
  <c r="S7092" i="1" s="1"/>
  <c r="B7093" i="1"/>
  <c r="O7092" i="1" a="1"/>
  <c r="O7092" i="1" s="1"/>
  <c r="P7092" i="1" a="1"/>
  <c r="P7092" i="1" s="1"/>
  <c r="K7092" i="1" a="1"/>
  <c r="K7092" i="1" s="1"/>
  <c r="L7092" i="1" a="1"/>
  <c r="L7092" i="1" s="1"/>
  <c r="Q7092" i="1" a="1"/>
  <c r="Q7092" i="1" s="1"/>
  <c r="H7092" i="1"/>
  <c r="A7093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7094" i="1" l="1"/>
  <c r="N7093" i="1" a="1"/>
  <c r="N7093" i="1" s="1"/>
  <c r="J7093" i="1" a="1"/>
  <c r="J7093" i="1" s="1"/>
  <c r="S7093" i="1" a="1"/>
  <c r="S7093" i="1" s="1"/>
  <c r="O7093" i="1" a="1"/>
  <c r="O7093" i="1" s="1"/>
  <c r="P7093" i="1" a="1"/>
  <c r="P7093" i="1" s="1"/>
  <c r="I7093" i="1" a="1"/>
  <c r="I7093" i="1" s="1"/>
  <c r="Q7093" i="1" a="1"/>
  <c r="Q7093" i="1" s="1"/>
  <c r="K7093" i="1" a="1"/>
  <c r="K7093" i="1" s="1"/>
  <c r="L7093" i="1" a="1"/>
  <c r="L7093" i="1" s="1"/>
  <c r="M7093" i="1" a="1"/>
  <c r="M7093" i="1" s="1"/>
  <c r="R7093" i="1" a="1"/>
  <c r="R7093" i="1" s="1"/>
  <c r="H7093" i="1"/>
  <c r="A7094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7095" i="1" l="1"/>
  <c r="H7094" i="1"/>
  <c r="J7094" i="1" a="1"/>
  <c r="J7094" i="1" s="1"/>
  <c r="S7094" i="1" a="1"/>
  <c r="S7094" i="1" s="1"/>
  <c r="O7094" i="1" a="1"/>
  <c r="O7094" i="1" s="1"/>
  <c r="K7094" i="1" a="1"/>
  <c r="K7094" i="1" s="1"/>
  <c r="P7094" i="1" a="1"/>
  <c r="P7094" i="1" s="1"/>
  <c r="B7095" i="1"/>
  <c r="I7094" i="1" a="1"/>
  <c r="I7094" i="1" s="1"/>
  <c r="Q7094" i="1" a="1"/>
  <c r="Q7094" i="1" s="1"/>
  <c r="L7094" i="1" a="1"/>
  <c r="L7094" i="1" s="1"/>
  <c r="R7094" i="1" a="1"/>
  <c r="R7094" i="1" s="1"/>
  <c r="M7094" i="1" a="1"/>
  <c r="M7094" i="1" s="1"/>
  <c r="N7094" i="1" a="1"/>
  <c r="N7094" i="1" s="1"/>
  <c r="I4470" i="1" a="1"/>
  <c r="I4470" i="1" s="1"/>
  <c r="K4470" i="1" a="1"/>
  <c r="K4470" i="1" s="1"/>
  <c r="H4470" i="1"/>
  <c r="O4470" i="1" a="1"/>
  <c r="O4470" i="1" s="1"/>
  <c r="K7095" i="1" l="1" a="1"/>
  <c r="K7095" i="1" s="1"/>
  <c r="P7095" i="1" a="1"/>
  <c r="P7095" i="1" s="1"/>
  <c r="B7096" i="1"/>
  <c r="L7095" i="1" a="1"/>
  <c r="L7095" i="1" s="1"/>
  <c r="J7095" i="1" a="1"/>
  <c r="J7095" i="1" s="1"/>
  <c r="R7095" i="1" a="1"/>
  <c r="R7095" i="1" s="1"/>
  <c r="S7095" i="1" a="1"/>
  <c r="S7095" i="1" s="1"/>
  <c r="M7095" i="1" a="1"/>
  <c r="M7095" i="1" s="1"/>
  <c r="N7095" i="1" a="1"/>
  <c r="N7095" i="1" s="1"/>
  <c r="O7095" i="1" a="1"/>
  <c r="O7095" i="1" s="1"/>
  <c r="Q7095" i="1" a="1"/>
  <c r="Q7095" i="1" s="1"/>
  <c r="I7095" i="1" a="1"/>
  <c r="I7095" i="1" s="1"/>
  <c r="A7096" i="1"/>
  <c r="H7095" i="1"/>
  <c r="I4471" i="1" a="1"/>
  <c r="I4471" i="1" s="1"/>
  <c r="K4471" i="1" a="1"/>
  <c r="K4471" i="1" s="1"/>
  <c r="C4472" i="1"/>
  <c r="H4471" i="1"/>
  <c r="O4471" i="1" a="1"/>
  <c r="O4471" i="1" s="1"/>
  <c r="A7097" i="1" l="1"/>
  <c r="H7096" i="1"/>
  <c r="P7096" i="1" a="1"/>
  <c r="P7096" i="1" s="1"/>
  <c r="B7097" i="1"/>
  <c r="L7096" i="1" a="1"/>
  <c r="L7096" i="1" s="1"/>
  <c r="Q7096" i="1" a="1"/>
  <c r="Q7096" i="1" s="1"/>
  <c r="M7096" i="1" a="1"/>
  <c r="M7096" i="1" s="1"/>
  <c r="N7096" i="1" a="1"/>
  <c r="N7096" i="1" s="1"/>
  <c r="O7096" i="1" a="1"/>
  <c r="O7096" i="1" s="1"/>
  <c r="R7096" i="1" a="1"/>
  <c r="R7096" i="1" s="1"/>
  <c r="S7096" i="1" a="1"/>
  <c r="S7096" i="1" s="1"/>
  <c r="I7096" i="1" a="1"/>
  <c r="I7096" i="1" s="1"/>
  <c r="K7096" i="1" a="1"/>
  <c r="K7096" i="1" s="1"/>
  <c r="J7096" i="1" a="1"/>
  <c r="J709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7097" i="1" l="1" a="1"/>
  <c r="L7097" i="1" s="1"/>
  <c r="M7097" i="1" a="1"/>
  <c r="M7097" i="1" s="1"/>
  <c r="I7097" i="1" a="1"/>
  <c r="I7097" i="1" s="1"/>
  <c r="S7097" i="1" a="1"/>
  <c r="S7097" i="1" s="1"/>
  <c r="O7097" i="1" a="1"/>
  <c r="O7097" i="1" s="1"/>
  <c r="J7097" i="1" a="1"/>
  <c r="J7097" i="1" s="1"/>
  <c r="P7097" i="1" a="1"/>
  <c r="P7097" i="1" s="1"/>
  <c r="B7098" i="1"/>
  <c r="Q7097" i="1" a="1"/>
  <c r="Q7097" i="1" s="1"/>
  <c r="R7097" i="1" a="1"/>
  <c r="R7097" i="1" s="1"/>
  <c r="K7097" i="1" a="1"/>
  <c r="K7097" i="1" s="1"/>
  <c r="N7097" i="1" a="1"/>
  <c r="N7097" i="1" s="1"/>
  <c r="H7097" i="1"/>
  <c r="A7098" i="1"/>
  <c r="I4473" i="1" a="1"/>
  <c r="I4473" i="1" s="1"/>
  <c r="K4473" i="1" a="1"/>
  <c r="K4473" i="1" s="1"/>
  <c r="H4473" i="1"/>
  <c r="O4473" i="1" a="1"/>
  <c r="O4473" i="1" s="1"/>
  <c r="B7099" i="1" l="1"/>
  <c r="O7098" i="1" a="1"/>
  <c r="O7098" i="1" s="1"/>
  <c r="K7098" i="1" a="1"/>
  <c r="K7098" i="1" s="1"/>
  <c r="P7098" i="1" a="1"/>
  <c r="P7098" i="1" s="1"/>
  <c r="L7098" i="1" a="1"/>
  <c r="L7098" i="1" s="1"/>
  <c r="Q7098" i="1" a="1"/>
  <c r="Q7098" i="1" s="1"/>
  <c r="M7098" i="1" a="1"/>
  <c r="M7098" i="1" s="1"/>
  <c r="N7098" i="1" a="1"/>
  <c r="N7098" i="1" s="1"/>
  <c r="S7098" i="1" a="1"/>
  <c r="S7098" i="1" s="1"/>
  <c r="J7098" i="1" a="1"/>
  <c r="J7098" i="1" s="1"/>
  <c r="R7098" i="1" a="1"/>
  <c r="R7098" i="1" s="1"/>
  <c r="I7098" i="1" a="1"/>
  <c r="I7098" i="1" s="1"/>
  <c r="H7098" i="1"/>
  <c r="A7099" i="1"/>
  <c r="I4474" i="1" a="1"/>
  <c r="I4474" i="1" s="1"/>
  <c r="K4474" i="1" a="1"/>
  <c r="K4474" i="1" s="1"/>
  <c r="C4475" i="1"/>
  <c r="H4474" i="1"/>
  <c r="O4474" i="1" a="1"/>
  <c r="O4474" i="1" s="1"/>
  <c r="H7099" i="1" l="1"/>
  <c r="A7100" i="1"/>
  <c r="K7099" i="1" a="1"/>
  <c r="K7099" i="1" s="1"/>
  <c r="P7099" i="1" a="1"/>
  <c r="P7099" i="1" s="1"/>
  <c r="B7100" i="1"/>
  <c r="L7099" i="1" a="1"/>
  <c r="L7099" i="1" s="1"/>
  <c r="Q7099" i="1" a="1"/>
  <c r="Q7099" i="1" s="1"/>
  <c r="M7099" i="1" a="1"/>
  <c r="M7099" i="1" s="1"/>
  <c r="I7099" i="1" a="1"/>
  <c r="I7099" i="1" s="1"/>
  <c r="R7099" i="1" a="1"/>
  <c r="R7099" i="1" s="1"/>
  <c r="J7099" i="1" a="1"/>
  <c r="J7099" i="1" s="1"/>
  <c r="S7099" i="1" a="1"/>
  <c r="S7099" i="1" s="1"/>
  <c r="N7099" i="1" a="1"/>
  <c r="N7099" i="1" s="1"/>
  <c r="O7099" i="1" a="1"/>
  <c r="O709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100" i="1" l="1"/>
  <c r="A7101" i="1"/>
  <c r="L7100" i="1" a="1"/>
  <c r="L7100" i="1" s="1"/>
  <c r="Q7100" i="1" a="1"/>
  <c r="Q7100" i="1" s="1"/>
  <c r="M7100" i="1" a="1"/>
  <c r="M7100" i="1" s="1"/>
  <c r="I7100" i="1" a="1"/>
  <c r="I7100" i="1" s="1"/>
  <c r="R7100" i="1" a="1"/>
  <c r="R7100" i="1" s="1"/>
  <c r="N7100" i="1" a="1"/>
  <c r="N7100" i="1" s="1"/>
  <c r="O7100" i="1" a="1"/>
  <c r="O7100" i="1" s="1"/>
  <c r="P7100" i="1" a="1"/>
  <c r="P7100" i="1" s="1"/>
  <c r="S7100" i="1" a="1"/>
  <c r="S7100" i="1" s="1"/>
  <c r="J7100" i="1" a="1"/>
  <c r="J7100" i="1" s="1"/>
  <c r="B7101" i="1"/>
  <c r="K7100" i="1" a="1"/>
  <c r="K7100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7101" i="1" l="1" a="1"/>
  <c r="Q7101" i="1" s="1"/>
  <c r="M7101" i="1" a="1"/>
  <c r="M7101" i="1" s="1"/>
  <c r="R7101" i="1" a="1"/>
  <c r="R7101" i="1" s="1"/>
  <c r="I7101" i="1" a="1"/>
  <c r="I7101" i="1" s="1"/>
  <c r="N7101" i="1" a="1"/>
  <c r="N7101" i="1" s="1"/>
  <c r="J7101" i="1" a="1"/>
  <c r="J7101" i="1" s="1"/>
  <c r="S7101" i="1" a="1"/>
  <c r="S7101" i="1" s="1"/>
  <c r="K7101" i="1" a="1"/>
  <c r="K7101" i="1" s="1"/>
  <c r="B7102" i="1"/>
  <c r="L7101" i="1" a="1"/>
  <c r="L7101" i="1" s="1"/>
  <c r="O7101" i="1" a="1"/>
  <c r="O7101" i="1" s="1"/>
  <c r="P7101" i="1" a="1"/>
  <c r="P7101" i="1" s="1"/>
  <c r="H7101" i="1"/>
  <c r="A7102" i="1"/>
  <c r="I4477" i="1" a="1"/>
  <c r="I4477" i="1" s="1"/>
  <c r="K4477" i="1" a="1"/>
  <c r="K4477" i="1" s="1"/>
  <c r="C4478" i="1"/>
  <c r="H4477" i="1"/>
  <c r="O4477" i="1" a="1"/>
  <c r="O4477" i="1" s="1"/>
  <c r="H7102" i="1" l="1"/>
  <c r="A7103" i="1"/>
  <c r="B7103" i="1"/>
  <c r="I7102" i="1" a="1"/>
  <c r="I7102" i="1" s="1"/>
  <c r="R7102" i="1" a="1"/>
  <c r="R7102" i="1" s="1"/>
  <c r="N7102" i="1" a="1"/>
  <c r="N7102" i="1" s="1"/>
  <c r="J7102" i="1" a="1"/>
  <c r="J7102" i="1" s="1"/>
  <c r="S7102" i="1" a="1"/>
  <c r="S7102" i="1" s="1"/>
  <c r="O7102" i="1" a="1"/>
  <c r="O7102" i="1" s="1"/>
  <c r="P7102" i="1" a="1"/>
  <c r="P7102" i="1" s="1"/>
  <c r="Q7102" i="1" a="1"/>
  <c r="Q7102" i="1" s="1"/>
  <c r="K7102" i="1" a="1"/>
  <c r="K7102" i="1" s="1"/>
  <c r="M7102" i="1" a="1"/>
  <c r="M7102" i="1" s="1"/>
  <c r="L7102" i="1" a="1"/>
  <c r="L7102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7103" i="1" l="1" a="1"/>
  <c r="N7103" i="1" s="1"/>
  <c r="J7103" i="1" a="1"/>
  <c r="J7103" i="1" s="1"/>
  <c r="S7103" i="1" a="1"/>
  <c r="S7103" i="1" s="1"/>
  <c r="O7103" i="1" a="1"/>
  <c r="O7103" i="1" s="1"/>
  <c r="K7103" i="1" a="1"/>
  <c r="K7103" i="1" s="1"/>
  <c r="P7103" i="1" a="1"/>
  <c r="P7103" i="1" s="1"/>
  <c r="B7104" i="1"/>
  <c r="L7103" i="1" a="1"/>
  <c r="L7103" i="1" s="1"/>
  <c r="M7103" i="1" a="1"/>
  <c r="M7103" i="1" s="1"/>
  <c r="R7103" i="1" a="1"/>
  <c r="R7103" i="1" s="1"/>
  <c r="I7103" i="1" a="1"/>
  <c r="I7103" i="1" s="1"/>
  <c r="Q7103" i="1" a="1"/>
  <c r="Q7103" i="1" s="1"/>
  <c r="A7104" i="1"/>
  <c r="H7103" i="1"/>
  <c r="I4479" i="1" a="1"/>
  <c r="I4479" i="1" s="1"/>
  <c r="K4479" i="1" a="1"/>
  <c r="K4479" i="1" s="1"/>
  <c r="L4480" i="1" a="1"/>
  <c r="L4480" i="1" s="1"/>
  <c r="H4479" i="1"/>
  <c r="O4479" i="1" a="1"/>
  <c r="O4479" i="1" s="1"/>
  <c r="J7104" i="1" l="1" a="1"/>
  <c r="J7104" i="1" s="1"/>
  <c r="O7104" i="1" a="1"/>
  <c r="O7104" i="1" s="1"/>
  <c r="K7104" i="1" a="1"/>
  <c r="K7104" i="1" s="1"/>
  <c r="P7104" i="1" a="1"/>
  <c r="P7104" i="1" s="1"/>
  <c r="B7105" i="1"/>
  <c r="L7104" i="1" a="1"/>
  <c r="L7104" i="1" s="1"/>
  <c r="Q7104" i="1" a="1"/>
  <c r="Q7104" i="1" s="1"/>
  <c r="I7104" i="1" a="1"/>
  <c r="I7104" i="1" s="1"/>
  <c r="R7104" i="1" a="1"/>
  <c r="R7104" i="1" s="1"/>
  <c r="S7104" i="1" a="1"/>
  <c r="S7104" i="1" s="1"/>
  <c r="N7104" i="1" a="1"/>
  <c r="N7104" i="1" s="1"/>
  <c r="M7104" i="1" a="1"/>
  <c r="M7104" i="1" s="1"/>
  <c r="A7105" i="1"/>
  <c r="H7104" i="1"/>
  <c r="I4480" i="1" a="1"/>
  <c r="I4480" i="1" s="1"/>
  <c r="K4480" i="1" a="1"/>
  <c r="K4480" i="1" s="1"/>
  <c r="L4481" i="1" a="1"/>
  <c r="L4481" i="1" s="1"/>
  <c r="H4480" i="1"/>
  <c r="O4480" i="1" a="1"/>
  <c r="O4480" i="1" s="1"/>
  <c r="A7106" i="1" l="1"/>
  <c r="H7105" i="1"/>
  <c r="K7105" i="1" a="1"/>
  <c r="K7105" i="1" s="1"/>
  <c r="P7105" i="1" a="1"/>
  <c r="P7105" i="1" s="1"/>
  <c r="B7106" i="1"/>
  <c r="L7105" i="1" a="1"/>
  <c r="L7105" i="1" s="1"/>
  <c r="Q7105" i="1" a="1"/>
  <c r="Q7105" i="1" s="1"/>
  <c r="M7105" i="1" a="1"/>
  <c r="M7105" i="1" s="1"/>
  <c r="N7105" i="1" a="1"/>
  <c r="N7105" i="1" s="1"/>
  <c r="O7105" i="1" a="1"/>
  <c r="O7105" i="1" s="1"/>
  <c r="R7105" i="1" a="1"/>
  <c r="R7105" i="1" s="1"/>
  <c r="I7105" i="1" a="1"/>
  <c r="I7105" i="1" s="1"/>
  <c r="J7105" i="1" a="1"/>
  <c r="J7105" i="1" s="1"/>
  <c r="S7105" i="1" a="1"/>
  <c r="S7105" i="1" s="1"/>
  <c r="I4481" i="1" a="1"/>
  <c r="I4481" i="1" s="1"/>
  <c r="K4481" i="1" a="1"/>
  <c r="K4481" i="1" s="1"/>
  <c r="C4482" i="1"/>
  <c r="H4481" i="1"/>
  <c r="O4481" i="1" a="1"/>
  <c r="O4481" i="1" s="1"/>
  <c r="B7107" i="1" l="1"/>
  <c r="P7106" i="1" a="1"/>
  <c r="P7106" i="1" s="1"/>
  <c r="L7106" i="1" a="1"/>
  <c r="L7106" i="1" s="1"/>
  <c r="Q7106" i="1" a="1"/>
  <c r="Q7106" i="1" s="1"/>
  <c r="M7106" i="1" a="1"/>
  <c r="M7106" i="1" s="1"/>
  <c r="I7106" i="1" a="1"/>
  <c r="I7106" i="1" s="1"/>
  <c r="R7106" i="1" a="1"/>
  <c r="R7106" i="1" s="1"/>
  <c r="J7106" i="1" a="1"/>
  <c r="J7106" i="1" s="1"/>
  <c r="S7106" i="1" a="1"/>
  <c r="S7106" i="1" s="1"/>
  <c r="K7106" i="1" a="1"/>
  <c r="K7106" i="1" s="1"/>
  <c r="N7106" i="1" a="1"/>
  <c r="N7106" i="1" s="1"/>
  <c r="O7106" i="1" a="1"/>
  <c r="O7106" i="1" s="1"/>
  <c r="H7106" i="1"/>
  <c r="A7107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H7107" i="1" l="1"/>
  <c r="A7108" i="1"/>
  <c r="Q7107" i="1" a="1"/>
  <c r="Q7107" i="1" s="1"/>
  <c r="M7107" i="1" a="1"/>
  <c r="M7107" i="1" s="1"/>
  <c r="I7107" i="1" a="1"/>
  <c r="I7107" i="1" s="1"/>
  <c r="R7107" i="1" a="1"/>
  <c r="R7107" i="1" s="1"/>
  <c r="N7107" i="1" a="1"/>
  <c r="N7107" i="1" s="1"/>
  <c r="O7107" i="1" a="1"/>
  <c r="O7107" i="1" s="1"/>
  <c r="P7107" i="1" a="1"/>
  <c r="P7107" i="1" s="1"/>
  <c r="J7107" i="1" a="1"/>
  <c r="J7107" i="1" s="1"/>
  <c r="S7107" i="1" a="1"/>
  <c r="S7107" i="1" s="1"/>
  <c r="L7107" i="1" a="1"/>
  <c r="L7107" i="1" s="1"/>
  <c r="K7107" i="1" a="1"/>
  <c r="K7107" i="1" s="1"/>
  <c r="B7108" i="1"/>
  <c r="I4483" i="1" a="1"/>
  <c r="I4483" i="1" s="1"/>
  <c r="K4483" i="1" a="1"/>
  <c r="K4483" i="1" s="1"/>
  <c r="L4484" i="1" a="1"/>
  <c r="L4484" i="1" s="1"/>
  <c r="H4483" i="1"/>
  <c r="O4483" i="1" a="1"/>
  <c r="O4483" i="1" s="1"/>
  <c r="M7108" i="1" l="1" a="1"/>
  <c r="M7108" i="1" s="1"/>
  <c r="I7108" i="1" a="1"/>
  <c r="I7108" i="1" s="1"/>
  <c r="R7108" i="1" a="1"/>
  <c r="R7108" i="1" s="1"/>
  <c r="N7108" i="1" a="1"/>
  <c r="N7108" i="1" s="1"/>
  <c r="S7108" i="1" a="1"/>
  <c r="S7108" i="1" s="1"/>
  <c r="J7108" i="1" a="1"/>
  <c r="J7108" i="1" s="1"/>
  <c r="O7108" i="1" a="1"/>
  <c r="O7108" i="1" s="1"/>
  <c r="K7108" i="1" a="1"/>
  <c r="K7108" i="1" s="1"/>
  <c r="B7109" i="1"/>
  <c r="L7108" i="1" a="1"/>
  <c r="L7108" i="1" s="1"/>
  <c r="P7108" i="1" a="1"/>
  <c r="P7108" i="1" s="1"/>
  <c r="Q7108" i="1" a="1"/>
  <c r="Q7108" i="1" s="1"/>
  <c r="H7108" i="1"/>
  <c r="A7109" i="1"/>
  <c r="I4484" i="1" a="1"/>
  <c r="I4484" i="1" s="1"/>
  <c r="K4484" i="1" a="1"/>
  <c r="K4484" i="1" s="1"/>
  <c r="C4485" i="1"/>
  <c r="H4484" i="1"/>
  <c r="O4484" i="1" a="1"/>
  <c r="O4484" i="1" s="1"/>
  <c r="A7110" i="1" l="1"/>
  <c r="H7109" i="1"/>
  <c r="I7109" i="1" a="1"/>
  <c r="I7109" i="1" s="1"/>
  <c r="N7109" i="1" a="1"/>
  <c r="N7109" i="1" s="1"/>
  <c r="J7109" i="1" a="1"/>
  <c r="J7109" i="1" s="1"/>
  <c r="S7109" i="1" a="1"/>
  <c r="S7109" i="1" s="1"/>
  <c r="O7109" i="1" a="1"/>
  <c r="O7109" i="1" s="1"/>
  <c r="K7109" i="1" a="1"/>
  <c r="K7109" i="1" s="1"/>
  <c r="P7109" i="1" a="1"/>
  <c r="P7109" i="1" s="1"/>
  <c r="Q7109" i="1" a="1"/>
  <c r="Q7109" i="1" s="1"/>
  <c r="R7109" i="1" a="1"/>
  <c r="R7109" i="1" s="1"/>
  <c r="B7110" i="1"/>
  <c r="M7109" i="1" a="1"/>
  <c r="M7109" i="1" s="1"/>
  <c r="L7109" i="1" a="1"/>
  <c r="L7109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B7111" i="1" l="1"/>
  <c r="J7110" i="1" a="1"/>
  <c r="J7110" i="1" s="1"/>
  <c r="S7110" i="1" a="1"/>
  <c r="S7110" i="1" s="1"/>
  <c r="O7110" i="1" a="1"/>
  <c r="O7110" i="1" s="1"/>
  <c r="K7110" i="1" a="1"/>
  <c r="K7110" i="1" s="1"/>
  <c r="P7110" i="1" a="1"/>
  <c r="P7110" i="1" s="1"/>
  <c r="L7110" i="1" a="1"/>
  <c r="L7110" i="1" s="1"/>
  <c r="M7110" i="1" a="1"/>
  <c r="M7110" i="1" s="1"/>
  <c r="N7110" i="1" a="1"/>
  <c r="N7110" i="1" s="1"/>
  <c r="Q7110" i="1" a="1"/>
  <c r="Q7110" i="1" s="1"/>
  <c r="I7110" i="1" a="1"/>
  <c r="I7110" i="1" s="1"/>
  <c r="R7110" i="1" a="1"/>
  <c r="R7110" i="1" s="1"/>
  <c r="H7110" i="1"/>
  <c r="A7111" i="1"/>
  <c r="I4486" i="1" a="1"/>
  <c r="I4486" i="1" s="1"/>
  <c r="K4486" i="1" a="1"/>
  <c r="K4486" i="1" s="1"/>
  <c r="L4487" i="1" a="1"/>
  <c r="L4487" i="1" s="1"/>
  <c r="H4486" i="1"/>
  <c r="O4486" i="1" a="1"/>
  <c r="O4486" i="1" s="1"/>
  <c r="A7112" i="1" l="1"/>
  <c r="H7111" i="1"/>
  <c r="O7111" i="1" a="1"/>
  <c r="O7111" i="1" s="1"/>
  <c r="K7111" i="1" a="1"/>
  <c r="K7111" i="1" s="1"/>
  <c r="P7111" i="1" a="1"/>
  <c r="P7111" i="1" s="1"/>
  <c r="B7112" i="1"/>
  <c r="L7111" i="1" a="1"/>
  <c r="L7111" i="1" s="1"/>
  <c r="Q7111" i="1" a="1"/>
  <c r="Q7111" i="1" s="1"/>
  <c r="I7111" i="1" a="1"/>
  <c r="I7111" i="1" s="1"/>
  <c r="R7111" i="1" a="1"/>
  <c r="R7111" i="1" s="1"/>
  <c r="J7111" i="1" a="1"/>
  <c r="J7111" i="1" s="1"/>
  <c r="S7111" i="1" a="1"/>
  <c r="S7111" i="1" s="1"/>
  <c r="M7111" i="1" a="1"/>
  <c r="M7111" i="1" s="1"/>
  <c r="N7111" i="1" a="1"/>
  <c r="N711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P7112" i="1" l="1" a="1"/>
  <c r="P7112" i="1" s="1"/>
  <c r="B7113" i="1"/>
  <c r="L7112" i="1" a="1"/>
  <c r="L7112" i="1" s="1"/>
  <c r="Q7112" i="1" a="1"/>
  <c r="Q7112" i="1" s="1"/>
  <c r="M7112" i="1" a="1"/>
  <c r="M7112" i="1" s="1"/>
  <c r="N7112" i="1" a="1"/>
  <c r="N7112" i="1" s="1"/>
  <c r="O7112" i="1" a="1"/>
  <c r="O7112" i="1" s="1"/>
  <c r="I7112" i="1" a="1"/>
  <c r="I7112" i="1" s="1"/>
  <c r="R7112" i="1" a="1"/>
  <c r="R7112" i="1" s="1"/>
  <c r="J7112" i="1" a="1"/>
  <c r="J7112" i="1" s="1"/>
  <c r="K7112" i="1" a="1"/>
  <c r="K7112" i="1" s="1"/>
  <c r="S7112" i="1" a="1"/>
  <c r="S7112" i="1" s="1"/>
  <c r="H7112" i="1"/>
  <c r="A7113" i="1"/>
  <c r="I4488" i="1" a="1"/>
  <c r="I4488" i="1" s="1"/>
  <c r="K4488" i="1" a="1"/>
  <c r="K4488" i="1" s="1"/>
  <c r="H4488" i="1"/>
  <c r="O4488" i="1" a="1"/>
  <c r="O4488" i="1" s="1"/>
  <c r="D258" i="2" l="1"/>
  <c r="H7113" i="1"/>
  <c r="A7114" i="1"/>
  <c r="L7113" i="1" a="1"/>
  <c r="L7113" i="1" s="1"/>
  <c r="Q7113" i="1" a="1"/>
  <c r="Q7113" i="1" s="1"/>
  <c r="M7113" i="1" a="1"/>
  <c r="M7113" i="1" s="1"/>
  <c r="R7113" i="1" a="1"/>
  <c r="R7113" i="1" s="1"/>
  <c r="I7113" i="1" a="1"/>
  <c r="I7113" i="1" s="1"/>
  <c r="N7113" i="1" a="1"/>
  <c r="N7113" i="1" s="1"/>
  <c r="J7113" i="1" a="1"/>
  <c r="J7113" i="1" s="1"/>
  <c r="S7113" i="1" a="1"/>
  <c r="S7113" i="1" s="1"/>
  <c r="K7113" i="1" a="1"/>
  <c r="K7113" i="1" s="1"/>
  <c r="B7114" i="1"/>
  <c r="P7113" i="1" a="1"/>
  <c r="P7113" i="1" s="1"/>
  <c r="O7113" i="1" a="1"/>
  <c r="O7113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D260" i="2" l="1"/>
  <c r="D267" i="2"/>
  <c r="D262" i="2"/>
  <c r="D266" i="2"/>
  <c r="D259" i="2"/>
  <c r="B7115" i="1"/>
  <c r="M7114" i="1" a="1"/>
  <c r="M7114" i="1" s="1"/>
  <c r="I7114" i="1" a="1"/>
  <c r="I7114" i="1" s="1"/>
  <c r="R7114" i="1" a="1"/>
  <c r="R7114" i="1" s="1"/>
  <c r="N7114" i="1" a="1"/>
  <c r="N7114" i="1" s="1"/>
  <c r="J7114" i="1" a="1"/>
  <c r="J7114" i="1" s="1"/>
  <c r="S7114" i="1" a="1"/>
  <c r="S7114" i="1" s="1"/>
  <c r="O7114" i="1" a="1"/>
  <c r="O7114" i="1" s="1"/>
  <c r="P7114" i="1" a="1"/>
  <c r="P7114" i="1" s="1"/>
  <c r="Q7114" i="1" a="1"/>
  <c r="Q7114" i="1" s="1"/>
  <c r="K7114" i="1" a="1"/>
  <c r="K7114" i="1" s="1"/>
  <c r="L7114" i="1" a="1"/>
  <c r="L7114" i="1" s="1"/>
  <c r="H7114" i="1"/>
  <c r="A7115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D264" i="2" l="1"/>
  <c r="D265" i="2"/>
  <c r="A7116" i="1"/>
  <c r="H7115" i="1"/>
  <c r="I7115" i="1" a="1"/>
  <c r="I7115" i="1" s="1"/>
  <c r="R7115" i="1" a="1"/>
  <c r="R7115" i="1" s="1"/>
  <c r="N7115" i="1" a="1"/>
  <c r="N7115" i="1" s="1"/>
  <c r="J7115" i="1" a="1"/>
  <c r="J7115" i="1" s="1"/>
  <c r="S7115" i="1" a="1"/>
  <c r="S7115" i="1" s="1"/>
  <c r="O7115" i="1" a="1"/>
  <c r="O7115" i="1" s="1"/>
  <c r="K7115" i="1" a="1"/>
  <c r="K7115" i="1" s="1"/>
  <c r="B7116" i="1"/>
  <c r="L7115" i="1" a="1"/>
  <c r="L7115" i="1" s="1"/>
  <c r="M7115" i="1" a="1"/>
  <c r="M7115" i="1" s="1"/>
  <c r="P7115" i="1" a="1"/>
  <c r="P7115" i="1" s="1"/>
  <c r="Q7115" i="1" a="1"/>
  <c r="Q7115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7116" i="1" l="1" a="1"/>
  <c r="N7116" i="1" s="1"/>
  <c r="S7116" i="1" a="1"/>
  <c r="S7116" i="1" s="1"/>
  <c r="J7116" i="1" a="1"/>
  <c r="J7116" i="1" s="1"/>
  <c r="O7116" i="1" a="1"/>
  <c r="O7116" i="1" s="1"/>
  <c r="K7116" i="1" a="1"/>
  <c r="K7116" i="1" s="1"/>
  <c r="P7116" i="1" a="1"/>
  <c r="P7116" i="1" s="1"/>
  <c r="B7117" i="1"/>
  <c r="Q7116" i="1" a="1"/>
  <c r="Q7116" i="1" s="1"/>
  <c r="I7116" i="1" a="1"/>
  <c r="I7116" i="1" s="1"/>
  <c r="R7116" i="1" a="1"/>
  <c r="R7116" i="1" s="1"/>
  <c r="L7116" i="1" a="1"/>
  <c r="L7116" i="1" s="1"/>
  <c r="M7116" i="1" a="1"/>
  <c r="M7116" i="1" s="1"/>
  <c r="A7117" i="1"/>
  <c r="H711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O7117" i="1" l="1" a="1"/>
  <c r="O7117" i="1" s="1"/>
  <c r="K7117" i="1" a="1"/>
  <c r="K7117" i="1" s="1"/>
  <c r="P7117" i="1" a="1"/>
  <c r="P7117" i="1" s="1"/>
  <c r="B7118" i="1"/>
  <c r="L7117" i="1" a="1"/>
  <c r="L7117" i="1" s="1"/>
  <c r="M7117" i="1" a="1"/>
  <c r="M7117" i="1" s="1"/>
  <c r="N7117" i="1" a="1"/>
  <c r="N7117" i="1" s="1"/>
  <c r="Q7117" i="1" a="1"/>
  <c r="Q7117" i="1" s="1"/>
  <c r="R7117" i="1" a="1"/>
  <c r="R7117" i="1" s="1"/>
  <c r="J7117" i="1" a="1"/>
  <c r="J7117" i="1" s="1"/>
  <c r="I7117" i="1" a="1"/>
  <c r="I7117" i="1" s="1"/>
  <c r="S7117" i="1" a="1"/>
  <c r="S7117" i="1" s="1"/>
  <c r="A7118" i="1"/>
  <c r="H711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119" i="1" l="1"/>
  <c r="K7118" i="1" a="1"/>
  <c r="K7118" i="1" s="1"/>
  <c r="P7118" i="1" a="1"/>
  <c r="P7118" i="1" s="1"/>
  <c r="L7118" i="1" a="1"/>
  <c r="L7118" i="1" s="1"/>
  <c r="Q7118" i="1" a="1"/>
  <c r="Q7118" i="1" s="1"/>
  <c r="M7118" i="1" a="1"/>
  <c r="M7118" i="1" s="1"/>
  <c r="I7118" i="1" a="1"/>
  <c r="I7118" i="1" s="1"/>
  <c r="R7118" i="1" a="1"/>
  <c r="R7118" i="1" s="1"/>
  <c r="J7118" i="1" a="1"/>
  <c r="J7118" i="1" s="1"/>
  <c r="S7118" i="1" a="1"/>
  <c r="S7118" i="1" s="1"/>
  <c r="N7118" i="1" a="1"/>
  <c r="N7118" i="1" s="1"/>
  <c r="O7118" i="1" a="1"/>
  <c r="O7118" i="1" s="1"/>
  <c r="H7118" i="1"/>
  <c r="A7119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119" i="1" l="1"/>
  <c r="A7120" i="1"/>
  <c r="L7119" i="1" a="1"/>
  <c r="L7119" i="1" s="1"/>
  <c r="Q7119" i="1" a="1"/>
  <c r="Q7119" i="1" s="1"/>
  <c r="M7119" i="1" a="1"/>
  <c r="M7119" i="1" s="1"/>
  <c r="I7119" i="1" a="1"/>
  <c r="I7119" i="1" s="1"/>
  <c r="R7119" i="1" a="1"/>
  <c r="R7119" i="1" s="1"/>
  <c r="N7119" i="1" a="1"/>
  <c r="N7119" i="1" s="1"/>
  <c r="O7119" i="1" a="1"/>
  <c r="O7119" i="1" s="1"/>
  <c r="P7119" i="1" a="1"/>
  <c r="P7119" i="1" s="1"/>
  <c r="K7119" i="1" a="1"/>
  <c r="K7119" i="1" s="1"/>
  <c r="S7119" i="1" a="1"/>
  <c r="S7119" i="1" s="1"/>
  <c r="B7120" i="1"/>
  <c r="J7119" i="1" a="1"/>
  <c r="J7119" i="1" s="1"/>
  <c r="J4534" i="1" a="1"/>
  <c r="J4534" i="1" s="1"/>
  <c r="Q7120" i="1" l="1" a="1"/>
  <c r="Q7120" i="1" s="1"/>
  <c r="M7120" i="1" a="1"/>
  <c r="M7120" i="1" s="1"/>
  <c r="I7120" i="1" a="1"/>
  <c r="I7120" i="1" s="1"/>
  <c r="R7120" i="1" a="1"/>
  <c r="R7120" i="1" s="1"/>
  <c r="N7120" i="1" a="1"/>
  <c r="N7120" i="1" s="1"/>
  <c r="J7120" i="1" a="1"/>
  <c r="J7120" i="1" s="1"/>
  <c r="S7120" i="1" a="1"/>
  <c r="S7120" i="1" s="1"/>
  <c r="K7120" i="1" a="1"/>
  <c r="K7120" i="1" s="1"/>
  <c r="L7120" i="1" a="1"/>
  <c r="L7120" i="1" s="1"/>
  <c r="B7121" i="1"/>
  <c r="O7120" i="1" a="1"/>
  <c r="O7120" i="1" s="1"/>
  <c r="P7120" i="1" a="1"/>
  <c r="P7120" i="1" s="1"/>
  <c r="H7120" i="1"/>
  <c r="A7121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7122" i="1" l="1"/>
  <c r="H7121" i="1"/>
  <c r="L7121" i="1" a="1"/>
  <c r="L7121" i="1" s="1"/>
  <c r="P7121" i="1" a="1"/>
  <c r="P7121" i="1" s="1"/>
  <c r="B7122" i="1"/>
  <c r="I7121" i="1" a="1"/>
  <c r="I7121" i="1" s="1"/>
  <c r="M7121" i="1" a="1"/>
  <c r="M7121" i="1" s="1"/>
  <c r="Q7121" i="1" a="1"/>
  <c r="Q7121" i="1" s="1"/>
  <c r="N7121" i="1" a="1"/>
  <c r="N7121" i="1" s="1"/>
  <c r="O7121" i="1" a="1"/>
  <c r="O7121" i="1" s="1"/>
  <c r="J7121" i="1" a="1"/>
  <c r="J7121" i="1" s="1"/>
  <c r="R7121" i="1" a="1"/>
  <c r="R7121" i="1" s="1"/>
  <c r="K7121" i="1" a="1"/>
  <c r="K7121" i="1" s="1"/>
  <c r="S7121" i="1" a="1"/>
  <c r="S7121" i="1" s="1"/>
  <c r="J4597" i="1" a="1"/>
  <c r="J4597" i="1" s="1"/>
  <c r="K7122" i="1" l="1" a="1"/>
  <c r="K7122" i="1" s="1"/>
  <c r="O7122" i="1" a="1"/>
  <c r="O7122" i="1" s="1"/>
  <c r="S7122" i="1" a="1"/>
  <c r="S7122" i="1" s="1"/>
  <c r="L7122" i="1" a="1"/>
  <c r="L7122" i="1" s="1"/>
  <c r="P7122" i="1" a="1"/>
  <c r="P7122" i="1" s="1"/>
  <c r="B7123" i="1"/>
  <c r="I7122" i="1" a="1"/>
  <c r="I7122" i="1" s="1"/>
  <c r="Q7122" i="1" a="1"/>
  <c r="Q7122" i="1" s="1"/>
  <c r="J7122" i="1" a="1"/>
  <c r="J7122" i="1" s="1"/>
  <c r="R7122" i="1" a="1"/>
  <c r="R7122" i="1" s="1"/>
  <c r="M7122" i="1" a="1"/>
  <c r="M7122" i="1" s="1"/>
  <c r="N7122" i="1" a="1"/>
  <c r="N7122" i="1" s="1"/>
  <c r="A7123" i="1"/>
  <c r="H712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7123" i="1" l="1" a="1"/>
  <c r="J7123" i="1" s="1"/>
  <c r="N7123" i="1" a="1"/>
  <c r="N7123" i="1" s="1"/>
  <c r="R7123" i="1" a="1"/>
  <c r="R7123" i="1" s="1"/>
  <c r="K7123" i="1" a="1"/>
  <c r="K7123" i="1" s="1"/>
  <c r="O7123" i="1" a="1"/>
  <c r="O7123" i="1" s="1"/>
  <c r="S7123" i="1" a="1"/>
  <c r="S7123" i="1" s="1"/>
  <c r="L7123" i="1" a="1"/>
  <c r="L7123" i="1" s="1"/>
  <c r="B7124" i="1"/>
  <c r="M7123" i="1" a="1"/>
  <c r="M7123" i="1" s="1"/>
  <c r="P7123" i="1" a="1"/>
  <c r="P7123" i="1" s="1"/>
  <c r="I7123" i="1" a="1"/>
  <c r="I7123" i="1" s="1"/>
  <c r="Q7123" i="1" a="1"/>
  <c r="Q7123" i="1" s="1"/>
  <c r="A7124" i="1"/>
  <c r="H7123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7124" i="1" l="1" a="1"/>
  <c r="I7124" i="1" s="1"/>
  <c r="M7124" i="1" a="1"/>
  <c r="M7124" i="1" s="1"/>
  <c r="Q7124" i="1" a="1"/>
  <c r="Q7124" i="1" s="1"/>
  <c r="J7124" i="1" a="1"/>
  <c r="J7124" i="1" s="1"/>
  <c r="N7124" i="1" a="1"/>
  <c r="N7124" i="1" s="1"/>
  <c r="R7124" i="1" a="1"/>
  <c r="R7124" i="1" s="1"/>
  <c r="O7124" i="1" a="1"/>
  <c r="O7124" i="1" s="1"/>
  <c r="P7124" i="1" a="1"/>
  <c r="P7124" i="1" s="1"/>
  <c r="K7124" i="1" a="1"/>
  <c r="K7124" i="1" s="1"/>
  <c r="S7124" i="1" a="1"/>
  <c r="S7124" i="1" s="1"/>
  <c r="B7125" i="1"/>
  <c r="L7124" i="1" a="1"/>
  <c r="L7124" i="1" s="1"/>
  <c r="H7124" i="1"/>
  <c r="A7125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7126" i="1" l="1"/>
  <c r="H7125" i="1"/>
  <c r="L7125" i="1" a="1"/>
  <c r="L7125" i="1" s="1"/>
  <c r="P7125" i="1" a="1"/>
  <c r="P7125" i="1" s="1"/>
  <c r="B7126" i="1"/>
  <c r="I7125" i="1" a="1"/>
  <c r="I7125" i="1" s="1"/>
  <c r="M7125" i="1" a="1"/>
  <c r="M7125" i="1" s="1"/>
  <c r="Q7125" i="1" a="1"/>
  <c r="Q7125" i="1" s="1"/>
  <c r="J7125" i="1" a="1"/>
  <c r="J7125" i="1" s="1"/>
  <c r="R7125" i="1" a="1"/>
  <c r="R7125" i="1" s="1"/>
  <c r="K7125" i="1" a="1"/>
  <c r="K7125" i="1" s="1"/>
  <c r="S7125" i="1" a="1"/>
  <c r="S7125" i="1" s="1"/>
  <c r="N7125" i="1" a="1"/>
  <c r="N7125" i="1" s="1"/>
  <c r="O7125" i="1" a="1"/>
  <c r="O7125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7126" i="1" l="1" a="1"/>
  <c r="K7126" i="1" s="1"/>
  <c r="O7126" i="1" a="1"/>
  <c r="O7126" i="1" s="1"/>
  <c r="S7126" i="1" a="1"/>
  <c r="S7126" i="1" s="1"/>
  <c r="L7126" i="1" a="1"/>
  <c r="L7126" i="1" s="1"/>
  <c r="P7126" i="1" a="1"/>
  <c r="P7126" i="1" s="1"/>
  <c r="B7127" i="1"/>
  <c r="M7126" i="1" a="1"/>
  <c r="M7126" i="1" s="1"/>
  <c r="N7126" i="1" a="1"/>
  <c r="N7126" i="1" s="1"/>
  <c r="I7126" i="1" a="1"/>
  <c r="I7126" i="1" s="1"/>
  <c r="Q7126" i="1" a="1"/>
  <c r="Q7126" i="1" s="1"/>
  <c r="J7126" i="1" a="1"/>
  <c r="J7126" i="1" s="1"/>
  <c r="R7126" i="1" a="1"/>
  <c r="R7126" i="1" s="1"/>
  <c r="A7127" i="1"/>
  <c r="H712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H7127" i="1" l="1"/>
  <c r="A7128" i="1"/>
  <c r="J7127" i="1" a="1"/>
  <c r="J7127" i="1" s="1"/>
  <c r="N7127" i="1" a="1"/>
  <c r="N7127" i="1" s="1"/>
  <c r="R7127" i="1" a="1"/>
  <c r="R7127" i="1" s="1"/>
  <c r="K7127" i="1" a="1"/>
  <c r="K7127" i="1" s="1"/>
  <c r="O7127" i="1" a="1"/>
  <c r="O7127" i="1" s="1"/>
  <c r="S7127" i="1" a="1"/>
  <c r="S7127" i="1" s="1"/>
  <c r="P7127" i="1" a="1"/>
  <c r="P7127" i="1" s="1"/>
  <c r="I7127" i="1" a="1"/>
  <c r="I7127" i="1" s="1"/>
  <c r="Q7127" i="1" a="1"/>
  <c r="Q7127" i="1" s="1"/>
  <c r="L7127" i="1" a="1"/>
  <c r="L7127" i="1" s="1"/>
  <c r="B7128" i="1"/>
  <c r="M7127" i="1" a="1"/>
  <c r="M7127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7129" i="1" l="1"/>
  <c r="H7128" i="1"/>
  <c r="I7128" i="1" a="1"/>
  <c r="I7128" i="1" s="1"/>
  <c r="M7128" i="1" a="1"/>
  <c r="M7128" i="1" s="1"/>
  <c r="Q7128" i="1" a="1"/>
  <c r="Q7128" i="1" s="1"/>
  <c r="J7128" i="1" a="1"/>
  <c r="J7128" i="1" s="1"/>
  <c r="N7128" i="1" a="1"/>
  <c r="N7128" i="1" s="1"/>
  <c r="R7128" i="1" a="1"/>
  <c r="R7128" i="1" s="1"/>
  <c r="K7128" i="1" a="1"/>
  <c r="K7128" i="1" s="1"/>
  <c r="S7128" i="1" a="1"/>
  <c r="S7128" i="1" s="1"/>
  <c r="L7128" i="1" a="1"/>
  <c r="L7128" i="1" s="1"/>
  <c r="B7129" i="1"/>
  <c r="O7128" i="1" a="1"/>
  <c r="O7128" i="1" s="1"/>
  <c r="P7128" i="1" a="1"/>
  <c r="P712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7129" i="1" l="1" a="1"/>
  <c r="L7129" i="1" s="1"/>
  <c r="P7129" i="1" a="1"/>
  <c r="P7129" i="1" s="1"/>
  <c r="B7130" i="1"/>
  <c r="I7129" i="1" a="1"/>
  <c r="I7129" i="1" s="1"/>
  <c r="M7129" i="1" a="1"/>
  <c r="M7129" i="1" s="1"/>
  <c r="Q7129" i="1" a="1"/>
  <c r="Q7129" i="1" s="1"/>
  <c r="N7129" i="1" a="1"/>
  <c r="N7129" i="1" s="1"/>
  <c r="O7129" i="1" a="1"/>
  <c r="O7129" i="1" s="1"/>
  <c r="J7129" i="1" a="1"/>
  <c r="J7129" i="1" s="1"/>
  <c r="R7129" i="1" a="1"/>
  <c r="R7129" i="1" s="1"/>
  <c r="S7129" i="1" a="1"/>
  <c r="S7129" i="1" s="1"/>
  <c r="K7129" i="1" a="1"/>
  <c r="K7129" i="1" s="1"/>
  <c r="A7130" i="1"/>
  <c r="H712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130" i="1" l="1"/>
  <c r="A7131" i="1"/>
  <c r="K7130" i="1" a="1"/>
  <c r="K7130" i="1" s="1"/>
  <c r="O7130" i="1" a="1"/>
  <c r="O7130" i="1" s="1"/>
  <c r="S7130" i="1" a="1"/>
  <c r="S7130" i="1" s="1"/>
  <c r="B7131" i="1"/>
  <c r="N7130" i="1" a="1"/>
  <c r="N7130" i="1" s="1"/>
  <c r="I7130" i="1" a="1"/>
  <c r="I7130" i="1" s="1"/>
  <c r="P7130" i="1" a="1"/>
  <c r="P7130" i="1" s="1"/>
  <c r="J7130" i="1" a="1"/>
  <c r="J7130" i="1" s="1"/>
  <c r="Q7130" i="1" a="1"/>
  <c r="Q7130" i="1" s="1"/>
  <c r="M7130" i="1" a="1"/>
  <c r="M7130" i="1" s="1"/>
  <c r="L7130" i="1" a="1"/>
  <c r="L7130" i="1" s="1"/>
  <c r="R7130" i="1" a="1"/>
  <c r="R713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7131" i="1" l="1" a="1"/>
  <c r="J7131" i="1" s="1"/>
  <c r="N7131" i="1" a="1"/>
  <c r="N7131" i="1" s="1"/>
  <c r="R7131" i="1" a="1"/>
  <c r="R7131" i="1" s="1"/>
  <c r="B7132" i="1"/>
  <c r="O7131" i="1" a="1"/>
  <c r="O7131" i="1" s="1"/>
  <c r="I7131" i="1" a="1"/>
  <c r="I7131" i="1" s="1"/>
  <c r="P7131" i="1" a="1"/>
  <c r="P7131" i="1" s="1"/>
  <c r="K7131" i="1" a="1"/>
  <c r="K7131" i="1" s="1"/>
  <c r="Q7131" i="1" a="1"/>
  <c r="Q7131" i="1" s="1"/>
  <c r="S7131" i="1" a="1"/>
  <c r="S7131" i="1" s="1"/>
  <c r="L7131" i="1" a="1"/>
  <c r="L7131" i="1" s="1"/>
  <c r="M7131" i="1" a="1"/>
  <c r="M7131" i="1" s="1"/>
  <c r="H7131" i="1"/>
  <c r="A7132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7133" i="1" l="1"/>
  <c r="H7132" i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A7134" i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A7135" i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A7136" i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A7137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7138" i="1" l="1"/>
  <c r="H7137" i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A7139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7140" i="1" l="1"/>
  <c r="H7139" i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A7141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A7142" i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A7143" i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A7144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A7145" i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A7146" i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7146" i="1" l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A7147" i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7147" i="1" l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A7148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7148" i="1" l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A7149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7150" i="1" l="1"/>
  <c r="H7149" i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A7151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A7152" i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7152" i="1" l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H7152" i="1"/>
  <c r="A7153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7154" i="1" l="1"/>
  <c r="H7153" i="1"/>
  <c r="L7153" i="1" a="1"/>
  <c r="L7153" i="1" s="1"/>
  <c r="P7153" i="1" a="1"/>
  <c r="P7153" i="1" s="1"/>
  <c r="B7154" i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A7155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7156" i="1" l="1"/>
  <c r="H7155" i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7156" i="1" l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A7157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7157" i="1" l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A7158" i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7158" i="1" l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A7159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H7159" i="1" l="1"/>
  <c r="A7160" i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7160" i="1" l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A7161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A7162" i="1" l="1"/>
  <c r="H7161" i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K7162" i="1" l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A7163" i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163" i="1" l="1"/>
  <c r="A7164" i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A7165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166" i="1" l="1"/>
  <c r="H7165" i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A7167" i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A7168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7169" i="1" l="1"/>
  <c r="H7168" i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A7170" i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A7171" i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A7172" i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A7173" i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A7174" i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A7175" i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7176" i="1" l="1"/>
  <c r="H7175" i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A7177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178" i="1" l="1"/>
  <c r="H7177" i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A7179" i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A7180" i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A7181" i="1" l="1"/>
  <c r="H7180" i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A7182" i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A7183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A7184" i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A7185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186" i="1" l="1"/>
  <c r="H7185" i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A7187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A7188" i="1" l="1"/>
  <c r="H7187" i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A7189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A7190" i="1" l="1"/>
  <c r="H7189" i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E263" i="2" l="1"/>
  <c r="C263" i="2"/>
  <c r="E257" i="2"/>
  <c r="C257" i="2"/>
  <c r="D257" i="2"/>
  <c r="D263" i="2"/>
  <c r="C269" i="2"/>
  <c r="E269" i="2"/>
  <c r="D269" i="2"/>
  <c r="C261" i="2"/>
  <c r="D261" i="2"/>
  <c r="E261" i="2"/>
  <c r="C256" i="2"/>
  <c r="D256" i="2"/>
  <c r="E256" i="2"/>
  <c r="E255" i="2"/>
  <c r="C255" i="2"/>
  <c r="D255" i="2"/>
  <c r="E252" i="2"/>
  <c r="E245" i="2"/>
  <c r="C246" i="2"/>
  <c r="D253" i="2"/>
  <c r="C230" i="2"/>
  <c r="D250" i="2"/>
  <c r="E236" i="2"/>
  <c r="D254" i="2"/>
  <c r="E246" i="2"/>
  <c r="E230" i="2"/>
  <c r="C250" i="2"/>
  <c r="E233" i="2"/>
  <c r="E243" i="2"/>
  <c r="C241" i="2"/>
  <c r="C240" i="2"/>
  <c r="C243" i="2"/>
  <c r="E232" i="2"/>
  <c r="C232" i="2"/>
  <c r="E231" i="2"/>
  <c r="C254" i="2"/>
  <c r="E247" i="2"/>
  <c r="C247" i="2"/>
  <c r="E250" i="2"/>
  <c r="C251" i="2"/>
  <c r="D251" i="2"/>
  <c r="C233" i="2"/>
  <c r="E240" i="2"/>
  <c r="C253" i="2"/>
  <c r="D252" i="2"/>
  <c r="C227" i="2"/>
  <c r="C231" i="2"/>
  <c r="E237" i="2"/>
  <c r="E244" i="2"/>
  <c r="E254" i="2"/>
  <c r="C237" i="2"/>
  <c r="C236" i="2"/>
  <c r="E241" i="2"/>
  <c r="E251" i="2"/>
  <c r="C252" i="2"/>
  <c r="C229" i="2"/>
  <c r="E253" i="2"/>
  <c r="E229" i="2"/>
  <c r="C245" i="2"/>
  <c r="E227" i="2"/>
  <c r="C244" i="2"/>
  <c r="D244" i="2"/>
  <c r="D232" i="2"/>
  <c r="D247" i="2"/>
  <c r="D245" i="2"/>
  <c r="D230" i="2"/>
  <c r="D233" i="2"/>
  <c r="D229" i="2"/>
  <c r="D237" i="2"/>
  <c r="D241" i="2"/>
  <c r="D246" i="2"/>
  <c r="D243" i="2"/>
  <c r="D240" i="2"/>
  <c r="D227" i="2"/>
  <c r="D231" i="2"/>
  <c r="D236" i="2"/>
  <c r="E249" i="2"/>
  <c r="C249" i="2"/>
  <c r="D249" i="2"/>
  <c r="E234" i="2"/>
  <c r="C234" i="2"/>
  <c r="C242" i="2"/>
  <c r="E238" i="2"/>
  <c r="C238" i="2"/>
  <c r="E248" i="2"/>
  <c r="C248" i="2"/>
  <c r="E242" i="2"/>
  <c r="D242" i="2"/>
  <c r="D248" i="2"/>
  <c r="D238" i="2"/>
  <c r="D234" i="2"/>
  <c r="E239" i="2"/>
  <c r="D239" i="2"/>
  <c r="C239" i="2"/>
  <c r="E235" i="2"/>
  <c r="C235" i="2"/>
  <c r="D235" i="2"/>
  <c r="E228" i="2"/>
  <c r="C228" i="2"/>
  <c r="D228" i="2"/>
  <c r="K7190" i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<sst xmlns="http://schemas.openxmlformats.org/spreadsheetml/2006/main" count="68614" uniqueCount="26">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</sst>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zoomScale="90" zoomScaleNormal="90" workbookViewId="0">
      <pane ySplit="1" topLeftCell="A6981" activePane="bottomLeft" state="frozen"/>
      <selection pane="bottomLeft" activeCell="D6998" sqref="D6998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9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:C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C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C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C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:C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tr">
        <f t="shared" ref="A6998:C6998" si="1330">B6997</f>
        <v>Northern Cardinal</v>
      </c>
      <c r="C6998" s="6">
        <v>0.35069444444444442</v>
      </c>
      <c r="D6998" s="5"/>
      <c r="E6998" s="5"/>
      <c r="F6998" s="5" t="s">
        <v>22</v>
      </c>
      <c r="G6998" s="15" t="s">
        <v>22</v>
      </c>
      <c r="H6998" s="24">
        <f t="shared" si="1308"/>
        <v>895.99999999743886</v>
      </c>
      <c r="I6998" s="24" cm="1">
        <f t="array" ref="I6998">IFERROR(IF($B6998=I$1, ($A6998+$C6998) - MAX(IF($B$2:$B6997=$B6998, $A$2:$A6997+$C$2:$C6997)), "")*24*60, "")</f>
        <v>895.99999999743886</v>
      </c>
      <c r="J6998" s="24" t="str" cm="1">
        <f t="array" ref="J6998">IFERROR(IF($B6998=J$1, ($A6998+$C6998) - MAX(IF($B$2:$B6997=$B6998, $A$2:$A6997+$C$2:$C6997)), "")*24*60, "")</f>
        <v/>
      </c>
      <c r="K6998" s="24" t="str" cm="1">
        <f t="array" ref="K6998">IFERROR(IF($B6998=K$1, ($A6998+$C6998) - MAX(IF($B$2:$B6997=$B6998, $A$2:$A6997+$C$2:$C6997)), "")*24*60, "")</f>
        <v/>
      </c>
      <c r="L6998" s="24" t="str" cm="1">
        <f t="array" ref="L6998">IFERROR(IF($B6998=L$1, ($A6998+$C6998) - MAX(IF($B$2:$B6997=$B6998, $A$2:$A6997+$C$2:$C6997)), "")*24*60, "")</f>
        <v/>
      </c>
      <c r="M6998" s="24" t="str" cm="1">
        <f t="array" ref="M6998">IFERROR(IF($B6998=M$1, ($A6998+$C6998) - MAX(IF($B$2:$B6997=$B6998, $A$2:$A6997+$C$2:$C6997)), "")*24*60, "")</f>
        <v/>
      </c>
      <c r="N6998" s="24" t="str" cm="1">
        <f t="array" ref="N6998">IFERROR(IF($B6998=N$1, ($A6998+$C6998) - MAX(IF($B$2:$B6997=$B6998, $A$2:$A6997+$C$2:$C6997)), "")*24*60, "")</f>
        <v/>
      </c>
      <c r="O6998" s="24" t="str" cm="1">
        <f t="array" ref="O6998">IFERROR(IF($B6998=O$1, ($A6998+$C6998) - MAX(IF($B$2:$B6997=$B6998, $A$2:$A6997+$C$2:$C6997)), "")*24*60, "")</f>
        <v/>
      </c>
      <c r="P6998" s="24" t="str" cm="1">
        <f t="array" ref="P6998">IFERROR(IF($B6998=P$1, ($A6998+$C6998) - MAX(IF($B$2:$B6997=$B6998, $A$2:$A6997+$C$2:$C6997)), "")*24*60, "")</f>
        <v/>
      </c>
      <c r="Q6998" s="24" t="str" cm="1">
        <f t="array" ref="Q6998">IFERROR(IF($B6998=Q$1, ($A6998+$C6998) - MAX(IF($B$2:$B6997=$B6998, $A$2:$A6997+$C$2:$C6997)), "")*24*60, "")</f>
        <v/>
      </c>
      <c r="R6998" s="24" t="str" cm="1">
        <f t="array" ref="R6998">IFERROR(IF($B6998=R$1, ($A6998+$C6998) - MAX(IF($B$2:$B6997=$B6998, $A$2:$A6997+$C$2:$C6997)), "")*24*60, "")</f>
        <v/>
      </c>
      <c r="S6998" s="24" t="str" cm="1">
        <f t="array" ref="S6998">IFERROR(IF($B6998=S$1, ($A6998+$C6998) - MAX(IF($B$2:$B6997=$B6998, $A$2:$A6997+$C$2:$C6997)), "")*24*60, "")</f>
        <v/>
      </c>
    </row>
    <row r="6999" spans="1:19" x14ac:dyDescent="0.2">
      <c r="A6999" s="12">
        <f t="shared" ref="A6999:C6999" si="1331">A6998</f>
        <v>46005</v>
      </c>
      <c r="B6999" s="5" t="str">
        <f t="shared" si="1331"/>
        <v>Northern Cardinal</v>
      </c>
      <c r="C6999" s="6">
        <f t="shared" si="1331"/>
        <v>0.35069444444444442</v>
      </c>
      <c r="D6999" s="5"/>
      <c r="E6999" s="5"/>
      <c r="F6999" s="5" t="s">
        <v>22</v>
      </c>
      <c r="G6999" s="15" t="s">
        <v>22</v>
      </c>
      <c r="H6999" s="24">
        <f t="shared" si="1308"/>
        <v>0</v>
      </c>
      <c r="I6999" s="24" cm="1">
        <f t="array" ref="I6999">IFERROR(IF($B6999=I$1, ($A6999+$C6999) - MAX(IF($B$2:$B6998=$B6999, $A$2:$A6998+$C$2:$C6998)), "")*24*60, "")</f>
        <v>0</v>
      </c>
      <c r="J6999" s="24" t="str" cm="1">
        <f t="array" ref="J6999">IFERROR(IF($B6999=J$1, ($A6999+$C6999) - MAX(IF($B$2:$B6998=$B6999, $A$2:$A6998+$C$2:$C6998)), "")*24*60, "")</f>
        <v/>
      </c>
      <c r="K6999" s="24" t="str" cm="1">
        <f t="array" ref="K6999">IFERROR(IF($B6999=K$1, ($A6999+$C6999) - MAX(IF($B$2:$B6998=$B6999, $A$2:$A6998+$C$2:$C6998)), "")*24*60, "")</f>
        <v/>
      </c>
      <c r="L6999" s="24" t="str" cm="1">
        <f t="array" ref="L6999">IFERROR(IF($B6999=L$1, ($A6999+$C6999) - MAX(IF($B$2:$B6998=$B6999, $A$2:$A6998+$C$2:$C6998)), "")*24*60, "")</f>
        <v/>
      </c>
      <c r="M6999" s="24" t="str" cm="1">
        <f t="array" ref="M6999">IFERROR(IF($B6999=M$1, ($A6999+$C6999) - MAX(IF($B$2:$B6998=$B6999, $A$2:$A6998+$C$2:$C6998)), "")*24*60, "")</f>
        <v/>
      </c>
      <c r="N6999" s="24" t="str" cm="1">
        <f t="array" ref="N6999">IFERROR(IF($B6999=N$1, ($A6999+$C6999) - MAX(IF($B$2:$B6998=$B6999, $A$2:$A6998+$C$2:$C6998)), "")*24*60, "")</f>
        <v/>
      </c>
      <c r="O6999" s="24" t="str" cm="1">
        <f t="array" ref="O6999">IFERROR(IF($B6999=O$1, ($A6999+$C6999) - MAX(IF($B$2:$B6998=$B6999, $A$2:$A6998+$C$2:$C6998)), "")*24*60, "")</f>
        <v/>
      </c>
      <c r="P6999" s="24" t="str" cm="1">
        <f t="array" ref="P6999">IFERROR(IF($B6999=P$1, ($A6999+$C6999) - MAX(IF($B$2:$B6998=$B6999, $A$2:$A6998+$C$2:$C6998)), "")*24*60, "")</f>
        <v/>
      </c>
      <c r="Q6999" s="24" t="str" cm="1">
        <f t="array" ref="Q6999">IFERROR(IF($B6999=Q$1, ($A6999+$C6999) - MAX(IF($B$2:$B6998=$B6999, $A$2:$A6998+$C$2:$C6998)), "")*24*60, "")</f>
        <v/>
      </c>
      <c r="R6999" s="24" t="str" cm="1">
        <f t="array" ref="R6999">IFERROR(IF($B6999=R$1, ($A6999+$C6999) - MAX(IF($B$2:$B6998=$B6999, $A$2:$A6998+$C$2:$C6998)), "")*24*60, "")</f>
        <v/>
      </c>
      <c r="S6999" s="24" t="str" cm="1">
        <f t="array" ref="S6999">IFERROR(IF($B6999=S$1, ($A6999+$C6999) - MAX(IF($B$2:$B6998=$B6999, $A$2:$A6998+$C$2:$C6998)), "")*24*60, "")</f>
        <v/>
      </c>
    </row>
    <row r="7000" spans="1:19" x14ac:dyDescent="0.2">
      <c r="A7000" s="12">
        <f t="shared" ref="A7000:C7000" si="1332">A6999</f>
        <v>46005</v>
      </c>
      <c r="B7000" s="5" t="str">
        <f t="shared" si="1332"/>
        <v>Northern Cardinal</v>
      </c>
      <c r="C7000" s="6">
        <f t="shared" si="1332"/>
        <v>0.35069444444444442</v>
      </c>
      <c r="D7000" s="5"/>
      <c r="E7000" s="5"/>
      <c r="F7000" s="5" t="s">
        <v>22</v>
      </c>
      <c r="G7000" s="15" t="s">
        <v>22</v>
      </c>
      <c r="H7000" s="24">
        <f t="shared" ref="H7000:H7063" si="1333">IFERROR((($A7000+$C7000) - ($A6999+$C6999))*24*60, "")</f>
        <v>0</v>
      </c>
      <c r="I7000" s="24" cm="1">
        <f t="array" ref="I7000">IFERROR(IF($B7000=I$1, ($A7000+$C7000) - MAX(IF($B$2:$B6999=$B7000, $A$2:$A6999+$C$2:$C6999)), "")*24*60, "")</f>
        <v>0</v>
      </c>
      <c r="J7000" s="24" t="str" cm="1">
        <f t="array" ref="J7000">IFERROR(IF($B7000=J$1, ($A7000+$C7000) - MAX(IF($B$2:$B6999=$B7000, $A$2:$A6999+$C$2:$C6999)), "")*24*60, "")</f>
        <v/>
      </c>
      <c r="K7000" s="24" t="str" cm="1">
        <f t="array" ref="K7000">IFERROR(IF($B7000=K$1, ($A7000+$C7000) - MAX(IF($B$2:$B6999=$B7000, $A$2:$A6999+$C$2:$C6999)), "")*24*60, "")</f>
        <v/>
      </c>
      <c r="L7000" s="24" t="str" cm="1">
        <f t="array" ref="L7000">IFERROR(IF($B7000=L$1, ($A7000+$C7000) - MAX(IF($B$2:$B6999=$B7000, $A$2:$A6999+$C$2:$C6999)), "")*24*60, "")</f>
        <v/>
      </c>
      <c r="M7000" s="24" t="str" cm="1">
        <f t="array" ref="M7000">IFERROR(IF($B7000=M$1, ($A7000+$C7000) - MAX(IF($B$2:$B6999=$B7000, $A$2:$A6999+$C$2:$C6999)), "")*24*60, "")</f>
        <v/>
      </c>
      <c r="N7000" s="24" t="str" cm="1">
        <f t="array" ref="N7000">IFERROR(IF($B7000=N$1, ($A7000+$C7000) - MAX(IF($B$2:$B6999=$B7000, $A$2:$A6999+$C$2:$C6999)), "")*24*60, "")</f>
        <v/>
      </c>
      <c r="O7000" s="24" t="str" cm="1">
        <f t="array" ref="O7000">IFERROR(IF($B7000=O$1, ($A7000+$C7000) - MAX(IF($B$2:$B6999=$B7000, $A$2:$A6999+$C$2:$C6999)), "")*24*60, "")</f>
        <v/>
      </c>
      <c r="P7000" s="24" t="str" cm="1">
        <f t="array" ref="P7000">IFERROR(IF($B7000=P$1, ($A7000+$C7000) - MAX(IF($B$2:$B6999=$B7000, $A$2:$A6999+$C$2:$C6999)), "")*24*60, "")</f>
        <v/>
      </c>
      <c r="Q7000" s="24" t="str" cm="1">
        <f t="array" ref="Q7000">IFERROR(IF($B7000=Q$1, ($A7000+$C7000) - MAX(IF($B$2:$B6999=$B7000, $A$2:$A6999+$C$2:$C6999)), "")*24*60, "")</f>
        <v/>
      </c>
      <c r="R7000" s="24" t="str" cm="1">
        <f t="array" ref="R7000">IFERROR(IF($B7000=R$1, ($A7000+$C7000) - MAX(IF($B$2:$B6999=$B7000, $A$2:$A6999+$C$2:$C6999)), "")*24*60, "")</f>
        <v/>
      </c>
      <c r="S7000" s="24" t="str" cm="1">
        <f t="array" ref="S7000">IFERROR(IF($B7000=S$1, ($A7000+$C7000) - MAX(IF($B$2:$B6999=$B7000, $A$2:$A6999+$C$2:$C6999)), "")*24*60, "")</f>
        <v/>
      </c>
    </row>
    <row r="7001" spans="1:19" x14ac:dyDescent="0.2">
      <c r="A7001" s="12">
        <f t="shared" ref="A7001:C7001" si="1334">A7000</f>
        <v>46005</v>
      </c>
      <c r="B7001" s="5" t="str">
        <f t="shared" si="1334"/>
        <v>Northern Cardinal</v>
      </c>
      <c r="C7001" s="6">
        <f t="shared" si="1334"/>
        <v>0.35069444444444442</v>
      </c>
      <c r="D7001" s="5"/>
      <c r="E7001" s="5"/>
      <c r="F7001" s="5" t="s">
        <v>22</v>
      </c>
      <c r="G7001" s="15" t="s">
        <v>22</v>
      </c>
      <c r="H7001" s="24">
        <f t="shared" si="1333"/>
        <v>0</v>
      </c>
      <c r="I7001" s="24" cm="1">
        <f t="array" ref="I7001">IFERROR(IF($B7001=I$1, ($A7001+$C7001) - MAX(IF($B$2:$B7000=$B7001, $A$2:$A7000+$C$2:$C7000)), "")*24*60, "")</f>
        <v>0</v>
      </c>
      <c r="J7001" s="24" t="str" cm="1">
        <f t="array" ref="J7001">IFERROR(IF($B7001=J$1, ($A7001+$C7001) - MAX(IF($B$2:$B7000=$B7001, $A$2:$A7000+$C$2:$C7000)), "")*24*60, "")</f>
        <v/>
      </c>
      <c r="K7001" s="24" t="str" cm="1">
        <f t="array" ref="K7001">IFERROR(IF($B7001=K$1, ($A7001+$C7001) - MAX(IF($B$2:$B7000=$B7001, $A$2:$A7000+$C$2:$C7000)), "")*24*60, "")</f>
        <v/>
      </c>
      <c r="L7001" s="24" t="str" cm="1">
        <f t="array" ref="L7001">IFERROR(IF($B7001=L$1, ($A7001+$C7001) - MAX(IF($B$2:$B7000=$B7001, $A$2:$A7000+$C$2:$C7000)), "")*24*60, "")</f>
        <v/>
      </c>
      <c r="M7001" s="24" t="str" cm="1">
        <f t="array" ref="M7001">IFERROR(IF($B7001=M$1, ($A7001+$C7001) - MAX(IF($B$2:$B7000=$B7001, $A$2:$A7000+$C$2:$C7000)), "")*24*60, "")</f>
        <v/>
      </c>
      <c r="N7001" s="24" t="str" cm="1">
        <f t="array" ref="N7001">IFERROR(IF($B7001=N$1, ($A7001+$C7001) - MAX(IF($B$2:$B7000=$B7001, $A$2:$A7000+$C$2:$C7000)), "")*24*60, "")</f>
        <v/>
      </c>
      <c r="O7001" s="24" t="str" cm="1">
        <f t="array" ref="O7001">IFERROR(IF($B7001=O$1, ($A7001+$C7001) - MAX(IF($B$2:$B7000=$B7001, $A$2:$A7000+$C$2:$C7000)), "")*24*60, "")</f>
        <v/>
      </c>
      <c r="P7001" s="24" t="str" cm="1">
        <f t="array" ref="P7001">IFERROR(IF($B7001=P$1, ($A7001+$C7001) - MAX(IF($B$2:$B7000=$B7001, $A$2:$A7000+$C$2:$C7000)), "")*24*60, "")</f>
        <v/>
      </c>
      <c r="Q7001" s="24" t="str" cm="1">
        <f t="array" ref="Q7001">IFERROR(IF($B7001=Q$1, ($A7001+$C7001) - MAX(IF($B$2:$B7000=$B7001, $A$2:$A7000+$C$2:$C7000)), "")*24*60, "")</f>
        <v/>
      </c>
      <c r="R7001" s="24" t="str" cm="1">
        <f t="array" ref="R7001">IFERROR(IF($B7001=R$1, ($A7001+$C7001) - MAX(IF($B$2:$B7000=$B7001, $A$2:$A7000+$C$2:$C7000)), "")*24*60, "")</f>
        <v/>
      </c>
      <c r="S7001" s="24" t="str" cm="1">
        <f t="array" ref="S7001">IFERROR(IF($B7001=S$1, ($A7001+$C7001) - MAX(IF($B$2:$B7000=$B7001, $A$2:$A7000+$C$2:$C7000)), "")*24*60, "")</f>
        <v/>
      </c>
    </row>
    <row r="7002" spans="1:19" x14ac:dyDescent="0.2">
      <c r="A7002" s="12">
        <f t="shared" ref="A7002:C7002" si="1335">A7001</f>
        <v>46005</v>
      </c>
      <c r="B7002" s="5" t="str">
        <f t="shared" si="1335"/>
        <v>Northern Cardinal</v>
      </c>
      <c r="C7002" s="6">
        <f t="shared" si="1335"/>
        <v>0.35069444444444442</v>
      </c>
      <c r="D7002" s="5"/>
      <c r="E7002" s="5"/>
      <c r="F7002" s="5" t="s">
        <v>22</v>
      </c>
      <c r="G7002" s="15" t="s">
        <v>22</v>
      </c>
      <c r="H7002" s="24">
        <f t="shared" si="1333"/>
        <v>0</v>
      </c>
      <c r="I7002" s="24" cm="1">
        <f t="array" ref="I7002">IFERROR(IF($B7002=I$1, ($A7002+$C7002) - MAX(IF($B$2:$B7001=$B7002, $A$2:$A7001+$C$2:$C7001)), "")*24*60, "")</f>
        <v>0</v>
      </c>
      <c r="J7002" s="24" t="str" cm="1">
        <f t="array" ref="J7002">IFERROR(IF($B7002=J$1, ($A7002+$C7002) - MAX(IF($B$2:$B7001=$B7002, $A$2:$A7001+$C$2:$C7001)), "")*24*60, "")</f>
        <v/>
      </c>
      <c r="K7002" s="24" t="str" cm="1">
        <f t="array" ref="K7002">IFERROR(IF($B7002=K$1, ($A7002+$C7002) - MAX(IF($B$2:$B7001=$B7002, $A$2:$A7001+$C$2:$C7001)), "")*24*60, "")</f>
        <v/>
      </c>
      <c r="L7002" s="24" t="str" cm="1">
        <f t="array" ref="L7002">IFERROR(IF($B7002=L$1, ($A7002+$C7002) - MAX(IF($B$2:$B7001=$B7002, $A$2:$A7001+$C$2:$C7001)), "")*24*60, "")</f>
        <v/>
      </c>
      <c r="M7002" s="24" t="str" cm="1">
        <f t="array" ref="M7002">IFERROR(IF($B7002=M$1, ($A7002+$C7002) - MAX(IF($B$2:$B7001=$B7002, $A$2:$A7001+$C$2:$C7001)), "")*24*60, "")</f>
        <v/>
      </c>
      <c r="N7002" s="24" t="str" cm="1">
        <f t="array" ref="N7002">IFERROR(IF($B7002=N$1, ($A7002+$C7002) - MAX(IF($B$2:$B7001=$B7002, $A$2:$A7001+$C$2:$C7001)), "")*24*60, "")</f>
        <v/>
      </c>
      <c r="O7002" s="24" t="str" cm="1">
        <f t="array" ref="O7002">IFERROR(IF($B7002=O$1, ($A7002+$C7002) - MAX(IF($B$2:$B7001=$B7002, $A$2:$A7001+$C$2:$C7001)), "")*24*60, "")</f>
        <v/>
      </c>
      <c r="P7002" s="24" t="str" cm="1">
        <f t="array" ref="P7002">IFERROR(IF($B7002=P$1, ($A7002+$C7002) - MAX(IF($B$2:$B7001=$B7002, $A$2:$A7001+$C$2:$C7001)), "")*24*60, "")</f>
        <v/>
      </c>
      <c r="Q7002" s="24" t="str" cm="1">
        <f t="array" ref="Q7002">IFERROR(IF($B7002=Q$1, ($A7002+$C7002) - MAX(IF($B$2:$B7001=$B7002, $A$2:$A7001+$C$2:$C7001)), "")*24*60, "")</f>
        <v/>
      </c>
      <c r="R7002" s="24" t="str" cm="1">
        <f t="array" ref="R7002">IFERROR(IF($B7002=R$1, ($A7002+$C7002) - MAX(IF($B$2:$B7001=$B7002, $A$2:$A7001+$C$2:$C7001)), "")*24*60, "")</f>
        <v/>
      </c>
      <c r="S7002" s="24" t="str" cm="1">
        <f t="array" ref="S7002">IFERROR(IF($B7002=S$1, ($A7002+$C7002) - MAX(IF($B$2:$B7001=$B7002, $A$2:$A7001+$C$2:$C7001)), "")*24*60, "")</f>
        <v/>
      </c>
    </row>
    <row r="7003" spans="1:19" x14ac:dyDescent="0.2">
      <c r="A7003" s="12">
        <f t="shared" ref="A7003:C7003" si="1336">A7002</f>
        <v>46005</v>
      </c>
      <c r="B7003" s="5" t="str">
        <f t="shared" si="1336"/>
        <v>Northern Cardinal</v>
      </c>
      <c r="C7003" s="6">
        <f t="shared" si="1336"/>
        <v>0.35069444444444442</v>
      </c>
      <c r="D7003" s="5"/>
      <c r="E7003" s="5"/>
      <c r="F7003" s="5" t="s">
        <v>22</v>
      </c>
      <c r="G7003" s="15" t="s">
        <v>22</v>
      </c>
      <c r="H7003" s="24">
        <f t="shared" si="1333"/>
        <v>0</v>
      </c>
      <c r="I7003" s="24" cm="1">
        <f t="array" ref="I7003">IFERROR(IF($B7003=I$1, ($A7003+$C7003) - MAX(IF($B$2:$B7002=$B7003, $A$2:$A7002+$C$2:$C7002)), "")*24*60, "")</f>
        <v>0</v>
      </c>
      <c r="J7003" s="24" t="str" cm="1">
        <f t="array" ref="J7003">IFERROR(IF($B7003=J$1, ($A7003+$C7003) - MAX(IF($B$2:$B7002=$B7003, $A$2:$A7002+$C$2:$C7002)), "")*24*60, "")</f>
        <v/>
      </c>
      <c r="K7003" s="24" t="str" cm="1">
        <f t="array" ref="K7003">IFERROR(IF($B7003=K$1, ($A7003+$C7003) - MAX(IF($B$2:$B7002=$B7003, $A$2:$A7002+$C$2:$C7002)), "")*24*60, "")</f>
        <v/>
      </c>
      <c r="L7003" s="24" t="str" cm="1">
        <f t="array" ref="L7003">IFERROR(IF($B7003=L$1, ($A7003+$C7003) - MAX(IF($B$2:$B7002=$B7003, $A$2:$A7002+$C$2:$C7002)), "")*24*60, "")</f>
        <v/>
      </c>
      <c r="M7003" s="24" t="str" cm="1">
        <f t="array" ref="M7003">IFERROR(IF($B7003=M$1, ($A7003+$C7003) - MAX(IF($B$2:$B7002=$B7003, $A$2:$A7002+$C$2:$C7002)), "")*24*60, "")</f>
        <v/>
      </c>
      <c r="N7003" s="24" t="str" cm="1">
        <f t="array" ref="N7003">IFERROR(IF($B7003=N$1, ($A7003+$C7003) - MAX(IF($B$2:$B7002=$B7003, $A$2:$A7002+$C$2:$C7002)), "")*24*60, "")</f>
        <v/>
      </c>
      <c r="O7003" s="24" t="str" cm="1">
        <f t="array" ref="O7003">IFERROR(IF($B7003=O$1, ($A7003+$C7003) - MAX(IF($B$2:$B7002=$B7003, $A$2:$A7002+$C$2:$C7002)), "")*24*60, "")</f>
        <v/>
      </c>
      <c r="P7003" s="24" t="str" cm="1">
        <f t="array" ref="P7003">IFERROR(IF($B7003=P$1, ($A7003+$C7003) - MAX(IF($B$2:$B7002=$B7003, $A$2:$A7002+$C$2:$C7002)), "")*24*60, "")</f>
        <v/>
      </c>
      <c r="Q7003" s="24" t="str" cm="1">
        <f t="array" ref="Q7003">IFERROR(IF($B7003=Q$1, ($A7003+$C7003) - MAX(IF($B$2:$B7002=$B7003, $A$2:$A7002+$C$2:$C7002)), "")*24*60, "")</f>
        <v/>
      </c>
      <c r="R7003" s="24" t="str" cm="1">
        <f t="array" ref="R7003">IFERROR(IF($B7003=R$1, ($A7003+$C7003) - MAX(IF($B$2:$B7002=$B7003, $A$2:$A7002+$C$2:$C7002)), "")*24*60, "")</f>
        <v/>
      </c>
      <c r="S7003" s="24" t="str" cm="1">
        <f t="array" ref="S7003">IFERROR(IF($B7003=S$1, ($A7003+$C7003) - MAX(IF($B$2:$B7002=$B7003, $A$2:$A7002+$C$2:$C7002)), "")*24*60, "")</f>
        <v/>
      </c>
    </row>
    <row r="7004" spans="1:19" x14ac:dyDescent="0.2">
      <c r="A7004" s="12">
        <f t="shared" ref="A7004:C7004" si="1337">A7003</f>
        <v>46005</v>
      </c>
      <c r="B7004" s="5" t="str">
        <f t="shared" si="1337"/>
        <v>Northern Cardinal</v>
      </c>
      <c r="C7004" s="6">
        <f t="shared" si="1337"/>
        <v>0.35069444444444442</v>
      </c>
      <c r="D7004" s="5"/>
      <c r="E7004" s="5"/>
      <c r="F7004" s="5" t="s">
        <v>22</v>
      </c>
      <c r="G7004" s="15" t="s">
        <v>22</v>
      </c>
      <c r="H7004" s="24">
        <f t="shared" si="1333"/>
        <v>0</v>
      </c>
      <c r="I7004" s="24" cm="1">
        <f t="array" ref="I7004">IFERROR(IF($B7004=I$1, ($A7004+$C7004) - MAX(IF($B$2:$B7003=$B7004, $A$2:$A7003+$C$2:$C7003)), "")*24*60, "")</f>
        <v>0</v>
      </c>
      <c r="J7004" s="24" t="str" cm="1">
        <f t="array" ref="J7004">IFERROR(IF($B7004=J$1, ($A7004+$C7004) - MAX(IF($B$2:$B7003=$B7004, $A$2:$A7003+$C$2:$C7003)), "")*24*60, "")</f>
        <v/>
      </c>
      <c r="K7004" s="24" t="str" cm="1">
        <f t="array" ref="K7004">IFERROR(IF($B7004=K$1, ($A7004+$C7004) - MAX(IF($B$2:$B7003=$B7004, $A$2:$A7003+$C$2:$C7003)), "")*24*60, "")</f>
        <v/>
      </c>
      <c r="L7004" s="24" t="str" cm="1">
        <f t="array" ref="L7004">IFERROR(IF($B7004=L$1, ($A7004+$C7004) - MAX(IF($B$2:$B7003=$B7004, $A$2:$A7003+$C$2:$C7003)), "")*24*60, "")</f>
        <v/>
      </c>
      <c r="M7004" s="24" t="str" cm="1">
        <f t="array" ref="M7004">IFERROR(IF($B7004=M$1, ($A7004+$C7004) - MAX(IF($B$2:$B7003=$B7004, $A$2:$A7003+$C$2:$C7003)), "")*24*60, "")</f>
        <v/>
      </c>
      <c r="N7004" s="24" t="str" cm="1">
        <f t="array" ref="N7004">IFERROR(IF($B7004=N$1, ($A7004+$C7004) - MAX(IF($B$2:$B7003=$B7004, $A$2:$A7003+$C$2:$C7003)), "")*24*60, "")</f>
        <v/>
      </c>
      <c r="O7004" s="24" t="str" cm="1">
        <f t="array" ref="O7004">IFERROR(IF($B7004=O$1, ($A7004+$C7004) - MAX(IF($B$2:$B7003=$B7004, $A$2:$A7003+$C$2:$C7003)), "")*24*60, "")</f>
        <v/>
      </c>
      <c r="P7004" s="24" t="str" cm="1">
        <f t="array" ref="P7004">IFERROR(IF($B7004=P$1, ($A7004+$C7004) - MAX(IF($B$2:$B7003=$B7004, $A$2:$A7003+$C$2:$C7003)), "")*24*60, "")</f>
        <v/>
      </c>
      <c r="Q7004" s="24" t="str" cm="1">
        <f t="array" ref="Q7004">IFERROR(IF($B7004=Q$1, ($A7004+$C7004) - MAX(IF($B$2:$B7003=$B7004, $A$2:$A7003+$C$2:$C7003)), "")*24*60, "")</f>
        <v/>
      </c>
      <c r="R7004" s="24" t="str" cm="1">
        <f t="array" ref="R7004">IFERROR(IF($B7004=R$1, ($A7004+$C7004) - MAX(IF($B$2:$B7003=$B7004, $A$2:$A7003+$C$2:$C7003)), "")*24*60, "")</f>
        <v/>
      </c>
      <c r="S7004" s="24" t="str" cm="1">
        <f t="array" ref="S7004">IFERROR(IF($B7004=S$1, ($A7004+$C7004) - MAX(IF($B$2:$B7003=$B7004, $A$2:$A7003+$C$2:$C7003)), "")*24*60, "")</f>
        <v/>
      </c>
    </row>
    <row r="7005" spans="1:19" x14ac:dyDescent="0.2">
      <c r="A7005" s="12">
        <f t="shared" ref="A7005:C7005" si="1338">A7004</f>
        <v>46005</v>
      </c>
      <c r="B7005" s="5" t="str">
        <f t="shared" si="1338"/>
        <v>Northern Cardinal</v>
      </c>
      <c r="C7005" s="6">
        <f t="shared" si="1338"/>
        <v>0.35069444444444442</v>
      </c>
      <c r="D7005" s="5"/>
      <c r="E7005" s="5"/>
      <c r="F7005" s="5" t="s">
        <v>22</v>
      </c>
      <c r="G7005" s="15" t="s">
        <v>22</v>
      </c>
      <c r="H7005" s="24">
        <f t="shared" si="1333"/>
        <v>0</v>
      </c>
      <c r="I7005" s="24" cm="1">
        <f t="array" ref="I7005">IFERROR(IF($B7005=I$1, ($A7005+$C7005) - MAX(IF($B$2:$B7004=$B7005, $A$2:$A7004+$C$2:$C7004)), "")*24*60, "")</f>
        <v>0</v>
      </c>
      <c r="J7005" s="24" t="str" cm="1">
        <f t="array" ref="J7005">IFERROR(IF($B7005=J$1, ($A7005+$C7005) - MAX(IF($B$2:$B7004=$B7005, $A$2:$A7004+$C$2:$C7004)), "")*24*60, "")</f>
        <v/>
      </c>
      <c r="K7005" s="24" t="str" cm="1">
        <f t="array" ref="K7005">IFERROR(IF($B7005=K$1, ($A7005+$C7005) - MAX(IF($B$2:$B7004=$B7005, $A$2:$A7004+$C$2:$C7004)), "")*24*60, "")</f>
        <v/>
      </c>
      <c r="L7005" s="24" t="str" cm="1">
        <f t="array" ref="L7005">IFERROR(IF($B7005=L$1, ($A7005+$C7005) - MAX(IF($B$2:$B7004=$B7005, $A$2:$A7004+$C$2:$C7004)), "")*24*60, "")</f>
        <v/>
      </c>
      <c r="M7005" s="24" t="str" cm="1">
        <f t="array" ref="M7005">IFERROR(IF($B7005=M$1, ($A7005+$C7005) - MAX(IF($B$2:$B7004=$B7005, $A$2:$A7004+$C$2:$C7004)), "")*24*60, "")</f>
        <v/>
      </c>
      <c r="N7005" s="24" t="str" cm="1">
        <f t="array" ref="N7005">IFERROR(IF($B7005=N$1, ($A7005+$C7005) - MAX(IF($B$2:$B7004=$B7005, $A$2:$A7004+$C$2:$C7004)), "")*24*60, "")</f>
        <v/>
      </c>
      <c r="O7005" s="24" t="str" cm="1">
        <f t="array" ref="O7005">IFERROR(IF($B7005=O$1, ($A7005+$C7005) - MAX(IF($B$2:$B7004=$B7005, $A$2:$A7004+$C$2:$C7004)), "")*24*60, "")</f>
        <v/>
      </c>
      <c r="P7005" s="24" t="str" cm="1">
        <f t="array" ref="P7005">IFERROR(IF($B7005=P$1, ($A7005+$C7005) - MAX(IF($B$2:$B7004=$B7005, $A$2:$A7004+$C$2:$C7004)), "")*24*60, "")</f>
        <v/>
      </c>
      <c r="Q7005" s="24" t="str" cm="1">
        <f t="array" ref="Q7005">IFERROR(IF($B7005=Q$1, ($A7005+$C7005) - MAX(IF($B$2:$B7004=$B7005, $A$2:$A7004+$C$2:$C7004)), "")*24*60, "")</f>
        <v/>
      </c>
      <c r="R7005" s="24" t="str" cm="1">
        <f t="array" ref="R7005">IFERROR(IF($B7005=R$1, ($A7005+$C7005) - MAX(IF($B$2:$B7004=$B7005, $A$2:$A7004+$C$2:$C7004)), "")*24*60, "")</f>
        <v/>
      </c>
      <c r="S7005" s="24" t="str" cm="1">
        <f t="array" ref="S7005">IFERROR(IF($B7005=S$1, ($A7005+$C7005) - MAX(IF($B$2:$B7004=$B7005, $A$2:$A7004+$C$2:$C7004)), "")*24*60, "")</f>
        <v/>
      </c>
    </row>
    <row r="7006" spans="1:19" x14ac:dyDescent="0.2">
      <c r="A7006" s="12">
        <f t="shared" ref="A7006:C7006" si="1339">A7005</f>
        <v>46005</v>
      </c>
      <c r="B7006" s="5" t="str">
        <f t="shared" si="1339"/>
        <v>Northern Cardinal</v>
      </c>
      <c r="C7006" s="6">
        <f t="shared" si="1339"/>
        <v>0.35069444444444442</v>
      </c>
      <c r="D7006" s="5"/>
      <c r="E7006" s="5"/>
      <c r="F7006" s="5" t="s">
        <v>22</v>
      </c>
      <c r="G7006" s="15" t="s">
        <v>22</v>
      </c>
      <c r="H7006" s="24">
        <f t="shared" si="1333"/>
        <v>0</v>
      </c>
      <c r="I7006" s="24" cm="1">
        <f t="array" ref="I7006">IFERROR(IF($B7006=I$1, ($A7006+$C7006) - MAX(IF($B$2:$B7005=$B7006, $A$2:$A7005+$C$2:$C7005)), "")*24*60, "")</f>
        <v>0</v>
      </c>
      <c r="J7006" s="24" t="str" cm="1">
        <f t="array" ref="J7006">IFERROR(IF($B7006=J$1, ($A7006+$C7006) - MAX(IF($B$2:$B7005=$B7006, $A$2:$A7005+$C$2:$C7005)), "")*24*60, "")</f>
        <v/>
      </c>
      <c r="K7006" s="24" t="str" cm="1">
        <f t="array" ref="K7006">IFERROR(IF($B7006=K$1, ($A7006+$C7006) - MAX(IF($B$2:$B7005=$B7006, $A$2:$A7005+$C$2:$C7005)), "")*24*60, "")</f>
        <v/>
      </c>
      <c r="L7006" s="24" t="str" cm="1">
        <f t="array" ref="L7006">IFERROR(IF($B7006=L$1, ($A7006+$C7006) - MAX(IF($B$2:$B7005=$B7006, $A$2:$A7005+$C$2:$C7005)), "")*24*60, "")</f>
        <v/>
      </c>
      <c r="M7006" s="24" t="str" cm="1">
        <f t="array" ref="M7006">IFERROR(IF($B7006=M$1, ($A7006+$C7006) - MAX(IF($B$2:$B7005=$B7006, $A$2:$A7005+$C$2:$C7005)), "")*24*60, "")</f>
        <v/>
      </c>
      <c r="N7006" s="24" t="str" cm="1">
        <f t="array" ref="N7006">IFERROR(IF($B7006=N$1, ($A7006+$C7006) - MAX(IF($B$2:$B7005=$B7006, $A$2:$A7005+$C$2:$C7005)), "")*24*60, "")</f>
        <v/>
      </c>
      <c r="O7006" s="24" t="str" cm="1">
        <f t="array" ref="O7006">IFERROR(IF($B7006=O$1, ($A7006+$C7006) - MAX(IF($B$2:$B7005=$B7006, $A$2:$A7005+$C$2:$C7005)), "")*24*60, "")</f>
        <v/>
      </c>
      <c r="P7006" s="24" t="str" cm="1">
        <f t="array" ref="P7006">IFERROR(IF($B7006=P$1, ($A7006+$C7006) - MAX(IF($B$2:$B7005=$B7006, $A$2:$A7005+$C$2:$C7005)), "")*24*60, "")</f>
        <v/>
      </c>
      <c r="Q7006" s="24" t="str" cm="1">
        <f t="array" ref="Q7006">IFERROR(IF($B7006=Q$1, ($A7006+$C7006) - MAX(IF($B$2:$B7005=$B7006, $A$2:$A7005+$C$2:$C7005)), "")*24*60, "")</f>
        <v/>
      </c>
      <c r="R7006" s="24" t="str" cm="1">
        <f t="array" ref="R7006">IFERROR(IF($B7006=R$1, ($A7006+$C7006) - MAX(IF($B$2:$B7005=$B7006, $A$2:$A7005+$C$2:$C7005)), "")*24*60, "")</f>
        <v/>
      </c>
      <c r="S7006" s="24" t="str" cm="1">
        <f t="array" ref="S7006">IFERROR(IF($B7006=S$1, ($A7006+$C7006) - MAX(IF($B$2:$B7005=$B7006, $A$2:$A7005+$C$2:$C7005)), "")*24*60, "")</f>
        <v/>
      </c>
    </row>
    <row r="7007" spans="1:19" x14ac:dyDescent="0.2">
      <c r="A7007" s="12">
        <f t="shared" ref="A7007:C7007" si="1340">A7006</f>
        <v>46005</v>
      </c>
      <c r="B7007" s="5" t="str">
        <f t="shared" si="1340"/>
        <v>Northern Cardinal</v>
      </c>
      <c r="C7007" s="6">
        <f t="shared" si="1340"/>
        <v>0.35069444444444442</v>
      </c>
      <c r="D7007" s="5"/>
      <c r="E7007" s="5"/>
      <c r="F7007" s="5" t="s">
        <v>22</v>
      </c>
      <c r="G7007" s="15" t="s">
        <v>22</v>
      </c>
      <c r="H7007" s="24">
        <f t="shared" si="1333"/>
        <v>0</v>
      </c>
      <c r="I7007" s="24" cm="1">
        <f t="array" ref="I7007">IFERROR(IF($B7007=I$1, ($A7007+$C7007) - MAX(IF($B$2:$B7006=$B7007, $A$2:$A7006+$C$2:$C7006)), "")*24*60, "")</f>
        <v>0</v>
      </c>
      <c r="J7007" s="24" t="str" cm="1">
        <f t="array" ref="J7007">IFERROR(IF($B7007=J$1, ($A7007+$C7007) - MAX(IF($B$2:$B7006=$B7007, $A$2:$A7006+$C$2:$C7006)), "")*24*60, "")</f>
        <v/>
      </c>
      <c r="K7007" s="24" t="str" cm="1">
        <f t="array" ref="K7007">IFERROR(IF($B7007=K$1, ($A7007+$C7007) - MAX(IF($B$2:$B7006=$B7007, $A$2:$A7006+$C$2:$C7006)), "")*24*60, "")</f>
        <v/>
      </c>
      <c r="L7007" s="24" t="str" cm="1">
        <f t="array" ref="L7007">IFERROR(IF($B7007=L$1, ($A7007+$C7007) - MAX(IF($B$2:$B7006=$B7007, $A$2:$A7006+$C$2:$C7006)), "")*24*60, "")</f>
        <v/>
      </c>
      <c r="M7007" s="24" t="str" cm="1">
        <f t="array" ref="M7007">IFERROR(IF($B7007=M$1, ($A7007+$C7007) - MAX(IF($B$2:$B7006=$B7007, $A$2:$A7006+$C$2:$C7006)), "")*24*60, "")</f>
        <v/>
      </c>
      <c r="N7007" s="24" t="str" cm="1">
        <f t="array" ref="N7007">IFERROR(IF($B7007=N$1, ($A7007+$C7007) - MAX(IF($B$2:$B7006=$B7007, $A$2:$A7006+$C$2:$C7006)), "")*24*60, "")</f>
        <v/>
      </c>
      <c r="O7007" s="24" t="str" cm="1">
        <f t="array" ref="O7007">IFERROR(IF($B7007=O$1, ($A7007+$C7007) - MAX(IF($B$2:$B7006=$B7007, $A$2:$A7006+$C$2:$C7006)), "")*24*60, "")</f>
        <v/>
      </c>
      <c r="P7007" s="24" t="str" cm="1">
        <f t="array" ref="P7007">IFERROR(IF($B7007=P$1, ($A7007+$C7007) - MAX(IF($B$2:$B7006=$B7007, $A$2:$A7006+$C$2:$C7006)), "")*24*60, "")</f>
        <v/>
      </c>
      <c r="Q7007" s="24" t="str" cm="1">
        <f t="array" ref="Q7007">IFERROR(IF($B7007=Q$1, ($A7007+$C7007) - MAX(IF($B$2:$B7006=$B7007, $A$2:$A7006+$C$2:$C7006)), "")*24*60, "")</f>
        <v/>
      </c>
      <c r="R7007" s="24" t="str" cm="1">
        <f t="array" ref="R7007">IFERROR(IF($B7007=R$1, ($A7007+$C7007) - MAX(IF($B$2:$B7006=$B7007, $A$2:$A7006+$C$2:$C7006)), "")*24*60, "")</f>
        <v/>
      </c>
      <c r="S7007" s="24" t="str" cm="1">
        <f t="array" ref="S7007">IFERROR(IF($B7007=S$1, ($A7007+$C7007) - MAX(IF($B$2:$B7006=$B7007, $A$2:$A7006+$C$2:$C7006)), "")*24*60, "")</f>
        <v/>
      </c>
    </row>
    <row r="7008" spans="1:19" x14ac:dyDescent="0.2">
      <c r="A7008" s="12">
        <f t="shared" ref="A7008:C7008" si="1341">A7007</f>
        <v>46005</v>
      </c>
      <c r="B7008" s="5" t="str">
        <f t="shared" si="1341"/>
        <v>Northern Cardinal</v>
      </c>
      <c r="C7008" s="6">
        <f t="shared" si="1341"/>
        <v>0.35069444444444442</v>
      </c>
      <c r="D7008" s="5"/>
      <c r="E7008" s="5"/>
      <c r="F7008" s="5" t="s">
        <v>22</v>
      </c>
      <c r="G7008" s="15" t="s">
        <v>22</v>
      </c>
      <c r="H7008" s="24">
        <f t="shared" si="1333"/>
        <v>0</v>
      </c>
      <c r="I7008" s="24" cm="1">
        <f t="array" ref="I7008">IFERROR(IF($B7008=I$1, ($A7008+$C7008) - MAX(IF($B$2:$B7007=$B7008, $A$2:$A7007+$C$2:$C7007)), "")*24*60, "")</f>
        <v>0</v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t="str" cm="1">
        <f t="array" ref="O7008">IFERROR(IF($B7008=O$1, ($A7008+$C7008) - MAX(IF($B$2:$B7007=$B7008, $A$2:$A7007+$C$2:$C7007)), "")*24*60, "")</f>
        <v/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C7009" si="1342">A7008</f>
        <v>46005</v>
      </c>
      <c r="B7009" s="5" t="str">
        <f t="shared" si="1342"/>
        <v>Northern Cardinal</v>
      </c>
      <c r="C7009" s="6">
        <f t="shared" si="1342"/>
        <v>0.35069444444444442</v>
      </c>
      <c r="D7009" s="5"/>
      <c r="E7009" s="5"/>
      <c r="F7009" s="5" t="s">
        <v>22</v>
      </c>
      <c r="G7009" s="15" t="s">
        <v>22</v>
      </c>
      <c r="H7009" s="24">
        <f t="shared" si="1333"/>
        <v>0</v>
      </c>
      <c r="I7009" s="24" cm="1">
        <f t="array" ref="I7009">IFERROR(IF($B7009=I$1, ($A7009+$C7009) - MAX(IF($B$2:$B7008=$B7009, $A$2:$A7008+$C$2:$C7008)), "")*24*60, "")</f>
        <v>0</v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t="str" cm="1">
        <f t="array" ref="O7009">IFERROR(IF($B7009=O$1, ($A7009+$C7009) - MAX(IF($B$2:$B7008=$B7009, $A$2:$A7008+$C$2:$C7008)), "")*24*60, "")</f>
        <v/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C7010" si="1343">A7009</f>
        <v>46005</v>
      </c>
      <c r="B7010" s="5" t="str">
        <f t="shared" si="1343"/>
        <v>Northern Cardinal</v>
      </c>
      <c r="C7010" s="6">
        <f t="shared" si="1343"/>
        <v>0.35069444444444442</v>
      </c>
      <c r="D7010" s="5"/>
      <c r="E7010" s="5"/>
      <c r="F7010" s="5" t="s">
        <v>22</v>
      </c>
      <c r="G7010" s="15" t="s">
        <v>22</v>
      </c>
      <c r="H7010" s="24">
        <f t="shared" si="1333"/>
        <v>0</v>
      </c>
      <c r="I7010" s="24" cm="1">
        <f t="array" ref="I7010">IFERROR(IF($B7010=I$1, ($A7010+$C7010) - MAX(IF($B$2:$B7009=$B7010, $A$2:$A7009+$C$2:$C7009)), "")*24*60, "")</f>
        <v>0</v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t="str" cm="1">
        <f t="array" ref="O7010">IFERROR(IF($B7010=O$1, ($A7010+$C7010) - MAX(IF($B$2:$B7009=$B7010, $A$2:$A7009+$C$2:$C7009)), "")*24*60, "")</f>
        <v/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C7011" si="1344">A7010</f>
        <v>46005</v>
      </c>
      <c r="B7011" s="5" t="str">
        <f t="shared" si="1344"/>
        <v>Northern Cardinal</v>
      </c>
      <c r="C7011" s="6">
        <f t="shared" si="1344"/>
        <v>0.35069444444444442</v>
      </c>
      <c r="D7011" s="5"/>
      <c r="E7011" s="5"/>
      <c r="F7011" s="5" t="s">
        <v>22</v>
      </c>
      <c r="G7011" s="15" t="s">
        <v>22</v>
      </c>
      <c r="H7011" s="24">
        <f t="shared" si="1333"/>
        <v>0</v>
      </c>
      <c r="I7011" s="24" cm="1">
        <f t="array" ref="I7011">IFERROR(IF($B7011=I$1, ($A7011+$C7011) - MAX(IF($B$2:$B7010=$B7011, $A$2:$A7010+$C$2:$C7010)), "")*24*60, "")</f>
        <v>0</v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t="str" cm="1">
        <f t="array" ref="O7011">IFERROR(IF($B7011=O$1, ($A7011+$C7011) - MAX(IF($B$2:$B7010=$B7011, $A$2:$A7010+$C$2:$C7010)), "")*24*60, "")</f>
        <v/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45">A7011</f>
        <v>46005</v>
      </c>
      <c r="B7012" s="5" t="str">
        <f t="shared" si="1345"/>
        <v>Northern Cardinal</v>
      </c>
      <c r="C7012" s="6">
        <f t="shared" si="1345"/>
        <v>0.35069444444444442</v>
      </c>
      <c r="D7012" s="5"/>
      <c r="E7012" s="5"/>
      <c r="F7012" s="5" t="s">
        <v>22</v>
      </c>
      <c r="G7012" s="15" t="s">
        <v>22</v>
      </c>
      <c r="H7012" s="24">
        <f t="shared" si="1333"/>
        <v>0</v>
      </c>
      <c r="I7012" s="24" cm="1">
        <f t="array" ref="I7012">IFERROR(IF($B7012=I$1, ($A7012+$C7012) - MAX(IF($B$2:$B7011=$B7012, $A$2:$A7011+$C$2:$C7011)), "")*24*60, "")</f>
        <v>0</v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t="str" cm="1">
        <f t="array" ref="O7012">IFERROR(IF($B7012=O$1, ($A7012+$C7012) - MAX(IF($B$2:$B7011=$B7012, $A$2:$A7011+$C$2:$C7011)), "")*24*60, "")</f>
        <v/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C7013" si="1346">A7012</f>
        <v>46005</v>
      </c>
      <c r="B7013" s="5" t="str">
        <f t="shared" si="1346"/>
        <v>Northern Cardinal</v>
      </c>
      <c r="C7013" s="6">
        <f t="shared" si="1346"/>
        <v>0.35069444444444442</v>
      </c>
      <c r="D7013" s="5"/>
      <c r="E7013" s="5"/>
      <c r="F7013" s="5" t="s">
        <v>22</v>
      </c>
      <c r="G7013" s="15" t="s">
        <v>22</v>
      </c>
      <c r="H7013" s="24">
        <f t="shared" si="1333"/>
        <v>0</v>
      </c>
      <c r="I7013" s="24" cm="1">
        <f t="array" ref="I7013">IFERROR(IF($B7013=I$1, ($A7013+$C7013) - MAX(IF($B$2:$B7012=$B7013, $A$2:$A7012+$C$2:$C7012)), "")*24*60, "")</f>
        <v>0</v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t="str" cm="1">
        <f t="array" ref="O7013">IFERROR(IF($B7013=O$1, ($A7013+$C7013) - MAX(IF($B$2:$B7012=$B7013, $A$2:$A7012+$C$2:$C7012)), "")*24*60, "")</f>
        <v/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47">A7013</f>
        <v>46005</v>
      </c>
      <c r="B7014" s="5" t="str">
        <f t="shared" si="1347"/>
        <v>Northern Cardinal</v>
      </c>
      <c r="C7014" s="6">
        <f t="shared" si="1347"/>
        <v>0.35069444444444442</v>
      </c>
      <c r="D7014" s="5"/>
      <c r="E7014" s="5"/>
      <c r="F7014" s="5" t="s">
        <v>22</v>
      </c>
      <c r="G7014" s="15" t="s">
        <v>22</v>
      </c>
      <c r="H7014" s="24">
        <f t="shared" si="1333"/>
        <v>0</v>
      </c>
      <c r="I7014" s="24" cm="1">
        <f t="array" ref="I7014">IFERROR(IF($B7014=I$1, ($A7014+$C7014) - MAX(IF($B$2:$B7013=$B7014, $A$2:$A7013+$C$2:$C7013)), "")*24*60, "")</f>
        <v>0</v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t="str" cm="1">
        <f t="array" ref="O7014">IFERROR(IF($B7014=O$1, ($A7014+$C7014) - MAX(IF($B$2:$B7013=$B7014, $A$2:$A7013+$C$2:$C7013)), "")*24*60, "")</f>
        <v/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C7015" si="1348">A7014</f>
        <v>46005</v>
      </c>
      <c r="B7015" s="5" t="str">
        <f t="shared" si="1348"/>
        <v>Northern Cardinal</v>
      </c>
      <c r="C7015" s="6">
        <f t="shared" si="1348"/>
        <v>0.35069444444444442</v>
      </c>
      <c r="D7015" s="5"/>
      <c r="E7015" s="5"/>
      <c r="F7015" s="5" t="s">
        <v>22</v>
      </c>
      <c r="G7015" s="15" t="s">
        <v>22</v>
      </c>
      <c r="H7015" s="24">
        <f t="shared" si="1333"/>
        <v>0</v>
      </c>
      <c r="I7015" s="24" cm="1">
        <f t="array" ref="I7015">IFERROR(IF($B7015=I$1, ($A7015+$C7015) - MAX(IF($B$2:$B7014=$B7015, $A$2:$A7014+$C$2:$C7014)), "")*24*60, "")</f>
        <v>0</v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t="str" cm="1">
        <f t="array" ref="O7015">IFERROR(IF($B7015=O$1, ($A7015+$C7015) - MAX(IF($B$2:$B7014=$B7015, $A$2:$A7014+$C$2:$C7014)), "")*24*60, "")</f>
        <v/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C7016" si="1349">A7015</f>
        <v>46005</v>
      </c>
      <c r="B7016" s="5" t="str">
        <f t="shared" si="1349"/>
        <v>Northern Cardinal</v>
      </c>
      <c r="C7016" s="6">
        <f t="shared" si="1349"/>
        <v>0.35069444444444442</v>
      </c>
      <c r="D7016" s="5"/>
      <c r="E7016" s="5"/>
      <c r="F7016" s="5" t="s">
        <v>22</v>
      </c>
      <c r="G7016" s="15" t="s">
        <v>22</v>
      </c>
      <c r="H7016" s="24">
        <f t="shared" si="1333"/>
        <v>0</v>
      </c>
      <c r="I7016" s="24" cm="1">
        <f t="array" ref="I7016">IFERROR(IF($B7016=I$1, ($A7016+$C7016) - MAX(IF($B$2:$B7015=$B7016, $A$2:$A7015+$C$2:$C7015)), "")*24*60, "")</f>
        <v>0</v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t="str" cm="1">
        <f t="array" ref="O7016">IFERROR(IF($B7016=O$1, ($A7016+$C7016) - MAX(IF($B$2:$B7015=$B7016, $A$2:$A7015+$C$2:$C7015)), "")*24*60, "")</f>
        <v/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2">
        <f t="shared" ref="A7017:C7017" si="1350">A7016</f>
        <v>46005</v>
      </c>
      <c r="B7017" s="5" t="str">
        <f t="shared" si="1350"/>
        <v>Northern Cardinal</v>
      </c>
      <c r="C7017" s="6">
        <f t="shared" si="1350"/>
        <v>0.35069444444444442</v>
      </c>
      <c r="D7017" s="5"/>
      <c r="E7017" s="5"/>
      <c r="F7017" s="5" t="s">
        <v>22</v>
      </c>
      <c r="G7017" s="15" t="s">
        <v>22</v>
      </c>
      <c r="H7017" s="24">
        <f t="shared" si="1333"/>
        <v>0</v>
      </c>
      <c r="I7017" s="24" cm="1">
        <f t="array" ref="I7017">IFERROR(IF($B7017=I$1, ($A7017+$C7017) - MAX(IF($B$2:$B7016=$B7017, $A$2:$A7016+$C$2:$C7016)), "")*24*60, "")</f>
        <v>0</v>
      </c>
      <c r="J7017" s="24" t="str" cm="1">
        <f t="array" ref="J7017">IFERROR(IF($B7017=J$1, ($A7017+$C7017) - MAX(IF($B$2:$B7016=$B7017, $A$2:$A7016+$C$2:$C7016)), "")*24*60, "")</f>
        <v/>
      </c>
      <c r="K7017" s="24" t="str" cm="1">
        <f t="array" ref="K7017">IFERROR(IF($B7017=K$1, ($A7017+$C7017) - MAX(IF($B$2:$B7016=$B7017, $A$2:$A7016+$C$2:$C7016)), "")*24*60, "")</f>
        <v/>
      </c>
      <c r="L7017" s="24" t="str" cm="1">
        <f t="array" ref="L7017">IFERROR(IF($B7017=L$1, ($A7017+$C7017) - MAX(IF($B$2:$B7016=$B7017, $A$2:$A7016+$C$2:$C7016)), "")*24*60, "")</f>
        <v/>
      </c>
      <c r="M7017" s="24" t="str" cm="1">
        <f t="array" ref="M7017">IFERROR(IF($B7017=M$1, ($A7017+$C7017) - MAX(IF($B$2:$B7016=$B7017, $A$2:$A7016+$C$2:$C7016)), "")*24*60, "")</f>
        <v/>
      </c>
      <c r="N7017" s="24" t="str" cm="1">
        <f t="array" ref="N7017">IFERROR(IF($B7017=N$1, ($A7017+$C7017) - MAX(IF($B$2:$B7016=$B7017, $A$2:$A7016+$C$2:$C7016)), "")*24*60, "")</f>
        <v/>
      </c>
      <c r="O7017" s="24" t="str" cm="1">
        <f t="array" ref="O7017">IFERROR(IF($B7017=O$1, ($A7017+$C7017) - MAX(IF($B$2:$B7016=$B7017, $A$2:$A7016+$C$2:$C7016)), "")*24*60, "")</f>
        <v/>
      </c>
      <c r="P7017" s="24" t="str" cm="1">
        <f t="array" ref="P7017">IFERROR(IF($B7017=P$1, ($A7017+$C7017) - MAX(IF($B$2:$B7016=$B7017, $A$2:$A7016+$C$2:$C7016)), "")*24*60, "")</f>
        <v/>
      </c>
      <c r="Q7017" s="24" t="str" cm="1">
        <f t="array" ref="Q7017">IFERROR(IF($B7017=Q$1, ($A7017+$C7017) - MAX(IF($B$2:$B7016=$B7017, $A$2:$A7016+$C$2:$C7016)), "")*24*60, "")</f>
        <v/>
      </c>
      <c r="R7017" s="24" t="str" cm="1">
        <f t="array" ref="R7017">IFERROR(IF($B7017=R$1, ($A7017+$C7017) - MAX(IF($B$2:$B7016=$B7017, $A$2:$A7016+$C$2:$C7016)), "")*24*60, "")</f>
        <v/>
      </c>
      <c r="S7017" s="24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f t="shared" ref="A7018:C7018" si="1351">A7017</f>
        <v>46005</v>
      </c>
      <c r="B7018" s="5" t="str">
        <f t="shared" si="1351"/>
        <v>Northern Cardinal</v>
      </c>
      <c r="C7018" s="6">
        <f t="shared" si="1351"/>
        <v>0.35069444444444442</v>
      </c>
      <c r="D7018" s="5"/>
      <c r="E7018" s="5"/>
      <c r="F7018" s="5" t="s">
        <v>22</v>
      </c>
      <c r="G7018" s="15" t="s">
        <v>22</v>
      </c>
      <c r="H7018" s="24">
        <f t="shared" si="1333"/>
        <v>0</v>
      </c>
      <c r="I7018" s="24" cm="1">
        <f t="array" ref="I7018">IFERROR(IF($B7018=I$1, ($A7018+$C7018) - MAX(IF($B$2:$B7017=$B7018, $A$2:$A7017+$C$2:$C7017)), "")*24*60, "")</f>
        <v>0</v>
      </c>
      <c r="J7018" s="24" t="str" cm="1">
        <f t="array" ref="J7018">IFERROR(IF($B7018=J$1, ($A7018+$C7018) - MAX(IF($B$2:$B7017=$B7018, $A$2:$A7017+$C$2:$C7017)), "")*24*60, "")</f>
        <v/>
      </c>
      <c r="K7018" s="24" t="str" cm="1">
        <f t="array" ref="K7018">IFERROR(IF($B7018=K$1, ($A7018+$C7018) - MAX(IF($B$2:$B7017=$B7018, $A$2:$A7017+$C$2:$C7017)), "")*24*60, "")</f>
        <v/>
      </c>
      <c r="L7018" s="24" t="str" cm="1">
        <f t="array" ref="L7018">IFERROR(IF($B7018=L$1, ($A7018+$C7018) - MAX(IF($B$2:$B7017=$B7018, $A$2:$A7017+$C$2:$C7017)), "")*24*60, "")</f>
        <v/>
      </c>
      <c r="M7018" s="24" t="str" cm="1">
        <f t="array" ref="M7018">IFERROR(IF($B7018=M$1, ($A7018+$C7018) - MAX(IF($B$2:$B7017=$B7018, $A$2:$A7017+$C$2:$C7017)), "")*24*60, "")</f>
        <v/>
      </c>
      <c r="N7018" s="24" t="str" cm="1">
        <f t="array" ref="N7018">IFERROR(IF($B7018=N$1, ($A7018+$C7018) - MAX(IF($B$2:$B7017=$B7018, $A$2:$A7017+$C$2:$C7017)), "")*24*60, "")</f>
        <v/>
      </c>
      <c r="O7018" s="24" t="str" cm="1">
        <f t="array" ref="O7018">IFERROR(IF($B7018=O$1, ($A7018+$C7018) - MAX(IF($B$2:$B7017=$B7018, $A$2:$A7017+$C$2:$C7017)), "")*24*60, "")</f>
        <v/>
      </c>
      <c r="P7018" s="24" t="str" cm="1">
        <f t="array" ref="P7018">IFERROR(IF($B7018=P$1, ($A7018+$C7018) - MAX(IF($B$2:$B7017=$B7018, $A$2:$A7017+$C$2:$C7017)), "")*24*60, "")</f>
        <v/>
      </c>
      <c r="Q7018" s="24" t="str" cm="1">
        <f t="array" ref="Q7018">IFERROR(IF($B7018=Q$1, ($A7018+$C7018) - MAX(IF($B$2:$B7017=$B7018, $A$2:$A7017+$C$2:$C7017)), "")*24*60, "")</f>
        <v/>
      </c>
      <c r="R7018" s="24" t="str" cm="1">
        <f t="array" ref="R7018">IFERROR(IF($B7018=R$1, ($A7018+$C7018) - MAX(IF($B$2:$B7017=$B7018, $A$2:$A7017+$C$2:$C7017)), "")*24*60, "")</f>
        <v/>
      </c>
      <c r="S7018" s="24" t="str" cm="1">
        <f t="array" ref="S7018">IFERROR(IF($B7018=S$1, ($A7018+$C7018) - MAX(IF($B$2:$B7017=$B7018, $A$2:$A7017+$C$2:$C7017)), "")*24*60, "")</f>
        <v/>
      </c>
    </row>
    <row r="7019" spans="1:19" x14ac:dyDescent="0.2">
      <c r="A7019" s="12">
        <f t="shared" ref="A7019:C7019" si="1352">A7018</f>
        <v>46005</v>
      </c>
      <c r="B7019" s="5" t="str">
        <f t="shared" si="1352"/>
        <v>Northern Cardinal</v>
      </c>
      <c r="C7019" s="6">
        <f t="shared" si="1352"/>
        <v>0.35069444444444442</v>
      </c>
      <c r="D7019" s="5"/>
      <c r="E7019" s="5"/>
      <c r="F7019" s="5" t="s">
        <v>22</v>
      </c>
      <c r="G7019" s="15" t="s">
        <v>22</v>
      </c>
      <c r="H7019" s="24">
        <f t="shared" si="1333"/>
        <v>0</v>
      </c>
      <c r="I7019" s="24" cm="1">
        <f t="array" ref="I7019">IFERROR(IF($B7019=I$1, ($A7019+$C7019) - MAX(IF($B$2:$B7018=$B7019, $A$2:$A7018+$C$2:$C7018)), "")*24*60, "")</f>
        <v>0</v>
      </c>
      <c r="J7019" s="24" t="str" cm="1">
        <f t="array" ref="J7019">IFERROR(IF($B7019=J$1, ($A7019+$C7019) - MAX(IF($B$2:$B7018=$B7019, $A$2:$A7018+$C$2:$C7018)), "")*24*60, "")</f>
        <v/>
      </c>
      <c r="K7019" s="24" t="str" cm="1">
        <f t="array" ref="K7019">IFERROR(IF($B7019=K$1, ($A7019+$C7019) - MAX(IF($B$2:$B7018=$B7019, $A$2:$A7018+$C$2:$C7018)), "")*24*60, "")</f>
        <v/>
      </c>
      <c r="L7019" s="24" t="str" cm="1">
        <f t="array" ref="L7019">IFERROR(IF($B7019=L$1, ($A7019+$C7019) - MAX(IF($B$2:$B7018=$B7019, $A$2:$A7018+$C$2:$C7018)), "")*24*60, "")</f>
        <v/>
      </c>
      <c r="M7019" s="24" t="str" cm="1">
        <f t="array" ref="M7019">IFERROR(IF($B7019=M$1, ($A7019+$C7019) - MAX(IF($B$2:$B7018=$B7019, $A$2:$A7018+$C$2:$C7018)), "")*24*60, "")</f>
        <v/>
      </c>
      <c r="N7019" s="24" t="str" cm="1">
        <f t="array" ref="N7019">IFERROR(IF($B7019=N$1, ($A7019+$C7019) - MAX(IF($B$2:$B7018=$B7019, $A$2:$A7018+$C$2:$C7018)), "")*24*60, "")</f>
        <v/>
      </c>
      <c r="O7019" s="24" t="str" cm="1">
        <f t="array" ref="O7019">IFERROR(IF($B7019=O$1, ($A7019+$C7019) - MAX(IF($B$2:$B7018=$B7019, $A$2:$A7018+$C$2:$C7018)), "")*24*60, "")</f>
        <v/>
      </c>
      <c r="P7019" s="24" t="str" cm="1">
        <f t="array" ref="P7019">IFERROR(IF($B7019=P$1, ($A7019+$C7019) - MAX(IF($B$2:$B7018=$B7019, $A$2:$A7018+$C$2:$C7018)), "")*24*60, "")</f>
        <v/>
      </c>
      <c r="Q7019" s="24" t="str" cm="1">
        <f t="array" ref="Q7019">IFERROR(IF($B7019=Q$1, ($A7019+$C7019) - MAX(IF($B$2:$B7018=$B7019, $A$2:$A7018+$C$2:$C7018)), "")*24*60, "")</f>
        <v/>
      </c>
      <c r="R7019" s="24" t="str" cm="1">
        <f t="array" ref="R7019">IFERROR(IF($B7019=R$1, ($A7019+$C7019) - MAX(IF($B$2:$B7018=$B7019, $A$2:$A7018+$C$2:$C7018)), "")*24*60, "")</f>
        <v/>
      </c>
      <c r="S7019" s="24" t="str" cm="1">
        <f t="array" ref="S7019">IFERROR(IF($B7019=S$1, ($A7019+$C7019) - MAX(IF($B$2:$B7018=$B7019, $A$2:$A7018+$C$2:$C7018)), "")*24*60, "")</f>
        <v/>
      </c>
    </row>
    <row r="7020" spans="1:19" x14ac:dyDescent="0.2">
      <c r="A7020" s="12">
        <f t="shared" ref="A7020:C7020" si="1353">A7019</f>
        <v>46005</v>
      </c>
      <c r="B7020" s="5" t="str">
        <f t="shared" si="1353"/>
        <v>Northern Cardinal</v>
      </c>
      <c r="C7020" s="6">
        <f t="shared" si="1353"/>
        <v>0.35069444444444442</v>
      </c>
      <c r="D7020" s="5"/>
      <c r="E7020" s="5"/>
      <c r="F7020" s="5" t="s">
        <v>22</v>
      </c>
      <c r="G7020" s="15" t="s">
        <v>22</v>
      </c>
      <c r="H7020" s="24">
        <f t="shared" si="1333"/>
        <v>0</v>
      </c>
      <c r="I7020" s="24" cm="1">
        <f t="array" ref="I7020">IFERROR(IF($B7020=I$1, ($A7020+$C7020) - MAX(IF($B$2:$B7019=$B7020, $A$2:$A7019+$C$2:$C7019)), "")*24*60, "")</f>
        <v>0</v>
      </c>
      <c r="J7020" s="24" t="str" cm="1">
        <f t="array" ref="J7020">IFERROR(IF($B7020=J$1, ($A7020+$C7020) - MAX(IF($B$2:$B7019=$B7020, $A$2:$A7019+$C$2:$C7019)), "")*24*60, "")</f>
        <v/>
      </c>
      <c r="K7020" s="24" t="str" cm="1">
        <f t="array" ref="K7020">IFERROR(IF($B7020=K$1, ($A7020+$C7020) - MAX(IF($B$2:$B7019=$B7020, $A$2:$A7019+$C$2:$C7019)), "")*24*60, "")</f>
        <v/>
      </c>
      <c r="L7020" s="24" t="str" cm="1">
        <f t="array" ref="L7020">IFERROR(IF($B7020=L$1, ($A7020+$C7020) - MAX(IF($B$2:$B7019=$B7020, $A$2:$A7019+$C$2:$C7019)), "")*24*60, "")</f>
        <v/>
      </c>
      <c r="M7020" s="24" t="str" cm="1">
        <f t="array" ref="M7020">IFERROR(IF($B7020=M$1, ($A7020+$C7020) - MAX(IF($B$2:$B7019=$B7020, $A$2:$A7019+$C$2:$C7019)), "")*24*60, "")</f>
        <v/>
      </c>
      <c r="N7020" s="24" t="str" cm="1">
        <f t="array" ref="N7020">IFERROR(IF($B7020=N$1, ($A7020+$C7020) - MAX(IF($B$2:$B7019=$B7020, $A$2:$A7019+$C$2:$C7019)), "")*24*60, "")</f>
        <v/>
      </c>
      <c r="O7020" s="24" t="str" cm="1">
        <f t="array" ref="O7020">IFERROR(IF($B7020=O$1, ($A7020+$C7020) - MAX(IF($B$2:$B7019=$B7020, $A$2:$A7019+$C$2:$C7019)), "")*24*60, "")</f>
        <v/>
      </c>
      <c r="P7020" s="24" t="str" cm="1">
        <f t="array" ref="P7020">IFERROR(IF($B7020=P$1, ($A7020+$C7020) - MAX(IF($B$2:$B7019=$B7020, $A$2:$A7019+$C$2:$C7019)), "")*24*60, "")</f>
        <v/>
      </c>
      <c r="Q7020" s="24" t="str" cm="1">
        <f t="array" ref="Q7020">IFERROR(IF($B7020=Q$1, ($A7020+$C7020) - MAX(IF($B$2:$B7019=$B7020, $A$2:$A7019+$C$2:$C7019)), "")*24*60, "")</f>
        <v/>
      </c>
      <c r="R7020" s="24" t="str" cm="1">
        <f t="array" ref="R7020">IFERROR(IF($B7020=R$1, ($A7020+$C7020) - MAX(IF($B$2:$B7019=$B7020, $A$2:$A7019+$C$2:$C7019)), "")*24*60, "")</f>
        <v/>
      </c>
      <c r="S7020" s="24" t="str" cm="1">
        <f t="array" ref="S7020">IFERROR(IF($B7020=S$1, ($A7020+$C7020) - MAX(IF($B$2:$B7019=$B7020, $A$2:$A7019+$C$2:$C7019)), "")*24*60, "")</f>
        <v/>
      </c>
    </row>
    <row r="7021" spans="1:19" x14ac:dyDescent="0.2">
      <c r="A7021" s="12">
        <f t="shared" ref="A7021:C7021" si="1354">A7020</f>
        <v>46005</v>
      </c>
      <c r="B7021" s="5" t="str">
        <f t="shared" si="1354"/>
        <v>Northern Cardinal</v>
      </c>
      <c r="C7021" s="6">
        <f t="shared" si="1354"/>
        <v>0.35069444444444442</v>
      </c>
      <c r="D7021" s="5"/>
      <c r="E7021" s="5"/>
      <c r="F7021" s="5" t="s">
        <v>22</v>
      </c>
      <c r="G7021" s="15" t="s">
        <v>22</v>
      </c>
      <c r="H7021" s="24">
        <f t="shared" si="1333"/>
        <v>0</v>
      </c>
      <c r="I7021" s="24" cm="1">
        <f t="array" ref="I7021">IFERROR(IF($B7021=I$1, ($A7021+$C7021) - MAX(IF($B$2:$B7020=$B7021, $A$2:$A7020+$C$2:$C7020)), "")*24*60, "")</f>
        <v>0</v>
      </c>
      <c r="J7021" s="24" t="str" cm="1">
        <f t="array" ref="J7021">IFERROR(IF($B7021=J$1, ($A7021+$C7021) - MAX(IF($B$2:$B7020=$B7021, $A$2:$A7020+$C$2:$C7020)), "")*24*60, "")</f>
        <v/>
      </c>
      <c r="K7021" s="24" t="str" cm="1">
        <f t="array" ref="K7021">IFERROR(IF($B7021=K$1, ($A7021+$C7021) - MAX(IF($B$2:$B7020=$B7021, $A$2:$A7020+$C$2:$C7020)), "")*24*60, "")</f>
        <v/>
      </c>
      <c r="L7021" s="24" t="str" cm="1">
        <f t="array" ref="L7021">IFERROR(IF($B7021=L$1, ($A7021+$C7021) - MAX(IF($B$2:$B7020=$B7021, $A$2:$A7020+$C$2:$C7020)), "")*24*60, "")</f>
        <v/>
      </c>
      <c r="M7021" s="24" t="str" cm="1">
        <f t="array" ref="M7021">IFERROR(IF($B7021=M$1, ($A7021+$C7021) - MAX(IF($B$2:$B7020=$B7021, $A$2:$A7020+$C$2:$C7020)), "")*24*60, "")</f>
        <v/>
      </c>
      <c r="N7021" s="24" t="str" cm="1">
        <f t="array" ref="N7021">IFERROR(IF($B7021=N$1, ($A7021+$C7021) - MAX(IF($B$2:$B7020=$B7021, $A$2:$A7020+$C$2:$C7020)), "")*24*60, "")</f>
        <v/>
      </c>
      <c r="O7021" s="24" t="str" cm="1">
        <f t="array" ref="O7021">IFERROR(IF($B7021=O$1, ($A7021+$C7021) - MAX(IF($B$2:$B7020=$B7021, $A$2:$A7020+$C$2:$C7020)), "")*24*60, "")</f>
        <v/>
      </c>
      <c r="P7021" s="24" t="str" cm="1">
        <f t="array" ref="P7021">IFERROR(IF($B7021=P$1, ($A7021+$C7021) - MAX(IF($B$2:$B7020=$B7021, $A$2:$A7020+$C$2:$C7020)), "")*24*60, "")</f>
        <v/>
      </c>
      <c r="Q7021" s="24" t="str" cm="1">
        <f t="array" ref="Q7021">IFERROR(IF($B7021=Q$1, ($A7021+$C7021) - MAX(IF($B$2:$B7020=$B7021, $A$2:$A7020+$C$2:$C7020)), "")*24*60, "")</f>
        <v/>
      </c>
      <c r="R7021" s="24" t="str" cm="1">
        <f t="array" ref="R7021">IFERROR(IF($B7021=R$1, ($A7021+$C7021) - MAX(IF($B$2:$B7020=$B7021, $A$2:$A7020+$C$2:$C7020)), "")*24*60, "")</f>
        <v/>
      </c>
      <c r="S7021" s="24" t="str" cm="1">
        <f t="array" ref="S7021">IFERROR(IF($B7021=S$1, ($A7021+$C7021) - MAX(IF($B$2:$B7020=$B7021, $A$2:$A7020+$C$2:$C7020)), "")*24*60, "")</f>
        <v/>
      </c>
    </row>
    <row r="7022" spans="1:19" x14ac:dyDescent="0.2">
      <c r="A7022" s="12">
        <f t="shared" ref="A7022:C7022" si="1355">A7021</f>
        <v>46005</v>
      </c>
      <c r="B7022" s="5" t="str">
        <f t="shared" si="1355"/>
        <v>Northern Cardinal</v>
      </c>
      <c r="C7022" s="6">
        <f t="shared" si="1355"/>
        <v>0.35069444444444442</v>
      </c>
      <c r="D7022" s="5"/>
      <c r="E7022" s="5"/>
      <c r="F7022" s="5" t="s">
        <v>22</v>
      </c>
      <c r="G7022" s="15" t="s">
        <v>22</v>
      </c>
      <c r="H7022" s="24">
        <f t="shared" si="1333"/>
        <v>0</v>
      </c>
      <c r="I7022" s="24" cm="1">
        <f t="array" ref="I7022">IFERROR(IF($B7022=I$1, ($A7022+$C7022) - MAX(IF($B$2:$B7021=$B7022, $A$2:$A7021+$C$2:$C7021)), "")*24*60, "")</f>
        <v>0</v>
      </c>
      <c r="J7022" s="24" t="str" cm="1">
        <f t="array" ref="J7022">IFERROR(IF($B7022=J$1, ($A7022+$C7022) - MAX(IF($B$2:$B7021=$B7022, $A$2:$A7021+$C$2:$C7021)), "")*24*60, "")</f>
        <v/>
      </c>
      <c r="K7022" s="24" t="str" cm="1">
        <f t="array" ref="K7022">IFERROR(IF($B7022=K$1, ($A7022+$C7022) - MAX(IF($B$2:$B7021=$B7022, $A$2:$A7021+$C$2:$C7021)), "")*24*60, "")</f>
        <v/>
      </c>
      <c r="L7022" s="24" t="str" cm="1">
        <f t="array" ref="L7022">IFERROR(IF($B7022=L$1, ($A7022+$C7022) - MAX(IF($B$2:$B7021=$B7022, $A$2:$A7021+$C$2:$C7021)), "")*24*60, "")</f>
        <v/>
      </c>
      <c r="M7022" s="24" t="str" cm="1">
        <f t="array" ref="M7022">IFERROR(IF($B7022=M$1, ($A7022+$C7022) - MAX(IF($B$2:$B7021=$B7022, $A$2:$A7021+$C$2:$C7021)), "")*24*60, "")</f>
        <v/>
      </c>
      <c r="N7022" s="24" t="str" cm="1">
        <f t="array" ref="N7022">IFERROR(IF($B7022=N$1, ($A7022+$C7022) - MAX(IF($B$2:$B7021=$B7022, $A$2:$A7021+$C$2:$C7021)), "")*24*60, "")</f>
        <v/>
      </c>
      <c r="O7022" s="24" t="str" cm="1">
        <f t="array" ref="O7022">IFERROR(IF($B7022=O$1, ($A7022+$C7022) - MAX(IF($B$2:$B7021=$B7022, $A$2:$A7021+$C$2:$C7021)), "")*24*60, "")</f>
        <v/>
      </c>
      <c r="P7022" s="24" t="str" cm="1">
        <f t="array" ref="P7022">IFERROR(IF($B7022=P$1, ($A7022+$C7022) - MAX(IF($B$2:$B7021=$B7022, $A$2:$A7021+$C$2:$C7021)), "")*24*60, "")</f>
        <v/>
      </c>
      <c r="Q7022" s="24" t="str" cm="1">
        <f t="array" ref="Q7022">IFERROR(IF($B7022=Q$1, ($A7022+$C7022) - MAX(IF($B$2:$B7021=$B7022, $A$2:$A7021+$C$2:$C7021)), "")*24*60, "")</f>
        <v/>
      </c>
      <c r="R7022" s="24" t="str" cm="1">
        <f t="array" ref="R7022">IFERROR(IF($B7022=R$1, ($A7022+$C7022) - MAX(IF($B$2:$B7021=$B7022, $A$2:$A7021+$C$2:$C7021)), "")*24*60, "")</f>
        <v/>
      </c>
      <c r="S7022" s="24" t="str" cm="1">
        <f t="array" ref="S7022">IFERROR(IF($B7022=S$1, ($A7022+$C7022) - MAX(IF($B$2:$B7021=$B7022, $A$2:$A7021+$C$2:$C7021)), "")*24*60, "")</f>
        <v/>
      </c>
    </row>
    <row r="7023" spans="1:19" x14ac:dyDescent="0.2">
      <c r="A7023" s="12">
        <f t="shared" ref="A7023:C7023" si="1356">A7022</f>
        <v>46005</v>
      </c>
      <c r="B7023" s="5" t="str">
        <f t="shared" si="1356"/>
        <v>Northern Cardinal</v>
      </c>
      <c r="C7023" s="6">
        <f t="shared" si="1356"/>
        <v>0.35069444444444442</v>
      </c>
      <c r="D7023" s="5"/>
      <c r="E7023" s="5"/>
      <c r="F7023" s="5" t="s">
        <v>22</v>
      </c>
      <c r="G7023" s="15" t="s">
        <v>22</v>
      </c>
      <c r="H7023" s="24">
        <f t="shared" si="1333"/>
        <v>0</v>
      </c>
      <c r="I7023" s="24" cm="1">
        <f t="array" ref="I7023">IFERROR(IF($B7023=I$1, ($A7023+$C7023) - MAX(IF($B$2:$B7022=$B7023, $A$2:$A7022+$C$2:$C7022)), "")*24*60, "")</f>
        <v>0</v>
      </c>
      <c r="J7023" s="24" t="str" cm="1">
        <f t="array" ref="J7023">IFERROR(IF($B7023=J$1, ($A7023+$C7023) - MAX(IF($B$2:$B7022=$B7023, $A$2:$A7022+$C$2:$C7022)), "")*24*60, "")</f>
        <v/>
      </c>
      <c r="K7023" s="24" t="str" cm="1">
        <f t="array" ref="K7023">IFERROR(IF($B7023=K$1, ($A7023+$C7023) - MAX(IF($B$2:$B7022=$B7023, $A$2:$A7022+$C$2:$C7022)), "")*24*60, "")</f>
        <v/>
      </c>
      <c r="L7023" s="24" t="str" cm="1">
        <f t="array" ref="L7023">IFERROR(IF($B7023=L$1, ($A7023+$C7023) - MAX(IF($B$2:$B7022=$B7023, $A$2:$A7022+$C$2:$C7022)), "")*24*60, "")</f>
        <v/>
      </c>
      <c r="M7023" s="24" t="str" cm="1">
        <f t="array" ref="M7023">IFERROR(IF($B7023=M$1, ($A7023+$C7023) - MAX(IF($B$2:$B7022=$B7023, $A$2:$A7022+$C$2:$C7022)), "")*24*60, "")</f>
        <v/>
      </c>
      <c r="N7023" s="24" t="str" cm="1">
        <f t="array" ref="N7023">IFERROR(IF($B7023=N$1, ($A7023+$C7023) - MAX(IF($B$2:$B7022=$B7023, $A$2:$A7022+$C$2:$C7022)), "")*24*60, "")</f>
        <v/>
      </c>
      <c r="O7023" s="24" t="str" cm="1">
        <f t="array" ref="O7023">IFERROR(IF($B7023=O$1, ($A7023+$C7023) - MAX(IF($B$2:$B7022=$B7023, $A$2:$A7022+$C$2:$C7022)), "")*24*60, "")</f>
        <v/>
      </c>
      <c r="P7023" s="24" t="str" cm="1">
        <f t="array" ref="P7023">IFERROR(IF($B7023=P$1, ($A7023+$C7023) - MAX(IF($B$2:$B7022=$B7023, $A$2:$A7022+$C$2:$C7022)), "")*24*60, "")</f>
        <v/>
      </c>
      <c r="Q7023" s="24" t="str" cm="1">
        <f t="array" ref="Q7023">IFERROR(IF($B7023=Q$1, ($A7023+$C7023) - MAX(IF($B$2:$B7022=$B7023, $A$2:$A7022+$C$2:$C7022)), "")*24*60, "")</f>
        <v/>
      </c>
      <c r="R7023" s="24" t="str" cm="1">
        <f t="array" ref="R7023">IFERROR(IF($B7023=R$1, ($A7023+$C7023) - MAX(IF($B$2:$B7022=$B7023, $A$2:$A7022+$C$2:$C7022)), "")*24*60, "")</f>
        <v/>
      </c>
      <c r="S7023" s="24" t="str" cm="1">
        <f t="array" ref="S7023">IFERROR(IF($B7023=S$1, ($A7023+$C7023) - MAX(IF($B$2:$B7022=$B7023, $A$2:$A7022+$C$2:$C7022)), "")*24*60, "")</f>
        <v/>
      </c>
    </row>
    <row r="7024" spans="1:19" x14ac:dyDescent="0.2">
      <c r="A7024" s="12">
        <f t="shared" ref="A7024:C7024" si="1357">A7023</f>
        <v>46005</v>
      </c>
      <c r="B7024" s="5" t="str">
        <f t="shared" si="1357"/>
        <v>Northern Cardinal</v>
      </c>
      <c r="C7024" s="6">
        <f t="shared" si="1357"/>
        <v>0.35069444444444442</v>
      </c>
      <c r="D7024" s="5"/>
      <c r="E7024" s="5"/>
      <c r="F7024" s="5" t="s">
        <v>22</v>
      </c>
      <c r="G7024" s="15" t="s">
        <v>22</v>
      </c>
      <c r="H7024" s="24">
        <f t="shared" si="1333"/>
        <v>0</v>
      </c>
      <c r="I7024" s="24" cm="1">
        <f t="array" ref="I7024">IFERROR(IF($B7024=I$1, ($A7024+$C7024) - MAX(IF($B$2:$B7023=$B7024, $A$2:$A7023+$C$2:$C7023)), "")*24*60, "")</f>
        <v>0</v>
      </c>
      <c r="J7024" s="24" t="str" cm="1">
        <f t="array" ref="J7024">IFERROR(IF($B7024=J$1, ($A7024+$C7024) - MAX(IF($B$2:$B7023=$B7024, $A$2:$A7023+$C$2:$C7023)), "")*24*60, "")</f>
        <v/>
      </c>
      <c r="K7024" s="24" t="str" cm="1">
        <f t="array" ref="K7024">IFERROR(IF($B7024=K$1, ($A7024+$C7024) - MAX(IF($B$2:$B7023=$B7024, $A$2:$A7023+$C$2:$C7023)), "")*24*60, "")</f>
        <v/>
      </c>
      <c r="L7024" s="24" t="str" cm="1">
        <f t="array" ref="L7024">IFERROR(IF($B7024=L$1, ($A7024+$C7024) - MAX(IF($B$2:$B7023=$B7024, $A$2:$A7023+$C$2:$C7023)), "")*24*60, "")</f>
        <v/>
      </c>
      <c r="M7024" s="24" t="str" cm="1">
        <f t="array" ref="M7024">IFERROR(IF($B7024=M$1, ($A7024+$C7024) - MAX(IF($B$2:$B7023=$B7024, $A$2:$A7023+$C$2:$C7023)), "")*24*60, "")</f>
        <v/>
      </c>
      <c r="N7024" s="24" t="str" cm="1">
        <f t="array" ref="N7024">IFERROR(IF($B7024=N$1, ($A7024+$C7024) - MAX(IF($B$2:$B7023=$B7024, $A$2:$A7023+$C$2:$C7023)), "")*24*60, "")</f>
        <v/>
      </c>
      <c r="O7024" s="24" t="str" cm="1">
        <f t="array" ref="O7024">IFERROR(IF($B7024=O$1, ($A7024+$C7024) - MAX(IF($B$2:$B7023=$B7024, $A$2:$A7023+$C$2:$C7023)), "")*24*60, "")</f>
        <v/>
      </c>
      <c r="P7024" s="24" t="str" cm="1">
        <f t="array" ref="P7024">IFERROR(IF($B7024=P$1, ($A7024+$C7024) - MAX(IF($B$2:$B7023=$B7024, $A$2:$A7023+$C$2:$C7023)), "")*24*60, "")</f>
        <v/>
      </c>
      <c r="Q7024" s="24" t="str" cm="1">
        <f t="array" ref="Q7024">IFERROR(IF($B7024=Q$1, ($A7024+$C7024) - MAX(IF($B$2:$B7023=$B7024, $A$2:$A7023+$C$2:$C7023)), "")*24*60, "")</f>
        <v/>
      </c>
      <c r="R7024" s="24" t="str" cm="1">
        <f t="array" ref="R7024">IFERROR(IF($B7024=R$1, ($A7024+$C7024) - MAX(IF($B$2:$B7023=$B7024, $A$2:$A7023+$C$2:$C7023)), "")*24*60, "")</f>
        <v/>
      </c>
      <c r="S7024" s="24" t="str" cm="1">
        <f t="array" ref="S7024">IFERROR(IF($B7024=S$1, ($A7024+$C7024) - MAX(IF($B$2:$B7023=$B7024, $A$2:$A7023+$C$2:$C7023)), "")*24*60, "")</f>
        <v/>
      </c>
    </row>
    <row r="7025" spans="1:19" x14ac:dyDescent="0.2">
      <c r="A7025" s="12">
        <f t="shared" ref="A7025:C7025" si="1358">A7024</f>
        <v>46005</v>
      </c>
      <c r="B7025" s="5" t="str">
        <f t="shared" si="1358"/>
        <v>Northern Cardinal</v>
      </c>
      <c r="C7025" s="6">
        <f t="shared" si="1358"/>
        <v>0.35069444444444442</v>
      </c>
      <c r="D7025" s="5"/>
      <c r="E7025" s="5"/>
      <c r="F7025" s="5" t="s">
        <v>22</v>
      </c>
      <c r="G7025" s="15" t="s">
        <v>22</v>
      </c>
      <c r="H7025" s="24">
        <f t="shared" si="1333"/>
        <v>0</v>
      </c>
      <c r="I7025" s="24" cm="1">
        <f t="array" ref="I7025">IFERROR(IF($B7025=I$1, ($A7025+$C7025) - MAX(IF($B$2:$B7024=$B7025, $A$2:$A7024+$C$2:$C7024)), "")*24*60, "")</f>
        <v>0</v>
      </c>
      <c r="J7025" s="24" t="str" cm="1">
        <f t="array" ref="J7025">IFERROR(IF($B7025=J$1, ($A7025+$C7025) - MAX(IF($B$2:$B7024=$B7025, $A$2:$A7024+$C$2:$C7024)), "")*24*60, "")</f>
        <v/>
      </c>
      <c r="K7025" s="24" t="str" cm="1">
        <f t="array" ref="K7025">IFERROR(IF($B7025=K$1, ($A7025+$C7025) - MAX(IF($B$2:$B7024=$B7025, $A$2:$A7024+$C$2:$C7024)), "")*24*60, "")</f>
        <v/>
      </c>
      <c r="L7025" s="24" t="str" cm="1">
        <f t="array" ref="L7025">IFERROR(IF($B7025=L$1, ($A7025+$C7025) - MAX(IF($B$2:$B7024=$B7025, $A$2:$A7024+$C$2:$C7024)), "")*24*60, "")</f>
        <v/>
      </c>
      <c r="M7025" s="24" t="str" cm="1">
        <f t="array" ref="M7025">IFERROR(IF($B7025=M$1, ($A7025+$C7025) - MAX(IF($B$2:$B7024=$B7025, $A$2:$A7024+$C$2:$C7024)), "")*24*60, "")</f>
        <v/>
      </c>
      <c r="N7025" s="24" t="str" cm="1">
        <f t="array" ref="N7025">IFERROR(IF($B7025=N$1, ($A7025+$C7025) - MAX(IF($B$2:$B7024=$B7025, $A$2:$A7024+$C$2:$C7024)), "")*24*60, "")</f>
        <v/>
      </c>
      <c r="O7025" s="24" t="str" cm="1">
        <f t="array" ref="O7025">IFERROR(IF($B7025=O$1, ($A7025+$C7025) - MAX(IF($B$2:$B7024=$B7025, $A$2:$A7024+$C$2:$C7024)), "")*24*60, "")</f>
        <v/>
      </c>
      <c r="P7025" s="24" t="str" cm="1">
        <f t="array" ref="P7025">IFERROR(IF($B7025=P$1, ($A7025+$C7025) - MAX(IF($B$2:$B7024=$B7025, $A$2:$A7024+$C$2:$C7024)), "")*24*60, "")</f>
        <v/>
      </c>
      <c r="Q7025" s="24" t="str" cm="1">
        <f t="array" ref="Q7025">IFERROR(IF($B7025=Q$1, ($A7025+$C7025) - MAX(IF($B$2:$B7024=$B7025, $A$2:$A7024+$C$2:$C7024)), "")*24*60, "")</f>
        <v/>
      </c>
      <c r="R7025" s="24" t="str" cm="1">
        <f t="array" ref="R7025">IFERROR(IF($B7025=R$1, ($A7025+$C7025) - MAX(IF($B$2:$B7024=$B7025, $A$2:$A7024+$C$2:$C7024)), "")*24*60, "")</f>
        <v/>
      </c>
      <c r="S7025" s="24" t="str" cm="1">
        <f t="array" ref="S7025">IFERROR(IF($B7025=S$1, ($A7025+$C7025) - MAX(IF($B$2:$B7024=$B7025, $A$2:$A7024+$C$2:$C7024)), "")*24*60, "")</f>
        <v/>
      </c>
    </row>
    <row r="7026" spans="1:19" x14ac:dyDescent="0.2">
      <c r="A7026" s="12">
        <f t="shared" ref="A7026:C7026" si="1359">A7025</f>
        <v>46005</v>
      </c>
      <c r="B7026" s="5" t="str">
        <f t="shared" si="1359"/>
        <v>Northern Cardinal</v>
      </c>
      <c r="C7026" s="6">
        <f t="shared" si="1359"/>
        <v>0.35069444444444442</v>
      </c>
      <c r="D7026" s="5"/>
      <c r="E7026" s="5"/>
      <c r="F7026" s="5" t="s">
        <v>22</v>
      </c>
      <c r="G7026" s="15" t="s">
        <v>22</v>
      </c>
      <c r="H7026" s="24">
        <f t="shared" si="1333"/>
        <v>0</v>
      </c>
      <c r="I7026" s="24" cm="1">
        <f t="array" ref="I7026">IFERROR(IF($B7026=I$1, ($A7026+$C7026) - MAX(IF($B$2:$B7025=$B7026, $A$2:$A7025+$C$2:$C7025)), "")*24*60, "")</f>
        <v>0</v>
      </c>
      <c r="J7026" s="24" t="str" cm="1">
        <f t="array" ref="J7026">IFERROR(IF($B7026=J$1, ($A7026+$C7026) - MAX(IF($B$2:$B7025=$B7026, $A$2:$A7025+$C$2:$C7025)), "")*24*60, "")</f>
        <v/>
      </c>
      <c r="K7026" s="24" t="str" cm="1">
        <f t="array" ref="K7026">IFERROR(IF($B7026=K$1, ($A7026+$C7026) - MAX(IF($B$2:$B7025=$B7026, $A$2:$A7025+$C$2:$C7025)), "")*24*60, "")</f>
        <v/>
      </c>
      <c r="L7026" s="24" t="str" cm="1">
        <f t="array" ref="L7026">IFERROR(IF($B7026=L$1, ($A7026+$C7026) - MAX(IF($B$2:$B7025=$B7026, $A$2:$A7025+$C$2:$C7025)), "")*24*60, "")</f>
        <v/>
      </c>
      <c r="M7026" s="24" t="str" cm="1">
        <f t="array" ref="M7026">IFERROR(IF($B7026=M$1, ($A7026+$C7026) - MAX(IF($B$2:$B7025=$B7026, $A$2:$A7025+$C$2:$C7025)), "")*24*60, "")</f>
        <v/>
      </c>
      <c r="N7026" s="24" t="str" cm="1">
        <f t="array" ref="N7026">IFERROR(IF($B7026=N$1, ($A7026+$C7026) - MAX(IF($B$2:$B7025=$B7026, $A$2:$A7025+$C$2:$C7025)), "")*24*60, "")</f>
        <v/>
      </c>
      <c r="O7026" s="24" t="str" cm="1">
        <f t="array" ref="O7026">IFERROR(IF($B7026=O$1, ($A7026+$C7026) - MAX(IF($B$2:$B7025=$B7026, $A$2:$A7025+$C$2:$C7025)), "")*24*60, "")</f>
        <v/>
      </c>
      <c r="P7026" s="24" t="str" cm="1">
        <f t="array" ref="P7026">IFERROR(IF($B7026=P$1, ($A7026+$C7026) - MAX(IF($B$2:$B7025=$B7026, $A$2:$A7025+$C$2:$C7025)), "")*24*60, "")</f>
        <v/>
      </c>
      <c r="Q7026" s="24" t="str" cm="1">
        <f t="array" ref="Q7026">IFERROR(IF($B7026=Q$1, ($A7026+$C7026) - MAX(IF($B$2:$B7025=$B7026, $A$2:$A7025+$C$2:$C7025)), "")*24*60, "")</f>
        <v/>
      </c>
      <c r="R7026" s="24" t="str" cm="1">
        <f t="array" ref="R7026">IFERROR(IF($B7026=R$1, ($A7026+$C7026) - MAX(IF($B$2:$B7025=$B7026, $A$2:$A7025+$C$2:$C7025)), "")*24*60, "")</f>
        <v/>
      </c>
      <c r="S7026" s="24" t="str" cm="1">
        <f t="array" ref="S7026">IFERROR(IF($B7026=S$1, ($A7026+$C7026) - MAX(IF($B$2:$B7025=$B7026, $A$2:$A7025+$C$2:$C7025)), "")*24*60, "")</f>
        <v/>
      </c>
    </row>
    <row r="7027" spans="1:19" x14ac:dyDescent="0.2">
      <c r="A7027" s="12">
        <f t="shared" ref="A7027:C7027" si="1360">A7026</f>
        <v>46005</v>
      </c>
      <c r="B7027" s="5" t="str">
        <f t="shared" si="1360"/>
        <v>Northern Cardinal</v>
      </c>
      <c r="C7027" s="6">
        <f t="shared" si="1360"/>
        <v>0.35069444444444442</v>
      </c>
      <c r="D7027" s="5"/>
      <c r="E7027" s="5"/>
      <c r="F7027" s="5" t="s">
        <v>22</v>
      </c>
      <c r="G7027" s="15" t="s">
        <v>22</v>
      </c>
      <c r="H7027" s="24">
        <f t="shared" si="1333"/>
        <v>0</v>
      </c>
      <c r="I7027" s="24" cm="1">
        <f t="array" ref="I7027">IFERROR(IF($B7027=I$1, ($A7027+$C7027) - MAX(IF($B$2:$B7026=$B7027, $A$2:$A7026+$C$2:$C7026)), "")*24*60, "")</f>
        <v>0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ref="A7028:C7028" si="1361">A7027</f>
        <v>46005</v>
      </c>
      <c r="B7028" s="5" t="str">
        <f t="shared" si="1361"/>
        <v>Northern Cardinal</v>
      </c>
      <c r="C7028" s="6">
        <f t="shared" si="1361"/>
        <v>0.35069444444444442</v>
      </c>
      <c r="D7028" s="5"/>
      <c r="E7028" s="5"/>
      <c r="F7028" s="5" t="s">
        <v>22</v>
      </c>
      <c r="G7028" s="15" t="s">
        <v>22</v>
      </c>
      <c r="H7028" s="24">
        <f t="shared" si="1333"/>
        <v>0</v>
      </c>
      <c r="I7028" s="24" cm="1">
        <f t="array" ref="I7028">IFERROR(IF($B7028=I$1, ($A7028+$C7028) - MAX(IF($B$2:$B7027=$B7028, $A$2:$A7027+$C$2:$C7027)), "")*24*60, "")</f>
        <v>0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ref="A7029:C7029" si="1362">A7028</f>
        <v>46005</v>
      </c>
      <c r="B7029" s="5" t="str">
        <f t="shared" si="1362"/>
        <v>Northern Cardinal</v>
      </c>
      <c r="C7029" s="6">
        <f t="shared" si="1362"/>
        <v>0.35069444444444442</v>
      </c>
      <c r="D7029" s="5"/>
      <c r="E7029" s="5"/>
      <c r="F7029" s="5" t="s">
        <v>22</v>
      </c>
      <c r="G7029" s="15" t="s">
        <v>22</v>
      </c>
      <c r="H7029" s="24">
        <f t="shared" si="1333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ref="A7030:C7030" si="1363">A7029</f>
        <v>46005</v>
      </c>
      <c r="B7030" s="5" t="str">
        <f t="shared" si="1363"/>
        <v>Northern Cardinal</v>
      </c>
      <c r="C7030" s="6">
        <f t="shared" si="1363"/>
        <v>0.35069444444444442</v>
      </c>
      <c r="D7030" s="5"/>
      <c r="E7030" s="5"/>
      <c r="F7030" s="5" t="s">
        <v>22</v>
      </c>
      <c r="G7030" s="15" t="s">
        <v>22</v>
      </c>
      <c r="H7030" s="24">
        <f t="shared" si="1333"/>
        <v>0</v>
      </c>
      <c r="I7030" s="24" cm="1">
        <f t="array" ref="I7030">IFERROR(IF($B7030=I$1, ($A7030+$C7030) - MAX(IF($B$2:$B7029=$B7030, $A$2:$A7029+$C$2:$C7029)), "")*24*60, "")</f>
        <v>0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ref="A7031:C7031" si="1364">A7030</f>
        <v>46005</v>
      </c>
      <c r="B7031" s="5" t="str">
        <f t="shared" si="1364"/>
        <v>Northern Cardinal</v>
      </c>
      <c r="C7031" s="6">
        <f t="shared" si="1364"/>
        <v>0.35069444444444442</v>
      </c>
      <c r="D7031" s="5"/>
      <c r="E7031" s="5"/>
      <c r="F7031" s="5" t="s">
        <v>22</v>
      </c>
      <c r="G7031" s="15" t="s">
        <v>22</v>
      </c>
      <c r="H7031" s="24">
        <f t="shared" si="1333"/>
        <v>0</v>
      </c>
      <c r="I7031" s="24" cm="1">
        <f t="array" ref="I7031">IFERROR(IF($B7031=I$1, ($A7031+$C7031) - MAX(IF($B$2:$B7030=$B7031, $A$2:$A7030+$C$2:$C7030)), "")*24*60, "")</f>
        <v>0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ref="A7032:C7032" si="1365">A7031</f>
        <v>46005</v>
      </c>
      <c r="B7032" s="5" t="str">
        <f t="shared" si="1365"/>
        <v>Northern Cardinal</v>
      </c>
      <c r="C7032" s="6">
        <f t="shared" si="1365"/>
        <v>0.35069444444444442</v>
      </c>
      <c r="D7032" s="5"/>
      <c r="E7032" s="5"/>
      <c r="F7032" s="5" t="s">
        <v>22</v>
      </c>
      <c r="G7032" s="15" t="s">
        <v>22</v>
      </c>
      <c r="H7032" s="24">
        <f t="shared" si="1333"/>
        <v>0</v>
      </c>
      <c r="I7032" s="24" cm="1">
        <f t="array" ref="I7032">IFERROR(IF($B7032=I$1, ($A7032+$C7032) - MAX(IF($B$2:$B7031=$B7032, $A$2:$A7031+$C$2:$C7031)), "")*24*60, "")</f>
        <v>0</v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t="str" cm="1">
        <f t="array" ref="O7032">IFERROR(IF($B7032=O$1, ($A7032+$C7032) - MAX(IF($B$2:$B7031=$B7032, $A$2:$A7031+$C$2:$C7031)), "")*24*60, "")</f>
        <v/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ref="A7033:C7033" si="1366">A7032</f>
        <v>46005</v>
      </c>
      <c r="B7033" s="5" t="str">
        <f t="shared" si="1366"/>
        <v>Northern Cardinal</v>
      </c>
      <c r="C7033" s="6">
        <f t="shared" si="1366"/>
        <v>0.35069444444444442</v>
      </c>
      <c r="D7033" s="5"/>
      <c r="E7033" s="5"/>
      <c r="F7033" s="5" t="s">
        <v>22</v>
      </c>
      <c r="G7033" s="15" t="s">
        <v>22</v>
      </c>
      <c r="H7033" s="24">
        <f t="shared" si="1333"/>
        <v>0</v>
      </c>
      <c r="I7033" s="24" cm="1">
        <f t="array" ref="I7033">IFERROR(IF($B7033=I$1, ($A7033+$C7033) - MAX(IF($B$2:$B7032=$B7033, $A$2:$A7032+$C$2:$C7032)), "")*24*60, "")</f>
        <v>0</v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t="str" cm="1">
        <f t="array" ref="O7033">IFERROR(IF($B7033=O$1, ($A7033+$C7033) - MAX(IF($B$2:$B7032=$B7033, $A$2:$A7032+$C$2:$C7032)), "")*24*60, "")</f>
        <v/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ref="A7034:C7034" si="1367">A7033</f>
        <v>46005</v>
      </c>
      <c r="B7034" s="5" t="str">
        <f t="shared" si="1367"/>
        <v>Northern Cardinal</v>
      </c>
      <c r="C7034" s="6">
        <f t="shared" si="1367"/>
        <v>0.35069444444444442</v>
      </c>
      <c r="D7034" s="5"/>
      <c r="E7034" s="5"/>
      <c r="F7034" s="5" t="s">
        <v>22</v>
      </c>
      <c r="G7034" s="15" t="s">
        <v>22</v>
      </c>
      <c r="H7034" s="24">
        <f t="shared" si="1333"/>
        <v>0</v>
      </c>
      <c r="I7034" s="24" cm="1">
        <f t="array" ref="I7034">IFERROR(IF($B7034=I$1, ($A7034+$C7034) - MAX(IF($B$2:$B7033=$B7034, $A$2:$A7033+$C$2:$C7033)), "")*24*60, "")</f>
        <v>0</v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t="str" cm="1">
        <f t="array" ref="O7034">IFERROR(IF($B7034=O$1, ($A7034+$C7034) - MAX(IF($B$2:$B7033=$B7034, $A$2:$A7033+$C$2:$C7033)), "")*24*60, "")</f>
        <v/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ref="A7035:C7035" si="1368">A7034</f>
        <v>46005</v>
      </c>
      <c r="B7035" s="5" t="str">
        <f t="shared" si="1368"/>
        <v>Northern Cardinal</v>
      </c>
      <c r="C7035" s="6">
        <f t="shared" si="1368"/>
        <v>0.35069444444444442</v>
      </c>
      <c r="D7035" s="5"/>
      <c r="E7035" s="5"/>
      <c r="F7035" s="5" t="s">
        <v>22</v>
      </c>
      <c r="G7035" s="15" t="s">
        <v>22</v>
      </c>
      <c r="H7035" s="24">
        <f t="shared" si="1333"/>
        <v>0</v>
      </c>
      <c r="I7035" s="24" cm="1">
        <f t="array" ref="I7035">IFERROR(IF($B7035=I$1, ($A7035+$C7035) - MAX(IF($B$2:$B7034=$B7035, $A$2:$A7034+$C$2:$C7034)), "")*24*60, "")</f>
        <v>0</v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t="str" cm="1">
        <f t="array" ref="O7035">IFERROR(IF($B7035=O$1, ($A7035+$C7035) - MAX(IF($B$2:$B7034=$B7035, $A$2:$A7034+$C$2:$C7034)), "")*24*60, "")</f>
        <v/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ref="A7036:C7036" si="1369">A7035</f>
        <v>46005</v>
      </c>
      <c r="B7036" s="5" t="str">
        <f t="shared" si="1369"/>
        <v>Northern Cardinal</v>
      </c>
      <c r="C7036" s="6">
        <f t="shared" si="1369"/>
        <v>0.35069444444444442</v>
      </c>
      <c r="D7036" s="5"/>
      <c r="E7036" s="5"/>
      <c r="F7036" s="5" t="s">
        <v>22</v>
      </c>
      <c r="G7036" s="15" t="s">
        <v>22</v>
      </c>
      <c r="H7036" s="24">
        <f t="shared" si="1333"/>
        <v>0</v>
      </c>
      <c r="I7036" s="24" cm="1">
        <f t="array" ref="I7036">IFERROR(IF($B7036=I$1, ($A7036+$C7036) - MAX(IF($B$2:$B7035=$B7036, $A$2:$A7035+$C$2:$C7035)), "")*24*60, "")</f>
        <v>0</v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t="str" cm="1">
        <f t="array" ref="O7036">IFERROR(IF($B7036=O$1, ($A7036+$C7036) - MAX(IF($B$2:$B7035=$B7036, $A$2:$A7035+$C$2:$C7035)), "")*24*60, "")</f>
        <v/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ref="A7037:C7037" si="1370">A7036</f>
        <v>46005</v>
      </c>
      <c r="B7037" s="5" t="str">
        <f t="shared" si="1370"/>
        <v>Northern Cardinal</v>
      </c>
      <c r="C7037" s="6">
        <f t="shared" si="1370"/>
        <v>0.35069444444444442</v>
      </c>
      <c r="D7037" s="5"/>
      <c r="E7037" s="5"/>
      <c r="F7037" s="5" t="s">
        <v>22</v>
      </c>
      <c r="G7037" s="15" t="s">
        <v>22</v>
      </c>
      <c r="H7037" s="24">
        <f t="shared" si="1333"/>
        <v>0</v>
      </c>
      <c r="I7037" s="24" cm="1">
        <f t="array" ref="I7037">IFERROR(IF($B7037=I$1, ($A7037+$C7037) - MAX(IF($B$2:$B7036=$B7037, $A$2:$A7036+$C$2:$C7036)), "")*24*60, "")</f>
        <v>0</v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t="str" cm="1">
        <f t="array" ref="O7037">IFERROR(IF($B7037=O$1, ($A7037+$C7037) - MAX(IF($B$2:$B7036=$B7037, $A$2:$A7036+$C$2:$C7036)), "")*24*60, "")</f>
        <v/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ref="A7038:C7038" si="1371">A7037</f>
        <v>46005</v>
      </c>
      <c r="B7038" s="5" t="str">
        <f t="shared" si="1371"/>
        <v>Northern Cardinal</v>
      </c>
      <c r="C7038" s="6">
        <f t="shared" si="1371"/>
        <v>0.35069444444444442</v>
      </c>
      <c r="D7038" s="5"/>
      <c r="E7038" s="5"/>
      <c r="F7038" s="5" t="s">
        <v>22</v>
      </c>
      <c r="G7038" s="15" t="s">
        <v>22</v>
      </c>
      <c r="H7038" s="24">
        <f t="shared" si="1333"/>
        <v>0</v>
      </c>
      <c r="I7038" s="24" cm="1">
        <f t="array" ref="I7038">IFERROR(IF($B7038=I$1, ($A7038+$C7038) - MAX(IF($B$2:$B7037=$B7038, $A$2:$A7037+$C$2:$C7037)), "")*24*60, "")</f>
        <v>0</v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t="str" cm="1">
        <f t="array" ref="O7038">IFERROR(IF($B7038=O$1, ($A7038+$C7038) - MAX(IF($B$2:$B7037=$B7038, $A$2:$A7037+$C$2:$C7037)), "")*24*60, "")</f>
        <v/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ref="A7039:C7039" si="1372">A7038</f>
        <v>46005</v>
      </c>
      <c r="B7039" s="5" t="str">
        <f t="shared" si="1372"/>
        <v>Northern Cardinal</v>
      </c>
      <c r="C7039" s="6">
        <f t="shared" si="1372"/>
        <v>0.35069444444444442</v>
      </c>
      <c r="D7039" s="5"/>
      <c r="E7039" s="5"/>
      <c r="F7039" s="5" t="s">
        <v>22</v>
      </c>
      <c r="G7039" s="15" t="s">
        <v>22</v>
      </c>
      <c r="H7039" s="24">
        <f t="shared" si="1333"/>
        <v>0</v>
      </c>
      <c r="I7039" s="24" cm="1">
        <f t="array" ref="I7039">IFERROR(IF($B7039=I$1, ($A7039+$C7039) - MAX(IF($B$2:$B7038=$B7039, $A$2:$A7038+$C$2:$C7038)), "")*24*60, "")</f>
        <v>0</v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t="str" cm="1">
        <f t="array" ref="O7039">IFERROR(IF($B7039=O$1, ($A7039+$C7039) - MAX(IF($B$2:$B7038=$B7039, $A$2:$A7038+$C$2:$C7038)), "")*24*60, "")</f>
        <v/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ref="A7040:C7040" si="1373">A7039</f>
        <v>46005</v>
      </c>
      <c r="B7040" s="5" t="str">
        <f t="shared" si="1373"/>
        <v>Northern Cardinal</v>
      </c>
      <c r="C7040" s="6">
        <f t="shared" si="1373"/>
        <v>0.35069444444444442</v>
      </c>
      <c r="D7040" s="5"/>
      <c r="E7040" s="5"/>
      <c r="F7040" s="5" t="s">
        <v>22</v>
      </c>
      <c r="G7040" s="15" t="s">
        <v>22</v>
      </c>
      <c r="H7040" s="24">
        <f t="shared" si="1333"/>
        <v>0</v>
      </c>
      <c r="I7040" s="24" cm="1">
        <f t="array" ref="I7040">IFERROR(IF($B7040=I$1, ($A7040+$C7040) - MAX(IF($B$2:$B7039=$B7040, $A$2:$A7039+$C$2:$C7039)), "")*24*60, "")</f>
        <v>0</v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t="str" cm="1">
        <f t="array" ref="O7040">IFERROR(IF($B7040=O$1, ($A7040+$C7040) - MAX(IF($B$2:$B7039=$B7040, $A$2:$A7039+$C$2:$C7039)), "")*24*60, "")</f>
        <v/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ref="A7041:C7041" si="1374">A7040</f>
        <v>46005</v>
      </c>
      <c r="B7041" s="5" t="str">
        <f t="shared" si="1374"/>
        <v>Northern Cardinal</v>
      </c>
      <c r="C7041" s="6">
        <f t="shared" si="1374"/>
        <v>0.35069444444444442</v>
      </c>
      <c r="D7041" s="5"/>
      <c r="E7041" s="5"/>
      <c r="F7041" s="5" t="s">
        <v>22</v>
      </c>
      <c r="G7041" s="15" t="s">
        <v>22</v>
      </c>
      <c r="H7041" s="24">
        <f t="shared" si="1333"/>
        <v>0</v>
      </c>
      <c r="I7041" s="24" cm="1">
        <f t="array" ref="I7041">IFERROR(IF($B7041=I$1, ($A7041+$C7041) - MAX(IF($B$2:$B7040=$B7041, $A$2:$A7040+$C$2:$C7040)), "")*24*60, "")</f>
        <v>0</v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t="str" cm="1">
        <f t="array" ref="O7041">IFERROR(IF($B7041=O$1, ($A7041+$C7041) - MAX(IF($B$2:$B7040=$B7041, $A$2:$A7040+$C$2:$C7040)), "")*24*60, "")</f>
        <v/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ref="A7042:C7042" si="1375">A7041</f>
        <v>46005</v>
      </c>
      <c r="B7042" s="5" t="str">
        <f t="shared" si="1375"/>
        <v>Northern Cardinal</v>
      </c>
      <c r="C7042" s="6">
        <f t="shared" si="1375"/>
        <v>0.35069444444444442</v>
      </c>
      <c r="D7042" s="5"/>
      <c r="E7042" s="5"/>
      <c r="F7042" s="5" t="s">
        <v>22</v>
      </c>
      <c r="G7042" s="15" t="s">
        <v>22</v>
      </c>
      <c r="H7042" s="24">
        <f t="shared" si="1333"/>
        <v>0</v>
      </c>
      <c r="I7042" s="24" cm="1">
        <f t="array" ref="I7042">IFERROR(IF($B7042=I$1, ($A7042+$C7042) - MAX(IF($B$2:$B7041=$B7042, $A$2:$A7041+$C$2:$C7041)), "")*24*60, "")</f>
        <v>0</v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t="str" cm="1">
        <f t="array" ref="O7042">IFERROR(IF($B7042=O$1, ($A7042+$C7042) - MAX(IF($B$2:$B7041=$B7042, $A$2:$A7041+$C$2:$C7041)), "")*24*60, "")</f>
        <v/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ref="A7043:C7043" si="1376">A7042</f>
        <v>46005</v>
      </c>
      <c r="B7043" s="5" t="str">
        <f t="shared" si="1376"/>
        <v>Northern Cardinal</v>
      </c>
      <c r="C7043" s="6">
        <f t="shared" si="1376"/>
        <v>0.35069444444444442</v>
      </c>
      <c r="D7043" s="5"/>
      <c r="E7043" s="5"/>
      <c r="F7043" s="5" t="s">
        <v>22</v>
      </c>
      <c r="G7043" s="15" t="s">
        <v>22</v>
      </c>
      <c r="H7043" s="24">
        <f t="shared" si="1333"/>
        <v>0</v>
      </c>
      <c r="I7043" s="24" cm="1">
        <f t="array" ref="I7043">IFERROR(IF($B7043=I$1, ($A7043+$C7043) - MAX(IF($B$2:$B7042=$B7043, $A$2:$A7042+$C$2:$C7042)), "")*24*60, "")</f>
        <v>0</v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t="str" cm="1">
        <f t="array" ref="O7043">IFERROR(IF($B7043=O$1, ($A7043+$C7043) - MAX(IF($B$2:$B7042=$B7043, $A$2:$A7042+$C$2:$C7042)), "")*24*60, "")</f>
        <v/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ref="A7044:C7044" si="1377">A7043</f>
        <v>46005</v>
      </c>
      <c r="B7044" s="5" t="str">
        <f t="shared" si="1377"/>
        <v>Northern Cardinal</v>
      </c>
      <c r="C7044" s="6">
        <f t="shared" si="1377"/>
        <v>0.35069444444444442</v>
      </c>
      <c r="D7044" s="5"/>
      <c r="E7044" s="5"/>
      <c r="F7044" s="5" t="s">
        <v>22</v>
      </c>
      <c r="G7044" s="15" t="s">
        <v>22</v>
      </c>
      <c r="H7044" s="24">
        <f t="shared" si="1333"/>
        <v>0</v>
      </c>
      <c r="I7044" s="24" cm="1">
        <f t="array" ref="I7044">IFERROR(IF($B7044=I$1, ($A7044+$C7044) - MAX(IF($B$2:$B7043=$B7044, $A$2:$A7043+$C$2:$C7043)), "")*24*60, "")</f>
        <v>0</v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t="str" cm="1">
        <f t="array" ref="O7044">IFERROR(IF($B7044=O$1, ($A7044+$C7044) - MAX(IF($B$2:$B7043=$B7044, $A$2:$A7043+$C$2:$C7043)), "")*24*60, "")</f>
        <v/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ref="A7045:C7045" si="1378">A7044</f>
        <v>46005</v>
      </c>
      <c r="B7045" s="5" t="str">
        <f t="shared" si="1378"/>
        <v>Northern Cardinal</v>
      </c>
      <c r="C7045" s="6">
        <f t="shared" si="1378"/>
        <v>0.35069444444444442</v>
      </c>
      <c r="D7045" s="5"/>
      <c r="E7045" s="5"/>
      <c r="F7045" s="5" t="s">
        <v>22</v>
      </c>
      <c r="G7045" s="15" t="s">
        <v>22</v>
      </c>
      <c r="H7045" s="24">
        <f t="shared" si="1333"/>
        <v>0</v>
      </c>
      <c r="I7045" s="24" cm="1">
        <f t="array" ref="I7045">IFERROR(IF($B7045=I$1, ($A7045+$C7045) - MAX(IF($B$2:$B7044=$B7045, $A$2:$A7044+$C$2:$C7044)), "")*24*60, "")</f>
        <v>0</v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t="str" cm="1">
        <f t="array" ref="O7045">IFERROR(IF($B7045=O$1, ($A7045+$C7045) - MAX(IF($B$2:$B7044=$B7045, $A$2:$A7044+$C$2:$C7044)), "")*24*60, "")</f>
        <v/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ref="A7046:C7046" si="1379">A7045</f>
        <v>46005</v>
      </c>
      <c r="B7046" s="5" t="str">
        <f t="shared" si="1379"/>
        <v>Northern Cardinal</v>
      </c>
      <c r="C7046" s="6">
        <f t="shared" si="1379"/>
        <v>0.35069444444444442</v>
      </c>
      <c r="D7046" s="5"/>
      <c r="E7046" s="5"/>
      <c r="F7046" s="5" t="s">
        <v>22</v>
      </c>
      <c r="G7046" s="15" t="s">
        <v>22</v>
      </c>
      <c r="H7046" s="24">
        <f t="shared" si="1333"/>
        <v>0</v>
      </c>
      <c r="I7046" s="24" cm="1">
        <f t="array" ref="I7046">IFERROR(IF($B7046=I$1, ($A7046+$C7046) - MAX(IF($B$2:$B7045=$B7046, $A$2:$A7045+$C$2:$C7045)), "")*24*60, "")</f>
        <v>0</v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t="str" cm="1">
        <f t="array" ref="O7046">IFERROR(IF($B7046=O$1, ($A7046+$C7046) - MAX(IF($B$2:$B7045=$B7046, $A$2:$A7045+$C$2:$C7045)), "")*24*60, "")</f>
        <v/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ref="A7047:C7047" si="1380">A7046</f>
        <v>46005</v>
      </c>
      <c r="B7047" s="5" t="str">
        <f t="shared" si="1380"/>
        <v>Northern Cardinal</v>
      </c>
      <c r="C7047" s="6">
        <f t="shared" si="1380"/>
        <v>0.35069444444444442</v>
      </c>
      <c r="D7047" s="5"/>
      <c r="E7047" s="5"/>
      <c r="F7047" s="5" t="s">
        <v>22</v>
      </c>
      <c r="G7047" s="15" t="s">
        <v>22</v>
      </c>
      <c r="H7047" s="24">
        <f t="shared" si="1333"/>
        <v>0</v>
      </c>
      <c r="I7047" s="24" cm="1">
        <f t="array" ref="I7047">IFERROR(IF($B7047=I$1, ($A7047+$C7047) - MAX(IF($B$2:$B7046=$B7047, $A$2:$A7046+$C$2:$C7046)), "")*24*60, "")</f>
        <v>0</v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t="str" cm="1">
        <f t="array" ref="O7047">IFERROR(IF($B7047=O$1, ($A7047+$C7047) - MAX(IF($B$2:$B7046=$B7047, $A$2:$A7046+$C$2:$C7046)), "")*24*60, "")</f>
        <v/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ref="A7048:C7048" si="1381">A7047</f>
        <v>46005</v>
      </c>
      <c r="B7048" s="5" t="str">
        <f t="shared" si="1381"/>
        <v>Northern Cardinal</v>
      </c>
      <c r="C7048" s="6">
        <f t="shared" si="1381"/>
        <v>0.35069444444444442</v>
      </c>
      <c r="D7048" s="5"/>
      <c r="E7048" s="5"/>
      <c r="F7048" s="5" t="s">
        <v>22</v>
      </c>
      <c r="G7048" s="15" t="s">
        <v>22</v>
      </c>
      <c r="H7048" s="24">
        <f t="shared" si="1333"/>
        <v>0</v>
      </c>
      <c r="I7048" s="24" cm="1">
        <f t="array" ref="I7048">IFERROR(IF($B7048=I$1, ($A7048+$C7048) - MAX(IF($B$2:$B7047=$B7048, $A$2:$A7047+$C$2:$C7047)), "")*24*60, "")</f>
        <v>0</v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t="str" cm="1">
        <f t="array" ref="O7048">IFERROR(IF($B7048=O$1, ($A7048+$C7048) - MAX(IF($B$2:$B7047=$B7048, $A$2:$A7047+$C$2:$C7047)), "")*24*60, "")</f>
        <v/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ref="A7049:C7049" si="1382">A7048</f>
        <v>46005</v>
      </c>
      <c r="B7049" s="5" t="str">
        <f t="shared" si="1382"/>
        <v>Northern Cardinal</v>
      </c>
      <c r="C7049" s="6">
        <f t="shared" si="1382"/>
        <v>0.35069444444444442</v>
      </c>
      <c r="D7049" s="5"/>
      <c r="E7049" s="5"/>
      <c r="F7049" s="5" t="s">
        <v>22</v>
      </c>
      <c r="G7049" s="15" t="s">
        <v>22</v>
      </c>
      <c r="H7049" s="24">
        <f t="shared" si="1333"/>
        <v>0</v>
      </c>
      <c r="I7049" s="24" cm="1">
        <f t="array" ref="I7049">IFERROR(IF($B7049=I$1, ($A7049+$C7049) - MAX(IF($B$2:$B7048=$B7049, $A$2:$A7048+$C$2:$C7048)), "")*24*60, "")</f>
        <v>0</v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t="str" cm="1">
        <f t="array" ref="O7049">IFERROR(IF($B7049=O$1, ($A7049+$C7049) - MAX(IF($B$2:$B7048=$B7049, $A$2:$A7048+$C$2:$C7048)), "")*24*60, "")</f>
        <v/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ref="A7050:C7050" si="1383">A7049</f>
        <v>46005</v>
      </c>
      <c r="B7050" s="5" t="str">
        <f t="shared" si="1383"/>
        <v>Northern Cardinal</v>
      </c>
      <c r="C7050" s="6">
        <f t="shared" si="1383"/>
        <v>0.35069444444444442</v>
      </c>
      <c r="D7050" s="5"/>
      <c r="E7050" s="5"/>
      <c r="F7050" s="5" t="s">
        <v>22</v>
      </c>
      <c r="G7050" s="15" t="s">
        <v>22</v>
      </c>
      <c r="H7050" s="24">
        <f t="shared" si="1333"/>
        <v>0</v>
      </c>
      <c r="I7050" s="24" cm="1">
        <f t="array" ref="I7050">IFERROR(IF($B7050=I$1, ($A7050+$C7050) - MAX(IF($B$2:$B7049=$B7050, $A$2:$A7049+$C$2:$C7049)), "")*24*60, "")</f>
        <v>0</v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t="str" cm="1">
        <f t="array" ref="O7050">IFERROR(IF($B7050=O$1, ($A7050+$C7050) - MAX(IF($B$2:$B7049=$B7050, $A$2:$A7049+$C$2:$C7049)), "")*24*60, "")</f>
        <v/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ref="A7051:C7051" si="1384">A7050</f>
        <v>46005</v>
      </c>
      <c r="B7051" s="5" t="str">
        <f t="shared" si="1384"/>
        <v>Northern Cardinal</v>
      </c>
      <c r="C7051" s="6">
        <f t="shared" si="1384"/>
        <v>0.35069444444444442</v>
      </c>
      <c r="D7051" s="5"/>
      <c r="E7051" s="5"/>
      <c r="F7051" s="5" t="s">
        <v>22</v>
      </c>
      <c r="G7051" s="15" t="s">
        <v>22</v>
      </c>
      <c r="H7051" s="24">
        <f t="shared" si="1333"/>
        <v>0</v>
      </c>
      <c r="I7051" s="24" cm="1">
        <f t="array" ref="I7051">IFERROR(IF($B7051=I$1, ($A7051+$C7051) - MAX(IF($B$2:$B7050=$B7051, $A$2:$A7050+$C$2:$C7050)), "")*24*60, "")</f>
        <v>0</v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t="str" cm="1">
        <f t="array" ref="O7051">IFERROR(IF($B7051=O$1, ($A7051+$C7051) - MAX(IF($B$2:$B7050=$B7051, $A$2:$A7050+$C$2:$C7050)), "")*24*60, "")</f>
        <v/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ref="A7052:C7052" si="1385">A7051</f>
        <v>46005</v>
      </c>
      <c r="B7052" s="5" t="str">
        <f t="shared" si="1385"/>
        <v>Northern Cardinal</v>
      </c>
      <c r="C7052" s="6">
        <f t="shared" si="1385"/>
        <v>0.35069444444444442</v>
      </c>
      <c r="D7052" s="5"/>
      <c r="E7052" s="5"/>
      <c r="F7052" s="5" t="s">
        <v>22</v>
      </c>
      <c r="G7052" s="15" t="s">
        <v>22</v>
      </c>
      <c r="H7052" s="24">
        <f t="shared" si="1333"/>
        <v>0</v>
      </c>
      <c r="I7052" s="24" cm="1">
        <f t="array" ref="I7052">IFERROR(IF($B7052=I$1, ($A7052+$C7052) - MAX(IF($B$2:$B7051=$B7052, $A$2:$A7051+$C$2:$C7051)), "")*24*60, "")</f>
        <v>0</v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t="str" cm="1">
        <f t="array" ref="O7052">IFERROR(IF($B7052=O$1, ($A7052+$C7052) - MAX(IF($B$2:$B7051=$B7052, $A$2:$A7051+$C$2:$C7051)), "")*24*60, "")</f>
        <v/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ref="A7053:C7053" si="1386">A7052</f>
        <v>46005</v>
      </c>
      <c r="B7053" s="5" t="str">
        <f t="shared" si="1386"/>
        <v>Northern Cardinal</v>
      </c>
      <c r="C7053" s="6">
        <f t="shared" si="1386"/>
        <v>0.35069444444444442</v>
      </c>
      <c r="D7053" s="5"/>
      <c r="E7053" s="5"/>
      <c r="F7053" s="5" t="s">
        <v>22</v>
      </c>
      <c r="G7053" s="15" t="s">
        <v>22</v>
      </c>
      <c r="H7053" s="24">
        <f t="shared" si="1333"/>
        <v>0</v>
      </c>
      <c r="I7053" s="24" cm="1">
        <f t="array" ref="I7053">IFERROR(IF($B7053=I$1, ($A7053+$C7053) - MAX(IF($B$2:$B7052=$B7053, $A$2:$A7052+$C$2:$C7052)), "")*24*60, "")</f>
        <v>0</v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t="str" cm="1">
        <f t="array" ref="O7053">IFERROR(IF($B7053=O$1, ($A7053+$C7053) - MAX(IF($B$2:$B7052=$B7053, $A$2:$A7052+$C$2:$C7052)), "")*24*60, "")</f>
        <v/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ref="A7054:C7054" si="1387">A7053</f>
        <v>46005</v>
      </c>
      <c r="B7054" s="5" t="str">
        <f t="shared" si="1387"/>
        <v>Northern Cardinal</v>
      </c>
      <c r="C7054" s="6">
        <f t="shared" si="1387"/>
        <v>0.35069444444444442</v>
      </c>
      <c r="D7054" s="5"/>
      <c r="E7054" s="5"/>
      <c r="F7054" s="5" t="s">
        <v>22</v>
      </c>
      <c r="G7054" s="15" t="s">
        <v>22</v>
      </c>
      <c r="H7054" s="24">
        <f t="shared" si="1333"/>
        <v>0</v>
      </c>
      <c r="I7054" s="24" cm="1">
        <f t="array" ref="I7054">IFERROR(IF($B7054=I$1, ($A7054+$C7054) - MAX(IF($B$2:$B7053=$B7054, $A$2:$A7053+$C$2:$C7053)), "")*24*60, "")</f>
        <v>0</v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t="str" cm="1">
        <f t="array" ref="O7054">IFERROR(IF($B7054=O$1, ($A7054+$C7054) - MAX(IF($B$2:$B7053=$B7054, $A$2:$A7053+$C$2:$C7053)), "")*24*60, "")</f>
        <v/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ref="A7055:C7055" si="1388">A7054</f>
        <v>46005</v>
      </c>
      <c r="B7055" s="5" t="str">
        <f t="shared" si="1388"/>
        <v>Northern Cardinal</v>
      </c>
      <c r="C7055" s="6">
        <f t="shared" si="1388"/>
        <v>0.35069444444444442</v>
      </c>
      <c r="D7055" s="5"/>
      <c r="E7055" s="5"/>
      <c r="F7055" s="5" t="s">
        <v>22</v>
      </c>
      <c r="G7055" s="15" t="s">
        <v>22</v>
      </c>
      <c r="H7055" s="24">
        <f t="shared" si="1333"/>
        <v>0</v>
      </c>
      <c r="I7055" s="24" cm="1">
        <f t="array" ref="I7055">IFERROR(IF($B7055=I$1, ($A7055+$C7055) - MAX(IF($B$2:$B7054=$B7055, $A$2:$A7054+$C$2:$C7054)), "")*24*60, "")</f>
        <v>0</v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t="str" cm="1">
        <f t="array" ref="O7055">IFERROR(IF($B7055=O$1, ($A7055+$C7055) - MAX(IF($B$2:$B7054=$B7055, $A$2:$A7054+$C$2:$C7054)), "")*24*60, "")</f>
        <v/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ref="A7056:C7056" si="1389">A7055</f>
        <v>46005</v>
      </c>
      <c r="B7056" s="5" t="str">
        <f t="shared" si="1389"/>
        <v>Northern Cardinal</v>
      </c>
      <c r="C7056" s="6">
        <f t="shared" si="1389"/>
        <v>0.35069444444444442</v>
      </c>
      <c r="D7056" s="5"/>
      <c r="E7056" s="5"/>
      <c r="F7056" s="5" t="s">
        <v>22</v>
      </c>
      <c r="G7056" s="15" t="s">
        <v>22</v>
      </c>
      <c r="H7056" s="24">
        <f t="shared" si="1333"/>
        <v>0</v>
      </c>
      <c r="I7056" s="24" cm="1">
        <f t="array" ref="I7056">IFERROR(IF($B7056=I$1, ($A7056+$C7056) - MAX(IF($B$2:$B7055=$B7056, $A$2:$A7055+$C$2:$C7055)), "")*24*60, "")</f>
        <v>0</v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t="str" cm="1">
        <f t="array" ref="O7056">IFERROR(IF($B7056=O$1, ($A7056+$C7056) - MAX(IF($B$2:$B7055=$B7056, $A$2:$A7055+$C$2:$C7055)), "")*24*60, "")</f>
        <v/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ref="A7057:C7057" si="1390">A7056</f>
        <v>46005</v>
      </c>
      <c r="B7057" s="5" t="str">
        <f t="shared" si="1390"/>
        <v>Northern Cardinal</v>
      </c>
      <c r="C7057" s="6">
        <f t="shared" si="1390"/>
        <v>0.35069444444444442</v>
      </c>
      <c r="D7057" s="5"/>
      <c r="E7057" s="5"/>
      <c r="F7057" s="5" t="s">
        <v>22</v>
      </c>
      <c r="G7057" s="15" t="s">
        <v>22</v>
      </c>
      <c r="H7057" s="24">
        <f t="shared" si="1333"/>
        <v>0</v>
      </c>
      <c r="I7057" s="24" cm="1">
        <f t="array" ref="I7057">IFERROR(IF($B7057=I$1, ($A7057+$C7057) - MAX(IF($B$2:$B7056=$B7057, $A$2:$A7056+$C$2:$C7056)), "")*24*60, "")</f>
        <v>0</v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t="str" cm="1">
        <f t="array" ref="O7057">IFERROR(IF($B7057=O$1, ($A7057+$C7057) - MAX(IF($B$2:$B7056=$B7057, $A$2:$A7056+$C$2:$C7056)), "")*24*60, "")</f>
        <v/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ref="A7058:C7058" si="1391">A7057</f>
        <v>46005</v>
      </c>
      <c r="B7058" s="5" t="str">
        <f t="shared" si="1391"/>
        <v>Northern Cardinal</v>
      </c>
      <c r="C7058" s="6">
        <f t="shared" si="1391"/>
        <v>0.35069444444444442</v>
      </c>
      <c r="D7058" s="5"/>
      <c r="E7058" s="5"/>
      <c r="F7058" s="5" t="s">
        <v>22</v>
      </c>
      <c r="G7058" s="15" t="s">
        <v>22</v>
      </c>
      <c r="H7058" s="24">
        <f t="shared" si="1333"/>
        <v>0</v>
      </c>
      <c r="I7058" s="24" cm="1">
        <f t="array" ref="I7058">IFERROR(IF($B7058=I$1, ($A7058+$C7058) - MAX(IF($B$2:$B7057=$B7058, $A$2:$A7057+$C$2:$C7057)), "")*24*60, "")</f>
        <v>0</v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t="str" cm="1">
        <f t="array" ref="O7058">IFERROR(IF($B7058=O$1, ($A7058+$C7058) - MAX(IF($B$2:$B7057=$B7058, $A$2:$A7057+$C$2:$C7057)), "")*24*60, "")</f>
        <v/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ref="A7059:C7059" si="1392">A7058</f>
        <v>46005</v>
      </c>
      <c r="B7059" s="5" t="str">
        <f t="shared" si="1392"/>
        <v>Northern Cardinal</v>
      </c>
      <c r="C7059" s="6">
        <f t="shared" si="1392"/>
        <v>0.35069444444444442</v>
      </c>
      <c r="D7059" s="5"/>
      <c r="E7059" s="5"/>
      <c r="F7059" s="5" t="s">
        <v>22</v>
      </c>
      <c r="G7059" s="15" t="s">
        <v>22</v>
      </c>
      <c r="H7059" s="24">
        <f t="shared" si="1333"/>
        <v>0</v>
      </c>
      <c r="I7059" s="24" cm="1">
        <f t="array" ref="I7059">IFERROR(IF($B7059=I$1, ($A7059+$C7059) - MAX(IF($B$2:$B7058=$B7059, $A$2:$A7058+$C$2:$C7058)), "")*24*60, "")</f>
        <v>0</v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t="str" cm="1">
        <f t="array" ref="O7059">IFERROR(IF($B7059=O$1, ($A7059+$C7059) - MAX(IF($B$2:$B7058=$B7059, $A$2:$A7058+$C$2:$C7058)), "")*24*60, "")</f>
        <v/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ref="A7060:C7060" si="1393">A7059</f>
        <v>46005</v>
      </c>
      <c r="B7060" s="5" t="str">
        <f t="shared" si="1393"/>
        <v>Northern Cardinal</v>
      </c>
      <c r="C7060" s="6">
        <f t="shared" si="1393"/>
        <v>0.35069444444444442</v>
      </c>
      <c r="D7060" s="5"/>
      <c r="E7060" s="5"/>
      <c r="F7060" s="5" t="s">
        <v>22</v>
      </c>
      <c r="G7060" s="15" t="s">
        <v>22</v>
      </c>
      <c r="H7060" s="24">
        <f t="shared" si="1333"/>
        <v>0</v>
      </c>
      <c r="I7060" s="24" cm="1">
        <f t="array" ref="I7060">IFERROR(IF($B7060=I$1, ($A7060+$C7060) - MAX(IF($B$2:$B7059=$B7060, $A$2:$A7059+$C$2:$C7059)), "")*24*60, "")</f>
        <v>0</v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t="str" cm="1">
        <f t="array" ref="O7060">IFERROR(IF($B7060=O$1, ($A7060+$C7060) - MAX(IF($B$2:$B7059=$B7060, $A$2:$A7059+$C$2:$C7059)), "")*24*60, "")</f>
        <v/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ref="A7061:C7061" si="1394">A7060</f>
        <v>46005</v>
      </c>
      <c r="B7061" s="5" t="str">
        <f t="shared" si="1394"/>
        <v>Northern Cardinal</v>
      </c>
      <c r="C7061" s="6">
        <f t="shared" si="1394"/>
        <v>0.35069444444444442</v>
      </c>
      <c r="D7061" s="5"/>
      <c r="E7061" s="5"/>
      <c r="F7061" s="5" t="s">
        <v>22</v>
      </c>
      <c r="G7061" s="15" t="s">
        <v>22</v>
      </c>
      <c r="H7061" s="24">
        <f t="shared" si="1333"/>
        <v>0</v>
      </c>
      <c r="I7061" s="24" cm="1">
        <f t="array" ref="I7061">IFERROR(IF($B7061=I$1, ($A7061+$C7061) - MAX(IF($B$2:$B7060=$B7061, $A$2:$A7060+$C$2:$C7060)), "")*24*60, "")</f>
        <v>0</v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t="str" cm="1">
        <f t="array" ref="O7061">IFERROR(IF($B7061=O$1, ($A7061+$C7061) - MAX(IF($B$2:$B7060=$B7061, $A$2:$A7060+$C$2:$C7060)), "")*24*60, "")</f>
        <v/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ref="A7062:C7062" si="1395">A7061</f>
        <v>46005</v>
      </c>
      <c r="B7062" s="5" t="str">
        <f t="shared" si="1395"/>
        <v>Northern Cardinal</v>
      </c>
      <c r="C7062" s="6">
        <f t="shared" si="1395"/>
        <v>0.35069444444444442</v>
      </c>
      <c r="D7062" s="5"/>
      <c r="E7062" s="5"/>
      <c r="F7062" s="5" t="s">
        <v>22</v>
      </c>
      <c r="G7062" s="15" t="s">
        <v>22</v>
      </c>
      <c r="H7062" s="24">
        <f t="shared" si="1333"/>
        <v>0</v>
      </c>
      <c r="I7062" s="24" cm="1">
        <f t="array" ref="I7062">IFERROR(IF($B7062=I$1, ($A7062+$C7062) - MAX(IF($B$2:$B7061=$B7062, $A$2:$A7061+$C$2:$C7061)), "")*24*60, "")</f>
        <v>0</v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t="str" cm="1">
        <f t="array" ref="O7062">IFERROR(IF($B7062=O$1, ($A7062+$C7062) - MAX(IF($B$2:$B7061=$B7062, $A$2:$A7061+$C$2:$C7061)), "")*24*60, "")</f>
        <v/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ref="A7063:C7063" si="1396">A7062</f>
        <v>46005</v>
      </c>
      <c r="B7063" s="5" t="str">
        <f t="shared" si="1396"/>
        <v>Northern Cardinal</v>
      </c>
      <c r="C7063" s="6">
        <f t="shared" si="1396"/>
        <v>0.35069444444444442</v>
      </c>
      <c r="D7063" s="5"/>
      <c r="E7063" s="5"/>
      <c r="F7063" s="5" t="s">
        <v>22</v>
      </c>
      <c r="G7063" s="15" t="s">
        <v>22</v>
      </c>
      <c r="H7063" s="24">
        <f t="shared" si="1333"/>
        <v>0</v>
      </c>
      <c r="I7063" s="24" cm="1">
        <f t="array" ref="I7063">IFERROR(IF($B7063=I$1, ($A7063+$C7063) - MAX(IF($B$2:$B7062=$B7063, $A$2:$A7062+$C$2:$C7062)), "")*24*60, "")</f>
        <v>0</v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t="str" cm="1">
        <f t="array" ref="O7063">IFERROR(IF($B7063=O$1, ($A7063+$C7063) - MAX(IF($B$2:$B7062=$B7063, $A$2:$A7062+$C$2:$C7062)), "")*24*60, "")</f>
        <v/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ref="A7064:C7064" si="1397">A7063</f>
        <v>46005</v>
      </c>
      <c r="B7064" s="5" t="str">
        <f t="shared" si="1397"/>
        <v>Northern Cardinal</v>
      </c>
      <c r="C7064" s="6">
        <f t="shared" si="1397"/>
        <v>0.35069444444444442</v>
      </c>
      <c r="D7064" s="5"/>
      <c r="E7064" s="5"/>
      <c r="F7064" s="5" t="s">
        <v>22</v>
      </c>
      <c r="G7064" s="15" t="s">
        <v>22</v>
      </c>
      <c r="H7064" s="24">
        <f t="shared" ref="H7064:H7127" si="1398">IFERROR((($A7064+$C7064) - ($A7063+$C7063))*24*60, "")</f>
        <v>0</v>
      </c>
      <c r="I7064" s="24" cm="1">
        <f t="array" ref="I7064">IFERROR(IF($B7064=I$1, ($A7064+$C7064) - MAX(IF($B$2:$B7063=$B7064, $A$2:$A7063+$C$2:$C7063)), "")*24*60, "")</f>
        <v>0</v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t="str" cm="1">
        <f t="array" ref="O7064">IFERROR(IF($B7064=O$1, ($A7064+$C7064) - MAX(IF($B$2:$B7063=$B7064, $A$2:$A7063+$C$2:$C7063)), "")*24*60, "")</f>
        <v/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ref="A7065:C7065" si="1399">A7064</f>
        <v>46005</v>
      </c>
      <c r="B7065" s="5" t="str">
        <f t="shared" si="1399"/>
        <v>Northern Cardinal</v>
      </c>
      <c r="C7065" s="6">
        <f t="shared" si="1399"/>
        <v>0.35069444444444442</v>
      </c>
      <c r="D7065" s="5"/>
      <c r="E7065" s="5"/>
      <c r="F7065" s="5" t="s">
        <v>22</v>
      </c>
      <c r="G7065" s="15" t="s">
        <v>22</v>
      </c>
      <c r="H7065" s="24">
        <f t="shared" si="1398"/>
        <v>0</v>
      </c>
      <c r="I7065" s="24" cm="1">
        <f t="array" ref="I7065">IFERROR(IF($B7065=I$1, ($A7065+$C7065) - MAX(IF($B$2:$B7064=$B7065, $A$2:$A7064+$C$2:$C7064)), "")*24*60, "")</f>
        <v>0</v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t="str" cm="1">
        <f t="array" ref="Q7065">IFERROR(IF($B7065=Q$1, ($A7065+$C7065) - MAX(IF($B$2:$B7064=$B7065, $A$2:$A7064+$C$2:$C7064)), "")*24*60, "")</f>
        <v/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ref="A7066:C7066" si="1400">A7065</f>
        <v>46005</v>
      </c>
      <c r="B7066" s="5" t="str">
        <f t="shared" si="1400"/>
        <v>Northern Cardinal</v>
      </c>
      <c r="C7066" s="6">
        <f t="shared" si="1400"/>
        <v>0.35069444444444442</v>
      </c>
      <c r="D7066" s="5"/>
      <c r="E7066" s="5"/>
      <c r="F7066" s="5" t="s">
        <v>22</v>
      </c>
      <c r="G7066" s="15" t="s">
        <v>22</v>
      </c>
      <c r="H7066" s="24">
        <f t="shared" si="1398"/>
        <v>0</v>
      </c>
      <c r="I7066" s="24" cm="1">
        <f t="array" ref="I7066">IFERROR(IF($B7066=I$1, ($A7066+$C7066) - MAX(IF($B$2:$B7065=$B7066, $A$2:$A7065+$C$2:$C7065)), "")*24*60, "")</f>
        <v>0</v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t="str" cm="1">
        <f t="array" ref="O7066">IFERROR(IF($B7066=O$1, ($A7066+$C7066) - MAX(IF($B$2:$B7065=$B7066, $A$2:$A7065+$C$2:$C7065)), "")*24*60, "")</f>
        <v/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ref="A7067:C7067" si="1401">A7066</f>
        <v>46005</v>
      </c>
      <c r="B7067" s="5" t="str">
        <f t="shared" si="1401"/>
        <v>Northern Cardinal</v>
      </c>
      <c r="C7067" s="6">
        <f t="shared" si="1401"/>
        <v>0.35069444444444442</v>
      </c>
      <c r="D7067" s="5"/>
      <c r="E7067" s="5"/>
      <c r="F7067" s="5" t="s">
        <v>22</v>
      </c>
      <c r="G7067" s="15" t="s">
        <v>22</v>
      </c>
      <c r="H7067" s="24">
        <f t="shared" si="1398"/>
        <v>0</v>
      </c>
      <c r="I7067" s="24" cm="1">
        <f t="array" ref="I7067">IFERROR(IF($B7067=I$1, ($A7067+$C7067) - MAX(IF($B$2:$B7066=$B7067, $A$2:$A7066+$C$2:$C7066)), "")*24*60, "")</f>
        <v>0</v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t="str" cm="1">
        <f t="array" ref="O7067">IFERROR(IF($B7067=O$1, ($A7067+$C7067) - MAX(IF($B$2:$B7066=$B7067, $A$2:$A7066+$C$2:$C7066)), "")*24*60, "")</f>
        <v/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ref="A7068:C7068" si="1402">A7067</f>
        <v>46005</v>
      </c>
      <c r="B7068" s="5" t="str">
        <f t="shared" si="1402"/>
        <v>Northern Cardinal</v>
      </c>
      <c r="C7068" s="6">
        <f t="shared" si="1402"/>
        <v>0.35069444444444442</v>
      </c>
      <c r="D7068" s="5"/>
      <c r="E7068" s="5"/>
      <c r="F7068" s="5" t="s">
        <v>22</v>
      </c>
      <c r="G7068" s="15" t="s">
        <v>22</v>
      </c>
      <c r="H7068" s="24">
        <f t="shared" si="1398"/>
        <v>0</v>
      </c>
      <c r="I7068" s="24" cm="1">
        <f t="array" ref="I7068">IFERROR(IF($B7068=I$1, ($A7068+$C7068) - MAX(IF($B$2:$B7067=$B7068, $A$2:$A7067+$C$2:$C7067)), "")*24*60, "")</f>
        <v>0</v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t="str" cm="1">
        <f t="array" ref="O7068">IFERROR(IF($B7068=O$1, ($A7068+$C7068) - MAX(IF($B$2:$B7067=$B7068, $A$2:$A7067+$C$2:$C7067)), "")*24*60, "")</f>
        <v/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ref="A7069:C7069" si="1403">A7068</f>
        <v>46005</v>
      </c>
      <c r="B7069" s="5" t="str">
        <f t="shared" si="1403"/>
        <v>Northern Cardinal</v>
      </c>
      <c r="C7069" s="6">
        <f t="shared" si="1403"/>
        <v>0.35069444444444442</v>
      </c>
      <c r="D7069" s="5"/>
      <c r="E7069" s="5"/>
      <c r="F7069" s="5" t="s">
        <v>22</v>
      </c>
      <c r="G7069" s="15" t="s">
        <v>22</v>
      </c>
      <c r="H7069" s="24">
        <f t="shared" si="1398"/>
        <v>0</v>
      </c>
      <c r="I7069" s="24" cm="1">
        <f t="array" ref="I7069">IFERROR(IF($B7069=I$1, ($A7069+$C7069) - MAX(IF($B$2:$B7068=$B7069, $A$2:$A7068+$C$2:$C7068)), "")*24*60, "")</f>
        <v>0</v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t="str" cm="1">
        <f t="array" ref="O7069">IFERROR(IF($B7069=O$1, ($A7069+$C7069) - MAX(IF($B$2:$B7068=$B7069, $A$2:$A7068+$C$2:$C7068)), "")*24*60, "")</f>
        <v/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ref="A7070:C7070" si="1404">A7069</f>
        <v>46005</v>
      </c>
      <c r="B7070" s="5" t="str">
        <f t="shared" si="1404"/>
        <v>Northern Cardinal</v>
      </c>
      <c r="C7070" s="6">
        <f t="shared" si="1404"/>
        <v>0.35069444444444442</v>
      </c>
      <c r="D7070" s="5"/>
      <c r="E7070" s="5"/>
      <c r="F7070" s="5" t="s">
        <v>22</v>
      </c>
      <c r="G7070" s="15" t="s">
        <v>22</v>
      </c>
      <c r="H7070" s="24">
        <f t="shared" si="1398"/>
        <v>0</v>
      </c>
      <c r="I7070" s="24" cm="1">
        <f t="array" ref="I7070">IFERROR(IF($B7070=I$1, ($A7070+$C7070) - MAX(IF($B$2:$B7069=$B7070, $A$2:$A7069+$C$2:$C7069)), "")*24*60, "")</f>
        <v>0</v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t="str" cm="1">
        <f t="array" ref="O7070">IFERROR(IF($B7070=O$1, ($A7070+$C7070) - MAX(IF($B$2:$B7069=$B7070, $A$2:$A7069+$C$2:$C7069)), "")*24*60, "")</f>
        <v/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ref="A7071:C7071" si="1405">A7070</f>
        <v>46005</v>
      </c>
      <c r="B7071" s="5" t="str">
        <f t="shared" si="1405"/>
        <v>Northern Cardinal</v>
      </c>
      <c r="C7071" s="6">
        <f t="shared" si="1405"/>
        <v>0.35069444444444442</v>
      </c>
      <c r="D7071" s="5"/>
      <c r="E7071" s="5"/>
      <c r="F7071" s="5" t="s">
        <v>22</v>
      </c>
      <c r="G7071" s="15" t="s">
        <v>22</v>
      </c>
      <c r="H7071" s="24">
        <f t="shared" si="1398"/>
        <v>0</v>
      </c>
      <c r="I7071" s="24" cm="1">
        <f t="array" ref="I7071">IFERROR(IF($B7071=I$1, ($A7071+$C7071) - MAX(IF($B$2:$B7070=$B7071, $A$2:$A7070+$C$2:$C7070)), "")*24*60, "")</f>
        <v>0</v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t="str" cm="1">
        <f t="array" ref="O7071">IFERROR(IF($B7071=O$1, ($A7071+$C7071) - MAX(IF($B$2:$B7070=$B7071, $A$2:$A7070+$C$2:$C7070)), "")*24*60, "")</f>
        <v/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ref="A7072:C7072" si="1406">A7071</f>
        <v>46005</v>
      </c>
      <c r="B7072" s="5" t="str">
        <f t="shared" si="1406"/>
        <v>Northern Cardinal</v>
      </c>
      <c r="C7072" s="6">
        <f t="shared" si="1406"/>
        <v>0.35069444444444442</v>
      </c>
      <c r="D7072" s="5"/>
      <c r="E7072" s="5"/>
      <c r="F7072" s="5" t="s">
        <v>22</v>
      </c>
      <c r="G7072" s="15" t="s">
        <v>22</v>
      </c>
      <c r="H7072" s="24">
        <f t="shared" si="1398"/>
        <v>0</v>
      </c>
      <c r="I7072" s="24" cm="1">
        <f t="array" ref="I7072">IFERROR(IF($B7072=I$1, ($A7072+$C7072) - MAX(IF($B$2:$B7071=$B7072, $A$2:$A7071+$C$2:$C7071)), "")*24*60, "")</f>
        <v>0</v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t="str" cm="1">
        <f t="array" ref="O7072">IFERROR(IF($B7072=O$1, ($A7072+$C7072) - MAX(IF($B$2:$B7071=$B7072, $A$2:$A7071+$C$2:$C7071)), "")*24*60, "")</f>
        <v/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ref="A7073:C7073" si="1407">A7072</f>
        <v>46005</v>
      </c>
      <c r="B7073" s="5" t="str">
        <f t="shared" si="1407"/>
        <v>Northern Cardinal</v>
      </c>
      <c r="C7073" s="6">
        <f t="shared" si="1407"/>
        <v>0.35069444444444442</v>
      </c>
      <c r="D7073" s="5"/>
      <c r="E7073" s="5"/>
      <c r="F7073" s="5" t="s">
        <v>22</v>
      </c>
      <c r="G7073" s="15" t="s">
        <v>22</v>
      </c>
      <c r="H7073" s="24">
        <f t="shared" si="1398"/>
        <v>0</v>
      </c>
      <c r="I7073" s="24" cm="1">
        <f t="array" ref="I7073">IFERROR(IF($B7073=I$1, ($A7073+$C7073) - MAX(IF($B$2:$B7072=$B7073, $A$2:$A7072+$C$2:$C7072)), "")*24*60, "")</f>
        <v>0</v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t="str" cm="1">
        <f t="array" ref="O7073">IFERROR(IF($B7073=O$1, ($A7073+$C7073) - MAX(IF($B$2:$B7072=$B7073, $A$2:$A7072+$C$2:$C7072)), "")*24*60, "")</f>
        <v/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ref="A7074:C7074" si="1408">A7073</f>
        <v>46005</v>
      </c>
      <c r="B7074" s="5" t="str">
        <f t="shared" si="1408"/>
        <v>Northern Cardinal</v>
      </c>
      <c r="C7074" s="6">
        <f t="shared" si="1408"/>
        <v>0.35069444444444442</v>
      </c>
      <c r="D7074" s="5"/>
      <c r="E7074" s="5"/>
      <c r="F7074" s="5" t="s">
        <v>22</v>
      </c>
      <c r="G7074" s="15" t="s">
        <v>22</v>
      </c>
      <c r="H7074" s="24">
        <f t="shared" si="1398"/>
        <v>0</v>
      </c>
      <c r="I7074" s="24" cm="1">
        <f t="array" ref="I7074">IFERROR(IF($B7074=I$1, ($A7074+$C7074) - MAX(IF($B$2:$B7073=$B7074, $A$2:$A7073+$C$2:$C7073)), "")*24*60, "")</f>
        <v>0</v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t="str" cm="1">
        <f t="array" ref="O7074">IFERROR(IF($B7074=O$1, ($A7074+$C7074) - MAX(IF($B$2:$B7073=$B7074, $A$2:$A7073+$C$2:$C7073)), "")*24*60, "")</f>
        <v/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ref="A7075:C7075" si="1409">A7074</f>
        <v>46005</v>
      </c>
      <c r="B7075" s="5" t="str">
        <f t="shared" si="1409"/>
        <v>Northern Cardinal</v>
      </c>
      <c r="C7075" s="6">
        <f t="shared" si="1409"/>
        <v>0.35069444444444442</v>
      </c>
      <c r="D7075" s="5"/>
      <c r="E7075" s="5"/>
      <c r="F7075" s="5" t="s">
        <v>22</v>
      </c>
      <c r="G7075" s="15" t="s">
        <v>22</v>
      </c>
      <c r="H7075" s="24">
        <f t="shared" si="1398"/>
        <v>0</v>
      </c>
      <c r="I7075" s="24" cm="1">
        <f t="array" ref="I7075">IFERROR(IF($B7075=I$1, ($A7075+$C7075) - MAX(IF($B$2:$B7074=$B7075, $A$2:$A7074+$C$2:$C7074)), "")*24*60, "")</f>
        <v>0</v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t="str" cm="1">
        <f t="array" ref="O7075">IFERROR(IF($B7075=O$1, ($A7075+$C7075) - MAX(IF($B$2:$B7074=$B7075, $A$2:$A7074+$C$2:$C7074)), "")*24*60, "")</f>
        <v/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ref="A7076:C7076" si="1410">A7075</f>
        <v>46005</v>
      </c>
      <c r="B7076" s="5" t="str">
        <f t="shared" si="1410"/>
        <v>Northern Cardinal</v>
      </c>
      <c r="C7076" s="6">
        <f t="shared" si="1410"/>
        <v>0.35069444444444442</v>
      </c>
      <c r="D7076" s="5"/>
      <c r="E7076" s="5"/>
      <c r="F7076" s="5" t="s">
        <v>22</v>
      </c>
      <c r="G7076" s="15" t="s">
        <v>22</v>
      </c>
      <c r="H7076" s="24">
        <f t="shared" si="1398"/>
        <v>0</v>
      </c>
      <c r="I7076" s="24" cm="1">
        <f t="array" ref="I7076">IFERROR(IF($B7076=I$1, ($A7076+$C7076) - MAX(IF($B$2:$B7075=$B7076, $A$2:$A7075+$C$2:$C7075)), "")*24*60, "")</f>
        <v>0</v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t="str" cm="1">
        <f t="array" ref="O7076">IFERROR(IF($B7076=O$1, ($A7076+$C7076) - MAX(IF($B$2:$B7075=$B7076, $A$2:$A7075+$C$2:$C7075)), "")*24*60, "")</f>
        <v/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ref="A7077:C7077" si="1411">A7076</f>
        <v>46005</v>
      </c>
      <c r="B7077" s="5" t="str">
        <f t="shared" si="1411"/>
        <v>Northern Cardinal</v>
      </c>
      <c r="C7077" s="6">
        <f t="shared" si="1411"/>
        <v>0.35069444444444442</v>
      </c>
      <c r="D7077" s="5"/>
      <c r="E7077" s="5"/>
      <c r="F7077" s="5" t="s">
        <v>22</v>
      </c>
      <c r="G7077" s="15" t="s">
        <v>22</v>
      </c>
      <c r="H7077" s="24">
        <f t="shared" si="1398"/>
        <v>0</v>
      </c>
      <c r="I7077" s="24" cm="1">
        <f t="array" ref="I7077">IFERROR(IF($B7077=I$1, ($A7077+$C7077) - MAX(IF($B$2:$B7076=$B7077, $A$2:$A7076+$C$2:$C7076)), "")*24*60, "")</f>
        <v>0</v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t="str" cm="1">
        <f t="array" ref="O7077">IFERROR(IF($B7077=O$1, ($A7077+$C7077) - MAX(IF($B$2:$B7076=$B7077, $A$2:$A7076+$C$2:$C7076)), "")*24*60, "")</f>
        <v/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ref="A7078:C7078" si="1412">A7077</f>
        <v>46005</v>
      </c>
      <c r="B7078" s="5" t="str">
        <f t="shared" si="1412"/>
        <v>Northern Cardinal</v>
      </c>
      <c r="C7078" s="6">
        <f t="shared" si="1412"/>
        <v>0.35069444444444442</v>
      </c>
      <c r="D7078" s="5"/>
      <c r="E7078" s="5"/>
      <c r="F7078" s="5" t="s">
        <v>22</v>
      </c>
      <c r="G7078" s="15" t="s">
        <v>22</v>
      </c>
      <c r="H7078" s="24">
        <f t="shared" si="1398"/>
        <v>0</v>
      </c>
      <c r="I7078" s="24" cm="1">
        <f t="array" ref="I7078">IFERROR(IF($B7078=I$1, ($A7078+$C7078) - MAX(IF($B$2:$B7077=$B7078, $A$2:$A7077+$C$2:$C7077)), "")*24*60, "")</f>
        <v>0</v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t="str" cm="1">
        <f t="array" ref="O7078">IFERROR(IF($B7078=O$1, ($A7078+$C7078) - MAX(IF($B$2:$B7077=$B7078, $A$2:$A7077+$C$2:$C7077)), "")*24*60, "")</f>
        <v/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ref="A7079:C7079" si="1413">A7078</f>
        <v>46005</v>
      </c>
      <c r="B7079" s="5" t="str">
        <f t="shared" si="1413"/>
        <v>Northern Cardinal</v>
      </c>
      <c r="C7079" s="6">
        <f t="shared" si="1413"/>
        <v>0.35069444444444442</v>
      </c>
      <c r="D7079" s="5"/>
      <c r="E7079" s="5"/>
      <c r="F7079" s="5" t="s">
        <v>22</v>
      </c>
      <c r="G7079" s="15" t="s">
        <v>22</v>
      </c>
      <c r="H7079" s="24">
        <f t="shared" si="1398"/>
        <v>0</v>
      </c>
      <c r="I7079" s="24" cm="1">
        <f t="array" ref="I7079">IFERROR(IF($B7079=I$1, ($A7079+$C7079) - MAX(IF($B$2:$B7078=$B7079, $A$2:$A7078+$C$2:$C7078)), "")*24*60, "")</f>
        <v>0</v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t="str" cm="1">
        <f t="array" ref="O7079">IFERROR(IF($B7079=O$1, ($A7079+$C7079) - MAX(IF($B$2:$B7078=$B7079, $A$2:$A7078+$C$2:$C7078)), "")*24*60, "")</f>
        <v/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ref="A7080:C7080" si="1414">A7079</f>
        <v>46005</v>
      </c>
      <c r="B7080" s="5" t="str">
        <f t="shared" si="1414"/>
        <v>Northern Cardinal</v>
      </c>
      <c r="C7080" s="6">
        <f t="shared" si="1414"/>
        <v>0.35069444444444442</v>
      </c>
      <c r="D7080" s="5"/>
      <c r="E7080" s="5"/>
      <c r="F7080" s="5" t="s">
        <v>22</v>
      </c>
      <c r="G7080" s="15" t="s">
        <v>22</v>
      </c>
      <c r="H7080" s="24">
        <f t="shared" si="1398"/>
        <v>0</v>
      </c>
      <c r="I7080" s="24" cm="1">
        <f t="array" ref="I7080">IFERROR(IF($B7080=I$1, ($A7080+$C7080) - MAX(IF($B$2:$B7079=$B7080, $A$2:$A7079+$C$2:$C7079)), "")*24*60, "")</f>
        <v>0</v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t="str" cm="1">
        <f t="array" ref="O7080">IFERROR(IF($B7080=O$1, ($A7080+$C7080) - MAX(IF($B$2:$B7079=$B7080, $A$2:$A7079+$C$2:$C7079)), "")*24*60, "")</f>
        <v/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ref="A7081:C7081" si="1415">A7080</f>
        <v>46005</v>
      </c>
      <c r="B7081" s="5" t="str">
        <f t="shared" si="1415"/>
        <v>Northern Cardinal</v>
      </c>
      <c r="C7081" s="6">
        <f t="shared" si="1415"/>
        <v>0.35069444444444442</v>
      </c>
      <c r="D7081" s="5"/>
      <c r="E7081" s="5"/>
      <c r="F7081" s="5" t="s">
        <v>22</v>
      </c>
      <c r="G7081" s="15" t="s">
        <v>22</v>
      </c>
      <c r="H7081" s="24">
        <f t="shared" si="1398"/>
        <v>0</v>
      </c>
      <c r="I7081" s="24" cm="1">
        <f t="array" ref="I7081">IFERROR(IF($B7081=I$1, ($A7081+$C7081) - MAX(IF($B$2:$B7080=$B7081, $A$2:$A7080+$C$2:$C7080)), "")*24*60, "")</f>
        <v>0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ref="A7082:C7082" si="1416">A7081</f>
        <v>46005</v>
      </c>
      <c r="B7082" s="5" t="str">
        <f t="shared" si="1416"/>
        <v>Northern Cardinal</v>
      </c>
      <c r="C7082" s="6">
        <f t="shared" si="1416"/>
        <v>0.35069444444444442</v>
      </c>
      <c r="D7082" s="5"/>
      <c r="E7082" s="5"/>
      <c r="F7082" s="5" t="s">
        <v>22</v>
      </c>
      <c r="G7082" s="15" t="s">
        <v>22</v>
      </c>
      <c r="H7082" s="24">
        <f t="shared" si="1398"/>
        <v>0</v>
      </c>
      <c r="I7082" s="24" cm="1">
        <f t="array" ref="I7082">IFERROR(IF($B7082=I$1, ($A7082+$C7082) - MAX(IF($B$2:$B7081=$B7082, $A$2:$A7081+$C$2:$C7081)), "")*24*60, "")</f>
        <v>0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ref="A7083:C7083" si="1417">A7082</f>
        <v>46005</v>
      </c>
      <c r="B7083" s="5" t="str">
        <f t="shared" si="1417"/>
        <v>Northern Cardinal</v>
      </c>
      <c r="C7083" s="6">
        <f t="shared" si="1417"/>
        <v>0.35069444444444442</v>
      </c>
      <c r="D7083" s="5"/>
      <c r="E7083" s="5"/>
      <c r="F7083" s="5" t="s">
        <v>22</v>
      </c>
      <c r="G7083" s="15" t="s">
        <v>22</v>
      </c>
      <c r="H7083" s="24">
        <f t="shared" si="1398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C7084" si="1418">A7083</f>
        <v>46005</v>
      </c>
      <c r="B7084" s="5" t="str">
        <f t="shared" si="1418"/>
        <v>Northern Cardinal</v>
      </c>
      <c r="C7084" s="6">
        <f t="shared" si="1418"/>
        <v>0.35069444444444442</v>
      </c>
      <c r="D7084" s="5"/>
      <c r="E7084" s="5"/>
      <c r="F7084" s="5" t="s">
        <v>22</v>
      </c>
      <c r="G7084" s="15" t="s">
        <v>22</v>
      </c>
      <c r="H7084" s="24">
        <f t="shared" si="1398"/>
        <v>0</v>
      </c>
      <c r="I7084" s="24" cm="1">
        <f t="array" ref="I7084">IFERROR(IF($B7084=I$1, ($A7084+$C7084) - MAX(IF($B$2:$B7083=$B7084, $A$2:$A7083+$C$2:$C7083)), "")*24*60, "")</f>
        <v>0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ref="A7085:C7085" si="1419">A7084</f>
        <v>46005</v>
      </c>
      <c r="B7085" s="5" t="str">
        <f t="shared" si="1419"/>
        <v>Northern Cardinal</v>
      </c>
      <c r="C7085" s="6">
        <f t="shared" si="1419"/>
        <v>0.35069444444444442</v>
      </c>
      <c r="D7085" s="5"/>
      <c r="E7085" s="5"/>
      <c r="F7085" s="5" t="s">
        <v>22</v>
      </c>
      <c r="G7085" s="15" t="s">
        <v>22</v>
      </c>
      <c r="H7085" s="24">
        <f t="shared" si="1398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ref="A7086:C7086" si="1420">A7085</f>
        <v>46005</v>
      </c>
      <c r="B7086" s="5" t="str">
        <f t="shared" si="1420"/>
        <v>Northern Cardinal</v>
      </c>
      <c r="C7086" s="6">
        <f t="shared" si="1420"/>
        <v>0.35069444444444442</v>
      </c>
      <c r="D7086" s="5"/>
      <c r="E7086" s="5"/>
      <c r="F7086" s="5" t="s">
        <v>22</v>
      </c>
      <c r="G7086" s="15" t="s">
        <v>22</v>
      </c>
      <c r="H7086" s="24">
        <f t="shared" si="1398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ref="A7087:C7087" si="1421">A7086</f>
        <v>46005</v>
      </c>
      <c r="B7087" s="5" t="str">
        <f t="shared" si="1421"/>
        <v>Northern Cardinal</v>
      </c>
      <c r="C7087" s="6">
        <f t="shared" si="1421"/>
        <v>0.35069444444444442</v>
      </c>
      <c r="D7087" s="5"/>
      <c r="E7087" s="5"/>
      <c r="F7087" s="5" t="s">
        <v>22</v>
      </c>
      <c r="G7087" s="15" t="s">
        <v>22</v>
      </c>
      <c r="H7087" s="24">
        <f t="shared" si="1398"/>
        <v>0</v>
      </c>
      <c r="I7087" s="24" cm="1">
        <f t="array" ref="I7087">IFERROR(IF($B7087=I$1, ($A7087+$C7087) - MAX(IF($B$2:$B7086=$B7087, $A$2:$A7086+$C$2:$C7086)), "")*24*60, "")</f>
        <v>0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ref="A7088:C7088" si="1422">A7087</f>
        <v>46005</v>
      </c>
      <c r="B7088" s="5" t="str">
        <f t="shared" si="1422"/>
        <v>Northern Cardinal</v>
      </c>
      <c r="C7088" s="6">
        <f t="shared" si="1422"/>
        <v>0.35069444444444442</v>
      </c>
      <c r="D7088" s="5"/>
      <c r="E7088" s="5"/>
      <c r="F7088" s="5" t="s">
        <v>22</v>
      </c>
      <c r="G7088" s="15" t="s">
        <v>22</v>
      </c>
      <c r="H7088" s="24">
        <f t="shared" si="1398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ref="A7089:C7089" si="1423">A7088</f>
        <v>46005</v>
      </c>
      <c r="B7089" s="5" t="str">
        <f t="shared" si="1423"/>
        <v>Northern Cardinal</v>
      </c>
      <c r="C7089" s="6">
        <f t="shared" si="1423"/>
        <v>0.35069444444444442</v>
      </c>
      <c r="D7089" s="5"/>
      <c r="E7089" s="5"/>
      <c r="F7089" s="5" t="s">
        <v>22</v>
      </c>
      <c r="G7089" s="15" t="s">
        <v>22</v>
      </c>
      <c r="H7089" s="24">
        <f t="shared" si="1398"/>
        <v>0</v>
      </c>
      <c r="I7089" s="24" cm="1">
        <f t="array" ref="I7089">IFERROR(IF($B7089=I$1, ($A7089+$C7089) - MAX(IF($B$2:$B7088=$B7089, $A$2:$A7088+$C$2:$C7088)), "")*24*60, "")</f>
        <v>0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ref="A7090:C7090" si="1424">A7089</f>
        <v>46005</v>
      </c>
      <c r="B7090" s="5" t="str">
        <f t="shared" si="1424"/>
        <v>Northern Cardinal</v>
      </c>
      <c r="C7090" s="6">
        <f t="shared" si="1424"/>
        <v>0.35069444444444442</v>
      </c>
      <c r="D7090" s="5"/>
      <c r="E7090" s="5"/>
      <c r="F7090" s="5" t="s">
        <v>22</v>
      </c>
      <c r="G7090" s="15" t="s">
        <v>22</v>
      </c>
      <c r="H7090" s="24">
        <f t="shared" si="1398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2">
        <f t="shared" ref="A7091:C7091" si="1425">A7090</f>
        <v>46005</v>
      </c>
      <c r="B7091" s="5" t="str">
        <f t="shared" si="1425"/>
        <v>Northern Cardinal</v>
      </c>
      <c r="C7091" s="6">
        <f t="shared" si="1425"/>
        <v>0.35069444444444442</v>
      </c>
      <c r="D7091" s="5"/>
      <c r="E7091" s="5"/>
      <c r="F7091" s="5" t="s">
        <v>22</v>
      </c>
      <c r="G7091" s="15" t="s">
        <v>22</v>
      </c>
      <c r="H7091" s="24">
        <f t="shared" si="1398"/>
        <v>0</v>
      </c>
      <c r="I7091" s="24" cm="1">
        <f t="array" ref="I7091">IFERROR(IF($B7091=I$1, ($A7091+$C7091) - MAX(IF($B$2:$B7090=$B7091, $A$2:$A7090+$C$2:$C7090)), "")*24*60, "")</f>
        <v>0</v>
      </c>
      <c r="J7091" s="24" t="str" cm="1">
        <f t="array" ref="J7091">IFERROR(IF($B7091=J$1, ($A7091+$C7091) - MAX(IF($B$2:$B7090=$B7091, $A$2:$A7090+$C$2:$C7090)), "")*24*60, "")</f>
        <v/>
      </c>
      <c r="K7091" s="24" t="str" cm="1">
        <f t="array" ref="K7091">IFERROR(IF($B7091=K$1, ($A7091+$C7091) - MAX(IF($B$2:$B7090=$B7091, $A$2:$A7090+$C$2:$C7090)), "")*24*60, "")</f>
        <v/>
      </c>
      <c r="L7091" s="24" t="str" cm="1">
        <f t="array" ref="L7091">IFERROR(IF($B7091=L$1, ($A7091+$C7091) - MAX(IF($B$2:$B7090=$B7091, $A$2:$A7090+$C$2:$C7090)), "")*24*60, "")</f>
        <v/>
      </c>
      <c r="M7091" s="24" t="str" cm="1">
        <f t="array" ref="M7091">IFERROR(IF($B7091=M$1, ($A7091+$C7091) - MAX(IF($B$2:$B7090=$B7091, $A$2:$A7090+$C$2:$C7090)), "")*24*60, "")</f>
        <v/>
      </c>
      <c r="N7091" s="24" t="str" cm="1">
        <f t="array" ref="N7091">IFERROR(IF($B7091=N$1, ($A7091+$C7091) - MAX(IF($B$2:$B7090=$B7091, $A$2:$A7090+$C$2:$C7090)), "")*24*60, "")</f>
        <v/>
      </c>
      <c r="O7091" s="24" t="str" cm="1">
        <f t="array" ref="O7091">IFERROR(IF($B7091=O$1, ($A7091+$C7091) - MAX(IF($B$2:$B7090=$B7091, $A$2:$A7090+$C$2:$C7090)), "")*24*60, "")</f>
        <v/>
      </c>
      <c r="P7091" s="24" t="str" cm="1">
        <f t="array" ref="P7091">IFERROR(IF($B7091=P$1, ($A7091+$C7091) - MAX(IF($B$2:$B7090=$B7091, $A$2:$A7090+$C$2:$C7090)), "")*24*60, "")</f>
        <v/>
      </c>
      <c r="Q7091" s="24" t="str" cm="1">
        <f t="array" ref="Q7091">IFERROR(IF($B7091=Q$1, ($A7091+$C7091) - MAX(IF($B$2:$B7090=$B7091, $A$2:$A7090+$C$2:$C7090)), "")*24*60, "")</f>
        <v/>
      </c>
      <c r="R7091" s="24" t="str" cm="1">
        <f t="array" ref="R7091">IFERROR(IF($B7091=R$1, ($A7091+$C7091) - MAX(IF($B$2:$B7090=$B7091, $A$2:$A7090+$C$2:$C7090)), "")*24*60, "")</f>
        <v/>
      </c>
      <c r="S7091" s="24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f t="shared" ref="A7092:C7092" si="1426">A7091</f>
        <v>46005</v>
      </c>
      <c r="B7092" s="5" t="str">
        <f t="shared" si="1426"/>
        <v>Northern Cardinal</v>
      </c>
      <c r="C7092" s="6">
        <f t="shared" si="1426"/>
        <v>0.35069444444444442</v>
      </c>
      <c r="D7092" s="5"/>
      <c r="E7092" s="5"/>
      <c r="F7092" s="5" t="s">
        <v>22</v>
      </c>
      <c r="G7092" s="15" t="s">
        <v>22</v>
      </c>
      <c r="H7092" s="24">
        <f t="shared" si="1398"/>
        <v>0</v>
      </c>
      <c r="I7092" s="24" cm="1">
        <f t="array" ref="I7092">IFERROR(IF($B7092=I$1, ($A7092+$C7092) - MAX(IF($B$2:$B7091=$B7092, $A$2:$A7091+$C$2:$C7091)), "")*24*60, "")</f>
        <v>0</v>
      </c>
      <c r="J7092" s="24" t="str" cm="1">
        <f t="array" ref="J7092">IFERROR(IF($B7092=J$1, ($A7092+$C7092) - MAX(IF($B$2:$B7091=$B7092, $A$2:$A7091+$C$2:$C7091)), "")*24*60, "")</f>
        <v/>
      </c>
      <c r="K7092" s="24" t="str" cm="1">
        <f t="array" ref="K7092">IFERROR(IF($B7092=K$1, ($A7092+$C7092) - MAX(IF($B$2:$B7091=$B7092, $A$2:$A7091+$C$2:$C7091)), "")*24*60, "")</f>
        <v/>
      </c>
      <c r="L7092" s="24" t="str" cm="1">
        <f t="array" ref="L7092">IFERROR(IF($B7092=L$1, ($A7092+$C7092) - MAX(IF($B$2:$B7091=$B7092, $A$2:$A7091+$C$2:$C7091)), "")*24*60, "")</f>
        <v/>
      </c>
      <c r="M7092" s="24" t="str" cm="1">
        <f t="array" ref="M7092">IFERROR(IF($B7092=M$1, ($A7092+$C7092) - MAX(IF($B$2:$B7091=$B7092, $A$2:$A7091+$C$2:$C7091)), "")*24*60, "")</f>
        <v/>
      </c>
      <c r="N7092" s="24" t="str" cm="1">
        <f t="array" ref="N7092">IFERROR(IF($B7092=N$1, ($A7092+$C7092) - MAX(IF($B$2:$B7091=$B7092, $A$2:$A7091+$C$2:$C7091)), "")*24*60, "")</f>
        <v/>
      </c>
      <c r="O7092" s="24" t="str" cm="1">
        <f t="array" ref="O7092">IFERROR(IF($B7092=O$1, ($A7092+$C7092) - MAX(IF($B$2:$B7091=$B7092, $A$2:$A7091+$C$2:$C7091)), "")*24*60, "")</f>
        <v/>
      </c>
      <c r="P7092" s="24" t="str" cm="1">
        <f t="array" ref="P7092">IFERROR(IF($B7092=P$1, ($A7092+$C7092) - MAX(IF($B$2:$B7091=$B7092, $A$2:$A7091+$C$2:$C7091)), "")*24*60, "")</f>
        <v/>
      </c>
      <c r="Q7092" s="24" t="str" cm="1">
        <f t="array" ref="Q7092">IFERROR(IF($B7092=Q$1, ($A7092+$C7092) - MAX(IF($B$2:$B7091=$B7092, $A$2:$A7091+$C$2:$C7091)), "")*24*60, "")</f>
        <v/>
      </c>
      <c r="R7092" s="24" t="str" cm="1">
        <f t="array" ref="R7092">IFERROR(IF($B7092=R$1, ($A7092+$C7092) - MAX(IF($B$2:$B7091=$B7092, $A$2:$A7091+$C$2:$C7091)), "")*24*60, "")</f>
        <v/>
      </c>
      <c r="S7092" s="24" t="str" cm="1">
        <f t="array" ref="S7092">IFERROR(IF($B7092=S$1, ($A7092+$C7092) - MAX(IF($B$2:$B7091=$B7092, $A$2:$A7091+$C$2:$C7091)), "")*24*60, "")</f>
        <v/>
      </c>
    </row>
    <row r="7093" spans="1:19" x14ac:dyDescent="0.2">
      <c r="A7093" s="12">
        <f t="shared" ref="A7093:C7093" si="1427">A7092</f>
        <v>46005</v>
      </c>
      <c r="B7093" s="5" t="str">
        <f t="shared" si="1427"/>
        <v>Northern Cardinal</v>
      </c>
      <c r="C7093" s="6">
        <f t="shared" si="1427"/>
        <v>0.35069444444444442</v>
      </c>
      <c r="D7093" s="5"/>
      <c r="E7093" s="5"/>
      <c r="F7093" s="5" t="s">
        <v>22</v>
      </c>
      <c r="G7093" s="15" t="s">
        <v>22</v>
      </c>
      <c r="H7093" s="24">
        <f t="shared" si="1398"/>
        <v>0</v>
      </c>
      <c r="I7093" s="24" cm="1">
        <f t="array" ref="I7093">IFERROR(IF($B7093=I$1, ($A7093+$C7093) - MAX(IF($B$2:$B7092=$B7093, $A$2:$A7092+$C$2:$C7092)), "")*24*60, "")</f>
        <v>0</v>
      </c>
      <c r="J7093" s="24" t="str" cm="1">
        <f t="array" ref="J7093">IFERROR(IF($B7093=J$1, ($A7093+$C7093) - MAX(IF($B$2:$B7092=$B7093, $A$2:$A7092+$C$2:$C7092)), "")*24*60, "")</f>
        <v/>
      </c>
      <c r="K7093" s="24" t="str" cm="1">
        <f t="array" ref="K7093">IFERROR(IF($B7093=K$1, ($A7093+$C7093) - MAX(IF($B$2:$B7092=$B7093, $A$2:$A7092+$C$2:$C7092)), "")*24*60, "")</f>
        <v/>
      </c>
      <c r="L7093" s="24" t="str" cm="1">
        <f t="array" ref="L7093">IFERROR(IF($B7093=L$1, ($A7093+$C7093) - MAX(IF($B$2:$B7092=$B7093, $A$2:$A7092+$C$2:$C7092)), "")*24*60, "")</f>
        <v/>
      </c>
      <c r="M7093" s="24" t="str" cm="1">
        <f t="array" ref="M7093">IFERROR(IF($B7093=M$1, ($A7093+$C7093) - MAX(IF($B$2:$B7092=$B7093, $A$2:$A7092+$C$2:$C7092)), "")*24*60, "")</f>
        <v/>
      </c>
      <c r="N7093" s="24" t="str" cm="1">
        <f t="array" ref="N7093">IFERROR(IF($B7093=N$1, ($A7093+$C7093) - MAX(IF($B$2:$B7092=$B7093, $A$2:$A7092+$C$2:$C7092)), "")*24*60, "")</f>
        <v/>
      </c>
      <c r="O7093" s="24" t="str" cm="1">
        <f t="array" ref="O7093">IFERROR(IF($B7093=O$1, ($A7093+$C7093) - MAX(IF($B$2:$B7092=$B7093, $A$2:$A7092+$C$2:$C7092)), "")*24*60, "")</f>
        <v/>
      </c>
      <c r="P7093" s="24" t="str" cm="1">
        <f t="array" ref="P7093">IFERROR(IF($B7093=P$1, ($A7093+$C7093) - MAX(IF($B$2:$B7092=$B7093, $A$2:$A7092+$C$2:$C7092)), "")*24*60, "")</f>
        <v/>
      </c>
      <c r="Q7093" s="24" t="str" cm="1">
        <f t="array" ref="Q7093">IFERROR(IF($B7093=Q$1, ($A7093+$C7093) - MAX(IF($B$2:$B7092=$B7093, $A$2:$A7092+$C$2:$C7092)), "")*24*60, "")</f>
        <v/>
      </c>
      <c r="R7093" s="24" t="str" cm="1">
        <f t="array" ref="R7093">IFERROR(IF($B7093=R$1, ($A7093+$C7093) - MAX(IF($B$2:$B7092=$B7093, $A$2:$A7092+$C$2:$C7092)), "")*24*60, "")</f>
        <v/>
      </c>
      <c r="S7093" s="24" t="str" cm="1">
        <f t="array" ref="S7093">IFERROR(IF($B7093=S$1, ($A7093+$C7093) - MAX(IF($B$2:$B7092=$B7093, $A$2:$A7092+$C$2:$C7092)), "")*24*60, "")</f>
        <v/>
      </c>
    </row>
    <row r="7094" spans="1:19" x14ac:dyDescent="0.2">
      <c r="A7094" s="12">
        <f t="shared" ref="A7094:C7094" si="1428">A7093</f>
        <v>46005</v>
      </c>
      <c r="B7094" s="5" t="str">
        <f t="shared" si="1428"/>
        <v>Northern Cardinal</v>
      </c>
      <c r="C7094" s="6">
        <f t="shared" si="1428"/>
        <v>0.35069444444444442</v>
      </c>
      <c r="D7094" s="5"/>
      <c r="E7094" s="5"/>
      <c r="F7094" s="5" t="s">
        <v>22</v>
      </c>
      <c r="G7094" s="15" t="s">
        <v>22</v>
      </c>
      <c r="H7094" s="24">
        <f t="shared" si="1398"/>
        <v>0</v>
      </c>
      <c r="I7094" s="24" cm="1">
        <f t="array" ref="I7094">IFERROR(IF($B7094=I$1, ($A7094+$C7094) - MAX(IF($B$2:$B7093=$B7094, $A$2:$A7093+$C$2:$C7093)), "")*24*60, "")</f>
        <v>0</v>
      </c>
      <c r="J7094" s="24" t="str" cm="1">
        <f t="array" ref="J7094">IFERROR(IF($B7094=J$1, ($A7094+$C7094) - MAX(IF($B$2:$B7093=$B7094, $A$2:$A7093+$C$2:$C7093)), "")*24*60, "")</f>
        <v/>
      </c>
      <c r="K7094" s="24" t="str" cm="1">
        <f t="array" ref="K7094">IFERROR(IF($B7094=K$1, ($A7094+$C7094) - MAX(IF($B$2:$B7093=$B7094, $A$2:$A7093+$C$2:$C7093)), "")*24*60, "")</f>
        <v/>
      </c>
      <c r="L7094" s="24" t="str" cm="1">
        <f t="array" ref="L7094">IFERROR(IF($B7094=L$1, ($A7094+$C7094) - MAX(IF($B$2:$B7093=$B7094, $A$2:$A7093+$C$2:$C7093)), "")*24*60, "")</f>
        <v/>
      </c>
      <c r="M7094" s="24" t="str" cm="1">
        <f t="array" ref="M7094">IFERROR(IF($B7094=M$1, ($A7094+$C7094) - MAX(IF($B$2:$B7093=$B7094, $A$2:$A7093+$C$2:$C7093)), "")*24*60, "")</f>
        <v/>
      </c>
      <c r="N7094" s="24" t="str" cm="1">
        <f t="array" ref="N7094">IFERROR(IF($B7094=N$1, ($A7094+$C7094) - MAX(IF($B$2:$B7093=$B7094, $A$2:$A7093+$C$2:$C7093)), "")*24*60, "")</f>
        <v/>
      </c>
      <c r="O7094" s="24" t="str" cm="1">
        <f t="array" ref="O7094">IFERROR(IF($B7094=O$1, ($A7094+$C7094) - MAX(IF($B$2:$B7093=$B7094, $A$2:$A7093+$C$2:$C7093)), "")*24*60, "")</f>
        <v/>
      </c>
      <c r="P7094" s="24" t="str" cm="1">
        <f t="array" ref="P7094">IFERROR(IF($B7094=P$1, ($A7094+$C7094) - MAX(IF($B$2:$B7093=$B7094, $A$2:$A7093+$C$2:$C7093)), "")*24*60, "")</f>
        <v/>
      </c>
      <c r="Q7094" s="24" t="str" cm="1">
        <f t="array" ref="Q7094">IFERROR(IF($B7094=Q$1, ($A7094+$C7094) - MAX(IF($B$2:$B7093=$B7094, $A$2:$A7093+$C$2:$C7093)), "")*24*60, "")</f>
        <v/>
      </c>
      <c r="R7094" s="24" t="str" cm="1">
        <f t="array" ref="R7094">IFERROR(IF($B7094=R$1, ($A7094+$C7094) - MAX(IF($B$2:$B7093=$B7094, $A$2:$A7093+$C$2:$C7093)), "")*24*60, "")</f>
        <v/>
      </c>
      <c r="S7094" s="24" t="str" cm="1">
        <f t="array" ref="S7094">IFERROR(IF($B7094=S$1, ($A7094+$C7094) - MAX(IF($B$2:$B7093=$B7094, $A$2:$A7093+$C$2:$C7093)), "")*24*60, "")</f>
        <v/>
      </c>
    </row>
    <row r="7095" spans="1:19" x14ac:dyDescent="0.2">
      <c r="A7095" s="12">
        <f t="shared" ref="A7095:C7095" si="1429">A7094</f>
        <v>46005</v>
      </c>
      <c r="B7095" s="5" t="str">
        <f t="shared" si="1429"/>
        <v>Northern Cardinal</v>
      </c>
      <c r="C7095" s="6">
        <f t="shared" si="1429"/>
        <v>0.35069444444444442</v>
      </c>
      <c r="D7095" s="5"/>
      <c r="E7095" s="5"/>
      <c r="F7095" s="5" t="s">
        <v>22</v>
      </c>
      <c r="G7095" s="15" t="s">
        <v>22</v>
      </c>
      <c r="H7095" s="24">
        <f t="shared" si="1398"/>
        <v>0</v>
      </c>
      <c r="I7095" s="24" cm="1">
        <f t="array" ref="I7095">IFERROR(IF($B7095=I$1, ($A7095+$C7095) - MAX(IF($B$2:$B7094=$B7095, $A$2:$A7094+$C$2:$C7094)), "")*24*60, "")</f>
        <v>0</v>
      </c>
      <c r="J7095" s="24" t="str" cm="1">
        <f t="array" ref="J7095">IFERROR(IF($B7095=J$1, ($A7095+$C7095) - MAX(IF($B$2:$B7094=$B7095, $A$2:$A7094+$C$2:$C7094)), "")*24*60, "")</f>
        <v/>
      </c>
      <c r="K7095" s="24" t="str" cm="1">
        <f t="array" ref="K7095">IFERROR(IF($B7095=K$1, ($A7095+$C7095) - MAX(IF($B$2:$B7094=$B7095, $A$2:$A7094+$C$2:$C7094)), "")*24*60, "")</f>
        <v/>
      </c>
      <c r="L7095" s="24" t="str" cm="1">
        <f t="array" ref="L7095">IFERROR(IF($B7095=L$1, ($A7095+$C7095) - MAX(IF($B$2:$B7094=$B7095, $A$2:$A7094+$C$2:$C7094)), "")*24*60, "")</f>
        <v/>
      </c>
      <c r="M7095" s="24" t="str" cm="1">
        <f t="array" ref="M7095">IFERROR(IF($B7095=M$1, ($A7095+$C7095) - MAX(IF($B$2:$B7094=$B7095, $A$2:$A7094+$C$2:$C7094)), "")*24*60, "")</f>
        <v/>
      </c>
      <c r="N7095" s="24" t="str" cm="1">
        <f t="array" ref="N7095">IFERROR(IF($B7095=N$1, ($A7095+$C7095) - MAX(IF($B$2:$B7094=$B7095, $A$2:$A7094+$C$2:$C7094)), "")*24*60, "")</f>
        <v/>
      </c>
      <c r="O7095" s="24" t="str" cm="1">
        <f t="array" ref="O7095">IFERROR(IF($B7095=O$1, ($A7095+$C7095) - MAX(IF($B$2:$B7094=$B7095, $A$2:$A7094+$C$2:$C7094)), "")*24*60, "")</f>
        <v/>
      </c>
      <c r="P7095" s="24" t="str" cm="1">
        <f t="array" ref="P7095">IFERROR(IF($B7095=P$1, ($A7095+$C7095) - MAX(IF($B$2:$B7094=$B7095, $A$2:$A7094+$C$2:$C7094)), "")*24*60, "")</f>
        <v/>
      </c>
      <c r="Q7095" s="24" t="str" cm="1">
        <f t="array" ref="Q7095">IFERROR(IF($B7095=Q$1, ($A7095+$C7095) - MAX(IF($B$2:$B7094=$B7095, $A$2:$A7094+$C$2:$C7094)), "")*24*60, "")</f>
        <v/>
      </c>
      <c r="R7095" s="24" t="str" cm="1">
        <f t="array" ref="R7095">IFERROR(IF($B7095=R$1, ($A7095+$C7095) - MAX(IF($B$2:$B7094=$B7095, $A$2:$A7094+$C$2:$C7094)), "")*24*60, "")</f>
        <v/>
      </c>
      <c r="S7095" s="24" t="str" cm="1">
        <f t="array" ref="S7095">IFERROR(IF($B7095=S$1, ($A7095+$C7095) - MAX(IF($B$2:$B7094=$B7095, $A$2:$A7094+$C$2:$C7094)), "")*24*60, "")</f>
        <v/>
      </c>
    </row>
    <row r="7096" spans="1:19" x14ac:dyDescent="0.2">
      <c r="A7096" s="12">
        <f t="shared" ref="A7096:C7096" si="1430">A7095</f>
        <v>46005</v>
      </c>
      <c r="B7096" s="5" t="str">
        <f t="shared" si="1430"/>
        <v>Northern Cardinal</v>
      </c>
      <c r="C7096" s="6">
        <f t="shared" si="1430"/>
        <v>0.35069444444444442</v>
      </c>
      <c r="D7096" s="5"/>
      <c r="E7096" s="5"/>
      <c r="F7096" s="5" t="s">
        <v>22</v>
      </c>
      <c r="G7096" s="15" t="s">
        <v>22</v>
      </c>
      <c r="H7096" s="24">
        <f t="shared" si="1398"/>
        <v>0</v>
      </c>
      <c r="I7096" s="24" cm="1">
        <f t="array" ref="I7096">IFERROR(IF($B7096=I$1, ($A7096+$C7096) - MAX(IF($B$2:$B7095=$B7096, $A$2:$A7095+$C$2:$C7095)), "")*24*60, "")</f>
        <v>0</v>
      </c>
      <c r="J7096" s="24" t="str" cm="1">
        <f t="array" ref="J7096">IFERROR(IF($B7096=J$1, ($A7096+$C7096) - MAX(IF($B$2:$B7095=$B7096, $A$2:$A7095+$C$2:$C7095)), "")*24*60, "")</f>
        <v/>
      </c>
      <c r="K7096" s="24" t="str" cm="1">
        <f t="array" ref="K7096">IFERROR(IF($B7096=K$1, ($A7096+$C7096) - MAX(IF($B$2:$B7095=$B7096, $A$2:$A7095+$C$2:$C7095)), "")*24*60, "")</f>
        <v/>
      </c>
      <c r="L7096" s="24" t="str" cm="1">
        <f t="array" ref="L7096">IFERROR(IF($B7096=L$1, ($A7096+$C7096) - MAX(IF($B$2:$B7095=$B7096, $A$2:$A7095+$C$2:$C7095)), "")*24*60, "")</f>
        <v/>
      </c>
      <c r="M7096" s="24" t="str" cm="1">
        <f t="array" ref="M7096">IFERROR(IF($B7096=M$1, ($A7096+$C7096) - MAX(IF($B$2:$B7095=$B7096, $A$2:$A7095+$C$2:$C7095)), "")*24*60, "")</f>
        <v/>
      </c>
      <c r="N7096" s="24" t="str" cm="1">
        <f t="array" ref="N7096">IFERROR(IF($B7096=N$1, ($A7096+$C7096) - MAX(IF($B$2:$B7095=$B7096, $A$2:$A7095+$C$2:$C7095)), "")*24*60, "")</f>
        <v/>
      </c>
      <c r="O7096" s="24" t="str" cm="1">
        <f t="array" ref="O7096">IFERROR(IF($B7096=O$1, ($A7096+$C7096) - MAX(IF($B$2:$B7095=$B7096, $A$2:$A7095+$C$2:$C7095)), "")*24*60, "")</f>
        <v/>
      </c>
      <c r="P7096" s="24" t="str" cm="1">
        <f t="array" ref="P7096">IFERROR(IF($B7096=P$1, ($A7096+$C7096) - MAX(IF($B$2:$B7095=$B7096, $A$2:$A7095+$C$2:$C7095)), "")*24*60, "")</f>
        <v/>
      </c>
      <c r="Q7096" s="24" t="str" cm="1">
        <f t="array" ref="Q7096">IFERROR(IF($B7096=Q$1, ($A7096+$C7096) - MAX(IF($B$2:$B7095=$B7096, $A$2:$A7095+$C$2:$C7095)), "")*24*60, "")</f>
        <v/>
      </c>
      <c r="R7096" s="24" t="str" cm="1">
        <f t="array" ref="R7096">IFERROR(IF($B7096=R$1, ($A7096+$C7096) - MAX(IF($B$2:$B7095=$B7096, $A$2:$A7095+$C$2:$C7095)), "")*24*60, "")</f>
        <v/>
      </c>
      <c r="S7096" s="24" t="str" cm="1">
        <f t="array" ref="S7096">IFERROR(IF($B7096=S$1, ($A7096+$C7096) - MAX(IF($B$2:$B7095=$B7096, $A$2:$A7095+$C$2:$C7095)), "")*24*60, "")</f>
        <v/>
      </c>
    </row>
    <row r="7097" spans="1:19" x14ac:dyDescent="0.2">
      <c r="A7097" s="12">
        <f t="shared" ref="A7097:C7097" si="1431">A7096</f>
        <v>46005</v>
      </c>
      <c r="B7097" s="5" t="str">
        <f t="shared" si="1431"/>
        <v>Northern Cardinal</v>
      </c>
      <c r="C7097" s="6">
        <f t="shared" si="1431"/>
        <v>0.35069444444444442</v>
      </c>
      <c r="D7097" s="5"/>
      <c r="E7097" s="5"/>
      <c r="F7097" s="5" t="s">
        <v>22</v>
      </c>
      <c r="G7097" s="15" t="s">
        <v>22</v>
      </c>
      <c r="H7097" s="24">
        <f t="shared" si="1398"/>
        <v>0</v>
      </c>
      <c r="I7097" s="24" cm="1">
        <f t="array" ref="I7097">IFERROR(IF($B7097=I$1, ($A7097+$C7097) - MAX(IF($B$2:$B7096=$B7097, $A$2:$A7096+$C$2:$C7096)), "")*24*60, "")</f>
        <v>0</v>
      </c>
      <c r="J7097" s="24" t="str" cm="1">
        <f t="array" ref="J7097">IFERROR(IF($B7097=J$1, ($A7097+$C7097) - MAX(IF($B$2:$B7096=$B7097, $A$2:$A7096+$C$2:$C7096)), "")*24*60, "")</f>
        <v/>
      </c>
      <c r="K7097" s="24" t="str" cm="1">
        <f t="array" ref="K7097">IFERROR(IF($B7097=K$1, ($A7097+$C7097) - MAX(IF($B$2:$B7096=$B7097, $A$2:$A7096+$C$2:$C7096)), "")*24*60, "")</f>
        <v/>
      </c>
      <c r="L7097" s="24" t="str" cm="1">
        <f t="array" ref="L7097">IFERROR(IF($B7097=L$1, ($A7097+$C7097) - MAX(IF($B$2:$B7096=$B7097, $A$2:$A7096+$C$2:$C7096)), "")*24*60, "")</f>
        <v/>
      </c>
      <c r="M7097" s="24" t="str" cm="1">
        <f t="array" ref="M7097">IFERROR(IF($B7097=M$1, ($A7097+$C7097) - MAX(IF($B$2:$B7096=$B7097, $A$2:$A7096+$C$2:$C7096)), "")*24*60, "")</f>
        <v/>
      </c>
      <c r="N7097" s="24" t="str" cm="1">
        <f t="array" ref="N7097">IFERROR(IF($B7097=N$1, ($A7097+$C7097) - MAX(IF($B$2:$B7096=$B7097, $A$2:$A7096+$C$2:$C7096)), "")*24*60, "")</f>
        <v/>
      </c>
      <c r="O7097" s="24" t="str" cm="1">
        <f t="array" ref="O7097">IFERROR(IF($B7097=O$1, ($A7097+$C7097) - MAX(IF($B$2:$B7096=$B7097, $A$2:$A7096+$C$2:$C7096)), "")*24*60, "")</f>
        <v/>
      </c>
      <c r="P7097" s="24" t="str" cm="1">
        <f t="array" ref="P7097">IFERROR(IF($B7097=P$1, ($A7097+$C7097) - MAX(IF($B$2:$B7096=$B7097, $A$2:$A7096+$C$2:$C7096)), "")*24*60, "")</f>
        <v/>
      </c>
      <c r="Q7097" s="24" t="str" cm="1">
        <f t="array" ref="Q7097">IFERROR(IF($B7097=Q$1, ($A7097+$C7097) - MAX(IF($B$2:$B7096=$B7097, $A$2:$A7096+$C$2:$C7096)), "")*24*60, "")</f>
        <v/>
      </c>
      <c r="R7097" s="24" t="str" cm="1">
        <f t="array" ref="R7097">IFERROR(IF($B7097=R$1, ($A7097+$C7097) - MAX(IF($B$2:$B7096=$B7097, $A$2:$A7096+$C$2:$C7096)), "")*24*60, "")</f>
        <v/>
      </c>
      <c r="S7097" s="24" t="str" cm="1">
        <f t="array" ref="S7097">IFERROR(IF($B7097=S$1, ($A7097+$C7097) - MAX(IF($B$2:$B7096=$B7097, $A$2:$A7096+$C$2:$C7096)), "")*24*60, "")</f>
        <v/>
      </c>
    </row>
    <row r="7098" spans="1:19" x14ac:dyDescent="0.2">
      <c r="A7098" s="12">
        <f t="shared" ref="A7098:C7098" si="1432">A7097</f>
        <v>46005</v>
      </c>
      <c r="B7098" s="5" t="str">
        <f t="shared" si="1432"/>
        <v>Northern Cardinal</v>
      </c>
      <c r="C7098" s="6">
        <f t="shared" si="1432"/>
        <v>0.35069444444444442</v>
      </c>
      <c r="D7098" s="5"/>
      <c r="E7098" s="5"/>
      <c r="F7098" s="5" t="s">
        <v>22</v>
      </c>
      <c r="G7098" s="15" t="s">
        <v>22</v>
      </c>
      <c r="H7098" s="24">
        <f t="shared" si="1398"/>
        <v>0</v>
      </c>
      <c r="I7098" s="24" cm="1">
        <f t="array" ref="I7098">IFERROR(IF($B7098=I$1, ($A7098+$C7098) - MAX(IF($B$2:$B7097=$B7098, $A$2:$A7097+$C$2:$C7097)), "")*24*60, "")</f>
        <v>0</v>
      </c>
      <c r="J7098" s="24" t="str" cm="1">
        <f t="array" ref="J7098">IFERROR(IF($B7098=J$1, ($A7098+$C7098) - MAX(IF($B$2:$B7097=$B7098, $A$2:$A7097+$C$2:$C7097)), "")*24*60, "")</f>
        <v/>
      </c>
      <c r="K7098" s="24" t="str" cm="1">
        <f t="array" ref="K7098">IFERROR(IF($B7098=K$1, ($A7098+$C7098) - MAX(IF($B$2:$B7097=$B7098, $A$2:$A7097+$C$2:$C7097)), "")*24*60, "")</f>
        <v/>
      </c>
      <c r="L7098" s="24" t="str" cm="1">
        <f t="array" ref="L7098">IFERROR(IF($B7098=L$1, ($A7098+$C7098) - MAX(IF($B$2:$B7097=$B7098, $A$2:$A7097+$C$2:$C7097)), "")*24*60, "")</f>
        <v/>
      </c>
      <c r="M7098" s="24" t="str" cm="1">
        <f t="array" ref="M7098">IFERROR(IF($B7098=M$1, ($A7098+$C7098) - MAX(IF($B$2:$B7097=$B7098, $A$2:$A7097+$C$2:$C7097)), "")*24*60, "")</f>
        <v/>
      </c>
      <c r="N7098" s="24" t="str" cm="1">
        <f t="array" ref="N7098">IFERROR(IF($B7098=N$1, ($A7098+$C7098) - MAX(IF($B$2:$B7097=$B7098, $A$2:$A7097+$C$2:$C7097)), "")*24*60, "")</f>
        <v/>
      </c>
      <c r="O7098" s="24" t="str" cm="1">
        <f t="array" ref="O7098">IFERROR(IF($B7098=O$1, ($A7098+$C7098) - MAX(IF($B$2:$B7097=$B7098, $A$2:$A7097+$C$2:$C7097)), "")*24*60, "")</f>
        <v/>
      </c>
      <c r="P7098" s="24" t="str" cm="1">
        <f t="array" ref="P7098">IFERROR(IF($B7098=P$1, ($A7098+$C7098) - MAX(IF($B$2:$B7097=$B7098, $A$2:$A7097+$C$2:$C7097)), "")*24*60, "")</f>
        <v/>
      </c>
      <c r="Q7098" s="24" t="str" cm="1">
        <f t="array" ref="Q7098">IFERROR(IF($B7098=Q$1, ($A7098+$C7098) - MAX(IF($B$2:$B7097=$B7098, $A$2:$A7097+$C$2:$C7097)), "")*24*60, "")</f>
        <v/>
      </c>
      <c r="R7098" s="24" t="str" cm="1">
        <f t="array" ref="R7098">IFERROR(IF($B7098=R$1, ($A7098+$C7098) - MAX(IF($B$2:$B7097=$B7098, $A$2:$A7097+$C$2:$C7097)), "")*24*60, "")</f>
        <v/>
      </c>
      <c r="S7098" s="24" t="str" cm="1">
        <f t="array" ref="S7098">IFERROR(IF($B7098=S$1, ($A7098+$C7098) - MAX(IF($B$2:$B7097=$B7098, $A$2:$A7097+$C$2:$C7097)), "")*24*60, "")</f>
        <v/>
      </c>
    </row>
    <row r="7099" spans="1:19" x14ac:dyDescent="0.2">
      <c r="A7099" s="12">
        <f t="shared" ref="A7099:C7099" si="1433">A7098</f>
        <v>46005</v>
      </c>
      <c r="B7099" s="5" t="str">
        <f t="shared" si="1433"/>
        <v>Northern Cardinal</v>
      </c>
      <c r="C7099" s="6">
        <f t="shared" si="1433"/>
        <v>0.35069444444444442</v>
      </c>
      <c r="D7099" s="5"/>
      <c r="E7099" s="5"/>
      <c r="F7099" s="5" t="s">
        <v>22</v>
      </c>
      <c r="G7099" s="15" t="s">
        <v>22</v>
      </c>
      <c r="H7099" s="24">
        <f t="shared" si="1398"/>
        <v>0</v>
      </c>
      <c r="I7099" s="24" cm="1">
        <f t="array" ref="I7099">IFERROR(IF($B7099=I$1, ($A7099+$C7099) - MAX(IF($B$2:$B7098=$B7099, $A$2:$A7098+$C$2:$C7098)), "")*24*60, "")</f>
        <v>0</v>
      </c>
      <c r="J7099" s="24" t="str" cm="1">
        <f t="array" ref="J7099">IFERROR(IF($B7099=J$1, ($A7099+$C7099) - MAX(IF($B$2:$B7098=$B7099, $A$2:$A7098+$C$2:$C7098)), "")*24*60, "")</f>
        <v/>
      </c>
      <c r="K7099" s="24" t="str" cm="1">
        <f t="array" ref="K7099">IFERROR(IF($B7099=K$1, ($A7099+$C7099) - MAX(IF($B$2:$B7098=$B7099, $A$2:$A7098+$C$2:$C7098)), "")*24*60, "")</f>
        <v/>
      </c>
      <c r="L7099" s="24" t="str" cm="1">
        <f t="array" ref="L7099">IFERROR(IF($B7099=L$1, ($A7099+$C7099) - MAX(IF($B$2:$B7098=$B7099, $A$2:$A7098+$C$2:$C7098)), "")*24*60, "")</f>
        <v/>
      </c>
      <c r="M7099" s="24" t="str" cm="1">
        <f t="array" ref="M7099">IFERROR(IF($B7099=M$1, ($A7099+$C7099) - MAX(IF($B$2:$B7098=$B7099, $A$2:$A7098+$C$2:$C7098)), "")*24*60, "")</f>
        <v/>
      </c>
      <c r="N7099" s="24" t="str" cm="1">
        <f t="array" ref="N7099">IFERROR(IF($B7099=N$1, ($A7099+$C7099) - MAX(IF($B$2:$B7098=$B7099, $A$2:$A7098+$C$2:$C7098)), "")*24*60, "")</f>
        <v/>
      </c>
      <c r="O7099" s="24" t="str" cm="1">
        <f t="array" ref="O7099">IFERROR(IF($B7099=O$1, ($A7099+$C7099) - MAX(IF($B$2:$B7098=$B7099, $A$2:$A7098+$C$2:$C7098)), "")*24*60, "")</f>
        <v/>
      </c>
      <c r="P7099" s="24" t="str" cm="1">
        <f t="array" ref="P7099">IFERROR(IF($B7099=P$1, ($A7099+$C7099) - MAX(IF($B$2:$B7098=$B7099, $A$2:$A7098+$C$2:$C7098)), "")*24*60, "")</f>
        <v/>
      </c>
      <c r="Q7099" s="24" t="str" cm="1">
        <f t="array" ref="Q7099">IFERROR(IF($B7099=Q$1, ($A7099+$C7099) - MAX(IF($B$2:$B7098=$B7099, $A$2:$A7098+$C$2:$C7098)), "")*24*60, "")</f>
        <v/>
      </c>
      <c r="R7099" s="24" t="str" cm="1">
        <f t="array" ref="R7099">IFERROR(IF($B7099=R$1, ($A7099+$C7099) - MAX(IF($B$2:$B7098=$B7099, $A$2:$A7098+$C$2:$C7098)), "")*24*60, "")</f>
        <v/>
      </c>
      <c r="S7099" s="24" t="str" cm="1">
        <f t="array" ref="S7099">IFERROR(IF($B7099=S$1, ($A7099+$C7099) - MAX(IF($B$2:$B7098=$B7099, $A$2:$A7098+$C$2:$C7098)), "")*24*60, "")</f>
        <v/>
      </c>
    </row>
    <row r="7100" spans="1:19" x14ac:dyDescent="0.2">
      <c r="A7100" s="12">
        <f t="shared" ref="A7100:C7100" si="1434">A7099</f>
        <v>46005</v>
      </c>
      <c r="B7100" s="5" t="str">
        <f t="shared" si="1434"/>
        <v>Northern Cardinal</v>
      </c>
      <c r="C7100" s="6">
        <f t="shared" si="1434"/>
        <v>0.35069444444444442</v>
      </c>
      <c r="D7100" s="5"/>
      <c r="E7100" s="5"/>
      <c r="F7100" s="5" t="s">
        <v>22</v>
      </c>
      <c r="G7100" s="15" t="s">
        <v>22</v>
      </c>
      <c r="H7100" s="24">
        <f t="shared" si="1398"/>
        <v>0</v>
      </c>
      <c r="I7100" s="24" cm="1">
        <f t="array" ref="I7100">IFERROR(IF($B7100=I$1, ($A7100+$C7100) - MAX(IF($B$2:$B7099=$B7100, $A$2:$A7099+$C$2:$C7099)), "")*24*60, "")</f>
        <v>0</v>
      </c>
      <c r="J7100" s="24" t="str" cm="1">
        <f t="array" ref="J7100">IFERROR(IF($B7100=J$1, ($A7100+$C7100) - MAX(IF($B$2:$B7099=$B7100, $A$2:$A7099+$C$2:$C7099)), "")*24*60, "")</f>
        <v/>
      </c>
      <c r="K7100" s="24" t="str" cm="1">
        <f t="array" ref="K7100">IFERROR(IF($B7100=K$1, ($A7100+$C7100) - MAX(IF($B$2:$B7099=$B7100, $A$2:$A7099+$C$2:$C7099)), "")*24*60, "")</f>
        <v/>
      </c>
      <c r="L7100" s="24" t="str" cm="1">
        <f t="array" ref="L7100">IFERROR(IF($B7100=L$1, ($A7100+$C7100) - MAX(IF($B$2:$B7099=$B7100, $A$2:$A7099+$C$2:$C7099)), "")*24*60, "")</f>
        <v/>
      </c>
      <c r="M7100" s="24" t="str" cm="1">
        <f t="array" ref="M7100">IFERROR(IF($B7100=M$1, ($A7100+$C7100) - MAX(IF($B$2:$B7099=$B7100, $A$2:$A7099+$C$2:$C7099)), "")*24*60, "")</f>
        <v/>
      </c>
      <c r="N7100" s="24" t="str" cm="1">
        <f t="array" ref="N7100">IFERROR(IF($B7100=N$1, ($A7100+$C7100) - MAX(IF($B$2:$B7099=$B7100, $A$2:$A7099+$C$2:$C7099)), "")*24*60, "")</f>
        <v/>
      </c>
      <c r="O7100" s="24" t="str" cm="1">
        <f t="array" ref="O7100">IFERROR(IF($B7100=O$1, ($A7100+$C7100) - MAX(IF($B$2:$B7099=$B7100, $A$2:$A7099+$C$2:$C7099)), "")*24*60, "")</f>
        <v/>
      </c>
      <c r="P7100" s="24" t="str" cm="1">
        <f t="array" ref="P7100">IFERROR(IF($B7100=P$1, ($A7100+$C7100) - MAX(IF($B$2:$B7099=$B7100, $A$2:$A7099+$C$2:$C7099)), "")*24*60, "")</f>
        <v/>
      </c>
      <c r="Q7100" s="24" t="str" cm="1">
        <f t="array" ref="Q7100">IFERROR(IF($B7100=Q$1, ($A7100+$C7100) - MAX(IF($B$2:$B7099=$B7100, $A$2:$A7099+$C$2:$C7099)), "")*24*60, "")</f>
        <v/>
      </c>
      <c r="R7100" s="24" t="str" cm="1">
        <f t="array" ref="R7100">IFERROR(IF($B7100=R$1, ($A7100+$C7100) - MAX(IF($B$2:$B7099=$B7100, $A$2:$A7099+$C$2:$C7099)), "")*24*60, "")</f>
        <v/>
      </c>
      <c r="S7100" s="24" t="str" cm="1">
        <f t="array" ref="S7100">IFERROR(IF($B7100=S$1, ($A7100+$C7100) - MAX(IF($B$2:$B7099=$B7100, $A$2:$A7099+$C$2:$C7099)), "")*24*60, "")</f>
        <v/>
      </c>
    </row>
    <row r="7101" spans="1:19" x14ac:dyDescent="0.2">
      <c r="A7101" s="12">
        <f t="shared" ref="A7101:C7101" si="1435">A7100</f>
        <v>46005</v>
      </c>
      <c r="B7101" s="5" t="str">
        <f t="shared" si="1435"/>
        <v>Northern Cardinal</v>
      </c>
      <c r="C7101" s="6">
        <f t="shared" si="1435"/>
        <v>0.35069444444444442</v>
      </c>
      <c r="D7101" s="5"/>
      <c r="E7101" s="5"/>
      <c r="F7101" s="5" t="s">
        <v>22</v>
      </c>
      <c r="G7101" s="15" t="s">
        <v>22</v>
      </c>
      <c r="H7101" s="24">
        <f t="shared" si="1398"/>
        <v>0</v>
      </c>
      <c r="I7101" s="24" cm="1">
        <f t="array" ref="I7101">IFERROR(IF($B7101=I$1, ($A7101+$C7101) - MAX(IF($B$2:$B7100=$B7101, $A$2:$A7100+$C$2:$C7100)), "")*24*60, "")</f>
        <v>0</v>
      </c>
      <c r="J7101" s="24" t="str" cm="1">
        <f t="array" ref="J7101">IFERROR(IF($B7101=J$1, ($A7101+$C7101) - MAX(IF($B$2:$B7100=$B7101, $A$2:$A7100+$C$2:$C7100)), "")*24*60, "")</f>
        <v/>
      </c>
      <c r="K7101" s="24" t="str" cm="1">
        <f t="array" ref="K7101">IFERROR(IF($B7101=K$1, ($A7101+$C7101) - MAX(IF($B$2:$B7100=$B7101, $A$2:$A7100+$C$2:$C7100)), "")*24*60, "")</f>
        <v/>
      </c>
      <c r="L7101" s="24" t="str" cm="1">
        <f t="array" ref="L7101">IFERROR(IF($B7101=L$1, ($A7101+$C7101) - MAX(IF($B$2:$B7100=$B7101, $A$2:$A7100+$C$2:$C7100)), "")*24*60, "")</f>
        <v/>
      </c>
      <c r="M7101" s="24" t="str" cm="1">
        <f t="array" ref="M7101">IFERROR(IF($B7101=M$1, ($A7101+$C7101) - MAX(IF($B$2:$B7100=$B7101, $A$2:$A7100+$C$2:$C7100)), "")*24*60, "")</f>
        <v/>
      </c>
      <c r="N7101" s="24" t="str" cm="1">
        <f t="array" ref="N7101">IFERROR(IF($B7101=N$1, ($A7101+$C7101) - MAX(IF($B$2:$B7100=$B7101, $A$2:$A7100+$C$2:$C7100)), "")*24*60, "")</f>
        <v/>
      </c>
      <c r="O7101" s="24" t="str" cm="1">
        <f t="array" ref="O7101">IFERROR(IF($B7101=O$1, ($A7101+$C7101) - MAX(IF($B$2:$B7100=$B7101, $A$2:$A7100+$C$2:$C7100)), "")*24*60, "")</f>
        <v/>
      </c>
      <c r="P7101" s="24" t="str" cm="1">
        <f t="array" ref="P7101">IFERROR(IF($B7101=P$1, ($A7101+$C7101) - MAX(IF($B$2:$B7100=$B7101, $A$2:$A7100+$C$2:$C7100)), "")*24*60, "")</f>
        <v/>
      </c>
      <c r="Q7101" s="24" t="str" cm="1">
        <f t="array" ref="Q7101">IFERROR(IF($B7101=Q$1, ($A7101+$C7101) - MAX(IF($B$2:$B7100=$B7101, $A$2:$A7100+$C$2:$C7100)), "")*24*60, "")</f>
        <v/>
      </c>
      <c r="R7101" s="24" t="str" cm="1">
        <f t="array" ref="R7101">IFERROR(IF($B7101=R$1, ($A7101+$C7101) - MAX(IF($B$2:$B7100=$B7101, $A$2:$A7100+$C$2:$C7100)), "")*24*60, "")</f>
        <v/>
      </c>
      <c r="S7101" s="24" t="str" cm="1">
        <f t="array" ref="S7101">IFERROR(IF($B7101=S$1, ($A7101+$C7101) - MAX(IF($B$2:$B7100=$B7101, $A$2:$A7100+$C$2:$C7100)), "")*24*60, "")</f>
        <v/>
      </c>
    </row>
    <row r="7102" spans="1:19" x14ac:dyDescent="0.2">
      <c r="A7102" s="12">
        <f t="shared" ref="A7102:C7102" si="1436">A7101</f>
        <v>46005</v>
      </c>
      <c r="B7102" s="5" t="str">
        <f t="shared" si="1436"/>
        <v>Northern Cardinal</v>
      </c>
      <c r="C7102" s="6">
        <f t="shared" si="1436"/>
        <v>0.35069444444444442</v>
      </c>
      <c r="D7102" s="5"/>
      <c r="E7102" s="5"/>
      <c r="F7102" s="5" t="s">
        <v>22</v>
      </c>
      <c r="G7102" s="15" t="s">
        <v>22</v>
      </c>
      <c r="H7102" s="24">
        <f t="shared" si="1398"/>
        <v>0</v>
      </c>
      <c r="I7102" s="24" cm="1">
        <f t="array" ref="I7102">IFERROR(IF($B7102=I$1, ($A7102+$C7102) - MAX(IF($B$2:$B7101=$B7102, $A$2:$A7101+$C$2:$C7101)), "")*24*60, "")</f>
        <v>0</v>
      </c>
      <c r="J7102" s="24" t="str" cm="1">
        <f t="array" ref="J7102">IFERROR(IF($B7102=J$1, ($A7102+$C7102) - MAX(IF($B$2:$B7101=$B7102, $A$2:$A7101+$C$2:$C7101)), "")*24*60, "")</f>
        <v/>
      </c>
      <c r="K7102" s="24" t="str" cm="1">
        <f t="array" ref="K7102">IFERROR(IF($B7102=K$1, ($A7102+$C7102) - MAX(IF($B$2:$B7101=$B7102, $A$2:$A7101+$C$2:$C7101)), "")*24*60, "")</f>
        <v/>
      </c>
      <c r="L7102" s="24" t="str" cm="1">
        <f t="array" ref="L7102">IFERROR(IF($B7102=L$1, ($A7102+$C7102) - MAX(IF($B$2:$B7101=$B7102, $A$2:$A7101+$C$2:$C7101)), "")*24*60, "")</f>
        <v/>
      </c>
      <c r="M7102" s="24" t="str" cm="1">
        <f t="array" ref="M7102">IFERROR(IF($B7102=M$1, ($A7102+$C7102) - MAX(IF($B$2:$B7101=$B7102, $A$2:$A7101+$C$2:$C7101)), "")*24*60, "")</f>
        <v/>
      </c>
      <c r="N7102" s="24" t="str" cm="1">
        <f t="array" ref="N7102">IFERROR(IF($B7102=N$1, ($A7102+$C7102) - MAX(IF($B$2:$B7101=$B7102, $A$2:$A7101+$C$2:$C7101)), "")*24*60, "")</f>
        <v/>
      </c>
      <c r="O7102" s="24" t="str" cm="1">
        <f t="array" ref="O7102">IFERROR(IF($B7102=O$1, ($A7102+$C7102) - MAX(IF($B$2:$B7101=$B7102, $A$2:$A7101+$C$2:$C7101)), "")*24*60, "")</f>
        <v/>
      </c>
      <c r="P7102" s="24" t="str" cm="1">
        <f t="array" ref="P7102">IFERROR(IF($B7102=P$1, ($A7102+$C7102) - MAX(IF($B$2:$B7101=$B7102, $A$2:$A7101+$C$2:$C7101)), "")*24*60, "")</f>
        <v/>
      </c>
      <c r="Q7102" s="24" t="str" cm="1">
        <f t="array" ref="Q7102">IFERROR(IF($B7102=Q$1, ($A7102+$C7102) - MAX(IF($B$2:$B7101=$B7102, $A$2:$A7101+$C$2:$C7101)), "")*24*60, "")</f>
        <v/>
      </c>
      <c r="R7102" s="24" t="str" cm="1">
        <f t="array" ref="R7102">IFERROR(IF($B7102=R$1, ($A7102+$C7102) - MAX(IF($B$2:$B7101=$B7102, $A$2:$A7101+$C$2:$C7101)), "")*24*60, "")</f>
        <v/>
      </c>
      <c r="S7102" s="24" t="str" cm="1">
        <f t="array" ref="S7102">IFERROR(IF($B7102=S$1, ($A7102+$C7102) - MAX(IF($B$2:$B7101=$B7102, $A$2:$A7101+$C$2:$C7101)), "")*24*60, "")</f>
        <v/>
      </c>
    </row>
    <row r="7103" spans="1:19" x14ac:dyDescent="0.2">
      <c r="A7103" s="12">
        <f t="shared" ref="A7103:C7103" si="1437">A7102</f>
        <v>46005</v>
      </c>
      <c r="B7103" s="5" t="str">
        <f t="shared" si="1437"/>
        <v>Northern Cardinal</v>
      </c>
      <c r="C7103" s="6">
        <f t="shared" si="1437"/>
        <v>0.35069444444444442</v>
      </c>
      <c r="D7103" s="5"/>
      <c r="E7103" s="5"/>
      <c r="F7103" s="5" t="s">
        <v>22</v>
      </c>
      <c r="G7103" s="15" t="s">
        <v>22</v>
      </c>
      <c r="H7103" s="24">
        <f t="shared" si="1398"/>
        <v>0</v>
      </c>
      <c r="I7103" s="24" cm="1">
        <f t="array" ref="I7103">IFERROR(IF($B7103=I$1, ($A7103+$C7103) - MAX(IF($B$2:$B7102=$B7103, $A$2:$A7102+$C$2:$C7102)), "")*24*60, "")</f>
        <v>0</v>
      </c>
      <c r="J7103" s="24" t="str" cm="1">
        <f t="array" ref="J7103">IFERROR(IF($B7103=J$1, ($A7103+$C7103) - MAX(IF($B$2:$B7102=$B7103, $A$2:$A7102+$C$2:$C7102)), "")*24*60, "")</f>
        <v/>
      </c>
      <c r="K7103" s="24" t="str" cm="1">
        <f t="array" ref="K7103">IFERROR(IF($B7103=K$1, ($A7103+$C7103) - MAX(IF($B$2:$B7102=$B7103, $A$2:$A7102+$C$2:$C7102)), "")*24*60, "")</f>
        <v/>
      </c>
      <c r="L7103" s="24" t="str" cm="1">
        <f t="array" ref="L7103">IFERROR(IF($B7103=L$1, ($A7103+$C7103) - MAX(IF($B$2:$B7102=$B7103, $A$2:$A7102+$C$2:$C7102)), "")*24*60, "")</f>
        <v/>
      </c>
      <c r="M7103" s="24" t="str" cm="1">
        <f t="array" ref="M7103">IFERROR(IF($B7103=M$1, ($A7103+$C7103) - MAX(IF($B$2:$B7102=$B7103, $A$2:$A7102+$C$2:$C7102)), "")*24*60, "")</f>
        <v/>
      </c>
      <c r="N7103" s="24" t="str" cm="1">
        <f t="array" ref="N7103">IFERROR(IF($B7103=N$1, ($A7103+$C7103) - MAX(IF($B$2:$B7102=$B7103, $A$2:$A7102+$C$2:$C7102)), "")*24*60, "")</f>
        <v/>
      </c>
      <c r="O7103" s="24" t="str" cm="1">
        <f t="array" ref="O7103">IFERROR(IF($B7103=O$1, ($A7103+$C7103) - MAX(IF($B$2:$B7102=$B7103, $A$2:$A7102+$C$2:$C7102)), "")*24*60, "")</f>
        <v/>
      </c>
      <c r="P7103" s="24" t="str" cm="1">
        <f t="array" ref="P7103">IFERROR(IF($B7103=P$1, ($A7103+$C7103) - MAX(IF($B$2:$B7102=$B7103, $A$2:$A7102+$C$2:$C7102)), "")*24*60, "")</f>
        <v/>
      </c>
      <c r="Q7103" s="24" t="str" cm="1">
        <f t="array" ref="Q7103">IFERROR(IF($B7103=Q$1, ($A7103+$C7103) - MAX(IF($B$2:$B7102=$B7103, $A$2:$A7102+$C$2:$C7102)), "")*24*60, "")</f>
        <v/>
      </c>
      <c r="R7103" s="24" t="str" cm="1">
        <f t="array" ref="R7103">IFERROR(IF($B7103=R$1, ($A7103+$C7103) - MAX(IF($B$2:$B7102=$B7103, $A$2:$A7102+$C$2:$C7102)), "")*24*60, "")</f>
        <v/>
      </c>
      <c r="S7103" s="24" t="str" cm="1">
        <f t="array" ref="S7103">IFERROR(IF($B7103=S$1, ($A7103+$C7103) - MAX(IF($B$2:$B7102=$B7103, $A$2:$A7102+$C$2:$C7102)), "")*24*60, "")</f>
        <v/>
      </c>
    </row>
    <row r="7104" spans="1:19" x14ac:dyDescent="0.2">
      <c r="A7104" s="12">
        <f t="shared" ref="A7104:C7104" si="1438">A7103</f>
        <v>46005</v>
      </c>
      <c r="B7104" s="5" t="str">
        <f t="shared" si="1438"/>
        <v>Northern Cardinal</v>
      </c>
      <c r="C7104" s="6">
        <f t="shared" si="1438"/>
        <v>0.35069444444444442</v>
      </c>
      <c r="D7104" s="5"/>
      <c r="E7104" s="5"/>
      <c r="F7104" s="5" t="s">
        <v>22</v>
      </c>
      <c r="G7104" s="15" t="s">
        <v>22</v>
      </c>
      <c r="H7104" s="24">
        <f t="shared" si="1398"/>
        <v>0</v>
      </c>
      <c r="I7104" s="24" cm="1">
        <f t="array" ref="I7104">IFERROR(IF($B7104=I$1, ($A7104+$C7104) - MAX(IF($B$2:$B7103=$B7104, $A$2:$A7103+$C$2:$C7103)), "")*24*60, "")</f>
        <v>0</v>
      </c>
      <c r="J7104" s="24" t="str" cm="1">
        <f t="array" ref="J7104">IFERROR(IF($B7104=J$1, ($A7104+$C7104) - MAX(IF($B$2:$B7103=$B7104, $A$2:$A7103+$C$2:$C7103)), "")*24*60, "")</f>
        <v/>
      </c>
      <c r="K7104" s="24" t="str" cm="1">
        <f t="array" ref="K7104">IFERROR(IF($B7104=K$1, ($A7104+$C7104) - MAX(IF($B$2:$B7103=$B7104, $A$2:$A7103+$C$2:$C7103)), "")*24*60, "")</f>
        <v/>
      </c>
      <c r="L7104" s="24" t="str" cm="1">
        <f t="array" ref="L7104">IFERROR(IF($B7104=L$1, ($A7104+$C7104) - MAX(IF($B$2:$B7103=$B7104, $A$2:$A7103+$C$2:$C7103)), "")*24*60, "")</f>
        <v/>
      </c>
      <c r="M7104" s="24" t="str" cm="1">
        <f t="array" ref="M7104">IFERROR(IF($B7104=M$1, ($A7104+$C7104) - MAX(IF($B$2:$B7103=$B7104, $A$2:$A7103+$C$2:$C7103)), "")*24*60, "")</f>
        <v/>
      </c>
      <c r="N7104" s="24" t="str" cm="1">
        <f t="array" ref="N7104">IFERROR(IF($B7104=N$1, ($A7104+$C7104) - MAX(IF($B$2:$B7103=$B7104, $A$2:$A7103+$C$2:$C7103)), "")*24*60, "")</f>
        <v/>
      </c>
      <c r="O7104" s="24" t="str" cm="1">
        <f t="array" ref="O7104">IFERROR(IF($B7104=O$1, ($A7104+$C7104) - MAX(IF($B$2:$B7103=$B7104, $A$2:$A7103+$C$2:$C7103)), "")*24*60, "")</f>
        <v/>
      </c>
      <c r="P7104" s="24" t="str" cm="1">
        <f t="array" ref="P7104">IFERROR(IF($B7104=P$1, ($A7104+$C7104) - MAX(IF($B$2:$B7103=$B7104, $A$2:$A7103+$C$2:$C7103)), "")*24*60, "")</f>
        <v/>
      </c>
      <c r="Q7104" s="24" t="str" cm="1">
        <f t="array" ref="Q7104">IFERROR(IF($B7104=Q$1, ($A7104+$C7104) - MAX(IF($B$2:$B7103=$B7104, $A$2:$A7103+$C$2:$C7103)), "")*24*60, "")</f>
        <v/>
      </c>
      <c r="R7104" s="24" t="str" cm="1">
        <f t="array" ref="R7104">IFERROR(IF($B7104=R$1, ($A7104+$C7104) - MAX(IF($B$2:$B7103=$B7104, $A$2:$A7103+$C$2:$C7103)), "")*24*60, "")</f>
        <v/>
      </c>
      <c r="S7104" s="24" t="str" cm="1">
        <f t="array" ref="S7104">IFERROR(IF($B7104=S$1, ($A7104+$C7104) - MAX(IF($B$2:$B7103=$B7104, $A$2:$A7103+$C$2:$C7103)), "")*24*60, "")</f>
        <v/>
      </c>
    </row>
    <row r="7105" spans="1:19" x14ac:dyDescent="0.2">
      <c r="A7105" s="12">
        <f t="shared" ref="A7105:C7105" si="1439">A7104</f>
        <v>46005</v>
      </c>
      <c r="B7105" s="5" t="str">
        <f t="shared" si="1439"/>
        <v>Northern Cardinal</v>
      </c>
      <c r="C7105" s="6">
        <f t="shared" si="1439"/>
        <v>0.35069444444444442</v>
      </c>
      <c r="D7105" s="5"/>
      <c r="E7105" s="5"/>
      <c r="F7105" s="5" t="s">
        <v>22</v>
      </c>
      <c r="G7105" s="15" t="s">
        <v>22</v>
      </c>
      <c r="H7105" s="24">
        <f t="shared" si="1398"/>
        <v>0</v>
      </c>
      <c r="I7105" s="24" cm="1">
        <f t="array" ref="I7105">IFERROR(IF($B7105=I$1, ($A7105+$C7105) - MAX(IF($B$2:$B7104=$B7105, $A$2:$A7104+$C$2:$C7104)), "")*24*60, "")</f>
        <v>0</v>
      </c>
      <c r="J7105" s="24" t="str" cm="1">
        <f t="array" ref="J7105">IFERROR(IF($B7105=J$1, ($A7105+$C7105) - MAX(IF($B$2:$B7104=$B7105, $A$2:$A7104+$C$2:$C7104)), "")*24*60, "")</f>
        <v/>
      </c>
      <c r="K7105" s="24" t="str" cm="1">
        <f t="array" ref="K7105">IFERROR(IF($B7105=K$1, ($A7105+$C7105) - MAX(IF($B$2:$B7104=$B7105, $A$2:$A7104+$C$2:$C7104)), "")*24*60, "")</f>
        <v/>
      </c>
      <c r="L7105" s="24" t="str" cm="1">
        <f t="array" ref="L7105">IFERROR(IF($B7105=L$1, ($A7105+$C7105) - MAX(IF($B$2:$B7104=$B7105, $A$2:$A7104+$C$2:$C7104)), "")*24*60, "")</f>
        <v/>
      </c>
      <c r="M7105" s="24" t="str" cm="1">
        <f t="array" ref="M7105">IFERROR(IF($B7105=M$1, ($A7105+$C7105) - MAX(IF($B$2:$B7104=$B7105, $A$2:$A7104+$C$2:$C7104)), "")*24*60, "")</f>
        <v/>
      </c>
      <c r="N7105" s="24" t="str" cm="1">
        <f t="array" ref="N7105">IFERROR(IF($B7105=N$1, ($A7105+$C7105) - MAX(IF($B$2:$B7104=$B7105, $A$2:$A7104+$C$2:$C7104)), "")*24*60, "")</f>
        <v/>
      </c>
      <c r="O7105" s="24" t="str" cm="1">
        <f t="array" ref="O7105">IFERROR(IF($B7105=O$1, ($A7105+$C7105) - MAX(IF($B$2:$B7104=$B7105, $A$2:$A7104+$C$2:$C7104)), "")*24*60, "")</f>
        <v/>
      </c>
      <c r="P7105" s="24" t="str" cm="1">
        <f t="array" ref="P7105">IFERROR(IF($B7105=P$1, ($A7105+$C7105) - MAX(IF($B$2:$B7104=$B7105, $A$2:$A7104+$C$2:$C7104)), "")*24*60, "")</f>
        <v/>
      </c>
      <c r="Q7105" s="24" t="str" cm="1">
        <f t="array" ref="Q7105">IFERROR(IF($B7105=Q$1, ($A7105+$C7105) - MAX(IF($B$2:$B7104=$B7105, $A$2:$A7104+$C$2:$C7104)), "")*24*60, "")</f>
        <v/>
      </c>
      <c r="R7105" s="24" t="str" cm="1">
        <f t="array" ref="R7105">IFERROR(IF($B7105=R$1, ($A7105+$C7105) - MAX(IF($B$2:$B7104=$B7105, $A$2:$A7104+$C$2:$C7104)), "")*24*60, "")</f>
        <v/>
      </c>
      <c r="S7105" s="24" t="str" cm="1">
        <f t="array" ref="S7105">IFERROR(IF($B7105=S$1, ($A7105+$C7105) - MAX(IF($B$2:$B7104=$B7105, $A$2:$A7104+$C$2:$C7104)), "")*24*60, "")</f>
        <v/>
      </c>
    </row>
    <row r="7106" spans="1:19" x14ac:dyDescent="0.2">
      <c r="A7106" s="12">
        <f t="shared" ref="A7106:C7106" si="1440">A7105</f>
        <v>46005</v>
      </c>
      <c r="B7106" s="5" t="str">
        <f t="shared" si="1440"/>
        <v>Northern Cardinal</v>
      </c>
      <c r="C7106" s="6">
        <f t="shared" si="1440"/>
        <v>0.35069444444444442</v>
      </c>
      <c r="D7106" s="5"/>
      <c r="E7106" s="5"/>
      <c r="F7106" s="5" t="s">
        <v>22</v>
      </c>
      <c r="G7106" s="15" t="s">
        <v>22</v>
      </c>
      <c r="H7106" s="24">
        <f t="shared" si="1398"/>
        <v>0</v>
      </c>
      <c r="I7106" s="24" cm="1">
        <f t="array" ref="I7106">IFERROR(IF($B7106=I$1, ($A7106+$C7106) - MAX(IF($B$2:$B7105=$B7106, $A$2:$A7105+$C$2:$C7105)), "")*24*60, "")</f>
        <v>0</v>
      </c>
      <c r="J7106" s="24" t="str" cm="1">
        <f t="array" ref="J7106">IFERROR(IF($B7106=J$1, ($A7106+$C7106) - MAX(IF($B$2:$B7105=$B7106, $A$2:$A7105+$C$2:$C7105)), "")*24*60, "")</f>
        <v/>
      </c>
      <c r="K7106" s="24" t="str" cm="1">
        <f t="array" ref="K7106">IFERROR(IF($B7106=K$1, ($A7106+$C7106) - MAX(IF($B$2:$B7105=$B7106, $A$2:$A7105+$C$2:$C7105)), "")*24*60, "")</f>
        <v/>
      </c>
      <c r="L7106" s="24" t="str" cm="1">
        <f t="array" ref="L7106">IFERROR(IF($B7106=L$1, ($A7106+$C7106) - MAX(IF($B$2:$B7105=$B7106, $A$2:$A7105+$C$2:$C7105)), "")*24*60, "")</f>
        <v/>
      </c>
      <c r="M7106" s="24" t="str" cm="1">
        <f t="array" ref="M7106">IFERROR(IF($B7106=M$1, ($A7106+$C7106) - MAX(IF($B$2:$B7105=$B7106, $A$2:$A7105+$C$2:$C7105)), "")*24*60, "")</f>
        <v/>
      </c>
      <c r="N7106" s="24" t="str" cm="1">
        <f t="array" ref="N7106">IFERROR(IF($B7106=N$1, ($A7106+$C7106) - MAX(IF($B$2:$B7105=$B7106, $A$2:$A7105+$C$2:$C7105)), "")*24*60, "")</f>
        <v/>
      </c>
      <c r="O7106" s="24" t="str" cm="1">
        <f t="array" ref="O7106">IFERROR(IF($B7106=O$1, ($A7106+$C7106) - MAX(IF($B$2:$B7105=$B7106, $A$2:$A7105+$C$2:$C7105)), "")*24*60, "")</f>
        <v/>
      </c>
      <c r="P7106" s="24" t="str" cm="1">
        <f t="array" ref="P7106">IFERROR(IF($B7106=P$1, ($A7106+$C7106) - MAX(IF($B$2:$B7105=$B7106, $A$2:$A7105+$C$2:$C7105)), "")*24*60, "")</f>
        <v/>
      </c>
      <c r="Q7106" s="24" t="str" cm="1">
        <f t="array" ref="Q7106">IFERROR(IF($B7106=Q$1, ($A7106+$C7106) - MAX(IF($B$2:$B7105=$B7106, $A$2:$A7105+$C$2:$C7105)), "")*24*60, "")</f>
        <v/>
      </c>
      <c r="R7106" s="24" t="str" cm="1">
        <f t="array" ref="R7106">IFERROR(IF($B7106=R$1, ($A7106+$C7106) - MAX(IF($B$2:$B7105=$B7106, $A$2:$A7105+$C$2:$C7105)), "")*24*60, "")</f>
        <v/>
      </c>
      <c r="S7106" s="24" t="str" cm="1">
        <f t="array" ref="S7106">IFERROR(IF($B7106=S$1, ($A7106+$C7106) - MAX(IF($B$2:$B7105=$B7106, $A$2:$A7105+$C$2:$C7105)), "")*24*60, "")</f>
        <v/>
      </c>
    </row>
    <row r="7107" spans="1:19" x14ac:dyDescent="0.2">
      <c r="A7107" s="12">
        <f t="shared" ref="A7107:C7107" si="1441">A7106</f>
        <v>46005</v>
      </c>
      <c r="B7107" s="5" t="str">
        <f t="shared" si="1441"/>
        <v>Northern Cardinal</v>
      </c>
      <c r="C7107" s="6">
        <f t="shared" si="1441"/>
        <v>0.35069444444444442</v>
      </c>
      <c r="D7107" s="5"/>
      <c r="E7107" s="5"/>
      <c r="F7107" s="5" t="s">
        <v>22</v>
      </c>
      <c r="G7107" s="15" t="s">
        <v>22</v>
      </c>
      <c r="H7107" s="24">
        <f t="shared" si="1398"/>
        <v>0</v>
      </c>
      <c r="I7107" s="24" cm="1">
        <f t="array" ref="I7107">IFERROR(IF($B7107=I$1, ($A7107+$C7107) - MAX(IF($B$2:$B7106=$B7107, $A$2:$A7106+$C$2:$C7106)), "")*24*60, "")</f>
        <v>0</v>
      </c>
      <c r="J7107" s="24" t="str" cm="1">
        <f t="array" ref="J7107">IFERROR(IF($B7107=J$1, ($A7107+$C7107) - MAX(IF($B$2:$B7106=$B7107, $A$2:$A7106+$C$2:$C7106)), "")*24*60, "")</f>
        <v/>
      </c>
      <c r="K7107" s="24" t="str" cm="1">
        <f t="array" ref="K7107">IFERROR(IF($B7107=K$1, ($A7107+$C7107) - MAX(IF($B$2:$B7106=$B7107, $A$2:$A7106+$C$2:$C7106)), "")*24*60, "")</f>
        <v/>
      </c>
      <c r="L7107" s="24" t="str" cm="1">
        <f t="array" ref="L7107">IFERROR(IF($B7107=L$1, ($A7107+$C7107) - MAX(IF($B$2:$B7106=$B7107, $A$2:$A7106+$C$2:$C7106)), "")*24*60, "")</f>
        <v/>
      </c>
      <c r="M7107" s="24" t="str" cm="1">
        <f t="array" ref="M7107">IFERROR(IF($B7107=M$1, ($A7107+$C7107) - MAX(IF($B$2:$B7106=$B7107, $A$2:$A7106+$C$2:$C7106)), "")*24*60, "")</f>
        <v/>
      </c>
      <c r="N7107" s="24" t="str" cm="1">
        <f t="array" ref="N7107">IFERROR(IF($B7107=N$1, ($A7107+$C7107) - MAX(IF($B$2:$B7106=$B7107, $A$2:$A7106+$C$2:$C7106)), "")*24*60, "")</f>
        <v/>
      </c>
      <c r="O7107" s="24" t="str" cm="1">
        <f t="array" ref="O7107">IFERROR(IF($B7107=O$1, ($A7107+$C7107) - MAX(IF($B$2:$B7106=$B7107, $A$2:$A7106+$C$2:$C7106)), "")*24*60, "")</f>
        <v/>
      </c>
      <c r="P7107" s="24" t="str" cm="1">
        <f t="array" ref="P7107">IFERROR(IF($B7107=P$1, ($A7107+$C7107) - MAX(IF($B$2:$B7106=$B7107, $A$2:$A7106+$C$2:$C7106)), "")*24*60, "")</f>
        <v/>
      </c>
      <c r="Q7107" s="24" t="str" cm="1">
        <f t="array" ref="Q7107">IFERROR(IF($B7107=Q$1, ($A7107+$C7107) - MAX(IF($B$2:$B7106=$B7107, $A$2:$A7106+$C$2:$C7106)), "")*24*60, "")</f>
        <v/>
      </c>
      <c r="R7107" s="24" t="str" cm="1">
        <f t="array" ref="R7107">IFERROR(IF($B7107=R$1, ($A7107+$C7107) - MAX(IF($B$2:$B7106=$B7107, $A$2:$A7106+$C$2:$C7106)), "")*24*60, "")</f>
        <v/>
      </c>
      <c r="S7107" s="24" t="str" cm="1">
        <f t="array" ref="S7107">IFERROR(IF($B7107=S$1, ($A7107+$C7107) - MAX(IF($B$2:$B7106=$B7107, $A$2:$A7106+$C$2:$C7106)), "")*24*60, "")</f>
        <v/>
      </c>
    </row>
    <row r="7108" spans="1:19" x14ac:dyDescent="0.2">
      <c r="A7108" s="12">
        <f t="shared" ref="A7108:C7108" si="1442">A7107</f>
        <v>46005</v>
      </c>
      <c r="B7108" s="5" t="str">
        <f t="shared" si="1442"/>
        <v>Northern Cardinal</v>
      </c>
      <c r="C7108" s="6">
        <f t="shared" si="1442"/>
        <v>0.35069444444444442</v>
      </c>
      <c r="D7108" s="5"/>
      <c r="E7108" s="5"/>
      <c r="F7108" s="5" t="s">
        <v>22</v>
      </c>
      <c r="G7108" s="15" t="s">
        <v>22</v>
      </c>
      <c r="H7108" s="24">
        <f t="shared" si="1398"/>
        <v>0</v>
      </c>
      <c r="I7108" s="24" cm="1">
        <f t="array" ref="I7108">IFERROR(IF($B7108=I$1, ($A7108+$C7108) - MAX(IF($B$2:$B7107=$B7108, $A$2:$A7107+$C$2:$C7107)), "")*24*60, "")</f>
        <v>0</v>
      </c>
      <c r="J7108" s="24" t="str" cm="1">
        <f t="array" ref="J7108">IFERROR(IF($B7108=J$1, ($A7108+$C7108) - MAX(IF($B$2:$B7107=$B7108, $A$2:$A7107+$C$2:$C7107)), "")*24*60, "")</f>
        <v/>
      </c>
      <c r="K7108" s="24" t="str" cm="1">
        <f t="array" ref="K7108">IFERROR(IF($B7108=K$1, ($A7108+$C7108) - MAX(IF($B$2:$B7107=$B7108, $A$2:$A7107+$C$2:$C7107)), "")*24*60, "")</f>
        <v/>
      </c>
      <c r="L7108" s="24" t="str" cm="1">
        <f t="array" ref="L7108">IFERROR(IF($B7108=L$1, ($A7108+$C7108) - MAX(IF($B$2:$B7107=$B7108, $A$2:$A7107+$C$2:$C7107)), "")*24*60, "")</f>
        <v/>
      </c>
      <c r="M7108" s="24" t="str" cm="1">
        <f t="array" ref="M7108">IFERROR(IF($B7108=M$1, ($A7108+$C7108) - MAX(IF($B$2:$B7107=$B7108, $A$2:$A7107+$C$2:$C7107)), "")*24*60, "")</f>
        <v/>
      </c>
      <c r="N7108" s="24" t="str" cm="1">
        <f t="array" ref="N7108">IFERROR(IF($B7108=N$1, ($A7108+$C7108) - MAX(IF($B$2:$B7107=$B7108, $A$2:$A7107+$C$2:$C7107)), "")*24*60, "")</f>
        <v/>
      </c>
      <c r="O7108" s="24" t="str" cm="1">
        <f t="array" ref="O7108">IFERROR(IF($B7108=O$1, ($A7108+$C7108) - MAX(IF($B$2:$B7107=$B7108, $A$2:$A7107+$C$2:$C7107)), "")*24*60, "")</f>
        <v/>
      </c>
      <c r="P7108" s="24" t="str" cm="1">
        <f t="array" ref="P7108">IFERROR(IF($B7108=P$1, ($A7108+$C7108) - MAX(IF($B$2:$B7107=$B7108, $A$2:$A7107+$C$2:$C7107)), "")*24*60, "")</f>
        <v/>
      </c>
      <c r="Q7108" s="24" t="str" cm="1">
        <f t="array" ref="Q7108">IFERROR(IF($B7108=Q$1, ($A7108+$C7108) - MAX(IF($B$2:$B7107=$B7108, $A$2:$A7107+$C$2:$C7107)), "")*24*60, "")</f>
        <v/>
      </c>
      <c r="R7108" s="24" t="str" cm="1">
        <f t="array" ref="R7108">IFERROR(IF($B7108=R$1, ($A7108+$C7108) - MAX(IF($B$2:$B7107=$B7108, $A$2:$A7107+$C$2:$C7107)), "")*24*60, "")</f>
        <v/>
      </c>
      <c r="S7108" s="24" t="str" cm="1">
        <f t="array" ref="S7108">IFERROR(IF($B7108=S$1, ($A7108+$C7108) - MAX(IF($B$2:$B7107=$B7108, $A$2:$A7107+$C$2:$C7107)), "")*24*60, "")</f>
        <v/>
      </c>
    </row>
    <row r="7109" spans="1:19" x14ac:dyDescent="0.2">
      <c r="A7109" s="12">
        <f t="shared" ref="A7109:C7109" si="1443">A7108</f>
        <v>46005</v>
      </c>
      <c r="B7109" s="5" t="str">
        <f t="shared" si="1443"/>
        <v>Northern Cardinal</v>
      </c>
      <c r="C7109" s="6">
        <f t="shared" si="1443"/>
        <v>0.35069444444444442</v>
      </c>
      <c r="D7109" s="5"/>
      <c r="E7109" s="5"/>
      <c r="F7109" s="5" t="s">
        <v>22</v>
      </c>
      <c r="G7109" s="15" t="s">
        <v>22</v>
      </c>
      <c r="H7109" s="24">
        <f t="shared" si="1398"/>
        <v>0</v>
      </c>
      <c r="I7109" s="24" cm="1">
        <f t="array" ref="I7109">IFERROR(IF($B7109=I$1, ($A7109+$C7109) - MAX(IF($B$2:$B7108=$B7109, $A$2:$A7108+$C$2:$C7108)), "")*24*60, "")</f>
        <v>0</v>
      </c>
      <c r="J7109" s="24" t="str" cm="1">
        <f t="array" ref="J7109">IFERROR(IF($B7109=J$1, ($A7109+$C7109) - MAX(IF($B$2:$B7108=$B7109, $A$2:$A7108+$C$2:$C7108)), "")*24*60, "")</f>
        <v/>
      </c>
      <c r="K7109" s="24" t="str" cm="1">
        <f t="array" ref="K7109">IFERROR(IF($B7109=K$1, ($A7109+$C7109) - MAX(IF($B$2:$B7108=$B7109, $A$2:$A7108+$C$2:$C7108)), "")*24*60, "")</f>
        <v/>
      </c>
      <c r="L7109" s="24" t="str" cm="1">
        <f t="array" ref="L7109">IFERROR(IF($B7109=L$1, ($A7109+$C7109) - MAX(IF($B$2:$B7108=$B7109, $A$2:$A7108+$C$2:$C7108)), "")*24*60, "")</f>
        <v/>
      </c>
      <c r="M7109" s="24" t="str" cm="1">
        <f t="array" ref="M7109">IFERROR(IF($B7109=M$1, ($A7109+$C7109) - MAX(IF($B$2:$B7108=$B7109, $A$2:$A7108+$C$2:$C7108)), "")*24*60, "")</f>
        <v/>
      </c>
      <c r="N7109" s="24" t="str" cm="1">
        <f t="array" ref="N7109">IFERROR(IF($B7109=N$1, ($A7109+$C7109) - MAX(IF($B$2:$B7108=$B7109, $A$2:$A7108+$C$2:$C7108)), "")*24*60, "")</f>
        <v/>
      </c>
      <c r="O7109" s="24" t="str" cm="1">
        <f t="array" ref="O7109">IFERROR(IF($B7109=O$1, ($A7109+$C7109) - MAX(IF($B$2:$B7108=$B7109, $A$2:$A7108+$C$2:$C7108)), "")*24*60, "")</f>
        <v/>
      </c>
      <c r="P7109" s="24" t="str" cm="1">
        <f t="array" ref="P7109">IFERROR(IF($B7109=P$1, ($A7109+$C7109) - MAX(IF($B$2:$B7108=$B7109, $A$2:$A7108+$C$2:$C7108)), "")*24*60, "")</f>
        <v/>
      </c>
      <c r="Q7109" s="24" t="str" cm="1">
        <f t="array" ref="Q7109">IFERROR(IF($B7109=Q$1, ($A7109+$C7109) - MAX(IF($B$2:$B7108=$B7109, $A$2:$A7108+$C$2:$C7108)), "")*24*60, "")</f>
        <v/>
      </c>
      <c r="R7109" s="24" t="str" cm="1">
        <f t="array" ref="R7109">IFERROR(IF($B7109=R$1, ($A7109+$C7109) - MAX(IF($B$2:$B7108=$B7109, $A$2:$A7108+$C$2:$C7108)), "")*24*60, "")</f>
        <v/>
      </c>
      <c r="S7109" s="24" t="str" cm="1">
        <f t="array" ref="S7109">IFERROR(IF($B7109=S$1, ($A7109+$C7109) - MAX(IF($B$2:$B7108=$B7109, $A$2:$A7108+$C$2:$C7108)), "")*24*60, "")</f>
        <v/>
      </c>
    </row>
    <row r="7110" spans="1:19" x14ac:dyDescent="0.2">
      <c r="A7110" s="12">
        <f t="shared" ref="A7110:C7110" si="1444">A7109</f>
        <v>46005</v>
      </c>
      <c r="B7110" s="5" t="str">
        <f t="shared" si="1444"/>
        <v>Northern Cardinal</v>
      </c>
      <c r="C7110" s="6">
        <f t="shared" si="1444"/>
        <v>0.35069444444444442</v>
      </c>
      <c r="D7110" s="5"/>
      <c r="E7110" s="5"/>
      <c r="F7110" s="5" t="s">
        <v>22</v>
      </c>
      <c r="G7110" s="15" t="s">
        <v>22</v>
      </c>
      <c r="H7110" s="24">
        <f t="shared" si="1398"/>
        <v>0</v>
      </c>
      <c r="I7110" s="24" cm="1">
        <f t="array" ref="I7110">IFERROR(IF($B7110=I$1, ($A7110+$C7110) - MAX(IF($B$2:$B7109=$B7110, $A$2:$A7109+$C$2:$C7109)), "")*24*60, "")</f>
        <v>0</v>
      </c>
      <c r="J7110" s="24" t="str" cm="1">
        <f t="array" ref="J7110">IFERROR(IF($B7110=J$1, ($A7110+$C7110) - MAX(IF($B$2:$B7109=$B7110, $A$2:$A7109+$C$2:$C7109)), "")*24*60, "")</f>
        <v/>
      </c>
      <c r="K7110" s="24" t="str" cm="1">
        <f t="array" ref="K7110">IFERROR(IF($B7110=K$1, ($A7110+$C7110) - MAX(IF($B$2:$B7109=$B7110, $A$2:$A7109+$C$2:$C7109)), "")*24*60, "")</f>
        <v/>
      </c>
      <c r="L7110" s="24" t="str" cm="1">
        <f t="array" ref="L7110">IFERROR(IF($B7110=L$1, ($A7110+$C7110) - MAX(IF($B$2:$B7109=$B7110, $A$2:$A7109+$C$2:$C7109)), "")*24*60, "")</f>
        <v/>
      </c>
      <c r="M7110" s="24" t="str" cm="1">
        <f t="array" ref="M7110">IFERROR(IF($B7110=M$1, ($A7110+$C7110) - MAX(IF($B$2:$B7109=$B7110, $A$2:$A7109+$C$2:$C7109)), "")*24*60, "")</f>
        <v/>
      </c>
      <c r="N7110" s="24" t="str" cm="1">
        <f t="array" ref="N7110">IFERROR(IF($B7110=N$1, ($A7110+$C7110) - MAX(IF($B$2:$B7109=$B7110, $A$2:$A7109+$C$2:$C7109)), "")*24*60, "")</f>
        <v/>
      </c>
      <c r="O7110" s="24" t="str" cm="1">
        <f t="array" ref="O7110">IFERROR(IF($B7110=O$1, ($A7110+$C7110) - MAX(IF($B$2:$B7109=$B7110, $A$2:$A7109+$C$2:$C7109)), "")*24*60, "")</f>
        <v/>
      </c>
      <c r="P7110" s="24" t="str" cm="1">
        <f t="array" ref="P7110">IFERROR(IF($B7110=P$1, ($A7110+$C7110) - MAX(IF($B$2:$B7109=$B7110, $A$2:$A7109+$C$2:$C7109)), "")*24*60, "")</f>
        <v/>
      </c>
      <c r="Q7110" s="24" t="str" cm="1">
        <f t="array" ref="Q7110">IFERROR(IF($B7110=Q$1, ($A7110+$C7110) - MAX(IF($B$2:$B7109=$B7110, $A$2:$A7109+$C$2:$C7109)), "")*24*60, "")</f>
        <v/>
      </c>
      <c r="R7110" s="24" t="str" cm="1">
        <f t="array" ref="R7110">IFERROR(IF($B7110=R$1, ($A7110+$C7110) - MAX(IF($B$2:$B7109=$B7110, $A$2:$A7109+$C$2:$C7109)), "")*24*60, "")</f>
        <v/>
      </c>
      <c r="S7110" s="24" t="str" cm="1">
        <f t="array" ref="S7110">IFERROR(IF($B7110=S$1, ($A7110+$C7110) - MAX(IF($B$2:$B7109=$B7110, $A$2:$A7109+$C$2:$C7109)), "")*24*60, "")</f>
        <v/>
      </c>
    </row>
    <row r="7111" spans="1:19" x14ac:dyDescent="0.2">
      <c r="A7111" s="12">
        <f t="shared" ref="A7111:C7111" si="1445">A7110</f>
        <v>46005</v>
      </c>
      <c r="B7111" s="5" t="str">
        <f t="shared" si="1445"/>
        <v>Northern Cardinal</v>
      </c>
      <c r="C7111" s="6">
        <f t="shared" si="1445"/>
        <v>0.35069444444444442</v>
      </c>
      <c r="D7111" s="5"/>
      <c r="E7111" s="5"/>
      <c r="F7111" s="5" t="s">
        <v>22</v>
      </c>
      <c r="G7111" s="15" t="s">
        <v>22</v>
      </c>
      <c r="H7111" s="24">
        <f t="shared" si="1398"/>
        <v>0</v>
      </c>
      <c r="I7111" s="24" cm="1">
        <f t="array" ref="I7111">IFERROR(IF($B7111=I$1, ($A7111+$C7111) - MAX(IF($B$2:$B7110=$B7111, $A$2:$A7110+$C$2:$C7110)), "")*24*60, "")</f>
        <v>0</v>
      </c>
      <c r="J7111" s="24" t="str" cm="1">
        <f t="array" ref="J7111">IFERROR(IF($B7111=J$1, ($A7111+$C7111) - MAX(IF($B$2:$B7110=$B7111, $A$2:$A7110+$C$2:$C7110)), "")*24*60, "")</f>
        <v/>
      </c>
      <c r="K7111" s="24" t="str" cm="1">
        <f t="array" ref="K7111">IFERROR(IF($B7111=K$1, ($A7111+$C7111) - MAX(IF($B$2:$B7110=$B7111, $A$2:$A7110+$C$2:$C7110)), "")*24*60, "")</f>
        <v/>
      </c>
      <c r="L7111" s="24" t="str" cm="1">
        <f t="array" ref="L7111">IFERROR(IF($B7111=L$1, ($A7111+$C7111) - MAX(IF($B$2:$B7110=$B7111, $A$2:$A7110+$C$2:$C7110)), "")*24*60, "")</f>
        <v/>
      </c>
      <c r="M7111" s="24" t="str" cm="1">
        <f t="array" ref="M7111">IFERROR(IF($B7111=M$1, ($A7111+$C7111) - MAX(IF($B$2:$B7110=$B7111, $A$2:$A7110+$C$2:$C7110)), "")*24*60, "")</f>
        <v/>
      </c>
      <c r="N7111" s="24" t="str" cm="1">
        <f t="array" ref="N7111">IFERROR(IF($B7111=N$1, ($A7111+$C7111) - MAX(IF($B$2:$B7110=$B7111, $A$2:$A7110+$C$2:$C7110)), "")*24*60, "")</f>
        <v/>
      </c>
      <c r="O7111" s="24" t="str" cm="1">
        <f t="array" ref="O7111">IFERROR(IF($B7111=O$1, ($A7111+$C7111) - MAX(IF($B$2:$B7110=$B7111, $A$2:$A7110+$C$2:$C7110)), "")*24*60, "")</f>
        <v/>
      </c>
      <c r="P7111" s="24" t="str" cm="1">
        <f t="array" ref="P7111">IFERROR(IF($B7111=P$1, ($A7111+$C7111) - MAX(IF($B$2:$B7110=$B7111, $A$2:$A7110+$C$2:$C7110)), "")*24*60, "")</f>
        <v/>
      </c>
      <c r="Q7111" s="24" t="str" cm="1">
        <f t="array" ref="Q7111">IFERROR(IF($B7111=Q$1, ($A7111+$C7111) - MAX(IF($B$2:$B7110=$B7111, $A$2:$A7110+$C$2:$C7110)), "")*24*60, "")</f>
        <v/>
      </c>
      <c r="R7111" s="24" t="str" cm="1">
        <f t="array" ref="R7111">IFERROR(IF($B7111=R$1, ($A7111+$C7111) - MAX(IF($B$2:$B7110=$B7111, $A$2:$A7110+$C$2:$C7110)), "")*24*60, "")</f>
        <v/>
      </c>
      <c r="S7111" s="24" t="str" cm="1">
        <f t="array" ref="S7111">IFERROR(IF($B7111=S$1, ($A7111+$C7111) - MAX(IF($B$2:$B7110=$B7111, $A$2:$A7110+$C$2:$C7110)), "")*24*60, "")</f>
        <v/>
      </c>
    </row>
    <row r="7112" spans="1:19" x14ac:dyDescent="0.2">
      <c r="A7112" s="12">
        <f t="shared" ref="A7112:C7112" si="1446">A7111</f>
        <v>46005</v>
      </c>
      <c r="B7112" s="5" t="str">
        <f t="shared" si="1446"/>
        <v>Northern Cardinal</v>
      </c>
      <c r="C7112" s="6">
        <f t="shared" si="1446"/>
        <v>0.35069444444444442</v>
      </c>
      <c r="D7112" s="5"/>
      <c r="E7112" s="5"/>
      <c r="F7112" s="5" t="s">
        <v>22</v>
      </c>
      <c r="G7112" s="15" t="s">
        <v>22</v>
      </c>
      <c r="H7112" s="24">
        <f t="shared" si="1398"/>
        <v>0</v>
      </c>
      <c r="I7112" s="24" cm="1">
        <f t="array" ref="I7112">IFERROR(IF($B7112=I$1, ($A7112+$C7112) - MAX(IF($B$2:$B7111=$B7112, $A$2:$A7111+$C$2:$C7111)), "")*24*60, "")</f>
        <v>0</v>
      </c>
      <c r="J7112" s="24" t="str" cm="1">
        <f t="array" ref="J7112">IFERROR(IF($B7112=J$1, ($A7112+$C7112) - MAX(IF($B$2:$B7111=$B7112, $A$2:$A7111+$C$2:$C7111)), "")*24*60, "")</f>
        <v/>
      </c>
      <c r="K7112" s="24" t="str" cm="1">
        <f t="array" ref="K7112">IFERROR(IF($B7112=K$1, ($A7112+$C7112) - MAX(IF($B$2:$B7111=$B7112, $A$2:$A7111+$C$2:$C7111)), "")*24*60, "")</f>
        <v/>
      </c>
      <c r="L7112" s="24" t="str" cm="1">
        <f t="array" ref="L7112">IFERROR(IF($B7112=L$1, ($A7112+$C7112) - MAX(IF($B$2:$B7111=$B7112, $A$2:$A7111+$C$2:$C7111)), "")*24*60, "")</f>
        <v/>
      </c>
      <c r="M7112" s="24" t="str" cm="1">
        <f t="array" ref="M7112">IFERROR(IF($B7112=M$1, ($A7112+$C7112) - MAX(IF($B$2:$B7111=$B7112, $A$2:$A7111+$C$2:$C7111)), "")*24*60, "")</f>
        <v/>
      </c>
      <c r="N7112" s="24" t="str" cm="1">
        <f t="array" ref="N7112">IFERROR(IF($B7112=N$1, ($A7112+$C7112) - MAX(IF($B$2:$B7111=$B7112, $A$2:$A7111+$C$2:$C7111)), "")*24*60, "")</f>
        <v/>
      </c>
      <c r="O7112" s="24" t="str" cm="1">
        <f t="array" ref="O7112">IFERROR(IF($B7112=O$1, ($A7112+$C7112) - MAX(IF($B$2:$B7111=$B7112, $A$2:$A7111+$C$2:$C7111)), "")*24*60, "")</f>
        <v/>
      </c>
      <c r="P7112" s="24" t="str" cm="1">
        <f t="array" ref="P7112">IFERROR(IF($B7112=P$1, ($A7112+$C7112) - MAX(IF($B$2:$B7111=$B7112, $A$2:$A7111+$C$2:$C7111)), "")*24*60, "")</f>
        <v/>
      </c>
      <c r="Q7112" s="24" t="str" cm="1">
        <f t="array" ref="Q7112">IFERROR(IF($B7112=Q$1, ($A7112+$C7112) - MAX(IF($B$2:$B7111=$B7112, $A$2:$A7111+$C$2:$C7111)), "")*24*60, "")</f>
        <v/>
      </c>
      <c r="R7112" s="24" t="str" cm="1">
        <f t="array" ref="R7112">IFERROR(IF($B7112=R$1, ($A7112+$C7112) - MAX(IF($B$2:$B7111=$B7112, $A$2:$A7111+$C$2:$C7111)), "")*24*60, "")</f>
        <v/>
      </c>
      <c r="S7112" s="24" t="str" cm="1">
        <f t="array" ref="S7112">IFERROR(IF($B7112=S$1, ($A7112+$C7112) - MAX(IF($B$2:$B7111=$B7112, $A$2:$A7111+$C$2:$C7111)), "")*24*60, "")</f>
        <v/>
      </c>
    </row>
    <row r="7113" spans="1:19" x14ac:dyDescent="0.2">
      <c r="A7113" s="12">
        <f t="shared" ref="A7113:C7113" si="1447">A7112</f>
        <v>46005</v>
      </c>
      <c r="B7113" s="5" t="str">
        <f t="shared" si="1447"/>
        <v>Northern Cardinal</v>
      </c>
      <c r="C7113" s="6">
        <f t="shared" si="1447"/>
        <v>0.35069444444444442</v>
      </c>
      <c r="D7113" s="5"/>
      <c r="E7113" s="5"/>
      <c r="F7113" s="5" t="s">
        <v>22</v>
      </c>
      <c r="G7113" s="15" t="s">
        <v>22</v>
      </c>
      <c r="H7113" s="24">
        <f t="shared" si="1398"/>
        <v>0</v>
      </c>
      <c r="I7113" s="24" cm="1">
        <f t="array" ref="I7113">IFERROR(IF($B7113=I$1, ($A7113+$C7113) - MAX(IF($B$2:$B7112=$B7113, $A$2:$A7112+$C$2:$C7112)), "")*24*60, "")</f>
        <v>0</v>
      </c>
      <c r="J7113" s="24" t="str" cm="1">
        <f t="array" ref="J7113">IFERROR(IF($B7113=J$1, ($A7113+$C7113) - MAX(IF($B$2:$B7112=$B7113, $A$2:$A7112+$C$2:$C7112)), "")*24*60, "")</f>
        <v/>
      </c>
      <c r="K7113" s="24" t="str" cm="1">
        <f t="array" ref="K7113">IFERROR(IF($B7113=K$1, ($A7113+$C7113) - MAX(IF($B$2:$B7112=$B7113, $A$2:$A7112+$C$2:$C7112)), "")*24*60, "")</f>
        <v/>
      </c>
      <c r="L7113" s="24" t="str" cm="1">
        <f t="array" ref="L7113">IFERROR(IF($B7113=L$1, ($A7113+$C7113) - MAX(IF($B$2:$B7112=$B7113, $A$2:$A7112+$C$2:$C7112)), "")*24*60, "")</f>
        <v/>
      </c>
      <c r="M7113" s="24" t="str" cm="1">
        <f t="array" ref="M7113">IFERROR(IF($B7113=M$1, ($A7113+$C7113) - MAX(IF($B$2:$B7112=$B7113, $A$2:$A7112+$C$2:$C7112)), "")*24*60, "")</f>
        <v/>
      </c>
      <c r="N7113" s="24" t="str" cm="1">
        <f t="array" ref="N7113">IFERROR(IF($B7113=N$1, ($A7113+$C7113) - MAX(IF($B$2:$B7112=$B7113, $A$2:$A7112+$C$2:$C7112)), "")*24*60, "")</f>
        <v/>
      </c>
      <c r="O7113" s="24" t="str" cm="1">
        <f t="array" ref="O7113">IFERROR(IF($B7113=O$1, ($A7113+$C7113) - MAX(IF($B$2:$B7112=$B7113, $A$2:$A7112+$C$2:$C7112)), "")*24*60, "")</f>
        <v/>
      </c>
      <c r="P7113" s="24" t="str" cm="1">
        <f t="array" ref="P7113">IFERROR(IF($B7113=P$1, ($A7113+$C7113) - MAX(IF($B$2:$B7112=$B7113, $A$2:$A7112+$C$2:$C7112)), "")*24*60, "")</f>
        <v/>
      </c>
      <c r="Q7113" s="24" t="str" cm="1">
        <f t="array" ref="Q7113">IFERROR(IF($B7113=Q$1, ($A7113+$C7113) - MAX(IF($B$2:$B7112=$B7113, $A$2:$A7112+$C$2:$C7112)), "")*24*60, "")</f>
        <v/>
      </c>
      <c r="R7113" s="24" t="str" cm="1">
        <f t="array" ref="R7113">IFERROR(IF($B7113=R$1, ($A7113+$C7113) - MAX(IF($B$2:$B7112=$B7113, $A$2:$A7112+$C$2:$C7112)), "")*24*60, "")</f>
        <v/>
      </c>
      <c r="S7113" s="24" t="str" cm="1">
        <f t="array" ref="S7113">IFERROR(IF($B7113=S$1, ($A7113+$C7113) - MAX(IF($B$2:$B7112=$B7113, $A$2:$A7112+$C$2:$C7112)), "")*24*60, "")</f>
        <v/>
      </c>
    </row>
    <row r="7114" spans="1:19" x14ac:dyDescent="0.2">
      <c r="A7114" s="12">
        <f t="shared" ref="A7114:C7114" si="1448">A7113</f>
        <v>46005</v>
      </c>
      <c r="B7114" s="5" t="str">
        <f t="shared" si="1448"/>
        <v>Northern Cardinal</v>
      </c>
      <c r="C7114" s="6">
        <f t="shared" si="1448"/>
        <v>0.35069444444444442</v>
      </c>
      <c r="D7114" s="5"/>
      <c r="E7114" s="5"/>
      <c r="F7114" s="5" t="s">
        <v>22</v>
      </c>
      <c r="G7114" s="15" t="s">
        <v>22</v>
      </c>
      <c r="H7114" s="24">
        <f t="shared" si="1398"/>
        <v>0</v>
      </c>
      <c r="I7114" s="24" cm="1">
        <f t="array" ref="I7114">IFERROR(IF($B7114=I$1, ($A7114+$C7114) - MAX(IF($B$2:$B7113=$B7114, $A$2:$A7113+$C$2:$C7113)), "")*24*60, "")</f>
        <v>0</v>
      </c>
      <c r="J7114" s="24" t="str" cm="1">
        <f t="array" ref="J7114">IFERROR(IF($B7114=J$1, ($A7114+$C7114) - MAX(IF($B$2:$B7113=$B7114, $A$2:$A7113+$C$2:$C7113)), "")*24*60, "")</f>
        <v/>
      </c>
      <c r="K7114" s="24" t="str" cm="1">
        <f t="array" ref="K7114">IFERROR(IF($B7114=K$1, ($A7114+$C7114) - MAX(IF($B$2:$B7113=$B7114, $A$2:$A7113+$C$2:$C7113)), "")*24*60, "")</f>
        <v/>
      </c>
      <c r="L7114" s="24" t="str" cm="1">
        <f t="array" ref="L7114">IFERROR(IF($B7114=L$1, ($A7114+$C7114) - MAX(IF($B$2:$B7113=$B7114, $A$2:$A7113+$C$2:$C7113)), "")*24*60, "")</f>
        <v/>
      </c>
      <c r="M7114" s="24" t="str" cm="1">
        <f t="array" ref="M7114">IFERROR(IF($B7114=M$1, ($A7114+$C7114) - MAX(IF($B$2:$B7113=$B7114, $A$2:$A7113+$C$2:$C7113)), "")*24*60, "")</f>
        <v/>
      </c>
      <c r="N7114" s="24" t="str" cm="1">
        <f t="array" ref="N7114">IFERROR(IF($B7114=N$1, ($A7114+$C7114) - MAX(IF($B$2:$B7113=$B7114, $A$2:$A7113+$C$2:$C7113)), "")*24*60, "")</f>
        <v/>
      </c>
      <c r="O7114" s="24" t="str" cm="1">
        <f t="array" ref="O7114">IFERROR(IF($B7114=O$1, ($A7114+$C7114) - MAX(IF($B$2:$B7113=$B7114, $A$2:$A7113+$C$2:$C7113)), "")*24*60, "")</f>
        <v/>
      </c>
      <c r="P7114" s="24" t="str" cm="1">
        <f t="array" ref="P7114">IFERROR(IF($B7114=P$1, ($A7114+$C7114) - MAX(IF($B$2:$B7113=$B7114, $A$2:$A7113+$C$2:$C7113)), "")*24*60, "")</f>
        <v/>
      </c>
      <c r="Q7114" s="24" t="str" cm="1">
        <f t="array" ref="Q7114">IFERROR(IF($B7114=Q$1, ($A7114+$C7114) - MAX(IF($B$2:$B7113=$B7114, $A$2:$A7113+$C$2:$C7113)), "")*24*60, "")</f>
        <v/>
      </c>
      <c r="R7114" s="24" t="str" cm="1">
        <f t="array" ref="R7114">IFERROR(IF($B7114=R$1, ($A7114+$C7114) - MAX(IF($B$2:$B7113=$B7114, $A$2:$A7113+$C$2:$C7113)), "")*24*60, "")</f>
        <v/>
      </c>
      <c r="S7114" s="24" t="str" cm="1">
        <f t="array" ref="S7114">IFERROR(IF($B7114=S$1, ($A7114+$C7114) - MAX(IF($B$2:$B7113=$B7114, $A$2:$A7113+$C$2:$C7113)), "")*24*60, "")</f>
        <v/>
      </c>
    </row>
    <row r="7115" spans="1:19" x14ac:dyDescent="0.2">
      <c r="A7115" s="12">
        <f t="shared" ref="A7115:C7115" si="1449">A7114</f>
        <v>46005</v>
      </c>
      <c r="B7115" s="5" t="str">
        <f t="shared" si="1449"/>
        <v>Northern Cardinal</v>
      </c>
      <c r="C7115" s="6">
        <f t="shared" si="1449"/>
        <v>0.35069444444444442</v>
      </c>
      <c r="D7115" s="5"/>
      <c r="E7115" s="5"/>
      <c r="F7115" s="5" t="s">
        <v>22</v>
      </c>
      <c r="G7115" s="15" t="s">
        <v>22</v>
      </c>
      <c r="H7115" s="24">
        <f t="shared" si="1398"/>
        <v>0</v>
      </c>
      <c r="I7115" s="24" cm="1">
        <f t="array" ref="I7115">IFERROR(IF($B7115=I$1, ($A7115+$C7115) - MAX(IF($B$2:$B7114=$B7115, $A$2:$A7114+$C$2:$C7114)), "")*24*60, "")</f>
        <v>0</v>
      </c>
      <c r="J7115" s="24" t="str" cm="1">
        <f t="array" ref="J7115">IFERROR(IF($B7115=J$1, ($A7115+$C7115) - MAX(IF($B$2:$B7114=$B7115, $A$2:$A7114+$C$2:$C7114)), "")*24*60, "")</f>
        <v/>
      </c>
      <c r="K7115" s="24" t="str" cm="1">
        <f t="array" ref="K7115">IFERROR(IF($B7115=K$1, ($A7115+$C7115) - MAX(IF($B$2:$B7114=$B7115, $A$2:$A7114+$C$2:$C7114)), "")*24*60, "")</f>
        <v/>
      </c>
      <c r="L7115" s="24" t="str" cm="1">
        <f t="array" ref="L7115">IFERROR(IF($B7115=L$1, ($A7115+$C7115) - MAX(IF($B$2:$B7114=$B7115, $A$2:$A7114+$C$2:$C7114)), "")*24*60, "")</f>
        <v/>
      </c>
      <c r="M7115" s="24" t="str" cm="1">
        <f t="array" ref="M7115">IFERROR(IF($B7115=M$1, ($A7115+$C7115) - MAX(IF($B$2:$B7114=$B7115, $A$2:$A7114+$C$2:$C7114)), "")*24*60, "")</f>
        <v/>
      </c>
      <c r="N7115" s="24" t="str" cm="1">
        <f t="array" ref="N7115">IFERROR(IF($B7115=N$1, ($A7115+$C7115) - MAX(IF($B$2:$B7114=$B7115, $A$2:$A7114+$C$2:$C7114)), "")*24*60, "")</f>
        <v/>
      </c>
      <c r="O7115" s="24" t="str" cm="1">
        <f t="array" ref="O7115">IFERROR(IF($B7115=O$1, ($A7115+$C7115) - MAX(IF($B$2:$B7114=$B7115, $A$2:$A7114+$C$2:$C7114)), "")*24*60, "")</f>
        <v/>
      </c>
      <c r="P7115" s="24" t="str" cm="1">
        <f t="array" ref="P7115">IFERROR(IF($B7115=P$1, ($A7115+$C7115) - MAX(IF($B$2:$B7114=$B7115, $A$2:$A7114+$C$2:$C7114)), "")*24*60, "")</f>
        <v/>
      </c>
      <c r="Q7115" s="24" t="str" cm="1">
        <f t="array" ref="Q7115">IFERROR(IF($B7115=Q$1, ($A7115+$C7115) - MAX(IF($B$2:$B7114=$B7115, $A$2:$A7114+$C$2:$C7114)), "")*24*60, "")</f>
        <v/>
      </c>
      <c r="R7115" s="24" t="str" cm="1">
        <f t="array" ref="R7115">IFERROR(IF($B7115=R$1, ($A7115+$C7115) - MAX(IF($B$2:$B7114=$B7115, $A$2:$A7114+$C$2:$C7114)), "")*24*60, "")</f>
        <v/>
      </c>
      <c r="S7115" s="24" t="str" cm="1">
        <f t="array" ref="S7115">IFERROR(IF($B7115=S$1, ($A7115+$C7115) - MAX(IF($B$2:$B7114=$B7115, $A$2:$A7114+$C$2:$C7114)), "")*24*60, "")</f>
        <v/>
      </c>
    </row>
    <row r="7116" spans="1:19" x14ac:dyDescent="0.2">
      <c r="A7116" s="12">
        <f t="shared" ref="A7116:C7116" si="1450">A7115</f>
        <v>46005</v>
      </c>
      <c r="B7116" s="5" t="str">
        <f t="shared" si="1450"/>
        <v>Northern Cardinal</v>
      </c>
      <c r="C7116" s="6">
        <f t="shared" si="1450"/>
        <v>0.35069444444444442</v>
      </c>
      <c r="D7116" s="5"/>
      <c r="E7116" s="5"/>
      <c r="F7116" s="5" t="s">
        <v>22</v>
      </c>
      <c r="G7116" s="15" t="s">
        <v>22</v>
      </c>
      <c r="H7116" s="24">
        <f t="shared" si="1398"/>
        <v>0</v>
      </c>
      <c r="I7116" s="24" cm="1">
        <f t="array" ref="I7116">IFERROR(IF($B7116=I$1, ($A7116+$C7116) - MAX(IF($B$2:$B7115=$B7116, $A$2:$A7115+$C$2:$C7115)), "")*24*60, "")</f>
        <v>0</v>
      </c>
      <c r="J7116" s="24" t="str" cm="1">
        <f t="array" ref="J7116">IFERROR(IF($B7116=J$1, ($A7116+$C7116) - MAX(IF($B$2:$B7115=$B7116, $A$2:$A7115+$C$2:$C7115)), "")*24*60, "")</f>
        <v/>
      </c>
      <c r="K7116" s="24" t="str" cm="1">
        <f t="array" ref="K7116">IFERROR(IF($B7116=K$1, ($A7116+$C7116) - MAX(IF($B$2:$B7115=$B7116, $A$2:$A7115+$C$2:$C7115)), "")*24*60, "")</f>
        <v/>
      </c>
      <c r="L7116" s="24" t="str" cm="1">
        <f t="array" ref="L7116">IFERROR(IF($B7116=L$1, ($A7116+$C7116) - MAX(IF($B$2:$B7115=$B7116, $A$2:$A7115+$C$2:$C7115)), "")*24*60, "")</f>
        <v/>
      </c>
      <c r="M7116" s="24" t="str" cm="1">
        <f t="array" ref="M7116">IFERROR(IF($B7116=M$1, ($A7116+$C7116) - MAX(IF($B$2:$B7115=$B7116, $A$2:$A7115+$C$2:$C7115)), "")*24*60, "")</f>
        <v/>
      </c>
      <c r="N7116" s="24" t="str" cm="1">
        <f t="array" ref="N7116">IFERROR(IF($B7116=N$1, ($A7116+$C7116) - MAX(IF($B$2:$B7115=$B7116, $A$2:$A7115+$C$2:$C7115)), "")*24*60, "")</f>
        <v/>
      </c>
      <c r="O7116" s="24" t="str" cm="1">
        <f t="array" ref="O7116">IFERROR(IF($B7116=O$1, ($A7116+$C7116) - MAX(IF($B$2:$B7115=$B7116, $A$2:$A7115+$C$2:$C7115)), "")*24*60, "")</f>
        <v/>
      </c>
      <c r="P7116" s="24" t="str" cm="1">
        <f t="array" ref="P7116">IFERROR(IF($B7116=P$1, ($A7116+$C7116) - MAX(IF($B$2:$B7115=$B7116, $A$2:$A7115+$C$2:$C7115)), "")*24*60, "")</f>
        <v/>
      </c>
      <c r="Q7116" s="24" t="str" cm="1">
        <f t="array" ref="Q7116">IFERROR(IF($B7116=Q$1, ($A7116+$C7116) - MAX(IF($B$2:$B7115=$B7116, $A$2:$A7115+$C$2:$C7115)), "")*24*60, "")</f>
        <v/>
      </c>
      <c r="R7116" s="24" t="str" cm="1">
        <f t="array" ref="R7116">IFERROR(IF($B7116=R$1, ($A7116+$C7116) - MAX(IF($B$2:$B7115=$B7116, $A$2:$A7115+$C$2:$C7115)), "")*24*60, "")</f>
        <v/>
      </c>
      <c r="S7116" s="24" t="str" cm="1">
        <f t="array" ref="S7116">IFERROR(IF($B7116=S$1, ($A7116+$C7116) - MAX(IF($B$2:$B7115=$B7116, $A$2:$A7115+$C$2:$C7115)), "")*24*60, "")</f>
        <v/>
      </c>
    </row>
    <row r="7117" spans="1:19" x14ac:dyDescent="0.2">
      <c r="A7117" s="12">
        <f t="shared" ref="A7117:C7117" si="1451">A7116</f>
        <v>46005</v>
      </c>
      <c r="B7117" s="5" t="str">
        <f t="shared" si="1451"/>
        <v>Northern Cardinal</v>
      </c>
      <c r="C7117" s="6">
        <f t="shared" si="1451"/>
        <v>0.35069444444444442</v>
      </c>
      <c r="D7117" s="5"/>
      <c r="E7117" s="5"/>
      <c r="F7117" s="5" t="s">
        <v>22</v>
      </c>
      <c r="G7117" s="15" t="s">
        <v>22</v>
      </c>
      <c r="H7117" s="24">
        <f t="shared" si="1398"/>
        <v>0</v>
      </c>
      <c r="I7117" s="24" cm="1">
        <f t="array" ref="I7117">IFERROR(IF($B7117=I$1, ($A7117+$C7117) - MAX(IF($B$2:$B7116=$B7117, $A$2:$A7116+$C$2:$C7116)), "")*24*60, "")</f>
        <v>0</v>
      </c>
      <c r="J7117" s="24" t="str" cm="1">
        <f t="array" ref="J7117">IFERROR(IF($B7117=J$1, ($A7117+$C7117) - MAX(IF($B$2:$B7116=$B7117, $A$2:$A7116+$C$2:$C7116)), "")*24*60, "")</f>
        <v/>
      </c>
      <c r="K7117" s="24" t="str" cm="1">
        <f t="array" ref="K7117">IFERROR(IF($B7117=K$1, ($A7117+$C7117) - MAX(IF($B$2:$B7116=$B7117, $A$2:$A7116+$C$2:$C7116)), "")*24*60, "")</f>
        <v/>
      </c>
      <c r="L7117" s="24" t="str" cm="1">
        <f t="array" ref="L7117">IFERROR(IF($B7117=L$1, ($A7117+$C7117) - MAX(IF($B$2:$B7116=$B7117, $A$2:$A7116+$C$2:$C7116)), "")*24*60, "")</f>
        <v/>
      </c>
      <c r="M7117" s="24" t="str" cm="1">
        <f t="array" ref="M7117">IFERROR(IF($B7117=M$1, ($A7117+$C7117) - MAX(IF($B$2:$B7116=$B7117, $A$2:$A7116+$C$2:$C7116)), "")*24*60, "")</f>
        <v/>
      </c>
      <c r="N7117" s="24" t="str" cm="1">
        <f t="array" ref="N7117">IFERROR(IF($B7117=N$1, ($A7117+$C7117) - MAX(IF($B$2:$B7116=$B7117, $A$2:$A7116+$C$2:$C7116)), "")*24*60, "")</f>
        <v/>
      </c>
      <c r="O7117" s="24" t="str" cm="1">
        <f t="array" ref="O7117">IFERROR(IF($B7117=O$1, ($A7117+$C7117) - MAX(IF($B$2:$B7116=$B7117, $A$2:$A7116+$C$2:$C7116)), "")*24*60, "")</f>
        <v/>
      </c>
      <c r="P7117" s="24" t="str" cm="1">
        <f t="array" ref="P7117">IFERROR(IF($B7117=P$1, ($A7117+$C7117) - MAX(IF($B$2:$B7116=$B7117, $A$2:$A7116+$C$2:$C7116)), "")*24*60, "")</f>
        <v/>
      </c>
      <c r="Q7117" s="24" t="str" cm="1">
        <f t="array" ref="Q7117">IFERROR(IF($B7117=Q$1, ($A7117+$C7117) - MAX(IF($B$2:$B7116=$B7117, $A$2:$A7116+$C$2:$C7116)), "")*24*60, "")</f>
        <v/>
      </c>
      <c r="R7117" s="24" t="str" cm="1">
        <f t="array" ref="R7117">IFERROR(IF($B7117=R$1, ($A7117+$C7117) - MAX(IF($B$2:$B7116=$B7117, $A$2:$A7116+$C$2:$C7116)), "")*24*60, "")</f>
        <v/>
      </c>
      <c r="S7117" s="24" t="str" cm="1">
        <f t="array" ref="S7117">IFERROR(IF($B7117=S$1, ($A7117+$C7117) - MAX(IF($B$2:$B7116=$B7117, $A$2:$A7116+$C$2:$C7116)), "")*24*60, "")</f>
        <v/>
      </c>
    </row>
    <row r="7118" spans="1:19" x14ac:dyDescent="0.2">
      <c r="A7118" s="12">
        <f t="shared" ref="A7118:C7118" si="1452">A7117</f>
        <v>46005</v>
      </c>
      <c r="B7118" s="5" t="str">
        <f t="shared" si="1452"/>
        <v>Northern Cardinal</v>
      </c>
      <c r="C7118" s="6">
        <f t="shared" si="1452"/>
        <v>0.35069444444444442</v>
      </c>
      <c r="D7118" s="5"/>
      <c r="E7118" s="5"/>
      <c r="F7118" s="5" t="s">
        <v>22</v>
      </c>
      <c r="G7118" s="15" t="s">
        <v>22</v>
      </c>
      <c r="H7118" s="24">
        <f t="shared" si="1398"/>
        <v>0</v>
      </c>
      <c r="I7118" s="24" cm="1">
        <f t="array" ref="I7118">IFERROR(IF($B7118=I$1, ($A7118+$C7118) - MAX(IF($B$2:$B7117=$B7118, $A$2:$A7117+$C$2:$C7117)), "")*24*60, "")</f>
        <v>0</v>
      </c>
      <c r="J7118" s="24" t="str" cm="1">
        <f t="array" ref="J7118">IFERROR(IF($B7118=J$1, ($A7118+$C7118) - MAX(IF($B$2:$B7117=$B7118, $A$2:$A7117+$C$2:$C7117)), "")*24*60, "")</f>
        <v/>
      </c>
      <c r="K7118" s="24" t="str" cm="1">
        <f t="array" ref="K7118">IFERROR(IF($B7118=K$1, ($A7118+$C7118) - MAX(IF($B$2:$B7117=$B7118, $A$2:$A7117+$C$2:$C7117)), "")*24*60, "")</f>
        <v/>
      </c>
      <c r="L7118" s="24" t="str" cm="1">
        <f t="array" ref="L7118">IFERROR(IF($B7118=L$1, ($A7118+$C7118) - MAX(IF($B$2:$B7117=$B7118, $A$2:$A7117+$C$2:$C7117)), "")*24*60, "")</f>
        <v/>
      </c>
      <c r="M7118" s="24" t="str" cm="1">
        <f t="array" ref="M7118">IFERROR(IF($B7118=M$1, ($A7118+$C7118) - MAX(IF($B$2:$B7117=$B7118, $A$2:$A7117+$C$2:$C7117)), "")*24*60, "")</f>
        <v/>
      </c>
      <c r="N7118" s="24" t="str" cm="1">
        <f t="array" ref="N7118">IFERROR(IF($B7118=N$1, ($A7118+$C7118) - MAX(IF($B$2:$B7117=$B7118, $A$2:$A7117+$C$2:$C7117)), "")*24*60, "")</f>
        <v/>
      </c>
      <c r="O7118" s="24" t="str" cm="1">
        <f t="array" ref="O7118">IFERROR(IF($B7118=O$1, ($A7118+$C7118) - MAX(IF($B$2:$B7117=$B7118, $A$2:$A7117+$C$2:$C7117)), "")*24*60, "")</f>
        <v/>
      </c>
      <c r="P7118" s="24" t="str" cm="1">
        <f t="array" ref="P7118">IFERROR(IF($B7118=P$1, ($A7118+$C7118) - MAX(IF($B$2:$B7117=$B7118, $A$2:$A7117+$C$2:$C7117)), "")*24*60, "")</f>
        <v/>
      </c>
      <c r="Q7118" s="24" t="str" cm="1">
        <f t="array" ref="Q7118">IFERROR(IF($B7118=Q$1, ($A7118+$C7118) - MAX(IF($B$2:$B7117=$B7118, $A$2:$A7117+$C$2:$C7117)), "")*24*60, "")</f>
        <v/>
      </c>
      <c r="R7118" s="24" t="str" cm="1">
        <f t="array" ref="R7118">IFERROR(IF($B7118=R$1, ($A7118+$C7118) - MAX(IF($B$2:$B7117=$B7118, $A$2:$A7117+$C$2:$C7117)), "")*24*60, "")</f>
        <v/>
      </c>
      <c r="S7118" s="24" t="str" cm="1">
        <f t="array" ref="S7118">IFERROR(IF($B7118=S$1, ($A7118+$C7118) - MAX(IF($B$2:$B7117=$B7118, $A$2:$A7117+$C$2:$C7117)), "")*24*60, "")</f>
        <v/>
      </c>
    </row>
    <row r="7119" spans="1:19" x14ac:dyDescent="0.2">
      <c r="A7119" s="12">
        <f t="shared" ref="A7119:C7119" si="1453">A7118</f>
        <v>46005</v>
      </c>
      <c r="B7119" s="5" t="str">
        <f t="shared" si="1453"/>
        <v>Northern Cardinal</v>
      </c>
      <c r="C7119" s="6">
        <f t="shared" si="1453"/>
        <v>0.35069444444444442</v>
      </c>
      <c r="D7119" s="5"/>
      <c r="E7119" s="5"/>
      <c r="F7119" s="5" t="s">
        <v>22</v>
      </c>
      <c r="G7119" s="15" t="s">
        <v>22</v>
      </c>
      <c r="H7119" s="24">
        <f t="shared" si="1398"/>
        <v>0</v>
      </c>
      <c r="I7119" s="24" cm="1">
        <f t="array" ref="I7119">IFERROR(IF($B7119=I$1, ($A7119+$C7119) - MAX(IF($B$2:$B7118=$B7119, $A$2:$A7118+$C$2:$C7118)), "")*24*60, "")</f>
        <v>0</v>
      </c>
      <c r="J7119" s="24" t="str" cm="1">
        <f t="array" ref="J7119">IFERROR(IF($B7119=J$1, ($A7119+$C7119) - MAX(IF($B$2:$B7118=$B7119, $A$2:$A7118+$C$2:$C7118)), "")*24*60, "")</f>
        <v/>
      </c>
      <c r="K7119" s="24" t="str" cm="1">
        <f t="array" ref="K7119">IFERROR(IF($B7119=K$1, ($A7119+$C7119) - MAX(IF($B$2:$B7118=$B7119, $A$2:$A7118+$C$2:$C7118)), "")*24*60, "")</f>
        <v/>
      </c>
      <c r="L7119" s="24" t="str" cm="1">
        <f t="array" ref="L7119">IFERROR(IF($B7119=L$1, ($A7119+$C7119) - MAX(IF($B$2:$B7118=$B7119, $A$2:$A7118+$C$2:$C7118)), "")*24*60, "")</f>
        <v/>
      </c>
      <c r="M7119" s="24" t="str" cm="1">
        <f t="array" ref="M7119">IFERROR(IF($B7119=M$1, ($A7119+$C7119) - MAX(IF($B$2:$B7118=$B7119, $A$2:$A7118+$C$2:$C7118)), "")*24*60, "")</f>
        <v/>
      </c>
      <c r="N7119" s="24" t="str" cm="1">
        <f t="array" ref="N7119">IFERROR(IF($B7119=N$1, ($A7119+$C7119) - MAX(IF($B$2:$B7118=$B7119, $A$2:$A7118+$C$2:$C7118)), "")*24*60, "")</f>
        <v/>
      </c>
      <c r="O7119" s="24" t="str" cm="1">
        <f t="array" ref="O7119">IFERROR(IF($B7119=O$1, ($A7119+$C7119) - MAX(IF($B$2:$B7118=$B7119, $A$2:$A7118+$C$2:$C7118)), "")*24*60, "")</f>
        <v/>
      </c>
      <c r="P7119" s="24" t="str" cm="1">
        <f t="array" ref="P7119">IFERROR(IF($B7119=P$1, ($A7119+$C7119) - MAX(IF($B$2:$B7118=$B7119, $A$2:$A7118+$C$2:$C7118)), "")*24*60, "")</f>
        <v/>
      </c>
      <c r="Q7119" s="24" t="str" cm="1">
        <f t="array" ref="Q7119">IFERROR(IF($B7119=Q$1, ($A7119+$C7119) - MAX(IF($B$2:$B7118=$B7119, $A$2:$A7118+$C$2:$C7118)), "")*24*60, "")</f>
        <v/>
      </c>
      <c r="R7119" s="24" t="str" cm="1">
        <f t="array" ref="R7119">IFERROR(IF($B7119=R$1, ($A7119+$C7119) - MAX(IF($B$2:$B7118=$B7119, $A$2:$A7118+$C$2:$C7118)), "")*24*60, "")</f>
        <v/>
      </c>
      <c r="S7119" s="24" t="str" cm="1">
        <f t="array" ref="S7119">IFERROR(IF($B7119=S$1, ($A7119+$C7119) - MAX(IF($B$2:$B7118=$B7119, $A$2:$A7118+$C$2:$C7118)), "")*24*60, "")</f>
        <v/>
      </c>
    </row>
    <row r="7120" spans="1:19" x14ac:dyDescent="0.2">
      <c r="A7120" s="12">
        <f t="shared" ref="A7120:C7120" si="1454">A7119</f>
        <v>46005</v>
      </c>
      <c r="B7120" s="5" t="str">
        <f t="shared" si="1454"/>
        <v>Northern Cardinal</v>
      </c>
      <c r="C7120" s="6">
        <f t="shared" si="1454"/>
        <v>0.35069444444444442</v>
      </c>
      <c r="D7120" s="5"/>
      <c r="E7120" s="5"/>
      <c r="F7120" s="5" t="s">
        <v>22</v>
      </c>
      <c r="G7120" s="15" t="s">
        <v>22</v>
      </c>
      <c r="H7120" s="24">
        <f t="shared" si="1398"/>
        <v>0</v>
      </c>
      <c r="I7120" s="24" cm="1">
        <f t="array" ref="I7120">IFERROR(IF($B7120=I$1, ($A7120+$C7120) - MAX(IF($B$2:$B7119=$B7120, $A$2:$A7119+$C$2:$C7119)), "")*24*60, "")</f>
        <v>0</v>
      </c>
      <c r="J7120" s="24" t="str" cm="1">
        <f t="array" ref="J7120">IFERROR(IF($B7120=J$1, ($A7120+$C7120) - MAX(IF($B$2:$B7119=$B7120, $A$2:$A7119+$C$2:$C7119)), "")*24*60, "")</f>
        <v/>
      </c>
      <c r="K7120" s="24" t="str" cm="1">
        <f t="array" ref="K7120">IFERROR(IF($B7120=K$1, ($A7120+$C7120) - MAX(IF($B$2:$B7119=$B7120, $A$2:$A7119+$C$2:$C7119)), "")*24*60, "")</f>
        <v/>
      </c>
      <c r="L7120" s="24" t="str" cm="1">
        <f t="array" ref="L7120">IFERROR(IF($B7120=L$1, ($A7120+$C7120) - MAX(IF($B$2:$B7119=$B7120, $A$2:$A7119+$C$2:$C7119)), "")*24*60, "")</f>
        <v/>
      </c>
      <c r="M7120" s="24" t="str" cm="1">
        <f t="array" ref="M7120">IFERROR(IF($B7120=M$1, ($A7120+$C7120) - MAX(IF($B$2:$B7119=$B7120, $A$2:$A7119+$C$2:$C7119)), "")*24*60, "")</f>
        <v/>
      </c>
      <c r="N7120" s="24" t="str" cm="1">
        <f t="array" ref="N7120">IFERROR(IF($B7120=N$1, ($A7120+$C7120) - MAX(IF($B$2:$B7119=$B7120, $A$2:$A7119+$C$2:$C7119)), "")*24*60, "")</f>
        <v/>
      </c>
      <c r="O7120" s="24" t="str" cm="1">
        <f t="array" ref="O7120">IFERROR(IF($B7120=O$1, ($A7120+$C7120) - MAX(IF($B$2:$B7119=$B7120, $A$2:$A7119+$C$2:$C7119)), "")*24*60, "")</f>
        <v/>
      </c>
      <c r="P7120" s="24" t="str" cm="1">
        <f t="array" ref="P7120">IFERROR(IF($B7120=P$1, ($A7120+$C7120) - MAX(IF($B$2:$B7119=$B7120, $A$2:$A7119+$C$2:$C7119)), "")*24*60, "")</f>
        <v/>
      </c>
      <c r="Q7120" s="24" t="str" cm="1">
        <f t="array" ref="Q7120">IFERROR(IF($B7120=Q$1, ($A7120+$C7120) - MAX(IF($B$2:$B7119=$B7120, $A$2:$A7119+$C$2:$C7119)), "")*24*60, "")</f>
        <v/>
      </c>
      <c r="R7120" s="24" t="str" cm="1">
        <f t="array" ref="R7120">IFERROR(IF($B7120=R$1, ($A7120+$C7120) - MAX(IF($B$2:$B7119=$B7120, $A$2:$A7119+$C$2:$C7119)), "")*24*60, "")</f>
        <v/>
      </c>
      <c r="S7120" s="24" t="str" cm="1">
        <f t="array" ref="S7120">IFERROR(IF($B7120=S$1, ($A7120+$C7120) - MAX(IF($B$2:$B7119=$B7120, $A$2:$A7119+$C$2:$C7119)), "")*24*60, "")</f>
        <v/>
      </c>
    </row>
    <row r="7121" spans="1:19" x14ac:dyDescent="0.2">
      <c r="A7121" s="12">
        <f t="shared" ref="A7121:C7121" si="1455">A7120</f>
        <v>46005</v>
      </c>
      <c r="B7121" s="5" t="str">
        <f t="shared" si="1455"/>
        <v>Northern Cardinal</v>
      </c>
      <c r="C7121" s="6">
        <f t="shared" si="1455"/>
        <v>0.35069444444444442</v>
      </c>
      <c r="D7121" s="5"/>
      <c r="E7121" s="5"/>
      <c r="F7121" s="5" t="s">
        <v>22</v>
      </c>
      <c r="G7121" s="15" t="s">
        <v>22</v>
      </c>
      <c r="H7121" s="24">
        <f t="shared" si="1398"/>
        <v>0</v>
      </c>
      <c r="I7121" s="24" cm="1">
        <f t="array" ref="I7121">IFERROR(IF($B7121=I$1, ($A7121+$C7121) - MAX(IF($B$2:$B7120=$B7121, $A$2:$A7120+$C$2:$C7120)), "")*24*60, "")</f>
        <v>0</v>
      </c>
      <c r="J7121" s="24" t="str" cm="1">
        <f t="array" ref="J7121">IFERROR(IF($B7121=J$1, ($A7121+$C7121) - MAX(IF($B$2:$B7120=$B7121, $A$2:$A7120+$C$2:$C7120)), "")*24*60, "")</f>
        <v/>
      </c>
      <c r="K7121" s="24" t="str" cm="1">
        <f t="array" ref="K7121">IFERROR(IF($B7121=K$1, ($A7121+$C7121) - MAX(IF($B$2:$B7120=$B7121, $A$2:$A7120+$C$2:$C7120)), "")*24*60, "")</f>
        <v/>
      </c>
      <c r="L7121" s="24" t="str" cm="1">
        <f t="array" ref="L7121">IFERROR(IF($B7121=L$1, ($A7121+$C7121) - MAX(IF($B$2:$B7120=$B7121, $A$2:$A7120+$C$2:$C7120)), "")*24*60, "")</f>
        <v/>
      </c>
      <c r="M7121" s="24" t="str" cm="1">
        <f t="array" ref="M7121">IFERROR(IF($B7121=M$1, ($A7121+$C7121) - MAX(IF($B$2:$B7120=$B7121, $A$2:$A7120+$C$2:$C7120)), "")*24*60, "")</f>
        <v/>
      </c>
      <c r="N7121" s="24" t="str" cm="1">
        <f t="array" ref="N7121">IFERROR(IF($B7121=N$1, ($A7121+$C7121) - MAX(IF($B$2:$B7120=$B7121, $A$2:$A7120+$C$2:$C7120)), "")*24*60, "")</f>
        <v/>
      </c>
      <c r="O7121" s="24" t="str" cm="1">
        <f t="array" ref="O7121">IFERROR(IF($B7121=O$1, ($A7121+$C7121) - MAX(IF($B$2:$B7120=$B7121, $A$2:$A7120+$C$2:$C7120)), "")*24*60, "")</f>
        <v/>
      </c>
      <c r="P7121" s="24" t="str" cm="1">
        <f t="array" ref="P7121">IFERROR(IF($B7121=P$1, ($A7121+$C7121) - MAX(IF($B$2:$B7120=$B7121, $A$2:$A7120+$C$2:$C7120)), "")*24*60, "")</f>
        <v/>
      </c>
      <c r="Q7121" s="24" t="str" cm="1">
        <f t="array" ref="Q7121">IFERROR(IF($B7121=Q$1, ($A7121+$C7121) - MAX(IF($B$2:$B7120=$B7121, $A$2:$A7120+$C$2:$C7120)), "")*24*60, "")</f>
        <v/>
      </c>
      <c r="R7121" s="24" t="str" cm="1">
        <f t="array" ref="R7121">IFERROR(IF($B7121=R$1, ($A7121+$C7121) - MAX(IF($B$2:$B7120=$B7121, $A$2:$A7120+$C$2:$C7120)), "")*24*60, "")</f>
        <v/>
      </c>
      <c r="S7121" s="24" t="str" cm="1">
        <f t="array" ref="S7121">IFERROR(IF($B7121=S$1, ($A7121+$C7121) - MAX(IF($B$2:$B7120=$B7121, $A$2:$A7120+$C$2:$C7120)), "")*24*60, "")</f>
        <v/>
      </c>
    </row>
    <row r="7122" spans="1:19" x14ac:dyDescent="0.2">
      <c r="A7122" s="12">
        <f t="shared" ref="A7122:C7122" si="1456">A7121</f>
        <v>46005</v>
      </c>
      <c r="B7122" s="5" t="str">
        <f t="shared" si="1456"/>
        <v>Northern Cardinal</v>
      </c>
      <c r="C7122" s="6">
        <f t="shared" si="1456"/>
        <v>0.35069444444444442</v>
      </c>
      <c r="D7122" s="5"/>
      <c r="E7122" s="5"/>
      <c r="F7122" s="5" t="s">
        <v>22</v>
      </c>
      <c r="G7122" s="15" t="s">
        <v>22</v>
      </c>
      <c r="H7122" s="24">
        <f t="shared" si="1398"/>
        <v>0</v>
      </c>
      <c r="I7122" s="24" cm="1">
        <f t="array" ref="I7122">IFERROR(IF($B7122=I$1, ($A7122+$C7122) - MAX(IF($B$2:$B7121=$B7122, $A$2:$A7121+$C$2:$C7121)), "")*24*60, "")</f>
        <v>0</v>
      </c>
      <c r="J7122" s="24" t="str" cm="1">
        <f t="array" ref="J7122">IFERROR(IF($B7122=J$1, ($A7122+$C7122) - MAX(IF($B$2:$B7121=$B7122, $A$2:$A7121+$C$2:$C7121)), "")*24*60, "")</f>
        <v/>
      </c>
      <c r="K7122" s="24" t="str" cm="1">
        <f t="array" ref="K7122">IFERROR(IF($B7122=K$1, ($A7122+$C7122) - MAX(IF($B$2:$B7121=$B7122, $A$2:$A7121+$C$2:$C7121)), "")*24*60, "")</f>
        <v/>
      </c>
      <c r="L7122" s="24" t="str" cm="1">
        <f t="array" ref="L7122">IFERROR(IF($B7122=L$1, ($A7122+$C7122) - MAX(IF($B$2:$B7121=$B7122, $A$2:$A7121+$C$2:$C7121)), "")*24*60, "")</f>
        <v/>
      </c>
      <c r="M7122" s="24" t="str" cm="1">
        <f t="array" ref="M7122">IFERROR(IF($B7122=M$1, ($A7122+$C7122) - MAX(IF($B$2:$B7121=$B7122, $A$2:$A7121+$C$2:$C7121)), "")*24*60, "")</f>
        <v/>
      </c>
      <c r="N7122" s="24" t="str" cm="1">
        <f t="array" ref="N7122">IFERROR(IF($B7122=N$1, ($A7122+$C7122) - MAX(IF($B$2:$B7121=$B7122, $A$2:$A7121+$C$2:$C7121)), "")*24*60, "")</f>
        <v/>
      </c>
      <c r="O7122" s="24" t="str" cm="1">
        <f t="array" ref="O7122">IFERROR(IF($B7122=O$1, ($A7122+$C7122) - MAX(IF($B$2:$B7121=$B7122, $A$2:$A7121+$C$2:$C7121)), "")*24*60, "")</f>
        <v/>
      </c>
      <c r="P7122" s="24" t="str" cm="1">
        <f t="array" ref="P7122">IFERROR(IF($B7122=P$1, ($A7122+$C7122) - MAX(IF($B$2:$B7121=$B7122, $A$2:$A7121+$C$2:$C7121)), "")*24*60, "")</f>
        <v/>
      </c>
      <c r="Q7122" s="24" t="str" cm="1">
        <f t="array" ref="Q7122">IFERROR(IF($B7122=Q$1, ($A7122+$C7122) - MAX(IF($B$2:$B7121=$B7122, $A$2:$A7121+$C$2:$C7121)), "")*24*60, "")</f>
        <v/>
      </c>
      <c r="R7122" s="24" t="str" cm="1">
        <f t="array" ref="R7122">IFERROR(IF($B7122=R$1, ($A7122+$C7122) - MAX(IF($B$2:$B7121=$B7122, $A$2:$A7121+$C$2:$C7121)), "")*24*60, "")</f>
        <v/>
      </c>
      <c r="S7122" s="24" t="str" cm="1">
        <f t="array" ref="S7122">IFERROR(IF($B7122=S$1, ($A7122+$C7122) - MAX(IF($B$2:$B7121=$B7122, $A$2:$A7121+$C$2:$C7121)), "")*24*60, "")</f>
        <v/>
      </c>
    </row>
    <row r="7123" spans="1:19" x14ac:dyDescent="0.2">
      <c r="A7123" s="12">
        <f t="shared" ref="A7123:C7123" si="1457">A7122</f>
        <v>46005</v>
      </c>
      <c r="B7123" s="5" t="str">
        <f t="shared" si="1457"/>
        <v>Northern Cardinal</v>
      </c>
      <c r="C7123" s="6">
        <f t="shared" si="1457"/>
        <v>0.35069444444444442</v>
      </c>
      <c r="D7123" s="5"/>
      <c r="E7123" s="5"/>
      <c r="F7123" s="5" t="s">
        <v>22</v>
      </c>
      <c r="G7123" s="15" t="s">
        <v>22</v>
      </c>
      <c r="H7123" s="24">
        <f t="shared" si="1398"/>
        <v>0</v>
      </c>
      <c r="I7123" s="24" cm="1">
        <f t="array" ref="I7123">IFERROR(IF($B7123=I$1, ($A7123+$C7123) - MAX(IF($B$2:$B7122=$B7123, $A$2:$A7122+$C$2:$C7122)), "")*24*60, "")</f>
        <v>0</v>
      </c>
      <c r="J7123" s="24" t="str" cm="1">
        <f t="array" ref="J7123">IFERROR(IF($B7123=J$1, ($A7123+$C7123) - MAX(IF($B$2:$B7122=$B7123, $A$2:$A7122+$C$2:$C7122)), "")*24*60, "")</f>
        <v/>
      </c>
      <c r="K7123" s="24" t="str" cm="1">
        <f t="array" ref="K7123">IFERROR(IF($B7123=K$1, ($A7123+$C7123) - MAX(IF($B$2:$B7122=$B7123, $A$2:$A7122+$C$2:$C7122)), "")*24*60, "")</f>
        <v/>
      </c>
      <c r="L7123" s="24" t="str" cm="1">
        <f t="array" ref="L7123">IFERROR(IF($B7123=L$1, ($A7123+$C7123) - MAX(IF($B$2:$B7122=$B7123, $A$2:$A7122+$C$2:$C7122)), "")*24*60, "")</f>
        <v/>
      </c>
      <c r="M7123" s="24" t="str" cm="1">
        <f t="array" ref="M7123">IFERROR(IF($B7123=M$1, ($A7123+$C7123) - MAX(IF($B$2:$B7122=$B7123, $A$2:$A7122+$C$2:$C7122)), "")*24*60, "")</f>
        <v/>
      </c>
      <c r="N7123" s="24" t="str" cm="1">
        <f t="array" ref="N7123">IFERROR(IF($B7123=N$1, ($A7123+$C7123) - MAX(IF($B$2:$B7122=$B7123, $A$2:$A7122+$C$2:$C7122)), "")*24*60, "")</f>
        <v/>
      </c>
      <c r="O7123" s="24" t="str" cm="1">
        <f t="array" ref="O7123">IFERROR(IF($B7123=O$1, ($A7123+$C7123) - MAX(IF($B$2:$B7122=$B7123, $A$2:$A7122+$C$2:$C7122)), "")*24*60, "")</f>
        <v/>
      </c>
      <c r="P7123" s="24" t="str" cm="1">
        <f t="array" ref="P7123">IFERROR(IF($B7123=P$1, ($A7123+$C7123) - MAX(IF($B$2:$B7122=$B7123, $A$2:$A7122+$C$2:$C7122)), "")*24*60, "")</f>
        <v/>
      </c>
      <c r="Q7123" s="24" t="str" cm="1">
        <f t="array" ref="Q7123">IFERROR(IF($B7123=Q$1, ($A7123+$C7123) - MAX(IF($B$2:$B7122=$B7123, $A$2:$A7122+$C$2:$C7122)), "")*24*60, "")</f>
        <v/>
      </c>
      <c r="R7123" s="24" t="str" cm="1">
        <f t="array" ref="R7123">IFERROR(IF($B7123=R$1, ($A7123+$C7123) - MAX(IF($B$2:$B7122=$B7123, $A$2:$A7122+$C$2:$C7122)), "")*24*60, "")</f>
        <v/>
      </c>
      <c r="S7123" s="24" t="str" cm="1">
        <f t="array" ref="S7123">IFERROR(IF($B7123=S$1, ($A7123+$C7123) - MAX(IF($B$2:$B7122=$B7123, $A$2:$A7122+$C$2:$C7122)), "")*24*60, "")</f>
        <v/>
      </c>
    </row>
    <row r="7124" spans="1:19" x14ac:dyDescent="0.2">
      <c r="A7124" s="12">
        <f t="shared" ref="A7124:C7124" si="1458">A7123</f>
        <v>46005</v>
      </c>
      <c r="B7124" s="5" t="str">
        <f t="shared" si="1458"/>
        <v>Northern Cardinal</v>
      </c>
      <c r="C7124" s="6">
        <f t="shared" si="1458"/>
        <v>0.35069444444444442</v>
      </c>
      <c r="D7124" s="5"/>
      <c r="E7124" s="5"/>
      <c r="F7124" s="5" t="s">
        <v>22</v>
      </c>
      <c r="G7124" s="15" t="s">
        <v>22</v>
      </c>
      <c r="H7124" s="24">
        <f t="shared" si="1398"/>
        <v>0</v>
      </c>
      <c r="I7124" s="24" cm="1">
        <f t="array" ref="I7124">IFERROR(IF($B7124=I$1, ($A7124+$C7124) - MAX(IF($B$2:$B7123=$B7124, $A$2:$A7123+$C$2:$C7123)), "")*24*60, "")</f>
        <v>0</v>
      </c>
      <c r="J7124" s="24" t="str" cm="1">
        <f t="array" ref="J7124">IFERROR(IF($B7124=J$1, ($A7124+$C7124) - MAX(IF($B$2:$B7123=$B7124, $A$2:$A7123+$C$2:$C7123)), "")*24*60, "")</f>
        <v/>
      </c>
      <c r="K7124" s="24" t="str" cm="1">
        <f t="array" ref="K7124">IFERROR(IF($B7124=K$1, ($A7124+$C7124) - MAX(IF($B$2:$B7123=$B7124, $A$2:$A7123+$C$2:$C7123)), "")*24*60, "")</f>
        <v/>
      </c>
      <c r="L7124" s="24" t="str" cm="1">
        <f t="array" ref="L7124">IFERROR(IF($B7124=L$1, ($A7124+$C7124) - MAX(IF($B$2:$B7123=$B7124, $A$2:$A7123+$C$2:$C7123)), "")*24*60, "")</f>
        <v/>
      </c>
      <c r="M7124" s="24" t="str" cm="1">
        <f t="array" ref="M7124">IFERROR(IF($B7124=M$1, ($A7124+$C7124) - MAX(IF($B$2:$B7123=$B7124, $A$2:$A7123+$C$2:$C7123)), "")*24*60, "")</f>
        <v/>
      </c>
      <c r="N7124" s="24" t="str" cm="1">
        <f t="array" ref="N7124">IFERROR(IF($B7124=N$1, ($A7124+$C7124) - MAX(IF($B$2:$B7123=$B7124, $A$2:$A7123+$C$2:$C7123)), "")*24*60, "")</f>
        <v/>
      </c>
      <c r="O7124" s="24" t="str" cm="1">
        <f t="array" ref="O7124">IFERROR(IF($B7124=O$1, ($A7124+$C7124) - MAX(IF($B$2:$B7123=$B7124, $A$2:$A7123+$C$2:$C7123)), "")*24*60, "")</f>
        <v/>
      </c>
      <c r="P7124" s="24" t="str" cm="1">
        <f t="array" ref="P7124">IFERROR(IF($B7124=P$1, ($A7124+$C7124) - MAX(IF($B$2:$B7123=$B7124, $A$2:$A7123+$C$2:$C7123)), "")*24*60, "")</f>
        <v/>
      </c>
      <c r="Q7124" s="24" t="str" cm="1">
        <f t="array" ref="Q7124">IFERROR(IF($B7124=Q$1, ($A7124+$C7124) - MAX(IF($B$2:$B7123=$B7124, $A$2:$A7123+$C$2:$C7123)), "")*24*60, "")</f>
        <v/>
      </c>
      <c r="R7124" s="24" t="str" cm="1">
        <f t="array" ref="R7124">IFERROR(IF($B7124=R$1, ($A7124+$C7124) - MAX(IF($B$2:$B7123=$B7124, $A$2:$A7123+$C$2:$C7123)), "")*24*60, "")</f>
        <v/>
      </c>
      <c r="S7124" s="24" t="str" cm="1">
        <f t="array" ref="S7124">IFERROR(IF($B7124=S$1, ($A7124+$C7124) - MAX(IF($B$2:$B7123=$B7124, $A$2:$A7123+$C$2:$C7123)), "")*24*60, "")</f>
        <v/>
      </c>
    </row>
    <row r="7125" spans="1:19" x14ac:dyDescent="0.2">
      <c r="A7125" s="12">
        <f t="shared" ref="A7125:C7125" si="1459">A7124</f>
        <v>46005</v>
      </c>
      <c r="B7125" s="5" t="str">
        <f t="shared" si="1459"/>
        <v>Northern Cardinal</v>
      </c>
      <c r="C7125" s="6">
        <f t="shared" si="1459"/>
        <v>0.35069444444444442</v>
      </c>
      <c r="D7125" s="5"/>
      <c r="E7125" s="5"/>
      <c r="F7125" s="5" t="s">
        <v>22</v>
      </c>
      <c r="G7125" s="15" t="s">
        <v>22</v>
      </c>
      <c r="H7125" s="24">
        <f t="shared" si="1398"/>
        <v>0</v>
      </c>
      <c r="I7125" s="24" cm="1">
        <f t="array" ref="I7125">IFERROR(IF($B7125=I$1, ($A7125+$C7125) - MAX(IF($B$2:$B7124=$B7125, $A$2:$A7124+$C$2:$C7124)), "")*24*60, "")</f>
        <v>0</v>
      </c>
      <c r="J7125" s="24" t="str" cm="1">
        <f t="array" ref="J7125">IFERROR(IF($B7125=J$1, ($A7125+$C7125) - MAX(IF($B$2:$B7124=$B7125, $A$2:$A7124+$C$2:$C7124)), "")*24*60, "")</f>
        <v/>
      </c>
      <c r="K7125" s="24" t="str" cm="1">
        <f t="array" ref="K7125">IFERROR(IF($B7125=K$1, ($A7125+$C7125) - MAX(IF($B$2:$B7124=$B7125, $A$2:$A7124+$C$2:$C7124)), "")*24*60, "")</f>
        <v/>
      </c>
      <c r="L7125" s="24" t="str" cm="1">
        <f t="array" ref="L7125">IFERROR(IF($B7125=L$1, ($A7125+$C7125) - MAX(IF($B$2:$B7124=$B7125, $A$2:$A7124+$C$2:$C7124)), "")*24*60, "")</f>
        <v/>
      </c>
      <c r="M7125" s="24" t="str" cm="1">
        <f t="array" ref="M7125">IFERROR(IF($B7125=M$1, ($A7125+$C7125) - MAX(IF($B$2:$B7124=$B7125, $A$2:$A7124+$C$2:$C7124)), "")*24*60, "")</f>
        <v/>
      </c>
      <c r="N7125" s="24" t="str" cm="1">
        <f t="array" ref="N7125">IFERROR(IF($B7125=N$1, ($A7125+$C7125) - MAX(IF($B$2:$B7124=$B7125, $A$2:$A7124+$C$2:$C7124)), "")*24*60, "")</f>
        <v/>
      </c>
      <c r="O7125" s="24" t="str" cm="1">
        <f t="array" ref="O7125">IFERROR(IF($B7125=O$1, ($A7125+$C7125) - MAX(IF($B$2:$B7124=$B7125, $A$2:$A7124+$C$2:$C7124)), "")*24*60, "")</f>
        <v/>
      </c>
      <c r="P7125" s="24" t="str" cm="1">
        <f t="array" ref="P7125">IFERROR(IF($B7125=P$1, ($A7125+$C7125) - MAX(IF($B$2:$B7124=$B7125, $A$2:$A7124+$C$2:$C7124)), "")*24*60, "")</f>
        <v/>
      </c>
      <c r="Q7125" s="24" t="str" cm="1">
        <f t="array" ref="Q7125">IFERROR(IF($B7125=Q$1, ($A7125+$C7125) - MAX(IF($B$2:$B7124=$B7125, $A$2:$A7124+$C$2:$C7124)), "")*24*60, "")</f>
        <v/>
      </c>
      <c r="R7125" s="24" t="str" cm="1">
        <f t="array" ref="R7125">IFERROR(IF($B7125=R$1, ($A7125+$C7125) - MAX(IF($B$2:$B7124=$B7125, $A$2:$A7124+$C$2:$C7124)), "")*24*60, "")</f>
        <v/>
      </c>
      <c r="S7125" s="24" t="str" cm="1">
        <f t="array" ref="S7125">IFERROR(IF($B7125=S$1, ($A7125+$C7125) - MAX(IF($B$2:$B7124=$B7125, $A$2:$A7124+$C$2:$C7124)), "")*24*60, "")</f>
        <v/>
      </c>
    </row>
    <row r="7126" spans="1:19" x14ac:dyDescent="0.2">
      <c r="A7126" s="12">
        <f t="shared" ref="A7126:C7126" si="1460">A7125</f>
        <v>46005</v>
      </c>
      <c r="B7126" s="5" t="str">
        <f t="shared" si="1460"/>
        <v>Northern Cardinal</v>
      </c>
      <c r="C7126" s="6">
        <f t="shared" si="1460"/>
        <v>0.35069444444444442</v>
      </c>
      <c r="D7126" s="5"/>
      <c r="E7126" s="5"/>
      <c r="F7126" s="5" t="s">
        <v>22</v>
      </c>
      <c r="G7126" s="15" t="s">
        <v>22</v>
      </c>
      <c r="H7126" s="24">
        <f t="shared" si="1398"/>
        <v>0</v>
      </c>
      <c r="I7126" s="24" cm="1">
        <f t="array" ref="I7126">IFERROR(IF($B7126=I$1, ($A7126+$C7126) - MAX(IF($B$2:$B7125=$B7126, $A$2:$A7125+$C$2:$C7125)), "")*24*60, "")</f>
        <v>0</v>
      </c>
      <c r="J7126" s="24" t="str" cm="1">
        <f t="array" ref="J7126">IFERROR(IF($B7126=J$1, ($A7126+$C7126) - MAX(IF($B$2:$B7125=$B7126, $A$2:$A7125+$C$2:$C7125)), "")*24*60, "")</f>
        <v/>
      </c>
      <c r="K7126" s="24" t="str" cm="1">
        <f t="array" ref="K7126">IFERROR(IF($B7126=K$1, ($A7126+$C7126) - MAX(IF($B$2:$B7125=$B7126, $A$2:$A7125+$C$2:$C7125)), "")*24*60, "")</f>
        <v/>
      </c>
      <c r="L7126" s="24" t="str" cm="1">
        <f t="array" ref="L7126">IFERROR(IF($B7126=L$1, ($A7126+$C7126) - MAX(IF($B$2:$B7125=$B7126, $A$2:$A7125+$C$2:$C7125)), "")*24*60, "")</f>
        <v/>
      </c>
      <c r="M7126" s="24" t="str" cm="1">
        <f t="array" ref="M7126">IFERROR(IF($B7126=M$1, ($A7126+$C7126) - MAX(IF($B$2:$B7125=$B7126, $A$2:$A7125+$C$2:$C7125)), "")*24*60, "")</f>
        <v/>
      </c>
      <c r="N7126" s="24" t="str" cm="1">
        <f t="array" ref="N7126">IFERROR(IF($B7126=N$1, ($A7126+$C7126) - MAX(IF($B$2:$B7125=$B7126, $A$2:$A7125+$C$2:$C7125)), "")*24*60, "")</f>
        <v/>
      </c>
      <c r="O7126" s="24" t="str" cm="1">
        <f t="array" ref="O7126">IFERROR(IF($B7126=O$1, ($A7126+$C7126) - MAX(IF($B$2:$B7125=$B7126, $A$2:$A7125+$C$2:$C7125)), "")*24*60, "")</f>
        <v/>
      </c>
      <c r="P7126" s="24" t="str" cm="1">
        <f t="array" ref="P7126">IFERROR(IF($B7126=P$1, ($A7126+$C7126) - MAX(IF($B$2:$B7125=$B7126, $A$2:$A7125+$C$2:$C7125)), "")*24*60, "")</f>
        <v/>
      </c>
      <c r="Q7126" s="24" t="str" cm="1">
        <f t="array" ref="Q7126">IFERROR(IF($B7126=Q$1, ($A7126+$C7126) - MAX(IF($B$2:$B7125=$B7126, $A$2:$A7125+$C$2:$C7125)), "")*24*60, "")</f>
        <v/>
      </c>
      <c r="R7126" s="24" t="str" cm="1">
        <f t="array" ref="R7126">IFERROR(IF($B7126=R$1, ($A7126+$C7126) - MAX(IF($B$2:$B7125=$B7126, $A$2:$A7125+$C$2:$C7125)), "")*24*60, "")</f>
        <v/>
      </c>
      <c r="S7126" s="24" t="str" cm="1">
        <f t="array" ref="S7126">IFERROR(IF($B7126=S$1, ($A7126+$C7126) - MAX(IF($B$2:$B7125=$B7126, $A$2:$A7125+$C$2:$C7125)), "")*24*60, "")</f>
        <v/>
      </c>
    </row>
    <row r="7127" spans="1:19" x14ac:dyDescent="0.2">
      <c r="A7127" s="12">
        <f t="shared" ref="A7127:C7127" si="1461">A7126</f>
        <v>46005</v>
      </c>
      <c r="B7127" s="5" t="str">
        <f t="shared" si="1461"/>
        <v>Northern Cardinal</v>
      </c>
      <c r="C7127" s="6">
        <f t="shared" si="1461"/>
        <v>0.35069444444444442</v>
      </c>
      <c r="D7127" s="5"/>
      <c r="E7127" s="5"/>
      <c r="F7127" s="5" t="s">
        <v>22</v>
      </c>
      <c r="G7127" s="15" t="s">
        <v>22</v>
      </c>
      <c r="H7127" s="24">
        <f t="shared" si="1398"/>
        <v>0</v>
      </c>
      <c r="I7127" s="24" cm="1">
        <f t="array" ref="I7127">IFERROR(IF($B7127=I$1, ($A7127+$C7127) - MAX(IF($B$2:$B7126=$B7127, $A$2:$A7126+$C$2:$C7126)), "")*24*60, "")</f>
        <v>0</v>
      </c>
      <c r="J7127" s="24" t="str" cm="1">
        <f t="array" ref="J7127">IFERROR(IF($B7127=J$1, ($A7127+$C7127) - MAX(IF($B$2:$B7126=$B7127, $A$2:$A7126+$C$2:$C7126)), "")*24*60, "")</f>
        <v/>
      </c>
      <c r="K7127" s="24" t="str" cm="1">
        <f t="array" ref="K7127">IFERROR(IF($B7127=K$1, ($A7127+$C7127) - MAX(IF($B$2:$B7126=$B7127, $A$2:$A7126+$C$2:$C7126)), "")*24*60, "")</f>
        <v/>
      </c>
      <c r="L7127" s="24" t="str" cm="1">
        <f t="array" ref="L7127">IFERROR(IF($B7127=L$1, ($A7127+$C7127) - MAX(IF($B$2:$B7126=$B7127, $A$2:$A7126+$C$2:$C7126)), "")*24*60, "")</f>
        <v/>
      </c>
      <c r="M7127" s="24" t="str" cm="1">
        <f t="array" ref="M7127">IFERROR(IF($B7127=M$1, ($A7127+$C7127) - MAX(IF($B$2:$B7126=$B7127, $A$2:$A7126+$C$2:$C7126)), "")*24*60, "")</f>
        <v/>
      </c>
      <c r="N7127" s="24" t="str" cm="1">
        <f t="array" ref="N7127">IFERROR(IF($B7127=N$1, ($A7127+$C7127) - MAX(IF($B$2:$B7126=$B7127, $A$2:$A7126+$C$2:$C7126)), "")*24*60, "")</f>
        <v/>
      </c>
      <c r="O7127" s="24" t="str" cm="1">
        <f t="array" ref="O7127">IFERROR(IF($B7127=O$1, ($A7127+$C7127) - MAX(IF($B$2:$B7126=$B7127, $A$2:$A7126+$C$2:$C7126)), "")*24*60, "")</f>
        <v/>
      </c>
      <c r="P7127" s="24" t="str" cm="1">
        <f t="array" ref="P7127">IFERROR(IF($B7127=P$1, ($A7127+$C7127) - MAX(IF($B$2:$B7126=$B7127, $A$2:$A7126+$C$2:$C7126)), "")*24*60, "")</f>
        <v/>
      </c>
      <c r="Q7127" s="24" t="str" cm="1">
        <f t="array" ref="Q7127">IFERROR(IF($B7127=Q$1, ($A7127+$C7127) - MAX(IF($B$2:$B7126=$B7127, $A$2:$A7126+$C$2:$C7126)), "")*24*60, "")</f>
        <v/>
      </c>
      <c r="R7127" s="24" t="str" cm="1">
        <f t="array" ref="R7127">IFERROR(IF($B7127=R$1, ($A7127+$C7127) - MAX(IF($B$2:$B7126=$B7127, $A$2:$A7126+$C$2:$C7126)), "")*24*60, "")</f>
        <v/>
      </c>
      <c r="S7127" s="24" t="str" cm="1">
        <f t="array" ref="S7127">IFERROR(IF($B7127=S$1, ($A7127+$C7127) - MAX(IF($B$2:$B7126=$B7127, $A$2:$A7126+$C$2:$C7126)), "")*24*60, "")</f>
        <v/>
      </c>
    </row>
    <row r="7128" spans="1:19" x14ac:dyDescent="0.2">
      <c r="A7128" s="12">
        <f t="shared" ref="A7128:C7128" si="1462">A7127</f>
        <v>46005</v>
      </c>
      <c r="B7128" s="5" t="str">
        <f t="shared" si="1462"/>
        <v>Northern Cardinal</v>
      </c>
      <c r="C7128" s="6">
        <f t="shared" si="1462"/>
        <v>0.35069444444444442</v>
      </c>
      <c r="D7128" s="5"/>
      <c r="E7128" s="5"/>
      <c r="F7128" s="5" t="s">
        <v>22</v>
      </c>
      <c r="G7128" s="15" t="s">
        <v>22</v>
      </c>
      <c r="H7128" s="24">
        <f t="shared" ref="H7128:H7190" si="1463">IFERROR((($A7128+$C7128) - ($A7127+$C7127))*24*60, "")</f>
        <v>0</v>
      </c>
      <c r="I7128" s="24" cm="1">
        <f t="array" ref="I7128">IFERROR(IF($B7128=I$1, ($A7128+$C7128) - MAX(IF($B$2:$B7127=$B7128, $A$2:$A7127+$C$2:$C7127)), "")*24*60, "")</f>
        <v>0</v>
      </c>
      <c r="J7128" s="24" t="str" cm="1">
        <f t="array" ref="J7128">IFERROR(IF($B7128=J$1, ($A7128+$C7128) - MAX(IF($B$2:$B7127=$B7128, $A$2:$A7127+$C$2:$C7127)), "")*24*60, "")</f>
        <v/>
      </c>
      <c r="K7128" s="24" t="str" cm="1">
        <f t="array" ref="K7128">IFERROR(IF($B7128=K$1, ($A7128+$C7128) - MAX(IF($B$2:$B7127=$B7128, $A$2:$A7127+$C$2:$C7127)), "")*24*60, "")</f>
        <v/>
      </c>
      <c r="L7128" s="24" t="str" cm="1">
        <f t="array" ref="L7128">IFERROR(IF($B7128=L$1, ($A7128+$C7128) - MAX(IF($B$2:$B7127=$B7128, $A$2:$A7127+$C$2:$C7127)), "")*24*60, "")</f>
        <v/>
      </c>
      <c r="M7128" s="24" t="str" cm="1">
        <f t="array" ref="M7128">IFERROR(IF($B7128=M$1, ($A7128+$C7128) - MAX(IF($B$2:$B7127=$B7128, $A$2:$A7127+$C$2:$C7127)), "")*24*60, "")</f>
        <v/>
      </c>
      <c r="N7128" s="24" t="str" cm="1">
        <f t="array" ref="N7128">IFERROR(IF($B7128=N$1, ($A7128+$C7128) - MAX(IF($B$2:$B7127=$B7128, $A$2:$A7127+$C$2:$C7127)), "")*24*60, "")</f>
        <v/>
      </c>
      <c r="O7128" s="24" t="str" cm="1">
        <f t="array" ref="O7128">IFERROR(IF($B7128=O$1, ($A7128+$C7128) - MAX(IF($B$2:$B7127=$B7128, $A$2:$A7127+$C$2:$C7127)), "")*24*60, "")</f>
        <v/>
      </c>
      <c r="P7128" s="24" t="str" cm="1">
        <f t="array" ref="P7128">IFERROR(IF($B7128=P$1, ($A7128+$C7128) - MAX(IF($B$2:$B7127=$B7128, $A$2:$A7127+$C$2:$C7127)), "")*24*60, "")</f>
        <v/>
      </c>
      <c r="Q7128" s="24" t="str" cm="1">
        <f t="array" ref="Q7128">IFERROR(IF($B7128=Q$1, ($A7128+$C7128) - MAX(IF($B$2:$B7127=$B7128, $A$2:$A7127+$C$2:$C7127)), "")*24*60, "")</f>
        <v/>
      </c>
      <c r="R7128" s="24" t="str" cm="1">
        <f t="array" ref="R7128">IFERROR(IF($B7128=R$1, ($A7128+$C7128) - MAX(IF($B$2:$B7127=$B7128, $A$2:$A7127+$C$2:$C7127)), "")*24*60, "")</f>
        <v/>
      </c>
      <c r="S7128" s="24" t="str" cm="1">
        <f t="array" ref="S7128">IFERROR(IF($B7128=S$1, ($A7128+$C7128) - MAX(IF($B$2:$B7127=$B7128, $A$2:$A7127+$C$2:$C7127)), "")*24*60, "")</f>
        <v/>
      </c>
    </row>
    <row r="7129" spans="1:19" x14ac:dyDescent="0.2">
      <c r="A7129" s="12">
        <f t="shared" ref="A7129:C7129" si="1464">A7128</f>
        <v>46005</v>
      </c>
      <c r="B7129" s="5" t="str">
        <f t="shared" si="1464"/>
        <v>Northern Cardinal</v>
      </c>
      <c r="C7129" s="6">
        <f t="shared" si="1464"/>
        <v>0.35069444444444442</v>
      </c>
      <c r="D7129" s="5"/>
      <c r="E7129" s="5"/>
      <c r="F7129" s="5" t="s">
        <v>22</v>
      </c>
      <c r="G7129" s="15" t="s">
        <v>22</v>
      </c>
      <c r="H7129" s="24">
        <f t="shared" si="1463"/>
        <v>0</v>
      </c>
      <c r="I7129" s="24" cm="1">
        <f t="array" ref="I7129">IFERROR(IF($B7129=I$1, ($A7129+$C7129) - MAX(IF($B$2:$B7128=$B7129, $A$2:$A7128+$C$2:$C7128)), "")*24*60, "")</f>
        <v>0</v>
      </c>
      <c r="J7129" s="24" t="str" cm="1">
        <f t="array" ref="J7129">IFERROR(IF($B7129=J$1, ($A7129+$C7129) - MAX(IF($B$2:$B7128=$B7129, $A$2:$A7128+$C$2:$C7128)), "")*24*60, "")</f>
        <v/>
      </c>
      <c r="K7129" s="24" t="str" cm="1">
        <f t="array" ref="K7129">IFERROR(IF($B7129=K$1, ($A7129+$C7129) - MAX(IF($B$2:$B7128=$B7129, $A$2:$A7128+$C$2:$C7128)), "")*24*60, "")</f>
        <v/>
      </c>
      <c r="L7129" s="24" t="str" cm="1">
        <f t="array" ref="L7129">IFERROR(IF($B7129=L$1, ($A7129+$C7129) - MAX(IF($B$2:$B7128=$B7129, $A$2:$A7128+$C$2:$C7128)), "")*24*60, "")</f>
        <v/>
      </c>
      <c r="M7129" s="24" t="str" cm="1">
        <f t="array" ref="M7129">IFERROR(IF($B7129=M$1, ($A7129+$C7129) - MAX(IF($B$2:$B7128=$B7129, $A$2:$A7128+$C$2:$C7128)), "")*24*60, "")</f>
        <v/>
      </c>
      <c r="N7129" s="24" t="str" cm="1">
        <f t="array" ref="N7129">IFERROR(IF($B7129=N$1, ($A7129+$C7129) - MAX(IF($B$2:$B7128=$B7129, $A$2:$A7128+$C$2:$C7128)), "")*24*60, "")</f>
        <v/>
      </c>
      <c r="O7129" s="24" t="str" cm="1">
        <f t="array" ref="O7129">IFERROR(IF($B7129=O$1, ($A7129+$C7129) - MAX(IF($B$2:$B7128=$B7129, $A$2:$A7128+$C$2:$C7128)), "")*24*60, "")</f>
        <v/>
      </c>
      <c r="P7129" s="24" t="str" cm="1">
        <f t="array" ref="P7129">IFERROR(IF($B7129=P$1, ($A7129+$C7129) - MAX(IF($B$2:$B7128=$B7129, $A$2:$A7128+$C$2:$C7128)), "")*24*60, "")</f>
        <v/>
      </c>
      <c r="Q7129" s="24" t="str" cm="1">
        <f t="array" ref="Q7129">IFERROR(IF($B7129=Q$1, ($A7129+$C7129) - MAX(IF($B$2:$B7128=$B7129, $A$2:$A7128+$C$2:$C7128)), "")*24*60, "")</f>
        <v/>
      </c>
      <c r="R7129" s="24" t="str" cm="1">
        <f t="array" ref="R7129">IFERROR(IF($B7129=R$1, ($A7129+$C7129) - MAX(IF($B$2:$B7128=$B7129, $A$2:$A7128+$C$2:$C7128)), "")*24*60, "")</f>
        <v/>
      </c>
      <c r="S7129" s="24" t="str" cm="1">
        <f t="array" ref="S7129">IFERROR(IF($B7129=S$1, ($A7129+$C7129) - MAX(IF($B$2:$B7128=$B7129, $A$2:$A7128+$C$2:$C7128)), "")*24*60, "")</f>
        <v/>
      </c>
    </row>
    <row r="7130" spans="1:19" x14ac:dyDescent="0.2">
      <c r="A7130" s="12">
        <f t="shared" ref="A7130:C7130" si="1465">A7129</f>
        <v>46005</v>
      </c>
      <c r="B7130" s="5" t="str">
        <f t="shared" si="1465"/>
        <v>Northern Cardinal</v>
      </c>
      <c r="C7130" s="6">
        <f t="shared" si="1465"/>
        <v>0.35069444444444442</v>
      </c>
      <c r="D7130" s="5"/>
      <c r="E7130" s="5"/>
      <c r="F7130" s="5" t="s">
        <v>22</v>
      </c>
      <c r="G7130" s="15" t="s">
        <v>22</v>
      </c>
      <c r="H7130" s="24">
        <f t="shared" si="1463"/>
        <v>0</v>
      </c>
      <c r="I7130" s="24" cm="1">
        <f t="array" ref="I7130">IFERROR(IF($B7130=I$1, ($A7130+$C7130) - MAX(IF($B$2:$B7129=$B7130, $A$2:$A7129+$C$2:$C7129)), "")*24*60, "")</f>
        <v>0</v>
      </c>
      <c r="J7130" s="24" t="str" cm="1">
        <f t="array" ref="J7130">IFERROR(IF($B7130=J$1, ($A7130+$C7130) - MAX(IF($B$2:$B7129=$B7130, $A$2:$A7129+$C$2:$C7129)), "")*24*60, "")</f>
        <v/>
      </c>
      <c r="K7130" s="24" t="str" cm="1">
        <f t="array" ref="K7130">IFERROR(IF($B7130=K$1, ($A7130+$C7130) - MAX(IF($B$2:$B7129=$B7130, $A$2:$A7129+$C$2:$C7129)), "")*24*60, "")</f>
        <v/>
      </c>
      <c r="L7130" s="24" t="str" cm="1">
        <f t="array" ref="L7130">IFERROR(IF($B7130=L$1, ($A7130+$C7130) - MAX(IF($B$2:$B7129=$B7130, $A$2:$A7129+$C$2:$C7129)), "")*24*60, "")</f>
        <v/>
      </c>
      <c r="M7130" s="24" t="str" cm="1">
        <f t="array" ref="M7130">IFERROR(IF($B7130=M$1, ($A7130+$C7130) - MAX(IF($B$2:$B7129=$B7130, $A$2:$A7129+$C$2:$C7129)), "")*24*60, "")</f>
        <v/>
      </c>
      <c r="N7130" s="24" t="str" cm="1">
        <f t="array" ref="N7130">IFERROR(IF($B7130=N$1, ($A7130+$C7130) - MAX(IF($B$2:$B7129=$B7130, $A$2:$A7129+$C$2:$C7129)), "")*24*60, "")</f>
        <v/>
      </c>
      <c r="O7130" s="24" t="str" cm="1">
        <f t="array" ref="O7130">IFERROR(IF($B7130=O$1, ($A7130+$C7130) - MAX(IF($B$2:$B7129=$B7130, $A$2:$A7129+$C$2:$C7129)), "")*24*60, "")</f>
        <v/>
      </c>
      <c r="P7130" s="24" t="str" cm="1">
        <f t="array" ref="P7130">IFERROR(IF($B7130=P$1, ($A7130+$C7130) - MAX(IF($B$2:$B7129=$B7130, $A$2:$A7129+$C$2:$C7129)), "")*24*60, "")</f>
        <v/>
      </c>
      <c r="Q7130" s="24" t="str" cm="1">
        <f t="array" ref="Q7130">IFERROR(IF($B7130=Q$1, ($A7130+$C7130) - MAX(IF($B$2:$B7129=$B7130, $A$2:$A7129+$C$2:$C7129)), "")*24*60, "")</f>
        <v/>
      </c>
      <c r="R7130" s="24" t="str" cm="1">
        <f t="array" ref="R7130">IFERROR(IF($B7130=R$1, ($A7130+$C7130) - MAX(IF($B$2:$B7129=$B7130, $A$2:$A7129+$C$2:$C7129)), "")*24*60, "")</f>
        <v/>
      </c>
      <c r="S7130" s="24" t="str" cm="1">
        <f t="array" ref="S7130">IFERROR(IF($B7130=S$1, ($A7130+$C7130) - MAX(IF($B$2:$B7129=$B7130, $A$2:$A7129+$C$2:$C7129)), "")*24*60, "")</f>
        <v/>
      </c>
    </row>
    <row r="7131" spans="1:19" x14ac:dyDescent="0.2">
      <c r="A7131" s="12">
        <f t="shared" ref="A7131:C7131" si="1466">A7130</f>
        <v>46005</v>
      </c>
      <c r="B7131" s="5" t="str">
        <f t="shared" si="1466"/>
        <v>Northern Cardinal</v>
      </c>
      <c r="C7131" s="6">
        <f t="shared" si="1466"/>
        <v>0.35069444444444442</v>
      </c>
      <c r="D7131" s="5"/>
      <c r="E7131" s="5"/>
      <c r="F7131" s="5" t="s">
        <v>22</v>
      </c>
      <c r="G7131" s="15" t="s">
        <v>22</v>
      </c>
      <c r="H7131" s="24">
        <f t="shared" si="1463"/>
        <v>0</v>
      </c>
      <c r="I7131" s="24" cm="1">
        <f t="array" ref="I7131">IFERROR(IF($B7131=I$1, ($A7131+$C7131) - MAX(IF($B$2:$B7130=$B7131, $A$2:$A7130+$C$2:$C7130)), "")*24*60, "")</f>
        <v>0</v>
      </c>
      <c r="J7131" s="24" t="str" cm="1">
        <f t="array" ref="J7131">IFERROR(IF($B7131=J$1, ($A7131+$C7131) - MAX(IF($B$2:$B7130=$B7131, $A$2:$A7130+$C$2:$C7130)), "")*24*60, "")</f>
        <v/>
      </c>
      <c r="K7131" s="24" t="str" cm="1">
        <f t="array" ref="K7131">IFERROR(IF($B7131=K$1, ($A7131+$C7131) - MAX(IF($B$2:$B7130=$B7131, $A$2:$A7130+$C$2:$C7130)), "")*24*60, "")</f>
        <v/>
      </c>
      <c r="L7131" s="24" t="str" cm="1">
        <f t="array" ref="L7131">IFERROR(IF($B7131=L$1, ($A7131+$C7131) - MAX(IF($B$2:$B7130=$B7131, $A$2:$A7130+$C$2:$C7130)), "")*24*60, "")</f>
        <v/>
      </c>
      <c r="M7131" s="24" t="str" cm="1">
        <f t="array" ref="M7131">IFERROR(IF($B7131=M$1, ($A7131+$C7131) - MAX(IF($B$2:$B7130=$B7131, $A$2:$A7130+$C$2:$C7130)), "")*24*60, "")</f>
        <v/>
      </c>
      <c r="N7131" s="24" t="str" cm="1">
        <f t="array" ref="N7131">IFERROR(IF($B7131=N$1, ($A7131+$C7131) - MAX(IF($B$2:$B7130=$B7131, $A$2:$A7130+$C$2:$C7130)), "")*24*60, "")</f>
        <v/>
      </c>
      <c r="O7131" s="24" t="str" cm="1">
        <f t="array" ref="O7131">IFERROR(IF($B7131=O$1, ($A7131+$C7131) - MAX(IF($B$2:$B7130=$B7131, $A$2:$A7130+$C$2:$C7130)), "")*24*60, "")</f>
        <v/>
      </c>
      <c r="P7131" s="24" t="str" cm="1">
        <f t="array" ref="P7131">IFERROR(IF($B7131=P$1, ($A7131+$C7131) - MAX(IF($B$2:$B7130=$B7131, $A$2:$A7130+$C$2:$C7130)), "")*24*60, "")</f>
        <v/>
      </c>
      <c r="Q7131" s="24" t="str" cm="1">
        <f t="array" ref="Q7131">IFERROR(IF($B7131=Q$1, ($A7131+$C7131) - MAX(IF($B$2:$B7130=$B7131, $A$2:$A7130+$C$2:$C7130)), "")*24*60, "")</f>
        <v/>
      </c>
      <c r="R7131" s="24" t="str" cm="1">
        <f t="array" ref="R7131">IFERROR(IF($B7131=R$1, ($A7131+$C7131) - MAX(IF($B$2:$B7130=$B7131, $A$2:$A7130+$C$2:$C7130)), "")*24*60, "")</f>
        <v/>
      </c>
      <c r="S7131" s="24" t="str" cm="1">
        <f t="array" ref="S7131">IFERROR(IF($B7131=S$1, ($A7131+$C7131) - MAX(IF($B$2:$B7130=$B7131, $A$2:$A7130+$C$2:$C7130)), "")*24*60, "")</f>
        <v/>
      </c>
    </row>
    <row r="7132" spans="1:19" x14ac:dyDescent="0.2">
      <c r="A7132" s="12">
        <f t="shared" ref="A7132:C7132" si="1467">A7131</f>
        <v>46005</v>
      </c>
      <c r="B7132" s="5" t="str">
        <f t="shared" si="1467"/>
        <v>Northern Cardinal</v>
      </c>
      <c r="C7132" s="6">
        <f t="shared" si="1467"/>
        <v>0.35069444444444442</v>
      </c>
      <c r="D7132" s="5"/>
      <c r="E7132" s="5"/>
      <c r="F7132" s="5" t="s">
        <v>22</v>
      </c>
      <c r="G7132" s="15" t="s">
        <v>22</v>
      </c>
      <c r="H7132" s="24">
        <f t="shared" si="1463"/>
        <v>0</v>
      </c>
      <c r="I7132" s="24" cm="1">
        <f t="array" ref="I7132">IFERROR(IF($B7132=I$1, ($A7132+$C7132) - MAX(IF($B$2:$B7131=$B7132, $A$2:$A7131+$C$2:$C7131)), "")*24*60, "")</f>
        <v>0</v>
      </c>
      <c r="J7132" s="24" t="str" cm="1">
        <f t="array" ref="J7132">IFERROR(IF($B7132=J$1, ($A7132+$C7132) - MAX(IF($B$2:$B7131=$B7132, $A$2:$A7131+$C$2:$C7131)), "")*24*60, "")</f>
        <v/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t="str" cm="1">
        <f t="array" ref="O7132">IFERROR(IF($B7132=O$1, ($A7132+$C7132) - MAX(IF($B$2:$B7131=$B7132, $A$2:$A7131+$C$2:$C7131)), "")*24*60, "")</f>
        <v/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ref="A7133:C7133" si="1468">A7132</f>
        <v>46005</v>
      </c>
      <c r="B7133" s="5" t="str">
        <f t="shared" si="1468"/>
        <v>Northern Cardinal</v>
      </c>
      <c r="C7133" s="6">
        <f t="shared" si="1468"/>
        <v>0.35069444444444442</v>
      </c>
      <c r="D7133" s="5"/>
      <c r="E7133" s="5"/>
      <c r="F7133" s="5" t="s">
        <v>22</v>
      </c>
      <c r="G7133" s="15" t="s">
        <v>22</v>
      </c>
      <c r="H7133" s="24">
        <f t="shared" si="1463"/>
        <v>0</v>
      </c>
      <c r="I7133" s="24" cm="1">
        <f t="array" ref="I7133">IFERROR(IF($B7133=I$1, ($A7133+$C7133) - MAX(IF($B$2:$B7132=$B7133, $A$2:$A7132+$C$2:$C7132)), "")*24*60, "")</f>
        <v>0</v>
      </c>
      <c r="J7133" s="24" t="str" cm="1">
        <f t="array" ref="J7133">IFERROR(IF($B7133=J$1, ($A7133+$C7133) - MAX(IF($B$2:$B7132=$B7133, $A$2:$A7132+$C$2:$C7132)), "")*24*60, "")</f>
        <v/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t="str" cm="1">
        <f t="array" ref="O7133">IFERROR(IF($B7133=O$1, ($A7133+$C7133) - MAX(IF($B$2:$B7132=$B7133, $A$2:$A7132+$C$2:$C7132)), "")*24*60, "")</f>
        <v/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ref="A7134:C7134" si="1469">A7133</f>
        <v>46005</v>
      </c>
      <c r="B7134" s="5" t="str">
        <f t="shared" si="1469"/>
        <v>Northern Cardinal</v>
      </c>
      <c r="C7134" s="6">
        <f t="shared" si="1469"/>
        <v>0.35069444444444442</v>
      </c>
      <c r="D7134" s="5"/>
      <c r="E7134" s="5"/>
      <c r="F7134" s="5" t="s">
        <v>22</v>
      </c>
      <c r="G7134" s="15" t="s">
        <v>22</v>
      </c>
      <c r="H7134" s="24">
        <f t="shared" si="1463"/>
        <v>0</v>
      </c>
      <c r="I7134" s="24" cm="1">
        <f t="array" ref="I7134">IFERROR(IF($B7134=I$1, ($A7134+$C7134) - MAX(IF($B$2:$B7133=$B7134, $A$2:$A7133+$C$2:$C7133)), "")*24*60, "")</f>
        <v>0</v>
      </c>
      <c r="J7134" s="24" t="str" cm="1">
        <f t="array" ref="J7134">IFERROR(IF($B7134=J$1, ($A7134+$C7134) - MAX(IF($B$2:$B7133=$B7134, $A$2:$A7133+$C$2:$C7133)), "")*24*60, "")</f>
        <v/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t="str" cm="1">
        <f t="array" ref="O7134">IFERROR(IF($B7134=O$1, ($A7134+$C7134) - MAX(IF($B$2:$B7133=$B7134, $A$2:$A7133+$C$2:$C7133)), "")*24*60, "")</f>
        <v/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ref="A7135:C7135" si="1470">A7134</f>
        <v>46005</v>
      </c>
      <c r="B7135" s="5" t="str">
        <f t="shared" si="1470"/>
        <v>Northern Cardinal</v>
      </c>
      <c r="C7135" s="6">
        <f t="shared" si="1470"/>
        <v>0.35069444444444442</v>
      </c>
      <c r="D7135" s="5"/>
      <c r="E7135" s="5"/>
      <c r="F7135" s="5" t="s">
        <v>22</v>
      </c>
      <c r="G7135" s="15" t="s">
        <v>22</v>
      </c>
      <c r="H7135" s="24">
        <f t="shared" si="1463"/>
        <v>0</v>
      </c>
      <c r="I7135" s="24" cm="1">
        <f t="array" ref="I7135">IFERROR(IF($B7135=I$1, ($A7135+$C7135) - MAX(IF($B$2:$B7134=$B7135, $A$2:$A7134+$C$2:$C7134)), "")*24*60, "")</f>
        <v>0</v>
      </c>
      <c r="J7135" s="24" t="str" cm="1">
        <f t="array" ref="J7135">IFERROR(IF($B7135=J$1, ($A7135+$C7135) - MAX(IF($B$2:$B7134=$B7135, $A$2:$A7134+$C$2:$C7134)), "")*24*60, "")</f>
        <v/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t="str" cm="1">
        <f t="array" ref="O7135">IFERROR(IF($B7135=O$1, ($A7135+$C7135) - MAX(IF($B$2:$B7134=$B7135, $A$2:$A7134+$C$2:$C7134)), "")*24*60, "")</f>
        <v/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ref="A7136:C7136" si="1471">A7135</f>
        <v>46005</v>
      </c>
      <c r="B7136" s="5" t="str">
        <f t="shared" si="1471"/>
        <v>Northern Cardinal</v>
      </c>
      <c r="C7136" s="6">
        <f t="shared" si="1471"/>
        <v>0.35069444444444442</v>
      </c>
      <c r="D7136" s="5"/>
      <c r="E7136" s="5"/>
      <c r="F7136" s="5" t="s">
        <v>22</v>
      </c>
      <c r="G7136" s="15" t="s">
        <v>22</v>
      </c>
      <c r="H7136" s="24">
        <f t="shared" si="1463"/>
        <v>0</v>
      </c>
      <c r="I7136" s="24" cm="1">
        <f t="array" ref="I7136">IFERROR(IF($B7136=I$1, ($A7136+$C7136) - MAX(IF($B$2:$B7135=$B7136, $A$2:$A7135+$C$2:$C7135)), "")*24*60, "")</f>
        <v>0</v>
      </c>
      <c r="J7136" s="24" t="str" cm="1">
        <f t="array" ref="J7136">IFERROR(IF($B7136=J$1, ($A7136+$C7136) - MAX(IF($B$2:$B7135=$B7136, $A$2:$A7135+$C$2:$C7135)), "")*24*60, "")</f>
        <v/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t="str" cm="1">
        <f t="array" ref="O7136">IFERROR(IF($B7136=O$1, ($A7136+$C7136) - MAX(IF($B$2:$B7135=$B7136, $A$2:$A7135+$C$2:$C7135)), "")*24*60, "")</f>
        <v/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ref="A7137:C7137" si="1472">A7136</f>
        <v>46005</v>
      </c>
      <c r="B7137" s="5" t="str">
        <f t="shared" si="1472"/>
        <v>Northern Cardinal</v>
      </c>
      <c r="C7137" s="6">
        <f t="shared" si="1472"/>
        <v>0.35069444444444442</v>
      </c>
      <c r="D7137" s="5"/>
      <c r="E7137" s="5"/>
      <c r="F7137" s="5" t="s">
        <v>22</v>
      </c>
      <c r="G7137" s="15" t="s">
        <v>22</v>
      </c>
      <c r="H7137" s="24">
        <f t="shared" si="1463"/>
        <v>0</v>
      </c>
      <c r="I7137" s="24" cm="1">
        <f t="array" ref="I7137">IFERROR(IF($B7137=I$1, ($A7137+$C7137) - MAX(IF($B$2:$B7136=$B7137, $A$2:$A7136+$C$2:$C7136)), "")*24*60, "")</f>
        <v>0</v>
      </c>
      <c r="J7137" s="24" t="str" cm="1">
        <f t="array" ref="J7137">IFERROR(IF($B7137=J$1, ($A7137+$C7137) - MAX(IF($B$2:$B7136=$B7137, $A$2:$A7136+$C$2:$C7136)), "")*24*60, "")</f>
        <v/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t="str" cm="1">
        <f t="array" ref="O7137">IFERROR(IF($B7137=O$1, ($A7137+$C7137) - MAX(IF($B$2:$B7136=$B7137, $A$2:$A7136+$C$2:$C7136)), "")*24*60, "")</f>
        <v/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ref="A7138:C7138" si="1473">A7137</f>
        <v>46005</v>
      </c>
      <c r="B7138" s="5" t="str">
        <f t="shared" si="1473"/>
        <v>Northern Cardinal</v>
      </c>
      <c r="C7138" s="6">
        <f t="shared" si="1473"/>
        <v>0.35069444444444442</v>
      </c>
      <c r="D7138" s="5"/>
      <c r="E7138" s="5"/>
      <c r="F7138" s="5" t="s">
        <v>22</v>
      </c>
      <c r="G7138" s="15" t="s">
        <v>22</v>
      </c>
      <c r="H7138" s="24">
        <f t="shared" si="1463"/>
        <v>0</v>
      </c>
      <c r="I7138" s="24" cm="1">
        <f t="array" ref="I7138">IFERROR(IF($B7138=I$1, ($A7138+$C7138) - MAX(IF($B$2:$B7137=$B7138, $A$2:$A7137+$C$2:$C7137)), "")*24*60, "")</f>
        <v>0</v>
      </c>
      <c r="J7138" s="24" t="str" cm="1">
        <f t="array" ref="J7138">IFERROR(IF($B7138=J$1, ($A7138+$C7138) - MAX(IF($B$2:$B7137=$B7138, $A$2:$A7137+$C$2:$C7137)), "")*24*60, "")</f>
        <v/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t="str" cm="1">
        <f t="array" ref="O7138">IFERROR(IF($B7138=O$1, ($A7138+$C7138) - MAX(IF($B$2:$B7137=$B7138, $A$2:$A7137+$C$2:$C7137)), "")*24*60, "")</f>
        <v/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ref="A7139:C7139" si="1474">A7138</f>
        <v>46005</v>
      </c>
      <c r="B7139" s="5" t="str">
        <f t="shared" si="1474"/>
        <v>Northern Cardinal</v>
      </c>
      <c r="C7139" s="6">
        <f t="shared" si="1474"/>
        <v>0.35069444444444442</v>
      </c>
      <c r="D7139" s="5"/>
      <c r="E7139" s="5"/>
      <c r="F7139" s="5" t="s">
        <v>22</v>
      </c>
      <c r="G7139" s="15" t="s">
        <v>22</v>
      </c>
      <c r="H7139" s="24">
        <f t="shared" si="1463"/>
        <v>0</v>
      </c>
      <c r="I7139" s="24" cm="1">
        <f t="array" ref="I7139">IFERROR(IF($B7139=I$1, ($A7139+$C7139) - MAX(IF($B$2:$B7138=$B7139, $A$2:$A7138+$C$2:$C7138)), "")*24*60, "")</f>
        <v>0</v>
      </c>
      <c r="J7139" s="24" t="str" cm="1">
        <f t="array" ref="J7139">IFERROR(IF($B7139=J$1, ($A7139+$C7139) - MAX(IF($B$2:$B7138=$B7139, $A$2:$A7138+$C$2:$C7138)), "")*24*60, "")</f>
        <v/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t="str" cm="1">
        <f t="array" ref="O7139">IFERROR(IF($B7139=O$1, ($A7139+$C7139) - MAX(IF($B$2:$B7138=$B7139, $A$2:$A7138+$C$2:$C7138)), "")*24*60, "")</f>
        <v/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ref="A7140:C7140" si="1475">A7139</f>
        <v>46005</v>
      </c>
      <c r="B7140" s="5" t="str">
        <f t="shared" si="1475"/>
        <v>Northern Cardinal</v>
      </c>
      <c r="C7140" s="6">
        <f t="shared" si="1475"/>
        <v>0.35069444444444442</v>
      </c>
      <c r="D7140" s="5"/>
      <c r="E7140" s="5"/>
      <c r="F7140" s="5" t="s">
        <v>22</v>
      </c>
      <c r="G7140" s="15" t="s">
        <v>22</v>
      </c>
      <c r="H7140" s="24">
        <f t="shared" si="1463"/>
        <v>0</v>
      </c>
      <c r="I7140" s="24" cm="1">
        <f t="array" ref="I7140">IFERROR(IF($B7140=I$1, ($A7140+$C7140) - MAX(IF($B$2:$B7139=$B7140, $A$2:$A7139+$C$2:$C7139)), "")*24*60, "")</f>
        <v>0</v>
      </c>
      <c r="J7140" s="24" t="str" cm="1">
        <f t="array" ref="J7140">IFERROR(IF($B7140=J$1, ($A7140+$C7140) - MAX(IF($B$2:$B7139=$B7140, $A$2:$A7139+$C$2:$C7139)), "")*24*60, "")</f>
        <v/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t="str" cm="1">
        <f t="array" ref="O7140">IFERROR(IF($B7140=O$1, ($A7140+$C7140) - MAX(IF($B$2:$B7139=$B7140, $A$2:$A7139+$C$2:$C7139)), "")*24*60, "")</f>
        <v/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ref="A7141:C7141" si="1476">A7140</f>
        <v>46005</v>
      </c>
      <c r="B7141" s="5" t="str">
        <f t="shared" si="1476"/>
        <v>Northern Cardinal</v>
      </c>
      <c r="C7141" s="6">
        <f t="shared" si="1476"/>
        <v>0.35069444444444442</v>
      </c>
      <c r="D7141" s="5"/>
      <c r="E7141" s="5"/>
      <c r="F7141" s="5" t="s">
        <v>22</v>
      </c>
      <c r="G7141" s="15" t="s">
        <v>22</v>
      </c>
      <c r="H7141" s="24">
        <f t="shared" si="1463"/>
        <v>0</v>
      </c>
      <c r="I7141" s="24" cm="1">
        <f t="array" ref="I7141">IFERROR(IF($B7141=I$1, ($A7141+$C7141) - MAX(IF($B$2:$B7140=$B7141, $A$2:$A7140+$C$2:$C7140)), "")*24*60, "")</f>
        <v>0</v>
      </c>
      <c r="J7141" s="24" t="str" cm="1">
        <f t="array" ref="J7141">IFERROR(IF($B7141=J$1, ($A7141+$C7141) - MAX(IF($B$2:$B7140=$B7141, $A$2:$A7140+$C$2:$C7140)), "")*24*60, "")</f>
        <v/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t="str" cm="1">
        <f t="array" ref="O7141">IFERROR(IF($B7141=O$1, ($A7141+$C7141) - MAX(IF($B$2:$B7140=$B7141, $A$2:$A7140+$C$2:$C7140)), "")*24*60, "")</f>
        <v/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ref="A7142:C7142" si="1477">A7141</f>
        <v>46005</v>
      </c>
      <c r="B7142" s="5" t="str">
        <f t="shared" si="1477"/>
        <v>Northern Cardinal</v>
      </c>
      <c r="C7142" s="6">
        <f t="shared" si="1477"/>
        <v>0.35069444444444442</v>
      </c>
      <c r="D7142" s="5"/>
      <c r="E7142" s="5"/>
      <c r="F7142" s="5" t="s">
        <v>22</v>
      </c>
      <c r="G7142" s="15" t="s">
        <v>22</v>
      </c>
      <c r="H7142" s="24">
        <f t="shared" si="1463"/>
        <v>0</v>
      </c>
      <c r="I7142" s="24" cm="1">
        <f t="array" ref="I7142">IFERROR(IF($B7142=I$1, ($A7142+$C7142) - MAX(IF($B$2:$B7141=$B7142, $A$2:$A7141+$C$2:$C7141)), "")*24*60, "")</f>
        <v>0</v>
      </c>
      <c r="J7142" s="24" t="str" cm="1">
        <f t="array" ref="J7142">IFERROR(IF($B7142=J$1, ($A7142+$C7142) - MAX(IF($B$2:$B7141=$B7142, $A$2:$A7141+$C$2:$C7141)), "")*24*60, "")</f>
        <v/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t="str" cm="1">
        <f t="array" ref="O7142">IFERROR(IF($B7142=O$1, ($A7142+$C7142) - MAX(IF($B$2:$B7141=$B7142, $A$2:$A7141+$C$2:$C7141)), "")*24*60, "")</f>
        <v/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ref="A7143:C7143" si="1478">A7142</f>
        <v>46005</v>
      </c>
      <c r="B7143" s="5" t="str">
        <f t="shared" si="1478"/>
        <v>Northern Cardinal</v>
      </c>
      <c r="C7143" s="6">
        <f t="shared" si="1478"/>
        <v>0.35069444444444442</v>
      </c>
      <c r="D7143" s="5"/>
      <c r="E7143" s="5"/>
      <c r="F7143" s="5" t="s">
        <v>22</v>
      </c>
      <c r="G7143" s="15" t="s">
        <v>22</v>
      </c>
      <c r="H7143" s="24">
        <f t="shared" si="1463"/>
        <v>0</v>
      </c>
      <c r="I7143" s="24" cm="1">
        <f t="array" ref="I7143">IFERROR(IF($B7143=I$1, ($A7143+$C7143) - MAX(IF($B$2:$B7142=$B7143, $A$2:$A7142+$C$2:$C7142)), "")*24*60, "")</f>
        <v>0</v>
      </c>
      <c r="J7143" s="24" t="str" cm="1">
        <f t="array" ref="J7143">IFERROR(IF($B7143=J$1, ($A7143+$C7143) - MAX(IF($B$2:$B7142=$B7143, $A$2:$A7142+$C$2:$C7142)), "")*24*60, "")</f>
        <v/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t="str" cm="1">
        <f t="array" ref="O7143">IFERROR(IF($B7143=O$1, ($A7143+$C7143) - MAX(IF($B$2:$B7142=$B7143, $A$2:$A7142+$C$2:$C7142)), "")*24*60, "")</f>
        <v/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ref="A7144:C7144" si="1479">A7143</f>
        <v>46005</v>
      </c>
      <c r="B7144" s="5" t="str">
        <f t="shared" si="1479"/>
        <v>Northern Cardinal</v>
      </c>
      <c r="C7144" s="6">
        <f t="shared" si="1479"/>
        <v>0.35069444444444442</v>
      </c>
      <c r="D7144" s="5"/>
      <c r="E7144" s="5"/>
      <c r="F7144" s="5" t="s">
        <v>22</v>
      </c>
      <c r="G7144" s="15" t="s">
        <v>22</v>
      </c>
      <c r="H7144" s="24">
        <f t="shared" si="1463"/>
        <v>0</v>
      </c>
      <c r="I7144" s="24" cm="1">
        <f t="array" ref="I7144">IFERROR(IF($B7144=I$1, ($A7144+$C7144) - MAX(IF($B$2:$B7143=$B7144, $A$2:$A7143+$C$2:$C7143)), "")*24*60, "")</f>
        <v>0</v>
      </c>
      <c r="J7144" s="24" t="str" cm="1">
        <f t="array" ref="J7144">IFERROR(IF($B7144=J$1, ($A7144+$C7144) - MAX(IF($B$2:$B7143=$B7144, $A$2:$A7143+$C$2:$C7143)), "")*24*60, "")</f>
        <v/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t="str" cm="1">
        <f t="array" ref="O7144">IFERROR(IF($B7144=O$1, ($A7144+$C7144) - MAX(IF($B$2:$B7143=$B7144, $A$2:$A7143+$C$2:$C7143)), "")*24*60, "")</f>
        <v/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ref="A7145:C7145" si="1480">A7144</f>
        <v>46005</v>
      </c>
      <c r="B7145" s="5" t="str">
        <f t="shared" si="1480"/>
        <v>Northern Cardinal</v>
      </c>
      <c r="C7145" s="6">
        <f t="shared" si="1480"/>
        <v>0.35069444444444442</v>
      </c>
      <c r="D7145" s="5"/>
      <c r="E7145" s="5"/>
      <c r="F7145" s="5" t="s">
        <v>22</v>
      </c>
      <c r="G7145" s="15" t="s">
        <v>22</v>
      </c>
      <c r="H7145" s="24">
        <f t="shared" si="1463"/>
        <v>0</v>
      </c>
      <c r="I7145" s="24" cm="1">
        <f t="array" ref="I7145">IFERROR(IF($B7145=I$1, ($A7145+$C7145) - MAX(IF($B$2:$B7144=$B7145, $A$2:$A7144+$C$2:$C7144)), "")*24*60, "")</f>
        <v>0</v>
      </c>
      <c r="J7145" s="24" t="str" cm="1">
        <f t="array" ref="J7145">IFERROR(IF($B7145=J$1, ($A7145+$C7145) - MAX(IF($B$2:$B7144=$B7145, $A$2:$A7144+$C$2:$C7144)), "")*24*60, "")</f>
        <v/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t="str" cm="1">
        <f t="array" ref="O7145">IFERROR(IF($B7145=O$1, ($A7145+$C7145) - MAX(IF($B$2:$B7144=$B7145, $A$2:$A7144+$C$2:$C7144)), "")*24*60, "")</f>
        <v/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ref="A7146:C7146" si="1481">A7145</f>
        <v>46005</v>
      </c>
      <c r="B7146" s="5" t="str">
        <f t="shared" si="1481"/>
        <v>Northern Cardinal</v>
      </c>
      <c r="C7146" s="6">
        <f t="shared" si="1481"/>
        <v>0.35069444444444442</v>
      </c>
      <c r="D7146" s="5"/>
      <c r="E7146" s="5"/>
      <c r="F7146" s="5" t="s">
        <v>22</v>
      </c>
      <c r="G7146" s="15" t="s">
        <v>22</v>
      </c>
      <c r="H7146" s="24">
        <f t="shared" si="1463"/>
        <v>0</v>
      </c>
      <c r="I7146" s="24" cm="1">
        <f t="array" ref="I7146">IFERROR(IF($B7146=I$1, ($A7146+$C7146) - MAX(IF($B$2:$B7145=$B7146, $A$2:$A7145+$C$2:$C7145)), "")*24*60, "")</f>
        <v>0</v>
      </c>
      <c r="J7146" s="24" t="str" cm="1">
        <f t="array" ref="J7146">IFERROR(IF($B7146=J$1, ($A7146+$C7146) - MAX(IF($B$2:$B7145=$B7146, $A$2:$A7145+$C$2:$C7145)), "")*24*60, "")</f>
        <v/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t="str" cm="1">
        <f t="array" ref="O7146">IFERROR(IF($B7146=O$1, ($A7146+$C7146) - MAX(IF($B$2:$B7145=$B7146, $A$2:$A7145+$C$2:$C7145)), "")*24*60, "")</f>
        <v/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ref="A7147:C7147" si="1482">A7146</f>
        <v>46005</v>
      </c>
      <c r="B7147" s="5" t="str">
        <f t="shared" si="1482"/>
        <v>Northern Cardinal</v>
      </c>
      <c r="C7147" s="6">
        <f t="shared" si="1482"/>
        <v>0.35069444444444442</v>
      </c>
      <c r="D7147" s="5"/>
      <c r="E7147" s="5"/>
      <c r="F7147" s="5" t="s">
        <v>22</v>
      </c>
      <c r="G7147" s="15" t="s">
        <v>22</v>
      </c>
      <c r="H7147" s="24">
        <f t="shared" si="1463"/>
        <v>0</v>
      </c>
      <c r="I7147" s="24" cm="1">
        <f t="array" ref="I7147">IFERROR(IF($B7147=I$1, ($A7147+$C7147) - MAX(IF($B$2:$B7146=$B7147, $A$2:$A7146+$C$2:$C7146)), "")*24*60, "")</f>
        <v>0</v>
      </c>
      <c r="J7147" s="24" t="str" cm="1">
        <f t="array" ref="J7147">IFERROR(IF($B7147=J$1, ($A7147+$C7147) - MAX(IF($B$2:$B7146=$B7147, $A$2:$A7146+$C$2:$C7146)), "")*24*60, "")</f>
        <v/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t="str" cm="1">
        <f t="array" ref="O7147">IFERROR(IF($B7147=O$1, ($A7147+$C7147) - MAX(IF($B$2:$B7146=$B7147, $A$2:$A7146+$C$2:$C7146)), "")*24*60, "")</f>
        <v/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C7148" si="1483">A7147</f>
        <v>46005</v>
      </c>
      <c r="B7148" s="5" t="str">
        <f t="shared" si="1483"/>
        <v>Northern Cardinal</v>
      </c>
      <c r="C7148" s="6">
        <f t="shared" si="1483"/>
        <v>0.35069444444444442</v>
      </c>
      <c r="D7148" s="5"/>
      <c r="E7148" s="5"/>
      <c r="F7148" s="5" t="s">
        <v>22</v>
      </c>
      <c r="G7148" s="15" t="s">
        <v>22</v>
      </c>
      <c r="H7148" s="24">
        <f t="shared" si="1463"/>
        <v>0</v>
      </c>
      <c r="I7148" s="24" cm="1">
        <f t="array" ref="I7148">IFERROR(IF($B7148=I$1, ($A7148+$C7148) - MAX(IF($B$2:$B7147=$B7148, $A$2:$A7147+$C$2:$C7147)), "")*24*60, "")</f>
        <v>0</v>
      </c>
      <c r="J7148" s="24" t="str" cm="1">
        <f t="array" ref="J7148">IFERROR(IF($B7148=J$1, ($A7148+$C7148) - MAX(IF($B$2:$B7147=$B7148, $A$2:$A7147+$C$2:$C7147)), "")*24*60, "")</f>
        <v/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t="str" cm="1">
        <f t="array" ref="O7148">IFERROR(IF($B7148=O$1, ($A7148+$C7148) - MAX(IF($B$2:$B7147=$B7148, $A$2:$A7147+$C$2:$C7147)), "")*24*60, "")</f>
        <v/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ref="A7149:C7149" si="1484">A7148</f>
        <v>46005</v>
      </c>
      <c r="B7149" s="5" t="str">
        <f t="shared" si="1484"/>
        <v>Northern Cardinal</v>
      </c>
      <c r="C7149" s="6">
        <f t="shared" si="1484"/>
        <v>0.35069444444444442</v>
      </c>
      <c r="D7149" s="5"/>
      <c r="E7149" s="5"/>
      <c r="F7149" s="5" t="s">
        <v>22</v>
      </c>
      <c r="G7149" s="15" t="s">
        <v>22</v>
      </c>
      <c r="H7149" s="24">
        <f t="shared" si="1463"/>
        <v>0</v>
      </c>
      <c r="I7149" s="24" cm="1">
        <f t="array" ref="I7149">IFERROR(IF($B7149=I$1, ($A7149+$C7149) - MAX(IF($B$2:$B7148=$B7149, $A$2:$A7148+$C$2:$C7148)), "")*24*60, "")</f>
        <v>0</v>
      </c>
      <c r="J7149" s="24" t="str" cm="1">
        <f t="array" ref="J7149">IFERROR(IF($B7149=J$1, ($A7149+$C7149) - MAX(IF($B$2:$B7148=$B7149, $A$2:$A7148+$C$2:$C7148)), "")*24*60, "")</f>
        <v/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t="str" cm="1">
        <f t="array" ref="O7149">IFERROR(IF($B7149=O$1, ($A7149+$C7149) - MAX(IF($B$2:$B7148=$B7149, $A$2:$A7148+$C$2:$C7148)), "")*24*60, "")</f>
        <v/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ref="A7150:C7150" si="1485">A7149</f>
        <v>46005</v>
      </c>
      <c r="B7150" s="5" t="str">
        <f t="shared" si="1485"/>
        <v>Northern Cardinal</v>
      </c>
      <c r="C7150" s="6">
        <f t="shared" si="1485"/>
        <v>0.35069444444444442</v>
      </c>
      <c r="D7150" s="5"/>
      <c r="E7150" s="5"/>
      <c r="F7150" s="5" t="s">
        <v>22</v>
      </c>
      <c r="G7150" s="15" t="s">
        <v>22</v>
      </c>
      <c r="H7150" s="24">
        <f t="shared" si="1463"/>
        <v>0</v>
      </c>
      <c r="I7150" s="24" cm="1">
        <f t="array" ref="I7150">IFERROR(IF($B7150=I$1, ($A7150+$C7150) - MAX(IF($B$2:$B7149=$B7150, $A$2:$A7149+$C$2:$C7149)), "")*24*60, "")</f>
        <v>0</v>
      </c>
      <c r="J7150" s="24" t="str" cm="1">
        <f t="array" ref="J7150">IFERROR(IF($B7150=J$1, ($A7150+$C7150) - MAX(IF($B$2:$B7149=$B7150, $A$2:$A7149+$C$2:$C7149)), "")*24*60, "")</f>
        <v/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t="str" cm="1">
        <f t="array" ref="O7150">IFERROR(IF($B7150=O$1, ($A7150+$C7150) - MAX(IF($B$2:$B7149=$B7150, $A$2:$A7149+$C$2:$C7149)), "")*24*60, "")</f>
        <v/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ref="A7151:C7151" si="1486">A7150</f>
        <v>46005</v>
      </c>
      <c r="B7151" s="5" t="str">
        <f t="shared" si="1486"/>
        <v>Northern Cardinal</v>
      </c>
      <c r="C7151" s="6">
        <f t="shared" si="1486"/>
        <v>0.35069444444444442</v>
      </c>
      <c r="D7151" s="5"/>
      <c r="E7151" s="5"/>
      <c r="F7151" s="5" t="s">
        <v>22</v>
      </c>
      <c r="G7151" s="15" t="s">
        <v>22</v>
      </c>
      <c r="H7151" s="24">
        <f t="shared" si="1463"/>
        <v>0</v>
      </c>
      <c r="I7151" s="24" cm="1">
        <f t="array" ref="I7151">IFERROR(IF($B7151=I$1, ($A7151+$C7151) - MAX(IF($B$2:$B7150=$B7151, $A$2:$A7150+$C$2:$C7150)), "")*24*60, "")</f>
        <v>0</v>
      </c>
      <c r="J7151" s="24" t="str" cm="1">
        <f t="array" ref="J7151">IFERROR(IF($B7151=J$1, ($A7151+$C7151) - MAX(IF($B$2:$B7150=$B7151, $A$2:$A7150+$C$2:$C7150)), "")*24*60, "")</f>
        <v/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t="str" cm="1">
        <f t="array" ref="O7151">IFERROR(IF($B7151=O$1, ($A7151+$C7151) - MAX(IF($B$2:$B7150=$B7151, $A$2:$A7150+$C$2:$C7150)), "")*24*60, "")</f>
        <v/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ref="A7152:C7152" si="1487">A7151</f>
        <v>46005</v>
      </c>
      <c r="B7152" s="5" t="str">
        <f t="shared" si="1487"/>
        <v>Northern Cardinal</v>
      </c>
      <c r="C7152" s="6">
        <f t="shared" si="1487"/>
        <v>0.35069444444444442</v>
      </c>
      <c r="D7152" s="5"/>
      <c r="E7152" s="5"/>
      <c r="F7152" s="5" t="s">
        <v>22</v>
      </c>
      <c r="G7152" s="15" t="s">
        <v>22</v>
      </c>
      <c r="H7152" s="24">
        <f t="shared" si="1463"/>
        <v>0</v>
      </c>
      <c r="I7152" s="24" cm="1">
        <f t="array" ref="I7152">IFERROR(IF($B7152=I$1, ($A7152+$C7152) - MAX(IF($B$2:$B7151=$B7152, $A$2:$A7151+$C$2:$C7151)), "")*24*60, "")</f>
        <v>0</v>
      </c>
      <c r="J7152" s="24" t="str" cm="1">
        <f t="array" ref="J7152">IFERROR(IF($B7152=J$1, ($A7152+$C7152) - MAX(IF($B$2:$B7151=$B7152, $A$2:$A7151+$C$2:$C7151)), "")*24*60, "")</f>
        <v/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t="str" cm="1">
        <f t="array" ref="O7152">IFERROR(IF($B7152=O$1, ($A7152+$C7152) - MAX(IF($B$2:$B7151=$B7152, $A$2:$A7151+$C$2:$C7151)), "")*24*60, "")</f>
        <v/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ref="A7153:C7153" si="1488">A7152</f>
        <v>46005</v>
      </c>
      <c r="B7153" s="5" t="str">
        <f t="shared" si="1488"/>
        <v>Northern Cardinal</v>
      </c>
      <c r="C7153" s="6">
        <f t="shared" si="1488"/>
        <v>0.35069444444444442</v>
      </c>
      <c r="D7153" s="5"/>
      <c r="E7153" s="5"/>
      <c r="F7153" s="5" t="s">
        <v>22</v>
      </c>
      <c r="G7153" s="15" t="s">
        <v>22</v>
      </c>
      <c r="H7153" s="24">
        <f t="shared" si="1463"/>
        <v>0</v>
      </c>
      <c r="I7153" s="24" cm="1">
        <f t="array" ref="I7153">IFERROR(IF($B7153=I$1, ($A7153+$C7153) - MAX(IF($B$2:$B7152=$B7153, $A$2:$A7152+$C$2:$C7152)), "")*24*60, "")</f>
        <v>0</v>
      </c>
      <c r="J7153" s="24" t="str" cm="1">
        <f t="array" ref="J7153">IFERROR(IF($B7153=J$1, ($A7153+$C7153) - MAX(IF($B$2:$B7152=$B7153, $A$2:$A7152+$C$2:$C7152)), "")*24*60, "")</f>
        <v/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t="str" cm="1">
        <f t="array" ref="O7153">IFERROR(IF($B7153=O$1, ($A7153+$C7153) - MAX(IF($B$2:$B7152=$B7153, $A$2:$A7152+$C$2:$C7152)), "")*24*60, "")</f>
        <v/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ref="A7154:C7154" si="1489">A7153</f>
        <v>46005</v>
      </c>
      <c r="B7154" s="5" t="str">
        <f t="shared" si="1489"/>
        <v>Northern Cardinal</v>
      </c>
      <c r="C7154" s="6">
        <f t="shared" si="1489"/>
        <v>0.35069444444444442</v>
      </c>
      <c r="D7154" s="5"/>
      <c r="E7154" s="5"/>
      <c r="F7154" s="5" t="s">
        <v>22</v>
      </c>
      <c r="G7154" s="15" t="s">
        <v>22</v>
      </c>
      <c r="H7154" s="24">
        <f t="shared" si="1463"/>
        <v>0</v>
      </c>
      <c r="I7154" s="24" cm="1">
        <f t="array" ref="I7154">IFERROR(IF($B7154=I$1, ($A7154+$C7154) - MAX(IF($B$2:$B7153=$B7154, $A$2:$A7153+$C$2:$C7153)), "")*24*60, "")</f>
        <v>0</v>
      </c>
      <c r="J7154" s="24" t="str" cm="1">
        <f t="array" ref="J7154">IFERROR(IF($B7154=J$1, ($A7154+$C7154) - MAX(IF($B$2:$B7153=$B7154, $A$2:$A7153+$C$2:$C7153)), "")*24*60, "")</f>
        <v/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t="str" cm="1">
        <f t="array" ref="O7154">IFERROR(IF($B7154=O$1, ($A7154+$C7154) - MAX(IF($B$2:$B7153=$B7154, $A$2:$A7153+$C$2:$C7153)), "")*24*60, "")</f>
        <v/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ref="A7155:C7155" si="1490">A7154</f>
        <v>46005</v>
      </c>
      <c r="B7155" s="5" t="str">
        <f t="shared" si="1490"/>
        <v>Northern Cardinal</v>
      </c>
      <c r="C7155" s="6">
        <f t="shared" si="1490"/>
        <v>0.35069444444444442</v>
      </c>
      <c r="D7155" s="5"/>
      <c r="E7155" s="5"/>
      <c r="F7155" s="5" t="s">
        <v>22</v>
      </c>
      <c r="G7155" s="15" t="s">
        <v>22</v>
      </c>
      <c r="H7155" s="24">
        <f t="shared" si="1463"/>
        <v>0</v>
      </c>
      <c r="I7155" s="24" cm="1">
        <f t="array" ref="I7155">IFERROR(IF($B7155=I$1, ($A7155+$C7155) - MAX(IF($B$2:$B7154=$B7155, $A$2:$A7154+$C$2:$C7154)), "")*24*60, "")</f>
        <v>0</v>
      </c>
      <c r="J7155" s="24" t="str" cm="1">
        <f t="array" ref="J7155">IFERROR(IF($B7155=J$1, ($A7155+$C7155) - MAX(IF($B$2:$B7154=$B7155, $A$2:$A7154+$C$2:$C7154)), "")*24*60, "")</f>
        <v/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t="str" cm="1">
        <f t="array" ref="O7155">IFERROR(IF($B7155=O$1, ($A7155+$C7155) - MAX(IF($B$2:$B7154=$B7155, $A$2:$A7154+$C$2:$C7154)), "")*24*60, "")</f>
        <v/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ref="A7156:C7156" si="1491">A7155</f>
        <v>46005</v>
      </c>
      <c r="B7156" s="5" t="str">
        <f t="shared" si="1491"/>
        <v>Northern Cardinal</v>
      </c>
      <c r="C7156" s="6">
        <f t="shared" si="1491"/>
        <v>0.35069444444444442</v>
      </c>
      <c r="D7156" s="5"/>
      <c r="E7156" s="5"/>
      <c r="F7156" s="5" t="s">
        <v>22</v>
      </c>
      <c r="G7156" s="15" t="s">
        <v>22</v>
      </c>
      <c r="H7156" s="24">
        <f t="shared" si="1463"/>
        <v>0</v>
      </c>
      <c r="I7156" s="24" cm="1">
        <f t="array" ref="I7156">IFERROR(IF($B7156=I$1, ($A7156+$C7156) - MAX(IF($B$2:$B7155=$B7156, $A$2:$A7155+$C$2:$C7155)), "")*24*60, "")</f>
        <v>0</v>
      </c>
      <c r="J7156" s="24" t="str" cm="1">
        <f t="array" ref="J7156">IFERROR(IF($B7156=J$1, ($A7156+$C7156) - MAX(IF($B$2:$B7155=$B7156, $A$2:$A7155+$C$2:$C7155)), "")*24*60, "")</f>
        <v/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t="str" cm="1">
        <f t="array" ref="O7156">IFERROR(IF($B7156=O$1, ($A7156+$C7156) - MAX(IF($B$2:$B7155=$B7156, $A$2:$A7155+$C$2:$C7155)), "")*24*60, "")</f>
        <v/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ref="A7157:C7157" si="1492">A7156</f>
        <v>46005</v>
      </c>
      <c r="B7157" s="5" t="str">
        <f t="shared" si="1492"/>
        <v>Northern Cardinal</v>
      </c>
      <c r="C7157" s="6">
        <f t="shared" si="1492"/>
        <v>0.35069444444444442</v>
      </c>
      <c r="D7157" s="5"/>
      <c r="E7157" s="5"/>
      <c r="F7157" s="5" t="s">
        <v>22</v>
      </c>
      <c r="G7157" s="15" t="s">
        <v>22</v>
      </c>
      <c r="H7157" s="24">
        <f t="shared" si="1463"/>
        <v>0</v>
      </c>
      <c r="I7157" s="24" cm="1">
        <f t="array" ref="I7157">IFERROR(IF($B7157=I$1, ($A7157+$C7157) - MAX(IF($B$2:$B7156=$B7157, $A$2:$A7156+$C$2:$C7156)), "")*24*60, "")</f>
        <v>0</v>
      </c>
      <c r="J7157" s="24" t="str" cm="1">
        <f t="array" ref="J7157">IFERROR(IF($B7157=J$1, ($A7157+$C7157) - MAX(IF($B$2:$B7156=$B7157, $A$2:$A7156+$C$2:$C7156)), "")*24*60, "")</f>
        <v/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t="str" cm="1">
        <f t="array" ref="O7157">IFERROR(IF($B7157=O$1, ($A7157+$C7157) - MAX(IF($B$2:$B7156=$B7157, $A$2:$A7156+$C$2:$C7156)), "")*24*60, "")</f>
        <v/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ref="A7158:C7158" si="1493">A7157</f>
        <v>46005</v>
      </c>
      <c r="B7158" s="5" t="str">
        <f t="shared" si="1493"/>
        <v>Northern Cardinal</v>
      </c>
      <c r="C7158" s="6">
        <f t="shared" si="1493"/>
        <v>0.35069444444444442</v>
      </c>
      <c r="D7158" s="5"/>
      <c r="E7158" s="5"/>
      <c r="F7158" s="5" t="s">
        <v>22</v>
      </c>
      <c r="G7158" s="15" t="s">
        <v>22</v>
      </c>
      <c r="H7158" s="24">
        <f t="shared" si="1463"/>
        <v>0</v>
      </c>
      <c r="I7158" s="24" cm="1">
        <f t="array" ref="I7158">IFERROR(IF($B7158=I$1, ($A7158+$C7158) - MAX(IF($B$2:$B7157=$B7158, $A$2:$A7157+$C$2:$C7157)), "")*24*60, "")</f>
        <v>0</v>
      </c>
      <c r="J7158" s="24" t="str" cm="1">
        <f t="array" ref="J7158">IFERROR(IF($B7158=J$1, ($A7158+$C7158) - MAX(IF($B$2:$B7157=$B7158, $A$2:$A7157+$C$2:$C7157)), "")*24*60, "")</f>
        <v/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t="str" cm="1">
        <f t="array" ref="O7158">IFERROR(IF($B7158=O$1, ($A7158+$C7158) - MAX(IF($B$2:$B7157=$B7158, $A$2:$A7157+$C$2:$C7157)), "")*24*60, "")</f>
        <v/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ref="A7159:C7159" si="1494">A7158</f>
        <v>46005</v>
      </c>
      <c r="B7159" s="5" t="str">
        <f t="shared" si="1494"/>
        <v>Northern Cardinal</v>
      </c>
      <c r="C7159" s="6">
        <f t="shared" si="1494"/>
        <v>0.35069444444444442</v>
      </c>
      <c r="D7159" s="5"/>
      <c r="E7159" s="5"/>
      <c r="F7159" s="5" t="s">
        <v>22</v>
      </c>
      <c r="G7159" s="15" t="s">
        <v>22</v>
      </c>
      <c r="H7159" s="24">
        <f t="shared" si="1463"/>
        <v>0</v>
      </c>
      <c r="I7159" s="24" cm="1">
        <f t="array" ref="I7159">IFERROR(IF($B7159=I$1, ($A7159+$C7159) - MAX(IF($B$2:$B7158=$B7159, $A$2:$A7158+$C$2:$C7158)), "")*24*60, "")</f>
        <v>0</v>
      </c>
      <c r="J7159" s="24" t="str" cm="1">
        <f t="array" ref="J7159">IFERROR(IF($B7159=J$1, ($A7159+$C7159) - MAX(IF($B$2:$B7158=$B7159, $A$2:$A7158+$C$2:$C7158)), "")*24*60, "")</f>
        <v/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t="str" cm="1">
        <f t="array" ref="O7159">IFERROR(IF($B7159=O$1, ($A7159+$C7159) - MAX(IF($B$2:$B7158=$B7159, $A$2:$A7158+$C$2:$C7158)), "")*24*60, "")</f>
        <v/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ref="A7160:C7160" si="1495">A7159</f>
        <v>46005</v>
      </c>
      <c r="B7160" s="5" t="str">
        <f t="shared" si="1495"/>
        <v>Northern Cardinal</v>
      </c>
      <c r="C7160" s="6">
        <f t="shared" si="1495"/>
        <v>0.35069444444444442</v>
      </c>
      <c r="D7160" s="5"/>
      <c r="E7160" s="5"/>
      <c r="F7160" s="5" t="s">
        <v>22</v>
      </c>
      <c r="G7160" s="15" t="s">
        <v>22</v>
      </c>
      <c r="H7160" s="24">
        <f t="shared" si="1463"/>
        <v>0</v>
      </c>
      <c r="I7160" s="24" cm="1">
        <f t="array" ref="I7160">IFERROR(IF($B7160=I$1, ($A7160+$C7160) - MAX(IF($B$2:$B7159=$B7160, $A$2:$A7159+$C$2:$C7159)), "")*24*60, "")</f>
        <v>0</v>
      </c>
      <c r="J7160" s="24" t="str" cm="1">
        <f t="array" ref="J7160">IFERROR(IF($B7160=J$1, ($A7160+$C7160) - MAX(IF($B$2:$B7159=$B7160, $A$2:$A7159+$C$2:$C7159)), "")*24*60, "")</f>
        <v/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t="str" cm="1">
        <f t="array" ref="O7160">IFERROR(IF($B7160=O$1, ($A7160+$C7160) - MAX(IF($B$2:$B7159=$B7160, $A$2:$A7159+$C$2:$C7159)), "")*24*60, "")</f>
        <v/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ref="A7161:C7161" si="1496">A7160</f>
        <v>46005</v>
      </c>
      <c r="B7161" s="5" t="str">
        <f t="shared" si="1496"/>
        <v>Northern Cardinal</v>
      </c>
      <c r="C7161" s="6">
        <f t="shared" si="1496"/>
        <v>0.35069444444444442</v>
      </c>
      <c r="D7161" s="5"/>
      <c r="E7161" s="5"/>
      <c r="F7161" s="5" t="s">
        <v>22</v>
      </c>
      <c r="G7161" s="15" t="s">
        <v>22</v>
      </c>
      <c r="H7161" s="24">
        <f t="shared" si="1463"/>
        <v>0</v>
      </c>
      <c r="I7161" s="24" cm="1">
        <f t="array" ref="I7161">IFERROR(IF($B7161=I$1, ($A7161+$C7161) - MAX(IF($B$2:$B7160=$B7161, $A$2:$A7160+$C$2:$C7160)), "")*24*60, "")</f>
        <v>0</v>
      </c>
      <c r="J7161" s="24" t="str" cm="1">
        <f t="array" ref="J7161">IFERROR(IF($B7161=J$1, ($A7161+$C7161) - MAX(IF($B$2:$B7160=$B7161, $A$2:$A7160+$C$2:$C7160)), "")*24*60, "")</f>
        <v/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t="str" cm="1">
        <f t="array" ref="O7161">IFERROR(IF($B7161=O$1, ($A7161+$C7161) - MAX(IF($B$2:$B7160=$B7161, $A$2:$A7160+$C$2:$C7160)), "")*24*60, "")</f>
        <v/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ref="A7162:C7162" si="1497">A7161</f>
        <v>46005</v>
      </c>
      <c r="B7162" s="5" t="str">
        <f t="shared" si="1497"/>
        <v>Northern Cardinal</v>
      </c>
      <c r="C7162" s="6">
        <f t="shared" si="1497"/>
        <v>0.35069444444444442</v>
      </c>
      <c r="D7162" s="5"/>
      <c r="E7162" s="5"/>
      <c r="F7162" s="5" t="s">
        <v>22</v>
      </c>
      <c r="G7162" s="15" t="s">
        <v>22</v>
      </c>
      <c r="H7162" s="24">
        <f t="shared" si="1463"/>
        <v>0</v>
      </c>
      <c r="I7162" s="24" cm="1">
        <f t="array" ref="I7162">IFERROR(IF($B7162=I$1, ($A7162+$C7162) - MAX(IF($B$2:$B7161=$B7162, $A$2:$A7161+$C$2:$C7161)), "")*24*60, "")</f>
        <v>0</v>
      </c>
      <c r="J7162" s="24" t="str" cm="1">
        <f t="array" ref="J7162">IFERROR(IF($B7162=J$1, ($A7162+$C7162) - MAX(IF($B$2:$B7161=$B7162, $A$2:$A7161+$C$2:$C7161)), "")*24*60, "")</f>
        <v/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t="str" cm="1">
        <f t="array" ref="O7162">IFERROR(IF($B7162=O$1, ($A7162+$C7162) - MAX(IF($B$2:$B7161=$B7162, $A$2:$A7161+$C$2:$C7161)), "")*24*60, "")</f>
        <v/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ref="A7163:C7163" si="1498">A7162</f>
        <v>46005</v>
      </c>
      <c r="B7163" s="5" t="str">
        <f t="shared" si="1498"/>
        <v>Northern Cardinal</v>
      </c>
      <c r="C7163" s="6">
        <f t="shared" si="1498"/>
        <v>0.35069444444444442</v>
      </c>
      <c r="D7163" s="5"/>
      <c r="E7163" s="5"/>
      <c r="F7163" s="5" t="s">
        <v>22</v>
      </c>
      <c r="G7163" s="15" t="s">
        <v>22</v>
      </c>
      <c r="H7163" s="24">
        <f t="shared" si="1463"/>
        <v>0</v>
      </c>
      <c r="I7163" s="24" cm="1">
        <f t="array" ref="I7163">IFERROR(IF($B7163=I$1, ($A7163+$C7163) - MAX(IF($B$2:$B7162=$B7163, $A$2:$A7162+$C$2:$C7162)), "")*24*60, "")</f>
        <v>0</v>
      </c>
      <c r="J7163" s="24" t="str" cm="1">
        <f t="array" ref="J7163">IFERROR(IF($B7163=J$1, ($A7163+$C7163) - MAX(IF($B$2:$B7162=$B7163, $A$2:$A7162+$C$2:$C7162)), "")*24*60, "")</f>
        <v/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t="str" cm="1">
        <f t="array" ref="O7163">IFERROR(IF($B7163=O$1, ($A7163+$C7163) - MAX(IF($B$2:$B7162=$B7163, $A$2:$A7162+$C$2:$C7162)), "")*24*60, "")</f>
        <v/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ref="A7164:C7164" si="1499">A7163</f>
        <v>46005</v>
      </c>
      <c r="B7164" s="5" t="str">
        <f t="shared" si="1499"/>
        <v>Northern Cardinal</v>
      </c>
      <c r="C7164" s="6">
        <f t="shared" si="1499"/>
        <v>0.35069444444444442</v>
      </c>
      <c r="D7164" s="5"/>
      <c r="E7164" s="5"/>
      <c r="F7164" s="5" t="s">
        <v>22</v>
      </c>
      <c r="G7164" s="15" t="s">
        <v>22</v>
      </c>
      <c r="H7164" s="24">
        <f t="shared" si="1463"/>
        <v>0</v>
      </c>
      <c r="I7164" s="24" cm="1">
        <f t="array" ref="I7164">IFERROR(IF($B7164=I$1, ($A7164+$C7164) - MAX(IF($B$2:$B7163=$B7164, $A$2:$A7163+$C$2:$C7163)), "")*24*60, "")</f>
        <v>0</v>
      </c>
      <c r="J7164" s="24" t="str" cm="1">
        <f t="array" ref="J7164">IFERROR(IF($B7164=J$1, ($A7164+$C7164) - MAX(IF($B$2:$B7163=$B7164, $A$2:$A7163+$C$2:$C7163)), "")*24*60, "")</f>
        <v/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t="str" cm="1">
        <f t="array" ref="O7164">IFERROR(IF($B7164=O$1, ($A7164+$C7164) - MAX(IF($B$2:$B7163=$B7164, $A$2:$A7163+$C$2:$C7163)), "")*24*60, "")</f>
        <v/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ref="A7165:C7165" si="1500">A7164</f>
        <v>46005</v>
      </c>
      <c r="B7165" s="5" t="str">
        <f t="shared" si="1500"/>
        <v>Northern Cardinal</v>
      </c>
      <c r="C7165" s="6">
        <f t="shared" si="1500"/>
        <v>0.35069444444444442</v>
      </c>
      <c r="D7165" s="5"/>
      <c r="E7165" s="5"/>
      <c r="F7165" s="5" t="s">
        <v>22</v>
      </c>
      <c r="G7165" s="15" t="s">
        <v>22</v>
      </c>
      <c r="H7165" s="24">
        <f t="shared" si="1463"/>
        <v>0</v>
      </c>
      <c r="I7165" s="24" cm="1">
        <f t="array" ref="I7165">IFERROR(IF($B7165=I$1, ($A7165+$C7165) - MAX(IF($B$2:$B7164=$B7165, $A$2:$A7164+$C$2:$C7164)), "")*24*60, "")</f>
        <v>0</v>
      </c>
      <c r="J7165" s="24" t="str" cm="1">
        <f t="array" ref="J7165">IFERROR(IF($B7165=J$1, ($A7165+$C7165) - MAX(IF($B$2:$B7164=$B7165, $A$2:$A7164+$C$2:$C7164)), "")*24*60, "")</f>
        <v/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t="str" cm="1">
        <f t="array" ref="O7165">IFERROR(IF($B7165=O$1, ($A7165+$C7165) - MAX(IF($B$2:$B7164=$B7165, $A$2:$A7164+$C$2:$C7164)), "")*24*60, "")</f>
        <v/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ref="A7166:C7166" si="1501">A7165</f>
        <v>46005</v>
      </c>
      <c r="B7166" s="5" t="str">
        <f t="shared" si="1501"/>
        <v>Northern Cardinal</v>
      </c>
      <c r="C7166" s="6">
        <f t="shared" si="1501"/>
        <v>0.35069444444444442</v>
      </c>
      <c r="D7166" s="5"/>
      <c r="E7166" s="5"/>
      <c r="F7166" s="5" t="s">
        <v>22</v>
      </c>
      <c r="G7166" s="15" t="s">
        <v>22</v>
      </c>
      <c r="H7166" s="24">
        <f t="shared" si="1463"/>
        <v>0</v>
      </c>
      <c r="I7166" s="24" cm="1">
        <f t="array" ref="I7166">IFERROR(IF($B7166=I$1, ($A7166+$C7166) - MAX(IF($B$2:$B7165=$B7166, $A$2:$A7165+$C$2:$C7165)), "")*24*60, "")</f>
        <v>0</v>
      </c>
      <c r="J7166" s="24" t="str" cm="1">
        <f t="array" ref="J7166">IFERROR(IF($B7166=J$1, ($A7166+$C7166) - MAX(IF($B$2:$B7165=$B7166, $A$2:$A7165+$C$2:$C7165)), "")*24*60, "")</f>
        <v/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t="str" cm="1">
        <f t="array" ref="O7166">IFERROR(IF($B7166=O$1, ($A7166+$C7166) - MAX(IF($B$2:$B7165=$B7166, $A$2:$A7165+$C$2:$C7165)), "")*24*60, "")</f>
        <v/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ref="A7167:C7167" si="1502">A7166</f>
        <v>46005</v>
      </c>
      <c r="B7167" s="5" t="str">
        <f t="shared" si="1502"/>
        <v>Northern Cardinal</v>
      </c>
      <c r="C7167" s="6">
        <f t="shared" si="1502"/>
        <v>0.35069444444444442</v>
      </c>
      <c r="D7167" s="5"/>
      <c r="E7167" s="5"/>
      <c r="F7167" s="5" t="s">
        <v>22</v>
      </c>
      <c r="G7167" s="15" t="s">
        <v>22</v>
      </c>
      <c r="H7167" s="24">
        <f t="shared" si="1463"/>
        <v>0</v>
      </c>
      <c r="I7167" s="24" cm="1">
        <f t="array" ref="I7167">IFERROR(IF($B7167=I$1, ($A7167+$C7167) - MAX(IF($B$2:$B7166=$B7167, $A$2:$A7166+$C$2:$C7166)), "")*24*60, "")</f>
        <v>0</v>
      </c>
      <c r="J7167" s="24" t="str" cm="1">
        <f t="array" ref="J7167">IFERROR(IF($B7167=J$1, ($A7167+$C7167) - MAX(IF($B$2:$B7166=$B7167, $A$2:$A7166+$C$2:$C7166)), "")*24*60, "")</f>
        <v/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t="str" cm="1">
        <f t="array" ref="O7167">IFERROR(IF($B7167=O$1, ($A7167+$C7167) - MAX(IF($B$2:$B7166=$B7167, $A$2:$A7166+$C$2:$C7166)), "")*24*60, "")</f>
        <v/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ref="A7168:C7168" si="1503">A7167</f>
        <v>46005</v>
      </c>
      <c r="B7168" s="5" t="str">
        <f t="shared" si="1503"/>
        <v>Northern Cardinal</v>
      </c>
      <c r="C7168" s="6">
        <f t="shared" si="1503"/>
        <v>0.35069444444444442</v>
      </c>
      <c r="D7168" s="5"/>
      <c r="E7168" s="5"/>
      <c r="F7168" s="5" t="s">
        <v>22</v>
      </c>
      <c r="G7168" s="15" t="s">
        <v>22</v>
      </c>
      <c r="H7168" s="24">
        <f t="shared" si="1463"/>
        <v>0</v>
      </c>
      <c r="I7168" s="24" cm="1">
        <f t="array" ref="I7168">IFERROR(IF($B7168=I$1, ($A7168+$C7168) - MAX(IF($B$2:$B7167=$B7168, $A$2:$A7167+$C$2:$C7167)), "")*24*60, "")</f>
        <v>0</v>
      </c>
      <c r="J7168" s="24" t="str" cm="1">
        <f t="array" ref="J7168">IFERROR(IF($B7168=J$1, ($A7168+$C7168) - MAX(IF($B$2:$B7167=$B7168, $A$2:$A7167+$C$2:$C7167)), "")*24*60, "")</f>
        <v/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t="str" cm="1">
        <f t="array" ref="O7168">IFERROR(IF($B7168=O$1, ($A7168+$C7168) - MAX(IF($B$2:$B7167=$B7168, $A$2:$A7167+$C$2:$C7167)), "")*24*60, "")</f>
        <v/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ref="A7169:C7169" si="1504">A7168</f>
        <v>46005</v>
      </c>
      <c r="B7169" s="5" t="str">
        <f t="shared" si="1504"/>
        <v>Northern Cardinal</v>
      </c>
      <c r="C7169" s="6">
        <f t="shared" si="1504"/>
        <v>0.35069444444444442</v>
      </c>
      <c r="D7169" s="5"/>
      <c r="E7169" s="5"/>
      <c r="F7169" s="5" t="s">
        <v>22</v>
      </c>
      <c r="G7169" s="15" t="s">
        <v>22</v>
      </c>
      <c r="H7169" s="24">
        <f t="shared" si="1463"/>
        <v>0</v>
      </c>
      <c r="I7169" s="24" cm="1">
        <f t="array" ref="I7169">IFERROR(IF($B7169=I$1, ($A7169+$C7169) - MAX(IF($B$2:$B7168=$B7169, $A$2:$A7168+$C$2:$C7168)), "")*24*60, "")</f>
        <v>0</v>
      </c>
      <c r="J7169" s="24" t="str" cm="1">
        <f t="array" ref="J7169">IFERROR(IF($B7169=J$1, ($A7169+$C7169) - MAX(IF($B$2:$B7168=$B7169, $A$2:$A7168+$C$2:$C7168)), "")*24*60, "")</f>
        <v/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t="str" cm="1">
        <f t="array" ref="O7169">IFERROR(IF($B7169=O$1, ($A7169+$C7169) - MAX(IF($B$2:$B7168=$B7169, $A$2:$A7168+$C$2:$C7168)), "")*24*60, "")</f>
        <v/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ref="A7170:C7170" si="1505">A7169</f>
        <v>46005</v>
      </c>
      <c r="B7170" s="5" t="str">
        <f t="shared" si="1505"/>
        <v>Northern Cardinal</v>
      </c>
      <c r="C7170" s="6">
        <f t="shared" si="1505"/>
        <v>0.35069444444444442</v>
      </c>
      <c r="D7170" s="5"/>
      <c r="E7170" s="5"/>
      <c r="F7170" s="5" t="s">
        <v>22</v>
      </c>
      <c r="G7170" s="15" t="s">
        <v>22</v>
      </c>
      <c r="H7170" s="24">
        <f t="shared" si="1463"/>
        <v>0</v>
      </c>
      <c r="I7170" s="24" cm="1">
        <f t="array" ref="I7170">IFERROR(IF($B7170=I$1, ($A7170+$C7170) - MAX(IF($B$2:$B7169=$B7170, $A$2:$A7169+$C$2:$C7169)), "")*24*60, "")</f>
        <v>0</v>
      </c>
      <c r="J7170" s="24" t="str" cm="1">
        <f t="array" ref="J7170">IFERROR(IF($B7170=J$1, ($A7170+$C7170) - MAX(IF($B$2:$B7169=$B7170, $A$2:$A7169+$C$2:$C7169)), "")*24*60, "")</f>
        <v/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t="str" cm="1">
        <f t="array" ref="O7170">IFERROR(IF($B7170=O$1, ($A7170+$C7170) - MAX(IF($B$2:$B7169=$B7170, $A$2:$A7169+$C$2:$C7169)), "")*24*60, "")</f>
        <v/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ref="A7171:C7171" si="1506">A7170</f>
        <v>46005</v>
      </c>
      <c r="B7171" s="5" t="str">
        <f t="shared" si="1506"/>
        <v>Northern Cardinal</v>
      </c>
      <c r="C7171" s="6">
        <f t="shared" si="1506"/>
        <v>0.35069444444444442</v>
      </c>
      <c r="D7171" s="5"/>
      <c r="E7171" s="5"/>
      <c r="F7171" s="5" t="s">
        <v>22</v>
      </c>
      <c r="G7171" s="15" t="s">
        <v>22</v>
      </c>
      <c r="H7171" s="24">
        <f t="shared" si="1463"/>
        <v>0</v>
      </c>
      <c r="I7171" s="24" cm="1">
        <f t="array" ref="I7171">IFERROR(IF($B7171=I$1, ($A7171+$C7171) - MAX(IF($B$2:$B7170=$B7171, $A$2:$A7170+$C$2:$C7170)), "")*24*60, "")</f>
        <v>0</v>
      </c>
      <c r="J7171" s="24" t="str" cm="1">
        <f t="array" ref="J7171">IFERROR(IF($B7171=J$1, ($A7171+$C7171) - MAX(IF($B$2:$B7170=$B7171, $A$2:$A7170+$C$2:$C7170)), "")*24*60, "")</f>
        <v/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t="str" cm="1">
        <f t="array" ref="O7171">IFERROR(IF($B7171=O$1, ($A7171+$C7171) - MAX(IF($B$2:$B7170=$B7171, $A$2:$A7170+$C$2:$C7170)), "")*24*60, "")</f>
        <v/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ref="A7172:C7172" si="1507">A7171</f>
        <v>46005</v>
      </c>
      <c r="B7172" s="5" t="str">
        <f t="shared" si="1507"/>
        <v>Northern Cardinal</v>
      </c>
      <c r="C7172" s="6">
        <f t="shared" si="1507"/>
        <v>0.35069444444444442</v>
      </c>
      <c r="D7172" s="5"/>
      <c r="E7172" s="5"/>
      <c r="F7172" s="5" t="s">
        <v>22</v>
      </c>
      <c r="G7172" s="15" t="s">
        <v>22</v>
      </c>
      <c r="H7172" s="24">
        <f t="shared" si="1463"/>
        <v>0</v>
      </c>
      <c r="I7172" s="24" cm="1">
        <f t="array" ref="I7172">IFERROR(IF($B7172=I$1, ($A7172+$C7172) - MAX(IF($B$2:$B7171=$B7172, $A$2:$A7171+$C$2:$C7171)), "")*24*60, "")</f>
        <v>0</v>
      </c>
      <c r="J7172" s="24" t="str" cm="1">
        <f t="array" ref="J7172">IFERROR(IF($B7172=J$1, ($A7172+$C7172) - MAX(IF($B$2:$B7171=$B7172, $A$2:$A7171+$C$2:$C7171)), "")*24*60, "")</f>
        <v/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t="str" cm="1">
        <f t="array" ref="O7172">IFERROR(IF($B7172=O$1, ($A7172+$C7172) - MAX(IF($B$2:$B7171=$B7172, $A$2:$A7171+$C$2:$C7171)), "")*24*60, "")</f>
        <v/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ref="A7173:C7173" si="1508">A7172</f>
        <v>46005</v>
      </c>
      <c r="B7173" s="5" t="str">
        <f t="shared" si="1508"/>
        <v>Northern Cardinal</v>
      </c>
      <c r="C7173" s="6">
        <f t="shared" si="1508"/>
        <v>0.35069444444444442</v>
      </c>
      <c r="D7173" s="5"/>
      <c r="E7173" s="5"/>
      <c r="F7173" s="5" t="s">
        <v>22</v>
      </c>
      <c r="G7173" s="15" t="s">
        <v>22</v>
      </c>
      <c r="H7173" s="24">
        <f t="shared" si="1463"/>
        <v>0</v>
      </c>
      <c r="I7173" s="24" cm="1">
        <f t="array" ref="I7173">IFERROR(IF($B7173=I$1, ($A7173+$C7173) - MAX(IF($B$2:$B7172=$B7173, $A$2:$A7172+$C$2:$C7172)), "")*24*60, "")</f>
        <v>0</v>
      </c>
      <c r="J7173" s="24" t="str" cm="1">
        <f t="array" ref="J7173">IFERROR(IF($B7173=J$1, ($A7173+$C7173) - MAX(IF($B$2:$B7172=$B7173, $A$2:$A7172+$C$2:$C7172)), "")*24*60, "")</f>
        <v/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t="str" cm="1">
        <f t="array" ref="O7173">IFERROR(IF($B7173=O$1, ($A7173+$C7173) - MAX(IF($B$2:$B7172=$B7173, $A$2:$A7172+$C$2:$C7172)), "")*24*60, "")</f>
        <v/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ref="A7174:C7174" si="1509">A7173</f>
        <v>46005</v>
      </c>
      <c r="B7174" s="5" t="str">
        <f t="shared" si="1509"/>
        <v>Northern Cardinal</v>
      </c>
      <c r="C7174" s="6">
        <f t="shared" si="1509"/>
        <v>0.35069444444444442</v>
      </c>
      <c r="D7174" s="5"/>
      <c r="E7174" s="5"/>
      <c r="F7174" s="5" t="s">
        <v>22</v>
      </c>
      <c r="G7174" s="15" t="s">
        <v>22</v>
      </c>
      <c r="H7174" s="24">
        <f t="shared" si="1463"/>
        <v>0</v>
      </c>
      <c r="I7174" s="24" cm="1">
        <f t="array" ref="I7174">IFERROR(IF($B7174=I$1, ($A7174+$C7174) - MAX(IF($B$2:$B7173=$B7174, $A$2:$A7173+$C$2:$C7173)), "")*24*60, "")</f>
        <v>0</v>
      </c>
      <c r="J7174" s="24" t="str" cm="1">
        <f t="array" ref="J7174">IFERROR(IF($B7174=J$1, ($A7174+$C7174) - MAX(IF($B$2:$B7173=$B7174, $A$2:$A7173+$C$2:$C7173)), "")*24*60, "")</f>
        <v/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t="str" cm="1">
        <f t="array" ref="O7174">IFERROR(IF($B7174=O$1, ($A7174+$C7174) - MAX(IF($B$2:$B7173=$B7174, $A$2:$A7173+$C$2:$C7173)), "")*24*60, "")</f>
        <v/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ref="A7175:C7175" si="1510">A7174</f>
        <v>46005</v>
      </c>
      <c r="B7175" s="5" t="str">
        <f t="shared" si="1510"/>
        <v>Northern Cardinal</v>
      </c>
      <c r="C7175" s="6">
        <f t="shared" si="1510"/>
        <v>0.35069444444444442</v>
      </c>
      <c r="D7175" s="5"/>
      <c r="E7175" s="5"/>
      <c r="F7175" s="5" t="s">
        <v>22</v>
      </c>
      <c r="G7175" s="15" t="s">
        <v>22</v>
      </c>
      <c r="H7175" s="24">
        <f t="shared" si="1463"/>
        <v>0</v>
      </c>
      <c r="I7175" s="24" cm="1">
        <f t="array" ref="I7175">IFERROR(IF($B7175=I$1, ($A7175+$C7175) - MAX(IF($B$2:$B7174=$B7175, $A$2:$A7174+$C$2:$C7174)), "")*24*60, "")</f>
        <v>0</v>
      </c>
      <c r="J7175" s="24" t="str" cm="1">
        <f t="array" ref="J7175">IFERROR(IF($B7175=J$1, ($A7175+$C7175) - MAX(IF($B$2:$B7174=$B7175, $A$2:$A7174+$C$2:$C7174)), "")*24*60, "")</f>
        <v/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t="str" cm="1">
        <f t="array" ref="O7175">IFERROR(IF($B7175=O$1, ($A7175+$C7175) - MAX(IF($B$2:$B7174=$B7175, $A$2:$A7174+$C$2:$C7174)), "")*24*60, "")</f>
        <v/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ref="A7176:C7176" si="1511">A7175</f>
        <v>46005</v>
      </c>
      <c r="B7176" s="5" t="str">
        <f t="shared" si="1511"/>
        <v>Northern Cardinal</v>
      </c>
      <c r="C7176" s="6">
        <f t="shared" si="1511"/>
        <v>0.35069444444444442</v>
      </c>
      <c r="D7176" s="5"/>
      <c r="E7176" s="5"/>
      <c r="F7176" s="5" t="s">
        <v>22</v>
      </c>
      <c r="G7176" s="15" t="s">
        <v>22</v>
      </c>
      <c r="H7176" s="24">
        <f t="shared" si="1463"/>
        <v>0</v>
      </c>
      <c r="I7176" s="24" cm="1">
        <f t="array" ref="I7176">IFERROR(IF($B7176=I$1, ($A7176+$C7176) - MAX(IF($B$2:$B7175=$B7176, $A$2:$A7175+$C$2:$C7175)), "")*24*60, "")</f>
        <v>0</v>
      </c>
      <c r="J7176" s="24" t="str" cm="1">
        <f t="array" ref="J7176">IFERROR(IF($B7176=J$1, ($A7176+$C7176) - MAX(IF($B$2:$B7175=$B7176, $A$2:$A7175+$C$2:$C7175)), "")*24*60, "")</f>
        <v/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t="str" cm="1">
        <f t="array" ref="O7176">IFERROR(IF($B7176=O$1, ($A7176+$C7176) - MAX(IF($B$2:$B7175=$B7176, $A$2:$A7175+$C$2:$C7175)), "")*24*60, "")</f>
        <v/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ref="A7177:C7177" si="1512">A7176</f>
        <v>46005</v>
      </c>
      <c r="B7177" s="5" t="str">
        <f t="shared" si="1512"/>
        <v>Northern Cardinal</v>
      </c>
      <c r="C7177" s="6">
        <f t="shared" si="1512"/>
        <v>0.35069444444444442</v>
      </c>
      <c r="D7177" s="5"/>
      <c r="E7177" s="5"/>
      <c r="F7177" s="5" t="s">
        <v>22</v>
      </c>
      <c r="G7177" s="15" t="s">
        <v>22</v>
      </c>
      <c r="H7177" s="24">
        <f t="shared" si="1463"/>
        <v>0</v>
      </c>
      <c r="I7177" s="24" cm="1">
        <f t="array" ref="I7177">IFERROR(IF($B7177=I$1, ($A7177+$C7177) - MAX(IF($B$2:$B7176=$B7177, $A$2:$A7176+$C$2:$C7176)), "")*24*60, "")</f>
        <v>0</v>
      </c>
      <c r="J7177" s="24" t="str" cm="1">
        <f t="array" ref="J7177">IFERROR(IF($B7177=J$1, ($A7177+$C7177) - MAX(IF($B$2:$B7176=$B7177, $A$2:$A7176+$C$2:$C7176)), "")*24*60, "")</f>
        <v/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t="str" cm="1">
        <f t="array" ref="O7177">IFERROR(IF($B7177=O$1, ($A7177+$C7177) - MAX(IF($B$2:$B7176=$B7177, $A$2:$A7176+$C$2:$C7176)), "")*24*60, "")</f>
        <v/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ref="A7178:C7178" si="1513">A7177</f>
        <v>46005</v>
      </c>
      <c r="B7178" s="5" t="str">
        <f t="shared" si="1513"/>
        <v>Northern Cardinal</v>
      </c>
      <c r="C7178" s="6">
        <f t="shared" si="1513"/>
        <v>0.35069444444444442</v>
      </c>
      <c r="D7178" s="5"/>
      <c r="E7178" s="5"/>
      <c r="F7178" s="5" t="s">
        <v>22</v>
      </c>
      <c r="G7178" s="15" t="s">
        <v>22</v>
      </c>
      <c r="H7178" s="24">
        <f t="shared" si="1463"/>
        <v>0</v>
      </c>
      <c r="I7178" s="24" cm="1">
        <f t="array" ref="I7178">IFERROR(IF($B7178=I$1, ($A7178+$C7178) - MAX(IF($B$2:$B7177=$B7178, $A$2:$A7177+$C$2:$C7177)), "")*24*60, "")</f>
        <v>0</v>
      </c>
      <c r="J7178" s="24" t="str" cm="1">
        <f t="array" ref="J7178">IFERROR(IF($B7178=J$1, ($A7178+$C7178) - MAX(IF($B$2:$B7177=$B7178, $A$2:$A7177+$C$2:$C7177)), "")*24*60, "")</f>
        <v/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t="str" cm="1">
        <f t="array" ref="O7178">IFERROR(IF($B7178=O$1, ($A7178+$C7178) - MAX(IF($B$2:$B7177=$B7178, $A$2:$A7177+$C$2:$C7177)), "")*24*60, "")</f>
        <v/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ref="A7179:C7179" si="1514">A7178</f>
        <v>46005</v>
      </c>
      <c r="B7179" s="5" t="str">
        <f t="shared" si="1514"/>
        <v>Northern Cardinal</v>
      </c>
      <c r="C7179" s="6">
        <f t="shared" si="1514"/>
        <v>0.35069444444444442</v>
      </c>
      <c r="D7179" s="5"/>
      <c r="E7179" s="5"/>
      <c r="F7179" s="5" t="s">
        <v>22</v>
      </c>
      <c r="G7179" s="15" t="s">
        <v>22</v>
      </c>
      <c r="H7179" s="24">
        <f t="shared" si="1463"/>
        <v>0</v>
      </c>
      <c r="I7179" s="24" cm="1">
        <f t="array" ref="I7179">IFERROR(IF($B7179=I$1, ($A7179+$C7179) - MAX(IF($B$2:$B7178=$B7179, $A$2:$A7178+$C$2:$C7178)), "")*24*60, "")</f>
        <v>0</v>
      </c>
      <c r="J7179" s="24" t="str" cm="1">
        <f t="array" ref="J7179">IFERROR(IF($B7179=J$1, ($A7179+$C7179) - MAX(IF($B$2:$B7178=$B7179, $A$2:$A7178+$C$2:$C7178)), "")*24*60, "")</f>
        <v/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t="str" cm="1">
        <f t="array" ref="O7179">IFERROR(IF($B7179=O$1, ($A7179+$C7179) - MAX(IF($B$2:$B7178=$B7179, $A$2:$A7178+$C$2:$C7178)), "")*24*60, "")</f>
        <v/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ref="A7180:C7180" si="1515">A7179</f>
        <v>46005</v>
      </c>
      <c r="B7180" s="5" t="str">
        <f t="shared" si="1515"/>
        <v>Northern Cardinal</v>
      </c>
      <c r="C7180" s="6">
        <f t="shared" si="1515"/>
        <v>0.35069444444444442</v>
      </c>
      <c r="D7180" s="5"/>
      <c r="E7180" s="5"/>
      <c r="F7180" s="5" t="s">
        <v>22</v>
      </c>
      <c r="G7180" s="15" t="s">
        <v>22</v>
      </c>
      <c r="H7180" s="24">
        <f t="shared" si="1463"/>
        <v>0</v>
      </c>
      <c r="I7180" s="24" cm="1">
        <f t="array" ref="I7180">IFERROR(IF($B7180=I$1, ($A7180+$C7180) - MAX(IF($B$2:$B7179=$B7180, $A$2:$A7179+$C$2:$C7179)), "")*24*60, "")</f>
        <v>0</v>
      </c>
      <c r="J7180" s="24" t="str" cm="1">
        <f t="array" ref="J7180">IFERROR(IF($B7180=J$1, ($A7180+$C7180) - MAX(IF($B$2:$B7179=$B7180, $A$2:$A7179+$C$2:$C7179)), "")*24*60, "")</f>
        <v/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t="str" cm="1">
        <f t="array" ref="O7180">IFERROR(IF($B7180=O$1, ($A7180+$C7180) - MAX(IF($B$2:$B7179=$B7180, $A$2:$A7179+$C$2:$C7179)), "")*24*60, "")</f>
        <v/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ref="A7181:C7181" si="1516">A7180</f>
        <v>46005</v>
      </c>
      <c r="B7181" s="5" t="str">
        <f t="shared" si="1516"/>
        <v>Northern Cardinal</v>
      </c>
      <c r="C7181" s="6">
        <f t="shared" si="1516"/>
        <v>0.35069444444444442</v>
      </c>
      <c r="D7181" s="5"/>
      <c r="E7181" s="5"/>
      <c r="F7181" s="5" t="s">
        <v>22</v>
      </c>
      <c r="G7181" s="15" t="s">
        <v>22</v>
      </c>
      <c r="H7181" s="24">
        <f t="shared" si="1463"/>
        <v>0</v>
      </c>
      <c r="I7181" s="24" cm="1">
        <f t="array" ref="I7181">IFERROR(IF($B7181=I$1, ($A7181+$C7181) - MAX(IF($B$2:$B7180=$B7181, $A$2:$A7180+$C$2:$C7180)), "")*24*60, "")</f>
        <v>0</v>
      </c>
      <c r="J7181" s="24" t="str" cm="1">
        <f t="array" ref="J7181">IFERROR(IF($B7181=J$1, ($A7181+$C7181) - MAX(IF($B$2:$B7180=$B7181, $A$2:$A7180+$C$2:$C7180)), "")*24*60, "")</f>
        <v/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t="str" cm="1">
        <f t="array" ref="O7181">IFERROR(IF($B7181=O$1, ($A7181+$C7181) - MAX(IF($B$2:$B7180=$B7181, $A$2:$A7180+$C$2:$C7180)), "")*24*60, "")</f>
        <v/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ref="A7182:C7182" si="1517">A7181</f>
        <v>46005</v>
      </c>
      <c r="B7182" s="5" t="str">
        <f t="shared" si="1517"/>
        <v>Northern Cardinal</v>
      </c>
      <c r="C7182" s="6">
        <f t="shared" si="1517"/>
        <v>0.35069444444444442</v>
      </c>
      <c r="D7182" s="5"/>
      <c r="E7182" s="5"/>
      <c r="F7182" s="5" t="s">
        <v>22</v>
      </c>
      <c r="G7182" s="15" t="s">
        <v>22</v>
      </c>
      <c r="H7182" s="24">
        <f t="shared" si="1463"/>
        <v>0</v>
      </c>
      <c r="I7182" s="24" cm="1">
        <f t="array" ref="I7182">IFERROR(IF($B7182=I$1, ($A7182+$C7182) - MAX(IF($B$2:$B7181=$B7182, $A$2:$A7181+$C$2:$C7181)), "")*24*60, "")</f>
        <v>0</v>
      </c>
      <c r="J7182" s="24" t="str" cm="1">
        <f t="array" ref="J7182">IFERROR(IF($B7182=J$1, ($A7182+$C7182) - MAX(IF($B$2:$B7181=$B7182, $A$2:$A7181+$C$2:$C7181)), "")*24*60, "")</f>
        <v/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t="str" cm="1">
        <f t="array" ref="O7182">IFERROR(IF($B7182=O$1, ($A7182+$C7182) - MAX(IF($B$2:$B7181=$B7182, $A$2:$A7181+$C$2:$C7181)), "")*24*60, "")</f>
        <v/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ref="A7183:C7183" si="1518">A7182</f>
        <v>46005</v>
      </c>
      <c r="B7183" s="5" t="str">
        <f t="shared" si="1518"/>
        <v>Northern Cardinal</v>
      </c>
      <c r="C7183" s="6">
        <f t="shared" si="1518"/>
        <v>0.35069444444444442</v>
      </c>
      <c r="D7183" s="5"/>
      <c r="E7183" s="5"/>
      <c r="F7183" s="5" t="s">
        <v>22</v>
      </c>
      <c r="G7183" s="15" t="s">
        <v>22</v>
      </c>
      <c r="H7183" s="24">
        <f t="shared" si="1463"/>
        <v>0</v>
      </c>
      <c r="I7183" s="24" cm="1">
        <f t="array" ref="I7183">IFERROR(IF($B7183=I$1, ($A7183+$C7183) - MAX(IF($B$2:$B7182=$B7183, $A$2:$A7182+$C$2:$C7182)), "")*24*60, "")</f>
        <v>0</v>
      </c>
      <c r="J7183" s="24" t="str" cm="1">
        <f t="array" ref="J7183">IFERROR(IF($B7183=J$1, ($A7183+$C7183) - MAX(IF($B$2:$B7182=$B7183, $A$2:$A7182+$C$2:$C7182)), "")*24*60, "")</f>
        <v/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t="str" cm="1">
        <f t="array" ref="O7183">IFERROR(IF($B7183=O$1, ($A7183+$C7183) - MAX(IF($B$2:$B7182=$B7183, $A$2:$A7182+$C$2:$C7182)), "")*24*60, "")</f>
        <v/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ref="A7184:C7184" si="1519">A7183</f>
        <v>46005</v>
      </c>
      <c r="B7184" s="5" t="str">
        <f t="shared" si="1519"/>
        <v>Northern Cardinal</v>
      </c>
      <c r="C7184" s="6">
        <f t="shared" si="1519"/>
        <v>0.35069444444444442</v>
      </c>
      <c r="D7184" s="5"/>
      <c r="E7184" s="5"/>
      <c r="F7184" s="5" t="s">
        <v>22</v>
      </c>
      <c r="G7184" s="15" t="s">
        <v>22</v>
      </c>
      <c r="H7184" s="24">
        <f t="shared" si="1463"/>
        <v>0</v>
      </c>
      <c r="I7184" s="24" cm="1">
        <f t="array" ref="I7184">IFERROR(IF($B7184=I$1, ($A7184+$C7184) - MAX(IF($B$2:$B7183=$B7184, $A$2:$A7183+$C$2:$C7183)), "")*24*60, "")</f>
        <v>0</v>
      </c>
      <c r="J7184" s="24" t="str" cm="1">
        <f t="array" ref="J7184">IFERROR(IF($B7184=J$1, ($A7184+$C7184) - MAX(IF($B$2:$B7183=$B7184, $A$2:$A7183+$C$2:$C7183)), "")*24*60, "")</f>
        <v/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t="str" cm="1">
        <f t="array" ref="O7184">IFERROR(IF($B7184=O$1, ($A7184+$C7184) - MAX(IF($B$2:$B7183=$B7184, $A$2:$A7183+$C$2:$C7183)), "")*24*60, "")</f>
        <v/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ref="A7185:C7185" si="1520">A7184</f>
        <v>46005</v>
      </c>
      <c r="B7185" s="5" t="str">
        <f t="shared" si="1520"/>
        <v>Northern Cardinal</v>
      </c>
      <c r="C7185" s="6">
        <f t="shared" si="1520"/>
        <v>0.35069444444444442</v>
      </c>
      <c r="D7185" s="5"/>
      <c r="E7185" s="5"/>
      <c r="F7185" s="5" t="s">
        <v>22</v>
      </c>
      <c r="G7185" s="15" t="s">
        <v>22</v>
      </c>
      <c r="H7185" s="24">
        <f t="shared" si="1463"/>
        <v>0</v>
      </c>
      <c r="I7185" s="24" cm="1">
        <f t="array" ref="I7185">IFERROR(IF($B7185=I$1, ($A7185+$C7185) - MAX(IF($B$2:$B7184=$B7185, $A$2:$A7184+$C$2:$C7184)), "")*24*60, "")</f>
        <v>0</v>
      </c>
      <c r="J7185" s="24" t="str" cm="1">
        <f t="array" ref="J7185">IFERROR(IF($B7185=J$1, ($A7185+$C7185) - MAX(IF($B$2:$B7184=$B7185, $A$2:$A7184+$C$2:$C7184)), "")*24*60, "")</f>
        <v/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t="str" cm="1">
        <f t="array" ref="O7185">IFERROR(IF($B7185=O$1, ($A7185+$C7185) - MAX(IF($B$2:$B7184=$B7185, $A$2:$A7184+$C$2:$C7184)), "")*24*60, "")</f>
        <v/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ref="A7186:C7186" si="1521">A7185</f>
        <v>46005</v>
      </c>
      <c r="B7186" s="5" t="str">
        <f t="shared" si="1521"/>
        <v>Northern Cardinal</v>
      </c>
      <c r="C7186" s="6">
        <f t="shared" si="1521"/>
        <v>0.35069444444444442</v>
      </c>
      <c r="D7186" s="5"/>
      <c r="E7186" s="5"/>
      <c r="F7186" s="5" t="s">
        <v>22</v>
      </c>
      <c r="G7186" s="15" t="s">
        <v>22</v>
      </c>
      <c r="H7186" s="24">
        <f t="shared" si="1463"/>
        <v>0</v>
      </c>
      <c r="I7186" s="24" cm="1">
        <f t="array" ref="I7186">IFERROR(IF($B7186=I$1, ($A7186+$C7186) - MAX(IF($B$2:$B7185=$B7186, $A$2:$A7185+$C$2:$C7185)), "")*24*60, "")</f>
        <v>0</v>
      </c>
      <c r="J7186" s="24" t="str" cm="1">
        <f t="array" ref="J7186">IFERROR(IF($B7186=J$1, ($A7186+$C7186) - MAX(IF($B$2:$B7185=$B7186, $A$2:$A7185+$C$2:$C7185)), "")*24*60, "")</f>
        <v/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t="str" cm="1">
        <f t="array" ref="O7186">IFERROR(IF($B7186=O$1, ($A7186+$C7186) - MAX(IF($B$2:$B7185=$B7186, $A$2:$A7185+$C$2:$C7185)), "")*24*60, "")</f>
        <v/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ref="A7187:C7187" si="1522">A7186</f>
        <v>46005</v>
      </c>
      <c r="B7187" s="5" t="str">
        <f t="shared" si="1522"/>
        <v>Northern Cardinal</v>
      </c>
      <c r="C7187" s="6">
        <f t="shared" si="1522"/>
        <v>0.35069444444444442</v>
      </c>
      <c r="D7187" s="5"/>
      <c r="E7187" s="5"/>
      <c r="F7187" s="5" t="s">
        <v>22</v>
      </c>
      <c r="G7187" s="15" t="s">
        <v>22</v>
      </c>
      <c r="H7187" s="24">
        <f t="shared" si="1463"/>
        <v>0</v>
      </c>
      <c r="I7187" s="24" cm="1">
        <f t="array" ref="I7187">IFERROR(IF($B7187=I$1, ($A7187+$C7187) - MAX(IF($B$2:$B7186=$B7187, $A$2:$A7186+$C$2:$C7186)), "")*24*60, "")</f>
        <v>0</v>
      </c>
      <c r="J7187" s="24" t="str" cm="1">
        <f t="array" ref="J7187">IFERROR(IF($B7187=J$1, ($A7187+$C7187) - MAX(IF($B$2:$B7186=$B7187, $A$2:$A7186+$C$2:$C7186)), "")*24*60, "")</f>
        <v/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t="str" cm="1">
        <f t="array" ref="O7187">IFERROR(IF($B7187=O$1, ($A7187+$C7187) - MAX(IF($B$2:$B7186=$B7187, $A$2:$A7186+$C$2:$C7186)), "")*24*60, "")</f>
        <v/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ref="A7188:C7188" si="1523">A7187</f>
        <v>46005</v>
      </c>
      <c r="B7188" s="5" t="str">
        <f t="shared" si="1523"/>
        <v>Northern Cardinal</v>
      </c>
      <c r="C7188" s="6">
        <f t="shared" si="1523"/>
        <v>0.35069444444444442</v>
      </c>
      <c r="D7188" s="5"/>
      <c r="E7188" s="5"/>
      <c r="F7188" s="5" t="s">
        <v>22</v>
      </c>
      <c r="G7188" s="15" t="s">
        <v>22</v>
      </c>
      <c r="H7188" s="24">
        <f t="shared" si="1463"/>
        <v>0</v>
      </c>
      <c r="I7188" s="24" cm="1">
        <f t="array" ref="I7188">IFERROR(IF($B7188=I$1, ($A7188+$C7188) - MAX(IF($B$2:$B7187=$B7188, $A$2:$A7187+$C$2:$C7187)), "")*24*60, "")</f>
        <v>0</v>
      </c>
      <c r="J7188" s="24" t="str" cm="1">
        <f t="array" ref="J7188">IFERROR(IF($B7188=J$1, ($A7188+$C7188) - MAX(IF($B$2:$B7187=$B7188, $A$2:$A7187+$C$2:$C7187)), "")*24*60, "")</f>
        <v/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t="str" cm="1">
        <f t="array" ref="O7188">IFERROR(IF($B7188=O$1, ($A7188+$C7188) - MAX(IF($B$2:$B7187=$B7188, $A$2:$A7187+$C$2:$C7187)), "")*24*60, "")</f>
        <v/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ref="A7189:C7189" si="1524">A7188</f>
        <v>46005</v>
      </c>
      <c r="B7189" s="5" t="str">
        <f t="shared" si="1524"/>
        <v>Northern Cardinal</v>
      </c>
      <c r="C7189" s="6">
        <f t="shared" si="1524"/>
        <v>0.35069444444444442</v>
      </c>
      <c r="D7189" s="5"/>
      <c r="E7189" s="5"/>
      <c r="F7189" s="5" t="s">
        <v>22</v>
      </c>
      <c r="G7189" s="15" t="s">
        <v>22</v>
      </c>
      <c r="H7189" s="24">
        <f t="shared" si="1463"/>
        <v>0</v>
      </c>
      <c r="I7189" s="24" cm="1">
        <f t="array" ref="I7189">IFERROR(IF($B7189=I$1, ($A7189+$C7189) - MAX(IF($B$2:$B7188=$B7189, $A$2:$A7188+$C$2:$C7188)), "")*24*60, "")</f>
        <v>0</v>
      </c>
      <c r="J7189" s="24" t="str" cm="1">
        <f t="array" ref="J7189">IFERROR(IF($B7189=J$1, ($A7189+$C7189) - MAX(IF($B$2:$B7188=$B7189, $A$2:$A7188+$C$2:$C7188)), "")*24*60, "")</f>
        <v/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t="str" cm="1">
        <f t="array" ref="O7189">IFERROR(IF($B7189=O$1, ($A7189+$C7189) - MAX(IF($B$2:$B7188=$B7189, $A$2:$A7188+$C$2:$C7188)), "")*24*60, "")</f>
        <v/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ref="A7190:C7190" si="1525">A7189</f>
        <v>46005</v>
      </c>
      <c r="B7190" s="5" t="str">
        <f t="shared" si="1525"/>
        <v>Northern Cardinal</v>
      </c>
      <c r="C7190" s="6">
        <f t="shared" si="1525"/>
        <v>0.35069444444444442</v>
      </c>
      <c r="D7190" s="5"/>
      <c r="E7190" s="5"/>
      <c r="F7190" s="5" t="s">
        <v>22</v>
      </c>
      <c r="G7190" s="15" t="s">
        <v>22</v>
      </c>
      <c r="H7190" s="24">
        <f t="shared" si="1463"/>
        <v>0</v>
      </c>
      <c r="I7190" s="24" cm="1">
        <f t="array" ref="I7190">IFERROR(IF($B7190=I$1, ($A7190+$C7190) - MAX(IF($B$2:$B7189=$B7190, $A$2:$A7189+$C$2:$C7189)), "")*24*60, "")</f>
        <v>0</v>
      </c>
      <c r="J7190" s="24" t="str" cm="1">
        <f t="array" ref="J7190">IFERROR(IF($B7190=J$1, ($A7190+$C7190) - MAX(IF($B$2:$B7189=$B7190, $A$2:$A7189+$C$2:$C7189)), "")*24*60, "")</f>
        <v/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t="str" cm="1">
        <f t="array" ref="O7190">IFERROR(IF($B7190=O$1, ($A7190+$C7190) - MAX(IF($B$2:$B7189=$B7190, $A$2:$A7189+$C$2:$C7189)), "")*24*60, "")</f>
        <v/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72"/>
  <sheetViews>
    <sheetView tabSelected="1" zoomScale="120" zoomScaleNormal="120" workbookViewId="0">
      <pane ySplit="1" topLeftCell="A253" activePane="bottomLeft" state="frozen"/>
      <selection pane="bottomLeft" activeCell="A270" sqref="A270:E272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10">
        <v>46004</v>
      </c>
      <c r="B272" s="11" t="s">
        <v>3</v>
      </c>
      <c r="C272" s="11">
        <f>COUNTIFS(RawData!$B:$B, $B272, RawData!$A:$A, DailySummaries!$A272)</f>
        <v>1</v>
      </c>
      <c r="D272" s="11">
        <f>SUMIFS(RawData!$D:$D,RawData!$B:$B,$B272,RawData!$A:$A,DailySummaries!$A272)+1</f>
        <v>1</v>
      </c>
      <c r="E272" s="11">
        <f>SUMIFS(RawData!$E:$E,RawData!$B:$B,$B272,RawData!$A:$A,DailySummaries!$A272)+1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2025-12-14T12:32:51Z</dcterms:modified>
</cp:coreProperties>
</file>
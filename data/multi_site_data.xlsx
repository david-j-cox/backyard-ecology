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5FF2ED85-C3FF-4E47-BBF3-2AEED452F88F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5" i="2" l="1"/>
  <c r="D295" i="2"/>
  <c r="E295" i="2"/>
  <c r="C7578" i="1"/>
  <c r="C7579" i="1" s="1"/>
  <c r="C7580" i="1" s="1"/>
  <c r="C7581" i="1" s="1"/>
  <c r="C7582" i="1" s="1"/>
  <c r="C7583" i="1" s="1"/>
  <c r="C7584" i="1" s="1"/>
  <c r="C7585" i="1" s="1"/>
  <c r="C7586" i="1" s="1"/>
  <c r="C7587" i="1" s="1"/>
  <c r="C7588" i="1" s="1"/>
  <c r="C7589" i="1" s="1"/>
  <c r="C7590" i="1" s="1"/>
  <c r="C7591" i="1" s="1"/>
  <c r="C7592" i="1" s="1"/>
  <c r="C7593" i="1" s="1"/>
  <c r="C7594" i="1" s="1"/>
  <c r="C7595" i="1" s="1"/>
  <c r="C7596" i="1" s="1"/>
  <c r="C7597" i="1" s="1"/>
  <c r="C7598" i="1" s="1"/>
  <c r="C7599" i="1" s="1"/>
  <c r="C7600" i="1" s="1"/>
  <c r="C7601" i="1" s="1"/>
  <c r="C7602" i="1" s="1"/>
  <c r="C7603" i="1" s="1"/>
  <c r="C7604" i="1" s="1"/>
  <c r="C7605" i="1" s="1"/>
  <c r="C7606" i="1" s="1"/>
  <c r="C7607" i="1" s="1"/>
  <c r="C7608" i="1" s="1"/>
  <c r="C7609" i="1" s="1"/>
  <c r="C7610" i="1" s="1"/>
  <c r="C7611" i="1" s="1"/>
  <c r="C7612" i="1" s="1"/>
  <c r="C7613" i="1" s="1"/>
  <c r="C7614" i="1" s="1"/>
  <c r="C7615" i="1" s="1"/>
  <c r="C7616" i="1" s="1"/>
  <c r="C7617" i="1" s="1"/>
  <c r="C7618" i="1" s="1"/>
  <c r="C7619" i="1" s="1"/>
  <c r="C7620" i="1" s="1"/>
  <c r="C7621" i="1" s="1"/>
  <c r="C7622" i="1" s="1"/>
  <c r="C7623" i="1" s="1"/>
  <c r="C7624" i="1" s="1"/>
  <c r="C7625" i="1" s="1"/>
  <c r="C7626" i="1" s="1"/>
  <c r="C7627" i="1" s="1"/>
  <c r="C7628" i="1" s="1"/>
  <c r="C7629" i="1" s="1"/>
  <c r="C7630" i="1" s="1"/>
  <c r="C7631" i="1" s="1"/>
  <c r="C7632" i="1" s="1"/>
  <c r="C7633" i="1" s="1"/>
  <c r="C7634" i="1" s="1"/>
  <c r="C7635" i="1" s="1"/>
  <c r="C7636" i="1" s="1"/>
  <c r="C7637" i="1" s="1"/>
  <c r="C7638" i="1" s="1"/>
  <c r="C7639" i="1" s="1"/>
  <c r="C7640" i="1" s="1"/>
  <c r="C7641" i="1" s="1"/>
  <c r="C7642" i="1" s="1"/>
  <c r="C7643" i="1" s="1"/>
  <c r="C7644" i="1" s="1"/>
  <c r="C7645" i="1" s="1"/>
  <c r="C7646" i="1" s="1"/>
  <c r="C7647" i="1" s="1"/>
  <c r="C7648" i="1" s="1"/>
  <c r="C7649" i="1" s="1"/>
  <c r="C7650" i="1" s="1"/>
  <c r="C7651" i="1" s="1"/>
  <c r="C7652" i="1" s="1"/>
  <c r="C7653" i="1" s="1"/>
  <c r="C7654" i="1" s="1"/>
  <c r="C7655" i="1" s="1"/>
  <c r="C7656" i="1" s="1"/>
  <c r="C7657" i="1" s="1"/>
  <c r="C7658" i="1" s="1"/>
  <c r="C7659" i="1" s="1"/>
  <c r="C7660" i="1" s="1"/>
  <c r="C7661" i="1" s="1"/>
  <c r="C7662" i="1" s="1"/>
  <c r="C7663" i="1" s="1"/>
  <c r="C7664" i="1" s="1"/>
  <c r="C7665" i="1" s="1"/>
  <c r="C7666" i="1" s="1"/>
  <c r="C7667" i="1" s="1"/>
  <c r="C7668" i="1" s="1"/>
  <c r="C7669" i="1" s="1"/>
  <c r="C7670" i="1" s="1"/>
  <c r="C7671" i="1" s="1"/>
  <c r="C7672" i="1" s="1"/>
  <c r="C7673" i="1" s="1"/>
  <c r="C7674" i="1" s="1"/>
  <c r="C7675" i="1" s="1"/>
  <c r="C7676" i="1" s="1"/>
  <c r="C7677" i="1" s="1"/>
  <c r="C7678" i="1" s="1"/>
  <c r="C7679" i="1" s="1"/>
  <c r="C7680" i="1" s="1"/>
  <c r="C7681" i="1" s="1"/>
  <c r="C7682" i="1" s="1"/>
  <c r="C7683" i="1" s="1"/>
  <c r="C7684" i="1" s="1"/>
  <c r="C7685" i="1" s="1"/>
  <c r="C7686" i="1" s="1"/>
  <c r="C7687" i="1" s="1"/>
  <c r="C7688" i="1" s="1"/>
  <c r="C7689" i="1" s="1"/>
  <c r="C7690" i="1" s="1"/>
  <c r="C7691" i="1" s="1"/>
  <c r="C7692" i="1" s="1"/>
  <c r="C7693" i="1" s="1"/>
  <c r="C7694" i="1" s="1"/>
  <c r="C7695" i="1" s="1"/>
  <c r="C7696" i="1" s="1"/>
  <c r="C7697" i="1" s="1"/>
  <c r="C7698" i="1" s="1"/>
  <c r="C7699" i="1" s="1"/>
  <c r="C7700" i="1" s="1"/>
  <c r="C7701" i="1" s="1"/>
  <c r="C7702" i="1" s="1"/>
  <c r="C7703" i="1" s="1"/>
  <c r="C7704" i="1" s="1"/>
  <c r="C7705" i="1" s="1"/>
  <c r="C7706" i="1" s="1"/>
  <c r="C7707" i="1" s="1"/>
  <c r="C7708" i="1" s="1"/>
  <c r="C7709" i="1" s="1"/>
  <c r="C7710" i="1" s="1"/>
  <c r="C7711" i="1" s="1"/>
  <c r="C7712" i="1" s="1"/>
  <c r="C7713" i="1" s="1"/>
  <c r="C7714" i="1" s="1"/>
  <c r="C7715" i="1" s="1"/>
  <c r="C7716" i="1" s="1"/>
  <c r="C7717" i="1" s="1"/>
  <c r="C7718" i="1" s="1"/>
  <c r="C7719" i="1" s="1"/>
  <c r="C7720" i="1" s="1"/>
  <c r="C7721" i="1" s="1"/>
  <c r="C7722" i="1" s="1"/>
  <c r="C7723" i="1" s="1"/>
  <c r="C7724" i="1" s="1"/>
  <c r="C7725" i="1" s="1"/>
  <c r="C7726" i="1" s="1"/>
  <c r="C7727" i="1" s="1"/>
  <c r="C7728" i="1" s="1"/>
  <c r="C7729" i="1" s="1"/>
  <c r="C7730" i="1" s="1"/>
  <c r="C7731" i="1" s="1"/>
  <c r="C7732" i="1" s="1"/>
  <c r="C7733" i="1" s="1"/>
  <c r="C7734" i="1" s="1"/>
  <c r="C7735" i="1" s="1"/>
  <c r="C7736" i="1" s="1"/>
  <c r="C7737" i="1" s="1"/>
  <c r="C7738" i="1" s="1"/>
  <c r="C7739" i="1" s="1"/>
  <c r="C7740" i="1" s="1"/>
  <c r="C7741" i="1" s="1"/>
  <c r="C7742" i="1" s="1"/>
  <c r="C7743" i="1" s="1"/>
  <c r="C7744" i="1" s="1"/>
  <c r="C7745" i="1" s="1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H7086" i="1" l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7088" i="1" l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A7578" i="1" l="1"/>
  <c r="H7577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A7579" i="1" l="1"/>
  <c r="H7578" i="1"/>
  <c r="B7577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N7577" i="1" l="1" a="1"/>
  <c r="N7577" i="1" s="1"/>
  <c r="S7577" i="1" a="1"/>
  <c r="S7577" i="1" s="1"/>
  <c r="J7577" i="1" a="1"/>
  <c r="J7577" i="1" s="1"/>
  <c r="O7577" i="1" a="1"/>
  <c r="O7577" i="1" s="1"/>
  <c r="K7577" i="1" a="1"/>
  <c r="K7577" i="1" s="1"/>
  <c r="P7577" i="1" a="1"/>
  <c r="P7577" i="1" s="1"/>
  <c r="B7578" i="1"/>
  <c r="L7577" i="1" a="1"/>
  <c r="L7577" i="1" s="1"/>
  <c r="R7577" i="1" a="1"/>
  <c r="R7577" i="1" s="1"/>
  <c r="I7577" i="1" a="1"/>
  <c r="I7577" i="1" s="1"/>
  <c r="M7577" i="1" a="1"/>
  <c r="M7577" i="1" s="1"/>
  <c r="Q7577" i="1" a="1"/>
  <c r="Q7577" i="1" s="1"/>
  <c r="H7579" i="1"/>
  <c r="A7580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O7578" i="1" l="1" a="1"/>
  <c r="O7578" i="1" s="1"/>
  <c r="K7578" i="1" a="1"/>
  <c r="K7578" i="1" s="1"/>
  <c r="P7578" i="1" a="1"/>
  <c r="P7578" i="1" s="1"/>
  <c r="B7579" i="1"/>
  <c r="L7578" i="1" a="1"/>
  <c r="L7578" i="1" s="1"/>
  <c r="Q7578" i="1" a="1"/>
  <c r="Q7578" i="1" s="1"/>
  <c r="S7578" i="1" a="1"/>
  <c r="S7578" i="1" s="1"/>
  <c r="I7578" i="1" a="1"/>
  <c r="I7578" i="1" s="1"/>
  <c r="J7578" i="1" a="1"/>
  <c r="J7578" i="1" s="1"/>
  <c r="M7578" i="1" a="1"/>
  <c r="M7578" i="1" s="1"/>
  <c r="N7578" i="1" a="1"/>
  <c r="N7578" i="1" s="1"/>
  <c r="R7578" i="1" a="1"/>
  <c r="R7578" i="1" s="1"/>
  <c r="H7580" i="1"/>
  <c r="A7581" i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B7580" i="1" l="1"/>
  <c r="K7579" i="1" a="1"/>
  <c r="K7579" i="1" s="1"/>
  <c r="P7579" i="1" a="1"/>
  <c r="P7579" i="1" s="1"/>
  <c r="L7579" i="1" a="1"/>
  <c r="L7579" i="1" s="1"/>
  <c r="Q7579" i="1" a="1"/>
  <c r="Q7579" i="1" s="1"/>
  <c r="M7579" i="1" a="1"/>
  <c r="M7579" i="1" s="1"/>
  <c r="I7579" i="1" a="1"/>
  <c r="I7579" i="1" s="1"/>
  <c r="R7579" i="1" a="1"/>
  <c r="R7579" i="1" s="1"/>
  <c r="S7579" i="1" a="1"/>
  <c r="S7579" i="1" s="1"/>
  <c r="J7579" i="1" a="1"/>
  <c r="J7579" i="1" s="1"/>
  <c r="N7579" i="1" a="1"/>
  <c r="N7579" i="1" s="1"/>
  <c r="O7579" i="1" a="1"/>
  <c r="O7579" i="1" s="1"/>
  <c r="H7581" i="1"/>
  <c r="A758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H7582" i="1" l="1"/>
  <c r="A7583" i="1"/>
  <c r="L7580" i="1" a="1"/>
  <c r="L7580" i="1" s="1"/>
  <c r="Q7580" i="1" a="1"/>
  <c r="Q7580" i="1" s="1"/>
  <c r="M7580" i="1" a="1"/>
  <c r="M7580" i="1" s="1"/>
  <c r="I7580" i="1" a="1"/>
  <c r="I7580" i="1" s="1"/>
  <c r="R7580" i="1" a="1"/>
  <c r="R7580" i="1" s="1"/>
  <c r="N7580" i="1" a="1"/>
  <c r="N7580" i="1" s="1"/>
  <c r="P7580" i="1" a="1"/>
  <c r="P7580" i="1" s="1"/>
  <c r="S7580" i="1" a="1"/>
  <c r="S7580" i="1" s="1"/>
  <c r="J7580" i="1" a="1"/>
  <c r="J7580" i="1" s="1"/>
  <c r="B7581" i="1"/>
  <c r="K7580" i="1" a="1"/>
  <c r="K7580" i="1" s="1"/>
  <c r="O7580" i="1" a="1"/>
  <c r="O7580" i="1" s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Q7581" i="1" l="1" a="1"/>
  <c r="Q7581" i="1" s="1"/>
  <c r="M7581" i="1" a="1"/>
  <c r="M7581" i="1" s="1"/>
  <c r="I7581" i="1" a="1"/>
  <c r="I7581" i="1" s="1"/>
  <c r="R7581" i="1" a="1"/>
  <c r="R7581" i="1" s="1"/>
  <c r="N7581" i="1" a="1"/>
  <c r="N7581" i="1" s="1"/>
  <c r="S7581" i="1" a="1"/>
  <c r="S7581" i="1" s="1"/>
  <c r="J7581" i="1" a="1"/>
  <c r="J7581" i="1" s="1"/>
  <c r="O7581" i="1" a="1"/>
  <c r="O7581" i="1" s="1"/>
  <c r="P7581" i="1" a="1"/>
  <c r="P7581" i="1" s="1"/>
  <c r="B7582" i="1"/>
  <c r="K7581" i="1" a="1"/>
  <c r="K7581" i="1" s="1"/>
  <c r="L7581" i="1" a="1"/>
  <c r="L7581" i="1" s="1"/>
  <c r="H7583" i="1"/>
  <c r="A7584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7585" i="1" l="1"/>
  <c r="H7584" i="1"/>
  <c r="M7582" i="1" a="1"/>
  <c r="M7582" i="1" s="1"/>
  <c r="R7582" i="1" a="1"/>
  <c r="R7582" i="1" s="1"/>
  <c r="I7582" i="1" a="1"/>
  <c r="I7582" i="1" s="1"/>
  <c r="N7582" i="1" a="1"/>
  <c r="N7582" i="1" s="1"/>
  <c r="J7582" i="1" a="1"/>
  <c r="J7582" i="1" s="1"/>
  <c r="S7582" i="1" a="1"/>
  <c r="S7582" i="1" s="1"/>
  <c r="O7582" i="1" a="1"/>
  <c r="O7582" i="1" s="1"/>
  <c r="K7582" i="1" a="1"/>
  <c r="K7582" i="1" s="1"/>
  <c r="P7582" i="1" a="1"/>
  <c r="P7582" i="1" s="1"/>
  <c r="Q7582" i="1" a="1"/>
  <c r="Q7582" i="1" s="1"/>
  <c r="B7583" i="1"/>
  <c r="L7582" i="1" a="1"/>
  <c r="L7582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B7584" i="1" l="1"/>
  <c r="N7583" i="1" a="1"/>
  <c r="N7583" i="1" s="1"/>
  <c r="J7583" i="1" a="1"/>
  <c r="J7583" i="1" s="1"/>
  <c r="S7583" i="1" a="1"/>
  <c r="S7583" i="1" s="1"/>
  <c r="O7583" i="1" a="1"/>
  <c r="O7583" i="1" s="1"/>
  <c r="K7583" i="1" a="1"/>
  <c r="K7583" i="1" s="1"/>
  <c r="P7583" i="1" a="1"/>
  <c r="P7583" i="1" s="1"/>
  <c r="Q7583" i="1" a="1"/>
  <c r="Q7583" i="1" s="1"/>
  <c r="R7583" i="1" a="1"/>
  <c r="R7583" i="1" s="1"/>
  <c r="I7583" i="1" a="1"/>
  <c r="I7583" i="1" s="1"/>
  <c r="L7583" i="1" a="1"/>
  <c r="L7583" i="1" s="1"/>
  <c r="M7583" i="1" a="1"/>
  <c r="M7583" i="1" s="1"/>
  <c r="A7586" i="1"/>
  <c r="H7585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H7586" i="1" l="1"/>
  <c r="A7587" i="1"/>
  <c r="J7584" i="1" a="1"/>
  <c r="J7584" i="1" s="1"/>
  <c r="S7584" i="1" a="1"/>
  <c r="S7584" i="1" s="1"/>
  <c r="O7584" i="1" a="1"/>
  <c r="O7584" i="1" s="1"/>
  <c r="K7584" i="1" a="1"/>
  <c r="K7584" i="1" s="1"/>
  <c r="P7584" i="1" a="1"/>
  <c r="P7584" i="1" s="1"/>
  <c r="B7585" i="1"/>
  <c r="L7584" i="1" a="1"/>
  <c r="L7584" i="1" s="1"/>
  <c r="Q7584" i="1" a="1"/>
  <c r="Q7584" i="1" s="1"/>
  <c r="N7584" i="1" a="1"/>
  <c r="N7584" i="1" s="1"/>
  <c r="R7584" i="1" a="1"/>
  <c r="R7584" i="1" s="1"/>
  <c r="M7584" i="1" a="1"/>
  <c r="M7584" i="1" s="1"/>
  <c r="I7584" i="1" a="1"/>
  <c r="I7584" i="1" s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K7585" i="1" l="1" a="1"/>
  <c r="K7585" i="1" s="1"/>
  <c r="P7585" i="1" a="1"/>
  <c r="P7585" i="1" s="1"/>
  <c r="B7586" i="1"/>
  <c r="L7585" i="1" a="1"/>
  <c r="L7585" i="1" s="1"/>
  <c r="Q7585" i="1" a="1"/>
  <c r="Q7585" i="1" s="1"/>
  <c r="M7585" i="1" a="1"/>
  <c r="M7585" i="1" s="1"/>
  <c r="N7585" i="1" a="1"/>
  <c r="N7585" i="1" s="1"/>
  <c r="O7585" i="1" a="1"/>
  <c r="O7585" i="1" s="1"/>
  <c r="R7585" i="1" a="1"/>
  <c r="R7585" i="1" s="1"/>
  <c r="S7585" i="1" a="1"/>
  <c r="S7585" i="1" s="1"/>
  <c r="I7585" i="1" a="1"/>
  <c r="I7585" i="1" s="1"/>
  <c r="J7585" i="1" a="1"/>
  <c r="J7585" i="1" s="1"/>
  <c r="H7587" i="1"/>
  <c r="A7588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H7588" i="1" l="1"/>
  <c r="A7589" i="1"/>
  <c r="P7586" i="1" a="1"/>
  <c r="P7586" i="1" s="1"/>
  <c r="B7587" i="1"/>
  <c r="L7586" i="1" a="1"/>
  <c r="L7586" i="1" s="1"/>
  <c r="Q7586" i="1" a="1"/>
  <c r="Q7586" i="1" s="1"/>
  <c r="M7586" i="1" a="1"/>
  <c r="M7586" i="1" s="1"/>
  <c r="R7586" i="1" a="1"/>
  <c r="R7586" i="1" s="1"/>
  <c r="I7586" i="1" a="1"/>
  <c r="I7586" i="1" s="1"/>
  <c r="N7586" i="1" a="1"/>
  <c r="N7586" i="1" s="1"/>
  <c r="K7586" i="1" a="1"/>
  <c r="K7586" i="1" s="1"/>
  <c r="O7586" i="1" a="1"/>
  <c r="O7586" i="1" s="1"/>
  <c r="S7586" i="1" a="1"/>
  <c r="S7586" i="1" s="1"/>
  <c r="J7586" i="1" a="1"/>
  <c r="J7586" i="1" s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B7588" i="1" l="1"/>
  <c r="L7587" i="1" a="1"/>
  <c r="L7587" i="1" s="1"/>
  <c r="Q7587" i="1" a="1"/>
  <c r="Q7587" i="1" s="1"/>
  <c r="M7587" i="1" a="1"/>
  <c r="M7587" i="1" s="1"/>
  <c r="I7587" i="1" a="1"/>
  <c r="I7587" i="1" s="1"/>
  <c r="R7587" i="1" a="1"/>
  <c r="R7587" i="1" s="1"/>
  <c r="N7587" i="1" a="1"/>
  <c r="N7587" i="1" s="1"/>
  <c r="J7587" i="1" a="1"/>
  <c r="J7587" i="1" s="1"/>
  <c r="S7587" i="1" a="1"/>
  <c r="S7587" i="1" s="1"/>
  <c r="K7587" i="1" a="1"/>
  <c r="K7587" i="1" s="1"/>
  <c r="O7587" i="1" a="1"/>
  <c r="O7587" i="1" s="1"/>
  <c r="P7587" i="1" a="1"/>
  <c r="P7587" i="1" s="1"/>
  <c r="A7590" i="1"/>
  <c r="H7589" i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A7591" i="1" l="1"/>
  <c r="H7590" i="1"/>
  <c r="M7588" i="1" a="1"/>
  <c r="M7588" i="1" s="1"/>
  <c r="I7588" i="1" a="1"/>
  <c r="I7588" i="1" s="1"/>
  <c r="R7588" i="1" a="1"/>
  <c r="R7588" i="1" s="1"/>
  <c r="N7588" i="1" a="1"/>
  <c r="N7588" i="1" s="1"/>
  <c r="J7588" i="1" a="1"/>
  <c r="J7588" i="1" s="1"/>
  <c r="S7588" i="1" a="1"/>
  <c r="S7588" i="1" s="1"/>
  <c r="O7588" i="1" a="1"/>
  <c r="O7588" i="1" s="1"/>
  <c r="K7588" i="1" a="1"/>
  <c r="K7588" i="1" s="1"/>
  <c r="L7588" i="1" a="1"/>
  <c r="L7588" i="1" s="1"/>
  <c r="P7588" i="1" a="1"/>
  <c r="P7588" i="1" s="1"/>
  <c r="Q7588" i="1" a="1"/>
  <c r="Q7588" i="1" s="1"/>
  <c r="B7589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I7589" i="1" l="1" a="1"/>
  <c r="I7589" i="1" s="1"/>
  <c r="R7589" i="1" a="1"/>
  <c r="R7589" i="1" s="1"/>
  <c r="N7589" i="1" a="1"/>
  <c r="N7589" i="1" s="1"/>
  <c r="S7589" i="1" a="1"/>
  <c r="S7589" i="1" s="1"/>
  <c r="J7589" i="1" a="1"/>
  <c r="J7589" i="1" s="1"/>
  <c r="O7589" i="1" a="1"/>
  <c r="O7589" i="1" s="1"/>
  <c r="K7589" i="1" a="1"/>
  <c r="K7589" i="1" s="1"/>
  <c r="P7589" i="1" a="1"/>
  <c r="P7589" i="1" s="1"/>
  <c r="B7590" i="1"/>
  <c r="L7589" i="1" a="1"/>
  <c r="L7589" i="1" s="1"/>
  <c r="M7589" i="1" a="1"/>
  <c r="M7589" i="1" s="1"/>
  <c r="Q7589" i="1" a="1"/>
  <c r="Q7589" i="1" s="1"/>
  <c r="H7591" i="1"/>
  <c r="A7592" i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H7592" i="1" l="1"/>
  <c r="A7593" i="1"/>
  <c r="J7590" i="1" a="1"/>
  <c r="J7590" i="1" s="1"/>
  <c r="S7590" i="1" a="1"/>
  <c r="S7590" i="1" s="1"/>
  <c r="O7590" i="1" a="1"/>
  <c r="O7590" i="1" s="1"/>
  <c r="K7590" i="1" a="1"/>
  <c r="K7590" i="1" s="1"/>
  <c r="P7590" i="1" a="1"/>
  <c r="P7590" i="1" s="1"/>
  <c r="B7591" i="1"/>
  <c r="L7590" i="1" a="1"/>
  <c r="L7590" i="1" s="1"/>
  <c r="I7590" i="1" a="1"/>
  <c r="I7590" i="1" s="1"/>
  <c r="M7590" i="1" a="1"/>
  <c r="M7590" i="1" s="1"/>
  <c r="N7590" i="1" a="1"/>
  <c r="N7590" i="1" s="1"/>
  <c r="Q7590" i="1" a="1"/>
  <c r="Q7590" i="1" s="1"/>
  <c r="R7590" i="1" a="1"/>
  <c r="R7590" i="1" s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B7592" i="1" l="1"/>
  <c r="O7591" i="1" a="1"/>
  <c r="O7591" i="1" s="1"/>
  <c r="K7591" i="1" a="1"/>
  <c r="K7591" i="1" s="1"/>
  <c r="P7591" i="1" a="1"/>
  <c r="P7591" i="1" s="1"/>
  <c r="L7591" i="1" a="1"/>
  <c r="L7591" i="1" s="1"/>
  <c r="Q7591" i="1" a="1"/>
  <c r="Q7591" i="1" s="1"/>
  <c r="M7591" i="1" a="1"/>
  <c r="M7591" i="1" s="1"/>
  <c r="I7591" i="1" a="1"/>
  <c r="I7591" i="1" s="1"/>
  <c r="S7591" i="1" a="1"/>
  <c r="S7591" i="1" s="1"/>
  <c r="J7591" i="1" a="1"/>
  <c r="J7591" i="1" s="1"/>
  <c r="N7591" i="1" a="1"/>
  <c r="N7591" i="1" s="1"/>
  <c r="R7591" i="1" a="1"/>
  <c r="R7591" i="1" s="1"/>
  <c r="H7593" i="1"/>
  <c r="A7594" i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H7594" i="1" l="1"/>
  <c r="A7595" i="1"/>
  <c r="K7592" i="1" a="1"/>
  <c r="K7592" i="1" s="1"/>
  <c r="P7592" i="1" a="1"/>
  <c r="P7592" i="1" s="1"/>
  <c r="B7593" i="1"/>
  <c r="L7592" i="1" a="1"/>
  <c r="L7592" i="1" s="1"/>
  <c r="Q7592" i="1" a="1"/>
  <c r="Q7592" i="1" s="1"/>
  <c r="M7592" i="1" a="1"/>
  <c r="M7592" i="1" s="1"/>
  <c r="I7592" i="1" a="1"/>
  <c r="I7592" i="1" s="1"/>
  <c r="R7592" i="1" a="1"/>
  <c r="R7592" i="1" s="1"/>
  <c r="S7592" i="1" a="1"/>
  <c r="S7592" i="1" s="1"/>
  <c r="J7592" i="1" a="1"/>
  <c r="J7592" i="1" s="1"/>
  <c r="N7592" i="1" a="1"/>
  <c r="N7592" i="1" s="1"/>
  <c r="O7592" i="1" a="1"/>
  <c r="O7592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L7593" i="1" l="1" a="1"/>
  <c r="L7593" i="1" s="1"/>
  <c r="Q7593" i="1" a="1"/>
  <c r="Q7593" i="1" s="1"/>
  <c r="M7593" i="1" a="1"/>
  <c r="M7593" i="1" s="1"/>
  <c r="I7593" i="1" a="1"/>
  <c r="I7593" i="1" s="1"/>
  <c r="R7593" i="1" a="1"/>
  <c r="R7593" i="1" s="1"/>
  <c r="N7593" i="1" a="1"/>
  <c r="N7593" i="1" s="1"/>
  <c r="S7593" i="1" a="1"/>
  <c r="S7593" i="1" s="1"/>
  <c r="J7593" i="1" a="1"/>
  <c r="J7593" i="1" s="1"/>
  <c r="B7594" i="1"/>
  <c r="K7593" i="1" a="1"/>
  <c r="K7593" i="1" s="1"/>
  <c r="P7593" i="1" a="1"/>
  <c r="P7593" i="1" s="1"/>
  <c r="O7593" i="1" a="1"/>
  <c r="O7593" i="1" s="1"/>
  <c r="H7595" i="1"/>
  <c r="A7596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A7597" i="1" l="1"/>
  <c r="H7596" i="1"/>
  <c r="Q7594" i="1" a="1"/>
  <c r="Q7594" i="1" s="1"/>
  <c r="M7594" i="1" a="1"/>
  <c r="M7594" i="1" s="1"/>
  <c r="R7594" i="1" a="1"/>
  <c r="R7594" i="1" s="1"/>
  <c r="I7594" i="1" a="1"/>
  <c r="I7594" i="1" s="1"/>
  <c r="N7594" i="1" a="1"/>
  <c r="N7594" i="1" s="1"/>
  <c r="J7594" i="1" a="1"/>
  <c r="J7594" i="1" s="1"/>
  <c r="S7594" i="1" a="1"/>
  <c r="S7594" i="1" s="1"/>
  <c r="O7594" i="1" a="1"/>
  <c r="O7594" i="1" s="1"/>
  <c r="B7595" i="1"/>
  <c r="K7594" i="1" a="1"/>
  <c r="K7594" i="1" s="1"/>
  <c r="L7594" i="1" a="1"/>
  <c r="L7594" i="1" s="1"/>
  <c r="P7594" i="1" a="1"/>
  <c r="P7594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B7596" i="1" l="1"/>
  <c r="I7595" i="1" a="1"/>
  <c r="I7595" i="1" s="1"/>
  <c r="R7595" i="1" a="1"/>
  <c r="R7595" i="1" s="1"/>
  <c r="N7595" i="1" a="1"/>
  <c r="N7595" i="1" s="1"/>
  <c r="J7595" i="1" a="1"/>
  <c r="J7595" i="1" s="1"/>
  <c r="S7595" i="1" a="1"/>
  <c r="S7595" i="1" s="1"/>
  <c r="O7595" i="1" a="1"/>
  <c r="O7595" i="1" s="1"/>
  <c r="K7595" i="1" a="1"/>
  <c r="K7595" i="1" s="1"/>
  <c r="Q7595" i="1" a="1"/>
  <c r="Q7595" i="1" s="1"/>
  <c r="M7595" i="1" a="1"/>
  <c r="M7595" i="1" s="1"/>
  <c r="L7595" i="1" a="1"/>
  <c r="L7595" i="1" s="1"/>
  <c r="P7595" i="1" a="1"/>
  <c r="P7595" i="1" s="1"/>
  <c r="A7598" i="1"/>
  <c r="H7597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A7599" i="1" l="1"/>
  <c r="H7598" i="1"/>
  <c r="N7596" i="1" a="1"/>
  <c r="N7596" i="1" s="1"/>
  <c r="J7596" i="1" a="1"/>
  <c r="J7596" i="1" s="1"/>
  <c r="S7596" i="1" a="1"/>
  <c r="S7596" i="1" s="1"/>
  <c r="O7596" i="1" a="1"/>
  <c r="O7596" i="1" s="1"/>
  <c r="K7596" i="1" a="1"/>
  <c r="K7596" i="1" s="1"/>
  <c r="P7596" i="1" a="1"/>
  <c r="P7596" i="1" s="1"/>
  <c r="L7596" i="1" a="1"/>
  <c r="L7596" i="1" s="1"/>
  <c r="Q7596" i="1" a="1"/>
  <c r="Q7596" i="1" s="1"/>
  <c r="R7596" i="1" a="1"/>
  <c r="R7596" i="1" s="1"/>
  <c r="B7597" i="1"/>
  <c r="I7596" i="1" a="1"/>
  <c r="I7596" i="1" s="1"/>
  <c r="M7596" i="1" a="1"/>
  <c r="M7596" i="1" s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7597" i="1" l="1" a="1"/>
  <c r="J7597" i="1" s="1"/>
  <c r="O7597" i="1" a="1"/>
  <c r="O7597" i="1" s="1"/>
  <c r="K7597" i="1" a="1"/>
  <c r="K7597" i="1" s="1"/>
  <c r="P7597" i="1" a="1"/>
  <c r="P7597" i="1" s="1"/>
  <c r="B7598" i="1"/>
  <c r="L7597" i="1" a="1"/>
  <c r="L7597" i="1" s="1"/>
  <c r="R7597" i="1" a="1"/>
  <c r="R7597" i="1" s="1"/>
  <c r="S7597" i="1" a="1"/>
  <c r="S7597" i="1" s="1"/>
  <c r="M7597" i="1" a="1"/>
  <c r="M7597" i="1" s="1"/>
  <c r="N7597" i="1" a="1"/>
  <c r="N7597" i="1" s="1"/>
  <c r="I7597" i="1" a="1"/>
  <c r="I7597" i="1" s="1"/>
  <c r="Q7597" i="1" a="1"/>
  <c r="Q7597" i="1" s="1"/>
  <c r="H7599" i="1"/>
  <c r="A7600" i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K7598" i="1" l="1" a="1"/>
  <c r="K7598" i="1" s="1"/>
  <c r="P7598" i="1" a="1"/>
  <c r="P7598" i="1" s="1"/>
  <c r="B7599" i="1"/>
  <c r="L7598" i="1" a="1"/>
  <c r="L7598" i="1" s="1"/>
  <c r="M7598" i="1" a="1"/>
  <c r="M7598" i="1" s="1"/>
  <c r="N7598" i="1" a="1"/>
  <c r="N7598" i="1" s="1"/>
  <c r="O7598" i="1" a="1"/>
  <c r="O7598" i="1" s="1"/>
  <c r="I7598" i="1" a="1"/>
  <c r="I7598" i="1" s="1"/>
  <c r="Q7598" i="1" a="1"/>
  <c r="Q7598" i="1" s="1"/>
  <c r="R7598" i="1" a="1"/>
  <c r="R7598" i="1" s="1"/>
  <c r="S7598" i="1" a="1"/>
  <c r="S7598" i="1" s="1"/>
  <c r="J7598" i="1" a="1"/>
  <c r="J7598" i="1" s="1"/>
  <c r="H7600" i="1"/>
  <c r="A760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B7600" i="1" l="1"/>
  <c r="P7599" i="1" a="1"/>
  <c r="P7599" i="1" s="1"/>
  <c r="L7599" i="1" a="1"/>
  <c r="L7599" i="1" s="1"/>
  <c r="Q7599" i="1" a="1"/>
  <c r="Q7599" i="1" s="1"/>
  <c r="M7599" i="1" a="1"/>
  <c r="M7599" i="1" s="1"/>
  <c r="I7599" i="1" a="1"/>
  <c r="I7599" i="1" s="1"/>
  <c r="O7599" i="1" a="1"/>
  <c r="O7599" i="1" s="1"/>
  <c r="J7599" i="1" a="1"/>
  <c r="J7599" i="1" s="1"/>
  <c r="R7599" i="1" a="1"/>
  <c r="R7599" i="1" s="1"/>
  <c r="S7599" i="1" a="1"/>
  <c r="S7599" i="1" s="1"/>
  <c r="N7599" i="1" a="1"/>
  <c r="N7599" i="1" s="1"/>
  <c r="K7599" i="1" a="1"/>
  <c r="K7599" i="1" s="1"/>
  <c r="H7601" i="1"/>
  <c r="A7602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A7603" i="1" l="1"/>
  <c r="H7602" i="1"/>
  <c r="Q7600" i="1" a="1"/>
  <c r="Q7600" i="1" s="1"/>
  <c r="M7600" i="1" a="1"/>
  <c r="M7600" i="1" s="1"/>
  <c r="I7600" i="1" a="1"/>
  <c r="I7600" i="1" s="1"/>
  <c r="R7600" i="1" a="1"/>
  <c r="R7600" i="1" s="1"/>
  <c r="P7600" i="1" a="1"/>
  <c r="P7600" i="1" s="1"/>
  <c r="J7600" i="1" a="1"/>
  <c r="J7600" i="1" s="1"/>
  <c r="K7600" i="1" a="1"/>
  <c r="K7600" i="1" s="1"/>
  <c r="S7600" i="1" a="1"/>
  <c r="S7600" i="1" s="1"/>
  <c r="L7600" i="1" a="1"/>
  <c r="L7600" i="1" s="1"/>
  <c r="N7600" i="1" a="1"/>
  <c r="N7600" i="1" s="1"/>
  <c r="O7600" i="1" a="1"/>
  <c r="O7600" i="1" s="1"/>
  <c r="B7601" i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M7601" i="1" l="1" a="1"/>
  <c r="M7601" i="1" s="1"/>
  <c r="I7601" i="1" a="1"/>
  <c r="I7601" i="1" s="1"/>
  <c r="R7601" i="1" a="1"/>
  <c r="R7601" i="1" s="1"/>
  <c r="N7601" i="1" a="1"/>
  <c r="N7601" i="1" s="1"/>
  <c r="S7601" i="1" a="1"/>
  <c r="S7601" i="1" s="1"/>
  <c r="K7601" i="1" a="1"/>
  <c r="K7601" i="1" s="1"/>
  <c r="Q7601" i="1" a="1"/>
  <c r="Q7601" i="1" s="1"/>
  <c r="L7601" i="1" a="1"/>
  <c r="L7601" i="1" s="1"/>
  <c r="B7602" i="1"/>
  <c r="O7601" i="1" a="1"/>
  <c r="O7601" i="1" s="1"/>
  <c r="J7601" i="1" a="1"/>
  <c r="J7601" i="1" s="1"/>
  <c r="P7601" i="1" a="1"/>
  <c r="P7601" i="1" s="1"/>
  <c r="H7603" i="1"/>
  <c r="A7604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A7605" i="1" l="1"/>
  <c r="H7604" i="1"/>
  <c r="I7602" i="1" a="1"/>
  <c r="I7602" i="1" s="1"/>
  <c r="N7602" i="1" a="1"/>
  <c r="N7602" i="1" s="1"/>
  <c r="J7602" i="1" a="1"/>
  <c r="J7602" i="1" s="1"/>
  <c r="S7602" i="1" a="1"/>
  <c r="S7602" i="1" s="1"/>
  <c r="O7602" i="1" a="1"/>
  <c r="O7602" i="1" s="1"/>
  <c r="L7602" i="1" a="1"/>
  <c r="L7602" i="1" s="1"/>
  <c r="B7603" i="1"/>
  <c r="M7602" i="1" a="1"/>
  <c r="M7602" i="1" s="1"/>
  <c r="P7602" i="1" a="1"/>
  <c r="P7602" i="1" s="1"/>
  <c r="Q7602" i="1" a="1"/>
  <c r="Q7602" i="1" s="1"/>
  <c r="R7602" i="1" a="1"/>
  <c r="R7602" i="1" s="1"/>
  <c r="K7602" i="1" a="1"/>
  <c r="K7602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B7604" i="1" l="1"/>
  <c r="J7603" i="1" a="1"/>
  <c r="J7603" i="1" s="1"/>
  <c r="S7603" i="1" a="1"/>
  <c r="S7603" i="1" s="1"/>
  <c r="O7603" i="1" a="1"/>
  <c r="O7603" i="1" s="1"/>
  <c r="K7603" i="1" a="1"/>
  <c r="K7603" i="1" s="1"/>
  <c r="N7603" i="1" a="1"/>
  <c r="N7603" i="1" s="1"/>
  <c r="P7603" i="1" a="1"/>
  <c r="P7603" i="1" s="1"/>
  <c r="I7603" i="1" a="1"/>
  <c r="I7603" i="1" s="1"/>
  <c r="Q7603" i="1" a="1"/>
  <c r="Q7603" i="1" s="1"/>
  <c r="M7603" i="1" a="1"/>
  <c r="M7603" i="1" s="1"/>
  <c r="L7603" i="1" a="1"/>
  <c r="L7603" i="1" s="1"/>
  <c r="R7603" i="1" a="1"/>
  <c r="R7603" i="1" s="1"/>
  <c r="A7606" i="1"/>
  <c r="H7605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H7606" i="1" l="1"/>
  <c r="A7607" i="1"/>
  <c r="O7604" i="1" a="1"/>
  <c r="O7604" i="1" s="1"/>
  <c r="K7604" i="1" a="1"/>
  <c r="K7604" i="1" s="1"/>
  <c r="P7604" i="1" a="1"/>
  <c r="P7604" i="1" s="1"/>
  <c r="B7605" i="1"/>
  <c r="L7604" i="1" a="1"/>
  <c r="L7604" i="1" s="1"/>
  <c r="I7604" i="1" a="1"/>
  <c r="I7604" i="1" s="1"/>
  <c r="Q7604" i="1" a="1"/>
  <c r="Q7604" i="1" s="1"/>
  <c r="J7604" i="1" a="1"/>
  <c r="J7604" i="1" s="1"/>
  <c r="R7604" i="1" a="1"/>
  <c r="R7604" i="1" s="1"/>
  <c r="M7604" i="1" a="1"/>
  <c r="M7604" i="1" s="1"/>
  <c r="N7604" i="1" a="1"/>
  <c r="N7604" i="1" s="1"/>
  <c r="S7604" i="1" a="1"/>
  <c r="S7604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H7607" i="1" l="1"/>
  <c r="A7608" i="1"/>
  <c r="P7605" i="1" a="1"/>
  <c r="P7605" i="1" s="1"/>
  <c r="B7606" i="1"/>
  <c r="L7605" i="1" a="1"/>
  <c r="L7605" i="1" s="1"/>
  <c r="Q7605" i="1" a="1"/>
  <c r="Q7605" i="1" s="1"/>
  <c r="J7605" i="1" a="1"/>
  <c r="J7605" i="1" s="1"/>
  <c r="R7605" i="1" a="1"/>
  <c r="R7605" i="1" s="1"/>
  <c r="K7605" i="1" a="1"/>
  <c r="K7605" i="1" s="1"/>
  <c r="S7605" i="1" a="1"/>
  <c r="S7605" i="1" s="1"/>
  <c r="M7605" i="1" a="1"/>
  <c r="M7605" i="1" s="1"/>
  <c r="I7605" i="1" a="1"/>
  <c r="I7605" i="1" s="1"/>
  <c r="N7605" i="1" a="1"/>
  <c r="N7605" i="1" s="1"/>
  <c r="O7605" i="1" a="1"/>
  <c r="O7605" i="1" s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L7606" i="1" l="1" a="1"/>
  <c r="L7606" i="1" s="1"/>
  <c r="Q7606" i="1" a="1"/>
  <c r="Q7606" i="1" s="1"/>
  <c r="M7606" i="1" a="1"/>
  <c r="M7606" i="1" s="1"/>
  <c r="R7606" i="1" a="1"/>
  <c r="R7606" i="1" s="1"/>
  <c r="K7606" i="1" a="1"/>
  <c r="K7606" i="1" s="1"/>
  <c r="S7606" i="1" a="1"/>
  <c r="S7606" i="1" s="1"/>
  <c r="N7606" i="1" a="1"/>
  <c r="N7606" i="1" s="1"/>
  <c r="B7607" i="1"/>
  <c r="O7606" i="1" a="1"/>
  <c r="O7606" i="1" s="1"/>
  <c r="I7606" i="1" a="1"/>
  <c r="I7606" i="1" s="1"/>
  <c r="J7606" i="1" a="1"/>
  <c r="J7606" i="1" s="1"/>
  <c r="P7606" i="1" a="1"/>
  <c r="P7606" i="1" s="1"/>
  <c r="H7608" i="1"/>
  <c r="A7609" i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B7608" i="1" l="1"/>
  <c r="M7607" i="1" a="1"/>
  <c r="M7607" i="1" s="1"/>
  <c r="I7607" i="1" a="1"/>
  <c r="I7607" i="1" s="1"/>
  <c r="R7607" i="1" a="1"/>
  <c r="R7607" i="1" s="1"/>
  <c r="N7607" i="1" a="1"/>
  <c r="N7607" i="1" s="1"/>
  <c r="L7607" i="1" a="1"/>
  <c r="L7607" i="1" s="1"/>
  <c r="O7607" i="1" a="1"/>
  <c r="O7607" i="1" s="1"/>
  <c r="J7607" i="1" a="1"/>
  <c r="J7607" i="1" s="1"/>
  <c r="P7607" i="1" a="1"/>
  <c r="P7607" i="1" s="1"/>
  <c r="K7607" i="1" a="1"/>
  <c r="K7607" i="1" s="1"/>
  <c r="Q7607" i="1" a="1"/>
  <c r="Q7607" i="1" s="1"/>
  <c r="S7607" i="1" a="1"/>
  <c r="S7607" i="1" s="1"/>
  <c r="A7610" i="1"/>
  <c r="H7609" i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A7611" i="1" l="1"/>
  <c r="H7610" i="1"/>
  <c r="I7608" i="1" a="1"/>
  <c r="I7608" i="1" s="1"/>
  <c r="R7608" i="1" a="1"/>
  <c r="R7608" i="1" s="1"/>
  <c r="N7608" i="1" a="1"/>
  <c r="N7608" i="1" s="1"/>
  <c r="J7608" i="1" a="1"/>
  <c r="J7608" i="1" s="1"/>
  <c r="S7608" i="1" a="1"/>
  <c r="S7608" i="1" s="1"/>
  <c r="O7608" i="1" a="1"/>
  <c r="O7608" i="1" s="1"/>
  <c r="P7608" i="1" a="1"/>
  <c r="P7608" i="1" s="1"/>
  <c r="Q7608" i="1" a="1"/>
  <c r="Q7608" i="1" s="1"/>
  <c r="K7608" i="1" a="1"/>
  <c r="K7608" i="1" s="1"/>
  <c r="B7609" i="1"/>
  <c r="L7608" i="1" a="1"/>
  <c r="L7608" i="1" s="1"/>
  <c r="M7608" i="1" a="1"/>
  <c r="M7608" i="1" s="1"/>
  <c r="L6278" i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N7609" i="1" l="1" a="1"/>
  <c r="N7609" i="1" s="1"/>
  <c r="S7609" i="1" a="1"/>
  <c r="S7609" i="1" s="1"/>
  <c r="J7609" i="1" a="1"/>
  <c r="J7609" i="1" s="1"/>
  <c r="O7609" i="1" a="1"/>
  <c r="O7609" i="1" s="1"/>
  <c r="K7609" i="1" a="1"/>
  <c r="K7609" i="1" s="1"/>
  <c r="I7609" i="1" a="1"/>
  <c r="I7609" i="1" s="1"/>
  <c r="Q7609" i="1" a="1"/>
  <c r="Q7609" i="1" s="1"/>
  <c r="L7609" i="1" a="1"/>
  <c r="L7609" i="1" s="1"/>
  <c r="R7609" i="1" a="1"/>
  <c r="R7609" i="1" s="1"/>
  <c r="B7610" i="1"/>
  <c r="M7609" i="1" a="1"/>
  <c r="M7609" i="1" s="1"/>
  <c r="P7609" i="1" a="1"/>
  <c r="P7609" i="1" s="1"/>
  <c r="H7611" i="1"/>
  <c r="A7612" i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O7610" i="1" l="1" a="1"/>
  <c r="O7610" i="1" s="1"/>
  <c r="K7610" i="1" a="1"/>
  <c r="K7610" i="1" s="1"/>
  <c r="P7610" i="1" a="1"/>
  <c r="P7610" i="1" s="1"/>
  <c r="B7611" i="1"/>
  <c r="J7610" i="1" a="1"/>
  <c r="J7610" i="1" s="1"/>
  <c r="R7610" i="1" a="1"/>
  <c r="R7610" i="1" s="1"/>
  <c r="L7610" i="1" a="1"/>
  <c r="L7610" i="1" s="1"/>
  <c r="S7610" i="1" a="1"/>
  <c r="S7610" i="1" s="1"/>
  <c r="M7610" i="1" a="1"/>
  <c r="M7610" i="1" s="1"/>
  <c r="N7610" i="1" a="1"/>
  <c r="N7610" i="1" s="1"/>
  <c r="I7610" i="1" a="1"/>
  <c r="I7610" i="1" s="1"/>
  <c r="Q7610" i="1" a="1"/>
  <c r="Q7610" i="1" s="1"/>
  <c r="A7613" i="1"/>
  <c r="H7612" i="1"/>
  <c r="I6280" i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B7612" i="1" l="1"/>
  <c r="K7611" i="1" a="1"/>
  <c r="K7611" i="1" s="1"/>
  <c r="P7611" i="1" a="1"/>
  <c r="P7611" i="1" s="1"/>
  <c r="L7611" i="1" a="1"/>
  <c r="L7611" i="1" s="1"/>
  <c r="Q7611" i="1" a="1"/>
  <c r="Q7611" i="1" s="1"/>
  <c r="M7611" i="1" a="1"/>
  <c r="M7611" i="1" s="1"/>
  <c r="S7611" i="1" a="1"/>
  <c r="S7611" i="1" s="1"/>
  <c r="N7611" i="1" a="1"/>
  <c r="N7611" i="1" s="1"/>
  <c r="I7611" i="1" a="1"/>
  <c r="I7611" i="1" s="1"/>
  <c r="O7611" i="1" a="1"/>
  <c r="O7611" i="1" s="1"/>
  <c r="R7611" i="1" a="1"/>
  <c r="R7611" i="1" s="1"/>
  <c r="J7611" i="1" a="1"/>
  <c r="J7611" i="1" s="1"/>
  <c r="A7614" i="1"/>
  <c r="H7613" i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A7615" i="1" l="1"/>
  <c r="H7614" i="1"/>
  <c r="L7612" i="1" a="1"/>
  <c r="L7612" i="1" s="1"/>
  <c r="P7612" i="1" a="1"/>
  <c r="P7612" i="1" s="1"/>
  <c r="B7613" i="1"/>
  <c r="M7612" i="1" a="1"/>
  <c r="M7612" i="1" s="1"/>
  <c r="Q7612" i="1" a="1"/>
  <c r="Q7612" i="1" s="1"/>
  <c r="N7612" i="1" a="1"/>
  <c r="N7612" i="1" s="1"/>
  <c r="I7612" i="1" a="1"/>
  <c r="I7612" i="1" s="1"/>
  <c r="O7612" i="1" a="1"/>
  <c r="O7612" i="1" s="1"/>
  <c r="J7612" i="1" a="1"/>
  <c r="J7612" i="1" s="1"/>
  <c r="K7612" i="1" a="1"/>
  <c r="K7612" i="1" s="1"/>
  <c r="R7612" i="1" a="1"/>
  <c r="R7612" i="1" s="1"/>
  <c r="S7612" i="1" a="1"/>
  <c r="S7612" i="1" s="1"/>
  <c r="L6282" i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K7613" i="1" l="1" a="1"/>
  <c r="K7613" i="1" s="1"/>
  <c r="O7613" i="1" a="1"/>
  <c r="O7613" i="1" s="1"/>
  <c r="S7613" i="1" a="1"/>
  <c r="S7613" i="1" s="1"/>
  <c r="L7613" i="1" a="1"/>
  <c r="L7613" i="1" s="1"/>
  <c r="P7613" i="1" a="1"/>
  <c r="P7613" i="1" s="1"/>
  <c r="B7614" i="1"/>
  <c r="N7613" i="1" a="1"/>
  <c r="N7613" i="1" s="1"/>
  <c r="I7613" i="1" a="1"/>
  <c r="I7613" i="1" s="1"/>
  <c r="J7613" i="1" a="1"/>
  <c r="J7613" i="1" s="1"/>
  <c r="Q7613" i="1" a="1"/>
  <c r="Q7613" i="1" s="1"/>
  <c r="M7613" i="1" a="1"/>
  <c r="M7613" i="1" s="1"/>
  <c r="R7613" i="1" a="1"/>
  <c r="R7613" i="1" s="1"/>
  <c r="A7616" i="1"/>
  <c r="H7615" i="1"/>
  <c r="J6283" i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7614" i="1" l="1" a="1"/>
  <c r="J7614" i="1" s="1"/>
  <c r="N7614" i="1" a="1"/>
  <c r="N7614" i="1" s="1"/>
  <c r="R7614" i="1" a="1"/>
  <c r="R7614" i="1" s="1"/>
  <c r="K7614" i="1" a="1"/>
  <c r="K7614" i="1" s="1"/>
  <c r="O7614" i="1" a="1"/>
  <c r="O7614" i="1" s="1"/>
  <c r="S7614" i="1" a="1"/>
  <c r="S7614" i="1" s="1"/>
  <c r="M7614" i="1" a="1"/>
  <c r="M7614" i="1" s="1"/>
  <c r="B7615" i="1"/>
  <c r="I7614" i="1" a="1"/>
  <c r="I7614" i="1" s="1"/>
  <c r="P7614" i="1" a="1"/>
  <c r="P7614" i="1" s="1"/>
  <c r="Q7614" i="1" a="1"/>
  <c r="Q7614" i="1" s="1"/>
  <c r="L7614" i="1" a="1"/>
  <c r="L7614" i="1" s="1"/>
  <c r="A7617" i="1"/>
  <c r="H7616" i="1"/>
  <c r="J6284" i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I7615" i="1" l="1" a="1"/>
  <c r="I7615" i="1" s="1"/>
  <c r="M7615" i="1" a="1"/>
  <c r="M7615" i="1" s="1"/>
  <c r="Q7615" i="1" a="1"/>
  <c r="Q7615" i="1" s="1"/>
  <c r="J7615" i="1" a="1"/>
  <c r="J7615" i="1" s="1"/>
  <c r="N7615" i="1" a="1"/>
  <c r="N7615" i="1" s="1"/>
  <c r="R7615" i="1" a="1"/>
  <c r="R7615" i="1" s="1"/>
  <c r="O7615" i="1" a="1"/>
  <c r="O7615" i="1" s="1"/>
  <c r="B7616" i="1"/>
  <c r="P7615" i="1" a="1"/>
  <c r="P7615" i="1" s="1"/>
  <c r="S7615" i="1" a="1"/>
  <c r="S7615" i="1" s="1"/>
  <c r="K7615" i="1" a="1"/>
  <c r="K7615" i="1" s="1"/>
  <c r="L7615" i="1" a="1"/>
  <c r="L7615" i="1" s="1"/>
  <c r="A7618" i="1"/>
  <c r="H7617" i="1"/>
  <c r="J6285" i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L7616" i="1" l="1" a="1"/>
  <c r="L7616" i="1" s="1"/>
  <c r="P7616" i="1" a="1"/>
  <c r="P7616" i="1" s="1"/>
  <c r="B7617" i="1"/>
  <c r="I7616" i="1" a="1"/>
  <c r="I7616" i="1" s="1"/>
  <c r="M7616" i="1" a="1"/>
  <c r="M7616" i="1" s="1"/>
  <c r="Q7616" i="1" a="1"/>
  <c r="Q7616" i="1" s="1"/>
  <c r="S7616" i="1" a="1"/>
  <c r="S7616" i="1" s="1"/>
  <c r="N7616" i="1" a="1"/>
  <c r="N7616" i="1" s="1"/>
  <c r="O7616" i="1" a="1"/>
  <c r="O7616" i="1" s="1"/>
  <c r="J7616" i="1" a="1"/>
  <c r="J7616" i="1" s="1"/>
  <c r="K7616" i="1" a="1"/>
  <c r="K7616" i="1" s="1"/>
  <c r="R7616" i="1" a="1"/>
  <c r="R7616" i="1" s="1"/>
  <c r="A7619" i="1"/>
  <c r="H7618" i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H7619" i="1" l="1"/>
  <c r="A7620" i="1"/>
  <c r="K7617" i="1" a="1"/>
  <c r="K7617" i="1" s="1"/>
  <c r="O7617" i="1" a="1"/>
  <c r="O7617" i="1" s="1"/>
  <c r="S7617" i="1" a="1"/>
  <c r="S7617" i="1" s="1"/>
  <c r="L7617" i="1" a="1"/>
  <c r="L7617" i="1" s="1"/>
  <c r="P7617" i="1" a="1"/>
  <c r="P7617" i="1" s="1"/>
  <c r="M7617" i="1" a="1"/>
  <c r="M7617" i="1" s="1"/>
  <c r="B7618" i="1"/>
  <c r="N7617" i="1" a="1"/>
  <c r="N7617" i="1" s="1"/>
  <c r="I7617" i="1" a="1"/>
  <c r="I7617" i="1" s="1"/>
  <c r="J7617" i="1" a="1"/>
  <c r="J7617" i="1" s="1"/>
  <c r="Q7617" i="1" a="1"/>
  <c r="Q7617" i="1" s="1"/>
  <c r="R7617" i="1" a="1"/>
  <c r="R7617" i="1" s="1"/>
  <c r="I6287" i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A7621" i="1" l="1"/>
  <c r="H7620" i="1"/>
  <c r="J7618" i="1" a="1"/>
  <c r="J7618" i="1" s="1"/>
  <c r="N7618" i="1" a="1"/>
  <c r="N7618" i="1" s="1"/>
  <c r="R7618" i="1" a="1"/>
  <c r="R7618" i="1" s="1"/>
  <c r="K7618" i="1" a="1"/>
  <c r="K7618" i="1" s="1"/>
  <c r="O7618" i="1" a="1"/>
  <c r="O7618" i="1" s="1"/>
  <c r="S7618" i="1" a="1"/>
  <c r="S7618" i="1" s="1"/>
  <c r="M7618" i="1" a="1"/>
  <c r="M7618" i="1" s="1"/>
  <c r="B7619" i="1"/>
  <c r="I7618" i="1" a="1"/>
  <c r="I7618" i="1" s="1"/>
  <c r="P7618" i="1" a="1"/>
  <c r="P7618" i="1" s="1"/>
  <c r="L7618" i="1" a="1"/>
  <c r="L7618" i="1" s="1"/>
  <c r="Q7618" i="1" a="1"/>
  <c r="Q7618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I7619" i="1" l="1" a="1"/>
  <c r="I7619" i="1" s="1"/>
  <c r="M7619" i="1" a="1"/>
  <c r="M7619" i="1" s="1"/>
  <c r="Q7619" i="1" a="1"/>
  <c r="Q7619" i="1" s="1"/>
  <c r="K7619" i="1" a="1"/>
  <c r="K7619" i="1" s="1"/>
  <c r="P7619" i="1" a="1"/>
  <c r="P7619" i="1" s="1"/>
  <c r="L7619" i="1" a="1"/>
  <c r="L7619" i="1" s="1"/>
  <c r="R7619" i="1" a="1"/>
  <c r="R7619" i="1" s="1"/>
  <c r="N7619" i="1" a="1"/>
  <c r="N7619" i="1" s="1"/>
  <c r="S7619" i="1" a="1"/>
  <c r="S7619" i="1" s="1"/>
  <c r="O7619" i="1" a="1"/>
  <c r="O7619" i="1" s="1"/>
  <c r="B7620" i="1"/>
  <c r="J7619" i="1" a="1"/>
  <c r="J7619" i="1" s="1"/>
  <c r="H7621" i="1"/>
  <c r="A7622" i="1"/>
  <c r="J6289" i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A7623" i="1" l="1"/>
  <c r="H7622" i="1"/>
  <c r="L7620" i="1" a="1"/>
  <c r="L7620" i="1" s="1"/>
  <c r="P7620" i="1" a="1"/>
  <c r="P7620" i="1" s="1"/>
  <c r="B7621" i="1"/>
  <c r="I7620" i="1" a="1"/>
  <c r="I7620" i="1" s="1"/>
  <c r="N7620" i="1" a="1"/>
  <c r="N7620" i="1" s="1"/>
  <c r="S7620" i="1" a="1"/>
  <c r="S7620" i="1" s="1"/>
  <c r="J7620" i="1" a="1"/>
  <c r="J7620" i="1" s="1"/>
  <c r="O7620" i="1" a="1"/>
  <c r="O7620" i="1" s="1"/>
  <c r="K7620" i="1" a="1"/>
  <c r="K7620" i="1" s="1"/>
  <c r="Q7620" i="1" a="1"/>
  <c r="Q7620" i="1" s="1"/>
  <c r="R7620" i="1" a="1"/>
  <c r="R7620" i="1" s="1"/>
  <c r="M7620" i="1" a="1"/>
  <c r="M7620" i="1" s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H7623" i="1" l="1"/>
  <c r="A7624" i="1"/>
  <c r="K7621" i="1" a="1"/>
  <c r="K7621" i="1" s="1"/>
  <c r="O7621" i="1" a="1"/>
  <c r="O7621" i="1" s="1"/>
  <c r="S7621" i="1" a="1"/>
  <c r="S7621" i="1" s="1"/>
  <c r="L7621" i="1" a="1"/>
  <c r="L7621" i="1" s="1"/>
  <c r="Q7621" i="1" a="1"/>
  <c r="Q7621" i="1" s="1"/>
  <c r="M7621" i="1" a="1"/>
  <c r="M7621" i="1" s="1"/>
  <c r="R7621" i="1" a="1"/>
  <c r="R7621" i="1" s="1"/>
  <c r="I7621" i="1" a="1"/>
  <c r="I7621" i="1" s="1"/>
  <c r="N7621" i="1" a="1"/>
  <c r="N7621" i="1" s="1"/>
  <c r="B7622" i="1"/>
  <c r="J7621" i="1" a="1"/>
  <c r="J7621" i="1" s="1"/>
  <c r="P7621" i="1" a="1"/>
  <c r="P7621" i="1" s="1"/>
  <c r="J6291" i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A7625" i="1" l="1"/>
  <c r="H7624" i="1"/>
  <c r="J7622" i="1" a="1"/>
  <c r="J7622" i="1" s="1"/>
  <c r="N7622" i="1" a="1"/>
  <c r="N7622" i="1" s="1"/>
  <c r="R7622" i="1" a="1"/>
  <c r="R7622" i="1" s="1"/>
  <c r="I7622" i="1" a="1"/>
  <c r="I7622" i="1" s="1"/>
  <c r="O7622" i="1" a="1"/>
  <c r="O7622" i="1" s="1"/>
  <c r="B7623" i="1"/>
  <c r="K7622" i="1" a="1"/>
  <c r="K7622" i="1" s="1"/>
  <c r="P7622" i="1" a="1"/>
  <c r="P7622" i="1" s="1"/>
  <c r="L7622" i="1" a="1"/>
  <c r="L7622" i="1" s="1"/>
  <c r="Q7622" i="1" a="1"/>
  <c r="Q7622" i="1" s="1"/>
  <c r="S7622" i="1" a="1"/>
  <c r="S7622" i="1" s="1"/>
  <c r="M7622" i="1" a="1"/>
  <c r="M7622" i="1" s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H7625" i="1" l="1"/>
  <c r="A7626" i="1"/>
  <c r="I7623" i="1" a="1"/>
  <c r="I7623" i="1" s="1"/>
  <c r="M7623" i="1" a="1"/>
  <c r="M7623" i="1" s="1"/>
  <c r="Q7623" i="1" a="1"/>
  <c r="Q7623" i="1" s="1"/>
  <c r="L7623" i="1" a="1"/>
  <c r="L7623" i="1" s="1"/>
  <c r="R7623" i="1" a="1"/>
  <c r="R7623" i="1" s="1"/>
  <c r="N7623" i="1" a="1"/>
  <c r="N7623" i="1" s="1"/>
  <c r="S7623" i="1" a="1"/>
  <c r="S7623" i="1" s="1"/>
  <c r="J7623" i="1" a="1"/>
  <c r="J7623" i="1" s="1"/>
  <c r="O7623" i="1" a="1"/>
  <c r="O7623" i="1" s="1"/>
  <c r="B7624" i="1"/>
  <c r="K7623" i="1" a="1"/>
  <c r="K7623" i="1" s="1"/>
  <c r="P7623" i="1" a="1"/>
  <c r="P7623" i="1" s="1"/>
  <c r="I6293" i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A7627" i="1" l="1"/>
  <c r="H7626" i="1"/>
  <c r="L7624" i="1" a="1"/>
  <c r="L7624" i="1" s="1"/>
  <c r="P7624" i="1" a="1"/>
  <c r="P7624" i="1" s="1"/>
  <c r="B7625" i="1"/>
  <c r="J7624" i="1" a="1"/>
  <c r="J7624" i="1" s="1"/>
  <c r="O7624" i="1" a="1"/>
  <c r="O7624" i="1" s="1"/>
  <c r="K7624" i="1" a="1"/>
  <c r="K7624" i="1" s="1"/>
  <c r="Q7624" i="1" a="1"/>
  <c r="Q7624" i="1" s="1"/>
  <c r="M7624" i="1" a="1"/>
  <c r="M7624" i="1" s="1"/>
  <c r="R7624" i="1" a="1"/>
  <c r="R7624" i="1" s="1"/>
  <c r="N7624" i="1" a="1"/>
  <c r="N7624" i="1" s="1"/>
  <c r="I7624" i="1" a="1"/>
  <c r="I7624" i="1" s="1"/>
  <c r="S7624" i="1" a="1"/>
  <c r="S7624" i="1" s="1"/>
  <c r="L6294" i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H7627" i="1" l="1"/>
  <c r="A7628" i="1"/>
  <c r="K7625" i="1" a="1"/>
  <c r="K7625" i="1" s="1"/>
  <c r="O7625" i="1" a="1"/>
  <c r="O7625" i="1" s="1"/>
  <c r="S7625" i="1" a="1"/>
  <c r="S7625" i="1" s="1"/>
  <c r="M7625" i="1" a="1"/>
  <c r="M7625" i="1" s="1"/>
  <c r="R7625" i="1" a="1"/>
  <c r="R7625" i="1" s="1"/>
  <c r="I7625" i="1" a="1"/>
  <c r="I7625" i="1" s="1"/>
  <c r="N7625" i="1" a="1"/>
  <c r="N7625" i="1" s="1"/>
  <c r="B7626" i="1"/>
  <c r="J7625" i="1" a="1"/>
  <c r="J7625" i="1" s="1"/>
  <c r="P7625" i="1" a="1"/>
  <c r="P7625" i="1" s="1"/>
  <c r="L7625" i="1" a="1"/>
  <c r="L7625" i="1" s="1"/>
  <c r="Q7625" i="1" a="1"/>
  <c r="Q7625" i="1" s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J7626" i="1" l="1" a="1"/>
  <c r="J7626" i="1" s="1"/>
  <c r="N7626" i="1" a="1"/>
  <c r="N7626" i="1" s="1"/>
  <c r="R7626" i="1" a="1"/>
  <c r="R7626" i="1" s="1"/>
  <c r="K7626" i="1" a="1"/>
  <c r="K7626" i="1" s="1"/>
  <c r="P7626" i="1" a="1"/>
  <c r="P7626" i="1" s="1"/>
  <c r="L7626" i="1" a="1"/>
  <c r="L7626" i="1" s="1"/>
  <c r="Q7626" i="1" a="1"/>
  <c r="Q7626" i="1" s="1"/>
  <c r="M7626" i="1" a="1"/>
  <c r="M7626" i="1" s="1"/>
  <c r="S7626" i="1" a="1"/>
  <c r="S7626" i="1" s="1"/>
  <c r="I7626" i="1" a="1"/>
  <c r="I7626" i="1" s="1"/>
  <c r="O7626" i="1" a="1"/>
  <c r="O7626" i="1" s="1"/>
  <c r="B7627" i="1"/>
  <c r="A7629" i="1"/>
  <c r="H7628" i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I7627" i="1" l="1" a="1"/>
  <c r="I7627" i="1" s="1"/>
  <c r="M7627" i="1" a="1"/>
  <c r="M7627" i="1" s="1"/>
  <c r="Q7627" i="1" a="1"/>
  <c r="Q7627" i="1" s="1"/>
  <c r="N7627" i="1" a="1"/>
  <c r="N7627" i="1" s="1"/>
  <c r="S7627" i="1" a="1"/>
  <c r="S7627" i="1" s="1"/>
  <c r="J7627" i="1" a="1"/>
  <c r="J7627" i="1" s="1"/>
  <c r="O7627" i="1" a="1"/>
  <c r="O7627" i="1" s="1"/>
  <c r="B7628" i="1"/>
  <c r="K7627" i="1" a="1"/>
  <c r="K7627" i="1" s="1"/>
  <c r="P7627" i="1" a="1"/>
  <c r="P7627" i="1" s="1"/>
  <c r="R7627" i="1" a="1"/>
  <c r="R7627" i="1" s="1"/>
  <c r="L7627" i="1" a="1"/>
  <c r="L7627" i="1" s="1"/>
  <c r="A7630" i="1"/>
  <c r="H7629" i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7628" i="1" l="1" a="1"/>
  <c r="L7628" i="1" s="1"/>
  <c r="P7628" i="1" a="1"/>
  <c r="P7628" i="1" s="1"/>
  <c r="B7629" i="1"/>
  <c r="K7628" i="1" a="1"/>
  <c r="K7628" i="1" s="1"/>
  <c r="Q7628" i="1" a="1"/>
  <c r="Q7628" i="1" s="1"/>
  <c r="M7628" i="1" a="1"/>
  <c r="M7628" i="1" s="1"/>
  <c r="R7628" i="1" a="1"/>
  <c r="R7628" i="1" s="1"/>
  <c r="I7628" i="1" a="1"/>
  <c r="I7628" i="1" s="1"/>
  <c r="N7628" i="1" a="1"/>
  <c r="N7628" i="1" s="1"/>
  <c r="S7628" i="1" a="1"/>
  <c r="S7628" i="1" s="1"/>
  <c r="O7628" i="1" a="1"/>
  <c r="O7628" i="1" s="1"/>
  <c r="J7628" i="1" a="1"/>
  <c r="J7628" i="1" s="1"/>
  <c r="H7630" i="1"/>
  <c r="A7631" i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K7629" i="1" l="1" a="1"/>
  <c r="K7629" i="1" s="1"/>
  <c r="O7629" i="1" a="1"/>
  <c r="O7629" i="1" s="1"/>
  <c r="S7629" i="1" a="1"/>
  <c r="S7629" i="1" s="1"/>
  <c r="I7629" i="1" a="1"/>
  <c r="I7629" i="1" s="1"/>
  <c r="N7629" i="1" a="1"/>
  <c r="N7629" i="1" s="1"/>
  <c r="B7630" i="1"/>
  <c r="J7629" i="1" a="1"/>
  <c r="J7629" i="1" s="1"/>
  <c r="P7629" i="1" a="1"/>
  <c r="P7629" i="1" s="1"/>
  <c r="L7629" i="1" a="1"/>
  <c r="L7629" i="1" s="1"/>
  <c r="Q7629" i="1" a="1"/>
  <c r="Q7629" i="1" s="1"/>
  <c r="M7629" i="1" a="1"/>
  <c r="M7629" i="1" s="1"/>
  <c r="R7629" i="1" a="1"/>
  <c r="R7629" i="1" s="1"/>
  <c r="A7632" i="1"/>
  <c r="H7631" i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J7630" i="1" l="1" a="1"/>
  <c r="J7630" i="1" s="1"/>
  <c r="N7630" i="1" a="1"/>
  <c r="N7630" i="1" s="1"/>
  <c r="R7630" i="1" a="1"/>
  <c r="R7630" i="1" s="1"/>
  <c r="L7630" i="1" a="1"/>
  <c r="L7630" i="1" s="1"/>
  <c r="Q7630" i="1" a="1"/>
  <c r="Q7630" i="1" s="1"/>
  <c r="M7630" i="1" a="1"/>
  <c r="M7630" i="1" s="1"/>
  <c r="S7630" i="1" a="1"/>
  <c r="S7630" i="1" s="1"/>
  <c r="I7630" i="1" a="1"/>
  <c r="I7630" i="1" s="1"/>
  <c r="O7630" i="1" a="1"/>
  <c r="O7630" i="1" s="1"/>
  <c r="P7630" i="1" a="1"/>
  <c r="P7630" i="1" s="1"/>
  <c r="B7631" i="1"/>
  <c r="K7630" i="1" a="1"/>
  <c r="K7630" i="1" s="1"/>
  <c r="A7633" i="1"/>
  <c r="H7632" i="1"/>
  <c r="I6300" i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A7634" i="1" l="1"/>
  <c r="H7633" i="1"/>
  <c r="I7631" i="1" a="1"/>
  <c r="I7631" i="1" s="1"/>
  <c r="M7631" i="1" a="1"/>
  <c r="M7631" i="1" s="1"/>
  <c r="Q7631" i="1" a="1"/>
  <c r="Q7631" i="1" s="1"/>
  <c r="J7631" i="1" a="1"/>
  <c r="J7631" i="1" s="1"/>
  <c r="O7631" i="1" a="1"/>
  <c r="O7631" i="1" s="1"/>
  <c r="B7632" i="1"/>
  <c r="K7631" i="1" a="1"/>
  <c r="K7631" i="1" s="1"/>
  <c r="P7631" i="1" a="1"/>
  <c r="P7631" i="1" s="1"/>
  <c r="L7631" i="1" a="1"/>
  <c r="L7631" i="1" s="1"/>
  <c r="R7631" i="1" a="1"/>
  <c r="R7631" i="1" s="1"/>
  <c r="S7631" i="1" a="1"/>
  <c r="S7631" i="1" s="1"/>
  <c r="N7631" i="1" a="1"/>
  <c r="N7631" i="1" s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H7634" i="1" l="1"/>
  <c r="A7635" i="1"/>
  <c r="L7632" i="1" a="1"/>
  <c r="L7632" i="1" s="1"/>
  <c r="P7632" i="1" a="1"/>
  <c r="P7632" i="1" s="1"/>
  <c r="B7633" i="1"/>
  <c r="M7632" i="1" a="1"/>
  <c r="M7632" i="1" s="1"/>
  <c r="R7632" i="1" a="1"/>
  <c r="R7632" i="1" s="1"/>
  <c r="I7632" i="1" a="1"/>
  <c r="I7632" i="1" s="1"/>
  <c r="N7632" i="1" a="1"/>
  <c r="N7632" i="1" s="1"/>
  <c r="S7632" i="1" a="1"/>
  <c r="S7632" i="1" s="1"/>
  <c r="J7632" i="1" a="1"/>
  <c r="J7632" i="1" s="1"/>
  <c r="O7632" i="1" a="1"/>
  <c r="O7632" i="1" s="1"/>
  <c r="Q7632" i="1" a="1"/>
  <c r="Q7632" i="1" s="1"/>
  <c r="K7632" i="1" a="1"/>
  <c r="K7632" i="1" s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K7633" i="1" l="1" a="1"/>
  <c r="K7633" i="1" s="1"/>
  <c r="O7633" i="1" a="1"/>
  <c r="O7633" i="1" s="1"/>
  <c r="S7633" i="1" a="1"/>
  <c r="S7633" i="1" s="1"/>
  <c r="J7633" i="1" a="1"/>
  <c r="J7633" i="1" s="1"/>
  <c r="P7633" i="1" a="1"/>
  <c r="P7633" i="1" s="1"/>
  <c r="L7633" i="1" a="1"/>
  <c r="L7633" i="1" s="1"/>
  <c r="Q7633" i="1" a="1"/>
  <c r="Q7633" i="1" s="1"/>
  <c r="M7633" i="1" a="1"/>
  <c r="M7633" i="1" s="1"/>
  <c r="R7633" i="1" a="1"/>
  <c r="R7633" i="1" s="1"/>
  <c r="B7634" i="1"/>
  <c r="I7633" i="1" a="1"/>
  <c r="I7633" i="1" s="1"/>
  <c r="N7633" i="1" a="1"/>
  <c r="N7633" i="1" s="1"/>
  <c r="A7636" i="1"/>
  <c r="H7635" i="1"/>
  <c r="J6303" i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A7637" i="1" l="1"/>
  <c r="H7636" i="1"/>
  <c r="J7634" i="1" a="1"/>
  <c r="J7634" i="1" s="1"/>
  <c r="N7634" i="1" a="1"/>
  <c r="N7634" i="1" s="1"/>
  <c r="R7634" i="1" a="1"/>
  <c r="R7634" i="1" s="1"/>
  <c r="M7634" i="1" a="1"/>
  <c r="M7634" i="1" s="1"/>
  <c r="S7634" i="1" a="1"/>
  <c r="S7634" i="1" s="1"/>
  <c r="I7634" i="1" a="1"/>
  <c r="I7634" i="1" s="1"/>
  <c r="O7634" i="1" a="1"/>
  <c r="O7634" i="1" s="1"/>
  <c r="B7635" i="1"/>
  <c r="K7634" i="1" a="1"/>
  <c r="K7634" i="1" s="1"/>
  <c r="P7634" i="1" a="1"/>
  <c r="P7634" i="1" s="1"/>
  <c r="L7634" i="1" a="1"/>
  <c r="L7634" i="1" s="1"/>
  <c r="Q7634" i="1" a="1"/>
  <c r="Q7634" i="1" s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H7637" i="1" l="1"/>
  <c r="A7638" i="1"/>
  <c r="I7635" i="1" a="1"/>
  <c r="I7635" i="1" s="1"/>
  <c r="M7635" i="1" a="1"/>
  <c r="M7635" i="1" s="1"/>
  <c r="Q7635" i="1" a="1"/>
  <c r="Q7635" i="1" s="1"/>
  <c r="K7635" i="1" a="1"/>
  <c r="K7635" i="1" s="1"/>
  <c r="P7635" i="1" a="1"/>
  <c r="P7635" i="1" s="1"/>
  <c r="L7635" i="1" a="1"/>
  <c r="L7635" i="1" s="1"/>
  <c r="R7635" i="1" a="1"/>
  <c r="R7635" i="1" s="1"/>
  <c r="N7635" i="1" a="1"/>
  <c r="N7635" i="1" s="1"/>
  <c r="S7635" i="1" a="1"/>
  <c r="S7635" i="1" s="1"/>
  <c r="B7636" i="1"/>
  <c r="J7635" i="1" a="1"/>
  <c r="J7635" i="1" s="1"/>
  <c r="O7635" i="1" a="1"/>
  <c r="O7635" i="1" s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L7636" i="1" l="1" a="1"/>
  <c r="L7636" i="1" s="1"/>
  <c r="P7636" i="1" a="1"/>
  <c r="P7636" i="1" s="1"/>
  <c r="B7637" i="1"/>
  <c r="I7636" i="1" a="1"/>
  <c r="I7636" i="1" s="1"/>
  <c r="N7636" i="1" a="1"/>
  <c r="N7636" i="1" s="1"/>
  <c r="S7636" i="1" a="1"/>
  <c r="S7636" i="1" s="1"/>
  <c r="J7636" i="1" a="1"/>
  <c r="J7636" i="1" s="1"/>
  <c r="O7636" i="1" a="1"/>
  <c r="O7636" i="1" s="1"/>
  <c r="K7636" i="1" a="1"/>
  <c r="K7636" i="1" s="1"/>
  <c r="Q7636" i="1" a="1"/>
  <c r="Q7636" i="1" s="1"/>
  <c r="M7636" i="1" a="1"/>
  <c r="M7636" i="1" s="1"/>
  <c r="R7636" i="1" a="1"/>
  <c r="R7636" i="1" s="1"/>
  <c r="H7638" i="1"/>
  <c r="A7639" i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A7640" i="1" l="1"/>
  <c r="H7639" i="1"/>
  <c r="K7637" i="1" a="1"/>
  <c r="K7637" i="1" s="1"/>
  <c r="O7637" i="1" a="1"/>
  <c r="O7637" i="1" s="1"/>
  <c r="S7637" i="1" a="1"/>
  <c r="S7637" i="1" s="1"/>
  <c r="L7637" i="1" a="1"/>
  <c r="L7637" i="1" s="1"/>
  <c r="Q7637" i="1" a="1"/>
  <c r="Q7637" i="1" s="1"/>
  <c r="M7637" i="1" a="1"/>
  <c r="M7637" i="1" s="1"/>
  <c r="R7637" i="1" a="1"/>
  <c r="R7637" i="1" s="1"/>
  <c r="I7637" i="1" a="1"/>
  <c r="I7637" i="1" s="1"/>
  <c r="N7637" i="1" a="1"/>
  <c r="N7637" i="1" s="1"/>
  <c r="P7637" i="1" a="1"/>
  <c r="P7637" i="1" s="1"/>
  <c r="J7637" i="1" a="1"/>
  <c r="J7637" i="1" s="1"/>
  <c r="B7638" i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J7638" i="1" l="1" a="1"/>
  <c r="J7638" i="1" s="1"/>
  <c r="N7638" i="1" a="1"/>
  <c r="N7638" i="1" s="1"/>
  <c r="R7638" i="1" a="1"/>
  <c r="R7638" i="1" s="1"/>
  <c r="M7638" i="1" a="1"/>
  <c r="M7638" i="1" s="1"/>
  <c r="I7638" i="1" a="1"/>
  <c r="I7638" i="1" s="1"/>
  <c r="S7638" i="1" a="1"/>
  <c r="S7638" i="1" s="1"/>
  <c r="O7638" i="1" a="1"/>
  <c r="O7638" i="1" s="1"/>
  <c r="K7638" i="1" a="1"/>
  <c r="K7638" i="1" s="1"/>
  <c r="L7638" i="1" a="1"/>
  <c r="L7638" i="1" s="1"/>
  <c r="P7638" i="1" a="1"/>
  <c r="P7638" i="1" s="1"/>
  <c r="B7639" i="1"/>
  <c r="Q7638" i="1" a="1"/>
  <c r="Q7638" i="1" s="1"/>
  <c r="A7641" i="1"/>
  <c r="H7640" i="1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I7639" i="1" l="1" a="1"/>
  <c r="I7639" i="1" s="1"/>
  <c r="M7639" i="1" a="1"/>
  <c r="M7639" i="1" s="1"/>
  <c r="Q7639" i="1" a="1"/>
  <c r="Q7639" i="1" s="1"/>
  <c r="N7639" i="1" a="1"/>
  <c r="N7639" i="1" s="1"/>
  <c r="J7639" i="1" a="1"/>
  <c r="J7639" i="1" s="1"/>
  <c r="S7639" i="1" a="1"/>
  <c r="S7639" i="1" s="1"/>
  <c r="O7639" i="1" a="1"/>
  <c r="O7639" i="1" s="1"/>
  <c r="K7639" i="1" a="1"/>
  <c r="K7639" i="1" s="1"/>
  <c r="P7639" i="1" a="1"/>
  <c r="P7639" i="1" s="1"/>
  <c r="B7640" i="1"/>
  <c r="L7639" i="1" a="1"/>
  <c r="L7639" i="1" s="1"/>
  <c r="R7639" i="1" a="1"/>
  <c r="R7639" i="1" s="1"/>
  <c r="A7642" i="1"/>
  <c r="H7641" i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H7642" i="1" l="1"/>
  <c r="A7643" i="1"/>
  <c r="L7640" i="1" a="1"/>
  <c r="L7640" i="1" s="1"/>
  <c r="P7640" i="1" a="1"/>
  <c r="P7640" i="1" s="1"/>
  <c r="J7640" i="1" a="1"/>
  <c r="J7640" i="1" s="1"/>
  <c r="S7640" i="1" a="1"/>
  <c r="S7640" i="1" s="1"/>
  <c r="O7640" i="1" a="1"/>
  <c r="O7640" i="1" s="1"/>
  <c r="K7640" i="1" a="1"/>
  <c r="K7640" i="1" s="1"/>
  <c r="B7641" i="1"/>
  <c r="Q7640" i="1" a="1"/>
  <c r="Q7640" i="1" s="1"/>
  <c r="I7640" i="1" a="1"/>
  <c r="I7640" i="1" s="1"/>
  <c r="M7640" i="1" a="1"/>
  <c r="M7640" i="1" s="1"/>
  <c r="R7640" i="1" a="1"/>
  <c r="R7640" i="1" s="1"/>
  <c r="N7640" i="1" a="1"/>
  <c r="N7640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H7643" i="1" l="1"/>
  <c r="A7644" i="1"/>
  <c r="K7641" i="1" a="1"/>
  <c r="K7641" i="1" s="1"/>
  <c r="O7641" i="1" a="1"/>
  <c r="O7641" i="1" s="1"/>
  <c r="S7641" i="1" a="1"/>
  <c r="S7641" i="1" s="1"/>
  <c r="P7641" i="1" a="1"/>
  <c r="P7641" i="1" s="1"/>
  <c r="B7642" i="1"/>
  <c r="L7641" i="1" a="1"/>
  <c r="L7641" i="1" s="1"/>
  <c r="Q7641" i="1" a="1"/>
  <c r="Q7641" i="1" s="1"/>
  <c r="M7641" i="1" a="1"/>
  <c r="M7641" i="1" s="1"/>
  <c r="I7641" i="1" a="1"/>
  <c r="I7641" i="1" s="1"/>
  <c r="J7641" i="1" a="1"/>
  <c r="J7641" i="1" s="1"/>
  <c r="R7641" i="1" a="1"/>
  <c r="R7641" i="1" s="1"/>
  <c r="N7641" i="1" a="1"/>
  <c r="N7641" i="1" s="1"/>
  <c r="I6311" i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7642" i="1" l="1" a="1"/>
  <c r="J7642" i="1" s="1"/>
  <c r="N7642" i="1" a="1"/>
  <c r="N7642" i="1" s="1"/>
  <c r="R7642" i="1" a="1"/>
  <c r="R7642" i="1" s="1"/>
  <c r="P7642" i="1" a="1"/>
  <c r="P7642" i="1" s="1"/>
  <c r="B7643" i="1"/>
  <c r="L7642" i="1" a="1"/>
  <c r="L7642" i="1" s="1"/>
  <c r="Q7642" i="1" a="1"/>
  <c r="Q7642" i="1" s="1"/>
  <c r="M7642" i="1" a="1"/>
  <c r="M7642" i="1" s="1"/>
  <c r="I7642" i="1" a="1"/>
  <c r="I7642" i="1" s="1"/>
  <c r="S7642" i="1" a="1"/>
  <c r="S7642" i="1" s="1"/>
  <c r="K7642" i="1" a="1"/>
  <c r="K7642" i="1" s="1"/>
  <c r="O7642" i="1" a="1"/>
  <c r="O7642" i="1" s="1"/>
  <c r="A7645" i="1"/>
  <c r="H7644" i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A7646" i="1" l="1"/>
  <c r="H7645" i="1"/>
  <c r="I7643" i="1" a="1"/>
  <c r="I7643" i="1" s="1"/>
  <c r="M7643" i="1" a="1"/>
  <c r="M7643" i="1" s="1"/>
  <c r="Q7643" i="1" a="1"/>
  <c r="Q7643" i="1" s="1"/>
  <c r="L7643" i="1" a="1"/>
  <c r="L7643" i="1" s="1"/>
  <c r="R7643" i="1" a="1"/>
  <c r="R7643" i="1" s="1"/>
  <c r="N7643" i="1" a="1"/>
  <c r="N7643" i="1" s="1"/>
  <c r="J7643" i="1" a="1"/>
  <c r="J7643" i="1" s="1"/>
  <c r="S7643" i="1" a="1"/>
  <c r="S7643" i="1" s="1"/>
  <c r="P7643" i="1" a="1"/>
  <c r="P7643" i="1" s="1"/>
  <c r="K7643" i="1" a="1"/>
  <c r="K7643" i="1" s="1"/>
  <c r="B7644" i="1"/>
  <c r="O7643" i="1" a="1"/>
  <c r="O7643" i="1" s="1"/>
  <c r="I6313" i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L7644" i="1" l="1" a="1"/>
  <c r="L7644" i="1" s="1"/>
  <c r="P7644" i="1" a="1"/>
  <c r="P7644" i="1" s="1"/>
  <c r="M7644" i="1" a="1"/>
  <c r="M7644" i="1" s="1"/>
  <c r="I7644" i="1" a="1"/>
  <c r="I7644" i="1" s="1"/>
  <c r="R7644" i="1" a="1"/>
  <c r="R7644" i="1" s="1"/>
  <c r="N7644" i="1" a="1"/>
  <c r="N7644" i="1" s="1"/>
  <c r="J7644" i="1" a="1"/>
  <c r="J7644" i="1" s="1"/>
  <c r="S7644" i="1" a="1"/>
  <c r="S7644" i="1" s="1"/>
  <c r="O7644" i="1" a="1"/>
  <c r="O7644" i="1" s="1"/>
  <c r="Q7644" i="1" a="1"/>
  <c r="Q7644" i="1" s="1"/>
  <c r="B7645" i="1"/>
  <c r="K7644" i="1" a="1"/>
  <c r="K7644" i="1" s="1"/>
  <c r="A7647" i="1"/>
  <c r="H7646" i="1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A7648" i="1" l="1"/>
  <c r="H7647" i="1"/>
  <c r="K7645" i="1" a="1"/>
  <c r="K7645" i="1" s="1"/>
  <c r="O7645" i="1" a="1"/>
  <c r="O7645" i="1" s="1"/>
  <c r="S7645" i="1" a="1"/>
  <c r="S7645" i="1" s="1"/>
  <c r="I7645" i="1" a="1"/>
  <c r="I7645" i="1" s="1"/>
  <c r="R7645" i="1" a="1"/>
  <c r="R7645" i="1" s="1"/>
  <c r="N7645" i="1" a="1"/>
  <c r="N7645" i="1" s="1"/>
  <c r="J7645" i="1" a="1"/>
  <c r="J7645" i="1" s="1"/>
  <c r="P7645" i="1" a="1"/>
  <c r="P7645" i="1" s="1"/>
  <c r="B7646" i="1"/>
  <c r="Q7645" i="1" a="1"/>
  <c r="Q7645" i="1" s="1"/>
  <c r="L7645" i="1" a="1"/>
  <c r="L7645" i="1" s="1"/>
  <c r="M7645" i="1" a="1"/>
  <c r="M7645" i="1" s="1"/>
  <c r="K6315" i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J7646" i="1" l="1" a="1"/>
  <c r="J7646" i="1" s="1"/>
  <c r="N7646" i="1" a="1"/>
  <c r="N7646" i="1" s="1"/>
  <c r="R7646" i="1" a="1"/>
  <c r="R7646" i="1" s="1"/>
  <c r="S7646" i="1" a="1"/>
  <c r="S7646" i="1" s="1"/>
  <c r="O7646" i="1" a="1"/>
  <c r="O7646" i="1" s="1"/>
  <c r="K7646" i="1" a="1"/>
  <c r="K7646" i="1" s="1"/>
  <c r="P7646" i="1" a="1"/>
  <c r="P7646" i="1" s="1"/>
  <c r="B7647" i="1"/>
  <c r="L7646" i="1" a="1"/>
  <c r="L7646" i="1" s="1"/>
  <c r="Q7646" i="1" a="1"/>
  <c r="Q7646" i="1" s="1"/>
  <c r="M7646" i="1" a="1"/>
  <c r="M7646" i="1" s="1"/>
  <c r="I7646" i="1" a="1"/>
  <c r="I7646" i="1" s="1"/>
  <c r="A7649" i="1"/>
  <c r="H7648" i="1"/>
  <c r="K6316" i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7647" i="1" l="1" a="1"/>
  <c r="I7647" i="1" s="1"/>
  <c r="M7647" i="1" a="1"/>
  <c r="M7647" i="1" s="1"/>
  <c r="Q7647" i="1" a="1"/>
  <c r="Q7647" i="1" s="1"/>
  <c r="O7647" i="1" a="1"/>
  <c r="O7647" i="1" s="1"/>
  <c r="K7647" i="1" a="1"/>
  <c r="K7647" i="1" s="1"/>
  <c r="P7647" i="1" a="1"/>
  <c r="P7647" i="1" s="1"/>
  <c r="B7648" i="1"/>
  <c r="L7647" i="1" a="1"/>
  <c r="L7647" i="1" s="1"/>
  <c r="N7647" i="1" a="1"/>
  <c r="N7647" i="1" s="1"/>
  <c r="R7647" i="1" a="1"/>
  <c r="R7647" i="1" s="1"/>
  <c r="S7647" i="1" a="1"/>
  <c r="S7647" i="1" s="1"/>
  <c r="J7647" i="1" a="1"/>
  <c r="J7647" i="1" s="1"/>
  <c r="H7649" i="1"/>
  <c r="A7650" i="1"/>
  <c r="I6317" i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H7650" i="1" l="1"/>
  <c r="A7651" i="1"/>
  <c r="L7648" i="1" a="1"/>
  <c r="L7648" i="1" s="1"/>
  <c r="P7648" i="1" a="1"/>
  <c r="P7648" i="1" s="1"/>
  <c r="K7648" i="1" a="1"/>
  <c r="K7648" i="1" s="1"/>
  <c r="B7649" i="1"/>
  <c r="Q7648" i="1" a="1"/>
  <c r="Q7648" i="1" s="1"/>
  <c r="M7648" i="1" a="1"/>
  <c r="M7648" i="1" s="1"/>
  <c r="I7648" i="1" a="1"/>
  <c r="I7648" i="1" s="1"/>
  <c r="R7648" i="1" a="1"/>
  <c r="R7648" i="1" s="1"/>
  <c r="N7648" i="1" a="1"/>
  <c r="N7648" i="1" s="1"/>
  <c r="S7648" i="1" a="1"/>
  <c r="S7648" i="1" s="1"/>
  <c r="O7648" i="1" a="1"/>
  <c r="O7648" i="1" s="1"/>
  <c r="J7648" i="1" a="1"/>
  <c r="J7648" i="1" s="1"/>
  <c r="K6318" i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H7651" i="1" l="1"/>
  <c r="A7652" i="1"/>
  <c r="K7649" i="1" a="1"/>
  <c r="K7649" i="1" s="1"/>
  <c r="O7649" i="1" a="1"/>
  <c r="O7649" i="1" s="1"/>
  <c r="S7649" i="1" a="1"/>
  <c r="S7649" i="1" s="1"/>
  <c r="L7649" i="1" a="1"/>
  <c r="L7649" i="1" s="1"/>
  <c r="Q7649" i="1" a="1"/>
  <c r="Q7649" i="1" s="1"/>
  <c r="M7649" i="1" a="1"/>
  <c r="M7649" i="1" s="1"/>
  <c r="I7649" i="1" a="1"/>
  <c r="I7649" i="1" s="1"/>
  <c r="R7649" i="1" a="1"/>
  <c r="R7649" i="1" s="1"/>
  <c r="N7649" i="1" a="1"/>
  <c r="N7649" i="1" s="1"/>
  <c r="P7649" i="1" a="1"/>
  <c r="P7649" i="1" s="1"/>
  <c r="J7649" i="1" a="1"/>
  <c r="J7649" i="1" s="1"/>
  <c r="B7650" i="1"/>
  <c r="I6319" i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7650" i="1" l="1" a="1"/>
  <c r="J7650" i="1" s="1"/>
  <c r="N7650" i="1" a="1"/>
  <c r="N7650" i="1" s="1"/>
  <c r="R7650" i="1" a="1"/>
  <c r="R7650" i="1" s="1"/>
  <c r="Q7650" i="1" a="1"/>
  <c r="Q7650" i="1" s="1"/>
  <c r="M7650" i="1" a="1"/>
  <c r="M7650" i="1" s="1"/>
  <c r="I7650" i="1" a="1"/>
  <c r="I7650" i="1" s="1"/>
  <c r="S7650" i="1" a="1"/>
  <c r="S7650" i="1" s="1"/>
  <c r="O7650" i="1" a="1"/>
  <c r="O7650" i="1" s="1"/>
  <c r="L7650" i="1" a="1"/>
  <c r="L7650" i="1" s="1"/>
  <c r="P7650" i="1" a="1"/>
  <c r="P7650" i="1" s="1"/>
  <c r="K7650" i="1" a="1"/>
  <c r="K7650" i="1" s="1"/>
  <c r="B7651" i="1"/>
  <c r="H7652" i="1"/>
  <c r="A7653" i="1"/>
  <c r="J6320" i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H7653" i="1" l="1"/>
  <c r="A7654" i="1"/>
  <c r="I7651" i="1" a="1"/>
  <c r="I7651" i="1" s="1"/>
  <c r="M7651" i="1" a="1"/>
  <c r="M7651" i="1" s="1"/>
  <c r="Q7651" i="1" a="1"/>
  <c r="Q7651" i="1" s="1"/>
  <c r="R7651" i="1" a="1"/>
  <c r="R7651" i="1" s="1"/>
  <c r="N7651" i="1" a="1"/>
  <c r="N7651" i="1" s="1"/>
  <c r="J7651" i="1" a="1"/>
  <c r="J7651" i="1" s="1"/>
  <c r="S7651" i="1" a="1"/>
  <c r="S7651" i="1" s="1"/>
  <c r="O7651" i="1" a="1"/>
  <c r="O7651" i="1" s="1"/>
  <c r="K7651" i="1" a="1"/>
  <c r="K7651" i="1" s="1"/>
  <c r="L7651" i="1" a="1"/>
  <c r="L7651" i="1" s="1"/>
  <c r="P7651" i="1" a="1"/>
  <c r="P7651" i="1" s="1"/>
  <c r="B7652" i="1"/>
  <c r="I6321" i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J7652" i="1" l="1" a="1"/>
  <c r="J7652" i="1" s="1"/>
  <c r="N7652" i="1" a="1"/>
  <c r="N7652" i="1" s="1"/>
  <c r="R7652" i="1" a="1"/>
  <c r="R7652" i="1" s="1"/>
  <c r="K7652" i="1" a="1"/>
  <c r="K7652" i="1" s="1"/>
  <c r="O7652" i="1" a="1"/>
  <c r="O7652" i="1" s="1"/>
  <c r="S7652" i="1" a="1"/>
  <c r="S7652" i="1" s="1"/>
  <c r="I7652" i="1" a="1"/>
  <c r="I7652" i="1" s="1"/>
  <c r="B7653" i="1"/>
  <c r="P7652" i="1" a="1"/>
  <c r="P7652" i="1" s="1"/>
  <c r="L7652" i="1" a="1"/>
  <c r="L7652" i="1" s="1"/>
  <c r="M7652" i="1" a="1"/>
  <c r="M7652" i="1" s="1"/>
  <c r="Q7652" i="1" a="1"/>
  <c r="Q7652" i="1" s="1"/>
  <c r="A7655" i="1"/>
  <c r="H7654" i="1"/>
  <c r="L6322" i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B7654" i="1" l="1"/>
  <c r="I7653" i="1" a="1"/>
  <c r="I7653" i="1" s="1"/>
  <c r="M7653" i="1" a="1"/>
  <c r="M7653" i="1" s="1"/>
  <c r="Q7653" i="1" a="1"/>
  <c r="Q7653" i="1" s="1"/>
  <c r="J7653" i="1" a="1"/>
  <c r="J7653" i="1" s="1"/>
  <c r="N7653" i="1" a="1"/>
  <c r="N7653" i="1" s="1"/>
  <c r="R7653" i="1" a="1"/>
  <c r="R7653" i="1" s="1"/>
  <c r="S7653" i="1" a="1"/>
  <c r="S7653" i="1" s="1"/>
  <c r="K7653" i="1" a="1"/>
  <c r="K7653" i="1" s="1"/>
  <c r="L7653" i="1" a="1"/>
  <c r="L7653" i="1" s="1"/>
  <c r="P7653" i="1" a="1"/>
  <c r="P7653" i="1" s="1"/>
  <c r="O7653" i="1" a="1"/>
  <c r="O7653" i="1" s="1"/>
  <c r="A7656" i="1"/>
  <c r="H7655" i="1"/>
  <c r="O6323" i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H7656" i="1" l="1"/>
  <c r="A7657" i="1"/>
  <c r="L7654" i="1" a="1"/>
  <c r="L7654" i="1" s="1"/>
  <c r="P7654" i="1" a="1"/>
  <c r="P7654" i="1" s="1"/>
  <c r="B7655" i="1"/>
  <c r="I7654" i="1" a="1"/>
  <c r="I7654" i="1" s="1"/>
  <c r="M7654" i="1" a="1"/>
  <c r="M7654" i="1" s="1"/>
  <c r="Q7654" i="1" a="1"/>
  <c r="Q7654" i="1" s="1"/>
  <c r="O7654" i="1" a="1"/>
  <c r="O7654" i="1" s="1"/>
  <c r="R7654" i="1" a="1"/>
  <c r="R7654" i="1" s="1"/>
  <c r="J7654" i="1" a="1"/>
  <c r="J7654" i="1" s="1"/>
  <c r="S7654" i="1" a="1"/>
  <c r="S7654" i="1" s="1"/>
  <c r="K7654" i="1" a="1"/>
  <c r="K7654" i="1" s="1"/>
  <c r="N7654" i="1" a="1"/>
  <c r="N7654" i="1" s="1"/>
  <c r="I6324" i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K7655" i="1" l="1" a="1"/>
  <c r="K7655" i="1" s="1"/>
  <c r="O7655" i="1" a="1"/>
  <c r="O7655" i="1" s="1"/>
  <c r="S7655" i="1" a="1"/>
  <c r="S7655" i="1" s="1"/>
  <c r="L7655" i="1" a="1"/>
  <c r="L7655" i="1" s="1"/>
  <c r="P7655" i="1" a="1"/>
  <c r="P7655" i="1" s="1"/>
  <c r="B7656" i="1"/>
  <c r="N7655" i="1" a="1"/>
  <c r="N7655" i="1" s="1"/>
  <c r="Q7655" i="1" a="1"/>
  <c r="Q7655" i="1" s="1"/>
  <c r="I7655" i="1" a="1"/>
  <c r="I7655" i="1" s="1"/>
  <c r="R7655" i="1" a="1"/>
  <c r="R7655" i="1" s="1"/>
  <c r="J7655" i="1" a="1"/>
  <c r="J7655" i="1" s="1"/>
  <c r="M7655" i="1" a="1"/>
  <c r="M7655" i="1" s="1"/>
  <c r="H7657" i="1"/>
  <c r="A7658" i="1"/>
  <c r="I6325" i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A7659" i="1" l="1"/>
  <c r="H7658" i="1"/>
  <c r="J7656" i="1" a="1"/>
  <c r="J7656" i="1" s="1"/>
  <c r="N7656" i="1" a="1"/>
  <c r="N7656" i="1" s="1"/>
  <c r="R7656" i="1" a="1"/>
  <c r="R7656" i="1" s="1"/>
  <c r="K7656" i="1" a="1"/>
  <c r="K7656" i="1" s="1"/>
  <c r="O7656" i="1" a="1"/>
  <c r="O7656" i="1" s="1"/>
  <c r="S7656" i="1" a="1"/>
  <c r="S7656" i="1" s="1"/>
  <c r="L7656" i="1" a="1"/>
  <c r="L7656" i="1" s="1"/>
  <c r="M7656" i="1" a="1"/>
  <c r="M7656" i="1" s="1"/>
  <c r="P7656" i="1" a="1"/>
  <c r="P7656" i="1" s="1"/>
  <c r="I7656" i="1" a="1"/>
  <c r="I7656" i="1" s="1"/>
  <c r="Q7656" i="1" a="1"/>
  <c r="Q7656" i="1" s="1"/>
  <c r="B7657" i="1"/>
  <c r="J6326" i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B7658" i="1" l="1"/>
  <c r="I7657" i="1" a="1"/>
  <c r="I7657" i="1" s="1"/>
  <c r="M7657" i="1" a="1"/>
  <c r="M7657" i="1" s="1"/>
  <c r="Q7657" i="1" a="1"/>
  <c r="Q7657" i="1" s="1"/>
  <c r="J7657" i="1" a="1"/>
  <c r="J7657" i="1" s="1"/>
  <c r="N7657" i="1" a="1"/>
  <c r="N7657" i="1" s="1"/>
  <c r="R7657" i="1" a="1"/>
  <c r="R7657" i="1" s="1"/>
  <c r="K7657" i="1" a="1"/>
  <c r="K7657" i="1" s="1"/>
  <c r="O7657" i="1" a="1"/>
  <c r="O7657" i="1" s="1"/>
  <c r="L7657" i="1" a="1"/>
  <c r="L7657" i="1" s="1"/>
  <c r="P7657" i="1" a="1"/>
  <c r="P7657" i="1" s="1"/>
  <c r="S7657" i="1" a="1"/>
  <c r="S7657" i="1" s="1"/>
  <c r="A7660" i="1"/>
  <c r="H7659" i="1"/>
  <c r="J6327" i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A7661" i="1" l="1"/>
  <c r="H7660" i="1"/>
  <c r="L7658" i="1" a="1"/>
  <c r="L7658" i="1" s="1"/>
  <c r="P7658" i="1" a="1"/>
  <c r="P7658" i="1" s="1"/>
  <c r="B7659" i="1"/>
  <c r="I7658" i="1" a="1"/>
  <c r="I7658" i="1" s="1"/>
  <c r="M7658" i="1" a="1"/>
  <c r="M7658" i="1" s="1"/>
  <c r="Q7658" i="1" a="1"/>
  <c r="Q7658" i="1" s="1"/>
  <c r="R7658" i="1" a="1"/>
  <c r="R7658" i="1" s="1"/>
  <c r="J7658" i="1" a="1"/>
  <c r="J7658" i="1" s="1"/>
  <c r="S7658" i="1" a="1"/>
  <c r="S7658" i="1" s="1"/>
  <c r="K7658" i="1" a="1"/>
  <c r="K7658" i="1" s="1"/>
  <c r="N7658" i="1" a="1"/>
  <c r="N7658" i="1" s="1"/>
  <c r="O7658" i="1" a="1"/>
  <c r="O7658" i="1" s="1"/>
  <c r="I6328" i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K7659" i="1" l="1" a="1"/>
  <c r="K7659" i="1" s="1"/>
  <c r="O7659" i="1" a="1"/>
  <c r="O7659" i="1" s="1"/>
  <c r="S7659" i="1" a="1"/>
  <c r="S7659" i="1" s="1"/>
  <c r="L7659" i="1" a="1"/>
  <c r="L7659" i="1" s="1"/>
  <c r="P7659" i="1" a="1"/>
  <c r="P7659" i="1" s="1"/>
  <c r="B7660" i="1"/>
  <c r="N7659" i="1" a="1"/>
  <c r="N7659" i="1" s="1"/>
  <c r="Q7659" i="1" a="1"/>
  <c r="Q7659" i="1" s="1"/>
  <c r="I7659" i="1" a="1"/>
  <c r="I7659" i="1" s="1"/>
  <c r="R7659" i="1" a="1"/>
  <c r="R7659" i="1" s="1"/>
  <c r="J7659" i="1" a="1"/>
  <c r="J7659" i="1" s="1"/>
  <c r="M7659" i="1" a="1"/>
  <c r="M7659" i="1" s="1"/>
  <c r="H7661" i="1"/>
  <c r="A7662" i="1"/>
  <c r="J6329" i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A7663" i="1" l="1"/>
  <c r="H7662" i="1"/>
  <c r="J7660" i="1" a="1"/>
  <c r="J7660" i="1" s="1"/>
  <c r="N7660" i="1" a="1"/>
  <c r="N7660" i="1" s="1"/>
  <c r="R7660" i="1" a="1"/>
  <c r="R7660" i="1" s="1"/>
  <c r="K7660" i="1" a="1"/>
  <c r="K7660" i="1" s="1"/>
  <c r="O7660" i="1" a="1"/>
  <c r="O7660" i="1" s="1"/>
  <c r="S7660" i="1" a="1"/>
  <c r="S7660" i="1" s="1"/>
  <c r="M7660" i="1" a="1"/>
  <c r="M7660" i="1" s="1"/>
  <c r="P7660" i="1" a="1"/>
  <c r="P7660" i="1" s="1"/>
  <c r="Q7660" i="1" a="1"/>
  <c r="Q7660" i="1" s="1"/>
  <c r="L7660" i="1" a="1"/>
  <c r="L7660" i="1" s="1"/>
  <c r="B7661" i="1"/>
  <c r="I7660" i="1" a="1"/>
  <c r="I7660" i="1" s="1"/>
  <c r="J6330" i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B7662" i="1" l="1"/>
  <c r="I7661" i="1" a="1"/>
  <c r="I7661" i="1" s="1"/>
  <c r="M7661" i="1" a="1"/>
  <c r="M7661" i="1" s="1"/>
  <c r="Q7661" i="1" a="1"/>
  <c r="Q7661" i="1" s="1"/>
  <c r="J7661" i="1" a="1"/>
  <c r="J7661" i="1" s="1"/>
  <c r="N7661" i="1" a="1"/>
  <c r="N7661" i="1" s="1"/>
  <c r="R7661" i="1" a="1"/>
  <c r="R7661" i="1" s="1"/>
  <c r="K7661" i="1" a="1"/>
  <c r="K7661" i="1" s="1"/>
  <c r="L7661" i="1" a="1"/>
  <c r="L7661" i="1" s="1"/>
  <c r="O7661" i="1" a="1"/>
  <c r="O7661" i="1" s="1"/>
  <c r="P7661" i="1" a="1"/>
  <c r="P7661" i="1" s="1"/>
  <c r="S7661" i="1" a="1"/>
  <c r="S7661" i="1" s="1"/>
  <c r="A7664" i="1"/>
  <c r="H7663" i="1"/>
  <c r="I6331" i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H7664" i="1" l="1"/>
  <c r="A7665" i="1"/>
  <c r="L7662" i="1" a="1"/>
  <c r="L7662" i="1" s="1"/>
  <c r="P7662" i="1" a="1"/>
  <c r="P7662" i="1" s="1"/>
  <c r="B7663" i="1"/>
  <c r="I7662" i="1" a="1"/>
  <c r="I7662" i="1" s="1"/>
  <c r="M7662" i="1" a="1"/>
  <c r="M7662" i="1" s="1"/>
  <c r="Q7662" i="1" a="1"/>
  <c r="Q7662" i="1" s="1"/>
  <c r="J7662" i="1" a="1"/>
  <c r="J7662" i="1" s="1"/>
  <c r="S7662" i="1" a="1"/>
  <c r="S7662" i="1" s="1"/>
  <c r="K7662" i="1" a="1"/>
  <c r="K7662" i="1" s="1"/>
  <c r="N7662" i="1" a="1"/>
  <c r="N7662" i="1" s="1"/>
  <c r="O7662" i="1" a="1"/>
  <c r="O7662" i="1" s="1"/>
  <c r="R7662" i="1" a="1"/>
  <c r="R7662" i="1" s="1"/>
  <c r="I6332" i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7663" i="1" l="1" a="1"/>
  <c r="K7663" i="1" s="1"/>
  <c r="O7663" i="1" a="1"/>
  <c r="O7663" i="1" s="1"/>
  <c r="S7663" i="1" a="1"/>
  <c r="S7663" i="1" s="1"/>
  <c r="L7663" i="1" a="1"/>
  <c r="L7663" i="1" s="1"/>
  <c r="P7663" i="1" a="1"/>
  <c r="P7663" i="1" s="1"/>
  <c r="B7664" i="1"/>
  <c r="Q7663" i="1" a="1"/>
  <c r="Q7663" i="1" s="1"/>
  <c r="J7663" i="1" a="1"/>
  <c r="J7663" i="1" s="1"/>
  <c r="I7663" i="1" a="1"/>
  <c r="I7663" i="1" s="1"/>
  <c r="R7663" i="1" a="1"/>
  <c r="R7663" i="1" s="1"/>
  <c r="N7663" i="1" a="1"/>
  <c r="N7663" i="1" s="1"/>
  <c r="M7663" i="1" a="1"/>
  <c r="M7663" i="1" s="1"/>
  <c r="H7665" i="1"/>
  <c r="A7666" i="1"/>
  <c r="K6333" i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A7667" i="1" l="1"/>
  <c r="H7666" i="1"/>
  <c r="J7664" i="1" a="1"/>
  <c r="J7664" i="1" s="1"/>
  <c r="N7664" i="1" a="1"/>
  <c r="N7664" i="1" s="1"/>
  <c r="R7664" i="1" a="1"/>
  <c r="R7664" i="1" s="1"/>
  <c r="K7664" i="1" a="1"/>
  <c r="K7664" i="1" s="1"/>
  <c r="O7664" i="1" a="1"/>
  <c r="O7664" i="1" s="1"/>
  <c r="S7664" i="1" a="1"/>
  <c r="S7664" i="1" s="1"/>
  <c r="M7664" i="1" a="1"/>
  <c r="M7664" i="1" s="1"/>
  <c r="P7664" i="1" a="1"/>
  <c r="P7664" i="1" s="1"/>
  <c r="Q7664" i="1" a="1"/>
  <c r="Q7664" i="1" s="1"/>
  <c r="B7665" i="1"/>
  <c r="I7664" i="1" a="1"/>
  <c r="I7664" i="1" s="1"/>
  <c r="L7664" i="1" a="1"/>
  <c r="L7664" i="1" s="1"/>
  <c r="I6334" i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B7666" i="1" l="1"/>
  <c r="I7665" i="1" a="1"/>
  <c r="I7665" i="1" s="1"/>
  <c r="M7665" i="1" a="1"/>
  <c r="M7665" i="1" s="1"/>
  <c r="Q7665" i="1" a="1"/>
  <c r="Q7665" i="1" s="1"/>
  <c r="J7665" i="1" a="1"/>
  <c r="J7665" i="1" s="1"/>
  <c r="N7665" i="1" a="1"/>
  <c r="N7665" i="1" s="1"/>
  <c r="R7665" i="1" a="1"/>
  <c r="R7665" i="1" s="1"/>
  <c r="P7665" i="1" a="1"/>
  <c r="P7665" i="1" s="1"/>
  <c r="L7665" i="1" a="1"/>
  <c r="L7665" i="1" s="1"/>
  <c r="O7665" i="1" a="1"/>
  <c r="O7665" i="1" s="1"/>
  <c r="K7665" i="1" a="1"/>
  <c r="K7665" i="1" s="1"/>
  <c r="S7665" i="1" a="1"/>
  <c r="S7665" i="1" s="1"/>
  <c r="A7668" i="1"/>
  <c r="H7667" i="1"/>
  <c r="K6335" i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H7668" i="1" l="1"/>
  <c r="A7669" i="1"/>
  <c r="L7666" i="1" a="1"/>
  <c r="L7666" i="1" s="1"/>
  <c r="P7666" i="1" a="1"/>
  <c r="P7666" i="1" s="1"/>
  <c r="B7667" i="1"/>
  <c r="I7666" i="1" a="1"/>
  <c r="I7666" i="1" s="1"/>
  <c r="M7666" i="1" a="1"/>
  <c r="M7666" i="1" s="1"/>
  <c r="Q7666" i="1" a="1"/>
  <c r="Q7666" i="1" s="1"/>
  <c r="J7666" i="1" a="1"/>
  <c r="J7666" i="1" s="1"/>
  <c r="S7666" i="1" a="1"/>
  <c r="S7666" i="1" s="1"/>
  <c r="K7666" i="1" a="1"/>
  <c r="K7666" i="1" s="1"/>
  <c r="N7666" i="1" a="1"/>
  <c r="N7666" i="1" s="1"/>
  <c r="R7666" i="1" a="1"/>
  <c r="R7666" i="1" s="1"/>
  <c r="O7666" i="1" a="1"/>
  <c r="O7666" i="1" s="1"/>
  <c r="I6336" i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K7667" i="1" l="1" a="1"/>
  <c r="K7667" i="1" s="1"/>
  <c r="O7667" i="1" a="1"/>
  <c r="O7667" i="1" s="1"/>
  <c r="S7667" i="1" a="1"/>
  <c r="S7667" i="1" s="1"/>
  <c r="L7667" i="1" a="1"/>
  <c r="L7667" i="1" s="1"/>
  <c r="P7667" i="1" a="1"/>
  <c r="P7667" i="1" s="1"/>
  <c r="B7668" i="1"/>
  <c r="I7667" i="1" a="1"/>
  <c r="I7667" i="1" s="1"/>
  <c r="R7667" i="1" a="1"/>
  <c r="R7667" i="1" s="1"/>
  <c r="M7667" i="1" a="1"/>
  <c r="M7667" i="1" s="1"/>
  <c r="J7667" i="1" a="1"/>
  <c r="J7667" i="1" s="1"/>
  <c r="N7667" i="1" a="1"/>
  <c r="N7667" i="1" s="1"/>
  <c r="Q7667" i="1" a="1"/>
  <c r="Q7667" i="1" s="1"/>
  <c r="H7669" i="1"/>
  <c r="A7670" i="1"/>
  <c r="L6337" i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A7671" i="1" l="1"/>
  <c r="H7670" i="1"/>
  <c r="J7668" i="1" a="1"/>
  <c r="J7668" i="1" s="1"/>
  <c r="N7668" i="1" a="1"/>
  <c r="N7668" i="1" s="1"/>
  <c r="R7668" i="1" a="1"/>
  <c r="R7668" i="1" s="1"/>
  <c r="K7668" i="1" a="1"/>
  <c r="K7668" i="1" s="1"/>
  <c r="O7668" i="1" a="1"/>
  <c r="O7668" i="1" s="1"/>
  <c r="S7668" i="1" a="1"/>
  <c r="S7668" i="1" s="1"/>
  <c r="P7668" i="1" a="1"/>
  <c r="P7668" i="1" s="1"/>
  <c r="I7668" i="1" a="1"/>
  <c r="I7668" i="1" s="1"/>
  <c r="Q7668" i="1" a="1"/>
  <c r="Q7668" i="1" s="1"/>
  <c r="B7669" i="1"/>
  <c r="L7668" i="1" a="1"/>
  <c r="L7668" i="1" s="1"/>
  <c r="M7668" i="1" a="1"/>
  <c r="M7668" i="1" s="1"/>
  <c r="J6338" i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B7670" i="1" l="1"/>
  <c r="I7669" i="1" a="1"/>
  <c r="I7669" i="1" s="1"/>
  <c r="M7669" i="1" a="1"/>
  <c r="M7669" i="1" s="1"/>
  <c r="Q7669" i="1" a="1"/>
  <c r="Q7669" i="1" s="1"/>
  <c r="J7669" i="1" a="1"/>
  <c r="J7669" i="1" s="1"/>
  <c r="N7669" i="1" a="1"/>
  <c r="N7669" i="1" s="1"/>
  <c r="R7669" i="1" a="1"/>
  <c r="R7669" i="1" s="1"/>
  <c r="L7669" i="1" a="1"/>
  <c r="L7669" i="1" s="1"/>
  <c r="S7669" i="1" a="1"/>
  <c r="S7669" i="1" s="1"/>
  <c r="O7669" i="1" a="1"/>
  <c r="O7669" i="1" s="1"/>
  <c r="P7669" i="1" a="1"/>
  <c r="P7669" i="1" s="1"/>
  <c r="K7669" i="1" a="1"/>
  <c r="K7669" i="1" s="1"/>
  <c r="A7672" i="1"/>
  <c r="H7671" i="1"/>
  <c r="I6339" i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L7670" i="1" l="1" a="1"/>
  <c r="L7670" i="1" s="1"/>
  <c r="P7670" i="1" a="1"/>
  <c r="P7670" i="1" s="1"/>
  <c r="B7671" i="1"/>
  <c r="I7670" i="1" a="1"/>
  <c r="I7670" i="1" s="1"/>
  <c r="M7670" i="1" a="1"/>
  <c r="M7670" i="1" s="1"/>
  <c r="Q7670" i="1" a="1"/>
  <c r="Q7670" i="1" s="1"/>
  <c r="K7670" i="1" a="1"/>
  <c r="K7670" i="1" s="1"/>
  <c r="N7670" i="1" a="1"/>
  <c r="N7670" i="1" s="1"/>
  <c r="O7670" i="1" a="1"/>
  <c r="O7670" i="1" s="1"/>
  <c r="S7670" i="1" a="1"/>
  <c r="S7670" i="1" s="1"/>
  <c r="R7670" i="1" a="1"/>
  <c r="R7670" i="1" s="1"/>
  <c r="J7670" i="1" a="1"/>
  <c r="J7670" i="1" s="1"/>
  <c r="H7672" i="1"/>
  <c r="A7673" i="1"/>
  <c r="I6340" i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H7673" i="1" l="1"/>
  <c r="A7674" i="1"/>
  <c r="K7671" i="1" a="1"/>
  <c r="K7671" i="1" s="1"/>
  <c r="O7671" i="1" a="1"/>
  <c r="O7671" i="1" s="1"/>
  <c r="S7671" i="1" a="1"/>
  <c r="S7671" i="1" s="1"/>
  <c r="L7671" i="1" a="1"/>
  <c r="L7671" i="1" s="1"/>
  <c r="P7671" i="1" a="1"/>
  <c r="P7671" i="1" s="1"/>
  <c r="B7672" i="1"/>
  <c r="I7671" i="1" a="1"/>
  <c r="I7671" i="1" s="1"/>
  <c r="R7671" i="1" a="1"/>
  <c r="R7671" i="1" s="1"/>
  <c r="J7671" i="1" a="1"/>
  <c r="J7671" i="1" s="1"/>
  <c r="M7671" i="1" a="1"/>
  <c r="M7671" i="1" s="1"/>
  <c r="N7671" i="1" a="1"/>
  <c r="N7671" i="1" s="1"/>
  <c r="Q7671" i="1" a="1"/>
  <c r="Q7671" i="1" s="1"/>
  <c r="K6341" i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J7672" i="1" l="1" a="1"/>
  <c r="J7672" i="1" s="1"/>
  <c r="N7672" i="1" a="1"/>
  <c r="N7672" i="1" s="1"/>
  <c r="R7672" i="1" a="1"/>
  <c r="R7672" i="1" s="1"/>
  <c r="K7672" i="1" a="1"/>
  <c r="K7672" i="1" s="1"/>
  <c r="O7672" i="1" a="1"/>
  <c r="O7672" i="1" s="1"/>
  <c r="S7672" i="1" a="1"/>
  <c r="S7672" i="1" s="1"/>
  <c r="L7672" i="1" a="1"/>
  <c r="L7672" i="1" s="1"/>
  <c r="Q7672" i="1" a="1"/>
  <c r="Q7672" i="1" s="1"/>
  <c r="I7672" i="1" a="1"/>
  <c r="I7672" i="1" s="1"/>
  <c r="B7673" i="1"/>
  <c r="P7672" i="1" a="1"/>
  <c r="P7672" i="1" s="1"/>
  <c r="M7672" i="1" a="1"/>
  <c r="M7672" i="1" s="1"/>
  <c r="A7675" i="1"/>
  <c r="H7674" i="1"/>
  <c r="K6342" i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A7676" i="1" l="1"/>
  <c r="H7675" i="1"/>
  <c r="B7674" i="1"/>
  <c r="I7673" i="1" a="1"/>
  <c r="I7673" i="1" s="1"/>
  <c r="M7673" i="1" a="1"/>
  <c r="M7673" i="1" s="1"/>
  <c r="Q7673" i="1" a="1"/>
  <c r="Q7673" i="1" s="1"/>
  <c r="J7673" i="1" a="1"/>
  <c r="J7673" i="1" s="1"/>
  <c r="N7673" i="1" a="1"/>
  <c r="N7673" i="1" s="1"/>
  <c r="R7673" i="1" a="1"/>
  <c r="R7673" i="1" s="1"/>
  <c r="O7673" i="1" a="1"/>
  <c r="O7673" i="1" s="1"/>
  <c r="P7673" i="1" a="1"/>
  <c r="P7673" i="1" s="1"/>
  <c r="S7673" i="1" a="1"/>
  <c r="S7673" i="1" s="1"/>
  <c r="L7673" i="1" a="1"/>
  <c r="L7673" i="1" s="1"/>
  <c r="K7673" i="1" a="1"/>
  <c r="K7673" i="1" s="1"/>
  <c r="I6343" i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L7674" i="1" l="1" a="1"/>
  <c r="L7674" i="1" s="1"/>
  <c r="P7674" i="1" a="1"/>
  <c r="P7674" i="1" s="1"/>
  <c r="B7675" i="1"/>
  <c r="I7674" i="1" a="1"/>
  <c r="I7674" i="1" s="1"/>
  <c r="M7674" i="1" a="1"/>
  <c r="M7674" i="1" s="1"/>
  <c r="Q7674" i="1" a="1"/>
  <c r="Q7674" i="1" s="1"/>
  <c r="K7674" i="1" a="1"/>
  <c r="K7674" i="1" s="1"/>
  <c r="R7674" i="1" a="1"/>
  <c r="R7674" i="1" s="1"/>
  <c r="N7674" i="1" a="1"/>
  <c r="N7674" i="1" s="1"/>
  <c r="O7674" i="1" a="1"/>
  <c r="O7674" i="1" s="1"/>
  <c r="S7674" i="1" a="1"/>
  <c r="S7674" i="1" s="1"/>
  <c r="J7674" i="1" a="1"/>
  <c r="J7674" i="1" s="1"/>
  <c r="H7676" i="1"/>
  <c r="A7677" i="1"/>
  <c r="J6344" i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H7677" i="1" l="1"/>
  <c r="A7678" i="1"/>
  <c r="K7675" i="1" a="1"/>
  <c r="K7675" i="1" s="1"/>
  <c r="O7675" i="1" a="1"/>
  <c r="O7675" i="1" s="1"/>
  <c r="S7675" i="1" a="1"/>
  <c r="S7675" i="1" s="1"/>
  <c r="L7675" i="1" a="1"/>
  <c r="L7675" i="1" s="1"/>
  <c r="P7675" i="1" a="1"/>
  <c r="P7675" i="1" s="1"/>
  <c r="B7676" i="1"/>
  <c r="J7675" i="1" a="1"/>
  <c r="J7675" i="1" s="1"/>
  <c r="M7675" i="1" a="1"/>
  <c r="M7675" i="1" s="1"/>
  <c r="N7675" i="1" a="1"/>
  <c r="N7675" i="1" s="1"/>
  <c r="Q7675" i="1" a="1"/>
  <c r="Q7675" i="1" s="1"/>
  <c r="R7675" i="1" a="1"/>
  <c r="R7675" i="1" s="1"/>
  <c r="I7675" i="1" a="1"/>
  <c r="I7675" i="1" s="1"/>
  <c r="I6345" i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A7679" i="1" l="1"/>
  <c r="H7678" i="1"/>
  <c r="J7676" i="1" a="1"/>
  <c r="J7676" i="1" s="1"/>
  <c r="N7676" i="1" a="1"/>
  <c r="N7676" i="1" s="1"/>
  <c r="R7676" i="1" a="1"/>
  <c r="R7676" i="1" s="1"/>
  <c r="K7676" i="1" a="1"/>
  <c r="K7676" i="1" s="1"/>
  <c r="O7676" i="1" a="1"/>
  <c r="O7676" i="1" s="1"/>
  <c r="S7676" i="1" a="1"/>
  <c r="S7676" i="1" s="1"/>
  <c r="Q7676" i="1" a="1"/>
  <c r="Q7676" i="1" s="1"/>
  <c r="I7676" i="1" a="1"/>
  <c r="I7676" i="1" s="1"/>
  <c r="B7677" i="1"/>
  <c r="L7676" i="1" a="1"/>
  <c r="L7676" i="1" s="1"/>
  <c r="M7676" i="1" a="1"/>
  <c r="M7676" i="1" s="1"/>
  <c r="P7676" i="1" a="1"/>
  <c r="P7676" i="1" s="1"/>
  <c r="J6346" i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B7678" i="1" l="1"/>
  <c r="I7677" i="1" a="1"/>
  <c r="I7677" i="1" s="1"/>
  <c r="M7677" i="1" a="1"/>
  <c r="M7677" i="1" s="1"/>
  <c r="Q7677" i="1" a="1"/>
  <c r="Q7677" i="1" s="1"/>
  <c r="J7677" i="1" a="1"/>
  <c r="J7677" i="1" s="1"/>
  <c r="N7677" i="1" a="1"/>
  <c r="N7677" i="1" s="1"/>
  <c r="R7677" i="1" a="1"/>
  <c r="R7677" i="1" s="1"/>
  <c r="K7677" i="1" a="1"/>
  <c r="K7677" i="1" s="1"/>
  <c r="P7677" i="1" a="1"/>
  <c r="P7677" i="1" s="1"/>
  <c r="S7677" i="1" a="1"/>
  <c r="S7677" i="1" s="1"/>
  <c r="O7677" i="1" a="1"/>
  <c r="O7677" i="1" s="1"/>
  <c r="L7677" i="1" a="1"/>
  <c r="L7677" i="1" s="1"/>
  <c r="A7680" i="1"/>
  <c r="H7679" i="1"/>
  <c r="K6347" i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H7680" i="1" l="1"/>
  <c r="A7681" i="1"/>
  <c r="L7678" i="1" a="1"/>
  <c r="L7678" i="1" s="1"/>
  <c r="P7678" i="1" a="1"/>
  <c r="P7678" i="1" s="1"/>
  <c r="B7679" i="1"/>
  <c r="I7678" i="1" a="1"/>
  <c r="I7678" i="1" s="1"/>
  <c r="M7678" i="1" a="1"/>
  <c r="M7678" i="1" s="1"/>
  <c r="Q7678" i="1" a="1"/>
  <c r="Q7678" i="1" s="1"/>
  <c r="N7678" i="1" a="1"/>
  <c r="N7678" i="1" s="1"/>
  <c r="O7678" i="1" a="1"/>
  <c r="O7678" i="1" s="1"/>
  <c r="R7678" i="1" a="1"/>
  <c r="R7678" i="1" s="1"/>
  <c r="J7678" i="1" a="1"/>
  <c r="J7678" i="1" s="1"/>
  <c r="K7678" i="1" a="1"/>
  <c r="K7678" i="1" s="1"/>
  <c r="S7678" i="1" a="1"/>
  <c r="S7678" i="1" s="1"/>
  <c r="I6348" i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K7679" i="1" l="1" a="1"/>
  <c r="K7679" i="1" s="1"/>
  <c r="O7679" i="1" a="1"/>
  <c r="O7679" i="1" s="1"/>
  <c r="S7679" i="1" a="1"/>
  <c r="S7679" i="1" s="1"/>
  <c r="L7679" i="1" a="1"/>
  <c r="L7679" i="1" s="1"/>
  <c r="P7679" i="1" a="1"/>
  <c r="P7679" i="1" s="1"/>
  <c r="B7680" i="1"/>
  <c r="J7679" i="1" a="1"/>
  <c r="J7679" i="1" s="1"/>
  <c r="M7679" i="1" a="1"/>
  <c r="M7679" i="1" s="1"/>
  <c r="N7679" i="1" a="1"/>
  <c r="N7679" i="1" s="1"/>
  <c r="Q7679" i="1" a="1"/>
  <c r="Q7679" i="1" s="1"/>
  <c r="R7679" i="1" a="1"/>
  <c r="R7679" i="1" s="1"/>
  <c r="I7679" i="1" a="1"/>
  <c r="I7679" i="1" s="1"/>
  <c r="H7681" i="1"/>
  <c r="A7682" i="1"/>
  <c r="L6349" i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A7683" i="1" l="1"/>
  <c r="H7682" i="1"/>
  <c r="J7680" i="1" a="1"/>
  <c r="J7680" i="1" s="1"/>
  <c r="N7680" i="1" a="1"/>
  <c r="N7680" i="1" s="1"/>
  <c r="R7680" i="1" a="1"/>
  <c r="R7680" i="1" s="1"/>
  <c r="I7680" i="1" a="1"/>
  <c r="I7680" i="1" s="1"/>
  <c r="Q7680" i="1" a="1"/>
  <c r="Q7680" i="1" s="1"/>
  <c r="K7680" i="1" a="1"/>
  <c r="K7680" i="1" s="1"/>
  <c r="S7680" i="1" a="1"/>
  <c r="S7680" i="1" s="1"/>
  <c r="B7681" i="1"/>
  <c r="L7680" i="1" a="1"/>
  <c r="L7680" i="1" s="1"/>
  <c r="M7680" i="1" a="1"/>
  <c r="M7680" i="1" s="1"/>
  <c r="O7680" i="1" a="1"/>
  <c r="O7680" i="1" s="1"/>
  <c r="P7680" i="1" a="1"/>
  <c r="P7680" i="1" s="1"/>
  <c r="K6350" i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B7682" i="1" l="1"/>
  <c r="I7681" i="1" a="1"/>
  <c r="I7681" i="1" s="1"/>
  <c r="M7681" i="1" a="1"/>
  <c r="M7681" i="1" s="1"/>
  <c r="Q7681" i="1" a="1"/>
  <c r="Q7681" i="1" s="1"/>
  <c r="L7681" i="1" a="1"/>
  <c r="L7681" i="1" s="1"/>
  <c r="N7681" i="1" a="1"/>
  <c r="N7681" i="1" s="1"/>
  <c r="O7681" i="1" a="1"/>
  <c r="O7681" i="1" s="1"/>
  <c r="P7681" i="1" a="1"/>
  <c r="P7681" i="1" s="1"/>
  <c r="R7681" i="1" a="1"/>
  <c r="R7681" i="1" s="1"/>
  <c r="S7681" i="1" a="1"/>
  <c r="S7681" i="1" s="1"/>
  <c r="K7681" i="1" a="1"/>
  <c r="K7681" i="1" s="1"/>
  <c r="J7681" i="1" a="1"/>
  <c r="J7681" i="1" s="1"/>
  <c r="H7683" i="1"/>
  <c r="A7684" i="1"/>
  <c r="J6351" i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H7684" i="1" l="1"/>
  <c r="A7685" i="1"/>
  <c r="L7682" i="1" a="1"/>
  <c r="L7682" i="1" s="1"/>
  <c r="P7682" i="1" a="1"/>
  <c r="P7682" i="1" s="1"/>
  <c r="B7683" i="1"/>
  <c r="O7682" i="1" a="1"/>
  <c r="O7682" i="1" s="1"/>
  <c r="I7682" i="1" a="1"/>
  <c r="I7682" i="1" s="1"/>
  <c r="Q7682" i="1" a="1"/>
  <c r="Q7682" i="1" s="1"/>
  <c r="J7682" i="1" a="1"/>
  <c r="J7682" i="1" s="1"/>
  <c r="R7682" i="1" a="1"/>
  <c r="R7682" i="1" s="1"/>
  <c r="S7682" i="1" a="1"/>
  <c r="S7682" i="1" s="1"/>
  <c r="K7682" i="1" a="1"/>
  <c r="K7682" i="1" s="1"/>
  <c r="N7682" i="1" a="1"/>
  <c r="N7682" i="1" s="1"/>
  <c r="M7682" i="1" a="1"/>
  <c r="M7682" i="1" s="1"/>
  <c r="I6352" i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7683" i="1" l="1" a="1"/>
  <c r="K7683" i="1" s="1"/>
  <c r="O7683" i="1" a="1"/>
  <c r="O7683" i="1" s="1"/>
  <c r="S7683" i="1" a="1"/>
  <c r="S7683" i="1" s="1"/>
  <c r="B7684" i="1"/>
  <c r="J7683" i="1" a="1"/>
  <c r="J7683" i="1" s="1"/>
  <c r="R7683" i="1" a="1"/>
  <c r="R7683" i="1" s="1"/>
  <c r="L7683" i="1" a="1"/>
  <c r="L7683" i="1" s="1"/>
  <c r="M7683" i="1" a="1"/>
  <c r="M7683" i="1" s="1"/>
  <c r="I7683" i="1" a="1"/>
  <c r="I7683" i="1" s="1"/>
  <c r="N7683" i="1" a="1"/>
  <c r="N7683" i="1" s="1"/>
  <c r="P7683" i="1" a="1"/>
  <c r="P7683" i="1" s="1"/>
  <c r="Q7683" i="1" a="1"/>
  <c r="Q7683" i="1" s="1"/>
  <c r="H7685" i="1"/>
  <c r="A7686" i="1"/>
  <c r="K6353" i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A7687" i="1" l="1"/>
  <c r="H7686" i="1"/>
  <c r="J7684" i="1" a="1"/>
  <c r="J7684" i="1" s="1"/>
  <c r="N7684" i="1" a="1"/>
  <c r="N7684" i="1" s="1"/>
  <c r="R7684" i="1" a="1"/>
  <c r="R7684" i="1" s="1"/>
  <c r="B7685" i="1"/>
  <c r="M7684" i="1" a="1"/>
  <c r="M7684" i="1" s="1"/>
  <c r="O7684" i="1" a="1"/>
  <c r="O7684" i="1" s="1"/>
  <c r="P7684" i="1" a="1"/>
  <c r="P7684" i="1" s="1"/>
  <c r="S7684" i="1" a="1"/>
  <c r="S7684" i="1" s="1"/>
  <c r="K7684" i="1" a="1"/>
  <c r="K7684" i="1" s="1"/>
  <c r="L7684" i="1" a="1"/>
  <c r="L7684" i="1" s="1"/>
  <c r="I7684" i="1" a="1"/>
  <c r="I7684" i="1" s="1"/>
  <c r="Q7684" i="1" a="1"/>
  <c r="Q7684" i="1" s="1"/>
  <c r="I6354" i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B7686" i="1" l="1"/>
  <c r="I7685" i="1" a="1"/>
  <c r="I7685" i="1" s="1"/>
  <c r="M7685" i="1" a="1"/>
  <c r="M7685" i="1" s="1"/>
  <c r="Q7685" i="1" a="1"/>
  <c r="Q7685" i="1" s="1"/>
  <c r="P7685" i="1" a="1"/>
  <c r="P7685" i="1" s="1"/>
  <c r="J7685" i="1" a="1"/>
  <c r="J7685" i="1" s="1"/>
  <c r="R7685" i="1" a="1"/>
  <c r="R7685" i="1" s="1"/>
  <c r="K7685" i="1" a="1"/>
  <c r="K7685" i="1" s="1"/>
  <c r="S7685" i="1" a="1"/>
  <c r="S7685" i="1" s="1"/>
  <c r="L7685" i="1" a="1"/>
  <c r="L7685" i="1" s="1"/>
  <c r="N7685" i="1" a="1"/>
  <c r="N7685" i="1" s="1"/>
  <c r="O7685" i="1" a="1"/>
  <c r="O7685" i="1" s="1"/>
  <c r="H7687" i="1"/>
  <c r="A7688" i="1"/>
  <c r="L6355" i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H7688" i="1" l="1"/>
  <c r="A7689" i="1"/>
  <c r="L7686" i="1" a="1"/>
  <c r="L7686" i="1" s="1"/>
  <c r="P7686" i="1" a="1"/>
  <c r="P7686" i="1" s="1"/>
  <c r="B7687" i="1"/>
  <c r="K7686" i="1" a="1"/>
  <c r="K7686" i="1" s="1"/>
  <c r="S7686" i="1" a="1"/>
  <c r="S7686" i="1" s="1"/>
  <c r="M7686" i="1" a="1"/>
  <c r="M7686" i="1" s="1"/>
  <c r="N7686" i="1" a="1"/>
  <c r="N7686" i="1" s="1"/>
  <c r="O7686" i="1" a="1"/>
  <c r="O7686" i="1" s="1"/>
  <c r="Q7686" i="1" a="1"/>
  <c r="Q7686" i="1" s="1"/>
  <c r="J7686" i="1" a="1"/>
  <c r="J7686" i="1" s="1"/>
  <c r="R7686" i="1" a="1"/>
  <c r="R7686" i="1" s="1"/>
  <c r="I7686" i="1" a="1"/>
  <c r="I7686" i="1" s="1"/>
  <c r="Q6356" i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K7687" i="1" l="1" a="1"/>
  <c r="K7687" i="1" s="1"/>
  <c r="O7687" i="1" a="1"/>
  <c r="O7687" i="1" s="1"/>
  <c r="S7687" i="1" a="1"/>
  <c r="S7687" i="1" s="1"/>
  <c r="B7688" i="1"/>
  <c r="N7687" i="1" a="1"/>
  <c r="N7687" i="1" s="1"/>
  <c r="P7687" i="1" a="1"/>
  <c r="P7687" i="1" s="1"/>
  <c r="I7687" i="1" a="1"/>
  <c r="I7687" i="1" s="1"/>
  <c r="Q7687" i="1" a="1"/>
  <c r="Q7687" i="1" s="1"/>
  <c r="M7687" i="1" a="1"/>
  <c r="M7687" i="1" s="1"/>
  <c r="J7687" i="1" a="1"/>
  <c r="J7687" i="1" s="1"/>
  <c r="L7687" i="1" a="1"/>
  <c r="L7687" i="1" s="1"/>
  <c r="R7687" i="1" a="1"/>
  <c r="R7687" i="1" s="1"/>
  <c r="H7689" i="1"/>
  <c r="A7690" i="1"/>
  <c r="I6357" i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A7691" i="1" l="1"/>
  <c r="H7690" i="1"/>
  <c r="J7688" i="1" a="1"/>
  <c r="J7688" i="1" s="1"/>
  <c r="N7688" i="1" a="1"/>
  <c r="N7688" i="1" s="1"/>
  <c r="R7688" i="1" a="1"/>
  <c r="R7688" i="1" s="1"/>
  <c r="I7688" i="1" a="1"/>
  <c r="I7688" i="1" s="1"/>
  <c r="Q7688" i="1" a="1"/>
  <c r="Q7688" i="1" s="1"/>
  <c r="K7688" i="1" a="1"/>
  <c r="K7688" i="1" s="1"/>
  <c r="S7688" i="1" a="1"/>
  <c r="S7688" i="1" s="1"/>
  <c r="L7688" i="1" a="1"/>
  <c r="L7688" i="1" s="1"/>
  <c r="B7689" i="1"/>
  <c r="M7688" i="1" a="1"/>
  <c r="M7688" i="1" s="1"/>
  <c r="O7688" i="1" a="1"/>
  <c r="O7688" i="1" s="1"/>
  <c r="P7688" i="1" a="1"/>
  <c r="P7688" i="1" s="1"/>
  <c r="K6358" i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B7690" i="1" l="1"/>
  <c r="I7689" i="1" a="1"/>
  <c r="I7689" i="1" s="1"/>
  <c r="M7689" i="1" a="1"/>
  <c r="M7689" i="1" s="1"/>
  <c r="Q7689" i="1" a="1"/>
  <c r="Q7689" i="1" s="1"/>
  <c r="L7689" i="1" a="1"/>
  <c r="L7689" i="1" s="1"/>
  <c r="N7689" i="1" a="1"/>
  <c r="N7689" i="1" s="1"/>
  <c r="O7689" i="1" a="1"/>
  <c r="O7689" i="1" s="1"/>
  <c r="R7689" i="1" a="1"/>
  <c r="R7689" i="1" s="1"/>
  <c r="S7689" i="1" a="1"/>
  <c r="S7689" i="1" s="1"/>
  <c r="K7689" i="1" a="1"/>
  <c r="K7689" i="1" s="1"/>
  <c r="J7689" i="1" a="1"/>
  <c r="J7689" i="1" s="1"/>
  <c r="P7689" i="1" a="1"/>
  <c r="P7689" i="1" s="1"/>
  <c r="H7691" i="1"/>
  <c r="A7692" i="1"/>
  <c r="Q6359" i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A7693" i="1" l="1"/>
  <c r="H7692" i="1"/>
  <c r="L7690" i="1" a="1"/>
  <c r="L7690" i="1" s="1"/>
  <c r="P7690" i="1" a="1"/>
  <c r="P7690" i="1" s="1"/>
  <c r="B7691" i="1"/>
  <c r="O7690" i="1" a="1"/>
  <c r="O7690" i="1" s="1"/>
  <c r="I7690" i="1" a="1"/>
  <c r="I7690" i="1" s="1"/>
  <c r="Q7690" i="1" a="1"/>
  <c r="Q7690" i="1" s="1"/>
  <c r="J7690" i="1" a="1"/>
  <c r="J7690" i="1" s="1"/>
  <c r="R7690" i="1" a="1"/>
  <c r="R7690" i="1" s="1"/>
  <c r="K7690" i="1" a="1"/>
  <c r="K7690" i="1" s="1"/>
  <c r="S7690" i="1" a="1"/>
  <c r="S7690" i="1" s="1"/>
  <c r="M7690" i="1" a="1"/>
  <c r="M7690" i="1" s="1"/>
  <c r="N7690" i="1" a="1"/>
  <c r="N7690" i="1" s="1"/>
  <c r="Q6360" i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K7691" i="1" l="1" a="1"/>
  <c r="K7691" i="1" s="1"/>
  <c r="O7691" i="1" a="1"/>
  <c r="O7691" i="1" s="1"/>
  <c r="S7691" i="1" a="1"/>
  <c r="S7691" i="1" s="1"/>
  <c r="B7692" i="1"/>
  <c r="Q7691" i="1" a="1"/>
  <c r="Q7691" i="1" s="1"/>
  <c r="J7691" i="1" a="1"/>
  <c r="J7691" i="1" s="1"/>
  <c r="L7691" i="1" a="1"/>
  <c r="L7691" i="1" s="1"/>
  <c r="R7691" i="1" a="1"/>
  <c r="R7691" i="1" s="1"/>
  <c r="M7691" i="1" a="1"/>
  <c r="M7691" i="1" s="1"/>
  <c r="N7691" i="1" a="1"/>
  <c r="N7691" i="1" s="1"/>
  <c r="P7691" i="1" a="1"/>
  <c r="P7691" i="1" s="1"/>
  <c r="I7691" i="1" a="1"/>
  <c r="I7691" i="1" s="1"/>
  <c r="H7693" i="1"/>
  <c r="A7694" i="1"/>
  <c r="Q6361" i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H7694" i="1" l="1"/>
  <c r="A7695" i="1"/>
  <c r="J7692" i="1" a="1"/>
  <c r="J7692" i="1" s="1"/>
  <c r="N7692" i="1" a="1"/>
  <c r="N7692" i="1" s="1"/>
  <c r="R7692" i="1" a="1"/>
  <c r="R7692" i="1" s="1"/>
  <c r="K7692" i="1" a="1"/>
  <c r="K7692" i="1" s="1"/>
  <c r="Q7692" i="1" a="1"/>
  <c r="Q7692" i="1" s="1"/>
  <c r="L7692" i="1" a="1"/>
  <c r="L7692" i="1" s="1"/>
  <c r="S7692" i="1" a="1"/>
  <c r="S7692" i="1" s="1"/>
  <c r="M7692" i="1" a="1"/>
  <c r="M7692" i="1" s="1"/>
  <c r="P7692" i="1" a="1"/>
  <c r="P7692" i="1" s="1"/>
  <c r="B7693" i="1"/>
  <c r="I7692" i="1" a="1"/>
  <c r="I7692" i="1" s="1"/>
  <c r="O7692" i="1" a="1"/>
  <c r="O7692" i="1" s="1"/>
  <c r="K6362" i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B7694" i="1" l="1"/>
  <c r="I7693" i="1" a="1"/>
  <c r="I7693" i="1" s="1"/>
  <c r="M7693" i="1" a="1"/>
  <c r="M7693" i="1" s="1"/>
  <c r="Q7693" i="1" a="1"/>
  <c r="Q7693" i="1" s="1"/>
  <c r="J7693" i="1" a="1"/>
  <c r="J7693" i="1" s="1"/>
  <c r="O7693" i="1" a="1"/>
  <c r="O7693" i="1" s="1"/>
  <c r="K7693" i="1" a="1"/>
  <c r="K7693" i="1" s="1"/>
  <c r="P7693" i="1" a="1"/>
  <c r="P7693" i="1" s="1"/>
  <c r="L7693" i="1" a="1"/>
  <c r="L7693" i="1" s="1"/>
  <c r="R7693" i="1" a="1"/>
  <c r="R7693" i="1" s="1"/>
  <c r="S7693" i="1" a="1"/>
  <c r="S7693" i="1" s="1"/>
  <c r="N7693" i="1" a="1"/>
  <c r="N7693" i="1" s="1"/>
  <c r="H7695" i="1"/>
  <c r="A7696" i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H7696" i="1" l="1"/>
  <c r="A7697" i="1"/>
  <c r="L7694" i="1" a="1"/>
  <c r="L7694" i="1" s="1"/>
  <c r="Q7694" i="1" a="1"/>
  <c r="Q7694" i="1" s="1"/>
  <c r="M7694" i="1" a="1"/>
  <c r="M7694" i="1" s="1"/>
  <c r="N7694" i="1" a="1"/>
  <c r="N7694" i="1" s="1"/>
  <c r="I7694" i="1" a="1"/>
  <c r="I7694" i="1" s="1"/>
  <c r="R7694" i="1" a="1"/>
  <c r="R7694" i="1" s="1"/>
  <c r="S7694" i="1" a="1"/>
  <c r="S7694" i="1" s="1"/>
  <c r="O7694" i="1" a="1"/>
  <c r="O7694" i="1" s="1"/>
  <c r="J7694" i="1" a="1"/>
  <c r="J7694" i="1" s="1"/>
  <c r="B7695" i="1"/>
  <c r="P7694" i="1" a="1"/>
  <c r="P7694" i="1" s="1"/>
  <c r="K7694" i="1" a="1"/>
  <c r="K7694" i="1" s="1"/>
  <c r="K6364" i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H7697" i="1" l="1"/>
  <c r="A7698" i="1"/>
  <c r="Q7695" i="1" a="1"/>
  <c r="Q7695" i="1" s="1"/>
  <c r="J7695" i="1" a="1"/>
  <c r="J7695" i="1" s="1"/>
  <c r="M7695" i="1" a="1"/>
  <c r="M7695" i="1" s="1"/>
  <c r="I7695" i="1" a="1"/>
  <c r="I7695" i="1" s="1"/>
  <c r="R7695" i="1" a="1"/>
  <c r="R7695" i="1" s="1"/>
  <c r="O7695" i="1" a="1"/>
  <c r="O7695" i="1" s="1"/>
  <c r="N7695" i="1" a="1"/>
  <c r="N7695" i="1" s="1"/>
  <c r="S7695" i="1" a="1"/>
  <c r="S7695" i="1" s="1"/>
  <c r="B7696" i="1"/>
  <c r="K7695" i="1" a="1"/>
  <c r="K7695" i="1" s="1"/>
  <c r="L7695" i="1" a="1"/>
  <c r="L7695" i="1" s="1"/>
  <c r="P7695" i="1" a="1"/>
  <c r="P7695" i="1" s="1"/>
  <c r="K6365" i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M7696" i="1" l="1" a="1"/>
  <c r="M7696" i="1" s="1"/>
  <c r="R7696" i="1" a="1"/>
  <c r="R7696" i="1" s="1"/>
  <c r="K7696" i="1" a="1"/>
  <c r="K7696" i="1" s="1"/>
  <c r="I7696" i="1" a="1"/>
  <c r="I7696" i="1" s="1"/>
  <c r="N7696" i="1" a="1"/>
  <c r="N7696" i="1" s="1"/>
  <c r="J7696" i="1" a="1"/>
  <c r="J7696" i="1" s="1"/>
  <c r="S7696" i="1" a="1"/>
  <c r="S7696" i="1" s="1"/>
  <c r="O7696" i="1" a="1"/>
  <c r="O7696" i="1" s="1"/>
  <c r="Q7696" i="1" a="1"/>
  <c r="Q7696" i="1" s="1"/>
  <c r="L7696" i="1" a="1"/>
  <c r="L7696" i="1" s="1"/>
  <c r="P7696" i="1" a="1"/>
  <c r="P7696" i="1" s="1"/>
  <c r="B7697" i="1"/>
  <c r="A7699" i="1"/>
  <c r="H7698" i="1"/>
  <c r="K6366" i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A7700" i="1" l="1"/>
  <c r="H7699" i="1"/>
  <c r="B7698" i="1"/>
  <c r="N7697" i="1" a="1"/>
  <c r="N7697" i="1" s="1"/>
  <c r="P7697" i="1" a="1"/>
  <c r="P7697" i="1" s="1"/>
  <c r="J7697" i="1" a="1"/>
  <c r="J7697" i="1" s="1"/>
  <c r="S7697" i="1" a="1"/>
  <c r="S7697" i="1" s="1"/>
  <c r="O7697" i="1" a="1"/>
  <c r="O7697" i="1" s="1"/>
  <c r="K7697" i="1" a="1"/>
  <c r="K7697" i="1" s="1"/>
  <c r="Q7697" i="1" a="1"/>
  <c r="Q7697" i="1" s="1"/>
  <c r="L7697" i="1" a="1"/>
  <c r="L7697" i="1" s="1"/>
  <c r="R7697" i="1" a="1"/>
  <c r="R7697" i="1" s="1"/>
  <c r="M7697" i="1" a="1"/>
  <c r="M7697" i="1" s="1"/>
  <c r="I7697" i="1" a="1"/>
  <c r="I7697" i="1" s="1"/>
  <c r="K6367" i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J7698" i="1" l="1" a="1"/>
  <c r="J7698" i="1" s="1"/>
  <c r="S7698" i="1" a="1"/>
  <c r="S7698" i="1" s="1"/>
  <c r="O7698" i="1" a="1"/>
  <c r="O7698" i="1" s="1"/>
  <c r="K7698" i="1" a="1"/>
  <c r="K7698" i="1" s="1"/>
  <c r="P7698" i="1" a="1"/>
  <c r="P7698" i="1" s="1"/>
  <c r="B7699" i="1"/>
  <c r="L7698" i="1" a="1"/>
  <c r="L7698" i="1" s="1"/>
  <c r="Q7698" i="1" a="1"/>
  <c r="Q7698" i="1" s="1"/>
  <c r="N7698" i="1" a="1"/>
  <c r="N7698" i="1" s="1"/>
  <c r="R7698" i="1" a="1"/>
  <c r="R7698" i="1" s="1"/>
  <c r="M7698" i="1" a="1"/>
  <c r="M7698" i="1" s="1"/>
  <c r="I7698" i="1" a="1"/>
  <c r="I7698" i="1" s="1"/>
  <c r="H7700" i="1"/>
  <c r="A7701" i="1"/>
  <c r="K6368" i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H7701" i="1" l="1"/>
  <c r="A7702" i="1"/>
  <c r="K7699" i="1" a="1"/>
  <c r="K7699" i="1" s="1"/>
  <c r="P7699" i="1" a="1"/>
  <c r="P7699" i="1" s="1"/>
  <c r="B7700" i="1"/>
  <c r="L7699" i="1" a="1"/>
  <c r="L7699" i="1" s="1"/>
  <c r="M7699" i="1" a="1"/>
  <c r="M7699" i="1" s="1"/>
  <c r="Q7699" i="1" a="1"/>
  <c r="Q7699" i="1" s="1"/>
  <c r="N7699" i="1" a="1"/>
  <c r="N7699" i="1" s="1"/>
  <c r="O7699" i="1" a="1"/>
  <c r="O7699" i="1" s="1"/>
  <c r="J7699" i="1" a="1"/>
  <c r="J7699" i="1" s="1"/>
  <c r="R7699" i="1" a="1"/>
  <c r="R7699" i="1" s="1"/>
  <c r="S7699" i="1" a="1"/>
  <c r="S7699" i="1" s="1"/>
  <c r="I7699" i="1" a="1"/>
  <c r="I7699" i="1" s="1"/>
  <c r="Q6369" i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P7700" i="1" l="1" a="1"/>
  <c r="P7700" i="1" s="1"/>
  <c r="B7701" i="1"/>
  <c r="I7700" i="1" a="1"/>
  <c r="I7700" i="1" s="1"/>
  <c r="L7700" i="1" a="1"/>
  <c r="L7700" i="1" s="1"/>
  <c r="Q7700" i="1" a="1"/>
  <c r="Q7700" i="1" s="1"/>
  <c r="N7700" i="1" a="1"/>
  <c r="N7700" i="1" s="1"/>
  <c r="M7700" i="1" a="1"/>
  <c r="M7700" i="1" s="1"/>
  <c r="R7700" i="1" a="1"/>
  <c r="R7700" i="1" s="1"/>
  <c r="O7700" i="1" a="1"/>
  <c r="O7700" i="1" s="1"/>
  <c r="J7700" i="1" a="1"/>
  <c r="J7700" i="1" s="1"/>
  <c r="K7700" i="1" a="1"/>
  <c r="K7700" i="1" s="1"/>
  <c r="S7700" i="1" a="1"/>
  <c r="S7700" i="1" s="1"/>
  <c r="H7702" i="1"/>
  <c r="A7703" i="1"/>
  <c r="I6370" i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A7704" i="1" l="1"/>
  <c r="H7703" i="1"/>
  <c r="B7702" i="1"/>
  <c r="L7701" i="1" a="1"/>
  <c r="L7701" i="1" s="1"/>
  <c r="Q7701" i="1" a="1"/>
  <c r="Q7701" i="1" s="1"/>
  <c r="M7701" i="1" a="1"/>
  <c r="M7701" i="1" s="1"/>
  <c r="I7701" i="1" a="1"/>
  <c r="I7701" i="1" s="1"/>
  <c r="R7701" i="1" a="1"/>
  <c r="R7701" i="1" s="1"/>
  <c r="N7701" i="1" a="1"/>
  <c r="N7701" i="1" s="1"/>
  <c r="K7701" i="1" a="1"/>
  <c r="K7701" i="1" s="1"/>
  <c r="J7701" i="1" a="1"/>
  <c r="J7701" i="1" s="1"/>
  <c r="P7701" i="1" a="1"/>
  <c r="P7701" i="1" s="1"/>
  <c r="O7701" i="1" a="1"/>
  <c r="O7701" i="1" s="1"/>
  <c r="S7701" i="1" a="1"/>
  <c r="S7701" i="1" s="1"/>
  <c r="K6371" i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M7702" i="1" l="1" a="1"/>
  <c r="M7702" i="1" s="1"/>
  <c r="I7702" i="1" a="1"/>
  <c r="I7702" i="1" s="1"/>
  <c r="R7702" i="1" a="1"/>
  <c r="R7702" i="1" s="1"/>
  <c r="N7702" i="1" a="1"/>
  <c r="N7702" i="1" s="1"/>
  <c r="J7702" i="1" a="1"/>
  <c r="J7702" i="1" s="1"/>
  <c r="S7702" i="1" a="1"/>
  <c r="S7702" i="1" s="1"/>
  <c r="Q7702" i="1" a="1"/>
  <c r="Q7702" i="1" s="1"/>
  <c r="O7702" i="1" a="1"/>
  <c r="O7702" i="1" s="1"/>
  <c r="K7702" i="1" a="1"/>
  <c r="K7702" i="1" s="1"/>
  <c r="B7703" i="1"/>
  <c r="P7702" i="1" a="1"/>
  <c r="P7702" i="1" s="1"/>
  <c r="L7702" i="1" a="1"/>
  <c r="L7702" i="1" s="1"/>
  <c r="A7705" i="1"/>
  <c r="H7704" i="1"/>
  <c r="K6372" i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H7705" i="1" l="1"/>
  <c r="A7706" i="1"/>
  <c r="I7703" i="1" a="1"/>
  <c r="I7703" i="1" s="1"/>
  <c r="R7703" i="1" a="1"/>
  <c r="R7703" i="1" s="1"/>
  <c r="N7703" i="1" a="1"/>
  <c r="N7703" i="1" s="1"/>
  <c r="S7703" i="1" a="1"/>
  <c r="S7703" i="1" s="1"/>
  <c r="J7703" i="1" a="1"/>
  <c r="J7703" i="1" s="1"/>
  <c r="O7703" i="1" a="1"/>
  <c r="O7703" i="1" s="1"/>
  <c r="K7703" i="1" a="1"/>
  <c r="K7703" i="1" s="1"/>
  <c r="M7703" i="1" a="1"/>
  <c r="M7703" i="1" s="1"/>
  <c r="P7703" i="1" a="1"/>
  <c r="P7703" i="1" s="1"/>
  <c r="L7703" i="1" a="1"/>
  <c r="L7703" i="1" s="1"/>
  <c r="Q7703" i="1" a="1"/>
  <c r="Q7703" i="1" s="1"/>
  <c r="B7704" i="1"/>
  <c r="Q6373" i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J7704" i="1" l="1" a="1"/>
  <c r="J7704" i="1" s="1"/>
  <c r="S7704" i="1" a="1"/>
  <c r="S7704" i="1" s="1"/>
  <c r="O7704" i="1" a="1"/>
  <c r="O7704" i="1" s="1"/>
  <c r="K7704" i="1" a="1"/>
  <c r="K7704" i="1" s="1"/>
  <c r="P7704" i="1" a="1"/>
  <c r="P7704" i="1" s="1"/>
  <c r="B7705" i="1"/>
  <c r="R7704" i="1" a="1"/>
  <c r="R7704" i="1" s="1"/>
  <c r="I7704" i="1" a="1"/>
  <c r="I7704" i="1" s="1"/>
  <c r="N7704" i="1" a="1"/>
  <c r="N7704" i="1" s="1"/>
  <c r="Q7704" i="1" a="1"/>
  <c r="Q7704" i="1" s="1"/>
  <c r="L7704" i="1" a="1"/>
  <c r="L7704" i="1" s="1"/>
  <c r="M7704" i="1" a="1"/>
  <c r="M7704" i="1" s="1"/>
  <c r="H7706" i="1"/>
  <c r="A7707" i="1"/>
  <c r="K6374" i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B7706" i="1" l="1"/>
  <c r="O7705" i="1" a="1"/>
  <c r="O7705" i="1" s="1"/>
  <c r="K7705" i="1" a="1"/>
  <c r="K7705" i="1" s="1"/>
  <c r="P7705" i="1" a="1"/>
  <c r="P7705" i="1" s="1"/>
  <c r="L7705" i="1" a="1"/>
  <c r="L7705" i="1" s="1"/>
  <c r="Q7705" i="1" a="1"/>
  <c r="Q7705" i="1" s="1"/>
  <c r="N7705" i="1" a="1"/>
  <c r="N7705" i="1" s="1"/>
  <c r="M7705" i="1" a="1"/>
  <c r="M7705" i="1" s="1"/>
  <c r="J7705" i="1" a="1"/>
  <c r="J7705" i="1" s="1"/>
  <c r="I7705" i="1" a="1"/>
  <c r="I7705" i="1" s="1"/>
  <c r="R7705" i="1" a="1"/>
  <c r="R7705" i="1" s="1"/>
  <c r="S7705" i="1" a="1"/>
  <c r="S7705" i="1" s="1"/>
  <c r="H7707" i="1"/>
  <c r="A7708" i="1"/>
  <c r="K6375" i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H7708" i="1" l="1"/>
  <c r="A7709" i="1"/>
  <c r="K7706" i="1" a="1"/>
  <c r="K7706" i="1" s="1"/>
  <c r="P7706" i="1" a="1"/>
  <c r="P7706" i="1" s="1"/>
  <c r="B7707" i="1"/>
  <c r="L7706" i="1" a="1"/>
  <c r="L7706" i="1" s="1"/>
  <c r="Q7706" i="1" a="1"/>
  <c r="Q7706" i="1" s="1"/>
  <c r="M7706" i="1" a="1"/>
  <c r="M7706" i="1" s="1"/>
  <c r="J7706" i="1" a="1"/>
  <c r="J7706" i="1" s="1"/>
  <c r="S7706" i="1" a="1"/>
  <c r="S7706" i="1" s="1"/>
  <c r="O7706" i="1" a="1"/>
  <c r="O7706" i="1" s="1"/>
  <c r="R7706" i="1" a="1"/>
  <c r="R7706" i="1" s="1"/>
  <c r="N7706" i="1" a="1"/>
  <c r="N7706" i="1" s="1"/>
  <c r="I7706" i="1" a="1"/>
  <c r="I7706" i="1" s="1"/>
  <c r="Q6376" i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L7707" i="1" l="1" a="1"/>
  <c r="L7707" i="1" s="1"/>
  <c r="Q7707" i="1" a="1"/>
  <c r="Q7707" i="1" s="1"/>
  <c r="M7707" i="1" a="1"/>
  <c r="M7707" i="1" s="1"/>
  <c r="I7707" i="1" a="1"/>
  <c r="I7707" i="1" s="1"/>
  <c r="R7707" i="1" a="1"/>
  <c r="R7707" i="1" s="1"/>
  <c r="P7707" i="1" a="1"/>
  <c r="P7707" i="1" s="1"/>
  <c r="B7708" i="1"/>
  <c r="S7707" i="1" a="1"/>
  <c r="S7707" i="1" s="1"/>
  <c r="J7707" i="1" a="1"/>
  <c r="J7707" i="1" s="1"/>
  <c r="K7707" i="1" a="1"/>
  <c r="K7707" i="1" s="1"/>
  <c r="N7707" i="1" a="1"/>
  <c r="N7707" i="1" s="1"/>
  <c r="O7707" i="1" a="1"/>
  <c r="O7707" i="1" s="1"/>
  <c r="H7709" i="1"/>
  <c r="A7710" i="1"/>
  <c r="K6377" i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Q7708" i="1" l="1" a="1"/>
  <c r="Q7708" i="1" s="1"/>
  <c r="R7708" i="1" a="1"/>
  <c r="R7708" i="1" s="1"/>
  <c r="M7708" i="1" a="1"/>
  <c r="M7708" i="1" s="1"/>
  <c r="I7708" i="1" a="1"/>
  <c r="I7708" i="1" s="1"/>
  <c r="N7708" i="1" a="1"/>
  <c r="N7708" i="1" s="1"/>
  <c r="J7708" i="1" a="1"/>
  <c r="J7708" i="1" s="1"/>
  <c r="S7708" i="1" a="1"/>
  <c r="S7708" i="1" s="1"/>
  <c r="B7709" i="1"/>
  <c r="L7708" i="1" a="1"/>
  <c r="L7708" i="1" s="1"/>
  <c r="K7708" i="1" a="1"/>
  <c r="K7708" i="1" s="1"/>
  <c r="O7708" i="1" a="1"/>
  <c r="O7708" i="1" s="1"/>
  <c r="P7708" i="1" a="1"/>
  <c r="P7708" i="1" s="1"/>
  <c r="A7711" i="1"/>
  <c r="H7710" i="1"/>
  <c r="K6378" i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B7710" i="1" l="1"/>
  <c r="I7709" i="1" a="1"/>
  <c r="I7709" i="1" s="1"/>
  <c r="R7709" i="1" a="1"/>
  <c r="R7709" i="1" s="1"/>
  <c r="N7709" i="1" a="1"/>
  <c r="N7709" i="1" s="1"/>
  <c r="J7709" i="1" a="1"/>
  <c r="J7709" i="1" s="1"/>
  <c r="S7709" i="1" a="1"/>
  <c r="S7709" i="1" s="1"/>
  <c r="O7709" i="1" a="1"/>
  <c r="O7709" i="1" s="1"/>
  <c r="Q7709" i="1" a="1"/>
  <c r="Q7709" i="1" s="1"/>
  <c r="K7709" i="1" a="1"/>
  <c r="K7709" i="1" s="1"/>
  <c r="P7709" i="1" a="1"/>
  <c r="P7709" i="1" s="1"/>
  <c r="L7709" i="1" a="1"/>
  <c r="L7709" i="1" s="1"/>
  <c r="M7709" i="1" a="1"/>
  <c r="M7709" i="1" s="1"/>
  <c r="A7712" i="1"/>
  <c r="H7711" i="1"/>
  <c r="I6379" i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A7713" i="1" l="1"/>
  <c r="H7712" i="1"/>
  <c r="N7710" i="1" a="1"/>
  <c r="N7710" i="1" s="1"/>
  <c r="S7710" i="1" a="1"/>
  <c r="S7710" i="1" s="1"/>
  <c r="J7710" i="1" a="1"/>
  <c r="J7710" i="1" s="1"/>
  <c r="O7710" i="1" a="1"/>
  <c r="O7710" i="1" s="1"/>
  <c r="K7710" i="1" a="1"/>
  <c r="K7710" i="1" s="1"/>
  <c r="P7710" i="1" a="1"/>
  <c r="P7710" i="1" s="1"/>
  <c r="B7711" i="1"/>
  <c r="M7710" i="1" a="1"/>
  <c r="M7710" i="1" s="1"/>
  <c r="I7710" i="1" a="1"/>
  <c r="I7710" i="1" s="1"/>
  <c r="L7710" i="1" a="1"/>
  <c r="L7710" i="1" s="1"/>
  <c r="Q7710" i="1" a="1"/>
  <c r="Q7710" i="1" s="1"/>
  <c r="R7710" i="1" a="1"/>
  <c r="R7710" i="1" s="1"/>
  <c r="K6380" i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J7711" i="1" l="1" a="1"/>
  <c r="J7711" i="1" s="1"/>
  <c r="O7711" i="1" a="1"/>
  <c r="O7711" i="1" s="1"/>
  <c r="K7711" i="1" a="1"/>
  <c r="K7711" i="1" s="1"/>
  <c r="P7711" i="1" a="1"/>
  <c r="P7711" i="1" s="1"/>
  <c r="B7712" i="1"/>
  <c r="L7711" i="1" a="1"/>
  <c r="L7711" i="1" s="1"/>
  <c r="I7711" i="1" a="1"/>
  <c r="I7711" i="1" s="1"/>
  <c r="R7711" i="1" a="1"/>
  <c r="R7711" i="1" s="1"/>
  <c r="S7711" i="1" a="1"/>
  <c r="S7711" i="1" s="1"/>
  <c r="Q7711" i="1" a="1"/>
  <c r="Q7711" i="1" s="1"/>
  <c r="N7711" i="1" a="1"/>
  <c r="N7711" i="1" s="1"/>
  <c r="M7711" i="1" a="1"/>
  <c r="M7711" i="1" s="1"/>
  <c r="H7713" i="1"/>
  <c r="A7714" i="1"/>
  <c r="Q6381" i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H7714" i="1" l="1"/>
  <c r="A7715" i="1"/>
  <c r="K7712" i="1" a="1"/>
  <c r="K7712" i="1" s="1"/>
  <c r="P7712" i="1" a="1"/>
  <c r="P7712" i="1" s="1"/>
  <c r="B7713" i="1"/>
  <c r="L7712" i="1" a="1"/>
  <c r="L7712" i="1" s="1"/>
  <c r="Q7712" i="1" a="1"/>
  <c r="Q7712" i="1" s="1"/>
  <c r="O7712" i="1" a="1"/>
  <c r="O7712" i="1" s="1"/>
  <c r="N7712" i="1" a="1"/>
  <c r="N7712" i="1" s="1"/>
  <c r="R7712" i="1" a="1"/>
  <c r="R7712" i="1" s="1"/>
  <c r="I7712" i="1" a="1"/>
  <c r="I7712" i="1" s="1"/>
  <c r="J7712" i="1" a="1"/>
  <c r="J7712" i="1" s="1"/>
  <c r="S7712" i="1" a="1"/>
  <c r="S7712" i="1" s="1"/>
  <c r="M7712" i="1" a="1"/>
  <c r="M7712" i="1" s="1"/>
  <c r="K6382" i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B7714" i="1" l="1"/>
  <c r="P7713" i="1" a="1"/>
  <c r="P7713" i="1" s="1"/>
  <c r="Q7713" i="1" a="1"/>
  <c r="Q7713" i="1" s="1"/>
  <c r="L7713" i="1" a="1"/>
  <c r="L7713" i="1" s="1"/>
  <c r="M7713" i="1" a="1"/>
  <c r="M7713" i="1" s="1"/>
  <c r="I7713" i="1" a="1"/>
  <c r="I7713" i="1" s="1"/>
  <c r="R7713" i="1" a="1"/>
  <c r="R7713" i="1" s="1"/>
  <c r="K7713" i="1" a="1"/>
  <c r="K7713" i="1" s="1"/>
  <c r="N7713" i="1" a="1"/>
  <c r="N7713" i="1" s="1"/>
  <c r="J7713" i="1" a="1"/>
  <c r="J7713" i="1" s="1"/>
  <c r="S7713" i="1" a="1"/>
  <c r="S7713" i="1" s="1"/>
  <c r="O7713" i="1" a="1"/>
  <c r="O7713" i="1" s="1"/>
  <c r="H7715" i="1"/>
  <c r="A7716" i="1"/>
  <c r="K6383" i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A7717" i="1" l="1"/>
  <c r="H7716" i="1"/>
  <c r="Q7714" i="1" a="1"/>
  <c r="Q7714" i="1" s="1"/>
  <c r="M7714" i="1" a="1"/>
  <c r="M7714" i="1" s="1"/>
  <c r="I7714" i="1" a="1"/>
  <c r="I7714" i="1" s="1"/>
  <c r="R7714" i="1" a="1"/>
  <c r="R7714" i="1" s="1"/>
  <c r="N7714" i="1" a="1"/>
  <c r="N7714" i="1" s="1"/>
  <c r="P7714" i="1" a="1"/>
  <c r="P7714" i="1" s="1"/>
  <c r="L7714" i="1" a="1"/>
  <c r="L7714" i="1" s="1"/>
  <c r="S7714" i="1" a="1"/>
  <c r="S7714" i="1" s="1"/>
  <c r="J7714" i="1" a="1"/>
  <c r="J7714" i="1" s="1"/>
  <c r="K7714" i="1" a="1"/>
  <c r="K7714" i="1" s="1"/>
  <c r="B7715" i="1"/>
  <c r="O7714" i="1" a="1"/>
  <c r="O7714" i="1" s="1"/>
  <c r="Q6384" i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M7715" i="1" l="1" a="1"/>
  <c r="M7715" i="1" s="1"/>
  <c r="I7715" i="1" a="1"/>
  <c r="I7715" i="1" s="1"/>
  <c r="R7715" i="1" a="1"/>
  <c r="R7715" i="1" s="1"/>
  <c r="N7715" i="1" a="1"/>
  <c r="N7715" i="1" s="1"/>
  <c r="S7715" i="1" a="1"/>
  <c r="S7715" i="1" s="1"/>
  <c r="J7715" i="1" a="1"/>
  <c r="J7715" i="1" s="1"/>
  <c r="O7715" i="1" a="1"/>
  <c r="O7715" i="1" s="1"/>
  <c r="L7715" i="1" a="1"/>
  <c r="L7715" i="1" s="1"/>
  <c r="B7716" i="1"/>
  <c r="Q7715" i="1" a="1"/>
  <c r="Q7715" i="1" s="1"/>
  <c r="P7715" i="1" a="1"/>
  <c r="P7715" i="1" s="1"/>
  <c r="K7715" i="1" a="1"/>
  <c r="K7715" i="1" s="1"/>
  <c r="H7717" i="1"/>
  <c r="A7718" i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A7719" i="1" l="1"/>
  <c r="H7718" i="1"/>
  <c r="I7716" i="1" a="1"/>
  <c r="I7716" i="1" s="1"/>
  <c r="N7716" i="1" a="1"/>
  <c r="N7716" i="1" s="1"/>
  <c r="J7716" i="1" a="1"/>
  <c r="J7716" i="1" s="1"/>
  <c r="S7716" i="1" a="1"/>
  <c r="S7716" i="1" s="1"/>
  <c r="O7716" i="1" a="1"/>
  <c r="O7716" i="1" s="1"/>
  <c r="K7716" i="1" a="1"/>
  <c r="K7716" i="1" s="1"/>
  <c r="Q7716" i="1" a="1"/>
  <c r="Q7716" i="1" s="1"/>
  <c r="R7716" i="1" a="1"/>
  <c r="R7716" i="1" s="1"/>
  <c r="P7716" i="1" a="1"/>
  <c r="P7716" i="1" s="1"/>
  <c r="M7716" i="1" a="1"/>
  <c r="M7716" i="1" s="1"/>
  <c r="B7717" i="1"/>
  <c r="L7716" i="1" a="1"/>
  <c r="L7716" i="1" s="1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B7718" i="1" l="1"/>
  <c r="J7717" i="1" a="1"/>
  <c r="J7717" i="1" s="1"/>
  <c r="S7717" i="1" a="1"/>
  <c r="S7717" i="1" s="1"/>
  <c r="O7717" i="1" a="1"/>
  <c r="O7717" i="1" s="1"/>
  <c r="K7717" i="1" a="1"/>
  <c r="K7717" i="1" s="1"/>
  <c r="P7717" i="1" a="1"/>
  <c r="P7717" i="1" s="1"/>
  <c r="N7717" i="1" a="1"/>
  <c r="N7717" i="1" s="1"/>
  <c r="Q7717" i="1" a="1"/>
  <c r="Q7717" i="1" s="1"/>
  <c r="I7717" i="1" a="1"/>
  <c r="I7717" i="1" s="1"/>
  <c r="R7717" i="1" a="1"/>
  <c r="R7717" i="1" s="1"/>
  <c r="L7717" i="1" a="1"/>
  <c r="L7717" i="1" s="1"/>
  <c r="M7717" i="1" a="1"/>
  <c r="M7717" i="1" s="1"/>
  <c r="H7719" i="1"/>
  <c r="A7720" i="1"/>
  <c r="I6387" i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H7720" i="1" l="1"/>
  <c r="A7721" i="1"/>
  <c r="O7718" i="1" a="1"/>
  <c r="O7718" i="1" s="1"/>
  <c r="K7718" i="1" a="1"/>
  <c r="K7718" i="1" s="1"/>
  <c r="P7718" i="1" a="1"/>
  <c r="P7718" i="1" s="1"/>
  <c r="B7719" i="1"/>
  <c r="L7718" i="1" a="1"/>
  <c r="L7718" i="1" s="1"/>
  <c r="Q7718" i="1" a="1"/>
  <c r="Q7718" i="1" s="1"/>
  <c r="J7718" i="1" a="1"/>
  <c r="J7718" i="1" s="1"/>
  <c r="S7718" i="1" a="1"/>
  <c r="S7718" i="1" s="1"/>
  <c r="R7718" i="1" a="1"/>
  <c r="R7718" i="1" s="1"/>
  <c r="M7718" i="1" a="1"/>
  <c r="M7718" i="1" s="1"/>
  <c r="I7718" i="1" a="1"/>
  <c r="I7718" i="1" s="1"/>
  <c r="N7718" i="1" a="1"/>
  <c r="N7718" i="1" s="1"/>
  <c r="K6388" i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P7719" i="1" l="1" a="1"/>
  <c r="P7719" i="1" s="1"/>
  <c r="B7720" i="1"/>
  <c r="L7719" i="1" a="1"/>
  <c r="L7719" i="1" s="1"/>
  <c r="Q7719" i="1" a="1"/>
  <c r="Q7719" i="1" s="1"/>
  <c r="M7719" i="1" a="1"/>
  <c r="M7719" i="1" s="1"/>
  <c r="O7719" i="1" a="1"/>
  <c r="O7719" i="1" s="1"/>
  <c r="I7719" i="1" a="1"/>
  <c r="I7719" i="1" s="1"/>
  <c r="R7719" i="1" a="1"/>
  <c r="R7719" i="1" s="1"/>
  <c r="S7719" i="1" a="1"/>
  <c r="S7719" i="1" s="1"/>
  <c r="K7719" i="1" a="1"/>
  <c r="K7719" i="1" s="1"/>
  <c r="N7719" i="1" a="1"/>
  <c r="N7719" i="1" s="1"/>
  <c r="J7719" i="1" a="1"/>
  <c r="J7719" i="1" s="1"/>
  <c r="H7721" i="1"/>
  <c r="A7722" i="1"/>
  <c r="K6389" i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A7723" i="1" l="1"/>
  <c r="H7722" i="1"/>
  <c r="L7720" i="1" a="1"/>
  <c r="L7720" i="1" s="1"/>
  <c r="Q7720" i="1" a="1"/>
  <c r="Q7720" i="1" s="1"/>
  <c r="M7720" i="1" a="1"/>
  <c r="M7720" i="1" s="1"/>
  <c r="R7720" i="1" a="1"/>
  <c r="R7720" i="1" s="1"/>
  <c r="I7720" i="1" a="1"/>
  <c r="I7720" i="1" s="1"/>
  <c r="N7720" i="1" a="1"/>
  <c r="N7720" i="1" s="1"/>
  <c r="K7720" i="1" a="1"/>
  <c r="K7720" i="1" s="1"/>
  <c r="B7721" i="1"/>
  <c r="P7720" i="1" a="1"/>
  <c r="P7720" i="1" s="1"/>
  <c r="S7720" i="1" a="1"/>
  <c r="S7720" i="1" s="1"/>
  <c r="O7720" i="1" a="1"/>
  <c r="O7720" i="1" s="1"/>
  <c r="J7720" i="1" a="1"/>
  <c r="J7720" i="1" s="1"/>
  <c r="Q6390" i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B7722" i="1" l="1"/>
  <c r="M7721" i="1" a="1"/>
  <c r="M7721" i="1" s="1"/>
  <c r="I7721" i="1" a="1"/>
  <c r="I7721" i="1" s="1"/>
  <c r="R7721" i="1" a="1"/>
  <c r="R7721" i="1" s="1"/>
  <c r="N7721" i="1" a="1"/>
  <c r="N7721" i="1" s="1"/>
  <c r="J7721" i="1" a="1"/>
  <c r="J7721" i="1" s="1"/>
  <c r="S7721" i="1" a="1"/>
  <c r="S7721" i="1" s="1"/>
  <c r="P7721" i="1" a="1"/>
  <c r="P7721" i="1" s="1"/>
  <c r="Q7721" i="1" a="1"/>
  <c r="Q7721" i="1" s="1"/>
  <c r="O7721" i="1" a="1"/>
  <c r="O7721" i="1" s="1"/>
  <c r="L7721" i="1" a="1"/>
  <c r="L7721" i="1" s="1"/>
  <c r="K7721" i="1" a="1"/>
  <c r="K7721" i="1" s="1"/>
  <c r="A7724" i="1"/>
  <c r="H7723" i="1"/>
  <c r="K6391" i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A7725" i="1" l="1"/>
  <c r="H7724" i="1"/>
  <c r="I7722" i="1" a="1"/>
  <c r="I7722" i="1" s="1"/>
  <c r="R7722" i="1" a="1"/>
  <c r="R7722" i="1" s="1"/>
  <c r="N7722" i="1" a="1"/>
  <c r="N7722" i="1" s="1"/>
  <c r="J7722" i="1" a="1"/>
  <c r="J7722" i="1" s="1"/>
  <c r="S7722" i="1" a="1"/>
  <c r="S7722" i="1" s="1"/>
  <c r="O7722" i="1" a="1"/>
  <c r="O7722" i="1" s="1"/>
  <c r="B7723" i="1"/>
  <c r="M7722" i="1" a="1"/>
  <c r="M7722" i="1" s="1"/>
  <c r="P7722" i="1" a="1"/>
  <c r="P7722" i="1" s="1"/>
  <c r="L7722" i="1" a="1"/>
  <c r="L7722" i="1" s="1"/>
  <c r="Q7722" i="1" a="1"/>
  <c r="Q7722" i="1" s="1"/>
  <c r="K7722" i="1" a="1"/>
  <c r="K7722" i="1" s="1"/>
  <c r="Q6392" i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N7723" i="1" l="1" a="1"/>
  <c r="N7723" i="1" s="1"/>
  <c r="S7723" i="1" a="1"/>
  <c r="S7723" i="1" s="1"/>
  <c r="O7723" i="1" a="1"/>
  <c r="O7723" i="1" s="1"/>
  <c r="J7723" i="1" a="1"/>
  <c r="J7723" i="1" s="1"/>
  <c r="K7723" i="1" a="1"/>
  <c r="K7723" i="1" s="1"/>
  <c r="P7723" i="1" a="1"/>
  <c r="P7723" i="1" s="1"/>
  <c r="B7724" i="1"/>
  <c r="I7723" i="1" a="1"/>
  <c r="I7723" i="1" s="1"/>
  <c r="R7723" i="1" a="1"/>
  <c r="R7723" i="1" s="1"/>
  <c r="L7723" i="1" a="1"/>
  <c r="L7723" i="1" s="1"/>
  <c r="M7723" i="1" a="1"/>
  <c r="M7723" i="1" s="1"/>
  <c r="Q7723" i="1" a="1"/>
  <c r="Q7723" i="1" s="1"/>
  <c r="H7725" i="1"/>
  <c r="A7726" i="1"/>
  <c r="K6393" i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O7724" i="1" l="1" a="1"/>
  <c r="O7724" i="1" s="1"/>
  <c r="K7724" i="1" a="1"/>
  <c r="K7724" i="1" s="1"/>
  <c r="P7724" i="1" a="1"/>
  <c r="P7724" i="1" s="1"/>
  <c r="B7725" i="1"/>
  <c r="L7724" i="1" a="1"/>
  <c r="L7724" i="1" s="1"/>
  <c r="N7724" i="1" a="1"/>
  <c r="N7724" i="1" s="1"/>
  <c r="M7724" i="1" a="1"/>
  <c r="M7724" i="1" s="1"/>
  <c r="Q7724" i="1" a="1"/>
  <c r="Q7724" i="1" s="1"/>
  <c r="J7724" i="1" a="1"/>
  <c r="J7724" i="1" s="1"/>
  <c r="R7724" i="1" a="1"/>
  <c r="R7724" i="1" s="1"/>
  <c r="S7724" i="1" a="1"/>
  <c r="S7724" i="1" s="1"/>
  <c r="I7724" i="1" a="1"/>
  <c r="I7724" i="1" s="1"/>
  <c r="H7726" i="1"/>
  <c r="A7727" i="1"/>
  <c r="J6394" i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H7727" i="1" l="1"/>
  <c r="A7728" i="1"/>
  <c r="B7726" i="1"/>
  <c r="K7725" i="1" a="1"/>
  <c r="K7725" i="1" s="1"/>
  <c r="P7725" i="1" a="1"/>
  <c r="P7725" i="1" s="1"/>
  <c r="L7725" i="1" a="1"/>
  <c r="L7725" i="1" s="1"/>
  <c r="Q7725" i="1" a="1"/>
  <c r="Q7725" i="1" s="1"/>
  <c r="M7725" i="1" a="1"/>
  <c r="M7725" i="1" s="1"/>
  <c r="J7725" i="1" a="1"/>
  <c r="J7725" i="1" s="1"/>
  <c r="S7725" i="1" a="1"/>
  <c r="S7725" i="1" s="1"/>
  <c r="O7725" i="1" a="1"/>
  <c r="O7725" i="1" s="1"/>
  <c r="R7725" i="1" a="1"/>
  <c r="R7725" i="1" s="1"/>
  <c r="N7725" i="1" a="1"/>
  <c r="N7725" i="1" s="1"/>
  <c r="I7725" i="1" a="1"/>
  <c r="I7725" i="1" s="1"/>
  <c r="Q6395" i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H7728" i="1" l="1"/>
  <c r="A7729" i="1"/>
  <c r="L7726" i="1" a="1"/>
  <c r="L7726" i="1" s="1"/>
  <c r="Q7726" i="1" a="1"/>
  <c r="Q7726" i="1" s="1"/>
  <c r="M7726" i="1" a="1"/>
  <c r="M7726" i="1" s="1"/>
  <c r="I7726" i="1" a="1"/>
  <c r="I7726" i="1" s="1"/>
  <c r="R7726" i="1" a="1"/>
  <c r="R7726" i="1" s="1"/>
  <c r="O7726" i="1" a="1"/>
  <c r="O7726" i="1" s="1"/>
  <c r="P7726" i="1" a="1"/>
  <c r="P7726" i="1" s="1"/>
  <c r="B7727" i="1"/>
  <c r="S7726" i="1" a="1"/>
  <c r="S7726" i="1" s="1"/>
  <c r="J7726" i="1" a="1"/>
  <c r="J7726" i="1" s="1"/>
  <c r="K7726" i="1" a="1"/>
  <c r="K7726" i="1" s="1"/>
  <c r="N7726" i="1" a="1"/>
  <c r="N7726" i="1" s="1"/>
  <c r="K6396" i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Q7727" i="1" l="1" a="1"/>
  <c r="Q7727" i="1" s="1"/>
  <c r="M7727" i="1" a="1"/>
  <c r="M7727" i="1" s="1"/>
  <c r="I7727" i="1" a="1"/>
  <c r="I7727" i="1" s="1"/>
  <c r="R7727" i="1" a="1"/>
  <c r="R7727" i="1" s="1"/>
  <c r="N7727" i="1" a="1"/>
  <c r="N7727" i="1" s="1"/>
  <c r="S7727" i="1" a="1"/>
  <c r="S7727" i="1" s="1"/>
  <c r="B7728" i="1"/>
  <c r="L7727" i="1" a="1"/>
  <c r="L7727" i="1" s="1"/>
  <c r="O7727" i="1" a="1"/>
  <c r="O7727" i="1" s="1"/>
  <c r="J7727" i="1" a="1"/>
  <c r="J7727" i="1" s="1"/>
  <c r="P7727" i="1" a="1"/>
  <c r="P7727" i="1" s="1"/>
  <c r="K7727" i="1" a="1"/>
  <c r="K7727" i="1" s="1"/>
  <c r="H7729" i="1"/>
  <c r="A7730" i="1"/>
  <c r="I6397" i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M7728" i="1" l="1" a="1"/>
  <c r="M7728" i="1" s="1"/>
  <c r="R7728" i="1" a="1"/>
  <c r="R7728" i="1" s="1"/>
  <c r="I7728" i="1" a="1"/>
  <c r="I7728" i="1" s="1"/>
  <c r="N7728" i="1" a="1"/>
  <c r="N7728" i="1" s="1"/>
  <c r="J7728" i="1" a="1"/>
  <c r="J7728" i="1" s="1"/>
  <c r="S7728" i="1" a="1"/>
  <c r="S7728" i="1" s="1"/>
  <c r="O7728" i="1" a="1"/>
  <c r="O7728" i="1" s="1"/>
  <c r="Q7728" i="1" a="1"/>
  <c r="Q7728" i="1" s="1"/>
  <c r="K7728" i="1" a="1"/>
  <c r="K7728" i="1" s="1"/>
  <c r="B7729" i="1"/>
  <c r="P7728" i="1" a="1"/>
  <c r="P7728" i="1" s="1"/>
  <c r="L7728" i="1" a="1"/>
  <c r="L7728" i="1" s="1"/>
  <c r="A7731" i="1"/>
  <c r="H7730" i="1"/>
  <c r="L6398" i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A7732" i="1" l="1"/>
  <c r="H7731" i="1"/>
  <c r="B7730" i="1"/>
  <c r="N7729" i="1" a="1"/>
  <c r="N7729" i="1" s="1"/>
  <c r="S7729" i="1" a="1"/>
  <c r="S7729" i="1" s="1"/>
  <c r="J7729" i="1" a="1"/>
  <c r="J7729" i="1" s="1"/>
  <c r="O7729" i="1" a="1"/>
  <c r="O7729" i="1" s="1"/>
  <c r="K7729" i="1" a="1"/>
  <c r="K7729" i="1" s="1"/>
  <c r="M7729" i="1" a="1"/>
  <c r="M7729" i="1" s="1"/>
  <c r="P7729" i="1" a="1"/>
  <c r="P7729" i="1" s="1"/>
  <c r="Q7729" i="1" a="1"/>
  <c r="Q7729" i="1" s="1"/>
  <c r="L7729" i="1" a="1"/>
  <c r="L7729" i="1" s="1"/>
  <c r="I7729" i="1" a="1"/>
  <c r="I7729" i="1" s="1"/>
  <c r="R7729" i="1" a="1"/>
  <c r="R7729" i="1" s="1"/>
  <c r="Q6399" i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J7730" i="1" l="1" a="1"/>
  <c r="J7730" i="1" s="1"/>
  <c r="S7730" i="1" a="1"/>
  <c r="S7730" i="1" s="1"/>
  <c r="O7730" i="1" a="1"/>
  <c r="O7730" i="1" s="1"/>
  <c r="P7730" i="1" a="1"/>
  <c r="P7730" i="1" s="1"/>
  <c r="K7730" i="1" a="1"/>
  <c r="K7730" i="1" s="1"/>
  <c r="B7731" i="1"/>
  <c r="L7730" i="1" a="1"/>
  <c r="L7730" i="1" s="1"/>
  <c r="I7730" i="1" a="1"/>
  <c r="I7730" i="1" s="1"/>
  <c r="R7730" i="1" a="1"/>
  <c r="R7730" i="1" s="1"/>
  <c r="N7730" i="1" a="1"/>
  <c r="N7730" i="1" s="1"/>
  <c r="M7730" i="1" a="1"/>
  <c r="M7730" i="1" s="1"/>
  <c r="Q7730" i="1" a="1"/>
  <c r="Q7730" i="1" s="1"/>
  <c r="H7732" i="1"/>
  <c r="A7733" i="1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H7733" i="1" l="1"/>
  <c r="A7734" i="1"/>
  <c r="K7731" i="1" a="1"/>
  <c r="K7731" i="1" s="1"/>
  <c r="P7731" i="1" a="1"/>
  <c r="P7731" i="1" s="1"/>
  <c r="B7732" i="1"/>
  <c r="L7731" i="1" a="1"/>
  <c r="L7731" i="1" s="1"/>
  <c r="Q7731" i="1" a="1"/>
  <c r="Q7731" i="1" s="1"/>
  <c r="N7731" i="1" a="1"/>
  <c r="N7731" i="1" s="1"/>
  <c r="O7731" i="1" a="1"/>
  <c r="O7731" i="1" s="1"/>
  <c r="R7731" i="1" a="1"/>
  <c r="R7731" i="1" s="1"/>
  <c r="M7731" i="1" a="1"/>
  <c r="M7731" i="1" s="1"/>
  <c r="J7731" i="1" a="1"/>
  <c r="J7731" i="1" s="1"/>
  <c r="I7731" i="1" a="1"/>
  <c r="I7731" i="1" s="1"/>
  <c r="S7731" i="1" a="1"/>
  <c r="S7731" i="1" s="1"/>
  <c r="J6401" i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P7732" i="1" l="1" a="1"/>
  <c r="P7732" i="1" s="1"/>
  <c r="B7733" i="1"/>
  <c r="L7732" i="1" a="1"/>
  <c r="L7732" i="1" s="1"/>
  <c r="Q7732" i="1" a="1"/>
  <c r="Q7732" i="1" s="1"/>
  <c r="M7732" i="1" a="1"/>
  <c r="M7732" i="1" s="1"/>
  <c r="R7732" i="1" a="1"/>
  <c r="R7732" i="1" s="1"/>
  <c r="K7732" i="1" a="1"/>
  <c r="K7732" i="1" s="1"/>
  <c r="N7732" i="1" a="1"/>
  <c r="N7732" i="1" s="1"/>
  <c r="I7732" i="1" a="1"/>
  <c r="I7732" i="1" s="1"/>
  <c r="S7732" i="1" a="1"/>
  <c r="S7732" i="1" s="1"/>
  <c r="J7732" i="1" a="1"/>
  <c r="J7732" i="1" s="1"/>
  <c r="O7732" i="1" a="1"/>
  <c r="O7732" i="1" s="1"/>
  <c r="H7734" i="1"/>
  <c r="A7735" i="1"/>
  <c r="Q6402" i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A7736" i="1" l="1"/>
  <c r="H7735" i="1"/>
  <c r="B7734" i="1"/>
  <c r="L7733" i="1" a="1"/>
  <c r="L7733" i="1" s="1"/>
  <c r="Q7733" i="1" a="1"/>
  <c r="Q7733" i="1" s="1"/>
  <c r="M7733" i="1" a="1"/>
  <c r="M7733" i="1" s="1"/>
  <c r="I7733" i="1" a="1"/>
  <c r="I7733" i="1" s="1"/>
  <c r="R7733" i="1" a="1"/>
  <c r="R7733" i="1" s="1"/>
  <c r="N7733" i="1" a="1"/>
  <c r="N7733" i="1" s="1"/>
  <c r="P7733" i="1" a="1"/>
  <c r="P7733" i="1" s="1"/>
  <c r="S7733" i="1" a="1"/>
  <c r="S7733" i="1" s="1"/>
  <c r="J7733" i="1" a="1"/>
  <c r="J7733" i="1" s="1"/>
  <c r="K7733" i="1" a="1"/>
  <c r="K7733" i="1" s="1"/>
  <c r="O7733" i="1" a="1"/>
  <c r="O7733" i="1" s="1"/>
  <c r="J6403" i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M7734" i="1" l="1" a="1"/>
  <c r="M7734" i="1" s="1"/>
  <c r="I7734" i="1" a="1"/>
  <c r="I7734" i="1" s="1"/>
  <c r="R7734" i="1" a="1"/>
  <c r="R7734" i="1" s="1"/>
  <c r="N7734" i="1" a="1"/>
  <c r="N7734" i="1" s="1"/>
  <c r="J7734" i="1" a="1"/>
  <c r="J7734" i="1" s="1"/>
  <c r="S7734" i="1" a="1"/>
  <c r="S7734" i="1" s="1"/>
  <c r="L7734" i="1" a="1"/>
  <c r="L7734" i="1" s="1"/>
  <c r="B7735" i="1"/>
  <c r="O7734" i="1" a="1"/>
  <c r="O7734" i="1" s="1"/>
  <c r="K7734" i="1" a="1"/>
  <c r="K7734" i="1" s="1"/>
  <c r="P7734" i="1" a="1"/>
  <c r="P7734" i="1" s="1"/>
  <c r="Q7734" i="1" a="1"/>
  <c r="Q7734" i="1" s="1"/>
  <c r="A7737" i="1"/>
  <c r="H7736" i="1"/>
  <c r="Q6404" i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I7735" i="1" l="1" a="1"/>
  <c r="I7735" i="1" s="1"/>
  <c r="R7735" i="1" a="1"/>
  <c r="R7735" i="1" s="1"/>
  <c r="N7735" i="1" a="1"/>
  <c r="N7735" i="1" s="1"/>
  <c r="S7735" i="1" a="1"/>
  <c r="S7735" i="1" s="1"/>
  <c r="O7735" i="1" a="1"/>
  <c r="O7735" i="1" s="1"/>
  <c r="J7735" i="1" a="1"/>
  <c r="J7735" i="1" s="1"/>
  <c r="K7735" i="1" a="1"/>
  <c r="K7735" i="1" s="1"/>
  <c r="Q7735" i="1" a="1"/>
  <c r="Q7735" i="1" s="1"/>
  <c r="M7735" i="1" a="1"/>
  <c r="M7735" i="1" s="1"/>
  <c r="B7736" i="1"/>
  <c r="L7735" i="1" a="1"/>
  <c r="L7735" i="1" s="1"/>
  <c r="P7735" i="1" a="1"/>
  <c r="P7735" i="1" s="1"/>
  <c r="H7737" i="1"/>
  <c r="A7738" i="1"/>
  <c r="K6405" i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J7736" i="1" l="1" a="1"/>
  <c r="J7736" i="1" s="1"/>
  <c r="S7736" i="1" a="1"/>
  <c r="S7736" i="1" s="1"/>
  <c r="O7736" i="1" a="1"/>
  <c r="O7736" i="1" s="1"/>
  <c r="K7736" i="1" a="1"/>
  <c r="K7736" i="1" s="1"/>
  <c r="P7736" i="1" a="1"/>
  <c r="P7736" i="1" s="1"/>
  <c r="B7737" i="1"/>
  <c r="M7736" i="1" a="1"/>
  <c r="M7736" i="1" s="1"/>
  <c r="N7736" i="1" a="1"/>
  <c r="N7736" i="1" s="1"/>
  <c r="Q7736" i="1" a="1"/>
  <c r="Q7736" i="1" s="1"/>
  <c r="R7736" i="1" a="1"/>
  <c r="R7736" i="1" s="1"/>
  <c r="I7736" i="1" a="1"/>
  <c r="I7736" i="1" s="1"/>
  <c r="L7736" i="1" a="1"/>
  <c r="L7736" i="1" s="1"/>
  <c r="H7738" i="1"/>
  <c r="A7739" i="1"/>
  <c r="I6406" i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B7738" i="1" l="1"/>
  <c r="O7737" i="1" a="1"/>
  <c r="O7737" i="1" s="1"/>
  <c r="K7737" i="1" a="1"/>
  <c r="K7737" i="1" s="1"/>
  <c r="P7737" i="1" a="1"/>
  <c r="P7737" i="1" s="1"/>
  <c r="L7737" i="1" a="1"/>
  <c r="L7737" i="1" s="1"/>
  <c r="Q7737" i="1" a="1"/>
  <c r="Q7737" i="1" s="1"/>
  <c r="J7737" i="1" a="1"/>
  <c r="J7737" i="1" s="1"/>
  <c r="S7737" i="1" a="1"/>
  <c r="S7737" i="1" s="1"/>
  <c r="M7737" i="1" a="1"/>
  <c r="M7737" i="1" s="1"/>
  <c r="R7737" i="1" a="1"/>
  <c r="R7737" i="1" s="1"/>
  <c r="N7737" i="1" a="1"/>
  <c r="N7737" i="1" s="1"/>
  <c r="I7737" i="1" a="1"/>
  <c r="I7737" i="1" s="1"/>
  <c r="H7739" i="1"/>
  <c r="A7740" i="1"/>
  <c r="K6407" i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H7740" i="1" l="1"/>
  <c r="A7741" i="1"/>
  <c r="K7738" i="1" a="1"/>
  <c r="K7738" i="1" s="1"/>
  <c r="P7738" i="1" a="1"/>
  <c r="P7738" i="1" s="1"/>
  <c r="B7739" i="1"/>
  <c r="Q7738" i="1" a="1"/>
  <c r="Q7738" i="1" s="1"/>
  <c r="L7738" i="1" a="1"/>
  <c r="L7738" i="1" s="1"/>
  <c r="M7738" i="1" a="1"/>
  <c r="M7738" i="1" s="1"/>
  <c r="O7738" i="1" a="1"/>
  <c r="O7738" i="1" s="1"/>
  <c r="R7738" i="1" a="1"/>
  <c r="R7738" i="1" s="1"/>
  <c r="I7738" i="1" a="1"/>
  <c r="I7738" i="1" s="1"/>
  <c r="J7738" i="1" a="1"/>
  <c r="J7738" i="1" s="1"/>
  <c r="N7738" i="1" a="1"/>
  <c r="N7738" i="1" s="1"/>
  <c r="S7738" i="1" a="1"/>
  <c r="S7738" i="1" s="1"/>
  <c r="L6408" i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L7739" i="1" l="1" a="1"/>
  <c r="L7739" i="1" s="1"/>
  <c r="Q7739" i="1" a="1"/>
  <c r="Q7739" i="1" s="1"/>
  <c r="M7739" i="1" a="1"/>
  <c r="M7739" i="1" s="1"/>
  <c r="I7739" i="1" a="1"/>
  <c r="I7739" i="1" s="1"/>
  <c r="R7739" i="1" a="1"/>
  <c r="R7739" i="1" s="1"/>
  <c r="K7739" i="1" a="1"/>
  <c r="K7739" i="1" s="1"/>
  <c r="B7740" i="1"/>
  <c r="O7739" i="1" a="1"/>
  <c r="O7739" i="1" s="1"/>
  <c r="S7739" i="1" a="1"/>
  <c r="S7739" i="1" s="1"/>
  <c r="J7739" i="1" a="1"/>
  <c r="J7739" i="1" s="1"/>
  <c r="N7739" i="1" a="1"/>
  <c r="N7739" i="1" s="1"/>
  <c r="P7739" i="1" a="1"/>
  <c r="P7739" i="1" s="1"/>
  <c r="H7741" i="1"/>
  <c r="A7742" i="1"/>
  <c r="K6409" i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Q7740" i="1" l="1" a="1"/>
  <c r="Q7740" i="1" s="1"/>
  <c r="M7740" i="1" a="1"/>
  <c r="M7740" i="1" s="1"/>
  <c r="R7740" i="1" a="1"/>
  <c r="R7740" i="1" s="1"/>
  <c r="N7740" i="1" a="1"/>
  <c r="N7740" i="1" s="1"/>
  <c r="I7740" i="1" a="1"/>
  <c r="I7740" i="1" s="1"/>
  <c r="J7740" i="1" a="1"/>
  <c r="J7740" i="1" s="1"/>
  <c r="S7740" i="1" a="1"/>
  <c r="S7740" i="1" s="1"/>
  <c r="P7740" i="1" a="1"/>
  <c r="P7740" i="1" s="1"/>
  <c r="K7740" i="1" a="1"/>
  <c r="K7740" i="1" s="1"/>
  <c r="B7741" i="1"/>
  <c r="L7740" i="1" a="1"/>
  <c r="L7740" i="1" s="1"/>
  <c r="O7740" i="1" a="1"/>
  <c r="O7740" i="1" s="1"/>
  <c r="A7743" i="1"/>
  <c r="H7742" i="1"/>
  <c r="L6410" i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A7744" i="1" l="1"/>
  <c r="H7743" i="1"/>
  <c r="B7742" i="1"/>
  <c r="I7741" i="1" a="1"/>
  <c r="I7741" i="1" s="1"/>
  <c r="R7741" i="1" a="1"/>
  <c r="R7741" i="1" s="1"/>
  <c r="N7741" i="1" a="1"/>
  <c r="N7741" i="1" s="1"/>
  <c r="S7741" i="1" a="1"/>
  <c r="S7741" i="1" s="1"/>
  <c r="J7741" i="1" a="1"/>
  <c r="J7741" i="1" s="1"/>
  <c r="O7741" i="1" a="1"/>
  <c r="O7741" i="1" s="1"/>
  <c r="L7741" i="1" a="1"/>
  <c r="L7741" i="1" s="1"/>
  <c r="K7741" i="1" a="1"/>
  <c r="K7741" i="1" s="1"/>
  <c r="M7741" i="1" a="1"/>
  <c r="M7741" i="1" s="1"/>
  <c r="P7741" i="1" a="1"/>
  <c r="P7741" i="1" s="1"/>
  <c r="Q7741" i="1" a="1"/>
  <c r="Q7741" i="1" s="1"/>
  <c r="K6411" i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N7742" i="1" l="1" a="1"/>
  <c r="N7742" i="1" s="1"/>
  <c r="J7742" i="1" a="1"/>
  <c r="J7742" i="1" s="1"/>
  <c r="S7742" i="1" a="1"/>
  <c r="S7742" i="1" s="1"/>
  <c r="O7742" i="1" a="1"/>
  <c r="O7742" i="1" s="1"/>
  <c r="P7742" i="1" a="1"/>
  <c r="P7742" i="1" s="1"/>
  <c r="B7743" i="1"/>
  <c r="K7742" i="1" a="1"/>
  <c r="K7742" i="1" s="1"/>
  <c r="I7742" i="1" a="1"/>
  <c r="I7742" i="1" s="1"/>
  <c r="R7742" i="1" a="1"/>
  <c r="R7742" i="1" s="1"/>
  <c r="M7742" i="1" a="1"/>
  <c r="M7742" i="1" s="1"/>
  <c r="L7742" i="1" a="1"/>
  <c r="L7742" i="1" s="1"/>
  <c r="Q7742" i="1" a="1"/>
  <c r="Q7742" i="1" s="1"/>
  <c r="A7745" i="1"/>
  <c r="H7744" i="1"/>
  <c r="Q6412" i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C296" i="2" l="1"/>
  <c r="D296" i="2"/>
  <c r="E296" i="2"/>
  <c r="D127" i="2"/>
  <c r="H7745" i="1"/>
  <c r="J7743" i="1" a="1"/>
  <c r="J7743" i="1" s="1"/>
  <c r="O7743" i="1" a="1"/>
  <c r="O7743" i="1" s="1"/>
  <c r="P7743" i="1" a="1"/>
  <c r="P7743" i="1" s="1"/>
  <c r="K7743" i="1" a="1"/>
  <c r="K7743" i="1" s="1"/>
  <c r="B7744" i="1"/>
  <c r="L7743" i="1" a="1"/>
  <c r="L7743" i="1" s="1"/>
  <c r="N7743" i="1" a="1"/>
  <c r="N7743" i="1" s="1"/>
  <c r="Q7743" i="1" a="1"/>
  <c r="Q7743" i="1" s="1"/>
  <c r="I7743" i="1" a="1"/>
  <c r="I7743" i="1" s="1"/>
  <c r="R7743" i="1" a="1"/>
  <c r="R7743" i="1" s="1"/>
  <c r="S7743" i="1" a="1"/>
  <c r="S7743" i="1" s="1"/>
  <c r="M7743" i="1" a="1"/>
  <c r="M7743" i="1" s="1"/>
  <c r="Q6413" i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D94" i="2" l="1"/>
  <c r="D179" i="2"/>
  <c r="D58" i="2"/>
  <c r="D160" i="2"/>
  <c r="D8" i="2"/>
  <c r="D288" i="2"/>
  <c r="D29" i="2"/>
  <c r="D159" i="2"/>
  <c r="E207" i="2"/>
  <c r="E151" i="2"/>
  <c r="D175" i="2"/>
  <c r="D125" i="2"/>
  <c r="E63" i="2"/>
  <c r="D129" i="2"/>
  <c r="D126" i="2"/>
  <c r="D82" i="2"/>
  <c r="D104" i="2"/>
  <c r="D7" i="2"/>
  <c r="D173" i="2"/>
  <c r="D121" i="2"/>
  <c r="D143" i="2"/>
  <c r="D172" i="2"/>
  <c r="D79" i="2"/>
  <c r="E103" i="2"/>
  <c r="C163" i="2"/>
  <c r="D66" i="2"/>
  <c r="D132" i="2"/>
  <c r="D78" i="2"/>
  <c r="D130" i="2"/>
  <c r="D87" i="2"/>
  <c r="C97" i="2"/>
  <c r="D111" i="2"/>
  <c r="D178" i="2"/>
  <c r="D170" i="2"/>
  <c r="D39" i="2"/>
  <c r="D180" i="2"/>
  <c r="E97" i="2"/>
  <c r="D108" i="2"/>
  <c r="D171" i="2"/>
  <c r="D174" i="2"/>
  <c r="D33" i="2"/>
  <c r="D54" i="2"/>
  <c r="D113" i="2"/>
  <c r="D44" i="2"/>
  <c r="E52" i="2"/>
  <c r="D148" i="2"/>
  <c r="D167" i="2"/>
  <c r="E164" i="2"/>
  <c r="C192" i="2"/>
  <c r="D15" i="2"/>
  <c r="D140" i="2"/>
  <c r="D165" i="2"/>
  <c r="D81" i="2"/>
  <c r="C71" i="2"/>
  <c r="E120" i="2"/>
  <c r="D164" i="2"/>
  <c r="E14" i="2"/>
  <c r="E144" i="2"/>
  <c r="C135" i="2"/>
  <c r="E149" i="2"/>
  <c r="C81" i="2"/>
  <c r="C167" i="2"/>
  <c r="E39" i="2"/>
  <c r="D138" i="2"/>
  <c r="E89" i="2"/>
  <c r="D80" i="2"/>
  <c r="C23" i="2"/>
  <c r="C69" i="2"/>
  <c r="E36" i="2"/>
  <c r="D84" i="2"/>
  <c r="C161" i="2"/>
  <c r="D194" i="2"/>
  <c r="E73" i="2"/>
  <c r="C128" i="2"/>
  <c r="D100" i="2"/>
  <c r="E18" i="2"/>
  <c r="D112" i="2"/>
  <c r="E8" i="2"/>
  <c r="D2" i="2"/>
  <c r="D137" i="2"/>
  <c r="C61" i="2"/>
  <c r="C9" i="2"/>
  <c r="E126" i="2"/>
  <c r="D147" i="2"/>
  <c r="C27" i="2"/>
  <c r="D191" i="2"/>
  <c r="D133" i="2"/>
  <c r="E148" i="2"/>
  <c r="D55" i="2"/>
  <c r="E123" i="2"/>
  <c r="C43" i="2"/>
  <c r="C132" i="2"/>
  <c r="E35" i="2"/>
  <c r="D102" i="2"/>
  <c r="E102" i="2"/>
  <c r="D110" i="2"/>
  <c r="E99" i="2"/>
  <c r="D27" i="2"/>
  <c r="E108" i="2"/>
  <c r="C124" i="2"/>
  <c r="E109" i="2"/>
  <c r="D74" i="2"/>
  <c r="D161" i="2"/>
  <c r="E7" i="2"/>
  <c r="D53" i="2"/>
  <c r="D68" i="2"/>
  <c r="E41" i="2"/>
  <c r="E195" i="2"/>
  <c r="E20" i="2"/>
  <c r="E194" i="2"/>
  <c r="D123" i="2"/>
  <c r="D50" i="2"/>
  <c r="D122" i="2"/>
  <c r="D145" i="2"/>
  <c r="E88" i="2"/>
  <c r="E72" i="2"/>
  <c r="D192" i="2"/>
  <c r="E193" i="2"/>
  <c r="C191" i="2"/>
  <c r="C73" i="2"/>
  <c r="D22" i="2"/>
  <c r="E192" i="2"/>
  <c r="E69" i="2"/>
  <c r="E191" i="2"/>
  <c r="D195" i="2"/>
  <c r="E77" i="2"/>
  <c r="D26" i="2"/>
  <c r="D12" i="2"/>
  <c r="E132" i="2"/>
  <c r="E74" i="2"/>
  <c r="E95" i="2"/>
  <c r="C194" i="2"/>
  <c r="C195" i="2"/>
  <c r="C20" i="2"/>
  <c r="D97" i="2"/>
  <c r="E38" i="2"/>
  <c r="E25" i="2"/>
  <c r="C193" i="2"/>
  <c r="E92" i="2"/>
  <c r="E46" i="2"/>
  <c r="D73" i="2"/>
  <c r="D83" i="2"/>
  <c r="D176" i="2"/>
  <c r="E51" i="2"/>
  <c r="E47" i="2"/>
  <c r="E168" i="2"/>
  <c r="E61" i="2"/>
  <c r="D193" i="2"/>
  <c r="D61" i="2"/>
  <c r="D25" i="2"/>
  <c r="D158" i="2"/>
  <c r="E87" i="2"/>
  <c r="E26" i="2"/>
  <c r="E85" i="2"/>
  <c r="C164" i="2"/>
  <c r="D42" i="2"/>
  <c r="D24" i="2"/>
  <c r="D95" i="2"/>
  <c r="C102" i="2"/>
  <c r="D142" i="2"/>
  <c r="D72" i="2"/>
  <c r="C104" i="2"/>
  <c r="E93" i="2"/>
  <c r="E28" i="2"/>
  <c r="C116" i="2"/>
  <c r="C10" i="2"/>
  <c r="D28" i="2"/>
  <c r="D4" i="2"/>
  <c r="D115" i="2"/>
  <c r="D196" i="2"/>
  <c r="C70" i="2"/>
  <c r="E167" i="2"/>
  <c r="E43" i="2"/>
  <c r="D46" i="2"/>
  <c r="C65" i="2"/>
  <c r="D20" i="2"/>
  <c r="D201" i="2"/>
  <c r="C168" i="2"/>
  <c r="C68" i="2"/>
  <c r="D69" i="2"/>
  <c r="D166" i="2"/>
  <c r="D93" i="2"/>
  <c r="D16" i="2"/>
  <c r="E200" i="2"/>
  <c r="D59" i="2"/>
  <c r="D3" i="2"/>
  <c r="E15" i="2"/>
  <c r="E117" i="2"/>
  <c r="C100" i="2"/>
  <c r="D198" i="2"/>
  <c r="E60" i="2"/>
  <c r="D124" i="2"/>
  <c r="C121" i="2"/>
  <c r="C107" i="2"/>
  <c r="D157" i="2"/>
  <c r="D89" i="2"/>
  <c r="C113" i="2"/>
  <c r="C2" i="2"/>
  <c r="D168" i="2"/>
  <c r="D65" i="2"/>
  <c r="C47" i="2"/>
  <c r="C89" i="2"/>
  <c r="E198" i="2"/>
  <c r="E201" i="2"/>
  <c r="C8" i="2"/>
  <c r="E31" i="2"/>
  <c r="C29" i="2"/>
  <c r="C140" i="2"/>
  <c r="C196" i="2"/>
  <c r="E196" i="2"/>
  <c r="E17" i="2"/>
  <c r="C134" i="2"/>
  <c r="E59" i="2"/>
  <c r="C197" i="2"/>
  <c r="C199" i="2"/>
  <c r="C41" i="2"/>
  <c r="E98" i="2"/>
  <c r="D199" i="2"/>
  <c r="C198" i="2"/>
  <c r="D200" i="2"/>
  <c r="C108" i="2"/>
  <c r="C12" i="2"/>
  <c r="C112" i="2"/>
  <c r="C92" i="2"/>
  <c r="D197" i="2"/>
  <c r="C200" i="2"/>
  <c r="D116" i="2"/>
  <c r="C37" i="2"/>
  <c r="C17" i="2"/>
  <c r="C201" i="2"/>
  <c r="E197" i="2"/>
  <c r="D163" i="2"/>
  <c r="C130" i="2"/>
  <c r="C141" i="2"/>
  <c r="C165" i="2"/>
  <c r="C39" i="2"/>
  <c r="D18" i="2"/>
  <c r="E115" i="2"/>
  <c r="C79" i="2"/>
  <c r="D23" i="2"/>
  <c r="D34" i="2"/>
  <c r="C101" i="2"/>
  <c r="E55" i="2"/>
  <c r="E113" i="2"/>
  <c r="E75" i="2"/>
  <c r="E78" i="2"/>
  <c r="D40" i="2"/>
  <c r="D11" i="2"/>
  <c r="C55" i="2"/>
  <c r="E107" i="2"/>
  <c r="C53" i="2"/>
  <c r="C56" i="2"/>
  <c r="C54" i="2"/>
  <c r="E127" i="2"/>
  <c r="D156" i="2"/>
  <c r="D76" i="2"/>
  <c r="E54" i="2"/>
  <c r="C66" i="2"/>
  <c r="E44" i="2"/>
  <c r="E134" i="2"/>
  <c r="D36" i="2"/>
  <c r="D181" i="2"/>
  <c r="D96" i="2"/>
  <c r="E9" i="2"/>
  <c r="E12" i="2"/>
  <c r="E81" i="2"/>
  <c r="E96" i="2"/>
  <c r="D144" i="2"/>
  <c r="E22" i="2"/>
  <c r="C34" i="2"/>
  <c r="C3" i="2"/>
  <c r="C62" i="2"/>
  <c r="C28" i="2"/>
  <c r="E80" i="2"/>
  <c r="C52" i="2"/>
  <c r="E199" i="2"/>
  <c r="E128" i="2"/>
  <c r="D117" i="2"/>
  <c r="C96" i="2"/>
  <c r="E147" i="2"/>
  <c r="C7" i="2"/>
  <c r="E133" i="2"/>
  <c r="D99" i="2"/>
  <c r="D128" i="2"/>
  <c r="D51" i="2"/>
  <c r="D153" i="2"/>
  <c r="D91" i="2"/>
  <c r="D85" i="2"/>
  <c r="D109" i="2"/>
  <c r="E110" i="2"/>
  <c r="D37" i="2"/>
  <c r="E112" i="2"/>
  <c r="C160" i="2"/>
  <c r="C51" i="2"/>
  <c r="C174" i="2"/>
  <c r="C13" i="2"/>
  <c r="D21" i="2"/>
  <c r="C146" i="2"/>
  <c r="D105" i="2"/>
  <c r="D17" i="2"/>
  <c r="C126" i="2"/>
  <c r="C18" i="2"/>
  <c r="D14" i="2"/>
  <c r="C78" i="2"/>
  <c r="E111" i="2"/>
  <c r="E30" i="2"/>
  <c r="D150" i="2"/>
  <c r="E101" i="2"/>
  <c r="E21" i="2"/>
  <c r="D57" i="2"/>
  <c r="D38" i="2"/>
  <c r="E27" i="2"/>
  <c r="C131" i="2"/>
  <c r="D56" i="2"/>
  <c r="D149" i="2"/>
  <c r="D88" i="2"/>
  <c r="E68" i="2"/>
  <c r="E70" i="2"/>
  <c r="D32" i="2"/>
  <c r="E106" i="2"/>
  <c r="E66" i="2"/>
  <c r="D134" i="2"/>
  <c r="D135" i="2"/>
  <c r="E67" i="2"/>
  <c r="D182" i="2"/>
  <c r="E182" i="2"/>
  <c r="C6" i="2"/>
  <c r="D60" i="2"/>
  <c r="D45" i="2"/>
  <c r="E6" i="2"/>
  <c r="D139" i="2"/>
  <c r="E34" i="2"/>
  <c r="C129" i="2"/>
  <c r="E90" i="2"/>
  <c r="D90" i="2"/>
  <c r="E138" i="2"/>
  <c r="D10" i="2"/>
  <c r="D5" i="2"/>
  <c r="D9" i="2"/>
  <c r="D35" i="2"/>
  <c r="D19" i="2"/>
  <c r="C48" i="2"/>
  <c r="D70" i="2"/>
  <c r="D107" i="2"/>
  <c r="C139" i="2"/>
  <c r="D187" i="2"/>
  <c r="D6" i="2"/>
  <c r="D86" i="2"/>
  <c r="E50" i="2"/>
  <c r="D141" i="2"/>
  <c r="C109" i="2"/>
  <c r="D119" i="2"/>
  <c r="C147" i="2"/>
  <c r="C103" i="2"/>
  <c r="D177" i="2"/>
  <c r="C182" i="2"/>
  <c r="E178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K7744" i="1" a="1"/>
  <c r="K7744" i="1" s="1"/>
  <c r="P7744" i="1" a="1"/>
  <c r="P7744" i="1" s="1"/>
  <c r="L7744" i="1" a="1"/>
  <c r="L7744" i="1" s="1"/>
  <c r="B7745" i="1"/>
  <c r="Q7744" i="1" a="1"/>
  <c r="Q7744" i="1" s="1"/>
  <c r="J7744" i="1" a="1"/>
  <c r="J7744" i="1" s="1"/>
  <c r="S7744" i="1" a="1"/>
  <c r="S7744" i="1" s="1"/>
  <c r="M7744" i="1" a="1"/>
  <c r="M7744" i="1" s="1"/>
  <c r="N7744" i="1" a="1"/>
  <c r="N7744" i="1" s="1"/>
  <c r="I7744" i="1" a="1"/>
  <c r="I7744" i="1" s="1"/>
  <c r="R7744" i="1" a="1"/>
  <c r="R7744" i="1" s="1"/>
  <c r="O7744" i="1" a="1"/>
  <c r="O7744" i="1" s="1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C291" i="2" l="1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P7745" i="1" a="1"/>
  <c r="P7745" i="1" s="1"/>
  <c r="L7745" i="1" a="1"/>
  <c r="L7745" i="1" s="1"/>
  <c r="M7745" i="1" a="1"/>
  <c r="M7745" i="1" s="1"/>
  <c r="Q7745" i="1" a="1"/>
  <c r="Q7745" i="1" s="1"/>
  <c r="R7745" i="1" a="1"/>
  <c r="R7745" i="1" s="1"/>
  <c r="I7745" i="1" a="1"/>
  <c r="I7745" i="1" s="1"/>
  <c r="O7745" i="1" a="1"/>
  <c r="O7745" i="1" s="1"/>
  <c r="J7745" i="1" a="1"/>
  <c r="J7745" i="1" s="1"/>
  <c r="K7745" i="1" a="1"/>
  <c r="K7745" i="1" s="1"/>
  <c r="S7745" i="1" a="1"/>
  <c r="S7745" i="1" s="1"/>
  <c r="N7745" i="1" a="1"/>
  <c r="N7745" i="1" s="1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<sst xmlns="http://schemas.openxmlformats.org/spreadsheetml/2006/main" count="75296" uniqueCount="26">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</sst>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745"/>
  <sheetViews>
    <sheetView zoomScale="90" zoomScaleNormal="90" workbookViewId="0">
      <pane ySplit="1" topLeftCell="A7576" activePane="bottomLeft" state="frozen"/>
      <selection pane="bottomLeft" activeCell="C7578" sqref="C7578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tr">
        <f t="shared" ref="A7577:C7577" si="1406">B7576</f>
        <v>Northern Cardinal</v>
      </c>
      <c r="C7577" s="6">
        <v>0.29166666666666669</v>
      </c>
      <c r="D7577" s="5"/>
      <c r="E7577" s="5"/>
      <c r="F7577" s="5" t="s">
        <v>9</v>
      </c>
      <c r="G7577" s="15" t="s">
        <v>8</v>
      </c>
      <c r="H7577" s="24">
        <f t="shared" ref="H7515:H7578" si="1407">IFERROR((($A7577+$C7577) - ($A7576+$C7576))*24*60, "")</f>
        <v>785.99999999511056</v>
      </c>
      <c r="I7577" s="24" cm="1">
        <f t="array" ref="I7577">IFERROR(IF($B7577=I$1, ($A7577+$C7577) - MAX(IF($B$2:$B7576=$B7577, $A$2:$A7576+$C$2:$C7576)), "")*24*60, "")</f>
        <v>785.99999999511056</v>
      </c>
      <c r="J7577" s="24" t="str" cm="1">
        <f t="array" ref="J7577">IFERROR(IF($B7577=J$1, ($A7577+$C7577) - MAX(IF($B$2:$B7576=$B7577, $A$2:$A7576+$C$2:$C7576)), "")*24*60, "")</f>
        <v/>
      </c>
      <c r="K7577" s="24" t="str" cm="1">
        <f t="array" ref="K7577">IFERROR(IF($B7577=K$1, ($A7577+$C7577) - MAX(IF($B$2:$B7576=$B7577, $A$2:$A7576+$C$2:$C7576)), "")*24*60, "")</f>
        <v/>
      </c>
      <c r="L7577" s="24" t="str" cm="1">
        <f t="array" ref="L7577">IFERROR(IF($B7577=L$1, ($A7577+$C7577) - MAX(IF($B$2:$B7576=$B7577, $A$2:$A7576+$C$2:$C7576)), "")*24*60, "")</f>
        <v/>
      </c>
      <c r="M7577" s="24" t="str" cm="1">
        <f t="array" ref="M7577">IFERROR(IF($B7577=M$1, ($A7577+$C7577) - MAX(IF($B$2:$B7576=$B7577, $A$2:$A7576+$C$2:$C7576)), "")*24*60, "")</f>
        <v/>
      </c>
      <c r="N7577" s="24" t="str" cm="1">
        <f t="array" ref="N7577">IFERROR(IF($B7577=N$1, ($A7577+$C7577) - MAX(IF($B$2:$B7576=$B7577, $A$2:$A7576+$C$2:$C7576)), "")*24*60, "")</f>
        <v/>
      </c>
      <c r="O7577" s="24" t="str" cm="1">
        <f t="array" ref="O7577">IFERROR(IF($B7577=O$1, ($A7577+$C7577) - MAX(IF($B$2:$B7576=$B7577, $A$2:$A7576+$C$2:$C7576)), "")*24*60, "")</f>
        <v/>
      </c>
      <c r="P7577" s="24" t="str" cm="1">
        <f t="array" ref="P7577">IFERROR(IF($B7577=P$1, ($A7577+$C7577) - MAX(IF($B$2:$B7576=$B7577, $A$2:$A7576+$C$2:$C7576)), "")*24*60, "")</f>
        <v/>
      </c>
      <c r="Q7577" s="24" t="str" cm="1">
        <f t="array" ref="Q7577">IFERROR(IF($B7577=Q$1, ($A7577+$C7577) - MAX(IF($B$2:$B7576=$B7577, $A$2:$A7576+$C$2:$C7576)), "")*24*60, "")</f>
        <v/>
      </c>
      <c r="R7577" s="24" t="str" cm="1">
        <f t="array" ref="R7577">IFERROR(IF($B7577=R$1, ($A7577+$C7577) - MAX(IF($B$2:$B7576=$B7577, $A$2:$A7576+$C$2:$C7576)), "")*24*60, "")</f>
        <v/>
      </c>
      <c r="S7577" s="24" t="str" cm="1">
        <f t="array" ref="S7577">IFERROR(IF($B7577=S$1, ($A7577+$C7577) - MAX(IF($B$2:$B7576=$B7577, $A$2:$A7576+$C$2:$C7576)), "")*24*60, "")</f>
        <v/>
      </c>
    </row>
    <row r="7578" spans="1:19" x14ac:dyDescent="0.2">
      <c r="A7578" s="12">
        <f t="shared" ref="A7578:C7578" si="1408">A7577</f>
        <v>46018</v>
      </c>
      <c r="B7578" s="5" t="str">
        <f t="shared" si="1408"/>
        <v>Northern Cardinal</v>
      </c>
      <c r="C7578" s="6">
        <f t="shared" si="1408"/>
        <v>0.29166666666666669</v>
      </c>
      <c r="D7578" s="5"/>
      <c r="E7578" s="5"/>
      <c r="F7578" s="5" t="s">
        <v>9</v>
      </c>
      <c r="G7578" s="15" t="s">
        <v>8</v>
      </c>
      <c r="H7578" s="24">
        <f t="shared" si="1407"/>
        <v>0</v>
      </c>
      <c r="I7578" s="24" cm="1">
        <f t="array" ref="I7578">IFERROR(IF($B7578=I$1, ($A7578+$C7578) - MAX(IF($B$2:$B7577=$B7578, $A$2:$A7577+$C$2:$C7577)), "")*24*60, "")</f>
        <v>0</v>
      </c>
      <c r="J7578" s="24" t="str" cm="1">
        <f t="array" ref="J7578">IFERROR(IF($B7578=J$1, ($A7578+$C7578) - MAX(IF($B$2:$B7577=$B7578, $A$2:$A7577+$C$2:$C7577)), "")*24*60, "")</f>
        <v/>
      </c>
      <c r="K7578" s="24" t="str" cm="1">
        <f t="array" ref="K7578">IFERROR(IF($B7578=K$1, ($A7578+$C7578) - MAX(IF($B$2:$B7577=$B7578, $A$2:$A7577+$C$2:$C7577)), "")*24*60, "")</f>
        <v/>
      </c>
      <c r="L7578" s="24" t="str" cm="1">
        <f t="array" ref="L7578">IFERROR(IF($B7578=L$1, ($A7578+$C7578) - MAX(IF($B$2:$B7577=$B7578, $A$2:$A7577+$C$2:$C7577)), "")*24*60, "")</f>
        <v/>
      </c>
      <c r="M7578" s="24" t="str" cm="1">
        <f t="array" ref="M7578">IFERROR(IF($B7578=M$1, ($A7578+$C7578) - MAX(IF($B$2:$B7577=$B7578, $A$2:$A7577+$C$2:$C7577)), "")*24*60, "")</f>
        <v/>
      </c>
      <c r="N7578" s="24" t="str" cm="1">
        <f t="array" ref="N7578">IFERROR(IF($B7578=N$1, ($A7578+$C7578) - MAX(IF($B$2:$B7577=$B7578, $A$2:$A7577+$C$2:$C7577)), "")*24*60, "")</f>
        <v/>
      </c>
      <c r="O7578" s="24" t="str" cm="1">
        <f t="array" ref="O7578">IFERROR(IF($B7578=O$1, ($A7578+$C7578) - MAX(IF($B$2:$B7577=$B7578, $A$2:$A7577+$C$2:$C7577)), "")*24*60, "")</f>
        <v/>
      </c>
      <c r="P7578" s="24" t="str" cm="1">
        <f t="array" ref="P7578">IFERROR(IF($B7578=P$1, ($A7578+$C7578) - MAX(IF($B$2:$B7577=$B7578, $A$2:$A7577+$C$2:$C7577)), "")*24*60, "")</f>
        <v/>
      </c>
      <c r="Q7578" s="24" t="str" cm="1">
        <f t="array" ref="Q7578">IFERROR(IF($B7578=Q$1, ($A7578+$C7578) - MAX(IF($B$2:$B7577=$B7578, $A$2:$A7577+$C$2:$C7577)), "")*24*60, "")</f>
        <v/>
      </c>
      <c r="R7578" s="24" t="str" cm="1">
        <f t="array" ref="R7578">IFERROR(IF($B7578=R$1, ($A7578+$C7578) - MAX(IF($B$2:$B7577=$B7578, $A$2:$A7577+$C$2:$C7577)), "")*24*60, "")</f>
        <v/>
      </c>
      <c r="S7578" s="24" t="str" cm="1">
        <f t="array" ref="S7578">IFERROR(IF($B7578=S$1, ($A7578+$C7578) - MAX(IF($B$2:$B7577=$B7578, $A$2:$A7577+$C$2:$C7577)), "")*24*60, "")</f>
        <v/>
      </c>
    </row>
    <row r="7579" spans="1:19" x14ac:dyDescent="0.2">
      <c r="A7579" s="12">
        <f t="shared" ref="A7579:C7579" si="1409">A7578</f>
        <v>46018</v>
      </c>
      <c r="B7579" s="5" t="str">
        <f t="shared" si="1409"/>
        <v>Northern Cardinal</v>
      </c>
      <c r="C7579" s="6">
        <f t="shared" si="1409"/>
        <v>0.29166666666666669</v>
      </c>
      <c r="D7579" s="5"/>
      <c r="E7579" s="5"/>
      <c r="F7579" s="5" t="s">
        <v>9</v>
      </c>
      <c r="G7579" s="15" t="s">
        <v>8</v>
      </c>
      <c r="H7579" s="24">
        <f t="shared" ref="H7579:H7642" si="1410">IFERROR((($A7579+$C7579) - ($A7578+$C7578))*24*60, "")</f>
        <v>0</v>
      </c>
      <c r="I7579" s="24" cm="1">
        <f t="array" ref="I7579">IFERROR(IF($B7579=I$1, ($A7579+$C7579) - MAX(IF($B$2:$B7578=$B7579, $A$2:$A7578+$C$2:$C7578)), "")*24*60, "")</f>
        <v>0</v>
      </c>
      <c r="J7579" s="24" t="str" cm="1">
        <f t="array" ref="J7579">IFERROR(IF($B7579=J$1, ($A7579+$C7579) - MAX(IF($B$2:$B7578=$B7579, $A$2:$A7578+$C$2:$C7578)), "")*24*60, "")</f>
        <v/>
      </c>
      <c r="K7579" s="24" t="str" cm="1">
        <f t="array" ref="K7579">IFERROR(IF($B7579=K$1, ($A7579+$C7579) - MAX(IF($B$2:$B7578=$B7579, $A$2:$A7578+$C$2:$C7578)), "")*24*60, "")</f>
        <v/>
      </c>
      <c r="L7579" s="24" t="str" cm="1">
        <f t="array" ref="L7579">IFERROR(IF($B7579=L$1, ($A7579+$C7579) - MAX(IF($B$2:$B7578=$B7579, $A$2:$A7578+$C$2:$C7578)), "")*24*60, "")</f>
        <v/>
      </c>
      <c r="M7579" s="24" t="str" cm="1">
        <f t="array" ref="M7579">IFERROR(IF($B7579=M$1, ($A7579+$C7579) - MAX(IF($B$2:$B7578=$B7579, $A$2:$A7578+$C$2:$C7578)), "")*24*60, "")</f>
        <v/>
      </c>
      <c r="N7579" s="24" t="str" cm="1">
        <f t="array" ref="N7579">IFERROR(IF($B7579=N$1, ($A7579+$C7579) - MAX(IF($B$2:$B7578=$B7579, $A$2:$A7578+$C$2:$C7578)), "")*24*60, "")</f>
        <v/>
      </c>
      <c r="O7579" s="24" t="str" cm="1">
        <f t="array" ref="O7579">IFERROR(IF($B7579=O$1, ($A7579+$C7579) - MAX(IF($B$2:$B7578=$B7579, $A$2:$A7578+$C$2:$C7578)), "")*24*60, "")</f>
        <v/>
      </c>
      <c r="P7579" s="24" t="str" cm="1">
        <f t="array" ref="P7579">IFERROR(IF($B7579=P$1, ($A7579+$C7579) - MAX(IF($B$2:$B7578=$B7579, $A$2:$A7578+$C$2:$C7578)), "")*24*60, "")</f>
        <v/>
      </c>
      <c r="Q7579" s="24" t="str" cm="1">
        <f t="array" ref="Q7579">IFERROR(IF($B7579=Q$1, ($A7579+$C7579) - MAX(IF($B$2:$B7578=$B7579, $A$2:$A7578+$C$2:$C7578)), "")*24*60, "")</f>
        <v/>
      </c>
      <c r="R7579" s="24" t="str" cm="1">
        <f t="array" ref="R7579">IFERROR(IF($B7579=R$1, ($A7579+$C7579) - MAX(IF($B$2:$B7578=$B7579, $A$2:$A7578+$C$2:$C7578)), "")*24*60, "")</f>
        <v/>
      </c>
      <c r="S7579" s="24" t="str" cm="1">
        <f t="array" ref="S7579">IFERROR(IF($B7579=S$1, ($A7579+$C7579) - MAX(IF($B$2:$B7578=$B7579, $A$2:$A7578+$C$2:$C7578)), "")*24*60, "")</f>
        <v/>
      </c>
    </row>
    <row r="7580" spans="1:19" x14ac:dyDescent="0.2">
      <c r="A7580" s="12">
        <f t="shared" ref="A7580:C7580" si="1411">A7579</f>
        <v>46018</v>
      </c>
      <c r="B7580" s="5" t="str">
        <f t="shared" si="1411"/>
        <v>Northern Cardinal</v>
      </c>
      <c r="C7580" s="6">
        <f t="shared" si="1411"/>
        <v>0.29166666666666669</v>
      </c>
      <c r="D7580" s="5"/>
      <c r="E7580" s="5"/>
      <c r="F7580" s="5" t="s">
        <v>9</v>
      </c>
      <c r="G7580" s="15" t="s">
        <v>8</v>
      </c>
      <c r="H7580" s="24">
        <f t="shared" si="1410"/>
        <v>0</v>
      </c>
      <c r="I7580" s="24" cm="1">
        <f t="array" ref="I7580">IFERROR(IF($B7580=I$1, ($A7580+$C7580) - MAX(IF($B$2:$B7579=$B7580, $A$2:$A7579+$C$2:$C7579)), "")*24*60, "")</f>
        <v>0</v>
      </c>
      <c r="J7580" s="24" t="str" cm="1">
        <f t="array" ref="J7580">IFERROR(IF($B7580=J$1, ($A7580+$C7580) - MAX(IF($B$2:$B7579=$B7580, $A$2:$A7579+$C$2:$C7579)), "")*24*60, "")</f>
        <v/>
      </c>
      <c r="K7580" s="24" t="str" cm="1">
        <f t="array" ref="K7580">IFERROR(IF($B7580=K$1, ($A7580+$C7580) - MAX(IF($B$2:$B7579=$B7580, $A$2:$A7579+$C$2:$C7579)), "")*24*60, "")</f>
        <v/>
      </c>
      <c r="L7580" s="24" t="str" cm="1">
        <f t="array" ref="L7580">IFERROR(IF($B7580=L$1, ($A7580+$C7580) - MAX(IF($B$2:$B7579=$B7580, $A$2:$A7579+$C$2:$C7579)), "")*24*60, "")</f>
        <v/>
      </c>
      <c r="M7580" s="24" t="str" cm="1">
        <f t="array" ref="M7580">IFERROR(IF($B7580=M$1, ($A7580+$C7580) - MAX(IF($B$2:$B7579=$B7580, $A$2:$A7579+$C$2:$C7579)), "")*24*60, "")</f>
        <v/>
      </c>
      <c r="N7580" s="24" t="str" cm="1">
        <f t="array" ref="N7580">IFERROR(IF($B7580=N$1, ($A7580+$C7580) - MAX(IF($B$2:$B7579=$B7580, $A$2:$A7579+$C$2:$C7579)), "")*24*60, "")</f>
        <v/>
      </c>
      <c r="O7580" s="24" t="str" cm="1">
        <f t="array" ref="O7580">IFERROR(IF($B7580=O$1, ($A7580+$C7580) - MAX(IF($B$2:$B7579=$B7580, $A$2:$A7579+$C$2:$C7579)), "")*24*60, "")</f>
        <v/>
      </c>
      <c r="P7580" s="24" t="str" cm="1">
        <f t="array" ref="P7580">IFERROR(IF($B7580=P$1, ($A7580+$C7580) - MAX(IF($B$2:$B7579=$B7580, $A$2:$A7579+$C$2:$C7579)), "")*24*60, "")</f>
        <v/>
      </c>
      <c r="Q7580" s="24" t="str" cm="1">
        <f t="array" ref="Q7580">IFERROR(IF($B7580=Q$1, ($A7580+$C7580) - MAX(IF($B$2:$B7579=$B7580, $A$2:$A7579+$C$2:$C7579)), "")*24*60, "")</f>
        <v/>
      </c>
      <c r="R7580" s="24" t="str" cm="1">
        <f t="array" ref="R7580">IFERROR(IF($B7580=R$1, ($A7580+$C7580) - MAX(IF($B$2:$B7579=$B7580, $A$2:$A7579+$C$2:$C7579)), "")*24*60, "")</f>
        <v/>
      </c>
      <c r="S7580" s="24" t="str" cm="1">
        <f t="array" ref="S7580">IFERROR(IF($B7580=S$1, ($A7580+$C7580) - MAX(IF($B$2:$B7579=$B7580, $A$2:$A7579+$C$2:$C7579)), "")*24*60, "")</f>
        <v/>
      </c>
    </row>
    <row r="7581" spans="1:19" x14ac:dyDescent="0.2">
      <c r="A7581" s="12">
        <f t="shared" ref="A7581:C7581" si="1412">A7580</f>
        <v>46018</v>
      </c>
      <c r="B7581" s="5" t="str">
        <f t="shared" si="1412"/>
        <v>Northern Cardinal</v>
      </c>
      <c r="C7581" s="6">
        <f t="shared" si="1412"/>
        <v>0.29166666666666669</v>
      </c>
      <c r="D7581" s="5"/>
      <c r="E7581" s="5"/>
      <c r="F7581" s="5" t="s">
        <v>9</v>
      </c>
      <c r="G7581" s="15" t="s">
        <v>8</v>
      </c>
      <c r="H7581" s="24">
        <f t="shared" si="1410"/>
        <v>0</v>
      </c>
      <c r="I7581" s="24" cm="1">
        <f t="array" ref="I7581">IFERROR(IF($B7581=I$1, ($A7581+$C7581) - MAX(IF($B$2:$B7580=$B7581, $A$2:$A7580+$C$2:$C7580)), "")*24*60, "")</f>
        <v>0</v>
      </c>
      <c r="J7581" s="24" t="str" cm="1">
        <f t="array" ref="J7581">IFERROR(IF($B7581=J$1, ($A7581+$C7581) - MAX(IF($B$2:$B7580=$B7581, $A$2:$A7580+$C$2:$C7580)), "")*24*60, "")</f>
        <v/>
      </c>
      <c r="K7581" s="24" t="str" cm="1">
        <f t="array" ref="K7581">IFERROR(IF($B7581=K$1, ($A7581+$C7581) - MAX(IF($B$2:$B7580=$B7581, $A$2:$A7580+$C$2:$C7580)), "")*24*60, "")</f>
        <v/>
      </c>
      <c r="L7581" s="24" t="str" cm="1">
        <f t="array" ref="L7581">IFERROR(IF($B7581=L$1, ($A7581+$C7581) - MAX(IF($B$2:$B7580=$B7581, $A$2:$A7580+$C$2:$C7580)), "")*24*60, "")</f>
        <v/>
      </c>
      <c r="M7581" s="24" t="str" cm="1">
        <f t="array" ref="M7581">IFERROR(IF($B7581=M$1, ($A7581+$C7581) - MAX(IF($B$2:$B7580=$B7581, $A$2:$A7580+$C$2:$C7580)), "")*24*60, "")</f>
        <v/>
      </c>
      <c r="N7581" s="24" t="str" cm="1">
        <f t="array" ref="N7581">IFERROR(IF($B7581=N$1, ($A7581+$C7581) - MAX(IF($B$2:$B7580=$B7581, $A$2:$A7580+$C$2:$C7580)), "")*24*60, "")</f>
        <v/>
      </c>
      <c r="O7581" s="24" t="str" cm="1">
        <f t="array" ref="O7581">IFERROR(IF($B7581=O$1, ($A7581+$C7581) - MAX(IF($B$2:$B7580=$B7581, $A$2:$A7580+$C$2:$C7580)), "")*24*60, "")</f>
        <v/>
      </c>
      <c r="P7581" s="24" t="str" cm="1">
        <f t="array" ref="P7581">IFERROR(IF($B7581=P$1, ($A7581+$C7581) - MAX(IF($B$2:$B7580=$B7581, $A$2:$A7580+$C$2:$C7580)), "")*24*60, "")</f>
        <v/>
      </c>
      <c r="Q7581" s="24" t="str" cm="1">
        <f t="array" ref="Q7581">IFERROR(IF($B7581=Q$1, ($A7581+$C7581) - MAX(IF($B$2:$B7580=$B7581, $A$2:$A7580+$C$2:$C7580)), "")*24*60, "")</f>
        <v/>
      </c>
      <c r="R7581" s="24" t="str" cm="1">
        <f t="array" ref="R7581">IFERROR(IF($B7581=R$1, ($A7581+$C7581) - MAX(IF($B$2:$B7580=$B7581, $A$2:$A7580+$C$2:$C7580)), "")*24*60, "")</f>
        <v/>
      </c>
      <c r="S7581" s="24" t="str" cm="1">
        <f t="array" ref="S7581">IFERROR(IF($B7581=S$1, ($A7581+$C7581) - MAX(IF($B$2:$B7580=$B7581, $A$2:$A7580+$C$2:$C7580)), "")*24*60, "")</f>
        <v/>
      </c>
    </row>
    <row r="7582" spans="1:19" x14ac:dyDescent="0.2">
      <c r="A7582" s="12">
        <f t="shared" ref="A7582:C7582" si="1413">A7581</f>
        <v>46018</v>
      </c>
      <c r="B7582" s="5" t="str">
        <f t="shared" si="1413"/>
        <v>Northern Cardinal</v>
      </c>
      <c r="C7582" s="6">
        <f t="shared" si="1413"/>
        <v>0.29166666666666669</v>
      </c>
      <c r="D7582" s="5"/>
      <c r="E7582" s="5"/>
      <c r="F7582" s="5" t="s">
        <v>9</v>
      </c>
      <c r="G7582" s="15" t="s">
        <v>8</v>
      </c>
      <c r="H7582" s="24">
        <f t="shared" si="1410"/>
        <v>0</v>
      </c>
      <c r="I7582" s="24" cm="1">
        <f t="array" ref="I7582">IFERROR(IF($B7582=I$1, ($A7582+$C7582) - MAX(IF($B$2:$B7581=$B7582, $A$2:$A7581+$C$2:$C7581)), "")*24*60, "")</f>
        <v>0</v>
      </c>
      <c r="J7582" s="24" t="str" cm="1">
        <f t="array" ref="J7582">IFERROR(IF($B7582=J$1, ($A7582+$C7582) - MAX(IF($B$2:$B7581=$B7582, $A$2:$A7581+$C$2:$C7581)), "")*24*60, "")</f>
        <v/>
      </c>
      <c r="K7582" s="24" t="str" cm="1">
        <f t="array" ref="K7582">IFERROR(IF($B7582=K$1, ($A7582+$C7582) - MAX(IF($B$2:$B7581=$B7582, $A$2:$A7581+$C$2:$C7581)), "")*24*60, "")</f>
        <v/>
      </c>
      <c r="L7582" s="24" t="str" cm="1">
        <f t="array" ref="L7582">IFERROR(IF($B7582=L$1, ($A7582+$C7582) - MAX(IF($B$2:$B7581=$B7582, $A$2:$A7581+$C$2:$C7581)), "")*24*60, "")</f>
        <v/>
      </c>
      <c r="M7582" s="24" t="str" cm="1">
        <f t="array" ref="M7582">IFERROR(IF($B7582=M$1, ($A7582+$C7582) - MAX(IF($B$2:$B7581=$B7582, $A$2:$A7581+$C$2:$C7581)), "")*24*60, "")</f>
        <v/>
      </c>
      <c r="N7582" s="24" t="str" cm="1">
        <f t="array" ref="N7582">IFERROR(IF($B7582=N$1, ($A7582+$C7582) - MAX(IF($B$2:$B7581=$B7582, $A$2:$A7581+$C$2:$C7581)), "")*24*60, "")</f>
        <v/>
      </c>
      <c r="O7582" s="24" t="str" cm="1">
        <f t="array" ref="O7582">IFERROR(IF($B7582=O$1, ($A7582+$C7582) - MAX(IF($B$2:$B7581=$B7582, $A$2:$A7581+$C$2:$C7581)), "")*24*60, "")</f>
        <v/>
      </c>
      <c r="P7582" s="24" t="str" cm="1">
        <f t="array" ref="P7582">IFERROR(IF($B7582=P$1, ($A7582+$C7582) - MAX(IF($B$2:$B7581=$B7582, $A$2:$A7581+$C$2:$C7581)), "")*24*60, "")</f>
        <v/>
      </c>
      <c r="Q7582" s="24" t="str" cm="1">
        <f t="array" ref="Q7582">IFERROR(IF($B7582=Q$1, ($A7582+$C7582) - MAX(IF($B$2:$B7581=$B7582, $A$2:$A7581+$C$2:$C7581)), "")*24*60, "")</f>
        <v/>
      </c>
      <c r="R7582" s="24" t="str" cm="1">
        <f t="array" ref="R7582">IFERROR(IF($B7582=R$1, ($A7582+$C7582) - MAX(IF($B$2:$B7581=$B7582, $A$2:$A7581+$C$2:$C7581)), "")*24*60, "")</f>
        <v/>
      </c>
      <c r="S7582" s="24" t="str" cm="1">
        <f t="array" ref="S7582">IFERROR(IF($B7582=S$1, ($A7582+$C7582) - MAX(IF($B$2:$B7581=$B7582, $A$2:$A7581+$C$2:$C7581)), "")*24*60, "")</f>
        <v/>
      </c>
    </row>
    <row r="7583" spans="1:19" x14ac:dyDescent="0.2">
      <c r="A7583" s="12">
        <f t="shared" ref="A7583:C7583" si="1414">A7582</f>
        <v>46018</v>
      </c>
      <c r="B7583" s="5" t="str">
        <f t="shared" si="1414"/>
        <v>Northern Cardinal</v>
      </c>
      <c r="C7583" s="6">
        <f t="shared" si="1414"/>
        <v>0.29166666666666669</v>
      </c>
      <c r="D7583" s="5"/>
      <c r="E7583" s="5"/>
      <c r="F7583" s="5" t="s">
        <v>9</v>
      </c>
      <c r="G7583" s="15" t="s">
        <v>8</v>
      </c>
      <c r="H7583" s="24">
        <f t="shared" si="1410"/>
        <v>0</v>
      </c>
      <c r="I7583" s="24" cm="1">
        <f t="array" ref="I7583">IFERROR(IF($B7583=I$1, ($A7583+$C7583) - MAX(IF($B$2:$B7582=$B7583, $A$2:$A7582+$C$2:$C7582)), "")*24*60, "")</f>
        <v>0</v>
      </c>
      <c r="J7583" s="24" t="str" cm="1">
        <f t="array" ref="J7583">IFERROR(IF($B7583=J$1, ($A7583+$C7583) - MAX(IF($B$2:$B7582=$B7583, $A$2:$A7582+$C$2:$C7582)), "")*24*60, "")</f>
        <v/>
      </c>
      <c r="K7583" s="24" t="str" cm="1">
        <f t="array" ref="K7583">IFERROR(IF($B7583=K$1, ($A7583+$C7583) - MAX(IF($B$2:$B7582=$B7583, $A$2:$A7582+$C$2:$C7582)), "")*24*60, "")</f>
        <v/>
      </c>
      <c r="L7583" s="24" t="str" cm="1">
        <f t="array" ref="L7583">IFERROR(IF($B7583=L$1, ($A7583+$C7583) - MAX(IF($B$2:$B7582=$B7583, $A$2:$A7582+$C$2:$C7582)), "")*24*60, "")</f>
        <v/>
      </c>
      <c r="M7583" s="24" t="str" cm="1">
        <f t="array" ref="M7583">IFERROR(IF($B7583=M$1, ($A7583+$C7583) - MAX(IF($B$2:$B7582=$B7583, $A$2:$A7582+$C$2:$C7582)), "")*24*60, "")</f>
        <v/>
      </c>
      <c r="N7583" s="24" t="str" cm="1">
        <f t="array" ref="N7583">IFERROR(IF($B7583=N$1, ($A7583+$C7583) - MAX(IF($B$2:$B7582=$B7583, $A$2:$A7582+$C$2:$C7582)), "")*24*60, "")</f>
        <v/>
      </c>
      <c r="O7583" s="24" t="str" cm="1">
        <f t="array" ref="O7583">IFERROR(IF($B7583=O$1, ($A7583+$C7583) - MAX(IF($B$2:$B7582=$B7583, $A$2:$A7582+$C$2:$C7582)), "")*24*60, "")</f>
        <v/>
      </c>
      <c r="P7583" s="24" t="str" cm="1">
        <f t="array" ref="P7583">IFERROR(IF($B7583=P$1, ($A7583+$C7583) - MAX(IF($B$2:$B7582=$B7583, $A$2:$A7582+$C$2:$C7582)), "")*24*60, "")</f>
        <v/>
      </c>
      <c r="Q7583" s="24" t="str" cm="1">
        <f t="array" ref="Q7583">IFERROR(IF($B7583=Q$1, ($A7583+$C7583) - MAX(IF($B$2:$B7582=$B7583, $A$2:$A7582+$C$2:$C7582)), "")*24*60, "")</f>
        <v/>
      </c>
      <c r="R7583" s="24" t="str" cm="1">
        <f t="array" ref="R7583">IFERROR(IF($B7583=R$1, ($A7583+$C7583) - MAX(IF($B$2:$B7582=$B7583, $A$2:$A7582+$C$2:$C7582)), "")*24*60, "")</f>
        <v/>
      </c>
      <c r="S7583" s="24" t="str" cm="1">
        <f t="array" ref="S7583">IFERROR(IF($B7583=S$1, ($A7583+$C7583) - MAX(IF($B$2:$B7582=$B7583, $A$2:$A7582+$C$2:$C7582)), "")*24*60, "")</f>
        <v/>
      </c>
    </row>
    <row r="7584" spans="1:19" x14ac:dyDescent="0.2">
      <c r="A7584" s="12">
        <f t="shared" ref="A7584:C7584" si="1415">A7583</f>
        <v>46018</v>
      </c>
      <c r="B7584" s="5" t="str">
        <f t="shared" si="1415"/>
        <v>Northern Cardinal</v>
      </c>
      <c r="C7584" s="6">
        <f t="shared" si="1415"/>
        <v>0.29166666666666669</v>
      </c>
      <c r="D7584" s="5"/>
      <c r="E7584" s="5"/>
      <c r="F7584" s="5" t="s">
        <v>9</v>
      </c>
      <c r="G7584" s="15" t="s">
        <v>8</v>
      </c>
      <c r="H7584" s="24">
        <f t="shared" si="1410"/>
        <v>0</v>
      </c>
      <c r="I7584" s="24" cm="1">
        <f t="array" ref="I7584">IFERROR(IF($B7584=I$1, ($A7584+$C7584) - MAX(IF($B$2:$B7583=$B7584, $A$2:$A7583+$C$2:$C7583)), "")*24*60, "")</f>
        <v>0</v>
      </c>
      <c r="J7584" s="24" t="str" cm="1">
        <f t="array" ref="J7584">IFERROR(IF($B7584=J$1, ($A7584+$C7584) - MAX(IF($B$2:$B7583=$B7584, $A$2:$A7583+$C$2:$C7583)), "")*24*60, "")</f>
        <v/>
      </c>
      <c r="K7584" s="24" t="str" cm="1">
        <f t="array" ref="K7584">IFERROR(IF($B7584=K$1, ($A7584+$C7584) - MAX(IF($B$2:$B7583=$B7584, $A$2:$A7583+$C$2:$C7583)), "")*24*60, "")</f>
        <v/>
      </c>
      <c r="L7584" s="24" t="str" cm="1">
        <f t="array" ref="L7584">IFERROR(IF($B7584=L$1, ($A7584+$C7584) - MAX(IF($B$2:$B7583=$B7584, $A$2:$A7583+$C$2:$C7583)), "")*24*60, "")</f>
        <v/>
      </c>
      <c r="M7584" s="24" t="str" cm="1">
        <f t="array" ref="M7584">IFERROR(IF($B7584=M$1, ($A7584+$C7584) - MAX(IF($B$2:$B7583=$B7584, $A$2:$A7583+$C$2:$C7583)), "")*24*60, "")</f>
        <v/>
      </c>
      <c r="N7584" s="24" t="str" cm="1">
        <f t="array" ref="N7584">IFERROR(IF($B7584=N$1, ($A7584+$C7584) - MAX(IF($B$2:$B7583=$B7584, $A$2:$A7583+$C$2:$C7583)), "")*24*60, "")</f>
        <v/>
      </c>
      <c r="O7584" s="24" t="str" cm="1">
        <f t="array" ref="O7584">IFERROR(IF($B7584=O$1, ($A7584+$C7584) - MAX(IF($B$2:$B7583=$B7584, $A$2:$A7583+$C$2:$C7583)), "")*24*60, "")</f>
        <v/>
      </c>
      <c r="P7584" s="24" t="str" cm="1">
        <f t="array" ref="P7584">IFERROR(IF($B7584=P$1, ($A7584+$C7584) - MAX(IF($B$2:$B7583=$B7584, $A$2:$A7583+$C$2:$C7583)), "")*24*60, "")</f>
        <v/>
      </c>
      <c r="Q7584" s="24" t="str" cm="1">
        <f t="array" ref="Q7584">IFERROR(IF($B7584=Q$1, ($A7584+$C7584) - MAX(IF($B$2:$B7583=$B7584, $A$2:$A7583+$C$2:$C7583)), "")*24*60, "")</f>
        <v/>
      </c>
      <c r="R7584" s="24" t="str" cm="1">
        <f t="array" ref="R7584">IFERROR(IF($B7584=R$1, ($A7584+$C7584) - MAX(IF($B$2:$B7583=$B7584, $A$2:$A7583+$C$2:$C7583)), "")*24*60, "")</f>
        <v/>
      </c>
      <c r="S7584" s="24" t="str" cm="1">
        <f t="array" ref="S7584">IFERROR(IF($B7584=S$1, ($A7584+$C7584) - MAX(IF($B$2:$B7583=$B7584, $A$2:$A7583+$C$2:$C7583)), "")*24*60, "")</f>
        <v/>
      </c>
    </row>
    <row r="7585" spans="1:19" x14ac:dyDescent="0.2">
      <c r="A7585" s="12">
        <f t="shared" ref="A7585:C7585" si="1416">A7584</f>
        <v>46018</v>
      </c>
      <c r="B7585" s="5" t="str">
        <f t="shared" si="1416"/>
        <v>Northern Cardinal</v>
      </c>
      <c r="C7585" s="6">
        <f t="shared" si="1416"/>
        <v>0.29166666666666669</v>
      </c>
      <c r="D7585" s="5"/>
      <c r="E7585" s="5"/>
      <c r="F7585" s="5" t="s">
        <v>9</v>
      </c>
      <c r="G7585" s="15" t="s">
        <v>8</v>
      </c>
      <c r="H7585" s="24">
        <f t="shared" si="1410"/>
        <v>0</v>
      </c>
      <c r="I7585" s="24" cm="1">
        <f t="array" ref="I7585">IFERROR(IF($B7585=I$1, ($A7585+$C7585) - MAX(IF($B$2:$B7584=$B7585, $A$2:$A7584+$C$2:$C7584)), "")*24*60, "")</f>
        <v>0</v>
      </c>
      <c r="J7585" s="24" t="str" cm="1">
        <f t="array" ref="J7585">IFERROR(IF($B7585=J$1, ($A7585+$C7585) - MAX(IF($B$2:$B7584=$B7585, $A$2:$A7584+$C$2:$C7584)), "")*24*60, "")</f>
        <v/>
      </c>
      <c r="K7585" s="24" t="str" cm="1">
        <f t="array" ref="K7585">IFERROR(IF($B7585=K$1, ($A7585+$C7585) - MAX(IF($B$2:$B7584=$B7585, $A$2:$A7584+$C$2:$C7584)), "")*24*60, "")</f>
        <v/>
      </c>
      <c r="L7585" s="24" t="str" cm="1">
        <f t="array" ref="L7585">IFERROR(IF($B7585=L$1, ($A7585+$C7585) - MAX(IF($B$2:$B7584=$B7585, $A$2:$A7584+$C$2:$C7584)), "")*24*60, "")</f>
        <v/>
      </c>
      <c r="M7585" s="24" t="str" cm="1">
        <f t="array" ref="M7585">IFERROR(IF($B7585=M$1, ($A7585+$C7585) - MAX(IF($B$2:$B7584=$B7585, $A$2:$A7584+$C$2:$C7584)), "")*24*60, "")</f>
        <v/>
      </c>
      <c r="N7585" s="24" t="str" cm="1">
        <f t="array" ref="N7585">IFERROR(IF($B7585=N$1, ($A7585+$C7585) - MAX(IF($B$2:$B7584=$B7585, $A$2:$A7584+$C$2:$C7584)), "")*24*60, "")</f>
        <v/>
      </c>
      <c r="O7585" s="24" t="str" cm="1">
        <f t="array" ref="O7585">IFERROR(IF($B7585=O$1, ($A7585+$C7585) - MAX(IF($B$2:$B7584=$B7585, $A$2:$A7584+$C$2:$C7584)), "")*24*60, "")</f>
        <v/>
      </c>
      <c r="P7585" s="24" t="str" cm="1">
        <f t="array" ref="P7585">IFERROR(IF($B7585=P$1, ($A7585+$C7585) - MAX(IF($B$2:$B7584=$B7585, $A$2:$A7584+$C$2:$C7584)), "")*24*60, "")</f>
        <v/>
      </c>
      <c r="Q7585" s="24" t="str" cm="1">
        <f t="array" ref="Q7585">IFERROR(IF($B7585=Q$1, ($A7585+$C7585) - MAX(IF($B$2:$B7584=$B7585, $A$2:$A7584+$C$2:$C7584)), "")*24*60, "")</f>
        <v/>
      </c>
      <c r="R7585" s="24" t="str" cm="1">
        <f t="array" ref="R7585">IFERROR(IF($B7585=R$1, ($A7585+$C7585) - MAX(IF($B$2:$B7584=$B7585, $A$2:$A7584+$C$2:$C7584)), "")*24*60, "")</f>
        <v/>
      </c>
      <c r="S7585" s="24" t="str" cm="1">
        <f t="array" ref="S7585">IFERROR(IF($B7585=S$1, ($A7585+$C7585) - MAX(IF($B$2:$B7584=$B7585, $A$2:$A7584+$C$2:$C7584)), "")*24*60, "")</f>
        <v/>
      </c>
    </row>
    <row r="7586" spans="1:19" x14ac:dyDescent="0.2">
      <c r="A7586" s="12">
        <f t="shared" ref="A7586:C7586" si="1417">A7585</f>
        <v>46018</v>
      </c>
      <c r="B7586" s="5" t="str">
        <f t="shared" si="1417"/>
        <v>Northern Cardinal</v>
      </c>
      <c r="C7586" s="6">
        <f t="shared" si="1417"/>
        <v>0.29166666666666669</v>
      </c>
      <c r="D7586" s="5"/>
      <c r="E7586" s="5"/>
      <c r="F7586" s="5" t="s">
        <v>9</v>
      </c>
      <c r="G7586" s="15" t="s">
        <v>8</v>
      </c>
      <c r="H7586" s="24">
        <f t="shared" si="1410"/>
        <v>0</v>
      </c>
      <c r="I7586" s="24" cm="1">
        <f t="array" ref="I7586">IFERROR(IF($B7586=I$1, ($A7586+$C7586) - MAX(IF($B$2:$B7585=$B7586, $A$2:$A7585+$C$2:$C7585)), "")*24*60, "")</f>
        <v>0</v>
      </c>
      <c r="J7586" s="24" t="str" cm="1">
        <f t="array" ref="J7586">IFERROR(IF($B7586=J$1, ($A7586+$C7586) - MAX(IF($B$2:$B7585=$B7586, $A$2:$A7585+$C$2:$C7585)), "")*24*60, "")</f>
        <v/>
      </c>
      <c r="K7586" s="24" t="str" cm="1">
        <f t="array" ref="K7586">IFERROR(IF($B7586=K$1, ($A7586+$C7586) - MAX(IF($B$2:$B7585=$B7586, $A$2:$A7585+$C$2:$C7585)), "")*24*60, "")</f>
        <v/>
      </c>
      <c r="L7586" s="24" t="str" cm="1">
        <f t="array" ref="L7586">IFERROR(IF($B7586=L$1, ($A7586+$C7586) - MAX(IF($B$2:$B7585=$B7586, $A$2:$A7585+$C$2:$C7585)), "")*24*60, "")</f>
        <v/>
      </c>
      <c r="M7586" s="24" t="str" cm="1">
        <f t="array" ref="M7586">IFERROR(IF($B7586=M$1, ($A7586+$C7586) - MAX(IF($B$2:$B7585=$B7586, $A$2:$A7585+$C$2:$C7585)), "")*24*60, "")</f>
        <v/>
      </c>
      <c r="N7586" s="24" t="str" cm="1">
        <f t="array" ref="N7586">IFERROR(IF($B7586=N$1, ($A7586+$C7586) - MAX(IF($B$2:$B7585=$B7586, $A$2:$A7585+$C$2:$C7585)), "")*24*60, "")</f>
        <v/>
      </c>
      <c r="O7586" s="24" t="str" cm="1">
        <f t="array" ref="O7586">IFERROR(IF($B7586=O$1, ($A7586+$C7586) - MAX(IF($B$2:$B7585=$B7586, $A$2:$A7585+$C$2:$C7585)), "")*24*60, "")</f>
        <v/>
      </c>
      <c r="P7586" s="24" t="str" cm="1">
        <f t="array" ref="P7586">IFERROR(IF($B7586=P$1, ($A7586+$C7586) - MAX(IF($B$2:$B7585=$B7586, $A$2:$A7585+$C$2:$C7585)), "")*24*60, "")</f>
        <v/>
      </c>
      <c r="Q7586" s="24" t="str" cm="1">
        <f t="array" ref="Q7586">IFERROR(IF($B7586=Q$1, ($A7586+$C7586) - MAX(IF($B$2:$B7585=$B7586, $A$2:$A7585+$C$2:$C7585)), "")*24*60, "")</f>
        <v/>
      </c>
      <c r="R7586" s="24" t="str" cm="1">
        <f t="array" ref="R7586">IFERROR(IF($B7586=R$1, ($A7586+$C7586) - MAX(IF($B$2:$B7585=$B7586, $A$2:$A7585+$C$2:$C7585)), "")*24*60, "")</f>
        <v/>
      </c>
      <c r="S7586" s="24" t="str" cm="1">
        <f t="array" ref="S7586">IFERROR(IF($B7586=S$1, ($A7586+$C7586) - MAX(IF($B$2:$B7585=$B7586, $A$2:$A7585+$C$2:$C7585)), "")*24*60, "")</f>
        <v/>
      </c>
    </row>
    <row r="7587" spans="1:19" x14ac:dyDescent="0.2">
      <c r="A7587" s="12">
        <f t="shared" ref="A7587:C7587" si="1418">A7586</f>
        <v>46018</v>
      </c>
      <c r="B7587" s="5" t="str">
        <f t="shared" si="1418"/>
        <v>Northern Cardinal</v>
      </c>
      <c r="C7587" s="6">
        <f t="shared" si="1418"/>
        <v>0.29166666666666669</v>
      </c>
      <c r="D7587" s="5"/>
      <c r="E7587" s="5"/>
      <c r="F7587" s="5" t="s">
        <v>9</v>
      </c>
      <c r="G7587" s="15" t="s">
        <v>8</v>
      </c>
      <c r="H7587" s="24">
        <f t="shared" si="1410"/>
        <v>0</v>
      </c>
      <c r="I7587" s="24" cm="1">
        <f t="array" ref="I7587">IFERROR(IF($B7587=I$1, ($A7587+$C7587) - MAX(IF($B$2:$B7586=$B7587, $A$2:$A7586+$C$2:$C7586)), "")*24*60, "")</f>
        <v>0</v>
      </c>
      <c r="J7587" s="24" t="str" cm="1">
        <f t="array" ref="J7587">IFERROR(IF($B7587=J$1, ($A7587+$C7587) - MAX(IF($B$2:$B7586=$B7587, $A$2:$A7586+$C$2:$C7586)), "")*24*60, "")</f>
        <v/>
      </c>
      <c r="K7587" s="24" t="str" cm="1">
        <f t="array" ref="K7587">IFERROR(IF($B7587=K$1, ($A7587+$C7587) - MAX(IF($B$2:$B7586=$B7587, $A$2:$A7586+$C$2:$C7586)), "")*24*60, "")</f>
        <v/>
      </c>
      <c r="L7587" s="24" t="str" cm="1">
        <f t="array" ref="L7587">IFERROR(IF($B7587=L$1, ($A7587+$C7587) - MAX(IF($B$2:$B7586=$B7587, $A$2:$A7586+$C$2:$C7586)), "")*24*60, "")</f>
        <v/>
      </c>
      <c r="M7587" s="24" t="str" cm="1">
        <f t="array" ref="M7587">IFERROR(IF($B7587=M$1, ($A7587+$C7587) - MAX(IF($B$2:$B7586=$B7587, $A$2:$A7586+$C$2:$C7586)), "")*24*60, "")</f>
        <v/>
      </c>
      <c r="N7587" s="24" t="str" cm="1">
        <f t="array" ref="N7587">IFERROR(IF($B7587=N$1, ($A7587+$C7587) - MAX(IF($B$2:$B7586=$B7587, $A$2:$A7586+$C$2:$C7586)), "")*24*60, "")</f>
        <v/>
      </c>
      <c r="O7587" s="24" t="str" cm="1">
        <f t="array" ref="O7587">IFERROR(IF($B7587=O$1, ($A7587+$C7587) - MAX(IF($B$2:$B7586=$B7587, $A$2:$A7586+$C$2:$C7586)), "")*24*60, "")</f>
        <v/>
      </c>
      <c r="P7587" s="24" t="str" cm="1">
        <f t="array" ref="P7587">IFERROR(IF($B7587=P$1, ($A7587+$C7587) - MAX(IF($B$2:$B7586=$B7587, $A$2:$A7586+$C$2:$C7586)), "")*24*60, "")</f>
        <v/>
      </c>
      <c r="Q7587" s="24" t="str" cm="1">
        <f t="array" ref="Q7587">IFERROR(IF($B7587=Q$1, ($A7587+$C7587) - MAX(IF($B$2:$B7586=$B7587, $A$2:$A7586+$C$2:$C7586)), "")*24*60, "")</f>
        <v/>
      </c>
      <c r="R7587" s="24" t="str" cm="1">
        <f t="array" ref="R7587">IFERROR(IF($B7587=R$1, ($A7587+$C7587) - MAX(IF($B$2:$B7586=$B7587, $A$2:$A7586+$C$2:$C7586)), "")*24*60, "")</f>
        <v/>
      </c>
      <c r="S7587" s="24" t="str" cm="1">
        <f t="array" ref="S7587">IFERROR(IF($B7587=S$1, ($A7587+$C7587) - MAX(IF($B$2:$B7586=$B7587, $A$2:$A7586+$C$2:$C7586)), "")*24*60, "")</f>
        <v/>
      </c>
    </row>
    <row r="7588" spans="1:19" x14ac:dyDescent="0.2">
      <c r="A7588" s="12">
        <f t="shared" ref="A7588:C7588" si="1419">A7587</f>
        <v>46018</v>
      </c>
      <c r="B7588" s="5" t="str">
        <f t="shared" si="1419"/>
        <v>Northern Cardinal</v>
      </c>
      <c r="C7588" s="6">
        <f t="shared" si="1419"/>
        <v>0.29166666666666669</v>
      </c>
      <c r="D7588" s="5"/>
      <c r="E7588" s="5"/>
      <c r="F7588" s="5" t="s">
        <v>9</v>
      </c>
      <c r="G7588" s="15" t="s">
        <v>8</v>
      </c>
      <c r="H7588" s="24">
        <f t="shared" si="1410"/>
        <v>0</v>
      </c>
      <c r="I7588" s="24" cm="1">
        <f t="array" ref="I7588">IFERROR(IF($B7588=I$1, ($A7588+$C7588) - MAX(IF($B$2:$B7587=$B7588, $A$2:$A7587+$C$2:$C7587)), "")*24*60, "")</f>
        <v>0</v>
      </c>
      <c r="J7588" s="24" t="str" cm="1">
        <f t="array" ref="J7588">IFERROR(IF($B7588=J$1, ($A7588+$C7588) - MAX(IF($B$2:$B7587=$B7588, $A$2:$A7587+$C$2:$C7587)), "")*24*60, "")</f>
        <v/>
      </c>
      <c r="K7588" s="24" t="str" cm="1">
        <f t="array" ref="K7588">IFERROR(IF($B7588=K$1, ($A7588+$C7588) - MAX(IF($B$2:$B7587=$B7588, $A$2:$A7587+$C$2:$C7587)), "")*24*60, "")</f>
        <v/>
      </c>
      <c r="L7588" s="24" t="str" cm="1">
        <f t="array" ref="L7588">IFERROR(IF($B7588=L$1, ($A7588+$C7588) - MAX(IF($B$2:$B7587=$B7588, $A$2:$A7587+$C$2:$C7587)), "")*24*60, "")</f>
        <v/>
      </c>
      <c r="M7588" s="24" t="str" cm="1">
        <f t="array" ref="M7588">IFERROR(IF($B7588=M$1, ($A7588+$C7588) - MAX(IF($B$2:$B7587=$B7588, $A$2:$A7587+$C$2:$C7587)), "")*24*60, "")</f>
        <v/>
      </c>
      <c r="N7588" s="24" t="str" cm="1">
        <f t="array" ref="N7588">IFERROR(IF($B7588=N$1, ($A7588+$C7588) - MAX(IF($B$2:$B7587=$B7588, $A$2:$A7587+$C$2:$C7587)), "")*24*60, "")</f>
        <v/>
      </c>
      <c r="O7588" s="24" t="str" cm="1">
        <f t="array" ref="O7588">IFERROR(IF($B7588=O$1, ($A7588+$C7588) - MAX(IF($B$2:$B7587=$B7588, $A$2:$A7587+$C$2:$C7587)), "")*24*60, "")</f>
        <v/>
      </c>
      <c r="P7588" s="24" t="str" cm="1">
        <f t="array" ref="P7588">IFERROR(IF($B7588=P$1, ($A7588+$C7588) - MAX(IF($B$2:$B7587=$B7588, $A$2:$A7587+$C$2:$C7587)), "")*24*60, "")</f>
        <v/>
      </c>
      <c r="Q7588" s="24" t="str" cm="1">
        <f t="array" ref="Q7588">IFERROR(IF($B7588=Q$1, ($A7588+$C7588) - MAX(IF($B$2:$B7587=$B7588, $A$2:$A7587+$C$2:$C7587)), "")*24*60, "")</f>
        <v/>
      </c>
      <c r="R7588" s="24" t="str" cm="1">
        <f t="array" ref="R7588">IFERROR(IF($B7588=R$1, ($A7588+$C7588) - MAX(IF($B$2:$B7587=$B7588, $A$2:$A7587+$C$2:$C7587)), "")*24*60, "")</f>
        <v/>
      </c>
      <c r="S7588" s="24" t="str" cm="1">
        <f t="array" ref="S7588">IFERROR(IF($B7588=S$1, ($A7588+$C7588) - MAX(IF($B$2:$B7587=$B7588, $A$2:$A7587+$C$2:$C7587)), "")*24*60, "")</f>
        <v/>
      </c>
    </row>
    <row r="7589" spans="1:19" x14ac:dyDescent="0.2">
      <c r="A7589" s="12">
        <f t="shared" ref="A7589:C7589" si="1420">A7588</f>
        <v>46018</v>
      </c>
      <c r="B7589" s="5" t="str">
        <f t="shared" si="1420"/>
        <v>Northern Cardinal</v>
      </c>
      <c r="C7589" s="6">
        <f t="shared" si="1420"/>
        <v>0.29166666666666669</v>
      </c>
      <c r="D7589" s="5"/>
      <c r="E7589" s="5"/>
      <c r="F7589" s="5" t="s">
        <v>9</v>
      </c>
      <c r="G7589" s="15" t="s">
        <v>8</v>
      </c>
      <c r="H7589" s="24">
        <f t="shared" si="1410"/>
        <v>0</v>
      </c>
      <c r="I7589" s="24" cm="1">
        <f t="array" ref="I7589">IFERROR(IF($B7589=I$1, ($A7589+$C7589) - MAX(IF($B$2:$B7588=$B7589, $A$2:$A7588+$C$2:$C7588)), "")*24*60, "")</f>
        <v>0</v>
      </c>
      <c r="J7589" s="24" t="str" cm="1">
        <f t="array" ref="J7589">IFERROR(IF($B7589=J$1, ($A7589+$C7589) - MAX(IF($B$2:$B7588=$B7589, $A$2:$A7588+$C$2:$C7588)), "")*24*60, "")</f>
        <v/>
      </c>
      <c r="K7589" s="24" t="str" cm="1">
        <f t="array" ref="K7589">IFERROR(IF($B7589=K$1, ($A7589+$C7589) - MAX(IF($B$2:$B7588=$B7589, $A$2:$A7588+$C$2:$C7588)), "")*24*60, "")</f>
        <v/>
      </c>
      <c r="L7589" s="24" t="str" cm="1">
        <f t="array" ref="L7589">IFERROR(IF($B7589=L$1, ($A7589+$C7589) - MAX(IF($B$2:$B7588=$B7589, $A$2:$A7588+$C$2:$C7588)), "")*24*60, "")</f>
        <v/>
      </c>
      <c r="M7589" s="24" t="str" cm="1">
        <f t="array" ref="M7589">IFERROR(IF($B7589=M$1, ($A7589+$C7589) - MAX(IF($B$2:$B7588=$B7589, $A$2:$A7588+$C$2:$C7588)), "")*24*60, "")</f>
        <v/>
      </c>
      <c r="N7589" s="24" t="str" cm="1">
        <f t="array" ref="N7589">IFERROR(IF($B7589=N$1, ($A7589+$C7589) - MAX(IF($B$2:$B7588=$B7589, $A$2:$A7588+$C$2:$C7588)), "")*24*60, "")</f>
        <v/>
      </c>
      <c r="O7589" s="24" t="str" cm="1">
        <f t="array" ref="O7589">IFERROR(IF($B7589=O$1, ($A7589+$C7589) - MAX(IF($B$2:$B7588=$B7589, $A$2:$A7588+$C$2:$C7588)), "")*24*60, "")</f>
        <v/>
      </c>
      <c r="P7589" s="24" t="str" cm="1">
        <f t="array" ref="P7589">IFERROR(IF($B7589=P$1, ($A7589+$C7589) - MAX(IF($B$2:$B7588=$B7589, $A$2:$A7588+$C$2:$C7588)), "")*24*60, "")</f>
        <v/>
      </c>
      <c r="Q7589" s="24" t="str" cm="1">
        <f t="array" ref="Q7589">IFERROR(IF($B7589=Q$1, ($A7589+$C7589) - MAX(IF($B$2:$B7588=$B7589, $A$2:$A7588+$C$2:$C7588)), "")*24*60, "")</f>
        <v/>
      </c>
      <c r="R7589" s="24" t="str" cm="1">
        <f t="array" ref="R7589">IFERROR(IF($B7589=R$1, ($A7589+$C7589) - MAX(IF($B$2:$B7588=$B7589, $A$2:$A7588+$C$2:$C7588)), "")*24*60, "")</f>
        <v/>
      </c>
      <c r="S7589" s="24" t="str" cm="1">
        <f t="array" ref="S7589">IFERROR(IF($B7589=S$1, ($A7589+$C7589) - MAX(IF($B$2:$B7588=$B7589, $A$2:$A7588+$C$2:$C7588)), "")*24*60, "")</f>
        <v/>
      </c>
    </row>
    <row r="7590" spans="1:19" x14ac:dyDescent="0.2">
      <c r="A7590" s="12">
        <f t="shared" ref="A7590:C7590" si="1421">A7589</f>
        <v>46018</v>
      </c>
      <c r="B7590" s="5" t="str">
        <f t="shared" si="1421"/>
        <v>Northern Cardinal</v>
      </c>
      <c r="C7590" s="6">
        <f t="shared" si="1421"/>
        <v>0.29166666666666669</v>
      </c>
      <c r="D7590" s="5"/>
      <c r="E7590" s="5"/>
      <c r="F7590" s="5" t="s">
        <v>9</v>
      </c>
      <c r="G7590" s="15" t="s">
        <v>8</v>
      </c>
      <c r="H7590" s="24">
        <f t="shared" si="1410"/>
        <v>0</v>
      </c>
      <c r="I7590" s="24" cm="1">
        <f t="array" ref="I7590">IFERROR(IF($B7590=I$1, ($A7590+$C7590) - MAX(IF($B$2:$B7589=$B7590, $A$2:$A7589+$C$2:$C7589)), "")*24*60, "")</f>
        <v>0</v>
      </c>
      <c r="J7590" s="24" t="str" cm="1">
        <f t="array" ref="J7590">IFERROR(IF($B7590=J$1, ($A7590+$C7590) - MAX(IF($B$2:$B7589=$B7590, $A$2:$A7589+$C$2:$C7589)), "")*24*60, "")</f>
        <v/>
      </c>
      <c r="K7590" s="24" t="str" cm="1">
        <f t="array" ref="K7590">IFERROR(IF($B7590=K$1, ($A7590+$C7590) - MAX(IF($B$2:$B7589=$B7590, $A$2:$A7589+$C$2:$C7589)), "")*24*60, "")</f>
        <v/>
      </c>
      <c r="L7590" s="24" t="str" cm="1">
        <f t="array" ref="L7590">IFERROR(IF($B7590=L$1, ($A7590+$C7590) - MAX(IF($B$2:$B7589=$B7590, $A$2:$A7589+$C$2:$C7589)), "")*24*60, "")</f>
        <v/>
      </c>
      <c r="M7590" s="24" t="str" cm="1">
        <f t="array" ref="M7590">IFERROR(IF($B7590=M$1, ($A7590+$C7590) - MAX(IF($B$2:$B7589=$B7590, $A$2:$A7589+$C$2:$C7589)), "")*24*60, "")</f>
        <v/>
      </c>
      <c r="N7590" s="24" t="str" cm="1">
        <f t="array" ref="N7590">IFERROR(IF($B7590=N$1, ($A7590+$C7590) - MAX(IF($B$2:$B7589=$B7590, $A$2:$A7589+$C$2:$C7589)), "")*24*60, "")</f>
        <v/>
      </c>
      <c r="O7590" s="24" t="str" cm="1">
        <f t="array" ref="O7590">IFERROR(IF($B7590=O$1, ($A7590+$C7590) - MAX(IF($B$2:$B7589=$B7590, $A$2:$A7589+$C$2:$C7589)), "")*24*60, "")</f>
        <v/>
      </c>
      <c r="P7590" s="24" t="str" cm="1">
        <f t="array" ref="P7590">IFERROR(IF($B7590=P$1, ($A7590+$C7590) - MAX(IF($B$2:$B7589=$B7590, $A$2:$A7589+$C$2:$C7589)), "")*24*60, "")</f>
        <v/>
      </c>
      <c r="Q7590" s="24" t="str" cm="1">
        <f t="array" ref="Q7590">IFERROR(IF($B7590=Q$1, ($A7590+$C7590) - MAX(IF($B$2:$B7589=$B7590, $A$2:$A7589+$C$2:$C7589)), "")*24*60, "")</f>
        <v/>
      </c>
      <c r="R7590" s="24" t="str" cm="1">
        <f t="array" ref="R7590">IFERROR(IF($B7590=R$1, ($A7590+$C7590) - MAX(IF($B$2:$B7589=$B7590, $A$2:$A7589+$C$2:$C7589)), "")*24*60, "")</f>
        <v/>
      </c>
      <c r="S7590" s="24" t="str" cm="1">
        <f t="array" ref="S7590">IFERROR(IF($B7590=S$1, ($A7590+$C7590) - MAX(IF($B$2:$B7589=$B7590, $A$2:$A7589+$C$2:$C7589)), "")*24*60, "")</f>
        <v/>
      </c>
    </row>
    <row r="7591" spans="1:19" x14ac:dyDescent="0.2">
      <c r="A7591" s="12">
        <f t="shared" ref="A7591:C7591" si="1422">A7590</f>
        <v>46018</v>
      </c>
      <c r="B7591" s="5" t="str">
        <f t="shared" si="1422"/>
        <v>Northern Cardinal</v>
      </c>
      <c r="C7591" s="6">
        <f t="shared" si="1422"/>
        <v>0.29166666666666669</v>
      </c>
      <c r="D7591" s="5"/>
      <c r="E7591" s="5"/>
      <c r="F7591" s="5" t="s">
        <v>9</v>
      </c>
      <c r="G7591" s="15" t="s">
        <v>8</v>
      </c>
      <c r="H7591" s="24">
        <f t="shared" si="1410"/>
        <v>0</v>
      </c>
      <c r="I7591" s="24" cm="1">
        <f t="array" ref="I7591">IFERROR(IF($B7591=I$1, ($A7591+$C7591) - MAX(IF($B$2:$B7590=$B7591, $A$2:$A7590+$C$2:$C7590)), "")*24*60, "")</f>
        <v>0</v>
      </c>
      <c r="J7591" s="24" t="str" cm="1">
        <f t="array" ref="J7591">IFERROR(IF($B7591=J$1, ($A7591+$C7591) - MAX(IF($B$2:$B7590=$B7591, $A$2:$A7590+$C$2:$C7590)), "")*24*60, "")</f>
        <v/>
      </c>
      <c r="K7591" s="24" t="str" cm="1">
        <f t="array" ref="K7591">IFERROR(IF($B7591=K$1, ($A7591+$C7591) - MAX(IF($B$2:$B7590=$B7591, $A$2:$A7590+$C$2:$C7590)), "")*24*60, "")</f>
        <v/>
      </c>
      <c r="L7591" s="24" t="str" cm="1">
        <f t="array" ref="L7591">IFERROR(IF($B7591=L$1, ($A7591+$C7591) - MAX(IF($B$2:$B7590=$B7591, $A$2:$A7590+$C$2:$C7590)), "")*24*60, "")</f>
        <v/>
      </c>
      <c r="M7591" s="24" t="str" cm="1">
        <f t="array" ref="M7591">IFERROR(IF($B7591=M$1, ($A7591+$C7591) - MAX(IF($B$2:$B7590=$B7591, $A$2:$A7590+$C$2:$C7590)), "")*24*60, "")</f>
        <v/>
      </c>
      <c r="N7591" s="24" t="str" cm="1">
        <f t="array" ref="N7591">IFERROR(IF($B7591=N$1, ($A7591+$C7591) - MAX(IF($B$2:$B7590=$B7591, $A$2:$A7590+$C$2:$C7590)), "")*24*60, "")</f>
        <v/>
      </c>
      <c r="O7591" s="24" t="str" cm="1">
        <f t="array" ref="O7591">IFERROR(IF($B7591=O$1, ($A7591+$C7591) - MAX(IF($B$2:$B7590=$B7591, $A$2:$A7590+$C$2:$C7590)), "")*24*60, "")</f>
        <v/>
      </c>
      <c r="P7591" s="24" t="str" cm="1">
        <f t="array" ref="P7591">IFERROR(IF($B7591=P$1, ($A7591+$C7591) - MAX(IF($B$2:$B7590=$B7591, $A$2:$A7590+$C$2:$C7590)), "")*24*60, "")</f>
        <v/>
      </c>
      <c r="Q7591" s="24" t="str" cm="1">
        <f t="array" ref="Q7591">IFERROR(IF($B7591=Q$1, ($A7591+$C7591) - MAX(IF($B$2:$B7590=$B7591, $A$2:$A7590+$C$2:$C7590)), "")*24*60, "")</f>
        <v/>
      </c>
      <c r="R7591" s="24" t="str" cm="1">
        <f t="array" ref="R7591">IFERROR(IF($B7591=R$1, ($A7591+$C7591) - MAX(IF($B$2:$B7590=$B7591, $A$2:$A7590+$C$2:$C7590)), "")*24*60, "")</f>
        <v/>
      </c>
      <c r="S7591" s="24" t="str" cm="1">
        <f t="array" ref="S7591">IFERROR(IF($B7591=S$1, ($A7591+$C7591) - MAX(IF($B$2:$B7590=$B7591, $A$2:$A7590+$C$2:$C7590)), "")*24*60, "")</f>
        <v/>
      </c>
    </row>
    <row r="7592" spans="1:19" x14ac:dyDescent="0.2">
      <c r="A7592" s="12">
        <f t="shared" ref="A7592:C7592" si="1423">A7591</f>
        <v>46018</v>
      </c>
      <c r="B7592" s="5" t="str">
        <f t="shared" si="1423"/>
        <v>Northern Cardinal</v>
      </c>
      <c r="C7592" s="6">
        <f t="shared" si="1423"/>
        <v>0.29166666666666669</v>
      </c>
      <c r="D7592" s="5"/>
      <c r="E7592" s="5"/>
      <c r="F7592" s="5" t="s">
        <v>9</v>
      </c>
      <c r="G7592" s="15" t="s">
        <v>8</v>
      </c>
      <c r="H7592" s="24">
        <f t="shared" si="1410"/>
        <v>0</v>
      </c>
      <c r="I7592" s="24" cm="1">
        <f t="array" ref="I7592">IFERROR(IF($B7592=I$1, ($A7592+$C7592) - MAX(IF($B$2:$B7591=$B7592, $A$2:$A7591+$C$2:$C7591)), "")*24*60, "")</f>
        <v>0</v>
      </c>
      <c r="J7592" s="24" t="str" cm="1">
        <f t="array" ref="J7592">IFERROR(IF($B7592=J$1, ($A7592+$C7592) - MAX(IF($B$2:$B7591=$B7592, $A$2:$A7591+$C$2:$C7591)), "")*24*60, "")</f>
        <v/>
      </c>
      <c r="K7592" s="24" t="str" cm="1">
        <f t="array" ref="K7592">IFERROR(IF($B7592=K$1, ($A7592+$C7592) - MAX(IF($B$2:$B7591=$B7592, $A$2:$A7591+$C$2:$C7591)), "")*24*60, "")</f>
        <v/>
      </c>
      <c r="L7592" s="24" t="str" cm="1">
        <f t="array" ref="L7592">IFERROR(IF($B7592=L$1, ($A7592+$C7592) - MAX(IF($B$2:$B7591=$B7592, $A$2:$A7591+$C$2:$C7591)), "")*24*60, "")</f>
        <v/>
      </c>
      <c r="M7592" s="24" t="str" cm="1">
        <f t="array" ref="M7592">IFERROR(IF($B7592=M$1, ($A7592+$C7592) - MAX(IF($B$2:$B7591=$B7592, $A$2:$A7591+$C$2:$C7591)), "")*24*60, "")</f>
        <v/>
      </c>
      <c r="N7592" s="24" t="str" cm="1">
        <f t="array" ref="N7592">IFERROR(IF($B7592=N$1, ($A7592+$C7592) - MAX(IF($B$2:$B7591=$B7592, $A$2:$A7591+$C$2:$C7591)), "")*24*60, "")</f>
        <v/>
      </c>
      <c r="O7592" s="24" t="str" cm="1">
        <f t="array" ref="O7592">IFERROR(IF($B7592=O$1, ($A7592+$C7592) - MAX(IF($B$2:$B7591=$B7592, $A$2:$A7591+$C$2:$C7591)), "")*24*60, "")</f>
        <v/>
      </c>
      <c r="P7592" s="24" t="str" cm="1">
        <f t="array" ref="P7592">IFERROR(IF($B7592=P$1, ($A7592+$C7592) - MAX(IF($B$2:$B7591=$B7592, $A$2:$A7591+$C$2:$C7591)), "")*24*60, "")</f>
        <v/>
      </c>
      <c r="Q7592" s="24" t="str" cm="1">
        <f t="array" ref="Q7592">IFERROR(IF($B7592=Q$1, ($A7592+$C7592) - MAX(IF($B$2:$B7591=$B7592, $A$2:$A7591+$C$2:$C7591)), "")*24*60, "")</f>
        <v/>
      </c>
      <c r="R7592" s="24" t="str" cm="1">
        <f t="array" ref="R7592">IFERROR(IF($B7592=R$1, ($A7592+$C7592) - MAX(IF($B$2:$B7591=$B7592, $A$2:$A7591+$C$2:$C7591)), "")*24*60, "")</f>
        <v/>
      </c>
      <c r="S7592" s="24" t="str" cm="1">
        <f t="array" ref="S7592">IFERROR(IF($B7592=S$1, ($A7592+$C7592) - MAX(IF($B$2:$B7591=$B7592, $A$2:$A7591+$C$2:$C7591)), "")*24*60, "")</f>
        <v/>
      </c>
    </row>
    <row r="7593" spans="1:19" x14ac:dyDescent="0.2">
      <c r="A7593" s="12">
        <f t="shared" ref="A7593:C7593" si="1424">A7592</f>
        <v>46018</v>
      </c>
      <c r="B7593" s="5" t="str">
        <f t="shared" si="1424"/>
        <v>Northern Cardinal</v>
      </c>
      <c r="C7593" s="6">
        <f t="shared" si="1424"/>
        <v>0.29166666666666669</v>
      </c>
      <c r="D7593" s="5"/>
      <c r="E7593" s="5"/>
      <c r="F7593" s="5" t="s">
        <v>9</v>
      </c>
      <c r="G7593" s="15" t="s">
        <v>8</v>
      </c>
      <c r="H7593" s="24">
        <f t="shared" si="1410"/>
        <v>0</v>
      </c>
      <c r="I7593" s="24" cm="1">
        <f t="array" ref="I7593">IFERROR(IF($B7593=I$1, ($A7593+$C7593) - MAX(IF($B$2:$B7592=$B7593, $A$2:$A7592+$C$2:$C7592)), "")*24*60, "")</f>
        <v>0</v>
      </c>
      <c r="J7593" s="24" t="str" cm="1">
        <f t="array" ref="J7593">IFERROR(IF($B7593=J$1, ($A7593+$C7593) - MAX(IF($B$2:$B7592=$B7593, $A$2:$A7592+$C$2:$C7592)), "")*24*60, "")</f>
        <v/>
      </c>
      <c r="K7593" s="24" t="str" cm="1">
        <f t="array" ref="K7593">IFERROR(IF($B7593=K$1, ($A7593+$C7593) - MAX(IF($B$2:$B7592=$B7593, $A$2:$A7592+$C$2:$C7592)), "")*24*60, "")</f>
        <v/>
      </c>
      <c r="L7593" s="24" t="str" cm="1">
        <f t="array" ref="L7593">IFERROR(IF($B7593=L$1, ($A7593+$C7593) - MAX(IF($B$2:$B7592=$B7593, $A$2:$A7592+$C$2:$C7592)), "")*24*60, "")</f>
        <v/>
      </c>
      <c r="M7593" s="24" t="str" cm="1">
        <f t="array" ref="M7593">IFERROR(IF($B7593=M$1, ($A7593+$C7593) - MAX(IF($B$2:$B7592=$B7593, $A$2:$A7592+$C$2:$C7592)), "")*24*60, "")</f>
        <v/>
      </c>
      <c r="N7593" s="24" t="str" cm="1">
        <f t="array" ref="N7593">IFERROR(IF($B7593=N$1, ($A7593+$C7593) - MAX(IF($B$2:$B7592=$B7593, $A$2:$A7592+$C$2:$C7592)), "")*24*60, "")</f>
        <v/>
      </c>
      <c r="O7593" s="24" t="str" cm="1">
        <f t="array" ref="O7593">IFERROR(IF($B7593=O$1, ($A7593+$C7593) - MAX(IF($B$2:$B7592=$B7593, $A$2:$A7592+$C$2:$C7592)), "")*24*60, "")</f>
        <v/>
      </c>
      <c r="P7593" s="24" t="str" cm="1">
        <f t="array" ref="P7593">IFERROR(IF($B7593=P$1, ($A7593+$C7593) - MAX(IF($B$2:$B7592=$B7593, $A$2:$A7592+$C$2:$C7592)), "")*24*60, "")</f>
        <v/>
      </c>
      <c r="Q7593" s="24" t="str" cm="1">
        <f t="array" ref="Q7593">IFERROR(IF($B7593=Q$1, ($A7593+$C7593) - MAX(IF($B$2:$B7592=$B7593, $A$2:$A7592+$C$2:$C7592)), "")*24*60, "")</f>
        <v/>
      </c>
      <c r="R7593" s="24" t="str" cm="1">
        <f t="array" ref="R7593">IFERROR(IF($B7593=R$1, ($A7593+$C7593) - MAX(IF($B$2:$B7592=$B7593, $A$2:$A7592+$C$2:$C7592)), "")*24*60, "")</f>
        <v/>
      </c>
      <c r="S7593" s="24" t="str" cm="1">
        <f t="array" ref="S7593">IFERROR(IF($B7593=S$1, ($A7593+$C7593) - MAX(IF($B$2:$B7592=$B7593, $A$2:$A7592+$C$2:$C7592)), "")*24*60, "")</f>
        <v/>
      </c>
    </row>
    <row r="7594" spans="1:19" x14ac:dyDescent="0.2">
      <c r="A7594" s="12">
        <f t="shared" ref="A7594:C7594" si="1425">A7593</f>
        <v>46018</v>
      </c>
      <c r="B7594" s="5" t="str">
        <f t="shared" si="1425"/>
        <v>Northern Cardinal</v>
      </c>
      <c r="C7594" s="6">
        <f t="shared" si="1425"/>
        <v>0.29166666666666669</v>
      </c>
      <c r="D7594" s="5"/>
      <c r="E7594" s="5"/>
      <c r="F7594" s="5" t="s">
        <v>9</v>
      </c>
      <c r="G7594" s="15" t="s">
        <v>8</v>
      </c>
      <c r="H7594" s="24">
        <f t="shared" si="1410"/>
        <v>0</v>
      </c>
      <c r="I7594" s="24" cm="1">
        <f t="array" ref="I7594">IFERROR(IF($B7594=I$1, ($A7594+$C7594) - MAX(IF($B$2:$B7593=$B7594, $A$2:$A7593+$C$2:$C7593)), "")*24*60, "")</f>
        <v>0</v>
      </c>
      <c r="J7594" s="24" t="str" cm="1">
        <f t="array" ref="J7594">IFERROR(IF($B7594=J$1, ($A7594+$C7594) - MAX(IF($B$2:$B7593=$B7594, $A$2:$A7593+$C$2:$C7593)), "")*24*60, "")</f>
        <v/>
      </c>
      <c r="K7594" s="24" t="str" cm="1">
        <f t="array" ref="K7594">IFERROR(IF($B7594=K$1, ($A7594+$C7594) - MAX(IF($B$2:$B7593=$B7594, $A$2:$A7593+$C$2:$C7593)), "")*24*60, "")</f>
        <v/>
      </c>
      <c r="L7594" s="24" t="str" cm="1">
        <f t="array" ref="L7594">IFERROR(IF($B7594=L$1, ($A7594+$C7594) - MAX(IF($B$2:$B7593=$B7594, $A$2:$A7593+$C$2:$C7593)), "")*24*60, "")</f>
        <v/>
      </c>
      <c r="M7594" s="24" t="str" cm="1">
        <f t="array" ref="M7594">IFERROR(IF($B7594=M$1, ($A7594+$C7594) - MAX(IF($B$2:$B7593=$B7594, $A$2:$A7593+$C$2:$C7593)), "")*24*60, "")</f>
        <v/>
      </c>
      <c r="N7594" s="24" t="str" cm="1">
        <f t="array" ref="N7594">IFERROR(IF($B7594=N$1, ($A7594+$C7594) - MAX(IF($B$2:$B7593=$B7594, $A$2:$A7593+$C$2:$C7593)), "")*24*60, "")</f>
        <v/>
      </c>
      <c r="O7594" s="24" t="str" cm="1">
        <f t="array" ref="O7594">IFERROR(IF($B7594=O$1, ($A7594+$C7594) - MAX(IF($B$2:$B7593=$B7594, $A$2:$A7593+$C$2:$C7593)), "")*24*60, "")</f>
        <v/>
      </c>
      <c r="P7594" s="24" t="str" cm="1">
        <f t="array" ref="P7594">IFERROR(IF($B7594=P$1, ($A7594+$C7594) - MAX(IF($B$2:$B7593=$B7594, $A$2:$A7593+$C$2:$C7593)), "")*24*60, "")</f>
        <v/>
      </c>
      <c r="Q7594" s="24" t="str" cm="1">
        <f t="array" ref="Q7594">IFERROR(IF($B7594=Q$1, ($A7594+$C7594) - MAX(IF($B$2:$B7593=$B7594, $A$2:$A7593+$C$2:$C7593)), "")*24*60, "")</f>
        <v/>
      </c>
      <c r="R7594" s="24" t="str" cm="1">
        <f t="array" ref="R7594">IFERROR(IF($B7594=R$1, ($A7594+$C7594) - MAX(IF($B$2:$B7593=$B7594, $A$2:$A7593+$C$2:$C7593)), "")*24*60, "")</f>
        <v/>
      </c>
      <c r="S7594" s="24" t="str" cm="1">
        <f t="array" ref="S7594">IFERROR(IF($B7594=S$1, ($A7594+$C7594) - MAX(IF($B$2:$B7593=$B7594, $A$2:$A7593+$C$2:$C7593)), "")*24*60, "")</f>
        <v/>
      </c>
    </row>
    <row r="7595" spans="1:19" x14ac:dyDescent="0.2">
      <c r="A7595" s="12">
        <f t="shared" ref="A7595:C7595" si="1426">A7594</f>
        <v>46018</v>
      </c>
      <c r="B7595" s="5" t="str">
        <f t="shared" si="1426"/>
        <v>Northern Cardinal</v>
      </c>
      <c r="C7595" s="6">
        <f t="shared" si="1426"/>
        <v>0.29166666666666669</v>
      </c>
      <c r="D7595" s="5"/>
      <c r="E7595" s="5"/>
      <c r="F7595" s="5" t="s">
        <v>9</v>
      </c>
      <c r="G7595" s="15" t="s">
        <v>8</v>
      </c>
      <c r="H7595" s="24">
        <f t="shared" si="1410"/>
        <v>0</v>
      </c>
      <c r="I7595" s="24" cm="1">
        <f t="array" ref="I7595">IFERROR(IF($B7595=I$1, ($A7595+$C7595) - MAX(IF($B$2:$B7594=$B7595, $A$2:$A7594+$C$2:$C7594)), "")*24*60, "")</f>
        <v>0</v>
      </c>
      <c r="J7595" s="24" t="str" cm="1">
        <f t="array" ref="J7595">IFERROR(IF($B7595=J$1, ($A7595+$C7595) - MAX(IF($B$2:$B7594=$B7595, $A$2:$A7594+$C$2:$C7594)), "")*24*60, "")</f>
        <v/>
      </c>
      <c r="K7595" s="24" t="str" cm="1">
        <f t="array" ref="K7595">IFERROR(IF($B7595=K$1, ($A7595+$C7595) - MAX(IF($B$2:$B7594=$B7595, $A$2:$A7594+$C$2:$C7594)), "")*24*60, "")</f>
        <v/>
      </c>
      <c r="L7595" s="24" t="str" cm="1">
        <f t="array" ref="L7595">IFERROR(IF($B7595=L$1, ($A7595+$C7595) - MAX(IF($B$2:$B7594=$B7595, $A$2:$A7594+$C$2:$C7594)), "")*24*60, "")</f>
        <v/>
      </c>
      <c r="M7595" s="24" t="str" cm="1">
        <f t="array" ref="M7595">IFERROR(IF($B7595=M$1, ($A7595+$C7595) - MAX(IF($B$2:$B7594=$B7595, $A$2:$A7594+$C$2:$C7594)), "")*24*60, "")</f>
        <v/>
      </c>
      <c r="N7595" s="24" t="str" cm="1">
        <f t="array" ref="N7595">IFERROR(IF($B7595=N$1, ($A7595+$C7595) - MAX(IF($B$2:$B7594=$B7595, $A$2:$A7594+$C$2:$C7594)), "")*24*60, "")</f>
        <v/>
      </c>
      <c r="O7595" s="24" t="str" cm="1">
        <f t="array" ref="O7595">IFERROR(IF($B7595=O$1, ($A7595+$C7595) - MAX(IF($B$2:$B7594=$B7595, $A$2:$A7594+$C$2:$C7594)), "")*24*60, "")</f>
        <v/>
      </c>
      <c r="P7595" s="24" t="str" cm="1">
        <f t="array" ref="P7595">IFERROR(IF($B7595=P$1, ($A7595+$C7595) - MAX(IF($B$2:$B7594=$B7595, $A$2:$A7594+$C$2:$C7594)), "")*24*60, "")</f>
        <v/>
      </c>
      <c r="Q7595" s="24" t="str" cm="1">
        <f t="array" ref="Q7595">IFERROR(IF($B7595=Q$1, ($A7595+$C7595) - MAX(IF($B$2:$B7594=$B7595, $A$2:$A7594+$C$2:$C7594)), "")*24*60, "")</f>
        <v/>
      </c>
      <c r="R7595" s="24" t="str" cm="1">
        <f t="array" ref="R7595">IFERROR(IF($B7595=R$1, ($A7595+$C7595) - MAX(IF($B$2:$B7594=$B7595, $A$2:$A7594+$C$2:$C7594)), "")*24*60, "")</f>
        <v/>
      </c>
      <c r="S7595" s="24" t="str" cm="1">
        <f t="array" ref="S7595">IFERROR(IF($B7595=S$1, ($A7595+$C7595) - MAX(IF($B$2:$B7594=$B7595, $A$2:$A7594+$C$2:$C7594)), "")*24*60, "")</f>
        <v/>
      </c>
    </row>
    <row r="7596" spans="1:19" x14ac:dyDescent="0.2">
      <c r="A7596" s="12">
        <f t="shared" ref="A7596:C7596" si="1427">A7595</f>
        <v>46018</v>
      </c>
      <c r="B7596" s="5" t="str">
        <f t="shared" si="1427"/>
        <v>Northern Cardinal</v>
      </c>
      <c r="C7596" s="6">
        <f t="shared" si="1427"/>
        <v>0.29166666666666669</v>
      </c>
      <c r="D7596" s="5"/>
      <c r="E7596" s="5"/>
      <c r="F7596" s="5" t="s">
        <v>9</v>
      </c>
      <c r="G7596" s="15" t="s">
        <v>8</v>
      </c>
      <c r="H7596" s="24">
        <f t="shared" si="1410"/>
        <v>0</v>
      </c>
      <c r="I7596" s="24" cm="1">
        <f t="array" ref="I7596">IFERROR(IF($B7596=I$1, ($A7596+$C7596) - MAX(IF($B$2:$B7595=$B7596, $A$2:$A7595+$C$2:$C7595)), "")*24*60, "")</f>
        <v>0</v>
      </c>
      <c r="J7596" s="24" t="str" cm="1">
        <f t="array" ref="J7596">IFERROR(IF($B7596=J$1, ($A7596+$C7596) - MAX(IF($B$2:$B7595=$B7596, $A$2:$A7595+$C$2:$C7595)), "")*24*60, "")</f>
        <v/>
      </c>
      <c r="K7596" s="24" t="str" cm="1">
        <f t="array" ref="K7596">IFERROR(IF($B7596=K$1, ($A7596+$C7596) - MAX(IF($B$2:$B7595=$B7596, $A$2:$A7595+$C$2:$C7595)), "")*24*60, "")</f>
        <v/>
      </c>
      <c r="L7596" s="24" t="str" cm="1">
        <f t="array" ref="L7596">IFERROR(IF($B7596=L$1, ($A7596+$C7596) - MAX(IF($B$2:$B7595=$B7596, $A$2:$A7595+$C$2:$C7595)), "")*24*60, "")</f>
        <v/>
      </c>
      <c r="M7596" s="24" t="str" cm="1">
        <f t="array" ref="M7596">IFERROR(IF($B7596=M$1, ($A7596+$C7596) - MAX(IF($B$2:$B7595=$B7596, $A$2:$A7595+$C$2:$C7595)), "")*24*60, "")</f>
        <v/>
      </c>
      <c r="N7596" s="24" t="str" cm="1">
        <f t="array" ref="N7596">IFERROR(IF($B7596=N$1, ($A7596+$C7596) - MAX(IF($B$2:$B7595=$B7596, $A$2:$A7595+$C$2:$C7595)), "")*24*60, "")</f>
        <v/>
      </c>
      <c r="O7596" s="24" t="str" cm="1">
        <f t="array" ref="O7596">IFERROR(IF($B7596=O$1, ($A7596+$C7596) - MAX(IF($B$2:$B7595=$B7596, $A$2:$A7595+$C$2:$C7595)), "")*24*60, "")</f>
        <v/>
      </c>
      <c r="P7596" s="24" t="str" cm="1">
        <f t="array" ref="P7596">IFERROR(IF($B7596=P$1, ($A7596+$C7596) - MAX(IF($B$2:$B7595=$B7596, $A$2:$A7595+$C$2:$C7595)), "")*24*60, "")</f>
        <v/>
      </c>
      <c r="Q7596" s="24" t="str" cm="1">
        <f t="array" ref="Q7596">IFERROR(IF($B7596=Q$1, ($A7596+$C7596) - MAX(IF($B$2:$B7595=$B7596, $A$2:$A7595+$C$2:$C7595)), "")*24*60, "")</f>
        <v/>
      </c>
      <c r="R7596" s="24" t="str" cm="1">
        <f t="array" ref="R7596">IFERROR(IF($B7596=R$1, ($A7596+$C7596) - MAX(IF($B$2:$B7595=$B7596, $A$2:$A7595+$C$2:$C7595)), "")*24*60, "")</f>
        <v/>
      </c>
      <c r="S7596" s="24" t="str" cm="1">
        <f t="array" ref="S7596">IFERROR(IF($B7596=S$1, ($A7596+$C7596) - MAX(IF($B$2:$B7595=$B7596, $A$2:$A7595+$C$2:$C7595)), "")*24*60, "")</f>
        <v/>
      </c>
    </row>
    <row r="7597" spans="1:19" x14ac:dyDescent="0.2">
      <c r="A7597" s="12">
        <f t="shared" ref="A7597:C7597" si="1428">A7596</f>
        <v>46018</v>
      </c>
      <c r="B7597" s="5" t="str">
        <f t="shared" si="1428"/>
        <v>Northern Cardinal</v>
      </c>
      <c r="C7597" s="6">
        <f t="shared" si="1428"/>
        <v>0.29166666666666669</v>
      </c>
      <c r="D7597" s="5"/>
      <c r="E7597" s="5"/>
      <c r="F7597" s="5" t="s">
        <v>9</v>
      </c>
      <c r="G7597" s="15" t="s">
        <v>8</v>
      </c>
      <c r="H7597" s="24">
        <f t="shared" si="1410"/>
        <v>0</v>
      </c>
      <c r="I7597" s="24" cm="1">
        <f t="array" ref="I7597">IFERROR(IF($B7597=I$1, ($A7597+$C7597) - MAX(IF($B$2:$B7596=$B7597, $A$2:$A7596+$C$2:$C7596)), "")*24*60, "")</f>
        <v>0</v>
      </c>
      <c r="J7597" s="24" t="str" cm="1">
        <f t="array" ref="J7597">IFERROR(IF($B7597=J$1, ($A7597+$C7597) - MAX(IF($B$2:$B7596=$B7597, $A$2:$A7596+$C$2:$C7596)), "")*24*60, "")</f>
        <v/>
      </c>
      <c r="K7597" s="24" t="str" cm="1">
        <f t="array" ref="K7597">IFERROR(IF($B7597=K$1, ($A7597+$C7597) - MAX(IF($B$2:$B7596=$B7597, $A$2:$A7596+$C$2:$C7596)), "")*24*60, "")</f>
        <v/>
      </c>
      <c r="L7597" s="24" t="str" cm="1">
        <f t="array" ref="L7597">IFERROR(IF($B7597=L$1, ($A7597+$C7597) - MAX(IF($B$2:$B7596=$B7597, $A$2:$A7596+$C$2:$C7596)), "")*24*60, "")</f>
        <v/>
      </c>
      <c r="M7597" s="24" t="str" cm="1">
        <f t="array" ref="M7597">IFERROR(IF($B7597=M$1, ($A7597+$C7597) - MAX(IF($B$2:$B7596=$B7597, $A$2:$A7596+$C$2:$C7596)), "")*24*60, "")</f>
        <v/>
      </c>
      <c r="N7597" s="24" t="str" cm="1">
        <f t="array" ref="N7597">IFERROR(IF($B7597=N$1, ($A7597+$C7597) - MAX(IF($B$2:$B7596=$B7597, $A$2:$A7596+$C$2:$C7596)), "")*24*60, "")</f>
        <v/>
      </c>
      <c r="O7597" s="24" t="str" cm="1">
        <f t="array" ref="O7597">IFERROR(IF($B7597=O$1, ($A7597+$C7597) - MAX(IF($B$2:$B7596=$B7597, $A$2:$A7596+$C$2:$C7596)), "")*24*60, "")</f>
        <v/>
      </c>
      <c r="P7597" s="24" t="str" cm="1">
        <f t="array" ref="P7597">IFERROR(IF($B7597=P$1, ($A7597+$C7597) - MAX(IF($B$2:$B7596=$B7597, $A$2:$A7596+$C$2:$C7596)), "")*24*60, "")</f>
        <v/>
      </c>
      <c r="Q7597" s="24" t="str" cm="1">
        <f t="array" ref="Q7597">IFERROR(IF($B7597=Q$1, ($A7597+$C7597) - MAX(IF($B$2:$B7596=$B7597, $A$2:$A7596+$C$2:$C7596)), "")*24*60, "")</f>
        <v/>
      </c>
      <c r="R7597" s="24" t="str" cm="1">
        <f t="array" ref="R7597">IFERROR(IF($B7597=R$1, ($A7597+$C7597) - MAX(IF($B$2:$B7596=$B7597, $A$2:$A7596+$C$2:$C7596)), "")*24*60, "")</f>
        <v/>
      </c>
      <c r="S7597" s="24" t="str" cm="1">
        <f t="array" ref="S7597">IFERROR(IF($B7597=S$1, ($A7597+$C7597) - MAX(IF($B$2:$B7596=$B7597, $A$2:$A7596+$C$2:$C7596)), "")*24*60, "")</f>
        <v/>
      </c>
    </row>
    <row r="7598" spans="1:19" x14ac:dyDescent="0.2">
      <c r="A7598" s="12">
        <f t="shared" ref="A7598:C7598" si="1429">A7597</f>
        <v>46018</v>
      </c>
      <c r="B7598" s="5" t="str">
        <f t="shared" si="1429"/>
        <v>Northern Cardinal</v>
      </c>
      <c r="C7598" s="6">
        <f t="shared" si="1429"/>
        <v>0.29166666666666669</v>
      </c>
      <c r="D7598" s="5"/>
      <c r="E7598" s="5"/>
      <c r="F7598" s="5" t="s">
        <v>9</v>
      </c>
      <c r="G7598" s="15" t="s">
        <v>8</v>
      </c>
      <c r="H7598" s="24">
        <f t="shared" si="1410"/>
        <v>0</v>
      </c>
      <c r="I7598" s="24" cm="1">
        <f t="array" ref="I7598">IFERROR(IF($B7598=I$1, ($A7598+$C7598) - MAX(IF($B$2:$B7597=$B7598, $A$2:$A7597+$C$2:$C7597)), "")*24*60, "")</f>
        <v>0</v>
      </c>
      <c r="J7598" s="24" t="str" cm="1">
        <f t="array" ref="J7598">IFERROR(IF($B7598=J$1, ($A7598+$C7598) - MAX(IF($B$2:$B7597=$B7598, $A$2:$A7597+$C$2:$C7597)), "")*24*60, "")</f>
        <v/>
      </c>
      <c r="K7598" s="24" t="str" cm="1">
        <f t="array" ref="K7598">IFERROR(IF($B7598=K$1, ($A7598+$C7598) - MAX(IF($B$2:$B7597=$B7598, $A$2:$A7597+$C$2:$C7597)), "")*24*60, "")</f>
        <v/>
      </c>
      <c r="L7598" s="24" t="str" cm="1">
        <f t="array" ref="L7598">IFERROR(IF($B7598=L$1, ($A7598+$C7598) - MAX(IF($B$2:$B7597=$B7598, $A$2:$A7597+$C$2:$C7597)), "")*24*60, "")</f>
        <v/>
      </c>
      <c r="M7598" s="24" t="str" cm="1">
        <f t="array" ref="M7598">IFERROR(IF($B7598=M$1, ($A7598+$C7598) - MAX(IF($B$2:$B7597=$B7598, $A$2:$A7597+$C$2:$C7597)), "")*24*60, "")</f>
        <v/>
      </c>
      <c r="N7598" s="24" t="str" cm="1">
        <f t="array" ref="N7598">IFERROR(IF($B7598=N$1, ($A7598+$C7598) - MAX(IF($B$2:$B7597=$B7598, $A$2:$A7597+$C$2:$C7597)), "")*24*60, "")</f>
        <v/>
      </c>
      <c r="O7598" s="24" t="str" cm="1">
        <f t="array" ref="O7598">IFERROR(IF($B7598=O$1, ($A7598+$C7598) - MAX(IF($B$2:$B7597=$B7598, $A$2:$A7597+$C$2:$C7597)), "")*24*60, "")</f>
        <v/>
      </c>
      <c r="P7598" s="24" t="str" cm="1">
        <f t="array" ref="P7598">IFERROR(IF($B7598=P$1, ($A7598+$C7598) - MAX(IF($B$2:$B7597=$B7598, $A$2:$A7597+$C$2:$C7597)), "")*24*60, "")</f>
        <v/>
      </c>
      <c r="Q7598" s="24" t="str" cm="1">
        <f t="array" ref="Q7598">IFERROR(IF($B7598=Q$1, ($A7598+$C7598) - MAX(IF($B$2:$B7597=$B7598, $A$2:$A7597+$C$2:$C7597)), "")*24*60, "")</f>
        <v/>
      </c>
      <c r="R7598" s="24" t="str" cm="1">
        <f t="array" ref="R7598">IFERROR(IF($B7598=R$1, ($A7598+$C7598) - MAX(IF($B$2:$B7597=$B7598, $A$2:$A7597+$C$2:$C7597)), "")*24*60, "")</f>
        <v/>
      </c>
      <c r="S7598" s="24" t="str" cm="1">
        <f t="array" ref="S7598">IFERROR(IF($B7598=S$1, ($A7598+$C7598) - MAX(IF($B$2:$B7597=$B7598, $A$2:$A7597+$C$2:$C7597)), "")*24*60, "")</f>
        <v/>
      </c>
    </row>
    <row r="7599" spans="1:19" x14ac:dyDescent="0.2">
      <c r="A7599" s="12">
        <f t="shared" ref="A7599:C7599" si="1430">A7598</f>
        <v>46018</v>
      </c>
      <c r="B7599" s="5" t="str">
        <f t="shared" si="1430"/>
        <v>Northern Cardinal</v>
      </c>
      <c r="C7599" s="6">
        <f t="shared" si="1430"/>
        <v>0.29166666666666669</v>
      </c>
      <c r="D7599" s="5"/>
      <c r="E7599" s="5"/>
      <c r="F7599" s="5" t="s">
        <v>9</v>
      </c>
      <c r="G7599" s="15" t="s">
        <v>8</v>
      </c>
      <c r="H7599" s="24">
        <f t="shared" si="1410"/>
        <v>0</v>
      </c>
      <c r="I7599" s="24" cm="1">
        <f t="array" ref="I7599">IFERROR(IF($B7599=I$1, ($A7599+$C7599) - MAX(IF($B$2:$B7598=$B7599, $A$2:$A7598+$C$2:$C7598)), "")*24*60, "")</f>
        <v>0</v>
      </c>
      <c r="J7599" s="24" t="str" cm="1">
        <f t="array" ref="J7599">IFERROR(IF($B7599=J$1, ($A7599+$C7599) - MAX(IF($B$2:$B7598=$B7599, $A$2:$A7598+$C$2:$C7598)), "")*24*60, "")</f>
        <v/>
      </c>
      <c r="K7599" s="24" t="str" cm="1">
        <f t="array" ref="K7599">IFERROR(IF($B7599=K$1, ($A7599+$C7599) - MAX(IF($B$2:$B7598=$B7599, $A$2:$A7598+$C$2:$C7598)), "")*24*60, "")</f>
        <v/>
      </c>
      <c r="L7599" s="24" t="str" cm="1">
        <f t="array" ref="L7599">IFERROR(IF($B7599=L$1, ($A7599+$C7599) - MAX(IF($B$2:$B7598=$B7599, $A$2:$A7598+$C$2:$C7598)), "")*24*60, "")</f>
        <v/>
      </c>
      <c r="M7599" s="24" t="str" cm="1">
        <f t="array" ref="M7599">IFERROR(IF($B7599=M$1, ($A7599+$C7599) - MAX(IF($B$2:$B7598=$B7599, $A$2:$A7598+$C$2:$C7598)), "")*24*60, "")</f>
        <v/>
      </c>
      <c r="N7599" s="24" t="str" cm="1">
        <f t="array" ref="N7599">IFERROR(IF($B7599=N$1, ($A7599+$C7599) - MAX(IF($B$2:$B7598=$B7599, $A$2:$A7598+$C$2:$C7598)), "")*24*60, "")</f>
        <v/>
      </c>
      <c r="O7599" s="24" t="str" cm="1">
        <f t="array" ref="O7599">IFERROR(IF($B7599=O$1, ($A7599+$C7599) - MAX(IF($B$2:$B7598=$B7599, $A$2:$A7598+$C$2:$C7598)), "")*24*60, "")</f>
        <v/>
      </c>
      <c r="P7599" s="24" t="str" cm="1">
        <f t="array" ref="P7599">IFERROR(IF($B7599=P$1, ($A7599+$C7599) - MAX(IF($B$2:$B7598=$B7599, $A$2:$A7598+$C$2:$C7598)), "")*24*60, "")</f>
        <v/>
      </c>
      <c r="Q7599" s="24" t="str" cm="1">
        <f t="array" ref="Q7599">IFERROR(IF($B7599=Q$1, ($A7599+$C7599) - MAX(IF($B$2:$B7598=$B7599, $A$2:$A7598+$C$2:$C7598)), "")*24*60, "")</f>
        <v/>
      </c>
      <c r="R7599" s="24" t="str" cm="1">
        <f t="array" ref="R7599">IFERROR(IF($B7599=R$1, ($A7599+$C7599) - MAX(IF($B$2:$B7598=$B7599, $A$2:$A7598+$C$2:$C7598)), "")*24*60, "")</f>
        <v/>
      </c>
      <c r="S7599" s="24" t="str" cm="1">
        <f t="array" ref="S7599">IFERROR(IF($B7599=S$1, ($A7599+$C7599) - MAX(IF($B$2:$B7598=$B7599, $A$2:$A7598+$C$2:$C7598)), "")*24*60, "")</f>
        <v/>
      </c>
    </row>
    <row r="7600" spans="1:19" x14ac:dyDescent="0.2">
      <c r="A7600" s="12">
        <f t="shared" ref="A7600:C7600" si="1431">A7599</f>
        <v>46018</v>
      </c>
      <c r="B7600" s="5" t="str">
        <f t="shared" si="1431"/>
        <v>Northern Cardinal</v>
      </c>
      <c r="C7600" s="6">
        <f t="shared" si="1431"/>
        <v>0.29166666666666669</v>
      </c>
      <c r="D7600" s="5"/>
      <c r="E7600" s="5"/>
      <c r="F7600" s="5" t="s">
        <v>9</v>
      </c>
      <c r="G7600" s="15" t="s">
        <v>8</v>
      </c>
      <c r="H7600" s="24">
        <f t="shared" si="1410"/>
        <v>0</v>
      </c>
      <c r="I7600" s="24" cm="1">
        <f t="array" ref="I7600">IFERROR(IF($B7600=I$1, ($A7600+$C7600) - MAX(IF($B$2:$B7599=$B7600, $A$2:$A7599+$C$2:$C7599)), "")*24*60, "")</f>
        <v>0</v>
      </c>
      <c r="J7600" s="24" t="str" cm="1">
        <f t="array" ref="J7600">IFERROR(IF($B7600=J$1, ($A7600+$C7600) - MAX(IF($B$2:$B7599=$B7600, $A$2:$A7599+$C$2:$C7599)), "")*24*60, "")</f>
        <v/>
      </c>
      <c r="K7600" s="24" t="str" cm="1">
        <f t="array" ref="K7600">IFERROR(IF($B7600=K$1, ($A7600+$C7600) - MAX(IF($B$2:$B7599=$B7600, $A$2:$A7599+$C$2:$C7599)), "")*24*60, "")</f>
        <v/>
      </c>
      <c r="L7600" s="24" t="str" cm="1">
        <f t="array" ref="L7600">IFERROR(IF($B7600=L$1, ($A7600+$C7600) - MAX(IF($B$2:$B7599=$B7600, $A$2:$A7599+$C$2:$C7599)), "")*24*60, "")</f>
        <v/>
      </c>
      <c r="M7600" s="24" t="str" cm="1">
        <f t="array" ref="M7600">IFERROR(IF($B7600=M$1, ($A7600+$C7600) - MAX(IF($B$2:$B7599=$B7600, $A$2:$A7599+$C$2:$C7599)), "")*24*60, "")</f>
        <v/>
      </c>
      <c r="N7600" s="24" t="str" cm="1">
        <f t="array" ref="N7600">IFERROR(IF($B7600=N$1, ($A7600+$C7600) - MAX(IF($B$2:$B7599=$B7600, $A$2:$A7599+$C$2:$C7599)), "")*24*60, "")</f>
        <v/>
      </c>
      <c r="O7600" s="24" t="str" cm="1">
        <f t="array" ref="O7600">IFERROR(IF($B7600=O$1, ($A7600+$C7600) - MAX(IF($B$2:$B7599=$B7600, $A$2:$A7599+$C$2:$C7599)), "")*24*60, "")</f>
        <v/>
      </c>
      <c r="P7600" s="24" t="str" cm="1">
        <f t="array" ref="P7600">IFERROR(IF($B7600=P$1, ($A7600+$C7600) - MAX(IF($B$2:$B7599=$B7600, $A$2:$A7599+$C$2:$C7599)), "")*24*60, "")</f>
        <v/>
      </c>
      <c r="Q7600" s="24" t="str" cm="1">
        <f t="array" ref="Q7600">IFERROR(IF($B7600=Q$1, ($A7600+$C7600) - MAX(IF($B$2:$B7599=$B7600, $A$2:$A7599+$C$2:$C7599)), "")*24*60, "")</f>
        <v/>
      </c>
      <c r="R7600" s="24" t="str" cm="1">
        <f t="array" ref="R7600">IFERROR(IF($B7600=R$1, ($A7600+$C7600) - MAX(IF($B$2:$B7599=$B7600, $A$2:$A7599+$C$2:$C7599)), "")*24*60, "")</f>
        <v/>
      </c>
      <c r="S7600" s="24" t="str" cm="1">
        <f t="array" ref="S7600">IFERROR(IF($B7600=S$1, ($A7600+$C7600) - MAX(IF($B$2:$B7599=$B7600, $A$2:$A7599+$C$2:$C7599)), "")*24*60, "")</f>
        <v/>
      </c>
    </row>
    <row r="7601" spans="1:19" x14ac:dyDescent="0.2">
      <c r="A7601" s="12">
        <f t="shared" ref="A7601:C7601" si="1432">A7600</f>
        <v>46018</v>
      </c>
      <c r="B7601" s="5" t="str">
        <f t="shared" si="1432"/>
        <v>Northern Cardinal</v>
      </c>
      <c r="C7601" s="6">
        <f t="shared" si="1432"/>
        <v>0.29166666666666669</v>
      </c>
      <c r="D7601" s="5"/>
      <c r="E7601" s="5"/>
      <c r="F7601" s="5" t="s">
        <v>9</v>
      </c>
      <c r="G7601" s="15" t="s">
        <v>8</v>
      </c>
      <c r="H7601" s="24">
        <f t="shared" si="1410"/>
        <v>0</v>
      </c>
      <c r="I7601" s="24" cm="1">
        <f t="array" ref="I7601">IFERROR(IF($B7601=I$1, ($A7601+$C7601) - MAX(IF($B$2:$B7600=$B7601, $A$2:$A7600+$C$2:$C7600)), "")*24*60, "")</f>
        <v>0</v>
      </c>
      <c r="J7601" s="24" t="str" cm="1">
        <f t="array" ref="J7601">IFERROR(IF($B7601=J$1, ($A7601+$C7601) - MAX(IF($B$2:$B7600=$B7601, $A$2:$A7600+$C$2:$C7600)), "")*24*60, "")</f>
        <v/>
      </c>
      <c r="K7601" s="24" t="str" cm="1">
        <f t="array" ref="K7601">IFERROR(IF($B7601=K$1, ($A7601+$C7601) - MAX(IF($B$2:$B7600=$B7601, $A$2:$A7600+$C$2:$C7600)), "")*24*60, "")</f>
        <v/>
      </c>
      <c r="L7601" s="24" t="str" cm="1">
        <f t="array" ref="L7601">IFERROR(IF($B7601=L$1, ($A7601+$C7601) - MAX(IF($B$2:$B7600=$B7601, $A$2:$A7600+$C$2:$C7600)), "")*24*60, "")</f>
        <v/>
      </c>
      <c r="M7601" s="24" t="str" cm="1">
        <f t="array" ref="M7601">IFERROR(IF($B7601=M$1, ($A7601+$C7601) - MAX(IF($B$2:$B7600=$B7601, $A$2:$A7600+$C$2:$C7600)), "")*24*60, "")</f>
        <v/>
      </c>
      <c r="N7601" s="24" t="str" cm="1">
        <f t="array" ref="N7601">IFERROR(IF($B7601=N$1, ($A7601+$C7601) - MAX(IF($B$2:$B7600=$B7601, $A$2:$A7600+$C$2:$C7600)), "")*24*60, "")</f>
        <v/>
      </c>
      <c r="O7601" s="24" t="str" cm="1">
        <f t="array" ref="O7601">IFERROR(IF($B7601=O$1, ($A7601+$C7601) - MAX(IF($B$2:$B7600=$B7601, $A$2:$A7600+$C$2:$C7600)), "")*24*60, "")</f>
        <v/>
      </c>
      <c r="P7601" s="24" t="str" cm="1">
        <f t="array" ref="P7601">IFERROR(IF($B7601=P$1, ($A7601+$C7601) - MAX(IF($B$2:$B7600=$B7601, $A$2:$A7600+$C$2:$C7600)), "")*24*60, "")</f>
        <v/>
      </c>
      <c r="Q7601" s="24" t="str" cm="1">
        <f t="array" ref="Q7601">IFERROR(IF($B7601=Q$1, ($A7601+$C7601) - MAX(IF($B$2:$B7600=$B7601, $A$2:$A7600+$C$2:$C7600)), "")*24*60, "")</f>
        <v/>
      </c>
      <c r="R7601" s="24" t="str" cm="1">
        <f t="array" ref="R7601">IFERROR(IF($B7601=R$1, ($A7601+$C7601) - MAX(IF($B$2:$B7600=$B7601, $A$2:$A7600+$C$2:$C7600)), "")*24*60, "")</f>
        <v/>
      </c>
      <c r="S7601" s="24" t="str" cm="1">
        <f t="array" ref="S7601">IFERROR(IF($B7601=S$1, ($A7601+$C7601) - MAX(IF($B$2:$B7600=$B7601, $A$2:$A7600+$C$2:$C7600)), "")*24*60, "")</f>
        <v/>
      </c>
    </row>
    <row r="7602" spans="1:19" x14ac:dyDescent="0.2">
      <c r="A7602" s="12">
        <f t="shared" ref="A7602:C7602" si="1433">A7601</f>
        <v>46018</v>
      </c>
      <c r="B7602" s="5" t="str">
        <f t="shared" si="1433"/>
        <v>Northern Cardinal</v>
      </c>
      <c r="C7602" s="6">
        <f t="shared" si="1433"/>
        <v>0.29166666666666669</v>
      </c>
      <c r="D7602" s="5"/>
      <c r="E7602" s="5"/>
      <c r="F7602" s="5" t="s">
        <v>9</v>
      </c>
      <c r="G7602" s="15" t="s">
        <v>8</v>
      </c>
      <c r="H7602" s="24">
        <f t="shared" si="1410"/>
        <v>0</v>
      </c>
      <c r="I7602" s="24" cm="1">
        <f t="array" ref="I7602">IFERROR(IF($B7602=I$1, ($A7602+$C7602) - MAX(IF($B$2:$B7601=$B7602, $A$2:$A7601+$C$2:$C7601)), "")*24*60, "")</f>
        <v>0</v>
      </c>
      <c r="J7602" s="24" t="str" cm="1">
        <f t="array" ref="J7602">IFERROR(IF($B7602=J$1, ($A7602+$C7602) - MAX(IF($B$2:$B7601=$B7602, $A$2:$A7601+$C$2:$C7601)), "")*24*60, "")</f>
        <v/>
      </c>
      <c r="K7602" s="24" t="str" cm="1">
        <f t="array" ref="K7602">IFERROR(IF($B7602=K$1, ($A7602+$C7602) - MAX(IF($B$2:$B7601=$B7602, $A$2:$A7601+$C$2:$C7601)), "")*24*60, "")</f>
        <v/>
      </c>
      <c r="L7602" s="24" t="str" cm="1">
        <f t="array" ref="L7602">IFERROR(IF($B7602=L$1, ($A7602+$C7602) - MAX(IF($B$2:$B7601=$B7602, $A$2:$A7601+$C$2:$C7601)), "")*24*60, "")</f>
        <v/>
      </c>
      <c r="M7602" s="24" t="str" cm="1">
        <f t="array" ref="M7602">IFERROR(IF($B7602=M$1, ($A7602+$C7602) - MAX(IF($B$2:$B7601=$B7602, $A$2:$A7601+$C$2:$C7601)), "")*24*60, "")</f>
        <v/>
      </c>
      <c r="N7602" s="24" t="str" cm="1">
        <f t="array" ref="N7602">IFERROR(IF($B7602=N$1, ($A7602+$C7602) - MAX(IF($B$2:$B7601=$B7602, $A$2:$A7601+$C$2:$C7601)), "")*24*60, "")</f>
        <v/>
      </c>
      <c r="O7602" s="24" t="str" cm="1">
        <f t="array" ref="O7602">IFERROR(IF($B7602=O$1, ($A7602+$C7602) - MAX(IF($B$2:$B7601=$B7602, $A$2:$A7601+$C$2:$C7601)), "")*24*60, "")</f>
        <v/>
      </c>
      <c r="P7602" s="24" t="str" cm="1">
        <f t="array" ref="P7602">IFERROR(IF($B7602=P$1, ($A7602+$C7602) - MAX(IF($B$2:$B7601=$B7602, $A$2:$A7601+$C$2:$C7601)), "")*24*60, "")</f>
        <v/>
      </c>
      <c r="Q7602" s="24" t="str" cm="1">
        <f t="array" ref="Q7602">IFERROR(IF($B7602=Q$1, ($A7602+$C7602) - MAX(IF($B$2:$B7601=$B7602, $A$2:$A7601+$C$2:$C7601)), "")*24*60, "")</f>
        <v/>
      </c>
      <c r="R7602" s="24" t="str" cm="1">
        <f t="array" ref="R7602">IFERROR(IF($B7602=R$1, ($A7602+$C7602) - MAX(IF($B$2:$B7601=$B7602, $A$2:$A7601+$C$2:$C7601)), "")*24*60, "")</f>
        <v/>
      </c>
      <c r="S7602" s="24" t="str" cm="1">
        <f t="array" ref="S7602">IFERROR(IF($B7602=S$1, ($A7602+$C7602) - MAX(IF($B$2:$B7601=$B7602, $A$2:$A7601+$C$2:$C7601)), "")*24*60, "")</f>
        <v/>
      </c>
    </row>
    <row r="7603" spans="1:19" x14ac:dyDescent="0.2">
      <c r="A7603" s="12">
        <f t="shared" ref="A7603:C7603" si="1434">A7602</f>
        <v>46018</v>
      </c>
      <c r="B7603" s="5" t="str">
        <f t="shared" si="1434"/>
        <v>Northern Cardinal</v>
      </c>
      <c r="C7603" s="6">
        <f t="shared" si="1434"/>
        <v>0.29166666666666669</v>
      </c>
      <c r="D7603" s="5"/>
      <c r="E7603" s="5"/>
      <c r="F7603" s="5" t="s">
        <v>9</v>
      </c>
      <c r="G7603" s="15" t="s">
        <v>8</v>
      </c>
      <c r="H7603" s="24">
        <f t="shared" si="1410"/>
        <v>0</v>
      </c>
      <c r="I7603" s="24" cm="1">
        <f t="array" ref="I7603">IFERROR(IF($B7603=I$1, ($A7603+$C7603) - MAX(IF($B$2:$B7602=$B7603, $A$2:$A7602+$C$2:$C7602)), "")*24*60, "")</f>
        <v>0</v>
      </c>
      <c r="J7603" s="24" t="str" cm="1">
        <f t="array" ref="J7603">IFERROR(IF($B7603=J$1, ($A7603+$C7603) - MAX(IF($B$2:$B7602=$B7603, $A$2:$A7602+$C$2:$C7602)), "")*24*60, "")</f>
        <v/>
      </c>
      <c r="K7603" s="24" t="str" cm="1">
        <f t="array" ref="K7603">IFERROR(IF($B7603=K$1, ($A7603+$C7603) - MAX(IF($B$2:$B7602=$B7603, $A$2:$A7602+$C$2:$C7602)), "")*24*60, "")</f>
        <v/>
      </c>
      <c r="L7603" s="24" t="str" cm="1">
        <f t="array" ref="L7603">IFERROR(IF($B7603=L$1, ($A7603+$C7603) - MAX(IF($B$2:$B7602=$B7603, $A$2:$A7602+$C$2:$C7602)), "")*24*60, "")</f>
        <v/>
      </c>
      <c r="M7603" s="24" t="str" cm="1">
        <f t="array" ref="M7603">IFERROR(IF($B7603=M$1, ($A7603+$C7603) - MAX(IF($B$2:$B7602=$B7603, $A$2:$A7602+$C$2:$C7602)), "")*24*60, "")</f>
        <v/>
      </c>
      <c r="N7603" s="24" t="str" cm="1">
        <f t="array" ref="N7603">IFERROR(IF($B7603=N$1, ($A7603+$C7603) - MAX(IF($B$2:$B7602=$B7603, $A$2:$A7602+$C$2:$C7602)), "")*24*60, "")</f>
        <v/>
      </c>
      <c r="O7603" s="24" t="str" cm="1">
        <f t="array" ref="O7603">IFERROR(IF($B7603=O$1, ($A7603+$C7603) - MAX(IF($B$2:$B7602=$B7603, $A$2:$A7602+$C$2:$C7602)), "")*24*60, "")</f>
        <v/>
      </c>
      <c r="P7603" s="24" t="str" cm="1">
        <f t="array" ref="P7603">IFERROR(IF($B7603=P$1, ($A7603+$C7603) - MAX(IF($B$2:$B7602=$B7603, $A$2:$A7602+$C$2:$C7602)), "")*24*60, "")</f>
        <v/>
      </c>
      <c r="Q7603" s="24" t="str" cm="1">
        <f t="array" ref="Q7603">IFERROR(IF($B7603=Q$1, ($A7603+$C7603) - MAX(IF($B$2:$B7602=$B7603, $A$2:$A7602+$C$2:$C7602)), "")*24*60, "")</f>
        <v/>
      </c>
      <c r="R7603" s="24" t="str" cm="1">
        <f t="array" ref="R7603">IFERROR(IF($B7603=R$1, ($A7603+$C7603) - MAX(IF($B$2:$B7602=$B7603, $A$2:$A7602+$C$2:$C7602)), "")*24*60, "")</f>
        <v/>
      </c>
      <c r="S7603" s="24" t="str" cm="1">
        <f t="array" ref="S7603">IFERROR(IF($B7603=S$1, ($A7603+$C7603) - MAX(IF($B$2:$B7602=$B7603, $A$2:$A7602+$C$2:$C7602)), "")*24*60, "")</f>
        <v/>
      </c>
    </row>
    <row r="7604" spans="1:19" x14ac:dyDescent="0.2">
      <c r="A7604" s="12">
        <f t="shared" ref="A7604:C7604" si="1435">A7603</f>
        <v>46018</v>
      </c>
      <c r="B7604" s="5" t="str">
        <f t="shared" si="1435"/>
        <v>Northern Cardinal</v>
      </c>
      <c r="C7604" s="6">
        <f t="shared" si="1435"/>
        <v>0.29166666666666669</v>
      </c>
      <c r="D7604" s="5"/>
      <c r="E7604" s="5"/>
      <c r="F7604" s="5" t="s">
        <v>9</v>
      </c>
      <c r="G7604" s="15" t="s">
        <v>8</v>
      </c>
      <c r="H7604" s="24">
        <f t="shared" si="1410"/>
        <v>0</v>
      </c>
      <c r="I7604" s="24" cm="1">
        <f t="array" ref="I7604">IFERROR(IF($B7604=I$1, ($A7604+$C7604) - MAX(IF($B$2:$B7603=$B7604, $A$2:$A7603+$C$2:$C7603)), "")*24*60, "")</f>
        <v>0</v>
      </c>
      <c r="J7604" s="24" t="str" cm="1">
        <f t="array" ref="J7604">IFERROR(IF($B7604=J$1, ($A7604+$C7604) - MAX(IF($B$2:$B7603=$B7604, $A$2:$A7603+$C$2:$C7603)), "")*24*60, "")</f>
        <v/>
      </c>
      <c r="K7604" s="24" t="str" cm="1">
        <f t="array" ref="K7604">IFERROR(IF($B7604=K$1, ($A7604+$C7604) - MAX(IF($B$2:$B7603=$B7604, $A$2:$A7603+$C$2:$C7603)), "")*24*60, "")</f>
        <v/>
      </c>
      <c r="L7604" s="24" t="str" cm="1">
        <f t="array" ref="L7604">IFERROR(IF($B7604=L$1, ($A7604+$C7604) - MAX(IF($B$2:$B7603=$B7604, $A$2:$A7603+$C$2:$C7603)), "")*24*60, "")</f>
        <v/>
      </c>
      <c r="M7604" s="24" t="str" cm="1">
        <f t="array" ref="M7604">IFERROR(IF($B7604=M$1, ($A7604+$C7604) - MAX(IF($B$2:$B7603=$B7604, $A$2:$A7603+$C$2:$C7603)), "")*24*60, "")</f>
        <v/>
      </c>
      <c r="N7604" s="24" t="str" cm="1">
        <f t="array" ref="N7604">IFERROR(IF($B7604=N$1, ($A7604+$C7604) - MAX(IF($B$2:$B7603=$B7604, $A$2:$A7603+$C$2:$C7603)), "")*24*60, "")</f>
        <v/>
      </c>
      <c r="O7604" s="24" t="str" cm="1">
        <f t="array" ref="O7604">IFERROR(IF($B7604=O$1, ($A7604+$C7604) - MAX(IF($B$2:$B7603=$B7604, $A$2:$A7603+$C$2:$C7603)), "")*24*60, "")</f>
        <v/>
      </c>
      <c r="P7604" s="24" t="str" cm="1">
        <f t="array" ref="P7604">IFERROR(IF($B7604=P$1, ($A7604+$C7604) - MAX(IF($B$2:$B7603=$B7604, $A$2:$A7603+$C$2:$C7603)), "")*24*60, "")</f>
        <v/>
      </c>
      <c r="Q7604" s="24" t="str" cm="1">
        <f t="array" ref="Q7604">IFERROR(IF($B7604=Q$1, ($A7604+$C7604) - MAX(IF($B$2:$B7603=$B7604, $A$2:$A7603+$C$2:$C7603)), "")*24*60, "")</f>
        <v/>
      </c>
      <c r="R7604" s="24" t="str" cm="1">
        <f t="array" ref="R7604">IFERROR(IF($B7604=R$1, ($A7604+$C7604) - MAX(IF($B$2:$B7603=$B7604, $A$2:$A7603+$C$2:$C7603)), "")*24*60, "")</f>
        <v/>
      </c>
      <c r="S7604" s="24" t="str" cm="1">
        <f t="array" ref="S7604">IFERROR(IF($B7604=S$1, ($A7604+$C7604) - MAX(IF($B$2:$B7603=$B7604, $A$2:$A7603+$C$2:$C7603)), "")*24*60, "")</f>
        <v/>
      </c>
    </row>
    <row r="7605" spans="1:19" x14ac:dyDescent="0.2">
      <c r="A7605" s="12">
        <f t="shared" ref="A7605:C7605" si="1436">A7604</f>
        <v>46018</v>
      </c>
      <c r="B7605" s="5" t="str">
        <f t="shared" si="1436"/>
        <v>Northern Cardinal</v>
      </c>
      <c r="C7605" s="6">
        <f t="shared" si="1436"/>
        <v>0.29166666666666669</v>
      </c>
      <c r="D7605" s="5"/>
      <c r="E7605" s="5"/>
      <c r="F7605" s="5" t="s">
        <v>9</v>
      </c>
      <c r="G7605" s="15" t="s">
        <v>8</v>
      </c>
      <c r="H7605" s="24">
        <f t="shared" si="1410"/>
        <v>0</v>
      </c>
      <c r="I7605" s="24" cm="1">
        <f t="array" ref="I7605">IFERROR(IF($B7605=I$1, ($A7605+$C7605) - MAX(IF($B$2:$B7604=$B7605, $A$2:$A7604+$C$2:$C7604)), "")*24*60, "")</f>
        <v>0</v>
      </c>
      <c r="J7605" s="24" t="str" cm="1">
        <f t="array" ref="J7605">IFERROR(IF($B7605=J$1, ($A7605+$C7605) - MAX(IF($B$2:$B7604=$B7605, $A$2:$A7604+$C$2:$C7604)), "")*24*60, "")</f>
        <v/>
      </c>
      <c r="K7605" s="24" t="str" cm="1">
        <f t="array" ref="K7605">IFERROR(IF($B7605=K$1, ($A7605+$C7605) - MAX(IF($B$2:$B7604=$B7605, $A$2:$A7604+$C$2:$C7604)), "")*24*60, "")</f>
        <v/>
      </c>
      <c r="L7605" s="24" t="str" cm="1">
        <f t="array" ref="L7605">IFERROR(IF($B7605=L$1, ($A7605+$C7605) - MAX(IF($B$2:$B7604=$B7605, $A$2:$A7604+$C$2:$C7604)), "")*24*60, "")</f>
        <v/>
      </c>
      <c r="M7605" s="24" t="str" cm="1">
        <f t="array" ref="M7605">IFERROR(IF($B7605=M$1, ($A7605+$C7605) - MAX(IF($B$2:$B7604=$B7605, $A$2:$A7604+$C$2:$C7604)), "")*24*60, "")</f>
        <v/>
      </c>
      <c r="N7605" s="24" t="str" cm="1">
        <f t="array" ref="N7605">IFERROR(IF($B7605=N$1, ($A7605+$C7605) - MAX(IF($B$2:$B7604=$B7605, $A$2:$A7604+$C$2:$C7604)), "")*24*60, "")</f>
        <v/>
      </c>
      <c r="O7605" s="24" t="str" cm="1">
        <f t="array" ref="O7605">IFERROR(IF($B7605=O$1, ($A7605+$C7605) - MAX(IF($B$2:$B7604=$B7605, $A$2:$A7604+$C$2:$C7604)), "")*24*60, "")</f>
        <v/>
      </c>
      <c r="P7605" s="24" t="str" cm="1">
        <f t="array" ref="P7605">IFERROR(IF($B7605=P$1, ($A7605+$C7605) - MAX(IF($B$2:$B7604=$B7605, $A$2:$A7604+$C$2:$C7604)), "")*24*60, "")</f>
        <v/>
      </c>
      <c r="Q7605" s="24" t="str" cm="1">
        <f t="array" ref="Q7605">IFERROR(IF($B7605=Q$1, ($A7605+$C7605) - MAX(IF($B$2:$B7604=$B7605, $A$2:$A7604+$C$2:$C7604)), "")*24*60, "")</f>
        <v/>
      </c>
      <c r="R7605" s="24" t="str" cm="1">
        <f t="array" ref="R7605">IFERROR(IF($B7605=R$1, ($A7605+$C7605) - MAX(IF($B$2:$B7604=$B7605, $A$2:$A7604+$C$2:$C7604)), "")*24*60, "")</f>
        <v/>
      </c>
      <c r="S7605" s="24" t="str" cm="1">
        <f t="array" ref="S7605">IFERROR(IF($B7605=S$1, ($A7605+$C7605) - MAX(IF($B$2:$B7604=$B7605, $A$2:$A7604+$C$2:$C7604)), "")*24*60, "")</f>
        <v/>
      </c>
    </row>
    <row r="7606" spans="1:19" x14ac:dyDescent="0.2">
      <c r="A7606" s="12">
        <f t="shared" ref="A7606:C7606" si="1437">A7605</f>
        <v>46018</v>
      </c>
      <c r="B7606" s="5" t="str">
        <f t="shared" si="1437"/>
        <v>Northern Cardinal</v>
      </c>
      <c r="C7606" s="6">
        <f t="shared" si="1437"/>
        <v>0.29166666666666669</v>
      </c>
      <c r="D7606" s="5"/>
      <c r="E7606" s="5"/>
      <c r="F7606" s="5" t="s">
        <v>9</v>
      </c>
      <c r="G7606" s="15" t="s">
        <v>8</v>
      </c>
      <c r="H7606" s="24">
        <f t="shared" si="1410"/>
        <v>0</v>
      </c>
      <c r="I7606" s="24" cm="1">
        <f t="array" ref="I7606">IFERROR(IF($B7606=I$1, ($A7606+$C7606) - MAX(IF($B$2:$B7605=$B7606, $A$2:$A7605+$C$2:$C7605)), "")*24*60, "")</f>
        <v>0</v>
      </c>
      <c r="J7606" s="24" t="str" cm="1">
        <f t="array" ref="J7606">IFERROR(IF($B7606=J$1, ($A7606+$C7606) - MAX(IF($B$2:$B7605=$B7606, $A$2:$A7605+$C$2:$C7605)), "")*24*60, "")</f>
        <v/>
      </c>
      <c r="K7606" s="24" t="str" cm="1">
        <f t="array" ref="K7606">IFERROR(IF($B7606=K$1, ($A7606+$C7606) - MAX(IF($B$2:$B7605=$B7606, $A$2:$A7605+$C$2:$C7605)), "")*24*60, "")</f>
        <v/>
      </c>
      <c r="L7606" s="24" t="str" cm="1">
        <f t="array" ref="L7606">IFERROR(IF($B7606=L$1, ($A7606+$C7606) - MAX(IF($B$2:$B7605=$B7606, $A$2:$A7605+$C$2:$C7605)), "")*24*60, "")</f>
        <v/>
      </c>
      <c r="M7606" s="24" t="str" cm="1">
        <f t="array" ref="M7606">IFERROR(IF($B7606=M$1, ($A7606+$C7606) - MAX(IF($B$2:$B7605=$B7606, $A$2:$A7605+$C$2:$C7605)), "")*24*60, "")</f>
        <v/>
      </c>
      <c r="N7606" s="24" t="str" cm="1">
        <f t="array" ref="N7606">IFERROR(IF($B7606=N$1, ($A7606+$C7606) - MAX(IF($B$2:$B7605=$B7606, $A$2:$A7605+$C$2:$C7605)), "")*24*60, "")</f>
        <v/>
      </c>
      <c r="O7606" s="24" t="str" cm="1">
        <f t="array" ref="O7606">IFERROR(IF($B7606=O$1, ($A7606+$C7606) - MAX(IF($B$2:$B7605=$B7606, $A$2:$A7605+$C$2:$C7605)), "")*24*60, "")</f>
        <v/>
      </c>
      <c r="P7606" s="24" t="str" cm="1">
        <f t="array" ref="P7606">IFERROR(IF($B7606=P$1, ($A7606+$C7606) - MAX(IF($B$2:$B7605=$B7606, $A$2:$A7605+$C$2:$C7605)), "")*24*60, "")</f>
        <v/>
      </c>
      <c r="Q7606" s="24" t="str" cm="1">
        <f t="array" ref="Q7606">IFERROR(IF($B7606=Q$1, ($A7606+$C7606) - MAX(IF($B$2:$B7605=$B7606, $A$2:$A7605+$C$2:$C7605)), "")*24*60, "")</f>
        <v/>
      </c>
      <c r="R7606" s="24" t="str" cm="1">
        <f t="array" ref="R7606">IFERROR(IF($B7606=R$1, ($A7606+$C7606) - MAX(IF($B$2:$B7605=$B7606, $A$2:$A7605+$C$2:$C7605)), "")*24*60, "")</f>
        <v/>
      </c>
      <c r="S7606" s="24" t="str" cm="1">
        <f t="array" ref="S7606">IFERROR(IF($B7606=S$1, ($A7606+$C7606) - MAX(IF($B$2:$B7605=$B7606, $A$2:$A7605+$C$2:$C7605)), "")*24*60, "")</f>
        <v/>
      </c>
    </row>
    <row r="7607" spans="1:19" x14ac:dyDescent="0.2">
      <c r="A7607" s="12">
        <f t="shared" ref="A7607:C7607" si="1438">A7606</f>
        <v>46018</v>
      </c>
      <c r="B7607" s="5" t="str">
        <f t="shared" si="1438"/>
        <v>Northern Cardinal</v>
      </c>
      <c r="C7607" s="6">
        <f t="shared" si="1438"/>
        <v>0.29166666666666669</v>
      </c>
      <c r="D7607" s="5"/>
      <c r="E7607" s="5"/>
      <c r="F7607" s="5" t="s">
        <v>9</v>
      </c>
      <c r="G7607" s="15" t="s">
        <v>8</v>
      </c>
      <c r="H7607" s="24">
        <f t="shared" si="1410"/>
        <v>0</v>
      </c>
      <c r="I7607" s="24" cm="1">
        <f t="array" ref="I7607">IFERROR(IF($B7607=I$1, ($A7607+$C7607) - MAX(IF($B$2:$B7606=$B7607, $A$2:$A7606+$C$2:$C7606)), "")*24*60, "")</f>
        <v>0</v>
      </c>
      <c r="J7607" s="24" t="str" cm="1">
        <f t="array" ref="J7607">IFERROR(IF($B7607=J$1, ($A7607+$C7607) - MAX(IF($B$2:$B7606=$B7607, $A$2:$A7606+$C$2:$C7606)), "")*24*60, "")</f>
        <v/>
      </c>
      <c r="K7607" s="24" t="str" cm="1">
        <f t="array" ref="K7607">IFERROR(IF($B7607=K$1, ($A7607+$C7607) - MAX(IF($B$2:$B7606=$B7607, $A$2:$A7606+$C$2:$C7606)), "")*24*60, "")</f>
        <v/>
      </c>
      <c r="L7607" s="24" t="str" cm="1">
        <f t="array" ref="L7607">IFERROR(IF($B7607=L$1, ($A7607+$C7607) - MAX(IF($B$2:$B7606=$B7607, $A$2:$A7606+$C$2:$C7606)), "")*24*60, "")</f>
        <v/>
      </c>
      <c r="M7607" s="24" t="str" cm="1">
        <f t="array" ref="M7607">IFERROR(IF($B7607=M$1, ($A7607+$C7607) - MAX(IF($B$2:$B7606=$B7607, $A$2:$A7606+$C$2:$C7606)), "")*24*60, "")</f>
        <v/>
      </c>
      <c r="N7607" s="24" t="str" cm="1">
        <f t="array" ref="N7607">IFERROR(IF($B7607=N$1, ($A7607+$C7607) - MAX(IF($B$2:$B7606=$B7607, $A$2:$A7606+$C$2:$C7606)), "")*24*60, "")</f>
        <v/>
      </c>
      <c r="O7607" s="24" t="str" cm="1">
        <f t="array" ref="O7607">IFERROR(IF($B7607=O$1, ($A7607+$C7607) - MAX(IF($B$2:$B7606=$B7607, $A$2:$A7606+$C$2:$C7606)), "")*24*60, "")</f>
        <v/>
      </c>
      <c r="P7607" s="24" t="str" cm="1">
        <f t="array" ref="P7607">IFERROR(IF($B7607=P$1, ($A7607+$C7607) - MAX(IF($B$2:$B7606=$B7607, $A$2:$A7606+$C$2:$C7606)), "")*24*60, "")</f>
        <v/>
      </c>
      <c r="Q7607" s="24" t="str" cm="1">
        <f t="array" ref="Q7607">IFERROR(IF($B7607=Q$1, ($A7607+$C7607) - MAX(IF($B$2:$B7606=$B7607, $A$2:$A7606+$C$2:$C7606)), "")*24*60, "")</f>
        <v/>
      </c>
      <c r="R7607" s="24" t="str" cm="1">
        <f t="array" ref="R7607">IFERROR(IF($B7607=R$1, ($A7607+$C7607) - MAX(IF($B$2:$B7606=$B7607, $A$2:$A7606+$C$2:$C7606)), "")*24*60, "")</f>
        <v/>
      </c>
      <c r="S7607" s="24" t="str" cm="1">
        <f t="array" ref="S7607">IFERROR(IF($B7607=S$1, ($A7607+$C7607) - MAX(IF($B$2:$B7606=$B7607, $A$2:$A7606+$C$2:$C7606)), "")*24*60, "")</f>
        <v/>
      </c>
    </row>
    <row r="7608" spans="1:19" x14ac:dyDescent="0.2">
      <c r="A7608" s="12">
        <f t="shared" ref="A7608:C7608" si="1439">A7607</f>
        <v>46018</v>
      </c>
      <c r="B7608" s="5" t="str">
        <f t="shared" si="1439"/>
        <v>Northern Cardinal</v>
      </c>
      <c r="C7608" s="6">
        <f t="shared" si="1439"/>
        <v>0.29166666666666669</v>
      </c>
      <c r="D7608" s="5"/>
      <c r="E7608" s="5"/>
      <c r="F7608" s="5" t="s">
        <v>9</v>
      </c>
      <c r="G7608" s="15" t="s">
        <v>8</v>
      </c>
      <c r="H7608" s="24">
        <f t="shared" si="1410"/>
        <v>0</v>
      </c>
      <c r="I7608" s="24" cm="1">
        <f t="array" ref="I7608">IFERROR(IF($B7608=I$1, ($A7608+$C7608) - MAX(IF($B$2:$B7607=$B7608, $A$2:$A7607+$C$2:$C7607)), "")*24*60, "")</f>
        <v>0</v>
      </c>
      <c r="J7608" s="24" t="str" cm="1">
        <f t="array" ref="J7608">IFERROR(IF($B7608=J$1, ($A7608+$C7608) - MAX(IF($B$2:$B7607=$B7608, $A$2:$A7607+$C$2:$C7607)), "")*24*60, "")</f>
        <v/>
      </c>
      <c r="K7608" s="24" t="str" cm="1">
        <f t="array" ref="K7608">IFERROR(IF($B7608=K$1, ($A7608+$C7608) - MAX(IF($B$2:$B7607=$B7608, $A$2:$A7607+$C$2:$C7607)), "")*24*60, "")</f>
        <v/>
      </c>
      <c r="L7608" s="24" t="str" cm="1">
        <f t="array" ref="L7608">IFERROR(IF($B7608=L$1, ($A7608+$C7608) - MAX(IF($B$2:$B7607=$B7608, $A$2:$A7607+$C$2:$C7607)), "")*24*60, "")</f>
        <v/>
      </c>
      <c r="M7608" s="24" t="str" cm="1">
        <f t="array" ref="M7608">IFERROR(IF($B7608=M$1, ($A7608+$C7608) - MAX(IF($B$2:$B7607=$B7608, $A$2:$A7607+$C$2:$C7607)), "")*24*60, "")</f>
        <v/>
      </c>
      <c r="N7608" s="24" t="str" cm="1">
        <f t="array" ref="N7608">IFERROR(IF($B7608=N$1, ($A7608+$C7608) - MAX(IF($B$2:$B7607=$B7608, $A$2:$A7607+$C$2:$C7607)), "")*24*60, "")</f>
        <v/>
      </c>
      <c r="O7608" s="24" t="str" cm="1">
        <f t="array" ref="O7608">IFERROR(IF($B7608=O$1, ($A7608+$C7608) - MAX(IF($B$2:$B7607=$B7608, $A$2:$A7607+$C$2:$C7607)), "")*24*60, "")</f>
        <v/>
      </c>
      <c r="P7608" s="24" t="str" cm="1">
        <f t="array" ref="P7608">IFERROR(IF($B7608=P$1, ($A7608+$C7608) - MAX(IF($B$2:$B7607=$B7608, $A$2:$A7607+$C$2:$C7607)), "")*24*60, "")</f>
        <v/>
      </c>
      <c r="Q7608" s="24" t="str" cm="1">
        <f t="array" ref="Q7608">IFERROR(IF($B7608=Q$1, ($A7608+$C7608) - MAX(IF($B$2:$B7607=$B7608, $A$2:$A7607+$C$2:$C7607)), "")*24*60, "")</f>
        <v/>
      </c>
      <c r="R7608" s="24" t="str" cm="1">
        <f t="array" ref="R7608">IFERROR(IF($B7608=R$1, ($A7608+$C7608) - MAX(IF($B$2:$B7607=$B7608, $A$2:$A7607+$C$2:$C7607)), "")*24*60, "")</f>
        <v/>
      </c>
      <c r="S7608" s="24" t="str" cm="1">
        <f t="array" ref="S7608">IFERROR(IF($B7608=S$1, ($A7608+$C7608) - MAX(IF($B$2:$B7607=$B7608, $A$2:$A7607+$C$2:$C7607)), "")*24*60, "")</f>
        <v/>
      </c>
    </row>
    <row r="7609" spans="1:19" x14ac:dyDescent="0.2">
      <c r="A7609" s="12">
        <f t="shared" ref="A7609:C7609" si="1440">A7608</f>
        <v>46018</v>
      </c>
      <c r="B7609" s="5" t="str">
        <f t="shared" si="1440"/>
        <v>Northern Cardinal</v>
      </c>
      <c r="C7609" s="6">
        <f t="shared" si="1440"/>
        <v>0.29166666666666669</v>
      </c>
      <c r="D7609" s="5"/>
      <c r="E7609" s="5"/>
      <c r="F7609" s="5" t="s">
        <v>9</v>
      </c>
      <c r="G7609" s="15" t="s">
        <v>8</v>
      </c>
      <c r="H7609" s="24">
        <f t="shared" si="1410"/>
        <v>0</v>
      </c>
      <c r="I7609" s="24" cm="1">
        <f t="array" ref="I7609">IFERROR(IF($B7609=I$1, ($A7609+$C7609) - MAX(IF($B$2:$B7608=$B7609, $A$2:$A7608+$C$2:$C7608)), "")*24*60, "")</f>
        <v>0</v>
      </c>
      <c r="J7609" s="24" t="str" cm="1">
        <f t="array" ref="J7609">IFERROR(IF($B7609=J$1, ($A7609+$C7609) - MAX(IF($B$2:$B7608=$B7609, $A$2:$A7608+$C$2:$C7608)), "")*24*60, "")</f>
        <v/>
      </c>
      <c r="K7609" s="24" t="str" cm="1">
        <f t="array" ref="K7609">IFERROR(IF($B7609=K$1, ($A7609+$C7609) - MAX(IF($B$2:$B7608=$B7609, $A$2:$A7608+$C$2:$C7608)), "")*24*60, "")</f>
        <v/>
      </c>
      <c r="L7609" s="24" t="str" cm="1">
        <f t="array" ref="L7609">IFERROR(IF($B7609=L$1, ($A7609+$C7609) - MAX(IF($B$2:$B7608=$B7609, $A$2:$A7608+$C$2:$C7608)), "")*24*60, "")</f>
        <v/>
      </c>
      <c r="M7609" s="24" t="str" cm="1">
        <f t="array" ref="M7609">IFERROR(IF($B7609=M$1, ($A7609+$C7609) - MAX(IF($B$2:$B7608=$B7609, $A$2:$A7608+$C$2:$C7608)), "")*24*60, "")</f>
        <v/>
      </c>
      <c r="N7609" s="24" t="str" cm="1">
        <f t="array" ref="N7609">IFERROR(IF($B7609=N$1, ($A7609+$C7609) - MAX(IF($B$2:$B7608=$B7609, $A$2:$A7608+$C$2:$C7608)), "")*24*60, "")</f>
        <v/>
      </c>
      <c r="O7609" s="24" t="str" cm="1">
        <f t="array" ref="O7609">IFERROR(IF($B7609=O$1, ($A7609+$C7609) - MAX(IF($B$2:$B7608=$B7609, $A$2:$A7608+$C$2:$C7608)), "")*24*60, "")</f>
        <v/>
      </c>
      <c r="P7609" s="24" t="str" cm="1">
        <f t="array" ref="P7609">IFERROR(IF($B7609=P$1, ($A7609+$C7609) - MAX(IF($B$2:$B7608=$B7609, $A$2:$A7608+$C$2:$C7608)), "")*24*60, "")</f>
        <v/>
      </c>
      <c r="Q7609" s="24" t="str" cm="1">
        <f t="array" ref="Q7609">IFERROR(IF($B7609=Q$1, ($A7609+$C7609) - MAX(IF($B$2:$B7608=$B7609, $A$2:$A7608+$C$2:$C7608)), "")*24*60, "")</f>
        <v/>
      </c>
      <c r="R7609" s="24" t="str" cm="1">
        <f t="array" ref="R7609">IFERROR(IF($B7609=R$1, ($A7609+$C7609) - MAX(IF($B$2:$B7608=$B7609, $A$2:$A7608+$C$2:$C7608)), "")*24*60, "")</f>
        <v/>
      </c>
      <c r="S7609" s="24" t="str" cm="1">
        <f t="array" ref="S7609">IFERROR(IF($B7609=S$1, ($A7609+$C7609) - MAX(IF($B$2:$B7608=$B7609, $A$2:$A7608+$C$2:$C7608)), "")*24*60, "")</f>
        <v/>
      </c>
    </row>
    <row r="7610" spans="1:19" x14ac:dyDescent="0.2">
      <c r="A7610" s="12">
        <f t="shared" ref="A7610:C7610" si="1441">A7609</f>
        <v>46018</v>
      </c>
      <c r="B7610" s="5" t="str">
        <f t="shared" si="1441"/>
        <v>Northern Cardinal</v>
      </c>
      <c r="C7610" s="6">
        <f t="shared" si="1441"/>
        <v>0.29166666666666669</v>
      </c>
      <c r="D7610" s="5"/>
      <c r="E7610" s="5"/>
      <c r="F7610" s="5" t="s">
        <v>9</v>
      </c>
      <c r="G7610" s="15" t="s">
        <v>8</v>
      </c>
      <c r="H7610" s="24">
        <f t="shared" si="1410"/>
        <v>0</v>
      </c>
      <c r="I7610" s="24" cm="1">
        <f t="array" ref="I7610">IFERROR(IF($B7610=I$1, ($A7610+$C7610) - MAX(IF($B$2:$B7609=$B7610, $A$2:$A7609+$C$2:$C7609)), "")*24*60, "")</f>
        <v>0</v>
      </c>
      <c r="J7610" s="24" t="str" cm="1">
        <f t="array" ref="J7610">IFERROR(IF($B7610=J$1, ($A7610+$C7610) - MAX(IF($B$2:$B7609=$B7610, $A$2:$A7609+$C$2:$C7609)), "")*24*60, "")</f>
        <v/>
      </c>
      <c r="K7610" s="24" t="str" cm="1">
        <f t="array" ref="K7610">IFERROR(IF($B7610=K$1, ($A7610+$C7610) - MAX(IF($B$2:$B7609=$B7610, $A$2:$A7609+$C$2:$C7609)), "")*24*60, "")</f>
        <v/>
      </c>
      <c r="L7610" s="24" t="str" cm="1">
        <f t="array" ref="L7610">IFERROR(IF($B7610=L$1, ($A7610+$C7610) - MAX(IF($B$2:$B7609=$B7610, $A$2:$A7609+$C$2:$C7609)), "")*24*60, "")</f>
        <v/>
      </c>
      <c r="M7610" s="24" t="str" cm="1">
        <f t="array" ref="M7610">IFERROR(IF($B7610=M$1, ($A7610+$C7610) - MAX(IF($B$2:$B7609=$B7610, $A$2:$A7609+$C$2:$C7609)), "")*24*60, "")</f>
        <v/>
      </c>
      <c r="N7610" s="24" t="str" cm="1">
        <f t="array" ref="N7610">IFERROR(IF($B7610=N$1, ($A7610+$C7610) - MAX(IF($B$2:$B7609=$B7610, $A$2:$A7609+$C$2:$C7609)), "")*24*60, "")</f>
        <v/>
      </c>
      <c r="O7610" s="24" t="str" cm="1">
        <f t="array" ref="O7610">IFERROR(IF($B7610=O$1, ($A7610+$C7610) - MAX(IF($B$2:$B7609=$B7610, $A$2:$A7609+$C$2:$C7609)), "")*24*60, "")</f>
        <v/>
      </c>
      <c r="P7610" s="24" t="str" cm="1">
        <f t="array" ref="P7610">IFERROR(IF($B7610=P$1, ($A7610+$C7610) - MAX(IF($B$2:$B7609=$B7610, $A$2:$A7609+$C$2:$C7609)), "")*24*60, "")</f>
        <v/>
      </c>
      <c r="Q7610" s="24" t="str" cm="1">
        <f t="array" ref="Q7610">IFERROR(IF($B7610=Q$1, ($A7610+$C7610) - MAX(IF($B$2:$B7609=$B7610, $A$2:$A7609+$C$2:$C7609)), "")*24*60, "")</f>
        <v/>
      </c>
      <c r="R7610" s="24" t="str" cm="1">
        <f t="array" ref="R7610">IFERROR(IF($B7610=R$1, ($A7610+$C7610) - MAX(IF($B$2:$B7609=$B7610, $A$2:$A7609+$C$2:$C7609)), "")*24*60, "")</f>
        <v/>
      </c>
      <c r="S7610" s="24" t="str" cm="1">
        <f t="array" ref="S7610">IFERROR(IF($B7610=S$1, ($A7610+$C7610) - MAX(IF($B$2:$B7609=$B7610, $A$2:$A7609+$C$2:$C7609)), "")*24*60, "")</f>
        <v/>
      </c>
    </row>
    <row r="7611" spans="1:19" x14ac:dyDescent="0.2">
      <c r="A7611" s="12">
        <f t="shared" ref="A7611:C7611" si="1442">A7610</f>
        <v>46018</v>
      </c>
      <c r="B7611" s="5" t="str">
        <f t="shared" si="1442"/>
        <v>Northern Cardinal</v>
      </c>
      <c r="C7611" s="6">
        <f t="shared" si="1442"/>
        <v>0.29166666666666669</v>
      </c>
      <c r="D7611" s="5"/>
      <c r="E7611" s="5"/>
      <c r="F7611" s="5" t="s">
        <v>9</v>
      </c>
      <c r="G7611" s="15" t="s">
        <v>8</v>
      </c>
      <c r="H7611" s="24">
        <f t="shared" si="1410"/>
        <v>0</v>
      </c>
      <c r="I7611" s="24" cm="1">
        <f t="array" ref="I7611">IFERROR(IF($B7611=I$1, ($A7611+$C7611) - MAX(IF($B$2:$B7610=$B7611, $A$2:$A7610+$C$2:$C7610)), "")*24*60, "")</f>
        <v>0</v>
      </c>
      <c r="J7611" s="24" t="str" cm="1">
        <f t="array" ref="J7611">IFERROR(IF($B7611=J$1, ($A7611+$C7611) - MAX(IF($B$2:$B7610=$B7611, $A$2:$A7610+$C$2:$C7610)), "")*24*60, "")</f>
        <v/>
      </c>
      <c r="K7611" s="24" t="str" cm="1">
        <f t="array" ref="K7611">IFERROR(IF($B7611=K$1, ($A7611+$C7611) - MAX(IF($B$2:$B7610=$B7611, $A$2:$A7610+$C$2:$C7610)), "")*24*60, "")</f>
        <v/>
      </c>
      <c r="L7611" s="24" t="str" cm="1">
        <f t="array" ref="L7611">IFERROR(IF($B7611=L$1, ($A7611+$C7611) - MAX(IF($B$2:$B7610=$B7611, $A$2:$A7610+$C$2:$C7610)), "")*24*60, "")</f>
        <v/>
      </c>
      <c r="M7611" s="24" t="str" cm="1">
        <f t="array" ref="M7611">IFERROR(IF($B7611=M$1, ($A7611+$C7611) - MAX(IF($B$2:$B7610=$B7611, $A$2:$A7610+$C$2:$C7610)), "")*24*60, "")</f>
        <v/>
      </c>
      <c r="N7611" s="24" t="str" cm="1">
        <f t="array" ref="N7611">IFERROR(IF($B7611=N$1, ($A7611+$C7611) - MAX(IF($B$2:$B7610=$B7611, $A$2:$A7610+$C$2:$C7610)), "")*24*60, "")</f>
        <v/>
      </c>
      <c r="O7611" s="24" t="str" cm="1">
        <f t="array" ref="O7611">IFERROR(IF($B7611=O$1, ($A7611+$C7611) - MAX(IF($B$2:$B7610=$B7611, $A$2:$A7610+$C$2:$C7610)), "")*24*60, "")</f>
        <v/>
      </c>
      <c r="P7611" s="24" t="str" cm="1">
        <f t="array" ref="P7611">IFERROR(IF($B7611=P$1, ($A7611+$C7611) - MAX(IF($B$2:$B7610=$B7611, $A$2:$A7610+$C$2:$C7610)), "")*24*60, "")</f>
        <v/>
      </c>
      <c r="Q7611" s="24" t="str" cm="1">
        <f t="array" ref="Q7611">IFERROR(IF($B7611=Q$1, ($A7611+$C7611) - MAX(IF($B$2:$B7610=$B7611, $A$2:$A7610+$C$2:$C7610)), "")*24*60, "")</f>
        <v/>
      </c>
      <c r="R7611" s="24" t="str" cm="1">
        <f t="array" ref="R7611">IFERROR(IF($B7611=R$1, ($A7611+$C7611) - MAX(IF($B$2:$B7610=$B7611, $A$2:$A7610+$C$2:$C7610)), "")*24*60, "")</f>
        <v/>
      </c>
      <c r="S7611" s="24" t="str" cm="1">
        <f t="array" ref="S7611">IFERROR(IF($B7611=S$1, ($A7611+$C7611) - MAX(IF($B$2:$B7610=$B7611, $A$2:$A7610+$C$2:$C7610)), "")*24*60, "")</f>
        <v/>
      </c>
    </row>
    <row r="7612" spans="1:19" x14ac:dyDescent="0.2">
      <c r="A7612" s="12">
        <f t="shared" ref="A7612:C7612" si="1443">A7611</f>
        <v>46018</v>
      </c>
      <c r="B7612" s="5" t="str">
        <f t="shared" si="1443"/>
        <v>Northern Cardinal</v>
      </c>
      <c r="C7612" s="6">
        <f t="shared" si="1443"/>
        <v>0.29166666666666669</v>
      </c>
      <c r="D7612" s="5"/>
      <c r="E7612" s="5"/>
      <c r="F7612" s="5" t="s">
        <v>9</v>
      </c>
      <c r="G7612" s="15" t="s">
        <v>8</v>
      </c>
      <c r="H7612" s="24">
        <f t="shared" si="1410"/>
        <v>0</v>
      </c>
      <c r="I7612" s="24" cm="1">
        <f t="array" ref="I7612">IFERROR(IF($B7612=I$1, ($A7612+$C7612) - MAX(IF($B$2:$B7611=$B7612, $A$2:$A7611+$C$2:$C7611)), "")*24*60, "")</f>
        <v>0</v>
      </c>
      <c r="J7612" s="24" t="str" cm="1">
        <f t="array" ref="J7612">IFERROR(IF($B7612=J$1, ($A7612+$C7612) - MAX(IF($B$2:$B7611=$B7612, $A$2:$A7611+$C$2:$C7611)), "")*24*60, "")</f>
        <v/>
      </c>
      <c r="K7612" s="24" t="str" cm="1">
        <f t="array" ref="K7612">IFERROR(IF($B7612=K$1, ($A7612+$C7612) - MAX(IF($B$2:$B7611=$B7612, $A$2:$A7611+$C$2:$C7611)), "")*24*60, "")</f>
        <v/>
      </c>
      <c r="L7612" s="24" t="str" cm="1">
        <f t="array" ref="L7612">IFERROR(IF($B7612=L$1, ($A7612+$C7612) - MAX(IF($B$2:$B7611=$B7612, $A$2:$A7611+$C$2:$C7611)), "")*24*60, "")</f>
        <v/>
      </c>
      <c r="M7612" s="24" t="str" cm="1">
        <f t="array" ref="M7612">IFERROR(IF($B7612=M$1, ($A7612+$C7612) - MAX(IF($B$2:$B7611=$B7612, $A$2:$A7611+$C$2:$C7611)), "")*24*60, "")</f>
        <v/>
      </c>
      <c r="N7612" s="24" t="str" cm="1">
        <f t="array" ref="N7612">IFERROR(IF($B7612=N$1, ($A7612+$C7612) - MAX(IF($B$2:$B7611=$B7612, $A$2:$A7611+$C$2:$C7611)), "")*24*60, "")</f>
        <v/>
      </c>
      <c r="O7612" s="24" t="str" cm="1">
        <f t="array" ref="O7612">IFERROR(IF($B7612=O$1, ($A7612+$C7612) - MAX(IF($B$2:$B7611=$B7612, $A$2:$A7611+$C$2:$C7611)), "")*24*60, "")</f>
        <v/>
      </c>
      <c r="P7612" s="24" t="str" cm="1">
        <f t="array" ref="P7612">IFERROR(IF($B7612=P$1, ($A7612+$C7612) - MAX(IF($B$2:$B7611=$B7612, $A$2:$A7611+$C$2:$C7611)), "")*24*60, "")</f>
        <v/>
      </c>
      <c r="Q7612" s="24" t="str" cm="1">
        <f t="array" ref="Q7612">IFERROR(IF($B7612=Q$1, ($A7612+$C7612) - MAX(IF($B$2:$B7611=$B7612, $A$2:$A7611+$C$2:$C7611)), "")*24*60, "")</f>
        <v/>
      </c>
      <c r="R7612" s="24" t="str" cm="1">
        <f t="array" ref="R7612">IFERROR(IF($B7612=R$1, ($A7612+$C7612) - MAX(IF($B$2:$B7611=$B7612, $A$2:$A7611+$C$2:$C7611)), "")*24*60, "")</f>
        <v/>
      </c>
      <c r="S7612" s="24" t="str" cm="1">
        <f t="array" ref="S7612">IFERROR(IF($B7612=S$1, ($A7612+$C7612) - MAX(IF($B$2:$B7611=$B7612, $A$2:$A7611+$C$2:$C7611)), "")*24*60, "")</f>
        <v/>
      </c>
    </row>
    <row r="7613" spans="1:19" x14ac:dyDescent="0.2">
      <c r="A7613" s="12">
        <f t="shared" ref="A7613:C7613" si="1444">A7612</f>
        <v>46018</v>
      </c>
      <c r="B7613" s="5" t="str">
        <f t="shared" si="1444"/>
        <v>Northern Cardinal</v>
      </c>
      <c r="C7613" s="6">
        <f t="shared" si="1444"/>
        <v>0.29166666666666669</v>
      </c>
      <c r="D7613" s="5"/>
      <c r="E7613" s="5"/>
      <c r="F7613" s="5" t="s">
        <v>9</v>
      </c>
      <c r="G7613" s="15" t="s">
        <v>8</v>
      </c>
      <c r="H7613" s="24">
        <f t="shared" si="1410"/>
        <v>0</v>
      </c>
      <c r="I7613" s="24" cm="1">
        <f t="array" ref="I7613">IFERROR(IF($B7613=I$1, ($A7613+$C7613) - MAX(IF($B$2:$B7612=$B7613, $A$2:$A7612+$C$2:$C7612)), "")*24*60, "")</f>
        <v>0</v>
      </c>
      <c r="J7613" s="24" t="str" cm="1">
        <f t="array" ref="J7613">IFERROR(IF($B7613=J$1, ($A7613+$C7613) - MAX(IF($B$2:$B7612=$B7613, $A$2:$A7612+$C$2:$C7612)), "")*24*60, "")</f>
        <v/>
      </c>
      <c r="K7613" s="24" t="str" cm="1">
        <f t="array" ref="K7613">IFERROR(IF($B7613=K$1, ($A7613+$C7613) - MAX(IF($B$2:$B7612=$B7613, $A$2:$A7612+$C$2:$C7612)), "")*24*60, "")</f>
        <v/>
      </c>
      <c r="L7613" s="24" t="str" cm="1">
        <f t="array" ref="L7613">IFERROR(IF($B7613=L$1, ($A7613+$C7613) - MAX(IF($B$2:$B7612=$B7613, $A$2:$A7612+$C$2:$C7612)), "")*24*60, "")</f>
        <v/>
      </c>
      <c r="M7613" s="24" t="str" cm="1">
        <f t="array" ref="M7613">IFERROR(IF($B7613=M$1, ($A7613+$C7613) - MAX(IF($B$2:$B7612=$B7613, $A$2:$A7612+$C$2:$C7612)), "")*24*60, "")</f>
        <v/>
      </c>
      <c r="N7613" s="24" t="str" cm="1">
        <f t="array" ref="N7613">IFERROR(IF($B7613=N$1, ($A7613+$C7613) - MAX(IF($B$2:$B7612=$B7613, $A$2:$A7612+$C$2:$C7612)), "")*24*60, "")</f>
        <v/>
      </c>
      <c r="O7613" s="24" t="str" cm="1">
        <f t="array" ref="O7613">IFERROR(IF($B7613=O$1, ($A7613+$C7613) - MAX(IF($B$2:$B7612=$B7613, $A$2:$A7612+$C$2:$C7612)), "")*24*60, "")</f>
        <v/>
      </c>
      <c r="P7613" s="24" t="str" cm="1">
        <f t="array" ref="P7613">IFERROR(IF($B7613=P$1, ($A7613+$C7613) - MAX(IF($B$2:$B7612=$B7613, $A$2:$A7612+$C$2:$C7612)), "")*24*60, "")</f>
        <v/>
      </c>
      <c r="Q7613" s="24" t="str" cm="1">
        <f t="array" ref="Q7613">IFERROR(IF($B7613=Q$1, ($A7613+$C7613) - MAX(IF($B$2:$B7612=$B7613, $A$2:$A7612+$C$2:$C7612)), "")*24*60, "")</f>
        <v/>
      </c>
      <c r="R7613" s="24" t="str" cm="1">
        <f t="array" ref="R7613">IFERROR(IF($B7613=R$1, ($A7613+$C7613) - MAX(IF($B$2:$B7612=$B7613, $A$2:$A7612+$C$2:$C7612)), "")*24*60, "")</f>
        <v/>
      </c>
      <c r="S7613" s="24" t="str" cm="1">
        <f t="array" ref="S7613">IFERROR(IF($B7613=S$1, ($A7613+$C7613) - MAX(IF($B$2:$B7612=$B7613, $A$2:$A7612+$C$2:$C7612)), "")*24*60, "")</f>
        <v/>
      </c>
    </row>
    <row r="7614" spans="1:19" x14ac:dyDescent="0.2">
      <c r="A7614" s="12">
        <f t="shared" ref="A7614:C7614" si="1445">A7613</f>
        <v>46018</v>
      </c>
      <c r="B7614" s="5" t="str">
        <f t="shared" si="1445"/>
        <v>Northern Cardinal</v>
      </c>
      <c r="C7614" s="6">
        <f t="shared" si="1445"/>
        <v>0.29166666666666669</v>
      </c>
      <c r="D7614" s="5"/>
      <c r="E7614" s="5"/>
      <c r="F7614" s="5" t="s">
        <v>9</v>
      </c>
      <c r="G7614" s="15" t="s">
        <v>8</v>
      </c>
      <c r="H7614" s="24">
        <f t="shared" si="1410"/>
        <v>0</v>
      </c>
      <c r="I7614" s="24" cm="1">
        <f t="array" ref="I7614">IFERROR(IF($B7614=I$1, ($A7614+$C7614) - MAX(IF($B$2:$B7613=$B7614, $A$2:$A7613+$C$2:$C7613)), "")*24*60, "")</f>
        <v>0</v>
      </c>
      <c r="J7614" s="24" t="str" cm="1">
        <f t="array" ref="J7614">IFERROR(IF($B7614=J$1, ($A7614+$C7614) - MAX(IF($B$2:$B7613=$B7614, $A$2:$A7613+$C$2:$C7613)), "")*24*60, "")</f>
        <v/>
      </c>
      <c r="K7614" s="24" t="str" cm="1">
        <f t="array" ref="K7614">IFERROR(IF($B7614=K$1, ($A7614+$C7614) - MAX(IF($B$2:$B7613=$B7614, $A$2:$A7613+$C$2:$C7613)), "")*24*60, "")</f>
        <v/>
      </c>
      <c r="L7614" s="24" t="str" cm="1">
        <f t="array" ref="L7614">IFERROR(IF($B7614=L$1, ($A7614+$C7614) - MAX(IF($B$2:$B7613=$B7614, $A$2:$A7613+$C$2:$C7613)), "")*24*60, "")</f>
        <v/>
      </c>
      <c r="M7614" s="24" t="str" cm="1">
        <f t="array" ref="M7614">IFERROR(IF($B7614=M$1, ($A7614+$C7614) - MAX(IF($B$2:$B7613=$B7614, $A$2:$A7613+$C$2:$C7613)), "")*24*60, "")</f>
        <v/>
      </c>
      <c r="N7614" s="24" t="str" cm="1">
        <f t="array" ref="N7614">IFERROR(IF($B7614=N$1, ($A7614+$C7614) - MAX(IF($B$2:$B7613=$B7614, $A$2:$A7613+$C$2:$C7613)), "")*24*60, "")</f>
        <v/>
      </c>
      <c r="O7614" s="24" t="str" cm="1">
        <f t="array" ref="O7614">IFERROR(IF($B7614=O$1, ($A7614+$C7614) - MAX(IF($B$2:$B7613=$B7614, $A$2:$A7613+$C$2:$C7613)), "")*24*60, "")</f>
        <v/>
      </c>
      <c r="P7614" s="24" t="str" cm="1">
        <f t="array" ref="P7614">IFERROR(IF($B7614=P$1, ($A7614+$C7614) - MAX(IF($B$2:$B7613=$B7614, $A$2:$A7613+$C$2:$C7613)), "")*24*60, "")</f>
        <v/>
      </c>
      <c r="Q7614" s="24" t="str" cm="1">
        <f t="array" ref="Q7614">IFERROR(IF($B7614=Q$1, ($A7614+$C7614) - MAX(IF($B$2:$B7613=$B7614, $A$2:$A7613+$C$2:$C7613)), "")*24*60, "")</f>
        <v/>
      </c>
      <c r="R7614" s="24" t="str" cm="1">
        <f t="array" ref="R7614">IFERROR(IF($B7614=R$1, ($A7614+$C7614) - MAX(IF($B$2:$B7613=$B7614, $A$2:$A7613+$C$2:$C7613)), "")*24*60, "")</f>
        <v/>
      </c>
      <c r="S7614" s="24" t="str" cm="1">
        <f t="array" ref="S7614">IFERROR(IF($B7614=S$1, ($A7614+$C7614) - MAX(IF($B$2:$B7613=$B7614, $A$2:$A7613+$C$2:$C7613)), "")*24*60, "")</f>
        <v/>
      </c>
    </row>
    <row r="7615" spans="1:19" x14ac:dyDescent="0.2">
      <c r="A7615" s="12">
        <f t="shared" ref="A7615:C7615" si="1446">A7614</f>
        <v>46018</v>
      </c>
      <c r="B7615" s="5" t="str">
        <f t="shared" si="1446"/>
        <v>Northern Cardinal</v>
      </c>
      <c r="C7615" s="6">
        <f t="shared" si="1446"/>
        <v>0.29166666666666669</v>
      </c>
      <c r="D7615" s="5"/>
      <c r="E7615" s="5"/>
      <c r="F7615" s="5" t="s">
        <v>9</v>
      </c>
      <c r="G7615" s="15" t="s">
        <v>8</v>
      </c>
      <c r="H7615" s="24">
        <f t="shared" si="1410"/>
        <v>0</v>
      </c>
      <c r="I7615" s="24" cm="1">
        <f t="array" ref="I7615">IFERROR(IF($B7615=I$1, ($A7615+$C7615) - MAX(IF($B$2:$B7614=$B7615, $A$2:$A7614+$C$2:$C7614)), "")*24*60, "")</f>
        <v>0</v>
      </c>
      <c r="J7615" s="24" t="str" cm="1">
        <f t="array" ref="J7615">IFERROR(IF($B7615=J$1, ($A7615+$C7615) - MAX(IF($B$2:$B7614=$B7615, $A$2:$A7614+$C$2:$C7614)), "")*24*60, "")</f>
        <v/>
      </c>
      <c r="K7615" s="24" t="str" cm="1">
        <f t="array" ref="K7615">IFERROR(IF($B7615=K$1, ($A7615+$C7615) - MAX(IF($B$2:$B7614=$B7615, $A$2:$A7614+$C$2:$C7614)), "")*24*60, "")</f>
        <v/>
      </c>
      <c r="L7615" s="24" t="str" cm="1">
        <f t="array" ref="L7615">IFERROR(IF($B7615=L$1, ($A7615+$C7615) - MAX(IF($B$2:$B7614=$B7615, $A$2:$A7614+$C$2:$C7614)), "")*24*60, "")</f>
        <v/>
      </c>
      <c r="M7615" s="24" t="str" cm="1">
        <f t="array" ref="M7615">IFERROR(IF($B7615=M$1, ($A7615+$C7615) - MAX(IF($B$2:$B7614=$B7615, $A$2:$A7614+$C$2:$C7614)), "")*24*60, "")</f>
        <v/>
      </c>
      <c r="N7615" s="24" t="str" cm="1">
        <f t="array" ref="N7615">IFERROR(IF($B7615=N$1, ($A7615+$C7615) - MAX(IF($B$2:$B7614=$B7615, $A$2:$A7614+$C$2:$C7614)), "")*24*60, "")</f>
        <v/>
      </c>
      <c r="O7615" s="24" t="str" cm="1">
        <f t="array" ref="O7615">IFERROR(IF($B7615=O$1, ($A7615+$C7615) - MAX(IF($B$2:$B7614=$B7615, $A$2:$A7614+$C$2:$C7614)), "")*24*60, "")</f>
        <v/>
      </c>
      <c r="P7615" s="24" t="str" cm="1">
        <f t="array" ref="P7615">IFERROR(IF($B7615=P$1, ($A7615+$C7615) - MAX(IF($B$2:$B7614=$B7615, $A$2:$A7614+$C$2:$C7614)), "")*24*60, "")</f>
        <v/>
      </c>
      <c r="Q7615" s="24" t="str" cm="1">
        <f t="array" ref="Q7615">IFERROR(IF($B7615=Q$1, ($A7615+$C7615) - MAX(IF($B$2:$B7614=$B7615, $A$2:$A7614+$C$2:$C7614)), "")*24*60, "")</f>
        <v/>
      </c>
      <c r="R7615" s="24" t="str" cm="1">
        <f t="array" ref="R7615">IFERROR(IF($B7615=R$1, ($A7615+$C7615) - MAX(IF($B$2:$B7614=$B7615, $A$2:$A7614+$C$2:$C7614)), "")*24*60, "")</f>
        <v/>
      </c>
      <c r="S7615" s="24" t="str" cm="1">
        <f t="array" ref="S7615">IFERROR(IF($B7615=S$1, ($A7615+$C7615) - MAX(IF($B$2:$B7614=$B7615, $A$2:$A7614+$C$2:$C7614)), "")*24*60, "")</f>
        <v/>
      </c>
    </row>
    <row r="7616" spans="1:19" x14ac:dyDescent="0.2">
      <c r="A7616" s="12">
        <f t="shared" ref="A7616:C7616" si="1447">A7615</f>
        <v>46018</v>
      </c>
      <c r="B7616" s="5" t="str">
        <f t="shared" si="1447"/>
        <v>Northern Cardinal</v>
      </c>
      <c r="C7616" s="6">
        <f t="shared" si="1447"/>
        <v>0.29166666666666669</v>
      </c>
      <c r="D7616" s="5"/>
      <c r="E7616" s="5"/>
      <c r="F7616" s="5" t="s">
        <v>9</v>
      </c>
      <c r="G7616" s="15" t="s">
        <v>8</v>
      </c>
      <c r="H7616" s="24">
        <f t="shared" si="1410"/>
        <v>0</v>
      </c>
      <c r="I7616" s="24" cm="1">
        <f t="array" ref="I7616">IFERROR(IF($B7616=I$1, ($A7616+$C7616) - MAX(IF($B$2:$B7615=$B7616, $A$2:$A7615+$C$2:$C7615)), "")*24*60, "")</f>
        <v>0</v>
      </c>
      <c r="J7616" s="24" t="str" cm="1">
        <f t="array" ref="J7616">IFERROR(IF($B7616=J$1, ($A7616+$C7616) - MAX(IF($B$2:$B7615=$B7616, $A$2:$A7615+$C$2:$C7615)), "")*24*60, "")</f>
        <v/>
      </c>
      <c r="K7616" s="24" t="str" cm="1">
        <f t="array" ref="K7616">IFERROR(IF($B7616=K$1, ($A7616+$C7616) - MAX(IF($B$2:$B7615=$B7616, $A$2:$A7615+$C$2:$C7615)), "")*24*60, "")</f>
        <v/>
      </c>
      <c r="L7616" s="24" t="str" cm="1">
        <f t="array" ref="L7616">IFERROR(IF($B7616=L$1, ($A7616+$C7616) - MAX(IF($B$2:$B7615=$B7616, $A$2:$A7615+$C$2:$C7615)), "")*24*60, "")</f>
        <v/>
      </c>
      <c r="M7616" s="24" t="str" cm="1">
        <f t="array" ref="M7616">IFERROR(IF($B7616=M$1, ($A7616+$C7616) - MAX(IF($B$2:$B7615=$B7616, $A$2:$A7615+$C$2:$C7615)), "")*24*60, "")</f>
        <v/>
      </c>
      <c r="N7616" s="24" t="str" cm="1">
        <f t="array" ref="N7616">IFERROR(IF($B7616=N$1, ($A7616+$C7616) - MAX(IF($B$2:$B7615=$B7616, $A$2:$A7615+$C$2:$C7615)), "")*24*60, "")</f>
        <v/>
      </c>
      <c r="O7616" s="24" t="str" cm="1">
        <f t="array" ref="O7616">IFERROR(IF($B7616=O$1, ($A7616+$C7616) - MAX(IF($B$2:$B7615=$B7616, $A$2:$A7615+$C$2:$C7615)), "")*24*60, "")</f>
        <v/>
      </c>
      <c r="P7616" s="24" t="str" cm="1">
        <f t="array" ref="P7616">IFERROR(IF($B7616=P$1, ($A7616+$C7616) - MAX(IF($B$2:$B7615=$B7616, $A$2:$A7615+$C$2:$C7615)), "")*24*60, "")</f>
        <v/>
      </c>
      <c r="Q7616" s="24" t="str" cm="1">
        <f t="array" ref="Q7616">IFERROR(IF($B7616=Q$1, ($A7616+$C7616) - MAX(IF($B$2:$B7615=$B7616, $A$2:$A7615+$C$2:$C7615)), "")*24*60, "")</f>
        <v/>
      </c>
      <c r="R7616" s="24" t="str" cm="1">
        <f t="array" ref="R7616">IFERROR(IF($B7616=R$1, ($A7616+$C7616) - MAX(IF($B$2:$B7615=$B7616, $A$2:$A7615+$C$2:$C7615)), "")*24*60, "")</f>
        <v/>
      </c>
      <c r="S7616" s="24" t="str" cm="1">
        <f t="array" ref="S7616">IFERROR(IF($B7616=S$1, ($A7616+$C7616) - MAX(IF($B$2:$B7615=$B7616, $A$2:$A7615+$C$2:$C7615)), "")*24*60, "")</f>
        <v/>
      </c>
    </row>
    <row r="7617" spans="1:19" x14ac:dyDescent="0.2">
      <c r="A7617" s="12">
        <f t="shared" ref="A7617:C7617" si="1448">A7616</f>
        <v>46018</v>
      </c>
      <c r="B7617" s="5" t="str">
        <f t="shared" si="1448"/>
        <v>Northern Cardinal</v>
      </c>
      <c r="C7617" s="6">
        <f t="shared" si="1448"/>
        <v>0.29166666666666669</v>
      </c>
      <c r="D7617" s="5"/>
      <c r="E7617" s="5"/>
      <c r="F7617" s="5" t="s">
        <v>9</v>
      </c>
      <c r="G7617" s="15" t="s">
        <v>8</v>
      </c>
      <c r="H7617" s="24">
        <f t="shared" si="1410"/>
        <v>0</v>
      </c>
      <c r="I7617" s="24" cm="1">
        <f t="array" ref="I7617">IFERROR(IF($B7617=I$1, ($A7617+$C7617) - MAX(IF($B$2:$B7616=$B7617, $A$2:$A7616+$C$2:$C7616)), "")*24*60, "")</f>
        <v>0</v>
      </c>
      <c r="J7617" s="24" t="str" cm="1">
        <f t="array" ref="J7617">IFERROR(IF($B7617=J$1, ($A7617+$C7617) - MAX(IF($B$2:$B7616=$B7617, $A$2:$A7616+$C$2:$C7616)), "")*24*60, "")</f>
        <v/>
      </c>
      <c r="K7617" s="24" t="str" cm="1">
        <f t="array" ref="K7617">IFERROR(IF($B7617=K$1, ($A7617+$C7617) - MAX(IF($B$2:$B7616=$B7617, $A$2:$A7616+$C$2:$C7616)), "")*24*60, "")</f>
        <v/>
      </c>
      <c r="L7617" s="24" t="str" cm="1">
        <f t="array" ref="L7617">IFERROR(IF($B7617=L$1, ($A7617+$C7617) - MAX(IF($B$2:$B7616=$B7617, $A$2:$A7616+$C$2:$C7616)), "")*24*60, "")</f>
        <v/>
      </c>
      <c r="M7617" s="24" t="str" cm="1">
        <f t="array" ref="M7617">IFERROR(IF($B7617=M$1, ($A7617+$C7617) - MAX(IF($B$2:$B7616=$B7617, $A$2:$A7616+$C$2:$C7616)), "")*24*60, "")</f>
        <v/>
      </c>
      <c r="N7617" s="24" t="str" cm="1">
        <f t="array" ref="N7617">IFERROR(IF($B7617=N$1, ($A7617+$C7617) - MAX(IF($B$2:$B7616=$B7617, $A$2:$A7616+$C$2:$C7616)), "")*24*60, "")</f>
        <v/>
      </c>
      <c r="O7617" s="24" t="str" cm="1">
        <f t="array" ref="O7617">IFERROR(IF($B7617=O$1, ($A7617+$C7617) - MAX(IF($B$2:$B7616=$B7617, $A$2:$A7616+$C$2:$C7616)), "")*24*60, "")</f>
        <v/>
      </c>
      <c r="P7617" s="24" t="str" cm="1">
        <f t="array" ref="P7617">IFERROR(IF($B7617=P$1, ($A7617+$C7617) - MAX(IF($B$2:$B7616=$B7617, $A$2:$A7616+$C$2:$C7616)), "")*24*60, "")</f>
        <v/>
      </c>
      <c r="Q7617" s="24" t="str" cm="1">
        <f t="array" ref="Q7617">IFERROR(IF($B7617=Q$1, ($A7617+$C7617) - MAX(IF($B$2:$B7616=$B7617, $A$2:$A7616+$C$2:$C7616)), "")*24*60, "")</f>
        <v/>
      </c>
      <c r="R7617" s="24" t="str" cm="1">
        <f t="array" ref="R7617">IFERROR(IF($B7617=R$1, ($A7617+$C7617) - MAX(IF($B$2:$B7616=$B7617, $A$2:$A7616+$C$2:$C7616)), "")*24*60, "")</f>
        <v/>
      </c>
      <c r="S7617" s="24" t="str" cm="1">
        <f t="array" ref="S7617">IFERROR(IF($B7617=S$1, ($A7617+$C7617) - MAX(IF($B$2:$B7616=$B7617, $A$2:$A7616+$C$2:$C7616)), "")*24*60, "")</f>
        <v/>
      </c>
    </row>
    <row r="7618" spans="1:19" x14ac:dyDescent="0.2">
      <c r="A7618" s="12">
        <f t="shared" ref="A7618:C7618" si="1449">A7617</f>
        <v>46018</v>
      </c>
      <c r="B7618" s="5" t="str">
        <f t="shared" si="1449"/>
        <v>Northern Cardinal</v>
      </c>
      <c r="C7618" s="6">
        <f t="shared" si="1449"/>
        <v>0.29166666666666669</v>
      </c>
      <c r="D7618" s="5"/>
      <c r="E7618" s="5"/>
      <c r="F7618" s="5" t="s">
        <v>9</v>
      </c>
      <c r="G7618" s="15" t="s">
        <v>8</v>
      </c>
      <c r="H7618" s="24">
        <f t="shared" si="1410"/>
        <v>0</v>
      </c>
      <c r="I7618" s="24" cm="1">
        <f t="array" ref="I7618">IFERROR(IF($B7618=I$1, ($A7618+$C7618) - MAX(IF($B$2:$B7617=$B7618, $A$2:$A7617+$C$2:$C7617)), "")*24*60, "")</f>
        <v>0</v>
      </c>
      <c r="J7618" s="24" t="str" cm="1">
        <f t="array" ref="J7618">IFERROR(IF($B7618=J$1, ($A7618+$C7618) - MAX(IF($B$2:$B7617=$B7618, $A$2:$A7617+$C$2:$C7617)), "")*24*60, "")</f>
        <v/>
      </c>
      <c r="K7618" s="24" t="str" cm="1">
        <f t="array" ref="K7618">IFERROR(IF($B7618=K$1, ($A7618+$C7618) - MAX(IF($B$2:$B7617=$B7618, $A$2:$A7617+$C$2:$C7617)), "")*24*60, "")</f>
        <v/>
      </c>
      <c r="L7618" s="24" t="str" cm="1">
        <f t="array" ref="L7618">IFERROR(IF($B7618=L$1, ($A7618+$C7618) - MAX(IF($B$2:$B7617=$B7618, $A$2:$A7617+$C$2:$C7617)), "")*24*60, "")</f>
        <v/>
      </c>
      <c r="M7618" s="24" t="str" cm="1">
        <f t="array" ref="M7618">IFERROR(IF($B7618=M$1, ($A7618+$C7618) - MAX(IF($B$2:$B7617=$B7618, $A$2:$A7617+$C$2:$C7617)), "")*24*60, "")</f>
        <v/>
      </c>
      <c r="N7618" s="24" t="str" cm="1">
        <f t="array" ref="N7618">IFERROR(IF($B7618=N$1, ($A7618+$C7618) - MAX(IF($B$2:$B7617=$B7618, $A$2:$A7617+$C$2:$C7617)), "")*24*60, "")</f>
        <v/>
      </c>
      <c r="O7618" s="24" t="str" cm="1">
        <f t="array" ref="O7618">IFERROR(IF($B7618=O$1, ($A7618+$C7618) - MAX(IF($B$2:$B7617=$B7618, $A$2:$A7617+$C$2:$C7617)), "")*24*60, "")</f>
        <v/>
      </c>
      <c r="P7618" s="24" t="str" cm="1">
        <f t="array" ref="P7618">IFERROR(IF($B7618=P$1, ($A7618+$C7618) - MAX(IF($B$2:$B7617=$B7618, $A$2:$A7617+$C$2:$C7617)), "")*24*60, "")</f>
        <v/>
      </c>
      <c r="Q7618" s="24" t="str" cm="1">
        <f t="array" ref="Q7618">IFERROR(IF($B7618=Q$1, ($A7618+$C7618) - MAX(IF($B$2:$B7617=$B7618, $A$2:$A7617+$C$2:$C7617)), "")*24*60, "")</f>
        <v/>
      </c>
      <c r="R7618" s="24" t="str" cm="1">
        <f t="array" ref="R7618">IFERROR(IF($B7618=R$1, ($A7618+$C7618) - MAX(IF($B$2:$B7617=$B7618, $A$2:$A7617+$C$2:$C7617)), "")*24*60, "")</f>
        <v/>
      </c>
      <c r="S7618" s="24" t="str" cm="1">
        <f t="array" ref="S7618">IFERROR(IF($B7618=S$1, ($A7618+$C7618) - MAX(IF($B$2:$B7617=$B7618, $A$2:$A7617+$C$2:$C7617)), "")*24*60, "")</f>
        <v/>
      </c>
    </row>
    <row r="7619" spans="1:19" x14ac:dyDescent="0.2">
      <c r="A7619" s="12">
        <f t="shared" ref="A7619:C7619" si="1450">A7618</f>
        <v>46018</v>
      </c>
      <c r="B7619" s="5" t="str">
        <f t="shared" si="1450"/>
        <v>Northern Cardinal</v>
      </c>
      <c r="C7619" s="6">
        <f t="shared" si="1450"/>
        <v>0.29166666666666669</v>
      </c>
      <c r="D7619" s="5"/>
      <c r="E7619" s="5"/>
      <c r="F7619" s="5" t="s">
        <v>9</v>
      </c>
      <c r="G7619" s="15" t="s">
        <v>8</v>
      </c>
      <c r="H7619" s="24">
        <f t="shared" si="1410"/>
        <v>0</v>
      </c>
      <c r="I7619" s="24" cm="1">
        <f t="array" ref="I7619">IFERROR(IF($B7619=I$1, ($A7619+$C7619) - MAX(IF($B$2:$B7618=$B7619, $A$2:$A7618+$C$2:$C7618)), "")*24*60, "")</f>
        <v>0</v>
      </c>
      <c r="J7619" s="24" t="str" cm="1">
        <f t="array" ref="J7619">IFERROR(IF($B7619=J$1, ($A7619+$C7619) - MAX(IF($B$2:$B7618=$B7619, $A$2:$A7618+$C$2:$C7618)), "")*24*60, "")</f>
        <v/>
      </c>
      <c r="K7619" s="24" t="str" cm="1">
        <f t="array" ref="K7619">IFERROR(IF($B7619=K$1, ($A7619+$C7619) - MAX(IF($B$2:$B7618=$B7619, $A$2:$A7618+$C$2:$C7618)), "")*24*60, "")</f>
        <v/>
      </c>
      <c r="L7619" s="24" t="str" cm="1">
        <f t="array" ref="L7619">IFERROR(IF($B7619=L$1, ($A7619+$C7619) - MAX(IF($B$2:$B7618=$B7619, $A$2:$A7618+$C$2:$C7618)), "")*24*60, "")</f>
        <v/>
      </c>
      <c r="M7619" s="24" t="str" cm="1">
        <f t="array" ref="M7619">IFERROR(IF($B7619=M$1, ($A7619+$C7619) - MAX(IF($B$2:$B7618=$B7619, $A$2:$A7618+$C$2:$C7618)), "")*24*60, "")</f>
        <v/>
      </c>
      <c r="N7619" s="24" t="str" cm="1">
        <f t="array" ref="N7619">IFERROR(IF($B7619=N$1, ($A7619+$C7619) - MAX(IF($B$2:$B7618=$B7619, $A$2:$A7618+$C$2:$C7618)), "")*24*60, "")</f>
        <v/>
      </c>
      <c r="O7619" s="24" t="str" cm="1">
        <f t="array" ref="O7619">IFERROR(IF($B7619=O$1, ($A7619+$C7619) - MAX(IF($B$2:$B7618=$B7619, $A$2:$A7618+$C$2:$C7618)), "")*24*60, "")</f>
        <v/>
      </c>
      <c r="P7619" s="24" t="str" cm="1">
        <f t="array" ref="P7619">IFERROR(IF($B7619=P$1, ($A7619+$C7619) - MAX(IF($B$2:$B7618=$B7619, $A$2:$A7618+$C$2:$C7618)), "")*24*60, "")</f>
        <v/>
      </c>
      <c r="Q7619" s="24" t="str" cm="1">
        <f t="array" ref="Q7619">IFERROR(IF($B7619=Q$1, ($A7619+$C7619) - MAX(IF($B$2:$B7618=$B7619, $A$2:$A7618+$C$2:$C7618)), "")*24*60, "")</f>
        <v/>
      </c>
      <c r="R7619" s="24" t="str" cm="1">
        <f t="array" ref="R7619">IFERROR(IF($B7619=R$1, ($A7619+$C7619) - MAX(IF($B$2:$B7618=$B7619, $A$2:$A7618+$C$2:$C7618)), "")*24*60, "")</f>
        <v/>
      </c>
      <c r="S7619" s="24" t="str" cm="1">
        <f t="array" ref="S7619">IFERROR(IF($B7619=S$1, ($A7619+$C7619) - MAX(IF($B$2:$B7618=$B7619, $A$2:$A7618+$C$2:$C7618)), "")*24*60, "")</f>
        <v/>
      </c>
    </row>
    <row r="7620" spans="1:19" x14ac:dyDescent="0.2">
      <c r="A7620" s="12">
        <f t="shared" ref="A7620:C7620" si="1451">A7619</f>
        <v>46018</v>
      </c>
      <c r="B7620" s="5" t="str">
        <f t="shared" si="1451"/>
        <v>Northern Cardinal</v>
      </c>
      <c r="C7620" s="6">
        <f t="shared" si="1451"/>
        <v>0.29166666666666669</v>
      </c>
      <c r="D7620" s="5"/>
      <c r="E7620" s="5"/>
      <c r="F7620" s="5" t="s">
        <v>9</v>
      </c>
      <c r="G7620" s="15" t="s">
        <v>8</v>
      </c>
      <c r="H7620" s="24">
        <f t="shared" si="1410"/>
        <v>0</v>
      </c>
      <c r="I7620" s="24" cm="1">
        <f t="array" ref="I7620">IFERROR(IF($B7620=I$1, ($A7620+$C7620) - MAX(IF($B$2:$B7619=$B7620, $A$2:$A7619+$C$2:$C7619)), "")*24*60, "")</f>
        <v>0</v>
      </c>
      <c r="J7620" s="24" t="str" cm="1">
        <f t="array" ref="J7620">IFERROR(IF($B7620=J$1, ($A7620+$C7620) - MAX(IF($B$2:$B7619=$B7620, $A$2:$A7619+$C$2:$C7619)), "")*24*60, "")</f>
        <v/>
      </c>
      <c r="K7620" s="24" t="str" cm="1">
        <f t="array" ref="K7620">IFERROR(IF($B7620=K$1, ($A7620+$C7620) - MAX(IF($B$2:$B7619=$B7620, $A$2:$A7619+$C$2:$C7619)), "")*24*60, "")</f>
        <v/>
      </c>
      <c r="L7620" s="24" t="str" cm="1">
        <f t="array" ref="L7620">IFERROR(IF($B7620=L$1, ($A7620+$C7620) - MAX(IF($B$2:$B7619=$B7620, $A$2:$A7619+$C$2:$C7619)), "")*24*60, "")</f>
        <v/>
      </c>
      <c r="M7620" s="24" t="str" cm="1">
        <f t="array" ref="M7620">IFERROR(IF($B7620=M$1, ($A7620+$C7620) - MAX(IF($B$2:$B7619=$B7620, $A$2:$A7619+$C$2:$C7619)), "")*24*60, "")</f>
        <v/>
      </c>
      <c r="N7620" s="24" t="str" cm="1">
        <f t="array" ref="N7620">IFERROR(IF($B7620=N$1, ($A7620+$C7620) - MAX(IF($B$2:$B7619=$B7620, $A$2:$A7619+$C$2:$C7619)), "")*24*60, "")</f>
        <v/>
      </c>
      <c r="O7620" s="24" t="str" cm="1">
        <f t="array" ref="O7620">IFERROR(IF($B7620=O$1, ($A7620+$C7620) - MAX(IF($B$2:$B7619=$B7620, $A$2:$A7619+$C$2:$C7619)), "")*24*60, "")</f>
        <v/>
      </c>
      <c r="P7620" s="24" t="str" cm="1">
        <f t="array" ref="P7620">IFERROR(IF($B7620=P$1, ($A7620+$C7620) - MAX(IF($B$2:$B7619=$B7620, $A$2:$A7619+$C$2:$C7619)), "")*24*60, "")</f>
        <v/>
      </c>
      <c r="Q7620" s="24" t="str" cm="1">
        <f t="array" ref="Q7620">IFERROR(IF($B7620=Q$1, ($A7620+$C7620) - MAX(IF($B$2:$B7619=$B7620, $A$2:$A7619+$C$2:$C7619)), "")*24*60, "")</f>
        <v/>
      </c>
      <c r="R7620" s="24" t="str" cm="1">
        <f t="array" ref="R7620">IFERROR(IF($B7620=R$1, ($A7620+$C7620) - MAX(IF($B$2:$B7619=$B7620, $A$2:$A7619+$C$2:$C7619)), "")*24*60, "")</f>
        <v/>
      </c>
      <c r="S7620" s="24" t="str" cm="1">
        <f t="array" ref="S7620">IFERROR(IF($B7620=S$1, ($A7620+$C7620) - MAX(IF($B$2:$B7619=$B7620, $A$2:$A7619+$C$2:$C7619)), "")*24*60, "")</f>
        <v/>
      </c>
    </row>
    <row r="7621" spans="1:19" x14ac:dyDescent="0.2">
      <c r="A7621" s="12">
        <f t="shared" ref="A7621:C7621" si="1452">A7620</f>
        <v>46018</v>
      </c>
      <c r="B7621" s="5" t="str">
        <f t="shared" si="1452"/>
        <v>Northern Cardinal</v>
      </c>
      <c r="C7621" s="6">
        <f t="shared" si="1452"/>
        <v>0.29166666666666669</v>
      </c>
      <c r="D7621" s="5"/>
      <c r="E7621" s="5"/>
      <c r="F7621" s="5" t="s">
        <v>9</v>
      </c>
      <c r="G7621" s="15" t="s">
        <v>8</v>
      </c>
      <c r="H7621" s="24">
        <f t="shared" si="1410"/>
        <v>0</v>
      </c>
      <c r="I7621" s="24" cm="1">
        <f t="array" ref="I7621">IFERROR(IF($B7621=I$1, ($A7621+$C7621) - MAX(IF($B$2:$B7620=$B7621, $A$2:$A7620+$C$2:$C7620)), "")*24*60, "")</f>
        <v>0</v>
      </c>
      <c r="J7621" s="24" t="str" cm="1">
        <f t="array" ref="J7621">IFERROR(IF($B7621=J$1, ($A7621+$C7621) - MAX(IF($B$2:$B7620=$B7621, $A$2:$A7620+$C$2:$C7620)), "")*24*60, "")</f>
        <v/>
      </c>
      <c r="K7621" s="24" t="str" cm="1">
        <f t="array" ref="K7621">IFERROR(IF($B7621=K$1, ($A7621+$C7621) - MAX(IF($B$2:$B7620=$B7621, $A$2:$A7620+$C$2:$C7620)), "")*24*60, "")</f>
        <v/>
      </c>
      <c r="L7621" s="24" t="str" cm="1">
        <f t="array" ref="L7621">IFERROR(IF($B7621=L$1, ($A7621+$C7621) - MAX(IF($B$2:$B7620=$B7621, $A$2:$A7620+$C$2:$C7620)), "")*24*60, "")</f>
        <v/>
      </c>
      <c r="M7621" s="24" t="str" cm="1">
        <f t="array" ref="M7621">IFERROR(IF($B7621=M$1, ($A7621+$C7621) - MAX(IF($B$2:$B7620=$B7621, $A$2:$A7620+$C$2:$C7620)), "")*24*60, "")</f>
        <v/>
      </c>
      <c r="N7621" s="24" t="str" cm="1">
        <f t="array" ref="N7621">IFERROR(IF($B7621=N$1, ($A7621+$C7621) - MAX(IF($B$2:$B7620=$B7621, $A$2:$A7620+$C$2:$C7620)), "")*24*60, "")</f>
        <v/>
      </c>
      <c r="O7621" s="24" t="str" cm="1">
        <f t="array" ref="O7621">IFERROR(IF($B7621=O$1, ($A7621+$C7621) - MAX(IF($B$2:$B7620=$B7621, $A$2:$A7620+$C$2:$C7620)), "")*24*60, "")</f>
        <v/>
      </c>
      <c r="P7621" s="24" t="str" cm="1">
        <f t="array" ref="P7621">IFERROR(IF($B7621=P$1, ($A7621+$C7621) - MAX(IF($B$2:$B7620=$B7621, $A$2:$A7620+$C$2:$C7620)), "")*24*60, "")</f>
        <v/>
      </c>
      <c r="Q7621" s="24" t="str" cm="1">
        <f t="array" ref="Q7621">IFERROR(IF($B7621=Q$1, ($A7621+$C7621) - MAX(IF($B$2:$B7620=$B7621, $A$2:$A7620+$C$2:$C7620)), "")*24*60, "")</f>
        <v/>
      </c>
      <c r="R7621" s="24" t="str" cm="1">
        <f t="array" ref="R7621">IFERROR(IF($B7621=R$1, ($A7621+$C7621) - MAX(IF($B$2:$B7620=$B7621, $A$2:$A7620+$C$2:$C7620)), "")*24*60, "")</f>
        <v/>
      </c>
      <c r="S7621" s="24" t="str" cm="1">
        <f t="array" ref="S7621">IFERROR(IF($B7621=S$1, ($A7621+$C7621) - MAX(IF($B$2:$B7620=$B7621, $A$2:$A7620+$C$2:$C7620)), "")*24*60, "")</f>
        <v/>
      </c>
    </row>
    <row r="7622" spans="1:19" x14ac:dyDescent="0.2">
      <c r="A7622" s="12">
        <f t="shared" ref="A7622:C7622" si="1453">A7621</f>
        <v>46018</v>
      </c>
      <c r="B7622" s="5" t="str">
        <f t="shared" si="1453"/>
        <v>Northern Cardinal</v>
      </c>
      <c r="C7622" s="6">
        <f t="shared" si="1453"/>
        <v>0.29166666666666669</v>
      </c>
      <c r="D7622" s="5"/>
      <c r="E7622" s="5"/>
      <c r="F7622" s="5" t="s">
        <v>9</v>
      </c>
      <c r="G7622" s="15" t="s">
        <v>8</v>
      </c>
      <c r="H7622" s="24">
        <f t="shared" si="1410"/>
        <v>0</v>
      </c>
      <c r="I7622" s="24" cm="1">
        <f t="array" ref="I7622">IFERROR(IF($B7622=I$1, ($A7622+$C7622) - MAX(IF($B$2:$B7621=$B7622, $A$2:$A7621+$C$2:$C7621)), "")*24*60, "")</f>
        <v>0</v>
      </c>
      <c r="J7622" s="24" t="str" cm="1">
        <f t="array" ref="J7622">IFERROR(IF($B7622=J$1, ($A7622+$C7622) - MAX(IF($B$2:$B7621=$B7622, $A$2:$A7621+$C$2:$C7621)), "")*24*60, "")</f>
        <v/>
      </c>
      <c r="K7622" s="24" t="str" cm="1">
        <f t="array" ref="K7622">IFERROR(IF($B7622=K$1, ($A7622+$C7622) - MAX(IF($B$2:$B7621=$B7622, $A$2:$A7621+$C$2:$C7621)), "")*24*60, "")</f>
        <v/>
      </c>
      <c r="L7622" s="24" t="str" cm="1">
        <f t="array" ref="L7622">IFERROR(IF($B7622=L$1, ($A7622+$C7622) - MAX(IF($B$2:$B7621=$B7622, $A$2:$A7621+$C$2:$C7621)), "")*24*60, "")</f>
        <v/>
      </c>
      <c r="M7622" s="24" t="str" cm="1">
        <f t="array" ref="M7622">IFERROR(IF($B7622=M$1, ($A7622+$C7622) - MAX(IF($B$2:$B7621=$B7622, $A$2:$A7621+$C$2:$C7621)), "")*24*60, "")</f>
        <v/>
      </c>
      <c r="N7622" s="24" t="str" cm="1">
        <f t="array" ref="N7622">IFERROR(IF($B7622=N$1, ($A7622+$C7622) - MAX(IF($B$2:$B7621=$B7622, $A$2:$A7621+$C$2:$C7621)), "")*24*60, "")</f>
        <v/>
      </c>
      <c r="O7622" s="24" t="str" cm="1">
        <f t="array" ref="O7622">IFERROR(IF($B7622=O$1, ($A7622+$C7622) - MAX(IF($B$2:$B7621=$B7622, $A$2:$A7621+$C$2:$C7621)), "")*24*60, "")</f>
        <v/>
      </c>
      <c r="P7622" s="24" t="str" cm="1">
        <f t="array" ref="P7622">IFERROR(IF($B7622=P$1, ($A7622+$C7622) - MAX(IF($B$2:$B7621=$B7622, $A$2:$A7621+$C$2:$C7621)), "")*24*60, "")</f>
        <v/>
      </c>
      <c r="Q7622" s="24" t="str" cm="1">
        <f t="array" ref="Q7622">IFERROR(IF($B7622=Q$1, ($A7622+$C7622) - MAX(IF($B$2:$B7621=$B7622, $A$2:$A7621+$C$2:$C7621)), "")*24*60, "")</f>
        <v/>
      </c>
      <c r="R7622" s="24" t="str" cm="1">
        <f t="array" ref="R7622">IFERROR(IF($B7622=R$1, ($A7622+$C7622) - MAX(IF($B$2:$B7621=$B7622, $A$2:$A7621+$C$2:$C7621)), "")*24*60, "")</f>
        <v/>
      </c>
      <c r="S7622" s="24" t="str" cm="1">
        <f t="array" ref="S7622">IFERROR(IF($B7622=S$1, ($A7622+$C7622) - MAX(IF($B$2:$B7621=$B7622, $A$2:$A7621+$C$2:$C7621)), "")*24*60, "")</f>
        <v/>
      </c>
    </row>
    <row r="7623" spans="1:19" x14ac:dyDescent="0.2">
      <c r="A7623" s="12">
        <f t="shared" ref="A7623:C7623" si="1454">A7622</f>
        <v>46018</v>
      </c>
      <c r="B7623" s="5" t="str">
        <f t="shared" si="1454"/>
        <v>Northern Cardinal</v>
      </c>
      <c r="C7623" s="6">
        <f t="shared" si="1454"/>
        <v>0.29166666666666669</v>
      </c>
      <c r="D7623" s="5"/>
      <c r="E7623" s="5"/>
      <c r="F7623" s="5" t="s">
        <v>9</v>
      </c>
      <c r="G7623" s="15" t="s">
        <v>8</v>
      </c>
      <c r="H7623" s="24">
        <f t="shared" si="1410"/>
        <v>0</v>
      </c>
      <c r="I7623" s="24" cm="1">
        <f t="array" ref="I7623">IFERROR(IF($B7623=I$1, ($A7623+$C7623) - MAX(IF($B$2:$B7622=$B7623, $A$2:$A7622+$C$2:$C7622)), "")*24*60, "")</f>
        <v>0</v>
      </c>
      <c r="J7623" s="24" t="str" cm="1">
        <f t="array" ref="J7623">IFERROR(IF($B7623=J$1, ($A7623+$C7623) - MAX(IF($B$2:$B7622=$B7623, $A$2:$A7622+$C$2:$C7622)), "")*24*60, "")</f>
        <v/>
      </c>
      <c r="K7623" s="24" t="str" cm="1">
        <f t="array" ref="K7623">IFERROR(IF($B7623=K$1, ($A7623+$C7623) - MAX(IF($B$2:$B7622=$B7623, $A$2:$A7622+$C$2:$C7622)), "")*24*60, "")</f>
        <v/>
      </c>
      <c r="L7623" s="24" t="str" cm="1">
        <f t="array" ref="L7623">IFERROR(IF($B7623=L$1, ($A7623+$C7623) - MAX(IF($B$2:$B7622=$B7623, $A$2:$A7622+$C$2:$C7622)), "")*24*60, "")</f>
        <v/>
      </c>
      <c r="M7623" s="24" t="str" cm="1">
        <f t="array" ref="M7623">IFERROR(IF($B7623=M$1, ($A7623+$C7623) - MAX(IF($B$2:$B7622=$B7623, $A$2:$A7622+$C$2:$C7622)), "")*24*60, "")</f>
        <v/>
      </c>
      <c r="N7623" s="24" t="str" cm="1">
        <f t="array" ref="N7623">IFERROR(IF($B7623=N$1, ($A7623+$C7623) - MAX(IF($B$2:$B7622=$B7623, $A$2:$A7622+$C$2:$C7622)), "")*24*60, "")</f>
        <v/>
      </c>
      <c r="O7623" s="24" t="str" cm="1">
        <f t="array" ref="O7623">IFERROR(IF($B7623=O$1, ($A7623+$C7623) - MAX(IF($B$2:$B7622=$B7623, $A$2:$A7622+$C$2:$C7622)), "")*24*60, "")</f>
        <v/>
      </c>
      <c r="P7623" s="24" t="str" cm="1">
        <f t="array" ref="P7623">IFERROR(IF($B7623=P$1, ($A7623+$C7623) - MAX(IF($B$2:$B7622=$B7623, $A$2:$A7622+$C$2:$C7622)), "")*24*60, "")</f>
        <v/>
      </c>
      <c r="Q7623" s="24" t="str" cm="1">
        <f t="array" ref="Q7623">IFERROR(IF($B7623=Q$1, ($A7623+$C7623) - MAX(IF($B$2:$B7622=$B7623, $A$2:$A7622+$C$2:$C7622)), "")*24*60, "")</f>
        <v/>
      </c>
      <c r="R7623" s="24" t="str" cm="1">
        <f t="array" ref="R7623">IFERROR(IF($B7623=R$1, ($A7623+$C7623) - MAX(IF($B$2:$B7622=$B7623, $A$2:$A7622+$C$2:$C7622)), "")*24*60, "")</f>
        <v/>
      </c>
      <c r="S7623" s="24" t="str" cm="1">
        <f t="array" ref="S7623">IFERROR(IF($B7623=S$1, ($A7623+$C7623) - MAX(IF($B$2:$B7622=$B7623, $A$2:$A7622+$C$2:$C7622)), "")*24*60, "")</f>
        <v/>
      </c>
    </row>
    <row r="7624" spans="1:19" x14ac:dyDescent="0.2">
      <c r="A7624" s="12">
        <f t="shared" ref="A7624:C7624" si="1455">A7623</f>
        <v>46018</v>
      </c>
      <c r="B7624" s="5" t="str">
        <f t="shared" si="1455"/>
        <v>Northern Cardinal</v>
      </c>
      <c r="C7624" s="6">
        <f t="shared" si="1455"/>
        <v>0.29166666666666669</v>
      </c>
      <c r="D7624" s="5"/>
      <c r="E7624" s="5"/>
      <c r="F7624" s="5" t="s">
        <v>9</v>
      </c>
      <c r="G7624" s="15" t="s">
        <v>8</v>
      </c>
      <c r="H7624" s="24">
        <f t="shared" si="1410"/>
        <v>0</v>
      </c>
      <c r="I7624" s="24" cm="1">
        <f t="array" ref="I7624">IFERROR(IF($B7624=I$1, ($A7624+$C7624) - MAX(IF($B$2:$B7623=$B7624, $A$2:$A7623+$C$2:$C7623)), "")*24*60, "")</f>
        <v>0</v>
      </c>
      <c r="J7624" s="24" t="str" cm="1">
        <f t="array" ref="J7624">IFERROR(IF($B7624=J$1, ($A7624+$C7624) - MAX(IF($B$2:$B7623=$B7624, $A$2:$A7623+$C$2:$C7623)), "")*24*60, "")</f>
        <v/>
      </c>
      <c r="K7624" s="24" t="str" cm="1">
        <f t="array" ref="K7624">IFERROR(IF($B7624=K$1, ($A7624+$C7624) - MAX(IF($B$2:$B7623=$B7624, $A$2:$A7623+$C$2:$C7623)), "")*24*60, "")</f>
        <v/>
      </c>
      <c r="L7624" s="24" t="str" cm="1">
        <f t="array" ref="L7624">IFERROR(IF($B7624=L$1, ($A7624+$C7624) - MAX(IF($B$2:$B7623=$B7624, $A$2:$A7623+$C$2:$C7623)), "")*24*60, "")</f>
        <v/>
      </c>
      <c r="M7624" s="24" t="str" cm="1">
        <f t="array" ref="M7624">IFERROR(IF($B7624=M$1, ($A7624+$C7624) - MAX(IF($B$2:$B7623=$B7624, $A$2:$A7623+$C$2:$C7623)), "")*24*60, "")</f>
        <v/>
      </c>
      <c r="N7624" s="24" t="str" cm="1">
        <f t="array" ref="N7624">IFERROR(IF($B7624=N$1, ($A7624+$C7624) - MAX(IF($B$2:$B7623=$B7624, $A$2:$A7623+$C$2:$C7623)), "")*24*60, "")</f>
        <v/>
      </c>
      <c r="O7624" s="24" t="str" cm="1">
        <f t="array" ref="O7624">IFERROR(IF($B7624=O$1, ($A7624+$C7624) - MAX(IF($B$2:$B7623=$B7624, $A$2:$A7623+$C$2:$C7623)), "")*24*60, "")</f>
        <v/>
      </c>
      <c r="P7624" s="24" t="str" cm="1">
        <f t="array" ref="P7624">IFERROR(IF($B7624=P$1, ($A7624+$C7624) - MAX(IF($B$2:$B7623=$B7624, $A$2:$A7623+$C$2:$C7623)), "")*24*60, "")</f>
        <v/>
      </c>
      <c r="Q7624" s="24" t="str" cm="1">
        <f t="array" ref="Q7624">IFERROR(IF($B7624=Q$1, ($A7624+$C7624) - MAX(IF($B$2:$B7623=$B7624, $A$2:$A7623+$C$2:$C7623)), "")*24*60, "")</f>
        <v/>
      </c>
      <c r="R7624" s="24" t="str" cm="1">
        <f t="array" ref="R7624">IFERROR(IF($B7624=R$1, ($A7624+$C7624) - MAX(IF($B$2:$B7623=$B7624, $A$2:$A7623+$C$2:$C7623)), "")*24*60, "")</f>
        <v/>
      </c>
      <c r="S7624" s="24" t="str" cm="1">
        <f t="array" ref="S7624">IFERROR(IF($B7624=S$1, ($A7624+$C7624) - MAX(IF($B$2:$B7623=$B7624, $A$2:$A7623+$C$2:$C7623)), "")*24*60, "")</f>
        <v/>
      </c>
    </row>
    <row r="7625" spans="1:19" x14ac:dyDescent="0.2">
      <c r="A7625" s="12">
        <f t="shared" ref="A7625:C7625" si="1456">A7624</f>
        <v>46018</v>
      </c>
      <c r="B7625" s="5" t="str">
        <f t="shared" si="1456"/>
        <v>Northern Cardinal</v>
      </c>
      <c r="C7625" s="6">
        <f t="shared" si="1456"/>
        <v>0.29166666666666669</v>
      </c>
      <c r="D7625" s="5"/>
      <c r="E7625" s="5"/>
      <c r="F7625" s="5" t="s">
        <v>9</v>
      </c>
      <c r="G7625" s="15" t="s">
        <v>8</v>
      </c>
      <c r="H7625" s="24">
        <f t="shared" si="1410"/>
        <v>0</v>
      </c>
      <c r="I7625" s="24" cm="1">
        <f t="array" ref="I7625">IFERROR(IF($B7625=I$1, ($A7625+$C7625) - MAX(IF($B$2:$B7624=$B7625, $A$2:$A7624+$C$2:$C7624)), "")*24*60, "")</f>
        <v>0</v>
      </c>
      <c r="J7625" s="24" t="str" cm="1">
        <f t="array" ref="J7625">IFERROR(IF($B7625=J$1, ($A7625+$C7625) - MAX(IF($B$2:$B7624=$B7625, $A$2:$A7624+$C$2:$C7624)), "")*24*60, "")</f>
        <v/>
      </c>
      <c r="K7625" s="24" t="str" cm="1">
        <f t="array" ref="K7625">IFERROR(IF($B7625=K$1, ($A7625+$C7625) - MAX(IF($B$2:$B7624=$B7625, $A$2:$A7624+$C$2:$C7624)), "")*24*60, "")</f>
        <v/>
      </c>
      <c r="L7625" s="24" t="str" cm="1">
        <f t="array" ref="L7625">IFERROR(IF($B7625=L$1, ($A7625+$C7625) - MAX(IF($B$2:$B7624=$B7625, $A$2:$A7624+$C$2:$C7624)), "")*24*60, "")</f>
        <v/>
      </c>
      <c r="M7625" s="24" t="str" cm="1">
        <f t="array" ref="M7625">IFERROR(IF($B7625=M$1, ($A7625+$C7625) - MAX(IF($B$2:$B7624=$B7625, $A$2:$A7624+$C$2:$C7624)), "")*24*60, "")</f>
        <v/>
      </c>
      <c r="N7625" s="24" t="str" cm="1">
        <f t="array" ref="N7625">IFERROR(IF($B7625=N$1, ($A7625+$C7625) - MAX(IF($B$2:$B7624=$B7625, $A$2:$A7624+$C$2:$C7624)), "")*24*60, "")</f>
        <v/>
      </c>
      <c r="O7625" s="24" t="str" cm="1">
        <f t="array" ref="O7625">IFERROR(IF($B7625=O$1, ($A7625+$C7625) - MAX(IF($B$2:$B7624=$B7625, $A$2:$A7624+$C$2:$C7624)), "")*24*60, "")</f>
        <v/>
      </c>
      <c r="P7625" s="24" t="str" cm="1">
        <f t="array" ref="P7625">IFERROR(IF($B7625=P$1, ($A7625+$C7625) - MAX(IF($B$2:$B7624=$B7625, $A$2:$A7624+$C$2:$C7624)), "")*24*60, "")</f>
        <v/>
      </c>
      <c r="Q7625" s="24" t="str" cm="1">
        <f t="array" ref="Q7625">IFERROR(IF($B7625=Q$1, ($A7625+$C7625) - MAX(IF($B$2:$B7624=$B7625, $A$2:$A7624+$C$2:$C7624)), "")*24*60, "")</f>
        <v/>
      </c>
      <c r="R7625" s="24" t="str" cm="1">
        <f t="array" ref="R7625">IFERROR(IF($B7625=R$1, ($A7625+$C7625) - MAX(IF($B$2:$B7624=$B7625, $A$2:$A7624+$C$2:$C7624)), "")*24*60, "")</f>
        <v/>
      </c>
      <c r="S7625" s="24" t="str" cm="1">
        <f t="array" ref="S7625">IFERROR(IF($B7625=S$1, ($A7625+$C7625) - MAX(IF($B$2:$B7624=$B7625, $A$2:$A7624+$C$2:$C7624)), "")*24*60, "")</f>
        <v/>
      </c>
    </row>
    <row r="7626" spans="1:19" x14ac:dyDescent="0.2">
      <c r="A7626" s="12">
        <f t="shared" ref="A7626:C7626" si="1457">A7625</f>
        <v>46018</v>
      </c>
      <c r="B7626" s="5" t="str">
        <f t="shared" si="1457"/>
        <v>Northern Cardinal</v>
      </c>
      <c r="C7626" s="6">
        <f t="shared" si="1457"/>
        <v>0.29166666666666669</v>
      </c>
      <c r="D7626" s="5"/>
      <c r="E7626" s="5"/>
      <c r="F7626" s="5" t="s">
        <v>9</v>
      </c>
      <c r="G7626" s="15" t="s">
        <v>8</v>
      </c>
      <c r="H7626" s="24">
        <f t="shared" si="1410"/>
        <v>0</v>
      </c>
      <c r="I7626" s="24" cm="1">
        <f t="array" ref="I7626">IFERROR(IF($B7626=I$1, ($A7626+$C7626) - MAX(IF($B$2:$B7625=$B7626, $A$2:$A7625+$C$2:$C7625)), "")*24*60, "")</f>
        <v>0</v>
      </c>
      <c r="J7626" s="24" t="str" cm="1">
        <f t="array" ref="J7626">IFERROR(IF($B7626=J$1, ($A7626+$C7626) - MAX(IF($B$2:$B7625=$B7626, $A$2:$A7625+$C$2:$C7625)), "")*24*60, "")</f>
        <v/>
      </c>
      <c r="K7626" s="24" t="str" cm="1">
        <f t="array" ref="K7626">IFERROR(IF($B7626=K$1, ($A7626+$C7626) - MAX(IF($B$2:$B7625=$B7626, $A$2:$A7625+$C$2:$C7625)), "")*24*60, "")</f>
        <v/>
      </c>
      <c r="L7626" s="24" t="str" cm="1">
        <f t="array" ref="L7626">IFERROR(IF($B7626=L$1, ($A7626+$C7626) - MAX(IF($B$2:$B7625=$B7626, $A$2:$A7625+$C$2:$C7625)), "")*24*60, "")</f>
        <v/>
      </c>
      <c r="M7626" s="24" t="str" cm="1">
        <f t="array" ref="M7626">IFERROR(IF($B7626=M$1, ($A7626+$C7626) - MAX(IF($B$2:$B7625=$B7626, $A$2:$A7625+$C$2:$C7625)), "")*24*60, "")</f>
        <v/>
      </c>
      <c r="N7626" s="24" t="str" cm="1">
        <f t="array" ref="N7626">IFERROR(IF($B7626=N$1, ($A7626+$C7626) - MAX(IF($B$2:$B7625=$B7626, $A$2:$A7625+$C$2:$C7625)), "")*24*60, "")</f>
        <v/>
      </c>
      <c r="O7626" s="24" t="str" cm="1">
        <f t="array" ref="O7626">IFERROR(IF($B7626=O$1, ($A7626+$C7626) - MAX(IF($B$2:$B7625=$B7626, $A$2:$A7625+$C$2:$C7625)), "")*24*60, "")</f>
        <v/>
      </c>
      <c r="P7626" s="24" t="str" cm="1">
        <f t="array" ref="P7626">IFERROR(IF($B7626=P$1, ($A7626+$C7626) - MAX(IF($B$2:$B7625=$B7626, $A$2:$A7625+$C$2:$C7625)), "")*24*60, "")</f>
        <v/>
      </c>
      <c r="Q7626" s="24" t="str" cm="1">
        <f t="array" ref="Q7626">IFERROR(IF($B7626=Q$1, ($A7626+$C7626) - MAX(IF($B$2:$B7625=$B7626, $A$2:$A7625+$C$2:$C7625)), "")*24*60, "")</f>
        <v/>
      </c>
      <c r="R7626" s="24" t="str" cm="1">
        <f t="array" ref="R7626">IFERROR(IF($B7626=R$1, ($A7626+$C7626) - MAX(IF($B$2:$B7625=$B7626, $A$2:$A7625+$C$2:$C7625)), "")*24*60, "")</f>
        <v/>
      </c>
      <c r="S7626" s="24" t="str" cm="1">
        <f t="array" ref="S7626">IFERROR(IF($B7626=S$1, ($A7626+$C7626) - MAX(IF($B$2:$B7625=$B7626, $A$2:$A7625+$C$2:$C7625)), "")*24*60, "")</f>
        <v/>
      </c>
    </row>
    <row r="7627" spans="1:19" x14ac:dyDescent="0.2">
      <c r="A7627" s="12">
        <f t="shared" ref="A7627:C7627" si="1458">A7626</f>
        <v>46018</v>
      </c>
      <c r="B7627" s="5" t="str">
        <f t="shared" si="1458"/>
        <v>Northern Cardinal</v>
      </c>
      <c r="C7627" s="6">
        <f t="shared" si="1458"/>
        <v>0.29166666666666669</v>
      </c>
      <c r="D7627" s="5"/>
      <c r="E7627" s="5"/>
      <c r="F7627" s="5" t="s">
        <v>9</v>
      </c>
      <c r="G7627" s="15" t="s">
        <v>8</v>
      </c>
      <c r="H7627" s="24">
        <f t="shared" si="1410"/>
        <v>0</v>
      </c>
      <c r="I7627" s="24" cm="1">
        <f t="array" ref="I7627">IFERROR(IF($B7627=I$1, ($A7627+$C7627) - MAX(IF($B$2:$B7626=$B7627, $A$2:$A7626+$C$2:$C7626)), "")*24*60, "")</f>
        <v>0</v>
      </c>
      <c r="J7627" s="24" t="str" cm="1">
        <f t="array" ref="J7627">IFERROR(IF($B7627=J$1, ($A7627+$C7627) - MAX(IF($B$2:$B7626=$B7627, $A$2:$A7626+$C$2:$C7626)), "")*24*60, "")</f>
        <v/>
      </c>
      <c r="K7627" s="24" t="str" cm="1">
        <f t="array" ref="K7627">IFERROR(IF($B7627=K$1, ($A7627+$C7627) - MAX(IF($B$2:$B7626=$B7627, $A$2:$A7626+$C$2:$C7626)), "")*24*60, "")</f>
        <v/>
      </c>
      <c r="L7627" s="24" t="str" cm="1">
        <f t="array" ref="L7627">IFERROR(IF($B7627=L$1, ($A7627+$C7627) - MAX(IF($B$2:$B7626=$B7627, $A$2:$A7626+$C$2:$C7626)), "")*24*60, "")</f>
        <v/>
      </c>
      <c r="M7627" s="24" t="str" cm="1">
        <f t="array" ref="M7627">IFERROR(IF($B7627=M$1, ($A7627+$C7627) - MAX(IF($B$2:$B7626=$B7627, $A$2:$A7626+$C$2:$C7626)), "")*24*60, "")</f>
        <v/>
      </c>
      <c r="N7627" s="24" t="str" cm="1">
        <f t="array" ref="N7627">IFERROR(IF($B7627=N$1, ($A7627+$C7627) - MAX(IF($B$2:$B7626=$B7627, $A$2:$A7626+$C$2:$C7626)), "")*24*60, "")</f>
        <v/>
      </c>
      <c r="O7627" s="24" t="str" cm="1">
        <f t="array" ref="O7627">IFERROR(IF($B7627=O$1, ($A7627+$C7627) - MAX(IF($B$2:$B7626=$B7627, $A$2:$A7626+$C$2:$C7626)), "")*24*60, "")</f>
        <v/>
      </c>
      <c r="P7627" s="24" t="str" cm="1">
        <f t="array" ref="P7627">IFERROR(IF($B7627=P$1, ($A7627+$C7627) - MAX(IF($B$2:$B7626=$B7627, $A$2:$A7626+$C$2:$C7626)), "")*24*60, "")</f>
        <v/>
      </c>
      <c r="Q7627" s="24" t="str" cm="1">
        <f t="array" ref="Q7627">IFERROR(IF($B7627=Q$1, ($A7627+$C7627) - MAX(IF($B$2:$B7626=$B7627, $A$2:$A7626+$C$2:$C7626)), "")*24*60, "")</f>
        <v/>
      </c>
      <c r="R7627" s="24" t="str" cm="1">
        <f t="array" ref="R7627">IFERROR(IF($B7627=R$1, ($A7627+$C7627) - MAX(IF($B$2:$B7626=$B7627, $A$2:$A7626+$C$2:$C7626)), "")*24*60, "")</f>
        <v/>
      </c>
      <c r="S7627" s="24" t="str" cm="1">
        <f t="array" ref="S7627">IFERROR(IF($B7627=S$1, ($A7627+$C7627) - MAX(IF($B$2:$B7626=$B7627, $A$2:$A7626+$C$2:$C7626)), "")*24*60, "")</f>
        <v/>
      </c>
    </row>
    <row r="7628" spans="1:19" x14ac:dyDescent="0.2">
      <c r="A7628" s="12">
        <f t="shared" ref="A7628:C7628" si="1459">A7627</f>
        <v>46018</v>
      </c>
      <c r="B7628" s="5" t="str">
        <f t="shared" si="1459"/>
        <v>Northern Cardinal</v>
      </c>
      <c r="C7628" s="6">
        <f t="shared" si="1459"/>
        <v>0.29166666666666669</v>
      </c>
      <c r="D7628" s="5"/>
      <c r="E7628" s="5"/>
      <c r="F7628" s="5" t="s">
        <v>9</v>
      </c>
      <c r="G7628" s="15" t="s">
        <v>8</v>
      </c>
      <c r="H7628" s="24">
        <f t="shared" si="1410"/>
        <v>0</v>
      </c>
      <c r="I7628" s="24" cm="1">
        <f t="array" ref="I7628">IFERROR(IF($B7628=I$1, ($A7628+$C7628) - MAX(IF($B$2:$B7627=$B7628, $A$2:$A7627+$C$2:$C7627)), "")*24*60, "")</f>
        <v>0</v>
      </c>
      <c r="J7628" s="24" t="str" cm="1">
        <f t="array" ref="J7628">IFERROR(IF($B7628=J$1, ($A7628+$C7628) - MAX(IF($B$2:$B7627=$B7628, $A$2:$A7627+$C$2:$C7627)), "")*24*60, "")</f>
        <v/>
      </c>
      <c r="K7628" s="24" t="str" cm="1">
        <f t="array" ref="K7628">IFERROR(IF($B7628=K$1, ($A7628+$C7628) - MAX(IF($B$2:$B7627=$B7628, $A$2:$A7627+$C$2:$C7627)), "")*24*60, "")</f>
        <v/>
      </c>
      <c r="L7628" s="24" t="str" cm="1">
        <f t="array" ref="L7628">IFERROR(IF($B7628=L$1, ($A7628+$C7628) - MAX(IF($B$2:$B7627=$B7628, $A$2:$A7627+$C$2:$C7627)), "")*24*60, "")</f>
        <v/>
      </c>
      <c r="M7628" s="24" t="str" cm="1">
        <f t="array" ref="M7628">IFERROR(IF($B7628=M$1, ($A7628+$C7628) - MAX(IF($B$2:$B7627=$B7628, $A$2:$A7627+$C$2:$C7627)), "")*24*60, "")</f>
        <v/>
      </c>
      <c r="N7628" s="24" t="str" cm="1">
        <f t="array" ref="N7628">IFERROR(IF($B7628=N$1, ($A7628+$C7628) - MAX(IF($B$2:$B7627=$B7628, $A$2:$A7627+$C$2:$C7627)), "")*24*60, "")</f>
        <v/>
      </c>
      <c r="O7628" s="24" t="str" cm="1">
        <f t="array" ref="O7628">IFERROR(IF($B7628=O$1, ($A7628+$C7628) - MAX(IF($B$2:$B7627=$B7628, $A$2:$A7627+$C$2:$C7627)), "")*24*60, "")</f>
        <v/>
      </c>
      <c r="P7628" s="24" t="str" cm="1">
        <f t="array" ref="P7628">IFERROR(IF($B7628=P$1, ($A7628+$C7628) - MAX(IF($B$2:$B7627=$B7628, $A$2:$A7627+$C$2:$C7627)), "")*24*60, "")</f>
        <v/>
      </c>
      <c r="Q7628" s="24" t="str" cm="1">
        <f t="array" ref="Q7628">IFERROR(IF($B7628=Q$1, ($A7628+$C7628) - MAX(IF($B$2:$B7627=$B7628, $A$2:$A7627+$C$2:$C7627)), "")*24*60, "")</f>
        <v/>
      </c>
      <c r="R7628" s="24" t="str" cm="1">
        <f t="array" ref="R7628">IFERROR(IF($B7628=R$1, ($A7628+$C7628) - MAX(IF($B$2:$B7627=$B7628, $A$2:$A7627+$C$2:$C7627)), "")*24*60, "")</f>
        <v/>
      </c>
      <c r="S7628" s="24" t="str" cm="1">
        <f t="array" ref="S7628">IFERROR(IF($B7628=S$1, ($A7628+$C7628) - MAX(IF($B$2:$B7627=$B7628, $A$2:$A7627+$C$2:$C7627)), "")*24*60, "")</f>
        <v/>
      </c>
    </row>
    <row r="7629" spans="1:19" x14ac:dyDescent="0.2">
      <c r="A7629" s="12">
        <f t="shared" ref="A7629:C7629" si="1460">A7628</f>
        <v>46018</v>
      </c>
      <c r="B7629" s="5" t="str">
        <f t="shared" si="1460"/>
        <v>Northern Cardinal</v>
      </c>
      <c r="C7629" s="6">
        <f t="shared" si="1460"/>
        <v>0.29166666666666669</v>
      </c>
      <c r="D7629" s="5"/>
      <c r="E7629" s="5"/>
      <c r="F7629" s="5" t="s">
        <v>9</v>
      </c>
      <c r="G7629" s="15" t="s">
        <v>8</v>
      </c>
      <c r="H7629" s="24">
        <f t="shared" si="1410"/>
        <v>0</v>
      </c>
      <c r="I7629" s="24" cm="1">
        <f t="array" ref="I7629">IFERROR(IF($B7629=I$1, ($A7629+$C7629) - MAX(IF($B$2:$B7628=$B7629, $A$2:$A7628+$C$2:$C7628)), "")*24*60, "")</f>
        <v>0</v>
      </c>
      <c r="J7629" s="24" t="str" cm="1">
        <f t="array" ref="J7629">IFERROR(IF($B7629=J$1, ($A7629+$C7629) - MAX(IF($B$2:$B7628=$B7629, $A$2:$A7628+$C$2:$C7628)), "")*24*60, "")</f>
        <v/>
      </c>
      <c r="K7629" s="24" t="str" cm="1">
        <f t="array" ref="K7629">IFERROR(IF($B7629=K$1, ($A7629+$C7629) - MAX(IF($B$2:$B7628=$B7629, $A$2:$A7628+$C$2:$C7628)), "")*24*60, "")</f>
        <v/>
      </c>
      <c r="L7629" s="24" t="str" cm="1">
        <f t="array" ref="L7629">IFERROR(IF($B7629=L$1, ($A7629+$C7629) - MAX(IF($B$2:$B7628=$B7629, $A$2:$A7628+$C$2:$C7628)), "")*24*60, "")</f>
        <v/>
      </c>
      <c r="M7629" s="24" t="str" cm="1">
        <f t="array" ref="M7629">IFERROR(IF($B7629=M$1, ($A7629+$C7629) - MAX(IF($B$2:$B7628=$B7629, $A$2:$A7628+$C$2:$C7628)), "")*24*60, "")</f>
        <v/>
      </c>
      <c r="N7629" s="24" t="str" cm="1">
        <f t="array" ref="N7629">IFERROR(IF($B7629=N$1, ($A7629+$C7629) - MAX(IF($B$2:$B7628=$B7629, $A$2:$A7628+$C$2:$C7628)), "")*24*60, "")</f>
        <v/>
      </c>
      <c r="O7629" s="24" t="str" cm="1">
        <f t="array" ref="O7629">IFERROR(IF($B7629=O$1, ($A7629+$C7629) - MAX(IF($B$2:$B7628=$B7629, $A$2:$A7628+$C$2:$C7628)), "")*24*60, "")</f>
        <v/>
      </c>
      <c r="P7629" s="24" t="str" cm="1">
        <f t="array" ref="P7629">IFERROR(IF($B7629=P$1, ($A7629+$C7629) - MAX(IF($B$2:$B7628=$B7629, $A$2:$A7628+$C$2:$C7628)), "")*24*60, "")</f>
        <v/>
      </c>
      <c r="Q7629" s="24" t="str" cm="1">
        <f t="array" ref="Q7629">IFERROR(IF($B7629=Q$1, ($A7629+$C7629) - MAX(IF($B$2:$B7628=$B7629, $A$2:$A7628+$C$2:$C7628)), "")*24*60, "")</f>
        <v/>
      </c>
      <c r="R7629" s="24" t="str" cm="1">
        <f t="array" ref="R7629">IFERROR(IF($B7629=R$1, ($A7629+$C7629) - MAX(IF($B$2:$B7628=$B7629, $A$2:$A7628+$C$2:$C7628)), "")*24*60, "")</f>
        <v/>
      </c>
      <c r="S7629" s="24" t="str" cm="1">
        <f t="array" ref="S7629">IFERROR(IF($B7629=S$1, ($A7629+$C7629) - MAX(IF($B$2:$B7628=$B7629, $A$2:$A7628+$C$2:$C7628)), "")*24*60, "")</f>
        <v/>
      </c>
    </row>
    <row r="7630" spans="1:19" x14ac:dyDescent="0.2">
      <c r="A7630" s="12">
        <f t="shared" ref="A7630:C7630" si="1461">A7629</f>
        <v>46018</v>
      </c>
      <c r="B7630" s="5" t="str">
        <f t="shared" si="1461"/>
        <v>Northern Cardinal</v>
      </c>
      <c r="C7630" s="6">
        <f t="shared" si="1461"/>
        <v>0.29166666666666669</v>
      </c>
      <c r="D7630" s="5"/>
      <c r="E7630" s="5"/>
      <c r="F7630" s="5" t="s">
        <v>9</v>
      </c>
      <c r="G7630" s="15" t="s">
        <v>8</v>
      </c>
      <c r="H7630" s="24">
        <f t="shared" si="1410"/>
        <v>0</v>
      </c>
      <c r="I7630" s="24" cm="1">
        <f t="array" ref="I7630">IFERROR(IF($B7630=I$1, ($A7630+$C7630) - MAX(IF($B$2:$B7629=$B7630, $A$2:$A7629+$C$2:$C7629)), "")*24*60, "")</f>
        <v>0</v>
      </c>
      <c r="J7630" s="24" t="str" cm="1">
        <f t="array" ref="J7630">IFERROR(IF($B7630=J$1, ($A7630+$C7630) - MAX(IF($B$2:$B7629=$B7630, $A$2:$A7629+$C$2:$C7629)), "")*24*60, "")</f>
        <v/>
      </c>
      <c r="K7630" s="24" t="str" cm="1">
        <f t="array" ref="K7630">IFERROR(IF($B7630=K$1, ($A7630+$C7630) - MAX(IF($B$2:$B7629=$B7630, $A$2:$A7629+$C$2:$C7629)), "")*24*60, "")</f>
        <v/>
      </c>
      <c r="L7630" s="24" t="str" cm="1">
        <f t="array" ref="L7630">IFERROR(IF($B7630=L$1, ($A7630+$C7630) - MAX(IF($B$2:$B7629=$B7630, $A$2:$A7629+$C$2:$C7629)), "")*24*60, "")</f>
        <v/>
      </c>
      <c r="M7630" s="24" t="str" cm="1">
        <f t="array" ref="M7630">IFERROR(IF($B7630=M$1, ($A7630+$C7630) - MAX(IF($B$2:$B7629=$B7630, $A$2:$A7629+$C$2:$C7629)), "")*24*60, "")</f>
        <v/>
      </c>
      <c r="N7630" s="24" t="str" cm="1">
        <f t="array" ref="N7630">IFERROR(IF($B7630=N$1, ($A7630+$C7630) - MAX(IF($B$2:$B7629=$B7630, $A$2:$A7629+$C$2:$C7629)), "")*24*60, "")</f>
        <v/>
      </c>
      <c r="O7630" s="24" t="str" cm="1">
        <f t="array" ref="O7630">IFERROR(IF($B7630=O$1, ($A7630+$C7630) - MAX(IF($B$2:$B7629=$B7630, $A$2:$A7629+$C$2:$C7629)), "")*24*60, "")</f>
        <v/>
      </c>
      <c r="P7630" s="24" t="str" cm="1">
        <f t="array" ref="P7630">IFERROR(IF($B7630=P$1, ($A7630+$C7630) - MAX(IF($B$2:$B7629=$B7630, $A$2:$A7629+$C$2:$C7629)), "")*24*60, "")</f>
        <v/>
      </c>
      <c r="Q7630" s="24" t="str" cm="1">
        <f t="array" ref="Q7630">IFERROR(IF($B7630=Q$1, ($A7630+$C7630) - MAX(IF($B$2:$B7629=$B7630, $A$2:$A7629+$C$2:$C7629)), "")*24*60, "")</f>
        <v/>
      </c>
      <c r="R7630" s="24" t="str" cm="1">
        <f t="array" ref="R7630">IFERROR(IF($B7630=R$1, ($A7630+$C7630) - MAX(IF($B$2:$B7629=$B7630, $A$2:$A7629+$C$2:$C7629)), "")*24*60, "")</f>
        <v/>
      </c>
      <c r="S7630" s="24" t="str" cm="1">
        <f t="array" ref="S7630">IFERROR(IF($B7630=S$1, ($A7630+$C7630) - MAX(IF($B$2:$B7629=$B7630, $A$2:$A7629+$C$2:$C7629)), "")*24*60, "")</f>
        <v/>
      </c>
    </row>
    <row r="7631" spans="1:19" x14ac:dyDescent="0.2">
      <c r="A7631" s="12">
        <f t="shared" ref="A7631:C7631" si="1462">A7630</f>
        <v>46018</v>
      </c>
      <c r="B7631" s="5" t="str">
        <f t="shared" si="1462"/>
        <v>Northern Cardinal</v>
      </c>
      <c r="C7631" s="6">
        <f t="shared" si="1462"/>
        <v>0.29166666666666669</v>
      </c>
      <c r="D7631" s="5"/>
      <c r="E7631" s="5"/>
      <c r="F7631" s="5" t="s">
        <v>9</v>
      </c>
      <c r="G7631" s="15" t="s">
        <v>8</v>
      </c>
      <c r="H7631" s="24">
        <f t="shared" si="1410"/>
        <v>0</v>
      </c>
      <c r="I7631" s="24" cm="1">
        <f t="array" ref="I7631">IFERROR(IF($B7631=I$1, ($A7631+$C7631) - MAX(IF($B$2:$B7630=$B7631, $A$2:$A7630+$C$2:$C7630)), "")*24*60, "")</f>
        <v>0</v>
      </c>
      <c r="J7631" s="24" t="str" cm="1">
        <f t="array" ref="J7631">IFERROR(IF($B7631=J$1, ($A7631+$C7631) - MAX(IF($B$2:$B7630=$B7631, $A$2:$A7630+$C$2:$C7630)), "")*24*60, "")</f>
        <v/>
      </c>
      <c r="K7631" s="24" t="str" cm="1">
        <f t="array" ref="K7631">IFERROR(IF($B7631=K$1, ($A7631+$C7631) - MAX(IF($B$2:$B7630=$B7631, $A$2:$A7630+$C$2:$C7630)), "")*24*60, "")</f>
        <v/>
      </c>
      <c r="L7631" s="24" t="str" cm="1">
        <f t="array" ref="L7631">IFERROR(IF($B7631=L$1, ($A7631+$C7631) - MAX(IF($B$2:$B7630=$B7631, $A$2:$A7630+$C$2:$C7630)), "")*24*60, "")</f>
        <v/>
      </c>
      <c r="M7631" s="24" t="str" cm="1">
        <f t="array" ref="M7631">IFERROR(IF($B7631=M$1, ($A7631+$C7631) - MAX(IF($B$2:$B7630=$B7631, $A$2:$A7630+$C$2:$C7630)), "")*24*60, "")</f>
        <v/>
      </c>
      <c r="N7631" s="24" t="str" cm="1">
        <f t="array" ref="N7631">IFERROR(IF($B7631=N$1, ($A7631+$C7631) - MAX(IF($B$2:$B7630=$B7631, $A$2:$A7630+$C$2:$C7630)), "")*24*60, "")</f>
        <v/>
      </c>
      <c r="O7631" s="24" t="str" cm="1">
        <f t="array" ref="O7631">IFERROR(IF($B7631=O$1, ($A7631+$C7631) - MAX(IF($B$2:$B7630=$B7631, $A$2:$A7630+$C$2:$C7630)), "")*24*60, "")</f>
        <v/>
      </c>
      <c r="P7631" s="24" t="str" cm="1">
        <f t="array" ref="P7631">IFERROR(IF($B7631=P$1, ($A7631+$C7631) - MAX(IF($B$2:$B7630=$B7631, $A$2:$A7630+$C$2:$C7630)), "")*24*60, "")</f>
        <v/>
      </c>
      <c r="Q7631" s="24" t="str" cm="1">
        <f t="array" ref="Q7631">IFERROR(IF($B7631=Q$1, ($A7631+$C7631) - MAX(IF($B$2:$B7630=$B7631, $A$2:$A7630+$C$2:$C7630)), "")*24*60, "")</f>
        <v/>
      </c>
      <c r="R7631" s="24" t="str" cm="1">
        <f t="array" ref="R7631">IFERROR(IF($B7631=R$1, ($A7631+$C7631) - MAX(IF($B$2:$B7630=$B7631, $A$2:$A7630+$C$2:$C7630)), "")*24*60, "")</f>
        <v/>
      </c>
      <c r="S7631" s="24" t="str" cm="1">
        <f t="array" ref="S7631">IFERROR(IF($B7631=S$1, ($A7631+$C7631) - MAX(IF($B$2:$B7630=$B7631, $A$2:$A7630+$C$2:$C7630)), "")*24*60, "")</f>
        <v/>
      </c>
    </row>
    <row r="7632" spans="1:19" x14ac:dyDescent="0.2">
      <c r="A7632" s="12">
        <f t="shared" ref="A7632:C7632" si="1463">A7631</f>
        <v>46018</v>
      </c>
      <c r="B7632" s="5" t="str">
        <f t="shared" si="1463"/>
        <v>Northern Cardinal</v>
      </c>
      <c r="C7632" s="6">
        <f t="shared" si="1463"/>
        <v>0.29166666666666669</v>
      </c>
      <c r="D7632" s="5"/>
      <c r="E7632" s="5"/>
      <c r="F7632" s="5" t="s">
        <v>9</v>
      </c>
      <c r="G7632" s="15" t="s">
        <v>8</v>
      </c>
      <c r="H7632" s="24">
        <f t="shared" si="1410"/>
        <v>0</v>
      </c>
      <c r="I7632" s="24" cm="1">
        <f t="array" ref="I7632">IFERROR(IF($B7632=I$1, ($A7632+$C7632) - MAX(IF($B$2:$B7631=$B7632, $A$2:$A7631+$C$2:$C7631)), "")*24*60, "")</f>
        <v>0</v>
      </c>
      <c r="J7632" s="24" t="str" cm="1">
        <f t="array" ref="J7632">IFERROR(IF($B7632=J$1, ($A7632+$C7632) - MAX(IF($B$2:$B7631=$B7632, $A$2:$A7631+$C$2:$C7631)), "")*24*60, "")</f>
        <v/>
      </c>
      <c r="K7632" s="24" t="str" cm="1">
        <f t="array" ref="K7632">IFERROR(IF($B7632=K$1, ($A7632+$C7632) - MAX(IF($B$2:$B7631=$B7632, $A$2:$A7631+$C$2:$C7631)), "")*24*60, "")</f>
        <v/>
      </c>
      <c r="L7632" s="24" t="str" cm="1">
        <f t="array" ref="L7632">IFERROR(IF($B7632=L$1, ($A7632+$C7632) - MAX(IF($B$2:$B7631=$B7632, $A$2:$A7631+$C$2:$C7631)), "")*24*60, "")</f>
        <v/>
      </c>
      <c r="M7632" s="24" t="str" cm="1">
        <f t="array" ref="M7632">IFERROR(IF($B7632=M$1, ($A7632+$C7632) - MAX(IF($B$2:$B7631=$B7632, $A$2:$A7631+$C$2:$C7631)), "")*24*60, "")</f>
        <v/>
      </c>
      <c r="N7632" s="24" t="str" cm="1">
        <f t="array" ref="N7632">IFERROR(IF($B7632=N$1, ($A7632+$C7632) - MAX(IF($B$2:$B7631=$B7632, $A$2:$A7631+$C$2:$C7631)), "")*24*60, "")</f>
        <v/>
      </c>
      <c r="O7632" s="24" t="str" cm="1">
        <f t="array" ref="O7632">IFERROR(IF($B7632=O$1, ($A7632+$C7632) - MAX(IF($B$2:$B7631=$B7632, $A$2:$A7631+$C$2:$C7631)), "")*24*60, "")</f>
        <v/>
      </c>
      <c r="P7632" s="24" t="str" cm="1">
        <f t="array" ref="P7632">IFERROR(IF($B7632=P$1, ($A7632+$C7632) - MAX(IF($B$2:$B7631=$B7632, $A$2:$A7631+$C$2:$C7631)), "")*24*60, "")</f>
        <v/>
      </c>
      <c r="Q7632" s="24" t="str" cm="1">
        <f t="array" ref="Q7632">IFERROR(IF($B7632=Q$1, ($A7632+$C7632) - MAX(IF($B$2:$B7631=$B7632, $A$2:$A7631+$C$2:$C7631)), "")*24*60, "")</f>
        <v/>
      </c>
      <c r="R7632" s="24" t="str" cm="1">
        <f t="array" ref="R7632">IFERROR(IF($B7632=R$1, ($A7632+$C7632) - MAX(IF($B$2:$B7631=$B7632, $A$2:$A7631+$C$2:$C7631)), "")*24*60, "")</f>
        <v/>
      </c>
      <c r="S7632" s="24" t="str" cm="1">
        <f t="array" ref="S7632">IFERROR(IF($B7632=S$1, ($A7632+$C7632) - MAX(IF($B$2:$B7631=$B7632, $A$2:$A7631+$C$2:$C7631)), "")*24*60, "")</f>
        <v/>
      </c>
    </row>
    <row r="7633" spans="1:19" x14ac:dyDescent="0.2">
      <c r="A7633" s="12">
        <f t="shared" ref="A7633:C7633" si="1464">A7632</f>
        <v>46018</v>
      </c>
      <c r="B7633" s="5" t="str">
        <f t="shared" si="1464"/>
        <v>Northern Cardinal</v>
      </c>
      <c r="C7633" s="6">
        <f t="shared" si="1464"/>
        <v>0.29166666666666669</v>
      </c>
      <c r="D7633" s="5"/>
      <c r="E7633" s="5"/>
      <c r="F7633" s="5" t="s">
        <v>9</v>
      </c>
      <c r="G7633" s="15" t="s">
        <v>8</v>
      </c>
      <c r="H7633" s="24">
        <f t="shared" si="1410"/>
        <v>0</v>
      </c>
      <c r="I7633" s="24" cm="1">
        <f t="array" ref="I7633">IFERROR(IF($B7633=I$1, ($A7633+$C7633) - MAX(IF($B$2:$B7632=$B7633, $A$2:$A7632+$C$2:$C7632)), "")*24*60, "")</f>
        <v>0</v>
      </c>
      <c r="J7633" s="24" t="str" cm="1">
        <f t="array" ref="J7633">IFERROR(IF($B7633=J$1, ($A7633+$C7633) - MAX(IF($B$2:$B7632=$B7633, $A$2:$A7632+$C$2:$C7632)), "")*24*60, "")</f>
        <v/>
      </c>
      <c r="K7633" s="24" t="str" cm="1">
        <f t="array" ref="K7633">IFERROR(IF($B7633=K$1, ($A7633+$C7633) - MAX(IF($B$2:$B7632=$B7633, $A$2:$A7632+$C$2:$C7632)), "")*24*60, "")</f>
        <v/>
      </c>
      <c r="L7633" s="24" t="str" cm="1">
        <f t="array" ref="L7633">IFERROR(IF($B7633=L$1, ($A7633+$C7633) - MAX(IF($B$2:$B7632=$B7633, $A$2:$A7632+$C$2:$C7632)), "")*24*60, "")</f>
        <v/>
      </c>
      <c r="M7633" s="24" t="str" cm="1">
        <f t="array" ref="M7633">IFERROR(IF($B7633=M$1, ($A7633+$C7633) - MAX(IF($B$2:$B7632=$B7633, $A$2:$A7632+$C$2:$C7632)), "")*24*60, "")</f>
        <v/>
      </c>
      <c r="N7633" s="24" t="str" cm="1">
        <f t="array" ref="N7633">IFERROR(IF($B7633=N$1, ($A7633+$C7633) - MAX(IF($B$2:$B7632=$B7633, $A$2:$A7632+$C$2:$C7632)), "")*24*60, "")</f>
        <v/>
      </c>
      <c r="O7633" s="24" t="str" cm="1">
        <f t="array" ref="O7633">IFERROR(IF($B7633=O$1, ($A7633+$C7633) - MAX(IF($B$2:$B7632=$B7633, $A$2:$A7632+$C$2:$C7632)), "")*24*60, "")</f>
        <v/>
      </c>
      <c r="P7633" s="24" t="str" cm="1">
        <f t="array" ref="P7633">IFERROR(IF($B7633=P$1, ($A7633+$C7633) - MAX(IF($B$2:$B7632=$B7633, $A$2:$A7632+$C$2:$C7632)), "")*24*60, "")</f>
        <v/>
      </c>
      <c r="Q7633" s="24" t="str" cm="1">
        <f t="array" ref="Q7633">IFERROR(IF($B7633=Q$1, ($A7633+$C7633) - MAX(IF($B$2:$B7632=$B7633, $A$2:$A7632+$C$2:$C7632)), "")*24*60, "")</f>
        <v/>
      </c>
      <c r="R7633" s="24" t="str" cm="1">
        <f t="array" ref="R7633">IFERROR(IF($B7633=R$1, ($A7633+$C7633) - MAX(IF($B$2:$B7632=$B7633, $A$2:$A7632+$C$2:$C7632)), "")*24*60, "")</f>
        <v/>
      </c>
      <c r="S7633" s="24" t="str" cm="1">
        <f t="array" ref="S7633">IFERROR(IF($B7633=S$1, ($A7633+$C7633) - MAX(IF($B$2:$B7632=$B7633, $A$2:$A7632+$C$2:$C7632)), "")*24*60, "")</f>
        <v/>
      </c>
    </row>
    <row r="7634" spans="1:19" x14ac:dyDescent="0.2">
      <c r="A7634" s="12">
        <f t="shared" ref="A7634:C7634" si="1465">A7633</f>
        <v>46018</v>
      </c>
      <c r="B7634" s="5" t="str">
        <f t="shared" si="1465"/>
        <v>Northern Cardinal</v>
      </c>
      <c r="C7634" s="6">
        <f t="shared" si="1465"/>
        <v>0.29166666666666669</v>
      </c>
      <c r="D7634" s="5"/>
      <c r="E7634" s="5"/>
      <c r="F7634" s="5" t="s">
        <v>9</v>
      </c>
      <c r="G7634" s="15" t="s">
        <v>8</v>
      </c>
      <c r="H7634" s="24">
        <f t="shared" si="1410"/>
        <v>0</v>
      </c>
      <c r="I7634" s="24" cm="1">
        <f t="array" ref="I7634">IFERROR(IF($B7634=I$1, ($A7634+$C7634) - MAX(IF($B$2:$B7633=$B7634, $A$2:$A7633+$C$2:$C7633)), "")*24*60, "")</f>
        <v>0</v>
      </c>
      <c r="J7634" s="24" t="str" cm="1">
        <f t="array" ref="J7634">IFERROR(IF($B7634=J$1, ($A7634+$C7634) - MAX(IF($B$2:$B7633=$B7634, $A$2:$A7633+$C$2:$C7633)), "")*24*60, "")</f>
        <v/>
      </c>
      <c r="K7634" s="24" t="str" cm="1">
        <f t="array" ref="K7634">IFERROR(IF($B7634=K$1, ($A7634+$C7634) - MAX(IF($B$2:$B7633=$B7634, $A$2:$A7633+$C$2:$C7633)), "")*24*60, "")</f>
        <v/>
      </c>
      <c r="L7634" s="24" t="str" cm="1">
        <f t="array" ref="L7634">IFERROR(IF($B7634=L$1, ($A7634+$C7634) - MAX(IF($B$2:$B7633=$B7634, $A$2:$A7633+$C$2:$C7633)), "")*24*60, "")</f>
        <v/>
      </c>
      <c r="M7634" s="24" t="str" cm="1">
        <f t="array" ref="M7634">IFERROR(IF($B7634=M$1, ($A7634+$C7634) - MAX(IF($B$2:$B7633=$B7634, $A$2:$A7633+$C$2:$C7633)), "")*24*60, "")</f>
        <v/>
      </c>
      <c r="N7634" s="24" t="str" cm="1">
        <f t="array" ref="N7634">IFERROR(IF($B7634=N$1, ($A7634+$C7634) - MAX(IF($B$2:$B7633=$B7634, $A$2:$A7633+$C$2:$C7633)), "")*24*60, "")</f>
        <v/>
      </c>
      <c r="O7634" s="24" t="str" cm="1">
        <f t="array" ref="O7634">IFERROR(IF($B7634=O$1, ($A7634+$C7634) - MAX(IF($B$2:$B7633=$B7634, $A$2:$A7633+$C$2:$C7633)), "")*24*60, "")</f>
        <v/>
      </c>
      <c r="P7634" s="24" t="str" cm="1">
        <f t="array" ref="P7634">IFERROR(IF($B7634=P$1, ($A7634+$C7634) - MAX(IF($B$2:$B7633=$B7634, $A$2:$A7633+$C$2:$C7633)), "")*24*60, "")</f>
        <v/>
      </c>
      <c r="Q7634" s="24" t="str" cm="1">
        <f t="array" ref="Q7634">IFERROR(IF($B7634=Q$1, ($A7634+$C7634) - MAX(IF($B$2:$B7633=$B7634, $A$2:$A7633+$C$2:$C7633)), "")*24*60, "")</f>
        <v/>
      </c>
      <c r="R7634" s="24" t="str" cm="1">
        <f t="array" ref="R7634">IFERROR(IF($B7634=R$1, ($A7634+$C7634) - MAX(IF($B$2:$B7633=$B7634, $A$2:$A7633+$C$2:$C7633)), "")*24*60, "")</f>
        <v/>
      </c>
      <c r="S7634" s="24" t="str" cm="1">
        <f t="array" ref="S7634">IFERROR(IF($B7634=S$1, ($A7634+$C7634) - MAX(IF($B$2:$B7633=$B7634, $A$2:$A7633+$C$2:$C7633)), "")*24*60, "")</f>
        <v/>
      </c>
    </row>
    <row r="7635" spans="1:19" x14ac:dyDescent="0.2">
      <c r="A7635" s="12">
        <f t="shared" ref="A7635:C7635" si="1466">A7634</f>
        <v>46018</v>
      </c>
      <c r="B7635" s="5" t="str">
        <f t="shared" si="1466"/>
        <v>Northern Cardinal</v>
      </c>
      <c r="C7635" s="6">
        <f t="shared" si="1466"/>
        <v>0.29166666666666669</v>
      </c>
      <c r="D7635" s="5"/>
      <c r="E7635" s="5"/>
      <c r="F7635" s="5" t="s">
        <v>9</v>
      </c>
      <c r="G7635" s="15" t="s">
        <v>8</v>
      </c>
      <c r="H7635" s="24">
        <f t="shared" si="1410"/>
        <v>0</v>
      </c>
      <c r="I7635" s="24" cm="1">
        <f t="array" ref="I7635">IFERROR(IF($B7635=I$1, ($A7635+$C7635) - MAX(IF($B$2:$B7634=$B7635, $A$2:$A7634+$C$2:$C7634)), "")*24*60, "")</f>
        <v>0</v>
      </c>
      <c r="J7635" s="24" t="str" cm="1">
        <f t="array" ref="J7635">IFERROR(IF($B7635=J$1, ($A7635+$C7635) - MAX(IF($B$2:$B7634=$B7635, $A$2:$A7634+$C$2:$C7634)), "")*24*60, "")</f>
        <v/>
      </c>
      <c r="K7635" s="24" t="str" cm="1">
        <f t="array" ref="K7635">IFERROR(IF($B7635=K$1, ($A7635+$C7635) - MAX(IF($B$2:$B7634=$B7635, $A$2:$A7634+$C$2:$C7634)), "")*24*60, "")</f>
        <v/>
      </c>
      <c r="L7635" s="24" t="str" cm="1">
        <f t="array" ref="L7635">IFERROR(IF($B7635=L$1, ($A7635+$C7635) - MAX(IF($B$2:$B7634=$B7635, $A$2:$A7634+$C$2:$C7634)), "")*24*60, "")</f>
        <v/>
      </c>
      <c r="M7635" s="24" t="str" cm="1">
        <f t="array" ref="M7635">IFERROR(IF($B7635=M$1, ($A7635+$C7635) - MAX(IF($B$2:$B7634=$B7635, $A$2:$A7634+$C$2:$C7634)), "")*24*60, "")</f>
        <v/>
      </c>
      <c r="N7635" s="24" t="str" cm="1">
        <f t="array" ref="N7635">IFERROR(IF($B7635=N$1, ($A7635+$C7635) - MAX(IF($B$2:$B7634=$B7635, $A$2:$A7634+$C$2:$C7634)), "")*24*60, "")</f>
        <v/>
      </c>
      <c r="O7635" s="24" t="str" cm="1">
        <f t="array" ref="O7635">IFERROR(IF($B7635=O$1, ($A7635+$C7635) - MAX(IF($B$2:$B7634=$B7635, $A$2:$A7634+$C$2:$C7634)), "")*24*60, "")</f>
        <v/>
      </c>
      <c r="P7635" s="24" t="str" cm="1">
        <f t="array" ref="P7635">IFERROR(IF($B7635=P$1, ($A7635+$C7635) - MAX(IF($B$2:$B7634=$B7635, $A$2:$A7634+$C$2:$C7634)), "")*24*60, "")</f>
        <v/>
      </c>
      <c r="Q7635" s="24" t="str" cm="1">
        <f t="array" ref="Q7635">IFERROR(IF($B7635=Q$1, ($A7635+$C7635) - MAX(IF($B$2:$B7634=$B7635, $A$2:$A7634+$C$2:$C7634)), "")*24*60, "")</f>
        <v/>
      </c>
      <c r="R7635" s="24" t="str" cm="1">
        <f t="array" ref="R7635">IFERROR(IF($B7635=R$1, ($A7635+$C7635) - MAX(IF($B$2:$B7634=$B7635, $A$2:$A7634+$C$2:$C7634)), "")*24*60, "")</f>
        <v/>
      </c>
      <c r="S7635" s="24" t="str" cm="1">
        <f t="array" ref="S7635">IFERROR(IF($B7635=S$1, ($A7635+$C7635) - MAX(IF($B$2:$B7634=$B7635, $A$2:$A7634+$C$2:$C7634)), "")*24*60, "")</f>
        <v/>
      </c>
    </row>
    <row r="7636" spans="1:19" x14ac:dyDescent="0.2">
      <c r="A7636" s="12">
        <f t="shared" ref="A7636:C7636" si="1467">A7635</f>
        <v>46018</v>
      </c>
      <c r="B7636" s="5" t="str">
        <f t="shared" si="1467"/>
        <v>Northern Cardinal</v>
      </c>
      <c r="C7636" s="6">
        <f t="shared" si="1467"/>
        <v>0.29166666666666669</v>
      </c>
      <c r="D7636" s="5"/>
      <c r="E7636" s="5"/>
      <c r="F7636" s="5" t="s">
        <v>9</v>
      </c>
      <c r="G7636" s="15" t="s">
        <v>8</v>
      </c>
      <c r="H7636" s="24">
        <f t="shared" si="1410"/>
        <v>0</v>
      </c>
      <c r="I7636" s="24" cm="1">
        <f t="array" ref="I7636">IFERROR(IF($B7636=I$1, ($A7636+$C7636) - MAX(IF($B$2:$B7635=$B7636, $A$2:$A7635+$C$2:$C7635)), "")*24*60, "")</f>
        <v>0</v>
      </c>
      <c r="J7636" s="24" t="str" cm="1">
        <f t="array" ref="J7636">IFERROR(IF($B7636=J$1, ($A7636+$C7636) - MAX(IF($B$2:$B7635=$B7636, $A$2:$A7635+$C$2:$C7635)), "")*24*60, "")</f>
        <v/>
      </c>
      <c r="K7636" s="24" t="str" cm="1">
        <f t="array" ref="K7636">IFERROR(IF($B7636=K$1, ($A7636+$C7636) - MAX(IF($B$2:$B7635=$B7636, $A$2:$A7635+$C$2:$C7635)), "")*24*60, "")</f>
        <v/>
      </c>
      <c r="L7636" s="24" t="str" cm="1">
        <f t="array" ref="L7636">IFERROR(IF($B7636=L$1, ($A7636+$C7636) - MAX(IF($B$2:$B7635=$B7636, $A$2:$A7635+$C$2:$C7635)), "")*24*60, "")</f>
        <v/>
      </c>
      <c r="M7636" s="24" t="str" cm="1">
        <f t="array" ref="M7636">IFERROR(IF($B7636=M$1, ($A7636+$C7636) - MAX(IF($B$2:$B7635=$B7636, $A$2:$A7635+$C$2:$C7635)), "")*24*60, "")</f>
        <v/>
      </c>
      <c r="N7636" s="24" t="str" cm="1">
        <f t="array" ref="N7636">IFERROR(IF($B7636=N$1, ($A7636+$C7636) - MAX(IF($B$2:$B7635=$B7636, $A$2:$A7635+$C$2:$C7635)), "")*24*60, "")</f>
        <v/>
      </c>
      <c r="O7636" s="24" t="str" cm="1">
        <f t="array" ref="O7636">IFERROR(IF($B7636=O$1, ($A7636+$C7636) - MAX(IF($B$2:$B7635=$B7636, $A$2:$A7635+$C$2:$C7635)), "")*24*60, "")</f>
        <v/>
      </c>
      <c r="P7636" s="24" t="str" cm="1">
        <f t="array" ref="P7636">IFERROR(IF($B7636=P$1, ($A7636+$C7636) - MAX(IF($B$2:$B7635=$B7636, $A$2:$A7635+$C$2:$C7635)), "")*24*60, "")</f>
        <v/>
      </c>
      <c r="Q7636" s="24" t="str" cm="1">
        <f t="array" ref="Q7636">IFERROR(IF($B7636=Q$1, ($A7636+$C7636) - MAX(IF($B$2:$B7635=$B7636, $A$2:$A7635+$C$2:$C7635)), "")*24*60, "")</f>
        <v/>
      </c>
      <c r="R7636" s="24" t="str" cm="1">
        <f t="array" ref="R7636">IFERROR(IF($B7636=R$1, ($A7636+$C7636) - MAX(IF($B$2:$B7635=$B7636, $A$2:$A7635+$C$2:$C7635)), "")*24*60, "")</f>
        <v/>
      </c>
      <c r="S7636" s="24" t="str" cm="1">
        <f t="array" ref="S7636">IFERROR(IF($B7636=S$1, ($A7636+$C7636) - MAX(IF($B$2:$B7635=$B7636, $A$2:$A7635+$C$2:$C7635)), "")*24*60, "")</f>
        <v/>
      </c>
    </row>
    <row r="7637" spans="1:19" x14ac:dyDescent="0.2">
      <c r="A7637" s="12">
        <f t="shared" ref="A7637:C7637" si="1468">A7636</f>
        <v>46018</v>
      </c>
      <c r="B7637" s="5" t="str">
        <f t="shared" si="1468"/>
        <v>Northern Cardinal</v>
      </c>
      <c r="C7637" s="6">
        <f t="shared" si="1468"/>
        <v>0.29166666666666669</v>
      </c>
      <c r="D7637" s="5"/>
      <c r="E7637" s="5"/>
      <c r="F7637" s="5" t="s">
        <v>9</v>
      </c>
      <c r="G7637" s="15" t="s">
        <v>8</v>
      </c>
      <c r="H7637" s="24">
        <f t="shared" si="1410"/>
        <v>0</v>
      </c>
      <c r="I7637" s="24" cm="1">
        <f t="array" ref="I7637">IFERROR(IF($B7637=I$1, ($A7637+$C7637) - MAX(IF($B$2:$B7636=$B7637, $A$2:$A7636+$C$2:$C7636)), "")*24*60, "")</f>
        <v>0</v>
      </c>
      <c r="J7637" s="24" t="str" cm="1">
        <f t="array" ref="J7637">IFERROR(IF($B7637=J$1, ($A7637+$C7637) - MAX(IF($B$2:$B7636=$B7637, $A$2:$A7636+$C$2:$C7636)), "")*24*60, "")</f>
        <v/>
      </c>
      <c r="K7637" s="24" t="str" cm="1">
        <f t="array" ref="K7637">IFERROR(IF($B7637=K$1, ($A7637+$C7637) - MAX(IF($B$2:$B7636=$B7637, $A$2:$A7636+$C$2:$C7636)), "")*24*60, "")</f>
        <v/>
      </c>
      <c r="L7637" s="24" t="str" cm="1">
        <f t="array" ref="L7637">IFERROR(IF($B7637=L$1, ($A7637+$C7637) - MAX(IF($B$2:$B7636=$B7637, $A$2:$A7636+$C$2:$C7636)), "")*24*60, "")</f>
        <v/>
      </c>
      <c r="M7637" s="24" t="str" cm="1">
        <f t="array" ref="M7637">IFERROR(IF($B7637=M$1, ($A7637+$C7637) - MAX(IF($B$2:$B7636=$B7637, $A$2:$A7636+$C$2:$C7636)), "")*24*60, "")</f>
        <v/>
      </c>
      <c r="N7637" s="24" t="str" cm="1">
        <f t="array" ref="N7637">IFERROR(IF($B7637=N$1, ($A7637+$C7637) - MAX(IF($B$2:$B7636=$B7637, $A$2:$A7636+$C$2:$C7636)), "")*24*60, "")</f>
        <v/>
      </c>
      <c r="O7637" s="24" t="str" cm="1">
        <f t="array" ref="O7637">IFERROR(IF($B7637=O$1, ($A7637+$C7637) - MAX(IF($B$2:$B7636=$B7637, $A$2:$A7636+$C$2:$C7636)), "")*24*60, "")</f>
        <v/>
      </c>
      <c r="P7637" s="24" t="str" cm="1">
        <f t="array" ref="P7637">IFERROR(IF($B7637=P$1, ($A7637+$C7637) - MAX(IF($B$2:$B7636=$B7637, $A$2:$A7636+$C$2:$C7636)), "")*24*60, "")</f>
        <v/>
      </c>
      <c r="Q7637" s="24" t="str" cm="1">
        <f t="array" ref="Q7637">IFERROR(IF($B7637=Q$1, ($A7637+$C7637) - MAX(IF($B$2:$B7636=$B7637, $A$2:$A7636+$C$2:$C7636)), "")*24*60, "")</f>
        <v/>
      </c>
      <c r="R7637" s="24" t="str" cm="1">
        <f t="array" ref="R7637">IFERROR(IF($B7637=R$1, ($A7637+$C7637) - MAX(IF($B$2:$B7636=$B7637, $A$2:$A7636+$C$2:$C7636)), "")*24*60, "")</f>
        <v/>
      </c>
      <c r="S7637" s="24" t="str" cm="1">
        <f t="array" ref="S7637">IFERROR(IF($B7637=S$1, ($A7637+$C7637) - MAX(IF($B$2:$B7636=$B7637, $A$2:$A7636+$C$2:$C7636)), "")*24*60, "")</f>
        <v/>
      </c>
    </row>
    <row r="7638" spans="1:19" x14ac:dyDescent="0.2">
      <c r="A7638" s="12">
        <f t="shared" ref="A7638:C7638" si="1469">A7637</f>
        <v>46018</v>
      </c>
      <c r="B7638" s="5" t="str">
        <f t="shared" si="1469"/>
        <v>Northern Cardinal</v>
      </c>
      <c r="C7638" s="6">
        <f t="shared" si="1469"/>
        <v>0.29166666666666669</v>
      </c>
      <c r="D7638" s="5"/>
      <c r="E7638" s="5"/>
      <c r="F7638" s="5" t="s">
        <v>9</v>
      </c>
      <c r="G7638" s="15" t="s">
        <v>8</v>
      </c>
      <c r="H7638" s="24">
        <f t="shared" si="1410"/>
        <v>0</v>
      </c>
      <c r="I7638" s="24" cm="1">
        <f t="array" ref="I7638">IFERROR(IF($B7638=I$1, ($A7638+$C7638) - MAX(IF($B$2:$B7637=$B7638, $A$2:$A7637+$C$2:$C7637)), "")*24*60, "")</f>
        <v>0</v>
      </c>
      <c r="J7638" s="24" t="str" cm="1">
        <f t="array" ref="J7638">IFERROR(IF($B7638=J$1, ($A7638+$C7638) - MAX(IF($B$2:$B7637=$B7638, $A$2:$A7637+$C$2:$C7637)), "")*24*60, "")</f>
        <v/>
      </c>
      <c r="K7638" s="24" t="str" cm="1">
        <f t="array" ref="K7638">IFERROR(IF($B7638=K$1, ($A7638+$C7638) - MAX(IF($B$2:$B7637=$B7638, $A$2:$A7637+$C$2:$C7637)), "")*24*60, "")</f>
        <v/>
      </c>
      <c r="L7638" s="24" t="str" cm="1">
        <f t="array" ref="L7638">IFERROR(IF($B7638=L$1, ($A7638+$C7638) - MAX(IF($B$2:$B7637=$B7638, $A$2:$A7637+$C$2:$C7637)), "")*24*60, "")</f>
        <v/>
      </c>
      <c r="M7638" s="24" t="str" cm="1">
        <f t="array" ref="M7638">IFERROR(IF($B7638=M$1, ($A7638+$C7638) - MAX(IF($B$2:$B7637=$B7638, $A$2:$A7637+$C$2:$C7637)), "")*24*60, "")</f>
        <v/>
      </c>
      <c r="N7638" s="24" t="str" cm="1">
        <f t="array" ref="N7638">IFERROR(IF($B7638=N$1, ($A7638+$C7638) - MAX(IF($B$2:$B7637=$B7638, $A$2:$A7637+$C$2:$C7637)), "")*24*60, "")</f>
        <v/>
      </c>
      <c r="O7638" s="24" t="str" cm="1">
        <f t="array" ref="O7638">IFERROR(IF($B7638=O$1, ($A7638+$C7638) - MAX(IF($B$2:$B7637=$B7638, $A$2:$A7637+$C$2:$C7637)), "")*24*60, "")</f>
        <v/>
      </c>
      <c r="P7638" s="24" t="str" cm="1">
        <f t="array" ref="P7638">IFERROR(IF($B7638=P$1, ($A7638+$C7638) - MAX(IF($B$2:$B7637=$B7638, $A$2:$A7637+$C$2:$C7637)), "")*24*60, "")</f>
        <v/>
      </c>
      <c r="Q7638" s="24" t="str" cm="1">
        <f t="array" ref="Q7638">IFERROR(IF($B7638=Q$1, ($A7638+$C7638) - MAX(IF($B$2:$B7637=$B7638, $A$2:$A7637+$C$2:$C7637)), "")*24*60, "")</f>
        <v/>
      </c>
      <c r="R7638" s="24" t="str" cm="1">
        <f t="array" ref="R7638">IFERROR(IF($B7638=R$1, ($A7638+$C7638) - MAX(IF($B$2:$B7637=$B7638, $A$2:$A7637+$C$2:$C7637)), "")*24*60, "")</f>
        <v/>
      </c>
      <c r="S7638" s="24" t="str" cm="1">
        <f t="array" ref="S7638">IFERROR(IF($B7638=S$1, ($A7638+$C7638) - MAX(IF($B$2:$B7637=$B7638, $A$2:$A7637+$C$2:$C7637)), "")*24*60, "")</f>
        <v/>
      </c>
    </row>
    <row r="7639" spans="1:19" x14ac:dyDescent="0.2">
      <c r="A7639" s="12">
        <f t="shared" ref="A7639:C7639" si="1470">A7638</f>
        <v>46018</v>
      </c>
      <c r="B7639" s="5" t="str">
        <f t="shared" si="1470"/>
        <v>Northern Cardinal</v>
      </c>
      <c r="C7639" s="6">
        <f t="shared" si="1470"/>
        <v>0.29166666666666669</v>
      </c>
      <c r="D7639" s="5"/>
      <c r="E7639" s="5"/>
      <c r="F7639" s="5" t="s">
        <v>9</v>
      </c>
      <c r="G7639" s="15" t="s">
        <v>8</v>
      </c>
      <c r="H7639" s="24">
        <f t="shared" si="1410"/>
        <v>0</v>
      </c>
      <c r="I7639" s="24" cm="1">
        <f t="array" ref="I7639">IFERROR(IF($B7639=I$1, ($A7639+$C7639) - MAX(IF($B$2:$B7638=$B7639, $A$2:$A7638+$C$2:$C7638)), "")*24*60, "")</f>
        <v>0</v>
      </c>
      <c r="J7639" s="24" t="str" cm="1">
        <f t="array" ref="J7639">IFERROR(IF($B7639=J$1, ($A7639+$C7639) - MAX(IF($B$2:$B7638=$B7639, $A$2:$A7638+$C$2:$C7638)), "")*24*60, "")</f>
        <v/>
      </c>
      <c r="K7639" s="24" t="str" cm="1">
        <f t="array" ref="K7639">IFERROR(IF($B7639=K$1, ($A7639+$C7639) - MAX(IF($B$2:$B7638=$B7639, $A$2:$A7638+$C$2:$C7638)), "")*24*60, "")</f>
        <v/>
      </c>
      <c r="L7639" s="24" t="str" cm="1">
        <f t="array" ref="L7639">IFERROR(IF($B7639=L$1, ($A7639+$C7639) - MAX(IF($B$2:$B7638=$B7639, $A$2:$A7638+$C$2:$C7638)), "")*24*60, "")</f>
        <v/>
      </c>
      <c r="M7639" s="24" t="str" cm="1">
        <f t="array" ref="M7639">IFERROR(IF($B7639=M$1, ($A7639+$C7639) - MAX(IF($B$2:$B7638=$B7639, $A$2:$A7638+$C$2:$C7638)), "")*24*60, "")</f>
        <v/>
      </c>
      <c r="N7639" s="24" t="str" cm="1">
        <f t="array" ref="N7639">IFERROR(IF($B7639=N$1, ($A7639+$C7639) - MAX(IF($B$2:$B7638=$B7639, $A$2:$A7638+$C$2:$C7638)), "")*24*60, "")</f>
        <v/>
      </c>
      <c r="O7639" s="24" t="str" cm="1">
        <f t="array" ref="O7639">IFERROR(IF($B7639=O$1, ($A7639+$C7639) - MAX(IF($B$2:$B7638=$B7639, $A$2:$A7638+$C$2:$C7638)), "")*24*60, "")</f>
        <v/>
      </c>
      <c r="P7639" s="24" t="str" cm="1">
        <f t="array" ref="P7639">IFERROR(IF($B7639=P$1, ($A7639+$C7639) - MAX(IF($B$2:$B7638=$B7639, $A$2:$A7638+$C$2:$C7638)), "")*24*60, "")</f>
        <v/>
      </c>
      <c r="Q7639" s="24" t="str" cm="1">
        <f t="array" ref="Q7639">IFERROR(IF($B7639=Q$1, ($A7639+$C7639) - MAX(IF($B$2:$B7638=$B7639, $A$2:$A7638+$C$2:$C7638)), "")*24*60, "")</f>
        <v/>
      </c>
      <c r="R7639" s="24" t="str" cm="1">
        <f t="array" ref="R7639">IFERROR(IF($B7639=R$1, ($A7639+$C7639) - MAX(IF($B$2:$B7638=$B7639, $A$2:$A7638+$C$2:$C7638)), "")*24*60, "")</f>
        <v/>
      </c>
      <c r="S7639" s="24" t="str" cm="1">
        <f t="array" ref="S7639">IFERROR(IF($B7639=S$1, ($A7639+$C7639) - MAX(IF($B$2:$B7638=$B7639, $A$2:$A7638+$C$2:$C7638)), "")*24*60, "")</f>
        <v/>
      </c>
    </row>
    <row r="7640" spans="1:19" x14ac:dyDescent="0.2">
      <c r="A7640" s="12">
        <f t="shared" ref="A7640:C7640" si="1471">A7639</f>
        <v>46018</v>
      </c>
      <c r="B7640" s="5" t="str">
        <f t="shared" si="1471"/>
        <v>Northern Cardinal</v>
      </c>
      <c r="C7640" s="6">
        <f t="shared" si="1471"/>
        <v>0.29166666666666669</v>
      </c>
      <c r="D7640" s="5"/>
      <c r="E7640" s="5"/>
      <c r="F7640" s="5" t="s">
        <v>9</v>
      </c>
      <c r="G7640" s="15" t="s">
        <v>8</v>
      </c>
      <c r="H7640" s="24">
        <f t="shared" si="1410"/>
        <v>0</v>
      </c>
      <c r="I7640" s="24" cm="1">
        <f t="array" ref="I7640">IFERROR(IF($B7640=I$1, ($A7640+$C7640) - MAX(IF($B$2:$B7639=$B7640, $A$2:$A7639+$C$2:$C7639)), "")*24*60, "")</f>
        <v>0</v>
      </c>
      <c r="J7640" s="24" t="str" cm="1">
        <f t="array" ref="J7640">IFERROR(IF($B7640=J$1, ($A7640+$C7640) - MAX(IF($B$2:$B7639=$B7640, $A$2:$A7639+$C$2:$C7639)), "")*24*60, "")</f>
        <v/>
      </c>
      <c r="K7640" s="24" t="str" cm="1">
        <f t="array" ref="K7640">IFERROR(IF($B7640=K$1, ($A7640+$C7640) - MAX(IF($B$2:$B7639=$B7640, $A$2:$A7639+$C$2:$C7639)), "")*24*60, "")</f>
        <v/>
      </c>
      <c r="L7640" s="24" t="str" cm="1">
        <f t="array" ref="L7640">IFERROR(IF($B7640=L$1, ($A7640+$C7640) - MAX(IF($B$2:$B7639=$B7640, $A$2:$A7639+$C$2:$C7639)), "")*24*60, "")</f>
        <v/>
      </c>
      <c r="M7640" s="24" t="str" cm="1">
        <f t="array" ref="M7640">IFERROR(IF($B7640=M$1, ($A7640+$C7640) - MAX(IF($B$2:$B7639=$B7640, $A$2:$A7639+$C$2:$C7639)), "")*24*60, "")</f>
        <v/>
      </c>
      <c r="N7640" s="24" t="str" cm="1">
        <f t="array" ref="N7640">IFERROR(IF($B7640=N$1, ($A7640+$C7640) - MAX(IF($B$2:$B7639=$B7640, $A$2:$A7639+$C$2:$C7639)), "")*24*60, "")</f>
        <v/>
      </c>
      <c r="O7640" s="24" t="str" cm="1">
        <f t="array" ref="O7640">IFERROR(IF($B7640=O$1, ($A7640+$C7640) - MAX(IF($B$2:$B7639=$B7640, $A$2:$A7639+$C$2:$C7639)), "")*24*60, "")</f>
        <v/>
      </c>
      <c r="P7640" s="24" t="str" cm="1">
        <f t="array" ref="P7640">IFERROR(IF($B7640=P$1, ($A7640+$C7640) - MAX(IF($B$2:$B7639=$B7640, $A$2:$A7639+$C$2:$C7639)), "")*24*60, "")</f>
        <v/>
      </c>
      <c r="Q7640" s="24" t="str" cm="1">
        <f t="array" ref="Q7640">IFERROR(IF($B7640=Q$1, ($A7640+$C7640) - MAX(IF($B$2:$B7639=$B7640, $A$2:$A7639+$C$2:$C7639)), "")*24*60, "")</f>
        <v/>
      </c>
      <c r="R7640" s="24" t="str" cm="1">
        <f t="array" ref="R7640">IFERROR(IF($B7640=R$1, ($A7640+$C7640) - MAX(IF($B$2:$B7639=$B7640, $A$2:$A7639+$C$2:$C7639)), "")*24*60, "")</f>
        <v/>
      </c>
      <c r="S7640" s="24" t="str" cm="1">
        <f t="array" ref="S7640">IFERROR(IF($B7640=S$1, ($A7640+$C7640) - MAX(IF($B$2:$B7639=$B7640, $A$2:$A7639+$C$2:$C7639)), "")*24*60, "")</f>
        <v/>
      </c>
    </row>
    <row r="7641" spans="1:19" x14ac:dyDescent="0.2">
      <c r="A7641" s="12">
        <f t="shared" ref="A7641:C7641" si="1472">A7640</f>
        <v>46018</v>
      </c>
      <c r="B7641" s="5" t="str">
        <f t="shared" si="1472"/>
        <v>Northern Cardinal</v>
      </c>
      <c r="C7641" s="6">
        <f t="shared" si="1472"/>
        <v>0.29166666666666669</v>
      </c>
      <c r="D7641" s="5"/>
      <c r="E7641" s="5"/>
      <c r="F7641" s="5" t="s">
        <v>9</v>
      </c>
      <c r="G7641" s="15" t="s">
        <v>8</v>
      </c>
      <c r="H7641" s="24">
        <f t="shared" si="1410"/>
        <v>0</v>
      </c>
      <c r="I7641" s="24" cm="1">
        <f t="array" ref="I7641">IFERROR(IF($B7641=I$1, ($A7641+$C7641) - MAX(IF($B$2:$B7640=$B7641, $A$2:$A7640+$C$2:$C7640)), "")*24*60, "")</f>
        <v>0</v>
      </c>
      <c r="J7641" s="24" t="str" cm="1">
        <f t="array" ref="J7641">IFERROR(IF($B7641=J$1, ($A7641+$C7641) - MAX(IF($B$2:$B7640=$B7641, $A$2:$A7640+$C$2:$C7640)), "")*24*60, "")</f>
        <v/>
      </c>
      <c r="K7641" s="24" t="str" cm="1">
        <f t="array" ref="K7641">IFERROR(IF($B7641=K$1, ($A7641+$C7641) - MAX(IF($B$2:$B7640=$B7641, $A$2:$A7640+$C$2:$C7640)), "")*24*60, "")</f>
        <v/>
      </c>
      <c r="L7641" s="24" t="str" cm="1">
        <f t="array" ref="L7641">IFERROR(IF($B7641=L$1, ($A7641+$C7641) - MAX(IF($B$2:$B7640=$B7641, $A$2:$A7640+$C$2:$C7640)), "")*24*60, "")</f>
        <v/>
      </c>
      <c r="M7641" s="24" t="str" cm="1">
        <f t="array" ref="M7641">IFERROR(IF($B7641=M$1, ($A7641+$C7641) - MAX(IF($B$2:$B7640=$B7641, $A$2:$A7640+$C$2:$C7640)), "")*24*60, "")</f>
        <v/>
      </c>
      <c r="N7641" s="24" t="str" cm="1">
        <f t="array" ref="N7641">IFERROR(IF($B7641=N$1, ($A7641+$C7641) - MAX(IF($B$2:$B7640=$B7641, $A$2:$A7640+$C$2:$C7640)), "")*24*60, "")</f>
        <v/>
      </c>
      <c r="O7641" s="24" t="str" cm="1">
        <f t="array" ref="O7641">IFERROR(IF($B7641=O$1, ($A7641+$C7641) - MAX(IF($B$2:$B7640=$B7641, $A$2:$A7640+$C$2:$C7640)), "")*24*60, "")</f>
        <v/>
      </c>
      <c r="P7641" s="24" t="str" cm="1">
        <f t="array" ref="P7641">IFERROR(IF($B7641=P$1, ($A7641+$C7641) - MAX(IF($B$2:$B7640=$B7641, $A$2:$A7640+$C$2:$C7640)), "")*24*60, "")</f>
        <v/>
      </c>
      <c r="Q7641" s="24" t="str" cm="1">
        <f t="array" ref="Q7641">IFERROR(IF($B7641=Q$1, ($A7641+$C7641) - MAX(IF($B$2:$B7640=$B7641, $A$2:$A7640+$C$2:$C7640)), "")*24*60, "")</f>
        <v/>
      </c>
      <c r="R7641" s="24" t="str" cm="1">
        <f t="array" ref="R7641">IFERROR(IF($B7641=R$1, ($A7641+$C7641) - MAX(IF($B$2:$B7640=$B7641, $A$2:$A7640+$C$2:$C7640)), "")*24*60, "")</f>
        <v/>
      </c>
      <c r="S7641" s="24" t="str" cm="1">
        <f t="array" ref="S7641">IFERROR(IF($B7641=S$1, ($A7641+$C7641) - MAX(IF($B$2:$B7640=$B7641, $A$2:$A7640+$C$2:$C7640)), "")*24*60, "")</f>
        <v/>
      </c>
    </row>
    <row r="7642" spans="1:19" x14ac:dyDescent="0.2">
      <c r="A7642" s="12">
        <f t="shared" ref="A7642:C7642" si="1473">A7641</f>
        <v>46018</v>
      </c>
      <c r="B7642" s="5" t="str">
        <f t="shared" si="1473"/>
        <v>Northern Cardinal</v>
      </c>
      <c r="C7642" s="6">
        <f t="shared" si="1473"/>
        <v>0.29166666666666669</v>
      </c>
      <c r="D7642" s="5"/>
      <c r="E7642" s="5"/>
      <c r="F7642" s="5" t="s">
        <v>9</v>
      </c>
      <c r="G7642" s="15" t="s">
        <v>8</v>
      </c>
      <c r="H7642" s="24">
        <f t="shared" si="1410"/>
        <v>0</v>
      </c>
      <c r="I7642" s="24" cm="1">
        <f t="array" ref="I7642">IFERROR(IF($B7642=I$1, ($A7642+$C7642) - MAX(IF($B$2:$B7641=$B7642, $A$2:$A7641+$C$2:$C7641)), "")*24*60, "")</f>
        <v>0</v>
      </c>
      <c r="J7642" s="24" t="str" cm="1">
        <f t="array" ref="J7642">IFERROR(IF($B7642=J$1, ($A7642+$C7642) - MAX(IF($B$2:$B7641=$B7642, $A$2:$A7641+$C$2:$C7641)), "")*24*60, "")</f>
        <v/>
      </c>
      <c r="K7642" s="24" t="str" cm="1">
        <f t="array" ref="K7642">IFERROR(IF($B7642=K$1, ($A7642+$C7642) - MAX(IF($B$2:$B7641=$B7642, $A$2:$A7641+$C$2:$C7641)), "")*24*60, "")</f>
        <v/>
      </c>
      <c r="L7642" s="24" t="str" cm="1">
        <f t="array" ref="L7642">IFERROR(IF($B7642=L$1, ($A7642+$C7642) - MAX(IF($B$2:$B7641=$B7642, $A$2:$A7641+$C$2:$C7641)), "")*24*60, "")</f>
        <v/>
      </c>
      <c r="M7642" s="24" t="str" cm="1">
        <f t="array" ref="M7642">IFERROR(IF($B7642=M$1, ($A7642+$C7642) - MAX(IF($B$2:$B7641=$B7642, $A$2:$A7641+$C$2:$C7641)), "")*24*60, "")</f>
        <v/>
      </c>
      <c r="N7642" s="24" t="str" cm="1">
        <f t="array" ref="N7642">IFERROR(IF($B7642=N$1, ($A7642+$C7642) - MAX(IF($B$2:$B7641=$B7642, $A$2:$A7641+$C$2:$C7641)), "")*24*60, "")</f>
        <v/>
      </c>
      <c r="O7642" s="24" t="str" cm="1">
        <f t="array" ref="O7642">IFERROR(IF($B7642=O$1, ($A7642+$C7642) - MAX(IF($B$2:$B7641=$B7642, $A$2:$A7641+$C$2:$C7641)), "")*24*60, "")</f>
        <v/>
      </c>
      <c r="P7642" s="24" t="str" cm="1">
        <f t="array" ref="P7642">IFERROR(IF($B7642=P$1, ($A7642+$C7642) - MAX(IF($B$2:$B7641=$B7642, $A$2:$A7641+$C$2:$C7641)), "")*24*60, "")</f>
        <v/>
      </c>
      <c r="Q7642" s="24" t="str" cm="1">
        <f t="array" ref="Q7642">IFERROR(IF($B7642=Q$1, ($A7642+$C7642) - MAX(IF($B$2:$B7641=$B7642, $A$2:$A7641+$C$2:$C7641)), "")*24*60, "")</f>
        <v/>
      </c>
      <c r="R7642" s="24" t="str" cm="1">
        <f t="array" ref="R7642">IFERROR(IF($B7642=R$1, ($A7642+$C7642) - MAX(IF($B$2:$B7641=$B7642, $A$2:$A7641+$C$2:$C7641)), "")*24*60, "")</f>
        <v/>
      </c>
      <c r="S7642" s="24" t="str" cm="1">
        <f t="array" ref="S7642">IFERROR(IF($B7642=S$1, ($A7642+$C7642) - MAX(IF($B$2:$B7641=$B7642, $A$2:$A7641+$C$2:$C7641)), "")*24*60, "")</f>
        <v/>
      </c>
    </row>
    <row r="7643" spans="1:19" x14ac:dyDescent="0.2">
      <c r="A7643" s="12">
        <f t="shared" ref="A7643:C7643" si="1474">A7642</f>
        <v>46018</v>
      </c>
      <c r="B7643" s="5" t="str">
        <f t="shared" si="1474"/>
        <v>Northern Cardinal</v>
      </c>
      <c r="C7643" s="6">
        <f t="shared" si="1474"/>
        <v>0.29166666666666669</v>
      </c>
      <c r="D7643" s="5"/>
      <c r="E7643" s="5"/>
      <c r="F7643" s="5" t="s">
        <v>9</v>
      </c>
      <c r="G7643" s="15" t="s">
        <v>8</v>
      </c>
      <c r="H7643" s="24">
        <f t="shared" ref="H7643:H7706" si="1475">IFERROR((($A7643+$C7643) - ($A7642+$C7642))*24*60, "")</f>
        <v>0</v>
      </c>
      <c r="I7643" s="24" cm="1">
        <f t="array" ref="I7643">IFERROR(IF($B7643=I$1, ($A7643+$C7643) - MAX(IF($B$2:$B7642=$B7643, $A$2:$A7642+$C$2:$C7642)), "")*24*60, "")</f>
        <v>0</v>
      </c>
      <c r="J7643" s="24" t="str" cm="1">
        <f t="array" ref="J7643">IFERROR(IF($B7643=J$1, ($A7643+$C7643) - MAX(IF($B$2:$B7642=$B7643, $A$2:$A7642+$C$2:$C7642)), "")*24*60, "")</f>
        <v/>
      </c>
      <c r="K7643" s="24" t="str" cm="1">
        <f t="array" ref="K7643">IFERROR(IF($B7643=K$1, ($A7643+$C7643) - MAX(IF($B$2:$B7642=$B7643, $A$2:$A7642+$C$2:$C7642)), "")*24*60, "")</f>
        <v/>
      </c>
      <c r="L7643" s="24" t="str" cm="1">
        <f t="array" ref="L7643">IFERROR(IF($B7643=L$1, ($A7643+$C7643) - MAX(IF($B$2:$B7642=$B7643, $A$2:$A7642+$C$2:$C7642)), "")*24*60, "")</f>
        <v/>
      </c>
      <c r="M7643" s="24" t="str" cm="1">
        <f t="array" ref="M7643">IFERROR(IF($B7643=M$1, ($A7643+$C7643) - MAX(IF($B$2:$B7642=$B7643, $A$2:$A7642+$C$2:$C7642)), "")*24*60, "")</f>
        <v/>
      </c>
      <c r="N7643" s="24" t="str" cm="1">
        <f t="array" ref="N7643">IFERROR(IF($B7643=N$1, ($A7643+$C7643) - MAX(IF($B$2:$B7642=$B7643, $A$2:$A7642+$C$2:$C7642)), "")*24*60, "")</f>
        <v/>
      </c>
      <c r="O7643" s="24" t="str" cm="1">
        <f t="array" ref="O7643">IFERROR(IF($B7643=O$1, ($A7643+$C7643) - MAX(IF($B$2:$B7642=$B7643, $A$2:$A7642+$C$2:$C7642)), "")*24*60, "")</f>
        <v/>
      </c>
      <c r="P7643" s="24" t="str" cm="1">
        <f t="array" ref="P7643">IFERROR(IF($B7643=P$1, ($A7643+$C7643) - MAX(IF($B$2:$B7642=$B7643, $A$2:$A7642+$C$2:$C7642)), "")*24*60, "")</f>
        <v/>
      </c>
      <c r="Q7643" s="24" t="str" cm="1">
        <f t="array" ref="Q7643">IFERROR(IF($B7643=Q$1, ($A7643+$C7643) - MAX(IF($B$2:$B7642=$B7643, $A$2:$A7642+$C$2:$C7642)), "")*24*60, "")</f>
        <v/>
      </c>
      <c r="R7643" s="24" t="str" cm="1">
        <f t="array" ref="R7643">IFERROR(IF($B7643=R$1, ($A7643+$C7643) - MAX(IF($B$2:$B7642=$B7643, $A$2:$A7642+$C$2:$C7642)), "")*24*60, "")</f>
        <v/>
      </c>
      <c r="S7643" s="24" t="str" cm="1">
        <f t="array" ref="S7643">IFERROR(IF($B7643=S$1, ($A7643+$C7643) - MAX(IF($B$2:$B7642=$B7643, $A$2:$A7642+$C$2:$C7642)), "")*24*60, "")</f>
        <v/>
      </c>
    </row>
    <row r="7644" spans="1:19" x14ac:dyDescent="0.2">
      <c r="A7644" s="12">
        <f t="shared" ref="A7644:C7644" si="1476">A7643</f>
        <v>46018</v>
      </c>
      <c r="B7644" s="5" t="str">
        <f t="shared" si="1476"/>
        <v>Northern Cardinal</v>
      </c>
      <c r="C7644" s="6">
        <f t="shared" si="1476"/>
        <v>0.29166666666666669</v>
      </c>
      <c r="D7644" s="5"/>
      <c r="E7644" s="5"/>
      <c r="F7644" s="5" t="s">
        <v>9</v>
      </c>
      <c r="G7644" s="15" t="s">
        <v>8</v>
      </c>
      <c r="H7644" s="24">
        <f t="shared" si="1475"/>
        <v>0</v>
      </c>
      <c r="I7644" s="24" cm="1">
        <f t="array" ref="I7644">IFERROR(IF($B7644=I$1, ($A7644+$C7644) - MAX(IF($B$2:$B7643=$B7644, $A$2:$A7643+$C$2:$C7643)), "")*24*60, "")</f>
        <v>0</v>
      </c>
      <c r="J7644" s="24" t="str" cm="1">
        <f t="array" ref="J7644">IFERROR(IF($B7644=J$1, ($A7644+$C7644) - MAX(IF($B$2:$B7643=$B7644, $A$2:$A7643+$C$2:$C7643)), "")*24*60, "")</f>
        <v/>
      </c>
      <c r="K7644" s="24" t="str" cm="1">
        <f t="array" ref="K7644">IFERROR(IF($B7644=K$1, ($A7644+$C7644) - MAX(IF($B$2:$B7643=$B7644, $A$2:$A7643+$C$2:$C7643)), "")*24*60, "")</f>
        <v/>
      </c>
      <c r="L7644" s="24" t="str" cm="1">
        <f t="array" ref="L7644">IFERROR(IF($B7644=L$1, ($A7644+$C7644) - MAX(IF($B$2:$B7643=$B7644, $A$2:$A7643+$C$2:$C7643)), "")*24*60, "")</f>
        <v/>
      </c>
      <c r="M7644" s="24" t="str" cm="1">
        <f t="array" ref="M7644">IFERROR(IF($B7644=M$1, ($A7644+$C7644) - MAX(IF($B$2:$B7643=$B7644, $A$2:$A7643+$C$2:$C7643)), "")*24*60, "")</f>
        <v/>
      </c>
      <c r="N7644" s="24" t="str" cm="1">
        <f t="array" ref="N7644">IFERROR(IF($B7644=N$1, ($A7644+$C7644) - MAX(IF($B$2:$B7643=$B7644, $A$2:$A7643+$C$2:$C7643)), "")*24*60, "")</f>
        <v/>
      </c>
      <c r="O7644" s="24" t="str" cm="1">
        <f t="array" ref="O7644">IFERROR(IF($B7644=O$1, ($A7644+$C7644) - MAX(IF($B$2:$B7643=$B7644, $A$2:$A7643+$C$2:$C7643)), "")*24*60, "")</f>
        <v/>
      </c>
      <c r="P7644" s="24" t="str" cm="1">
        <f t="array" ref="P7644">IFERROR(IF($B7644=P$1, ($A7644+$C7644) - MAX(IF($B$2:$B7643=$B7644, $A$2:$A7643+$C$2:$C7643)), "")*24*60, "")</f>
        <v/>
      </c>
      <c r="Q7644" s="24" t="str" cm="1">
        <f t="array" ref="Q7644">IFERROR(IF($B7644=Q$1, ($A7644+$C7644) - MAX(IF($B$2:$B7643=$B7644, $A$2:$A7643+$C$2:$C7643)), "")*24*60, "")</f>
        <v/>
      </c>
      <c r="R7644" s="24" t="str" cm="1">
        <f t="array" ref="R7644">IFERROR(IF($B7644=R$1, ($A7644+$C7644) - MAX(IF($B$2:$B7643=$B7644, $A$2:$A7643+$C$2:$C7643)), "")*24*60, "")</f>
        <v/>
      </c>
      <c r="S7644" s="24" t="str" cm="1">
        <f t="array" ref="S7644">IFERROR(IF($B7644=S$1, ($A7644+$C7644) - MAX(IF($B$2:$B7643=$B7644, $A$2:$A7643+$C$2:$C7643)), "")*24*60, "")</f>
        <v/>
      </c>
    </row>
    <row r="7645" spans="1:19" x14ac:dyDescent="0.2">
      <c r="A7645" s="12">
        <f t="shared" ref="A7645:C7645" si="1477">A7644</f>
        <v>46018</v>
      </c>
      <c r="B7645" s="5" t="str">
        <f t="shared" si="1477"/>
        <v>Northern Cardinal</v>
      </c>
      <c r="C7645" s="6">
        <f t="shared" si="1477"/>
        <v>0.29166666666666669</v>
      </c>
      <c r="D7645" s="5"/>
      <c r="E7645" s="5"/>
      <c r="F7645" s="5" t="s">
        <v>9</v>
      </c>
      <c r="G7645" s="15" t="s">
        <v>8</v>
      </c>
      <c r="H7645" s="24">
        <f t="shared" si="1475"/>
        <v>0</v>
      </c>
      <c r="I7645" s="24" cm="1">
        <f t="array" ref="I7645">IFERROR(IF($B7645=I$1, ($A7645+$C7645) - MAX(IF($B$2:$B7644=$B7645, $A$2:$A7644+$C$2:$C7644)), "")*24*60, "")</f>
        <v>0</v>
      </c>
      <c r="J7645" s="24" t="str" cm="1">
        <f t="array" ref="J7645">IFERROR(IF($B7645=J$1, ($A7645+$C7645) - MAX(IF($B$2:$B7644=$B7645, $A$2:$A7644+$C$2:$C7644)), "")*24*60, "")</f>
        <v/>
      </c>
      <c r="K7645" s="24" t="str" cm="1">
        <f t="array" ref="K7645">IFERROR(IF($B7645=K$1, ($A7645+$C7645) - MAX(IF($B$2:$B7644=$B7645, $A$2:$A7644+$C$2:$C7644)), "")*24*60, "")</f>
        <v/>
      </c>
      <c r="L7645" s="24" t="str" cm="1">
        <f t="array" ref="L7645">IFERROR(IF($B7645=L$1, ($A7645+$C7645) - MAX(IF($B$2:$B7644=$B7645, $A$2:$A7644+$C$2:$C7644)), "")*24*60, "")</f>
        <v/>
      </c>
      <c r="M7645" s="24" t="str" cm="1">
        <f t="array" ref="M7645">IFERROR(IF($B7645=M$1, ($A7645+$C7645) - MAX(IF($B$2:$B7644=$B7645, $A$2:$A7644+$C$2:$C7644)), "")*24*60, "")</f>
        <v/>
      </c>
      <c r="N7645" s="24" t="str" cm="1">
        <f t="array" ref="N7645">IFERROR(IF($B7645=N$1, ($A7645+$C7645) - MAX(IF($B$2:$B7644=$B7645, $A$2:$A7644+$C$2:$C7644)), "")*24*60, "")</f>
        <v/>
      </c>
      <c r="O7645" s="24" t="str" cm="1">
        <f t="array" ref="O7645">IFERROR(IF($B7645=O$1, ($A7645+$C7645) - MAX(IF($B$2:$B7644=$B7645, $A$2:$A7644+$C$2:$C7644)), "")*24*60, "")</f>
        <v/>
      </c>
      <c r="P7645" s="24" t="str" cm="1">
        <f t="array" ref="P7645">IFERROR(IF($B7645=P$1, ($A7645+$C7645) - MAX(IF($B$2:$B7644=$B7645, $A$2:$A7644+$C$2:$C7644)), "")*24*60, "")</f>
        <v/>
      </c>
      <c r="Q7645" s="24" t="str" cm="1">
        <f t="array" ref="Q7645">IFERROR(IF($B7645=Q$1, ($A7645+$C7645) - MAX(IF($B$2:$B7644=$B7645, $A$2:$A7644+$C$2:$C7644)), "")*24*60, "")</f>
        <v/>
      </c>
      <c r="R7645" s="24" t="str" cm="1">
        <f t="array" ref="R7645">IFERROR(IF($B7645=R$1, ($A7645+$C7645) - MAX(IF($B$2:$B7644=$B7645, $A$2:$A7644+$C$2:$C7644)), "")*24*60, "")</f>
        <v/>
      </c>
      <c r="S7645" s="24" t="str" cm="1">
        <f t="array" ref="S7645">IFERROR(IF($B7645=S$1, ($A7645+$C7645) - MAX(IF($B$2:$B7644=$B7645, $A$2:$A7644+$C$2:$C7644)), "")*24*60, "")</f>
        <v/>
      </c>
    </row>
    <row r="7646" spans="1:19" x14ac:dyDescent="0.2">
      <c r="A7646" s="12">
        <f t="shared" ref="A7646:C7646" si="1478">A7645</f>
        <v>46018</v>
      </c>
      <c r="B7646" s="5" t="str">
        <f t="shared" si="1478"/>
        <v>Northern Cardinal</v>
      </c>
      <c r="C7646" s="6">
        <f t="shared" si="1478"/>
        <v>0.29166666666666669</v>
      </c>
      <c r="D7646" s="5"/>
      <c r="E7646" s="5"/>
      <c r="F7646" s="5" t="s">
        <v>9</v>
      </c>
      <c r="G7646" s="15" t="s">
        <v>8</v>
      </c>
      <c r="H7646" s="24">
        <f t="shared" si="1475"/>
        <v>0</v>
      </c>
      <c r="I7646" s="24" cm="1">
        <f t="array" ref="I7646">IFERROR(IF($B7646=I$1, ($A7646+$C7646) - MAX(IF($B$2:$B7645=$B7646, $A$2:$A7645+$C$2:$C7645)), "")*24*60, "")</f>
        <v>0</v>
      </c>
      <c r="J7646" s="24" t="str" cm="1">
        <f t="array" ref="J7646">IFERROR(IF($B7646=J$1, ($A7646+$C7646) - MAX(IF($B$2:$B7645=$B7646, $A$2:$A7645+$C$2:$C7645)), "")*24*60, "")</f>
        <v/>
      </c>
      <c r="K7646" s="24" t="str" cm="1">
        <f t="array" ref="K7646">IFERROR(IF($B7646=K$1, ($A7646+$C7646) - MAX(IF($B$2:$B7645=$B7646, $A$2:$A7645+$C$2:$C7645)), "")*24*60, "")</f>
        <v/>
      </c>
      <c r="L7646" s="24" t="str" cm="1">
        <f t="array" ref="L7646">IFERROR(IF($B7646=L$1, ($A7646+$C7646) - MAX(IF($B$2:$B7645=$B7646, $A$2:$A7645+$C$2:$C7645)), "")*24*60, "")</f>
        <v/>
      </c>
      <c r="M7646" s="24" t="str" cm="1">
        <f t="array" ref="M7646">IFERROR(IF($B7646=M$1, ($A7646+$C7646) - MAX(IF($B$2:$B7645=$B7646, $A$2:$A7645+$C$2:$C7645)), "")*24*60, "")</f>
        <v/>
      </c>
      <c r="N7646" s="24" t="str" cm="1">
        <f t="array" ref="N7646">IFERROR(IF($B7646=N$1, ($A7646+$C7646) - MAX(IF($B$2:$B7645=$B7646, $A$2:$A7645+$C$2:$C7645)), "")*24*60, "")</f>
        <v/>
      </c>
      <c r="O7646" s="24" t="str" cm="1">
        <f t="array" ref="O7646">IFERROR(IF($B7646=O$1, ($A7646+$C7646) - MAX(IF($B$2:$B7645=$B7646, $A$2:$A7645+$C$2:$C7645)), "")*24*60, "")</f>
        <v/>
      </c>
      <c r="P7646" s="24" t="str" cm="1">
        <f t="array" ref="P7646">IFERROR(IF($B7646=P$1, ($A7646+$C7646) - MAX(IF($B$2:$B7645=$B7646, $A$2:$A7645+$C$2:$C7645)), "")*24*60, "")</f>
        <v/>
      </c>
      <c r="Q7646" s="24" t="str" cm="1">
        <f t="array" ref="Q7646">IFERROR(IF($B7646=Q$1, ($A7646+$C7646) - MAX(IF($B$2:$B7645=$B7646, $A$2:$A7645+$C$2:$C7645)), "")*24*60, "")</f>
        <v/>
      </c>
      <c r="R7646" s="24" t="str" cm="1">
        <f t="array" ref="R7646">IFERROR(IF($B7646=R$1, ($A7646+$C7646) - MAX(IF($B$2:$B7645=$B7646, $A$2:$A7645+$C$2:$C7645)), "")*24*60, "")</f>
        <v/>
      </c>
      <c r="S7646" s="24" t="str" cm="1">
        <f t="array" ref="S7646">IFERROR(IF($B7646=S$1, ($A7646+$C7646) - MAX(IF($B$2:$B7645=$B7646, $A$2:$A7645+$C$2:$C7645)), "")*24*60, "")</f>
        <v/>
      </c>
    </row>
    <row r="7647" spans="1:19" x14ac:dyDescent="0.2">
      <c r="A7647" s="12">
        <f t="shared" ref="A7647:C7647" si="1479">A7646</f>
        <v>46018</v>
      </c>
      <c r="B7647" s="5" t="str">
        <f t="shared" si="1479"/>
        <v>Northern Cardinal</v>
      </c>
      <c r="C7647" s="6">
        <f t="shared" si="1479"/>
        <v>0.29166666666666669</v>
      </c>
      <c r="D7647" s="5"/>
      <c r="E7647" s="5"/>
      <c r="F7647" s="5" t="s">
        <v>9</v>
      </c>
      <c r="G7647" s="15" t="s">
        <v>8</v>
      </c>
      <c r="H7647" s="24">
        <f t="shared" si="1475"/>
        <v>0</v>
      </c>
      <c r="I7647" s="24" cm="1">
        <f t="array" ref="I7647">IFERROR(IF($B7647=I$1, ($A7647+$C7647) - MAX(IF($B$2:$B7646=$B7647, $A$2:$A7646+$C$2:$C7646)), "")*24*60, "")</f>
        <v>0</v>
      </c>
      <c r="J7647" s="24" t="str" cm="1">
        <f t="array" ref="J7647">IFERROR(IF($B7647=J$1, ($A7647+$C7647) - MAX(IF($B$2:$B7646=$B7647, $A$2:$A7646+$C$2:$C7646)), "")*24*60, "")</f>
        <v/>
      </c>
      <c r="K7647" s="24" t="str" cm="1">
        <f t="array" ref="K7647">IFERROR(IF($B7647=K$1, ($A7647+$C7647) - MAX(IF($B$2:$B7646=$B7647, $A$2:$A7646+$C$2:$C7646)), "")*24*60, "")</f>
        <v/>
      </c>
      <c r="L7647" s="24" t="str" cm="1">
        <f t="array" ref="L7647">IFERROR(IF($B7647=L$1, ($A7647+$C7647) - MAX(IF($B$2:$B7646=$B7647, $A$2:$A7646+$C$2:$C7646)), "")*24*60, "")</f>
        <v/>
      </c>
      <c r="M7647" s="24" t="str" cm="1">
        <f t="array" ref="M7647">IFERROR(IF($B7647=M$1, ($A7647+$C7647) - MAX(IF($B$2:$B7646=$B7647, $A$2:$A7646+$C$2:$C7646)), "")*24*60, "")</f>
        <v/>
      </c>
      <c r="N7647" s="24" t="str" cm="1">
        <f t="array" ref="N7647">IFERROR(IF($B7647=N$1, ($A7647+$C7647) - MAX(IF($B$2:$B7646=$B7647, $A$2:$A7646+$C$2:$C7646)), "")*24*60, "")</f>
        <v/>
      </c>
      <c r="O7647" s="24" t="str" cm="1">
        <f t="array" ref="O7647">IFERROR(IF($B7647=O$1, ($A7647+$C7647) - MAX(IF($B$2:$B7646=$B7647, $A$2:$A7646+$C$2:$C7646)), "")*24*60, "")</f>
        <v/>
      </c>
      <c r="P7647" s="24" t="str" cm="1">
        <f t="array" ref="P7647">IFERROR(IF($B7647=P$1, ($A7647+$C7647) - MAX(IF($B$2:$B7646=$B7647, $A$2:$A7646+$C$2:$C7646)), "")*24*60, "")</f>
        <v/>
      </c>
      <c r="Q7647" s="24" t="str" cm="1">
        <f t="array" ref="Q7647">IFERROR(IF($B7647=Q$1, ($A7647+$C7647) - MAX(IF($B$2:$B7646=$B7647, $A$2:$A7646+$C$2:$C7646)), "")*24*60, "")</f>
        <v/>
      </c>
      <c r="R7647" s="24" t="str" cm="1">
        <f t="array" ref="R7647">IFERROR(IF($B7647=R$1, ($A7647+$C7647) - MAX(IF($B$2:$B7646=$B7647, $A$2:$A7646+$C$2:$C7646)), "")*24*60, "")</f>
        <v/>
      </c>
      <c r="S7647" s="24" t="str" cm="1">
        <f t="array" ref="S7647">IFERROR(IF($B7647=S$1, ($A7647+$C7647) - MAX(IF($B$2:$B7646=$B7647, $A$2:$A7646+$C$2:$C7646)), "")*24*60, "")</f>
        <v/>
      </c>
    </row>
    <row r="7648" spans="1:19" x14ac:dyDescent="0.2">
      <c r="A7648" s="12">
        <f t="shared" ref="A7648:C7648" si="1480">A7647</f>
        <v>46018</v>
      </c>
      <c r="B7648" s="5" t="str">
        <f t="shared" si="1480"/>
        <v>Northern Cardinal</v>
      </c>
      <c r="C7648" s="6">
        <f t="shared" si="1480"/>
        <v>0.29166666666666669</v>
      </c>
      <c r="D7648" s="5"/>
      <c r="E7648" s="5"/>
      <c r="F7648" s="5" t="s">
        <v>9</v>
      </c>
      <c r="G7648" s="15" t="s">
        <v>8</v>
      </c>
      <c r="H7648" s="24">
        <f t="shared" si="1475"/>
        <v>0</v>
      </c>
      <c r="I7648" s="24" cm="1">
        <f t="array" ref="I7648">IFERROR(IF($B7648=I$1, ($A7648+$C7648) - MAX(IF($B$2:$B7647=$B7648, $A$2:$A7647+$C$2:$C7647)), "")*24*60, "")</f>
        <v>0</v>
      </c>
      <c r="J7648" s="24" t="str" cm="1">
        <f t="array" ref="J7648">IFERROR(IF($B7648=J$1, ($A7648+$C7648) - MAX(IF($B$2:$B7647=$B7648, $A$2:$A7647+$C$2:$C7647)), "")*24*60, "")</f>
        <v/>
      </c>
      <c r="K7648" s="24" t="str" cm="1">
        <f t="array" ref="K7648">IFERROR(IF($B7648=K$1, ($A7648+$C7648) - MAX(IF($B$2:$B7647=$B7648, $A$2:$A7647+$C$2:$C7647)), "")*24*60, "")</f>
        <v/>
      </c>
      <c r="L7648" s="24" t="str" cm="1">
        <f t="array" ref="L7648">IFERROR(IF($B7648=L$1, ($A7648+$C7648) - MAX(IF($B$2:$B7647=$B7648, $A$2:$A7647+$C$2:$C7647)), "")*24*60, "")</f>
        <v/>
      </c>
      <c r="M7648" s="24" t="str" cm="1">
        <f t="array" ref="M7648">IFERROR(IF($B7648=M$1, ($A7648+$C7648) - MAX(IF($B$2:$B7647=$B7648, $A$2:$A7647+$C$2:$C7647)), "")*24*60, "")</f>
        <v/>
      </c>
      <c r="N7648" s="24" t="str" cm="1">
        <f t="array" ref="N7648">IFERROR(IF($B7648=N$1, ($A7648+$C7648) - MAX(IF($B$2:$B7647=$B7648, $A$2:$A7647+$C$2:$C7647)), "")*24*60, "")</f>
        <v/>
      </c>
      <c r="O7648" s="24" t="str" cm="1">
        <f t="array" ref="O7648">IFERROR(IF($B7648=O$1, ($A7648+$C7648) - MAX(IF($B$2:$B7647=$B7648, $A$2:$A7647+$C$2:$C7647)), "")*24*60, "")</f>
        <v/>
      </c>
      <c r="P7648" s="24" t="str" cm="1">
        <f t="array" ref="P7648">IFERROR(IF($B7648=P$1, ($A7648+$C7648) - MAX(IF($B$2:$B7647=$B7648, $A$2:$A7647+$C$2:$C7647)), "")*24*60, "")</f>
        <v/>
      </c>
      <c r="Q7648" s="24" t="str" cm="1">
        <f t="array" ref="Q7648">IFERROR(IF($B7648=Q$1, ($A7648+$C7648) - MAX(IF($B$2:$B7647=$B7648, $A$2:$A7647+$C$2:$C7647)), "")*24*60, "")</f>
        <v/>
      </c>
      <c r="R7648" s="24" t="str" cm="1">
        <f t="array" ref="R7648">IFERROR(IF($B7648=R$1, ($A7648+$C7648) - MAX(IF($B$2:$B7647=$B7648, $A$2:$A7647+$C$2:$C7647)), "")*24*60, "")</f>
        <v/>
      </c>
      <c r="S7648" s="24" t="str" cm="1">
        <f t="array" ref="S7648">IFERROR(IF($B7648=S$1, ($A7648+$C7648) - MAX(IF($B$2:$B7647=$B7648, $A$2:$A7647+$C$2:$C7647)), "")*24*60, "")</f>
        <v/>
      </c>
    </row>
    <row r="7649" spans="1:19" x14ac:dyDescent="0.2">
      <c r="A7649" s="12">
        <f t="shared" ref="A7649:C7649" si="1481">A7648</f>
        <v>46018</v>
      </c>
      <c r="B7649" s="5" t="str">
        <f t="shared" si="1481"/>
        <v>Northern Cardinal</v>
      </c>
      <c r="C7649" s="6">
        <f t="shared" si="1481"/>
        <v>0.29166666666666669</v>
      </c>
      <c r="D7649" s="5"/>
      <c r="E7649" s="5"/>
      <c r="F7649" s="5" t="s">
        <v>9</v>
      </c>
      <c r="G7649" s="15" t="s">
        <v>8</v>
      </c>
      <c r="H7649" s="24">
        <f t="shared" si="1475"/>
        <v>0</v>
      </c>
      <c r="I7649" s="24" cm="1">
        <f t="array" ref="I7649">IFERROR(IF($B7649=I$1, ($A7649+$C7649) - MAX(IF($B$2:$B7648=$B7649, $A$2:$A7648+$C$2:$C7648)), "")*24*60, "")</f>
        <v>0</v>
      </c>
      <c r="J7649" s="24" t="str" cm="1">
        <f t="array" ref="J7649">IFERROR(IF($B7649=J$1, ($A7649+$C7649) - MAX(IF($B$2:$B7648=$B7649, $A$2:$A7648+$C$2:$C7648)), "")*24*60, "")</f>
        <v/>
      </c>
      <c r="K7649" s="24" t="str" cm="1">
        <f t="array" ref="K7649">IFERROR(IF($B7649=K$1, ($A7649+$C7649) - MAX(IF($B$2:$B7648=$B7649, $A$2:$A7648+$C$2:$C7648)), "")*24*60, "")</f>
        <v/>
      </c>
      <c r="L7649" s="24" t="str" cm="1">
        <f t="array" ref="L7649">IFERROR(IF($B7649=L$1, ($A7649+$C7649) - MAX(IF($B$2:$B7648=$B7649, $A$2:$A7648+$C$2:$C7648)), "")*24*60, "")</f>
        <v/>
      </c>
      <c r="M7649" s="24" t="str" cm="1">
        <f t="array" ref="M7649">IFERROR(IF($B7649=M$1, ($A7649+$C7649) - MAX(IF($B$2:$B7648=$B7649, $A$2:$A7648+$C$2:$C7648)), "")*24*60, "")</f>
        <v/>
      </c>
      <c r="N7649" s="24" t="str" cm="1">
        <f t="array" ref="N7649">IFERROR(IF($B7649=N$1, ($A7649+$C7649) - MAX(IF($B$2:$B7648=$B7649, $A$2:$A7648+$C$2:$C7648)), "")*24*60, "")</f>
        <v/>
      </c>
      <c r="O7649" s="24" t="str" cm="1">
        <f t="array" ref="O7649">IFERROR(IF($B7649=O$1, ($A7649+$C7649) - MAX(IF($B$2:$B7648=$B7649, $A$2:$A7648+$C$2:$C7648)), "")*24*60, "")</f>
        <v/>
      </c>
      <c r="P7649" s="24" t="str" cm="1">
        <f t="array" ref="P7649">IFERROR(IF($B7649=P$1, ($A7649+$C7649) - MAX(IF($B$2:$B7648=$B7649, $A$2:$A7648+$C$2:$C7648)), "")*24*60, "")</f>
        <v/>
      </c>
      <c r="Q7649" s="24" t="str" cm="1">
        <f t="array" ref="Q7649">IFERROR(IF($B7649=Q$1, ($A7649+$C7649) - MAX(IF($B$2:$B7648=$B7649, $A$2:$A7648+$C$2:$C7648)), "")*24*60, "")</f>
        <v/>
      </c>
      <c r="R7649" s="24" t="str" cm="1">
        <f t="array" ref="R7649">IFERROR(IF($B7649=R$1, ($A7649+$C7649) - MAX(IF($B$2:$B7648=$B7649, $A$2:$A7648+$C$2:$C7648)), "")*24*60, "")</f>
        <v/>
      </c>
      <c r="S7649" s="24" t="str" cm="1">
        <f t="array" ref="S7649">IFERROR(IF($B7649=S$1, ($A7649+$C7649) - MAX(IF($B$2:$B7648=$B7649, $A$2:$A7648+$C$2:$C7648)), "")*24*60, "")</f>
        <v/>
      </c>
    </row>
    <row r="7650" spans="1:19" x14ac:dyDescent="0.2">
      <c r="A7650" s="12">
        <f t="shared" ref="A7650:C7650" si="1482">A7649</f>
        <v>46018</v>
      </c>
      <c r="B7650" s="5" t="str">
        <f t="shared" si="1482"/>
        <v>Northern Cardinal</v>
      </c>
      <c r="C7650" s="6">
        <f t="shared" si="1482"/>
        <v>0.29166666666666669</v>
      </c>
      <c r="D7650" s="5"/>
      <c r="E7650" s="5"/>
      <c r="F7650" s="5" t="s">
        <v>9</v>
      </c>
      <c r="G7650" s="15" t="s">
        <v>8</v>
      </c>
      <c r="H7650" s="24">
        <f t="shared" si="1475"/>
        <v>0</v>
      </c>
      <c r="I7650" s="24" cm="1">
        <f t="array" ref="I7650">IFERROR(IF($B7650=I$1, ($A7650+$C7650) - MAX(IF($B$2:$B7649=$B7650, $A$2:$A7649+$C$2:$C7649)), "")*24*60, "")</f>
        <v>0</v>
      </c>
      <c r="J7650" s="24" t="str" cm="1">
        <f t="array" ref="J7650">IFERROR(IF($B7650=J$1, ($A7650+$C7650) - MAX(IF($B$2:$B7649=$B7650, $A$2:$A7649+$C$2:$C7649)), "")*24*60, "")</f>
        <v/>
      </c>
      <c r="K7650" s="24" t="str" cm="1">
        <f t="array" ref="K7650">IFERROR(IF($B7650=K$1, ($A7650+$C7650) - MAX(IF($B$2:$B7649=$B7650, $A$2:$A7649+$C$2:$C7649)), "")*24*60, "")</f>
        <v/>
      </c>
      <c r="L7650" s="24" t="str" cm="1">
        <f t="array" ref="L7650">IFERROR(IF($B7650=L$1, ($A7650+$C7650) - MAX(IF($B$2:$B7649=$B7650, $A$2:$A7649+$C$2:$C7649)), "")*24*60, "")</f>
        <v/>
      </c>
      <c r="M7650" s="24" t="str" cm="1">
        <f t="array" ref="M7650">IFERROR(IF($B7650=M$1, ($A7650+$C7650) - MAX(IF($B$2:$B7649=$B7650, $A$2:$A7649+$C$2:$C7649)), "")*24*60, "")</f>
        <v/>
      </c>
      <c r="N7650" s="24" t="str" cm="1">
        <f t="array" ref="N7650">IFERROR(IF($B7650=N$1, ($A7650+$C7650) - MAX(IF($B$2:$B7649=$B7650, $A$2:$A7649+$C$2:$C7649)), "")*24*60, "")</f>
        <v/>
      </c>
      <c r="O7650" s="24" t="str" cm="1">
        <f t="array" ref="O7650">IFERROR(IF($B7650=O$1, ($A7650+$C7650) - MAX(IF($B$2:$B7649=$B7650, $A$2:$A7649+$C$2:$C7649)), "")*24*60, "")</f>
        <v/>
      </c>
      <c r="P7650" s="24" t="str" cm="1">
        <f t="array" ref="P7650">IFERROR(IF($B7650=P$1, ($A7650+$C7650) - MAX(IF($B$2:$B7649=$B7650, $A$2:$A7649+$C$2:$C7649)), "")*24*60, "")</f>
        <v/>
      </c>
      <c r="Q7650" s="24" t="str" cm="1">
        <f t="array" ref="Q7650">IFERROR(IF($B7650=Q$1, ($A7650+$C7650) - MAX(IF($B$2:$B7649=$B7650, $A$2:$A7649+$C$2:$C7649)), "")*24*60, "")</f>
        <v/>
      </c>
      <c r="R7650" s="24" t="str" cm="1">
        <f t="array" ref="R7650">IFERROR(IF($B7650=R$1, ($A7650+$C7650) - MAX(IF($B$2:$B7649=$B7650, $A$2:$A7649+$C$2:$C7649)), "")*24*60, "")</f>
        <v/>
      </c>
      <c r="S7650" s="24" t="str" cm="1">
        <f t="array" ref="S7650">IFERROR(IF($B7650=S$1, ($A7650+$C7650) - MAX(IF($B$2:$B7649=$B7650, $A$2:$A7649+$C$2:$C7649)), "")*24*60, "")</f>
        <v/>
      </c>
    </row>
    <row r="7651" spans="1:19" x14ac:dyDescent="0.2">
      <c r="A7651" s="12">
        <f t="shared" ref="A7651:C7651" si="1483">A7650</f>
        <v>46018</v>
      </c>
      <c r="B7651" s="5" t="str">
        <f t="shared" si="1483"/>
        <v>Northern Cardinal</v>
      </c>
      <c r="C7651" s="6">
        <f t="shared" si="1483"/>
        <v>0.29166666666666669</v>
      </c>
      <c r="D7651" s="5"/>
      <c r="E7651" s="5"/>
      <c r="F7651" s="5" t="s">
        <v>9</v>
      </c>
      <c r="G7651" s="15" t="s">
        <v>8</v>
      </c>
      <c r="H7651" s="24">
        <f t="shared" si="1475"/>
        <v>0</v>
      </c>
      <c r="I7651" s="24" cm="1">
        <f t="array" ref="I7651">IFERROR(IF($B7651=I$1, ($A7651+$C7651) - MAX(IF($B$2:$B7650=$B7651, $A$2:$A7650+$C$2:$C7650)), "")*24*60, "")</f>
        <v>0</v>
      </c>
      <c r="J7651" s="24" t="str" cm="1">
        <f t="array" ref="J7651">IFERROR(IF($B7651=J$1, ($A7651+$C7651) - MAX(IF($B$2:$B7650=$B7651, $A$2:$A7650+$C$2:$C7650)), "")*24*60, "")</f>
        <v/>
      </c>
      <c r="K7651" s="24" t="str" cm="1">
        <f t="array" ref="K7651">IFERROR(IF($B7651=K$1, ($A7651+$C7651) - MAX(IF($B$2:$B7650=$B7651, $A$2:$A7650+$C$2:$C7650)), "")*24*60, "")</f>
        <v/>
      </c>
      <c r="L7651" s="24" t="str" cm="1">
        <f t="array" ref="L7651">IFERROR(IF($B7651=L$1, ($A7651+$C7651) - MAX(IF($B$2:$B7650=$B7651, $A$2:$A7650+$C$2:$C7650)), "")*24*60, "")</f>
        <v/>
      </c>
      <c r="M7651" s="24" t="str" cm="1">
        <f t="array" ref="M7651">IFERROR(IF($B7651=M$1, ($A7651+$C7651) - MAX(IF($B$2:$B7650=$B7651, $A$2:$A7650+$C$2:$C7650)), "")*24*60, "")</f>
        <v/>
      </c>
      <c r="N7651" s="24" t="str" cm="1">
        <f t="array" ref="N7651">IFERROR(IF($B7651=N$1, ($A7651+$C7651) - MAX(IF($B$2:$B7650=$B7651, $A$2:$A7650+$C$2:$C7650)), "")*24*60, "")</f>
        <v/>
      </c>
      <c r="O7651" s="24" t="str" cm="1">
        <f t="array" ref="O7651">IFERROR(IF($B7651=O$1, ($A7651+$C7651) - MAX(IF($B$2:$B7650=$B7651, $A$2:$A7650+$C$2:$C7650)), "")*24*60, "")</f>
        <v/>
      </c>
      <c r="P7651" s="24" t="str" cm="1">
        <f t="array" ref="P7651">IFERROR(IF($B7651=P$1, ($A7651+$C7651) - MAX(IF($B$2:$B7650=$B7651, $A$2:$A7650+$C$2:$C7650)), "")*24*60, "")</f>
        <v/>
      </c>
      <c r="Q7651" s="24" t="str" cm="1">
        <f t="array" ref="Q7651">IFERROR(IF($B7651=Q$1, ($A7651+$C7651) - MAX(IF($B$2:$B7650=$B7651, $A$2:$A7650+$C$2:$C7650)), "")*24*60, "")</f>
        <v/>
      </c>
      <c r="R7651" s="24" t="str" cm="1">
        <f t="array" ref="R7651">IFERROR(IF($B7651=R$1, ($A7651+$C7651) - MAX(IF($B$2:$B7650=$B7651, $A$2:$A7650+$C$2:$C7650)), "")*24*60, "")</f>
        <v/>
      </c>
      <c r="S7651" s="24" t="str" cm="1">
        <f t="array" ref="S7651">IFERROR(IF($B7651=S$1, ($A7651+$C7651) - MAX(IF($B$2:$B7650=$B7651, $A$2:$A7650+$C$2:$C7650)), "")*24*60, "")</f>
        <v/>
      </c>
    </row>
    <row r="7652" spans="1:19" x14ac:dyDescent="0.2">
      <c r="A7652" s="12">
        <f t="shared" ref="A7652:C7652" si="1484">A7651</f>
        <v>46018</v>
      </c>
      <c r="B7652" s="5" t="str">
        <f t="shared" si="1484"/>
        <v>Northern Cardinal</v>
      </c>
      <c r="C7652" s="6">
        <f t="shared" si="1484"/>
        <v>0.29166666666666669</v>
      </c>
      <c r="D7652" s="5"/>
      <c r="E7652" s="5"/>
      <c r="F7652" s="5" t="s">
        <v>9</v>
      </c>
      <c r="G7652" s="15" t="s">
        <v>8</v>
      </c>
      <c r="H7652" s="24">
        <f t="shared" si="1475"/>
        <v>0</v>
      </c>
      <c r="I7652" s="24" cm="1">
        <f t="array" ref="I7652">IFERROR(IF($B7652=I$1, ($A7652+$C7652) - MAX(IF($B$2:$B7651=$B7652, $A$2:$A7651+$C$2:$C7651)), "")*24*60, "")</f>
        <v>0</v>
      </c>
      <c r="J7652" s="24" t="str" cm="1">
        <f t="array" ref="J7652">IFERROR(IF($B7652=J$1, ($A7652+$C7652) - MAX(IF($B$2:$B7651=$B7652, $A$2:$A7651+$C$2:$C7651)), "")*24*60, "")</f>
        <v/>
      </c>
      <c r="K7652" s="24" t="str" cm="1">
        <f t="array" ref="K7652">IFERROR(IF($B7652=K$1, ($A7652+$C7652) - MAX(IF($B$2:$B7651=$B7652, $A$2:$A7651+$C$2:$C7651)), "")*24*60, "")</f>
        <v/>
      </c>
      <c r="L7652" s="24" t="str" cm="1">
        <f t="array" ref="L7652">IFERROR(IF($B7652=L$1, ($A7652+$C7652) - MAX(IF($B$2:$B7651=$B7652, $A$2:$A7651+$C$2:$C7651)), "")*24*60, "")</f>
        <v/>
      </c>
      <c r="M7652" s="24" t="str" cm="1">
        <f t="array" ref="M7652">IFERROR(IF($B7652=M$1, ($A7652+$C7652) - MAX(IF($B$2:$B7651=$B7652, $A$2:$A7651+$C$2:$C7651)), "")*24*60, "")</f>
        <v/>
      </c>
      <c r="N7652" s="24" t="str" cm="1">
        <f t="array" ref="N7652">IFERROR(IF($B7652=N$1, ($A7652+$C7652) - MAX(IF($B$2:$B7651=$B7652, $A$2:$A7651+$C$2:$C7651)), "")*24*60, "")</f>
        <v/>
      </c>
      <c r="O7652" s="24" t="str" cm="1">
        <f t="array" ref="O7652">IFERROR(IF($B7652=O$1, ($A7652+$C7652) - MAX(IF($B$2:$B7651=$B7652, $A$2:$A7651+$C$2:$C7651)), "")*24*60, "")</f>
        <v/>
      </c>
      <c r="P7652" s="24" t="str" cm="1">
        <f t="array" ref="P7652">IFERROR(IF($B7652=P$1, ($A7652+$C7652) - MAX(IF($B$2:$B7651=$B7652, $A$2:$A7651+$C$2:$C7651)), "")*24*60, "")</f>
        <v/>
      </c>
      <c r="Q7652" s="24" t="str" cm="1">
        <f t="array" ref="Q7652">IFERROR(IF($B7652=Q$1, ($A7652+$C7652) - MAX(IF($B$2:$B7651=$B7652, $A$2:$A7651+$C$2:$C7651)), "")*24*60, "")</f>
        <v/>
      </c>
      <c r="R7652" s="24" t="str" cm="1">
        <f t="array" ref="R7652">IFERROR(IF($B7652=R$1, ($A7652+$C7652) - MAX(IF($B$2:$B7651=$B7652, $A$2:$A7651+$C$2:$C7651)), "")*24*60, "")</f>
        <v/>
      </c>
      <c r="S7652" s="24" t="str" cm="1">
        <f t="array" ref="S7652">IFERROR(IF($B7652=S$1, ($A7652+$C7652) - MAX(IF($B$2:$B7651=$B7652, $A$2:$A7651+$C$2:$C7651)), "")*24*60, "")</f>
        <v/>
      </c>
    </row>
    <row r="7653" spans="1:19" x14ac:dyDescent="0.2">
      <c r="A7653" s="12">
        <f t="shared" ref="A7653:C7653" si="1485">A7652</f>
        <v>46018</v>
      </c>
      <c r="B7653" s="5" t="str">
        <f t="shared" si="1485"/>
        <v>Northern Cardinal</v>
      </c>
      <c r="C7653" s="6">
        <f t="shared" si="1485"/>
        <v>0.29166666666666669</v>
      </c>
      <c r="D7653" s="5"/>
      <c r="E7653" s="5"/>
      <c r="F7653" s="5" t="s">
        <v>9</v>
      </c>
      <c r="G7653" s="15" t="s">
        <v>8</v>
      </c>
      <c r="H7653" s="24">
        <f t="shared" si="1475"/>
        <v>0</v>
      </c>
      <c r="I7653" s="24" cm="1">
        <f t="array" ref="I7653">IFERROR(IF($B7653=I$1, ($A7653+$C7653) - MAX(IF($B$2:$B7652=$B7653, $A$2:$A7652+$C$2:$C7652)), "")*24*60, "")</f>
        <v>0</v>
      </c>
      <c r="J7653" s="24" t="str" cm="1">
        <f t="array" ref="J7653">IFERROR(IF($B7653=J$1, ($A7653+$C7653) - MAX(IF($B$2:$B7652=$B7653, $A$2:$A7652+$C$2:$C7652)), "")*24*60, "")</f>
        <v/>
      </c>
      <c r="K7653" s="24" t="str" cm="1">
        <f t="array" ref="K7653">IFERROR(IF($B7653=K$1, ($A7653+$C7653) - MAX(IF($B$2:$B7652=$B7653, $A$2:$A7652+$C$2:$C7652)), "")*24*60, "")</f>
        <v/>
      </c>
      <c r="L7653" s="24" t="str" cm="1">
        <f t="array" ref="L7653">IFERROR(IF($B7653=L$1, ($A7653+$C7653) - MAX(IF($B$2:$B7652=$B7653, $A$2:$A7652+$C$2:$C7652)), "")*24*60, "")</f>
        <v/>
      </c>
      <c r="M7653" s="24" t="str" cm="1">
        <f t="array" ref="M7653">IFERROR(IF($B7653=M$1, ($A7653+$C7653) - MAX(IF($B$2:$B7652=$B7653, $A$2:$A7652+$C$2:$C7652)), "")*24*60, "")</f>
        <v/>
      </c>
      <c r="N7653" s="24" t="str" cm="1">
        <f t="array" ref="N7653">IFERROR(IF($B7653=N$1, ($A7653+$C7653) - MAX(IF($B$2:$B7652=$B7653, $A$2:$A7652+$C$2:$C7652)), "")*24*60, "")</f>
        <v/>
      </c>
      <c r="O7653" s="24" t="str" cm="1">
        <f t="array" ref="O7653">IFERROR(IF($B7653=O$1, ($A7653+$C7653) - MAX(IF($B$2:$B7652=$B7653, $A$2:$A7652+$C$2:$C7652)), "")*24*60, "")</f>
        <v/>
      </c>
      <c r="P7653" s="24" t="str" cm="1">
        <f t="array" ref="P7653">IFERROR(IF($B7653=P$1, ($A7653+$C7653) - MAX(IF($B$2:$B7652=$B7653, $A$2:$A7652+$C$2:$C7652)), "")*24*60, "")</f>
        <v/>
      </c>
      <c r="Q7653" s="24" t="str" cm="1">
        <f t="array" ref="Q7653">IFERROR(IF($B7653=Q$1, ($A7653+$C7653) - MAX(IF($B$2:$B7652=$B7653, $A$2:$A7652+$C$2:$C7652)), "")*24*60, "")</f>
        <v/>
      </c>
      <c r="R7653" s="24" t="str" cm="1">
        <f t="array" ref="R7653">IFERROR(IF($B7653=R$1, ($A7653+$C7653) - MAX(IF($B$2:$B7652=$B7653, $A$2:$A7652+$C$2:$C7652)), "")*24*60, "")</f>
        <v/>
      </c>
      <c r="S7653" s="24" t="str" cm="1">
        <f t="array" ref="S7653">IFERROR(IF($B7653=S$1, ($A7653+$C7653) - MAX(IF($B$2:$B7652=$B7653, $A$2:$A7652+$C$2:$C7652)), "")*24*60, "")</f>
        <v/>
      </c>
    </row>
    <row r="7654" spans="1:19" x14ac:dyDescent="0.2">
      <c r="A7654" s="12">
        <f t="shared" ref="A7654:C7654" si="1486">A7653</f>
        <v>46018</v>
      </c>
      <c r="B7654" s="5" t="str">
        <f t="shared" si="1486"/>
        <v>Northern Cardinal</v>
      </c>
      <c r="C7654" s="6">
        <f t="shared" si="1486"/>
        <v>0.29166666666666669</v>
      </c>
      <c r="D7654" s="5"/>
      <c r="E7654" s="5"/>
      <c r="F7654" s="5" t="s">
        <v>9</v>
      </c>
      <c r="G7654" s="15" t="s">
        <v>8</v>
      </c>
      <c r="H7654" s="24">
        <f t="shared" si="1475"/>
        <v>0</v>
      </c>
      <c r="I7654" s="24" cm="1">
        <f t="array" ref="I7654">IFERROR(IF($B7654=I$1, ($A7654+$C7654) - MAX(IF($B$2:$B7653=$B7654, $A$2:$A7653+$C$2:$C7653)), "")*24*60, "")</f>
        <v>0</v>
      </c>
      <c r="J7654" s="24" t="str" cm="1">
        <f t="array" ref="J7654">IFERROR(IF($B7654=J$1, ($A7654+$C7654) - MAX(IF($B$2:$B7653=$B7654, $A$2:$A7653+$C$2:$C7653)), "")*24*60, "")</f>
        <v/>
      </c>
      <c r="K7654" s="24" t="str" cm="1">
        <f t="array" ref="K7654">IFERROR(IF($B7654=K$1, ($A7654+$C7654) - MAX(IF($B$2:$B7653=$B7654, $A$2:$A7653+$C$2:$C7653)), "")*24*60, "")</f>
        <v/>
      </c>
      <c r="L7654" s="24" t="str" cm="1">
        <f t="array" ref="L7654">IFERROR(IF($B7654=L$1, ($A7654+$C7654) - MAX(IF($B$2:$B7653=$B7654, $A$2:$A7653+$C$2:$C7653)), "")*24*60, "")</f>
        <v/>
      </c>
      <c r="M7654" s="24" t="str" cm="1">
        <f t="array" ref="M7654">IFERROR(IF($B7654=M$1, ($A7654+$C7654) - MAX(IF($B$2:$B7653=$B7654, $A$2:$A7653+$C$2:$C7653)), "")*24*60, "")</f>
        <v/>
      </c>
      <c r="N7654" s="24" t="str" cm="1">
        <f t="array" ref="N7654">IFERROR(IF($B7654=N$1, ($A7654+$C7654) - MAX(IF($B$2:$B7653=$B7654, $A$2:$A7653+$C$2:$C7653)), "")*24*60, "")</f>
        <v/>
      </c>
      <c r="O7654" s="24" t="str" cm="1">
        <f t="array" ref="O7654">IFERROR(IF($B7654=O$1, ($A7654+$C7654) - MAX(IF($B$2:$B7653=$B7654, $A$2:$A7653+$C$2:$C7653)), "")*24*60, "")</f>
        <v/>
      </c>
      <c r="P7654" s="24" t="str" cm="1">
        <f t="array" ref="P7654">IFERROR(IF($B7654=P$1, ($A7654+$C7654) - MAX(IF($B$2:$B7653=$B7654, $A$2:$A7653+$C$2:$C7653)), "")*24*60, "")</f>
        <v/>
      </c>
      <c r="Q7654" s="24" t="str" cm="1">
        <f t="array" ref="Q7654">IFERROR(IF($B7654=Q$1, ($A7654+$C7654) - MAX(IF($B$2:$B7653=$B7654, $A$2:$A7653+$C$2:$C7653)), "")*24*60, "")</f>
        <v/>
      </c>
      <c r="R7654" s="24" t="str" cm="1">
        <f t="array" ref="R7654">IFERROR(IF($B7654=R$1, ($A7654+$C7654) - MAX(IF($B$2:$B7653=$B7654, $A$2:$A7653+$C$2:$C7653)), "")*24*60, "")</f>
        <v/>
      </c>
      <c r="S7654" s="24" t="str" cm="1">
        <f t="array" ref="S7654">IFERROR(IF($B7654=S$1, ($A7654+$C7654) - MAX(IF($B$2:$B7653=$B7654, $A$2:$A7653+$C$2:$C7653)), "")*24*60, "")</f>
        <v/>
      </c>
    </row>
    <row r="7655" spans="1:19" x14ac:dyDescent="0.2">
      <c r="A7655" s="12">
        <f t="shared" ref="A7655:C7655" si="1487">A7654</f>
        <v>46018</v>
      </c>
      <c r="B7655" s="5" t="str">
        <f t="shared" si="1487"/>
        <v>Northern Cardinal</v>
      </c>
      <c r="C7655" s="6">
        <f t="shared" si="1487"/>
        <v>0.29166666666666669</v>
      </c>
      <c r="D7655" s="5"/>
      <c r="E7655" s="5"/>
      <c r="F7655" s="5" t="s">
        <v>9</v>
      </c>
      <c r="G7655" s="15" t="s">
        <v>8</v>
      </c>
      <c r="H7655" s="24">
        <f t="shared" si="1475"/>
        <v>0</v>
      </c>
      <c r="I7655" s="24" cm="1">
        <f t="array" ref="I7655">IFERROR(IF($B7655=I$1, ($A7655+$C7655) - MAX(IF($B$2:$B7654=$B7655, $A$2:$A7654+$C$2:$C7654)), "")*24*60, "")</f>
        <v>0</v>
      </c>
      <c r="J7655" s="24" t="str" cm="1">
        <f t="array" ref="J7655">IFERROR(IF($B7655=J$1, ($A7655+$C7655) - MAX(IF($B$2:$B7654=$B7655, $A$2:$A7654+$C$2:$C7654)), "")*24*60, "")</f>
        <v/>
      </c>
      <c r="K7655" s="24" t="str" cm="1">
        <f t="array" ref="K7655">IFERROR(IF($B7655=K$1, ($A7655+$C7655) - MAX(IF($B$2:$B7654=$B7655, $A$2:$A7654+$C$2:$C7654)), "")*24*60, "")</f>
        <v/>
      </c>
      <c r="L7655" s="24" t="str" cm="1">
        <f t="array" ref="L7655">IFERROR(IF($B7655=L$1, ($A7655+$C7655) - MAX(IF($B$2:$B7654=$B7655, $A$2:$A7654+$C$2:$C7654)), "")*24*60, "")</f>
        <v/>
      </c>
      <c r="M7655" s="24" t="str" cm="1">
        <f t="array" ref="M7655">IFERROR(IF($B7655=M$1, ($A7655+$C7655) - MAX(IF($B$2:$B7654=$B7655, $A$2:$A7654+$C$2:$C7654)), "")*24*60, "")</f>
        <v/>
      </c>
      <c r="N7655" s="24" t="str" cm="1">
        <f t="array" ref="N7655">IFERROR(IF($B7655=N$1, ($A7655+$C7655) - MAX(IF($B$2:$B7654=$B7655, $A$2:$A7654+$C$2:$C7654)), "")*24*60, "")</f>
        <v/>
      </c>
      <c r="O7655" s="24" t="str" cm="1">
        <f t="array" ref="O7655">IFERROR(IF($B7655=O$1, ($A7655+$C7655) - MAX(IF($B$2:$B7654=$B7655, $A$2:$A7654+$C$2:$C7654)), "")*24*60, "")</f>
        <v/>
      </c>
      <c r="P7655" s="24" t="str" cm="1">
        <f t="array" ref="P7655">IFERROR(IF($B7655=P$1, ($A7655+$C7655) - MAX(IF($B$2:$B7654=$B7655, $A$2:$A7654+$C$2:$C7654)), "")*24*60, "")</f>
        <v/>
      </c>
      <c r="Q7655" s="24" t="str" cm="1">
        <f t="array" ref="Q7655">IFERROR(IF($B7655=Q$1, ($A7655+$C7655) - MAX(IF($B$2:$B7654=$B7655, $A$2:$A7654+$C$2:$C7654)), "")*24*60, "")</f>
        <v/>
      </c>
      <c r="R7655" s="24" t="str" cm="1">
        <f t="array" ref="R7655">IFERROR(IF($B7655=R$1, ($A7655+$C7655) - MAX(IF($B$2:$B7654=$B7655, $A$2:$A7654+$C$2:$C7654)), "")*24*60, "")</f>
        <v/>
      </c>
      <c r="S7655" s="24" t="str" cm="1">
        <f t="array" ref="S7655">IFERROR(IF($B7655=S$1, ($A7655+$C7655) - MAX(IF($B$2:$B7654=$B7655, $A$2:$A7654+$C$2:$C7654)), "")*24*60, "")</f>
        <v/>
      </c>
    </row>
    <row r="7656" spans="1:19" x14ac:dyDescent="0.2">
      <c r="A7656" s="12">
        <f t="shared" ref="A7656:C7656" si="1488">A7655</f>
        <v>46018</v>
      </c>
      <c r="B7656" s="5" t="str">
        <f t="shared" si="1488"/>
        <v>Northern Cardinal</v>
      </c>
      <c r="C7656" s="6">
        <f t="shared" si="1488"/>
        <v>0.29166666666666669</v>
      </c>
      <c r="D7656" s="5"/>
      <c r="E7656" s="5"/>
      <c r="F7656" s="5" t="s">
        <v>9</v>
      </c>
      <c r="G7656" s="15" t="s">
        <v>8</v>
      </c>
      <c r="H7656" s="24">
        <f t="shared" si="1475"/>
        <v>0</v>
      </c>
      <c r="I7656" s="24" cm="1">
        <f t="array" ref="I7656">IFERROR(IF($B7656=I$1, ($A7656+$C7656) - MAX(IF($B$2:$B7655=$B7656, $A$2:$A7655+$C$2:$C7655)), "")*24*60, "")</f>
        <v>0</v>
      </c>
      <c r="J7656" s="24" t="str" cm="1">
        <f t="array" ref="J7656">IFERROR(IF($B7656=J$1, ($A7656+$C7656) - MAX(IF($B$2:$B7655=$B7656, $A$2:$A7655+$C$2:$C7655)), "")*24*60, "")</f>
        <v/>
      </c>
      <c r="K7656" s="24" t="str" cm="1">
        <f t="array" ref="K7656">IFERROR(IF($B7656=K$1, ($A7656+$C7656) - MAX(IF($B$2:$B7655=$B7656, $A$2:$A7655+$C$2:$C7655)), "")*24*60, "")</f>
        <v/>
      </c>
      <c r="L7656" s="24" t="str" cm="1">
        <f t="array" ref="L7656">IFERROR(IF($B7656=L$1, ($A7656+$C7656) - MAX(IF($B$2:$B7655=$B7656, $A$2:$A7655+$C$2:$C7655)), "")*24*60, "")</f>
        <v/>
      </c>
      <c r="M7656" s="24" t="str" cm="1">
        <f t="array" ref="M7656">IFERROR(IF($B7656=M$1, ($A7656+$C7656) - MAX(IF($B$2:$B7655=$B7656, $A$2:$A7655+$C$2:$C7655)), "")*24*60, "")</f>
        <v/>
      </c>
      <c r="N7656" s="24" t="str" cm="1">
        <f t="array" ref="N7656">IFERROR(IF($B7656=N$1, ($A7656+$C7656) - MAX(IF($B$2:$B7655=$B7656, $A$2:$A7655+$C$2:$C7655)), "")*24*60, "")</f>
        <v/>
      </c>
      <c r="O7656" s="24" t="str" cm="1">
        <f t="array" ref="O7656">IFERROR(IF($B7656=O$1, ($A7656+$C7656) - MAX(IF($B$2:$B7655=$B7656, $A$2:$A7655+$C$2:$C7655)), "")*24*60, "")</f>
        <v/>
      </c>
      <c r="P7656" s="24" t="str" cm="1">
        <f t="array" ref="P7656">IFERROR(IF($B7656=P$1, ($A7656+$C7656) - MAX(IF($B$2:$B7655=$B7656, $A$2:$A7655+$C$2:$C7655)), "")*24*60, "")</f>
        <v/>
      </c>
      <c r="Q7656" s="24" t="str" cm="1">
        <f t="array" ref="Q7656">IFERROR(IF($B7656=Q$1, ($A7656+$C7656) - MAX(IF($B$2:$B7655=$B7656, $A$2:$A7655+$C$2:$C7655)), "")*24*60, "")</f>
        <v/>
      </c>
      <c r="R7656" s="24" t="str" cm="1">
        <f t="array" ref="R7656">IFERROR(IF($B7656=R$1, ($A7656+$C7656) - MAX(IF($B$2:$B7655=$B7656, $A$2:$A7655+$C$2:$C7655)), "")*24*60, "")</f>
        <v/>
      </c>
      <c r="S7656" s="24" t="str" cm="1">
        <f t="array" ref="S7656">IFERROR(IF($B7656=S$1, ($A7656+$C7656) - MAX(IF($B$2:$B7655=$B7656, $A$2:$A7655+$C$2:$C7655)), "")*24*60, "")</f>
        <v/>
      </c>
    </row>
    <row r="7657" spans="1:19" x14ac:dyDescent="0.2">
      <c r="A7657" s="12">
        <f t="shared" ref="A7657:C7657" si="1489">A7656</f>
        <v>46018</v>
      </c>
      <c r="B7657" s="5" t="str">
        <f t="shared" si="1489"/>
        <v>Northern Cardinal</v>
      </c>
      <c r="C7657" s="6">
        <f t="shared" si="1489"/>
        <v>0.29166666666666669</v>
      </c>
      <c r="D7657" s="5"/>
      <c r="E7657" s="5"/>
      <c r="F7657" s="5" t="s">
        <v>9</v>
      </c>
      <c r="G7657" s="15" t="s">
        <v>8</v>
      </c>
      <c r="H7657" s="24">
        <f t="shared" si="1475"/>
        <v>0</v>
      </c>
      <c r="I7657" s="24" cm="1">
        <f t="array" ref="I7657">IFERROR(IF($B7657=I$1, ($A7657+$C7657) - MAX(IF($B$2:$B7656=$B7657, $A$2:$A7656+$C$2:$C7656)), "")*24*60, "")</f>
        <v>0</v>
      </c>
      <c r="J7657" s="24" t="str" cm="1">
        <f t="array" ref="J7657">IFERROR(IF($B7657=J$1, ($A7657+$C7657) - MAX(IF($B$2:$B7656=$B7657, $A$2:$A7656+$C$2:$C7656)), "")*24*60, "")</f>
        <v/>
      </c>
      <c r="K7657" s="24" t="str" cm="1">
        <f t="array" ref="K7657">IFERROR(IF($B7657=K$1, ($A7657+$C7657) - MAX(IF($B$2:$B7656=$B7657, $A$2:$A7656+$C$2:$C7656)), "")*24*60, "")</f>
        <v/>
      </c>
      <c r="L7657" s="24" t="str" cm="1">
        <f t="array" ref="L7657">IFERROR(IF($B7657=L$1, ($A7657+$C7657) - MAX(IF($B$2:$B7656=$B7657, $A$2:$A7656+$C$2:$C7656)), "")*24*60, "")</f>
        <v/>
      </c>
      <c r="M7657" s="24" t="str" cm="1">
        <f t="array" ref="M7657">IFERROR(IF($B7657=M$1, ($A7657+$C7657) - MAX(IF($B$2:$B7656=$B7657, $A$2:$A7656+$C$2:$C7656)), "")*24*60, "")</f>
        <v/>
      </c>
      <c r="N7657" s="24" t="str" cm="1">
        <f t="array" ref="N7657">IFERROR(IF($B7657=N$1, ($A7657+$C7657) - MAX(IF($B$2:$B7656=$B7657, $A$2:$A7656+$C$2:$C7656)), "")*24*60, "")</f>
        <v/>
      </c>
      <c r="O7657" s="24" t="str" cm="1">
        <f t="array" ref="O7657">IFERROR(IF($B7657=O$1, ($A7657+$C7657) - MAX(IF($B$2:$B7656=$B7657, $A$2:$A7656+$C$2:$C7656)), "")*24*60, "")</f>
        <v/>
      </c>
      <c r="P7657" s="24" t="str" cm="1">
        <f t="array" ref="P7657">IFERROR(IF($B7657=P$1, ($A7657+$C7657) - MAX(IF($B$2:$B7656=$B7657, $A$2:$A7656+$C$2:$C7656)), "")*24*60, "")</f>
        <v/>
      </c>
      <c r="Q7657" s="24" t="str" cm="1">
        <f t="array" ref="Q7657">IFERROR(IF($B7657=Q$1, ($A7657+$C7657) - MAX(IF($B$2:$B7656=$B7657, $A$2:$A7656+$C$2:$C7656)), "")*24*60, "")</f>
        <v/>
      </c>
      <c r="R7657" s="24" t="str" cm="1">
        <f t="array" ref="R7657">IFERROR(IF($B7657=R$1, ($A7657+$C7657) - MAX(IF($B$2:$B7656=$B7657, $A$2:$A7656+$C$2:$C7656)), "")*24*60, "")</f>
        <v/>
      </c>
      <c r="S7657" s="24" t="str" cm="1">
        <f t="array" ref="S7657">IFERROR(IF($B7657=S$1, ($A7657+$C7657) - MAX(IF($B$2:$B7656=$B7657, $A$2:$A7656+$C$2:$C7656)), "")*24*60, "")</f>
        <v/>
      </c>
    </row>
    <row r="7658" spans="1:19" x14ac:dyDescent="0.2">
      <c r="A7658" s="12">
        <f t="shared" ref="A7658:C7658" si="1490">A7657</f>
        <v>46018</v>
      </c>
      <c r="B7658" s="5" t="str">
        <f t="shared" si="1490"/>
        <v>Northern Cardinal</v>
      </c>
      <c r="C7658" s="6">
        <f t="shared" si="1490"/>
        <v>0.29166666666666669</v>
      </c>
      <c r="D7658" s="5"/>
      <c r="E7658" s="5"/>
      <c r="F7658" s="5" t="s">
        <v>9</v>
      </c>
      <c r="G7658" s="15" t="s">
        <v>8</v>
      </c>
      <c r="H7658" s="24">
        <f t="shared" si="1475"/>
        <v>0</v>
      </c>
      <c r="I7658" s="24" cm="1">
        <f t="array" ref="I7658">IFERROR(IF($B7658=I$1, ($A7658+$C7658) - MAX(IF($B$2:$B7657=$B7658, $A$2:$A7657+$C$2:$C7657)), "")*24*60, "")</f>
        <v>0</v>
      </c>
      <c r="J7658" s="24" t="str" cm="1">
        <f t="array" ref="J7658">IFERROR(IF($B7658=J$1, ($A7658+$C7658) - MAX(IF($B$2:$B7657=$B7658, $A$2:$A7657+$C$2:$C7657)), "")*24*60, "")</f>
        <v/>
      </c>
      <c r="K7658" s="24" t="str" cm="1">
        <f t="array" ref="K7658">IFERROR(IF($B7658=K$1, ($A7658+$C7658) - MAX(IF($B$2:$B7657=$B7658, $A$2:$A7657+$C$2:$C7657)), "")*24*60, "")</f>
        <v/>
      </c>
      <c r="L7658" s="24" t="str" cm="1">
        <f t="array" ref="L7658">IFERROR(IF($B7658=L$1, ($A7658+$C7658) - MAX(IF($B$2:$B7657=$B7658, $A$2:$A7657+$C$2:$C7657)), "")*24*60, "")</f>
        <v/>
      </c>
      <c r="M7658" s="24" t="str" cm="1">
        <f t="array" ref="M7658">IFERROR(IF($B7658=M$1, ($A7658+$C7658) - MAX(IF($B$2:$B7657=$B7658, $A$2:$A7657+$C$2:$C7657)), "")*24*60, "")</f>
        <v/>
      </c>
      <c r="N7658" s="24" t="str" cm="1">
        <f t="array" ref="N7658">IFERROR(IF($B7658=N$1, ($A7658+$C7658) - MAX(IF($B$2:$B7657=$B7658, $A$2:$A7657+$C$2:$C7657)), "")*24*60, "")</f>
        <v/>
      </c>
      <c r="O7658" s="24" t="str" cm="1">
        <f t="array" ref="O7658">IFERROR(IF($B7658=O$1, ($A7658+$C7658) - MAX(IF($B$2:$B7657=$B7658, $A$2:$A7657+$C$2:$C7657)), "")*24*60, "")</f>
        <v/>
      </c>
      <c r="P7658" s="24" t="str" cm="1">
        <f t="array" ref="P7658">IFERROR(IF($B7658=P$1, ($A7658+$C7658) - MAX(IF($B$2:$B7657=$B7658, $A$2:$A7657+$C$2:$C7657)), "")*24*60, "")</f>
        <v/>
      </c>
      <c r="Q7658" s="24" t="str" cm="1">
        <f t="array" ref="Q7658">IFERROR(IF($B7658=Q$1, ($A7658+$C7658) - MAX(IF($B$2:$B7657=$B7658, $A$2:$A7657+$C$2:$C7657)), "")*24*60, "")</f>
        <v/>
      </c>
      <c r="R7658" s="24" t="str" cm="1">
        <f t="array" ref="R7658">IFERROR(IF($B7658=R$1, ($A7658+$C7658) - MAX(IF($B$2:$B7657=$B7658, $A$2:$A7657+$C$2:$C7657)), "")*24*60, "")</f>
        <v/>
      </c>
      <c r="S7658" s="24" t="str" cm="1">
        <f t="array" ref="S7658">IFERROR(IF($B7658=S$1, ($A7658+$C7658) - MAX(IF($B$2:$B7657=$B7658, $A$2:$A7657+$C$2:$C7657)), "")*24*60, "")</f>
        <v/>
      </c>
    </row>
    <row r="7659" spans="1:19" x14ac:dyDescent="0.2">
      <c r="A7659" s="12">
        <f t="shared" ref="A7659:C7659" si="1491">A7658</f>
        <v>46018</v>
      </c>
      <c r="B7659" s="5" t="str">
        <f t="shared" si="1491"/>
        <v>Northern Cardinal</v>
      </c>
      <c r="C7659" s="6">
        <f t="shared" si="1491"/>
        <v>0.29166666666666669</v>
      </c>
      <c r="D7659" s="5"/>
      <c r="E7659" s="5"/>
      <c r="F7659" s="5" t="s">
        <v>9</v>
      </c>
      <c r="G7659" s="15" t="s">
        <v>8</v>
      </c>
      <c r="H7659" s="24">
        <f t="shared" si="1475"/>
        <v>0</v>
      </c>
      <c r="I7659" s="24" cm="1">
        <f t="array" ref="I7659">IFERROR(IF($B7659=I$1, ($A7659+$C7659) - MAX(IF($B$2:$B7658=$B7659, $A$2:$A7658+$C$2:$C7658)), "")*24*60, "")</f>
        <v>0</v>
      </c>
      <c r="J7659" s="24" t="str" cm="1">
        <f t="array" ref="J7659">IFERROR(IF($B7659=J$1, ($A7659+$C7659) - MAX(IF($B$2:$B7658=$B7659, $A$2:$A7658+$C$2:$C7658)), "")*24*60, "")</f>
        <v/>
      </c>
      <c r="K7659" s="24" t="str" cm="1">
        <f t="array" ref="K7659">IFERROR(IF($B7659=K$1, ($A7659+$C7659) - MAX(IF($B$2:$B7658=$B7659, $A$2:$A7658+$C$2:$C7658)), "")*24*60, "")</f>
        <v/>
      </c>
      <c r="L7659" s="24" t="str" cm="1">
        <f t="array" ref="L7659">IFERROR(IF($B7659=L$1, ($A7659+$C7659) - MAX(IF($B$2:$B7658=$B7659, $A$2:$A7658+$C$2:$C7658)), "")*24*60, "")</f>
        <v/>
      </c>
      <c r="M7659" s="24" t="str" cm="1">
        <f t="array" ref="M7659">IFERROR(IF($B7659=M$1, ($A7659+$C7659) - MAX(IF($B$2:$B7658=$B7659, $A$2:$A7658+$C$2:$C7658)), "")*24*60, "")</f>
        <v/>
      </c>
      <c r="N7659" s="24" t="str" cm="1">
        <f t="array" ref="N7659">IFERROR(IF($B7659=N$1, ($A7659+$C7659) - MAX(IF($B$2:$B7658=$B7659, $A$2:$A7658+$C$2:$C7658)), "")*24*60, "")</f>
        <v/>
      </c>
      <c r="O7659" s="24" t="str" cm="1">
        <f t="array" ref="O7659">IFERROR(IF($B7659=O$1, ($A7659+$C7659) - MAX(IF($B$2:$B7658=$B7659, $A$2:$A7658+$C$2:$C7658)), "")*24*60, "")</f>
        <v/>
      </c>
      <c r="P7659" s="24" t="str" cm="1">
        <f t="array" ref="P7659">IFERROR(IF($B7659=P$1, ($A7659+$C7659) - MAX(IF($B$2:$B7658=$B7659, $A$2:$A7658+$C$2:$C7658)), "")*24*60, "")</f>
        <v/>
      </c>
      <c r="Q7659" s="24" t="str" cm="1">
        <f t="array" ref="Q7659">IFERROR(IF($B7659=Q$1, ($A7659+$C7659) - MAX(IF($B$2:$B7658=$B7659, $A$2:$A7658+$C$2:$C7658)), "")*24*60, "")</f>
        <v/>
      </c>
      <c r="R7659" s="24" t="str" cm="1">
        <f t="array" ref="R7659">IFERROR(IF($B7659=R$1, ($A7659+$C7659) - MAX(IF($B$2:$B7658=$B7659, $A$2:$A7658+$C$2:$C7658)), "")*24*60, "")</f>
        <v/>
      </c>
      <c r="S7659" s="24" t="str" cm="1">
        <f t="array" ref="S7659">IFERROR(IF($B7659=S$1, ($A7659+$C7659) - MAX(IF($B$2:$B7658=$B7659, $A$2:$A7658+$C$2:$C7658)), "")*24*60, "")</f>
        <v/>
      </c>
    </row>
    <row r="7660" spans="1:19" x14ac:dyDescent="0.2">
      <c r="A7660" s="12">
        <f t="shared" ref="A7660:C7660" si="1492">A7659</f>
        <v>46018</v>
      </c>
      <c r="B7660" s="5" t="str">
        <f t="shared" si="1492"/>
        <v>Northern Cardinal</v>
      </c>
      <c r="C7660" s="6">
        <f t="shared" si="1492"/>
        <v>0.29166666666666669</v>
      </c>
      <c r="D7660" s="5"/>
      <c r="E7660" s="5"/>
      <c r="F7660" s="5" t="s">
        <v>9</v>
      </c>
      <c r="G7660" s="15" t="s">
        <v>8</v>
      </c>
      <c r="H7660" s="24">
        <f t="shared" si="1475"/>
        <v>0</v>
      </c>
      <c r="I7660" s="24" cm="1">
        <f t="array" ref="I7660">IFERROR(IF($B7660=I$1, ($A7660+$C7660) - MAX(IF($B$2:$B7659=$B7660, $A$2:$A7659+$C$2:$C7659)), "")*24*60, "")</f>
        <v>0</v>
      </c>
      <c r="J7660" s="24" t="str" cm="1">
        <f t="array" ref="J7660">IFERROR(IF($B7660=J$1, ($A7660+$C7660) - MAX(IF($B$2:$B7659=$B7660, $A$2:$A7659+$C$2:$C7659)), "")*24*60, "")</f>
        <v/>
      </c>
      <c r="K7660" s="24" t="str" cm="1">
        <f t="array" ref="K7660">IFERROR(IF($B7660=K$1, ($A7660+$C7660) - MAX(IF($B$2:$B7659=$B7660, $A$2:$A7659+$C$2:$C7659)), "")*24*60, "")</f>
        <v/>
      </c>
      <c r="L7660" s="24" t="str" cm="1">
        <f t="array" ref="L7660">IFERROR(IF($B7660=L$1, ($A7660+$C7660) - MAX(IF($B$2:$B7659=$B7660, $A$2:$A7659+$C$2:$C7659)), "")*24*60, "")</f>
        <v/>
      </c>
      <c r="M7660" s="24" t="str" cm="1">
        <f t="array" ref="M7660">IFERROR(IF($B7660=M$1, ($A7660+$C7660) - MAX(IF($B$2:$B7659=$B7660, $A$2:$A7659+$C$2:$C7659)), "")*24*60, "")</f>
        <v/>
      </c>
      <c r="N7660" s="24" t="str" cm="1">
        <f t="array" ref="N7660">IFERROR(IF($B7660=N$1, ($A7660+$C7660) - MAX(IF($B$2:$B7659=$B7660, $A$2:$A7659+$C$2:$C7659)), "")*24*60, "")</f>
        <v/>
      </c>
      <c r="O7660" s="24" t="str" cm="1">
        <f t="array" ref="O7660">IFERROR(IF($B7660=O$1, ($A7660+$C7660) - MAX(IF($B$2:$B7659=$B7660, $A$2:$A7659+$C$2:$C7659)), "")*24*60, "")</f>
        <v/>
      </c>
      <c r="P7660" s="24" t="str" cm="1">
        <f t="array" ref="P7660">IFERROR(IF($B7660=P$1, ($A7660+$C7660) - MAX(IF($B$2:$B7659=$B7660, $A$2:$A7659+$C$2:$C7659)), "")*24*60, "")</f>
        <v/>
      </c>
      <c r="Q7660" s="24" t="str" cm="1">
        <f t="array" ref="Q7660">IFERROR(IF($B7660=Q$1, ($A7660+$C7660) - MAX(IF($B$2:$B7659=$B7660, $A$2:$A7659+$C$2:$C7659)), "")*24*60, "")</f>
        <v/>
      </c>
      <c r="R7660" s="24" t="str" cm="1">
        <f t="array" ref="R7660">IFERROR(IF($B7660=R$1, ($A7660+$C7660) - MAX(IF($B$2:$B7659=$B7660, $A$2:$A7659+$C$2:$C7659)), "")*24*60, "")</f>
        <v/>
      </c>
      <c r="S7660" s="24" t="str" cm="1">
        <f t="array" ref="S7660">IFERROR(IF($B7660=S$1, ($A7660+$C7660) - MAX(IF($B$2:$B7659=$B7660, $A$2:$A7659+$C$2:$C7659)), "")*24*60, "")</f>
        <v/>
      </c>
    </row>
    <row r="7661" spans="1:19" x14ac:dyDescent="0.2">
      <c r="A7661" s="12">
        <f t="shared" ref="A7661:C7661" si="1493">A7660</f>
        <v>46018</v>
      </c>
      <c r="B7661" s="5" t="str">
        <f t="shared" si="1493"/>
        <v>Northern Cardinal</v>
      </c>
      <c r="C7661" s="6">
        <f t="shared" si="1493"/>
        <v>0.29166666666666669</v>
      </c>
      <c r="D7661" s="5"/>
      <c r="E7661" s="5"/>
      <c r="F7661" s="5" t="s">
        <v>9</v>
      </c>
      <c r="G7661" s="15" t="s">
        <v>8</v>
      </c>
      <c r="H7661" s="24">
        <f t="shared" si="1475"/>
        <v>0</v>
      </c>
      <c r="I7661" s="24" cm="1">
        <f t="array" ref="I7661">IFERROR(IF($B7661=I$1, ($A7661+$C7661) - MAX(IF($B$2:$B7660=$B7661, $A$2:$A7660+$C$2:$C7660)), "")*24*60, "")</f>
        <v>0</v>
      </c>
      <c r="J7661" s="24" t="str" cm="1">
        <f t="array" ref="J7661">IFERROR(IF($B7661=J$1, ($A7661+$C7661) - MAX(IF($B$2:$B7660=$B7661, $A$2:$A7660+$C$2:$C7660)), "")*24*60, "")</f>
        <v/>
      </c>
      <c r="K7661" s="24" t="str" cm="1">
        <f t="array" ref="K7661">IFERROR(IF($B7661=K$1, ($A7661+$C7661) - MAX(IF($B$2:$B7660=$B7661, $A$2:$A7660+$C$2:$C7660)), "")*24*60, "")</f>
        <v/>
      </c>
      <c r="L7661" s="24" t="str" cm="1">
        <f t="array" ref="L7661">IFERROR(IF($B7661=L$1, ($A7661+$C7661) - MAX(IF($B$2:$B7660=$B7661, $A$2:$A7660+$C$2:$C7660)), "")*24*60, "")</f>
        <v/>
      </c>
      <c r="M7661" s="24" t="str" cm="1">
        <f t="array" ref="M7661">IFERROR(IF($B7661=M$1, ($A7661+$C7661) - MAX(IF($B$2:$B7660=$B7661, $A$2:$A7660+$C$2:$C7660)), "")*24*60, "")</f>
        <v/>
      </c>
      <c r="N7661" s="24" t="str" cm="1">
        <f t="array" ref="N7661">IFERROR(IF($B7661=N$1, ($A7661+$C7661) - MAX(IF($B$2:$B7660=$B7661, $A$2:$A7660+$C$2:$C7660)), "")*24*60, "")</f>
        <v/>
      </c>
      <c r="O7661" s="24" t="str" cm="1">
        <f t="array" ref="O7661">IFERROR(IF($B7661=O$1, ($A7661+$C7661) - MAX(IF($B$2:$B7660=$B7661, $A$2:$A7660+$C$2:$C7660)), "")*24*60, "")</f>
        <v/>
      </c>
      <c r="P7661" s="24" t="str" cm="1">
        <f t="array" ref="P7661">IFERROR(IF($B7661=P$1, ($A7661+$C7661) - MAX(IF($B$2:$B7660=$B7661, $A$2:$A7660+$C$2:$C7660)), "")*24*60, "")</f>
        <v/>
      </c>
      <c r="Q7661" s="24" t="str" cm="1">
        <f t="array" ref="Q7661">IFERROR(IF($B7661=Q$1, ($A7661+$C7661) - MAX(IF($B$2:$B7660=$B7661, $A$2:$A7660+$C$2:$C7660)), "")*24*60, "")</f>
        <v/>
      </c>
      <c r="R7661" s="24" t="str" cm="1">
        <f t="array" ref="R7661">IFERROR(IF($B7661=R$1, ($A7661+$C7661) - MAX(IF($B$2:$B7660=$B7661, $A$2:$A7660+$C$2:$C7660)), "")*24*60, "")</f>
        <v/>
      </c>
      <c r="S7661" s="24" t="str" cm="1">
        <f t="array" ref="S7661">IFERROR(IF($B7661=S$1, ($A7661+$C7661) - MAX(IF($B$2:$B7660=$B7661, $A$2:$A7660+$C$2:$C7660)), "")*24*60, "")</f>
        <v/>
      </c>
    </row>
    <row r="7662" spans="1:19" x14ac:dyDescent="0.2">
      <c r="A7662" s="12">
        <f t="shared" ref="A7662:C7662" si="1494">A7661</f>
        <v>46018</v>
      </c>
      <c r="B7662" s="5" t="str">
        <f t="shared" si="1494"/>
        <v>Northern Cardinal</v>
      </c>
      <c r="C7662" s="6">
        <f t="shared" si="1494"/>
        <v>0.29166666666666669</v>
      </c>
      <c r="D7662" s="5"/>
      <c r="E7662" s="5"/>
      <c r="F7662" s="5" t="s">
        <v>9</v>
      </c>
      <c r="G7662" s="15" t="s">
        <v>8</v>
      </c>
      <c r="H7662" s="24">
        <f t="shared" si="1475"/>
        <v>0</v>
      </c>
      <c r="I7662" s="24" cm="1">
        <f t="array" ref="I7662">IFERROR(IF($B7662=I$1, ($A7662+$C7662) - MAX(IF($B$2:$B7661=$B7662, $A$2:$A7661+$C$2:$C7661)), "")*24*60, "")</f>
        <v>0</v>
      </c>
      <c r="J7662" s="24" t="str" cm="1">
        <f t="array" ref="J7662">IFERROR(IF($B7662=J$1, ($A7662+$C7662) - MAX(IF($B$2:$B7661=$B7662, $A$2:$A7661+$C$2:$C7661)), "")*24*60, "")</f>
        <v/>
      </c>
      <c r="K7662" s="24" t="str" cm="1">
        <f t="array" ref="K7662">IFERROR(IF($B7662=K$1, ($A7662+$C7662) - MAX(IF($B$2:$B7661=$B7662, $A$2:$A7661+$C$2:$C7661)), "")*24*60, "")</f>
        <v/>
      </c>
      <c r="L7662" s="24" t="str" cm="1">
        <f t="array" ref="L7662">IFERROR(IF($B7662=L$1, ($A7662+$C7662) - MAX(IF($B$2:$B7661=$B7662, $A$2:$A7661+$C$2:$C7661)), "")*24*60, "")</f>
        <v/>
      </c>
      <c r="M7662" s="24" t="str" cm="1">
        <f t="array" ref="M7662">IFERROR(IF($B7662=M$1, ($A7662+$C7662) - MAX(IF($B$2:$B7661=$B7662, $A$2:$A7661+$C$2:$C7661)), "")*24*60, "")</f>
        <v/>
      </c>
      <c r="N7662" s="24" t="str" cm="1">
        <f t="array" ref="N7662">IFERROR(IF($B7662=N$1, ($A7662+$C7662) - MAX(IF($B$2:$B7661=$B7662, $A$2:$A7661+$C$2:$C7661)), "")*24*60, "")</f>
        <v/>
      </c>
      <c r="O7662" s="24" t="str" cm="1">
        <f t="array" ref="O7662">IFERROR(IF($B7662=O$1, ($A7662+$C7662) - MAX(IF($B$2:$B7661=$B7662, $A$2:$A7661+$C$2:$C7661)), "")*24*60, "")</f>
        <v/>
      </c>
      <c r="P7662" s="24" t="str" cm="1">
        <f t="array" ref="P7662">IFERROR(IF($B7662=P$1, ($A7662+$C7662) - MAX(IF($B$2:$B7661=$B7662, $A$2:$A7661+$C$2:$C7661)), "")*24*60, "")</f>
        <v/>
      </c>
      <c r="Q7662" s="24" t="str" cm="1">
        <f t="array" ref="Q7662">IFERROR(IF($B7662=Q$1, ($A7662+$C7662) - MAX(IF($B$2:$B7661=$B7662, $A$2:$A7661+$C$2:$C7661)), "")*24*60, "")</f>
        <v/>
      </c>
      <c r="R7662" s="24" t="str" cm="1">
        <f t="array" ref="R7662">IFERROR(IF($B7662=R$1, ($A7662+$C7662) - MAX(IF($B$2:$B7661=$B7662, $A$2:$A7661+$C$2:$C7661)), "")*24*60, "")</f>
        <v/>
      </c>
      <c r="S7662" s="24" t="str" cm="1">
        <f t="array" ref="S7662">IFERROR(IF($B7662=S$1, ($A7662+$C7662) - MAX(IF($B$2:$B7661=$B7662, $A$2:$A7661+$C$2:$C7661)), "")*24*60, "")</f>
        <v/>
      </c>
    </row>
    <row r="7663" spans="1:19" x14ac:dyDescent="0.2">
      <c r="A7663" s="12">
        <f t="shared" ref="A7663:C7663" si="1495">A7662</f>
        <v>46018</v>
      </c>
      <c r="B7663" s="5" t="str">
        <f t="shared" si="1495"/>
        <v>Northern Cardinal</v>
      </c>
      <c r="C7663" s="6">
        <f t="shared" si="1495"/>
        <v>0.29166666666666669</v>
      </c>
      <c r="D7663" s="5"/>
      <c r="E7663" s="5"/>
      <c r="F7663" s="5" t="s">
        <v>9</v>
      </c>
      <c r="G7663" s="15" t="s">
        <v>8</v>
      </c>
      <c r="H7663" s="24">
        <f t="shared" si="1475"/>
        <v>0</v>
      </c>
      <c r="I7663" s="24" cm="1">
        <f t="array" ref="I7663">IFERROR(IF($B7663=I$1, ($A7663+$C7663) - MAX(IF($B$2:$B7662=$B7663, $A$2:$A7662+$C$2:$C7662)), "")*24*60, "")</f>
        <v>0</v>
      </c>
      <c r="J7663" s="24" t="str" cm="1">
        <f t="array" ref="J7663">IFERROR(IF($B7663=J$1, ($A7663+$C7663) - MAX(IF($B$2:$B7662=$B7663, $A$2:$A7662+$C$2:$C7662)), "")*24*60, "")</f>
        <v/>
      </c>
      <c r="K7663" s="24" t="str" cm="1">
        <f t="array" ref="K7663">IFERROR(IF($B7663=K$1, ($A7663+$C7663) - MAX(IF($B$2:$B7662=$B7663, $A$2:$A7662+$C$2:$C7662)), "")*24*60, "")</f>
        <v/>
      </c>
      <c r="L7663" s="24" t="str" cm="1">
        <f t="array" ref="L7663">IFERROR(IF($B7663=L$1, ($A7663+$C7663) - MAX(IF($B$2:$B7662=$B7663, $A$2:$A7662+$C$2:$C7662)), "")*24*60, "")</f>
        <v/>
      </c>
      <c r="M7663" s="24" t="str" cm="1">
        <f t="array" ref="M7663">IFERROR(IF($B7663=M$1, ($A7663+$C7663) - MAX(IF($B$2:$B7662=$B7663, $A$2:$A7662+$C$2:$C7662)), "")*24*60, "")</f>
        <v/>
      </c>
      <c r="N7663" s="24" t="str" cm="1">
        <f t="array" ref="N7663">IFERROR(IF($B7663=N$1, ($A7663+$C7663) - MAX(IF($B$2:$B7662=$B7663, $A$2:$A7662+$C$2:$C7662)), "")*24*60, "")</f>
        <v/>
      </c>
      <c r="O7663" s="24" t="str" cm="1">
        <f t="array" ref="O7663">IFERROR(IF($B7663=O$1, ($A7663+$C7663) - MAX(IF($B$2:$B7662=$B7663, $A$2:$A7662+$C$2:$C7662)), "")*24*60, "")</f>
        <v/>
      </c>
      <c r="P7663" s="24" t="str" cm="1">
        <f t="array" ref="P7663">IFERROR(IF($B7663=P$1, ($A7663+$C7663) - MAX(IF($B$2:$B7662=$B7663, $A$2:$A7662+$C$2:$C7662)), "")*24*60, "")</f>
        <v/>
      </c>
      <c r="Q7663" s="24" t="str" cm="1">
        <f t="array" ref="Q7663">IFERROR(IF($B7663=Q$1, ($A7663+$C7663) - MAX(IF($B$2:$B7662=$B7663, $A$2:$A7662+$C$2:$C7662)), "")*24*60, "")</f>
        <v/>
      </c>
      <c r="R7663" s="24" t="str" cm="1">
        <f t="array" ref="R7663">IFERROR(IF($B7663=R$1, ($A7663+$C7663) - MAX(IF($B$2:$B7662=$B7663, $A$2:$A7662+$C$2:$C7662)), "")*24*60, "")</f>
        <v/>
      </c>
      <c r="S7663" s="24" t="str" cm="1">
        <f t="array" ref="S7663">IFERROR(IF($B7663=S$1, ($A7663+$C7663) - MAX(IF($B$2:$B7662=$B7663, $A$2:$A7662+$C$2:$C7662)), "")*24*60, "")</f>
        <v/>
      </c>
    </row>
    <row r="7664" spans="1:19" x14ac:dyDescent="0.2">
      <c r="A7664" s="12">
        <f t="shared" ref="A7664:C7664" si="1496">A7663</f>
        <v>46018</v>
      </c>
      <c r="B7664" s="5" t="str">
        <f t="shared" si="1496"/>
        <v>Northern Cardinal</v>
      </c>
      <c r="C7664" s="6">
        <f t="shared" si="1496"/>
        <v>0.29166666666666669</v>
      </c>
      <c r="D7664" s="5"/>
      <c r="E7664" s="5"/>
      <c r="F7664" s="5" t="s">
        <v>9</v>
      </c>
      <c r="G7664" s="15" t="s">
        <v>8</v>
      </c>
      <c r="H7664" s="24">
        <f t="shared" si="1475"/>
        <v>0</v>
      </c>
      <c r="I7664" s="24" cm="1">
        <f t="array" ref="I7664">IFERROR(IF($B7664=I$1, ($A7664+$C7664) - MAX(IF($B$2:$B7663=$B7664, $A$2:$A7663+$C$2:$C7663)), "")*24*60, "")</f>
        <v>0</v>
      </c>
      <c r="J7664" s="24" t="str" cm="1">
        <f t="array" ref="J7664">IFERROR(IF($B7664=J$1, ($A7664+$C7664) - MAX(IF($B$2:$B7663=$B7664, $A$2:$A7663+$C$2:$C7663)), "")*24*60, "")</f>
        <v/>
      </c>
      <c r="K7664" s="24" t="str" cm="1">
        <f t="array" ref="K7664">IFERROR(IF($B7664=K$1, ($A7664+$C7664) - MAX(IF($B$2:$B7663=$B7664, $A$2:$A7663+$C$2:$C7663)), "")*24*60, "")</f>
        <v/>
      </c>
      <c r="L7664" s="24" t="str" cm="1">
        <f t="array" ref="L7664">IFERROR(IF($B7664=L$1, ($A7664+$C7664) - MAX(IF($B$2:$B7663=$B7664, $A$2:$A7663+$C$2:$C7663)), "")*24*60, "")</f>
        <v/>
      </c>
      <c r="M7664" s="24" t="str" cm="1">
        <f t="array" ref="M7664">IFERROR(IF($B7664=M$1, ($A7664+$C7664) - MAX(IF($B$2:$B7663=$B7664, $A$2:$A7663+$C$2:$C7663)), "")*24*60, "")</f>
        <v/>
      </c>
      <c r="N7664" s="24" t="str" cm="1">
        <f t="array" ref="N7664">IFERROR(IF($B7664=N$1, ($A7664+$C7664) - MAX(IF($B$2:$B7663=$B7664, $A$2:$A7663+$C$2:$C7663)), "")*24*60, "")</f>
        <v/>
      </c>
      <c r="O7664" s="24" t="str" cm="1">
        <f t="array" ref="O7664">IFERROR(IF($B7664=O$1, ($A7664+$C7664) - MAX(IF($B$2:$B7663=$B7664, $A$2:$A7663+$C$2:$C7663)), "")*24*60, "")</f>
        <v/>
      </c>
      <c r="P7664" s="24" t="str" cm="1">
        <f t="array" ref="P7664">IFERROR(IF($B7664=P$1, ($A7664+$C7664) - MAX(IF($B$2:$B7663=$B7664, $A$2:$A7663+$C$2:$C7663)), "")*24*60, "")</f>
        <v/>
      </c>
      <c r="Q7664" s="24" t="str" cm="1">
        <f t="array" ref="Q7664">IFERROR(IF($B7664=Q$1, ($A7664+$C7664) - MAX(IF($B$2:$B7663=$B7664, $A$2:$A7663+$C$2:$C7663)), "")*24*60, "")</f>
        <v/>
      </c>
      <c r="R7664" s="24" t="str" cm="1">
        <f t="array" ref="R7664">IFERROR(IF($B7664=R$1, ($A7664+$C7664) - MAX(IF($B$2:$B7663=$B7664, $A$2:$A7663+$C$2:$C7663)), "")*24*60, "")</f>
        <v/>
      </c>
      <c r="S7664" s="24" t="str" cm="1">
        <f t="array" ref="S7664">IFERROR(IF($B7664=S$1, ($A7664+$C7664) - MAX(IF($B$2:$B7663=$B7664, $A$2:$A7663+$C$2:$C7663)), "")*24*60, "")</f>
        <v/>
      </c>
    </row>
    <row r="7665" spans="1:19" x14ac:dyDescent="0.2">
      <c r="A7665" s="12">
        <f t="shared" ref="A7665:C7665" si="1497">A7664</f>
        <v>46018</v>
      </c>
      <c r="B7665" s="5" t="str">
        <f t="shared" si="1497"/>
        <v>Northern Cardinal</v>
      </c>
      <c r="C7665" s="6">
        <f t="shared" si="1497"/>
        <v>0.29166666666666669</v>
      </c>
      <c r="D7665" s="5"/>
      <c r="E7665" s="5"/>
      <c r="F7665" s="5" t="s">
        <v>9</v>
      </c>
      <c r="G7665" s="15" t="s">
        <v>8</v>
      </c>
      <c r="H7665" s="24">
        <f t="shared" si="1475"/>
        <v>0</v>
      </c>
      <c r="I7665" s="24" cm="1">
        <f t="array" ref="I7665">IFERROR(IF($B7665=I$1, ($A7665+$C7665) - MAX(IF($B$2:$B7664=$B7665, $A$2:$A7664+$C$2:$C7664)), "")*24*60, "")</f>
        <v>0</v>
      </c>
      <c r="J7665" s="24" t="str" cm="1">
        <f t="array" ref="J7665">IFERROR(IF($B7665=J$1, ($A7665+$C7665) - MAX(IF($B$2:$B7664=$B7665, $A$2:$A7664+$C$2:$C7664)), "")*24*60, "")</f>
        <v/>
      </c>
      <c r="K7665" s="24" t="str" cm="1">
        <f t="array" ref="K7665">IFERROR(IF($B7665=K$1, ($A7665+$C7665) - MAX(IF($B$2:$B7664=$B7665, $A$2:$A7664+$C$2:$C7664)), "")*24*60, "")</f>
        <v/>
      </c>
      <c r="L7665" s="24" t="str" cm="1">
        <f t="array" ref="L7665">IFERROR(IF($B7665=L$1, ($A7665+$C7665) - MAX(IF($B$2:$B7664=$B7665, $A$2:$A7664+$C$2:$C7664)), "")*24*60, "")</f>
        <v/>
      </c>
      <c r="M7665" s="24" t="str" cm="1">
        <f t="array" ref="M7665">IFERROR(IF($B7665=M$1, ($A7665+$C7665) - MAX(IF($B$2:$B7664=$B7665, $A$2:$A7664+$C$2:$C7664)), "")*24*60, "")</f>
        <v/>
      </c>
      <c r="N7665" s="24" t="str" cm="1">
        <f t="array" ref="N7665">IFERROR(IF($B7665=N$1, ($A7665+$C7665) - MAX(IF($B$2:$B7664=$B7665, $A$2:$A7664+$C$2:$C7664)), "")*24*60, "")</f>
        <v/>
      </c>
      <c r="O7665" s="24" t="str" cm="1">
        <f t="array" ref="O7665">IFERROR(IF($B7665=O$1, ($A7665+$C7665) - MAX(IF($B$2:$B7664=$B7665, $A$2:$A7664+$C$2:$C7664)), "")*24*60, "")</f>
        <v/>
      </c>
      <c r="P7665" s="24" t="str" cm="1">
        <f t="array" ref="P7665">IFERROR(IF($B7665=P$1, ($A7665+$C7665) - MAX(IF($B$2:$B7664=$B7665, $A$2:$A7664+$C$2:$C7664)), "")*24*60, "")</f>
        <v/>
      </c>
      <c r="Q7665" s="24" t="str" cm="1">
        <f t="array" ref="Q7665">IFERROR(IF($B7665=Q$1, ($A7665+$C7665) - MAX(IF($B$2:$B7664=$B7665, $A$2:$A7664+$C$2:$C7664)), "")*24*60, "")</f>
        <v/>
      </c>
      <c r="R7665" s="24" t="str" cm="1">
        <f t="array" ref="R7665">IFERROR(IF($B7665=R$1, ($A7665+$C7665) - MAX(IF($B$2:$B7664=$B7665, $A$2:$A7664+$C$2:$C7664)), "")*24*60, "")</f>
        <v/>
      </c>
      <c r="S7665" s="24" t="str" cm="1">
        <f t="array" ref="S7665">IFERROR(IF($B7665=S$1, ($A7665+$C7665) - MAX(IF($B$2:$B7664=$B7665, $A$2:$A7664+$C$2:$C7664)), "")*24*60, "")</f>
        <v/>
      </c>
    </row>
    <row r="7666" spans="1:19" x14ac:dyDescent="0.2">
      <c r="A7666" s="12">
        <f t="shared" ref="A7666:C7666" si="1498">A7665</f>
        <v>46018</v>
      </c>
      <c r="B7666" s="5" t="str">
        <f t="shared" si="1498"/>
        <v>Northern Cardinal</v>
      </c>
      <c r="C7666" s="6">
        <f t="shared" si="1498"/>
        <v>0.29166666666666669</v>
      </c>
      <c r="D7666" s="5"/>
      <c r="E7666" s="5"/>
      <c r="F7666" s="5" t="s">
        <v>9</v>
      </c>
      <c r="G7666" s="15" t="s">
        <v>8</v>
      </c>
      <c r="H7666" s="24">
        <f t="shared" si="1475"/>
        <v>0</v>
      </c>
      <c r="I7666" s="24" cm="1">
        <f t="array" ref="I7666">IFERROR(IF($B7666=I$1, ($A7666+$C7666) - MAX(IF($B$2:$B7665=$B7666, $A$2:$A7665+$C$2:$C7665)), "")*24*60, "")</f>
        <v>0</v>
      </c>
      <c r="J7666" s="24" t="str" cm="1">
        <f t="array" ref="J7666">IFERROR(IF($B7666=J$1, ($A7666+$C7666) - MAX(IF($B$2:$B7665=$B7666, $A$2:$A7665+$C$2:$C7665)), "")*24*60, "")</f>
        <v/>
      </c>
      <c r="K7666" s="24" t="str" cm="1">
        <f t="array" ref="K7666">IFERROR(IF($B7666=K$1, ($A7666+$C7666) - MAX(IF($B$2:$B7665=$B7666, $A$2:$A7665+$C$2:$C7665)), "")*24*60, "")</f>
        <v/>
      </c>
      <c r="L7666" s="24" t="str" cm="1">
        <f t="array" ref="L7666">IFERROR(IF($B7666=L$1, ($A7666+$C7666) - MAX(IF($B$2:$B7665=$B7666, $A$2:$A7665+$C$2:$C7665)), "")*24*60, "")</f>
        <v/>
      </c>
      <c r="M7666" s="24" t="str" cm="1">
        <f t="array" ref="M7666">IFERROR(IF($B7666=M$1, ($A7666+$C7666) - MAX(IF($B$2:$B7665=$B7666, $A$2:$A7665+$C$2:$C7665)), "")*24*60, "")</f>
        <v/>
      </c>
      <c r="N7666" s="24" t="str" cm="1">
        <f t="array" ref="N7666">IFERROR(IF($B7666=N$1, ($A7666+$C7666) - MAX(IF($B$2:$B7665=$B7666, $A$2:$A7665+$C$2:$C7665)), "")*24*60, "")</f>
        <v/>
      </c>
      <c r="O7666" s="24" t="str" cm="1">
        <f t="array" ref="O7666">IFERROR(IF($B7666=O$1, ($A7666+$C7666) - MAX(IF($B$2:$B7665=$B7666, $A$2:$A7665+$C$2:$C7665)), "")*24*60, "")</f>
        <v/>
      </c>
      <c r="P7666" s="24" t="str" cm="1">
        <f t="array" ref="P7666">IFERROR(IF($B7666=P$1, ($A7666+$C7666) - MAX(IF($B$2:$B7665=$B7666, $A$2:$A7665+$C$2:$C7665)), "")*24*60, "")</f>
        <v/>
      </c>
      <c r="Q7666" s="24" t="str" cm="1">
        <f t="array" ref="Q7666">IFERROR(IF($B7666=Q$1, ($A7666+$C7666) - MAX(IF($B$2:$B7665=$B7666, $A$2:$A7665+$C$2:$C7665)), "")*24*60, "")</f>
        <v/>
      </c>
      <c r="R7666" s="24" t="str" cm="1">
        <f t="array" ref="R7666">IFERROR(IF($B7666=R$1, ($A7666+$C7666) - MAX(IF($B$2:$B7665=$B7666, $A$2:$A7665+$C$2:$C7665)), "")*24*60, "")</f>
        <v/>
      </c>
      <c r="S7666" s="24" t="str" cm="1">
        <f t="array" ref="S7666">IFERROR(IF($B7666=S$1, ($A7666+$C7666) - MAX(IF($B$2:$B7665=$B7666, $A$2:$A7665+$C$2:$C7665)), "")*24*60, "")</f>
        <v/>
      </c>
    </row>
    <row r="7667" spans="1:19" x14ac:dyDescent="0.2">
      <c r="A7667" s="12">
        <f t="shared" ref="A7667:C7667" si="1499">A7666</f>
        <v>46018</v>
      </c>
      <c r="B7667" s="5" t="str">
        <f t="shared" si="1499"/>
        <v>Northern Cardinal</v>
      </c>
      <c r="C7667" s="6">
        <f t="shared" si="1499"/>
        <v>0.29166666666666669</v>
      </c>
      <c r="D7667" s="5"/>
      <c r="E7667" s="5"/>
      <c r="F7667" s="5" t="s">
        <v>9</v>
      </c>
      <c r="G7667" s="15" t="s">
        <v>8</v>
      </c>
      <c r="H7667" s="24">
        <f t="shared" si="1475"/>
        <v>0</v>
      </c>
      <c r="I7667" s="24" cm="1">
        <f t="array" ref="I7667">IFERROR(IF($B7667=I$1, ($A7667+$C7667) - MAX(IF($B$2:$B7666=$B7667, $A$2:$A7666+$C$2:$C7666)), "")*24*60, "")</f>
        <v>0</v>
      </c>
      <c r="J7667" s="24" t="str" cm="1">
        <f t="array" ref="J7667">IFERROR(IF($B7667=J$1, ($A7667+$C7667) - MAX(IF($B$2:$B7666=$B7667, $A$2:$A7666+$C$2:$C7666)), "")*24*60, "")</f>
        <v/>
      </c>
      <c r="K7667" s="24" t="str" cm="1">
        <f t="array" ref="K7667">IFERROR(IF($B7667=K$1, ($A7667+$C7667) - MAX(IF($B$2:$B7666=$B7667, $A$2:$A7666+$C$2:$C7666)), "")*24*60, "")</f>
        <v/>
      </c>
      <c r="L7667" s="24" t="str" cm="1">
        <f t="array" ref="L7667">IFERROR(IF($B7667=L$1, ($A7667+$C7667) - MAX(IF($B$2:$B7666=$B7667, $A$2:$A7666+$C$2:$C7666)), "")*24*60, "")</f>
        <v/>
      </c>
      <c r="M7667" s="24" t="str" cm="1">
        <f t="array" ref="M7667">IFERROR(IF($B7667=M$1, ($A7667+$C7667) - MAX(IF($B$2:$B7666=$B7667, $A$2:$A7666+$C$2:$C7666)), "")*24*60, "")</f>
        <v/>
      </c>
      <c r="N7667" s="24" t="str" cm="1">
        <f t="array" ref="N7667">IFERROR(IF($B7667=N$1, ($A7667+$C7667) - MAX(IF($B$2:$B7666=$B7667, $A$2:$A7666+$C$2:$C7666)), "")*24*60, "")</f>
        <v/>
      </c>
      <c r="O7667" s="24" t="str" cm="1">
        <f t="array" ref="O7667">IFERROR(IF($B7667=O$1, ($A7667+$C7667) - MAX(IF($B$2:$B7666=$B7667, $A$2:$A7666+$C$2:$C7666)), "")*24*60, "")</f>
        <v/>
      </c>
      <c r="P7667" s="24" t="str" cm="1">
        <f t="array" ref="P7667">IFERROR(IF($B7667=P$1, ($A7667+$C7667) - MAX(IF($B$2:$B7666=$B7667, $A$2:$A7666+$C$2:$C7666)), "")*24*60, "")</f>
        <v/>
      </c>
      <c r="Q7667" s="24" t="str" cm="1">
        <f t="array" ref="Q7667">IFERROR(IF($B7667=Q$1, ($A7667+$C7667) - MAX(IF($B$2:$B7666=$B7667, $A$2:$A7666+$C$2:$C7666)), "")*24*60, "")</f>
        <v/>
      </c>
      <c r="R7667" s="24" t="str" cm="1">
        <f t="array" ref="R7667">IFERROR(IF($B7667=R$1, ($A7667+$C7667) - MAX(IF($B$2:$B7666=$B7667, $A$2:$A7666+$C$2:$C7666)), "")*24*60, "")</f>
        <v/>
      </c>
      <c r="S7667" s="24" t="str" cm="1">
        <f t="array" ref="S7667">IFERROR(IF($B7667=S$1, ($A7667+$C7667) - MAX(IF($B$2:$B7666=$B7667, $A$2:$A7666+$C$2:$C7666)), "")*24*60, "")</f>
        <v/>
      </c>
    </row>
    <row r="7668" spans="1:19" x14ac:dyDescent="0.2">
      <c r="A7668" s="12">
        <f t="shared" ref="A7668:C7668" si="1500">A7667</f>
        <v>46018</v>
      </c>
      <c r="B7668" s="5" t="str">
        <f t="shared" si="1500"/>
        <v>Northern Cardinal</v>
      </c>
      <c r="C7668" s="6">
        <f t="shared" si="1500"/>
        <v>0.29166666666666669</v>
      </c>
      <c r="D7668" s="5"/>
      <c r="E7668" s="5"/>
      <c r="F7668" s="5" t="s">
        <v>9</v>
      </c>
      <c r="G7668" s="15" t="s">
        <v>8</v>
      </c>
      <c r="H7668" s="24">
        <f t="shared" si="1475"/>
        <v>0</v>
      </c>
      <c r="I7668" s="24" cm="1">
        <f t="array" ref="I7668">IFERROR(IF($B7668=I$1, ($A7668+$C7668) - MAX(IF($B$2:$B7667=$B7668, $A$2:$A7667+$C$2:$C7667)), "")*24*60, "")</f>
        <v>0</v>
      </c>
      <c r="J7668" s="24" t="str" cm="1">
        <f t="array" ref="J7668">IFERROR(IF($B7668=J$1, ($A7668+$C7668) - MAX(IF($B$2:$B7667=$B7668, $A$2:$A7667+$C$2:$C7667)), "")*24*60, "")</f>
        <v/>
      </c>
      <c r="K7668" s="24" t="str" cm="1">
        <f t="array" ref="K7668">IFERROR(IF($B7668=K$1, ($A7668+$C7668) - MAX(IF($B$2:$B7667=$B7668, $A$2:$A7667+$C$2:$C7667)), "")*24*60, "")</f>
        <v/>
      </c>
      <c r="L7668" s="24" t="str" cm="1">
        <f t="array" ref="L7668">IFERROR(IF($B7668=L$1, ($A7668+$C7668) - MAX(IF($B$2:$B7667=$B7668, $A$2:$A7667+$C$2:$C7667)), "")*24*60, "")</f>
        <v/>
      </c>
      <c r="M7668" s="24" t="str" cm="1">
        <f t="array" ref="M7668">IFERROR(IF($B7668=M$1, ($A7668+$C7668) - MAX(IF($B$2:$B7667=$B7668, $A$2:$A7667+$C$2:$C7667)), "")*24*60, "")</f>
        <v/>
      </c>
      <c r="N7668" s="24" t="str" cm="1">
        <f t="array" ref="N7668">IFERROR(IF($B7668=N$1, ($A7668+$C7668) - MAX(IF($B$2:$B7667=$B7668, $A$2:$A7667+$C$2:$C7667)), "")*24*60, "")</f>
        <v/>
      </c>
      <c r="O7668" s="24" t="str" cm="1">
        <f t="array" ref="O7668">IFERROR(IF($B7668=O$1, ($A7668+$C7668) - MAX(IF($B$2:$B7667=$B7668, $A$2:$A7667+$C$2:$C7667)), "")*24*60, "")</f>
        <v/>
      </c>
      <c r="P7668" s="24" t="str" cm="1">
        <f t="array" ref="P7668">IFERROR(IF($B7668=P$1, ($A7668+$C7668) - MAX(IF($B$2:$B7667=$B7668, $A$2:$A7667+$C$2:$C7667)), "")*24*60, "")</f>
        <v/>
      </c>
      <c r="Q7668" s="24" t="str" cm="1">
        <f t="array" ref="Q7668">IFERROR(IF($B7668=Q$1, ($A7668+$C7668) - MAX(IF($B$2:$B7667=$B7668, $A$2:$A7667+$C$2:$C7667)), "")*24*60, "")</f>
        <v/>
      </c>
      <c r="R7668" s="24" t="str" cm="1">
        <f t="array" ref="R7668">IFERROR(IF($B7668=R$1, ($A7668+$C7668) - MAX(IF($B$2:$B7667=$B7668, $A$2:$A7667+$C$2:$C7667)), "")*24*60, "")</f>
        <v/>
      </c>
      <c r="S7668" s="24" t="str" cm="1">
        <f t="array" ref="S7668">IFERROR(IF($B7668=S$1, ($A7668+$C7668) - MAX(IF($B$2:$B7667=$B7668, $A$2:$A7667+$C$2:$C7667)), "")*24*60, "")</f>
        <v/>
      </c>
    </row>
    <row r="7669" spans="1:19" x14ac:dyDescent="0.2">
      <c r="A7669" s="12">
        <f t="shared" ref="A7669:C7669" si="1501">A7668</f>
        <v>46018</v>
      </c>
      <c r="B7669" s="5" t="str">
        <f t="shared" si="1501"/>
        <v>Northern Cardinal</v>
      </c>
      <c r="C7669" s="6">
        <f t="shared" si="1501"/>
        <v>0.29166666666666669</v>
      </c>
      <c r="D7669" s="5"/>
      <c r="E7669" s="5"/>
      <c r="F7669" s="5" t="s">
        <v>9</v>
      </c>
      <c r="G7669" s="15" t="s">
        <v>8</v>
      </c>
      <c r="H7669" s="24">
        <f t="shared" si="1475"/>
        <v>0</v>
      </c>
      <c r="I7669" s="24" cm="1">
        <f t="array" ref="I7669">IFERROR(IF($B7669=I$1, ($A7669+$C7669) - MAX(IF($B$2:$B7668=$B7669, $A$2:$A7668+$C$2:$C7668)), "")*24*60, "")</f>
        <v>0</v>
      </c>
      <c r="J7669" s="24" t="str" cm="1">
        <f t="array" ref="J7669">IFERROR(IF($B7669=J$1, ($A7669+$C7669) - MAX(IF($B$2:$B7668=$B7669, $A$2:$A7668+$C$2:$C7668)), "")*24*60, "")</f>
        <v/>
      </c>
      <c r="K7669" s="24" t="str" cm="1">
        <f t="array" ref="K7669">IFERROR(IF($B7669=K$1, ($A7669+$C7669) - MAX(IF($B$2:$B7668=$B7669, $A$2:$A7668+$C$2:$C7668)), "")*24*60, "")</f>
        <v/>
      </c>
      <c r="L7669" s="24" t="str" cm="1">
        <f t="array" ref="L7669">IFERROR(IF($B7669=L$1, ($A7669+$C7669) - MAX(IF($B$2:$B7668=$B7669, $A$2:$A7668+$C$2:$C7668)), "")*24*60, "")</f>
        <v/>
      </c>
      <c r="M7669" s="24" t="str" cm="1">
        <f t="array" ref="M7669">IFERROR(IF($B7669=M$1, ($A7669+$C7669) - MAX(IF($B$2:$B7668=$B7669, $A$2:$A7668+$C$2:$C7668)), "")*24*60, "")</f>
        <v/>
      </c>
      <c r="N7669" s="24" t="str" cm="1">
        <f t="array" ref="N7669">IFERROR(IF($B7669=N$1, ($A7669+$C7669) - MAX(IF($B$2:$B7668=$B7669, $A$2:$A7668+$C$2:$C7668)), "")*24*60, "")</f>
        <v/>
      </c>
      <c r="O7669" s="24" t="str" cm="1">
        <f t="array" ref="O7669">IFERROR(IF($B7669=O$1, ($A7669+$C7669) - MAX(IF($B$2:$B7668=$B7669, $A$2:$A7668+$C$2:$C7668)), "")*24*60, "")</f>
        <v/>
      </c>
      <c r="P7669" s="24" t="str" cm="1">
        <f t="array" ref="P7669">IFERROR(IF($B7669=P$1, ($A7669+$C7669) - MAX(IF($B$2:$B7668=$B7669, $A$2:$A7668+$C$2:$C7668)), "")*24*60, "")</f>
        <v/>
      </c>
      <c r="Q7669" s="24" t="str" cm="1">
        <f t="array" ref="Q7669">IFERROR(IF($B7669=Q$1, ($A7669+$C7669) - MAX(IF($B$2:$B7668=$B7669, $A$2:$A7668+$C$2:$C7668)), "")*24*60, "")</f>
        <v/>
      </c>
      <c r="R7669" s="24" t="str" cm="1">
        <f t="array" ref="R7669">IFERROR(IF($B7669=R$1, ($A7669+$C7669) - MAX(IF($B$2:$B7668=$B7669, $A$2:$A7668+$C$2:$C7668)), "")*24*60, "")</f>
        <v/>
      </c>
      <c r="S7669" s="24" t="str" cm="1">
        <f t="array" ref="S7669">IFERROR(IF($B7669=S$1, ($A7669+$C7669) - MAX(IF($B$2:$B7668=$B7669, $A$2:$A7668+$C$2:$C7668)), "")*24*60, "")</f>
        <v/>
      </c>
    </row>
    <row r="7670" spans="1:19" x14ac:dyDescent="0.2">
      <c r="A7670" s="12">
        <f t="shared" ref="A7670:C7670" si="1502">A7669</f>
        <v>46018</v>
      </c>
      <c r="B7670" s="5" t="str">
        <f t="shared" si="1502"/>
        <v>Northern Cardinal</v>
      </c>
      <c r="C7670" s="6">
        <f t="shared" si="1502"/>
        <v>0.29166666666666669</v>
      </c>
      <c r="D7670" s="5"/>
      <c r="E7670" s="5"/>
      <c r="F7670" s="5" t="s">
        <v>9</v>
      </c>
      <c r="G7670" s="15" t="s">
        <v>8</v>
      </c>
      <c r="H7670" s="24">
        <f t="shared" si="1475"/>
        <v>0</v>
      </c>
      <c r="I7670" s="24" cm="1">
        <f t="array" ref="I7670">IFERROR(IF($B7670=I$1, ($A7670+$C7670) - MAX(IF($B$2:$B7669=$B7670, $A$2:$A7669+$C$2:$C7669)), "")*24*60, "")</f>
        <v>0</v>
      </c>
      <c r="J7670" s="24" t="str" cm="1">
        <f t="array" ref="J7670">IFERROR(IF($B7670=J$1, ($A7670+$C7670) - MAX(IF($B$2:$B7669=$B7670, $A$2:$A7669+$C$2:$C7669)), "")*24*60, "")</f>
        <v/>
      </c>
      <c r="K7670" s="24" t="str" cm="1">
        <f t="array" ref="K7670">IFERROR(IF($B7670=K$1, ($A7670+$C7670) - MAX(IF($B$2:$B7669=$B7670, $A$2:$A7669+$C$2:$C7669)), "")*24*60, "")</f>
        <v/>
      </c>
      <c r="L7670" s="24" t="str" cm="1">
        <f t="array" ref="L7670">IFERROR(IF($B7670=L$1, ($A7670+$C7670) - MAX(IF($B$2:$B7669=$B7670, $A$2:$A7669+$C$2:$C7669)), "")*24*60, "")</f>
        <v/>
      </c>
      <c r="M7670" s="24" t="str" cm="1">
        <f t="array" ref="M7670">IFERROR(IF($B7670=M$1, ($A7670+$C7670) - MAX(IF($B$2:$B7669=$B7670, $A$2:$A7669+$C$2:$C7669)), "")*24*60, "")</f>
        <v/>
      </c>
      <c r="N7670" s="24" t="str" cm="1">
        <f t="array" ref="N7670">IFERROR(IF($B7670=N$1, ($A7670+$C7670) - MAX(IF($B$2:$B7669=$B7670, $A$2:$A7669+$C$2:$C7669)), "")*24*60, "")</f>
        <v/>
      </c>
      <c r="O7670" s="24" t="str" cm="1">
        <f t="array" ref="O7670">IFERROR(IF($B7670=O$1, ($A7670+$C7670) - MAX(IF($B$2:$B7669=$B7670, $A$2:$A7669+$C$2:$C7669)), "")*24*60, "")</f>
        <v/>
      </c>
      <c r="P7670" s="24" t="str" cm="1">
        <f t="array" ref="P7670">IFERROR(IF($B7670=P$1, ($A7670+$C7670) - MAX(IF($B$2:$B7669=$B7670, $A$2:$A7669+$C$2:$C7669)), "")*24*60, "")</f>
        <v/>
      </c>
      <c r="Q7670" s="24" t="str" cm="1">
        <f t="array" ref="Q7670">IFERROR(IF($B7670=Q$1, ($A7670+$C7670) - MAX(IF($B$2:$B7669=$B7670, $A$2:$A7669+$C$2:$C7669)), "")*24*60, "")</f>
        <v/>
      </c>
      <c r="R7670" s="24" t="str" cm="1">
        <f t="array" ref="R7670">IFERROR(IF($B7670=R$1, ($A7670+$C7670) - MAX(IF($B$2:$B7669=$B7670, $A$2:$A7669+$C$2:$C7669)), "")*24*60, "")</f>
        <v/>
      </c>
      <c r="S7670" s="24" t="str" cm="1">
        <f t="array" ref="S7670">IFERROR(IF($B7670=S$1, ($A7670+$C7670) - MAX(IF($B$2:$B7669=$B7670, $A$2:$A7669+$C$2:$C7669)), "")*24*60, "")</f>
        <v/>
      </c>
    </row>
    <row r="7671" spans="1:19" x14ac:dyDescent="0.2">
      <c r="A7671" s="12">
        <f t="shared" ref="A7671:C7671" si="1503">A7670</f>
        <v>46018</v>
      </c>
      <c r="B7671" s="5" t="str">
        <f t="shared" si="1503"/>
        <v>Northern Cardinal</v>
      </c>
      <c r="C7671" s="6">
        <f t="shared" si="1503"/>
        <v>0.29166666666666669</v>
      </c>
      <c r="D7671" s="5"/>
      <c r="E7671" s="5"/>
      <c r="F7671" s="5" t="s">
        <v>9</v>
      </c>
      <c r="G7671" s="15" t="s">
        <v>8</v>
      </c>
      <c r="H7671" s="24">
        <f t="shared" si="1475"/>
        <v>0</v>
      </c>
      <c r="I7671" s="24" cm="1">
        <f t="array" ref="I7671">IFERROR(IF($B7671=I$1, ($A7671+$C7671) - MAX(IF($B$2:$B7670=$B7671, $A$2:$A7670+$C$2:$C7670)), "")*24*60, "")</f>
        <v>0</v>
      </c>
      <c r="J7671" s="24" t="str" cm="1">
        <f t="array" ref="J7671">IFERROR(IF($B7671=J$1, ($A7671+$C7671) - MAX(IF($B$2:$B7670=$B7671, $A$2:$A7670+$C$2:$C7670)), "")*24*60, "")</f>
        <v/>
      </c>
      <c r="K7671" s="24" t="str" cm="1">
        <f t="array" ref="K7671">IFERROR(IF($B7671=K$1, ($A7671+$C7671) - MAX(IF($B$2:$B7670=$B7671, $A$2:$A7670+$C$2:$C7670)), "")*24*60, "")</f>
        <v/>
      </c>
      <c r="L7671" s="24" t="str" cm="1">
        <f t="array" ref="L7671">IFERROR(IF($B7671=L$1, ($A7671+$C7671) - MAX(IF($B$2:$B7670=$B7671, $A$2:$A7670+$C$2:$C7670)), "")*24*60, "")</f>
        <v/>
      </c>
      <c r="M7671" s="24" t="str" cm="1">
        <f t="array" ref="M7671">IFERROR(IF($B7671=M$1, ($A7671+$C7671) - MAX(IF($B$2:$B7670=$B7671, $A$2:$A7670+$C$2:$C7670)), "")*24*60, "")</f>
        <v/>
      </c>
      <c r="N7671" s="24" t="str" cm="1">
        <f t="array" ref="N7671">IFERROR(IF($B7671=N$1, ($A7671+$C7671) - MAX(IF($B$2:$B7670=$B7671, $A$2:$A7670+$C$2:$C7670)), "")*24*60, "")</f>
        <v/>
      </c>
      <c r="O7671" s="24" t="str" cm="1">
        <f t="array" ref="O7671">IFERROR(IF($B7671=O$1, ($A7671+$C7671) - MAX(IF($B$2:$B7670=$B7671, $A$2:$A7670+$C$2:$C7670)), "")*24*60, "")</f>
        <v/>
      </c>
      <c r="P7671" s="24" t="str" cm="1">
        <f t="array" ref="P7671">IFERROR(IF($B7671=P$1, ($A7671+$C7671) - MAX(IF($B$2:$B7670=$B7671, $A$2:$A7670+$C$2:$C7670)), "")*24*60, "")</f>
        <v/>
      </c>
      <c r="Q7671" s="24" t="str" cm="1">
        <f t="array" ref="Q7671">IFERROR(IF($B7671=Q$1, ($A7671+$C7671) - MAX(IF($B$2:$B7670=$B7671, $A$2:$A7670+$C$2:$C7670)), "")*24*60, "")</f>
        <v/>
      </c>
      <c r="R7671" s="24" t="str" cm="1">
        <f t="array" ref="R7671">IFERROR(IF($B7671=R$1, ($A7671+$C7671) - MAX(IF($B$2:$B7670=$B7671, $A$2:$A7670+$C$2:$C7670)), "")*24*60, "")</f>
        <v/>
      </c>
      <c r="S7671" s="24" t="str" cm="1">
        <f t="array" ref="S7671">IFERROR(IF($B7671=S$1, ($A7671+$C7671) - MAX(IF($B$2:$B7670=$B7671, $A$2:$A7670+$C$2:$C7670)), "")*24*60, "")</f>
        <v/>
      </c>
    </row>
    <row r="7672" spans="1:19" x14ac:dyDescent="0.2">
      <c r="A7672" s="12">
        <f t="shared" ref="A7672:C7672" si="1504">A7671</f>
        <v>46018</v>
      </c>
      <c r="B7672" s="5" t="str">
        <f t="shared" si="1504"/>
        <v>Northern Cardinal</v>
      </c>
      <c r="C7672" s="6">
        <f t="shared" si="1504"/>
        <v>0.29166666666666669</v>
      </c>
      <c r="D7672" s="5"/>
      <c r="E7672" s="5"/>
      <c r="F7672" s="5" t="s">
        <v>9</v>
      </c>
      <c r="G7672" s="15" t="s">
        <v>8</v>
      </c>
      <c r="H7672" s="24">
        <f t="shared" si="1475"/>
        <v>0</v>
      </c>
      <c r="I7672" s="24" cm="1">
        <f t="array" ref="I7672">IFERROR(IF($B7672=I$1, ($A7672+$C7672) - MAX(IF($B$2:$B7671=$B7672, $A$2:$A7671+$C$2:$C7671)), "")*24*60, "")</f>
        <v>0</v>
      </c>
      <c r="J7672" s="24" t="str" cm="1">
        <f t="array" ref="J7672">IFERROR(IF($B7672=J$1, ($A7672+$C7672) - MAX(IF($B$2:$B7671=$B7672, $A$2:$A7671+$C$2:$C7671)), "")*24*60, "")</f>
        <v/>
      </c>
      <c r="K7672" s="24" t="str" cm="1">
        <f t="array" ref="K7672">IFERROR(IF($B7672=K$1, ($A7672+$C7672) - MAX(IF($B$2:$B7671=$B7672, $A$2:$A7671+$C$2:$C7671)), "")*24*60, "")</f>
        <v/>
      </c>
      <c r="L7672" s="24" t="str" cm="1">
        <f t="array" ref="L7672">IFERROR(IF($B7672=L$1, ($A7672+$C7672) - MAX(IF($B$2:$B7671=$B7672, $A$2:$A7671+$C$2:$C7671)), "")*24*60, "")</f>
        <v/>
      </c>
      <c r="M7672" s="24" t="str" cm="1">
        <f t="array" ref="M7672">IFERROR(IF($B7672=M$1, ($A7672+$C7672) - MAX(IF($B$2:$B7671=$B7672, $A$2:$A7671+$C$2:$C7671)), "")*24*60, "")</f>
        <v/>
      </c>
      <c r="N7672" s="24" t="str" cm="1">
        <f t="array" ref="N7672">IFERROR(IF($B7672=N$1, ($A7672+$C7672) - MAX(IF($B$2:$B7671=$B7672, $A$2:$A7671+$C$2:$C7671)), "")*24*60, "")</f>
        <v/>
      </c>
      <c r="O7672" s="24" t="str" cm="1">
        <f t="array" ref="O7672">IFERROR(IF($B7672=O$1, ($A7672+$C7672) - MAX(IF($B$2:$B7671=$B7672, $A$2:$A7671+$C$2:$C7671)), "")*24*60, "")</f>
        <v/>
      </c>
      <c r="P7672" s="24" t="str" cm="1">
        <f t="array" ref="P7672">IFERROR(IF($B7672=P$1, ($A7672+$C7672) - MAX(IF($B$2:$B7671=$B7672, $A$2:$A7671+$C$2:$C7671)), "")*24*60, "")</f>
        <v/>
      </c>
      <c r="Q7672" s="24" t="str" cm="1">
        <f t="array" ref="Q7672">IFERROR(IF($B7672=Q$1, ($A7672+$C7672) - MAX(IF($B$2:$B7671=$B7672, $A$2:$A7671+$C$2:$C7671)), "")*24*60, "")</f>
        <v/>
      </c>
      <c r="R7672" s="24" t="str" cm="1">
        <f t="array" ref="R7672">IFERROR(IF($B7672=R$1, ($A7672+$C7672) - MAX(IF($B$2:$B7671=$B7672, $A$2:$A7671+$C$2:$C7671)), "")*24*60, "")</f>
        <v/>
      </c>
      <c r="S7672" s="24" t="str" cm="1">
        <f t="array" ref="S7672">IFERROR(IF($B7672=S$1, ($A7672+$C7672) - MAX(IF($B$2:$B7671=$B7672, $A$2:$A7671+$C$2:$C7671)), "")*24*60, "")</f>
        <v/>
      </c>
    </row>
    <row r="7673" spans="1:19" x14ac:dyDescent="0.2">
      <c r="A7673" s="12">
        <f t="shared" ref="A7673:C7673" si="1505">A7672</f>
        <v>46018</v>
      </c>
      <c r="B7673" s="5" t="str">
        <f t="shared" si="1505"/>
        <v>Northern Cardinal</v>
      </c>
      <c r="C7673" s="6">
        <f t="shared" si="1505"/>
        <v>0.29166666666666669</v>
      </c>
      <c r="D7673" s="5"/>
      <c r="E7673" s="5"/>
      <c r="F7673" s="5" t="s">
        <v>9</v>
      </c>
      <c r="G7673" s="15" t="s">
        <v>8</v>
      </c>
      <c r="H7673" s="24">
        <f t="shared" si="1475"/>
        <v>0</v>
      </c>
      <c r="I7673" s="24" cm="1">
        <f t="array" ref="I7673">IFERROR(IF($B7673=I$1, ($A7673+$C7673) - MAX(IF($B$2:$B7672=$B7673, $A$2:$A7672+$C$2:$C7672)), "")*24*60, "")</f>
        <v>0</v>
      </c>
      <c r="J7673" s="24" t="str" cm="1">
        <f t="array" ref="J7673">IFERROR(IF($B7673=J$1, ($A7673+$C7673) - MAX(IF($B$2:$B7672=$B7673, $A$2:$A7672+$C$2:$C7672)), "")*24*60, "")</f>
        <v/>
      </c>
      <c r="K7673" s="24" t="str" cm="1">
        <f t="array" ref="K7673">IFERROR(IF($B7673=K$1, ($A7673+$C7673) - MAX(IF($B$2:$B7672=$B7673, $A$2:$A7672+$C$2:$C7672)), "")*24*60, "")</f>
        <v/>
      </c>
      <c r="L7673" s="24" t="str" cm="1">
        <f t="array" ref="L7673">IFERROR(IF($B7673=L$1, ($A7673+$C7673) - MAX(IF($B$2:$B7672=$B7673, $A$2:$A7672+$C$2:$C7672)), "")*24*60, "")</f>
        <v/>
      </c>
      <c r="M7673" s="24" t="str" cm="1">
        <f t="array" ref="M7673">IFERROR(IF($B7673=M$1, ($A7673+$C7673) - MAX(IF($B$2:$B7672=$B7673, $A$2:$A7672+$C$2:$C7672)), "")*24*60, "")</f>
        <v/>
      </c>
      <c r="N7673" s="24" t="str" cm="1">
        <f t="array" ref="N7673">IFERROR(IF($B7673=N$1, ($A7673+$C7673) - MAX(IF($B$2:$B7672=$B7673, $A$2:$A7672+$C$2:$C7672)), "")*24*60, "")</f>
        <v/>
      </c>
      <c r="O7673" s="24" t="str" cm="1">
        <f t="array" ref="O7673">IFERROR(IF($B7673=O$1, ($A7673+$C7673) - MAX(IF($B$2:$B7672=$B7673, $A$2:$A7672+$C$2:$C7672)), "")*24*60, "")</f>
        <v/>
      </c>
      <c r="P7673" s="24" t="str" cm="1">
        <f t="array" ref="P7673">IFERROR(IF($B7673=P$1, ($A7673+$C7673) - MAX(IF($B$2:$B7672=$B7673, $A$2:$A7672+$C$2:$C7672)), "")*24*60, "")</f>
        <v/>
      </c>
      <c r="Q7673" s="24" t="str" cm="1">
        <f t="array" ref="Q7673">IFERROR(IF($B7673=Q$1, ($A7673+$C7673) - MAX(IF($B$2:$B7672=$B7673, $A$2:$A7672+$C$2:$C7672)), "")*24*60, "")</f>
        <v/>
      </c>
      <c r="R7673" s="24" t="str" cm="1">
        <f t="array" ref="R7673">IFERROR(IF($B7673=R$1, ($A7673+$C7673) - MAX(IF($B$2:$B7672=$B7673, $A$2:$A7672+$C$2:$C7672)), "")*24*60, "")</f>
        <v/>
      </c>
      <c r="S7673" s="24" t="str" cm="1">
        <f t="array" ref="S7673">IFERROR(IF($B7673=S$1, ($A7673+$C7673) - MAX(IF($B$2:$B7672=$B7673, $A$2:$A7672+$C$2:$C7672)), "")*24*60, "")</f>
        <v/>
      </c>
    </row>
    <row r="7674" spans="1:19" x14ac:dyDescent="0.2">
      <c r="A7674" s="12">
        <f t="shared" ref="A7674:C7674" si="1506">A7673</f>
        <v>46018</v>
      </c>
      <c r="B7674" s="5" t="str">
        <f t="shared" si="1506"/>
        <v>Northern Cardinal</v>
      </c>
      <c r="C7674" s="6">
        <f t="shared" si="1506"/>
        <v>0.29166666666666669</v>
      </c>
      <c r="D7674" s="5"/>
      <c r="E7674" s="5"/>
      <c r="F7674" s="5" t="s">
        <v>9</v>
      </c>
      <c r="G7674" s="15" t="s">
        <v>8</v>
      </c>
      <c r="H7674" s="24">
        <f t="shared" si="1475"/>
        <v>0</v>
      </c>
      <c r="I7674" s="24" cm="1">
        <f t="array" ref="I7674">IFERROR(IF($B7674=I$1, ($A7674+$C7674) - MAX(IF($B$2:$B7673=$B7674, $A$2:$A7673+$C$2:$C7673)), "")*24*60, "")</f>
        <v>0</v>
      </c>
      <c r="J7674" s="24" t="str" cm="1">
        <f t="array" ref="J7674">IFERROR(IF($B7674=J$1, ($A7674+$C7674) - MAX(IF($B$2:$B7673=$B7674, $A$2:$A7673+$C$2:$C7673)), "")*24*60, "")</f>
        <v/>
      </c>
      <c r="K7674" s="24" t="str" cm="1">
        <f t="array" ref="K7674">IFERROR(IF($B7674=K$1, ($A7674+$C7674) - MAX(IF($B$2:$B7673=$B7674, $A$2:$A7673+$C$2:$C7673)), "")*24*60, "")</f>
        <v/>
      </c>
      <c r="L7674" s="24" t="str" cm="1">
        <f t="array" ref="L7674">IFERROR(IF($B7674=L$1, ($A7674+$C7674) - MAX(IF($B$2:$B7673=$B7674, $A$2:$A7673+$C$2:$C7673)), "")*24*60, "")</f>
        <v/>
      </c>
      <c r="M7674" s="24" t="str" cm="1">
        <f t="array" ref="M7674">IFERROR(IF($B7674=M$1, ($A7674+$C7674) - MAX(IF($B$2:$B7673=$B7674, $A$2:$A7673+$C$2:$C7673)), "")*24*60, "")</f>
        <v/>
      </c>
      <c r="N7674" s="24" t="str" cm="1">
        <f t="array" ref="N7674">IFERROR(IF($B7674=N$1, ($A7674+$C7674) - MAX(IF($B$2:$B7673=$B7674, $A$2:$A7673+$C$2:$C7673)), "")*24*60, "")</f>
        <v/>
      </c>
      <c r="O7674" s="24" t="str" cm="1">
        <f t="array" ref="O7674">IFERROR(IF($B7674=O$1, ($A7674+$C7674) - MAX(IF($B$2:$B7673=$B7674, $A$2:$A7673+$C$2:$C7673)), "")*24*60, "")</f>
        <v/>
      </c>
      <c r="P7674" s="24" t="str" cm="1">
        <f t="array" ref="P7674">IFERROR(IF($B7674=P$1, ($A7674+$C7674) - MAX(IF($B$2:$B7673=$B7674, $A$2:$A7673+$C$2:$C7673)), "")*24*60, "")</f>
        <v/>
      </c>
      <c r="Q7674" s="24" t="str" cm="1">
        <f t="array" ref="Q7674">IFERROR(IF($B7674=Q$1, ($A7674+$C7674) - MAX(IF($B$2:$B7673=$B7674, $A$2:$A7673+$C$2:$C7673)), "")*24*60, "")</f>
        <v/>
      </c>
      <c r="R7674" s="24" t="str" cm="1">
        <f t="array" ref="R7674">IFERROR(IF($B7674=R$1, ($A7674+$C7674) - MAX(IF($B$2:$B7673=$B7674, $A$2:$A7673+$C$2:$C7673)), "")*24*60, "")</f>
        <v/>
      </c>
      <c r="S7674" s="24" t="str" cm="1">
        <f t="array" ref="S7674">IFERROR(IF($B7674=S$1, ($A7674+$C7674) - MAX(IF($B$2:$B7673=$B7674, $A$2:$A7673+$C$2:$C7673)), "")*24*60, "")</f>
        <v/>
      </c>
    </row>
    <row r="7675" spans="1:19" x14ac:dyDescent="0.2">
      <c r="A7675" s="12">
        <f t="shared" ref="A7675:C7675" si="1507">A7674</f>
        <v>46018</v>
      </c>
      <c r="B7675" s="5" t="str">
        <f t="shared" si="1507"/>
        <v>Northern Cardinal</v>
      </c>
      <c r="C7675" s="6">
        <f t="shared" si="1507"/>
        <v>0.29166666666666669</v>
      </c>
      <c r="D7675" s="5"/>
      <c r="E7675" s="5"/>
      <c r="F7675" s="5" t="s">
        <v>9</v>
      </c>
      <c r="G7675" s="15" t="s">
        <v>8</v>
      </c>
      <c r="H7675" s="24">
        <f t="shared" si="1475"/>
        <v>0</v>
      </c>
      <c r="I7675" s="24" cm="1">
        <f t="array" ref="I7675">IFERROR(IF($B7675=I$1, ($A7675+$C7675) - MAX(IF($B$2:$B7674=$B7675, $A$2:$A7674+$C$2:$C7674)), "")*24*60, "")</f>
        <v>0</v>
      </c>
      <c r="J7675" s="24" t="str" cm="1">
        <f t="array" ref="J7675">IFERROR(IF($B7675=J$1, ($A7675+$C7675) - MAX(IF($B$2:$B7674=$B7675, $A$2:$A7674+$C$2:$C7674)), "")*24*60, "")</f>
        <v/>
      </c>
      <c r="K7675" s="24" t="str" cm="1">
        <f t="array" ref="K7675">IFERROR(IF($B7675=K$1, ($A7675+$C7675) - MAX(IF($B$2:$B7674=$B7675, $A$2:$A7674+$C$2:$C7674)), "")*24*60, "")</f>
        <v/>
      </c>
      <c r="L7675" s="24" t="str" cm="1">
        <f t="array" ref="L7675">IFERROR(IF($B7675=L$1, ($A7675+$C7675) - MAX(IF($B$2:$B7674=$B7675, $A$2:$A7674+$C$2:$C7674)), "")*24*60, "")</f>
        <v/>
      </c>
      <c r="M7675" s="24" t="str" cm="1">
        <f t="array" ref="M7675">IFERROR(IF($B7675=M$1, ($A7675+$C7675) - MAX(IF($B$2:$B7674=$B7675, $A$2:$A7674+$C$2:$C7674)), "")*24*60, "")</f>
        <v/>
      </c>
      <c r="N7675" s="24" t="str" cm="1">
        <f t="array" ref="N7675">IFERROR(IF($B7675=N$1, ($A7675+$C7675) - MAX(IF($B$2:$B7674=$B7675, $A$2:$A7674+$C$2:$C7674)), "")*24*60, "")</f>
        <v/>
      </c>
      <c r="O7675" s="24" t="str" cm="1">
        <f t="array" ref="O7675">IFERROR(IF($B7675=O$1, ($A7675+$C7675) - MAX(IF($B$2:$B7674=$B7675, $A$2:$A7674+$C$2:$C7674)), "")*24*60, "")</f>
        <v/>
      </c>
      <c r="P7675" s="24" t="str" cm="1">
        <f t="array" ref="P7675">IFERROR(IF($B7675=P$1, ($A7675+$C7675) - MAX(IF($B$2:$B7674=$B7675, $A$2:$A7674+$C$2:$C7674)), "")*24*60, "")</f>
        <v/>
      </c>
      <c r="Q7675" s="24" t="str" cm="1">
        <f t="array" ref="Q7675">IFERROR(IF($B7675=Q$1, ($A7675+$C7675) - MAX(IF($B$2:$B7674=$B7675, $A$2:$A7674+$C$2:$C7674)), "")*24*60, "")</f>
        <v/>
      </c>
      <c r="R7675" s="24" t="str" cm="1">
        <f t="array" ref="R7675">IFERROR(IF($B7675=R$1, ($A7675+$C7675) - MAX(IF($B$2:$B7674=$B7675, $A$2:$A7674+$C$2:$C7674)), "")*24*60, "")</f>
        <v/>
      </c>
      <c r="S7675" s="24" t="str" cm="1">
        <f t="array" ref="S7675">IFERROR(IF($B7675=S$1, ($A7675+$C7675) - MAX(IF($B$2:$B7674=$B7675, $A$2:$A7674+$C$2:$C7674)), "")*24*60, "")</f>
        <v/>
      </c>
    </row>
    <row r="7676" spans="1:19" x14ac:dyDescent="0.2">
      <c r="A7676" s="12">
        <f t="shared" ref="A7676:C7676" si="1508">A7675</f>
        <v>46018</v>
      </c>
      <c r="B7676" s="5" t="str">
        <f t="shared" si="1508"/>
        <v>Northern Cardinal</v>
      </c>
      <c r="C7676" s="6">
        <f t="shared" si="1508"/>
        <v>0.29166666666666669</v>
      </c>
      <c r="D7676" s="5"/>
      <c r="E7676" s="5"/>
      <c r="F7676" s="5" t="s">
        <v>9</v>
      </c>
      <c r="G7676" s="15" t="s">
        <v>8</v>
      </c>
      <c r="H7676" s="24">
        <f t="shared" si="1475"/>
        <v>0</v>
      </c>
      <c r="I7676" s="24" cm="1">
        <f t="array" ref="I7676">IFERROR(IF($B7676=I$1, ($A7676+$C7676) - MAX(IF($B$2:$B7675=$B7676, $A$2:$A7675+$C$2:$C7675)), "")*24*60, "")</f>
        <v>0</v>
      </c>
      <c r="J7676" s="24" t="str" cm="1">
        <f t="array" ref="J7676">IFERROR(IF($B7676=J$1, ($A7676+$C7676) - MAX(IF($B$2:$B7675=$B7676, $A$2:$A7675+$C$2:$C7675)), "")*24*60, "")</f>
        <v/>
      </c>
      <c r="K7676" s="24" t="str" cm="1">
        <f t="array" ref="K7676">IFERROR(IF($B7676=K$1, ($A7676+$C7676) - MAX(IF($B$2:$B7675=$B7676, $A$2:$A7675+$C$2:$C7675)), "")*24*60, "")</f>
        <v/>
      </c>
      <c r="L7676" s="24" t="str" cm="1">
        <f t="array" ref="L7676">IFERROR(IF($B7676=L$1, ($A7676+$C7676) - MAX(IF($B$2:$B7675=$B7676, $A$2:$A7675+$C$2:$C7675)), "")*24*60, "")</f>
        <v/>
      </c>
      <c r="M7676" s="24" t="str" cm="1">
        <f t="array" ref="M7676">IFERROR(IF($B7676=M$1, ($A7676+$C7676) - MAX(IF($B$2:$B7675=$B7676, $A$2:$A7675+$C$2:$C7675)), "")*24*60, "")</f>
        <v/>
      </c>
      <c r="N7676" s="24" t="str" cm="1">
        <f t="array" ref="N7676">IFERROR(IF($B7676=N$1, ($A7676+$C7676) - MAX(IF($B$2:$B7675=$B7676, $A$2:$A7675+$C$2:$C7675)), "")*24*60, "")</f>
        <v/>
      </c>
      <c r="O7676" s="24" t="str" cm="1">
        <f t="array" ref="O7676">IFERROR(IF($B7676=O$1, ($A7676+$C7676) - MAX(IF($B$2:$B7675=$B7676, $A$2:$A7675+$C$2:$C7675)), "")*24*60, "")</f>
        <v/>
      </c>
      <c r="P7676" s="24" t="str" cm="1">
        <f t="array" ref="P7676">IFERROR(IF($B7676=P$1, ($A7676+$C7676) - MAX(IF($B$2:$B7675=$B7676, $A$2:$A7675+$C$2:$C7675)), "")*24*60, "")</f>
        <v/>
      </c>
      <c r="Q7676" s="24" t="str" cm="1">
        <f t="array" ref="Q7676">IFERROR(IF($B7676=Q$1, ($A7676+$C7676) - MAX(IF($B$2:$B7675=$B7676, $A$2:$A7675+$C$2:$C7675)), "")*24*60, "")</f>
        <v/>
      </c>
      <c r="R7676" s="24" t="str" cm="1">
        <f t="array" ref="R7676">IFERROR(IF($B7676=R$1, ($A7676+$C7676) - MAX(IF($B$2:$B7675=$B7676, $A$2:$A7675+$C$2:$C7675)), "")*24*60, "")</f>
        <v/>
      </c>
      <c r="S7676" s="24" t="str" cm="1">
        <f t="array" ref="S7676">IFERROR(IF($B7676=S$1, ($A7676+$C7676) - MAX(IF($B$2:$B7675=$B7676, $A$2:$A7675+$C$2:$C7675)), "")*24*60, "")</f>
        <v/>
      </c>
    </row>
    <row r="7677" spans="1:19" x14ac:dyDescent="0.2">
      <c r="A7677" s="12">
        <f t="shared" ref="A7677:C7677" si="1509">A7676</f>
        <v>46018</v>
      </c>
      <c r="B7677" s="5" t="str">
        <f t="shared" si="1509"/>
        <v>Northern Cardinal</v>
      </c>
      <c r="C7677" s="6">
        <f t="shared" si="1509"/>
        <v>0.29166666666666669</v>
      </c>
      <c r="D7677" s="5"/>
      <c r="E7677" s="5"/>
      <c r="F7677" s="5" t="s">
        <v>9</v>
      </c>
      <c r="G7677" s="15" t="s">
        <v>8</v>
      </c>
      <c r="H7677" s="24">
        <f t="shared" si="1475"/>
        <v>0</v>
      </c>
      <c r="I7677" s="24" cm="1">
        <f t="array" ref="I7677">IFERROR(IF($B7677=I$1, ($A7677+$C7677) - MAX(IF($B$2:$B7676=$B7677, $A$2:$A7676+$C$2:$C7676)), "")*24*60, "")</f>
        <v>0</v>
      </c>
      <c r="J7677" s="24" t="str" cm="1">
        <f t="array" ref="J7677">IFERROR(IF($B7677=J$1, ($A7677+$C7677) - MAX(IF($B$2:$B7676=$B7677, $A$2:$A7676+$C$2:$C7676)), "")*24*60, "")</f>
        <v/>
      </c>
      <c r="K7677" s="24" t="str" cm="1">
        <f t="array" ref="K7677">IFERROR(IF($B7677=K$1, ($A7677+$C7677) - MAX(IF($B$2:$B7676=$B7677, $A$2:$A7676+$C$2:$C7676)), "")*24*60, "")</f>
        <v/>
      </c>
      <c r="L7677" s="24" t="str" cm="1">
        <f t="array" ref="L7677">IFERROR(IF($B7677=L$1, ($A7677+$C7677) - MAX(IF($B$2:$B7676=$B7677, $A$2:$A7676+$C$2:$C7676)), "")*24*60, "")</f>
        <v/>
      </c>
      <c r="M7677" s="24" t="str" cm="1">
        <f t="array" ref="M7677">IFERROR(IF($B7677=M$1, ($A7677+$C7677) - MAX(IF($B$2:$B7676=$B7677, $A$2:$A7676+$C$2:$C7676)), "")*24*60, "")</f>
        <v/>
      </c>
      <c r="N7677" s="24" t="str" cm="1">
        <f t="array" ref="N7677">IFERROR(IF($B7677=N$1, ($A7677+$C7677) - MAX(IF($B$2:$B7676=$B7677, $A$2:$A7676+$C$2:$C7676)), "")*24*60, "")</f>
        <v/>
      </c>
      <c r="O7677" s="24" t="str" cm="1">
        <f t="array" ref="O7677">IFERROR(IF($B7677=O$1, ($A7677+$C7677) - MAX(IF($B$2:$B7676=$B7677, $A$2:$A7676+$C$2:$C7676)), "")*24*60, "")</f>
        <v/>
      </c>
      <c r="P7677" s="24" t="str" cm="1">
        <f t="array" ref="P7677">IFERROR(IF($B7677=P$1, ($A7677+$C7677) - MAX(IF($B$2:$B7676=$B7677, $A$2:$A7676+$C$2:$C7676)), "")*24*60, "")</f>
        <v/>
      </c>
      <c r="Q7677" s="24" t="str" cm="1">
        <f t="array" ref="Q7677">IFERROR(IF($B7677=Q$1, ($A7677+$C7677) - MAX(IF($B$2:$B7676=$B7677, $A$2:$A7676+$C$2:$C7676)), "")*24*60, "")</f>
        <v/>
      </c>
      <c r="R7677" s="24" t="str" cm="1">
        <f t="array" ref="R7677">IFERROR(IF($B7677=R$1, ($A7677+$C7677) - MAX(IF($B$2:$B7676=$B7677, $A$2:$A7676+$C$2:$C7676)), "")*24*60, "")</f>
        <v/>
      </c>
      <c r="S7677" s="24" t="str" cm="1">
        <f t="array" ref="S7677">IFERROR(IF($B7677=S$1, ($A7677+$C7677) - MAX(IF($B$2:$B7676=$B7677, $A$2:$A7676+$C$2:$C7676)), "")*24*60, "")</f>
        <v/>
      </c>
    </row>
    <row r="7678" spans="1:19" x14ac:dyDescent="0.2">
      <c r="A7678" s="12">
        <f t="shared" ref="A7678:C7678" si="1510">A7677</f>
        <v>46018</v>
      </c>
      <c r="B7678" s="5" t="str">
        <f t="shared" si="1510"/>
        <v>Northern Cardinal</v>
      </c>
      <c r="C7678" s="6">
        <f t="shared" si="1510"/>
        <v>0.29166666666666669</v>
      </c>
      <c r="D7678" s="5"/>
      <c r="E7678" s="5"/>
      <c r="F7678" s="5" t="s">
        <v>9</v>
      </c>
      <c r="G7678" s="15" t="s">
        <v>8</v>
      </c>
      <c r="H7678" s="24">
        <f t="shared" si="1475"/>
        <v>0</v>
      </c>
      <c r="I7678" s="24" cm="1">
        <f t="array" ref="I7678">IFERROR(IF($B7678=I$1, ($A7678+$C7678) - MAX(IF($B$2:$B7677=$B7678, $A$2:$A7677+$C$2:$C7677)), "")*24*60, "")</f>
        <v>0</v>
      </c>
      <c r="J7678" s="24" t="str" cm="1">
        <f t="array" ref="J7678">IFERROR(IF($B7678=J$1, ($A7678+$C7678) - MAX(IF($B$2:$B7677=$B7678, $A$2:$A7677+$C$2:$C7677)), "")*24*60, "")</f>
        <v/>
      </c>
      <c r="K7678" s="24" t="str" cm="1">
        <f t="array" ref="K7678">IFERROR(IF($B7678=K$1, ($A7678+$C7678) - MAX(IF($B$2:$B7677=$B7678, $A$2:$A7677+$C$2:$C7677)), "")*24*60, "")</f>
        <v/>
      </c>
      <c r="L7678" s="24" t="str" cm="1">
        <f t="array" ref="L7678">IFERROR(IF($B7678=L$1, ($A7678+$C7678) - MAX(IF($B$2:$B7677=$B7678, $A$2:$A7677+$C$2:$C7677)), "")*24*60, "")</f>
        <v/>
      </c>
      <c r="M7678" s="24" t="str" cm="1">
        <f t="array" ref="M7678">IFERROR(IF($B7678=M$1, ($A7678+$C7678) - MAX(IF($B$2:$B7677=$B7678, $A$2:$A7677+$C$2:$C7677)), "")*24*60, "")</f>
        <v/>
      </c>
      <c r="N7678" s="24" t="str" cm="1">
        <f t="array" ref="N7678">IFERROR(IF($B7678=N$1, ($A7678+$C7678) - MAX(IF($B$2:$B7677=$B7678, $A$2:$A7677+$C$2:$C7677)), "")*24*60, "")</f>
        <v/>
      </c>
      <c r="O7678" s="24" t="str" cm="1">
        <f t="array" ref="O7678">IFERROR(IF($B7678=O$1, ($A7678+$C7678) - MAX(IF($B$2:$B7677=$B7678, $A$2:$A7677+$C$2:$C7677)), "")*24*60, "")</f>
        <v/>
      </c>
      <c r="P7678" s="24" t="str" cm="1">
        <f t="array" ref="P7678">IFERROR(IF($B7678=P$1, ($A7678+$C7678) - MAX(IF($B$2:$B7677=$B7678, $A$2:$A7677+$C$2:$C7677)), "")*24*60, "")</f>
        <v/>
      </c>
      <c r="Q7678" s="24" t="str" cm="1">
        <f t="array" ref="Q7678">IFERROR(IF($B7678=Q$1, ($A7678+$C7678) - MAX(IF($B$2:$B7677=$B7678, $A$2:$A7677+$C$2:$C7677)), "")*24*60, "")</f>
        <v/>
      </c>
      <c r="R7678" s="24" t="str" cm="1">
        <f t="array" ref="R7678">IFERROR(IF($B7678=R$1, ($A7678+$C7678) - MAX(IF($B$2:$B7677=$B7678, $A$2:$A7677+$C$2:$C7677)), "")*24*60, "")</f>
        <v/>
      </c>
      <c r="S7678" s="24" t="str" cm="1">
        <f t="array" ref="S7678">IFERROR(IF($B7678=S$1, ($A7678+$C7678) - MAX(IF($B$2:$B7677=$B7678, $A$2:$A7677+$C$2:$C7677)), "")*24*60, "")</f>
        <v/>
      </c>
    </row>
    <row r="7679" spans="1:19" x14ac:dyDescent="0.2">
      <c r="A7679" s="12">
        <f t="shared" ref="A7679:C7679" si="1511">A7678</f>
        <v>46018</v>
      </c>
      <c r="B7679" s="5" t="str">
        <f t="shared" si="1511"/>
        <v>Northern Cardinal</v>
      </c>
      <c r="C7679" s="6">
        <f t="shared" si="1511"/>
        <v>0.29166666666666669</v>
      </c>
      <c r="D7679" s="5"/>
      <c r="E7679" s="5"/>
      <c r="F7679" s="5" t="s">
        <v>9</v>
      </c>
      <c r="G7679" s="15" t="s">
        <v>8</v>
      </c>
      <c r="H7679" s="24">
        <f t="shared" si="1475"/>
        <v>0</v>
      </c>
      <c r="I7679" s="24" cm="1">
        <f t="array" ref="I7679">IFERROR(IF($B7679=I$1, ($A7679+$C7679) - MAX(IF($B$2:$B7678=$B7679, $A$2:$A7678+$C$2:$C7678)), "")*24*60, "")</f>
        <v>0</v>
      </c>
      <c r="J7679" s="24" t="str" cm="1">
        <f t="array" ref="J7679">IFERROR(IF($B7679=J$1, ($A7679+$C7679) - MAX(IF($B$2:$B7678=$B7679, $A$2:$A7678+$C$2:$C7678)), "")*24*60, "")</f>
        <v/>
      </c>
      <c r="K7679" s="24" t="str" cm="1">
        <f t="array" ref="K7679">IFERROR(IF($B7679=K$1, ($A7679+$C7679) - MAX(IF($B$2:$B7678=$B7679, $A$2:$A7678+$C$2:$C7678)), "")*24*60, "")</f>
        <v/>
      </c>
      <c r="L7679" s="24" t="str" cm="1">
        <f t="array" ref="L7679">IFERROR(IF($B7679=L$1, ($A7679+$C7679) - MAX(IF($B$2:$B7678=$B7679, $A$2:$A7678+$C$2:$C7678)), "")*24*60, "")</f>
        <v/>
      </c>
      <c r="M7679" s="24" t="str" cm="1">
        <f t="array" ref="M7679">IFERROR(IF($B7679=M$1, ($A7679+$C7679) - MAX(IF($B$2:$B7678=$B7679, $A$2:$A7678+$C$2:$C7678)), "")*24*60, "")</f>
        <v/>
      </c>
      <c r="N7679" s="24" t="str" cm="1">
        <f t="array" ref="N7679">IFERROR(IF($B7679=N$1, ($A7679+$C7679) - MAX(IF($B$2:$B7678=$B7679, $A$2:$A7678+$C$2:$C7678)), "")*24*60, "")</f>
        <v/>
      </c>
      <c r="O7679" s="24" t="str" cm="1">
        <f t="array" ref="O7679">IFERROR(IF($B7679=O$1, ($A7679+$C7679) - MAX(IF($B$2:$B7678=$B7679, $A$2:$A7678+$C$2:$C7678)), "")*24*60, "")</f>
        <v/>
      </c>
      <c r="P7679" s="24" t="str" cm="1">
        <f t="array" ref="P7679">IFERROR(IF($B7679=P$1, ($A7679+$C7679) - MAX(IF($B$2:$B7678=$B7679, $A$2:$A7678+$C$2:$C7678)), "")*24*60, "")</f>
        <v/>
      </c>
      <c r="Q7679" s="24" t="str" cm="1">
        <f t="array" ref="Q7679">IFERROR(IF($B7679=Q$1, ($A7679+$C7679) - MAX(IF($B$2:$B7678=$B7679, $A$2:$A7678+$C$2:$C7678)), "")*24*60, "")</f>
        <v/>
      </c>
      <c r="R7679" s="24" t="str" cm="1">
        <f t="array" ref="R7679">IFERROR(IF($B7679=R$1, ($A7679+$C7679) - MAX(IF($B$2:$B7678=$B7679, $A$2:$A7678+$C$2:$C7678)), "")*24*60, "")</f>
        <v/>
      </c>
      <c r="S7679" s="24" t="str" cm="1">
        <f t="array" ref="S7679">IFERROR(IF($B7679=S$1, ($A7679+$C7679) - MAX(IF($B$2:$B7678=$B7679, $A$2:$A7678+$C$2:$C7678)), "")*24*60, "")</f>
        <v/>
      </c>
    </row>
    <row r="7680" spans="1:19" x14ac:dyDescent="0.2">
      <c r="A7680" s="12">
        <f t="shared" ref="A7680:C7680" si="1512">A7679</f>
        <v>46018</v>
      </c>
      <c r="B7680" s="5" t="str">
        <f t="shared" si="1512"/>
        <v>Northern Cardinal</v>
      </c>
      <c r="C7680" s="6">
        <f t="shared" si="1512"/>
        <v>0.29166666666666669</v>
      </c>
      <c r="D7680" s="5"/>
      <c r="E7680" s="5"/>
      <c r="F7680" s="5" t="s">
        <v>9</v>
      </c>
      <c r="G7680" s="15" t="s">
        <v>8</v>
      </c>
      <c r="H7680" s="24">
        <f t="shared" si="1475"/>
        <v>0</v>
      </c>
      <c r="I7680" s="24" cm="1">
        <f t="array" ref="I7680">IFERROR(IF($B7680=I$1, ($A7680+$C7680) - MAX(IF($B$2:$B7679=$B7680, $A$2:$A7679+$C$2:$C7679)), "")*24*60, "")</f>
        <v>0</v>
      </c>
      <c r="J7680" s="24" t="str" cm="1">
        <f t="array" ref="J7680">IFERROR(IF($B7680=J$1, ($A7680+$C7680) - MAX(IF($B$2:$B7679=$B7680, $A$2:$A7679+$C$2:$C7679)), "")*24*60, "")</f>
        <v/>
      </c>
      <c r="K7680" s="24" t="str" cm="1">
        <f t="array" ref="K7680">IFERROR(IF($B7680=K$1, ($A7680+$C7680) - MAX(IF($B$2:$B7679=$B7680, $A$2:$A7679+$C$2:$C7679)), "")*24*60, "")</f>
        <v/>
      </c>
      <c r="L7680" s="24" t="str" cm="1">
        <f t="array" ref="L7680">IFERROR(IF($B7680=L$1, ($A7680+$C7680) - MAX(IF($B$2:$B7679=$B7680, $A$2:$A7679+$C$2:$C7679)), "")*24*60, "")</f>
        <v/>
      </c>
      <c r="M7680" s="24" t="str" cm="1">
        <f t="array" ref="M7680">IFERROR(IF($B7680=M$1, ($A7680+$C7680) - MAX(IF($B$2:$B7679=$B7680, $A$2:$A7679+$C$2:$C7679)), "")*24*60, "")</f>
        <v/>
      </c>
      <c r="N7680" s="24" t="str" cm="1">
        <f t="array" ref="N7680">IFERROR(IF($B7680=N$1, ($A7680+$C7680) - MAX(IF($B$2:$B7679=$B7680, $A$2:$A7679+$C$2:$C7679)), "")*24*60, "")</f>
        <v/>
      </c>
      <c r="O7680" s="24" t="str" cm="1">
        <f t="array" ref="O7680">IFERROR(IF($B7680=O$1, ($A7680+$C7680) - MAX(IF($B$2:$B7679=$B7680, $A$2:$A7679+$C$2:$C7679)), "")*24*60, "")</f>
        <v/>
      </c>
      <c r="P7680" s="24" t="str" cm="1">
        <f t="array" ref="P7680">IFERROR(IF($B7680=P$1, ($A7680+$C7680) - MAX(IF($B$2:$B7679=$B7680, $A$2:$A7679+$C$2:$C7679)), "")*24*60, "")</f>
        <v/>
      </c>
      <c r="Q7680" s="24" t="str" cm="1">
        <f t="array" ref="Q7680">IFERROR(IF($B7680=Q$1, ($A7680+$C7680) - MAX(IF($B$2:$B7679=$B7680, $A$2:$A7679+$C$2:$C7679)), "")*24*60, "")</f>
        <v/>
      </c>
      <c r="R7680" s="24" t="str" cm="1">
        <f t="array" ref="R7680">IFERROR(IF($B7680=R$1, ($A7680+$C7680) - MAX(IF($B$2:$B7679=$B7680, $A$2:$A7679+$C$2:$C7679)), "")*24*60, "")</f>
        <v/>
      </c>
      <c r="S7680" s="24" t="str" cm="1">
        <f t="array" ref="S7680">IFERROR(IF($B7680=S$1, ($A7680+$C7680) - MAX(IF($B$2:$B7679=$B7680, $A$2:$A7679+$C$2:$C7679)), "")*24*60, "")</f>
        <v/>
      </c>
    </row>
    <row r="7681" spans="1:19" x14ac:dyDescent="0.2">
      <c r="A7681" s="12">
        <f t="shared" ref="A7681:C7681" si="1513">A7680</f>
        <v>46018</v>
      </c>
      <c r="B7681" s="5" t="str">
        <f t="shared" si="1513"/>
        <v>Northern Cardinal</v>
      </c>
      <c r="C7681" s="6">
        <f t="shared" si="1513"/>
        <v>0.29166666666666669</v>
      </c>
      <c r="D7681" s="5"/>
      <c r="E7681" s="5"/>
      <c r="F7681" s="5" t="s">
        <v>9</v>
      </c>
      <c r="G7681" s="15" t="s">
        <v>8</v>
      </c>
      <c r="H7681" s="24">
        <f t="shared" si="1475"/>
        <v>0</v>
      </c>
      <c r="I7681" s="24" cm="1">
        <f t="array" ref="I7681">IFERROR(IF($B7681=I$1, ($A7681+$C7681) - MAX(IF($B$2:$B7680=$B7681, $A$2:$A7680+$C$2:$C7680)), "")*24*60, "")</f>
        <v>0</v>
      </c>
      <c r="J7681" s="24" t="str" cm="1">
        <f t="array" ref="J7681">IFERROR(IF($B7681=J$1, ($A7681+$C7681) - MAX(IF($B$2:$B7680=$B7681, $A$2:$A7680+$C$2:$C7680)), "")*24*60, "")</f>
        <v/>
      </c>
      <c r="K7681" s="24" t="str" cm="1">
        <f t="array" ref="K7681">IFERROR(IF($B7681=K$1, ($A7681+$C7681) - MAX(IF($B$2:$B7680=$B7681, $A$2:$A7680+$C$2:$C7680)), "")*24*60, "")</f>
        <v/>
      </c>
      <c r="L7681" s="24" t="str" cm="1">
        <f t="array" ref="L7681">IFERROR(IF($B7681=L$1, ($A7681+$C7681) - MAX(IF($B$2:$B7680=$B7681, $A$2:$A7680+$C$2:$C7680)), "")*24*60, "")</f>
        <v/>
      </c>
      <c r="M7681" s="24" t="str" cm="1">
        <f t="array" ref="M7681">IFERROR(IF($B7681=M$1, ($A7681+$C7681) - MAX(IF($B$2:$B7680=$B7681, $A$2:$A7680+$C$2:$C7680)), "")*24*60, "")</f>
        <v/>
      </c>
      <c r="N7681" s="24" t="str" cm="1">
        <f t="array" ref="N7681">IFERROR(IF($B7681=N$1, ($A7681+$C7681) - MAX(IF($B$2:$B7680=$B7681, $A$2:$A7680+$C$2:$C7680)), "")*24*60, "")</f>
        <v/>
      </c>
      <c r="O7681" s="24" t="str" cm="1">
        <f t="array" ref="O7681">IFERROR(IF($B7681=O$1, ($A7681+$C7681) - MAX(IF($B$2:$B7680=$B7681, $A$2:$A7680+$C$2:$C7680)), "")*24*60, "")</f>
        <v/>
      </c>
      <c r="P7681" s="24" t="str" cm="1">
        <f t="array" ref="P7681">IFERROR(IF($B7681=P$1, ($A7681+$C7681) - MAX(IF($B$2:$B7680=$B7681, $A$2:$A7680+$C$2:$C7680)), "")*24*60, "")</f>
        <v/>
      </c>
      <c r="Q7681" s="24" t="str" cm="1">
        <f t="array" ref="Q7681">IFERROR(IF($B7681=Q$1, ($A7681+$C7681) - MAX(IF($B$2:$B7680=$B7681, $A$2:$A7680+$C$2:$C7680)), "")*24*60, "")</f>
        <v/>
      </c>
      <c r="R7681" s="24" t="str" cm="1">
        <f t="array" ref="R7681">IFERROR(IF($B7681=R$1, ($A7681+$C7681) - MAX(IF($B$2:$B7680=$B7681, $A$2:$A7680+$C$2:$C7680)), "")*24*60, "")</f>
        <v/>
      </c>
      <c r="S7681" s="24" t="str" cm="1">
        <f t="array" ref="S7681">IFERROR(IF($B7681=S$1, ($A7681+$C7681) - MAX(IF($B$2:$B7680=$B7681, $A$2:$A7680+$C$2:$C7680)), "")*24*60, "")</f>
        <v/>
      </c>
    </row>
    <row r="7682" spans="1:19" x14ac:dyDescent="0.2">
      <c r="A7682" s="12">
        <f t="shared" ref="A7682:C7682" si="1514">A7681</f>
        <v>46018</v>
      </c>
      <c r="B7682" s="5" t="str">
        <f t="shared" si="1514"/>
        <v>Northern Cardinal</v>
      </c>
      <c r="C7682" s="6">
        <f t="shared" si="1514"/>
        <v>0.29166666666666669</v>
      </c>
      <c r="D7682" s="5"/>
      <c r="E7682" s="5"/>
      <c r="F7682" s="5" t="s">
        <v>9</v>
      </c>
      <c r="G7682" s="15" t="s">
        <v>8</v>
      </c>
      <c r="H7682" s="24">
        <f t="shared" si="1475"/>
        <v>0</v>
      </c>
      <c r="I7682" s="24" cm="1">
        <f t="array" ref="I7682">IFERROR(IF($B7682=I$1, ($A7682+$C7682) - MAX(IF($B$2:$B7681=$B7682, $A$2:$A7681+$C$2:$C7681)), "")*24*60, "")</f>
        <v>0</v>
      </c>
      <c r="J7682" s="24" t="str" cm="1">
        <f t="array" ref="J7682">IFERROR(IF($B7682=J$1, ($A7682+$C7682) - MAX(IF($B$2:$B7681=$B7682, $A$2:$A7681+$C$2:$C7681)), "")*24*60, "")</f>
        <v/>
      </c>
      <c r="K7682" s="24" t="str" cm="1">
        <f t="array" ref="K7682">IFERROR(IF($B7682=K$1, ($A7682+$C7682) - MAX(IF($B$2:$B7681=$B7682, $A$2:$A7681+$C$2:$C7681)), "")*24*60, "")</f>
        <v/>
      </c>
      <c r="L7682" s="24" t="str" cm="1">
        <f t="array" ref="L7682">IFERROR(IF($B7682=L$1, ($A7682+$C7682) - MAX(IF($B$2:$B7681=$B7682, $A$2:$A7681+$C$2:$C7681)), "")*24*60, "")</f>
        <v/>
      </c>
      <c r="M7682" s="24" t="str" cm="1">
        <f t="array" ref="M7682">IFERROR(IF($B7682=M$1, ($A7682+$C7682) - MAX(IF($B$2:$B7681=$B7682, $A$2:$A7681+$C$2:$C7681)), "")*24*60, "")</f>
        <v/>
      </c>
      <c r="N7682" s="24" t="str" cm="1">
        <f t="array" ref="N7682">IFERROR(IF($B7682=N$1, ($A7682+$C7682) - MAX(IF($B$2:$B7681=$B7682, $A$2:$A7681+$C$2:$C7681)), "")*24*60, "")</f>
        <v/>
      </c>
      <c r="O7682" s="24" t="str" cm="1">
        <f t="array" ref="O7682">IFERROR(IF($B7682=O$1, ($A7682+$C7682) - MAX(IF($B$2:$B7681=$B7682, $A$2:$A7681+$C$2:$C7681)), "")*24*60, "")</f>
        <v/>
      </c>
      <c r="P7682" s="24" t="str" cm="1">
        <f t="array" ref="P7682">IFERROR(IF($B7682=P$1, ($A7682+$C7682) - MAX(IF($B$2:$B7681=$B7682, $A$2:$A7681+$C$2:$C7681)), "")*24*60, "")</f>
        <v/>
      </c>
      <c r="Q7682" s="24" t="str" cm="1">
        <f t="array" ref="Q7682">IFERROR(IF($B7682=Q$1, ($A7682+$C7682) - MAX(IF($B$2:$B7681=$B7682, $A$2:$A7681+$C$2:$C7681)), "")*24*60, "")</f>
        <v/>
      </c>
      <c r="R7682" s="24" t="str" cm="1">
        <f t="array" ref="R7682">IFERROR(IF($B7682=R$1, ($A7682+$C7682) - MAX(IF($B$2:$B7681=$B7682, $A$2:$A7681+$C$2:$C7681)), "")*24*60, "")</f>
        <v/>
      </c>
      <c r="S7682" s="24" t="str" cm="1">
        <f t="array" ref="S7682">IFERROR(IF($B7682=S$1, ($A7682+$C7682) - MAX(IF($B$2:$B7681=$B7682, $A$2:$A7681+$C$2:$C7681)), "")*24*60, "")</f>
        <v/>
      </c>
    </row>
    <row r="7683" spans="1:19" x14ac:dyDescent="0.2">
      <c r="A7683" s="12">
        <f t="shared" ref="A7683:C7683" si="1515">A7682</f>
        <v>46018</v>
      </c>
      <c r="B7683" s="5" t="str">
        <f t="shared" si="1515"/>
        <v>Northern Cardinal</v>
      </c>
      <c r="C7683" s="6">
        <f t="shared" si="1515"/>
        <v>0.29166666666666669</v>
      </c>
      <c r="D7683" s="5"/>
      <c r="E7683" s="5"/>
      <c r="F7683" s="5" t="s">
        <v>9</v>
      </c>
      <c r="G7683" s="15" t="s">
        <v>8</v>
      </c>
      <c r="H7683" s="24">
        <f t="shared" si="1475"/>
        <v>0</v>
      </c>
      <c r="I7683" s="24" cm="1">
        <f t="array" ref="I7683">IFERROR(IF($B7683=I$1, ($A7683+$C7683) - MAX(IF($B$2:$B7682=$B7683, $A$2:$A7682+$C$2:$C7682)), "")*24*60, "")</f>
        <v>0</v>
      </c>
      <c r="J7683" s="24" t="str" cm="1">
        <f t="array" ref="J7683">IFERROR(IF($B7683=J$1, ($A7683+$C7683) - MAX(IF($B$2:$B7682=$B7683, $A$2:$A7682+$C$2:$C7682)), "")*24*60, "")</f>
        <v/>
      </c>
      <c r="K7683" s="24" t="str" cm="1">
        <f t="array" ref="K7683">IFERROR(IF($B7683=K$1, ($A7683+$C7683) - MAX(IF($B$2:$B7682=$B7683, $A$2:$A7682+$C$2:$C7682)), "")*24*60, "")</f>
        <v/>
      </c>
      <c r="L7683" s="24" t="str" cm="1">
        <f t="array" ref="L7683">IFERROR(IF($B7683=L$1, ($A7683+$C7683) - MAX(IF($B$2:$B7682=$B7683, $A$2:$A7682+$C$2:$C7682)), "")*24*60, "")</f>
        <v/>
      </c>
      <c r="M7683" s="24" t="str" cm="1">
        <f t="array" ref="M7683">IFERROR(IF($B7683=M$1, ($A7683+$C7683) - MAX(IF($B$2:$B7682=$B7683, $A$2:$A7682+$C$2:$C7682)), "")*24*60, "")</f>
        <v/>
      </c>
      <c r="N7683" s="24" t="str" cm="1">
        <f t="array" ref="N7683">IFERROR(IF($B7683=N$1, ($A7683+$C7683) - MAX(IF($B$2:$B7682=$B7683, $A$2:$A7682+$C$2:$C7682)), "")*24*60, "")</f>
        <v/>
      </c>
      <c r="O7683" s="24" t="str" cm="1">
        <f t="array" ref="O7683">IFERROR(IF($B7683=O$1, ($A7683+$C7683) - MAX(IF($B$2:$B7682=$B7683, $A$2:$A7682+$C$2:$C7682)), "")*24*60, "")</f>
        <v/>
      </c>
      <c r="P7683" s="24" t="str" cm="1">
        <f t="array" ref="P7683">IFERROR(IF($B7683=P$1, ($A7683+$C7683) - MAX(IF($B$2:$B7682=$B7683, $A$2:$A7682+$C$2:$C7682)), "")*24*60, "")</f>
        <v/>
      </c>
      <c r="Q7683" s="24" t="str" cm="1">
        <f t="array" ref="Q7683">IFERROR(IF($B7683=Q$1, ($A7683+$C7683) - MAX(IF($B$2:$B7682=$B7683, $A$2:$A7682+$C$2:$C7682)), "")*24*60, "")</f>
        <v/>
      </c>
      <c r="R7683" s="24" t="str" cm="1">
        <f t="array" ref="R7683">IFERROR(IF($B7683=R$1, ($A7683+$C7683) - MAX(IF($B$2:$B7682=$B7683, $A$2:$A7682+$C$2:$C7682)), "")*24*60, "")</f>
        <v/>
      </c>
      <c r="S7683" s="24" t="str" cm="1">
        <f t="array" ref="S7683">IFERROR(IF($B7683=S$1, ($A7683+$C7683) - MAX(IF($B$2:$B7682=$B7683, $A$2:$A7682+$C$2:$C7682)), "")*24*60, "")</f>
        <v/>
      </c>
    </row>
    <row r="7684" spans="1:19" x14ac:dyDescent="0.2">
      <c r="A7684" s="12">
        <f t="shared" ref="A7684:C7684" si="1516">A7683</f>
        <v>46018</v>
      </c>
      <c r="B7684" s="5" t="str">
        <f t="shared" si="1516"/>
        <v>Northern Cardinal</v>
      </c>
      <c r="C7684" s="6">
        <f t="shared" si="1516"/>
        <v>0.29166666666666669</v>
      </c>
      <c r="D7684" s="5"/>
      <c r="E7684" s="5"/>
      <c r="F7684" s="5" t="s">
        <v>9</v>
      </c>
      <c r="G7684" s="15" t="s">
        <v>8</v>
      </c>
      <c r="H7684" s="24">
        <f t="shared" si="1475"/>
        <v>0</v>
      </c>
      <c r="I7684" s="24" cm="1">
        <f t="array" ref="I7684">IFERROR(IF($B7684=I$1, ($A7684+$C7684) - MAX(IF($B$2:$B7683=$B7684, $A$2:$A7683+$C$2:$C7683)), "")*24*60, "")</f>
        <v>0</v>
      </c>
      <c r="J7684" s="24" t="str" cm="1">
        <f t="array" ref="J7684">IFERROR(IF($B7684=J$1, ($A7684+$C7684) - MAX(IF($B$2:$B7683=$B7684, $A$2:$A7683+$C$2:$C7683)), "")*24*60, "")</f>
        <v/>
      </c>
      <c r="K7684" s="24" t="str" cm="1">
        <f t="array" ref="K7684">IFERROR(IF($B7684=K$1, ($A7684+$C7684) - MAX(IF($B$2:$B7683=$B7684, $A$2:$A7683+$C$2:$C7683)), "")*24*60, "")</f>
        <v/>
      </c>
      <c r="L7684" s="24" t="str" cm="1">
        <f t="array" ref="L7684">IFERROR(IF($B7684=L$1, ($A7684+$C7684) - MAX(IF($B$2:$B7683=$B7684, $A$2:$A7683+$C$2:$C7683)), "")*24*60, "")</f>
        <v/>
      </c>
      <c r="M7684" s="24" t="str" cm="1">
        <f t="array" ref="M7684">IFERROR(IF($B7684=M$1, ($A7684+$C7684) - MAX(IF($B$2:$B7683=$B7684, $A$2:$A7683+$C$2:$C7683)), "")*24*60, "")</f>
        <v/>
      </c>
      <c r="N7684" s="24" t="str" cm="1">
        <f t="array" ref="N7684">IFERROR(IF($B7684=N$1, ($A7684+$C7684) - MAX(IF($B$2:$B7683=$B7684, $A$2:$A7683+$C$2:$C7683)), "")*24*60, "")</f>
        <v/>
      </c>
      <c r="O7684" s="24" t="str" cm="1">
        <f t="array" ref="O7684">IFERROR(IF($B7684=O$1, ($A7684+$C7684) - MAX(IF($B$2:$B7683=$B7684, $A$2:$A7683+$C$2:$C7683)), "")*24*60, "")</f>
        <v/>
      </c>
      <c r="P7684" s="24" t="str" cm="1">
        <f t="array" ref="P7684">IFERROR(IF($B7684=P$1, ($A7684+$C7684) - MAX(IF($B$2:$B7683=$B7684, $A$2:$A7683+$C$2:$C7683)), "")*24*60, "")</f>
        <v/>
      </c>
      <c r="Q7684" s="24" t="str" cm="1">
        <f t="array" ref="Q7684">IFERROR(IF($B7684=Q$1, ($A7684+$C7684) - MAX(IF($B$2:$B7683=$B7684, $A$2:$A7683+$C$2:$C7683)), "")*24*60, "")</f>
        <v/>
      </c>
      <c r="R7684" s="24" t="str" cm="1">
        <f t="array" ref="R7684">IFERROR(IF($B7684=R$1, ($A7684+$C7684) - MAX(IF($B$2:$B7683=$B7684, $A$2:$A7683+$C$2:$C7683)), "")*24*60, "")</f>
        <v/>
      </c>
      <c r="S7684" s="24" t="str" cm="1">
        <f t="array" ref="S7684">IFERROR(IF($B7684=S$1, ($A7684+$C7684) - MAX(IF($B$2:$B7683=$B7684, $A$2:$A7683+$C$2:$C7683)), "")*24*60, "")</f>
        <v/>
      </c>
    </row>
    <row r="7685" spans="1:19" x14ac:dyDescent="0.2">
      <c r="A7685" s="12">
        <f t="shared" ref="A7685:C7685" si="1517">A7684</f>
        <v>46018</v>
      </c>
      <c r="B7685" s="5" t="str">
        <f t="shared" si="1517"/>
        <v>Northern Cardinal</v>
      </c>
      <c r="C7685" s="6">
        <f t="shared" si="1517"/>
        <v>0.29166666666666669</v>
      </c>
      <c r="D7685" s="5"/>
      <c r="E7685" s="5"/>
      <c r="F7685" s="5" t="s">
        <v>9</v>
      </c>
      <c r="G7685" s="15" t="s">
        <v>8</v>
      </c>
      <c r="H7685" s="24">
        <f t="shared" si="1475"/>
        <v>0</v>
      </c>
      <c r="I7685" s="24" cm="1">
        <f t="array" ref="I7685">IFERROR(IF($B7685=I$1, ($A7685+$C7685) - MAX(IF($B$2:$B7684=$B7685, $A$2:$A7684+$C$2:$C7684)), "")*24*60, "")</f>
        <v>0</v>
      </c>
      <c r="J7685" s="24" t="str" cm="1">
        <f t="array" ref="J7685">IFERROR(IF($B7685=J$1, ($A7685+$C7685) - MAX(IF($B$2:$B7684=$B7685, $A$2:$A7684+$C$2:$C7684)), "")*24*60, "")</f>
        <v/>
      </c>
      <c r="K7685" s="24" t="str" cm="1">
        <f t="array" ref="K7685">IFERROR(IF($B7685=K$1, ($A7685+$C7685) - MAX(IF($B$2:$B7684=$B7685, $A$2:$A7684+$C$2:$C7684)), "")*24*60, "")</f>
        <v/>
      </c>
      <c r="L7685" s="24" t="str" cm="1">
        <f t="array" ref="L7685">IFERROR(IF($B7685=L$1, ($A7685+$C7685) - MAX(IF($B$2:$B7684=$B7685, $A$2:$A7684+$C$2:$C7684)), "")*24*60, "")</f>
        <v/>
      </c>
      <c r="M7685" s="24" t="str" cm="1">
        <f t="array" ref="M7685">IFERROR(IF($B7685=M$1, ($A7685+$C7685) - MAX(IF($B$2:$B7684=$B7685, $A$2:$A7684+$C$2:$C7684)), "")*24*60, "")</f>
        <v/>
      </c>
      <c r="N7685" s="24" t="str" cm="1">
        <f t="array" ref="N7685">IFERROR(IF($B7685=N$1, ($A7685+$C7685) - MAX(IF($B$2:$B7684=$B7685, $A$2:$A7684+$C$2:$C7684)), "")*24*60, "")</f>
        <v/>
      </c>
      <c r="O7685" s="24" t="str" cm="1">
        <f t="array" ref="O7685">IFERROR(IF($B7685=O$1, ($A7685+$C7685) - MAX(IF($B$2:$B7684=$B7685, $A$2:$A7684+$C$2:$C7684)), "")*24*60, "")</f>
        <v/>
      </c>
      <c r="P7685" s="24" t="str" cm="1">
        <f t="array" ref="P7685">IFERROR(IF($B7685=P$1, ($A7685+$C7685) - MAX(IF($B$2:$B7684=$B7685, $A$2:$A7684+$C$2:$C7684)), "")*24*60, "")</f>
        <v/>
      </c>
      <c r="Q7685" s="24" t="str" cm="1">
        <f t="array" ref="Q7685">IFERROR(IF($B7685=Q$1, ($A7685+$C7685) - MAX(IF($B$2:$B7684=$B7685, $A$2:$A7684+$C$2:$C7684)), "")*24*60, "")</f>
        <v/>
      </c>
      <c r="R7685" s="24" t="str" cm="1">
        <f t="array" ref="R7685">IFERROR(IF($B7685=R$1, ($A7685+$C7685) - MAX(IF($B$2:$B7684=$B7685, $A$2:$A7684+$C$2:$C7684)), "")*24*60, "")</f>
        <v/>
      </c>
      <c r="S7685" s="24" t="str" cm="1">
        <f t="array" ref="S7685">IFERROR(IF($B7685=S$1, ($A7685+$C7685) - MAX(IF($B$2:$B7684=$B7685, $A$2:$A7684+$C$2:$C7684)), "")*24*60, "")</f>
        <v/>
      </c>
    </row>
    <row r="7686" spans="1:19" x14ac:dyDescent="0.2">
      <c r="A7686" s="12">
        <f t="shared" ref="A7686:C7686" si="1518">A7685</f>
        <v>46018</v>
      </c>
      <c r="B7686" s="5" t="str">
        <f t="shared" si="1518"/>
        <v>Northern Cardinal</v>
      </c>
      <c r="C7686" s="6">
        <f t="shared" si="1518"/>
        <v>0.29166666666666669</v>
      </c>
      <c r="D7686" s="5"/>
      <c r="E7686" s="5"/>
      <c r="F7686" s="5" t="s">
        <v>9</v>
      </c>
      <c r="G7686" s="15" t="s">
        <v>8</v>
      </c>
      <c r="H7686" s="24">
        <f t="shared" si="1475"/>
        <v>0</v>
      </c>
      <c r="I7686" s="24" cm="1">
        <f t="array" ref="I7686">IFERROR(IF($B7686=I$1, ($A7686+$C7686) - MAX(IF($B$2:$B7685=$B7686, $A$2:$A7685+$C$2:$C7685)), "")*24*60, "")</f>
        <v>0</v>
      </c>
      <c r="J7686" s="24" t="str" cm="1">
        <f t="array" ref="J7686">IFERROR(IF($B7686=J$1, ($A7686+$C7686) - MAX(IF($B$2:$B7685=$B7686, $A$2:$A7685+$C$2:$C7685)), "")*24*60, "")</f>
        <v/>
      </c>
      <c r="K7686" s="24" t="str" cm="1">
        <f t="array" ref="K7686">IFERROR(IF($B7686=K$1, ($A7686+$C7686) - MAX(IF($B$2:$B7685=$B7686, $A$2:$A7685+$C$2:$C7685)), "")*24*60, "")</f>
        <v/>
      </c>
      <c r="L7686" s="24" t="str" cm="1">
        <f t="array" ref="L7686">IFERROR(IF($B7686=L$1, ($A7686+$C7686) - MAX(IF($B$2:$B7685=$B7686, $A$2:$A7685+$C$2:$C7685)), "")*24*60, "")</f>
        <v/>
      </c>
      <c r="M7686" s="24" t="str" cm="1">
        <f t="array" ref="M7686">IFERROR(IF($B7686=M$1, ($A7686+$C7686) - MAX(IF($B$2:$B7685=$B7686, $A$2:$A7685+$C$2:$C7685)), "")*24*60, "")</f>
        <v/>
      </c>
      <c r="N7686" s="24" t="str" cm="1">
        <f t="array" ref="N7686">IFERROR(IF($B7686=N$1, ($A7686+$C7686) - MAX(IF($B$2:$B7685=$B7686, $A$2:$A7685+$C$2:$C7685)), "")*24*60, "")</f>
        <v/>
      </c>
      <c r="O7686" s="24" t="str" cm="1">
        <f t="array" ref="O7686">IFERROR(IF($B7686=O$1, ($A7686+$C7686) - MAX(IF($B$2:$B7685=$B7686, $A$2:$A7685+$C$2:$C7685)), "")*24*60, "")</f>
        <v/>
      </c>
      <c r="P7686" s="24" t="str" cm="1">
        <f t="array" ref="P7686">IFERROR(IF($B7686=P$1, ($A7686+$C7686) - MAX(IF($B$2:$B7685=$B7686, $A$2:$A7685+$C$2:$C7685)), "")*24*60, "")</f>
        <v/>
      </c>
      <c r="Q7686" s="24" t="str" cm="1">
        <f t="array" ref="Q7686">IFERROR(IF($B7686=Q$1, ($A7686+$C7686) - MAX(IF($B$2:$B7685=$B7686, $A$2:$A7685+$C$2:$C7685)), "")*24*60, "")</f>
        <v/>
      </c>
      <c r="R7686" s="24" t="str" cm="1">
        <f t="array" ref="R7686">IFERROR(IF($B7686=R$1, ($A7686+$C7686) - MAX(IF($B$2:$B7685=$B7686, $A$2:$A7685+$C$2:$C7685)), "")*24*60, "")</f>
        <v/>
      </c>
      <c r="S7686" s="24" t="str" cm="1">
        <f t="array" ref="S7686">IFERROR(IF($B7686=S$1, ($A7686+$C7686) - MAX(IF($B$2:$B7685=$B7686, $A$2:$A7685+$C$2:$C7685)), "")*24*60, "")</f>
        <v/>
      </c>
    </row>
    <row r="7687" spans="1:19" x14ac:dyDescent="0.2">
      <c r="A7687" s="12">
        <f t="shared" ref="A7687:C7687" si="1519">A7686</f>
        <v>46018</v>
      </c>
      <c r="B7687" s="5" t="str">
        <f t="shared" si="1519"/>
        <v>Northern Cardinal</v>
      </c>
      <c r="C7687" s="6">
        <f t="shared" si="1519"/>
        <v>0.29166666666666669</v>
      </c>
      <c r="D7687" s="5"/>
      <c r="E7687" s="5"/>
      <c r="F7687" s="5" t="s">
        <v>9</v>
      </c>
      <c r="G7687" s="15" t="s">
        <v>8</v>
      </c>
      <c r="H7687" s="24">
        <f t="shared" si="1475"/>
        <v>0</v>
      </c>
      <c r="I7687" s="24" cm="1">
        <f t="array" ref="I7687">IFERROR(IF($B7687=I$1, ($A7687+$C7687) - MAX(IF($B$2:$B7686=$B7687, $A$2:$A7686+$C$2:$C7686)), "")*24*60, "")</f>
        <v>0</v>
      </c>
      <c r="J7687" s="24" t="str" cm="1">
        <f t="array" ref="J7687">IFERROR(IF($B7687=J$1, ($A7687+$C7687) - MAX(IF($B$2:$B7686=$B7687, $A$2:$A7686+$C$2:$C7686)), "")*24*60, "")</f>
        <v/>
      </c>
      <c r="K7687" s="24" t="str" cm="1">
        <f t="array" ref="K7687">IFERROR(IF($B7687=K$1, ($A7687+$C7687) - MAX(IF($B$2:$B7686=$B7687, $A$2:$A7686+$C$2:$C7686)), "")*24*60, "")</f>
        <v/>
      </c>
      <c r="L7687" s="24" t="str" cm="1">
        <f t="array" ref="L7687">IFERROR(IF($B7687=L$1, ($A7687+$C7687) - MAX(IF($B$2:$B7686=$B7687, $A$2:$A7686+$C$2:$C7686)), "")*24*60, "")</f>
        <v/>
      </c>
      <c r="M7687" s="24" t="str" cm="1">
        <f t="array" ref="M7687">IFERROR(IF($B7687=M$1, ($A7687+$C7687) - MAX(IF($B$2:$B7686=$B7687, $A$2:$A7686+$C$2:$C7686)), "")*24*60, "")</f>
        <v/>
      </c>
      <c r="N7687" s="24" t="str" cm="1">
        <f t="array" ref="N7687">IFERROR(IF($B7687=N$1, ($A7687+$C7687) - MAX(IF($B$2:$B7686=$B7687, $A$2:$A7686+$C$2:$C7686)), "")*24*60, "")</f>
        <v/>
      </c>
      <c r="O7687" s="24" t="str" cm="1">
        <f t="array" ref="O7687">IFERROR(IF($B7687=O$1, ($A7687+$C7687) - MAX(IF($B$2:$B7686=$B7687, $A$2:$A7686+$C$2:$C7686)), "")*24*60, "")</f>
        <v/>
      </c>
      <c r="P7687" s="24" t="str" cm="1">
        <f t="array" ref="P7687">IFERROR(IF($B7687=P$1, ($A7687+$C7687) - MAX(IF($B$2:$B7686=$B7687, $A$2:$A7686+$C$2:$C7686)), "")*24*60, "")</f>
        <v/>
      </c>
      <c r="Q7687" s="24" t="str" cm="1">
        <f t="array" ref="Q7687">IFERROR(IF($B7687=Q$1, ($A7687+$C7687) - MAX(IF($B$2:$B7686=$B7687, $A$2:$A7686+$C$2:$C7686)), "")*24*60, "")</f>
        <v/>
      </c>
      <c r="R7687" s="24" t="str" cm="1">
        <f t="array" ref="R7687">IFERROR(IF($B7687=R$1, ($A7687+$C7687) - MAX(IF($B$2:$B7686=$B7687, $A$2:$A7686+$C$2:$C7686)), "")*24*60, "")</f>
        <v/>
      </c>
      <c r="S7687" s="24" t="str" cm="1">
        <f t="array" ref="S7687">IFERROR(IF($B7687=S$1, ($A7687+$C7687) - MAX(IF($B$2:$B7686=$B7687, $A$2:$A7686+$C$2:$C7686)), "")*24*60, "")</f>
        <v/>
      </c>
    </row>
    <row r="7688" spans="1:19" x14ac:dyDescent="0.2">
      <c r="A7688" s="12">
        <f t="shared" ref="A7688:C7688" si="1520">A7687</f>
        <v>46018</v>
      </c>
      <c r="B7688" s="5" t="str">
        <f t="shared" si="1520"/>
        <v>Northern Cardinal</v>
      </c>
      <c r="C7688" s="6">
        <f t="shared" si="1520"/>
        <v>0.29166666666666669</v>
      </c>
      <c r="D7688" s="5"/>
      <c r="E7688" s="5"/>
      <c r="F7688" s="5" t="s">
        <v>9</v>
      </c>
      <c r="G7688" s="15" t="s">
        <v>8</v>
      </c>
      <c r="H7688" s="24">
        <f t="shared" si="1475"/>
        <v>0</v>
      </c>
      <c r="I7688" s="24" cm="1">
        <f t="array" ref="I7688">IFERROR(IF($B7688=I$1, ($A7688+$C7688) - MAX(IF($B$2:$B7687=$B7688, $A$2:$A7687+$C$2:$C7687)), "")*24*60, "")</f>
        <v>0</v>
      </c>
      <c r="J7688" s="24" t="str" cm="1">
        <f t="array" ref="J7688">IFERROR(IF($B7688=J$1, ($A7688+$C7688) - MAX(IF($B$2:$B7687=$B7688, $A$2:$A7687+$C$2:$C7687)), "")*24*60, "")</f>
        <v/>
      </c>
      <c r="K7688" s="24" t="str" cm="1">
        <f t="array" ref="K7688">IFERROR(IF($B7688=K$1, ($A7688+$C7688) - MAX(IF($B$2:$B7687=$B7688, $A$2:$A7687+$C$2:$C7687)), "")*24*60, "")</f>
        <v/>
      </c>
      <c r="L7688" s="24" t="str" cm="1">
        <f t="array" ref="L7688">IFERROR(IF($B7688=L$1, ($A7688+$C7688) - MAX(IF($B$2:$B7687=$B7688, $A$2:$A7687+$C$2:$C7687)), "")*24*60, "")</f>
        <v/>
      </c>
      <c r="M7688" s="24" t="str" cm="1">
        <f t="array" ref="M7688">IFERROR(IF($B7688=M$1, ($A7688+$C7688) - MAX(IF($B$2:$B7687=$B7688, $A$2:$A7687+$C$2:$C7687)), "")*24*60, "")</f>
        <v/>
      </c>
      <c r="N7688" s="24" t="str" cm="1">
        <f t="array" ref="N7688">IFERROR(IF($B7688=N$1, ($A7688+$C7688) - MAX(IF($B$2:$B7687=$B7688, $A$2:$A7687+$C$2:$C7687)), "")*24*60, "")</f>
        <v/>
      </c>
      <c r="O7688" s="24" t="str" cm="1">
        <f t="array" ref="O7688">IFERROR(IF($B7688=O$1, ($A7688+$C7688) - MAX(IF($B$2:$B7687=$B7688, $A$2:$A7687+$C$2:$C7687)), "")*24*60, "")</f>
        <v/>
      </c>
      <c r="P7688" s="24" t="str" cm="1">
        <f t="array" ref="P7688">IFERROR(IF($B7688=P$1, ($A7688+$C7688) - MAX(IF($B$2:$B7687=$B7688, $A$2:$A7687+$C$2:$C7687)), "")*24*60, "")</f>
        <v/>
      </c>
      <c r="Q7688" s="24" t="str" cm="1">
        <f t="array" ref="Q7688">IFERROR(IF($B7688=Q$1, ($A7688+$C7688) - MAX(IF($B$2:$B7687=$B7688, $A$2:$A7687+$C$2:$C7687)), "")*24*60, "")</f>
        <v/>
      </c>
      <c r="R7688" s="24" t="str" cm="1">
        <f t="array" ref="R7688">IFERROR(IF($B7688=R$1, ($A7688+$C7688) - MAX(IF($B$2:$B7687=$B7688, $A$2:$A7687+$C$2:$C7687)), "")*24*60, "")</f>
        <v/>
      </c>
      <c r="S7688" s="24" t="str" cm="1">
        <f t="array" ref="S7688">IFERROR(IF($B7688=S$1, ($A7688+$C7688) - MAX(IF($B$2:$B7687=$B7688, $A$2:$A7687+$C$2:$C7687)), "")*24*60, "")</f>
        <v/>
      </c>
    </row>
    <row r="7689" spans="1:19" x14ac:dyDescent="0.2">
      <c r="A7689" s="12">
        <f t="shared" ref="A7689:C7689" si="1521">A7688</f>
        <v>46018</v>
      </c>
      <c r="B7689" s="5" t="str">
        <f t="shared" si="1521"/>
        <v>Northern Cardinal</v>
      </c>
      <c r="C7689" s="6">
        <f t="shared" si="1521"/>
        <v>0.29166666666666669</v>
      </c>
      <c r="D7689" s="5"/>
      <c r="E7689" s="5"/>
      <c r="F7689" s="5" t="s">
        <v>9</v>
      </c>
      <c r="G7689" s="15" t="s">
        <v>8</v>
      </c>
      <c r="H7689" s="24">
        <f t="shared" si="1475"/>
        <v>0</v>
      </c>
      <c r="I7689" s="24" cm="1">
        <f t="array" ref="I7689">IFERROR(IF($B7689=I$1, ($A7689+$C7689) - MAX(IF($B$2:$B7688=$B7689, $A$2:$A7688+$C$2:$C7688)), "")*24*60, "")</f>
        <v>0</v>
      </c>
      <c r="J7689" s="24" t="str" cm="1">
        <f t="array" ref="J7689">IFERROR(IF($B7689=J$1, ($A7689+$C7689) - MAX(IF($B$2:$B7688=$B7689, $A$2:$A7688+$C$2:$C7688)), "")*24*60, "")</f>
        <v/>
      </c>
      <c r="K7689" s="24" t="str" cm="1">
        <f t="array" ref="K7689">IFERROR(IF($B7689=K$1, ($A7689+$C7689) - MAX(IF($B$2:$B7688=$B7689, $A$2:$A7688+$C$2:$C7688)), "")*24*60, "")</f>
        <v/>
      </c>
      <c r="L7689" s="24" t="str" cm="1">
        <f t="array" ref="L7689">IFERROR(IF($B7689=L$1, ($A7689+$C7689) - MAX(IF($B$2:$B7688=$B7689, $A$2:$A7688+$C$2:$C7688)), "")*24*60, "")</f>
        <v/>
      </c>
      <c r="M7689" s="24" t="str" cm="1">
        <f t="array" ref="M7689">IFERROR(IF($B7689=M$1, ($A7689+$C7689) - MAX(IF($B$2:$B7688=$B7689, $A$2:$A7688+$C$2:$C7688)), "")*24*60, "")</f>
        <v/>
      </c>
      <c r="N7689" s="24" t="str" cm="1">
        <f t="array" ref="N7689">IFERROR(IF($B7689=N$1, ($A7689+$C7689) - MAX(IF($B$2:$B7688=$B7689, $A$2:$A7688+$C$2:$C7688)), "")*24*60, "")</f>
        <v/>
      </c>
      <c r="O7689" s="24" t="str" cm="1">
        <f t="array" ref="O7689">IFERROR(IF($B7689=O$1, ($A7689+$C7689) - MAX(IF($B$2:$B7688=$B7689, $A$2:$A7688+$C$2:$C7688)), "")*24*60, "")</f>
        <v/>
      </c>
      <c r="P7689" s="24" t="str" cm="1">
        <f t="array" ref="P7689">IFERROR(IF($B7689=P$1, ($A7689+$C7689) - MAX(IF($B$2:$B7688=$B7689, $A$2:$A7688+$C$2:$C7688)), "")*24*60, "")</f>
        <v/>
      </c>
      <c r="Q7689" s="24" t="str" cm="1">
        <f t="array" ref="Q7689">IFERROR(IF($B7689=Q$1, ($A7689+$C7689) - MAX(IF($B$2:$B7688=$B7689, $A$2:$A7688+$C$2:$C7688)), "")*24*60, "")</f>
        <v/>
      </c>
      <c r="R7689" s="24" t="str" cm="1">
        <f t="array" ref="R7689">IFERROR(IF($B7689=R$1, ($A7689+$C7689) - MAX(IF($B$2:$B7688=$B7689, $A$2:$A7688+$C$2:$C7688)), "")*24*60, "")</f>
        <v/>
      </c>
      <c r="S7689" s="24" t="str" cm="1">
        <f t="array" ref="S7689">IFERROR(IF($B7689=S$1, ($A7689+$C7689) - MAX(IF($B$2:$B7688=$B7689, $A$2:$A7688+$C$2:$C7688)), "")*24*60, "")</f>
        <v/>
      </c>
    </row>
    <row r="7690" spans="1:19" x14ac:dyDescent="0.2">
      <c r="A7690" s="12">
        <f t="shared" ref="A7690:C7690" si="1522">A7689</f>
        <v>46018</v>
      </c>
      <c r="B7690" s="5" t="str">
        <f t="shared" si="1522"/>
        <v>Northern Cardinal</v>
      </c>
      <c r="C7690" s="6">
        <f t="shared" si="1522"/>
        <v>0.29166666666666669</v>
      </c>
      <c r="D7690" s="5"/>
      <c r="E7690" s="5"/>
      <c r="F7690" s="5" t="s">
        <v>9</v>
      </c>
      <c r="G7690" s="15" t="s">
        <v>8</v>
      </c>
      <c r="H7690" s="24">
        <f t="shared" si="1475"/>
        <v>0</v>
      </c>
      <c r="I7690" s="24" cm="1">
        <f t="array" ref="I7690">IFERROR(IF($B7690=I$1, ($A7690+$C7690) - MAX(IF($B$2:$B7689=$B7690, $A$2:$A7689+$C$2:$C7689)), "")*24*60, "")</f>
        <v>0</v>
      </c>
      <c r="J7690" s="24" t="str" cm="1">
        <f t="array" ref="J7690">IFERROR(IF($B7690=J$1, ($A7690+$C7690) - MAX(IF($B$2:$B7689=$B7690, $A$2:$A7689+$C$2:$C7689)), "")*24*60, "")</f>
        <v/>
      </c>
      <c r="K7690" s="24" t="str" cm="1">
        <f t="array" ref="K7690">IFERROR(IF($B7690=K$1, ($A7690+$C7690) - MAX(IF($B$2:$B7689=$B7690, $A$2:$A7689+$C$2:$C7689)), "")*24*60, "")</f>
        <v/>
      </c>
      <c r="L7690" s="24" t="str" cm="1">
        <f t="array" ref="L7690">IFERROR(IF($B7690=L$1, ($A7690+$C7690) - MAX(IF($B$2:$B7689=$B7690, $A$2:$A7689+$C$2:$C7689)), "")*24*60, "")</f>
        <v/>
      </c>
      <c r="M7690" s="24" t="str" cm="1">
        <f t="array" ref="M7690">IFERROR(IF($B7690=M$1, ($A7690+$C7690) - MAX(IF($B$2:$B7689=$B7690, $A$2:$A7689+$C$2:$C7689)), "")*24*60, "")</f>
        <v/>
      </c>
      <c r="N7690" s="24" t="str" cm="1">
        <f t="array" ref="N7690">IFERROR(IF($B7690=N$1, ($A7690+$C7690) - MAX(IF($B$2:$B7689=$B7690, $A$2:$A7689+$C$2:$C7689)), "")*24*60, "")</f>
        <v/>
      </c>
      <c r="O7690" s="24" t="str" cm="1">
        <f t="array" ref="O7690">IFERROR(IF($B7690=O$1, ($A7690+$C7690) - MAX(IF($B$2:$B7689=$B7690, $A$2:$A7689+$C$2:$C7689)), "")*24*60, "")</f>
        <v/>
      </c>
      <c r="P7690" s="24" t="str" cm="1">
        <f t="array" ref="P7690">IFERROR(IF($B7690=P$1, ($A7690+$C7690) - MAX(IF($B$2:$B7689=$B7690, $A$2:$A7689+$C$2:$C7689)), "")*24*60, "")</f>
        <v/>
      </c>
      <c r="Q7690" s="24" t="str" cm="1">
        <f t="array" ref="Q7690">IFERROR(IF($B7690=Q$1, ($A7690+$C7690) - MAX(IF($B$2:$B7689=$B7690, $A$2:$A7689+$C$2:$C7689)), "")*24*60, "")</f>
        <v/>
      </c>
      <c r="R7690" s="24" t="str" cm="1">
        <f t="array" ref="R7690">IFERROR(IF($B7690=R$1, ($A7690+$C7690) - MAX(IF($B$2:$B7689=$B7690, $A$2:$A7689+$C$2:$C7689)), "")*24*60, "")</f>
        <v/>
      </c>
      <c r="S7690" s="24" t="str" cm="1">
        <f t="array" ref="S7690">IFERROR(IF($B7690=S$1, ($A7690+$C7690) - MAX(IF($B$2:$B7689=$B7690, $A$2:$A7689+$C$2:$C7689)), "")*24*60, "")</f>
        <v/>
      </c>
    </row>
    <row r="7691" spans="1:19" x14ac:dyDescent="0.2">
      <c r="A7691" s="12">
        <f t="shared" ref="A7691:C7691" si="1523">A7690</f>
        <v>46018</v>
      </c>
      <c r="B7691" s="5" t="str">
        <f t="shared" si="1523"/>
        <v>Northern Cardinal</v>
      </c>
      <c r="C7691" s="6">
        <f t="shared" si="1523"/>
        <v>0.29166666666666669</v>
      </c>
      <c r="D7691" s="5"/>
      <c r="E7691" s="5"/>
      <c r="F7691" s="5" t="s">
        <v>9</v>
      </c>
      <c r="G7691" s="15" t="s">
        <v>8</v>
      </c>
      <c r="H7691" s="24">
        <f t="shared" si="1475"/>
        <v>0</v>
      </c>
      <c r="I7691" s="24" cm="1">
        <f t="array" ref="I7691">IFERROR(IF($B7691=I$1, ($A7691+$C7691) - MAX(IF($B$2:$B7690=$B7691, $A$2:$A7690+$C$2:$C7690)), "")*24*60, "")</f>
        <v>0</v>
      </c>
      <c r="J7691" s="24" t="str" cm="1">
        <f t="array" ref="J7691">IFERROR(IF($B7691=J$1, ($A7691+$C7691) - MAX(IF($B$2:$B7690=$B7691, $A$2:$A7690+$C$2:$C7690)), "")*24*60, "")</f>
        <v/>
      </c>
      <c r="K7691" s="24" t="str" cm="1">
        <f t="array" ref="K7691">IFERROR(IF($B7691=K$1, ($A7691+$C7691) - MAX(IF($B$2:$B7690=$B7691, $A$2:$A7690+$C$2:$C7690)), "")*24*60, "")</f>
        <v/>
      </c>
      <c r="L7691" s="24" t="str" cm="1">
        <f t="array" ref="L7691">IFERROR(IF($B7691=L$1, ($A7691+$C7691) - MAX(IF($B$2:$B7690=$B7691, $A$2:$A7690+$C$2:$C7690)), "")*24*60, "")</f>
        <v/>
      </c>
      <c r="M7691" s="24" t="str" cm="1">
        <f t="array" ref="M7691">IFERROR(IF($B7691=M$1, ($A7691+$C7691) - MAX(IF($B$2:$B7690=$B7691, $A$2:$A7690+$C$2:$C7690)), "")*24*60, "")</f>
        <v/>
      </c>
      <c r="N7691" s="24" t="str" cm="1">
        <f t="array" ref="N7691">IFERROR(IF($B7691=N$1, ($A7691+$C7691) - MAX(IF($B$2:$B7690=$B7691, $A$2:$A7690+$C$2:$C7690)), "")*24*60, "")</f>
        <v/>
      </c>
      <c r="O7691" s="24" t="str" cm="1">
        <f t="array" ref="O7691">IFERROR(IF($B7691=O$1, ($A7691+$C7691) - MAX(IF($B$2:$B7690=$B7691, $A$2:$A7690+$C$2:$C7690)), "")*24*60, "")</f>
        <v/>
      </c>
      <c r="P7691" s="24" t="str" cm="1">
        <f t="array" ref="P7691">IFERROR(IF($B7691=P$1, ($A7691+$C7691) - MAX(IF($B$2:$B7690=$B7691, $A$2:$A7690+$C$2:$C7690)), "")*24*60, "")</f>
        <v/>
      </c>
      <c r="Q7691" s="24" t="str" cm="1">
        <f t="array" ref="Q7691">IFERROR(IF($B7691=Q$1, ($A7691+$C7691) - MAX(IF($B$2:$B7690=$B7691, $A$2:$A7690+$C$2:$C7690)), "")*24*60, "")</f>
        <v/>
      </c>
      <c r="R7691" s="24" t="str" cm="1">
        <f t="array" ref="R7691">IFERROR(IF($B7691=R$1, ($A7691+$C7691) - MAX(IF($B$2:$B7690=$B7691, $A$2:$A7690+$C$2:$C7690)), "")*24*60, "")</f>
        <v/>
      </c>
      <c r="S7691" s="24" t="str" cm="1">
        <f t="array" ref="S7691">IFERROR(IF($B7691=S$1, ($A7691+$C7691) - MAX(IF($B$2:$B7690=$B7691, $A$2:$A7690+$C$2:$C7690)), "")*24*60, "")</f>
        <v/>
      </c>
    </row>
    <row r="7692" spans="1:19" x14ac:dyDescent="0.2">
      <c r="A7692" s="12">
        <f t="shared" ref="A7692:C7692" si="1524">A7691</f>
        <v>46018</v>
      </c>
      <c r="B7692" s="5" t="str">
        <f t="shared" si="1524"/>
        <v>Northern Cardinal</v>
      </c>
      <c r="C7692" s="6">
        <f t="shared" si="1524"/>
        <v>0.29166666666666669</v>
      </c>
      <c r="D7692" s="5"/>
      <c r="E7692" s="5"/>
      <c r="F7692" s="5" t="s">
        <v>9</v>
      </c>
      <c r="G7692" s="15" t="s">
        <v>8</v>
      </c>
      <c r="H7692" s="24">
        <f t="shared" si="1475"/>
        <v>0</v>
      </c>
      <c r="I7692" s="24" cm="1">
        <f t="array" ref="I7692">IFERROR(IF($B7692=I$1, ($A7692+$C7692) - MAX(IF($B$2:$B7691=$B7692, $A$2:$A7691+$C$2:$C7691)), "")*24*60, "")</f>
        <v>0</v>
      </c>
      <c r="J7692" s="24" t="str" cm="1">
        <f t="array" ref="J7692">IFERROR(IF($B7692=J$1, ($A7692+$C7692) - MAX(IF($B$2:$B7691=$B7692, $A$2:$A7691+$C$2:$C7691)), "")*24*60, "")</f>
        <v/>
      </c>
      <c r="K7692" s="24" t="str" cm="1">
        <f t="array" ref="K7692">IFERROR(IF($B7692=K$1, ($A7692+$C7692) - MAX(IF($B$2:$B7691=$B7692, $A$2:$A7691+$C$2:$C7691)), "")*24*60, "")</f>
        <v/>
      </c>
      <c r="L7692" s="24" t="str" cm="1">
        <f t="array" ref="L7692">IFERROR(IF($B7692=L$1, ($A7692+$C7692) - MAX(IF($B$2:$B7691=$B7692, $A$2:$A7691+$C$2:$C7691)), "")*24*60, "")</f>
        <v/>
      </c>
      <c r="M7692" s="24" t="str" cm="1">
        <f t="array" ref="M7692">IFERROR(IF($B7692=M$1, ($A7692+$C7692) - MAX(IF($B$2:$B7691=$B7692, $A$2:$A7691+$C$2:$C7691)), "")*24*60, "")</f>
        <v/>
      </c>
      <c r="N7692" s="24" t="str" cm="1">
        <f t="array" ref="N7692">IFERROR(IF($B7692=N$1, ($A7692+$C7692) - MAX(IF($B$2:$B7691=$B7692, $A$2:$A7691+$C$2:$C7691)), "")*24*60, "")</f>
        <v/>
      </c>
      <c r="O7692" s="24" t="str" cm="1">
        <f t="array" ref="O7692">IFERROR(IF($B7692=O$1, ($A7692+$C7692) - MAX(IF($B$2:$B7691=$B7692, $A$2:$A7691+$C$2:$C7691)), "")*24*60, "")</f>
        <v/>
      </c>
      <c r="P7692" s="24" t="str" cm="1">
        <f t="array" ref="P7692">IFERROR(IF($B7692=P$1, ($A7692+$C7692) - MAX(IF($B$2:$B7691=$B7692, $A$2:$A7691+$C$2:$C7691)), "")*24*60, "")</f>
        <v/>
      </c>
      <c r="Q7692" s="24" t="str" cm="1">
        <f t="array" ref="Q7692">IFERROR(IF($B7692=Q$1, ($A7692+$C7692) - MAX(IF($B$2:$B7691=$B7692, $A$2:$A7691+$C$2:$C7691)), "")*24*60, "")</f>
        <v/>
      </c>
      <c r="R7692" s="24" t="str" cm="1">
        <f t="array" ref="R7692">IFERROR(IF($B7692=R$1, ($A7692+$C7692) - MAX(IF($B$2:$B7691=$B7692, $A$2:$A7691+$C$2:$C7691)), "")*24*60, "")</f>
        <v/>
      </c>
      <c r="S7692" s="24" t="str" cm="1">
        <f t="array" ref="S7692">IFERROR(IF($B7692=S$1, ($A7692+$C7692) - MAX(IF($B$2:$B7691=$B7692, $A$2:$A7691+$C$2:$C7691)), "")*24*60, "")</f>
        <v/>
      </c>
    </row>
    <row r="7693" spans="1:19" x14ac:dyDescent="0.2">
      <c r="A7693" s="12">
        <f t="shared" ref="A7693:C7693" si="1525">A7692</f>
        <v>46018</v>
      </c>
      <c r="B7693" s="5" t="str">
        <f t="shared" si="1525"/>
        <v>Northern Cardinal</v>
      </c>
      <c r="C7693" s="6">
        <f t="shared" si="1525"/>
        <v>0.29166666666666669</v>
      </c>
      <c r="D7693" s="5"/>
      <c r="E7693" s="5"/>
      <c r="F7693" s="5" t="s">
        <v>9</v>
      </c>
      <c r="G7693" s="15" t="s">
        <v>8</v>
      </c>
      <c r="H7693" s="24">
        <f t="shared" si="1475"/>
        <v>0</v>
      </c>
      <c r="I7693" s="24" cm="1">
        <f t="array" ref="I7693">IFERROR(IF($B7693=I$1, ($A7693+$C7693) - MAX(IF($B$2:$B7692=$B7693, $A$2:$A7692+$C$2:$C7692)), "")*24*60, "")</f>
        <v>0</v>
      </c>
      <c r="J7693" s="24" t="str" cm="1">
        <f t="array" ref="J7693">IFERROR(IF($B7693=J$1, ($A7693+$C7693) - MAX(IF($B$2:$B7692=$B7693, $A$2:$A7692+$C$2:$C7692)), "")*24*60, "")</f>
        <v/>
      </c>
      <c r="K7693" s="24" t="str" cm="1">
        <f t="array" ref="K7693">IFERROR(IF($B7693=K$1, ($A7693+$C7693) - MAX(IF($B$2:$B7692=$B7693, $A$2:$A7692+$C$2:$C7692)), "")*24*60, "")</f>
        <v/>
      </c>
      <c r="L7693" s="24" t="str" cm="1">
        <f t="array" ref="L7693">IFERROR(IF($B7693=L$1, ($A7693+$C7693) - MAX(IF($B$2:$B7692=$B7693, $A$2:$A7692+$C$2:$C7692)), "")*24*60, "")</f>
        <v/>
      </c>
      <c r="M7693" s="24" t="str" cm="1">
        <f t="array" ref="M7693">IFERROR(IF($B7693=M$1, ($A7693+$C7693) - MAX(IF($B$2:$B7692=$B7693, $A$2:$A7692+$C$2:$C7692)), "")*24*60, "")</f>
        <v/>
      </c>
      <c r="N7693" s="24" t="str" cm="1">
        <f t="array" ref="N7693">IFERROR(IF($B7693=N$1, ($A7693+$C7693) - MAX(IF($B$2:$B7692=$B7693, $A$2:$A7692+$C$2:$C7692)), "")*24*60, "")</f>
        <v/>
      </c>
      <c r="O7693" s="24" t="str" cm="1">
        <f t="array" ref="O7693">IFERROR(IF($B7693=O$1, ($A7693+$C7693) - MAX(IF($B$2:$B7692=$B7693, $A$2:$A7692+$C$2:$C7692)), "")*24*60, "")</f>
        <v/>
      </c>
      <c r="P7693" s="24" t="str" cm="1">
        <f t="array" ref="P7693">IFERROR(IF($B7693=P$1, ($A7693+$C7693) - MAX(IF($B$2:$B7692=$B7693, $A$2:$A7692+$C$2:$C7692)), "")*24*60, "")</f>
        <v/>
      </c>
      <c r="Q7693" s="24" t="str" cm="1">
        <f t="array" ref="Q7693">IFERROR(IF($B7693=Q$1, ($A7693+$C7693) - MAX(IF($B$2:$B7692=$B7693, $A$2:$A7692+$C$2:$C7692)), "")*24*60, "")</f>
        <v/>
      </c>
      <c r="R7693" s="24" t="str" cm="1">
        <f t="array" ref="R7693">IFERROR(IF($B7693=R$1, ($A7693+$C7693) - MAX(IF($B$2:$B7692=$B7693, $A$2:$A7692+$C$2:$C7692)), "")*24*60, "")</f>
        <v/>
      </c>
      <c r="S7693" s="24" t="str" cm="1">
        <f t="array" ref="S7693">IFERROR(IF($B7693=S$1, ($A7693+$C7693) - MAX(IF($B$2:$B7692=$B7693, $A$2:$A7692+$C$2:$C7692)), "")*24*60, "")</f>
        <v/>
      </c>
    </row>
    <row r="7694" spans="1:19" x14ac:dyDescent="0.2">
      <c r="A7694" s="12">
        <f t="shared" ref="A7694:C7694" si="1526">A7693</f>
        <v>46018</v>
      </c>
      <c r="B7694" s="5" t="str">
        <f t="shared" si="1526"/>
        <v>Northern Cardinal</v>
      </c>
      <c r="C7694" s="6">
        <f t="shared" si="1526"/>
        <v>0.29166666666666669</v>
      </c>
      <c r="D7694" s="5"/>
      <c r="E7694" s="5"/>
      <c r="F7694" s="5" t="s">
        <v>9</v>
      </c>
      <c r="G7694" s="15" t="s">
        <v>8</v>
      </c>
      <c r="H7694" s="24">
        <f t="shared" si="1475"/>
        <v>0</v>
      </c>
      <c r="I7694" s="24" cm="1">
        <f t="array" ref="I7694">IFERROR(IF($B7694=I$1, ($A7694+$C7694) - MAX(IF($B$2:$B7693=$B7694, $A$2:$A7693+$C$2:$C7693)), "")*24*60, "")</f>
        <v>0</v>
      </c>
      <c r="J7694" s="24" t="str" cm="1">
        <f t="array" ref="J7694">IFERROR(IF($B7694=J$1, ($A7694+$C7694) - MAX(IF($B$2:$B7693=$B7694, $A$2:$A7693+$C$2:$C7693)), "")*24*60, "")</f>
        <v/>
      </c>
      <c r="K7694" s="24" t="str" cm="1">
        <f t="array" ref="K7694">IFERROR(IF($B7694=K$1, ($A7694+$C7694) - MAX(IF($B$2:$B7693=$B7694, $A$2:$A7693+$C$2:$C7693)), "")*24*60, "")</f>
        <v/>
      </c>
      <c r="L7694" s="24" t="str" cm="1">
        <f t="array" ref="L7694">IFERROR(IF($B7694=L$1, ($A7694+$C7694) - MAX(IF($B$2:$B7693=$B7694, $A$2:$A7693+$C$2:$C7693)), "")*24*60, "")</f>
        <v/>
      </c>
      <c r="M7694" s="24" t="str" cm="1">
        <f t="array" ref="M7694">IFERROR(IF($B7694=M$1, ($A7694+$C7694) - MAX(IF($B$2:$B7693=$B7694, $A$2:$A7693+$C$2:$C7693)), "")*24*60, "")</f>
        <v/>
      </c>
      <c r="N7694" s="24" t="str" cm="1">
        <f t="array" ref="N7694">IFERROR(IF($B7694=N$1, ($A7694+$C7694) - MAX(IF($B$2:$B7693=$B7694, $A$2:$A7693+$C$2:$C7693)), "")*24*60, "")</f>
        <v/>
      </c>
      <c r="O7694" s="24" t="str" cm="1">
        <f t="array" ref="O7694">IFERROR(IF($B7694=O$1, ($A7694+$C7694) - MAX(IF($B$2:$B7693=$B7694, $A$2:$A7693+$C$2:$C7693)), "")*24*60, "")</f>
        <v/>
      </c>
      <c r="P7694" s="24" t="str" cm="1">
        <f t="array" ref="P7694">IFERROR(IF($B7694=P$1, ($A7694+$C7694) - MAX(IF($B$2:$B7693=$B7694, $A$2:$A7693+$C$2:$C7693)), "")*24*60, "")</f>
        <v/>
      </c>
      <c r="Q7694" s="24" t="str" cm="1">
        <f t="array" ref="Q7694">IFERROR(IF($B7694=Q$1, ($A7694+$C7694) - MAX(IF($B$2:$B7693=$B7694, $A$2:$A7693+$C$2:$C7693)), "")*24*60, "")</f>
        <v/>
      </c>
      <c r="R7694" s="24" t="str" cm="1">
        <f t="array" ref="R7694">IFERROR(IF($B7694=R$1, ($A7694+$C7694) - MAX(IF($B$2:$B7693=$B7694, $A$2:$A7693+$C$2:$C7693)), "")*24*60, "")</f>
        <v/>
      </c>
      <c r="S7694" s="24" t="str" cm="1">
        <f t="array" ref="S7694">IFERROR(IF($B7694=S$1, ($A7694+$C7694) - MAX(IF($B$2:$B7693=$B7694, $A$2:$A7693+$C$2:$C7693)), "")*24*60, "")</f>
        <v/>
      </c>
    </row>
    <row r="7695" spans="1:19" x14ac:dyDescent="0.2">
      <c r="A7695" s="12">
        <f t="shared" ref="A7695:C7695" si="1527">A7694</f>
        <v>46018</v>
      </c>
      <c r="B7695" s="5" t="str">
        <f t="shared" si="1527"/>
        <v>Northern Cardinal</v>
      </c>
      <c r="C7695" s="6">
        <f t="shared" si="1527"/>
        <v>0.29166666666666669</v>
      </c>
      <c r="D7695" s="5"/>
      <c r="E7695" s="5"/>
      <c r="F7695" s="5" t="s">
        <v>9</v>
      </c>
      <c r="G7695" s="15" t="s">
        <v>8</v>
      </c>
      <c r="H7695" s="24">
        <f t="shared" si="1475"/>
        <v>0</v>
      </c>
      <c r="I7695" s="24" cm="1">
        <f t="array" ref="I7695">IFERROR(IF($B7695=I$1, ($A7695+$C7695) - MAX(IF($B$2:$B7694=$B7695, $A$2:$A7694+$C$2:$C7694)), "")*24*60, "")</f>
        <v>0</v>
      </c>
      <c r="J7695" s="24" t="str" cm="1">
        <f t="array" ref="J7695">IFERROR(IF($B7695=J$1, ($A7695+$C7695) - MAX(IF($B$2:$B7694=$B7695, $A$2:$A7694+$C$2:$C7694)), "")*24*60, "")</f>
        <v/>
      </c>
      <c r="K7695" s="24" t="str" cm="1">
        <f t="array" ref="K7695">IFERROR(IF($B7695=K$1, ($A7695+$C7695) - MAX(IF($B$2:$B7694=$B7695, $A$2:$A7694+$C$2:$C7694)), "")*24*60, "")</f>
        <v/>
      </c>
      <c r="L7695" s="24" t="str" cm="1">
        <f t="array" ref="L7695">IFERROR(IF($B7695=L$1, ($A7695+$C7695) - MAX(IF($B$2:$B7694=$B7695, $A$2:$A7694+$C$2:$C7694)), "")*24*60, "")</f>
        <v/>
      </c>
      <c r="M7695" s="24" t="str" cm="1">
        <f t="array" ref="M7695">IFERROR(IF($B7695=M$1, ($A7695+$C7695) - MAX(IF($B$2:$B7694=$B7695, $A$2:$A7694+$C$2:$C7694)), "")*24*60, "")</f>
        <v/>
      </c>
      <c r="N7695" s="24" t="str" cm="1">
        <f t="array" ref="N7695">IFERROR(IF($B7695=N$1, ($A7695+$C7695) - MAX(IF($B$2:$B7694=$B7695, $A$2:$A7694+$C$2:$C7694)), "")*24*60, "")</f>
        <v/>
      </c>
      <c r="O7695" s="24" t="str" cm="1">
        <f t="array" ref="O7695">IFERROR(IF($B7695=O$1, ($A7695+$C7695) - MAX(IF($B$2:$B7694=$B7695, $A$2:$A7694+$C$2:$C7694)), "")*24*60, "")</f>
        <v/>
      </c>
      <c r="P7695" s="24" t="str" cm="1">
        <f t="array" ref="P7695">IFERROR(IF($B7695=P$1, ($A7695+$C7695) - MAX(IF($B$2:$B7694=$B7695, $A$2:$A7694+$C$2:$C7694)), "")*24*60, "")</f>
        <v/>
      </c>
      <c r="Q7695" s="24" t="str" cm="1">
        <f t="array" ref="Q7695">IFERROR(IF($B7695=Q$1, ($A7695+$C7695) - MAX(IF($B$2:$B7694=$B7695, $A$2:$A7694+$C$2:$C7694)), "")*24*60, "")</f>
        <v/>
      </c>
      <c r="R7695" s="24" t="str" cm="1">
        <f t="array" ref="R7695">IFERROR(IF($B7695=R$1, ($A7695+$C7695) - MAX(IF($B$2:$B7694=$B7695, $A$2:$A7694+$C$2:$C7694)), "")*24*60, "")</f>
        <v/>
      </c>
      <c r="S7695" s="24" t="str" cm="1">
        <f t="array" ref="S7695">IFERROR(IF($B7695=S$1, ($A7695+$C7695) - MAX(IF($B$2:$B7694=$B7695, $A$2:$A7694+$C$2:$C7694)), "")*24*60, "")</f>
        <v/>
      </c>
    </row>
    <row r="7696" spans="1:19" x14ac:dyDescent="0.2">
      <c r="A7696" s="12">
        <f t="shared" ref="A7696:C7696" si="1528">A7695</f>
        <v>46018</v>
      </c>
      <c r="B7696" s="5" t="str">
        <f t="shared" si="1528"/>
        <v>Northern Cardinal</v>
      </c>
      <c r="C7696" s="6">
        <f t="shared" si="1528"/>
        <v>0.29166666666666669</v>
      </c>
      <c r="D7696" s="5"/>
      <c r="E7696" s="5"/>
      <c r="F7696" s="5" t="s">
        <v>9</v>
      </c>
      <c r="G7696" s="15" t="s">
        <v>8</v>
      </c>
      <c r="H7696" s="24">
        <f t="shared" si="1475"/>
        <v>0</v>
      </c>
      <c r="I7696" s="24" cm="1">
        <f t="array" ref="I7696">IFERROR(IF($B7696=I$1, ($A7696+$C7696) - MAX(IF($B$2:$B7695=$B7696, $A$2:$A7695+$C$2:$C7695)), "")*24*60, "")</f>
        <v>0</v>
      </c>
      <c r="J7696" s="24" t="str" cm="1">
        <f t="array" ref="J7696">IFERROR(IF($B7696=J$1, ($A7696+$C7696) - MAX(IF($B$2:$B7695=$B7696, $A$2:$A7695+$C$2:$C7695)), "")*24*60, "")</f>
        <v/>
      </c>
      <c r="K7696" s="24" t="str" cm="1">
        <f t="array" ref="K7696">IFERROR(IF($B7696=K$1, ($A7696+$C7696) - MAX(IF($B$2:$B7695=$B7696, $A$2:$A7695+$C$2:$C7695)), "")*24*60, "")</f>
        <v/>
      </c>
      <c r="L7696" s="24" t="str" cm="1">
        <f t="array" ref="L7696">IFERROR(IF($B7696=L$1, ($A7696+$C7696) - MAX(IF($B$2:$B7695=$B7696, $A$2:$A7695+$C$2:$C7695)), "")*24*60, "")</f>
        <v/>
      </c>
      <c r="M7696" s="24" t="str" cm="1">
        <f t="array" ref="M7696">IFERROR(IF($B7696=M$1, ($A7696+$C7696) - MAX(IF($B$2:$B7695=$B7696, $A$2:$A7695+$C$2:$C7695)), "")*24*60, "")</f>
        <v/>
      </c>
      <c r="N7696" s="24" t="str" cm="1">
        <f t="array" ref="N7696">IFERROR(IF($B7696=N$1, ($A7696+$C7696) - MAX(IF($B$2:$B7695=$B7696, $A$2:$A7695+$C$2:$C7695)), "")*24*60, "")</f>
        <v/>
      </c>
      <c r="O7696" s="24" t="str" cm="1">
        <f t="array" ref="O7696">IFERROR(IF($B7696=O$1, ($A7696+$C7696) - MAX(IF($B$2:$B7695=$B7696, $A$2:$A7695+$C$2:$C7695)), "")*24*60, "")</f>
        <v/>
      </c>
      <c r="P7696" s="24" t="str" cm="1">
        <f t="array" ref="P7696">IFERROR(IF($B7696=P$1, ($A7696+$C7696) - MAX(IF($B$2:$B7695=$B7696, $A$2:$A7695+$C$2:$C7695)), "")*24*60, "")</f>
        <v/>
      </c>
      <c r="Q7696" s="24" t="str" cm="1">
        <f t="array" ref="Q7696">IFERROR(IF($B7696=Q$1, ($A7696+$C7696) - MAX(IF($B$2:$B7695=$B7696, $A$2:$A7695+$C$2:$C7695)), "")*24*60, "")</f>
        <v/>
      </c>
      <c r="R7696" s="24" t="str" cm="1">
        <f t="array" ref="R7696">IFERROR(IF($B7696=R$1, ($A7696+$C7696) - MAX(IF($B$2:$B7695=$B7696, $A$2:$A7695+$C$2:$C7695)), "")*24*60, "")</f>
        <v/>
      </c>
      <c r="S7696" s="24" t="str" cm="1">
        <f t="array" ref="S7696">IFERROR(IF($B7696=S$1, ($A7696+$C7696) - MAX(IF($B$2:$B7695=$B7696, $A$2:$A7695+$C$2:$C7695)), "")*24*60, "")</f>
        <v/>
      </c>
    </row>
    <row r="7697" spans="1:19" x14ac:dyDescent="0.2">
      <c r="A7697" s="12">
        <f t="shared" ref="A7697:C7697" si="1529">A7696</f>
        <v>46018</v>
      </c>
      <c r="B7697" s="5" t="str">
        <f t="shared" si="1529"/>
        <v>Northern Cardinal</v>
      </c>
      <c r="C7697" s="6">
        <f t="shared" si="1529"/>
        <v>0.29166666666666669</v>
      </c>
      <c r="D7697" s="5"/>
      <c r="E7697" s="5"/>
      <c r="F7697" s="5" t="s">
        <v>9</v>
      </c>
      <c r="G7697" s="15" t="s">
        <v>8</v>
      </c>
      <c r="H7697" s="24">
        <f t="shared" si="1475"/>
        <v>0</v>
      </c>
      <c r="I7697" s="24" cm="1">
        <f t="array" ref="I7697">IFERROR(IF($B7697=I$1, ($A7697+$C7697) - MAX(IF($B$2:$B7696=$B7697, $A$2:$A7696+$C$2:$C7696)), "")*24*60, "")</f>
        <v>0</v>
      </c>
      <c r="J7697" s="24" t="str" cm="1">
        <f t="array" ref="J7697">IFERROR(IF($B7697=J$1, ($A7697+$C7697) - MAX(IF($B$2:$B7696=$B7697, $A$2:$A7696+$C$2:$C7696)), "")*24*60, "")</f>
        <v/>
      </c>
      <c r="K7697" s="24" t="str" cm="1">
        <f t="array" ref="K7697">IFERROR(IF($B7697=K$1, ($A7697+$C7697) - MAX(IF($B$2:$B7696=$B7697, $A$2:$A7696+$C$2:$C7696)), "")*24*60, "")</f>
        <v/>
      </c>
      <c r="L7697" s="24" t="str" cm="1">
        <f t="array" ref="L7697">IFERROR(IF($B7697=L$1, ($A7697+$C7697) - MAX(IF($B$2:$B7696=$B7697, $A$2:$A7696+$C$2:$C7696)), "")*24*60, "")</f>
        <v/>
      </c>
      <c r="M7697" s="24" t="str" cm="1">
        <f t="array" ref="M7697">IFERROR(IF($B7697=M$1, ($A7697+$C7697) - MAX(IF($B$2:$B7696=$B7697, $A$2:$A7696+$C$2:$C7696)), "")*24*60, "")</f>
        <v/>
      </c>
      <c r="N7697" s="24" t="str" cm="1">
        <f t="array" ref="N7697">IFERROR(IF($B7697=N$1, ($A7697+$C7697) - MAX(IF($B$2:$B7696=$B7697, $A$2:$A7696+$C$2:$C7696)), "")*24*60, "")</f>
        <v/>
      </c>
      <c r="O7697" s="24" t="str" cm="1">
        <f t="array" ref="O7697">IFERROR(IF($B7697=O$1, ($A7697+$C7697) - MAX(IF($B$2:$B7696=$B7697, $A$2:$A7696+$C$2:$C7696)), "")*24*60, "")</f>
        <v/>
      </c>
      <c r="P7697" s="24" t="str" cm="1">
        <f t="array" ref="P7697">IFERROR(IF($B7697=P$1, ($A7697+$C7697) - MAX(IF($B$2:$B7696=$B7697, $A$2:$A7696+$C$2:$C7696)), "")*24*60, "")</f>
        <v/>
      </c>
      <c r="Q7697" s="24" t="str" cm="1">
        <f t="array" ref="Q7697">IFERROR(IF($B7697=Q$1, ($A7697+$C7697) - MAX(IF($B$2:$B7696=$B7697, $A$2:$A7696+$C$2:$C7696)), "")*24*60, "")</f>
        <v/>
      </c>
      <c r="R7697" s="24" t="str" cm="1">
        <f t="array" ref="R7697">IFERROR(IF($B7697=R$1, ($A7697+$C7697) - MAX(IF($B$2:$B7696=$B7697, $A$2:$A7696+$C$2:$C7696)), "")*24*60, "")</f>
        <v/>
      </c>
      <c r="S7697" s="24" t="str" cm="1">
        <f t="array" ref="S7697">IFERROR(IF($B7697=S$1, ($A7697+$C7697) - MAX(IF($B$2:$B7696=$B7697, $A$2:$A7696+$C$2:$C7696)), "")*24*60, "")</f>
        <v/>
      </c>
    </row>
    <row r="7698" spans="1:19" x14ac:dyDescent="0.2">
      <c r="A7698" s="12">
        <f t="shared" ref="A7698:C7698" si="1530">A7697</f>
        <v>46018</v>
      </c>
      <c r="B7698" s="5" t="str">
        <f t="shared" si="1530"/>
        <v>Northern Cardinal</v>
      </c>
      <c r="C7698" s="6">
        <f t="shared" si="1530"/>
        <v>0.29166666666666669</v>
      </c>
      <c r="D7698" s="5"/>
      <c r="E7698" s="5"/>
      <c r="F7698" s="5" t="s">
        <v>9</v>
      </c>
      <c r="G7698" s="15" t="s">
        <v>8</v>
      </c>
      <c r="H7698" s="24">
        <f t="shared" si="1475"/>
        <v>0</v>
      </c>
      <c r="I7698" s="24" cm="1">
        <f t="array" ref="I7698">IFERROR(IF($B7698=I$1, ($A7698+$C7698) - MAX(IF($B$2:$B7697=$B7698, $A$2:$A7697+$C$2:$C7697)), "")*24*60, "")</f>
        <v>0</v>
      </c>
      <c r="J7698" s="24" t="str" cm="1">
        <f t="array" ref="J7698">IFERROR(IF($B7698=J$1, ($A7698+$C7698) - MAX(IF($B$2:$B7697=$B7698, $A$2:$A7697+$C$2:$C7697)), "")*24*60, "")</f>
        <v/>
      </c>
      <c r="K7698" s="24" t="str" cm="1">
        <f t="array" ref="K7698">IFERROR(IF($B7698=K$1, ($A7698+$C7698) - MAX(IF($B$2:$B7697=$B7698, $A$2:$A7697+$C$2:$C7697)), "")*24*60, "")</f>
        <v/>
      </c>
      <c r="L7698" s="24" t="str" cm="1">
        <f t="array" ref="L7698">IFERROR(IF($B7698=L$1, ($A7698+$C7698) - MAX(IF($B$2:$B7697=$B7698, $A$2:$A7697+$C$2:$C7697)), "")*24*60, "")</f>
        <v/>
      </c>
      <c r="M7698" s="24" t="str" cm="1">
        <f t="array" ref="M7698">IFERROR(IF($B7698=M$1, ($A7698+$C7698) - MAX(IF($B$2:$B7697=$B7698, $A$2:$A7697+$C$2:$C7697)), "")*24*60, "")</f>
        <v/>
      </c>
      <c r="N7698" s="24" t="str" cm="1">
        <f t="array" ref="N7698">IFERROR(IF($B7698=N$1, ($A7698+$C7698) - MAX(IF($B$2:$B7697=$B7698, $A$2:$A7697+$C$2:$C7697)), "")*24*60, "")</f>
        <v/>
      </c>
      <c r="O7698" s="24" t="str" cm="1">
        <f t="array" ref="O7698">IFERROR(IF($B7698=O$1, ($A7698+$C7698) - MAX(IF($B$2:$B7697=$B7698, $A$2:$A7697+$C$2:$C7697)), "")*24*60, "")</f>
        <v/>
      </c>
      <c r="P7698" s="24" t="str" cm="1">
        <f t="array" ref="P7698">IFERROR(IF($B7698=P$1, ($A7698+$C7698) - MAX(IF($B$2:$B7697=$B7698, $A$2:$A7697+$C$2:$C7697)), "")*24*60, "")</f>
        <v/>
      </c>
      <c r="Q7698" s="24" t="str" cm="1">
        <f t="array" ref="Q7698">IFERROR(IF($B7698=Q$1, ($A7698+$C7698) - MAX(IF($B$2:$B7697=$B7698, $A$2:$A7697+$C$2:$C7697)), "")*24*60, "")</f>
        <v/>
      </c>
      <c r="R7698" s="24" t="str" cm="1">
        <f t="array" ref="R7698">IFERROR(IF($B7698=R$1, ($A7698+$C7698) - MAX(IF($B$2:$B7697=$B7698, $A$2:$A7697+$C$2:$C7697)), "")*24*60, "")</f>
        <v/>
      </c>
      <c r="S7698" s="24" t="str" cm="1">
        <f t="array" ref="S7698">IFERROR(IF($B7698=S$1, ($A7698+$C7698) - MAX(IF($B$2:$B7697=$B7698, $A$2:$A7697+$C$2:$C7697)), "")*24*60, "")</f>
        <v/>
      </c>
    </row>
    <row r="7699" spans="1:19" x14ac:dyDescent="0.2">
      <c r="A7699" s="12">
        <f t="shared" ref="A7699:C7699" si="1531">A7698</f>
        <v>46018</v>
      </c>
      <c r="B7699" s="5" t="str">
        <f t="shared" si="1531"/>
        <v>Northern Cardinal</v>
      </c>
      <c r="C7699" s="6">
        <f t="shared" si="1531"/>
        <v>0.29166666666666669</v>
      </c>
      <c r="D7699" s="5"/>
      <c r="E7699" s="5"/>
      <c r="F7699" s="5" t="s">
        <v>9</v>
      </c>
      <c r="G7699" s="15" t="s">
        <v>8</v>
      </c>
      <c r="H7699" s="24">
        <f t="shared" si="1475"/>
        <v>0</v>
      </c>
      <c r="I7699" s="24" cm="1">
        <f t="array" ref="I7699">IFERROR(IF($B7699=I$1, ($A7699+$C7699) - MAX(IF($B$2:$B7698=$B7699, $A$2:$A7698+$C$2:$C7698)), "")*24*60, "")</f>
        <v>0</v>
      </c>
      <c r="J7699" s="24" t="str" cm="1">
        <f t="array" ref="J7699">IFERROR(IF($B7699=J$1, ($A7699+$C7699) - MAX(IF($B$2:$B7698=$B7699, $A$2:$A7698+$C$2:$C7698)), "")*24*60, "")</f>
        <v/>
      </c>
      <c r="K7699" s="24" t="str" cm="1">
        <f t="array" ref="K7699">IFERROR(IF($B7699=K$1, ($A7699+$C7699) - MAX(IF($B$2:$B7698=$B7699, $A$2:$A7698+$C$2:$C7698)), "")*24*60, "")</f>
        <v/>
      </c>
      <c r="L7699" s="24" t="str" cm="1">
        <f t="array" ref="L7699">IFERROR(IF($B7699=L$1, ($A7699+$C7699) - MAX(IF($B$2:$B7698=$B7699, $A$2:$A7698+$C$2:$C7698)), "")*24*60, "")</f>
        <v/>
      </c>
      <c r="M7699" s="24" t="str" cm="1">
        <f t="array" ref="M7699">IFERROR(IF($B7699=M$1, ($A7699+$C7699) - MAX(IF($B$2:$B7698=$B7699, $A$2:$A7698+$C$2:$C7698)), "")*24*60, "")</f>
        <v/>
      </c>
      <c r="N7699" s="24" t="str" cm="1">
        <f t="array" ref="N7699">IFERROR(IF($B7699=N$1, ($A7699+$C7699) - MAX(IF($B$2:$B7698=$B7699, $A$2:$A7698+$C$2:$C7698)), "")*24*60, "")</f>
        <v/>
      </c>
      <c r="O7699" s="24" t="str" cm="1">
        <f t="array" ref="O7699">IFERROR(IF($B7699=O$1, ($A7699+$C7699) - MAX(IF($B$2:$B7698=$B7699, $A$2:$A7698+$C$2:$C7698)), "")*24*60, "")</f>
        <v/>
      </c>
      <c r="P7699" s="24" t="str" cm="1">
        <f t="array" ref="P7699">IFERROR(IF($B7699=P$1, ($A7699+$C7699) - MAX(IF($B$2:$B7698=$B7699, $A$2:$A7698+$C$2:$C7698)), "")*24*60, "")</f>
        <v/>
      </c>
      <c r="Q7699" s="24" t="str" cm="1">
        <f t="array" ref="Q7699">IFERROR(IF($B7699=Q$1, ($A7699+$C7699) - MAX(IF($B$2:$B7698=$B7699, $A$2:$A7698+$C$2:$C7698)), "")*24*60, "")</f>
        <v/>
      </c>
      <c r="R7699" s="24" t="str" cm="1">
        <f t="array" ref="R7699">IFERROR(IF($B7699=R$1, ($A7699+$C7699) - MAX(IF($B$2:$B7698=$B7699, $A$2:$A7698+$C$2:$C7698)), "")*24*60, "")</f>
        <v/>
      </c>
      <c r="S7699" s="24" t="str" cm="1">
        <f t="array" ref="S7699">IFERROR(IF($B7699=S$1, ($A7699+$C7699) - MAX(IF($B$2:$B7698=$B7699, $A$2:$A7698+$C$2:$C7698)), "")*24*60, "")</f>
        <v/>
      </c>
    </row>
    <row r="7700" spans="1:19" x14ac:dyDescent="0.2">
      <c r="A7700" s="12">
        <f t="shared" ref="A7700:C7700" si="1532">A7699</f>
        <v>46018</v>
      </c>
      <c r="B7700" s="5" t="str">
        <f t="shared" si="1532"/>
        <v>Northern Cardinal</v>
      </c>
      <c r="C7700" s="6">
        <f t="shared" si="1532"/>
        <v>0.29166666666666669</v>
      </c>
      <c r="D7700" s="5"/>
      <c r="E7700" s="5"/>
      <c r="F7700" s="5" t="s">
        <v>9</v>
      </c>
      <c r="G7700" s="15" t="s">
        <v>8</v>
      </c>
      <c r="H7700" s="24">
        <f t="shared" si="1475"/>
        <v>0</v>
      </c>
      <c r="I7700" s="24" cm="1">
        <f t="array" ref="I7700">IFERROR(IF($B7700=I$1, ($A7700+$C7700) - MAX(IF($B$2:$B7699=$B7700, $A$2:$A7699+$C$2:$C7699)), "")*24*60, "")</f>
        <v>0</v>
      </c>
      <c r="J7700" s="24" t="str" cm="1">
        <f t="array" ref="J7700">IFERROR(IF($B7700=J$1, ($A7700+$C7700) - MAX(IF($B$2:$B7699=$B7700, $A$2:$A7699+$C$2:$C7699)), "")*24*60, "")</f>
        <v/>
      </c>
      <c r="K7700" s="24" t="str" cm="1">
        <f t="array" ref="K7700">IFERROR(IF($B7700=K$1, ($A7700+$C7700) - MAX(IF($B$2:$B7699=$B7700, $A$2:$A7699+$C$2:$C7699)), "")*24*60, "")</f>
        <v/>
      </c>
      <c r="L7700" s="24" t="str" cm="1">
        <f t="array" ref="L7700">IFERROR(IF($B7700=L$1, ($A7700+$C7700) - MAX(IF($B$2:$B7699=$B7700, $A$2:$A7699+$C$2:$C7699)), "")*24*60, "")</f>
        <v/>
      </c>
      <c r="M7700" s="24" t="str" cm="1">
        <f t="array" ref="M7700">IFERROR(IF($B7700=M$1, ($A7700+$C7700) - MAX(IF($B$2:$B7699=$B7700, $A$2:$A7699+$C$2:$C7699)), "")*24*60, "")</f>
        <v/>
      </c>
      <c r="N7700" s="24" t="str" cm="1">
        <f t="array" ref="N7700">IFERROR(IF($B7700=N$1, ($A7700+$C7700) - MAX(IF($B$2:$B7699=$B7700, $A$2:$A7699+$C$2:$C7699)), "")*24*60, "")</f>
        <v/>
      </c>
      <c r="O7700" s="24" t="str" cm="1">
        <f t="array" ref="O7700">IFERROR(IF($B7700=O$1, ($A7700+$C7700) - MAX(IF($B$2:$B7699=$B7700, $A$2:$A7699+$C$2:$C7699)), "")*24*60, "")</f>
        <v/>
      </c>
      <c r="P7700" s="24" t="str" cm="1">
        <f t="array" ref="P7700">IFERROR(IF($B7700=P$1, ($A7700+$C7700) - MAX(IF($B$2:$B7699=$B7700, $A$2:$A7699+$C$2:$C7699)), "")*24*60, "")</f>
        <v/>
      </c>
      <c r="Q7700" s="24" t="str" cm="1">
        <f t="array" ref="Q7700">IFERROR(IF($B7700=Q$1, ($A7700+$C7700) - MAX(IF($B$2:$B7699=$B7700, $A$2:$A7699+$C$2:$C7699)), "")*24*60, "")</f>
        <v/>
      </c>
      <c r="R7700" s="24" t="str" cm="1">
        <f t="array" ref="R7700">IFERROR(IF($B7700=R$1, ($A7700+$C7700) - MAX(IF($B$2:$B7699=$B7700, $A$2:$A7699+$C$2:$C7699)), "")*24*60, "")</f>
        <v/>
      </c>
      <c r="S7700" s="24" t="str" cm="1">
        <f t="array" ref="S7700">IFERROR(IF($B7700=S$1, ($A7700+$C7700) - MAX(IF($B$2:$B7699=$B7700, $A$2:$A7699+$C$2:$C7699)), "")*24*60, "")</f>
        <v/>
      </c>
    </row>
    <row r="7701" spans="1:19" x14ac:dyDescent="0.2">
      <c r="A7701" s="12">
        <f t="shared" ref="A7701:C7701" si="1533">A7700</f>
        <v>46018</v>
      </c>
      <c r="B7701" s="5" t="str">
        <f t="shared" si="1533"/>
        <v>Northern Cardinal</v>
      </c>
      <c r="C7701" s="6">
        <f t="shared" si="1533"/>
        <v>0.29166666666666669</v>
      </c>
      <c r="D7701" s="5"/>
      <c r="E7701" s="5"/>
      <c r="F7701" s="5" t="s">
        <v>9</v>
      </c>
      <c r="G7701" s="15" t="s">
        <v>8</v>
      </c>
      <c r="H7701" s="24">
        <f t="shared" si="1475"/>
        <v>0</v>
      </c>
      <c r="I7701" s="24" cm="1">
        <f t="array" ref="I7701">IFERROR(IF($B7701=I$1, ($A7701+$C7701) - MAX(IF($B$2:$B7700=$B7701, $A$2:$A7700+$C$2:$C7700)), "")*24*60, "")</f>
        <v>0</v>
      </c>
      <c r="J7701" s="24" t="str" cm="1">
        <f t="array" ref="J7701">IFERROR(IF($B7701=J$1, ($A7701+$C7701) - MAX(IF($B$2:$B7700=$B7701, $A$2:$A7700+$C$2:$C7700)), "")*24*60, "")</f>
        <v/>
      </c>
      <c r="K7701" s="24" t="str" cm="1">
        <f t="array" ref="K7701">IFERROR(IF($B7701=K$1, ($A7701+$C7701) - MAX(IF($B$2:$B7700=$B7701, $A$2:$A7700+$C$2:$C7700)), "")*24*60, "")</f>
        <v/>
      </c>
      <c r="L7701" s="24" t="str" cm="1">
        <f t="array" ref="L7701">IFERROR(IF($B7701=L$1, ($A7701+$C7701) - MAX(IF($B$2:$B7700=$B7701, $A$2:$A7700+$C$2:$C7700)), "")*24*60, "")</f>
        <v/>
      </c>
      <c r="M7701" s="24" t="str" cm="1">
        <f t="array" ref="M7701">IFERROR(IF($B7701=M$1, ($A7701+$C7701) - MAX(IF($B$2:$B7700=$B7701, $A$2:$A7700+$C$2:$C7700)), "")*24*60, "")</f>
        <v/>
      </c>
      <c r="N7701" s="24" t="str" cm="1">
        <f t="array" ref="N7701">IFERROR(IF($B7701=N$1, ($A7701+$C7701) - MAX(IF($B$2:$B7700=$B7701, $A$2:$A7700+$C$2:$C7700)), "")*24*60, "")</f>
        <v/>
      </c>
      <c r="O7701" s="24" t="str" cm="1">
        <f t="array" ref="O7701">IFERROR(IF($B7701=O$1, ($A7701+$C7701) - MAX(IF($B$2:$B7700=$B7701, $A$2:$A7700+$C$2:$C7700)), "")*24*60, "")</f>
        <v/>
      </c>
      <c r="P7701" s="24" t="str" cm="1">
        <f t="array" ref="P7701">IFERROR(IF($B7701=P$1, ($A7701+$C7701) - MAX(IF($B$2:$B7700=$B7701, $A$2:$A7700+$C$2:$C7700)), "")*24*60, "")</f>
        <v/>
      </c>
      <c r="Q7701" s="24" t="str" cm="1">
        <f t="array" ref="Q7701">IFERROR(IF($B7701=Q$1, ($A7701+$C7701) - MAX(IF($B$2:$B7700=$B7701, $A$2:$A7700+$C$2:$C7700)), "")*24*60, "")</f>
        <v/>
      </c>
      <c r="R7701" s="24" t="str" cm="1">
        <f t="array" ref="R7701">IFERROR(IF($B7701=R$1, ($A7701+$C7701) - MAX(IF($B$2:$B7700=$B7701, $A$2:$A7700+$C$2:$C7700)), "")*24*60, "")</f>
        <v/>
      </c>
      <c r="S7701" s="24" t="str" cm="1">
        <f t="array" ref="S7701">IFERROR(IF($B7701=S$1, ($A7701+$C7701) - MAX(IF($B$2:$B7700=$B7701, $A$2:$A7700+$C$2:$C7700)), "")*24*60, "")</f>
        <v/>
      </c>
    </row>
    <row r="7702" spans="1:19" x14ac:dyDescent="0.2">
      <c r="A7702" s="12">
        <f t="shared" ref="A7702:C7702" si="1534">A7701</f>
        <v>46018</v>
      </c>
      <c r="B7702" s="5" t="str">
        <f t="shared" si="1534"/>
        <v>Northern Cardinal</v>
      </c>
      <c r="C7702" s="6">
        <f t="shared" si="1534"/>
        <v>0.29166666666666669</v>
      </c>
      <c r="D7702" s="5"/>
      <c r="E7702" s="5"/>
      <c r="F7702" s="5" t="s">
        <v>9</v>
      </c>
      <c r="G7702" s="15" t="s">
        <v>8</v>
      </c>
      <c r="H7702" s="24">
        <f t="shared" si="1475"/>
        <v>0</v>
      </c>
      <c r="I7702" s="24" cm="1">
        <f t="array" ref="I7702">IFERROR(IF($B7702=I$1, ($A7702+$C7702) - MAX(IF($B$2:$B7701=$B7702, $A$2:$A7701+$C$2:$C7701)), "")*24*60, "")</f>
        <v>0</v>
      </c>
      <c r="J7702" s="24" t="str" cm="1">
        <f t="array" ref="J7702">IFERROR(IF($B7702=J$1, ($A7702+$C7702) - MAX(IF($B$2:$B7701=$B7702, $A$2:$A7701+$C$2:$C7701)), "")*24*60, "")</f>
        <v/>
      </c>
      <c r="K7702" s="24" t="str" cm="1">
        <f t="array" ref="K7702">IFERROR(IF($B7702=K$1, ($A7702+$C7702) - MAX(IF($B$2:$B7701=$B7702, $A$2:$A7701+$C$2:$C7701)), "")*24*60, "")</f>
        <v/>
      </c>
      <c r="L7702" s="24" t="str" cm="1">
        <f t="array" ref="L7702">IFERROR(IF($B7702=L$1, ($A7702+$C7702) - MAX(IF($B$2:$B7701=$B7702, $A$2:$A7701+$C$2:$C7701)), "")*24*60, "")</f>
        <v/>
      </c>
      <c r="M7702" s="24" t="str" cm="1">
        <f t="array" ref="M7702">IFERROR(IF($B7702=M$1, ($A7702+$C7702) - MAX(IF($B$2:$B7701=$B7702, $A$2:$A7701+$C$2:$C7701)), "")*24*60, "")</f>
        <v/>
      </c>
      <c r="N7702" s="24" t="str" cm="1">
        <f t="array" ref="N7702">IFERROR(IF($B7702=N$1, ($A7702+$C7702) - MAX(IF($B$2:$B7701=$B7702, $A$2:$A7701+$C$2:$C7701)), "")*24*60, "")</f>
        <v/>
      </c>
      <c r="O7702" s="24" t="str" cm="1">
        <f t="array" ref="O7702">IFERROR(IF($B7702=O$1, ($A7702+$C7702) - MAX(IF($B$2:$B7701=$B7702, $A$2:$A7701+$C$2:$C7701)), "")*24*60, "")</f>
        <v/>
      </c>
      <c r="P7702" s="24" t="str" cm="1">
        <f t="array" ref="P7702">IFERROR(IF($B7702=P$1, ($A7702+$C7702) - MAX(IF($B$2:$B7701=$B7702, $A$2:$A7701+$C$2:$C7701)), "")*24*60, "")</f>
        <v/>
      </c>
      <c r="Q7702" s="24" t="str" cm="1">
        <f t="array" ref="Q7702">IFERROR(IF($B7702=Q$1, ($A7702+$C7702) - MAX(IF($B$2:$B7701=$B7702, $A$2:$A7701+$C$2:$C7701)), "")*24*60, "")</f>
        <v/>
      </c>
      <c r="R7702" s="24" t="str" cm="1">
        <f t="array" ref="R7702">IFERROR(IF($B7702=R$1, ($A7702+$C7702) - MAX(IF($B$2:$B7701=$B7702, $A$2:$A7701+$C$2:$C7701)), "")*24*60, "")</f>
        <v/>
      </c>
      <c r="S7702" s="24" t="str" cm="1">
        <f t="array" ref="S7702">IFERROR(IF($B7702=S$1, ($A7702+$C7702) - MAX(IF($B$2:$B7701=$B7702, $A$2:$A7701+$C$2:$C7701)), "")*24*60, "")</f>
        <v/>
      </c>
    </row>
    <row r="7703" spans="1:19" x14ac:dyDescent="0.2">
      <c r="A7703" s="12">
        <f t="shared" ref="A7703:C7703" si="1535">A7702</f>
        <v>46018</v>
      </c>
      <c r="B7703" s="5" t="str">
        <f t="shared" si="1535"/>
        <v>Northern Cardinal</v>
      </c>
      <c r="C7703" s="6">
        <f t="shared" si="1535"/>
        <v>0.29166666666666669</v>
      </c>
      <c r="D7703" s="5"/>
      <c r="E7703" s="5"/>
      <c r="F7703" s="5" t="s">
        <v>9</v>
      </c>
      <c r="G7703" s="15" t="s">
        <v>8</v>
      </c>
      <c r="H7703" s="24">
        <f t="shared" si="1475"/>
        <v>0</v>
      </c>
      <c r="I7703" s="24" cm="1">
        <f t="array" ref="I7703">IFERROR(IF($B7703=I$1, ($A7703+$C7703) - MAX(IF($B$2:$B7702=$B7703, $A$2:$A7702+$C$2:$C7702)), "")*24*60, "")</f>
        <v>0</v>
      </c>
      <c r="J7703" s="24" t="str" cm="1">
        <f t="array" ref="J7703">IFERROR(IF($B7703=J$1, ($A7703+$C7703) - MAX(IF($B$2:$B7702=$B7703, $A$2:$A7702+$C$2:$C7702)), "")*24*60, "")</f>
        <v/>
      </c>
      <c r="K7703" s="24" t="str" cm="1">
        <f t="array" ref="K7703">IFERROR(IF($B7703=K$1, ($A7703+$C7703) - MAX(IF($B$2:$B7702=$B7703, $A$2:$A7702+$C$2:$C7702)), "")*24*60, "")</f>
        <v/>
      </c>
      <c r="L7703" s="24" t="str" cm="1">
        <f t="array" ref="L7703">IFERROR(IF($B7703=L$1, ($A7703+$C7703) - MAX(IF($B$2:$B7702=$B7703, $A$2:$A7702+$C$2:$C7702)), "")*24*60, "")</f>
        <v/>
      </c>
      <c r="M7703" s="24" t="str" cm="1">
        <f t="array" ref="M7703">IFERROR(IF($B7703=M$1, ($A7703+$C7703) - MAX(IF($B$2:$B7702=$B7703, $A$2:$A7702+$C$2:$C7702)), "")*24*60, "")</f>
        <v/>
      </c>
      <c r="N7703" s="24" t="str" cm="1">
        <f t="array" ref="N7703">IFERROR(IF($B7703=N$1, ($A7703+$C7703) - MAX(IF($B$2:$B7702=$B7703, $A$2:$A7702+$C$2:$C7702)), "")*24*60, "")</f>
        <v/>
      </c>
      <c r="O7703" s="24" t="str" cm="1">
        <f t="array" ref="O7703">IFERROR(IF($B7703=O$1, ($A7703+$C7703) - MAX(IF($B$2:$B7702=$B7703, $A$2:$A7702+$C$2:$C7702)), "")*24*60, "")</f>
        <v/>
      </c>
      <c r="P7703" s="24" t="str" cm="1">
        <f t="array" ref="P7703">IFERROR(IF($B7703=P$1, ($A7703+$C7703) - MAX(IF($B$2:$B7702=$B7703, $A$2:$A7702+$C$2:$C7702)), "")*24*60, "")</f>
        <v/>
      </c>
      <c r="Q7703" s="24" t="str" cm="1">
        <f t="array" ref="Q7703">IFERROR(IF($B7703=Q$1, ($A7703+$C7703) - MAX(IF($B$2:$B7702=$B7703, $A$2:$A7702+$C$2:$C7702)), "")*24*60, "")</f>
        <v/>
      </c>
      <c r="R7703" s="24" t="str" cm="1">
        <f t="array" ref="R7703">IFERROR(IF($B7703=R$1, ($A7703+$C7703) - MAX(IF($B$2:$B7702=$B7703, $A$2:$A7702+$C$2:$C7702)), "")*24*60, "")</f>
        <v/>
      </c>
      <c r="S7703" s="24" t="str" cm="1">
        <f t="array" ref="S7703">IFERROR(IF($B7703=S$1, ($A7703+$C7703) - MAX(IF($B$2:$B7702=$B7703, $A$2:$A7702+$C$2:$C7702)), "")*24*60, "")</f>
        <v/>
      </c>
    </row>
    <row r="7704" spans="1:19" x14ac:dyDescent="0.2">
      <c r="A7704" s="12">
        <f t="shared" ref="A7704:C7704" si="1536">A7703</f>
        <v>46018</v>
      </c>
      <c r="B7704" s="5" t="str">
        <f t="shared" si="1536"/>
        <v>Northern Cardinal</v>
      </c>
      <c r="C7704" s="6">
        <f t="shared" si="1536"/>
        <v>0.29166666666666669</v>
      </c>
      <c r="D7704" s="5"/>
      <c r="E7704" s="5"/>
      <c r="F7704" s="5" t="s">
        <v>9</v>
      </c>
      <c r="G7704" s="15" t="s">
        <v>8</v>
      </c>
      <c r="H7704" s="24">
        <f t="shared" si="1475"/>
        <v>0</v>
      </c>
      <c r="I7704" s="24" cm="1">
        <f t="array" ref="I7704">IFERROR(IF($B7704=I$1, ($A7704+$C7704) - MAX(IF($B$2:$B7703=$B7704, $A$2:$A7703+$C$2:$C7703)), "")*24*60, "")</f>
        <v>0</v>
      </c>
      <c r="J7704" s="24" t="str" cm="1">
        <f t="array" ref="J7704">IFERROR(IF($B7704=J$1, ($A7704+$C7704) - MAX(IF($B$2:$B7703=$B7704, $A$2:$A7703+$C$2:$C7703)), "")*24*60, "")</f>
        <v/>
      </c>
      <c r="K7704" s="24" t="str" cm="1">
        <f t="array" ref="K7704">IFERROR(IF($B7704=K$1, ($A7704+$C7704) - MAX(IF($B$2:$B7703=$B7704, $A$2:$A7703+$C$2:$C7703)), "")*24*60, "")</f>
        <v/>
      </c>
      <c r="L7704" s="24" t="str" cm="1">
        <f t="array" ref="L7704">IFERROR(IF($B7704=L$1, ($A7704+$C7704) - MAX(IF($B$2:$B7703=$B7704, $A$2:$A7703+$C$2:$C7703)), "")*24*60, "")</f>
        <v/>
      </c>
      <c r="M7704" s="24" t="str" cm="1">
        <f t="array" ref="M7704">IFERROR(IF($B7704=M$1, ($A7704+$C7704) - MAX(IF($B$2:$B7703=$B7704, $A$2:$A7703+$C$2:$C7703)), "")*24*60, "")</f>
        <v/>
      </c>
      <c r="N7704" s="24" t="str" cm="1">
        <f t="array" ref="N7704">IFERROR(IF($B7704=N$1, ($A7704+$C7704) - MAX(IF($B$2:$B7703=$B7704, $A$2:$A7703+$C$2:$C7703)), "")*24*60, "")</f>
        <v/>
      </c>
      <c r="O7704" s="24" t="str" cm="1">
        <f t="array" ref="O7704">IFERROR(IF($B7704=O$1, ($A7704+$C7704) - MAX(IF($B$2:$B7703=$B7704, $A$2:$A7703+$C$2:$C7703)), "")*24*60, "")</f>
        <v/>
      </c>
      <c r="P7704" s="24" t="str" cm="1">
        <f t="array" ref="P7704">IFERROR(IF($B7704=P$1, ($A7704+$C7704) - MAX(IF($B$2:$B7703=$B7704, $A$2:$A7703+$C$2:$C7703)), "")*24*60, "")</f>
        <v/>
      </c>
      <c r="Q7704" s="24" t="str" cm="1">
        <f t="array" ref="Q7704">IFERROR(IF($B7704=Q$1, ($A7704+$C7704) - MAX(IF($B$2:$B7703=$B7704, $A$2:$A7703+$C$2:$C7703)), "")*24*60, "")</f>
        <v/>
      </c>
      <c r="R7704" s="24" t="str" cm="1">
        <f t="array" ref="R7704">IFERROR(IF($B7704=R$1, ($A7704+$C7704) - MAX(IF($B$2:$B7703=$B7704, $A$2:$A7703+$C$2:$C7703)), "")*24*60, "")</f>
        <v/>
      </c>
      <c r="S7704" s="24" t="str" cm="1">
        <f t="array" ref="S7704">IFERROR(IF($B7704=S$1, ($A7704+$C7704) - MAX(IF($B$2:$B7703=$B7704, $A$2:$A7703+$C$2:$C7703)), "")*24*60, "")</f>
        <v/>
      </c>
    </row>
    <row r="7705" spans="1:19" x14ac:dyDescent="0.2">
      <c r="A7705" s="12">
        <f t="shared" ref="A7705:C7705" si="1537">A7704</f>
        <v>46018</v>
      </c>
      <c r="B7705" s="5" t="str">
        <f t="shared" si="1537"/>
        <v>Northern Cardinal</v>
      </c>
      <c r="C7705" s="6">
        <f t="shared" si="1537"/>
        <v>0.29166666666666669</v>
      </c>
      <c r="D7705" s="5"/>
      <c r="E7705" s="5"/>
      <c r="F7705" s="5" t="s">
        <v>9</v>
      </c>
      <c r="G7705" s="15" t="s">
        <v>8</v>
      </c>
      <c r="H7705" s="24">
        <f t="shared" si="1475"/>
        <v>0</v>
      </c>
      <c r="I7705" s="24" cm="1">
        <f t="array" ref="I7705">IFERROR(IF($B7705=I$1, ($A7705+$C7705) - MAX(IF($B$2:$B7704=$B7705, $A$2:$A7704+$C$2:$C7704)), "")*24*60, "")</f>
        <v>0</v>
      </c>
      <c r="J7705" s="24" t="str" cm="1">
        <f t="array" ref="J7705">IFERROR(IF($B7705=J$1, ($A7705+$C7705) - MAX(IF($B$2:$B7704=$B7705, $A$2:$A7704+$C$2:$C7704)), "")*24*60, "")</f>
        <v/>
      </c>
      <c r="K7705" s="24" t="str" cm="1">
        <f t="array" ref="K7705">IFERROR(IF($B7705=K$1, ($A7705+$C7705) - MAX(IF($B$2:$B7704=$B7705, $A$2:$A7704+$C$2:$C7704)), "")*24*60, "")</f>
        <v/>
      </c>
      <c r="L7705" s="24" t="str" cm="1">
        <f t="array" ref="L7705">IFERROR(IF($B7705=L$1, ($A7705+$C7705) - MAX(IF($B$2:$B7704=$B7705, $A$2:$A7704+$C$2:$C7704)), "")*24*60, "")</f>
        <v/>
      </c>
      <c r="M7705" s="24" t="str" cm="1">
        <f t="array" ref="M7705">IFERROR(IF($B7705=M$1, ($A7705+$C7705) - MAX(IF($B$2:$B7704=$B7705, $A$2:$A7704+$C$2:$C7704)), "")*24*60, "")</f>
        <v/>
      </c>
      <c r="N7705" s="24" t="str" cm="1">
        <f t="array" ref="N7705">IFERROR(IF($B7705=N$1, ($A7705+$C7705) - MAX(IF($B$2:$B7704=$B7705, $A$2:$A7704+$C$2:$C7704)), "")*24*60, "")</f>
        <v/>
      </c>
      <c r="O7705" s="24" t="str" cm="1">
        <f t="array" ref="O7705">IFERROR(IF($B7705=O$1, ($A7705+$C7705) - MAX(IF($B$2:$B7704=$B7705, $A$2:$A7704+$C$2:$C7704)), "")*24*60, "")</f>
        <v/>
      </c>
      <c r="P7705" s="24" t="str" cm="1">
        <f t="array" ref="P7705">IFERROR(IF($B7705=P$1, ($A7705+$C7705) - MAX(IF($B$2:$B7704=$B7705, $A$2:$A7704+$C$2:$C7704)), "")*24*60, "")</f>
        <v/>
      </c>
      <c r="Q7705" s="24" t="str" cm="1">
        <f t="array" ref="Q7705">IFERROR(IF($B7705=Q$1, ($A7705+$C7705) - MAX(IF($B$2:$B7704=$B7705, $A$2:$A7704+$C$2:$C7704)), "")*24*60, "")</f>
        <v/>
      </c>
      <c r="R7705" s="24" t="str" cm="1">
        <f t="array" ref="R7705">IFERROR(IF($B7705=R$1, ($A7705+$C7705) - MAX(IF($B$2:$B7704=$B7705, $A$2:$A7704+$C$2:$C7704)), "")*24*60, "")</f>
        <v/>
      </c>
      <c r="S7705" s="24" t="str" cm="1">
        <f t="array" ref="S7705">IFERROR(IF($B7705=S$1, ($A7705+$C7705) - MAX(IF($B$2:$B7704=$B7705, $A$2:$A7704+$C$2:$C7704)), "")*24*60, "")</f>
        <v/>
      </c>
    </row>
    <row r="7706" spans="1:19" x14ac:dyDescent="0.2">
      <c r="A7706" s="12">
        <f t="shared" ref="A7706:C7706" si="1538">A7705</f>
        <v>46018</v>
      </c>
      <c r="B7706" s="5" t="str">
        <f t="shared" si="1538"/>
        <v>Northern Cardinal</v>
      </c>
      <c r="C7706" s="6">
        <f t="shared" si="1538"/>
        <v>0.29166666666666669</v>
      </c>
      <c r="D7706" s="5"/>
      <c r="E7706" s="5"/>
      <c r="F7706" s="5" t="s">
        <v>9</v>
      </c>
      <c r="G7706" s="15" t="s">
        <v>8</v>
      </c>
      <c r="H7706" s="24">
        <f t="shared" si="1475"/>
        <v>0</v>
      </c>
      <c r="I7706" s="24" cm="1">
        <f t="array" ref="I7706">IFERROR(IF($B7706=I$1, ($A7706+$C7706) - MAX(IF($B$2:$B7705=$B7706, $A$2:$A7705+$C$2:$C7705)), "")*24*60, "")</f>
        <v>0</v>
      </c>
      <c r="J7706" s="24" t="str" cm="1">
        <f t="array" ref="J7706">IFERROR(IF($B7706=J$1, ($A7706+$C7706) - MAX(IF($B$2:$B7705=$B7706, $A$2:$A7705+$C$2:$C7705)), "")*24*60, "")</f>
        <v/>
      </c>
      <c r="K7706" s="24" t="str" cm="1">
        <f t="array" ref="K7706">IFERROR(IF($B7706=K$1, ($A7706+$C7706) - MAX(IF($B$2:$B7705=$B7706, $A$2:$A7705+$C$2:$C7705)), "")*24*60, "")</f>
        <v/>
      </c>
      <c r="L7706" s="24" t="str" cm="1">
        <f t="array" ref="L7706">IFERROR(IF($B7706=L$1, ($A7706+$C7706) - MAX(IF($B$2:$B7705=$B7706, $A$2:$A7705+$C$2:$C7705)), "")*24*60, "")</f>
        <v/>
      </c>
      <c r="M7706" s="24" t="str" cm="1">
        <f t="array" ref="M7706">IFERROR(IF($B7706=M$1, ($A7706+$C7706) - MAX(IF($B$2:$B7705=$B7706, $A$2:$A7705+$C$2:$C7705)), "")*24*60, "")</f>
        <v/>
      </c>
      <c r="N7706" s="24" t="str" cm="1">
        <f t="array" ref="N7706">IFERROR(IF($B7706=N$1, ($A7706+$C7706) - MAX(IF($B$2:$B7705=$B7706, $A$2:$A7705+$C$2:$C7705)), "")*24*60, "")</f>
        <v/>
      </c>
      <c r="O7706" s="24" t="str" cm="1">
        <f t="array" ref="O7706">IFERROR(IF($B7706=O$1, ($A7706+$C7706) - MAX(IF($B$2:$B7705=$B7706, $A$2:$A7705+$C$2:$C7705)), "")*24*60, "")</f>
        <v/>
      </c>
      <c r="P7706" s="24" t="str" cm="1">
        <f t="array" ref="P7706">IFERROR(IF($B7706=P$1, ($A7706+$C7706) - MAX(IF($B$2:$B7705=$B7706, $A$2:$A7705+$C$2:$C7705)), "")*24*60, "")</f>
        <v/>
      </c>
      <c r="Q7706" s="24" t="str" cm="1">
        <f t="array" ref="Q7706">IFERROR(IF($B7706=Q$1, ($A7706+$C7706) - MAX(IF($B$2:$B7705=$B7706, $A$2:$A7705+$C$2:$C7705)), "")*24*60, "")</f>
        <v/>
      </c>
      <c r="R7706" s="24" t="str" cm="1">
        <f t="array" ref="R7706">IFERROR(IF($B7706=R$1, ($A7706+$C7706) - MAX(IF($B$2:$B7705=$B7706, $A$2:$A7705+$C$2:$C7705)), "")*24*60, "")</f>
        <v/>
      </c>
      <c r="S7706" s="24" t="str" cm="1">
        <f t="array" ref="S7706">IFERROR(IF($B7706=S$1, ($A7706+$C7706) - MAX(IF($B$2:$B7705=$B7706, $A$2:$A7705+$C$2:$C7705)), "")*24*60, "")</f>
        <v/>
      </c>
    </row>
    <row r="7707" spans="1:19" x14ac:dyDescent="0.2">
      <c r="A7707" s="12">
        <f t="shared" ref="A7707:C7707" si="1539">A7706</f>
        <v>46018</v>
      </c>
      <c r="B7707" s="5" t="str">
        <f t="shared" si="1539"/>
        <v>Northern Cardinal</v>
      </c>
      <c r="C7707" s="6">
        <f t="shared" si="1539"/>
        <v>0.29166666666666669</v>
      </c>
      <c r="D7707" s="5"/>
      <c r="E7707" s="5"/>
      <c r="F7707" s="5" t="s">
        <v>9</v>
      </c>
      <c r="G7707" s="15" t="s">
        <v>8</v>
      </c>
      <c r="H7707" s="24">
        <f t="shared" ref="H7707:H7745" si="1540">IFERROR((($A7707+$C7707) - ($A7706+$C7706))*24*60, "")</f>
        <v>0</v>
      </c>
      <c r="I7707" s="24" cm="1">
        <f t="array" ref="I7707">IFERROR(IF($B7707=I$1, ($A7707+$C7707) - MAX(IF($B$2:$B7706=$B7707, $A$2:$A7706+$C$2:$C7706)), "")*24*60, "")</f>
        <v>0</v>
      </c>
      <c r="J7707" s="24" t="str" cm="1">
        <f t="array" ref="J7707">IFERROR(IF($B7707=J$1, ($A7707+$C7707) - MAX(IF($B$2:$B7706=$B7707, $A$2:$A7706+$C$2:$C7706)), "")*24*60, "")</f>
        <v/>
      </c>
      <c r="K7707" s="24" t="str" cm="1">
        <f t="array" ref="K7707">IFERROR(IF($B7707=K$1, ($A7707+$C7707) - MAX(IF($B$2:$B7706=$B7707, $A$2:$A7706+$C$2:$C7706)), "")*24*60, "")</f>
        <v/>
      </c>
      <c r="L7707" s="24" t="str" cm="1">
        <f t="array" ref="L7707">IFERROR(IF($B7707=L$1, ($A7707+$C7707) - MAX(IF($B$2:$B7706=$B7707, $A$2:$A7706+$C$2:$C7706)), "")*24*60, "")</f>
        <v/>
      </c>
      <c r="M7707" s="24" t="str" cm="1">
        <f t="array" ref="M7707">IFERROR(IF($B7707=M$1, ($A7707+$C7707) - MAX(IF($B$2:$B7706=$B7707, $A$2:$A7706+$C$2:$C7706)), "")*24*60, "")</f>
        <v/>
      </c>
      <c r="N7707" s="24" t="str" cm="1">
        <f t="array" ref="N7707">IFERROR(IF($B7707=N$1, ($A7707+$C7707) - MAX(IF($B$2:$B7706=$B7707, $A$2:$A7706+$C$2:$C7706)), "")*24*60, "")</f>
        <v/>
      </c>
      <c r="O7707" s="24" t="str" cm="1">
        <f t="array" ref="O7707">IFERROR(IF($B7707=O$1, ($A7707+$C7707) - MAX(IF($B$2:$B7706=$B7707, $A$2:$A7706+$C$2:$C7706)), "")*24*60, "")</f>
        <v/>
      </c>
      <c r="P7707" s="24" t="str" cm="1">
        <f t="array" ref="P7707">IFERROR(IF($B7707=P$1, ($A7707+$C7707) - MAX(IF($B$2:$B7706=$B7707, $A$2:$A7706+$C$2:$C7706)), "")*24*60, "")</f>
        <v/>
      </c>
      <c r="Q7707" s="24" t="str" cm="1">
        <f t="array" ref="Q7707">IFERROR(IF($B7707=Q$1, ($A7707+$C7707) - MAX(IF($B$2:$B7706=$B7707, $A$2:$A7706+$C$2:$C7706)), "")*24*60, "")</f>
        <v/>
      </c>
      <c r="R7707" s="24" t="str" cm="1">
        <f t="array" ref="R7707">IFERROR(IF($B7707=R$1, ($A7707+$C7707) - MAX(IF($B$2:$B7706=$B7707, $A$2:$A7706+$C$2:$C7706)), "")*24*60, "")</f>
        <v/>
      </c>
      <c r="S7707" s="24" t="str" cm="1">
        <f t="array" ref="S7707">IFERROR(IF($B7707=S$1, ($A7707+$C7707) - MAX(IF($B$2:$B7706=$B7707, $A$2:$A7706+$C$2:$C7706)), "")*24*60, "")</f>
        <v/>
      </c>
    </row>
    <row r="7708" spans="1:19" x14ac:dyDescent="0.2">
      <c r="A7708" s="12">
        <f t="shared" ref="A7708:C7708" si="1541">A7707</f>
        <v>46018</v>
      </c>
      <c r="B7708" s="5" t="str">
        <f t="shared" si="1541"/>
        <v>Northern Cardinal</v>
      </c>
      <c r="C7708" s="6">
        <f t="shared" si="1541"/>
        <v>0.29166666666666669</v>
      </c>
      <c r="D7708" s="5"/>
      <c r="E7708" s="5"/>
      <c r="F7708" s="5" t="s">
        <v>9</v>
      </c>
      <c r="G7708" s="15" t="s">
        <v>8</v>
      </c>
      <c r="H7708" s="24">
        <f t="shared" si="1540"/>
        <v>0</v>
      </c>
      <c r="I7708" s="24" cm="1">
        <f t="array" ref="I7708">IFERROR(IF($B7708=I$1, ($A7708+$C7708) - MAX(IF($B$2:$B7707=$B7708, $A$2:$A7707+$C$2:$C7707)), "")*24*60, "")</f>
        <v>0</v>
      </c>
      <c r="J7708" s="24" t="str" cm="1">
        <f t="array" ref="J7708">IFERROR(IF($B7708=J$1, ($A7708+$C7708) - MAX(IF($B$2:$B7707=$B7708, $A$2:$A7707+$C$2:$C7707)), "")*24*60, "")</f>
        <v/>
      </c>
      <c r="K7708" s="24" t="str" cm="1">
        <f t="array" ref="K7708">IFERROR(IF($B7708=K$1, ($A7708+$C7708) - MAX(IF($B$2:$B7707=$B7708, $A$2:$A7707+$C$2:$C7707)), "")*24*60, "")</f>
        <v/>
      </c>
      <c r="L7708" s="24" t="str" cm="1">
        <f t="array" ref="L7708">IFERROR(IF($B7708=L$1, ($A7708+$C7708) - MAX(IF($B$2:$B7707=$B7708, $A$2:$A7707+$C$2:$C7707)), "")*24*60, "")</f>
        <v/>
      </c>
      <c r="M7708" s="24" t="str" cm="1">
        <f t="array" ref="M7708">IFERROR(IF($B7708=M$1, ($A7708+$C7708) - MAX(IF($B$2:$B7707=$B7708, $A$2:$A7707+$C$2:$C7707)), "")*24*60, "")</f>
        <v/>
      </c>
      <c r="N7708" s="24" t="str" cm="1">
        <f t="array" ref="N7708">IFERROR(IF($B7708=N$1, ($A7708+$C7708) - MAX(IF($B$2:$B7707=$B7708, $A$2:$A7707+$C$2:$C7707)), "")*24*60, "")</f>
        <v/>
      </c>
      <c r="O7708" s="24" t="str" cm="1">
        <f t="array" ref="O7708">IFERROR(IF($B7708=O$1, ($A7708+$C7708) - MAX(IF($B$2:$B7707=$B7708, $A$2:$A7707+$C$2:$C7707)), "")*24*60, "")</f>
        <v/>
      </c>
      <c r="P7708" s="24" t="str" cm="1">
        <f t="array" ref="P7708">IFERROR(IF($B7708=P$1, ($A7708+$C7708) - MAX(IF($B$2:$B7707=$B7708, $A$2:$A7707+$C$2:$C7707)), "")*24*60, "")</f>
        <v/>
      </c>
      <c r="Q7708" s="24" t="str" cm="1">
        <f t="array" ref="Q7708">IFERROR(IF($B7708=Q$1, ($A7708+$C7708) - MAX(IF($B$2:$B7707=$B7708, $A$2:$A7707+$C$2:$C7707)), "")*24*60, "")</f>
        <v/>
      </c>
      <c r="R7708" s="24" t="str" cm="1">
        <f t="array" ref="R7708">IFERROR(IF($B7708=R$1, ($A7708+$C7708) - MAX(IF($B$2:$B7707=$B7708, $A$2:$A7707+$C$2:$C7707)), "")*24*60, "")</f>
        <v/>
      </c>
      <c r="S7708" s="24" t="str" cm="1">
        <f t="array" ref="S7708">IFERROR(IF($B7708=S$1, ($A7708+$C7708) - MAX(IF($B$2:$B7707=$B7708, $A$2:$A7707+$C$2:$C7707)), "")*24*60, "")</f>
        <v/>
      </c>
    </row>
    <row r="7709" spans="1:19" x14ac:dyDescent="0.2">
      <c r="A7709" s="12">
        <f t="shared" ref="A7709:C7709" si="1542">A7708</f>
        <v>46018</v>
      </c>
      <c r="B7709" s="5" t="str">
        <f t="shared" si="1542"/>
        <v>Northern Cardinal</v>
      </c>
      <c r="C7709" s="6">
        <f t="shared" si="1542"/>
        <v>0.29166666666666669</v>
      </c>
      <c r="D7709" s="5"/>
      <c r="E7709" s="5"/>
      <c r="F7709" s="5" t="s">
        <v>9</v>
      </c>
      <c r="G7709" s="15" t="s">
        <v>8</v>
      </c>
      <c r="H7709" s="24">
        <f t="shared" si="1540"/>
        <v>0</v>
      </c>
      <c r="I7709" s="24" cm="1">
        <f t="array" ref="I7709">IFERROR(IF($B7709=I$1, ($A7709+$C7709) - MAX(IF($B$2:$B7708=$B7709, $A$2:$A7708+$C$2:$C7708)), "")*24*60, "")</f>
        <v>0</v>
      </c>
      <c r="J7709" s="24" t="str" cm="1">
        <f t="array" ref="J7709">IFERROR(IF($B7709=J$1, ($A7709+$C7709) - MAX(IF($B$2:$B7708=$B7709, $A$2:$A7708+$C$2:$C7708)), "")*24*60, "")</f>
        <v/>
      </c>
      <c r="K7709" s="24" t="str" cm="1">
        <f t="array" ref="K7709">IFERROR(IF($B7709=K$1, ($A7709+$C7709) - MAX(IF($B$2:$B7708=$B7709, $A$2:$A7708+$C$2:$C7708)), "")*24*60, "")</f>
        <v/>
      </c>
      <c r="L7709" s="24" t="str" cm="1">
        <f t="array" ref="L7709">IFERROR(IF($B7709=L$1, ($A7709+$C7709) - MAX(IF($B$2:$B7708=$B7709, $A$2:$A7708+$C$2:$C7708)), "")*24*60, "")</f>
        <v/>
      </c>
      <c r="M7709" s="24" t="str" cm="1">
        <f t="array" ref="M7709">IFERROR(IF($B7709=M$1, ($A7709+$C7709) - MAX(IF($B$2:$B7708=$B7709, $A$2:$A7708+$C$2:$C7708)), "")*24*60, "")</f>
        <v/>
      </c>
      <c r="N7709" s="24" t="str" cm="1">
        <f t="array" ref="N7709">IFERROR(IF($B7709=N$1, ($A7709+$C7709) - MAX(IF($B$2:$B7708=$B7709, $A$2:$A7708+$C$2:$C7708)), "")*24*60, "")</f>
        <v/>
      </c>
      <c r="O7709" s="24" t="str" cm="1">
        <f t="array" ref="O7709">IFERROR(IF($B7709=O$1, ($A7709+$C7709) - MAX(IF($B$2:$B7708=$B7709, $A$2:$A7708+$C$2:$C7708)), "")*24*60, "")</f>
        <v/>
      </c>
      <c r="P7709" s="24" t="str" cm="1">
        <f t="array" ref="P7709">IFERROR(IF($B7709=P$1, ($A7709+$C7709) - MAX(IF($B$2:$B7708=$B7709, $A$2:$A7708+$C$2:$C7708)), "")*24*60, "")</f>
        <v/>
      </c>
      <c r="Q7709" s="24" t="str" cm="1">
        <f t="array" ref="Q7709">IFERROR(IF($B7709=Q$1, ($A7709+$C7709) - MAX(IF($B$2:$B7708=$B7709, $A$2:$A7708+$C$2:$C7708)), "")*24*60, "")</f>
        <v/>
      </c>
      <c r="R7709" s="24" t="str" cm="1">
        <f t="array" ref="R7709">IFERROR(IF($B7709=R$1, ($A7709+$C7709) - MAX(IF($B$2:$B7708=$B7709, $A$2:$A7708+$C$2:$C7708)), "")*24*60, "")</f>
        <v/>
      </c>
      <c r="S7709" s="24" t="str" cm="1">
        <f t="array" ref="S7709">IFERROR(IF($B7709=S$1, ($A7709+$C7709) - MAX(IF($B$2:$B7708=$B7709, $A$2:$A7708+$C$2:$C7708)), "")*24*60, "")</f>
        <v/>
      </c>
    </row>
    <row r="7710" spans="1:19" x14ac:dyDescent="0.2">
      <c r="A7710" s="12">
        <f t="shared" ref="A7710:C7710" si="1543">A7709</f>
        <v>46018</v>
      </c>
      <c r="B7710" s="5" t="str">
        <f t="shared" si="1543"/>
        <v>Northern Cardinal</v>
      </c>
      <c r="C7710" s="6">
        <f t="shared" si="1543"/>
        <v>0.29166666666666669</v>
      </c>
      <c r="D7710" s="5"/>
      <c r="E7710" s="5"/>
      <c r="F7710" s="5" t="s">
        <v>9</v>
      </c>
      <c r="G7710" s="15" t="s">
        <v>8</v>
      </c>
      <c r="H7710" s="24">
        <f t="shared" si="1540"/>
        <v>0</v>
      </c>
      <c r="I7710" s="24" cm="1">
        <f t="array" ref="I7710">IFERROR(IF($B7710=I$1, ($A7710+$C7710) - MAX(IF($B$2:$B7709=$B7710, $A$2:$A7709+$C$2:$C7709)), "")*24*60, "")</f>
        <v>0</v>
      </c>
      <c r="J7710" s="24" t="str" cm="1">
        <f t="array" ref="J7710">IFERROR(IF($B7710=J$1, ($A7710+$C7710) - MAX(IF($B$2:$B7709=$B7710, $A$2:$A7709+$C$2:$C7709)), "")*24*60, "")</f>
        <v/>
      </c>
      <c r="K7710" s="24" t="str" cm="1">
        <f t="array" ref="K7710">IFERROR(IF($B7710=K$1, ($A7710+$C7710) - MAX(IF($B$2:$B7709=$B7710, $A$2:$A7709+$C$2:$C7709)), "")*24*60, "")</f>
        <v/>
      </c>
      <c r="L7710" s="24" t="str" cm="1">
        <f t="array" ref="L7710">IFERROR(IF($B7710=L$1, ($A7710+$C7710) - MAX(IF($B$2:$B7709=$B7710, $A$2:$A7709+$C$2:$C7709)), "")*24*60, "")</f>
        <v/>
      </c>
      <c r="M7710" s="24" t="str" cm="1">
        <f t="array" ref="M7710">IFERROR(IF($B7710=M$1, ($A7710+$C7710) - MAX(IF($B$2:$B7709=$B7710, $A$2:$A7709+$C$2:$C7709)), "")*24*60, "")</f>
        <v/>
      </c>
      <c r="N7710" s="24" t="str" cm="1">
        <f t="array" ref="N7710">IFERROR(IF($B7710=N$1, ($A7710+$C7710) - MAX(IF($B$2:$B7709=$B7710, $A$2:$A7709+$C$2:$C7709)), "")*24*60, "")</f>
        <v/>
      </c>
      <c r="O7710" s="24" t="str" cm="1">
        <f t="array" ref="O7710">IFERROR(IF($B7710=O$1, ($A7710+$C7710) - MAX(IF($B$2:$B7709=$B7710, $A$2:$A7709+$C$2:$C7709)), "")*24*60, "")</f>
        <v/>
      </c>
      <c r="P7710" s="24" t="str" cm="1">
        <f t="array" ref="P7710">IFERROR(IF($B7710=P$1, ($A7710+$C7710) - MAX(IF($B$2:$B7709=$B7710, $A$2:$A7709+$C$2:$C7709)), "")*24*60, "")</f>
        <v/>
      </c>
      <c r="Q7710" s="24" t="str" cm="1">
        <f t="array" ref="Q7710">IFERROR(IF($B7710=Q$1, ($A7710+$C7710) - MAX(IF($B$2:$B7709=$B7710, $A$2:$A7709+$C$2:$C7709)), "")*24*60, "")</f>
        <v/>
      </c>
      <c r="R7710" s="24" t="str" cm="1">
        <f t="array" ref="R7710">IFERROR(IF($B7710=R$1, ($A7710+$C7710) - MAX(IF($B$2:$B7709=$B7710, $A$2:$A7709+$C$2:$C7709)), "")*24*60, "")</f>
        <v/>
      </c>
      <c r="S7710" s="24" t="str" cm="1">
        <f t="array" ref="S7710">IFERROR(IF($B7710=S$1, ($A7710+$C7710) - MAX(IF($B$2:$B7709=$B7710, $A$2:$A7709+$C$2:$C7709)), "")*24*60, "")</f>
        <v/>
      </c>
    </row>
    <row r="7711" spans="1:19" x14ac:dyDescent="0.2">
      <c r="A7711" s="12">
        <f t="shared" ref="A7711:C7711" si="1544">A7710</f>
        <v>46018</v>
      </c>
      <c r="B7711" s="5" t="str">
        <f t="shared" si="1544"/>
        <v>Northern Cardinal</v>
      </c>
      <c r="C7711" s="6">
        <f t="shared" si="1544"/>
        <v>0.29166666666666669</v>
      </c>
      <c r="D7711" s="5"/>
      <c r="E7711" s="5"/>
      <c r="F7711" s="5" t="s">
        <v>9</v>
      </c>
      <c r="G7711" s="15" t="s">
        <v>8</v>
      </c>
      <c r="H7711" s="24">
        <f t="shared" si="1540"/>
        <v>0</v>
      </c>
      <c r="I7711" s="24" cm="1">
        <f t="array" ref="I7711">IFERROR(IF($B7711=I$1, ($A7711+$C7711) - MAX(IF($B$2:$B7710=$B7711, $A$2:$A7710+$C$2:$C7710)), "")*24*60, "")</f>
        <v>0</v>
      </c>
      <c r="J7711" s="24" t="str" cm="1">
        <f t="array" ref="J7711">IFERROR(IF($B7711=J$1, ($A7711+$C7711) - MAX(IF($B$2:$B7710=$B7711, $A$2:$A7710+$C$2:$C7710)), "")*24*60, "")</f>
        <v/>
      </c>
      <c r="K7711" s="24" t="str" cm="1">
        <f t="array" ref="K7711">IFERROR(IF($B7711=K$1, ($A7711+$C7711) - MAX(IF($B$2:$B7710=$B7711, $A$2:$A7710+$C$2:$C7710)), "")*24*60, "")</f>
        <v/>
      </c>
      <c r="L7711" s="24" t="str" cm="1">
        <f t="array" ref="L7711">IFERROR(IF($B7711=L$1, ($A7711+$C7711) - MAX(IF($B$2:$B7710=$B7711, $A$2:$A7710+$C$2:$C7710)), "")*24*60, "")</f>
        <v/>
      </c>
      <c r="M7711" s="24" t="str" cm="1">
        <f t="array" ref="M7711">IFERROR(IF($B7711=M$1, ($A7711+$C7711) - MAX(IF($B$2:$B7710=$B7711, $A$2:$A7710+$C$2:$C7710)), "")*24*60, "")</f>
        <v/>
      </c>
      <c r="N7711" s="24" t="str" cm="1">
        <f t="array" ref="N7711">IFERROR(IF($B7711=N$1, ($A7711+$C7711) - MAX(IF($B$2:$B7710=$B7711, $A$2:$A7710+$C$2:$C7710)), "")*24*60, "")</f>
        <v/>
      </c>
      <c r="O7711" s="24" t="str" cm="1">
        <f t="array" ref="O7711">IFERROR(IF($B7711=O$1, ($A7711+$C7711) - MAX(IF($B$2:$B7710=$B7711, $A$2:$A7710+$C$2:$C7710)), "")*24*60, "")</f>
        <v/>
      </c>
      <c r="P7711" s="24" t="str" cm="1">
        <f t="array" ref="P7711">IFERROR(IF($B7711=P$1, ($A7711+$C7711) - MAX(IF($B$2:$B7710=$B7711, $A$2:$A7710+$C$2:$C7710)), "")*24*60, "")</f>
        <v/>
      </c>
      <c r="Q7711" s="24" t="str" cm="1">
        <f t="array" ref="Q7711">IFERROR(IF($B7711=Q$1, ($A7711+$C7711) - MAX(IF($B$2:$B7710=$B7711, $A$2:$A7710+$C$2:$C7710)), "")*24*60, "")</f>
        <v/>
      </c>
      <c r="R7711" s="24" t="str" cm="1">
        <f t="array" ref="R7711">IFERROR(IF($B7711=R$1, ($A7711+$C7711) - MAX(IF($B$2:$B7710=$B7711, $A$2:$A7710+$C$2:$C7710)), "")*24*60, "")</f>
        <v/>
      </c>
      <c r="S7711" s="24" t="str" cm="1">
        <f t="array" ref="S7711">IFERROR(IF($B7711=S$1, ($A7711+$C7711) - MAX(IF($B$2:$B7710=$B7711, $A$2:$A7710+$C$2:$C7710)), "")*24*60, "")</f>
        <v/>
      </c>
    </row>
    <row r="7712" spans="1:19" x14ac:dyDescent="0.2">
      <c r="A7712" s="12">
        <f t="shared" ref="A7712:C7712" si="1545">A7711</f>
        <v>46018</v>
      </c>
      <c r="B7712" s="5" t="str">
        <f t="shared" si="1545"/>
        <v>Northern Cardinal</v>
      </c>
      <c r="C7712" s="6">
        <f t="shared" si="1545"/>
        <v>0.29166666666666669</v>
      </c>
      <c r="D7712" s="5"/>
      <c r="E7712" s="5"/>
      <c r="F7712" s="5" t="s">
        <v>9</v>
      </c>
      <c r="G7712" s="15" t="s">
        <v>8</v>
      </c>
      <c r="H7712" s="24">
        <f t="shared" si="1540"/>
        <v>0</v>
      </c>
      <c r="I7712" s="24" cm="1">
        <f t="array" ref="I7712">IFERROR(IF($B7712=I$1, ($A7712+$C7712) - MAX(IF($B$2:$B7711=$B7712, $A$2:$A7711+$C$2:$C7711)), "")*24*60, "")</f>
        <v>0</v>
      </c>
      <c r="J7712" s="24" t="str" cm="1">
        <f t="array" ref="J7712">IFERROR(IF($B7712=J$1, ($A7712+$C7712) - MAX(IF($B$2:$B7711=$B7712, $A$2:$A7711+$C$2:$C7711)), "")*24*60, "")</f>
        <v/>
      </c>
      <c r="K7712" s="24" t="str" cm="1">
        <f t="array" ref="K7712">IFERROR(IF($B7712=K$1, ($A7712+$C7712) - MAX(IF($B$2:$B7711=$B7712, $A$2:$A7711+$C$2:$C7711)), "")*24*60, "")</f>
        <v/>
      </c>
      <c r="L7712" s="24" t="str" cm="1">
        <f t="array" ref="L7712">IFERROR(IF($B7712=L$1, ($A7712+$C7712) - MAX(IF($B$2:$B7711=$B7712, $A$2:$A7711+$C$2:$C7711)), "")*24*60, "")</f>
        <v/>
      </c>
      <c r="M7712" s="24" t="str" cm="1">
        <f t="array" ref="M7712">IFERROR(IF($B7712=M$1, ($A7712+$C7712) - MAX(IF($B$2:$B7711=$B7712, $A$2:$A7711+$C$2:$C7711)), "")*24*60, "")</f>
        <v/>
      </c>
      <c r="N7712" s="24" t="str" cm="1">
        <f t="array" ref="N7712">IFERROR(IF($B7712=N$1, ($A7712+$C7712) - MAX(IF($B$2:$B7711=$B7712, $A$2:$A7711+$C$2:$C7711)), "")*24*60, "")</f>
        <v/>
      </c>
      <c r="O7712" s="24" t="str" cm="1">
        <f t="array" ref="O7712">IFERROR(IF($B7712=O$1, ($A7712+$C7712) - MAX(IF($B$2:$B7711=$B7712, $A$2:$A7711+$C$2:$C7711)), "")*24*60, "")</f>
        <v/>
      </c>
      <c r="P7712" s="24" t="str" cm="1">
        <f t="array" ref="P7712">IFERROR(IF($B7712=P$1, ($A7712+$C7712) - MAX(IF($B$2:$B7711=$B7712, $A$2:$A7711+$C$2:$C7711)), "")*24*60, "")</f>
        <v/>
      </c>
      <c r="Q7712" s="24" t="str" cm="1">
        <f t="array" ref="Q7712">IFERROR(IF($B7712=Q$1, ($A7712+$C7712) - MAX(IF($B$2:$B7711=$B7712, $A$2:$A7711+$C$2:$C7711)), "")*24*60, "")</f>
        <v/>
      </c>
      <c r="R7712" s="24" t="str" cm="1">
        <f t="array" ref="R7712">IFERROR(IF($B7712=R$1, ($A7712+$C7712) - MAX(IF($B$2:$B7711=$B7712, $A$2:$A7711+$C$2:$C7711)), "")*24*60, "")</f>
        <v/>
      </c>
      <c r="S7712" s="24" t="str" cm="1">
        <f t="array" ref="S7712">IFERROR(IF($B7712=S$1, ($A7712+$C7712) - MAX(IF($B$2:$B7711=$B7712, $A$2:$A7711+$C$2:$C7711)), "")*24*60, "")</f>
        <v/>
      </c>
    </row>
    <row r="7713" spans="1:19" x14ac:dyDescent="0.2">
      <c r="A7713" s="12">
        <f t="shared" ref="A7713:C7713" si="1546">A7712</f>
        <v>46018</v>
      </c>
      <c r="B7713" s="5" t="str">
        <f t="shared" si="1546"/>
        <v>Northern Cardinal</v>
      </c>
      <c r="C7713" s="6">
        <f t="shared" si="1546"/>
        <v>0.29166666666666669</v>
      </c>
      <c r="D7713" s="5"/>
      <c r="E7713" s="5"/>
      <c r="F7713" s="5" t="s">
        <v>9</v>
      </c>
      <c r="G7713" s="15" t="s">
        <v>8</v>
      </c>
      <c r="H7713" s="24">
        <f t="shared" si="1540"/>
        <v>0</v>
      </c>
      <c r="I7713" s="24" cm="1">
        <f t="array" ref="I7713">IFERROR(IF($B7713=I$1, ($A7713+$C7713) - MAX(IF($B$2:$B7712=$B7713, $A$2:$A7712+$C$2:$C7712)), "")*24*60, "")</f>
        <v>0</v>
      </c>
      <c r="J7713" s="24" t="str" cm="1">
        <f t="array" ref="J7713">IFERROR(IF($B7713=J$1, ($A7713+$C7713) - MAX(IF($B$2:$B7712=$B7713, $A$2:$A7712+$C$2:$C7712)), "")*24*60, "")</f>
        <v/>
      </c>
      <c r="K7713" s="24" t="str" cm="1">
        <f t="array" ref="K7713">IFERROR(IF($B7713=K$1, ($A7713+$C7713) - MAX(IF($B$2:$B7712=$B7713, $A$2:$A7712+$C$2:$C7712)), "")*24*60, "")</f>
        <v/>
      </c>
      <c r="L7713" s="24" t="str" cm="1">
        <f t="array" ref="L7713">IFERROR(IF($B7713=L$1, ($A7713+$C7713) - MAX(IF($B$2:$B7712=$B7713, $A$2:$A7712+$C$2:$C7712)), "")*24*60, "")</f>
        <v/>
      </c>
      <c r="M7713" s="24" t="str" cm="1">
        <f t="array" ref="M7713">IFERROR(IF($B7713=M$1, ($A7713+$C7713) - MAX(IF($B$2:$B7712=$B7713, $A$2:$A7712+$C$2:$C7712)), "")*24*60, "")</f>
        <v/>
      </c>
      <c r="N7713" s="24" t="str" cm="1">
        <f t="array" ref="N7713">IFERROR(IF($B7713=N$1, ($A7713+$C7713) - MAX(IF($B$2:$B7712=$B7713, $A$2:$A7712+$C$2:$C7712)), "")*24*60, "")</f>
        <v/>
      </c>
      <c r="O7713" s="24" t="str" cm="1">
        <f t="array" ref="O7713">IFERROR(IF($B7713=O$1, ($A7713+$C7713) - MAX(IF($B$2:$B7712=$B7713, $A$2:$A7712+$C$2:$C7712)), "")*24*60, "")</f>
        <v/>
      </c>
      <c r="P7713" s="24" t="str" cm="1">
        <f t="array" ref="P7713">IFERROR(IF($B7713=P$1, ($A7713+$C7713) - MAX(IF($B$2:$B7712=$B7713, $A$2:$A7712+$C$2:$C7712)), "")*24*60, "")</f>
        <v/>
      </c>
      <c r="Q7713" s="24" t="str" cm="1">
        <f t="array" ref="Q7713">IFERROR(IF($B7713=Q$1, ($A7713+$C7713) - MAX(IF($B$2:$B7712=$B7713, $A$2:$A7712+$C$2:$C7712)), "")*24*60, "")</f>
        <v/>
      </c>
      <c r="R7713" s="24" t="str" cm="1">
        <f t="array" ref="R7713">IFERROR(IF($B7713=R$1, ($A7713+$C7713) - MAX(IF($B$2:$B7712=$B7713, $A$2:$A7712+$C$2:$C7712)), "")*24*60, "")</f>
        <v/>
      </c>
      <c r="S7713" s="24" t="str" cm="1">
        <f t="array" ref="S7713">IFERROR(IF($B7713=S$1, ($A7713+$C7713) - MAX(IF($B$2:$B7712=$B7713, $A$2:$A7712+$C$2:$C7712)), "")*24*60, "")</f>
        <v/>
      </c>
    </row>
    <row r="7714" spans="1:19" x14ac:dyDescent="0.2">
      <c r="A7714" s="12">
        <f t="shared" ref="A7714:C7714" si="1547">A7713</f>
        <v>46018</v>
      </c>
      <c r="B7714" s="5" t="str">
        <f t="shared" si="1547"/>
        <v>Northern Cardinal</v>
      </c>
      <c r="C7714" s="6">
        <f t="shared" si="1547"/>
        <v>0.29166666666666669</v>
      </c>
      <c r="D7714" s="5"/>
      <c r="E7714" s="5"/>
      <c r="F7714" s="5" t="s">
        <v>9</v>
      </c>
      <c r="G7714" s="15" t="s">
        <v>8</v>
      </c>
      <c r="H7714" s="24">
        <f t="shared" si="1540"/>
        <v>0</v>
      </c>
      <c r="I7714" s="24" cm="1">
        <f t="array" ref="I7714">IFERROR(IF($B7714=I$1, ($A7714+$C7714) - MAX(IF($B$2:$B7713=$B7714, $A$2:$A7713+$C$2:$C7713)), "")*24*60, "")</f>
        <v>0</v>
      </c>
      <c r="J7714" s="24" t="str" cm="1">
        <f t="array" ref="J7714">IFERROR(IF($B7714=J$1, ($A7714+$C7714) - MAX(IF($B$2:$B7713=$B7714, $A$2:$A7713+$C$2:$C7713)), "")*24*60, "")</f>
        <v/>
      </c>
      <c r="K7714" s="24" t="str" cm="1">
        <f t="array" ref="K7714">IFERROR(IF($B7714=K$1, ($A7714+$C7714) - MAX(IF($B$2:$B7713=$B7714, $A$2:$A7713+$C$2:$C7713)), "")*24*60, "")</f>
        <v/>
      </c>
      <c r="L7714" s="24" t="str" cm="1">
        <f t="array" ref="L7714">IFERROR(IF($B7714=L$1, ($A7714+$C7714) - MAX(IF($B$2:$B7713=$B7714, $A$2:$A7713+$C$2:$C7713)), "")*24*60, "")</f>
        <v/>
      </c>
      <c r="M7714" s="24" t="str" cm="1">
        <f t="array" ref="M7714">IFERROR(IF($B7714=M$1, ($A7714+$C7714) - MAX(IF($B$2:$B7713=$B7714, $A$2:$A7713+$C$2:$C7713)), "")*24*60, "")</f>
        <v/>
      </c>
      <c r="N7714" s="24" t="str" cm="1">
        <f t="array" ref="N7714">IFERROR(IF($B7714=N$1, ($A7714+$C7714) - MAX(IF($B$2:$B7713=$B7714, $A$2:$A7713+$C$2:$C7713)), "")*24*60, "")</f>
        <v/>
      </c>
      <c r="O7714" s="24" t="str" cm="1">
        <f t="array" ref="O7714">IFERROR(IF($B7714=O$1, ($A7714+$C7714) - MAX(IF($B$2:$B7713=$B7714, $A$2:$A7713+$C$2:$C7713)), "")*24*60, "")</f>
        <v/>
      </c>
      <c r="P7714" s="24" t="str" cm="1">
        <f t="array" ref="P7714">IFERROR(IF($B7714=P$1, ($A7714+$C7714) - MAX(IF($B$2:$B7713=$B7714, $A$2:$A7713+$C$2:$C7713)), "")*24*60, "")</f>
        <v/>
      </c>
      <c r="Q7714" s="24" t="str" cm="1">
        <f t="array" ref="Q7714">IFERROR(IF($B7714=Q$1, ($A7714+$C7714) - MAX(IF($B$2:$B7713=$B7714, $A$2:$A7713+$C$2:$C7713)), "")*24*60, "")</f>
        <v/>
      </c>
      <c r="R7714" s="24" t="str" cm="1">
        <f t="array" ref="R7714">IFERROR(IF($B7714=R$1, ($A7714+$C7714) - MAX(IF($B$2:$B7713=$B7714, $A$2:$A7713+$C$2:$C7713)), "")*24*60, "")</f>
        <v/>
      </c>
      <c r="S7714" s="24" t="str" cm="1">
        <f t="array" ref="S7714">IFERROR(IF($B7714=S$1, ($A7714+$C7714) - MAX(IF($B$2:$B7713=$B7714, $A$2:$A7713+$C$2:$C7713)), "")*24*60, "")</f>
        <v/>
      </c>
    </row>
    <row r="7715" spans="1:19" x14ac:dyDescent="0.2">
      <c r="A7715" s="12">
        <f t="shared" ref="A7715:C7715" si="1548">A7714</f>
        <v>46018</v>
      </c>
      <c r="B7715" s="5" t="str">
        <f t="shared" si="1548"/>
        <v>Northern Cardinal</v>
      </c>
      <c r="C7715" s="6">
        <f t="shared" si="1548"/>
        <v>0.29166666666666669</v>
      </c>
      <c r="D7715" s="5"/>
      <c r="E7715" s="5"/>
      <c r="F7715" s="5" t="s">
        <v>9</v>
      </c>
      <c r="G7715" s="15" t="s">
        <v>8</v>
      </c>
      <c r="H7715" s="24">
        <f t="shared" si="1540"/>
        <v>0</v>
      </c>
      <c r="I7715" s="24" cm="1">
        <f t="array" ref="I7715">IFERROR(IF($B7715=I$1, ($A7715+$C7715) - MAX(IF($B$2:$B7714=$B7715, $A$2:$A7714+$C$2:$C7714)), "")*24*60, "")</f>
        <v>0</v>
      </c>
      <c r="J7715" s="24" t="str" cm="1">
        <f t="array" ref="J7715">IFERROR(IF($B7715=J$1, ($A7715+$C7715) - MAX(IF($B$2:$B7714=$B7715, $A$2:$A7714+$C$2:$C7714)), "")*24*60, "")</f>
        <v/>
      </c>
      <c r="K7715" s="24" t="str" cm="1">
        <f t="array" ref="K7715">IFERROR(IF($B7715=K$1, ($A7715+$C7715) - MAX(IF($B$2:$B7714=$B7715, $A$2:$A7714+$C$2:$C7714)), "")*24*60, "")</f>
        <v/>
      </c>
      <c r="L7715" s="24" t="str" cm="1">
        <f t="array" ref="L7715">IFERROR(IF($B7715=L$1, ($A7715+$C7715) - MAX(IF($B$2:$B7714=$B7715, $A$2:$A7714+$C$2:$C7714)), "")*24*60, "")</f>
        <v/>
      </c>
      <c r="M7715" s="24" t="str" cm="1">
        <f t="array" ref="M7715">IFERROR(IF($B7715=M$1, ($A7715+$C7715) - MAX(IF($B$2:$B7714=$B7715, $A$2:$A7714+$C$2:$C7714)), "")*24*60, "")</f>
        <v/>
      </c>
      <c r="N7715" s="24" t="str" cm="1">
        <f t="array" ref="N7715">IFERROR(IF($B7715=N$1, ($A7715+$C7715) - MAX(IF($B$2:$B7714=$B7715, $A$2:$A7714+$C$2:$C7714)), "")*24*60, "")</f>
        <v/>
      </c>
      <c r="O7715" s="24" t="str" cm="1">
        <f t="array" ref="O7715">IFERROR(IF($B7715=O$1, ($A7715+$C7715) - MAX(IF($B$2:$B7714=$B7715, $A$2:$A7714+$C$2:$C7714)), "")*24*60, "")</f>
        <v/>
      </c>
      <c r="P7715" s="24" t="str" cm="1">
        <f t="array" ref="P7715">IFERROR(IF($B7715=P$1, ($A7715+$C7715) - MAX(IF($B$2:$B7714=$B7715, $A$2:$A7714+$C$2:$C7714)), "")*24*60, "")</f>
        <v/>
      </c>
      <c r="Q7715" s="24" t="str" cm="1">
        <f t="array" ref="Q7715">IFERROR(IF($B7715=Q$1, ($A7715+$C7715) - MAX(IF($B$2:$B7714=$B7715, $A$2:$A7714+$C$2:$C7714)), "")*24*60, "")</f>
        <v/>
      </c>
      <c r="R7715" s="24" t="str" cm="1">
        <f t="array" ref="R7715">IFERROR(IF($B7715=R$1, ($A7715+$C7715) - MAX(IF($B$2:$B7714=$B7715, $A$2:$A7714+$C$2:$C7714)), "")*24*60, "")</f>
        <v/>
      </c>
      <c r="S7715" s="24" t="str" cm="1">
        <f t="array" ref="S7715">IFERROR(IF($B7715=S$1, ($A7715+$C7715) - MAX(IF($B$2:$B7714=$B7715, $A$2:$A7714+$C$2:$C7714)), "")*24*60, "")</f>
        <v/>
      </c>
    </row>
    <row r="7716" spans="1:19" x14ac:dyDescent="0.2">
      <c r="A7716" s="12">
        <f t="shared" ref="A7716:C7716" si="1549">A7715</f>
        <v>46018</v>
      </c>
      <c r="B7716" s="5" t="str">
        <f t="shared" si="1549"/>
        <v>Northern Cardinal</v>
      </c>
      <c r="C7716" s="6">
        <f t="shared" si="1549"/>
        <v>0.29166666666666669</v>
      </c>
      <c r="D7716" s="5"/>
      <c r="E7716" s="5"/>
      <c r="F7716" s="5" t="s">
        <v>9</v>
      </c>
      <c r="G7716" s="15" t="s">
        <v>8</v>
      </c>
      <c r="H7716" s="24">
        <f t="shared" si="1540"/>
        <v>0</v>
      </c>
      <c r="I7716" s="24" cm="1">
        <f t="array" ref="I7716">IFERROR(IF($B7716=I$1, ($A7716+$C7716) - MAX(IF($B$2:$B7715=$B7716, $A$2:$A7715+$C$2:$C7715)), "")*24*60, "")</f>
        <v>0</v>
      </c>
      <c r="J7716" s="24" t="str" cm="1">
        <f t="array" ref="J7716">IFERROR(IF($B7716=J$1, ($A7716+$C7716) - MAX(IF($B$2:$B7715=$B7716, $A$2:$A7715+$C$2:$C7715)), "")*24*60, "")</f>
        <v/>
      </c>
      <c r="K7716" s="24" t="str" cm="1">
        <f t="array" ref="K7716">IFERROR(IF($B7716=K$1, ($A7716+$C7716) - MAX(IF($B$2:$B7715=$B7716, $A$2:$A7715+$C$2:$C7715)), "")*24*60, "")</f>
        <v/>
      </c>
      <c r="L7716" s="24" t="str" cm="1">
        <f t="array" ref="L7716">IFERROR(IF($B7716=L$1, ($A7716+$C7716) - MAX(IF($B$2:$B7715=$B7716, $A$2:$A7715+$C$2:$C7715)), "")*24*60, "")</f>
        <v/>
      </c>
      <c r="M7716" s="24" t="str" cm="1">
        <f t="array" ref="M7716">IFERROR(IF($B7716=M$1, ($A7716+$C7716) - MAX(IF($B$2:$B7715=$B7716, $A$2:$A7715+$C$2:$C7715)), "")*24*60, "")</f>
        <v/>
      </c>
      <c r="N7716" s="24" t="str" cm="1">
        <f t="array" ref="N7716">IFERROR(IF($B7716=N$1, ($A7716+$C7716) - MAX(IF($B$2:$B7715=$B7716, $A$2:$A7715+$C$2:$C7715)), "")*24*60, "")</f>
        <v/>
      </c>
      <c r="O7716" s="24" t="str" cm="1">
        <f t="array" ref="O7716">IFERROR(IF($B7716=O$1, ($A7716+$C7716) - MAX(IF($B$2:$B7715=$B7716, $A$2:$A7715+$C$2:$C7715)), "")*24*60, "")</f>
        <v/>
      </c>
      <c r="P7716" s="24" t="str" cm="1">
        <f t="array" ref="P7716">IFERROR(IF($B7716=P$1, ($A7716+$C7716) - MAX(IF($B$2:$B7715=$B7716, $A$2:$A7715+$C$2:$C7715)), "")*24*60, "")</f>
        <v/>
      </c>
      <c r="Q7716" s="24" t="str" cm="1">
        <f t="array" ref="Q7716">IFERROR(IF($B7716=Q$1, ($A7716+$C7716) - MAX(IF($B$2:$B7715=$B7716, $A$2:$A7715+$C$2:$C7715)), "")*24*60, "")</f>
        <v/>
      </c>
      <c r="R7716" s="24" t="str" cm="1">
        <f t="array" ref="R7716">IFERROR(IF($B7716=R$1, ($A7716+$C7716) - MAX(IF($B$2:$B7715=$B7716, $A$2:$A7715+$C$2:$C7715)), "")*24*60, "")</f>
        <v/>
      </c>
      <c r="S7716" s="24" t="str" cm="1">
        <f t="array" ref="S7716">IFERROR(IF($B7716=S$1, ($A7716+$C7716) - MAX(IF($B$2:$B7715=$B7716, $A$2:$A7715+$C$2:$C7715)), "")*24*60, "")</f>
        <v/>
      </c>
    </row>
    <row r="7717" spans="1:19" x14ac:dyDescent="0.2">
      <c r="A7717" s="12">
        <f t="shared" ref="A7717:C7717" si="1550">A7716</f>
        <v>46018</v>
      </c>
      <c r="B7717" s="5" t="str">
        <f t="shared" si="1550"/>
        <v>Northern Cardinal</v>
      </c>
      <c r="C7717" s="6">
        <f t="shared" si="1550"/>
        <v>0.29166666666666669</v>
      </c>
      <c r="D7717" s="5"/>
      <c r="E7717" s="5"/>
      <c r="F7717" s="5" t="s">
        <v>9</v>
      </c>
      <c r="G7717" s="15" t="s">
        <v>8</v>
      </c>
      <c r="H7717" s="24">
        <f t="shared" si="1540"/>
        <v>0</v>
      </c>
      <c r="I7717" s="24" cm="1">
        <f t="array" ref="I7717">IFERROR(IF($B7717=I$1, ($A7717+$C7717) - MAX(IF($B$2:$B7716=$B7717, $A$2:$A7716+$C$2:$C7716)), "")*24*60, "")</f>
        <v>0</v>
      </c>
      <c r="J7717" s="24" t="str" cm="1">
        <f t="array" ref="J7717">IFERROR(IF($B7717=J$1, ($A7717+$C7717) - MAX(IF($B$2:$B7716=$B7717, $A$2:$A7716+$C$2:$C7716)), "")*24*60, "")</f>
        <v/>
      </c>
      <c r="K7717" s="24" t="str" cm="1">
        <f t="array" ref="K7717">IFERROR(IF($B7717=K$1, ($A7717+$C7717) - MAX(IF($B$2:$B7716=$B7717, $A$2:$A7716+$C$2:$C7716)), "")*24*60, "")</f>
        <v/>
      </c>
      <c r="L7717" s="24" t="str" cm="1">
        <f t="array" ref="L7717">IFERROR(IF($B7717=L$1, ($A7717+$C7717) - MAX(IF($B$2:$B7716=$B7717, $A$2:$A7716+$C$2:$C7716)), "")*24*60, "")</f>
        <v/>
      </c>
      <c r="M7717" s="24" t="str" cm="1">
        <f t="array" ref="M7717">IFERROR(IF($B7717=M$1, ($A7717+$C7717) - MAX(IF($B$2:$B7716=$B7717, $A$2:$A7716+$C$2:$C7716)), "")*24*60, "")</f>
        <v/>
      </c>
      <c r="N7717" s="24" t="str" cm="1">
        <f t="array" ref="N7717">IFERROR(IF($B7717=N$1, ($A7717+$C7717) - MAX(IF($B$2:$B7716=$B7717, $A$2:$A7716+$C$2:$C7716)), "")*24*60, "")</f>
        <v/>
      </c>
      <c r="O7717" s="24" t="str" cm="1">
        <f t="array" ref="O7717">IFERROR(IF($B7717=O$1, ($A7717+$C7717) - MAX(IF($B$2:$B7716=$B7717, $A$2:$A7716+$C$2:$C7716)), "")*24*60, "")</f>
        <v/>
      </c>
      <c r="P7717" s="24" t="str" cm="1">
        <f t="array" ref="P7717">IFERROR(IF($B7717=P$1, ($A7717+$C7717) - MAX(IF($B$2:$B7716=$B7717, $A$2:$A7716+$C$2:$C7716)), "")*24*60, "")</f>
        <v/>
      </c>
      <c r="Q7717" s="24" t="str" cm="1">
        <f t="array" ref="Q7717">IFERROR(IF($B7717=Q$1, ($A7717+$C7717) - MAX(IF($B$2:$B7716=$B7717, $A$2:$A7716+$C$2:$C7716)), "")*24*60, "")</f>
        <v/>
      </c>
      <c r="R7717" s="24" t="str" cm="1">
        <f t="array" ref="R7717">IFERROR(IF($B7717=R$1, ($A7717+$C7717) - MAX(IF($B$2:$B7716=$B7717, $A$2:$A7716+$C$2:$C7716)), "")*24*60, "")</f>
        <v/>
      </c>
      <c r="S7717" s="24" t="str" cm="1">
        <f t="array" ref="S7717">IFERROR(IF($B7717=S$1, ($A7717+$C7717) - MAX(IF($B$2:$B7716=$B7717, $A$2:$A7716+$C$2:$C7716)), "")*24*60, "")</f>
        <v/>
      </c>
    </row>
    <row r="7718" spans="1:19" x14ac:dyDescent="0.2">
      <c r="A7718" s="12">
        <f t="shared" ref="A7718:C7718" si="1551">A7717</f>
        <v>46018</v>
      </c>
      <c r="B7718" s="5" t="str">
        <f t="shared" si="1551"/>
        <v>Northern Cardinal</v>
      </c>
      <c r="C7718" s="6">
        <f t="shared" si="1551"/>
        <v>0.29166666666666669</v>
      </c>
      <c r="D7718" s="5"/>
      <c r="E7718" s="5"/>
      <c r="F7718" s="5" t="s">
        <v>9</v>
      </c>
      <c r="G7718" s="15" t="s">
        <v>8</v>
      </c>
      <c r="H7718" s="24">
        <f t="shared" si="1540"/>
        <v>0</v>
      </c>
      <c r="I7718" s="24" cm="1">
        <f t="array" ref="I7718">IFERROR(IF($B7718=I$1, ($A7718+$C7718) - MAX(IF($B$2:$B7717=$B7718, $A$2:$A7717+$C$2:$C7717)), "")*24*60, "")</f>
        <v>0</v>
      </c>
      <c r="J7718" s="24" t="str" cm="1">
        <f t="array" ref="J7718">IFERROR(IF($B7718=J$1, ($A7718+$C7718) - MAX(IF($B$2:$B7717=$B7718, $A$2:$A7717+$C$2:$C7717)), "")*24*60, "")</f>
        <v/>
      </c>
      <c r="K7718" s="24" t="str" cm="1">
        <f t="array" ref="K7718">IFERROR(IF($B7718=K$1, ($A7718+$C7718) - MAX(IF($B$2:$B7717=$B7718, $A$2:$A7717+$C$2:$C7717)), "")*24*60, "")</f>
        <v/>
      </c>
      <c r="L7718" s="24" t="str" cm="1">
        <f t="array" ref="L7718">IFERROR(IF($B7718=L$1, ($A7718+$C7718) - MAX(IF($B$2:$B7717=$B7718, $A$2:$A7717+$C$2:$C7717)), "")*24*60, "")</f>
        <v/>
      </c>
      <c r="M7718" s="24" t="str" cm="1">
        <f t="array" ref="M7718">IFERROR(IF($B7718=M$1, ($A7718+$C7718) - MAX(IF($B$2:$B7717=$B7718, $A$2:$A7717+$C$2:$C7717)), "")*24*60, "")</f>
        <v/>
      </c>
      <c r="N7718" s="24" t="str" cm="1">
        <f t="array" ref="N7718">IFERROR(IF($B7718=N$1, ($A7718+$C7718) - MAX(IF($B$2:$B7717=$B7718, $A$2:$A7717+$C$2:$C7717)), "")*24*60, "")</f>
        <v/>
      </c>
      <c r="O7718" s="24" t="str" cm="1">
        <f t="array" ref="O7718">IFERROR(IF($B7718=O$1, ($A7718+$C7718) - MAX(IF($B$2:$B7717=$B7718, $A$2:$A7717+$C$2:$C7717)), "")*24*60, "")</f>
        <v/>
      </c>
      <c r="P7718" s="24" t="str" cm="1">
        <f t="array" ref="P7718">IFERROR(IF($B7718=P$1, ($A7718+$C7718) - MAX(IF($B$2:$B7717=$B7718, $A$2:$A7717+$C$2:$C7717)), "")*24*60, "")</f>
        <v/>
      </c>
      <c r="Q7718" s="24" t="str" cm="1">
        <f t="array" ref="Q7718">IFERROR(IF($B7718=Q$1, ($A7718+$C7718) - MAX(IF($B$2:$B7717=$B7718, $A$2:$A7717+$C$2:$C7717)), "")*24*60, "")</f>
        <v/>
      </c>
      <c r="R7718" s="24" t="str" cm="1">
        <f t="array" ref="R7718">IFERROR(IF($B7718=R$1, ($A7718+$C7718) - MAX(IF($B$2:$B7717=$B7718, $A$2:$A7717+$C$2:$C7717)), "")*24*60, "")</f>
        <v/>
      </c>
      <c r="S7718" s="24" t="str" cm="1">
        <f t="array" ref="S7718">IFERROR(IF($B7718=S$1, ($A7718+$C7718) - MAX(IF($B$2:$B7717=$B7718, $A$2:$A7717+$C$2:$C7717)), "")*24*60, "")</f>
        <v/>
      </c>
    </row>
    <row r="7719" spans="1:19" x14ac:dyDescent="0.2">
      <c r="A7719" s="12">
        <f t="shared" ref="A7719:C7719" si="1552">A7718</f>
        <v>46018</v>
      </c>
      <c r="B7719" s="5" t="str">
        <f t="shared" si="1552"/>
        <v>Northern Cardinal</v>
      </c>
      <c r="C7719" s="6">
        <f t="shared" si="1552"/>
        <v>0.29166666666666669</v>
      </c>
      <c r="D7719" s="5"/>
      <c r="E7719" s="5"/>
      <c r="F7719" s="5" t="s">
        <v>9</v>
      </c>
      <c r="G7719" s="15" t="s">
        <v>8</v>
      </c>
      <c r="H7719" s="24">
        <f t="shared" si="1540"/>
        <v>0</v>
      </c>
      <c r="I7719" s="24" cm="1">
        <f t="array" ref="I7719">IFERROR(IF($B7719=I$1, ($A7719+$C7719) - MAX(IF($B$2:$B7718=$B7719, $A$2:$A7718+$C$2:$C7718)), "")*24*60, "")</f>
        <v>0</v>
      </c>
      <c r="J7719" s="24" t="str" cm="1">
        <f t="array" ref="J7719">IFERROR(IF($B7719=J$1, ($A7719+$C7719) - MAX(IF($B$2:$B7718=$B7719, $A$2:$A7718+$C$2:$C7718)), "")*24*60, "")</f>
        <v/>
      </c>
      <c r="K7719" s="24" t="str" cm="1">
        <f t="array" ref="K7719">IFERROR(IF($B7719=K$1, ($A7719+$C7719) - MAX(IF($B$2:$B7718=$B7719, $A$2:$A7718+$C$2:$C7718)), "")*24*60, "")</f>
        <v/>
      </c>
      <c r="L7719" s="24" t="str" cm="1">
        <f t="array" ref="L7719">IFERROR(IF($B7719=L$1, ($A7719+$C7719) - MAX(IF($B$2:$B7718=$B7719, $A$2:$A7718+$C$2:$C7718)), "")*24*60, "")</f>
        <v/>
      </c>
      <c r="M7719" s="24" t="str" cm="1">
        <f t="array" ref="M7719">IFERROR(IF($B7719=M$1, ($A7719+$C7719) - MAX(IF($B$2:$B7718=$B7719, $A$2:$A7718+$C$2:$C7718)), "")*24*60, "")</f>
        <v/>
      </c>
      <c r="N7719" s="24" t="str" cm="1">
        <f t="array" ref="N7719">IFERROR(IF($B7719=N$1, ($A7719+$C7719) - MAX(IF($B$2:$B7718=$B7719, $A$2:$A7718+$C$2:$C7718)), "")*24*60, "")</f>
        <v/>
      </c>
      <c r="O7719" s="24" t="str" cm="1">
        <f t="array" ref="O7719">IFERROR(IF($B7719=O$1, ($A7719+$C7719) - MAX(IF($B$2:$B7718=$B7719, $A$2:$A7718+$C$2:$C7718)), "")*24*60, "")</f>
        <v/>
      </c>
      <c r="P7719" s="24" t="str" cm="1">
        <f t="array" ref="P7719">IFERROR(IF($B7719=P$1, ($A7719+$C7719) - MAX(IF($B$2:$B7718=$B7719, $A$2:$A7718+$C$2:$C7718)), "")*24*60, "")</f>
        <v/>
      </c>
      <c r="Q7719" s="24" t="str" cm="1">
        <f t="array" ref="Q7719">IFERROR(IF($B7719=Q$1, ($A7719+$C7719) - MAX(IF($B$2:$B7718=$B7719, $A$2:$A7718+$C$2:$C7718)), "")*24*60, "")</f>
        <v/>
      </c>
      <c r="R7719" s="24" t="str" cm="1">
        <f t="array" ref="R7719">IFERROR(IF($B7719=R$1, ($A7719+$C7719) - MAX(IF($B$2:$B7718=$B7719, $A$2:$A7718+$C$2:$C7718)), "")*24*60, "")</f>
        <v/>
      </c>
      <c r="S7719" s="24" t="str" cm="1">
        <f t="array" ref="S7719">IFERROR(IF($B7719=S$1, ($A7719+$C7719) - MAX(IF($B$2:$B7718=$B7719, $A$2:$A7718+$C$2:$C7718)), "")*24*60, "")</f>
        <v/>
      </c>
    </row>
    <row r="7720" spans="1:19" x14ac:dyDescent="0.2">
      <c r="A7720" s="12">
        <f t="shared" ref="A7720:C7720" si="1553">A7719</f>
        <v>46018</v>
      </c>
      <c r="B7720" s="5" t="str">
        <f t="shared" si="1553"/>
        <v>Northern Cardinal</v>
      </c>
      <c r="C7720" s="6">
        <f t="shared" si="1553"/>
        <v>0.29166666666666669</v>
      </c>
      <c r="D7720" s="5"/>
      <c r="E7720" s="5"/>
      <c r="F7720" s="5" t="s">
        <v>9</v>
      </c>
      <c r="G7720" s="15" t="s">
        <v>8</v>
      </c>
      <c r="H7720" s="24">
        <f t="shared" si="1540"/>
        <v>0</v>
      </c>
      <c r="I7720" s="24" cm="1">
        <f t="array" ref="I7720">IFERROR(IF($B7720=I$1, ($A7720+$C7720) - MAX(IF($B$2:$B7719=$B7720, $A$2:$A7719+$C$2:$C7719)), "")*24*60, "")</f>
        <v>0</v>
      </c>
      <c r="J7720" s="24" t="str" cm="1">
        <f t="array" ref="J7720">IFERROR(IF($B7720=J$1, ($A7720+$C7720) - MAX(IF($B$2:$B7719=$B7720, $A$2:$A7719+$C$2:$C7719)), "")*24*60, "")</f>
        <v/>
      </c>
      <c r="K7720" s="24" t="str" cm="1">
        <f t="array" ref="K7720">IFERROR(IF($B7720=K$1, ($A7720+$C7720) - MAX(IF($B$2:$B7719=$B7720, $A$2:$A7719+$C$2:$C7719)), "")*24*60, "")</f>
        <v/>
      </c>
      <c r="L7720" s="24" t="str" cm="1">
        <f t="array" ref="L7720">IFERROR(IF($B7720=L$1, ($A7720+$C7720) - MAX(IF($B$2:$B7719=$B7720, $A$2:$A7719+$C$2:$C7719)), "")*24*60, "")</f>
        <v/>
      </c>
      <c r="M7720" s="24" t="str" cm="1">
        <f t="array" ref="M7720">IFERROR(IF($B7720=M$1, ($A7720+$C7720) - MAX(IF($B$2:$B7719=$B7720, $A$2:$A7719+$C$2:$C7719)), "")*24*60, "")</f>
        <v/>
      </c>
      <c r="N7720" s="24" t="str" cm="1">
        <f t="array" ref="N7720">IFERROR(IF($B7720=N$1, ($A7720+$C7720) - MAX(IF($B$2:$B7719=$B7720, $A$2:$A7719+$C$2:$C7719)), "")*24*60, "")</f>
        <v/>
      </c>
      <c r="O7720" s="24" t="str" cm="1">
        <f t="array" ref="O7720">IFERROR(IF($B7720=O$1, ($A7720+$C7720) - MAX(IF($B$2:$B7719=$B7720, $A$2:$A7719+$C$2:$C7719)), "")*24*60, "")</f>
        <v/>
      </c>
      <c r="P7720" s="24" t="str" cm="1">
        <f t="array" ref="P7720">IFERROR(IF($B7720=P$1, ($A7720+$C7720) - MAX(IF($B$2:$B7719=$B7720, $A$2:$A7719+$C$2:$C7719)), "")*24*60, "")</f>
        <v/>
      </c>
      <c r="Q7720" s="24" t="str" cm="1">
        <f t="array" ref="Q7720">IFERROR(IF($B7720=Q$1, ($A7720+$C7720) - MAX(IF($B$2:$B7719=$B7720, $A$2:$A7719+$C$2:$C7719)), "")*24*60, "")</f>
        <v/>
      </c>
      <c r="R7720" s="24" t="str" cm="1">
        <f t="array" ref="R7720">IFERROR(IF($B7720=R$1, ($A7720+$C7720) - MAX(IF($B$2:$B7719=$B7720, $A$2:$A7719+$C$2:$C7719)), "")*24*60, "")</f>
        <v/>
      </c>
      <c r="S7720" s="24" t="str" cm="1">
        <f t="array" ref="S7720">IFERROR(IF($B7720=S$1, ($A7720+$C7720) - MAX(IF($B$2:$B7719=$B7720, $A$2:$A7719+$C$2:$C7719)), "")*24*60, "")</f>
        <v/>
      </c>
    </row>
    <row r="7721" spans="1:19" x14ac:dyDescent="0.2">
      <c r="A7721" s="12">
        <f t="shared" ref="A7721:C7721" si="1554">A7720</f>
        <v>46018</v>
      </c>
      <c r="B7721" s="5" t="str">
        <f t="shared" si="1554"/>
        <v>Northern Cardinal</v>
      </c>
      <c r="C7721" s="6">
        <f t="shared" si="1554"/>
        <v>0.29166666666666669</v>
      </c>
      <c r="D7721" s="5"/>
      <c r="E7721" s="5"/>
      <c r="F7721" s="5" t="s">
        <v>9</v>
      </c>
      <c r="G7721" s="15" t="s">
        <v>8</v>
      </c>
      <c r="H7721" s="24">
        <f t="shared" si="1540"/>
        <v>0</v>
      </c>
      <c r="I7721" s="24" cm="1">
        <f t="array" ref="I7721">IFERROR(IF($B7721=I$1, ($A7721+$C7721) - MAX(IF($B$2:$B7720=$B7721, $A$2:$A7720+$C$2:$C7720)), "")*24*60, "")</f>
        <v>0</v>
      </c>
      <c r="J7721" s="24" t="str" cm="1">
        <f t="array" ref="J7721">IFERROR(IF($B7721=J$1, ($A7721+$C7721) - MAX(IF($B$2:$B7720=$B7721, $A$2:$A7720+$C$2:$C7720)), "")*24*60, "")</f>
        <v/>
      </c>
      <c r="K7721" s="24" t="str" cm="1">
        <f t="array" ref="K7721">IFERROR(IF($B7721=K$1, ($A7721+$C7721) - MAX(IF($B$2:$B7720=$B7721, $A$2:$A7720+$C$2:$C7720)), "")*24*60, "")</f>
        <v/>
      </c>
      <c r="L7721" s="24" t="str" cm="1">
        <f t="array" ref="L7721">IFERROR(IF($B7721=L$1, ($A7721+$C7721) - MAX(IF($B$2:$B7720=$B7721, $A$2:$A7720+$C$2:$C7720)), "")*24*60, "")</f>
        <v/>
      </c>
      <c r="M7721" s="24" t="str" cm="1">
        <f t="array" ref="M7721">IFERROR(IF($B7721=M$1, ($A7721+$C7721) - MAX(IF($B$2:$B7720=$B7721, $A$2:$A7720+$C$2:$C7720)), "")*24*60, "")</f>
        <v/>
      </c>
      <c r="N7721" s="24" t="str" cm="1">
        <f t="array" ref="N7721">IFERROR(IF($B7721=N$1, ($A7721+$C7721) - MAX(IF($B$2:$B7720=$B7721, $A$2:$A7720+$C$2:$C7720)), "")*24*60, "")</f>
        <v/>
      </c>
      <c r="O7721" s="24" t="str" cm="1">
        <f t="array" ref="O7721">IFERROR(IF($B7721=O$1, ($A7721+$C7721) - MAX(IF($B$2:$B7720=$B7721, $A$2:$A7720+$C$2:$C7720)), "")*24*60, "")</f>
        <v/>
      </c>
      <c r="P7721" s="24" t="str" cm="1">
        <f t="array" ref="P7721">IFERROR(IF($B7721=P$1, ($A7721+$C7721) - MAX(IF($B$2:$B7720=$B7721, $A$2:$A7720+$C$2:$C7720)), "")*24*60, "")</f>
        <v/>
      </c>
      <c r="Q7721" s="24" t="str" cm="1">
        <f t="array" ref="Q7721">IFERROR(IF($B7721=Q$1, ($A7721+$C7721) - MAX(IF($B$2:$B7720=$B7721, $A$2:$A7720+$C$2:$C7720)), "")*24*60, "")</f>
        <v/>
      </c>
      <c r="R7721" s="24" t="str" cm="1">
        <f t="array" ref="R7721">IFERROR(IF($B7721=R$1, ($A7721+$C7721) - MAX(IF($B$2:$B7720=$B7721, $A$2:$A7720+$C$2:$C7720)), "")*24*60, "")</f>
        <v/>
      </c>
      <c r="S7721" s="24" t="str" cm="1">
        <f t="array" ref="S7721">IFERROR(IF($B7721=S$1, ($A7721+$C7721) - MAX(IF($B$2:$B7720=$B7721, $A$2:$A7720+$C$2:$C7720)), "")*24*60, "")</f>
        <v/>
      </c>
    </row>
    <row r="7722" spans="1:19" x14ac:dyDescent="0.2">
      <c r="A7722" s="12">
        <f t="shared" ref="A7722:C7722" si="1555">A7721</f>
        <v>46018</v>
      </c>
      <c r="B7722" s="5" t="str">
        <f t="shared" si="1555"/>
        <v>Northern Cardinal</v>
      </c>
      <c r="C7722" s="6">
        <f t="shared" si="1555"/>
        <v>0.29166666666666669</v>
      </c>
      <c r="D7722" s="5"/>
      <c r="E7722" s="5"/>
      <c r="F7722" s="5" t="s">
        <v>9</v>
      </c>
      <c r="G7722" s="15" t="s">
        <v>8</v>
      </c>
      <c r="H7722" s="24">
        <f t="shared" si="1540"/>
        <v>0</v>
      </c>
      <c r="I7722" s="24" cm="1">
        <f t="array" ref="I7722">IFERROR(IF($B7722=I$1, ($A7722+$C7722) - MAX(IF($B$2:$B7721=$B7722, $A$2:$A7721+$C$2:$C7721)), "")*24*60, "")</f>
        <v>0</v>
      </c>
      <c r="J7722" s="24" t="str" cm="1">
        <f t="array" ref="J7722">IFERROR(IF($B7722=J$1, ($A7722+$C7722) - MAX(IF($B$2:$B7721=$B7722, $A$2:$A7721+$C$2:$C7721)), "")*24*60, "")</f>
        <v/>
      </c>
      <c r="K7722" s="24" t="str" cm="1">
        <f t="array" ref="K7722">IFERROR(IF($B7722=K$1, ($A7722+$C7722) - MAX(IF($B$2:$B7721=$B7722, $A$2:$A7721+$C$2:$C7721)), "")*24*60, "")</f>
        <v/>
      </c>
      <c r="L7722" s="24" t="str" cm="1">
        <f t="array" ref="L7722">IFERROR(IF($B7722=L$1, ($A7722+$C7722) - MAX(IF($B$2:$B7721=$B7722, $A$2:$A7721+$C$2:$C7721)), "")*24*60, "")</f>
        <v/>
      </c>
      <c r="M7722" s="24" t="str" cm="1">
        <f t="array" ref="M7722">IFERROR(IF($B7722=M$1, ($A7722+$C7722) - MAX(IF($B$2:$B7721=$B7722, $A$2:$A7721+$C$2:$C7721)), "")*24*60, "")</f>
        <v/>
      </c>
      <c r="N7722" s="24" t="str" cm="1">
        <f t="array" ref="N7722">IFERROR(IF($B7722=N$1, ($A7722+$C7722) - MAX(IF($B$2:$B7721=$B7722, $A$2:$A7721+$C$2:$C7721)), "")*24*60, "")</f>
        <v/>
      </c>
      <c r="O7722" s="24" t="str" cm="1">
        <f t="array" ref="O7722">IFERROR(IF($B7722=O$1, ($A7722+$C7722) - MAX(IF($B$2:$B7721=$B7722, $A$2:$A7721+$C$2:$C7721)), "")*24*60, "")</f>
        <v/>
      </c>
      <c r="P7722" s="24" t="str" cm="1">
        <f t="array" ref="P7722">IFERROR(IF($B7722=P$1, ($A7722+$C7722) - MAX(IF($B$2:$B7721=$B7722, $A$2:$A7721+$C$2:$C7721)), "")*24*60, "")</f>
        <v/>
      </c>
      <c r="Q7722" s="24" t="str" cm="1">
        <f t="array" ref="Q7722">IFERROR(IF($B7722=Q$1, ($A7722+$C7722) - MAX(IF($B$2:$B7721=$B7722, $A$2:$A7721+$C$2:$C7721)), "")*24*60, "")</f>
        <v/>
      </c>
      <c r="R7722" s="24" t="str" cm="1">
        <f t="array" ref="R7722">IFERROR(IF($B7722=R$1, ($A7722+$C7722) - MAX(IF($B$2:$B7721=$B7722, $A$2:$A7721+$C$2:$C7721)), "")*24*60, "")</f>
        <v/>
      </c>
      <c r="S7722" s="24" t="str" cm="1">
        <f t="array" ref="S7722">IFERROR(IF($B7722=S$1, ($A7722+$C7722) - MAX(IF($B$2:$B7721=$B7722, $A$2:$A7721+$C$2:$C7721)), "")*24*60, "")</f>
        <v/>
      </c>
    </row>
    <row r="7723" spans="1:19" x14ac:dyDescent="0.2">
      <c r="A7723" s="12">
        <f t="shared" ref="A7723:C7723" si="1556">A7722</f>
        <v>46018</v>
      </c>
      <c r="B7723" s="5" t="str">
        <f t="shared" si="1556"/>
        <v>Northern Cardinal</v>
      </c>
      <c r="C7723" s="6">
        <f t="shared" si="1556"/>
        <v>0.29166666666666669</v>
      </c>
      <c r="D7723" s="5"/>
      <c r="E7723" s="5"/>
      <c r="F7723" s="5" t="s">
        <v>9</v>
      </c>
      <c r="G7723" s="15" t="s">
        <v>8</v>
      </c>
      <c r="H7723" s="24">
        <f t="shared" si="1540"/>
        <v>0</v>
      </c>
      <c r="I7723" s="24" cm="1">
        <f t="array" ref="I7723">IFERROR(IF($B7723=I$1, ($A7723+$C7723) - MAX(IF($B$2:$B7722=$B7723, $A$2:$A7722+$C$2:$C7722)), "")*24*60, "")</f>
        <v>0</v>
      </c>
      <c r="J7723" s="24" t="str" cm="1">
        <f t="array" ref="J7723">IFERROR(IF($B7723=J$1, ($A7723+$C7723) - MAX(IF($B$2:$B7722=$B7723, $A$2:$A7722+$C$2:$C7722)), "")*24*60, "")</f>
        <v/>
      </c>
      <c r="K7723" s="24" t="str" cm="1">
        <f t="array" ref="K7723">IFERROR(IF($B7723=K$1, ($A7723+$C7723) - MAX(IF($B$2:$B7722=$B7723, $A$2:$A7722+$C$2:$C7722)), "")*24*60, "")</f>
        <v/>
      </c>
      <c r="L7723" s="24" t="str" cm="1">
        <f t="array" ref="L7723">IFERROR(IF($B7723=L$1, ($A7723+$C7723) - MAX(IF($B$2:$B7722=$B7723, $A$2:$A7722+$C$2:$C7722)), "")*24*60, "")</f>
        <v/>
      </c>
      <c r="M7723" s="24" t="str" cm="1">
        <f t="array" ref="M7723">IFERROR(IF($B7723=M$1, ($A7723+$C7723) - MAX(IF($B$2:$B7722=$B7723, $A$2:$A7722+$C$2:$C7722)), "")*24*60, "")</f>
        <v/>
      </c>
      <c r="N7723" s="24" t="str" cm="1">
        <f t="array" ref="N7723">IFERROR(IF($B7723=N$1, ($A7723+$C7723) - MAX(IF($B$2:$B7722=$B7723, $A$2:$A7722+$C$2:$C7722)), "")*24*60, "")</f>
        <v/>
      </c>
      <c r="O7723" s="24" t="str" cm="1">
        <f t="array" ref="O7723">IFERROR(IF($B7723=O$1, ($A7723+$C7723) - MAX(IF($B$2:$B7722=$B7723, $A$2:$A7722+$C$2:$C7722)), "")*24*60, "")</f>
        <v/>
      </c>
      <c r="P7723" s="24" t="str" cm="1">
        <f t="array" ref="P7723">IFERROR(IF($B7723=P$1, ($A7723+$C7723) - MAX(IF($B$2:$B7722=$B7723, $A$2:$A7722+$C$2:$C7722)), "")*24*60, "")</f>
        <v/>
      </c>
      <c r="Q7723" s="24" t="str" cm="1">
        <f t="array" ref="Q7723">IFERROR(IF($B7723=Q$1, ($A7723+$C7723) - MAX(IF($B$2:$B7722=$B7723, $A$2:$A7722+$C$2:$C7722)), "")*24*60, "")</f>
        <v/>
      </c>
      <c r="R7723" s="24" t="str" cm="1">
        <f t="array" ref="R7723">IFERROR(IF($B7723=R$1, ($A7723+$C7723) - MAX(IF($B$2:$B7722=$B7723, $A$2:$A7722+$C$2:$C7722)), "")*24*60, "")</f>
        <v/>
      </c>
      <c r="S7723" s="24" t="str" cm="1">
        <f t="array" ref="S7723">IFERROR(IF($B7723=S$1, ($A7723+$C7723) - MAX(IF($B$2:$B7722=$B7723, $A$2:$A7722+$C$2:$C7722)), "")*24*60, "")</f>
        <v/>
      </c>
    </row>
    <row r="7724" spans="1:19" x14ac:dyDescent="0.2">
      <c r="A7724" s="12">
        <f t="shared" ref="A7724:C7724" si="1557">A7723</f>
        <v>46018</v>
      </c>
      <c r="B7724" s="5" t="str">
        <f t="shared" si="1557"/>
        <v>Northern Cardinal</v>
      </c>
      <c r="C7724" s="6">
        <f t="shared" si="1557"/>
        <v>0.29166666666666669</v>
      </c>
      <c r="D7724" s="5"/>
      <c r="E7724" s="5"/>
      <c r="F7724" s="5" t="s">
        <v>9</v>
      </c>
      <c r="G7724" s="15" t="s">
        <v>8</v>
      </c>
      <c r="H7724" s="24">
        <f t="shared" si="1540"/>
        <v>0</v>
      </c>
      <c r="I7724" s="24" cm="1">
        <f t="array" ref="I7724">IFERROR(IF($B7724=I$1, ($A7724+$C7724) - MAX(IF($B$2:$B7723=$B7724, $A$2:$A7723+$C$2:$C7723)), "")*24*60, "")</f>
        <v>0</v>
      </c>
      <c r="J7724" s="24" t="str" cm="1">
        <f t="array" ref="J7724">IFERROR(IF($B7724=J$1, ($A7724+$C7724) - MAX(IF($B$2:$B7723=$B7724, $A$2:$A7723+$C$2:$C7723)), "")*24*60, "")</f>
        <v/>
      </c>
      <c r="K7724" s="24" t="str" cm="1">
        <f t="array" ref="K7724">IFERROR(IF($B7724=K$1, ($A7724+$C7724) - MAX(IF($B$2:$B7723=$B7724, $A$2:$A7723+$C$2:$C7723)), "")*24*60, "")</f>
        <v/>
      </c>
      <c r="L7724" s="24" t="str" cm="1">
        <f t="array" ref="L7724">IFERROR(IF($B7724=L$1, ($A7724+$C7724) - MAX(IF($B$2:$B7723=$B7724, $A$2:$A7723+$C$2:$C7723)), "")*24*60, "")</f>
        <v/>
      </c>
      <c r="M7724" s="24" t="str" cm="1">
        <f t="array" ref="M7724">IFERROR(IF($B7724=M$1, ($A7724+$C7724) - MAX(IF($B$2:$B7723=$B7724, $A$2:$A7723+$C$2:$C7723)), "")*24*60, "")</f>
        <v/>
      </c>
      <c r="N7724" s="24" t="str" cm="1">
        <f t="array" ref="N7724">IFERROR(IF($B7724=N$1, ($A7724+$C7724) - MAX(IF($B$2:$B7723=$B7724, $A$2:$A7723+$C$2:$C7723)), "")*24*60, "")</f>
        <v/>
      </c>
      <c r="O7724" s="24" t="str" cm="1">
        <f t="array" ref="O7724">IFERROR(IF($B7724=O$1, ($A7724+$C7724) - MAX(IF($B$2:$B7723=$B7724, $A$2:$A7723+$C$2:$C7723)), "")*24*60, "")</f>
        <v/>
      </c>
      <c r="P7724" s="24" t="str" cm="1">
        <f t="array" ref="P7724">IFERROR(IF($B7724=P$1, ($A7724+$C7724) - MAX(IF($B$2:$B7723=$B7724, $A$2:$A7723+$C$2:$C7723)), "")*24*60, "")</f>
        <v/>
      </c>
      <c r="Q7724" s="24" t="str" cm="1">
        <f t="array" ref="Q7724">IFERROR(IF($B7724=Q$1, ($A7724+$C7724) - MAX(IF($B$2:$B7723=$B7724, $A$2:$A7723+$C$2:$C7723)), "")*24*60, "")</f>
        <v/>
      </c>
      <c r="R7724" s="24" t="str" cm="1">
        <f t="array" ref="R7724">IFERROR(IF($B7724=R$1, ($A7724+$C7724) - MAX(IF($B$2:$B7723=$B7724, $A$2:$A7723+$C$2:$C7723)), "")*24*60, "")</f>
        <v/>
      </c>
      <c r="S7724" s="24" t="str" cm="1">
        <f t="array" ref="S7724">IFERROR(IF($B7724=S$1, ($A7724+$C7724) - MAX(IF($B$2:$B7723=$B7724, $A$2:$A7723+$C$2:$C7723)), "")*24*60, "")</f>
        <v/>
      </c>
    </row>
    <row r="7725" spans="1:19" x14ac:dyDescent="0.2">
      <c r="A7725" s="12">
        <f t="shared" ref="A7725:C7725" si="1558">A7724</f>
        <v>46018</v>
      </c>
      <c r="B7725" s="5" t="str">
        <f t="shared" si="1558"/>
        <v>Northern Cardinal</v>
      </c>
      <c r="C7725" s="6">
        <f t="shared" si="1558"/>
        <v>0.29166666666666669</v>
      </c>
      <c r="D7725" s="5"/>
      <c r="E7725" s="5"/>
      <c r="F7725" s="5" t="s">
        <v>9</v>
      </c>
      <c r="G7725" s="15" t="s">
        <v>8</v>
      </c>
      <c r="H7725" s="24">
        <f t="shared" si="1540"/>
        <v>0</v>
      </c>
      <c r="I7725" s="24" cm="1">
        <f t="array" ref="I7725">IFERROR(IF($B7725=I$1, ($A7725+$C7725) - MAX(IF($B$2:$B7724=$B7725, $A$2:$A7724+$C$2:$C7724)), "")*24*60, "")</f>
        <v>0</v>
      </c>
      <c r="J7725" s="24" t="str" cm="1">
        <f t="array" ref="J7725">IFERROR(IF($B7725=J$1, ($A7725+$C7725) - MAX(IF($B$2:$B7724=$B7725, $A$2:$A7724+$C$2:$C7724)), "")*24*60, "")</f>
        <v/>
      </c>
      <c r="K7725" s="24" t="str" cm="1">
        <f t="array" ref="K7725">IFERROR(IF($B7725=K$1, ($A7725+$C7725) - MAX(IF($B$2:$B7724=$B7725, $A$2:$A7724+$C$2:$C7724)), "")*24*60, "")</f>
        <v/>
      </c>
      <c r="L7725" s="24" t="str" cm="1">
        <f t="array" ref="L7725">IFERROR(IF($B7725=L$1, ($A7725+$C7725) - MAX(IF($B$2:$B7724=$B7725, $A$2:$A7724+$C$2:$C7724)), "")*24*60, "")</f>
        <v/>
      </c>
      <c r="M7725" s="24" t="str" cm="1">
        <f t="array" ref="M7725">IFERROR(IF($B7725=M$1, ($A7725+$C7725) - MAX(IF($B$2:$B7724=$B7725, $A$2:$A7724+$C$2:$C7724)), "")*24*60, "")</f>
        <v/>
      </c>
      <c r="N7725" s="24" t="str" cm="1">
        <f t="array" ref="N7725">IFERROR(IF($B7725=N$1, ($A7725+$C7725) - MAX(IF($B$2:$B7724=$B7725, $A$2:$A7724+$C$2:$C7724)), "")*24*60, "")</f>
        <v/>
      </c>
      <c r="O7725" s="24" t="str" cm="1">
        <f t="array" ref="O7725">IFERROR(IF($B7725=O$1, ($A7725+$C7725) - MAX(IF($B$2:$B7724=$B7725, $A$2:$A7724+$C$2:$C7724)), "")*24*60, "")</f>
        <v/>
      </c>
      <c r="P7725" s="24" t="str" cm="1">
        <f t="array" ref="P7725">IFERROR(IF($B7725=P$1, ($A7725+$C7725) - MAX(IF($B$2:$B7724=$B7725, $A$2:$A7724+$C$2:$C7724)), "")*24*60, "")</f>
        <v/>
      </c>
      <c r="Q7725" s="24" t="str" cm="1">
        <f t="array" ref="Q7725">IFERROR(IF($B7725=Q$1, ($A7725+$C7725) - MAX(IF($B$2:$B7724=$B7725, $A$2:$A7724+$C$2:$C7724)), "")*24*60, "")</f>
        <v/>
      </c>
      <c r="R7725" s="24" t="str" cm="1">
        <f t="array" ref="R7725">IFERROR(IF($B7725=R$1, ($A7725+$C7725) - MAX(IF($B$2:$B7724=$B7725, $A$2:$A7724+$C$2:$C7724)), "")*24*60, "")</f>
        <v/>
      </c>
      <c r="S7725" s="24" t="str" cm="1">
        <f t="array" ref="S7725">IFERROR(IF($B7725=S$1, ($A7725+$C7725) - MAX(IF($B$2:$B7724=$B7725, $A$2:$A7724+$C$2:$C7724)), "")*24*60, "")</f>
        <v/>
      </c>
    </row>
    <row r="7726" spans="1:19" x14ac:dyDescent="0.2">
      <c r="A7726" s="12">
        <f t="shared" ref="A7726:C7726" si="1559">A7725</f>
        <v>46018</v>
      </c>
      <c r="B7726" s="5" t="str">
        <f t="shared" si="1559"/>
        <v>Northern Cardinal</v>
      </c>
      <c r="C7726" s="6">
        <f t="shared" si="1559"/>
        <v>0.29166666666666669</v>
      </c>
      <c r="D7726" s="5"/>
      <c r="E7726" s="5"/>
      <c r="F7726" s="5" t="s">
        <v>9</v>
      </c>
      <c r="G7726" s="15" t="s">
        <v>8</v>
      </c>
      <c r="H7726" s="24">
        <f t="shared" si="1540"/>
        <v>0</v>
      </c>
      <c r="I7726" s="24" cm="1">
        <f t="array" ref="I7726">IFERROR(IF($B7726=I$1, ($A7726+$C7726) - MAX(IF($B$2:$B7725=$B7726, $A$2:$A7725+$C$2:$C7725)), "")*24*60, "")</f>
        <v>0</v>
      </c>
      <c r="J7726" s="24" t="str" cm="1">
        <f t="array" ref="J7726">IFERROR(IF($B7726=J$1, ($A7726+$C7726) - MAX(IF($B$2:$B7725=$B7726, $A$2:$A7725+$C$2:$C7725)), "")*24*60, "")</f>
        <v/>
      </c>
      <c r="K7726" s="24" t="str" cm="1">
        <f t="array" ref="K7726">IFERROR(IF($B7726=K$1, ($A7726+$C7726) - MAX(IF($B$2:$B7725=$B7726, $A$2:$A7725+$C$2:$C7725)), "")*24*60, "")</f>
        <v/>
      </c>
      <c r="L7726" s="24" t="str" cm="1">
        <f t="array" ref="L7726">IFERROR(IF($B7726=L$1, ($A7726+$C7726) - MAX(IF($B$2:$B7725=$B7726, $A$2:$A7725+$C$2:$C7725)), "")*24*60, "")</f>
        <v/>
      </c>
      <c r="M7726" s="24" t="str" cm="1">
        <f t="array" ref="M7726">IFERROR(IF($B7726=M$1, ($A7726+$C7726) - MAX(IF($B$2:$B7725=$B7726, $A$2:$A7725+$C$2:$C7725)), "")*24*60, "")</f>
        <v/>
      </c>
      <c r="N7726" s="24" t="str" cm="1">
        <f t="array" ref="N7726">IFERROR(IF($B7726=N$1, ($A7726+$C7726) - MAX(IF($B$2:$B7725=$B7726, $A$2:$A7725+$C$2:$C7725)), "")*24*60, "")</f>
        <v/>
      </c>
      <c r="O7726" s="24" t="str" cm="1">
        <f t="array" ref="O7726">IFERROR(IF($B7726=O$1, ($A7726+$C7726) - MAX(IF($B$2:$B7725=$B7726, $A$2:$A7725+$C$2:$C7725)), "")*24*60, "")</f>
        <v/>
      </c>
      <c r="P7726" s="24" t="str" cm="1">
        <f t="array" ref="P7726">IFERROR(IF($B7726=P$1, ($A7726+$C7726) - MAX(IF($B$2:$B7725=$B7726, $A$2:$A7725+$C$2:$C7725)), "")*24*60, "")</f>
        <v/>
      </c>
      <c r="Q7726" s="24" t="str" cm="1">
        <f t="array" ref="Q7726">IFERROR(IF($B7726=Q$1, ($A7726+$C7726) - MAX(IF($B$2:$B7725=$B7726, $A$2:$A7725+$C$2:$C7725)), "")*24*60, "")</f>
        <v/>
      </c>
      <c r="R7726" s="24" t="str" cm="1">
        <f t="array" ref="R7726">IFERROR(IF($B7726=R$1, ($A7726+$C7726) - MAX(IF($B$2:$B7725=$B7726, $A$2:$A7725+$C$2:$C7725)), "")*24*60, "")</f>
        <v/>
      </c>
      <c r="S7726" s="24" t="str" cm="1">
        <f t="array" ref="S7726">IFERROR(IF($B7726=S$1, ($A7726+$C7726) - MAX(IF($B$2:$B7725=$B7726, $A$2:$A7725+$C$2:$C7725)), "")*24*60, "")</f>
        <v/>
      </c>
    </row>
    <row r="7727" spans="1:19" x14ac:dyDescent="0.2">
      <c r="A7727" s="12">
        <f t="shared" ref="A7727:C7727" si="1560">A7726</f>
        <v>46018</v>
      </c>
      <c r="B7727" s="5" t="str">
        <f t="shared" si="1560"/>
        <v>Northern Cardinal</v>
      </c>
      <c r="C7727" s="6">
        <f t="shared" si="1560"/>
        <v>0.29166666666666669</v>
      </c>
      <c r="D7727" s="5"/>
      <c r="E7727" s="5"/>
      <c r="F7727" s="5" t="s">
        <v>9</v>
      </c>
      <c r="G7727" s="15" t="s">
        <v>8</v>
      </c>
      <c r="H7727" s="24">
        <f t="shared" si="1540"/>
        <v>0</v>
      </c>
      <c r="I7727" s="24" cm="1">
        <f t="array" ref="I7727">IFERROR(IF($B7727=I$1, ($A7727+$C7727) - MAX(IF($B$2:$B7726=$B7727, $A$2:$A7726+$C$2:$C7726)), "")*24*60, "")</f>
        <v>0</v>
      </c>
      <c r="J7727" s="24" t="str" cm="1">
        <f t="array" ref="J7727">IFERROR(IF($B7727=J$1, ($A7727+$C7727) - MAX(IF($B$2:$B7726=$B7727, $A$2:$A7726+$C$2:$C7726)), "")*24*60, "")</f>
        <v/>
      </c>
      <c r="K7727" s="24" t="str" cm="1">
        <f t="array" ref="K7727">IFERROR(IF($B7727=K$1, ($A7727+$C7727) - MAX(IF($B$2:$B7726=$B7727, $A$2:$A7726+$C$2:$C7726)), "")*24*60, "")</f>
        <v/>
      </c>
      <c r="L7727" s="24" t="str" cm="1">
        <f t="array" ref="L7727">IFERROR(IF($B7727=L$1, ($A7727+$C7727) - MAX(IF($B$2:$B7726=$B7727, $A$2:$A7726+$C$2:$C7726)), "")*24*60, "")</f>
        <v/>
      </c>
      <c r="M7727" s="24" t="str" cm="1">
        <f t="array" ref="M7727">IFERROR(IF($B7727=M$1, ($A7727+$C7727) - MAX(IF($B$2:$B7726=$B7727, $A$2:$A7726+$C$2:$C7726)), "")*24*60, "")</f>
        <v/>
      </c>
      <c r="N7727" s="24" t="str" cm="1">
        <f t="array" ref="N7727">IFERROR(IF($B7727=N$1, ($A7727+$C7727) - MAX(IF($B$2:$B7726=$B7727, $A$2:$A7726+$C$2:$C7726)), "")*24*60, "")</f>
        <v/>
      </c>
      <c r="O7727" s="24" t="str" cm="1">
        <f t="array" ref="O7727">IFERROR(IF($B7727=O$1, ($A7727+$C7727) - MAX(IF($B$2:$B7726=$B7727, $A$2:$A7726+$C$2:$C7726)), "")*24*60, "")</f>
        <v/>
      </c>
      <c r="P7727" s="24" t="str" cm="1">
        <f t="array" ref="P7727">IFERROR(IF($B7727=P$1, ($A7727+$C7727) - MAX(IF($B$2:$B7726=$B7727, $A$2:$A7726+$C$2:$C7726)), "")*24*60, "")</f>
        <v/>
      </c>
      <c r="Q7727" s="24" t="str" cm="1">
        <f t="array" ref="Q7727">IFERROR(IF($B7727=Q$1, ($A7727+$C7727) - MAX(IF($B$2:$B7726=$B7727, $A$2:$A7726+$C$2:$C7726)), "")*24*60, "")</f>
        <v/>
      </c>
      <c r="R7727" s="24" t="str" cm="1">
        <f t="array" ref="R7727">IFERROR(IF($B7727=R$1, ($A7727+$C7727) - MAX(IF($B$2:$B7726=$B7727, $A$2:$A7726+$C$2:$C7726)), "")*24*60, "")</f>
        <v/>
      </c>
      <c r="S7727" s="24" t="str" cm="1">
        <f t="array" ref="S7727">IFERROR(IF($B7727=S$1, ($A7727+$C7727) - MAX(IF($B$2:$B7726=$B7727, $A$2:$A7726+$C$2:$C7726)), "")*24*60, "")</f>
        <v/>
      </c>
    </row>
    <row r="7728" spans="1:19" x14ac:dyDescent="0.2">
      <c r="A7728" s="12">
        <f t="shared" ref="A7728:C7728" si="1561">A7727</f>
        <v>46018</v>
      </c>
      <c r="B7728" s="5" t="str">
        <f t="shared" si="1561"/>
        <v>Northern Cardinal</v>
      </c>
      <c r="C7728" s="6">
        <f t="shared" si="1561"/>
        <v>0.29166666666666669</v>
      </c>
      <c r="D7728" s="5"/>
      <c r="E7728" s="5"/>
      <c r="F7728" s="5" t="s">
        <v>9</v>
      </c>
      <c r="G7728" s="15" t="s">
        <v>8</v>
      </c>
      <c r="H7728" s="24">
        <f t="shared" si="1540"/>
        <v>0</v>
      </c>
      <c r="I7728" s="24" cm="1">
        <f t="array" ref="I7728">IFERROR(IF($B7728=I$1, ($A7728+$C7728) - MAX(IF($B$2:$B7727=$B7728, $A$2:$A7727+$C$2:$C7727)), "")*24*60, "")</f>
        <v>0</v>
      </c>
      <c r="J7728" s="24" t="str" cm="1">
        <f t="array" ref="J7728">IFERROR(IF($B7728=J$1, ($A7728+$C7728) - MAX(IF($B$2:$B7727=$B7728, $A$2:$A7727+$C$2:$C7727)), "")*24*60, "")</f>
        <v/>
      </c>
      <c r="K7728" s="24" t="str" cm="1">
        <f t="array" ref="K7728">IFERROR(IF($B7728=K$1, ($A7728+$C7728) - MAX(IF($B$2:$B7727=$B7728, $A$2:$A7727+$C$2:$C7727)), "")*24*60, "")</f>
        <v/>
      </c>
      <c r="L7728" s="24" t="str" cm="1">
        <f t="array" ref="L7728">IFERROR(IF($B7728=L$1, ($A7728+$C7728) - MAX(IF($B$2:$B7727=$B7728, $A$2:$A7727+$C$2:$C7727)), "")*24*60, "")</f>
        <v/>
      </c>
      <c r="M7728" s="24" t="str" cm="1">
        <f t="array" ref="M7728">IFERROR(IF($B7728=M$1, ($A7728+$C7728) - MAX(IF($B$2:$B7727=$B7728, $A$2:$A7727+$C$2:$C7727)), "")*24*60, "")</f>
        <v/>
      </c>
      <c r="N7728" s="24" t="str" cm="1">
        <f t="array" ref="N7728">IFERROR(IF($B7728=N$1, ($A7728+$C7728) - MAX(IF($B$2:$B7727=$B7728, $A$2:$A7727+$C$2:$C7727)), "")*24*60, "")</f>
        <v/>
      </c>
      <c r="O7728" s="24" t="str" cm="1">
        <f t="array" ref="O7728">IFERROR(IF($B7728=O$1, ($A7728+$C7728) - MAX(IF($B$2:$B7727=$B7728, $A$2:$A7727+$C$2:$C7727)), "")*24*60, "")</f>
        <v/>
      </c>
      <c r="P7728" s="24" t="str" cm="1">
        <f t="array" ref="P7728">IFERROR(IF($B7728=P$1, ($A7728+$C7728) - MAX(IF($B$2:$B7727=$B7728, $A$2:$A7727+$C$2:$C7727)), "")*24*60, "")</f>
        <v/>
      </c>
      <c r="Q7728" s="24" t="str" cm="1">
        <f t="array" ref="Q7728">IFERROR(IF($B7728=Q$1, ($A7728+$C7728) - MAX(IF($B$2:$B7727=$B7728, $A$2:$A7727+$C$2:$C7727)), "")*24*60, "")</f>
        <v/>
      </c>
      <c r="R7728" s="24" t="str" cm="1">
        <f t="array" ref="R7728">IFERROR(IF($B7728=R$1, ($A7728+$C7728) - MAX(IF($B$2:$B7727=$B7728, $A$2:$A7727+$C$2:$C7727)), "")*24*60, "")</f>
        <v/>
      </c>
      <c r="S7728" s="24" t="str" cm="1">
        <f t="array" ref="S7728">IFERROR(IF($B7728=S$1, ($A7728+$C7728) - MAX(IF($B$2:$B7727=$B7728, $A$2:$A7727+$C$2:$C7727)), "")*24*60, "")</f>
        <v/>
      </c>
    </row>
    <row r="7729" spans="1:19" x14ac:dyDescent="0.2">
      <c r="A7729" s="12">
        <f t="shared" ref="A7729:C7729" si="1562">A7728</f>
        <v>46018</v>
      </c>
      <c r="B7729" s="5" t="str">
        <f t="shared" si="1562"/>
        <v>Northern Cardinal</v>
      </c>
      <c r="C7729" s="6">
        <f t="shared" si="1562"/>
        <v>0.29166666666666669</v>
      </c>
      <c r="D7729" s="5"/>
      <c r="E7729" s="5"/>
      <c r="F7729" s="5" t="s">
        <v>9</v>
      </c>
      <c r="G7729" s="15" t="s">
        <v>8</v>
      </c>
      <c r="H7729" s="24">
        <f t="shared" si="1540"/>
        <v>0</v>
      </c>
      <c r="I7729" s="24" cm="1">
        <f t="array" ref="I7729">IFERROR(IF($B7729=I$1, ($A7729+$C7729) - MAX(IF($B$2:$B7728=$B7729, $A$2:$A7728+$C$2:$C7728)), "")*24*60, "")</f>
        <v>0</v>
      </c>
      <c r="J7729" s="24" t="str" cm="1">
        <f t="array" ref="J7729">IFERROR(IF($B7729=J$1, ($A7729+$C7729) - MAX(IF($B$2:$B7728=$B7729, $A$2:$A7728+$C$2:$C7728)), "")*24*60, "")</f>
        <v/>
      </c>
      <c r="K7729" s="24" t="str" cm="1">
        <f t="array" ref="K7729">IFERROR(IF($B7729=K$1, ($A7729+$C7729) - MAX(IF($B$2:$B7728=$B7729, $A$2:$A7728+$C$2:$C7728)), "")*24*60, "")</f>
        <v/>
      </c>
      <c r="L7729" s="24" t="str" cm="1">
        <f t="array" ref="L7729">IFERROR(IF($B7729=L$1, ($A7729+$C7729) - MAX(IF($B$2:$B7728=$B7729, $A$2:$A7728+$C$2:$C7728)), "")*24*60, "")</f>
        <v/>
      </c>
      <c r="M7729" s="24" t="str" cm="1">
        <f t="array" ref="M7729">IFERROR(IF($B7729=M$1, ($A7729+$C7729) - MAX(IF($B$2:$B7728=$B7729, $A$2:$A7728+$C$2:$C7728)), "")*24*60, "")</f>
        <v/>
      </c>
      <c r="N7729" s="24" t="str" cm="1">
        <f t="array" ref="N7729">IFERROR(IF($B7729=N$1, ($A7729+$C7729) - MAX(IF($B$2:$B7728=$B7729, $A$2:$A7728+$C$2:$C7728)), "")*24*60, "")</f>
        <v/>
      </c>
      <c r="O7729" s="24" t="str" cm="1">
        <f t="array" ref="O7729">IFERROR(IF($B7729=O$1, ($A7729+$C7729) - MAX(IF($B$2:$B7728=$B7729, $A$2:$A7728+$C$2:$C7728)), "")*24*60, "")</f>
        <v/>
      </c>
      <c r="P7729" s="24" t="str" cm="1">
        <f t="array" ref="P7729">IFERROR(IF($B7729=P$1, ($A7729+$C7729) - MAX(IF($B$2:$B7728=$B7729, $A$2:$A7728+$C$2:$C7728)), "")*24*60, "")</f>
        <v/>
      </c>
      <c r="Q7729" s="24" t="str" cm="1">
        <f t="array" ref="Q7729">IFERROR(IF($B7729=Q$1, ($A7729+$C7729) - MAX(IF($B$2:$B7728=$B7729, $A$2:$A7728+$C$2:$C7728)), "")*24*60, "")</f>
        <v/>
      </c>
      <c r="R7729" s="24" t="str" cm="1">
        <f t="array" ref="R7729">IFERROR(IF($B7729=R$1, ($A7729+$C7729) - MAX(IF($B$2:$B7728=$B7729, $A$2:$A7728+$C$2:$C7728)), "")*24*60, "")</f>
        <v/>
      </c>
      <c r="S7729" s="24" t="str" cm="1">
        <f t="array" ref="S7729">IFERROR(IF($B7729=S$1, ($A7729+$C7729) - MAX(IF($B$2:$B7728=$B7729, $A$2:$A7728+$C$2:$C7728)), "")*24*60, "")</f>
        <v/>
      </c>
    </row>
    <row r="7730" spans="1:19" x14ac:dyDescent="0.2">
      <c r="A7730" s="12">
        <f t="shared" ref="A7730:C7730" si="1563">A7729</f>
        <v>46018</v>
      </c>
      <c r="B7730" s="5" t="str">
        <f t="shared" si="1563"/>
        <v>Northern Cardinal</v>
      </c>
      <c r="C7730" s="6">
        <f t="shared" si="1563"/>
        <v>0.29166666666666669</v>
      </c>
      <c r="D7730" s="5"/>
      <c r="E7730" s="5"/>
      <c r="F7730" s="5" t="s">
        <v>9</v>
      </c>
      <c r="G7730" s="15" t="s">
        <v>8</v>
      </c>
      <c r="H7730" s="24">
        <f t="shared" si="1540"/>
        <v>0</v>
      </c>
      <c r="I7730" s="24" cm="1">
        <f t="array" ref="I7730">IFERROR(IF($B7730=I$1, ($A7730+$C7730) - MAX(IF($B$2:$B7729=$B7730, $A$2:$A7729+$C$2:$C7729)), "")*24*60, "")</f>
        <v>0</v>
      </c>
      <c r="J7730" s="24" t="str" cm="1">
        <f t="array" ref="J7730">IFERROR(IF($B7730=J$1, ($A7730+$C7730) - MAX(IF($B$2:$B7729=$B7730, $A$2:$A7729+$C$2:$C7729)), "")*24*60, "")</f>
        <v/>
      </c>
      <c r="K7730" s="24" t="str" cm="1">
        <f t="array" ref="K7730">IFERROR(IF($B7730=K$1, ($A7730+$C7730) - MAX(IF($B$2:$B7729=$B7730, $A$2:$A7729+$C$2:$C7729)), "")*24*60, "")</f>
        <v/>
      </c>
      <c r="L7730" s="24" t="str" cm="1">
        <f t="array" ref="L7730">IFERROR(IF($B7730=L$1, ($A7730+$C7730) - MAX(IF($B$2:$B7729=$B7730, $A$2:$A7729+$C$2:$C7729)), "")*24*60, "")</f>
        <v/>
      </c>
      <c r="M7730" s="24" t="str" cm="1">
        <f t="array" ref="M7730">IFERROR(IF($B7730=M$1, ($A7730+$C7730) - MAX(IF($B$2:$B7729=$B7730, $A$2:$A7729+$C$2:$C7729)), "")*24*60, "")</f>
        <v/>
      </c>
      <c r="N7730" s="24" t="str" cm="1">
        <f t="array" ref="N7730">IFERROR(IF($B7730=N$1, ($A7730+$C7730) - MAX(IF($B$2:$B7729=$B7730, $A$2:$A7729+$C$2:$C7729)), "")*24*60, "")</f>
        <v/>
      </c>
      <c r="O7730" s="24" t="str" cm="1">
        <f t="array" ref="O7730">IFERROR(IF($B7730=O$1, ($A7730+$C7730) - MAX(IF($B$2:$B7729=$B7730, $A$2:$A7729+$C$2:$C7729)), "")*24*60, "")</f>
        <v/>
      </c>
      <c r="P7730" s="24" t="str" cm="1">
        <f t="array" ref="P7730">IFERROR(IF($B7730=P$1, ($A7730+$C7730) - MAX(IF($B$2:$B7729=$B7730, $A$2:$A7729+$C$2:$C7729)), "")*24*60, "")</f>
        <v/>
      </c>
      <c r="Q7730" s="24" t="str" cm="1">
        <f t="array" ref="Q7730">IFERROR(IF($B7730=Q$1, ($A7730+$C7730) - MAX(IF($B$2:$B7729=$B7730, $A$2:$A7729+$C$2:$C7729)), "")*24*60, "")</f>
        <v/>
      </c>
      <c r="R7730" s="24" t="str" cm="1">
        <f t="array" ref="R7730">IFERROR(IF($B7730=R$1, ($A7730+$C7730) - MAX(IF($B$2:$B7729=$B7730, $A$2:$A7729+$C$2:$C7729)), "")*24*60, "")</f>
        <v/>
      </c>
      <c r="S7730" s="24" t="str" cm="1">
        <f t="array" ref="S7730">IFERROR(IF($B7730=S$1, ($A7730+$C7730) - MAX(IF($B$2:$B7729=$B7730, $A$2:$A7729+$C$2:$C7729)), "")*24*60, "")</f>
        <v/>
      </c>
    </row>
    <row r="7731" spans="1:19" x14ac:dyDescent="0.2">
      <c r="A7731" s="12">
        <f t="shared" ref="A7731:C7731" si="1564">A7730</f>
        <v>46018</v>
      </c>
      <c r="B7731" s="5" t="str">
        <f t="shared" si="1564"/>
        <v>Northern Cardinal</v>
      </c>
      <c r="C7731" s="6">
        <f t="shared" si="1564"/>
        <v>0.29166666666666669</v>
      </c>
      <c r="D7731" s="5"/>
      <c r="E7731" s="5"/>
      <c r="F7731" s="5" t="s">
        <v>9</v>
      </c>
      <c r="G7731" s="15" t="s">
        <v>8</v>
      </c>
      <c r="H7731" s="24">
        <f t="shared" si="1540"/>
        <v>0</v>
      </c>
      <c r="I7731" s="24" cm="1">
        <f t="array" ref="I7731">IFERROR(IF($B7731=I$1, ($A7731+$C7731) - MAX(IF($B$2:$B7730=$B7731, $A$2:$A7730+$C$2:$C7730)), "")*24*60, "")</f>
        <v>0</v>
      </c>
      <c r="J7731" s="24" t="str" cm="1">
        <f t="array" ref="J7731">IFERROR(IF($B7731=J$1, ($A7731+$C7731) - MAX(IF($B$2:$B7730=$B7731, $A$2:$A7730+$C$2:$C7730)), "")*24*60, "")</f>
        <v/>
      </c>
      <c r="K7731" s="24" t="str" cm="1">
        <f t="array" ref="K7731">IFERROR(IF($B7731=K$1, ($A7731+$C7731) - MAX(IF($B$2:$B7730=$B7731, $A$2:$A7730+$C$2:$C7730)), "")*24*60, "")</f>
        <v/>
      </c>
      <c r="L7731" s="24" t="str" cm="1">
        <f t="array" ref="L7731">IFERROR(IF($B7731=L$1, ($A7731+$C7731) - MAX(IF($B$2:$B7730=$B7731, $A$2:$A7730+$C$2:$C7730)), "")*24*60, "")</f>
        <v/>
      </c>
      <c r="M7731" s="24" t="str" cm="1">
        <f t="array" ref="M7731">IFERROR(IF($B7731=M$1, ($A7731+$C7731) - MAX(IF($B$2:$B7730=$B7731, $A$2:$A7730+$C$2:$C7730)), "")*24*60, "")</f>
        <v/>
      </c>
      <c r="N7731" s="24" t="str" cm="1">
        <f t="array" ref="N7731">IFERROR(IF($B7731=N$1, ($A7731+$C7731) - MAX(IF($B$2:$B7730=$B7731, $A$2:$A7730+$C$2:$C7730)), "")*24*60, "")</f>
        <v/>
      </c>
      <c r="O7731" s="24" t="str" cm="1">
        <f t="array" ref="O7731">IFERROR(IF($B7731=O$1, ($A7731+$C7731) - MAX(IF($B$2:$B7730=$B7731, $A$2:$A7730+$C$2:$C7730)), "")*24*60, "")</f>
        <v/>
      </c>
      <c r="P7731" s="24" t="str" cm="1">
        <f t="array" ref="P7731">IFERROR(IF($B7731=P$1, ($A7731+$C7731) - MAX(IF($B$2:$B7730=$B7731, $A$2:$A7730+$C$2:$C7730)), "")*24*60, "")</f>
        <v/>
      </c>
      <c r="Q7731" s="24" t="str" cm="1">
        <f t="array" ref="Q7731">IFERROR(IF($B7731=Q$1, ($A7731+$C7731) - MAX(IF($B$2:$B7730=$B7731, $A$2:$A7730+$C$2:$C7730)), "")*24*60, "")</f>
        <v/>
      </c>
      <c r="R7731" s="24" t="str" cm="1">
        <f t="array" ref="R7731">IFERROR(IF($B7731=R$1, ($A7731+$C7731) - MAX(IF($B$2:$B7730=$B7731, $A$2:$A7730+$C$2:$C7730)), "")*24*60, "")</f>
        <v/>
      </c>
      <c r="S7731" s="24" t="str" cm="1">
        <f t="array" ref="S7731">IFERROR(IF($B7731=S$1, ($A7731+$C7731) - MAX(IF($B$2:$B7730=$B7731, $A$2:$A7730+$C$2:$C7730)), "")*24*60, "")</f>
        <v/>
      </c>
    </row>
    <row r="7732" spans="1:19" x14ac:dyDescent="0.2">
      <c r="A7732" s="12">
        <f t="shared" ref="A7732:C7732" si="1565">A7731</f>
        <v>46018</v>
      </c>
      <c r="B7732" s="5" t="str">
        <f t="shared" si="1565"/>
        <v>Northern Cardinal</v>
      </c>
      <c r="C7732" s="6">
        <f t="shared" si="1565"/>
        <v>0.29166666666666669</v>
      </c>
      <c r="D7732" s="5"/>
      <c r="E7732" s="5"/>
      <c r="F7732" s="5" t="s">
        <v>9</v>
      </c>
      <c r="G7732" s="15" t="s">
        <v>8</v>
      </c>
      <c r="H7732" s="24">
        <f t="shared" si="1540"/>
        <v>0</v>
      </c>
      <c r="I7732" s="24" cm="1">
        <f t="array" ref="I7732">IFERROR(IF($B7732=I$1, ($A7732+$C7732) - MAX(IF($B$2:$B7731=$B7732, $A$2:$A7731+$C$2:$C7731)), "")*24*60, "")</f>
        <v>0</v>
      </c>
      <c r="J7732" s="24" t="str" cm="1">
        <f t="array" ref="J7732">IFERROR(IF($B7732=J$1, ($A7732+$C7732) - MAX(IF($B$2:$B7731=$B7732, $A$2:$A7731+$C$2:$C7731)), "")*24*60, "")</f>
        <v/>
      </c>
      <c r="K7732" s="24" t="str" cm="1">
        <f t="array" ref="K7732">IFERROR(IF($B7732=K$1, ($A7732+$C7732) - MAX(IF($B$2:$B7731=$B7732, $A$2:$A7731+$C$2:$C7731)), "")*24*60, "")</f>
        <v/>
      </c>
      <c r="L7732" s="24" t="str" cm="1">
        <f t="array" ref="L7732">IFERROR(IF($B7732=L$1, ($A7732+$C7732) - MAX(IF($B$2:$B7731=$B7732, $A$2:$A7731+$C$2:$C7731)), "")*24*60, "")</f>
        <v/>
      </c>
      <c r="M7732" s="24" t="str" cm="1">
        <f t="array" ref="M7732">IFERROR(IF($B7732=M$1, ($A7732+$C7732) - MAX(IF($B$2:$B7731=$B7732, $A$2:$A7731+$C$2:$C7731)), "")*24*60, "")</f>
        <v/>
      </c>
      <c r="N7732" s="24" t="str" cm="1">
        <f t="array" ref="N7732">IFERROR(IF($B7732=N$1, ($A7732+$C7732) - MAX(IF($B$2:$B7731=$B7732, $A$2:$A7731+$C$2:$C7731)), "")*24*60, "")</f>
        <v/>
      </c>
      <c r="O7732" s="24" t="str" cm="1">
        <f t="array" ref="O7732">IFERROR(IF($B7732=O$1, ($A7732+$C7732) - MAX(IF($B$2:$B7731=$B7732, $A$2:$A7731+$C$2:$C7731)), "")*24*60, "")</f>
        <v/>
      </c>
      <c r="P7732" s="24" t="str" cm="1">
        <f t="array" ref="P7732">IFERROR(IF($B7732=P$1, ($A7732+$C7732) - MAX(IF($B$2:$B7731=$B7732, $A$2:$A7731+$C$2:$C7731)), "")*24*60, "")</f>
        <v/>
      </c>
      <c r="Q7732" s="24" t="str" cm="1">
        <f t="array" ref="Q7732">IFERROR(IF($B7732=Q$1, ($A7732+$C7732) - MAX(IF($B$2:$B7731=$B7732, $A$2:$A7731+$C$2:$C7731)), "")*24*60, "")</f>
        <v/>
      </c>
      <c r="R7732" s="24" t="str" cm="1">
        <f t="array" ref="R7732">IFERROR(IF($B7732=R$1, ($A7732+$C7732) - MAX(IF($B$2:$B7731=$B7732, $A$2:$A7731+$C$2:$C7731)), "")*24*60, "")</f>
        <v/>
      </c>
      <c r="S7732" s="24" t="str" cm="1">
        <f t="array" ref="S7732">IFERROR(IF($B7732=S$1, ($A7732+$C7732) - MAX(IF($B$2:$B7731=$B7732, $A$2:$A7731+$C$2:$C7731)), "")*24*60, "")</f>
        <v/>
      </c>
    </row>
    <row r="7733" spans="1:19" x14ac:dyDescent="0.2">
      <c r="A7733" s="12">
        <f t="shared" ref="A7733:C7733" si="1566">A7732</f>
        <v>46018</v>
      </c>
      <c r="B7733" s="5" t="str">
        <f t="shared" si="1566"/>
        <v>Northern Cardinal</v>
      </c>
      <c r="C7733" s="6">
        <f t="shared" si="1566"/>
        <v>0.29166666666666669</v>
      </c>
      <c r="D7733" s="5"/>
      <c r="E7733" s="5"/>
      <c r="F7733" s="5" t="s">
        <v>9</v>
      </c>
      <c r="G7733" s="15" t="s">
        <v>8</v>
      </c>
      <c r="H7733" s="24">
        <f t="shared" si="1540"/>
        <v>0</v>
      </c>
      <c r="I7733" s="24" cm="1">
        <f t="array" ref="I7733">IFERROR(IF($B7733=I$1, ($A7733+$C7733) - MAX(IF($B$2:$B7732=$B7733, $A$2:$A7732+$C$2:$C7732)), "")*24*60, "")</f>
        <v>0</v>
      </c>
      <c r="J7733" s="24" t="str" cm="1">
        <f t="array" ref="J7733">IFERROR(IF($B7733=J$1, ($A7733+$C7733) - MAX(IF($B$2:$B7732=$B7733, $A$2:$A7732+$C$2:$C7732)), "")*24*60, "")</f>
        <v/>
      </c>
      <c r="K7733" s="24" t="str" cm="1">
        <f t="array" ref="K7733">IFERROR(IF($B7733=K$1, ($A7733+$C7733) - MAX(IF($B$2:$B7732=$B7733, $A$2:$A7732+$C$2:$C7732)), "")*24*60, "")</f>
        <v/>
      </c>
      <c r="L7733" s="24" t="str" cm="1">
        <f t="array" ref="L7733">IFERROR(IF($B7733=L$1, ($A7733+$C7733) - MAX(IF($B$2:$B7732=$B7733, $A$2:$A7732+$C$2:$C7732)), "")*24*60, "")</f>
        <v/>
      </c>
      <c r="M7733" s="24" t="str" cm="1">
        <f t="array" ref="M7733">IFERROR(IF($B7733=M$1, ($A7733+$C7733) - MAX(IF($B$2:$B7732=$B7733, $A$2:$A7732+$C$2:$C7732)), "")*24*60, "")</f>
        <v/>
      </c>
      <c r="N7733" s="24" t="str" cm="1">
        <f t="array" ref="N7733">IFERROR(IF($B7733=N$1, ($A7733+$C7733) - MAX(IF($B$2:$B7732=$B7733, $A$2:$A7732+$C$2:$C7732)), "")*24*60, "")</f>
        <v/>
      </c>
      <c r="O7733" s="24" t="str" cm="1">
        <f t="array" ref="O7733">IFERROR(IF($B7733=O$1, ($A7733+$C7733) - MAX(IF($B$2:$B7732=$B7733, $A$2:$A7732+$C$2:$C7732)), "")*24*60, "")</f>
        <v/>
      </c>
      <c r="P7733" s="24" t="str" cm="1">
        <f t="array" ref="P7733">IFERROR(IF($B7733=P$1, ($A7733+$C7733) - MAX(IF($B$2:$B7732=$B7733, $A$2:$A7732+$C$2:$C7732)), "")*24*60, "")</f>
        <v/>
      </c>
      <c r="Q7733" s="24" t="str" cm="1">
        <f t="array" ref="Q7733">IFERROR(IF($B7733=Q$1, ($A7733+$C7733) - MAX(IF($B$2:$B7732=$B7733, $A$2:$A7732+$C$2:$C7732)), "")*24*60, "")</f>
        <v/>
      </c>
      <c r="R7733" s="24" t="str" cm="1">
        <f t="array" ref="R7733">IFERROR(IF($B7733=R$1, ($A7733+$C7733) - MAX(IF($B$2:$B7732=$B7733, $A$2:$A7732+$C$2:$C7732)), "")*24*60, "")</f>
        <v/>
      </c>
      <c r="S7733" s="24" t="str" cm="1">
        <f t="array" ref="S7733">IFERROR(IF($B7733=S$1, ($A7733+$C7733) - MAX(IF($B$2:$B7732=$B7733, $A$2:$A7732+$C$2:$C7732)), "")*24*60, "")</f>
        <v/>
      </c>
    </row>
    <row r="7734" spans="1:19" x14ac:dyDescent="0.2">
      <c r="A7734" s="12">
        <f t="shared" ref="A7734:C7734" si="1567">A7733</f>
        <v>46018</v>
      </c>
      <c r="B7734" s="5" t="str">
        <f t="shared" si="1567"/>
        <v>Northern Cardinal</v>
      </c>
      <c r="C7734" s="6">
        <f t="shared" si="1567"/>
        <v>0.29166666666666669</v>
      </c>
      <c r="D7734" s="5"/>
      <c r="E7734" s="5"/>
      <c r="F7734" s="5" t="s">
        <v>9</v>
      </c>
      <c r="G7734" s="15" t="s">
        <v>8</v>
      </c>
      <c r="H7734" s="24">
        <f t="shared" si="1540"/>
        <v>0</v>
      </c>
      <c r="I7734" s="24" cm="1">
        <f t="array" ref="I7734">IFERROR(IF($B7734=I$1, ($A7734+$C7734) - MAX(IF($B$2:$B7733=$B7734, $A$2:$A7733+$C$2:$C7733)), "")*24*60, "")</f>
        <v>0</v>
      </c>
      <c r="J7734" s="24" t="str" cm="1">
        <f t="array" ref="J7734">IFERROR(IF($B7734=J$1, ($A7734+$C7734) - MAX(IF($B$2:$B7733=$B7734, $A$2:$A7733+$C$2:$C7733)), "")*24*60, "")</f>
        <v/>
      </c>
      <c r="K7734" s="24" t="str" cm="1">
        <f t="array" ref="K7734">IFERROR(IF($B7734=K$1, ($A7734+$C7734) - MAX(IF($B$2:$B7733=$B7734, $A$2:$A7733+$C$2:$C7733)), "")*24*60, "")</f>
        <v/>
      </c>
      <c r="L7734" s="24" t="str" cm="1">
        <f t="array" ref="L7734">IFERROR(IF($B7734=L$1, ($A7734+$C7734) - MAX(IF($B$2:$B7733=$B7734, $A$2:$A7733+$C$2:$C7733)), "")*24*60, "")</f>
        <v/>
      </c>
      <c r="M7734" s="24" t="str" cm="1">
        <f t="array" ref="M7734">IFERROR(IF($B7734=M$1, ($A7734+$C7734) - MAX(IF($B$2:$B7733=$B7734, $A$2:$A7733+$C$2:$C7733)), "")*24*60, "")</f>
        <v/>
      </c>
      <c r="N7734" s="24" t="str" cm="1">
        <f t="array" ref="N7734">IFERROR(IF($B7734=N$1, ($A7734+$C7734) - MAX(IF($B$2:$B7733=$B7734, $A$2:$A7733+$C$2:$C7733)), "")*24*60, "")</f>
        <v/>
      </c>
      <c r="O7734" s="24" t="str" cm="1">
        <f t="array" ref="O7734">IFERROR(IF($B7734=O$1, ($A7734+$C7734) - MAX(IF($B$2:$B7733=$B7734, $A$2:$A7733+$C$2:$C7733)), "")*24*60, "")</f>
        <v/>
      </c>
      <c r="P7734" s="24" t="str" cm="1">
        <f t="array" ref="P7734">IFERROR(IF($B7734=P$1, ($A7734+$C7734) - MAX(IF($B$2:$B7733=$B7734, $A$2:$A7733+$C$2:$C7733)), "")*24*60, "")</f>
        <v/>
      </c>
      <c r="Q7734" s="24" t="str" cm="1">
        <f t="array" ref="Q7734">IFERROR(IF($B7734=Q$1, ($A7734+$C7734) - MAX(IF($B$2:$B7733=$B7734, $A$2:$A7733+$C$2:$C7733)), "")*24*60, "")</f>
        <v/>
      </c>
      <c r="R7734" s="24" t="str" cm="1">
        <f t="array" ref="R7734">IFERROR(IF($B7734=R$1, ($A7734+$C7734) - MAX(IF($B$2:$B7733=$B7734, $A$2:$A7733+$C$2:$C7733)), "")*24*60, "")</f>
        <v/>
      </c>
      <c r="S7734" s="24" t="str" cm="1">
        <f t="array" ref="S7734">IFERROR(IF($B7734=S$1, ($A7734+$C7734) - MAX(IF($B$2:$B7733=$B7734, $A$2:$A7733+$C$2:$C7733)), "")*24*60, "")</f>
        <v/>
      </c>
    </row>
    <row r="7735" spans="1:19" x14ac:dyDescent="0.2">
      <c r="A7735" s="12">
        <f t="shared" ref="A7735:C7735" si="1568">A7734</f>
        <v>46018</v>
      </c>
      <c r="B7735" s="5" t="str">
        <f t="shared" si="1568"/>
        <v>Northern Cardinal</v>
      </c>
      <c r="C7735" s="6">
        <f t="shared" si="1568"/>
        <v>0.29166666666666669</v>
      </c>
      <c r="D7735" s="5"/>
      <c r="E7735" s="5"/>
      <c r="F7735" s="5" t="s">
        <v>9</v>
      </c>
      <c r="G7735" s="15" t="s">
        <v>8</v>
      </c>
      <c r="H7735" s="24">
        <f t="shared" si="1540"/>
        <v>0</v>
      </c>
      <c r="I7735" s="24" cm="1">
        <f t="array" ref="I7735">IFERROR(IF($B7735=I$1, ($A7735+$C7735) - MAX(IF($B$2:$B7734=$B7735, $A$2:$A7734+$C$2:$C7734)), "")*24*60, "")</f>
        <v>0</v>
      </c>
      <c r="J7735" s="24" t="str" cm="1">
        <f t="array" ref="J7735">IFERROR(IF($B7735=J$1, ($A7735+$C7735) - MAX(IF($B$2:$B7734=$B7735, $A$2:$A7734+$C$2:$C7734)), "")*24*60, "")</f>
        <v/>
      </c>
      <c r="K7735" s="24" t="str" cm="1">
        <f t="array" ref="K7735">IFERROR(IF($B7735=K$1, ($A7735+$C7735) - MAX(IF($B$2:$B7734=$B7735, $A$2:$A7734+$C$2:$C7734)), "")*24*60, "")</f>
        <v/>
      </c>
      <c r="L7735" s="24" t="str" cm="1">
        <f t="array" ref="L7735">IFERROR(IF($B7735=L$1, ($A7735+$C7735) - MAX(IF($B$2:$B7734=$B7735, $A$2:$A7734+$C$2:$C7734)), "")*24*60, "")</f>
        <v/>
      </c>
      <c r="M7735" s="24" t="str" cm="1">
        <f t="array" ref="M7735">IFERROR(IF($B7735=M$1, ($A7735+$C7735) - MAX(IF($B$2:$B7734=$B7735, $A$2:$A7734+$C$2:$C7734)), "")*24*60, "")</f>
        <v/>
      </c>
      <c r="N7735" s="24" t="str" cm="1">
        <f t="array" ref="N7735">IFERROR(IF($B7735=N$1, ($A7735+$C7735) - MAX(IF($B$2:$B7734=$B7735, $A$2:$A7734+$C$2:$C7734)), "")*24*60, "")</f>
        <v/>
      </c>
      <c r="O7735" s="24" t="str" cm="1">
        <f t="array" ref="O7735">IFERROR(IF($B7735=O$1, ($A7735+$C7735) - MAX(IF($B$2:$B7734=$B7735, $A$2:$A7734+$C$2:$C7734)), "")*24*60, "")</f>
        <v/>
      </c>
      <c r="P7735" s="24" t="str" cm="1">
        <f t="array" ref="P7735">IFERROR(IF($B7735=P$1, ($A7735+$C7735) - MAX(IF($B$2:$B7734=$B7735, $A$2:$A7734+$C$2:$C7734)), "")*24*60, "")</f>
        <v/>
      </c>
      <c r="Q7735" s="24" t="str" cm="1">
        <f t="array" ref="Q7735">IFERROR(IF($B7735=Q$1, ($A7735+$C7735) - MAX(IF($B$2:$B7734=$B7735, $A$2:$A7734+$C$2:$C7734)), "")*24*60, "")</f>
        <v/>
      </c>
      <c r="R7735" s="24" t="str" cm="1">
        <f t="array" ref="R7735">IFERROR(IF($B7735=R$1, ($A7735+$C7735) - MAX(IF($B$2:$B7734=$B7735, $A$2:$A7734+$C$2:$C7734)), "")*24*60, "")</f>
        <v/>
      </c>
      <c r="S7735" s="24" t="str" cm="1">
        <f t="array" ref="S7735">IFERROR(IF($B7735=S$1, ($A7735+$C7735) - MAX(IF($B$2:$B7734=$B7735, $A$2:$A7734+$C$2:$C7734)), "")*24*60, "")</f>
        <v/>
      </c>
    </row>
    <row r="7736" spans="1:19" x14ac:dyDescent="0.2">
      <c r="A7736" s="12">
        <f t="shared" ref="A7736:C7736" si="1569">A7735</f>
        <v>46018</v>
      </c>
      <c r="B7736" s="5" t="str">
        <f t="shared" si="1569"/>
        <v>Northern Cardinal</v>
      </c>
      <c r="C7736" s="6">
        <f t="shared" si="1569"/>
        <v>0.29166666666666669</v>
      </c>
      <c r="D7736" s="5"/>
      <c r="E7736" s="5"/>
      <c r="F7736" s="5" t="s">
        <v>9</v>
      </c>
      <c r="G7736" s="15" t="s">
        <v>8</v>
      </c>
      <c r="H7736" s="24">
        <f t="shared" si="1540"/>
        <v>0</v>
      </c>
      <c r="I7736" s="24" cm="1">
        <f t="array" ref="I7736">IFERROR(IF($B7736=I$1, ($A7736+$C7736) - MAX(IF($B$2:$B7735=$B7736, $A$2:$A7735+$C$2:$C7735)), "")*24*60, "")</f>
        <v>0</v>
      </c>
      <c r="J7736" s="24" t="str" cm="1">
        <f t="array" ref="J7736">IFERROR(IF($B7736=J$1, ($A7736+$C7736) - MAX(IF($B$2:$B7735=$B7736, $A$2:$A7735+$C$2:$C7735)), "")*24*60, "")</f>
        <v/>
      </c>
      <c r="K7736" s="24" t="str" cm="1">
        <f t="array" ref="K7736">IFERROR(IF($B7736=K$1, ($A7736+$C7736) - MAX(IF($B$2:$B7735=$B7736, $A$2:$A7735+$C$2:$C7735)), "")*24*60, "")</f>
        <v/>
      </c>
      <c r="L7736" s="24" t="str" cm="1">
        <f t="array" ref="L7736">IFERROR(IF($B7736=L$1, ($A7736+$C7736) - MAX(IF($B$2:$B7735=$B7736, $A$2:$A7735+$C$2:$C7735)), "")*24*60, "")</f>
        <v/>
      </c>
      <c r="M7736" s="24" t="str" cm="1">
        <f t="array" ref="M7736">IFERROR(IF($B7736=M$1, ($A7736+$C7736) - MAX(IF($B$2:$B7735=$B7736, $A$2:$A7735+$C$2:$C7735)), "")*24*60, "")</f>
        <v/>
      </c>
      <c r="N7736" s="24" t="str" cm="1">
        <f t="array" ref="N7736">IFERROR(IF($B7736=N$1, ($A7736+$C7736) - MAX(IF($B$2:$B7735=$B7736, $A$2:$A7735+$C$2:$C7735)), "")*24*60, "")</f>
        <v/>
      </c>
      <c r="O7736" s="24" t="str" cm="1">
        <f t="array" ref="O7736">IFERROR(IF($B7736=O$1, ($A7736+$C7736) - MAX(IF($B$2:$B7735=$B7736, $A$2:$A7735+$C$2:$C7735)), "")*24*60, "")</f>
        <v/>
      </c>
      <c r="P7736" s="24" t="str" cm="1">
        <f t="array" ref="P7736">IFERROR(IF($B7736=P$1, ($A7736+$C7736) - MAX(IF($B$2:$B7735=$B7736, $A$2:$A7735+$C$2:$C7735)), "")*24*60, "")</f>
        <v/>
      </c>
      <c r="Q7736" s="24" t="str" cm="1">
        <f t="array" ref="Q7736">IFERROR(IF($B7736=Q$1, ($A7736+$C7736) - MAX(IF($B$2:$B7735=$B7736, $A$2:$A7735+$C$2:$C7735)), "")*24*60, "")</f>
        <v/>
      </c>
      <c r="R7736" s="24" t="str" cm="1">
        <f t="array" ref="R7736">IFERROR(IF($B7736=R$1, ($A7736+$C7736) - MAX(IF($B$2:$B7735=$B7736, $A$2:$A7735+$C$2:$C7735)), "")*24*60, "")</f>
        <v/>
      </c>
      <c r="S7736" s="24" t="str" cm="1">
        <f t="array" ref="S7736">IFERROR(IF($B7736=S$1, ($A7736+$C7736) - MAX(IF($B$2:$B7735=$B7736, $A$2:$A7735+$C$2:$C7735)), "")*24*60, "")</f>
        <v/>
      </c>
    </row>
    <row r="7737" spans="1:19" x14ac:dyDescent="0.2">
      <c r="A7737" s="12">
        <f t="shared" ref="A7737:C7737" si="1570">A7736</f>
        <v>46018</v>
      </c>
      <c r="B7737" s="5" t="str">
        <f t="shared" si="1570"/>
        <v>Northern Cardinal</v>
      </c>
      <c r="C7737" s="6">
        <f t="shared" si="1570"/>
        <v>0.29166666666666669</v>
      </c>
      <c r="D7737" s="5"/>
      <c r="E7737" s="5"/>
      <c r="F7737" s="5" t="s">
        <v>9</v>
      </c>
      <c r="G7737" s="15" t="s">
        <v>8</v>
      </c>
      <c r="H7737" s="24">
        <f t="shared" si="1540"/>
        <v>0</v>
      </c>
      <c r="I7737" s="24" cm="1">
        <f t="array" ref="I7737">IFERROR(IF($B7737=I$1, ($A7737+$C7737) - MAX(IF($B$2:$B7736=$B7737, $A$2:$A7736+$C$2:$C7736)), "")*24*60, "")</f>
        <v>0</v>
      </c>
      <c r="J7737" s="24" t="str" cm="1">
        <f t="array" ref="J7737">IFERROR(IF($B7737=J$1, ($A7737+$C7737) - MAX(IF($B$2:$B7736=$B7737, $A$2:$A7736+$C$2:$C7736)), "")*24*60, "")</f>
        <v/>
      </c>
      <c r="K7737" s="24" t="str" cm="1">
        <f t="array" ref="K7737">IFERROR(IF($B7737=K$1, ($A7737+$C7737) - MAX(IF($B$2:$B7736=$B7737, $A$2:$A7736+$C$2:$C7736)), "")*24*60, "")</f>
        <v/>
      </c>
      <c r="L7737" s="24" t="str" cm="1">
        <f t="array" ref="L7737">IFERROR(IF($B7737=L$1, ($A7737+$C7737) - MAX(IF($B$2:$B7736=$B7737, $A$2:$A7736+$C$2:$C7736)), "")*24*60, "")</f>
        <v/>
      </c>
      <c r="M7737" s="24" t="str" cm="1">
        <f t="array" ref="M7737">IFERROR(IF($B7737=M$1, ($A7737+$C7737) - MAX(IF($B$2:$B7736=$B7737, $A$2:$A7736+$C$2:$C7736)), "")*24*60, "")</f>
        <v/>
      </c>
      <c r="N7737" s="24" t="str" cm="1">
        <f t="array" ref="N7737">IFERROR(IF($B7737=N$1, ($A7737+$C7737) - MAX(IF($B$2:$B7736=$B7737, $A$2:$A7736+$C$2:$C7736)), "")*24*60, "")</f>
        <v/>
      </c>
      <c r="O7737" s="24" t="str" cm="1">
        <f t="array" ref="O7737">IFERROR(IF($B7737=O$1, ($A7737+$C7737) - MAX(IF($B$2:$B7736=$B7737, $A$2:$A7736+$C$2:$C7736)), "")*24*60, "")</f>
        <v/>
      </c>
      <c r="P7737" s="24" t="str" cm="1">
        <f t="array" ref="P7737">IFERROR(IF($B7737=P$1, ($A7737+$C7737) - MAX(IF($B$2:$B7736=$B7737, $A$2:$A7736+$C$2:$C7736)), "")*24*60, "")</f>
        <v/>
      </c>
      <c r="Q7737" s="24" t="str" cm="1">
        <f t="array" ref="Q7737">IFERROR(IF($B7737=Q$1, ($A7737+$C7737) - MAX(IF($B$2:$B7736=$B7737, $A$2:$A7736+$C$2:$C7736)), "")*24*60, "")</f>
        <v/>
      </c>
      <c r="R7737" s="24" t="str" cm="1">
        <f t="array" ref="R7737">IFERROR(IF($B7737=R$1, ($A7737+$C7737) - MAX(IF($B$2:$B7736=$B7737, $A$2:$A7736+$C$2:$C7736)), "")*24*60, "")</f>
        <v/>
      </c>
      <c r="S7737" s="24" t="str" cm="1">
        <f t="array" ref="S7737">IFERROR(IF($B7737=S$1, ($A7737+$C7737) - MAX(IF($B$2:$B7736=$B7737, $A$2:$A7736+$C$2:$C7736)), "")*24*60, "")</f>
        <v/>
      </c>
    </row>
    <row r="7738" spans="1:19" x14ac:dyDescent="0.2">
      <c r="A7738" s="12">
        <f t="shared" ref="A7738:C7738" si="1571">A7737</f>
        <v>46018</v>
      </c>
      <c r="B7738" s="5" t="str">
        <f t="shared" si="1571"/>
        <v>Northern Cardinal</v>
      </c>
      <c r="C7738" s="6">
        <f t="shared" si="1571"/>
        <v>0.29166666666666669</v>
      </c>
      <c r="D7738" s="5"/>
      <c r="E7738" s="5"/>
      <c r="F7738" s="5" t="s">
        <v>9</v>
      </c>
      <c r="G7738" s="15" t="s">
        <v>8</v>
      </c>
      <c r="H7738" s="24">
        <f t="shared" si="1540"/>
        <v>0</v>
      </c>
      <c r="I7738" s="24" cm="1">
        <f t="array" ref="I7738">IFERROR(IF($B7738=I$1, ($A7738+$C7738) - MAX(IF($B$2:$B7737=$B7738, $A$2:$A7737+$C$2:$C7737)), "")*24*60, "")</f>
        <v>0</v>
      </c>
      <c r="J7738" s="24" t="str" cm="1">
        <f t="array" ref="J7738">IFERROR(IF($B7738=J$1, ($A7738+$C7738) - MAX(IF($B$2:$B7737=$B7738, $A$2:$A7737+$C$2:$C7737)), "")*24*60, "")</f>
        <v/>
      </c>
      <c r="K7738" s="24" t="str" cm="1">
        <f t="array" ref="K7738">IFERROR(IF($B7738=K$1, ($A7738+$C7738) - MAX(IF($B$2:$B7737=$B7738, $A$2:$A7737+$C$2:$C7737)), "")*24*60, "")</f>
        <v/>
      </c>
      <c r="L7738" s="24" t="str" cm="1">
        <f t="array" ref="L7738">IFERROR(IF($B7738=L$1, ($A7738+$C7738) - MAX(IF($B$2:$B7737=$B7738, $A$2:$A7737+$C$2:$C7737)), "")*24*60, "")</f>
        <v/>
      </c>
      <c r="M7738" s="24" t="str" cm="1">
        <f t="array" ref="M7738">IFERROR(IF($B7738=M$1, ($A7738+$C7738) - MAX(IF($B$2:$B7737=$B7738, $A$2:$A7737+$C$2:$C7737)), "")*24*60, "")</f>
        <v/>
      </c>
      <c r="N7738" s="24" t="str" cm="1">
        <f t="array" ref="N7738">IFERROR(IF($B7738=N$1, ($A7738+$C7738) - MAX(IF($B$2:$B7737=$B7738, $A$2:$A7737+$C$2:$C7737)), "")*24*60, "")</f>
        <v/>
      </c>
      <c r="O7738" s="24" t="str" cm="1">
        <f t="array" ref="O7738">IFERROR(IF($B7738=O$1, ($A7738+$C7738) - MAX(IF($B$2:$B7737=$B7738, $A$2:$A7737+$C$2:$C7737)), "")*24*60, "")</f>
        <v/>
      </c>
      <c r="P7738" s="24" t="str" cm="1">
        <f t="array" ref="P7738">IFERROR(IF($B7738=P$1, ($A7738+$C7738) - MAX(IF($B$2:$B7737=$B7738, $A$2:$A7737+$C$2:$C7737)), "")*24*60, "")</f>
        <v/>
      </c>
      <c r="Q7738" s="24" t="str" cm="1">
        <f t="array" ref="Q7738">IFERROR(IF($B7738=Q$1, ($A7738+$C7738) - MAX(IF($B$2:$B7737=$B7738, $A$2:$A7737+$C$2:$C7737)), "")*24*60, "")</f>
        <v/>
      </c>
      <c r="R7738" s="24" t="str" cm="1">
        <f t="array" ref="R7738">IFERROR(IF($B7738=R$1, ($A7738+$C7738) - MAX(IF($B$2:$B7737=$B7738, $A$2:$A7737+$C$2:$C7737)), "")*24*60, "")</f>
        <v/>
      </c>
      <c r="S7738" s="24" t="str" cm="1">
        <f t="array" ref="S7738">IFERROR(IF($B7738=S$1, ($A7738+$C7738) - MAX(IF($B$2:$B7737=$B7738, $A$2:$A7737+$C$2:$C7737)), "")*24*60, "")</f>
        <v/>
      </c>
    </row>
    <row r="7739" spans="1:19" x14ac:dyDescent="0.2">
      <c r="A7739" s="12">
        <f t="shared" ref="A7739:C7739" si="1572">A7738</f>
        <v>46018</v>
      </c>
      <c r="B7739" s="5" t="str">
        <f t="shared" si="1572"/>
        <v>Northern Cardinal</v>
      </c>
      <c r="C7739" s="6">
        <f t="shared" si="1572"/>
        <v>0.29166666666666669</v>
      </c>
      <c r="D7739" s="5"/>
      <c r="E7739" s="5"/>
      <c r="F7739" s="5" t="s">
        <v>9</v>
      </c>
      <c r="G7739" s="15" t="s">
        <v>8</v>
      </c>
      <c r="H7739" s="24">
        <f t="shared" si="1540"/>
        <v>0</v>
      </c>
      <c r="I7739" s="24" cm="1">
        <f t="array" ref="I7739">IFERROR(IF($B7739=I$1, ($A7739+$C7739) - MAX(IF($B$2:$B7738=$B7739, $A$2:$A7738+$C$2:$C7738)), "")*24*60, "")</f>
        <v>0</v>
      </c>
      <c r="J7739" s="24" t="str" cm="1">
        <f t="array" ref="J7739">IFERROR(IF($B7739=J$1, ($A7739+$C7739) - MAX(IF($B$2:$B7738=$B7739, $A$2:$A7738+$C$2:$C7738)), "")*24*60, "")</f>
        <v/>
      </c>
      <c r="K7739" s="24" t="str" cm="1">
        <f t="array" ref="K7739">IFERROR(IF($B7739=K$1, ($A7739+$C7739) - MAX(IF($B$2:$B7738=$B7739, $A$2:$A7738+$C$2:$C7738)), "")*24*60, "")</f>
        <v/>
      </c>
      <c r="L7739" s="24" t="str" cm="1">
        <f t="array" ref="L7739">IFERROR(IF($B7739=L$1, ($A7739+$C7739) - MAX(IF($B$2:$B7738=$B7739, $A$2:$A7738+$C$2:$C7738)), "")*24*60, "")</f>
        <v/>
      </c>
      <c r="M7739" s="24" t="str" cm="1">
        <f t="array" ref="M7739">IFERROR(IF($B7739=M$1, ($A7739+$C7739) - MAX(IF($B$2:$B7738=$B7739, $A$2:$A7738+$C$2:$C7738)), "")*24*60, "")</f>
        <v/>
      </c>
      <c r="N7739" s="24" t="str" cm="1">
        <f t="array" ref="N7739">IFERROR(IF($B7739=N$1, ($A7739+$C7739) - MAX(IF($B$2:$B7738=$B7739, $A$2:$A7738+$C$2:$C7738)), "")*24*60, "")</f>
        <v/>
      </c>
      <c r="O7739" s="24" t="str" cm="1">
        <f t="array" ref="O7739">IFERROR(IF($B7739=O$1, ($A7739+$C7739) - MAX(IF($B$2:$B7738=$B7739, $A$2:$A7738+$C$2:$C7738)), "")*24*60, "")</f>
        <v/>
      </c>
      <c r="P7739" s="24" t="str" cm="1">
        <f t="array" ref="P7739">IFERROR(IF($B7739=P$1, ($A7739+$C7739) - MAX(IF($B$2:$B7738=$B7739, $A$2:$A7738+$C$2:$C7738)), "")*24*60, "")</f>
        <v/>
      </c>
      <c r="Q7739" s="24" t="str" cm="1">
        <f t="array" ref="Q7739">IFERROR(IF($B7739=Q$1, ($A7739+$C7739) - MAX(IF($B$2:$B7738=$B7739, $A$2:$A7738+$C$2:$C7738)), "")*24*60, "")</f>
        <v/>
      </c>
      <c r="R7739" s="24" t="str" cm="1">
        <f t="array" ref="R7739">IFERROR(IF($B7739=R$1, ($A7739+$C7739) - MAX(IF($B$2:$B7738=$B7739, $A$2:$A7738+$C$2:$C7738)), "")*24*60, "")</f>
        <v/>
      </c>
      <c r="S7739" s="24" t="str" cm="1">
        <f t="array" ref="S7739">IFERROR(IF($B7739=S$1, ($A7739+$C7739) - MAX(IF($B$2:$B7738=$B7739, $A$2:$A7738+$C$2:$C7738)), "")*24*60, "")</f>
        <v/>
      </c>
    </row>
    <row r="7740" spans="1:19" x14ac:dyDescent="0.2">
      <c r="A7740" s="12">
        <f t="shared" ref="A7740:C7740" si="1573">A7739</f>
        <v>46018</v>
      </c>
      <c r="B7740" s="5" t="str">
        <f t="shared" si="1573"/>
        <v>Northern Cardinal</v>
      </c>
      <c r="C7740" s="6">
        <f t="shared" si="1573"/>
        <v>0.29166666666666669</v>
      </c>
      <c r="D7740" s="5"/>
      <c r="E7740" s="5"/>
      <c r="F7740" s="5" t="s">
        <v>9</v>
      </c>
      <c r="G7740" s="15" t="s">
        <v>8</v>
      </c>
      <c r="H7740" s="24">
        <f t="shared" si="1540"/>
        <v>0</v>
      </c>
      <c r="I7740" s="24" cm="1">
        <f t="array" ref="I7740">IFERROR(IF($B7740=I$1, ($A7740+$C7740) - MAX(IF($B$2:$B7739=$B7740, $A$2:$A7739+$C$2:$C7739)), "")*24*60, "")</f>
        <v>0</v>
      </c>
      <c r="J7740" s="24" t="str" cm="1">
        <f t="array" ref="J7740">IFERROR(IF($B7740=J$1, ($A7740+$C7740) - MAX(IF($B$2:$B7739=$B7740, $A$2:$A7739+$C$2:$C7739)), "")*24*60, "")</f>
        <v/>
      </c>
      <c r="K7740" s="24" t="str" cm="1">
        <f t="array" ref="K7740">IFERROR(IF($B7740=K$1, ($A7740+$C7740) - MAX(IF($B$2:$B7739=$B7740, $A$2:$A7739+$C$2:$C7739)), "")*24*60, "")</f>
        <v/>
      </c>
      <c r="L7740" s="24" t="str" cm="1">
        <f t="array" ref="L7740">IFERROR(IF($B7740=L$1, ($A7740+$C7740) - MAX(IF($B$2:$B7739=$B7740, $A$2:$A7739+$C$2:$C7739)), "")*24*60, "")</f>
        <v/>
      </c>
      <c r="M7740" s="24" t="str" cm="1">
        <f t="array" ref="M7740">IFERROR(IF($B7740=M$1, ($A7740+$C7740) - MAX(IF($B$2:$B7739=$B7740, $A$2:$A7739+$C$2:$C7739)), "")*24*60, "")</f>
        <v/>
      </c>
      <c r="N7740" s="24" t="str" cm="1">
        <f t="array" ref="N7740">IFERROR(IF($B7740=N$1, ($A7740+$C7740) - MAX(IF($B$2:$B7739=$B7740, $A$2:$A7739+$C$2:$C7739)), "")*24*60, "")</f>
        <v/>
      </c>
      <c r="O7740" s="24" t="str" cm="1">
        <f t="array" ref="O7740">IFERROR(IF($B7740=O$1, ($A7740+$C7740) - MAX(IF($B$2:$B7739=$B7740, $A$2:$A7739+$C$2:$C7739)), "")*24*60, "")</f>
        <v/>
      </c>
      <c r="P7740" s="24" t="str" cm="1">
        <f t="array" ref="P7740">IFERROR(IF($B7740=P$1, ($A7740+$C7740) - MAX(IF($B$2:$B7739=$B7740, $A$2:$A7739+$C$2:$C7739)), "")*24*60, "")</f>
        <v/>
      </c>
      <c r="Q7740" s="24" t="str" cm="1">
        <f t="array" ref="Q7740">IFERROR(IF($B7740=Q$1, ($A7740+$C7740) - MAX(IF($B$2:$B7739=$B7740, $A$2:$A7739+$C$2:$C7739)), "")*24*60, "")</f>
        <v/>
      </c>
      <c r="R7740" s="24" t="str" cm="1">
        <f t="array" ref="R7740">IFERROR(IF($B7740=R$1, ($A7740+$C7740) - MAX(IF($B$2:$B7739=$B7740, $A$2:$A7739+$C$2:$C7739)), "")*24*60, "")</f>
        <v/>
      </c>
      <c r="S7740" s="24" t="str" cm="1">
        <f t="array" ref="S7740">IFERROR(IF($B7740=S$1, ($A7740+$C7740) - MAX(IF($B$2:$B7739=$B7740, $A$2:$A7739+$C$2:$C7739)), "")*24*60, "")</f>
        <v/>
      </c>
    </row>
    <row r="7741" spans="1:19" x14ac:dyDescent="0.2">
      <c r="A7741" s="12">
        <f t="shared" ref="A7741:C7741" si="1574">A7740</f>
        <v>46018</v>
      </c>
      <c r="B7741" s="5" t="str">
        <f t="shared" si="1574"/>
        <v>Northern Cardinal</v>
      </c>
      <c r="C7741" s="6">
        <f t="shared" si="1574"/>
        <v>0.29166666666666669</v>
      </c>
      <c r="D7741" s="5"/>
      <c r="E7741" s="5"/>
      <c r="F7741" s="5" t="s">
        <v>9</v>
      </c>
      <c r="G7741" s="15" t="s">
        <v>8</v>
      </c>
      <c r="H7741" s="24">
        <f t="shared" si="1540"/>
        <v>0</v>
      </c>
      <c r="I7741" s="24" cm="1">
        <f t="array" ref="I7741">IFERROR(IF($B7741=I$1, ($A7741+$C7741) - MAX(IF($B$2:$B7740=$B7741, $A$2:$A7740+$C$2:$C7740)), "")*24*60, "")</f>
        <v>0</v>
      </c>
      <c r="J7741" s="24" t="str" cm="1">
        <f t="array" ref="J7741">IFERROR(IF($B7741=J$1, ($A7741+$C7741) - MAX(IF($B$2:$B7740=$B7741, $A$2:$A7740+$C$2:$C7740)), "")*24*60, "")</f>
        <v/>
      </c>
      <c r="K7741" s="24" t="str" cm="1">
        <f t="array" ref="K7741">IFERROR(IF($B7741=K$1, ($A7741+$C7741) - MAX(IF($B$2:$B7740=$B7741, $A$2:$A7740+$C$2:$C7740)), "")*24*60, "")</f>
        <v/>
      </c>
      <c r="L7741" s="24" t="str" cm="1">
        <f t="array" ref="L7741">IFERROR(IF($B7741=L$1, ($A7741+$C7741) - MAX(IF($B$2:$B7740=$B7741, $A$2:$A7740+$C$2:$C7740)), "")*24*60, "")</f>
        <v/>
      </c>
      <c r="M7741" s="24" t="str" cm="1">
        <f t="array" ref="M7741">IFERROR(IF($B7741=M$1, ($A7741+$C7741) - MAX(IF($B$2:$B7740=$B7741, $A$2:$A7740+$C$2:$C7740)), "")*24*60, "")</f>
        <v/>
      </c>
      <c r="N7741" s="24" t="str" cm="1">
        <f t="array" ref="N7741">IFERROR(IF($B7741=N$1, ($A7741+$C7741) - MAX(IF($B$2:$B7740=$B7741, $A$2:$A7740+$C$2:$C7740)), "")*24*60, "")</f>
        <v/>
      </c>
      <c r="O7741" s="24" t="str" cm="1">
        <f t="array" ref="O7741">IFERROR(IF($B7741=O$1, ($A7741+$C7741) - MAX(IF($B$2:$B7740=$B7741, $A$2:$A7740+$C$2:$C7740)), "")*24*60, "")</f>
        <v/>
      </c>
      <c r="P7741" s="24" t="str" cm="1">
        <f t="array" ref="P7741">IFERROR(IF($B7741=P$1, ($A7741+$C7741) - MAX(IF($B$2:$B7740=$B7741, $A$2:$A7740+$C$2:$C7740)), "")*24*60, "")</f>
        <v/>
      </c>
      <c r="Q7741" s="24" t="str" cm="1">
        <f t="array" ref="Q7741">IFERROR(IF($B7741=Q$1, ($A7741+$C7741) - MAX(IF($B$2:$B7740=$B7741, $A$2:$A7740+$C$2:$C7740)), "")*24*60, "")</f>
        <v/>
      </c>
      <c r="R7741" s="24" t="str" cm="1">
        <f t="array" ref="R7741">IFERROR(IF($B7741=R$1, ($A7741+$C7741) - MAX(IF($B$2:$B7740=$B7741, $A$2:$A7740+$C$2:$C7740)), "")*24*60, "")</f>
        <v/>
      </c>
      <c r="S7741" s="24" t="str" cm="1">
        <f t="array" ref="S7741">IFERROR(IF($B7741=S$1, ($A7741+$C7741) - MAX(IF($B$2:$B7740=$B7741, $A$2:$A7740+$C$2:$C7740)), "")*24*60, "")</f>
        <v/>
      </c>
    </row>
    <row r="7742" spans="1:19" x14ac:dyDescent="0.2">
      <c r="A7742" s="12">
        <f t="shared" ref="A7742:C7742" si="1575">A7741</f>
        <v>46018</v>
      </c>
      <c r="B7742" s="5" t="str">
        <f t="shared" si="1575"/>
        <v>Northern Cardinal</v>
      </c>
      <c r="C7742" s="6">
        <f t="shared" si="1575"/>
        <v>0.29166666666666669</v>
      </c>
      <c r="D7742" s="5"/>
      <c r="E7742" s="5"/>
      <c r="F7742" s="5" t="s">
        <v>9</v>
      </c>
      <c r="G7742" s="15" t="s">
        <v>8</v>
      </c>
      <c r="H7742" s="24">
        <f t="shared" si="1540"/>
        <v>0</v>
      </c>
      <c r="I7742" s="24" cm="1">
        <f t="array" ref="I7742">IFERROR(IF($B7742=I$1, ($A7742+$C7742) - MAX(IF($B$2:$B7741=$B7742, $A$2:$A7741+$C$2:$C7741)), "")*24*60, "")</f>
        <v>0</v>
      </c>
      <c r="J7742" s="24" t="str" cm="1">
        <f t="array" ref="J7742">IFERROR(IF($B7742=J$1, ($A7742+$C7742) - MAX(IF($B$2:$B7741=$B7742, $A$2:$A7741+$C$2:$C7741)), "")*24*60, "")</f>
        <v/>
      </c>
      <c r="K7742" s="24" t="str" cm="1">
        <f t="array" ref="K7742">IFERROR(IF($B7742=K$1, ($A7742+$C7742) - MAX(IF($B$2:$B7741=$B7742, $A$2:$A7741+$C$2:$C7741)), "")*24*60, "")</f>
        <v/>
      </c>
      <c r="L7742" s="24" t="str" cm="1">
        <f t="array" ref="L7742">IFERROR(IF($B7742=L$1, ($A7742+$C7742) - MAX(IF($B$2:$B7741=$B7742, $A$2:$A7741+$C$2:$C7741)), "")*24*60, "")</f>
        <v/>
      </c>
      <c r="M7742" s="24" t="str" cm="1">
        <f t="array" ref="M7742">IFERROR(IF($B7742=M$1, ($A7742+$C7742) - MAX(IF($B$2:$B7741=$B7742, $A$2:$A7741+$C$2:$C7741)), "")*24*60, "")</f>
        <v/>
      </c>
      <c r="N7742" s="24" t="str" cm="1">
        <f t="array" ref="N7742">IFERROR(IF($B7742=N$1, ($A7742+$C7742) - MAX(IF($B$2:$B7741=$B7742, $A$2:$A7741+$C$2:$C7741)), "")*24*60, "")</f>
        <v/>
      </c>
      <c r="O7742" s="24" t="str" cm="1">
        <f t="array" ref="O7742">IFERROR(IF($B7742=O$1, ($A7742+$C7742) - MAX(IF($B$2:$B7741=$B7742, $A$2:$A7741+$C$2:$C7741)), "")*24*60, "")</f>
        <v/>
      </c>
      <c r="P7742" s="24" t="str" cm="1">
        <f t="array" ref="P7742">IFERROR(IF($B7742=P$1, ($A7742+$C7742) - MAX(IF($B$2:$B7741=$B7742, $A$2:$A7741+$C$2:$C7741)), "")*24*60, "")</f>
        <v/>
      </c>
      <c r="Q7742" s="24" t="str" cm="1">
        <f t="array" ref="Q7742">IFERROR(IF($B7742=Q$1, ($A7742+$C7742) - MAX(IF($B$2:$B7741=$B7742, $A$2:$A7741+$C$2:$C7741)), "")*24*60, "")</f>
        <v/>
      </c>
      <c r="R7742" s="24" t="str" cm="1">
        <f t="array" ref="R7742">IFERROR(IF($B7742=R$1, ($A7742+$C7742) - MAX(IF($B$2:$B7741=$B7742, $A$2:$A7741+$C$2:$C7741)), "")*24*60, "")</f>
        <v/>
      </c>
      <c r="S7742" s="24" t="str" cm="1">
        <f t="array" ref="S7742">IFERROR(IF($B7742=S$1, ($A7742+$C7742) - MAX(IF($B$2:$B7741=$B7742, $A$2:$A7741+$C$2:$C7741)), "")*24*60, "")</f>
        <v/>
      </c>
    </row>
    <row r="7743" spans="1:19" x14ac:dyDescent="0.2">
      <c r="A7743" s="12">
        <f t="shared" ref="A7743:C7743" si="1576">A7742</f>
        <v>46018</v>
      </c>
      <c r="B7743" s="5" t="str">
        <f t="shared" si="1576"/>
        <v>Northern Cardinal</v>
      </c>
      <c r="C7743" s="6">
        <f t="shared" si="1576"/>
        <v>0.29166666666666669</v>
      </c>
      <c r="D7743" s="5"/>
      <c r="E7743" s="5"/>
      <c r="F7743" s="5" t="s">
        <v>9</v>
      </c>
      <c r="G7743" s="15" t="s">
        <v>8</v>
      </c>
      <c r="H7743" s="24">
        <f t="shared" si="1540"/>
        <v>0</v>
      </c>
      <c r="I7743" s="24" cm="1">
        <f t="array" ref="I7743">IFERROR(IF($B7743=I$1, ($A7743+$C7743) - MAX(IF($B$2:$B7742=$B7743, $A$2:$A7742+$C$2:$C7742)), "")*24*60, "")</f>
        <v>0</v>
      </c>
      <c r="J7743" s="24" t="str" cm="1">
        <f t="array" ref="J7743">IFERROR(IF($B7743=J$1, ($A7743+$C7743) - MAX(IF($B$2:$B7742=$B7743, $A$2:$A7742+$C$2:$C7742)), "")*24*60, "")</f>
        <v/>
      </c>
      <c r="K7743" s="24" t="str" cm="1">
        <f t="array" ref="K7743">IFERROR(IF($B7743=K$1, ($A7743+$C7743) - MAX(IF($B$2:$B7742=$B7743, $A$2:$A7742+$C$2:$C7742)), "")*24*60, "")</f>
        <v/>
      </c>
      <c r="L7743" s="24" t="str" cm="1">
        <f t="array" ref="L7743">IFERROR(IF($B7743=L$1, ($A7743+$C7743) - MAX(IF($B$2:$B7742=$B7743, $A$2:$A7742+$C$2:$C7742)), "")*24*60, "")</f>
        <v/>
      </c>
      <c r="M7743" s="24" t="str" cm="1">
        <f t="array" ref="M7743">IFERROR(IF($B7743=M$1, ($A7743+$C7743) - MAX(IF($B$2:$B7742=$B7743, $A$2:$A7742+$C$2:$C7742)), "")*24*60, "")</f>
        <v/>
      </c>
      <c r="N7743" s="24" t="str" cm="1">
        <f t="array" ref="N7743">IFERROR(IF($B7743=N$1, ($A7743+$C7743) - MAX(IF($B$2:$B7742=$B7743, $A$2:$A7742+$C$2:$C7742)), "")*24*60, "")</f>
        <v/>
      </c>
      <c r="O7743" s="24" t="str" cm="1">
        <f t="array" ref="O7743">IFERROR(IF($B7743=O$1, ($A7743+$C7743) - MAX(IF($B$2:$B7742=$B7743, $A$2:$A7742+$C$2:$C7742)), "")*24*60, "")</f>
        <v/>
      </c>
      <c r="P7743" s="24" t="str" cm="1">
        <f t="array" ref="P7743">IFERROR(IF($B7743=P$1, ($A7743+$C7743) - MAX(IF($B$2:$B7742=$B7743, $A$2:$A7742+$C$2:$C7742)), "")*24*60, "")</f>
        <v/>
      </c>
      <c r="Q7743" s="24" t="str" cm="1">
        <f t="array" ref="Q7743">IFERROR(IF($B7743=Q$1, ($A7743+$C7743) - MAX(IF($B$2:$B7742=$B7743, $A$2:$A7742+$C$2:$C7742)), "")*24*60, "")</f>
        <v/>
      </c>
      <c r="R7743" s="24" t="str" cm="1">
        <f t="array" ref="R7743">IFERROR(IF($B7743=R$1, ($A7743+$C7743) - MAX(IF($B$2:$B7742=$B7743, $A$2:$A7742+$C$2:$C7742)), "")*24*60, "")</f>
        <v/>
      </c>
      <c r="S7743" s="24" t="str" cm="1">
        <f t="array" ref="S7743">IFERROR(IF($B7743=S$1, ($A7743+$C7743) - MAX(IF($B$2:$B7742=$B7743, $A$2:$A7742+$C$2:$C7742)), "")*24*60, "")</f>
        <v/>
      </c>
    </row>
    <row r="7744" spans="1:19" x14ac:dyDescent="0.2">
      <c r="A7744" s="12">
        <f t="shared" ref="A7744:C7744" si="1577">A7743</f>
        <v>46018</v>
      </c>
      <c r="B7744" s="5" t="str">
        <f t="shared" si="1577"/>
        <v>Northern Cardinal</v>
      </c>
      <c r="C7744" s="6">
        <f t="shared" si="1577"/>
        <v>0.29166666666666669</v>
      </c>
      <c r="D7744" s="5"/>
      <c r="E7744" s="5"/>
      <c r="F7744" s="5" t="s">
        <v>9</v>
      </c>
      <c r="G7744" s="15" t="s">
        <v>8</v>
      </c>
      <c r="H7744" s="24">
        <f t="shared" si="1540"/>
        <v>0</v>
      </c>
      <c r="I7744" s="24" cm="1">
        <f t="array" ref="I7744">IFERROR(IF($B7744=I$1, ($A7744+$C7744) - MAX(IF($B$2:$B7743=$B7744, $A$2:$A7743+$C$2:$C7743)), "")*24*60, "")</f>
        <v>0</v>
      </c>
      <c r="J7744" s="24" t="str" cm="1">
        <f t="array" ref="J7744">IFERROR(IF($B7744=J$1, ($A7744+$C7744) - MAX(IF($B$2:$B7743=$B7744, $A$2:$A7743+$C$2:$C7743)), "")*24*60, "")</f>
        <v/>
      </c>
      <c r="K7744" s="24" t="str" cm="1">
        <f t="array" ref="K7744">IFERROR(IF($B7744=K$1, ($A7744+$C7744) - MAX(IF($B$2:$B7743=$B7744, $A$2:$A7743+$C$2:$C7743)), "")*24*60, "")</f>
        <v/>
      </c>
      <c r="L7744" s="24" t="str" cm="1">
        <f t="array" ref="L7744">IFERROR(IF($B7744=L$1, ($A7744+$C7744) - MAX(IF($B$2:$B7743=$B7744, $A$2:$A7743+$C$2:$C7743)), "")*24*60, "")</f>
        <v/>
      </c>
      <c r="M7744" s="24" t="str" cm="1">
        <f t="array" ref="M7744">IFERROR(IF($B7744=M$1, ($A7744+$C7744) - MAX(IF($B$2:$B7743=$B7744, $A$2:$A7743+$C$2:$C7743)), "")*24*60, "")</f>
        <v/>
      </c>
      <c r="N7744" s="24" t="str" cm="1">
        <f t="array" ref="N7744">IFERROR(IF($B7744=N$1, ($A7744+$C7744) - MAX(IF($B$2:$B7743=$B7744, $A$2:$A7743+$C$2:$C7743)), "")*24*60, "")</f>
        <v/>
      </c>
      <c r="O7744" s="24" t="str" cm="1">
        <f t="array" ref="O7744">IFERROR(IF($B7744=O$1, ($A7744+$C7744) - MAX(IF($B$2:$B7743=$B7744, $A$2:$A7743+$C$2:$C7743)), "")*24*60, "")</f>
        <v/>
      </c>
      <c r="P7744" s="24" t="str" cm="1">
        <f t="array" ref="P7744">IFERROR(IF($B7744=P$1, ($A7744+$C7744) - MAX(IF($B$2:$B7743=$B7744, $A$2:$A7743+$C$2:$C7743)), "")*24*60, "")</f>
        <v/>
      </c>
      <c r="Q7744" s="24" t="str" cm="1">
        <f t="array" ref="Q7744">IFERROR(IF($B7744=Q$1, ($A7744+$C7744) - MAX(IF($B$2:$B7743=$B7744, $A$2:$A7743+$C$2:$C7743)), "")*24*60, "")</f>
        <v/>
      </c>
      <c r="R7744" s="24" t="str" cm="1">
        <f t="array" ref="R7744">IFERROR(IF($B7744=R$1, ($A7744+$C7744) - MAX(IF($B$2:$B7743=$B7744, $A$2:$A7743+$C$2:$C7743)), "")*24*60, "")</f>
        <v/>
      </c>
      <c r="S7744" s="24" t="str" cm="1">
        <f t="array" ref="S7744">IFERROR(IF($B7744=S$1, ($A7744+$C7744) - MAX(IF($B$2:$B7743=$B7744, $A$2:$A7743+$C$2:$C7743)), "")*24*60, "")</f>
        <v/>
      </c>
    </row>
    <row r="7745" spans="1:19" x14ac:dyDescent="0.2">
      <c r="A7745" s="12">
        <f t="shared" ref="A7745:C7745" si="1578">A7744</f>
        <v>46018</v>
      </c>
      <c r="B7745" s="5" t="str">
        <f t="shared" si="1578"/>
        <v>Northern Cardinal</v>
      </c>
      <c r="C7745" s="6">
        <f t="shared" si="1578"/>
        <v>0.29166666666666669</v>
      </c>
      <c r="D7745" s="5"/>
      <c r="E7745" s="5"/>
      <c r="F7745" s="5" t="s">
        <v>9</v>
      </c>
      <c r="G7745" s="15" t="s">
        <v>8</v>
      </c>
      <c r="H7745" s="24">
        <f t="shared" si="1540"/>
        <v>0</v>
      </c>
      <c r="I7745" s="24" cm="1">
        <f t="array" ref="I7745">IFERROR(IF($B7745=I$1, ($A7745+$C7745) - MAX(IF($B$2:$B7744=$B7745, $A$2:$A7744+$C$2:$C7744)), "")*24*60, "")</f>
        <v>0</v>
      </c>
      <c r="J7745" s="24" t="str" cm="1">
        <f t="array" ref="J7745">IFERROR(IF($B7745=J$1, ($A7745+$C7745) - MAX(IF($B$2:$B7744=$B7745, $A$2:$A7744+$C$2:$C7744)), "")*24*60, "")</f>
        <v/>
      </c>
      <c r="K7745" s="24" t="str" cm="1">
        <f t="array" ref="K7745">IFERROR(IF($B7745=K$1, ($A7745+$C7745) - MAX(IF($B$2:$B7744=$B7745, $A$2:$A7744+$C$2:$C7744)), "")*24*60, "")</f>
        <v/>
      </c>
      <c r="L7745" s="24" t="str" cm="1">
        <f t="array" ref="L7745">IFERROR(IF($B7745=L$1, ($A7745+$C7745) - MAX(IF($B$2:$B7744=$B7745, $A$2:$A7744+$C$2:$C7744)), "")*24*60, "")</f>
        <v/>
      </c>
      <c r="M7745" s="24" t="str" cm="1">
        <f t="array" ref="M7745">IFERROR(IF($B7745=M$1, ($A7745+$C7745) - MAX(IF($B$2:$B7744=$B7745, $A$2:$A7744+$C$2:$C7744)), "")*24*60, "")</f>
        <v/>
      </c>
      <c r="N7745" s="24" t="str" cm="1">
        <f t="array" ref="N7745">IFERROR(IF($B7745=N$1, ($A7745+$C7745) - MAX(IF($B$2:$B7744=$B7745, $A$2:$A7744+$C$2:$C7744)), "")*24*60, "")</f>
        <v/>
      </c>
      <c r="O7745" s="24" t="str" cm="1">
        <f t="array" ref="O7745">IFERROR(IF($B7745=O$1, ($A7745+$C7745) - MAX(IF($B$2:$B7744=$B7745, $A$2:$A7744+$C$2:$C7744)), "")*24*60, "")</f>
        <v/>
      </c>
      <c r="P7745" s="24" t="str" cm="1">
        <f t="array" ref="P7745">IFERROR(IF($B7745=P$1, ($A7745+$C7745) - MAX(IF($B$2:$B7744=$B7745, $A$2:$A7744+$C$2:$C7744)), "")*24*60, "")</f>
        <v/>
      </c>
      <c r="Q7745" s="24" t="str" cm="1">
        <f t="array" ref="Q7745">IFERROR(IF($B7745=Q$1, ($A7745+$C7745) - MAX(IF($B$2:$B7744=$B7745, $A$2:$A7744+$C$2:$C7744)), "")*24*60, "")</f>
        <v/>
      </c>
      <c r="R7745" s="24" t="str" cm="1">
        <f t="array" ref="R7745">IFERROR(IF($B7745=R$1, ($A7745+$C7745) - MAX(IF($B$2:$B7744=$B7745, $A$2:$A7744+$C$2:$C7744)), "")*24*60, "")</f>
        <v/>
      </c>
      <c r="S7745" s="24" t="str" cm="1">
        <f t="array" ref="S7745">IFERROR(IF($B7745=S$1, ($A7745+$C7745) - MAX(IF($B$2:$B7744=$B7745, $A$2:$A7744+$C$2:$C7744)),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96"/>
  <sheetViews>
    <sheetView tabSelected="1" zoomScale="120" zoomScaleNormal="120" workbookViewId="0">
      <pane ySplit="1" topLeftCell="A273" activePane="bottomLeft" state="frozen"/>
      <selection pane="bottomLeft" activeCell="A295" sqref="A295:E296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10">
        <v>46017</v>
      </c>
      <c r="B296" s="11" t="s">
        <v>3</v>
      </c>
      <c r="C296" s="11">
        <f>COUNTIFS(RawData!$B:$B, $B296, RawData!$A:$A, DailySummaries!$A296)</f>
        <v>28</v>
      </c>
      <c r="D296" s="11">
        <f>SUMIFS(RawData!$D:$D,RawData!$B:$B,$B296,RawData!$A:$A,DailySummaries!$A296)+1</f>
        <v>1</v>
      </c>
      <c r="E296" s="11">
        <f>SUMIFS(RawData!$E:$E,RawData!$B:$B,$B296,RawData!$A:$A,DailySummaries!$A296)+1</f>
        <v>82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2025-12-27T13:33:18Z</dcterms:modified>
</cp:coreProperties>
</file>
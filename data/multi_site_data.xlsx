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1DE43DC9-FF01-6F44-A48C-3B6327C1DB84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3" i="2" l="1"/>
  <c r="D313" i="2"/>
  <c r="C313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B8129" i="1" l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B8130" i="1" l="1"/>
  <c r="J8129" i="1" a="1"/>
  <c r="J8129" i="1" s="1"/>
  <c r="P8129" i="1" a="1"/>
  <c r="P8129" i="1" s="1"/>
  <c r="K8129" i="1" a="1"/>
  <c r="K8129" i="1" s="1"/>
  <c r="R8129" i="1" a="1"/>
  <c r="R8129" i="1" s="1"/>
  <c r="S8129" i="1" a="1"/>
  <c r="S8129" i="1" s="1"/>
  <c r="M8129" i="1" a="1"/>
  <c r="M8129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B8131" i="1" l="1"/>
  <c r="J8130" i="1" a="1"/>
  <c r="J8130" i="1" s="1"/>
  <c r="P8130" i="1" a="1"/>
  <c r="P8130" i="1" s="1"/>
  <c r="K8130" i="1" a="1"/>
  <c r="K8130" i="1" s="1"/>
  <c r="R8130" i="1" a="1"/>
  <c r="R8130" i="1" s="1"/>
  <c r="M8130" i="1" a="1"/>
  <c r="M8130" i="1" s="1"/>
  <c r="S8130" i="1" a="1"/>
  <c r="S8130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B8132" i="1" l="1"/>
  <c r="P8131" i="1" a="1"/>
  <c r="P8131" i="1" s="1"/>
  <c r="J8131" i="1" a="1"/>
  <c r="J8131" i="1" s="1"/>
  <c r="K8131" i="1" a="1"/>
  <c r="K8131" i="1" s="1"/>
  <c r="R8131" i="1" a="1"/>
  <c r="R8131" i="1" s="1"/>
  <c r="M8131" i="1" a="1"/>
  <c r="M8131" i="1" s="1"/>
  <c r="S8131" i="1" a="1"/>
  <c r="S8131" i="1" s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B8133" i="1" l="1"/>
  <c r="P8132" i="1" a="1"/>
  <c r="P8132" i="1" s="1"/>
  <c r="J8132" i="1" a="1"/>
  <c r="J8132" i="1" s="1"/>
  <c r="K8132" i="1" a="1"/>
  <c r="K8132" i="1" s="1"/>
  <c r="R8132" i="1" a="1"/>
  <c r="R8132" i="1" s="1"/>
  <c r="S8132" i="1" a="1"/>
  <c r="S8132" i="1" s="1"/>
  <c r="M8132" i="1" a="1"/>
  <c r="M8132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B8134" i="1" l="1"/>
  <c r="J8133" i="1" a="1"/>
  <c r="J8133" i="1" s="1"/>
  <c r="P8133" i="1" a="1"/>
  <c r="P8133" i="1" s="1"/>
  <c r="K8133" i="1" a="1"/>
  <c r="K8133" i="1" s="1"/>
  <c r="R8133" i="1" a="1"/>
  <c r="R8133" i="1" s="1"/>
  <c r="S8133" i="1" a="1"/>
  <c r="S8133" i="1" s="1"/>
  <c r="M8133" i="1" a="1"/>
  <c r="M813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B8135" i="1" l="1"/>
  <c r="J8134" i="1" a="1"/>
  <c r="J8134" i="1" s="1"/>
  <c r="P8134" i="1" a="1"/>
  <c r="P8134" i="1" s="1"/>
  <c r="K8134" i="1" a="1"/>
  <c r="K8134" i="1" s="1"/>
  <c r="R8134" i="1" a="1"/>
  <c r="R8134" i="1" s="1"/>
  <c r="M8134" i="1" a="1"/>
  <c r="M8134" i="1" s="1"/>
  <c r="S8134" i="1" a="1"/>
  <c r="S8134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B8136" i="1" l="1"/>
  <c r="P8135" i="1" a="1"/>
  <c r="P8135" i="1" s="1"/>
  <c r="J8135" i="1" a="1"/>
  <c r="J8135" i="1" s="1"/>
  <c r="K8135" i="1" a="1"/>
  <c r="K8135" i="1" s="1"/>
  <c r="R8135" i="1" a="1"/>
  <c r="R8135" i="1" s="1"/>
  <c r="M8135" i="1" a="1"/>
  <c r="M8135" i="1" s="1"/>
  <c r="S8135" i="1" a="1"/>
  <c r="S813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M8136" i="1" l="1" a="1"/>
  <c r="M8136" i="1" s="1"/>
  <c r="B8137" i="1"/>
  <c r="P8136" i="1" a="1"/>
  <c r="P8136" i="1" s="1"/>
  <c r="J8136" i="1" a="1"/>
  <c r="J8136" i="1" s="1"/>
  <c r="K8136" i="1" a="1"/>
  <c r="K8136" i="1" s="1"/>
  <c r="R8136" i="1" a="1"/>
  <c r="R8136" i="1" s="1"/>
  <c r="S8136" i="1" a="1"/>
  <c r="S8136" i="1" s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B8138" i="1" l="1"/>
  <c r="M8137" i="1" a="1"/>
  <c r="M8137" i="1" s="1"/>
  <c r="R8137" i="1" a="1"/>
  <c r="R8137" i="1" s="1"/>
  <c r="J8137" i="1" a="1"/>
  <c r="J8137" i="1" s="1"/>
  <c r="K8137" i="1" a="1"/>
  <c r="K8137" i="1" s="1"/>
  <c r="S8137" i="1" a="1"/>
  <c r="S8137" i="1" s="1"/>
  <c r="P8137" i="1" a="1"/>
  <c r="P8137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P8138" i="1" l="1" a="1"/>
  <c r="P8138" i="1" s="1"/>
  <c r="B8139" i="1"/>
  <c r="M8138" i="1" a="1"/>
  <c r="M8138" i="1" s="1"/>
  <c r="J8138" i="1" a="1"/>
  <c r="J8138" i="1" s="1"/>
  <c r="R8138" i="1" a="1"/>
  <c r="R8138" i="1" s="1"/>
  <c r="K8138" i="1" a="1"/>
  <c r="K8138" i="1" s="1"/>
  <c r="S8138" i="1" a="1"/>
  <c r="S8138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K8139" i="1" l="1" a="1"/>
  <c r="K8139" i="1" s="1"/>
  <c r="S8139" i="1" a="1"/>
  <c r="S8139" i="1" s="1"/>
  <c r="P8139" i="1" a="1"/>
  <c r="P8139" i="1" s="1"/>
  <c r="B8140" i="1"/>
  <c r="M8139" i="1" a="1"/>
  <c r="M8139" i="1" s="1"/>
  <c r="J8139" i="1" a="1"/>
  <c r="J8139" i="1" s="1"/>
  <c r="R8139" i="1" a="1"/>
  <c r="R8139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J8140" i="1" l="1" a="1"/>
  <c r="J8140" i="1" s="1"/>
  <c r="R8140" i="1" a="1"/>
  <c r="R8140" i="1" s="1"/>
  <c r="K8140" i="1" a="1"/>
  <c r="K8140" i="1" s="1"/>
  <c r="S8140" i="1" a="1"/>
  <c r="S8140" i="1" s="1"/>
  <c r="P8140" i="1" a="1"/>
  <c r="P8140" i="1" s="1"/>
  <c r="B8141" i="1"/>
  <c r="M8140" i="1" a="1"/>
  <c r="M8140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B8142" i="1" l="1"/>
  <c r="M8141" i="1" a="1"/>
  <c r="M8141" i="1" s="1"/>
  <c r="J8141" i="1" a="1"/>
  <c r="J8141" i="1" s="1"/>
  <c r="R8141" i="1" a="1"/>
  <c r="R8141" i="1" s="1"/>
  <c r="K8141" i="1" a="1"/>
  <c r="K8141" i="1" s="1"/>
  <c r="S8141" i="1" a="1"/>
  <c r="S8141" i="1" s="1"/>
  <c r="P8141" i="1" a="1"/>
  <c r="P8141" i="1" s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P8142" i="1" l="1" a="1"/>
  <c r="P8142" i="1" s="1"/>
  <c r="B8143" i="1"/>
  <c r="M8142" i="1" a="1"/>
  <c r="M8142" i="1" s="1"/>
  <c r="J8142" i="1" a="1"/>
  <c r="J8142" i="1" s="1"/>
  <c r="R8142" i="1" a="1"/>
  <c r="R8142" i="1" s="1"/>
  <c r="K8142" i="1" a="1"/>
  <c r="K8142" i="1" s="1"/>
  <c r="S8142" i="1" a="1"/>
  <c r="S8142" i="1" s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K8143" i="1" l="1" a="1"/>
  <c r="K8143" i="1" s="1"/>
  <c r="S8143" i="1" a="1"/>
  <c r="S8143" i="1" s="1"/>
  <c r="P8143" i="1" a="1"/>
  <c r="P8143" i="1" s="1"/>
  <c r="B8144" i="1"/>
  <c r="M8143" i="1" a="1"/>
  <c r="M8143" i="1" s="1"/>
  <c r="J8143" i="1" a="1"/>
  <c r="J8143" i="1" s="1"/>
  <c r="R8143" i="1" a="1"/>
  <c r="R814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J8144" i="1" l="1" a="1"/>
  <c r="J8144" i="1" s="1"/>
  <c r="R8144" i="1" a="1"/>
  <c r="R8144" i="1" s="1"/>
  <c r="K8144" i="1" a="1"/>
  <c r="K8144" i="1" s="1"/>
  <c r="S8144" i="1" a="1"/>
  <c r="S8144" i="1" s="1"/>
  <c r="P8144" i="1" a="1"/>
  <c r="P8144" i="1" s="1"/>
  <c r="B8145" i="1"/>
  <c r="M8144" i="1" a="1"/>
  <c r="M8144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B8146" i="1" l="1"/>
  <c r="M8145" i="1" a="1"/>
  <c r="M8145" i="1" s="1"/>
  <c r="J8145" i="1" a="1"/>
  <c r="J8145" i="1" s="1"/>
  <c r="R8145" i="1" a="1"/>
  <c r="R8145" i="1" s="1"/>
  <c r="K8145" i="1" a="1"/>
  <c r="K8145" i="1" s="1"/>
  <c r="S8145" i="1" a="1"/>
  <c r="S8145" i="1" s="1"/>
  <c r="P8145" i="1" a="1"/>
  <c r="P814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P8146" i="1" l="1" a="1"/>
  <c r="P8146" i="1" s="1"/>
  <c r="B8147" i="1"/>
  <c r="M8146" i="1" a="1"/>
  <c r="M8146" i="1" s="1"/>
  <c r="J8146" i="1" a="1"/>
  <c r="J8146" i="1" s="1"/>
  <c r="R8146" i="1" a="1"/>
  <c r="R8146" i="1" s="1"/>
  <c r="K8146" i="1" a="1"/>
  <c r="K8146" i="1" s="1"/>
  <c r="S8146" i="1" a="1"/>
  <c r="S8146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K8147" i="1" l="1" a="1"/>
  <c r="K8147" i="1" s="1"/>
  <c r="S8147" i="1" a="1"/>
  <c r="S8147" i="1" s="1"/>
  <c r="P8147" i="1" a="1"/>
  <c r="P8147" i="1" s="1"/>
  <c r="B8148" i="1"/>
  <c r="M8147" i="1" a="1"/>
  <c r="M8147" i="1" s="1"/>
  <c r="J8147" i="1" a="1"/>
  <c r="J8147" i="1" s="1"/>
  <c r="R8147" i="1" a="1"/>
  <c r="R814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8130" i="1" l="1"/>
  <c r="J8148" i="1" a="1"/>
  <c r="J8148" i="1" s="1"/>
  <c r="R8148" i="1" a="1"/>
  <c r="R8148" i="1" s="1"/>
  <c r="K8148" i="1" a="1"/>
  <c r="K8148" i="1" s="1"/>
  <c r="S8148" i="1" a="1"/>
  <c r="S8148" i="1" s="1"/>
  <c r="P8148" i="1" a="1"/>
  <c r="P8148" i="1" s="1"/>
  <c r="B8149" i="1"/>
  <c r="M8148" i="1" a="1"/>
  <c r="M814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B8150" i="1" l="1"/>
  <c r="M8149" i="1" a="1"/>
  <c r="M8149" i="1" s="1"/>
  <c r="J8149" i="1" a="1"/>
  <c r="J8149" i="1" s="1"/>
  <c r="R8149" i="1" a="1"/>
  <c r="R8149" i="1" s="1"/>
  <c r="K8149" i="1" a="1"/>
  <c r="K8149" i="1" s="1"/>
  <c r="S8149" i="1" a="1"/>
  <c r="S8149" i="1" s="1"/>
  <c r="P8149" i="1" a="1"/>
  <c r="P8149" i="1" s="1"/>
  <c r="A8131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P8150" i="1" l="1" a="1"/>
  <c r="P8150" i="1" s="1"/>
  <c r="B8151" i="1"/>
  <c r="M8150" i="1" a="1"/>
  <c r="M8150" i="1" s="1"/>
  <c r="J8150" i="1" a="1"/>
  <c r="J8150" i="1" s="1"/>
  <c r="R8150" i="1" a="1"/>
  <c r="R8150" i="1" s="1"/>
  <c r="K8150" i="1" a="1"/>
  <c r="K8150" i="1" s="1"/>
  <c r="S8150" i="1" a="1"/>
  <c r="S8150" i="1" s="1"/>
  <c r="A8132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C8129" i="1" l="1"/>
  <c r="A8133" i="1"/>
  <c r="K8151" i="1" a="1"/>
  <c r="K8151" i="1" s="1"/>
  <c r="S8151" i="1" a="1"/>
  <c r="S8151" i="1" s="1"/>
  <c r="P8151" i="1" a="1"/>
  <c r="P8151" i="1" s="1"/>
  <c r="B8152" i="1"/>
  <c r="M8151" i="1" a="1"/>
  <c r="M8151" i="1" s="1"/>
  <c r="J8151" i="1" a="1"/>
  <c r="J8151" i="1" s="1"/>
  <c r="R8151" i="1" a="1"/>
  <c r="R815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Q8129" i="1" l="1" a="1"/>
  <c r="Q8129" i="1" s="1"/>
  <c r="N8129" i="1" a="1"/>
  <c r="N8129" i="1" s="1"/>
  <c r="L8129" i="1" a="1"/>
  <c r="L8129" i="1" s="1"/>
  <c r="I8129" i="1" a="1"/>
  <c r="I8129" i="1" s="1"/>
  <c r="O8129" i="1" a="1"/>
  <c r="O8129" i="1" s="1"/>
  <c r="H8129" i="1"/>
  <c r="C8130" i="1"/>
  <c r="A8134" i="1"/>
  <c r="J8152" i="1" a="1"/>
  <c r="J8152" i="1" s="1"/>
  <c r="R8152" i="1" a="1"/>
  <c r="R8152" i="1" s="1"/>
  <c r="K8152" i="1" a="1"/>
  <c r="K8152" i="1" s="1"/>
  <c r="S8152" i="1" a="1"/>
  <c r="S8152" i="1" s="1"/>
  <c r="P8152" i="1" a="1"/>
  <c r="P8152" i="1" s="1"/>
  <c r="B8153" i="1"/>
  <c r="M8152" i="1" a="1"/>
  <c r="M815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Q8130" i="1" l="1" a="1"/>
  <c r="Q8130" i="1" s="1"/>
  <c r="N8130" i="1" a="1"/>
  <c r="N8130" i="1" s="1"/>
  <c r="L8130" i="1" a="1"/>
  <c r="L8130" i="1" s="1"/>
  <c r="I8130" i="1" a="1"/>
  <c r="I8130" i="1" s="1"/>
  <c r="C8131" i="1"/>
  <c r="O8130" i="1" a="1"/>
  <c r="O8130" i="1" s="1"/>
  <c r="H8130" i="1"/>
  <c r="B8154" i="1"/>
  <c r="M8153" i="1" a="1"/>
  <c r="M8153" i="1" s="1"/>
  <c r="J8153" i="1" a="1"/>
  <c r="J8153" i="1" s="1"/>
  <c r="R8153" i="1" a="1"/>
  <c r="R8153" i="1" s="1"/>
  <c r="K8153" i="1" a="1"/>
  <c r="K8153" i="1" s="1"/>
  <c r="S8153" i="1" a="1"/>
  <c r="S8153" i="1" s="1"/>
  <c r="P8153" i="1" a="1"/>
  <c r="P8153" i="1" s="1"/>
  <c r="A8135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Q8131" i="1" l="1" a="1"/>
  <c r="Q8131" i="1" s="1"/>
  <c r="N8131" i="1" a="1"/>
  <c r="N8131" i="1" s="1"/>
  <c r="L8131" i="1" a="1"/>
  <c r="L8131" i="1" s="1"/>
  <c r="I8131" i="1" a="1"/>
  <c r="I8131" i="1" s="1"/>
  <c r="C8132" i="1"/>
  <c r="O8131" i="1" a="1"/>
  <c r="O8131" i="1" s="1"/>
  <c r="H8131" i="1"/>
  <c r="A8136" i="1"/>
  <c r="B8155" i="1"/>
  <c r="M8154" i="1" a="1"/>
  <c r="M8154" i="1" s="1"/>
  <c r="J8154" i="1" a="1"/>
  <c r="J8154" i="1" s="1"/>
  <c r="R8154" i="1" a="1"/>
  <c r="R8154" i="1" s="1"/>
  <c r="K8154" i="1" a="1"/>
  <c r="K8154" i="1" s="1"/>
  <c r="S8154" i="1" a="1"/>
  <c r="S8154" i="1" s="1"/>
  <c r="P8154" i="1" a="1"/>
  <c r="P8154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Q8132" i="1" l="1" a="1"/>
  <c r="Q8132" i="1" s="1"/>
  <c r="N8132" i="1" a="1"/>
  <c r="N8132" i="1" s="1"/>
  <c r="L8132" i="1" a="1"/>
  <c r="L8132" i="1" s="1"/>
  <c r="I8132" i="1" a="1"/>
  <c r="I8132" i="1" s="1"/>
  <c r="C8133" i="1"/>
  <c r="H8132" i="1"/>
  <c r="O8132" i="1" a="1"/>
  <c r="O8132" i="1" s="1"/>
  <c r="P8155" i="1" a="1"/>
  <c r="P8155" i="1" s="1"/>
  <c r="B8156" i="1"/>
  <c r="M8155" i="1" a="1"/>
  <c r="M8155" i="1" s="1"/>
  <c r="J8155" i="1" a="1"/>
  <c r="J8155" i="1" s="1"/>
  <c r="R8155" i="1" a="1"/>
  <c r="R8155" i="1" s="1"/>
  <c r="K8155" i="1" a="1"/>
  <c r="K8155" i="1" s="1"/>
  <c r="S8155" i="1" a="1"/>
  <c r="S8155" i="1" s="1"/>
  <c r="A8137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Q8133" i="1" l="1" a="1"/>
  <c r="Q8133" i="1" s="1"/>
  <c r="N8133" i="1" a="1"/>
  <c r="N8133" i="1" s="1"/>
  <c r="L8133" i="1" a="1"/>
  <c r="L8133" i="1" s="1"/>
  <c r="I8133" i="1" a="1"/>
  <c r="I8133" i="1" s="1"/>
  <c r="H8133" i="1"/>
  <c r="O8133" i="1" a="1"/>
  <c r="O8133" i="1" s="1"/>
  <c r="C8134" i="1"/>
  <c r="K8156" i="1" a="1"/>
  <c r="K8156" i="1" s="1"/>
  <c r="S8156" i="1" a="1"/>
  <c r="S8156" i="1" s="1"/>
  <c r="P8156" i="1" a="1"/>
  <c r="P8156" i="1" s="1"/>
  <c r="B8157" i="1"/>
  <c r="M8156" i="1" a="1"/>
  <c r="M8156" i="1" s="1"/>
  <c r="J8156" i="1" a="1"/>
  <c r="J8156" i="1" s="1"/>
  <c r="R8156" i="1" a="1"/>
  <c r="R8156" i="1" s="1"/>
  <c r="A8138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Q8134" i="1" l="1" a="1"/>
  <c r="Q8134" i="1" s="1"/>
  <c r="N8134" i="1" a="1"/>
  <c r="N8134" i="1" s="1"/>
  <c r="L8134" i="1" a="1"/>
  <c r="L8134" i="1" s="1"/>
  <c r="I8134" i="1" a="1"/>
  <c r="I8134" i="1" s="1"/>
  <c r="C8135" i="1"/>
  <c r="O8134" i="1" a="1"/>
  <c r="O8134" i="1" s="1"/>
  <c r="H8134" i="1"/>
  <c r="A8139" i="1"/>
  <c r="B8158" i="1"/>
  <c r="J8157" i="1" a="1"/>
  <c r="J8157" i="1" s="1"/>
  <c r="R8157" i="1" a="1"/>
  <c r="R8157" i="1" s="1"/>
  <c r="K8157" i="1" a="1"/>
  <c r="K8157" i="1" s="1"/>
  <c r="S8157" i="1" a="1"/>
  <c r="S8157" i="1" s="1"/>
  <c r="P8157" i="1" a="1"/>
  <c r="P8157" i="1" s="1"/>
  <c r="M8157" i="1" a="1"/>
  <c r="M8157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Q8135" i="1" l="1" a="1"/>
  <c r="Q8135" i="1" s="1"/>
  <c r="N8135" i="1" a="1"/>
  <c r="N8135" i="1" s="1"/>
  <c r="L8135" i="1" a="1"/>
  <c r="L8135" i="1" s="1"/>
  <c r="I8135" i="1" a="1"/>
  <c r="I8135" i="1" s="1"/>
  <c r="H8135" i="1"/>
  <c r="O8135" i="1" a="1"/>
  <c r="O8135" i="1" s="1"/>
  <c r="C8136" i="1"/>
  <c r="B8159" i="1"/>
  <c r="M8158" i="1" a="1"/>
  <c r="M8158" i="1" s="1"/>
  <c r="J8158" i="1" a="1"/>
  <c r="J8158" i="1" s="1"/>
  <c r="R8158" i="1" a="1"/>
  <c r="R8158" i="1" s="1"/>
  <c r="K8158" i="1" a="1"/>
  <c r="K8158" i="1" s="1"/>
  <c r="S8158" i="1" a="1"/>
  <c r="S8158" i="1" s="1"/>
  <c r="P8158" i="1" a="1"/>
  <c r="P8158" i="1" s="1"/>
  <c r="A8140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8136" i="1" l="1" a="1"/>
  <c r="Q8136" i="1" s="1"/>
  <c r="N8136" i="1" a="1"/>
  <c r="N8136" i="1" s="1"/>
  <c r="L8136" i="1" a="1"/>
  <c r="L8136" i="1" s="1"/>
  <c r="I8136" i="1" a="1"/>
  <c r="I8136" i="1" s="1"/>
  <c r="H8136" i="1"/>
  <c r="C8137" i="1"/>
  <c r="O8136" i="1" a="1"/>
  <c r="O8136" i="1" s="1"/>
  <c r="A8141" i="1"/>
  <c r="P8159" i="1" a="1"/>
  <c r="P8159" i="1" s="1"/>
  <c r="B8160" i="1"/>
  <c r="M8159" i="1" a="1"/>
  <c r="M8159" i="1" s="1"/>
  <c r="J8159" i="1" a="1"/>
  <c r="J8159" i="1" s="1"/>
  <c r="R8159" i="1" a="1"/>
  <c r="R8159" i="1" s="1"/>
  <c r="S8159" i="1" a="1"/>
  <c r="S8159" i="1" s="1"/>
  <c r="K8159" i="1" a="1"/>
  <c r="K8159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Q8137" i="1" l="1" a="1"/>
  <c r="Q8137" i="1" s="1"/>
  <c r="N8137" i="1" a="1"/>
  <c r="N8137" i="1" s="1"/>
  <c r="L8137" i="1" a="1"/>
  <c r="L8137" i="1" s="1"/>
  <c r="I8137" i="1" a="1"/>
  <c r="I8137" i="1" s="1"/>
  <c r="O8137" i="1" a="1"/>
  <c r="O8137" i="1" s="1"/>
  <c r="C8138" i="1"/>
  <c r="H8137" i="1"/>
  <c r="K8160" i="1" a="1"/>
  <c r="K8160" i="1" s="1"/>
  <c r="S8160" i="1" a="1"/>
  <c r="S8160" i="1" s="1"/>
  <c r="P8160" i="1" a="1"/>
  <c r="P8160" i="1" s="1"/>
  <c r="B8161" i="1"/>
  <c r="J8160" i="1" a="1"/>
  <c r="J8160" i="1" s="1"/>
  <c r="M8160" i="1" a="1"/>
  <c r="M8160" i="1" s="1"/>
  <c r="R8160" i="1" a="1"/>
  <c r="R8160" i="1" s="1"/>
  <c r="A8142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Q8138" i="1" l="1" a="1"/>
  <c r="Q8138" i="1" s="1"/>
  <c r="N8138" i="1" a="1"/>
  <c r="N8138" i="1" s="1"/>
  <c r="L8138" i="1" a="1"/>
  <c r="L8138" i="1" s="1"/>
  <c r="I8138" i="1" a="1"/>
  <c r="I8138" i="1" s="1"/>
  <c r="H8138" i="1"/>
  <c r="O8138" i="1" a="1"/>
  <c r="O8138" i="1" s="1"/>
  <c r="C8139" i="1"/>
  <c r="A8143" i="1"/>
  <c r="B8162" i="1"/>
  <c r="J8161" i="1" a="1"/>
  <c r="J8161" i="1" s="1"/>
  <c r="R8161" i="1" a="1"/>
  <c r="R8161" i="1" s="1"/>
  <c r="K8161" i="1" a="1"/>
  <c r="K8161" i="1" s="1"/>
  <c r="S8161" i="1" a="1"/>
  <c r="S8161" i="1" s="1"/>
  <c r="M8161" i="1" a="1"/>
  <c r="M8161" i="1" s="1"/>
  <c r="P8161" i="1" a="1"/>
  <c r="P8161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Q8139" i="1" l="1" a="1"/>
  <c r="Q8139" i="1" s="1"/>
  <c r="N8139" i="1" a="1"/>
  <c r="N8139" i="1" s="1"/>
  <c r="L8139" i="1" a="1"/>
  <c r="L8139" i="1" s="1"/>
  <c r="I8139" i="1" a="1"/>
  <c r="I8139" i="1" s="1"/>
  <c r="C8140" i="1"/>
  <c r="O8139" i="1" a="1"/>
  <c r="O8139" i="1" s="1"/>
  <c r="H8139" i="1"/>
  <c r="B8163" i="1"/>
  <c r="M8162" i="1" a="1"/>
  <c r="M8162" i="1" s="1"/>
  <c r="J8162" i="1" a="1"/>
  <c r="J8162" i="1" s="1"/>
  <c r="R8162" i="1" a="1"/>
  <c r="R8162" i="1" s="1"/>
  <c r="P8162" i="1" a="1"/>
  <c r="P8162" i="1" s="1"/>
  <c r="S8162" i="1" a="1"/>
  <c r="S8162" i="1" s="1"/>
  <c r="K8162" i="1" a="1"/>
  <c r="K8162" i="1" s="1"/>
  <c r="A8144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Q8140" i="1" l="1" a="1"/>
  <c r="Q8140" i="1" s="1"/>
  <c r="N8140" i="1" a="1"/>
  <c r="N8140" i="1" s="1"/>
  <c r="L8140" i="1" a="1"/>
  <c r="L8140" i="1" s="1"/>
  <c r="I8140" i="1" a="1"/>
  <c r="I8140" i="1" s="1"/>
  <c r="H8140" i="1"/>
  <c r="C8141" i="1"/>
  <c r="O8140" i="1" a="1"/>
  <c r="O8140" i="1" s="1"/>
  <c r="A8145" i="1"/>
  <c r="P8163" i="1" a="1"/>
  <c r="P8163" i="1" s="1"/>
  <c r="B8164" i="1"/>
  <c r="M8163" i="1" a="1"/>
  <c r="M8163" i="1" s="1"/>
  <c r="R8163" i="1" a="1"/>
  <c r="R8163" i="1" s="1"/>
  <c r="S8163" i="1" a="1"/>
  <c r="S8163" i="1" s="1"/>
  <c r="J8163" i="1" a="1"/>
  <c r="J8163" i="1" s="1"/>
  <c r="K8163" i="1" a="1"/>
  <c r="K8163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Q8141" i="1" l="1" a="1"/>
  <c r="Q8141" i="1" s="1"/>
  <c r="N8141" i="1" a="1"/>
  <c r="N8141" i="1" s="1"/>
  <c r="L8141" i="1" a="1"/>
  <c r="L8141" i="1" s="1"/>
  <c r="I8141" i="1" a="1"/>
  <c r="I8141" i="1" s="1"/>
  <c r="C8142" i="1"/>
  <c r="O8141" i="1" a="1"/>
  <c r="O8141" i="1" s="1"/>
  <c r="H8141" i="1"/>
  <c r="K8164" i="1" a="1"/>
  <c r="K8164" i="1" s="1"/>
  <c r="S8164" i="1" a="1"/>
  <c r="S8164" i="1" s="1"/>
  <c r="P8164" i="1" a="1"/>
  <c r="P8164" i="1" s="1"/>
  <c r="B8165" i="1"/>
  <c r="J8164" i="1" a="1"/>
  <c r="J8164" i="1" s="1"/>
  <c r="M8164" i="1" a="1"/>
  <c r="M8164" i="1" s="1"/>
  <c r="R8164" i="1" a="1"/>
  <c r="R8164" i="1" s="1"/>
  <c r="A8146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Q8142" i="1" l="1" a="1"/>
  <c r="Q8142" i="1" s="1"/>
  <c r="N8142" i="1" a="1"/>
  <c r="N8142" i="1" s="1"/>
  <c r="L8142" i="1" a="1"/>
  <c r="L8142" i="1" s="1"/>
  <c r="I8142" i="1" a="1"/>
  <c r="I8142" i="1" s="1"/>
  <c r="H8142" i="1"/>
  <c r="O8142" i="1" a="1"/>
  <c r="O8142" i="1" s="1"/>
  <c r="C8143" i="1"/>
  <c r="B8166" i="1"/>
  <c r="J8165" i="1" a="1"/>
  <c r="J8165" i="1" s="1"/>
  <c r="R8165" i="1" a="1"/>
  <c r="R8165" i="1" s="1"/>
  <c r="K8165" i="1" a="1"/>
  <c r="K8165" i="1" s="1"/>
  <c r="S8165" i="1" a="1"/>
  <c r="S8165" i="1" s="1"/>
  <c r="M8165" i="1" a="1"/>
  <c r="M8165" i="1" s="1"/>
  <c r="P8165" i="1" a="1"/>
  <c r="P8165" i="1" s="1"/>
  <c r="A8147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Q8143" i="1" l="1" a="1"/>
  <c r="Q8143" i="1" s="1"/>
  <c r="N8143" i="1" a="1"/>
  <c r="N8143" i="1" s="1"/>
  <c r="L8143" i="1" a="1"/>
  <c r="L8143" i="1" s="1"/>
  <c r="I8143" i="1" a="1"/>
  <c r="I8143" i="1" s="1"/>
  <c r="H8143" i="1"/>
  <c r="O8143" i="1" a="1"/>
  <c r="O8143" i="1" s="1"/>
  <c r="C8144" i="1"/>
  <c r="A8148" i="1"/>
  <c r="B8167" i="1"/>
  <c r="M8166" i="1" a="1"/>
  <c r="M8166" i="1" s="1"/>
  <c r="J8166" i="1" a="1"/>
  <c r="J8166" i="1" s="1"/>
  <c r="K8166" i="1" a="1"/>
  <c r="K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Q8144" i="1" l="1" a="1"/>
  <c r="Q8144" i="1" s="1"/>
  <c r="N8144" i="1" a="1"/>
  <c r="N8144" i="1" s="1"/>
  <c r="L8144" i="1" a="1"/>
  <c r="L8144" i="1" s="1"/>
  <c r="I8144" i="1" a="1"/>
  <c r="I8144" i="1" s="1"/>
  <c r="O8144" i="1" a="1"/>
  <c r="O8144" i="1" s="1"/>
  <c r="H8144" i="1"/>
  <c r="C8145" i="1"/>
  <c r="P8167" i="1" a="1"/>
  <c r="P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A8149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Q8145" i="1" l="1" a="1"/>
  <c r="Q8145" i="1" s="1"/>
  <c r="N8145" i="1" a="1"/>
  <c r="N8145" i="1" s="1"/>
  <c r="L8145" i="1" a="1"/>
  <c r="L8145" i="1" s="1"/>
  <c r="I8145" i="1" a="1"/>
  <c r="I8145" i="1" s="1"/>
  <c r="C8146" i="1"/>
  <c r="O8145" i="1" a="1"/>
  <c r="O8145" i="1" s="1"/>
  <c r="H8145" i="1"/>
  <c r="A8150" i="1"/>
  <c r="K8168" i="1" a="1"/>
  <c r="K8168" i="1" s="1"/>
  <c r="S8168" i="1" a="1"/>
  <c r="S8168" i="1" s="1"/>
  <c r="B8169" i="1"/>
  <c r="M8168" i="1" a="1"/>
  <c r="M8168" i="1" s="1"/>
  <c r="P8168" i="1" a="1"/>
  <c r="P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Q8146" i="1" l="1" a="1"/>
  <c r="Q8146" i="1" s="1"/>
  <c r="N8146" i="1" a="1"/>
  <c r="N8146" i="1" s="1"/>
  <c r="L8146" i="1" a="1"/>
  <c r="L8146" i="1" s="1"/>
  <c r="I8146" i="1" a="1"/>
  <c r="I8146" i="1" s="1"/>
  <c r="O8146" i="1" a="1"/>
  <c r="O8146" i="1" s="1"/>
  <c r="H8146" i="1"/>
  <c r="C8147" i="1"/>
  <c r="B8170" i="1"/>
  <c r="J8169" i="1" a="1"/>
  <c r="J8169" i="1" s="1"/>
  <c r="R8169" i="1" a="1"/>
  <c r="R8169" i="1" s="1"/>
  <c r="P8169" i="1" a="1"/>
  <c r="P8169" i="1" s="1"/>
  <c r="K8169" i="1" a="1"/>
  <c r="K8169" i="1" s="1"/>
  <c r="S8169" i="1" a="1"/>
  <c r="S8169" i="1" s="1"/>
  <c r="M8169" i="1" a="1"/>
  <c r="M8169" i="1" s="1"/>
  <c r="A8151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Q8147" i="1" l="1" a="1"/>
  <c r="Q8147" i="1" s="1"/>
  <c r="N8147" i="1" a="1"/>
  <c r="N8147" i="1" s="1"/>
  <c r="L8147" i="1" a="1"/>
  <c r="L8147" i="1" s="1"/>
  <c r="I8147" i="1" a="1"/>
  <c r="I8147" i="1" s="1"/>
  <c r="C8148" i="1"/>
  <c r="O8147" i="1" a="1"/>
  <c r="O8147" i="1" s="1"/>
  <c r="H8147" i="1"/>
  <c r="A8152" i="1"/>
  <c r="B8171" i="1"/>
  <c r="M8170" i="1" a="1"/>
  <c r="M8170" i="1" s="1"/>
  <c r="J8170" i="1" a="1"/>
  <c r="J8170" i="1" s="1"/>
  <c r="R8170" i="1" a="1"/>
  <c r="R8170" i="1" s="1"/>
  <c r="K8170" i="1" a="1"/>
  <c r="K8170" i="1" s="1"/>
  <c r="S8170" i="1" a="1"/>
  <c r="S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Q8148" i="1" l="1" a="1"/>
  <c r="Q8148" i="1" s="1"/>
  <c r="N8148" i="1" a="1"/>
  <c r="N8148" i="1" s="1"/>
  <c r="L8148" i="1" a="1"/>
  <c r="L8148" i="1" s="1"/>
  <c r="I8148" i="1" a="1"/>
  <c r="I8148" i="1" s="1"/>
  <c r="O8148" i="1" a="1"/>
  <c r="O8148" i="1" s="1"/>
  <c r="H8148" i="1"/>
  <c r="C8149" i="1"/>
  <c r="P8171" i="1" a="1"/>
  <c r="P8171" i="1" s="1"/>
  <c r="B8172" i="1"/>
  <c r="M8171" i="1" a="1"/>
  <c r="M8171" i="1" s="1"/>
  <c r="J8171" i="1" a="1"/>
  <c r="J8171" i="1" s="1"/>
  <c r="R8171" i="1" a="1"/>
  <c r="R8171" i="1" s="1"/>
  <c r="K8171" i="1" a="1"/>
  <c r="K8171" i="1" s="1"/>
  <c r="S8171" i="1" a="1"/>
  <c r="S8171" i="1" s="1"/>
  <c r="A8153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Q8149" i="1" l="1" a="1"/>
  <c r="Q8149" i="1" s="1"/>
  <c r="N8149" i="1" a="1"/>
  <c r="N8149" i="1" s="1"/>
  <c r="L8149" i="1" a="1"/>
  <c r="L8149" i="1" s="1"/>
  <c r="I8149" i="1" a="1"/>
  <c r="I8149" i="1" s="1"/>
  <c r="C8150" i="1"/>
  <c r="H8149" i="1"/>
  <c r="O8149" i="1" a="1"/>
  <c r="O8149" i="1" s="1"/>
  <c r="A8154" i="1"/>
  <c r="K8172" i="1" a="1"/>
  <c r="K8172" i="1" s="1"/>
  <c r="B8173" i="1"/>
  <c r="P8172" i="1" a="1"/>
  <c r="P8172" i="1" s="1"/>
  <c r="J8172" i="1" a="1"/>
  <c r="J8172" i="1" s="1"/>
  <c r="R8172" i="1" a="1"/>
  <c r="R8172" i="1" s="1"/>
  <c r="S8172" i="1" a="1"/>
  <c r="S8172" i="1" s="1"/>
  <c r="M8172" i="1" a="1"/>
  <c r="M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Q8150" i="1" l="1" a="1"/>
  <c r="Q8150" i="1" s="1"/>
  <c r="N8150" i="1" a="1"/>
  <c r="N8150" i="1" s="1"/>
  <c r="L8150" i="1" a="1"/>
  <c r="L8150" i="1" s="1"/>
  <c r="I8150" i="1" a="1"/>
  <c r="I8150" i="1" s="1"/>
  <c r="O8150" i="1" a="1"/>
  <c r="O8150" i="1" s="1"/>
  <c r="C8151" i="1"/>
  <c r="H8150" i="1"/>
  <c r="B8174" i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R8173" i="1" a="1"/>
  <c r="R8173" i="1" s="1"/>
  <c r="A8155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Q8151" i="1" l="1" a="1"/>
  <c r="Q8151" i="1" s="1"/>
  <c r="N8151" i="1" a="1"/>
  <c r="N8151" i="1" s="1"/>
  <c r="L8151" i="1" a="1"/>
  <c r="L8151" i="1" s="1"/>
  <c r="I8151" i="1" a="1"/>
  <c r="I8151" i="1" s="1"/>
  <c r="C8152" i="1"/>
  <c r="H8151" i="1"/>
  <c r="O8151" i="1" a="1"/>
  <c r="O8151" i="1" s="1"/>
  <c r="A8156" i="1"/>
  <c r="K8174" i="1" a="1"/>
  <c r="K8174" i="1" s="1"/>
  <c r="M8174" i="1" a="1"/>
  <c r="M8174" i="1" s="1"/>
  <c r="R8174" i="1" a="1"/>
  <c r="R8174" i="1" s="1"/>
  <c r="S8174" i="1" a="1"/>
  <c r="S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Q8152" i="1" l="1" a="1"/>
  <c r="Q8152" i="1" s="1"/>
  <c r="N8152" i="1" a="1"/>
  <c r="N8152" i="1" s="1"/>
  <c r="L8152" i="1" a="1"/>
  <c r="L8152" i="1" s="1"/>
  <c r="I8152" i="1" a="1"/>
  <c r="I8152" i="1" s="1"/>
  <c r="O8152" i="1" a="1"/>
  <c r="O8152" i="1" s="1"/>
  <c r="C8153" i="1"/>
  <c r="H8152" i="1"/>
  <c r="A8157" i="1"/>
  <c r="J8175" i="1" a="1"/>
  <c r="J8175" i="1" s="1"/>
  <c r="B8176" i="1"/>
  <c r="K8175" i="1" a="1"/>
  <c r="K8175" i="1" s="1"/>
  <c r="P8175" i="1" a="1"/>
  <c r="P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Q8153" i="1" l="1" a="1"/>
  <c r="Q8153" i="1" s="1"/>
  <c r="N8153" i="1" a="1"/>
  <c r="N8153" i="1" s="1"/>
  <c r="L8153" i="1" a="1"/>
  <c r="L8153" i="1" s="1"/>
  <c r="I8153" i="1" a="1"/>
  <c r="I8153" i="1" s="1"/>
  <c r="C8154" i="1"/>
  <c r="H8153" i="1"/>
  <c r="O8153" i="1" a="1"/>
  <c r="O8153" i="1" s="1"/>
  <c r="B8177" i="1"/>
  <c r="R8176" i="1" a="1"/>
  <c r="R8176" i="1" s="1"/>
  <c r="M8176" i="1" a="1"/>
  <c r="M8176" i="1" s="1"/>
  <c r="S8176" i="1" a="1"/>
  <c r="S8176" i="1" s="1"/>
  <c r="J8176" i="1" a="1"/>
  <c r="J8176" i="1" s="1"/>
  <c r="K8176" i="1" a="1"/>
  <c r="K8176" i="1" s="1"/>
  <c r="P8176" i="1" a="1"/>
  <c r="P8176" i="1" s="1"/>
  <c r="A8158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Q8154" i="1" l="1" a="1"/>
  <c r="Q8154" i="1" s="1"/>
  <c r="N8154" i="1" a="1"/>
  <c r="N8154" i="1" s="1"/>
  <c r="L8154" i="1" a="1"/>
  <c r="L8154" i="1" s="1"/>
  <c r="I8154" i="1" a="1"/>
  <c r="I8154" i="1" s="1"/>
  <c r="O8154" i="1" a="1"/>
  <c r="O8154" i="1" s="1"/>
  <c r="C8155" i="1"/>
  <c r="H8154" i="1"/>
  <c r="B8178" i="1"/>
  <c r="J8177" i="1" a="1"/>
  <c r="J8177" i="1" s="1"/>
  <c r="P8177" i="1" a="1"/>
  <c r="P8177" i="1" s="1"/>
  <c r="K8177" i="1" a="1"/>
  <c r="K8177" i="1" s="1"/>
  <c r="M8177" i="1" a="1"/>
  <c r="M8177" i="1" s="1"/>
  <c r="R8177" i="1" a="1"/>
  <c r="R8177" i="1" s="1"/>
  <c r="S8177" i="1" a="1"/>
  <c r="S8177" i="1" s="1"/>
  <c r="A8159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Q8155" i="1" l="1" a="1"/>
  <c r="Q8155" i="1" s="1"/>
  <c r="N8155" i="1" a="1"/>
  <c r="N8155" i="1" s="1"/>
  <c r="L8155" i="1" a="1"/>
  <c r="L8155" i="1" s="1"/>
  <c r="I8155" i="1" a="1"/>
  <c r="I8155" i="1" s="1"/>
  <c r="C8156" i="1"/>
  <c r="H8155" i="1"/>
  <c r="O8155" i="1" a="1"/>
  <c r="O8155" i="1" s="1"/>
  <c r="A8160" i="1"/>
  <c r="M8178" i="1" a="1"/>
  <c r="M8178" i="1" s="1"/>
  <c r="R8178" i="1" a="1"/>
  <c r="R8178" i="1" s="1"/>
  <c r="S8178" i="1" a="1"/>
  <c r="S8178" i="1" s="1"/>
  <c r="B8179" i="1"/>
  <c r="J8178" i="1" a="1"/>
  <c r="J8178" i="1" s="1"/>
  <c r="P8178" i="1" a="1"/>
  <c r="P8178" i="1" s="1"/>
  <c r="K8178" i="1" a="1"/>
  <c r="K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Q8156" i="1" l="1" a="1"/>
  <c r="Q8156" i="1" s="1"/>
  <c r="N8156" i="1" a="1"/>
  <c r="N8156" i="1" s="1"/>
  <c r="L8156" i="1" a="1"/>
  <c r="L8156" i="1" s="1"/>
  <c r="I8156" i="1" a="1"/>
  <c r="I8156" i="1" s="1"/>
  <c r="O8156" i="1" a="1"/>
  <c r="O8156" i="1" s="1"/>
  <c r="C8157" i="1"/>
  <c r="H8156" i="1"/>
  <c r="J8179" i="1" a="1"/>
  <c r="J8179" i="1" s="1"/>
  <c r="K8179" i="1" a="1"/>
  <c r="K8179" i="1" s="1"/>
  <c r="P8179" i="1" a="1"/>
  <c r="P8179" i="1" s="1"/>
  <c r="B8180" i="1"/>
  <c r="M8179" i="1" a="1"/>
  <c r="M8179" i="1" s="1"/>
  <c r="R8179" i="1" a="1"/>
  <c r="R8179" i="1" s="1"/>
  <c r="S8179" i="1" a="1"/>
  <c r="S8179" i="1" s="1"/>
  <c r="A8161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Q8157" i="1" l="1" a="1"/>
  <c r="Q8157" i="1" s="1"/>
  <c r="N8157" i="1" a="1"/>
  <c r="N8157" i="1" s="1"/>
  <c r="L8157" i="1" a="1"/>
  <c r="L8157" i="1" s="1"/>
  <c r="I8157" i="1" a="1"/>
  <c r="I8157" i="1" s="1"/>
  <c r="C8158" i="1"/>
  <c r="O8157" i="1" a="1"/>
  <c r="O8157" i="1" s="1"/>
  <c r="H8157" i="1"/>
  <c r="A8162" i="1"/>
  <c r="K8180" i="1" a="1"/>
  <c r="K8180" i="1" s="1"/>
  <c r="P8180" i="1" a="1"/>
  <c r="P8180" i="1" s="1"/>
  <c r="B8181" i="1"/>
  <c r="M8180" i="1" a="1"/>
  <c r="M8180" i="1" s="1"/>
  <c r="R8180" i="1" a="1"/>
  <c r="R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Q8158" i="1" l="1" a="1"/>
  <c r="Q8158" i="1" s="1"/>
  <c r="N8158" i="1" a="1"/>
  <c r="N8158" i="1" s="1"/>
  <c r="L8158" i="1" a="1"/>
  <c r="L8158" i="1" s="1"/>
  <c r="I8158" i="1" a="1"/>
  <c r="I8158" i="1" s="1"/>
  <c r="O8158" i="1" a="1"/>
  <c r="O8158" i="1" s="1"/>
  <c r="C8159" i="1"/>
  <c r="H8158" i="1"/>
  <c r="A8163" i="1"/>
  <c r="P8181" i="1" a="1"/>
  <c r="P8181" i="1" s="1"/>
  <c r="B8182" i="1"/>
  <c r="M8181" i="1" a="1"/>
  <c r="M8181" i="1" s="1"/>
  <c r="S8181" i="1" a="1"/>
  <c r="S8181" i="1" s="1"/>
  <c r="J8181" i="1" a="1"/>
  <c r="J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Q8159" i="1" l="1" a="1"/>
  <c r="Q8159" i="1" s="1"/>
  <c r="N8159" i="1" a="1"/>
  <c r="N8159" i="1" s="1"/>
  <c r="L8159" i="1" a="1"/>
  <c r="L8159" i="1" s="1"/>
  <c r="I8159" i="1" a="1"/>
  <c r="I8159" i="1" s="1"/>
  <c r="H8159" i="1"/>
  <c r="C8160" i="1"/>
  <c r="O8159" i="1" a="1"/>
  <c r="O8159" i="1" s="1"/>
  <c r="K8182" i="1" a="1"/>
  <c r="K8182" i="1" s="1"/>
  <c r="S8182" i="1" a="1"/>
  <c r="S8182" i="1" s="1"/>
  <c r="P8182" i="1" a="1"/>
  <c r="P8182" i="1" s="1"/>
  <c r="B8183" i="1"/>
  <c r="M8182" i="1" a="1"/>
  <c r="M8182" i="1" s="1"/>
  <c r="J8182" i="1" a="1"/>
  <c r="J8182" i="1" s="1"/>
  <c r="R8182" i="1" a="1"/>
  <c r="R8182" i="1" s="1"/>
  <c r="A8164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Q8160" i="1" l="1" a="1"/>
  <c r="Q8160" i="1" s="1"/>
  <c r="N8160" i="1" a="1"/>
  <c r="N8160" i="1" s="1"/>
  <c r="L8160" i="1" a="1"/>
  <c r="L8160" i="1" s="1"/>
  <c r="I8160" i="1" a="1"/>
  <c r="I8160" i="1" s="1"/>
  <c r="C8161" i="1"/>
  <c r="H8160" i="1"/>
  <c r="O8160" i="1" a="1"/>
  <c r="O8160" i="1" s="1"/>
  <c r="J8183" i="1" a="1"/>
  <c r="J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A8165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Q8161" i="1" l="1" a="1"/>
  <c r="Q8161" i="1" s="1"/>
  <c r="N8161" i="1" a="1"/>
  <c r="N8161" i="1" s="1"/>
  <c r="L8161" i="1" a="1"/>
  <c r="L8161" i="1" s="1"/>
  <c r="I8161" i="1" a="1"/>
  <c r="I8161" i="1" s="1"/>
  <c r="C8162" i="1"/>
  <c r="H8161" i="1"/>
  <c r="O8161" i="1" a="1"/>
  <c r="O8161" i="1" s="1"/>
  <c r="B8185" i="1"/>
  <c r="M8184" i="1" a="1"/>
  <c r="M8184" i="1" s="1"/>
  <c r="J8184" i="1" a="1"/>
  <c r="J8184" i="1" s="1"/>
  <c r="R8184" i="1" a="1"/>
  <c r="R8184" i="1" s="1"/>
  <c r="K8184" i="1" a="1"/>
  <c r="K8184" i="1" s="1"/>
  <c r="S8184" i="1" a="1"/>
  <c r="S8184" i="1" s="1"/>
  <c r="P8184" i="1" a="1"/>
  <c r="P8184" i="1" s="1"/>
  <c r="A8166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Q8162" i="1" l="1" a="1"/>
  <c r="Q8162" i="1" s="1"/>
  <c r="N8162" i="1" a="1"/>
  <c r="N8162" i="1" s="1"/>
  <c r="L8162" i="1" a="1"/>
  <c r="L8162" i="1" s="1"/>
  <c r="I8162" i="1" a="1"/>
  <c r="I8162" i="1" s="1"/>
  <c r="H8162" i="1"/>
  <c r="O8162" i="1" a="1"/>
  <c r="O8162" i="1" s="1"/>
  <c r="C8163" i="1"/>
  <c r="P8185" i="1" a="1"/>
  <c r="P8185" i="1" s="1"/>
  <c r="M8185" i="1" a="1"/>
  <c r="M8185" i="1" s="1"/>
  <c r="B8186" i="1"/>
  <c r="J8185" i="1" a="1"/>
  <c r="J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Q8163" i="1" l="1" a="1"/>
  <c r="Q8163" i="1" s="1"/>
  <c r="N8163" i="1" a="1"/>
  <c r="N8163" i="1" s="1"/>
  <c r="L8163" i="1" a="1"/>
  <c r="L8163" i="1" s="1"/>
  <c r="I8163" i="1" a="1"/>
  <c r="I8163" i="1" s="1"/>
  <c r="C8164" i="1"/>
  <c r="O8163" i="1" a="1"/>
  <c r="O8163" i="1" s="1"/>
  <c r="H8163" i="1"/>
  <c r="A8168" i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Q8164" i="1" l="1" a="1"/>
  <c r="Q8164" i="1" s="1"/>
  <c r="N8164" i="1" a="1"/>
  <c r="N8164" i="1" s="1"/>
  <c r="L8164" i="1" a="1"/>
  <c r="L8164" i="1" s="1"/>
  <c r="I8164" i="1" a="1"/>
  <c r="I8164" i="1" s="1"/>
  <c r="H8164" i="1"/>
  <c r="O8164" i="1" a="1"/>
  <c r="O8164" i="1" s="1"/>
  <c r="C8165" i="1"/>
  <c r="R8187" i="1" a="1"/>
  <c r="R8187" i="1" s="1"/>
  <c r="J8187" i="1" a="1"/>
  <c r="J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Q8165" i="1" l="1" a="1"/>
  <c r="Q8165" i="1" s="1"/>
  <c r="N8165" i="1" a="1"/>
  <c r="N8165" i="1" s="1"/>
  <c r="L8165" i="1" a="1"/>
  <c r="L8165" i="1" s="1"/>
  <c r="I8165" i="1" a="1"/>
  <c r="I8165" i="1" s="1"/>
  <c r="O8165" i="1" a="1"/>
  <c r="O8165" i="1" s="1"/>
  <c r="H8165" i="1"/>
  <c r="C8166" i="1"/>
  <c r="B8189" i="1"/>
  <c r="M8188" i="1" a="1"/>
  <c r="M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Q8166" i="1" l="1" a="1"/>
  <c r="Q8166" i="1" s="1"/>
  <c r="N8166" i="1" a="1"/>
  <c r="N8166" i="1" s="1"/>
  <c r="L8166" i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J8189" i="1" a="1"/>
  <c r="J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Q8167" i="1" l="1" a="1"/>
  <c r="Q8167" i="1" s="1"/>
  <c r="N8167" i="1" a="1"/>
  <c r="N8167" i="1" s="1"/>
  <c r="L8167" i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M8190" i="1" a="1"/>
  <c r="M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Q8168" i="1" l="1" a="1"/>
  <c r="Q8168" i="1" s="1"/>
  <c r="N8168" i="1" a="1"/>
  <c r="N8168" i="1" s="1"/>
  <c r="L8168" i="1" a="1"/>
  <c r="L8168" i="1" s="1"/>
  <c r="I8168" i="1" a="1"/>
  <c r="I8168" i="1" s="1"/>
  <c r="C8169" i="1"/>
  <c r="O8168" i="1" a="1"/>
  <c r="O8168" i="1" s="1"/>
  <c r="H8168" i="1"/>
  <c r="J8191" i="1" a="1"/>
  <c r="J8191" i="1" s="1"/>
  <c r="R8191" i="1" a="1"/>
  <c r="R8191" i="1" s="1"/>
  <c r="S8191" i="1" a="1"/>
  <c r="S8191" i="1" s="1"/>
  <c r="K8191" i="1" a="1"/>
  <c r="K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Q8169" i="1" l="1" a="1"/>
  <c r="Q8169" i="1" s="1"/>
  <c r="N8169" i="1" a="1"/>
  <c r="N8169" i="1" s="1"/>
  <c r="L8169" i="1" a="1"/>
  <c r="L8169" i="1" s="1"/>
  <c r="I8169" i="1" a="1"/>
  <c r="I8169" i="1" s="1"/>
  <c r="O8169" i="1" a="1"/>
  <c r="O8169" i="1" s="1"/>
  <c r="H8169" i="1"/>
  <c r="C8170" i="1"/>
  <c r="B8193" i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Q8170" i="1" l="1" a="1"/>
  <c r="Q8170" i="1" s="1"/>
  <c r="N8170" i="1" a="1"/>
  <c r="N8170" i="1" s="1"/>
  <c r="L8170" i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B8194" i="1"/>
  <c r="S8193" i="1" a="1"/>
  <c r="S8193" i="1" s="1"/>
  <c r="J8193" i="1" a="1"/>
  <c r="J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Q8171" i="1" l="1" a="1"/>
  <c r="Q8171" i="1" s="1"/>
  <c r="N8171" i="1" a="1"/>
  <c r="N8171" i="1" s="1"/>
  <c r="L8171" i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Q8172" i="1" l="1" a="1"/>
  <c r="Q8172" i="1" s="1"/>
  <c r="N8172" i="1" a="1"/>
  <c r="N8172" i="1" s="1"/>
  <c r="L8172" i="1" a="1"/>
  <c r="L8172" i="1" s="1"/>
  <c r="I8172" i="1" a="1"/>
  <c r="I8172" i="1" s="1"/>
  <c r="C8173" i="1"/>
  <c r="O8172" i="1" a="1"/>
  <c r="O8172" i="1" s="1"/>
  <c r="H8172" i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Q8173" i="1" l="1" a="1"/>
  <c r="Q8173" i="1" s="1"/>
  <c r="N8173" i="1" a="1"/>
  <c r="N8173" i="1" s="1"/>
  <c r="L8173" i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R8196" i="1" a="1"/>
  <c r="R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Q8174" i="1" l="1" a="1"/>
  <c r="Q8174" i="1" s="1"/>
  <c r="N8174" i="1" a="1"/>
  <c r="N8174" i="1" s="1"/>
  <c r="L8174" i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J8197" i="1" a="1"/>
  <c r="J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Q8175" i="1" l="1" a="1"/>
  <c r="Q8175" i="1" s="1"/>
  <c r="N8175" i="1" a="1"/>
  <c r="N8175" i="1" s="1"/>
  <c r="L8175" i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R8198" i="1" a="1"/>
  <c r="R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Q8176" i="1" a="1"/>
  <c r="Q8176" i="1" s="1"/>
  <c r="N8176" i="1" a="1"/>
  <c r="N8176" i="1" s="1"/>
  <c r="L8176" i="1" a="1"/>
  <c r="L8176" i="1" s="1"/>
  <c r="I8176" i="1" a="1"/>
  <c r="I8176" i="1" s="1"/>
  <c r="O8176" i="1" a="1"/>
  <c r="O8176" i="1" s="1"/>
  <c r="C8177" i="1"/>
  <c r="H8176" i="1"/>
  <c r="A8181" i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Q8177" i="1" l="1" a="1"/>
  <c r="Q8177" i="1" s="1"/>
  <c r="N8177" i="1" a="1"/>
  <c r="N8177" i="1" s="1"/>
  <c r="L8177" i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Q8178" i="1" l="1" a="1"/>
  <c r="Q8178" i="1" s="1"/>
  <c r="N8178" i="1" a="1"/>
  <c r="N8178" i="1" s="1"/>
  <c r="L8178" i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Q8179" i="1" l="1" a="1"/>
  <c r="Q8179" i="1" s="1"/>
  <c r="N8179" i="1" a="1"/>
  <c r="N8179" i="1" s="1"/>
  <c r="L8179" i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Q8180" i="1" l="1" a="1"/>
  <c r="Q8180" i="1" s="1"/>
  <c r="N8180" i="1" a="1"/>
  <c r="N8180" i="1" s="1"/>
  <c r="L8180" i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Q8181" i="1" l="1" a="1"/>
  <c r="Q8181" i="1" s="1"/>
  <c r="N8181" i="1" a="1"/>
  <c r="N8181" i="1" s="1"/>
  <c r="L8181" i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Q8182" i="1" l="1" a="1"/>
  <c r="Q8182" i="1" s="1"/>
  <c r="N8182" i="1" a="1"/>
  <c r="N8182" i="1" s="1"/>
  <c r="L8182" i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Q8183" i="1" l="1" a="1"/>
  <c r="Q8183" i="1" s="1"/>
  <c r="N8183" i="1" a="1"/>
  <c r="N8183" i="1" s="1"/>
  <c r="L8183" i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Q8184" i="1" l="1" a="1"/>
  <c r="Q8184" i="1" s="1"/>
  <c r="N8184" i="1" a="1"/>
  <c r="N8184" i="1" s="1"/>
  <c r="L8184" i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Q8185" i="1" l="1" a="1"/>
  <c r="Q8185" i="1" s="1"/>
  <c r="N8185" i="1" a="1"/>
  <c r="N8185" i="1" s="1"/>
  <c r="L8185" i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Q8186" i="1" l="1" a="1"/>
  <c r="Q8186" i="1" s="1"/>
  <c r="N8186" i="1" a="1"/>
  <c r="N8186" i="1" s="1"/>
  <c r="L8186" i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Q8187" i="1" l="1" a="1"/>
  <c r="Q8187" i="1" s="1"/>
  <c r="N8187" i="1" a="1"/>
  <c r="N8187" i="1" s="1"/>
  <c r="L8187" i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Q8188" i="1" l="1" a="1"/>
  <c r="Q8188" i="1" s="1"/>
  <c r="N8188" i="1" a="1"/>
  <c r="N8188" i="1" s="1"/>
  <c r="L8188" i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Q8189" i="1" l="1" a="1"/>
  <c r="Q8189" i="1" s="1"/>
  <c r="N8189" i="1" a="1"/>
  <c r="N8189" i="1" s="1"/>
  <c r="L8189" i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Q8190" i="1" l="1" a="1"/>
  <c r="Q8190" i="1" s="1"/>
  <c r="N8190" i="1" a="1"/>
  <c r="N8190" i="1" s="1"/>
  <c r="L8190" i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191" i="1" l="1" a="1"/>
  <c r="Q8191" i="1" s="1"/>
  <c r="N8191" i="1" a="1"/>
  <c r="N8191" i="1" s="1"/>
  <c r="L8191" i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Q8192" i="1" l="1" a="1"/>
  <c r="Q8192" i="1" s="1"/>
  <c r="N8192" i="1" a="1"/>
  <c r="N8192" i="1" s="1"/>
  <c r="L8192" i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Q8193" i="1" l="1" a="1"/>
  <c r="Q8193" i="1" s="1"/>
  <c r="N8193" i="1" a="1"/>
  <c r="N8193" i="1" s="1"/>
  <c r="L8193" i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Q8194" i="1" l="1" a="1"/>
  <c r="Q8194" i="1" s="1"/>
  <c r="N8194" i="1" a="1"/>
  <c r="N8194" i="1" s="1"/>
  <c r="L8194" i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2" i="2" l="1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Q8195" i="1" a="1"/>
  <c r="Q8195" i="1" s="1"/>
  <c r="N8195" i="1" a="1"/>
  <c r="N8195" i="1" s="1"/>
  <c r="C301" i="2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Q8196" i="1" l="1" a="1"/>
  <c r="Q8196" i="1" s="1"/>
  <c r="N8196" i="1" a="1"/>
  <c r="N8196" i="1" s="1"/>
  <c r="L8196" i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Q8197" i="1" l="1" a="1"/>
  <c r="Q8197" i="1" s="1"/>
  <c r="N8197" i="1" a="1"/>
  <c r="N8197" i="1" s="1"/>
  <c r="L8197" i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Q8198" i="1" l="1" a="1"/>
  <c r="Q8198" i="1" s="1"/>
  <c r="N8198" i="1" a="1"/>
  <c r="N8198" i="1" s="1"/>
  <c r="L8198" i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Q8199" i="1" l="1" a="1"/>
  <c r="Q8199" i="1" s="1"/>
  <c r="N8199" i="1" a="1"/>
  <c r="N8199" i="1" s="1"/>
  <c r="L8199" i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<sst xmlns="http://schemas.openxmlformats.org/spreadsheetml/2006/main" count="81754" uniqueCount="26">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</sst>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tabSelected="1" zoomScale="90" zoomScaleNormal="90" workbookViewId="0">
      <pane ySplit="1" topLeftCell="A8128" activePane="bottomLeft" state="frozen"/>
      <selection pane="bottomLeft" activeCell="D8129" sqref="D812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tr">
        <f t="shared" ref="A8129:C8129" si="1411">B8128</f>
        <v>Northern Cardinal</v>
      </c>
      <c r="C8129" s="6">
        <f t="shared" si="1411"/>
        <v>0.73958333333333337</v>
      </c>
      <c r="D8129" s="5"/>
      <c r="E8129" s="5"/>
      <c r="F8129" s="5" t="s">
        <v>9</v>
      </c>
      <c r="G8129" s="15" t="s">
        <v>8</v>
      </c>
      <c r="H8129" s="24">
        <f t="shared" ref="H8102:H8159" si="1412">IFERROR((($A8129+$C8129) - ($A8128+$C8128))*24*60, "")</f>
        <v>1440</v>
      </c>
      <c r="I8129" s="24" cm="1">
        <f t="array" ref="I8129">IFERROR(IF($B8129=I$1, ($A8129+$C8129) - MAX(IF($B$2:$B8128=$B8129, $A$2:$A8128+$C$2:$C8128)), "")*24*60, "")</f>
        <v>1440</v>
      </c>
      <c r="J8129" s="24" t="str" cm="1">
        <f t="array" ref="J8129">IFERROR(IF($B8129=J$1, ($A8129+$C8129) - MAX(IF($B$2:$B8128=$B8129, $A$2:$A8128+$C$2:$C8128)), "")*24*60, "")</f>
        <v/>
      </c>
      <c r="K8129" s="24" t="str" cm="1">
        <f t="array" ref="K8129">IFERROR(IF($B8129=K$1, ($A8129+$C8129) - MAX(IF($B$2:$B8128=$B8129, $A$2:$A8128+$C$2:$C8128)), "")*24*60, "")</f>
        <v/>
      </c>
      <c r="L8129" s="24" t="str" cm="1">
        <f t="array" ref="L8129">IFERROR(IF($B8129=L$1, ($A8129+$C8129) - MAX(IF($B$2:$B8128=$B8129, $A$2:$A8128+$C$2:$C8128)), "")*24*60, "")</f>
        <v/>
      </c>
      <c r="M8129" s="24" t="str" cm="1">
        <f t="array" ref="M8129">IFERROR(IF($B8129=M$1, ($A8129+$C8129) - MAX(IF($B$2:$B8128=$B8129, $A$2:$A8128+$C$2:$C8128)), "")*24*60, "")</f>
        <v/>
      </c>
      <c r="N8129" s="24" t="str" cm="1">
        <f t="array" ref="N8129">IFERROR(IF($B8129=N$1, ($A8129+$C8129) - MAX(IF($B$2:$B8128=$B8129, $A$2:$A8128+$C$2:$C8128)), "")*24*60, "")</f>
        <v/>
      </c>
      <c r="O8129" s="24" t="str" cm="1">
        <f t="array" ref="O8129">IFERROR(IF($B8129=O$1, ($A8129+$C8129) - MAX(IF($B$2:$B8128=$B8129, $A$2:$A8128+$C$2:$C8128)), "")*24*60, "")</f>
        <v/>
      </c>
      <c r="P8129" s="24" t="str" cm="1">
        <f t="array" ref="P8129">IFERROR(IF($B8129=P$1, ($A8129+$C8129) - MAX(IF($B$2:$B8128=$B8129, $A$2:$A8128+$C$2:$C8128)), "")*24*60, "")</f>
        <v/>
      </c>
      <c r="Q8129" s="24" t="str" cm="1">
        <f t="array" ref="Q8129">IFERROR(IF($B8129=Q$1, ($A8129+$C8129) - MAX(IF($B$2:$B8128=$B8129, $A$2:$A8128+$C$2:$C8128)), "")*24*60, "")</f>
        <v/>
      </c>
      <c r="R8129" s="24" t="str" cm="1">
        <f t="array" ref="R8129">IFERROR(IF($B8129=R$1, ($A8129+$C8129) - MAX(IF($B$2:$B8128=$B8129, $A$2:$A8128+$C$2:$C8128)), "")*24*60, "")</f>
        <v/>
      </c>
      <c r="S8129" s="24" t="str" cm="1">
        <f t="array" ref="S8129">IFERROR(IF($B8129=S$1, ($A8129+$C8129) - MAX(IF($B$2:$B8128=$B8129, $A$2:$A8128+$C$2:$C8128)), "")*24*60, "")</f>
        <v/>
      </c>
    </row>
    <row r="8130" spans="1:19" x14ac:dyDescent="0.2">
      <c r="A8130" s="12">
        <f t="shared" ref="A8130:C8130" si="1413">A8129</f>
        <v>46026</v>
      </c>
      <c r="B8130" s="5" t="str">
        <f t="shared" si="1413"/>
        <v>Northern Cardinal</v>
      </c>
      <c r="C8130" s="6">
        <f t="shared" si="1413"/>
        <v>0.73958333333333337</v>
      </c>
      <c r="D8130" s="5"/>
      <c r="E8130" s="5"/>
      <c r="F8130" s="5" t="s">
        <v>9</v>
      </c>
      <c r="G8130" s="15" t="s">
        <v>8</v>
      </c>
      <c r="H8130" s="24">
        <f t="shared" si="1412"/>
        <v>0</v>
      </c>
      <c r="I8130" s="24" cm="1">
        <f t="array" ref="I8130">IFERROR(IF($B8130=I$1, ($A8130+$C8130) - MAX(IF($B$2:$B8129=$B8130, $A$2:$A8129+$C$2:$C8129)), "")*24*60, "")</f>
        <v>0</v>
      </c>
      <c r="J8130" s="24" t="str" cm="1">
        <f t="array" ref="J8130">IFERROR(IF($B8130=J$1, ($A8130+$C8130) - MAX(IF($B$2:$B8129=$B8130, $A$2:$A8129+$C$2:$C8129)), "")*24*60, "")</f>
        <v/>
      </c>
      <c r="K8130" s="24" t="str" cm="1">
        <f t="array" ref="K8130">IFERROR(IF($B8130=K$1, ($A8130+$C8130) - MAX(IF($B$2:$B8129=$B8130, $A$2:$A8129+$C$2:$C8129)), "")*24*60, "")</f>
        <v/>
      </c>
      <c r="L8130" s="24" t="str" cm="1">
        <f t="array" ref="L8130">IFERROR(IF($B8130=L$1, ($A8130+$C8130) - MAX(IF($B$2:$B8129=$B8130, $A$2:$A8129+$C$2:$C8129)), "")*24*60, "")</f>
        <v/>
      </c>
      <c r="M8130" s="24" t="str" cm="1">
        <f t="array" ref="M8130">IFERROR(IF($B8130=M$1, ($A8130+$C8130) - MAX(IF($B$2:$B8129=$B8130, $A$2:$A8129+$C$2:$C8129)), "")*24*60, "")</f>
        <v/>
      </c>
      <c r="N8130" s="24" t="str" cm="1">
        <f t="array" ref="N8130">IFERROR(IF($B8130=N$1, ($A8130+$C8130) - MAX(IF($B$2:$B8129=$B8130, $A$2:$A8129+$C$2:$C8129)), "")*24*60, "")</f>
        <v/>
      </c>
      <c r="O8130" s="24" t="str" cm="1">
        <f t="array" ref="O8130">IFERROR(IF($B8130=O$1, ($A8130+$C8130) - MAX(IF($B$2:$B8129=$B8130, $A$2:$A8129+$C$2:$C8129)), "")*24*60, "")</f>
        <v/>
      </c>
      <c r="P8130" s="24" t="str" cm="1">
        <f t="array" ref="P8130">IFERROR(IF($B8130=P$1, ($A8130+$C8130) - MAX(IF($B$2:$B8129=$B8130, $A$2:$A8129+$C$2:$C8129)), "")*24*60, "")</f>
        <v/>
      </c>
      <c r="Q8130" s="24" t="str" cm="1">
        <f t="array" ref="Q8130">IFERROR(IF($B8130=Q$1, ($A8130+$C8130) - MAX(IF($B$2:$B8129=$B8130, $A$2:$A8129+$C$2:$C8129)), "")*24*60, "")</f>
        <v/>
      </c>
      <c r="R8130" s="24" t="str" cm="1">
        <f t="array" ref="R8130">IFERROR(IF($B8130=R$1, ($A8130+$C8130) - MAX(IF($B$2:$B8129=$B8130, $A$2:$A8129+$C$2:$C8129)), "")*24*60, "")</f>
        <v/>
      </c>
      <c r="S8130" s="24" t="str" cm="1">
        <f t="array" ref="S8130">IFERROR(IF($B8130=S$1, ($A8130+$C8130) - MAX(IF($B$2:$B8129=$B8130, $A$2:$A8129+$C$2:$C8129)), "")*24*60, "")</f>
        <v/>
      </c>
    </row>
    <row r="8131" spans="1:19" x14ac:dyDescent="0.2">
      <c r="A8131" s="12">
        <f t="shared" ref="A8131:C8131" si="1414">A8130</f>
        <v>46026</v>
      </c>
      <c r="B8131" s="5" t="str">
        <f t="shared" si="1414"/>
        <v>Northern Cardinal</v>
      </c>
      <c r="C8131" s="6">
        <f t="shared" si="1414"/>
        <v>0.73958333333333337</v>
      </c>
      <c r="D8131" s="5"/>
      <c r="E8131" s="5"/>
      <c r="F8131" s="5" t="s">
        <v>9</v>
      </c>
      <c r="G8131" s="15" t="s">
        <v>8</v>
      </c>
      <c r="H8131" s="24">
        <f t="shared" si="1412"/>
        <v>0</v>
      </c>
      <c r="I8131" s="24" cm="1">
        <f t="array" ref="I8131">IFERROR(IF($B8131=I$1, ($A8131+$C8131) - MAX(IF($B$2:$B8130=$B8131, $A$2:$A8130+$C$2:$C8130)), "")*24*60, "")</f>
        <v>0</v>
      </c>
      <c r="J8131" s="24" t="str" cm="1">
        <f t="array" ref="J8131">IFERROR(IF($B8131=J$1, ($A8131+$C8131) - MAX(IF($B$2:$B8130=$B8131, $A$2:$A8130+$C$2:$C8130)), "")*24*60, "")</f>
        <v/>
      </c>
      <c r="K8131" s="24" t="str" cm="1">
        <f t="array" ref="K8131">IFERROR(IF($B8131=K$1, ($A8131+$C8131) - MAX(IF($B$2:$B8130=$B8131, $A$2:$A8130+$C$2:$C8130)), "")*24*60, "")</f>
        <v/>
      </c>
      <c r="L8131" s="24" t="str" cm="1">
        <f t="array" ref="L8131">IFERROR(IF($B8131=L$1, ($A8131+$C8131) - MAX(IF($B$2:$B8130=$B8131, $A$2:$A8130+$C$2:$C8130)), "")*24*60, "")</f>
        <v/>
      </c>
      <c r="M8131" s="24" t="str" cm="1">
        <f t="array" ref="M8131">IFERROR(IF($B8131=M$1, ($A8131+$C8131) - MAX(IF($B$2:$B8130=$B8131, $A$2:$A8130+$C$2:$C8130)), "")*24*60, "")</f>
        <v/>
      </c>
      <c r="N8131" s="24" t="str" cm="1">
        <f t="array" ref="N8131">IFERROR(IF($B8131=N$1, ($A8131+$C8131) - MAX(IF($B$2:$B8130=$B8131, $A$2:$A8130+$C$2:$C8130)), "")*24*60, "")</f>
        <v/>
      </c>
      <c r="O8131" s="24" t="str" cm="1">
        <f t="array" ref="O8131">IFERROR(IF($B8131=O$1, ($A8131+$C8131) - MAX(IF($B$2:$B8130=$B8131, $A$2:$A8130+$C$2:$C8130)), "")*24*60, "")</f>
        <v/>
      </c>
      <c r="P8131" s="24" t="str" cm="1">
        <f t="array" ref="P8131">IFERROR(IF($B8131=P$1, ($A8131+$C8131) - MAX(IF($B$2:$B8130=$B8131, $A$2:$A8130+$C$2:$C8130)), "")*24*60, "")</f>
        <v/>
      </c>
      <c r="Q8131" s="24" t="str" cm="1">
        <f t="array" ref="Q8131">IFERROR(IF($B8131=Q$1, ($A8131+$C8131) - MAX(IF($B$2:$B8130=$B8131, $A$2:$A8130+$C$2:$C8130)), "")*24*60, "")</f>
        <v/>
      </c>
      <c r="R8131" s="24" t="str" cm="1">
        <f t="array" ref="R8131">IFERROR(IF($B8131=R$1, ($A8131+$C8131) - MAX(IF($B$2:$B8130=$B8131, $A$2:$A8130+$C$2:$C8130)), "")*24*60, "")</f>
        <v/>
      </c>
      <c r="S8131" s="24" t="str" cm="1">
        <f t="array" ref="S8131">IFERROR(IF($B8131=S$1, ($A8131+$C8131) - MAX(IF($B$2:$B8130=$B8131, $A$2:$A8130+$C$2:$C8130)), "")*24*60, "")</f>
        <v/>
      </c>
    </row>
    <row r="8132" spans="1:19" x14ac:dyDescent="0.2">
      <c r="A8132" s="12">
        <f t="shared" ref="A8132:C8132" si="1415">A8131</f>
        <v>46026</v>
      </c>
      <c r="B8132" s="5" t="str">
        <f t="shared" si="1415"/>
        <v>Northern Cardinal</v>
      </c>
      <c r="C8132" s="6">
        <f t="shared" si="1415"/>
        <v>0.73958333333333337</v>
      </c>
      <c r="D8132" s="5"/>
      <c r="E8132" s="5"/>
      <c r="F8132" s="5" t="s">
        <v>9</v>
      </c>
      <c r="G8132" s="15" t="s">
        <v>8</v>
      </c>
      <c r="H8132" s="24">
        <f t="shared" si="1412"/>
        <v>0</v>
      </c>
      <c r="I8132" s="24" cm="1">
        <f t="array" ref="I8132">IFERROR(IF($B8132=I$1, ($A8132+$C8132) - MAX(IF($B$2:$B8131=$B8132, $A$2:$A8131+$C$2:$C8131)), "")*24*60, "")</f>
        <v>0</v>
      </c>
      <c r="J8132" s="24" t="str" cm="1">
        <f t="array" ref="J8132">IFERROR(IF($B8132=J$1, ($A8132+$C8132) - MAX(IF($B$2:$B8131=$B8132, $A$2:$A8131+$C$2:$C8131)), "")*24*60, "")</f>
        <v/>
      </c>
      <c r="K8132" s="24" t="str" cm="1">
        <f t="array" ref="K8132">IFERROR(IF($B8132=K$1, ($A8132+$C8132) - MAX(IF($B$2:$B8131=$B8132, $A$2:$A8131+$C$2:$C8131)), "")*24*60, "")</f>
        <v/>
      </c>
      <c r="L8132" s="24" t="str" cm="1">
        <f t="array" ref="L8132">IFERROR(IF($B8132=L$1, ($A8132+$C8132) - MAX(IF($B$2:$B8131=$B8132, $A$2:$A8131+$C$2:$C8131)), "")*24*60, "")</f>
        <v/>
      </c>
      <c r="M8132" s="24" t="str" cm="1">
        <f t="array" ref="M8132">IFERROR(IF($B8132=M$1, ($A8132+$C8132) - MAX(IF($B$2:$B8131=$B8132, $A$2:$A8131+$C$2:$C8131)), "")*24*60, "")</f>
        <v/>
      </c>
      <c r="N8132" s="24" t="str" cm="1">
        <f t="array" ref="N8132">IFERROR(IF($B8132=N$1, ($A8132+$C8132) - MAX(IF($B$2:$B8131=$B8132, $A$2:$A8131+$C$2:$C8131)), "")*24*60, "")</f>
        <v/>
      </c>
      <c r="O8132" s="24" t="str" cm="1">
        <f t="array" ref="O8132">IFERROR(IF($B8132=O$1, ($A8132+$C8132) - MAX(IF($B$2:$B8131=$B8132, $A$2:$A8131+$C$2:$C8131)), "")*24*60, "")</f>
        <v/>
      </c>
      <c r="P8132" s="24" t="str" cm="1">
        <f t="array" ref="P8132">IFERROR(IF($B8132=P$1, ($A8132+$C8132) - MAX(IF($B$2:$B8131=$B8132, $A$2:$A8131+$C$2:$C8131)), "")*24*60, "")</f>
        <v/>
      </c>
      <c r="Q8132" s="24" t="str" cm="1">
        <f t="array" ref="Q8132">IFERROR(IF($B8132=Q$1, ($A8132+$C8132) - MAX(IF($B$2:$B8131=$B8132, $A$2:$A8131+$C$2:$C8131)), "")*24*60, "")</f>
        <v/>
      </c>
      <c r="R8132" s="24" t="str" cm="1">
        <f t="array" ref="R8132">IFERROR(IF($B8132=R$1, ($A8132+$C8132) - MAX(IF($B$2:$B8131=$B8132, $A$2:$A8131+$C$2:$C8131)), "")*24*60, "")</f>
        <v/>
      </c>
      <c r="S8132" s="24" t="str" cm="1">
        <f t="array" ref="S8132">IFERROR(IF($B8132=S$1, ($A8132+$C8132) - MAX(IF($B$2:$B8131=$B8132, $A$2:$A8131+$C$2:$C8131)), "")*24*60, "")</f>
        <v/>
      </c>
    </row>
    <row r="8133" spans="1:19" x14ac:dyDescent="0.2">
      <c r="A8133" s="12">
        <f t="shared" ref="A8133:C8133" si="1416">A8132</f>
        <v>46026</v>
      </c>
      <c r="B8133" s="5" t="str">
        <f t="shared" si="1416"/>
        <v>Northern Cardinal</v>
      </c>
      <c r="C8133" s="6">
        <f t="shared" si="1416"/>
        <v>0.73958333333333337</v>
      </c>
      <c r="D8133" s="5"/>
      <c r="E8133" s="5"/>
      <c r="F8133" s="5" t="s">
        <v>9</v>
      </c>
      <c r="G8133" s="15" t="s">
        <v>8</v>
      </c>
      <c r="H8133" s="24">
        <f t="shared" si="1412"/>
        <v>0</v>
      </c>
      <c r="I8133" s="24" cm="1">
        <f t="array" ref="I8133">IFERROR(IF($B8133=I$1, ($A8133+$C8133) - MAX(IF($B$2:$B8132=$B8133, $A$2:$A8132+$C$2:$C8132)), "")*24*60, "")</f>
        <v>0</v>
      </c>
      <c r="J8133" s="24" t="str" cm="1">
        <f t="array" ref="J8133">IFERROR(IF($B8133=J$1, ($A8133+$C8133) - MAX(IF($B$2:$B8132=$B8133, $A$2:$A8132+$C$2:$C8132)), "")*24*60, "")</f>
        <v/>
      </c>
      <c r="K8133" s="24" t="str" cm="1">
        <f t="array" ref="K8133">IFERROR(IF($B8133=K$1, ($A8133+$C8133) - MAX(IF($B$2:$B8132=$B8133, $A$2:$A8132+$C$2:$C8132)), "")*24*60, "")</f>
        <v/>
      </c>
      <c r="L8133" s="24" t="str" cm="1">
        <f t="array" ref="L8133">IFERROR(IF($B8133=L$1, ($A8133+$C8133) - MAX(IF($B$2:$B8132=$B8133, $A$2:$A8132+$C$2:$C8132)), "")*24*60, "")</f>
        <v/>
      </c>
      <c r="M8133" s="24" t="str" cm="1">
        <f t="array" ref="M8133">IFERROR(IF($B8133=M$1, ($A8133+$C8133) - MAX(IF($B$2:$B8132=$B8133, $A$2:$A8132+$C$2:$C8132)), "")*24*60, "")</f>
        <v/>
      </c>
      <c r="N8133" s="24" t="str" cm="1">
        <f t="array" ref="N8133">IFERROR(IF($B8133=N$1, ($A8133+$C8133) - MAX(IF($B$2:$B8132=$B8133, $A$2:$A8132+$C$2:$C8132)), "")*24*60, "")</f>
        <v/>
      </c>
      <c r="O8133" s="24" t="str" cm="1">
        <f t="array" ref="O8133">IFERROR(IF($B8133=O$1, ($A8133+$C8133) - MAX(IF($B$2:$B8132=$B8133, $A$2:$A8132+$C$2:$C8132)), "")*24*60, "")</f>
        <v/>
      </c>
      <c r="P8133" s="24" t="str" cm="1">
        <f t="array" ref="P8133">IFERROR(IF($B8133=P$1, ($A8133+$C8133) - MAX(IF($B$2:$B8132=$B8133, $A$2:$A8132+$C$2:$C8132)), "")*24*60, "")</f>
        <v/>
      </c>
      <c r="Q8133" s="24" t="str" cm="1">
        <f t="array" ref="Q8133">IFERROR(IF($B8133=Q$1, ($A8133+$C8133) - MAX(IF($B$2:$B8132=$B8133, $A$2:$A8132+$C$2:$C8132)), "")*24*60, "")</f>
        <v/>
      </c>
      <c r="R8133" s="24" t="str" cm="1">
        <f t="array" ref="R8133">IFERROR(IF($B8133=R$1, ($A8133+$C8133) - MAX(IF($B$2:$B8132=$B8133, $A$2:$A8132+$C$2:$C8132)), "")*24*60, "")</f>
        <v/>
      </c>
      <c r="S8133" s="24" t="str" cm="1">
        <f t="array" ref="S8133">IFERROR(IF($B8133=S$1, ($A8133+$C8133) - MAX(IF($B$2:$B8132=$B8133, $A$2:$A8132+$C$2:$C8132)), "")*24*60, "")</f>
        <v/>
      </c>
    </row>
    <row r="8134" spans="1:19" x14ac:dyDescent="0.2">
      <c r="A8134" s="12">
        <f t="shared" ref="A8134:C8134" si="1417">A8133</f>
        <v>46026</v>
      </c>
      <c r="B8134" s="5" t="str">
        <f t="shared" si="1417"/>
        <v>Northern Cardinal</v>
      </c>
      <c r="C8134" s="6">
        <f t="shared" si="1417"/>
        <v>0.73958333333333337</v>
      </c>
      <c r="D8134" s="5"/>
      <c r="E8134" s="5"/>
      <c r="F8134" s="5" t="s">
        <v>9</v>
      </c>
      <c r="G8134" s="15" t="s">
        <v>8</v>
      </c>
      <c r="H8134" s="24">
        <f t="shared" si="1412"/>
        <v>0</v>
      </c>
      <c r="I8134" s="24" cm="1">
        <f t="array" ref="I8134">IFERROR(IF($B8134=I$1, ($A8134+$C8134) - MAX(IF($B$2:$B8133=$B8134, $A$2:$A8133+$C$2:$C8133)), "")*24*60, "")</f>
        <v>0</v>
      </c>
      <c r="J8134" s="24" t="str" cm="1">
        <f t="array" ref="J8134">IFERROR(IF($B8134=J$1, ($A8134+$C8134) - MAX(IF($B$2:$B8133=$B8134, $A$2:$A8133+$C$2:$C8133)), "")*24*60, "")</f>
        <v/>
      </c>
      <c r="K8134" s="24" t="str" cm="1">
        <f t="array" ref="K8134">IFERROR(IF($B8134=K$1, ($A8134+$C8134) - MAX(IF($B$2:$B8133=$B8134, $A$2:$A8133+$C$2:$C8133)), "")*24*60, "")</f>
        <v/>
      </c>
      <c r="L8134" s="24" t="str" cm="1">
        <f t="array" ref="L8134">IFERROR(IF($B8134=L$1, ($A8134+$C8134) - MAX(IF($B$2:$B8133=$B8134, $A$2:$A8133+$C$2:$C8133)), "")*24*60, "")</f>
        <v/>
      </c>
      <c r="M8134" s="24" t="str" cm="1">
        <f t="array" ref="M8134">IFERROR(IF($B8134=M$1, ($A8134+$C8134) - MAX(IF($B$2:$B8133=$B8134, $A$2:$A8133+$C$2:$C8133)), "")*24*60, "")</f>
        <v/>
      </c>
      <c r="N8134" s="24" t="str" cm="1">
        <f t="array" ref="N8134">IFERROR(IF($B8134=N$1, ($A8134+$C8134) - MAX(IF($B$2:$B8133=$B8134, $A$2:$A8133+$C$2:$C8133)), "")*24*60, "")</f>
        <v/>
      </c>
      <c r="O8134" s="24" t="str" cm="1">
        <f t="array" ref="O8134">IFERROR(IF($B8134=O$1, ($A8134+$C8134) - MAX(IF($B$2:$B8133=$B8134, $A$2:$A8133+$C$2:$C8133)), "")*24*60, "")</f>
        <v/>
      </c>
      <c r="P8134" s="24" t="str" cm="1">
        <f t="array" ref="P8134">IFERROR(IF($B8134=P$1, ($A8134+$C8134) - MAX(IF($B$2:$B8133=$B8134, $A$2:$A8133+$C$2:$C8133)), "")*24*60, "")</f>
        <v/>
      </c>
      <c r="Q8134" s="24" t="str" cm="1">
        <f t="array" ref="Q8134">IFERROR(IF($B8134=Q$1, ($A8134+$C8134) - MAX(IF($B$2:$B8133=$B8134, $A$2:$A8133+$C$2:$C8133)), "")*24*60, "")</f>
        <v/>
      </c>
      <c r="R8134" s="24" t="str" cm="1">
        <f t="array" ref="R8134">IFERROR(IF($B8134=R$1, ($A8134+$C8134) - MAX(IF($B$2:$B8133=$B8134, $A$2:$A8133+$C$2:$C8133)), "")*24*60, "")</f>
        <v/>
      </c>
      <c r="S8134" s="24" t="str" cm="1">
        <f t="array" ref="S8134">IFERROR(IF($B8134=S$1, ($A8134+$C8134) - MAX(IF($B$2:$B8133=$B8134, $A$2:$A8133+$C$2:$C8133)), "")*24*60, "")</f>
        <v/>
      </c>
    </row>
    <row r="8135" spans="1:19" x14ac:dyDescent="0.2">
      <c r="A8135" s="12">
        <f t="shared" ref="A8135:C8135" si="1418">A8134</f>
        <v>46026</v>
      </c>
      <c r="B8135" s="5" t="str">
        <f t="shared" si="1418"/>
        <v>Northern Cardinal</v>
      </c>
      <c r="C8135" s="6">
        <f t="shared" si="1418"/>
        <v>0.73958333333333337</v>
      </c>
      <c r="D8135" s="5"/>
      <c r="E8135" s="5"/>
      <c r="F8135" s="5" t="s">
        <v>9</v>
      </c>
      <c r="G8135" s="15" t="s">
        <v>8</v>
      </c>
      <c r="H8135" s="24">
        <f t="shared" si="1412"/>
        <v>0</v>
      </c>
      <c r="I8135" s="24" cm="1">
        <f t="array" ref="I8135">IFERROR(IF($B8135=I$1, ($A8135+$C8135) - MAX(IF($B$2:$B8134=$B8135, $A$2:$A8134+$C$2:$C8134)), "")*24*60, "")</f>
        <v>0</v>
      </c>
      <c r="J8135" s="24" t="str" cm="1">
        <f t="array" ref="J8135">IFERROR(IF($B8135=J$1, ($A8135+$C8135) - MAX(IF($B$2:$B8134=$B8135, $A$2:$A8134+$C$2:$C8134)), "")*24*60, "")</f>
        <v/>
      </c>
      <c r="K8135" s="24" t="str" cm="1">
        <f t="array" ref="K8135">IFERROR(IF($B8135=K$1, ($A8135+$C8135) - MAX(IF($B$2:$B8134=$B8135, $A$2:$A8134+$C$2:$C8134)), "")*24*60, "")</f>
        <v/>
      </c>
      <c r="L8135" s="24" t="str" cm="1">
        <f t="array" ref="L8135">IFERROR(IF($B8135=L$1, ($A8135+$C8135) - MAX(IF($B$2:$B8134=$B8135, $A$2:$A8134+$C$2:$C8134)), "")*24*60, "")</f>
        <v/>
      </c>
      <c r="M8135" s="24" t="str" cm="1">
        <f t="array" ref="M8135">IFERROR(IF($B8135=M$1, ($A8135+$C8135) - MAX(IF($B$2:$B8134=$B8135, $A$2:$A8134+$C$2:$C8134)), "")*24*60, "")</f>
        <v/>
      </c>
      <c r="N8135" s="24" t="str" cm="1">
        <f t="array" ref="N8135">IFERROR(IF($B8135=N$1, ($A8135+$C8135) - MAX(IF($B$2:$B8134=$B8135, $A$2:$A8134+$C$2:$C8134)), "")*24*60, "")</f>
        <v/>
      </c>
      <c r="O8135" s="24" t="str" cm="1">
        <f t="array" ref="O8135">IFERROR(IF($B8135=O$1, ($A8135+$C8135) - MAX(IF($B$2:$B8134=$B8135, $A$2:$A8134+$C$2:$C8134)), "")*24*60, "")</f>
        <v/>
      </c>
      <c r="P8135" s="24" t="str" cm="1">
        <f t="array" ref="P8135">IFERROR(IF($B8135=P$1, ($A8135+$C8135) - MAX(IF($B$2:$B8134=$B8135, $A$2:$A8134+$C$2:$C8134)), "")*24*60, "")</f>
        <v/>
      </c>
      <c r="Q8135" s="24" t="str" cm="1">
        <f t="array" ref="Q8135">IFERROR(IF($B8135=Q$1, ($A8135+$C8135) - MAX(IF($B$2:$B8134=$B8135, $A$2:$A8134+$C$2:$C8134)), "")*24*60, "")</f>
        <v/>
      </c>
      <c r="R8135" s="24" t="str" cm="1">
        <f t="array" ref="R8135">IFERROR(IF($B8135=R$1, ($A8135+$C8135) - MAX(IF($B$2:$B8134=$B8135, $A$2:$A8134+$C$2:$C8134)), "")*24*60, "")</f>
        <v/>
      </c>
      <c r="S8135" s="24" t="str" cm="1">
        <f t="array" ref="S8135">IFERROR(IF($B8135=S$1, ($A8135+$C8135) - MAX(IF($B$2:$B8134=$B8135, $A$2:$A8134+$C$2:$C8134)), "")*24*60, "")</f>
        <v/>
      </c>
    </row>
    <row r="8136" spans="1:19" x14ac:dyDescent="0.2">
      <c r="A8136" s="12">
        <f t="shared" ref="A8136:C8136" si="1419">A8135</f>
        <v>46026</v>
      </c>
      <c r="B8136" s="5" t="str">
        <f t="shared" si="1419"/>
        <v>Northern Cardinal</v>
      </c>
      <c r="C8136" s="6">
        <f t="shared" si="1419"/>
        <v>0.73958333333333337</v>
      </c>
      <c r="D8136" s="5"/>
      <c r="E8136" s="5"/>
      <c r="F8136" s="5" t="s">
        <v>9</v>
      </c>
      <c r="G8136" s="15" t="s">
        <v>8</v>
      </c>
      <c r="H8136" s="24">
        <f t="shared" si="1412"/>
        <v>0</v>
      </c>
      <c r="I8136" s="24" cm="1">
        <f t="array" ref="I8136">IFERROR(IF($B8136=I$1, ($A8136+$C8136) - MAX(IF($B$2:$B8135=$B8136, $A$2:$A8135+$C$2:$C8135)), "")*24*60, "")</f>
        <v>0</v>
      </c>
      <c r="J8136" s="24" t="str" cm="1">
        <f t="array" ref="J8136">IFERROR(IF($B8136=J$1, ($A8136+$C8136) - MAX(IF($B$2:$B8135=$B8136, $A$2:$A8135+$C$2:$C8135)), "")*24*60, "")</f>
        <v/>
      </c>
      <c r="K8136" s="24" t="str" cm="1">
        <f t="array" ref="K8136">IFERROR(IF($B8136=K$1, ($A8136+$C8136) - MAX(IF($B$2:$B8135=$B8136, $A$2:$A8135+$C$2:$C8135)), "")*24*60, "")</f>
        <v/>
      </c>
      <c r="L8136" s="24" t="str" cm="1">
        <f t="array" ref="L8136">IFERROR(IF($B8136=L$1, ($A8136+$C8136) - MAX(IF($B$2:$B8135=$B8136, $A$2:$A8135+$C$2:$C8135)), "")*24*60, "")</f>
        <v/>
      </c>
      <c r="M8136" s="24" t="str" cm="1">
        <f t="array" ref="M8136">IFERROR(IF($B8136=M$1, ($A8136+$C8136) - MAX(IF($B$2:$B8135=$B8136, $A$2:$A8135+$C$2:$C8135)), "")*24*60, "")</f>
        <v/>
      </c>
      <c r="N8136" s="24" t="str" cm="1">
        <f t="array" ref="N8136">IFERROR(IF($B8136=N$1, ($A8136+$C8136) - MAX(IF($B$2:$B8135=$B8136, $A$2:$A8135+$C$2:$C8135)), "")*24*60, "")</f>
        <v/>
      </c>
      <c r="O8136" s="24" t="str" cm="1">
        <f t="array" ref="O8136">IFERROR(IF($B8136=O$1, ($A8136+$C8136) - MAX(IF($B$2:$B8135=$B8136, $A$2:$A8135+$C$2:$C8135)), "")*24*60, "")</f>
        <v/>
      </c>
      <c r="P8136" s="24" t="str" cm="1">
        <f t="array" ref="P8136">IFERROR(IF($B8136=P$1, ($A8136+$C8136) - MAX(IF($B$2:$B8135=$B8136, $A$2:$A8135+$C$2:$C8135)), "")*24*60, "")</f>
        <v/>
      </c>
      <c r="Q8136" s="24" t="str" cm="1">
        <f t="array" ref="Q8136">IFERROR(IF($B8136=Q$1, ($A8136+$C8136) - MAX(IF($B$2:$B8135=$B8136, $A$2:$A8135+$C$2:$C8135)), "")*24*60, "")</f>
        <v/>
      </c>
      <c r="R8136" s="24" t="str" cm="1">
        <f t="array" ref="R8136">IFERROR(IF($B8136=R$1, ($A8136+$C8136) - MAX(IF($B$2:$B8135=$B8136, $A$2:$A8135+$C$2:$C8135)), "")*24*60, "")</f>
        <v/>
      </c>
      <c r="S8136" s="24" t="str" cm="1">
        <f t="array" ref="S8136">IFERROR(IF($B8136=S$1, ($A8136+$C8136) - MAX(IF($B$2:$B8135=$B8136, $A$2:$A8135+$C$2:$C8135)), "")*24*60, "")</f>
        <v/>
      </c>
    </row>
    <row r="8137" spans="1:19" x14ac:dyDescent="0.2">
      <c r="A8137" s="12">
        <f t="shared" ref="A8137:C8137" si="1420">A8136</f>
        <v>46026</v>
      </c>
      <c r="B8137" s="5" t="str">
        <f t="shared" si="1420"/>
        <v>Northern Cardinal</v>
      </c>
      <c r="C8137" s="6">
        <f t="shared" si="1420"/>
        <v>0.73958333333333337</v>
      </c>
      <c r="D8137" s="5"/>
      <c r="E8137" s="5"/>
      <c r="F8137" s="5" t="s">
        <v>9</v>
      </c>
      <c r="G8137" s="15" t="s">
        <v>8</v>
      </c>
      <c r="H8137" s="24">
        <f t="shared" si="1412"/>
        <v>0</v>
      </c>
      <c r="I8137" s="24" cm="1">
        <f t="array" ref="I8137">IFERROR(IF($B8137=I$1, ($A8137+$C8137) - MAX(IF($B$2:$B8136=$B8137, $A$2:$A8136+$C$2:$C8136)), "")*24*60, "")</f>
        <v>0</v>
      </c>
      <c r="J8137" s="24" t="str" cm="1">
        <f t="array" ref="J8137">IFERROR(IF($B8137=J$1, ($A8137+$C8137) - MAX(IF($B$2:$B8136=$B8137, $A$2:$A8136+$C$2:$C8136)), "")*24*60, "")</f>
        <v/>
      </c>
      <c r="K8137" s="24" t="str" cm="1">
        <f t="array" ref="K8137">IFERROR(IF($B8137=K$1, ($A8137+$C8137) - MAX(IF($B$2:$B8136=$B8137, $A$2:$A8136+$C$2:$C8136)), "")*24*60, "")</f>
        <v/>
      </c>
      <c r="L8137" s="24" t="str" cm="1">
        <f t="array" ref="L8137">IFERROR(IF($B8137=L$1, ($A8137+$C8137) - MAX(IF($B$2:$B8136=$B8137, $A$2:$A8136+$C$2:$C8136)), "")*24*60, "")</f>
        <v/>
      </c>
      <c r="M8137" s="24" t="str" cm="1">
        <f t="array" ref="M8137">IFERROR(IF($B8137=M$1, ($A8137+$C8137) - MAX(IF($B$2:$B8136=$B8137, $A$2:$A8136+$C$2:$C8136)), "")*24*60, "")</f>
        <v/>
      </c>
      <c r="N8137" s="24" t="str" cm="1">
        <f t="array" ref="N8137">IFERROR(IF($B8137=N$1, ($A8137+$C8137) - MAX(IF($B$2:$B8136=$B8137, $A$2:$A8136+$C$2:$C8136)), "")*24*60, "")</f>
        <v/>
      </c>
      <c r="O8137" s="24" t="str" cm="1">
        <f t="array" ref="O8137">IFERROR(IF($B8137=O$1, ($A8137+$C8137) - MAX(IF($B$2:$B8136=$B8137, $A$2:$A8136+$C$2:$C8136)), "")*24*60, "")</f>
        <v/>
      </c>
      <c r="P8137" s="24" t="str" cm="1">
        <f t="array" ref="P8137">IFERROR(IF($B8137=P$1, ($A8137+$C8137) - MAX(IF($B$2:$B8136=$B8137, $A$2:$A8136+$C$2:$C8136)), "")*24*60, "")</f>
        <v/>
      </c>
      <c r="Q8137" s="24" t="str" cm="1">
        <f t="array" ref="Q8137">IFERROR(IF($B8137=Q$1, ($A8137+$C8137) - MAX(IF($B$2:$B8136=$B8137, $A$2:$A8136+$C$2:$C8136)), "")*24*60, "")</f>
        <v/>
      </c>
      <c r="R8137" s="24" t="str" cm="1">
        <f t="array" ref="R8137">IFERROR(IF($B8137=R$1, ($A8137+$C8137) - MAX(IF($B$2:$B8136=$B8137, $A$2:$A8136+$C$2:$C8136)), "")*24*60, "")</f>
        <v/>
      </c>
      <c r="S8137" s="24" t="str" cm="1">
        <f t="array" ref="S8137">IFERROR(IF($B8137=S$1, ($A8137+$C8137) - MAX(IF($B$2:$B8136=$B8137, $A$2:$A8136+$C$2:$C8136)), "")*24*60, "")</f>
        <v/>
      </c>
    </row>
    <row r="8138" spans="1:19" x14ac:dyDescent="0.2">
      <c r="A8138" s="12">
        <f t="shared" ref="A8138:C8138" si="1421">A8137</f>
        <v>46026</v>
      </c>
      <c r="B8138" s="5" t="str">
        <f t="shared" si="1421"/>
        <v>Northern Cardinal</v>
      </c>
      <c r="C8138" s="6">
        <f t="shared" si="1421"/>
        <v>0.73958333333333337</v>
      </c>
      <c r="D8138" s="5"/>
      <c r="E8138" s="5"/>
      <c r="F8138" s="5" t="s">
        <v>9</v>
      </c>
      <c r="G8138" s="15" t="s">
        <v>8</v>
      </c>
      <c r="H8138" s="24">
        <f t="shared" si="1412"/>
        <v>0</v>
      </c>
      <c r="I8138" s="24" cm="1">
        <f t="array" ref="I8138">IFERROR(IF($B8138=I$1, ($A8138+$C8138) - MAX(IF($B$2:$B8137=$B8138, $A$2:$A8137+$C$2:$C8137)), "")*24*60, "")</f>
        <v>0</v>
      </c>
      <c r="J8138" s="24" t="str" cm="1">
        <f t="array" ref="J8138">IFERROR(IF($B8138=J$1, ($A8138+$C8138) - MAX(IF($B$2:$B8137=$B8138, $A$2:$A8137+$C$2:$C8137)), "")*24*60, "")</f>
        <v/>
      </c>
      <c r="K8138" s="24" t="str" cm="1">
        <f t="array" ref="K8138">IFERROR(IF($B8138=K$1, ($A8138+$C8138) - MAX(IF($B$2:$B8137=$B8138, $A$2:$A8137+$C$2:$C8137)), "")*24*60, "")</f>
        <v/>
      </c>
      <c r="L8138" s="24" t="str" cm="1">
        <f t="array" ref="L8138">IFERROR(IF($B8138=L$1, ($A8138+$C8138) - MAX(IF($B$2:$B8137=$B8138, $A$2:$A8137+$C$2:$C8137)), "")*24*60, "")</f>
        <v/>
      </c>
      <c r="M8138" s="24" t="str" cm="1">
        <f t="array" ref="M8138">IFERROR(IF($B8138=M$1, ($A8138+$C8138) - MAX(IF($B$2:$B8137=$B8138, $A$2:$A8137+$C$2:$C8137)), "")*24*60, "")</f>
        <v/>
      </c>
      <c r="N8138" s="24" t="str" cm="1">
        <f t="array" ref="N8138">IFERROR(IF($B8138=N$1, ($A8138+$C8138) - MAX(IF($B$2:$B8137=$B8138, $A$2:$A8137+$C$2:$C8137)), "")*24*60, "")</f>
        <v/>
      </c>
      <c r="O8138" s="24" t="str" cm="1">
        <f t="array" ref="O8138">IFERROR(IF($B8138=O$1, ($A8138+$C8138) - MAX(IF($B$2:$B8137=$B8138, $A$2:$A8137+$C$2:$C8137)), "")*24*60, "")</f>
        <v/>
      </c>
      <c r="P8138" s="24" t="str" cm="1">
        <f t="array" ref="P8138">IFERROR(IF($B8138=P$1, ($A8138+$C8138) - MAX(IF($B$2:$B8137=$B8138, $A$2:$A8137+$C$2:$C8137)), "")*24*60, "")</f>
        <v/>
      </c>
      <c r="Q8138" s="24" t="str" cm="1">
        <f t="array" ref="Q8138">IFERROR(IF($B8138=Q$1, ($A8138+$C8138) - MAX(IF($B$2:$B8137=$B8138, $A$2:$A8137+$C$2:$C8137)), "")*24*60, "")</f>
        <v/>
      </c>
      <c r="R8138" s="24" t="str" cm="1">
        <f t="array" ref="R8138">IFERROR(IF($B8138=R$1, ($A8138+$C8138) - MAX(IF($B$2:$B8137=$B8138, $A$2:$A8137+$C$2:$C8137)), "")*24*60, "")</f>
        <v/>
      </c>
      <c r="S8138" s="24" t="str" cm="1">
        <f t="array" ref="S8138">IFERROR(IF($B8138=S$1, ($A8138+$C8138) - MAX(IF($B$2:$B8137=$B8138, $A$2:$A8137+$C$2:$C8137)), "")*24*60, "")</f>
        <v/>
      </c>
    </row>
    <row r="8139" spans="1:19" x14ac:dyDescent="0.2">
      <c r="A8139" s="12">
        <f t="shared" ref="A8139:C8139" si="1422">A8138</f>
        <v>46026</v>
      </c>
      <c r="B8139" s="5" t="str">
        <f t="shared" si="1422"/>
        <v>Northern Cardinal</v>
      </c>
      <c r="C8139" s="6">
        <f t="shared" si="1422"/>
        <v>0.73958333333333337</v>
      </c>
      <c r="D8139" s="5"/>
      <c r="E8139" s="5"/>
      <c r="F8139" s="5" t="s">
        <v>9</v>
      </c>
      <c r="G8139" s="15" t="s">
        <v>8</v>
      </c>
      <c r="H8139" s="24">
        <f t="shared" si="1412"/>
        <v>0</v>
      </c>
      <c r="I8139" s="24" cm="1">
        <f t="array" ref="I8139">IFERROR(IF($B8139=I$1, ($A8139+$C8139) - MAX(IF($B$2:$B8138=$B8139, $A$2:$A8138+$C$2:$C8138)), "")*24*60, "")</f>
        <v>0</v>
      </c>
      <c r="J8139" s="24" t="str" cm="1">
        <f t="array" ref="J8139">IFERROR(IF($B8139=J$1, ($A8139+$C8139) - MAX(IF($B$2:$B8138=$B8139, $A$2:$A8138+$C$2:$C8138)), "")*24*60, "")</f>
        <v/>
      </c>
      <c r="K8139" s="24" t="str" cm="1">
        <f t="array" ref="K8139">IFERROR(IF($B8139=K$1, ($A8139+$C8139) - MAX(IF($B$2:$B8138=$B8139, $A$2:$A8138+$C$2:$C8138)), "")*24*60, "")</f>
        <v/>
      </c>
      <c r="L8139" s="24" t="str" cm="1">
        <f t="array" ref="L8139">IFERROR(IF($B8139=L$1, ($A8139+$C8139) - MAX(IF($B$2:$B8138=$B8139, $A$2:$A8138+$C$2:$C8138)), "")*24*60, "")</f>
        <v/>
      </c>
      <c r="M8139" s="24" t="str" cm="1">
        <f t="array" ref="M8139">IFERROR(IF($B8139=M$1, ($A8139+$C8139) - MAX(IF($B$2:$B8138=$B8139, $A$2:$A8138+$C$2:$C8138)), "")*24*60, "")</f>
        <v/>
      </c>
      <c r="N8139" s="24" t="str" cm="1">
        <f t="array" ref="N8139">IFERROR(IF($B8139=N$1, ($A8139+$C8139) - MAX(IF($B$2:$B8138=$B8139, $A$2:$A8138+$C$2:$C8138)), "")*24*60, "")</f>
        <v/>
      </c>
      <c r="O8139" s="24" t="str" cm="1">
        <f t="array" ref="O8139">IFERROR(IF($B8139=O$1, ($A8139+$C8139) - MAX(IF($B$2:$B8138=$B8139, $A$2:$A8138+$C$2:$C8138)), "")*24*60, "")</f>
        <v/>
      </c>
      <c r="P8139" s="24" t="str" cm="1">
        <f t="array" ref="P8139">IFERROR(IF($B8139=P$1, ($A8139+$C8139) - MAX(IF($B$2:$B8138=$B8139, $A$2:$A8138+$C$2:$C8138)), "")*24*60, "")</f>
        <v/>
      </c>
      <c r="Q8139" s="24" t="str" cm="1">
        <f t="array" ref="Q8139">IFERROR(IF($B8139=Q$1, ($A8139+$C8139) - MAX(IF($B$2:$B8138=$B8139, $A$2:$A8138+$C$2:$C8138)), "")*24*60, "")</f>
        <v/>
      </c>
      <c r="R8139" s="24" t="str" cm="1">
        <f t="array" ref="R8139">IFERROR(IF($B8139=R$1, ($A8139+$C8139) - MAX(IF($B$2:$B8138=$B8139, $A$2:$A8138+$C$2:$C8138)), "")*24*60, "")</f>
        <v/>
      </c>
      <c r="S8139" s="24" t="str" cm="1">
        <f t="array" ref="S8139">IFERROR(IF($B8139=S$1, ($A8139+$C8139) - MAX(IF($B$2:$B8138=$B8139, $A$2:$A8138+$C$2:$C8138)), "")*24*60, "")</f>
        <v/>
      </c>
    </row>
    <row r="8140" spans="1:19" x14ac:dyDescent="0.2">
      <c r="A8140" s="12">
        <f t="shared" ref="A8140:C8140" si="1423">A8139</f>
        <v>46026</v>
      </c>
      <c r="B8140" s="5" t="str">
        <f t="shared" si="1423"/>
        <v>Northern Cardinal</v>
      </c>
      <c r="C8140" s="6">
        <f t="shared" si="1423"/>
        <v>0.73958333333333337</v>
      </c>
      <c r="D8140" s="5"/>
      <c r="E8140" s="5"/>
      <c r="F8140" s="5" t="s">
        <v>9</v>
      </c>
      <c r="G8140" s="15" t="s">
        <v>8</v>
      </c>
      <c r="H8140" s="24">
        <f t="shared" si="1412"/>
        <v>0</v>
      </c>
      <c r="I8140" s="24" cm="1">
        <f t="array" ref="I8140">IFERROR(IF($B8140=I$1, ($A8140+$C8140) - MAX(IF($B$2:$B8139=$B8140, $A$2:$A8139+$C$2:$C8139)), "")*24*60, "")</f>
        <v>0</v>
      </c>
      <c r="J8140" s="24" t="str" cm="1">
        <f t="array" ref="J8140">IFERROR(IF($B8140=J$1, ($A8140+$C8140) - MAX(IF($B$2:$B8139=$B8140, $A$2:$A8139+$C$2:$C8139)), "")*24*60, "")</f>
        <v/>
      </c>
      <c r="K8140" s="24" t="str" cm="1">
        <f t="array" ref="K8140">IFERROR(IF($B8140=K$1, ($A8140+$C8140) - MAX(IF($B$2:$B8139=$B8140, $A$2:$A8139+$C$2:$C8139)), "")*24*60, "")</f>
        <v/>
      </c>
      <c r="L8140" s="24" t="str" cm="1">
        <f t="array" ref="L8140">IFERROR(IF($B8140=L$1, ($A8140+$C8140) - MAX(IF($B$2:$B8139=$B8140, $A$2:$A8139+$C$2:$C8139)), "")*24*60, "")</f>
        <v/>
      </c>
      <c r="M8140" s="24" t="str" cm="1">
        <f t="array" ref="M8140">IFERROR(IF($B8140=M$1, ($A8140+$C8140) - MAX(IF($B$2:$B8139=$B8140, $A$2:$A8139+$C$2:$C8139)), "")*24*60, "")</f>
        <v/>
      </c>
      <c r="N8140" s="24" t="str" cm="1">
        <f t="array" ref="N8140">IFERROR(IF($B8140=N$1, ($A8140+$C8140) - MAX(IF($B$2:$B8139=$B8140, $A$2:$A8139+$C$2:$C8139)), "")*24*60, "")</f>
        <v/>
      </c>
      <c r="O8140" s="24" t="str" cm="1">
        <f t="array" ref="O8140">IFERROR(IF($B8140=O$1, ($A8140+$C8140) - MAX(IF($B$2:$B8139=$B8140, $A$2:$A8139+$C$2:$C8139)), "")*24*60, "")</f>
        <v/>
      </c>
      <c r="P8140" s="24" t="str" cm="1">
        <f t="array" ref="P8140">IFERROR(IF($B8140=P$1, ($A8140+$C8140) - MAX(IF($B$2:$B8139=$B8140, $A$2:$A8139+$C$2:$C8139)), "")*24*60, "")</f>
        <v/>
      </c>
      <c r="Q8140" s="24" t="str" cm="1">
        <f t="array" ref="Q8140">IFERROR(IF($B8140=Q$1, ($A8140+$C8140) - MAX(IF($B$2:$B8139=$B8140, $A$2:$A8139+$C$2:$C8139)), "")*24*60, "")</f>
        <v/>
      </c>
      <c r="R8140" s="24" t="str" cm="1">
        <f t="array" ref="R8140">IFERROR(IF($B8140=R$1, ($A8140+$C8140) - MAX(IF($B$2:$B8139=$B8140, $A$2:$A8139+$C$2:$C8139)), "")*24*60, "")</f>
        <v/>
      </c>
      <c r="S8140" s="24" t="str" cm="1">
        <f t="array" ref="S8140">IFERROR(IF($B8140=S$1, ($A8140+$C8140) - MAX(IF($B$2:$B8139=$B8140, $A$2:$A8139+$C$2:$C8139)), "")*24*60, "")</f>
        <v/>
      </c>
    </row>
    <row r="8141" spans="1:19" x14ac:dyDescent="0.2">
      <c r="A8141" s="12">
        <f t="shared" ref="A8141:C8141" si="1424">A8140</f>
        <v>46026</v>
      </c>
      <c r="B8141" s="5" t="str">
        <f t="shared" si="1424"/>
        <v>Northern Cardinal</v>
      </c>
      <c r="C8141" s="6">
        <f t="shared" si="1424"/>
        <v>0.73958333333333337</v>
      </c>
      <c r="D8141" s="5"/>
      <c r="E8141" s="5"/>
      <c r="F8141" s="5" t="s">
        <v>9</v>
      </c>
      <c r="G8141" s="15" t="s">
        <v>8</v>
      </c>
      <c r="H8141" s="24">
        <f t="shared" si="1412"/>
        <v>0</v>
      </c>
      <c r="I8141" s="24" cm="1">
        <f t="array" ref="I8141">IFERROR(IF($B8141=I$1, ($A8141+$C8141) - MAX(IF($B$2:$B8140=$B8141, $A$2:$A8140+$C$2:$C8140)), "")*24*60, "")</f>
        <v>0</v>
      </c>
      <c r="J8141" s="24" t="str" cm="1">
        <f t="array" ref="J8141">IFERROR(IF($B8141=J$1, ($A8141+$C8141) - MAX(IF($B$2:$B8140=$B8141, $A$2:$A8140+$C$2:$C8140)), "")*24*60, "")</f>
        <v/>
      </c>
      <c r="K8141" s="24" t="str" cm="1">
        <f t="array" ref="K8141">IFERROR(IF($B8141=K$1, ($A8141+$C8141) - MAX(IF($B$2:$B8140=$B8141, $A$2:$A8140+$C$2:$C8140)), "")*24*60, "")</f>
        <v/>
      </c>
      <c r="L8141" s="24" t="str" cm="1">
        <f t="array" ref="L8141">IFERROR(IF($B8141=L$1, ($A8141+$C8141) - MAX(IF($B$2:$B8140=$B8141, $A$2:$A8140+$C$2:$C8140)), "")*24*60, "")</f>
        <v/>
      </c>
      <c r="M8141" s="24" t="str" cm="1">
        <f t="array" ref="M8141">IFERROR(IF($B8141=M$1, ($A8141+$C8141) - MAX(IF($B$2:$B8140=$B8141, $A$2:$A8140+$C$2:$C8140)), "")*24*60, "")</f>
        <v/>
      </c>
      <c r="N8141" s="24" t="str" cm="1">
        <f t="array" ref="N8141">IFERROR(IF($B8141=N$1, ($A8141+$C8141) - MAX(IF($B$2:$B8140=$B8141, $A$2:$A8140+$C$2:$C8140)), "")*24*60, "")</f>
        <v/>
      </c>
      <c r="O8141" s="24" t="str" cm="1">
        <f t="array" ref="O8141">IFERROR(IF($B8141=O$1, ($A8141+$C8141) - MAX(IF($B$2:$B8140=$B8141, $A$2:$A8140+$C$2:$C8140)), "")*24*60, "")</f>
        <v/>
      </c>
      <c r="P8141" s="24" t="str" cm="1">
        <f t="array" ref="P8141">IFERROR(IF($B8141=P$1, ($A8141+$C8141) - MAX(IF($B$2:$B8140=$B8141, $A$2:$A8140+$C$2:$C8140)), "")*24*60, "")</f>
        <v/>
      </c>
      <c r="Q8141" s="24" t="str" cm="1">
        <f t="array" ref="Q8141">IFERROR(IF($B8141=Q$1, ($A8141+$C8141) - MAX(IF($B$2:$B8140=$B8141, $A$2:$A8140+$C$2:$C8140)), "")*24*60, "")</f>
        <v/>
      </c>
      <c r="R8141" s="24" t="str" cm="1">
        <f t="array" ref="R8141">IFERROR(IF($B8141=R$1, ($A8141+$C8141) - MAX(IF($B$2:$B8140=$B8141, $A$2:$A8140+$C$2:$C8140)), "")*24*60, "")</f>
        <v/>
      </c>
      <c r="S8141" s="24" t="str" cm="1">
        <f t="array" ref="S8141">IFERROR(IF($B8141=S$1, ($A8141+$C8141) - MAX(IF($B$2:$B8140=$B8141, $A$2:$A8140+$C$2:$C8140)), "")*24*60, "")</f>
        <v/>
      </c>
    </row>
    <row r="8142" spans="1:19" x14ac:dyDescent="0.2">
      <c r="A8142" s="12">
        <f t="shared" ref="A8142:C8142" si="1425">A8141</f>
        <v>46026</v>
      </c>
      <c r="B8142" s="5" t="str">
        <f t="shared" si="1425"/>
        <v>Northern Cardinal</v>
      </c>
      <c r="C8142" s="6">
        <f t="shared" si="1425"/>
        <v>0.73958333333333337</v>
      </c>
      <c r="D8142" s="5"/>
      <c r="E8142" s="5"/>
      <c r="F8142" s="5" t="s">
        <v>9</v>
      </c>
      <c r="G8142" s="15" t="s">
        <v>8</v>
      </c>
      <c r="H8142" s="24">
        <f t="shared" si="1412"/>
        <v>0</v>
      </c>
      <c r="I8142" s="24" cm="1">
        <f t="array" ref="I8142">IFERROR(IF($B8142=I$1, ($A8142+$C8142) - MAX(IF($B$2:$B8141=$B8142, $A$2:$A8141+$C$2:$C8141)), "")*24*60, "")</f>
        <v>0</v>
      </c>
      <c r="J8142" s="24" t="str" cm="1">
        <f t="array" ref="J8142">IFERROR(IF($B8142=J$1, ($A8142+$C8142) - MAX(IF($B$2:$B8141=$B8142, $A$2:$A8141+$C$2:$C8141)), "")*24*60, "")</f>
        <v/>
      </c>
      <c r="K8142" s="24" t="str" cm="1">
        <f t="array" ref="K8142">IFERROR(IF($B8142=K$1, ($A8142+$C8142) - MAX(IF($B$2:$B8141=$B8142, $A$2:$A8141+$C$2:$C8141)), "")*24*60, "")</f>
        <v/>
      </c>
      <c r="L8142" s="24" t="str" cm="1">
        <f t="array" ref="L8142">IFERROR(IF($B8142=L$1, ($A8142+$C8142) - MAX(IF($B$2:$B8141=$B8142, $A$2:$A8141+$C$2:$C8141)), "")*24*60, "")</f>
        <v/>
      </c>
      <c r="M8142" s="24" t="str" cm="1">
        <f t="array" ref="M8142">IFERROR(IF($B8142=M$1, ($A8142+$C8142) - MAX(IF($B$2:$B8141=$B8142, $A$2:$A8141+$C$2:$C8141)), "")*24*60, "")</f>
        <v/>
      </c>
      <c r="N8142" s="24" t="str" cm="1">
        <f t="array" ref="N8142">IFERROR(IF($B8142=N$1, ($A8142+$C8142) - MAX(IF($B$2:$B8141=$B8142, $A$2:$A8141+$C$2:$C8141)), "")*24*60, "")</f>
        <v/>
      </c>
      <c r="O8142" s="24" t="str" cm="1">
        <f t="array" ref="O8142">IFERROR(IF($B8142=O$1, ($A8142+$C8142) - MAX(IF($B$2:$B8141=$B8142, $A$2:$A8141+$C$2:$C8141)), "")*24*60, "")</f>
        <v/>
      </c>
      <c r="P8142" s="24" t="str" cm="1">
        <f t="array" ref="P8142">IFERROR(IF($B8142=P$1, ($A8142+$C8142) - MAX(IF($B$2:$B8141=$B8142, $A$2:$A8141+$C$2:$C8141)), "")*24*60, "")</f>
        <v/>
      </c>
      <c r="Q8142" s="24" t="str" cm="1">
        <f t="array" ref="Q8142">IFERROR(IF($B8142=Q$1, ($A8142+$C8142) - MAX(IF($B$2:$B8141=$B8142, $A$2:$A8141+$C$2:$C8141)), "")*24*60, "")</f>
        <v/>
      </c>
      <c r="R8142" s="24" t="str" cm="1">
        <f t="array" ref="R8142">IFERROR(IF($B8142=R$1, ($A8142+$C8142) - MAX(IF($B$2:$B8141=$B8142, $A$2:$A8141+$C$2:$C8141)), "")*24*60, "")</f>
        <v/>
      </c>
      <c r="S8142" s="24" t="str" cm="1">
        <f t="array" ref="S8142">IFERROR(IF($B8142=S$1, ($A8142+$C8142) - MAX(IF($B$2:$B8141=$B8142, $A$2:$A8141+$C$2:$C8141)), "")*24*60, "")</f>
        <v/>
      </c>
    </row>
    <row r="8143" spans="1:19" x14ac:dyDescent="0.2">
      <c r="A8143" s="12">
        <f t="shared" ref="A8143:C8143" si="1426">A8142</f>
        <v>46026</v>
      </c>
      <c r="B8143" s="5" t="str">
        <f t="shared" si="1426"/>
        <v>Northern Cardinal</v>
      </c>
      <c r="C8143" s="6">
        <f t="shared" si="1426"/>
        <v>0.73958333333333337</v>
      </c>
      <c r="D8143" s="5"/>
      <c r="E8143" s="5"/>
      <c r="F8143" s="5" t="s">
        <v>9</v>
      </c>
      <c r="G8143" s="15" t="s">
        <v>8</v>
      </c>
      <c r="H8143" s="24">
        <f t="shared" si="1412"/>
        <v>0</v>
      </c>
      <c r="I8143" s="24" cm="1">
        <f t="array" ref="I8143">IFERROR(IF($B8143=I$1, ($A8143+$C8143) - MAX(IF($B$2:$B8142=$B8143, $A$2:$A8142+$C$2:$C8142)), "")*24*60, "")</f>
        <v>0</v>
      </c>
      <c r="J8143" s="24" t="str" cm="1">
        <f t="array" ref="J8143">IFERROR(IF($B8143=J$1, ($A8143+$C8143) - MAX(IF($B$2:$B8142=$B8143, $A$2:$A8142+$C$2:$C8142)), "")*24*60, "")</f>
        <v/>
      </c>
      <c r="K8143" s="24" t="str" cm="1">
        <f t="array" ref="K8143">IFERROR(IF($B8143=K$1, ($A8143+$C8143) - MAX(IF($B$2:$B8142=$B8143, $A$2:$A8142+$C$2:$C8142)), "")*24*60, "")</f>
        <v/>
      </c>
      <c r="L8143" s="24" t="str" cm="1">
        <f t="array" ref="L8143">IFERROR(IF($B8143=L$1, ($A8143+$C8143) - MAX(IF($B$2:$B8142=$B8143, $A$2:$A8142+$C$2:$C8142)), "")*24*60, "")</f>
        <v/>
      </c>
      <c r="M8143" s="24" t="str" cm="1">
        <f t="array" ref="M8143">IFERROR(IF($B8143=M$1, ($A8143+$C8143) - MAX(IF($B$2:$B8142=$B8143, $A$2:$A8142+$C$2:$C8142)), "")*24*60, "")</f>
        <v/>
      </c>
      <c r="N8143" s="24" t="str" cm="1">
        <f t="array" ref="N8143">IFERROR(IF($B8143=N$1, ($A8143+$C8143) - MAX(IF($B$2:$B8142=$B8143, $A$2:$A8142+$C$2:$C8142)), "")*24*60, "")</f>
        <v/>
      </c>
      <c r="O8143" s="24" t="str" cm="1">
        <f t="array" ref="O8143">IFERROR(IF($B8143=O$1, ($A8143+$C8143) - MAX(IF($B$2:$B8142=$B8143, $A$2:$A8142+$C$2:$C8142)), "")*24*60, "")</f>
        <v/>
      </c>
      <c r="P8143" s="24" t="str" cm="1">
        <f t="array" ref="P8143">IFERROR(IF($B8143=P$1, ($A8143+$C8143) - MAX(IF($B$2:$B8142=$B8143, $A$2:$A8142+$C$2:$C8142)), "")*24*60, "")</f>
        <v/>
      </c>
      <c r="Q8143" s="24" t="str" cm="1">
        <f t="array" ref="Q8143">IFERROR(IF($B8143=Q$1, ($A8143+$C8143) - MAX(IF($B$2:$B8142=$B8143, $A$2:$A8142+$C$2:$C8142)), "")*24*60, "")</f>
        <v/>
      </c>
      <c r="R8143" s="24" t="str" cm="1">
        <f t="array" ref="R8143">IFERROR(IF($B8143=R$1, ($A8143+$C8143) - MAX(IF($B$2:$B8142=$B8143, $A$2:$A8142+$C$2:$C8142)), "")*24*60, "")</f>
        <v/>
      </c>
      <c r="S8143" s="24" t="str" cm="1">
        <f t="array" ref="S8143">IFERROR(IF($B8143=S$1, ($A8143+$C8143) - MAX(IF($B$2:$B8142=$B8143, $A$2:$A8142+$C$2:$C8142)), "")*24*60, "")</f>
        <v/>
      </c>
    </row>
    <row r="8144" spans="1:19" x14ac:dyDescent="0.2">
      <c r="A8144" s="12">
        <f t="shared" ref="A8144:C8144" si="1427">A8143</f>
        <v>46026</v>
      </c>
      <c r="B8144" s="5" t="str">
        <f t="shared" si="1427"/>
        <v>Northern Cardinal</v>
      </c>
      <c r="C8144" s="6">
        <f t="shared" si="1427"/>
        <v>0.73958333333333337</v>
      </c>
      <c r="D8144" s="5"/>
      <c r="E8144" s="5"/>
      <c r="F8144" s="5" t="s">
        <v>9</v>
      </c>
      <c r="G8144" s="15" t="s">
        <v>8</v>
      </c>
      <c r="H8144" s="24">
        <f t="shared" si="1412"/>
        <v>0</v>
      </c>
      <c r="I8144" s="24" cm="1">
        <f t="array" ref="I8144">IFERROR(IF($B8144=I$1, ($A8144+$C8144) - MAX(IF($B$2:$B8143=$B8144, $A$2:$A8143+$C$2:$C8143)), "")*24*60, "")</f>
        <v>0</v>
      </c>
      <c r="J8144" s="24" t="str" cm="1">
        <f t="array" ref="J8144">IFERROR(IF($B8144=J$1, ($A8144+$C8144) - MAX(IF($B$2:$B8143=$B8144, $A$2:$A8143+$C$2:$C8143)), "")*24*60, "")</f>
        <v/>
      </c>
      <c r="K8144" s="24" t="str" cm="1">
        <f t="array" ref="K8144">IFERROR(IF($B8144=K$1, ($A8144+$C8144) - MAX(IF($B$2:$B8143=$B8144, $A$2:$A8143+$C$2:$C8143)), "")*24*60, "")</f>
        <v/>
      </c>
      <c r="L8144" s="24" t="str" cm="1">
        <f t="array" ref="L8144">IFERROR(IF($B8144=L$1, ($A8144+$C8144) - MAX(IF($B$2:$B8143=$B8144, $A$2:$A8143+$C$2:$C8143)), "")*24*60, "")</f>
        <v/>
      </c>
      <c r="M8144" s="24" t="str" cm="1">
        <f t="array" ref="M8144">IFERROR(IF($B8144=M$1, ($A8144+$C8144) - MAX(IF($B$2:$B8143=$B8144, $A$2:$A8143+$C$2:$C8143)), "")*24*60, "")</f>
        <v/>
      </c>
      <c r="N8144" s="24" t="str" cm="1">
        <f t="array" ref="N8144">IFERROR(IF($B8144=N$1, ($A8144+$C8144) - MAX(IF($B$2:$B8143=$B8144, $A$2:$A8143+$C$2:$C8143)), "")*24*60, "")</f>
        <v/>
      </c>
      <c r="O8144" s="24" t="str" cm="1">
        <f t="array" ref="O8144">IFERROR(IF($B8144=O$1, ($A8144+$C8144) - MAX(IF($B$2:$B8143=$B8144, $A$2:$A8143+$C$2:$C8143)), "")*24*60, "")</f>
        <v/>
      </c>
      <c r="P8144" s="24" t="str" cm="1">
        <f t="array" ref="P8144">IFERROR(IF($B8144=P$1, ($A8144+$C8144) - MAX(IF($B$2:$B8143=$B8144, $A$2:$A8143+$C$2:$C8143)), "")*24*60, "")</f>
        <v/>
      </c>
      <c r="Q8144" s="24" t="str" cm="1">
        <f t="array" ref="Q8144">IFERROR(IF($B8144=Q$1, ($A8144+$C8144) - MAX(IF($B$2:$B8143=$B8144, $A$2:$A8143+$C$2:$C8143)), "")*24*60, "")</f>
        <v/>
      </c>
      <c r="R8144" s="24" t="str" cm="1">
        <f t="array" ref="R8144">IFERROR(IF($B8144=R$1, ($A8144+$C8144) - MAX(IF($B$2:$B8143=$B8144, $A$2:$A8143+$C$2:$C8143)), "")*24*60, "")</f>
        <v/>
      </c>
      <c r="S8144" s="24" t="str" cm="1">
        <f t="array" ref="S8144">IFERROR(IF($B8144=S$1, ($A8144+$C8144) - MAX(IF($B$2:$B8143=$B8144, $A$2:$A8143+$C$2:$C8143)), "")*24*60, "")</f>
        <v/>
      </c>
    </row>
    <row r="8145" spans="1:19" x14ac:dyDescent="0.2">
      <c r="A8145" s="12">
        <f t="shared" ref="A8145:C8145" si="1428">A8144</f>
        <v>46026</v>
      </c>
      <c r="B8145" s="5" t="str">
        <f t="shared" si="1428"/>
        <v>Northern Cardinal</v>
      </c>
      <c r="C8145" s="6">
        <f t="shared" si="1428"/>
        <v>0.73958333333333337</v>
      </c>
      <c r="D8145" s="5"/>
      <c r="E8145" s="5"/>
      <c r="F8145" s="5" t="s">
        <v>9</v>
      </c>
      <c r="G8145" s="15" t="s">
        <v>8</v>
      </c>
      <c r="H8145" s="24">
        <f t="shared" si="1412"/>
        <v>0</v>
      </c>
      <c r="I8145" s="24" cm="1">
        <f t="array" ref="I8145">IFERROR(IF($B8145=I$1, ($A8145+$C8145) - MAX(IF($B$2:$B8144=$B8145, $A$2:$A8144+$C$2:$C8144)), "")*24*60, "")</f>
        <v>0</v>
      </c>
      <c r="J8145" s="24" t="str" cm="1">
        <f t="array" ref="J8145">IFERROR(IF($B8145=J$1, ($A8145+$C8145) - MAX(IF($B$2:$B8144=$B8145, $A$2:$A8144+$C$2:$C8144)), "")*24*60, "")</f>
        <v/>
      </c>
      <c r="K8145" s="24" t="str" cm="1">
        <f t="array" ref="K8145">IFERROR(IF($B8145=K$1, ($A8145+$C8145) - MAX(IF($B$2:$B8144=$B8145, $A$2:$A8144+$C$2:$C8144)), "")*24*60, "")</f>
        <v/>
      </c>
      <c r="L8145" s="24" t="str" cm="1">
        <f t="array" ref="L8145">IFERROR(IF($B8145=L$1, ($A8145+$C8145) - MAX(IF($B$2:$B8144=$B8145, $A$2:$A8144+$C$2:$C8144)), "")*24*60, "")</f>
        <v/>
      </c>
      <c r="M8145" s="24" t="str" cm="1">
        <f t="array" ref="M8145">IFERROR(IF($B8145=M$1, ($A8145+$C8145) - MAX(IF($B$2:$B8144=$B8145, $A$2:$A8144+$C$2:$C8144)), "")*24*60, "")</f>
        <v/>
      </c>
      <c r="N8145" s="24" t="str" cm="1">
        <f t="array" ref="N8145">IFERROR(IF($B8145=N$1, ($A8145+$C8145) - MAX(IF($B$2:$B8144=$B8145, $A$2:$A8144+$C$2:$C8144)), "")*24*60, "")</f>
        <v/>
      </c>
      <c r="O8145" s="24" t="str" cm="1">
        <f t="array" ref="O8145">IFERROR(IF($B8145=O$1, ($A8145+$C8145) - MAX(IF($B$2:$B8144=$B8145, $A$2:$A8144+$C$2:$C8144)), "")*24*60, "")</f>
        <v/>
      </c>
      <c r="P8145" s="24" t="str" cm="1">
        <f t="array" ref="P8145">IFERROR(IF($B8145=P$1, ($A8145+$C8145) - MAX(IF($B$2:$B8144=$B8145, $A$2:$A8144+$C$2:$C8144)), "")*24*60, "")</f>
        <v/>
      </c>
      <c r="Q8145" s="24" t="str" cm="1">
        <f t="array" ref="Q8145">IFERROR(IF($B8145=Q$1, ($A8145+$C8145) - MAX(IF($B$2:$B8144=$B8145, $A$2:$A8144+$C$2:$C8144)), "")*24*60, "")</f>
        <v/>
      </c>
      <c r="R8145" s="24" t="str" cm="1">
        <f t="array" ref="R8145">IFERROR(IF($B8145=R$1, ($A8145+$C8145) - MAX(IF($B$2:$B8144=$B8145, $A$2:$A8144+$C$2:$C8144)), "")*24*60, "")</f>
        <v/>
      </c>
      <c r="S8145" s="24" t="str" cm="1">
        <f t="array" ref="S8145">IFERROR(IF($B8145=S$1, ($A8145+$C8145) - MAX(IF($B$2:$B8144=$B8145, $A$2:$A8144+$C$2:$C8144)), "")*24*60, "")</f>
        <v/>
      </c>
    </row>
    <row r="8146" spans="1:19" x14ac:dyDescent="0.2">
      <c r="A8146" s="12">
        <f t="shared" ref="A8146:C8146" si="1429">A8145</f>
        <v>46026</v>
      </c>
      <c r="B8146" s="5" t="str">
        <f t="shared" si="1429"/>
        <v>Northern Cardinal</v>
      </c>
      <c r="C8146" s="6">
        <f t="shared" si="1429"/>
        <v>0.73958333333333337</v>
      </c>
      <c r="D8146" s="5"/>
      <c r="E8146" s="5"/>
      <c r="F8146" s="5" t="s">
        <v>9</v>
      </c>
      <c r="G8146" s="15" t="s">
        <v>8</v>
      </c>
      <c r="H8146" s="24">
        <f t="shared" si="1412"/>
        <v>0</v>
      </c>
      <c r="I8146" s="24" cm="1">
        <f t="array" ref="I8146">IFERROR(IF($B8146=I$1, ($A8146+$C8146) - MAX(IF($B$2:$B8145=$B8146, $A$2:$A8145+$C$2:$C8145)), "")*24*60, "")</f>
        <v>0</v>
      </c>
      <c r="J8146" s="24" t="str" cm="1">
        <f t="array" ref="J8146">IFERROR(IF($B8146=J$1, ($A8146+$C8146) - MAX(IF($B$2:$B8145=$B8146, $A$2:$A8145+$C$2:$C8145)), "")*24*60, "")</f>
        <v/>
      </c>
      <c r="K8146" s="24" t="str" cm="1">
        <f t="array" ref="K8146">IFERROR(IF($B8146=K$1, ($A8146+$C8146) - MAX(IF($B$2:$B8145=$B8146, $A$2:$A8145+$C$2:$C8145)), "")*24*60, "")</f>
        <v/>
      </c>
      <c r="L8146" s="24" t="str" cm="1">
        <f t="array" ref="L8146">IFERROR(IF($B8146=L$1, ($A8146+$C8146) - MAX(IF($B$2:$B8145=$B8146, $A$2:$A8145+$C$2:$C8145)), "")*24*60, "")</f>
        <v/>
      </c>
      <c r="M8146" s="24" t="str" cm="1">
        <f t="array" ref="M8146">IFERROR(IF($B8146=M$1, ($A8146+$C8146) - MAX(IF($B$2:$B8145=$B8146, $A$2:$A8145+$C$2:$C8145)), "")*24*60, "")</f>
        <v/>
      </c>
      <c r="N8146" s="24" t="str" cm="1">
        <f t="array" ref="N8146">IFERROR(IF($B8146=N$1, ($A8146+$C8146) - MAX(IF($B$2:$B8145=$B8146, $A$2:$A8145+$C$2:$C8145)), "")*24*60, "")</f>
        <v/>
      </c>
      <c r="O8146" s="24" t="str" cm="1">
        <f t="array" ref="O8146">IFERROR(IF($B8146=O$1, ($A8146+$C8146) - MAX(IF($B$2:$B8145=$B8146, $A$2:$A8145+$C$2:$C8145)), "")*24*60, "")</f>
        <v/>
      </c>
      <c r="P8146" s="24" t="str" cm="1">
        <f t="array" ref="P8146">IFERROR(IF($B8146=P$1, ($A8146+$C8146) - MAX(IF($B$2:$B8145=$B8146, $A$2:$A8145+$C$2:$C8145)), "")*24*60, "")</f>
        <v/>
      </c>
      <c r="Q8146" s="24" t="str" cm="1">
        <f t="array" ref="Q8146">IFERROR(IF($B8146=Q$1, ($A8146+$C8146) - MAX(IF($B$2:$B8145=$B8146, $A$2:$A8145+$C$2:$C8145)), "")*24*60, "")</f>
        <v/>
      </c>
      <c r="R8146" s="24" t="str" cm="1">
        <f t="array" ref="R8146">IFERROR(IF($B8146=R$1, ($A8146+$C8146) - MAX(IF($B$2:$B8145=$B8146, $A$2:$A8145+$C$2:$C8145)), "")*24*60, "")</f>
        <v/>
      </c>
      <c r="S8146" s="24" t="str" cm="1">
        <f t="array" ref="S8146">IFERROR(IF($B8146=S$1, ($A8146+$C8146) - MAX(IF($B$2:$B8145=$B8146, $A$2:$A8145+$C$2:$C8145)), "")*24*60, "")</f>
        <v/>
      </c>
    </row>
    <row r="8147" spans="1:19" x14ac:dyDescent="0.2">
      <c r="A8147" s="12">
        <f t="shared" ref="A8147:C8147" si="1430">A8146</f>
        <v>46026</v>
      </c>
      <c r="B8147" s="5" t="str">
        <f t="shared" si="1430"/>
        <v>Northern Cardinal</v>
      </c>
      <c r="C8147" s="6">
        <f t="shared" si="1430"/>
        <v>0.73958333333333337</v>
      </c>
      <c r="D8147" s="5"/>
      <c r="E8147" s="5"/>
      <c r="F8147" s="5" t="s">
        <v>9</v>
      </c>
      <c r="G8147" s="15" t="s">
        <v>8</v>
      </c>
      <c r="H8147" s="24">
        <f t="shared" si="1412"/>
        <v>0</v>
      </c>
      <c r="I8147" s="24" cm="1">
        <f t="array" ref="I8147">IFERROR(IF($B8147=I$1, ($A8147+$C8147) - MAX(IF($B$2:$B8146=$B8147, $A$2:$A8146+$C$2:$C8146)), "")*24*60, "")</f>
        <v>0</v>
      </c>
      <c r="J8147" s="24" t="str" cm="1">
        <f t="array" ref="J8147">IFERROR(IF($B8147=J$1, ($A8147+$C8147) - MAX(IF($B$2:$B8146=$B8147, $A$2:$A8146+$C$2:$C8146)), "")*24*60, "")</f>
        <v/>
      </c>
      <c r="K8147" s="24" t="str" cm="1">
        <f t="array" ref="K8147">IFERROR(IF($B8147=K$1, ($A8147+$C8147) - MAX(IF($B$2:$B8146=$B8147, $A$2:$A8146+$C$2:$C8146)), "")*24*60, "")</f>
        <v/>
      </c>
      <c r="L8147" s="24" t="str" cm="1">
        <f t="array" ref="L8147">IFERROR(IF($B8147=L$1, ($A8147+$C8147) - MAX(IF($B$2:$B8146=$B8147, $A$2:$A8146+$C$2:$C8146)), "")*24*60, "")</f>
        <v/>
      </c>
      <c r="M8147" s="24" t="str" cm="1">
        <f t="array" ref="M8147">IFERROR(IF($B8147=M$1, ($A8147+$C8147) - MAX(IF($B$2:$B8146=$B8147, $A$2:$A8146+$C$2:$C8146)), "")*24*60, "")</f>
        <v/>
      </c>
      <c r="N8147" s="24" t="str" cm="1">
        <f t="array" ref="N8147">IFERROR(IF($B8147=N$1, ($A8147+$C8147) - MAX(IF($B$2:$B8146=$B8147, $A$2:$A8146+$C$2:$C8146)), "")*24*60, "")</f>
        <v/>
      </c>
      <c r="O8147" s="24" t="str" cm="1">
        <f t="array" ref="O8147">IFERROR(IF($B8147=O$1, ($A8147+$C8147) - MAX(IF($B$2:$B8146=$B8147, $A$2:$A8146+$C$2:$C8146)), "")*24*60, "")</f>
        <v/>
      </c>
      <c r="P8147" s="24" t="str" cm="1">
        <f t="array" ref="P8147">IFERROR(IF($B8147=P$1, ($A8147+$C8147) - MAX(IF($B$2:$B8146=$B8147, $A$2:$A8146+$C$2:$C8146)), "")*24*60, "")</f>
        <v/>
      </c>
      <c r="Q8147" s="24" t="str" cm="1">
        <f t="array" ref="Q8147">IFERROR(IF($B8147=Q$1, ($A8147+$C8147) - MAX(IF($B$2:$B8146=$B8147, $A$2:$A8146+$C$2:$C8146)), "")*24*60, "")</f>
        <v/>
      </c>
      <c r="R8147" s="24" t="str" cm="1">
        <f t="array" ref="R8147">IFERROR(IF($B8147=R$1, ($A8147+$C8147) - MAX(IF($B$2:$B8146=$B8147, $A$2:$A8146+$C$2:$C8146)), "")*24*60, "")</f>
        <v/>
      </c>
      <c r="S8147" s="24" t="str" cm="1">
        <f t="array" ref="S8147">IFERROR(IF($B8147=S$1, ($A8147+$C8147) - MAX(IF($B$2:$B8146=$B8147, $A$2:$A8146+$C$2:$C8146)), "")*24*60, "")</f>
        <v/>
      </c>
    </row>
    <row r="8148" spans="1:19" x14ac:dyDescent="0.2">
      <c r="A8148" s="12">
        <f t="shared" ref="A8148:C8148" si="1431">A8147</f>
        <v>46026</v>
      </c>
      <c r="B8148" s="5" t="str">
        <f t="shared" si="1431"/>
        <v>Northern Cardinal</v>
      </c>
      <c r="C8148" s="6">
        <f t="shared" si="1431"/>
        <v>0.73958333333333337</v>
      </c>
      <c r="D8148" s="5"/>
      <c r="E8148" s="5"/>
      <c r="F8148" s="5" t="s">
        <v>9</v>
      </c>
      <c r="G8148" s="15" t="s">
        <v>8</v>
      </c>
      <c r="H8148" s="24">
        <f t="shared" si="1412"/>
        <v>0</v>
      </c>
      <c r="I8148" s="24" cm="1">
        <f t="array" ref="I8148">IFERROR(IF($B8148=I$1, ($A8148+$C8148) - MAX(IF($B$2:$B8147=$B8148, $A$2:$A8147+$C$2:$C8147)), "")*24*60, "")</f>
        <v>0</v>
      </c>
      <c r="J8148" s="24" t="str" cm="1">
        <f t="array" ref="J8148">IFERROR(IF($B8148=J$1, ($A8148+$C8148) - MAX(IF($B$2:$B8147=$B8148, $A$2:$A8147+$C$2:$C8147)), "")*24*60, "")</f>
        <v/>
      </c>
      <c r="K8148" s="24" t="str" cm="1">
        <f t="array" ref="K8148">IFERROR(IF($B8148=K$1, ($A8148+$C8148) - MAX(IF($B$2:$B8147=$B8148, $A$2:$A8147+$C$2:$C8147)), "")*24*60, "")</f>
        <v/>
      </c>
      <c r="L8148" s="24" t="str" cm="1">
        <f t="array" ref="L8148">IFERROR(IF($B8148=L$1, ($A8148+$C8148) - MAX(IF($B$2:$B8147=$B8148, $A$2:$A8147+$C$2:$C8147)), "")*24*60, "")</f>
        <v/>
      </c>
      <c r="M8148" s="24" t="str" cm="1">
        <f t="array" ref="M8148">IFERROR(IF($B8148=M$1, ($A8148+$C8148) - MAX(IF($B$2:$B8147=$B8148, $A$2:$A8147+$C$2:$C8147)), "")*24*60, "")</f>
        <v/>
      </c>
      <c r="N8148" s="24" t="str" cm="1">
        <f t="array" ref="N8148">IFERROR(IF($B8148=N$1, ($A8148+$C8148) - MAX(IF($B$2:$B8147=$B8148, $A$2:$A8147+$C$2:$C8147)), "")*24*60, "")</f>
        <v/>
      </c>
      <c r="O8148" s="24" t="str" cm="1">
        <f t="array" ref="O8148">IFERROR(IF($B8148=O$1, ($A8148+$C8148) - MAX(IF($B$2:$B8147=$B8148, $A$2:$A8147+$C$2:$C8147)), "")*24*60, "")</f>
        <v/>
      </c>
      <c r="P8148" s="24" t="str" cm="1">
        <f t="array" ref="P8148">IFERROR(IF($B8148=P$1, ($A8148+$C8148) - MAX(IF($B$2:$B8147=$B8148, $A$2:$A8147+$C$2:$C8147)), "")*24*60, "")</f>
        <v/>
      </c>
      <c r="Q8148" s="24" t="str" cm="1">
        <f t="array" ref="Q8148">IFERROR(IF($B8148=Q$1, ($A8148+$C8148) - MAX(IF($B$2:$B8147=$B8148, $A$2:$A8147+$C$2:$C8147)), "")*24*60, "")</f>
        <v/>
      </c>
      <c r="R8148" s="24" t="str" cm="1">
        <f t="array" ref="R8148">IFERROR(IF($B8148=R$1, ($A8148+$C8148) - MAX(IF($B$2:$B8147=$B8148, $A$2:$A8147+$C$2:$C8147)), "")*24*60, "")</f>
        <v/>
      </c>
      <c r="S8148" s="24" t="str" cm="1">
        <f t="array" ref="S8148">IFERROR(IF($B8148=S$1, ($A8148+$C8148) - MAX(IF($B$2:$B8147=$B8148, $A$2:$A8147+$C$2:$C8147)), "")*24*60, "")</f>
        <v/>
      </c>
    </row>
    <row r="8149" spans="1:19" x14ac:dyDescent="0.2">
      <c r="A8149" s="12">
        <f t="shared" ref="A8149:C8149" si="1432">A8148</f>
        <v>46026</v>
      </c>
      <c r="B8149" s="5" t="str">
        <f t="shared" si="1432"/>
        <v>Northern Cardinal</v>
      </c>
      <c r="C8149" s="6">
        <f t="shared" si="1432"/>
        <v>0.73958333333333337</v>
      </c>
      <c r="D8149" s="5"/>
      <c r="E8149" s="5"/>
      <c r="F8149" s="5" t="s">
        <v>9</v>
      </c>
      <c r="G8149" s="15" t="s">
        <v>8</v>
      </c>
      <c r="H8149" s="24">
        <f t="shared" si="1412"/>
        <v>0</v>
      </c>
      <c r="I8149" s="24" cm="1">
        <f t="array" ref="I8149">IFERROR(IF($B8149=I$1, ($A8149+$C8149) - MAX(IF($B$2:$B8148=$B8149, $A$2:$A8148+$C$2:$C8148)), "")*24*60, "")</f>
        <v>0</v>
      </c>
      <c r="J8149" s="24" t="str" cm="1">
        <f t="array" ref="J8149">IFERROR(IF($B8149=J$1, ($A8149+$C8149) - MAX(IF($B$2:$B8148=$B8149, $A$2:$A8148+$C$2:$C8148)), "")*24*60, "")</f>
        <v/>
      </c>
      <c r="K8149" s="24" t="str" cm="1">
        <f t="array" ref="K8149">IFERROR(IF($B8149=K$1, ($A8149+$C8149) - MAX(IF($B$2:$B8148=$B8149, $A$2:$A8148+$C$2:$C8148)), "")*24*60, "")</f>
        <v/>
      </c>
      <c r="L8149" s="24" t="str" cm="1">
        <f t="array" ref="L8149">IFERROR(IF($B8149=L$1, ($A8149+$C8149) - MAX(IF($B$2:$B8148=$B8149, $A$2:$A8148+$C$2:$C8148)), "")*24*60, "")</f>
        <v/>
      </c>
      <c r="M8149" s="24" t="str" cm="1">
        <f t="array" ref="M8149">IFERROR(IF($B8149=M$1, ($A8149+$C8149) - MAX(IF($B$2:$B8148=$B8149, $A$2:$A8148+$C$2:$C8148)), "")*24*60, "")</f>
        <v/>
      </c>
      <c r="N8149" s="24" t="str" cm="1">
        <f t="array" ref="N8149">IFERROR(IF($B8149=N$1, ($A8149+$C8149) - MAX(IF($B$2:$B8148=$B8149, $A$2:$A8148+$C$2:$C8148)), "")*24*60, "")</f>
        <v/>
      </c>
      <c r="O8149" s="24" t="str" cm="1">
        <f t="array" ref="O8149">IFERROR(IF($B8149=O$1, ($A8149+$C8149) - MAX(IF($B$2:$B8148=$B8149, $A$2:$A8148+$C$2:$C8148)), "")*24*60, "")</f>
        <v/>
      </c>
      <c r="P8149" s="24" t="str" cm="1">
        <f t="array" ref="P8149">IFERROR(IF($B8149=P$1, ($A8149+$C8149) - MAX(IF($B$2:$B8148=$B8149, $A$2:$A8148+$C$2:$C8148)), "")*24*60, "")</f>
        <v/>
      </c>
      <c r="Q8149" s="24" t="str" cm="1">
        <f t="array" ref="Q8149">IFERROR(IF($B8149=Q$1, ($A8149+$C8149) - MAX(IF($B$2:$B8148=$B8149, $A$2:$A8148+$C$2:$C8148)), "")*24*60, "")</f>
        <v/>
      </c>
      <c r="R8149" s="24" t="str" cm="1">
        <f t="array" ref="R8149">IFERROR(IF($B8149=R$1, ($A8149+$C8149) - MAX(IF($B$2:$B8148=$B8149, $A$2:$A8148+$C$2:$C8148)), "")*24*60, "")</f>
        <v/>
      </c>
      <c r="S8149" s="24" t="str" cm="1">
        <f t="array" ref="S8149">IFERROR(IF($B8149=S$1, ($A8149+$C8149) - MAX(IF($B$2:$B8148=$B8149, $A$2:$A8148+$C$2:$C8148)), "")*24*60, "")</f>
        <v/>
      </c>
    </row>
    <row r="8150" spans="1:19" x14ac:dyDescent="0.2">
      <c r="A8150" s="12">
        <f t="shared" ref="A8150:C8150" si="1433">A8149</f>
        <v>46026</v>
      </c>
      <c r="B8150" s="5" t="str">
        <f t="shared" si="1433"/>
        <v>Northern Cardinal</v>
      </c>
      <c r="C8150" s="6">
        <f t="shared" si="1433"/>
        <v>0.73958333333333337</v>
      </c>
      <c r="D8150" s="5"/>
      <c r="E8150" s="5"/>
      <c r="F8150" s="5" t="s">
        <v>9</v>
      </c>
      <c r="G8150" s="15" t="s">
        <v>8</v>
      </c>
      <c r="H8150" s="24">
        <f t="shared" si="1412"/>
        <v>0</v>
      </c>
      <c r="I8150" s="24" cm="1">
        <f t="array" ref="I8150">IFERROR(IF($B8150=I$1, ($A8150+$C8150) - MAX(IF($B$2:$B8149=$B8150, $A$2:$A8149+$C$2:$C8149)), "")*24*60, "")</f>
        <v>0</v>
      </c>
      <c r="J8150" s="24" t="str" cm="1">
        <f t="array" ref="J8150">IFERROR(IF($B8150=J$1, ($A8150+$C8150) - MAX(IF($B$2:$B8149=$B8150, $A$2:$A8149+$C$2:$C8149)), "")*24*60, "")</f>
        <v/>
      </c>
      <c r="K8150" s="24" t="str" cm="1">
        <f t="array" ref="K8150">IFERROR(IF($B8150=K$1, ($A8150+$C8150) - MAX(IF($B$2:$B8149=$B8150, $A$2:$A8149+$C$2:$C8149)), "")*24*60, "")</f>
        <v/>
      </c>
      <c r="L8150" s="24" t="str" cm="1">
        <f t="array" ref="L8150">IFERROR(IF($B8150=L$1, ($A8150+$C8150) - MAX(IF($B$2:$B8149=$B8150, $A$2:$A8149+$C$2:$C8149)), "")*24*60, "")</f>
        <v/>
      </c>
      <c r="M8150" s="24" t="str" cm="1">
        <f t="array" ref="M8150">IFERROR(IF($B8150=M$1, ($A8150+$C8150) - MAX(IF($B$2:$B8149=$B8150, $A$2:$A8149+$C$2:$C8149)), "")*24*60, "")</f>
        <v/>
      </c>
      <c r="N8150" s="24" t="str" cm="1">
        <f t="array" ref="N8150">IFERROR(IF($B8150=N$1, ($A8150+$C8150) - MAX(IF($B$2:$B8149=$B8150, $A$2:$A8149+$C$2:$C8149)), "")*24*60, "")</f>
        <v/>
      </c>
      <c r="O8150" s="24" t="str" cm="1">
        <f t="array" ref="O8150">IFERROR(IF($B8150=O$1, ($A8150+$C8150) - MAX(IF($B$2:$B8149=$B8150, $A$2:$A8149+$C$2:$C8149)), "")*24*60, "")</f>
        <v/>
      </c>
      <c r="P8150" s="24" t="str" cm="1">
        <f t="array" ref="P8150">IFERROR(IF($B8150=P$1, ($A8150+$C8150) - MAX(IF($B$2:$B8149=$B8150, $A$2:$A8149+$C$2:$C8149)), "")*24*60, "")</f>
        <v/>
      </c>
      <c r="Q8150" s="24" t="str" cm="1">
        <f t="array" ref="Q8150">IFERROR(IF($B8150=Q$1, ($A8150+$C8150) - MAX(IF($B$2:$B8149=$B8150, $A$2:$A8149+$C$2:$C8149)), "")*24*60, "")</f>
        <v/>
      </c>
      <c r="R8150" s="24" t="str" cm="1">
        <f t="array" ref="R8150">IFERROR(IF($B8150=R$1, ($A8150+$C8150) - MAX(IF($B$2:$B8149=$B8150, $A$2:$A8149+$C$2:$C8149)), "")*24*60, "")</f>
        <v/>
      </c>
      <c r="S8150" s="24" t="str" cm="1">
        <f t="array" ref="S8150">IFERROR(IF($B8150=S$1, ($A8150+$C8150) - MAX(IF($B$2:$B8149=$B8150, $A$2:$A8149+$C$2:$C8149)), "")*24*60, "")</f>
        <v/>
      </c>
    </row>
    <row r="8151" spans="1:19" x14ac:dyDescent="0.2">
      <c r="A8151" s="12">
        <f t="shared" ref="A8151:C8151" si="1434">A8150</f>
        <v>46026</v>
      </c>
      <c r="B8151" s="5" t="str">
        <f t="shared" si="1434"/>
        <v>Northern Cardinal</v>
      </c>
      <c r="C8151" s="6">
        <f t="shared" si="1434"/>
        <v>0.73958333333333337</v>
      </c>
      <c r="D8151" s="5"/>
      <c r="E8151" s="5"/>
      <c r="F8151" s="5" t="s">
        <v>9</v>
      </c>
      <c r="G8151" s="15" t="s">
        <v>8</v>
      </c>
      <c r="H8151" s="24">
        <f t="shared" si="1412"/>
        <v>0</v>
      </c>
      <c r="I8151" s="24" cm="1">
        <f t="array" ref="I8151">IFERROR(IF($B8151=I$1, ($A8151+$C8151) - MAX(IF($B$2:$B8150=$B8151, $A$2:$A8150+$C$2:$C8150)), "")*24*60, "")</f>
        <v>0</v>
      </c>
      <c r="J8151" s="24" t="str" cm="1">
        <f t="array" ref="J8151">IFERROR(IF($B8151=J$1, ($A8151+$C8151) - MAX(IF($B$2:$B8150=$B8151, $A$2:$A8150+$C$2:$C8150)), "")*24*60, "")</f>
        <v/>
      </c>
      <c r="K8151" s="24" t="str" cm="1">
        <f t="array" ref="K8151">IFERROR(IF($B8151=K$1, ($A8151+$C8151) - MAX(IF($B$2:$B8150=$B8151, $A$2:$A8150+$C$2:$C8150)), "")*24*60, "")</f>
        <v/>
      </c>
      <c r="L8151" s="24" t="str" cm="1">
        <f t="array" ref="L8151">IFERROR(IF($B8151=L$1, ($A8151+$C8151) - MAX(IF($B$2:$B8150=$B8151, $A$2:$A8150+$C$2:$C8150)), "")*24*60, "")</f>
        <v/>
      </c>
      <c r="M8151" s="24" t="str" cm="1">
        <f t="array" ref="M8151">IFERROR(IF($B8151=M$1, ($A8151+$C8151) - MAX(IF($B$2:$B8150=$B8151, $A$2:$A8150+$C$2:$C8150)), "")*24*60, "")</f>
        <v/>
      </c>
      <c r="N8151" s="24" t="str" cm="1">
        <f t="array" ref="N8151">IFERROR(IF($B8151=N$1, ($A8151+$C8151) - MAX(IF($B$2:$B8150=$B8151, $A$2:$A8150+$C$2:$C8150)), "")*24*60, "")</f>
        <v/>
      </c>
      <c r="O8151" s="24" t="str" cm="1">
        <f t="array" ref="O8151">IFERROR(IF($B8151=O$1, ($A8151+$C8151) - MAX(IF($B$2:$B8150=$B8151, $A$2:$A8150+$C$2:$C8150)), "")*24*60, "")</f>
        <v/>
      </c>
      <c r="P8151" s="24" t="str" cm="1">
        <f t="array" ref="P8151">IFERROR(IF($B8151=P$1, ($A8151+$C8151) - MAX(IF($B$2:$B8150=$B8151, $A$2:$A8150+$C$2:$C8150)), "")*24*60, "")</f>
        <v/>
      </c>
      <c r="Q8151" s="24" t="str" cm="1">
        <f t="array" ref="Q8151">IFERROR(IF($B8151=Q$1, ($A8151+$C8151) - MAX(IF($B$2:$B8150=$B8151, $A$2:$A8150+$C$2:$C8150)), "")*24*60, "")</f>
        <v/>
      </c>
      <c r="R8151" s="24" t="str" cm="1">
        <f t="array" ref="R8151">IFERROR(IF($B8151=R$1, ($A8151+$C8151) - MAX(IF($B$2:$B8150=$B8151, $A$2:$A8150+$C$2:$C8150)), "")*24*60, "")</f>
        <v/>
      </c>
      <c r="S8151" s="24" t="str" cm="1">
        <f t="array" ref="S8151">IFERROR(IF($B8151=S$1, ($A8151+$C8151) - MAX(IF($B$2:$B8150=$B8151, $A$2:$A8150+$C$2:$C8150)), "")*24*60, "")</f>
        <v/>
      </c>
    </row>
    <row r="8152" spans="1:19" x14ac:dyDescent="0.2">
      <c r="A8152" s="12">
        <f t="shared" ref="A8152:C8152" si="1435">A8151</f>
        <v>46026</v>
      </c>
      <c r="B8152" s="5" t="str">
        <f t="shared" si="1435"/>
        <v>Northern Cardinal</v>
      </c>
      <c r="C8152" s="6">
        <f t="shared" si="1435"/>
        <v>0.73958333333333337</v>
      </c>
      <c r="D8152" s="5"/>
      <c r="E8152" s="5"/>
      <c r="F8152" s="5" t="s">
        <v>9</v>
      </c>
      <c r="G8152" s="15" t="s">
        <v>8</v>
      </c>
      <c r="H8152" s="24">
        <f t="shared" si="1412"/>
        <v>0</v>
      </c>
      <c r="I8152" s="24" cm="1">
        <f t="array" ref="I8152">IFERROR(IF($B8152=I$1, ($A8152+$C8152) - MAX(IF($B$2:$B8151=$B8152, $A$2:$A8151+$C$2:$C8151)), "")*24*60, "")</f>
        <v>0</v>
      </c>
      <c r="J8152" s="24" t="str" cm="1">
        <f t="array" ref="J8152">IFERROR(IF($B8152=J$1, ($A8152+$C8152) - MAX(IF($B$2:$B8151=$B8152, $A$2:$A8151+$C$2:$C8151)), "")*24*60, "")</f>
        <v/>
      </c>
      <c r="K8152" s="24" t="str" cm="1">
        <f t="array" ref="K8152">IFERROR(IF($B8152=K$1, ($A8152+$C8152) - MAX(IF($B$2:$B8151=$B8152, $A$2:$A8151+$C$2:$C8151)), "")*24*60, "")</f>
        <v/>
      </c>
      <c r="L8152" s="24" t="str" cm="1">
        <f t="array" ref="L8152">IFERROR(IF($B8152=L$1, ($A8152+$C8152) - MAX(IF($B$2:$B8151=$B8152, $A$2:$A8151+$C$2:$C8151)), "")*24*60, "")</f>
        <v/>
      </c>
      <c r="M8152" s="24" t="str" cm="1">
        <f t="array" ref="M8152">IFERROR(IF($B8152=M$1, ($A8152+$C8152) - MAX(IF($B$2:$B8151=$B8152, $A$2:$A8151+$C$2:$C8151)), "")*24*60, "")</f>
        <v/>
      </c>
      <c r="N8152" s="24" t="str" cm="1">
        <f t="array" ref="N8152">IFERROR(IF($B8152=N$1, ($A8152+$C8152) - MAX(IF($B$2:$B8151=$B8152, $A$2:$A8151+$C$2:$C8151)), "")*24*60, "")</f>
        <v/>
      </c>
      <c r="O8152" s="24" t="str" cm="1">
        <f t="array" ref="O8152">IFERROR(IF($B8152=O$1, ($A8152+$C8152) - MAX(IF($B$2:$B8151=$B8152, $A$2:$A8151+$C$2:$C8151)), "")*24*60, "")</f>
        <v/>
      </c>
      <c r="P8152" s="24" t="str" cm="1">
        <f t="array" ref="P8152">IFERROR(IF($B8152=P$1, ($A8152+$C8152) - MAX(IF($B$2:$B8151=$B8152, $A$2:$A8151+$C$2:$C8151)), "")*24*60, "")</f>
        <v/>
      </c>
      <c r="Q8152" s="24" t="str" cm="1">
        <f t="array" ref="Q8152">IFERROR(IF($B8152=Q$1, ($A8152+$C8152) - MAX(IF($B$2:$B8151=$B8152, $A$2:$A8151+$C$2:$C8151)), "")*24*60, "")</f>
        <v/>
      </c>
      <c r="R8152" s="24" t="str" cm="1">
        <f t="array" ref="R8152">IFERROR(IF($B8152=R$1, ($A8152+$C8152) - MAX(IF($B$2:$B8151=$B8152, $A$2:$A8151+$C$2:$C8151)), "")*24*60, "")</f>
        <v/>
      </c>
      <c r="S8152" s="24" t="str" cm="1">
        <f t="array" ref="S8152">IFERROR(IF($B8152=S$1, ($A8152+$C8152) - MAX(IF($B$2:$B8151=$B8152, $A$2:$A8151+$C$2:$C8151)), "")*24*60, "")</f>
        <v/>
      </c>
    </row>
    <row r="8153" spans="1:19" x14ac:dyDescent="0.2">
      <c r="A8153" s="12">
        <f t="shared" ref="A8153:C8153" si="1436">A8152</f>
        <v>46026</v>
      </c>
      <c r="B8153" s="5" t="str">
        <f t="shared" si="1436"/>
        <v>Northern Cardinal</v>
      </c>
      <c r="C8153" s="6">
        <f t="shared" si="1436"/>
        <v>0.73958333333333337</v>
      </c>
      <c r="D8153" s="5"/>
      <c r="E8153" s="5"/>
      <c r="F8153" s="5" t="s">
        <v>9</v>
      </c>
      <c r="G8153" s="15" t="s">
        <v>8</v>
      </c>
      <c r="H8153" s="24">
        <f t="shared" si="1412"/>
        <v>0</v>
      </c>
      <c r="I8153" s="24" cm="1">
        <f t="array" ref="I8153">IFERROR(IF($B8153=I$1, ($A8153+$C8153) - MAX(IF($B$2:$B8152=$B8153, $A$2:$A8152+$C$2:$C8152)), "")*24*60, "")</f>
        <v>0</v>
      </c>
      <c r="J8153" s="24" t="str" cm="1">
        <f t="array" ref="J8153">IFERROR(IF($B8153=J$1, ($A8153+$C8153) - MAX(IF($B$2:$B8152=$B8153, $A$2:$A8152+$C$2:$C8152)), "")*24*60, "")</f>
        <v/>
      </c>
      <c r="K8153" s="24" t="str" cm="1">
        <f t="array" ref="K8153">IFERROR(IF($B8153=K$1, ($A8153+$C8153) - MAX(IF($B$2:$B8152=$B8153, $A$2:$A8152+$C$2:$C8152)), "")*24*60, "")</f>
        <v/>
      </c>
      <c r="L8153" s="24" t="str" cm="1">
        <f t="array" ref="L8153">IFERROR(IF($B8153=L$1, ($A8153+$C8153) - MAX(IF($B$2:$B8152=$B8153, $A$2:$A8152+$C$2:$C8152)), "")*24*60, "")</f>
        <v/>
      </c>
      <c r="M8153" s="24" t="str" cm="1">
        <f t="array" ref="M8153">IFERROR(IF($B8153=M$1, ($A8153+$C8153) - MAX(IF($B$2:$B8152=$B8153, $A$2:$A8152+$C$2:$C8152)), "")*24*60, "")</f>
        <v/>
      </c>
      <c r="N8153" s="24" t="str" cm="1">
        <f t="array" ref="N8153">IFERROR(IF($B8153=N$1, ($A8153+$C8153) - MAX(IF($B$2:$B8152=$B8153, $A$2:$A8152+$C$2:$C8152)), "")*24*60, "")</f>
        <v/>
      </c>
      <c r="O8153" s="24" t="str" cm="1">
        <f t="array" ref="O8153">IFERROR(IF($B8153=O$1, ($A8153+$C8153) - MAX(IF($B$2:$B8152=$B8153, $A$2:$A8152+$C$2:$C8152)), "")*24*60, "")</f>
        <v/>
      </c>
      <c r="P8153" s="24" t="str" cm="1">
        <f t="array" ref="P8153">IFERROR(IF($B8153=P$1, ($A8153+$C8153) - MAX(IF($B$2:$B8152=$B8153, $A$2:$A8152+$C$2:$C8152)), "")*24*60, "")</f>
        <v/>
      </c>
      <c r="Q8153" s="24" t="str" cm="1">
        <f t="array" ref="Q8153">IFERROR(IF($B8153=Q$1, ($A8153+$C8153) - MAX(IF($B$2:$B8152=$B8153, $A$2:$A8152+$C$2:$C8152)), "")*24*60, "")</f>
        <v/>
      </c>
      <c r="R8153" s="24" t="str" cm="1">
        <f t="array" ref="R8153">IFERROR(IF($B8153=R$1, ($A8153+$C8153) - MAX(IF($B$2:$B8152=$B8153, $A$2:$A8152+$C$2:$C8152)), "")*24*60, "")</f>
        <v/>
      </c>
      <c r="S8153" s="24" t="str" cm="1">
        <f t="array" ref="S8153">IFERROR(IF($B8153=S$1, ($A8153+$C8153) - MAX(IF($B$2:$B8152=$B8153, $A$2:$A8152+$C$2:$C8152)), "")*24*60, "")</f>
        <v/>
      </c>
    </row>
    <row r="8154" spans="1:19" x14ac:dyDescent="0.2">
      <c r="A8154" s="12">
        <f t="shared" ref="A8154:C8154" si="1437">A8153</f>
        <v>46026</v>
      </c>
      <c r="B8154" s="5" t="str">
        <f t="shared" si="1437"/>
        <v>Northern Cardinal</v>
      </c>
      <c r="C8154" s="6">
        <f t="shared" si="1437"/>
        <v>0.73958333333333337</v>
      </c>
      <c r="D8154" s="5"/>
      <c r="E8154" s="5"/>
      <c r="F8154" s="5" t="s">
        <v>9</v>
      </c>
      <c r="G8154" s="15" t="s">
        <v>8</v>
      </c>
      <c r="H8154" s="24">
        <f t="shared" si="1412"/>
        <v>0</v>
      </c>
      <c r="I8154" s="24" cm="1">
        <f t="array" ref="I8154">IFERROR(IF($B8154=I$1, ($A8154+$C8154) - MAX(IF($B$2:$B8153=$B8154, $A$2:$A8153+$C$2:$C8153)), "")*24*60, "")</f>
        <v>0</v>
      </c>
      <c r="J8154" s="24" t="str" cm="1">
        <f t="array" ref="J8154">IFERROR(IF($B8154=J$1, ($A8154+$C8154) - MAX(IF($B$2:$B8153=$B8154, $A$2:$A8153+$C$2:$C8153)), "")*24*60, "")</f>
        <v/>
      </c>
      <c r="K8154" s="24" t="str" cm="1">
        <f t="array" ref="K8154">IFERROR(IF($B8154=K$1, ($A8154+$C8154) - MAX(IF($B$2:$B8153=$B8154, $A$2:$A8153+$C$2:$C8153)), "")*24*60, "")</f>
        <v/>
      </c>
      <c r="L8154" s="24" t="str" cm="1">
        <f t="array" ref="L8154">IFERROR(IF($B8154=L$1, ($A8154+$C8154) - MAX(IF($B$2:$B8153=$B8154, $A$2:$A8153+$C$2:$C8153)), "")*24*60, "")</f>
        <v/>
      </c>
      <c r="M8154" s="24" t="str" cm="1">
        <f t="array" ref="M8154">IFERROR(IF($B8154=M$1, ($A8154+$C8154) - MAX(IF($B$2:$B8153=$B8154, $A$2:$A8153+$C$2:$C8153)), "")*24*60, "")</f>
        <v/>
      </c>
      <c r="N8154" s="24" t="str" cm="1">
        <f t="array" ref="N8154">IFERROR(IF($B8154=N$1, ($A8154+$C8154) - MAX(IF($B$2:$B8153=$B8154, $A$2:$A8153+$C$2:$C8153)), "")*24*60, "")</f>
        <v/>
      </c>
      <c r="O8154" s="24" t="str" cm="1">
        <f t="array" ref="O8154">IFERROR(IF($B8154=O$1, ($A8154+$C8154) - MAX(IF($B$2:$B8153=$B8154, $A$2:$A8153+$C$2:$C8153)), "")*24*60, "")</f>
        <v/>
      </c>
      <c r="P8154" s="24" t="str" cm="1">
        <f t="array" ref="P8154">IFERROR(IF($B8154=P$1, ($A8154+$C8154) - MAX(IF($B$2:$B8153=$B8154, $A$2:$A8153+$C$2:$C8153)), "")*24*60, "")</f>
        <v/>
      </c>
      <c r="Q8154" s="24" t="str" cm="1">
        <f t="array" ref="Q8154">IFERROR(IF($B8154=Q$1, ($A8154+$C8154) - MAX(IF($B$2:$B8153=$B8154, $A$2:$A8153+$C$2:$C8153)), "")*24*60, "")</f>
        <v/>
      </c>
      <c r="R8154" s="24" t="str" cm="1">
        <f t="array" ref="R8154">IFERROR(IF($B8154=R$1, ($A8154+$C8154) - MAX(IF($B$2:$B8153=$B8154, $A$2:$A8153+$C$2:$C8153)), "")*24*60, "")</f>
        <v/>
      </c>
      <c r="S8154" s="24" t="str" cm="1">
        <f t="array" ref="S8154">IFERROR(IF($B8154=S$1, ($A8154+$C8154) - MAX(IF($B$2:$B8153=$B8154, $A$2:$A8153+$C$2:$C8153)), "")*24*60, "")</f>
        <v/>
      </c>
    </row>
    <row r="8155" spans="1:19" x14ac:dyDescent="0.2">
      <c r="A8155" s="12">
        <f t="shared" ref="A8155:C8155" si="1438">A8154</f>
        <v>46026</v>
      </c>
      <c r="B8155" s="5" t="str">
        <f t="shared" si="1438"/>
        <v>Northern Cardinal</v>
      </c>
      <c r="C8155" s="6">
        <f t="shared" si="1438"/>
        <v>0.73958333333333337</v>
      </c>
      <c r="D8155" s="5"/>
      <c r="E8155" s="5"/>
      <c r="F8155" s="5" t="s">
        <v>9</v>
      </c>
      <c r="G8155" s="15" t="s">
        <v>8</v>
      </c>
      <c r="H8155" s="24">
        <f t="shared" si="1412"/>
        <v>0</v>
      </c>
      <c r="I8155" s="24" cm="1">
        <f t="array" ref="I8155">IFERROR(IF($B8155=I$1, ($A8155+$C8155) - MAX(IF($B$2:$B8154=$B8155, $A$2:$A8154+$C$2:$C8154)), "")*24*60, "")</f>
        <v>0</v>
      </c>
      <c r="J8155" s="24" t="str" cm="1">
        <f t="array" ref="J8155">IFERROR(IF($B8155=J$1, ($A8155+$C8155) - MAX(IF($B$2:$B8154=$B8155, $A$2:$A8154+$C$2:$C8154)), "")*24*60, "")</f>
        <v/>
      </c>
      <c r="K8155" s="24" t="str" cm="1">
        <f t="array" ref="K8155">IFERROR(IF($B8155=K$1, ($A8155+$C8155) - MAX(IF($B$2:$B8154=$B8155, $A$2:$A8154+$C$2:$C8154)), "")*24*60, "")</f>
        <v/>
      </c>
      <c r="L8155" s="24" t="str" cm="1">
        <f t="array" ref="L8155">IFERROR(IF($B8155=L$1, ($A8155+$C8155) - MAX(IF($B$2:$B8154=$B8155, $A$2:$A8154+$C$2:$C8154)), "")*24*60, "")</f>
        <v/>
      </c>
      <c r="M8155" s="24" t="str" cm="1">
        <f t="array" ref="M8155">IFERROR(IF($B8155=M$1, ($A8155+$C8155) - MAX(IF($B$2:$B8154=$B8155, $A$2:$A8154+$C$2:$C8154)), "")*24*60, "")</f>
        <v/>
      </c>
      <c r="N8155" s="24" t="str" cm="1">
        <f t="array" ref="N8155">IFERROR(IF($B8155=N$1, ($A8155+$C8155) - MAX(IF($B$2:$B8154=$B8155, $A$2:$A8154+$C$2:$C8154)), "")*24*60, "")</f>
        <v/>
      </c>
      <c r="O8155" s="24" t="str" cm="1">
        <f t="array" ref="O8155">IFERROR(IF($B8155=O$1, ($A8155+$C8155) - MAX(IF($B$2:$B8154=$B8155, $A$2:$A8154+$C$2:$C8154)), "")*24*60, "")</f>
        <v/>
      </c>
      <c r="P8155" s="24" t="str" cm="1">
        <f t="array" ref="P8155">IFERROR(IF($B8155=P$1, ($A8155+$C8155) - MAX(IF($B$2:$B8154=$B8155, $A$2:$A8154+$C$2:$C8154)), "")*24*60, "")</f>
        <v/>
      </c>
      <c r="Q8155" s="24" t="str" cm="1">
        <f t="array" ref="Q8155">IFERROR(IF($B8155=Q$1, ($A8155+$C8155) - MAX(IF($B$2:$B8154=$B8155, $A$2:$A8154+$C$2:$C8154)), "")*24*60, "")</f>
        <v/>
      </c>
      <c r="R8155" s="24" t="str" cm="1">
        <f t="array" ref="R8155">IFERROR(IF($B8155=R$1, ($A8155+$C8155) - MAX(IF($B$2:$B8154=$B8155, $A$2:$A8154+$C$2:$C8154)), "")*24*60, "")</f>
        <v/>
      </c>
      <c r="S8155" s="24" t="str" cm="1">
        <f t="array" ref="S8155">IFERROR(IF($B8155=S$1, ($A8155+$C8155) - MAX(IF($B$2:$B8154=$B8155, $A$2:$A8154+$C$2:$C8154)), "")*24*60, "")</f>
        <v/>
      </c>
    </row>
    <row r="8156" spans="1:19" x14ac:dyDescent="0.2">
      <c r="A8156" s="12">
        <f t="shared" ref="A8156:C8156" si="1439">A8155</f>
        <v>46026</v>
      </c>
      <c r="B8156" s="5" t="str">
        <f t="shared" si="1439"/>
        <v>Northern Cardinal</v>
      </c>
      <c r="C8156" s="6">
        <f t="shared" si="1439"/>
        <v>0.73958333333333337</v>
      </c>
      <c r="D8156" s="5"/>
      <c r="E8156" s="5"/>
      <c r="F8156" s="5" t="s">
        <v>9</v>
      </c>
      <c r="G8156" s="15" t="s">
        <v>8</v>
      </c>
      <c r="H8156" s="24">
        <f t="shared" si="1412"/>
        <v>0</v>
      </c>
      <c r="I8156" s="24" cm="1">
        <f t="array" ref="I8156">IFERROR(IF($B8156=I$1, ($A8156+$C8156) - MAX(IF($B$2:$B8155=$B8156, $A$2:$A8155+$C$2:$C8155)), "")*24*60, "")</f>
        <v>0</v>
      </c>
      <c r="J8156" s="24" t="str" cm="1">
        <f t="array" ref="J8156">IFERROR(IF($B8156=J$1, ($A8156+$C8156) - MAX(IF($B$2:$B8155=$B8156, $A$2:$A8155+$C$2:$C8155)), "")*24*60, "")</f>
        <v/>
      </c>
      <c r="K8156" s="24" t="str" cm="1">
        <f t="array" ref="K8156">IFERROR(IF($B8156=K$1, ($A8156+$C8156) - MAX(IF($B$2:$B8155=$B8156, $A$2:$A8155+$C$2:$C8155)), "")*24*60, "")</f>
        <v/>
      </c>
      <c r="L8156" s="24" t="str" cm="1">
        <f t="array" ref="L8156">IFERROR(IF($B8156=L$1, ($A8156+$C8156) - MAX(IF($B$2:$B8155=$B8156, $A$2:$A8155+$C$2:$C8155)), "")*24*60, "")</f>
        <v/>
      </c>
      <c r="M8156" s="24" t="str" cm="1">
        <f t="array" ref="M8156">IFERROR(IF($B8156=M$1, ($A8156+$C8156) - MAX(IF($B$2:$B8155=$B8156, $A$2:$A8155+$C$2:$C8155)), "")*24*60, "")</f>
        <v/>
      </c>
      <c r="N8156" s="24" t="str" cm="1">
        <f t="array" ref="N8156">IFERROR(IF($B8156=N$1, ($A8156+$C8156) - MAX(IF($B$2:$B8155=$B8156, $A$2:$A8155+$C$2:$C8155)), "")*24*60, "")</f>
        <v/>
      </c>
      <c r="O8156" s="24" t="str" cm="1">
        <f t="array" ref="O8156">IFERROR(IF($B8156=O$1, ($A8156+$C8156) - MAX(IF($B$2:$B8155=$B8156, $A$2:$A8155+$C$2:$C8155)), "")*24*60, "")</f>
        <v/>
      </c>
      <c r="P8156" s="24" t="str" cm="1">
        <f t="array" ref="P8156">IFERROR(IF($B8156=P$1, ($A8156+$C8156) - MAX(IF($B$2:$B8155=$B8156, $A$2:$A8155+$C$2:$C8155)), "")*24*60, "")</f>
        <v/>
      </c>
      <c r="Q8156" s="24" t="str" cm="1">
        <f t="array" ref="Q8156">IFERROR(IF($B8156=Q$1, ($A8156+$C8156) - MAX(IF($B$2:$B8155=$B8156, $A$2:$A8155+$C$2:$C8155)), "")*24*60, "")</f>
        <v/>
      </c>
      <c r="R8156" s="24" t="str" cm="1">
        <f t="array" ref="R8156">IFERROR(IF($B8156=R$1, ($A8156+$C8156) - MAX(IF($B$2:$B8155=$B8156, $A$2:$A8155+$C$2:$C8155)), "")*24*60, "")</f>
        <v/>
      </c>
      <c r="S8156" s="24" t="str" cm="1">
        <f t="array" ref="S8156">IFERROR(IF($B8156=S$1, ($A8156+$C8156) - MAX(IF($B$2:$B8155=$B8156, $A$2:$A8155+$C$2:$C8155)), "")*24*60, "")</f>
        <v/>
      </c>
    </row>
    <row r="8157" spans="1:19" x14ac:dyDescent="0.2">
      <c r="A8157" s="12">
        <f t="shared" ref="A8157:C8157" si="1440">A8156</f>
        <v>46026</v>
      </c>
      <c r="B8157" s="5" t="str">
        <f t="shared" si="1440"/>
        <v>Northern Cardinal</v>
      </c>
      <c r="C8157" s="6">
        <f t="shared" si="1440"/>
        <v>0.73958333333333337</v>
      </c>
      <c r="D8157" s="5"/>
      <c r="E8157" s="5"/>
      <c r="F8157" s="5" t="s">
        <v>9</v>
      </c>
      <c r="G8157" s="15" t="s">
        <v>8</v>
      </c>
      <c r="H8157" s="24">
        <f t="shared" si="1412"/>
        <v>0</v>
      </c>
      <c r="I8157" s="24" cm="1">
        <f t="array" ref="I8157">IFERROR(IF($B8157=I$1, ($A8157+$C8157) - MAX(IF($B$2:$B8156=$B8157, $A$2:$A8156+$C$2:$C8156)), "")*24*60, "")</f>
        <v>0</v>
      </c>
      <c r="J8157" s="24" t="str" cm="1">
        <f t="array" ref="J8157">IFERROR(IF($B8157=J$1, ($A8157+$C8157) - MAX(IF($B$2:$B8156=$B8157, $A$2:$A8156+$C$2:$C8156)), "")*24*60, "")</f>
        <v/>
      </c>
      <c r="K8157" s="24" t="str" cm="1">
        <f t="array" ref="K8157">IFERROR(IF($B8157=K$1, ($A8157+$C8157) - MAX(IF($B$2:$B8156=$B8157, $A$2:$A8156+$C$2:$C8156)), "")*24*60, "")</f>
        <v/>
      </c>
      <c r="L8157" s="24" t="str" cm="1">
        <f t="array" ref="L8157">IFERROR(IF($B8157=L$1, ($A8157+$C8157) - MAX(IF($B$2:$B8156=$B8157, $A$2:$A8156+$C$2:$C8156)), "")*24*60, "")</f>
        <v/>
      </c>
      <c r="M8157" s="24" t="str" cm="1">
        <f t="array" ref="M8157">IFERROR(IF($B8157=M$1, ($A8157+$C8157) - MAX(IF($B$2:$B8156=$B8157, $A$2:$A8156+$C$2:$C8156)), "")*24*60, "")</f>
        <v/>
      </c>
      <c r="N8157" s="24" t="str" cm="1">
        <f t="array" ref="N8157">IFERROR(IF($B8157=N$1, ($A8157+$C8157) - MAX(IF($B$2:$B8156=$B8157, $A$2:$A8156+$C$2:$C8156)), "")*24*60, "")</f>
        <v/>
      </c>
      <c r="O8157" s="24" t="str" cm="1">
        <f t="array" ref="O8157">IFERROR(IF($B8157=O$1, ($A8157+$C8157) - MAX(IF($B$2:$B8156=$B8157, $A$2:$A8156+$C$2:$C8156)), "")*24*60, "")</f>
        <v/>
      </c>
      <c r="P8157" s="24" t="str" cm="1">
        <f t="array" ref="P8157">IFERROR(IF($B8157=P$1, ($A8157+$C8157) - MAX(IF($B$2:$B8156=$B8157, $A$2:$A8156+$C$2:$C8156)), "")*24*60, "")</f>
        <v/>
      </c>
      <c r="Q8157" s="24" t="str" cm="1">
        <f t="array" ref="Q8157">IFERROR(IF($B8157=Q$1, ($A8157+$C8157) - MAX(IF($B$2:$B8156=$B8157, $A$2:$A8156+$C$2:$C8156)), "")*24*60, "")</f>
        <v/>
      </c>
      <c r="R8157" s="24" t="str" cm="1">
        <f t="array" ref="R8157">IFERROR(IF($B8157=R$1, ($A8157+$C8157) - MAX(IF($B$2:$B8156=$B8157, $A$2:$A8156+$C$2:$C8156)), "")*24*60, "")</f>
        <v/>
      </c>
      <c r="S8157" s="24" t="str" cm="1">
        <f t="array" ref="S8157">IFERROR(IF($B8157=S$1, ($A8157+$C8157) - MAX(IF($B$2:$B8156=$B8157, $A$2:$A8156+$C$2:$C8156)), "")*24*60, "")</f>
        <v/>
      </c>
    </row>
    <row r="8158" spans="1:19" x14ac:dyDescent="0.2">
      <c r="A8158" s="12">
        <f t="shared" ref="A8158:C8158" si="1441">A8157</f>
        <v>46026</v>
      </c>
      <c r="B8158" s="5" t="str">
        <f t="shared" si="1441"/>
        <v>Northern Cardinal</v>
      </c>
      <c r="C8158" s="6">
        <f t="shared" si="1441"/>
        <v>0.73958333333333337</v>
      </c>
      <c r="D8158" s="5"/>
      <c r="E8158" s="5"/>
      <c r="F8158" s="5" t="s">
        <v>9</v>
      </c>
      <c r="G8158" s="15" t="s">
        <v>8</v>
      </c>
      <c r="H8158" s="24">
        <f t="shared" si="1412"/>
        <v>0</v>
      </c>
      <c r="I8158" s="24" cm="1">
        <f t="array" ref="I8158">IFERROR(IF($B8158=I$1, ($A8158+$C8158) - MAX(IF($B$2:$B8157=$B8158, $A$2:$A8157+$C$2:$C8157)), "")*24*60, "")</f>
        <v>0</v>
      </c>
      <c r="J8158" s="24" t="str" cm="1">
        <f t="array" ref="J8158">IFERROR(IF($B8158=J$1, ($A8158+$C8158) - MAX(IF($B$2:$B8157=$B8158, $A$2:$A8157+$C$2:$C8157)), "")*24*60, "")</f>
        <v/>
      </c>
      <c r="K8158" s="24" t="str" cm="1">
        <f t="array" ref="K8158">IFERROR(IF($B8158=K$1, ($A8158+$C8158) - MAX(IF($B$2:$B8157=$B8158, $A$2:$A8157+$C$2:$C8157)), "")*24*60, "")</f>
        <v/>
      </c>
      <c r="L8158" s="24" t="str" cm="1">
        <f t="array" ref="L8158">IFERROR(IF($B8158=L$1, ($A8158+$C8158) - MAX(IF($B$2:$B8157=$B8158, $A$2:$A8157+$C$2:$C8157)), "")*24*60, "")</f>
        <v/>
      </c>
      <c r="M8158" s="24" t="str" cm="1">
        <f t="array" ref="M8158">IFERROR(IF($B8158=M$1, ($A8158+$C8158) - MAX(IF($B$2:$B8157=$B8158, $A$2:$A8157+$C$2:$C8157)), "")*24*60, "")</f>
        <v/>
      </c>
      <c r="N8158" s="24" t="str" cm="1">
        <f t="array" ref="N8158">IFERROR(IF($B8158=N$1, ($A8158+$C8158) - MAX(IF($B$2:$B8157=$B8158, $A$2:$A8157+$C$2:$C8157)), "")*24*60, "")</f>
        <v/>
      </c>
      <c r="O8158" s="24" t="str" cm="1">
        <f t="array" ref="O8158">IFERROR(IF($B8158=O$1, ($A8158+$C8158) - MAX(IF($B$2:$B8157=$B8158, $A$2:$A8157+$C$2:$C8157)), "")*24*60, "")</f>
        <v/>
      </c>
      <c r="P8158" s="24" t="str" cm="1">
        <f t="array" ref="P8158">IFERROR(IF($B8158=P$1, ($A8158+$C8158) - MAX(IF($B$2:$B8157=$B8158, $A$2:$A8157+$C$2:$C8157)), "")*24*60, "")</f>
        <v/>
      </c>
      <c r="Q8158" s="24" t="str" cm="1">
        <f t="array" ref="Q8158">IFERROR(IF($B8158=Q$1, ($A8158+$C8158) - MAX(IF($B$2:$B8157=$B8158, $A$2:$A8157+$C$2:$C8157)), "")*24*60, "")</f>
        <v/>
      </c>
      <c r="R8158" s="24" t="str" cm="1">
        <f t="array" ref="R8158">IFERROR(IF($B8158=R$1, ($A8158+$C8158) - MAX(IF($B$2:$B8157=$B8158, $A$2:$A8157+$C$2:$C8157)), "")*24*60, "")</f>
        <v/>
      </c>
      <c r="S8158" s="24" t="str" cm="1">
        <f t="array" ref="S8158">IFERROR(IF($B8158=S$1, ($A8158+$C8158) - MAX(IF($B$2:$B8157=$B8158, $A$2:$A8157+$C$2:$C8157)), "")*24*60, "")</f>
        <v/>
      </c>
    </row>
    <row r="8159" spans="1:19" x14ac:dyDescent="0.2">
      <c r="A8159" s="12">
        <f t="shared" ref="A8159:C8159" si="1442">A8158</f>
        <v>46026</v>
      </c>
      <c r="B8159" s="5" t="str">
        <f t="shared" si="1442"/>
        <v>Northern Cardinal</v>
      </c>
      <c r="C8159" s="6">
        <f t="shared" si="1442"/>
        <v>0.73958333333333337</v>
      </c>
      <c r="D8159" s="5"/>
      <c r="E8159" s="5"/>
      <c r="F8159" s="5" t="s">
        <v>9</v>
      </c>
      <c r="G8159" s="15" t="s">
        <v>8</v>
      </c>
      <c r="H8159" s="24">
        <f t="shared" si="1412"/>
        <v>0</v>
      </c>
      <c r="I8159" s="24" cm="1">
        <f t="array" ref="I8159">IFERROR(IF($B8159=I$1, ($A8159+$C8159) - MAX(IF($B$2:$B8158=$B8159, $A$2:$A8158+$C$2:$C8158)), "")*24*60, "")</f>
        <v>0</v>
      </c>
      <c r="J8159" s="24" t="str" cm="1">
        <f t="array" ref="J8159">IFERROR(IF($B8159=J$1, ($A8159+$C8159) - MAX(IF($B$2:$B8158=$B8159, $A$2:$A8158+$C$2:$C8158)), "")*24*60, "")</f>
        <v/>
      </c>
      <c r="K8159" s="24" t="str" cm="1">
        <f t="array" ref="K8159">IFERROR(IF($B8159=K$1, ($A8159+$C8159) - MAX(IF($B$2:$B8158=$B8159, $A$2:$A8158+$C$2:$C8158)), "")*24*60, "")</f>
        <v/>
      </c>
      <c r="L8159" s="24" t="str" cm="1">
        <f t="array" ref="L8159">IFERROR(IF($B8159=L$1, ($A8159+$C8159) - MAX(IF($B$2:$B8158=$B8159, $A$2:$A8158+$C$2:$C8158)), "")*24*60, "")</f>
        <v/>
      </c>
      <c r="M8159" s="24" t="str" cm="1">
        <f t="array" ref="M8159">IFERROR(IF($B8159=M$1, ($A8159+$C8159) - MAX(IF($B$2:$B8158=$B8159, $A$2:$A8158+$C$2:$C8158)), "")*24*60, "")</f>
        <v/>
      </c>
      <c r="N8159" s="24" t="str" cm="1">
        <f t="array" ref="N8159">IFERROR(IF($B8159=N$1, ($A8159+$C8159) - MAX(IF($B$2:$B8158=$B8159, $A$2:$A8158+$C$2:$C8158)), "")*24*60, "")</f>
        <v/>
      </c>
      <c r="O8159" s="24" t="str" cm="1">
        <f t="array" ref="O8159">IFERROR(IF($B8159=O$1, ($A8159+$C8159) - MAX(IF($B$2:$B8158=$B8159, $A$2:$A8158+$C$2:$C8158)), "")*24*60, "")</f>
        <v/>
      </c>
      <c r="P8159" s="24" t="str" cm="1">
        <f t="array" ref="P8159">IFERROR(IF($B8159=P$1, ($A8159+$C8159) - MAX(IF($B$2:$B8158=$B8159, $A$2:$A8158+$C$2:$C8158)), "")*24*60, "")</f>
        <v/>
      </c>
      <c r="Q8159" s="24" t="str" cm="1">
        <f t="array" ref="Q8159">IFERROR(IF($B8159=Q$1, ($A8159+$C8159) - MAX(IF($B$2:$B8158=$B8159, $A$2:$A8158+$C$2:$C8158)), "")*24*60, "")</f>
        <v/>
      </c>
      <c r="R8159" s="24" t="str" cm="1">
        <f t="array" ref="R8159">IFERROR(IF($B8159=R$1, ($A8159+$C8159) - MAX(IF($B$2:$B8158=$B8159, $A$2:$A8158+$C$2:$C8158)), "")*24*60, "")</f>
        <v/>
      </c>
      <c r="S8159" s="24" t="str" cm="1">
        <f t="array" ref="S8159">IFERROR(IF($B8159=S$1, ($A8159+$C8159) - MAX(IF($B$2:$B8158=$B8159, $A$2:$A8158+$C$2:$C8158)), "")*24*60, "")</f>
        <v/>
      </c>
    </row>
    <row r="8160" spans="1:19" x14ac:dyDescent="0.2">
      <c r="A8160" s="12">
        <f t="shared" ref="A8160:C8160" si="1443">A8159</f>
        <v>46026</v>
      </c>
      <c r="B8160" s="5" t="str">
        <f t="shared" si="1443"/>
        <v>Northern Cardinal</v>
      </c>
      <c r="C8160" s="6">
        <f t="shared" si="1443"/>
        <v>0.73958333333333337</v>
      </c>
      <c r="D8160" s="5"/>
      <c r="E8160" s="5"/>
      <c r="F8160" s="5" t="s">
        <v>9</v>
      </c>
      <c r="G8160" s="15" t="s">
        <v>8</v>
      </c>
      <c r="H8160" s="24">
        <f t="shared" ref="H8160:H8199" si="1444">IFERROR((($A8160+$C8160) - ($A8159+$C8159))*24*60, "")</f>
        <v>0</v>
      </c>
      <c r="I8160" s="24" cm="1">
        <f t="array" ref="I8160">IFERROR(IF($B8160=I$1, ($A8160+$C8160) - MAX(IF($B$2:$B8159=$B8160, $A$2:$A8159+$C$2:$C8159)), "")*24*60, "")</f>
        <v>0</v>
      </c>
      <c r="J8160" s="24" t="str" cm="1">
        <f t="array" ref="J8160">IFERROR(IF($B8160=J$1, ($A8160+$C8160) - MAX(IF($B$2:$B8159=$B8160, $A$2:$A8159+$C$2:$C8159)), "")*24*60, "")</f>
        <v/>
      </c>
      <c r="K8160" s="24" t="str" cm="1">
        <f t="array" ref="K8160">IFERROR(IF($B8160=K$1, ($A8160+$C8160) - MAX(IF($B$2:$B8159=$B8160, $A$2:$A8159+$C$2:$C8159)), "")*24*60, "")</f>
        <v/>
      </c>
      <c r="L8160" s="24" t="str" cm="1">
        <f t="array" ref="L8160">IFERROR(IF($B8160=L$1, ($A8160+$C8160) - MAX(IF($B$2:$B8159=$B8160, $A$2:$A8159+$C$2:$C8159)), "")*24*60, "")</f>
        <v/>
      </c>
      <c r="M8160" s="24" t="str" cm="1">
        <f t="array" ref="M8160">IFERROR(IF($B8160=M$1, ($A8160+$C8160) - MAX(IF($B$2:$B8159=$B8160, $A$2:$A8159+$C$2:$C8159)), "")*24*60, "")</f>
        <v/>
      </c>
      <c r="N8160" s="24" t="str" cm="1">
        <f t="array" ref="N8160">IFERROR(IF($B8160=N$1, ($A8160+$C8160) - MAX(IF($B$2:$B8159=$B8160, $A$2:$A8159+$C$2:$C8159)), "")*24*60, "")</f>
        <v/>
      </c>
      <c r="O8160" s="24" t="str" cm="1">
        <f t="array" ref="O8160">IFERROR(IF($B8160=O$1, ($A8160+$C8160) - MAX(IF($B$2:$B8159=$B8160, $A$2:$A8159+$C$2:$C8159)), "")*24*60, "")</f>
        <v/>
      </c>
      <c r="P8160" s="24" t="str" cm="1">
        <f t="array" ref="P8160">IFERROR(IF($B8160=P$1, ($A8160+$C8160) - MAX(IF($B$2:$B8159=$B8160, $A$2:$A8159+$C$2:$C8159)), "")*24*60, "")</f>
        <v/>
      </c>
      <c r="Q8160" s="24" t="str" cm="1">
        <f t="array" ref="Q8160">IFERROR(IF($B8160=Q$1, ($A8160+$C8160) - MAX(IF($B$2:$B8159=$B8160, $A$2:$A8159+$C$2:$C8159)), "")*24*60, "")</f>
        <v/>
      </c>
      <c r="R8160" s="24" t="str" cm="1">
        <f t="array" ref="R8160">IFERROR(IF($B8160=R$1, ($A8160+$C8160) - MAX(IF($B$2:$B8159=$B8160, $A$2:$A8159+$C$2:$C8159)), "")*24*60, "")</f>
        <v/>
      </c>
      <c r="S8160" s="24" t="str" cm="1">
        <f t="array" ref="S8160">IFERROR(IF($B8160=S$1, ($A8160+$C8160) - MAX(IF($B$2:$B8159=$B8160, $A$2:$A8159+$C$2:$C8159)), "")*24*60, "")</f>
        <v/>
      </c>
    </row>
    <row r="8161" spans="1:19" x14ac:dyDescent="0.2">
      <c r="A8161" s="12">
        <f t="shared" ref="A8161:C8161" si="1445">A8160</f>
        <v>46026</v>
      </c>
      <c r="B8161" s="5" t="str">
        <f t="shared" si="1445"/>
        <v>Northern Cardinal</v>
      </c>
      <c r="C8161" s="6">
        <f t="shared" si="1445"/>
        <v>0.73958333333333337</v>
      </c>
      <c r="D8161" s="5"/>
      <c r="E8161" s="5"/>
      <c r="F8161" s="5" t="s">
        <v>9</v>
      </c>
      <c r="G8161" s="15" t="s">
        <v>8</v>
      </c>
      <c r="H8161" s="24">
        <f t="shared" si="1444"/>
        <v>0</v>
      </c>
      <c r="I8161" s="24" cm="1">
        <f t="array" ref="I8161">IFERROR(IF($B8161=I$1, ($A8161+$C8161) - MAX(IF($B$2:$B8160=$B8161, $A$2:$A8160+$C$2:$C8160)), "")*24*60, "")</f>
        <v>0</v>
      </c>
      <c r="J8161" s="24" t="str" cm="1">
        <f t="array" ref="J8161">IFERROR(IF($B8161=J$1, ($A8161+$C8161) - MAX(IF($B$2:$B8160=$B8161, $A$2:$A8160+$C$2:$C8160)), "")*24*60, "")</f>
        <v/>
      </c>
      <c r="K8161" s="24" t="str" cm="1">
        <f t="array" ref="K8161">IFERROR(IF($B8161=K$1, ($A8161+$C8161) - MAX(IF($B$2:$B8160=$B8161, $A$2:$A8160+$C$2:$C8160)), "")*24*60, "")</f>
        <v/>
      </c>
      <c r="L8161" s="24" t="str" cm="1">
        <f t="array" ref="L8161">IFERROR(IF($B8161=L$1, ($A8161+$C8161) - MAX(IF($B$2:$B8160=$B8161, $A$2:$A8160+$C$2:$C8160)), "")*24*60, "")</f>
        <v/>
      </c>
      <c r="M8161" s="24" t="str" cm="1">
        <f t="array" ref="M8161">IFERROR(IF($B8161=M$1, ($A8161+$C8161) - MAX(IF($B$2:$B8160=$B8161, $A$2:$A8160+$C$2:$C8160)), "")*24*60, "")</f>
        <v/>
      </c>
      <c r="N8161" s="24" t="str" cm="1">
        <f t="array" ref="N8161">IFERROR(IF($B8161=N$1, ($A8161+$C8161) - MAX(IF($B$2:$B8160=$B8161, $A$2:$A8160+$C$2:$C8160)), "")*24*60, "")</f>
        <v/>
      </c>
      <c r="O8161" s="24" t="str" cm="1">
        <f t="array" ref="O8161">IFERROR(IF($B8161=O$1, ($A8161+$C8161) - MAX(IF($B$2:$B8160=$B8161, $A$2:$A8160+$C$2:$C8160)), "")*24*60, "")</f>
        <v/>
      </c>
      <c r="P8161" s="24" t="str" cm="1">
        <f t="array" ref="P8161">IFERROR(IF($B8161=P$1, ($A8161+$C8161) - MAX(IF($B$2:$B8160=$B8161, $A$2:$A8160+$C$2:$C8160)), "")*24*60, "")</f>
        <v/>
      </c>
      <c r="Q8161" s="24" t="str" cm="1">
        <f t="array" ref="Q8161">IFERROR(IF($B8161=Q$1, ($A8161+$C8161) - MAX(IF($B$2:$B8160=$B8161, $A$2:$A8160+$C$2:$C8160)), "")*24*60, "")</f>
        <v/>
      </c>
      <c r="R8161" s="24" t="str" cm="1">
        <f t="array" ref="R8161">IFERROR(IF($B8161=R$1, ($A8161+$C8161) - MAX(IF($B$2:$B8160=$B8161, $A$2:$A8160+$C$2:$C8160)), "")*24*60, "")</f>
        <v/>
      </c>
      <c r="S8161" s="24" t="str" cm="1">
        <f t="array" ref="S8161">IFERROR(IF($B8161=S$1, ($A8161+$C8161) - MAX(IF($B$2:$B8160=$B8161, $A$2:$A8160+$C$2:$C8160)), "")*24*60, "")</f>
        <v/>
      </c>
    </row>
    <row r="8162" spans="1:19" x14ac:dyDescent="0.2">
      <c r="A8162" s="12">
        <f t="shared" ref="A8162:C8162" si="1446">A8161</f>
        <v>46026</v>
      </c>
      <c r="B8162" s="5" t="str">
        <f t="shared" si="1446"/>
        <v>Northern Cardinal</v>
      </c>
      <c r="C8162" s="6">
        <f t="shared" si="1446"/>
        <v>0.73958333333333337</v>
      </c>
      <c r="D8162" s="5"/>
      <c r="E8162" s="5"/>
      <c r="F8162" s="5" t="s">
        <v>9</v>
      </c>
      <c r="G8162" s="15" t="s">
        <v>8</v>
      </c>
      <c r="H8162" s="24">
        <f t="shared" si="1444"/>
        <v>0</v>
      </c>
      <c r="I8162" s="24" cm="1">
        <f t="array" ref="I8162">IFERROR(IF($B8162=I$1, ($A8162+$C8162) - MAX(IF($B$2:$B8161=$B8162, $A$2:$A8161+$C$2:$C8161)), "")*24*60, "")</f>
        <v>0</v>
      </c>
      <c r="J8162" s="24" t="str" cm="1">
        <f t="array" ref="J8162">IFERROR(IF($B8162=J$1, ($A8162+$C8162) - MAX(IF($B$2:$B8161=$B8162, $A$2:$A8161+$C$2:$C8161)), "")*24*60, "")</f>
        <v/>
      </c>
      <c r="K8162" s="24" t="str" cm="1">
        <f t="array" ref="K8162">IFERROR(IF($B8162=K$1, ($A8162+$C8162) - MAX(IF($B$2:$B8161=$B8162, $A$2:$A8161+$C$2:$C8161)), "")*24*60, "")</f>
        <v/>
      </c>
      <c r="L8162" s="24" t="str" cm="1">
        <f t="array" ref="L8162">IFERROR(IF($B8162=L$1, ($A8162+$C8162) - MAX(IF($B$2:$B8161=$B8162, $A$2:$A8161+$C$2:$C8161)), "")*24*60, "")</f>
        <v/>
      </c>
      <c r="M8162" s="24" t="str" cm="1">
        <f t="array" ref="M8162">IFERROR(IF($B8162=M$1, ($A8162+$C8162) - MAX(IF($B$2:$B8161=$B8162, $A$2:$A8161+$C$2:$C8161)), "")*24*60, "")</f>
        <v/>
      </c>
      <c r="N8162" s="24" t="str" cm="1">
        <f t="array" ref="N8162">IFERROR(IF($B8162=N$1, ($A8162+$C8162) - MAX(IF($B$2:$B8161=$B8162, $A$2:$A8161+$C$2:$C8161)), "")*24*60, "")</f>
        <v/>
      </c>
      <c r="O8162" s="24" t="str" cm="1">
        <f t="array" ref="O8162">IFERROR(IF($B8162=O$1, ($A8162+$C8162) - MAX(IF($B$2:$B8161=$B8162, $A$2:$A8161+$C$2:$C8161)), "")*24*60, "")</f>
        <v/>
      </c>
      <c r="P8162" s="24" t="str" cm="1">
        <f t="array" ref="P8162">IFERROR(IF($B8162=P$1, ($A8162+$C8162) - MAX(IF($B$2:$B8161=$B8162, $A$2:$A8161+$C$2:$C8161)), "")*24*60, "")</f>
        <v/>
      </c>
      <c r="Q8162" s="24" t="str" cm="1">
        <f t="array" ref="Q8162">IFERROR(IF($B8162=Q$1, ($A8162+$C8162) - MAX(IF($B$2:$B8161=$B8162, $A$2:$A8161+$C$2:$C8161)), "")*24*60, "")</f>
        <v/>
      </c>
      <c r="R8162" s="24" t="str" cm="1">
        <f t="array" ref="R8162">IFERROR(IF($B8162=R$1, ($A8162+$C8162) - MAX(IF($B$2:$B8161=$B8162, $A$2:$A8161+$C$2:$C8161)), "")*24*60, "")</f>
        <v/>
      </c>
      <c r="S8162" s="24" t="str" cm="1">
        <f t="array" ref="S8162">IFERROR(IF($B8162=S$1, ($A8162+$C8162) - MAX(IF($B$2:$B8161=$B8162, $A$2:$A8161+$C$2:$C8161)), "")*24*60, "")</f>
        <v/>
      </c>
    </row>
    <row r="8163" spans="1:19" x14ac:dyDescent="0.2">
      <c r="A8163" s="12">
        <f t="shared" ref="A8163:C8163" si="1447">A8162</f>
        <v>46026</v>
      </c>
      <c r="B8163" s="5" t="str">
        <f t="shared" si="1447"/>
        <v>Northern Cardinal</v>
      </c>
      <c r="C8163" s="6">
        <f t="shared" si="1447"/>
        <v>0.73958333333333337</v>
      </c>
      <c r="D8163" s="5"/>
      <c r="E8163" s="5"/>
      <c r="F8163" s="5" t="s">
        <v>9</v>
      </c>
      <c r="G8163" s="15" t="s">
        <v>8</v>
      </c>
      <c r="H8163" s="24">
        <f t="shared" si="1444"/>
        <v>0</v>
      </c>
      <c r="I8163" s="24" cm="1">
        <f t="array" ref="I8163">IFERROR(IF($B8163=I$1, ($A8163+$C8163) - MAX(IF($B$2:$B8162=$B8163, $A$2:$A8162+$C$2:$C8162)), "")*24*60, "")</f>
        <v>0</v>
      </c>
      <c r="J8163" s="24" t="str" cm="1">
        <f t="array" ref="J8163">IFERROR(IF($B8163=J$1, ($A8163+$C8163) - MAX(IF($B$2:$B8162=$B8163, $A$2:$A8162+$C$2:$C8162)), "")*24*60, "")</f>
        <v/>
      </c>
      <c r="K8163" s="24" t="str" cm="1">
        <f t="array" ref="K8163">IFERROR(IF($B8163=K$1, ($A8163+$C8163) - MAX(IF($B$2:$B8162=$B8163, $A$2:$A8162+$C$2:$C8162)), "")*24*60, "")</f>
        <v/>
      </c>
      <c r="L8163" s="24" t="str" cm="1">
        <f t="array" ref="L8163">IFERROR(IF($B8163=L$1, ($A8163+$C8163) - MAX(IF($B$2:$B8162=$B8163, $A$2:$A8162+$C$2:$C8162)), "")*24*60, "")</f>
        <v/>
      </c>
      <c r="M8163" s="24" t="str" cm="1">
        <f t="array" ref="M8163">IFERROR(IF($B8163=M$1, ($A8163+$C8163) - MAX(IF($B$2:$B8162=$B8163, $A$2:$A8162+$C$2:$C8162)), "")*24*60, "")</f>
        <v/>
      </c>
      <c r="N8163" s="24" t="str" cm="1">
        <f t="array" ref="N8163">IFERROR(IF($B8163=N$1, ($A8163+$C8163) - MAX(IF($B$2:$B8162=$B8163, $A$2:$A8162+$C$2:$C8162)), "")*24*60, "")</f>
        <v/>
      </c>
      <c r="O8163" s="24" t="str" cm="1">
        <f t="array" ref="O8163">IFERROR(IF($B8163=O$1, ($A8163+$C8163) - MAX(IF($B$2:$B8162=$B8163, $A$2:$A8162+$C$2:$C8162)), "")*24*60, "")</f>
        <v/>
      </c>
      <c r="P8163" s="24" t="str" cm="1">
        <f t="array" ref="P8163">IFERROR(IF($B8163=P$1, ($A8163+$C8163) - MAX(IF($B$2:$B8162=$B8163, $A$2:$A8162+$C$2:$C8162)), "")*24*60, "")</f>
        <v/>
      </c>
      <c r="Q8163" s="24" t="str" cm="1">
        <f t="array" ref="Q8163">IFERROR(IF($B8163=Q$1, ($A8163+$C8163) - MAX(IF($B$2:$B8162=$B8163, $A$2:$A8162+$C$2:$C8162)), "")*24*60, "")</f>
        <v/>
      </c>
      <c r="R8163" s="24" t="str" cm="1">
        <f t="array" ref="R8163">IFERROR(IF($B8163=R$1, ($A8163+$C8163) - MAX(IF($B$2:$B8162=$B8163, $A$2:$A8162+$C$2:$C8162)), "")*24*60, "")</f>
        <v/>
      </c>
      <c r="S8163" s="24" t="str" cm="1">
        <f t="array" ref="S8163">IFERROR(IF($B8163=S$1, ($A8163+$C8163) - MAX(IF($B$2:$B8162=$B8163, $A$2:$A8162+$C$2:$C8162)), "")*24*60, "")</f>
        <v/>
      </c>
    </row>
    <row r="8164" spans="1:19" x14ac:dyDescent="0.2">
      <c r="A8164" s="12">
        <f t="shared" ref="A8164:C8164" si="1448">A8163</f>
        <v>46026</v>
      </c>
      <c r="B8164" s="5" t="str">
        <f t="shared" si="1448"/>
        <v>Northern Cardinal</v>
      </c>
      <c r="C8164" s="6">
        <f t="shared" si="1448"/>
        <v>0.73958333333333337</v>
      </c>
      <c r="D8164" s="5"/>
      <c r="E8164" s="5"/>
      <c r="F8164" s="5" t="s">
        <v>9</v>
      </c>
      <c r="G8164" s="15" t="s">
        <v>8</v>
      </c>
      <c r="H8164" s="24">
        <f t="shared" si="1444"/>
        <v>0</v>
      </c>
      <c r="I8164" s="24" cm="1">
        <f t="array" ref="I8164">IFERROR(IF($B8164=I$1, ($A8164+$C8164) - MAX(IF($B$2:$B8163=$B8164, $A$2:$A8163+$C$2:$C8163)), "")*24*60, "")</f>
        <v>0</v>
      </c>
      <c r="J8164" s="24" t="str" cm="1">
        <f t="array" ref="J8164">IFERROR(IF($B8164=J$1, ($A8164+$C8164) - MAX(IF($B$2:$B8163=$B8164, $A$2:$A8163+$C$2:$C8163)), "")*24*60, "")</f>
        <v/>
      </c>
      <c r="K8164" s="24" t="str" cm="1">
        <f t="array" ref="K8164">IFERROR(IF($B8164=K$1, ($A8164+$C8164) - MAX(IF($B$2:$B8163=$B8164, $A$2:$A8163+$C$2:$C8163)), "")*24*60, "")</f>
        <v/>
      </c>
      <c r="L8164" s="24" t="str" cm="1">
        <f t="array" ref="L8164">IFERROR(IF($B8164=L$1, ($A8164+$C8164) - MAX(IF($B$2:$B8163=$B8164, $A$2:$A8163+$C$2:$C8163)), "")*24*60, "")</f>
        <v/>
      </c>
      <c r="M8164" s="24" t="str" cm="1">
        <f t="array" ref="M8164">IFERROR(IF($B8164=M$1, ($A8164+$C8164) - MAX(IF($B$2:$B8163=$B8164, $A$2:$A8163+$C$2:$C8163)), "")*24*60, "")</f>
        <v/>
      </c>
      <c r="N8164" s="24" t="str" cm="1">
        <f t="array" ref="N8164">IFERROR(IF($B8164=N$1, ($A8164+$C8164) - MAX(IF($B$2:$B8163=$B8164, $A$2:$A8163+$C$2:$C8163)), "")*24*60, "")</f>
        <v/>
      </c>
      <c r="O8164" s="24" t="str" cm="1">
        <f t="array" ref="O8164">IFERROR(IF($B8164=O$1, ($A8164+$C8164) - MAX(IF($B$2:$B8163=$B8164, $A$2:$A8163+$C$2:$C8163)), "")*24*60, "")</f>
        <v/>
      </c>
      <c r="P8164" s="24" t="str" cm="1">
        <f t="array" ref="P8164">IFERROR(IF($B8164=P$1, ($A8164+$C8164) - MAX(IF($B$2:$B8163=$B8164, $A$2:$A8163+$C$2:$C8163)), "")*24*60, "")</f>
        <v/>
      </c>
      <c r="Q8164" s="24" t="str" cm="1">
        <f t="array" ref="Q8164">IFERROR(IF($B8164=Q$1, ($A8164+$C8164) - MAX(IF($B$2:$B8163=$B8164, $A$2:$A8163+$C$2:$C8163)), "")*24*60, "")</f>
        <v/>
      </c>
      <c r="R8164" s="24" t="str" cm="1">
        <f t="array" ref="R8164">IFERROR(IF($B8164=R$1, ($A8164+$C8164) - MAX(IF($B$2:$B8163=$B8164, $A$2:$A8163+$C$2:$C8163)), "")*24*60, "")</f>
        <v/>
      </c>
      <c r="S8164" s="24" t="str" cm="1">
        <f t="array" ref="S8164">IFERROR(IF($B8164=S$1, ($A8164+$C8164) - MAX(IF($B$2:$B8163=$B8164, $A$2:$A8163+$C$2:$C8163)), "")*24*60, "")</f>
        <v/>
      </c>
    </row>
    <row r="8165" spans="1:19" x14ac:dyDescent="0.2">
      <c r="A8165" s="12">
        <f t="shared" ref="A8165:C8165" si="1449">A8164</f>
        <v>46026</v>
      </c>
      <c r="B8165" s="5" t="str">
        <f t="shared" si="1449"/>
        <v>Northern Cardinal</v>
      </c>
      <c r="C8165" s="6">
        <f t="shared" si="1449"/>
        <v>0.73958333333333337</v>
      </c>
      <c r="D8165" s="5"/>
      <c r="E8165" s="5"/>
      <c r="F8165" s="5" t="s">
        <v>9</v>
      </c>
      <c r="G8165" s="15" t="s">
        <v>8</v>
      </c>
      <c r="H8165" s="24">
        <f t="shared" si="1444"/>
        <v>0</v>
      </c>
      <c r="I8165" s="24" cm="1">
        <f t="array" ref="I8165">IFERROR(IF($B8165=I$1, ($A8165+$C8165) - MAX(IF($B$2:$B8164=$B8165, $A$2:$A8164+$C$2:$C8164)), "")*24*60, "")</f>
        <v>0</v>
      </c>
      <c r="J8165" s="24" t="str" cm="1">
        <f t="array" ref="J8165">IFERROR(IF($B8165=J$1, ($A8165+$C8165) - MAX(IF($B$2:$B8164=$B8165, $A$2:$A8164+$C$2:$C8164)), "")*24*60, "")</f>
        <v/>
      </c>
      <c r="K8165" s="24" t="str" cm="1">
        <f t="array" ref="K8165">IFERROR(IF($B8165=K$1, ($A8165+$C8165) - MAX(IF($B$2:$B8164=$B8165, $A$2:$A8164+$C$2:$C8164)), "")*24*60, "")</f>
        <v/>
      </c>
      <c r="L8165" s="24" t="str" cm="1">
        <f t="array" ref="L8165">IFERROR(IF($B8165=L$1, ($A8165+$C8165) - MAX(IF($B$2:$B8164=$B8165, $A$2:$A8164+$C$2:$C8164)), "")*24*60, "")</f>
        <v/>
      </c>
      <c r="M8165" s="24" t="str" cm="1">
        <f t="array" ref="M8165">IFERROR(IF($B8165=M$1, ($A8165+$C8165) - MAX(IF($B$2:$B8164=$B8165, $A$2:$A8164+$C$2:$C8164)), "")*24*60, "")</f>
        <v/>
      </c>
      <c r="N8165" s="24" t="str" cm="1">
        <f t="array" ref="N8165">IFERROR(IF($B8165=N$1, ($A8165+$C8165) - MAX(IF($B$2:$B8164=$B8165, $A$2:$A8164+$C$2:$C8164)), "")*24*60, "")</f>
        <v/>
      </c>
      <c r="O8165" s="24" t="str" cm="1">
        <f t="array" ref="O8165">IFERROR(IF($B8165=O$1, ($A8165+$C8165) - MAX(IF($B$2:$B8164=$B8165, $A$2:$A8164+$C$2:$C8164)), "")*24*60, "")</f>
        <v/>
      </c>
      <c r="P8165" s="24" t="str" cm="1">
        <f t="array" ref="P8165">IFERROR(IF($B8165=P$1, ($A8165+$C8165) - MAX(IF($B$2:$B8164=$B8165, $A$2:$A8164+$C$2:$C8164)), "")*24*60, "")</f>
        <v/>
      </c>
      <c r="Q8165" s="24" t="str" cm="1">
        <f t="array" ref="Q8165">IFERROR(IF($B8165=Q$1, ($A8165+$C8165) - MAX(IF($B$2:$B8164=$B8165, $A$2:$A8164+$C$2:$C8164)), "")*24*60, "")</f>
        <v/>
      </c>
      <c r="R8165" s="24" t="str" cm="1">
        <f t="array" ref="R8165">IFERROR(IF($B8165=R$1, ($A8165+$C8165) - MAX(IF($B$2:$B8164=$B8165, $A$2:$A8164+$C$2:$C8164)), "")*24*60, "")</f>
        <v/>
      </c>
      <c r="S8165" s="24" t="str" cm="1">
        <f t="array" ref="S8165">IFERROR(IF($B8165=S$1, ($A8165+$C8165) - MAX(IF($B$2:$B8164=$B8165, $A$2:$A8164+$C$2:$C8164)), "")*24*60, "")</f>
        <v/>
      </c>
    </row>
    <row r="8166" spans="1:19" x14ac:dyDescent="0.2">
      <c r="A8166" s="12">
        <f t="shared" ref="A8166:C8166" si="1450">A8165</f>
        <v>46026</v>
      </c>
      <c r="B8166" s="5" t="str">
        <f t="shared" si="1450"/>
        <v>Northern Cardinal</v>
      </c>
      <c r="C8166" s="6">
        <f t="shared" si="1450"/>
        <v>0.73958333333333337</v>
      </c>
      <c r="D8166" s="5"/>
      <c r="E8166" s="5"/>
      <c r="F8166" s="5" t="s">
        <v>9</v>
      </c>
      <c r="G8166" s="15" t="s">
        <v>8</v>
      </c>
      <c r="H8166" s="24">
        <f t="shared" si="1444"/>
        <v>0</v>
      </c>
      <c r="I8166" s="24" cm="1">
        <f t="array" ref="I8166">IFERROR(IF($B8166=I$1, ($A8166+$C8166) - MAX(IF($B$2:$B8165=$B8166, $A$2:$A8165+$C$2:$C8165)), "")*24*60, "")</f>
        <v>0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451">A8166</f>
        <v>46026</v>
      </c>
      <c r="B8167" s="5" t="str">
        <f t="shared" si="1451"/>
        <v>Northern Cardinal</v>
      </c>
      <c r="C8167" s="6">
        <f t="shared" si="1451"/>
        <v>0.73958333333333337</v>
      </c>
      <c r="D8167" s="5"/>
      <c r="E8167" s="5"/>
      <c r="F8167" s="5" t="s">
        <v>9</v>
      </c>
      <c r="G8167" s="15" t="s">
        <v>8</v>
      </c>
      <c r="H8167" s="24">
        <f t="shared" si="1444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452">A8167</f>
        <v>46026</v>
      </c>
      <c r="B8168" s="5" t="str">
        <f t="shared" si="1452"/>
        <v>Northern Cardinal</v>
      </c>
      <c r="C8168" s="6">
        <f t="shared" si="1452"/>
        <v>0.73958333333333337</v>
      </c>
      <c r="D8168" s="5"/>
      <c r="E8168" s="5"/>
      <c r="F8168" s="5" t="s">
        <v>9</v>
      </c>
      <c r="G8168" s="15" t="s">
        <v>8</v>
      </c>
      <c r="H8168" s="24">
        <f t="shared" si="1444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453">A8168</f>
        <v>46026</v>
      </c>
      <c r="B8169" s="5" t="str">
        <f t="shared" si="1453"/>
        <v>Northern Cardinal</v>
      </c>
      <c r="C8169" s="6">
        <f t="shared" si="1453"/>
        <v>0.73958333333333337</v>
      </c>
      <c r="D8169" s="5"/>
      <c r="E8169" s="5"/>
      <c r="F8169" s="5" t="s">
        <v>9</v>
      </c>
      <c r="G8169" s="15" t="s">
        <v>8</v>
      </c>
      <c r="H8169" s="24">
        <f t="shared" si="1444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454">A8169</f>
        <v>46026</v>
      </c>
      <c r="B8170" s="5" t="str">
        <f t="shared" si="1454"/>
        <v>Northern Cardinal</v>
      </c>
      <c r="C8170" s="6">
        <f t="shared" si="1454"/>
        <v>0.73958333333333337</v>
      </c>
      <c r="D8170" s="5"/>
      <c r="E8170" s="5"/>
      <c r="F8170" s="5" t="s">
        <v>9</v>
      </c>
      <c r="G8170" s="15" t="s">
        <v>8</v>
      </c>
      <c r="H8170" s="24">
        <f t="shared" si="1444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455">A8170</f>
        <v>46026</v>
      </c>
      <c r="B8171" s="5" t="str">
        <f t="shared" si="1455"/>
        <v>Northern Cardinal</v>
      </c>
      <c r="C8171" s="6">
        <f t="shared" si="1455"/>
        <v>0.73958333333333337</v>
      </c>
      <c r="D8171" s="5"/>
      <c r="E8171" s="5"/>
      <c r="F8171" s="5" t="s">
        <v>9</v>
      </c>
      <c r="G8171" s="15" t="s">
        <v>8</v>
      </c>
      <c r="H8171" s="24">
        <f t="shared" si="1444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456">A8171</f>
        <v>46026</v>
      </c>
      <c r="B8172" s="5" t="str">
        <f t="shared" si="1456"/>
        <v>Northern Cardinal</v>
      </c>
      <c r="C8172" s="6">
        <f t="shared" si="1456"/>
        <v>0.73958333333333337</v>
      </c>
      <c r="D8172" s="5"/>
      <c r="E8172" s="5"/>
      <c r="F8172" s="5" t="s">
        <v>9</v>
      </c>
      <c r="G8172" s="15" t="s">
        <v>8</v>
      </c>
      <c r="H8172" s="24">
        <f t="shared" si="1444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457">A8172</f>
        <v>46026</v>
      </c>
      <c r="B8173" s="5" t="str">
        <f t="shared" si="1457"/>
        <v>Northern Cardinal</v>
      </c>
      <c r="C8173" s="6">
        <f t="shared" si="1457"/>
        <v>0.73958333333333337</v>
      </c>
      <c r="D8173" s="5"/>
      <c r="E8173" s="5"/>
      <c r="F8173" s="5" t="s">
        <v>9</v>
      </c>
      <c r="G8173" s="15" t="s">
        <v>8</v>
      </c>
      <c r="H8173" s="24">
        <f t="shared" si="1444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458">A8173</f>
        <v>46026</v>
      </c>
      <c r="B8174" s="5" t="str">
        <f t="shared" si="1458"/>
        <v>Northern Cardinal</v>
      </c>
      <c r="C8174" s="6">
        <f t="shared" si="1458"/>
        <v>0.73958333333333337</v>
      </c>
      <c r="D8174" s="5"/>
      <c r="E8174" s="5"/>
      <c r="F8174" s="5" t="s">
        <v>9</v>
      </c>
      <c r="G8174" s="15" t="s">
        <v>8</v>
      </c>
      <c r="H8174" s="24">
        <f t="shared" si="1444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459">A8174</f>
        <v>46026</v>
      </c>
      <c r="B8175" s="5" t="str">
        <f t="shared" si="1459"/>
        <v>Northern Cardinal</v>
      </c>
      <c r="C8175" s="6">
        <f t="shared" si="1459"/>
        <v>0.73958333333333337</v>
      </c>
      <c r="D8175" s="5"/>
      <c r="E8175" s="5"/>
      <c r="F8175" s="5" t="s">
        <v>9</v>
      </c>
      <c r="G8175" s="15" t="s">
        <v>8</v>
      </c>
      <c r="H8175" s="24">
        <f t="shared" si="1444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460">A8175</f>
        <v>46026</v>
      </c>
      <c r="B8176" s="5" t="str">
        <f t="shared" si="1460"/>
        <v>Northern Cardinal</v>
      </c>
      <c r="C8176" s="6">
        <f t="shared" si="1460"/>
        <v>0.73958333333333337</v>
      </c>
      <c r="D8176" s="5"/>
      <c r="E8176" s="5"/>
      <c r="F8176" s="5" t="s">
        <v>9</v>
      </c>
      <c r="G8176" s="15" t="s">
        <v>8</v>
      </c>
      <c r="H8176" s="24">
        <f t="shared" si="1444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461">A8176</f>
        <v>46026</v>
      </c>
      <c r="B8177" s="5" t="str">
        <f t="shared" si="1461"/>
        <v>Northern Cardinal</v>
      </c>
      <c r="C8177" s="6">
        <f t="shared" si="1461"/>
        <v>0.73958333333333337</v>
      </c>
      <c r="D8177" s="5"/>
      <c r="E8177" s="5"/>
      <c r="F8177" s="5" t="s">
        <v>9</v>
      </c>
      <c r="G8177" s="15" t="s">
        <v>8</v>
      </c>
      <c r="H8177" s="24">
        <f t="shared" si="1444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462">A8177</f>
        <v>46026</v>
      </c>
      <c r="B8178" s="5" t="str">
        <f t="shared" si="1462"/>
        <v>Northern Cardinal</v>
      </c>
      <c r="C8178" s="6">
        <f t="shared" si="1462"/>
        <v>0.73958333333333337</v>
      </c>
      <c r="D8178" s="5"/>
      <c r="E8178" s="5"/>
      <c r="F8178" s="5" t="s">
        <v>9</v>
      </c>
      <c r="G8178" s="15" t="s">
        <v>8</v>
      </c>
      <c r="H8178" s="24">
        <f t="shared" si="1444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463">A8178</f>
        <v>46026</v>
      </c>
      <c r="B8179" s="5" t="str">
        <f t="shared" si="1463"/>
        <v>Northern Cardinal</v>
      </c>
      <c r="C8179" s="6">
        <f t="shared" si="1463"/>
        <v>0.73958333333333337</v>
      </c>
      <c r="D8179" s="5"/>
      <c r="E8179" s="5"/>
      <c r="F8179" s="5" t="s">
        <v>9</v>
      </c>
      <c r="G8179" s="15" t="s">
        <v>8</v>
      </c>
      <c r="H8179" s="24">
        <f t="shared" si="1444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464">A8179</f>
        <v>46026</v>
      </c>
      <c r="B8180" s="5" t="str">
        <f t="shared" si="1464"/>
        <v>Northern Cardinal</v>
      </c>
      <c r="C8180" s="6">
        <f t="shared" si="1464"/>
        <v>0.73958333333333337</v>
      </c>
      <c r="D8180" s="5"/>
      <c r="E8180" s="5"/>
      <c r="F8180" s="5" t="s">
        <v>9</v>
      </c>
      <c r="G8180" s="15" t="s">
        <v>8</v>
      </c>
      <c r="H8180" s="24">
        <f t="shared" si="1444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465">A8180</f>
        <v>46026</v>
      </c>
      <c r="B8181" s="5" t="str">
        <f t="shared" si="1465"/>
        <v>Northern Cardinal</v>
      </c>
      <c r="C8181" s="6">
        <f t="shared" si="1465"/>
        <v>0.73958333333333337</v>
      </c>
      <c r="D8181" s="5"/>
      <c r="E8181" s="5"/>
      <c r="F8181" s="5" t="s">
        <v>9</v>
      </c>
      <c r="G8181" s="15" t="s">
        <v>8</v>
      </c>
      <c r="H8181" s="24">
        <f t="shared" si="1444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466">A8181</f>
        <v>46026</v>
      </c>
      <c r="B8182" s="5" t="str">
        <f t="shared" si="1466"/>
        <v>Northern Cardinal</v>
      </c>
      <c r="C8182" s="6">
        <f t="shared" si="1466"/>
        <v>0.73958333333333337</v>
      </c>
      <c r="D8182" s="5"/>
      <c r="E8182" s="5"/>
      <c r="F8182" s="5" t="s">
        <v>9</v>
      </c>
      <c r="G8182" s="15" t="s">
        <v>8</v>
      </c>
      <c r="H8182" s="24">
        <f t="shared" si="1444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467">A8182</f>
        <v>46026</v>
      </c>
      <c r="B8183" s="5" t="str">
        <f t="shared" si="1467"/>
        <v>Northern Cardinal</v>
      </c>
      <c r="C8183" s="6">
        <f t="shared" si="1467"/>
        <v>0.73958333333333337</v>
      </c>
      <c r="D8183" s="5"/>
      <c r="E8183" s="5"/>
      <c r="F8183" s="5" t="s">
        <v>9</v>
      </c>
      <c r="G8183" s="15" t="s">
        <v>8</v>
      </c>
      <c r="H8183" s="24">
        <f t="shared" si="1444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468">A8183</f>
        <v>46026</v>
      </c>
      <c r="B8184" s="5" t="str">
        <f t="shared" si="1468"/>
        <v>Northern Cardinal</v>
      </c>
      <c r="C8184" s="6">
        <f t="shared" si="1468"/>
        <v>0.73958333333333337</v>
      </c>
      <c r="D8184" s="5"/>
      <c r="E8184" s="5"/>
      <c r="F8184" s="5" t="s">
        <v>9</v>
      </c>
      <c r="G8184" s="15" t="s">
        <v>8</v>
      </c>
      <c r="H8184" s="24">
        <f t="shared" si="1444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469">A8184</f>
        <v>46026</v>
      </c>
      <c r="B8185" s="5" t="str">
        <f t="shared" si="1469"/>
        <v>Northern Cardinal</v>
      </c>
      <c r="C8185" s="6">
        <f t="shared" si="1469"/>
        <v>0.73958333333333337</v>
      </c>
      <c r="D8185" s="5"/>
      <c r="E8185" s="5"/>
      <c r="F8185" s="5" t="s">
        <v>9</v>
      </c>
      <c r="G8185" s="15" t="s">
        <v>8</v>
      </c>
      <c r="H8185" s="24">
        <f t="shared" si="1444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470">A8185</f>
        <v>46026</v>
      </c>
      <c r="B8186" s="5" t="str">
        <f t="shared" si="1470"/>
        <v>Northern Cardinal</v>
      </c>
      <c r="C8186" s="6">
        <f t="shared" si="1470"/>
        <v>0.73958333333333337</v>
      </c>
      <c r="D8186" s="5"/>
      <c r="E8186" s="5"/>
      <c r="F8186" s="5" t="s">
        <v>9</v>
      </c>
      <c r="G8186" s="15" t="s">
        <v>8</v>
      </c>
      <c r="H8186" s="24">
        <f t="shared" si="1444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471">A8186</f>
        <v>46026</v>
      </c>
      <c r="B8187" s="5" t="str">
        <f t="shared" si="1471"/>
        <v>Northern Cardinal</v>
      </c>
      <c r="C8187" s="6">
        <f t="shared" si="1471"/>
        <v>0.73958333333333337</v>
      </c>
      <c r="D8187" s="5"/>
      <c r="E8187" s="5"/>
      <c r="F8187" s="5" t="s">
        <v>9</v>
      </c>
      <c r="G8187" s="15" t="s">
        <v>8</v>
      </c>
      <c r="H8187" s="24">
        <f t="shared" si="1444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472">A8187</f>
        <v>46026</v>
      </c>
      <c r="B8188" s="5" t="str">
        <f t="shared" si="1472"/>
        <v>Northern Cardinal</v>
      </c>
      <c r="C8188" s="6">
        <f t="shared" si="1472"/>
        <v>0.73958333333333337</v>
      </c>
      <c r="D8188" s="5"/>
      <c r="E8188" s="5"/>
      <c r="F8188" s="5" t="s">
        <v>9</v>
      </c>
      <c r="G8188" s="15" t="s">
        <v>8</v>
      </c>
      <c r="H8188" s="24">
        <f t="shared" si="1444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473">A8188</f>
        <v>46026</v>
      </c>
      <c r="B8189" s="5" t="str">
        <f t="shared" si="1473"/>
        <v>Northern Cardinal</v>
      </c>
      <c r="C8189" s="6">
        <f t="shared" si="1473"/>
        <v>0.73958333333333337</v>
      </c>
      <c r="D8189" s="5"/>
      <c r="E8189" s="5"/>
      <c r="F8189" s="5" t="s">
        <v>9</v>
      </c>
      <c r="G8189" s="15" t="s">
        <v>8</v>
      </c>
      <c r="H8189" s="24">
        <f t="shared" si="1444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474">A8189</f>
        <v>46026</v>
      </c>
      <c r="B8190" s="5" t="str">
        <f t="shared" si="1474"/>
        <v>Northern Cardinal</v>
      </c>
      <c r="C8190" s="6">
        <f t="shared" si="1474"/>
        <v>0.73958333333333337</v>
      </c>
      <c r="D8190" s="5"/>
      <c r="E8190" s="5"/>
      <c r="F8190" s="5" t="s">
        <v>9</v>
      </c>
      <c r="G8190" s="15" t="s">
        <v>8</v>
      </c>
      <c r="H8190" s="24">
        <f t="shared" si="1444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475">A8190</f>
        <v>46026</v>
      </c>
      <c r="B8191" s="5" t="str">
        <f t="shared" si="1475"/>
        <v>Northern Cardinal</v>
      </c>
      <c r="C8191" s="6">
        <f t="shared" si="1475"/>
        <v>0.73958333333333337</v>
      </c>
      <c r="D8191" s="5"/>
      <c r="E8191" s="5"/>
      <c r="F8191" s="5" t="s">
        <v>9</v>
      </c>
      <c r="G8191" s="15" t="s">
        <v>8</v>
      </c>
      <c r="H8191" s="24">
        <f t="shared" si="1444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476">A8191</f>
        <v>46026</v>
      </c>
      <c r="B8192" s="5" t="str">
        <f t="shared" si="1476"/>
        <v>Northern Cardinal</v>
      </c>
      <c r="C8192" s="6">
        <f t="shared" si="1476"/>
        <v>0.73958333333333337</v>
      </c>
      <c r="D8192" s="5"/>
      <c r="E8192" s="5"/>
      <c r="F8192" s="5" t="s">
        <v>9</v>
      </c>
      <c r="G8192" s="15" t="s">
        <v>8</v>
      </c>
      <c r="H8192" s="24">
        <f t="shared" si="1444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477">A8192</f>
        <v>46026</v>
      </c>
      <c r="B8193" s="5" t="str">
        <f t="shared" si="1477"/>
        <v>Northern Cardinal</v>
      </c>
      <c r="C8193" s="6">
        <f t="shared" si="1477"/>
        <v>0.73958333333333337</v>
      </c>
      <c r="D8193" s="5"/>
      <c r="E8193" s="5"/>
      <c r="F8193" s="5" t="s">
        <v>9</v>
      </c>
      <c r="G8193" s="15" t="s">
        <v>8</v>
      </c>
      <c r="H8193" s="24">
        <f t="shared" si="1444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478">A8193</f>
        <v>46026</v>
      </c>
      <c r="B8194" s="5" t="str">
        <f t="shared" si="1478"/>
        <v>Northern Cardinal</v>
      </c>
      <c r="C8194" s="6">
        <f t="shared" si="1478"/>
        <v>0.73958333333333337</v>
      </c>
      <c r="D8194" s="5"/>
      <c r="E8194" s="5"/>
      <c r="F8194" s="5" t="s">
        <v>9</v>
      </c>
      <c r="G8194" s="15" t="s">
        <v>8</v>
      </c>
      <c r="H8194" s="24">
        <f t="shared" si="1444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479">A8194</f>
        <v>46026</v>
      </c>
      <c r="B8195" s="5" t="str">
        <f t="shared" si="1479"/>
        <v>Northern Cardinal</v>
      </c>
      <c r="C8195" s="6">
        <f t="shared" si="1479"/>
        <v>0.73958333333333337</v>
      </c>
      <c r="D8195" s="5"/>
      <c r="E8195" s="5"/>
      <c r="F8195" s="5" t="s">
        <v>9</v>
      </c>
      <c r="G8195" s="15" t="s">
        <v>8</v>
      </c>
      <c r="H8195" s="24">
        <f t="shared" si="1444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480">A8195</f>
        <v>46026</v>
      </c>
      <c r="B8196" s="5" t="str">
        <f t="shared" si="1480"/>
        <v>Northern Cardinal</v>
      </c>
      <c r="C8196" s="6">
        <f t="shared" si="1480"/>
        <v>0.73958333333333337</v>
      </c>
      <c r="D8196" s="5"/>
      <c r="E8196" s="5"/>
      <c r="F8196" s="5" t="s">
        <v>9</v>
      </c>
      <c r="G8196" s="15" t="s">
        <v>8</v>
      </c>
      <c r="H8196" s="24">
        <f t="shared" si="1444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481">A8196</f>
        <v>46026</v>
      </c>
      <c r="B8197" s="5" t="str">
        <f t="shared" si="1481"/>
        <v>Northern Cardinal</v>
      </c>
      <c r="C8197" s="6">
        <f t="shared" si="1481"/>
        <v>0.73958333333333337</v>
      </c>
      <c r="D8197" s="5"/>
      <c r="E8197" s="5"/>
      <c r="F8197" s="5" t="s">
        <v>9</v>
      </c>
      <c r="G8197" s="15" t="s">
        <v>8</v>
      </c>
      <c r="H8197" s="24">
        <f t="shared" si="1444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482">A8197</f>
        <v>46026</v>
      </c>
      <c r="B8198" s="5" t="str">
        <f t="shared" si="1482"/>
        <v>Northern Cardinal</v>
      </c>
      <c r="C8198" s="6">
        <f t="shared" si="1482"/>
        <v>0.73958333333333337</v>
      </c>
      <c r="D8198" s="5"/>
      <c r="E8198" s="5"/>
      <c r="F8198" s="5" t="s">
        <v>9</v>
      </c>
      <c r="G8198" s="15" t="s">
        <v>8</v>
      </c>
      <c r="H8198" s="24">
        <f t="shared" si="1444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483">A8198</f>
        <v>46026</v>
      </c>
      <c r="B8199" s="5" t="str">
        <f t="shared" si="1483"/>
        <v>Northern Cardinal</v>
      </c>
      <c r="C8199" s="6">
        <f t="shared" si="1483"/>
        <v>0.73958333333333337</v>
      </c>
      <c r="D8199" s="5"/>
      <c r="E8199" s="5"/>
      <c r="F8199" s="5" t="s">
        <v>9</v>
      </c>
      <c r="G8199" s="15" t="s">
        <v>8</v>
      </c>
      <c r="H8199" s="24">
        <f t="shared" si="1444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13"/>
  <sheetViews>
    <sheetView zoomScale="120" zoomScaleNormal="120" workbookViewId="0">
      <pane ySplit="1" topLeftCell="A308" activePane="bottomLeft" state="frozen"/>
      <selection pane="bottomLeft" activeCell="A313" sqref="A31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10">
        <v>46025</v>
      </c>
      <c r="B313" s="11" t="s">
        <v>3</v>
      </c>
      <c r="C313" s="11">
        <f>COUNTIFS(RawData!$B:$B, $B313, RawData!$A:$A, DailySummaries!$A313)</f>
        <v>27</v>
      </c>
      <c r="D313" s="11">
        <f>SUMIFS(RawData!$D:$D,RawData!$B:$B,$B313,RawData!$A:$A,DailySummaries!$A313)+1</f>
        <v>3</v>
      </c>
      <c r="E313" s="11">
        <f>SUMIFS(RawData!$E:$E,RawData!$B:$B,$B313,RawData!$A:$A,DailySummaries!$A313)+1</f>
        <v>86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2026-01-04T12:13:54Z</dcterms:modified>
</cp:coreProperties>
</file>
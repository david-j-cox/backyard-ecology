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CCB18BED-9A03-F54E-9C8D-E9D18B717E12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225" i="1" l="1"/>
  <c r="C7226" i="1" s="1"/>
  <c r="C7227" i="1" s="1"/>
  <c r="C7228" i="1" s="1"/>
  <c r="C7229" i="1" s="1"/>
  <c r="C7230" i="1" s="1"/>
  <c r="C7231" i="1" s="1"/>
  <c r="C7232" i="1" s="1"/>
  <c r="C7233" i="1" s="1"/>
  <c r="C7234" i="1" s="1"/>
  <c r="C7235" i="1" s="1"/>
  <c r="C7236" i="1" s="1"/>
  <c r="C7237" i="1" s="1"/>
  <c r="C7238" i="1" s="1"/>
  <c r="C7239" i="1" s="1"/>
  <c r="C7240" i="1" s="1"/>
  <c r="C7241" i="1" s="1"/>
  <c r="C7242" i="1" s="1"/>
  <c r="C7243" i="1" s="1"/>
  <c r="C7244" i="1" s="1"/>
  <c r="C7245" i="1" s="1"/>
  <c r="C7246" i="1" s="1"/>
  <c r="C7247" i="1" s="1"/>
  <c r="C7248" i="1" s="1"/>
  <c r="C7249" i="1" s="1"/>
  <c r="C7250" i="1" s="1"/>
  <c r="C7251" i="1" s="1"/>
  <c r="C7252" i="1" s="1"/>
  <c r="C7253" i="1" s="1"/>
  <c r="C7254" i="1" s="1"/>
  <c r="C7255" i="1" s="1"/>
  <c r="C7256" i="1" s="1"/>
  <c r="C7257" i="1" s="1"/>
  <c r="C7258" i="1" s="1"/>
  <c r="C7259" i="1" s="1"/>
  <c r="C7260" i="1" s="1"/>
  <c r="C7261" i="1" s="1"/>
  <c r="C7262" i="1" s="1"/>
  <c r="C7263" i="1" s="1"/>
  <c r="C7264" i="1" s="1"/>
  <c r="C7265" i="1" s="1"/>
  <c r="C7266" i="1" s="1"/>
  <c r="C7267" i="1" s="1"/>
  <c r="C7268" i="1" s="1"/>
  <c r="C7269" i="1" s="1"/>
  <c r="C7270" i="1" s="1"/>
  <c r="C7271" i="1" s="1"/>
  <c r="C7272" i="1" s="1"/>
  <c r="C7273" i="1" s="1"/>
  <c r="C7274" i="1" s="1"/>
  <c r="C7275" i="1" s="1"/>
  <c r="C7276" i="1" s="1"/>
  <c r="C7277" i="1" s="1"/>
  <c r="C7278" i="1" s="1"/>
  <c r="C7279" i="1" s="1"/>
  <c r="C7280" i="1" s="1"/>
  <c r="C7281" i="1" s="1"/>
  <c r="C7282" i="1" s="1"/>
  <c r="C7283" i="1" s="1"/>
  <c r="C7284" i="1" s="1"/>
  <c r="C7285" i="1" s="1"/>
  <c r="C7286" i="1" s="1"/>
  <c r="C7287" i="1" s="1"/>
  <c r="C7288" i="1" s="1"/>
  <c r="C7289" i="1" s="1"/>
  <c r="C7290" i="1" s="1"/>
  <c r="C7291" i="1" s="1"/>
  <c r="C7292" i="1" s="1"/>
  <c r="C7293" i="1" s="1"/>
  <c r="C7294" i="1" s="1"/>
  <c r="C7295" i="1" s="1"/>
  <c r="C7296" i="1" s="1"/>
  <c r="C7297" i="1" s="1"/>
  <c r="C7298" i="1" s="1"/>
  <c r="C7299" i="1" s="1"/>
  <c r="C7300" i="1" s="1"/>
  <c r="C7301" i="1" s="1"/>
  <c r="C7302" i="1" s="1"/>
  <c r="C7303" i="1" s="1"/>
  <c r="C7304" i="1" s="1"/>
  <c r="C7305" i="1" s="1"/>
  <c r="C7306" i="1" s="1"/>
  <c r="C7307" i="1" s="1"/>
  <c r="C7308" i="1" s="1"/>
  <c r="C7309" i="1" s="1"/>
  <c r="C7310" i="1" s="1"/>
  <c r="C7311" i="1" s="1"/>
  <c r="C7312" i="1" s="1"/>
  <c r="C7313" i="1" s="1"/>
  <c r="C7314" i="1" s="1"/>
  <c r="C7315" i="1" s="1"/>
  <c r="C7316" i="1" s="1"/>
  <c r="C7317" i="1" s="1"/>
  <c r="C7318" i="1" s="1"/>
  <c r="C7319" i="1" s="1"/>
  <c r="C7320" i="1" s="1"/>
  <c r="C7321" i="1" s="1"/>
  <c r="C7322" i="1" s="1"/>
  <c r="C7323" i="1" s="1"/>
  <c r="C7324" i="1" s="1"/>
  <c r="C7325" i="1" s="1"/>
  <c r="C7326" i="1" s="1"/>
  <c r="C7327" i="1" s="1"/>
  <c r="C7328" i="1" s="1"/>
  <c r="C7329" i="1" s="1"/>
  <c r="C7330" i="1" s="1"/>
  <c r="C7331" i="1" s="1"/>
  <c r="C7332" i="1" s="1"/>
  <c r="C7333" i="1" s="1"/>
  <c r="C7334" i="1" s="1"/>
  <c r="C7335" i="1" s="1"/>
  <c r="C7336" i="1" s="1"/>
  <c r="C7337" i="1" s="1"/>
  <c r="C7338" i="1" s="1"/>
  <c r="C7339" i="1" s="1"/>
  <c r="C7340" i="1" s="1"/>
  <c r="C7341" i="1" s="1"/>
  <c r="C7342" i="1" s="1"/>
  <c r="C7343" i="1" s="1"/>
  <c r="C7344" i="1" s="1"/>
  <c r="C7345" i="1" s="1"/>
  <c r="C7346" i="1" s="1"/>
  <c r="C7347" i="1" s="1"/>
  <c r="C7348" i="1" s="1"/>
  <c r="C7349" i="1" s="1"/>
  <c r="C7350" i="1" s="1"/>
  <c r="C7351" i="1" s="1"/>
  <c r="C7352" i="1" s="1"/>
  <c r="C7353" i="1" s="1"/>
  <c r="C7354" i="1" s="1"/>
  <c r="C7355" i="1" s="1"/>
  <c r="C7356" i="1" s="1"/>
  <c r="C7357" i="1" s="1"/>
  <c r="C7358" i="1" s="1"/>
  <c r="C7359" i="1" s="1"/>
  <c r="C7360" i="1" s="1"/>
  <c r="C7361" i="1" s="1"/>
  <c r="C7362" i="1" s="1"/>
  <c r="C7363" i="1" s="1"/>
  <c r="C7364" i="1" s="1"/>
  <c r="C7365" i="1" s="1"/>
  <c r="C7366" i="1" s="1"/>
  <c r="C7367" i="1" s="1"/>
  <c r="C7368" i="1" s="1"/>
  <c r="C7369" i="1" s="1"/>
  <c r="C7370" i="1" s="1"/>
  <c r="C7371" i="1" s="1"/>
  <c r="C7372" i="1" s="1"/>
  <c r="C7373" i="1" s="1"/>
  <c r="C7374" i="1" s="1"/>
  <c r="C7375" i="1" s="1"/>
  <c r="C7376" i="1" s="1"/>
  <c r="C7377" i="1" s="1"/>
  <c r="C7378" i="1" s="1"/>
  <c r="C7379" i="1" s="1"/>
  <c r="C7380" i="1" s="1"/>
  <c r="C7381" i="1" s="1"/>
  <c r="C7382" i="1" s="1"/>
  <c r="C7383" i="1" s="1"/>
  <c r="C7384" i="1" s="1"/>
  <c r="C7385" i="1" s="1"/>
  <c r="C7386" i="1" s="1"/>
  <c r="C7387" i="1" s="1"/>
  <c r="C7388" i="1" s="1"/>
  <c r="C7389" i="1" s="1"/>
  <c r="C7390" i="1" s="1"/>
  <c r="C7391" i="1" s="1"/>
  <c r="C7392" i="1" s="1"/>
  <c r="C7393" i="1" s="1"/>
  <c r="C7394" i="1" s="1"/>
  <c r="C7395" i="1" s="1"/>
  <c r="C7396" i="1" s="1"/>
  <c r="C7397" i="1" s="1"/>
  <c r="C7398" i="1" s="1"/>
  <c r="C7399" i="1" s="1"/>
  <c r="C7400" i="1" s="1"/>
  <c r="C7401" i="1" s="1"/>
  <c r="C7402" i="1" s="1"/>
  <c r="C7403" i="1" s="1"/>
  <c r="C7404" i="1" s="1"/>
  <c r="C7405" i="1" s="1"/>
  <c r="C7406" i="1" s="1"/>
  <c r="C7407" i="1" s="1"/>
  <c r="C7408" i="1" s="1"/>
  <c r="C7409" i="1" s="1"/>
  <c r="C7410" i="1" s="1"/>
  <c r="C7411" i="1" s="1"/>
  <c r="C7412" i="1" s="1"/>
  <c r="C7413" i="1" s="1"/>
  <c r="C7414" i="1" s="1"/>
  <c r="C7415" i="1" s="1"/>
  <c r="C7416" i="1" s="1"/>
  <c r="C7417" i="1" s="1"/>
  <c r="C7418" i="1" s="1"/>
  <c r="C7419" i="1" s="1"/>
  <c r="C7420" i="1" s="1"/>
  <c r="C7421" i="1" s="1"/>
  <c r="C7422" i="1" s="1"/>
  <c r="C7423" i="1" s="1"/>
  <c r="C7424" i="1" s="1"/>
  <c r="C7425" i="1" s="1"/>
  <c r="C7426" i="1" s="1"/>
  <c r="C7427" i="1" s="1"/>
  <c r="C7428" i="1" s="1"/>
  <c r="C7429" i="1" s="1"/>
  <c r="C7430" i="1" s="1"/>
  <c r="C7431" i="1" s="1"/>
  <c r="C7432" i="1" s="1"/>
  <c r="C7433" i="1" s="1"/>
  <c r="C7434" i="1" s="1"/>
  <c r="C7435" i="1" s="1"/>
  <c r="C7436" i="1" s="1"/>
  <c r="C7437" i="1" s="1"/>
  <c r="C7438" i="1" s="1"/>
  <c r="C7439" i="1" s="1"/>
  <c r="C7440" i="1" s="1"/>
  <c r="C7441" i="1" s="1"/>
  <c r="C7442" i="1" s="1"/>
  <c r="C7443" i="1" s="1"/>
  <c r="C7444" i="1" s="1"/>
  <c r="C7445" i="1" s="1"/>
  <c r="C7446" i="1" s="1"/>
  <c r="C7447" i="1" s="1"/>
  <c r="C7448" i="1" s="1"/>
  <c r="C7449" i="1" s="1"/>
  <c r="C7450" i="1" s="1"/>
  <c r="C7451" i="1" s="1"/>
  <c r="C7452" i="1" s="1"/>
  <c r="C7453" i="1" s="1"/>
  <c r="C7454" i="1" s="1"/>
  <c r="C7455" i="1" s="1"/>
  <c r="C7456" i="1" s="1"/>
  <c r="C7457" i="1" s="1"/>
  <c r="C7458" i="1" s="1"/>
  <c r="C7459" i="1" s="1"/>
  <c r="C7460" i="1" s="1"/>
  <c r="C7461" i="1" s="1"/>
  <c r="C7462" i="1" s="1"/>
  <c r="C7463" i="1" s="1"/>
  <c r="C7464" i="1" s="1"/>
  <c r="C7465" i="1" s="1"/>
  <c r="C7466" i="1" s="1"/>
  <c r="C7467" i="1" s="1"/>
  <c r="C7468" i="1" s="1"/>
  <c r="C7469" i="1" s="1"/>
  <c r="C7470" i="1" s="1"/>
  <c r="C7471" i="1" s="1"/>
  <c r="C7472" i="1" s="1"/>
  <c r="C7473" i="1" s="1"/>
  <c r="C7474" i="1" s="1"/>
  <c r="C7475" i="1" s="1"/>
  <c r="C7476" i="1" s="1"/>
  <c r="C7477" i="1" s="1"/>
  <c r="C7478" i="1" s="1"/>
  <c r="C7479" i="1" s="1"/>
  <c r="C7480" i="1" s="1"/>
  <c r="C7481" i="1" s="1"/>
  <c r="C7482" i="1" s="1"/>
  <c r="C7483" i="1" s="1"/>
  <c r="C7484" i="1" s="1"/>
  <c r="C7485" i="1" s="1"/>
  <c r="C7486" i="1" s="1"/>
  <c r="C7487" i="1" s="1"/>
  <c r="C7488" i="1" s="1"/>
  <c r="C7489" i="1" s="1"/>
  <c r="C7490" i="1" s="1"/>
  <c r="C7491" i="1" s="1"/>
  <c r="C7492" i="1" s="1"/>
  <c r="C7493" i="1" s="1"/>
  <c r="C7494" i="1" s="1"/>
  <c r="C7495" i="1" s="1"/>
  <c r="C7496" i="1" s="1"/>
  <c r="C7497" i="1" s="1"/>
  <c r="C7498" i="1" s="1"/>
  <c r="C7499" i="1" s="1"/>
  <c r="C7500" i="1" s="1"/>
  <c r="C7501" i="1" s="1"/>
  <c r="C7502" i="1" s="1"/>
  <c r="C7503" i="1" s="1"/>
  <c r="C7504" i="1" s="1"/>
  <c r="C7505" i="1" s="1"/>
  <c r="C7506" i="1" s="1"/>
  <c r="C7507" i="1" s="1"/>
  <c r="C7508" i="1" s="1"/>
  <c r="C7509" i="1" s="1"/>
  <c r="C7510" i="1" s="1"/>
  <c r="C7511" i="1" s="1"/>
  <c r="C7512" i="1" s="1"/>
  <c r="C7513" i="1" s="1"/>
  <c r="C7514" i="1" s="1"/>
  <c r="C7515" i="1" s="1"/>
  <c r="C7516" i="1" s="1"/>
  <c r="C7517" i="1" s="1"/>
  <c r="C7518" i="1" s="1"/>
  <c r="C7519" i="1" s="1"/>
  <c r="C7520" i="1" s="1"/>
  <c r="C7521" i="1" s="1"/>
  <c r="C7522" i="1" s="1"/>
  <c r="C7523" i="1" s="1"/>
  <c r="C7524" i="1" s="1"/>
  <c r="C7525" i="1" s="1"/>
  <c r="C7526" i="1" s="1"/>
  <c r="C7527" i="1" s="1"/>
  <c r="C7528" i="1" s="1"/>
  <c r="C7529" i="1" s="1"/>
  <c r="C7530" i="1" s="1"/>
  <c r="C7531" i="1" s="1"/>
  <c r="C7532" i="1" s="1"/>
  <c r="C7533" i="1" s="1"/>
  <c r="C7534" i="1" s="1"/>
  <c r="C7535" i="1" s="1"/>
  <c r="C7536" i="1" s="1"/>
  <c r="C7537" i="1" s="1"/>
  <c r="C7538" i="1" s="1"/>
  <c r="C7539" i="1" s="1"/>
  <c r="C7540" i="1" s="1"/>
  <c r="C7541" i="1" s="1"/>
  <c r="C7542" i="1" s="1"/>
  <c r="C7543" i="1" s="1"/>
  <c r="C7544" i="1" s="1"/>
  <c r="C7545" i="1" s="1"/>
  <c r="C7546" i="1" s="1"/>
  <c r="C7547" i="1" s="1"/>
  <c r="C7548" i="1" s="1"/>
  <c r="C7549" i="1" s="1"/>
  <c r="C7550" i="1" s="1"/>
  <c r="C7551" i="1" s="1"/>
  <c r="C7552" i="1" s="1"/>
  <c r="C7553" i="1" s="1"/>
  <c r="C7554" i="1" s="1"/>
  <c r="C7555" i="1" s="1"/>
  <c r="C7556" i="1" s="1"/>
  <c r="C7557" i="1" s="1"/>
  <c r="C7558" i="1" s="1"/>
  <c r="C7559" i="1" s="1"/>
  <c r="C7560" i="1" s="1"/>
  <c r="C7561" i="1" s="1"/>
  <c r="C7562" i="1" s="1"/>
  <c r="C7563" i="1" s="1"/>
  <c r="C7564" i="1" s="1"/>
  <c r="C7565" i="1" s="1"/>
  <c r="C7566" i="1" s="1"/>
  <c r="C7567" i="1" s="1"/>
  <c r="C7568" i="1" s="1"/>
  <c r="C7569" i="1" s="1"/>
  <c r="C7570" i="1" s="1"/>
  <c r="C7571" i="1" s="1"/>
  <c r="C7572" i="1" s="1"/>
  <c r="C7573" i="1" s="1"/>
  <c r="C7574" i="1" s="1"/>
  <c r="C7575" i="1" s="1"/>
  <c r="C7576" i="1" s="1"/>
  <c r="C7577" i="1" s="1"/>
  <c r="C7578" i="1" s="1"/>
  <c r="C7579" i="1" s="1"/>
  <c r="C7580" i="1" s="1"/>
  <c r="C7581" i="1" s="1"/>
  <c r="C7582" i="1" s="1"/>
  <c r="C7583" i="1" s="1"/>
  <c r="C7584" i="1" s="1"/>
  <c r="C7585" i="1" s="1"/>
  <c r="C7586" i="1" s="1"/>
  <c r="C7587" i="1" s="1"/>
  <c r="C7588" i="1" s="1"/>
  <c r="C7589" i="1" s="1"/>
  <c r="C7590" i="1" s="1"/>
  <c r="C7591" i="1" s="1"/>
  <c r="C7592" i="1" s="1"/>
  <c r="C7593" i="1" s="1"/>
  <c r="C7594" i="1" s="1"/>
  <c r="C7595" i="1" s="1"/>
  <c r="C7596" i="1" s="1"/>
  <c r="C7597" i="1" s="1"/>
  <c r="C7598" i="1" s="1"/>
  <c r="C7599" i="1" s="1"/>
  <c r="C7600" i="1" s="1"/>
  <c r="C7601" i="1" s="1"/>
  <c r="C7602" i="1" s="1"/>
  <c r="C7603" i="1" s="1"/>
  <c r="C7604" i="1" s="1"/>
  <c r="C7605" i="1" s="1"/>
  <c r="C7606" i="1" s="1"/>
  <c r="C7607" i="1" s="1"/>
  <c r="C7608" i="1" s="1"/>
  <c r="C7609" i="1" s="1"/>
  <c r="C7610" i="1" s="1"/>
  <c r="C7611" i="1" s="1"/>
  <c r="C7612" i="1" s="1"/>
  <c r="C7613" i="1" s="1"/>
  <c r="C7614" i="1" s="1"/>
  <c r="C7615" i="1" s="1"/>
  <c r="C7616" i="1" s="1"/>
  <c r="C7617" i="1" s="1"/>
  <c r="C7618" i="1" s="1"/>
  <c r="C7619" i="1" s="1"/>
  <c r="C7620" i="1" s="1"/>
  <c r="C7621" i="1" s="1"/>
  <c r="C7622" i="1" s="1"/>
  <c r="C7623" i="1" s="1"/>
  <c r="C7624" i="1" s="1"/>
  <c r="C7625" i="1" s="1"/>
  <c r="C7626" i="1" s="1"/>
  <c r="C7627" i="1" s="1"/>
  <c r="C7628" i="1" s="1"/>
  <c r="C7629" i="1" s="1"/>
  <c r="C7630" i="1" s="1"/>
  <c r="C7631" i="1" s="1"/>
  <c r="C7632" i="1" s="1"/>
  <c r="C7633" i="1" s="1"/>
  <c r="C7634" i="1" s="1"/>
  <c r="C7635" i="1" s="1"/>
  <c r="C7636" i="1" s="1"/>
  <c r="C7637" i="1" s="1"/>
  <c r="C7638" i="1" s="1"/>
  <c r="C7639" i="1" s="1"/>
  <c r="C7640" i="1" s="1"/>
  <c r="C7641" i="1" s="1"/>
  <c r="C7642" i="1" s="1"/>
  <c r="C7643" i="1" s="1"/>
  <c r="C7644" i="1" s="1"/>
  <c r="C7645" i="1" s="1"/>
  <c r="C7646" i="1" s="1"/>
  <c r="C7647" i="1" s="1"/>
  <c r="C7648" i="1" s="1"/>
  <c r="C7649" i="1" s="1"/>
  <c r="C7650" i="1" s="1"/>
  <c r="C7651" i="1" s="1"/>
  <c r="C7652" i="1" s="1"/>
  <c r="C7653" i="1" s="1"/>
  <c r="C7654" i="1" s="1"/>
  <c r="C7655" i="1" s="1"/>
  <c r="C7656" i="1" s="1"/>
  <c r="C7657" i="1" s="1"/>
  <c r="C7658" i="1" s="1"/>
  <c r="C7659" i="1" s="1"/>
  <c r="C7660" i="1" s="1"/>
  <c r="C7661" i="1" s="1"/>
  <c r="C7662" i="1" s="1"/>
  <c r="C7663" i="1" s="1"/>
  <c r="C7664" i="1" s="1"/>
  <c r="C7665" i="1" s="1"/>
  <c r="C7666" i="1" s="1"/>
  <c r="C7667" i="1" s="1"/>
  <c r="C7668" i="1" s="1"/>
  <c r="C7669" i="1" s="1"/>
  <c r="C7670" i="1" s="1"/>
  <c r="C7671" i="1" s="1"/>
  <c r="C7672" i="1" s="1"/>
  <c r="C7673" i="1" s="1"/>
  <c r="C7674" i="1" s="1"/>
  <c r="C7675" i="1" s="1"/>
  <c r="C7676" i="1" s="1"/>
  <c r="C7677" i="1" s="1"/>
  <c r="C7678" i="1" s="1"/>
  <c r="C7679" i="1" s="1"/>
  <c r="C7680" i="1" s="1"/>
  <c r="C7681" i="1" s="1"/>
  <c r="C7682" i="1" s="1"/>
  <c r="C7683" i="1" s="1"/>
  <c r="C7684" i="1" s="1"/>
  <c r="C7685" i="1" s="1"/>
  <c r="C7686" i="1" s="1"/>
  <c r="C7687" i="1" s="1"/>
  <c r="C7688" i="1" s="1"/>
  <c r="C7689" i="1" s="1"/>
  <c r="C7690" i="1" s="1"/>
  <c r="C7691" i="1" s="1"/>
  <c r="C7692" i="1" s="1"/>
  <c r="C7693" i="1" s="1"/>
  <c r="C7694" i="1" s="1"/>
  <c r="C7695" i="1" s="1"/>
  <c r="C7696" i="1" s="1"/>
  <c r="C7697" i="1" s="1"/>
  <c r="C7698" i="1" s="1"/>
  <c r="C7699" i="1" s="1"/>
  <c r="C7700" i="1" s="1"/>
  <c r="C7701" i="1" s="1"/>
  <c r="C7702" i="1" s="1"/>
  <c r="C7703" i="1" s="1"/>
  <c r="C7704" i="1" s="1"/>
  <c r="C7705" i="1" s="1"/>
  <c r="C7706" i="1" s="1"/>
  <c r="C7707" i="1" s="1"/>
  <c r="C7708" i="1" s="1"/>
  <c r="C7709" i="1" s="1"/>
  <c r="C7710" i="1" s="1"/>
  <c r="C7711" i="1" s="1"/>
  <c r="C7712" i="1" s="1"/>
  <c r="C7713" i="1" s="1"/>
  <c r="C7714" i="1" s="1"/>
  <c r="C7715" i="1" s="1"/>
  <c r="C7716" i="1" s="1"/>
  <c r="C7717" i="1" s="1"/>
  <c r="C7718" i="1" s="1"/>
  <c r="C7719" i="1" s="1"/>
  <c r="C7720" i="1" s="1"/>
  <c r="C7721" i="1" s="1"/>
  <c r="C7722" i="1" s="1"/>
  <c r="C7723" i="1" s="1"/>
  <c r="C7724" i="1" s="1"/>
  <c r="C7725" i="1" s="1"/>
  <c r="C7726" i="1" s="1"/>
  <c r="C7727" i="1" s="1"/>
  <c r="C7728" i="1" s="1"/>
  <c r="C7729" i="1" s="1"/>
  <c r="C7730" i="1" s="1"/>
  <c r="C7731" i="1" s="1"/>
  <c r="C7732" i="1" s="1"/>
  <c r="C7733" i="1" s="1"/>
  <c r="C7734" i="1" s="1"/>
  <c r="C7735" i="1" s="1"/>
  <c r="C7736" i="1" s="1"/>
  <c r="C7737" i="1" s="1"/>
  <c r="C7738" i="1" s="1"/>
  <c r="C7739" i="1" s="1"/>
  <c r="C7740" i="1" s="1"/>
  <c r="C7741" i="1" s="1"/>
  <c r="C7742" i="1" s="1"/>
  <c r="C7743" i="1" s="1"/>
  <c r="C7744" i="1" s="1"/>
  <c r="C7745" i="1" s="1"/>
  <c r="A7020" i="1"/>
  <c r="A7021" i="1" s="1"/>
  <c r="A7019" i="1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A7022" i="1" l="1"/>
  <c r="A7023" i="1" s="1"/>
  <c r="A7024" i="1" s="1"/>
  <c r="A7025" i="1" s="1"/>
  <c r="A7026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C6970" i="1"/>
  <c r="C6973" i="1" s="1"/>
  <c r="C6976" i="1" s="1"/>
  <c r="C6979" i="1" s="1"/>
  <c r="C6981" i="1" s="1"/>
  <c r="C6993" i="1" s="1"/>
  <c r="C6995" i="1" s="1"/>
  <c r="C7012" i="1" s="1"/>
  <c r="C7014" i="1" s="1"/>
  <c r="C7017" i="1" s="1"/>
  <c r="C7029" i="1" s="1"/>
  <c r="C7034" i="1" s="1"/>
  <c r="C7036" i="1" s="1"/>
  <c r="C7039" i="1" s="1"/>
  <c r="C7041" i="1" s="1"/>
  <c r="C7043" i="1" s="1"/>
  <c r="C7047" i="1" s="1"/>
  <c r="C7048" i="1" s="1"/>
  <c r="C7049" i="1" s="1"/>
  <c r="C7051" i="1" s="1"/>
  <c r="C7053" i="1" s="1"/>
  <c r="C7054" i="1" s="1"/>
  <c r="C7055" i="1" s="1"/>
  <c r="C7057" i="1" s="1"/>
  <c r="C7059" i="1" s="1"/>
  <c r="C7061" i="1" s="1"/>
  <c r="C7062" i="1" s="1"/>
  <c r="C7064" i="1" s="1"/>
  <c r="C7065" i="1" s="1"/>
  <c r="C7067" i="1" s="1"/>
  <c r="C7070" i="1" s="1"/>
  <c r="C7072" i="1" s="1"/>
  <c r="C7074" i="1" s="1"/>
  <c r="C7078" i="1" s="1"/>
  <c r="C7083" i="1" s="1"/>
  <c r="C7085" i="1" s="1"/>
  <c r="C7086" i="1" s="1"/>
  <c r="C7088" i="1" s="1"/>
  <c r="C70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A7226" i="1" l="1"/>
  <c r="H7225" i="1"/>
  <c r="L3555" i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H7226" i="1" l="1"/>
  <c r="A7227" i="1"/>
  <c r="B7225" i="1"/>
  <c r="O3195" i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7225" i="1" l="1" a="1"/>
  <c r="L7225" i="1" s="1"/>
  <c r="P7225" i="1" a="1"/>
  <c r="P7225" i="1" s="1"/>
  <c r="O7225" i="1" a="1"/>
  <c r="O7225" i="1" s="1"/>
  <c r="K7225" i="1" a="1"/>
  <c r="K7225" i="1" s="1"/>
  <c r="B7226" i="1"/>
  <c r="Q7225" i="1" a="1"/>
  <c r="Q7225" i="1" s="1"/>
  <c r="I7225" i="1" a="1"/>
  <c r="I7225" i="1" s="1"/>
  <c r="R7225" i="1" a="1"/>
  <c r="R7225" i="1" s="1"/>
  <c r="J7225" i="1" a="1"/>
  <c r="J7225" i="1" s="1"/>
  <c r="S7225" i="1" a="1"/>
  <c r="S7225" i="1" s="1"/>
  <c r="M7225" i="1" a="1"/>
  <c r="M7225" i="1" s="1"/>
  <c r="N7225" i="1" a="1"/>
  <c r="N7225" i="1" s="1"/>
  <c r="H7227" i="1"/>
  <c r="A7228" i="1"/>
  <c r="L3557" i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H7228" i="1" l="1"/>
  <c r="A7229" i="1"/>
  <c r="K7226" i="1" a="1"/>
  <c r="K7226" i="1" s="1"/>
  <c r="O7226" i="1" a="1"/>
  <c r="O7226" i="1" s="1"/>
  <c r="S7226" i="1" a="1"/>
  <c r="S7226" i="1" s="1"/>
  <c r="P7226" i="1" a="1"/>
  <c r="P7226" i="1" s="1"/>
  <c r="B7227" i="1"/>
  <c r="L7226" i="1" a="1"/>
  <c r="L7226" i="1" s="1"/>
  <c r="Q7226" i="1" a="1"/>
  <c r="Q7226" i="1" s="1"/>
  <c r="M7226" i="1" a="1"/>
  <c r="M7226" i="1" s="1"/>
  <c r="N7226" i="1" a="1"/>
  <c r="N7226" i="1" s="1"/>
  <c r="I7226" i="1" a="1"/>
  <c r="I7226" i="1" s="1"/>
  <c r="J7226" i="1" a="1"/>
  <c r="J7226" i="1" s="1"/>
  <c r="R7226" i="1" a="1"/>
  <c r="R7226" i="1" s="1"/>
  <c r="L3558" i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E287" i="2" l="1"/>
  <c r="J7227" i="1" a="1"/>
  <c r="J7227" i="1" s="1"/>
  <c r="N7227" i="1" a="1"/>
  <c r="N7227" i="1" s="1"/>
  <c r="R7227" i="1" a="1"/>
  <c r="R7227" i="1" s="1"/>
  <c r="L7227" i="1" a="1"/>
  <c r="L7227" i="1" s="1"/>
  <c r="Q7227" i="1" a="1"/>
  <c r="Q7227" i="1" s="1"/>
  <c r="M7227" i="1" a="1"/>
  <c r="M7227" i="1" s="1"/>
  <c r="I7227" i="1" a="1"/>
  <c r="I7227" i="1" s="1"/>
  <c r="S7227" i="1" a="1"/>
  <c r="S7227" i="1" s="1"/>
  <c r="K7227" i="1" a="1"/>
  <c r="K7227" i="1" s="1"/>
  <c r="B7228" i="1"/>
  <c r="C287" i="2" s="1"/>
  <c r="O7227" i="1" a="1"/>
  <c r="O7227" i="1" s="1"/>
  <c r="P7227" i="1" a="1"/>
  <c r="P7227" i="1" s="1"/>
  <c r="A7230" i="1"/>
  <c r="H7229" i="1"/>
  <c r="L3559" i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D288" i="2" l="1"/>
  <c r="C288" i="2"/>
  <c r="D287" i="2"/>
  <c r="A7231" i="1"/>
  <c r="H7230" i="1"/>
  <c r="I7228" i="1" a="1"/>
  <c r="I7228" i="1" s="1"/>
  <c r="M7228" i="1" a="1"/>
  <c r="M7228" i="1" s="1"/>
  <c r="Q7228" i="1" a="1"/>
  <c r="Q7228" i="1" s="1"/>
  <c r="R7228" i="1" a="1"/>
  <c r="R7228" i="1" s="1"/>
  <c r="N7228" i="1" a="1"/>
  <c r="N7228" i="1" s="1"/>
  <c r="J7228" i="1" a="1"/>
  <c r="J7228" i="1" s="1"/>
  <c r="S7228" i="1" a="1"/>
  <c r="S7228" i="1" s="1"/>
  <c r="O7228" i="1" a="1"/>
  <c r="O7228" i="1" s="1"/>
  <c r="P7228" i="1" a="1"/>
  <c r="P7228" i="1" s="1"/>
  <c r="L7228" i="1" a="1"/>
  <c r="L7228" i="1" s="1"/>
  <c r="B7229" i="1"/>
  <c r="E288" i="2" s="1"/>
  <c r="K7228" i="1" a="1"/>
  <c r="K7228" i="1" s="1"/>
  <c r="L3560" i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L7229" i="1" l="1" a="1"/>
  <c r="L7229" i="1" s="1"/>
  <c r="P7229" i="1" a="1"/>
  <c r="P7229" i="1" s="1"/>
  <c r="I7229" i="1" a="1"/>
  <c r="I7229" i="1" s="1"/>
  <c r="R7229" i="1" a="1"/>
  <c r="R7229" i="1" s="1"/>
  <c r="N7229" i="1" a="1"/>
  <c r="N7229" i="1" s="1"/>
  <c r="J7229" i="1" a="1"/>
  <c r="J7229" i="1" s="1"/>
  <c r="S7229" i="1" a="1"/>
  <c r="S7229" i="1" s="1"/>
  <c r="O7229" i="1" a="1"/>
  <c r="O7229" i="1" s="1"/>
  <c r="K7229" i="1" a="1"/>
  <c r="K7229" i="1" s="1"/>
  <c r="Q7229" i="1" a="1"/>
  <c r="Q7229" i="1" s="1"/>
  <c r="B7230" i="1"/>
  <c r="M7229" i="1" a="1"/>
  <c r="M7229" i="1" s="1"/>
  <c r="A7232" i="1"/>
  <c r="H7231" i="1"/>
  <c r="O3200" i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A7233" i="1" l="1"/>
  <c r="H7232" i="1"/>
  <c r="I7230" i="1" a="1"/>
  <c r="I7230" i="1" s="1"/>
  <c r="M7230" i="1" a="1"/>
  <c r="M7230" i="1" s="1"/>
  <c r="Q7230" i="1" a="1"/>
  <c r="Q7230" i="1" s="1"/>
  <c r="J7230" i="1" a="1"/>
  <c r="J7230" i="1" s="1"/>
  <c r="N7230" i="1" a="1"/>
  <c r="N7230" i="1" s="1"/>
  <c r="R7230" i="1" a="1"/>
  <c r="R7230" i="1" s="1"/>
  <c r="L7230" i="1" a="1"/>
  <c r="L7230" i="1" s="1"/>
  <c r="S7230" i="1" a="1"/>
  <c r="S7230" i="1" s="1"/>
  <c r="B7231" i="1"/>
  <c r="O7230" i="1" a="1"/>
  <c r="O7230" i="1" s="1"/>
  <c r="P7230" i="1" a="1"/>
  <c r="P7230" i="1" s="1"/>
  <c r="K7230" i="1" a="1"/>
  <c r="K7230" i="1" s="1"/>
  <c r="O3201" i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7231" i="1" l="1" a="1"/>
  <c r="L7231" i="1" s="1"/>
  <c r="P7231" i="1" a="1"/>
  <c r="P7231" i="1" s="1"/>
  <c r="B7232" i="1"/>
  <c r="I7231" i="1" a="1"/>
  <c r="I7231" i="1" s="1"/>
  <c r="M7231" i="1" a="1"/>
  <c r="M7231" i="1" s="1"/>
  <c r="R7231" i="1" a="1"/>
  <c r="R7231" i="1" s="1"/>
  <c r="Q7231" i="1" a="1"/>
  <c r="Q7231" i="1" s="1"/>
  <c r="J7231" i="1" a="1"/>
  <c r="J7231" i="1" s="1"/>
  <c r="S7231" i="1" a="1"/>
  <c r="S7231" i="1" s="1"/>
  <c r="K7231" i="1" a="1"/>
  <c r="K7231" i="1" s="1"/>
  <c r="N7231" i="1" a="1"/>
  <c r="N7231" i="1" s="1"/>
  <c r="O7231" i="1" a="1"/>
  <c r="O7231" i="1" s="1"/>
  <c r="H7233" i="1"/>
  <c r="A7234" i="1"/>
  <c r="L3563" i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K7232" i="1" l="1" a="1"/>
  <c r="K7232" i="1" s="1"/>
  <c r="O7232" i="1" a="1"/>
  <c r="O7232" i="1" s="1"/>
  <c r="S7232" i="1" a="1"/>
  <c r="S7232" i="1" s="1"/>
  <c r="J7232" i="1" a="1"/>
  <c r="J7232" i="1" s="1"/>
  <c r="P7232" i="1" a="1"/>
  <c r="P7232" i="1" s="1"/>
  <c r="L7232" i="1" a="1"/>
  <c r="L7232" i="1" s="1"/>
  <c r="R7232" i="1" a="1"/>
  <c r="R7232" i="1" s="1"/>
  <c r="Q7232" i="1" a="1"/>
  <c r="Q7232" i="1" s="1"/>
  <c r="B7233" i="1"/>
  <c r="I7232" i="1" a="1"/>
  <c r="I7232" i="1" s="1"/>
  <c r="N7232" i="1" a="1"/>
  <c r="N7232" i="1" s="1"/>
  <c r="M7232" i="1" a="1"/>
  <c r="M7232" i="1" s="1"/>
  <c r="A7235" i="1"/>
  <c r="H7234" i="1"/>
  <c r="O3203" i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A7236" i="1" l="1"/>
  <c r="H7235" i="1"/>
  <c r="J7233" i="1" a="1"/>
  <c r="J7233" i="1" s="1"/>
  <c r="N7233" i="1" a="1"/>
  <c r="N7233" i="1" s="1"/>
  <c r="R7233" i="1" a="1"/>
  <c r="R7233" i="1" s="1"/>
  <c r="M7233" i="1" a="1"/>
  <c r="M7233" i="1" s="1"/>
  <c r="S7233" i="1" a="1"/>
  <c r="S7233" i="1" s="1"/>
  <c r="L7233" i="1" a="1"/>
  <c r="L7233" i="1" s="1"/>
  <c r="B7234" i="1"/>
  <c r="P7233" i="1" a="1"/>
  <c r="P7233" i="1" s="1"/>
  <c r="Q7233" i="1" a="1"/>
  <c r="Q7233" i="1" s="1"/>
  <c r="I7233" i="1" a="1"/>
  <c r="I7233" i="1" s="1"/>
  <c r="K7233" i="1" a="1"/>
  <c r="K7233" i="1" s="1"/>
  <c r="O7233" i="1" a="1"/>
  <c r="O7233" i="1" s="1"/>
  <c r="O3204" i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K7234" i="1" l="1" a="1"/>
  <c r="K7234" i="1" s="1"/>
  <c r="O7234" i="1" a="1"/>
  <c r="O7234" i="1" s="1"/>
  <c r="S7234" i="1" a="1"/>
  <c r="S7234" i="1" s="1"/>
  <c r="L7234" i="1" a="1"/>
  <c r="L7234" i="1" s="1"/>
  <c r="Q7234" i="1" a="1"/>
  <c r="Q7234" i="1" s="1"/>
  <c r="M7234" i="1" a="1"/>
  <c r="M7234" i="1" s="1"/>
  <c r="R7234" i="1" a="1"/>
  <c r="R7234" i="1" s="1"/>
  <c r="B7235" i="1"/>
  <c r="N7234" i="1" a="1"/>
  <c r="N7234" i="1" s="1"/>
  <c r="P7234" i="1" a="1"/>
  <c r="P7234" i="1" s="1"/>
  <c r="I7234" i="1" a="1"/>
  <c r="I7234" i="1" s="1"/>
  <c r="J7234" i="1" a="1"/>
  <c r="J7234" i="1" s="1"/>
  <c r="H7236" i="1"/>
  <c r="A7237" i="1"/>
  <c r="L3566" i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J7235" i="1" l="1" a="1"/>
  <c r="J7235" i="1" s="1"/>
  <c r="N7235" i="1" a="1"/>
  <c r="N7235" i="1" s="1"/>
  <c r="R7235" i="1" a="1"/>
  <c r="R7235" i="1" s="1"/>
  <c r="I7235" i="1" a="1"/>
  <c r="I7235" i="1" s="1"/>
  <c r="O7235" i="1" a="1"/>
  <c r="O7235" i="1" s="1"/>
  <c r="B7236" i="1"/>
  <c r="K7235" i="1" a="1"/>
  <c r="K7235" i="1" s="1"/>
  <c r="P7235" i="1" a="1"/>
  <c r="P7235" i="1" s="1"/>
  <c r="Q7235" i="1" a="1"/>
  <c r="Q7235" i="1" s="1"/>
  <c r="S7235" i="1" a="1"/>
  <c r="S7235" i="1" s="1"/>
  <c r="L7235" i="1" a="1"/>
  <c r="L7235" i="1" s="1"/>
  <c r="M7235" i="1" a="1"/>
  <c r="M7235" i="1" s="1"/>
  <c r="A7238" i="1"/>
  <c r="H7237" i="1"/>
  <c r="L3567" i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H7238" i="1" l="1"/>
  <c r="A7239" i="1"/>
  <c r="B7237" i="1"/>
  <c r="I7236" i="1" a="1"/>
  <c r="I7236" i="1" s="1"/>
  <c r="M7236" i="1" a="1"/>
  <c r="M7236" i="1" s="1"/>
  <c r="Q7236" i="1" a="1"/>
  <c r="Q7236" i="1" s="1"/>
  <c r="L7236" i="1" a="1"/>
  <c r="L7236" i="1" s="1"/>
  <c r="R7236" i="1" a="1"/>
  <c r="R7236" i="1" s="1"/>
  <c r="N7236" i="1" a="1"/>
  <c r="N7236" i="1" s="1"/>
  <c r="S7236" i="1" a="1"/>
  <c r="S7236" i="1" s="1"/>
  <c r="K7236" i="1" a="1"/>
  <c r="K7236" i="1" s="1"/>
  <c r="O7236" i="1" a="1"/>
  <c r="O7236" i="1" s="1"/>
  <c r="P7236" i="1" a="1"/>
  <c r="P7236" i="1" s="1"/>
  <c r="J7236" i="1" a="1"/>
  <c r="J7236" i="1" s="1"/>
  <c r="L3568" i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7237" i="1" l="1" a="1"/>
  <c r="L7237" i="1" s="1"/>
  <c r="P7237" i="1" a="1"/>
  <c r="P7237" i="1" s="1"/>
  <c r="J7237" i="1" a="1"/>
  <c r="J7237" i="1" s="1"/>
  <c r="O7237" i="1" a="1"/>
  <c r="O7237" i="1" s="1"/>
  <c r="K7237" i="1" a="1"/>
  <c r="K7237" i="1" s="1"/>
  <c r="Q7237" i="1" a="1"/>
  <c r="Q7237" i="1" s="1"/>
  <c r="I7237" i="1" a="1"/>
  <c r="I7237" i="1" s="1"/>
  <c r="R7237" i="1" a="1"/>
  <c r="R7237" i="1" s="1"/>
  <c r="S7237" i="1" a="1"/>
  <c r="S7237" i="1" s="1"/>
  <c r="M7237" i="1" a="1"/>
  <c r="M7237" i="1" s="1"/>
  <c r="N7237" i="1" a="1"/>
  <c r="N7237" i="1" s="1"/>
  <c r="B7238" i="1"/>
  <c r="H7239" i="1"/>
  <c r="A7240" i="1"/>
  <c r="L3569" i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H7240" i="1" l="1"/>
  <c r="A7241" i="1"/>
  <c r="K7238" i="1" a="1"/>
  <c r="K7238" i="1" s="1"/>
  <c r="O7238" i="1" a="1"/>
  <c r="O7238" i="1" s="1"/>
  <c r="S7238" i="1" a="1"/>
  <c r="S7238" i="1" s="1"/>
  <c r="M7238" i="1" a="1"/>
  <c r="M7238" i="1" s="1"/>
  <c r="R7238" i="1" a="1"/>
  <c r="R7238" i="1" s="1"/>
  <c r="I7238" i="1" a="1"/>
  <c r="I7238" i="1" s="1"/>
  <c r="N7238" i="1" a="1"/>
  <c r="N7238" i="1" s="1"/>
  <c r="B7239" i="1"/>
  <c r="L7238" i="1" a="1"/>
  <c r="L7238" i="1" s="1"/>
  <c r="P7238" i="1" a="1"/>
  <c r="P7238" i="1" s="1"/>
  <c r="J7238" i="1" a="1"/>
  <c r="J7238" i="1" s="1"/>
  <c r="Q7238" i="1" a="1"/>
  <c r="Q7238" i="1" s="1"/>
  <c r="L3570" i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J7239" i="1" l="1" a="1"/>
  <c r="J7239" i="1" s="1"/>
  <c r="N7239" i="1" a="1"/>
  <c r="N7239" i="1" s="1"/>
  <c r="R7239" i="1" a="1"/>
  <c r="R7239" i="1" s="1"/>
  <c r="K7239" i="1" a="1"/>
  <c r="K7239" i="1" s="1"/>
  <c r="P7239" i="1" a="1"/>
  <c r="P7239" i="1" s="1"/>
  <c r="L7239" i="1" a="1"/>
  <c r="L7239" i="1" s="1"/>
  <c r="Q7239" i="1" a="1"/>
  <c r="Q7239" i="1" s="1"/>
  <c r="O7239" i="1" a="1"/>
  <c r="O7239" i="1" s="1"/>
  <c r="I7239" i="1" a="1"/>
  <c r="I7239" i="1" s="1"/>
  <c r="S7239" i="1" a="1"/>
  <c r="S7239" i="1" s="1"/>
  <c r="B7240" i="1"/>
  <c r="M7239" i="1" a="1"/>
  <c r="M7239" i="1" s="1"/>
  <c r="A7242" i="1"/>
  <c r="H7241" i="1"/>
  <c r="O3210" i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A7243" i="1" l="1"/>
  <c r="H7242" i="1"/>
  <c r="B7241" i="1"/>
  <c r="I7240" i="1" a="1"/>
  <c r="I7240" i="1" s="1"/>
  <c r="M7240" i="1" a="1"/>
  <c r="M7240" i="1" s="1"/>
  <c r="Q7240" i="1" a="1"/>
  <c r="Q7240" i="1" s="1"/>
  <c r="N7240" i="1" a="1"/>
  <c r="N7240" i="1" s="1"/>
  <c r="S7240" i="1" a="1"/>
  <c r="S7240" i="1" s="1"/>
  <c r="J7240" i="1" a="1"/>
  <c r="J7240" i="1" s="1"/>
  <c r="O7240" i="1" a="1"/>
  <c r="O7240" i="1" s="1"/>
  <c r="K7240" i="1" a="1"/>
  <c r="K7240" i="1" s="1"/>
  <c r="L7240" i="1" a="1"/>
  <c r="L7240" i="1" s="1"/>
  <c r="P7240" i="1" a="1"/>
  <c r="P7240" i="1" s="1"/>
  <c r="R7240" i="1" a="1"/>
  <c r="R7240" i="1" s="1"/>
  <c r="I3211" i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L7241" i="1" l="1" a="1"/>
  <c r="L7241" i="1" s="1"/>
  <c r="P7241" i="1" a="1"/>
  <c r="P7241" i="1" s="1"/>
  <c r="K7241" i="1" a="1"/>
  <c r="K7241" i="1" s="1"/>
  <c r="Q7241" i="1" a="1"/>
  <c r="Q7241" i="1" s="1"/>
  <c r="M7241" i="1" a="1"/>
  <c r="M7241" i="1" s="1"/>
  <c r="R7241" i="1" a="1"/>
  <c r="R7241" i="1" s="1"/>
  <c r="O7241" i="1" a="1"/>
  <c r="O7241" i="1" s="1"/>
  <c r="I7241" i="1" a="1"/>
  <c r="I7241" i="1" s="1"/>
  <c r="J7241" i="1" a="1"/>
  <c r="J7241" i="1" s="1"/>
  <c r="S7241" i="1" a="1"/>
  <c r="S7241" i="1" s="1"/>
  <c r="B7242" i="1"/>
  <c r="N7241" i="1" a="1"/>
  <c r="N7241" i="1" s="1"/>
  <c r="H7243" i="1"/>
  <c r="A7244" i="1"/>
  <c r="I3212" i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K7242" i="1" l="1" a="1"/>
  <c r="K7242" i="1" s="1"/>
  <c r="O7242" i="1" a="1"/>
  <c r="O7242" i="1" s="1"/>
  <c r="S7242" i="1" a="1"/>
  <c r="S7242" i="1" s="1"/>
  <c r="I7242" i="1" a="1"/>
  <c r="I7242" i="1" s="1"/>
  <c r="N7242" i="1" a="1"/>
  <c r="N7242" i="1" s="1"/>
  <c r="B7243" i="1"/>
  <c r="J7242" i="1" a="1"/>
  <c r="J7242" i="1" s="1"/>
  <c r="P7242" i="1" a="1"/>
  <c r="P7242" i="1" s="1"/>
  <c r="R7242" i="1" a="1"/>
  <c r="R7242" i="1" s="1"/>
  <c r="L7242" i="1" a="1"/>
  <c r="L7242" i="1" s="1"/>
  <c r="M7242" i="1" a="1"/>
  <c r="M7242" i="1" s="1"/>
  <c r="Q7242" i="1" a="1"/>
  <c r="Q7242" i="1" s="1"/>
  <c r="H7244" i="1"/>
  <c r="A7245" i="1"/>
  <c r="I3213" i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A7246" i="1" l="1"/>
  <c r="H7245" i="1"/>
  <c r="J7243" i="1" a="1"/>
  <c r="J7243" i="1" s="1"/>
  <c r="N7243" i="1" a="1"/>
  <c r="N7243" i="1" s="1"/>
  <c r="R7243" i="1" a="1"/>
  <c r="R7243" i="1" s="1"/>
  <c r="L7243" i="1" a="1"/>
  <c r="L7243" i="1" s="1"/>
  <c r="Q7243" i="1" a="1"/>
  <c r="Q7243" i="1" s="1"/>
  <c r="M7243" i="1" a="1"/>
  <c r="M7243" i="1" s="1"/>
  <c r="S7243" i="1" a="1"/>
  <c r="S7243" i="1" s="1"/>
  <c r="O7243" i="1" a="1"/>
  <c r="O7243" i="1" s="1"/>
  <c r="P7243" i="1" a="1"/>
  <c r="P7243" i="1" s="1"/>
  <c r="I7243" i="1" a="1"/>
  <c r="I7243" i="1" s="1"/>
  <c r="B7244" i="1"/>
  <c r="K7243" i="1" a="1"/>
  <c r="K7243" i="1" s="1"/>
  <c r="I3214" i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B7245" i="1" l="1"/>
  <c r="I7244" i="1" a="1"/>
  <c r="I7244" i="1" s="1"/>
  <c r="M7244" i="1" a="1"/>
  <c r="M7244" i="1" s="1"/>
  <c r="Q7244" i="1" a="1"/>
  <c r="Q7244" i="1" s="1"/>
  <c r="J7244" i="1" a="1"/>
  <c r="J7244" i="1" s="1"/>
  <c r="O7244" i="1" a="1"/>
  <c r="O7244" i="1" s="1"/>
  <c r="K7244" i="1" a="1"/>
  <c r="K7244" i="1" s="1"/>
  <c r="P7244" i="1" a="1"/>
  <c r="P7244" i="1" s="1"/>
  <c r="S7244" i="1" a="1"/>
  <c r="S7244" i="1" s="1"/>
  <c r="L7244" i="1" a="1"/>
  <c r="L7244" i="1" s="1"/>
  <c r="N7244" i="1" a="1"/>
  <c r="N7244" i="1" s="1"/>
  <c r="R7244" i="1" a="1"/>
  <c r="R7244" i="1" s="1"/>
  <c r="A7247" i="1"/>
  <c r="H7246" i="1"/>
  <c r="I3215" i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H7247" i="1" l="1"/>
  <c r="A7248" i="1"/>
  <c r="L7245" i="1" a="1"/>
  <c r="L7245" i="1" s="1"/>
  <c r="P7245" i="1" a="1"/>
  <c r="P7245" i="1" s="1"/>
  <c r="M7245" i="1" a="1"/>
  <c r="M7245" i="1" s="1"/>
  <c r="R7245" i="1" a="1"/>
  <c r="R7245" i="1" s="1"/>
  <c r="I7245" i="1" a="1"/>
  <c r="I7245" i="1" s="1"/>
  <c r="N7245" i="1" a="1"/>
  <c r="N7245" i="1" s="1"/>
  <c r="S7245" i="1" a="1"/>
  <c r="S7245" i="1" s="1"/>
  <c r="O7245" i="1" a="1"/>
  <c r="O7245" i="1" s="1"/>
  <c r="Q7245" i="1" a="1"/>
  <c r="Q7245" i="1" s="1"/>
  <c r="J7245" i="1" a="1"/>
  <c r="J7245" i="1" s="1"/>
  <c r="K7245" i="1" a="1"/>
  <c r="K7245" i="1" s="1"/>
  <c r="B7246" i="1"/>
  <c r="J4442" i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H7248" i="1" l="1"/>
  <c r="A7249" i="1"/>
  <c r="K7246" i="1" a="1"/>
  <c r="K7246" i="1" s="1"/>
  <c r="O7246" i="1" a="1"/>
  <c r="O7246" i="1" s="1"/>
  <c r="S7246" i="1" a="1"/>
  <c r="S7246" i="1" s="1"/>
  <c r="J7246" i="1" a="1"/>
  <c r="J7246" i="1" s="1"/>
  <c r="P7246" i="1" a="1"/>
  <c r="P7246" i="1" s="1"/>
  <c r="L7246" i="1" a="1"/>
  <c r="L7246" i="1" s="1"/>
  <c r="Q7246" i="1" a="1"/>
  <c r="Q7246" i="1" s="1"/>
  <c r="I7246" i="1" a="1"/>
  <c r="I7246" i="1" s="1"/>
  <c r="R7246" i="1" a="1"/>
  <c r="R7246" i="1" s="1"/>
  <c r="M7246" i="1" a="1"/>
  <c r="M7246" i="1" s="1"/>
  <c r="B7247" i="1"/>
  <c r="N7246" i="1" a="1"/>
  <c r="N7246" i="1" s="1"/>
  <c r="O3217" i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A7250" i="1" l="1"/>
  <c r="H7249" i="1"/>
  <c r="J7247" i="1" a="1"/>
  <c r="J7247" i="1" s="1"/>
  <c r="N7247" i="1" a="1"/>
  <c r="N7247" i="1" s="1"/>
  <c r="R7247" i="1" a="1"/>
  <c r="R7247" i="1" s="1"/>
  <c r="M7247" i="1" a="1"/>
  <c r="M7247" i="1" s="1"/>
  <c r="S7247" i="1" a="1"/>
  <c r="S7247" i="1" s="1"/>
  <c r="I7247" i="1" a="1"/>
  <c r="I7247" i="1" s="1"/>
  <c r="O7247" i="1" a="1"/>
  <c r="O7247" i="1" s="1"/>
  <c r="P7247" i="1" a="1"/>
  <c r="P7247" i="1" s="1"/>
  <c r="Q7247" i="1" a="1"/>
  <c r="Q7247" i="1" s="1"/>
  <c r="K7247" i="1" a="1"/>
  <c r="K7247" i="1" s="1"/>
  <c r="L7247" i="1" a="1"/>
  <c r="L7247" i="1" s="1"/>
  <c r="B7248" i="1"/>
  <c r="O3218" i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A7251" i="1" l="1"/>
  <c r="H7250" i="1"/>
  <c r="B7249" i="1"/>
  <c r="I7248" i="1" a="1"/>
  <c r="I7248" i="1" s="1"/>
  <c r="K7248" i="1" a="1"/>
  <c r="K7248" i="1" s="1"/>
  <c r="P7248" i="1" a="1"/>
  <c r="P7248" i="1" s="1"/>
  <c r="L7248" i="1" a="1"/>
  <c r="L7248" i="1" s="1"/>
  <c r="Q7248" i="1" a="1"/>
  <c r="Q7248" i="1" s="1"/>
  <c r="J7248" i="1" a="1"/>
  <c r="J7248" i="1" s="1"/>
  <c r="R7248" i="1" a="1"/>
  <c r="R7248" i="1" s="1"/>
  <c r="M7248" i="1" a="1"/>
  <c r="M7248" i="1" s="1"/>
  <c r="S7248" i="1" a="1"/>
  <c r="S7248" i="1" s="1"/>
  <c r="O7248" i="1" a="1"/>
  <c r="O7248" i="1" s="1"/>
  <c r="N7248" i="1" a="1"/>
  <c r="N7248" i="1" s="1"/>
  <c r="M4445" i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L7249" i="1" l="1" a="1"/>
  <c r="L7249" i="1" s="1"/>
  <c r="P7249" i="1" a="1"/>
  <c r="P7249" i="1" s="1"/>
  <c r="B7250" i="1"/>
  <c r="M7249" i="1" a="1"/>
  <c r="M7249" i="1" s="1"/>
  <c r="Q7249" i="1" a="1"/>
  <c r="Q7249" i="1" s="1"/>
  <c r="R7249" i="1" a="1"/>
  <c r="R7249" i="1" s="1"/>
  <c r="K7249" i="1" a="1"/>
  <c r="K7249" i="1" s="1"/>
  <c r="S7249" i="1" a="1"/>
  <c r="S7249" i="1" s="1"/>
  <c r="N7249" i="1" a="1"/>
  <c r="N7249" i="1" s="1"/>
  <c r="I7249" i="1" a="1"/>
  <c r="I7249" i="1" s="1"/>
  <c r="J7249" i="1" a="1"/>
  <c r="J7249" i="1" s="1"/>
  <c r="O7249" i="1" a="1"/>
  <c r="O7249" i="1" s="1"/>
  <c r="A7252" i="1"/>
  <c r="H7251" i="1"/>
  <c r="I3220" i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A7253" i="1" l="1"/>
  <c r="H7252" i="1"/>
  <c r="K7250" i="1" a="1"/>
  <c r="K7250" i="1" s="1"/>
  <c r="O7250" i="1" a="1"/>
  <c r="O7250" i="1" s="1"/>
  <c r="S7250" i="1" a="1"/>
  <c r="S7250" i="1" s="1"/>
  <c r="L7250" i="1" a="1"/>
  <c r="L7250" i="1" s="1"/>
  <c r="P7250" i="1" a="1"/>
  <c r="P7250" i="1" s="1"/>
  <c r="R7250" i="1" a="1"/>
  <c r="R7250" i="1" s="1"/>
  <c r="M7250" i="1" a="1"/>
  <c r="M7250" i="1" s="1"/>
  <c r="B7251" i="1"/>
  <c r="N7250" i="1" a="1"/>
  <c r="N7250" i="1" s="1"/>
  <c r="J7250" i="1" a="1"/>
  <c r="J7250" i="1" s="1"/>
  <c r="Q7250" i="1" a="1"/>
  <c r="Q7250" i="1" s="1"/>
  <c r="I7250" i="1" a="1"/>
  <c r="I7250" i="1" s="1"/>
  <c r="I3221" i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J7251" i="1" l="1" a="1"/>
  <c r="J7251" i="1" s="1"/>
  <c r="N7251" i="1" a="1"/>
  <c r="N7251" i="1" s="1"/>
  <c r="R7251" i="1" a="1"/>
  <c r="R7251" i="1" s="1"/>
  <c r="K7251" i="1" a="1"/>
  <c r="K7251" i="1" s="1"/>
  <c r="O7251" i="1" a="1"/>
  <c r="O7251" i="1" s="1"/>
  <c r="S7251" i="1" a="1"/>
  <c r="S7251" i="1" s="1"/>
  <c r="Q7251" i="1" a="1"/>
  <c r="Q7251" i="1" s="1"/>
  <c r="L7251" i="1" a="1"/>
  <c r="L7251" i="1" s="1"/>
  <c r="M7251" i="1" a="1"/>
  <c r="M7251" i="1" s="1"/>
  <c r="B7252" i="1"/>
  <c r="P7251" i="1" a="1"/>
  <c r="P7251" i="1" s="1"/>
  <c r="I7251" i="1" a="1"/>
  <c r="I7251" i="1" s="1"/>
  <c r="A7254" i="1"/>
  <c r="H7253" i="1"/>
  <c r="I3222" i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A7255" i="1" l="1"/>
  <c r="H7254" i="1"/>
  <c r="I7252" i="1" a="1"/>
  <c r="I7252" i="1" s="1"/>
  <c r="M7252" i="1" a="1"/>
  <c r="M7252" i="1" s="1"/>
  <c r="Q7252" i="1" a="1"/>
  <c r="Q7252" i="1" s="1"/>
  <c r="J7252" i="1" a="1"/>
  <c r="J7252" i="1" s="1"/>
  <c r="N7252" i="1" a="1"/>
  <c r="N7252" i="1" s="1"/>
  <c r="R7252" i="1" a="1"/>
  <c r="R7252" i="1" s="1"/>
  <c r="K7252" i="1" a="1"/>
  <c r="K7252" i="1" s="1"/>
  <c r="L7252" i="1" a="1"/>
  <c r="L7252" i="1" s="1"/>
  <c r="S7252" i="1" a="1"/>
  <c r="S7252" i="1" s="1"/>
  <c r="P7252" i="1" a="1"/>
  <c r="P7252" i="1" s="1"/>
  <c r="B7253" i="1"/>
  <c r="O7252" i="1" a="1"/>
  <c r="O7252" i="1" s="1"/>
  <c r="O3223" i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L7253" i="1" l="1" a="1"/>
  <c r="L7253" i="1" s="1"/>
  <c r="P7253" i="1" a="1"/>
  <c r="P7253" i="1" s="1"/>
  <c r="B7254" i="1"/>
  <c r="I7253" i="1" a="1"/>
  <c r="I7253" i="1" s="1"/>
  <c r="M7253" i="1" a="1"/>
  <c r="M7253" i="1" s="1"/>
  <c r="Q7253" i="1" a="1"/>
  <c r="Q7253" i="1" s="1"/>
  <c r="K7253" i="1" a="1"/>
  <c r="K7253" i="1" s="1"/>
  <c r="R7253" i="1" a="1"/>
  <c r="R7253" i="1" s="1"/>
  <c r="S7253" i="1" a="1"/>
  <c r="S7253" i="1" s="1"/>
  <c r="N7253" i="1" a="1"/>
  <c r="N7253" i="1" s="1"/>
  <c r="J7253" i="1" a="1"/>
  <c r="J7253" i="1" s="1"/>
  <c r="O7253" i="1" a="1"/>
  <c r="O7253" i="1" s="1"/>
  <c r="A7256" i="1"/>
  <c r="H7255" i="1"/>
  <c r="I3224" i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A7257" i="1" l="1"/>
  <c r="H7256" i="1"/>
  <c r="K7254" i="1" a="1"/>
  <c r="K7254" i="1" s="1"/>
  <c r="O7254" i="1" a="1"/>
  <c r="O7254" i="1" s="1"/>
  <c r="S7254" i="1" a="1"/>
  <c r="S7254" i="1" s="1"/>
  <c r="L7254" i="1" a="1"/>
  <c r="L7254" i="1" s="1"/>
  <c r="P7254" i="1" a="1"/>
  <c r="P7254" i="1" s="1"/>
  <c r="J7254" i="1" a="1"/>
  <c r="J7254" i="1" s="1"/>
  <c r="Q7254" i="1" a="1"/>
  <c r="Q7254" i="1" s="1"/>
  <c r="R7254" i="1" a="1"/>
  <c r="R7254" i="1" s="1"/>
  <c r="M7254" i="1" a="1"/>
  <c r="M7254" i="1" s="1"/>
  <c r="B7255" i="1"/>
  <c r="I7254" i="1" a="1"/>
  <c r="I7254" i="1" s="1"/>
  <c r="N7254" i="1" a="1"/>
  <c r="N7254" i="1" s="1"/>
  <c r="O3225" i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J7255" i="1" l="1" a="1"/>
  <c r="J7255" i="1" s="1"/>
  <c r="N7255" i="1" a="1"/>
  <c r="N7255" i="1" s="1"/>
  <c r="R7255" i="1" a="1"/>
  <c r="R7255" i="1" s="1"/>
  <c r="K7255" i="1" a="1"/>
  <c r="K7255" i="1" s="1"/>
  <c r="O7255" i="1" a="1"/>
  <c r="O7255" i="1" s="1"/>
  <c r="S7255" i="1" a="1"/>
  <c r="S7255" i="1" s="1"/>
  <c r="Q7255" i="1" a="1"/>
  <c r="Q7255" i="1" s="1"/>
  <c r="L7255" i="1" a="1"/>
  <c r="L7255" i="1" s="1"/>
  <c r="M7255" i="1" a="1"/>
  <c r="M7255" i="1" s="1"/>
  <c r="P7255" i="1" a="1"/>
  <c r="P7255" i="1" s="1"/>
  <c r="B7256" i="1"/>
  <c r="I7255" i="1" a="1"/>
  <c r="I7255" i="1" s="1"/>
  <c r="A7258" i="1"/>
  <c r="H7257" i="1"/>
  <c r="L4452" i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A7259" i="1" l="1"/>
  <c r="H7258" i="1"/>
  <c r="I7256" i="1" a="1"/>
  <c r="I7256" i="1" s="1"/>
  <c r="M7256" i="1" a="1"/>
  <c r="M7256" i="1" s="1"/>
  <c r="Q7256" i="1" a="1"/>
  <c r="Q7256" i="1" s="1"/>
  <c r="J7256" i="1" a="1"/>
  <c r="J7256" i="1" s="1"/>
  <c r="N7256" i="1" a="1"/>
  <c r="N7256" i="1" s="1"/>
  <c r="R7256" i="1" a="1"/>
  <c r="R7256" i="1" s="1"/>
  <c r="P7256" i="1" a="1"/>
  <c r="P7256" i="1" s="1"/>
  <c r="K7256" i="1" a="1"/>
  <c r="K7256" i="1" s="1"/>
  <c r="L7256" i="1" a="1"/>
  <c r="L7256" i="1" s="1"/>
  <c r="S7256" i="1" a="1"/>
  <c r="S7256" i="1" s="1"/>
  <c r="B7257" i="1"/>
  <c r="O7256" i="1" a="1"/>
  <c r="O7256" i="1" s="1"/>
  <c r="O3227" i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L7257" i="1" l="1" a="1"/>
  <c r="L7257" i="1" s="1"/>
  <c r="P7257" i="1" a="1"/>
  <c r="P7257" i="1" s="1"/>
  <c r="B7258" i="1"/>
  <c r="I7257" i="1" a="1"/>
  <c r="I7257" i="1" s="1"/>
  <c r="M7257" i="1" a="1"/>
  <c r="M7257" i="1" s="1"/>
  <c r="Q7257" i="1" a="1"/>
  <c r="Q7257" i="1" s="1"/>
  <c r="J7257" i="1" a="1"/>
  <c r="J7257" i="1" s="1"/>
  <c r="K7257" i="1" a="1"/>
  <c r="K7257" i="1" s="1"/>
  <c r="R7257" i="1" a="1"/>
  <c r="R7257" i="1" s="1"/>
  <c r="S7257" i="1" a="1"/>
  <c r="S7257" i="1" s="1"/>
  <c r="N7257" i="1" a="1"/>
  <c r="N7257" i="1" s="1"/>
  <c r="O7257" i="1" a="1"/>
  <c r="O7257" i="1" s="1"/>
  <c r="H7259" i="1"/>
  <c r="A7260" i="1"/>
  <c r="O3228" i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K7258" i="1" l="1" a="1"/>
  <c r="K7258" i="1" s="1"/>
  <c r="O7258" i="1" a="1"/>
  <c r="O7258" i="1" s="1"/>
  <c r="S7258" i="1" a="1"/>
  <c r="S7258" i="1" s="1"/>
  <c r="I7258" i="1" a="1"/>
  <c r="I7258" i="1" s="1"/>
  <c r="N7258" i="1" a="1"/>
  <c r="N7258" i="1" s="1"/>
  <c r="B7259" i="1"/>
  <c r="J7258" i="1" a="1"/>
  <c r="J7258" i="1" s="1"/>
  <c r="P7258" i="1" a="1"/>
  <c r="P7258" i="1" s="1"/>
  <c r="L7258" i="1" a="1"/>
  <c r="L7258" i="1" s="1"/>
  <c r="Q7258" i="1" a="1"/>
  <c r="Q7258" i="1" s="1"/>
  <c r="M7258" i="1" a="1"/>
  <c r="M7258" i="1" s="1"/>
  <c r="R7258" i="1" a="1"/>
  <c r="R7258" i="1" s="1"/>
  <c r="A7261" i="1"/>
  <c r="H7260" i="1"/>
  <c r="O3229" i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J7259" i="1" l="1" a="1"/>
  <c r="J7259" i="1" s="1"/>
  <c r="N7259" i="1" a="1"/>
  <c r="N7259" i="1" s="1"/>
  <c r="R7259" i="1" a="1"/>
  <c r="R7259" i="1" s="1"/>
  <c r="L7259" i="1" a="1"/>
  <c r="L7259" i="1" s="1"/>
  <c r="Q7259" i="1" a="1"/>
  <c r="Q7259" i="1" s="1"/>
  <c r="M7259" i="1" a="1"/>
  <c r="M7259" i="1" s="1"/>
  <c r="S7259" i="1" a="1"/>
  <c r="S7259" i="1" s="1"/>
  <c r="I7259" i="1" a="1"/>
  <c r="I7259" i="1" s="1"/>
  <c r="O7259" i="1" a="1"/>
  <c r="O7259" i="1" s="1"/>
  <c r="K7259" i="1" a="1"/>
  <c r="K7259" i="1" s="1"/>
  <c r="P7259" i="1" a="1"/>
  <c r="P7259" i="1" s="1"/>
  <c r="B7260" i="1"/>
  <c r="A7262" i="1"/>
  <c r="H7261" i="1"/>
  <c r="O3230" i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A7263" i="1" l="1"/>
  <c r="H7262" i="1"/>
  <c r="I7260" i="1" a="1"/>
  <c r="I7260" i="1" s="1"/>
  <c r="M7260" i="1" a="1"/>
  <c r="M7260" i="1" s="1"/>
  <c r="Q7260" i="1" a="1"/>
  <c r="Q7260" i="1" s="1"/>
  <c r="J7260" i="1" a="1"/>
  <c r="J7260" i="1" s="1"/>
  <c r="O7260" i="1" a="1"/>
  <c r="O7260" i="1" s="1"/>
  <c r="B7261" i="1"/>
  <c r="K7260" i="1" a="1"/>
  <c r="K7260" i="1" s="1"/>
  <c r="P7260" i="1" a="1"/>
  <c r="P7260" i="1" s="1"/>
  <c r="L7260" i="1" a="1"/>
  <c r="L7260" i="1" s="1"/>
  <c r="R7260" i="1" a="1"/>
  <c r="R7260" i="1" s="1"/>
  <c r="N7260" i="1" a="1"/>
  <c r="N7260" i="1" s="1"/>
  <c r="S7260" i="1" a="1"/>
  <c r="S7260" i="1" s="1"/>
  <c r="I3231" i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L7261" i="1" l="1" a="1"/>
  <c r="L7261" i="1" s="1"/>
  <c r="P7261" i="1" a="1"/>
  <c r="P7261" i="1" s="1"/>
  <c r="B7262" i="1"/>
  <c r="M7261" i="1" a="1"/>
  <c r="M7261" i="1" s="1"/>
  <c r="R7261" i="1" a="1"/>
  <c r="R7261" i="1" s="1"/>
  <c r="I7261" i="1" a="1"/>
  <c r="I7261" i="1" s="1"/>
  <c r="N7261" i="1" a="1"/>
  <c r="N7261" i="1" s="1"/>
  <c r="S7261" i="1" a="1"/>
  <c r="S7261" i="1" s="1"/>
  <c r="J7261" i="1" a="1"/>
  <c r="J7261" i="1" s="1"/>
  <c r="O7261" i="1" a="1"/>
  <c r="O7261" i="1" s="1"/>
  <c r="K7261" i="1" a="1"/>
  <c r="K7261" i="1" s="1"/>
  <c r="Q7261" i="1" a="1"/>
  <c r="Q7261" i="1" s="1"/>
  <c r="H7263" i="1"/>
  <c r="A7264" i="1"/>
  <c r="I3232" i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A7265" i="1" l="1"/>
  <c r="H7264" i="1"/>
  <c r="K7262" i="1" a="1"/>
  <c r="K7262" i="1" s="1"/>
  <c r="O7262" i="1" a="1"/>
  <c r="O7262" i="1" s="1"/>
  <c r="S7262" i="1" a="1"/>
  <c r="S7262" i="1" s="1"/>
  <c r="J7262" i="1" a="1"/>
  <c r="J7262" i="1" s="1"/>
  <c r="P7262" i="1" a="1"/>
  <c r="P7262" i="1" s="1"/>
  <c r="L7262" i="1" a="1"/>
  <c r="L7262" i="1" s="1"/>
  <c r="Q7262" i="1" a="1"/>
  <c r="Q7262" i="1" s="1"/>
  <c r="M7262" i="1" a="1"/>
  <c r="M7262" i="1" s="1"/>
  <c r="R7262" i="1" a="1"/>
  <c r="R7262" i="1" s="1"/>
  <c r="N7262" i="1" a="1"/>
  <c r="N7262" i="1" s="1"/>
  <c r="B7263" i="1"/>
  <c r="I7262" i="1" a="1"/>
  <c r="I7262" i="1" s="1"/>
  <c r="O3233" i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J7263" i="1" l="1" a="1"/>
  <c r="J7263" i="1" s="1"/>
  <c r="N7263" i="1" a="1"/>
  <c r="N7263" i="1" s="1"/>
  <c r="R7263" i="1" a="1"/>
  <c r="R7263" i="1" s="1"/>
  <c r="M7263" i="1" a="1"/>
  <c r="M7263" i="1" s="1"/>
  <c r="S7263" i="1" a="1"/>
  <c r="S7263" i="1" s="1"/>
  <c r="I7263" i="1" a="1"/>
  <c r="I7263" i="1" s="1"/>
  <c r="O7263" i="1" a="1"/>
  <c r="O7263" i="1" s="1"/>
  <c r="B7264" i="1"/>
  <c r="K7263" i="1" a="1"/>
  <c r="K7263" i="1" s="1"/>
  <c r="P7263" i="1" a="1"/>
  <c r="P7263" i="1" s="1"/>
  <c r="Q7263" i="1" a="1"/>
  <c r="Q7263" i="1" s="1"/>
  <c r="L7263" i="1" a="1"/>
  <c r="L7263" i="1" s="1"/>
  <c r="A7266" i="1"/>
  <c r="H7265" i="1"/>
  <c r="I3234" i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I7264" i="1" l="1" a="1"/>
  <c r="I7264" i="1" s="1"/>
  <c r="M7264" i="1" a="1"/>
  <c r="M7264" i="1" s="1"/>
  <c r="Q7264" i="1" a="1"/>
  <c r="Q7264" i="1" s="1"/>
  <c r="K7264" i="1" a="1"/>
  <c r="K7264" i="1" s="1"/>
  <c r="P7264" i="1" a="1"/>
  <c r="P7264" i="1" s="1"/>
  <c r="L7264" i="1" a="1"/>
  <c r="L7264" i="1" s="1"/>
  <c r="R7264" i="1" a="1"/>
  <c r="R7264" i="1" s="1"/>
  <c r="N7264" i="1" a="1"/>
  <c r="N7264" i="1" s="1"/>
  <c r="S7264" i="1" a="1"/>
  <c r="S7264" i="1" s="1"/>
  <c r="O7264" i="1" a="1"/>
  <c r="O7264" i="1" s="1"/>
  <c r="B7265" i="1"/>
  <c r="J7264" i="1" a="1"/>
  <c r="J7264" i="1" s="1"/>
  <c r="A7267" i="1"/>
  <c r="H7266" i="1"/>
  <c r="A4463" i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A7268" i="1" l="1"/>
  <c r="H7267" i="1"/>
  <c r="L7265" i="1" a="1"/>
  <c r="L7265" i="1" s="1"/>
  <c r="P7265" i="1" a="1"/>
  <c r="P7265" i="1" s="1"/>
  <c r="I7265" i="1" a="1"/>
  <c r="I7265" i="1" s="1"/>
  <c r="N7265" i="1" a="1"/>
  <c r="N7265" i="1" s="1"/>
  <c r="S7265" i="1" a="1"/>
  <c r="S7265" i="1" s="1"/>
  <c r="J7265" i="1" a="1"/>
  <c r="J7265" i="1" s="1"/>
  <c r="O7265" i="1" a="1"/>
  <c r="O7265" i="1" s="1"/>
  <c r="B7266" i="1"/>
  <c r="K7265" i="1" a="1"/>
  <c r="K7265" i="1" s="1"/>
  <c r="Q7265" i="1" a="1"/>
  <c r="Q7265" i="1" s="1"/>
  <c r="R7265" i="1" a="1"/>
  <c r="R7265" i="1" s="1"/>
  <c r="M7265" i="1" a="1"/>
  <c r="M7265" i="1" s="1"/>
  <c r="I3236" i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K7266" i="1" l="1" a="1"/>
  <c r="K7266" i="1" s="1"/>
  <c r="O7266" i="1" a="1"/>
  <c r="O7266" i="1" s="1"/>
  <c r="S7266" i="1" a="1"/>
  <c r="S7266" i="1" s="1"/>
  <c r="J7266" i="1" a="1"/>
  <c r="J7266" i="1" s="1"/>
  <c r="P7266" i="1" a="1"/>
  <c r="P7266" i="1" s="1"/>
  <c r="B7267" i="1"/>
  <c r="L7266" i="1" a="1"/>
  <c r="L7266" i="1" s="1"/>
  <c r="Q7266" i="1" a="1"/>
  <c r="Q7266" i="1" s="1"/>
  <c r="N7266" i="1" a="1"/>
  <c r="N7266" i="1" s="1"/>
  <c r="R7266" i="1" a="1"/>
  <c r="R7266" i="1" s="1"/>
  <c r="I7266" i="1" a="1"/>
  <c r="I7266" i="1" s="1"/>
  <c r="M7266" i="1" a="1"/>
  <c r="M7266" i="1" s="1"/>
  <c r="H7268" i="1"/>
  <c r="A7269" i="1"/>
  <c r="I3237" i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A7270" i="1" l="1"/>
  <c r="H7269" i="1"/>
  <c r="J7267" i="1" a="1"/>
  <c r="J7267" i="1" s="1"/>
  <c r="N7267" i="1" a="1"/>
  <c r="N7267" i="1" s="1"/>
  <c r="R7267" i="1" a="1"/>
  <c r="R7267" i="1" s="1"/>
  <c r="K7267" i="1" a="1"/>
  <c r="K7267" i="1" s="1"/>
  <c r="P7267" i="1" a="1"/>
  <c r="P7267" i="1" s="1"/>
  <c r="B7268" i="1"/>
  <c r="L7267" i="1" a="1"/>
  <c r="L7267" i="1" s="1"/>
  <c r="Q7267" i="1" a="1"/>
  <c r="Q7267" i="1" s="1"/>
  <c r="M7267" i="1" a="1"/>
  <c r="M7267" i="1" s="1"/>
  <c r="O7267" i="1" a="1"/>
  <c r="O7267" i="1" s="1"/>
  <c r="S7267" i="1" a="1"/>
  <c r="S7267" i="1" s="1"/>
  <c r="I7267" i="1" a="1"/>
  <c r="I7267" i="1" s="1"/>
  <c r="J3238" i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I7268" i="1" l="1" a="1"/>
  <c r="I7268" i="1" s="1"/>
  <c r="M7268" i="1" a="1"/>
  <c r="M7268" i="1" s="1"/>
  <c r="Q7268" i="1" a="1"/>
  <c r="Q7268" i="1" s="1"/>
  <c r="P7268" i="1" a="1"/>
  <c r="P7268" i="1" s="1"/>
  <c r="B7269" i="1"/>
  <c r="L7268" i="1" a="1"/>
  <c r="L7268" i="1" s="1"/>
  <c r="R7268" i="1" a="1"/>
  <c r="R7268" i="1" s="1"/>
  <c r="N7268" i="1" a="1"/>
  <c r="N7268" i="1" s="1"/>
  <c r="O7268" i="1" a="1"/>
  <c r="O7268" i="1" s="1"/>
  <c r="S7268" i="1" a="1"/>
  <c r="S7268" i="1" s="1"/>
  <c r="J7268" i="1" a="1"/>
  <c r="J7268" i="1" s="1"/>
  <c r="K7268" i="1" a="1"/>
  <c r="K7268" i="1" s="1"/>
  <c r="H7270" i="1"/>
  <c r="A7271" i="1"/>
  <c r="A4467" i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A7272" i="1" l="1"/>
  <c r="H7271" i="1"/>
  <c r="L7269" i="1" a="1"/>
  <c r="L7269" i="1" s="1"/>
  <c r="P7269" i="1" a="1"/>
  <c r="P7269" i="1" s="1"/>
  <c r="Q7269" i="1" a="1"/>
  <c r="Q7269" i="1" s="1"/>
  <c r="M7269" i="1" a="1"/>
  <c r="M7269" i="1" s="1"/>
  <c r="I7269" i="1" a="1"/>
  <c r="I7269" i="1" s="1"/>
  <c r="R7269" i="1" a="1"/>
  <c r="R7269" i="1" s="1"/>
  <c r="N7269" i="1" a="1"/>
  <c r="N7269" i="1" s="1"/>
  <c r="J7269" i="1" a="1"/>
  <c r="J7269" i="1" s="1"/>
  <c r="S7269" i="1" a="1"/>
  <c r="S7269" i="1" s="1"/>
  <c r="O7269" i="1" a="1"/>
  <c r="O7269" i="1" s="1"/>
  <c r="B7270" i="1"/>
  <c r="K7269" i="1" a="1"/>
  <c r="K7269" i="1" s="1"/>
  <c r="O3240" i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K7270" i="1" l="1" a="1"/>
  <c r="K7270" i="1" s="1"/>
  <c r="O7270" i="1" a="1"/>
  <c r="O7270" i="1" s="1"/>
  <c r="S7270" i="1" a="1"/>
  <c r="S7270" i="1" s="1"/>
  <c r="M7270" i="1" a="1"/>
  <c r="M7270" i="1" s="1"/>
  <c r="I7270" i="1" a="1"/>
  <c r="I7270" i="1" s="1"/>
  <c r="R7270" i="1" a="1"/>
  <c r="R7270" i="1" s="1"/>
  <c r="N7270" i="1" a="1"/>
  <c r="N7270" i="1" s="1"/>
  <c r="J7270" i="1" a="1"/>
  <c r="J7270" i="1" s="1"/>
  <c r="L7270" i="1" a="1"/>
  <c r="L7270" i="1" s="1"/>
  <c r="P7270" i="1" a="1"/>
  <c r="P7270" i="1" s="1"/>
  <c r="Q7270" i="1" a="1"/>
  <c r="Q7270" i="1" s="1"/>
  <c r="B7271" i="1"/>
  <c r="A7273" i="1"/>
  <c r="H7272" i="1"/>
  <c r="P4467" i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A7274" i="1" l="1"/>
  <c r="H7273" i="1"/>
  <c r="J7271" i="1" a="1"/>
  <c r="J7271" i="1" s="1"/>
  <c r="N7271" i="1" a="1"/>
  <c r="N7271" i="1" s="1"/>
  <c r="R7271" i="1" a="1"/>
  <c r="R7271" i="1" s="1"/>
  <c r="I7271" i="1" a="1"/>
  <c r="I7271" i="1" s="1"/>
  <c r="S7271" i="1" a="1"/>
  <c r="S7271" i="1" s="1"/>
  <c r="O7271" i="1" a="1"/>
  <c r="O7271" i="1" s="1"/>
  <c r="K7271" i="1" a="1"/>
  <c r="K7271" i="1" s="1"/>
  <c r="B7272" i="1"/>
  <c r="L7271" i="1" a="1"/>
  <c r="L7271" i="1" s="1"/>
  <c r="M7271" i="1" a="1"/>
  <c r="M7271" i="1" s="1"/>
  <c r="P7271" i="1" a="1"/>
  <c r="P7271" i="1" s="1"/>
  <c r="Q7271" i="1" a="1"/>
  <c r="Q7271" i="1" s="1"/>
  <c r="I3242" i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I7272" i="1" l="1" a="1"/>
  <c r="I7272" i="1" s="1"/>
  <c r="M7272" i="1" a="1"/>
  <c r="M7272" i="1" s="1"/>
  <c r="Q7272" i="1" a="1"/>
  <c r="Q7272" i="1" s="1"/>
  <c r="J7272" i="1" a="1"/>
  <c r="J7272" i="1" s="1"/>
  <c r="S7272" i="1" a="1"/>
  <c r="S7272" i="1" s="1"/>
  <c r="O7272" i="1" a="1"/>
  <c r="O7272" i="1" s="1"/>
  <c r="K7272" i="1" a="1"/>
  <c r="K7272" i="1" s="1"/>
  <c r="P7272" i="1" a="1"/>
  <c r="P7272" i="1" s="1"/>
  <c r="R7272" i="1" a="1"/>
  <c r="R7272" i="1" s="1"/>
  <c r="L7272" i="1" a="1"/>
  <c r="L7272" i="1" s="1"/>
  <c r="B7273" i="1"/>
  <c r="N7272" i="1" a="1"/>
  <c r="N7272" i="1" s="1"/>
  <c r="A7275" i="1"/>
  <c r="H7274" i="1"/>
  <c r="O3243" i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H7275" i="1" l="1"/>
  <c r="A7276" i="1"/>
  <c r="L7273" i="1" a="1"/>
  <c r="L7273" i="1" s="1"/>
  <c r="P7273" i="1" a="1"/>
  <c r="P7273" i="1" s="1"/>
  <c r="O7273" i="1" a="1"/>
  <c r="O7273" i="1" s="1"/>
  <c r="K7273" i="1" a="1"/>
  <c r="K7273" i="1" s="1"/>
  <c r="B7274" i="1"/>
  <c r="J7273" i="1" a="1"/>
  <c r="J7273" i="1" s="1"/>
  <c r="R7273" i="1" a="1"/>
  <c r="R7273" i="1" s="1"/>
  <c r="M7273" i="1" a="1"/>
  <c r="M7273" i="1" s="1"/>
  <c r="S7273" i="1" a="1"/>
  <c r="S7273" i="1" s="1"/>
  <c r="N7273" i="1" a="1"/>
  <c r="N7273" i="1" s="1"/>
  <c r="I7273" i="1" a="1"/>
  <c r="I7273" i="1" s="1"/>
  <c r="Q7273" i="1" a="1"/>
  <c r="Q7273" i="1" s="1"/>
  <c r="O3244" i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K7274" i="1" l="1" a="1"/>
  <c r="K7274" i="1" s="1"/>
  <c r="O7274" i="1" a="1"/>
  <c r="O7274" i="1" s="1"/>
  <c r="S7274" i="1" a="1"/>
  <c r="S7274" i="1" s="1"/>
  <c r="P7274" i="1" a="1"/>
  <c r="P7274" i="1" s="1"/>
  <c r="B7275" i="1"/>
  <c r="L7274" i="1" a="1"/>
  <c r="L7274" i="1" s="1"/>
  <c r="Q7274" i="1" a="1"/>
  <c r="Q7274" i="1" s="1"/>
  <c r="M7274" i="1" a="1"/>
  <c r="M7274" i="1" s="1"/>
  <c r="N7274" i="1" a="1"/>
  <c r="N7274" i="1" s="1"/>
  <c r="I7274" i="1" a="1"/>
  <c r="I7274" i="1" s="1"/>
  <c r="J7274" i="1" a="1"/>
  <c r="J7274" i="1" s="1"/>
  <c r="R7274" i="1" a="1"/>
  <c r="R7274" i="1" s="1"/>
  <c r="H7276" i="1"/>
  <c r="A7277" i="1"/>
  <c r="A4473" i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A7278" i="1" l="1"/>
  <c r="H7277" i="1"/>
  <c r="J7275" i="1" a="1"/>
  <c r="J7275" i="1" s="1"/>
  <c r="N7275" i="1" a="1"/>
  <c r="N7275" i="1" s="1"/>
  <c r="R7275" i="1" a="1"/>
  <c r="R7275" i="1" s="1"/>
  <c r="L7275" i="1" a="1"/>
  <c r="L7275" i="1" s="1"/>
  <c r="Q7275" i="1" a="1"/>
  <c r="Q7275" i="1" s="1"/>
  <c r="M7275" i="1" a="1"/>
  <c r="M7275" i="1" s="1"/>
  <c r="B7276" i="1"/>
  <c r="O7275" i="1" a="1"/>
  <c r="O7275" i="1" s="1"/>
  <c r="I7275" i="1" a="1"/>
  <c r="I7275" i="1" s="1"/>
  <c r="P7275" i="1" a="1"/>
  <c r="P7275" i="1" s="1"/>
  <c r="K7275" i="1" a="1"/>
  <c r="K7275" i="1" s="1"/>
  <c r="S7275" i="1" a="1"/>
  <c r="S7275" i="1" s="1"/>
  <c r="B4473" i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I7276" i="1" l="1" a="1"/>
  <c r="I7276" i="1" s="1"/>
  <c r="M7276" i="1" a="1"/>
  <c r="M7276" i="1" s="1"/>
  <c r="Q7276" i="1" a="1"/>
  <c r="Q7276" i="1" s="1"/>
  <c r="R7276" i="1" a="1"/>
  <c r="R7276" i="1" s="1"/>
  <c r="N7276" i="1" a="1"/>
  <c r="N7276" i="1" s="1"/>
  <c r="J7276" i="1" a="1"/>
  <c r="J7276" i="1" s="1"/>
  <c r="P7276" i="1" a="1"/>
  <c r="P7276" i="1" s="1"/>
  <c r="K7276" i="1" a="1"/>
  <c r="K7276" i="1" s="1"/>
  <c r="S7276" i="1" a="1"/>
  <c r="S7276" i="1" s="1"/>
  <c r="L7276" i="1" a="1"/>
  <c r="L7276" i="1" s="1"/>
  <c r="O7276" i="1" a="1"/>
  <c r="O7276" i="1" s="1"/>
  <c r="B7277" i="1"/>
  <c r="A7279" i="1"/>
  <c r="H7278" i="1"/>
  <c r="O3247" i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A7280" i="1" l="1"/>
  <c r="H7279" i="1"/>
  <c r="L7277" i="1" a="1"/>
  <c r="L7277" i="1" s="1"/>
  <c r="P7277" i="1" a="1"/>
  <c r="P7277" i="1" s="1"/>
  <c r="I7277" i="1" a="1"/>
  <c r="I7277" i="1" s="1"/>
  <c r="R7277" i="1" a="1"/>
  <c r="R7277" i="1" s="1"/>
  <c r="N7277" i="1" a="1"/>
  <c r="N7277" i="1" s="1"/>
  <c r="J7277" i="1" a="1"/>
  <c r="J7277" i="1" s="1"/>
  <c r="S7277" i="1" a="1"/>
  <c r="S7277" i="1" s="1"/>
  <c r="Q7277" i="1" a="1"/>
  <c r="Q7277" i="1" s="1"/>
  <c r="K7277" i="1" a="1"/>
  <c r="K7277" i="1" s="1"/>
  <c r="B7278" i="1"/>
  <c r="M7277" i="1" a="1"/>
  <c r="M7277" i="1" s="1"/>
  <c r="O7277" i="1" a="1"/>
  <c r="O7277" i="1" s="1"/>
  <c r="I3248" i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K7278" i="1" l="1" a="1"/>
  <c r="K7278" i="1" s="1"/>
  <c r="O7278" i="1" a="1"/>
  <c r="O7278" i="1" s="1"/>
  <c r="S7278" i="1" a="1"/>
  <c r="S7278" i="1" s="1"/>
  <c r="N7278" i="1" a="1"/>
  <c r="N7278" i="1" s="1"/>
  <c r="J7278" i="1" a="1"/>
  <c r="J7278" i="1" s="1"/>
  <c r="L7278" i="1" a="1"/>
  <c r="L7278" i="1" s="1"/>
  <c r="R7278" i="1" a="1"/>
  <c r="R7278" i="1" s="1"/>
  <c r="B7279" i="1"/>
  <c r="M7278" i="1" a="1"/>
  <c r="M7278" i="1" s="1"/>
  <c r="P7278" i="1" a="1"/>
  <c r="P7278" i="1" s="1"/>
  <c r="Q7278" i="1" a="1"/>
  <c r="Q7278" i="1" s="1"/>
  <c r="I7278" i="1" a="1"/>
  <c r="I7278" i="1" s="1"/>
  <c r="A7281" i="1"/>
  <c r="H7280" i="1"/>
  <c r="J3251" i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7282" i="1" l="1"/>
  <c r="H7281" i="1"/>
  <c r="J7279" i="1" a="1"/>
  <c r="J7279" i="1" s="1"/>
  <c r="N7279" i="1" a="1"/>
  <c r="N7279" i="1" s="1"/>
  <c r="R7279" i="1" a="1"/>
  <c r="R7279" i="1" s="1"/>
  <c r="O7279" i="1" a="1"/>
  <c r="O7279" i="1" s="1"/>
  <c r="K7279" i="1" a="1"/>
  <c r="K7279" i="1" s="1"/>
  <c r="P7279" i="1" a="1"/>
  <c r="P7279" i="1" s="1"/>
  <c r="M7279" i="1" a="1"/>
  <c r="M7279" i="1" s="1"/>
  <c r="B7280" i="1"/>
  <c r="Q7279" i="1" a="1"/>
  <c r="Q7279" i="1" s="1"/>
  <c r="L7279" i="1" a="1"/>
  <c r="L7279" i="1" s="1"/>
  <c r="S7279" i="1" a="1"/>
  <c r="S7279" i="1" s="1"/>
  <c r="I7279" i="1" a="1"/>
  <c r="I7279" i="1" s="1"/>
  <c r="A3252" i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I7280" i="1" l="1" a="1"/>
  <c r="I7280" i="1" s="1"/>
  <c r="M7280" i="1" a="1"/>
  <c r="M7280" i="1" s="1"/>
  <c r="Q7280" i="1" a="1"/>
  <c r="Q7280" i="1" s="1"/>
  <c r="K7280" i="1" a="1"/>
  <c r="K7280" i="1" s="1"/>
  <c r="R7280" i="1" a="1"/>
  <c r="R7280" i="1" s="1"/>
  <c r="N7280" i="1" a="1"/>
  <c r="N7280" i="1" s="1"/>
  <c r="S7280" i="1" a="1"/>
  <c r="S7280" i="1" s="1"/>
  <c r="L7280" i="1" a="1"/>
  <c r="L7280" i="1" s="1"/>
  <c r="O7280" i="1" a="1"/>
  <c r="O7280" i="1" s="1"/>
  <c r="P7280" i="1" a="1"/>
  <c r="P7280" i="1" s="1"/>
  <c r="J7280" i="1" a="1"/>
  <c r="J7280" i="1" s="1"/>
  <c r="B7281" i="1"/>
  <c r="H7282" i="1"/>
  <c r="A7283" i="1"/>
  <c r="M3253" i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H7283" i="1" l="1"/>
  <c r="A7284" i="1"/>
  <c r="L7281" i="1" a="1"/>
  <c r="L7281" i="1" s="1"/>
  <c r="P7281" i="1" a="1"/>
  <c r="P7281" i="1" s="1"/>
  <c r="J7281" i="1" a="1"/>
  <c r="J7281" i="1" s="1"/>
  <c r="O7281" i="1" a="1"/>
  <c r="O7281" i="1" s="1"/>
  <c r="B7282" i="1"/>
  <c r="K7281" i="1" a="1"/>
  <c r="K7281" i="1" s="1"/>
  <c r="Q7281" i="1" a="1"/>
  <c r="Q7281" i="1" s="1"/>
  <c r="M7281" i="1" a="1"/>
  <c r="M7281" i="1" s="1"/>
  <c r="N7281" i="1" a="1"/>
  <c r="N7281" i="1" s="1"/>
  <c r="I7281" i="1" a="1"/>
  <c r="I7281" i="1" s="1"/>
  <c r="R7281" i="1" a="1"/>
  <c r="R7281" i="1" s="1"/>
  <c r="S7281" i="1" a="1"/>
  <c r="S7281" i="1" s="1"/>
  <c r="O3253" i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K7282" i="1" l="1" a="1"/>
  <c r="K7282" i="1" s="1"/>
  <c r="O7282" i="1" a="1"/>
  <c r="O7282" i="1" s="1"/>
  <c r="S7282" i="1" a="1"/>
  <c r="S7282" i="1" s="1"/>
  <c r="Q7282" i="1" a="1"/>
  <c r="Q7282" i="1" s="1"/>
  <c r="M7282" i="1" a="1"/>
  <c r="M7282" i="1" s="1"/>
  <c r="R7282" i="1" a="1"/>
  <c r="R7282" i="1" s="1"/>
  <c r="I7282" i="1" a="1"/>
  <c r="I7282" i="1" s="1"/>
  <c r="N7282" i="1" a="1"/>
  <c r="N7282" i="1" s="1"/>
  <c r="J7282" i="1" a="1"/>
  <c r="J7282" i="1" s="1"/>
  <c r="B7283" i="1"/>
  <c r="L7282" i="1" a="1"/>
  <c r="L7282" i="1" s="1"/>
  <c r="P7282" i="1" a="1"/>
  <c r="P7282" i="1" s="1"/>
  <c r="A7285" i="1"/>
  <c r="H7284" i="1"/>
  <c r="A3255" i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H7285" i="1" l="1"/>
  <c r="A7286" i="1"/>
  <c r="J7283" i="1" a="1"/>
  <c r="J7283" i="1" s="1"/>
  <c r="M7283" i="1" a="1"/>
  <c r="M7283" i="1" s="1"/>
  <c r="Q7283" i="1" a="1"/>
  <c r="Q7283" i="1" s="1"/>
  <c r="O7283" i="1" a="1"/>
  <c r="O7283" i="1" s="1"/>
  <c r="K7283" i="1" a="1"/>
  <c r="K7283" i="1" s="1"/>
  <c r="P7283" i="1" a="1"/>
  <c r="P7283" i="1" s="1"/>
  <c r="B7284" i="1"/>
  <c r="L7283" i="1" a="1"/>
  <c r="L7283" i="1" s="1"/>
  <c r="R7283" i="1" a="1"/>
  <c r="R7283" i="1" s="1"/>
  <c r="I7283" i="1" a="1"/>
  <c r="I7283" i="1" s="1"/>
  <c r="N7283" i="1" a="1"/>
  <c r="N7283" i="1" s="1"/>
  <c r="S7283" i="1" a="1"/>
  <c r="S7283" i="1" s="1"/>
  <c r="L3256" i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7286" i="1" l="1"/>
  <c r="A7287" i="1"/>
  <c r="L7284" i="1" a="1"/>
  <c r="L7284" i="1" s="1"/>
  <c r="P7284" i="1" a="1"/>
  <c r="P7284" i="1" s="1"/>
  <c r="K7284" i="1" a="1"/>
  <c r="K7284" i="1" s="1"/>
  <c r="B7285" i="1"/>
  <c r="Q7284" i="1" a="1"/>
  <c r="Q7284" i="1" s="1"/>
  <c r="M7284" i="1" a="1"/>
  <c r="M7284" i="1" s="1"/>
  <c r="N7284" i="1" a="1"/>
  <c r="N7284" i="1" s="1"/>
  <c r="J7284" i="1" a="1"/>
  <c r="J7284" i="1" s="1"/>
  <c r="O7284" i="1" a="1"/>
  <c r="O7284" i="1" s="1"/>
  <c r="R7284" i="1" a="1"/>
  <c r="R7284" i="1" s="1"/>
  <c r="S7284" i="1" a="1"/>
  <c r="S7284" i="1" s="1"/>
  <c r="I7284" i="1" a="1"/>
  <c r="I7284" i="1" s="1"/>
  <c r="H3256" i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K7285" i="1" l="1" a="1"/>
  <c r="K7285" i="1" s="1"/>
  <c r="O7285" i="1" a="1"/>
  <c r="O7285" i="1" s="1"/>
  <c r="S7285" i="1" a="1"/>
  <c r="S7285" i="1" s="1"/>
  <c r="L7285" i="1" a="1"/>
  <c r="L7285" i="1" s="1"/>
  <c r="Q7285" i="1" a="1"/>
  <c r="Q7285" i="1" s="1"/>
  <c r="M7285" i="1" a="1"/>
  <c r="M7285" i="1" s="1"/>
  <c r="I7285" i="1" a="1"/>
  <c r="I7285" i="1" s="1"/>
  <c r="R7285" i="1" a="1"/>
  <c r="R7285" i="1" s="1"/>
  <c r="P7285" i="1" a="1"/>
  <c r="P7285" i="1" s="1"/>
  <c r="J7285" i="1" a="1"/>
  <c r="J7285" i="1" s="1"/>
  <c r="B7286" i="1"/>
  <c r="N7285" i="1" a="1"/>
  <c r="N7285" i="1" s="1"/>
  <c r="H7287" i="1"/>
  <c r="A7288" i="1"/>
  <c r="H3257" i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A7289" i="1" l="1"/>
  <c r="H7288" i="1"/>
  <c r="J7286" i="1" a="1"/>
  <c r="J7286" i="1" s="1"/>
  <c r="N7286" i="1" a="1"/>
  <c r="N7286" i="1" s="1"/>
  <c r="R7286" i="1" a="1"/>
  <c r="R7286" i="1" s="1"/>
  <c r="Q7286" i="1" a="1"/>
  <c r="Q7286" i="1" s="1"/>
  <c r="M7286" i="1" a="1"/>
  <c r="M7286" i="1" s="1"/>
  <c r="I7286" i="1" a="1"/>
  <c r="I7286" i="1" s="1"/>
  <c r="S7286" i="1" a="1"/>
  <c r="S7286" i="1" s="1"/>
  <c r="L7286" i="1" a="1"/>
  <c r="L7286" i="1" s="1"/>
  <c r="O7286" i="1" a="1"/>
  <c r="O7286" i="1" s="1"/>
  <c r="P7286" i="1" a="1"/>
  <c r="P7286" i="1" s="1"/>
  <c r="B7287" i="1"/>
  <c r="K7286" i="1" a="1"/>
  <c r="K7286" i="1" s="1"/>
  <c r="H3258" i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I7287" i="1" l="1" a="1"/>
  <c r="I7287" i="1" s="1"/>
  <c r="M7287" i="1" a="1"/>
  <c r="M7287" i="1" s="1"/>
  <c r="Q7287" i="1" a="1"/>
  <c r="Q7287" i="1" s="1"/>
  <c r="R7287" i="1" a="1"/>
  <c r="R7287" i="1" s="1"/>
  <c r="N7287" i="1" a="1"/>
  <c r="N7287" i="1" s="1"/>
  <c r="J7287" i="1" a="1"/>
  <c r="J7287" i="1" s="1"/>
  <c r="S7287" i="1" a="1"/>
  <c r="S7287" i="1" s="1"/>
  <c r="O7287" i="1" a="1"/>
  <c r="O7287" i="1" s="1"/>
  <c r="K7287" i="1" a="1"/>
  <c r="K7287" i="1" s="1"/>
  <c r="B7288" i="1"/>
  <c r="L7287" i="1" a="1"/>
  <c r="L7287" i="1" s="1"/>
  <c r="P7287" i="1" a="1"/>
  <c r="P7287" i="1" s="1"/>
  <c r="A7290" i="1"/>
  <c r="H7289" i="1"/>
  <c r="L3260" i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A7291" i="1" l="1"/>
  <c r="H7290" i="1"/>
  <c r="L7288" i="1" a="1"/>
  <c r="L7288" i="1" s="1"/>
  <c r="P7288" i="1" a="1"/>
  <c r="P7288" i="1" s="1"/>
  <c r="N7288" i="1" a="1"/>
  <c r="N7288" i="1" s="1"/>
  <c r="J7288" i="1" a="1"/>
  <c r="J7288" i="1" s="1"/>
  <c r="S7288" i="1" a="1"/>
  <c r="S7288" i="1" s="1"/>
  <c r="O7288" i="1" a="1"/>
  <c r="O7288" i="1" s="1"/>
  <c r="K7288" i="1" a="1"/>
  <c r="K7288" i="1" s="1"/>
  <c r="B7289" i="1"/>
  <c r="Q7288" i="1" a="1"/>
  <c r="Q7288" i="1" s="1"/>
  <c r="M7288" i="1" a="1"/>
  <c r="M7288" i="1" s="1"/>
  <c r="R7288" i="1" a="1"/>
  <c r="R7288" i="1" s="1"/>
  <c r="I7288" i="1" a="1"/>
  <c r="I7288" i="1" s="1"/>
  <c r="H3260" i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K7289" i="1" l="1" a="1"/>
  <c r="K7289" i="1" s="1"/>
  <c r="O7289" i="1" a="1"/>
  <c r="O7289" i="1" s="1"/>
  <c r="S7289" i="1" a="1"/>
  <c r="S7289" i="1" s="1"/>
  <c r="J7289" i="1" a="1"/>
  <c r="J7289" i="1" s="1"/>
  <c r="P7289" i="1" a="1"/>
  <c r="P7289" i="1" s="1"/>
  <c r="B7290" i="1"/>
  <c r="L7289" i="1" a="1"/>
  <c r="L7289" i="1" s="1"/>
  <c r="M7289" i="1" a="1"/>
  <c r="M7289" i="1" s="1"/>
  <c r="R7289" i="1" a="1"/>
  <c r="R7289" i="1" s="1"/>
  <c r="I7289" i="1" a="1"/>
  <c r="I7289" i="1" s="1"/>
  <c r="N7289" i="1" a="1"/>
  <c r="N7289" i="1" s="1"/>
  <c r="Q7289" i="1" a="1"/>
  <c r="Q7289" i="1" s="1"/>
  <c r="H7291" i="1"/>
  <c r="A7292" i="1"/>
  <c r="H3261" i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A7293" i="1" l="1"/>
  <c r="H7292" i="1"/>
  <c r="J7290" i="1" a="1"/>
  <c r="J7290" i="1" s="1"/>
  <c r="N7290" i="1" a="1"/>
  <c r="N7290" i="1" s="1"/>
  <c r="R7290" i="1" a="1"/>
  <c r="R7290" i="1" s="1"/>
  <c r="K7290" i="1" a="1"/>
  <c r="K7290" i="1" s="1"/>
  <c r="P7290" i="1" a="1"/>
  <c r="P7290" i="1" s="1"/>
  <c r="B7291" i="1"/>
  <c r="L7290" i="1" a="1"/>
  <c r="L7290" i="1" s="1"/>
  <c r="Q7290" i="1" a="1"/>
  <c r="Q7290" i="1" s="1"/>
  <c r="O7290" i="1" a="1"/>
  <c r="O7290" i="1" s="1"/>
  <c r="I7290" i="1" a="1"/>
  <c r="I7290" i="1" s="1"/>
  <c r="S7290" i="1" a="1"/>
  <c r="S7290" i="1" s="1"/>
  <c r="M7290" i="1" a="1"/>
  <c r="M7290" i="1" s="1"/>
  <c r="L3263" i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I7291" i="1" l="1" a="1"/>
  <c r="I7291" i="1" s="1"/>
  <c r="M7291" i="1" a="1"/>
  <c r="M7291" i="1" s="1"/>
  <c r="Q7291" i="1" a="1"/>
  <c r="Q7291" i="1" s="1"/>
  <c r="P7291" i="1" a="1"/>
  <c r="P7291" i="1" s="1"/>
  <c r="B7292" i="1"/>
  <c r="L7291" i="1" a="1"/>
  <c r="L7291" i="1" s="1"/>
  <c r="R7291" i="1" a="1"/>
  <c r="R7291" i="1" s="1"/>
  <c r="K7291" i="1" a="1"/>
  <c r="K7291" i="1" s="1"/>
  <c r="N7291" i="1" a="1"/>
  <c r="N7291" i="1" s="1"/>
  <c r="O7291" i="1" a="1"/>
  <c r="O7291" i="1" s="1"/>
  <c r="S7291" i="1" a="1"/>
  <c r="S7291" i="1" s="1"/>
  <c r="J7291" i="1" a="1"/>
  <c r="J7291" i="1" s="1"/>
  <c r="H7293" i="1"/>
  <c r="A7294" i="1"/>
  <c r="H3263" i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L7292" i="1" l="1" a="1"/>
  <c r="L7292" i="1" s="1"/>
  <c r="P7292" i="1" a="1"/>
  <c r="P7292" i="1" s="1"/>
  <c r="Q7292" i="1" a="1"/>
  <c r="Q7292" i="1" s="1"/>
  <c r="M7292" i="1" a="1"/>
  <c r="M7292" i="1" s="1"/>
  <c r="I7292" i="1" a="1"/>
  <c r="I7292" i="1" s="1"/>
  <c r="R7292" i="1" a="1"/>
  <c r="R7292" i="1" s="1"/>
  <c r="N7292" i="1" a="1"/>
  <c r="N7292" i="1" s="1"/>
  <c r="J7292" i="1" a="1"/>
  <c r="J7292" i="1" s="1"/>
  <c r="S7292" i="1" a="1"/>
  <c r="S7292" i="1" s="1"/>
  <c r="K7292" i="1" a="1"/>
  <c r="K7292" i="1" s="1"/>
  <c r="B7293" i="1"/>
  <c r="O7292" i="1" a="1"/>
  <c r="O7292" i="1" s="1"/>
  <c r="A7295" i="1"/>
  <c r="H7294" i="1"/>
  <c r="I3264" i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A7296" i="1" l="1"/>
  <c r="H7295" i="1"/>
  <c r="K7293" i="1" a="1"/>
  <c r="K7293" i="1" s="1"/>
  <c r="O7293" i="1" a="1"/>
  <c r="O7293" i="1" s="1"/>
  <c r="S7293" i="1" a="1"/>
  <c r="S7293" i="1" s="1"/>
  <c r="M7293" i="1" a="1"/>
  <c r="M7293" i="1" s="1"/>
  <c r="I7293" i="1" a="1"/>
  <c r="I7293" i="1" s="1"/>
  <c r="R7293" i="1" a="1"/>
  <c r="R7293" i="1" s="1"/>
  <c r="N7293" i="1" a="1"/>
  <c r="N7293" i="1" s="1"/>
  <c r="J7293" i="1" a="1"/>
  <c r="J7293" i="1" s="1"/>
  <c r="P7293" i="1" a="1"/>
  <c r="P7293" i="1" s="1"/>
  <c r="L7293" i="1" a="1"/>
  <c r="L7293" i="1" s="1"/>
  <c r="Q7293" i="1" a="1"/>
  <c r="Q7293" i="1" s="1"/>
  <c r="B7294" i="1"/>
  <c r="I3265" i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J7294" i="1" l="1" a="1"/>
  <c r="J7294" i="1" s="1"/>
  <c r="N7294" i="1" a="1"/>
  <c r="N7294" i="1" s="1"/>
  <c r="R7294" i="1" a="1"/>
  <c r="R7294" i="1" s="1"/>
  <c r="I7294" i="1" a="1"/>
  <c r="I7294" i="1" s="1"/>
  <c r="S7294" i="1" a="1"/>
  <c r="S7294" i="1" s="1"/>
  <c r="O7294" i="1" a="1"/>
  <c r="O7294" i="1" s="1"/>
  <c r="K7294" i="1" a="1"/>
  <c r="K7294" i="1" s="1"/>
  <c r="B7295" i="1"/>
  <c r="L7294" i="1" a="1"/>
  <c r="L7294" i="1" s="1"/>
  <c r="M7294" i="1" a="1"/>
  <c r="M7294" i="1" s="1"/>
  <c r="P7294" i="1" a="1"/>
  <c r="P7294" i="1" s="1"/>
  <c r="Q7294" i="1" a="1"/>
  <c r="Q7294" i="1" s="1"/>
  <c r="A7297" i="1"/>
  <c r="H7296" i="1"/>
  <c r="I3266" i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7295" i="1" l="1" a="1"/>
  <c r="I7295" i="1" s="1"/>
  <c r="M7295" i="1" a="1"/>
  <c r="M7295" i="1" s="1"/>
  <c r="Q7295" i="1" a="1"/>
  <c r="Q7295" i="1" s="1"/>
  <c r="J7295" i="1" a="1"/>
  <c r="J7295" i="1" s="1"/>
  <c r="S7295" i="1" a="1"/>
  <c r="S7295" i="1" s="1"/>
  <c r="O7295" i="1" a="1"/>
  <c r="O7295" i="1" s="1"/>
  <c r="K7295" i="1" a="1"/>
  <c r="K7295" i="1" s="1"/>
  <c r="P7295" i="1" a="1"/>
  <c r="P7295" i="1" s="1"/>
  <c r="B7296" i="1"/>
  <c r="N7295" i="1" a="1"/>
  <c r="N7295" i="1" s="1"/>
  <c r="R7295" i="1" a="1"/>
  <c r="R7295" i="1" s="1"/>
  <c r="L7295" i="1" a="1"/>
  <c r="L7295" i="1" s="1"/>
  <c r="H7297" i="1"/>
  <c r="A7298" i="1"/>
  <c r="I3267" i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H7298" i="1" l="1"/>
  <c r="A7299" i="1"/>
  <c r="L7296" i="1" a="1"/>
  <c r="L7296" i="1" s="1"/>
  <c r="P7296" i="1" a="1"/>
  <c r="P7296" i="1" s="1"/>
  <c r="O7296" i="1" a="1"/>
  <c r="O7296" i="1" s="1"/>
  <c r="K7296" i="1" a="1"/>
  <c r="K7296" i="1" s="1"/>
  <c r="B7297" i="1"/>
  <c r="Q7296" i="1" a="1"/>
  <c r="Q7296" i="1" s="1"/>
  <c r="J7296" i="1" a="1"/>
  <c r="J7296" i="1" s="1"/>
  <c r="S7296" i="1" a="1"/>
  <c r="S7296" i="1" s="1"/>
  <c r="M7296" i="1" a="1"/>
  <c r="M7296" i="1" s="1"/>
  <c r="N7296" i="1" a="1"/>
  <c r="N7296" i="1" s="1"/>
  <c r="I7296" i="1" a="1"/>
  <c r="I7296" i="1" s="1"/>
  <c r="R7296" i="1" a="1"/>
  <c r="R7296" i="1" s="1"/>
  <c r="O3268" i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H7299" i="1" l="1"/>
  <c r="A7300" i="1"/>
  <c r="K7297" i="1" a="1"/>
  <c r="K7297" i="1" s="1"/>
  <c r="O7297" i="1" a="1"/>
  <c r="O7297" i="1" s="1"/>
  <c r="S7297" i="1" a="1"/>
  <c r="S7297" i="1" s="1"/>
  <c r="P7297" i="1" a="1"/>
  <c r="P7297" i="1" s="1"/>
  <c r="B7298" i="1"/>
  <c r="L7297" i="1" a="1"/>
  <c r="L7297" i="1" s="1"/>
  <c r="Q7297" i="1" a="1"/>
  <c r="Q7297" i="1" s="1"/>
  <c r="M7297" i="1" a="1"/>
  <c r="M7297" i="1" s="1"/>
  <c r="I7297" i="1" a="1"/>
  <c r="I7297" i="1" s="1"/>
  <c r="R7297" i="1" a="1"/>
  <c r="R7297" i="1" s="1"/>
  <c r="J7297" i="1" a="1"/>
  <c r="J7297" i="1" s="1"/>
  <c r="N7297" i="1" a="1"/>
  <c r="N7297" i="1" s="1"/>
  <c r="A3270" i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J7298" i="1" l="1" a="1"/>
  <c r="J7298" i="1" s="1"/>
  <c r="N7298" i="1" a="1"/>
  <c r="N7298" i="1" s="1"/>
  <c r="R7298" i="1" a="1"/>
  <c r="R7298" i="1" s="1"/>
  <c r="L7298" i="1" a="1"/>
  <c r="L7298" i="1" s="1"/>
  <c r="Q7298" i="1" a="1"/>
  <c r="Q7298" i="1" s="1"/>
  <c r="M7298" i="1" a="1"/>
  <c r="M7298" i="1" s="1"/>
  <c r="I7298" i="1" a="1"/>
  <c r="I7298" i="1" s="1"/>
  <c r="B7299" i="1"/>
  <c r="O7298" i="1" a="1"/>
  <c r="O7298" i="1" s="1"/>
  <c r="K7298" i="1" a="1"/>
  <c r="K7298" i="1" s="1"/>
  <c r="P7298" i="1" a="1"/>
  <c r="P7298" i="1" s="1"/>
  <c r="S7298" i="1" a="1"/>
  <c r="S7298" i="1" s="1"/>
  <c r="A7301" i="1"/>
  <c r="H7300" i="1"/>
  <c r="A3271" i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I7299" i="1" l="1" a="1"/>
  <c r="I7299" i="1" s="1"/>
  <c r="M7299" i="1" a="1"/>
  <c r="M7299" i="1" s="1"/>
  <c r="Q7299" i="1" a="1"/>
  <c r="Q7299" i="1" s="1"/>
  <c r="R7299" i="1" a="1"/>
  <c r="R7299" i="1" s="1"/>
  <c r="N7299" i="1" a="1"/>
  <c r="N7299" i="1" s="1"/>
  <c r="J7299" i="1" a="1"/>
  <c r="J7299" i="1" s="1"/>
  <c r="S7299" i="1" a="1"/>
  <c r="S7299" i="1" s="1"/>
  <c r="K7299" i="1" a="1"/>
  <c r="K7299" i="1" s="1"/>
  <c r="B7300" i="1"/>
  <c r="P7299" i="1" a="1"/>
  <c r="P7299" i="1" s="1"/>
  <c r="L7299" i="1" a="1"/>
  <c r="L7299" i="1" s="1"/>
  <c r="O7299" i="1" a="1"/>
  <c r="O7299" i="1" s="1"/>
  <c r="A7302" i="1"/>
  <c r="H7301" i="1"/>
  <c r="H3271" i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A7303" i="1" l="1"/>
  <c r="H7302" i="1"/>
  <c r="L7300" i="1" a="1"/>
  <c r="L7300" i="1" s="1"/>
  <c r="P7300" i="1" a="1"/>
  <c r="P7300" i="1" s="1"/>
  <c r="I7300" i="1" a="1"/>
  <c r="I7300" i="1" s="1"/>
  <c r="R7300" i="1" a="1"/>
  <c r="R7300" i="1" s="1"/>
  <c r="N7300" i="1" a="1"/>
  <c r="N7300" i="1" s="1"/>
  <c r="J7300" i="1" a="1"/>
  <c r="J7300" i="1" s="1"/>
  <c r="S7300" i="1" a="1"/>
  <c r="S7300" i="1" s="1"/>
  <c r="O7300" i="1" a="1"/>
  <c r="O7300" i="1" s="1"/>
  <c r="M7300" i="1" a="1"/>
  <c r="M7300" i="1" s="1"/>
  <c r="Q7300" i="1" a="1"/>
  <c r="Q7300" i="1" s="1"/>
  <c r="K7300" i="1" a="1"/>
  <c r="K7300" i="1" s="1"/>
  <c r="B7301" i="1"/>
  <c r="I3272" i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K7301" i="1" l="1" a="1"/>
  <c r="K7301" i="1" s="1"/>
  <c r="O7301" i="1" a="1"/>
  <c r="O7301" i="1" s="1"/>
  <c r="S7301" i="1" a="1"/>
  <c r="S7301" i="1" s="1"/>
  <c r="N7301" i="1" a="1"/>
  <c r="N7301" i="1" s="1"/>
  <c r="J7301" i="1" a="1"/>
  <c r="J7301" i="1" s="1"/>
  <c r="P7301" i="1" a="1"/>
  <c r="P7301" i="1" s="1"/>
  <c r="B7302" i="1"/>
  <c r="I7301" i="1" a="1"/>
  <c r="I7301" i="1" s="1"/>
  <c r="R7301" i="1" a="1"/>
  <c r="R7301" i="1" s="1"/>
  <c r="L7301" i="1" a="1"/>
  <c r="L7301" i="1" s="1"/>
  <c r="M7301" i="1" a="1"/>
  <c r="M7301" i="1" s="1"/>
  <c r="Q7301" i="1" a="1"/>
  <c r="Q7301" i="1" s="1"/>
  <c r="A7304" i="1"/>
  <c r="H7303" i="1"/>
  <c r="H3273" i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J7302" i="1" l="1" a="1"/>
  <c r="J7302" i="1" s="1"/>
  <c r="N7302" i="1" a="1"/>
  <c r="N7302" i="1" s="1"/>
  <c r="R7302" i="1" a="1"/>
  <c r="R7302" i="1" s="1"/>
  <c r="O7302" i="1" a="1"/>
  <c r="O7302" i="1" s="1"/>
  <c r="K7302" i="1" a="1"/>
  <c r="K7302" i="1" s="1"/>
  <c r="P7302" i="1" a="1"/>
  <c r="P7302" i="1" s="1"/>
  <c r="L7302" i="1" a="1"/>
  <c r="L7302" i="1" s="1"/>
  <c r="Q7302" i="1" a="1"/>
  <c r="Q7302" i="1" s="1"/>
  <c r="I7302" i="1" a="1"/>
  <c r="I7302" i="1" s="1"/>
  <c r="S7302" i="1" a="1"/>
  <c r="S7302" i="1" s="1"/>
  <c r="B7303" i="1"/>
  <c r="M7302" i="1" a="1"/>
  <c r="M7302" i="1" s="1"/>
  <c r="A7305" i="1"/>
  <c r="H7304" i="1"/>
  <c r="A3275" i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7303" i="1" l="1" a="1"/>
  <c r="I7303" i="1" s="1"/>
  <c r="M7303" i="1" a="1"/>
  <c r="M7303" i="1" s="1"/>
  <c r="Q7303" i="1" a="1"/>
  <c r="Q7303" i="1" s="1"/>
  <c r="K7303" i="1" a="1"/>
  <c r="K7303" i="1" s="1"/>
  <c r="P7303" i="1" a="1"/>
  <c r="P7303" i="1" s="1"/>
  <c r="B7304" i="1"/>
  <c r="O7303" i="1" a="1"/>
  <c r="O7303" i="1" s="1"/>
  <c r="J7303" i="1" a="1"/>
  <c r="J7303" i="1" s="1"/>
  <c r="L7303" i="1" a="1"/>
  <c r="L7303" i="1" s="1"/>
  <c r="R7303" i="1" a="1"/>
  <c r="R7303" i="1" s="1"/>
  <c r="S7303" i="1" a="1"/>
  <c r="S7303" i="1" s="1"/>
  <c r="N7303" i="1" a="1"/>
  <c r="N7303" i="1" s="1"/>
  <c r="H7305" i="1"/>
  <c r="A7306" i="1"/>
  <c r="I3275" i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L7304" i="1" l="1" a="1"/>
  <c r="L7304" i="1" s="1"/>
  <c r="P7304" i="1" a="1"/>
  <c r="P7304" i="1" s="1"/>
  <c r="Q7304" i="1" a="1"/>
  <c r="Q7304" i="1" s="1"/>
  <c r="I7304" i="1" a="1"/>
  <c r="I7304" i="1" s="1"/>
  <c r="B7305" i="1"/>
  <c r="O7304" i="1" a="1"/>
  <c r="O7304" i="1" s="1"/>
  <c r="J7304" i="1" a="1"/>
  <c r="J7304" i="1" s="1"/>
  <c r="N7304" i="1" a="1"/>
  <c r="N7304" i="1" s="1"/>
  <c r="R7304" i="1" a="1"/>
  <c r="R7304" i="1" s="1"/>
  <c r="S7304" i="1" a="1"/>
  <c r="S7304" i="1" s="1"/>
  <c r="K7304" i="1" a="1"/>
  <c r="K7304" i="1" s="1"/>
  <c r="M7304" i="1" a="1"/>
  <c r="M7304" i="1" s="1"/>
  <c r="H7306" i="1"/>
  <c r="A7307" i="1"/>
  <c r="H3276" i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A7308" i="1" l="1"/>
  <c r="H7307" i="1"/>
  <c r="K7305" i="1" a="1"/>
  <c r="K7305" i="1" s="1"/>
  <c r="O7305" i="1" a="1"/>
  <c r="O7305" i="1" s="1"/>
  <c r="S7305" i="1" a="1"/>
  <c r="S7305" i="1" s="1"/>
  <c r="Q7305" i="1" a="1"/>
  <c r="Q7305" i="1" s="1"/>
  <c r="M7305" i="1" a="1"/>
  <c r="M7305" i="1" s="1"/>
  <c r="N7305" i="1" a="1"/>
  <c r="N7305" i="1" s="1"/>
  <c r="I7305" i="1" a="1"/>
  <c r="I7305" i="1" s="1"/>
  <c r="B7306" i="1"/>
  <c r="J7305" i="1" a="1"/>
  <c r="J7305" i="1" s="1"/>
  <c r="P7305" i="1" a="1"/>
  <c r="P7305" i="1" s="1"/>
  <c r="R7305" i="1" a="1"/>
  <c r="R7305" i="1" s="1"/>
  <c r="L7305" i="1" a="1"/>
  <c r="L7305" i="1" s="1"/>
  <c r="O3277" i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J7306" i="1" l="1" a="1"/>
  <c r="J7306" i="1" s="1"/>
  <c r="M7306" i="1" a="1"/>
  <c r="M7306" i="1" s="1"/>
  <c r="Q7306" i="1" a="1"/>
  <c r="Q7306" i="1" s="1"/>
  <c r="I7306" i="1" a="1"/>
  <c r="I7306" i="1" s="1"/>
  <c r="N7306" i="1" a="1"/>
  <c r="N7306" i="1" s="1"/>
  <c r="S7306" i="1" a="1"/>
  <c r="S7306" i="1" s="1"/>
  <c r="O7306" i="1" a="1"/>
  <c r="O7306" i="1" s="1"/>
  <c r="L7306" i="1" a="1"/>
  <c r="L7306" i="1" s="1"/>
  <c r="P7306" i="1" a="1"/>
  <c r="P7306" i="1" s="1"/>
  <c r="R7306" i="1" a="1"/>
  <c r="R7306" i="1" s="1"/>
  <c r="B7307" i="1"/>
  <c r="K7306" i="1" a="1"/>
  <c r="K7306" i="1" s="1"/>
  <c r="H7308" i="1"/>
  <c r="A7309" i="1"/>
  <c r="H3278" i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H7309" i="1" l="1"/>
  <c r="A7310" i="1"/>
  <c r="L7307" i="1" a="1"/>
  <c r="L7307" i="1" s="1"/>
  <c r="P7307" i="1" a="1"/>
  <c r="P7307" i="1" s="1"/>
  <c r="B7308" i="1"/>
  <c r="K7307" i="1" a="1"/>
  <c r="K7307" i="1" s="1"/>
  <c r="Q7307" i="1" a="1"/>
  <c r="Q7307" i="1" s="1"/>
  <c r="M7307" i="1" a="1"/>
  <c r="M7307" i="1" s="1"/>
  <c r="R7307" i="1" a="1"/>
  <c r="R7307" i="1" s="1"/>
  <c r="J7307" i="1" a="1"/>
  <c r="J7307" i="1" s="1"/>
  <c r="N7307" i="1" a="1"/>
  <c r="N7307" i="1" s="1"/>
  <c r="O7307" i="1" a="1"/>
  <c r="O7307" i="1" s="1"/>
  <c r="I7307" i="1" a="1"/>
  <c r="I7307" i="1" s="1"/>
  <c r="S7307" i="1" a="1"/>
  <c r="S7307" i="1" s="1"/>
  <c r="O3279" i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K7308" i="1" l="1" a="1"/>
  <c r="K7308" i="1" s="1"/>
  <c r="O7308" i="1" a="1"/>
  <c r="O7308" i="1" s="1"/>
  <c r="S7308" i="1" a="1"/>
  <c r="S7308" i="1" s="1"/>
  <c r="I7308" i="1" a="1"/>
  <c r="I7308" i="1" s="1"/>
  <c r="N7308" i="1" a="1"/>
  <c r="N7308" i="1" s="1"/>
  <c r="B7309" i="1"/>
  <c r="J7308" i="1" a="1"/>
  <c r="J7308" i="1" s="1"/>
  <c r="P7308" i="1" a="1"/>
  <c r="P7308" i="1" s="1"/>
  <c r="R7308" i="1" a="1"/>
  <c r="R7308" i="1" s="1"/>
  <c r="L7308" i="1" a="1"/>
  <c r="L7308" i="1" s="1"/>
  <c r="M7308" i="1" a="1"/>
  <c r="M7308" i="1" s="1"/>
  <c r="Q7308" i="1" a="1"/>
  <c r="Q7308" i="1" s="1"/>
  <c r="H7310" i="1"/>
  <c r="A7311" i="1"/>
  <c r="O3280" i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7312" i="1" l="1"/>
  <c r="H7311" i="1"/>
  <c r="J7309" i="1" a="1"/>
  <c r="J7309" i="1" s="1"/>
  <c r="N7309" i="1" a="1"/>
  <c r="N7309" i="1" s="1"/>
  <c r="R7309" i="1" a="1"/>
  <c r="R7309" i="1" s="1"/>
  <c r="L7309" i="1" a="1"/>
  <c r="L7309" i="1" s="1"/>
  <c r="Q7309" i="1" a="1"/>
  <c r="Q7309" i="1" s="1"/>
  <c r="M7309" i="1" a="1"/>
  <c r="M7309" i="1" s="1"/>
  <c r="S7309" i="1" a="1"/>
  <c r="S7309" i="1" s="1"/>
  <c r="P7309" i="1" a="1"/>
  <c r="P7309" i="1" s="1"/>
  <c r="I7309" i="1" a="1"/>
  <c r="I7309" i="1" s="1"/>
  <c r="B7310" i="1"/>
  <c r="K7309" i="1" a="1"/>
  <c r="K7309" i="1" s="1"/>
  <c r="O7309" i="1" a="1"/>
  <c r="O7309" i="1" s="1"/>
  <c r="A3282" i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I7310" i="1" l="1" a="1"/>
  <c r="I7310" i="1" s="1"/>
  <c r="M7310" i="1" a="1"/>
  <c r="M7310" i="1" s="1"/>
  <c r="Q7310" i="1" a="1"/>
  <c r="Q7310" i="1" s="1"/>
  <c r="J7310" i="1" a="1"/>
  <c r="J7310" i="1" s="1"/>
  <c r="O7310" i="1" a="1"/>
  <c r="O7310" i="1" s="1"/>
  <c r="B7311" i="1"/>
  <c r="K7310" i="1" a="1"/>
  <c r="K7310" i="1" s="1"/>
  <c r="P7310" i="1" a="1"/>
  <c r="P7310" i="1" s="1"/>
  <c r="N7310" i="1" a="1"/>
  <c r="N7310" i="1" s="1"/>
  <c r="R7310" i="1" a="1"/>
  <c r="R7310" i="1" s="1"/>
  <c r="S7310" i="1" a="1"/>
  <c r="S7310" i="1" s="1"/>
  <c r="L7310" i="1" a="1"/>
  <c r="L7310" i="1" s="1"/>
  <c r="A7313" i="1"/>
  <c r="H7312" i="1"/>
  <c r="O3282" i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L7311" i="1" l="1" a="1"/>
  <c r="L7311" i="1" s="1"/>
  <c r="P7311" i="1" a="1"/>
  <c r="P7311" i="1" s="1"/>
  <c r="B7312" i="1"/>
  <c r="M7311" i="1" a="1"/>
  <c r="M7311" i="1" s="1"/>
  <c r="R7311" i="1" a="1"/>
  <c r="R7311" i="1" s="1"/>
  <c r="I7311" i="1" a="1"/>
  <c r="I7311" i="1" s="1"/>
  <c r="N7311" i="1" a="1"/>
  <c r="N7311" i="1" s="1"/>
  <c r="S7311" i="1" a="1"/>
  <c r="S7311" i="1" s="1"/>
  <c r="K7311" i="1" a="1"/>
  <c r="K7311" i="1" s="1"/>
  <c r="O7311" i="1" a="1"/>
  <c r="O7311" i="1" s="1"/>
  <c r="Q7311" i="1" a="1"/>
  <c r="Q7311" i="1" s="1"/>
  <c r="J7311" i="1" a="1"/>
  <c r="J7311" i="1" s="1"/>
  <c r="H7313" i="1"/>
  <c r="A7314" i="1"/>
  <c r="I3283" i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H7314" i="1" l="1"/>
  <c r="A7315" i="1"/>
  <c r="K7312" i="1" a="1"/>
  <c r="K7312" i="1" s="1"/>
  <c r="O7312" i="1" a="1"/>
  <c r="O7312" i="1" s="1"/>
  <c r="S7312" i="1" a="1"/>
  <c r="S7312" i="1" s="1"/>
  <c r="B7313" i="1"/>
  <c r="J7312" i="1" a="1"/>
  <c r="J7312" i="1" s="1"/>
  <c r="P7312" i="1" a="1"/>
  <c r="P7312" i="1" s="1"/>
  <c r="L7312" i="1" a="1"/>
  <c r="L7312" i="1" s="1"/>
  <c r="Q7312" i="1" a="1"/>
  <c r="Q7312" i="1" s="1"/>
  <c r="I7312" i="1" a="1"/>
  <c r="I7312" i="1" s="1"/>
  <c r="M7312" i="1" a="1"/>
  <c r="M7312" i="1" s="1"/>
  <c r="N7312" i="1" a="1"/>
  <c r="N7312" i="1" s="1"/>
  <c r="R7312" i="1" a="1"/>
  <c r="R7312" i="1" s="1"/>
  <c r="I3284" i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J7313" i="1" l="1" a="1"/>
  <c r="J7313" i="1" s="1"/>
  <c r="N7313" i="1" a="1"/>
  <c r="N7313" i="1" s="1"/>
  <c r="R7313" i="1" a="1"/>
  <c r="R7313" i="1" s="1"/>
  <c r="M7313" i="1" a="1"/>
  <c r="M7313" i="1" s="1"/>
  <c r="S7313" i="1" a="1"/>
  <c r="S7313" i="1" s="1"/>
  <c r="I7313" i="1" a="1"/>
  <c r="I7313" i="1" s="1"/>
  <c r="O7313" i="1" a="1"/>
  <c r="O7313" i="1" s="1"/>
  <c r="Q7313" i="1" a="1"/>
  <c r="Q7313" i="1" s="1"/>
  <c r="B7314" i="1"/>
  <c r="K7313" i="1" a="1"/>
  <c r="K7313" i="1" s="1"/>
  <c r="L7313" i="1" a="1"/>
  <c r="L7313" i="1" s="1"/>
  <c r="P7313" i="1" a="1"/>
  <c r="P7313" i="1" s="1"/>
  <c r="A7316" i="1"/>
  <c r="H7315" i="1"/>
  <c r="I3285" i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H7316" i="1" l="1"/>
  <c r="A7317" i="1"/>
  <c r="I7314" i="1" a="1"/>
  <c r="I7314" i="1" s="1"/>
  <c r="M7314" i="1" a="1"/>
  <c r="M7314" i="1" s="1"/>
  <c r="Q7314" i="1" a="1"/>
  <c r="Q7314" i="1" s="1"/>
  <c r="B7315" i="1"/>
  <c r="K7314" i="1" a="1"/>
  <c r="K7314" i="1" s="1"/>
  <c r="P7314" i="1" a="1"/>
  <c r="P7314" i="1" s="1"/>
  <c r="O7314" i="1" a="1"/>
  <c r="O7314" i="1" s="1"/>
  <c r="R7314" i="1" a="1"/>
  <c r="R7314" i="1" s="1"/>
  <c r="J7314" i="1" a="1"/>
  <c r="J7314" i="1" s="1"/>
  <c r="S7314" i="1" a="1"/>
  <c r="S7314" i="1" s="1"/>
  <c r="L7314" i="1" a="1"/>
  <c r="L7314" i="1" s="1"/>
  <c r="N7314" i="1" a="1"/>
  <c r="N7314" i="1" s="1"/>
  <c r="I3286" i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L7315" i="1" l="1" a="1"/>
  <c r="L7315" i="1" s="1"/>
  <c r="P7315" i="1" a="1"/>
  <c r="P7315" i="1" s="1"/>
  <c r="B7316" i="1"/>
  <c r="I7315" i="1" a="1"/>
  <c r="I7315" i="1" s="1"/>
  <c r="N7315" i="1" a="1"/>
  <c r="N7315" i="1" s="1"/>
  <c r="S7315" i="1" a="1"/>
  <c r="S7315" i="1" s="1"/>
  <c r="R7315" i="1" a="1"/>
  <c r="R7315" i="1" s="1"/>
  <c r="K7315" i="1" a="1"/>
  <c r="K7315" i="1" s="1"/>
  <c r="M7315" i="1" a="1"/>
  <c r="M7315" i="1" s="1"/>
  <c r="O7315" i="1" a="1"/>
  <c r="O7315" i="1" s="1"/>
  <c r="J7315" i="1" a="1"/>
  <c r="J7315" i="1" s="1"/>
  <c r="Q7315" i="1" a="1"/>
  <c r="Q7315" i="1" s="1"/>
  <c r="H7317" i="1"/>
  <c r="A7318" i="1"/>
  <c r="H3287" i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H7318" i="1" l="1"/>
  <c r="A7319" i="1"/>
  <c r="K7316" i="1" a="1"/>
  <c r="K7316" i="1" s="1"/>
  <c r="O7316" i="1" a="1"/>
  <c r="O7316" i="1" s="1"/>
  <c r="S7316" i="1" a="1"/>
  <c r="S7316" i="1" s="1"/>
  <c r="L7316" i="1" a="1"/>
  <c r="L7316" i="1" s="1"/>
  <c r="Q7316" i="1" a="1"/>
  <c r="Q7316" i="1" s="1"/>
  <c r="N7316" i="1" a="1"/>
  <c r="N7316" i="1" s="1"/>
  <c r="P7316" i="1" a="1"/>
  <c r="P7316" i="1" s="1"/>
  <c r="I7316" i="1" a="1"/>
  <c r="I7316" i="1" s="1"/>
  <c r="R7316" i="1" a="1"/>
  <c r="R7316" i="1" s="1"/>
  <c r="J7316" i="1" a="1"/>
  <c r="J7316" i="1" s="1"/>
  <c r="B7317" i="1"/>
  <c r="M7316" i="1" a="1"/>
  <c r="M7316" i="1" s="1"/>
  <c r="A3289" i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J7317" i="1" l="1" a="1"/>
  <c r="J7317" i="1" s="1"/>
  <c r="N7317" i="1" a="1"/>
  <c r="N7317" i="1" s="1"/>
  <c r="R7317" i="1" a="1"/>
  <c r="R7317" i="1" s="1"/>
  <c r="I7317" i="1" a="1"/>
  <c r="I7317" i="1" s="1"/>
  <c r="O7317" i="1" a="1"/>
  <c r="O7317" i="1" s="1"/>
  <c r="B7318" i="1"/>
  <c r="K7317" i="1" a="1"/>
  <c r="K7317" i="1" s="1"/>
  <c r="S7317" i="1" a="1"/>
  <c r="S7317" i="1" s="1"/>
  <c r="L7317" i="1" a="1"/>
  <c r="L7317" i="1" s="1"/>
  <c r="M7317" i="1" a="1"/>
  <c r="M7317" i="1" s="1"/>
  <c r="P7317" i="1" a="1"/>
  <c r="P7317" i="1" s="1"/>
  <c r="Q7317" i="1" a="1"/>
  <c r="Q7317" i="1" s="1"/>
  <c r="A7320" i="1"/>
  <c r="H7319" i="1"/>
  <c r="H3289" i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H7320" i="1" l="1"/>
  <c r="A7321" i="1"/>
  <c r="I7318" i="1" a="1"/>
  <c r="I7318" i="1" s="1"/>
  <c r="M7318" i="1" a="1"/>
  <c r="M7318" i="1" s="1"/>
  <c r="Q7318" i="1" a="1"/>
  <c r="Q7318" i="1" s="1"/>
  <c r="L7318" i="1" a="1"/>
  <c r="L7318" i="1" s="1"/>
  <c r="R7318" i="1" a="1"/>
  <c r="R7318" i="1" s="1"/>
  <c r="O7318" i="1" a="1"/>
  <c r="O7318" i="1" s="1"/>
  <c r="P7318" i="1" a="1"/>
  <c r="P7318" i="1" s="1"/>
  <c r="J7318" i="1" a="1"/>
  <c r="J7318" i="1" s="1"/>
  <c r="S7318" i="1" a="1"/>
  <c r="S7318" i="1" s="1"/>
  <c r="K7318" i="1" a="1"/>
  <c r="K7318" i="1" s="1"/>
  <c r="N7318" i="1" a="1"/>
  <c r="N7318" i="1" s="1"/>
  <c r="B7319" i="1"/>
  <c r="I3290" i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L7319" i="1" l="1" a="1"/>
  <c r="L7319" i="1" s="1"/>
  <c r="P7319" i="1" a="1"/>
  <c r="P7319" i="1" s="1"/>
  <c r="B7320" i="1"/>
  <c r="J7319" i="1" a="1"/>
  <c r="J7319" i="1" s="1"/>
  <c r="O7319" i="1" a="1"/>
  <c r="O7319" i="1" s="1"/>
  <c r="I7319" i="1" a="1"/>
  <c r="I7319" i="1" s="1"/>
  <c r="R7319" i="1" a="1"/>
  <c r="R7319" i="1" s="1"/>
  <c r="K7319" i="1" a="1"/>
  <c r="K7319" i="1" s="1"/>
  <c r="S7319" i="1" a="1"/>
  <c r="S7319" i="1" s="1"/>
  <c r="M7319" i="1" a="1"/>
  <c r="M7319" i="1" s="1"/>
  <c r="N7319" i="1" a="1"/>
  <c r="N7319" i="1" s="1"/>
  <c r="Q7319" i="1" a="1"/>
  <c r="Q7319" i="1" s="1"/>
  <c r="H7321" i="1"/>
  <c r="A7322" i="1"/>
  <c r="A3292" i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7322" i="1" l="1"/>
  <c r="A7323" i="1"/>
  <c r="K7320" i="1" a="1"/>
  <c r="K7320" i="1" s="1"/>
  <c r="O7320" i="1" a="1"/>
  <c r="O7320" i="1" s="1"/>
  <c r="M7320" i="1" a="1"/>
  <c r="M7320" i="1" s="1"/>
  <c r="R7320" i="1" a="1"/>
  <c r="R7320" i="1" s="1"/>
  <c r="N7320" i="1" a="1"/>
  <c r="N7320" i="1" s="1"/>
  <c r="P7320" i="1" a="1"/>
  <c r="P7320" i="1" s="1"/>
  <c r="I7320" i="1" a="1"/>
  <c r="I7320" i="1" s="1"/>
  <c r="Q7320" i="1" a="1"/>
  <c r="Q7320" i="1" s="1"/>
  <c r="J7320" i="1" a="1"/>
  <c r="J7320" i="1" s="1"/>
  <c r="S7320" i="1" a="1"/>
  <c r="S7320" i="1" s="1"/>
  <c r="L7320" i="1" a="1"/>
  <c r="L7320" i="1" s="1"/>
  <c r="B7321" i="1"/>
  <c r="H3292" i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A7324" i="1" l="1"/>
  <c r="H7323" i="1"/>
  <c r="I7321" i="1" a="1"/>
  <c r="I7321" i="1" s="1"/>
  <c r="N7321" i="1" a="1"/>
  <c r="N7321" i="1" s="1"/>
  <c r="R7321" i="1" a="1"/>
  <c r="R7321" i="1" s="1"/>
  <c r="J7321" i="1" a="1"/>
  <c r="J7321" i="1" s="1"/>
  <c r="P7321" i="1" a="1"/>
  <c r="P7321" i="1" s="1"/>
  <c r="K7321" i="1" a="1"/>
  <c r="K7321" i="1" s="1"/>
  <c r="Q7321" i="1" a="1"/>
  <c r="Q7321" i="1" s="1"/>
  <c r="L7321" i="1" a="1"/>
  <c r="L7321" i="1" s="1"/>
  <c r="S7321" i="1" a="1"/>
  <c r="S7321" i="1" s="1"/>
  <c r="B7322" i="1"/>
  <c r="M7321" i="1" a="1"/>
  <c r="M7321" i="1" s="1"/>
  <c r="O7321" i="1" a="1"/>
  <c r="O7321" i="1" s="1"/>
  <c r="H3293" i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B7323" i="1" l="1"/>
  <c r="I7322" i="1" a="1"/>
  <c r="I7322" i="1" s="1"/>
  <c r="M7322" i="1" a="1"/>
  <c r="M7322" i="1" s="1"/>
  <c r="Q7322" i="1" a="1"/>
  <c r="Q7322" i="1" s="1"/>
  <c r="O7322" i="1" a="1"/>
  <c r="O7322" i="1" s="1"/>
  <c r="J7322" i="1" a="1"/>
  <c r="J7322" i="1" s="1"/>
  <c r="P7322" i="1" a="1"/>
  <c r="P7322" i="1" s="1"/>
  <c r="K7322" i="1" a="1"/>
  <c r="K7322" i="1" s="1"/>
  <c r="R7322" i="1" a="1"/>
  <c r="R7322" i="1" s="1"/>
  <c r="L7322" i="1" a="1"/>
  <c r="L7322" i="1" s="1"/>
  <c r="S7322" i="1" a="1"/>
  <c r="S7322" i="1" s="1"/>
  <c r="N7322" i="1" a="1"/>
  <c r="N7322" i="1" s="1"/>
  <c r="H7324" i="1"/>
  <c r="A7325" i="1"/>
  <c r="A3295" i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7325" i="1" l="1"/>
  <c r="A7326" i="1"/>
  <c r="L7323" i="1" a="1"/>
  <c r="L7323" i="1" s="1"/>
  <c r="P7323" i="1" a="1"/>
  <c r="P7323" i="1" s="1"/>
  <c r="B7324" i="1"/>
  <c r="I7323" i="1" a="1"/>
  <c r="I7323" i="1" s="1"/>
  <c r="O7323" i="1" a="1"/>
  <c r="O7323" i="1" s="1"/>
  <c r="J7323" i="1" a="1"/>
  <c r="J7323" i="1" s="1"/>
  <c r="Q7323" i="1" a="1"/>
  <c r="Q7323" i="1" s="1"/>
  <c r="K7323" i="1" a="1"/>
  <c r="K7323" i="1" s="1"/>
  <c r="R7323" i="1" a="1"/>
  <c r="R7323" i="1" s="1"/>
  <c r="M7323" i="1" a="1"/>
  <c r="M7323" i="1" s="1"/>
  <c r="N7323" i="1" a="1"/>
  <c r="N7323" i="1" s="1"/>
  <c r="S7323" i="1" a="1"/>
  <c r="S7323" i="1" s="1"/>
  <c r="H3295" i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K7324" i="1" l="1" a="1"/>
  <c r="K7324" i="1" s="1"/>
  <c r="O7324" i="1" a="1"/>
  <c r="O7324" i="1" s="1"/>
  <c r="S7324" i="1" a="1"/>
  <c r="S7324" i="1" s="1"/>
  <c r="N7324" i="1" a="1"/>
  <c r="N7324" i="1" s="1"/>
  <c r="I7324" i="1" a="1"/>
  <c r="I7324" i="1" s="1"/>
  <c r="P7324" i="1" a="1"/>
  <c r="P7324" i="1" s="1"/>
  <c r="J7324" i="1" a="1"/>
  <c r="J7324" i="1" s="1"/>
  <c r="Q7324" i="1" a="1"/>
  <c r="Q7324" i="1" s="1"/>
  <c r="L7324" i="1" a="1"/>
  <c r="L7324" i="1" s="1"/>
  <c r="R7324" i="1" a="1"/>
  <c r="R7324" i="1" s="1"/>
  <c r="M7324" i="1" a="1"/>
  <c r="M7324" i="1" s="1"/>
  <c r="B7325" i="1"/>
  <c r="H7326" i="1"/>
  <c r="A7327" i="1"/>
  <c r="H3296" i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A7328" i="1" l="1"/>
  <c r="H7327" i="1"/>
  <c r="J7325" i="1" a="1"/>
  <c r="J7325" i="1" s="1"/>
  <c r="N7325" i="1" a="1"/>
  <c r="N7325" i="1" s="1"/>
  <c r="R7325" i="1" a="1"/>
  <c r="R7325" i="1" s="1"/>
  <c r="O7325" i="1" a="1"/>
  <c r="O7325" i="1" s="1"/>
  <c r="B7326" i="1"/>
  <c r="I7325" i="1" a="1"/>
  <c r="I7325" i="1" s="1"/>
  <c r="P7325" i="1" a="1"/>
  <c r="P7325" i="1" s="1"/>
  <c r="K7325" i="1" a="1"/>
  <c r="K7325" i="1" s="1"/>
  <c r="Q7325" i="1" a="1"/>
  <c r="Q7325" i="1" s="1"/>
  <c r="L7325" i="1" a="1"/>
  <c r="L7325" i="1" s="1"/>
  <c r="S7325" i="1" a="1"/>
  <c r="S7325" i="1" s="1"/>
  <c r="M7325" i="1" a="1"/>
  <c r="M7325" i="1" s="1"/>
  <c r="H3297" i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B7327" i="1" l="1"/>
  <c r="I7326" i="1" a="1"/>
  <c r="I7326" i="1" s="1"/>
  <c r="M7326" i="1" a="1"/>
  <c r="M7326" i="1" s="1"/>
  <c r="Q7326" i="1" a="1"/>
  <c r="Q7326" i="1" s="1"/>
  <c r="O7326" i="1" a="1"/>
  <c r="O7326" i="1" s="1"/>
  <c r="J7326" i="1" a="1"/>
  <c r="J7326" i="1" s="1"/>
  <c r="P7326" i="1" a="1"/>
  <c r="P7326" i="1" s="1"/>
  <c r="K7326" i="1" a="1"/>
  <c r="K7326" i="1" s="1"/>
  <c r="R7326" i="1" a="1"/>
  <c r="R7326" i="1" s="1"/>
  <c r="L7326" i="1" a="1"/>
  <c r="L7326" i="1" s="1"/>
  <c r="N7326" i="1" a="1"/>
  <c r="N7326" i="1" s="1"/>
  <c r="S7326" i="1" a="1"/>
  <c r="S7326" i="1" s="1"/>
  <c r="H7328" i="1"/>
  <c r="A7329" i="1"/>
  <c r="K3387" i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7330" i="1" l="1"/>
  <c r="H7329" i="1"/>
  <c r="L7327" i="1" a="1"/>
  <c r="L7327" i="1" s="1"/>
  <c r="P7327" i="1" a="1"/>
  <c r="P7327" i="1" s="1"/>
  <c r="B7328" i="1"/>
  <c r="N7327" i="1" a="1"/>
  <c r="N7327" i="1" s="1"/>
  <c r="I7327" i="1" a="1"/>
  <c r="I7327" i="1" s="1"/>
  <c r="O7327" i="1" a="1"/>
  <c r="O7327" i="1" s="1"/>
  <c r="J7327" i="1" a="1"/>
  <c r="J7327" i="1" s="1"/>
  <c r="Q7327" i="1" a="1"/>
  <c r="Q7327" i="1" s="1"/>
  <c r="K7327" i="1" a="1"/>
  <c r="K7327" i="1" s="1"/>
  <c r="R7327" i="1" a="1"/>
  <c r="R7327" i="1" s="1"/>
  <c r="S7327" i="1" a="1"/>
  <c r="S7327" i="1" s="1"/>
  <c r="M7327" i="1" a="1"/>
  <c r="M7327" i="1" s="1"/>
  <c r="A3389" i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K7328" i="1" l="1" a="1"/>
  <c r="K7328" i="1" s="1"/>
  <c r="O7328" i="1" a="1"/>
  <c r="O7328" i="1" s="1"/>
  <c r="S7328" i="1" a="1"/>
  <c r="S7328" i="1" s="1"/>
  <c r="B7329" i="1"/>
  <c r="N7328" i="1" a="1"/>
  <c r="N7328" i="1" s="1"/>
  <c r="I7328" i="1" a="1"/>
  <c r="I7328" i="1" s="1"/>
  <c r="P7328" i="1" a="1"/>
  <c r="P7328" i="1" s="1"/>
  <c r="J7328" i="1" a="1"/>
  <c r="J7328" i="1" s="1"/>
  <c r="Q7328" i="1" a="1"/>
  <c r="Q7328" i="1" s="1"/>
  <c r="L7328" i="1" a="1"/>
  <c r="L7328" i="1" s="1"/>
  <c r="M7328" i="1" a="1"/>
  <c r="M7328" i="1" s="1"/>
  <c r="R7328" i="1" a="1"/>
  <c r="R7328" i="1" s="1"/>
  <c r="H7330" i="1"/>
  <c r="A7331" i="1"/>
  <c r="I3389" i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A7332" i="1" l="1"/>
  <c r="H7331" i="1"/>
  <c r="J7329" i="1" a="1"/>
  <c r="J7329" i="1" s="1"/>
  <c r="N7329" i="1" a="1"/>
  <c r="N7329" i="1" s="1"/>
  <c r="R7329" i="1" a="1"/>
  <c r="R7329" i="1" s="1"/>
  <c r="M7329" i="1" a="1"/>
  <c r="M7329" i="1" s="1"/>
  <c r="O7329" i="1" a="1"/>
  <c r="O7329" i="1" s="1"/>
  <c r="B7330" i="1"/>
  <c r="I7329" i="1" a="1"/>
  <c r="I7329" i="1" s="1"/>
  <c r="P7329" i="1" a="1"/>
  <c r="P7329" i="1" s="1"/>
  <c r="K7329" i="1" a="1"/>
  <c r="K7329" i="1" s="1"/>
  <c r="Q7329" i="1" a="1"/>
  <c r="Q7329" i="1" s="1"/>
  <c r="S7329" i="1" a="1"/>
  <c r="S7329" i="1" s="1"/>
  <c r="L7329" i="1" a="1"/>
  <c r="L7329" i="1" s="1"/>
  <c r="J3390" i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B7331" i="1" l="1"/>
  <c r="I7330" i="1" a="1"/>
  <c r="I7330" i="1" s="1"/>
  <c r="M7330" i="1" a="1"/>
  <c r="M7330" i="1" s="1"/>
  <c r="Q7330" i="1" a="1"/>
  <c r="Q7330" i="1" s="1"/>
  <c r="N7330" i="1" a="1"/>
  <c r="N7330" i="1" s="1"/>
  <c r="O7330" i="1" a="1"/>
  <c r="O7330" i="1" s="1"/>
  <c r="J7330" i="1" a="1"/>
  <c r="J7330" i="1" s="1"/>
  <c r="P7330" i="1" a="1"/>
  <c r="P7330" i="1" s="1"/>
  <c r="K7330" i="1" a="1"/>
  <c r="K7330" i="1" s="1"/>
  <c r="R7330" i="1" a="1"/>
  <c r="R7330" i="1" s="1"/>
  <c r="L7330" i="1" a="1"/>
  <c r="L7330" i="1" s="1"/>
  <c r="S7330" i="1" a="1"/>
  <c r="S7330" i="1" s="1"/>
  <c r="A7333" i="1"/>
  <c r="H7332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A7334" i="1" l="1"/>
  <c r="H7333" i="1"/>
  <c r="L7331" i="1" a="1"/>
  <c r="L7331" i="1" s="1"/>
  <c r="P7331" i="1" a="1"/>
  <c r="P7331" i="1" s="1"/>
  <c r="B7332" i="1"/>
  <c r="S7331" i="1" a="1"/>
  <c r="S7331" i="1" s="1"/>
  <c r="N7331" i="1" a="1"/>
  <c r="N7331" i="1" s="1"/>
  <c r="I7331" i="1" a="1"/>
  <c r="I7331" i="1" s="1"/>
  <c r="O7331" i="1" a="1"/>
  <c r="O7331" i="1" s="1"/>
  <c r="J7331" i="1" a="1"/>
  <c r="J7331" i="1" s="1"/>
  <c r="Q7331" i="1" a="1"/>
  <c r="Q7331" i="1" s="1"/>
  <c r="K7331" i="1" a="1"/>
  <c r="K7331" i="1" s="1"/>
  <c r="M7331" i="1" a="1"/>
  <c r="M7331" i="1" s="1"/>
  <c r="R7331" i="1" a="1"/>
  <c r="R7331" i="1" s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K7332" i="1" l="1" a="1"/>
  <c r="K7332" i="1" s="1"/>
  <c r="O7332" i="1" a="1"/>
  <c r="O7332" i="1" s="1"/>
  <c r="S7332" i="1" a="1"/>
  <c r="S7332" i="1" s="1"/>
  <c r="M7332" i="1" a="1"/>
  <c r="M7332" i="1" s="1"/>
  <c r="B7333" i="1"/>
  <c r="N7332" i="1" a="1"/>
  <c r="N7332" i="1" s="1"/>
  <c r="I7332" i="1" a="1"/>
  <c r="I7332" i="1" s="1"/>
  <c r="P7332" i="1" a="1"/>
  <c r="P7332" i="1" s="1"/>
  <c r="J7332" i="1" a="1"/>
  <c r="J7332" i="1" s="1"/>
  <c r="Q7332" i="1" a="1"/>
  <c r="Q7332" i="1" s="1"/>
  <c r="L7332" i="1" a="1"/>
  <c r="L7332" i="1" s="1"/>
  <c r="R7332" i="1" a="1"/>
  <c r="R7332" i="1" s="1"/>
  <c r="H7334" i="1"/>
  <c r="A7335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7335" i="1" l="1"/>
  <c r="A7336" i="1"/>
  <c r="J7333" i="1" a="1"/>
  <c r="J7333" i="1" s="1"/>
  <c r="N7333" i="1" a="1"/>
  <c r="N7333" i="1" s="1"/>
  <c r="R7333" i="1" a="1"/>
  <c r="R7333" i="1" s="1"/>
  <c r="M7333" i="1" a="1"/>
  <c r="M7333" i="1" s="1"/>
  <c r="O7333" i="1" a="1"/>
  <c r="O7333" i="1" s="1"/>
  <c r="B7334" i="1"/>
  <c r="I7333" i="1" a="1"/>
  <c r="I7333" i="1" s="1"/>
  <c r="P7333" i="1" a="1"/>
  <c r="P7333" i="1" s="1"/>
  <c r="K7333" i="1" a="1"/>
  <c r="K7333" i="1" s="1"/>
  <c r="S7333" i="1" a="1"/>
  <c r="S7333" i="1" s="1"/>
  <c r="Q7333" i="1" a="1"/>
  <c r="Q7333" i="1" s="1"/>
  <c r="L7333" i="1" a="1"/>
  <c r="L7333" i="1" s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B7335" i="1" l="1"/>
  <c r="I7334" i="1" a="1"/>
  <c r="I7334" i="1" s="1"/>
  <c r="M7334" i="1" a="1"/>
  <c r="M7334" i="1" s="1"/>
  <c r="Q7334" i="1" a="1"/>
  <c r="Q7334" i="1" s="1"/>
  <c r="L7334" i="1" a="1"/>
  <c r="L7334" i="1" s="1"/>
  <c r="S7334" i="1" a="1"/>
  <c r="S7334" i="1" s="1"/>
  <c r="N7334" i="1" a="1"/>
  <c r="N7334" i="1" s="1"/>
  <c r="O7334" i="1" a="1"/>
  <c r="O7334" i="1" s="1"/>
  <c r="J7334" i="1" a="1"/>
  <c r="J7334" i="1" s="1"/>
  <c r="P7334" i="1" a="1"/>
  <c r="P7334" i="1" s="1"/>
  <c r="K7334" i="1" a="1"/>
  <c r="K7334" i="1" s="1"/>
  <c r="R7334" i="1" a="1"/>
  <c r="R7334" i="1" s="1"/>
  <c r="H7336" i="1"/>
  <c r="A7337" i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H7337" i="1" l="1"/>
  <c r="A7338" i="1"/>
  <c r="L7335" i="1" a="1"/>
  <c r="L7335" i="1" s="1"/>
  <c r="P7335" i="1" a="1"/>
  <c r="P7335" i="1" s="1"/>
  <c r="B7336" i="1"/>
  <c r="M7335" i="1" a="1"/>
  <c r="M7335" i="1" s="1"/>
  <c r="S7335" i="1" a="1"/>
  <c r="S7335" i="1" s="1"/>
  <c r="N7335" i="1" a="1"/>
  <c r="N7335" i="1" s="1"/>
  <c r="I7335" i="1" a="1"/>
  <c r="I7335" i="1" s="1"/>
  <c r="O7335" i="1" a="1"/>
  <c r="O7335" i="1" s="1"/>
  <c r="J7335" i="1" a="1"/>
  <c r="J7335" i="1" s="1"/>
  <c r="Q7335" i="1" a="1"/>
  <c r="Q7335" i="1" s="1"/>
  <c r="R7335" i="1" a="1"/>
  <c r="R7335" i="1" s="1"/>
  <c r="K7335" i="1" a="1"/>
  <c r="K7335" i="1" s="1"/>
  <c r="B4534" i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K7336" i="1" l="1" a="1"/>
  <c r="K7336" i="1" s="1"/>
  <c r="L7336" i="1" a="1"/>
  <c r="L7336" i="1" s="1"/>
  <c r="Q7336" i="1" a="1"/>
  <c r="Q7336" i="1" s="1"/>
  <c r="M7336" i="1" a="1"/>
  <c r="M7336" i="1" s="1"/>
  <c r="R7336" i="1" a="1"/>
  <c r="R7336" i="1" s="1"/>
  <c r="S7336" i="1" a="1"/>
  <c r="S7336" i="1" s="1"/>
  <c r="I7336" i="1" a="1"/>
  <c r="I7336" i="1" s="1"/>
  <c r="N7336" i="1" a="1"/>
  <c r="N7336" i="1" s="1"/>
  <c r="J7336" i="1" a="1"/>
  <c r="J7336" i="1" s="1"/>
  <c r="O7336" i="1" a="1"/>
  <c r="O7336" i="1" s="1"/>
  <c r="P7336" i="1" a="1"/>
  <c r="P7336" i="1" s="1"/>
  <c r="B7337" i="1"/>
  <c r="H7338" i="1"/>
  <c r="A7339" i="1"/>
  <c r="M4534" i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N7337" i="1" l="1" a="1"/>
  <c r="N7337" i="1" s="1"/>
  <c r="I7337" i="1" a="1"/>
  <c r="I7337" i="1" s="1"/>
  <c r="O7337" i="1" a="1"/>
  <c r="O7337" i="1" s="1"/>
  <c r="J7337" i="1" a="1"/>
  <c r="J7337" i="1" s="1"/>
  <c r="B7338" i="1"/>
  <c r="K7337" i="1" a="1"/>
  <c r="K7337" i="1" s="1"/>
  <c r="P7337" i="1" a="1"/>
  <c r="P7337" i="1" s="1"/>
  <c r="L7337" i="1" a="1"/>
  <c r="L7337" i="1" s="1"/>
  <c r="Q7337" i="1" a="1"/>
  <c r="Q7337" i="1" s="1"/>
  <c r="M7337" i="1" a="1"/>
  <c r="M7337" i="1" s="1"/>
  <c r="R7337" i="1" a="1"/>
  <c r="R7337" i="1" s="1"/>
  <c r="S7337" i="1" a="1"/>
  <c r="S7337" i="1" s="1"/>
  <c r="H7339" i="1"/>
  <c r="A7340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7340" i="1" l="1"/>
  <c r="A7341" i="1"/>
  <c r="B7339" i="1"/>
  <c r="Q7338" i="1" a="1"/>
  <c r="Q7338" i="1" s="1"/>
  <c r="L7338" i="1" a="1"/>
  <c r="L7338" i="1" s="1"/>
  <c r="R7338" i="1" a="1"/>
  <c r="R7338" i="1" s="1"/>
  <c r="M7338" i="1" a="1"/>
  <c r="M7338" i="1" s="1"/>
  <c r="N7338" i="1" a="1"/>
  <c r="N7338" i="1" s="1"/>
  <c r="S7338" i="1" a="1"/>
  <c r="S7338" i="1" s="1"/>
  <c r="I7338" i="1" a="1"/>
  <c r="I7338" i="1" s="1"/>
  <c r="J7338" i="1" a="1"/>
  <c r="J7338" i="1" s="1"/>
  <c r="O7338" i="1" a="1"/>
  <c r="O7338" i="1" s="1"/>
  <c r="K7338" i="1" a="1"/>
  <c r="K7338" i="1" s="1"/>
  <c r="P7338" i="1" a="1"/>
  <c r="P7338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B7340" i="1" l="1"/>
  <c r="J7339" i="1" a="1"/>
  <c r="J7339" i="1" s="1"/>
  <c r="O7339" i="1" a="1"/>
  <c r="O7339" i="1" s="1"/>
  <c r="P7339" i="1" a="1"/>
  <c r="P7339" i="1" s="1"/>
  <c r="K7339" i="1" a="1"/>
  <c r="K7339" i="1" s="1"/>
  <c r="Q7339" i="1" a="1"/>
  <c r="Q7339" i="1" s="1"/>
  <c r="L7339" i="1" a="1"/>
  <c r="L7339" i="1" s="1"/>
  <c r="M7339" i="1" a="1"/>
  <c r="M7339" i="1" s="1"/>
  <c r="I7339" i="1" a="1"/>
  <c r="I7339" i="1" s="1"/>
  <c r="N7339" i="1" a="1"/>
  <c r="N7339" i="1" s="1"/>
  <c r="R7339" i="1" a="1"/>
  <c r="R7339" i="1" s="1"/>
  <c r="S7339" i="1" a="1"/>
  <c r="S7339" i="1" s="1"/>
  <c r="A7342" i="1"/>
  <c r="H7341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H7342" i="1" l="1"/>
  <c r="A7343" i="1"/>
  <c r="M7340" i="1" a="1"/>
  <c r="M7340" i="1" s="1"/>
  <c r="R7340" i="1" a="1"/>
  <c r="R7340" i="1" s="1"/>
  <c r="S7340" i="1" a="1"/>
  <c r="S7340" i="1" s="1"/>
  <c r="I7340" i="1" a="1"/>
  <c r="I7340" i="1" s="1"/>
  <c r="N7340" i="1" a="1"/>
  <c r="N7340" i="1" s="1"/>
  <c r="O7340" i="1" a="1"/>
  <c r="O7340" i="1" s="1"/>
  <c r="L7340" i="1" a="1"/>
  <c r="L7340" i="1" s="1"/>
  <c r="P7340" i="1" a="1"/>
  <c r="P7340" i="1" s="1"/>
  <c r="Q7340" i="1" a="1"/>
  <c r="Q7340" i="1" s="1"/>
  <c r="K7340" i="1" a="1"/>
  <c r="K7340" i="1" s="1"/>
  <c r="B7341" i="1"/>
  <c r="J7340" i="1" a="1"/>
  <c r="J7340" i="1" s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J7341" i="1" l="1" a="1"/>
  <c r="J7341" i="1" s="1"/>
  <c r="B7342" i="1"/>
  <c r="K7341" i="1" a="1"/>
  <c r="K7341" i="1" s="1"/>
  <c r="P7341" i="1" a="1"/>
  <c r="P7341" i="1" s="1"/>
  <c r="L7341" i="1" a="1"/>
  <c r="L7341" i="1" s="1"/>
  <c r="Q7341" i="1" a="1"/>
  <c r="Q7341" i="1" s="1"/>
  <c r="M7341" i="1" a="1"/>
  <c r="M7341" i="1" s="1"/>
  <c r="N7341" i="1" a="1"/>
  <c r="N7341" i="1" s="1"/>
  <c r="O7341" i="1" a="1"/>
  <c r="O7341" i="1" s="1"/>
  <c r="I7341" i="1" a="1"/>
  <c r="I7341" i="1" s="1"/>
  <c r="R7341" i="1" a="1"/>
  <c r="R7341" i="1" s="1"/>
  <c r="S7341" i="1" a="1"/>
  <c r="S7341" i="1" s="1"/>
  <c r="H7343" i="1"/>
  <c r="A7344" i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H7344" i="1" l="1"/>
  <c r="A7345" i="1"/>
  <c r="B7343" i="1"/>
  <c r="M7342" i="1" a="1"/>
  <c r="M7342" i="1" s="1"/>
  <c r="N7342" i="1" a="1"/>
  <c r="N7342" i="1" s="1"/>
  <c r="S7342" i="1" a="1"/>
  <c r="S7342" i="1" s="1"/>
  <c r="I7342" i="1" a="1"/>
  <c r="I7342" i="1" s="1"/>
  <c r="J7342" i="1" a="1"/>
  <c r="J7342" i="1" s="1"/>
  <c r="O7342" i="1" a="1"/>
  <c r="O7342" i="1" s="1"/>
  <c r="K7342" i="1" a="1"/>
  <c r="K7342" i="1" s="1"/>
  <c r="L7342" i="1" a="1"/>
  <c r="L7342" i="1" s="1"/>
  <c r="P7342" i="1" a="1"/>
  <c r="P7342" i="1" s="1"/>
  <c r="Q7342" i="1" a="1"/>
  <c r="Q7342" i="1" s="1"/>
  <c r="R7342" i="1" a="1"/>
  <c r="R7342" i="1" s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B7344" i="1" l="1"/>
  <c r="P7343" i="1" a="1"/>
  <c r="P7343" i="1" s="1"/>
  <c r="K7343" i="1" a="1"/>
  <c r="K7343" i="1" s="1"/>
  <c r="Q7343" i="1" a="1"/>
  <c r="Q7343" i="1" s="1"/>
  <c r="L7343" i="1" a="1"/>
  <c r="L7343" i="1" s="1"/>
  <c r="M7343" i="1" a="1"/>
  <c r="M7343" i="1" s="1"/>
  <c r="R7343" i="1" a="1"/>
  <c r="R7343" i="1" s="1"/>
  <c r="I7343" i="1" a="1"/>
  <c r="I7343" i="1" s="1"/>
  <c r="S7343" i="1" a="1"/>
  <c r="S7343" i="1" s="1"/>
  <c r="J7343" i="1" a="1"/>
  <c r="J7343" i="1" s="1"/>
  <c r="O7343" i="1" a="1"/>
  <c r="O7343" i="1" s="1"/>
  <c r="N7343" i="1" a="1"/>
  <c r="N7343" i="1" s="1"/>
  <c r="A7346" i="1"/>
  <c r="H7345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H7346" i="1" l="1"/>
  <c r="A7347" i="1"/>
  <c r="S7344" i="1" a="1"/>
  <c r="S7344" i="1" s="1"/>
  <c r="I7344" i="1" a="1"/>
  <c r="I7344" i="1" s="1"/>
  <c r="N7344" i="1" a="1"/>
  <c r="N7344" i="1" s="1"/>
  <c r="O7344" i="1" a="1"/>
  <c r="O7344" i="1" s="1"/>
  <c r="B7345" i="1"/>
  <c r="J7344" i="1" a="1"/>
  <c r="J7344" i="1" s="1"/>
  <c r="P7344" i="1" a="1"/>
  <c r="P7344" i="1" s="1"/>
  <c r="Q7344" i="1" a="1"/>
  <c r="Q7344" i="1" s="1"/>
  <c r="R7344" i="1" a="1"/>
  <c r="R7344" i="1" s="1"/>
  <c r="K7344" i="1" a="1"/>
  <c r="K7344" i="1" s="1"/>
  <c r="L7344" i="1" a="1"/>
  <c r="L7344" i="1" s="1"/>
  <c r="M7344" i="1" a="1"/>
  <c r="M7344" i="1" s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L7345" i="1" l="1" a="1"/>
  <c r="L7345" i="1" s="1"/>
  <c r="Q7345" i="1" a="1"/>
  <c r="Q7345" i="1" s="1"/>
  <c r="R7345" i="1" a="1"/>
  <c r="R7345" i="1" s="1"/>
  <c r="M7345" i="1" a="1"/>
  <c r="M7345" i="1" s="1"/>
  <c r="S7345" i="1" a="1"/>
  <c r="S7345" i="1" s="1"/>
  <c r="N7345" i="1" a="1"/>
  <c r="N7345" i="1" s="1"/>
  <c r="O7345" i="1" a="1"/>
  <c r="O7345" i="1" s="1"/>
  <c r="P7345" i="1" a="1"/>
  <c r="P7345" i="1" s="1"/>
  <c r="K7345" i="1" a="1"/>
  <c r="K7345" i="1" s="1"/>
  <c r="B7346" i="1"/>
  <c r="I7345" i="1" a="1"/>
  <c r="I7345" i="1" s="1"/>
  <c r="J7345" i="1" a="1"/>
  <c r="J7345" i="1" s="1"/>
  <c r="A7348" i="1"/>
  <c r="H7347" i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7347" i="1" l="1"/>
  <c r="I7346" i="1" a="1"/>
  <c r="I7346" i="1" s="1"/>
  <c r="N7346" i="1" a="1"/>
  <c r="N7346" i="1" s="1"/>
  <c r="J7346" i="1" a="1"/>
  <c r="J7346" i="1" s="1"/>
  <c r="S7346" i="1" a="1"/>
  <c r="S7346" i="1" s="1"/>
  <c r="O7346" i="1" a="1"/>
  <c r="O7346" i="1" s="1"/>
  <c r="K7346" i="1" a="1"/>
  <c r="K7346" i="1" s="1"/>
  <c r="L7346" i="1" a="1"/>
  <c r="L7346" i="1" s="1"/>
  <c r="M7346" i="1" a="1"/>
  <c r="M7346" i="1" s="1"/>
  <c r="R7346" i="1" a="1"/>
  <c r="R7346" i="1" s="1"/>
  <c r="P7346" i="1" a="1"/>
  <c r="P7346" i="1" s="1"/>
  <c r="Q7346" i="1" a="1"/>
  <c r="Q7346" i="1" s="1"/>
  <c r="A7349" i="1"/>
  <c r="H7348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H7349" i="1" l="1"/>
  <c r="A7350" i="1"/>
  <c r="J7347" i="1" a="1"/>
  <c r="J7347" i="1" s="1"/>
  <c r="S7347" i="1" a="1"/>
  <c r="S7347" i="1" s="1"/>
  <c r="O7347" i="1" a="1"/>
  <c r="O7347" i="1" s="1"/>
  <c r="K7347" i="1" a="1"/>
  <c r="K7347" i="1" s="1"/>
  <c r="P7347" i="1" a="1"/>
  <c r="P7347" i="1" s="1"/>
  <c r="B7348" i="1"/>
  <c r="L7347" i="1" a="1"/>
  <c r="L7347" i="1" s="1"/>
  <c r="Q7347" i="1" a="1"/>
  <c r="Q7347" i="1" s="1"/>
  <c r="I7347" i="1" a="1"/>
  <c r="I7347" i="1" s="1"/>
  <c r="R7347" i="1" a="1"/>
  <c r="R7347" i="1" s="1"/>
  <c r="M7347" i="1" a="1"/>
  <c r="M7347" i="1" s="1"/>
  <c r="N7347" i="1" a="1"/>
  <c r="N7347" i="1" s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K7348" i="1" l="1" a="1"/>
  <c r="K7348" i="1" s="1"/>
  <c r="P7348" i="1" a="1"/>
  <c r="P7348" i="1" s="1"/>
  <c r="B7349" i="1"/>
  <c r="L7348" i="1" a="1"/>
  <c r="L7348" i="1" s="1"/>
  <c r="Q7348" i="1" a="1"/>
  <c r="Q7348" i="1" s="1"/>
  <c r="M7348" i="1" a="1"/>
  <c r="M7348" i="1" s="1"/>
  <c r="N7348" i="1" a="1"/>
  <c r="N7348" i="1" s="1"/>
  <c r="O7348" i="1" a="1"/>
  <c r="O7348" i="1" s="1"/>
  <c r="J7348" i="1" a="1"/>
  <c r="J7348" i="1" s="1"/>
  <c r="R7348" i="1" a="1"/>
  <c r="R7348" i="1" s="1"/>
  <c r="S7348" i="1" a="1"/>
  <c r="S7348" i="1" s="1"/>
  <c r="I7348" i="1" a="1"/>
  <c r="I7348" i="1" s="1"/>
  <c r="H7350" i="1"/>
  <c r="A7351" i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7351" i="1" l="1"/>
  <c r="A7352" i="1"/>
  <c r="P7349" i="1" a="1"/>
  <c r="P7349" i="1" s="1"/>
  <c r="B7350" i="1"/>
  <c r="L7349" i="1" a="1"/>
  <c r="L7349" i="1" s="1"/>
  <c r="Q7349" i="1" a="1"/>
  <c r="Q7349" i="1" s="1"/>
  <c r="M7349" i="1" a="1"/>
  <c r="M7349" i="1" s="1"/>
  <c r="R7349" i="1" a="1"/>
  <c r="R7349" i="1" s="1"/>
  <c r="I7349" i="1" a="1"/>
  <c r="I7349" i="1" s="1"/>
  <c r="J7349" i="1" a="1"/>
  <c r="J7349" i="1" s="1"/>
  <c r="S7349" i="1" a="1"/>
  <c r="S7349" i="1" s="1"/>
  <c r="K7349" i="1" a="1"/>
  <c r="K7349" i="1" s="1"/>
  <c r="N7349" i="1" a="1"/>
  <c r="N7349" i="1" s="1"/>
  <c r="O7349" i="1" a="1"/>
  <c r="O7349" i="1" s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B7351" i="1" l="1"/>
  <c r="L7350" i="1" a="1"/>
  <c r="L7350" i="1" s="1"/>
  <c r="Q7350" i="1" a="1"/>
  <c r="Q7350" i="1" s="1"/>
  <c r="M7350" i="1" a="1"/>
  <c r="M7350" i="1" s="1"/>
  <c r="I7350" i="1" a="1"/>
  <c r="I7350" i="1" s="1"/>
  <c r="R7350" i="1" a="1"/>
  <c r="R7350" i="1" s="1"/>
  <c r="N7350" i="1" a="1"/>
  <c r="N7350" i="1" s="1"/>
  <c r="O7350" i="1" a="1"/>
  <c r="O7350" i="1" s="1"/>
  <c r="P7350" i="1" a="1"/>
  <c r="P7350" i="1" s="1"/>
  <c r="J7350" i="1" a="1"/>
  <c r="J7350" i="1" s="1"/>
  <c r="K7350" i="1" a="1"/>
  <c r="K7350" i="1" s="1"/>
  <c r="S7350" i="1" a="1"/>
  <c r="S7350" i="1" s="1"/>
  <c r="A7353" i="1"/>
  <c r="H7352" i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A7354" i="1" l="1"/>
  <c r="H7353" i="1"/>
  <c r="M7351" i="1" a="1"/>
  <c r="M7351" i="1" s="1"/>
  <c r="I7351" i="1" a="1"/>
  <c r="I7351" i="1" s="1"/>
  <c r="R7351" i="1" a="1"/>
  <c r="R7351" i="1" s="1"/>
  <c r="N7351" i="1" a="1"/>
  <c r="N7351" i="1" s="1"/>
  <c r="J7351" i="1" a="1"/>
  <c r="J7351" i="1" s="1"/>
  <c r="S7351" i="1" a="1"/>
  <c r="S7351" i="1" s="1"/>
  <c r="K7351" i="1" a="1"/>
  <c r="K7351" i="1" s="1"/>
  <c r="B7352" i="1"/>
  <c r="L7351" i="1" a="1"/>
  <c r="L7351" i="1" s="1"/>
  <c r="O7351" i="1" a="1"/>
  <c r="O7351" i="1" s="1"/>
  <c r="P7351" i="1" a="1"/>
  <c r="P7351" i="1" s="1"/>
  <c r="Q7351" i="1" a="1"/>
  <c r="Q7351" i="1" s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I7352" i="1" l="1" a="1"/>
  <c r="I7352" i="1" s="1"/>
  <c r="R7352" i="1" a="1"/>
  <c r="R7352" i="1" s="1"/>
  <c r="N7352" i="1" a="1"/>
  <c r="N7352" i="1" s="1"/>
  <c r="S7352" i="1" a="1"/>
  <c r="S7352" i="1" s="1"/>
  <c r="J7352" i="1" a="1"/>
  <c r="J7352" i="1" s="1"/>
  <c r="O7352" i="1" a="1"/>
  <c r="O7352" i="1" s="1"/>
  <c r="K7352" i="1" a="1"/>
  <c r="K7352" i="1" s="1"/>
  <c r="P7352" i="1" a="1"/>
  <c r="P7352" i="1" s="1"/>
  <c r="Q7352" i="1" a="1"/>
  <c r="Q7352" i="1" s="1"/>
  <c r="M7352" i="1" a="1"/>
  <c r="M7352" i="1" s="1"/>
  <c r="B7353" i="1"/>
  <c r="L7352" i="1" a="1"/>
  <c r="L7352" i="1" s="1"/>
  <c r="H7354" i="1"/>
  <c r="A7355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H7355" i="1" l="1"/>
  <c r="A7356" i="1"/>
  <c r="J7353" i="1" a="1"/>
  <c r="J7353" i="1" s="1"/>
  <c r="S7353" i="1" a="1"/>
  <c r="S7353" i="1" s="1"/>
  <c r="O7353" i="1" a="1"/>
  <c r="O7353" i="1" s="1"/>
  <c r="K7353" i="1" a="1"/>
  <c r="K7353" i="1" s="1"/>
  <c r="P7353" i="1" a="1"/>
  <c r="P7353" i="1" s="1"/>
  <c r="B7354" i="1"/>
  <c r="L7353" i="1" a="1"/>
  <c r="L7353" i="1" s="1"/>
  <c r="M7353" i="1" a="1"/>
  <c r="M7353" i="1" s="1"/>
  <c r="N7353" i="1" a="1"/>
  <c r="N7353" i="1" s="1"/>
  <c r="I7353" i="1" a="1"/>
  <c r="I7353" i="1" s="1"/>
  <c r="Q7353" i="1" a="1"/>
  <c r="Q7353" i="1" s="1"/>
  <c r="R7353" i="1" a="1"/>
  <c r="R7353" i="1" s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B7355" i="1" l="1"/>
  <c r="O7354" i="1" a="1"/>
  <c r="O7354" i="1" s="1"/>
  <c r="K7354" i="1" a="1"/>
  <c r="K7354" i="1" s="1"/>
  <c r="P7354" i="1" a="1"/>
  <c r="P7354" i="1" s="1"/>
  <c r="L7354" i="1" a="1"/>
  <c r="L7354" i="1" s="1"/>
  <c r="Q7354" i="1" a="1"/>
  <c r="Q7354" i="1" s="1"/>
  <c r="I7354" i="1" a="1"/>
  <c r="I7354" i="1" s="1"/>
  <c r="R7354" i="1" a="1"/>
  <c r="R7354" i="1" s="1"/>
  <c r="J7354" i="1" a="1"/>
  <c r="J7354" i="1" s="1"/>
  <c r="S7354" i="1" a="1"/>
  <c r="S7354" i="1" s="1"/>
  <c r="M7354" i="1" a="1"/>
  <c r="M7354" i="1" s="1"/>
  <c r="N7354" i="1" a="1"/>
  <c r="N7354" i="1" s="1"/>
  <c r="H7356" i="1"/>
  <c r="A7357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H7357" i="1" l="1"/>
  <c r="A7358" i="1"/>
  <c r="K7355" i="1" a="1"/>
  <c r="K7355" i="1" s="1"/>
  <c r="P7355" i="1" a="1"/>
  <c r="P7355" i="1" s="1"/>
  <c r="B7356" i="1"/>
  <c r="L7355" i="1" a="1"/>
  <c r="L7355" i="1" s="1"/>
  <c r="Q7355" i="1" a="1"/>
  <c r="Q7355" i="1" s="1"/>
  <c r="M7355" i="1" a="1"/>
  <c r="M7355" i="1" s="1"/>
  <c r="N7355" i="1" a="1"/>
  <c r="N7355" i="1" s="1"/>
  <c r="O7355" i="1" a="1"/>
  <c r="O7355" i="1" s="1"/>
  <c r="R7355" i="1" a="1"/>
  <c r="R7355" i="1" s="1"/>
  <c r="S7355" i="1" a="1"/>
  <c r="S7355" i="1" s="1"/>
  <c r="J7355" i="1" a="1"/>
  <c r="J7355" i="1" s="1"/>
  <c r="I7355" i="1" a="1"/>
  <c r="I7355" i="1" s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L7356" i="1" l="1" a="1"/>
  <c r="L7356" i="1" s="1"/>
  <c r="Q7356" i="1" a="1"/>
  <c r="Q7356" i="1" s="1"/>
  <c r="M7356" i="1" a="1"/>
  <c r="M7356" i="1" s="1"/>
  <c r="I7356" i="1" a="1"/>
  <c r="I7356" i="1" s="1"/>
  <c r="R7356" i="1" a="1"/>
  <c r="R7356" i="1" s="1"/>
  <c r="S7356" i="1" a="1"/>
  <c r="S7356" i="1" s="1"/>
  <c r="J7356" i="1" a="1"/>
  <c r="J7356" i="1" s="1"/>
  <c r="K7356" i="1" a="1"/>
  <c r="K7356" i="1" s="1"/>
  <c r="B7357" i="1"/>
  <c r="P7356" i="1" a="1"/>
  <c r="P7356" i="1" s="1"/>
  <c r="N7356" i="1" a="1"/>
  <c r="N7356" i="1" s="1"/>
  <c r="O7356" i="1" a="1"/>
  <c r="O7356" i="1" s="1"/>
  <c r="H7358" i="1"/>
  <c r="A7359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7360" i="1" l="1"/>
  <c r="H7359" i="1"/>
  <c r="Q7357" i="1" a="1"/>
  <c r="Q7357" i="1" s="1"/>
  <c r="M7357" i="1" a="1"/>
  <c r="M7357" i="1" s="1"/>
  <c r="R7357" i="1" a="1"/>
  <c r="R7357" i="1" s="1"/>
  <c r="I7357" i="1" a="1"/>
  <c r="I7357" i="1" s="1"/>
  <c r="N7357" i="1" a="1"/>
  <c r="N7357" i="1" s="1"/>
  <c r="J7357" i="1" a="1"/>
  <c r="J7357" i="1" s="1"/>
  <c r="S7357" i="1" a="1"/>
  <c r="S7357" i="1" s="1"/>
  <c r="O7357" i="1" a="1"/>
  <c r="O7357" i="1" s="1"/>
  <c r="P7357" i="1" a="1"/>
  <c r="P7357" i="1" s="1"/>
  <c r="K7357" i="1" a="1"/>
  <c r="K7357" i="1" s="1"/>
  <c r="L7357" i="1" a="1"/>
  <c r="L7357" i="1" s="1"/>
  <c r="B7358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B7359" i="1" l="1"/>
  <c r="I7358" i="1" a="1"/>
  <c r="I7358" i="1" s="1"/>
  <c r="R7358" i="1" a="1"/>
  <c r="R7358" i="1" s="1"/>
  <c r="N7358" i="1" a="1"/>
  <c r="N7358" i="1" s="1"/>
  <c r="J7358" i="1" a="1"/>
  <c r="J7358" i="1" s="1"/>
  <c r="S7358" i="1" a="1"/>
  <c r="S7358" i="1" s="1"/>
  <c r="O7358" i="1" a="1"/>
  <c r="O7358" i="1" s="1"/>
  <c r="K7358" i="1" a="1"/>
  <c r="K7358" i="1" s="1"/>
  <c r="L7358" i="1" a="1"/>
  <c r="L7358" i="1" s="1"/>
  <c r="M7358" i="1" a="1"/>
  <c r="M7358" i="1" s="1"/>
  <c r="P7358" i="1" a="1"/>
  <c r="P7358" i="1" s="1"/>
  <c r="Q7358" i="1" a="1"/>
  <c r="Q7358" i="1" s="1"/>
  <c r="A7361" i="1"/>
  <c r="H7360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7362" i="1" l="1"/>
  <c r="H7361" i="1"/>
  <c r="N7359" i="1" a="1"/>
  <c r="N7359" i="1" s="1"/>
  <c r="J7359" i="1" a="1"/>
  <c r="J7359" i="1" s="1"/>
  <c r="S7359" i="1" a="1"/>
  <c r="S7359" i="1" s="1"/>
  <c r="O7359" i="1" a="1"/>
  <c r="O7359" i="1" s="1"/>
  <c r="K7359" i="1" a="1"/>
  <c r="K7359" i="1" s="1"/>
  <c r="P7359" i="1" a="1"/>
  <c r="P7359" i="1" s="1"/>
  <c r="Q7359" i="1" a="1"/>
  <c r="Q7359" i="1" s="1"/>
  <c r="I7359" i="1" a="1"/>
  <c r="I7359" i="1" s="1"/>
  <c r="R7359" i="1" a="1"/>
  <c r="R7359" i="1" s="1"/>
  <c r="B7360" i="1"/>
  <c r="M7359" i="1" a="1"/>
  <c r="M7359" i="1" s="1"/>
  <c r="L7359" i="1" a="1"/>
  <c r="L7359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J7360" i="1" l="1" a="1"/>
  <c r="J7360" i="1" s="1"/>
  <c r="O7360" i="1" a="1"/>
  <c r="O7360" i="1" s="1"/>
  <c r="K7360" i="1" a="1"/>
  <c r="K7360" i="1" s="1"/>
  <c r="Q7360" i="1" a="1"/>
  <c r="Q7360" i="1" s="1"/>
  <c r="L7360" i="1" a="1"/>
  <c r="L7360" i="1" s="1"/>
  <c r="R7360" i="1" a="1"/>
  <c r="R7360" i="1" s="1"/>
  <c r="P7360" i="1" a="1"/>
  <c r="P7360" i="1" s="1"/>
  <c r="S7360" i="1" a="1"/>
  <c r="S7360" i="1" s="1"/>
  <c r="B7361" i="1"/>
  <c r="I7360" i="1" a="1"/>
  <c r="I7360" i="1" s="1"/>
  <c r="M7360" i="1" a="1"/>
  <c r="M7360" i="1" s="1"/>
  <c r="N7360" i="1" a="1"/>
  <c r="N7360" i="1" s="1"/>
  <c r="H7362" i="1"/>
  <c r="A7363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K7361" i="1" l="1" a="1"/>
  <c r="K7361" i="1" s="1"/>
  <c r="P7361" i="1" a="1"/>
  <c r="P7361" i="1" s="1"/>
  <c r="B7362" i="1"/>
  <c r="I7361" i="1" a="1"/>
  <c r="I7361" i="1" s="1"/>
  <c r="O7361" i="1" a="1"/>
  <c r="O7361" i="1" s="1"/>
  <c r="J7361" i="1" a="1"/>
  <c r="J7361" i="1" s="1"/>
  <c r="Q7361" i="1" a="1"/>
  <c r="Q7361" i="1" s="1"/>
  <c r="L7361" i="1" a="1"/>
  <c r="L7361" i="1" s="1"/>
  <c r="R7361" i="1" a="1"/>
  <c r="R7361" i="1" s="1"/>
  <c r="S7361" i="1" a="1"/>
  <c r="S7361" i="1" s="1"/>
  <c r="M7361" i="1" a="1"/>
  <c r="M7361" i="1" s="1"/>
  <c r="N7361" i="1" a="1"/>
  <c r="N7361" i="1" s="1"/>
  <c r="H7363" i="1"/>
  <c r="A7364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B7363" i="1" l="1"/>
  <c r="P7362" i="1" a="1"/>
  <c r="P7362" i="1" s="1"/>
  <c r="L7362" i="1" a="1"/>
  <c r="L7362" i="1" s="1"/>
  <c r="Q7362" i="1" a="1"/>
  <c r="Q7362" i="1" s="1"/>
  <c r="I7362" i="1" a="1"/>
  <c r="I7362" i="1" s="1"/>
  <c r="O7362" i="1" a="1"/>
  <c r="O7362" i="1" s="1"/>
  <c r="J7362" i="1" a="1"/>
  <c r="J7362" i="1" s="1"/>
  <c r="N7362" i="1" a="1"/>
  <c r="N7362" i="1" s="1"/>
  <c r="R7362" i="1" a="1"/>
  <c r="R7362" i="1" s="1"/>
  <c r="S7362" i="1" a="1"/>
  <c r="S7362" i="1" s="1"/>
  <c r="M7362" i="1" a="1"/>
  <c r="M7362" i="1" s="1"/>
  <c r="K7362" i="1" a="1"/>
  <c r="K7362" i="1" s="1"/>
  <c r="H7364" i="1"/>
  <c r="A7365" i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H7365" i="1" l="1"/>
  <c r="A7366" i="1"/>
  <c r="Q7363" i="1" a="1"/>
  <c r="Q7363" i="1" s="1"/>
  <c r="M7363" i="1" a="1"/>
  <c r="M7363" i="1" s="1"/>
  <c r="R7363" i="1" a="1"/>
  <c r="R7363" i="1" s="1"/>
  <c r="I7363" i="1" a="1"/>
  <c r="I7363" i="1" s="1"/>
  <c r="N7363" i="1" a="1"/>
  <c r="N7363" i="1" s="1"/>
  <c r="S7363" i="1" a="1"/>
  <c r="S7363" i="1" s="1"/>
  <c r="L7363" i="1" a="1"/>
  <c r="L7363" i="1" s="1"/>
  <c r="O7363" i="1" a="1"/>
  <c r="O7363" i="1" s="1"/>
  <c r="P7363" i="1" a="1"/>
  <c r="P7363" i="1" s="1"/>
  <c r="J7363" i="1" a="1"/>
  <c r="J7363" i="1" s="1"/>
  <c r="K7363" i="1" a="1"/>
  <c r="K7363" i="1" s="1"/>
  <c r="B7364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7364" i="1" l="1" a="1"/>
  <c r="M7364" i="1" s="1"/>
  <c r="J7364" i="1" a="1"/>
  <c r="J7364" i="1" s="1"/>
  <c r="B7365" i="1"/>
  <c r="K7364" i="1" a="1"/>
  <c r="K7364" i="1" s="1"/>
  <c r="P7364" i="1" a="1"/>
  <c r="P7364" i="1" s="1"/>
  <c r="L7364" i="1" a="1"/>
  <c r="L7364" i="1" s="1"/>
  <c r="Q7364" i="1" a="1"/>
  <c r="Q7364" i="1" s="1"/>
  <c r="N7364" i="1" a="1"/>
  <c r="N7364" i="1" s="1"/>
  <c r="O7364" i="1" a="1"/>
  <c r="O7364" i="1" s="1"/>
  <c r="R7364" i="1" a="1"/>
  <c r="R7364" i="1" s="1"/>
  <c r="S7364" i="1" a="1"/>
  <c r="S7364" i="1" s="1"/>
  <c r="I7364" i="1" a="1"/>
  <c r="I7364" i="1" s="1"/>
  <c r="H7366" i="1"/>
  <c r="A7367" i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A7368" i="1" l="1"/>
  <c r="H7367" i="1"/>
  <c r="I7365" i="1" a="1"/>
  <c r="I7365" i="1" s="1"/>
  <c r="N7365" i="1" a="1"/>
  <c r="N7365" i="1" s="1"/>
  <c r="R7365" i="1" a="1"/>
  <c r="R7365" i="1" s="1"/>
  <c r="M7365" i="1" a="1"/>
  <c r="M7365" i="1" s="1"/>
  <c r="S7365" i="1" a="1"/>
  <c r="S7365" i="1" s="1"/>
  <c r="J7365" i="1" a="1"/>
  <c r="J7365" i="1" s="1"/>
  <c r="O7365" i="1" a="1"/>
  <c r="O7365" i="1" s="1"/>
  <c r="Q7365" i="1" a="1"/>
  <c r="Q7365" i="1" s="1"/>
  <c r="B7366" i="1"/>
  <c r="K7365" i="1" a="1"/>
  <c r="K7365" i="1" s="1"/>
  <c r="L7365" i="1" a="1"/>
  <c r="L7365" i="1" s="1"/>
  <c r="P7365" i="1" a="1"/>
  <c r="P7365" i="1" s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7367" i="1" l="1"/>
  <c r="J7366" i="1" a="1"/>
  <c r="J7366" i="1" s="1"/>
  <c r="S7366" i="1" a="1"/>
  <c r="S7366" i="1" s="1"/>
  <c r="K7366" i="1" a="1"/>
  <c r="K7366" i="1" s="1"/>
  <c r="P7366" i="1" a="1"/>
  <c r="P7366" i="1" s="1"/>
  <c r="Q7366" i="1" a="1"/>
  <c r="Q7366" i="1" s="1"/>
  <c r="L7366" i="1" a="1"/>
  <c r="L7366" i="1" s="1"/>
  <c r="O7366" i="1" a="1"/>
  <c r="O7366" i="1" s="1"/>
  <c r="R7366" i="1" a="1"/>
  <c r="R7366" i="1" s="1"/>
  <c r="I7366" i="1" a="1"/>
  <c r="I7366" i="1" s="1"/>
  <c r="N7366" i="1" a="1"/>
  <c r="N7366" i="1" s="1"/>
  <c r="M7366" i="1" a="1"/>
  <c r="M7366" i="1" s="1"/>
  <c r="A7369" i="1"/>
  <c r="H7368" i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7369" i="1" l="1"/>
  <c r="A7370" i="1"/>
  <c r="O7367" i="1" a="1"/>
  <c r="O7367" i="1" s="1"/>
  <c r="M7367" i="1" a="1"/>
  <c r="M7367" i="1" s="1"/>
  <c r="R7367" i="1" a="1"/>
  <c r="R7367" i="1" s="1"/>
  <c r="I7367" i="1" a="1"/>
  <c r="I7367" i="1" s="1"/>
  <c r="N7367" i="1" a="1"/>
  <c r="N7367" i="1" s="1"/>
  <c r="S7367" i="1" a="1"/>
  <c r="S7367" i="1" s="1"/>
  <c r="B7368" i="1"/>
  <c r="P7367" i="1" a="1"/>
  <c r="P7367" i="1" s="1"/>
  <c r="Q7367" i="1" a="1"/>
  <c r="Q7367" i="1" s="1"/>
  <c r="J7367" i="1" a="1"/>
  <c r="J7367" i="1" s="1"/>
  <c r="K7367" i="1" a="1"/>
  <c r="K7367" i="1" s="1"/>
  <c r="L7367" i="1" a="1"/>
  <c r="L7367" i="1" s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H7370" i="1" l="1"/>
  <c r="A7371" i="1"/>
  <c r="P7368" i="1" a="1"/>
  <c r="P7368" i="1" s="1"/>
  <c r="B7369" i="1"/>
  <c r="J7368" i="1" a="1"/>
  <c r="J7368" i="1" s="1"/>
  <c r="K7368" i="1" a="1"/>
  <c r="K7368" i="1" s="1"/>
  <c r="L7368" i="1" a="1"/>
  <c r="L7368" i="1" s="1"/>
  <c r="Q7368" i="1" a="1"/>
  <c r="Q7368" i="1" s="1"/>
  <c r="M7368" i="1" a="1"/>
  <c r="M7368" i="1" s="1"/>
  <c r="N7368" i="1" a="1"/>
  <c r="N7368" i="1" s="1"/>
  <c r="O7368" i="1" a="1"/>
  <c r="O7368" i="1" s="1"/>
  <c r="S7368" i="1" a="1"/>
  <c r="S7368" i="1" s="1"/>
  <c r="I7368" i="1" a="1"/>
  <c r="I7368" i="1" s="1"/>
  <c r="R7368" i="1" a="1"/>
  <c r="R7368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L7369" i="1" l="1" a="1"/>
  <c r="L7369" i="1" s="1"/>
  <c r="M7369" i="1" a="1"/>
  <c r="M7369" i="1" s="1"/>
  <c r="N7369" i="1" a="1"/>
  <c r="N7369" i="1" s="1"/>
  <c r="S7369" i="1" a="1"/>
  <c r="S7369" i="1" s="1"/>
  <c r="I7369" i="1" a="1"/>
  <c r="I7369" i="1" s="1"/>
  <c r="J7369" i="1" a="1"/>
  <c r="J7369" i="1" s="1"/>
  <c r="O7369" i="1" a="1"/>
  <c r="O7369" i="1" s="1"/>
  <c r="R7369" i="1" a="1"/>
  <c r="R7369" i="1" s="1"/>
  <c r="B7370" i="1"/>
  <c r="K7369" i="1" a="1"/>
  <c r="K7369" i="1" s="1"/>
  <c r="P7369" i="1" a="1"/>
  <c r="P7369" i="1" s="1"/>
  <c r="Q7369" i="1" a="1"/>
  <c r="Q7369" i="1" s="1"/>
  <c r="H7371" i="1"/>
  <c r="A7372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7373" i="1" l="1"/>
  <c r="H7372" i="1"/>
  <c r="B7371" i="1"/>
  <c r="M7370" i="1" a="1"/>
  <c r="M7370" i="1" s="1"/>
  <c r="K7370" i="1" a="1"/>
  <c r="K7370" i="1" s="1"/>
  <c r="P7370" i="1" a="1"/>
  <c r="P7370" i="1" s="1"/>
  <c r="Q7370" i="1" a="1"/>
  <c r="Q7370" i="1" s="1"/>
  <c r="L7370" i="1" a="1"/>
  <c r="L7370" i="1" s="1"/>
  <c r="R7370" i="1" a="1"/>
  <c r="R7370" i="1" s="1"/>
  <c r="O7370" i="1" a="1"/>
  <c r="O7370" i="1" s="1"/>
  <c r="I7370" i="1" a="1"/>
  <c r="I7370" i="1" s="1"/>
  <c r="S7370" i="1" a="1"/>
  <c r="S7370" i="1" s="1"/>
  <c r="J7370" i="1" a="1"/>
  <c r="J7370" i="1" s="1"/>
  <c r="N7370" i="1" a="1"/>
  <c r="N7370" i="1" s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I7371" i="1" l="1" a="1"/>
  <c r="I7371" i="1" s="1"/>
  <c r="R7371" i="1" a="1"/>
  <c r="R7371" i="1" s="1"/>
  <c r="M7371" i="1" a="1"/>
  <c r="M7371" i="1" s="1"/>
  <c r="N7371" i="1" a="1"/>
  <c r="N7371" i="1" s="1"/>
  <c r="S7371" i="1" a="1"/>
  <c r="S7371" i="1" s="1"/>
  <c r="J7371" i="1" a="1"/>
  <c r="J7371" i="1" s="1"/>
  <c r="O7371" i="1" a="1"/>
  <c r="O7371" i="1" s="1"/>
  <c r="B7372" i="1"/>
  <c r="P7371" i="1" a="1"/>
  <c r="P7371" i="1" s="1"/>
  <c r="Q7371" i="1" a="1"/>
  <c r="Q7371" i="1" s="1"/>
  <c r="K7371" i="1" a="1"/>
  <c r="K7371" i="1" s="1"/>
  <c r="L7371" i="1" a="1"/>
  <c r="L7371" i="1" s="1"/>
  <c r="H7373" i="1"/>
  <c r="A7374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N7372" i="1" l="1" a="1"/>
  <c r="N7372" i="1" s="1"/>
  <c r="S7372" i="1" a="1"/>
  <c r="S7372" i="1" s="1"/>
  <c r="K7372" i="1" a="1"/>
  <c r="K7372" i="1" s="1"/>
  <c r="P7372" i="1" a="1"/>
  <c r="P7372" i="1" s="1"/>
  <c r="L7372" i="1" a="1"/>
  <c r="L7372" i="1" s="1"/>
  <c r="Q7372" i="1" a="1"/>
  <c r="Q7372" i="1" s="1"/>
  <c r="J7372" i="1" a="1"/>
  <c r="J7372" i="1" s="1"/>
  <c r="B7373" i="1"/>
  <c r="M7372" i="1" a="1"/>
  <c r="M7372" i="1" s="1"/>
  <c r="O7372" i="1" a="1"/>
  <c r="O7372" i="1" s="1"/>
  <c r="I7372" i="1" a="1"/>
  <c r="I7372" i="1" s="1"/>
  <c r="R7372" i="1" a="1"/>
  <c r="R7372" i="1" s="1"/>
  <c r="H7374" i="1"/>
  <c r="A7375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H7375" i="1" l="1"/>
  <c r="A7376" i="1"/>
  <c r="O7373" i="1" a="1"/>
  <c r="O7373" i="1" s="1"/>
  <c r="M7373" i="1" a="1"/>
  <c r="M7373" i="1" s="1"/>
  <c r="N7373" i="1" a="1"/>
  <c r="N7373" i="1" s="1"/>
  <c r="S7373" i="1" a="1"/>
  <c r="S7373" i="1" s="1"/>
  <c r="I7373" i="1" a="1"/>
  <c r="I7373" i="1" s="1"/>
  <c r="J7373" i="1" a="1"/>
  <c r="J7373" i="1" s="1"/>
  <c r="B7374" i="1"/>
  <c r="R7373" i="1" a="1"/>
  <c r="R7373" i="1" s="1"/>
  <c r="K7373" i="1" a="1"/>
  <c r="K7373" i="1" s="1"/>
  <c r="L7373" i="1" a="1"/>
  <c r="L7373" i="1" s="1"/>
  <c r="P7373" i="1" a="1"/>
  <c r="P7373" i="1" s="1"/>
  <c r="Q7373" i="1" a="1"/>
  <c r="Q7373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7377" i="1" l="1"/>
  <c r="H7376" i="1"/>
  <c r="B7375" i="1"/>
  <c r="K7374" i="1" a="1"/>
  <c r="K7374" i="1" s="1"/>
  <c r="P7374" i="1" a="1"/>
  <c r="P7374" i="1" s="1"/>
  <c r="Q7374" i="1" a="1"/>
  <c r="Q7374" i="1" s="1"/>
  <c r="L7374" i="1" a="1"/>
  <c r="L7374" i="1" s="1"/>
  <c r="M7374" i="1" a="1"/>
  <c r="M7374" i="1" s="1"/>
  <c r="R7374" i="1" a="1"/>
  <c r="R7374" i="1" s="1"/>
  <c r="O7374" i="1" a="1"/>
  <c r="O7374" i="1" s="1"/>
  <c r="I7374" i="1" a="1"/>
  <c r="I7374" i="1" s="1"/>
  <c r="S7374" i="1" a="1"/>
  <c r="S7374" i="1" s="1"/>
  <c r="J7374" i="1" a="1"/>
  <c r="J7374" i="1" s="1"/>
  <c r="N7374" i="1" a="1"/>
  <c r="N7374" i="1" s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L7375" i="1" l="1" a="1"/>
  <c r="L7375" i="1" s="1"/>
  <c r="I7375" i="1" a="1"/>
  <c r="I7375" i="1" s="1"/>
  <c r="N7375" i="1" a="1"/>
  <c r="N7375" i="1" s="1"/>
  <c r="S7375" i="1" a="1"/>
  <c r="S7375" i="1" s="1"/>
  <c r="J7375" i="1" a="1"/>
  <c r="J7375" i="1" s="1"/>
  <c r="O7375" i="1" a="1"/>
  <c r="O7375" i="1" s="1"/>
  <c r="B7376" i="1"/>
  <c r="M7375" i="1" a="1"/>
  <c r="M7375" i="1" s="1"/>
  <c r="P7375" i="1" a="1"/>
  <c r="P7375" i="1" s="1"/>
  <c r="Q7375" i="1" a="1"/>
  <c r="Q7375" i="1" s="1"/>
  <c r="R7375" i="1" a="1"/>
  <c r="R7375" i="1" s="1"/>
  <c r="K7375" i="1" a="1"/>
  <c r="K7375" i="1" s="1"/>
  <c r="A7378" i="1"/>
  <c r="H7377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Q7376" i="1" l="1" a="1"/>
  <c r="Q7376" i="1" s="1"/>
  <c r="K7376" i="1" a="1"/>
  <c r="K7376" i="1" s="1"/>
  <c r="P7376" i="1" a="1"/>
  <c r="P7376" i="1" s="1"/>
  <c r="B7377" i="1"/>
  <c r="L7376" i="1" a="1"/>
  <c r="L7376" i="1" s="1"/>
  <c r="M7376" i="1" a="1"/>
  <c r="M7376" i="1" s="1"/>
  <c r="R7376" i="1" a="1"/>
  <c r="R7376" i="1" s="1"/>
  <c r="J7376" i="1" a="1"/>
  <c r="J7376" i="1" s="1"/>
  <c r="N7376" i="1" a="1"/>
  <c r="N7376" i="1" s="1"/>
  <c r="O7376" i="1" a="1"/>
  <c r="O7376" i="1" s="1"/>
  <c r="I7376" i="1" a="1"/>
  <c r="I7376" i="1" s="1"/>
  <c r="S7376" i="1" a="1"/>
  <c r="S7376" i="1" s="1"/>
  <c r="H7378" i="1"/>
  <c r="A7379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A7380" i="1" l="1"/>
  <c r="H7379" i="1"/>
  <c r="L7377" i="1" a="1"/>
  <c r="L7377" i="1" s="1"/>
  <c r="P7377" i="1" a="1"/>
  <c r="P7377" i="1" s="1"/>
  <c r="Q7377" i="1" a="1"/>
  <c r="Q7377" i="1" s="1"/>
  <c r="M7377" i="1" a="1"/>
  <c r="M7377" i="1" s="1"/>
  <c r="I7377" i="1" a="1"/>
  <c r="I7377" i="1" s="1"/>
  <c r="R7377" i="1" a="1"/>
  <c r="R7377" i="1" s="1"/>
  <c r="N7377" i="1" a="1"/>
  <c r="N7377" i="1" s="1"/>
  <c r="J7377" i="1" a="1"/>
  <c r="J7377" i="1" s="1"/>
  <c r="S7377" i="1" a="1"/>
  <c r="S7377" i="1" s="1"/>
  <c r="K7377" i="1" a="1"/>
  <c r="K7377" i="1" s="1"/>
  <c r="B7378" i="1"/>
  <c r="O7377" i="1" a="1"/>
  <c r="O7377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K7378" i="1" l="1" a="1"/>
  <c r="K7378" i="1" s="1"/>
  <c r="O7378" i="1" a="1"/>
  <c r="O7378" i="1" s="1"/>
  <c r="S7378" i="1" a="1"/>
  <c r="S7378" i="1" s="1"/>
  <c r="M7378" i="1" a="1"/>
  <c r="M7378" i="1" s="1"/>
  <c r="I7378" i="1" a="1"/>
  <c r="I7378" i="1" s="1"/>
  <c r="R7378" i="1" a="1"/>
  <c r="R7378" i="1" s="1"/>
  <c r="N7378" i="1" a="1"/>
  <c r="N7378" i="1" s="1"/>
  <c r="J7378" i="1" a="1"/>
  <c r="J7378" i="1" s="1"/>
  <c r="P7378" i="1" a="1"/>
  <c r="P7378" i="1" s="1"/>
  <c r="Q7378" i="1" a="1"/>
  <c r="Q7378" i="1" s="1"/>
  <c r="L7378" i="1" a="1"/>
  <c r="L7378" i="1" s="1"/>
  <c r="B7379" i="1"/>
  <c r="A7381" i="1"/>
  <c r="H7380" i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A7382" i="1" l="1"/>
  <c r="H7381" i="1"/>
  <c r="J7379" i="1" a="1"/>
  <c r="J7379" i="1" s="1"/>
  <c r="N7379" i="1" a="1"/>
  <c r="N7379" i="1" s="1"/>
  <c r="R7379" i="1" a="1"/>
  <c r="R7379" i="1" s="1"/>
  <c r="I7379" i="1" a="1"/>
  <c r="I7379" i="1" s="1"/>
  <c r="S7379" i="1" a="1"/>
  <c r="S7379" i="1" s="1"/>
  <c r="O7379" i="1" a="1"/>
  <c r="O7379" i="1" s="1"/>
  <c r="K7379" i="1" a="1"/>
  <c r="K7379" i="1" s="1"/>
  <c r="B7380" i="1"/>
  <c r="L7379" i="1" a="1"/>
  <c r="L7379" i="1" s="1"/>
  <c r="M7379" i="1" a="1"/>
  <c r="M7379" i="1" s="1"/>
  <c r="P7379" i="1" a="1"/>
  <c r="P7379" i="1" s="1"/>
  <c r="Q7379" i="1" a="1"/>
  <c r="Q7379" i="1" s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I7380" i="1" l="1" a="1"/>
  <c r="I7380" i="1" s="1"/>
  <c r="M7380" i="1" a="1"/>
  <c r="M7380" i="1" s="1"/>
  <c r="Q7380" i="1" a="1"/>
  <c r="Q7380" i="1" s="1"/>
  <c r="J7380" i="1" a="1"/>
  <c r="J7380" i="1" s="1"/>
  <c r="S7380" i="1" a="1"/>
  <c r="S7380" i="1" s="1"/>
  <c r="O7380" i="1" a="1"/>
  <c r="O7380" i="1" s="1"/>
  <c r="K7380" i="1" a="1"/>
  <c r="K7380" i="1" s="1"/>
  <c r="P7380" i="1" a="1"/>
  <c r="P7380" i="1" s="1"/>
  <c r="B7381" i="1"/>
  <c r="N7380" i="1" a="1"/>
  <c r="N7380" i="1" s="1"/>
  <c r="R7380" i="1" a="1"/>
  <c r="R7380" i="1" s="1"/>
  <c r="L7380" i="1" a="1"/>
  <c r="L7380" i="1" s="1"/>
  <c r="H7382" i="1"/>
  <c r="A7383" i="1"/>
  <c r="H6963" i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7383" i="1" l="1"/>
  <c r="A7384" i="1"/>
  <c r="L7381" i="1" a="1"/>
  <c r="L7381" i="1" s="1"/>
  <c r="P7381" i="1" a="1"/>
  <c r="P7381" i="1" s="1"/>
  <c r="O7381" i="1" a="1"/>
  <c r="O7381" i="1" s="1"/>
  <c r="K7381" i="1" a="1"/>
  <c r="K7381" i="1" s="1"/>
  <c r="B7382" i="1"/>
  <c r="Q7381" i="1" a="1"/>
  <c r="Q7381" i="1" s="1"/>
  <c r="J7381" i="1" a="1"/>
  <c r="J7381" i="1" s="1"/>
  <c r="S7381" i="1" a="1"/>
  <c r="S7381" i="1" s="1"/>
  <c r="M7381" i="1" a="1"/>
  <c r="M7381" i="1" s="1"/>
  <c r="N7381" i="1" a="1"/>
  <c r="N7381" i="1" s="1"/>
  <c r="I7381" i="1" a="1"/>
  <c r="I7381" i="1" s="1"/>
  <c r="R7381" i="1" a="1"/>
  <c r="R7381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K7382" i="1" l="1" a="1"/>
  <c r="K7382" i="1" s="1"/>
  <c r="O7382" i="1" a="1"/>
  <c r="O7382" i="1" s="1"/>
  <c r="S7382" i="1" a="1"/>
  <c r="S7382" i="1" s="1"/>
  <c r="P7382" i="1" a="1"/>
  <c r="P7382" i="1" s="1"/>
  <c r="B7383" i="1"/>
  <c r="L7382" i="1" a="1"/>
  <c r="L7382" i="1" s="1"/>
  <c r="Q7382" i="1" a="1"/>
  <c r="Q7382" i="1" s="1"/>
  <c r="M7382" i="1" a="1"/>
  <c r="M7382" i="1" s="1"/>
  <c r="I7382" i="1" a="1"/>
  <c r="I7382" i="1" s="1"/>
  <c r="R7382" i="1" a="1"/>
  <c r="R7382" i="1" s="1"/>
  <c r="J7382" i="1" a="1"/>
  <c r="J7382" i="1" s="1"/>
  <c r="N7382" i="1" a="1"/>
  <c r="N7382" i="1" s="1"/>
  <c r="H7384" i="1"/>
  <c r="A7385" i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A7386" i="1" l="1"/>
  <c r="H7385" i="1"/>
  <c r="J7383" i="1" a="1"/>
  <c r="J7383" i="1" s="1"/>
  <c r="N7383" i="1" a="1"/>
  <c r="N7383" i="1" s="1"/>
  <c r="R7383" i="1" a="1"/>
  <c r="R7383" i="1" s="1"/>
  <c r="L7383" i="1" a="1"/>
  <c r="L7383" i="1" s="1"/>
  <c r="Q7383" i="1" a="1"/>
  <c r="Q7383" i="1" s="1"/>
  <c r="M7383" i="1" a="1"/>
  <c r="M7383" i="1" s="1"/>
  <c r="I7383" i="1" a="1"/>
  <c r="I7383" i="1" s="1"/>
  <c r="B7384" i="1"/>
  <c r="O7383" i="1" a="1"/>
  <c r="O7383" i="1" s="1"/>
  <c r="P7383" i="1" a="1"/>
  <c r="P7383" i="1" s="1"/>
  <c r="K7383" i="1" a="1"/>
  <c r="K7383" i="1" s="1"/>
  <c r="S7383" i="1" a="1"/>
  <c r="S7383" i="1" s="1"/>
  <c r="M6966" i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7384" i="1" l="1" a="1"/>
  <c r="I7384" i="1" s="1"/>
  <c r="M7384" i="1" a="1"/>
  <c r="M7384" i="1" s="1"/>
  <c r="Q7384" i="1" a="1"/>
  <c r="Q7384" i="1" s="1"/>
  <c r="R7384" i="1" a="1"/>
  <c r="R7384" i="1" s="1"/>
  <c r="N7384" i="1" a="1"/>
  <c r="N7384" i="1" s="1"/>
  <c r="J7384" i="1" a="1"/>
  <c r="J7384" i="1" s="1"/>
  <c r="S7384" i="1" a="1"/>
  <c r="S7384" i="1" s="1"/>
  <c r="K7384" i="1" a="1"/>
  <c r="K7384" i="1" s="1"/>
  <c r="B7385" i="1"/>
  <c r="L7384" i="1" a="1"/>
  <c r="L7384" i="1" s="1"/>
  <c r="P7384" i="1" a="1"/>
  <c r="P7384" i="1" s="1"/>
  <c r="O7384" i="1" a="1"/>
  <c r="O7384" i="1" s="1"/>
  <c r="A7387" i="1"/>
  <c r="H7386" i="1"/>
  <c r="I6967" i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A7388" i="1" l="1"/>
  <c r="H7387" i="1"/>
  <c r="L7385" i="1" a="1"/>
  <c r="L7385" i="1" s="1"/>
  <c r="P7385" i="1" a="1"/>
  <c r="P7385" i="1" s="1"/>
  <c r="I7385" i="1" a="1"/>
  <c r="I7385" i="1" s="1"/>
  <c r="R7385" i="1" a="1"/>
  <c r="R7385" i="1" s="1"/>
  <c r="N7385" i="1" a="1"/>
  <c r="N7385" i="1" s="1"/>
  <c r="J7385" i="1" a="1"/>
  <c r="J7385" i="1" s="1"/>
  <c r="S7385" i="1" a="1"/>
  <c r="S7385" i="1" s="1"/>
  <c r="O7385" i="1" a="1"/>
  <c r="O7385" i="1" s="1"/>
  <c r="M7385" i="1" a="1"/>
  <c r="M7385" i="1" s="1"/>
  <c r="Q7385" i="1" a="1"/>
  <c r="Q7385" i="1" s="1"/>
  <c r="K7385" i="1" a="1"/>
  <c r="K7385" i="1" s="1"/>
  <c r="B7386" i="1"/>
  <c r="H6968" i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K7386" i="1" l="1" a="1"/>
  <c r="K7386" i="1" s="1"/>
  <c r="O7386" i="1" a="1"/>
  <c r="O7386" i="1" s="1"/>
  <c r="S7386" i="1" a="1"/>
  <c r="S7386" i="1" s="1"/>
  <c r="N7386" i="1" a="1"/>
  <c r="N7386" i="1" s="1"/>
  <c r="J7386" i="1" a="1"/>
  <c r="J7386" i="1" s="1"/>
  <c r="P7386" i="1" a="1"/>
  <c r="P7386" i="1" s="1"/>
  <c r="B7387" i="1"/>
  <c r="I7386" i="1" a="1"/>
  <c r="I7386" i="1" s="1"/>
  <c r="R7386" i="1" a="1"/>
  <c r="R7386" i="1" s="1"/>
  <c r="L7386" i="1" a="1"/>
  <c r="L7386" i="1" s="1"/>
  <c r="M7386" i="1" a="1"/>
  <c r="M7386" i="1" s="1"/>
  <c r="Q7386" i="1" a="1"/>
  <c r="Q7386" i="1" s="1"/>
  <c r="A7389" i="1"/>
  <c r="H7388" i="1"/>
  <c r="O6969" i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J7387" i="1" l="1" a="1"/>
  <c r="J7387" i="1" s="1"/>
  <c r="N7387" i="1" a="1"/>
  <c r="N7387" i="1" s="1"/>
  <c r="R7387" i="1" a="1"/>
  <c r="R7387" i="1" s="1"/>
  <c r="O7387" i="1" a="1"/>
  <c r="O7387" i="1" s="1"/>
  <c r="K7387" i="1" a="1"/>
  <c r="K7387" i="1" s="1"/>
  <c r="P7387" i="1" a="1"/>
  <c r="P7387" i="1" s="1"/>
  <c r="B7388" i="1"/>
  <c r="L7387" i="1" a="1"/>
  <c r="L7387" i="1" s="1"/>
  <c r="Q7387" i="1" a="1"/>
  <c r="Q7387" i="1" s="1"/>
  <c r="I7387" i="1" a="1"/>
  <c r="I7387" i="1" s="1"/>
  <c r="S7387" i="1" a="1"/>
  <c r="S7387" i="1" s="1"/>
  <c r="M7387" i="1" a="1"/>
  <c r="M7387" i="1" s="1"/>
  <c r="A7390" i="1"/>
  <c r="H7389" i="1"/>
  <c r="A6971" i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H7390" i="1" l="1"/>
  <c r="A7391" i="1"/>
  <c r="I7388" i="1" a="1"/>
  <c r="I7388" i="1" s="1"/>
  <c r="M7388" i="1" a="1"/>
  <c r="M7388" i="1" s="1"/>
  <c r="Q7388" i="1" a="1"/>
  <c r="Q7388" i="1" s="1"/>
  <c r="K7388" i="1" a="1"/>
  <c r="K7388" i="1" s="1"/>
  <c r="P7388" i="1" a="1"/>
  <c r="P7388" i="1" s="1"/>
  <c r="B7389" i="1"/>
  <c r="L7388" i="1" a="1"/>
  <c r="L7388" i="1" s="1"/>
  <c r="N7388" i="1" a="1"/>
  <c r="N7388" i="1" s="1"/>
  <c r="O7388" i="1" a="1"/>
  <c r="O7388" i="1" s="1"/>
  <c r="R7388" i="1" a="1"/>
  <c r="R7388" i="1" s="1"/>
  <c r="S7388" i="1" a="1"/>
  <c r="S7388" i="1" s="1"/>
  <c r="J7388" i="1" a="1"/>
  <c r="J7388" i="1" s="1"/>
  <c r="L6971" i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L7389" i="1" l="1" a="1"/>
  <c r="L7389" i="1" s="1"/>
  <c r="P7389" i="1" a="1"/>
  <c r="P7389" i="1" s="1"/>
  <c r="Q7389" i="1" a="1"/>
  <c r="Q7389" i="1" s="1"/>
  <c r="M7389" i="1" a="1"/>
  <c r="M7389" i="1" s="1"/>
  <c r="I7389" i="1" a="1"/>
  <c r="I7389" i="1" s="1"/>
  <c r="R7389" i="1" a="1"/>
  <c r="R7389" i="1" s="1"/>
  <c r="J7389" i="1" a="1"/>
  <c r="J7389" i="1" s="1"/>
  <c r="S7389" i="1" a="1"/>
  <c r="S7389" i="1" s="1"/>
  <c r="K7389" i="1" a="1"/>
  <c r="K7389" i="1" s="1"/>
  <c r="B7390" i="1"/>
  <c r="N7389" i="1" a="1"/>
  <c r="N7389" i="1" s="1"/>
  <c r="O7389" i="1" a="1"/>
  <c r="O7389" i="1" s="1"/>
  <c r="H7391" i="1"/>
  <c r="A7392" i="1"/>
  <c r="H6972" i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A7393" i="1" l="1"/>
  <c r="H7392" i="1"/>
  <c r="K7390" i="1" a="1"/>
  <c r="K7390" i="1" s="1"/>
  <c r="O7390" i="1" a="1"/>
  <c r="O7390" i="1" s="1"/>
  <c r="S7390" i="1" a="1"/>
  <c r="S7390" i="1" s="1"/>
  <c r="Q7390" i="1" a="1"/>
  <c r="Q7390" i="1" s="1"/>
  <c r="M7390" i="1" a="1"/>
  <c r="M7390" i="1" s="1"/>
  <c r="I7390" i="1" a="1"/>
  <c r="I7390" i="1" s="1"/>
  <c r="R7390" i="1" a="1"/>
  <c r="R7390" i="1" s="1"/>
  <c r="N7390" i="1" a="1"/>
  <c r="N7390" i="1" s="1"/>
  <c r="L7390" i="1" a="1"/>
  <c r="L7390" i="1" s="1"/>
  <c r="P7390" i="1" a="1"/>
  <c r="P7390" i="1" s="1"/>
  <c r="B7391" i="1"/>
  <c r="J7390" i="1" a="1"/>
  <c r="J7390" i="1" s="1"/>
  <c r="J6973" i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J7391" i="1" l="1" a="1"/>
  <c r="J7391" i="1" s="1"/>
  <c r="N7391" i="1" a="1"/>
  <c r="N7391" i="1" s="1"/>
  <c r="R7391" i="1" a="1"/>
  <c r="R7391" i="1" s="1"/>
  <c r="M7391" i="1" a="1"/>
  <c r="M7391" i="1" s="1"/>
  <c r="I7391" i="1" a="1"/>
  <c r="I7391" i="1" s="1"/>
  <c r="S7391" i="1" a="1"/>
  <c r="S7391" i="1" s="1"/>
  <c r="O7391" i="1" a="1"/>
  <c r="O7391" i="1" s="1"/>
  <c r="Q7391" i="1" a="1"/>
  <c r="Q7391" i="1" s="1"/>
  <c r="K7391" i="1" a="1"/>
  <c r="K7391" i="1" s="1"/>
  <c r="B7392" i="1"/>
  <c r="L7391" i="1" a="1"/>
  <c r="L7391" i="1" s="1"/>
  <c r="P7391" i="1" a="1"/>
  <c r="P7391" i="1" s="1"/>
  <c r="A7394" i="1"/>
  <c r="H7393" i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7395" i="1" l="1"/>
  <c r="H7394" i="1"/>
  <c r="I7392" i="1" a="1"/>
  <c r="I7392" i="1" s="1"/>
  <c r="M7392" i="1" a="1"/>
  <c r="M7392" i="1" s="1"/>
  <c r="Q7392" i="1" a="1"/>
  <c r="Q7392" i="1" s="1"/>
  <c r="N7392" i="1" a="1"/>
  <c r="N7392" i="1" s="1"/>
  <c r="J7392" i="1" a="1"/>
  <c r="J7392" i="1" s="1"/>
  <c r="S7392" i="1" a="1"/>
  <c r="S7392" i="1" s="1"/>
  <c r="O7392" i="1" a="1"/>
  <c r="O7392" i="1" s="1"/>
  <c r="K7392" i="1" a="1"/>
  <c r="K7392" i="1" s="1"/>
  <c r="P7392" i="1" a="1"/>
  <c r="P7392" i="1" s="1"/>
  <c r="R7392" i="1" a="1"/>
  <c r="R7392" i="1" s="1"/>
  <c r="L7392" i="1" a="1"/>
  <c r="L7392" i="1" s="1"/>
  <c r="B7393" i="1"/>
  <c r="P6975" i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L7393" i="1" l="1" a="1"/>
  <c r="L7393" i="1" s="1"/>
  <c r="P7393" i="1" a="1"/>
  <c r="P7393" i="1" s="1"/>
  <c r="J7393" i="1" a="1"/>
  <c r="J7393" i="1" s="1"/>
  <c r="S7393" i="1" a="1"/>
  <c r="S7393" i="1" s="1"/>
  <c r="O7393" i="1" a="1"/>
  <c r="O7393" i="1" s="1"/>
  <c r="K7393" i="1" a="1"/>
  <c r="K7393" i="1" s="1"/>
  <c r="B7394" i="1"/>
  <c r="M7393" i="1" a="1"/>
  <c r="M7393" i="1" s="1"/>
  <c r="N7393" i="1" a="1"/>
  <c r="N7393" i="1" s="1"/>
  <c r="I7393" i="1" a="1"/>
  <c r="I7393" i="1" s="1"/>
  <c r="Q7393" i="1" a="1"/>
  <c r="Q7393" i="1" s="1"/>
  <c r="R7393" i="1" a="1"/>
  <c r="R7393" i="1" s="1"/>
  <c r="H7395" i="1"/>
  <c r="A7396" i="1"/>
  <c r="H6976" i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K7394" i="1" l="1" a="1"/>
  <c r="K7394" i="1" s="1"/>
  <c r="O7394" i="1" a="1"/>
  <c r="O7394" i="1" s="1"/>
  <c r="S7394" i="1" a="1"/>
  <c r="S7394" i="1" s="1"/>
  <c r="P7394" i="1" a="1"/>
  <c r="P7394" i="1" s="1"/>
  <c r="B7395" i="1"/>
  <c r="L7394" i="1" a="1"/>
  <c r="L7394" i="1" s="1"/>
  <c r="Q7394" i="1" a="1"/>
  <c r="Q7394" i="1" s="1"/>
  <c r="I7394" i="1" a="1"/>
  <c r="I7394" i="1" s="1"/>
  <c r="R7394" i="1" a="1"/>
  <c r="R7394" i="1" s="1"/>
  <c r="J7394" i="1" a="1"/>
  <c r="J7394" i="1" s="1"/>
  <c r="M7394" i="1" a="1"/>
  <c r="M7394" i="1" s="1"/>
  <c r="N7394" i="1" a="1"/>
  <c r="N7394" i="1" s="1"/>
  <c r="H7396" i="1"/>
  <c r="A7397" i="1"/>
  <c r="M6977" i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A7398" i="1" l="1"/>
  <c r="H7397" i="1"/>
  <c r="J7395" i="1" a="1"/>
  <c r="J7395" i="1" s="1"/>
  <c r="N7395" i="1" a="1"/>
  <c r="N7395" i="1" s="1"/>
  <c r="R7395" i="1" a="1"/>
  <c r="R7395" i="1" s="1"/>
  <c r="P7395" i="1" a="1"/>
  <c r="P7395" i="1" s="1"/>
  <c r="B7396" i="1"/>
  <c r="L7395" i="1" a="1"/>
  <c r="L7395" i="1" s="1"/>
  <c r="Q7395" i="1" a="1"/>
  <c r="Q7395" i="1" s="1"/>
  <c r="M7395" i="1" a="1"/>
  <c r="M7395" i="1" s="1"/>
  <c r="K7395" i="1" a="1"/>
  <c r="K7395" i="1" s="1"/>
  <c r="O7395" i="1" a="1"/>
  <c r="O7395" i="1" s="1"/>
  <c r="I7395" i="1" a="1"/>
  <c r="I7395" i="1" s="1"/>
  <c r="S7395" i="1" a="1"/>
  <c r="S7395" i="1" s="1"/>
  <c r="H6978" i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I7396" i="1" l="1" a="1"/>
  <c r="I7396" i="1" s="1"/>
  <c r="M7396" i="1" a="1"/>
  <c r="M7396" i="1" s="1"/>
  <c r="Q7396" i="1" a="1"/>
  <c r="Q7396" i="1" s="1"/>
  <c r="L7396" i="1" a="1"/>
  <c r="L7396" i="1" s="1"/>
  <c r="R7396" i="1" a="1"/>
  <c r="R7396" i="1" s="1"/>
  <c r="N7396" i="1" a="1"/>
  <c r="N7396" i="1" s="1"/>
  <c r="P7396" i="1" a="1"/>
  <c r="P7396" i="1" s="1"/>
  <c r="J7396" i="1" a="1"/>
  <c r="J7396" i="1" s="1"/>
  <c r="S7396" i="1" a="1"/>
  <c r="S7396" i="1" s="1"/>
  <c r="K7396" i="1" a="1"/>
  <c r="K7396" i="1" s="1"/>
  <c r="B7397" i="1"/>
  <c r="O7396" i="1" a="1"/>
  <c r="O7396" i="1" s="1"/>
  <c r="A7399" i="1"/>
  <c r="H7398" i="1"/>
  <c r="J6979" i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A7400" i="1" l="1"/>
  <c r="H7399" i="1"/>
  <c r="L7397" i="1" a="1"/>
  <c r="L7397" i="1" s="1"/>
  <c r="P7397" i="1" a="1"/>
  <c r="P7397" i="1" s="1"/>
  <c r="M7397" i="1" a="1"/>
  <c r="M7397" i="1" s="1"/>
  <c r="I7397" i="1" a="1"/>
  <c r="I7397" i="1" s="1"/>
  <c r="R7397" i="1" a="1"/>
  <c r="R7397" i="1" s="1"/>
  <c r="N7397" i="1" a="1"/>
  <c r="N7397" i="1" s="1"/>
  <c r="J7397" i="1" a="1"/>
  <c r="J7397" i="1" s="1"/>
  <c r="S7397" i="1" a="1"/>
  <c r="S7397" i="1" s="1"/>
  <c r="O7397" i="1" a="1"/>
  <c r="O7397" i="1" s="1"/>
  <c r="Q7397" i="1" a="1"/>
  <c r="Q7397" i="1" s="1"/>
  <c r="B7398" i="1"/>
  <c r="K7397" i="1" a="1"/>
  <c r="K7397" i="1" s="1"/>
  <c r="B6981" i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K7398" i="1" l="1" a="1"/>
  <c r="K7398" i="1" s="1"/>
  <c r="O7398" i="1" a="1"/>
  <c r="O7398" i="1" s="1"/>
  <c r="S7398" i="1" a="1"/>
  <c r="S7398" i="1" s="1"/>
  <c r="I7398" i="1" a="1"/>
  <c r="I7398" i="1" s="1"/>
  <c r="R7398" i="1" a="1"/>
  <c r="R7398" i="1" s="1"/>
  <c r="N7398" i="1" a="1"/>
  <c r="N7398" i="1" s="1"/>
  <c r="J7398" i="1" a="1"/>
  <c r="J7398" i="1" s="1"/>
  <c r="B7399" i="1"/>
  <c r="L7398" i="1" a="1"/>
  <c r="L7398" i="1" s="1"/>
  <c r="M7398" i="1" a="1"/>
  <c r="M7398" i="1" s="1"/>
  <c r="P7398" i="1" a="1"/>
  <c r="P7398" i="1" s="1"/>
  <c r="Q7398" i="1" a="1"/>
  <c r="Q7398" i="1" s="1"/>
  <c r="A7401" i="1"/>
  <c r="H7400" i="1"/>
  <c r="H6981" i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7402" i="1" l="1"/>
  <c r="H7401" i="1"/>
  <c r="J7399" i="1" a="1"/>
  <c r="J7399" i="1" s="1"/>
  <c r="N7399" i="1" a="1"/>
  <c r="N7399" i="1" s="1"/>
  <c r="R7399" i="1" a="1"/>
  <c r="R7399" i="1" s="1"/>
  <c r="S7399" i="1" a="1"/>
  <c r="S7399" i="1" s="1"/>
  <c r="O7399" i="1" a="1"/>
  <c r="O7399" i="1" s="1"/>
  <c r="K7399" i="1" a="1"/>
  <c r="K7399" i="1" s="1"/>
  <c r="P7399" i="1" a="1"/>
  <c r="P7399" i="1" s="1"/>
  <c r="B7400" i="1"/>
  <c r="Q7399" i="1" a="1"/>
  <c r="Q7399" i="1" s="1"/>
  <c r="I7399" i="1" a="1"/>
  <c r="I7399" i="1" s="1"/>
  <c r="L7399" i="1" a="1"/>
  <c r="L7399" i="1" s="1"/>
  <c r="M7399" i="1" a="1"/>
  <c r="M7399" i="1" s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I7400" i="1" l="1" a="1"/>
  <c r="I7400" i="1" s="1"/>
  <c r="M7400" i="1" a="1"/>
  <c r="M7400" i="1" s="1"/>
  <c r="Q7400" i="1" a="1"/>
  <c r="Q7400" i="1" s="1"/>
  <c r="O7400" i="1" a="1"/>
  <c r="O7400" i="1" s="1"/>
  <c r="K7400" i="1" a="1"/>
  <c r="K7400" i="1" s="1"/>
  <c r="P7400" i="1" a="1"/>
  <c r="P7400" i="1" s="1"/>
  <c r="B7401" i="1"/>
  <c r="L7400" i="1" a="1"/>
  <c r="L7400" i="1" s="1"/>
  <c r="J7400" i="1" a="1"/>
  <c r="J7400" i="1" s="1"/>
  <c r="S7400" i="1" a="1"/>
  <c r="S7400" i="1" s="1"/>
  <c r="N7400" i="1" a="1"/>
  <c r="N7400" i="1" s="1"/>
  <c r="R7400" i="1" a="1"/>
  <c r="R7400" i="1" s="1"/>
  <c r="H7402" i="1"/>
  <c r="A7403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L7401" i="1" l="1" a="1"/>
  <c r="L7401" i="1" s="1"/>
  <c r="P7401" i="1" a="1"/>
  <c r="P7401" i="1" s="1"/>
  <c r="K7401" i="1" a="1"/>
  <c r="K7401" i="1" s="1"/>
  <c r="B7402" i="1"/>
  <c r="Q7401" i="1" a="1"/>
  <c r="Q7401" i="1" s="1"/>
  <c r="M7401" i="1" a="1"/>
  <c r="M7401" i="1" s="1"/>
  <c r="O7401" i="1" a="1"/>
  <c r="O7401" i="1" s="1"/>
  <c r="I7401" i="1" a="1"/>
  <c r="I7401" i="1" s="1"/>
  <c r="R7401" i="1" a="1"/>
  <c r="R7401" i="1" s="1"/>
  <c r="J7401" i="1" a="1"/>
  <c r="J7401" i="1" s="1"/>
  <c r="S7401" i="1" a="1"/>
  <c r="S7401" i="1" s="1"/>
  <c r="N7401" i="1" a="1"/>
  <c r="N7401" i="1" s="1"/>
  <c r="H7403" i="1"/>
  <c r="A7404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H7404" i="1" l="1"/>
  <c r="A7405" i="1"/>
  <c r="K7402" i="1" a="1"/>
  <c r="K7402" i="1" s="1"/>
  <c r="O7402" i="1" a="1"/>
  <c r="O7402" i="1" s="1"/>
  <c r="S7402" i="1" a="1"/>
  <c r="S7402" i="1" s="1"/>
  <c r="L7402" i="1" a="1"/>
  <c r="L7402" i="1" s="1"/>
  <c r="Q7402" i="1" a="1"/>
  <c r="Q7402" i="1" s="1"/>
  <c r="M7402" i="1" a="1"/>
  <c r="M7402" i="1" s="1"/>
  <c r="I7402" i="1" a="1"/>
  <c r="I7402" i="1" s="1"/>
  <c r="R7402" i="1" a="1"/>
  <c r="R7402" i="1" s="1"/>
  <c r="B7403" i="1"/>
  <c r="N7402" i="1" a="1"/>
  <c r="N7402" i="1" s="1"/>
  <c r="P7402" i="1" a="1"/>
  <c r="P7402" i="1" s="1"/>
  <c r="J7402" i="1" a="1"/>
  <c r="J7402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J7403" i="1" l="1" a="1"/>
  <c r="J7403" i="1" s="1"/>
  <c r="N7403" i="1" a="1"/>
  <c r="N7403" i="1" s="1"/>
  <c r="R7403" i="1" a="1"/>
  <c r="R7403" i="1" s="1"/>
  <c r="Q7403" i="1" a="1"/>
  <c r="Q7403" i="1" s="1"/>
  <c r="M7403" i="1" a="1"/>
  <c r="M7403" i="1" s="1"/>
  <c r="I7403" i="1" a="1"/>
  <c r="I7403" i="1" s="1"/>
  <c r="S7403" i="1" a="1"/>
  <c r="S7403" i="1" s="1"/>
  <c r="K7403" i="1" a="1"/>
  <c r="K7403" i="1" s="1"/>
  <c r="B7404" i="1"/>
  <c r="L7403" i="1" a="1"/>
  <c r="L7403" i="1" s="1"/>
  <c r="P7403" i="1" a="1"/>
  <c r="P7403" i="1" s="1"/>
  <c r="O7403" i="1" a="1"/>
  <c r="O7403" i="1" s="1"/>
  <c r="A7406" i="1"/>
  <c r="H7405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A7407" i="1" l="1"/>
  <c r="H7406" i="1"/>
  <c r="I7404" i="1" a="1"/>
  <c r="I7404" i="1" s="1"/>
  <c r="M7404" i="1" a="1"/>
  <c r="M7404" i="1" s="1"/>
  <c r="Q7404" i="1" a="1"/>
  <c r="Q7404" i="1" s="1"/>
  <c r="R7404" i="1" a="1"/>
  <c r="R7404" i="1" s="1"/>
  <c r="N7404" i="1" a="1"/>
  <c r="N7404" i="1" s="1"/>
  <c r="J7404" i="1" a="1"/>
  <c r="J7404" i="1" s="1"/>
  <c r="S7404" i="1" a="1"/>
  <c r="S7404" i="1" s="1"/>
  <c r="O7404" i="1" a="1"/>
  <c r="O7404" i="1" s="1"/>
  <c r="P7404" i="1" a="1"/>
  <c r="P7404" i="1" s="1"/>
  <c r="K7404" i="1" a="1"/>
  <c r="K7404" i="1" s="1"/>
  <c r="L7404" i="1" a="1"/>
  <c r="L7404" i="1" s="1"/>
  <c r="B7405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L7405" i="1" l="1" a="1"/>
  <c r="L7405" i="1" s="1"/>
  <c r="P7405" i="1" a="1"/>
  <c r="P7405" i="1" s="1"/>
  <c r="N7405" i="1" a="1"/>
  <c r="N7405" i="1" s="1"/>
  <c r="I7405" i="1" a="1"/>
  <c r="I7405" i="1" s="1"/>
  <c r="J7405" i="1" a="1"/>
  <c r="J7405" i="1" s="1"/>
  <c r="O7405" i="1" a="1"/>
  <c r="O7405" i="1" s="1"/>
  <c r="B7406" i="1"/>
  <c r="K7405" i="1" a="1"/>
  <c r="K7405" i="1" s="1"/>
  <c r="Q7405" i="1" a="1"/>
  <c r="Q7405" i="1" s="1"/>
  <c r="M7405" i="1" a="1"/>
  <c r="M7405" i="1" s="1"/>
  <c r="R7405" i="1" a="1"/>
  <c r="R7405" i="1" s="1"/>
  <c r="S7405" i="1" a="1"/>
  <c r="S7405" i="1" s="1"/>
  <c r="H7407" i="1"/>
  <c r="A7408" i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K7406" i="1" l="1" a="1"/>
  <c r="K7406" i="1" s="1"/>
  <c r="P7406" i="1" a="1"/>
  <c r="P7406" i="1" s="1"/>
  <c r="B7407" i="1"/>
  <c r="L7406" i="1" a="1"/>
  <c r="L7406" i="1" s="1"/>
  <c r="Q7406" i="1" a="1"/>
  <c r="Q7406" i="1" s="1"/>
  <c r="M7406" i="1" a="1"/>
  <c r="M7406" i="1" s="1"/>
  <c r="R7406" i="1" a="1"/>
  <c r="R7406" i="1" s="1"/>
  <c r="N7406" i="1" a="1"/>
  <c r="N7406" i="1" s="1"/>
  <c r="O7406" i="1" a="1"/>
  <c r="O7406" i="1" s="1"/>
  <c r="I7406" i="1" a="1"/>
  <c r="I7406" i="1" s="1"/>
  <c r="J7406" i="1" a="1"/>
  <c r="J7406" i="1" s="1"/>
  <c r="S7406" i="1" a="1"/>
  <c r="S7406" i="1" s="1"/>
  <c r="H7408" i="1"/>
  <c r="A7409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7408" i="1" l="1"/>
  <c r="P7407" i="1" a="1"/>
  <c r="P7407" i="1" s="1"/>
  <c r="L7407" i="1" a="1"/>
  <c r="L7407" i="1" s="1"/>
  <c r="Q7407" i="1" a="1"/>
  <c r="Q7407" i="1" s="1"/>
  <c r="M7407" i="1" a="1"/>
  <c r="M7407" i="1" s="1"/>
  <c r="I7407" i="1" a="1"/>
  <c r="I7407" i="1" s="1"/>
  <c r="R7407" i="1" a="1"/>
  <c r="R7407" i="1" s="1"/>
  <c r="N7407" i="1" a="1"/>
  <c r="N7407" i="1" s="1"/>
  <c r="K7407" i="1" a="1"/>
  <c r="K7407" i="1" s="1"/>
  <c r="O7407" i="1" a="1"/>
  <c r="O7407" i="1" s="1"/>
  <c r="J7407" i="1" a="1"/>
  <c r="J7407" i="1" s="1"/>
  <c r="S7407" i="1" a="1"/>
  <c r="S7407" i="1" s="1"/>
  <c r="H7409" i="1"/>
  <c r="A7410" i="1"/>
  <c r="M6990" i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7411" i="1" l="1"/>
  <c r="H7410" i="1"/>
  <c r="Q7408" i="1" a="1"/>
  <c r="Q7408" i="1" s="1"/>
  <c r="M7408" i="1" a="1"/>
  <c r="M7408" i="1" s="1"/>
  <c r="I7408" i="1" a="1"/>
  <c r="I7408" i="1" s="1"/>
  <c r="R7408" i="1" a="1"/>
  <c r="R7408" i="1" s="1"/>
  <c r="N7408" i="1" a="1"/>
  <c r="N7408" i="1" s="1"/>
  <c r="J7408" i="1" a="1"/>
  <c r="J7408" i="1" s="1"/>
  <c r="S7408" i="1" a="1"/>
  <c r="S7408" i="1" s="1"/>
  <c r="K7408" i="1" a="1"/>
  <c r="K7408" i="1" s="1"/>
  <c r="L7408" i="1" a="1"/>
  <c r="L7408" i="1" s="1"/>
  <c r="O7408" i="1" a="1"/>
  <c r="O7408" i="1" s="1"/>
  <c r="P7408" i="1" a="1"/>
  <c r="P7408" i="1" s="1"/>
  <c r="B7409" i="1"/>
  <c r="A6992" i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M7409" i="1" l="1" a="1"/>
  <c r="M7409" i="1" s="1"/>
  <c r="I7409" i="1" a="1"/>
  <c r="I7409" i="1" s="1"/>
  <c r="R7409" i="1" a="1"/>
  <c r="R7409" i="1" s="1"/>
  <c r="N7409" i="1" a="1"/>
  <c r="N7409" i="1" s="1"/>
  <c r="S7409" i="1" a="1"/>
  <c r="S7409" i="1" s="1"/>
  <c r="J7409" i="1" a="1"/>
  <c r="J7409" i="1" s="1"/>
  <c r="O7409" i="1" a="1"/>
  <c r="O7409" i="1" s="1"/>
  <c r="K7409" i="1" a="1"/>
  <c r="K7409" i="1" s="1"/>
  <c r="L7409" i="1" a="1"/>
  <c r="L7409" i="1" s="1"/>
  <c r="P7409" i="1" a="1"/>
  <c r="P7409" i="1" s="1"/>
  <c r="Q7409" i="1" a="1"/>
  <c r="Q7409" i="1" s="1"/>
  <c r="B7410" i="1"/>
  <c r="H7411" i="1"/>
  <c r="A7412" i="1"/>
  <c r="I6992" i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7413" i="1" l="1"/>
  <c r="H7412" i="1"/>
  <c r="I7410" i="1" a="1"/>
  <c r="I7410" i="1" s="1"/>
  <c r="N7410" i="1" a="1"/>
  <c r="N7410" i="1" s="1"/>
  <c r="J7410" i="1" a="1"/>
  <c r="J7410" i="1" s="1"/>
  <c r="S7410" i="1" a="1"/>
  <c r="S7410" i="1" s="1"/>
  <c r="O7410" i="1" a="1"/>
  <c r="O7410" i="1" s="1"/>
  <c r="K7410" i="1" a="1"/>
  <c r="K7410" i="1" s="1"/>
  <c r="P7410" i="1" a="1"/>
  <c r="P7410" i="1" s="1"/>
  <c r="B7411" i="1"/>
  <c r="L7410" i="1" a="1"/>
  <c r="L7410" i="1" s="1"/>
  <c r="M7410" i="1" a="1"/>
  <c r="M7410" i="1" s="1"/>
  <c r="Q7410" i="1" a="1"/>
  <c r="Q7410" i="1" s="1"/>
  <c r="R7410" i="1" a="1"/>
  <c r="R7410" i="1" s="1"/>
  <c r="A6994" i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B7412" i="1" l="1"/>
  <c r="J7411" i="1" a="1"/>
  <c r="J7411" i="1" s="1"/>
  <c r="S7411" i="1" a="1"/>
  <c r="S7411" i="1" s="1"/>
  <c r="O7411" i="1" a="1"/>
  <c r="O7411" i="1" s="1"/>
  <c r="K7411" i="1" a="1"/>
  <c r="K7411" i="1" s="1"/>
  <c r="P7411" i="1" a="1"/>
  <c r="P7411" i="1" s="1"/>
  <c r="L7411" i="1" a="1"/>
  <c r="L7411" i="1" s="1"/>
  <c r="Q7411" i="1" a="1"/>
  <c r="Q7411" i="1" s="1"/>
  <c r="I7411" i="1" a="1"/>
  <c r="I7411" i="1" s="1"/>
  <c r="M7411" i="1" a="1"/>
  <c r="M7411" i="1" s="1"/>
  <c r="N7411" i="1" a="1"/>
  <c r="N7411" i="1" s="1"/>
  <c r="R7411" i="1" a="1"/>
  <c r="R7411" i="1" s="1"/>
  <c r="H7413" i="1"/>
  <c r="A7414" i="1"/>
  <c r="K6994" i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H7414" i="1" l="1"/>
  <c r="A7415" i="1"/>
  <c r="O7412" i="1" a="1"/>
  <c r="O7412" i="1" s="1"/>
  <c r="K7412" i="1" a="1"/>
  <c r="K7412" i="1" s="1"/>
  <c r="P7412" i="1" a="1"/>
  <c r="P7412" i="1" s="1"/>
  <c r="B7413" i="1"/>
  <c r="L7412" i="1" a="1"/>
  <c r="L7412" i="1" s="1"/>
  <c r="Q7412" i="1" a="1"/>
  <c r="Q7412" i="1" s="1"/>
  <c r="M7412" i="1" a="1"/>
  <c r="M7412" i="1" s="1"/>
  <c r="I7412" i="1" a="1"/>
  <c r="I7412" i="1" s="1"/>
  <c r="S7412" i="1" a="1"/>
  <c r="S7412" i="1" s="1"/>
  <c r="J7412" i="1" a="1"/>
  <c r="J7412" i="1" s="1"/>
  <c r="R7412" i="1" a="1"/>
  <c r="R7412" i="1" s="1"/>
  <c r="N7412" i="1" a="1"/>
  <c r="N7412" i="1" s="1"/>
  <c r="J6995" i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7415" i="1" l="1"/>
  <c r="A7416" i="1"/>
  <c r="P7413" i="1" a="1"/>
  <c r="P7413" i="1" s="1"/>
  <c r="B7414" i="1"/>
  <c r="L7413" i="1" a="1"/>
  <c r="L7413" i="1" s="1"/>
  <c r="Q7413" i="1" a="1"/>
  <c r="Q7413" i="1" s="1"/>
  <c r="M7413" i="1" a="1"/>
  <c r="M7413" i="1" s="1"/>
  <c r="I7413" i="1" a="1"/>
  <c r="I7413" i="1" s="1"/>
  <c r="R7413" i="1" a="1"/>
  <c r="R7413" i="1" s="1"/>
  <c r="S7413" i="1" a="1"/>
  <c r="S7413" i="1" s="1"/>
  <c r="J7413" i="1" a="1"/>
  <c r="J7413" i="1" s="1"/>
  <c r="K7413" i="1" a="1"/>
  <c r="K7413" i="1" s="1"/>
  <c r="N7413" i="1" a="1"/>
  <c r="N7413" i="1" s="1"/>
  <c r="O7413" i="1" a="1"/>
  <c r="O7413" i="1" s="1"/>
  <c r="H6996" i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7414" i="1" l="1" a="1"/>
  <c r="L7414" i="1" s="1"/>
  <c r="Q7414" i="1" a="1"/>
  <c r="Q7414" i="1" s="1"/>
  <c r="M7414" i="1" a="1"/>
  <c r="M7414" i="1" s="1"/>
  <c r="R7414" i="1" a="1"/>
  <c r="R7414" i="1" s="1"/>
  <c r="I7414" i="1" a="1"/>
  <c r="I7414" i="1" s="1"/>
  <c r="N7414" i="1" a="1"/>
  <c r="N7414" i="1" s="1"/>
  <c r="J7414" i="1" a="1"/>
  <c r="J7414" i="1" s="1"/>
  <c r="S7414" i="1" a="1"/>
  <c r="S7414" i="1" s="1"/>
  <c r="P7414" i="1" a="1"/>
  <c r="P7414" i="1" s="1"/>
  <c r="B7415" i="1"/>
  <c r="K7414" i="1" a="1"/>
  <c r="K7414" i="1" s="1"/>
  <c r="O7414" i="1" a="1"/>
  <c r="O7414" i="1" s="1"/>
  <c r="A7417" i="1"/>
  <c r="H7416" i="1"/>
  <c r="L6997" i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7418" i="1" l="1"/>
  <c r="H7417" i="1"/>
  <c r="B7416" i="1"/>
  <c r="M7415" i="1" a="1"/>
  <c r="M7415" i="1" s="1"/>
  <c r="I7415" i="1" a="1"/>
  <c r="I7415" i="1" s="1"/>
  <c r="R7415" i="1" a="1"/>
  <c r="R7415" i="1" s="1"/>
  <c r="N7415" i="1" a="1"/>
  <c r="N7415" i="1" s="1"/>
  <c r="J7415" i="1" a="1"/>
  <c r="J7415" i="1" s="1"/>
  <c r="S7415" i="1" a="1"/>
  <c r="S7415" i="1" s="1"/>
  <c r="O7415" i="1" a="1"/>
  <c r="O7415" i="1" s="1"/>
  <c r="P7415" i="1" a="1"/>
  <c r="P7415" i="1" s="1"/>
  <c r="Q7415" i="1" a="1"/>
  <c r="Q7415" i="1" s="1"/>
  <c r="K7415" i="1" a="1"/>
  <c r="K7415" i="1" s="1"/>
  <c r="L7415" i="1" a="1"/>
  <c r="L7415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I7416" i="1" l="1" a="1"/>
  <c r="I7416" i="1" s="1"/>
  <c r="R7416" i="1" a="1"/>
  <c r="R7416" i="1" s="1"/>
  <c r="N7416" i="1" a="1"/>
  <c r="N7416" i="1" s="1"/>
  <c r="J7416" i="1" a="1"/>
  <c r="J7416" i="1" s="1"/>
  <c r="S7416" i="1" a="1"/>
  <c r="S7416" i="1" s="1"/>
  <c r="O7416" i="1" a="1"/>
  <c r="O7416" i="1" s="1"/>
  <c r="K7416" i="1" a="1"/>
  <c r="K7416" i="1" s="1"/>
  <c r="P7416" i="1" a="1"/>
  <c r="P7416" i="1" s="1"/>
  <c r="B7417" i="1"/>
  <c r="Q7416" i="1" a="1"/>
  <c r="Q7416" i="1" s="1"/>
  <c r="L7416" i="1" a="1"/>
  <c r="L7416" i="1" s="1"/>
  <c r="M7416" i="1" a="1"/>
  <c r="M7416" i="1" s="1"/>
  <c r="A7419" i="1"/>
  <c r="H7418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7419" i="1" l="1"/>
  <c r="A7420" i="1"/>
  <c r="N7417" i="1" a="1"/>
  <c r="N7417" i="1" s="1"/>
  <c r="S7417" i="1" a="1"/>
  <c r="S7417" i="1" s="1"/>
  <c r="J7417" i="1" a="1"/>
  <c r="J7417" i="1" s="1"/>
  <c r="O7417" i="1" a="1"/>
  <c r="O7417" i="1" s="1"/>
  <c r="K7417" i="1" a="1"/>
  <c r="K7417" i="1" s="1"/>
  <c r="P7417" i="1" a="1"/>
  <c r="P7417" i="1" s="1"/>
  <c r="B7418" i="1"/>
  <c r="L7417" i="1" a="1"/>
  <c r="L7417" i="1" s="1"/>
  <c r="Q7417" i="1" a="1"/>
  <c r="Q7417" i="1" s="1"/>
  <c r="R7417" i="1" a="1"/>
  <c r="R7417" i="1" s="1"/>
  <c r="I7417" i="1" a="1"/>
  <c r="I7417" i="1" s="1"/>
  <c r="M7417" i="1" a="1"/>
  <c r="M7417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H7420" i="1" l="1"/>
  <c r="A7421" i="1"/>
  <c r="O7418" i="1" a="1"/>
  <c r="O7418" i="1" s="1"/>
  <c r="K7418" i="1" a="1"/>
  <c r="K7418" i="1" s="1"/>
  <c r="P7418" i="1" a="1"/>
  <c r="P7418" i="1" s="1"/>
  <c r="B7419" i="1"/>
  <c r="L7418" i="1" a="1"/>
  <c r="L7418" i="1" s="1"/>
  <c r="Q7418" i="1" a="1"/>
  <c r="Q7418" i="1" s="1"/>
  <c r="N7418" i="1" a="1"/>
  <c r="N7418" i="1" s="1"/>
  <c r="R7418" i="1" a="1"/>
  <c r="R7418" i="1" s="1"/>
  <c r="S7418" i="1" a="1"/>
  <c r="S7418" i="1" s="1"/>
  <c r="I7418" i="1" a="1"/>
  <c r="I7418" i="1" s="1"/>
  <c r="J7418" i="1" a="1"/>
  <c r="J7418" i="1" s="1"/>
  <c r="M7418" i="1" a="1"/>
  <c r="M7418" i="1" s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B7420" i="1" l="1"/>
  <c r="K7419" i="1" a="1"/>
  <c r="K7419" i="1" s="1"/>
  <c r="P7419" i="1" a="1"/>
  <c r="P7419" i="1" s="1"/>
  <c r="L7419" i="1" a="1"/>
  <c r="L7419" i="1" s="1"/>
  <c r="Q7419" i="1" a="1"/>
  <c r="Q7419" i="1" s="1"/>
  <c r="M7419" i="1" a="1"/>
  <c r="M7419" i="1" s="1"/>
  <c r="I7419" i="1" a="1"/>
  <c r="I7419" i="1" s="1"/>
  <c r="R7419" i="1" a="1"/>
  <c r="R7419" i="1" s="1"/>
  <c r="N7419" i="1" a="1"/>
  <c r="N7419" i="1" s="1"/>
  <c r="O7419" i="1" a="1"/>
  <c r="O7419" i="1" s="1"/>
  <c r="S7419" i="1" a="1"/>
  <c r="S7419" i="1" s="1"/>
  <c r="J7419" i="1" a="1"/>
  <c r="J7419" i="1" s="1"/>
  <c r="H7421" i="1"/>
  <c r="A7422" i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H7422" i="1" l="1"/>
  <c r="A7423" i="1"/>
  <c r="L7420" i="1" a="1"/>
  <c r="L7420" i="1" s="1"/>
  <c r="Q7420" i="1" a="1"/>
  <c r="Q7420" i="1" s="1"/>
  <c r="M7420" i="1" a="1"/>
  <c r="M7420" i="1" s="1"/>
  <c r="I7420" i="1" a="1"/>
  <c r="I7420" i="1" s="1"/>
  <c r="R7420" i="1" a="1"/>
  <c r="R7420" i="1" s="1"/>
  <c r="N7420" i="1" a="1"/>
  <c r="N7420" i="1" s="1"/>
  <c r="K7420" i="1" a="1"/>
  <c r="K7420" i="1" s="1"/>
  <c r="O7420" i="1" a="1"/>
  <c r="O7420" i="1" s="1"/>
  <c r="P7420" i="1" a="1"/>
  <c r="P7420" i="1" s="1"/>
  <c r="S7420" i="1" a="1"/>
  <c r="S7420" i="1" s="1"/>
  <c r="B7421" i="1"/>
  <c r="J7420" i="1" a="1"/>
  <c r="J7420" i="1" s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Q7421" i="1" l="1" a="1"/>
  <c r="Q7421" i="1" s="1"/>
  <c r="M7421" i="1" a="1"/>
  <c r="M7421" i="1" s="1"/>
  <c r="I7421" i="1" a="1"/>
  <c r="I7421" i="1" s="1"/>
  <c r="R7421" i="1" a="1"/>
  <c r="R7421" i="1" s="1"/>
  <c r="N7421" i="1" a="1"/>
  <c r="N7421" i="1" s="1"/>
  <c r="S7421" i="1" a="1"/>
  <c r="S7421" i="1" s="1"/>
  <c r="J7421" i="1" a="1"/>
  <c r="J7421" i="1" s="1"/>
  <c r="O7421" i="1" a="1"/>
  <c r="O7421" i="1" s="1"/>
  <c r="L7421" i="1" a="1"/>
  <c r="L7421" i="1" s="1"/>
  <c r="P7421" i="1" a="1"/>
  <c r="P7421" i="1" s="1"/>
  <c r="K7421" i="1" a="1"/>
  <c r="K7421" i="1" s="1"/>
  <c r="B7422" i="1"/>
  <c r="H7423" i="1"/>
  <c r="A7424" i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7425" i="1" l="1"/>
  <c r="H7424" i="1"/>
  <c r="M7422" i="1" a="1"/>
  <c r="M7422" i="1" s="1"/>
  <c r="R7422" i="1" a="1"/>
  <c r="R7422" i="1" s="1"/>
  <c r="I7422" i="1" a="1"/>
  <c r="I7422" i="1" s="1"/>
  <c r="N7422" i="1" a="1"/>
  <c r="N7422" i="1" s="1"/>
  <c r="J7422" i="1" a="1"/>
  <c r="J7422" i="1" s="1"/>
  <c r="S7422" i="1" a="1"/>
  <c r="S7422" i="1" s="1"/>
  <c r="O7422" i="1" a="1"/>
  <c r="O7422" i="1" s="1"/>
  <c r="K7422" i="1" a="1"/>
  <c r="K7422" i="1" s="1"/>
  <c r="L7422" i="1" a="1"/>
  <c r="L7422" i="1" s="1"/>
  <c r="P7422" i="1" a="1"/>
  <c r="P7422" i="1" s="1"/>
  <c r="B7423" i="1"/>
  <c r="Q7422" i="1" a="1"/>
  <c r="Q7422" i="1" s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B7424" i="1" l="1"/>
  <c r="N7423" i="1" a="1"/>
  <c r="N7423" i="1" s="1"/>
  <c r="J7423" i="1" a="1"/>
  <c r="J7423" i="1" s="1"/>
  <c r="S7423" i="1" a="1"/>
  <c r="S7423" i="1" s="1"/>
  <c r="O7423" i="1" a="1"/>
  <c r="O7423" i="1" s="1"/>
  <c r="K7423" i="1" a="1"/>
  <c r="K7423" i="1" s="1"/>
  <c r="P7423" i="1" a="1"/>
  <c r="P7423" i="1" s="1"/>
  <c r="I7423" i="1" a="1"/>
  <c r="I7423" i="1" s="1"/>
  <c r="L7423" i="1" a="1"/>
  <c r="L7423" i="1" s="1"/>
  <c r="M7423" i="1" a="1"/>
  <c r="M7423" i="1" s="1"/>
  <c r="Q7423" i="1" a="1"/>
  <c r="Q7423" i="1" s="1"/>
  <c r="R7423" i="1" a="1"/>
  <c r="R7423" i="1" s="1"/>
  <c r="A7426" i="1"/>
  <c r="H7425" i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H7426" i="1" l="1"/>
  <c r="A7427" i="1"/>
  <c r="J7424" i="1" a="1"/>
  <c r="J7424" i="1" s="1"/>
  <c r="S7424" i="1" a="1"/>
  <c r="S7424" i="1" s="1"/>
  <c r="O7424" i="1" a="1"/>
  <c r="O7424" i="1" s="1"/>
  <c r="K7424" i="1" a="1"/>
  <c r="K7424" i="1" s="1"/>
  <c r="P7424" i="1" a="1"/>
  <c r="P7424" i="1" s="1"/>
  <c r="B7425" i="1"/>
  <c r="L7424" i="1" a="1"/>
  <c r="L7424" i="1" s="1"/>
  <c r="Q7424" i="1" a="1"/>
  <c r="Q7424" i="1" s="1"/>
  <c r="I7424" i="1" a="1"/>
  <c r="I7424" i="1" s="1"/>
  <c r="M7424" i="1" a="1"/>
  <c r="M7424" i="1" s="1"/>
  <c r="N7424" i="1" a="1"/>
  <c r="N7424" i="1" s="1"/>
  <c r="R7424" i="1" a="1"/>
  <c r="R7424" i="1" s="1"/>
  <c r="B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K7425" i="1" l="1" a="1"/>
  <c r="K7425" i="1" s="1"/>
  <c r="P7425" i="1" a="1"/>
  <c r="P7425" i="1" s="1"/>
  <c r="B7426" i="1"/>
  <c r="L7425" i="1" a="1"/>
  <c r="L7425" i="1" s="1"/>
  <c r="Q7425" i="1" a="1"/>
  <c r="Q7425" i="1" s="1"/>
  <c r="M7425" i="1" a="1"/>
  <c r="M7425" i="1" s="1"/>
  <c r="I7425" i="1" a="1"/>
  <c r="I7425" i="1" s="1"/>
  <c r="J7425" i="1" a="1"/>
  <c r="J7425" i="1" s="1"/>
  <c r="N7425" i="1" a="1"/>
  <c r="N7425" i="1" s="1"/>
  <c r="O7425" i="1" a="1"/>
  <c r="O7425" i="1" s="1"/>
  <c r="R7425" i="1" a="1"/>
  <c r="R7425" i="1" s="1"/>
  <c r="S7425" i="1" a="1"/>
  <c r="S7425" i="1" s="1"/>
  <c r="H7427" i="1"/>
  <c r="A7428" i="1"/>
  <c r="I7008" i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H7428" i="1" l="1"/>
  <c r="A7429" i="1"/>
  <c r="P7426" i="1" a="1"/>
  <c r="P7426" i="1" s="1"/>
  <c r="B7427" i="1"/>
  <c r="L7426" i="1" a="1"/>
  <c r="L7426" i="1" s="1"/>
  <c r="Q7426" i="1" a="1"/>
  <c r="Q7426" i="1" s="1"/>
  <c r="M7426" i="1" a="1"/>
  <c r="M7426" i="1" s="1"/>
  <c r="R7426" i="1" a="1"/>
  <c r="R7426" i="1" s="1"/>
  <c r="I7426" i="1" a="1"/>
  <c r="I7426" i="1" s="1"/>
  <c r="N7426" i="1" a="1"/>
  <c r="N7426" i="1" s="1"/>
  <c r="J7426" i="1" a="1"/>
  <c r="J7426" i="1" s="1"/>
  <c r="K7426" i="1" a="1"/>
  <c r="K7426" i="1" s="1"/>
  <c r="O7426" i="1" a="1"/>
  <c r="O7426" i="1" s="1"/>
  <c r="S7426" i="1" a="1"/>
  <c r="S7426" i="1" s="1"/>
  <c r="L7009" i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B7428" i="1" l="1"/>
  <c r="L7427" i="1" a="1"/>
  <c r="L7427" i="1" s="1"/>
  <c r="Q7427" i="1" a="1"/>
  <c r="Q7427" i="1" s="1"/>
  <c r="M7427" i="1" a="1"/>
  <c r="M7427" i="1" s="1"/>
  <c r="I7427" i="1" a="1"/>
  <c r="I7427" i="1" s="1"/>
  <c r="R7427" i="1" a="1"/>
  <c r="R7427" i="1" s="1"/>
  <c r="N7427" i="1" a="1"/>
  <c r="N7427" i="1" s="1"/>
  <c r="J7427" i="1" a="1"/>
  <c r="J7427" i="1" s="1"/>
  <c r="S7427" i="1" a="1"/>
  <c r="S7427" i="1" s="1"/>
  <c r="K7427" i="1" a="1"/>
  <c r="K7427" i="1" s="1"/>
  <c r="P7427" i="1" a="1"/>
  <c r="P7427" i="1" s="1"/>
  <c r="O7427" i="1" a="1"/>
  <c r="O7427" i="1" s="1"/>
  <c r="A7430" i="1"/>
  <c r="H7429" i="1"/>
  <c r="K7010" i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A7431" i="1" l="1"/>
  <c r="H7430" i="1"/>
  <c r="M7428" i="1" a="1"/>
  <c r="M7428" i="1" s="1"/>
  <c r="I7428" i="1" a="1"/>
  <c r="I7428" i="1" s="1"/>
  <c r="R7428" i="1" a="1"/>
  <c r="R7428" i="1" s="1"/>
  <c r="N7428" i="1" a="1"/>
  <c r="N7428" i="1" s="1"/>
  <c r="J7428" i="1" a="1"/>
  <c r="J7428" i="1" s="1"/>
  <c r="S7428" i="1" a="1"/>
  <c r="S7428" i="1" s="1"/>
  <c r="O7428" i="1" a="1"/>
  <c r="O7428" i="1" s="1"/>
  <c r="Q7428" i="1" a="1"/>
  <c r="Q7428" i="1" s="1"/>
  <c r="B7429" i="1"/>
  <c r="K7428" i="1" a="1"/>
  <c r="K7428" i="1" s="1"/>
  <c r="L7428" i="1" a="1"/>
  <c r="L7428" i="1" s="1"/>
  <c r="P7428" i="1" a="1"/>
  <c r="P7428" i="1" s="1"/>
  <c r="H7011" i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429" i="1" l="1" a="1"/>
  <c r="I7429" i="1" s="1"/>
  <c r="R7429" i="1" a="1"/>
  <c r="R7429" i="1" s="1"/>
  <c r="N7429" i="1" a="1"/>
  <c r="N7429" i="1" s="1"/>
  <c r="S7429" i="1" a="1"/>
  <c r="S7429" i="1" s="1"/>
  <c r="J7429" i="1" a="1"/>
  <c r="J7429" i="1" s="1"/>
  <c r="O7429" i="1" a="1"/>
  <c r="O7429" i="1" s="1"/>
  <c r="K7429" i="1" a="1"/>
  <c r="K7429" i="1" s="1"/>
  <c r="P7429" i="1" a="1"/>
  <c r="P7429" i="1" s="1"/>
  <c r="B7430" i="1"/>
  <c r="Q7429" i="1" a="1"/>
  <c r="Q7429" i="1" s="1"/>
  <c r="L7429" i="1" a="1"/>
  <c r="L7429" i="1" s="1"/>
  <c r="M7429" i="1" a="1"/>
  <c r="M7429" i="1" s="1"/>
  <c r="H7431" i="1"/>
  <c r="A7432" i="1"/>
  <c r="I7012" i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H7432" i="1" l="1"/>
  <c r="A7433" i="1"/>
  <c r="J7430" i="1" a="1"/>
  <c r="J7430" i="1" s="1"/>
  <c r="S7430" i="1" a="1"/>
  <c r="S7430" i="1" s="1"/>
  <c r="O7430" i="1" a="1"/>
  <c r="O7430" i="1" s="1"/>
  <c r="K7430" i="1" a="1"/>
  <c r="K7430" i="1" s="1"/>
  <c r="P7430" i="1" a="1"/>
  <c r="P7430" i="1" s="1"/>
  <c r="B7431" i="1"/>
  <c r="L7430" i="1" a="1"/>
  <c r="L7430" i="1" s="1"/>
  <c r="Q7430" i="1" a="1"/>
  <c r="Q7430" i="1" s="1"/>
  <c r="R7430" i="1" a="1"/>
  <c r="R7430" i="1" s="1"/>
  <c r="I7430" i="1" a="1"/>
  <c r="I7430" i="1" s="1"/>
  <c r="M7430" i="1" a="1"/>
  <c r="M7430" i="1" s="1"/>
  <c r="N7430" i="1" a="1"/>
  <c r="N7430" i="1" s="1"/>
  <c r="A7014" i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H7433" i="1" l="1"/>
  <c r="A7434" i="1"/>
  <c r="B7432" i="1"/>
  <c r="O7431" i="1" a="1"/>
  <c r="O7431" i="1" s="1"/>
  <c r="K7431" i="1" a="1"/>
  <c r="K7431" i="1" s="1"/>
  <c r="P7431" i="1" a="1"/>
  <c r="P7431" i="1" s="1"/>
  <c r="L7431" i="1" a="1"/>
  <c r="L7431" i="1" s="1"/>
  <c r="Q7431" i="1" a="1"/>
  <c r="Q7431" i="1" s="1"/>
  <c r="M7431" i="1" a="1"/>
  <c r="M7431" i="1" s="1"/>
  <c r="R7431" i="1" a="1"/>
  <c r="R7431" i="1" s="1"/>
  <c r="I7431" i="1" a="1"/>
  <c r="I7431" i="1" s="1"/>
  <c r="S7431" i="1" a="1"/>
  <c r="S7431" i="1" s="1"/>
  <c r="J7431" i="1" a="1"/>
  <c r="J7431" i="1" s="1"/>
  <c r="N7431" i="1" a="1"/>
  <c r="N7431" i="1" s="1"/>
  <c r="K7014" i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K7432" i="1" l="1" a="1"/>
  <c r="K7432" i="1" s="1"/>
  <c r="P7432" i="1" a="1"/>
  <c r="P7432" i="1" s="1"/>
  <c r="B7433" i="1"/>
  <c r="L7432" i="1" a="1"/>
  <c r="L7432" i="1" s="1"/>
  <c r="Q7432" i="1" a="1"/>
  <c r="Q7432" i="1" s="1"/>
  <c r="M7432" i="1" a="1"/>
  <c r="M7432" i="1" s="1"/>
  <c r="I7432" i="1" a="1"/>
  <c r="I7432" i="1" s="1"/>
  <c r="R7432" i="1" a="1"/>
  <c r="R7432" i="1" s="1"/>
  <c r="O7432" i="1" a="1"/>
  <c r="O7432" i="1" s="1"/>
  <c r="S7432" i="1" a="1"/>
  <c r="S7432" i="1" s="1"/>
  <c r="J7432" i="1" a="1"/>
  <c r="J7432" i="1" s="1"/>
  <c r="N7432" i="1" a="1"/>
  <c r="N7432" i="1" s="1"/>
  <c r="H7434" i="1"/>
  <c r="A7435" i="1"/>
  <c r="J7015" i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H7435" i="1" l="1"/>
  <c r="A7436" i="1"/>
  <c r="L7433" i="1" a="1"/>
  <c r="L7433" i="1" s="1"/>
  <c r="Q7433" i="1" a="1"/>
  <c r="Q7433" i="1" s="1"/>
  <c r="M7433" i="1" a="1"/>
  <c r="M7433" i="1" s="1"/>
  <c r="I7433" i="1" a="1"/>
  <c r="I7433" i="1" s="1"/>
  <c r="R7433" i="1" a="1"/>
  <c r="R7433" i="1" s="1"/>
  <c r="N7433" i="1" a="1"/>
  <c r="N7433" i="1" s="1"/>
  <c r="S7433" i="1" a="1"/>
  <c r="S7433" i="1" s="1"/>
  <c r="O7433" i="1" a="1"/>
  <c r="O7433" i="1" s="1"/>
  <c r="P7433" i="1" a="1"/>
  <c r="P7433" i="1" s="1"/>
  <c r="J7433" i="1" a="1"/>
  <c r="J7433" i="1" s="1"/>
  <c r="K7433" i="1" a="1"/>
  <c r="K7433" i="1" s="1"/>
  <c r="B7434" i="1"/>
  <c r="I7016" i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Q7434" i="1" l="1" a="1"/>
  <c r="Q7434" i="1" s="1"/>
  <c r="M7434" i="1" a="1"/>
  <c r="M7434" i="1" s="1"/>
  <c r="R7434" i="1" a="1"/>
  <c r="R7434" i="1" s="1"/>
  <c r="I7434" i="1" a="1"/>
  <c r="I7434" i="1" s="1"/>
  <c r="N7434" i="1" a="1"/>
  <c r="N7434" i="1" s="1"/>
  <c r="J7434" i="1" a="1"/>
  <c r="J7434" i="1" s="1"/>
  <c r="S7434" i="1" a="1"/>
  <c r="S7434" i="1" s="1"/>
  <c r="O7434" i="1" a="1"/>
  <c r="O7434" i="1" s="1"/>
  <c r="L7434" i="1" a="1"/>
  <c r="L7434" i="1" s="1"/>
  <c r="P7434" i="1" a="1"/>
  <c r="P7434" i="1" s="1"/>
  <c r="K7434" i="1" a="1"/>
  <c r="K7434" i="1" s="1"/>
  <c r="B7435" i="1"/>
  <c r="A7437" i="1"/>
  <c r="H7436" i="1"/>
  <c r="L7017" i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A7438" i="1" l="1"/>
  <c r="H7437" i="1"/>
  <c r="B7436" i="1"/>
  <c r="I7435" i="1" a="1"/>
  <c r="I7435" i="1" s="1"/>
  <c r="R7435" i="1" a="1"/>
  <c r="R7435" i="1" s="1"/>
  <c r="N7435" i="1" a="1"/>
  <c r="N7435" i="1" s="1"/>
  <c r="J7435" i="1" a="1"/>
  <c r="J7435" i="1" s="1"/>
  <c r="S7435" i="1" a="1"/>
  <c r="S7435" i="1" s="1"/>
  <c r="K7435" i="1" a="1"/>
  <c r="K7435" i="1" s="1"/>
  <c r="L7435" i="1" a="1"/>
  <c r="L7435" i="1" s="1"/>
  <c r="M7435" i="1" a="1"/>
  <c r="M7435" i="1" s="1"/>
  <c r="O7435" i="1" a="1"/>
  <c r="O7435" i="1" s="1"/>
  <c r="P7435" i="1" a="1"/>
  <c r="P7435" i="1" s="1"/>
  <c r="Q7435" i="1" a="1"/>
  <c r="Q7435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N7436" i="1" l="1" a="1"/>
  <c r="N7436" i="1" s="1"/>
  <c r="R7436" i="1" a="1"/>
  <c r="R7436" i="1" s="1"/>
  <c r="J7436" i="1" a="1"/>
  <c r="J7436" i="1" s="1"/>
  <c r="O7436" i="1" a="1"/>
  <c r="O7436" i="1" s="1"/>
  <c r="S7436" i="1" a="1"/>
  <c r="S7436" i="1" s="1"/>
  <c r="M7436" i="1" a="1"/>
  <c r="M7436" i="1" s="1"/>
  <c r="B7437" i="1"/>
  <c r="P7436" i="1" a="1"/>
  <c r="P7436" i="1" s="1"/>
  <c r="Q7436" i="1" a="1"/>
  <c r="Q7436" i="1" s="1"/>
  <c r="I7436" i="1" a="1"/>
  <c r="I7436" i="1" s="1"/>
  <c r="K7436" i="1" a="1"/>
  <c r="K7436" i="1" s="1"/>
  <c r="L7436" i="1" a="1"/>
  <c r="L7436" i="1" s="1"/>
  <c r="A7439" i="1"/>
  <c r="H7438" i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437" i="1" l="1" a="1"/>
  <c r="I7437" i="1" s="1"/>
  <c r="M7437" i="1" a="1"/>
  <c r="M7437" i="1" s="1"/>
  <c r="Q7437" i="1" a="1"/>
  <c r="Q7437" i="1" s="1"/>
  <c r="J7437" i="1" a="1"/>
  <c r="J7437" i="1" s="1"/>
  <c r="N7437" i="1" a="1"/>
  <c r="N7437" i="1" s="1"/>
  <c r="R7437" i="1" a="1"/>
  <c r="R7437" i="1" s="1"/>
  <c r="L7437" i="1" a="1"/>
  <c r="L7437" i="1" s="1"/>
  <c r="S7437" i="1" a="1"/>
  <c r="S7437" i="1" s="1"/>
  <c r="O7437" i="1" a="1"/>
  <c r="O7437" i="1" s="1"/>
  <c r="B7438" i="1"/>
  <c r="K7437" i="1" a="1"/>
  <c r="K7437" i="1" s="1"/>
  <c r="P7437" i="1" a="1"/>
  <c r="P7437" i="1" s="1"/>
  <c r="A7440" i="1"/>
  <c r="H7439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441" i="1" l="1"/>
  <c r="H7440" i="1"/>
  <c r="L7438" i="1" a="1"/>
  <c r="L7438" i="1" s="1"/>
  <c r="P7438" i="1" a="1"/>
  <c r="P7438" i="1" s="1"/>
  <c r="B7439" i="1"/>
  <c r="I7438" i="1" a="1"/>
  <c r="I7438" i="1" s="1"/>
  <c r="M7438" i="1" a="1"/>
  <c r="M7438" i="1" s="1"/>
  <c r="Q7438" i="1" a="1"/>
  <c r="Q7438" i="1" s="1"/>
  <c r="S7438" i="1" a="1"/>
  <c r="S7438" i="1" s="1"/>
  <c r="N7438" i="1" a="1"/>
  <c r="N7438" i="1" s="1"/>
  <c r="O7438" i="1" a="1"/>
  <c r="O7438" i="1" s="1"/>
  <c r="J7438" i="1" a="1"/>
  <c r="J7438" i="1" s="1"/>
  <c r="K7438" i="1" a="1"/>
  <c r="K7438" i="1" s="1"/>
  <c r="R7438" i="1" a="1"/>
  <c r="R7438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439" i="1" l="1" a="1"/>
  <c r="K7439" i="1" s="1"/>
  <c r="O7439" i="1" a="1"/>
  <c r="O7439" i="1" s="1"/>
  <c r="S7439" i="1" a="1"/>
  <c r="S7439" i="1" s="1"/>
  <c r="L7439" i="1" a="1"/>
  <c r="L7439" i="1" s="1"/>
  <c r="P7439" i="1" a="1"/>
  <c r="P7439" i="1" s="1"/>
  <c r="R7439" i="1" a="1"/>
  <c r="R7439" i="1" s="1"/>
  <c r="M7439" i="1" a="1"/>
  <c r="M7439" i="1" s="1"/>
  <c r="B7440" i="1"/>
  <c r="N7439" i="1" a="1"/>
  <c r="N7439" i="1" s="1"/>
  <c r="I7439" i="1" a="1"/>
  <c r="I7439" i="1" s="1"/>
  <c r="Q7439" i="1" a="1"/>
  <c r="Q7439" i="1" s="1"/>
  <c r="J7439" i="1" a="1"/>
  <c r="J7439" i="1" s="1"/>
  <c r="A7442" i="1"/>
  <c r="H7441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7443" i="1" l="1"/>
  <c r="H7442" i="1"/>
  <c r="J7440" i="1" a="1"/>
  <c r="J7440" i="1" s="1"/>
  <c r="N7440" i="1" a="1"/>
  <c r="N7440" i="1" s="1"/>
  <c r="R7440" i="1" a="1"/>
  <c r="R7440" i="1" s="1"/>
  <c r="K7440" i="1" a="1"/>
  <c r="K7440" i="1" s="1"/>
  <c r="O7440" i="1" a="1"/>
  <c r="O7440" i="1" s="1"/>
  <c r="S7440" i="1" a="1"/>
  <c r="S7440" i="1" s="1"/>
  <c r="L7440" i="1" a="1"/>
  <c r="L7440" i="1" s="1"/>
  <c r="M7440" i="1" a="1"/>
  <c r="M7440" i="1" s="1"/>
  <c r="B7441" i="1"/>
  <c r="Q7440" i="1" a="1"/>
  <c r="Q7440" i="1" s="1"/>
  <c r="I7440" i="1" a="1"/>
  <c r="I7440" i="1" s="1"/>
  <c r="P7440" i="1" a="1"/>
  <c r="P7440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I7441" i="1" l="1" a="1"/>
  <c r="I7441" i="1" s="1"/>
  <c r="M7441" i="1" a="1"/>
  <c r="M7441" i="1" s="1"/>
  <c r="Q7441" i="1" a="1"/>
  <c r="Q7441" i="1" s="1"/>
  <c r="J7441" i="1" a="1"/>
  <c r="J7441" i="1" s="1"/>
  <c r="N7441" i="1" a="1"/>
  <c r="N7441" i="1" s="1"/>
  <c r="R7441" i="1" a="1"/>
  <c r="R7441" i="1" s="1"/>
  <c r="L7441" i="1" a="1"/>
  <c r="L7441" i="1" s="1"/>
  <c r="S7441" i="1" a="1"/>
  <c r="S7441" i="1" s="1"/>
  <c r="O7441" i="1" a="1"/>
  <c r="O7441" i="1" s="1"/>
  <c r="B7442" i="1"/>
  <c r="K7441" i="1" a="1"/>
  <c r="K7441" i="1" s="1"/>
  <c r="P7441" i="1" a="1"/>
  <c r="P7441" i="1" s="1"/>
  <c r="A7444" i="1"/>
  <c r="H7443" i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A7445" i="1" l="1"/>
  <c r="H7444" i="1"/>
  <c r="L7442" i="1" a="1"/>
  <c r="L7442" i="1" s="1"/>
  <c r="P7442" i="1" a="1"/>
  <c r="P7442" i="1" s="1"/>
  <c r="B7443" i="1"/>
  <c r="I7442" i="1" a="1"/>
  <c r="I7442" i="1" s="1"/>
  <c r="M7442" i="1" a="1"/>
  <c r="M7442" i="1" s="1"/>
  <c r="Q7442" i="1" a="1"/>
  <c r="Q7442" i="1" s="1"/>
  <c r="K7442" i="1" a="1"/>
  <c r="K7442" i="1" s="1"/>
  <c r="R7442" i="1" a="1"/>
  <c r="R7442" i="1" s="1"/>
  <c r="S7442" i="1" a="1"/>
  <c r="S7442" i="1" s="1"/>
  <c r="N7442" i="1" a="1"/>
  <c r="N7442" i="1" s="1"/>
  <c r="J7442" i="1" a="1"/>
  <c r="J7442" i="1" s="1"/>
  <c r="O7442" i="1" a="1"/>
  <c r="O7442" i="1" s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K7443" i="1" l="1" a="1"/>
  <c r="K7443" i="1" s="1"/>
  <c r="O7443" i="1" a="1"/>
  <c r="O7443" i="1" s="1"/>
  <c r="S7443" i="1" a="1"/>
  <c r="S7443" i="1" s="1"/>
  <c r="L7443" i="1" a="1"/>
  <c r="L7443" i="1" s="1"/>
  <c r="P7443" i="1" a="1"/>
  <c r="P7443" i="1" s="1"/>
  <c r="R7443" i="1" a="1"/>
  <c r="R7443" i="1" s="1"/>
  <c r="M7443" i="1" a="1"/>
  <c r="M7443" i="1" s="1"/>
  <c r="B7444" i="1"/>
  <c r="N7443" i="1" a="1"/>
  <c r="N7443" i="1" s="1"/>
  <c r="J7443" i="1" a="1"/>
  <c r="J7443" i="1" s="1"/>
  <c r="Q7443" i="1" a="1"/>
  <c r="Q7443" i="1" s="1"/>
  <c r="I7443" i="1" a="1"/>
  <c r="I7443" i="1" s="1"/>
  <c r="A7446" i="1"/>
  <c r="H7445" i="1"/>
  <c r="B7027" i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444" i="1" l="1" a="1"/>
  <c r="J7444" i="1" s="1"/>
  <c r="N7444" i="1" a="1"/>
  <c r="N7444" i="1" s="1"/>
  <c r="R7444" i="1" a="1"/>
  <c r="R7444" i="1" s="1"/>
  <c r="K7444" i="1" a="1"/>
  <c r="K7444" i="1" s="1"/>
  <c r="O7444" i="1" a="1"/>
  <c r="O7444" i="1" s="1"/>
  <c r="S7444" i="1" a="1"/>
  <c r="S7444" i="1" s="1"/>
  <c r="Q7444" i="1" a="1"/>
  <c r="Q7444" i="1" s="1"/>
  <c r="L7444" i="1" a="1"/>
  <c r="L7444" i="1" s="1"/>
  <c r="M7444" i="1" a="1"/>
  <c r="M7444" i="1" s="1"/>
  <c r="B7445" i="1"/>
  <c r="P7444" i="1" a="1"/>
  <c r="P7444" i="1" s="1"/>
  <c r="I7444" i="1" a="1"/>
  <c r="I7444" i="1" s="1"/>
  <c r="A7447" i="1"/>
  <c r="H7446" i="1"/>
  <c r="J7027" i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448" i="1" l="1"/>
  <c r="H7447" i="1"/>
  <c r="I7445" i="1" a="1"/>
  <c r="I7445" i="1" s="1"/>
  <c r="M7445" i="1" a="1"/>
  <c r="M7445" i="1" s="1"/>
  <c r="Q7445" i="1" a="1"/>
  <c r="Q7445" i="1" s="1"/>
  <c r="J7445" i="1" a="1"/>
  <c r="J7445" i="1" s="1"/>
  <c r="N7445" i="1" a="1"/>
  <c r="N7445" i="1" s="1"/>
  <c r="R7445" i="1" a="1"/>
  <c r="R7445" i="1" s="1"/>
  <c r="K7445" i="1" a="1"/>
  <c r="K7445" i="1" s="1"/>
  <c r="L7445" i="1" a="1"/>
  <c r="L7445" i="1" s="1"/>
  <c r="S7445" i="1" a="1"/>
  <c r="S7445" i="1" s="1"/>
  <c r="B7446" i="1"/>
  <c r="O7445" i="1" a="1"/>
  <c r="O7445" i="1" s="1"/>
  <c r="P7445" i="1" a="1"/>
  <c r="P7445" i="1" s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446" i="1" l="1" a="1"/>
  <c r="L7446" i="1" s="1"/>
  <c r="P7446" i="1" a="1"/>
  <c r="P7446" i="1" s="1"/>
  <c r="B7447" i="1"/>
  <c r="I7446" i="1" a="1"/>
  <c r="I7446" i="1" s="1"/>
  <c r="M7446" i="1" a="1"/>
  <c r="M7446" i="1" s="1"/>
  <c r="Q7446" i="1" a="1"/>
  <c r="Q7446" i="1" s="1"/>
  <c r="K7446" i="1" a="1"/>
  <c r="K7446" i="1" s="1"/>
  <c r="R7446" i="1" a="1"/>
  <c r="R7446" i="1" s="1"/>
  <c r="S7446" i="1" a="1"/>
  <c r="S7446" i="1" s="1"/>
  <c r="N7446" i="1" a="1"/>
  <c r="N7446" i="1" s="1"/>
  <c r="J7446" i="1" a="1"/>
  <c r="J7446" i="1" s="1"/>
  <c r="O7446" i="1" a="1"/>
  <c r="O7446" i="1" s="1"/>
  <c r="A7449" i="1"/>
  <c r="H7448" i="1"/>
  <c r="L7029" i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K7447" i="1" l="1" a="1"/>
  <c r="K7447" i="1" s="1"/>
  <c r="O7447" i="1" a="1"/>
  <c r="O7447" i="1" s="1"/>
  <c r="S7447" i="1" a="1"/>
  <c r="S7447" i="1" s="1"/>
  <c r="L7447" i="1" a="1"/>
  <c r="L7447" i="1" s="1"/>
  <c r="P7447" i="1" a="1"/>
  <c r="P7447" i="1" s="1"/>
  <c r="J7447" i="1" a="1"/>
  <c r="J7447" i="1" s="1"/>
  <c r="Q7447" i="1" a="1"/>
  <c r="Q7447" i="1" s="1"/>
  <c r="R7447" i="1" a="1"/>
  <c r="R7447" i="1" s="1"/>
  <c r="M7447" i="1" a="1"/>
  <c r="M7447" i="1" s="1"/>
  <c r="B7448" i="1"/>
  <c r="N7447" i="1" a="1"/>
  <c r="N7447" i="1" s="1"/>
  <c r="I7447" i="1" a="1"/>
  <c r="I7447" i="1" s="1"/>
  <c r="A7450" i="1"/>
  <c r="H7449" i="1"/>
  <c r="H7030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A7451" i="1" l="1"/>
  <c r="H7450" i="1"/>
  <c r="J7448" i="1" a="1"/>
  <c r="J7448" i="1" s="1"/>
  <c r="N7448" i="1" a="1"/>
  <c r="N7448" i="1" s="1"/>
  <c r="R7448" i="1" a="1"/>
  <c r="R7448" i="1" s="1"/>
  <c r="K7448" i="1" a="1"/>
  <c r="K7448" i="1" s="1"/>
  <c r="O7448" i="1" a="1"/>
  <c r="O7448" i="1" s="1"/>
  <c r="S7448" i="1" a="1"/>
  <c r="S7448" i="1" s="1"/>
  <c r="Q7448" i="1" a="1"/>
  <c r="Q7448" i="1" s="1"/>
  <c r="L7448" i="1" a="1"/>
  <c r="L7448" i="1" s="1"/>
  <c r="M7448" i="1" a="1"/>
  <c r="M7448" i="1" s="1"/>
  <c r="P7448" i="1" a="1"/>
  <c r="P7448" i="1" s="1"/>
  <c r="B7449" i="1"/>
  <c r="I7448" i="1" a="1"/>
  <c r="I7448" i="1" s="1"/>
  <c r="J7031" i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O7031" i="1" a="1"/>
  <c r="O7031" i="1" s="1"/>
  <c r="P7031" i="1" a="1"/>
  <c r="P7031" i="1" s="1"/>
  <c r="K7031" i="1" a="1"/>
  <c r="K7031" i="1" s="1"/>
  <c r="Q7031" i="1" a="1"/>
  <c r="Q7031" i="1" s="1"/>
  <c r="H7031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449" i="1" l="1" a="1"/>
  <c r="I7449" i="1" s="1"/>
  <c r="M7449" i="1" a="1"/>
  <c r="M7449" i="1" s="1"/>
  <c r="Q7449" i="1" a="1"/>
  <c r="Q7449" i="1" s="1"/>
  <c r="J7449" i="1" a="1"/>
  <c r="J7449" i="1" s="1"/>
  <c r="N7449" i="1" a="1"/>
  <c r="N7449" i="1" s="1"/>
  <c r="R7449" i="1" a="1"/>
  <c r="R7449" i="1" s="1"/>
  <c r="P7449" i="1" a="1"/>
  <c r="P7449" i="1" s="1"/>
  <c r="K7449" i="1" a="1"/>
  <c r="K7449" i="1" s="1"/>
  <c r="L7449" i="1" a="1"/>
  <c r="L7449" i="1" s="1"/>
  <c r="S7449" i="1" a="1"/>
  <c r="S7449" i="1" s="1"/>
  <c r="B7450" i="1"/>
  <c r="O7449" i="1" a="1"/>
  <c r="O7449" i="1" s="1"/>
  <c r="A7452" i="1"/>
  <c r="H7451" i="1"/>
  <c r="I7032" i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H7452" i="1" l="1"/>
  <c r="A7453" i="1"/>
  <c r="L7450" i="1" a="1"/>
  <c r="L7450" i="1" s="1"/>
  <c r="P7450" i="1" a="1"/>
  <c r="P7450" i="1" s="1"/>
  <c r="B7451" i="1"/>
  <c r="I7450" i="1" a="1"/>
  <c r="I7450" i="1" s="1"/>
  <c r="M7450" i="1" a="1"/>
  <c r="M7450" i="1" s="1"/>
  <c r="Q7450" i="1" a="1"/>
  <c r="Q7450" i="1" s="1"/>
  <c r="J7450" i="1" a="1"/>
  <c r="J7450" i="1" s="1"/>
  <c r="K7450" i="1" a="1"/>
  <c r="K7450" i="1" s="1"/>
  <c r="R7450" i="1" a="1"/>
  <c r="R7450" i="1" s="1"/>
  <c r="S7450" i="1" a="1"/>
  <c r="S7450" i="1" s="1"/>
  <c r="N7450" i="1" a="1"/>
  <c r="N7450" i="1" s="1"/>
  <c r="O7450" i="1" a="1"/>
  <c r="O7450" i="1" s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451" i="1" l="1" a="1"/>
  <c r="K7451" i="1" s="1"/>
  <c r="O7451" i="1" a="1"/>
  <c r="O7451" i="1" s="1"/>
  <c r="S7451" i="1" a="1"/>
  <c r="S7451" i="1" s="1"/>
  <c r="I7451" i="1" a="1"/>
  <c r="I7451" i="1" s="1"/>
  <c r="N7451" i="1" a="1"/>
  <c r="N7451" i="1" s="1"/>
  <c r="B7452" i="1"/>
  <c r="J7451" i="1" a="1"/>
  <c r="J7451" i="1" s="1"/>
  <c r="P7451" i="1" a="1"/>
  <c r="P7451" i="1" s="1"/>
  <c r="L7451" i="1" a="1"/>
  <c r="L7451" i="1" s="1"/>
  <c r="Q7451" i="1" a="1"/>
  <c r="Q7451" i="1" s="1"/>
  <c r="M7451" i="1" a="1"/>
  <c r="M7451" i="1" s="1"/>
  <c r="R7451" i="1" a="1"/>
  <c r="R7451" i="1" s="1"/>
  <c r="A7454" i="1"/>
  <c r="H7453" i="1"/>
  <c r="K7034" i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452" i="1" l="1" a="1"/>
  <c r="J7452" i="1" s="1"/>
  <c r="N7452" i="1" a="1"/>
  <c r="N7452" i="1" s="1"/>
  <c r="R7452" i="1" a="1"/>
  <c r="R7452" i="1" s="1"/>
  <c r="L7452" i="1" a="1"/>
  <c r="L7452" i="1" s="1"/>
  <c r="Q7452" i="1" a="1"/>
  <c r="Q7452" i="1" s="1"/>
  <c r="M7452" i="1" a="1"/>
  <c r="M7452" i="1" s="1"/>
  <c r="S7452" i="1" a="1"/>
  <c r="S7452" i="1" s="1"/>
  <c r="I7452" i="1" a="1"/>
  <c r="I7452" i="1" s="1"/>
  <c r="O7452" i="1" a="1"/>
  <c r="O7452" i="1" s="1"/>
  <c r="K7452" i="1" a="1"/>
  <c r="K7452" i="1" s="1"/>
  <c r="P7452" i="1" a="1"/>
  <c r="P7452" i="1" s="1"/>
  <c r="B7453" i="1"/>
  <c r="A7455" i="1"/>
  <c r="H7454" i="1"/>
  <c r="J7035" i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7456" i="1" l="1"/>
  <c r="H7455" i="1"/>
  <c r="I7453" i="1" a="1"/>
  <c r="I7453" i="1" s="1"/>
  <c r="M7453" i="1" a="1"/>
  <c r="M7453" i="1" s="1"/>
  <c r="Q7453" i="1" a="1"/>
  <c r="Q7453" i="1" s="1"/>
  <c r="J7453" i="1" a="1"/>
  <c r="J7453" i="1" s="1"/>
  <c r="O7453" i="1" a="1"/>
  <c r="O7453" i="1" s="1"/>
  <c r="B7454" i="1"/>
  <c r="K7453" i="1" a="1"/>
  <c r="K7453" i="1" s="1"/>
  <c r="P7453" i="1" a="1"/>
  <c r="P7453" i="1" s="1"/>
  <c r="L7453" i="1" a="1"/>
  <c r="L7453" i="1" s="1"/>
  <c r="R7453" i="1" a="1"/>
  <c r="R7453" i="1" s="1"/>
  <c r="N7453" i="1" a="1"/>
  <c r="N7453" i="1" s="1"/>
  <c r="S7453" i="1" a="1"/>
  <c r="S7453" i="1" s="1"/>
  <c r="H7036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L7454" i="1" l="1" a="1"/>
  <c r="L7454" i="1" s="1"/>
  <c r="P7454" i="1" a="1"/>
  <c r="P7454" i="1" s="1"/>
  <c r="B7455" i="1"/>
  <c r="M7454" i="1" a="1"/>
  <c r="M7454" i="1" s="1"/>
  <c r="R7454" i="1" a="1"/>
  <c r="R7454" i="1" s="1"/>
  <c r="I7454" i="1" a="1"/>
  <c r="I7454" i="1" s="1"/>
  <c r="N7454" i="1" a="1"/>
  <c r="N7454" i="1" s="1"/>
  <c r="S7454" i="1" a="1"/>
  <c r="S7454" i="1" s="1"/>
  <c r="J7454" i="1" a="1"/>
  <c r="J7454" i="1" s="1"/>
  <c r="O7454" i="1" a="1"/>
  <c r="O7454" i="1" s="1"/>
  <c r="Q7454" i="1" a="1"/>
  <c r="Q7454" i="1" s="1"/>
  <c r="K7454" i="1" a="1"/>
  <c r="K7454" i="1" s="1"/>
  <c r="H7456" i="1"/>
  <c r="A7457" i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7458" i="1" l="1"/>
  <c r="H7457" i="1"/>
  <c r="K7455" i="1" a="1"/>
  <c r="K7455" i="1" s="1"/>
  <c r="O7455" i="1" a="1"/>
  <c r="O7455" i="1" s="1"/>
  <c r="S7455" i="1" a="1"/>
  <c r="S7455" i="1" s="1"/>
  <c r="J7455" i="1" a="1"/>
  <c r="J7455" i="1" s="1"/>
  <c r="P7455" i="1" a="1"/>
  <c r="P7455" i="1" s="1"/>
  <c r="L7455" i="1" a="1"/>
  <c r="L7455" i="1" s="1"/>
  <c r="Q7455" i="1" a="1"/>
  <c r="Q7455" i="1" s="1"/>
  <c r="M7455" i="1" a="1"/>
  <c r="M7455" i="1" s="1"/>
  <c r="R7455" i="1" a="1"/>
  <c r="R7455" i="1" s="1"/>
  <c r="N7455" i="1" a="1"/>
  <c r="N7455" i="1" s="1"/>
  <c r="B7456" i="1"/>
  <c r="I7455" i="1" a="1"/>
  <c r="I7455" i="1" s="1"/>
  <c r="K7038" i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J7456" i="1" l="1" a="1"/>
  <c r="J7456" i="1" s="1"/>
  <c r="N7456" i="1" a="1"/>
  <c r="N7456" i="1" s="1"/>
  <c r="R7456" i="1" a="1"/>
  <c r="R7456" i="1" s="1"/>
  <c r="M7456" i="1" a="1"/>
  <c r="M7456" i="1" s="1"/>
  <c r="S7456" i="1" a="1"/>
  <c r="S7456" i="1" s="1"/>
  <c r="I7456" i="1" a="1"/>
  <c r="I7456" i="1" s="1"/>
  <c r="O7456" i="1" a="1"/>
  <c r="O7456" i="1" s="1"/>
  <c r="B7457" i="1"/>
  <c r="K7456" i="1" a="1"/>
  <c r="K7456" i="1" s="1"/>
  <c r="P7456" i="1" a="1"/>
  <c r="P7456" i="1" s="1"/>
  <c r="Q7456" i="1" a="1"/>
  <c r="Q7456" i="1" s="1"/>
  <c r="L7456" i="1" a="1"/>
  <c r="L7456" i="1" s="1"/>
  <c r="A7459" i="1"/>
  <c r="H7458" i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H7459" i="1" l="1"/>
  <c r="A7460" i="1"/>
  <c r="I7457" i="1" a="1"/>
  <c r="I7457" i="1" s="1"/>
  <c r="M7457" i="1" a="1"/>
  <c r="M7457" i="1" s="1"/>
  <c r="Q7457" i="1" a="1"/>
  <c r="Q7457" i="1" s="1"/>
  <c r="K7457" i="1" a="1"/>
  <c r="K7457" i="1" s="1"/>
  <c r="P7457" i="1" a="1"/>
  <c r="P7457" i="1" s="1"/>
  <c r="L7457" i="1" a="1"/>
  <c r="L7457" i="1" s="1"/>
  <c r="R7457" i="1" a="1"/>
  <c r="R7457" i="1" s="1"/>
  <c r="N7457" i="1" a="1"/>
  <c r="N7457" i="1" s="1"/>
  <c r="S7457" i="1" a="1"/>
  <c r="S7457" i="1" s="1"/>
  <c r="B7458" i="1"/>
  <c r="J7457" i="1" a="1"/>
  <c r="J7457" i="1" s="1"/>
  <c r="O7457" i="1" a="1"/>
  <c r="O7457" i="1" s="1"/>
  <c r="I7040" i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458" i="1" l="1" a="1"/>
  <c r="L7458" i="1" s="1"/>
  <c r="P7458" i="1" a="1"/>
  <c r="P7458" i="1" s="1"/>
  <c r="B7459" i="1"/>
  <c r="I7458" i="1" a="1"/>
  <c r="I7458" i="1" s="1"/>
  <c r="N7458" i="1" a="1"/>
  <c r="N7458" i="1" s="1"/>
  <c r="S7458" i="1" a="1"/>
  <c r="S7458" i="1" s="1"/>
  <c r="J7458" i="1" a="1"/>
  <c r="J7458" i="1" s="1"/>
  <c r="O7458" i="1" a="1"/>
  <c r="O7458" i="1" s="1"/>
  <c r="K7458" i="1" a="1"/>
  <c r="K7458" i="1" s="1"/>
  <c r="Q7458" i="1" a="1"/>
  <c r="Q7458" i="1" s="1"/>
  <c r="R7458" i="1" a="1"/>
  <c r="R7458" i="1" s="1"/>
  <c r="M7458" i="1" a="1"/>
  <c r="M7458" i="1" s="1"/>
  <c r="A7461" i="1"/>
  <c r="H7460" i="1"/>
  <c r="L7041" i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H7461" i="1" l="1"/>
  <c r="A7462" i="1"/>
  <c r="K7459" i="1" a="1"/>
  <c r="K7459" i="1" s="1"/>
  <c r="O7459" i="1" a="1"/>
  <c r="O7459" i="1" s="1"/>
  <c r="S7459" i="1" a="1"/>
  <c r="S7459" i="1" s="1"/>
  <c r="L7459" i="1" a="1"/>
  <c r="L7459" i="1" s="1"/>
  <c r="Q7459" i="1" a="1"/>
  <c r="Q7459" i="1" s="1"/>
  <c r="M7459" i="1" a="1"/>
  <c r="M7459" i="1" s="1"/>
  <c r="R7459" i="1" a="1"/>
  <c r="R7459" i="1" s="1"/>
  <c r="I7459" i="1" a="1"/>
  <c r="I7459" i="1" s="1"/>
  <c r="N7459" i="1" a="1"/>
  <c r="N7459" i="1" s="1"/>
  <c r="B7460" i="1"/>
  <c r="J7459" i="1" a="1"/>
  <c r="J7459" i="1" s="1"/>
  <c r="P7459" i="1" a="1"/>
  <c r="P7459" i="1" s="1"/>
  <c r="K7042" i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J7460" i="1" l="1" a="1"/>
  <c r="J7460" i="1" s="1"/>
  <c r="N7460" i="1" a="1"/>
  <c r="N7460" i="1" s="1"/>
  <c r="R7460" i="1" a="1"/>
  <c r="R7460" i="1" s="1"/>
  <c r="I7460" i="1" a="1"/>
  <c r="I7460" i="1" s="1"/>
  <c r="O7460" i="1" a="1"/>
  <c r="O7460" i="1" s="1"/>
  <c r="B7461" i="1"/>
  <c r="K7460" i="1" a="1"/>
  <c r="K7460" i="1" s="1"/>
  <c r="P7460" i="1" a="1"/>
  <c r="P7460" i="1" s="1"/>
  <c r="L7460" i="1" a="1"/>
  <c r="L7460" i="1" s="1"/>
  <c r="Q7460" i="1" a="1"/>
  <c r="Q7460" i="1" s="1"/>
  <c r="M7460" i="1" a="1"/>
  <c r="M7460" i="1" s="1"/>
  <c r="S7460" i="1" a="1"/>
  <c r="S7460" i="1" s="1"/>
  <c r="A7463" i="1"/>
  <c r="H7462" i="1"/>
  <c r="H7043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461" i="1" l="1" a="1"/>
  <c r="I7461" i="1" s="1"/>
  <c r="M7461" i="1" a="1"/>
  <c r="M7461" i="1" s="1"/>
  <c r="Q7461" i="1" a="1"/>
  <c r="Q7461" i="1" s="1"/>
  <c r="L7461" i="1" a="1"/>
  <c r="L7461" i="1" s="1"/>
  <c r="R7461" i="1" a="1"/>
  <c r="R7461" i="1" s="1"/>
  <c r="N7461" i="1" a="1"/>
  <c r="N7461" i="1" s="1"/>
  <c r="S7461" i="1" a="1"/>
  <c r="S7461" i="1" s="1"/>
  <c r="J7461" i="1" a="1"/>
  <c r="J7461" i="1" s="1"/>
  <c r="O7461" i="1" a="1"/>
  <c r="O7461" i="1" s="1"/>
  <c r="K7461" i="1" a="1"/>
  <c r="K7461" i="1" s="1"/>
  <c r="P7461" i="1" a="1"/>
  <c r="P7461" i="1" s="1"/>
  <c r="B7462" i="1"/>
  <c r="H7463" i="1"/>
  <c r="A7464" i="1"/>
  <c r="I7044" i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L7462" i="1" l="1" a="1"/>
  <c r="L7462" i="1" s="1"/>
  <c r="P7462" i="1" a="1"/>
  <c r="P7462" i="1" s="1"/>
  <c r="B7463" i="1"/>
  <c r="J7462" i="1" a="1"/>
  <c r="J7462" i="1" s="1"/>
  <c r="O7462" i="1" a="1"/>
  <c r="O7462" i="1" s="1"/>
  <c r="K7462" i="1" a="1"/>
  <c r="K7462" i="1" s="1"/>
  <c r="Q7462" i="1" a="1"/>
  <c r="Q7462" i="1" s="1"/>
  <c r="M7462" i="1" a="1"/>
  <c r="M7462" i="1" s="1"/>
  <c r="R7462" i="1" a="1"/>
  <c r="R7462" i="1" s="1"/>
  <c r="I7462" i="1" a="1"/>
  <c r="I7462" i="1" s="1"/>
  <c r="N7462" i="1" a="1"/>
  <c r="N7462" i="1" s="1"/>
  <c r="S7462" i="1" a="1"/>
  <c r="S7462" i="1" s="1"/>
  <c r="A7465" i="1"/>
  <c r="H7464" i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H7465" i="1" l="1"/>
  <c r="A7466" i="1"/>
  <c r="K7463" i="1" a="1"/>
  <c r="K7463" i="1" s="1"/>
  <c r="O7463" i="1" a="1"/>
  <c r="O7463" i="1" s="1"/>
  <c r="S7463" i="1" a="1"/>
  <c r="S7463" i="1" s="1"/>
  <c r="M7463" i="1" a="1"/>
  <c r="M7463" i="1" s="1"/>
  <c r="R7463" i="1" a="1"/>
  <c r="R7463" i="1" s="1"/>
  <c r="I7463" i="1" a="1"/>
  <c r="I7463" i="1" s="1"/>
  <c r="N7463" i="1" a="1"/>
  <c r="N7463" i="1" s="1"/>
  <c r="B7464" i="1"/>
  <c r="J7463" i="1" a="1"/>
  <c r="J7463" i="1" s="1"/>
  <c r="P7463" i="1" a="1"/>
  <c r="P7463" i="1" s="1"/>
  <c r="L7463" i="1" a="1"/>
  <c r="L7463" i="1" s="1"/>
  <c r="Q7463" i="1" a="1"/>
  <c r="Q7463" i="1" s="1"/>
  <c r="K7046" i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3526" i="1"/>
  <c r="I3525" i="1" a="1"/>
  <c r="I3525" i="1" s="1"/>
  <c r="H3525" i="1"/>
  <c r="A7467" i="1" l="1"/>
  <c r="H7466" i="1"/>
  <c r="J7464" i="1" a="1"/>
  <c r="J7464" i="1" s="1"/>
  <c r="N7464" i="1" a="1"/>
  <c r="N7464" i="1" s="1"/>
  <c r="R7464" i="1" a="1"/>
  <c r="R7464" i="1" s="1"/>
  <c r="K7464" i="1" a="1"/>
  <c r="K7464" i="1" s="1"/>
  <c r="P7464" i="1" a="1"/>
  <c r="P7464" i="1" s="1"/>
  <c r="L7464" i="1" a="1"/>
  <c r="L7464" i="1" s="1"/>
  <c r="Q7464" i="1" a="1"/>
  <c r="Q7464" i="1" s="1"/>
  <c r="M7464" i="1" a="1"/>
  <c r="M7464" i="1" s="1"/>
  <c r="S7464" i="1" a="1"/>
  <c r="S7464" i="1" s="1"/>
  <c r="O7464" i="1" a="1"/>
  <c r="O7464" i="1" s="1"/>
  <c r="I7464" i="1" a="1"/>
  <c r="I7464" i="1" s="1"/>
  <c r="B7465" i="1"/>
  <c r="J7047" i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H7047" i="1"/>
  <c r="A3527" i="1"/>
  <c r="L3526" i="1" a="1"/>
  <c r="L3526" i="1" s="1"/>
  <c r="H3526" i="1"/>
  <c r="I7465" i="1" l="1" a="1"/>
  <c r="I7465" i="1" s="1"/>
  <c r="M7465" i="1" a="1"/>
  <c r="M7465" i="1" s="1"/>
  <c r="Q7465" i="1" a="1"/>
  <c r="Q7465" i="1" s="1"/>
  <c r="N7465" i="1" a="1"/>
  <c r="N7465" i="1" s="1"/>
  <c r="S7465" i="1" a="1"/>
  <c r="S7465" i="1" s="1"/>
  <c r="J7465" i="1" a="1"/>
  <c r="J7465" i="1" s="1"/>
  <c r="O7465" i="1" a="1"/>
  <c r="O7465" i="1" s="1"/>
  <c r="B7466" i="1"/>
  <c r="K7465" i="1" a="1"/>
  <c r="K7465" i="1" s="1"/>
  <c r="P7465" i="1" a="1"/>
  <c r="P7465" i="1" s="1"/>
  <c r="L7465" i="1" a="1"/>
  <c r="L7465" i="1" s="1"/>
  <c r="R7465" i="1" a="1"/>
  <c r="R7465" i="1" s="1"/>
  <c r="A7468" i="1"/>
  <c r="H7467" i="1"/>
  <c r="H7048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466" i="1" l="1" a="1"/>
  <c r="L7466" i="1" s="1"/>
  <c r="P7466" i="1" a="1"/>
  <c r="P7466" i="1" s="1"/>
  <c r="B7467" i="1"/>
  <c r="K7466" i="1" a="1"/>
  <c r="K7466" i="1" s="1"/>
  <c r="Q7466" i="1" a="1"/>
  <c r="Q7466" i="1" s="1"/>
  <c r="M7466" i="1" a="1"/>
  <c r="M7466" i="1" s="1"/>
  <c r="R7466" i="1" a="1"/>
  <c r="R7466" i="1" s="1"/>
  <c r="I7466" i="1" a="1"/>
  <c r="I7466" i="1" s="1"/>
  <c r="N7466" i="1" a="1"/>
  <c r="N7466" i="1" s="1"/>
  <c r="S7466" i="1" a="1"/>
  <c r="S7466" i="1" s="1"/>
  <c r="O7466" i="1" a="1"/>
  <c r="O7466" i="1" s="1"/>
  <c r="J7466" i="1" a="1"/>
  <c r="J7466" i="1" s="1"/>
  <c r="H7468" i="1"/>
  <c r="A7469" i="1"/>
  <c r="L7049" i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H7049" i="1"/>
  <c r="A3529" i="1"/>
  <c r="O3528" i="1" a="1"/>
  <c r="O3528" i="1" s="1"/>
  <c r="H3528" i="1"/>
  <c r="A7470" i="1" l="1"/>
  <c r="H7469" i="1"/>
  <c r="K7467" i="1" a="1"/>
  <c r="K7467" i="1" s="1"/>
  <c r="O7467" i="1" a="1"/>
  <c r="O7467" i="1" s="1"/>
  <c r="S7467" i="1" a="1"/>
  <c r="S7467" i="1" s="1"/>
  <c r="I7467" i="1" a="1"/>
  <c r="I7467" i="1" s="1"/>
  <c r="N7467" i="1" a="1"/>
  <c r="N7467" i="1" s="1"/>
  <c r="B7468" i="1"/>
  <c r="J7467" i="1" a="1"/>
  <c r="J7467" i="1" s="1"/>
  <c r="P7467" i="1" a="1"/>
  <c r="P7467" i="1" s="1"/>
  <c r="L7467" i="1" a="1"/>
  <c r="L7467" i="1" s="1"/>
  <c r="Q7467" i="1" a="1"/>
  <c r="Q7467" i="1" s="1"/>
  <c r="R7467" i="1" a="1"/>
  <c r="R7467" i="1" s="1"/>
  <c r="M7467" i="1" a="1"/>
  <c r="M7467" i="1" s="1"/>
  <c r="H7050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468" i="1" l="1" a="1"/>
  <c r="J7468" i="1" s="1"/>
  <c r="N7468" i="1" a="1"/>
  <c r="N7468" i="1" s="1"/>
  <c r="R7468" i="1" a="1"/>
  <c r="R7468" i="1" s="1"/>
  <c r="L7468" i="1" a="1"/>
  <c r="L7468" i="1" s="1"/>
  <c r="Q7468" i="1" a="1"/>
  <c r="Q7468" i="1" s="1"/>
  <c r="M7468" i="1" a="1"/>
  <c r="M7468" i="1" s="1"/>
  <c r="S7468" i="1" a="1"/>
  <c r="S7468" i="1" s="1"/>
  <c r="I7468" i="1" a="1"/>
  <c r="I7468" i="1" s="1"/>
  <c r="O7468" i="1" a="1"/>
  <c r="O7468" i="1" s="1"/>
  <c r="P7468" i="1" a="1"/>
  <c r="P7468" i="1" s="1"/>
  <c r="B7469" i="1"/>
  <c r="K7468" i="1" a="1"/>
  <c r="K7468" i="1" s="1"/>
  <c r="A7471" i="1"/>
  <c r="H7470" i="1"/>
  <c r="J7051" i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3531" i="1"/>
  <c r="H3530" i="1"/>
  <c r="O3530" i="1" a="1"/>
  <c r="O3530" i="1" s="1"/>
  <c r="A7472" i="1" l="1"/>
  <c r="H7471" i="1"/>
  <c r="I7469" i="1" a="1"/>
  <c r="I7469" i="1" s="1"/>
  <c r="M7469" i="1" a="1"/>
  <c r="M7469" i="1" s="1"/>
  <c r="Q7469" i="1" a="1"/>
  <c r="Q7469" i="1" s="1"/>
  <c r="J7469" i="1" a="1"/>
  <c r="J7469" i="1" s="1"/>
  <c r="O7469" i="1" a="1"/>
  <c r="O7469" i="1" s="1"/>
  <c r="B7470" i="1"/>
  <c r="K7469" i="1" a="1"/>
  <c r="K7469" i="1" s="1"/>
  <c r="P7469" i="1" a="1"/>
  <c r="P7469" i="1" s="1"/>
  <c r="L7469" i="1" a="1"/>
  <c r="L7469" i="1" s="1"/>
  <c r="R7469" i="1" a="1"/>
  <c r="R7469" i="1" s="1"/>
  <c r="S7469" i="1" a="1"/>
  <c r="S7469" i="1" s="1"/>
  <c r="N7469" i="1" a="1"/>
  <c r="N7469" i="1" s="1"/>
  <c r="H7052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470" i="1" l="1" a="1"/>
  <c r="L7470" i="1" s="1"/>
  <c r="P7470" i="1" a="1"/>
  <c r="P7470" i="1" s="1"/>
  <c r="B7471" i="1"/>
  <c r="M7470" i="1" a="1"/>
  <c r="M7470" i="1" s="1"/>
  <c r="R7470" i="1" a="1"/>
  <c r="R7470" i="1" s="1"/>
  <c r="I7470" i="1" a="1"/>
  <c r="I7470" i="1" s="1"/>
  <c r="N7470" i="1" a="1"/>
  <c r="N7470" i="1" s="1"/>
  <c r="S7470" i="1" a="1"/>
  <c r="S7470" i="1" s="1"/>
  <c r="J7470" i="1" a="1"/>
  <c r="J7470" i="1" s="1"/>
  <c r="O7470" i="1" a="1"/>
  <c r="O7470" i="1" s="1"/>
  <c r="K7470" i="1" a="1"/>
  <c r="K7470" i="1" s="1"/>
  <c r="Q7470" i="1" a="1"/>
  <c r="Q7470" i="1" s="1"/>
  <c r="H7472" i="1"/>
  <c r="A7473" i="1"/>
  <c r="L7053" i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H7053" i="1"/>
  <c r="A3533" i="1"/>
  <c r="O3532" i="1" a="1"/>
  <c r="O3532" i="1" s="1"/>
  <c r="H3532" i="1"/>
  <c r="A7474" i="1" l="1"/>
  <c r="H7473" i="1"/>
  <c r="K7471" i="1" a="1"/>
  <c r="K7471" i="1" s="1"/>
  <c r="O7471" i="1" a="1"/>
  <c r="O7471" i="1" s="1"/>
  <c r="S7471" i="1" a="1"/>
  <c r="S7471" i="1" s="1"/>
  <c r="J7471" i="1" a="1"/>
  <c r="J7471" i="1" s="1"/>
  <c r="P7471" i="1" a="1"/>
  <c r="P7471" i="1" s="1"/>
  <c r="L7471" i="1" a="1"/>
  <c r="L7471" i="1" s="1"/>
  <c r="Q7471" i="1" a="1"/>
  <c r="Q7471" i="1" s="1"/>
  <c r="M7471" i="1" a="1"/>
  <c r="M7471" i="1" s="1"/>
  <c r="R7471" i="1" a="1"/>
  <c r="R7471" i="1" s="1"/>
  <c r="B7472" i="1"/>
  <c r="I7471" i="1" a="1"/>
  <c r="I7471" i="1" s="1"/>
  <c r="N7471" i="1" a="1"/>
  <c r="N7471" i="1" s="1"/>
  <c r="H7054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J7472" i="1" l="1" a="1"/>
  <c r="J7472" i="1" s="1"/>
  <c r="N7472" i="1" a="1"/>
  <c r="N7472" i="1" s="1"/>
  <c r="R7472" i="1" a="1"/>
  <c r="R7472" i="1" s="1"/>
  <c r="M7472" i="1" a="1"/>
  <c r="M7472" i="1" s="1"/>
  <c r="I7472" i="1" a="1"/>
  <c r="I7472" i="1" s="1"/>
  <c r="S7472" i="1" a="1"/>
  <c r="S7472" i="1" s="1"/>
  <c r="O7472" i="1" a="1"/>
  <c r="O7472" i="1" s="1"/>
  <c r="K7472" i="1" a="1"/>
  <c r="K7472" i="1" s="1"/>
  <c r="B7473" i="1"/>
  <c r="L7472" i="1" a="1"/>
  <c r="L7472" i="1" s="1"/>
  <c r="P7472" i="1" a="1"/>
  <c r="P7472" i="1" s="1"/>
  <c r="Q7472" i="1" a="1"/>
  <c r="Q7472" i="1" s="1"/>
  <c r="A7475" i="1"/>
  <c r="H7474" i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A7476" i="1" l="1"/>
  <c r="H7475" i="1"/>
  <c r="I7473" i="1" a="1"/>
  <c r="I7473" i="1" s="1"/>
  <c r="M7473" i="1" a="1"/>
  <c r="M7473" i="1" s="1"/>
  <c r="Q7473" i="1" a="1"/>
  <c r="Q7473" i="1" s="1"/>
  <c r="N7473" i="1" a="1"/>
  <c r="N7473" i="1" s="1"/>
  <c r="J7473" i="1" a="1"/>
  <c r="J7473" i="1" s="1"/>
  <c r="S7473" i="1" a="1"/>
  <c r="S7473" i="1" s="1"/>
  <c r="O7473" i="1" a="1"/>
  <c r="O7473" i="1" s="1"/>
  <c r="K7473" i="1" a="1"/>
  <c r="K7473" i="1" s="1"/>
  <c r="P7473" i="1" a="1"/>
  <c r="P7473" i="1" s="1"/>
  <c r="B7474" i="1"/>
  <c r="R7473" i="1" a="1"/>
  <c r="R7473" i="1" s="1"/>
  <c r="L7473" i="1" a="1"/>
  <c r="L7473" i="1" s="1"/>
  <c r="O7056" i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H7056" i="1"/>
  <c r="A3536" i="1"/>
  <c r="H3535" i="1"/>
  <c r="O3535" i="1" a="1"/>
  <c r="O3535" i="1" s="1"/>
  <c r="L7474" i="1" l="1" a="1"/>
  <c r="L7474" i="1" s="1"/>
  <c r="P7474" i="1" a="1"/>
  <c r="P7474" i="1" s="1"/>
  <c r="J7474" i="1" a="1"/>
  <c r="J7474" i="1" s="1"/>
  <c r="S7474" i="1" a="1"/>
  <c r="S7474" i="1" s="1"/>
  <c r="O7474" i="1" a="1"/>
  <c r="O7474" i="1" s="1"/>
  <c r="K7474" i="1" a="1"/>
  <c r="K7474" i="1" s="1"/>
  <c r="B7475" i="1"/>
  <c r="Q7474" i="1" a="1"/>
  <c r="Q7474" i="1" s="1"/>
  <c r="R7474" i="1" a="1"/>
  <c r="R7474" i="1" s="1"/>
  <c r="I7474" i="1" a="1"/>
  <c r="I7474" i="1" s="1"/>
  <c r="M7474" i="1" a="1"/>
  <c r="M7474" i="1" s="1"/>
  <c r="N7474" i="1" a="1"/>
  <c r="N7474" i="1" s="1"/>
  <c r="A7477" i="1"/>
  <c r="H7476" i="1"/>
  <c r="H7057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K7475" i="1" l="1" a="1"/>
  <c r="K7475" i="1" s="1"/>
  <c r="O7475" i="1" a="1"/>
  <c r="O7475" i="1" s="1"/>
  <c r="S7475" i="1" a="1"/>
  <c r="S7475" i="1" s="1"/>
  <c r="L7475" i="1" a="1"/>
  <c r="L7475" i="1" s="1"/>
  <c r="P7475" i="1" a="1"/>
  <c r="P7475" i="1" s="1"/>
  <c r="B7476" i="1"/>
  <c r="M7475" i="1" a="1"/>
  <c r="M7475" i="1" s="1"/>
  <c r="Q7475" i="1" a="1"/>
  <c r="Q7475" i="1" s="1"/>
  <c r="R7475" i="1" a="1"/>
  <c r="R7475" i="1" s="1"/>
  <c r="I7475" i="1" a="1"/>
  <c r="I7475" i="1" s="1"/>
  <c r="J7475" i="1" a="1"/>
  <c r="J7475" i="1" s="1"/>
  <c r="N7475" i="1" a="1"/>
  <c r="N7475" i="1" s="1"/>
  <c r="H7477" i="1"/>
  <c r="A7478" i="1"/>
  <c r="L7058" i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3538" i="1"/>
  <c r="H3537" i="1"/>
  <c r="O3537" i="1" a="1"/>
  <c r="O3537" i="1" s="1"/>
  <c r="A7479" i="1" l="1"/>
  <c r="H7478" i="1"/>
  <c r="J7476" i="1" a="1"/>
  <c r="J7476" i="1" s="1"/>
  <c r="N7476" i="1" a="1"/>
  <c r="N7476" i="1" s="1"/>
  <c r="R7476" i="1" a="1"/>
  <c r="R7476" i="1" s="1"/>
  <c r="K7476" i="1" a="1"/>
  <c r="K7476" i="1" s="1"/>
  <c r="O7476" i="1" a="1"/>
  <c r="O7476" i="1" s="1"/>
  <c r="S7476" i="1" a="1"/>
  <c r="S7476" i="1" s="1"/>
  <c r="L7476" i="1" a="1"/>
  <c r="L7476" i="1" s="1"/>
  <c r="P7476" i="1" a="1"/>
  <c r="P7476" i="1" s="1"/>
  <c r="Q7476" i="1" a="1"/>
  <c r="Q7476" i="1" s="1"/>
  <c r="I7476" i="1" a="1"/>
  <c r="I7476" i="1" s="1"/>
  <c r="B7477" i="1"/>
  <c r="M7476" i="1" a="1"/>
  <c r="M7476" i="1" s="1"/>
  <c r="H7059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I7477" i="1" l="1" a="1"/>
  <c r="I7477" i="1" s="1"/>
  <c r="M7477" i="1" a="1"/>
  <c r="M7477" i="1" s="1"/>
  <c r="Q7477" i="1" a="1"/>
  <c r="Q7477" i="1" s="1"/>
  <c r="J7477" i="1" a="1"/>
  <c r="J7477" i="1" s="1"/>
  <c r="N7477" i="1" a="1"/>
  <c r="N7477" i="1" s="1"/>
  <c r="R7477" i="1" a="1"/>
  <c r="R7477" i="1" s="1"/>
  <c r="K7477" i="1" a="1"/>
  <c r="K7477" i="1" s="1"/>
  <c r="O7477" i="1" a="1"/>
  <c r="O7477" i="1" s="1"/>
  <c r="S7477" i="1" a="1"/>
  <c r="S7477" i="1" s="1"/>
  <c r="L7477" i="1" a="1"/>
  <c r="L7477" i="1" s="1"/>
  <c r="P7477" i="1" a="1"/>
  <c r="P7477" i="1" s="1"/>
  <c r="B7478" i="1"/>
  <c r="A7480" i="1"/>
  <c r="H7479" i="1"/>
  <c r="M7060" i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3540" i="1"/>
  <c r="H3539" i="1"/>
  <c r="O3539" i="1" a="1"/>
  <c r="O3539" i="1" s="1"/>
  <c r="A7481" i="1" l="1"/>
  <c r="H7480" i="1"/>
  <c r="L7478" i="1" a="1"/>
  <c r="L7478" i="1" s="1"/>
  <c r="P7478" i="1" a="1"/>
  <c r="P7478" i="1" s="1"/>
  <c r="B7479" i="1"/>
  <c r="I7478" i="1" a="1"/>
  <c r="I7478" i="1" s="1"/>
  <c r="M7478" i="1" a="1"/>
  <c r="M7478" i="1" s="1"/>
  <c r="Q7478" i="1" a="1"/>
  <c r="Q7478" i="1" s="1"/>
  <c r="J7478" i="1" a="1"/>
  <c r="J7478" i="1" s="1"/>
  <c r="N7478" i="1" a="1"/>
  <c r="N7478" i="1" s="1"/>
  <c r="R7478" i="1" a="1"/>
  <c r="R7478" i="1" s="1"/>
  <c r="K7478" i="1" a="1"/>
  <c r="K7478" i="1" s="1"/>
  <c r="O7478" i="1" a="1"/>
  <c r="O7478" i="1" s="1"/>
  <c r="S7478" i="1" a="1"/>
  <c r="S7478" i="1" s="1"/>
  <c r="B7062" i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3541" i="1"/>
  <c r="O3540" i="1" a="1"/>
  <c r="O3540" i="1" s="1"/>
  <c r="H3540" i="1"/>
  <c r="I4438" i="1" a="1"/>
  <c r="I4438" i="1" s="1"/>
  <c r="K7479" i="1" l="1" a="1"/>
  <c r="K7479" i="1" s="1"/>
  <c r="O7479" i="1" a="1"/>
  <c r="O7479" i="1" s="1"/>
  <c r="S7479" i="1" a="1"/>
  <c r="S7479" i="1" s="1"/>
  <c r="L7479" i="1" a="1"/>
  <c r="L7479" i="1" s="1"/>
  <c r="P7479" i="1" a="1"/>
  <c r="P7479" i="1" s="1"/>
  <c r="B7480" i="1"/>
  <c r="I7479" i="1" a="1"/>
  <c r="I7479" i="1" s="1"/>
  <c r="M7479" i="1" a="1"/>
  <c r="M7479" i="1" s="1"/>
  <c r="Q7479" i="1" a="1"/>
  <c r="Q7479" i="1" s="1"/>
  <c r="R7479" i="1" a="1"/>
  <c r="R7479" i="1" s="1"/>
  <c r="J7479" i="1" a="1"/>
  <c r="J7479" i="1" s="1"/>
  <c r="N7479" i="1" a="1"/>
  <c r="N7479" i="1" s="1"/>
  <c r="H7481" i="1"/>
  <c r="A7482" i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A7483" i="1" l="1"/>
  <c r="H7482" i="1"/>
  <c r="J7480" i="1" a="1"/>
  <c r="J7480" i="1" s="1"/>
  <c r="N7480" i="1" a="1"/>
  <c r="N7480" i="1" s="1"/>
  <c r="R7480" i="1" a="1"/>
  <c r="R7480" i="1" s="1"/>
  <c r="K7480" i="1" a="1"/>
  <c r="K7480" i="1" s="1"/>
  <c r="O7480" i="1" a="1"/>
  <c r="O7480" i="1" s="1"/>
  <c r="S7480" i="1" a="1"/>
  <c r="S7480" i="1" s="1"/>
  <c r="L7480" i="1" a="1"/>
  <c r="L7480" i="1" s="1"/>
  <c r="P7480" i="1" a="1"/>
  <c r="P7480" i="1" s="1"/>
  <c r="Q7480" i="1" a="1"/>
  <c r="Q7480" i="1" s="1"/>
  <c r="I7480" i="1" a="1"/>
  <c r="I7480" i="1" s="1"/>
  <c r="B7481" i="1"/>
  <c r="M7480" i="1" a="1"/>
  <c r="M7480" i="1" s="1"/>
  <c r="K7063" i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I7481" i="1" l="1" a="1"/>
  <c r="I7481" i="1" s="1"/>
  <c r="M7481" i="1" a="1"/>
  <c r="M7481" i="1" s="1"/>
  <c r="Q7481" i="1" a="1"/>
  <c r="Q7481" i="1" s="1"/>
  <c r="J7481" i="1" a="1"/>
  <c r="J7481" i="1" s="1"/>
  <c r="N7481" i="1" a="1"/>
  <c r="N7481" i="1" s="1"/>
  <c r="R7481" i="1" a="1"/>
  <c r="R7481" i="1" s="1"/>
  <c r="K7481" i="1" a="1"/>
  <c r="K7481" i="1" s="1"/>
  <c r="O7481" i="1" a="1"/>
  <c r="O7481" i="1" s="1"/>
  <c r="S7481" i="1" a="1"/>
  <c r="S7481" i="1" s="1"/>
  <c r="P7481" i="1" a="1"/>
  <c r="P7481" i="1" s="1"/>
  <c r="L7481" i="1" a="1"/>
  <c r="L7481" i="1" s="1"/>
  <c r="B7482" i="1"/>
  <c r="A7484" i="1"/>
  <c r="H7483" i="1"/>
  <c r="H7064" i="1"/>
  <c r="P7064" i="1" a="1"/>
  <c r="P7064" i="1" s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A7485" i="1" l="1"/>
  <c r="H7484" i="1"/>
  <c r="L7482" i="1" a="1"/>
  <c r="L7482" i="1" s="1"/>
  <c r="P7482" i="1" a="1"/>
  <c r="P7482" i="1" s="1"/>
  <c r="B7483" i="1"/>
  <c r="I7482" i="1" a="1"/>
  <c r="I7482" i="1" s="1"/>
  <c r="M7482" i="1" a="1"/>
  <c r="M7482" i="1" s="1"/>
  <c r="Q7482" i="1" a="1"/>
  <c r="Q7482" i="1" s="1"/>
  <c r="J7482" i="1" a="1"/>
  <c r="J7482" i="1" s="1"/>
  <c r="N7482" i="1" a="1"/>
  <c r="N7482" i="1" s="1"/>
  <c r="R7482" i="1" a="1"/>
  <c r="R7482" i="1" s="1"/>
  <c r="K7482" i="1" a="1"/>
  <c r="K7482" i="1" s="1"/>
  <c r="O7482" i="1" a="1"/>
  <c r="O7482" i="1" s="1"/>
  <c r="S7482" i="1" a="1"/>
  <c r="S7482" i="1" s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3545" i="1"/>
  <c r="O3544" i="1" a="1"/>
  <c r="O3544" i="1" s="1"/>
  <c r="H3544" i="1"/>
  <c r="I4441" i="1" a="1"/>
  <c r="I4441" i="1" s="1"/>
  <c r="I4442" i="1" a="1"/>
  <c r="I4442" i="1" s="1"/>
  <c r="H4441" i="1"/>
  <c r="K7483" i="1" l="1" a="1"/>
  <c r="K7483" i="1" s="1"/>
  <c r="O7483" i="1" a="1"/>
  <c r="O7483" i="1" s="1"/>
  <c r="S7483" i="1" a="1"/>
  <c r="S7483" i="1" s="1"/>
  <c r="L7483" i="1" a="1"/>
  <c r="L7483" i="1" s="1"/>
  <c r="P7483" i="1" a="1"/>
  <c r="P7483" i="1" s="1"/>
  <c r="B7484" i="1"/>
  <c r="I7483" i="1" a="1"/>
  <c r="I7483" i="1" s="1"/>
  <c r="M7483" i="1" a="1"/>
  <c r="M7483" i="1" s="1"/>
  <c r="Q7483" i="1" a="1"/>
  <c r="Q7483" i="1" s="1"/>
  <c r="J7483" i="1" a="1"/>
  <c r="J7483" i="1" s="1"/>
  <c r="N7483" i="1" a="1"/>
  <c r="N7483" i="1" s="1"/>
  <c r="R7483" i="1" a="1"/>
  <c r="R7483" i="1" s="1"/>
  <c r="H7485" i="1"/>
  <c r="A7486" i="1"/>
  <c r="H7066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A7487" i="1" l="1"/>
  <c r="H7486" i="1"/>
  <c r="J7484" i="1" a="1"/>
  <c r="J7484" i="1" s="1"/>
  <c r="N7484" i="1" a="1"/>
  <c r="N7484" i="1" s="1"/>
  <c r="R7484" i="1" a="1"/>
  <c r="R7484" i="1" s="1"/>
  <c r="K7484" i="1" a="1"/>
  <c r="K7484" i="1" s="1"/>
  <c r="O7484" i="1" a="1"/>
  <c r="O7484" i="1" s="1"/>
  <c r="S7484" i="1" a="1"/>
  <c r="S7484" i="1" s="1"/>
  <c r="L7484" i="1" a="1"/>
  <c r="L7484" i="1" s="1"/>
  <c r="P7484" i="1" a="1"/>
  <c r="P7484" i="1" s="1"/>
  <c r="Q7484" i="1" a="1"/>
  <c r="Q7484" i="1" s="1"/>
  <c r="I7484" i="1" a="1"/>
  <c r="I7484" i="1" s="1"/>
  <c r="B7485" i="1"/>
  <c r="M7484" i="1" a="1"/>
  <c r="M7484" i="1" s="1"/>
  <c r="I7067" i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3547" i="1"/>
  <c r="H3546" i="1"/>
  <c r="O3546" i="1" a="1"/>
  <c r="O3546" i="1" s="1"/>
  <c r="I4443" i="1" a="1"/>
  <c r="I4443" i="1" s="1"/>
  <c r="I4444" i="1" a="1"/>
  <c r="I4444" i="1" s="1"/>
  <c r="H4443" i="1"/>
  <c r="I7485" i="1" l="1" a="1"/>
  <c r="I7485" i="1" s="1"/>
  <c r="M7485" i="1" a="1"/>
  <c r="M7485" i="1" s="1"/>
  <c r="Q7485" i="1" a="1"/>
  <c r="Q7485" i="1" s="1"/>
  <c r="J7485" i="1" a="1"/>
  <c r="J7485" i="1" s="1"/>
  <c r="N7485" i="1" a="1"/>
  <c r="N7485" i="1" s="1"/>
  <c r="R7485" i="1" a="1"/>
  <c r="R7485" i="1" s="1"/>
  <c r="K7485" i="1" a="1"/>
  <c r="K7485" i="1" s="1"/>
  <c r="O7485" i="1" a="1"/>
  <c r="O7485" i="1" s="1"/>
  <c r="S7485" i="1" a="1"/>
  <c r="S7485" i="1" s="1"/>
  <c r="P7485" i="1" a="1"/>
  <c r="P7485" i="1" s="1"/>
  <c r="B7486" i="1"/>
  <c r="L7485" i="1" a="1"/>
  <c r="L7485" i="1" s="1"/>
  <c r="A7488" i="1"/>
  <c r="H7487" i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A7489" i="1" l="1"/>
  <c r="H7488" i="1"/>
  <c r="L7486" i="1" a="1"/>
  <c r="L7486" i="1" s="1"/>
  <c r="P7486" i="1" a="1"/>
  <c r="P7486" i="1" s="1"/>
  <c r="B7487" i="1"/>
  <c r="I7486" i="1" a="1"/>
  <c r="I7486" i="1" s="1"/>
  <c r="M7486" i="1" a="1"/>
  <c r="M7486" i="1" s="1"/>
  <c r="Q7486" i="1" a="1"/>
  <c r="Q7486" i="1" s="1"/>
  <c r="J7486" i="1" a="1"/>
  <c r="J7486" i="1" s="1"/>
  <c r="N7486" i="1" a="1"/>
  <c r="N7486" i="1" s="1"/>
  <c r="R7486" i="1" a="1"/>
  <c r="R7486" i="1" s="1"/>
  <c r="O7486" i="1" a="1"/>
  <c r="O7486" i="1" s="1"/>
  <c r="S7486" i="1" a="1"/>
  <c r="S7486" i="1" s="1"/>
  <c r="K7486" i="1" a="1"/>
  <c r="K7486" i="1" s="1"/>
  <c r="B7070" i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3549" i="1"/>
  <c r="O3548" i="1" a="1"/>
  <c r="O3548" i="1" s="1"/>
  <c r="H3548" i="1"/>
  <c r="I4446" i="1" a="1"/>
  <c r="I4446" i="1" s="1"/>
  <c r="H4445" i="1"/>
  <c r="K7487" i="1" l="1" a="1"/>
  <c r="K7487" i="1" s="1"/>
  <c r="O7487" i="1" a="1"/>
  <c r="O7487" i="1" s="1"/>
  <c r="S7487" i="1" a="1"/>
  <c r="S7487" i="1" s="1"/>
  <c r="L7487" i="1" a="1"/>
  <c r="L7487" i="1" s="1"/>
  <c r="P7487" i="1" a="1"/>
  <c r="P7487" i="1" s="1"/>
  <c r="B7488" i="1"/>
  <c r="I7487" i="1" a="1"/>
  <c r="I7487" i="1" s="1"/>
  <c r="M7487" i="1" a="1"/>
  <c r="M7487" i="1" s="1"/>
  <c r="Q7487" i="1" a="1"/>
  <c r="Q7487" i="1" s="1"/>
  <c r="J7487" i="1" a="1"/>
  <c r="J7487" i="1" s="1"/>
  <c r="N7487" i="1" a="1"/>
  <c r="N7487" i="1" s="1"/>
  <c r="R7487" i="1" a="1"/>
  <c r="R7487" i="1" s="1"/>
  <c r="H7489" i="1"/>
  <c r="A7490" i="1"/>
  <c r="H7070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A7491" i="1" l="1"/>
  <c r="H7490" i="1"/>
  <c r="J7488" i="1" a="1"/>
  <c r="J7488" i="1" s="1"/>
  <c r="N7488" i="1" a="1"/>
  <c r="N7488" i="1" s="1"/>
  <c r="R7488" i="1" a="1"/>
  <c r="R7488" i="1" s="1"/>
  <c r="K7488" i="1" a="1"/>
  <c r="K7488" i="1" s="1"/>
  <c r="O7488" i="1" a="1"/>
  <c r="O7488" i="1" s="1"/>
  <c r="S7488" i="1" a="1"/>
  <c r="S7488" i="1" s="1"/>
  <c r="L7488" i="1" a="1"/>
  <c r="L7488" i="1" s="1"/>
  <c r="P7488" i="1" a="1"/>
  <c r="P7488" i="1" s="1"/>
  <c r="I7488" i="1" a="1"/>
  <c r="I7488" i="1" s="1"/>
  <c r="B7489" i="1"/>
  <c r="M7488" i="1" a="1"/>
  <c r="M7488" i="1" s="1"/>
  <c r="Q7488" i="1" a="1"/>
  <c r="Q7488" i="1" s="1"/>
  <c r="H7071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I7489" i="1" l="1" a="1"/>
  <c r="I7489" i="1" s="1"/>
  <c r="M7489" i="1" a="1"/>
  <c r="M7489" i="1" s="1"/>
  <c r="Q7489" i="1" a="1"/>
  <c r="Q7489" i="1" s="1"/>
  <c r="J7489" i="1" a="1"/>
  <c r="J7489" i="1" s="1"/>
  <c r="N7489" i="1" a="1"/>
  <c r="N7489" i="1" s="1"/>
  <c r="R7489" i="1" a="1"/>
  <c r="R7489" i="1" s="1"/>
  <c r="K7489" i="1" a="1"/>
  <c r="K7489" i="1" s="1"/>
  <c r="O7489" i="1" a="1"/>
  <c r="O7489" i="1" s="1"/>
  <c r="S7489" i="1" a="1"/>
  <c r="S7489" i="1" s="1"/>
  <c r="P7489" i="1" a="1"/>
  <c r="P7489" i="1" s="1"/>
  <c r="B7490" i="1"/>
  <c r="L7489" i="1" a="1"/>
  <c r="L7489" i="1" s="1"/>
  <c r="A7492" i="1"/>
  <c r="H7491" i="1"/>
  <c r="H7072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L7490" i="1" l="1" a="1"/>
  <c r="L7490" i="1" s="1"/>
  <c r="P7490" i="1" a="1"/>
  <c r="P7490" i="1" s="1"/>
  <c r="B7491" i="1"/>
  <c r="I7490" i="1" a="1"/>
  <c r="I7490" i="1" s="1"/>
  <c r="M7490" i="1" a="1"/>
  <c r="M7490" i="1" s="1"/>
  <c r="Q7490" i="1" a="1"/>
  <c r="Q7490" i="1" s="1"/>
  <c r="J7490" i="1" a="1"/>
  <c r="J7490" i="1" s="1"/>
  <c r="N7490" i="1" a="1"/>
  <c r="N7490" i="1" s="1"/>
  <c r="R7490" i="1" a="1"/>
  <c r="R7490" i="1" s="1"/>
  <c r="O7490" i="1" a="1"/>
  <c r="O7490" i="1" s="1"/>
  <c r="S7490" i="1" a="1"/>
  <c r="S7490" i="1" s="1"/>
  <c r="K7490" i="1" a="1"/>
  <c r="K7490" i="1" s="1"/>
  <c r="A7493" i="1"/>
  <c r="H7492" i="1"/>
  <c r="H7073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H7493" i="1" l="1"/>
  <c r="A7494" i="1"/>
  <c r="K7491" i="1" a="1"/>
  <c r="K7491" i="1" s="1"/>
  <c r="O7491" i="1" a="1"/>
  <c r="O7491" i="1" s="1"/>
  <c r="S7491" i="1" a="1"/>
  <c r="S7491" i="1" s="1"/>
  <c r="L7491" i="1" a="1"/>
  <c r="L7491" i="1" s="1"/>
  <c r="P7491" i="1" a="1"/>
  <c r="P7491" i="1" s="1"/>
  <c r="B7492" i="1"/>
  <c r="I7491" i="1" a="1"/>
  <c r="I7491" i="1" s="1"/>
  <c r="M7491" i="1" a="1"/>
  <c r="M7491" i="1" s="1"/>
  <c r="Q7491" i="1" a="1"/>
  <c r="Q7491" i="1" s="1"/>
  <c r="N7491" i="1" a="1"/>
  <c r="N7491" i="1" s="1"/>
  <c r="R7491" i="1" a="1"/>
  <c r="R7491" i="1" s="1"/>
  <c r="J7491" i="1" a="1"/>
  <c r="J7491" i="1" s="1"/>
  <c r="N7074" i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J7492" i="1" l="1" a="1"/>
  <c r="J7492" i="1" s="1"/>
  <c r="N7492" i="1" a="1"/>
  <c r="N7492" i="1" s="1"/>
  <c r="R7492" i="1" a="1"/>
  <c r="R7492" i="1" s="1"/>
  <c r="K7492" i="1" a="1"/>
  <c r="K7492" i="1" s="1"/>
  <c r="O7492" i="1" a="1"/>
  <c r="O7492" i="1" s="1"/>
  <c r="S7492" i="1" a="1"/>
  <c r="S7492" i="1" s="1"/>
  <c r="L7492" i="1" a="1"/>
  <c r="L7492" i="1" s="1"/>
  <c r="P7492" i="1" a="1"/>
  <c r="P7492" i="1" s="1"/>
  <c r="I7492" i="1" a="1"/>
  <c r="I7492" i="1" s="1"/>
  <c r="B7493" i="1"/>
  <c r="M7492" i="1" a="1"/>
  <c r="M7492" i="1" s="1"/>
  <c r="Q7492" i="1" a="1"/>
  <c r="Q7492" i="1" s="1"/>
  <c r="A7495" i="1"/>
  <c r="H7494" i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A7496" i="1" l="1"/>
  <c r="H7495" i="1"/>
  <c r="I7493" i="1" a="1"/>
  <c r="I7493" i="1" s="1"/>
  <c r="M7493" i="1" a="1"/>
  <c r="M7493" i="1" s="1"/>
  <c r="Q7493" i="1" a="1"/>
  <c r="Q7493" i="1" s="1"/>
  <c r="J7493" i="1" a="1"/>
  <c r="J7493" i="1" s="1"/>
  <c r="N7493" i="1" a="1"/>
  <c r="N7493" i="1" s="1"/>
  <c r="R7493" i="1" a="1"/>
  <c r="R7493" i="1" s="1"/>
  <c r="K7493" i="1" a="1"/>
  <c r="K7493" i="1" s="1"/>
  <c r="O7493" i="1" a="1"/>
  <c r="O7493" i="1" s="1"/>
  <c r="S7493" i="1" a="1"/>
  <c r="S7493" i="1" s="1"/>
  <c r="B7494" i="1"/>
  <c r="L7493" i="1" a="1"/>
  <c r="L7493" i="1" s="1"/>
  <c r="P7493" i="1" a="1"/>
  <c r="P7493" i="1" s="1"/>
  <c r="K7076" i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L7494" i="1" l="1" a="1"/>
  <c r="L7494" i="1" s="1"/>
  <c r="P7494" i="1" a="1"/>
  <c r="P7494" i="1" s="1"/>
  <c r="B7495" i="1"/>
  <c r="I7494" i="1" a="1"/>
  <c r="I7494" i="1" s="1"/>
  <c r="M7494" i="1" a="1"/>
  <c r="M7494" i="1" s="1"/>
  <c r="Q7494" i="1" a="1"/>
  <c r="Q7494" i="1" s="1"/>
  <c r="J7494" i="1" a="1"/>
  <c r="J7494" i="1" s="1"/>
  <c r="N7494" i="1" a="1"/>
  <c r="N7494" i="1" s="1"/>
  <c r="R7494" i="1" a="1"/>
  <c r="R7494" i="1" s="1"/>
  <c r="O7494" i="1" a="1"/>
  <c r="O7494" i="1" s="1"/>
  <c r="S7494" i="1" a="1"/>
  <c r="S7494" i="1" s="1"/>
  <c r="K7494" i="1" a="1"/>
  <c r="K7494" i="1" s="1"/>
  <c r="A7497" i="1"/>
  <c r="H7496" i="1"/>
  <c r="H7077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H7497" i="1" l="1"/>
  <c r="A7498" i="1"/>
  <c r="K7495" i="1" a="1"/>
  <c r="K7495" i="1" s="1"/>
  <c r="O7495" i="1" a="1"/>
  <c r="O7495" i="1" s="1"/>
  <c r="S7495" i="1" a="1"/>
  <c r="S7495" i="1" s="1"/>
  <c r="L7495" i="1" a="1"/>
  <c r="L7495" i="1" s="1"/>
  <c r="P7495" i="1" a="1"/>
  <c r="P7495" i="1" s="1"/>
  <c r="B7496" i="1"/>
  <c r="I7495" i="1" a="1"/>
  <c r="I7495" i="1" s="1"/>
  <c r="M7495" i="1" a="1"/>
  <c r="M7495" i="1" s="1"/>
  <c r="Q7495" i="1" a="1"/>
  <c r="Q7495" i="1" s="1"/>
  <c r="N7495" i="1" a="1"/>
  <c r="N7495" i="1" s="1"/>
  <c r="R7495" i="1" a="1"/>
  <c r="R7495" i="1" s="1"/>
  <c r="J7495" i="1" a="1"/>
  <c r="J7495" i="1" s="1"/>
  <c r="Q7078" i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3558" i="1"/>
  <c r="I3557" i="1" a="1"/>
  <c r="I3557" i="1" s="1"/>
  <c r="H3557" i="1"/>
  <c r="I4454" i="1" a="1"/>
  <c r="I4454" i="1" s="1"/>
  <c r="K4454" i="1" a="1"/>
  <c r="K4454" i="1" s="1"/>
  <c r="H4454" i="1"/>
  <c r="A7499" i="1" l="1"/>
  <c r="H7498" i="1"/>
  <c r="J7496" i="1" a="1"/>
  <c r="J7496" i="1" s="1"/>
  <c r="N7496" i="1" a="1"/>
  <c r="N7496" i="1" s="1"/>
  <c r="R7496" i="1" a="1"/>
  <c r="R7496" i="1" s="1"/>
  <c r="K7496" i="1" a="1"/>
  <c r="K7496" i="1" s="1"/>
  <c r="O7496" i="1" a="1"/>
  <c r="O7496" i="1" s="1"/>
  <c r="S7496" i="1" a="1"/>
  <c r="S7496" i="1" s="1"/>
  <c r="L7496" i="1" a="1"/>
  <c r="L7496" i="1" s="1"/>
  <c r="P7496" i="1" a="1"/>
  <c r="P7496" i="1" s="1"/>
  <c r="M7496" i="1" a="1"/>
  <c r="M7496" i="1" s="1"/>
  <c r="Q7496" i="1" a="1"/>
  <c r="Q7496" i="1" s="1"/>
  <c r="I7496" i="1" a="1"/>
  <c r="I7496" i="1" s="1"/>
  <c r="B7497" i="1"/>
  <c r="M7079" i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I7497" i="1" l="1" a="1"/>
  <c r="I7497" i="1" s="1"/>
  <c r="M7497" i="1" a="1"/>
  <c r="M7497" i="1" s="1"/>
  <c r="Q7497" i="1" a="1"/>
  <c r="Q7497" i="1" s="1"/>
  <c r="J7497" i="1" a="1"/>
  <c r="J7497" i="1" s="1"/>
  <c r="N7497" i="1" a="1"/>
  <c r="N7497" i="1" s="1"/>
  <c r="R7497" i="1" a="1"/>
  <c r="R7497" i="1" s="1"/>
  <c r="K7497" i="1" a="1"/>
  <c r="K7497" i="1" s="1"/>
  <c r="S7497" i="1" a="1"/>
  <c r="S7497" i="1" s="1"/>
  <c r="L7497" i="1" a="1"/>
  <c r="L7497" i="1" s="1"/>
  <c r="B7498" i="1"/>
  <c r="O7497" i="1" a="1"/>
  <c r="O7497" i="1" s="1"/>
  <c r="P7497" i="1" a="1"/>
  <c r="P7497" i="1" s="1"/>
  <c r="H7499" i="1"/>
  <c r="A7500" i="1"/>
  <c r="H7080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H7500" i="1" l="1"/>
  <c r="A7501" i="1"/>
  <c r="L7498" i="1" a="1"/>
  <c r="L7498" i="1" s="1"/>
  <c r="P7498" i="1" a="1"/>
  <c r="P7498" i="1" s="1"/>
  <c r="B7499" i="1"/>
  <c r="I7498" i="1" a="1"/>
  <c r="I7498" i="1" s="1"/>
  <c r="M7498" i="1" a="1"/>
  <c r="M7498" i="1" s="1"/>
  <c r="Q7498" i="1" a="1"/>
  <c r="Q7498" i="1" s="1"/>
  <c r="N7498" i="1" a="1"/>
  <c r="N7498" i="1" s="1"/>
  <c r="O7498" i="1" a="1"/>
  <c r="O7498" i="1" s="1"/>
  <c r="J7498" i="1" a="1"/>
  <c r="J7498" i="1" s="1"/>
  <c r="R7498" i="1" a="1"/>
  <c r="R7498" i="1" s="1"/>
  <c r="S7498" i="1" a="1"/>
  <c r="S7498" i="1" s="1"/>
  <c r="K7498" i="1" a="1"/>
  <c r="K7498" i="1" s="1"/>
  <c r="B7082" i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3561" i="1"/>
  <c r="I3560" i="1" a="1"/>
  <c r="I3560" i="1" s="1"/>
  <c r="H3560" i="1"/>
  <c r="I4457" i="1" a="1"/>
  <c r="I4457" i="1" s="1"/>
  <c r="K4457" i="1" a="1"/>
  <c r="K4457" i="1" s="1"/>
  <c r="H4457" i="1"/>
  <c r="K7499" i="1" l="1" a="1"/>
  <c r="K7499" i="1" s="1"/>
  <c r="O7499" i="1" a="1"/>
  <c r="O7499" i="1" s="1"/>
  <c r="S7499" i="1" a="1"/>
  <c r="S7499" i="1" s="1"/>
  <c r="L7499" i="1" a="1"/>
  <c r="L7499" i="1" s="1"/>
  <c r="B7500" i="1"/>
  <c r="I7499" i="1" a="1"/>
  <c r="I7499" i="1" s="1"/>
  <c r="P7499" i="1" a="1"/>
  <c r="P7499" i="1" s="1"/>
  <c r="Q7499" i="1" a="1"/>
  <c r="Q7499" i="1" s="1"/>
  <c r="J7499" i="1" a="1"/>
  <c r="J7499" i="1" s="1"/>
  <c r="R7499" i="1" a="1"/>
  <c r="R7499" i="1" s="1"/>
  <c r="M7499" i="1" a="1"/>
  <c r="M7499" i="1" s="1"/>
  <c r="N7499" i="1" a="1"/>
  <c r="N7499" i="1" s="1"/>
  <c r="H7501" i="1"/>
  <c r="A7502" i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A7503" i="1" l="1"/>
  <c r="H7502" i="1"/>
  <c r="J7500" i="1" a="1"/>
  <c r="J7500" i="1" s="1"/>
  <c r="N7500" i="1" a="1"/>
  <c r="N7500" i="1" s="1"/>
  <c r="R7500" i="1" a="1"/>
  <c r="R7500" i="1" s="1"/>
  <c r="O7500" i="1" a="1"/>
  <c r="O7500" i="1" s="1"/>
  <c r="I7500" i="1" a="1"/>
  <c r="I7500" i="1" s="1"/>
  <c r="P7500" i="1" a="1"/>
  <c r="P7500" i="1" s="1"/>
  <c r="K7500" i="1" a="1"/>
  <c r="K7500" i="1" s="1"/>
  <c r="Q7500" i="1" a="1"/>
  <c r="Q7500" i="1" s="1"/>
  <c r="L7500" i="1" a="1"/>
  <c r="L7500" i="1" s="1"/>
  <c r="S7500" i="1" a="1"/>
  <c r="S7500" i="1" s="1"/>
  <c r="B7501" i="1"/>
  <c r="M7500" i="1" a="1"/>
  <c r="M7500" i="1" s="1"/>
  <c r="P7083" i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I7501" i="1" l="1" a="1"/>
  <c r="I7501" i="1" s="1"/>
  <c r="M7501" i="1" a="1"/>
  <c r="M7501" i="1" s="1"/>
  <c r="Q7501" i="1" a="1"/>
  <c r="Q7501" i="1" s="1"/>
  <c r="O7501" i="1" a="1"/>
  <c r="O7501" i="1" s="1"/>
  <c r="B7502" i="1"/>
  <c r="J7501" i="1" a="1"/>
  <c r="J7501" i="1" s="1"/>
  <c r="P7501" i="1" a="1"/>
  <c r="P7501" i="1" s="1"/>
  <c r="K7501" i="1" a="1"/>
  <c r="K7501" i="1" s="1"/>
  <c r="R7501" i="1" a="1"/>
  <c r="R7501" i="1" s="1"/>
  <c r="L7501" i="1" a="1"/>
  <c r="L7501" i="1" s="1"/>
  <c r="S7501" i="1" a="1"/>
  <c r="S7501" i="1" s="1"/>
  <c r="N7501" i="1" a="1"/>
  <c r="N7501" i="1" s="1"/>
  <c r="H7503" i="1"/>
  <c r="A7504" i="1"/>
  <c r="H7084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H7504" i="1" l="1"/>
  <c r="A7505" i="1"/>
  <c r="L7502" i="1" a="1"/>
  <c r="L7502" i="1" s="1"/>
  <c r="P7502" i="1" a="1"/>
  <c r="P7502" i="1" s="1"/>
  <c r="B7503" i="1"/>
  <c r="I7502" i="1" a="1"/>
  <c r="I7502" i="1" s="1"/>
  <c r="O7502" i="1" a="1"/>
  <c r="O7502" i="1" s="1"/>
  <c r="J7502" i="1" a="1"/>
  <c r="J7502" i="1" s="1"/>
  <c r="Q7502" i="1" a="1"/>
  <c r="Q7502" i="1" s="1"/>
  <c r="K7502" i="1" a="1"/>
  <c r="K7502" i="1" s="1"/>
  <c r="R7502" i="1" a="1"/>
  <c r="R7502" i="1" s="1"/>
  <c r="S7502" i="1" a="1"/>
  <c r="S7502" i="1" s="1"/>
  <c r="M7502" i="1" a="1"/>
  <c r="M7502" i="1" s="1"/>
  <c r="N7502" i="1" a="1"/>
  <c r="N7502" i="1" s="1"/>
  <c r="B7086" i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3565" i="1"/>
  <c r="I3564" i="1" a="1"/>
  <c r="I3564" i="1" s="1"/>
  <c r="H3564" i="1"/>
  <c r="I4461" i="1" a="1"/>
  <c r="I4461" i="1" s="1"/>
  <c r="K4461" i="1" a="1"/>
  <c r="K4461" i="1" s="1"/>
  <c r="H4461" i="1"/>
  <c r="K7503" i="1" l="1" a="1"/>
  <c r="K7503" i="1" s="1"/>
  <c r="O7503" i="1" a="1"/>
  <c r="O7503" i="1" s="1"/>
  <c r="S7503" i="1" a="1"/>
  <c r="S7503" i="1" s="1"/>
  <c r="B7504" i="1"/>
  <c r="N7503" i="1" a="1"/>
  <c r="N7503" i="1" s="1"/>
  <c r="I7503" i="1" a="1"/>
  <c r="I7503" i="1" s="1"/>
  <c r="P7503" i="1" a="1"/>
  <c r="P7503" i="1" s="1"/>
  <c r="J7503" i="1" a="1"/>
  <c r="J7503" i="1" s="1"/>
  <c r="Q7503" i="1" a="1"/>
  <c r="Q7503" i="1" s="1"/>
  <c r="L7503" i="1" a="1"/>
  <c r="L7503" i="1" s="1"/>
  <c r="R7503" i="1" a="1"/>
  <c r="R7503" i="1" s="1"/>
  <c r="M7503" i="1" a="1"/>
  <c r="M7503" i="1" s="1"/>
  <c r="A7506" i="1"/>
  <c r="H7505" i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A7507" i="1" l="1"/>
  <c r="H7506" i="1"/>
  <c r="J7504" i="1" a="1"/>
  <c r="J7504" i="1" s="1"/>
  <c r="N7504" i="1" a="1"/>
  <c r="N7504" i="1" s="1"/>
  <c r="R7504" i="1" a="1"/>
  <c r="R7504" i="1" s="1"/>
  <c r="B7505" i="1"/>
  <c r="O7504" i="1" a="1"/>
  <c r="O7504" i="1" s="1"/>
  <c r="I7504" i="1" a="1"/>
  <c r="I7504" i="1" s="1"/>
  <c r="P7504" i="1" a="1"/>
  <c r="P7504" i="1" s="1"/>
  <c r="K7504" i="1" a="1"/>
  <c r="K7504" i="1" s="1"/>
  <c r="Q7504" i="1" a="1"/>
  <c r="Q7504" i="1" s="1"/>
  <c r="L7504" i="1" a="1"/>
  <c r="L7504" i="1" s="1"/>
  <c r="M7504" i="1" a="1"/>
  <c r="M7504" i="1" s="1"/>
  <c r="S7504" i="1" a="1"/>
  <c r="S7504" i="1" s="1"/>
  <c r="N7087" i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I7505" i="1" l="1" a="1"/>
  <c r="I7505" i="1" s="1"/>
  <c r="M7505" i="1" a="1"/>
  <c r="M7505" i="1" s="1"/>
  <c r="Q7505" i="1" a="1"/>
  <c r="Q7505" i="1" s="1"/>
  <c r="N7505" i="1" a="1"/>
  <c r="N7505" i="1" s="1"/>
  <c r="O7505" i="1" a="1"/>
  <c r="O7505" i="1" s="1"/>
  <c r="B7506" i="1"/>
  <c r="J7505" i="1" a="1"/>
  <c r="J7505" i="1" s="1"/>
  <c r="P7505" i="1" a="1"/>
  <c r="P7505" i="1" s="1"/>
  <c r="K7505" i="1" a="1"/>
  <c r="K7505" i="1" s="1"/>
  <c r="R7505" i="1" a="1"/>
  <c r="R7505" i="1" s="1"/>
  <c r="L7505" i="1" a="1"/>
  <c r="L7505" i="1" s="1"/>
  <c r="S7505" i="1" a="1"/>
  <c r="S7505" i="1" s="1"/>
  <c r="H7507" i="1"/>
  <c r="A7508" i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A7509" i="1" l="1"/>
  <c r="H7508" i="1"/>
  <c r="L7506" i="1" a="1"/>
  <c r="L7506" i="1" s="1"/>
  <c r="P7506" i="1" a="1"/>
  <c r="P7506" i="1" s="1"/>
  <c r="B7507" i="1"/>
  <c r="N7506" i="1" a="1"/>
  <c r="N7506" i="1" s="1"/>
  <c r="I7506" i="1" a="1"/>
  <c r="I7506" i="1" s="1"/>
  <c r="O7506" i="1" a="1"/>
  <c r="O7506" i="1" s="1"/>
  <c r="J7506" i="1" a="1"/>
  <c r="J7506" i="1" s="1"/>
  <c r="Q7506" i="1" a="1"/>
  <c r="Q7506" i="1" s="1"/>
  <c r="K7506" i="1" a="1"/>
  <c r="K7506" i="1" s="1"/>
  <c r="R7506" i="1" a="1"/>
  <c r="R7506" i="1" s="1"/>
  <c r="S7506" i="1" a="1"/>
  <c r="S7506" i="1" s="1"/>
  <c r="M7506" i="1" a="1"/>
  <c r="M7506" i="1" s="1"/>
  <c r="B7090" i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K7507" i="1" l="1" a="1"/>
  <c r="K7507" i="1" s="1"/>
  <c r="O7507" i="1" a="1"/>
  <c r="O7507" i="1" s="1"/>
  <c r="S7507" i="1" a="1"/>
  <c r="S7507" i="1" s="1"/>
  <c r="B7508" i="1"/>
  <c r="N7507" i="1" a="1"/>
  <c r="N7507" i="1" s="1"/>
  <c r="I7507" i="1" a="1"/>
  <c r="I7507" i="1" s="1"/>
  <c r="P7507" i="1" a="1"/>
  <c r="P7507" i="1" s="1"/>
  <c r="J7507" i="1" a="1"/>
  <c r="J7507" i="1" s="1"/>
  <c r="Q7507" i="1" a="1"/>
  <c r="Q7507" i="1" s="1"/>
  <c r="L7507" i="1" a="1"/>
  <c r="L7507" i="1" s="1"/>
  <c r="M7507" i="1" a="1"/>
  <c r="M7507" i="1" s="1"/>
  <c r="R7507" i="1" a="1"/>
  <c r="R7507" i="1" s="1"/>
  <c r="A7510" i="1"/>
  <c r="H7509" i="1"/>
  <c r="H7090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A7511" i="1" l="1"/>
  <c r="H7510" i="1"/>
  <c r="J7508" i="1" a="1"/>
  <c r="J7508" i="1" s="1"/>
  <c r="N7508" i="1" a="1"/>
  <c r="N7508" i="1" s="1"/>
  <c r="R7508" i="1" a="1"/>
  <c r="R7508" i="1" s="1"/>
  <c r="M7508" i="1" a="1"/>
  <c r="M7508" i="1" s="1"/>
  <c r="B7509" i="1"/>
  <c r="O7508" i="1" a="1"/>
  <c r="O7508" i="1" s="1"/>
  <c r="I7508" i="1" a="1"/>
  <c r="I7508" i="1" s="1"/>
  <c r="P7508" i="1" a="1"/>
  <c r="P7508" i="1" s="1"/>
  <c r="K7508" i="1" a="1"/>
  <c r="K7508" i="1" s="1"/>
  <c r="Q7508" i="1" a="1"/>
  <c r="Q7508" i="1" s="1"/>
  <c r="S7508" i="1" a="1"/>
  <c r="S7508" i="1" s="1"/>
  <c r="L7508" i="1" a="1"/>
  <c r="L7508" i="1" s="1"/>
  <c r="Q7091" i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I7509" i="1" l="1" a="1"/>
  <c r="I7509" i="1" s="1"/>
  <c r="M7509" i="1" a="1"/>
  <c r="M7509" i="1" s="1"/>
  <c r="Q7509" i="1" a="1"/>
  <c r="Q7509" i="1" s="1"/>
  <c r="N7509" i="1" a="1"/>
  <c r="N7509" i="1" s="1"/>
  <c r="O7509" i="1" a="1"/>
  <c r="O7509" i="1" s="1"/>
  <c r="B7510" i="1"/>
  <c r="J7509" i="1" a="1"/>
  <c r="J7509" i="1" s="1"/>
  <c r="P7509" i="1" a="1"/>
  <c r="P7509" i="1" s="1"/>
  <c r="K7509" i="1" a="1"/>
  <c r="K7509" i="1" s="1"/>
  <c r="L7509" i="1" a="1"/>
  <c r="L7509" i="1" s="1"/>
  <c r="R7509" i="1" a="1"/>
  <c r="R7509" i="1" s="1"/>
  <c r="S7509" i="1" a="1"/>
  <c r="S7509" i="1" s="1"/>
  <c r="H7511" i="1"/>
  <c r="A7512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A7513" i="1" l="1"/>
  <c r="H7512" i="1"/>
  <c r="L7510" i="1" a="1"/>
  <c r="L7510" i="1" s="1"/>
  <c r="P7510" i="1" a="1"/>
  <c r="P7510" i="1" s="1"/>
  <c r="B7511" i="1"/>
  <c r="M7510" i="1" a="1"/>
  <c r="M7510" i="1" s="1"/>
  <c r="S7510" i="1" a="1"/>
  <c r="S7510" i="1" s="1"/>
  <c r="N7510" i="1" a="1"/>
  <c r="N7510" i="1" s="1"/>
  <c r="I7510" i="1" a="1"/>
  <c r="I7510" i="1" s="1"/>
  <c r="O7510" i="1" a="1"/>
  <c r="O7510" i="1" s="1"/>
  <c r="J7510" i="1" a="1"/>
  <c r="J7510" i="1" s="1"/>
  <c r="Q7510" i="1" a="1"/>
  <c r="Q7510" i="1" s="1"/>
  <c r="K7510" i="1" a="1"/>
  <c r="K7510" i="1" s="1"/>
  <c r="R7510" i="1" a="1"/>
  <c r="R7510" i="1" s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K7511" i="1" l="1" a="1"/>
  <c r="K7511" i="1" s="1"/>
  <c r="O7511" i="1" a="1"/>
  <c r="O7511" i="1" s="1"/>
  <c r="S7511" i="1" a="1"/>
  <c r="S7511" i="1" s="1"/>
  <c r="B7512" i="1"/>
  <c r="M7511" i="1" a="1"/>
  <c r="M7511" i="1" s="1"/>
  <c r="N7511" i="1" a="1"/>
  <c r="N7511" i="1" s="1"/>
  <c r="I7511" i="1" a="1"/>
  <c r="I7511" i="1" s="1"/>
  <c r="P7511" i="1" a="1"/>
  <c r="P7511" i="1" s="1"/>
  <c r="J7511" i="1" a="1"/>
  <c r="J7511" i="1" s="1"/>
  <c r="Q7511" i="1" a="1"/>
  <c r="Q7511" i="1" s="1"/>
  <c r="L7511" i="1" a="1"/>
  <c r="L7511" i="1" s="1"/>
  <c r="R7511" i="1" a="1"/>
  <c r="R7511" i="1" s="1"/>
  <c r="A7514" i="1"/>
  <c r="H7513" i="1"/>
  <c r="I4470" i="1" a="1"/>
  <c r="I4470" i="1" s="1"/>
  <c r="K4470" i="1" a="1"/>
  <c r="K4470" i="1" s="1"/>
  <c r="H4470" i="1"/>
  <c r="O4470" i="1" a="1"/>
  <c r="O4470" i="1" s="1"/>
  <c r="A7515" i="1" l="1"/>
  <c r="H7514" i="1"/>
  <c r="J7512" i="1" a="1"/>
  <c r="J7512" i="1" s="1"/>
  <c r="N7512" i="1" a="1"/>
  <c r="N7512" i="1" s="1"/>
  <c r="R7512" i="1" a="1"/>
  <c r="R7512" i="1" s="1"/>
  <c r="S7512" i="1" a="1"/>
  <c r="S7512" i="1" s="1"/>
  <c r="M7512" i="1" a="1"/>
  <c r="M7512" i="1" s="1"/>
  <c r="B7513" i="1"/>
  <c r="O7512" i="1" a="1"/>
  <c r="O7512" i="1" s="1"/>
  <c r="I7512" i="1" a="1"/>
  <c r="I7512" i="1" s="1"/>
  <c r="P7512" i="1" a="1"/>
  <c r="P7512" i="1" s="1"/>
  <c r="L7512" i="1" a="1"/>
  <c r="L7512" i="1" s="1"/>
  <c r="Q7512" i="1" a="1"/>
  <c r="Q7512" i="1" s="1"/>
  <c r="K7512" i="1" a="1"/>
  <c r="K7512" i="1" s="1"/>
  <c r="I4471" i="1" a="1"/>
  <c r="I4471" i="1" s="1"/>
  <c r="K4471" i="1" a="1"/>
  <c r="K4471" i="1" s="1"/>
  <c r="C4472" i="1"/>
  <c r="H4471" i="1"/>
  <c r="O4471" i="1" a="1"/>
  <c r="O4471" i="1" s="1"/>
  <c r="I7513" i="1" l="1" a="1"/>
  <c r="I7513" i="1" s="1"/>
  <c r="M7513" i="1" a="1"/>
  <c r="M7513" i="1" s="1"/>
  <c r="Q7513" i="1" a="1"/>
  <c r="Q7513" i="1" s="1"/>
  <c r="L7513" i="1" a="1"/>
  <c r="L7513" i="1" s="1"/>
  <c r="S7513" i="1" a="1"/>
  <c r="S7513" i="1" s="1"/>
  <c r="N7513" i="1" a="1"/>
  <c r="N7513" i="1" s="1"/>
  <c r="O7513" i="1" a="1"/>
  <c r="O7513" i="1" s="1"/>
  <c r="B7514" i="1"/>
  <c r="J7513" i="1" a="1"/>
  <c r="J7513" i="1" s="1"/>
  <c r="P7513" i="1" a="1"/>
  <c r="P7513" i="1" s="1"/>
  <c r="K7513" i="1" a="1"/>
  <c r="K7513" i="1" s="1"/>
  <c r="R7513" i="1" a="1"/>
  <c r="R7513" i="1" s="1"/>
  <c r="H7515" i="1"/>
  <c r="A7516" i="1"/>
  <c r="L4474" i="1" a="1"/>
  <c r="L4474" i="1" s="1"/>
  <c r="I4472" i="1" a="1"/>
  <c r="I4472" i="1" s="1"/>
  <c r="K4472" i="1" a="1"/>
  <c r="K4472" i="1" s="1"/>
  <c r="H4472" i="1"/>
  <c r="O4472" i="1" a="1"/>
  <c r="O4472" i="1" s="1"/>
  <c r="L7514" i="1" l="1" a="1"/>
  <c r="L7514" i="1" s="1"/>
  <c r="P7514" i="1" a="1"/>
  <c r="P7514" i="1" s="1"/>
  <c r="B7515" i="1"/>
  <c r="M7514" i="1" a="1"/>
  <c r="M7514" i="1" s="1"/>
  <c r="S7514" i="1" a="1"/>
  <c r="S7514" i="1" s="1"/>
  <c r="N7514" i="1" a="1"/>
  <c r="N7514" i="1" s="1"/>
  <c r="I7514" i="1" a="1"/>
  <c r="I7514" i="1" s="1"/>
  <c r="O7514" i="1" a="1"/>
  <c r="O7514" i="1" s="1"/>
  <c r="J7514" i="1" a="1"/>
  <c r="J7514" i="1" s="1"/>
  <c r="R7514" i="1" a="1"/>
  <c r="R7514" i="1" s="1"/>
  <c r="K7514" i="1" a="1"/>
  <c r="K7514" i="1" s="1"/>
  <c r="Q7514" i="1" a="1"/>
  <c r="Q7514" i="1" s="1"/>
  <c r="H7516" i="1"/>
  <c r="A7517" i="1"/>
  <c r="I4473" i="1" a="1"/>
  <c r="I4473" i="1" s="1"/>
  <c r="K4473" i="1" a="1"/>
  <c r="K4473" i="1" s="1"/>
  <c r="H4473" i="1"/>
  <c r="O4473" i="1" a="1"/>
  <c r="O4473" i="1" s="1"/>
  <c r="A7518" i="1" l="1"/>
  <c r="H7517" i="1"/>
  <c r="K7515" i="1" a="1"/>
  <c r="K7515" i="1" s="1"/>
  <c r="O7515" i="1" a="1"/>
  <c r="O7515" i="1" s="1"/>
  <c r="S7515" i="1" a="1"/>
  <c r="S7515" i="1" s="1"/>
  <c r="B7516" i="1"/>
  <c r="L7515" i="1" a="1"/>
  <c r="L7515" i="1" s="1"/>
  <c r="R7515" i="1" a="1"/>
  <c r="R7515" i="1" s="1"/>
  <c r="M7515" i="1" a="1"/>
  <c r="M7515" i="1" s="1"/>
  <c r="N7515" i="1" a="1"/>
  <c r="N7515" i="1" s="1"/>
  <c r="I7515" i="1" a="1"/>
  <c r="I7515" i="1" s="1"/>
  <c r="P7515" i="1" a="1"/>
  <c r="P7515" i="1" s="1"/>
  <c r="J7515" i="1" a="1"/>
  <c r="J7515" i="1" s="1"/>
  <c r="Q7515" i="1" a="1"/>
  <c r="Q7515" i="1" s="1"/>
  <c r="I4474" i="1" a="1"/>
  <c r="I4474" i="1" s="1"/>
  <c r="K4474" i="1" a="1"/>
  <c r="K4474" i="1" s="1"/>
  <c r="C4475" i="1"/>
  <c r="H4474" i="1"/>
  <c r="O4474" i="1" a="1"/>
  <c r="O4474" i="1" s="1"/>
  <c r="J7516" i="1" l="1" a="1"/>
  <c r="J7516" i="1" s="1"/>
  <c r="N7516" i="1" a="1"/>
  <c r="N7516" i="1" s="1"/>
  <c r="R7516" i="1" a="1"/>
  <c r="R7516" i="1" s="1"/>
  <c r="L7516" i="1" a="1"/>
  <c r="L7516" i="1" s="1"/>
  <c r="Q7516" i="1" a="1"/>
  <c r="Q7516" i="1" s="1"/>
  <c r="M7516" i="1" a="1"/>
  <c r="M7516" i="1" s="1"/>
  <c r="S7516" i="1" a="1"/>
  <c r="S7516" i="1" s="1"/>
  <c r="I7516" i="1" a="1"/>
  <c r="I7516" i="1" s="1"/>
  <c r="O7516" i="1" a="1"/>
  <c r="O7516" i="1" s="1"/>
  <c r="B7517" i="1"/>
  <c r="K7516" i="1" a="1"/>
  <c r="K7516" i="1" s="1"/>
  <c r="P7516" i="1" a="1"/>
  <c r="P7516" i="1" s="1"/>
  <c r="A7519" i="1"/>
  <c r="H7518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519" i="1" l="1"/>
  <c r="A7520" i="1"/>
  <c r="I7517" i="1" a="1"/>
  <c r="I7517" i="1" s="1"/>
  <c r="M7517" i="1" a="1"/>
  <c r="M7517" i="1" s="1"/>
  <c r="Q7517" i="1" a="1"/>
  <c r="Q7517" i="1" s="1"/>
  <c r="S7517" i="1" a="1"/>
  <c r="S7517" i="1" s="1"/>
  <c r="J7517" i="1" a="1"/>
  <c r="J7517" i="1" s="1"/>
  <c r="O7517" i="1" a="1"/>
  <c r="O7517" i="1" s="1"/>
  <c r="K7517" i="1" a="1"/>
  <c r="K7517" i="1" s="1"/>
  <c r="P7517" i="1" a="1"/>
  <c r="P7517" i="1" s="1"/>
  <c r="B7518" i="1"/>
  <c r="L7517" i="1" a="1"/>
  <c r="L7517" i="1" s="1"/>
  <c r="N7517" i="1" a="1"/>
  <c r="N7517" i="1" s="1"/>
  <c r="R7517" i="1" a="1"/>
  <c r="R7517" i="1" s="1"/>
  <c r="I4476" i="1" a="1"/>
  <c r="I4476" i="1" s="1"/>
  <c r="K4476" i="1" a="1"/>
  <c r="K4476" i="1" s="1"/>
  <c r="L4477" i="1" a="1"/>
  <c r="L4477" i="1" s="1"/>
  <c r="H4476" i="1"/>
  <c r="O4476" i="1" a="1"/>
  <c r="O4476" i="1" s="1"/>
  <c r="L7518" i="1" l="1" a="1"/>
  <c r="L7518" i="1" s="1"/>
  <c r="P7518" i="1" a="1"/>
  <c r="P7518" i="1" s="1"/>
  <c r="O7518" i="1" a="1"/>
  <c r="O7518" i="1" s="1"/>
  <c r="K7518" i="1" a="1"/>
  <c r="K7518" i="1" s="1"/>
  <c r="B7519" i="1"/>
  <c r="Q7518" i="1" a="1"/>
  <c r="Q7518" i="1" s="1"/>
  <c r="M7518" i="1" a="1"/>
  <c r="M7518" i="1" s="1"/>
  <c r="I7518" i="1" a="1"/>
  <c r="I7518" i="1" s="1"/>
  <c r="R7518" i="1" a="1"/>
  <c r="R7518" i="1" s="1"/>
  <c r="J7518" i="1" a="1"/>
  <c r="J7518" i="1" s="1"/>
  <c r="N7518" i="1" a="1"/>
  <c r="N7518" i="1" s="1"/>
  <c r="S7518" i="1" a="1"/>
  <c r="S7518" i="1" s="1"/>
  <c r="H7520" i="1"/>
  <c r="A7521" i="1"/>
  <c r="I4477" i="1" a="1"/>
  <c r="I4477" i="1" s="1"/>
  <c r="K4477" i="1" a="1"/>
  <c r="K4477" i="1" s="1"/>
  <c r="C4478" i="1"/>
  <c r="H4477" i="1"/>
  <c r="O4477" i="1" a="1"/>
  <c r="O4477" i="1" s="1"/>
  <c r="H7521" i="1" l="1"/>
  <c r="A7522" i="1"/>
  <c r="K7519" i="1" a="1"/>
  <c r="K7519" i="1" s="1"/>
  <c r="O7519" i="1" a="1"/>
  <c r="O7519" i="1" s="1"/>
  <c r="S7519" i="1" a="1"/>
  <c r="S7519" i="1" s="1"/>
  <c r="P7519" i="1" a="1"/>
  <c r="P7519" i="1" s="1"/>
  <c r="B7520" i="1"/>
  <c r="L7519" i="1" a="1"/>
  <c r="L7519" i="1" s="1"/>
  <c r="Q7519" i="1" a="1"/>
  <c r="Q7519" i="1" s="1"/>
  <c r="M7519" i="1" a="1"/>
  <c r="M7519" i="1" s="1"/>
  <c r="I7519" i="1" a="1"/>
  <c r="I7519" i="1" s="1"/>
  <c r="R7519" i="1" a="1"/>
  <c r="R7519" i="1" s="1"/>
  <c r="N7519" i="1" a="1"/>
  <c r="N7519" i="1" s="1"/>
  <c r="J7519" i="1" a="1"/>
  <c r="J7519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J7520" i="1" l="1" a="1"/>
  <c r="J7520" i="1" s="1"/>
  <c r="N7520" i="1" a="1"/>
  <c r="N7520" i="1" s="1"/>
  <c r="R7520" i="1" a="1"/>
  <c r="R7520" i="1" s="1"/>
  <c r="L7520" i="1" a="1"/>
  <c r="L7520" i="1" s="1"/>
  <c r="Q7520" i="1" a="1"/>
  <c r="Q7520" i="1" s="1"/>
  <c r="M7520" i="1" a="1"/>
  <c r="M7520" i="1" s="1"/>
  <c r="I7520" i="1" a="1"/>
  <c r="I7520" i="1" s="1"/>
  <c r="S7520" i="1" a="1"/>
  <c r="S7520" i="1" s="1"/>
  <c r="O7520" i="1" a="1"/>
  <c r="O7520" i="1" s="1"/>
  <c r="B7521" i="1"/>
  <c r="K7520" i="1" a="1"/>
  <c r="K7520" i="1" s="1"/>
  <c r="P7520" i="1" a="1"/>
  <c r="P7520" i="1" s="1"/>
  <c r="A7523" i="1"/>
  <c r="H7522" i="1"/>
  <c r="I4479" i="1" a="1"/>
  <c r="I4479" i="1" s="1"/>
  <c r="K4479" i="1" a="1"/>
  <c r="K4479" i="1" s="1"/>
  <c r="L4480" i="1" a="1"/>
  <c r="L4480" i="1" s="1"/>
  <c r="H4479" i="1"/>
  <c r="O4479" i="1" a="1"/>
  <c r="O4479" i="1" s="1"/>
  <c r="A7524" i="1" l="1"/>
  <c r="H7523" i="1"/>
  <c r="I7521" i="1" a="1"/>
  <c r="I7521" i="1" s="1"/>
  <c r="M7521" i="1" a="1"/>
  <c r="M7521" i="1" s="1"/>
  <c r="Q7521" i="1" a="1"/>
  <c r="Q7521" i="1" s="1"/>
  <c r="R7521" i="1" a="1"/>
  <c r="R7521" i="1" s="1"/>
  <c r="N7521" i="1" a="1"/>
  <c r="N7521" i="1" s="1"/>
  <c r="J7521" i="1" a="1"/>
  <c r="J7521" i="1" s="1"/>
  <c r="S7521" i="1" a="1"/>
  <c r="S7521" i="1" s="1"/>
  <c r="O7521" i="1" a="1"/>
  <c r="O7521" i="1" s="1"/>
  <c r="K7521" i="1" a="1"/>
  <c r="K7521" i="1" s="1"/>
  <c r="L7521" i="1" a="1"/>
  <c r="L7521" i="1" s="1"/>
  <c r="P7521" i="1" a="1"/>
  <c r="P7521" i="1" s="1"/>
  <c r="B7522" i="1"/>
  <c r="I4480" i="1" a="1"/>
  <c r="I4480" i="1" s="1"/>
  <c r="K4480" i="1" a="1"/>
  <c r="K4480" i="1" s="1"/>
  <c r="L4481" i="1" a="1"/>
  <c r="L4481" i="1" s="1"/>
  <c r="H4480" i="1"/>
  <c r="O4480" i="1" a="1"/>
  <c r="O4480" i="1" s="1"/>
  <c r="L7522" i="1" l="1" a="1"/>
  <c r="L7522" i="1" s="1"/>
  <c r="P7522" i="1" a="1"/>
  <c r="P7522" i="1" s="1"/>
  <c r="I7522" i="1" a="1"/>
  <c r="I7522" i="1" s="1"/>
  <c r="R7522" i="1" a="1"/>
  <c r="R7522" i="1" s="1"/>
  <c r="N7522" i="1" a="1"/>
  <c r="N7522" i="1" s="1"/>
  <c r="J7522" i="1" a="1"/>
  <c r="J7522" i="1" s="1"/>
  <c r="S7522" i="1" a="1"/>
  <c r="S7522" i="1" s="1"/>
  <c r="O7522" i="1" a="1"/>
  <c r="O7522" i="1" s="1"/>
  <c r="K7522" i="1" a="1"/>
  <c r="K7522" i="1" s="1"/>
  <c r="B7523" i="1"/>
  <c r="M7522" i="1" a="1"/>
  <c r="M7522" i="1" s="1"/>
  <c r="Q7522" i="1" a="1"/>
  <c r="Q7522" i="1" s="1"/>
  <c r="A7525" i="1"/>
  <c r="H7524" i="1"/>
  <c r="I4481" i="1" a="1"/>
  <c r="I4481" i="1" s="1"/>
  <c r="K4481" i="1" a="1"/>
  <c r="K4481" i="1" s="1"/>
  <c r="C4482" i="1"/>
  <c r="H4481" i="1"/>
  <c r="O4481" i="1" a="1"/>
  <c r="O4481" i="1" s="1"/>
  <c r="A7526" i="1" l="1"/>
  <c r="H7525" i="1"/>
  <c r="K7523" i="1" a="1"/>
  <c r="K7523" i="1" s="1"/>
  <c r="O7523" i="1" a="1"/>
  <c r="O7523" i="1" s="1"/>
  <c r="S7523" i="1" a="1"/>
  <c r="S7523" i="1" s="1"/>
  <c r="N7523" i="1" a="1"/>
  <c r="N7523" i="1" s="1"/>
  <c r="J7523" i="1" a="1"/>
  <c r="J7523" i="1" s="1"/>
  <c r="P7523" i="1" a="1"/>
  <c r="P7523" i="1" s="1"/>
  <c r="B7524" i="1"/>
  <c r="L7523" i="1" a="1"/>
  <c r="L7523" i="1" s="1"/>
  <c r="Q7523" i="1" a="1"/>
  <c r="Q7523" i="1" s="1"/>
  <c r="R7523" i="1" a="1"/>
  <c r="R7523" i="1" s="1"/>
  <c r="I7523" i="1" a="1"/>
  <c r="I7523" i="1" s="1"/>
  <c r="M7523" i="1" a="1"/>
  <c r="M7523" i="1" s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J7524" i="1" l="1" a="1"/>
  <c r="J7524" i="1" s="1"/>
  <c r="N7524" i="1" a="1"/>
  <c r="N7524" i="1" s="1"/>
  <c r="R7524" i="1" a="1"/>
  <c r="R7524" i="1" s="1"/>
  <c r="O7524" i="1" a="1"/>
  <c r="O7524" i="1" s="1"/>
  <c r="K7524" i="1" a="1"/>
  <c r="K7524" i="1" s="1"/>
  <c r="P7524" i="1" a="1"/>
  <c r="P7524" i="1" s="1"/>
  <c r="B7525" i="1"/>
  <c r="L7524" i="1" a="1"/>
  <c r="L7524" i="1" s="1"/>
  <c r="Q7524" i="1" a="1"/>
  <c r="Q7524" i="1" s="1"/>
  <c r="M7524" i="1" a="1"/>
  <c r="M7524" i="1" s="1"/>
  <c r="I7524" i="1" a="1"/>
  <c r="I7524" i="1" s="1"/>
  <c r="S7524" i="1" a="1"/>
  <c r="S7524" i="1" s="1"/>
  <c r="A7527" i="1"/>
  <c r="H7526" i="1"/>
  <c r="I4483" i="1" a="1"/>
  <c r="I4483" i="1" s="1"/>
  <c r="K4483" i="1" a="1"/>
  <c r="K4483" i="1" s="1"/>
  <c r="L4484" i="1" a="1"/>
  <c r="L4484" i="1" s="1"/>
  <c r="H4483" i="1"/>
  <c r="O4483" i="1" a="1"/>
  <c r="O4483" i="1" s="1"/>
  <c r="I7525" i="1" l="1" a="1"/>
  <c r="I7525" i="1" s="1"/>
  <c r="M7525" i="1" a="1"/>
  <c r="M7525" i="1" s="1"/>
  <c r="Q7525" i="1" a="1"/>
  <c r="Q7525" i="1" s="1"/>
  <c r="K7525" i="1" a="1"/>
  <c r="K7525" i="1" s="1"/>
  <c r="P7525" i="1" a="1"/>
  <c r="P7525" i="1" s="1"/>
  <c r="B7526" i="1"/>
  <c r="L7525" i="1" a="1"/>
  <c r="L7525" i="1" s="1"/>
  <c r="R7525" i="1" a="1"/>
  <c r="R7525" i="1" s="1"/>
  <c r="N7525" i="1" a="1"/>
  <c r="N7525" i="1" s="1"/>
  <c r="O7525" i="1" a="1"/>
  <c r="O7525" i="1" s="1"/>
  <c r="S7525" i="1" a="1"/>
  <c r="S7525" i="1" s="1"/>
  <c r="J7525" i="1" a="1"/>
  <c r="J7525" i="1" s="1"/>
  <c r="H7527" i="1"/>
  <c r="A7528" i="1"/>
  <c r="I4484" i="1" a="1"/>
  <c r="I4484" i="1" s="1"/>
  <c r="K4484" i="1" a="1"/>
  <c r="K4484" i="1" s="1"/>
  <c r="C4485" i="1"/>
  <c r="H4484" i="1"/>
  <c r="O4484" i="1" a="1"/>
  <c r="O4484" i="1" s="1"/>
  <c r="H7528" i="1" l="1"/>
  <c r="A7529" i="1"/>
  <c r="L7526" i="1" a="1"/>
  <c r="L7526" i="1" s="1"/>
  <c r="P7526" i="1" a="1"/>
  <c r="P7526" i="1" s="1"/>
  <c r="Q7526" i="1" a="1"/>
  <c r="Q7526" i="1" s="1"/>
  <c r="M7526" i="1" a="1"/>
  <c r="M7526" i="1" s="1"/>
  <c r="I7526" i="1" a="1"/>
  <c r="I7526" i="1" s="1"/>
  <c r="R7526" i="1" a="1"/>
  <c r="R7526" i="1" s="1"/>
  <c r="N7526" i="1" a="1"/>
  <c r="N7526" i="1" s="1"/>
  <c r="J7526" i="1" a="1"/>
  <c r="J7526" i="1" s="1"/>
  <c r="S7526" i="1" a="1"/>
  <c r="S7526" i="1" s="1"/>
  <c r="B7527" i="1"/>
  <c r="K7526" i="1" a="1"/>
  <c r="K7526" i="1" s="1"/>
  <c r="O7526" i="1" a="1"/>
  <c r="O7526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K7527" i="1" l="1" a="1"/>
  <c r="K7527" i="1" s="1"/>
  <c r="O7527" i="1" a="1"/>
  <c r="O7527" i="1" s="1"/>
  <c r="S7527" i="1" a="1"/>
  <c r="S7527" i="1" s="1"/>
  <c r="Q7527" i="1" a="1"/>
  <c r="Q7527" i="1" s="1"/>
  <c r="M7527" i="1" a="1"/>
  <c r="M7527" i="1" s="1"/>
  <c r="I7527" i="1" a="1"/>
  <c r="I7527" i="1" s="1"/>
  <c r="R7527" i="1" a="1"/>
  <c r="R7527" i="1" s="1"/>
  <c r="N7527" i="1" a="1"/>
  <c r="N7527" i="1" s="1"/>
  <c r="J7527" i="1" a="1"/>
  <c r="J7527" i="1" s="1"/>
  <c r="L7527" i="1" a="1"/>
  <c r="L7527" i="1" s="1"/>
  <c r="P7527" i="1" a="1"/>
  <c r="P7527" i="1" s="1"/>
  <c r="B7528" i="1"/>
  <c r="A7530" i="1"/>
  <c r="H7529" i="1"/>
  <c r="I4486" i="1" a="1"/>
  <c r="I4486" i="1" s="1"/>
  <c r="K4486" i="1" a="1"/>
  <c r="K4486" i="1" s="1"/>
  <c r="L4487" i="1" a="1"/>
  <c r="L4487" i="1" s="1"/>
  <c r="H4486" i="1"/>
  <c r="O4486" i="1" a="1"/>
  <c r="O4486" i="1" s="1"/>
  <c r="A7531" i="1" l="1"/>
  <c r="H7530" i="1"/>
  <c r="J7528" i="1" a="1"/>
  <c r="J7528" i="1" s="1"/>
  <c r="N7528" i="1" a="1"/>
  <c r="N7528" i="1" s="1"/>
  <c r="R7528" i="1" a="1"/>
  <c r="R7528" i="1" s="1"/>
  <c r="M7528" i="1" a="1"/>
  <c r="M7528" i="1" s="1"/>
  <c r="I7528" i="1" a="1"/>
  <c r="I7528" i="1" s="1"/>
  <c r="S7528" i="1" a="1"/>
  <c r="S7528" i="1" s="1"/>
  <c r="O7528" i="1" a="1"/>
  <c r="O7528" i="1" s="1"/>
  <c r="K7528" i="1" a="1"/>
  <c r="K7528" i="1" s="1"/>
  <c r="P7528" i="1" a="1"/>
  <c r="P7528" i="1" s="1"/>
  <c r="B7529" i="1"/>
  <c r="L7528" i="1" a="1"/>
  <c r="L7528" i="1" s="1"/>
  <c r="Q7528" i="1" a="1"/>
  <c r="Q7528" i="1" s="1"/>
  <c r="I4487" i="1" a="1"/>
  <c r="I4487" i="1" s="1"/>
  <c r="K4487" i="1" a="1"/>
  <c r="K4487" i="1" s="1"/>
  <c r="L4488" i="1" a="1"/>
  <c r="L4488" i="1" s="1"/>
  <c r="H4487" i="1"/>
  <c r="O4487" i="1" a="1"/>
  <c r="O4487" i="1" s="1"/>
  <c r="I7529" i="1" l="1" a="1"/>
  <c r="I7529" i="1" s="1"/>
  <c r="M7529" i="1" a="1"/>
  <c r="M7529" i="1" s="1"/>
  <c r="Q7529" i="1" a="1"/>
  <c r="Q7529" i="1" s="1"/>
  <c r="N7529" i="1" a="1"/>
  <c r="N7529" i="1" s="1"/>
  <c r="J7529" i="1" a="1"/>
  <c r="J7529" i="1" s="1"/>
  <c r="S7529" i="1" a="1"/>
  <c r="S7529" i="1" s="1"/>
  <c r="O7529" i="1" a="1"/>
  <c r="O7529" i="1" s="1"/>
  <c r="K7529" i="1" a="1"/>
  <c r="K7529" i="1" s="1"/>
  <c r="P7529" i="1" a="1"/>
  <c r="P7529" i="1" s="1"/>
  <c r="B7530" i="1"/>
  <c r="L7529" i="1" a="1"/>
  <c r="L7529" i="1" s="1"/>
  <c r="R7529" i="1" a="1"/>
  <c r="R7529" i="1" s="1"/>
  <c r="A7532" i="1"/>
  <c r="H7531" i="1"/>
  <c r="I4488" i="1" a="1"/>
  <c r="I4488" i="1" s="1"/>
  <c r="K4488" i="1" a="1"/>
  <c r="K4488" i="1" s="1"/>
  <c r="H4488" i="1"/>
  <c r="O4488" i="1" a="1"/>
  <c r="O4488" i="1" s="1"/>
  <c r="A7533" i="1" l="1"/>
  <c r="H7532" i="1"/>
  <c r="L7530" i="1" a="1"/>
  <c r="L7530" i="1" s="1"/>
  <c r="P7530" i="1" a="1"/>
  <c r="P7530" i="1" s="1"/>
  <c r="J7530" i="1" a="1"/>
  <c r="J7530" i="1" s="1"/>
  <c r="S7530" i="1" a="1"/>
  <c r="S7530" i="1" s="1"/>
  <c r="O7530" i="1" a="1"/>
  <c r="O7530" i="1" s="1"/>
  <c r="K7530" i="1" a="1"/>
  <c r="K7530" i="1" s="1"/>
  <c r="B7531" i="1"/>
  <c r="Q7530" i="1" a="1"/>
  <c r="Q7530" i="1" s="1"/>
  <c r="M7530" i="1" a="1"/>
  <c r="M7530" i="1" s="1"/>
  <c r="I7530" i="1" a="1"/>
  <c r="I7530" i="1" s="1"/>
  <c r="N7530" i="1" a="1"/>
  <c r="N7530" i="1" s="1"/>
  <c r="R7530" i="1" a="1"/>
  <c r="R7530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K7531" i="1" l="1" a="1"/>
  <c r="K7531" i="1" s="1"/>
  <c r="O7531" i="1" a="1"/>
  <c r="O7531" i="1" s="1"/>
  <c r="S7531" i="1" a="1"/>
  <c r="S7531" i="1" s="1"/>
  <c r="P7531" i="1" a="1"/>
  <c r="P7531" i="1" s="1"/>
  <c r="B7532" i="1"/>
  <c r="L7531" i="1" a="1"/>
  <c r="L7531" i="1" s="1"/>
  <c r="Q7531" i="1" a="1"/>
  <c r="Q7531" i="1" s="1"/>
  <c r="M7531" i="1" a="1"/>
  <c r="M7531" i="1" s="1"/>
  <c r="I7531" i="1" a="1"/>
  <c r="I7531" i="1" s="1"/>
  <c r="R7531" i="1" a="1"/>
  <c r="R7531" i="1" s="1"/>
  <c r="J7531" i="1" a="1"/>
  <c r="J7531" i="1" s="1"/>
  <c r="N7531" i="1" a="1"/>
  <c r="N7531" i="1" s="1"/>
  <c r="A7534" i="1"/>
  <c r="H7533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H7534" i="1" l="1"/>
  <c r="A7535" i="1"/>
  <c r="J7532" i="1" a="1"/>
  <c r="J7532" i="1" s="1"/>
  <c r="L7532" i="1" a="1"/>
  <c r="L7532" i="1" s="1"/>
  <c r="P7532" i="1" a="1"/>
  <c r="P7532" i="1" s="1"/>
  <c r="B7533" i="1"/>
  <c r="M7532" i="1" a="1"/>
  <c r="M7532" i="1" s="1"/>
  <c r="Q7532" i="1" a="1"/>
  <c r="Q7532" i="1" s="1"/>
  <c r="I7532" i="1" a="1"/>
  <c r="I7532" i="1" s="1"/>
  <c r="N7532" i="1" a="1"/>
  <c r="N7532" i="1" s="1"/>
  <c r="R7532" i="1" a="1"/>
  <c r="R7532" i="1" s="1"/>
  <c r="K7532" i="1" a="1"/>
  <c r="K7532" i="1" s="1"/>
  <c r="O7532" i="1" a="1"/>
  <c r="O7532" i="1" s="1"/>
  <c r="S7532" i="1" a="1"/>
  <c r="S7532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K7533" i="1" l="1" a="1"/>
  <c r="K7533" i="1" s="1"/>
  <c r="O7533" i="1" a="1"/>
  <c r="O7533" i="1" s="1"/>
  <c r="S7533" i="1" a="1"/>
  <c r="S7533" i="1" s="1"/>
  <c r="L7533" i="1" a="1"/>
  <c r="L7533" i="1" s="1"/>
  <c r="P7533" i="1" a="1"/>
  <c r="P7533" i="1" s="1"/>
  <c r="B7534" i="1"/>
  <c r="M7533" i="1" a="1"/>
  <c r="M7533" i="1" s="1"/>
  <c r="N7533" i="1" a="1"/>
  <c r="N7533" i="1" s="1"/>
  <c r="Q7533" i="1" a="1"/>
  <c r="Q7533" i="1" s="1"/>
  <c r="J7533" i="1" a="1"/>
  <c r="J7533" i="1" s="1"/>
  <c r="R7533" i="1" a="1"/>
  <c r="R7533" i="1" s="1"/>
  <c r="I7533" i="1" a="1"/>
  <c r="I7533" i="1" s="1"/>
  <c r="H7535" i="1"/>
  <c r="A753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A7537" i="1" l="1"/>
  <c r="H7536" i="1"/>
  <c r="J7534" i="1" a="1"/>
  <c r="J7534" i="1" s="1"/>
  <c r="N7534" i="1" a="1"/>
  <c r="N7534" i="1" s="1"/>
  <c r="R7534" i="1" a="1"/>
  <c r="R7534" i="1" s="1"/>
  <c r="K7534" i="1" a="1"/>
  <c r="K7534" i="1" s="1"/>
  <c r="O7534" i="1" a="1"/>
  <c r="O7534" i="1" s="1"/>
  <c r="S7534" i="1" a="1"/>
  <c r="S7534" i="1" s="1"/>
  <c r="I7534" i="1" a="1"/>
  <c r="I7534" i="1" s="1"/>
  <c r="B7535" i="1"/>
  <c r="L7534" i="1" a="1"/>
  <c r="L7534" i="1" s="1"/>
  <c r="M7534" i="1" a="1"/>
  <c r="M7534" i="1" s="1"/>
  <c r="P7534" i="1" a="1"/>
  <c r="P7534" i="1" s="1"/>
  <c r="Q7534" i="1" a="1"/>
  <c r="Q7534" i="1" s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536" i="1" l="1"/>
  <c r="I7535" i="1" a="1"/>
  <c r="I7535" i="1" s="1"/>
  <c r="M7535" i="1" a="1"/>
  <c r="M7535" i="1" s="1"/>
  <c r="Q7535" i="1" a="1"/>
  <c r="Q7535" i="1" s="1"/>
  <c r="J7535" i="1" a="1"/>
  <c r="J7535" i="1" s="1"/>
  <c r="N7535" i="1" a="1"/>
  <c r="N7535" i="1" s="1"/>
  <c r="R7535" i="1" a="1"/>
  <c r="R7535" i="1" s="1"/>
  <c r="S7535" i="1" a="1"/>
  <c r="S7535" i="1" s="1"/>
  <c r="K7535" i="1" a="1"/>
  <c r="K7535" i="1" s="1"/>
  <c r="L7535" i="1" a="1"/>
  <c r="L7535" i="1" s="1"/>
  <c r="O7535" i="1" a="1"/>
  <c r="O7535" i="1" s="1"/>
  <c r="P7535" i="1" a="1"/>
  <c r="P7535" i="1" s="1"/>
  <c r="A7538" i="1"/>
  <c r="H7537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538" i="1" l="1"/>
  <c r="A7539" i="1"/>
  <c r="L7536" i="1" a="1"/>
  <c r="L7536" i="1" s="1"/>
  <c r="P7536" i="1" a="1"/>
  <c r="P7536" i="1" s="1"/>
  <c r="B7537" i="1"/>
  <c r="I7536" i="1" a="1"/>
  <c r="I7536" i="1" s="1"/>
  <c r="M7536" i="1" a="1"/>
  <c r="M7536" i="1" s="1"/>
  <c r="Q7536" i="1" a="1"/>
  <c r="Q7536" i="1" s="1"/>
  <c r="O7536" i="1" a="1"/>
  <c r="O7536" i="1" s="1"/>
  <c r="R7536" i="1" a="1"/>
  <c r="R7536" i="1" s="1"/>
  <c r="J7536" i="1" a="1"/>
  <c r="J7536" i="1" s="1"/>
  <c r="S7536" i="1" a="1"/>
  <c r="S7536" i="1" s="1"/>
  <c r="K7536" i="1" a="1"/>
  <c r="K7536" i="1" s="1"/>
  <c r="N7536" i="1" a="1"/>
  <c r="N7536" i="1" s="1"/>
  <c r="J4534" i="1" a="1"/>
  <c r="J4534" i="1" s="1"/>
  <c r="L7537" i="1" l="1" a="1"/>
  <c r="L7537" i="1" s="1"/>
  <c r="P7537" i="1" a="1"/>
  <c r="P7537" i="1" s="1"/>
  <c r="B7538" i="1"/>
  <c r="M7537" i="1" a="1"/>
  <c r="M7537" i="1" s="1"/>
  <c r="N7537" i="1" a="1"/>
  <c r="N7537" i="1" s="1"/>
  <c r="O7537" i="1" a="1"/>
  <c r="O7537" i="1" s="1"/>
  <c r="I7537" i="1" a="1"/>
  <c r="I7537" i="1" s="1"/>
  <c r="Q7537" i="1" a="1"/>
  <c r="Q7537" i="1" s="1"/>
  <c r="K7537" i="1" a="1"/>
  <c r="K7537" i="1" s="1"/>
  <c r="R7537" i="1" a="1"/>
  <c r="R7537" i="1" s="1"/>
  <c r="S7537" i="1" a="1"/>
  <c r="S7537" i="1" s="1"/>
  <c r="J7537" i="1" a="1"/>
  <c r="J7537" i="1" s="1"/>
  <c r="H7539" i="1"/>
  <c r="A7540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H7540" i="1" l="1"/>
  <c r="A7541" i="1"/>
  <c r="K7538" i="1" a="1"/>
  <c r="K7538" i="1" s="1"/>
  <c r="O7538" i="1" a="1"/>
  <c r="O7538" i="1" s="1"/>
  <c r="P7538" i="1" a="1"/>
  <c r="P7538" i="1" s="1"/>
  <c r="I7538" i="1" a="1"/>
  <c r="I7538" i="1" s="1"/>
  <c r="J7538" i="1" a="1"/>
  <c r="J7538" i="1" s="1"/>
  <c r="Q7538" i="1" a="1"/>
  <c r="Q7538" i="1" s="1"/>
  <c r="L7538" i="1" a="1"/>
  <c r="L7538" i="1" s="1"/>
  <c r="R7538" i="1" a="1"/>
  <c r="R7538" i="1" s="1"/>
  <c r="B7539" i="1"/>
  <c r="N7538" i="1" a="1"/>
  <c r="N7538" i="1" s="1"/>
  <c r="S7538" i="1" a="1"/>
  <c r="S7538" i="1" s="1"/>
  <c r="M7538" i="1" a="1"/>
  <c r="M7538" i="1" s="1"/>
  <c r="J4597" i="1" a="1"/>
  <c r="J4597" i="1" s="1"/>
  <c r="B7540" i="1" l="1"/>
  <c r="O7539" i="1" a="1"/>
  <c r="O7539" i="1" s="1"/>
  <c r="I7539" i="1" a="1"/>
  <c r="I7539" i="1" s="1"/>
  <c r="J7539" i="1" a="1"/>
  <c r="J7539" i="1" s="1"/>
  <c r="P7539" i="1" a="1"/>
  <c r="P7539" i="1" s="1"/>
  <c r="K7539" i="1" a="1"/>
  <c r="K7539" i="1" s="1"/>
  <c r="Q7539" i="1" a="1"/>
  <c r="Q7539" i="1" s="1"/>
  <c r="R7539" i="1" a="1"/>
  <c r="R7539" i="1" s="1"/>
  <c r="L7539" i="1" a="1"/>
  <c r="L7539" i="1" s="1"/>
  <c r="M7539" i="1" a="1"/>
  <c r="M7539" i="1" s="1"/>
  <c r="N7539" i="1" a="1"/>
  <c r="N7539" i="1" s="1"/>
  <c r="S7539" i="1" a="1"/>
  <c r="S7539" i="1" s="1"/>
  <c r="H7541" i="1"/>
  <c r="A754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H7542" i="1" l="1"/>
  <c r="A7543" i="1"/>
  <c r="I7540" i="1" a="1"/>
  <c r="I7540" i="1" s="1"/>
  <c r="O7540" i="1" a="1"/>
  <c r="O7540" i="1" s="1"/>
  <c r="B7541" i="1"/>
  <c r="J7540" i="1" a="1"/>
  <c r="J7540" i="1" s="1"/>
  <c r="P7540" i="1" a="1"/>
  <c r="P7540" i="1" s="1"/>
  <c r="K7540" i="1" a="1"/>
  <c r="K7540" i="1" s="1"/>
  <c r="Q7540" i="1" a="1"/>
  <c r="Q7540" i="1" s="1"/>
  <c r="L7540" i="1" a="1"/>
  <c r="L7540" i="1" s="1"/>
  <c r="M7540" i="1" a="1"/>
  <c r="M7540" i="1" s="1"/>
  <c r="N7540" i="1" a="1"/>
  <c r="N7540" i="1" s="1"/>
  <c r="R7540" i="1" a="1"/>
  <c r="R7540" i="1" s="1"/>
  <c r="S7540" i="1" a="1"/>
  <c r="S7540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P7541" i="1" l="1" a="1"/>
  <c r="P7541" i="1" s="1"/>
  <c r="B7542" i="1"/>
  <c r="L7541" i="1" a="1"/>
  <c r="L7541" i="1" s="1"/>
  <c r="Q7541" i="1" a="1"/>
  <c r="Q7541" i="1" s="1"/>
  <c r="M7541" i="1" a="1"/>
  <c r="M7541" i="1" s="1"/>
  <c r="I7541" i="1" a="1"/>
  <c r="I7541" i="1" s="1"/>
  <c r="R7541" i="1" a="1"/>
  <c r="R7541" i="1" s="1"/>
  <c r="K7541" i="1" a="1"/>
  <c r="K7541" i="1" s="1"/>
  <c r="N7541" i="1" a="1"/>
  <c r="N7541" i="1" s="1"/>
  <c r="O7541" i="1" a="1"/>
  <c r="O7541" i="1" s="1"/>
  <c r="S7541" i="1" a="1"/>
  <c r="S7541" i="1" s="1"/>
  <c r="J7541" i="1" a="1"/>
  <c r="J7541" i="1" s="1"/>
  <c r="H7543" i="1"/>
  <c r="A7544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7542" i="1" l="1" a="1"/>
  <c r="L7542" i="1" s="1"/>
  <c r="Q7542" i="1" a="1"/>
  <c r="Q7542" i="1" s="1"/>
  <c r="M7542" i="1" a="1"/>
  <c r="M7542" i="1" s="1"/>
  <c r="R7542" i="1" a="1"/>
  <c r="R7542" i="1" s="1"/>
  <c r="I7542" i="1" a="1"/>
  <c r="I7542" i="1" s="1"/>
  <c r="N7542" i="1" a="1"/>
  <c r="N7542" i="1" s="1"/>
  <c r="J7542" i="1" a="1"/>
  <c r="J7542" i="1" s="1"/>
  <c r="S7542" i="1" a="1"/>
  <c r="S7542" i="1" s="1"/>
  <c r="K7542" i="1" a="1"/>
  <c r="K7542" i="1" s="1"/>
  <c r="O7542" i="1" a="1"/>
  <c r="O7542" i="1" s="1"/>
  <c r="P7542" i="1" a="1"/>
  <c r="P7542" i="1" s="1"/>
  <c r="B7543" i="1"/>
  <c r="A7545" i="1"/>
  <c r="H7544" i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B7544" i="1" l="1"/>
  <c r="M7543" i="1" a="1"/>
  <c r="M7543" i="1" s="1"/>
  <c r="I7543" i="1" a="1"/>
  <c r="I7543" i="1" s="1"/>
  <c r="R7543" i="1" a="1"/>
  <c r="R7543" i="1" s="1"/>
  <c r="N7543" i="1" a="1"/>
  <c r="N7543" i="1" s="1"/>
  <c r="J7543" i="1" a="1"/>
  <c r="J7543" i="1" s="1"/>
  <c r="S7543" i="1" a="1"/>
  <c r="S7543" i="1" s="1"/>
  <c r="O7543" i="1" a="1"/>
  <c r="O7543" i="1" s="1"/>
  <c r="K7543" i="1" a="1"/>
  <c r="K7543" i="1" s="1"/>
  <c r="L7543" i="1" a="1"/>
  <c r="L7543" i="1" s="1"/>
  <c r="P7543" i="1" a="1"/>
  <c r="P7543" i="1" s="1"/>
  <c r="Q7543" i="1" a="1"/>
  <c r="Q7543" i="1" s="1"/>
  <c r="A7546" i="1"/>
  <c r="H7545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A7547" i="1" l="1"/>
  <c r="H7546" i="1"/>
  <c r="I7544" i="1" a="1"/>
  <c r="I7544" i="1" s="1"/>
  <c r="R7544" i="1" a="1"/>
  <c r="R7544" i="1" s="1"/>
  <c r="N7544" i="1" a="1"/>
  <c r="N7544" i="1" s="1"/>
  <c r="J7544" i="1" a="1"/>
  <c r="J7544" i="1" s="1"/>
  <c r="S7544" i="1" a="1"/>
  <c r="S7544" i="1" s="1"/>
  <c r="O7544" i="1" a="1"/>
  <c r="O7544" i="1" s="1"/>
  <c r="K7544" i="1" a="1"/>
  <c r="K7544" i="1" s="1"/>
  <c r="P7544" i="1" a="1"/>
  <c r="P7544" i="1" s="1"/>
  <c r="B7545" i="1"/>
  <c r="L7544" i="1" a="1"/>
  <c r="L7544" i="1" s="1"/>
  <c r="M7544" i="1" a="1"/>
  <c r="M7544" i="1" s="1"/>
  <c r="Q7544" i="1" a="1"/>
  <c r="Q7544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N7545" i="1" l="1" a="1"/>
  <c r="N7545" i="1" s="1"/>
  <c r="S7545" i="1" a="1"/>
  <c r="S7545" i="1" s="1"/>
  <c r="J7545" i="1" a="1"/>
  <c r="J7545" i="1" s="1"/>
  <c r="O7545" i="1" a="1"/>
  <c r="O7545" i="1" s="1"/>
  <c r="K7545" i="1" a="1"/>
  <c r="K7545" i="1" s="1"/>
  <c r="P7545" i="1" a="1"/>
  <c r="P7545" i="1" s="1"/>
  <c r="B7546" i="1"/>
  <c r="L7545" i="1" a="1"/>
  <c r="L7545" i="1" s="1"/>
  <c r="I7545" i="1" a="1"/>
  <c r="I7545" i="1" s="1"/>
  <c r="M7545" i="1" a="1"/>
  <c r="M7545" i="1" s="1"/>
  <c r="Q7545" i="1" a="1"/>
  <c r="Q7545" i="1" s="1"/>
  <c r="R7545" i="1" a="1"/>
  <c r="R7545" i="1" s="1"/>
  <c r="H7547" i="1"/>
  <c r="A7548" i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O7546" i="1" l="1" a="1"/>
  <c r="O7546" i="1" s="1"/>
  <c r="K7546" i="1" a="1"/>
  <c r="K7546" i="1" s="1"/>
  <c r="P7546" i="1" a="1"/>
  <c r="P7546" i="1" s="1"/>
  <c r="B7547" i="1"/>
  <c r="L7546" i="1" a="1"/>
  <c r="L7546" i="1" s="1"/>
  <c r="Q7546" i="1" a="1"/>
  <c r="Q7546" i="1" s="1"/>
  <c r="S7546" i="1" a="1"/>
  <c r="S7546" i="1" s="1"/>
  <c r="I7546" i="1" a="1"/>
  <c r="I7546" i="1" s="1"/>
  <c r="J7546" i="1" a="1"/>
  <c r="J7546" i="1" s="1"/>
  <c r="M7546" i="1" a="1"/>
  <c r="M7546" i="1" s="1"/>
  <c r="N7546" i="1" a="1"/>
  <c r="N7546" i="1" s="1"/>
  <c r="R7546" i="1" a="1"/>
  <c r="R7546" i="1" s="1"/>
  <c r="H7548" i="1"/>
  <c r="A754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549" i="1" l="1"/>
  <c r="A7550" i="1"/>
  <c r="B7548" i="1"/>
  <c r="K7547" i="1" a="1"/>
  <c r="K7547" i="1" s="1"/>
  <c r="P7547" i="1" a="1"/>
  <c r="P7547" i="1" s="1"/>
  <c r="L7547" i="1" a="1"/>
  <c r="L7547" i="1" s="1"/>
  <c r="Q7547" i="1" a="1"/>
  <c r="Q7547" i="1" s="1"/>
  <c r="M7547" i="1" a="1"/>
  <c r="M7547" i="1" s="1"/>
  <c r="I7547" i="1" a="1"/>
  <c r="I7547" i="1" s="1"/>
  <c r="R7547" i="1" a="1"/>
  <c r="R7547" i="1" s="1"/>
  <c r="S7547" i="1" a="1"/>
  <c r="S7547" i="1" s="1"/>
  <c r="J7547" i="1" a="1"/>
  <c r="J7547" i="1" s="1"/>
  <c r="N7547" i="1" a="1"/>
  <c r="N7547" i="1" s="1"/>
  <c r="O7547" i="1" a="1"/>
  <c r="O7547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7548" i="1" l="1" a="1"/>
  <c r="L7548" i="1" s="1"/>
  <c r="Q7548" i="1" a="1"/>
  <c r="Q7548" i="1" s="1"/>
  <c r="M7548" i="1" a="1"/>
  <c r="M7548" i="1" s="1"/>
  <c r="I7548" i="1" a="1"/>
  <c r="I7548" i="1" s="1"/>
  <c r="R7548" i="1" a="1"/>
  <c r="R7548" i="1" s="1"/>
  <c r="N7548" i="1" a="1"/>
  <c r="N7548" i="1" s="1"/>
  <c r="S7548" i="1" a="1"/>
  <c r="S7548" i="1" s="1"/>
  <c r="J7548" i="1" a="1"/>
  <c r="J7548" i="1" s="1"/>
  <c r="B7549" i="1"/>
  <c r="K7548" i="1" a="1"/>
  <c r="K7548" i="1" s="1"/>
  <c r="O7548" i="1" a="1"/>
  <c r="O7548" i="1" s="1"/>
  <c r="P7548" i="1" a="1"/>
  <c r="P7548" i="1" s="1"/>
  <c r="H7550" i="1"/>
  <c r="A7551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H7551" i="1" l="1"/>
  <c r="A7552" i="1"/>
  <c r="Q7549" i="1" a="1"/>
  <c r="Q7549" i="1" s="1"/>
  <c r="M7549" i="1" a="1"/>
  <c r="M7549" i="1" s="1"/>
  <c r="I7549" i="1" a="1"/>
  <c r="I7549" i="1" s="1"/>
  <c r="R7549" i="1" a="1"/>
  <c r="R7549" i="1" s="1"/>
  <c r="N7549" i="1" a="1"/>
  <c r="N7549" i="1" s="1"/>
  <c r="S7549" i="1" a="1"/>
  <c r="S7549" i="1" s="1"/>
  <c r="J7549" i="1" a="1"/>
  <c r="J7549" i="1" s="1"/>
  <c r="O7549" i="1" a="1"/>
  <c r="O7549" i="1" s="1"/>
  <c r="B7550" i="1"/>
  <c r="K7549" i="1" a="1"/>
  <c r="K7549" i="1" s="1"/>
  <c r="L7549" i="1" a="1"/>
  <c r="L7549" i="1" s="1"/>
  <c r="P7549" i="1" a="1"/>
  <c r="P7549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M7550" i="1" l="1" a="1"/>
  <c r="M7550" i="1" s="1"/>
  <c r="R7550" i="1" a="1"/>
  <c r="R7550" i="1" s="1"/>
  <c r="I7550" i="1" a="1"/>
  <c r="I7550" i="1" s="1"/>
  <c r="N7550" i="1" a="1"/>
  <c r="N7550" i="1" s="1"/>
  <c r="J7550" i="1" a="1"/>
  <c r="J7550" i="1" s="1"/>
  <c r="S7550" i="1" a="1"/>
  <c r="S7550" i="1" s="1"/>
  <c r="O7550" i="1" a="1"/>
  <c r="O7550" i="1" s="1"/>
  <c r="K7550" i="1" a="1"/>
  <c r="K7550" i="1" s="1"/>
  <c r="Q7550" i="1" a="1"/>
  <c r="Q7550" i="1" s="1"/>
  <c r="B7551" i="1"/>
  <c r="L7550" i="1" a="1"/>
  <c r="L7550" i="1" s="1"/>
  <c r="P7550" i="1" a="1"/>
  <c r="P7550" i="1" s="1"/>
  <c r="A7553" i="1"/>
  <c r="H7552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A7554" i="1" l="1"/>
  <c r="H7553" i="1"/>
  <c r="B7552" i="1"/>
  <c r="N7551" i="1" a="1"/>
  <c r="N7551" i="1" s="1"/>
  <c r="J7551" i="1" a="1"/>
  <c r="J7551" i="1" s="1"/>
  <c r="S7551" i="1" a="1"/>
  <c r="S7551" i="1" s="1"/>
  <c r="O7551" i="1" a="1"/>
  <c r="O7551" i="1" s="1"/>
  <c r="K7551" i="1" a="1"/>
  <c r="K7551" i="1" s="1"/>
  <c r="P7551" i="1" a="1"/>
  <c r="P7551" i="1" s="1"/>
  <c r="Q7551" i="1" a="1"/>
  <c r="Q7551" i="1" s="1"/>
  <c r="R7551" i="1" a="1"/>
  <c r="R7551" i="1" s="1"/>
  <c r="I7551" i="1" a="1"/>
  <c r="I7551" i="1" s="1"/>
  <c r="L7551" i="1" a="1"/>
  <c r="L7551" i="1" s="1"/>
  <c r="M7551" i="1" a="1"/>
  <c r="M7551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552" i="1" l="1" a="1"/>
  <c r="J7552" i="1" s="1"/>
  <c r="S7552" i="1" a="1"/>
  <c r="S7552" i="1" s="1"/>
  <c r="O7552" i="1" a="1"/>
  <c r="O7552" i="1" s="1"/>
  <c r="K7552" i="1" a="1"/>
  <c r="K7552" i="1" s="1"/>
  <c r="P7552" i="1" a="1"/>
  <c r="P7552" i="1" s="1"/>
  <c r="B7553" i="1"/>
  <c r="L7552" i="1" a="1"/>
  <c r="L7552" i="1" s="1"/>
  <c r="Q7552" i="1" a="1"/>
  <c r="Q7552" i="1" s="1"/>
  <c r="N7552" i="1" a="1"/>
  <c r="N7552" i="1" s="1"/>
  <c r="R7552" i="1" a="1"/>
  <c r="R7552" i="1" s="1"/>
  <c r="I7552" i="1" a="1"/>
  <c r="I7552" i="1" s="1"/>
  <c r="M7552" i="1" a="1"/>
  <c r="M7552" i="1" s="1"/>
  <c r="H7554" i="1"/>
  <c r="A755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H7555" i="1" l="1"/>
  <c r="A7556" i="1"/>
  <c r="K7553" i="1" a="1"/>
  <c r="K7553" i="1" s="1"/>
  <c r="P7553" i="1" a="1"/>
  <c r="P7553" i="1" s="1"/>
  <c r="B7554" i="1"/>
  <c r="L7553" i="1" a="1"/>
  <c r="L7553" i="1" s="1"/>
  <c r="Q7553" i="1" a="1"/>
  <c r="Q7553" i="1" s="1"/>
  <c r="M7553" i="1" a="1"/>
  <c r="M7553" i="1" s="1"/>
  <c r="N7553" i="1" a="1"/>
  <c r="N7553" i="1" s="1"/>
  <c r="O7553" i="1" a="1"/>
  <c r="O7553" i="1" s="1"/>
  <c r="R7553" i="1" a="1"/>
  <c r="R7553" i="1" s="1"/>
  <c r="S7553" i="1" a="1"/>
  <c r="S7553" i="1" s="1"/>
  <c r="I7553" i="1" a="1"/>
  <c r="I7553" i="1" s="1"/>
  <c r="J7553" i="1" a="1"/>
  <c r="J7553" i="1" s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P7554" i="1" l="1" a="1"/>
  <c r="P7554" i="1" s="1"/>
  <c r="B7555" i="1"/>
  <c r="L7554" i="1" a="1"/>
  <c r="L7554" i="1" s="1"/>
  <c r="Q7554" i="1" a="1"/>
  <c r="Q7554" i="1" s="1"/>
  <c r="M7554" i="1" a="1"/>
  <c r="M7554" i="1" s="1"/>
  <c r="R7554" i="1" a="1"/>
  <c r="R7554" i="1" s="1"/>
  <c r="I7554" i="1" a="1"/>
  <c r="I7554" i="1" s="1"/>
  <c r="N7554" i="1" a="1"/>
  <c r="N7554" i="1" s="1"/>
  <c r="O7554" i="1" a="1"/>
  <c r="O7554" i="1" s="1"/>
  <c r="S7554" i="1" a="1"/>
  <c r="S7554" i="1" s="1"/>
  <c r="K7554" i="1" a="1"/>
  <c r="K7554" i="1" s="1"/>
  <c r="J7554" i="1" a="1"/>
  <c r="J7554" i="1" s="1"/>
  <c r="H7556" i="1"/>
  <c r="A7557" i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A7558" i="1" l="1"/>
  <c r="H7557" i="1"/>
  <c r="B7556" i="1"/>
  <c r="L7555" i="1" a="1"/>
  <c r="L7555" i="1" s="1"/>
  <c r="Q7555" i="1" a="1"/>
  <c r="Q7555" i="1" s="1"/>
  <c r="M7555" i="1" a="1"/>
  <c r="M7555" i="1" s="1"/>
  <c r="I7555" i="1" a="1"/>
  <c r="I7555" i="1" s="1"/>
  <c r="R7555" i="1" a="1"/>
  <c r="R7555" i="1" s="1"/>
  <c r="N7555" i="1" a="1"/>
  <c r="N7555" i="1" s="1"/>
  <c r="J7555" i="1" a="1"/>
  <c r="J7555" i="1" s="1"/>
  <c r="S7555" i="1" a="1"/>
  <c r="S7555" i="1" s="1"/>
  <c r="O7555" i="1" a="1"/>
  <c r="O7555" i="1" s="1"/>
  <c r="P7555" i="1" a="1"/>
  <c r="P7555" i="1" s="1"/>
  <c r="K7555" i="1" a="1"/>
  <c r="K7555" i="1" s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M7556" i="1" l="1" a="1"/>
  <c r="M7556" i="1" s="1"/>
  <c r="I7556" i="1" a="1"/>
  <c r="I7556" i="1" s="1"/>
  <c r="R7556" i="1" a="1"/>
  <c r="R7556" i="1" s="1"/>
  <c r="N7556" i="1" a="1"/>
  <c r="N7556" i="1" s="1"/>
  <c r="J7556" i="1" a="1"/>
  <c r="J7556" i="1" s="1"/>
  <c r="S7556" i="1" a="1"/>
  <c r="S7556" i="1" s="1"/>
  <c r="O7556" i="1" a="1"/>
  <c r="O7556" i="1" s="1"/>
  <c r="L7556" i="1" a="1"/>
  <c r="L7556" i="1" s="1"/>
  <c r="P7556" i="1" a="1"/>
  <c r="P7556" i="1" s="1"/>
  <c r="Q7556" i="1" a="1"/>
  <c r="Q7556" i="1" s="1"/>
  <c r="B7557" i="1"/>
  <c r="K7556" i="1" a="1"/>
  <c r="K7556" i="1" s="1"/>
  <c r="A7559" i="1"/>
  <c r="H7558" i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H7559" i="1" l="1"/>
  <c r="A7560" i="1"/>
  <c r="I7557" i="1" a="1"/>
  <c r="I7557" i="1" s="1"/>
  <c r="R7557" i="1" a="1"/>
  <c r="R7557" i="1" s="1"/>
  <c r="N7557" i="1" a="1"/>
  <c r="N7557" i="1" s="1"/>
  <c r="S7557" i="1" a="1"/>
  <c r="S7557" i="1" s="1"/>
  <c r="J7557" i="1" a="1"/>
  <c r="J7557" i="1" s="1"/>
  <c r="O7557" i="1" a="1"/>
  <c r="O7557" i="1" s="1"/>
  <c r="K7557" i="1" a="1"/>
  <c r="K7557" i="1" s="1"/>
  <c r="P7557" i="1" a="1"/>
  <c r="P7557" i="1" s="1"/>
  <c r="B7558" i="1"/>
  <c r="L7557" i="1" a="1"/>
  <c r="L7557" i="1" s="1"/>
  <c r="M7557" i="1" a="1"/>
  <c r="M7557" i="1" s="1"/>
  <c r="Q7557" i="1" a="1"/>
  <c r="Q7557" i="1" s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J7558" i="1" l="1" a="1"/>
  <c r="J7558" i="1" s="1"/>
  <c r="S7558" i="1" a="1"/>
  <c r="S7558" i="1" s="1"/>
  <c r="O7558" i="1" a="1"/>
  <c r="O7558" i="1" s="1"/>
  <c r="K7558" i="1" a="1"/>
  <c r="K7558" i="1" s="1"/>
  <c r="P7558" i="1" a="1"/>
  <c r="P7558" i="1" s="1"/>
  <c r="B7559" i="1"/>
  <c r="L7558" i="1" a="1"/>
  <c r="L7558" i="1" s="1"/>
  <c r="I7558" i="1" a="1"/>
  <c r="I7558" i="1" s="1"/>
  <c r="M7558" i="1" a="1"/>
  <c r="M7558" i="1" s="1"/>
  <c r="N7558" i="1" a="1"/>
  <c r="N7558" i="1" s="1"/>
  <c r="Q7558" i="1" a="1"/>
  <c r="Q7558" i="1" s="1"/>
  <c r="R7558" i="1" a="1"/>
  <c r="R7558" i="1" s="1"/>
  <c r="H7560" i="1"/>
  <c r="A756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561" i="1" l="1"/>
  <c r="A7562" i="1"/>
  <c r="B7560" i="1"/>
  <c r="O7559" i="1" a="1"/>
  <c r="O7559" i="1" s="1"/>
  <c r="K7559" i="1" a="1"/>
  <c r="K7559" i="1" s="1"/>
  <c r="P7559" i="1" a="1"/>
  <c r="P7559" i="1" s="1"/>
  <c r="L7559" i="1" a="1"/>
  <c r="L7559" i="1" s="1"/>
  <c r="Q7559" i="1" a="1"/>
  <c r="Q7559" i="1" s="1"/>
  <c r="M7559" i="1" a="1"/>
  <c r="M7559" i="1" s="1"/>
  <c r="J7559" i="1" a="1"/>
  <c r="J7559" i="1" s="1"/>
  <c r="N7559" i="1" a="1"/>
  <c r="N7559" i="1" s="1"/>
  <c r="I7559" i="1" a="1"/>
  <c r="I7559" i="1" s="1"/>
  <c r="R7559" i="1" a="1"/>
  <c r="R7559" i="1" s="1"/>
  <c r="S7559" i="1" a="1"/>
  <c r="S7559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K7560" i="1" l="1" a="1"/>
  <c r="K7560" i="1" s="1"/>
  <c r="P7560" i="1" a="1"/>
  <c r="P7560" i="1" s="1"/>
  <c r="B7561" i="1"/>
  <c r="L7560" i="1" a="1"/>
  <c r="L7560" i="1" s="1"/>
  <c r="Q7560" i="1" a="1"/>
  <c r="Q7560" i="1" s="1"/>
  <c r="M7560" i="1" a="1"/>
  <c r="M7560" i="1" s="1"/>
  <c r="I7560" i="1" a="1"/>
  <c r="I7560" i="1" s="1"/>
  <c r="R7560" i="1" a="1"/>
  <c r="R7560" i="1" s="1"/>
  <c r="J7560" i="1" a="1"/>
  <c r="J7560" i="1" s="1"/>
  <c r="N7560" i="1" a="1"/>
  <c r="N7560" i="1" s="1"/>
  <c r="O7560" i="1" a="1"/>
  <c r="O7560" i="1" s="1"/>
  <c r="S7560" i="1" a="1"/>
  <c r="S7560" i="1" s="1"/>
  <c r="H7562" i="1"/>
  <c r="A7563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563" i="1" l="1"/>
  <c r="A7564" i="1"/>
  <c r="L7561" i="1" a="1"/>
  <c r="L7561" i="1" s="1"/>
  <c r="Q7561" i="1" a="1"/>
  <c r="Q7561" i="1" s="1"/>
  <c r="M7561" i="1" a="1"/>
  <c r="M7561" i="1" s="1"/>
  <c r="I7561" i="1" a="1"/>
  <c r="I7561" i="1" s="1"/>
  <c r="R7561" i="1" a="1"/>
  <c r="R7561" i="1" s="1"/>
  <c r="N7561" i="1" a="1"/>
  <c r="N7561" i="1" s="1"/>
  <c r="S7561" i="1" a="1"/>
  <c r="S7561" i="1" s="1"/>
  <c r="J7561" i="1" a="1"/>
  <c r="J7561" i="1" s="1"/>
  <c r="B7562" i="1"/>
  <c r="K7561" i="1" a="1"/>
  <c r="K7561" i="1" s="1"/>
  <c r="O7561" i="1" a="1"/>
  <c r="O7561" i="1" s="1"/>
  <c r="P7561" i="1" a="1"/>
  <c r="P7561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A7565" i="1" l="1"/>
  <c r="H7564" i="1"/>
  <c r="Q7562" i="1" a="1"/>
  <c r="Q7562" i="1" s="1"/>
  <c r="M7562" i="1" a="1"/>
  <c r="M7562" i="1" s="1"/>
  <c r="R7562" i="1" a="1"/>
  <c r="R7562" i="1" s="1"/>
  <c r="I7562" i="1" a="1"/>
  <c r="I7562" i="1" s="1"/>
  <c r="N7562" i="1" a="1"/>
  <c r="N7562" i="1" s="1"/>
  <c r="J7562" i="1" a="1"/>
  <c r="J7562" i="1" s="1"/>
  <c r="S7562" i="1" a="1"/>
  <c r="S7562" i="1" s="1"/>
  <c r="O7562" i="1" a="1"/>
  <c r="O7562" i="1" s="1"/>
  <c r="B7563" i="1"/>
  <c r="K7562" i="1" a="1"/>
  <c r="K7562" i="1" s="1"/>
  <c r="L7562" i="1" a="1"/>
  <c r="L7562" i="1" s="1"/>
  <c r="P7562" i="1" a="1"/>
  <c r="P7562" i="1" s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B7564" i="1" l="1"/>
  <c r="I7563" i="1" a="1"/>
  <c r="I7563" i="1" s="1"/>
  <c r="R7563" i="1" a="1"/>
  <c r="R7563" i="1" s="1"/>
  <c r="N7563" i="1" a="1"/>
  <c r="N7563" i="1" s="1"/>
  <c r="J7563" i="1" a="1"/>
  <c r="J7563" i="1" s="1"/>
  <c r="S7563" i="1" a="1"/>
  <c r="S7563" i="1" s="1"/>
  <c r="O7563" i="1" a="1"/>
  <c r="O7563" i="1" s="1"/>
  <c r="K7563" i="1" a="1"/>
  <c r="K7563" i="1" s="1"/>
  <c r="L7563" i="1" a="1"/>
  <c r="L7563" i="1" s="1"/>
  <c r="M7563" i="1" a="1"/>
  <c r="M7563" i="1" s="1"/>
  <c r="P7563" i="1" a="1"/>
  <c r="P7563" i="1" s="1"/>
  <c r="Q7563" i="1" a="1"/>
  <c r="Q7563" i="1" s="1"/>
  <c r="A7566" i="1"/>
  <c r="H7565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A7567" i="1" l="1"/>
  <c r="H7566" i="1"/>
  <c r="N7564" i="1" a="1"/>
  <c r="N7564" i="1" s="1"/>
  <c r="J7564" i="1" a="1"/>
  <c r="J7564" i="1" s="1"/>
  <c r="S7564" i="1" a="1"/>
  <c r="S7564" i="1" s="1"/>
  <c r="O7564" i="1" a="1"/>
  <c r="O7564" i="1" s="1"/>
  <c r="K7564" i="1" a="1"/>
  <c r="K7564" i="1" s="1"/>
  <c r="P7564" i="1" a="1"/>
  <c r="P7564" i="1" s="1"/>
  <c r="B7565" i="1"/>
  <c r="L7564" i="1" a="1"/>
  <c r="L7564" i="1" s="1"/>
  <c r="R7564" i="1" a="1"/>
  <c r="R7564" i="1" s="1"/>
  <c r="I7564" i="1" a="1"/>
  <c r="I7564" i="1" s="1"/>
  <c r="M7564" i="1" a="1"/>
  <c r="M7564" i="1" s="1"/>
  <c r="Q7564" i="1" a="1"/>
  <c r="Q7564" i="1" s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J7565" i="1" l="1" a="1"/>
  <c r="J7565" i="1" s="1"/>
  <c r="O7565" i="1" a="1"/>
  <c r="O7565" i="1" s="1"/>
  <c r="K7565" i="1" a="1"/>
  <c r="K7565" i="1" s="1"/>
  <c r="P7565" i="1" a="1"/>
  <c r="P7565" i="1" s="1"/>
  <c r="B7566" i="1"/>
  <c r="L7565" i="1" a="1"/>
  <c r="L7565" i="1" s="1"/>
  <c r="Q7565" i="1" a="1"/>
  <c r="Q7565" i="1" s="1"/>
  <c r="R7565" i="1" a="1"/>
  <c r="R7565" i="1" s="1"/>
  <c r="S7565" i="1" a="1"/>
  <c r="S7565" i="1" s="1"/>
  <c r="I7565" i="1" a="1"/>
  <c r="I7565" i="1" s="1"/>
  <c r="M7565" i="1" a="1"/>
  <c r="M7565" i="1" s="1"/>
  <c r="N7565" i="1" a="1"/>
  <c r="N7565" i="1" s="1"/>
  <c r="H7567" i="1"/>
  <c r="A7568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K7566" i="1" l="1" a="1"/>
  <c r="K7566" i="1" s="1"/>
  <c r="P7566" i="1" a="1"/>
  <c r="P7566" i="1" s="1"/>
  <c r="B7567" i="1"/>
  <c r="L7566" i="1" a="1"/>
  <c r="L7566" i="1" s="1"/>
  <c r="Q7566" i="1" a="1"/>
  <c r="Q7566" i="1" s="1"/>
  <c r="M7566" i="1" a="1"/>
  <c r="M7566" i="1" s="1"/>
  <c r="R7566" i="1" a="1"/>
  <c r="R7566" i="1" s="1"/>
  <c r="O7566" i="1" a="1"/>
  <c r="O7566" i="1" s="1"/>
  <c r="S7566" i="1" a="1"/>
  <c r="S7566" i="1" s="1"/>
  <c r="I7566" i="1" a="1"/>
  <c r="I7566" i="1" s="1"/>
  <c r="J7566" i="1" a="1"/>
  <c r="J7566" i="1" s="1"/>
  <c r="N7566" i="1" a="1"/>
  <c r="N7566" i="1" s="1"/>
  <c r="H7568" i="1"/>
  <c r="A7569" i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H7569" i="1" l="1"/>
  <c r="A7570" i="1"/>
  <c r="B7568" i="1"/>
  <c r="P7567" i="1" a="1"/>
  <c r="P7567" i="1" s="1"/>
  <c r="L7567" i="1" a="1"/>
  <c r="L7567" i="1" s="1"/>
  <c r="Q7567" i="1" a="1"/>
  <c r="Q7567" i="1" s="1"/>
  <c r="M7567" i="1" a="1"/>
  <c r="M7567" i="1" s="1"/>
  <c r="I7567" i="1" a="1"/>
  <c r="I7567" i="1" s="1"/>
  <c r="R7567" i="1" a="1"/>
  <c r="R7567" i="1" s="1"/>
  <c r="N7567" i="1" a="1"/>
  <c r="N7567" i="1" s="1"/>
  <c r="O7567" i="1" a="1"/>
  <c r="O7567" i="1" s="1"/>
  <c r="S7567" i="1" a="1"/>
  <c r="S7567" i="1" s="1"/>
  <c r="J7567" i="1" a="1"/>
  <c r="J7567" i="1" s="1"/>
  <c r="K7567" i="1" a="1"/>
  <c r="K7567" i="1" s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Q7568" i="1" l="1" a="1"/>
  <c r="Q7568" i="1" s="1"/>
  <c r="M7568" i="1" a="1"/>
  <c r="M7568" i="1" s="1"/>
  <c r="I7568" i="1" a="1"/>
  <c r="I7568" i="1" s="1"/>
  <c r="R7568" i="1" a="1"/>
  <c r="R7568" i="1" s="1"/>
  <c r="N7568" i="1" a="1"/>
  <c r="N7568" i="1" s="1"/>
  <c r="J7568" i="1" a="1"/>
  <c r="J7568" i="1" s="1"/>
  <c r="S7568" i="1" a="1"/>
  <c r="S7568" i="1" s="1"/>
  <c r="O7568" i="1" a="1"/>
  <c r="O7568" i="1" s="1"/>
  <c r="P7568" i="1" a="1"/>
  <c r="P7568" i="1" s="1"/>
  <c r="B7569" i="1"/>
  <c r="L7568" i="1" a="1"/>
  <c r="L7568" i="1" s="1"/>
  <c r="K7568" i="1" a="1"/>
  <c r="K7568" i="1" s="1"/>
  <c r="A7571" i="1"/>
  <c r="H7570" i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H7571" i="1" l="1"/>
  <c r="A7572" i="1"/>
  <c r="M7569" i="1" a="1"/>
  <c r="M7569" i="1" s="1"/>
  <c r="I7569" i="1" a="1"/>
  <c r="I7569" i="1" s="1"/>
  <c r="R7569" i="1" a="1"/>
  <c r="R7569" i="1" s="1"/>
  <c r="N7569" i="1" a="1"/>
  <c r="N7569" i="1" s="1"/>
  <c r="S7569" i="1" a="1"/>
  <c r="S7569" i="1" s="1"/>
  <c r="J7569" i="1" a="1"/>
  <c r="J7569" i="1" s="1"/>
  <c r="O7569" i="1" a="1"/>
  <c r="O7569" i="1" s="1"/>
  <c r="K7569" i="1" a="1"/>
  <c r="K7569" i="1" s="1"/>
  <c r="P7569" i="1" a="1"/>
  <c r="P7569" i="1" s="1"/>
  <c r="Q7569" i="1" a="1"/>
  <c r="Q7569" i="1" s="1"/>
  <c r="B7570" i="1"/>
  <c r="L7569" i="1" a="1"/>
  <c r="L7569" i="1" s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I7570" i="1" l="1" a="1"/>
  <c r="I7570" i="1" s="1"/>
  <c r="N7570" i="1" a="1"/>
  <c r="N7570" i="1" s="1"/>
  <c r="J7570" i="1" a="1"/>
  <c r="J7570" i="1" s="1"/>
  <c r="S7570" i="1" a="1"/>
  <c r="S7570" i="1" s="1"/>
  <c r="O7570" i="1" a="1"/>
  <c r="O7570" i="1" s="1"/>
  <c r="K7570" i="1" a="1"/>
  <c r="K7570" i="1" s="1"/>
  <c r="P7570" i="1" a="1"/>
  <c r="P7570" i="1" s="1"/>
  <c r="B7571" i="1"/>
  <c r="M7570" i="1" a="1"/>
  <c r="M7570" i="1" s="1"/>
  <c r="Q7570" i="1" a="1"/>
  <c r="Q7570" i="1" s="1"/>
  <c r="R7570" i="1" a="1"/>
  <c r="R7570" i="1" s="1"/>
  <c r="L7570" i="1" a="1"/>
  <c r="L7570" i="1" s="1"/>
  <c r="A7573" i="1"/>
  <c r="H7572" i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B7572" i="1" l="1"/>
  <c r="J7571" i="1" a="1"/>
  <c r="J7571" i="1" s="1"/>
  <c r="S7571" i="1" a="1"/>
  <c r="S7571" i="1" s="1"/>
  <c r="O7571" i="1" a="1"/>
  <c r="O7571" i="1" s="1"/>
  <c r="K7571" i="1" a="1"/>
  <c r="K7571" i="1" s="1"/>
  <c r="P7571" i="1" a="1"/>
  <c r="P7571" i="1" s="1"/>
  <c r="L7571" i="1" a="1"/>
  <c r="L7571" i="1" s="1"/>
  <c r="Q7571" i="1" a="1"/>
  <c r="Q7571" i="1" s="1"/>
  <c r="M7571" i="1" a="1"/>
  <c r="M7571" i="1" s="1"/>
  <c r="N7571" i="1" a="1"/>
  <c r="N7571" i="1" s="1"/>
  <c r="R7571" i="1" a="1"/>
  <c r="R7571" i="1" s="1"/>
  <c r="I7571" i="1" a="1"/>
  <c r="I7571" i="1" s="1"/>
  <c r="H7573" i="1"/>
  <c r="A7574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H7574" i="1" l="1"/>
  <c r="A7575" i="1"/>
  <c r="O7572" i="1" a="1"/>
  <c r="O7572" i="1" s="1"/>
  <c r="K7572" i="1" a="1"/>
  <c r="K7572" i="1" s="1"/>
  <c r="P7572" i="1" a="1"/>
  <c r="P7572" i="1" s="1"/>
  <c r="B7573" i="1"/>
  <c r="L7572" i="1" a="1"/>
  <c r="L7572" i="1" s="1"/>
  <c r="Q7572" i="1" a="1"/>
  <c r="Q7572" i="1" s="1"/>
  <c r="M7572" i="1" a="1"/>
  <c r="M7572" i="1" s="1"/>
  <c r="J7572" i="1" a="1"/>
  <c r="J7572" i="1" s="1"/>
  <c r="N7572" i="1" a="1"/>
  <c r="N7572" i="1" s="1"/>
  <c r="R7572" i="1" a="1"/>
  <c r="R7572" i="1" s="1"/>
  <c r="I7572" i="1" a="1"/>
  <c r="I7572" i="1" s="1"/>
  <c r="S7572" i="1" a="1"/>
  <c r="S7572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P7573" i="1" l="1" a="1"/>
  <c r="P7573" i="1" s="1"/>
  <c r="B7574" i="1"/>
  <c r="L7573" i="1" a="1"/>
  <c r="L7573" i="1" s="1"/>
  <c r="Q7573" i="1" a="1"/>
  <c r="Q7573" i="1" s="1"/>
  <c r="M7573" i="1" a="1"/>
  <c r="M7573" i="1" s="1"/>
  <c r="I7573" i="1" a="1"/>
  <c r="I7573" i="1" s="1"/>
  <c r="R7573" i="1" a="1"/>
  <c r="R7573" i="1" s="1"/>
  <c r="J7573" i="1" a="1"/>
  <c r="J7573" i="1" s="1"/>
  <c r="K7573" i="1" a="1"/>
  <c r="K7573" i="1" s="1"/>
  <c r="N7573" i="1" a="1"/>
  <c r="N7573" i="1" s="1"/>
  <c r="O7573" i="1" a="1"/>
  <c r="O7573" i="1" s="1"/>
  <c r="S7573" i="1" a="1"/>
  <c r="S7573" i="1" s="1"/>
  <c r="H7575" i="1"/>
  <c r="A7576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A7577" i="1" l="1"/>
  <c r="H7576" i="1"/>
  <c r="L7574" i="1" a="1"/>
  <c r="L7574" i="1" s="1"/>
  <c r="Q7574" i="1" a="1"/>
  <c r="Q7574" i="1" s="1"/>
  <c r="M7574" i="1" a="1"/>
  <c r="M7574" i="1" s="1"/>
  <c r="R7574" i="1" a="1"/>
  <c r="R7574" i="1" s="1"/>
  <c r="I7574" i="1" a="1"/>
  <c r="I7574" i="1" s="1"/>
  <c r="N7574" i="1" a="1"/>
  <c r="N7574" i="1" s="1"/>
  <c r="J7574" i="1" a="1"/>
  <c r="J7574" i="1" s="1"/>
  <c r="S7574" i="1" a="1"/>
  <c r="S7574" i="1" s="1"/>
  <c r="B7575" i="1"/>
  <c r="K7574" i="1" a="1"/>
  <c r="K7574" i="1" s="1"/>
  <c r="O7574" i="1" a="1"/>
  <c r="O7574" i="1" s="1"/>
  <c r="P7574" i="1" a="1"/>
  <c r="P7574" i="1" s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B7576" i="1" l="1"/>
  <c r="M7575" i="1" a="1"/>
  <c r="M7575" i="1" s="1"/>
  <c r="I7575" i="1" a="1"/>
  <c r="I7575" i="1" s="1"/>
  <c r="R7575" i="1" a="1"/>
  <c r="R7575" i="1" s="1"/>
  <c r="N7575" i="1" a="1"/>
  <c r="N7575" i="1" s="1"/>
  <c r="J7575" i="1" a="1"/>
  <c r="J7575" i="1" s="1"/>
  <c r="S7575" i="1" a="1"/>
  <c r="S7575" i="1" s="1"/>
  <c r="O7575" i="1" a="1"/>
  <c r="O7575" i="1" s="1"/>
  <c r="K7575" i="1" a="1"/>
  <c r="K7575" i="1" s="1"/>
  <c r="L7575" i="1" a="1"/>
  <c r="L7575" i="1" s="1"/>
  <c r="P7575" i="1" a="1"/>
  <c r="P7575" i="1" s="1"/>
  <c r="Q7575" i="1" a="1"/>
  <c r="Q7575" i="1" s="1"/>
  <c r="A7578" i="1"/>
  <c r="H7577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A7579" i="1" l="1"/>
  <c r="H7578" i="1"/>
  <c r="I7576" i="1" a="1"/>
  <c r="I7576" i="1" s="1"/>
  <c r="R7576" i="1" a="1"/>
  <c r="R7576" i="1" s="1"/>
  <c r="N7576" i="1" a="1"/>
  <c r="N7576" i="1" s="1"/>
  <c r="J7576" i="1" a="1"/>
  <c r="J7576" i="1" s="1"/>
  <c r="S7576" i="1" a="1"/>
  <c r="S7576" i="1" s="1"/>
  <c r="O7576" i="1" a="1"/>
  <c r="O7576" i="1" s="1"/>
  <c r="K7576" i="1" a="1"/>
  <c r="K7576" i="1" s="1"/>
  <c r="P7576" i="1" a="1"/>
  <c r="P7576" i="1" s="1"/>
  <c r="B7577" i="1"/>
  <c r="L7576" i="1" a="1"/>
  <c r="L7576" i="1" s="1"/>
  <c r="M7576" i="1" a="1"/>
  <c r="M7576" i="1" s="1"/>
  <c r="Q7576" i="1" a="1"/>
  <c r="Q7576" i="1" s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N7577" i="1" l="1" a="1"/>
  <c r="N7577" i="1" s="1"/>
  <c r="S7577" i="1" a="1"/>
  <c r="S7577" i="1" s="1"/>
  <c r="J7577" i="1" a="1"/>
  <c r="J7577" i="1" s="1"/>
  <c r="O7577" i="1" a="1"/>
  <c r="O7577" i="1" s="1"/>
  <c r="K7577" i="1" a="1"/>
  <c r="K7577" i="1" s="1"/>
  <c r="P7577" i="1" a="1"/>
  <c r="P7577" i="1" s="1"/>
  <c r="B7578" i="1"/>
  <c r="L7577" i="1" a="1"/>
  <c r="L7577" i="1" s="1"/>
  <c r="R7577" i="1" a="1"/>
  <c r="R7577" i="1" s="1"/>
  <c r="I7577" i="1" a="1"/>
  <c r="I7577" i="1" s="1"/>
  <c r="M7577" i="1" a="1"/>
  <c r="M7577" i="1" s="1"/>
  <c r="Q7577" i="1" a="1"/>
  <c r="Q7577" i="1" s="1"/>
  <c r="H7579" i="1"/>
  <c r="A7580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O7578" i="1" l="1" a="1"/>
  <c r="O7578" i="1" s="1"/>
  <c r="K7578" i="1" a="1"/>
  <c r="K7578" i="1" s="1"/>
  <c r="P7578" i="1" a="1"/>
  <c r="P7578" i="1" s="1"/>
  <c r="B7579" i="1"/>
  <c r="L7578" i="1" a="1"/>
  <c r="L7578" i="1" s="1"/>
  <c r="Q7578" i="1" a="1"/>
  <c r="Q7578" i="1" s="1"/>
  <c r="S7578" i="1" a="1"/>
  <c r="S7578" i="1" s="1"/>
  <c r="I7578" i="1" a="1"/>
  <c r="I7578" i="1" s="1"/>
  <c r="J7578" i="1" a="1"/>
  <c r="J7578" i="1" s="1"/>
  <c r="M7578" i="1" a="1"/>
  <c r="M7578" i="1" s="1"/>
  <c r="N7578" i="1" a="1"/>
  <c r="N7578" i="1" s="1"/>
  <c r="R7578" i="1" a="1"/>
  <c r="R7578" i="1" s="1"/>
  <c r="H7580" i="1"/>
  <c r="A7581" i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B7580" i="1" l="1"/>
  <c r="K7579" i="1" a="1"/>
  <c r="K7579" i="1" s="1"/>
  <c r="P7579" i="1" a="1"/>
  <c r="P7579" i="1" s="1"/>
  <c r="L7579" i="1" a="1"/>
  <c r="L7579" i="1" s="1"/>
  <c r="Q7579" i="1" a="1"/>
  <c r="Q7579" i="1" s="1"/>
  <c r="M7579" i="1" a="1"/>
  <c r="M7579" i="1" s="1"/>
  <c r="I7579" i="1" a="1"/>
  <c r="I7579" i="1" s="1"/>
  <c r="R7579" i="1" a="1"/>
  <c r="R7579" i="1" s="1"/>
  <c r="S7579" i="1" a="1"/>
  <c r="S7579" i="1" s="1"/>
  <c r="J7579" i="1" a="1"/>
  <c r="J7579" i="1" s="1"/>
  <c r="N7579" i="1" a="1"/>
  <c r="N7579" i="1" s="1"/>
  <c r="O7579" i="1" a="1"/>
  <c r="O7579" i="1" s="1"/>
  <c r="H7581" i="1"/>
  <c r="A758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582" i="1" l="1"/>
  <c r="A7583" i="1"/>
  <c r="L7580" i="1" a="1"/>
  <c r="L7580" i="1" s="1"/>
  <c r="Q7580" i="1" a="1"/>
  <c r="Q7580" i="1" s="1"/>
  <c r="M7580" i="1" a="1"/>
  <c r="M7580" i="1" s="1"/>
  <c r="I7580" i="1" a="1"/>
  <c r="I7580" i="1" s="1"/>
  <c r="R7580" i="1" a="1"/>
  <c r="R7580" i="1" s="1"/>
  <c r="N7580" i="1" a="1"/>
  <c r="N7580" i="1" s="1"/>
  <c r="P7580" i="1" a="1"/>
  <c r="P7580" i="1" s="1"/>
  <c r="S7580" i="1" a="1"/>
  <c r="S7580" i="1" s="1"/>
  <c r="J7580" i="1" a="1"/>
  <c r="J7580" i="1" s="1"/>
  <c r="B7581" i="1"/>
  <c r="K7580" i="1" a="1"/>
  <c r="K7580" i="1" s="1"/>
  <c r="O7580" i="1" a="1"/>
  <c r="O7580" i="1" s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Q7581" i="1" l="1" a="1"/>
  <c r="Q7581" i="1" s="1"/>
  <c r="M7581" i="1" a="1"/>
  <c r="M7581" i="1" s="1"/>
  <c r="I7581" i="1" a="1"/>
  <c r="I7581" i="1" s="1"/>
  <c r="R7581" i="1" a="1"/>
  <c r="R7581" i="1" s="1"/>
  <c r="N7581" i="1" a="1"/>
  <c r="N7581" i="1" s="1"/>
  <c r="S7581" i="1" a="1"/>
  <c r="S7581" i="1" s="1"/>
  <c r="J7581" i="1" a="1"/>
  <c r="J7581" i="1" s="1"/>
  <c r="O7581" i="1" a="1"/>
  <c r="O7581" i="1" s="1"/>
  <c r="P7581" i="1" a="1"/>
  <c r="P7581" i="1" s="1"/>
  <c r="B7582" i="1"/>
  <c r="K7581" i="1" a="1"/>
  <c r="K7581" i="1" s="1"/>
  <c r="L7581" i="1" a="1"/>
  <c r="L7581" i="1" s="1"/>
  <c r="H7583" i="1"/>
  <c r="A7584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585" i="1" l="1"/>
  <c r="H7584" i="1"/>
  <c r="M7582" i="1" a="1"/>
  <c r="M7582" i="1" s="1"/>
  <c r="R7582" i="1" a="1"/>
  <c r="R7582" i="1" s="1"/>
  <c r="I7582" i="1" a="1"/>
  <c r="I7582" i="1" s="1"/>
  <c r="N7582" i="1" a="1"/>
  <c r="N7582" i="1" s="1"/>
  <c r="J7582" i="1" a="1"/>
  <c r="J7582" i="1" s="1"/>
  <c r="S7582" i="1" a="1"/>
  <c r="S7582" i="1" s="1"/>
  <c r="O7582" i="1" a="1"/>
  <c r="O7582" i="1" s="1"/>
  <c r="K7582" i="1" a="1"/>
  <c r="K7582" i="1" s="1"/>
  <c r="P7582" i="1" a="1"/>
  <c r="P7582" i="1" s="1"/>
  <c r="Q7582" i="1" a="1"/>
  <c r="Q7582" i="1" s="1"/>
  <c r="B7583" i="1"/>
  <c r="L7582" i="1" a="1"/>
  <c r="L7582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B7584" i="1" l="1"/>
  <c r="N7583" i="1" a="1"/>
  <c r="N7583" i="1" s="1"/>
  <c r="J7583" i="1" a="1"/>
  <c r="J7583" i="1" s="1"/>
  <c r="S7583" i="1" a="1"/>
  <c r="S7583" i="1" s="1"/>
  <c r="O7583" i="1" a="1"/>
  <c r="O7583" i="1" s="1"/>
  <c r="K7583" i="1" a="1"/>
  <c r="K7583" i="1" s="1"/>
  <c r="P7583" i="1" a="1"/>
  <c r="P7583" i="1" s="1"/>
  <c r="Q7583" i="1" a="1"/>
  <c r="Q7583" i="1" s="1"/>
  <c r="R7583" i="1" a="1"/>
  <c r="R7583" i="1" s="1"/>
  <c r="I7583" i="1" a="1"/>
  <c r="I7583" i="1" s="1"/>
  <c r="L7583" i="1" a="1"/>
  <c r="L7583" i="1" s="1"/>
  <c r="M7583" i="1" a="1"/>
  <c r="M7583" i="1" s="1"/>
  <c r="A7586" i="1"/>
  <c r="H7585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H7586" i="1" l="1"/>
  <c r="A7587" i="1"/>
  <c r="J7584" i="1" a="1"/>
  <c r="J7584" i="1" s="1"/>
  <c r="S7584" i="1" a="1"/>
  <c r="S7584" i="1" s="1"/>
  <c r="O7584" i="1" a="1"/>
  <c r="O7584" i="1" s="1"/>
  <c r="K7584" i="1" a="1"/>
  <c r="K7584" i="1" s="1"/>
  <c r="P7584" i="1" a="1"/>
  <c r="P7584" i="1" s="1"/>
  <c r="B7585" i="1"/>
  <c r="L7584" i="1" a="1"/>
  <c r="L7584" i="1" s="1"/>
  <c r="Q7584" i="1" a="1"/>
  <c r="Q7584" i="1" s="1"/>
  <c r="N7584" i="1" a="1"/>
  <c r="N7584" i="1" s="1"/>
  <c r="R7584" i="1" a="1"/>
  <c r="R7584" i="1" s="1"/>
  <c r="M7584" i="1" a="1"/>
  <c r="M7584" i="1" s="1"/>
  <c r="I7584" i="1" a="1"/>
  <c r="I7584" i="1" s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K7585" i="1" l="1" a="1"/>
  <c r="K7585" i="1" s="1"/>
  <c r="P7585" i="1" a="1"/>
  <c r="P7585" i="1" s="1"/>
  <c r="B7586" i="1"/>
  <c r="L7585" i="1" a="1"/>
  <c r="L7585" i="1" s="1"/>
  <c r="Q7585" i="1" a="1"/>
  <c r="Q7585" i="1" s="1"/>
  <c r="M7585" i="1" a="1"/>
  <c r="M7585" i="1" s="1"/>
  <c r="N7585" i="1" a="1"/>
  <c r="N7585" i="1" s="1"/>
  <c r="O7585" i="1" a="1"/>
  <c r="O7585" i="1" s="1"/>
  <c r="R7585" i="1" a="1"/>
  <c r="R7585" i="1" s="1"/>
  <c r="S7585" i="1" a="1"/>
  <c r="S7585" i="1" s="1"/>
  <c r="I7585" i="1" a="1"/>
  <c r="I7585" i="1" s="1"/>
  <c r="J7585" i="1" a="1"/>
  <c r="J7585" i="1" s="1"/>
  <c r="H7587" i="1"/>
  <c r="A7588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H7588" i="1" l="1"/>
  <c r="A7589" i="1"/>
  <c r="P7586" i="1" a="1"/>
  <c r="P7586" i="1" s="1"/>
  <c r="B7587" i="1"/>
  <c r="L7586" i="1" a="1"/>
  <c r="L7586" i="1" s="1"/>
  <c r="Q7586" i="1" a="1"/>
  <c r="Q7586" i="1" s="1"/>
  <c r="M7586" i="1" a="1"/>
  <c r="M7586" i="1" s="1"/>
  <c r="R7586" i="1" a="1"/>
  <c r="R7586" i="1" s="1"/>
  <c r="I7586" i="1" a="1"/>
  <c r="I7586" i="1" s="1"/>
  <c r="N7586" i="1" a="1"/>
  <c r="N7586" i="1" s="1"/>
  <c r="K7586" i="1" a="1"/>
  <c r="K7586" i="1" s="1"/>
  <c r="O7586" i="1" a="1"/>
  <c r="O7586" i="1" s="1"/>
  <c r="S7586" i="1" a="1"/>
  <c r="S7586" i="1" s="1"/>
  <c r="J7586" i="1" a="1"/>
  <c r="J7586" i="1" s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B7588" i="1" l="1"/>
  <c r="L7587" i="1" a="1"/>
  <c r="L7587" i="1" s="1"/>
  <c r="Q7587" i="1" a="1"/>
  <c r="Q7587" i="1" s="1"/>
  <c r="M7587" i="1" a="1"/>
  <c r="M7587" i="1" s="1"/>
  <c r="I7587" i="1" a="1"/>
  <c r="I7587" i="1" s="1"/>
  <c r="R7587" i="1" a="1"/>
  <c r="R7587" i="1" s="1"/>
  <c r="N7587" i="1" a="1"/>
  <c r="N7587" i="1" s="1"/>
  <c r="J7587" i="1" a="1"/>
  <c r="J7587" i="1" s="1"/>
  <c r="S7587" i="1" a="1"/>
  <c r="S7587" i="1" s="1"/>
  <c r="K7587" i="1" a="1"/>
  <c r="K7587" i="1" s="1"/>
  <c r="O7587" i="1" a="1"/>
  <c r="O7587" i="1" s="1"/>
  <c r="P7587" i="1" a="1"/>
  <c r="P7587" i="1" s="1"/>
  <c r="A7590" i="1"/>
  <c r="H7589" i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A7591" i="1" l="1"/>
  <c r="H7590" i="1"/>
  <c r="M7588" i="1" a="1"/>
  <c r="M7588" i="1" s="1"/>
  <c r="I7588" i="1" a="1"/>
  <c r="I7588" i="1" s="1"/>
  <c r="R7588" i="1" a="1"/>
  <c r="R7588" i="1" s="1"/>
  <c r="N7588" i="1" a="1"/>
  <c r="N7588" i="1" s="1"/>
  <c r="J7588" i="1" a="1"/>
  <c r="J7588" i="1" s="1"/>
  <c r="S7588" i="1" a="1"/>
  <c r="S7588" i="1" s="1"/>
  <c r="O7588" i="1" a="1"/>
  <c r="O7588" i="1" s="1"/>
  <c r="K7588" i="1" a="1"/>
  <c r="K7588" i="1" s="1"/>
  <c r="L7588" i="1" a="1"/>
  <c r="L7588" i="1" s="1"/>
  <c r="P7588" i="1" a="1"/>
  <c r="P7588" i="1" s="1"/>
  <c r="Q7588" i="1" a="1"/>
  <c r="Q7588" i="1" s="1"/>
  <c r="B7589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I7589" i="1" l="1" a="1"/>
  <c r="I7589" i="1" s="1"/>
  <c r="R7589" i="1" a="1"/>
  <c r="R7589" i="1" s="1"/>
  <c r="N7589" i="1" a="1"/>
  <c r="N7589" i="1" s="1"/>
  <c r="S7589" i="1" a="1"/>
  <c r="S7589" i="1" s="1"/>
  <c r="J7589" i="1" a="1"/>
  <c r="J7589" i="1" s="1"/>
  <c r="O7589" i="1" a="1"/>
  <c r="O7589" i="1" s="1"/>
  <c r="K7589" i="1" a="1"/>
  <c r="K7589" i="1" s="1"/>
  <c r="P7589" i="1" a="1"/>
  <c r="P7589" i="1" s="1"/>
  <c r="B7590" i="1"/>
  <c r="L7589" i="1" a="1"/>
  <c r="L7589" i="1" s="1"/>
  <c r="M7589" i="1" a="1"/>
  <c r="M7589" i="1" s="1"/>
  <c r="Q7589" i="1" a="1"/>
  <c r="Q7589" i="1" s="1"/>
  <c r="H7591" i="1"/>
  <c r="A7592" i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H7592" i="1" l="1"/>
  <c r="A7593" i="1"/>
  <c r="J7590" i="1" a="1"/>
  <c r="J7590" i="1" s="1"/>
  <c r="S7590" i="1" a="1"/>
  <c r="S7590" i="1" s="1"/>
  <c r="O7590" i="1" a="1"/>
  <c r="O7590" i="1" s="1"/>
  <c r="K7590" i="1" a="1"/>
  <c r="K7590" i="1" s="1"/>
  <c r="P7590" i="1" a="1"/>
  <c r="P7590" i="1" s="1"/>
  <c r="B7591" i="1"/>
  <c r="L7590" i="1" a="1"/>
  <c r="L7590" i="1" s="1"/>
  <c r="I7590" i="1" a="1"/>
  <c r="I7590" i="1" s="1"/>
  <c r="M7590" i="1" a="1"/>
  <c r="M7590" i="1" s="1"/>
  <c r="N7590" i="1" a="1"/>
  <c r="N7590" i="1" s="1"/>
  <c r="Q7590" i="1" a="1"/>
  <c r="Q7590" i="1" s="1"/>
  <c r="R7590" i="1" a="1"/>
  <c r="R7590" i="1" s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B7592" i="1" l="1"/>
  <c r="O7591" i="1" a="1"/>
  <c r="O7591" i="1" s="1"/>
  <c r="K7591" i="1" a="1"/>
  <c r="K7591" i="1" s="1"/>
  <c r="P7591" i="1" a="1"/>
  <c r="P7591" i="1" s="1"/>
  <c r="L7591" i="1" a="1"/>
  <c r="L7591" i="1" s="1"/>
  <c r="Q7591" i="1" a="1"/>
  <c r="Q7591" i="1" s="1"/>
  <c r="M7591" i="1" a="1"/>
  <c r="M7591" i="1" s="1"/>
  <c r="I7591" i="1" a="1"/>
  <c r="I7591" i="1" s="1"/>
  <c r="S7591" i="1" a="1"/>
  <c r="S7591" i="1" s="1"/>
  <c r="J7591" i="1" a="1"/>
  <c r="J7591" i="1" s="1"/>
  <c r="N7591" i="1" a="1"/>
  <c r="N7591" i="1" s="1"/>
  <c r="R7591" i="1" a="1"/>
  <c r="R7591" i="1" s="1"/>
  <c r="H7593" i="1"/>
  <c r="A7594" i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H7594" i="1" l="1"/>
  <c r="A7595" i="1"/>
  <c r="K7592" i="1" a="1"/>
  <c r="K7592" i="1" s="1"/>
  <c r="P7592" i="1" a="1"/>
  <c r="P7592" i="1" s="1"/>
  <c r="B7593" i="1"/>
  <c r="L7592" i="1" a="1"/>
  <c r="L7592" i="1" s="1"/>
  <c r="Q7592" i="1" a="1"/>
  <c r="Q7592" i="1" s="1"/>
  <c r="M7592" i="1" a="1"/>
  <c r="M7592" i="1" s="1"/>
  <c r="I7592" i="1" a="1"/>
  <c r="I7592" i="1" s="1"/>
  <c r="R7592" i="1" a="1"/>
  <c r="R7592" i="1" s="1"/>
  <c r="S7592" i="1" a="1"/>
  <c r="S7592" i="1" s="1"/>
  <c r="J7592" i="1" a="1"/>
  <c r="J7592" i="1" s="1"/>
  <c r="N7592" i="1" a="1"/>
  <c r="N7592" i="1" s="1"/>
  <c r="O7592" i="1" a="1"/>
  <c r="O7592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L7593" i="1" l="1" a="1"/>
  <c r="L7593" i="1" s="1"/>
  <c r="Q7593" i="1" a="1"/>
  <c r="Q7593" i="1" s="1"/>
  <c r="M7593" i="1" a="1"/>
  <c r="M7593" i="1" s="1"/>
  <c r="I7593" i="1" a="1"/>
  <c r="I7593" i="1" s="1"/>
  <c r="R7593" i="1" a="1"/>
  <c r="R7593" i="1" s="1"/>
  <c r="N7593" i="1" a="1"/>
  <c r="N7593" i="1" s="1"/>
  <c r="S7593" i="1" a="1"/>
  <c r="S7593" i="1" s="1"/>
  <c r="J7593" i="1" a="1"/>
  <c r="J7593" i="1" s="1"/>
  <c r="B7594" i="1"/>
  <c r="K7593" i="1" a="1"/>
  <c r="K7593" i="1" s="1"/>
  <c r="P7593" i="1" a="1"/>
  <c r="P7593" i="1" s="1"/>
  <c r="O7593" i="1" a="1"/>
  <c r="O7593" i="1" s="1"/>
  <c r="H7595" i="1"/>
  <c r="A7596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597" i="1" l="1"/>
  <c r="H7596" i="1"/>
  <c r="Q7594" i="1" a="1"/>
  <c r="Q7594" i="1" s="1"/>
  <c r="M7594" i="1" a="1"/>
  <c r="M7594" i="1" s="1"/>
  <c r="R7594" i="1" a="1"/>
  <c r="R7594" i="1" s="1"/>
  <c r="I7594" i="1" a="1"/>
  <c r="I7594" i="1" s="1"/>
  <c r="N7594" i="1" a="1"/>
  <c r="N7594" i="1" s="1"/>
  <c r="J7594" i="1" a="1"/>
  <c r="J7594" i="1" s="1"/>
  <c r="S7594" i="1" a="1"/>
  <c r="S7594" i="1" s="1"/>
  <c r="O7594" i="1" a="1"/>
  <c r="O7594" i="1" s="1"/>
  <c r="B7595" i="1"/>
  <c r="K7594" i="1" a="1"/>
  <c r="K7594" i="1" s="1"/>
  <c r="L7594" i="1" a="1"/>
  <c r="L7594" i="1" s="1"/>
  <c r="P7594" i="1" a="1"/>
  <c r="P7594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B7596" i="1" l="1"/>
  <c r="I7595" i="1" a="1"/>
  <c r="I7595" i="1" s="1"/>
  <c r="R7595" i="1" a="1"/>
  <c r="R7595" i="1" s="1"/>
  <c r="N7595" i="1" a="1"/>
  <c r="N7595" i="1" s="1"/>
  <c r="J7595" i="1" a="1"/>
  <c r="J7595" i="1" s="1"/>
  <c r="S7595" i="1" a="1"/>
  <c r="S7595" i="1" s="1"/>
  <c r="O7595" i="1" a="1"/>
  <c r="O7595" i="1" s="1"/>
  <c r="K7595" i="1" a="1"/>
  <c r="K7595" i="1" s="1"/>
  <c r="Q7595" i="1" a="1"/>
  <c r="Q7595" i="1" s="1"/>
  <c r="M7595" i="1" a="1"/>
  <c r="M7595" i="1" s="1"/>
  <c r="L7595" i="1" a="1"/>
  <c r="L7595" i="1" s="1"/>
  <c r="P7595" i="1" a="1"/>
  <c r="P7595" i="1" s="1"/>
  <c r="A7598" i="1"/>
  <c r="H7597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A7599" i="1" l="1"/>
  <c r="H7598" i="1"/>
  <c r="N7596" i="1" a="1"/>
  <c r="N7596" i="1" s="1"/>
  <c r="J7596" i="1" a="1"/>
  <c r="J7596" i="1" s="1"/>
  <c r="S7596" i="1" a="1"/>
  <c r="S7596" i="1" s="1"/>
  <c r="O7596" i="1" a="1"/>
  <c r="O7596" i="1" s="1"/>
  <c r="K7596" i="1" a="1"/>
  <c r="K7596" i="1" s="1"/>
  <c r="P7596" i="1" a="1"/>
  <c r="P7596" i="1" s="1"/>
  <c r="L7596" i="1" a="1"/>
  <c r="L7596" i="1" s="1"/>
  <c r="Q7596" i="1" a="1"/>
  <c r="Q7596" i="1" s="1"/>
  <c r="R7596" i="1" a="1"/>
  <c r="R7596" i="1" s="1"/>
  <c r="B7597" i="1"/>
  <c r="I7596" i="1" a="1"/>
  <c r="I7596" i="1" s="1"/>
  <c r="M7596" i="1" a="1"/>
  <c r="M7596" i="1" s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7597" i="1" l="1" a="1"/>
  <c r="J7597" i="1" s="1"/>
  <c r="O7597" i="1" a="1"/>
  <c r="O7597" i="1" s="1"/>
  <c r="K7597" i="1" a="1"/>
  <c r="K7597" i="1" s="1"/>
  <c r="P7597" i="1" a="1"/>
  <c r="P7597" i="1" s="1"/>
  <c r="B7598" i="1"/>
  <c r="L7597" i="1" a="1"/>
  <c r="L7597" i="1" s="1"/>
  <c r="R7597" i="1" a="1"/>
  <c r="R7597" i="1" s="1"/>
  <c r="S7597" i="1" a="1"/>
  <c r="S7597" i="1" s="1"/>
  <c r="M7597" i="1" a="1"/>
  <c r="M7597" i="1" s="1"/>
  <c r="N7597" i="1" a="1"/>
  <c r="N7597" i="1" s="1"/>
  <c r="I7597" i="1" a="1"/>
  <c r="I7597" i="1" s="1"/>
  <c r="Q7597" i="1" a="1"/>
  <c r="Q7597" i="1" s="1"/>
  <c r="H7599" i="1"/>
  <c r="A7600" i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K7598" i="1" l="1" a="1"/>
  <c r="K7598" i="1" s="1"/>
  <c r="P7598" i="1" a="1"/>
  <c r="P7598" i="1" s="1"/>
  <c r="B7599" i="1"/>
  <c r="L7598" i="1" a="1"/>
  <c r="L7598" i="1" s="1"/>
  <c r="M7598" i="1" a="1"/>
  <c r="M7598" i="1" s="1"/>
  <c r="N7598" i="1" a="1"/>
  <c r="N7598" i="1" s="1"/>
  <c r="O7598" i="1" a="1"/>
  <c r="O7598" i="1" s="1"/>
  <c r="I7598" i="1" a="1"/>
  <c r="I7598" i="1" s="1"/>
  <c r="Q7598" i="1" a="1"/>
  <c r="Q7598" i="1" s="1"/>
  <c r="R7598" i="1" a="1"/>
  <c r="R7598" i="1" s="1"/>
  <c r="S7598" i="1" a="1"/>
  <c r="S7598" i="1" s="1"/>
  <c r="J7598" i="1" a="1"/>
  <c r="J7598" i="1" s="1"/>
  <c r="H7600" i="1"/>
  <c r="A760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B7600" i="1" l="1"/>
  <c r="P7599" i="1" a="1"/>
  <c r="P7599" i="1" s="1"/>
  <c r="L7599" i="1" a="1"/>
  <c r="L7599" i="1" s="1"/>
  <c r="Q7599" i="1" a="1"/>
  <c r="Q7599" i="1" s="1"/>
  <c r="M7599" i="1" a="1"/>
  <c r="M7599" i="1" s="1"/>
  <c r="I7599" i="1" a="1"/>
  <c r="I7599" i="1" s="1"/>
  <c r="O7599" i="1" a="1"/>
  <c r="O7599" i="1" s="1"/>
  <c r="J7599" i="1" a="1"/>
  <c r="J7599" i="1" s="1"/>
  <c r="R7599" i="1" a="1"/>
  <c r="R7599" i="1" s="1"/>
  <c r="S7599" i="1" a="1"/>
  <c r="S7599" i="1" s="1"/>
  <c r="N7599" i="1" a="1"/>
  <c r="N7599" i="1" s="1"/>
  <c r="K7599" i="1" a="1"/>
  <c r="K7599" i="1" s="1"/>
  <c r="H7601" i="1"/>
  <c r="A7602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A7603" i="1" l="1"/>
  <c r="H7602" i="1"/>
  <c r="Q7600" i="1" a="1"/>
  <c r="Q7600" i="1" s="1"/>
  <c r="M7600" i="1" a="1"/>
  <c r="M7600" i="1" s="1"/>
  <c r="I7600" i="1" a="1"/>
  <c r="I7600" i="1" s="1"/>
  <c r="R7600" i="1" a="1"/>
  <c r="R7600" i="1" s="1"/>
  <c r="P7600" i="1" a="1"/>
  <c r="P7600" i="1" s="1"/>
  <c r="J7600" i="1" a="1"/>
  <c r="J7600" i="1" s="1"/>
  <c r="K7600" i="1" a="1"/>
  <c r="K7600" i="1" s="1"/>
  <c r="S7600" i="1" a="1"/>
  <c r="S7600" i="1" s="1"/>
  <c r="L7600" i="1" a="1"/>
  <c r="L7600" i="1" s="1"/>
  <c r="N7600" i="1" a="1"/>
  <c r="N7600" i="1" s="1"/>
  <c r="O7600" i="1" a="1"/>
  <c r="O7600" i="1" s="1"/>
  <c r="B7601" i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M7601" i="1" l="1" a="1"/>
  <c r="M7601" i="1" s="1"/>
  <c r="I7601" i="1" a="1"/>
  <c r="I7601" i="1" s="1"/>
  <c r="R7601" i="1" a="1"/>
  <c r="R7601" i="1" s="1"/>
  <c r="N7601" i="1" a="1"/>
  <c r="N7601" i="1" s="1"/>
  <c r="S7601" i="1" a="1"/>
  <c r="S7601" i="1" s="1"/>
  <c r="K7601" i="1" a="1"/>
  <c r="K7601" i="1" s="1"/>
  <c r="Q7601" i="1" a="1"/>
  <c r="Q7601" i="1" s="1"/>
  <c r="L7601" i="1" a="1"/>
  <c r="L7601" i="1" s="1"/>
  <c r="B7602" i="1"/>
  <c r="O7601" i="1" a="1"/>
  <c r="O7601" i="1" s="1"/>
  <c r="J7601" i="1" a="1"/>
  <c r="J7601" i="1" s="1"/>
  <c r="P7601" i="1" a="1"/>
  <c r="P7601" i="1" s="1"/>
  <c r="H7603" i="1"/>
  <c r="A7604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605" i="1" l="1"/>
  <c r="H7604" i="1"/>
  <c r="I7602" i="1" a="1"/>
  <c r="I7602" i="1" s="1"/>
  <c r="N7602" i="1" a="1"/>
  <c r="N7602" i="1" s="1"/>
  <c r="J7602" i="1" a="1"/>
  <c r="J7602" i="1" s="1"/>
  <c r="S7602" i="1" a="1"/>
  <c r="S7602" i="1" s="1"/>
  <c r="O7602" i="1" a="1"/>
  <c r="O7602" i="1" s="1"/>
  <c r="L7602" i="1" a="1"/>
  <c r="L7602" i="1" s="1"/>
  <c r="B7603" i="1"/>
  <c r="M7602" i="1" a="1"/>
  <c r="M7602" i="1" s="1"/>
  <c r="P7602" i="1" a="1"/>
  <c r="P7602" i="1" s="1"/>
  <c r="Q7602" i="1" a="1"/>
  <c r="Q7602" i="1" s="1"/>
  <c r="R7602" i="1" a="1"/>
  <c r="R7602" i="1" s="1"/>
  <c r="K7602" i="1" a="1"/>
  <c r="K7602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B7604" i="1" l="1"/>
  <c r="J7603" i="1" a="1"/>
  <c r="J7603" i="1" s="1"/>
  <c r="S7603" i="1" a="1"/>
  <c r="S7603" i="1" s="1"/>
  <c r="O7603" i="1" a="1"/>
  <c r="O7603" i="1" s="1"/>
  <c r="K7603" i="1" a="1"/>
  <c r="K7603" i="1" s="1"/>
  <c r="N7603" i="1" a="1"/>
  <c r="N7603" i="1" s="1"/>
  <c r="P7603" i="1" a="1"/>
  <c r="P7603" i="1" s="1"/>
  <c r="I7603" i="1" a="1"/>
  <c r="I7603" i="1" s="1"/>
  <c r="Q7603" i="1" a="1"/>
  <c r="Q7603" i="1" s="1"/>
  <c r="M7603" i="1" a="1"/>
  <c r="M7603" i="1" s="1"/>
  <c r="L7603" i="1" a="1"/>
  <c r="L7603" i="1" s="1"/>
  <c r="R7603" i="1" a="1"/>
  <c r="R7603" i="1" s="1"/>
  <c r="A7606" i="1"/>
  <c r="H7605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H7606" i="1" l="1"/>
  <c r="A7607" i="1"/>
  <c r="O7604" i="1" a="1"/>
  <c r="O7604" i="1" s="1"/>
  <c r="K7604" i="1" a="1"/>
  <c r="K7604" i="1" s="1"/>
  <c r="P7604" i="1" a="1"/>
  <c r="P7604" i="1" s="1"/>
  <c r="B7605" i="1"/>
  <c r="L7604" i="1" a="1"/>
  <c r="L7604" i="1" s="1"/>
  <c r="I7604" i="1" a="1"/>
  <c r="I7604" i="1" s="1"/>
  <c r="Q7604" i="1" a="1"/>
  <c r="Q7604" i="1" s="1"/>
  <c r="J7604" i="1" a="1"/>
  <c r="J7604" i="1" s="1"/>
  <c r="R7604" i="1" a="1"/>
  <c r="R7604" i="1" s="1"/>
  <c r="M7604" i="1" a="1"/>
  <c r="M7604" i="1" s="1"/>
  <c r="N7604" i="1" a="1"/>
  <c r="N7604" i="1" s="1"/>
  <c r="S7604" i="1" a="1"/>
  <c r="S7604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H7607" i="1" l="1"/>
  <c r="A7608" i="1"/>
  <c r="P7605" i="1" a="1"/>
  <c r="P7605" i="1" s="1"/>
  <c r="B7606" i="1"/>
  <c r="L7605" i="1" a="1"/>
  <c r="L7605" i="1" s="1"/>
  <c r="Q7605" i="1" a="1"/>
  <c r="Q7605" i="1" s="1"/>
  <c r="J7605" i="1" a="1"/>
  <c r="J7605" i="1" s="1"/>
  <c r="R7605" i="1" a="1"/>
  <c r="R7605" i="1" s="1"/>
  <c r="K7605" i="1" a="1"/>
  <c r="K7605" i="1" s="1"/>
  <c r="S7605" i="1" a="1"/>
  <c r="S7605" i="1" s="1"/>
  <c r="M7605" i="1" a="1"/>
  <c r="M7605" i="1" s="1"/>
  <c r="I7605" i="1" a="1"/>
  <c r="I7605" i="1" s="1"/>
  <c r="N7605" i="1" a="1"/>
  <c r="N7605" i="1" s="1"/>
  <c r="O7605" i="1" a="1"/>
  <c r="O7605" i="1" s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L7606" i="1" l="1" a="1"/>
  <c r="L7606" i="1" s="1"/>
  <c r="Q7606" i="1" a="1"/>
  <c r="Q7606" i="1" s="1"/>
  <c r="M7606" i="1" a="1"/>
  <c r="M7606" i="1" s="1"/>
  <c r="R7606" i="1" a="1"/>
  <c r="R7606" i="1" s="1"/>
  <c r="K7606" i="1" a="1"/>
  <c r="K7606" i="1" s="1"/>
  <c r="S7606" i="1" a="1"/>
  <c r="S7606" i="1" s="1"/>
  <c r="N7606" i="1" a="1"/>
  <c r="N7606" i="1" s="1"/>
  <c r="B7607" i="1"/>
  <c r="O7606" i="1" a="1"/>
  <c r="O7606" i="1" s="1"/>
  <c r="I7606" i="1" a="1"/>
  <c r="I7606" i="1" s="1"/>
  <c r="J7606" i="1" a="1"/>
  <c r="J7606" i="1" s="1"/>
  <c r="P7606" i="1" a="1"/>
  <c r="P7606" i="1" s="1"/>
  <c r="H7608" i="1"/>
  <c r="A7609" i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B7608" i="1" l="1"/>
  <c r="M7607" i="1" a="1"/>
  <c r="M7607" i="1" s="1"/>
  <c r="I7607" i="1" a="1"/>
  <c r="I7607" i="1" s="1"/>
  <c r="R7607" i="1" a="1"/>
  <c r="R7607" i="1" s="1"/>
  <c r="N7607" i="1" a="1"/>
  <c r="N7607" i="1" s="1"/>
  <c r="L7607" i="1" a="1"/>
  <c r="L7607" i="1" s="1"/>
  <c r="O7607" i="1" a="1"/>
  <c r="O7607" i="1" s="1"/>
  <c r="J7607" i="1" a="1"/>
  <c r="J7607" i="1" s="1"/>
  <c r="P7607" i="1" a="1"/>
  <c r="P7607" i="1" s="1"/>
  <c r="K7607" i="1" a="1"/>
  <c r="K7607" i="1" s="1"/>
  <c r="Q7607" i="1" a="1"/>
  <c r="Q7607" i="1" s="1"/>
  <c r="S7607" i="1" a="1"/>
  <c r="S7607" i="1" s="1"/>
  <c r="A7610" i="1"/>
  <c r="H7609" i="1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A7611" i="1" l="1"/>
  <c r="H7610" i="1"/>
  <c r="I7608" i="1" a="1"/>
  <c r="I7608" i="1" s="1"/>
  <c r="R7608" i="1" a="1"/>
  <c r="R7608" i="1" s="1"/>
  <c r="N7608" i="1" a="1"/>
  <c r="N7608" i="1" s="1"/>
  <c r="J7608" i="1" a="1"/>
  <c r="J7608" i="1" s="1"/>
  <c r="S7608" i="1" a="1"/>
  <c r="S7608" i="1" s="1"/>
  <c r="O7608" i="1" a="1"/>
  <c r="O7608" i="1" s="1"/>
  <c r="P7608" i="1" a="1"/>
  <c r="P7608" i="1" s="1"/>
  <c r="Q7608" i="1" a="1"/>
  <c r="Q7608" i="1" s="1"/>
  <c r="K7608" i="1" a="1"/>
  <c r="K7608" i="1" s="1"/>
  <c r="B7609" i="1"/>
  <c r="L7608" i="1" a="1"/>
  <c r="L7608" i="1" s="1"/>
  <c r="M7608" i="1" a="1"/>
  <c r="M7608" i="1" s="1"/>
  <c r="L6278" i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N7609" i="1" l="1" a="1"/>
  <c r="N7609" i="1" s="1"/>
  <c r="S7609" i="1" a="1"/>
  <c r="S7609" i="1" s="1"/>
  <c r="J7609" i="1" a="1"/>
  <c r="J7609" i="1" s="1"/>
  <c r="O7609" i="1" a="1"/>
  <c r="O7609" i="1" s="1"/>
  <c r="K7609" i="1" a="1"/>
  <c r="K7609" i="1" s="1"/>
  <c r="I7609" i="1" a="1"/>
  <c r="I7609" i="1" s="1"/>
  <c r="Q7609" i="1" a="1"/>
  <c r="Q7609" i="1" s="1"/>
  <c r="L7609" i="1" a="1"/>
  <c r="L7609" i="1" s="1"/>
  <c r="R7609" i="1" a="1"/>
  <c r="R7609" i="1" s="1"/>
  <c r="B7610" i="1"/>
  <c r="M7609" i="1" a="1"/>
  <c r="M7609" i="1" s="1"/>
  <c r="P7609" i="1" a="1"/>
  <c r="P7609" i="1" s="1"/>
  <c r="H7611" i="1"/>
  <c r="A7612" i="1"/>
  <c r="K6279" i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O7610" i="1" l="1" a="1"/>
  <c r="O7610" i="1" s="1"/>
  <c r="K7610" i="1" a="1"/>
  <c r="K7610" i="1" s="1"/>
  <c r="P7610" i="1" a="1"/>
  <c r="P7610" i="1" s="1"/>
  <c r="B7611" i="1"/>
  <c r="J7610" i="1" a="1"/>
  <c r="J7610" i="1" s="1"/>
  <c r="R7610" i="1" a="1"/>
  <c r="R7610" i="1" s="1"/>
  <c r="L7610" i="1" a="1"/>
  <c r="L7610" i="1" s="1"/>
  <c r="S7610" i="1" a="1"/>
  <c r="S7610" i="1" s="1"/>
  <c r="M7610" i="1" a="1"/>
  <c r="M7610" i="1" s="1"/>
  <c r="N7610" i="1" a="1"/>
  <c r="N7610" i="1" s="1"/>
  <c r="I7610" i="1" a="1"/>
  <c r="I7610" i="1" s="1"/>
  <c r="Q7610" i="1" a="1"/>
  <c r="Q7610" i="1" s="1"/>
  <c r="A7613" i="1"/>
  <c r="H7612" i="1"/>
  <c r="I6280" i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B7612" i="1" l="1"/>
  <c r="K7611" i="1" a="1"/>
  <c r="K7611" i="1" s="1"/>
  <c r="P7611" i="1" a="1"/>
  <c r="P7611" i="1" s="1"/>
  <c r="L7611" i="1" a="1"/>
  <c r="L7611" i="1" s="1"/>
  <c r="Q7611" i="1" a="1"/>
  <c r="Q7611" i="1" s="1"/>
  <c r="M7611" i="1" a="1"/>
  <c r="M7611" i="1" s="1"/>
  <c r="S7611" i="1" a="1"/>
  <c r="S7611" i="1" s="1"/>
  <c r="N7611" i="1" a="1"/>
  <c r="N7611" i="1" s="1"/>
  <c r="I7611" i="1" a="1"/>
  <c r="I7611" i="1" s="1"/>
  <c r="O7611" i="1" a="1"/>
  <c r="O7611" i="1" s="1"/>
  <c r="R7611" i="1" a="1"/>
  <c r="R7611" i="1" s="1"/>
  <c r="J7611" i="1" a="1"/>
  <c r="J7611" i="1" s="1"/>
  <c r="A7614" i="1"/>
  <c r="H7613" i="1"/>
  <c r="I6281" i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A7615" i="1" l="1"/>
  <c r="H7614" i="1"/>
  <c r="L7612" i="1" a="1"/>
  <c r="L7612" i="1" s="1"/>
  <c r="P7612" i="1" a="1"/>
  <c r="P7612" i="1" s="1"/>
  <c r="B7613" i="1"/>
  <c r="M7612" i="1" a="1"/>
  <c r="M7612" i="1" s="1"/>
  <c r="Q7612" i="1" a="1"/>
  <c r="Q7612" i="1" s="1"/>
  <c r="N7612" i="1" a="1"/>
  <c r="N7612" i="1" s="1"/>
  <c r="I7612" i="1" a="1"/>
  <c r="I7612" i="1" s="1"/>
  <c r="O7612" i="1" a="1"/>
  <c r="O7612" i="1" s="1"/>
  <c r="J7612" i="1" a="1"/>
  <c r="J7612" i="1" s="1"/>
  <c r="K7612" i="1" a="1"/>
  <c r="K7612" i="1" s="1"/>
  <c r="R7612" i="1" a="1"/>
  <c r="R7612" i="1" s="1"/>
  <c r="S7612" i="1" a="1"/>
  <c r="S7612" i="1" s="1"/>
  <c r="L6282" i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K7613" i="1" l="1" a="1"/>
  <c r="K7613" i="1" s="1"/>
  <c r="O7613" i="1" a="1"/>
  <c r="O7613" i="1" s="1"/>
  <c r="S7613" i="1" a="1"/>
  <c r="S7613" i="1" s="1"/>
  <c r="L7613" i="1" a="1"/>
  <c r="L7613" i="1" s="1"/>
  <c r="P7613" i="1" a="1"/>
  <c r="P7613" i="1" s="1"/>
  <c r="B7614" i="1"/>
  <c r="N7613" i="1" a="1"/>
  <c r="N7613" i="1" s="1"/>
  <c r="I7613" i="1" a="1"/>
  <c r="I7613" i="1" s="1"/>
  <c r="J7613" i="1" a="1"/>
  <c r="J7613" i="1" s="1"/>
  <c r="Q7613" i="1" a="1"/>
  <c r="Q7613" i="1" s="1"/>
  <c r="M7613" i="1" a="1"/>
  <c r="M7613" i="1" s="1"/>
  <c r="R7613" i="1" a="1"/>
  <c r="R7613" i="1" s="1"/>
  <c r="A7616" i="1"/>
  <c r="H7615" i="1"/>
  <c r="J6283" i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7614" i="1" l="1" a="1"/>
  <c r="J7614" i="1" s="1"/>
  <c r="N7614" i="1" a="1"/>
  <c r="N7614" i="1" s="1"/>
  <c r="R7614" i="1" a="1"/>
  <c r="R7614" i="1" s="1"/>
  <c r="K7614" i="1" a="1"/>
  <c r="K7614" i="1" s="1"/>
  <c r="O7614" i="1" a="1"/>
  <c r="O7614" i="1" s="1"/>
  <c r="S7614" i="1" a="1"/>
  <c r="S7614" i="1" s="1"/>
  <c r="M7614" i="1" a="1"/>
  <c r="M7614" i="1" s="1"/>
  <c r="B7615" i="1"/>
  <c r="I7614" i="1" a="1"/>
  <c r="I7614" i="1" s="1"/>
  <c r="P7614" i="1" a="1"/>
  <c r="P7614" i="1" s="1"/>
  <c r="Q7614" i="1" a="1"/>
  <c r="Q7614" i="1" s="1"/>
  <c r="L7614" i="1" a="1"/>
  <c r="L7614" i="1" s="1"/>
  <c r="A7617" i="1"/>
  <c r="H7616" i="1"/>
  <c r="J6284" i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I7615" i="1" l="1" a="1"/>
  <c r="I7615" i="1" s="1"/>
  <c r="M7615" i="1" a="1"/>
  <c r="M7615" i="1" s="1"/>
  <c r="Q7615" i="1" a="1"/>
  <c r="Q7615" i="1" s="1"/>
  <c r="J7615" i="1" a="1"/>
  <c r="J7615" i="1" s="1"/>
  <c r="N7615" i="1" a="1"/>
  <c r="N7615" i="1" s="1"/>
  <c r="R7615" i="1" a="1"/>
  <c r="R7615" i="1" s="1"/>
  <c r="O7615" i="1" a="1"/>
  <c r="O7615" i="1" s="1"/>
  <c r="B7616" i="1"/>
  <c r="P7615" i="1" a="1"/>
  <c r="P7615" i="1" s="1"/>
  <c r="S7615" i="1" a="1"/>
  <c r="S7615" i="1" s="1"/>
  <c r="K7615" i="1" a="1"/>
  <c r="K7615" i="1" s="1"/>
  <c r="L7615" i="1" a="1"/>
  <c r="L7615" i="1" s="1"/>
  <c r="A7618" i="1"/>
  <c r="H7617" i="1"/>
  <c r="J6285" i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L7616" i="1" l="1" a="1"/>
  <c r="L7616" i="1" s="1"/>
  <c r="P7616" i="1" a="1"/>
  <c r="P7616" i="1" s="1"/>
  <c r="B7617" i="1"/>
  <c r="I7616" i="1" a="1"/>
  <c r="I7616" i="1" s="1"/>
  <c r="M7616" i="1" a="1"/>
  <c r="M7616" i="1" s="1"/>
  <c r="Q7616" i="1" a="1"/>
  <c r="Q7616" i="1" s="1"/>
  <c r="S7616" i="1" a="1"/>
  <c r="S7616" i="1" s="1"/>
  <c r="N7616" i="1" a="1"/>
  <c r="N7616" i="1" s="1"/>
  <c r="O7616" i="1" a="1"/>
  <c r="O7616" i="1" s="1"/>
  <c r="J7616" i="1" a="1"/>
  <c r="J7616" i="1" s="1"/>
  <c r="K7616" i="1" a="1"/>
  <c r="K7616" i="1" s="1"/>
  <c r="R7616" i="1" a="1"/>
  <c r="R7616" i="1" s="1"/>
  <c r="A7619" i="1"/>
  <c r="H7618" i="1"/>
  <c r="I6286" i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H7619" i="1" l="1"/>
  <c r="A7620" i="1"/>
  <c r="K7617" i="1" a="1"/>
  <c r="K7617" i="1" s="1"/>
  <c r="O7617" i="1" a="1"/>
  <c r="O7617" i="1" s="1"/>
  <c r="S7617" i="1" a="1"/>
  <c r="S7617" i="1" s="1"/>
  <c r="L7617" i="1" a="1"/>
  <c r="L7617" i="1" s="1"/>
  <c r="P7617" i="1" a="1"/>
  <c r="P7617" i="1" s="1"/>
  <c r="M7617" i="1" a="1"/>
  <c r="M7617" i="1" s="1"/>
  <c r="B7618" i="1"/>
  <c r="N7617" i="1" a="1"/>
  <c r="N7617" i="1" s="1"/>
  <c r="I7617" i="1" a="1"/>
  <c r="I7617" i="1" s="1"/>
  <c r="J7617" i="1" a="1"/>
  <c r="J7617" i="1" s="1"/>
  <c r="Q7617" i="1" a="1"/>
  <c r="Q7617" i="1" s="1"/>
  <c r="R7617" i="1" a="1"/>
  <c r="R7617" i="1" s="1"/>
  <c r="I6287" i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A7621" i="1" l="1"/>
  <c r="H7620" i="1"/>
  <c r="J7618" i="1" a="1"/>
  <c r="J7618" i="1" s="1"/>
  <c r="N7618" i="1" a="1"/>
  <c r="N7618" i="1" s="1"/>
  <c r="R7618" i="1" a="1"/>
  <c r="R7618" i="1" s="1"/>
  <c r="K7618" i="1" a="1"/>
  <c r="K7618" i="1" s="1"/>
  <c r="O7618" i="1" a="1"/>
  <c r="O7618" i="1" s="1"/>
  <c r="S7618" i="1" a="1"/>
  <c r="S7618" i="1" s="1"/>
  <c r="M7618" i="1" a="1"/>
  <c r="M7618" i="1" s="1"/>
  <c r="B7619" i="1"/>
  <c r="I7618" i="1" a="1"/>
  <c r="I7618" i="1" s="1"/>
  <c r="P7618" i="1" a="1"/>
  <c r="P7618" i="1" s="1"/>
  <c r="L7618" i="1" a="1"/>
  <c r="L7618" i="1" s="1"/>
  <c r="Q7618" i="1" a="1"/>
  <c r="Q7618" i="1" s="1"/>
  <c r="I6288" i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I7619" i="1" l="1" a="1"/>
  <c r="I7619" i="1" s="1"/>
  <c r="M7619" i="1" a="1"/>
  <c r="M7619" i="1" s="1"/>
  <c r="Q7619" i="1" a="1"/>
  <c r="Q7619" i="1" s="1"/>
  <c r="K7619" i="1" a="1"/>
  <c r="K7619" i="1" s="1"/>
  <c r="P7619" i="1" a="1"/>
  <c r="P7619" i="1" s="1"/>
  <c r="L7619" i="1" a="1"/>
  <c r="L7619" i="1" s="1"/>
  <c r="R7619" i="1" a="1"/>
  <c r="R7619" i="1" s="1"/>
  <c r="N7619" i="1" a="1"/>
  <c r="N7619" i="1" s="1"/>
  <c r="S7619" i="1" a="1"/>
  <c r="S7619" i="1" s="1"/>
  <c r="O7619" i="1" a="1"/>
  <c r="O7619" i="1" s="1"/>
  <c r="B7620" i="1"/>
  <c r="J7619" i="1" a="1"/>
  <c r="J7619" i="1" s="1"/>
  <c r="H7621" i="1"/>
  <c r="A7622" i="1"/>
  <c r="J6289" i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A7623" i="1" l="1"/>
  <c r="H7622" i="1"/>
  <c r="L7620" i="1" a="1"/>
  <c r="L7620" i="1" s="1"/>
  <c r="P7620" i="1" a="1"/>
  <c r="P7620" i="1" s="1"/>
  <c r="B7621" i="1"/>
  <c r="I7620" i="1" a="1"/>
  <c r="I7620" i="1" s="1"/>
  <c r="N7620" i="1" a="1"/>
  <c r="N7620" i="1" s="1"/>
  <c r="S7620" i="1" a="1"/>
  <c r="S7620" i="1" s="1"/>
  <c r="J7620" i="1" a="1"/>
  <c r="J7620" i="1" s="1"/>
  <c r="O7620" i="1" a="1"/>
  <c r="O7620" i="1" s="1"/>
  <c r="K7620" i="1" a="1"/>
  <c r="K7620" i="1" s="1"/>
  <c r="Q7620" i="1" a="1"/>
  <c r="Q7620" i="1" s="1"/>
  <c r="R7620" i="1" a="1"/>
  <c r="R7620" i="1" s="1"/>
  <c r="M7620" i="1" a="1"/>
  <c r="M7620" i="1" s="1"/>
  <c r="I6290" i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H7623" i="1" l="1"/>
  <c r="A7624" i="1"/>
  <c r="K7621" i="1" a="1"/>
  <c r="K7621" i="1" s="1"/>
  <c r="O7621" i="1" a="1"/>
  <c r="O7621" i="1" s="1"/>
  <c r="S7621" i="1" a="1"/>
  <c r="S7621" i="1" s="1"/>
  <c r="L7621" i="1" a="1"/>
  <c r="L7621" i="1" s="1"/>
  <c r="Q7621" i="1" a="1"/>
  <c r="Q7621" i="1" s="1"/>
  <c r="M7621" i="1" a="1"/>
  <c r="M7621" i="1" s="1"/>
  <c r="R7621" i="1" a="1"/>
  <c r="R7621" i="1" s="1"/>
  <c r="I7621" i="1" a="1"/>
  <c r="I7621" i="1" s="1"/>
  <c r="N7621" i="1" a="1"/>
  <c r="N7621" i="1" s="1"/>
  <c r="B7622" i="1"/>
  <c r="J7621" i="1" a="1"/>
  <c r="J7621" i="1" s="1"/>
  <c r="P7621" i="1" a="1"/>
  <c r="P7621" i="1" s="1"/>
  <c r="J6291" i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A7625" i="1" l="1"/>
  <c r="H7624" i="1"/>
  <c r="J7622" i="1" a="1"/>
  <c r="J7622" i="1" s="1"/>
  <c r="N7622" i="1" a="1"/>
  <c r="N7622" i="1" s="1"/>
  <c r="R7622" i="1" a="1"/>
  <c r="R7622" i="1" s="1"/>
  <c r="I7622" i="1" a="1"/>
  <c r="I7622" i="1" s="1"/>
  <c r="O7622" i="1" a="1"/>
  <c r="O7622" i="1" s="1"/>
  <c r="B7623" i="1"/>
  <c r="K7622" i="1" a="1"/>
  <c r="K7622" i="1" s="1"/>
  <c r="P7622" i="1" a="1"/>
  <c r="P7622" i="1" s="1"/>
  <c r="L7622" i="1" a="1"/>
  <c r="L7622" i="1" s="1"/>
  <c r="Q7622" i="1" a="1"/>
  <c r="Q7622" i="1" s="1"/>
  <c r="S7622" i="1" a="1"/>
  <c r="S7622" i="1" s="1"/>
  <c r="M7622" i="1" a="1"/>
  <c r="M7622" i="1" s="1"/>
  <c r="L6292" i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H7625" i="1" l="1"/>
  <c r="A7626" i="1"/>
  <c r="I7623" i="1" a="1"/>
  <c r="I7623" i="1" s="1"/>
  <c r="M7623" i="1" a="1"/>
  <c r="M7623" i="1" s="1"/>
  <c r="Q7623" i="1" a="1"/>
  <c r="Q7623" i="1" s="1"/>
  <c r="L7623" i="1" a="1"/>
  <c r="L7623" i="1" s="1"/>
  <c r="R7623" i="1" a="1"/>
  <c r="R7623" i="1" s="1"/>
  <c r="N7623" i="1" a="1"/>
  <c r="N7623" i="1" s="1"/>
  <c r="S7623" i="1" a="1"/>
  <c r="S7623" i="1" s="1"/>
  <c r="J7623" i="1" a="1"/>
  <c r="J7623" i="1" s="1"/>
  <c r="O7623" i="1" a="1"/>
  <c r="O7623" i="1" s="1"/>
  <c r="B7624" i="1"/>
  <c r="K7623" i="1" a="1"/>
  <c r="K7623" i="1" s="1"/>
  <c r="P7623" i="1" a="1"/>
  <c r="P7623" i="1" s="1"/>
  <c r="I6293" i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A7627" i="1" l="1"/>
  <c r="H7626" i="1"/>
  <c r="L7624" i="1" a="1"/>
  <c r="L7624" i="1" s="1"/>
  <c r="P7624" i="1" a="1"/>
  <c r="P7624" i="1" s="1"/>
  <c r="B7625" i="1"/>
  <c r="J7624" i="1" a="1"/>
  <c r="J7624" i="1" s="1"/>
  <c r="O7624" i="1" a="1"/>
  <c r="O7624" i="1" s="1"/>
  <c r="K7624" i="1" a="1"/>
  <c r="K7624" i="1" s="1"/>
  <c r="Q7624" i="1" a="1"/>
  <c r="Q7624" i="1" s="1"/>
  <c r="M7624" i="1" a="1"/>
  <c r="M7624" i="1" s="1"/>
  <c r="R7624" i="1" a="1"/>
  <c r="R7624" i="1" s="1"/>
  <c r="N7624" i="1" a="1"/>
  <c r="N7624" i="1" s="1"/>
  <c r="I7624" i="1" a="1"/>
  <c r="I7624" i="1" s="1"/>
  <c r="S7624" i="1" a="1"/>
  <c r="S7624" i="1" s="1"/>
  <c r="L6294" i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H7627" i="1" l="1"/>
  <c r="A7628" i="1"/>
  <c r="K7625" i="1" a="1"/>
  <c r="K7625" i="1" s="1"/>
  <c r="O7625" i="1" a="1"/>
  <c r="O7625" i="1" s="1"/>
  <c r="S7625" i="1" a="1"/>
  <c r="S7625" i="1" s="1"/>
  <c r="M7625" i="1" a="1"/>
  <c r="M7625" i="1" s="1"/>
  <c r="R7625" i="1" a="1"/>
  <c r="R7625" i="1" s="1"/>
  <c r="I7625" i="1" a="1"/>
  <c r="I7625" i="1" s="1"/>
  <c r="N7625" i="1" a="1"/>
  <c r="N7625" i="1" s="1"/>
  <c r="B7626" i="1"/>
  <c r="J7625" i="1" a="1"/>
  <c r="J7625" i="1" s="1"/>
  <c r="P7625" i="1" a="1"/>
  <c r="P7625" i="1" s="1"/>
  <c r="L7625" i="1" a="1"/>
  <c r="L7625" i="1" s="1"/>
  <c r="Q7625" i="1" a="1"/>
  <c r="Q7625" i="1" s="1"/>
  <c r="I6295" i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J7626" i="1" l="1" a="1"/>
  <c r="J7626" i="1" s="1"/>
  <c r="N7626" i="1" a="1"/>
  <c r="N7626" i="1" s="1"/>
  <c r="R7626" i="1" a="1"/>
  <c r="R7626" i="1" s="1"/>
  <c r="K7626" i="1" a="1"/>
  <c r="K7626" i="1" s="1"/>
  <c r="P7626" i="1" a="1"/>
  <c r="P7626" i="1" s="1"/>
  <c r="L7626" i="1" a="1"/>
  <c r="L7626" i="1" s="1"/>
  <c r="Q7626" i="1" a="1"/>
  <c r="Q7626" i="1" s="1"/>
  <c r="M7626" i="1" a="1"/>
  <c r="M7626" i="1" s="1"/>
  <c r="S7626" i="1" a="1"/>
  <c r="S7626" i="1" s="1"/>
  <c r="I7626" i="1" a="1"/>
  <c r="I7626" i="1" s="1"/>
  <c r="O7626" i="1" a="1"/>
  <c r="O7626" i="1" s="1"/>
  <c r="B7627" i="1"/>
  <c r="A7629" i="1"/>
  <c r="H7628" i="1"/>
  <c r="I6296" i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I7627" i="1" l="1" a="1"/>
  <c r="I7627" i="1" s="1"/>
  <c r="M7627" i="1" a="1"/>
  <c r="M7627" i="1" s="1"/>
  <c r="Q7627" i="1" a="1"/>
  <c r="Q7627" i="1" s="1"/>
  <c r="N7627" i="1" a="1"/>
  <c r="N7627" i="1" s="1"/>
  <c r="S7627" i="1" a="1"/>
  <c r="S7627" i="1" s="1"/>
  <c r="J7627" i="1" a="1"/>
  <c r="J7627" i="1" s="1"/>
  <c r="O7627" i="1" a="1"/>
  <c r="O7627" i="1" s="1"/>
  <c r="B7628" i="1"/>
  <c r="K7627" i="1" a="1"/>
  <c r="K7627" i="1" s="1"/>
  <c r="P7627" i="1" a="1"/>
  <c r="P7627" i="1" s="1"/>
  <c r="R7627" i="1" a="1"/>
  <c r="R7627" i="1" s="1"/>
  <c r="L7627" i="1" a="1"/>
  <c r="L7627" i="1" s="1"/>
  <c r="A7630" i="1"/>
  <c r="H7629" i="1"/>
  <c r="J6297" i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7628" i="1" l="1" a="1"/>
  <c r="L7628" i="1" s="1"/>
  <c r="P7628" i="1" a="1"/>
  <c r="P7628" i="1" s="1"/>
  <c r="B7629" i="1"/>
  <c r="K7628" i="1" a="1"/>
  <c r="K7628" i="1" s="1"/>
  <c r="Q7628" i="1" a="1"/>
  <c r="Q7628" i="1" s="1"/>
  <c r="M7628" i="1" a="1"/>
  <c r="M7628" i="1" s="1"/>
  <c r="R7628" i="1" a="1"/>
  <c r="R7628" i="1" s="1"/>
  <c r="I7628" i="1" a="1"/>
  <c r="I7628" i="1" s="1"/>
  <c r="N7628" i="1" a="1"/>
  <c r="N7628" i="1" s="1"/>
  <c r="S7628" i="1" a="1"/>
  <c r="S7628" i="1" s="1"/>
  <c r="O7628" i="1" a="1"/>
  <c r="O7628" i="1" s="1"/>
  <c r="J7628" i="1" a="1"/>
  <c r="J7628" i="1" s="1"/>
  <c r="H7630" i="1"/>
  <c r="A7631" i="1"/>
  <c r="L6298" i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K7629" i="1" l="1" a="1"/>
  <c r="K7629" i="1" s="1"/>
  <c r="O7629" i="1" a="1"/>
  <c r="O7629" i="1" s="1"/>
  <c r="S7629" i="1" a="1"/>
  <c r="S7629" i="1" s="1"/>
  <c r="I7629" i="1" a="1"/>
  <c r="I7629" i="1" s="1"/>
  <c r="N7629" i="1" a="1"/>
  <c r="N7629" i="1" s="1"/>
  <c r="B7630" i="1"/>
  <c r="J7629" i="1" a="1"/>
  <c r="J7629" i="1" s="1"/>
  <c r="P7629" i="1" a="1"/>
  <c r="P7629" i="1" s="1"/>
  <c r="L7629" i="1" a="1"/>
  <c r="L7629" i="1" s="1"/>
  <c r="Q7629" i="1" a="1"/>
  <c r="Q7629" i="1" s="1"/>
  <c r="M7629" i="1" a="1"/>
  <c r="M7629" i="1" s="1"/>
  <c r="R7629" i="1" a="1"/>
  <c r="R7629" i="1" s="1"/>
  <c r="A7632" i="1"/>
  <c r="H7631" i="1"/>
  <c r="I6299" i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J7630" i="1" l="1" a="1"/>
  <c r="J7630" i="1" s="1"/>
  <c r="N7630" i="1" a="1"/>
  <c r="N7630" i="1" s="1"/>
  <c r="R7630" i="1" a="1"/>
  <c r="R7630" i="1" s="1"/>
  <c r="L7630" i="1" a="1"/>
  <c r="L7630" i="1" s="1"/>
  <c r="Q7630" i="1" a="1"/>
  <c r="Q7630" i="1" s="1"/>
  <c r="M7630" i="1" a="1"/>
  <c r="M7630" i="1" s="1"/>
  <c r="S7630" i="1" a="1"/>
  <c r="S7630" i="1" s="1"/>
  <c r="I7630" i="1" a="1"/>
  <c r="I7630" i="1" s="1"/>
  <c r="O7630" i="1" a="1"/>
  <c r="O7630" i="1" s="1"/>
  <c r="P7630" i="1" a="1"/>
  <c r="P7630" i="1" s="1"/>
  <c r="B7631" i="1"/>
  <c r="K7630" i="1" a="1"/>
  <c r="K7630" i="1" s="1"/>
  <c r="A7633" i="1"/>
  <c r="H7632" i="1"/>
  <c r="I6300" i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A7634" i="1" l="1"/>
  <c r="H7633" i="1"/>
  <c r="I7631" i="1" a="1"/>
  <c r="I7631" i="1" s="1"/>
  <c r="M7631" i="1" a="1"/>
  <c r="M7631" i="1" s="1"/>
  <c r="Q7631" i="1" a="1"/>
  <c r="Q7631" i="1" s="1"/>
  <c r="J7631" i="1" a="1"/>
  <c r="J7631" i="1" s="1"/>
  <c r="O7631" i="1" a="1"/>
  <c r="O7631" i="1" s="1"/>
  <c r="B7632" i="1"/>
  <c r="K7631" i="1" a="1"/>
  <c r="K7631" i="1" s="1"/>
  <c r="P7631" i="1" a="1"/>
  <c r="P7631" i="1" s="1"/>
  <c r="L7631" i="1" a="1"/>
  <c r="L7631" i="1" s="1"/>
  <c r="R7631" i="1" a="1"/>
  <c r="R7631" i="1" s="1"/>
  <c r="S7631" i="1" a="1"/>
  <c r="S7631" i="1" s="1"/>
  <c r="N7631" i="1" a="1"/>
  <c r="N7631" i="1" s="1"/>
  <c r="J6301" i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H7634" i="1" l="1"/>
  <c r="A7635" i="1"/>
  <c r="L7632" i="1" a="1"/>
  <c r="L7632" i="1" s="1"/>
  <c r="P7632" i="1" a="1"/>
  <c r="P7632" i="1" s="1"/>
  <c r="B7633" i="1"/>
  <c r="M7632" i="1" a="1"/>
  <c r="M7632" i="1" s="1"/>
  <c r="R7632" i="1" a="1"/>
  <c r="R7632" i="1" s="1"/>
  <c r="I7632" i="1" a="1"/>
  <c r="I7632" i="1" s="1"/>
  <c r="N7632" i="1" a="1"/>
  <c r="N7632" i="1" s="1"/>
  <c r="S7632" i="1" a="1"/>
  <c r="S7632" i="1" s="1"/>
  <c r="J7632" i="1" a="1"/>
  <c r="J7632" i="1" s="1"/>
  <c r="O7632" i="1" a="1"/>
  <c r="O7632" i="1" s="1"/>
  <c r="Q7632" i="1" a="1"/>
  <c r="Q7632" i="1" s="1"/>
  <c r="K7632" i="1" a="1"/>
  <c r="K7632" i="1" s="1"/>
  <c r="J6302" i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K7633" i="1" l="1" a="1"/>
  <c r="K7633" i="1" s="1"/>
  <c r="O7633" i="1" a="1"/>
  <c r="O7633" i="1" s="1"/>
  <c r="S7633" i="1" a="1"/>
  <c r="S7633" i="1" s="1"/>
  <c r="J7633" i="1" a="1"/>
  <c r="J7633" i="1" s="1"/>
  <c r="P7633" i="1" a="1"/>
  <c r="P7633" i="1" s="1"/>
  <c r="L7633" i="1" a="1"/>
  <c r="L7633" i="1" s="1"/>
  <c r="Q7633" i="1" a="1"/>
  <c r="Q7633" i="1" s="1"/>
  <c r="M7633" i="1" a="1"/>
  <c r="M7633" i="1" s="1"/>
  <c r="R7633" i="1" a="1"/>
  <c r="R7633" i="1" s="1"/>
  <c r="B7634" i="1"/>
  <c r="I7633" i="1" a="1"/>
  <c r="I7633" i="1" s="1"/>
  <c r="N7633" i="1" a="1"/>
  <c r="N7633" i="1" s="1"/>
  <c r="A7636" i="1"/>
  <c r="H7635" i="1"/>
  <c r="J6303" i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A7637" i="1" l="1"/>
  <c r="H7636" i="1"/>
  <c r="J7634" i="1" a="1"/>
  <c r="J7634" i="1" s="1"/>
  <c r="N7634" i="1" a="1"/>
  <c r="N7634" i="1" s="1"/>
  <c r="R7634" i="1" a="1"/>
  <c r="R7634" i="1" s="1"/>
  <c r="M7634" i="1" a="1"/>
  <c r="M7634" i="1" s="1"/>
  <c r="S7634" i="1" a="1"/>
  <c r="S7634" i="1" s="1"/>
  <c r="I7634" i="1" a="1"/>
  <c r="I7634" i="1" s="1"/>
  <c r="O7634" i="1" a="1"/>
  <c r="O7634" i="1" s="1"/>
  <c r="B7635" i="1"/>
  <c r="K7634" i="1" a="1"/>
  <c r="K7634" i="1" s="1"/>
  <c r="P7634" i="1" a="1"/>
  <c r="P7634" i="1" s="1"/>
  <c r="L7634" i="1" a="1"/>
  <c r="L7634" i="1" s="1"/>
  <c r="Q7634" i="1" a="1"/>
  <c r="Q7634" i="1" s="1"/>
  <c r="L6304" i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H7637" i="1" l="1"/>
  <c r="A7638" i="1"/>
  <c r="I7635" i="1" a="1"/>
  <c r="I7635" i="1" s="1"/>
  <c r="M7635" i="1" a="1"/>
  <c r="M7635" i="1" s="1"/>
  <c r="Q7635" i="1" a="1"/>
  <c r="Q7635" i="1" s="1"/>
  <c r="K7635" i="1" a="1"/>
  <c r="K7635" i="1" s="1"/>
  <c r="P7635" i="1" a="1"/>
  <c r="P7635" i="1" s="1"/>
  <c r="L7635" i="1" a="1"/>
  <c r="L7635" i="1" s="1"/>
  <c r="R7635" i="1" a="1"/>
  <c r="R7635" i="1" s="1"/>
  <c r="N7635" i="1" a="1"/>
  <c r="N7635" i="1" s="1"/>
  <c r="S7635" i="1" a="1"/>
  <c r="S7635" i="1" s="1"/>
  <c r="B7636" i="1"/>
  <c r="J7635" i="1" a="1"/>
  <c r="J7635" i="1" s="1"/>
  <c r="O7635" i="1" a="1"/>
  <c r="O7635" i="1" s="1"/>
  <c r="K6305" i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L7636" i="1" l="1" a="1"/>
  <c r="L7636" i="1" s="1"/>
  <c r="P7636" i="1" a="1"/>
  <c r="P7636" i="1" s="1"/>
  <c r="B7637" i="1"/>
  <c r="I7636" i="1" a="1"/>
  <c r="I7636" i="1" s="1"/>
  <c r="N7636" i="1" a="1"/>
  <c r="N7636" i="1" s="1"/>
  <c r="S7636" i="1" a="1"/>
  <c r="S7636" i="1" s="1"/>
  <c r="J7636" i="1" a="1"/>
  <c r="J7636" i="1" s="1"/>
  <c r="O7636" i="1" a="1"/>
  <c r="O7636" i="1" s="1"/>
  <c r="K7636" i="1" a="1"/>
  <c r="K7636" i="1" s="1"/>
  <c r="Q7636" i="1" a="1"/>
  <c r="Q7636" i="1" s="1"/>
  <c r="M7636" i="1" a="1"/>
  <c r="M7636" i="1" s="1"/>
  <c r="R7636" i="1" a="1"/>
  <c r="R7636" i="1" s="1"/>
  <c r="H7638" i="1"/>
  <c r="A7639" i="1"/>
  <c r="J6306" i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A7640" i="1" l="1"/>
  <c r="H7639" i="1"/>
  <c r="K7637" i="1" a="1"/>
  <c r="K7637" i="1" s="1"/>
  <c r="O7637" i="1" a="1"/>
  <c r="O7637" i="1" s="1"/>
  <c r="S7637" i="1" a="1"/>
  <c r="S7637" i="1" s="1"/>
  <c r="L7637" i="1" a="1"/>
  <c r="L7637" i="1" s="1"/>
  <c r="Q7637" i="1" a="1"/>
  <c r="Q7637" i="1" s="1"/>
  <c r="M7637" i="1" a="1"/>
  <c r="M7637" i="1" s="1"/>
  <c r="R7637" i="1" a="1"/>
  <c r="R7637" i="1" s="1"/>
  <c r="I7637" i="1" a="1"/>
  <c r="I7637" i="1" s="1"/>
  <c r="N7637" i="1" a="1"/>
  <c r="N7637" i="1" s="1"/>
  <c r="P7637" i="1" a="1"/>
  <c r="P7637" i="1" s="1"/>
  <c r="J7637" i="1" a="1"/>
  <c r="J7637" i="1" s="1"/>
  <c r="B7638" i="1"/>
  <c r="I6307" i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J7638" i="1" l="1" a="1"/>
  <c r="J7638" i="1" s="1"/>
  <c r="N7638" i="1" a="1"/>
  <c r="N7638" i="1" s="1"/>
  <c r="R7638" i="1" a="1"/>
  <c r="R7638" i="1" s="1"/>
  <c r="M7638" i="1" a="1"/>
  <c r="M7638" i="1" s="1"/>
  <c r="I7638" i="1" a="1"/>
  <c r="I7638" i="1" s="1"/>
  <c r="S7638" i="1" a="1"/>
  <c r="S7638" i="1" s="1"/>
  <c r="O7638" i="1" a="1"/>
  <c r="O7638" i="1" s="1"/>
  <c r="K7638" i="1" a="1"/>
  <c r="K7638" i="1" s="1"/>
  <c r="L7638" i="1" a="1"/>
  <c r="L7638" i="1" s="1"/>
  <c r="P7638" i="1" a="1"/>
  <c r="P7638" i="1" s="1"/>
  <c r="B7639" i="1"/>
  <c r="Q7638" i="1" a="1"/>
  <c r="Q7638" i="1" s="1"/>
  <c r="A7641" i="1"/>
  <c r="H7640" i="1"/>
  <c r="L6308" i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I7639" i="1" l="1" a="1"/>
  <c r="I7639" i="1" s="1"/>
  <c r="M7639" i="1" a="1"/>
  <c r="M7639" i="1" s="1"/>
  <c r="Q7639" i="1" a="1"/>
  <c r="Q7639" i="1" s="1"/>
  <c r="N7639" i="1" a="1"/>
  <c r="N7639" i="1" s="1"/>
  <c r="J7639" i="1" a="1"/>
  <c r="J7639" i="1" s="1"/>
  <c r="S7639" i="1" a="1"/>
  <c r="S7639" i="1" s="1"/>
  <c r="O7639" i="1" a="1"/>
  <c r="O7639" i="1" s="1"/>
  <c r="K7639" i="1" a="1"/>
  <c r="K7639" i="1" s="1"/>
  <c r="P7639" i="1" a="1"/>
  <c r="P7639" i="1" s="1"/>
  <c r="B7640" i="1"/>
  <c r="L7639" i="1" a="1"/>
  <c r="L7639" i="1" s="1"/>
  <c r="R7639" i="1" a="1"/>
  <c r="R7639" i="1" s="1"/>
  <c r="A7642" i="1"/>
  <c r="H7641" i="1"/>
  <c r="K6309" i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H7642" i="1" l="1"/>
  <c r="A7643" i="1"/>
  <c r="L7640" i="1" a="1"/>
  <c r="L7640" i="1" s="1"/>
  <c r="P7640" i="1" a="1"/>
  <c r="P7640" i="1" s="1"/>
  <c r="J7640" i="1" a="1"/>
  <c r="J7640" i="1" s="1"/>
  <c r="S7640" i="1" a="1"/>
  <c r="S7640" i="1" s="1"/>
  <c r="O7640" i="1" a="1"/>
  <c r="O7640" i="1" s="1"/>
  <c r="K7640" i="1" a="1"/>
  <c r="K7640" i="1" s="1"/>
  <c r="B7641" i="1"/>
  <c r="Q7640" i="1" a="1"/>
  <c r="Q7640" i="1" s="1"/>
  <c r="I7640" i="1" a="1"/>
  <c r="I7640" i="1" s="1"/>
  <c r="M7640" i="1" a="1"/>
  <c r="M7640" i="1" s="1"/>
  <c r="R7640" i="1" a="1"/>
  <c r="R7640" i="1" s="1"/>
  <c r="N7640" i="1" a="1"/>
  <c r="N7640" i="1" s="1"/>
  <c r="K6310" i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H7643" i="1" l="1"/>
  <c r="A7644" i="1"/>
  <c r="K7641" i="1" a="1"/>
  <c r="K7641" i="1" s="1"/>
  <c r="O7641" i="1" a="1"/>
  <c r="O7641" i="1" s="1"/>
  <c r="S7641" i="1" a="1"/>
  <c r="S7641" i="1" s="1"/>
  <c r="P7641" i="1" a="1"/>
  <c r="P7641" i="1" s="1"/>
  <c r="B7642" i="1"/>
  <c r="L7641" i="1" a="1"/>
  <c r="L7641" i="1" s="1"/>
  <c r="Q7641" i="1" a="1"/>
  <c r="Q7641" i="1" s="1"/>
  <c r="M7641" i="1" a="1"/>
  <c r="M7641" i="1" s="1"/>
  <c r="I7641" i="1" a="1"/>
  <c r="I7641" i="1" s="1"/>
  <c r="J7641" i="1" a="1"/>
  <c r="J7641" i="1" s="1"/>
  <c r="R7641" i="1" a="1"/>
  <c r="R7641" i="1" s="1"/>
  <c r="N7641" i="1" a="1"/>
  <c r="N7641" i="1" s="1"/>
  <c r="I6311" i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7642" i="1" l="1" a="1"/>
  <c r="J7642" i="1" s="1"/>
  <c r="N7642" i="1" a="1"/>
  <c r="N7642" i="1" s="1"/>
  <c r="R7642" i="1" a="1"/>
  <c r="R7642" i="1" s="1"/>
  <c r="P7642" i="1" a="1"/>
  <c r="P7642" i="1" s="1"/>
  <c r="B7643" i="1"/>
  <c r="L7642" i="1" a="1"/>
  <c r="L7642" i="1" s="1"/>
  <c r="Q7642" i="1" a="1"/>
  <c r="Q7642" i="1" s="1"/>
  <c r="M7642" i="1" a="1"/>
  <c r="M7642" i="1" s="1"/>
  <c r="I7642" i="1" a="1"/>
  <c r="I7642" i="1" s="1"/>
  <c r="S7642" i="1" a="1"/>
  <c r="S7642" i="1" s="1"/>
  <c r="K7642" i="1" a="1"/>
  <c r="K7642" i="1" s="1"/>
  <c r="O7642" i="1" a="1"/>
  <c r="O7642" i="1" s="1"/>
  <c r="A7645" i="1"/>
  <c r="H7644" i="1"/>
  <c r="J6312" i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A7646" i="1" l="1"/>
  <c r="H7645" i="1"/>
  <c r="I7643" i="1" a="1"/>
  <c r="I7643" i="1" s="1"/>
  <c r="M7643" i="1" a="1"/>
  <c r="M7643" i="1" s="1"/>
  <c r="Q7643" i="1" a="1"/>
  <c r="Q7643" i="1" s="1"/>
  <c r="L7643" i="1" a="1"/>
  <c r="L7643" i="1" s="1"/>
  <c r="R7643" i="1" a="1"/>
  <c r="R7643" i="1" s="1"/>
  <c r="N7643" i="1" a="1"/>
  <c r="N7643" i="1" s="1"/>
  <c r="J7643" i="1" a="1"/>
  <c r="J7643" i="1" s="1"/>
  <c r="S7643" i="1" a="1"/>
  <c r="S7643" i="1" s="1"/>
  <c r="P7643" i="1" a="1"/>
  <c r="P7643" i="1" s="1"/>
  <c r="K7643" i="1" a="1"/>
  <c r="K7643" i="1" s="1"/>
  <c r="B7644" i="1"/>
  <c r="O7643" i="1" a="1"/>
  <c r="O7643" i="1" s="1"/>
  <c r="I6313" i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L7644" i="1" l="1" a="1"/>
  <c r="L7644" i="1" s="1"/>
  <c r="P7644" i="1" a="1"/>
  <c r="P7644" i="1" s="1"/>
  <c r="M7644" i="1" a="1"/>
  <c r="M7644" i="1" s="1"/>
  <c r="I7644" i="1" a="1"/>
  <c r="I7644" i="1" s="1"/>
  <c r="R7644" i="1" a="1"/>
  <c r="R7644" i="1" s="1"/>
  <c r="N7644" i="1" a="1"/>
  <c r="N7644" i="1" s="1"/>
  <c r="J7644" i="1" a="1"/>
  <c r="J7644" i="1" s="1"/>
  <c r="S7644" i="1" a="1"/>
  <c r="S7644" i="1" s="1"/>
  <c r="O7644" i="1" a="1"/>
  <c r="O7644" i="1" s="1"/>
  <c r="Q7644" i="1" a="1"/>
  <c r="Q7644" i="1" s="1"/>
  <c r="B7645" i="1"/>
  <c r="K7644" i="1" a="1"/>
  <c r="K7644" i="1" s="1"/>
  <c r="A7647" i="1"/>
  <c r="H7646" i="1"/>
  <c r="I6314" i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A7648" i="1" l="1"/>
  <c r="H7647" i="1"/>
  <c r="K7645" i="1" a="1"/>
  <c r="K7645" i="1" s="1"/>
  <c r="O7645" i="1" a="1"/>
  <c r="O7645" i="1" s="1"/>
  <c r="S7645" i="1" a="1"/>
  <c r="S7645" i="1" s="1"/>
  <c r="I7645" i="1" a="1"/>
  <c r="I7645" i="1" s="1"/>
  <c r="R7645" i="1" a="1"/>
  <c r="R7645" i="1" s="1"/>
  <c r="N7645" i="1" a="1"/>
  <c r="N7645" i="1" s="1"/>
  <c r="J7645" i="1" a="1"/>
  <c r="J7645" i="1" s="1"/>
  <c r="P7645" i="1" a="1"/>
  <c r="P7645" i="1" s="1"/>
  <c r="B7646" i="1"/>
  <c r="Q7645" i="1" a="1"/>
  <c r="Q7645" i="1" s="1"/>
  <c r="L7645" i="1" a="1"/>
  <c r="L7645" i="1" s="1"/>
  <c r="M7645" i="1" a="1"/>
  <c r="M7645" i="1" s="1"/>
  <c r="K6315" i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J7646" i="1" l="1" a="1"/>
  <c r="J7646" i="1" s="1"/>
  <c r="N7646" i="1" a="1"/>
  <c r="N7646" i="1" s="1"/>
  <c r="R7646" i="1" a="1"/>
  <c r="R7646" i="1" s="1"/>
  <c r="S7646" i="1" a="1"/>
  <c r="S7646" i="1" s="1"/>
  <c r="O7646" i="1" a="1"/>
  <c r="O7646" i="1" s="1"/>
  <c r="K7646" i="1" a="1"/>
  <c r="K7646" i="1" s="1"/>
  <c r="P7646" i="1" a="1"/>
  <c r="P7646" i="1" s="1"/>
  <c r="B7647" i="1"/>
  <c r="L7646" i="1" a="1"/>
  <c r="L7646" i="1" s="1"/>
  <c r="Q7646" i="1" a="1"/>
  <c r="Q7646" i="1" s="1"/>
  <c r="M7646" i="1" a="1"/>
  <c r="M7646" i="1" s="1"/>
  <c r="I7646" i="1" a="1"/>
  <c r="I7646" i="1" s="1"/>
  <c r="A7649" i="1"/>
  <c r="H7648" i="1"/>
  <c r="K6316" i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7647" i="1" l="1" a="1"/>
  <c r="I7647" i="1" s="1"/>
  <c r="M7647" i="1" a="1"/>
  <c r="M7647" i="1" s="1"/>
  <c r="Q7647" i="1" a="1"/>
  <c r="Q7647" i="1" s="1"/>
  <c r="O7647" i="1" a="1"/>
  <c r="O7647" i="1" s="1"/>
  <c r="K7647" i="1" a="1"/>
  <c r="K7647" i="1" s="1"/>
  <c r="P7647" i="1" a="1"/>
  <c r="P7647" i="1" s="1"/>
  <c r="B7648" i="1"/>
  <c r="L7647" i="1" a="1"/>
  <c r="L7647" i="1" s="1"/>
  <c r="N7647" i="1" a="1"/>
  <c r="N7647" i="1" s="1"/>
  <c r="R7647" i="1" a="1"/>
  <c r="R7647" i="1" s="1"/>
  <c r="S7647" i="1" a="1"/>
  <c r="S7647" i="1" s="1"/>
  <c r="J7647" i="1" a="1"/>
  <c r="J7647" i="1" s="1"/>
  <c r="H7649" i="1"/>
  <c r="A7650" i="1"/>
  <c r="I6317" i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H7650" i="1" l="1"/>
  <c r="A7651" i="1"/>
  <c r="L7648" i="1" a="1"/>
  <c r="L7648" i="1" s="1"/>
  <c r="P7648" i="1" a="1"/>
  <c r="P7648" i="1" s="1"/>
  <c r="K7648" i="1" a="1"/>
  <c r="K7648" i="1" s="1"/>
  <c r="B7649" i="1"/>
  <c r="Q7648" i="1" a="1"/>
  <c r="Q7648" i="1" s="1"/>
  <c r="M7648" i="1" a="1"/>
  <c r="M7648" i="1" s="1"/>
  <c r="I7648" i="1" a="1"/>
  <c r="I7648" i="1" s="1"/>
  <c r="R7648" i="1" a="1"/>
  <c r="R7648" i="1" s="1"/>
  <c r="N7648" i="1" a="1"/>
  <c r="N7648" i="1" s="1"/>
  <c r="S7648" i="1" a="1"/>
  <c r="S7648" i="1" s="1"/>
  <c r="O7648" i="1" a="1"/>
  <c r="O7648" i="1" s="1"/>
  <c r="J7648" i="1" a="1"/>
  <c r="J7648" i="1" s="1"/>
  <c r="K6318" i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H7651" i="1" l="1"/>
  <c r="A7652" i="1"/>
  <c r="K7649" i="1" a="1"/>
  <c r="K7649" i="1" s="1"/>
  <c r="O7649" i="1" a="1"/>
  <c r="O7649" i="1" s="1"/>
  <c r="S7649" i="1" a="1"/>
  <c r="S7649" i="1" s="1"/>
  <c r="L7649" i="1" a="1"/>
  <c r="L7649" i="1" s="1"/>
  <c r="Q7649" i="1" a="1"/>
  <c r="Q7649" i="1" s="1"/>
  <c r="M7649" i="1" a="1"/>
  <c r="M7649" i="1" s="1"/>
  <c r="I7649" i="1" a="1"/>
  <c r="I7649" i="1" s="1"/>
  <c r="R7649" i="1" a="1"/>
  <c r="R7649" i="1" s="1"/>
  <c r="N7649" i="1" a="1"/>
  <c r="N7649" i="1" s="1"/>
  <c r="P7649" i="1" a="1"/>
  <c r="P7649" i="1" s="1"/>
  <c r="J7649" i="1" a="1"/>
  <c r="J7649" i="1" s="1"/>
  <c r="B7650" i="1"/>
  <c r="I6319" i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7650" i="1" l="1" a="1"/>
  <c r="J7650" i="1" s="1"/>
  <c r="N7650" i="1" a="1"/>
  <c r="N7650" i="1" s="1"/>
  <c r="R7650" i="1" a="1"/>
  <c r="R7650" i="1" s="1"/>
  <c r="Q7650" i="1" a="1"/>
  <c r="Q7650" i="1" s="1"/>
  <c r="M7650" i="1" a="1"/>
  <c r="M7650" i="1" s="1"/>
  <c r="I7650" i="1" a="1"/>
  <c r="I7650" i="1" s="1"/>
  <c r="S7650" i="1" a="1"/>
  <c r="S7650" i="1" s="1"/>
  <c r="O7650" i="1" a="1"/>
  <c r="O7650" i="1" s="1"/>
  <c r="L7650" i="1" a="1"/>
  <c r="L7650" i="1" s="1"/>
  <c r="P7650" i="1" a="1"/>
  <c r="P7650" i="1" s="1"/>
  <c r="K7650" i="1" a="1"/>
  <c r="K7650" i="1" s="1"/>
  <c r="B7651" i="1"/>
  <c r="H7652" i="1"/>
  <c r="A7653" i="1"/>
  <c r="J6320" i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H7653" i="1" l="1"/>
  <c r="A7654" i="1"/>
  <c r="I7651" i="1" a="1"/>
  <c r="I7651" i="1" s="1"/>
  <c r="M7651" i="1" a="1"/>
  <c r="M7651" i="1" s="1"/>
  <c r="Q7651" i="1" a="1"/>
  <c r="Q7651" i="1" s="1"/>
  <c r="R7651" i="1" a="1"/>
  <c r="R7651" i="1" s="1"/>
  <c r="N7651" i="1" a="1"/>
  <c r="N7651" i="1" s="1"/>
  <c r="J7651" i="1" a="1"/>
  <c r="J7651" i="1" s="1"/>
  <c r="S7651" i="1" a="1"/>
  <c r="S7651" i="1" s="1"/>
  <c r="O7651" i="1" a="1"/>
  <c r="O7651" i="1" s="1"/>
  <c r="K7651" i="1" a="1"/>
  <c r="K7651" i="1" s="1"/>
  <c r="L7651" i="1" a="1"/>
  <c r="L7651" i="1" s="1"/>
  <c r="P7651" i="1" a="1"/>
  <c r="P7651" i="1" s="1"/>
  <c r="B7652" i="1"/>
  <c r="I6321" i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J7652" i="1" l="1" a="1"/>
  <c r="J7652" i="1" s="1"/>
  <c r="N7652" i="1" a="1"/>
  <c r="N7652" i="1" s="1"/>
  <c r="R7652" i="1" a="1"/>
  <c r="R7652" i="1" s="1"/>
  <c r="K7652" i="1" a="1"/>
  <c r="K7652" i="1" s="1"/>
  <c r="O7652" i="1" a="1"/>
  <c r="O7652" i="1" s="1"/>
  <c r="S7652" i="1" a="1"/>
  <c r="S7652" i="1" s="1"/>
  <c r="I7652" i="1" a="1"/>
  <c r="I7652" i="1" s="1"/>
  <c r="B7653" i="1"/>
  <c r="P7652" i="1" a="1"/>
  <c r="P7652" i="1" s="1"/>
  <c r="L7652" i="1" a="1"/>
  <c r="L7652" i="1" s="1"/>
  <c r="M7652" i="1" a="1"/>
  <c r="M7652" i="1" s="1"/>
  <c r="Q7652" i="1" a="1"/>
  <c r="Q7652" i="1" s="1"/>
  <c r="A7655" i="1"/>
  <c r="H7654" i="1"/>
  <c r="L6322" i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B7654" i="1" l="1"/>
  <c r="I7653" i="1" a="1"/>
  <c r="I7653" i="1" s="1"/>
  <c r="M7653" i="1" a="1"/>
  <c r="M7653" i="1" s="1"/>
  <c r="Q7653" i="1" a="1"/>
  <c r="Q7653" i="1" s="1"/>
  <c r="J7653" i="1" a="1"/>
  <c r="J7653" i="1" s="1"/>
  <c r="N7653" i="1" a="1"/>
  <c r="N7653" i="1" s="1"/>
  <c r="R7653" i="1" a="1"/>
  <c r="R7653" i="1" s="1"/>
  <c r="S7653" i="1" a="1"/>
  <c r="S7653" i="1" s="1"/>
  <c r="K7653" i="1" a="1"/>
  <c r="K7653" i="1" s="1"/>
  <c r="L7653" i="1" a="1"/>
  <c r="L7653" i="1" s="1"/>
  <c r="P7653" i="1" a="1"/>
  <c r="P7653" i="1" s="1"/>
  <c r="O7653" i="1" a="1"/>
  <c r="O7653" i="1" s="1"/>
  <c r="A7656" i="1"/>
  <c r="H7655" i="1"/>
  <c r="O6323" i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H7656" i="1" l="1"/>
  <c r="A7657" i="1"/>
  <c r="L7654" i="1" a="1"/>
  <c r="L7654" i="1" s="1"/>
  <c r="P7654" i="1" a="1"/>
  <c r="P7654" i="1" s="1"/>
  <c r="B7655" i="1"/>
  <c r="I7654" i="1" a="1"/>
  <c r="I7654" i="1" s="1"/>
  <c r="M7654" i="1" a="1"/>
  <c r="M7654" i="1" s="1"/>
  <c r="Q7654" i="1" a="1"/>
  <c r="Q7654" i="1" s="1"/>
  <c r="O7654" i="1" a="1"/>
  <c r="O7654" i="1" s="1"/>
  <c r="R7654" i="1" a="1"/>
  <c r="R7654" i="1" s="1"/>
  <c r="J7654" i="1" a="1"/>
  <c r="J7654" i="1" s="1"/>
  <c r="S7654" i="1" a="1"/>
  <c r="S7654" i="1" s="1"/>
  <c r="K7654" i="1" a="1"/>
  <c r="K7654" i="1" s="1"/>
  <c r="N7654" i="1" a="1"/>
  <c r="N7654" i="1" s="1"/>
  <c r="I6324" i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K7655" i="1" l="1" a="1"/>
  <c r="K7655" i="1" s="1"/>
  <c r="O7655" i="1" a="1"/>
  <c r="O7655" i="1" s="1"/>
  <c r="S7655" i="1" a="1"/>
  <c r="S7655" i="1" s="1"/>
  <c r="L7655" i="1" a="1"/>
  <c r="L7655" i="1" s="1"/>
  <c r="P7655" i="1" a="1"/>
  <c r="P7655" i="1" s="1"/>
  <c r="B7656" i="1"/>
  <c r="N7655" i="1" a="1"/>
  <c r="N7655" i="1" s="1"/>
  <c r="Q7655" i="1" a="1"/>
  <c r="Q7655" i="1" s="1"/>
  <c r="I7655" i="1" a="1"/>
  <c r="I7655" i="1" s="1"/>
  <c r="R7655" i="1" a="1"/>
  <c r="R7655" i="1" s="1"/>
  <c r="J7655" i="1" a="1"/>
  <c r="J7655" i="1" s="1"/>
  <c r="M7655" i="1" a="1"/>
  <c r="M7655" i="1" s="1"/>
  <c r="H7657" i="1"/>
  <c r="A7658" i="1"/>
  <c r="I6325" i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A7659" i="1" l="1"/>
  <c r="H7658" i="1"/>
  <c r="J7656" i="1" a="1"/>
  <c r="J7656" i="1" s="1"/>
  <c r="N7656" i="1" a="1"/>
  <c r="N7656" i="1" s="1"/>
  <c r="R7656" i="1" a="1"/>
  <c r="R7656" i="1" s="1"/>
  <c r="K7656" i="1" a="1"/>
  <c r="K7656" i="1" s="1"/>
  <c r="O7656" i="1" a="1"/>
  <c r="O7656" i="1" s="1"/>
  <c r="S7656" i="1" a="1"/>
  <c r="S7656" i="1" s="1"/>
  <c r="L7656" i="1" a="1"/>
  <c r="L7656" i="1" s="1"/>
  <c r="M7656" i="1" a="1"/>
  <c r="M7656" i="1" s="1"/>
  <c r="P7656" i="1" a="1"/>
  <c r="P7656" i="1" s="1"/>
  <c r="I7656" i="1" a="1"/>
  <c r="I7656" i="1" s="1"/>
  <c r="Q7656" i="1" a="1"/>
  <c r="Q7656" i="1" s="1"/>
  <c r="B7657" i="1"/>
  <c r="J6326" i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B7658" i="1" l="1"/>
  <c r="I7657" i="1" a="1"/>
  <c r="I7657" i="1" s="1"/>
  <c r="M7657" i="1" a="1"/>
  <c r="M7657" i="1" s="1"/>
  <c r="Q7657" i="1" a="1"/>
  <c r="Q7657" i="1" s="1"/>
  <c r="J7657" i="1" a="1"/>
  <c r="J7657" i="1" s="1"/>
  <c r="N7657" i="1" a="1"/>
  <c r="N7657" i="1" s="1"/>
  <c r="R7657" i="1" a="1"/>
  <c r="R7657" i="1" s="1"/>
  <c r="K7657" i="1" a="1"/>
  <c r="K7657" i="1" s="1"/>
  <c r="O7657" i="1" a="1"/>
  <c r="O7657" i="1" s="1"/>
  <c r="L7657" i="1" a="1"/>
  <c r="L7657" i="1" s="1"/>
  <c r="P7657" i="1" a="1"/>
  <c r="P7657" i="1" s="1"/>
  <c r="S7657" i="1" a="1"/>
  <c r="S7657" i="1" s="1"/>
  <c r="A7660" i="1"/>
  <c r="H7659" i="1"/>
  <c r="J6327" i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A7661" i="1" l="1"/>
  <c r="H7660" i="1"/>
  <c r="L7658" i="1" a="1"/>
  <c r="L7658" i="1" s="1"/>
  <c r="P7658" i="1" a="1"/>
  <c r="P7658" i="1" s="1"/>
  <c r="B7659" i="1"/>
  <c r="I7658" i="1" a="1"/>
  <c r="I7658" i="1" s="1"/>
  <c r="M7658" i="1" a="1"/>
  <c r="M7658" i="1" s="1"/>
  <c r="Q7658" i="1" a="1"/>
  <c r="Q7658" i="1" s="1"/>
  <c r="R7658" i="1" a="1"/>
  <c r="R7658" i="1" s="1"/>
  <c r="J7658" i="1" a="1"/>
  <c r="J7658" i="1" s="1"/>
  <c r="S7658" i="1" a="1"/>
  <c r="S7658" i="1" s="1"/>
  <c r="K7658" i="1" a="1"/>
  <c r="K7658" i="1" s="1"/>
  <c r="N7658" i="1" a="1"/>
  <c r="N7658" i="1" s="1"/>
  <c r="O7658" i="1" a="1"/>
  <c r="O7658" i="1" s="1"/>
  <c r="I6328" i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K7659" i="1" l="1" a="1"/>
  <c r="K7659" i="1" s="1"/>
  <c r="O7659" i="1" a="1"/>
  <c r="O7659" i="1" s="1"/>
  <c r="S7659" i="1" a="1"/>
  <c r="S7659" i="1" s="1"/>
  <c r="L7659" i="1" a="1"/>
  <c r="L7659" i="1" s="1"/>
  <c r="P7659" i="1" a="1"/>
  <c r="P7659" i="1" s="1"/>
  <c r="B7660" i="1"/>
  <c r="N7659" i="1" a="1"/>
  <c r="N7659" i="1" s="1"/>
  <c r="Q7659" i="1" a="1"/>
  <c r="Q7659" i="1" s="1"/>
  <c r="I7659" i="1" a="1"/>
  <c r="I7659" i="1" s="1"/>
  <c r="R7659" i="1" a="1"/>
  <c r="R7659" i="1" s="1"/>
  <c r="J7659" i="1" a="1"/>
  <c r="J7659" i="1" s="1"/>
  <c r="M7659" i="1" a="1"/>
  <c r="M7659" i="1" s="1"/>
  <c r="H7661" i="1"/>
  <c r="A7662" i="1"/>
  <c r="J6329" i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A7663" i="1" l="1"/>
  <c r="H7662" i="1"/>
  <c r="J7660" i="1" a="1"/>
  <c r="J7660" i="1" s="1"/>
  <c r="N7660" i="1" a="1"/>
  <c r="N7660" i="1" s="1"/>
  <c r="R7660" i="1" a="1"/>
  <c r="R7660" i="1" s="1"/>
  <c r="K7660" i="1" a="1"/>
  <c r="K7660" i="1" s="1"/>
  <c r="O7660" i="1" a="1"/>
  <c r="O7660" i="1" s="1"/>
  <c r="S7660" i="1" a="1"/>
  <c r="S7660" i="1" s="1"/>
  <c r="M7660" i="1" a="1"/>
  <c r="M7660" i="1" s="1"/>
  <c r="P7660" i="1" a="1"/>
  <c r="P7660" i="1" s="1"/>
  <c r="Q7660" i="1" a="1"/>
  <c r="Q7660" i="1" s="1"/>
  <c r="L7660" i="1" a="1"/>
  <c r="L7660" i="1" s="1"/>
  <c r="B7661" i="1"/>
  <c r="I7660" i="1" a="1"/>
  <c r="I7660" i="1" s="1"/>
  <c r="J6330" i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B7662" i="1" l="1"/>
  <c r="I7661" i="1" a="1"/>
  <c r="I7661" i="1" s="1"/>
  <c r="M7661" i="1" a="1"/>
  <c r="M7661" i="1" s="1"/>
  <c r="Q7661" i="1" a="1"/>
  <c r="Q7661" i="1" s="1"/>
  <c r="J7661" i="1" a="1"/>
  <c r="J7661" i="1" s="1"/>
  <c r="N7661" i="1" a="1"/>
  <c r="N7661" i="1" s="1"/>
  <c r="R7661" i="1" a="1"/>
  <c r="R7661" i="1" s="1"/>
  <c r="K7661" i="1" a="1"/>
  <c r="K7661" i="1" s="1"/>
  <c r="L7661" i="1" a="1"/>
  <c r="L7661" i="1" s="1"/>
  <c r="O7661" i="1" a="1"/>
  <c r="O7661" i="1" s="1"/>
  <c r="P7661" i="1" a="1"/>
  <c r="P7661" i="1" s="1"/>
  <c r="S7661" i="1" a="1"/>
  <c r="S7661" i="1" s="1"/>
  <c r="A7664" i="1"/>
  <c r="H7663" i="1"/>
  <c r="I6331" i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H7664" i="1" l="1"/>
  <c r="A7665" i="1"/>
  <c r="L7662" i="1" a="1"/>
  <c r="L7662" i="1" s="1"/>
  <c r="P7662" i="1" a="1"/>
  <c r="P7662" i="1" s="1"/>
  <c r="B7663" i="1"/>
  <c r="I7662" i="1" a="1"/>
  <c r="I7662" i="1" s="1"/>
  <c r="M7662" i="1" a="1"/>
  <c r="M7662" i="1" s="1"/>
  <c r="Q7662" i="1" a="1"/>
  <c r="Q7662" i="1" s="1"/>
  <c r="J7662" i="1" a="1"/>
  <c r="J7662" i="1" s="1"/>
  <c r="S7662" i="1" a="1"/>
  <c r="S7662" i="1" s="1"/>
  <c r="K7662" i="1" a="1"/>
  <c r="K7662" i="1" s="1"/>
  <c r="N7662" i="1" a="1"/>
  <c r="N7662" i="1" s="1"/>
  <c r="O7662" i="1" a="1"/>
  <c r="O7662" i="1" s="1"/>
  <c r="R7662" i="1" a="1"/>
  <c r="R7662" i="1" s="1"/>
  <c r="I6332" i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7663" i="1" l="1" a="1"/>
  <c r="K7663" i="1" s="1"/>
  <c r="O7663" i="1" a="1"/>
  <c r="O7663" i="1" s="1"/>
  <c r="S7663" i="1" a="1"/>
  <c r="S7663" i="1" s="1"/>
  <c r="L7663" i="1" a="1"/>
  <c r="L7663" i="1" s="1"/>
  <c r="P7663" i="1" a="1"/>
  <c r="P7663" i="1" s="1"/>
  <c r="B7664" i="1"/>
  <c r="Q7663" i="1" a="1"/>
  <c r="Q7663" i="1" s="1"/>
  <c r="J7663" i="1" a="1"/>
  <c r="J7663" i="1" s="1"/>
  <c r="I7663" i="1" a="1"/>
  <c r="I7663" i="1" s="1"/>
  <c r="R7663" i="1" a="1"/>
  <c r="R7663" i="1" s="1"/>
  <c r="N7663" i="1" a="1"/>
  <c r="N7663" i="1" s="1"/>
  <c r="M7663" i="1" a="1"/>
  <c r="M7663" i="1" s="1"/>
  <c r="H7665" i="1"/>
  <c r="A7666" i="1"/>
  <c r="K6333" i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A7667" i="1" l="1"/>
  <c r="H7666" i="1"/>
  <c r="J7664" i="1" a="1"/>
  <c r="J7664" i="1" s="1"/>
  <c r="N7664" i="1" a="1"/>
  <c r="N7664" i="1" s="1"/>
  <c r="R7664" i="1" a="1"/>
  <c r="R7664" i="1" s="1"/>
  <c r="K7664" i="1" a="1"/>
  <c r="K7664" i="1" s="1"/>
  <c r="O7664" i="1" a="1"/>
  <c r="O7664" i="1" s="1"/>
  <c r="S7664" i="1" a="1"/>
  <c r="S7664" i="1" s="1"/>
  <c r="M7664" i="1" a="1"/>
  <c r="M7664" i="1" s="1"/>
  <c r="P7664" i="1" a="1"/>
  <c r="P7664" i="1" s="1"/>
  <c r="Q7664" i="1" a="1"/>
  <c r="Q7664" i="1" s="1"/>
  <c r="B7665" i="1"/>
  <c r="I7664" i="1" a="1"/>
  <c r="I7664" i="1" s="1"/>
  <c r="L7664" i="1" a="1"/>
  <c r="L7664" i="1" s="1"/>
  <c r="I6334" i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B7666" i="1" l="1"/>
  <c r="I7665" i="1" a="1"/>
  <c r="I7665" i="1" s="1"/>
  <c r="M7665" i="1" a="1"/>
  <c r="M7665" i="1" s="1"/>
  <c r="Q7665" i="1" a="1"/>
  <c r="Q7665" i="1" s="1"/>
  <c r="J7665" i="1" a="1"/>
  <c r="J7665" i="1" s="1"/>
  <c r="N7665" i="1" a="1"/>
  <c r="N7665" i="1" s="1"/>
  <c r="R7665" i="1" a="1"/>
  <c r="R7665" i="1" s="1"/>
  <c r="P7665" i="1" a="1"/>
  <c r="P7665" i="1" s="1"/>
  <c r="L7665" i="1" a="1"/>
  <c r="L7665" i="1" s="1"/>
  <c r="O7665" i="1" a="1"/>
  <c r="O7665" i="1" s="1"/>
  <c r="K7665" i="1" a="1"/>
  <c r="K7665" i="1" s="1"/>
  <c r="S7665" i="1" a="1"/>
  <c r="S7665" i="1" s="1"/>
  <c r="A7668" i="1"/>
  <c r="H7667" i="1"/>
  <c r="K6335" i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H7668" i="1" l="1"/>
  <c r="A7669" i="1"/>
  <c r="L7666" i="1" a="1"/>
  <c r="L7666" i="1" s="1"/>
  <c r="P7666" i="1" a="1"/>
  <c r="P7666" i="1" s="1"/>
  <c r="B7667" i="1"/>
  <c r="I7666" i="1" a="1"/>
  <c r="I7666" i="1" s="1"/>
  <c r="M7666" i="1" a="1"/>
  <c r="M7666" i="1" s="1"/>
  <c r="Q7666" i="1" a="1"/>
  <c r="Q7666" i="1" s="1"/>
  <c r="J7666" i="1" a="1"/>
  <c r="J7666" i="1" s="1"/>
  <c r="S7666" i="1" a="1"/>
  <c r="S7666" i="1" s="1"/>
  <c r="K7666" i="1" a="1"/>
  <c r="K7666" i="1" s="1"/>
  <c r="N7666" i="1" a="1"/>
  <c r="N7666" i="1" s="1"/>
  <c r="R7666" i="1" a="1"/>
  <c r="R7666" i="1" s="1"/>
  <c r="O7666" i="1" a="1"/>
  <c r="O7666" i="1" s="1"/>
  <c r="I6336" i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K7667" i="1" l="1" a="1"/>
  <c r="K7667" i="1" s="1"/>
  <c r="O7667" i="1" a="1"/>
  <c r="O7667" i="1" s="1"/>
  <c r="S7667" i="1" a="1"/>
  <c r="S7667" i="1" s="1"/>
  <c r="L7667" i="1" a="1"/>
  <c r="L7667" i="1" s="1"/>
  <c r="P7667" i="1" a="1"/>
  <c r="P7667" i="1" s="1"/>
  <c r="B7668" i="1"/>
  <c r="I7667" i="1" a="1"/>
  <c r="I7667" i="1" s="1"/>
  <c r="R7667" i="1" a="1"/>
  <c r="R7667" i="1" s="1"/>
  <c r="M7667" i="1" a="1"/>
  <c r="M7667" i="1" s="1"/>
  <c r="J7667" i="1" a="1"/>
  <c r="J7667" i="1" s="1"/>
  <c r="N7667" i="1" a="1"/>
  <c r="N7667" i="1" s="1"/>
  <c r="Q7667" i="1" a="1"/>
  <c r="Q7667" i="1" s="1"/>
  <c r="H7669" i="1"/>
  <c r="A7670" i="1"/>
  <c r="L6337" i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A7671" i="1" l="1"/>
  <c r="H7670" i="1"/>
  <c r="J7668" i="1" a="1"/>
  <c r="J7668" i="1" s="1"/>
  <c r="N7668" i="1" a="1"/>
  <c r="N7668" i="1" s="1"/>
  <c r="R7668" i="1" a="1"/>
  <c r="R7668" i="1" s="1"/>
  <c r="K7668" i="1" a="1"/>
  <c r="K7668" i="1" s="1"/>
  <c r="O7668" i="1" a="1"/>
  <c r="O7668" i="1" s="1"/>
  <c r="S7668" i="1" a="1"/>
  <c r="S7668" i="1" s="1"/>
  <c r="P7668" i="1" a="1"/>
  <c r="P7668" i="1" s="1"/>
  <c r="I7668" i="1" a="1"/>
  <c r="I7668" i="1" s="1"/>
  <c r="Q7668" i="1" a="1"/>
  <c r="Q7668" i="1" s="1"/>
  <c r="B7669" i="1"/>
  <c r="L7668" i="1" a="1"/>
  <c r="L7668" i="1" s="1"/>
  <c r="M7668" i="1" a="1"/>
  <c r="M7668" i="1" s="1"/>
  <c r="J6338" i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B7670" i="1" l="1"/>
  <c r="I7669" i="1" a="1"/>
  <c r="I7669" i="1" s="1"/>
  <c r="M7669" i="1" a="1"/>
  <c r="M7669" i="1" s="1"/>
  <c r="Q7669" i="1" a="1"/>
  <c r="Q7669" i="1" s="1"/>
  <c r="J7669" i="1" a="1"/>
  <c r="J7669" i="1" s="1"/>
  <c r="N7669" i="1" a="1"/>
  <c r="N7669" i="1" s="1"/>
  <c r="R7669" i="1" a="1"/>
  <c r="R7669" i="1" s="1"/>
  <c r="L7669" i="1" a="1"/>
  <c r="L7669" i="1" s="1"/>
  <c r="S7669" i="1" a="1"/>
  <c r="S7669" i="1" s="1"/>
  <c r="O7669" i="1" a="1"/>
  <c r="O7669" i="1" s="1"/>
  <c r="P7669" i="1" a="1"/>
  <c r="P7669" i="1" s="1"/>
  <c r="K7669" i="1" a="1"/>
  <c r="K7669" i="1" s="1"/>
  <c r="A7672" i="1"/>
  <c r="H7671" i="1"/>
  <c r="I6339" i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L7670" i="1" l="1" a="1"/>
  <c r="L7670" i="1" s="1"/>
  <c r="P7670" i="1" a="1"/>
  <c r="P7670" i="1" s="1"/>
  <c r="B7671" i="1"/>
  <c r="I7670" i="1" a="1"/>
  <c r="I7670" i="1" s="1"/>
  <c r="M7670" i="1" a="1"/>
  <c r="M7670" i="1" s="1"/>
  <c r="Q7670" i="1" a="1"/>
  <c r="Q7670" i="1" s="1"/>
  <c r="K7670" i="1" a="1"/>
  <c r="K7670" i="1" s="1"/>
  <c r="N7670" i="1" a="1"/>
  <c r="N7670" i="1" s="1"/>
  <c r="O7670" i="1" a="1"/>
  <c r="O7670" i="1" s="1"/>
  <c r="S7670" i="1" a="1"/>
  <c r="S7670" i="1" s="1"/>
  <c r="R7670" i="1" a="1"/>
  <c r="R7670" i="1" s="1"/>
  <c r="J7670" i="1" a="1"/>
  <c r="J7670" i="1" s="1"/>
  <c r="H7672" i="1"/>
  <c r="A7673" i="1"/>
  <c r="I6340" i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H7673" i="1" l="1"/>
  <c r="A7674" i="1"/>
  <c r="K7671" i="1" a="1"/>
  <c r="K7671" i="1" s="1"/>
  <c r="O7671" i="1" a="1"/>
  <c r="O7671" i="1" s="1"/>
  <c r="S7671" i="1" a="1"/>
  <c r="S7671" i="1" s="1"/>
  <c r="L7671" i="1" a="1"/>
  <c r="L7671" i="1" s="1"/>
  <c r="P7671" i="1" a="1"/>
  <c r="P7671" i="1" s="1"/>
  <c r="B7672" i="1"/>
  <c r="I7671" i="1" a="1"/>
  <c r="I7671" i="1" s="1"/>
  <c r="R7671" i="1" a="1"/>
  <c r="R7671" i="1" s="1"/>
  <c r="J7671" i="1" a="1"/>
  <c r="J7671" i="1" s="1"/>
  <c r="M7671" i="1" a="1"/>
  <c r="M7671" i="1" s="1"/>
  <c r="N7671" i="1" a="1"/>
  <c r="N7671" i="1" s="1"/>
  <c r="Q7671" i="1" a="1"/>
  <c r="Q7671" i="1" s="1"/>
  <c r="K6341" i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J7672" i="1" l="1" a="1"/>
  <c r="J7672" i="1" s="1"/>
  <c r="N7672" i="1" a="1"/>
  <c r="N7672" i="1" s="1"/>
  <c r="R7672" i="1" a="1"/>
  <c r="R7672" i="1" s="1"/>
  <c r="K7672" i="1" a="1"/>
  <c r="K7672" i="1" s="1"/>
  <c r="O7672" i="1" a="1"/>
  <c r="O7672" i="1" s="1"/>
  <c r="S7672" i="1" a="1"/>
  <c r="S7672" i="1" s="1"/>
  <c r="L7672" i="1" a="1"/>
  <c r="L7672" i="1" s="1"/>
  <c r="Q7672" i="1" a="1"/>
  <c r="Q7672" i="1" s="1"/>
  <c r="I7672" i="1" a="1"/>
  <c r="I7672" i="1" s="1"/>
  <c r="B7673" i="1"/>
  <c r="P7672" i="1" a="1"/>
  <c r="P7672" i="1" s="1"/>
  <c r="M7672" i="1" a="1"/>
  <c r="M7672" i="1" s="1"/>
  <c r="A7675" i="1"/>
  <c r="H7674" i="1"/>
  <c r="K6342" i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A7676" i="1" l="1"/>
  <c r="H7675" i="1"/>
  <c r="B7674" i="1"/>
  <c r="I7673" i="1" a="1"/>
  <c r="I7673" i="1" s="1"/>
  <c r="M7673" i="1" a="1"/>
  <c r="M7673" i="1" s="1"/>
  <c r="Q7673" i="1" a="1"/>
  <c r="Q7673" i="1" s="1"/>
  <c r="J7673" i="1" a="1"/>
  <c r="J7673" i="1" s="1"/>
  <c r="N7673" i="1" a="1"/>
  <c r="N7673" i="1" s="1"/>
  <c r="R7673" i="1" a="1"/>
  <c r="R7673" i="1" s="1"/>
  <c r="O7673" i="1" a="1"/>
  <c r="O7673" i="1" s="1"/>
  <c r="P7673" i="1" a="1"/>
  <c r="P7673" i="1" s="1"/>
  <c r="S7673" i="1" a="1"/>
  <c r="S7673" i="1" s="1"/>
  <c r="L7673" i="1" a="1"/>
  <c r="L7673" i="1" s="1"/>
  <c r="K7673" i="1" a="1"/>
  <c r="K7673" i="1" s="1"/>
  <c r="I6343" i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L7674" i="1" l="1" a="1"/>
  <c r="L7674" i="1" s="1"/>
  <c r="P7674" i="1" a="1"/>
  <c r="P7674" i="1" s="1"/>
  <c r="B7675" i="1"/>
  <c r="I7674" i="1" a="1"/>
  <c r="I7674" i="1" s="1"/>
  <c r="M7674" i="1" a="1"/>
  <c r="M7674" i="1" s="1"/>
  <c r="Q7674" i="1" a="1"/>
  <c r="Q7674" i="1" s="1"/>
  <c r="K7674" i="1" a="1"/>
  <c r="K7674" i="1" s="1"/>
  <c r="R7674" i="1" a="1"/>
  <c r="R7674" i="1" s="1"/>
  <c r="N7674" i="1" a="1"/>
  <c r="N7674" i="1" s="1"/>
  <c r="O7674" i="1" a="1"/>
  <c r="O7674" i="1" s="1"/>
  <c r="S7674" i="1" a="1"/>
  <c r="S7674" i="1" s="1"/>
  <c r="J7674" i="1" a="1"/>
  <c r="J7674" i="1" s="1"/>
  <c r="H7676" i="1"/>
  <c r="A7677" i="1"/>
  <c r="J6344" i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H7677" i="1" l="1"/>
  <c r="A7678" i="1"/>
  <c r="K7675" i="1" a="1"/>
  <c r="K7675" i="1" s="1"/>
  <c r="O7675" i="1" a="1"/>
  <c r="O7675" i="1" s="1"/>
  <c r="S7675" i="1" a="1"/>
  <c r="S7675" i="1" s="1"/>
  <c r="L7675" i="1" a="1"/>
  <c r="L7675" i="1" s="1"/>
  <c r="P7675" i="1" a="1"/>
  <c r="P7675" i="1" s="1"/>
  <c r="B7676" i="1"/>
  <c r="J7675" i="1" a="1"/>
  <c r="J7675" i="1" s="1"/>
  <c r="M7675" i="1" a="1"/>
  <c r="M7675" i="1" s="1"/>
  <c r="N7675" i="1" a="1"/>
  <c r="N7675" i="1" s="1"/>
  <c r="Q7675" i="1" a="1"/>
  <c r="Q7675" i="1" s="1"/>
  <c r="R7675" i="1" a="1"/>
  <c r="R7675" i="1" s="1"/>
  <c r="I7675" i="1" a="1"/>
  <c r="I7675" i="1" s="1"/>
  <c r="I6345" i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A7679" i="1" l="1"/>
  <c r="H7678" i="1"/>
  <c r="J7676" i="1" a="1"/>
  <c r="J7676" i="1" s="1"/>
  <c r="N7676" i="1" a="1"/>
  <c r="N7676" i="1" s="1"/>
  <c r="R7676" i="1" a="1"/>
  <c r="R7676" i="1" s="1"/>
  <c r="K7676" i="1" a="1"/>
  <c r="K7676" i="1" s="1"/>
  <c r="O7676" i="1" a="1"/>
  <c r="O7676" i="1" s="1"/>
  <c r="S7676" i="1" a="1"/>
  <c r="S7676" i="1" s="1"/>
  <c r="Q7676" i="1" a="1"/>
  <c r="Q7676" i="1" s="1"/>
  <c r="I7676" i="1" a="1"/>
  <c r="I7676" i="1" s="1"/>
  <c r="B7677" i="1"/>
  <c r="L7676" i="1" a="1"/>
  <c r="L7676" i="1" s="1"/>
  <c r="M7676" i="1" a="1"/>
  <c r="M7676" i="1" s="1"/>
  <c r="P7676" i="1" a="1"/>
  <c r="P7676" i="1" s="1"/>
  <c r="J6346" i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B7678" i="1" l="1"/>
  <c r="I7677" i="1" a="1"/>
  <c r="I7677" i="1" s="1"/>
  <c r="M7677" i="1" a="1"/>
  <c r="M7677" i="1" s="1"/>
  <c r="Q7677" i="1" a="1"/>
  <c r="Q7677" i="1" s="1"/>
  <c r="J7677" i="1" a="1"/>
  <c r="J7677" i="1" s="1"/>
  <c r="N7677" i="1" a="1"/>
  <c r="N7677" i="1" s="1"/>
  <c r="R7677" i="1" a="1"/>
  <c r="R7677" i="1" s="1"/>
  <c r="K7677" i="1" a="1"/>
  <c r="K7677" i="1" s="1"/>
  <c r="P7677" i="1" a="1"/>
  <c r="P7677" i="1" s="1"/>
  <c r="S7677" i="1" a="1"/>
  <c r="S7677" i="1" s="1"/>
  <c r="O7677" i="1" a="1"/>
  <c r="O7677" i="1" s="1"/>
  <c r="L7677" i="1" a="1"/>
  <c r="L7677" i="1" s="1"/>
  <c r="A7680" i="1"/>
  <c r="H7679" i="1"/>
  <c r="K6347" i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H7680" i="1" l="1"/>
  <c r="A7681" i="1"/>
  <c r="L7678" i="1" a="1"/>
  <c r="L7678" i="1" s="1"/>
  <c r="P7678" i="1" a="1"/>
  <c r="P7678" i="1" s="1"/>
  <c r="B7679" i="1"/>
  <c r="I7678" i="1" a="1"/>
  <c r="I7678" i="1" s="1"/>
  <c r="M7678" i="1" a="1"/>
  <c r="M7678" i="1" s="1"/>
  <c r="Q7678" i="1" a="1"/>
  <c r="Q7678" i="1" s="1"/>
  <c r="N7678" i="1" a="1"/>
  <c r="N7678" i="1" s="1"/>
  <c r="O7678" i="1" a="1"/>
  <c r="O7678" i="1" s="1"/>
  <c r="R7678" i="1" a="1"/>
  <c r="R7678" i="1" s="1"/>
  <c r="J7678" i="1" a="1"/>
  <c r="J7678" i="1" s="1"/>
  <c r="K7678" i="1" a="1"/>
  <c r="K7678" i="1" s="1"/>
  <c r="S7678" i="1" a="1"/>
  <c r="S7678" i="1" s="1"/>
  <c r="I6348" i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K7679" i="1" l="1" a="1"/>
  <c r="K7679" i="1" s="1"/>
  <c r="O7679" i="1" a="1"/>
  <c r="O7679" i="1" s="1"/>
  <c r="S7679" i="1" a="1"/>
  <c r="S7679" i="1" s="1"/>
  <c r="L7679" i="1" a="1"/>
  <c r="L7679" i="1" s="1"/>
  <c r="P7679" i="1" a="1"/>
  <c r="P7679" i="1" s="1"/>
  <c r="B7680" i="1"/>
  <c r="J7679" i="1" a="1"/>
  <c r="J7679" i="1" s="1"/>
  <c r="M7679" i="1" a="1"/>
  <c r="M7679" i="1" s="1"/>
  <c r="N7679" i="1" a="1"/>
  <c r="N7679" i="1" s="1"/>
  <c r="Q7679" i="1" a="1"/>
  <c r="Q7679" i="1" s="1"/>
  <c r="R7679" i="1" a="1"/>
  <c r="R7679" i="1" s="1"/>
  <c r="I7679" i="1" a="1"/>
  <c r="I7679" i="1" s="1"/>
  <c r="H7681" i="1"/>
  <c r="A7682" i="1"/>
  <c r="L6349" i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A7683" i="1" l="1"/>
  <c r="H7682" i="1"/>
  <c r="J7680" i="1" a="1"/>
  <c r="J7680" i="1" s="1"/>
  <c r="N7680" i="1" a="1"/>
  <c r="N7680" i="1" s="1"/>
  <c r="R7680" i="1" a="1"/>
  <c r="R7680" i="1" s="1"/>
  <c r="I7680" i="1" a="1"/>
  <c r="I7680" i="1" s="1"/>
  <c r="Q7680" i="1" a="1"/>
  <c r="Q7680" i="1" s="1"/>
  <c r="K7680" i="1" a="1"/>
  <c r="K7680" i="1" s="1"/>
  <c r="S7680" i="1" a="1"/>
  <c r="S7680" i="1" s="1"/>
  <c r="B7681" i="1"/>
  <c r="L7680" i="1" a="1"/>
  <c r="L7680" i="1" s="1"/>
  <c r="M7680" i="1" a="1"/>
  <c r="M7680" i="1" s="1"/>
  <c r="O7680" i="1" a="1"/>
  <c r="O7680" i="1" s="1"/>
  <c r="P7680" i="1" a="1"/>
  <c r="P7680" i="1" s="1"/>
  <c r="K6350" i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B7682" i="1" l="1"/>
  <c r="I7681" i="1" a="1"/>
  <c r="I7681" i="1" s="1"/>
  <c r="M7681" i="1" a="1"/>
  <c r="M7681" i="1" s="1"/>
  <c r="Q7681" i="1" a="1"/>
  <c r="Q7681" i="1" s="1"/>
  <c r="L7681" i="1" a="1"/>
  <c r="L7681" i="1" s="1"/>
  <c r="N7681" i="1" a="1"/>
  <c r="N7681" i="1" s="1"/>
  <c r="O7681" i="1" a="1"/>
  <c r="O7681" i="1" s="1"/>
  <c r="P7681" i="1" a="1"/>
  <c r="P7681" i="1" s="1"/>
  <c r="R7681" i="1" a="1"/>
  <c r="R7681" i="1" s="1"/>
  <c r="S7681" i="1" a="1"/>
  <c r="S7681" i="1" s="1"/>
  <c r="K7681" i="1" a="1"/>
  <c r="K7681" i="1" s="1"/>
  <c r="J7681" i="1" a="1"/>
  <c r="J7681" i="1" s="1"/>
  <c r="H7683" i="1"/>
  <c r="A7684" i="1"/>
  <c r="J6351" i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H7684" i="1" l="1"/>
  <c r="A7685" i="1"/>
  <c r="L7682" i="1" a="1"/>
  <c r="L7682" i="1" s="1"/>
  <c r="P7682" i="1" a="1"/>
  <c r="P7682" i="1" s="1"/>
  <c r="B7683" i="1"/>
  <c r="O7682" i="1" a="1"/>
  <c r="O7682" i="1" s="1"/>
  <c r="I7682" i="1" a="1"/>
  <c r="I7682" i="1" s="1"/>
  <c r="Q7682" i="1" a="1"/>
  <c r="Q7682" i="1" s="1"/>
  <c r="J7682" i="1" a="1"/>
  <c r="J7682" i="1" s="1"/>
  <c r="R7682" i="1" a="1"/>
  <c r="R7682" i="1" s="1"/>
  <c r="S7682" i="1" a="1"/>
  <c r="S7682" i="1" s="1"/>
  <c r="K7682" i="1" a="1"/>
  <c r="K7682" i="1" s="1"/>
  <c r="N7682" i="1" a="1"/>
  <c r="N7682" i="1" s="1"/>
  <c r="M7682" i="1" a="1"/>
  <c r="M7682" i="1" s="1"/>
  <c r="I6352" i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7683" i="1" l="1" a="1"/>
  <c r="K7683" i="1" s="1"/>
  <c r="O7683" i="1" a="1"/>
  <c r="O7683" i="1" s="1"/>
  <c r="S7683" i="1" a="1"/>
  <c r="S7683" i="1" s="1"/>
  <c r="B7684" i="1"/>
  <c r="J7683" i="1" a="1"/>
  <c r="J7683" i="1" s="1"/>
  <c r="R7683" i="1" a="1"/>
  <c r="R7683" i="1" s="1"/>
  <c r="L7683" i="1" a="1"/>
  <c r="L7683" i="1" s="1"/>
  <c r="M7683" i="1" a="1"/>
  <c r="M7683" i="1" s="1"/>
  <c r="I7683" i="1" a="1"/>
  <c r="I7683" i="1" s="1"/>
  <c r="N7683" i="1" a="1"/>
  <c r="N7683" i="1" s="1"/>
  <c r="P7683" i="1" a="1"/>
  <c r="P7683" i="1" s="1"/>
  <c r="Q7683" i="1" a="1"/>
  <c r="Q7683" i="1" s="1"/>
  <c r="H7685" i="1"/>
  <c r="A7686" i="1"/>
  <c r="K6353" i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A7687" i="1" l="1"/>
  <c r="H7686" i="1"/>
  <c r="J7684" i="1" a="1"/>
  <c r="J7684" i="1" s="1"/>
  <c r="N7684" i="1" a="1"/>
  <c r="N7684" i="1" s="1"/>
  <c r="R7684" i="1" a="1"/>
  <c r="R7684" i="1" s="1"/>
  <c r="B7685" i="1"/>
  <c r="M7684" i="1" a="1"/>
  <c r="M7684" i="1" s="1"/>
  <c r="O7684" i="1" a="1"/>
  <c r="O7684" i="1" s="1"/>
  <c r="P7684" i="1" a="1"/>
  <c r="P7684" i="1" s="1"/>
  <c r="S7684" i="1" a="1"/>
  <c r="S7684" i="1" s="1"/>
  <c r="K7684" i="1" a="1"/>
  <c r="K7684" i="1" s="1"/>
  <c r="L7684" i="1" a="1"/>
  <c r="L7684" i="1" s="1"/>
  <c r="I7684" i="1" a="1"/>
  <c r="I7684" i="1" s="1"/>
  <c r="Q7684" i="1" a="1"/>
  <c r="Q7684" i="1" s="1"/>
  <c r="I6354" i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B7686" i="1" l="1"/>
  <c r="I7685" i="1" a="1"/>
  <c r="I7685" i="1" s="1"/>
  <c r="M7685" i="1" a="1"/>
  <c r="M7685" i="1" s="1"/>
  <c r="Q7685" i="1" a="1"/>
  <c r="Q7685" i="1" s="1"/>
  <c r="P7685" i="1" a="1"/>
  <c r="P7685" i="1" s="1"/>
  <c r="J7685" i="1" a="1"/>
  <c r="J7685" i="1" s="1"/>
  <c r="R7685" i="1" a="1"/>
  <c r="R7685" i="1" s="1"/>
  <c r="K7685" i="1" a="1"/>
  <c r="K7685" i="1" s="1"/>
  <c r="S7685" i="1" a="1"/>
  <c r="S7685" i="1" s="1"/>
  <c r="L7685" i="1" a="1"/>
  <c r="L7685" i="1" s="1"/>
  <c r="N7685" i="1" a="1"/>
  <c r="N7685" i="1" s="1"/>
  <c r="O7685" i="1" a="1"/>
  <c r="O7685" i="1" s="1"/>
  <c r="H7687" i="1"/>
  <c r="A7688" i="1"/>
  <c r="L6355" i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H7688" i="1" l="1"/>
  <c r="A7689" i="1"/>
  <c r="L7686" i="1" a="1"/>
  <c r="L7686" i="1" s="1"/>
  <c r="P7686" i="1" a="1"/>
  <c r="P7686" i="1" s="1"/>
  <c r="B7687" i="1"/>
  <c r="K7686" i="1" a="1"/>
  <c r="K7686" i="1" s="1"/>
  <c r="S7686" i="1" a="1"/>
  <c r="S7686" i="1" s="1"/>
  <c r="M7686" i="1" a="1"/>
  <c r="M7686" i="1" s="1"/>
  <c r="N7686" i="1" a="1"/>
  <c r="N7686" i="1" s="1"/>
  <c r="O7686" i="1" a="1"/>
  <c r="O7686" i="1" s="1"/>
  <c r="Q7686" i="1" a="1"/>
  <c r="Q7686" i="1" s="1"/>
  <c r="J7686" i="1" a="1"/>
  <c r="J7686" i="1" s="1"/>
  <c r="R7686" i="1" a="1"/>
  <c r="R7686" i="1" s="1"/>
  <c r="I7686" i="1" a="1"/>
  <c r="I7686" i="1" s="1"/>
  <c r="Q6356" i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K7687" i="1" l="1" a="1"/>
  <c r="K7687" i="1" s="1"/>
  <c r="O7687" i="1" a="1"/>
  <c r="O7687" i="1" s="1"/>
  <c r="S7687" i="1" a="1"/>
  <c r="S7687" i="1" s="1"/>
  <c r="B7688" i="1"/>
  <c r="N7687" i="1" a="1"/>
  <c r="N7687" i="1" s="1"/>
  <c r="P7687" i="1" a="1"/>
  <c r="P7687" i="1" s="1"/>
  <c r="I7687" i="1" a="1"/>
  <c r="I7687" i="1" s="1"/>
  <c r="Q7687" i="1" a="1"/>
  <c r="Q7687" i="1" s="1"/>
  <c r="M7687" i="1" a="1"/>
  <c r="M7687" i="1" s="1"/>
  <c r="J7687" i="1" a="1"/>
  <c r="J7687" i="1" s="1"/>
  <c r="L7687" i="1" a="1"/>
  <c r="L7687" i="1" s="1"/>
  <c r="R7687" i="1" a="1"/>
  <c r="R7687" i="1" s="1"/>
  <c r="H7689" i="1"/>
  <c r="A7690" i="1"/>
  <c r="I6357" i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A7691" i="1" l="1"/>
  <c r="H7690" i="1"/>
  <c r="J7688" i="1" a="1"/>
  <c r="J7688" i="1" s="1"/>
  <c r="N7688" i="1" a="1"/>
  <c r="N7688" i="1" s="1"/>
  <c r="R7688" i="1" a="1"/>
  <c r="R7688" i="1" s="1"/>
  <c r="I7688" i="1" a="1"/>
  <c r="I7688" i="1" s="1"/>
  <c r="Q7688" i="1" a="1"/>
  <c r="Q7688" i="1" s="1"/>
  <c r="K7688" i="1" a="1"/>
  <c r="K7688" i="1" s="1"/>
  <c r="S7688" i="1" a="1"/>
  <c r="S7688" i="1" s="1"/>
  <c r="L7688" i="1" a="1"/>
  <c r="L7688" i="1" s="1"/>
  <c r="B7689" i="1"/>
  <c r="M7688" i="1" a="1"/>
  <c r="M7688" i="1" s="1"/>
  <c r="O7688" i="1" a="1"/>
  <c r="O7688" i="1" s="1"/>
  <c r="P7688" i="1" a="1"/>
  <c r="P7688" i="1" s="1"/>
  <c r="K6358" i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B7690" i="1" l="1"/>
  <c r="I7689" i="1" a="1"/>
  <c r="I7689" i="1" s="1"/>
  <c r="M7689" i="1" a="1"/>
  <c r="M7689" i="1" s="1"/>
  <c r="Q7689" i="1" a="1"/>
  <c r="Q7689" i="1" s="1"/>
  <c r="L7689" i="1" a="1"/>
  <c r="L7689" i="1" s="1"/>
  <c r="N7689" i="1" a="1"/>
  <c r="N7689" i="1" s="1"/>
  <c r="O7689" i="1" a="1"/>
  <c r="O7689" i="1" s="1"/>
  <c r="R7689" i="1" a="1"/>
  <c r="R7689" i="1" s="1"/>
  <c r="S7689" i="1" a="1"/>
  <c r="S7689" i="1" s="1"/>
  <c r="K7689" i="1" a="1"/>
  <c r="K7689" i="1" s="1"/>
  <c r="J7689" i="1" a="1"/>
  <c r="J7689" i="1" s="1"/>
  <c r="P7689" i="1" a="1"/>
  <c r="P7689" i="1" s="1"/>
  <c r="H7691" i="1"/>
  <c r="A7692" i="1"/>
  <c r="Q6359" i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A7693" i="1" l="1"/>
  <c r="H7692" i="1"/>
  <c r="L7690" i="1" a="1"/>
  <c r="L7690" i="1" s="1"/>
  <c r="P7690" i="1" a="1"/>
  <c r="P7690" i="1" s="1"/>
  <c r="B7691" i="1"/>
  <c r="O7690" i="1" a="1"/>
  <c r="O7690" i="1" s="1"/>
  <c r="I7690" i="1" a="1"/>
  <c r="I7690" i="1" s="1"/>
  <c r="Q7690" i="1" a="1"/>
  <c r="Q7690" i="1" s="1"/>
  <c r="J7690" i="1" a="1"/>
  <c r="J7690" i="1" s="1"/>
  <c r="R7690" i="1" a="1"/>
  <c r="R7690" i="1" s="1"/>
  <c r="K7690" i="1" a="1"/>
  <c r="K7690" i="1" s="1"/>
  <c r="S7690" i="1" a="1"/>
  <c r="S7690" i="1" s="1"/>
  <c r="M7690" i="1" a="1"/>
  <c r="M7690" i="1" s="1"/>
  <c r="N7690" i="1" a="1"/>
  <c r="N7690" i="1" s="1"/>
  <c r="Q6360" i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K7691" i="1" l="1" a="1"/>
  <c r="K7691" i="1" s="1"/>
  <c r="O7691" i="1" a="1"/>
  <c r="O7691" i="1" s="1"/>
  <c r="S7691" i="1" a="1"/>
  <c r="S7691" i="1" s="1"/>
  <c r="B7692" i="1"/>
  <c r="Q7691" i="1" a="1"/>
  <c r="Q7691" i="1" s="1"/>
  <c r="J7691" i="1" a="1"/>
  <c r="J7691" i="1" s="1"/>
  <c r="L7691" i="1" a="1"/>
  <c r="L7691" i="1" s="1"/>
  <c r="R7691" i="1" a="1"/>
  <c r="R7691" i="1" s="1"/>
  <c r="M7691" i="1" a="1"/>
  <c r="M7691" i="1" s="1"/>
  <c r="N7691" i="1" a="1"/>
  <c r="N7691" i="1" s="1"/>
  <c r="P7691" i="1" a="1"/>
  <c r="P7691" i="1" s="1"/>
  <c r="I7691" i="1" a="1"/>
  <c r="I7691" i="1" s="1"/>
  <c r="H7693" i="1"/>
  <c r="A7694" i="1"/>
  <c r="Q6361" i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H7694" i="1" l="1"/>
  <c r="A7695" i="1"/>
  <c r="J7692" i="1" a="1"/>
  <c r="J7692" i="1" s="1"/>
  <c r="N7692" i="1" a="1"/>
  <c r="N7692" i="1" s="1"/>
  <c r="R7692" i="1" a="1"/>
  <c r="R7692" i="1" s="1"/>
  <c r="K7692" i="1" a="1"/>
  <c r="K7692" i="1" s="1"/>
  <c r="Q7692" i="1" a="1"/>
  <c r="Q7692" i="1" s="1"/>
  <c r="L7692" i="1" a="1"/>
  <c r="L7692" i="1" s="1"/>
  <c r="S7692" i="1" a="1"/>
  <c r="S7692" i="1" s="1"/>
  <c r="M7692" i="1" a="1"/>
  <c r="M7692" i="1" s="1"/>
  <c r="P7692" i="1" a="1"/>
  <c r="P7692" i="1" s="1"/>
  <c r="B7693" i="1"/>
  <c r="I7692" i="1" a="1"/>
  <c r="I7692" i="1" s="1"/>
  <c r="O7692" i="1" a="1"/>
  <c r="O7692" i="1" s="1"/>
  <c r="K6362" i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B7694" i="1" l="1"/>
  <c r="I7693" i="1" a="1"/>
  <c r="I7693" i="1" s="1"/>
  <c r="M7693" i="1" a="1"/>
  <c r="M7693" i="1" s="1"/>
  <c r="Q7693" i="1" a="1"/>
  <c r="Q7693" i="1" s="1"/>
  <c r="J7693" i="1" a="1"/>
  <c r="J7693" i="1" s="1"/>
  <c r="O7693" i="1" a="1"/>
  <c r="O7693" i="1" s="1"/>
  <c r="K7693" i="1" a="1"/>
  <c r="K7693" i="1" s="1"/>
  <c r="P7693" i="1" a="1"/>
  <c r="P7693" i="1" s="1"/>
  <c r="L7693" i="1" a="1"/>
  <c r="L7693" i="1" s="1"/>
  <c r="R7693" i="1" a="1"/>
  <c r="R7693" i="1" s="1"/>
  <c r="S7693" i="1" a="1"/>
  <c r="S7693" i="1" s="1"/>
  <c r="N7693" i="1" a="1"/>
  <c r="N7693" i="1" s="1"/>
  <c r="H7695" i="1"/>
  <c r="A7696" i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H7696" i="1" l="1"/>
  <c r="A7697" i="1"/>
  <c r="L7694" i="1" a="1"/>
  <c r="L7694" i="1" s="1"/>
  <c r="Q7694" i="1" a="1"/>
  <c r="Q7694" i="1" s="1"/>
  <c r="M7694" i="1" a="1"/>
  <c r="M7694" i="1" s="1"/>
  <c r="N7694" i="1" a="1"/>
  <c r="N7694" i="1" s="1"/>
  <c r="I7694" i="1" a="1"/>
  <c r="I7694" i="1" s="1"/>
  <c r="R7694" i="1" a="1"/>
  <c r="R7694" i="1" s="1"/>
  <c r="S7694" i="1" a="1"/>
  <c r="S7694" i="1" s="1"/>
  <c r="O7694" i="1" a="1"/>
  <c r="O7694" i="1" s="1"/>
  <c r="J7694" i="1" a="1"/>
  <c r="J7694" i="1" s="1"/>
  <c r="B7695" i="1"/>
  <c r="P7694" i="1" a="1"/>
  <c r="P7694" i="1" s="1"/>
  <c r="K7694" i="1" a="1"/>
  <c r="K7694" i="1" s="1"/>
  <c r="K6364" i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H7697" i="1" l="1"/>
  <c r="A7698" i="1"/>
  <c r="Q7695" i="1" a="1"/>
  <c r="Q7695" i="1" s="1"/>
  <c r="J7695" i="1" a="1"/>
  <c r="J7695" i="1" s="1"/>
  <c r="M7695" i="1" a="1"/>
  <c r="M7695" i="1" s="1"/>
  <c r="I7695" i="1" a="1"/>
  <c r="I7695" i="1" s="1"/>
  <c r="R7695" i="1" a="1"/>
  <c r="R7695" i="1" s="1"/>
  <c r="O7695" i="1" a="1"/>
  <c r="O7695" i="1" s="1"/>
  <c r="N7695" i="1" a="1"/>
  <c r="N7695" i="1" s="1"/>
  <c r="S7695" i="1" a="1"/>
  <c r="S7695" i="1" s="1"/>
  <c r="B7696" i="1"/>
  <c r="K7695" i="1" a="1"/>
  <c r="K7695" i="1" s="1"/>
  <c r="L7695" i="1" a="1"/>
  <c r="L7695" i="1" s="1"/>
  <c r="P7695" i="1" a="1"/>
  <c r="P7695" i="1" s="1"/>
  <c r="K6365" i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M7696" i="1" l="1" a="1"/>
  <c r="M7696" i="1" s="1"/>
  <c r="R7696" i="1" a="1"/>
  <c r="R7696" i="1" s="1"/>
  <c r="K7696" i="1" a="1"/>
  <c r="K7696" i="1" s="1"/>
  <c r="I7696" i="1" a="1"/>
  <c r="I7696" i="1" s="1"/>
  <c r="N7696" i="1" a="1"/>
  <c r="N7696" i="1" s="1"/>
  <c r="J7696" i="1" a="1"/>
  <c r="J7696" i="1" s="1"/>
  <c r="S7696" i="1" a="1"/>
  <c r="S7696" i="1" s="1"/>
  <c r="O7696" i="1" a="1"/>
  <c r="O7696" i="1" s="1"/>
  <c r="Q7696" i="1" a="1"/>
  <c r="Q7696" i="1" s="1"/>
  <c r="L7696" i="1" a="1"/>
  <c r="L7696" i="1" s="1"/>
  <c r="P7696" i="1" a="1"/>
  <c r="P7696" i="1" s="1"/>
  <c r="B7697" i="1"/>
  <c r="A7699" i="1"/>
  <c r="H7698" i="1"/>
  <c r="K6366" i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A7700" i="1" l="1"/>
  <c r="H7699" i="1"/>
  <c r="B7698" i="1"/>
  <c r="N7697" i="1" a="1"/>
  <c r="N7697" i="1" s="1"/>
  <c r="P7697" i="1" a="1"/>
  <c r="P7697" i="1" s="1"/>
  <c r="J7697" i="1" a="1"/>
  <c r="J7697" i="1" s="1"/>
  <c r="S7697" i="1" a="1"/>
  <c r="S7697" i="1" s="1"/>
  <c r="O7697" i="1" a="1"/>
  <c r="O7697" i="1" s="1"/>
  <c r="K7697" i="1" a="1"/>
  <c r="K7697" i="1" s="1"/>
  <c r="Q7697" i="1" a="1"/>
  <c r="Q7697" i="1" s="1"/>
  <c r="L7697" i="1" a="1"/>
  <c r="L7697" i="1" s="1"/>
  <c r="R7697" i="1" a="1"/>
  <c r="R7697" i="1" s="1"/>
  <c r="M7697" i="1" a="1"/>
  <c r="M7697" i="1" s="1"/>
  <c r="I7697" i="1" a="1"/>
  <c r="I7697" i="1" s="1"/>
  <c r="K6367" i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J7698" i="1" l="1" a="1"/>
  <c r="J7698" i="1" s="1"/>
  <c r="S7698" i="1" a="1"/>
  <c r="S7698" i="1" s="1"/>
  <c r="O7698" i="1" a="1"/>
  <c r="O7698" i="1" s="1"/>
  <c r="K7698" i="1" a="1"/>
  <c r="K7698" i="1" s="1"/>
  <c r="P7698" i="1" a="1"/>
  <c r="P7698" i="1" s="1"/>
  <c r="B7699" i="1"/>
  <c r="L7698" i="1" a="1"/>
  <c r="L7698" i="1" s="1"/>
  <c r="Q7698" i="1" a="1"/>
  <c r="Q7698" i="1" s="1"/>
  <c r="N7698" i="1" a="1"/>
  <c r="N7698" i="1" s="1"/>
  <c r="R7698" i="1" a="1"/>
  <c r="R7698" i="1" s="1"/>
  <c r="M7698" i="1" a="1"/>
  <c r="M7698" i="1" s="1"/>
  <c r="I7698" i="1" a="1"/>
  <c r="I7698" i="1" s="1"/>
  <c r="H7700" i="1"/>
  <c r="A7701" i="1"/>
  <c r="K6368" i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H7701" i="1" l="1"/>
  <c r="A7702" i="1"/>
  <c r="K7699" i="1" a="1"/>
  <c r="K7699" i="1" s="1"/>
  <c r="P7699" i="1" a="1"/>
  <c r="P7699" i="1" s="1"/>
  <c r="B7700" i="1"/>
  <c r="L7699" i="1" a="1"/>
  <c r="L7699" i="1" s="1"/>
  <c r="M7699" i="1" a="1"/>
  <c r="M7699" i="1" s="1"/>
  <c r="Q7699" i="1" a="1"/>
  <c r="Q7699" i="1" s="1"/>
  <c r="N7699" i="1" a="1"/>
  <c r="N7699" i="1" s="1"/>
  <c r="O7699" i="1" a="1"/>
  <c r="O7699" i="1" s="1"/>
  <c r="J7699" i="1" a="1"/>
  <c r="J7699" i="1" s="1"/>
  <c r="R7699" i="1" a="1"/>
  <c r="R7699" i="1" s="1"/>
  <c r="S7699" i="1" a="1"/>
  <c r="S7699" i="1" s="1"/>
  <c r="I7699" i="1" a="1"/>
  <c r="I7699" i="1" s="1"/>
  <c r="Q6369" i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P7700" i="1" l="1" a="1"/>
  <c r="P7700" i="1" s="1"/>
  <c r="B7701" i="1"/>
  <c r="I7700" i="1" a="1"/>
  <c r="I7700" i="1" s="1"/>
  <c r="L7700" i="1" a="1"/>
  <c r="L7700" i="1" s="1"/>
  <c r="Q7700" i="1" a="1"/>
  <c r="Q7700" i="1" s="1"/>
  <c r="N7700" i="1" a="1"/>
  <c r="N7700" i="1" s="1"/>
  <c r="M7700" i="1" a="1"/>
  <c r="M7700" i="1" s="1"/>
  <c r="R7700" i="1" a="1"/>
  <c r="R7700" i="1" s="1"/>
  <c r="O7700" i="1" a="1"/>
  <c r="O7700" i="1" s="1"/>
  <c r="J7700" i="1" a="1"/>
  <c r="J7700" i="1" s="1"/>
  <c r="K7700" i="1" a="1"/>
  <c r="K7700" i="1" s="1"/>
  <c r="S7700" i="1" a="1"/>
  <c r="S7700" i="1" s="1"/>
  <c r="H7702" i="1"/>
  <c r="A7703" i="1"/>
  <c r="I6370" i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A7704" i="1" l="1"/>
  <c r="H7703" i="1"/>
  <c r="B7702" i="1"/>
  <c r="L7701" i="1" a="1"/>
  <c r="L7701" i="1" s="1"/>
  <c r="Q7701" i="1" a="1"/>
  <c r="Q7701" i="1" s="1"/>
  <c r="M7701" i="1" a="1"/>
  <c r="M7701" i="1" s="1"/>
  <c r="I7701" i="1" a="1"/>
  <c r="I7701" i="1" s="1"/>
  <c r="R7701" i="1" a="1"/>
  <c r="R7701" i="1" s="1"/>
  <c r="N7701" i="1" a="1"/>
  <c r="N7701" i="1" s="1"/>
  <c r="K7701" i="1" a="1"/>
  <c r="K7701" i="1" s="1"/>
  <c r="J7701" i="1" a="1"/>
  <c r="J7701" i="1" s="1"/>
  <c r="P7701" i="1" a="1"/>
  <c r="P7701" i="1" s="1"/>
  <c r="O7701" i="1" a="1"/>
  <c r="O7701" i="1" s="1"/>
  <c r="S7701" i="1" a="1"/>
  <c r="S7701" i="1" s="1"/>
  <c r="K6371" i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M7702" i="1" l="1" a="1"/>
  <c r="M7702" i="1" s="1"/>
  <c r="I7702" i="1" a="1"/>
  <c r="I7702" i="1" s="1"/>
  <c r="R7702" i="1" a="1"/>
  <c r="R7702" i="1" s="1"/>
  <c r="N7702" i="1" a="1"/>
  <c r="N7702" i="1" s="1"/>
  <c r="J7702" i="1" a="1"/>
  <c r="J7702" i="1" s="1"/>
  <c r="S7702" i="1" a="1"/>
  <c r="S7702" i="1" s="1"/>
  <c r="Q7702" i="1" a="1"/>
  <c r="Q7702" i="1" s="1"/>
  <c r="O7702" i="1" a="1"/>
  <c r="O7702" i="1" s="1"/>
  <c r="K7702" i="1" a="1"/>
  <c r="K7702" i="1" s="1"/>
  <c r="B7703" i="1"/>
  <c r="P7702" i="1" a="1"/>
  <c r="P7702" i="1" s="1"/>
  <c r="L7702" i="1" a="1"/>
  <c r="L7702" i="1" s="1"/>
  <c r="A7705" i="1"/>
  <c r="H7704" i="1"/>
  <c r="K6372" i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H7705" i="1" l="1"/>
  <c r="A7706" i="1"/>
  <c r="I7703" i="1" a="1"/>
  <c r="I7703" i="1" s="1"/>
  <c r="R7703" i="1" a="1"/>
  <c r="R7703" i="1" s="1"/>
  <c r="N7703" i="1" a="1"/>
  <c r="N7703" i="1" s="1"/>
  <c r="S7703" i="1" a="1"/>
  <c r="S7703" i="1" s="1"/>
  <c r="J7703" i="1" a="1"/>
  <c r="J7703" i="1" s="1"/>
  <c r="O7703" i="1" a="1"/>
  <c r="O7703" i="1" s="1"/>
  <c r="K7703" i="1" a="1"/>
  <c r="K7703" i="1" s="1"/>
  <c r="M7703" i="1" a="1"/>
  <c r="M7703" i="1" s="1"/>
  <c r="P7703" i="1" a="1"/>
  <c r="P7703" i="1" s="1"/>
  <c r="L7703" i="1" a="1"/>
  <c r="L7703" i="1" s="1"/>
  <c r="Q7703" i="1" a="1"/>
  <c r="Q7703" i="1" s="1"/>
  <c r="B7704" i="1"/>
  <c r="Q6373" i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J7704" i="1" l="1" a="1"/>
  <c r="J7704" i="1" s="1"/>
  <c r="S7704" i="1" a="1"/>
  <c r="S7704" i="1" s="1"/>
  <c r="O7704" i="1" a="1"/>
  <c r="O7704" i="1" s="1"/>
  <c r="K7704" i="1" a="1"/>
  <c r="K7704" i="1" s="1"/>
  <c r="P7704" i="1" a="1"/>
  <c r="P7704" i="1" s="1"/>
  <c r="B7705" i="1"/>
  <c r="R7704" i="1" a="1"/>
  <c r="R7704" i="1" s="1"/>
  <c r="I7704" i="1" a="1"/>
  <c r="I7704" i="1" s="1"/>
  <c r="N7704" i="1" a="1"/>
  <c r="N7704" i="1" s="1"/>
  <c r="Q7704" i="1" a="1"/>
  <c r="Q7704" i="1" s="1"/>
  <c r="L7704" i="1" a="1"/>
  <c r="L7704" i="1" s="1"/>
  <c r="M7704" i="1" a="1"/>
  <c r="M7704" i="1" s="1"/>
  <c r="H7706" i="1"/>
  <c r="A7707" i="1"/>
  <c r="K6374" i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B7706" i="1" l="1"/>
  <c r="O7705" i="1" a="1"/>
  <c r="O7705" i="1" s="1"/>
  <c r="K7705" i="1" a="1"/>
  <c r="K7705" i="1" s="1"/>
  <c r="P7705" i="1" a="1"/>
  <c r="P7705" i="1" s="1"/>
  <c r="L7705" i="1" a="1"/>
  <c r="L7705" i="1" s="1"/>
  <c r="Q7705" i="1" a="1"/>
  <c r="Q7705" i="1" s="1"/>
  <c r="N7705" i="1" a="1"/>
  <c r="N7705" i="1" s="1"/>
  <c r="M7705" i="1" a="1"/>
  <c r="M7705" i="1" s="1"/>
  <c r="J7705" i="1" a="1"/>
  <c r="J7705" i="1" s="1"/>
  <c r="I7705" i="1" a="1"/>
  <c r="I7705" i="1" s="1"/>
  <c r="R7705" i="1" a="1"/>
  <c r="R7705" i="1" s="1"/>
  <c r="S7705" i="1" a="1"/>
  <c r="S7705" i="1" s="1"/>
  <c r="H7707" i="1"/>
  <c r="A7708" i="1"/>
  <c r="K6375" i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H7708" i="1" l="1"/>
  <c r="A7709" i="1"/>
  <c r="K7706" i="1" a="1"/>
  <c r="K7706" i="1" s="1"/>
  <c r="P7706" i="1" a="1"/>
  <c r="P7706" i="1" s="1"/>
  <c r="B7707" i="1"/>
  <c r="L7706" i="1" a="1"/>
  <c r="L7706" i="1" s="1"/>
  <c r="Q7706" i="1" a="1"/>
  <c r="Q7706" i="1" s="1"/>
  <c r="M7706" i="1" a="1"/>
  <c r="M7706" i="1" s="1"/>
  <c r="J7706" i="1" a="1"/>
  <c r="J7706" i="1" s="1"/>
  <c r="S7706" i="1" a="1"/>
  <c r="S7706" i="1" s="1"/>
  <c r="O7706" i="1" a="1"/>
  <c r="O7706" i="1" s="1"/>
  <c r="R7706" i="1" a="1"/>
  <c r="R7706" i="1" s="1"/>
  <c r="N7706" i="1" a="1"/>
  <c r="N7706" i="1" s="1"/>
  <c r="I7706" i="1" a="1"/>
  <c r="I7706" i="1" s="1"/>
  <c r="Q6376" i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L7707" i="1" l="1" a="1"/>
  <c r="L7707" i="1" s="1"/>
  <c r="Q7707" i="1" a="1"/>
  <c r="Q7707" i="1" s="1"/>
  <c r="M7707" i="1" a="1"/>
  <c r="M7707" i="1" s="1"/>
  <c r="I7707" i="1" a="1"/>
  <c r="I7707" i="1" s="1"/>
  <c r="R7707" i="1" a="1"/>
  <c r="R7707" i="1" s="1"/>
  <c r="P7707" i="1" a="1"/>
  <c r="P7707" i="1" s="1"/>
  <c r="B7708" i="1"/>
  <c r="S7707" i="1" a="1"/>
  <c r="S7707" i="1" s="1"/>
  <c r="J7707" i="1" a="1"/>
  <c r="J7707" i="1" s="1"/>
  <c r="K7707" i="1" a="1"/>
  <c r="K7707" i="1" s="1"/>
  <c r="N7707" i="1" a="1"/>
  <c r="N7707" i="1" s="1"/>
  <c r="O7707" i="1" a="1"/>
  <c r="O7707" i="1" s="1"/>
  <c r="H7709" i="1"/>
  <c r="A7710" i="1"/>
  <c r="K6377" i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Q7708" i="1" l="1" a="1"/>
  <c r="Q7708" i="1" s="1"/>
  <c r="R7708" i="1" a="1"/>
  <c r="R7708" i="1" s="1"/>
  <c r="M7708" i="1" a="1"/>
  <c r="M7708" i="1" s="1"/>
  <c r="I7708" i="1" a="1"/>
  <c r="I7708" i="1" s="1"/>
  <c r="N7708" i="1" a="1"/>
  <c r="N7708" i="1" s="1"/>
  <c r="J7708" i="1" a="1"/>
  <c r="J7708" i="1" s="1"/>
  <c r="S7708" i="1" a="1"/>
  <c r="S7708" i="1" s="1"/>
  <c r="B7709" i="1"/>
  <c r="L7708" i="1" a="1"/>
  <c r="L7708" i="1" s="1"/>
  <c r="K7708" i="1" a="1"/>
  <c r="K7708" i="1" s="1"/>
  <c r="O7708" i="1" a="1"/>
  <c r="O7708" i="1" s="1"/>
  <c r="P7708" i="1" a="1"/>
  <c r="P7708" i="1" s="1"/>
  <c r="A7711" i="1"/>
  <c r="H7710" i="1"/>
  <c r="K6378" i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B7710" i="1" l="1"/>
  <c r="I7709" i="1" a="1"/>
  <c r="I7709" i="1" s="1"/>
  <c r="R7709" i="1" a="1"/>
  <c r="R7709" i="1" s="1"/>
  <c r="N7709" i="1" a="1"/>
  <c r="N7709" i="1" s="1"/>
  <c r="J7709" i="1" a="1"/>
  <c r="J7709" i="1" s="1"/>
  <c r="S7709" i="1" a="1"/>
  <c r="S7709" i="1" s="1"/>
  <c r="O7709" i="1" a="1"/>
  <c r="O7709" i="1" s="1"/>
  <c r="Q7709" i="1" a="1"/>
  <c r="Q7709" i="1" s="1"/>
  <c r="K7709" i="1" a="1"/>
  <c r="K7709" i="1" s="1"/>
  <c r="P7709" i="1" a="1"/>
  <c r="P7709" i="1" s="1"/>
  <c r="L7709" i="1" a="1"/>
  <c r="L7709" i="1" s="1"/>
  <c r="M7709" i="1" a="1"/>
  <c r="M7709" i="1" s="1"/>
  <c r="A7712" i="1"/>
  <c r="H7711" i="1"/>
  <c r="I6379" i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A7713" i="1" l="1"/>
  <c r="H7712" i="1"/>
  <c r="N7710" i="1" a="1"/>
  <c r="N7710" i="1" s="1"/>
  <c r="S7710" i="1" a="1"/>
  <c r="S7710" i="1" s="1"/>
  <c r="J7710" i="1" a="1"/>
  <c r="J7710" i="1" s="1"/>
  <c r="O7710" i="1" a="1"/>
  <c r="O7710" i="1" s="1"/>
  <c r="K7710" i="1" a="1"/>
  <c r="K7710" i="1" s="1"/>
  <c r="P7710" i="1" a="1"/>
  <c r="P7710" i="1" s="1"/>
  <c r="B7711" i="1"/>
  <c r="M7710" i="1" a="1"/>
  <c r="M7710" i="1" s="1"/>
  <c r="I7710" i="1" a="1"/>
  <c r="I7710" i="1" s="1"/>
  <c r="L7710" i="1" a="1"/>
  <c r="L7710" i="1" s="1"/>
  <c r="Q7710" i="1" a="1"/>
  <c r="Q7710" i="1" s="1"/>
  <c r="R7710" i="1" a="1"/>
  <c r="R7710" i="1" s="1"/>
  <c r="K6380" i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J7711" i="1" l="1" a="1"/>
  <c r="J7711" i="1" s="1"/>
  <c r="O7711" i="1" a="1"/>
  <c r="O7711" i="1" s="1"/>
  <c r="K7711" i="1" a="1"/>
  <c r="K7711" i="1" s="1"/>
  <c r="P7711" i="1" a="1"/>
  <c r="P7711" i="1" s="1"/>
  <c r="B7712" i="1"/>
  <c r="L7711" i="1" a="1"/>
  <c r="L7711" i="1" s="1"/>
  <c r="I7711" i="1" a="1"/>
  <c r="I7711" i="1" s="1"/>
  <c r="R7711" i="1" a="1"/>
  <c r="R7711" i="1" s="1"/>
  <c r="S7711" i="1" a="1"/>
  <c r="S7711" i="1" s="1"/>
  <c r="Q7711" i="1" a="1"/>
  <c r="Q7711" i="1" s="1"/>
  <c r="N7711" i="1" a="1"/>
  <c r="N7711" i="1" s="1"/>
  <c r="M7711" i="1" a="1"/>
  <c r="M7711" i="1" s="1"/>
  <c r="H7713" i="1"/>
  <c r="A7714" i="1"/>
  <c r="Q6381" i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H7714" i="1" l="1"/>
  <c r="A7715" i="1"/>
  <c r="K7712" i="1" a="1"/>
  <c r="K7712" i="1" s="1"/>
  <c r="P7712" i="1" a="1"/>
  <c r="P7712" i="1" s="1"/>
  <c r="B7713" i="1"/>
  <c r="L7712" i="1" a="1"/>
  <c r="L7712" i="1" s="1"/>
  <c r="Q7712" i="1" a="1"/>
  <c r="Q7712" i="1" s="1"/>
  <c r="O7712" i="1" a="1"/>
  <c r="O7712" i="1" s="1"/>
  <c r="N7712" i="1" a="1"/>
  <c r="N7712" i="1" s="1"/>
  <c r="R7712" i="1" a="1"/>
  <c r="R7712" i="1" s="1"/>
  <c r="I7712" i="1" a="1"/>
  <c r="I7712" i="1" s="1"/>
  <c r="J7712" i="1" a="1"/>
  <c r="J7712" i="1" s="1"/>
  <c r="S7712" i="1" a="1"/>
  <c r="S7712" i="1" s="1"/>
  <c r="M7712" i="1" a="1"/>
  <c r="M7712" i="1" s="1"/>
  <c r="K6382" i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B7714" i="1" l="1"/>
  <c r="P7713" i="1" a="1"/>
  <c r="P7713" i="1" s="1"/>
  <c r="Q7713" i="1" a="1"/>
  <c r="Q7713" i="1" s="1"/>
  <c r="L7713" i="1" a="1"/>
  <c r="L7713" i="1" s="1"/>
  <c r="M7713" i="1" a="1"/>
  <c r="M7713" i="1" s="1"/>
  <c r="I7713" i="1" a="1"/>
  <c r="I7713" i="1" s="1"/>
  <c r="R7713" i="1" a="1"/>
  <c r="R7713" i="1" s="1"/>
  <c r="K7713" i="1" a="1"/>
  <c r="K7713" i="1" s="1"/>
  <c r="N7713" i="1" a="1"/>
  <c r="N7713" i="1" s="1"/>
  <c r="J7713" i="1" a="1"/>
  <c r="J7713" i="1" s="1"/>
  <c r="S7713" i="1" a="1"/>
  <c r="S7713" i="1" s="1"/>
  <c r="O7713" i="1" a="1"/>
  <c r="O7713" i="1" s="1"/>
  <c r="H7715" i="1"/>
  <c r="A7716" i="1"/>
  <c r="K6383" i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A7717" i="1" l="1"/>
  <c r="H7716" i="1"/>
  <c r="Q7714" i="1" a="1"/>
  <c r="Q7714" i="1" s="1"/>
  <c r="M7714" i="1" a="1"/>
  <c r="M7714" i="1" s="1"/>
  <c r="I7714" i="1" a="1"/>
  <c r="I7714" i="1" s="1"/>
  <c r="R7714" i="1" a="1"/>
  <c r="R7714" i="1" s="1"/>
  <c r="N7714" i="1" a="1"/>
  <c r="N7714" i="1" s="1"/>
  <c r="P7714" i="1" a="1"/>
  <c r="P7714" i="1" s="1"/>
  <c r="L7714" i="1" a="1"/>
  <c r="L7714" i="1" s="1"/>
  <c r="S7714" i="1" a="1"/>
  <c r="S7714" i="1" s="1"/>
  <c r="J7714" i="1" a="1"/>
  <c r="J7714" i="1" s="1"/>
  <c r="K7714" i="1" a="1"/>
  <c r="K7714" i="1" s="1"/>
  <c r="B7715" i="1"/>
  <c r="O7714" i="1" a="1"/>
  <c r="O7714" i="1" s="1"/>
  <c r="Q6384" i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M7715" i="1" l="1" a="1"/>
  <c r="M7715" i="1" s="1"/>
  <c r="I7715" i="1" a="1"/>
  <c r="I7715" i="1" s="1"/>
  <c r="R7715" i="1" a="1"/>
  <c r="R7715" i="1" s="1"/>
  <c r="N7715" i="1" a="1"/>
  <c r="N7715" i="1" s="1"/>
  <c r="S7715" i="1" a="1"/>
  <c r="S7715" i="1" s="1"/>
  <c r="J7715" i="1" a="1"/>
  <c r="J7715" i="1" s="1"/>
  <c r="O7715" i="1" a="1"/>
  <c r="O7715" i="1" s="1"/>
  <c r="L7715" i="1" a="1"/>
  <c r="L7715" i="1" s="1"/>
  <c r="B7716" i="1"/>
  <c r="Q7715" i="1" a="1"/>
  <c r="Q7715" i="1" s="1"/>
  <c r="P7715" i="1" a="1"/>
  <c r="P7715" i="1" s="1"/>
  <c r="K7715" i="1" a="1"/>
  <c r="K7715" i="1" s="1"/>
  <c r="H7717" i="1"/>
  <c r="A7718" i="1"/>
  <c r="L6385" i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A7719" i="1" l="1"/>
  <c r="H7718" i="1"/>
  <c r="I7716" i="1" a="1"/>
  <c r="I7716" i="1" s="1"/>
  <c r="N7716" i="1" a="1"/>
  <c r="N7716" i="1" s="1"/>
  <c r="J7716" i="1" a="1"/>
  <c r="J7716" i="1" s="1"/>
  <c r="S7716" i="1" a="1"/>
  <c r="S7716" i="1" s="1"/>
  <c r="O7716" i="1" a="1"/>
  <c r="O7716" i="1" s="1"/>
  <c r="K7716" i="1" a="1"/>
  <c r="K7716" i="1" s="1"/>
  <c r="Q7716" i="1" a="1"/>
  <c r="Q7716" i="1" s="1"/>
  <c r="R7716" i="1" a="1"/>
  <c r="R7716" i="1" s="1"/>
  <c r="P7716" i="1" a="1"/>
  <c r="P7716" i="1" s="1"/>
  <c r="M7716" i="1" a="1"/>
  <c r="M7716" i="1" s="1"/>
  <c r="B7717" i="1"/>
  <c r="L7716" i="1" a="1"/>
  <c r="L7716" i="1" s="1"/>
  <c r="K6386" i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B7718" i="1" l="1"/>
  <c r="J7717" i="1" a="1"/>
  <c r="J7717" i="1" s="1"/>
  <c r="S7717" i="1" a="1"/>
  <c r="S7717" i="1" s="1"/>
  <c r="O7717" i="1" a="1"/>
  <c r="O7717" i="1" s="1"/>
  <c r="K7717" i="1" a="1"/>
  <c r="K7717" i="1" s="1"/>
  <c r="P7717" i="1" a="1"/>
  <c r="P7717" i="1" s="1"/>
  <c r="N7717" i="1" a="1"/>
  <c r="N7717" i="1" s="1"/>
  <c r="Q7717" i="1" a="1"/>
  <c r="Q7717" i="1" s="1"/>
  <c r="I7717" i="1" a="1"/>
  <c r="I7717" i="1" s="1"/>
  <c r="R7717" i="1" a="1"/>
  <c r="R7717" i="1" s="1"/>
  <c r="L7717" i="1" a="1"/>
  <c r="L7717" i="1" s="1"/>
  <c r="M7717" i="1" a="1"/>
  <c r="M7717" i="1" s="1"/>
  <c r="H7719" i="1"/>
  <c r="A7720" i="1"/>
  <c r="I6387" i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H7720" i="1" l="1"/>
  <c r="A7721" i="1"/>
  <c r="O7718" i="1" a="1"/>
  <c r="O7718" i="1" s="1"/>
  <c r="K7718" i="1" a="1"/>
  <c r="K7718" i="1" s="1"/>
  <c r="P7718" i="1" a="1"/>
  <c r="P7718" i="1" s="1"/>
  <c r="B7719" i="1"/>
  <c r="L7718" i="1" a="1"/>
  <c r="L7718" i="1" s="1"/>
  <c r="Q7718" i="1" a="1"/>
  <c r="Q7718" i="1" s="1"/>
  <c r="J7718" i="1" a="1"/>
  <c r="J7718" i="1" s="1"/>
  <c r="S7718" i="1" a="1"/>
  <c r="S7718" i="1" s="1"/>
  <c r="R7718" i="1" a="1"/>
  <c r="R7718" i="1" s="1"/>
  <c r="M7718" i="1" a="1"/>
  <c r="M7718" i="1" s="1"/>
  <c r="I7718" i="1" a="1"/>
  <c r="I7718" i="1" s="1"/>
  <c r="N7718" i="1" a="1"/>
  <c r="N7718" i="1" s="1"/>
  <c r="K6388" i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P7719" i="1" l="1" a="1"/>
  <c r="P7719" i="1" s="1"/>
  <c r="B7720" i="1"/>
  <c r="L7719" i="1" a="1"/>
  <c r="L7719" i="1" s="1"/>
  <c r="Q7719" i="1" a="1"/>
  <c r="Q7719" i="1" s="1"/>
  <c r="M7719" i="1" a="1"/>
  <c r="M7719" i="1" s="1"/>
  <c r="O7719" i="1" a="1"/>
  <c r="O7719" i="1" s="1"/>
  <c r="I7719" i="1" a="1"/>
  <c r="I7719" i="1" s="1"/>
  <c r="R7719" i="1" a="1"/>
  <c r="R7719" i="1" s="1"/>
  <c r="S7719" i="1" a="1"/>
  <c r="S7719" i="1" s="1"/>
  <c r="K7719" i="1" a="1"/>
  <c r="K7719" i="1" s="1"/>
  <c r="N7719" i="1" a="1"/>
  <c r="N7719" i="1" s="1"/>
  <c r="J7719" i="1" a="1"/>
  <c r="J7719" i="1" s="1"/>
  <c r="H7721" i="1"/>
  <c r="A7722" i="1"/>
  <c r="K6389" i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A7723" i="1" l="1"/>
  <c r="H7722" i="1"/>
  <c r="L7720" i="1" a="1"/>
  <c r="L7720" i="1" s="1"/>
  <c r="Q7720" i="1" a="1"/>
  <c r="Q7720" i="1" s="1"/>
  <c r="M7720" i="1" a="1"/>
  <c r="M7720" i="1" s="1"/>
  <c r="R7720" i="1" a="1"/>
  <c r="R7720" i="1" s="1"/>
  <c r="I7720" i="1" a="1"/>
  <c r="I7720" i="1" s="1"/>
  <c r="N7720" i="1" a="1"/>
  <c r="N7720" i="1" s="1"/>
  <c r="K7720" i="1" a="1"/>
  <c r="K7720" i="1" s="1"/>
  <c r="B7721" i="1"/>
  <c r="P7720" i="1" a="1"/>
  <c r="P7720" i="1" s="1"/>
  <c r="S7720" i="1" a="1"/>
  <c r="S7720" i="1" s="1"/>
  <c r="O7720" i="1" a="1"/>
  <c r="O7720" i="1" s="1"/>
  <c r="J7720" i="1" a="1"/>
  <c r="J7720" i="1" s="1"/>
  <c r="Q6390" i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B7722" i="1" l="1"/>
  <c r="M7721" i="1" a="1"/>
  <c r="M7721" i="1" s="1"/>
  <c r="I7721" i="1" a="1"/>
  <c r="I7721" i="1" s="1"/>
  <c r="R7721" i="1" a="1"/>
  <c r="R7721" i="1" s="1"/>
  <c r="N7721" i="1" a="1"/>
  <c r="N7721" i="1" s="1"/>
  <c r="J7721" i="1" a="1"/>
  <c r="J7721" i="1" s="1"/>
  <c r="S7721" i="1" a="1"/>
  <c r="S7721" i="1" s="1"/>
  <c r="P7721" i="1" a="1"/>
  <c r="P7721" i="1" s="1"/>
  <c r="Q7721" i="1" a="1"/>
  <c r="Q7721" i="1" s="1"/>
  <c r="O7721" i="1" a="1"/>
  <c r="O7721" i="1" s="1"/>
  <c r="L7721" i="1" a="1"/>
  <c r="L7721" i="1" s="1"/>
  <c r="K7721" i="1" a="1"/>
  <c r="K7721" i="1" s="1"/>
  <c r="A7724" i="1"/>
  <c r="H7723" i="1"/>
  <c r="K6391" i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A7725" i="1" l="1"/>
  <c r="H7724" i="1"/>
  <c r="I7722" i="1" a="1"/>
  <c r="I7722" i="1" s="1"/>
  <c r="R7722" i="1" a="1"/>
  <c r="R7722" i="1" s="1"/>
  <c r="N7722" i="1" a="1"/>
  <c r="N7722" i="1" s="1"/>
  <c r="J7722" i="1" a="1"/>
  <c r="J7722" i="1" s="1"/>
  <c r="S7722" i="1" a="1"/>
  <c r="S7722" i="1" s="1"/>
  <c r="O7722" i="1" a="1"/>
  <c r="O7722" i="1" s="1"/>
  <c r="B7723" i="1"/>
  <c r="M7722" i="1" a="1"/>
  <c r="M7722" i="1" s="1"/>
  <c r="P7722" i="1" a="1"/>
  <c r="P7722" i="1" s="1"/>
  <c r="L7722" i="1" a="1"/>
  <c r="L7722" i="1" s="1"/>
  <c r="Q7722" i="1" a="1"/>
  <c r="Q7722" i="1" s="1"/>
  <c r="K7722" i="1" a="1"/>
  <c r="K7722" i="1" s="1"/>
  <c r="Q6392" i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N7723" i="1" l="1" a="1"/>
  <c r="N7723" i="1" s="1"/>
  <c r="S7723" i="1" a="1"/>
  <c r="S7723" i="1" s="1"/>
  <c r="O7723" i="1" a="1"/>
  <c r="O7723" i="1" s="1"/>
  <c r="J7723" i="1" a="1"/>
  <c r="J7723" i="1" s="1"/>
  <c r="K7723" i="1" a="1"/>
  <c r="K7723" i="1" s="1"/>
  <c r="P7723" i="1" a="1"/>
  <c r="P7723" i="1" s="1"/>
  <c r="B7724" i="1"/>
  <c r="I7723" i="1" a="1"/>
  <c r="I7723" i="1" s="1"/>
  <c r="R7723" i="1" a="1"/>
  <c r="R7723" i="1" s="1"/>
  <c r="L7723" i="1" a="1"/>
  <c r="L7723" i="1" s="1"/>
  <c r="M7723" i="1" a="1"/>
  <c r="M7723" i="1" s="1"/>
  <c r="Q7723" i="1" a="1"/>
  <c r="Q7723" i="1" s="1"/>
  <c r="H7725" i="1"/>
  <c r="A7726" i="1"/>
  <c r="K6393" i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O7724" i="1" l="1" a="1"/>
  <c r="O7724" i="1" s="1"/>
  <c r="K7724" i="1" a="1"/>
  <c r="K7724" i="1" s="1"/>
  <c r="P7724" i="1" a="1"/>
  <c r="P7724" i="1" s="1"/>
  <c r="B7725" i="1"/>
  <c r="L7724" i="1" a="1"/>
  <c r="L7724" i="1" s="1"/>
  <c r="N7724" i="1" a="1"/>
  <c r="N7724" i="1" s="1"/>
  <c r="M7724" i="1" a="1"/>
  <c r="M7724" i="1" s="1"/>
  <c r="Q7724" i="1" a="1"/>
  <c r="Q7724" i="1" s="1"/>
  <c r="J7724" i="1" a="1"/>
  <c r="J7724" i="1" s="1"/>
  <c r="R7724" i="1" a="1"/>
  <c r="R7724" i="1" s="1"/>
  <c r="S7724" i="1" a="1"/>
  <c r="S7724" i="1" s="1"/>
  <c r="I7724" i="1" a="1"/>
  <c r="I7724" i="1" s="1"/>
  <c r="H7726" i="1"/>
  <c r="A7727" i="1"/>
  <c r="J6394" i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H7727" i="1" l="1"/>
  <c r="A7728" i="1"/>
  <c r="B7726" i="1"/>
  <c r="K7725" i="1" a="1"/>
  <c r="K7725" i="1" s="1"/>
  <c r="P7725" i="1" a="1"/>
  <c r="P7725" i="1" s="1"/>
  <c r="L7725" i="1" a="1"/>
  <c r="L7725" i="1" s="1"/>
  <c r="Q7725" i="1" a="1"/>
  <c r="Q7725" i="1" s="1"/>
  <c r="M7725" i="1" a="1"/>
  <c r="M7725" i="1" s="1"/>
  <c r="J7725" i="1" a="1"/>
  <c r="J7725" i="1" s="1"/>
  <c r="S7725" i="1" a="1"/>
  <c r="S7725" i="1" s="1"/>
  <c r="O7725" i="1" a="1"/>
  <c r="O7725" i="1" s="1"/>
  <c r="R7725" i="1" a="1"/>
  <c r="R7725" i="1" s="1"/>
  <c r="N7725" i="1" a="1"/>
  <c r="N7725" i="1" s="1"/>
  <c r="I7725" i="1" a="1"/>
  <c r="I7725" i="1" s="1"/>
  <c r="Q6395" i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H7728" i="1" l="1"/>
  <c r="A7729" i="1"/>
  <c r="L7726" i="1" a="1"/>
  <c r="L7726" i="1" s="1"/>
  <c r="Q7726" i="1" a="1"/>
  <c r="Q7726" i="1" s="1"/>
  <c r="M7726" i="1" a="1"/>
  <c r="M7726" i="1" s="1"/>
  <c r="I7726" i="1" a="1"/>
  <c r="I7726" i="1" s="1"/>
  <c r="R7726" i="1" a="1"/>
  <c r="R7726" i="1" s="1"/>
  <c r="O7726" i="1" a="1"/>
  <c r="O7726" i="1" s="1"/>
  <c r="P7726" i="1" a="1"/>
  <c r="P7726" i="1" s="1"/>
  <c r="B7727" i="1"/>
  <c r="S7726" i="1" a="1"/>
  <c r="S7726" i="1" s="1"/>
  <c r="J7726" i="1" a="1"/>
  <c r="J7726" i="1" s="1"/>
  <c r="K7726" i="1" a="1"/>
  <c r="K7726" i="1" s="1"/>
  <c r="N7726" i="1" a="1"/>
  <c r="N7726" i="1" s="1"/>
  <c r="K6396" i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Q7727" i="1" l="1" a="1"/>
  <c r="Q7727" i="1" s="1"/>
  <c r="M7727" i="1" a="1"/>
  <c r="M7727" i="1" s="1"/>
  <c r="I7727" i="1" a="1"/>
  <c r="I7727" i="1" s="1"/>
  <c r="R7727" i="1" a="1"/>
  <c r="R7727" i="1" s="1"/>
  <c r="N7727" i="1" a="1"/>
  <c r="N7727" i="1" s="1"/>
  <c r="S7727" i="1" a="1"/>
  <c r="S7727" i="1" s="1"/>
  <c r="B7728" i="1"/>
  <c r="L7727" i="1" a="1"/>
  <c r="L7727" i="1" s="1"/>
  <c r="O7727" i="1" a="1"/>
  <c r="O7727" i="1" s="1"/>
  <c r="J7727" i="1" a="1"/>
  <c r="J7727" i="1" s="1"/>
  <c r="P7727" i="1" a="1"/>
  <c r="P7727" i="1" s="1"/>
  <c r="K7727" i="1" a="1"/>
  <c r="K7727" i="1" s="1"/>
  <c r="H7729" i="1"/>
  <c r="A7730" i="1"/>
  <c r="I6397" i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M7728" i="1" l="1" a="1"/>
  <c r="M7728" i="1" s="1"/>
  <c r="R7728" i="1" a="1"/>
  <c r="R7728" i="1" s="1"/>
  <c r="I7728" i="1" a="1"/>
  <c r="I7728" i="1" s="1"/>
  <c r="N7728" i="1" a="1"/>
  <c r="N7728" i="1" s="1"/>
  <c r="J7728" i="1" a="1"/>
  <c r="J7728" i="1" s="1"/>
  <c r="S7728" i="1" a="1"/>
  <c r="S7728" i="1" s="1"/>
  <c r="O7728" i="1" a="1"/>
  <c r="O7728" i="1" s="1"/>
  <c r="Q7728" i="1" a="1"/>
  <c r="Q7728" i="1" s="1"/>
  <c r="K7728" i="1" a="1"/>
  <c r="K7728" i="1" s="1"/>
  <c r="B7729" i="1"/>
  <c r="P7728" i="1" a="1"/>
  <c r="P7728" i="1" s="1"/>
  <c r="L7728" i="1" a="1"/>
  <c r="L7728" i="1" s="1"/>
  <c r="A7731" i="1"/>
  <c r="H7730" i="1"/>
  <c r="L6398" i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A7732" i="1" l="1"/>
  <c r="H7731" i="1"/>
  <c r="B7730" i="1"/>
  <c r="N7729" i="1" a="1"/>
  <c r="N7729" i="1" s="1"/>
  <c r="S7729" i="1" a="1"/>
  <c r="S7729" i="1" s="1"/>
  <c r="J7729" i="1" a="1"/>
  <c r="J7729" i="1" s="1"/>
  <c r="O7729" i="1" a="1"/>
  <c r="O7729" i="1" s="1"/>
  <c r="K7729" i="1" a="1"/>
  <c r="K7729" i="1" s="1"/>
  <c r="M7729" i="1" a="1"/>
  <c r="M7729" i="1" s="1"/>
  <c r="P7729" i="1" a="1"/>
  <c r="P7729" i="1" s="1"/>
  <c r="Q7729" i="1" a="1"/>
  <c r="Q7729" i="1" s="1"/>
  <c r="L7729" i="1" a="1"/>
  <c r="L7729" i="1" s="1"/>
  <c r="I7729" i="1" a="1"/>
  <c r="I7729" i="1" s="1"/>
  <c r="R7729" i="1" a="1"/>
  <c r="R7729" i="1" s="1"/>
  <c r="Q6399" i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J7730" i="1" l="1" a="1"/>
  <c r="J7730" i="1" s="1"/>
  <c r="S7730" i="1" a="1"/>
  <c r="S7730" i="1" s="1"/>
  <c r="O7730" i="1" a="1"/>
  <c r="O7730" i="1" s="1"/>
  <c r="P7730" i="1" a="1"/>
  <c r="P7730" i="1" s="1"/>
  <c r="K7730" i="1" a="1"/>
  <c r="K7730" i="1" s="1"/>
  <c r="B7731" i="1"/>
  <c r="L7730" i="1" a="1"/>
  <c r="L7730" i="1" s="1"/>
  <c r="I7730" i="1" a="1"/>
  <c r="I7730" i="1" s="1"/>
  <c r="R7730" i="1" a="1"/>
  <c r="R7730" i="1" s="1"/>
  <c r="N7730" i="1" a="1"/>
  <c r="N7730" i="1" s="1"/>
  <c r="M7730" i="1" a="1"/>
  <c r="M7730" i="1" s="1"/>
  <c r="Q7730" i="1" a="1"/>
  <c r="Q7730" i="1" s="1"/>
  <c r="H7732" i="1"/>
  <c r="A7733" i="1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H7733" i="1" l="1"/>
  <c r="A7734" i="1"/>
  <c r="K7731" i="1" a="1"/>
  <c r="K7731" i="1" s="1"/>
  <c r="P7731" i="1" a="1"/>
  <c r="P7731" i="1" s="1"/>
  <c r="B7732" i="1"/>
  <c r="L7731" i="1" a="1"/>
  <c r="L7731" i="1" s="1"/>
  <c r="Q7731" i="1" a="1"/>
  <c r="Q7731" i="1" s="1"/>
  <c r="N7731" i="1" a="1"/>
  <c r="N7731" i="1" s="1"/>
  <c r="O7731" i="1" a="1"/>
  <c r="O7731" i="1" s="1"/>
  <c r="R7731" i="1" a="1"/>
  <c r="R7731" i="1" s="1"/>
  <c r="M7731" i="1" a="1"/>
  <c r="M7731" i="1" s="1"/>
  <c r="J7731" i="1" a="1"/>
  <c r="J7731" i="1" s="1"/>
  <c r="I7731" i="1" a="1"/>
  <c r="I7731" i="1" s="1"/>
  <c r="S7731" i="1" a="1"/>
  <c r="S7731" i="1" s="1"/>
  <c r="J6401" i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P7732" i="1" l="1" a="1"/>
  <c r="P7732" i="1" s="1"/>
  <c r="B7733" i="1"/>
  <c r="L7732" i="1" a="1"/>
  <c r="L7732" i="1" s="1"/>
  <c r="Q7732" i="1" a="1"/>
  <c r="Q7732" i="1" s="1"/>
  <c r="M7732" i="1" a="1"/>
  <c r="M7732" i="1" s="1"/>
  <c r="R7732" i="1" a="1"/>
  <c r="R7732" i="1" s="1"/>
  <c r="K7732" i="1" a="1"/>
  <c r="K7732" i="1" s="1"/>
  <c r="N7732" i="1" a="1"/>
  <c r="N7732" i="1" s="1"/>
  <c r="I7732" i="1" a="1"/>
  <c r="I7732" i="1" s="1"/>
  <c r="S7732" i="1" a="1"/>
  <c r="S7732" i="1" s="1"/>
  <c r="J7732" i="1" a="1"/>
  <c r="J7732" i="1" s="1"/>
  <c r="O7732" i="1" a="1"/>
  <c r="O7732" i="1" s="1"/>
  <c r="H7734" i="1"/>
  <c r="A7735" i="1"/>
  <c r="Q6402" i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A7736" i="1" l="1"/>
  <c r="H7735" i="1"/>
  <c r="B7734" i="1"/>
  <c r="L7733" i="1" a="1"/>
  <c r="L7733" i="1" s="1"/>
  <c r="Q7733" i="1" a="1"/>
  <c r="Q7733" i="1" s="1"/>
  <c r="M7733" i="1" a="1"/>
  <c r="M7733" i="1" s="1"/>
  <c r="I7733" i="1" a="1"/>
  <c r="I7733" i="1" s="1"/>
  <c r="R7733" i="1" a="1"/>
  <c r="R7733" i="1" s="1"/>
  <c r="N7733" i="1" a="1"/>
  <c r="N7733" i="1" s="1"/>
  <c r="P7733" i="1" a="1"/>
  <c r="P7733" i="1" s="1"/>
  <c r="S7733" i="1" a="1"/>
  <c r="S7733" i="1" s="1"/>
  <c r="J7733" i="1" a="1"/>
  <c r="J7733" i="1" s="1"/>
  <c r="K7733" i="1" a="1"/>
  <c r="K7733" i="1" s="1"/>
  <c r="O7733" i="1" a="1"/>
  <c r="O7733" i="1" s="1"/>
  <c r="J6403" i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M7734" i="1" l="1" a="1"/>
  <c r="M7734" i="1" s="1"/>
  <c r="I7734" i="1" a="1"/>
  <c r="I7734" i="1" s="1"/>
  <c r="R7734" i="1" a="1"/>
  <c r="R7734" i="1" s="1"/>
  <c r="N7734" i="1" a="1"/>
  <c r="N7734" i="1" s="1"/>
  <c r="J7734" i="1" a="1"/>
  <c r="J7734" i="1" s="1"/>
  <c r="S7734" i="1" a="1"/>
  <c r="S7734" i="1" s="1"/>
  <c r="L7734" i="1" a="1"/>
  <c r="L7734" i="1" s="1"/>
  <c r="B7735" i="1"/>
  <c r="O7734" i="1" a="1"/>
  <c r="O7734" i="1" s="1"/>
  <c r="K7734" i="1" a="1"/>
  <c r="K7734" i="1" s="1"/>
  <c r="P7734" i="1" a="1"/>
  <c r="P7734" i="1" s="1"/>
  <c r="Q7734" i="1" a="1"/>
  <c r="Q7734" i="1" s="1"/>
  <c r="A7737" i="1"/>
  <c r="H7736" i="1"/>
  <c r="Q6404" i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I7735" i="1" l="1" a="1"/>
  <c r="I7735" i="1" s="1"/>
  <c r="R7735" i="1" a="1"/>
  <c r="R7735" i="1" s="1"/>
  <c r="N7735" i="1" a="1"/>
  <c r="N7735" i="1" s="1"/>
  <c r="S7735" i="1" a="1"/>
  <c r="S7735" i="1" s="1"/>
  <c r="O7735" i="1" a="1"/>
  <c r="O7735" i="1" s="1"/>
  <c r="J7735" i="1" a="1"/>
  <c r="J7735" i="1" s="1"/>
  <c r="K7735" i="1" a="1"/>
  <c r="K7735" i="1" s="1"/>
  <c r="Q7735" i="1" a="1"/>
  <c r="Q7735" i="1" s="1"/>
  <c r="M7735" i="1" a="1"/>
  <c r="M7735" i="1" s="1"/>
  <c r="B7736" i="1"/>
  <c r="L7735" i="1" a="1"/>
  <c r="L7735" i="1" s="1"/>
  <c r="P7735" i="1" a="1"/>
  <c r="P7735" i="1" s="1"/>
  <c r="H7737" i="1"/>
  <c r="A7738" i="1"/>
  <c r="K6405" i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J7736" i="1" l="1" a="1"/>
  <c r="J7736" i="1" s="1"/>
  <c r="S7736" i="1" a="1"/>
  <c r="S7736" i="1" s="1"/>
  <c r="O7736" i="1" a="1"/>
  <c r="O7736" i="1" s="1"/>
  <c r="K7736" i="1" a="1"/>
  <c r="K7736" i="1" s="1"/>
  <c r="P7736" i="1" a="1"/>
  <c r="P7736" i="1" s="1"/>
  <c r="B7737" i="1"/>
  <c r="M7736" i="1" a="1"/>
  <c r="M7736" i="1" s="1"/>
  <c r="N7736" i="1" a="1"/>
  <c r="N7736" i="1" s="1"/>
  <c r="Q7736" i="1" a="1"/>
  <c r="Q7736" i="1" s="1"/>
  <c r="R7736" i="1" a="1"/>
  <c r="R7736" i="1" s="1"/>
  <c r="I7736" i="1" a="1"/>
  <c r="I7736" i="1" s="1"/>
  <c r="L7736" i="1" a="1"/>
  <c r="L7736" i="1" s="1"/>
  <c r="H7738" i="1"/>
  <c r="A7739" i="1"/>
  <c r="I6406" i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B7738" i="1" l="1"/>
  <c r="O7737" i="1" a="1"/>
  <c r="O7737" i="1" s="1"/>
  <c r="K7737" i="1" a="1"/>
  <c r="K7737" i="1" s="1"/>
  <c r="P7737" i="1" a="1"/>
  <c r="P7737" i="1" s="1"/>
  <c r="L7737" i="1" a="1"/>
  <c r="L7737" i="1" s="1"/>
  <c r="Q7737" i="1" a="1"/>
  <c r="Q7737" i="1" s="1"/>
  <c r="J7737" i="1" a="1"/>
  <c r="J7737" i="1" s="1"/>
  <c r="S7737" i="1" a="1"/>
  <c r="S7737" i="1" s="1"/>
  <c r="M7737" i="1" a="1"/>
  <c r="M7737" i="1" s="1"/>
  <c r="R7737" i="1" a="1"/>
  <c r="R7737" i="1" s="1"/>
  <c r="N7737" i="1" a="1"/>
  <c r="N7737" i="1" s="1"/>
  <c r="I7737" i="1" a="1"/>
  <c r="I7737" i="1" s="1"/>
  <c r="H7739" i="1"/>
  <c r="A7740" i="1"/>
  <c r="K6407" i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H7740" i="1" l="1"/>
  <c r="A7741" i="1"/>
  <c r="K7738" i="1" a="1"/>
  <c r="K7738" i="1" s="1"/>
  <c r="P7738" i="1" a="1"/>
  <c r="P7738" i="1" s="1"/>
  <c r="B7739" i="1"/>
  <c r="Q7738" i="1" a="1"/>
  <c r="Q7738" i="1" s="1"/>
  <c r="L7738" i="1" a="1"/>
  <c r="L7738" i="1" s="1"/>
  <c r="M7738" i="1" a="1"/>
  <c r="M7738" i="1" s="1"/>
  <c r="O7738" i="1" a="1"/>
  <c r="O7738" i="1" s="1"/>
  <c r="R7738" i="1" a="1"/>
  <c r="R7738" i="1" s="1"/>
  <c r="I7738" i="1" a="1"/>
  <c r="I7738" i="1" s="1"/>
  <c r="J7738" i="1" a="1"/>
  <c r="J7738" i="1" s="1"/>
  <c r="N7738" i="1" a="1"/>
  <c r="N7738" i="1" s="1"/>
  <c r="S7738" i="1" a="1"/>
  <c r="S7738" i="1" s="1"/>
  <c r="L6408" i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L7739" i="1" l="1" a="1"/>
  <c r="L7739" i="1" s="1"/>
  <c r="Q7739" i="1" a="1"/>
  <c r="Q7739" i="1" s="1"/>
  <c r="M7739" i="1" a="1"/>
  <c r="M7739" i="1" s="1"/>
  <c r="I7739" i="1" a="1"/>
  <c r="I7739" i="1" s="1"/>
  <c r="R7739" i="1" a="1"/>
  <c r="R7739" i="1" s="1"/>
  <c r="K7739" i="1" a="1"/>
  <c r="K7739" i="1" s="1"/>
  <c r="B7740" i="1"/>
  <c r="O7739" i="1" a="1"/>
  <c r="O7739" i="1" s="1"/>
  <c r="S7739" i="1" a="1"/>
  <c r="S7739" i="1" s="1"/>
  <c r="J7739" i="1" a="1"/>
  <c r="J7739" i="1" s="1"/>
  <c r="N7739" i="1" a="1"/>
  <c r="N7739" i="1" s="1"/>
  <c r="P7739" i="1" a="1"/>
  <c r="P7739" i="1" s="1"/>
  <c r="H7741" i="1"/>
  <c r="A7742" i="1"/>
  <c r="K6409" i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Q7740" i="1" l="1" a="1"/>
  <c r="Q7740" i="1" s="1"/>
  <c r="M7740" i="1" a="1"/>
  <c r="M7740" i="1" s="1"/>
  <c r="R7740" i="1" a="1"/>
  <c r="R7740" i="1" s="1"/>
  <c r="N7740" i="1" a="1"/>
  <c r="N7740" i="1" s="1"/>
  <c r="I7740" i="1" a="1"/>
  <c r="I7740" i="1" s="1"/>
  <c r="J7740" i="1" a="1"/>
  <c r="J7740" i="1" s="1"/>
  <c r="S7740" i="1" a="1"/>
  <c r="S7740" i="1" s="1"/>
  <c r="P7740" i="1" a="1"/>
  <c r="P7740" i="1" s="1"/>
  <c r="K7740" i="1" a="1"/>
  <c r="K7740" i="1" s="1"/>
  <c r="B7741" i="1"/>
  <c r="L7740" i="1" a="1"/>
  <c r="L7740" i="1" s="1"/>
  <c r="O7740" i="1" a="1"/>
  <c r="O7740" i="1" s="1"/>
  <c r="A7743" i="1"/>
  <c r="H7742" i="1"/>
  <c r="L6410" i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A7744" i="1" l="1"/>
  <c r="H7743" i="1"/>
  <c r="B7742" i="1"/>
  <c r="I7741" i="1" a="1"/>
  <c r="I7741" i="1" s="1"/>
  <c r="R7741" i="1" a="1"/>
  <c r="R7741" i="1" s="1"/>
  <c r="N7741" i="1" a="1"/>
  <c r="N7741" i="1" s="1"/>
  <c r="S7741" i="1" a="1"/>
  <c r="S7741" i="1" s="1"/>
  <c r="J7741" i="1" a="1"/>
  <c r="J7741" i="1" s="1"/>
  <c r="O7741" i="1" a="1"/>
  <c r="O7741" i="1" s="1"/>
  <c r="L7741" i="1" a="1"/>
  <c r="L7741" i="1" s="1"/>
  <c r="K7741" i="1" a="1"/>
  <c r="K7741" i="1" s="1"/>
  <c r="M7741" i="1" a="1"/>
  <c r="M7741" i="1" s="1"/>
  <c r="P7741" i="1" a="1"/>
  <c r="P7741" i="1" s="1"/>
  <c r="Q7741" i="1" a="1"/>
  <c r="Q7741" i="1" s="1"/>
  <c r="K6411" i="1" a="1"/>
  <c r="K6411" i="1" s="1"/>
  <c r="L6411" i="1" a="1"/>
  <c r="L6411" i="1" s="1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N7742" i="1" l="1" a="1"/>
  <c r="N7742" i="1" s="1"/>
  <c r="J7742" i="1" a="1"/>
  <c r="J7742" i="1" s="1"/>
  <c r="S7742" i="1" a="1"/>
  <c r="S7742" i="1" s="1"/>
  <c r="O7742" i="1" a="1"/>
  <c r="O7742" i="1" s="1"/>
  <c r="P7742" i="1" a="1"/>
  <c r="P7742" i="1" s="1"/>
  <c r="B7743" i="1"/>
  <c r="K7742" i="1" a="1"/>
  <c r="K7742" i="1" s="1"/>
  <c r="I7742" i="1" a="1"/>
  <c r="I7742" i="1" s="1"/>
  <c r="R7742" i="1" a="1"/>
  <c r="R7742" i="1" s="1"/>
  <c r="M7742" i="1" a="1"/>
  <c r="M7742" i="1" s="1"/>
  <c r="L7742" i="1" a="1"/>
  <c r="L7742" i="1" s="1"/>
  <c r="Q7742" i="1" a="1"/>
  <c r="Q7742" i="1" s="1"/>
  <c r="A7745" i="1"/>
  <c r="H7745" i="1" s="1"/>
  <c r="H7744" i="1"/>
  <c r="Q6412" i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C59" i="2"/>
  <c r="E173" i="2"/>
  <c r="E131" i="2"/>
  <c r="C31" i="2"/>
  <c r="E152" i="2"/>
  <c r="C181" i="2"/>
  <c r="D184" i="2"/>
  <c r="E130" i="2"/>
  <c r="D43" i="2"/>
  <c r="E83" i="2"/>
  <c r="C159" i="2"/>
  <c r="E160" i="2"/>
  <c r="C170" i="2"/>
  <c r="E23" i="2"/>
  <c r="C158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E40" i="2" l="1"/>
  <c r="E190" i="2"/>
  <c r="C185" i="2"/>
  <c r="J7743" i="1" a="1"/>
  <c r="J7743" i="1" s="1"/>
  <c r="O7743" i="1" a="1"/>
  <c r="O7743" i="1" s="1"/>
  <c r="P7743" i="1" a="1"/>
  <c r="P7743" i="1" s="1"/>
  <c r="K7743" i="1" a="1"/>
  <c r="K7743" i="1" s="1"/>
  <c r="B7744" i="1"/>
  <c r="L7743" i="1" a="1"/>
  <c r="L7743" i="1" s="1"/>
  <c r="N7743" i="1" a="1"/>
  <c r="N7743" i="1" s="1"/>
  <c r="Q7743" i="1" a="1"/>
  <c r="Q7743" i="1" s="1"/>
  <c r="I7743" i="1" a="1"/>
  <c r="I7743" i="1" s="1"/>
  <c r="R7743" i="1" a="1"/>
  <c r="R7743" i="1" s="1"/>
  <c r="S7743" i="1" a="1"/>
  <c r="S7743" i="1" s="1"/>
  <c r="M7743" i="1" a="1"/>
  <c r="M7743" i="1" s="1"/>
  <c r="C207" i="2"/>
  <c r="D202" i="2"/>
  <c r="C202" i="2"/>
  <c r="E202" i="2"/>
  <c r="D207" i="2"/>
  <c r="E207" i="2"/>
  <c r="Q6413" i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  <c r="C153" i="2" l="1"/>
  <c r="C57" i="2"/>
  <c r="E32" i="2"/>
  <c r="E53" i="2"/>
  <c r="E158" i="2"/>
  <c r="E155" i="2"/>
  <c r="C172" i="2"/>
  <c r="C21" i="2"/>
  <c r="E118" i="2"/>
  <c r="E122" i="2"/>
  <c r="C117" i="2"/>
  <c r="C118" i="2"/>
  <c r="D185" i="2"/>
  <c r="C122" i="2"/>
  <c r="C110" i="2"/>
  <c r="C42" i="2"/>
  <c r="E119" i="2"/>
  <c r="C60" i="2"/>
  <c r="E82" i="2"/>
  <c r="E64" i="2"/>
  <c r="E49" i="2"/>
  <c r="E91" i="2"/>
  <c r="C138" i="2"/>
  <c r="E170" i="2"/>
  <c r="D189" i="2"/>
  <c r="E105" i="2"/>
  <c r="C98" i="2"/>
  <c r="C14" i="2"/>
  <c r="C148" i="2"/>
  <c r="D106" i="2"/>
  <c r="E157" i="2"/>
  <c r="C86" i="2"/>
  <c r="C33" i="2"/>
  <c r="E175" i="2"/>
  <c r="C44" i="2"/>
  <c r="C169" i="2"/>
  <c r="C177" i="2"/>
  <c r="E58" i="2"/>
  <c r="C84" i="2"/>
  <c r="C176" i="2"/>
  <c r="C24" i="2"/>
  <c r="C83" i="2"/>
  <c r="E159" i="2"/>
  <c r="C173" i="2"/>
  <c r="C155" i="2"/>
  <c r="C75" i="2"/>
  <c r="C175" i="2"/>
  <c r="E86" i="2"/>
  <c r="C183" i="2"/>
  <c r="E163" i="2"/>
  <c r="E13" i="2"/>
  <c r="C40" i="2"/>
  <c r="C25" i="2"/>
  <c r="E5" i="2"/>
  <c r="C72" i="2"/>
  <c r="C95" i="2"/>
  <c r="E176" i="2"/>
  <c r="C90" i="2"/>
  <c r="C94" i="2"/>
  <c r="C106" i="2"/>
  <c r="E125" i="2"/>
  <c r="C115" i="2"/>
  <c r="D120" i="2"/>
  <c r="C143" i="2"/>
  <c r="C49" i="2"/>
  <c r="E71" i="2"/>
  <c r="E136" i="2"/>
  <c r="C85" i="2"/>
  <c r="C99" i="2"/>
  <c r="C67" i="2"/>
  <c r="E57" i="2"/>
  <c r="C38" i="2"/>
  <c r="C149" i="2"/>
  <c r="C63" i="2"/>
  <c r="D101" i="2"/>
  <c r="E177" i="2"/>
  <c r="D71" i="2"/>
  <c r="C15" i="2"/>
  <c r="E153" i="2"/>
  <c r="C11" i="2"/>
  <c r="E174" i="2"/>
  <c r="C74" i="2"/>
  <c r="C171" i="2"/>
  <c r="C137" i="2"/>
  <c r="E33" i="2"/>
  <c r="C80" i="2"/>
  <c r="E42" i="2"/>
  <c r="E48" i="2"/>
  <c r="C82" i="2"/>
  <c r="E162" i="2"/>
  <c r="C88" i="2"/>
  <c r="D118" i="2"/>
  <c r="C105" i="2"/>
  <c r="E189" i="2"/>
  <c r="E124" i="2"/>
  <c r="C125" i="2"/>
  <c r="D154" i="2"/>
  <c r="C156" i="2"/>
  <c r="C136" i="2"/>
  <c r="E16" i="2"/>
  <c r="D152" i="2"/>
  <c r="E56" i="2"/>
  <c r="C187" i="2"/>
  <c r="E141" i="2"/>
  <c r="C87" i="2"/>
  <c r="E24" i="2"/>
  <c r="D146" i="2"/>
  <c r="D52" i="2"/>
  <c r="C5" i="2"/>
  <c r="E142" i="2"/>
  <c r="C35" i="2"/>
  <c r="E45" i="2"/>
  <c r="E137" i="2"/>
  <c r="E145" i="2"/>
  <c r="E29" i="2"/>
  <c r="C127" i="2"/>
  <c r="E156" i="2"/>
  <c r="E143" i="2"/>
  <c r="C58" i="2"/>
  <c r="C111" i="2"/>
  <c r="C76" i="2"/>
  <c r="C145" i="2"/>
  <c r="C32" i="2"/>
  <c r="C114" i="2"/>
  <c r="C64" i="2"/>
  <c r="C144" i="2"/>
  <c r="E139" i="2"/>
  <c r="C188" i="2"/>
  <c r="C151" i="2"/>
  <c r="C30" i="2"/>
  <c r="D155" i="2"/>
  <c r="C154" i="2"/>
  <c r="K7744" i="1" a="1"/>
  <c r="K7744" i="1" s="1"/>
  <c r="P7744" i="1" a="1"/>
  <c r="P7744" i="1" s="1"/>
  <c r="L7744" i="1" a="1"/>
  <c r="L7744" i="1" s="1"/>
  <c r="B7745" i="1"/>
  <c r="Q7744" i="1" a="1"/>
  <c r="Q7744" i="1" s="1"/>
  <c r="J7744" i="1" a="1"/>
  <c r="J7744" i="1" s="1"/>
  <c r="S7744" i="1" a="1"/>
  <c r="S7744" i="1" s="1"/>
  <c r="M7744" i="1" a="1"/>
  <c r="M7744" i="1" s="1"/>
  <c r="N7744" i="1" a="1"/>
  <c r="N7744" i="1" s="1"/>
  <c r="I7744" i="1" a="1"/>
  <c r="I7744" i="1" s="1"/>
  <c r="R7744" i="1" a="1"/>
  <c r="R7744" i="1" s="1"/>
  <c r="O7744" i="1" a="1"/>
  <c r="O7744" i="1" s="1"/>
  <c r="E184" i="2"/>
  <c r="E121" i="2"/>
  <c r="E146" i="2"/>
  <c r="E140" i="2"/>
  <c r="E161" i="2"/>
  <c r="C152" i="2"/>
  <c r="E114" i="2"/>
  <c r="C93" i="2"/>
  <c r="E3" i="2"/>
  <c r="C36" i="2"/>
  <c r="D151" i="2"/>
  <c r="E135" i="2"/>
  <c r="E76" i="2"/>
  <c r="C190" i="2"/>
  <c r="E188" i="2"/>
  <c r="E166" i="2"/>
  <c r="C45" i="2"/>
  <c r="C50" i="2"/>
  <c r="E165" i="2"/>
  <c r="E84" i="2"/>
  <c r="C189" i="2"/>
  <c r="C19" i="2"/>
  <c r="E186" i="2"/>
  <c r="E187" i="2"/>
  <c r="C123" i="2"/>
  <c r="C186" i="2"/>
  <c r="E79" i="2"/>
  <c r="C133" i="2"/>
  <c r="C26" i="2"/>
  <c r="E183" i="2"/>
  <c r="C184" i="2"/>
  <c r="C22" i="2"/>
  <c r="E185" i="2"/>
  <c r="D30" i="2"/>
  <c r="E150" i="2"/>
  <c r="P7745" i="1" l="1" a="1"/>
  <c r="P7745" i="1" s="1"/>
  <c r="L7745" i="1" a="1"/>
  <c r="L7745" i="1" s="1"/>
  <c r="M7745" i="1" a="1"/>
  <c r="M7745" i="1" s="1"/>
  <c r="Q7745" i="1" a="1"/>
  <c r="Q7745" i="1" s="1"/>
  <c r="R7745" i="1" a="1"/>
  <c r="R7745" i="1" s="1"/>
  <c r="I7745" i="1" a="1"/>
  <c r="I7745" i="1" s="1"/>
  <c r="O7745" i="1" a="1"/>
  <c r="O7745" i="1" s="1"/>
  <c r="J7745" i="1" a="1"/>
  <c r="J7745" i="1" s="1"/>
  <c r="K7745" i="1" a="1"/>
  <c r="K7745" i="1" s="1"/>
  <c r="S7745" i="1" a="1"/>
  <c r="S7745" i="1" s="1"/>
  <c r="N7745" i="1" a="1"/>
  <c r="N7745" i="1" s="1"/>
  <c r="E280" i="2"/>
  <c r="D283" i="2"/>
  <c r="E286" i="2"/>
  <c r="E282" i="2"/>
  <c r="C284" i="2"/>
  <c r="E281" i="2"/>
  <c r="D280" i="2"/>
  <c r="D286" i="2"/>
  <c r="C280" i="2"/>
  <c r="C286" i="2"/>
  <c r="E283" i="2"/>
  <c r="D284" i="2"/>
  <c r="D281" i="2"/>
  <c r="D285" i="2"/>
  <c r="C285" i="2"/>
  <c r="C282" i="2"/>
  <c r="D282" i="2"/>
  <c r="C281" i="2"/>
  <c r="E285" i="2"/>
  <c r="E284" i="2"/>
  <c r="C283" i="2"/>
  <c r="D279" i="2"/>
  <c r="D241" i="2"/>
  <c r="E252" i="2"/>
  <c r="C219" i="2"/>
  <c r="D251" i="2"/>
  <c r="D267" i="2"/>
  <c r="E238" i="2"/>
  <c r="E276" i="2"/>
  <c r="D220" i="2"/>
  <c r="E249" i="2"/>
  <c r="C228" i="2"/>
  <c r="E270" i="2"/>
  <c r="E227" i="2"/>
  <c r="D234" i="2"/>
  <c r="C243" i="2"/>
  <c r="C245" i="2"/>
  <c r="D268" i="2"/>
  <c r="E262" i="2"/>
  <c r="C239" i="2"/>
  <c r="D236" i="2"/>
  <c r="E272" i="2"/>
  <c r="C249" i="2"/>
  <c r="C247" i="2"/>
  <c r="D249" i="2"/>
  <c r="D270" i="2"/>
  <c r="E225" i="2"/>
  <c r="C255" i="2"/>
  <c r="E247" i="2"/>
  <c r="E245" i="2"/>
  <c r="D277" i="2"/>
  <c r="D253" i="2"/>
  <c r="E267" i="2"/>
  <c r="D222" i="2"/>
  <c r="C226" i="2"/>
  <c r="C218" i="2"/>
  <c r="D221" i="2"/>
  <c r="C233" i="2"/>
  <c r="E266" i="2"/>
  <c r="D226" i="2"/>
  <c r="E223" i="2"/>
  <c r="C238" i="2"/>
  <c r="D239" i="2"/>
  <c r="D278" i="2"/>
  <c r="E277" i="2"/>
  <c r="D252" i="2"/>
  <c r="E254" i="2"/>
  <c r="E241" i="2"/>
  <c r="D274" i="2"/>
  <c r="E274" i="2"/>
  <c r="C221" i="2"/>
  <c r="D216" i="2"/>
  <c r="D275" i="2"/>
  <c r="E220" i="2"/>
  <c r="C222" i="2"/>
  <c r="C269" i="2"/>
  <c r="D228" i="2"/>
  <c r="C237" i="2"/>
  <c r="E251" i="2"/>
  <c r="E240" i="2"/>
  <c r="D260" i="2"/>
  <c r="C232" i="2"/>
  <c r="E224" i="2"/>
  <c r="E279" i="2"/>
  <c r="D264" i="2"/>
  <c r="D225" i="2"/>
  <c r="D261" i="2"/>
  <c r="C223" i="2"/>
  <c r="D238" i="2"/>
  <c r="E243" i="2"/>
  <c r="D219" i="2"/>
  <c r="C274" i="2"/>
  <c r="D255" i="2"/>
  <c r="C220" i="2"/>
  <c r="D259" i="2"/>
  <c r="D227" i="2"/>
  <c r="D242" i="2"/>
  <c r="E242" i="2"/>
  <c r="C266" i="2"/>
  <c r="D257" i="2"/>
  <c r="E261" i="2"/>
  <c r="E257" i="2"/>
  <c r="E263" i="2"/>
  <c r="C261" i="2"/>
  <c r="C235" i="2"/>
  <c r="E244" i="2"/>
  <c r="D243" i="2"/>
  <c r="C225" i="2"/>
  <c r="C244" i="2"/>
  <c r="C272" i="2"/>
  <c r="D248" i="2"/>
  <c r="C270" i="2"/>
  <c r="C276" i="2"/>
  <c r="E216" i="2"/>
  <c r="D247" i="2"/>
  <c r="C275" i="2"/>
  <c r="D240" i="2"/>
  <c r="C256" i="2"/>
  <c r="E230" i="2"/>
  <c r="C254" i="2"/>
  <c r="C253" i="2"/>
  <c r="D272" i="2"/>
  <c r="E222" i="2"/>
  <c r="D224" i="2"/>
  <c r="E235" i="2"/>
  <c r="E226" i="2"/>
  <c r="C252" i="2"/>
  <c r="D244" i="2"/>
  <c r="C217" i="2"/>
  <c r="E221" i="2"/>
  <c r="D273" i="2"/>
  <c r="C265" i="2"/>
  <c r="E273" i="2"/>
  <c r="D263" i="2"/>
  <c r="E236" i="2"/>
  <c r="E234" i="2"/>
  <c r="C268" i="2"/>
  <c r="E217" i="2"/>
  <c r="C246" i="2"/>
  <c r="C258" i="2"/>
  <c r="D218" i="2"/>
  <c r="C257" i="2"/>
  <c r="C264" i="2"/>
  <c r="C240" i="2"/>
  <c r="C215" i="2"/>
  <c r="C248" i="2"/>
  <c r="D250" i="2"/>
  <c r="C267" i="2"/>
  <c r="E229" i="2"/>
  <c r="D215" i="2"/>
  <c r="E268" i="2"/>
  <c r="E259" i="2"/>
  <c r="E215" i="2"/>
  <c r="E265" i="2"/>
  <c r="E246" i="2"/>
  <c r="D231" i="2"/>
  <c r="E256" i="2"/>
  <c r="C263" i="2"/>
  <c r="E232" i="2"/>
  <c r="D237" i="2"/>
  <c r="D276" i="2"/>
  <c r="D266" i="2"/>
  <c r="D229" i="2"/>
  <c r="C259" i="2"/>
  <c r="D256" i="2"/>
  <c r="D258" i="2"/>
  <c r="C250" i="2"/>
  <c r="E260" i="2"/>
  <c r="E271" i="2"/>
  <c r="E237" i="2"/>
  <c r="D230" i="2"/>
  <c r="C230" i="2"/>
  <c r="C242" i="2"/>
  <c r="C229" i="2"/>
  <c r="D265" i="2"/>
  <c r="D246" i="2"/>
  <c r="E253" i="2"/>
  <c r="C241" i="2"/>
  <c r="E231" i="2"/>
  <c r="D269" i="2"/>
  <c r="C236" i="2"/>
  <c r="C271" i="2"/>
  <c r="D233" i="2"/>
  <c r="E219" i="2"/>
  <c r="D223" i="2"/>
  <c r="E250" i="2"/>
  <c r="C224" i="2"/>
  <c r="C234" i="2"/>
  <c r="E258" i="2"/>
  <c r="C231" i="2"/>
  <c r="E228" i="2"/>
  <c r="E239" i="2"/>
  <c r="C262" i="2"/>
  <c r="C227" i="2"/>
  <c r="E269" i="2"/>
  <c r="C277" i="2"/>
  <c r="E255" i="2"/>
  <c r="D271" i="2"/>
  <c r="D262" i="2"/>
  <c r="C279" i="2"/>
  <c r="E264" i="2"/>
  <c r="D254" i="2"/>
  <c r="C273" i="2"/>
  <c r="C251" i="2"/>
  <c r="C216" i="2"/>
  <c r="D235" i="2"/>
  <c r="D217" i="2"/>
  <c r="E278" i="2"/>
  <c r="E218" i="2"/>
  <c r="C260" i="2"/>
  <c r="E233" i="2"/>
  <c r="D245" i="2"/>
  <c r="D232" i="2"/>
  <c r="E275" i="2"/>
  <c r="E248" i="2"/>
  <c r="C278" i="2"/>
  <c r="E206" i="2"/>
  <c r="C209" i="2"/>
  <c r="E214" i="2"/>
  <c r="E211" i="2"/>
  <c r="C205" i="2"/>
  <c r="D211" i="2"/>
  <c r="E209" i="2"/>
  <c r="D214" i="2"/>
  <c r="C204" i="2"/>
  <c r="C206" i="2"/>
  <c r="C208" i="2"/>
  <c r="E205" i="2"/>
  <c r="E203" i="2"/>
  <c r="E212" i="2"/>
  <c r="E208" i="2"/>
  <c r="D206" i="2"/>
  <c r="C214" i="2"/>
  <c r="E213" i="2"/>
  <c r="D209" i="2"/>
  <c r="C203" i="2"/>
  <c r="C211" i="2"/>
  <c r="D203" i="2"/>
  <c r="D213" i="2"/>
  <c r="C212" i="2"/>
  <c r="D204" i="2"/>
  <c r="E204" i="2"/>
  <c r="D210" i="2"/>
  <c r="C213" i="2"/>
  <c r="E210" i="2"/>
  <c r="D208" i="2"/>
  <c r="C210" i="2"/>
  <c r="D212" i="2"/>
  <c r="D20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<sst xmlns="http://schemas.openxmlformats.org/spreadsheetml/2006/main" count="71416" uniqueCount="26">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</sst>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745"/>
  <sheetViews>
    <sheetView zoomScale="90" zoomScaleNormal="90" workbookViewId="0">
      <pane ySplit="1" topLeftCell="A7224" activePane="bottomLeft" state="frozen"/>
      <selection pane="bottomLeft" activeCell="D7225" sqref="D7225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B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B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B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B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B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B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46011</v>
      </c>
      <c r="B7018" s="5" t="s">
        <v>10</v>
      </c>
      <c r="C7018" s="6">
        <v>0.50277777777777777</v>
      </c>
      <c r="D7018" s="5">
        <v>0</v>
      </c>
      <c r="E7018" s="5">
        <v>3</v>
      </c>
      <c r="F7018" s="5" t="s">
        <v>9</v>
      </c>
      <c r="G7018" s="15" t="s">
        <v>8</v>
      </c>
      <c r="H7018" s="24">
        <v>1368.0000000062864</v>
      </c>
      <c r="I7018" s="24" t="s">
        <v>21</v>
      </c>
      <c r="J7018" s="24">
        <v>11560.999999997439</v>
      </c>
      <c r="K7018" s="24" t="s">
        <v>21</v>
      </c>
      <c r="L7018" s="24" t="s">
        <v>21</v>
      </c>
      <c r="M7018" s="24" t="s">
        <v>21</v>
      </c>
      <c r="N7018" s="24" t="s">
        <v>21</v>
      </c>
      <c r="O7018" s="24" t="s">
        <v>21</v>
      </c>
      <c r="P7018" s="24" t="s">
        <v>21</v>
      </c>
      <c r="Q7018" s="24" t="s">
        <v>21</v>
      </c>
      <c r="R7018" s="24" t="s">
        <v>21</v>
      </c>
      <c r="S7018" s="24" t="s">
        <v>21</v>
      </c>
    </row>
    <row r="7019" spans="1:19" x14ac:dyDescent="0.2">
      <c r="A7019" s="12">
        <f>A7018</f>
        <v>46011</v>
      </c>
      <c r="B7019" s="5" t="s">
        <v>10</v>
      </c>
      <c r="C7019" s="6">
        <v>0.50347222222222221</v>
      </c>
      <c r="D7019" s="5">
        <v>3</v>
      </c>
      <c r="E7019" s="5">
        <v>1</v>
      </c>
      <c r="F7019" s="5" t="s">
        <v>9</v>
      </c>
      <c r="G7019" s="15" t="s">
        <v>8</v>
      </c>
      <c r="H7019" s="24">
        <v>0.99999999278225005</v>
      </c>
      <c r="I7019" s="24" t="s">
        <v>21</v>
      </c>
      <c r="J7019" s="24">
        <v>0.99999999278225005</v>
      </c>
      <c r="K7019" s="24" t="s">
        <v>21</v>
      </c>
      <c r="L7019" s="24" t="s">
        <v>21</v>
      </c>
      <c r="M7019" s="24" t="s">
        <v>21</v>
      </c>
      <c r="N7019" s="24" t="s">
        <v>21</v>
      </c>
      <c r="O7019" s="24" t="s">
        <v>21</v>
      </c>
      <c r="P7019" s="24" t="s">
        <v>21</v>
      </c>
      <c r="Q7019" s="24" t="s">
        <v>21</v>
      </c>
      <c r="R7019" s="24" t="s">
        <v>21</v>
      </c>
      <c r="S7019" s="24" t="s">
        <v>21</v>
      </c>
    </row>
    <row r="7020" spans="1:19" x14ac:dyDescent="0.2">
      <c r="A7020" s="12">
        <f t="shared" ref="A7020:A7083" si="1341">A7019</f>
        <v>46011</v>
      </c>
      <c r="B7020" s="5" t="s">
        <v>3</v>
      </c>
      <c r="C7020" s="6">
        <v>0.73541666666666672</v>
      </c>
      <c r="D7020" s="5">
        <v>0</v>
      </c>
      <c r="E7020" s="5">
        <v>3</v>
      </c>
      <c r="F7020" s="5" t="s">
        <v>9</v>
      </c>
      <c r="G7020" s="15" t="s">
        <v>8</v>
      </c>
      <c r="H7020" s="24">
        <v>334.00000000954606</v>
      </c>
      <c r="I7020" s="24">
        <v>4315.0000000046566</v>
      </c>
      <c r="J7020" s="24" t="s">
        <v>21</v>
      </c>
      <c r="K7020" s="24" t="s">
        <v>21</v>
      </c>
      <c r="L7020" s="24" t="s">
        <v>21</v>
      </c>
      <c r="M7020" s="24" t="s">
        <v>21</v>
      </c>
      <c r="N7020" s="24" t="s">
        <v>21</v>
      </c>
      <c r="O7020" s="24" t="s">
        <v>21</v>
      </c>
      <c r="P7020" s="24" t="s">
        <v>21</v>
      </c>
      <c r="Q7020" s="24" t="s">
        <v>21</v>
      </c>
      <c r="R7020" s="24" t="s">
        <v>21</v>
      </c>
      <c r="S7020" s="24" t="s">
        <v>21</v>
      </c>
    </row>
    <row r="7021" spans="1:19" x14ac:dyDescent="0.2">
      <c r="A7021" s="12">
        <f t="shared" si="1341"/>
        <v>46011</v>
      </c>
      <c r="B7021" s="5" t="s">
        <v>3</v>
      </c>
      <c r="C7021" s="6">
        <v>0.73611111111111116</v>
      </c>
      <c r="D7021" s="5">
        <v>0</v>
      </c>
      <c r="E7021" s="5">
        <v>3</v>
      </c>
      <c r="F7021" s="5" t="s">
        <v>9</v>
      </c>
      <c r="G7021" s="15" t="s">
        <v>8</v>
      </c>
      <c r="H7021" s="24">
        <v>0.99999999278225005</v>
      </c>
      <c r="I7021" s="24">
        <v>0.99999999278225005</v>
      </c>
      <c r="J7021" s="24" t="s">
        <v>21</v>
      </c>
      <c r="K7021" s="24" t="s">
        <v>21</v>
      </c>
      <c r="L7021" s="24" t="s">
        <v>21</v>
      </c>
      <c r="M7021" s="24" t="s">
        <v>21</v>
      </c>
      <c r="N7021" s="24" t="s">
        <v>21</v>
      </c>
      <c r="O7021" s="24" t="s">
        <v>21</v>
      </c>
      <c r="P7021" s="24" t="s">
        <v>21</v>
      </c>
      <c r="Q7021" s="24" t="s">
        <v>21</v>
      </c>
      <c r="R7021" s="24" t="s">
        <v>21</v>
      </c>
      <c r="S7021" s="24" t="s">
        <v>21</v>
      </c>
    </row>
    <row r="7022" spans="1:19" x14ac:dyDescent="0.2">
      <c r="A7022" s="12">
        <f t="shared" si="1341"/>
        <v>46011</v>
      </c>
      <c r="B7022" s="5" t="s">
        <v>3</v>
      </c>
      <c r="C7022" s="6">
        <v>0.73611111111111116</v>
      </c>
      <c r="D7022" s="5">
        <v>0</v>
      </c>
      <c r="E7022" s="5">
        <v>4</v>
      </c>
      <c r="F7022" s="5" t="s">
        <v>9</v>
      </c>
      <c r="G7022" s="15" t="s">
        <v>8</v>
      </c>
      <c r="H7022" s="24">
        <v>0</v>
      </c>
      <c r="I7022" s="24">
        <v>0</v>
      </c>
      <c r="J7022" s="24" t="s">
        <v>21</v>
      </c>
      <c r="K7022" s="24" t="s">
        <v>21</v>
      </c>
      <c r="L7022" s="24" t="s">
        <v>21</v>
      </c>
      <c r="M7022" s="24" t="s">
        <v>21</v>
      </c>
      <c r="N7022" s="24" t="s">
        <v>21</v>
      </c>
      <c r="O7022" s="24" t="s">
        <v>21</v>
      </c>
      <c r="P7022" s="24" t="s">
        <v>21</v>
      </c>
      <c r="Q7022" s="24" t="s">
        <v>21</v>
      </c>
      <c r="R7022" s="24" t="s">
        <v>21</v>
      </c>
      <c r="S7022" s="24" t="s">
        <v>21</v>
      </c>
    </row>
    <row r="7023" spans="1:19" x14ac:dyDescent="0.2">
      <c r="A7023" s="12">
        <f t="shared" si="1341"/>
        <v>46011</v>
      </c>
      <c r="B7023" s="5" t="s">
        <v>3</v>
      </c>
      <c r="C7023" s="6">
        <v>0.7368055555555556</v>
      </c>
      <c r="D7023" s="5">
        <v>0</v>
      </c>
      <c r="E7023" s="5">
        <v>5</v>
      </c>
      <c r="F7023" s="5" t="s">
        <v>9</v>
      </c>
      <c r="G7023" s="15" t="s">
        <v>8</v>
      </c>
      <c r="H7023" s="24">
        <v>1.000000003259629</v>
      </c>
      <c r="I7023" s="24">
        <v>1.000000003259629</v>
      </c>
      <c r="J7023" s="24" t="s">
        <v>21</v>
      </c>
      <c r="K7023" s="24" t="s">
        <v>21</v>
      </c>
      <c r="L7023" s="24" t="s">
        <v>21</v>
      </c>
      <c r="M7023" s="24" t="s">
        <v>21</v>
      </c>
      <c r="N7023" s="24" t="s">
        <v>21</v>
      </c>
      <c r="O7023" s="24" t="s">
        <v>21</v>
      </c>
      <c r="P7023" s="24" t="s">
        <v>21</v>
      </c>
      <c r="Q7023" s="24" t="s">
        <v>21</v>
      </c>
      <c r="R7023" s="24" t="s">
        <v>21</v>
      </c>
      <c r="S7023" s="24" t="s">
        <v>21</v>
      </c>
    </row>
    <row r="7024" spans="1:19" x14ac:dyDescent="0.2">
      <c r="A7024" s="12">
        <f t="shared" si="1341"/>
        <v>46011</v>
      </c>
      <c r="B7024" s="5" t="s">
        <v>3</v>
      </c>
      <c r="C7024" s="6">
        <v>0.7368055555555556</v>
      </c>
      <c r="D7024" s="5">
        <v>0</v>
      </c>
      <c r="E7024" s="5">
        <v>5</v>
      </c>
      <c r="F7024" s="5" t="s">
        <v>9</v>
      </c>
      <c r="G7024" s="15" t="s">
        <v>8</v>
      </c>
      <c r="H7024" s="24">
        <v>0</v>
      </c>
      <c r="I7024" s="24">
        <v>0</v>
      </c>
      <c r="J7024" s="24" t="s">
        <v>21</v>
      </c>
      <c r="K7024" s="24" t="s">
        <v>21</v>
      </c>
      <c r="L7024" s="24" t="s">
        <v>21</v>
      </c>
      <c r="M7024" s="24" t="s">
        <v>21</v>
      </c>
      <c r="N7024" s="24" t="s">
        <v>21</v>
      </c>
      <c r="O7024" s="24" t="s">
        <v>21</v>
      </c>
      <c r="P7024" s="24" t="s">
        <v>21</v>
      </c>
      <c r="Q7024" s="24" t="s">
        <v>21</v>
      </c>
      <c r="R7024" s="24" t="s">
        <v>21</v>
      </c>
      <c r="S7024" s="24" t="s">
        <v>21</v>
      </c>
    </row>
    <row r="7025" spans="1:19" x14ac:dyDescent="0.2">
      <c r="A7025" s="12">
        <f t="shared" si="1341"/>
        <v>46011</v>
      </c>
      <c r="B7025" s="5" t="s">
        <v>3</v>
      </c>
      <c r="C7025" s="6">
        <v>0.73750000000000004</v>
      </c>
      <c r="D7025" s="5">
        <v>0</v>
      </c>
      <c r="E7025" s="5">
        <v>3</v>
      </c>
      <c r="F7025" s="5" t="s">
        <v>9</v>
      </c>
      <c r="G7025" s="15" t="s">
        <v>8</v>
      </c>
      <c r="H7025" s="24">
        <v>1.000000003259629</v>
      </c>
      <c r="I7025" s="24">
        <v>1.000000003259629</v>
      </c>
      <c r="J7025" s="24" t="s">
        <v>21</v>
      </c>
      <c r="K7025" s="24" t="s">
        <v>21</v>
      </c>
      <c r="L7025" s="24" t="s">
        <v>21</v>
      </c>
      <c r="M7025" s="24" t="s">
        <v>21</v>
      </c>
      <c r="N7025" s="24" t="s">
        <v>21</v>
      </c>
      <c r="O7025" s="24" t="s">
        <v>21</v>
      </c>
      <c r="P7025" s="24" t="s">
        <v>21</v>
      </c>
      <c r="Q7025" s="24" t="s">
        <v>21</v>
      </c>
      <c r="R7025" s="24" t="s">
        <v>21</v>
      </c>
      <c r="S7025" s="24" t="s">
        <v>21</v>
      </c>
    </row>
    <row r="7026" spans="1:19" x14ac:dyDescent="0.2">
      <c r="A7026" s="13">
        <f t="shared" si="1341"/>
        <v>46011</v>
      </c>
      <c r="B7026" s="7" t="s">
        <v>3</v>
      </c>
      <c r="C7026" s="8">
        <v>0.73750000000000004</v>
      </c>
      <c r="D7026" s="7">
        <v>0</v>
      </c>
      <c r="E7026" s="7">
        <v>2</v>
      </c>
      <c r="F7026" s="7" t="s">
        <v>9</v>
      </c>
      <c r="G7026" s="16" t="s">
        <v>8</v>
      </c>
      <c r="H7026" s="25">
        <v>0</v>
      </c>
      <c r="I7026" s="25">
        <v>0</v>
      </c>
      <c r="J7026" s="25" t="s">
        <v>21</v>
      </c>
      <c r="K7026" s="25" t="s">
        <v>21</v>
      </c>
      <c r="L7026" s="25" t="s">
        <v>21</v>
      </c>
      <c r="M7026" s="25" t="s">
        <v>21</v>
      </c>
      <c r="N7026" s="25" t="s">
        <v>21</v>
      </c>
      <c r="O7026" s="25" t="s">
        <v>21</v>
      </c>
      <c r="P7026" s="25" t="s">
        <v>21</v>
      </c>
      <c r="Q7026" s="25" t="s">
        <v>21</v>
      </c>
      <c r="R7026" s="25" t="s">
        <v>21</v>
      </c>
      <c r="S7026" s="25" t="s">
        <v>21</v>
      </c>
    </row>
    <row r="7027" spans="1:19" x14ac:dyDescent="0.2">
      <c r="A7027" s="12">
        <v>46012</v>
      </c>
      <c r="B7027" s="5" t="str">
        <f t="shared" ref="B7027" si="1342">B7026</f>
        <v>Northern Cardinal</v>
      </c>
      <c r="C7027" s="6">
        <v>0.29166666666666669</v>
      </c>
      <c r="D7027" s="5">
        <v>0</v>
      </c>
      <c r="E7027" s="5">
        <v>1</v>
      </c>
      <c r="F7027" s="5" t="s">
        <v>9</v>
      </c>
      <c r="G7027" s="15" t="s">
        <v>8</v>
      </c>
      <c r="H7027" s="24">
        <f t="shared" si="1331"/>
        <v>797.99999999231659</v>
      </c>
      <c r="I7027" s="24" cm="1">
        <f t="array" ref="I7027">IFERROR(IF($B7027=I$1, ($A7027+$C7027) - MAX(IF($B$2:$B7026=$B7027, $A$2:$A7026+$C$2:$C7026)), "")*24*60, "")</f>
        <v>797.99999999231659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si="1341"/>
        <v>46012</v>
      </c>
      <c r="B7028" s="5" t="str">
        <f t="shared" ref="B7028" si="1343">B7027</f>
        <v>Northern Cardinal</v>
      </c>
      <c r="C7028" s="6">
        <v>0.29236111111111113</v>
      </c>
      <c r="D7028" s="5">
        <v>0</v>
      </c>
      <c r="E7028" s="5">
        <v>3</v>
      </c>
      <c r="F7028" s="5" t="s">
        <v>9</v>
      </c>
      <c r="G7028" s="15" t="s">
        <v>8</v>
      </c>
      <c r="H7028" s="24">
        <f t="shared" si="1331"/>
        <v>1.000000003259629</v>
      </c>
      <c r="I7028" s="24" cm="1">
        <f t="array" ref="I7028">IFERROR(IF($B7028=I$1, ($A7028+$C7028) - MAX(IF($B$2:$B7027=$B7028, $A$2:$A7027+$C$2:$C7027)), "")*24*60, "")</f>
        <v>1.000000003259629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si="1341"/>
        <v>46012</v>
      </c>
      <c r="B7029" s="5" t="str">
        <f t="shared" ref="B7029:C7029" si="1344">B7028</f>
        <v>Northern Cardinal</v>
      </c>
      <c r="C7029" s="6">
        <f t="shared" si="1344"/>
        <v>0.29236111111111113</v>
      </c>
      <c r="D7029" s="5">
        <v>0</v>
      </c>
      <c r="E7029" s="5">
        <v>3</v>
      </c>
      <c r="F7029" s="5" t="s">
        <v>9</v>
      </c>
      <c r="G7029" s="15" t="s">
        <v>8</v>
      </c>
      <c r="H7029" s="24">
        <f t="shared" si="1331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si="1341"/>
        <v>46012</v>
      </c>
      <c r="B7030" s="5" t="str">
        <f t="shared" ref="B7030" si="1345">B7029</f>
        <v>Northern Cardinal</v>
      </c>
      <c r="C7030" s="6">
        <v>0.29375000000000001</v>
      </c>
      <c r="D7030" s="5">
        <v>1</v>
      </c>
      <c r="E7030" s="5">
        <v>2</v>
      </c>
      <c r="F7030" s="5" t="s">
        <v>9</v>
      </c>
      <c r="G7030" s="15" t="s">
        <v>8</v>
      </c>
      <c r="H7030" s="24">
        <f t="shared" si="1331"/>
        <v>1.9999999960418791</v>
      </c>
      <c r="I7030" s="24" cm="1">
        <f t="array" ref="I7030">IFERROR(IF($B7030=I$1, ($A7030+$C7030) - MAX(IF($B$2:$B7029=$B7030, $A$2:$A7029+$C$2:$C7029)), "")*24*60, "")</f>
        <v>1.9999999960418791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si="1341"/>
        <v>46012</v>
      </c>
      <c r="B7031" s="5" t="str">
        <f t="shared" ref="B7031" si="1346">B7030</f>
        <v>Northern Cardinal</v>
      </c>
      <c r="C7031" s="6">
        <v>0.29444444444444445</v>
      </c>
      <c r="D7031" s="5">
        <v>0</v>
      </c>
      <c r="E7031" s="5">
        <v>3</v>
      </c>
      <c r="F7031" s="5" t="s">
        <v>9</v>
      </c>
      <c r="G7031" s="15" t="s">
        <v>8</v>
      </c>
      <c r="H7031" s="24">
        <f t="shared" si="1331"/>
        <v>1.000000003259629</v>
      </c>
      <c r="I7031" s="24" cm="1">
        <f t="array" ref="I7031">IFERROR(IF($B7031=I$1, ($A7031+$C7031) - MAX(IF($B$2:$B7030=$B7031, $A$2:$A7030+$C$2:$C7030)), "")*24*60, "")</f>
        <v>1.000000003259629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si="1341"/>
        <v>46012</v>
      </c>
      <c r="B7032" s="5" t="s">
        <v>20</v>
      </c>
      <c r="C7032" s="6">
        <v>0.43819444444444444</v>
      </c>
      <c r="D7032" s="5">
        <v>8</v>
      </c>
      <c r="E7032" s="5">
        <v>2</v>
      </c>
      <c r="F7032" s="5" t="s">
        <v>9</v>
      </c>
      <c r="G7032" s="15" t="s">
        <v>8</v>
      </c>
      <c r="H7032" s="24">
        <f t="shared" si="1331"/>
        <v>207.00000000419095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4155.0000000069849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si="1341"/>
        <v>46012</v>
      </c>
      <c r="B7033" s="5" t="str">
        <f t="shared" ref="B7033" si="1347">B7032</f>
        <v>Mourning Dove</v>
      </c>
      <c r="C7033" s="6">
        <v>0.43888888888888888</v>
      </c>
      <c r="D7033" s="5">
        <v>18</v>
      </c>
      <c r="E7033" s="5">
        <v>0</v>
      </c>
      <c r="F7033" s="5" t="s">
        <v>9</v>
      </c>
      <c r="G7033" s="15" t="s">
        <v>8</v>
      </c>
      <c r="H7033" s="24">
        <f t="shared" si="1331"/>
        <v>0.99999999278225005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0.99999999278225005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si="1341"/>
        <v>46012</v>
      </c>
      <c r="B7034" s="5" t="str">
        <f t="shared" ref="B7034:C7034" si="1348">B7033</f>
        <v>Mourning Dove</v>
      </c>
      <c r="C7034" s="6">
        <f t="shared" si="1348"/>
        <v>0.43888888888888888</v>
      </c>
      <c r="D7034" s="5">
        <v>16</v>
      </c>
      <c r="E7034" s="5">
        <v>0</v>
      </c>
      <c r="F7034" s="5" t="s">
        <v>9</v>
      </c>
      <c r="G7034" s="15" t="s">
        <v>8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si="1341"/>
        <v>46012</v>
      </c>
      <c r="B7035" s="5" t="str">
        <f t="shared" ref="B7035" si="1349">B7034</f>
        <v>Mourning Dove</v>
      </c>
      <c r="C7035" s="6">
        <v>0.43958333333333333</v>
      </c>
      <c r="D7035" s="5">
        <v>20</v>
      </c>
      <c r="E7035" s="5">
        <v>0</v>
      </c>
      <c r="F7035" s="5" t="s">
        <v>9</v>
      </c>
      <c r="G7035" s="15" t="s">
        <v>8</v>
      </c>
      <c r="H7035" s="24">
        <f t="shared" si="1331"/>
        <v>1.000000003259629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1.000000003259629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si="1341"/>
        <v>46012</v>
      </c>
      <c r="B7036" s="5" t="str">
        <f t="shared" ref="B7036:C7036" si="1350">B7035</f>
        <v>Mourning Dove</v>
      </c>
      <c r="C7036" s="6">
        <f t="shared" si="1350"/>
        <v>0.43958333333333333</v>
      </c>
      <c r="D7036" s="5">
        <v>8</v>
      </c>
      <c r="E7036" s="5">
        <v>3</v>
      </c>
      <c r="F7036" s="5" t="s">
        <v>9</v>
      </c>
      <c r="G7036" s="15" t="s">
        <v>8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si="1341"/>
        <v>46012</v>
      </c>
      <c r="B7037" s="5" t="str">
        <f t="shared" ref="B7037" si="1351">B7036</f>
        <v>Mourning Dove</v>
      </c>
      <c r="C7037" s="6">
        <v>0.44027777777777777</v>
      </c>
      <c r="D7037" s="5">
        <v>24</v>
      </c>
      <c r="E7037" s="5">
        <v>0</v>
      </c>
      <c r="F7037" s="5" t="s">
        <v>9</v>
      </c>
      <c r="G7037" s="15" t="s">
        <v>8</v>
      </c>
      <c r="H7037" s="24">
        <f t="shared" si="1331"/>
        <v>1.000000003259629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1.000000003259629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si="1341"/>
        <v>46012</v>
      </c>
      <c r="B7038" s="5" t="str">
        <f t="shared" ref="B7038" si="1352">B7037</f>
        <v>Mourning Dove</v>
      </c>
      <c r="C7038" s="6">
        <v>0.44097222222222221</v>
      </c>
      <c r="D7038" s="5">
        <v>13</v>
      </c>
      <c r="E7038" s="5">
        <v>0</v>
      </c>
      <c r="F7038" s="5" t="s">
        <v>9</v>
      </c>
      <c r="G7038" s="15" t="s">
        <v>8</v>
      </c>
      <c r="H7038" s="24">
        <f t="shared" si="1331"/>
        <v>0.99999999278225005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0.99999999278225005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si="1341"/>
        <v>46012</v>
      </c>
      <c r="B7039" s="5" t="str">
        <f t="shared" ref="B7039:C7039" si="1353">B7038</f>
        <v>Mourning Dove</v>
      </c>
      <c r="C7039" s="6">
        <f t="shared" si="1353"/>
        <v>0.44097222222222221</v>
      </c>
      <c r="D7039" s="5">
        <v>13</v>
      </c>
      <c r="E7039" s="5">
        <v>0</v>
      </c>
      <c r="F7039" s="5" t="s">
        <v>9</v>
      </c>
      <c r="G7039" s="15" t="s">
        <v>8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si="1341"/>
        <v>46012</v>
      </c>
      <c r="B7040" s="5" t="str">
        <f t="shared" ref="B7040" si="1354">B7039</f>
        <v>Mourning Dove</v>
      </c>
      <c r="C7040" s="6">
        <v>0.44166666666666665</v>
      </c>
      <c r="D7040" s="5">
        <v>23</v>
      </c>
      <c r="E7040" s="5">
        <v>0</v>
      </c>
      <c r="F7040" s="5" t="s">
        <v>9</v>
      </c>
      <c r="G7040" s="15" t="s">
        <v>8</v>
      </c>
      <c r="H7040" s="24">
        <f t="shared" si="1331"/>
        <v>1.000000003259629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1.000000003259629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si="1341"/>
        <v>46012</v>
      </c>
      <c r="B7041" s="5" t="str">
        <f t="shared" ref="B7041:C7041" si="1355">B7040</f>
        <v>Mourning Dove</v>
      </c>
      <c r="C7041" s="6">
        <f t="shared" si="1355"/>
        <v>0.44166666666666665</v>
      </c>
      <c r="D7041" s="5">
        <v>16</v>
      </c>
      <c r="E7041" s="5">
        <v>0</v>
      </c>
      <c r="F7041" s="5" t="s">
        <v>9</v>
      </c>
      <c r="G7041" s="15" t="s">
        <v>8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si="1341"/>
        <v>46012</v>
      </c>
      <c r="B7042" s="5" t="str">
        <f t="shared" ref="B7042" si="1356">B7041</f>
        <v>Mourning Dove</v>
      </c>
      <c r="C7042" s="6">
        <v>0.44236111111111109</v>
      </c>
      <c r="D7042" s="5">
        <v>12</v>
      </c>
      <c r="E7042" s="5">
        <v>0</v>
      </c>
      <c r="F7042" s="5" t="s">
        <v>9</v>
      </c>
      <c r="G7042" s="15" t="s">
        <v>8</v>
      </c>
      <c r="H7042" s="24">
        <f t="shared" si="1331"/>
        <v>1.000000003259629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1.000000003259629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si="1341"/>
        <v>46012</v>
      </c>
      <c r="B7043" s="5" t="str">
        <f t="shared" ref="B7043:C7043" si="1357">B7042</f>
        <v>Mourning Dove</v>
      </c>
      <c r="C7043" s="6">
        <f t="shared" si="1357"/>
        <v>0.44236111111111109</v>
      </c>
      <c r="D7043" s="5">
        <v>0</v>
      </c>
      <c r="E7043" s="5">
        <v>0</v>
      </c>
      <c r="F7043" s="5" t="s">
        <v>9</v>
      </c>
      <c r="G7043" s="15" t="s">
        <v>8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si="1341"/>
        <v>46012</v>
      </c>
      <c r="B7044" s="5" t="str">
        <f t="shared" ref="B7044" si="1358">B7043</f>
        <v>Mourning Dove</v>
      </c>
      <c r="C7044" s="6">
        <v>0.44305555555555554</v>
      </c>
      <c r="D7044" s="5">
        <v>0</v>
      </c>
      <c r="E7044" s="5">
        <v>0</v>
      </c>
      <c r="F7044" s="5" t="s">
        <v>9</v>
      </c>
      <c r="G7044" s="15" t="s">
        <v>8</v>
      </c>
      <c r="H7044" s="24">
        <f t="shared" si="1331"/>
        <v>1.000000003259629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1.000000003259629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si="1341"/>
        <v>46012</v>
      </c>
      <c r="B7045" s="5" t="str">
        <f t="shared" ref="B7045" si="1359">B7044</f>
        <v>Mourning Dove</v>
      </c>
      <c r="C7045" s="6">
        <v>0.4465277777777778</v>
      </c>
      <c r="D7045" s="5">
        <v>11</v>
      </c>
      <c r="E7045" s="5">
        <v>0</v>
      </c>
      <c r="F7045" s="5" t="s">
        <v>9</v>
      </c>
      <c r="G7045" s="15" t="s">
        <v>8</v>
      </c>
      <c r="H7045" s="24">
        <f t="shared" si="1331"/>
        <v>4.9999999953433871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4.9999999953433871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si="1341"/>
        <v>46012</v>
      </c>
      <c r="B7046" s="5" t="str">
        <f t="shared" ref="B7046" si="1360">B7045</f>
        <v>Mourning Dove</v>
      </c>
      <c r="C7046" s="6">
        <v>0.44722222222222224</v>
      </c>
      <c r="D7046" s="5">
        <v>27</v>
      </c>
      <c r="E7046" s="5">
        <v>0</v>
      </c>
      <c r="F7046" s="5" t="s">
        <v>9</v>
      </c>
      <c r="G7046" s="15" t="s">
        <v>8</v>
      </c>
      <c r="H7046" s="24">
        <f t="shared" si="1331"/>
        <v>1.000000003259629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1.000000003259629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si="1341"/>
        <v>46012</v>
      </c>
      <c r="B7047" s="5" t="str">
        <f t="shared" ref="B7047:C7047" si="1361">B7046</f>
        <v>Mourning Dove</v>
      </c>
      <c r="C7047" s="6">
        <f t="shared" si="1361"/>
        <v>0.44722222222222224</v>
      </c>
      <c r="D7047" s="5">
        <v>0</v>
      </c>
      <c r="E7047" s="5">
        <v>0</v>
      </c>
      <c r="F7047" s="5" t="s">
        <v>9</v>
      </c>
      <c r="G7047" s="15" t="s">
        <v>8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si="1341"/>
        <v>46012</v>
      </c>
      <c r="B7048" s="5" t="str">
        <f t="shared" ref="B7048:C7048" si="1362">B7047</f>
        <v>Mourning Dove</v>
      </c>
      <c r="C7048" s="6">
        <f t="shared" si="1362"/>
        <v>0.44722222222222224</v>
      </c>
      <c r="D7048" s="5">
        <v>0</v>
      </c>
      <c r="E7048" s="5">
        <v>0</v>
      </c>
      <c r="F7048" s="5" t="s">
        <v>9</v>
      </c>
      <c r="G7048" s="15" t="s">
        <v>8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si="1341"/>
        <v>46012</v>
      </c>
      <c r="B7049" s="5" t="str">
        <f t="shared" ref="B7049:C7049" si="1363">B7048</f>
        <v>Mourning Dove</v>
      </c>
      <c r="C7049" s="6">
        <f t="shared" si="1363"/>
        <v>0.44722222222222224</v>
      </c>
      <c r="D7049" s="5">
        <v>8</v>
      </c>
      <c r="E7049" s="5">
        <v>0</v>
      </c>
      <c r="F7049" s="5" t="s">
        <v>9</v>
      </c>
      <c r="G7049" s="15" t="s">
        <v>8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si="1341"/>
        <v>46012</v>
      </c>
      <c r="B7050" s="5" t="str">
        <f t="shared" ref="B7050" si="1364">B7049</f>
        <v>Mourning Dove</v>
      </c>
      <c r="C7050" s="6">
        <v>0.44791666666666669</v>
      </c>
      <c r="D7050" s="5">
        <v>0</v>
      </c>
      <c r="E7050" s="5">
        <v>0</v>
      </c>
      <c r="F7050" s="5" t="s">
        <v>9</v>
      </c>
      <c r="G7050" s="15" t="s">
        <v>8</v>
      </c>
      <c r="H7050" s="24">
        <f t="shared" si="1331"/>
        <v>0.99999999278225005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0.99999999278225005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si="1341"/>
        <v>46012</v>
      </c>
      <c r="B7051" s="5" t="str">
        <f t="shared" ref="B7051:C7051" si="1365">B7050</f>
        <v>Mourning Dove</v>
      </c>
      <c r="C7051" s="6">
        <f t="shared" si="1365"/>
        <v>0.44791666666666669</v>
      </c>
      <c r="D7051" s="5">
        <v>17</v>
      </c>
      <c r="E7051" s="5">
        <v>0</v>
      </c>
      <c r="F7051" s="5" t="s">
        <v>9</v>
      </c>
      <c r="G7051" s="15" t="s">
        <v>8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si="1341"/>
        <v>46012</v>
      </c>
      <c r="B7052" s="5" t="str">
        <f t="shared" ref="B7052" si="1366">B7051</f>
        <v>Mourning Dove</v>
      </c>
      <c r="C7052" s="6">
        <v>0.44861111111111113</v>
      </c>
      <c r="D7052" s="5">
        <v>18</v>
      </c>
      <c r="E7052" s="5">
        <v>0</v>
      </c>
      <c r="F7052" s="5" t="s">
        <v>9</v>
      </c>
      <c r="G7052" s="15" t="s">
        <v>8</v>
      </c>
      <c r="H7052" s="24">
        <f t="shared" si="1331"/>
        <v>1.000000003259629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1.000000003259629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si="1341"/>
        <v>46012</v>
      </c>
      <c r="B7053" s="5" t="str">
        <f t="shared" ref="B7053:C7053" si="1367">B7052</f>
        <v>Mourning Dove</v>
      </c>
      <c r="C7053" s="6">
        <f t="shared" si="1367"/>
        <v>0.44861111111111113</v>
      </c>
      <c r="D7053" s="5">
        <v>0</v>
      </c>
      <c r="E7053" s="5">
        <v>0</v>
      </c>
      <c r="F7053" s="5" t="s">
        <v>9</v>
      </c>
      <c r="G7053" s="15" t="s">
        <v>8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si="1341"/>
        <v>46012</v>
      </c>
      <c r="B7054" s="5" t="str">
        <f t="shared" ref="B7054:C7054" si="1368">B7053</f>
        <v>Mourning Dove</v>
      </c>
      <c r="C7054" s="6">
        <f t="shared" si="1368"/>
        <v>0.44861111111111113</v>
      </c>
      <c r="D7054" s="5">
        <v>0</v>
      </c>
      <c r="E7054" s="5">
        <v>0</v>
      </c>
      <c r="F7054" s="5" t="s">
        <v>9</v>
      </c>
      <c r="G7054" s="15" t="s">
        <v>8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si="1341"/>
        <v>46012</v>
      </c>
      <c r="B7055" s="5" t="str">
        <f t="shared" ref="B7055:C7055" si="1369">B7054</f>
        <v>Mourning Dove</v>
      </c>
      <c r="C7055" s="6">
        <f t="shared" si="1369"/>
        <v>0.44861111111111113</v>
      </c>
      <c r="D7055" s="5">
        <v>15</v>
      </c>
      <c r="E7055" s="5">
        <v>0</v>
      </c>
      <c r="F7055" s="5" t="s">
        <v>9</v>
      </c>
      <c r="G7055" s="15" t="s">
        <v>8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si="1341"/>
        <v>46012</v>
      </c>
      <c r="B7056" s="5" t="str">
        <f t="shared" ref="B7056" si="1370">B7055</f>
        <v>Mourning Dove</v>
      </c>
      <c r="C7056" s="6">
        <v>0.44930555555555557</v>
      </c>
      <c r="D7056" s="5">
        <v>18</v>
      </c>
      <c r="E7056" s="5">
        <v>0</v>
      </c>
      <c r="F7056" s="5" t="s">
        <v>9</v>
      </c>
      <c r="G7056" s="15" t="s">
        <v>8</v>
      </c>
      <c r="H7056" s="24">
        <f t="shared" si="1331"/>
        <v>1.000000003259629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1.000000003259629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si="1341"/>
        <v>46012</v>
      </c>
      <c r="B7057" s="5" t="str">
        <f t="shared" ref="B7057:C7057" si="1371">B7056</f>
        <v>Mourning Dove</v>
      </c>
      <c r="C7057" s="6">
        <f t="shared" si="1371"/>
        <v>0.44930555555555557</v>
      </c>
      <c r="D7057" s="5">
        <v>0</v>
      </c>
      <c r="E7057" s="5">
        <v>0</v>
      </c>
      <c r="F7057" s="5" t="s">
        <v>9</v>
      </c>
      <c r="G7057" s="15" t="s">
        <v>8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si="1341"/>
        <v>46012</v>
      </c>
      <c r="B7058" s="5" t="str">
        <f t="shared" ref="B7058" si="1372">B7057</f>
        <v>Mourning Dove</v>
      </c>
      <c r="C7058" s="6">
        <v>0.44930555555555557</v>
      </c>
      <c r="D7058" s="5">
        <v>0</v>
      </c>
      <c r="E7058" s="5">
        <v>12</v>
      </c>
      <c r="F7058" s="5" t="s">
        <v>9</v>
      </c>
      <c r="G7058" s="15" t="s">
        <v>8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si="1341"/>
        <v>46012</v>
      </c>
      <c r="B7059" s="5" t="str">
        <f t="shared" ref="B7059:C7059" si="1373">B7058</f>
        <v>Mourning Dove</v>
      </c>
      <c r="C7059" s="6">
        <f t="shared" si="1373"/>
        <v>0.44930555555555557</v>
      </c>
      <c r="D7059" s="5">
        <v>18</v>
      </c>
      <c r="E7059" s="5">
        <v>0</v>
      </c>
      <c r="F7059" s="5" t="s">
        <v>9</v>
      </c>
      <c r="G7059" s="15" t="s">
        <v>8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si="1341"/>
        <v>46012</v>
      </c>
      <c r="B7060" s="5" t="str">
        <f t="shared" ref="B7060" si="1374">B7059</f>
        <v>Mourning Dove</v>
      </c>
      <c r="C7060" s="6">
        <v>0.45</v>
      </c>
      <c r="D7060" s="5">
        <v>0</v>
      </c>
      <c r="E7060" s="5">
        <v>0</v>
      </c>
      <c r="F7060" s="5" t="s">
        <v>9</v>
      </c>
      <c r="G7060" s="15" t="s">
        <v>8</v>
      </c>
      <c r="H7060" s="24">
        <f t="shared" si="1331"/>
        <v>0.99999999278225005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0.99999999278225005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si="1341"/>
        <v>46012</v>
      </c>
      <c r="B7061" s="5" t="str">
        <f t="shared" ref="B7061:C7061" si="1375">B7060</f>
        <v>Mourning Dove</v>
      </c>
      <c r="C7061" s="6">
        <f t="shared" si="1375"/>
        <v>0.45</v>
      </c>
      <c r="D7061" s="5">
        <v>0</v>
      </c>
      <c r="E7061" s="5">
        <v>10</v>
      </c>
      <c r="F7061" s="5" t="s">
        <v>9</v>
      </c>
      <c r="G7061" s="15" t="s">
        <v>8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si="1341"/>
        <v>46012</v>
      </c>
      <c r="B7062" s="5" t="str">
        <f t="shared" ref="B7062:C7062" si="1376">B7061</f>
        <v>Mourning Dove</v>
      </c>
      <c r="C7062" s="6">
        <f t="shared" si="1376"/>
        <v>0.45</v>
      </c>
      <c r="D7062" s="5">
        <v>0</v>
      </c>
      <c r="E7062" s="5">
        <v>6</v>
      </c>
      <c r="F7062" s="5" t="s">
        <v>9</v>
      </c>
      <c r="G7062" s="15" t="s">
        <v>8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si="1341"/>
        <v>46012</v>
      </c>
      <c r="B7063" s="5" t="str">
        <f t="shared" ref="B7063" si="1377">B7062</f>
        <v>Mourning Dove</v>
      </c>
      <c r="C7063" s="6">
        <v>0.45069444444444445</v>
      </c>
      <c r="D7063" s="5">
        <v>0</v>
      </c>
      <c r="E7063" s="5">
        <v>0</v>
      </c>
      <c r="F7063" s="5" t="s">
        <v>9</v>
      </c>
      <c r="G7063" s="15" t="s">
        <v>8</v>
      </c>
      <c r="H7063" s="24">
        <f t="shared" si="1331"/>
        <v>1.000000003259629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1.000000003259629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si="1341"/>
        <v>46012</v>
      </c>
      <c r="B7064" s="5" t="str">
        <f t="shared" ref="B7064:C7064" si="1378">B7063</f>
        <v>Mourning Dove</v>
      </c>
      <c r="C7064" s="6">
        <f t="shared" si="1378"/>
        <v>0.45069444444444445</v>
      </c>
      <c r="D7064" s="5">
        <v>0</v>
      </c>
      <c r="E7064" s="5">
        <v>0</v>
      </c>
      <c r="F7064" s="5" t="s">
        <v>9</v>
      </c>
      <c r="G7064" s="15" t="s">
        <v>8</v>
      </c>
      <c r="H7064" s="24">
        <f t="shared" ref="H7064:H7091" si="1379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si="1341"/>
        <v>46012</v>
      </c>
      <c r="B7065" s="5" t="s">
        <v>23</v>
      </c>
      <c r="C7065" s="6">
        <f t="shared" ref="C7065" si="1380">C7064</f>
        <v>0.45069444444444445</v>
      </c>
      <c r="D7065" s="5">
        <v>0</v>
      </c>
      <c r="E7065" s="5">
        <v>0</v>
      </c>
      <c r="F7065" s="5" t="s">
        <v>9</v>
      </c>
      <c r="G7065" s="15" t="s">
        <v>8</v>
      </c>
      <c r="H7065" s="24">
        <f t="shared" si="1379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cm="1">
        <f t="array" ref="Q7065">IFERROR(IF($B7065=Q$1, ($A7065+$C7065) - MAX(IF($B$2:$B7064=$B7065, $A$2:$A7064+$C$2:$C7064)), "")*24*60, "")</f>
        <v>17008.99999999674</v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si="1341"/>
        <v>46012</v>
      </c>
      <c r="B7066" s="5" t="s">
        <v>20</v>
      </c>
      <c r="C7066" s="6">
        <v>0.4513888888888889</v>
      </c>
      <c r="D7066" s="5">
        <v>0</v>
      </c>
      <c r="E7066" s="5">
        <v>13</v>
      </c>
      <c r="F7066" s="5" t="s">
        <v>9</v>
      </c>
      <c r="G7066" s="15" t="s">
        <v>8</v>
      </c>
      <c r="H7066" s="24">
        <f t="shared" si="1379"/>
        <v>1.000000003259629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1.000000003259629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si="1341"/>
        <v>46012</v>
      </c>
      <c r="B7067" s="5" t="str">
        <f t="shared" ref="B7067:C7067" si="1381">B7066</f>
        <v>Mourning Dove</v>
      </c>
      <c r="C7067" s="6">
        <f t="shared" si="1381"/>
        <v>0.4513888888888889</v>
      </c>
      <c r="D7067" s="5">
        <v>0</v>
      </c>
      <c r="E7067" s="5">
        <v>1</v>
      </c>
      <c r="F7067" s="5" t="s">
        <v>9</v>
      </c>
      <c r="G7067" s="15" t="s">
        <v>8</v>
      </c>
      <c r="H7067" s="24">
        <f t="shared" si="1379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si="1341"/>
        <v>46012</v>
      </c>
      <c r="B7068" s="5" t="str">
        <f t="shared" ref="B7068" si="1382">B7067</f>
        <v>Mourning Dove</v>
      </c>
      <c r="C7068" s="6">
        <v>0.45208333333333334</v>
      </c>
      <c r="D7068" s="5">
        <v>0</v>
      </c>
      <c r="E7068" s="5">
        <v>8</v>
      </c>
      <c r="F7068" s="5" t="s">
        <v>9</v>
      </c>
      <c r="G7068" s="15" t="s">
        <v>8</v>
      </c>
      <c r="H7068" s="24">
        <f t="shared" si="1379"/>
        <v>0.99999999278225005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0.99999999278225005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si="1341"/>
        <v>46012</v>
      </c>
      <c r="B7069" s="5" t="str">
        <f t="shared" ref="B7069" si="1383">B7068</f>
        <v>Mourning Dove</v>
      </c>
      <c r="C7069" s="6">
        <v>0.45277777777777778</v>
      </c>
      <c r="D7069" s="5">
        <v>0</v>
      </c>
      <c r="E7069" s="5">
        <v>3</v>
      </c>
      <c r="F7069" s="5" t="s">
        <v>9</v>
      </c>
      <c r="G7069" s="15" t="s">
        <v>8</v>
      </c>
      <c r="H7069" s="24">
        <f t="shared" si="1379"/>
        <v>1.000000003259629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1.000000003259629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si="1341"/>
        <v>46012</v>
      </c>
      <c r="B7070" s="5" t="str">
        <f t="shared" ref="B7070:C7070" si="1384">B7069</f>
        <v>Mourning Dove</v>
      </c>
      <c r="C7070" s="6">
        <f t="shared" si="1384"/>
        <v>0.45277777777777778</v>
      </c>
      <c r="D7070" s="5">
        <v>0</v>
      </c>
      <c r="E7070" s="5">
        <v>10</v>
      </c>
      <c r="F7070" s="5" t="s">
        <v>9</v>
      </c>
      <c r="G7070" s="15" t="s">
        <v>8</v>
      </c>
      <c r="H7070" s="24">
        <f t="shared" si="1379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si="1341"/>
        <v>46012</v>
      </c>
      <c r="B7071" s="5" t="str">
        <f t="shared" ref="B7071" si="1385">B7070</f>
        <v>Mourning Dove</v>
      </c>
      <c r="C7071" s="6">
        <v>0.45347222222222222</v>
      </c>
      <c r="D7071" s="5">
        <v>0</v>
      </c>
      <c r="E7071" s="5">
        <v>12</v>
      </c>
      <c r="F7071" s="5" t="s">
        <v>9</v>
      </c>
      <c r="G7071" s="15" t="s">
        <v>8</v>
      </c>
      <c r="H7071" s="24">
        <f t="shared" si="1379"/>
        <v>1.000000003259629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1.000000003259629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si="1341"/>
        <v>46012</v>
      </c>
      <c r="B7072" s="5" t="str">
        <f t="shared" ref="B7072:C7072" si="1386">B7071</f>
        <v>Mourning Dove</v>
      </c>
      <c r="C7072" s="6">
        <f t="shared" si="1386"/>
        <v>0.45347222222222222</v>
      </c>
      <c r="D7072" s="5">
        <v>0</v>
      </c>
      <c r="E7072" s="5">
        <v>13</v>
      </c>
      <c r="F7072" s="5" t="s">
        <v>9</v>
      </c>
      <c r="G7072" s="15" t="s">
        <v>8</v>
      </c>
      <c r="H7072" s="24">
        <f t="shared" si="1379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si="1341"/>
        <v>46012</v>
      </c>
      <c r="B7073" s="5" t="str">
        <f t="shared" ref="B7073" si="1387">B7072</f>
        <v>Mourning Dove</v>
      </c>
      <c r="C7073" s="6">
        <v>0.45416666666666666</v>
      </c>
      <c r="D7073" s="5">
        <v>0</v>
      </c>
      <c r="E7073" s="5">
        <v>6</v>
      </c>
      <c r="F7073" s="5" t="s">
        <v>9</v>
      </c>
      <c r="G7073" s="15" t="s">
        <v>8</v>
      </c>
      <c r="H7073" s="24">
        <f t="shared" si="1379"/>
        <v>1.000000003259629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1.000000003259629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si="1341"/>
        <v>46012</v>
      </c>
      <c r="B7074" s="5" t="str">
        <f t="shared" ref="B7074:C7074" si="1388">B7073</f>
        <v>Mourning Dove</v>
      </c>
      <c r="C7074" s="6">
        <f t="shared" si="1388"/>
        <v>0.45416666666666666</v>
      </c>
      <c r="D7074" s="5">
        <v>0</v>
      </c>
      <c r="E7074" s="5">
        <v>4</v>
      </c>
      <c r="F7074" s="5" t="s">
        <v>9</v>
      </c>
      <c r="G7074" s="15" t="s">
        <v>8</v>
      </c>
      <c r="H7074" s="24">
        <f t="shared" si="1379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si="1341"/>
        <v>46012</v>
      </c>
      <c r="B7075" s="5" t="str">
        <f t="shared" ref="B7075" si="1389">B7074</f>
        <v>Mourning Dove</v>
      </c>
      <c r="C7075" s="6">
        <v>0.4548611111111111</v>
      </c>
      <c r="D7075" s="5">
        <v>11</v>
      </c>
      <c r="E7075" s="5">
        <v>0</v>
      </c>
      <c r="F7075" s="5" t="s">
        <v>9</v>
      </c>
      <c r="G7075" s="15" t="s">
        <v>8</v>
      </c>
      <c r="H7075" s="24">
        <f t="shared" si="1379"/>
        <v>0.99999999278225005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0.99999999278225005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si="1341"/>
        <v>46012</v>
      </c>
      <c r="B7076" s="5" t="str">
        <f t="shared" ref="B7076" si="1390">B7075</f>
        <v>Mourning Dove</v>
      </c>
      <c r="C7076" s="6">
        <v>0.4548611111111111</v>
      </c>
      <c r="D7076" s="5">
        <v>0</v>
      </c>
      <c r="E7076" s="5">
        <v>12</v>
      </c>
      <c r="F7076" s="5" t="s">
        <v>9</v>
      </c>
      <c r="G7076" s="15" t="s">
        <v>8</v>
      </c>
      <c r="H7076" s="24">
        <f t="shared" si="1379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si="1341"/>
        <v>46012</v>
      </c>
      <c r="B7077" s="5" t="str">
        <f t="shared" ref="B7077" si="1391">B7076</f>
        <v>Mourning Dove</v>
      </c>
      <c r="C7077" s="6">
        <v>0.45555555555555555</v>
      </c>
      <c r="D7077" s="5">
        <v>0</v>
      </c>
      <c r="E7077" s="5">
        <v>5</v>
      </c>
      <c r="F7077" s="5" t="s">
        <v>9</v>
      </c>
      <c r="G7077" s="15" t="s">
        <v>8</v>
      </c>
      <c r="H7077" s="24">
        <f t="shared" si="1379"/>
        <v>1.000000003259629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1.000000003259629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si="1341"/>
        <v>46012</v>
      </c>
      <c r="B7078" s="5" t="str">
        <f t="shared" ref="B7078:C7078" si="1392">B7077</f>
        <v>Mourning Dove</v>
      </c>
      <c r="C7078" s="6">
        <f t="shared" si="1392"/>
        <v>0.45555555555555555</v>
      </c>
      <c r="D7078" s="5">
        <v>0</v>
      </c>
      <c r="E7078" s="5">
        <v>0</v>
      </c>
      <c r="F7078" s="5" t="s">
        <v>9</v>
      </c>
      <c r="G7078" s="15" t="s">
        <v>8</v>
      </c>
      <c r="H7078" s="24">
        <f t="shared" si="1379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si="1341"/>
        <v>46012</v>
      </c>
      <c r="B7079" s="5" t="str">
        <f t="shared" ref="B7079" si="1393">B7078</f>
        <v>Mourning Dove</v>
      </c>
      <c r="C7079" s="6">
        <v>0.45624999999999999</v>
      </c>
      <c r="D7079" s="5">
        <v>0</v>
      </c>
      <c r="E7079" s="5">
        <v>0</v>
      </c>
      <c r="F7079" s="5" t="s">
        <v>9</v>
      </c>
      <c r="G7079" s="15" t="s">
        <v>8</v>
      </c>
      <c r="H7079" s="24">
        <f t="shared" si="1379"/>
        <v>1.000000003259629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1.000000003259629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si="1341"/>
        <v>46012</v>
      </c>
      <c r="B7080" s="5" t="str">
        <f t="shared" ref="B7080" si="1394">B7079</f>
        <v>Mourning Dove</v>
      </c>
      <c r="C7080" s="6">
        <v>0.45902777777777776</v>
      </c>
      <c r="D7080" s="5">
        <v>0</v>
      </c>
      <c r="E7080" s="5">
        <v>0</v>
      </c>
      <c r="F7080" s="5" t="s">
        <v>9</v>
      </c>
      <c r="G7080" s="15" t="s">
        <v>8</v>
      </c>
      <c r="H7080" s="24">
        <f t="shared" si="1379"/>
        <v>3.9999999920837581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3.9999999920837581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si="1341"/>
        <v>46012</v>
      </c>
      <c r="B7081" s="5" t="s">
        <v>3</v>
      </c>
      <c r="C7081" s="6">
        <v>0.7270833333333333</v>
      </c>
      <c r="D7081" s="5">
        <v>0</v>
      </c>
      <c r="E7081" s="5">
        <v>4</v>
      </c>
      <c r="F7081" s="5" t="s">
        <v>9</v>
      </c>
      <c r="G7081" s="15" t="s">
        <v>8</v>
      </c>
      <c r="H7081" s="24">
        <f t="shared" si="1379"/>
        <v>386.00000000093132</v>
      </c>
      <c r="I7081" s="24" cm="1">
        <f t="array" ref="I7081">IFERROR(IF($B7081=I$1, ($A7081+$C7081) - MAX(IF($B$2:$B7080=$B7081, $A$2:$A7080+$C$2:$C7080)), "")*24*60, "")</f>
        <v>622.99999999813735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si="1341"/>
        <v>46012</v>
      </c>
      <c r="B7082" s="5" t="str">
        <f t="shared" ref="B7082" si="1395">B7081</f>
        <v>Northern Cardinal</v>
      </c>
      <c r="C7082" s="6">
        <v>0.72777777777777775</v>
      </c>
      <c r="D7082" s="5">
        <v>0</v>
      </c>
      <c r="E7082" s="5">
        <v>5</v>
      </c>
      <c r="F7082" s="5" t="s">
        <v>9</v>
      </c>
      <c r="G7082" s="15" t="s">
        <v>8</v>
      </c>
      <c r="H7082" s="24">
        <f t="shared" si="1379"/>
        <v>1.000000003259629</v>
      </c>
      <c r="I7082" s="24" cm="1">
        <f t="array" ref="I7082">IFERROR(IF($B7082=I$1, ($A7082+$C7082) - MAX(IF($B$2:$B7081=$B7082, $A$2:$A7081+$C$2:$C7081)), "")*24*60, "")</f>
        <v>1.000000003259629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si="1341"/>
        <v>46012</v>
      </c>
      <c r="B7083" s="5" t="str">
        <f t="shared" ref="B7083:C7083" si="1396">B7082</f>
        <v>Northern Cardinal</v>
      </c>
      <c r="C7083" s="6">
        <f t="shared" si="1396"/>
        <v>0.72777777777777775</v>
      </c>
      <c r="D7083" s="5">
        <v>0</v>
      </c>
      <c r="E7083" s="5">
        <v>3</v>
      </c>
      <c r="F7083" s="5" t="s">
        <v>9</v>
      </c>
      <c r="G7083" s="15" t="s">
        <v>8</v>
      </c>
      <c r="H7083" s="24">
        <f t="shared" si="1379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A7147" si="1397">A7083</f>
        <v>46012</v>
      </c>
      <c r="B7084" s="5" t="str">
        <f t="shared" ref="B7084" si="1398">B7083</f>
        <v>Northern Cardinal</v>
      </c>
      <c r="C7084" s="6">
        <v>0.72847222222222219</v>
      </c>
      <c r="D7084" s="5">
        <v>0</v>
      </c>
      <c r="E7084" s="5">
        <v>1</v>
      </c>
      <c r="F7084" s="5" t="s">
        <v>9</v>
      </c>
      <c r="G7084" s="15" t="s">
        <v>8</v>
      </c>
      <c r="H7084" s="24">
        <f t="shared" si="1379"/>
        <v>1.000000003259629</v>
      </c>
      <c r="I7084" s="24" cm="1">
        <f t="array" ref="I7084">IFERROR(IF($B7084=I$1, ($A7084+$C7084) - MAX(IF($B$2:$B7083=$B7084, $A$2:$A7083+$C$2:$C7083)), "")*24*60, "")</f>
        <v>1.000000003259629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si="1397"/>
        <v>46012</v>
      </c>
      <c r="B7085" s="5" t="str">
        <f t="shared" ref="B7085:C7085" si="1399">B7084</f>
        <v>Northern Cardinal</v>
      </c>
      <c r="C7085" s="6">
        <f t="shared" si="1399"/>
        <v>0.72847222222222219</v>
      </c>
      <c r="D7085" s="5">
        <v>0</v>
      </c>
      <c r="E7085" s="5">
        <v>1</v>
      </c>
      <c r="F7085" s="5" t="s">
        <v>9</v>
      </c>
      <c r="G7085" s="15" t="s">
        <v>8</v>
      </c>
      <c r="H7085" s="24">
        <f t="shared" si="1379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si="1397"/>
        <v>46012</v>
      </c>
      <c r="B7086" s="5" t="str">
        <f t="shared" ref="B7086:C7086" si="1400">B7085</f>
        <v>Northern Cardinal</v>
      </c>
      <c r="C7086" s="6">
        <f t="shared" si="1400"/>
        <v>0.72847222222222219</v>
      </c>
      <c r="D7086" s="5">
        <v>0</v>
      </c>
      <c r="E7086" s="5">
        <v>4</v>
      </c>
      <c r="F7086" s="5" t="s">
        <v>9</v>
      </c>
      <c r="G7086" s="15" t="s">
        <v>8</v>
      </c>
      <c r="H7086" s="24">
        <f t="shared" si="1379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si="1397"/>
        <v>46012</v>
      </c>
      <c r="B7087" s="5" t="str">
        <f t="shared" ref="B7087" si="1401">B7086</f>
        <v>Northern Cardinal</v>
      </c>
      <c r="C7087" s="6">
        <v>0.72916666666666663</v>
      </c>
      <c r="D7087" s="5">
        <v>0</v>
      </c>
      <c r="E7087" s="5">
        <v>4</v>
      </c>
      <c r="F7087" s="5" t="s">
        <v>9</v>
      </c>
      <c r="G7087" s="15" t="s">
        <v>8</v>
      </c>
      <c r="H7087" s="24">
        <f t="shared" si="1379"/>
        <v>0.99999999278225005</v>
      </c>
      <c r="I7087" s="24" cm="1">
        <f t="array" ref="I7087">IFERROR(IF($B7087=I$1, ($A7087+$C7087) - MAX(IF($B$2:$B7086=$B7087, $A$2:$A7086+$C$2:$C7086)), "")*24*60, "")</f>
        <v>0.99999999278225005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si="1397"/>
        <v>46012</v>
      </c>
      <c r="B7088" s="5" t="str">
        <f t="shared" ref="B7088:C7088" si="1402">B7087</f>
        <v>Northern Cardinal</v>
      </c>
      <c r="C7088" s="6">
        <f t="shared" si="1402"/>
        <v>0.72916666666666663</v>
      </c>
      <c r="D7088" s="5">
        <v>0</v>
      </c>
      <c r="E7088" s="5">
        <v>2</v>
      </c>
      <c r="F7088" s="5" t="s">
        <v>9</v>
      </c>
      <c r="G7088" s="15" t="s">
        <v>8</v>
      </c>
      <c r="H7088" s="24">
        <f t="shared" si="1379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si="1397"/>
        <v>46012</v>
      </c>
      <c r="B7089" s="5" t="str">
        <f t="shared" ref="B7089" si="1403">B7088</f>
        <v>Northern Cardinal</v>
      </c>
      <c r="C7089" s="6">
        <v>0.73055555555555551</v>
      </c>
      <c r="D7089" s="5">
        <v>0</v>
      </c>
      <c r="E7089" s="5">
        <v>2</v>
      </c>
      <c r="F7089" s="5" t="s">
        <v>9</v>
      </c>
      <c r="G7089" s="15" t="s">
        <v>8</v>
      </c>
      <c r="H7089" s="24">
        <f t="shared" si="1379"/>
        <v>2.000000006519258</v>
      </c>
      <c r="I7089" s="24" cm="1">
        <f t="array" ref="I7089">IFERROR(IF($B7089=I$1, ($A7089+$C7089) - MAX(IF($B$2:$B7088=$B7089, $A$2:$A7088+$C$2:$C7088)), "")*24*60, "")</f>
        <v>2.000000006519258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si="1397"/>
        <v>46012</v>
      </c>
      <c r="B7090" s="5" t="str">
        <f t="shared" ref="B7090:C7090" si="1404">B7089</f>
        <v>Northern Cardinal</v>
      </c>
      <c r="C7090" s="6">
        <f t="shared" si="1404"/>
        <v>0.73055555555555551</v>
      </c>
      <c r="D7090" s="5">
        <v>0</v>
      </c>
      <c r="E7090" s="5">
        <v>2</v>
      </c>
      <c r="F7090" s="5" t="s">
        <v>9</v>
      </c>
      <c r="G7090" s="15" t="s">
        <v>8</v>
      </c>
      <c r="H7090" s="24">
        <f t="shared" si="1379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3">
        <f t="shared" si="1397"/>
        <v>46012</v>
      </c>
      <c r="B7091" s="7" t="str">
        <f t="shared" ref="B7091" si="1405">B7090</f>
        <v>Northern Cardinal</v>
      </c>
      <c r="C7091" s="8">
        <v>0.73124999999999996</v>
      </c>
      <c r="D7091" s="7">
        <v>0</v>
      </c>
      <c r="E7091" s="7">
        <v>2</v>
      </c>
      <c r="F7091" s="7" t="s">
        <v>9</v>
      </c>
      <c r="G7091" s="16" t="s">
        <v>8</v>
      </c>
      <c r="H7091" s="25">
        <f t="shared" si="1379"/>
        <v>0.99999999278225005</v>
      </c>
      <c r="I7091" s="25" cm="1">
        <f t="array" ref="I7091">IFERROR(IF($B7091=I$1, ($A7091+$C7091) - MAX(IF($B$2:$B7090=$B7091, $A$2:$A7090+$C$2:$C7090)), "")*24*60, "")</f>
        <v>0.99999999278225005</v>
      </c>
      <c r="J7091" s="25" t="str" cm="1">
        <f t="array" ref="J7091">IFERROR(IF($B7091=J$1, ($A7091+$C7091) - MAX(IF($B$2:$B7090=$B7091, $A$2:$A7090+$C$2:$C7090)), "")*24*60, "")</f>
        <v/>
      </c>
      <c r="K7091" s="25" t="str" cm="1">
        <f t="array" ref="K7091">IFERROR(IF($B7091=K$1, ($A7091+$C7091) - MAX(IF($B$2:$B7090=$B7091, $A$2:$A7090+$C$2:$C7090)), "")*24*60, "")</f>
        <v/>
      </c>
      <c r="L7091" s="25" t="str" cm="1">
        <f t="array" ref="L7091">IFERROR(IF($B7091=L$1, ($A7091+$C7091) - MAX(IF($B$2:$B7090=$B7091, $A$2:$A7090+$C$2:$C7090)), "")*24*60, "")</f>
        <v/>
      </c>
      <c r="M7091" s="25" t="str" cm="1">
        <f t="array" ref="M7091">IFERROR(IF($B7091=M$1, ($A7091+$C7091) - MAX(IF($B$2:$B7090=$B7091, $A$2:$A7090+$C$2:$C7090)), "")*24*60, "")</f>
        <v/>
      </c>
      <c r="N7091" s="25" t="str" cm="1">
        <f t="array" ref="N7091">IFERROR(IF($B7091=N$1, ($A7091+$C7091) - MAX(IF($B$2:$B7090=$B7091, $A$2:$A7090+$C$2:$C7090)), "")*24*60, "")</f>
        <v/>
      </c>
      <c r="O7091" s="25" t="str" cm="1">
        <f t="array" ref="O7091">IFERROR(IF($B7091=O$1, ($A7091+$C7091) - MAX(IF($B$2:$B7090=$B7091, $A$2:$A7090+$C$2:$C7090)), "")*24*60, "")</f>
        <v/>
      </c>
      <c r="P7091" s="25" t="str" cm="1">
        <f t="array" ref="P7091">IFERROR(IF($B7091=P$1, ($A7091+$C7091) - MAX(IF($B$2:$B7090=$B7091, $A$2:$A7090+$C$2:$C7090)), "")*24*60, "")</f>
        <v/>
      </c>
      <c r="Q7091" s="25" t="str" cm="1">
        <f t="array" ref="Q7091">IFERROR(IF($B7091=Q$1, ($A7091+$C7091) - MAX(IF($B$2:$B7090=$B7091, $A$2:$A7090+$C$2:$C7090)), "")*24*60, "")</f>
        <v/>
      </c>
      <c r="R7091" s="25" t="str" cm="1">
        <f t="array" ref="R7091">IFERROR(IF($B7091=R$1, ($A7091+$C7091) - MAX(IF($B$2:$B7090=$B7091, $A$2:$A7090+$C$2:$C7090)), "")*24*60, "")</f>
        <v/>
      </c>
      <c r="S7091" s="25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v>46013</v>
      </c>
      <c r="B7092" s="5" t="s">
        <v>3</v>
      </c>
      <c r="C7092" s="6">
        <v>0.29236111111111113</v>
      </c>
      <c r="D7092" s="5">
        <v>0</v>
      </c>
      <c r="E7092" s="5">
        <v>2</v>
      </c>
      <c r="F7092" s="5" t="s">
        <v>9</v>
      </c>
      <c r="G7092" s="15" t="s">
        <v>8</v>
      </c>
      <c r="H7092" s="24">
        <v>808.00000000395812</v>
      </c>
      <c r="I7092" s="24">
        <v>808.00000000395812</v>
      </c>
      <c r="J7092" s="24" t="s">
        <v>21</v>
      </c>
      <c r="K7092" s="24" t="s">
        <v>21</v>
      </c>
      <c r="L7092" s="24" t="s">
        <v>21</v>
      </c>
      <c r="M7092" s="24" t="s">
        <v>21</v>
      </c>
      <c r="N7092" s="24" t="s">
        <v>21</v>
      </c>
      <c r="O7092" s="24" t="s">
        <v>21</v>
      </c>
      <c r="P7092" s="24" t="s">
        <v>21</v>
      </c>
      <c r="Q7092" s="24" t="s">
        <v>21</v>
      </c>
      <c r="R7092" s="24" t="s">
        <v>21</v>
      </c>
      <c r="S7092" s="24" t="s">
        <v>21</v>
      </c>
    </row>
    <row r="7093" spans="1:19" x14ac:dyDescent="0.2">
      <c r="A7093" s="12">
        <v>46013</v>
      </c>
      <c r="B7093" s="5" t="s">
        <v>3</v>
      </c>
      <c r="C7093" s="6">
        <v>0.29236111111111113</v>
      </c>
      <c r="D7093" s="5">
        <v>0</v>
      </c>
      <c r="E7093" s="5">
        <v>3</v>
      </c>
      <c r="F7093" s="5" t="s">
        <v>9</v>
      </c>
      <c r="G7093" s="15" t="s">
        <v>8</v>
      </c>
      <c r="H7093" s="24">
        <v>0</v>
      </c>
      <c r="I7093" s="24">
        <v>0</v>
      </c>
      <c r="J7093" s="24" t="s">
        <v>21</v>
      </c>
      <c r="K7093" s="24" t="s">
        <v>21</v>
      </c>
      <c r="L7093" s="24" t="s">
        <v>21</v>
      </c>
      <c r="M7093" s="24" t="s">
        <v>21</v>
      </c>
      <c r="N7093" s="24" t="s">
        <v>21</v>
      </c>
      <c r="O7093" s="24" t="s">
        <v>21</v>
      </c>
      <c r="P7093" s="24" t="s">
        <v>21</v>
      </c>
      <c r="Q7093" s="24" t="s">
        <v>21</v>
      </c>
      <c r="R7093" s="24" t="s">
        <v>21</v>
      </c>
      <c r="S7093" s="24" t="s">
        <v>21</v>
      </c>
    </row>
    <row r="7094" spans="1:19" x14ac:dyDescent="0.2">
      <c r="A7094" s="12">
        <v>46013</v>
      </c>
      <c r="B7094" s="5" t="s">
        <v>3</v>
      </c>
      <c r="C7094" s="6">
        <v>0.29375000000000001</v>
      </c>
      <c r="D7094" s="5">
        <v>0</v>
      </c>
      <c r="E7094" s="5">
        <v>1</v>
      </c>
      <c r="F7094" s="5" t="s">
        <v>9</v>
      </c>
      <c r="G7094" s="15" t="s">
        <v>8</v>
      </c>
      <c r="H7094" s="24">
        <v>1.9999999960418791</v>
      </c>
      <c r="I7094" s="24">
        <v>1.9999999960418791</v>
      </c>
      <c r="J7094" s="24" t="s">
        <v>21</v>
      </c>
      <c r="K7094" s="24" t="s">
        <v>21</v>
      </c>
      <c r="L7094" s="24" t="s">
        <v>21</v>
      </c>
      <c r="M7094" s="24" t="s">
        <v>21</v>
      </c>
      <c r="N7094" s="24" t="s">
        <v>21</v>
      </c>
      <c r="O7094" s="24" t="s">
        <v>21</v>
      </c>
      <c r="P7094" s="24" t="s">
        <v>21</v>
      </c>
      <c r="Q7094" s="24" t="s">
        <v>21</v>
      </c>
      <c r="R7094" s="24" t="s">
        <v>21</v>
      </c>
      <c r="S7094" s="24" t="s">
        <v>21</v>
      </c>
    </row>
    <row r="7095" spans="1:19" x14ac:dyDescent="0.2">
      <c r="A7095" s="12">
        <v>46013</v>
      </c>
      <c r="B7095" s="5" t="s">
        <v>3</v>
      </c>
      <c r="C7095" s="6">
        <v>0.29583333333333334</v>
      </c>
      <c r="D7095" s="5">
        <v>0</v>
      </c>
      <c r="E7095" s="5">
        <v>2</v>
      </c>
      <c r="F7095" s="5" t="s">
        <v>9</v>
      </c>
      <c r="G7095" s="15" t="s">
        <v>8</v>
      </c>
      <c r="H7095" s="24">
        <v>2.9999999993015081</v>
      </c>
      <c r="I7095" s="24">
        <v>2.9999999993015081</v>
      </c>
      <c r="J7095" s="24" t="s">
        <v>21</v>
      </c>
      <c r="K7095" s="24" t="s">
        <v>21</v>
      </c>
      <c r="L7095" s="24" t="s">
        <v>21</v>
      </c>
      <c r="M7095" s="24" t="s">
        <v>21</v>
      </c>
      <c r="N7095" s="24" t="s">
        <v>21</v>
      </c>
      <c r="O7095" s="24" t="s">
        <v>21</v>
      </c>
      <c r="P7095" s="24" t="s">
        <v>21</v>
      </c>
      <c r="Q7095" s="24" t="s">
        <v>21</v>
      </c>
      <c r="R7095" s="24" t="s">
        <v>21</v>
      </c>
      <c r="S7095" s="24" t="s">
        <v>21</v>
      </c>
    </row>
    <row r="7096" spans="1:19" x14ac:dyDescent="0.2">
      <c r="A7096" s="12">
        <v>46013</v>
      </c>
      <c r="B7096" s="5" t="s">
        <v>3</v>
      </c>
      <c r="C7096" s="6">
        <v>0.29652777777777778</v>
      </c>
      <c r="D7096" s="5">
        <v>0</v>
      </c>
      <c r="E7096" s="5">
        <v>2</v>
      </c>
      <c r="F7096" s="5" t="s">
        <v>9</v>
      </c>
      <c r="G7096" s="15" t="s">
        <v>8</v>
      </c>
      <c r="H7096" s="24">
        <v>1.000000003259629</v>
      </c>
      <c r="I7096" s="24">
        <v>1.000000003259629</v>
      </c>
      <c r="J7096" s="24" t="s">
        <v>21</v>
      </c>
      <c r="K7096" s="24" t="s">
        <v>21</v>
      </c>
      <c r="L7096" s="24" t="s">
        <v>21</v>
      </c>
      <c r="M7096" s="24" t="s">
        <v>21</v>
      </c>
      <c r="N7096" s="24" t="s">
        <v>21</v>
      </c>
      <c r="O7096" s="24" t="s">
        <v>21</v>
      </c>
      <c r="P7096" s="24" t="s">
        <v>21</v>
      </c>
      <c r="Q7096" s="24" t="s">
        <v>21</v>
      </c>
      <c r="R7096" s="24" t="s">
        <v>21</v>
      </c>
      <c r="S7096" s="24" t="s">
        <v>21</v>
      </c>
    </row>
    <row r="7097" spans="1:19" x14ac:dyDescent="0.2">
      <c r="A7097" s="12">
        <v>46013</v>
      </c>
      <c r="B7097" s="5" t="s">
        <v>3</v>
      </c>
      <c r="C7097" s="6">
        <v>0.29652777777777778</v>
      </c>
      <c r="D7097" s="5">
        <v>0</v>
      </c>
      <c r="E7097" s="5">
        <v>1</v>
      </c>
      <c r="F7097" s="5" t="s">
        <v>9</v>
      </c>
      <c r="G7097" s="15" t="s">
        <v>8</v>
      </c>
      <c r="H7097" s="24">
        <v>0</v>
      </c>
      <c r="I7097" s="24">
        <v>0</v>
      </c>
      <c r="J7097" s="24" t="s">
        <v>21</v>
      </c>
      <c r="K7097" s="24" t="s">
        <v>21</v>
      </c>
      <c r="L7097" s="24" t="s">
        <v>21</v>
      </c>
      <c r="M7097" s="24" t="s">
        <v>21</v>
      </c>
      <c r="N7097" s="24" t="s">
        <v>21</v>
      </c>
      <c r="O7097" s="24" t="s">
        <v>21</v>
      </c>
      <c r="P7097" s="24" t="s">
        <v>21</v>
      </c>
      <c r="Q7097" s="24" t="s">
        <v>21</v>
      </c>
      <c r="R7097" s="24" t="s">
        <v>21</v>
      </c>
      <c r="S7097" s="24" t="s">
        <v>21</v>
      </c>
    </row>
    <row r="7098" spans="1:19" x14ac:dyDescent="0.2">
      <c r="A7098" s="12">
        <v>46013</v>
      </c>
      <c r="B7098" s="5" t="s">
        <v>3</v>
      </c>
      <c r="C7098" s="6">
        <v>0.29722222222222222</v>
      </c>
      <c r="D7098" s="5">
        <v>0</v>
      </c>
      <c r="E7098" s="5">
        <v>2</v>
      </c>
      <c r="F7098" s="5" t="s">
        <v>9</v>
      </c>
      <c r="G7098" s="15" t="s">
        <v>8</v>
      </c>
      <c r="H7098" s="24">
        <v>1.000000003259629</v>
      </c>
      <c r="I7098" s="24">
        <v>1.000000003259629</v>
      </c>
      <c r="J7098" s="24" t="s">
        <v>21</v>
      </c>
      <c r="K7098" s="24" t="s">
        <v>21</v>
      </c>
      <c r="L7098" s="24" t="s">
        <v>21</v>
      </c>
      <c r="M7098" s="24" t="s">
        <v>21</v>
      </c>
      <c r="N7098" s="24" t="s">
        <v>21</v>
      </c>
      <c r="O7098" s="24" t="s">
        <v>21</v>
      </c>
      <c r="P7098" s="24" t="s">
        <v>21</v>
      </c>
      <c r="Q7098" s="24" t="s">
        <v>21</v>
      </c>
      <c r="R7098" s="24" t="s">
        <v>21</v>
      </c>
      <c r="S7098" s="24" t="s">
        <v>21</v>
      </c>
    </row>
    <row r="7099" spans="1:19" x14ac:dyDescent="0.2">
      <c r="A7099" s="12">
        <v>46013</v>
      </c>
      <c r="B7099" s="5" t="s">
        <v>3</v>
      </c>
      <c r="C7099" s="6">
        <v>0.29791666666666666</v>
      </c>
      <c r="D7099" s="5">
        <v>0</v>
      </c>
      <c r="E7099" s="5">
        <v>0</v>
      </c>
      <c r="F7099" s="5" t="s">
        <v>9</v>
      </c>
      <c r="G7099" s="15" t="s">
        <v>8</v>
      </c>
      <c r="H7099" s="24">
        <v>1.000000003259629</v>
      </c>
      <c r="I7099" s="24">
        <v>1.000000003259629</v>
      </c>
      <c r="J7099" s="24" t="s">
        <v>21</v>
      </c>
      <c r="K7099" s="24" t="s">
        <v>21</v>
      </c>
      <c r="L7099" s="24" t="s">
        <v>21</v>
      </c>
      <c r="M7099" s="24" t="s">
        <v>21</v>
      </c>
      <c r="N7099" s="24" t="s">
        <v>21</v>
      </c>
      <c r="O7099" s="24" t="s">
        <v>21</v>
      </c>
      <c r="P7099" s="24" t="s">
        <v>21</v>
      </c>
      <c r="Q7099" s="24" t="s">
        <v>21</v>
      </c>
      <c r="R7099" s="24" t="s">
        <v>21</v>
      </c>
      <c r="S7099" s="24" t="s">
        <v>21</v>
      </c>
    </row>
    <row r="7100" spans="1:19" x14ac:dyDescent="0.2">
      <c r="A7100" s="12">
        <v>46013</v>
      </c>
      <c r="B7100" s="5" t="s">
        <v>3</v>
      </c>
      <c r="C7100" s="6">
        <v>0.29791666666666666</v>
      </c>
      <c r="D7100" s="5">
        <v>0</v>
      </c>
      <c r="E7100" s="5">
        <v>0</v>
      </c>
      <c r="F7100" s="5" t="s">
        <v>9</v>
      </c>
      <c r="G7100" s="15" t="s">
        <v>8</v>
      </c>
      <c r="H7100" s="24">
        <v>0</v>
      </c>
      <c r="I7100" s="24">
        <v>0</v>
      </c>
      <c r="J7100" s="24" t="s">
        <v>21</v>
      </c>
      <c r="K7100" s="24" t="s">
        <v>21</v>
      </c>
      <c r="L7100" s="24" t="s">
        <v>21</v>
      </c>
      <c r="M7100" s="24" t="s">
        <v>21</v>
      </c>
      <c r="N7100" s="24" t="s">
        <v>21</v>
      </c>
      <c r="O7100" s="24" t="s">
        <v>21</v>
      </c>
      <c r="P7100" s="24" t="s">
        <v>21</v>
      </c>
      <c r="Q7100" s="24" t="s">
        <v>21</v>
      </c>
      <c r="R7100" s="24" t="s">
        <v>21</v>
      </c>
      <c r="S7100" s="24" t="s">
        <v>21</v>
      </c>
    </row>
    <row r="7101" spans="1:19" x14ac:dyDescent="0.2">
      <c r="A7101" s="12">
        <v>46013</v>
      </c>
      <c r="B7101" s="5" t="s">
        <v>20</v>
      </c>
      <c r="C7101" s="6">
        <v>0.69861111111111107</v>
      </c>
      <c r="D7101" s="5">
        <v>0</v>
      </c>
      <c r="E7101" s="5">
        <v>0</v>
      </c>
      <c r="F7101" s="5" t="s">
        <v>9</v>
      </c>
      <c r="G7101" s="15" t="s">
        <v>8</v>
      </c>
      <c r="H7101" s="24">
        <v>576.99999999487773</v>
      </c>
      <c r="I7101" s="24" t="s">
        <v>21</v>
      </c>
      <c r="J7101" s="24" t="s">
        <v>21</v>
      </c>
      <c r="K7101" s="24" t="s">
        <v>21</v>
      </c>
      <c r="L7101" s="24" t="s">
        <v>21</v>
      </c>
      <c r="M7101" s="24" t="s">
        <v>21</v>
      </c>
      <c r="N7101" s="24" t="s">
        <v>21</v>
      </c>
      <c r="O7101" s="24">
        <v>1785.0000000034925</v>
      </c>
      <c r="P7101" s="24" t="s">
        <v>21</v>
      </c>
      <c r="Q7101" s="24" t="s">
        <v>21</v>
      </c>
      <c r="R7101" s="24" t="s">
        <v>21</v>
      </c>
      <c r="S7101" s="24" t="s">
        <v>21</v>
      </c>
    </row>
    <row r="7102" spans="1:19" x14ac:dyDescent="0.2">
      <c r="A7102" s="12">
        <v>46013</v>
      </c>
      <c r="B7102" s="5" t="s">
        <v>20</v>
      </c>
      <c r="C7102" s="6">
        <v>0.69861111111111107</v>
      </c>
      <c r="D7102" s="5">
        <v>0</v>
      </c>
      <c r="E7102" s="5">
        <v>8</v>
      </c>
      <c r="F7102" s="5" t="s">
        <v>9</v>
      </c>
      <c r="G7102" s="15" t="s">
        <v>8</v>
      </c>
      <c r="H7102" s="24">
        <v>0</v>
      </c>
      <c r="I7102" s="24" t="s">
        <v>21</v>
      </c>
      <c r="J7102" s="24" t="s">
        <v>21</v>
      </c>
      <c r="K7102" s="24" t="s">
        <v>21</v>
      </c>
      <c r="L7102" s="24" t="s">
        <v>21</v>
      </c>
      <c r="M7102" s="24" t="s">
        <v>21</v>
      </c>
      <c r="N7102" s="24" t="s">
        <v>21</v>
      </c>
      <c r="O7102" s="24">
        <v>0</v>
      </c>
      <c r="P7102" s="24" t="s">
        <v>21</v>
      </c>
      <c r="Q7102" s="24" t="s">
        <v>21</v>
      </c>
      <c r="R7102" s="24" t="s">
        <v>21</v>
      </c>
      <c r="S7102" s="24" t="s">
        <v>21</v>
      </c>
    </row>
    <row r="7103" spans="1:19" x14ac:dyDescent="0.2">
      <c r="A7103" s="12">
        <v>46013</v>
      </c>
      <c r="B7103" s="5" t="s">
        <v>20</v>
      </c>
      <c r="C7103" s="6">
        <v>0.69930555555555551</v>
      </c>
      <c r="D7103" s="5">
        <v>0</v>
      </c>
      <c r="E7103" s="5">
        <v>15</v>
      </c>
      <c r="F7103" s="5" t="s">
        <v>9</v>
      </c>
      <c r="G7103" s="15" t="s">
        <v>8</v>
      </c>
      <c r="H7103" s="24">
        <v>1.000000003259629</v>
      </c>
      <c r="I7103" s="24" t="s">
        <v>21</v>
      </c>
      <c r="J7103" s="24" t="s">
        <v>21</v>
      </c>
      <c r="K7103" s="24" t="s">
        <v>21</v>
      </c>
      <c r="L7103" s="24" t="s">
        <v>21</v>
      </c>
      <c r="M7103" s="24" t="s">
        <v>21</v>
      </c>
      <c r="N7103" s="24" t="s">
        <v>21</v>
      </c>
      <c r="O7103" s="24">
        <v>1.000000003259629</v>
      </c>
      <c r="P7103" s="24" t="s">
        <v>21</v>
      </c>
      <c r="Q7103" s="24" t="s">
        <v>21</v>
      </c>
      <c r="R7103" s="24" t="s">
        <v>21</v>
      </c>
      <c r="S7103" s="24" t="s">
        <v>21</v>
      </c>
    </row>
    <row r="7104" spans="1:19" x14ac:dyDescent="0.2">
      <c r="A7104" s="12">
        <v>46013</v>
      </c>
      <c r="B7104" s="5" t="s">
        <v>20</v>
      </c>
      <c r="C7104" s="6">
        <v>0.69930555555555551</v>
      </c>
      <c r="D7104" s="5">
        <v>0</v>
      </c>
      <c r="E7104" s="5">
        <v>5</v>
      </c>
      <c r="F7104" s="5" t="s">
        <v>9</v>
      </c>
      <c r="G7104" s="15" t="s">
        <v>8</v>
      </c>
      <c r="H7104" s="24">
        <v>0</v>
      </c>
      <c r="I7104" s="24" t="s">
        <v>21</v>
      </c>
      <c r="J7104" s="24" t="s">
        <v>21</v>
      </c>
      <c r="K7104" s="24" t="s">
        <v>21</v>
      </c>
      <c r="L7104" s="24" t="s">
        <v>21</v>
      </c>
      <c r="M7104" s="24" t="s">
        <v>21</v>
      </c>
      <c r="N7104" s="24" t="s">
        <v>21</v>
      </c>
      <c r="O7104" s="24">
        <v>0</v>
      </c>
      <c r="P7104" s="24" t="s">
        <v>21</v>
      </c>
      <c r="Q7104" s="24" t="s">
        <v>21</v>
      </c>
      <c r="R7104" s="24" t="s">
        <v>21</v>
      </c>
      <c r="S7104" s="24" t="s">
        <v>21</v>
      </c>
    </row>
    <row r="7105" spans="1:19" x14ac:dyDescent="0.2">
      <c r="A7105" s="12">
        <v>46013</v>
      </c>
      <c r="B7105" s="5" t="s">
        <v>20</v>
      </c>
      <c r="C7105" s="6">
        <v>0.7</v>
      </c>
      <c r="D7105" s="5">
        <v>0</v>
      </c>
      <c r="E7105" s="5">
        <v>15</v>
      </c>
      <c r="F7105" s="5" t="s">
        <v>9</v>
      </c>
      <c r="G7105" s="15" t="s">
        <v>8</v>
      </c>
      <c r="H7105" s="24">
        <v>0.99999999278225005</v>
      </c>
      <c r="I7105" s="24" t="s">
        <v>21</v>
      </c>
      <c r="J7105" s="24" t="s">
        <v>21</v>
      </c>
      <c r="K7105" s="24" t="s">
        <v>21</v>
      </c>
      <c r="L7105" s="24" t="s">
        <v>21</v>
      </c>
      <c r="M7105" s="24" t="s">
        <v>21</v>
      </c>
      <c r="N7105" s="24" t="s">
        <v>21</v>
      </c>
      <c r="O7105" s="24">
        <v>0.99999999278225005</v>
      </c>
      <c r="P7105" s="24" t="s">
        <v>21</v>
      </c>
      <c r="Q7105" s="24" t="s">
        <v>21</v>
      </c>
      <c r="R7105" s="24" t="s">
        <v>21</v>
      </c>
      <c r="S7105" s="24" t="s">
        <v>21</v>
      </c>
    </row>
    <row r="7106" spans="1:19" x14ac:dyDescent="0.2">
      <c r="A7106" s="12">
        <v>46013</v>
      </c>
      <c r="B7106" s="5" t="s">
        <v>20</v>
      </c>
      <c r="C7106" s="6">
        <v>0.7</v>
      </c>
      <c r="D7106" s="5">
        <v>0</v>
      </c>
      <c r="E7106" s="5">
        <v>8</v>
      </c>
      <c r="F7106" s="5" t="s">
        <v>9</v>
      </c>
      <c r="G7106" s="15" t="s">
        <v>8</v>
      </c>
      <c r="H7106" s="24">
        <v>0</v>
      </c>
      <c r="I7106" s="24" t="s">
        <v>21</v>
      </c>
      <c r="J7106" s="24" t="s">
        <v>21</v>
      </c>
      <c r="K7106" s="24" t="s">
        <v>21</v>
      </c>
      <c r="L7106" s="24" t="s">
        <v>21</v>
      </c>
      <c r="M7106" s="24" t="s">
        <v>21</v>
      </c>
      <c r="N7106" s="24" t="s">
        <v>21</v>
      </c>
      <c r="O7106" s="24">
        <v>0</v>
      </c>
      <c r="P7106" s="24" t="s">
        <v>21</v>
      </c>
      <c r="Q7106" s="24" t="s">
        <v>21</v>
      </c>
      <c r="R7106" s="24" t="s">
        <v>21</v>
      </c>
      <c r="S7106" s="24" t="s">
        <v>21</v>
      </c>
    </row>
    <row r="7107" spans="1:19" x14ac:dyDescent="0.2">
      <c r="A7107" s="12">
        <v>46013</v>
      </c>
      <c r="B7107" s="5" t="s">
        <v>20</v>
      </c>
      <c r="C7107" s="6">
        <v>0.7</v>
      </c>
      <c r="D7107" s="5">
        <v>0</v>
      </c>
      <c r="E7107" s="5">
        <v>0</v>
      </c>
      <c r="F7107" s="5" t="s">
        <v>9</v>
      </c>
      <c r="G7107" s="15" t="s">
        <v>8</v>
      </c>
      <c r="H7107" s="24">
        <v>0</v>
      </c>
      <c r="I7107" s="24" t="s">
        <v>21</v>
      </c>
      <c r="J7107" s="24" t="s">
        <v>21</v>
      </c>
      <c r="K7107" s="24" t="s">
        <v>21</v>
      </c>
      <c r="L7107" s="24" t="s">
        <v>21</v>
      </c>
      <c r="M7107" s="24" t="s">
        <v>21</v>
      </c>
      <c r="N7107" s="24" t="s">
        <v>21</v>
      </c>
      <c r="O7107" s="24">
        <v>0</v>
      </c>
      <c r="P7107" s="24" t="s">
        <v>21</v>
      </c>
      <c r="Q7107" s="24" t="s">
        <v>21</v>
      </c>
      <c r="R7107" s="24" t="s">
        <v>21</v>
      </c>
      <c r="S7107" s="24" t="s">
        <v>21</v>
      </c>
    </row>
    <row r="7108" spans="1:19" x14ac:dyDescent="0.2">
      <c r="A7108" s="12">
        <v>46013</v>
      </c>
      <c r="B7108" s="5" t="s">
        <v>20</v>
      </c>
      <c r="C7108" s="6">
        <v>0.7</v>
      </c>
      <c r="D7108" s="5">
        <v>0</v>
      </c>
      <c r="E7108" s="5">
        <v>0</v>
      </c>
      <c r="F7108" s="5" t="s">
        <v>9</v>
      </c>
      <c r="G7108" s="15" t="s">
        <v>8</v>
      </c>
      <c r="H7108" s="24">
        <v>0</v>
      </c>
      <c r="I7108" s="24" t="s">
        <v>21</v>
      </c>
      <c r="J7108" s="24" t="s">
        <v>21</v>
      </c>
      <c r="K7108" s="24" t="s">
        <v>21</v>
      </c>
      <c r="L7108" s="24" t="s">
        <v>21</v>
      </c>
      <c r="M7108" s="24" t="s">
        <v>21</v>
      </c>
      <c r="N7108" s="24" t="s">
        <v>21</v>
      </c>
      <c r="O7108" s="24">
        <v>0</v>
      </c>
      <c r="P7108" s="24" t="s">
        <v>21</v>
      </c>
      <c r="Q7108" s="24" t="s">
        <v>21</v>
      </c>
      <c r="R7108" s="24" t="s">
        <v>21</v>
      </c>
      <c r="S7108" s="24" t="s">
        <v>21</v>
      </c>
    </row>
    <row r="7109" spans="1:19" x14ac:dyDescent="0.2">
      <c r="A7109" s="12">
        <v>46013</v>
      </c>
      <c r="B7109" s="5" t="s">
        <v>20</v>
      </c>
      <c r="C7109" s="6">
        <v>0.70138888888888884</v>
      </c>
      <c r="D7109" s="5">
        <v>0</v>
      </c>
      <c r="E7109" s="5">
        <v>0</v>
      </c>
      <c r="F7109" s="5" t="s">
        <v>9</v>
      </c>
      <c r="G7109" s="15" t="s">
        <v>8</v>
      </c>
      <c r="H7109" s="24">
        <v>2.000000006519258</v>
      </c>
      <c r="I7109" s="24" t="s">
        <v>21</v>
      </c>
      <c r="J7109" s="24" t="s">
        <v>21</v>
      </c>
      <c r="K7109" s="24" t="s">
        <v>21</v>
      </c>
      <c r="L7109" s="24" t="s">
        <v>21</v>
      </c>
      <c r="M7109" s="24" t="s">
        <v>21</v>
      </c>
      <c r="N7109" s="24" t="s">
        <v>21</v>
      </c>
      <c r="O7109" s="24">
        <v>2.000000006519258</v>
      </c>
      <c r="P7109" s="24" t="s">
        <v>21</v>
      </c>
      <c r="Q7109" s="24" t="s">
        <v>21</v>
      </c>
      <c r="R7109" s="24" t="s">
        <v>21</v>
      </c>
      <c r="S7109" s="24" t="s">
        <v>21</v>
      </c>
    </row>
    <row r="7110" spans="1:19" x14ac:dyDescent="0.2">
      <c r="A7110" s="12">
        <v>46013</v>
      </c>
      <c r="B7110" s="5" t="s">
        <v>20</v>
      </c>
      <c r="C7110" s="6">
        <v>0.70138888888888884</v>
      </c>
      <c r="D7110" s="5">
        <v>0</v>
      </c>
      <c r="E7110" s="5">
        <v>0</v>
      </c>
      <c r="F7110" s="5" t="s">
        <v>9</v>
      </c>
      <c r="G7110" s="15" t="s">
        <v>8</v>
      </c>
      <c r="H7110" s="24">
        <v>0</v>
      </c>
      <c r="I7110" s="24" t="s">
        <v>21</v>
      </c>
      <c r="J7110" s="24" t="s">
        <v>21</v>
      </c>
      <c r="K7110" s="24" t="s">
        <v>21</v>
      </c>
      <c r="L7110" s="24" t="s">
        <v>21</v>
      </c>
      <c r="M7110" s="24" t="s">
        <v>21</v>
      </c>
      <c r="N7110" s="24" t="s">
        <v>21</v>
      </c>
      <c r="O7110" s="24">
        <v>0</v>
      </c>
      <c r="P7110" s="24" t="s">
        <v>21</v>
      </c>
      <c r="Q7110" s="24" t="s">
        <v>21</v>
      </c>
      <c r="R7110" s="24" t="s">
        <v>21</v>
      </c>
      <c r="S7110" s="24" t="s">
        <v>21</v>
      </c>
    </row>
    <row r="7111" spans="1:19" x14ac:dyDescent="0.2">
      <c r="A7111" s="12">
        <v>46013</v>
      </c>
      <c r="B7111" s="5" t="s">
        <v>20</v>
      </c>
      <c r="C7111" s="6">
        <v>0.70138888888888884</v>
      </c>
      <c r="D7111" s="5">
        <v>0</v>
      </c>
      <c r="E7111" s="5">
        <v>10</v>
      </c>
      <c r="F7111" s="5" t="s">
        <v>9</v>
      </c>
      <c r="G7111" s="15" t="s">
        <v>8</v>
      </c>
      <c r="H7111" s="24">
        <v>0</v>
      </c>
      <c r="I7111" s="24" t="s">
        <v>21</v>
      </c>
      <c r="J7111" s="24" t="s">
        <v>21</v>
      </c>
      <c r="K7111" s="24" t="s">
        <v>21</v>
      </c>
      <c r="L7111" s="24" t="s">
        <v>21</v>
      </c>
      <c r="M7111" s="24" t="s">
        <v>21</v>
      </c>
      <c r="N7111" s="24" t="s">
        <v>21</v>
      </c>
      <c r="O7111" s="24">
        <v>0</v>
      </c>
      <c r="P7111" s="24" t="s">
        <v>21</v>
      </c>
      <c r="Q7111" s="24" t="s">
        <v>21</v>
      </c>
      <c r="R7111" s="24" t="s">
        <v>21</v>
      </c>
      <c r="S7111" s="24" t="s">
        <v>21</v>
      </c>
    </row>
    <row r="7112" spans="1:19" x14ac:dyDescent="0.2">
      <c r="A7112" s="12">
        <v>46013</v>
      </c>
      <c r="B7112" s="5" t="s">
        <v>20</v>
      </c>
      <c r="C7112" s="6">
        <v>0.70208333333333328</v>
      </c>
      <c r="D7112" s="5">
        <v>0</v>
      </c>
      <c r="E7112" s="5">
        <v>15</v>
      </c>
      <c r="F7112" s="5" t="s">
        <v>9</v>
      </c>
      <c r="G7112" s="15" t="s">
        <v>8</v>
      </c>
      <c r="H7112" s="24">
        <v>0.99999999278225005</v>
      </c>
      <c r="I7112" s="24" t="s">
        <v>21</v>
      </c>
      <c r="J7112" s="24" t="s">
        <v>21</v>
      </c>
      <c r="K7112" s="24" t="s">
        <v>21</v>
      </c>
      <c r="L7112" s="24" t="s">
        <v>21</v>
      </c>
      <c r="M7112" s="24" t="s">
        <v>21</v>
      </c>
      <c r="N7112" s="24" t="s">
        <v>21</v>
      </c>
      <c r="O7112" s="24">
        <v>0.99999999278225005</v>
      </c>
      <c r="P7112" s="24" t="s">
        <v>21</v>
      </c>
      <c r="Q7112" s="24" t="s">
        <v>21</v>
      </c>
      <c r="R7112" s="24" t="s">
        <v>21</v>
      </c>
      <c r="S7112" s="24" t="s">
        <v>21</v>
      </c>
    </row>
    <row r="7113" spans="1:19" x14ac:dyDescent="0.2">
      <c r="A7113" s="12">
        <v>46013</v>
      </c>
      <c r="B7113" s="5" t="s">
        <v>20</v>
      </c>
      <c r="C7113" s="6">
        <v>0.70208333333333328</v>
      </c>
      <c r="D7113" s="5">
        <v>0</v>
      </c>
      <c r="E7113" s="5">
        <v>21</v>
      </c>
      <c r="F7113" s="5" t="s">
        <v>9</v>
      </c>
      <c r="G7113" s="15" t="s">
        <v>8</v>
      </c>
      <c r="H7113" s="24">
        <v>0</v>
      </c>
      <c r="I7113" s="24" t="s">
        <v>21</v>
      </c>
      <c r="J7113" s="24" t="s">
        <v>21</v>
      </c>
      <c r="K7113" s="24" t="s">
        <v>21</v>
      </c>
      <c r="L7113" s="24" t="s">
        <v>21</v>
      </c>
      <c r="M7113" s="24" t="s">
        <v>21</v>
      </c>
      <c r="N7113" s="24" t="s">
        <v>21</v>
      </c>
      <c r="O7113" s="24">
        <v>0</v>
      </c>
      <c r="P7113" s="24" t="s">
        <v>21</v>
      </c>
      <c r="Q7113" s="24" t="s">
        <v>21</v>
      </c>
      <c r="R7113" s="24" t="s">
        <v>21</v>
      </c>
      <c r="S7113" s="24" t="s">
        <v>21</v>
      </c>
    </row>
    <row r="7114" spans="1:19" x14ac:dyDescent="0.2">
      <c r="A7114" s="12">
        <v>46013</v>
      </c>
      <c r="B7114" s="5" t="s">
        <v>20</v>
      </c>
      <c r="C7114" s="6">
        <v>0.70277777777777772</v>
      </c>
      <c r="D7114" s="5">
        <v>0</v>
      </c>
      <c r="E7114" s="5">
        <v>21</v>
      </c>
      <c r="F7114" s="5" t="s">
        <v>9</v>
      </c>
      <c r="G7114" s="15" t="s">
        <v>8</v>
      </c>
      <c r="H7114" s="24">
        <v>1.000000003259629</v>
      </c>
      <c r="I7114" s="24" t="s">
        <v>21</v>
      </c>
      <c r="J7114" s="24" t="s">
        <v>21</v>
      </c>
      <c r="K7114" s="24" t="s">
        <v>21</v>
      </c>
      <c r="L7114" s="24" t="s">
        <v>21</v>
      </c>
      <c r="M7114" s="24" t="s">
        <v>21</v>
      </c>
      <c r="N7114" s="24" t="s">
        <v>21</v>
      </c>
      <c r="O7114" s="24">
        <v>1.000000003259629</v>
      </c>
      <c r="P7114" s="24" t="s">
        <v>21</v>
      </c>
      <c r="Q7114" s="24" t="s">
        <v>21</v>
      </c>
      <c r="R7114" s="24" t="s">
        <v>21</v>
      </c>
      <c r="S7114" s="24" t="s">
        <v>21</v>
      </c>
    </row>
    <row r="7115" spans="1:19" x14ac:dyDescent="0.2">
      <c r="A7115" s="12">
        <v>46013</v>
      </c>
      <c r="B7115" s="5" t="s">
        <v>20</v>
      </c>
      <c r="C7115" s="6">
        <v>0.70277777777777772</v>
      </c>
      <c r="D7115" s="5">
        <v>12</v>
      </c>
      <c r="E7115" s="5">
        <v>0</v>
      </c>
      <c r="F7115" s="5" t="s">
        <v>9</v>
      </c>
      <c r="G7115" s="15" t="s">
        <v>8</v>
      </c>
      <c r="H7115" s="24">
        <v>0</v>
      </c>
      <c r="I7115" s="24" t="s">
        <v>21</v>
      </c>
      <c r="J7115" s="24" t="s">
        <v>21</v>
      </c>
      <c r="K7115" s="24" t="s">
        <v>21</v>
      </c>
      <c r="L7115" s="24" t="s">
        <v>21</v>
      </c>
      <c r="M7115" s="24" t="s">
        <v>21</v>
      </c>
      <c r="N7115" s="24" t="s">
        <v>21</v>
      </c>
      <c r="O7115" s="24">
        <v>0</v>
      </c>
      <c r="P7115" s="24" t="s">
        <v>21</v>
      </c>
      <c r="Q7115" s="24" t="s">
        <v>21</v>
      </c>
      <c r="R7115" s="24" t="s">
        <v>21</v>
      </c>
      <c r="S7115" s="24" t="s">
        <v>21</v>
      </c>
    </row>
    <row r="7116" spans="1:19" x14ac:dyDescent="0.2">
      <c r="A7116" s="12">
        <v>46013</v>
      </c>
      <c r="B7116" s="5" t="s">
        <v>20</v>
      </c>
      <c r="C7116" s="6">
        <v>0.70347222222222228</v>
      </c>
      <c r="D7116" s="5">
        <v>7</v>
      </c>
      <c r="E7116" s="5">
        <v>0</v>
      </c>
      <c r="F7116" s="5" t="s">
        <v>9</v>
      </c>
      <c r="G7116" s="15" t="s">
        <v>8</v>
      </c>
      <c r="H7116" s="24">
        <v>1.000000003259629</v>
      </c>
      <c r="I7116" s="24" t="s">
        <v>21</v>
      </c>
      <c r="J7116" s="24" t="s">
        <v>21</v>
      </c>
      <c r="K7116" s="24" t="s">
        <v>21</v>
      </c>
      <c r="L7116" s="24" t="s">
        <v>21</v>
      </c>
      <c r="M7116" s="24" t="s">
        <v>21</v>
      </c>
      <c r="N7116" s="24" t="s">
        <v>21</v>
      </c>
      <c r="O7116" s="24">
        <v>1.000000003259629</v>
      </c>
      <c r="P7116" s="24" t="s">
        <v>21</v>
      </c>
      <c r="Q7116" s="24" t="s">
        <v>21</v>
      </c>
      <c r="R7116" s="24" t="s">
        <v>21</v>
      </c>
      <c r="S7116" s="24" t="s">
        <v>21</v>
      </c>
    </row>
    <row r="7117" spans="1:19" x14ac:dyDescent="0.2">
      <c r="A7117" s="12">
        <v>46013</v>
      </c>
      <c r="B7117" s="5" t="s">
        <v>20</v>
      </c>
      <c r="C7117" s="6">
        <v>0.70416666666666672</v>
      </c>
      <c r="D7117" s="5">
        <v>0</v>
      </c>
      <c r="E7117" s="5">
        <v>0</v>
      </c>
      <c r="F7117" s="5" t="s">
        <v>9</v>
      </c>
      <c r="G7117" s="15" t="s">
        <v>8</v>
      </c>
      <c r="H7117" s="24">
        <v>1.000000003259629</v>
      </c>
      <c r="I7117" s="24" t="s">
        <v>21</v>
      </c>
      <c r="J7117" s="24" t="s">
        <v>21</v>
      </c>
      <c r="K7117" s="24" t="s">
        <v>21</v>
      </c>
      <c r="L7117" s="24" t="s">
        <v>21</v>
      </c>
      <c r="M7117" s="24" t="s">
        <v>21</v>
      </c>
      <c r="N7117" s="24" t="s">
        <v>21</v>
      </c>
      <c r="O7117" s="24">
        <v>1.000000003259629</v>
      </c>
      <c r="P7117" s="24" t="s">
        <v>21</v>
      </c>
      <c r="Q7117" s="24" t="s">
        <v>21</v>
      </c>
      <c r="R7117" s="24" t="s">
        <v>21</v>
      </c>
      <c r="S7117" s="24" t="s">
        <v>21</v>
      </c>
    </row>
    <row r="7118" spans="1:19" x14ac:dyDescent="0.2">
      <c r="A7118" s="12">
        <v>46013</v>
      </c>
      <c r="B7118" s="5" t="s">
        <v>20</v>
      </c>
      <c r="C7118" s="6">
        <v>0.7055555555555556</v>
      </c>
      <c r="D7118" s="5">
        <v>0</v>
      </c>
      <c r="E7118" s="5">
        <v>0</v>
      </c>
      <c r="F7118" s="5" t="s">
        <v>9</v>
      </c>
      <c r="G7118" s="15" t="s">
        <v>8</v>
      </c>
      <c r="H7118" s="24">
        <v>1.9999999960418791</v>
      </c>
      <c r="I7118" s="24" t="s">
        <v>21</v>
      </c>
      <c r="J7118" s="24" t="s">
        <v>21</v>
      </c>
      <c r="K7118" s="24" t="s">
        <v>21</v>
      </c>
      <c r="L7118" s="24" t="s">
        <v>21</v>
      </c>
      <c r="M7118" s="24" t="s">
        <v>21</v>
      </c>
      <c r="N7118" s="24" t="s">
        <v>21</v>
      </c>
      <c r="O7118" s="24">
        <v>1.9999999960418791</v>
      </c>
      <c r="P7118" s="24" t="s">
        <v>21</v>
      </c>
      <c r="Q7118" s="24" t="s">
        <v>21</v>
      </c>
      <c r="R7118" s="24" t="s">
        <v>21</v>
      </c>
      <c r="S7118" s="24" t="s">
        <v>21</v>
      </c>
    </row>
    <row r="7119" spans="1:19" x14ac:dyDescent="0.2">
      <c r="A7119" s="12">
        <v>46013</v>
      </c>
      <c r="B7119" s="5" t="s">
        <v>20</v>
      </c>
      <c r="C7119" s="6">
        <v>0.70625000000000004</v>
      </c>
      <c r="D7119" s="5">
        <v>0</v>
      </c>
      <c r="E7119" s="5">
        <v>0</v>
      </c>
      <c r="F7119" s="5" t="s">
        <v>9</v>
      </c>
      <c r="G7119" s="15" t="s">
        <v>8</v>
      </c>
      <c r="H7119" s="24">
        <v>1.000000003259629</v>
      </c>
      <c r="I7119" s="24" t="s">
        <v>21</v>
      </c>
      <c r="J7119" s="24" t="s">
        <v>21</v>
      </c>
      <c r="K7119" s="24" t="s">
        <v>21</v>
      </c>
      <c r="L7119" s="24" t="s">
        <v>21</v>
      </c>
      <c r="M7119" s="24" t="s">
        <v>21</v>
      </c>
      <c r="N7119" s="24" t="s">
        <v>21</v>
      </c>
      <c r="O7119" s="24">
        <v>1.000000003259629</v>
      </c>
      <c r="P7119" s="24" t="s">
        <v>21</v>
      </c>
      <c r="Q7119" s="24" t="s">
        <v>21</v>
      </c>
      <c r="R7119" s="24" t="s">
        <v>21</v>
      </c>
      <c r="S7119" s="24" t="s">
        <v>21</v>
      </c>
    </row>
    <row r="7120" spans="1:19" x14ac:dyDescent="0.2">
      <c r="A7120" s="12">
        <v>46013</v>
      </c>
      <c r="B7120" s="5" t="s">
        <v>20</v>
      </c>
      <c r="C7120" s="6">
        <v>0.70625000000000004</v>
      </c>
      <c r="D7120" s="5">
        <v>0</v>
      </c>
      <c r="E7120" s="5">
        <v>0</v>
      </c>
      <c r="F7120" s="5" t="s">
        <v>9</v>
      </c>
      <c r="G7120" s="15" t="s">
        <v>8</v>
      </c>
      <c r="H7120" s="24">
        <v>0</v>
      </c>
      <c r="I7120" s="24" t="s">
        <v>21</v>
      </c>
      <c r="J7120" s="24" t="s">
        <v>21</v>
      </c>
      <c r="K7120" s="24" t="s">
        <v>21</v>
      </c>
      <c r="L7120" s="24" t="s">
        <v>21</v>
      </c>
      <c r="M7120" s="24" t="s">
        <v>21</v>
      </c>
      <c r="N7120" s="24" t="s">
        <v>21</v>
      </c>
      <c r="O7120" s="24">
        <v>0</v>
      </c>
      <c r="P7120" s="24" t="s">
        <v>21</v>
      </c>
      <c r="Q7120" s="24" t="s">
        <v>21</v>
      </c>
      <c r="R7120" s="24" t="s">
        <v>21</v>
      </c>
      <c r="S7120" s="24" t="s">
        <v>21</v>
      </c>
    </row>
    <row r="7121" spans="1:19" x14ac:dyDescent="0.2">
      <c r="A7121" s="12">
        <v>46013</v>
      </c>
      <c r="B7121" s="5" t="s">
        <v>20</v>
      </c>
      <c r="C7121" s="6">
        <v>0.70694444444444449</v>
      </c>
      <c r="D7121" s="5">
        <v>0</v>
      </c>
      <c r="E7121" s="5">
        <v>0</v>
      </c>
      <c r="F7121" s="5" t="s">
        <v>9</v>
      </c>
      <c r="G7121" s="15" t="s">
        <v>8</v>
      </c>
      <c r="H7121" s="24">
        <v>0.99999999278225005</v>
      </c>
      <c r="I7121" s="24" t="s">
        <v>21</v>
      </c>
      <c r="J7121" s="24" t="s">
        <v>21</v>
      </c>
      <c r="K7121" s="24" t="s">
        <v>21</v>
      </c>
      <c r="L7121" s="24" t="s">
        <v>21</v>
      </c>
      <c r="M7121" s="24" t="s">
        <v>21</v>
      </c>
      <c r="N7121" s="24" t="s">
        <v>21</v>
      </c>
      <c r="O7121" s="24">
        <v>0.99999999278225005</v>
      </c>
      <c r="P7121" s="24" t="s">
        <v>21</v>
      </c>
      <c r="Q7121" s="24" t="s">
        <v>21</v>
      </c>
      <c r="R7121" s="24" t="s">
        <v>21</v>
      </c>
      <c r="S7121" s="24" t="s">
        <v>21</v>
      </c>
    </row>
    <row r="7122" spans="1:19" x14ac:dyDescent="0.2">
      <c r="A7122" s="12">
        <v>46013</v>
      </c>
      <c r="B7122" s="5" t="s">
        <v>20</v>
      </c>
      <c r="C7122" s="6">
        <v>0.70763888888888893</v>
      </c>
      <c r="D7122" s="5">
        <v>0</v>
      </c>
      <c r="E7122" s="5">
        <v>0</v>
      </c>
      <c r="F7122" s="5" t="s">
        <v>9</v>
      </c>
      <c r="G7122" s="15" t="s">
        <v>8</v>
      </c>
      <c r="H7122" s="24">
        <v>1.000000003259629</v>
      </c>
      <c r="I7122" s="24" t="s">
        <v>21</v>
      </c>
      <c r="J7122" s="24" t="s">
        <v>21</v>
      </c>
      <c r="K7122" s="24" t="s">
        <v>21</v>
      </c>
      <c r="L7122" s="24" t="s">
        <v>21</v>
      </c>
      <c r="M7122" s="24" t="s">
        <v>21</v>
      </c>
      <c r="N7122" s="24" t="s">
        <v>21</v>
      </c>
      <c r="O7122" s="24">
        <v>1.000000003259629</v>
      </c>
      <c r="P7122" s="24" t="s">
        <v>21</v>
      </c>
      <c r="Q7122" s="24" t="s">
        <v>21</v>
      </c>
      <c r="R7122" s="24" t="s">
        <v>21</v>
      </c>
      <c r="S7122" s="24" t="s">
        <v>21</v>
      </c>
    </row>
    <row r="7123" spans="1:19" x14ac:dyDescent="0.2">
      <c r="A7123" s="12">
        <v>46013</v>
      </c>
      <c r="B7123" s="5" t="s">
        <v>20</v>
      </c>
      <c r="C7123" s="6">
        <v>0.70763888888888893</v>
      </c>
      <c r="D7123" s="5">
        <v>0</v>
      </c>
      <c r="E7123" s="5">
        <v>0</v>
      </c>
      <c r="F7123" s="5" t="s">
        <v>9</v>
      </c>
      <c r="G7123" s="15" t="s">
        <v>8</v>
      </c>
      <c r="H7123" s="24">
        <v>0</v>
      </c>
      <c r="I7123" s="24" t="s">
        <v>21</v>
      </c>
      <c r="J7123" s="24" t="s">
        <v>21</v>
      </c>
      <c r="K7123" s="24" t="s">
        <v>21</v>
      </c>
      <c r="L7123" s="24" t="s">
        <v>21</v>
      </c>
      <c r="M7123" s="24" t="s">
        <v>21</v>
      </c>
      <c r="N7123" s="24" t="s">
        <v>21</v>
      </c>
      <c r="O7123" s="24">
        <v>0</v>
      </c>
      <c r="P7123" s="24" t="s">
        <v>21</v>
      </c>
      <c r="Q7123" s="24" t="s">
        <v>21</v>
      </c>
      <c r="R7123" s="24" t="s">
        <v>21</v>
      </c>
      <c r="S7123" s="24" t="s">
        <v>21</v>
      </c>
    </row>
    <row r="7124" spans="1:19" x14ac:dyDescent="0.2">
      <c r="A7124" s="12">
        <v>46013</v>
      </c>
      <c r="B7124" s="5" t="s">
        <v>3</v>
      </c>
      <c r="C7124" s="6">
        <v>0.73819444444444449</v>
      </c>
      <c r="D7124" s="5">
        <v>0</v>
      </c>
      <c r="E7124" s="5">
        <v>3</v>
      </c>
      <c r="F7124" s="5" t="s">
        <v>9</v>
      </c>
      <c r="G7124" s="15" t="s">
        <v>8</v>
      </c>
      <c r="H7124" s="24">
        <v>43.999999996740371</v>
      </c>
      <c r="I7124" s="24">
        <v>633.99999999208376</v>
      </c>
      <c r="J7124" s="24" t="s">
        <v>21</v>
      </c>
      <c r="K7124" s="24" t="s">
        <v>21</v>
      </c>
      <c r="L7124" s="24" t="s">
        <v>21</v>
      </c>
      <c r="M7124" s="24" t="s">
        <v>21</v>
      </c>
      <c r="N7124" s="24" t="s">
        <v>21</v>
      </c>
      <c r="O7124" s="24" t="s">
        <v>21</v>
      </c>
      <c r="P7124" s="24" t="s">
        <v>21</v>
      </c>
      <c r="Q7124" s="24" t="s">
        <v>21</v>
      </c>
      <c r="R7124" s="24" t="s">
        <v>21</v>
      </c>
      <c r="S7124" s="24" t="s">
        <v>21</v>
      </c>
    </row>
    <row r="7125" spans="1:19" x14ac:dyDescent="0.2">
      <c r="A7125" s="12">
        <v>46013</v>
      </c>
      <c r="B7125" s="5" t="s">
        <v>3</v>
      </c>
      <c r="C7125" s="6">
        <v>0.73888888888888893</v>
      </c>
      <c r="D7125" s="5">
        <v>0</v>
      </c>
      <c r="E7125" s="5">
        <v>1</v>
      </c>
      <c r="F7125" s="5" t="s">
        <v>9</v>
      </c>
      <c r="G7125" s="15" t="s">
        <v>8</v>
      </c>
      <c r="H7125" s="24">
        <v>1.000000003259629</v>
      </c>
      <c r="I7125" s="24">
        <v>1.000000003259629</v>
      </c>
      <c r="J7125" s="24" t="s">
        <v>21</v>
      </c>
      <c r="K7125" s="24" t="s">
        <v>21</v>
      </c>
      <c r="L7125" s="24" t="s">
        <v>21</v>
      </c>
      <c r="M7125" s="24" t="s">
        <v>21</v>
      </c>
      <c r="N7125" s="24" t="s">
        <v>21</v>
      </c>
      <c r="O7125" s="24" t="s">
        <v>21</v>
      </c>
      <c r="P7125" s="24" t="s">
        <v>21</v>
      </c>
      <c r="Q7125" s="24" t="s">
        <v>21</v>
      </c>
      <c r="R7125" s="24" t="s">
        <v>21</v>
      </c>
      <c r="S7125" s="24" t="s">
        <v>21</v>
      </c>
    </row>
    <row r="7126" spans="1:19" x14ac:dyDescent="0.2">
      <c r="A7126" s="12">
        <v>46013</v>
      </c>
      <c r="B7126" s="5" t="s">
        <v>3</v>
      </c>
      <c r="C7126" s="6">
        <v>0.73958333333333337</v>
      </c>
      <c r="D7126" s="5">
        <v>0</v>
      </c>
      <c r="E7126" s="5">
        <v>3</v>
      </c>
      <c r="F7126" s="5" t="s">
        <v>9</v>
      </c>
      <c r="G7126" s="15" t="s">
        <v>8</v>
      </c>
      <c r="H7126" s="24">
        <v>1.000000003259629</v>
      </c>
      <c r="I7126" s="24">
        <v>1.000000003259629</v>
      </c>
      <c r="J7126" s="24" t="s">
        <v>21</v>
      </c>
      <c r="K7126" s="24" t="s">
        <v>21</v>
      </c>
      <c r="L7126" s="24" t="s">
        <v>21</v>
      </c>
      <c r="M7126" s="24" t="s">
        <v>21</v>
      </c>
      <c r="N7126" s="24" t="s">
        <v>21</v>
      </c>
      <c r="O7126" s="24" t="s">
        <v>21</v>
      </c>
      <c r="P7126" s="24" t="s">
        <v>21</v>
      </c>
      <c r="Q7126" s="24" t="s">
        <v>21</v>
      </c>
      <c r="R7126" s="24" t="s">
        <v>21</v>
      </c>
      <c r="S7126" s="24" t="s">
        <v>21</v>
      </c>
    </row>
    <row r="7127" spans="1:19" x14ac:dyDescent="0.2">
      <c r="A7127" s="12">
        <v>46013</v>
      </c>
      <c r="B7127" s="5" t="s">
        <v>3</v>
      </c>
      <c r="C7127" s="6">
        <v>0.74027777777777781</v>
      </c>
      <c r="D7127" s="5">
        <v>0</v>
      </c>
      <c r="E7127" s="5">
        <v>3</v>
      </c>
      <c r="F7127" s="5" t="s">
        <v>9</v>
      </c>
      <c r="G7127" s="15" t="s">
        <v>8</v>
      </c>
      <c r="H7127" s="24">
        <v>0.99999999278225005</v>
      </c>
      <c r="I7127" s="24">
        <v>0.99999999278225005</v>
      </c>
      <c r="J7127" s="24" t="s">
        <v>21</v>
      </c>
      <c r="K7127" s="24" t="s">
        <v>21</v>
      </c>
      <c r="L7127" s="24" t="s">
        <v>21</v>
      </c>
      <c r="M7127" s="24" t="s">
        <v>21</v>
      </c>
      <c r="N7127" s="24" t="s">
        <v>21</v>
      </c>
      <c r="O7127" s="24" t="s">
        <v>21</v>
      </c>
      <c r="P7127" s="24" t="s">
        <v>21</v>
      </c>
      <c r="Q7127" s="24" t="s">
        <v>21</v>
      </c>
      <c r="R7127" s="24" t="s">
        <v>21</v>
      </c>
      <c r="S7127" s="24" t="s">
        <v>21</v>
      </c>
    </row>
    <row r="7128" spans="1:19" x14ac:dyDescent="0.2">
      <c r="A7128" s="12">
        <v>46013</v>
      </c>
      <c r="B7128" s="5" t="s">
        <v>3</v>
      </c>
      <c r="C7128" s="6">
        <v>0.74027777777777781</v>
      </c>
      <c r="D7128" s="5">
        <v>0</v>
      </c>
      <c r="E7128" s="5">
        <v>4</v>
      </c>
      <c r="F7128" s="5" t="s">
        <v>9</v>
      </c>
      <c r="G7128" s="15" t="s">
        <v>8</v>
      </c>
      <c r="H7128" s="24">
        <v>0</v>
      </c>
      <c r="I7128" s="24">
        <v>0</v>
      </c>
      <c r="J7128" s="24" t="s">
        <v>21</v>
      </c>
      <c r="K7128" s="24" t="s">
        <v>21</v>
      </c>
      <c r="L7128" s="24" t="s">
        <v>21</v>
      </c>
      <c r="M7128" s="24" t="s">
        <v>21</v>
      </c>
      <c r="N7128" s="24" t="s">
        <v>21</v>
      </c>
      <c r="O7128" s="24" t="s">
        <v>21</v>
      </c>
      <c r="P7128" s="24" t="s">
        <v>21</v>
      </c>
      <c r="Q7128" s="24" t="s">
        <v>21</v>
      </c>
      <c r="R7128" s="24" t="s">
        <v>21</v>
      </c>
      <c r="S7128" s="24" t="s">
        <v>21</v>
      </c>
    </row>
    <row r="7129" spans="1:19" x14ac:dyDescent="0.2">
      <c r="A7129" s="12">
        <v>46013</v>
      </c>
      <c r="B7129" s="5" t="s">
        <v>3</v>
      </c>
      <c r="C7129" s="6">
        <v>0.74097222222222225</v>
      </c>
      <c r="D7129" s="5">
        <v>0</v>
      </c>
      <c r="E7129" s="5">
        <v>3</v>
      </c>
      <c r="F7129" s="5" t="s">
        <v>9</v>
      </c>
      <c r="G7129" s="15" t="s">
        <v>8</v>
      </c>
      <c r="H7129" s="24">
        <v>1.000000003259629</v>
      </c>
      <c r="I7129" s="24">
        <v>1.000000003259629</v>
      </c>
      <c r="J7129" s="24" t="s">
        <v>21</v>
      </c>
      <c r="K7129" s="24" t="s">
        <v>21</v>
      </c>
      <c r="L7129" s="24" t="s">
        <v>21</v>
      </c>
      <c r="M7129" s="24" t="s">
        <v>21</v>
      </c>
      <c r="N7129" s="24" t="s">
        <v>21</v>
      </c>
      <c r="O7129" s="24" t="s">
        <v>21</v>
      </c>
      <c r="P7129" s="24" t="s">
        <v>21</v>
      </c>
      <c r="Q7129" s="24" t="s">
        <v>21</v>
      </c>
      <c r="R7129" s="24" t="s">
        <v>21</v>
      </c>
      <c r="S7129" s="24" t="s">
        <v>21</v>
      </c>
    </row>
    <row r="7130" spans="1:19" x14ac:dyDescent="0.2">
      <c r="A7130" s="12">
        <v>46013</v>
      </c>
      <c r="B7130" s="5" t="s">
        <v>3</v>
      </c>
      <c r="C7130" s="6">
        <v>0.7416666666666667</v>
      </c>
      <c r="D7130" s="5">
        <v>0</v>
      </c>
      <c r="E7130" s="5">
        <v>3</v>
      </c>
      <c r="F7130" s="5" t="s">
        <v>9</v>
      </c>
      <c r="G7130" s="15" t="s">
        <v>8</v>
      </c>
      <c r="H7130" s="24">
        <v>1.000000003259629</v>
      </c>
      <c r="I7130" s="24">
        <v>1.000000003259629</v>
      </c>
      <c r="J7130" s="24" t="s">
        <v>21</v>
      </c>
      <c r="K7130" s="24" t="s">
        <v>21</v>
      </c>
      <c r="L7130" s="24" t="s">
        <v>21</v>
      </c>
      <c r="M7130" s="24" t="s">
        <v>21</v>
      </c>
      <c r="N7130" s="24" t="s">
        <v>21</v>
      </c>
      <c r="O7130" s="24" t="s">
        <v>21</v>
      </c>
      <c r="P7130" s="24" t="s">
        <v>21</v>
      </c>
      <c r="Q7130" s="24" t="s">
        <v>21</v>
      </c>
      <c r="R7130" s="24" t="s">
        <v>21</v>
      </c>
      <c r="S7130" s="24" t="s">
        <v>21</v>
      </c>
    </row>
    <row r="7131" spans="1:19" x14ac:dyDescent="0.2">
      <c r="A7131" s="13">
        <v>46013</v>
      </c>
      <c r="B7131" s="7" t="s">
        <v>3</v>
      </c>
      <c r="C7131" s="8">
        <v>0.7416666666666667</v>
      </c>
      <c r="D7131" s="7">
        <v>0</v>
      </c>
      <c r="E7131" s="7">
        <v>2</v>
      </c>
      <c r="F7131" s="7" t="s">
        <v>9</v>
      </c>
      <c r="G7131" s="16" t="s">
        <v>8</v>
      </c>
      <c r="H7131" s="25">
        <v>0</v>
      </c>
      <c r="I7131" s="25">
        <v>0</v>
      </c>
      <c r="J7131" s="25" t="s">
        <v>21</v>
      </c>
      <c r="K7131" s="25" t="s">
        <v>21</v>
      </c>
      <c r="L7131" s="25" t="s">
        <v>21</v>
      </c>
      <c r="M7131" s="25" t="s">
        <v>21</v>
      </c>
      <c r="N7131" s="25" t="s">
        <v>21</v>
      </c>
      <c r="O7131" s="25" t="s">
        <v>21</v>
      </c>
      <c r="P7131" s="25" t="s">
        <v>21</v>
      </c>
      <c r="Q7131" s="25" t="s">
        <v>21</v>
      </c>
      <c r="R7131" s="25" t="s">
        <v>21</v>
      </c>
      <c r="S7131" s="25" t="s">
        <v>21</v>
      </c>
    </row>
    <row r="7132" spans="1:19" x14ac:dyDescent="0.2">
      <c r="A7132" s="12">
        <v>46014</v>
      </c>
      <c r="B7132" s="5" t="s">
        <v>3</v>
      </c>
      <c r="C7132" s="6">
        <v>0.28888888888888886</v>
      </c>
      <c r="D7132" s="5">
        <v>0</v>
      </c>
      <c r="E7132" s="5">
        <v>1</v>
      </c>
      <c r="F7132" s="5" t="s">
        <v>9</v>
      </c>
      <c r="G7132" s="15" t="s">
        <v>8</v>
      </c>
      <c r="H7132" s="24">
        <v>788.00000000162981</v>
      </c>
      <c r="I7132" s="24">
        <v>788.00000000162981</v>
      </c>
      <c r="J7132" s="24" t="s">
        <v>21</v>
      </c>
      <c r="K7132" s="24" t="s">
        <v>21</v>
      </c>
      <c r="L7132" s="24" t="s">
        <v>21</v>
      </c>
      <c r="M7132" s="24" t="s">
        <v>21</v>
      </c>
      <c r="N7132" s="24" t="s">
        <v>21</v>
      </c>
      <c r="O7132" s="24" t="s">
        <v>21</v>
      </c>
      <c r="P7132" s="24" t="s">
        <v>21</v>
      </c>
      <c r="Q7132" s="24" t="s">
        <v>21</v>
      </c>
      <c r="R7132" s="24" t="s">
        <v>21</v>
      </c>
      <c r="S7132" s="24" t="s">
        <v>21</v>
      </c>
    </row>
    <row r="7133" spans="1:19" x14ac:dyDescent="0.2">
      <c r="A7133" s="12">
        <v>46014</v>
      </c>
      <c r="B7133" s="5" t="s">
        <v>3</v>
      </c>
      <c r="C7133" s="6">
        <v>0.28958333333333336</v>
      </c>
      <c r="D7133" s="5">
        <v>0</v>
      </c>
      <c r="E7133" s="5">
        <v>1</v>
      </c>
      <c r="F7133" s="5" t="s">
        <v>9</v>
      </c>
      <c r="G7133" s="15" t="s">
        <v>8</v>
      </c>
      <c r="H7133" s="24">
        <v>0.99999999278225005</v>
      </c>
      <c r="I7133" s="24">
        <v>0.99999999278225005</v>
      </c>
      <c r="J7133" s="24" t="s">
        <v>21</v>
      </c>
      <c r="K7133" s="24" t="s">
        <v>21</v>
      </c>
      <c r="L7133" s="24" t="s">
        <v>21</v>
      </c>
      <c r="M7133" s="24" t="s">
        <v>21</v>
      </c>
      <c r="N7133" s="24" t="s">
        <v>21</v>
      </c>
      <c r="O7133" s="24" t="s">
        <v>21</v>
      </c>
      <c r="P7133" s="24" t="s">
        <v>21</v>
      </c>
      <c r="Q7133" s="24" t="s">
        <v>21</v>
      </c>
      <c r="R7133" s="24" t="s">
        <v>21</v>
      </c>
      <c r="S7133" s="24" t="s">
        <v>21</v>
      </c>
    </row>
    <row r="7134" spans="1:19" x14ac:dyDescent="0.2">
      <c r="A7134" s="12">
        <v>46014</v>
      </c>
      <c r="B7134" s="5" t="s">
        <v>3</v>
      </c>
      <c r="C7134" s="6">
        <v>0.28958333333333336</v>
      </c>
      <c r="D7134" s="5">
        <v>0</v>
      </c>
      <c r="E7134" s="5">
        <v>2</v>
      </c>
      <c r="F7134" s="5" t="s">
        <v>9</v>
      </c>
      <c r="G7134" s="15" t="s">
        <v>8</v>
      </c>
      <c r="H7134" s="24">
        <v>0</v>
      </c>
      <c r="I7134" s="24">
        <v>0</v>
      </c>
      <c r="J7134" s="24" t="s">
        <v>21</v>
      </c>
      <c r="K7134" s="24" t="s">
        <v>21</v>
      </c>
      <c r="L7134" s="24" t="s">
        <v>21</v>
      </c>
      <c r="M7134" s="24" t="s">
        <v>21</v>
      </c>
      <c r="N7134" s="24" t="s">
        <v>21</v>
      </c>
      <c r="O7134" s="24" t="s">
        <v>21</v>
      </c>
      <c r="P7134" s="24" t="s">
        <v>21</v>
      </c>
      <c r="Q7134" s="24" t="s">
        <v>21</v>
      </c>
      <c r="R7134" s="24" t="s">
        <v>21</v>
      </c>
      <c r="S7134" s="24" t="s">
        <v>21</v>
      </c>
    </row>
    <row r="7135" spans="1:19" x14ac:dyDescent="0.2">
      <c r="A7135" s="12">
        <v>46014</v>
      </c>
      <c r="B7135" s="5" t="s">
        <v>3</v>
      </c>
      <c r="C7135" s="6">
        <v>0.2902777777777778</v>
      </c>
      <c r="D7135" s="5">
        <v>0</v>
      </c>
      <c r="E7135" s="5">
        <v>2</v>
      </c>
      <c r="F7135" s="5" t="s">
        <v>9</v>
      </c>
      <c r="G7135" s="15" t="s">
        <v>8</v>
      </c>
      <c r="H7135" s="24">
        <v>1.000000003259629</v>
      </c>
      <c r="I7135" s="24">
        <v>1.000000003259629</v>
      </c>
      <c r="J7135" s="24" t="s">
        <v>21</v>
      </c>
      <c r="K7135" s="24" t="s">
        <v>21</v>
      </c>
      <c r="L7135" s="24" t="s">
        <v>21</v>
      </c>
      <c r="M7135" s="24" t="s">
        <v>21</v>
      </c>
      <c r="N7135" s="24" t="s">
        <v>21</v>
      </c>
      <c r="O7135" s="24" t="s">
        <v>21</v>
      </c>
      <c r="P7135" s="24" t="s">
        <v>21</v>
      </c>
      <c r="Q7135" s="24" t="s">
        <v>21</v>
      </c>
      <c r="R7135" s="24" t="s">
        <v>21</v>
      </c>
      <c r="S7135" s="24" t="s">
        <v>21</v>
      </c>
    </row>
    <row r="7136" spans="1:19" x14ac:dyDescent="0.2">
      <c r="A7136" s="12">
        <v>46014</v>
      </c>
      <c r="B7136" s="5" t="s">
        <v>3</v>
      </c>
      <c r="C7136" s="6">
        <v>0.2902777777777778</v>
      </c>
      <c r="D7136" s="5">
        <v>0</v>
      </c>
      <c r="E7136" s="5">
        <v>2</v>
      </c>
      <c r="F7136" s="5" t="s">
        <v>9</v>
      </c>
      <c r="G7136" s="15" t="s">
        <v>8</v>
      </c>
      <c r="H7136" s="24">
        <v>0</v>
      </c>
      <c r="I7136" s="24">
        <v>0</v>
      </c>
      <c r="J7136" s="24" t="s">
        <v>21</v>
      </c>
      <c r="K7136" s="24" t="s">
        <v>21</v>
      </c>
      <c r="L7136" s="24" t="s">
        <v>21</v>
      </c>
      <c r="M7136" s="24" t="s">
        <v>21</v>
      </c>
      <c r="N7136" s="24" t="s">
        <v>21</v>
      </c>
      <c r="O7136" s="24" t="s">
        <v>21</v>
      </c>
      <c r="P7136" s="24" t="s">
        <v>21</v>
      </c>
      <c r="Q7136" s="24" t="s">
        <v>21</v>
      </c>
      <c r="R7136" s="24" t="s">
        <v>21</v>
      </c>
      <c r="S7136" s="24" t="s">
        <v>21</v>
      </c>
    </row>
    <row r="7137" spans="1:19" x14ac:dyDescent="0.2">
      <c r="A7137" s="12">
        <v>46014</v>
      </c>
      <c r="B7137" s="5" t="s">
        <v>3</v>
      </c>
      <c r="C7137" s="6">
        <v>0.29097222222222224</v>
      </c>
      <c r="D7137" s="5">
        <v>0</v>
      </c>
      <c r="E7137" s="5">
        <v>3</v>
      </c>
      <c r="F7137" s="5" t="s">
        <v>9</v>
      </c>
      <c r="G7137" s="15" t="s">
        <v>8</v>
      </c>
      <c r="H7137" s="24">
        <v>1.000000003259629</v>
      </c>
      <c r="I7137" s="24">
        <v>1.000000003259629</v>
      </c>
      <c r="J7137" s="24" t="s">
        <v>21</v>
      </c>
      <c r="K7137" s="24" t="s">
        <v>21</v>
      </c>
      <c r="L7137" s="24" t="s">
        <v>21</v>
      </c>
      <c r="M7137" s="24" t="s">
        <v>21</v>
      </c>
      <c r="N7137" s="24" t="s">
        <v>21</v>
      </c>
      <c r="O7137" s="24" t="s">
        <v>21</v>
      </c>
      <c r="P7137" s="24" t="s">
        <v>21</v>
      </c>
      <c r="Q7137" s="24" t="s">
        <v>21</v>
      </c>
      <c r="R7137" s="24" t="s">
        <v>21</v>
      </c>
      <c r="S7137" s="24" t="s">
        <v>21</v>
      </c>
    </row>
    <row r="7138" spans="1:19" x14ac:dyDescent="0.2">
      <c r="A7138" s="12">
        <v>46014</v>
      </c>
      <c r="B7138" s="5" t="s">
        <v>3</v>
      </c>
      <c r="C7138" s="6">
        <v>0.29166666666666669</v>
      </c>
      <c r="D7138" s="5">
        <v>0</v>
      </c>
      <c r="E7138" s="5">
        <v>2</v>
      </c>
      <c r="F7138" s="5" t="s">
        <v>9</v>
      </c>
      <c r="G7138" s="15" t="s">
        <v>8</v>
      </c>
      <c r="H7138" s="24">
        <v>0.99999999278225005</v>
      </c>
      <c r="I7138" s="24">
        <v>0.99999999278225005</v>
      </c>
      <c r="J7138" s="24" t="s">
        <v>21</v>
      </c>
      <c r="K7138" s="24" t="s">
        <v>21</v>
      </c>
      <c r="L7138" s="24" t="s">
        <v>21</v>
      </c>
      <c r="M7138" s="24" t="s">
        <v>21</v>
      </c>
      <c r="N7138" s="24" t="s">
        <v>21</v>
      </c>
      <c r="O7138" s="24" t="s">
        <v>21</v>
      </c>
      <c r="P7138" s="24" t="s">
        <v>21</v>
      </c>
      <c r="Q7138" s="24" t="s">
        <v>21</v>
      </c>
      <c r="R7138" s="24" t="s">
        <v>21</v>
      </c>
      <c r="S7138" s="24" t="s">
        <v>21</v>
      </c>
    </row>
    <row r="7139" spans="1:19" x14ac:dyDescent="0.2">
      <c r="A7139" s="12">
        <v>46014</v>
      </c>
      <c r="B7139" s="5" t="s">
        <v>3</v>
      </c>
      <c r="C7139" s="6">
        <v>0.29166666666666669</v>
      </c>
      <c r="D7139" s="5">
        <v>0</v>
      </c>
      <c r="E7139" s="5">
        <v>3</v>
      </c>
      <c r="F7139" s="5" t="s">
        <v>9</v>
      </c>
      <c r="G7139" s="15" t="s">
        <v>8</v>
      </c>
      <c r="H7139" s="24">
        <v>0</v>
      </c>
      <c r="I7139" s="24">
        <v>0</v>
      </c>
      <c r="J7139" s="24" t="s">
        <v>21</v>
      </c>
      <c r="K7139" s="24" t="s">
        <v>21</v>
      </c>
      <c r="L7139" s="24" t="s">
        <v>21</v>
      </c>
      <c r="M7139" s="24" t="s">
        <v>21</v>
      </c>
      <c r="N7139" s="24" t="s">
        <v>21</v>
      </c>
      <c r="O7139" s="24" t="s">
        <v>21</v>
      </c>
      <c r="P7139" s="24" t="s">
        <v>21</v>
      </c>
      <c r="Q7139" s="24" t="s">
        <v>21</v>
      </c>
      <c r="R7139" s="24" t="s">
        <v>21</v>
      </c>
      <c r="S7139" s="24" t="s">
        <v>21</v>
      </c>
    </row>
    <row r="7140" spans="1:19" x14ac:dyDescent="0.2">
      <c r="A7140" s="12">
        <v>46014</v>
      </c>
      <c r="B7140" s="5" t="s">
        <v>3</v>
      </c>
      <c r="C7140" s="6">
        <v>0.29236111111111113</v>
      </c>
      <c r="D7140" s="5">
        <v>0</v>
      </c>
      <c r="E7140" s="5">
        <v>3</v>
      </c>
      <c r="F7140" s="5" t="s">
        <v>9</v>
      </c>
      <c r="G7140" s="15" t="s">
        <v>8</v>
      </c>
      <c r="H7140" s="24">
        <v>1.000000003259629</v>
      </c>
      <c r="I7140" s="24">
        <v>1.000000003259629</v>
      </c>
      <c r="J7140" s="24" t="s">
        <v>21</v>
      </c>
      <c r="K7140" s="24" t="s">
        <v>21</v>
      </c>
      <c r="L7140" s="24" t="s">
        <v>21</v>
      </c>
      <c r="M7140" s="24" t="s">
        <v>21</v>
      </c>
      <c r="N7140" s="24" t="s">
        <v>21</v>
      </c>
      <c r="O7140" s="24" t="s">
        <v>21</v>
      </c>
      <c r="P7140" s="24" t="s">
        <v>21</v>
      </c>
      <c r="Q7140" s="24" t="s">
        <v>21</v>
      </c>
      <c r="R7140" s="24" t="s">
        <v>21</v>
      </c>
      <c r="S7140" s="24" t="s">
        <v>21</v>
      </c>
    </row>
    <row r="7141" spans="1:19" x14ac:dyDescent="0.2">
      <c r="A7141" s="12">
        <v>46014</v>
      </c>
      <c r="B7141" s="5" t="s">
        <v>3</v>
      </c>
      <c r="C7141" s="6">
        <v>0.29236111111111113</v>
      </c>
      <c r="D7141" s="5">
        <v>0</v>
      </c>
      <c r="E7141" s="5">
        <v>2</v>
      </c>
      <c r="F7141" s="5" t="s">
        <v>9</v>
      </c>
      <c r="G7141" s="15" t="s">
        <v>8</v>
      </c>
      <c r="H7141" s="24">
        <v>0</v>
      </c>
      <c r="I7141" s="24">
        <v>0</v>
      </c>
      <c r="J7141" s="24" t="s">
        <v>21</v>
      </c>
      <c r="K7141" s="24" t="s">
        <v>21</v>
      </c>
      <c r="L7141" s="24" t="s">
        <v>21</v>
      </c>
      <c r="M7141" s="24" t="s">
        <v>21</v>
      </c>
      <c r="N7141" s="24" t="s">
        <v>21</v>
      </c>
      <c r="O7141" s="24" t="s">
        <v>21</v>
      </c>
      <c r="P7141" s="24" t="s">
        <v>21</v>
      </c>
      <c r="Q7141" s="24" t="s">
        <v>21</v>
      </c>
      <c r="R7141" s="24" t="s">
        <v>21</v>
      </c>
      <c r="S7141" s="24" t="s">
        <v>21</v>
      </c>
    </row>
    <row r="7142" spans="1:19" x14ac:dyDescent="0.2">
      <c r="A7142" s="12">
        <v>46014</v>
      </c>
      <c r="B7142" s="5" t="s">
        <v>3</v>
      </c>
      <c r="C7142" s="6">
        <v>0.29305555555555557</v>
      </c>
      <c r="D7142" s="5">
        <v>0</v>
      </c>
      <c r="E7142" s="5">
        <v>4</v>
      </c>
      <c r="F7142" s="5" t="s">
        <v>9</v>
      </c>
      <c r="G7142" s="15" t="s">
        <v>8</v>
      </c>
      <c r="H7142" s="24">
        <v>1.000000003259629</v>
      </c>
      <c r="I7142" s="24">
        <v>1.000000003259629</v>
      </c>
      <c r="J7142" s="24" t="s">
        <v>21</v>
      </c>
      <c r="K7142" s="24" t="s">
        <v>21</v>
      </c>
      <c r="L7142" s="24" t="s">
        <v>21</v>
      </c>
      <c r="M7142" s="24" t="s">
        <v>21</v>
      </c>
      <c r="N7142" s="24" t="s">
        <v>21</v>
      </c>
      <c r="O7142" s="24" t="s">
        <v>21</v>
      </c>
      <c r="P7142" s="24" t="s">
        <v>21</v>
      </c>
      <c r="Q7142" s="24" t="s">
        <v>21</v>
      </c>
      <c r="R7142" s="24" t="s">
        <v>21</v>
      </c>
      <c r="S7142" s="24" t="s">
        <v>21</v>
      </c>
    </row>
    <row r="7143" spans="1:19" x14ac:dyDescent="0.2">
      <c r="A7143" s="12">
        <v>46014</v>
      </c>
      <c r="B7143" s="5" t="s">
        <v>3</v>
      </c>
      <c r="C7143" s="6">
        <v>0.29305555555555557</v>
      </c>
      <c r="D7143" s="5">
        <v>0</v>
      </c>
      <c r="E7143" s="5">
        <v>3</v>
      </c>
      <c r="F7143" s="5" t="s">
        <v>9</v>
      </c>
      <c r="G7143" s="15" t="s">
        <v>8</v>
      </c>
      <c r="H7143" s="24">
        <v>0</v>
      </c>
      <c r="I7143" s="24">
        <v>0</v>
      </c>
      <c r="J7143" s="24" t="s">
        <v>21</v>
      </c>
      <c r="K7143" s="24" t="s">
        <v>21</v>
      </c>
      <c r="L7143" s="24" t="s">
        <v>21</v>
      </c>
      <c r="M7143" s="24" t="s">
        <v>21</v>
      </c>
      <c r="N7143" s="24" t="s">
        <v>21</v>
      </c>
      <c r="O7143" s="24" t="s">
        <v>21</v>
      </c>
      <c r="P7143" s="24" t="s">
        <v>21</v>
      </c>
      <c r="Q7143" s="24" t="s">
        <v>21</v>
      </c>
      <c r="R7143" s="24" t="s">
        <v>21</v>
      </c>
      <c r="S7143" s="24" t="s">
        <v>21</v>
      </c>
    </row>
    <row r="7144" spans="1:19" x14ac:dyDescent="0.2">
      <c r="A7144" s="12">
        <v>46014</v>
      </c>
      <c r="B7144" s="5" t="s">
        <v>3</v>
      </c>
      <c r="C7144" s="6">
        <v>0.29375000000000001</v>
      </c>
      <c r="D7144" s="5">
        <v>0</v>
      </c>
      <c r="E7144" s="5">
        <v>3</v>
      </c>
      <c r="F7144" s="5" t="s">
        <v>9</v>
      </c>
      <c r="G7144" s="15" t="s">
        <v>8</v>
      </c>
      <c r="H7144" s="24">
        <v>0.99999999278225005</v>
      </c>
      <c r="I7144" s="24">
        <v>0.99999999278225005</v>
      </c>
      <c r="J7144" s="24" t="s">
        <v>21</v>
      </c>
      <c r="K7144" s="24" t="s">
        <v>21</v>
      </c>
      <c r="L7144" s="24" t="s">
        <v>21</v>
      </c>
      <c r="M7144" s="24" t="s">
        <v>21</v>
      </c>
      <c r="N7144" s="24" t="s">
        <v>21</v>
      </c>
      <c r="O7144" s="24" t="s">
        <v>21</v>
      </c>
      <c r="P7144" s="24" t="s">
        <v>21</v>
      </c>
      <c r="Q7144" s="24" t="s">
        <v>21</v>
      </c>
      <c r="R7144" s="24" t="s">
        <v>21</v>
      </c>
      <c r="S7144" s="24" t="s">
        <v>21</v>
      </c>
    </row>
    <row r="7145" spans="1:19" x14ac:dyDescent="0.2">
      <c r="A7145" s="12">
        <v>46014</v>
      </c>
      <c r="B7145" s="5" t="s">
        <v>20</v>
      </c>
      <c r="C7145" s="6">
        <v>0.36736111111111114</v>
      </c>
      <c r="D7145" s="5">
        <v>0</v>
      </c>
      <c r="E7145" s="5">
        <v>0</v>
      </c>
      <c r="F7145" s="5" t="s">
        <v>9</v>
      </c>
      <c r="G7145" s="15" t="s">
        <v>8</v>
      </c>
      <c r="H7145" s="24">
        <v>105.99999999976717</v>
      </c>
      <c r="I7145" s="24" t="s">
        <v>21</v>
      </c>
      <c r="J7145" s="24" t="s">
        <v>21</v>
      </c>
      <c r="K7145" s="24" t="s">
        <v>21</v>
      </c>
      <c r="L7145" s="24" t="s">
        <v>21</v>
      </c>
      <c r="M7145" s="24" t="s">
        <v>21</v>
      </c>
      <c r="N7145" s="24" t="s">
        <v>21</v>
      </c>
      <c r="O7145" s="24">
        <v>949.99999999534339</v>
      </c>
      <c r="P7145" s="24" t="s">
        <v>21</v>
      </c>
      <c r="Q7145" s="24" t="s">
        <v>21</v>
      </c>
      <c r="R7145" s="24" t="s">
        <v>21</v>
      </c>
      <c r="S7145" s="24" t="s">
        <v>21</v>
      </c>
    </row>
    <row r="7146" spans="1:19" x14ac:dyDescent="0.2">
      <c r="A7146" s="12">
        <v>46014</v>
      </c>
      <c r="B7146" s="5" t="s">
        <v>20</v>
      </c>
      <c r="C7146" s="6">
        <v>0.36805555555555558</v>
      </c>
      <c r="D7146" s="5">
        <v>0</v>
      </c>
      <c r="E7146" s="5">
        <v>4</v>
      </c>
      <c r="F7146" s="5" t="s">
        <v>9</v>
      </c>
      <c r="G7146" s="15" t="s">
        <v>8</v>
      </c>
      <c r="H7146" s="24">
        <v>1.000000003259629</v>
      </c>
      <c r="I7146" s="24" t="s">
        <v>21</v>
      </c>
      <c r="J7146" s="24" t="s">
        <v>21</v>
      </c>
      <c r="K7146" s="24" t="s">
        <v>21</v>
      </c>
      <c r="L7146" s="24" t="s">
        <v>21</v>
      </c>
      <c r="M7146" s="24" t="s">
        <v>21</v>
      </c>
      <c r="N7146" s="24" t="s">
        <v>21</v>
      </c>
      <c r="O7146" s="24">
        <v>1.000000003259629</v>
      </c>
      <c r="P7146" s="24" t="s">
        <v>21</v>
      </c>
      <c r="Q7146" s="24" t="s">
        <v>21</v>
      </c>
      <c r="R7146" s="24" t="s">
        <v>21</v>
      </c>
      <c r="S7146" s="24" t="s">
        <v>21</v>
      </c>
    </row>
    <row r="7147" spans="1:19" x14ac:dyDescent="0.2">
      <c r="A7147" s="12">
        <v>46014</v>
      </c>
      <c r="B7147" s="5" t="s">
        <v>20</v>
      </c>
      <c r="C7147" s="6">
        <v>0.36805555555555558</v>
      </c>
      <c r="D7147" s="5">
        <v>0</v>
      </c>
      <c r="E7147" s="5">
        <v>15</v>
      </c>
      <c r="F7147" s="5" t="s">
        <v>9</v>
      </c>
      <c r="G7147" s="15" t="s">
        <v>8</v>
      </c>
      <c r="H7147" s="24">
        <v>0</v>
      </c>
      <c r="I7147" s="24" t="s">
        <v>21</v>
      </c>
      <c r="J7147" s="24" t="s">
        <v>21</v>
      </c>
      <c r="K7147" s="24" t="s">
        <v>21</v>
      </c>
      <c r="L7147" s="24" t="s">
        <v>21</v>
      </c>
      <c r="M7147" s="24" t="s">
        <v>21</v>
      </c>
      <c r="N7147" s="24" t="s">
        <v>21</v>
      </c>
      <c r="O7147" s="24">
        <v>0</v>
      </c>
      <c r="P7147" s="24" t="s">
        <v>21</v>
      </c>
      <c r="Q7147" s="24" t="s">
        <v>21</v>
      </c>
      <c r="R7147" s="24" t="s">
        <v>21</v>
      </c>
      <c r="S7147" s="24" t="s">
        <v>21</v>
      </c>
    </row>
    <row r="7148" spans="1:19" x14ac:dyDescent="0.2">
      <c r="A7148" s="12">
        <v>46014</v>
      </c>
      <c r="B7148" s="5" t="s">
        <v>20</v>
      </c>
      <c r="C7148" s="6">
        <v>0.36875000000000002</v>
      </c>
      <c r="D7148" s="5">
        <v>0</v>
      </c>
      <c r="E7148" s="5">
        <v>14</v>
      </c>
      <c r="F7148" s="5" t="s">
        <v>9</v>
      </c>
      <c r="G7148" s="15" t="s">
        <v>8</v>
      </c>
      <c r="H7148" s="24">
        <v>1.000000003259629</v>
      </c>
      <c r="I7148" s="24" t="s">
        <v>21</v>
      </c>
      <c r="J7148" s="24" t="s">
        <v>21</v>
      </c>
      <c r="K7148" s="24" t="s">
        <v>21</v>
      </c>
      <c r="L7148" s="24" t="s">
        <v>21</v>
      </c>
      <c r="M7148" s="24" t="s">
        <v>21</v>
      </c>
      <c r="N7148" s="24" t="s">
        <v>21</v>
      </c>
      <c r="O7148" s="24">
        <v>1.000000003259629</v>
      </c>
      <c r="P7148" s="24" t="s">
        <v>21</v>
      </c>
      <c r="Q7148" s="24" t="s">
        <v>21</v>
      </c>
      <c r="R7148" s="24" t="s">
        <v>21</v>
      </c>
      <c r="S7148" s="24" t="s">
        <v>21</v>
      </c>
    </row>
    <row r="7149" spans="1:19" x14ac:dyDescent="0.2">
      <c r="A7149" s="12">
        <v>46014</v>
      </c>
      <c r="B7149" s="5" t="s">
        <v>20</v>
      </c>
      <c r="C7149" s="6">
        <v>0.36875000000000002</v>
      </c>
      <c r="D7149" s="5">
        <v>0</v>
      </c>
      <c r="E7149" s="5">
        <v>11</v>
      </c>
      <c r="F7149" s="5" t="s">
        <v>9</v>
      </c>
      <c r="G7149" s="15" t="s">
        <v>8</v>
      </c>
      <c r="H7149" s="24">
        <v>0</v>
      </c>
      <c r="I7149" s="24" t="s">
        <v>21</v>
      </c>
      <c r="J7149" s="24" t="s">
        <v>21</v>
      </c>
      <c r="K7149" s="24" t="s">
        <v>21</v>
      </c>
      <c r="L7149" s="24" t="s">
        <v>21</v>
      </c>
      <c r="M7149" s="24" t="s">
        <v>21</v>
      </c>
      <c r="N7149" s="24" t="s">
        <v>21</v>
      </c>
      <c r="O7149" s="24">
        <v>0</v>
      </c>
      <c r="P7149" s="24" t="s">
        <v>21</v>
      </c>
      <c r="Q7149" s="24" t="s">
        <v>21</v>
      </c>
      <c r="R7149" s="24" t="s">
        <v>21</v>
      </c>
      <c r="S7149" s="24" t="s">
        <v>21</v>
      </c>
    </row>
    <row r="7150" spans="1:19" x14ac:dyDescent="0.2">
      <c r="A7150" s="12">
        <v>46014</v>
      </c>
      <c r="B7150" s="5" t="s">
        <v>20</v>
      </c>
      <c r="C7150" s="6">
        <v>0.36944444444444446</v>
      </c>
      <c r="D7150" s="5">
        <v>2</v>
      </c>
      <c r="E7150" s="5">
        <v>4</v>
      </c>
      <c r="F7150" s="5" t="s">
        <v>9</v>
      </c>
      <c r="G7150" s="15" t="s">
        <v>8</v>
      </c>
      <c r="H7150" s="24">
        <v>0.99999999278225005</v>
      </c>
      <c r="I7150" s="24" t="s">
        <v>21</v>
      </c>
      <c r="J7150" s="24" t="s">
        <v>21</v>
      </c>
      <c r="K7150" s="24" t="s">
        <v>21</v>
      </c>
      <c r="L7150" s="24" t="s">
        <v>21</v>
      </c>
      <c r="M7150" s="24" t="s">
        <v>21</v>
      </c>
      <c r="N7150" s="24" t="s">
        <v>21</v>
      </c>
      <c r="O7150" s="24">
        <v>0.99999999278225005</v>
      </c>
      <c r="P7150" s="24" t="s">
        <v>21</v>
      </c>
      <c r="Q7150" s="24" t="s">
        <v>21</v>
      </c>
      <c r="R7150" s="24" t="s">
        <v>21</v>
      </c>
      <c r="S7150" s="24" t="s">
        <v>21</v>
      </c>
    </row>
    <row r="7151" spans="1:19" x14ac:dyDescent="0.2">
      <c r="A7151" s="12">
        <v>46014</v>
      </c>
      <c r="B7151" s="5" t="s">
        <v>20</v>
      </c>
      <c r="C7151" s="6">
        <v>0.36944444444444446</v>
      </c>
      <c r="D7151" s="5">
        <v>0</v>
      </c>
      <c r="E7151" s="5">
        <v>0</v>
      </c>
      <c r="F7151" s="5" t="s">
        <v>9</v>
      </c>
      <c r="G7151" s="15" t="s">
        <v>8</v>
      </c>
      <c r="H7151" s="24">
        <v>0</v>
      </c>
      <c r="I7151" s="24" t="s">
        <v>21</v>
      </c>
      <c r="J7151" s="24" t="s">
        <v>21</v>
      </c>
      <c r="K7151" s="24" t="s">
        <v>21</v>
      </c>
      <c r="L7151" s="24" t="s">
        <v>21</v>
      </c>
      <c r="M7151" s="24" t="s">
        <v>21</v>
      </c>
      <c r="N7151" s="24" t="s">
        <v>21</v>
      </c>
      <c r="O7151" s="24">
        <v>0</v>
      </c>
      <c r="P7151" s="24" t="s">
        <v>21</v>
      </c>
      <c r="Q7151" s="24" t="s">
        <v>21</v>
      </c>
      <c r="R7151" s="24" t="s">
        <v>21</v>
      </c>
      <c r="S7151" s="24" t="s">
        <v>21</v>
      </c>
    </row>
    <row r="7152" spans="1:19" x14ac:dyDescent="0.2">
      <c r="A7152" s="12">
        <v>46014</v>
      </c>
      <c r="B7152" s="5" t="s">
        <v>20</v>
      </c>
      <c r="C7152" s="6">
        <v>0.47499999999999998</v>
      </c>
      <c r="D7152" s="5">
        <v>0</v>
      </c>
      <c r="E7152" s="5">
        <v>0</v>
      </c>
      <c r="F7152" s="5" t="s">
        <v>9</v>
      </c>
      <c r="G7152" s="15" t="s">
        <v>8</v>
      </c>
      <c r="H7152" s="24">
        <v>152.0000000030268</v>
      </c>
      <c r="I7152" s="24" t="s">
        <v>21</v>
      </c>
      <c r="J7152" s="24" t="s">
        <v>21</v>
      </c>
      <c r="K7152" s="24" t="s">
        <v>21</v>
      </c>
      <c r="L7152" s="24" t="s">
        <v>21</v>
      </c>
      <c r="M7152" s="24" t="s">
        <v>21</v>
      </c>
      <c r="N7152" s="24" t="s">
        <v>21</v>
      </c>
      <c r="O7152" s="24">
        <v>152.0000000030268</v>
      </c>
      <c r="P7152" s="24" t="s">
        <v>21</v>
      </c>
      <c r="Q7152" s="24" t="s">
        <v>21</v>
      </c>
      <c r="R7152" s="24" t="s">
        <v>21</v>
      </c>
      <c r="S7152" s="24" t="s">
        <v>21</v>
      </c>
    </row>
    <row r="7153" spans="1:19" x14ac:dyDescent="0.2">
      <c r="A7153" s="12">
        <v>46014</v>
      </c>
      <c r="B7153" s="5" t="s">
        <v>20</v>
      </c>
      <c r="C7153" s="6">
        <v>0.47499999999999998</v>
      </c>
      <c r="D7153" s="5">
        <v>0</v>
      </c>
      <c r="E7153" s="5">
        <v>0</v>
      </c>
      <c r="F7153" s="5" t="s">
        <v>9</v>
      </c>
      <c r="G7153" s="15" t="s">
        <v>8</v>
      </c>
      <c r="H7153" s="24">
        <v>0</v>
      </c>
      <c r="I7153" s="24" t="s">
        <v>21</v>
      </c>
      <c r="J7153" s="24" t="s">
        <v>21</v>
      </c>
      <c r="K7153" s="24" t="s">
        <v>21</v>
      </c>
      <c r="L7153" s="24" t="s">
        <v>21</v>
      </c>
      <c r="M7153" s="24" t="s">
        <v>21</v>
      </c>
      <c r="N7153" s="24" t="s">
        <v>21</v>
      </c>
      <c r="O7153" s="24">
        <v>0</v>
      </c>
      <c r="P7153" s="24" t="s">
        <v>21</v>
      </c>
      <c r="Q7153" s="24" t="s">
        <v>21</v>
      </c>
      <c r="R7153" s="24" t="s">
        <v>21</v>
      </c>
      <c r="S7153" s="24" t="s">
        <v>21</v>
      </c>
    </row>
    <row r="7154" spans="1:19" x14ac:dyDescent="0.2">
      <c r="A7154" s="12">
        <v>46014</v>
      </c>
      <c r="B7154" s="5" t="s">
        <v>20</v>
      </c>
      <c r="C7154" s="6">
        <v>0.47569444444444442</v>
      </c>
      <c r="D7154" s="5">
        <v>0</v>
      </c>
      <c r="E7154" s="5">
        <v>0</v>
      </c>
      <c r="F7154" s="5" t="s">
        <v>9</v>
      </c>
      <c r="G7154" s="15" t="s">
        <v>8</v>
      </c>
      <c r="H7154" s="24">
        <v>1.000000003259629</v>
      </c>
      <c r="I7154" s="24" t="s">
        <v>21</v>
      </c>
      <c r="J7154" s="24" t="s">
        <v>21</v>
      </c>
      <c r="K7154" s="24" t="s">
        <v>21</v>
      </c>
      <c r="L7154" s="24" t="s">
        <v>21</v>
      </c>
      <c r="M7154" s="24" t="s">
        <v>21</v>
      </c>
      <c r="N7154" s="24" t="s">
        <v>21</v>
      </c>
      <c r="O7154" s="24">
        <v>1.000000003259629</v>
      </c>
      <c r="P7154" s="24" t="s">
        <v>21</v>
      </c>
      <c r="Q7154" s="24" t="s">
        <v>21</v>
      </c>
      <c r="R7154" s="24" t="s">
        <v>21</v>
      </c>
      <c r="S7154" s="24" t="s">
        <v>21</v>
      </c>
    </row>
    <row r="7155" spans="1:19" x14ac:dyDescent="0.2">
      <c r="A7155" s="12">
        <v>46014</v>
      </c>
      <c r="B7155" s="5" t="s">
        <v>20</v>
      </c>
      <c r="C7155" s="6">
        <v>0.47569444444444442</v>
      </c>
      <c r="D7155" s="5">
        <v>0</v>
      </c>
      <c r="E7155" s="5">
        <v>6</v>
      </c>
      <c r="F7155" s="5" t="s">
        <v>9</v>
      </c>
      <c r="G7155" s="15" t="s">
        <v>8</v>
      </c>
      <c r="H7155" s="24">
        <v>0</v>
      </c>
      <c r="I7155" s="24" t="s">
        <v>21</v>
      </c>
      <c r="J7155" s="24" t="s">
        <v>21</v>
      </c>
      <c r="K7155" s="24" t="s">
        <v>21</v>
      </c>
      <c r="L7155" s="24" t="s">
        <v>21</v>
      </c>
      <c r="M7155" s="24" t="s">
        <v>21</v>
      </c>
      <c r="N7155" s="24" t="s">
        <v>21</v>
      </c>
      <c r="O7155" s="24">
        <v>0</v>
      </c>
      <c r="P7155" s="24" t="s">
        <v>21</v>
      </c>
      <c r="Q7155" s="24" t="s">
        <v>21</v>
      </c>
      <c r="R7155" s="24" t="s">
        <v>21</v>
      </c>
      <c r="S7155" s="24" t="s">
        <v>21</v>
      </c>
    </row>
    <row r="7156" spans="1:19" x14ac:dyDescent="0.2">
      <c r="A7156" s="12">
        <v>46014</v>
      </c>
      <c r="B7156" s="5" t="s">
        <v>20</v>
      </c>
      <c r="C7156" s="6">
        <v>0.47638888888888886</v>
      </c>
      <c r="D7156" s="5">
        <v>0</v>
      </c>
      <c r="E7156" s="5">
        <v>8</v>
      </c>
      <c r="F7156" s="5" t="s">
        <v>9</v>
      </c>
      <c r="G7156" s="15" t="s">
        <v>8</v>
      </c>
      <c r="H7156" s="24">
        <v>1.000000003259629</v>
      </c>
      <c r="I7156" s="24" t="s">
        <v>21</v>
      </c>
      <c r="J7156" s="24" t="s">
        <v>21</v>
      </c>
      <c r="K7156" s="24" t="s">
        <v>21</v>
      </c>
      <c r="L7156" s="24" t="s">
        <v>21</v>
      </c>
      <c r="M7156" s="24" t="s">
        <v>21</v>
      </c>
      <c r="N7156" s="24" t="s">
        <v>21</v>
      </c>
      <c r="O7156" s="24">
        <v>1.000000003259629</v>
      </c>
      <c r="P7156" s="24" t="s">
        <v>21</v>
      </c>
      <c r="Q7156" s="24" t="s">
        <v>21</v>
      </c>
      <c r="R7156" s="24" t="s">
        <v>21</v>
      </c>
      <c r="S7156" s="24" t="s">
        <v>21</v>
      </c>
    </row>
    <row r="7157" spans="1:19" x14ac:dyDescent="0.2">
      <c r="A7157" s="12">
        <v>46014</v>
      </c>
      <c r="B7157" s="5" t="s">
        <v>20</v>
      </c>
      <c r="C7157" s="6">
        <v>0.47638888888888886</v>
      </c>
      <c r="D7157" s="5">
        <v>0</v>
      </c>
      <c r="E7157" s="5">
        <v>7</v>
      </c>
      <c r="F7157" s="5" t="s">
        <v>9</v>
      </c>
      <c r="G7157" s="15" t="s">
        <v>8</v>
      </c>
      <c r="H7157" s="24">
        <v>0</v>
      </c>
      <c r="I7157" s="24" t="s">
        <v>21</v>
      </c>
      <c r="J7157" s="24" t="s">
        <v>21</v>
      </c>
      <c r="K7157" s="24" t="s">
        <v>21</v>
      </c>
      <c r="L7157" s="24" t="s">
        <v>21</v>
      </c>
      <c r="M7157" s="24" t="s">
        <v>21</v>
      </c>
      <c r="N7157" s="24" t="s">
        <v>21</v>
      </c>
      <c r="O7157" s="24">
        <v>0</v>
      </c>
      <c r="P7157" s="24" t="s">
        <v>21</v>
      </c>
      <c r="Q7157" s="24" t="s">
        <v>21</v>
      </c>
      <c r="R7157" s="24" t="s">
        <v>21</v>
      </c>
      <c r="S7157" s="24" t="s">
        <v>21</v>
      </c>
    </row>
    <row r="7158" spans="1:19" x14ac:dyDescent="0.2">
      <c r="A7158" s="12">
        <v>46014</v>
      </c>
      <c r="B7158" s="5" t="s">
        <v>20</v>
      </c>
      <c r="C7158" s="6">
        <v>0.47708333333333336</v>
      </c>
      <c r="D7158" s="5">
        <v>0</v>
      </c>
      <c r="E7158" s="5">
        <v>13</v>
      </c>
      <c r="F7158" s="5" t="s">
        <v>9</v>
      </c>
      <c r="G7158" s="15" t="s">
        <v>8</v>
      </c>
      <c r="H7158" s="24">
        <v>0.99999999278225005</v>
      </c>
      <c r="I7158" s="24" t="s">
        <v>21</v>
      </c>
      <c r="J7158" s="24" t="s">
        <v>21</v>
      </c>
      <c r="K7158" s="24" t="s">
        <v>21</v>
      </c>
      <c r="L7158" s="24" t="s">
        <v>21</v>
      </c>
      <c r="M7158" s="24" t="s">
        <v>21</v>
      </c>
      <c r="N7158" s="24" t="s">
        <v>21</v>
      </c>
      <c r="O7158" s="24">
        <v>0.99999999278225005</v>
      </c>
      <c r="P7158" s="24" t="s">
        <v>21</v>
      </c>
      <c r="Q7158" s="24" t="s">
        <v>21</v>
      </c>
      <c r="R7158" s="24" t="s">
        <v>21</v>
      </c>
      <c r="S7158" s="24" t="s">
        <v>21</v>
      </c>
    </row>
    <row r="7159" spans="1:19" x14ac:dyDescent="0.2">
      <c r="A7159" s="12">
        <v>46014</v>
      </c>
      <c r="B7159" s="5" t="s">
        <v>20</v>
      </c>
      <c r="C7159" s="6">
        <v>0.47708333333333336</v>
      </c>
      <c r="D7159" s="5">
        <v>0</v>
      </c>
      <c r="E7159" s="5">
        <v>7</v>
      </c>
      <c r="F7159" s="5" t="s">
        <v>9</v>
      </c>
      <c r="G7159" s="15" t="s">
        <v>8</v>
      </c>
      <c r="H7159" s="24">
        <v>0</v>
      </c>
      <c r="I7159" s="24" t="s">
        <v>21</v>
      </c>
      <c r="J7159" s="24" t="s">
        <v>21</v>
      </c>
      <c r="K7159" s="24" t="s">
        <v>21</v>
      </c>
      <c r="L7159" s="24" t="s">
        <v>21</v>
      </c>
      <c r="M7159" s="24" t="s">
        <v>21</v>
      </c>
      <c r="N7159" s="24" t="s">
        <v>21</v>
      </c>
      <c r="O7159" s="24">
        <v>0</v>
      </c>
      <c r="P7159" s="24" t="s">
        <v>21</v>
      </c>
      <c r="Q7159" s="24" t="s">
        <v>21</v>
      </c>
      <c r="R7159" s="24" t="s">
        <v>21</v>
      </c>
      <c r="S7159" s="24" t="s">
        <v>21</v>
      </c>
    </row>
    <row r="7160" spans="1:19" x14ac:dyDescent="0.2">
      <c r="A7160" s="12">
        <v>46014</v>
      </c>
      <c r="B7160" s="5" t="s">
        <v>20</v>
      </c>
      <c r="C7160" s="6">
        <v>0.4777777777777778</v>
      </c>
      <c r="D7160" s="5">
        <v>0</v>
      </c>
      <c r="E7160" s="5">
        <v>15</v>
      </c>
      <c r="F7160" s="5" t="s">
        <v>9</v>
      </c>
      <c r="G7160" s="15" t="s">
        <v>8</v>
      </c>
      <c r="H7160" s="24">
        <v>1.000000003259629</v>
      </c>
      <c r="I7160" s="24" t="s">
        <v>21</v>
      </c>
      <c r="J7160" s="24" t="s">
        <v>21</v>
      </c>
      <c r="K7160" s="24" t="s">
        <v>21</v>
      </c>
      <c r="L7160" s="24" t="s">
        <v>21</v>
      </c>
      <c r="M7160" s="24" t="s">
        <v>21</v>
      </c>
      <c r="N7160" s="24" t="s">
        <v>21</v>
      </c>
      <c r="O7160" s="24">
        <v>1.000000003259629</v>
      </c>
      <c r="P7160" s="24" t="s">
        <v>21</v>
      </c>
      <c r="Q7160" s="24" t="s">
        <v>21</v>
      </c>
      <c r="R7160" s="24" t="s">
        <v>21</v>
      </c>
      <c r="S7160" s="24" t="s">
        <v>21</v>
      </c>
    </row>
    <row r="7161" spans="1:19" x14ac:dyDescent="0.2">
      <c r="A7161" s="12">
        <v>46014</v>
      </c>
      <c r="B7161" s="5" t="s">
        <v>20</v>
      </c>
      <c r="C7161" s="6">
        <v>0.4777777777777778</v>
      </c>
      <c r="D7161" s="5">
        <v>7</v>
      </c>
      <c r="E7161" s="5">
        <v>8</v>
      </c>
      <c r="F7161" s="5" t="s">
        <v>9</v>
      </c>
      <c r="G7161" s="15" t="s">
        <v>8</v>
      </c>
      <c r="H7161" s="24">
        <v>0</v>
      </c>
      <c r="I7161" s="24" t="s">
        <v>21</v>
      </c>
      <c r="J7161" s="24" t="s">
        <v>21</v>
      </c>
      <c r="K7161" s="24" t="s">
        <v>21</v>
      </c>
      <c r="L7161" s="24" t="s">
        <v>21</v>
      </c>
      <c r="M7161" s="24" t="s">
        <v>21</v>
      </c>
      <c r="N7161" s="24" t="s">
        <v>21</v>
      </c>
      <c r="O7161" s="24">
        <v>0</v>
      </c>
      <c r="P7161" s="24" t="s">
        <v>21</v>
      </c>
      <c r="Q7161" s="24" t="s">
        <v>21</v>
      </c>
      <c r="R7161" s="24" t="s">
        <v>21</v>
      </c>
      <c r="S7161" s="24" t="s">
        <v>21</v>
      </c>
    </row>
    <row r="7162" spans="1:19" x14ac:dyDescent="0.2">
      <c r="A7162" s="12">
        <v>46014</v>
      </c>
      <c r="B7162" s="5" t="s">
        <v>20</v>
      </c>
      <c r="C7162" s="6">
        <v>0.47847222222222224</v>
      </c>
      <c r="D7162" s="5">
        <v>9</v>
      </c>
      <c r="E7162" s="5">
        <v>10</v>
      </c>
      <c r="F7162" s="5" t="s">
        <v>9</v>
      </c>
      <c r="G7162" s="15" t="s">
        <v>8</v>
      </c>
      <c r="H7162" s="24">
        <v>1.000000003259629</v>
      </c>
      <c r="I7162" s="24" t="s">
        <v>21</v>
      </c>
      <c r="J7162" s="24" t="s">
        <v>21</v>
      </c>
      <c r="K7162" s="24" t="s">
        <v>21</v>
      </c>
      <c r="L7162" s="24" t="s">
        <v>21</v>
      </c>
      <c r="M7162" s="24" t="s">
        <v>21</v>
      </c>
      <c r="N7162" s="24" t="s">
        <v>21</v>
      </c>
      <c r="O7162" s="24">
        <v>1.000000003259629</v>
      </c>
      <c r="P7162" s="24" t="s">
        <v>21</v>
      </c>
      <c r="Q7162" s="24" t="s">
        <v>21</v>
      </c>
      <c r="R7162" s="24" t="s">
        <v>21</v>
      </c>
      <c r="S7162" s="24" t="s">
        <v>21</v>
      </c>
    </row>
    <row r="7163" spans="1:19" x14ac:dyDescent="0.2">
      <c r="A7163" s="12">
        <v>46014</v>
      </c>
      <c r="B7163" s="5" t="s">
        <v>20</v>
      </c>
      <c r="C7163" s="6">
        <v>0.47847222222222224</v>
      </c>
      <c r="D7163" s="5">
        <v>9</v>
      </c>
      <c r="E7163" s="5">
        <v>10</v>
      </c>
      <c r="F7163" s="5" t="s">
        <v>9</v>
      </c>
      <c r="G7163" s="15" t="s">
        <v>8</v>
      </c>
      <c r="H7163" s="24">
        <v>0</v>
      </c>
      <c r="I7163" s="24" t="s">
        <v>21</v>
      </c>
      <c r="J7163" s="24" t="s">
        <v>21</v>
      </c>
      <c r="K7163" s="24" t="s">
        <v>21</v>
      </c>
      <c r="L7163" s="24" t="s">
        <v>21</v>
      </c>
      <c r="M7163" s="24" t="s">
        <v>21</v>
      </c>
      <c r="N7163" s="24" t="s">
        <v>21</v>
      </c>
      <c r="O7163" s="24">
        <v>0</v>
      </c>
      <c r="P7163" s="24" t="s">
        <v>21</v>
      </c>
      <c r="Q7163" s="24" t="s">
        <v>21</v>
      </c>
      <c r="R7163" s="24" t="s">
        <v>21</v>
      </c>
      <c r="S7163" s="24" t="s">
        <v>21</v>
      </c>
    </row>
    <row r="7164" spans="1:19" x14ac:dyDescent="0.2">
      <c r="A7164" s="12">
        <v>46014</v>
      </c>
      <c r="B7164" s="5" t="s">
        <v>20</v>
      </c>
      <c r="C7164" s="6">
        <v>0.47916666666666669</v>
      </c>
      <c r="D7164" s="5">
        <v>28</v>
      </c>
      <c r="E7164" s="5">
        <v>0</v>
      </c>
      <c r="F7164" s="5" t="s">
        <v>9</v>
      </c>
      <c r="G7164" s="15" t="s">
        <v>8</v>
      </c>
      <c r="H7164" s="24">
        <v>0.99999999278225005</v>
      </c>
      <c r="I7164" s="24" t="s">
        <v>21</v>
      </c>
      <c r="J7164" s="24" t="s">
        <v>21</v>
      </c>
      <c r="K7164" s="24" t="s">
        <v>21</v>
      </c>
      <c r="L7164" s="24" t="s">
        <v>21</v>
      </c>
      <c r="M7164" s="24" t="s">
        <v>21</v>
      </c>
      <c r="N7164" s="24" t="s">
        <v>21</v>
      </c>
      <c r="O7164" s="24">
        <v>0.99999999278225005</v>
      </c>
      <c r="P7164" s="24" t="s">
        <v>21</v>
      </c>
      <c r="Q7164" s="24" t="s">
        <v>21</v>
      </c>
      <c r="R7164" s="24" t="s">
        <v>21</v>
      </c>
      <c r="S7164" s="24" t="s">
        <v>21</v>
      </c>
    </row>
    <row r="7165" spans="1:19" x14ac:dyDescent="0.2">
      <c r="A7165" s="12">
        <v>46014</v>
      </c>
      <c r="B7165" s="5" t="s">
        <v>20</v>
      </c>
      <c r="C7165" s="6">
        <v>0.47986111111111113</v>
      </c>
      <c r="D7165" s="5">
        <v>0</v>
      </c>
      <c r="E7165" s="5">
        <v>0</v>
      </c>
      <c r="F7165" s="5" t="s">
        <v>9</v>
      </c>
      <c r="G7165" s="15" t="s">
        <v>8</v>
      </c>
      <c r="H7165" s="24">
        <v>1.000000003259629</v>
      </c>
      <c r="I7165" s="24" t="s">
        <v>21</v>
      </c>
      <c r="J7165" s="24" t="s">
        <v>21</v>
      </c>
      <c r="K7165" s="24" t="s">
        <v>21</v>
      </c>
      <c r="L7165" s="24" t="s">
        <v>21</v>
      </c>
      <c r="M7165" s="24" t="s">
        <v>21</v>
      </c>
      <c r="N7165" s="24" t="s">
        <v>21</v>
      </c>
      <c r="O7165" s="24">
        <v>1.000000003259629</v>
      </c>
      <c r="P7165" s="24" t="s">
        <v>21</v>
      </c>
      <c r="Q7165" s="24" t="s">
        <v>21</v>
      </c>
      <c r="R7165" s="24" t="s">
        <v>21</v>
      </c>
      <c r="S7165" s="24" t="s">
        <v>21</v>
      </c>
    </row>
    <row r="7166" spans="1:19" x14ac:dyDescent="0.2">
      <c r="A7166" s="12">
        <v>46014</v>
      </c>
      <c r="B7166" s="5" t="s">
        <v>20</v>
      </c>
      <c r="C7166" s="6">
        <v>0.48125000000000001</v>
      </c>
      <c r="D7166" s="5">
        <v>0</v>
      </c>
      <c r="E7166" s="5">
        <v>0</v>
      </c>
      <c r="F7166" s="5" t="s">
        <v>9</v>
      </c>
      <c r="G7166" s="15" t="s">
        <v>8</v>
      </c>
      <c r="H7166" s="24">
        <v>1.9999999960418791</v>
      </c>
      <c r="I7166" s="24" t="s">
        <v>21</v>
      </c>
      <c r="J7166" s="24" t="s">
        <v>21</v>
      </c>
      <c r="K7166" s="24" t="s">
        <v>21</v>
      </c>
      <c r="L7166" s="24" t="s">
        <v>21</v>
      </c>
      <c r="M7166" s="24" t="s">
        <v>21</v>
      </c>
      <c r="N7166" s="24" t="s">
        <v>21</v>
      </c>
      <c r="O7166" s="24">
        <v>1.9999999960418791</v>
      </c>
      <c r="P7166" s="24" t="s">
        <v>21</v>
      </c>
      <c r="Q7166" s="24" t="s">
        <v>21</v>
      </c>
      <c r="R7166" s="24" t="s">
        <v>21</v>
      </c>
      <c r="S7166" s="24" t="s">
        <v>21</v>
      </c>
    </row>
    <row r="7167" spans="1:19" x14ac:dyDescent="0.2">
      <c r="A7167" s="12">
        <v>46014</v>
      </c>
      <c r="B7167" s="5" t="s">
        <v>20</v>
      </c>
      <c r="C7167" s="6">
        <v>0.48125000000000001</v>
      </c>
      <c r="D7167" s="5">
        <v>0</v>
      </c>
      <c r="E7167" s="5">
        <v>0</v>
      </c>
      <c r="F7167" s="5" t="s">
        <v>9</v>
      </c>
      <c r="G7167" s="15" t="s">
        <v>8</v>
      </c>
      <c r="H7167" s="24">
        <v>0</v>
      </c>
      <c r="I7167" s="24" t="s">
        <v>21</v>
      </c>
      <c r="J7167" s="24" t="s">
        <v>21</v>
      </c>
      <c r="K7167" s="24" t="s">
        <v>21</v>
      </c>
      <c r="L7167" s="24" t="s">
        <v>21</v>
      </c>
      <c r="M7167" s="24" t="s">
        <v>21</v>
      </c>
      <c r="N7167" s="24" t="s">
        <v>21</v>
      </c>
      <c r="O7167" s="24">
        <v>0</v>
      </c>
      <c r="P7167" s="24" t="s">
        <v>21</v>
      </c>
      <c r="Q7167" s="24" t="s">
        <v>21</v>
      </c>
      <c r="R7167" s="24" t="s">
        <v>21</v>
      </c>
      <c r="S7167" s="24" t="s">
        <v>21</v>
      </c>
    </row>
    <row r="7168" spans="1:19" x14ac:dyDescent="0.2">
      <c r="A7168" s="12">
        <v>46014</v>
      </c>
      <c r="B7168" s="5" t="s">
        <v>20</v>
      </c>
      <c r="C7168" s="6">
        <v>0.48680555555555555</v>
      </c>
      <c r="D7168" s="5">
        <v>0</v>
      </c>
      <c r="E7168" s="5">
        <v>0</v>
      </c>
      <c r="F7168" s="5" t="s">
        <v>9</v>
      </c>
      <c r="G7168" s="15" t="s">
        <v>8</v>
      </c>
      <c r="H7168" s="24">
        <v>8.0000000051222742</v>
      </c>
      <c r="I7168" s="24" t="s">
        <v>21</v>
      </c>
      <c r="J7168" s="24" t="s">
        <v>21</v>
      </c>
      <c r="K7168" s="24" t="s">
        <v>21</v>
      </c>
      <c r="L7168" s="24" t="s">
        <v>21</v>
      </c>
      <c r="M7168" s="24" t="s">
        <v>21</v>
      </c>
      <c r="N7168" s="24" t="s">
        <v>21</v>
      </c>
      <c r="O7168" s="24">
        <v>8.0000000051222742</v>
      </c>
      <c r="P7168" s="24" t="s">
        <v>21</v>
      </c>
      <c r="Q7168" s="24" t="s">
        <v>21</v>
      </c>
      <c r="R7168" s="24" t="s">
        <v>21</v>
      </c>
      <c r="S7168" s="24" t="s">
        <v>21</v>
      </c>
    </row>
    <row r="7169" spans="1:19" x14ac:dyDescent="0.2">
      <c r="A7169" s="12">
        <v>46014</v>
      </c>
      <c r="B7169" s="5" t="s">
        <v>20</v>
      </c>
      <c r="C7169" s="6">
        <v>0.48680555555555555</v>
      </c>
      <c r="D7169" s="5">
        <v>0</v>
      </c>
      <c r="E7169" s="5">
        <v>0</v>
      </c>
      <c r="F7169" s="5" t="s">
        <v>9</v>
      </c>
      <c r="G7169" s="15" t="s">
        <v>8</v>
      </c>
      <c r="H7169" s="24">
        <v>0</v>
      </c>
      <c r="I7169" s="24" t="s">
        <v>21</v>
      </c>
      <c r="J7169" s="24" t="s">
        <v>21</v>
      </c>
      <c r="K7169" s="24" t="s">
        <v>21</v>
      </c>
      <c r="L7169" s="24" t="s">
        <v>21</v>
      </c>
      <c r="M7169" s="24" t="s">
        <v>21</v>
      </c>
      <c r="N7169" s="24" t="s">
        <v>21</v>
      </c>
      <c r="O7169" s="24">
        <v>0</v>
      </c>
      <c r="P7169" s="24" t="s">
        <v>21</v>
      </c>
      <c r="Q7169" s="24" t="s">
        <v>21</v>
      </c>
      <c r="R7169" s="24" t="s">
        <v>21</v>
      </c>
      <c r="S7169" s="24" t="s">
        <v>21</v>
      </c>
    </row>
    <row r="7170" spans="1:19" x14ac:dyDescent="0.2">
      <c r="A7170" s="12">
        <v>46014</v>
      </c>
      <c r="B7170" s="5" t="s">
        <v>20</v>
      </c>
      <c r="C7170" s="6">
        <v>0.48958333333333331</v>
      </c>
      <c r="D7170" s="5">
        <v>0</v>
      </c>
      <c r="E7170" s="5">
        <v>0</v>
      </c>
      <c r="F7170" s="5" t="s">
        <v>9</v>
      </c>
      <c r="G7170" s="15" t="s">
        <v>8</v>
      </c>
      <c r="H7170" s="24">
        <v>4.0000000025611371</v>
      </c>
      <c r="I7170" s="24" t="s">
        <v>21</v>
      </c>
      <c r="J7170" s="24" t="s">
        <v>21</v>
      </c>
      <c r="K7170" s="24" t="s">
        <v>21</v>
      </c>
      <c r="L7170" s="24" t="s">
        <v>21</v>
      </c>
      <c r="M7170" s="24" t="s">
        <v>21</v>
      </c>
      <c r="N7170" s="24" t="s">
        <v>21</v>
      </c>
      <c r="O7170" s="24">
        <v>4.0000000025611371</v>
      </c>
      <c r="P7170" s="24" t="s">
        <v>21</v>
      </c>
      <c r="Q7170" s="24" t="s">
        <v>21</v>
      </c>
      <c r="R7170" s="24" t="s">
        <v>21</v>
      </c>
      <c r="S7170" s="24" t="s">
        <v>21</v>
      </c>
    </row>
    <row r="7171" spans="1:19" x14ac:dyDescent="0.2">
      <c r="A7171" s="12">
        <v>46014</v>
      </c>
      <c r="B7171" s="5" t="s">
        <v>3</v>
      </c>
      <c r="C7171" s="6">
        <v>0.57847222222222228</v>
      </c>
      <c r="D7171" s="5">
        <v>0</v>
      </c>
      <c r="E7171" s="5">
        <v>4</v>
      </c>
      <c r="F7171" s="5" t="s">
        <v>9</v>
      </c>
      <c r="G7171" s="15" t="s">
        <v>8</v>
      </c>
      <c r="H7171" s="24">
        <v>127.99999999813735</v>
      </c>
      <c r="I7171" s="24">
        <v>410.00000000582077</v>
      </c>
      <c r="J7171" s="24" t="s">
        <v>21</v>
      </c>
      <c r="K7171" s="24" t="s">
        <v>21</v>
      </c>
      <c r="L7171" s="24" t="s">
        <v>21</v>
      </c>
      <c r="M7171" s="24" t="s">
        <v>21</v>
      </c>
      <c r="N7171" s="24" t="s">
        <v>21</v>
      </c>
      <c r="O7171" s="24" t="s">
        <v>21</v>
      </c>
      <c r="P7171" s="24" t="s">
        <v>21</v>
      </c>
      <c r="Q7171" s="24" t="s">
        <v>21</v>
      </c>
      <c r="R7171" s="24" t="s">
        <v>21</v>
      </c>
      <c r="S7171" s="24" t="s">
        <v>21</v>
      </c>
    </row>
    <row r="7172" spans="1:19" x14ac:dyDescent="0.2">
      <c r="A7172" s="12">
        <v>46014</v>
      </c>
      <c r="B7172" s="5" t="s">
        <v>3</v>
      </c>
      <c r="C7172" s="6">
        <v>0.57847222222222228</v>
      </c>
      <c r="D7172" s="5">
        <v>0</v>
      </c>
      <c r="E7172" s="5">
        <v>5</v>
      </c>
      <c r="F7172" s="5" t="s">
        <v>9</v>
      </c>
      <c r="G7172" s="15" t="s">
        <v>8</v>
      </c>
      <c r="H7172" s="24">
        <v>0</v>
      </c>
      <c r="I7172" s="24">
        <v>0</v>
      </c>
      <c r="J7172" s="24" t="s">
        <v>21</v>
      </c>
      <c r="K7172" s="24" t="s">
        <v>21</v>
      </c>
      <c r="L7172" s="24" t="s">
        <v>21</v>
      </c>
      <c r="M7172" s="24" t="s">
        <v>21</v>
      </c>
      <c r="N7172" s="24" t="s">
        <v>21</v>
      </c>
      <c r="O7172" s="24" t="s">
        <v>21</v>
      </c>
      <c r="P7172" s="24" t="s">
        <v>21</v>
      </c>
      <c r="Q7172" s="24" t="s">
        <v>21</v>
      </c>
      <c r="R7172" s="24" t="s">
        <v>21</v>
      </c>
      <c r="S7172" s="24" t="s">
        <v>21</v>
      </c>
    </row>
    <row r="7173" spans="1:19" x14ac:dyDescent="0.2">
      <c r="A7173" s="12">
        <v>46014</v>
      </c>
      <c r="B7173" s="5" t="s">
        <v>20</v>
      </c>
      <c r="C7173" s="6">
        <v>0.58402777777777781</v>
      </c>
      <c r="D7173" s="5">
        <v>2</v>
      </c>
      <c r="E7173" s="5">
        <v>0</v>
      </c>
      <c r="F7173" s="5" t="s">
        <v>9</v>
      </c>
      <c r="G7173" s="15" t="s">
        <v>8</v>
      </c>
      <c r="H7173" s="24">
        <v>7.9999999946448952</v>
      </c>
      <c r="I7173" s="24" t="s">
        <v>21</v>
      </c>
      <c r="J7173" s="24" t="s">
        <v>21</v>
      </c>
      <c r="K7173" s="24" t="s">
        <v>21</v>
      </c>
      <c r="L7173" s="24" t="s">
        <v>21</v>
      </c>
      <c r="M7173" s="24" t="s">
        <v>21</v>
      </c>
      <c r="N7173" s="24" t="s">
        <v>21</v>
      </c>
      <c r="O7173" s="24">
        <v>135.99999999278225</v>
      </c>
      <c r="P7173" s="24" t="s">
        <v>21</v>
      </c>
      <c r="Q7173" s="24" t="s">
        <v>21</v>
      </c>
      <c r="R7173" s="24" t="s">
        <v>21</v>
      </c>
      <c r="S7173" s="24" t="s">
        <v>21</v>
      </c>
    </row>
    <row r="7174" spans="1:19" x14ac:dyDescent="0.2">
      <c r="A7174" s="12">
        <v>46014</v>
      </c>
      <c r="B7174" s="5" t="s">
        <v>20</v>
      </c>
      <c r="C7174" s="6">
        <v>0.58472222222222225</v>
      </c>
      <c r="D7174" s="5">
        <v>11</v>
      </c>
      <c r="E7174" s="5">
        <v>3</v>
      </c>
      <c r="F7174" s="5" t="s">
        <v>9</v>
      </c>
      <c r="G7174" s="15" t="s">
        <v>8</v>
      </c>
      <c r="H7174" s="24">
        <v>1.000000003259629</v>
      </c>
      <c r="I7174" s="24" t="s">
        <v>21</v>
      </c>
      <c r="J7174" s="24" t="s">
        <v>21</v>
      </c>
      <c r="K7174" s="24" t="s">
        <v>21</v>
      </c>
      <c r="L7174" s="24" t="s">
        <v>21</v>
      </c>
      <c r="M7174" s="24" t="s">
        <v>21</v>
      </c>
      <c r="N7174" s="24" t="s">
        <v>21</v>
      </c>
      <c r="O7174" s="24">
        <v>1.000000003259629</v>
      </c>
      <c r="P7174" s="24" t="s">
        <v>21</v>
      </c>
      <c r="Q7174" s="24" t="s">
        <v>21</v>
      </c>
      <c r="R7174" s="24" t="s">
        <v>21</v>
      </c>
      <c r="S7174" s="24" t="s">
        <v>21</v>
      </c>
    </row>
    <row r="7175" spans="1:19" x14ac:dyDescent="0.2">
      <c r="A7175" s="12">
        <v>46014</v>
      </c>
      <c r="B7175" s="5" t="s">
        <v>20</v>
      </c>
      <c r="C7175" s="6">
        <v>0.58472222222222225</v>
      </c>
      <c r="D7175" s="5">
        <v>0</v>
      </c>
      <c r="E7175" s="5">
        <v>7</v>
      </c>
      <c r="F7175" s="5" t="s">
        <v>9</v>
      </c>
      <c r="G7175" s="15" t="s">
        <v>8</v>
      </c>
      <c r="H7175" s="24">
        <v>0</v>
      </c>
      <c r="I7175" s="24" t="s">
        <v>21</v>
      </c>
      <c r="J7175" s="24" t="s">
        <v>21</v>
      </c>
      <c r="K7175" s="24" t="s">
        <v>21</v>
      </c>
      <c r="L7175" s="24" t="s">
        <v>21</v>
      </c>
      <c r="M7175" s="24" t="s">
        <v>21</v>
      </c>
      <c r="N7175" s="24" t="s">
        <v>21</v>
      </c>
      <c r="O7175" s="24">
        <v>0</v>
      </c>
      <c r="P7175" s="24" t="s">
        <v>21</v>
      </c>
      <c r="Q7175" s="24" t="s">
        <v>21</v>
      </c>
      <c r="R7175" s="24" t="s">
        <v>21</v>
      </c>
      <c r="S7175" s="24" t="s">
        <v>21</v>
      </c>
    </row>
    <row r="7176" spans="1:19" x14ac:dyDescent="0.2">
      <c r="A7176" s="12">
        <v>46014</v>
      </c>
      <c r="B7176" s="5" t="s">
        <v>20</v>
      </c>
      <c r="C7176" s="6">
        <v>0.5854166666666667</v>
      </c>
      <c r="D7176" s="5">
        <v>0</v>
      </c>
      <c r="E7176" s="5">
        <v>5</v>
      </c>
      <c r="F7176" s="5" t="s">
        <v>9</v>
      </c>
      <c r="G7176" s="15" t="s">
        <v>8</v>
      </c>
      <c r="H7176" s="24">
        <v>1.000000003259629</v>
      </c>
      <c r="I7176" s="24" t="s">
        <v>21</v>
      </c>
      <c r="J7176" s="24" t="s">
        <v>21</v>
      </c>
      <c r="K7176" s="24" t="s">
        <v>21</v>
      </c>
      <c r="L7176" s="24" t="s">
        <v>21</v>
      </c>
      <c r="M7176" s="24" t="s">
        <v>21</v>
      </c>
      <c r="N7176" s="24" t="s">
        <v>21</v>
      </c>
      <c r="O7176" s="24">
        <v>1.000000003259629</v>
      </c>
      <c r="P7176" s="24" t="s">
        <v>21</v>
      </c>
      <c r="Q7176" s="24" t="s">
        <v>21</v>
      </c>
      <c r="R7176" s="24" t="s">
        <v>21</v>
      </c>
      <c r="S7176" s="24" t="s">
        <v>21</v>
      </c>
    </row>
    <row r="7177" spans="1:19" x14ac:dyDescent="0.2">
      <c r="A7177" s="12">
        <v>46014</v>
      </c>
      <c r="B7177" s="5" t="s">
        <v>20</v>
      </c>
      <c r="C7177" s="6">
        <v>0.58611111111111114</v>
      </c>
      <c r="D7177" s="5">
        <v>0</v>
      </c>
      <c r="E7177" s="5">
        <v>6</v>
      </c>
      <c r="F7177" s="5" t="s">
        <v>9</v>
      </c>
      <c r="G7177" s="15" t="s">
        <v>8</v>
      </c>
      <c r="H7177" s="24">
        <v>0.99999999278225005</v>
      </c>
      <c r="I7177" s="24" t="s">
        <v>21</v>
      </c>
      <c r="J7177" s="24" t="s">
        <v>21</v>
      </c>
      <c r="K7177" s="24" t="s">
        <v>21</v>
      </c>
      <c r="L7177" s="24" t="s">
        <v>21</v>
      </c>
      <c r="M7177" s="24" t="s">
        <v>21</v>
      </c>
      <c r="N7177" s="24" t="s">
        <v>21</v>
      </c>
      <c r="O7177" s="24">
        <v>0.99999999278225005</v>
      </c>
      <c r="P7177" s="24" t="s">
        <v>21</v>
      </c>
      <c r="Q7177" s="24" t="s">
        <v>21</v>
      </c>
      <c r="R7177" s="24" t="s">
        <v>21</v>
      </c>
      <c r="S7177" s="24" t="s">
        <v>21</v>
      </c>
    </row>
    <row r="7178" spans="1:19" x14ac:dyDescent="0.2">
      <c r="A7178" s="12">
        <v>46014</v>
      </c>
      <c r="B7178" s="5" t="s">
        <v>20</v>
      </c>
      <c r="C7178" s="6">
        <v>0.58611111111111114</v>
      </c>
      <c r="D7178" s="5">
        <v>0</v>
      </c>
      <c r="E7178" s="5">
        <v>12</v>
      </c>
      <c r="F7178" s="5" t="s">
        <v>9</v>
      </c>
      <c r="G7178" s="15" t="s">
        <v>8</v>
      </c>
      <c r="H7178" s="24">
        <v>0</v>
      </c>
      <c r="I7178" s="24" t="s">
        <v>21</v>
      </c>
      <c r="J7178" s="24" t="s">
        <v>21</v>
      </c>
      <c r="K7178" s="24" t="s">
        <v>21</v>
      </c>
      <c r="L7178" s="24" t="s">
        <v>21</v>
      </c>
      <c r="M7178" s="24" t="s">
        <v>21</v>
      </c>
      <c r="N7178" s="24" t="s">
        <v>21</v>
      </c>
      <c r="O7178" s="24">
        <v>0</v>
      </c>
      <c r="P7178" s="24" t="s">
        <v>21</v>
      </c>
      <c r="Q7178" s="24" t="s">
        <v>21</v>
      </c>
      <c r="R7178" s="24" t="s">
        <v>21</v>
      </c>
      <c r="S7178" s="24" t="s">
        <v>21</v>
      </c>
    </row>
    <row r="7179" spans="1:19" x14ac:dyDescent="0.2">
      <c r="A7179" s="12">
        <v>46014</v>
      </c>
      <c r="B7179" s="5" t="s">
        <v>20</v>
      </c>
      <c r="C7179" s="6">
        <v>0.58680555555555558</v>
      </c>
      <c r="D7179" s="5">
        <v>0</v>
      </c>
      <c r="E7179" s="5">
        <v>8</v>
      </c>
      <c r="F7179" s="5" t="s">
        <v>9</v>
      </c>
      <c r="G7179" s="15" t="s">
        <v>8</v>
      </c>
      <c r="H7179" s="24">
        <v>1.000000003259629</v>
      </c>
      <c r="I7179" s="24" t="s">
        <v>21</v>
      </c>
      <c r="J7179" s="24" t="s">
        <v>21</v>
      </c>
      <c r="K7179" s="24" t="s">
        <v>21</v>
      </c>
      <c r="L7179" s="24" t="s">
        <v>21</v>
      </c>
      <c r="M7179" s="24" t="s">
        <v>21</v>
      </c>
      <c r="N7179" s="24" t="s">
        <v>21</v>
      </c>
      <c r="O7179" s="24">
        <v>1.000000003259629</v>
      </c>
      <c r="P7179" s="24" t="s">
        <v>21</v>
      </c>
      <c r="Q7179" s="24" t="s">
        <v>21</v>
      </c>
      <c r="R7179" s="24" t="s">
        <v>21</v>
      </c>
      <c r="S7179" s="24" t="s">
        <v>21</v>
      </c>
    </row>
    <row r="7180" spans="1:19" x14ac:dyDescent="0.2">
      <c r="A7180" s="12">
        <v>46014</v>
      </c>
      <c r="B7180" s="5" t="s">
        <v>20</v>
      </c>
      <c r="C7180" s="6">
        <v>0.58750000000000002</v>
      </c>
      <c r="D7180" s="5">
        <v>0</v>
      </c>
      <c r="E7180" s="5">
        <v>0</v>
      </c>
      <c r="F7180" s="5" t="s">
        <v>9</v>
      </c>
      <c r="G7180" s="15" t="s">
        <v>8</v>
      </c>
      <c r="H7180" s="24">
        <v>1.000000003259629</v>
      </c>
      <c r="I7180" s="24" t="s">
        <v>21</v>
      </c>
      <c r="J7180" s="24" t="s">
        <v>21</v>
      </c>
      <c r="K7180" s="24" t="s">
        <v>21</v>
      </c>
      <c r="L7180" s="24" t="s">
        <v>21</v>
      </c>
      <c r="M7180" s="24" t="s">
        <v>21</v>
      </c>
      <c r="N7180" s="24" t="s">
        <v>21</v>
      </c>
      <c r="O7180" s="24">
        <v>1.000000003259629</v>
      </c>
      <c r="P7180" s="24" t="s">
        <v>21</v>
      </c>
      <c r="Q7180" s="24" t="s">
        <v>21</v>
      </c>
      <c r="R7180" s="24" t="s">
        <v>21</v>
      </c>
      <c r="S7180" s="24" t="s">
        <v>21</v>
      </c>
    </row>
    <row r="7181" spans="1:19" x14ac:dyDescent="0.2">
      <c r="A7181" s="12">
        <v>46014</v>
      </c>
      <c r="B7181" s="5" t="s">
        <v>20</v>
      </c>
      <c r="C7181" s="6">
        <v>0.58750000000000002</v>
      </c>
      <c r="D7181" s="5">
        <v>0</v>
      </c>
      <c r="E7181" s="5">
        <v>0</v>
      </c>
      <c r="F7181" s="5" t="s">
        <v>9</v>
      </c>
      <c r="G7181" s="15" t="s">
        <v>8</v>
      </c>
      <c r="H7181" s="24">
        <v>0</v>
      </c>
      <c r="I7181" s="24" t="s">
        <v>21</v>
      </c>
      <c r="J7181" s="24" t="s">
        <v>21</v>
      </c>
      <c r="K7181" s="24" t="s">
        <v>21</v>
      </c>
      <c r="L7181" s="24" t="s">
        <v>21</v>
      </c>
      <c r="M7181" s="24" t="s">
        <v>21</v>
      </c>
      <c r="N7181" s="24" t="s">
        <v>21</v>
      </c>
      <c r="O7181" s="24">
        <v>0</v>
      </c>
      <c r="P7181" s="24" t="s">
        <v>21</v>
      </c>
      <c r="Q7181" s="24" t="s">
        <v>21</v>
      </c>
      <c r="R7181" s="24" t="s">
        <v>21</v>
      </c>
      <c r="S7181" s="24" t="s">
        <v>21</v>
      </c>
    </row>
    <row r="7182" spans="1:19" x14ac:dyDescent="0.2">
      <c r="A7182" s="12">
        <v>46014</v>
      </c>
      <c r="B7182" s="5" t="s">
        <v>20</v>
      </c>
      <c r="C7182" s="6">
        <v>0.58819444444444446</v>
      </c>
      <c r="D7182" s="5">
        <v>0</v>
      </c>
      <c r="E7182" s="5">
        <v>5</v>
      </c>
      <c r="F7182" s="5" t="s">
        <v>9</v>
      </c>
      <c r="G7182" s="15" t="s">
        <v>8</v>
      </c>
      <c r="H7182" s="24">
        <v>0.99999999278225005</v>
      </c>
      <c r="I7182" s="24" t="s">
        <v>21</v>
      </c>
      <c r="J7182" s="24" t="s">
        <v>21</v>
      </c>
      <c r="K7182" s="24" t="s">
        <v>21</v>
      </c>
      <c r="L7182" s="24" t="s">
        <v>21</v>
      </c>
      <c r="M7182" s="24" t="s">
        <v>21</v>
      </c>
      <c r="N7182" s="24" t="s">
        <v>21</v>
      </c>
      <c r="O7182" s="24">
        <v>0.99999999278225005</v>
      </c>
      <c r="P7182" s="24" t="s">
        <v>21</v>
      </c>
      <c r="Q7182" s="24" t="s">
        <v>21</v>
      </c>
      <c r="R7182" s="24" t="s">
        <v>21</v>
      </c>
      <c r="S7182" s="24" t="s">
        <v>21</v>
      </c>
    </row>
    <row r="7183" spans="1:19" x14ac:dyDescent="0.2">
      <c r="A7183" s="12">
        <v>46014</v>
      </c>
      <c r="B7183" s="5" t="s">
        <v>20</v>
      </c>
      <c r="C7183" s="6">
        <v>0.58819444444444446</v>
      </c>
      <c r="D7183" s="5">
        <v>0</v>
      </c>
      <c r="E7183" s="5">
        <v>10</v>
      </c>
      <c r="F7183" s="5" t="s">
        <v>9</v>
      </c>
      <c r="G7183" s="15" t="s">
        <v>8</v>
      </c>
      <c r="H7183" s="24">
        <v>0</v>
      </c>
      <c r="I7183" s="24" t="s">
        <v>21</v>
      </c>
      <c r="J7183" s="24" t="s">
        <v>21</v>
      </c>
      <c r="K7183" s="24" t="s">
        <v>21</v>
      </c>
      <c r="L7183" s="24" t="s">
        <v>21</v>
      </c>
      <c r="M7183" s="24" t="s">
        <v>21</v>
      </c>
      <c r="N7183" s="24" t="s">
        <v>21</v>
      </c>
      <c r="O7183" s="24">
        <v>0</v>
      </c>
      <c r="P7183" s="24" t="s">
        <v>21</v>
      </c>
      <c r="Q7183" s="24" t="s">
        <v>21</v>
      </c>
      <c r="R7183" s="24" t="s">
        <v>21</v>
      </c>
      <c r="S7183" s="24" t="s">
        <v>21</v>
      </c>
    </row>
    <row r="7184" spans="1:19" x14ac:dyDescent="0.2">
      <c r="A7184" s="12">
        <v>46014</v>
      </c>
      <c r="B7184" s="5" t="s">
        <v>20</v>
      </c>
      <c r="C7184" s="6">
        <v>0.58888888888888891</v>
      </c>
      <c r="D7184" s="5">
        <v>0</v>
      </c>
      <c r="E7184" s="5">
        <v>9</v>
      </c>
      <c r="F7184" s="5" t="s">
        <v>9</v>
      </c>
      <c r="G7184" s="15" t="s">
        <v>8</v>
      </c>
      <c r="H7184" s="24">
        <v>1.000000003259629</v>
      </c>
      <c r="I7184" s="24" t="s">
        <v>21</v>
      </c>
      <c r="J7184" s="24" t="s">
        <v>21</v>
      </c>
      <c r="K7184" s="24" t="s">
        <v>21</v>
      </c>
      <c r="L7184" s="24" t="s">
        <v>21</v>
      </c>
      <c r="M7184" s="24" t="s">
        <v>21</v>
      </c>
      <c r="N7184" s="24" t="s">
        <v>21</v>
      </c>
      <c r="O7184" s="24">
        <v>1.000000003259629</v>
      </c>
      <c r="P7184" s="24" t="s">
        <v>21</v>
      </c>
      <c r="Q7184" s="24" t="s">
        <v>21</v>
      </c>
      <c r="R7184" s="24" t="s">
        <v>21</v>
      </c>
      <c r="S7184" s="24" t="s">
        <v>21</v>
      </c>
    </row>
    <row r="7185" spans="1:19" x14ac:dyDescent="0.2">
      <c r="A7185" s="12">
        <v>46014</v>
      </c>
      <c r="B7185" s="5" t="s">
        <v>20</v>
      </c>
      <c r="C7185" s="6">
        <v>0.58888888888888891</v>
      </c>
      <c r="D7185" s="5">
        <v>0</v>
      </c>
      <c r="E7185" s="5">
        <v>13</v>
      </c>
      <c r="F7185" s="5" t="s">
        <v>9</v>
      </c>
      <c r="G7185" s="15" t="s">
        <v>8</v>
      </c>
      <c r="H7185" s="24">
        <v>0</v>
      </c>
      <c r="I7185" s="24" t="s">
        <v>21</v>
      </c>
      <c r="J7185" s="24" t="s">
        <v>21</v>
      </c>
      <c r="K7185" s="24" t="s">
        <v>21</v>
      </c>
      <c r="L7185" s="24" t="s">
        <v>21</v>
      </c>
      <c r="M7185" s="24" t="s">
        <v>21</v>
      </c>
      <c r="N7185" s="24" t="s">
        <v>21</v>
      </c>
      <c r="O7185" s="24">
        <v>0</v>
      </c>
      <c r="P7185" s="24" t="s">
        <v>21</v>
      </c>
      <c r="Q7185" s="24" t="s">
        <v>21</v>
      </c>
      <c r="R7185" s="24" t="s">
        <v>21</v>
      </c>
      <c r="S7185" s="24" t="s">
        <v>21</v>
      </c>
    </row>
    <row r="7186" spans="1:19" x14ac:dyDescent="0.2">
      <c r="A7186" s="12">
        <v>46014</v>
      </c>
      <c r="B7186" s="5" t="s">
        <v>20</v>
      </c>
      <c r="C7186" s="6">
        <v>0.58958333333333335</v>
      </c>
      <c r="D7186" s="5">
        <v>0</v>
      </c>
      <c r="E7186" s="5">
        <v>0</v>
      </c>
      <c r="F7186" s="5" t="s">
        <v>9</v>
      </c>
      <c r="G7186" s="15" t="s">
        <v>8</v>
      </c>
      <c r="H7186" s="24">
        <v>1.000000003259629</v>
      </c>
      <c r="I7186" s="24" t="s">
        <v>21</v>
      </c>
      <c r="J7186" s="24" t="s">
        <v>21</v>
      </c>
      <c r="K7186" s="24" t="s">
        <v>21</v>
      </c>
      <c r="L7186" s="24" t="s">
        <v>21</v>
      </c>
      <c r="M7186" s="24" t="s">
        <v>21</v>
      </c>
      <c r="N7186" s="24" t="s">
        <v>21</v>
      </c>
      <c r="O7186" s="24">
        <v>1.000000003259629</v>
      </c>
      <c r="P7186" s="24" t="s">
        <v>21</v>
      </c>
      <c r="Q7186" s="24" t="s">
        <v>21</v>
      </c>
      <c r="R7186" s="24" t="s">
        <v>21</v>
      </c>
      <c r="S7186" s="24" t="s">
        <v>21</v>
      </c>
    </row>
    <row r="7187" spans="1:19" x14ac:dyDescent="0.2">
      <c r="A7187" s="12">
        <v>46014</v>
      </c>
      <c r="B7187" s="5" t="s">
        <v>20</v>
      </c>
      <c r="C7187" s="6">
        <v>0.58958333333333335</v>
      </c>
      <c r="D7187" s="5">
        <v>0</v>
      </c>
      <c r="E7187" s="5">
        <v>9</v>
      </c>
      <c r="F7187" s="5" t="s">
        <v>9</v>
      </c>
      <c r="G7187" s="15" t="s">
        <v>8</v>
      </c>
      <c r="H7187" s="24">
        <v>0</v>
      </c>
      <c r="I7187" s="24" t="s">
        <v>21</v>
      </c>
      <c r="J7187" s="24" t="s">
        <v>21</v>
      </c>
      <c r="K7187" s="24" t="s">
        <v>21</v>
      </c>
      <c r="L7187" s="24" t="s">
        <v>21</v>
      </c>
      <c r="M7187" s="24" t="s">
        <v>21</v>
      </c>
      <c r="N7187" s="24" t="s">
        <v>21</v>
      </c>
      <c r="O7187" s="24">
        <v>0</v>
      </c>
      <c r="P7187" s="24" t="s">
        <v>21</v>
      </c>
      <c r="Q7187" s="24" t="s">
        <v>21</v>
      </c>
      <c r="R7187" s="24" t="s">
        <v>21</v>
      </c>
      <c r="S7187" s="24" t="s">
        <v>21</v>
      </c>
    </row>
    <row r="7188" spans="1:19" x14ac:dyDescent="0.2">
      <c r="A7188" s="12">
        <v>46014</v>
      </c>
      <c r="B7188" s="5" t="s">
        <v>20</v>
      </c>
      <c r="C7188" s="6">
        <v>0.59027777777777779</v>
      </c>
      <c r="D7188" s="5">
        <v>0</v>
      </c>
      <c r="E7188" s="5">
        <v>11</v>
      </c>
      <c r="F7188" s="5" t="s">
        <v>9</v>
      </c>
      <c r="G7188" s="15" t="s">
        <v>8</v>
      </c>
      <c r="H7188" s="24">
        <v>1.000000003259629</v>
      </c>
      <c r="I7188" s="24" t="s">
        <v>21</v>
      </c>
      <c r="J7188" s="24" t="s">
        <v>21</v>
      </c>
      <c r="K7188" s="24" t="s">
        <v>21</v>
      </c>
      <c r="L7188" s="24" t="s">
        <v>21</v>
      </c>
      <c r="M7188" s="24" t="s">
        <v>21</v>
      </c>
      <c r="N7188" s="24" t="s">
        <v>21</v>
      </c>
      <c r="O7188" s="24">
        <v>1.000000003259629</v>
      </c>
      <c r="P7188" s="24" t="s">
        <v>21</v>
      </c>
      <c r="Q7188" s="24" t="s">
        <v>21</v>
      </c>
      <c r="R7188" s="24" t="s">
        <v>21</v>
      </c>
      <c r="S7188" s="24" t="s">
        <v>21</v>
      </c>
    </row>
    <row r="7189" spans="1:19" x14ac:dyDescent="0.2">
      <c r="A7189" s="12">
        <v>46014</v>
      </c>
      <c r="B7189" s="5" t="s">
        <v>20</v>
      </c>
      <c r="C7189" s="6">
        <v>0.59027777777777779</v>
      </c>
      <c r="D7189" s="5">
        <v>0</v>
      </c>
      <c r="E7189" s="5">
        <v>7</v>
      </c>
      <c r="F7189" s="5" t="s">
        <v>9</v>
      </c>
      <c r="G7189" s="15" t="s">
        <v>8</v>
      </c>
      <c r="H7189" s="24">
        <v>0</v>
      </c>
      <c r="I7189" s="24" t="s">
        <v>21</v>
      </c>
      <c r="J7189" s="24" t="s">
        <v>21</v>
      </c>
      <c r="K7189" s="24" t="s">
        <v>21</v>
      </c>
      <c r="L7189" s="24" t="s">
        <v>21</v>
      </c>
      <c r="M7189" s="24" t="s">
        <v>21</v>
      </c>
      <c r="N7189" s="24" t="s">
        <v>21</v>
      </c>
      <c r="O7189" s="24">
        <v>0</v>
      </c>
      <c r="P7189" s="24" t="s">
        <v>21</v>
      </c>
      <c r="Q7189" s="24" t="s">
        <v>21</v>
      </c>
      <c r="R7189" s="24" t="s">
        <v>21</v>
      </c>
      <c r="S7189" s="24" t="s">
        <v>21</v>
      </c>
    </row>
    <row r="7190" spans="1:19" x14ac:dyDescent="0.2">
      <c r="A7190" s="12">
        <v>46014</v>
      </c>
      <c r="B7190" s="5" t="s">
        <v>20</v>
      </c>
      <c r="C7190" s="6">
        <v>0.59097222222222223</v>
      </c>
      <c r="D7190" s="5">
        <v>0</v>
      </c>
      <c r="E7190" s="5">
        <v>0</v>
      </c>
      <c r="F7190" s="5" t="s">
        <v>9</v>
      </c>
      <c r="G7190" s="15" t="s">
        <v>8</v>
      </c>
      <c r="H7190" s="24">
        <v>0.99999999278225005</v>
      </c>
      <c r="I7190" s="24" t="s">
        <v>21</v>
      </c>
      <c r="J7190" s="24" t="s">
        <v>21</v>
      </c>
      <c r="K7190" s="24" t="s">
        <v>21</v>
      </c>
      <c r="L7190" s="24" t="s">
        <v>21</v>
      </c>
      <c r="M7190" s="24" t="s">
        <v>21</v>
      </c>
      <c r="N7190" s="24" t="s">
        <v>21</v>
      </c>
      <c r="O7190" s="24">
        <v>0.99999999278225005</v>
      </c>
      <c r="P7190" s="24" t="s">
        <v>21</v>
      </c>
      <c r="Q7190" s="24" t="s">
        <v>21</v>
      </c>
      <c r="R7190" s="24" t="s">
        <v>21</v>
      </c>
      <c r="S7190" s="24" t="s">
        <v>21</v>
      </c>
    </row>
    <row r="7191" spans="1:19" x14ac:dyDescent="0.2">
      <c r="A7191" s="12">
        <v>46014</v>
      </c>
      <c r="B7191" s="5" t="s">
        <v>20</v>
      </c>
      <c r="C7191" s="6">
        <v>0.59097222222222223</v>
      </c>
      <c r="D7191" s="5">
        <v>0</v>
      </c>
      <c r="E7191" s="5">
        <v>0</v>
      </c>
      <c r="F7191" s="5" t="s">
        <v>9</v>
      </c>
      <c r="G7191" s="15" t="s">
        <v>8</v>
      </c>
      <c r="H7191" s="24">
        <v>0</v>
      </c>
      <c r="I7191" s="24" t="s">
        <v>21</v>
      </c>
      <c r="J7191" s="24" t="s">
        <v>21</v>
      </c>
      <c r="K7191" s="24" t="s">
        <v>21</v>
      </c>
      <c r="L7191" s="24" t="s">
        <v>21</v>
      </c>
      <c r="M7191" s="24" t="s">
        <v>21</v>
      </c>
      <c r="N7191" s="24" t="s">
        <v>21</v>
      </c>
      <c r="O7191" s="24">
        <v>0</v>
      </c>
      <c r="P7191" s="24" t="s">
        <v>21</v>
      </c>
      <c r="Q7191" s="24" t="s">
        <v>21</v>
      </c>
      <c r="R7191" s="24" t="s">
        <v>21</v>
      </c>
      <c r="S7191" s="24" t="s">
        <v>21</v>
      </c>
    </row>
    <row r="7192" spans="1:19" x14ac:dyDescent="0.2">
      <c r="A7192" s="12">
        <v>46014</v>
      </c>
      <c r="B7192" s="5" t="s">
        <v>20</v>
      </c>
      <c r="C7192" s="6">
        <v>0.59166666666666667</v>
      </c>
      <c r="D7192" s="5">
        <v>5</v>
      </c>
      <c r="E7192" s="5">
        <v>9</v>
      </c>
      <c r="F7192" s="5" t="s">
        <v>9</v>
      </c>
      <c r="G7192" s="15" t="s">
        <v>8</v>
      </c>
      <c r="H7192" s="24">
        <v>1.000000003259629</v>
      </c>
      <c r="I7192" s="24" t="s">
        <v>21</v>
      </c>
      <c r="J7192" s="24" t="s">
        <v>21</v>
      </c>
      <c r="K7192" s="24" t="s">
        <v>21</v>
      </c>
      <c r="L7192" s="24" t="s">
        <v>21</v>
      </c>
      <c r="M7192" s="24" t="s">
        <v>21</v>
      </c>
      <c r="N7192" s="24" t="s">
        <v>21</v>
      </c>
      <c r="O7192" s="24">
        <v>1.000000003259629</v>
      </c>
      <c r="P7192" s="24" t="s">
        <v>21</v>
      </c>
      <c r="Q7192" s="24" t="s">
        <v>21</v>
      </c>
      <c r="R7192" s="24" t="s">
        <v>21</v>
      </c>
      <c r="S7192" s="24" t="s">
        <v>21</v>
      </c>
    </row>
    <row r="7193" spans="1:19" x14ac:dyDescent="0.2">
      <c r="A7193" s="12">
        <v>46014</v>
      </c>
      <c r="B7193" s="5" t="s">
        <v>20</v>
      </c>
      <c r="C7193" s="6">
        <v>0.59166666666666667</v>
      </c>
      <c r="D7193" s="5">
        <v>15</v>
      </c>
      <c r="E7193" s="5">
        <v>0</v>
      </c>
      <c r="F7193" s="5" t="s">
        <v>9</v>
      </c>
      <c r="G7193" s="15" t="s">
        <v>8</v>
      </c>
      <c r="H7193" s="24">
        <v>0</v>
      </c>
      <c r="I7193" s="24" t="s">
        <v>21</v>
      </c>
      <c r="J7193" s="24" t="s">
        <v>21</v>
      </c>
      <c r="K7193" s="24" t="s">
        <v>21</v>
      </c>
      <c r="L7193" s="24" t="s">
        <v>21</v>
      </c>
      <c r="M7193" s="24" t="s">
        <v>21</v>
      </c>
      <c r="N7193" s="24" t="s">
        <v>21</v>
      </c>
      <c r="O7193" s="24">
        <v>0</v>
      </c>
      <c r="P7193" s="24" t="s">
        <v>21</v>
      </c>
      <c r="Q7193" s="24" t="s">
        <v>21</v>
      </c>
      <c r="R7193" s="24" t="s">
        <v>21</v>
      </c>
      <c r="S7193" s="24" t="s">
        <v>21</v>
      </c>
    </row>
    <row r="7194" spans="1:19" x14ac:dyDescent="0.2">
      <c r="A7194" s="12">
        <v>46014</v>
      </c>
      <c r="B7194" s="5" t="s">
        <v>20</v>
      </c>
      <c r="C7194" s="6">
        <v>0.59236111111111112</v>
      </c>
      <c r="D7194" s="5">
        <v>24</v>
      </c>
      <c r="E7194" s="5">
        <v>0</v>
      </c>
      <c r="F7194" s="5" t="s">
        <v>9</v>
      </c>
      <c r="G7194" s="15" t="s">
        <v>8</v>
      </c>
      <c r="H7194" s="24">
        <v>1.000000003259629</v>
      </c>
      <c r="I7194" s="24" t="s">
        <v>21</v>
      </c>
      <c r="J7194" s="24" t="s">
        <v>21</v>
      </c>
      <c r="K7194" s="24" t="s">
        <v>21</v>
      </c>
      <c r="L7194" s="24" t="s">
        <v>21</v>
      </c>
      <c r="M7194" s="24" t="s">
        <v>21</v>
      </c>
      <c r="N7194" s="24" t="s">
        <v>21</v>
      </c>
      <c r="O7194" s="24">
        <v>1.000000003259629</v>
      </c>
      <c r="P7194" s="24" t="s">
        <v>21</v>
      </c>
      <c r="Q7194" s="24" t="s">
        <v>21</v>
      </c>
      <c r="R7194" s="24" t="s">
        <v>21</v>
      </c>
      <c r="S7194" s="24" t="s">
        <v>21</v>
      </c>
    </row>
    <row r="7195" spans="1:19" x14ac:dyDescent="0.2">
      <c r="A7195" s="12">
        <v>46014</v>
      </c>
      <c r="B7195" s="5" t="s">
        <v>20</v>
      </c>
      <c r="C7195" s="6">
        <v>0.59236111111111112</v>
      </c>
      <c r="D7195" s="5">
        <v>5</v>
      </c>
      <c r="E7195" s="5">
        <v>0</v>
      </c>
      <c r="F7195" s="5" t="s">
        <v>9</v>
      </c>
      <c r="G7195" s="15" t="s">
        <v>8</v>
      </c>
      <c r="H7195" s="24">
        <v>0</v>
      </c>
      <c r="I7195" s="24" t="s">
        <v>21</v>
      </c>
      <c r="J7195" s="24" t="s">
        <v>21</v>
      </c>
      <c r="K7195" s="24" t="s">
        <v>21</v>
      </c>
      <c r="L7195" s="24" t="s">
        <v>21</v>
      </c>
      <c r="M7195" s="24" t="s">
        <v>21</v>
      </c>
      <c r="N7195" s="24" t="s">
        <v>21</v>
      </c>
      <c r="O7195" s="24">
        <v>0</v>
      </c>
      <c r="P7195" s="24" t="s">
        <v>21</v>
      </c>
      <c r="Q7195" s="24" t="s">
        <v>21</v>
      </c>
      <c r="R7195" s="24" t="s">
        <v>21</v>
      </c>
      <c r="S7195" s="24" t="s">
        <v>21</v>
      </c>
    </row>
    <row r="7196" spans="1:19" x14ac:dyDescent="0.2">
      <c r="A7196" s="12">
        <v>46014</v>
      </c>
      <c r="B7196" s="5" t="s">
        <v>20</v>
      </c>
      <c r="C7196" s="6">
        <v>0.59375</v>
      </c>
      <c r="D7196" s="5">
        <v>0</v>
      </c>
      <c r="E7196" s="5">
        <v>0</v>
      </c>
      <c r="F7196" s="5" t="s">
        <v>9</v>
      </c>
      <c r="G7196" s="15" t="s">
        <v>8</v>
      </c>
      <c r="H7196" s="24">
        <v>1.9999999960418791</v>
      </c>
      <c r="I7196" s="24" t="s">
        <v>21</v>
      </c>
      <c r="J7196" s="24" t="s">
        <v>21</v>
      </c>
      <c r="K7196" s="24" t="s">
        <v>21</v>
      </c>
      <c r="L7196" s="24" t="s">
        <v>21</v>
      </c>
      <c r="M7196" s="24" t="s">
        <v>21</v>
      </c>
      <c r="N7196" s="24" t="s">
        <v>21</v>
      </c>
      <c r="O7196" s="24">
        <v>1.9999999960418791</v>
      </c>
      <c r="P7196" s="24" t="s">
        <v>21</v>
      </c>
      <c r="Q7196" s="24" t="s">
        <v>21</v>
      </c>
      <c r="R7196" s="24" t="s">
        <v>21</v>
      </c>
      <c r="S7196" s="24" t="s">
        <v>21</v>
      </c>
    </row>
    <row r="7197" spans="1:19" x14ac:dyDescent="0.2">
      <c r="A7197" s="12">
        <v>46014</v>
      </c>
      <c r="B7197" s="5" t="s">
        <v>20</v>
      </c>
      <c r="C7197" s="6">
        <v>0.59444444444444444</v>
      </c>
      <c r="D7197" s="5">
        <v>0</v>
      </c>
      <c r="E7197" s="5">
        <v>0</v>
      </c>
      <c r="F7197" s="5" t="s">
        <v>9</v>
      </c>
      <c r="G7197" s="15" t="s">
        <v>8</v>
      </c>
      <c r="H7197" s="24">
        <v>1.000000003259629</v>
      </c>
      <c r="I7197" s="24" t="s">
        <v>21</v>
      </c>
      <c r="J7197" s="24" t="s">
        <v>21</v>
      </c>
      <c r="K7197" s="24" t="s">
        <v>21</v>
      </c>
      <c r="L7197" s="24" t="s">
        <v>21</v>
      </c>
      <c r="M7197" s="24" t="s">
        <v>21</v>
      </c>
      <c r="N7197" s="24" t="s">
        <v>21</v>
      </c>
      <c r="O7197" s="24">
        <v>1.000000003259629</v>
      </c>
      <c r="P7197" s="24" t="s">
        <v>21</v>
      </c>
      <c r="Q7197" s="24" t="s">
        <v>21</v>
      </c>
      <c r="R7197" s="24" t="s">
        <v>21</v>
      </c>
      <c r="S7197" s="24" t="s">
        <v>21</v>
      </c>
    </row>
    <row r="7198" spans="1:19" x14ac:dyDescent="0.2">
      <c r="A7198" s="12">
        <v>46014</v>
      </c>
      <c r="B7198" s="5" t="s">
        <v>20</v>
      </c>
      <c r="C7198" s="6">
        <v>0.59513888888888888</v>
      </c>
      <c r="D7198" s="5">
        <v>0</v>
      </c>
      <c r="E7198" s="5">
        <v>0</v>
      </c>
      <c r="F7198" s="5" t="s">
        <v>9</v>
      </c>
      <c r="G7198" s="15" t="s">
        <v>8</v>
      </c>
      <c r="H7198" s="24">
        <v>0.99999999278225005</v>
      </c>
      <c r="I7198" s="24" t="s">
        <v>21</v>
      </c>
      <c r="J7198" s="24" t="s">
        <v>21</v>
      </c>
      <c r="K7198" s="24" t="s">
        <v>21</v>
      </c>
      <c r="L7198" s="24" t="s">
        <v>21</v>
      </c>
      <c r="M7198" s="24" t="s">
        <v>21</v>
      </c>
      <c r="N7198" s="24" t="s">
        <v>21</v>
      </c>
      <c r="O7198" s="24">
        <v>0.99999999278225005</v>
      </c>
      <c r="P7198" s="24" t="s">
        <v>21</v>
      </c>
      <c r="Q7198" s="24" t="s">
        <v>21</v>
      </c>
      <c r="R7198" s="24" t="s">
        <v>21</v>
      </c>
      <c r="S7198" s="24" t="s">
        <v>21</v>
      </c>
    </row>
    <row r="7199" spans="1:19" x14ac:dyDescent="0.2">
      <c r="A7199" s="12">
        <v>46014</v>
      </c>
      <c r="B7199" s="5" t="s">
        <v>3</v>
      </c>
      <c r="C7199" s="6">
        <v>0.62152777777777779</v>
      </c>
      <c r="D7199" s="5">
        <v>0</v>
      </c>
      <c r="E7199" s="5">
        <v>1</v>
      </c>
      <c r="F7199" s="5" t="s">
        <v>9</v>
      </c>
      <c r="G7199" s="15" t="s">
        <v>8</v>
      </c>
      <c r="H7199" s="24">
        <v>38.000000008614734</v>
      </c>
      <c r="I7199" s="24">
        <v>62.000000003026798</v>
      </c>
      <c r="J7199" s="24" t="s">
        <v>21</v>
      </c>
      <c r="K7199" s="24" t="s">
        <v>21</v>
      </c>
      <c r="L7199" s="24" t="s">
        <v>21</v>
      </c>
      <c r="M7199" s="24" t="s">
        <v>21</v>
      </c>
      <c r="N7199" s="24" t="s">
        <v>21</v>
      </c>
      <c r="O7199" s="24" t="s">
        <v>21</v>
      </c>
      <c r="P7199" s="24" t="s">
        <v>21</v>
      </c>
      <c r="Q7199" s="24" t="s">
        <v>21</v>
      </c>
      <c r="R7199" s="24" t="s">
        <v>21</v>
      </c>
      <c r="S7199" s="24" t="s">
        <v>21</v>
      </c>
    </row>
    <row r="7200" spans="1:19" x14ac:dyDescent="0.2">
      <c r="A7200" s="12">
        <v>46014</v>
      </c>
      <c r="B7200" s="5" t="s">
        <v>3</v>
      </c>
      <c r="C7200" s="6">
        <v>0.62222222222222223</v>
      </c>
      <c r="D7200" s="5">
        <v>0</v>
      </c>
      <c r="E7200" s="5">
        <v>4</v>
      </c>
      <c r="F7200" s="5" t="s">
        <v>9</v>
      </c>
      <c r="G7200" s="15" t="s">
        <v>8</v>
      </c>
      <c r="H7200" s="24">
        <v>0.99999999278225005</v>
      </c>
      <c r="I7200" s="24">
        <v>0.99999999278225005</v>
      </c>
      <c r="J7200" s="24" t="s">
        <v>21</v>
      </c>
      <c r="K7200" s="24" t="s">
        <v>21</v>
      </c>
      <c r="L7200" s="24" t="s">
        <v>21</v>
      </c>
      <c r="M7200" s="24" t="s">
        <v>21</v>
      </c>
      <c r="N7200" s="24" t="s">
        <v>21</v>
      </c>
      <c r="O7200" s="24" t="s">
        <v>21</v>
      </c>
      <c r="P7200" s="24" t="s">
        <v>21</v>
      </c>
      <c r="Q7200" s="24" t="s">
        <v>21</v>
      </c>
      <c r="R7200" s="24" t="s">
        <v>21</v>
      </c>
      <c r="S7200" s="24" t="s">
        <v>21</v>
      </c>
    </row>
    <row r="7201" spans="1:19" x14ac:dyDescent="0.2">
      <c r="A7201" s="12">
        <v>46014</v>
      </c>
      <c r="B7201" s="5" t="s">
        <v>3</v>
      </c>
      <c r="C7201" s="6">
        <v>0.62222222222222223</v>
      </c>
      <c r="D7201" s="5">
        <v>0</v>
      </c>
      <c r="E7201" s="5">
        <v>3</v>
      </c>
      <c r="F7201" s="5" t="s">
        <v>9</v>
      </c>
      <c r="G7201" s="15" t="s">
        <v>8</v>
      </c>
      <c r="H7201" s="24">
        <v>0</v>
      </c>
      <c r="I7201" s="24">
        <v>0</v>
      </c>
      <c r="J7201" s="24" t="s">
        <v>21</v>
      </c>
      <c r="K7201" s="24" t="s">
        <v>21</v>
      </c>
      <c r="L7201" s="24" t="s">
        <v>21</v>
      </c>
      <c r="M7201" s="24" t="s">
        <v>21</v>
      </c>
      <c r="N7201" s="24" t="s">
        <v>21</v>
      </c>
      <c r="O7201" s="24" t="s">
        <v>21</v>
      </c>
      <c r="P7201" s="24" t="s">
        <v>21</v>
      </c>
      <c r="Q7201" s="24" t="s">
        <v>21</v>
      </c>
      <c r="R7201" s="24" t="s">
        <v>21</v>
      </c>
      <c r="S7201" s="24" t="s">
        <v>21</v>
      </c>
    </row>
    <row r="7202" spans="1:19" x14ac:dyDescent="0.2">
      <c r="A7202" s="12">
        <v>46014</v>
      </c>
      <c r="B7202" s="5" t="s">
        <v>3</v>
      </c>
      <c r="C7202" s="6">
        <v>0.62291666666666667</v>
      </c>
      <c r="D7202" s="5">
        <v>0</v>
      </c>
      <c r="E7202" s="5">
        <v>3</v>
      </c>
      <c r="F7202" s="5" t="s">
        <v>9</v>
      </c>
      <c r="G7202" s="15" t="s">
        <v>8</v>
      </c>
      <c r="H7202" s="24">
        <v>1.000000003259629</v>
      </c>
      <c r="I7202" s="24">
        <v>1.000000003259629</v>
      </c>
      <c r="J7202" s="24" t="s">
        <v>21</v>
      </c>
      <c r="K7202" s="24" t="s">
        <v>21</v>
      </c>
      <c r="L7202" s="24" t="s">
        <v>21</v>
      </c>
      <c r="M7202" s="24" t="s">
        <v>21</v>
      </c>
      <c r="N7202" s="24" t="s">
        <v>21</v>
      </c>
      <c r="O7202" s="24" t="s">
        <v>21</v>
      </c>
      <c r="P7202" s="24" t="s">
        <v>21</v>
      </c>
      <c r="Q7202" s="24" t="s">
        <v>21</v>
      </c>
      <c r="R7202" s="24" t="s">
        <v>21</v>
      </c>
      <c r="S7202" s="24" t="s">
        <v>21</v>
      </c>
    </row>
    <row r="7203" spans="1:19" x14ac:dyDescent="0.2">
      <c r="A7203" s="12">
        <v>46014</v>
      </c>
      <c r="B7203" s="5" t="s">
        <v>3</v>
      </c>
      <c r="C7203" s="6">
        <v>0.62291666666666667</v>
      </c>
      <c r="D7203" s="5">
        <v>0</v>
      </c>
      <c r="E7203" s="5">
        <v>3</v>
      </c>
      <c r="F7203" s="5" t="s">
        <v>9</v>
      </c>
      <c r="G7203" s="15" t="s">
        <v>8</v>
      </c>
      <c r="H7203" s="24">
        <v>0</v>
      </c>
      <c r="I7203" s="24">
        <v>0</v>
      </c>
      <c r="J7203" s="24" t="s">
        <v>21</v>
      </c>
      <c r="K7203" s="24" t="s">
        <v>21</v>
      </c>
      <c r="L7203" s="24" t="s">
        <v>21</v>
      </c>
      <c r="M7203" s="24" t="s">
        <v>21</v>
      </c>
      <c r="N7203" s="24" t="s">
        <v>21</v>
      </c>
      <c r="O7203" s="24" t="s">
        <v>21</v>
      </c>
      <c r="P7203" s="24" t="s">
        <v>21</v>
      </c>
      <c r="Q7203" s="24" t="s">
        <v>21</v>
      </c>
      <c r="R7203" s="24" t="s">
        <v>21</v>
      </c>
      <c r="S7203" s="24" t="s">
        <v>21</v>
      </c>
    </row>
    <row r="7204" spans="1:19" x14ac:dyDescent="0.2">
      <c r="A7204" s="12">
        <v>46014</v>
      </c>
      <c r="B7204" s="5" t="s">
        <v>3</v>
      </c>
      <c r="C7204" s="6">
        <v>0.62361111111111112</v>
      </c>
      <c r="D7204" s="5">
        <v>0</v>
      </c>
      <c r="E7204" s="5">
        <v>3</v>
      </c>
      <c r="F7204" s="5" t="s">
        <v>9</v>
      </c>
      <c r="G7204" s="15" t="s">
        <v>8</v>
      </c>
      <c r="H7204" s="24">
        <v>1.000000003259629</v>
      </c>
      <c r="I7204" s="24">
        <v>1.000000003259629</v>
      </c>
      <c r="J7204" s="24" t="s">
        <v>21</v>
      </c>
      <c r="K7204" s="24" t="s">
        <v>21</v>
      </c>
      <c r="L7204" s="24" t="s">
        <v>21</v>
      </c>
      <c r="M7204" s="24" t="s">
        <v>21</v>
      </c>
      <c r="N7204" s="24" t="s">
        <v>21</v>
      </c>
      <c r="O7204" s="24" t="s">
        <v>21</v>
      </c>
      <c r="P7204" s="24" t="s">
        <v>21</v>
      </c>
      <c r="Q7204" s="24" t="s">
        <v>21</v>
      </c>
      <c r="R7204" s="24" t="s">
        <v>21</v>
      </c>
      <c r="S7204" s="24" t="s">
        <v>21</v>
      </c>
    </row>
    <row r="7205" spans="1:19" x14ac:dyDescent="0.2">
      <c r="A7205" s="12">
        <v>46014</v>
      </c>
      <c r="B7205" s="5" t="s">
        <v>3</v>
      </c>
      <c r="C7205" s="6">
        <v>0.62361111111111112</v>
      </c>
      <c r="D7205" s="5">
        <v>0</v>
      </c>
      <c r="E7205" s="5">
        <v>1</v>
      </c>
      <c r="F7205" s="5" t="s">
        <v>9</v>
      </c>
      <c r="G7205" s="15" t="s">
        <v>8</v>
      </c>
      <c r="H7205" s="24">
        <v>0</v>
      </c>
      <c r="I7205" s="24">
        <v>0</v>
      </c>
      <c r="J7205" s="24" t="s">
        <v>21</v>
      </c>
      <c r="K7205" s="24" t="s">
        <v>21</v>
      </c>
      <c r="L7205" s="24" t="s">
        <v>21</v>
      </c>
      <c r="M7205" s="24" t="s">
        <v>21</v>
      </c>
      <c r="N7205" s="24" t="s">
        <v>21</v>
      </c>
      <c r="O7205" s="24" t="s">
        <v>21</v>
      </c>
      <c r="P7205" s="24" t="s">
        <v>21</v>
      </c>
      <c r="Q7205" s="24" t="s">
        <v>21</v>
      </c>
      <c r="R7205" s="24" t="s">
        <v>21</v>
      </c>
      <c r="S7205" s="24" t="s">
        <v>21</v>
      </c>
    </row>
    <row r="7206" spans="1:19" x14ac:dyDescent="0.2">
      <c r="A7206" s="12">
        <v>46014</v>
      </c>
      <c r="B7206" s="5" t="s">
        <v>3</v>
      </c>
      <c r="C7206" s="6">
        <v>0.62430555555555556</v>
      </c>
      <c r="D7206" s="5">
        <v>0</v>
      </c>
      <c r="E7206" s="5">
        <v>3</v>
      </c>
      <c r="F7206" s="5" t="s">
        <v>9</v>
      </c>
      <c r="G7206" s="15" t="s">
        <v>8</v>
      </c>
      <c r="H7206" s="24">
        <v>0.99999999278225005</v>
      </c>
      <c r="I7206" s="24">
        <v>0.99999999278225005</v>
      </c>
      <c r="J7206" s="24" t="s">
        <v>21</v>
      </c>
      <c r="K7206" s="24" t="s">
        <v>21</v>
      </c>
      <c r="L7206" s="24" t="s">
        <v>21</v>
      </c>
      <c r="M7206" s="24" t="s">
        <v>21</v>
      </c>
      <c r="N7206" s="24" t="s">
        <v>21</v>
      </c>
      <c r="O7206" s="24" t="s">
        <v>21</v>
      </c>
      <c r="P7206" s="24" t="s">
        <v>21</v>
      </c>
      <c r="Q7206" s="24" t="s">
        <v>21</v>
      </c>
      <c r="R7206" s="24" t="s">
        <v>21</v>
      </c>
      <c r="S7206" s="24" t="s">
        <v>21</v>
      </c>
    </row>
    <row r="7207" spans="1:19" x14ac:dyDescent="0.2">
      <c r="A7207" s="12">
        <v>46014</v>
      </c>
      <c r="B7207" s="5" t="s">
        <v>20</v>
      </c>
      <c r="C7207" s="6">
        <v>0.69097222222222221</v>
      </c>
      <c r="D7207" s="5">
        <v>2</v>
      </c>
      <c r="E7207" s="5">
        <v>0</v>
      </c>
      <c r="F7207" s="5" t="s">
        <v>9</v>
      </c>
      <c r="G7207" s="15" t="s">
        <v>8</v>
      </c>
      <c r="H7207" s="24">
        <v>95.999999998603016</v>
      </c>
      <c r="I7207" s="24" t="s">
        <v>21</v>
      </c>
      <c r="J7207" s="24" t="s">
        <v>21</v>
      </c>
      <c r="K7207" s="24" t="s">
        <v>21</v>
      </c>
      <c r="L7207" s="24" t="s">
        <v>21</v>
      </c>
      <c r="M7207" s="24" t="s">
        <v>21</v>
      </c>
      <c r="N7207" s="24" t="s">
        <v>21</v>
      </c>
      <c r="O7207" s="24">
        <v>137.99999999930151</v>
      </c>
      <c r="P7207" s="24" t="s">
        <v>21</v>
      </c>
      <c r="Q7207" s="24" t="s">
        <v>21</v>
      </c>
      <c r="R7207" s="24" t="s">
        <v>21</v>
      </c>
      <c r="S7207" s="24" t="s">
        <v>21</v>
      </c>
    </row>
    <row r="7208" spans="1:19" x14ac:dyDescent="0.2">
      <c r="A7208" s="12">
        <v>46014</v>
      </c>
      <c r="B7208" s="5" t="s">
        <v>20</v>
      </c>
      <c r="C7208" s="6">
        <v>0.69166666666666665</v>
      </c>
      <c r="D7208" s="5">
        <v>7</v>
      </c>
      <c r="E7208" s="5">
        <v>3</v>
      </c>
      <c r="F7208" s="5" t="s">
        <v>9</v>
      </c>
      <c r="G7208" s="15" t="s">
        <v>8</v>
      </c>
      <c r="H7208" s="24">
        <v>1.000000003259629</v>
      </c>
      <c r="I7208" s="24" t="s">
        <v>21</v>
      </c>
      <c r="J7208" s="24" t="s">
        <v>21</v>
      </c>
      <c r="K7208" s="24" t="s">
        <v>21</v>
      </c>
      <c r="L7208" s="24" t="s">
        <v>21</v>
      </c>
      <c r="M7208" s="24" t="s">
        <v>21</v>
      </c>
      <c r="N7208" s="24" t="s">
        <v>21</v>
      </c>
      <c r="O7208" s="24">
        <v>1.000000003259629</v>
      </c>
      <c r="P7208" s="24" t="s">
        <v>21</v>
      </c>
      <c r="Q7208" s="24" t="s">
        <v>21</v>
      </c>
      <c r="R7208" s="24" t="s">
        <v>21</v>
      </c>
      <c r="S7208" s="24" t="s">
        <v>21</v>
      </c>
    </row>
    <row r="7209" spans="1:19" x14ac:dyDescent="0.2">
      <c r="A7209" s="12">
        <v>46014</v>
      </c>
      <c r="B7209" s="5" t="s">
        <v>20</v>
      </c>
      <c r="C7209" s="6">
        <v>0.69236111111111109</v>
      </c>
      <c r="D7209" s="5">
        <v>0</v>
      </c>
      <c r="E7209" s="5">
        <v>11</v>
      </c>
      <c r="F7209" s="5" t="s">
        <v>9</v>
      </c>
      <c r="G7209" s="15" t="s">
        <v>8</v>
      </c>
      <c r="H7209" s="24">
        <v>1.000000003259629</v>
      </c>
      <c r="I7209" s="24" t="s">
        <v>21</v>
      </c>
      <c r="J7209" s="24" t="s">
        <v>21</v>
      </c>
      <c r="K7209" s="24" t="s">
        <v>21</v>
      </c>
      <c r="L7209" s="24" t="s">
        <v>21</v>
      </c>
      <c r="M7209" s="24" t="s">
        <v>21</v>
      </c>
      <c r="N7209" s="24" t="s">
        <v>21</v>
      </c>
      <c r="O7209" s="24">
        <v>1.000000003259629</v>
      </c>
      <c r="P7209" s="24" t="s">
        <v>21</v>
      </c>
      <c r="Q7209" s="24" t="s">
        <v>21</v>
      </c>
      <c r="R7209" s="24" t="s">
        <v>21</v>
      </c>
      <c r="S7209" s="24" t="s">
        <v>21</v>
      </c>
    </row>
    <row r="7210" spans="1:19" x14ac:dyDescent="0.2">
      <c r="A7210" s="12">
        <v>46014</v>
      </c>
      <c r="B7210" s="5" t="s">
        <v>20</v>
      </c>
      <c r="C7210" s="6">
        <v>0.69236111111111109</v>
      </c>
      <c r="D7210" s="5">
        <v>0</v>
      </c>
      <c r="E7210" s="5">
        <v>5</v>
      </c>
      <c r="F7210" s="5" t="s">
        <v>9</v>
      </c>
      <c r="G7210" s="15" t="s">
        <v>8</v>
      </c>
      <c r="H7210" s="24">
        <v>0</v>
      </c>
      <c r="I7210" s="24" t="s">
        <v>21</v>
      </c>
      <c r="J7210" s="24" t="s">
        <v>21</v>
      </c>
      <c r="K7210" s="24" t="s">
        <v>21</v>
      </c>
      <c r="L7210" s="24" t="s">
        <v>21</v>
      </c>
      <c r="M7210" s="24" t="s">
        <v>21</v>
      </c>
      <c r="N7210" s="24" t="s">
        <v>21</v>
      </c>
      <c r="O7210" s="24">
        <v>0</v>
      </c>
      <c r="P7210" s="24" t="s">
        <v>21</v>
      </c>
      <c r="Q7210" s="24" t="s">
        <v>21</v>
      </c>
      <c r="R7210" s="24" t="s">
        <v>21</v>
      </c>
      <c r="S7210" s="24" t="s">
        <v>21</v>
      </c>
    </row>
    <row r="7211" spans="1:19" x14ac:dyDescent="0.2">
      <c r="A7211" s="12">
        <v>46014</v>
      </c>
      <c r="B7211" s="5" t="s">
        <v>20</v>
      </c>
      <c r="C7211" s="6">
        <v>0.69305555555555554</v>
      </c>
      <c r="D7211" s="5">
        <v>13</v>
      </c>
      <c r="E7211" s="5">
        <v>2</v>
      </c>
      <c r="F7211" s="5" t="s">
        <v>9</v>
      </c>
      <c r="G7211" s="15" t="s">
        <v>8</v>
      </c>
      <c r="H7211" s="24">
        <v>1.000000003259629</v>
      </c>
      <c r="I7211" s="24" t="s">
        <v>21</v>
      </c>
      <c r="J7211" s="24" t="s">
        <v>21</v>
      </c>
      <c r="K7211" s="24" t="s">
        <v>21</v>
      </c>
      <c r="L7211" s="24" t="s">
        <v>21</v>
      </c>
      <c r="M7211" s="24" t="s">
        <v>21</v>
      </c>
      <c r="N7211" s="24" t="s">
        <v>21</v>
      </c>
      <c r="O7211" s="24">
        <v>1.000000003259629</v>
      </c>
      <c r="P7211" s="24" t="s">
        <v>21</v>
      </c>
      <c r="Q7211" s="24" t="s">
        <v>21</v>
      </c>
      <c r="R7211" s="24" t="s">
        <v>21</v>
      </c>
      <c r="S7211" s="24" t="s">
        <v>21</v>
      </c>
    </row>
    <row r="7212" spans="1:19" x14ac:dyDescent="0.2">
      <c r="A7212" s="12">
        <v>46014</v>
      </c>
      <c r="B7212" s="5" t="s">
        <v>20</v>
      </c>
      <c r="C7212" s="6">
        <v>0.69305555555555554</v>
      </c>
      <c r="D7212" s="5">
        <v>21</v>
      </c>
      <c r="E7212" s="5">
        <v>0</v>
      </c>
      <c r="F7212" s="5" t="s">
        <v>9</v>
      </c>
      <c r="G7212" s="15" t="s">
        <v>8</v>
      </c>
      <c r="H7212" s="24">
        <v>0</v>
      </c>
      <c r="I7212" s="24" t="s">
        <v>21</v>
      </c>
      <c r="J7212" s="24" t="s">
        <v>21</v>
      </c>
      <c r="K7212" s="24" t="s">
        <v>21</v>
      </c>
      <c r="L7212" s="24" t="s">
        <v>21</v>
      </c>
      <c r="M7212" s="24" t="s">
        <v>21</v>
      </c>
      <c r="N7212" s="24" t="s">
        <v>21</v>
      </c>
      <c r="O7212" s="24">
        <v>0</v>
      </c>
      <c r="P7212" s="24" t="s">
        <v>21</v>
      </c>
      <c r="Q7212" s="24" t="s">
        <v>21</v>
      </c>
      <c r="R7212" s="24" t="s">
        <v>21</v>
      </c>
      <c r="S7212" s="24" t="s">
        <v>21</v>
      </c>
    </row>
    <row r="7213" spans="1:19" x14ac:dyDescent="0.2">
      <c r="A7213" s="12">
        <v>46014</v>
      </c>
      <c r="B7213" s="5" t="s">
        <v>20</v>
      </c>
      <c r="C7213" s="6">
        <v>0.69374999999999998</v>
      </c>
      <c r="D7213" s="5">
        <v>0</v>
      </c>
      <c r="E7213" s="5">
        <v>0</v>
      </c>
      <c r="F7213" s="5" t="s">
        <v>9</v>
      </c>
      <c r="G7213" s="15" t="s">
        <v>8</v>
      </c>
      <c r="H7213" s="24">
        <v>0.99999999278225005</v>
      </c>
      <c r="I7213" s="24" t="s">
        <v>21</v>
      </c>
      <c r="J7213" s="24" t="s">
        <v>21</v>
      </c>
      <c r="K7213" s="24" t="s">
        <v>21</v>
      </c>
      <c r="L7213" s="24" t="s">
        <v>21</v>
      </c>
      <c r="M7213" s="24" t="s">
        <v>21</v>
      </c>
      <c r="N7213" s="24" t="s">
        <v>21</v>
      </c>
      <c r="O7213" s="24">
        <v>0.99999999278225005</v>
      </c>
      <c r="P7213" s="24" t="s">
        <v>21</v>
      </c>
      <c r="Q7213" s="24" t="s">
        <v>21</v>
      </c>
      <c r="R7213" s="24" t="s">
        <v>21</v>
      </c>
      <c r="S7213" s="24" t="s">
        <v>21</v>
      </c>
    </row>
    <row r="7214" spans="1:19" x14ac:dyDescent="0.2">
      <c r="A7214" s="12">
        <v>46014</v>
      </c>
      <c r="B7214" s="5" t="s">
        <v>20</v>
      </c>
      <c r="C7214" s="6">
        <v>0.69444444444444442</v>
      </c>
      <c r="D7214" s="5">
        <v>0</v>
      </c>
      <c r="E7214" s="5">
        <v>0</v>
      </c>
      <c r="F7214" s="5" t="s">
        <v>9</v>
      </c>
      <c r="G7214" s="15" t="s">
        <v>8</v>
      </c>
      <c r="H7214" s="24">
        <v>1.000000003259629</v>
      </c>
      <c r="I7214" s="24" t="s">
        <v>21</v>
      </c>
      <c r="J7214" s="24" t="s">
        <v>21</v>
      </c>
      <c r="K7214" s="24" t="s">
        <v>21</v>
      </c>
      <c r="L7214" s="24" t="s">
        <v>21</v>
      </c>
      <c r="M7214" s="24" t="s">
        <v>21</v>
      </c>
      <c r="N7214" s="24" t="s">
        <v>21</v>
      </c>
      <c r="O7214" s="24">
        <v>1.000000003259629</v>
      </c>
      <c r="P7214" s="24" t="s">
        <v>21</v>
      </c>
      <c r="Q7214" s="24" t="s">
        <v>21</v>
      </c>
      <c r="R7214" s="24" t="s">
        <v>21</v>
      </c>
      <c r="S7214" s="24" t="s">
        <v>21</v>
      </c>
    </row>
    <row r="7215" spans="1:19" x14ac:dyDescent="0.2">
      <c r="A7215" s="12">
        <v>46014</v>
      </c>
      <c r="B7215" s="5" t="s">
        <v>20</v>
      </c>
      <c r="C7215" s="6">
        <v>0.69444444444444442</v>
      </c>
      <c r="D7215" s="5">
        <v>0</v>
      </c>
      <c r="E7215" s="5">
        <v>0</v>
      </c>
      <c r="F7215" s="5" t="s">
        <v>9</v>
      </c>
      <c r="G7215" s="15" t="s">
        <v>8</v>
      </c>
      <c r="H7215" s="24">
        <v>0</v>
      </c>
      <c r="I7215" s="24" t="s">
        <v>21</v>
      </c>
      <c r="J7215" s="24" t="s">
        <v>21</v>
      </c>
      <c r="K7215" s="24" t="s">
        <v>21</v>
      </c>
      <c r="L7215" s="24" t="s">
        <v>21</v>
      </c>
      <c r="M7215" s="24" t="s">
        <v>21</v>
      </c>
      <c r="N7215" s="24" t="s">
        <v>21</v>
      </c>
      <c r="O7215" s="24">
        <v>0</v>
      </c>
      <c r="P7215" s="24" t="s">
        <v>21</v>
      </c>
      <c r="Q7215" s="24" t="s">
        <v>21</v>
      </c>
      <c r="R7215" s="24" t="s">
        <v>21</v>
      </c>
      <c r="S7215" s="24" t="s">
        <v>21</v>
      </c>
    </row>
    <row r="7216" spans="1:19" x14ac:dyDescent="0.2">
      <c r="A7216" s="12">
        <v>46014</v>
      </c>
      <c r="B7216" s="5" t="s">
        <v>20</v>
      </c>
      <c r="C7216" s="6">
        <v>0.69513888888888886</v>
      </c>
      <c r="D7216" s="5">
        <v>0</v>
      </c>
      <c r="E7216" s="5">
        <v>0</v>
      </c>
      <c r="F7216" s="5" t="s">
        <v>9</v>
      </c>
      <c r="G7216" s="15" t="s">
        <v>8</v>
      </c>
      <c r="H7216" s="24">
        <v>1.000000003259629</v>
      </c>
      <c r="I7216" s="24" t="s">
        <v>21</v>
      </c>
      <c r="J7216" s="24" t="s">
        <v>21</v>
      </c>
      <c r="K7216" s="24" t="s">
        <v>21</v>
      </c>
      <c r="L7216" s="24" t="s">
        <v>21</v>
      </c>
      <c r="M7216" s="24" t="s">
        <v>21</v>
      </c>
      <c r="N7216" s="24" t="s">
        <v>21</v>
      </c>
      <c r="O7216" s="24">
        <v>1.000000003259629</v>
      </c>
      <c r="P7216" s="24" t="s">
        <v>21</v>
      </c>
      <c r="Q7216" s="24" t="s">
        <v>21</v>
      </c>
      <c r="R7216" s="24" t="s">
        <v>21</v>
      </c>
      <c r="S7216" s="24" t="s">
        <v>21</v>
      </c>
    </row>
    <row r="7217" spans="1:19" x14ac:dyDescent="0.2">
      <c r="A7217" s="12">
        <v>46014</v>
      </c>
      <c r="B7217" s="5" t="s">
        <v>3</v>
      </c>
      <c r="C7217" s="6">
        <v>0.73333333333333328</v>
      </c>
      <c r="D7217" s="5">
        <v>0</v>
      </c>
      <c r="E7217" s="5">
        <v>2</v>
      </c>
      <c r="F7217" s="5" t="s">
        <v>9</v>
      </c>
      <c r="G7217" s="15" t="s">
        <v>8</v>
      </c>
      <c r="H7217" s="24">
        <v>54.999999990686774</v>
      </c>
      <c r="I7217" s="24">
        <v>156.99999999837019</v>
      </c>
      <c r="J7217" s="24" t="s">
        <v>21</v>
      </c>
      <c r="K7217" s="24" t="s">
        <v>21</v>
      </c>
      <c r="L7217" s="24" t="s">
        <v>21</v>
      </c>
      <c r="M7217" s="24" t="s">
        <v>21</v>
      </c>
      <c r="N7217" s="24" t="s">
        <v>21</v>
      </c>
      <c r="O7217" s="24" t="s">
        <v>21</v>
      </c>
      <c r="P7217" s="24" t="s">
        <v>21</v>
      </c>
      <c r="Q7217" s="24" t="s">
        <v>21</v>
      </c>
      <c r="R7217" s="24" t="s">
        <v>21</v>
      </c>
      <c r="S7217" s="24" t="s">
        <v>21</v>
      </c>
    </row>
    <row r="7218" spans="1:19" x14ac:dyDescent="0.2">
      <c r="A7218" s="12">
        <v>46014</v>
      </c>
      <c r="B7218" s="5" t="s">
        <v>3</v>
      </c>
      <c r="C7218" s="6">
        <v>0.73402777777777772</v>
      </c>
      <c r="D7218" s="5">
        <v>0</v>
      </c>
      <c r="E7218" s="5">
        <v>3</v>
      </c>
      <c r="F7218" s="5" t="s">
        <v>9</v>
      </c>
      <c r="G7218" s="15" t="s">
        <v>8</v>
      </c>
      <c r="H7218" s="24">
        <v>1.000000003259629</v>
      </c>
      <c r="I7218" s="24">
        <v>1.000000003259629</v>
      </c>
      <c r="J7218" s="24" t="s">
        <v>21</v>
      </c>
      <c r="K7218" s="24" t="s">
        <v>21</v>
      </c>
      <c r="L7218" s="24" t="s">
        <v>21</v>
      </c>
      <c r="M7218" s="24" t="s">
        <v>21</v>
      </c>
      <c r="N7218" s="24" t="s">
        <v>21</v>
      </c>
      <c r="O7218" s="24" t="s">
        <v>21</v>
      </c>
      <c r="P7218" s="24" t="s">
        <v>21</v>
      </c>
      <c r="Q7218" s="24" t="s">
        <v>21</v>
      </c>
      <c r="R7218" s="24" t="s">
        <v>21</v>
      </c>
      <c r="S7218" s="24" t="s">
        <v>21</v>
      </c>
    </row>
    <row r="7219" spans="1:19" x14ac:dyDescent="0.2">
      <c r="A7219" s="12">
        <v>46014</v>
      </c>
      <c r="B7219" s="5" t="s">
        <v>3</v>
      </c>
      <c r="C7219" s="6">
        <v>0.73402777777777772</v>
      </c>
      <c r="D7219" s="5">
        <v>0</v>
      </c>
      <c r="E7219" s="5">
        <v>4</v>
      </c>
      <c r="F7219" s="5" t="s">
        <v>9</v>
      </c>
      <c r="G7219" s="15" t="s">
        <v>8</v>
      </c>
      <c r="H7219" s="24">
        <v>0</v>
      </c>
      <c r="I7219" s="24">
        <v>0</v>
      </c>
      <c r="J7219" s="24" t="s">
        <v>21</v>
      </c>
      <c r="K7219" s="24" t="s">
        <v>21</v>
      </c>
      <c r="L7219" s="24" t="s">
        <v>21</v>
      </c>
      <c r="M7219" s="24" t="s">
        <v>21</v>
      </c>
      <c r="N7219" s="24" t="s">
        <v>21</v>
      </c>
      <c r="O7219" s="24" t="s">
        <v>21</v>
      </c>
      <c r="P7219" s="24" t="s">
        <v>21</v>
      </c>
      <c r="Q7219" s="24" t="s">
        <v>21</v>
      </c>
      <c r="R7219" s="24" t="s">
        <v>21</v>
      </c>
      <c r="S7219" s="24" t="s">
        <v>21</v>
      </c>
    </row>
    <row r="7220" spans="1:19" x14ac:dyDescent="0.2">
      <c r="A7220" s="12">
        <v>46014</v>
      </c>
      <c r="B7220" s="5" t="s">
        <v>3</v>
      </c>
      <c r="C7220" s="6">
        <v>0.73472222222222228</v>
      </c>
      <c r="D7220" s="5">
        <v>0</v>
      </c>
      <c r="E7220" s="5">
        <v>5</v>
      </c>
      <c r="F7220" s="5" t="s">
        <v>9</v>
      </c>
      <c r="G7220" s="15" t="s">
        <v>8</v>
      </c>
      <c r="H7220" s="24">
        <v>1.000000003259629</v>
      </c>
      <c r="I7220" s="24">
        <v>1.000000003259629</v>
      </c>
      <c r="J7220" s="24" t="s">
        <v>21</v>
      </c>
      <c r="K7220" s="24" t="s">
        <v>21</v>
      </c>
      <c r="L7220" s="24" t="s">
        <v>21</v>
      </c>
      <c r="M7220" s="24" t="s">
        <v>21</v>
      </c>
      <c r="N7220" s="24" t="s">
        <v>21</v>
      </c>
      <c r="O7220" s="24" t="s">
        <v>21</v>
      </c>
      <c r="P7220" s="24" t="s">
        <v>21</v>
      </c>
      <c r="Q7220" s="24" t="s">
        <v>21</v>
      </c>
      <c r="R7220" s="24" t="s">
        <v>21</v>
      </c>
      <c r="S7220" s="24" t="s">
        <v>21</v>
      </c>
    </row>
    <row r="7221" spans="1:19" x14ac:dyDescent="0.2">
      <c r="A7221" s="12">
        <v>46014</v>
      </c>
      <c r="B7221" s="5" t="s">
        <v>3</v>
      </c>
      <c r="C7221" s="6">
        <v>0.73472222222222228</v>
      </c>
      <c r="D7221" s="5">
        <v>0</v>
      </c>
      <c r="E7221" s="5">
        <v>3</v>
      </c>
      <c r="F7221" s="5" t="s">
        <v>9</v>
      </c>
      <c r="G7221" s="15" t="s">
        <v>8</v>
      </c>
      <c r="H7221" s="24">
        <v>0</v>
      </c>
      <c r="I7221" s="24">
        <v>0</v>
      </c>
      <c r="J7221" s="24" t="s">
        <v>21</v>
      </c>
      <c r="K7221" s="24" t="s">
        <v>21</v>
      </c>
      <c r="L7221" s="24" t="s">
        <v>21</v>
      </c>
      <c r="M7221" s="24" t="s">
        <v>21</v>
      </c>
      <c r="N7221" s="24" t="s">
        <v>21</v>
      </c>
      <c r="O7221" s="24" t="s">
        <v>21</v>
      </c>
      <c r="P7221" s="24" t="s">
        <v>21</v>
      </c>
      <c r="Q7221" s="24" t="s">
        <v>21</v>
      </c>
      <c r="R7221" s="24" t="s">
        <v>21</v>
      </c>
      <c r="S7221" s="24" t="s">
        <v>21</v>
      </c>
    </row>
    <row r="7222" spans="1:19" x14ac:dyDescent="0.2">
      <c r="A7222" s="12">
        <v>46014</v>
      </c>
      <c r="B7222" s="5" t="s">
        <v>3</v>
      </c>
      <c r="C7222" s="6">
        <v>0.74027777777777781</v>
      </c>
      <c r="D7222" s="5">
        <v>0</v>
      </c>
      <c r="E7222" s="5">
        <v>3</v>
      </c>
      <c r="F7222" s="5" t="s">
        <v>9</v>
      </c>
      <c r="G7222" s="15" t="s">
        <v>8</v>
      </c>
      <c r="H7222" s="24">
        <v>7.9999999946448952</v>
      </c>
      <c r="I7222" s="24">
        <v>7.9999999946448952</v>
      </c>
      <c r="J7222" s="24" t="s">
        <v>21</v>
      </c>
      <c r="K7222" s="24" t="s">
        <v>21</v>
      </c>
      <c r="L7222" s="24" t="s">
        <v>21</v>
      </c>
      <c r="M7222" s="24" t="s">
        <v>21</v>
      </c>
      <c r="N7222" s="24" t="s">
        <v>21</v>
      </c>
      <c r="O7222" s="24" t="s">
        <v>21</v>
      </c>
      <c r="P7222" s="24" t="s">
        <v>21</v>
      </c>
      <c r="Q7222" s="24" t="s">
        <v>21</v>
      </c>
      <c r="R7222" s="24" t="s">
        <v>21</v>
      </c>
      <c r="S7222" s="24" t="s">
        <v>21</v>
      </c>
    </row>
    <row r="7223" spans="1:19" x14ac:dyDescent="0.2">
      <c r="A7223" s="12">
        <v>46014</v>
      </c>
      <c r="B7223" s="5" t="s">
        <v>3</v>
      </c>
      <c r="C7223" s="6">
        <v>0.74097222222222225</v>
      </c>
      <c r="D7223" s="5">
        <v>0</v>
      </c>
      <c r="E7223" s="5">
        <v>4</v>
      </c>
      <c r="F7223" s="5" t="s">
        <v>9</v>
      </c>
      <c r="G7223" s="15" t="s">
        <v>8</v>
      </c>
      <c r="H7223" s="24">
        <v>1.000000003259629</v>
      </c>
      <c r="I7223" s="24">
        <v>1.000000003259629</v>
      </c>
      <c r="J7223" s="24" t="s">
        <v>21</v>
      </c>
      <c r="K7223" s="24" t="s">
        <v>21</v>
      </c>
      <c r="L7223" s="24" t="s">
        <v>21</v>
      </c>
      <c r="M7223" s="24" t="s">
        <v>21</v>
      </c>
      <c r="N7223" s="24" t="s">
        <v>21</v>
      </c>
      <c r="O7223" s="24" t="s">
        <v>21</v>
      </c>
      <c r="P7223" s="24" t="s">
        <v>21</v>
      </c>
      <c r="Q7223" s="24" t="s">
        <v>21</v>
      </c>
      <c r="R7223" s="24" t="s">
        <v>21</v>
      </c>
      <c r="S7223" s="24" t="s">
        <v>21</v>
      </c>
    </row>
    <row r="7224" spans="1:19" x14ac:dyDescent="0.2">
      <c r="A7224" s="13">
        <v>46014</v>
      </c>
      <c r="B7224" s="7" t="s">
        <v>3</v>
      </c>
      <c r="C7224" s="8">
        <v>0.74097222222222225</v>
      </c>
      <c r="D7224" s="7">
        <v>0</v>
      </c>
      <c r="E7224" s="7">
        <v>4</v>
      </c>
      <c r="F7224" s="7" t="s">
        <v>9</v>
      </c>
      <c r="G7224" s="16" t="s">
        <v>8</v>
      </c>
      <c r="H7224" s="25">
        <v>0</v>
      </c>
      <c r="I7224" s="25">
        <v>0</v>
      </c>
      <c r="J7224" s="25" t="s">
        <v>21</v>
      </c>
      <c r="K7224" s="25" t="s">
        <v>21</v>
      </c>
      <c r="L7224" s="25" t="s">
        <v>21</v>
      </c>
      <c r="M7224" s="25" t="s">
        <v>21</v>
      </c>
      <c r="N7224" s="25" t="s">
        <v>21</v>
      </c>
      <c r="O7224" s="25" t="s">
        <v>21</v>
      </c>
      <c r="P7224" s="25" t="s">
        <v>21</v>
      </c>
      <c r="Q7224" s="25" t="s">
        <v>21</v>
      </c>
      <c r="R7224" s="25" t="s">
        <v>21</v>
      </c>
      <c r="S7224" s="25" t="s">
        <v>21</v>
      </c>
    </row>
    <row r="7225" spans="1:19" x14ac:dyDescent="0.2">
      <c r="A7225" s="12">
        <v>46015</v>
      </c>
      <c r="B7225" s="5" t="str">
        <f t="shared" ref="A7225:C7225" si="1406">B7224</f>
        <v>Northern Cardinal</v>
      </c>
      <c r="C7225" s="6">
        <f t="shared" si="1406"/>
        <v>0.74097222222222225</v>
      </c>
      <c r="D7225" s="5"/>
      <c r="E7225" s="5"/>
      <c r="F7225" s="5" t="s">
        <v>9</v>
      </c>
      <c r="G7225" s="15" t="s">
        <v>8</v>
      </c>
      <c r="H7225" s="24">
        <f t="shared" ref="H7132:H7386" si="1407">IFERROR((($A7225+$C7225) - ($A7224+$C7224))*24*60, "")</f>
        <v>1440</v>
      </c>
      <c r="I7225" s="24" cm="1">
        <f t="array" ref="I7225">IFERROR(IF($B7225=I$1, ($A7225+$C7225) - MAX(IF($B$2:$B7224=$B7225, $A$2:$A7224+$C$2:$C7224)), "")*24*60, "")</f>
        <v>1440</v>
      </c>
      <c r="J7225" s="24" t="str" cm="1">
        <f t="array" ref="J7225">IFERROR(IF($B7225=J$1, ($A7225+$C7225) - MAX(IF($B$2:$B7224=$B7225, $A$2:$A7224+$C$2:$C7224)), "")*24*60, "")</f>
        <v/>
      </c>
      <c r="K7225" s="24" t="str" cm="1">
        <f t="array" ref="K7225">IFERROR(IF($B7225=K$1, ($A7225+$C7225) - MAX(IF($B$2:$B7224=$B7225, $A$2:$A7224+$C$2:$C7224)), "")*24*60, "")</f>
        <v/>
      </c>
      <c r="L7225" s="24" t="str" cm="1">
        <f t="array" ref="L7225">IFERROR(IF($B7225=L$1, ($A7225+$C7225) - MAX(IF($B$2:$B7224=$B7225, $A$2:$A7224+$C$2:$C7224)), "")*24*60, "")</f>
        <v/>
      </c>
      <c r="M7225" s="24" t="str" cm="1">
        <f t="array" ref="M7225">IFERROR(IF($B7225=M$1, ($A7225+$C7225) - MAX(IF($B$2:$B7224=$B7225, $A$2:$A7224+$C$2:$C7224)), "")*24*60, "")</f>
        <v/>
      </c>
      <c r="N7225" s="24" t="str" cm="1">
        <f t="array" ref="N7225">IFERROR(IF($B7225=N$1, ($A7225+$C7225) - MAX(IF($B$2:$B7224=$B7225, $A$2:$A7224+$C$2:$C7224)), "")*24*60, "")</f>
        <v/>
      </c>
      <c r="O7225" s="24" t="str" cm="1">
        <f t="array" ref="O7225">IFERROR(IF($B7225=O$1, ($A7225+$C7225) - MAX(IF($B$2:$B7224=$B7225, $A$2:$A7224+$C$2:$C7224)), "")*24*60, "")</f>
        <v/>
      </c>
      <c r="P7225" s="24" t="str" cm="1">
        <f t="array" ref="P7225">IFERROR(IF($B7225=P$1, ($A7225+$C7225) - MAX(IF($B$2:$B7224=$B7225, $A$2:$A7224+$C$2:$C7224)), "")*24*60, "")</f>
        <v/>
      </c>
      <c r="Q7225" s="24" t="str" cm="1">
        <f t="array" ref="Q7225">IFERROR(IF($B7225=Q$1, ($A7225+$C7225) - MAX(IF($B$2:$B7224=$B7225, $A$2:$A7224+$C$2:$C7224)), "")*24*60, "")</f>
        <v/>
      </c>
      <c r="R7225" s="24" t="str" cm="1">
        <f t="array" ref="R7225">IFERROR(IF($B7225=R$1, ($A7225+$C7225) - MAX(IF($B$2:$B7224=$B7225, $A$2:$A7224+$C$2:$C7224)), "")*24*60, "")</f>
        <v/>
      </c>
      <c r="S7225" s="24" t="str" cm="1">
        <f t="array" ref="S7225">IFERROR(IF($B7225=S$1, ($A7225+$C7225) - MAX(IF($B$2:$B7224=$B7225, $A$2:$A7224+$C$2:$C7224)), "")*24*60, "")</f>
        <v/>
      </c>
    </row>
    <row r="7226" spans="1:19" x14ac:dyDescent="0.2">
      <c r="A7226" s="12">
        <f t="shared" ref="A7226:C7226" si="1408">A7225</f>
        <v>46015</v>
      </c>
      <c r="B7226" s="5" t="str">
        <f t="shared" si="1408"/>
        <v>Northern Cardinal</v>
      </c>
      <c r="C7226" s="6">
        <f t="shared" si="1408"/>
        <v>0.74097222222222225</v>
      </c>
      <c r="D7226" s="5"/>
      <c r="E7226" s="5"/>
      <c r="F7226" s="5" t="s">
        <v>9</v>
      </c>
      <c r="G7226" s="15" t="s">
        <v>8</v>
      </c>
      <c r="H7226" s="24">
        <f t="shared" si="1407"/>
        <v>0</v>
      </c>
      <c r="I7226" s="24" cm="1">
        <f t="array" ref="I7226">IFERROR(IF($B7226=I$1, ($A7226+$C7226) - MAX(IF($B$2:$B7225=$B7226, $A$2:$A7225+$C$2:$C7225)), "")*24*60, "")</f>
        <v>0</v>
      </c>
      <c r="J7226" s="24" t="str" cm="1">
        <f t="array" ref="J7226">IFERROR(IF($B7226=J$1, ($A7226+$C7226) - MAX(IF($B$2:$B7225=$B7226, $A$2:$A7225+$C$2:$C7225)), "")*24*60, "")</f>
        <v/>
      </c>
      <c r="K7226" s="24" t="str" cm="1">
        <f t="array" ref="K7226">IFERROR(IF($B7226=K$1, ($A7226+$C7226) - MAX(IF($B$2:$B7225=$B7226, $A$2:$A7225+$C$2:$C7225)), "")*24*60, "")</f>
        <v/>
      </c>
      <c r="L7226" s="24" t="str" cm="1">
        <f t="array" ref="L7226">IFERROR(IF($B7226=L$1, ($A7226+$C7226) - MAX(IF($B$2:$B7225=$B7226, $A$2:$A7225+$C$2:$C7225)), "")*24*60, "")</f>
        <v/>
      </c>
      <c r="M7226" s="24" t="str" cm="1">
        <f t="array" ref="M7226">IFERROR(IF($B7226=M$1, ($A7226+$C7226) - MAX(IF($B$2:$B7225=$B7226, $A$2:$A7225+$C$2:$C7225)), "")*24*60, "")</f>
        <v/>
      </c>
      <c r="N7226" s="24" t="str" cm="1">
        <f t="array" ref="N7226">IFERROR(IF($B7226=N$1, ($A7226+$C7226) - MAX(IF($B$2:$B7225=$B7226, $A$2:$A7225+$C$2:$C7225)), "")*24*60, "")</f>
        <v/>
      </c>
      <c r="O7226" s="24" t="str" cm="1">
        <f t="array" ref="O7226">IFERROR(IF($B7226=O$1, ($A7226+$C7226) - MAX(IF($B$2:$B7225=$B7226, $A$2:$A7225+$C$2:$C7225)), "")*24*60, "")</f>
        <v/>
      </c>
      <c r="P7226" s="24" t="str" cm="1">
        <f t="array" ref="P7226">IFERROR(IF($B7226=P$1, ($A7226+$C7226) - MAX(IF($B$2:$B7225=$B7226, $A$2:$A7225+$C$2:$C7225)), "")*24*60, "")</f>
        <v/>
      </c>
      <c r="Q7226" s="24" t="str" cm="1">
        <f t="array" ref="Q7226">IFERROR(IF($B7226=Q$1, ($A7226+$C7226) - MAX(IF($B$2:$B7225=$B7226, $A$2:$A7225+$C$2:$C7225)), "")*24*60, "")</f>
        <v/>
      </c>
      <c r="R7226" s="24" t="str" cm="1">
        <f t="array" ref="R7226">IFERROR(IF($B7226=R$1, ($A7226+$C7226) - MAX(IF($B$2:$B7225=$B7226, $A$2:$A7225+$C$2:$C7225)), "")*24*60, "")</f>
        <v/>
      </c>
      <c r="S7226" s="24" t="str" cm="1">
        <f t="array" ref="S7226">IFERROR(IF($B7226=S$1, ($A7226+$C7226) - MAX(IF($B$2:$B7225=$B7226, $A$2:$A7225+$C$2:$C7225)), "")*24*60, "")</f>
        <v/>
      </c>
    </row>
    <row r="7227" spans="1:19" x14ac:dyDescent="0.2">
      <c r="A7227" s="12">
        <f t="shared" ref="A7227:C7227" si="1409">A7226</f>
        <v>46015</v>
      </c>
      <c r="B7227" s="5" t="str">
        <f t="shared" si="1409"/>
        <v>Northern Cardinal</v>
      </c>
      <c r="C7227" s="6">
        <f t="shared" si="1409"/>
        <v>0.74097222222222225</v>
      </c>
      <c r="D7227" s="5"/>
      <c r="E7227" s="5"/>
      <c r="F7227" s="5" t="s">
        <v>9</v>
      </c>
      <c r="G7227" s="15" t="s">
        <v>8</v>
      </c>
      <c r="H7227" s="24">
        <f t="shared" si="1407"/>
        <v>0</v>
      </c>
      <c r="I7227" s="24" cm="1">
        <f t="array" ref="I7227">IFERROR(IF($B7227=I$1, ($A7227+$C7227) - MAX(IF($B$2:$B7226=$B7227, $A$2:$A7226+$C$2:$C7226)), "")*24*60, "")</f>
        <v>0</v>
      </c>
      <c r="J7227" s="24" t="str" cm="1">
        <f t="array" ref="J7227">IFERROR(IF($B7227=J$1, ($A7227+$C7227) - MAX(IF($B$2:$B7226=$B7227, $A$2:$A7226+$C$2:$C7226)), "")*24*60, "")</f>
        <v/>
      </c>
      <c r="K7227" s="24" t="str" cm="1">
        <f t="array" ref="K7227">IFERROR(IF($B7227=K$1, ($A7227+$C7227) - MAX(IF($B$2:$B7226=$B7227, $A$2:$A7226+$C$2:$C7226)), "")*24*60, "")</f>
        <v/>
      </c>
      <c r="L7227" s="24" t="str" cm="1">
        <f t="array" ref="L7227">IFERROR(IF($B7227=L$1, ($A7227+$C7227) - MAX(IF($B$2:$B7226=$B7227, $A$2:$A7226+$C$2:$C7226)), "")*24*60, "")</f>
        <v/>
      </c>
      <c r="M7227" s="24" t="str" cm="1">
        <f t="array" ref="M7227">IFERROR(IF($B7227=M$1, ($A7227+$C7227) - MAX(IF($B$2:$B7226=$B7227, $A$2:$A7226+$C$2:$C7226)), "")*24*60, "")</f>
        <v/>
      </c>
      <c r="N7227" s="24" t="str" cm="1">
        <f t="array" ref="N7227">IFERROR(IF($B7227=N$1, ($A7227+$C7227) - MAX(IF($B$2:$B7226=$B7227, $A$2:$A7226+$C$2:$C7226)), "")*24*60, "")</f>
        <v/>
      </c>
      <c r="O7227" s="24" t="str" cm="1">
        <f t="array" ref="O7227">IFERROR(IF($B7227=O$1, ($A7227+$C7227) - MAX(IF($B$2:$B7226=$B7227, $A$2:$A7226+$C$2:$C7226)), "")*24*60, "")</f>
        <v/>
      </c>
      <c r="P7227" s="24" t="str" cm="1">
        <f t="array" ref="P7227">IFERROR(IF($B7227=P$1, ($A7227+$C7227) - MAX(IF($B$2:$B7226=$B7227, $A$2:$A7226+$C$2:$C7226)), "")*24*60, "")</f>
        <v/>
      </c>
      <c r="Q7227" s="24" t="str" cm="1">
        <f t="array" ref="Q7227">IFERROR(IF($B7227=Q$1, ($A7227+$C7227) - MAX(IF($B$2:$B7226=$B7227, $A$2:$A7226+$C$2:$C7226)), "")*24*60, "")</f>
        <v/>
      </c>
      <c r="R7227" s="24" t="str" cm="1">
        <f t="array" ref="R7227">IFERROR(IF($B7227=R$1, ($A7227+$C7227) - MAX(IF($B$2:$B7226=$B7227, $A$2:$A7226+$C$2:$C7226)), "")*24*60, "")</f>
        <v/>
      </c>
      <c r="S7227" s="24" t="str" cm="1">
        <f t="array" ref="S7227">IFERROR(IF($B7227=S$1, ($A7227+$C7227) - MAX(IF($B$2:$B7226=$B7227, $A$2:$A7226+$C$2:$C7226)), "")*24*60, "")</f>
        <v/>
      </c>
    </row>
    <row r="7228" spans="1:19" x14ac:dyDescent="0.2">
      <c r="A7228" s="12">
        <f t="shared" ref="A7228:C7228" si="1410">A7227</f>
        <v>46015</v>
      </c>
      <c r="B7228" s="5" t="str">
        <f t="shared" si="1410"/>
        <v>Northern Cardinal</v>
      </c>
      <c r="C7228" s="6">
        <f t="shared" si="1410"/>
        <v>0.74097222222222225</v>
      </c>
      <c r="D7228" s="5"/>
      <c r="E7228" s="5"/>
      <c r="F7228" s="5" t="s">
        <v>9</v>
      </c>
      <c r="G7228" s="15" t="s">
        <v>8</v>
      </c>
      <c r="H7228" s="24">
        <f t="shared" si="1407"/>
        <v>0</v>
      </c>
      <c r="I7228" s="24" cm="1">
        <f t="array" ref="I7228">IFERROR(IF($B7228=I$1, ($A7228+$C7228) - MAX(IF($B$2:$B7227=$B7228, $A$2:$A7227+$C$2:$C7227)), "")*24*60, "")</f>
        <v>0</v>
      </c>
      <c r="J7228" s="24" t="str" cm="1">
        <f t="array" ref="J7228">IFERROR(IF($B7228=J$1, ($A7228+$C7228) - MAX(IF($B$2:$B7227=$B7228, $A$2:$A7227+$C$2:$C7227)), "")*24*60, "")</f>
        <v/>
      </c>
      <c r="K7228" s="24" t="str" cm="1">
        <f t="array" ref="K7228">IFERROR(IF($B7228=K$1, ($A7228+$C7228) - MAX(IF($B$2:$B7227=$B7228, $A$2:$A7227+$C$2:$C7227)), "")*24*60, "")</f>
        <v/>
      </c>
      <c r="L7228" s="24" t="str" cm="1">
        <f t="array" ref="L7228">IFERROR(IF($B7228=L$1, ($A7228+$C7228) - MAX(IF($B$2:$B7227=$B7228, $A$2:$A7227+$C$2:$C7227)), "")*24*60, "")</f>
        <v/>
      </c>
      <c r="M7228" s="24" t="str" cm="1">
        <f t="array" ref="M7228">IFERROR(IF($B7228=M$1, ($A7228+$C7228) - MAX(IF($B$2:$B7227=$B7228, $A$2:$A7227+$C$2:$C7227)), "")*24*60, "")</f>
        <v/>
      </c>
      <c r="N7228" s="24" t="str" cm="1">
        <f t="array" ref="N7228">IFERROR(IF($B7228=N$1, ($A7228+$C7228) - MAX(IF($B$2:$B7227=$B7228, $A$2:$A7227+$C$2:$C7227)), "")*24*60, "")</f>
        <v/>
      </c>
      <c r="O7228" s="24" t="str" cm="1">
        <f t="array" ref="O7228">IFERROR(IF($B7228=O$1, ($A7228+$C7228) - MAX(IF($B$2:$B7227=$B7228, $A$2:$A7227+$C$2:$C7227)), "")*24*60, "")</f>
        <v/>
      </c>
      <c r="P7228" s="24" t="str" cm="1">
        <f t="array" ref="P7228">IFERROR(IF($B7228=P$1, ($A7228+$C7228) - MAX(IF($B$2:$B7227=$B7228, $A$2:$A7227+$C$2:$C7227)), "")*24*60, "")</f>
        <v/>
      </c>
      <c r="Q7228" s="24" t="str" cm="1">
        <f t="array" ref="Q7228">IFERROR(IF($B7228=Q$1, ($A7228+$C7228) - MAX(IF($B$2:$B7227=$B7228, $A$2:$A7227+$C$2:$C7227)), "")*24*60, "")</f>
        <v/>
      </c>
      <c r="R7228" s="24" t="str" cm="1">
        <f t="array" ref="R7228">IFERROR(IF($B7228=R$1, ($A7228+$C7228) - MAX(IF($B$2:$B7227=$B7228, $A$2:$A7227+$C$2:$C7227)), "")*24*60, "")</f>
        <v/>
      </c>
      <c r="S7228" s="24" t="str" cm="1">
        <f t="array" ref="S7228">IFERROR(IF($B7228=S$1, ($A7228+$C7228) - MAX(IF($B$2:$B7227=$B7228, $A$2:$A7227+$C$2:$C7227)), "")*24*60, "")</f>
        <v/>
      </c>
    </row>
    <row r="7229" spans="1:19" x14ac:dyDescent="0.2">
      <c r="A7229" s="12">
        <f t="shared" ref="A7229:C7229" si="1411">A7228</f>
        <v>46015</v>
      </c>
      <c r="B7229" s="5" t="str">
        <f t="shared" si="1411"/>
        <v>Northern Cardinal</v>
      </c>
      <c r="C7229" s="6">
        <f t="shared" si="1411"/>
        <v>0.74097222222222225</v>
      </c>
      <c r="D7229" s="5"/>
      <c r="E7229" s="5"/>
      <c r="F7229" s="5" t="s">
        <v>9</v>
      </c>
      <c r="G7229" s="15" t="s">
        <v>8</v>
      </c>
      <c r="H7229" s="24">
        <f t="shared" si="1407"/>
        <v>0</v>
      </c>
      <c r="I7229" s="24" cm="1">
        <f t="array" ref="I7229">IFERROR(IF($B7229=I$1, ($A7229+$C7229) - MAX(IF($B$2:$B7228=$B7229, $A$2:$A7228+$C$2:$C7228)), "")*24*60, "")</f>
        <v>0</v>
      </c>
      <c r="J7229" s="24" t="str" cm="1">
        <f t="array" ref="J7229">IFERROR(IF($B7229=J$1, ($A7229+$C7229) - MAX(IF($B$2:$B7228=$B7229, $A$2:$A7228+$C$2:$C7228)), "")*24*60, "")</f>
        <v/>
      </c>
      <c r="K7229" s="24" t="str" cm="1">
        <f t="array" ref="K7229">IFERROR(IF($B7229=K$1, ($A7229+$C7229) - MAX(IF($B$2:$B7228=$B7229, $A$2:$A7228+$C$2:$C7228)), "")*24*60, "")</f>
        <v/>
      </c>
      <c r="L7229" s="24" t="str" cm="1">
        <f t="array" ref="L7229">IFERROR(IF($B7229=L$1, ($A7229+$C7229) - MAX(IF($B$2:$B7228=$B7229, $A$2:$A7228+$C$2:$C7228)), "")*24*60, "")</f>
        <v/>
      </c>
      <c r="M7229" s="24" t="str" cm="1">
        <f t="array" ref="M7229">IFERROR(IF($B7229=M$1, ($A7229+$C7229) - MAX(IF($B$2:$B7228=$B7229, $A$2:$A7228+$C$2:$C7228)), "")*24*60, "")</f>
        <v/>
      </c>
      <c r="N7229" s="24" t="str" cm="1">
        <f t="array" ref="N7229">IFERROR(IF($B7229=N$1, ($A7229+$C7229) - MAX(IF($B$2:$B7228=$B7229, $A$2:$A7228+$C$2:$C7228)), "")*24*60, "")</f>
        <v/>
      </c>
      <c r="O7229" s="24" t="str" cm="1">
        <f t="array" ref="O7229">IFERROR(IF($B7229=O$1, ($A7229+$C7229) - MAX(IF($B$2:$B7228=$B7229, $A$2:$A7228+$C$2:$C7228)), "")*24*60, "")</f>
        <v/>
      </c>
      <c r="P7229" s="24" t="str" cm="1">
        <f t="array" ref="P7229">IFERROR(IF($B7229=P$1, ($A7229+$C7229) - MAX(IF($B$2:$B7228=$B7229, $A$2:$A7228+$C$2:$C7228)), "")*24*60, "")</f>
        <v/>
      </c>
      <c r="Q7229" s="24" t="str" cm="1">
        <f t="array" ref="Q7229">IFERROR(IF($B7229=Q$1, ($A7229+$C7229) - MAX(IF($B$2:$B7228=$B7229, $A$2:$A7228+$C$2:$C7228)), "")*24*60, "")</f>
        <v/>
      </c>
      <c r="R7229" s="24" t="str" cm="1">
        <f t="array" ref="R7229">IFERROR(IF($B7229=R$1, ($A7229+$C7229) - MAX(IF($B$2:$B7228=$B7229, $A$2:$A7228+$C$2:$C7228)), "")*24*60, "")</f>
        <v/>
      </c>
      <c r="S7229" s="24" t="str" cm="1">
        <f t="array" ref="S7229">IFERROR(IF($B7229=S$1, ($A7229+$C7229) - MAX(IF($B$2:$B7228=$B7229, $A$2:$A7228+$C$2:$C7228)), "")*24*60, "")</f>
        <v/>
      </c>
    </row>
    <row r="7230" spans="1:19" x14ac:dyDescent="0.2">
      <c r="A7230" s="12">
        <f t="shared" ref="A7230:C7230" si="1412">A7229</f>
        <v>46015</v>
      </c>
      <c r="B7230" s="5" t="str">
        <f t="shared" si="1412"/>
        <v>Northern Cardinal</v>
      </c>
      <c r="C7230" s="6">
        <f t="shared" si="1412"/>
        <v>0.74097222222222225</v>
      </c>
      <c r="D7230" s="5"/>
      <c r="E7230" s="5"/>
      <c r="F7230" s="5" t="s">
        <v>9</v>
      </c>
      <c r="G7230" s="15" t="s">
        <v>8</v>
      </c>
      <c r="H7230" s="24">
        <f t="shared" si="1407"/>
        <v>0</v>
      </c>
      <c r="I7230" s="24" cm="1">
        <f t="array" ref="I7230">IFERROR(IF($B7230=I$1, ($A7230+$C7230) - MAX(IF($B$2:$B7229=$B7230, $A$2:$A7229+$C$2:$C7229)), "")*24*60, "")</f>
        <v>0</v>
      </c>
      <c r="J7230" s="24" t="str" cm="1">
        <f t="array" ref="J7230">IFERROR(IF($B7230=J$1, ($A7230+$C7230) - MAX(IF($B$2:$B7229=$B7230, $A$2:$A7229+$C$2:$C7229)), "")*24*60, "")</f>
        <v/>
      </c>
      <c r="K7230" s="24" t="str" cm="1">
        <f t="array" ref="K7230">IFERROR(IF($B7230=K$1, ($A7230+$C7230) - MAX(IF($B$2:$B7229=$B7230, $A$2:$A7229+$C$2:$C7229)), "")*24*60, "")</f>
        <v/>
      </c>
      <c r="L7230" s="24" t="str" cm="1">
        <f t="array" ref="L7230">IFERROR(IF($B7230=L$1, ($A7230+$C7230) - MAX(IF($B$2:$B7229=$B7230, $A$2:$A7229+$C$2:$C7229)), "")*24*60, "")</f>
        <v/>
      </c>
      <c r="M7230" s="24" t="str" cm="1">
        <f t="array" ref="M7230">IFERROR(IF($B7230=M$1, ($A7230+$C7230) - MAX(IF($B$2:$B7229=$B7230, $A$2:$A7229+$C$2:$C7229)), "")*24*60, "")</f>
        <v/>
      </c>
      <c r="N7230" s="24" t="str" cm="1">
        <f t="array" ref="N7230">IFERROR(IF($B7230=N$1, ($A7230+$C7230) - MAX(IF($B$2:$B7229=$B7230, $A$2:$A7229+$C$2:$C7229)), "")*24*60, "")</f>
        <v/>
      </c>
      <c r="O7230" s="24" t="str" cm="1">
        <f t="array" ref="O7230">IFERROR(IF($B7230=O$1, ($A7230+$C7230) - MAX(IF($B$2:$B7229=$B7230, $A$2:$A7229+$C$2:$C7229)), "")*24*60, "")</f>
        <v/>
      </c>
      <c r="P7230" s="24" t="str" cm="1">
        <f t="array" ref="P7230">IFERROR(IF($B7230=P$1, ($A7230+$C7230) - MAX(IF($B$2:$B7229=$B7230, $A$2:$A7229+$C$2:$C7229)), "")*24*60, "")</f>
        <v/>
      </c>
      <c r="Q7230" s="24" t="str" cm="1">
        <f t="array" ref="Q7230">IFERROR(IF($B7230=Q$1, ($A7230+$C7230) - MAX(IF($B$2:$B7229=$B7230, $A$2:$A7229+$C$2:$C7229)), "")*24*60, "")</f>
        <v/>
      </c>
      <c r="R7230" s="24" t="str" cm="1">
        <f t="array" ref="R7230">IFERROR(IF($B7230=R$1, ($A7230+$C7230) - MAX(IF($B$2:$B7229=$B7230, $A$2:$A7229+$C$2:$C7229)), "")*24*60, "")</f>
        <v/>
      </c>
      <c r="S7230" s="24" t="str" cm="1">
        <f t="array" ref="S7230">IFERROR(IF($B7230=S$1, ($A7230+$C7230) - MAX(IF($B$2:$B7229=$B7230, $A$2:$A7229+$C$2:$C7229)), "")*24*60, "")</f>
        <v/>
      </c>
    </row>
    <row r="7231" spans="1:19" x14ac:dyDescent="0.2">
      <c r="A7231" s="12">
        <f t="shared" ref="A7231:C7231" si="1413">A7230</f>
        <v>46015</v>
      </c>
      <c r="B7231" s="5" t="str">
        <f t="shared" si="1413"/>
        <v>Northern Cardinal</v>
      </c>
      <c r="C7231" s="6">
        <f t="shared" si="1413"/>
        <v>0.74097222222222225</v>
      </c>
      <c r="D7231" s="5"/>
      <c r="E7231" s="5"/>
      <c r="F7231" s="5" t="s">
        <v>9</v>
      </c>
      <c r="G7231" s="15" t="s">
        <v>8</v>
      </c>
      <c r="H7231" s="24">
        <f t="shared" si="1407"/>
        <v>0</v>
      </c>
      <c r="I7231" s="24" cm="1">
        <f t="array" ref="I7231">IFERROR(IF($B7231=I$1, ($A7231+$C7231) - MAX(IF($B$2:$B7230=$B7231, $A$2:$A7230+$C$2:$C7230)), "")*24*60, "")</f>
        <v>0</v>
      </c>
      <c r="J7231" s="24" t="str" cm="1">
        <f t="array" ref="J7231">IFERROR(IF($B7231=J$1, ($A7231+$C7231) - MAX(IF($B$2:$B7230=$B7231, $A$2:$A7230+$C$2:$C7230)), "")*24*60, "")</f>
        <v/>
      </c>
      <c r="K7231" s="24" t="str" cm="1">
        <f t="array" ref="K7231">IFERROR(IF($B7231=K$1, ($A7231+$C7231) - MAX(IF($B$2:$B7230=$B7231, $A$2:$A7230+$C$2:$C7230)), "")*24*60, "")</f>
        <v/>
      </c>
      <c r="L7231" s="24" t="str" cm="1">
        <f t="array" ref="L7231">IFERROR(IF($B7231=L$1, ($A7231+$C7231) - MAX(IF($B$2:$B7230=$B7231, $A$2:$A7230+$C$2:$C7230)), "")*24*60, "")</f>
        <v/>
      </c>
      <c r="M7231" s="24" t="str" cm="1">
        <f t="array" ref="M7231">IFERROR(IF($B7231=M$1, ($A7231+$C7231) - MAX(IF($B$2:$B7230=$B7231, $A$2:$A7230+$C$2:$C7230)), "")*24*60, "")</f>
        <v/>
      </c>
      <c r="N7231" s="24" t="str" cm="1">
        <f t="array" ref="N7231">IFERROR(IF($B7231=N$1, ($A7231+$C7231) - MAX(IF($B$2:$B7230=$B7231, $A$2:$A7230+$C$2:$C7230)), "")*24*60, "")</f>
        <v/>
      </c>
      <c r="O7231" s="24" t="str" cm="1">
        <f t="array" ref="O7231">IFERROR(IF($B7231=O$1, ($A7231+$C7231) - MAX(IF($B$2:$B7230=$B7231, $A$2:$A7230+$C$2:$C7230)), "")*24*60, "")</f>
        <v/>
      </c>
      <c r="P7231" s="24" t="str" cm="1">
        <f t="array" ref="P7231">IFERROR(IF($B7231=P$1, ($A7231+$C7231) - MAX(IF($B$2:$B7230=$B7231, $A$2:$A7230+$C$2:$C7230)), "")*24*60, "")</f>
        <v/>
      </c>
      <c r="Q7231" s="24" t="str" cm="1">
        <f t="array" ref="Q7231">IFERROR(IF($B7231=Q$1, ($A7231+$C7231) - MAX(IF($B$2:$B7230=$B7231, $A$2:$A7230+$C$2:$C7230)), "")*24*60, "")</f>
        <v/>
      </c>
      <c r="R7231" s="24" t="str" cm="1">
        <f t="array" ref="R7231">IFERROR(IF($B7231=R$1, ($A7231+$C7231) - MAX(IF($B$2:$B7230=$B7231, $A$2:$A7230+$C$2:$C7230)), "")*24*60, "")</f>
        <v/>
      </c>
      <c r="S7231" s="24" t="str" cm="1">
        <f t="array" ref="S7231">IFERROR(IF($B7231=S$1, ($A7231+$C7231) - MAX(IF($B$2:$B7230=$B7231, $A$2:$A7230+$C$2:$C7230)), "")*24*60, "")</f>
        <v/>
      </c>
    </row>
    <row r="7232" spans="1:19" x14ac:dyDescent="0.2">
      <c r="A7232" s="12">
        <f t="shared" ref="A7232:C7232" si="1414">A7231</f>
        <v>46015</v>
      </c>
      <c r="B7232" s="5" t="str">
        <f t="shared" si="1414"/>
        <v>Northern Cardinal</v>
      </c>
      <c r="C7232" s="6">
        <f t="shared" si="1414"/>
        <v>0.74097222222222225</v>
      </c>
      <c r="D7232" s="5"/>
      <c r="E7232" s="5"/>
      <c r="F7232" s="5" t="s">
        <v>9</v>
      </c>
      <c r="G7232" s="15" t="s">
        <v>8</v>
      </c>
      <c r="H7232" s="24">
        <f t="shared" si="1407"/>
        <v>0</v>
      </c>
      <c r="I7232" s="24" cm="1">
        <f t="array" ref="I7232">IFERROR(IF($B7232=I$1, ($A7232+$C7232) - MAX(IF($B$2:$B7231=$B7232, $A$2:$A7231+$C$2:$C7231)), "")*24*60, "")</f>
        <v>0</v>
      </c>
      <c r="J7232" s="24" t="str" cm="1">
        <f t="array" ref="J7232">IFERROR(IF($B7232=J$1, ($A7232+$C7232) - MAX(IF($B$2:$B7231=$B7232, $A$2:$A7231+$C$2:$C7231)), "")*24*60, "")</f>
        <v/>
      </c>
      <c r="K7232" s="24" t="str" cm="1">
        <f t="array" ref="K7232">IFERROR(IF($B7232=K$1, ($A7232+$C7232) - MAX(IF($B$2:$B7231=$B7232, $A$2:$A7231+$C$2:$C7231)), "")*24*60, "")</f>
        <v/>
      </c>
      <c r="L7232" s="24" t="str" cm="1">
        <f t="array" ref="L7232">IFERROR(IF($B7232=L$1, ($A7232+$C7232) - MAX(IF($B$2:$B7231=$B7232, $A$2:$A7231+$C$2:$C7231)), "")*24*60, "")</f>
        <v/>
      </c>
      <c r="M7232" s="24" t="str" cm="1">
        <f t="array" ref="M7232">IFERROR(IF($B7232=M$1, ($A7232+$C7232) - MAX(IF($B$2:$B7231=$B7232, $A$2:$A7231+$C$2:$C7231)), "")*24*60, "")</f>
        <v/>
      </c>
      <c r="N7232" s="24" t="str" cm="1">
        <f t="array" ref="N7232">IFERROR(IF($B7232=N$1, ($A7232+$C7232) - MAX(IF($B$2:$B7231=$B7232, $A$2:$A7231+$C$2:$C7231)), "")*24*60, "")</f>
        <v/>
      </c>
      <c r="O7232" s="24" t="str" cm="1">
        <f t="array" ref="O7232">IFERROR(IF($B7232=O$1, ($A7232+$C7232) - MAX(IF($B$2:$B7231=$B7232, $A$2:$A7231+$C$2:$C7231)), "")*24*60, "")</f>
        <v/>
      </c>
      <c r="P7232" s="24" t="str" cm="1">
        <f t="array" ref="P7232">IFERROR(IF($B7232=P$1, ($A7232+$C7232) - MAX(IF($B$2:$B7231=$B7232, $A$2:$A7231+$C$2:$C7231)), "")*24*60, "")</f>
        <v/>
      </c>
      <c r="Q7232" s="24" t="str" cm="1">
        <f t="array" ref="Q7232">IFERROR(IF($B7232=Q$1, ($A7232+$C7232) - MAX(IF($B$2:$B7231=$B7232, $A$2:$A7231+$C$2:$C7231)), "")*24*60, "")</f>
        <v/>
      </c>
      <c r="R7232" s="24" t="str" cm="1">
        <f t="array" ref="R7232">IFERROR(IF($B7232=R$1, ($A7232+$C7232) - MAX(IF($B$2:$B7231=$B7232, $A$2:$A7231+$C$2:$C7231)), "")*24*60, "")</f>
        <v/>
      </c>
      <c r="S7232" s="24" t="str" cm="1">
        <f t="array" ref="S7232">IFERROR(IF($B7232=S$1, ($A7232+$C7232) - MAX(IF($B$2:$B7231=$B7232, $A$2:$A7231+$C$2:$C7231)), "")*24*60, "")</f>
        <v/>
      </c>
    </row>
    <row r="7233" spans="1:19" x14ac:dyDescent="0.2">
      <c r="A7233" s="12">
        <f t="shared" ref="A7233:C7233" si="1415">A7232</f>
        <v>46015</v>
      </c>
      <c r="B7233" s="5" t="str">
        <f t="shared" si="1415"/>
        <v>Northern Cardinal</v>
      </c>
      <c r="C7233" s="6">
        <f t="shared" si="1415"/>
        <v>0.74097222222222225</v>
      </c>
      <c r="D7233" s="5"/>
      <c r="E7233" s="5"/>
      <c r="F7233" s="5" t="s">
        <v>9</v>
      </c>
      <c r="G7233" s="15" t="s">
        <v>8</v>
      </c>
      <c r="H7233" s="24">
        <f t="shared" si="1407"/>
        <v>0</v>
      </c>
      <c r="I7233" s="24" cm="1">
        <f t="array" ref="I7233">IFERROR(IF($B7233=I$1, ($A7233+$C7233) - MAX(IF($B$2:$B7232=$B7233, $A$2:$A7232+$C$2:$C7232)), "")*24*60, "")</f>
        <v>0</v>
      </c>
      <c r="J7233" s="24" t="str" cm="1">
        <f t="array" ref="J7233">IFERROR(IF($B7233=J$1, ($A7233+$C7233) - MAX(IF($B$2:$B7232=$B7233, $A$2:$A7232+$C$2:$C7232)), "")*24*60, "")</f>
        <v/>
      </c>
      <c r="K7233" s="24" t="str" cm="1">
        <f t="array" ref="K7233">IFERROR(IF($B7233=K$1, ($A7233+$C7233) - MAX(IF($B$2:$B7232=$B7233, $A$2:$A7232+$C$2:$C7232)), "")*24*60, "")</f>
        <v/>
      </c>
      <c r="L7233" s="24" t="str" cm="1">
        <f t="array" ref="L7233">IFERROR(IF($B7233=L$1, ($A7233+$C7233) - MAX(IF($B$2:$B7232=$B7233, $A$2:$A7232+$C$2:$C7232)), "")*24*60, "")</f>
        <v/>
      </c>
      <c r="M7233" s="24" t="str" cm="1">
        <f t="array" ref="M7233">IFERROR(IF($B7233=M$1, ($A7233+$C7233) - MAX(IF($B$2:$B7232=$B7233, $A$2:$A7232+$C$2:$C7232)), "")*24*60, "")</f>
        <v/>
      </c>
      <c r="N7233" s="24" t="str" cm="1">
        <f t="array" ref="N7233">IFERROR(IF($B7233=N$1, ($A7233+$C7233) - MAX(IF($B$2:$B7232=$B7233, $A$2:$A7232+$C$2:$C7232)), "")*24*60, "")</f>
        <v/>
      </c>
      <c r="O7233" s="24" t="str" cm="1">
        <f t="array" ref="O7233">IFERROR(IF($B7233=O$1, ($A7233+$C7233) - MAX(IF($B$2:$B7232=$B7233, $A$2:$A7232+$C$2:$C7232)), "")*24*60, "")</f>
        <v/>
      </c>
      <c r="P7233" s="24" t="str" cm="1">
        <f t="array" ref="P7233">IFERROR(IF($B7233=P$1, ($A7233+$C7233) - MAX(IF($B$2:$B7232=$B7233, $A$2:$A7232+$C$2:$C7232)), "")*24*60, "")</f>
        <v/>
      </c>
      <c r="Q7233" s="24" t="str" cm="1">
        <f t="array" ref="Q7233">IFERROR(IF($B7233=Q$1, ($A7233+$C7233) - MAX(IF($B$2:$B7232=$B7233, $A$2:$A7232+$C$2:$C7232)), "")*24*60, "")</f>
        <v/>
      </c>
      <c r="R7233" s="24" t="str" cm="1">
        <f t="array" ref="R7233">IFERROR(IF($B7233=R$1, ($A7233+$C7233) - MAX(IF($B$2:$B7232=$B7233, $A$2:$A7232+$C$2:$C7232)), "")*24*60, "")</f>
        <v/>
      </c>
      <c r="S7233" s="24" t="str" cm="1">
        <f t="array" ref="S7233">IFERROR(IF($B7233=S$1, ($A7233+$C7233) - MAX(IF($B$2:$B7232=$B7233, $A$2:$A7232+$C$2:$C7232)), "")*24*60, "")</f>
        <v/>
      </c>
    </row>
    <row r="7234" spans="1:19" x14ac:dyDescent="0.2">
      <c r="A7234" s="12">
        <f t="shared" ref="A7234:C7234" si="1416">A7233</f>
        <v>46015</v>
      </c>
      <c r="B7234" s="5" t="str">
        <f t="shared" si="1416"/>
        <v>Northern Cardinal</v>
      </c>
      <c r="C7234" s="6">
        <f t="shared" si="1416"/>
        <v>0.74097222222222225</v>
      </c>
      <c r="D7234" s="5"/>
      <c r="E7234" s="5"/>
      <c r="F7234" s="5" t="s">
        <v>9</v>
      </c>
      <c r="G7234" s="15" t="s">
        <v>8</v>
      </c>
      <c r="H7234" s="24">
        <f t="shared" si="1407"/>
        <v>0</v>
      </c>
      <c r="I7234" s="24" cm="1">
        <f t="array" ref="I7234">IFERROR(IF($B7234=I$1, ($A7234+$C7234) - MAX(IF($B$2:$B7233=$B7234, $A$2:$A7233+$C$2:$C7233)), "")*24*60, "")</f>
        <v>0</v>
      </c>
      <c r="J7234" s="24" t="str" cm="1">
        <f t="array" ref="J7234">IFERROR(IF($B7234=J$1, ($A7234+$C7234) - MAX(IF($B$2:$B7233=$B7234, $A$2:$A7233+$C$2:$C7233)), "")*24*60, "")</f>
        <v/>
      </c>
      <c r="K7234" s="24" t="str" cm="1">
        <f t="array" ref="K7234">IFERROR(IF($B7234=K$1, ($A7234+$C7234) - MAX(IF($B$2:$B7233=$B7234, $A$2:$A7233+$C$2:$C7233)), "")*24*60, "")</f>
        <v/>
      </c>
      <c r="L7234" s="24" t="str" cm="1">
        <f t="array" ref="L7234">IFERROR(IF($B7234=L$1, ($A7234+$C7234) - MAX(IF($B$2:$B7233=$B7234, $A$2:$A7233+$C$2:$C7233)), "")*24*60, "")</f>
        <v/>
      </c>
      <c r="M7234" s="24" t="str" cm="1">
        <f t="array" ref="M7234">IFERROR(IF($B7234=M$1, ($A7234+$C7234) - MAX(IF($B$2:$B7233=$B7234, $A$2:$A7233+$C$2:$C7233)), "")*24*60, "")</f>
        <v/>
      </c>
      <c r="N7234" s="24" t="str" cm="1">
        <f t="array" ref="N7234">IFERROR(IF($B7234=N$1, ($A7234+$C7234) - MAX(IF($B$2:$B7233=$B7234, $A$2:$A7233+$C$2:$C7233)), "")*24*60, "")</f>
        <v/>
      </c>
      <c r="O7234" s="24" t="str" cm="1">
        <f t="array" ref="O7234">IFERROR(IF($B7234=O$1, ($A7234+$C7234) - MAX(IF($B$2:$B7233=$B7234, $A$2:$A7233+$C$2:$C7233)), "")*24*60, "")</f>
        <v/>
      </c>
      <c r="P7234" s="24" t="str" cm="1">
        <f t="array" ref="P7234">IFERROR(IF($B7234=P$1, ($A7234+$C7234) - MAX(IF($B$2:$B7233=$B7234, $A$2:$A7233+$C$2:$C7233)), "")*24*60, "")</f>
        <v/>
      </c>
      <c r="Q7234" s="24" t="str" cm="1">
        <f t="array" ref="Q7234">IFERROR(IF($B7234=Q$1, ($A7234+$C7234) - MAX(IF($B$2:$B7233=$B7234, $A$2:$A7233+$C$2:$C7233)), "")*24*60, "")</f>
        <v/>
      </c>
      <c r="R7234" s="24" t="str" cm="1">
        <f t="array" ref="R7234">IFERROR(IF($B7234=R$1, ($A7234+$C7234) - MAX(IF($B$2:$B7233=$B7234, $A$2:$A7233+$C$2:$C7233)), "")*24*60, "")</f>
        <v/>
      </c>
      <c r="S7234" s="24" t="str" cm="1">
        <f t="array" ref="S7234">IFERROR(IF($B7234=S$1, ($A7234+$C7234) - MAX(IF($B$2:$B7233=$B7234, $A$2:$A7233+$C$2:$C7233)), "")*24*60, "")</f>
        <v/>
      </c>
    </row>
    <row r="7235" spans="1:19" x14ac:dyDescent="0.2">
      <c r="A7235" s="12">
        <f t="shared" ref="A7235:C7235" si="1417">A7234</f>
        <v>46015</v>
      </c>
      <c r="B7235" s="5" t="str">
        <f t="shared" si="1417"/>
        <v>Northern Cardinal</v>
      </c>
      <c r="C7235" s="6">
        <f t="shared" si="1417"/>
        <v>0.74097222222222225</v>
      </c>
      <c r="D7235" s="5"/>
      <c r="E7235" s="5"/>
      <c r="F7235" s="5" t="s">
        <v>9</v>
      </c>
      <c r="G7235" s="15" t="s">
        <v>8</v>
      </c>
      <c r="H7235" s="24">
        <f t="shared" si="1407"/>
        <v>0</v>
      </c>
      <c r="I7235" s="24" cm="1">
        <f t="array" ref="I7235">IFERROR(IF($B7235=I$1, ($A7235+$C7235) - MAX(IF($B$2:$B7234=$B7235, $A$2:$A7234+$C$2:$C7234)), "")*24*60, "")</f>
        <v>0</v>
      </c>
      <c r="J7235" s="24" t="str" cm="1">
        <f t="array" ref="J7235">IFERROR(IF($B7235=J$1, ($A7235+$C7235) - MAX(IF($B$2:$B7234=$B7235, $A$2:$A7234+$C$2:$C7234)), "")*24*60, "")</f>
        <v/>
      </c>
      <c r="K7235" s="24" t="str" cm="1">
        <f t="array" ref="K7235">IFERROR(IF($B7235=K$1, ($A7235+$C7235) - MAX(IF($B$2:$B7234=$B7235, $A$2:$A7234+$C$2:$C7234)), "")*24*60, "")</f>
        <v/>
      </c>
      <c r="L7235" s="24" t="str" cm="1">
        <f t="array" ref="L7235">IFERROR(IF($B7235=L$1, ($A7235+$C7235) - MAX(IF($B$2:$B7234=$B7235, $A$2:$A7234+$C$2:$C7234)), "")*24*60, "")</f>
        <v/>
      </c>
      <c r="M7235" s="24" t="str" cm="1">
        <f t="array" ref="M7235">IFERROR(IF($B7235=M$1, ($A7235+$C7235) - MAX(IF($B$2:$B7234=$B7235, $A$2:$A7234+$C$2:$C7234)), "")*24*60, "")</f>
        <v/>
      </c>
      <c r="N7235" s="24" t="str" cm="1">
        <f t="array" ref="N7235">IFERROR(IF($B7235=N$1, ($A7235+$C7235) - MAX(IF($B$2:$B7234=$B7235, $A$2:$A7234+$C$2:$C7234)), "")*24*60, "")</f>
        <v/>
      </c>
      <c r="O7235" s="24" t="str" cm="1">
        <f t="array" ref="O7235">IFERROR(IF($B7235=O$1, ($A7235+$C7235) - MAX(IF($B$2:$B7234=$B7235, $A$2:$A7234+$C$2:$C7234)), "")*24*60, "")</f>
        <v/>
      </c>
      <c r="P7235" s="24" t="str" cm="1">
        <f t="array" ref="P7235">IFERROR(IF($B7235=P$1, ($A7235+$C7235) - MAX(IF($B$2:$B7234=$B7235, $A$2:$A7234+$C$2:$C7234)), "")*24*60, "")</f>
        <v/>
      </c>
      <c r="Q7235" s="24" t="str" cm="1">
        <f t="array" ref="Q7235">IFERROR(IF($B7235=Q$1, ($A7235+$C7235) - MAX(IF($B$2:$B7234=$B7235, $A$2:$A7234+$C$2:$C7234)), "")*24*60, "")</f>
        <v/>
      </c>
      <c r="R7235" s="24" t="str" cm="1">
        <f t="array" ref="R7235">IFERROR(IF($B7235=R$1, ($A7235+$C7235) - MAX(IF($B$2:$B7234=$B7235, $A$2:$A7234+$C$2:$C7234)), "")*24*60, "")</f>
        <v/>
      </c>
      <c r="S7235" s="24" t="str" cm="1">
        <f t="array" ref="S7235">IFERROR(IF($B7235=S$1, ($A7235+$C7235) - MAX(IF($B$2:$B7234=$B7235, $A$2:$A7234+$C$2:$C7234)), "")*24*60, "")</f>
        <v/>
      </c>
    </row>
    <row r="7236" spans="1:19" x14ac:dyDescent="0.2">
      <c r="A7236" s="12">
        <f t="shared" ref="A7236:C7236" si="1418">A7235</f>
        <v>46015</v>
      </c>
      <c r="B7236" s="5" t="str">
        <f t="shared" si="1418"/>
        <v>Northern Cardinal</v>
      </c>
      <c r="C7236" s="6">
        <f t="shared" si="1418"/>
        <v>0.74097222222222225</v>
      </c>
      <c r="D7236" s="5"/>
      <c r="E7236" s="5"/>
      <c r="F7236" s="5" t="s">
        <v>9</v>
      </c>
      <c r="G7236" s="15" t="s">
        <v>8</v>
      </c>
      <c r="H7236" s="24">
        <f t="shared" si="1407"/>
        <v>0</v>
      </c>
      <c r="I7236" s="24" cm="1">
        <f t="array" ref="I7236">IFERROR(IF($B7236=I$1, ($A7236+$C7236) - MAX(IF($B$2:$B7235=$B7236, $A$2:$A7235+$C$2:$C7235)), "")*24*60, "")</f>
        <v>0</v>
      </c>
      <c r="J7236" s="24" t="str" cm="1">
        <f t="array" ref="J7236">IFERROR(IF($B7236=J$1, ($A7236+$C7236) - MAX(IF($B$2:$B7235=$B7236, $A$2:$A7235+$C$2:$C7235)), "")*24*60, "")</f>
        <v/>
      </c>
      <c r="K7236" s="24" t="str" cm="1">
        <f t="array" ref="K7236">IFERROR(IF($B7236=K$1, ($A7236+$C7236) - MAX(IF($B$2:$B7235=$B7236, $A$2:$A7235+$C$2:$C7235)), "")*24*60, "")</f>
        <v/>
      </c>
      <c r="L7236" s="24" t="str" cm="1">
        <f t="array" ref="L7236">IFERROR(IF($B7236=L$1, ($A7236+$C7236) - MAX(IF($B$2:$B7235=$B7236, $A$2:$A7235+$C$2:$C7235)), "")*24*60, "")</f>
        <v/>
      </c>
      <c r="M7236" s="24" t="str" cm="1">
        <f t="array" ref="M7236">IFERROR(IF($B7236=M$1, ($A7236+$C7236) - MAX(IF($B$2:$B7235=$B7236, $A$2:$A7235+$C$2:$C7235)), "")*24*60, "")</f>
        <v/>
      </c>
      <c r="N7236" s="24" t="str" cm="1">
        <f t="array" ref="N7236">IFERROR(IF($B7236=N$1, ($A7236+$C7236) - MAX(IF($B$2:$B7235=$B7236, $A$2:$A7235+$C$2:$C7235)), "")*24*60, "")</f>
        <v/>
      </c>
      <c r="O7236" s="24" t="str" cm="1">
        <f t="array" ref="O7236">IFERROR(IF($B7236=O$1, ($A7236+$C7236) - MAX(IF($B$2:$B7235=$B7236, $A$2:$A7235+$C$2:$C7235)), "")*24*60, "")</f>
        <v/>
      </c>
      <c r="P7236" s="24" t="str" cm="1">
        <f t="array" ref="P7236">IFERROR(IF($B7236=P$1, ($A7236+$C7236) - MAX(IF($B$2:$B7235=$B7236, $A$2:$A7235+$C$2:$C7235)), "")*24*60, "")</f>
        <v/>
      </c>
      <c r="Q7236" s="24" t="str" cm="1">
        <f t="array" ref="Q7236">IFERROR(IF($B7236=Q$1, ($A7236+$C7236) - MAX(IF($B$2:$B7235=$B7236, $A$2:$A7235+$C$2:$C7235)), "")*24*60, "")</f>
        <v/>
      </c>
      <c r="R7236" s="24" t="str" cm="1">
        <f t="array" ref="R7236">IFERROR(IF($B7236=R$1, ($A7236+$C7236) - MAX(IF($B$2:$B7235=$B7236, $A$2:$A7235+$C$2:$C7235)), "")*24*60, "")</f>
        <v/>
      </c>
      <c r="S7236" s="24" t="str" cm="1">
        <f t="array" ref="S7236">IFERROR(IF($B7236=S$1, ($A7236+$C7236) - MAX(IF($B$2:$B7235=$B7236, $A$2:$A7235+$C$2:$C7235)), "")*24*60, "")</f>
        <v/>
      </c>
    </row>
    <row r="7237" spans="1:19" x14ac:dyDescent="0.2">
      <c r="A7237" s="12">
        <f t="shared" ref="A7237:C7237" si="1419">A7236</f>
        <v>46015</v>
      </c>
      <c r="B7237" s="5" t="str">
        <f t="shared" si="1419"/>
        <v>Northern Cardinal</v>
      </c>
      <c r="C7237" s="6">
        <f t="shared" si="1419"/>
        <v>0.74097222222222225</v>
      </c>
      <c r="D7237" s="5"/>
      <c r="E7237" s="5"/>
      <c r="F7237" s="5" t="s">
        <v>9</v>
      </c>
      <c r="G7237" s="15" t="s">
        <v>8</v>
      </c>
      <c r="H7237" s="24">
        <f t="shared" si="1407"/>
        <v>0</v>
      </c>
      <c r="I7237" s="24" cm="1">
        <f t="array" ref="I7237">IFERROR(IF($B7237=I$1, ($A7237+$C7237) - MAX(IF($B$2:$B7236=$B7237, $A$2:$A7236+$C$2:$C7236)), "")*24*60, "")</f>
        <v>0</v>
      </c>
      <c r="J7237" s="24" t="str" cm="1">
        <f t="array" ref="J7237">IFERROR(IF($B7237=J$1, ($A7237+$C7237) - MAX(IF($B$2:$B7236=$B7237, $A$2:$A7236+$C$2:$C7236)), "")*24*60, "")</f>
        <v/>
      </c>
      <c r="K7237" s="24" t="str" cm="1">
        <f t="array" ref="K7237">IFERROR(IF($B7237=K$1, ($A7237+$C7237) - MAX(IF($B$2:$B7236=$B7237, $A$2:$A7236+$C$2:$C7236)), "")*24*60, "")</f>
        <v/>
      </c>
      <c r="L7237" s="24" t="str" cm="1">
        <f t="array" ref="L7237">IFERROR(IF($B7237=L$1, ($A7237+$C7237) - MAX(IF($B$2:$B7236=$B7237, $A$2:$A7236+$C$2:$C7236)), "")*24*60, "")</f>
        <v/>
      </c>
      <c r="M7237" s="24" t="str" cm="1">
        <f t="array" ref="M7237">IFERROR(IF($B7237=M$1, ($A7237+$C7237) - MAX(IF($B$2:$B7236=$B7237, $A$2:$A7236+$C$2:$C7236)), "")*24*60, "")</f>
        <v/>
      </c>
      <c r="N7237" s="24" t="str" cm="1">
        <f t="array" ref="N7237">IFERROR(IF($B7237=N$1, ($A7237+$C7237) - MAX(IF($B$2:$B7236=$B7237, $A$2:$A7236+$C$2:$C7236)), "")*24*60, "")</f>
        <v/>
      </c>
      <c r="O7237" s="24" t="str" cm="1">
        <f t="array" ref="O7237">IFERROR(IF($B7237=O$1, ($A7237+$C7237) - MAX(IF($B$2:$B7236=$B7237, $A$2:$A7236+$C$2:$C7236)), "")*24*60, "")</f>
        <v/>
      </c>
      <c r="P7237" s="24" t="str" cm="1">
        <f t="array" ref="P7237">IFERROR(IF($B7237=P$1, ($A7237+$C7237) - MAX(IF($B$2:$B7236=$B7237, $A$2:$A7236+$C$2:$C7236)), "")*24*60, "")</f>
        <v/>
      </c>
      <c r="Q7237" s="24" t="str" cm="1">
        <f t="array" ref="Q7237">IFERROR(IF($B7237=Q$1, ($A7237+$C7237) - MAX(IF($B$2:$B7236=$B7237, $A$2:$A7236+$C$2:$C7236)), "")*24*60, "")</f>
        <v/>
      </c>
      <c r="R7237" s="24" t="str" cm="1">
        <f t="array" ref="R7237">IFERROR(IF($B7237=R$1, ($A7237+$C7237) - MAX(IF($B$2:$B7236=$B7237, $A$2:$A7236+$C$2:$C7236)), "")*24*60, "")</f>
        <v/>
      </c>
      <c r="S7237" s="24" t="str" cm="1">
        <f t="array" ref="S7237">IFERROR(IF($B7237=S$1, ($A7237+$C7237) - MAX(IF($B$2:$B7236=$B7237, $A$2:$A7236+$C$2:$C7236)), "")*24*60, "")</f>
        <v/>
      </c>
    </row>
    <row r="7238" spans="1:19" x14ac:dyDescent="0.2">
      <c r="A7238" s="12">
        <f t="shared" ref="A7238:C7238" si="1420">A7237</f>
        <v>46015</v>
      </c>
      <c r="B7238" s="5" t="str">
        <f t="shared" si="1420"/>
        <v>Northern Cardinal</v>
      </c>
      <c r="C7238" s="6">
        <f t="shared" si="1420"/>
        <v>0.74097222222222225</v>
      </c>
      <c r="D7238" s="5"/>
      <c r="E7238" s="5"/>
      <c r="F7238" s="5" t="s">
        <v>9</v>
      </c>
      <c r="G7238" s="15" t="s">
        <v>8</v>
      </c>
      <c r="H7238" s="24">
        <f t="shared" si="1407"/>
        <v>0</v>
      </c>
      <c r="I7238" s="24" cm="1">
        <f t="array" ref="I7238">IFERROR(IF($B7238=I$1, ($A7238+$C7238) - MAX(IF($B$2:$B7237=$B7238, $A$2:$A7237+$C$2:$C7237)), "")*24*60, "")</f>
        <v>0</v>
      </c>
      <c r="J7238" s="24" t="str" cm="1">
        <f t="array" ref="J7238">IFERROR(IF($B7238=J$1, ($A7238+$C7238) - MAX(IF($B$2:$B7237=$B7238, $A$2:$A7237+$C$2:$C7237)), "")*24*60, "")</f>
        <v/>
      </c>
      <c r="K7238" s="24" t="str" cm="1">
        <f t="array" ref="K7238">IFERROR(IF($B7238=K$1, ($A7238+$C7238) - MAX(IF($B$2:$B7237=$B7238, $A$2:$A7237+$C$2:$C7237)), "")*24*60, "")</f>
        <v/>
      </c>
      <c r="L7238" s="24" t="str" cm="1">
        <f t="array" ref="L7238">IFERROR(IF($B7238=L$1, ($A7238+$C7238) - MAX(IF($B$2:$B7237=$B7238, $A$2:$A7237+$C$2:$C7237)), "")*24*60, "")</f>
        <v/>
      </c>
      <c r="M7238" s="24" t="str" cm="1">
        <f t="array" ref="M7238">IFERROR(IF($B7238=M$1, ($A7238+$C7238) - MAX(IF($B$2:$B7237=$B7238, $A$2:$A7237+$C$2:$C7237)), "")*24*60, "")</f>
        <v/>
      </c>
      <c r="N7238" s="24" t="str" cm="1">
        <f t="array" ref="N7238">IFERROR(IF($B7238=N$1, ($A7238+$C7238) - MAX(IF($B$2:$B7237=$B7238, $A$2:$A7237+$C$2:$C7237)), "")*24*60, "")</f>
        <v/>
      </c>
      <c r="O7238" s="24" t="str" cm="1">
        <f t="array" ref="O7238">IFERROR(IF($B7238=O$1, ($A7238+$C7238) - MAX(IF($B$2:$B7237=$B7238, $A$2:$A7237+$C$2:$C7237)), "")*24*60, "")</f>
        <v/>
      </c>
      <c r="P7238" s="24" t="str" cm="1">
        <f t="array" ref="P7238">IFERROR(IF($B7238=P$1, ($A7238+$C7238) - MAX(IF($B$2:$B7237=$B7238, $A$2:$A7237+$C$2:$C7237)), "")*24*60, "")</f>
        <v/>
      </c>
      <c r="Q7238" s="24" t="str" cm="1">
        <f t="array" ref="Q7238">IFERROR(IF($B7238=Q$1, ($A7238+$C7238) - MAX(IF($B$2:$B7237=$B7238, $A$2:$A7237+$C$2:$C7237)), "")*24*60, "")</f>
        <v/>
      </c>
      <c r="R7238" s="24" t="str" cm="1">
        <f t="array" ref="R7238">IFERROR(IF($B7238=R$1, ($A7238+$C7238) - MAX(IF($B$2:$B7237=$B7238, $A$2:$A7237+$C$2:$C7237)), "")*24*60, "")</f>
        <v/>
      </c>
      <c r="S7238" s="24" t="str" cm="1">
        <f t="array" ref="S7238">IFERROR(IF($B7238=S$1, ($A7238+$C7238) - MAX(IF($B$2:$B7237=$B7238, $A$2:$A7237+$C$2:$C7237)), "")*24*60, "")</f>
        <v/>
      </c>
    </row>
    <row r="7239" spans="1:19" x14ac:dyDescent="0.2">
      <c r="A7239" s="12">
        <f t="shared" ref="A7239:C7239" si="1421">A7238</f>
        <v>46015</v>
      </c>
      <c r="B7239" s="5" t="str">
        <f t="shared" si="1421"/>
        <v>Northern Cardinal</v>
      </c>
      <c r="C7239" s="6">
        <f t="shared" si="1421"/>
        <v>0.74097222222222225</v>
      </c>
      <c r="D7239" s="5"/>
      <c r="E7239" s="5"/>
      <c r="F7239" s="5" t="s">
        <v>9</v>
      </c>
      <c r="G7239" s="15" t="s">
        <v>8</v>
      </c>
      <c r="H7239" s="24">
        <f t="shared" si="1407"/>
        <v>0</v>
      </c>
      <c r="I7239" s="24" cm="1">
        <f t="array" ref="I7239">IFERROR(IF($B7239=I$1, ($A7239+$C7239) - MAX(IF($B$2:$B7238=$B7239, $A$2:$A7238+$C$2:$C7238)), "")*24*60, "")</f>
        <v>0</v>
      </c>
      <c r="J7239" s="24" t="str" cm="1">
        <f t="array" ref="J7239">IFERROR(IF($B7239=J$1, ($A7239+$C7239) - MAX(IF($B$2:$B7238=$B7239, $A$2:$A7238+$C$2:$C7238)), "")*24*60, "")</f>
        <v/>
      </c>
      <c r="K7239" s="24" t="str" cm="1">
        <f t="array" ref="K7239">IFERROR(IF($B7239=K$1, ($A7239+$C7239) - MAX(IF($B$2:$B7238=$B7239, $A$2:$A7238+$C$2:$C7238)), "")*24*60, "")</f>
        <v/>
      </c>
      <c r="L7239" s="24" t="str" cm="1">
        <f t="array" ref="L7239">IFERROR(IF($B7239=L$1, ($A7239+$C7239) - MAX(IF($B$2:$B7238=$B7239, $A$2:$A7238+$C$2:$C7238)), "")*24*60, "")</f>
        <v/>
      </c>
      <c r="M7239" s="24" t="str" cm="1">
        <f t="array" ref="M7239">IFERROR(IF($B7239=M$1, ($A7239+$C7239) - MAX(IF($B$2:$B7238=$B7239, $A$2:$A7238+$C$2:$C7238)), "")*24*60, "")</f>
        <v/>
      </c>
      <c r="N7239" s="24" t="str" cm="1">
        <f t="array" ref="N7239">IFERROR(IF($B7239=N$1, ($A7239+$C7239) - MAX(IF($B$2:$B7238=$B7239, $A$2:$A7238+$C$2:$C7238)), "")*24*60, "")</f>
        <v/>
      </c>
      <c r="O7239" s="24" t="str" cm="1">
        <f t="array" ref="O7239">IFERROR(IF($B7239=O$1, ($A7239+$C7239) - MAX(IF($B$2:$B7238=$B7239, $A$2:$A7238+$C$2:$C7238)), "")*24*60, "")</f>
        <v/>
      </c>
      <c r="P7239" s="24" t="str" cm="1">
        <f t="array" ref="P7239">IFERROR(IF($B7239=P$1, ($A7239+$C7239) - MAX(IF($B$2:$B7238=$B7239, $A$2:$A7238+$C$2:$C7238)), "")*24*60, "")</f>
        <v/>
      </c>
      <c r="Q7239" s="24" t="str" cm="1">
        <f t="array" ref="Q7239">IFERROR(IF($B7239=Q$1, ($A7239+$C7239) - MAX(IF($B$2:$B7238=$B7239, $A$2:$A7238+$C$2:$C7238)), "")*24*60, "")</f>
        <v/>
      </c>
      <c r="R7239" s="24" t="str" cm="1">
        <f t="array" ref="R7239">IFERROR(IF($B7239=R$1, ($A7239+$C7239) - MAX(IF($B$2:$B7238=$B7239, $A$2:$A7238+$C$2:$C7238)), "")*24*60, "")</f>
        <v/>
      </c>
      <c r="S7239" s="24" t="str" cm="1">
        <f t="array" ref="S7239">IFERROR(IF($B7239=S$1, ($A7239+$C7239) - MAX(IF($B$2:$B7238=$B7239, $A$2:$A7238+$C$2:$C7238)), "")*24*60, "")</f>
        <v/>
      </c>
    </row>
    <row r="7240" spans="1:19" x14ac:dyDescent="0.2">
      <c r="A7240" s="12">
        <f t="shared" ref="A7240:C7240" si="1422">A7239</f>
        <v>46015</v>
      </c>
      <c r="B7240" s="5" t="str">
        <f t="shared" si="1422"/>
        <v>Northern Cardinal</v>
      </c>
      <c r="C7240" s="6">
        <f t="shared" si="1422"/>
        <v>0.74097222222222225</v>
      </c>
      <c r="D7240" s="5"/>
      <c r="E7240" s="5"/>
      <c r="F7240" s="5" t="s">
        <v>9</v>
      </c>
      <c r="G7240" s="15" t="s">
        <v>8</v>
      </c>
      <c r="H7240" s="24">
        <f t="shared" si="1407"/>
        <v>0</v>
      </c>
      <c r="I7240" s="24" cm="1">
        <f t="array" ref="I7240">IFERROR(IF($B7240=I$1, ($A7240+$C7240) - MAX(IF($B$2:$B7239=$B7240, $A$2:$A7239+$C$2:$C7239)), "")*24*60, "")</f>
        <v>0</v>
      </c>
      <c r="J7240" s="24" t="str" cm="1">
        <f t="array" ref="J7240">IFERROR(IF($B7240=J$1, ($A7240+$C7240) - MAX(IF($B$2:$B7239=$B7240, $A$2:$A7239+$C$2:$C7239)), "")*24*60, "")</f>
        <v/>
      </c>
      <c r="K7240" s="24" t="str" cm="1">
        <f t="array" ref="K7240">IFERROR(IF($B7240=K$1, ($A7240+$C7240) - MAX(IF($B$2:$B7239=$B7240, $A$2:$A7239+$C$2:$C7239)), "")*24*60, "")</f>
        <v/>
      </c>
      <c r="L7240" s="24" t="str" cm="1">
        <f t="array" ref="L7240">IFERROR(IF($B7240=L$1, ($A7240+$C7240) - MAX(IF($B$2:$B7239=$B7240, $A$2:$A7239+$C$2:$C7239)), "")*24*60, "")</f>
        <v/>
      </c>
      <c r="M7240" s="24" t="str" cm="1">
        <f t="array" ref="M7240">IFERROR(IF($B7240=M$1, ($A7240+$C7240) - MAX(IF($B$2:$B7239=$B7240, $A$2:$A7239+$C$2:$C7239)), "")*24*60, "")</f>
        <v/>
      </c>
      <c r="N7240" s="24" t="str" cm="1">
        <f t="array" ref="N7240">IFERROR(IF($B7240=N$1, ($A7240+$C7240) - MAX(IF($B$2:$B7239=$B7240, $A$2:$A7239+$C$2:$C7239)), "")*24*60, "")</f>
        <v/>
      </c>
      <c r="O7240" s="24" t="str" cm="1">
        <f t="array" ref="O7240">IFERROR(IF($B7240=O$1, ($A7240+$C7240) - MAX(IF($B$2:$B7239=$B7240, $A$2:$A7239+$C$2:$C7239)), "")*24*60, "")</f>
        <v/>
      </c>
      <c r="P7240" s="24" t="str" cm="1">
        <f t="array" ref="P7240">IFERROR(IF($B7240=P$1, ($A7240+$C7240) - MAX(IF($B$2:$B7239=$B7240, $A$2:$A7239+$C$2:$C7239)), "")*24*60, "")</f>
        <v/>
      </c>
      <c r="Q7240" s="24" t="str" cm="1">
        <f t="array" ref="Q7240">IFERROR(IF($B7240=Q$1, ($A7240+$C7240) - MAX(IF($B$2:$B7239=$B7240, $A$2:$A7239+$C$2:$C7239)), "")*24*60, "")</f>
        <v/>
      </c>
      <c r="R7240" s="24" t="str" cm="1">
        <f t="array" ref="R7240">IFERROR(IF($B7240=R$1, ($A7240+$C7240) - MAX(IF($B$2:$B7239=$B7240, $A$2:$A7239+$C$2:$C7239)), "")*24*60, "")</f>
        <v/>
      </c>
      <c r="S7240" s="24" t="str" cm="1">
        <f t="array" ref="S7240">IFERROR(IF($B7240=S$1, ($A7240+$C7240) - MAX(IF($B$2:$B7239=$B7240, $A$2:$A7239+$C$2:$C7239)), "")*24*60, "")</f>
        <v/>
      </c>
    </row>
    <row r="7241" spans="1:19" x14ac:dyDescent="0.2">
      <c r="A7241" s="12">
        <f t="shared" ref="A7241:C7241" si="1423">A7240</f>
        <v>46015</v>
      </c>
      <c r="B7241" s="5" t="str">
        <f t="shared" si="1423"/>
        <v>Northern Cardinal</v>
      </c>
      <c r="C7241" s="6">
        <f t="shared" si="1423"/>
        <v>0.74097222222222225</v>
      </c>
      <c r="D7241" s="5"/>
      <c r="E7241" s="5"/>
      <c r="F7241" s="5" t="s">
        <v>9</v>
      </c>
      <c r="G7241" s="15" t="s">
        <v>8</v>
      </c>
      <c r="H7241" s="24">
        <f t="shared" si="1407"/>
        <v>0</v>
      </c>
      <c r="I7241" s="24" cm="1">
        <f t="array" ref="I7241">IFERROR(IF($B7241=I$1, ($A7241+$C7241) - MAX(IF($B$2:$B7240=$B7241, $A$2:$A7240+$C$2:$C7240)), "")*24*60, "")</f>
        <v>0</v>
      </c>
      <c r="J7241" s="24" t="str" cm="1">
        <f t="array" ref="J7241">IFERROR(IF($B7241=J$1, ($A7241+$C7241) - MAX(IF($B$2:$B7240=$B7241, $A$2:$A7240+$C$2:$C7240)), "")*24*60, "")</f>
        <v/>
      </c>
      <c r="K7241" s="24" t="str" cm="1">
        <f t="array" ref="K7241">IFERROR(IF($B7241=K$1, ($A7241+$C7241) - MAX(IF($B$2:$B7240=$B7241, $A$2:$A7240+$C$2:$C7240)), "")*24*60, "")</f>
        <v/>
      </c>
      <c r="L7241" s="24" t="str" cm="1">
        <f t="array" ref="L7241">IFERROR(IF($B7241=L$1, ($A7241+$C7241) - MAX(IF($B$2:$B7240=$B7241, $A$2:$A7240+$C$2:$C7240)), "")*24*60, "")</f>
        <v/>
      </c>
      <c r="M7241" s="24" t="str" cm="1">
        <f t="array" ref="M7241">IFERROR(IF($B7241=M$1, ($A7241+$C7241) - MAX(IF($B$2:$B7240=$B7241, $A$2:$A7240+$C$2:$C7240)), "")*24*60, "")</f>
        <v/>
      </c>
      <c r="N7241" s="24" t="str" cm="1">
        <f t="array" ref="N7241">IFERROR(IF($B7241=N$1, ($A7241+$C7241) - MAX(IF($B$2:$B7240=$B7241, $A$2:$A7240+$C$2:$C7240)), "")*24*60, "")</f>
        <v/>
      </c>
      <c r="O7241" s="24" t="str" cm="1">
        <f t="array" ref="O7241">IFERROR(IF($B7241=O$1, ($A7241+$C7241) - MAX(IF($B$2:$B7240=$B7241, $A$2:$A7240+$C$2:$C7240)), "")*24*60, "")</f>
        <v/>
      </c>
      <c r="P7241" s="24" t="str" cm="1">
        <f t="array" ref="P7241">IFERROR(IF($B7241=P$1, ($A7241+$C7241) - MAX(IF($B$2:$B7240=$B7241, $A$2:$A7240+$C$2:$C7240)), "")*24*60, "")</f>
        <v/>
      </c>
      <c r="Q7241" s="24" t="str" cm="1">
        <f t="array" ref="Q7241">IFERROR(IF($B7241=Q$1, ($A7241+$C7241) - MAX(IF($B$2:$B7240=$B7241, $A$2:$A7240+$C$2:$C7240)), "")*24*60, "")</f>
        <v/>
      </c>
      <c r="R7241" s="24" t="str" cm="1">
        <f t="array" ref="R7241">IFERROR(IF($B7241=R$1, ($A7241+$C7241) - MAX(IF($B$2:$B7240=$B7241, $A$2:$A7240+$C$2:$C7240)), "")*24*60, "")</f>
        <v/>
      </c>
      <c r="S7241" s="24" t="str" cm="1">
        <f t="array" ref="S7241">IFERROR(IF($B7241=S$1, ($A7241+$C7241) - MAX(IF($B$2:$B7240=$B7241, $A$2:$A7240+$C$2:$C7240)), "")*24*60, "")</f>
        <v/>
      </c>
    </row>
    <row r="7242" spans="1:19" x14ac:dyDescent="0.2">
      <c r="A7242" s="12">
        <f t="shared" ref="A7242:C7242" si="1424">A7241</f>
        <v>46015</v>
      </c>
      <c r="B7242" s="5" t="str">
        <f t="shared" si="1424"/>
        <v>Northern Cardinal</v>
      </c>
      <c r="C7242" s="6">
        <f t="shared" si="1424"/>
        <v>0.74097222222222225</v>
      </c>
      <c r="D7242" s="5"/>
      <c r="E7242" s="5"/>
      <c r="F7242" s="5" t="s">
        <v>9</v>
      </c>
      <c r="G7242" s="15" t="s">
        <v>8</v>
      </c>
      <c r="H7242" s="24">
        <f t="shared" si="1407"/>
        <v>0</v>
      </c>
      <c r="I7242" s="24" cm="1">
        <f t="array" ref="I7242">IFERROR(IF($B7242=I$1, ($A7242+$C7242) - MAX(IF($B$2:$B7241=$B7242, $A$2:$A7241+$C$2:$C7241)), "")*24*60, "")</f>
        <v>0</v>
      </c>
      <c r="J7242" s="24" t="str" cm="1">
        <f t="array" ref="J7242">IFERROR(IF($B7242=J$1, ($A7242+$C7242) - MAX(IF($B$2:$B7241=$B7242, $A$2:$A7241+$C$2:$C7241)), "")*24*60, "")</f>
        <v/>
      </c>
      <c r="K7242" s="24" t="str" cm="1">
        <f t="array" ref="K7242">IFERROR(IF($B7242=K$1, ($A7242+$C7242) - MAX(IF($B$2:$B7241=$B7242, $A$2:$A7241+$C$2:$C7241)), "")*24*60, "")</f>
        <v/>
      </c>
      <c r="L7242" s="24" t="str" cm="1">
        <f t="array" ref="L7242">IFERROR(IF($B7242=L$1, ($A7242+$C7242) - MAX(IF($B$2:$B7241=$B7242, $A$2:$A7241+$C$2:$C7241)), "")*24*60, "")</f>
        <v/>
      </c>
      <c r="M7242" s="24" t="str" cm="1">
        <f t="array" ref="M7242">IFERROR(IF($B7242=M$1, ($A7242+$C7242) - MAX(IF($B$2:$B7241=$B7242, $A$2:$A7241+$C$2:$C7241)), "")*24*60, "")</f>
        <v/>
      </c>
      <c r="N7242" s="24" t="str" cm="1">
        <f t="array" ref="N7242">IFERROR(IF($B7242=N$1, ($A7242+$C7242) - MAX(IF($B$2:$B7241=$B7242, $A$2:$A7241+$C$2:$C7241)), "")*24*60, "")</f>
        <v/>
      </c>
      <c r="O7242" s="24" t="str" cm="1">
        <f t="array" ref="O7242">IFERROR(IF($B7242=O$1, ($A7242+$C7242) - MAX(IF($B$2:$B7241=$B7242, $A$2:$A7241+$C$2:$C7241)), "")*24*60, "")</f>
        <v/>
      </c>
      <c r="P7242" s="24" t="str" cm="1">
        <f t="array" ref="P7242">IFERROR(IF($B7242=P$1, ($A7242+$C7242) - MAX(IF($B$2:$B7241=$B7242, $A$2:$A7241+$C$2:$C7241)), "")*24*60, "")</f>
        <v/>
      </c>
      <c r="Q7242" s="24" t="str" cm="1">
        <f t="array" ref="Q7242">IFERROR(IF($B7242=Q$1, ($A7242+$C7242) - MAX(IF($B$2:$B7241=$B7242, $A$2:$A7241+$C$2:$C7241)), "")*24*60, "")</f>
        <v/>
      </c>
      <c r="R7242" s="24" t="str" cm="1">
        <f t="array" ref="R7242">IFERROR(IF($B7242=R$1, ($A7242+$C7242) - MAX(IF($B$2:$B7241=$B7242, $A$2:$A7241+$C$2:$C7241)), "")*24*60, "")</f>
        <v/>
      </c>
      <c r="S7242" s="24" t="str" cm="1">
        <f t="array" ref="S7242">IFERROR(IF($B7242=S$1, ($A7242+$C7242) - MAX(IF($B$2:$B7241=$B7242, $A$2:$A7241+$C$2:$C7241)), "")*24*60, "")</f>
        <v/>
      </c>
    </row>
    <row r="7243" spans="1:19" x14ac:dyDescent="0.2">
      <c r="A7243" s="12">
        <f t="shared" ref="A7243:C7243" si="1425">A7242</f>
        <v>46015</v>
      </c>
      <c r="B7243" s="5" t="str">
        <f t="shared" si="1425"/>
        <v>Northern Cardinal</v>
      </c>
      <c r="C7243" s="6">
        <f t="shared" si="1425"/>
        <v>0.74097222222222225</v>
      </c>
      <c r="D7243" s="5"/>
      <c r="E7243" s="5"/>
      <c r="F7243" s="5" t="s">
        <v>9</v>
      </c>
      <c r="G7243" s="15" t="s">
        <v>8</v>
      </c>
      <c r="H7243" s="24">
        <f t="shared" si="1407"/>
        <v>0</v>
      </c>
      <c r="I7243" s="24" cm="1">
        <f t="array" ref="I7243">IFERROR(IF($B7243=I$1, ($A7243+$C7243) - MAX(IF($B$2:$B7242=$B7243, $A$2:$A7242+$C$2:$C7242)), "")*24*60, "")</f>
        <v>0</v>
      </c>
      <c r="J7243" s="24" t="str" cm="1">
        <f t="array" ref="J7243">IFERROR(IF($B7243=J$1, ($A7243+$C7243) - MAX(IF($B$2:$B7242=$B7243, $A$2:$A7242+$C$2:$C7242)), "")*24*60, "")</f>
        <v/>
      </c>
      <c r="K7243" s="24" t="str" cm="1">
        <f t="array" ref="K7243">IFERROR(IF($B7243=K$1, ($A7243+$C7243) - MAX(IF($B$2:$B7242=$B7243, $A$2:$A7242+$C$2:$C7242)), "")*24*60, "")</f>
        <v/>
      </c>
      <c r="L7243" s="24" t="str" cm="1">
        <f t="array" ref="L7243">IFERROR(IF($B7243=L$1, ($A7243+$C7243) - MAX(IF($B$2:$B7242=$B7243, $A$2:$A7242+$C$2:$C7242)), "")*24*60, "")</f>
        <v/>
      </c>
      <c r="M7243" s="24" t="str" cm="1">
        <f t="array" ref="M7243">IFERROR(IF($B7243=M$1, ($A7243+$C7243) - MAX(IF($B$2:$B7242=$B7243, $A$2:$A7242+$C$2:$C7242)), "")*24*60, "")</f>
        <v/>
      </c>
      <c r="N7243" s="24" t="str" cm="1">
        <f t="array" ref="N7243">IFERROR(IF($B7243=N$1, ($A7243+$C7243) - MAX(IF($B$2:$B7242=$B7243, $A$2:$A7242+$C$2:$C7242)), "")*24*60, "")</f>
        <v/>
      </c>
      <c r="O7243" s="24" t="str" cm="1">
        <f t="array" ref="O7243">IFERROR(IF($B7243=O$1, ($A7243+$C7243) - MAX(IF($B$2:$B7242=$B7243, $A$2:$A7242+$C$2:$C7242)), "")*24*60, "")</f>
        <v/>
      </c>
      <c r="P7243" s="24" t="str" cm="1">
        <f t="array" ref="P7243">IFERROR(IF($B7243=P$1, ($A7243+$C7243) - MAX(IF($B$2:$B7242=$B7243, $A$2:$A7242+$C$2:$C7242)), "")*24*60, "")</f>
        <v/>
      </c>
      <c r="Q7243" s="24" t="str" cm="1">
        <f t="array" ref="Q7243">IFERROR(IF($B7243=Q$1, ($A7243+$C7243) - MAX(IF($B$2:$B7242=$B7243, $A$2:$A7242+$C$2:$C7242)), "")*24*60, "")</f>
        <v/>
      </c>
      <c r="R7243" s="24" t="str" cm="1">
        <f t="array" ref="R7243">IFERROR(IF($B7243=R$1, ($A7243+$C7243) - MAX(IF($B$2:$B7242=$B7243, $A$2:$A7242+$C$2:$C7242)), "")*24*60, "")</f>
        <v/>
      </c>
      <c r="S7243" s="24" t="str" cm="1">
        <f t="array" ref="S7243">IFERROR(IF($B7243=S$1, ($A7243+$C7243) - MAX(IF($B$2:$B7242=$B7243, $A$2:$A7242+$C$2:$C7242)), "")*24*60, "")</f>
        <v/>
      </c>
    </row>
    <row r="7244" spans="1:19" x14ac:dyDescent="0.2">
      <c r="A7244" s="12">
        <f t="shared" ref="A7244:C7244" si="1426">A7243</f>
        <v>46015</v>
      </c>
      <c r="B7244" s="5" t="str">
        <f t="shared" si="1426"/>
        <v>Northern Cardinal</v>
      </c>
      <c r="C7244" s="6">
        <f t="shared" si="1426"/>
        <v>0.74097222222222225</v>
      </c>
      <c r="D7244" s="5"/>
      <c r="E7244" s="5"/>
      <c r="F7244" s="5" t="s">
        <v>9</v>
      </c>
      <c r="G7244" s="15" t="s">
        <v>8</v>
      </c>
      <c r="H7244" s="24">
        <f t="shared" si="1407"/>
        <v>0</v>
      </c>
      <c r="I7244" s="24" cm="1">
        <f t="array" ref="I7244">IFERROR(IF($B7244=I$1, ($A7244+$C7244) - MAX(IF($B$2:$B7243=$B7244, $A$2:$A7243+$C$2:$C7243)), "")*24*60, "")</f>
        <v>0</v>
      </c>
      <c r="J7244" s="24" t="str" cm="1">
        <f t="array" ref="J7244">IFERROR(IF($B7244=J$1, ($A7244+$C7244) - MAX(IF($B$2:$B7243=$B7244, $A$2:$A7243+$C$2:$C7243)), "")*24*60, "")</f>
        <v/>
      </c>
      <c r="K7244" s="24" t="str" cm="1">
        <f t="array" ref="K7244">IFERROR(IF($B7244=K$1, ($A7244+$C7244) - MAX(IF($B$2:$B7243=$B7244, $A$2:$A7243+$C$2:$C7243)), "")*24*60, "")</f>
        <v/>
      </c>
      <c r="L7244" s="24" t="str" cm="1">
        <f t="array" ref="L7244">IFERROR(IF($B7244=L$1, ($A7244+$C7244) - MAX(IF($B$2:$B7243=$B7244, $A$2:$A7243+$C$2:$C7243)), "")*24*60, "")</f>
        <v/>
      </c>
      <c r="M7244" s="24" t="str" cm="1">
        <f t="array" ref="M7244">IFERROR(IF($B7244=M$1, ($A7244+$C7244) - MAX(IF($B$2:$B7243=$B7244, $A$2:$A7243+$C$2:$C7243)), "")*24*60, "")</f>
        <v/>
      </c>
      <c r="N7244" s="24" t="str" cm="1">
        <f t="array" ref="N7244">IFERROR(IF($B7244=N$1, ($A7244+$C7244) - MAX(IF($B$2:$B7243=$B7244, $A$2:$A7243+$C$2:$C7243)), "")*24*60, "")</f>
        <v/>
      </c>
      <c r="O7244" s="24" t="str" cm="1">
        <f t="array" ref="O7244">IFERROR(IF($B7244=O$1, ($A7244+$C7244) - MAX(IF($B$2:$B7243=$B7244, $A$2:$A7243+$C$2:$C7243)), "")*24*60, "")</f>
        <v/>
      </c>
      <c r="P7244" s="24" t="str" cm="1">
        <f t="array" ref="P7244">IFERROR(IF($B7244=P$1, ($A7244+$C7244) - MAX(IF($B$2:$B7243=$B7244, $A$2:$A7243+$C$2:$C7243)), "")*24*60, "")</f>
        <v/>
      </c>
      <c r="Q7244" s="24" t="str" cm="1">
        <f t="array" ref="Q7244">IFERROR(IF($B7244=Q$1, ($A7244+$C7244) - MAX(IF($B$2:$B7243=$B7244, $A$2:$A7243+$C$2:$C7243)), "")*24*60, "")</f>
        <v/>
      </c>
      <c r="R7244" s="24" t="str" cm="1">
        <f t="array" ref="R7244">IFERROR(IF($B7244=R$1, ($A7244+$C7244) - MAX(IF($B$2:$B7243=$B7244, $A$2:$A7243+$C$2:$C7243)), "")*24*60, "")</f>
        <v/>
      </c>
      <c r="S7244" s="24" t="str" cm="1">
        <f t="array" ref="S7244">IFERROR(IF($B7244=S$1, ($A7244+$C7244) - MAX(IF($B$2:$B7243=$B7244, $A$2:$A7243+$C$2:$C7243)), "")*24*60, "")</f>
        <v/>
      </c>
    </row>
    <row r="7245" spans="1:19" x14ac:dyDescent="0.2">
      <c r="A7245" s="12">
        <f t="shared" ref="A7245:C7245" si="1427">A7244</f>
        <v>46015</v>
      </c>
      <c r="B7245" s="5" t="str">
        <f t="shared" si="1427"/>
        <v>Northern Cardinal</v>
      </c>
      <c r="C7245" s="6">
        <f t="shared" si="1427"/>
        <v>0.74097222222222225</v>
      </c>
      <c r="D7245" s="5"/>
      <c r="E7245" s="5"/>
      <c r="F7245" s="5" t="s">
        <v>9</v>
      </c>
      <c r="G7245" s="15" t="s">
        <v>8</v>
      </c>
      <c r="H7245" s="24">
        <f t="shared" si="1407"/>
        <v>0</v>
      </c>
      <c r="I7245" s="24" cm="1">
        <f t="array" ref="I7245">IFERROR(IF($B7245=I$1, ($A7245+$C7245) - MAX(IF($B$2:$B7244=$B7245, $A$2:$A7244+$C$2:$C7244)), "")*24*60, "")</f>
        <v>0</v>
      </c>
      <c r="J7245" s="24" t="str" cm="1">
        <f t="array" ref="J7245">IFERROR(IF($B7245=J$1, ($A7245+$C7245) - MAX(IF($B$2:$B7244=$B7245, $A$2:$A7244+$C$2:$C7244)), "")*24*60, "")</f>
        <v/>
      </c>
      <c r="K7245" s="24" t="str" cm="1">
        <f t="array" ref="K7245">IFERROR(IF($B7245=K$1, ($A7245+$C7245) - MAX(IF($B$2:$B7244=$B7245, $A$2:$A7244+$C$2:$C7244)), "")*24*60, "")</f>
        <v/>
      </c>
      <c r="L7245" s="24" t="str" cm="1">
        <f t="array" ref="L7245">IFERROR(IF($B7245=L$1, ($A7245+$C7245) - MAX(IF($B$2:$B7244=$B7245, $A$2:$A7244+$C$2:$C7244)), "")*24*60, "")</f>
        <v/>
      </c>
      <c r="M7245" s="24" t="str" cm="1">
        <f t="array" ref="M7245">IFERROR(IF($B7245=M$1, ($A7245+$C7245) - MAX(IF($B$2:$B7244=$B7245, $A$2:$A7244+$C$2:$C7244)), "")*24*60, "")</f>
        <v/>
      </c>
      <c r="N7245" s="24" t="str" cm="1">
        <f t="array" ref="N7245">IFERROR(IF($B7245=N$1, ($A7245+$C7245) - MAX(IF($B$2:$B7244=$B7245, $A$2:$A7244+$C$2:$C7244)), "")*24*60, "")</f>
        <v/>
      </c>
      <c r="O7245" s="24" t="str" cm="1">
        <f t="array" ref="O7245">IFERROR(IF($B7245=O$1, ($A7245+$C7245) - MAX(IF($B$2:$B7244=$B7245, $A$2:$A7244+$C$2:$C7244)), "")*24*60, "")</f>
        <v/>
      </c>
      <c r="P7245" s="24" t="str" cm="1">
        <f t="array" ref="P7245">IFERROR(IF($B7245=P$1, ($A7245+$C7245) - MAX(IF($B$2:$B7244=$B7245, $A$2:$A7244+$C$2:$C7244)), "")*24*60, "")</f>
        <v/>
      </c>
      <c r="Q7245" s="24" t="str" cm="1">
        <f t="array" ref="Q7245">IFERROR(IF($B7245=Q$1, ($A7245+$C7245) - MAX(IF($B$2:$B7244=$B7245, $A$2:$A7244+$C$2:$C7244)), "")*24*60, "")</f>
        <v/>
      </c>
      <c r="R7245" s="24" t="str" cm="1">
        <f t="array" ref="R7245">IFERROR(IF($B7245=R$1, ($A7245+$C7245) - MAX(IF($B$2:$B7244=$B7245, $A$2:$A7244+$C$2:$C7244)), "")*24*60, "")</f>
        <v/>
      </c>
      <c r="S7245" s="24" t="str" cm="1">
        <f t="array" ref="S7245">IFERROR(IF($B7245=S$1, ($A7245+$C7245) - MAX(IF($B$2:$B7244=$B7245, $A$2:$A7244+$C$2:$C7244)), "")*24*60, "")</f>
        <v/>
      </c>
    </row>
    <row r="7246" spans="1:19" x14ac:dyDescent="0.2">
      <c r="A7246" s="12">
        <f t="shared" ref="A7246:C7246" si="1428">A7245</f>
        <v>46015</v>
      </c>
      <c r="B7246" s="5" t="str">
        <f t="shared" si="1428"/>
        <v>Northern Cardinal</v>
      </c>
      <c r="C7246" s="6">
        <f t="shared" si="1428"/>
        <v>0.74097222222222225</v>
      </c>
      <c r="D7246" s="5"/>
      <c r="E7246" s="5"/>
      <c r="F7246" s="5" t="s">
        <v>9</v>
      </c>
      <c r="G7246" s="15" t="s">
        <v>8</v>
      </c>
      <c r="H7246" s="24">
        <f t="shared" si="1407"/>
        <v>0</v>
      </c>
      <c r="I7246" s="24" cm="1">
        <f t="array" ref="I7246">IFERROR(IF($B7246=I$1, ($A7246+$C7246) - MAX(IF($B$2:$B7245=$B7246, $A$2:$A7245+$C$2:$C7245)), "")*24*60, "")</f>
        <v>0</v>
      </c>
      <c r="J7246" s="24" t="str" cm="1">
        <f t="array" ref="J7246">IFERROR(IF($B7246=J$1, ($A7246+$C7246) - MAX(IF($B$2:$B7245=$B7246, $A$2:$A7245+$C$2:$C7245)), "")*24*60, "")</f>
        <v/>
      </c>
      <c r="K7246" s="24" t="str" cm="1">
        <f t="array" ref="K7246">IFERROR(IF($B7246=K$1, ($A7246+$C7246) - MAX(IF($B$2:$B7245=$B7246, $A$2:$A7245+$C$2:$C7245)), "")*24*60, "")</f>
        <v/>
      </c>
      <c r="L7246" s="24" t="str" cm="1">
        <f t="array" ref="L7246">IFERROR(IF($B7246=L$1, ($A7246+$C7246) - MAX(IF($B$2:$B7245=$B7246, $A$2:$A7245+$C$2:$C7245)), "")*24*60, "")</f>
        <v/>
      </c>
      <c r="M7246" s="24" t="str" cm="1">
        <f t="array" ref="M7246">IFERROR(IF($B7246=M$1, ($A7246+$C7246) - MAX(IF($B$2:$B7245=$B7246, $A$2:$A7245+$C$2:$C7245)), "")*24*60, "")</f>
        <v/>
      </c>
      <c r="N7246" s="24" t="str" cm="1">
        <f t="array" ref="N7246">IFERROR(IF($B7246=N$1, ($A7246+$C7246) - MAX(IF($B$2:$B7245=$B7246, $A$2:$A7245+$C$2:$C7245)), "")*24*60, "")</f>
        <v/>
      </c>
      <c r="O7246" s="24" t="str" cm="1">
        <f t="array" ref="O7246">IFERROR(IF($B7246=O$1, ($A7246+$C7246) - MAX(IF($B$2:$B7245=$B7246, $A$2:$A7245+$C$2:$C7245)), "")*24*60, "")</f>
        <v/>
      </c>
      <c r="P7246" s="24" t="str" cm="1">
        <f t="array" ref="P7246">IFERROR(IF($B7246=P$1, ($A7246+$C7246) - MAX(IF($B$2:$B7245=$B7246, $A$2:$A7245+$C$2:$C7245)), "")*24*60, "")</f>
        <v/>
      </c>
      <c r="Q7246" s="24" t="str" cm="1">
        <f t="array" ref="Q7246">IFERROR(IF($B7246=Q$1, ($A7246+$C7246) - MAX(IF($B$2:$B7245=$B7246, $A$2:$A7245+$C$2:$C7245)), "")*24*60, "")</f>
        <v/>
      </c>
      <c r="R7246" s="24" t="str" cm="1">
        <f t="array" ref="R7246">IFERROR(IF($B7246=R$1, ($A7246+$C7246) - MAX(IF($B$2:$B7245=$B7246, $A$2:$A7245+$C$2:$C7245)), "")*24*60, "")</f>
        <v/>
      </c>
      <c r="S7246" s="24" t="str" cm="1">
        <f t="array" ref="S7246">IFERROR(IF($B7246=S$1, ($A7246+$C7246) - MAX(IF($B$2:$B7245=$B7246, $A$2:$A7245+$C$2:$C7245)), "")*24*60, "")</f>
        <v/>
      </c>
    </row>
    <row r="7247" spans="1:19" x14ac:dyDescent="0.2">
      <c r="A7247" s="12">
        <f t="shared" ref="A7247:C7247" si="1429">A7246</f>
        <v>46015</v>
      </c>
      <c r="B7247" s="5" t="str">
        <f t="shared" si="1429"/>
        <v>Northern Cardinal</v>
      </c>
      <c r="C7247" s="6">
        <f t="shared" si="1429"/>
        <v>0.74097222222222225</v>
      </c>
      <c r="D7247" s="5"/>
      <c r="E7247" s="5"/>
      <c r="F7247" s="5" t="s">
        <v>9</v>
      </c>
      <c r="G7247" s="15" t="s">
        <v>8</v>
      </c>
      <c r="H7247" s="24">
        <f t="shared" si="1407"/>
        <v>0</v>
      </c>
      <c r="I7247" s="24" cm="1">
        <f t="array" ref="I7247">IFERROR(IF($B7247=I$1, ($A7247+$C7247) - MAX(IF($B$2:$B7246=$B7247, $A$2:$A7246+$C$2:$C7246)), "")*24*60, "")</f>
        <v>0</v>
      </c>
      <c r="J7247" s="24" t="str" cm="1">
        <f t="array" ref="J7247">IFERROR(IF($B7247=J$1, ($A7247+$C7247) - MAX(IF($B$2:$B7246=$B7247, $A$2:$A7246+$C$2:$C7246)), "")*24*60, "")</f>
        <v/>
      </c>
      <c r="K7247" s="24" t="str" cm="1">
        <f t="array" ref="K7247">IFERROR(IF($B7247=K$1, ($A7247+$C7247) - MAX(IF($B$2:$B7246=$B7247, $A$2:$A7246+$C$2:$C7246)), "")*24*60, "")</f>
        <v/>
      </c>
      <c r="L7247" s="24" t="str" cm="1">
        <f t="array" ref="L7247">IFERROR(IF($B7247=L$1, ($A7247+$C7247) - MAX(IF($B$2:$B7246=$B7247, $A$2:$A7246+$C$2:$C7246)), "")*24*60, "")</f>
        <v/>
      </c>
      <c r="M7247" s="24" t="str" cm="1">
        <f t="array" ref="M7247">IFERROR(IF($B7247=M$1, ($A7247+$C7247) - MAX(IF($B$2:$B7246=$B7247, $A$2:$A7246+$C$2:$C7246)), "")*24*60, "")</f>
        <v/>
      </c>
      <c r="N7247" s="24" t="str" cm="1">
        <f t="array" ref="N7247">IFERROR(IF($B7247=N$1, ($A7247+$C7247) - MAX(IF($B$2:$B7246=$B7247, $A$2:$A7246+$C$2:$C7246)), "")*24*60, "")</f>
        <v/>
      </c>
      <c r="O7247" s="24" t="str" cm="1">
        <f t="array" ref="O7247">IFERROR(IF($B7247=O$1, ($A7247+$C7247) - MAX(IF($B$2:$B7246=$B7247, $A$2:$A7246+$C$2:$C7246)), "")*24*60, "")</f>
        <v/>
      </c>
      <c r="P7247" s="24" t="str" cm="1">
        <f t="array" ref="P7247">IFERROR(IF($B7247=P$1, ($A7247+$C7247) - MAX(IF($B$2:$B7246=$B7247, $A$2:$A7246+$C$2:$C7246)), "")*24*60, "")</f>
        <v/>
      </c>
      <c r="Q7247" s="24" t="str" cm="1">
        <f t="array" ref="Q7247">IFERROR(IF($B7247=Q$1, ($A7247+$C7247) - MAX(IF($B$2:$B7246=$B7247, $A$2:$A7246+$C$2:$C7246)), "")*24*60, "")</f>
        <v/>
      </c>
      <c r="R7247" s="24" t="str" cm="1">
        <f t="array" ref="R7247">IFERROR(IF($B7247=R$1, ($A7247+$C7247) - MAX(IF($B$2:$B7246=$B7247, $A$2:$A7246+$C$2:$C7246)), "")*24*60, "")</f>
        <v/>
      </c>
      <c r="S7247" s="24" t="str" cm="1">
        <f t="array" ref="S7247">IFERROR(IF($B7247=S$1, ($A7247+$C7247) - MAX(IF($B$2:$B7246=$B7247, $A$2:$A7246+$C$2:$C7246)), "")*24*60, "")</f>
        <v/>
      </c>
    </row>
    <row r="7248" spans="1:19" x14ac:dyDescent="0.2">
      <c r="A7248" s="12">
        <f t="shared" ref="A7248:C7248" si="1430">A7247</f>
        <v>46015</v>
      </c>
      <c r="B7248" s="5" t="str">
        <f t="shared" si="1430"/>
        <v>Northern Cardinal</v>
      </c>
      <c r="C7248" s="6">
        <f t="shared" si="1430"/>
        <v>0.74097222222222225</v>
      </c>
      <c r="D7248" s="5"/>
      <c r="E7248" s="5"/>
      <c r="F7248" s="5" t="s">
        <v>9</v>
      </c>
      <c r="G7248" s="15" t="s">
        <v>8</v>
      </c>
      <c r="H7248" s="24">
        <f t="shared" si="1407"/>
        <v>0</v>
      </c>
      <c r="I7248" s="24" cm="1">
        <f t="array" ref="I7248">IFERROR(IF($B7248=I$1, ($A7248+$C7248) - MAX(IF($B$2:$B7247=$B7248, $A$2:$A7247+$C$2:$C7247)), "")*24*60, "")</f>
        <v>0</v>
      </c>
      <c r="J7248" s="24" t="str" cm="1">
        <f t="array" ref="J7248">IFERROR(IF($B7248=J$1, ($A7248+$C7248) - MAX(IF($B$2:$B7247=$B7248, $A$2:$A7247+$C$2:$C7247)), "")*24*60, "")</f>
        <v/>
      </c>
      <c r="K7248" s="24" t="str" cm="1">
        <f t="array" ref="K7248">IFERROR(IF($B7248=K$1, ($A7248+$C7248) - MAX(IF($B$2:$B7247=$B7248, $A$2:$A7247+$C$2:$C7247)), "")*24*60, "")</f>
        <v/>
      </c>
      <c r="L7248" s="24" t="str" cm="1">
        <f t="array" ref="L7248">IFERROR(IF($B7248=L$1, ($A7248+$C7248) - MAX(IF($B$2:$B7247=$B7248, $A$2:$A7247+$C$2:$C7247)), "")*24*60, "")</f>
        <v/>
      </c>
      <c r="M7248" s="24" t="str" cm="1">
        <f t="array" ref="M7248">IFERROR(IF($B7248=M$1, ($A7248+$C7248) - MAX(IF($B$2:$B7247=$B7248, $A$2:$A7247+$C$2:$C7247)), "")*24*60, "")</f>
        <v/>
      </c>
      <c r="N7248" s="24" t="str" cm="1">
        <f t="array" ref="N7248">IFERROR(IF($B7248=N$1, ($A7248+$C7248) - MAX(IF($B$2:$B7247=$B7248, $A$2:$A7247+$C$2:$C7247)), "")*24*60, "")</f>
        <v/>
      </c>
      <c r="O7248" s="24" t="str" cm="1">
        <f t="array" ref="O7248">IFERROR(IF($B7248=O$1, ($A7248+$C7248) - MAX(IF($B$2:$B7247=$B7248, $A$2:$A7247+$C$2:$C7247)), "")*24*60, "")</f>
        <v/>
      </c>
      <c r="P7248" s="24" t="str" cm="1">
        <f t="array" ref="P7248">IFERROR(IF($B7248=P$1, ($A7248+$C7248) - MAX(IF($B$2:$B7247=$B7248, $A$2:$A7247+$C$2:$C7247)), "")*24*60, "")</f>
        <v/>
      </c>
      <c r="Q7248" s="24" t="str" cm="1">
        <f t="array" ref="Q7248">IFERROR(IF($B7248=Q$1, ($A7248+$C7248) - MAX(IF($B$2:$B7247=$B7248, $A$2:$A7247+$C$2:$C7247)), "")*24*60, "")</f>
        <v/>
      </c>
      <c r="R7248" s="24" t="str" cm="1">
        <f t="array" ref="R7248">IFERROR(IF($B7248=R$1, ($A7248+$C7248) - MAX(IF($B$2:$B7247=$B7248, $A$2:$A7247+$C$2:$C7247)), "")*24*60, "")</f>
        <v/>
      </c>
      <c r="S7248" s="24" t="str" cm="1">
        <f t="array" ref="S7248">IFERROR(IF($B7248=S$1, ($A7248+$C7248) - MAX(IF($B$2:$B7247=$B7248, $A$2:$A7247+$C$2:$C7247)), "")*24*60, "")</f>
        <v/>
      </c>
    </row>
    <row r="7249" spans="1:19" x14ac:dyDescent="0.2">
      <c r="A7249" s="12">
        <f t="shared" ref="A7249:C7249" si="1431">A7248</f>
        <v>46015</v>
      </c>
      <c r="B7249" s="5" t="str">
        <f t="shared" si="1431"/>
        <v>Northern Cardinal</v>
      </c>
      <c r="C7249" s="6">
        <f t="shared" si="1431"/>
        <v>0.74097222222222225</v>
      </c>
      <c r="D7249" s="5"/>
      <c r="E7249" s="5"/>
      <c r="F7249" s="5" t="s">
        <v>9</v>
      </c>
      <c r="G7249" s="15" t="s">
        <v>8</v>
      </c>
      <c r="H7249" s="24">
        <f t="shared" si="1407"/>
        <v>0</v>
      </c>
      <c r="I7249" s="24" cm="1">
        <f t="array" ref="I7249">IFERROR(IF($B7249=I$1, ($A7249+$C7249) - MAX(IF($B$2:$B7248=$B7249, $A$2:$A7248+$C$2:$C7248)), "")*24*60, "")</f>
        <v>0</v>
      </c>
      <c r="J7249" s="24" t="str" cm="1">
        <f t="array" ref="J7249">IFERROR(IF($B7249=J$1, ($A7249+$C7249) - MAX(IF($B$2:$B7248=$B7249, $A$2:$A7248+$C$2:$C7248)), "")*24*60, "")</f>
        <v/>
      </c>
      <c r="K7249" s="24" t="str" cm="1">
        <f t="array" ref="K7249">IFERROR(IF($B7249=K$1, ($A7249+$C7249) - MAX(IF($B$2:$B7248=$B7249, $A$2:$A7248+$C$2:$C7248)), "")*24*60, "")</f>
        <v/>
      </c>
      <c r="L7249" s="24" t="str" cm="1">
        <f t="array" ref="L7249">IFERROR(IF($B7249=L$1, ($A7249+$C7249) - MAX(IF($B$2:$B7248=$B7249, $A$2:$A7248+$C$2:$C7248)), "")*24*60, "")</f>
        <v/>
      </c>
      <c r="M7249" s="24" t="str" cm="1">
        <f t="array" ref="M7249">IFERROR(IF($B7249=M$1, ($A7249+$C7249) - MAX(IF($B$2:$B7248=$B7249, $A$2:$A7248+$C$2:$C7248)), "")*24*60, "")</f>
        <v/>
      </c>
      <c r="N7249" s="24" t="str" cm="1">
        <f t="array" ref="N7249">IFERROR(IF($B7249=N$1, ($A7249+$C7249) - MAX(IF($B$2:$B7248=$B7249, $A$2:$A7248+$C$2:$C7248)), "")*24*60, "")</f>
        <v/>
      </c>
      <c r="O7249" s="24" t="str" cm="1">
        <f t="array" ref="O7249">IFERROR(IF($B7249=O$1, ($A7249+$C7249) - MAX(IF($B$2:$B7248=$B7249, $A$2:$A7248+$C$2:$C7248)), "")*24*60, "")</f>
        <v/>
      </c>
      <c r="P7249" s="24" t="str" cm="1">
        <f t="array" ref="P7249">IFERROR(IF($B7249=P$1, ($A7249+$C7249) - MAX(IF($B$2:$B7248=$B7249, $A$2:$A7248+$C$2:$C7248)), "")*24*60, "")</f>
        <v/>
      </c>
      <c r="Q7249" s="24" t="str" cm="1">
        <f t="array" ref="Q7249">IFERROR(IF($B7249=Q$1, ($A7249+$C7249) - MAX(IF($B$2:$B7248=$B7249, $A$2:$A7248+$C$2:$C7248)), "")*24*60, "")</f>
        <v/>
      </c>
      <c r="R7249" s="24" t="str" cm="1">
        <f t="array" ref="R7249">IFERROR(IF($B7249=R$1, ($A7249+$C7249) - MAX(IF($B$2:$B7248=$B7249, $A$2:$A7248+$C$2:$C7248)), "")*24*60, "")</f>
        <v/>
      </c>
      <c r="S7249" s="24" t="str" cm="1">
        <f t="array" ref="S7249">IFERROR(IF($B7249=S$1, ($A7249+$C7249) - MAX(IF($B$2:$B7248=$B7249, $A$2:$A7248+$C$2:$C7248)), "")*24*60, "")</f>
        <v/>
      </c>
    </row>
    <row r="7250" spans="1:19" x14ac:dyDescent="0.2">
      <c r="A7250" s="12">
        <f t="shared" ref="A7250:C7250" si="1432">A7249</f>
        <v>46015</v>
      </c>
      <c r="B7250" s="5" t="str">
        <f t="shared" si="1432"/>
        <v>Northern Cardinal</v>
      </c>
      <c r="C7250" s="6">
        <f t="shared" si="1432"/>
        <v>0.74097222222222225</v>
      </c>
      <c r="D7250" s="5"/>
      <c r="E7250" s="5"/>
      <c r="F7250" s="5" t="s">
        <v>9</v>
      </c>
      <c r="G7250" s="15" t="s">
        <v>8</v>
      </c>
      <c r="H7250" s="24">
        <f t="shared" si="1407"/>
        <v>0</v>
      </c>
      <c r="I7250" s="24" cm="1">
        <f t="array" ref="I7250">IFERROR(IF($B7250=I$1, ($A7250+$C7250) - MAX(IF($B$2:$B7249=$B7250, $A$2:$A7249+$C$2:$C7249)), "")*24*60, "")</f>
        <v>0</v>
      </c>
      <c r="J7250" s="24" t="str" cm="1">
        <f t="array" ref="J7250">IFERROR(IF($B7250=J$1, ($A7250+$C7250) - MAX(IF($B$2:$B7249=$B7250, $A$2:$A7249+$C$2:$C7249)), "")*24*60, "")</f>
        <v/>
      </c>
      <c r="K7250" s="24" t="str" cm="1">
        <f t="array" ref="K7250">IFERROR(IF($B7250=K$1, ($A7250+$C7250) - MAX(IF($B$2:$B7249=$B7250, $A$2:$A7249+$C$2:$C7249)), "")*24*60, "")</f>
        <v/>
      </c>
      <c r="L7250" s="24" t="str" cm="1">
        <f t="array" ref="L7250">IFERROR(IF($B7250=L$1, ($A7250+$C7250) - MAX(IF($B$2:$B7249=$B7250, $A$2:$A7249+$C$2:$C7249)), "")*24*60, "")</f>
        <v/>
      </c>
      <c r="M7250" s="24" t="str" cm="1">
        <f t="array" ref="M7250">IFERROR(IF($B7250=M$1, ($A7250+$C7250) - MAX(IF($B$2:$B7249=$B7250, $A$2:$A7249+$C$2:$C7249)), "")*24*60, "")</f>
        <v/>
      </c>
      <c r="N7250" s="24" t="str" cm="1">
        <f t="array" ref="N7250">IFERROR(IF($B7250=N$1, ($A7250+$C7250) - MAX(IF($B$2:$B7249=$B7250, $A$2:$A7249+$C$2:$C7249)), "")*24*60, "")</f>
        <v/>
      </c>
      <c r="O7250" s="24" t="str" cm="1">
        <f t="array" ref="O7250">IFERROR(IF($B7250=O$1, ($A7250+$C7250) - MAX(IF($B$2:$B7249=$B7250, $A$2:$A7249+$C$2:$C7249)), "")*24*60, "")</f>
        <v/>
      </c>
      <c r="P7250" s="24" t="str" cm="1">
        <f t="array" ref="P7250">IFERROR(IF($B7250=P$1, ($A7250+$C7250) - MAX(IF($B$2:$B7249=$B7250, $A$2:$A7249+$C$2:$C7249)), "")*24*60, "")</f>
        <v/>
      </c>
      <c r="Q7250" s="24" t="str" cm="1">
        <f t="array" ref="Q7250">IFERROR(IF($B7250=Q$1, ($A7250+$C7250) - MAX(IF($B$2:$B7249=$B7250, $A$2:$A7249+$C$2:$C7249)), "")*24*60, "")</f>
        <v/>
      </c>
      <c r="R7250" s="24" t="str" cm="1">
        <f t="array" ref="R7250">IFERROR(IF($B7250=R$1, ($A7250+$C7250) - MAX(IF($B$2:$B7249=$B7250, $A$2:$A7249+$C$2:$C7249)), "")*24*60, "")</f>
        <v/>
      </c>
      <c r="S7250" s="24" t="str" cm="1">
        <f t="array" ref="S7250">IFERROR(IF($B7250=S$1, ($A7250+$C7250) - MAX(IF($B$2:$B7249=$B7250, $A$2:$A7249+$C$2:$C7249)), "")*24*60, "")</f>
        <v/>
      </c>
    </row>
    <row r="7251" spans="1:19" x14ac:dyDescent="0.2">
      <c r="A7251" s="12">
        <f t="shared" ref="A7251:C7251" si="1433">A7250</f>
        <v>46015</v>
      </c>
      <c r="B7251" s="5" t="str">
        <f t="shared" si="1433"/>
        <v>Northern Cardinal</v>
      </c>
      <c r="C7251" s="6">
        <f t="shared" si="1433"/>
        <v>0.74097222222222225</v>
      </c>
      <c r="D7251" s="5"/>
      <c r="E7251" s="5"/>
      <c r="F7251" s="5" t="s">
        <v>9</v>
      </c>
      <c r="G7251" s="15" t="s">
        <v>8</v>
      </c>
      <c r="H7251" s="24">
        <f t="shared" si="1407"/>
        <v>0</v>
      </c>
      <c r="I7251" s="24" cm="1">
        <f t="array" ref="I7251">IFERROR(IF($B7251=I$1, ($A7251+$C7251) - MAX(IF($B$2:$B7250=$B7251, $A$2:$A7250+$C$2:$C7250)), "")*24*60, "")</f>
        <v>0</v>
      </c>
      <c r="J7251" s="24" t="str" cm="1">
        <f t="array" ref="J7251">IFERROR(IF($B7251=J$1, ($A7251+$C7251) - MAX(IF($B$2:$B7250=$B7251, $A$2:$A7250+$C$2:$C7250)), "")*24*60, "")</f>
        <v/>
      </c>
      <c r="K7251" s="24" t="str" cm="1">
        <f t="array" ref="K7251">IFERROR(IF($B7251=K$1, ($A7251+$C7251) - MAX(IF($B$2:$B7250=$B7251, $A$2:$A7250+$C$2:$C7250)), "")*24*60, "")</f>
        <v/>
      </c>
      <c r="L7251" s="24" t="str" cm="1">
        <f t="array" ref="L7251">IFERROR(IF($B7251=L$1, ($A7251+$C7251) - MAX(IF($B$2:$B7250=$B7251, $A$2:$A7250+$C$2:$C7250)), "")*24*60, "")</f>
        <v/>
      </c>
      <c r="M7251" s="24" t="str" cm="1">
        <f t="array" ref="M7251">IFERROR(IF($B7251=M$1, ($A7251+$C7251) - MAX(IF($B$2:$B7250=$B7251, $A$2:$A7250+$C$2:$C7250)), "")*24*60, "")</f>
        <v/>
      </c>
      <c r="N7251" s="24" t="str" cm="1">
        <f t="array" ref="N7251">IFERROR(IF($B7251=N$1, ($A7251+$C7251) - MAX(IF($B$2:$B7250=$B7251, $A$2:$A7250+$C$2:$C7250)), "")*24*60, "")</f>
        <v/>
      </c>
      <c r="O7251" s="24" t="str" cm="1">
        <f t="array" ref="O7251">IFERROR(IF($B7251=O$1, ($A7251+$C7251) - MAX(IF($B$2:$B7250=$B7251, $A$2:$A7250+$C$2:$C7250)), "")*24*60, "")</f>
        <v/>
      </c>
      <c r="P7251" s="24" t="str" cm="1">
        <f t="array" ref="P7251">IFERROR(IF($B7251=P$1, ($A7251+$C7251) - MAX(IF($B$2:$B7250=$B7251, $A$2:$A7250+$C$2:$C7250)), "")*24*60, "")</f>
        <v/>
      </c>
      <c r="Q7251" s="24" t="str" cm="1">
        <f t="array" ref="Q7251">IFERROR(IF($B7251=Q$1, ($A7251+$C7251) - MAX(IF($B$2:$B7250=$B7251, $A$2:$A7250+$C$2:$C7250)), "")*24*60, "")</f>
        <v/>
      </c>
      <c r="R7251" s="24" t="str" cm="1">
        <f t="array" ref="R7251">IFERROR(IF($B7251=R$1, ($A7251+$C7251) - MAX(IF($B$2:$B7250=$B7251, $A$2:$A7250+$C$2:$C7250)), "")*24*60, "")</f>
        <v/>
      </c>
      <c r="S7251" s="24" t="str" cm="1">
        <f t="array" ref="S7251">IFERROR(IF($B7251=S$1, ($A7251+$C7251) - MAX(IF($B$2:$B7250=$B7251, $A$2:$A7250+$C$2:$C7250)), "")*24*60, "")</f>
        <v/>
      </c>
    </row>
    <row r="7252" spans="1:19" x14ac:dyDescent="0.2">
      <c r="A7252" s="12">
        <f t="shared" ref="A7252:C7252" si="1434">A7251</f>
        <v>46015</v>
      </c>
      <c r="B7252" s="5" t="str">
        <f t="shared" si="1434"/>
        <v>Northern Cardinal</v>
      </c>
      <c r="C7252" s="6">
        <f t="shared" si="1434"/>
        <v>0.74097222222222225</v>
      </c>
      <c r="D7252" s="5"/>
      <c r="E7252" s="5"/>
      <c r="F7252" s="5" t="s">
        <v>9</v>
      </c>
      <c r="G7252" s="15" t="s">
        <v>8</v>
      </c>
      <c r="H7252" s="24">
        <f t="shared" si="1407"/>
        <v>0</v>
      </c>
      <c r="I7252" s="24" cm="1">
        <f t="array" ref="I7252">IFERROR(IF($B7252=I$1, ($A7252+$C7252) - MAX(IF($B$2:$B7251=$B7252, $A$2:$A7251+$C$2:$C7251)), "")*24*60, "")</f>
        <v>0</v>
      </c>
      <c r="J7252" s="24" t="str" cm="1">
        <f t="array" ref="J7252">IFERROR(IF($B7252=J$1, ($A7252+$C7252) - MAX(IF($B$2:$B7251=$B7252, $A$2:$A7251+$C$2:$C7251)), "")*24*60, "")</f>
        <v/>
      </c>
      <c r="K7252" s="24" t="str" cm="1">
        <f t="array" ref="K7252">IFERROR(IF($B7252=K$1, ($A7252+$C7252) - MAX(IF($B$2:$B7251=$B7252, $A$2:$A7251+$C$2:$C7251)), "")*24*60, "")</f>
        <v/>
      </c>
      <c r="L7252" s="24" t="str" cm="1">
        <f t="array" ref="L7252">IFERROR(IF($B7252=L$1, ($A7252+$C7252) - MAX(IF($B$2:$B7251=$B7252, $A$2:$A7251+$C$2:$C7251)), "")*24*60, "")</f>
        <v/>
      </c>
      <c r="M7252" s="24" t="str" cm="1">
        <f t="array" ref="M7252">IFERROR(IF($B7252=M$1, ($A7252+$C7252) - MAX(IF($B$2:$B7251=$B7252, $A$2:$A7251+$C$2:$C7251)), "")*24*60, "")</f>
        <v/>
      </c>
      <c r="N7252" s="24" t="str" cm="1">
        <f t="array" ref="N7252">IFERROR(IF($B7252=N$1, ($A7252+$C7252) - MAX(IF($B$2:$B7251=$B7252, $A$2:$A7251+$C$2:$C7251)), "")*24*60, "")</f>
        <v/>
      </c>
      <c r="O7252" s="24" t="str" cm="1">
        <f t="array" ref="O7252">IFERROR(IF($B7252=O$1, ($A7252+$C7252) - MAX(IF($B$2:$B7251=$B7252, $A$2:$A7251+$C$2:$C7251)), "")*24*60, "")</f>
        <v/>
      </c>
      <c r="P7252" s="24" t="str" cm="1">
        <f t="array" ref="P7252">IFERROR(IF($B7252=P$1, ($A7252+$C7252) - MAX(IF($B$2:$B7251=$B7252, $A$2:$A7251+$C$2:$C7251)), "")*24*60, "")</f>
        <v/>
      </c>
      <c r="Q7252" s="24" t="str" cm="1">
        <f t="array" ref="Q7252">IFERROR(IF($B7252=Q$1, ($A7252+$C7252) - MAX(IF($B$2:$B7251=$B7252, $A$2:$A7251+$C$2:$C7251)), "")*24*60, "")</f>
        <v/>
      </c>
      <c r="R7252" s="24" t="str" cm="1">
        <f t="array" ref="R7252">IFERROR(IF($B7252=R$1, ($A7252+$C7252) - MAX(IF($B$2:$B7251=$B7252, $A$2:$A7251+$C$2:$C7251)), "")*24*60, "")</f>
        <v/>
      </c>
      <c r="S7252" s="24" t="str" cm="1">
        <f t="array" ref="S7252">IFERROR(IF($B7252=S$1, ($A7252+$C7252) - MAX(IF($B$2:$B7251=$B7252, $A$2:$A7251+$C$2:$C7251)), "")*24*60, "")</f>
        <v/>
      </c>
    </row>
    <row r="7253" spans="1:19" x14ac:dyDescent="0.2">
      <c r="A7253" s="12">
        <f t="shared" ref="A7253:C7253" si="1435">A7252</f>
        <v>46015</v>
      </c>
      <c r="B7253" s="5" t="str">
        <f t="shared" si="1435"/>
        <v>Northern Cardinal</v>
      </c>
      <c r="C7253" s="6">
        <f t="shared" si="1435"/>
        <v>0.74097222222222225</v>
      </c>
      <c r="D7253" s="5"/>
      <c r="E7253" s="5"/>
      <c r="F7253" s="5" t="s">
        <v>9</v>
      </c>
      <c r="G7253" s="15" t="s">
        <v>8</v>
      </c>
      <c r="H7253" s="24">
        <f t="shared" si="1407"/>
        <v>0</v>
      </c>
      <c r="I7253" s="24" cm="1">
        <f t="array" ref="I7253">IFERROR(IF($B7253=I$1, ($A7253+$C7253) - MAX(IF($B$2:$B7252=$B7253, $A$2:$A7252+$C$2:$C7252)), "")*24*60, "")</f>
        <v>0</v>
      </c>
      <c r="J7253" s="24" t="str" cm="1">
        <f t="array" ref="J7253">IFERROR(IF($B7253=J$1, ($A7253+$C7253) - MAX(IF($B$2:$B7252=$B7253, $A$2:$A7252+$C$2:$C7252)), "")*24*60, "")</f>
        <v/>
      </c>
      <c r="K7253" s="24" t="str" cm="1">
        <f t="array" ref="K7253">IFERROR(IF($B7253=K$1, ($A7253+$C7253) - MAX(IF($B$2:$B7252=$B7253, $A$2:$A7252+$C$2:$C7252)), "")*24*60, "")</f>
        <v/>
      </c>
      <c r="L7253" s="24" t="str" cm="1">
        <f t="array" ref="L7253">IFERROR(IF($B7253=L$1, ($A7253+$C7253) - MAX(IF($B$2:$B7252=$B7253, $A$2:$A7252+$C$2:$C7252)), "")*24*60, "")</f>
        <v/>
      </c>
      <c r="M7253" s="24" t="str" cm="1">
        <f t="array" ref="M7253">IFERROR(IF($B7253=M$1, ($A7253+$C7253) - MAX(IF($B$2:$B7252=$B7253, $A$2:$A7252+$C$2:$C7252)), "")*24*60, "")</f>
        <v/>
      </c>
      <c r="N7253" s="24" t="str" cm="1">
        <f t="array" ref="N7253">IFERROR(IF($B7253=N$1, ($A7253+$C7253) - MAX(IF($B$2:$B7252=$B7253, $A$2:$A7252+$C$2:$C7252)), "")*24*60, "")</f>
        <v/>
      </c>
      <c r="O7253" s="24" t="str" cm="1">
        <f t="array" ref="O7253">IFERROR(IF($B7253=O$1, ($A7253+$C7253) - MAX(IF($B$2:$B7252=$B7253, $A$2:$A7252+$C$2:$C7252)), "")*24*60, "")</f>
        <v/>
      </c>
      <c r="P7253" s="24" t="str" cm="1">
        <f t="array" ref="P7253">IFERROR(IF($B7253=P$1, ($A7253+$C7253) - MAX(IF($B$2:$B7252=$B7253, $A$2:$A7252+$C$2:$C7252)), "")*24*60, "")</f>
        <v/>
      </c>
      <c r="Q7253" s="24" t="str" cm="1">
        <f t="array" ref="Q7253">IFERROR(IF($B7253=Q$1, ($A7253+$C7253) - MAX(IF($B$2:$B7252=$B7253, $A$2:$A7252+$C$2:$C7252)), "")*24*60, "")</f>
        <v/>
      </c>
      <c r="R7253" s="24" t="str" cm="1">
        <f t="array" ref="R7253">IFERROR(IF($B7253=R$1, ($A7253+$C7253) - MAX(IF($B$2:$B7252=$B7253, $A$2:$A7252+$C$2:$C7252)), "")*24*60, "")</f>
        <v/>
      </c>
      <c r="S7253" s="24" t="str" cm="1">
        <f t="array" ref="S7253">IFERROR(IF($B7253=S$1, ($A7253+$C7253) - MAX(IF($B$2:$B7252=$B7253, $A$2:$A7252+$C$2:$C7252)), "")*24*60, "")</f>
        <v/>
      </c>
    </row>
    <row r="7254" spans="1:19" x14ac:dyDescent="0.2">
      <c r="A7254" s="12">
        <f t="shared" ref="A7254:C7254" si="1436">A7253</f>
        <v>46015</v>
      </c>
      <c r="B7254" s="5" t="str">
        <f t="shared" si="1436"/>
        <v>Northern Cardinal</v>
      </c>
      <c r="C7254" s="6">
        <f t="shared" si="1436"/>
        <v>0.74097222222222225</v>
      </c>
      <c r="D7254" s="5"/>
      <c r="E7254" s="5"/>
      <c r="F7254" s="5" t="s">
        <v>9</v>
      </c>
      <c r="G7254" s="15" t="s">
        <v>8</v>
      </c>
      <c r="H7254" s="24">
        <f t="shared" si="1407"/>
        <v>0</v>
      </c>
      <c r="I7254" s="24" cm="1">
        <f t="array" ref="I7254">IFERROR(IF($B7254=I$1, ($A7254+$C7254) - MAX(IF($B$2:$B7253=$B7254, $A$2:$A7253+$C$2:$C7253)), "")*24*60, "")</f>
        <v>0</v>
      </c>
      <c r="J7254" s="24" t="str" cm="1">
        <f t="array" ref="J7254">IFERROR(IF($B7254=J$1, ($A7254+$C7254) - MAX(IF($B$2:$B7253=$B7254, $A$2:$A7253+$C$2:$C7253)), "")*24*60, "")</f>
        <v/>
      </c>
      <c r="K7254" s="24" t="str" cm="1">
        <f t="array" ref="K7254">IFERROR(IF($B7254=K$1, ($A7254+$C7254) - MAX(IF($B$2:$B7253=$B7254, $A$2:$A7253+$C$2:$C7253)), "")*24*60, "")</f>
        <v/>
      </c>
      <c r="L7254" s="24" t="str" cm="1">
        <f t="array" ref="L7254">IFERROR(IF($B7254=L$1, ($A7254+$C7254) - MAX(IF($B$2:$B7253=$B7254, $A$2:$A7253+$C$2:$C7253)), "")*24*60, "")</f>
        <v/>
      </c>
      <c r="M7254" s="24" t="str" cm="1">
        <f t="array" ref="M7254">IFERROR(IF($B7254=M$1, ($A7254+$C7254) - MAX(IF($B$2:$B7253=$B7254, $A$2:$A7253+$C$2:$C7253)), "")*24*60, "")</f>
        <v/>
      </c>
      <c r="N7254" s="24" t="str" cm="1">
        <f t="array" ref="N7254">IFERROR(IF($B7254=N$1, ($A7254+$C7254) - MAX(IF($B$2:$B7253=$B7254, $A$2:$A7253+$C$2:$C7253)), "")*24*60, "")</f>
        <v/>
      </c>
      <c r="O7254" s="24" t="str" cm="1">
        <f t="array" ref="O7254">IFERROR(IF($B7254=O$1, ($A7254+$C7254) - MAX(IF($B$2:$B7253=$B7254, $A$2:$A7253+$C$2:$C7253)), "")*24*60, "")</f>
        <v/>
      </c>
      <c r="P7254" s="24" t="str" cm="1">
        <f t="array" ref="P7254">IFERROR(IF($B7254=P$1, ($A7254+$C7254) - MAX(IF($B$2:$B7253=$B7254, $A$2:$A7253+$C$2:$C7253)), "")*24*60, "")</f>
        <v/>
      </c>
      <c r="Q7254" s="24" t="str" cm="1">
        <f t="array" ref="Q7254">IFERROR(IF($B7254=Q$1, ($A7254+$C7254) - MAX(IF($B$2:$B7253=$B7254, $A$2:$A7253+$C$2:$C7253)), "")*24*60, "")</f>
        <v/>
      </c>
      <c r="R7254" s="24" t="str" cm="1">
        <f t="array" ref="R7254">IFERROR(IF($B7254=R$1, ($A7254+$C7254) - MAX(IF($B$2:$B7253=$B7254, $A$2:$A7253+$C$2:$C7253)), "")*24*60, "")</f>
        <v/>
      </c>
      <c r="S7254" s="24" t="str" cm="1">
        <f t="array" ref="S7254">IFERROR(IF($B7254=S$1, ($A7254+$C7254) - MAX(IF($B$2:$B7253=$B7254, $A$2:$A7253+$C$2:$C7253)), "")*24*60, "")</f>
        <v/>
      </c>
    </row>
    <row r="7255" spans="1:19" x14ac:dyDescent="0.2">
      <c r="A7255" s="12">
        <f t="shared" ref="A7255:C7255" si="1437">A7254</f>
        <v>46015</v>
      </c>
      <c r="B7255" s="5" t="str">
        <f t="shared" si="1437"/>
        <v>Northern Cardinal</v>
      </c>
      <c r="C7255" s="6">
        <f t="shared" si="1437"/>
        <v>0.74097222222222225</v>
      </c>
      <c r="D7255" s="5"/>
      <c r="E7255" s="5"/>
      <c r="F7255" s="5" t="s">
        <v>9</v>
      </c>
      <c r="G7255" s="15" t="s">
        <v>8</v>
      </c>
      <c r="H7255" s="24">
        <f t="shared" si="1407"/>
        <v>0</v>
      </c>
      <c r="I7255" s="24" cm="1">
        <f t="array" ref="I7255">IFERROR(IF($B7255=I$1, ($A7255+$C7255) - MAX(IF($B$2:$B7254=$B7255, $A$2:$A7254+$C$2:$C7254)), "")*24*60, "")</f>
        <v>0</v>
      </c>
      <c r="J7255" s="24" t="str" cm="1">
        <f t="array" ref="J7255">IFERROR(IF($B7255=J$1, ($A7255+$C7255) - MAX(IF($B$2:$B7254=$B7255, $A$2:$A7254+$C$2:$C7254)), "")*24*60, "")</f>
        <v/>
      </c>
      <c r="K7255" s="24" t="str" cm="1">
        <f t="array" ref="K7255">IFERROR(IF($B7255=K$1, ($A7255+$C7255) - MAX(IF($B$2:$B7254=$B7255, $A$2:$A7254+$C$2:$C7254)), "")*24*60, "")</f>
        <v/>
      </c>
      <c r="L7255" s="24" t="str" cm="1">
        <f t="array" ref="L7255">IFERROR(IF($B7255=L$1, ($A7255+$C7255) - MAX(IF($B$2:$B7254=$B7255, $A$2:$A7254+$C$2:$C7254)), "")*24*60, "")</f>
        <v/>
      </c>
      <c r="M7255" s="24" t="str" cm="1">
        <f t="array" ref="M7255">IFERROR(IF($B7255=M$1, ($A7255+$C7255) - MAX(IF($B$2:$B7254=$B7255, $A$2:$A7254+$C$2:$C7254)), "")*24*60, "")</f>
        <v/>
      </c>
      <c r="N7255" s="24" t="str" cm="1">
        <f t="array" ref="N7255">IFERROR(IF($B7255=N$1, ($A7255+$C7255) - MAX(IF($B$2:$B7254=$B7255, $A$2:$A7254+$C$2:$C7254)), "")*24*60, "")</f>
        <v/>
      </c>
      <c r="O7255" s="24" t="str" cm="1">
        <f t="array" ref="O7255">IFERROR(IF($B7255=O$1, ($A7255+$C7255) - MAX(IF($B$2:$B7254=$B7255, $A$2:$A7254+$C$2:$C7254)), "")*24*60, "")</f>
        <v/>
      </c>
      <c r="P7255" s="24" t="str" cm="1">
        <f t="array" ref="P7255">IFERROR(IF($B7255=P$1, ($A7255+$C7255) - MAX(IF($B$2:$B7254=$B7255, $A$2:$A7254+$C$2:$C7254)), "")*24*60, "")</f>
        <v/>
      </c>
      <c r="Q7255" s="24" t="str" cm="1">
        <f t="array" ref="Q7255">IFERROR(IF($B7255=Q$1, ($A7255+$C7255) - MAX(IF($B$2:$B7254=$B7255, $A$2:$A7254+$C$2:$C7254)), "")*24*60, "")</f>
        <v/>
      </c>
      <c r="R7255" s="24" t="str" cm="1">
        <f t="array" ref="R7255">IFERROR(IF($B7255=R$1, ($A7255+$C7255) - MAX(IF($B$2:$B7254=$B7255, $A$2:$A7254+$C$2:$C7254)), "")*24*60, "")</f>
        <v/>
      </c>
      <c r="S7255" s="24" t="str" cm="1">
        <f t="array" ref="S7255">IFERROR(IF($B7255=S$1, ($A7255+$C7255) - MAX(IF($B$2:$B7254=$B7255, $A$2:$A7254+$C$2:$C7254)), "")*24*60, "")</f>
        <v/>
      </c>
    </row>
    <row r="7256" spans="1:19" x14ac:dyDescent="0.2">
      <c r="A7256" s="12">
        <f t="shared" ref="A7256:C7256" si="1438">A7255</f>
        <v>46015</v>
      </c>
      <c r="B7256" s="5" t="str">
        <f t="shared" si="1438"/>
        <v>Northern Cardinal</v>
      </c>
      <c r="C7256" s="6">
        <f t="shared" si="1438"/>
        <v>0.74097222222222225</v>
      </c>
      <c r="D7256" s="5"/>
      <c r="E7256" s="5"/>
      <c r="F7256" s="5" t="s">
        <v>9</v>
      </c>
      <c r="G7256" s="15" t="s">
        <v>8</v>
      </c>
      <c r="H7256" s="24">
        <f t="shared" si="1407"/>
        <v>0</v>
      </c>
      <c r="I7256" s="24" cm="1">
        <f t="array" ref="I7256">IFERROR(IF($B7256=I$1, ($A7256+$C7256) - MAX(IF($B$2:$B7255=$B7256, $A$2:$A7255+$C$2:$C7255)), "")*24*60, "")</f>
        <v>0</v>
      </c>
      <c r="J7256" s="24" t="str" cm="1">
        <f t="array" ref="J7256">IFERROR(IF($B7256=J$1, ($A7256+$C7256) - MAX(IF($B$2:$B7255=$B7256, $A$2:$A7255+$C$2:$C7255)), "")*24*60, "")</f>
        <v/>
      </c>
      <c r="K7256" s="24" t="str" cm="1">
        <f t="array" ref="K7256">IFERROR(IF($B7256=K$1, ($A7256+$C7256) - MAX(IF($B$2:$B7255=$B7256, $A$2:$A7255+$C$2:$C7255)), "")*24*60, "")</f>
        <v/>
      </c>
      <c r="L7256" s="24" t="str" cm="1">
        <f t="array" ref="L7256">IFERROR(IF($B7256=L$1, ($A7256+$C7256) - MAX(IF($B$2:$B7255=$B7256, $A$2:$A7255+$C$2:$C7255)), "")*24*60, "")</f>
        <v/>
      </c>
      <c r="M7256" s="24" t="str" cm="1">
        <f t="array" ref="M7256">IFERROR(IF($B7256=M$1, ($A7256+$C7256) - MAX(IF($B$2:$B7255=$B7256, $A$2:$A7255+$C$2:$C7255)), "")*24*60, "")</f>
        <v/>
      </c>
      <c r="N7256" s="24" t="str" cm="1">
        <f t="array" ref="N7256">IFERROR(IF($B7256=N$1, ($A7256+$C7256) - MAX(IF($B$2:$B7255=$B7256, $A$2:$A7255+$C$2:$C7255)), "")*24*60, "")</f>
        <v/>
      </c>
      <c r="O7256" s="24" t="str" cm="1">
        <f t="array" ref="O7256">IFERROR(IF($B7256=O$1, ($A7256+$C7256) - MAX(IF($B$2:$B7255=$B7256, $A$2:$A7255+$C$2:$C7255)), "")*24*60, "")</f>
        <v/>
      </c>
      <c r="P7256" s="24" t="str" cm="1">
        <f t="array" ref="P7256">IFERROR(IF($B7256=P$1, ($A7256+$C7256) - MAX(IF($B$2:$B7255=$B7256, $A$2:$A7255+$C$2:$C7255)), "")*24*60, "")</f>
        <v/>
      </c>
      <c r="Q7256" s="24" t="str" cm="1">
        <f t="array" ref="Q7256">IFERROR(IF($B7256=Q$1, ($A7256+$C7256) - MAX(IF($B$2:$B7255=$B7256, $A$2:$A7255+$C$2:$C7255)), "")*24*60, "")</f>
        <v/>
      </c>
      <c r="R7256" s="24" t="str" cm="1">
        <f t="array" ref="R7256">IFERROR(IF($B7256=R$1, ($A7256+$C7256) - MAX(IF($B$2:$B7255=$B7256, $A$2:$A7255+$C$2:$C7255)), "")*24*60, "")</f>
        <v/>
      </c>
      <c r="S7256" s="24" t="str" cm="1">
        <f t="array" ref="S7256">IFERROR(IF($B7256=S$1, ($A7256+$C7256) - MAX(IF($B$2:$B7255=$B7256, $A$2:$A7255+$C$2:$C7255)), "")*24*60, "")</f>
        <v/>
      </c>
    </row>
    <row r="7257" spans="1:19" x14ac:dyDescent="0.2">
      <c r="A7257" s="12">
        <f t="shared" ref="A7257:C7257" si="1439">A7256</f>
        <v>46015</v>
      </c>
      <c r="B7257" s="5" t="str">
        <f t="shared" si="1439"/>
        <v>Northern Cardinal</v>
      </c>
      <c r="C7257" s="6">
        <f t="shared" si="1439"/>
        <v>0.74097222222222225</v>
      </c>
      <c r="D7257" s="5"/>
      <c r="E7257" s="5"/>
      <c r="F7257" s="5" t="s">
        <v>9</v>
      </c>
      <c r="G7257" s="15" t="s">
        <v>8</v>
      </c>
      <c r="H7257" s="24">
        <f t="shared" si="1407"/>
        <v>0</v>
      </c>
      <c r="I7257" s="24" cm="1">
        <f t="array" ref="I7257">IFERROR(IF($B7257=I$1, ($A7257+$C7257) - MAX(IF($B$2:$B7256=$B7257, $A$2:$A7256+$C$2:$C7256)), "")*24*60, "")</f>
        <v>0</v>
      </c>
      <c r="J7257" s="24" t="str" cm="1">
        <f t="array" ref="J7257">IFERROR(IF($B7257=J$1, ($A7257+$C7257) - MAX(IF($B$2:$B7256=$B7257, $A$2:$A7256+$C$2:$C7256)), "")*24*60, "")</f>
        <v/>
      </c>
      <c r="K7257" s="24" t="str" cm="1">
        <f t="array" ref="K7257">IFERROR(IF($B7257=K$1, ($A7257+$C7257) - MAX(IF($B$2:$B7256=$B7257, $A$2:$A7256+$C$2:$C7256)), "")*24*60, "")</f>
        <v/>
      </c>
      <c r="L7257" s="24" t="str" cm="1">
        <f t="array" ref="L7257">IFERROR(IF($B7257=L$1, ($A7257+$C7257) - MAX(IF($B$2:$B7256=$B7257, $A$2:$A7256+$C$2:$C7256)), "")*24*60, "")</f>
        <v/>
      </c>
      <c r="M7257" s="24" t="str" cm="1">
        <f t="array" ref="M7257">IFERROR(IF($B7257=M$1, ($A7257+$C7257) - MAX(IF($B$2:$B7256=$B7257, $A$2:$A7256+$C$2:$C7256)), "")*24*60, "")</f>
        <v/>
      </c>
      <c r="N7257" s="24" t="str" cm="1">
        <f t="array" ref="N7257">IFERROR(IF($B7257=N$1, ($A7257+$C7257) - MAX(IF($B$2:$B7256=$B7257, $A$2:$A7256+$C$2:$C7256)), "")*24*60, "")</f>
        <v/>
      </c>
      <c r="O7257" s="24" t="str" cm="1">
        <f t="array" ref="O7257">IFERROR(IF($B7257=O$1, ($A7257+$C7257) - MAX(IF($B$2:$B7256=$B7257, $A$2:$A7256+$C$2:$C7256)), "")*24*60, "")</f>
        <v/>
      </c>
      <c r="P7257" s="24" t="str" cm="1">
        <f t="array" ref="P7257">IFERROR(IF($B7257=P$1, ($A7257+$C7257) - MAX(IF($B$2:$B7256=$B7257, $A$2:$A7256+$C$2:$C7256)), "")*24*60, "")</f>
        <v/>
      </c>
      <c r="Q7257" s="24" t="str" cm="1">
        <f t="array" ref="Q7257">IFERROR(IF($B7257=Q$1, ($A7257+$C7257) - MAX(IF($B$2:$B7256=$B7257, $A$2:$A7256+$C$2:$C7256)), "")*24*60, "")</f>
        <v/>
      </c>
      <c r="R7257" s="24" t="str" cm="1">
        <f t="array" ref="R7257">IFERROR(IF($B7257=R$1, ($A7257+$C7257) - MAX(IF($B$2:$B7256=$B7257, $A$2:$A7256+$C$2:$C7256)), "")*24*60, "")</f>
        <v/>
      </c>
      <c r="S7257" s="24" t="str" cm="1">
        <f t="array" ref="S7257">IFERROR(IF($B7257=S$1, ($A7257+$C7257) - MAX(IF($B$2:$B7256=$B7257, $A$2:$A7256+$C$2:$C7256)), "")*24*60, "")</f>
        <v/>
      </c>
    </row>
    <row r="7258" spans="1:19" x14ac:dyDescent="0.2">
      <c r="A7258" s="12">
        <f t="shared" ref="A7258:C7258" si="1440">A7257</f>
        <v>46015</v>
      </c>
      <c r="B7258" s="5" t="str">
        <f t="shared" si="1440"/>
        <v>Northern Cardinal</v>
      </c>
      <c r="C7258" s="6">
        <f t="shared" si="1440"/>
        <v>0.74097222222222225</v>
      </c>
      <c r="D7258" s="5"/>
      <c r="E7258" s="5"/>
      <c r="F7258" s="5" t="s">
        <v>9</v>
      </c>
      <c r="G7258" s="15" t="s">
        <v>8</v>
      </c>
      <c r="H7258" s="24">
        <f t="shared" si="1407"/>
        <v>0</v>
      </c>
      <c r="I7258" s="24" cm="1">
        <f t="array" ref="I7258">IFERROR(IF($B7258=I$1, ($A7258+$C7258) - MAX(IF($B$2:$B7257=$B7258, $A$2:$A7257+$C$2:$C7257)), "")*24*60, "")</f>
        <v>0</v>
      </c>
      <c r="J7258" s="24" t="str" cm="1">
        <f t="array" ref="J7258">IFERROR(IF($B7258=J$1, ($A7258+$C7258) - MAX(IF($B$2:$B7257=$B7258, $A$2:$A7257+$C$2:$C7257)), "")*24*60, "")</f>
        <v/>
      </c>
      <c r="K7258" s="24" t="str" cm="1">
        <f t="array" ref="K7258">IFERROR(IF($B7258=K$1, ($A7258+$C7258) - MAX(IF($B$2:$B7257=$B7258, $A$2:$A7257+$C$2:$C7257)), "")*24*60, "")</f>
        <v/>
      </c>
      <c r="L7258" s="24" t="str" cm="1">
        <f t="array" ref="L7258">IFERROR(IF($B7258=L$1, ($A7258+$C7258) - MAX(IF($B$2:$B7257=$B7258, $A$2:$A7257+$C$2:$C7257)), "")*24*60, "")</f>
        <v/>
      </c>
      <c r="M7258" s="24" t="str" cm="1">
        <f t="array" ref="M7258">IFERROR(IF($B7258=M$1, ($A7258+$C7258) - MAX(IF($B$2:$B7257=$B7258, $A$2:$A7257+$C$2:$C7257)), "")*24*60, "")</f>
        <v/>
      </c>
      <c r="N7258" s="24" t="str" cm="1">
        <f t="array" ref="N7258">IFERROR(IF($B7258=N$1, ($A7258+$C7258) - MAX(IF($B$2:$B7257=$B7258, $A$2:$A7257+$C$2:$C7257)), "")*24*60, "")</f>
        <v/>
      </c>
      <c r="O7258" s="24" t="str" cm="1">
        <f t="array" ref="O7258">IFERROR(IF($B7258=O$1, ($A7258+$C7258) - MAX(IF($B$2:$B7257=$B7258, $A$2:$A7257+$C$2:$C7257)), "")*24*60, "")</f>
        <v/>
      </c>
      <c r="P7258" s="24" t="str" cm="1">
        <f t="array" ref="P7258">IFERROR(IF($B7258=P$1, ($A7258+$C7258) - MAX(IF($B$2:$B7257=$B7258, $A$2:$A7257+$C$2:$C7257)), "")*24*60, "")</f>
        <v/>
      </c>
      <c r="Q7258" s="24" t="str" cm="1">
        <f t="array" ref="Q7258">IFERROR(IF($B7258=Q$1, ($A7258+$C7258) - MAX(IF($B$2:$B7257=$B7258, $A$2:$A7257+$C$2:$C7257)), "")*24*60, "")</f>
        <v/>
      </c>
      <c r="R7258" s="24" t="str" cm="1">
        <f t="array" ref="R7258">IFERROR(IF($B7258=R$1, ($A7258+$C7258) - MAX(IF($B$2:$B7257=$B7258, $A$2:$A7257+$C$2:$C7257)), "")*24*60, "")</f>
        <v/>
      </c>
      <c r="S7258" s="24" t="str" cm="1">
        <f t="array" ref="S7258">IFERROR(IF($B7258=S$1, ($A7258+$C7258) - MAX(IF($B$2:$B7257=$B7258, $A$2:$A7257+$C$2:$C7257)), "")*24*60, "")</f>
        <v/>
      </c>
    </row>
    <row r="7259" spans="1:19" x14ac:dyDescent="0.2">
      <c r="A7259" s="12">
        <f t="shared" ref="A7259:C7259" si="1441">A7258</f>
        <v>46015</v>
      </c>
      <c r="B7259" s="5" t="str">
        <f t="shared" si="1441"/>
        <v>Northern Cardinal</v>
      </c>
      <c r="C7259" s="6">
        <f t="shared" si="1441"/>
        <v>0.74097222222222225</v>
      </c>
      <c r="D7259" s="5"/>
      <c r="E7259" s="5"/>
      <c r="F7259" s="5" t="s">
        <v>9</v>
      </c>
      <c r="G7259" s="15" t="s">
        <v>8</v>
      </c>
      <c r="H7259" s="24">
        <f t="shared" si="1407"/>
        <v>0</v>
      </c>
      <c r="I7259" s="24" cm="1">
        <f t="array" ref="I7259">IFERROR(IF($B7259=I$1, ($A7259+$C7259) - MAX(IF($B$2:$B7258=$B7259, $A$2:$A7258+$C$2:$C7258)), "")*24*60, "")</f>
        <v>0</v>
      </c>
      <c r="J7259" s="24" t="str" cm="1">
        <f t="array" ref="J7259">IFERROR(IF($B7259=J$1, ($A7259+$C7259) - MAX(IF($B$2:$B7258=$B7259, $A$2:$A7258+$C$2:$C7258)), "")*24*60, "")</f>
        <v/>
      </c>
      <c r="K7259" s="24" t="str" cm="1">
        <f t="array" ref="K7259">IFERROR(IF($B7259=K$1, ($A7259+$C7259) - MAX(IF($B$2:$B7258=$B7259, $A$2:$A7258+$C$2:$C7258)), "")*24*60, "")</f>
        <v/>
      </c>
      <c r="L7259" s="24" t="str" cm="1">
        <f t="array" ref="L7259">IFERROR(IF($B7259=L$1, ($A7259+$C7259) - MAX(IF($B$2:$B7258=$B7259, $A$2:$A7258+$C$2:$C7258)), "")*24*60, "")</f>
        <v/>
      </c>
      <c r="M7259" s="24" t="str" cm="1">
        <f t="array" ref="M7259">IFERROR(IF($B7259=M$1, ($A7259+$C7259) - MAX(IF($B$2:$B7258=$B7259, $A$2:$A7258+$C$2:$C7258)), "")*24*60, "")</f>
        <v/>
      </c>
      <c r="N7259" s="24" t="str" cm="1">
        <f t="array" ref="N7259">IFERROR(IF($B7259=N$1, ($A7259+$C7259) - MAX(IF($B$2:$B7258=$B7259, $A$2:$A7258+$C$2:$C7258)), "")*24*60, "")</f>
        <v/>
      </c>
      <c r="O7259" s="24" t="str" cm="1">
        <f t="array" ref="O7259">IFERROR(IF($B7259=O$1, ($A7259+$C7259) - MAX(IF($B$2:$B7258=$B7259, $A$2:$A7258+$C$2:$C7258)), "")*24*60, "")</f>
        <v/>
      </c>
      <c r="P7259" s="24" t="str" cm="1">
        <f t="array" ref="P7259">IFERROR(IF($B7259=P$1, ($A7259+$C7259) - MAX(IF($B$2:$B7258=$B7259, $A$2:$A7258+$C$2:$C7258)), "")*24*60, "")</f>
        <v/>
      </c>
      <c r="Q7259" s="24" t="str" cm="1">
        <f t="array" ref="Q7259">IFERROR(IF($B7259=Q$1, ($A7259+$C7259) - MAX(IF($B$2:$B7258=$B7259, $A$2:$A7258+$C$2:$C7258)), "")*24*60, "")</f>
        <v/>
      </c>
      <c r="R7259" s="24" t="str" cm="1">
        <f t="array" ref="R7259">IFERROR(IF($B7259=R$1, ($A7259+$C7259) - MAX(IF($B$2:$B7258=$B7259, $A$2:$A7258+$C$2:$C7258)), "")*24*60, "")</f>
        <v/>
      </c>
      <c r="S7259" s="24" t="str" cm="1">
        <f t="array" ref="S7259">IFERROR(IF($B7259=S$1, ($A7259+$C7259) - MAX(IF($B$2:$B7258=$B7259, $A$2:$A7258+$C$2:$C7258)), "")*24*60, "")</f>
        <v/>
      </c>
    </row>
    <row r="7260" spans="1:19" x14ac:dyDescent="0.2">
      <c r="A7260" s="12">
        <f t="shared" ref="A7260:C7260" si="1442">A7259</f>
        <v>46015</v>
      </c>
      <c r="B7260" s="5" t="str">
        <f t="shared" si="1442"/>
        <v>Northern Cardinal</v>
      </c>
      <c r="C7260" s="6">
        <f t="shared" si="1442"/>
        <v>0.74097222222222225</v>
      </c>
      <c r="D7260" s="5"/>
      <c r="E7260" s="5"/>
      <c r="F7260" s="5" t="s">
        <v>9</v>
      </c>
      <c r="G7260" s="15" t="s">
        <v>8</v>
      </c>
      <c r="H7260" s="24">
        <f t="shared" si="1407"/>
        <v>0</v>
      </c>
      <c r="I7260" s="24" cm="1">
        <f t="array" ref="I7260">IFERROR(IF($B7260=I$1, ($A7260+$C7260) - MAX(IF($B$2:$B7259=$B7260, $A$2:$A7259+$C$2:$C7259)), "")*24*60, "")</f>
        <v>0</v>
      </c>
      <c r="J7260" s="24" t="str" cm="1">
        <f t="array" ref="J7260">IFERROR(IF($B7260=J$1, ($A7260+$C7260) - MAX(IF($B$2:$B7259=$B7260, $A$2:$A7259+$C$2:$C7259)), "")*24*60, "")</f>
        <v/>
      </c>
      <c r="K7260" s="24" t="str" cm="1">
        <f t="array" ref="K7260">IFERROR(IF($B7260=K$1, ($A7260+$C7260) - MAX(IF($B$2:$B7259=$B7260, $A$2:$A7259+$C$2:$C7259)), "")*24*60, "")</f>
        <v/>
      </c>
      <c r="L7260" s="24" t="str" cm="1">
        <f t="array" ref="L7260">IFERROR(IF($B7260=L$1, ($A7260+$C7260) - MAX(IF($B$2:$B7259=$B7260, $A$2:$A7259+$C$2:$C7259)), "")*24*60, "")</f>
        <v/>
      </c>
      <c r="M7260" s="24" t="str" cm="1">
        <f t="array" ref="M7260">IFERROR(IF($B7260=M$1, ($A7260+$C7260) - MAX(IF($B$2:$B7259=$B7260, $A$2:$A7259+$C$2:$C7259)), "")*24*60, "")</f>
        <v/>
      </c>
      <c r="N7260" s="24" t="str" cm="1">
        <f t="array" ref="N7260">IFERROR(IF($B7260=N$1, ($A7260+$C7260) - MAX(IF($B$2:$B7259=$B7260, $A$2:$A7259+$C$2:$C7259)), "")*24*60, "")</f>
        <v/>
      </c>
      <c r="O7260" s="24" t="str" cm="1">
        <f t="array" ref="O7260">IFERROR(IF($B7260=O$1, ($A7260+$C7260) - MAX(IF($B$2:$B7259=$B7260, $A$2:$A7259+$C$2:$C7259)), "")*24*60, "")</f>
        <v/>
      </c>
      <c r="P7260" s="24" t="str" cm="1">
        <f t="array" ref="P7260">IFERROR(IF($B7260=P$1, ($A7260+$C7260) - MAX(IF($B$2:$B7259=$B7260, $A$2:$A7259+$C$2:$C7259)), "")*24*60, "")</f>
        <v/>
      </c>
      <c r="Q7260" s="24" t="str" cm="1">
        <f t="array" ref="Q7260">IFERROR(IF($B7260=Q$1, ($A7260+$C7260) - MAX(IF($B$2:$B7259=$B7260, $A$2:$A7259+$C$2:$C7259)), "")*24*60, "")</f>
        <v/>
      </c>
      <c r="R7260" s="24" t="str" cm="1">
        <f t="array" ref="R7260">IFERROR(IF($B7260=R$1, ($A7260+$C7260) - MAX(IF($B$2:$B7259=$B7260, $A$2:$A7259+$C$2:$C7259)), "")*24*60, "")</f>
        <v/>
      </c>
      <c r="S7260" s="24" t="str" cm="1">
        <f t="array" ref="S7260">IFERROR(IF($B7260=S$1, ($A7260+$C7260) - MAX(IF($B$2:$B7259=$B7260, $A$2:$A7259+$C$2:$C7259)), "")*24*60, "")</f>
        <v/>
      </c>
    </row>
    <row r="7261" spans="1:19" x14ac:dyDescent="0.2">
      <c r="A7261" s="12">
        <f t="shared" ref="A7261:C7261" si="1443">A7260</f>
        <v>46015</v>
      </c>
      <c r="B7261" s="5" t="str">
        <f t="shared" si="1443"/>
        <v>Northern Cardinal</v>
      </c>
      <c r="C7261" s="6">
        <f t="shared" si="1443"/>
        <v>0.74097222222222225</v>
      </c>
      <c r="D7261" s="5"/>
      <c r="E7261" s="5"/>
      <c r="F7261" s="5" t="s">
        <v>9</v>
      </c>
      <c r="G7261" s="15" t="s">
        <v>8</v>
      </c>
      <c r="H7261" s="24">
        <f t="shared" si="1407"/>
        <v>0</v>
      </c>
      <c r="I7261" s="24" cm="1">
        <f t="array" ref="I7261">IFERROR(IF($B7261=I$1, ($A7261+$C7261) - MAX(IF($B$2:$B7260=$B7261, $A$2:$A7260+$C$2:$C7260)), "")*24*60, "")</f>
        <v>0</v>
      </c>
      <c r="J7261" s="24" t="str" cm="1">
        <f t="array" ref="J7261">IFERROR(IF($B7261=J$1, ($A7261+$C7261) - MAX(IF($B$2:$B7260=$B7261, $A$2:$A7260+$C$2:$C7260)), "")*24*60, "")</f>
        <v/>
      </c>
      <c r="K7261" s="24" t="str" cm="1">
        <f t="array" ref="K7261">IFERROR(IF($B7261=K$1, ($A7261+$C7261) - MAX(IF($B$2:$B7260=$B7261, $A$2:$A7260+$C$2:$C7260)), "")*24*60, "")</f>
        <v/>
      </c>
      <c r="L7261" s="24" t="str" cm="1">
        <f t="array" ref="L7261">IFERROR(IF($B7261=L$1, ($A7261+$C7261) - MAX(IF($B$2:$B7260=$B7261, $A$2:$A7260+$C$2:$C7260)), "")*24*60, "")</f>
        <v/>
      </c>
      <c r="M7261" s="24" t="str" cm="1">
        <f t="array" ref="M7261">IFERROR(IF($B7261=M$1, ($A7261+$C7261) - MAX(IF($B$2:$B7260=$B7261, $A$2:$A7260+$C$2:$C7260)), "")*24*60, "")</f>
        <v/>
      </c>
      <c r="N7261" s="24" t="str" cm="1">
        <f t="array" ref="N7261">IFERROR(IF($B7261=N$1, ($A7261+$C7261) - MAX(IF($B$2:$B7260=$B7261, $A$2:$A7260+$C$2:$C7260)), "")*24*60, "")</f>
        <v/>
      </c>
      <c r="O7261" s="24" t="str" cm="1">
        <f t="array" ref="O7261">IFERROR(IF($B7261=O$1, ($A7261+$C7261) - MAX(IF($B$2:$B7260=$B7261, $A$2:$A7260+$C$2:$C7260)), "")*24*60, "")</f>
        <v/>
      </c>
      <c r="P7261" s="24" t="str" cm="1">
        <f t="array" ref="P7261">IFERROR(IF($B7261=P$1, ($A7261+$C7261) - MAX(IF($B$2:$B7260=$B7261, $A$2:$A7260+$C$2:$C7260)), "")*24*60, "")</f>
        <v/>
      </c>
      <c r="Q7261" s="24" t="str" cm="1">
        <f t="array" ref="Q7261">IFERROR(IF($B7261=Q$1, ($A7261+$C7261) - MAX(IF($B$2:$B7260=$B7261, $A$2:$A7260+$C$2:$C7260)), "")*24*60, "")</f>
        <v/>
      </c>
      <c r="R7261" s="24" t="str" cm="1">
        <f t="array" ref="R7261">IFERROR(IF($B7261=R$1, ($A7261+$C7261) - MAX(IF($B$2:$B7260=$B7261, $A$2:$A7260+$C$2:$C7260)), "")*24*60, "")</f>
        <v/>
      </c>
      <c r="S7261" s="24" t="str" cm="1">
        <f t="array" ref="S7261">IFERROR(IF($B7261=S$1, ($A7261+$C7261) - MAX(IF($B$2:$B7260=$B7261, $A$2:$A7260+$C$2:$C7260)), "")*24*60, "")</f>
        <v/>
      </c>
    </row>
    <row r="7262" spans="1:19" x14ac:dyDescent="0.2">
      <c r="A7262" s="12">
        <f t="shared" ref="A7262:C7262" si="1444">A7261</f>
        <v>46015</v>
      </c>
      <c r="B7262" s="5" t="str">
        <f t="shared" si="1444"/>
        <v>Northern Cardinal</v>
      </c>
      <c r="C7262" s="6">
        <f t="shared" si="1444"/>
        <v>0.74097222222222225</v>
      </c>
      <c r="D7262" s="5"/>
      <c r="E7262" s="5"/>
      <c r="F7262" s="5" t="s">
        <v>9</v>
      </c>
      <c r="G7262" s="15" t="s">
        <v>8</v>
      </c>
      <c r="H7262" s="24">
        <f t="shared" si="1407"/>
        <v>0</v>
      </c>
      <c r="I7262" s="24" cm="1">
        <f t="array" ref="I7262">IFERROR(IF($B7262=I$1, ($A7262+$C7262) - MAX(IF($B$2:$B7261=$B7262, $A$2:$A7261+$C$2:$C7261)), "")*24*60, "")</f>
        <v>0</v>
      </c>
      <c r="J7262" s="24" t="str" cm="1">
        <f t="array" ref="J7262">IFERROR(IF($B7262=J$1, ($A7262+$C7262) - MAX(IF($B$2:$B7261=$B7262, $A$2:$A7261+$C$2:$C7261)), "")*24*60, "")</f>
        <v/>
      </c>
      <c r="K7262" s="24" t="str" cm="1">
        <f t="array" ref="K7262">IFERROR(IF($B7262=K$1, ($A7262+$C7262) - MAX(IF($B$2:$B7261=$B7262, $A$2:$A7261+$C$2:$C7261)), "")*24*60, "")</f>
        <v/>
      </c>
      <c r="L7262" s="24" t="str" cm="1">
        <f t="array" ref="L7262">IFERROR(IF($B7262=L$1, ($A7262+$C7262) - MAX(IF($B$2:$B7261=$B7262, $A$2:$A7261+$C$2:$C7261)), "")*24*60, "")</f>
        <v/>
      </c>
      <c r="M7262" s="24" t="str" cm="1">
        <f t="array" ref="M7262">IFERROR(IF($B7262=M$1, ($A7262+$C7262) - MAX(IF($B$2:$B7261=$B7262, $A$2:$A7261+$C$2:$C7261)), "")*24*60, "")</f>
        <v/>
      </c>
      <c r="N7262" s="24" t="str" cm="1">
        <f t="array" ref="N7262">IFERROR(IF($B7262=N$1, ($A7262+$C7262) - MAX(IF($B$2:$B7261=$B7262, $A$2:$A7261+$C$2:$C7261)), "")*24*60, "")</f>
        <v/>
      </c>
      <c r="O7262" s="24" t="str" cm="1">
        <f t="array" ref="O7262">IFERROR(IF($B7262=O$1, ($A7262+$C7262) - MAX(IF($B$2:$B7261=$B7262, $A$2:$A7261+$C$2:$C7261)), "")*24*60, "")</f>
        <v/>
      </c>
      <c r="P7262" s="24" t="str" cm="1">
        <f t="array" ref="P7262">IFERROR(IF($B7262=P$1, ($A7262+$C7262) - MAX(IF($B$2:$B7261=$B7262, $A$2:$A7261+$C$2:$C7261)), "")*24*60, "")</f>
        <v/>
      </c>
      <c r="Q7262" s="24" t="str" cm="1">
        <f t="array" ref="Q7262">IFERROR(IF($B7262=Q$1, ($A7262+$C7262) - MAX(IF($B$2:$B7261=$B7262, $A$2:$A7261+$C$2:$C7261)), "")*24*60, "")</f>
        <v/>
      </c>
      <c r="R7262" s="24" t="str" cm="1">
        <f t="array" ref="R7262">IFERROR(IF($B7262=R$1, ($A7262+$C7262) - MAX(IF($B$2:$B7261=$B7262, $A$2:$A7261+$C$2:$C7261)), "")*24*60, "")</f>
        <v/>
      </c>
      <c r="S7262" s="24" t="str" cm="1">
        <f t="array" ref="S7262">IFERROR(IF($B7262=S$1, ($A7262+$C7262) - MAX(IF($B$2:$B7261=$B7262, $A$2:$A7261+$C$2:$C7261)), "")*24*60, "")</f>
        <v/>
      </c>
    </row>
    <row r="7263" spans="1:19" x14ac:dyDescent="0.2">
      <c r="A7263" s="12">
        <f t="shared" ref="A7263:C7263" si="1445">A7262</f>
        <v>46015</v>
      </c>
      <c r="B7263" s="5" t="str">
        <f t="shared" si="1445"/>
        <v>Northern Cardinal</v>
      </c>
      <c r="C7263" s="6">
        <f t="shared" si="1445"/>
        <v>0.74097222222222225</v>
      </c>
      <c r="D7263" s="5"/>
      <c r="E7263" s="5"/>
      <c r="F7263" s="5" t="s">
        <v>9</v>
      </c>
      <c r="G7263" s="15" t="s">
        <v>8</v>
      </c>
      <c r="H7263" s="24">
        <f t="shared" si="1407"/>
        <v>0</v>
      </c>
      <c r="I7263" s="24" cm="1">
        <f t="array" ref="I7263">IFERROR(IF($B7263=I$1, ($A7263+$C7263) - MAX(IF($B$2:$B7262=$B7263, $A$2:$A7262+$C$2:$C7262)), "")*24*60, "")</f>
        <v>0</v>
      </c>
      <c r="J7263" s="24" t="str" cm="1">
        <f t="array" ref="J7263">IFERROR(IF($B7263=J$1, ($A7263+$C7263) - MAX(IF($B$2:$B7262=$B7263, $A$2:$A7262+$C$2:$C7262)), "")*24*60, "")</f>
        <v/>
      </c>
      <c r="K7263" s="24" t="str" cm="1">
        <f t="array" ref="K7263">IFERROR(IF($B7263=K$1, ($A7263+$C7263) - MAX(IF($B$2:$B7262=$B7263, $A$2:$A7262+$C$2:$C7262)), "")*24*60, "")</f>
        <v/>
      </c>
      <c r="L7263" s="24" t="str" cm="1">
        <f t="array" ref="L7263">IFERROR(IF($B7263=L$1, ($A7263+$C7263) - MAX(IF($B$2:$B7262=$B7263, $A$2:$A7262+$C$2:$C7262)), "")*24*60, "")</f>
        <v/>
      </c>
      <c r="M7263" s="24" t="str" cm="1">
        <f t="array" ref="M7263">IFERROR(IF($B7263=M$1, ($A7263+$C7263) - MAX(IF($B$2:$B7262=$B7263, $A$2:$A7262+$C$2:$C7262)), "")*24*60, "")</f>
        <v/>
      </c>
      <c r="N7263" s="24" t="str" cm="1">
        <f t="array" ref="N7263">IFERROR(IF($B7263=N$1, ($A7263+$C7263) - MAX(IF($B$2:$B7262=$B7263, $A$2:$A7262+$C$2:$C7262)), "")*24*60, "")</f>
        <v/>
      </c>
      <c r="O7263" s="24" t="str" cm="1">
        <f t="array" ref="O7263">IFERROR(IF($B7263=O$1, ($A7263+$C7263) - MAX(IF($B$2:$B7262=$B7263, $A$2:$A7262+$C$2:$C7262)), "")*24*60, "")</f>
        <v/>
      </c>
      <c r="P7263" s="24" t="str" cm="1">
        <f t="array" ref="P7263">IFERROR(IF($B7263=P$1, ($A7263+$C7263) - MAX(IF($B$2:$B7262=$B7263, $A$2:$A7262+$C$2:$C7262)), "")*24*60, "")</f>
        <v/>
      </c>
      <c r="Q7263" s="24" t="str" cm="1">
        <f t="array" ref="Q7263">IFERROR(IF($B7263=Q$1, ($A7263+$C7263) - MAX(IF($B$2:$B7262=$B7263, $A$2:$A7262+$C$2:$C7262)), "")*24*60, "")</f>
        <v/>
      </c>
      <c r="R7263" s="24" t="str" cm="1">
        <f t="array" ref="R7263">IFERROR(IF($B7263=R$1, ($A7263+$C7263) - MAX(IF($B$2:$B7262=$B7263, $A$2:$A7262+$C$2:$C7262)), "")*24*60, "")</f>
        <v/>
      </c>
      <c r="S7263" s="24" t="str" cm="1">
        <f t="array" ref="S7263">IFERROR(IF($B7263=S$1, ($A7263+$C7263) - MAX(IF($B$2:$B7262=$B7263, $A$2:$A7262+$C$2:$C7262)), "")*24*60, "")</f>
        <v/>
      </c>
    </row>
    <row r="7264" spans="1:19" x14ac:dyDescent="0.2">
      <c r="A7264" s="12">
        <f t="shared" ref="A7264:C7264" si="1446">A7263</f>
        <v>46015</v>
      </c>
      <c r="B7264" s="5" t="str">
        <f t="shared" si="1446"/>
        <v>Northern Cardinal</v>
      </c>
      <c r="C7264" s="6">
        <f t="shared" si="1446"/>
        <v>0.74097222222222225</v>
      </c>
      <c r="D7264" s="5"/>
      <c r="E7264" s="5"/>
      <c r="F7264" s="5" t="s">
        <v>9</v>
      </c>
      <c r="G7264" s="15" t="s">
        <v>8</v>
      </c>
      <c r="H7264" s="24">
        <f t="shared" si="1407"/>
        <v>0</v>
      </c>
      <c r="I7264" s="24" cm="1">
        <f t="array" ref="I7264">IFERROR(IF($B7264=I$1, ($A7264+$C7264) - MAX(IF($B$2:$B7263=$B7264, $A$2:$A7263+$C$2:$C7263)), "")*24*60, "")</f>
        <v>0</v>
      </c>
      <c r="J7264" s="24" t="str" cm="1">
        <f t="array" ref="J7264">IFERROR(IF($B7264=J$1, ($A7264+$C7264) - MAX(IF($B$2:$B7263=$B7264, $A$2:$A7263+$C$2:$C7263)), "")*24*60, "")</f>
        <v/>
      </c>
      <c r="K7264" s="24" t="str" cm="1">
        <f t="array" ref="K7264">IFERROR(IF($B7264=K$1, ($A7264+$C7264) - MAX(IF($B$2:$B7263=$B7264, $A$2:$A7263+$C$2:$C7263)), "")*24*60, "")</f>
        <v/>
      </c>
      <c r="L7264" s="24" t="str" cm="1">
        <f t="array" ref="L7264">IFERROR(IF($B7264=L$1, ($A7264+$C7264) - MAX(IF($B$2:$B7263=$B7264, $A$2:$A7263+$C$2:$C7263)), "")*24*60, "")</f>
        <v/>
      </c>
      <c r="M7264" s="24" t="str" cm="1">
        <f t="array" ref="M7264">IFERROR(IF($B7264=M$1, ($A7264+$C7264) - MAX(IF($B$2:$B7263=$B7264, $A$2:$A7263+$C$2:$C7263)), "")*24*60, "")</f>
        <v/>
      </c>
      <c r="N7264" s="24" t="str" cm="1">
        <f t="array" ref="N7264">IFERROR(IF($B7264=N$1, ($A7264+$C7264) - MAX(IF($B$2:$B7263=$B7264, $A$2:$A7263+$C$2:$C7263)), "")*24*60, "")</f>
        <v/>
      </c>
      <c r="O7264" s="24" t="str" cm="1">
        <f t="array" ref="O7264">IFERROR(IF($B7264=O$1, ($A7264+$C7264) - MAX(IF($B$2:$B7263=$B7264, $A$2:$A7263+$C$2:$C7263)), "")*24*60, "")</f>
        <v/>
      </c>
      <c r="P7264" s="24" t="str" cm="1">
        <f t="array" ref="P7264">IFERROR(IF($B7264=P$1, ($A7264+$C7264) - MAX(IF($B$2:$B7263=$B7264, $A$2:$A7263+$C$2:$C7263)), "")*24*60, "")</f>
        <v/>
      </c>
      <c r="Q7264" s="24" t="str" cm="1">
        <f t="array" ref="Q7264">IFERROR(IF($B7264=Q$1, ($A7264+$C7264) - MAX(IF($B$2:$B7263=$B7264, $A$2:$A7263+$C$2:$C7263)), "")*24*60, "")</f>
        <v/>
      </c>
      <c r="R7264" s="24" t="str" cm="1">
        <f t="array" ref="R7264">IFERROR(IF($B7264=R$1, ($A7264+$C7264) - MAX(IF($B$2:$B7263=$B7264, $A$2:$A7263+$C$2:$C7263)), "")*24*60, "")</f>
        <v/>
      </c>
      <c r="S7264" s="24" t="str" cm="1">
        <f t="array" ref="S7264">IFERROR(IF($B7264=S$1, ($A7264+$C7264) - MAX(IF($B$2:$B7263=$B7264, $A$2:$A7263+$C$2:$C7263)), "")*24*60, "")</f>
        <v/>
      </c>
    </row>
    <row r="7265" spans="1:19" x14ac:dyDescent="0.2">
      <c r="A7265" s="12">
        <f t="shared" ref="A7265:C7265" si="1447">A7264</f>
        <v>46015</v>
      </c>
      <c r="B7265" s="5" t="str">
        <f t="shared" si="1447"/>
        <v>Northern Cardinal</v>
      </c>
      <c r="C7265" s="6">
        <f t="shared" si="1447"/>
        <v>0.74097222222222225</v>
      </c>
      <c r="D7265" s="5"/>
      <c r="E7265" s="5"/>
      <c r="F7265" s="5" t="s">
        <v>9</v>
      </c>
      <c r="G7265" s="15" t="s">
        <v>8</v>
      </c>
      <c r="H7265" s="24">
        <f t="shared" si="1407"/>
        <v>0</v>
      </c>
      <c r="I7265" s="24" cm="1">
        <f t="array" ref="I7265">IFERROR(IF($B7265=I$1, ($A7265+$C7265) - MAX(IF($B$2:$B7264=$B7265, $A$2:$A7264+$C$2:$C7264)), "")*24*60, "")</f>
        <v>0</v>
      </c>
      <c r="J7265" s="24" t="str" cm="1">
        <f t="array" ref="J7265">IFERROR(IF($B7265=J$1, ($A7265+$C7265) - MAX(IF($B$2:$B7264=$B7265, $A$2:$A7264+$C$2:$C7264)), "")*24*60, "")</f>
        <v/>
      </c>
      <c r="K7265" s="24" t="str" cm="1">
        <f t="array" ref="K7265">IFERROR(IF($B7265=K$1, ($A7265+$C7265) - MAX(IF($B$2:$B7264=$B7265, $A$2:$A7264+$C$2:$C7264)), "")*24*60, "")</f>
        <v/>
      </c>
      <c r="L7265" s="24" t="str" cm="1">
        <f t="array" ref="L7265">IFERROR(IF($B7265=L$1, ($A7265+$C7265) - MAX(IF($B$2:$B7264=$B7265, $A$2:$A7264+$C$2:$C7264)), "")*24*60, "")</f>
        <v/>
      </c>
      <c r="M7265" s="24" t="str" cm="1">
        <f t="array" ref="M7265">IFERROR(IF($B7265=M$1, ($A7265+$C7265) - MAX(IF($B$2:$B7264=$B7265, $A$2:$A7264+$C$2:$C7264)), "")*24*60, "")</f>
        <v/>
      </c>
      <c r="N7265" s="24" t="str" cm="1">
        <f t="array" ref="N7265">IFERROR(IF($B7265=N$1, ($A7265+$C7265) - MAX(IF($B$2:$B7264=$B7265, $A$2:$A7264+$C$2:$C7264)), "")*24*60, "")</f>
        <v/>
      </c>
      <c r="O7265" s="24" t="str" cm="1">
        <f t="array" ref="O7265">IFERROR(IF($B7265=O$1, ($A7265+$C7265) - MAX(IF($B$2:$B7264=$B7265, $A$2:$A7264+$C$2:$C7264)), "")*24*60, "")</f>
        <v/>
      </c>
      <c r="P7265" s="24" t="str" cm="1">
        <f t="array" ref="P7265">IFERROR(IF($B7265=P$1, ($A7265+$C7265) - MAX(IF($B$2:$B7264=$B7265, $A$2:$A7264+$C$2:$C7264)), "")*24*60, "")</f>
        <v/>
      </c>
      <c r="Q7265" s="24" t="str" cm="1">
        <f t="array" ref="Q7265">IFERROR(IF($B7265=Q$1, ($A7265+$C7265) - MAX(IF($B$2:$B7264=$B7265, $A$2:$A7264+$C$2:$C7264)), "")*24*60, "")</f>
        <v/>
      </c>
      <c r="R7265" s="24" t="str" cm="1">
        <f t="array" ref="R7265">IFERROR(IF($B7265=R$1, ($A7265+$C7265) - MAX(IF($B$2:$B7264=$B7265, $A$2:$A7264+$C$2:$C7264)), "")*24*60, "")</f>
        <v/>
      </c>
      <c r="S7265" s="24" t="str" cm="1">
        <f t="array" ref="S7265">IFERROR(IF($B7265=S$1, ($A7265+$C7265) - MAX(IF($B$2:$B7264=$B7265, $A$2:$A7264+$C$2:$C7264)), "")*24*60, "")</f>
        <v/>
      </c>
    </row>
    <row r="7266" spans="1:19" x14ac:dyDescent="0.2">
      <c r="A7266" s="12">
        <f t="shared" ref="A7266:C7266" si="1448">A7265</f>
        <v>46015</v>
      </c>
      <c r="B7266" s="5" t="str">
        <f t="shared" si="1448"/>
        <v>Northern Cardinal</v>
      </c>
      <c r="C7266" s="6">
        <f t="shared" si="1448"/>
        <v>0.74097222222222225</v>
      </c>
      <c r="D7266" s="5"/>
      <c r="E7266" s="5"/>
      <c r="F7266" s="5" t="s">
        <v>9</v>
      </c>
      <c r="G7266" s="15" t="s">
        <v>8</v>
      </c>
      <c r="H7266" s="24">
        <f t="shared" si="1407"/>
        <v>0</v>
      </c>
      <c r="I7266" s="24" cm="1">
        <f t="array" ref="I7266">IFERROR(IF($B7266=I$1, ($A7266+$C7266) - MAX(IF($B$2:$B7265=$B7266, $A$2:$A7265+$C$2:$C7265)), "")*24*60, "")</f>
        <v>0</v>
      </c>
      <c r="J7266" s="24" t="str" cm="1">
        <f t="array" ref="J7266">IFERROR(IF($B7266=J$1, ($A7266+$C7266) - MAX(IF($B$2:$B7265=$B7266, $A$2:$A7265+$C$2:$C7265)), "")*24*60, "")</f>
        <v/>
      </c>
      <c r="K7266" s="24" t="str" cm="1">
        <f t="array" ref="K7266">IFERROR(IF($B7266=K$1, ($A7266+$C7266) - MAX(IF($B$2:$B7265=$B7266, $A$2:$A7265+$C$2:$C7265)), "")*24*60, "")</f>
        <v/>
      </c>
      <c r="L7266" s="24" t="str" cm="1">
        <f t="array" ref="L7266">IFERROR(IF($B7266=L$1, ($A7266+$C7266) - MAX(IF($B$2:$B7265=$B7266, $A$2:$A7265+$C$2:$C7265)), "")*24*60, "")</f>
        <v/>
      </c>
      <c r="M7266" s="24" t="str" cm="1">
        <f t="array" ref="M7266">IFERROR(IF($B7266=M$1, ($A7266+$C7266) - MAX(IF($B$2:$B7265=$B7266, $A$2:$A7265+$C$2:$C7265)), "")*24*60, "")</f>
        <v/>
      </c>
      <c r="N7266" s="24" t="str" cm="1">
        <f t="array" ref="N7266">IFERROR(IF($B7266=N$1, ($A7266+$C7266) - MAX(IF($B$2:$B7265=$B7266, $A$2:$A7265+$C$2:$C7265)), "")*24*60, "")</f>
        <v/>
      </c>
      <c r="O7266" s="24" t="str" cm="1">
        <f t="array" ref="O7266">IFERROR(IF($B7266=O$1, ($A7266+$C7266) - MAX(IF($B$2:$B7265=$B7266, $A$2:$A7265+$C$2:$C7265)), "")*24*60, "")</f>
        <v/>
      </c>
      <c r="P7266" s="24" t="str" cm="1">
        <f t="array" ref="P7266">IFERROR(IF($B7266=P$1, ($A7266+$C7266) - MAX(IF($B$2:$B7265=$B7266, $A$2:$A7265+$C$2:$C7265)), "")*24*60, "")</f>
        <v/>
      </c>
      <c r="Q7266" s="24" t="str" cm="1">
        <f t="array" ref="Q7266">IFERROR(IF($B7266=Q$1, ($A7266+$C7266) - MAX(IF($B$2:$B7265=$B7266, $A$2:$A7265+$C$2:$C7265)), "")*24*60, "")</f>
        <v/>
      </c>
      <c r="R7266" s="24" t="str" cm="1">
        <f t="array" ref="R7266">IFERROR(IF($B7266=R$1, ($A7266+$C7266) - MAX(IF($B$2:$B7265=$B7266, $A$2:$A7265+$C$2:$C7265)), "")*24*60, "")</f>
        <v/>
      </c>
      <c r="S7266" s="24" t="str" cm="1">
        <f t="array" ref="S7266">IFERROR(IF($B7266=S$1, ($A7266+$C7266) - MAX(IF($B$2:$B7265=$B7266, $A$2:$A7265+$C$2:$C7265)), "")*24*60, "")</f>
        <v/>
      </c>
    </row>
    <row r="7267" spans="1:19" x14ac:dyDescent="0.2">
      <c r="A7267" s="12">
        <f t="shared" ref="A7267:C7267" si="1449">A7266</f>
        <v>46015</v>
      </c>
      <c r="B7267" s="5" t="str">
        <f t="shared" si="1449"/>
        <v>Northern Cardinal</v>
      </c>
      <c r="C7267" s="6">
        <f t="shared" si="1449"/>
        <v>0.74097222222222225</v>
      </c>
      <c r="D7267" s="5"/>
      <c r="E7267" s="5"/>
      <c r="F7267" s="5" t="s">
        <v>9</v>
      </c>
      <c r="G7267" s="15" t="s">
        <v>8</v>
      </c>
      <c r="H7267" s="24">
        <f t="shared" si="1407"/>
        <v>0</v>
      </c>
      <c r="I7267" s="24" cm="1">
        <f t="array" ref="I7267">IFERROR(IF($B7267=I$1, ($A7267+$C7267) - MAX(IF($B$2:$B7266=$B7267, $A$2:$A7266+$C$2:$C7266)), "")*24*60, "")</f>
        <v>0</v>
      </c>
      <c r="J7267" s="24" t="str" cm="1">
        <f t="array" ref="J7267">IFERROR(IF($B7267=J$1, ($A7267+$C7267) - MAX(IF($B$2:$B7266=$B7267, $A$2:$A7266+$C$2:$C7266)), "")*24*60, "")</f>
        <v/>
      </c>
      <c r="K7267" s="24" t="str" cm="1">
        <f t="array" ref="K7267">IFERROR(IF($B7267=K$1, ($A7267+$C7267) - MAX(IF($B$2:$B7266=$B7267, $A$2:$A7266+$C$2:$C7266)), "")*24*60, "")</f>
        <v/>
      </c>
      <c r="L7267" s="24" t="str" cm="1">
        <f t="array" ref="L7267">IFERROR(IF($B7267=L$1, ($A7267+$C7267) - MAX(IF($B$2:$B7266=$B7267, $A$2:$A7266+$C$2:$C7266)), "")*24*60, "")</f>
        <v/>
      </c>
      <c r="M7267" s="24" t="str" cm="1">
        <f t="array" ref="M7267">IFERROR(IF($B7267=M$1, ($A7267+$C7267) - MAX(IF($B$2:$B7266=$B7267, $A$2:$A7266+$C$2:$C7266)), "")*24*60, "")</f>
        <v/>
      </c>
      <c r="N7267" s="24" t="str" cm="1">
        <f t="array" ref="N7267">IFERROR(IF($B7267=N$1, ($A7267+$C7267) - MAX(IF($B$2:$B7266=$B7267, $A$2:$A7266+$C$2:$C7266)), "")*24*60, "")</f>
        <v/>
      </c>
      <c r="O7267" s="24" t="str" cm="1">
        <f t="array" ref="O7267">IFERROR(IF($B7267=O$1, ($A7267+$C7267) - MAX(IF($B$2:$B7266=$B7267, $A$2:$A7266+$C$2:$C7266)), "")*24*60, "")</f>
        <v/>
      </c>
      <c r="P7267" s="24" t="str" cm="1">
        <f t="array" ref="P7267">IFERROR(IF($B7267=P$1, ($A7267+$C7267) - MAX(IF($B$2:$B7266=$B7267, $A$2:$A7266+$C$2:$C7266)), "")*24*60, "")</f>
        <v/>
      </c>
      <c r="Q7267" s="24" t="str" cm="1">
        <f t="array" ref="Q7267">IFERROR(IF($B7267=Q$1, ($A7267+$C7267) - MAX(IF($B$2:$B7266=$B7267, $A$2:$A7266+$C$2:$C7266)), "")*24*60, "")</f>
        <v/>
      </c>
      <c r="R7267" s="24" t="str" cm="1">
        <f t="array" ref="R7267">IFERROR(IF($B7267=R$1, ($A7267+$C7267) - MAX(IF($B$2:$B7266=$B7267, $A$2:$A7266+$C$2:$C7266)), "")*24*60, "")</f>
        <v/>
      </c>
      <c r="S7267" s="24" t="str" cm="1">
        <f t="array" ref="S7267">IFERROR(IF($B7267=S$1, ($A7267+$C7267) - MAX(IF($B$2:$B7266=$B7267, $A$2:$A7266+$C$2:$C7266)), "")*24*60, "")</f>
        <v/>
      </c>
    </row>
    <row r="7268" spans="1:19" x14ac:dyDescent="0.2">
      <c r="A7268" s="12">
        <f t="shared" ref="A7268:C7268" si="1450">A7267</f>
        <v>46015</v>
      </c>
      <c r="B7268" s="5" t="str">
        <f t="shared" si="1450"/>
        <v>Northern Cardinal</v>
      </c>
      <c r="C7268" s="6">
        <f t="shared" si="1450"/>
        <v>0.74097222222222225</v>
      </c>
      <c r="D7268" s="5"/>
      <c r="E7268" s="5"/>
      <c r="F7268" s="5" t="s">
        <v>9</v>
      </c>
      <c r="G7268" s="15" t="s">
        <v>8</v>
      </c>
      <c r="H7268" s="24">
        <f t="shared" si="1407"/>
        <v>0</v>
      </c>
      <c r="I7268" s="24" cm="1">
        <f t="array" ref="I7268">IFERROR(IF($B7268=I$1, ($A7268+$C7268) - MAX(IF($B$2:$B7267=$B7268, $A$2:$A7267+$C$2:$C7267)), "")*24*60, "")</f>
        <v>0</v>
      </c>
      <c r="J7268" s="24" t="str" cm="1">
        <f t="array" ref="J7268">IFERROR(IF($B7268=J$1, ($A7268+$C7268) - MAX(IF($B$2:$B7267=$B7268, $A$2:$A7267+$C$2:$C7267)), "")*24*60, "")</f>
        <v/>
      </c>
      <c r="K7268" s="24" t="str" cm="1">
        <f t="array" ref="K7268">IFERROR(IF($B7268=K$1, ($A7268+$C7268) - MAX(IF($B$2:$B7267=$B7268, $A$2:$A7267+$C$2:$C7267)), "")*24*60, "")</f>
        <v/>
      </c>
      <c r="L7268" s="24" t="str" cm="1">
        <f t="array" ref="L7268">IFERROR(IF($B7268=L$1, ($A7268+$C7268) - MAX(IF($B$2:$B7267=$B7268, $A$2:$A7267+$C$2:$C7267)), "")*24*60, "")</f>
        <v/>
      </c>
      <c r="M7268" s="24" t="str" cm="1">
        <f t="array" ref="M7268">IFERROR(IF($B7268=M$1, ($A7268+$C7268) - MAX(IF($B$2:$B7267=$B7268, $A$2:$A7267+$C$2:$C7267)), "")*24*60, "")</f>
        <v/>
      </c>
      <c r="N7268" s="24" t="str" cm="1">
        <f t="array" ref="N7268">IFERROR(IF($B7268=N$1, ($A7268+$C7268) - MAX(IF($B$2:$B7267=$B7268, $A$2:$A7267+$C$2:$C7267)), "")*24*60, "")</f>
        <v/>
      </c>
      <c r="O7268" s="24" t="str" cm="1">
        <f t="array" ref="O7268">IFERROR(IF($B7268=O$1, ($A7268+$C7268) - MAX(IF($B$2:$B7267=$B7268, $A$2:$A7267+$C$2:$C7267)), "")*24*60, "")</f>
        <v/>
      </c>
      <c r="P7268" s="24" t="str" cm="1">
        <f t="array" ref="P7268">IFERROR(IF($B7268=P$1, ($A7268+$C7268) - MAX(IF($B$2:$B7267=$B7268, $A$2:$A7267+$C$2:$C7267)), "")*24*60, "")</f>
        <v/>
      </c>
      <c r="Q7268" s="24" t="str" cm="1">
        <f t="array" ref="Q7268">IFERROR(IF($B7268=Q$1, ($A7268+$C7268) - MAX(IF($B$2:$B7267=$B7268, $A$2:$A7267+$C$2:$C7267)), "")*24*60, "")</f>
        <v/>
      </c>
      <c r="R7268" s="24" t="str" cm="1">
        <f t="array" ref="R7268">IFERROR(IF($B7268=R$1, ($A7268+$C7268) - MAX(IF($B$2:$B7267=$B7268, $A$2:$A7267+$C$2:$C7267)), "")*24*60, "")</f>
        <v/>
      </c>
      <c r="S7268" s="24" t="str" cm="1">
        <f t="array" ref="S7268">IFERROR(IF($B7268=S$1, ($A7268+$C7268) - MAX(IF($B$2:$B7267=$B7268, $A$2:$A7267+$C$2:$C7267)), "")*24*60, "")</f>
        <v/>
      </c>
    </row>
    <row r="7269" spans="1:19" x14ac:dyDescent="0.2">
      <c r="A7269" s="12">
        <f t="shared" ref="A7269:C7269" si="1451">A7268</f>
        <v>46015</v>
      </c>
      <c r="B7269" s="5" t="str">
        <f t="shared" si="1451"/>
        <v>Northern Cardinal</v>
      </c>
      <c r="C7269" s="6">
        <f t="shared" si="1451"/>
        <v>0.74097222222222225</v>
      </c>
      <c r="D7269" s="5"/>
      <c r="E7269" s="5"/>
      <c r="F7269" s="5" t="s">
        <v>9</v>
      </c>
      <c r="G7269" s="15" t="s">
        <v>8</v>
      </c>
      <c r="H7269" s="24">
        <f t="shared" si="1407"/>
        <v>0</v>
      </c>
      <c r="I7269" s="24" cm="1">
        <f t="array" ref="I7269">IFERROR(IF($B7269=I$1, ($A7269+$C7269) - MAX(IF($B$2:$B7268=$B7269, $A$2:$A7268+$C$2:$C7268)), "")*24*60, "")</f>
        <v>0</v>
      </c>
      <c r="J7269" s="24" t="str" cm="1">
        <f t="array" ref="J7269">IFERROR(IF($B7269=J$1, ($A7269+$C7269) - MAX(IF($B$2:$B7268=$B7269, $A$2:$A7268+$C$2:$C7268)), "")*24*60, "")</f>
        <v/>
      </c>
      <c r="K7269" s="24" t="str" cm="1">
        <f t="array" ref="K7269">IFERROR(IF($B7269=K$1, ($A7269+$C7269) - MAX(IF($B$2:$B7268=$B7269, $A$2:$A7268+$C$2:$C7268)), "")*24*60, "")</f>
        <v/>
      </c>
      <c r="L7269" s="24" t="str" cm="1">
        <f t="array" ref="L7269">IFERROR(IF($B7269=L$1, ($A7269+$C7269) - MAX(IF($B$2:$B7268=$B7269, $A$2:$A7268+$C$2:$C7268)), "")*24*60, "")</f>
        <v/>
      </c>
      <c r="M7269" s="24" t="str" cm="1">
        <f t="array" ref="M7269">IFERROR(IF($B7269=M$1, ($A7269+$C7269) - MAX(IF($B$2:$B7268=$B7269, $A$2:$A7268+$C$2:$C7268)), "")*24*60, "")</f>
        <v/>
      </c>
      <c r="N7269" s="24" t="str" cm="1">
        <f t="array" ref="N7269">IFERROR(IF($B7269=N$1, ($A7269+$C7269) - MAX(IF($B$2:$B7268=$B7269, $A$2:$A7268+$C$2:$C7268)), "")*24*60, "")</f>
        <v/>
      </c>
      <c r="O7269" s="24" t="str" cm="1">
        <f t="array" ref="O7269">IFERROR(IF($B7269=O$1, ($A7269+$C7269) - MAX(IF($B$2:$B7268=$B7269, $A$2:$A7268+$C$2:$C7268)), "")*24*60, "")</f>
        <v/>
      </c>
      <c r="P7269" s="24" t="str" cm="1">
        <f t="array" ref="P7269">IFERROR(IF($B7269=P$1, ($A7269+$C7269) - MAX(IF($B$2:$B7268=$B7269, $A$2:$A7268+$C$2:$C7268)), "")*24*60, "")</f>
        <v/>
      </c>
      <c r="Q7269" s="24" t="str" cm="1">
        <f t="array" ref="Q7269">IFERROR(IF($B7269=Q$1, ($A7269+$C7269) - MAX(IF($B$2:$B7268=$B7269, $A$2:$A7268+$C$2:$C7268)), "")*24*60, "")</f>
        <v/>
      </c>
      <c r="R7269" s="24" t="str" cm="1">
        <f t="array" ref="R7269">IFERROR(IF($B7269=R$1, ($A7269+$C7269) - MAX(IF($B$2:$B7268=$B7269, $A$2:$A7268+$C$2:$C7268)), "")*24*60, "")</f>
        <v/>
      </c>
      <c r="S7269" s="24" t="str" cm="1">
        <f t="array" ref="S7269">IFERROR(IF($B7269=S$1, ($A7269+$C7269) - MAX(IF($B$2:$B7268=$B7269, $A$2:$A7268+$C$2:$C7268)), "")*24*60, "")</f>
        <v/>
      </c>
    </row>
    <row r="7270" spans="1:19" x14ac:dyDescent="0.2">
      <c r="A7270" s="12">
        <f t="shared" ref="A7270:C7270" si="1452">A7269</f>
        <v>46015</v>
      </c>
      <c r="B7270" s="5" t="str">
        <f t="shared" si="1452"/>
        <v>Northern Cardinal</v>
      </c>
      <c r="C7270" s="6">
        <f t="shared" si="1452"/>
        <v>0.74097222222222225</v>
      </c>
      <c r="D7270" s="5"/>
      <c r="E7270" s="5"/>
      <c r="F7270" s="5" t="s">
        <v>9</v>
      </c>
      <c r="G7270" s="15" t="s">
        <v>8</v>
      </c>
      <c r="H7270" s="24">
        <f t="shared" si="1407"/>
        <v>0</v>
      </c>
      <c r="I7270" s="24" cm="1">
        <f t="array" ref="I7270">IFERROR(IF($B7270=I$1, ($A7270+$C7270) - MAX(IF($B$2:$B7269=$B7270, $A$2:$A7269+$C$2:$C7269)), "")*24*60, "")</f>
        <v>0</v>
      </c>
      <c r="J7270" s="24" t="str" cm="1">
        <f t="array" ref="J7270">IFERROR(IF($B7270=J$1, ($A7270+$C7270) - MAX(IF($B$2:$B7269=$B7270, $A$2:$A7269+$C$2:$C7269)), "")*24*60, "")</f>
        <v/>
      </c>
      <c r="K7270" s="24" t="str" cm="1">
        <f t="array" ref="K7270">IFERROR(IF($B7270=K$1, ($A7270+$C7270) - MAX(IF($B$2:$B7269=$B7270, $A$2:$A7269+$C$2:$C7269)), "")*24*60, "")</f>
        <v/>
      </c>
      <c r="L7270" s="24" t="str" cm="1">
        <f t="array" ref="L7270">IFERROR(IF($B7270=L$1, ($A7270+$C7270) - MAX(IF($B$2:$B7269=$B7270, $A$2:$A7269+$C$2:$C7269)), "")*24*60, "")</f>
        <v/>
      </c>
      <c r="M7270" s="24" t="str" cm="1">
        <f t="array" ref="M7270">IFERROR(IF($B7270=M$1, ($A7270+$C7270) - MAX(IF($B$2:$B7269=$B7270, $A$2:$A7269+$C$2:$C7269)), "")*24*60, "")</f>
        <v/>
      </c>
      <c r="N7270" s="24" t="str" cm="1">
        <f t="array" ref="N7270">IFERROR(IF($B7270=N$1, ($A7270+$C7270) - MAX(IF($B$2:$B7269=$B7270, $A$2:$A7269+$C$2:$C7269)), "")*24*60, "")</f>
        <v/>
      </c>
      <c r="O7270" s="24" t="str" cm="1">
        <f t="array" ref="O7270">IFERROR(IF($B7270=O$1, ($A7270+$C7270) - MAX(IF($B$2:$B7269=$B7270, $A$2:$A7269+$C$2:$C7269)), "")*24*60, "")</f>
        <v/>
      </c>
      <c r="P7270" s="24" t="str" cm="1">
        <f t="array" ref="P7270">IFERROR(IF($B7270=P$1, ($A7270+$C7270) - MAX(IF($B$2:$B7269=$B7270, $A$2:$A7269+$C$2:$C7269)), "")*24*60, "")</f>
        <v/>
      </c>
      <c r="Q7270" s="24" t="str" cm="1">
        <f t="array" ref="Q7270">IFERROR(IF($B7270=Q$1, ($A7270+$C7270) - MAX(IF($B$2:$B7269=$B7270, $A$2:$A7269+$C$2:$C7269)), "")*24*60, "")</f>
        <v/>
      </c>
      <c r="R7270" s="24" t="str" cm="1">
        <f t="array" ref="R7270">IFERROR(IF($B7270=R$1, ($A7270+$C7270) - MAX(IF($B$2:$B7269=$B7270, $A$2:$A7269+$C$2:$C7269)), "")*24*60, "")</f>
        <v/>
      </c>
      <c r="S7270" s="24" t="str" cm="1">
        <f t="array" ref="S7270">IFERROR(IF($B7270=S$1, ($A7270+$C7270) - MAX(IF($B$2:$B7269=$B7270, $A$2:$A7269+$C$2:$C7269)), "")*24*60, "")</f>
        <v/>
      </c>
    </row>
    <row r="7271" spans="1:19" x14ac:dyDescent="0.2">
      <c r="A7271" s="12">
        <f t="shared" ref="A7271:C7271" si="1453">A7270</f>
        <v>46015</v>
      </c>
      <c r="B7271" s="5" t="str">
        <f t="shared" si="1453"/>
        <v>Northern Cardinal</v>
      </c>
      <c r="C7271" s="6">
        <f t="shared" si="1453"/>
        <v>0.74097222222222225</v>
      </c>
      <c r="D7271" s="5"/>
      <c r="E7271" s="5"/>
      <c r="F7271" s="5" t="s">
        <v>9</v>
      </c>
      <c r="G7271" s="15" t="s">
        <v>8</v>
      </c>
      <c r="H7271" s="24">
        <f t="shared" si="1407"/>
        <v>0</v>
      </c>
      <c r="I7271" s="24" cm="1">
        <f t="array" ref="I7271">IFERROR(IF($B7271=I$1, ($A7271+$C7271) - MAX(IF($B$2:$B7270=$B7271, $A$2:$A7270+$C$2:$C7270)), "")*24*60, "")</f>
        <v>0</v>
      </c>
      <c r="J7271" s="24" t="str" cm="1">
        <f t="array" ref="J7271">IFERROR(IF($B7271=J$1, ($A7271+$C7271) - MAX(IF($B$2:$B7270=$B7271, $A$2:$A7270+$C$2:$C7270)), "")*24*60, "")</f>
        <v/>
      </c>
      <c r="K7271" s="24" t="str" cm="1">
        <f t="array" ref="K7271">IFERROR(IF($B7271=K$1, ($A7271+$C7271) - MAX(IF($B$2:$B7270=$B7271, $A$2:$A7270+$C$2:$C7270)), "")*24*60, "")</f>
        <v/>
      </c>
      <c r="L7271" s="24" t="str" cm="1">
        <f t="array" ref="L7271">IFERROR(IF($B7271=L$1, ($A7271+$C7271) - MAX(IF($B$2:$B7270=$B7271, $A$2:$A7270+$C$2:$C7270)), "")*24*60, "")</f>
        <v/>
      </c>
      <c r="M7271" s="24" t="str" cm="1">
        <f t="array" ref="M7271">IFERROR(IF($B7271=M$1, ($A7271+$C7271) - MAX(IF($B$2:$B7270=$B7271, $A$2:$A7270+$C$2:$C7270)), "")*24*60, "")</f>
        <v/>
      </c>
      <c r="N7271" s="24" t="str" cm="1">
        <f t="array" ref="N7271">IFERROR(IF($B7271=N$1, ($A7271+$C7271) - MAX(IF($B$2:$B7270=$B7271, $A$2:$A7270+$C$2:$C7270)), "")*24*60, "")</f>
        <v/>
      </c>
      <c r="O7271" s="24" t="str" cm="1">
        <f t="array" ref="O7271">IFERROR(IF($B7271=O$1, ($A7271+$C7271) - MAX(IF($B$2:$B7270=$B7271, $A$2:$A7270+$C$2:$C7270)), "")*24*60, "")</f>
        <v/>
      </c>
      <c r="P7271" s="24" t="str" cm="1">
        <f t="array" ref="P7271">IFERROR(IF($B7271=P$1, ($A7271+$C7271) - MAX(IF($B$2:$B7270=$B7271, $A$2:$A7270+$C$2:$C7270)), "")*24*60, "")</f>
        <v/>
      </c>
      <c r="Q7271" s="24" t="str" cm="1">
        <f t="array" ref="Q7271">IFERROR(IF($B7271=Q$1, ($A7271+$C7271) - MAX(IF($B$2:$B7270=$B7271, $A$2:$A7270+$C$2:$C7270)), "")*24*60, "")</f>
        <v/>
      </c>
      <c r="R7271" s="24" t="str" cm="1">
        <f t="array" ref="R7271">IFERROR(IF($B7271=R$1, ($A7271+$C7271) - MAX(IF($B$2:$B7270=$B7271, $A$2:$A7270+$C$2:$C7270)), "")*24*60, "")</f>
        <v/>
      </c>
      <c r="S7271" s="24" t="str" cm="1">
        <f t="array" ref="S7271">IFERROR(IF($B7271=S$1, ($A7271+$C7271) - MAX(IF($B$2:$B7270=$B7271, $A$2:$A7270+$C$2:$C7270)), "")*24*60, "")</f>
        <v/>
      </c>
    </row>
    <row r="7272" spans="1:19" x14ac:dyDescent="0.2">
      <c r="A7272" s="12">
        <f t="shared" ref="A7272:C7272" si="1454">A7271</f>
        <v>46015</v>
      </c>
      <c r="B7272" s="5" t="str">
        <f t="shared" si="1454"/>
        <v>Northern Cardinal</v>
      </c>
      <c r="C7272" s="6">
        <f t="shared" si="1454"/>
        <v>0.74097222222222225</v>
      </c>
      <c r="D7272" s="5"/>
      <c r="E7272" s="5"/>
      <c r="F7272" s="5" t="s">
        <v>9</v>
      </c>
      <c r="G7272" s="15" t="s">
        <v>8</v>
      </c>
      <c r="H7272" s="24">
        <f t="shared" si="1407"/>
        <v>0</v>
      </c>
      <c r="I7272" s="24" cm="1">
        <f t="array" ref="I7272">IFERROR(IF($B7272=I$1, ($A7272+$C7272) - MAX(IF($B$2:$B7271=$B7272, $A$2:$A7271+$C$2:$C7271)), "")*24*60, "")</f>
        <v>0</v>
      </c>
      <c r="J7272" s="24" t="str" cm="1">
        <f t="array" ref="J7272">IFERROR(IF($B7272=J$1, ($A7272+$C7272) - MAX(IF($B$2:$B7271=$B7272, $A$2:$A7271+$C$2:$C7271)), "")*24*60, "")</f>
        <v/>
      </c>
      <c r="K7272" s="24" t="str" cm="1">
        <f t="array" ref="K7272">IFERROR(IF($B7272=K$1, ($A7272+$C7272) - MAX(IF($B$2:$B7271=$B7272, $A$2:$A7271+$C$2:$C7271)), "")*24*60, "")</f>
        <v/>
      </c>
      <c r="L7272" s="24" t="str" cm="1">
        <f t="array" ref="L7272">IFERROR(IF($B7272=L$1, ($A7272+$C7272) - MAX(IF($B$2:$B7271=$B7272, $A$2:$A7271+$C$2:$C7271)), "")*24*60, "")</f>
        <v/>
      </c>
      <c r="M7272" s="24" t="str" cm="1">
        <f t="array" ref="M7272">IFERROR(IF($B7272=M$1, ($A7272+$C7272) - MAX(IF($B$2:$B7271=$B7272, $A$2:$A7271+$C$2:$C7271)), "")*24*60, "")</f>
        <v/>
      </c>
      <c r="N7272" s="24" t="str" cm="1">
        <f t="array" ref="N7272">IFERROR(IF($B7272=N$1, ($A7272+$C7272) - MAX(IF($B$2:$B7271=$B7272, $A$2:$A7271+$C$2:$C7271)), "")*24*60, "")</f>
        <v/>
      </c>
      <c r="O7272" s="24" t="str" cm="1">
        <f t="array" ref="O7272">IFERROR(IF($B7272=O$1, ($A7272+$C7272) - MAX(IF($B$2:$B7271=$B7272, $A$2:$A7271+$C$2:$C7271)), "")*24*60, "")</f>
        <v/>
      </c>
      <c r="P7272" s="24" t="str" cm="1">
        <f t="array" ref="P7272">IFERROR(IF($B7272=P$1, ($A7272+$C7272) - MAX(IF($B$2:$B7271=$B7272, $A$2:$A7271+$C$2:$C7271)), "")*24*60, "")</f>
        <v/>
      </c>
      <c r="Q7272" s="24" t="str" cm="1">
        <f t="array" ref="Q7272">IFERROR(IF($B7272=Q$1, ($A7272+$C7272) - MAX(IF($B$2:$B7271=$B7272, $A$2:$A7271+$C$2:$C7271)), "")*24*60, "")</f>
        <v/>
      </c>
      <c r="R7272" s="24" t="str" cm="1">
        <f t="array" ref="R7272">IFERROR(IF($B7272=R$1, ($A7272+$C7272) - MAX(IF($B$2:$B7271=$B7272, $A$2:$A7271+$C$2:$C7271)), "")*24*60, "")</f>
        <v/>
      </c>
      <c r="S7272" s="24" t="str" cm="1">
        <f t="array" ref="S7272">IFERROR(IF($B7272=S$1, ($A7272+$C7272) - MAX(IF($B$2:$B7271=$B7272, $A$2:$A7271+$C$2:$C7271)), "")*24*60, "")</f>
        <v/>
      </c>
    </row>
    <row r="7273" spans="1:19" x14ac:dyDescent="0.2">
      <c r="A7273" s="12">
        <f t="shared" ref="A7273:C7273" si="1455">A7272</f>
        <v>46015</v>
      </c>
      <c r="B7273" s="5" t="str">
        <f t="shared" si="1455"/>
        <v>Northern Cardinal</v>
      </c>
      <c r="C7273" s="6">
        <f t="shared" si="1455"/>
        <v>0.74097222222222225</v>
      </c>
      <c r="D7273" s="5"/>
      <c r="E7273" s="5"/>
      <c r="F7273" s="5" t="s">
        <v>9</v>
      </c>
      <c r="G7273" s="15" t="s">
        <v>8</v>
      </c>
      <c r="H7273" s="24">
        <f t="shared" si="1407"/>
        <v>0</v>
      </c>
      <c r="I7273" s="24" cm="1">
        <f t="array" ref="I7273">IFERROR(IF($B7273=I$1, ($A7273+$C7273) - MAX(IF($B$2:$B7272=$B7273, $A$2:$A7272+$C$2:$C7272)), "")*24*60, "")</f>
        <v>0</v>
      </c>
      <c r="J7273" s="24" t="str" cm="1">
        <f t="array" ref="J7273">IFERROR(IF($B7273=J$1, ($A7273+$C7273) - MAX(IF($B$2:$B7272=$B7273, $A$2:$A7272+$C$2:$C7272)), "")*24*60, "")</f>
        <v/>
      </c>
      <c r="K7273" s="24" t="str" cm="1">
        <f t="array" ref="K7273">IFERROR(IF($B7273=K$1, ($A7273+$C7273) - MAX(IF($B$2:$B7272=$B7273, $A$2:$A7272+$C$2:$C7272)), "")*24*60, "")</f>
        <v/>
      </c>
      <c r="L7273" s="24" t="str" cm="1">
        <f t="array" ref="L7273">IFERROR(IF($B7273=L$1, ($A7273+$C7273) - MAX(IF($B$2:$B7272=$B7273, $A$2:$A7272+$C$2:$C7272)), "")*24*60, "")</f>
        <v/>
      </c>
      <c r="M7273" s="24" t="str" cm="1">
        <f t="array" ref="M7273">IFERROR(IF($B7273=M$1, ($A7273+$C7273) - MAX(IF($B$2:$B7272=$B7273, $A$2:$A7272+$C$2:$C7272)), "")*24*60, "")</f>
        <v/>
      </c>
      <c r="N7273" s="24" t="str" cm="1">
        <f t="array" ref="N7273">IFERROR(IF($B7273=N$1, ($A7273+$C7273) - MAX(IF($B$2:$B7272=$B7273, $A$2:$A7272+$C$2:$C7272)), "")*24*60, "")</f>
        <v/>
      </c>
      <c r="O7273" s="24" t="str" cm="1">
        <f t="array" ref="O7273">IFERROR(IF($B7273=O$1, ($A7273+$C7273) - MAX(IF($B$2:$B7272=$B7273, $A$2:$A7272+$C$2:$C7272)), "")*24*60, "")</f>
        <v/>
      </c>
      <c r="P7273" s="24" t="str" cm="1">
        <f t="array" ref="P7273">IFERROR(IF($B7273=P$1, ($A7273+$C7273) - MAX(IF($B$2:$B7272=$B7273, $A$2:$A7272+$C$2:$C7272)), "")*24*60, "")</f>
        <v/>
      </c>
      <c r="Q7273" s="24" t="str" cm="1">
        <f t="array" ref="Q7273">IFERROR(IF($B7273=Q$1, ($A7273+$C7273) - MAX(IF($B$2:$B7272=$B7273, $A$2:$A7272+$C$2:$C7272)), "")*24*60, "")</f>
        <v/>
      </c>
      <c r="R7273" s="24" t="str" cm="1">
        <f t="array" ref="R7273">IFERROR(IF($B7273=R$1, ($A7273+$C7273) - MAX(IF($B$2:$B7272=$B7273, $A$2:$A7272+$C$2:$C7272)), "")*24*60, "")</f>
        <v/>
      </c>
      <c r="S7273" s="24" t="str" cm="1">
        <f t="array" ref="S7273">IFERROR(IF($B7273=S$1, ($A7273+$C7273) - MAX(IF($B$2:$B7272=$B7273, $A$2:$A7272+$C$2:$C7272)), "")*24*60, "")</f>
        <v/>
      </c>
    </row>
    <row r="7274" spans="1:19" x14ac:dyDescent="0.2">
      <c r="A7274" s="12">
        <f t="shared" ref="A7274:C7274" si="1456">A7273</f>
        <v>46015</v>
      </c>
      <c r="B7274" s="5" t="str">
        <f t="shared" si="1456"/>
        <v>Northern Cardinal</v>
      </c>
      <c r="C7274" s="6">
        <f t="shared" si="1456"/>
        <v>0.74097222222222225</v>
      </c>
      <c r="D7274" s="5"/>
      <c r="E7274" s="5"/>
      <c r="F7274" s="5" t="s">
        <v>9</v>
      </c>
      <c r="G7274" s="15" t="s">
        <v>8</v>
      </c>
      <c r="H7274" s="24">
        <f t="shared" si="1407"/>
        <v>0</v>
      </c>
      <c r="I7274" s="24" cm="1">
        <f t="array" ref="I7274">IFERROR(IF($B7274=I$1, ($A7274+$C7274) - MAX(IF($B$2:$B7273=$B7274, $A$2:$A7273+$C$2:$C7273)), "")*24*60, "")</f>
        <v>0</v>
      </c>
      <c r="J7274" s="24" t="str" cm="1">
        <f t="array" ref="J7274">IFERROR(IF($B7274=J$1, ($A7274+$C7274) - MAX(IF($B$2:$B7273=$B7274, $A$2:$A7273+$C$2:$C7273)), "")*24*60, "")</f>
        <v/>
      </c>
      <c r="K7274" s="24" t="str" cm="1">
        <f t="array" ref="K7274">IFERROR(IF($B7274=K$1, ($A7274+$C7274) - MAX(IF($B$2:$B7273=$B7274, $A$2:$A7273+$C$2:$C7273)), "")*24*60, "")</f>
        <v/>
      </c>
      <c r="L7274" s="24" t="str" cm="1">
        <f t="array" ref="L7274">IFERROR(IF($B7274=L$1, ($A7274+$C7274) - MAX(IF($B$2:$B7273=$B7274, $A$2:$A7273+$C$2:$C7273)), "")*24*60, "")</f>
        <v/>
      </c>
      <c r="M7274" s="24" t="str" cm="1">
        <f t="array" ref="M7274">IFERROR(IF($B7274=M$1, ($A7274+$C7274) - MAX(IF($B$2:$B7273=$B7274, $A$2:$A7273+$C$2:$C7273)), "")*24*60, "")</f>
        <v/>
      </c>
      <c r="N7274" s="24" t="str" cm="1">
        <f t="array" ref="N7274">IFERROR(IF($B7274=N$1, ($A7274+$C7274) - MAX(IF($B$2:$B7273=$B7274, $A$2:$A7273+$C$2:$C7273)), "")*24*60, "")</f>
        <v/>
      </c>
      <c r="O7274" s="24" t="str" cm="1">
        <f t="array" ref="O7274">IFERROR(IF($B7274=O$1, ($A7274+$C7274) - MAX(IF($B$2:$B7273=$B7274, $A$2:$A7273+$C$2:$C7273)), "")*24*60, "")</f>
        <v/>
      </c>
      <c r="P7274" s="24" t="str" cm="1">
        <f t="array" ref="P7274">IFERROR(IF($B7274=P$1, ($A7274+$C7274) - MAX(IF($B$2:$B7273=$B7274, $A$2:$A7273+$C$2:$C7273)), "")*24*60, "")</f>
        <v/>
      </c>
      <c r="Q7274" s="24" t="str" cm="1">
        <f t="array" ref="Q7274">IFERROR(IF($B7274=Q$1, ($A7274+$C7274) - MAX(IF($B$2:$B7273=$B7274, $A$2:$A7273+$C$2:$C7273)), "")*24*60, "")</f>
        <v/>
      </c>
      <c r="R7274" s="24" t="str" cm="1">
        <f t="array" ref="R7274">IFERROR(IF($B7274=R$1, ($A7274+$C7274) - MAX(IF($B$2:$B7273=$B7274, $A$2:$A7273+$C$2:$C7273)), "")*24*60, "")</f>
        <v/>
      </c>
      <c r="S7274" s="24" t="str" cm="1">
        <f t="array" ref="S7274">IFERROR(IF($B7274=S$1, ($A7274+$C7274) - MAX(IF($B$2:$B7273=$B7274, $A$2:$A7273+$C$2:$C7273)), "")*24*60, "")</f>
        <v/>
      </c>
    </row>
    <row r="7275" spans="1:19" x14ac:dyDescent="0.2">
      <c r="A7275" s="12">
        <f t="shared" ref="A7275:C7275" si="1457">A7274</f>
        <v>46015</v>
      </c>
      <c r="B7275" s="5" t="str">
        <f t="shared" si="1457"/>
        <v>Northern Cardinal</v>
      </c>
      <c r="C7275" s="6">
        <f t="shared" si="1457"/>
        <v>0.74097222222222225</v>
      </c>
      <c r="D7275" s="5"/>
      <c r="E7275" s="5"/>
      <c r="F7275" s="5" t="s">
        <v>9</v>
      </c>
      <c r="G7275" s="15" t="s">
        <v>8</v>
      </c>
      <c r="H7275" s="24">
        <f t="shared" si="1407"/>
        <v>0</v>
      </c>
      <c r="I7275" s="24" cm="1">
        <f t="array" ref="I7275">IFERROR(IF($B7275=I$1, ($A7275+$C7275) - MAX(IF($B$2:$B7274=$B7275, $A$2:$A7274+$C$2:$C7274)), "")*24*60, "")</f>
        <v>0</v>
      </c>
      <c r="J7275" s="24" t="str" cm="1">
        <f t="array" ref="J7275">IFERROR(IF($B7275=J$1, ($A7275+$C7275) - MAX(IF($B$2:$B7274=$B7275, $A$2:$A7274+$C$2:$C7274)), "")*24*60, "")</f>
        <v/>
      </c>
      <c r="K7275" s="24" t="str" cm="1">
        <f t="array" ref="K7275">IFERROR(IF($B7275=K$1, ($A7275+$C7275) - MAX(IF($B$2:$B7274=$B7275, $A$2:$A7274+$C$2:$C7274)), "")*24*60, "")</f>
        <v/>
      </c>
      <c r="L7275" s="24" t="str" cm="1">
        <f t="array" ref="L7275">IFERROR(IF($B7275=L$1, ($A7275+$C7275) - MAX(IF($B$2:$B7274=$B7275, $A$2:$A7274+$C$2:$C7274)), "")*24*60, "")</f>
        <v/>
      </c>
      <c r="M7275" s="24" t="str" cm="1">
        <f t="array" ref="M7275">IFERROR(IF($B7275=M$1, ($A7275+$C7275) - MAX(IF($B$2:$B7274=$B7275, $A$2:$A7274+$C$2:$C7274)), "")*24*60, "")</f>
        <v/>
      </c>
      <c r="N7275" s="24" t="str" cm="1">
        <f t="array" ref="N7275">IFERROR(IF($B7275=N$1, ($A7275+$C7275) - MAX(IF($B$2:$B7274=$B7275, $A$2:$A7274+$C$2:$C7274)), "")*24*60, "")</f>
        <v/>
      </c>
      <c r="O7275" s="24" t="str" cm="1">
        <f t="array" ref="O7275">IFERROR(IF($B7275=O$1, ($A7275+$C7275) - MAX(IF($B$2:$B7274=$B7275, $A$2:$A7274+$C$2:$C7274)), "")*24*60, "")</f>
        <v/>
      </c>
      <c r="P7275" s="24" t="str" cm="1">
        <f t="array" ref="P7275">IFERROR(IF($B7275=P$1, ($A7275+$C7275) - MAX(IF($B$2:$B7274=$B7275, $A$2:$A7274+$C$2:$C7274)), "")*24*60, "")</f>
        <v/>
      </c>
      <c r="Q7275" s="24" t="str" cm="1">
        <f t="array" ref="Q7275">IFERROR(IF($B7275=Q$1, ($A7275+$C7275) - MAX(IF($B$2:$B7274=$B7275, $A$2:$A7274+$C$2:$C7274)), "")*24*60, "")</f>
        <v/>
      </c>
      <c r="R7275" s="24" t="str" cm="1">
        <f t="array" ref="R7275">IFERROR(IF($B7275=R$1, ($A7275+$C7275) - MAX(IF($B$2:$B7274=$B7275, $A$2:$A7274+$C$2:$C7274)), "")*24*60, "")</f>
        <v/>
      </c>
      <c r="S7275" s="24" t="str" cm="1">
        <f t="array" ref="S7275">IFERROR(IF($B7275=S$1, ($A7275+$C7275) - MAX(IF($B$2:$B7274=$B7275, $A$2:$A7274+$C$2:$C7274)), "")*24*60, "")</f>
        <v/>
      </c>
    </row>
    <row r="7276" spans="1:19" x14ac:dyDescent="0.2">
      <c r="A7276" s="12">
        <f t="shared" ref="A7276:C7276" si="1458">A7275</f>
        <v>46015</v>
      </c>
      <c r="B7276" s="5" t="str">
        <f t="shared" si="1458"/>
        <v>Northern Cardinal</v>
      </c>
      <c r="C7276" s="6">
        <f t="shared" si="1458"/>
        <v>0.74097222222222225</v>
      </c>
      <c r="D7276" s="5"/>
      <c r="E7276" s="5"/>
      <c r="F7276" s="5" t="s">
        <v>9</v>
      </c>
      <c r="G7276" s="15" t="s">
        <v>8</v>
      </c>
      <c r="H7276" s="24">
        <f t="shared" si="1407"/>
        <v>0</v>
      </c>
      <c r="I7276" s="24" cm="1">
        <f t="array" ref="I7276">IFERROR(IF($B7276=I$1, ($A7276+$C7276) - MAX(IF($B$2:$B7275=$B7276, $A$2:$A7275+$C$2:$C7275)), "")*24*60, "")</f>
        <v>0</v>
      </c>
      <c r="J7276" s="24" t="str" cm="1">
        <f t="array" ref="J7276">IFERROR(IF($B7276=J$1, ($A7276+$C7276) - MAX(IF($B$2:$B7275=$B7276, $A$2:$A7275+$C$2:$C7275)), "")*24*60, "")</f>
        <v/>
      </c>
      <c r="K7276" s="24" t="str" cm="1">
        <f t="array" ref="K7276">IFERROR(IF($B7276=K$1, ($A7276+$C7276) - MAX(IF($B$2:$B7275=$B7276, $A$2:$A7275+$C$2:$C7275)), "")*24*60, "")</f>
        <v/>
      </c>
      <c r="L7276" s="24" t="str" cm="1">
        <f t="array" ref="L7276">IFERROR(IF($B7276=L$1, ($A7276+$C7276) - MAX(IF($B$2:$B7275=$B7276, $A$2:$A7275+$C$2:$C7275)), "")*24*60, "")</f>
        <v/>
      </c>
      <c r="M7276" s="24" t="str" cm="1">
        <f t="array" ref="M7276">IFERROR(IF($B7276=M$1, ($A7276+$C7276) - MAX(IF($B$2:$B7275=$B7276, $A$2:$A7275+$C$2:$C7275)), "")*24*60, "")</f>
        <v/>
      </c>
      <c r="N7276" s="24" t="str" cm="1">
        <f t="array" ref="N7276">IFERROR(IF($B7276=N$1, ($A7276+$C7276) - MAX(IF($B$2:$B7275=$B7276, $A$2:$A7275+$C$2:$C7275)), "")*24*60, "")</f>
        <v/>
      </c>
      <c r="O7276" s="24" t="str" cm="1">
        <f t="array" ref="O7276">IFERROR(IF($B7276=O$1, ($A7276+$C7276) - MAX(IF($B$2:$B7275=$B7276, $A$2:$A7275+$C$2:$C7275)), "")*24*60, "")</f>
        <v/>
      </c>
      <c r="P7276" s="24" t="str" cm="1">
        <f t="array" ref="P7276">IFERROR(IF($B7276=P$1, ($A7276+$C7276) - MAX(IF($B$2:$B7275=$B7276, $A$2:$A7275+$C$2:$C7275)), "")*24*60, "")</f>
        <v/>
      </c>
      <c r="Q7276" s="24" t="str" cm="1">
        <f t="array" ref="Q7276">IFERROR(IF($B7276=Q$1, ($A7276+$C7276) - MAX(IF($B$2:$B7275=$B7276, $A$2:$A7275+$C$2:$C7275)), "")*24*60, "")</f>
        <v/>
      </c>
      <c r="R7276" s="24" t="str" cm="1">
        <f t="array" ref="R7276">IFERROR(IF($B7276=R$1, ($A7276+$C7276) - MAX(IF($B$2:$B7275=$B7276, $A$2:$A7275+$C$2:$C7275)), "")*24*60, "")</f>
        <v/>
      </c>
      <c r="S7276" s="24" t="str" cm="1">
        <f t="array" ref="S7276">IFERROR(IF($B7276=S$1, ($A7276+$C7276) - MAX(IF($B$2:$B7275=$B7276, $A$2:$A7275+$C$2:$C7275)), "")*24*60, "")</f>
        <v/>
      </c>
    </row>
    <row r="7277" spans="1:19" x14ac:dyDescent="0.2">
      <c r="A7277" s="12">
        <f t="shared" ref="A7277:C7277" si="1459">A7276</f>
        <v>46015</v>
      </c>
      <c r="B7277" s="5" t="str">
        <f t="shared" si="1459"/>
        <v>Northern Cardinal</v>
      </c>
      <c r="C7277" s="6">
        <f t="shared" si="1459"/>
        <v>0.74097222222222225</v>
      </c>
      <c r="D7277" s="5"/>
      <c r="E7277" s="5"/>
      <c r="F7277" s="5" t="s">
        <v>9</v>
      </c>
      <c r="G7277" s="15" t="s">
        <v>8</v>
      </c>
      <c r="H7277" s="24">
        <f t="shared" si="1407"/>
        <v>0</v>
      </c>
      <c r="I7277" s="24" cm="1">
        <f t="array" ref="I7277">IFERROR(IF($B7277=I$1, ($A7277+$C7277) - MAX(IF($B$2:$B7276=$B7277, $A$2:$A7276+$C$2:$C7276)), "")*24*60, "")</f>
        <v>0</v>
      </c>
      <c r="J7277" s="24" t="str" cm="1">
        <f t="array" ref="J7277">IFERROR(IF($B7277=J$1, ($A7277+$C7277) - MAX(IF($B$2:$B7276=$B7277, $A$2:$A7276+$C$2:$C7276)), "")*24*60, "")</f>
        <v/>
      </c>
      <c r="K7277" s="24" t="str" cm="1">
        <f t="array" ref="K7277">IFERROR(IF($B7277=K$1, ($A7277+$C7277) - MAX(IF($B$2:$B7276=$B7277, $A$2:$A7276+$C$2:$C7276)), "")*24*60, "")</f>
        <v/>
      </c>
      <c r="L7277" s="24" t="str" cm="1">
        <f t="array" ref="L7277">IFERROR(IF($B7277=L$1, ($A7277+$C7277) - MAX(IF($B$2:$B7276=$B7277, $A$2:$A7276+$C$2:$C7276)), "")*24*60, "")</f>
        <v/>
      </c>
      <c r="M7277" s="24" t="str" cm="1">
        <f t="array" ref="M7277">IFERROR(IF($B7277=M$1, ($A7277+$C7277) - MAX(IF($B$2:$B7276=$B7277, $A$2:$A7276+$C$2:$C7276)), "")*24*60, "")</f>
        <v/>
      </c>
      <c r="N7277" s="24" t="str" cm="1">
        <f t="array" ref="N7277">IFERROR(IF($B7277=N$1, ($A7277+$C7277) - MAX(IF($B$2:$B7276=$B7277, $A$2:$A7276+$C$2:$C7276)), "")*24*60, "")</f>
        <v/>
      </c>
      <c r="O7277" s="24" t="str" cm="1">
        <f t="array" ref="O7277">IFERROR(IF($B7277=O$1, ($A7277+$C7277) - MAX(IF($B$2:$B7276=$B7277, $A$2:$A7276+$C$2:$C7276)), "")*24*60, "")</f>
        <v/>
      </c>
      <c r="P7277" s="24" t="str" cm="1">
        <f t="array" ref="P7277">IFERROR(IF($B7277=P$1, ($A7277+$C7277) - MAX(IF($B$2:$B7276=$B7277, $A$2:$A7276+$C$2:$C7276)), "")*24*60, "")</f>
        <v/>
      </c>
      <c r="Q7277" s="24" t="str" cm="1">
        <f t="array" ref="Q7277">IFERROR(IF($B7277=Q$1, ($A7277+$C7277) - MAX(IF($B$2:$B7276=$B7277, $A$2:$A7276+$C$2:$C7276)), "")*24*60, "")</f>
        <v/>
      </c>
      <c r="R7277" s="24" t="str" cm="1">
        <f t="array" ref="R7277">IFERROR(IF($B7277=R$1, ($A7277+$C7277) - MAX(IF($B$2:$B7276=$B7277, $A$2:$A7276+$C$2:$C7276)), "")*24*60, "")</f>
        <v/>
      </c>
      <c r="S7277" s="24" t="str" cm="1">
        <f t="array" ref="S7277">IFERROR(IF($B7277=S$1, ($A7277+$C7277) - MAX(IF($B$2:$B7276=$B7277, $A$2:$A7276+$C$2:$C7276)), "")*24*60, "")</f>
        <v/>
      </c>
    </row>
    <row r="7278" spans="1:19" x14ac:dyDescent="0.2">
      <c r="A7278" s="12">
        <f t="shared" ref="A7278:C7278" si="1460">A7277</f>
        <v>46015</v>
      </c>
      <c r="B7278" s="5" t="str">
        <f t="shared" si="1460"/>
        <v>Northern Cardinal</v>
      </c>
      <c r="C7278" s="6">
        <f t="shared" si="1460"/>
        <v>0.74097222222222225</v>
      </c>
      <c r="D7278" s="5"/>
      <c r="E7278" s="5"/>
      <c r="F7278" s="5" t="s">
        <v>9</v>
      </c>
      <c r="G7278" s="15" t="s">
        <v>8</v>
      </c>
      <c r="H7278" s="24">
        <f t="shared" si="1407"/>
        <v>0</v>
      </c>
      <c r="I7278" s="24" cm="1">
        <f t="array" ref="I7278">IFERROR(IF($B7278=I$1, ($A7278+$C7278) - MAX(IF($B$2:$B7277=$B7278, $A$2:$A7277+$C$2:$C7277)), "")*24*60, "")</f>
        <v>0</v>
      </c>
      <c r="J7278" s="24" t="str" cm="1">
        <f t="array" ref="J7278">IFERROR(IF($B7278=J$1, ($A7278+$C7278) - MAX(IF($B$2:$B7277=$B7278, $A$2:$A7277+$C$2:$C7277)), "")*24*60, "")</f>
        <v/>
      </c>
      <c r="K7278" s="24" t="str" cm="1">
        <f t="array" ref="K7278">IFERROR(IF($B7278=K$1, ($A7278+$C7278) - MAX(IF($B$2:$B7277=$B7278, $A$2:$A7277+$C$2:$C7277)), "")*24*60, "")</f>
        <v/>
      </c>
      <c r="L7278" s="24" t="str" cm="1">
        <f t="array" ref="L7278">IFERROR(IF($B7278=L$1, ($A7278+$C7278) - MAX(IF($B$2:$B7277=$B7278, $A$2:$A7277+$C$2:$C7277)), "")*24*60, "")</f>
        <v/>
      </c>
      <c r="M7278" s="24" t="str" cm="1">
        <f t="array" ref="M7278">IFERROR(IF($B7278=M$1, ($A7278+$C7278) - MAX(IF($B$2:$B7277=$B7278, $A$2:$A7277+$C$2:$C7277)), "")*24*60, "")</f>
        <v/>
      </c>
      <c r="N7278" s="24" t="str" cm="1">
        <f t="array" ref="N7278">IFERROR(IF($B7278=N$1, ($A7278+$C7278) - MAX(IF($B$2:$B7277=$B7278, $A$2:$A7277+$C$2:$C7277)), "")*24*60, "")</f>
        <v/>
      </c>
      <c r="O7278" s="24" t="str" cm="1">
        <f t="array" ref="O7278">IFERROR(IF($B7278=O$1, ($A7278+$C7278) - MAX(IF($B$2:$B7277=$B7278, $A$2:$A7277+$C$2:$C7277)), "")*24*60, "")</f>
        <v/>
      </c>
      <c r="P7278" s="24" t="str" cm="1">
        <f t="array" ref="P7278">IFERROR(IF($B7278=P$1, ($A7278+$C7278) - MAX(IF($B$2:$B7277=$B7278, $A$2:$A7277+$C$2:$C7277)), "")*24*60, "")</f>
        <v/>
      </c>
      <c r="Q7278" s="24" t="str" cm="1">
        <f t="array" ref="Q7278">IFERROR(IF($B7278=Q$1, ($A7278+$C7278) - MAX(IF($B$2:$B7277=$B7278, $A$2:$A7277+$C$2:$C7277)), "")*24*60, "")</f>
        <v/>
      </c>
      <c r="R7278" s="24" t="str" cm="1">
        <f t="array" ref="R7278">IFERROR(IF($B7278=R$1, ($A7278+$C7278) - MAX(IF($B$2:$B7277=$B7278, $A$2:$A7277+$C$2:$C7277)), "")*24*60, "")</f>
        <v/>
      </c>
      <c r="S7278" s="24" t="str" cm="1">
        <f t="array" ref="S7278">IFERROR(IF($B7278=S$1, ($A7278+$C7278) - MAX(IF($B$2:$B7277=$B7278, $A$2:$A7277+$C$2:$C7277)), "")*24*60, "")</f>
        <v/>
      </c>
    </row>
    <row r="7279" spans="1:19" x14ac:dyDescent="0.2">
      <c r="A7279" s="12">
        <f t="shared" ref="A7279:C7279" si="1461">A7278</f>
        <v>46015</v>
      </c>
      <c r="B7279" s="5" t="str">
        <f t="shared" si="1461"/>
        <v>Northern Cardinal</v>
      </c>
      <c r="C7279" s="6">
        <f t="shared" si="1461"/>
        <v>0.74097222222222225</v>
      </c>
      <c r="D7279" s="5"/>
      <c r="E7279" s="5"/>
      <c r="F7279" s="5" t="s">
        <v>9</v>
      </c>
      <c r="G7279" s="15" t="s">
        <v>8</v>
      </c>
      <c r="H7279" s="24">
        <f t="shared" si="1407"/>
        <v>0</v>
      </c>
      <c r="I7279" s="24" cm="1">
        <f t="array" ref="I7279">IFERROR(IF($B7279=I$1, ($A7279+$C7279) - MAX(IF($B$2:$B7278=$B7279, $A$2:$A7278+$C$2:$C7278)), "")*24*60, "")</f>
        <v>0</v>
      </c>
      <c r="J7279" s="24" t="str" cm="1">
        <f t="array" ref="J7279">IFERROR(IF($B7279=J$1, ($A7279+$C7279) - MAX(IF($B$2:$B7278=$B7279, $A$2:$A7278+$C$2:$C7278)), "")*24*60, "")</f>
        <v/>
      </c>
      <c r="K7279" s="24" t="str" cm="1">
        <f t="array" ref="K7279">IFERROR(IF($B7279=K$1, ($A7279+$C7279) - MAX(IF($B$2:$B7278=$B7279, $A$2:$A7278+$C$2:$C7278)), "")*24*60, "")</f>
        <v/>
      </c>
      <c r="L7279" s="24" t="str" cm="1">
        <f t="array" ref="L7279">IFERROR(IF($B7279=L$1, ($A7279+$C7279) - MAX(IF($B$2:$B7278=$B7279, $A$2:$A7278+$C$2:$C7278)), "")*24*60, "")</f>
        <v/>
      </c>
      <c r="M7279" s="24" t="str" cm="1">
        <f t="array" ref="M7279">IFERROR(IF($B7279=M$1, ($A7279+$C7279) - MAX(IF($B$2:$B7278=$B7279, $A$2:$A7278+$C$2:$C7278)), "")*24*60, "")</f>
        <v/>
      </c>
      <c r="N7279" s="24" t="str" cm="1">
        <f t="array" ref="N7279">IFERROR(IF($B7279=N$1, ($A7279+$C7279) - MAX(IF($B$2:$B7278=$B7279, $A$2:$A7278+$C$2:$C7278)), "")*24*60, "")</f>
        <v/>
      </c>
      <c r="O7279" s="24" t="str" cm="1">
        <f t="array" ref="O7279">IFERROR(IF($B7279=O$1, ($A7279+$C7279) - MAX(IF($B$2:$B7278=$B7279, $A$2:$A7278+$C$2:$C7278)), "")*24*60, "")</f>
        <v/>
      </c>
      <c r="P7279" s="24" t="str" cm="1">
        <f t="array" ref="P7279">IFERROR(IF($B7279=P$1, ($A7279+$C7279) - MAX(IF($B$2:$B7278=$B7279, $A$2:$A7278+$C$2:$C7278)), "")*24*60, "")</f>
        <v/>
      </c>
      <c r="Q7279" s="24" t="str" cm="1">
        <f t="array" ref="Q7279">IFERROR(IF($B7279=Q$1, ($A7279+$C7279) - MAX(IF($B$2:$B7278=$B7279, $A$2:$A7278+$C$2:$C7278)), "")*24*60, "")</f>
        <v/>
      </c>
      <c r="R7279" s="24" t="str" cm="1">
        <f t="array" ref="R7279">IFERROR(IF($B7279=R$1, ($A7279+$C7279) - MAX(IF($B$2:$B7278=$B7279, $A$2:$A7278+$C$2:$C7278)), "")*24*60, "")</f>
        <v/>
      </c>
      <c r="S7279" s="24" t="str" cm="1">
        <f t="array" ref="S7279">IFERROR(IF($B7279=S$1, ($A7279+$C7279) - MAX(IF($B$2:$B7278=$B7279, $A$2:$A7278+$C$2:$C7278)), "")*24*60, "")</f>
        <v/>
      </c>
    </row>
    <row r="7280" spans="1:19" x14ac:dyDescent="0.2">
      <c r="A7280" s="12">
        <f t="shared" ref="A7280:C7280" si="1462">A7279</f>
        <v>46015</v>
      </c>
      <c r="B7280" s="5" t="str">
        <f t="shared" si="1462"/>
        <v>Northern Cardinal</v>
      </c>
      <c r="C7280" s="6">
        <f t="shared" si="1462"/>
        <v>0.74097222222222225</v>
      </c>
      <c r="D7280" s="5"/>
      <c r="E7280" s="5"/>
      <c r="F7280" s="5" t="s">
        <v>9</v>
      </c>
      <c r="G7280" s="15" t="s">
        <v>8</v>
      </c>
      <c r="H7280" s="24">
        <f t="shared" si="1407"/>
        <v>0</v>
      </c>
      <c r="I7280" s="24" cm="1">
        <f t="array" ref="I7280">IFERROR(IF($B7280=I$1, ($A7280+$C7280) - MAX(IF($B$2:$B7279=$B7280, $A$2:$A7279+$C$2:$C7279)), "")*24*60, "")</f>
        <v>0</v>
      </c>
      <c r="J7280" s="24" t="str" cm="1">
        <f t="array" ref="J7280">IFERROR(IF($B7280=J$1, ($A7280+$C7280) - MAX(IF($B$2:$B7279=$B7280, $A$2:$A7279+$C$2:$C7279)), "")*24*60, "")</f>
        <v/>
      </c>
      <c r="K7280" s="24" t="str" cm="1">
        <f t="array" ref="K7280">IFERROR(IF($B7280=K$1, ($A7280+$C7280) - MAX(IF($B$2:$B7279=$B7280, $A$2:$A7279+$C$2:$C7279)), "")*24*60, "")</f>
        <v/>
      </c>
      <c r="L7280" s="24" t="str" cm="1">
        <f t="array" ref="L7280">IFERROR(IF($B7280=L$1, ($A7280+$C7280) - MAX(IF($B$2:$B7279=$B7280, $A$2:$A7279+$C$2:$C7279)), "")*24*60, "")</f>
        <v/>
      </c>
      <c r="M7280" s="24" t="str" cm="1">
        <f t="array" ref="M7280">IFERROR(IF($B7280=M$1, ($A7280+$C7280) - MAX(IF($B$2:$B7279=$B7280, $A$2:$A7279+$C$2:$C7279)), "")*24*60, "")</f>
        <v/>
      </c>
      <c r="N7280" s="24" t="str" cm="1">
        <f t="array" ref="N7280">IFERROR(IF($B7280=N$1, ($A7280+$C7280) - MAX(IF($B$2:$B7279=$B7280, $A$2:$A7279+$C$2:$C7279)), "")*24*60, "")</f>
        <v/>
      </c>
      <c r="O7280" s="24" t="str" cm="1">
        <f t="array" ref="O7280">IFERROR(IF($B7280=O$1, ($A7280+$C7280) - MAX(IF($B$2:$B7279=$B7280, $A$2:$A7279+$C$2:$C7279)), "")*24*60, "")</f>
        <v/>
      </c>
      <c r="P7280" s="24" t="str" cm="1">
        <f t="array" ref="P7280">IFERROR(IF($B7280=P$1, ($A7280+$C7280) - MAX(IF($B$2:$B7279=$B7280, $A$2:$A7279+$C$2:$C7279)), "")*24*60, "")</f>
        <v/>
      </c>
      <c r="Q7280" s="24" t="str" cm="1">
        <f t="array" ref="Q7280">IFERROR(IF($B7280=Q$1, ($A7280+$C7280) - MAX(IF($B$2:$B7279=$B7280, $A$2:$A7279+$C$2:$C7279)), "")*24*60, "")</f>
        <v/>
      </c>
      <c r="R7280" s="24" t="str" cm="1">
        <f t="array" ref="R7280">IFERROR(IF($B7280=R$1, ($A7280+$C7280) - MAX(IF($B$2:$B7279=$B7280, $A$2:$A7279+$C$2:$C7279)), "")*24*60, "")</f>
        <v/>
      </c>
      <c r="S7280" s="24" t="str" cm="1">
        <f t="array" ref="S7280">IFERROR(IF($B7280=S$1, ($A7280+$C7280) - MAX(IF($B$2:$B7279=$B7280, $A$2:$A7279+$C$2:$C7279)), "")*24*60, "")</f>
        <v/>
      </c>
    </row>
    <row r="7281" spans="1:19" x14ac:dyDescent="0.2">
      <c r="A7281" s="12">
        <f t="shared" ref="A7281:C7281" si="1463">A7280</f>
        <v>46015</v>
      </c>
      <c r="B7281" s="5" t="str">
        <f t="shared" si="1463"/>
        <v>Northern Cardinal</v>
      </c>
      <c r="C7281" s="6">
        <f t="shared" si="1463"/>
        <v>0.74097222222222225</v>
      </c>
      <c r="D7281" s="5"/>
      <c r="E7281" s="5"/>
      <c r="F7281" s="5" t="s">
        <v>9</v>
      </c>
      <c r="G7281" s="15" t="s">
        <v>8</v>
      </c>
      <c r="H7281" s="24">
        <f t="shared" si="1407"/>
        <v>0</v>
      </c>
      <c r="I7281" s="24" cm="1">
        <f t="array" ref="I7281">IFERROR(IF($B7281=I$1, ($A7281+$C7281) - MAX(IF($B$2:$B7280=$B7281, $A$2:$A7280+$C$2:$C7280)), "")*24*60, "")</f>
        <v>0</v>
      </c>
      <c r="J7281" s="24" t="str" cm="1">
        <f t="array" ref="J7281">IFERROR(IF($B7281=J$1, ($A7281+$C7281) - MAX(IF($B$2:$B7280=$B7281, $A$2:$A7280+$C$2:$C7280)), "")*24*60, "")</f>
        <v/>
      </c>
      <c r="K7281" s="24" t="str" cm="1">
        <f t="array" ref="K7281">IFERROR(IF($B7281=K$1, ($A7281+$C7281) - MAX(IF($B$2:$B7280=$B7281, $A$2:$A7280+$C$2:$C7280)), "")*24*60, "")</f>
        <v/>
      </c>
      <c r="L7281" s="24" t="str" cm="1">
        <f t="array" ref="L7281">IFERROR(IF($B7281=L$1, ($A7281+$C7281) - MAX(IF($B$2:$B7280=$B7281, $A$2:$A7280+$C$2:$C7280)), "")*24*60, "")</f>
        <v/>
      </c>
      <c r="M7281" s="24" t="str" cm="1">
        <f t="array" ref="M7281">IFERROR(IF($B7281=M$1, ($A7281+$C7281) - MAX(IF($B$2:$B7280=$B7281, $A$2:$A7280+$C$2:$C7280)), "")*24*60, "")</f>
        <v/>
      </c>
      <c r="N7281" s="24" t="str" cm="1">
        <f t="array" ref="N7281">IFERROR(IF($B7281=N$1, ($A7281+$C7281) - MAX(IF($B$2:$B7280=$B7281, $A$2:$A7280+$C$2:$C7280)), "")*24*60, "")</f>
        <v/>
      </c>
      <c r="O7281" s="24" t="str" cm="1">
        <f t="array" ref="O7281">IFERROR(IF($B7281=O$1, ($A7281+$C7281) - MAX(IF($B$2:$B7280=$B7281, $A$2:$A7280+$C$2:$C7280)), "")*24*60, "")</f>
        <v/>
      </c>
      <c r="P7281" s="24" t="str" cm="1">
        <f t="array" ref="P7281">IFERROR(IF($B7281=P$1, ($A7281+$C7281) - MAX(IF($B$2:$B7280=$B7281, $A$2:$A7280+$C$2:$C7280)), "")*24*60, "")</f>
        <v/>
      </c>
      <c r="Q7281" s="24" t="str" cm="1">
        <f t="array" ref="Q7281">IFERROR(IF($B7281=Q$1, ($A7281+$C7281) - MAX(IF($B$2:$B7280=$B7281, $A$2:$A7280+$C$2:$C7280)), "")*24*60, "")</f>
        <v/>
      </c>
      <c r="R7281" s="24" t="str" cm="1">
        <f t="array" ref="R7281">IFERROR(IF($B7281=R$1, ($A7281+$C7281) - MAX(IF($B$2:$B7280=$B7281, $A$2:$A7280+$C$2:$C7280)), "")*24*60, "")</f>
        <v/>
      </c>
      <c r="S7281" s="24" t="str" cm="1">
        <f t="array" ref="S7281">IFERROR(IF($B7281=S$1, ($A7281+$C7281) - MAX(IF($B$2:$B7280=$B7281, $A$2:$A7280+$C$2:$C7280)), "")*24*60, "")</f>
        <v/>
      </c>
    </row>
    <row r="7282" spans="1:19" x14ac:dyDescent="0.2">
      <c r="A7282" s="12">
        <f t="shared" ref="A7282:C7282" si="1464">A7281</f>
        <v>46015</v>
      </c>
      <c r="B7282" s="5" t="str">
        <f t="shared" si="1464"/>
        <v>Northern Cardinal</v>
      </c>
      <c r="C7282" s="6">
        <f t="shared" si="1464"/>
        <v>0.74097222222222225</v>
      </c>
      <c r="D7282" s="5"/>
      <c r="E7282" s="5"/>
      <c r="F7282" s="5" t="s">
        <v>9</v>
      </c>
      <c r="G7282" s="15" t="s">
        <v>8</v>
      </c>
      <c r="H7282" s="24">
        <f t="shared" si="1407"/>
        <v>0</v>
      </c>
      <c r="I7282" s="24" cm="1">
        <f t="array" ref="I7282">IFERROR(IF($B7282=I$1, ($A7282+$C7282) - MAX(IF($B$2:$B7281=$B7282, $A$2:$A7281+$C$2:$C7281)), "")*24*60, "")</f>
        <v>0</v>
      </c>
      <c r="J7282" s="24" t="str" cm="1">
        <f t="array" ref="J7282">IFERROR(IF($B7282=J$1, ($A7282+$C7282) - MAX(IF($B$2:$B7281=$B7282, $A$2:$A7281+$C$2:$C7281)), "")*24*60, "")</f>
        <v/>
      </c>
      <c r="K7282" s="24" t="str" cm="1">
        <f t="array" ref="K7282">IFERROR(IF($B7282=K$1, ($A7282+$C7282) - MAX(IF($B$2:$B7281=$B7282, $A$2:$A7281+$C$2:$C7281)), "")*24*60, "")</f>
        <v/>
      </c>
      <c r="L7282" s="24" t="str" cm="1">
        <f t="array" ref="L7282">IFERROR(IF($B7282=L$1, ($A7282+$C7282) - MAX(IF($B$2:$B7281=$B7282, $A$2:$A7281+$C$2:$C7281)), "")*24*60, "")</f>
        <v/>
      </c>
      <c r="M7282" s="24" t="str" cm="1">
        <f t="array" ref="M7282">IFERROR(IF($B7282=M$1, ($A7282+$C7282) - MAX(IF($B$2:$B7281=$B7282, $A$2:$A7281+$C$2:$C7281)), "")*24*60, "")</f>
        <v/>
      </c>
      <c r="N7282" s="24" t="str" cm="1">
        <f t="array" ref="N7282">IFERROR(IF($B7282=N$1, ($A7282+$C7282) - MAX(IF($B$2:$B7281=$B7282, $A$2:$A7281+$C$2:$C7281)), "")*24*60, "")</f>
        <v/>
      </c>
      <c r="O7282" s="24" t="str" cm="1">
        <f t="array" ref="O7282">IFERROR(IF($B7282=O$1, ($A7282+$C7282) - MAX(IF($B$2:$B7281=$B7282, $A$2:$A7281+$C$2:$C7281)), "")*24*60, "")</f>
        <v/>
      </c>
      <c r="P7282" s="24" t="str" cm="1">
        <f t="array" ref="P7282">IFERROR(IF($B7282=P$1, ($A7282+$C7282) - MAX(IF($B$2:$B7281=$B7282, $A$2:$A7281+$C$2:$C7281)), "")*24*60, "")</f>
        <v/>
      </c>
      <c r="Q7282" s="24" t="str" cm="1">
        <f t="array" ref="Q7282">IFERROR(IF($B7282=Q$1, ($A7282+$C7282) - MAX(IF($B$2:$B7281=$B7282, $A$2:$A7281+$C$2:$C7281)), "")*24*60, "")</f>
        <v/>
      </c>
      <c r="R7282" s="24" t="str" cm="1">
        <f t="array" ref="R7282">IFERROR(IF($B7282=R$1, ($A7282+$C7282) - MAX(IF($B$2:$B7281=$B7282, $A$2:$A7281+$C$2:$C7281)), "")*24*60, "")</f>
        <v/>
      </c>
      <c r="S7282" s="24" t="str" cm="1">
        <f t="array" ref="S7282">IFERROR(IF($B7282=S$1, ($A7282+$C7282) - MAX(IF($B$2:$B7281=$B7282, $A$2:$A7281+$C$2:$C7281)), "")*24*60, "")</f>
        <v/>
      </c>
    </row>
    <row r="7283" spans="1:19" x14ac:dyDescent="0.2">
      <c r="A7283" s="12">
        <f t="shared" ref="A7283:C7283" si="1465">A7282</f>
        <v>46015</v>
      </c>
      <c r="B7283" s="5" t="str">
        <f t="shared" si="1465"/>
        <v>Northern Cardinal</v>
      </c>
      <c r="C7283" s="6">
        <f t="shared" si="1465"/>
        <v>0.74097222222222225</v>
      </c>
      <c r="D7283" s="5"/>
      <c r="E7283" s="5"/>
      <c r="F7283" s="5" t="s">
        <v>9</v>
      </c>
      <c r="G7283" s="15" t="s">
        <v>8</v>
      </c>
      <c r="H7283" s="24">
        <f t="shared" si="1407"/>
        <v>0</v>
      </c>
      <c r="I7283" s="24" cm="1">
        <f t="array" ref="I7283">IFERROR(IF($B7283=I$1, ($A7283+$C7283) - MAX(IF($B$2:$B7282=$B7283, $A$2:$A7282+$C$2:$C7282)), "")*24*60, "")</f>
        <v>0</v>
      </c>
      <c r="J7283" s="24" t="str" cm="1">
        <f t="array" ref="J7283">IFERROR(IF($B7283=J$1, ($A7283+$C7283) - MAX(IF($B$2:$B7282=$B7283, $A$2:$A7282+$C$2:$C7282)), "")*24*60, "")</f>
        <v/>
      </c>
      <c r="K7283" s="24" t="str" cm="1">
        <f t="array" ref="K7283">IFERROR(IF($B7283=K$1, ($A7283+$C7283) - MAX(IF($B$2:$B7282=$B7283, $A$2:$A7282+$C$2:$C7282)), "")*24*60, "")</f>
        <v/>
      </c>
      <c r="L7283" s="24" t="str" cm="1">
        <f t="array" ref="L7283">IFERROR(IF($B7283=L$1, ($A7283+$C7283) - MAX(IF($B$2:$B7282=$B7283, $A$2:$A7282+$C$2:$C7282)), "")*24*60, "")</f>
        <v/>
      </c>
      <c r="M7283" s="24" t="str" cm="1">
        <f t="array" ref="M7283">IFERROR(IF($B7283=M$1, ($A7283+$C7283) - MAX(IF($B$2:$B7282=$B7283, $A$2:$A7282+$C$2:$C7282)), "")*24*60, "")</f>
        <v/>
      </c>
      <c r="N7283" s="24" t="str" cm="1">
        <f t="array" ref="N7283">IFERROR(IF($B7283=N$1, ($A7283+$C7283) - MAX(IF($B$2:$B7282=$B7283, $A$2:$A7282+$C$2:$C7282)), "")*24*60, "")</f>
        <v/>
      </c>
      <c r="O7283" s="24" t="str" cm="1">
        <f t="array" ref="O7283">IFERROR(IF($B7283=O$1, ($A7283+$C7283) - MAX(IF($B$2:$B7282=$B7283, $A$2:$A7282+$C$2:$C7282)), "")*24*60, "")</f>
        <v/>
      </c>
      <c r="P7283" s="24" t="str" cm="1">
        <f t="array" ref="P7283">IFERROR(IF($B7283=P$1, ($A7283+$C7283) - MAX(IF($B$2:$B7282=$B7283, $A$2:$A7282+$C$2:$C7282)), "")*24*60, "")</f>
        <v/>
      </c>
      <c r="Q7283" s="24" t="str" cm="1">
        <f t="array" ref="Q7283">IFERROR(IF($B7283=Q$1, ($A7283+$C7283) - MAX(IF($B$2:$B7282=$B7283, $A$2:$A7282+$C$2:$C7282)), "")*24*60, "")</f>
        <v/>
      </c>
      <c r="R7283" s="24" t="str" cm="1">
        <f t="array" ref="R7283">IFERROR(IF($B7283=R$1, ($A7283+$C7283) - MAX(IF($B$2:$B7282=$B7283, $A$2:$A7282+$C$2:$C7282)), "")*24*60, "")</f>
        <v/>
      </c>
      <c r="S7283" s="24" t="str" cm="1">
        <f t="array" ref="S7283">IFERROR(IF($B7283=S$1, ($A7283+$C7283) - MAX(IF($B$2:$B7282=$B7283, $A$2:$A7282+$C$2:$C7282)), "")*24*60, "")</f>
        <v/>
      </c>
    </row>
    <row r="7284" spans="1:19" x14ac:dyDescent="0.2">
      <c r="A7284" s="12">
        <f t="shared" ref="A7284:C7284" si="1466">A7283</f>
        <v>46015</v>
      </c>
      <c r="B7284" s="5" t="str">
        <f t="shared" si="1466"/>
        <v>Northern Cardinal</v>
      </c>
      <c r="C7284" s="6">
        <f t="shared" si="1466"/>
        <v>0.74097222222222225</v>
      </c>
      <c r="D7284" s="5"/>
      <c r="E7284" s="5"/>
      <c r="F7284" s="5" t="s">
        <v>9</v>
      </c>
      <c r="G7284" s="15" t="s">
        <v>8</v>
      </c>
      <c r="H7284" s="24">
        <f t="shared" si="1407"/>
        <v>0</v>
      </c>
      <c r="I7284" s="24" cm="1">
        <f t="array" ref="I7284">IFERROR(IF($B7284=I$1, ($A7284+$C7284) - MAX(IF($B$2:$B7283=$B7284, $A$2:$A7283+$C$2:$C7283)), "")*24*60, "")</f>
        <v>0</v>
      </c>
      <c r="J7284" s="24" t="str" cm="1">
        <f t="array" ref="J7284">IFERROR(IF($B7284=J$1, ($A7284+$C7284) - MAX(IF($B$2:$B7283=$B7284, $A$2:$A7283+$C$2:$C7283)), "")*24*60, "")</f>
        <v/>
      </c>
      <c r="K7284" s="24" t="str" cm="1">
        <f t="array" ref="K7284">IFERROR(IF($B7284=K$1, ($A7284+$C7284) - MAX(IF($B$2:$B7283=$B7284, $A$2:$A7283+$C$2:$C7283)), "")*24*60, "")</f>
        <v/>
      </c>
      <c r="L7284" s="24" t="str" cm="1">
        <f t="array" ref="L7284">IFERROR(IF($B7284=L$1, ($A7284+$C7284) - MAX(IF($B$2:$B7283=$B7284, $A$2:$A7283+$C$2:$C7283)), "")*24*60, "")</f>
        <v/>
      </c>
      <c r="M7284" s="24" t="str" cm="1">
        <f t="array" ref="M7284">IFERROR(IF($B7284=M$1, ($A7284+$C7284) - MAX(IF($B$2:$B7283=$B7284, $A$2:$A7283+$C$2:$C7283)), "")*24*60, "")</f>
        <v/>
      </c>
      <c r="N7284" s="24" t="str" cm="1">
        <f t="array" ref="N7284">IFERROR(IF($B7284=N$1, ($A7284+$C7284) - MAX(IF($B$2:$B7283=$B7284, $A$2:$A7283+$C$2:$C7283)), "")*24*60, "")</f>
        <v/>
      </c>
      <c r="O7284" s="24" t="str" cm="1">
        <f t="array" ref="O7284">IFERROR(IF($B7284=O$1, ($A7284+$C7284) - MAX(IF($B$2:$B7283=$B7284, $A$2:$A7283+$C$2:$C7283)), "")*24*60, "")</f>
        <v/>
      </c>
      <c r="P7284" s="24" t="str" cm="1">
        <f t="array" ref="P7284">IFERROR(IF($B7284=P$1, ($A7284+$C7284) - MAX(IF($B$2:$B7283=$B7284, $A$2:$A7283+$C$2:$C7283)), "")*24*60, "")</f>
        <v/>
      </c>
      <c r="Q7284" s="24" t="str" cm="1">
        <f t="array" ref="Q7284">IFERROR(IF($B7284=Q$1, ($A7284+$C7284) - MAX(IF($B$2:$B7283=$B7284, $A$2:$A7283+$C$2:$C7283)), "")*24*60, "")</f>
        <v/>
      </c>
      <c r="R7284" s="24" t="str" cm="1">
        <f t="array" ref="R7284">IFERROR(IF($B7284=R$1, ($A7284+$C7284) - MAX(IF($B$2:$B7283=$B7284, $A$2:$A7283+$C$2:$C7283)), "")*24*60, "")</f>
        <v/>
      </c>
      <c r="S7284" s="24" t="str" cm="1">
        <f t="array" ref="S7284">IFERROR(IF($B7284=S$1, ($A7284+$C7284) - MAX(IF($B$2:$B7283=$B7284, $A$2:$A7283+$C$2:$C7283)), "")*24*60, "")</f>
        <v/>
      </c>
    </row>
    <row r="7285" spans="1:19" x14ac:dyDescent="0.2">
      <c r="A7285" s="12">
        <f t="shared" ref="A7285:C7285" si="1467">A7284</f>
        <v>46015</v>
      </c>
      <c r="B7285" s="5" t="str">
        <f t="shared" si="1467"/>
        <v>Northern Cardinal</v>
      </c>
      <c r="C7285" s="6">
        <f t="shared" si="1467"/>
        <v>0.74097222222222225</v>
      </c>
      <c r="D7285" s="5"/>
      <c r="E7285" s="5"/>
      <c r="F7285" s="5" t="s">
        <v>9</v>
      </c>
      <c r="G7285" s="15" t="s">
        <v>8</v>
      </c>
      <c r="H7285" s="24">
        <f t="shared" si="1407"/>
        <v>0</v>
      </c>
      <c r="I7285" s="24" cm="1">
        <f t="array" ref="I7285">IFERROR(IF($B7285=I$1, ($A7285+$C7285) - MAX(IF($B$2:$B7284=$B7285, $A$2:$A7284+$C$2:$C7284)), "")*24*60, "")</f>
        <v>0</v>
      </c>
      <c r="J7285" s="24" t="str" cm="1">
        <f t="array" ref="J7285">IFERROR(IF($B7285=J$1, ($A7285+$C7285) - MAX(IF($B$2:$B7284=$B7285, $A$2:$A7284+$C$2:$C7284)), "")*24*60, "")</f>
        <v/>
      </c>
      <c r="K7285" s="24" t="str" cm="1">
        <f t="array" ref="K7285">IFERROR(IF($B7285=K$1, ($A7285+$C7285) - MAX(IF($B$2:$B7284=$B7285, $A$2:$A7284+$C$2:$C7284)), "")*24*60, "")</f>
        <v/>
      </c>
      <c r="L7285" s="24" t="str" cm="1">
        <f t="array" ref="L7285">IFERROR(IF($B7285=L$1, ($A7285+$C7285) - MAX(IF($B$2:$B7284=$B7285, $A$2:$A7284+$C$2:$C7284)), "")*24*60, "")</f>
        <v/>
      </c>
      <c r="M7285" s="24" t="str" cm="1">
        <f t="array" ref="M7285">IFERROR(IF($B7285=M$1, ($A7285+$C7285) - MAX(IF($B$2:$B7284=$B7285, $A$2:$A7284+$C$2:$C7284)), "")*24*60, "")</f>
        <v/>
      </c>
      <c r="N7285" s="24" t="str" cm="1">
        <f t="array" ref="N7285">IFERROR(IF($B7285=N$1, ($A7285+$C7285) - MAX(IF($B$2:$B7284=$B7285, $A$2:$A7284+$C$2:$C7284)), "")*24*60, "")</f>
        <v/>
      </c>
      <c r="O7285" s="24" t="str" cm="1">
        <f t="array" ref="O7285">IFERROR(IF($B7285=O$1, ($A7285+$C7285) - MAX(IF($B$2:$B7284=$B7285, $A$2:$A7284+$C$2:$C7284)), "")*24*60, "")</f>
        <v/>
      </c>
      <c r="P7285" s="24" t="str" cm="1">
        <f t="array" ref="P7285">IFERROR(IF($B7285=P$1, ($A7285+$C7285) - MAX(IF($B$2:$B7284=$B7285, $A$2:$A7284+$C$2:$C7284)), "")*24*60, "")</f>
        <v/>
      </c>
      <c r="Q7285" s="24" t="str" cm="1">
        <f t="array" ref="Q7285">IFERROR(IF($B7285=Q$1, ($A7285+$C7285) - MAX(IF($B$2:$B7284=$B7285, $A$2:$A7284+$C$2:$C7284)), "")*24*60, "")</f>
        <v/>
      </c>
      <c r="R7285" s="24" t="str" cm="1">
        <f t="array" ref="R7285">IFERROR(IF($B7285=R$1, ($A7285+$C7285) - MAX(IF($B$2:$B7284=$B7285, $A$2:$A7284+$C$2:$C7284)), "")*24*60, "")</f>
        <v/>
      </c>
      <c r="S7285" s="24" t="str" cm="1">
        <f t="array" ref="S7285">IFERROR(IF($B7285=S$1, ($A7285+$C7285) - MAX(IF($B$2:$B7284=$B7285, $A$2:$A7284+$C$2:$C7284)), "")*24*60, "")</f>
        <v/>
      </c>
    </row>
    <row r="7286" spans="1:19" x14ac:dyDescent="0.2">
      <c r="A7286" s="12">
        <f t="shared" ref="A7286:C7286" si="1468">A7285</f>
        <v>46015</v>
      </c>
      <c r="B7286" s="5" t="str">
        <f t="shared" si="1468"/>
        <v>Northern Cardinal</v>
      </c>
      <c r="C7286" s="6">
        <f t="shared" si="1468"/>
        <v>0.74097222222222225</v>
      </c>
      <c r="D7286" s="5"/>
      <c r="E7286" s="5"/>
      <c r="F7286" s="5" t="s">
        <v>9</v>
      </c>
      <c r="G7286" s="15" t="s">
        <v>8</v>
      </c>
      <c r="H7286" s="24">
        <f t="shared" si="1407"/>
        <v>0</v>
      </c>
      <c r="I7286" s="24" cm="1">
        <f t="array" ref="I7286">IFERROR(IF($B7286=I$1, ($A7286+$C7286) - MAX(IF($B$2:$B7285=$B7286, $A$2:$A7285+$C$2:$C7285)), "")*24*60, "")</f>
        <v>0</v>
      </c>
      <c r="J7286" s="24" t="str" cm="1">
        <f t="array" ref="J7286">IFERROR(IF($B7286=J$1, ($A7286+$C7286) - MAX(IF($B$2:$B7285=$B7286, $A$2:$A7285+$C$2:$C7285)), "")*24*60, "")</f>
        <v/>
      </c>
      <c r="K7286" s="24" t="str" cm="1">
        <f t="array" ref="K7286">IFERROR(IF($B7286=K$1, ($A7286+$C7286) - MAX(IF($B$2:$B7285=$B7286, $A$2:$A7285+$C$2:$C7285)), "")*24*60, "")</f>
        <v/>
      </c>
      <c r="L7286" s="24" t="str" cm="1">
        <f t="array" ref="L7286">IFERROR(IF($B7286=L$1, ($A7286+$C7286) - MAX(IF($B$2:$B7285=$B7286, $A$2:$A7285+$C$2:$C7285)), "")*24*60, "")</f>
        <v/>
      </c>
      <c r="M7286" s="24" t="str" cm="1">
        <f t="array" ref="M7286">IFERROR(IF($B7286=M$1, ($A7286+$C7286) - MAX(IF($B$2:$B7285=$B7286, $A$2:$A7285+$C$2:$C7285)), "")*24*60, "")</f>
        <v/>
      </c>
      <c r="N7286" s="24" t="str" cm="1">
        <f t="array" ref="N7286">IFERROR(IF($B7286=N$1, ($A7286+$C7286) - MAX(IF($B$2:$B7285=$B7286, $A$2:$A7285+$C$2:$C7285)), "")*24*60, "")</f>
        <v/>
      </c>
      <c r="O7286" s="24" t="str" cm="1">
        <f t="array" ref="O7286">IFERROR(IF($B7286=O$1, ($A7286+$C7286) - MAX(IF($B$2:$B7285=$B7286, $A$2:$A7285+$C$2:$C7285)), "")*24*60, "")</f>
        <v/>
      </c>
      <c r="P7286" s="24" t="str" cm="1">
        <f t="array" ref="P7286">IFERROR(IF($B7286=P$1, ($A7286+$C7286) - MAX(IF($B$2:$B7285=$B7286, $A$2:$A7285+$C$2:$C7285)), "")*24*60, "")</f>
        <v/>
      </c>
      <c r="Q7286" s="24" t="str" cm="1">
        <f t="array" ref="Q7286">IFERROR(IF($B7286=Q$1, ($A7286+$C7286) - MAX(IF($B$2:$B7285=$B7286, $A$2:$A7285+$C$2:$C7285)), "")*24*60, "")</f>
        <v/>
      </c>
      <c r="R7286" s="24" t="str" cm="1">
        <f t="array" ref="R7286">IFERROR(IF($B7286=R$1, ($A7286+$C7286) - MAX(IF($B$2:$B7285=$B7286, $A$2:$A7285+$C$2:$C7285)), "")*24*60, "")</f>
        <v/>
      </c>
      <c r="S7286" s="24" t="str" cm="1">
        <f t="array" ref="S7286">IFERROR(IF($B7286=S$1, ($A7286+$C7286) - MAX(IF($B$2:$B7285=$B7286, $A$2:$A7285+$C$2:$C7285)), "")*24*60, "")</f>
        <v/>
      </c>
    </row>
    <row r="7287" spans="1:19" x14ac:dyDescent="0.2">
      <c r="A7287" s="12">
        <f t="shared" ref="A7287:C7287" si="1469">A7286</f>
        <v>46015</v>
      </c>
      <c r="B7287" s="5" t="str">
        <f t="shared" si="1469"/>
        <v>Northern Cardinal</v>
      </c>
      <c r="C7287" s="6">
        <f t="shared" si="1469"/>
        <v>0.74097222222222225</v>
      </c>
      <c r="D7287" s="5"/>
      <c r="E7287" s="5"/>
      <c r="F7287" s="5" t="s">
        <v>9</v>
      </c>
      <c r="G7287" s="15" t="s">
        <v>8</v>
      </c>
      <c r="H7287" s="24">
        <f t="shared" si="1407"/>
        <v>0</v>
      </c>
      <c r="I7287" s="24" cm="1">
        <f t="array" ref="I7287">IFERROR(IF($B7287=I$1, ($A7287+$C7287) - MAX(IF($B$2:$B7286=$B7287, $A$2:$A7286+$C$2:$C7286)), "")*24*60, "")</f>
        <v>0</v>
      </c>
      <c r="J7287" s="24" t="str" cm="1">
        <f t="array" ref="J7287">IFERROR(IF($B7287=J$1, ($A7287+$C7287) - MAX(IF($B$2:$B7286=$B7287, $A$2:$A7286+$C$2:$C7286)), "")*24*60, "")</f>
        <v/>
      </c>
      <c r="K7287" s="24" t="str" cm="1">
        <f t="array" ref="K7287">IFERROR(IF($B7287=K$1, ($A7287+$C7287) - MAX(IF($B$2:$B7286=$B7287, $A$2:$A7286+$C$2:$C7286)), "")*24*60, "")</f>
        <v/>
      </c>
      <c r="L7287" s="24" t="str" cm="1">
        <f t="array" ref="L7287">IFERROR(IF($B7287=L$1, ($A7287+$C7287) - MAX(IF($B$2:$B7286=$B7287, $A$2:$A7286+$C$2:$C7286)), "")*24*60, "")</f>
        <v/>
      </c>
      <c r="M7287" s="24" t="str" cm="1">
        <f t="array" ref="M7287">IFERROR(IF($B7287=M$1, ($A7287+$C7287) - MAX(IF($B$2:$B7286=$B7287, $A$2:$A7286+$C$2:$C7286)), "")*24*60, "")</f>
        <v/>
      </c>
      <c r="N7287" s="24" t="str" cm="1">
        <f t="array" ref="N7287">IFERROR(IF($B7287=N$1, ($A7287+$C7287) - MAX(IF($B$2:$B7286=$B7287, $A$2:$A7286+$C$2:$C7286)), "")*24*60, "")</f>
        <v/>
      </c>
      <c r="O7287" s="24" t="str" cm="1">
        <f t="array" ref="O7287">IFERROR(IF($B7287=O$1, ($A7287+$C7287) - MAX(IF($B$2:$B7286=$B7287, $A$2:$A7286+$C$2:$C7286)), "")*24*60, "")</f>
        <v/>
      </c>
      <c r="P7287" s="24" t="str" cm="1">
        <f t="array" ref="P7287">IFERROR(IF($B7287=P$1, ($A7287+$C7287) - MAX(IF($B$2:$B7286=$B7287, $A$2:$A7286+$C$2:$C7286)), "")*24*60, "")</f>
        <v/>
      </c>
      <c r="Q7287" s="24" t="str" cm="1">
        <f t="array" ref="Q7287">IFERROR(IF($B7287=Q$1, ($A7287+$C7287) - MAX(IF($B$2:$B7286=$B7287, $A$2:$A7286+$C$2:$C7286)), "")*24*60, "")</f>
        <v/>
      </c>
      <c r="R7287" s="24" t="str" cm="1">
        <f t="array" ref="R7287">IFERROR(IF($B7287=R$1, ($A7287+$C7287) - MAX(IF($B$2:$B7286=$B7287, $A$2:$A7286+$C$2:$C7286)), "")*24*60, "")</f>
        <v/>
      </c>
      <c r="S7287" s="24" t="str" cm="1">
        <f t="array" ref="S7287">IFERROR(IF($B7287=S$1, ($A7287+$C7287) - MAX(IF($B$2:$B7286=$B7287, $A$2:$A7286+$C$2:$C7286)), "")*24*60, "")</f>
        <v/>
      </c>
    </row>
    <row r="7288" spans="1:19" x14ac:dyDescent="0.2">
      <c r="A7288" s="12">
        <f t="shared" ref="A7288:C7288" si="1470">A7287</f>
        <v>46015</v>
      </c>
      <c r="B7288" s="5" t="str">
        <f t="shared" si="1470"/>
        <v>Northern Cardinal</v>
      </c>
      <c r="C7288" s="6">
        <f t="shared" si="1470"/>
        <v>0.74097222222222225</v>
      </c>
      <c r="D7288" s="5"/>
      <c r="E7288" s="5"/>
      <c r="F7288" s="5" t="s">
        <v>9</v>
      </c>
      <c r="G7288" s="15" t="s">
        <v>8</v>
      </c>
      <c r="H7288" s="24">
        <f t="shared" si="1407"/>
        <v>0</v>
      </c>
      <c r="I7288" s="24" cm="1">
        <f t="array" ref="I7288">IFERROR(IF($B7288=I$1, ($A7288+$C7288) - MAX(IF($B$2:$B7287=$B7288, $A$2:$A7287+$C$2:$C7287)), "")*24*60, "")</f>
        <v>0</v>
      </c>
      <c r="J7288" s="24" t="str" cm="1">
        <f t="array" ref="J7288">IFERROR(IF($B7288=J$1, ($A7288+$C7288) - MAX(IF($B$2:$B7287=$B7288, $A$2:$A7287+$C$2:$C7287)), "")*24*60, "")</f>
        <v/>
      </c>
      <c r="K7288" s="24" t="str" cm="1">
        <f t="array" ref="K7288">IFERROR(IF($B7288=K$1, ($A7288+$C7288) - MAX(IF($B$2:$B7287=$B7288, $A$2:$A7287+$C$2:$C7287)), "")*24*60, "")</f>
        <v/>
      </c>
      <c r="L7288" s="24" t="str" cm="1">
        <f t="array" ref="L7288">IFERROR(IF($B7288=L$1, ($A7288+$C7288) - MAX(IF($B$2:$B7287=$B7288, $A$2:$A7287+$C$2:$C7287)), "")*24*60, "")</f>
        <v/>
      </c>
      <c r="M7288" s="24" t="str" cm="1">
        <f t="array" ref="M7288">IFERROR(IF($B7288=M$1, ($A7288+$C7288) - MAX(IF($B$2:$B7287=$B7288, $A$2:$A7287+$C$2:$C7287)), "")*24*60, "")</f>
        <v/>
      </c>
      <c r="N7288" s="24" t="str" cm="1">
        <f t="array" ref="N7288">IFERROR(IF($B7288=N$1, ($A7288+$C7288) - MAX(IF($B$2:$B7287=$B7288, $A$2:$A7287+$C$2:$C7287)), "")*24*60, "")</f>
        <v/>
      </c>
      <c r="O7288" s="24" t="str" cm="1">
        <f t="array" ref="O7288">IFERROR(IF($B7288=O$1, ($A7288+$C7288) - MAX(IF($B$2:$B7287=$B7288, $A$2:$A7287+$C$2:$C7287)), "")*24*60, "")</f>
        <v/>
      </c>
      <c r="P7288" s="24" t="str" cm="1">
        <f t="array" ref="P7288">IFERROR(IF($B7288=P$1, ($A7288+$C7288) - MAX(IF($B$2:$B7287=$B7288, $A$2:$A7287+$C$2:$C7287)), "")*24*60, "")</f>
        <v/>
      </c>
      <c r="Q7288" s="24" t="str" cm="1">
        <f t="array" ref="Q7288">IFERROR(IF($B7288=Q$1, ($A7288+$C7288) - MAX(IF($B$2:$B7287=$B7288, $A$2:$A7287+$C$2:$C7287)), "")*24*60, "")</f>
        <v/>
      </c>
      <c r="R7288" s="24" t="str" cm="1">
        <f t="array" ref="R7288">IFERROR(IF($B7288=R$1, ($A7288+$C7288) - MAX(IF($B$2:$B7287=$B7288, $A$2:$A7287+$C$2:$C7287)), "")*24*60, "")</f>
        <v/>
      </c>
      <c r="S7288" s="24" t="str" cm="1">
        <f t="array" ref="S7288">IFERROR(IF($B7288=S$1, ($A7288+$C7288) - MAX(IF($B$2:$B7287=$B7288, $A$2:$A7287+$C$2:$C7287)), "")*24*60, "")</f>
        <v/>
      </c>
    </row>
    <row r="7289" spans="1:19" x14ac:dyDescent="0.2">
      <c r="A7289" s="12">
        <f t="shared" ref="A7289:C7289" si="1471">A7288</f>
        <v>46015</v>
      </c>
      <c r="B7289" s="5" t="str">
        <f t="shared" si="1471"/>
        <v>Northern Cardinal</v>
      </c>
      <c r="C7289" s="6">
        <f t="shared" si="1471"/>
        <v>0.74097222222222225</v>
      </c>
      <c r="D7289" s="5"/>
      <c r="E7289" s="5"/>
      <c r="F7289" s="5" t="s">
        <v>9</v>
      </c>
      <c r="G7289" s="15" t="s">
        <v>8</v>
      </c>
      <c r="H7289" s="24">
        <f t="shared" si="1407"/>
        <v>0</v>
      </c>
      <c r="I7289" s="24" cm="1">
        <f t="array" ref="I7289">IFERROR(IF($B7289=I$1, ($A7289+$C7289) - MAX(IF($B$2:$B7288=$B7289, $A$2:$A7288+$C$2:$C7288)), "")*24*60, "")</f>
        <v>0</v>
      </c>
      <c r="J7289" s="24" t="str" cm="1">
        <f t="array" ref="J7289">IFERROR(IF($B7289=J$1, ($A7289+$C7289) - MAX(IF($B$2:$B7288=$B7289, $A$2:$A7288+$C$2:$C7288)), "")*24*60, "")</f>
        <v/>
      </c>
      <c r="K7289" s="24" t="str" cm="1">
        <f t="array" ref="K7289">IFERROR(IF($B7289=K$1, ($A7289+$C7289) - MAX(IF($B$2:$B7288=$B7289, $A$2:$A7288+$C$2:$C7288)), "")*24*60, "")</f>
        <v/>
      </c>
      <c r="L7289" s="24" t="str" cm="1">
        <f t="array" ref="L7289">IFERROR(IF($B7289=L$1, ($A7289+$C7289) - MAX(IF($B$2:$B7288=$B7289, $A$2:$A7288+$C$2:$C7288)), "")*24*60, "")</f>
        <v/>
      </c>
      <c r="M7289" s="24" t="str" cm="1">
        <f t="array" ref="M7289">IFERROR(IF($B7289=M$1, ($A7289+$C7289) - MAX(IF($B$2:$B7288=$B7289, $A$2:$A7288+$C$2:$C7288)), "")*24*60, "")</f>
        <v/>
      </c>
      <c r="N7289" s="24" t="str" cm="1">
        <f t="array" ref="N7289">IFERROR(IF($B7289=N$1, ($A7289+$C7289) - MAX(IF($B$2:$B7288=$B7289, $A$2:$A7288+$C$2:$C7288)), "")*24*60, "")</f>
        <v/>
      </c>
      <c r="O7289" s="24" t="str" cm="1">
        <f t="array" ref="O7289">IFERROR(IF($B7289=O$1, ($A7289+$C7289) - MAX(IF($B$2:$B7288=$B7289, $A$2:$A7288+$C$2:$C7288)), "")*24*60, "")</f>
        <v/>
      </c>
      <c r="P7289" s="24" t="str" cm="1">
        <f t="array" ref="P7289">IFERROR(IF($B7289=P$1, ($A7289+$C7289) - MAX(IF($B$2:$B7288=$B7289, $A$2:$A7288+$C$2:$C7288)), "")*24*60, "")</f>
        <v/>
      </c>
      <c r="Q7289" s="24" t="str" cm="1">
        <f t="array" ref="Q7289">IFERROR(IF($B7289=Q$1, ($A7289+$C7289) - MAX(IF($B$2:$B7288=$B7289, $A$2:$A7288+$C$2:$C7288)), "")*24*60, "")</f>
        <v/>
      </c>
      <c r="R7289" s="24" t="str" cm="1">
        <f t="array" ref="R7289">IFERROR(IF($B7289=R$1, ($A7289+$C7289) - MAX(IF($B$2:$B7288=$B7289, $A$2:$A7288+$C$2:$C7288)), "")*24*60, "")</f>
        <v/>
      </c>
      <c r="S7289" s="24" t="str" cm="1">
        <f t="array" ref="S7289">IFERROR(IF($B7289=S$1, ($A7289+$C7289) - MAX(IF($B$2:$B7288=$B7289, $A$2:$A7288+$C$2:$C7288)), "")*24*60, "")</f>
        <v/>
      </c>
    </row>
    <row r="7290" spans="1:19" x14ac:dyDescent="0.2">
      <c r="A7290" s="12">
        <f t="shared" ref="A7290:C7290" si="1472">A7289</f>
        <v>46015</v>
      </c>
      <c r="B7290" s="5" t="str">
        <f t="shared" si="1472"/>
        <v>Northern Cardinal</v>
      </c>
      <c r="C7290" s="6">
        <f t="shared" si="1472"/>
        <v>0.74097222222222225</v>
      </c>
      <c r="D7290" s="5"/>
      <c r="E7290" s="5"/>
      <c r="F7290" s="5" t="s">
        <v>9</v>
      </c>
      <c r="G7290" s="15" t="s">
        <v>8</v>
      </c>
      <c r="H7290" s="24">
        <f t="shared" si="1407"/>
        <v>0</v>
      </c>
      <c r="I7290" s="24" cm="1">
        <f t="array" ref="I7290">IFERROR(IF($B7290=I$1, ($A7290+$C7290) - MAX(IF($B$2:$B7289=$B7290, $A$2:$A7289+$C$2:$C7289)), "")*24*60, "")</f>
        <v>0</v>
      </c>
      <c r="J7290" s="24" t="str" cm="1">
        <f t="array" ref="J7290">IFERROR(IF($B7290=J$1, ($A7290+$C7290) - MAX(IF($B$2:$B7289=$B7290, $A$2:$A7289+$C$2:$C7289)), "")*24*60, "")</f>
        <v/>
      </c>
      <c r="K7290" s="24" t="str" cm="1">
        <f t="array" ref="K7290">IFERROR(IF($B7290=K$1, ($A7290+$C7290) - MAX(IF($B$2:$B7289=$B7290, $A$2:$A7289+$C$2:$C7289)), "")*24*60, "")</f>
        <v/>
      </c>
      <c r="L7290" s="24" t="str" cm="1">
        <f t="array" ref="L7290">IFERROR(IF($B7290=L$1, ($A7290+$C7290) - MAX(IF($B$2:$B7289=$B7290, $A$2:$A7289+$C$2:$C7289)), "")*24*60, "")</f>
        <v/>
      </c>
      <c r="M7290" s="24" t="str" cm="1">
        <f t="array" ref="M7290">IFERROR(IF($B7290=M$1, ($A7290+$C7290) - MAX(IF($B$2:$B7289=$B7290, $A$2:$A7289+$C$2:$C7289)), "")*24*60, "")</f>
        <v/>
      </c>
      <c r="N7290" s="24" t="str" cm="1">
        <f t="array" ref="N7290">IFERROR(IF($B7290=N$1, ($A7290+$C7290) - MAX(IF($B$2:$B7289=$B7290, $A$2:$A7289+$C$2:$C7289)), "")*24*60, "")</f>
        <v/>
      </c>
      <c r="O7290" s="24" t="str" cm="1">
        <f t="array" ref="O7290">IFERROR(IF($B7290=O$1, ($A7290+$C7290) - MAX(IF($B$2:$B7289=$B7290, $A$2:$A7289+$C$2:$C7289)), "")*24*60, "")</f>
        <v/>
      </c>
      <c r="P7290" s="24" t="str" cm="1">
        <f t="array" ref="P7290">IFERROR(IF($B7290=P$1, ($A7290+$C7290) - MAX(IF($B$2:$B7289=$B7290, $A$2:$A7289+$C$2:$C7289)), "")*24*60, "")</f>
        <v/>
      </c>
      <c r="Q7290" s="24" t="str" cm="1">
        <f t="array" ref="Q7290">IFERROR(IF($B7290=Q$1, ($A7290+$C7290) - MAX(IF($B$2:$B7289=$B7290, $A$2:$A7289+$C$2:$C7289)), "")*24*60, "")</f>
        <v/>
      </c>
      <c r="R7290" s="24" t="str" cm="1">
        <f t="array" ref="R7290">IFERROR(IF($B7290=R$1, ($A7290+$C7290) - MAX(IF($B$2:$B7289=$B7290, $A$2:$A7289+$C$2:$C7289)), "")*24*60, "")</f>
        <v/>
      </c>
      <c r="S7290" s="24" t="str" cm="1">
        <f t="array" ref="S7290">IFERROR(IF($B7290=S$1, ($A7290+$C7290) - MAX(IF($B$2:$B7289=$B7290, $A$2:$A7289+$C$2:$C7289)), "")*24*60, "")</f>
        <v/>
      </c>
    </row>
    <row r="7291" spans="1:19" x14ac:dyDescent="0.2">
      <c r="A7291" s="12">
        <f t="shared" ref="A7291:C7291" si="1473">A7290</f>
        <v>46015</v>
      </c>
      <c r="B7291" s="5" t="str">
        <f t="shared" si="1473"/>
        <v>Northern Cardinal</v>
      </c>
      <c r="C7291" s="6">
        <f t="shared" si="1473"/>
        <v>0.74097222222222225</v>
      </c>
      <c r="D7291" s="5"/>
      <c r="E7291" s="5"/>
      <c r="F7291" s="5" t="s">
        <v>9</v>
      </c>
      <c r="G7291" s="15" t="s">
        <v>8</v>
      </c>
      <c r="H7291" s="24">
        <f t="shared" si="1407"/>
        <v>0</v>
      </c>
      <c r="I7291" s="24" cm="1">
        <f t="array" ref="I7291">IFERROR(IF($B7291=I$1, ($A7291+$C7291) - MAX(IF($B$2:$B7290=$B7291, $A$2:$A7290+$C$2:$C7290)), "")*24*60, "")</f>
        <v>0</v>
      </c>
      <c r="J7291" s="24" t="str" cm="1">
        <f t="array" ref="J7291">IFERROR(IF($B7291=J$1, ($A7291+$C7291) - MAX(IF($B$2:$B7290=$B7291, $A$2:$A7290+$C$2:$C7290)), "")*24*60, "")</f>
        <v/>
      </c>
      <c r="K7291" s="24" t="str" cm="1">
        <f t="array" ref="K7291">IFERROR(IF($B7291=K$1, ($A7291+$C7291) - MAX(IF($B$2:$B7290=$B7291, $A$2:$A7290+$C$2:$C7290)), "")*24*60, "")</f>
        <v/>
      </c>
      <c r="L7291" s="24" t="str" cm="1">
        <f t="array" ref="L7291">IFERROR(IF($B7291=L$1, ($A7291+$C7291) - MAX(IF($B$2:$B7290=$B7291, $A$2:$A7290+$C$2:$C7290)), "")*24*60, "")</f>
        <v/>
      </c>
      <c r="M7291" s="24" t="str" cm="1">
        <f t="array" ref="M7291">IFERROR(IF($B7291=M$1, ($A7291+$C7291) - MAX(IF($B$2:$B7290=$B7291, $A$2:$A7290+$C$2:$C7290)), "")*24*60, "")</f>
        <v/>
      </c>
      <c r="N7291" s="24" t="str" cm="1">
        <f t="array" ref="N7291">IFERROR(IF($B7291=N$1, ($A7291+$C7291) - MAX(IF($B$2:$B7290=$B7291, $A$2:$A7290+$C$2:$C7290)), "")*24*60, "")</f>
        <v/>
      </c>
      <c r="O7291" s="24" t="str" cm="1">
        <f t="array" ref="O7291">IFERROR(IF($B7291=O$1, ($A7291+$C7291) - MAX(IF($B$2:$B7290=$B7291, $A$2:$A7290+$C$2:$C7290)), "")*24*60, "")</f>
        <v/>
      </c>
      <c r="P7291" s="24" t="str" cm="1">
        <f t="array" ref="P7291">IFERROR(IF($B7291=P$1, ($A7291+$C7291) - MAX(IF($B$2:$B7290=$B7291, $A$2:$A7290+$C$2:$C7290)), "")*24*60, "")</f>
        <v/>
      </c>
      <c r="Q7291" s="24" t="str" cm="1">
        <f t="array" ref="Q7291">IFERROR(IF($B7291=Q$1, ($A7291+$C7291) - MAX(IF($B$2:$B7290=$B7291, $A$2:$A7290+$C$2:$C7290)), "")*24*60, "")</f>
        <v/>
      </c>
      <c r="R7291" s="24" t="str" cm="1">
        <f t="array" ref="R7291">IFERROR(IF($B7291=R$1, ($A7291+$C7291) - MAX(IF($B$2:$B7290=$B7291, $A$2:$A7290+$C$2:$C7290)), "")*24*60, "")</f>
        <v/>
      </c>
      <c r="S7291" s="24" t="str" cm="1">
        <f t="array" ref="S7291">IFERROR(IF($B7291=S$1, ($A7291+$C7291) - MAX(IF($B$2:$B7290=$B7291, $A$2:$A7290+$C$2:$C7290)), "")*24*60, "")</f>
        <v/>
      </c>
    </row>
    <row r="7292" spans="1:19" x14ac:dyDescent="0.2">
      <c r="A7292" s="12">
        <f t="shared" ref="A7292:C7292" si="1474">A7291</f>
        <v>46015</v>
      </c>
      <c r="B7292" s="5" t="str">
        <f t="shared" si="1474"/>
        <v>Northern Cardinal</v>
      </c>
      <c r="C7292" s="6">
        <f t="shared" si="1474"/>
        <v>0.74097222222222225</v>
      </c>
      <c r="D7292" s="5"/>
      <c r="E7292" s="5"/>
      <c r="F7292" s="5" t="s">
        <v>9</v>
      </c>
      <c r="G7292" s="15" t="s">
        <v>8</v>
      </c>
      <c r="H7292" s="24">
        <f t="shared" si="1407"/>
        <v>0</v>
      </c>
      <c r="I7292" s="24" cm="1">
        <f t="array" ref="I7292">IFERROR(IF($B7292=I$1, ($A7292+$C7292) - MAX(IF($B$2:$B7291=$B7292, $A$2:$A7291+$C$2:$C7291)), "")*24*60, "")</f>
        <v>0</v>
      </c>
      <c r="J7292" s="24" t="str" cm="1">
        <f t="array" ref="J7292">IFERROR(IF($B7292=J$1, ($A7292+$C7292) - MAX(IF($B$2:$B7291=$B7292, $A$2:$A7291+$C$2:$C7291)), "")*24*60, "")</f>
        <v/>
      </c>
      <c r="K7292" s="24" t="str" cm="1">
        <f t="array" ref="K7292">IFERROR(IF($B7292=K$1, ($A7292+$C7292) - MAX(IF($B$2:$B7291=$B7292, $A$2:$A7291+$C$2:$C7291)), "")*24*60, "")</f>
        <v/>
      </c>
      <c r="L7292" s="24" t="str" cm="1">
        <f t="array" ref="L7292">IFERROR(IF($B7292=L$1, ($A7292+$C7292) - MAX(IF($B$2:$B7291=$B7292, $A$2:$A7291+$C$2:$C7291)), "")*24*60, "")</f>
        <v/>
      </c>
      <c r="M7292" s="24" t="str" cm="1">
        <f t="array" ref="M7292">IFERROR(IF($B7292=M$1, ($A7292+$C7292) - MAX(IF($B$2:$B7291=$B7292, $A$2:$A7291+$C$2:$C7291)), "")*24*60, "")</f>
        <v/>
      </c>
      <c r="N7292" s="24" t="str" cm="1">
        <f t="array" ref="N7292">IFERROR(IF($B7292=N$1, ($A7292+$C7292) - MAX(IF($B$2:$B7291=$B7292, $A$2:$A7291+$C$2:$C7291)), "")*24*60, "")</f>
        <v/>
      </c>
      <c r="O7292" s="24" t="str" cm="1">
        <f t="array" ref="O7292">IFERROR(IF($B7292=O$1, ($A7292+$C7292) - MAX(IF($B$2:$B7291=$B7292, $A$2:$A7291+$C$2:$C7291)), "")*24*60, "")</f>
        <v/>
      </c>
      <c r="P7292" s="24" t="str" cm="1">
        <f t="array" ref="P7292">IFERROR(IF($B7292=P$1, ($A7292+$C7292) - MAX(IF($B$2:$B7291=$B7292, $A$2:$A7291+$C$2:$C7291)), "")*24*60, "")</f>
        <v/>
      </c>
      <c r="Q7292" s="24" t="str" cm="1">
        <f t="array" ref="Q7292">IFERROR(IF($B7292=Q$1, ($A7292+$C7292) - MAX(IF($B$2:$B7291=$B7292, $A$2:$A7291+$C$2:$C7291)), "")*24*60, "")</f>
        <v/>
      </c>
      <c r="R7292" s="24" t="str" cm="1">
        <f t="array" ref="R7292">IFERROR(IF($B7292=R$1, ($A7292+$C7292) - MAX(IF($B$2:$B7291=$B7292, $A$2:$A7291+$C$2:$C7291)), "")*24*60, "")</f>
        <v/>
      </c>
      <c r="S7292" s="24" t="str" cm="1">
        <f t="array" ref="S7292">IFERROR(IF($B7292=S$1, ($A7292+$C7292) - MAX(IF($B$2:$B7291=$B7292, $A$2:$A7291+$C$2:$C7291)), "")*24*60, "")</f>
        <v/>
      </c>
    </row>
    <row r="7293" spans="1:19" x14ac:dyDescent="0.2">
      <c r="A7293" s="12">
        <f t="shared" ref="A7293:C7293" si="1475">A7292</f>
        <v>46015</v>
      </c>
      <c r="B7293" s="5" t="str">
        <f t="shared" si="1475"/>
        <v>Northern Cardinal</v>
      </c>
      <c r="C7293" s="6">
        <f t="shared" si="1475"/>
        <v>0.74097222222222225</v>
      </c>
      <c r="D7293" s="5"/>
      <c r="E7293" s="5"/>
      <c r="F7293" s="5" t="s">
        <v>9</v>
      </c>
      <c r="G7293" s="15" t="s">
        <v>8</v>
      </c>
      <c r="H7293" s="24">
        <f t="shared" si="1407"/>
        <v>0</v>
      </c>
      <c r="I7293" s="24" cm="1">
        <f t="array" ref="I7293">IFERROR(IF($B7293=I$1, ($A7293+$C7293) - MAX(IF($B$2:$B7292=$B7293, $A$2:$A7292+$C$2:$C7292)), "")*24*60, "")</f>
        <v>0</v>
      </c>
      <c r="J7293" s="24" t="str" cm="1">
        <f t="array" ref="J7293">IFERROR(IF($B7293=J$1, ($A7293+$C7293) - MAX(IF($B$2:$B7292=$B7293, $A$2:$A7292+$C$2:$C7292)), "")*24*60, "")</f>
        <v/>
      </c>
      <c r="K7293" s="24" t="str" cm="1">
        <f t="array" ref="K7293">IFERROR(IF($B7293=K$1, ($A7293+$C7293) - MAX(IF($B$2:$B7292=$B7293, $A$2:$A7292+$C$2:$C7292)), "")*24*60, "")</f>
        <v/>
      </c>
      <c r="L7293" s="24" t="str" cm="1">
        <f t="array" ref="L7293">IFERROR(IF($B7293=L$1, ($A7293+$C7293) - MAX(IF($B$2:$B7292=$B7293, $A$2:$A7292+$C$2:$C7292)), "")*24*60, "")</f>
        <v/>
      </c>
      <c r="M7293" s="24" t="str" cm="1">
        <f t="array" ref="M7293">IFERROR(IF($B7293=M$1, ($A7293+$C7293) - MAX(IF($B$2:$B7292=$B7293, $A$2:$A7292+$C$2:$C7292)), "")*24*60, "")</f>
        <v/>
      </c>
      <c r="N7293" s="24" t="str" cm="1">
        <f t="array" ref="N7293">IFERROR(IF($B7293=N$1, ($A7293+$C7293) - MAX(IF($B$2:$B7292=$B7293, $A$2:$A7292+$C$2:$C7292)), "")*24*60, "")</f>
        <v/>
      </c>
      <c r="O7293" s="24" t="str" cm="1">
        <f t="array" ref="O7293">IFERROR(IF($B7293=O$1, ($A7293+$C7293) - MAX(IF($B$2:$B7292=$B7293, $A$2:$A7292+$C$2:$C7292)), "")*24*60, "")</f>
        <v/>
      </c>
      <c r="P7293" s="24" t="str" cm="1">
        <f t="array" ref="P7293">IFERROR(IF($B7293=P$1, ($A7293+$C7293) - MAX(IF($B$2:$B7292=$B7293, $A$2:$A7292+$C$2:$C7292)), "")*24*60, "")</f>
        <v/>
      </c>
      <c r="Q7293" s="24" t="str" cm="1">
        <f t="array" ref="Q7293">IFERROR(IF($B7293=Q$1, ($A7293+$C7293) - MAX(IF($B$2:$B7292=$B7293, $A$2:$A7292+$C$2:$C7292)), "")*24*60, "")</f>
        <v/>
      </c>
      <c r="R7293" s="24" t="str" cm="1">
        <f t="array" ref="R7293">IFERROR(IF($B7293=R$1, ($A7293+$C7293) - MAX(IF($B$2:$B7292=$B7293, $A$2:$A7292+$C$2:$C7292)), "")*24*60, "")</f>
        <v/>
      </c>
      <c r="S7293" s="24" t="str" cm="1">
        <f t="array" ref="S7293">IFERROR(IF($B7293=S$1, ($A7293+$C7293) - MAX(IF($B$2:$B7292=$B7293, $A$2:$A7292+$C$2:$C7292)), "")*24*60, "")</f>
        <v/>
      </c>
    </row>
    <row r="7294" spans="1:19" x14ac:dyDescent="0.2">
      <c r="A7294" s="12">
        <f t="shared" ref="A7294:C7294" si="1476">A7293</f>
        <v>46015</v>
      </c>
      <c r="B7294" s="5" t="str">
        <f t="shared" si="1476"/>
        <v>Northern Cardinal</v>
      </c>
      <c r="C7294" s="6">
        <f t="shared" si="1476"/>
        <v>0.74097222222222225</v>
      </c>
      <c r="D7294" s="5"/>
      <c r="E7294" s="5"/>
      <c r="F7294" s="5" t="s">
        <v>9</v>
      </c>
      <c r="G7294" s="15" t="s">
        <v>8</v>
      </c>
      <c r="H7294" s="24">
        <f t="shared" si="1407"/>
        <v>0</v>
      </c>
      <c r="I7294" s="24" cm="1">
        <f t="array" ref="I7294">IFERROR(IF($B7294=I$1, ($A7294+$C7294) - MAX(IF($B$2:$B7293=$B7294, $A$2:$A7293+$C$2:$C7293)), "")*24*60, "")</f>
        <v>0</v>
      </c>
      <c r="J7294" s="24" t="str" cm="1">
        <f t="array" ref="J7294">IFERROR(IF($B7294=J$1, ($A7294+$C7294) - MAX(IF($B$2:$B7293=$B7294, $A$2:$A7293+$C$2:$C7293)), "")*24*60, "")</f>
        <v/>
      </c>
      <c r="K7294" s="24" t="str" cm="1">
        <f t="array" ref="K7294">IFERROR(IF($B7294=K$1, ($A7294+$C7294) - MAX(IF($B$2:$B7293=$B7294, $A$2:$A7293+$C$2:$C7293)), "")*24*60, "")</f>
        <v/>
      </c>
      <c r="L7294" s="24" t="str" cm="1">
        <f t="array" ref="L7294">IFERROR(IF($B7294=L$1, ($A7294+$C7294) - MAX(IF($B$2:$B7293=$B7294, $A$2:$A7293+$C$2:$C7293)), "")*24*60, "")</f>
        <v/>
      </c>
      <c r="M7294" s="24" t="str" cm="1">
        <f t="array" ref="M7294">IFERROR(IF($B7294=M$1, ($A7294+$C7294) - MAX(IF($B$2:$B7293=$B7294, $A$2:$A7293+$C$2:$C7293)), "")*24*60, "")</f>
        <v/>
      </c>
      <c r="N7294" s="24" t="str" cm="1">
        <f t="array" ref="N7294">IFERROR(IF($B7294=N$1, ($A7294+$C7294) - MAX(IF($B$2:$B7293=$B7294, $A$2:$A7293+$C$2:$C7293)), "")*24*60, "")</f>
        <v/>
      </c>
      <c r="O7294" s="24" t="str" cm="1">
        <f t="array" ref="O7294">IFERROR(IF($B7294=O$1, ($A7294+$C7294) - MAX(IF($B$2:$B7293=$B7294, $A$2:$A7293+$C$2:$C7293)), "")*24*60, "")</f>
        <v/>
      </c>
      <c r="P7294" s="24" t="str" cm="1">
        <f t="array" ref="P7294">IFERROR(IF($B7294=P$1, ($A7294+$C7294) - MAX(IF($B$2:$B7293=$B7294, $A$2:$A7293+$C$2:$C7293)), "")*24*60, "")</f>
        <v/>
      </c>
      <c r="Q7294" s="24" t="str" cm="1">
        <f t="array" ref="Q7294">IFERROR(IF($B7294=Q$1, ($A7294+$C7294) - MAX(IF($B$2:$B7293=$B7294, $A$2:$A7293+$C$2:$C7293)), "")*24*60, "")</f>
        <v/>
      </c>
      <c r="R7294" s="24" t="str" cm="1">
        <f t="array" ref="R7294">IFERROR(IF($B7294=R$1, ($A7294+$C7294) - MAX(IF($B$2:$B7293=$B7294, $A$2:$A7293+$C$2:$C7293)), "")*24*60, "")</f>
        <v/>
      </c>
      <c r="S7294" s="24" t="str" cm="1">
        <f t="array" ref="S7294">IFERROR(IF($B7294=S$1, ($A7294+$C7294) - MAX(IF($B$2:$B7293=$B7294, $A$2:$A7293+$C$2:$C7293)), "")*24*60, "")</f>
        <v/>
      </c>
    </row>
    <row r="7295" spans="1:19" x14ac:dyDescent="0.2">
      <c r="A7295" s="12">
        <f t="shared" ref="A7295:C7295" si="1477">A7294</f>
        <v>46015</v>
      </c>
      <c r="B7295" s="5" t="str">
        <f t="shared" si="1477"/>
        <v>Northern Cardinal</v>
      </c>
      <c r="C7295" s="6">
        <f t="shared" si="1477"/>
        <v>0.74097222222222225</v>
      </c>
      <c r="D7295" s="5"/>
      <c r="E7295" s="5"/>
      <c r="F7295" s="5" t="s">
        <v>9</v>
      </c>
      <c r="G7295" s="15" t="s">
        <v>8</v>
      </c>
      <c r="H7295" s="24">
        <f t="shared" si="1407"/>
        <v>0</v>
      </c>
      <c r="I7295" s="24" cm="1">
        <f t="array" ref="I7295">IFERROR(IF($B7295=I$1, ($A7295+$C7295) - MAX(IF($B$2:$B7294=$B7295, $A$2:$A7294+$C$2:$C7294)), "")*24*60, "")</f>
        <v>0</v>
      </c>
      <c r="J7295" s="24" t="str" cm="1">
        <f t="array" ref="J7295">IFERROR(IF($B7295=J$1, ($A7295+$C7295) - MAX(IF($B$2:$B7294=$B7295, $A$2:$A7294+$C$2:$C7294)), "")*24*60, "")</f>
        <v/>
      </c>
      <c r="K7295" s="24" t="str" cm="1">
        <f t="array" ref="K7295">IFERROR(IF($B7295=K$1, ($A7295+$C7295) - MAX(IF($B$2:$B7294=$B7295, $A$2:$A7294+$C$2:$C7294)), "")*24*60, "")</f>
        <v/>
      </c>
      <c r="L7295" s="24" t="str" cm="1">
        <f t="array" ref="L7295">IFERROR(IF($B7295=L$1, ($A7295+$C7295) - MAX(IF($B$2:$B7294=$B7295, $A$2:$A7294+$C$2:$C7294)), "")*24*60, "")</f>
        <v/>
      </c>
      <c r="M7295" s="24" t="str" cm="1">
        <f t="array" ref="M7295">IFERROR(IF($B7295=M$1, ($A7295+$C7295) - MAX(IF($B$2:$B7294=$B7295, $A$2:$A7294+$C$2:$C7294)), "")*24*60, "")</f>
        <v/>
      </c>
      <c r="N7295" s="24" t="str" cm="1">
        <f t="array" ref="N7295">IFERROR(IF($B7295=N$1, ($A7295+$C7295) - MAX(IF($B$2:$B7294=$B7295, $A$2:$A7294+$C$2:$C7294)), "")*24*60, "")</f>
        <v/>
      </c>
      <c r="O7295" s="24" t="str" cm="1">
        <f t="array" ref="O7295">IFERROR(IF($B7295=O$1, ($A7295+$C7295) - MAX(IF($B$2:$B7294=$B7295, $A$2:$A7294+$C$2:$C7294)), "")*24*60, "")</f>
        <v/>
      </c>
      <c r="P7295" s="24" t="str" cm="1">
        <f t="array" ref="P7295">IFERROR(IF($B7295=P$1, ($A7295+$C7295) - MAX(IF($B$2:$B7294=$B7295, $A$2:$A7294+$C$2:$C7294)), "")*24*60, "")</f>
        <v/>
      </c>
      <c r="Q7295" s="24" t="str" cm="1">
        <f t="array" ref="Q7295">IFERROR(IF($B7295=Q$1, ($A7295+$C7295) - MAX(IF($B$2:$B7294=$B7295, $A$2:$A7294+$C$2:$C7294)), "")*24*60, "")</f>
        <v/>
      </c>
      <c r="R7295" s="24" t="str" cm="1">
        <f t="array" ref="R7295">IFERROR(IF($B7295=R$1, ($A7295+$C7295) - MAX(IF($B$2:$B7294=$B7295, $A$2:$A7294+$C$2:$C7294)), "")*24*60, "")</f>
        <v/>
      </c>
      <c r="S7295" s="24" t="str" cm="1">
        <f t="array" ref="S7295">IFERROR(IF($B7295=S$1, ($A7295+$C7295) - MAX(IF($B$2:$B7294=$B7295, $A$2:$A7294+$C$2:$C7294)), "")*24*60, "")</f>
        <v/>
      </c>
    </row>
    <row r="7296" spans="1:19" x14ac:dyDescent="0.2">
      <c r="A7296" s="12">
        <f t="shared" ref="A7296:C7296" si="1478">A7295</f>
        <v>46015</v>
      </c>
      <c r="B7296" s="5" t="str">
        <f t="shared" si="1478"/>
        <v>Northern Cardinal</v>
      </c>
      <c r="C7296" s="6">
        <f t="shared" si="1478"/>
        <v>0.74097222222222225</v>
      </c>
      <c r="D7296" s="5"/>
      <c r="E7296" s="5"/>
      <c r="F7296" s="5" t="s">
        <v>9</v>
      </c>
      <c r="G7296" s="15" t="s">
        <v>8</v>
      </c>
      <c r="H7296" s="24">
        <f t="shared" si="1407"/>
        <v>0</v>
      </c>
      <c r="I7296" s="24" cm="1">
        <f t="array" ref="I7296">IFERROR(IF($B7296=I$1, ($A7296+$C7296) - MAX(IF($B$2:$B7295=$B7296, $A$2:$A7295+$C$2:$C7295)), "")*24*60, "")</f>
        <v>0</v>
      </c>
      <c r="J7296" s="24" t="str" cm="1">
        <f t="array" ref="J7296">IFERROR(IF($B7296=J$1, ($A7296+$C7296) - MAX(IF($B$2:$B7295=$B7296, $A$2:$A7295+$C$2:$C7295)), "")*24*60, "")</f>
        <v/>
      </c>
      <c r="K7296" s="24" t="str" cm="1">
        <f t="array" ref="K7296">IFERROR(IF($B7296=K$1, ($A7296+$C7296) - MAX(IF($B$2:$B7295=$B7296, $A$2:$A7295+$C$2:$C7295)), "")*24*60, "")</f>
        <v/>
      </c>
      <c r="L7296" s="24" t="str" cm="1">
        <f t="array" ref="L7296">IFERROR(IF($B7296=L$1, ($A7296+$C7296) - MAX(IF($B$2:$B7295=$B7296, $A$2:$A7295+$C$2:$C7295)), "")*24*60, "")</f>
        <v/>
      </c>
      <c r="M7296" s="24" t="str" cm="1">
        <f t="array" ref="M7296">IFERROR(IF($B7296=M$1, ($A7296+$C7296) - MAX(IF($B$2:$B7295=$B7296, $A$2:$A7295+$C$2:$C7295)), "")*24*60, "")</f>
        <v/>
      </c>
      <c r="N7296" s="24" t="str" cm="1">
        <f t="array" ref="N7296">IFERROR(IF($B7296=N$1, ($A7296+$C7296) - MAX(IF($B$2:$B7295=$B7296, $A$2:$A7295+$C$2:$C7295)), "")*24*60, "")</f>
        <v/>
      </c>
      <c r="O7296" s="24" t="str" cm="1">
        <f t="array" ref="O7296">IFERROR(IF($B7296=O$1, ($A7296+$C7296) - MAX(IF($B$2:$B7295=$B7296, $A$2:$A7295+$C$2:$C7295)), "")*24*60, "")</f>
        <v/>
      </c>
      <c r="P7296" s="24" t="str" cm="1">
        <f t="array" ref="P7296">IFERROR(IF($B7296=P$1, ($A7296+$C7296) - MAX(IF($B$2:$B7295=$B7296, $A$2:$A7295+$C$2:$C7295)), "")*24*60, "")</f>
        <v/>
      </c>
      <c r="Q7296" s="24" t="str" cm="1">
        <f t="array" ref="Q7296">IFERROR(IF($B7296=Q$1, ($A7296+$C7296) - MAX(IF($B$2:$B7295=$B7296, $A$2:$A7295+$C$2:$C7295)), "")*24*60, "")</f>
        <v/>
      </c>
      <c r="R7296" s="24" t="str" cm="1">
        <f t="array" ref="R7296">IFERROR(IF($B7296=R$1, ($A7296+$C7296) - MAX(IF($B$2:$B7295=$B7296, $A$2:$A7295+$C$2:$C7295)), "")*24*60, "")</f>
        <v/>
      </c>
      <c r="S7296" s="24" t="str" cm="1">
        <f t="array" ref="S7296">IFERROR(IF($B7296=S$1, ($A7296+$C7296) - MAX(IF($B$2:$B7295=$B7296, $A$2:$A7295+$C$2:$C7295)), "")*24*60, "")</f>
        <v/>
      </c>
    </row>
    <row r="7297" spans="1:19" x14ac:dyDescent="0.2">
      <c r="A7297" s="12">
        <f t="shared" ref="A7297:C7297" si="1479">A7296</f>
        <v>46015</v>
      </c>
      <c r="B7297" s="5" t="str">
        <f t="shared" si="1479"/>
        <v>Northern Cardinal</v>
      </c>
      <c r="C7297" s="6">
        <f t="shared" si="1479"/>
        <v>0.74097222222222225</v>
      </c>
      <c r="D7297" s="5"/>
      <c r="E7297" s="5"/>
      <c r="F7297" s="5" t="s">
        <v>9</v>
      </c>
      <c r="G7297" s="15" t="s">
        <v>8</v>
      </c>
      <c r="H7297" s="24">
        <f t="shared" si="1407"/>
        <v>0</v>
      </c>
      <c r="I7297" s="24" cm="1">
        <f t="array" ref="I7297">IFERROR(IF($B7297=I$1, ($A7297+$C7297) - MAX(IF($B$2:$B7296=$B7297, $A$2:$A7296+$C$2:$C7296)), "")*24*60, "")</f>
        <v>0</v>
      </c>
      <c r="J7297" s="24" t="str" cm="1">
        <f t="array" ref="J7297">IFERROR(IF($B7297=J$1, ($A7297+$C7297) - MAX(IF($B$2:$B7296=$B7297, $A$2:$A7296+$C$2:$C7296)), "")*24*60, "")</f>
        <v/>
      </c>
      <c r="K7297" s="24" t="str" cm="1">
        <f t="array" ref="K7297">IFERROR(IF($B7297=K$1, ($A7297+$C7297) - MAX(IF($B$2:$B7296=$B7297, $A$2:$A7296+$C$2:$C7296)), "")*24*60, "")</f>
        <v/>
      </c>
      <c r="L7297" s="24" t="str" cm="1">
        <f t="array" ref="L7297">IFERROR(IF($B7297=L$1, ($A7297+$C7297) - MAX(IF($B$2:$B7296=$B7297, $A$2:$A7296+$C$2:$C7296)), "")*24*60, "")</f>
        <v/>
      </c>
      <c r="M7297" s="24" t="str" cm="1">
        <f t="array" ref="M7297">IFERROR(IF($B7297=M$1, ($A7297+$C7297) - MAX(IF($B$2:$B7296=$B7297, $A$2:$A7296+$C$2:$C7296)), "")*24*60, "")</f>
        <v/>
      </c>
      <c r="N7297" s="24" t="str" cm="1">
        <f t="array" ref="N7297">IFERROR(IF($B7297=N$1, ($A7297+$C7297) - MAX(IF($B$2:$B7296=$B7297, $A$2:$A7296+$C$2:$C7296)), "")*24*60, "")</f>
        <v/>
      </c>
      <c r="O7297" s="24" t="str" cm="1">
        <f t="array" ref="O7297">IFERROR(IF($B7297=O$1, ($A7297+$C7297) - MAX(IF($B$2:$B7296=$B7297, $A$2:$A7296+$C$2:$C7296)), "")*24*60, "")</f>
        <v/>
      </c>
      <c r="P7297" s="24" t="str" cm="1">
        <f t="array" ref="P7297">IFERROR(IF($B7297=P$1, ($A7297+$C7297) - MAX(IF($B$2:$B7296=$B7297, $A$2:$A7296+$C$2:$C7296)), "")*24*60, "")</f>
        <v/>
      </c>
      <c r="Q7297" s="24" t="str" cm="1">
        <f t="array" ref="Q7297">IFERROR(IF($B7297=Q$1, ($A7297+$C7297) - MAX(IF($B$2:$B7296=$B7297, $A$2:$A7296+$C$2:$C7296)), "")*24*60, "")</f>
        <v/>
      </c>
      <c r="R7297" s="24" t="str" cm="1">
        <f t="array" ref="R7297">IFERROR(IF($B7297=R$1, ($A7297+$C7297) - MAX(IF($B$2:$B7296=$B7297, $A$2:$A7296+$C$2:$C7296)), "")*24*60, "")</f>
        <v/>
      </c>
      <c r="S7297" s="24" t="str" cm="1">
        <f t="array" ref="S7297">IFERROR(IF($B7297=S$1, ($A7297+$C7297) - MAX(IF($B$2:$B7296=$B7297, $A$2:$A7296+$C$2:$C7296)), "")*24*60, "")</f>
        <v/>
      </c>
    </row>
    <row r="7298" spans="1:19" x14ac:dyDescent="0.2">
      <c r="A7298" s="12">
        <f t="shared" ref="A7298:C7298" si="1480">A7297</f>
        <v>46015</v>
      </c>
      <c r="B7298" s="5" t="str">
        <f t="shared" si="1480"/>
        <v>Northern Cardinal</v>
      </c>
      <c r="C7298" s="6">
        <f t="shared" si="1480"/>
        <v>0.74097222222222225</v>
      </c>
      <c r="D7298" s="5"/>
      <c r="E7298" s="5"/>
      <c r="F7298" s="5" t="s">
        <v>9</v>
      </c>
      <c r="G7298" s="15" t="s">
        <v>8</v>
      </c>
      <c r="H7298" s="24">
        <f t="shared" si="1407"/>
        <v>0</v>
      </c>
      <c r="I7298" s="24" cm="1">
        <f t="array" ref="I7298">IFERROR(IF($B7298=I$1, ($A7298+$C7298) - MAX(IF($B$2:$B7297=$B7298, $A$2:$A7297+$C$2:$C7297)), "")*24*60, "")</f>
        <v>0</v>
      </c>
      <c r="J7298" s="24" t="str" cm="1">
        <f t="array" ref="J7298">IFERROR(IF($B7298=J$1, ($A7298+$C7298) - MAX(IF($B$2:$B7297=$B7298, $A$2:$A7297+$C$2:$C7297)), "")*24*60, "")</f>
        <v/>
      </c>
      <c r="K7298" s="24" t="str" cm="1">
        <f t="array" ref="K7298">IFERROR(IF($B7298=K$1, ($A7298+$C7298) - MAX(IF($B$2:$B7297=$B7298, $A$2:$A7297+$C$2:$C7297)), "")*24*60, "")</f>
        <v/>
      </c>
      <c r="L7298" s="24" t="str" cm="1">
        <f t="array" ref="L7298">IFERROR(IF($B7298=L$1, ($A7298+$C7298) - MAX(IF($B$2:$B7297=$B7298, $A$2:$A7297+$C$2:$C7297)), "")*24*60, "")</f>
        <v/>
      </c>
      <c r="M7298" s="24" t="str" cm="1">
        <f t="array" ref="M7298">IFERROR(IF($B7298=M$1, ($A7298+$C7298) - MAX(IF($B$2:$B7297=$B7298, $A$2:$A7297+$C$2:$C7297)), "")*24*60, "")</f>
        <v/>
      </c>
      <c r="N7298" s="24" t="str" cm="1">
        <f t="array" ref="N7298">IFERROR(IF($B7298=N$1, ($A7298+$C7298) - MAX(IF($B$2:$B7297=$B7298, $A$2:$A7297+$C$2:$C7297)), "")*24*60, "")</f>
        <v/>
      </c>
      <c r="O7298" s="24" t="str" cm="1">
        <f t="array" ref="O7298">IFERROR(IF($B7298=O$1, ($A7298+$C7298) - MAX(IF($B$2:$B7297=$B7298, $A$2:$A7297+$C$2:$C7297)), "")*24*60, "")</f>
        <v/>
      </c>
      <c r="P7298" s="24" t="str" cm="1">
        <f t="array" ref="P7298">IFERROR(IF($B7298=P$1, ($A7298+$C7298) - MAX(IF($B$2:$B7297=$B7298, $A$2:$A7297+$C$2:$C7297)), "")*24*60, "")</f>
        <v/>
      </c>
      <c r="Q7298" s="24" t="str" cm="1">
        <f t="array" ref="Q7298">IFERROR(IF($B7298=Q$1, ($A7298+$C7298) - MAX(IF($B$2:$B7297=$B7298, $A$2:$A7297+$C$2:$C7297)), "")*24*60, "")</f>
        <v/>
      </c>
      <c r="R7298" s="24" t="str" cm="1">
        <f t="array" ref="R7298">IFERROR(IF($B7298=R$1, ($A7298+$C7298) - MAX(IF($B$2:$B7297=$B7298, $A$2:$A7297+$C$2:$C7297)), "")*24*60, "")</f>
        <v/>
      </c>
      <c r="S7298" s="24" t="str" cm="1">
        <f t="array" ref="S7298">IFERROR(IF($B7298=S$1, ($A7298+$C7298) - MAX(IF($B$2:$B7297=$B7298, $A$2:$A7297+$C$2:$C7297)), "")*24*60, "")</f>
        <v/>
      </c>
    </row>
    <row r="7299" spans="1:19" x14ac:dyDescent="0.2">
      <c r="A7299" s="12">
        <f t="shared" ref="A7299:C7299" si="1481">A7298</f>
        <v>46015</v>
      </c>
      <c r="B7299" s="5" t="str">
        <f t="shared" si="1481"/>
        <v>Northern Cardinal</v>
      </c>
      <c r="C7299" s="6">
        <f t="shared" si="1481"/>
        <v>0.74097222222222225</v>
      </c>
      <c r="D7299" s="5"/>
      <c r="E7299" s="5"/>
      <c r="F7299" s="5" t="s">
        <v>9</v>
      </c>
      <c r="G7299" s="15" t="s">
        <v>8</v>
      </c>
      <c r="H7299" s="24">
        <f t="shared" si="1407"/>
        <v>0</v>
      </c>
      <c r="I7299" s="24" cm="1">
        <f t="array" ref="I7299">IFERROR(IF($B7299=I$1, ($A7299+$C7299) - MAX(IF($B$2:$B7298=$B7299, $A$2:$A7298+$C$2:$C7298)), "")*24*60, "")</f>
        <v>0</v>
      </c>
      <c r="J7299" s="24" t="str" cm="1">
        <f t="array" ref="J7299">IFERROR(IF($B7299=J$1, ($A7299+$C7299) - MAX(IF($B$2:$B7298=$B7299, $A$2:$A7298+$C$2:$C7298)), "")*24*60, "")</f>
        <v/>
      </c>
      <c r="K7299" s="24" t="str" cm="1">
        <f t="array" ref="K7299">IFERROR(IF($B7299=K$1, ($A7299+$C7299) - MAX(IF($B$2:$B7298=$B7299, $A$2:$A7298+$C$2:$C7298)), "")*24*60, "")</f>
        <v/>
      </c>
      <c r="L7299" s="24" t="str" cm="1">
        <f t="array" ref="L7299">IFERROR(IF($B7299=L$1, ($A7299+$C7299) - MAX(IF($B$2:$B7298=$B7299, $A$2:$A7298+$C$2:$C7298)), "")*24*60, "")</f>
        <v/>
      </c>
      <c r="M7299" s="24" t="str" cm="1">
        <f t="array" ref="M7299">IFERROR(IF($B7299=M$1, ($A7299+$C7299) - MAX(IF($B$2:$B7298=$B7299, $A$2:$A7298+$C$2:$C7298)), "")*24*60, "")</f>
        <v/>
      </c>
      <c r="N7299" s="24" t="str" cm="1">
        <f t="array" ref="N7299">IFERROR(IF($B7299=N$1, ($A7299+$C7299) - MAX(IF($B$2:$B7298=$B7299, $A$2:$A7298+$C$2:$C7298)), "")*24*60, "")</f>
        <v/>
      </c>
      <c r="O7299" s="24" t="str" cm="1">
        <f t="array" ref="O7299">IFERROR(IF($B7299=O$1, ($A7299+$C7299) - MAX(IF($B$2:$B7298=$B7299, $A$2:$A7298+$C$2:$C7298)), "")*24*60, "")</f>
        <v/>
      </c>
      <c r="P7299" s="24" t="str" cm="1">
        <f t="array" ref="P7299">IFERROR(IF($B7299=P$1, ($A7299+$C7299) - MAX(IF($B$2:$B7298=$B7299, $A$2:$A7298+$C$2:$C7298)), "")*24*60, "")</f>
        <v/>
      </c>
      <c r="Q7299" s="24" t="str" cm="1">
        <f t="array" ref="Q7299">IFERROR(IF($B7299=Q$1, ($A7299+$C7299) - MAX(IF($B$2:$B7298=$B7299, $A$2:$A7298+$C$2:$C7298)), "")*24*60, "")</f>
        <v/>
      </c>
      <c r="R7299" s="24" t="str" cm="1">
        <f t="array" ref="R7299">IFERROR(IF($B7299=R$1, ($A7299+$C7299) - MAX(IF($B$2:$B7298=$B7299, $A$2:$A7298+$C$2:$C7298)), "")*24*60, "")</f>
        <v/>
      </c>
      <c r="S7299" s="24" t="str" cm="1">
        <f t="array" ref="S7299">IFERROR(IF($B7299=S$1, ($A7299+$C7299) - MAX(IF($B$2:$B7298=$B7299, $A$2:$A7298+$C$2:$C7298)), "")*24*60, "")</f>
        <v/>
      </c>
    </row>
    <row r="7300" spans="1:19" x14ac:dyDescent="0.2">
      <c r="A7300" s="12">
        <f t="shared" ref="A7300:C7300" si="1482">A7299</f>
        <v>46015</v>
      </c>
      <c r="B7300" s="5" t="str">
        <f t="shared" si="1482"/>
        <v>Northern Cardinal</v>
      </c>
      <c r="C7300" s="6">
        <f t="shared" si="1482"/>
        <v>0.74097222222222225</v>
      </c>
      <c r="D7300" s="5"/>
      <c r="E7300" s="5"/>
      <c r="F7300" s="5" t="s">
        <v>9</v>
      </c>
      <c r="G7300" s="15" t="s">
        <v>8</v>
      </c>
      <c r="H7300" s="24">
        <f t="shared" si="1407"/>
        <v>0</v>
      </c>
      <c r="I7300" s="24" cm="1">
        <f t="array" ref="I7300">IFERROR(IF($B7300=I$1, ($A7300+$C7300) - MAX(IF($B$2:$B7299=$B7300, $A$2:$A7299+$C$2:$C7299)), "")*24*60, "")</f>
        <v>0</v>
      </c>
      <c r="J7300" s="24" t="str" cm="1">
        <f t="array" ref="J7300">IFERROR(IF($B7300=J$1, ($A7300+$C7300) - MAX(IF($B$2:$B7299=$B7300, $A$2:$A7299+$C$2:$C7299)), "")*24*60, "")</f>
        <v/>
      </c>
      <c r="K7300" s="24" t="str" cm="1">
        <f t="array" ref="K7300">IFERROR(IF($B7300=K$1, ($A7300+$C7300) - MAX(IF($B$2:$B7299=$B7300, $A$2:$A7299+$C$2:$C7299)), "")*24*60, "")</f>
        <v/>
      </c>
      <c r="L7300" s="24" t="str" cm="1">
        <f t="array" ref="L7300">IFERROR(IF($B7300=L$1, ($A7300+$C7300) - MAX(IF($B$2:$B7299=$B7300, $A$2:$A7299+$C$2:$C7299)), "")*24*60, "")</f>
        <v/>
      </c>
      <c r="M7300" s="24" t="str" cm="1">
        <f t="array" ref="M7300">IFERROR(IF($B7300=M$1, ($A7300+$C7300) - MAX(IF($B$2:$B7299=$B7300, $A$2:$A7299+$C$2:$C7299)), "")*24*60, "")</f>
        <v/>
      </c>
      <c r="N7300" s="24" t="str" cm="1">
        <f t="array" ref="N7300">IFERROR(IF($B7300=N$1, ($A7300+$C7300) - MAX(IF($B$2:$B7299=$B7300, $A$2:$A7299+$C$2:$C7299)), "")*24*60, "")</f>
        <v/>
      </c>
      <c r="O7300" s="24" t="str" cm="1">
        <f t="array" ref="O7300">IFERROR(IF($B7300=O$1, ($A7300+$C7300) - MAX(IF($B$2:$B7299=$B7300, $A$2:$A7299+$C$2:$C7299)), "")*24*60, "")</f>
        <v/>
      </c>
      <c r="P7300" s="24" t="str" cm="1">
        <f t="array" ref="P7300">IFERROR(IF($B7300=P$1, ($A7300+$C7300) - MAX(IF($B$2:$B7299=$B7300, $A$2:$A7299+$C$2:$C7299)), "")*24*60, "")</f>
        <v/>
      </c>
      <c r="Q7300" s="24" t="str" cm="1">
        <f t="array" ref="Q7300">IFERROR(IF($B7300=Q$1, ($A7300+$C7300) - MAX(IF($B$2:$B7299=$B7300, $A$2:$A7299+$C$2:$C7299)), "")*24*60, "")</f>
        <v/>
      </c>
      <c r="R7300" s="24" t="str" cm="1">
        <f t="array" ref="R7300">IFERROR(IF($B7300=R$1, ($A7300+$C7300) - MAX(IF($B$2:$B7299=$B7300, $A$2:$A7299+$C$2:$C7299)), "")*24*60, "")</f>
        <v/>
      </c>
      <c r="S7300" s="24" t="str" cm="1">
        <f t="array" ref="S7300">IFERROR(IF($B7300=S$1, ($A7300+$C7300) - MAX(IF($B$2:$B7299=$B7300, $A$2:$A7299+$C$2:$C7299)), "")*24*60, "")</f>
        <v/>
      </c>
    </row>
    <row r="7301" spans="1:19" x14ac:dyDescent="0.2">
      <c r="A7301" s="12">
        <f t="shared" ref="A7301:C7301" si="1483">A7300</f>
        <v>46015</v>
      </c>
      <c r="B7301" s="5" t="str">
        <f t="shared" si="1483"/>
        <v>Northern Cardinal</v>
      </c>
      <c r="C7301" s="6">
        <f t="shared" si="1483"/>
        <v>0.74097222222222225</v>
      </c>
      <c r="D7301" s="5"/>
      <c r="E7301" s="5"/>
      <c r="F7301" s="5" t="s">
        <v>9</v>
      </c>
      <c r="G7301" s="15" t="s">
        <v>8</v>
      </c>
      <c r="H7301" s="24">
        <f t="shared" si="1407"/>
        <v>0</v>
      </c>
      <c r="I7301" s="24" cm="1">
        <f t="array" ref="I7301">IFERROR(IF($B7301=I$1, ($A7301+$C7301) - MAX(IF($B$2:$B7300=$B7301, $A$2:$A7300+$C$2:$C7300)), "")*24*60, "")</f>
        <v>0</v>
      </c>
      <c r="J7301" s="24" t="str" cm="1">
        <f t="array" ref="J7301">IFERROR(IF($B7301=J$1, ($A7301+$C7301) - MAX(IF($B$2:$B7300=$B7301, $A$2:$A7300+$C$2:$C7300)), "")*24*60, "")</f>
        <v/>
      </c>
      <c r="K7301" s="24" t="str" cm="1">
        <f t="array" ref="K7301">IFERROR(IF($B7301=K$1, ($A7301+$C7301) - MAX(IF($B$2:$B7300=$B7301, $A$2:$A7300+$C$2:$C7300)), "")*24*60, "")</f>
        <v/>
      </c>
      <c r="L7301" s="24" t="str" cm="1">
        <f t="array" ref="L7301">IFERROR(IF($B7301=L$1, ($A7301+$C7301) - MAX(IF($B$2:$B7300=$B7301, $A$2:$A7300+$C$2:$C7300)), "")*24*60, "")</f>
        <v/>
      </c>
      <c r="M7301" s="24" t="str" cm="1">
        <f t="array" ref="M7301">IFERROR(IF($B7301=M$1, ($A7301+$C7301) - MAX(IF($B$2:$B7300=$B7301, $A$2:$A7300+$C$2:$C7300)), "")*24*60, "")</f>
        <v/>
      </c>
      <c r="N7301" s="24" t="str" cm="1">
        <f t="array" ref="N7301">IFERROR(IF($B7301=N$1, ($A7301+$C7301) - MAX(IF($B$2:$B7300=$B7301, $A$2:$A7300+$C$2:$C7300)), "")*24*60, "")</f>
        <v/>
      </c>
      <c r="O7301" s="24" t="str" cm="1">
        <f t="array" ref="O7301">IFERROR(IF($B7301=O$1, ($A7301+$C7301) - MAX(IF($B$2:$B7300=$B7301, $A$2:$A7300+$C$2:$C7300)), "")*24*60, "")</f>
        <v/>
      </c>
      <c r="P7301" s="24" t="str" cm="1">
        <f t="array" ref="P7301">IFERROR(IF($B7301=P$1, ($A7301+$C7301) - MAX(IF($B$2:$B7300=$B7301, $A$2:$A7300+$C$2:$C7300)), "")*24*60, "")</f>
        <v/>
      </c>
      <c r="Q7301" s="24" t="str" cm="1">
        <f t="array" ref="Q7301">IFERROR(IF($B7301=Q$1, ($A7301+$C7301) - MAX(IF($B$2:$B7300=$B7301, $A$2:$A7300+$C$2:$C7300)), "")*24*60, "")</f>
        <v/>
      </c>
      <c r="R7301" s="24" t="str" cm="1">
        <f t="array" ref="R7301">IFERROR(IF($B7301=R$1, ($A7301+$C7301) - MAX(IF($B$2:$B7300=$B7301, $A$2:$A7300+$C$2:$C7300)), "")*24*60, "")</f>
        <v/>
      </c>
      <c r="S7301" s="24" t="str" cm="1">
        <f t="array" ref="S7301">IFERROR(IF($B7301=S$1, ($A7301+$C7301) - MAX(IF($B$2:$B7300=$B7301, $A$2:$A7300+$C$2:$C7300)), "")*24*60, "")</f>
        <v/>
      </c>
    </row>
    <row r="7302" spans="1:19" x14ac:dyDescent="0.2">
      <c r="A7302" s="12">
        <f t="shared" ref="A7302:C7302" si="1484">A7301</f>
        <v>46015</v>
      </c>
      <c r="B7302" s="5" t="str">
        <f t="shared" si="1484"/>
        <v>Northern Cardinal</v>
      </c>
      <c r="C7302" s="6">
        <f t="shared" si="1484"/>
        <v>0.74097222222222225</v>
      </c>
      <c r="D7302" s="5"/>
      <c r="E7302" s="5"/>
      <c r="F7302" s="5" t="s">
        <v>9</v>
      </c>
      <c r="G7302" s="15" t="s">
        <v>8</v>
      </c>
      <c r="H7302" s="24">
        <f t="shared" si="1407"/>
        <v>0</v>
      </c>
      <c r="I7302" s="24" cm="1">
        <f t="array" ref="I7302">IFERROR(IF($B7302=I$1, ($A7302+$C7302) - MAX(IF($B$2:$B7301=$B7302, $A$2:$A7301+$C$2:$C7301)), "")*24*60, "")</f>
        <v>0</v>
      </c>
      <c r="J7302" s="24" t="str" cm="1">
        <f t="array" ref="J7302">IFERROR(IF($B7302=J$1, ($A7302+$C7302) - MAX(IF($B$2:$B7301=$B7302, $A$2:$A7301+$C$2:$C7301)), "")*24*60, "")</f>
        <v/>
      </c>
      <c r="K7302" s="24" t="str" cm="1">
        <f t="array" ref="K7302">IFERROR(IF($B7302=K$1, ($A7302+$C7302) - MAX(IF($B$2:$B7301=$B7302, $A$2:$A7301+$C$2:$C7301)), "")*24*60, "")</f>
        <v/>
      </c>
      <c r="L7302" s="24" t="str" cm="1">
        <f t="array" ref="L7302">IFERROR(IF($B7302=L$1, ($A7302+$C7302) - MAX(IF($B$2:$B7301=$B7302, $A$2:$A7301+$C$2:$C7301)), "")*24*60, "")</f>
        <v/>
      </c>
      <c r="M7302" s="24" t="str" cm="1">
        <f t="array" ref="M7302">IFERROR(IF($B7302=M$1, ($A7302+$C7302) - MAX(IF($B$2:$B7301=$B7302, $A$2:$A7301+$C$2:$C7301)), "")*24*60, "")</f>
        <v/>
      </c>
      <c r="N7302" s="24" t="str" cm="1">
        <f t="array" ref="N7302">IFERROR(IF($B7302=N$1, ($A7302+$C7302) - MAX(IF($B$2:$B7301=$B7302, $A$2:$A7301+$C$2:$C7301)), "")*24*60, "")</f>
        <v/>
      </c>
      <c r="O7302" s="24" t="str" cm="1">
        <f t="array" ref="O7302">IFERROR(IF($B7302=O$1, ($A7302+$C7302) - MAX(IF($B$2:$B7301=$B7302, $A$2:$A7301+$C$2:$C7301)), "")*24*60, "")</f>
        <v/>
      </c>
      <c r="P7302" s="24" t="str" cm="1">
        <f t="array" ref="P7302">IFERROR(IF($B7302=P$1, ($A7302+$C7302) - MAX(IF($B$2:$B7301=$B7302, $A$2:$A7301+$C$2:$C7301)), "")*24*60, "")</f>
        <v/>
      </c>
      <c r="Q7302" s="24" t="str" cm="1">
        <f t="array" ref="Q7302">IFERROR(IF($B7302=Q$1, ($A7302+$C7302) - MAX(IF($B$2:$B7301=$B7302, $A$2:$A7301+$C$2:$C7301)), "")*24*60, "")</f>
        <v/>
      </c>
      <c r="R7302" s="24" t="str" cm="1">
        <f t="array" ref="R7302">IFERROR(IF($B7302=R$1, ($A7302+$C7302) - MAX(IF($B$2:$B7301=$B7302, $A$2:$A7301+$C$2:$C7301)), "")*24*60, "")</f>
        <v/>
      </c>
      <c r="S7302" s="24" t="str" cm="1">
        <f t="array" ref="S7302">IFERROR(IF($B7302=S$1, ($A7302+$C7302) - MAX(IF($B$2:$B7301=$B7302, $A$2:$A7301+$C$2:$C7301)), "")*24*60, "")</f>
        <v/>
      </c>
    </row>
    <row r="7303" spans="1:19" x14ac:dyDescent="0.2">
      <c r="A7303" s="12">
        <f t="shared" ref="A7303:C7303" si="1485">A7302</f>
        <v>46015</v>
      </c>
      <c r="B7303" s="5" t="str">
        <f t="shared" si="1485"/>
        <v>Northern Cardinal</v>
      </c>
      <c r="C7303" s="6">
        <f t="shared" si="1485"/>
        <v>0.74097222222222225</v>
      </c>
      <c r="D7303" s="5"/>
      <c r="E7303" s="5"/>
      <c r="F7303" s="5" t="s">
        <v>9</v>
      </c>
      <c r="G7303" s="15" t="s">
        <v>8</v>
      </c>
      <c r="H7303" s="24">
        <f t="shared" si="1407"/>
        <v>0</v>
      </c>
      <c r="I7303" s="24" cm="1">
        <f t="array" ref="I7303">IFERROR(IF($B7303=I$1, ($A7303+$C7303) - MAX(IF($B$2:$B7302=$B7303, $A$2:$A7302+$C$2:$C7302)), "")*24*60, "")</f>
        <v>0</v>
      </c>
      <c r="J7303" s="24" t="str" cm="1">
        <f t="array" ref="J7303">IFERROR(IF($B7303=J$1, ($A7303+$C7303) - MAX(IF($B$2:$B7302=$B7303, $A$2:$A7302+$C$2:$C7302)), "")*24*60, "")</f>
        <v/>
      </c>
      <c r="K7303" s="24" t="str" cm="1">
        <f t="array" ref="K7303">IFERROR(IF($B7303=K$1, ($A7303+$C7303) - MAX(IF($B$2:$B7302=$B7303, $A$2:$A7302+$C$2:$C7302)), "")*24*60, "")</f>
        <v/>
      </c>
      <c r="L7303" s="24" t="str" cm="1">
        <f t="array" ref="L7303">IFERROR(IF($B7303=L$1, ($A7303+$C7303) - MAX(IF($B$2:$B7302=$B7303, $A$2:$A7302+$C$2:$C7302)), "")*24*60, "")</f>
        <v/>
      </c>
      <c r="M7303" s="24" t="str" cm="1">
        <f t="array" ref="M7303">IFERROR(IF($B7303=M$1, ($A7303+$C7303) - MAX(IF($B$2:$B7302=$B7303, $A$2:$A7302+$C$2:$C7302)), "")*24*60, "")</f>
        <v/>
      </c>
      <c r="N7303" s="24" t="str" cm="1">
        <f t="array" ref="N7303">IFERROR(IF($B7303=N$1, ($A7303+$C7303) - MAX(IF($B$2:$B7302=$B7303, $A$2:$A7302+$C$2:$C7302)), "")*24*60, "")</f>
        <v/>
      </c>
      <c r="O7303" s="24" t="str" cm="1">
        <f t="array" ref="O7303">IFERROR(IF($B7303=O$1, ($A7303+$C7303) - MAX(IF($B$2:$B7302=$B7303, $A$2:$A7302+$C$2:$C7302)), "")*24*60, "")</f>
        <v/>
      </c>
      <c r="P7303" s="24" t="str" cm="1">
        <f t="array" ref="P7303">IFERROR(IF($B7303=P$1, ($A7303+$C7303) - MAX(IF($B$2:$B7302=$B7303, $A$2:$A7302+$C$2:$C7302)), "")*24*60, "")</f>
        <v/>
      </c>
      <c r="Q7303" s="24" t="str" cm="1">
        <f t="array" ref="Q7303">IFERROR(IF($B7303=Q$1, ($A7303+$C7303) - MAX(IF($B$2:$B7302=$B7303, $A$2:$A7302+$C$2:$C7302)), "")*24*60, "")</f>
        <v/>
      </c>
      <c r="R7303" s="24" t="str" cm="1">
        <f t="array" ref="R7303">IFERROR(IF($B7303=R$1, ($A7303+$C7303) - MAX(IF($B$2:$B7302=$B7303, $A$2:$A7302+$C$2:$C7302)), "")*24*60, "")</f>
        <v/>
      </c>
      <c r="S7303" s="24" t="str" cm="1">
        <f t="array" ref="S7303">IFERROR(IF($B7303=S$1, ($A7303+$C7303) - MAX(IF($B$2:$B7302=$B7303, $A$2:$A7302+$C$2:$C7302)), "")*24*60, "")</f>
        <v/>
      </c>
    </row>
    <row r="7304" spans="1:19" x14ac:dyDescent="0.2">
      <c r="A7304" s="12">
        <f t="shared" ref="A7304:C7304" si="1486">A7303</f>
        <v>46015</v>
      </c>
      <c r="B7304" s="5" t="str">
        <f t="shared" si="1486"/>
        <v>Northern Cardinal</v>
      </c>
      <c r="C7304" s="6">
        <f t="shared" si="1486"/>
        <v>0.74097222222222225</v>
      </c>
      <c r="D7304" s="5"/>
      <c r="E7304" s="5"/>
      <c r="F7304" s="5" t="s">
        <v>9</v>
      </c>
      <c r="G7304" s="15" t="s">
        <v>8</v>
      </c>
      <c r="H7304" s="24">
        <f t="shared" si="1407"/>
        <v>0</v>
      </c>
      <c r="I7304" s="24" cm="1">
        <f t="array" ref="I7304">IFERROR(IF($B7304=I$1, ($A7304+$C7304) - MAX(IF($B$2:$B7303=$B7304, $A$2:$A7303+$C$2:$C7303)), "")*24*60, "")</f>
        <v>0</v>
      </c>
      <c r="J7304" s="24" t="str" cm="1">
        <f t="array" ref="J7304">IFERROR(IF($B7304=J$1, ($A7304+$C7304) - MAX(IF($B$2:$B7303=$B7304, $A$2:$A7303+$C$2:$C7303)), "")*24*60, "")</f>
        <v/>
      </c>
      <c r="K7304" s="24" t="str" cm="1">
        <f t="array" ref="K7304">IFERROR(IF($B7304=K$1, ($A7304+$C7304) - MAX(IF($B$2:$B7303=$B7304, $A$2:$A7303+$C$2:$C7303)), "")*24*60, "")</f>
        <v/>
      </c>
      <c r="L7304" s="24" t="str" cm="1">
        <f t="array" ref="L7304">IFERROR(IF($B7304=L$1, ($A7304+$C7304) - MAX(IF($B$2:$B7303=$B7304, $A$2:$A7303+$C$2:$C7303)), "")*24*60, "")</f>
        <v/>
      </c>
      <c r="M7304" s="24" t="str" cm="1">
        <f t="array" ref="M7304">IFERROR(IF($B7304=M$1, ($A7304+$C7304) - MAX(IF($B$2:$B7303=$B7304, $A$2:$A7303+$C$2:$C7303)), "")*24*60, "")</f>
        <v/>
      </c>
      <c r="N7304" s="24" t="str" cm="1">
        <f t="array" ref="N7304">IFERROR(IF($B7304=N$1, ($A7304+$C7304) - MAX(IF($B$2:$B7303=$B7304, $A$2:$A7303+$C$2:$C7303)), "")*24*60, "")</f>
        <v/>
      </c>
      <c r="O7304" s="24" t="str" cm="1">
        <f t="array" ref="O7304">IFERROR(IF($B7304=O$1, ($A7304+$C7304) - MAX(IF($B$2:$B7303=$B7304, $A$2:$A7303+$C$2:$C7303)), "")*24*60, "")</f>
        <v/>
      </c>
      <c r="P7304" s="24" t="str" cm="1">
        <f t="array" ref="P7304">IFERROR(IF($B7304=P$1, ($A7304+$C7304) - MAX(IF($B$2:$B7303=$B7304, $A$2:$A7303+$C$2:$C7303)), "")*24*60, "")</f>
        <v/>
      </c>
      <c r="Q7304" s="24" t="str" cm="1">
        <f t="array" ref="Q7304">IFERROR(IF($B7304=Q$1, ($A7304+$C7304) - MAX(IF($B$2:$B7303=$B7304, $A$2:$A7303+$C$2:$C7303)), "")*24*60, "")</f>
        <v/>
      </c>
      <c r="R7304" s="24" t="str" cm="1">
        <f t="array" ref="R7304">IFERROR(IF($B7304=R$1, ($A7304+$C7304) - MAX(IF($B$2:$B7303=$B7304, $A$2:$A7303+$C$2:$C7303)), "")*24*60, "")</f>
        <v/>
      </c>
      <c r="S7304" s="24" t="str" cm="1">
        <f t="array" ref="S7304">IFERROR(IF($B7304=S$1, ($A7304+$C7304) - MAX(IF($B$2:$B7303=$B7304, $A$2:$A7303+$C$2:$C7303)), "")*24*60, "")</f>
        <v/>
      </c>
    </row>
    <row r="7305" spans="1:19" x14ac:dyDescent="0.2">
      <c r="A7305" s="12">
        <f t="shared" ref="A7305:C7305" si="1487">A7304</f>
        <v>46015</v>
      </c>
      <c r="B7305" s="5" t="str">
        <f t="shared" si="1487"/>
        <v>Northern Cardinal</v>
      </c>
      <c r="C7305" s="6">
        <f t="shared" si="1487"/>
        <v>0.74097222222222225</v>
      </c>
      <c r="D7305" s="5"/>
      <c r="E7305" s="5"/>
      <c r="F7305" s="5" t="s">
        <v>9</v>
      </c>
      <c r="G7305" s="15" t="s">
        <v>8</v>
      </c>
      <c r="H7305" s="24">
        <f t="shared" si="1407"/>
        <v>0</v>
      </c>
      <c r="I7305" s="24" cm="1">
        <f t="array" ref="I7305">IFERROR(IF($B7305=I$1, ($A7305+$C7305) - MAX(IF($B$2:$B7304=$B7305, $A$2:$A7304+$C$2:$C7304)), "")*24*60, "")</f>
        <v>0</v>
      </c>
      <c r="J7305" s="24" t="str" cm="1">
        <f t="array" ref="J7305">IFERROR(IF($B7305=J$1, ($A7305+$C7305) - MAX(IF($B$2:$B7304=$B7305, $A$2:$A7304+$C$2:$C7304)), "")*24*60, "")</f>
        <v/>
      </c>
      <c r="K7305" s="24" t="str" cm="1">
        <f t="array" ref="K7305">IFERROR(IF($B7305=K$1, ($A7305+$C7305) - MAX(IF($B$2:$B7304=$B7305, $A$2:$A7304+$C$2:$C7304)), "")*24*60, "")</f>
        <v/>
      </c>
      <c r="L7305" s="24" t="str" cm="1">
        <f t="array" ref="L7305">IFERROR(IF($B7305=L$1, ($A7305+$C7305) - MAX(IF($B$2:$B7304=$B7305, $A$2:$A7304+$C$2:$C7304)), "")*24*60, "")</f>
        <v/>
      </c>
      <c r="M7305" s="24" t="str" cm="1">
        <f t="array" ref="M7305">IFERROR(IF($B7305=M$1, ($A7305+$C7305) - MAX(IF($B$2:$B7304=$B7305, $A$2:$A7304+$C$2:$C7304)), "")*24*60, "")</f>
        <v/>
      </c>
      <c r="N7305" s="24" t="str" cm="1">
        <f t="array" ref="N7305">IFERROR(IF($B7305=N$1, ($A7305+$C7305) - MAX(IF($B$2:$B7304=$B7305, $A$2:$A7304+$C$2:$C7304)), "")*24*60, "")</f>
        <v/>
      </c>
      <c r="O7305" s="24" t="str" cm="1">
        <f t="array" ref="O7305">IFERROR(IF($B7305=O$1, ($A7305+$C7305) - MAX(IF($B$2:$B7304=$B7305, $A$2:$A7304+$C$2:$C7304)), "")*24*60, "")</f>
        <v/>
      </c>
      <c r="P7305" s="24" t="str" cm="1">
        <f t="array" ref="P7305">IFERROR(IF($B7305=P$1, ($A7305+$C7305) - MAX(IF($B$2:$B7304=$B7305, $A$2:$A7304+$C$2:$C7304)), "")*24*60, "")</f>
        <v/>
      </c>
      <c r="Q7305" s="24" t="str" cm="1">
        <f t="array" ref="Q7305">IFERROR(IF($B7305=Q$1, ($A7305+$C7305) - MAX(IF($B$2:$B7304=$B7305, $A$2:$A7304+$C$2:$C7304)), "")*24*60, "")</f>
        <v/>
      </c>
      <c r="R7305" s="24" t="str" cm="1">
        <f t="array" ref="R7305">IFERROR(IF($B7305=R$1, ($A7305+$C7305) - MAX(IF($B$2:$B7304=$B7305, $A$2:$A7304+$C$2:$C7304)), "")*24*60, "")</f>
        <v/>
      </c>
      <c r="S7305" s="24" t="str" cm="1">
        <f t="array" ref="S7305">IFERROR(IF($B7305=S$1, ($A7305+$C7305) - MAX(IF($B$2:$B7304=$B7305, $A$2:$A7304+$C$2:$C7304)), "")*24*60, "")</f>
        <v/>
      </c>
    </row>
    <row r="7306" spans="1:19" x14ac:dyDescent="0.2">
      <c r="A7306" s="12">
        <f t="shared" ref="A7306:C7306" si="1488">A7305</f>
        <v>46015</v>
      </c>
      <c r="B7306" s="5" t="str">
        <f t="shared" si="1488"/>
        <v>Northern Cardinal</v>
      </c>
      <c r="C7306" s="6">
        <f t="shared" si="1488"/>
        <v>0.74097222222222225</v>
      </c>
      <c r="D7306" s="5"/>
      <c r="E7306" s="5"/>
      <c r="F7306" s="5" t="s">
        <v>9</v>
      </c>
      <c r="G7306" s="15" t="s">
        <v>8</v>
      </c>
      <c r="H7306" s="24">
        <f t="shared" si="1407"/>
        <v>0</v>
      </c>
      <c r="I7306" s="24" cm="1">
        <f t="array" ref="I7306">IFERROR(IF($B7306=I$1, ($A7306+$C7306) - MAX(IF($B$2:$B7305=$B7306, $A$2:$A7305+$C$2:$C7305)), "")*24*60, "")</f>
        <v>0</v>
      </c>
      <c r="J7306" s="24" t="str" cm="1">
        <f t="array" ref="J7306">IFERROR(IF($B7306=J$1, ($A7306+$C7306) - MAX(IF($B$2:$B7305=$B7306, $A$2:$A7305+$C$2:$C7305)), "")*24*60, "")</f>
        <v/>
      </c>
      <c r="K7306" s="24" t="str" cm="1">
        <f t="array" ref="K7306">IFERROR(IF($B7306=K$1, ($A7306+$C7306) - MAX(IF($B$2:$B7305=$B7306, $A$2:$A7305+$C$2:$C7305)), "")*24*60, "")</f>
        <v/>
      </c>
      <c r="L7306" s="24" t="str" cm="1">
        <f t="array" ref="L7306">IFERROR(IF($B7306=L$1, ($A7306+$C7306) - MAX(IF($B$2:$B7305=$B7306, $A$2:$A7305+$C$2:$C7305)), "")*24*60, "")</f>
        <v/>
      </c>
      <c r="M7306" s="24" t="str" cm="1">
        <f t="array" ref="M7306">IFERROR(IF($B7306=M$1, ($A7306+$C7306) - MAX(IF($B$2:$B7305=$B7306, $A$2:$A7305+$C$2:$C7305)), "")*24*60, "")</f>
        <v/>
      </c>
      <c r="N7306" s="24" t="str" cm="1">
        <f t="array" ref="N7306">IFERROR(IF($B7306=N$1, ($A7306+$C7306) - MAX(IF($B$2:$B7305=$B7306, $A$2:$A7305+$C$2:$C7305)), "")*24*60, "")</f>
        <v/>
      </c>
      <c r="O7306" s="24" t="str" cm="1">
        <f t="array" ref="O7306">IFERROR(IF($B7306=O$1, ($A7306+$C7306) - MAX(IF($B$2:$B7305=$B7306, $A$2:$A7305+$C$2:$C7305)), "")*24*60, "")</f>
        <v/>
      </c>
      <c r="P7306" s="24" t="str" cm="1">
        <f t="array" ref="P7306">IFERROR(IF($B7306=P$1, ($A7306+$C7306) - MAX(IF($B$2:$B7305=$B7306, $A$2:$A7305+$C$2:$C7305)), "")*24*60, "")</f>
        <v/>
      </c>
      <c r="Q7306" s="24" t="str" cm="1">
        <f t="array" ref="Q7306">IFERROR(IF($B7306=Q$1, ($A7306+$C7306) - MAX(IF($B$2:$B7305=$B7306, $A$2:$A7305+$C$2:$C7305)), "")*24*60, "")</f>
        <v/>
      </c>
      <c r="R7306" s="24" t="str" cm="1">
        <f t="array" ref="R7306">IFERROR(IF($B7306=R$1, ($A7306+$C7306) - MAX(IF($B$2:$B7305=$B7306, $A$2:$A7305+$C$2:$C7305)), "")*24*60, "")</f>
        <v/>
      </c>
      <c r="S7306" s="24" t="str" cm="1">
        <f t="array" ref="S7306">IFERROR(IF($B7306=S$1, ($A7306+$C7306) - MAX(IF($B$2:$B7305=$B7306, $A$2:$A7305+$C$2:$C7305)), "")*24*60, "")</f>
        <v/>
      </c>
    </row>
    <row r="7307" spans="1:19" x14ac:dyDescent="0.2">
      <c r="A7307" s="12">
        <f t="shared" ref="A7307:C7307" si="1489">A7306</f>
        <v>46015</v>
      </c>
      <c r="B7307" s="5" t="str">
        <f t="shared" si="1489"/>
        <v>Northern Cardinal</v>
      </c>
      <c r="C7307" s="6">
        <f t="shared" si="1489"/>
        <v>0.74097222222222225</v>
      </c>
      <c r="D7307" s="5"/>
      <c r="E7307" s="5"/>
      <c r="F7307" s="5" t="s">
        <v>9</v>
      </c>
      <c r="G7307" s="15" t="s">
        <v>8</v>
      </c>
      <c r="H7307" s="24">
        <f t="shared" si="1407"/>
        <v>0</v>
      </c>
      <c r="I7307" s="24" cm="1">
        <f t="array" ref="I7307">IFERROR(IF($B7307=I$1, ($A7307+$C7307) - MAX(IF($B$2:$B7306=$B7307, $A$2:$A7306+$C$2:$C7306)), "")*24*60, "")</f>
        <v>0</v>
      </c>
      <c r="J7307" s="24" t="str" cm="1">
        <f t="array" ref="J7307">IFERROR(IF($B7307=J$1, ($A7307+$C7307) - MAX(IF($B$2:$B7306=$B7307, $A$2:$A7306+$C$2:$C7306)), "")*24*60, "")</f>
        <v/>
      </c>
      <c r="K7307" s="24" t="str" cm="1">
        <f t="array" ref="K7307">IFERROR(IF($B7307=K$1, ($A7307+$C7307) - MAX(IF($B$2:$B7306=$B7307, $A$2:$A7306+$C$2:$C7306)), "")*24*60, "")</f>
        <v/>
      </c>
      <c r="L7307" s="24" t="str" cm="1">
        <f t="array" ref="L7307">IFERROR(IF($B7307=L$1, ($A7307+$C7307) - MAX(IF($B$2:$B7306=$B7307, $A$2:$A7306+$C$2:$C7306)), "")*24*60, "")</f>
        <v/>
      </c>
      <c r="M7307" s="24" t="str" cm="1">
        <f t="array" ref="M7307">IFERROR(IF($B7307=M$1, ($A7307+$C7307) - MAX(IF($B$2:$B7306=$B7307, $A$2:$A7306+$C$2:$C7306)), "")*24*60, "")</f>
        <v/>
      </c>
      <c r="N7307" s="24" t="str" cm="1">
        <f t="array" ref="N7307">IFERROR(IF($B7307=N$1, ($A7307+$C7307) - MAX(IF($B$2:$B7306=$B7307, $A$2:$A7306+$C$2:$C7306)), "")*24*60, "")</f>
        <v/>
      </c>
      <c r="O7307" s="24" t="str" cm="1">
        <f t="array" ref="O7307">IFERROR(IF($B7307=O$1, ($A7307+$C7307) - MAX(IF($B$2:$B7306=$B7307, $A$2:$A7306+$C$2:$C7306)), "")*24*60, "")</f>
        <v/>
      </c>
      <c r="P7307" s="24" t="str" cm="1">
        <f t="array" ref="P7307">IFERROR(IF($B7307=P$1, ($A7307+$C7307) - MAX(IF($B$2:$B7306=$B7307, $A$2:$A7306+$C$2:$C7306)), "")*24*60, "")</f>
        <v/>
      </c>
      <c r="Q7307" s="24" t="str" cm="1">
        <f t="array" ref="Q7307">IFERROR(IF($B7307=Q$1, ($A7307+$C7307) - MAX(IF($B$2:$B7306=$B7307, $A$2:$A7306+$C$2:$C7306)), "")*24*60, "")</f>
        <v/>
      </c>
      <c r="R7307" s="24" t="str" cm="1">
        <f t="array" ref="R7307">IFERROR(IF($B7307=R$1, ($A7307+$C7307) - MAX(IF($B$2:$B7306=$B7307, $A$2:$A7306+$C$2:$C7306)), "")*24*60, "")</f>
        <v/>
      </c>
      <c r="S7307" s="24" t="str" cm="1">
        <f t="array" ref="S7307">IFERROR(IF($B7307=S$1, ($A7307+$C7307) - MAX(IF($B$2:$B7306=$B7307, $A$2:$A7306+$C$2:$C7306)), "")*24*60, "")</f>
        <v/>
      </c>
    </row>
    <row r="7308" spans="1:19" x14ac:dyDescent="0.2">
      <c r="A7308" s="12">
        <f t="shared" ref="A7308:C7308" si="1490">A7307</f>
        <v>46015</v>
      </c>
      <c r="B7308" s="5" t="str">
        <f t="shared" si="1490"/>
        <v>Northern Cardinal</v>
      </c>
      <c r="C7308" s="6">
        <f t="shared" si="1490"/>
        <v>0.74097222222222225</v>
      </c>
      <c r="D7308" s="5"/>
      <c r="E7308" s="5"/>
      <c r="F7308" s="5" t="s">
        <v>9</v>
      </c>
      <c r="G7308" s="15" t="s">
        <v>8</v>
      </c>
      <c r="H7308" s="24">
        <f t="shared" si="1407"/>
        <v>0</v>
      </c>
      <c r="I7308" s="24" cm="1">
        <f t="array" ref="I7308">IFERROR(IF($B7308=I$1, ($A7308+$C7308) - MAX(IF($B$2:$B7307=$B7308, $A$2:$A7307+$C$2:$C7307)), "")*24*60, "")</f>
        <v>0</v>
      </c>
      <c r="J7308" s="24" t="str" cm="1">
        <f t="array" ref="J7308">IFERROR(IF($B7308=J$1, ($A7308+$C7308) - MAX(IF($B$2:$B7307=$B7308, $A$2:$A7307+$C$2:$C7307)), "")*24*60, "")</f>
        <v/>
      </c>
      <c r="K7308" s="24" t="str" cm="1">
        <f t="array" ref="K7308">IFERROR(IF($B7308=K$1, ($A7308+$C7308) - MAX(IF($B$2:$B7307=$B7308, $A$2:$A7307+$C$2:$C7307)), "")*24*60, "")</f>
        <v/>
      </c>
      <c r="L7308" s="24" t="str" cm="1">
        <f t="array" ref="L7308">IFERROR(IF($B7308=L$1, ($A7308+$C7308) - MAX(IF($B$2:$B7307=$B7308, $A$2:$A7307+$C$2:$C7307)), "")*24*60, "")</f>
        <v/>
      </c>
      <c r="M7308" s="24" t="str" cm="1">
        <f t="array" ref="M7308">IFERROR(IF($B7308=M$1, ($A7308+$C7308) - MAX(IF($B$2:$B7307=$B7308, $A$2:$A7307+$C$2:$C7307)), "")*24*60, "")</f>
        <v/>
      </c>
      <c r="N7308" s="24" t="str" cm="1">
        <f t="array" ref="N7308">IFERROR(IF($B7308=N$1, ($A7308+$C7308) - MAX(IF($B$2:$B7307=$B7308, $A$2:$A7307+$C$2:$C7307)), "")*24*60, "")</f>
        <v/>
      </c>
      <c r="O7308" s="24" t="str" cm="1">
        <f t="array" ref="O7308">IFERROR(IF($B7308=O$1, ($A7308+$C7308) - MAX(IF($B$2:$B7307=$B7308, $A$2:$A7307+$C$2:$C7307)), "")*24*60, "")</f>
        <v/>
      </c>
      <c r="P7308" s="24" t="str" cm="1">
        <f t="array" ref="P7308">IFERROR(IF($B7308=P$1, ($A7308+$C7308) - MAX(IF($B$2:$B7307=$B7308, $A$2:$A7307+$C$2:$C7307)), "")*24*60, "")</f>
        <v/>
      </c>
      <c r="Q7308" s="24" t="str" cm="1">
        <f t="array" ref="Q7308">IFERROR(IF($B7308=Q$1, ($A7308+$C7308) - MAX(IF($B$2:$B7307=$B7308, $A$2:$A7307+$C$2:$C7307)), "")*24*60, "")</f>
        <v/>
      </c>
      <c r="R7308" s="24" t="str" cm="1">
        <f t="array" ref="R7308">IFERROR(IF($B7308=R$1, ($A7308+$C7308) - MAX(IF($B$2:$B7307=$B7308, $A$2:$A7307+$C$2:$C7307)), "")*24*60, "")</f>
        <v/>
      </c>
      <c r="S7308" s="24" t="str" cm="1">
        <f t="array" ref="S7308">IFERROR(IF($B7308=S$1, ($A7308+$C7308) - MAX(IF($B$2:$B7307=$B7308, $A$2:$A7307+$C$2:$C7307)), "")*24*60, "")</f>
        <v/>
      </c>
    </row>
    <row r="7309" spans="1:19" x14ac:dyDescent="0.2">
      <c r="A7309" s="12">
        <f t="shared" ref="A7309:C7309" si="1491">A7308</f>
        <v>46015</v>
      </c>
      <c r="B7309" s="5" t="str">
        <f t="shared" si="1491"/>
        <v>Northern Cardinal</v>
      </c>
      <c r="C7309" s="6">
        <f t="shared" si="1491"/>
        <v>0.74097222222222225</v>
      </c>
      <c r="D7309" s="5"/>
      <c r="E7309" s="5"/>
      <c r="F7309" s="5" t="s">
        <v>9</v>
      </c>
      <c r="G7309" s="15" t="s">
        <v>8</v>
      </c>
      <c r="H7309" s="24">
        <f t="shared" si="1407"/>
        <v>0</v>
      </c>
      <c r="I7309" s="24" cm="1">
        <f t="array" ref="I7309">IFERROR(IF($B7309=I$1, ($A7309+$C7309) - MAX(IF($B$2:$B7308=$B7309, $A$2:$A7308+$C$2:$C7308)), "")*24*60, "")</f>
        <v>0</v>
      </c>
      <c r="J7309" s="24" t="str" cm="1">
        <f t="array" ref="J7309">IFERROR(IF($B7309=J$1, ($A7309+$C7309) - MAX(IF($B$2:$B7308=$B7309, $A$2:$A7308+$C$2:$C7308)), "")*24*60, "")</f>
        <v/>
      </c>
      <c r="K7309" s="24" t="str" cm="1">
        <f t="array" ref="K7309">IFERROR(IF($B7309=K$1, ($A7309+$C7309) - MAX(IF($B$2:$B7308=$B7309, $A$2:$A7308+$C$2:$C7308)), "")*24*60, "")</f>
        <v/>
      </c>
      <c r="L7309" s="24" t="str" cm="1">
        <f t="array" ref="L7309">IFERROR(IF($B7309=L$1, ($A7309+$C7309) - MAX(IF($B$2:$B7308=$B7309, $A$2:$A7308+$C$2:$C7308)), "")*24*60, "")</f>
        <v/>
      </c>
      <c r="M7309" s="24" t="str" cm="1">
        <f t="array" ref="M7309">IFERROR(IF($B7309=M$1, ($A7309+$C7309) - MAX(IF($B$2:$B7308=$B7309, $A$2:$A7308+$C$2:$C7308)), "")*24*60, "")</f>
        <v/>
      </c>
      <c r="N7309" s="24" t="str" cm="1">
        <f t="array" ref="N7309">IFERROR(IF($B7309=N$1, ($A7309+$C7309) - MAX(IF($B$2:$B7308=$B7309, $A$2:$A7308+$C$2:$C7308)), "")*24*60, "")</f>
        <v/>
      </c>
      <c r="O7309" s="24" t="str" cm="1">
        <f t="array" ref="O7309">IFERROR(IF($B7309=O$1, ($A7309+$C7309) - MAX(IF($B$2:$B7308=$B7309, $A$2:$A7308+$C$2:$C7308)), "")*24*60, "")</f>
        <v/>
      </c>
      <c r="P7309" s="24" t="str" cm="1">
        <f t="array" ref="P7309">IFERROR(IF($B7309=P$1, ($A7309+$C7309) - MAX(IF($B$2:$B7308=$B7309, $A$2:$A7308+$C$2:$C7308)), "")*24*60, "")</f>
        <v/>
      </c>
      <c r="Q7309" s="24" t="str" cm="1">
        <f t="array" ref="Q7309">IFERROR(IF($B7309=Q$1, ($A7309+$C7309) - MAX(IF($B$2:$B7308=$B7309, $A$2:$A7308+$C$2:$C7308)), "")*24*60, "")</f>
        <v/>
      </c>
      <c r="R7309" s="24" t="str" cm="1">
        <f t="array" ref="R7309">IFERROR(IF($B7309=R$1, ($A7309+$C7309) - MAX(IF($B$2:$B7308=$B7309, $A$2:$A7308+$C$2:$C7308)), "")*24*60, "")</f>
        <v/>
      </c>
      <c r="S7309" s="24" t="str" cm="1">
        <f t="array" ref="S7309">IFERROR(IF($B7309=S$1, ($A7309+$C7309) - MAX(IF($B$2:$B7308=$B7309, $A$2:$A7308+$C$2:$C7308)), "")*24*60, "")</f>
        <v/>
      </c>
    </row>
    <row r="7310" spans="1:19" x14ac:dyDescent="0.2">
      <c r="A7310" s="12">
        <f t="shared" ref="A7310:C7310" si="1492">A7309</f>
        <v>46015</v>
      </c>
      <c r="B7310" s="5" t="str">
        <f t="shared" si="1492"/>
        <v>Northern Cardinal</v>
      </c>
      <c r="C7310" s="6">
        <f t="shared" si="1492"/>
        <v>0.74097222222222225</v>
      </c>
      <c r="D7310" s="5"/>
      <c r="E7310" s="5"/>
      <c r="F7310" s="5" t="s">
        <v>9</v>
      </c>
      <c r="G7310" s="15" t="s">
        <v>8</v>
      </c>
      <c r="H7310" s="24">
        <f t="shared" si="1407"/>
        <v>0</v>
      </c>
      <c r="I7310" s="24" cm="1">
        <f t="array" ref="I7310">IFERROR(IF($B7310=I$1, ($A7310+$C7310) - MAX(IF($B$2:$B7309=$B7310, $A$2:$A7309+$C$2:$C7309)), "")*24*60, "")</f>
        <v>0</v>
      </c>
      <c r="J7310" s="24" t="str" cm="1">
        <f t="array" ref="J7310">IFERROR(IF($B7310=J$1, ($A7310+$C7310) - MAX(IF($B$2:$B7309=$B7310, $A$2:$A7309+$C$2:$C7309)), "")*24*60, "")</f>
        <v/>
      </c>
      <c r="K7310" s="24" t="str" cm="1">
        <f t="array" ref="K7310">IFERROR(IF($B7310=K$1, ($A7310+$C7310) - MAX(IF($B$2:$B7309=$B7310, $A$2:$A7309+$C$2:$C7309)), "")*24*60, "")</f>
        <v/>
      </c>
      <c r="L7310" s="24" t="str" cm="1">
        <f t="array" ref="L7310">IFERROR(IF($B7310=L$1, ($A7310+$C7310) - MAX(IF($B$2:$B7309=$B7310, $A$2:$A7309+$C$2:$C7309)), "")*24*60, "")</f>
        <v/>
      </c>
      <c r="M7310" s="24" t="str" cm="1">
        <f t="array" ref="M7310">IFERROR(IF($B7310=M$1, ($A7310+$C7310) - MAX(IF($B$2:$B7309=$B7310, $A$2:$A7309+$C$2:$C7309)), "")*24*60, "")</f>
        <v/>
      </c>
      <c r="N7310" s="24" t="str" cm="1">
        <f t="array" ref="N7310">IFERROR(IF($B7310=N$1, ($A7310+$C7310) - MAX(IF($B$2:$B7309=$B7310, $A$2:$A7309+$C$2:$C7309)), "")*24*60, "")</f>
        <v/>
      </c>
      <c r="O7310" s="24" t="str" cm="1">
        <f t="array" ref="O7310">IFERROR(IF($B7310=O$1, ($A7310+$C7310) - MAX(IF($B$2:$B7309=$B7310, $A$2:$A7309+$C$2:$C7309)), "")*24*60, "")</f>
        <v/>
      </c>
      <c r="P7310" s="24" t="str" cm="1">
        <f t="array" ref="P7310">IFERROR(IF($B7310=P$1, ($A7310+$C7310) - MAX(IF($B$2:$B7309=$B7310, $A$2:$A7309+$C$2:$C7309)), "")*24*60, "")</f>
        <v/>
      </c>
      <c r="Q7310" s="24" t="str" cm="1">
        <f t="array" ref="Q7310">IFERROR(IF($B7310=Q$1, ($A7310+$C7310) - MAX(IF($B$2:$B7309=$B7310, $A$2:$A7309+$C$2:$C7309)), "")*24*60, "")</f>
        <v/>
      </c>
      <c r="R7310" s="24" t="str" cm="1">
        <f t="array" ref="R7310">IFERROR(IF($B7310=R$1, ($A7310+$C7310) - MAX(IF($B$2:$B7309=$B7310, $A$2:$A7309+$C$2:$C7309)), "")*24*60, "")</f>
        <v/>
      </c>
      <c r="S7310" s="24" t="str" cm="1">
        <f t="array" ref="S7310">IFERROR(IF($B7310=S$1, ($A7310+$C7310) - MAX(IF($B$2:$B7309=$B7310, $A$2:$A7309+$C$2:$C7309)), "")*24*60, "")</f>
        <v/>
      </c>
    </row>
    <row r="7311" spans="1:19" x14ac:dyDescent="0.2">
      <c r="A7311" s="12">
        <f t="shared" ref="A7311:C7311" si="1493">A7310</f>
        <v>46015</v>
      </c>
      <c r="B7311" s="5" t="str">
        <f t="shared" si="1493"/>
        <v>Northern Cardinal</v>
      </c>
      <c r="C7311" s="6">
        <f t="shared" si="1493"/>
        <v>0.74097222222222225</v>
      </c>
      <c r="D7311" s="5"/>
      <c r="E7311" s="5"/>
      <c r="F7311" s="5" t="s">
        <v>9</v>
      </c>
      <c r="G7311" s="15" t="s">
        <v>8</v>
      </c>
      <c r="H7311" s="24">
        <f t="shared" si="1407"/>
        <v>0</v>
      </c>
      <c r="I7311" s="24" cm="1">
        <f t="array" ref="I7311">IFERROR(IF($B7311=I$1, ($A7311+$C7311) - MAX(IF($B$2:$B7310=$B7311, $A$2:$A7310+$C$2:$C7310)), "")*24*60, "")</f>
        <v>0</v>
      </c>
      <c r="J7311" s="24" t="str" cm="1">
        <f t="array" ref="J7311">IFERROR(IF($B7311=J$1, ($A7311+$C7311) - MAX(IF($B$2:$B7310=$B7311, $A$2:$A7310+$C$2:$C7310)), "")*24*60, "")</f>
        <v/>
      </c>
      <c r="K7311" s="24" t="str" cm="1">
        <f t="array" ref="K7311">IFERROR(IF($B7311=K$1, ($A7311+$C7311) - MAX(IF($B$2:$B7310=$B7311, $A$2:$A7310+$C$2:$C7310)), "")*24*60, "")</f>
        <v/>
      </c>
      <c r="L7311" s="24" t="str" cm="1">
        <f t="array" ref="L7311">IFERROR(IF($B7311=L$1, ($A7311+$C7311) - MAX(IF($B$2:$B7310=$B7311, $A$2:$A7310+$C$2:$C7310)), "")*24*60, "")</f>
        <v/>
      </c>
      <c r="M7311" s="24" t="str" cm="1">
        <f t="array" ref="M7311">IFERROR(IF($B7311=M$1, ($A7311+$C7311) - MAX(IF($B$2:$B7310=$B7311, $A$2:$A7310+$C$2:$C7310)), "")*24*60, "")</f>
        <v/>
      </c>
      <c r="N7311" s="24" t="str" cm="1">
        <f t="array" ref="N7311">IFERROR(IF($B7311=N$1, ($A7311+$C7311) - MAX(IF($B$2:$B7310=$B7311, $A$2:$A7310+$C$2:$C7310)), "")*24*60, "")</f>
        <v/>
      </c>
      <c r="O7311" s="24" t="str" cm="1">
        <f t="array" ref="O7311">IFERROR(IF($B7311=O$1, ($A7311+$C7311) - MAX(IF($B$2:$B7310=$B7311, $A$2:$A7310+$C$2:$C7310)), "")*24*60, "")</f>
        <v/>
      </c>
      <c r="P7311" s="24" t="str" cm="1">
        <f t="array" ref="P7311">IFERROR(IF($B7311=P$1, ($A7311+$C7311) - MAX(IF($B$2:$B7310=$B7311, $A$2:$A7310+$C$2:$C7310)), "")*24*60, "")</f>
        <v/>
      </c>
      <c r="Q7311" s="24" t="str" cm="1">
        <f t="array" ref="Q7311">IFERROR(IF($B7311=Q$1, ($A7311+$C7311) - MAX(IF($B$2:$B7310=$B7311, $A$2:$A7310+$C$2:$C7310)), "")*24*60, "")</f>
        <v/>
      </c>
      <c r="R7311" s="24" t="str" cm="1">
        <f t="array" ref="R7311">IFERROR(IF($B7311=R$1, ($A7311+$C7311) - MAX(IF($B$2:$B7310=$B7311, $A$2:$A7310+$C$2:$C7310)), "")*24*60, "")</f>
        <v/>
      </c>
      <c r="S7311" s="24" t="str" cm="1">
        <f t="array" ref="S7311">IFERROR(IF($B7311=S$1, ($A7311+$C7311) - MAX(IF($B$2:$B7310=$B7311, $A$2:$A7310+$C$2:$C7310)), "")*24*60, "")</f>
        <v/>
      </c>
    </row>
    <row r="7312" spans="1:19" x14ac:dyDescent="0.2">
      <c r="A7312" s="12">
        <f t="shared" ref="A7312:C7312" si="1494">A7311</f>
        <v>46015</v>
      </c>
      <c r="B7312" s="5" t="str">
        <f t="shared" si="1494"/>
        <v>Northern Cardinal</v>
      </c>
      <c r="C7312" s="6">
        <f t="shared" si="1494"/>
        <v>0.74097222222222225</v>
      </c>
      <c r="D7312" s="5"/>
      <c r="E7312" s="5"/>
      <c r="F7312" s="5" t="s">
        <v>9</v>
      </c>
      <c r="G7312" s="15" t="s">
        <v>8</v>
      </c>
      <c r="H7312" s="24">
        <f t="shared" si="1407"/>
        <v>0</v>
      </c>
      <c r="I7312" s="24" cm="1">
        <f t="array" ref="I7312">IFERROR(IF($B7312=I$1, ($A7312+$C7312) - MAX(IF($B$2:$B7311=$B7312, $A$2:$A7311+$C$2:$C7311)), "")*24*60, "")</f>
        <v>0</v>
      </c>
      <c r="J7312" s="24" t="str" cm="1">
        <f t="array" ref="J7312">IFERROR(IF($B7312=J$1, ($A7312+$C7312) - MAX(IF($B$2:$B7311=$B7312, $A$2:$A7311+$C$2:$C7311)), "")*24*60, "")</f>
        <v/>
      </c>
      <c r="K7312" s="24" t="str" cm="1">
        <f t="array" ref="K7312">IFERROR(IF($B7312=K$1, ($A7312+$C7312) - MAX(IF($B$2:$B7311=$B7312, $A$2:$A7311+$C$2:$C7311)), "")*24*60, "")</f>
        <v/>
      </c>
      <c r="L7312" s="24" t="str" cm="1">
        <f t="array" ref="L7312">IFERROR(IF($B7312=L$1, ($A7312+$C7312) - MAX(IF($B$2:$B7311=$B7312, $A$2:$A7311+$C$2:$C7311)), "")*24*60, "")</f>
        <v/>
      </c>
      <c r="M7312" s="24" t="str" cm="1">
        <f t="array" ref="M7312">IFERROR(IF($B7312=M$1, ($A7312+$C7312) - MAX(IF($B$2:$B7311=$B7312, $A$2:$A7311+$C$2:$C7311)), "")*24*60, "")</f>
        <v/>
      </c>
      <c r="N7312" s="24" t="str" cm="1">
        <f t="array" ref="N7312">IFERROR(IF($B7312=N$1, ($A7312+$C7312) - MAX(IF($B$2:$B7311=$B7312, $A$2:$A7311+$C$2:$C7311)), "")*24*60, "")</f>
        <v/>
      </c>
      <c r="O7312" s="24" t="str" cm="1">
        <f t="array" ref="O7312">IFERROR(IF($B7312=O$1, ($A7312+$C7312) - MAX(IF($B$2:$B7311=$B7312, $A$2:$A7311+$C$2:$C7311)), "")*24*60, "")</f>
        <v/>
      </c>
      <c r="P7312" s="24" t="str" cm="1">
        <f t="array" ref="P7312">IFERROR(IF($B7312=P$1, ($A7312+$C7312) - MAX(IF($B$2:$B7311=$B7312, $A$2:$A7311+$C$2:$C7311)), "")*24*60, "")</f>
        <v/>
      </c>
      <c r="Q7312" s="24" t="str" cm="1">
        <f t="array" ref="Q7312">IFERROR(IF($B7312=Q$1, ($A7312+$C7312) - MAX(IF($B$2:$B7311=$B7312, $A$2:$A7311+$C$2:$C7311)), "")*24*60, "")</f>
        <v/>
      </c>
      <c r="R7312" s="24" t="str" cm="1">
        <f t="array" ref="R7312">IFERROR(IF($B7312=R$1, ($A7312+$C7312) - MAX(IF($B$2:$B7311=$B7312, $A$2:$A7311+$C$2:$C7311)), "")*24*60, "")</f>
        <v/>
      </c>
      <c r="S7312" s="24" t="str" cm="1">
        <f t="array" ref="S7312">IFERROR(IF($B7312=S$1, ($A7312+$C7312) - MAX(IF($B$2:$B7311=$B7312, $A$2:$A7311+$C$2:$C7311)), "")*24*60, "")</f>
        <v/>
      </c>
    </row>
    <row r="7313" spans="1:19" x14ac:dyDescent="0.2">
      <c r="A7313" s="12">
        <f t="shared" ref="A7313:C7313" si="1495">A7312</f>
        <v>46015</v>
      </c>
      <c r="B7313" s="5" t="str">
        <f t="shared" si="1495"/>
        <v>Northern Cardinal</v>
      </c>
      <c r="C7313" s="6">
        <f t="shared" si="1495"/>
        <v>0.74097222222222225</v>
      </c>
      <c r="D7313" s="5"/>
      <c r="E7313" s="5"/>
      <c r="F7313" s="5" t="s">
        <v>9</v>
      </c>
      <c r="G7313" s="15" t="s">
        <v>8</v>
      </c>
      <c r="H7313" s="24">
        <f t="shared" si="1407"/>
        <v>0</v>
      </c>
      <c r="I7313" s="24" cm="1">
        <f t="array" ref="I7313">IFERROR(IF($B7313=I$1, ($A7313+$C7313) - MAX(IF($B$2:$B7312=$B7313, $A$2:$A7312+$C$2:$C7312)), "")*24*60, "")</f>
        <v>0</v>
      </c>
      <c r="J7313" s="24" t="str" cm="1">
        <f t="array" ref="J7313">IFERROR(IF($B7313=J$1, ($A7313+$C7313) - MAX(IF($B$2:$B7312=$B7313, $A$2:$A7312+$C$2:$C7312)), "")*24*60, "")</f>
        <v/>
      </c>
      <c r="K7313" s="24" t="str" cm="1">
        <f t="array" ref="K7313">IFERROR(IF($B7313=K$1, ($A7313+$C7313) - MAX(IF($B$2:$B7312=$B7313, $A$2:$A7312+$C$2:$C7312)), "")*24*60, "")</f>
        <v/>
      </c>
      <c r="L7313" s="24" t="str" cm="1">
        <f t="array" ref="L7313">IFERROR(IF($B7313=L$1, ($A7313+$C7313) - MAX(IF($B$2:$B7312=$B7313, $A$2:$A7312+$C$2:$C7312)), "")*24*60, "")</f>
        <v/>
      </c>
      <c r="M7313" s="24" t="str" cm="1">
        <f t="array" ref="M7313">IFERROR(IF($B7313=M$1, ($A7313+$C7313) - MAX(IF($B$2:$B7312=$B7313, $A$2:$A7312+$C$2:$C7312)), "")*24*60, "")</f>
        <v/>
      </c>
      <c r="N7313" s="24" t="str" cm="1">
        <f t="array" ref="N7313">IFERROR(IF($B7313=N$1, ($A7313+$C7313) - MAX(IF($B$2:$B7312=$B7313, $A$2:$A7312+$C$2:$C7312)), "")*24*60, "")</f>
        <v/>
      </c>
      <c r="O7313" s="24" t="str" cm="1">
        <f t="array" ref="O7313">IFERROR(IF($B7313=O$1, ($A7313+$C7313) - MAX(IF($B$2:$B7312=$B7313, $A$2:$A7312+$C$2:$C7312)), "")*24*60, "")</f>
        <v/>
      </c>
      <c r="P7313" s="24" t="str" cm="1">
        <f t="array" ref="P7313">IFERROR(IF($B7313=P$1, ($A7313+$C7313) - MAX(IF($B$2:$B7312=$B7313, $A$2:$A7312+$C$2:$C7312)), "")*24*60, "")</f>
        <v/>
      </c>
      <c r="Q7313" s="24" t="str" cm="1">
        <f t="array" ref="Q7313">IFERROR(IF($B7313=Q$1, ($A7313+$C7313) - MAX(IF($B$2:$B7312=$B7313, $A$2:$A7312+$C$2:$C7312)), "")*24*60, "")</f>
        <v/>
      </c>
      <c r="R7313" s="24" t="str" cm="1">
        <f t="array" ref="R7313">IFERROR(IF($B7313=R$1, ($A7313+$C7313) - MAX(IF($B$2:$B7312=$B7313, $A$2:$A7312+$C$2:$C7312)), "")*24*60, "")</f>
        <v/>
      </c>
      <c r="S7313" s="24" t="str" cm="1">
        <f t="array" ref="S7313">IFERROR(IF($B7313=S$1, ($A7313+$C7313) - MAX(IF($B$2:$B7312=$B7313, $A$2:$A7312+$C$2:$C7312)), "")*24*60, "")</f>
        <v/>
      </c>
    </row>
    <row r="7314" spans="1:19" x14ac:dyDescent="0.2">
      <c r="A7314" s="12">
        <f t="shared" ref="A7314:C7314" si="1496">A7313</f>
        <v>46015</v>
      </c>
      <c r="B7314" s="5" t="str">
        <f t="shared" si="1496"/>
        <v>Northern Cardinal</v>
      </c>
      <c r="C7314" s="6">
        <f t="shared" si="1496"/>
        <v>0.74097222222222225</v>
      </c>
      <c r="D7314" s="5"/>
      <c r="E7314" s="5"/>
      <c r="F7314" s="5" t="s">
        <v>9</v>
      </c>
      <c r="G7314" s="15" t="s">
        <v>8</v>
      </c>
      <c r="H7314" s="24">
        <f t="shared" si="1407"/>
        <v>0</v>
      </c>
      <c r="I7314" s="24" cm="1">
        <f t="array" ref="I7314">IFERROR(IF($B7314=I$1, ($A7314+$C7314) - MAX(IF($B$2:$B7313=$B7314, $A$2:$A7313+$C$2:$C7313)), "")*24*60, "")</f>
        <v>0</v>
      </c>
      <c r="J7314" s="24" t="str" cm="1">
        <f t="array" ref="J7314">IFERROR(IF($B7314=J$1, ($A7314+$C7314) - MAX(IF($B$2:$B7313=$B7314, $A$2:$A7313+$C$2:$C7313)), "")*24*60, "")</f>
        <v/>
      </c>
      <c r="K7314" s="24" t="str" cm="1">
        <f t="array" ref="K7314">IFERROR(IF($B7314=K$1, ($A7314+$C7314) - MAX(IF($B$2:$B7313=$B7314, $A$2:$A7313+$C$2:$C7313)), "")*24*60, "")</f>
        <v/>
      </c>
      <c r="L7314" s="24" t="str" cm="1">
        <f t="array" ref="L7314">IFERROR(IF($B7314=L$1, ($A7314+$C7314) - MAX(IF($B$2:$B7313=$B7314, $A$2:$A7313+$C$2:$C7313)), "")*24*60, "")</f>
        <v/>
      </c>
      <c r="M7314" s="24" t="str" cm="1">
        <f t="array" ref="M7314">IFERROR(IF($B7314=M$1, ($A7314+$C7314) - MAX(IF($B$2:$B7313=$B7314, $A$2:$A7313+$C$2:$C7313)), "")*24*60, "")</f>
        <v/>
      </c>
      <c r="N7314" s="24" t="str" cm="1">
        <f t="array" ref="N7314">IFERROR(IF($B7314=N$1, ($A7314+$C7314) - MAX(IF($B$2:$B7313=$B7314, $A$2:$A7313+$C$2:$C7313)), "")*24*60, "")</f>
        <v/>
      </c>
      <c r="O7314" s="24" t="str" cm="1">
        <f t="array" ref="O7314">IFERROR(IF($B7314=O$1, ($A7314+$C7314) - MAX(IF($B$2:$B7313=$B7314, $A$2:$A7313+$C$2:$C7313)), "")*24*60, "")</f>
        <v/>
      </c>
      <c r="P7314" s="24" t="str" cm="1">
        <f t="array" ref="P7314">IFERROR(IF($B7314=P$1, ($A7314+$C7314) - MAX(IF($B$2:$B7313=$B7314, $A$2:$A7313+$C$2:$C7313)), "")*24*60, "")</f>
        <v/>
      </c>
      <c r="Q7314" s="24" t="str" cm="1">
        <f t="array" ref="Q7314">IFERROR(IF($B7314=Q$1, ($A7314+$C7314) - MAX(IF($B$2:$B7313=$B7314, $A$2:$A7313+$C$2:$C7313)), "")*24*60, "")</f>
        <v/>
      </c>
      <c r="R7314" s="24" t="str" cm="1">
        <f t="array" ref="R7314">IFERROR(IF($B7314=R$1, ($A7314+$C7314) - MAX(IF($B$2:$B7313=$B7314, $A$2:$A7313+$C$2:$C7313)), "")*24*60, "")</f>
        <v/>
      </c>
      <c r="S7314" s="24" t="str" cm="1">
        <f t="array" ref="S7314">IFERROR(IF($B7314=S$1, ($A7314+$C7314) - MAX(IF($B$2:$B7313=$B7314, $A$2:$A7313+$C$2:$C7313)), "")*24*60, "")</f>
        <v/>
      </c>
    </row>
    <row r="7315" spans="1:19" x14ac:dyDescent="0.2">
      <c r="A7315" s="12">
        <f t="shared" ref="A7315:C7315" si="1497">A7314</f>
        <v>46015</v>
      </c>
      <c r="B7315" s="5" t="str">
        <f t="shared" si="1497"/>
        <v>Northern Cardinal</v>
      </c>
      <c r="C7315" s="6">
        <f t="shared" si="1497"/>
        <v>0.74097222222222225</v>
      </c>
      <c r="D7315" s="5"/>
      <c r="E7315" s="5"/>
      <c r="F7315" s="5" t="s">
        <v>9</v>
      </c>
      <c r="G7315" s="15" t="s">
        <v>8</v>
      </c>
      <c r="H7315" s="24">
        <f t="shared" si="1407"/>
        <v>0</v>
      </c>
      <c r="I7315" s="24" cm="1">
        <f t="array" ref="I7315">IFERROR(IF($B7315=I$1, ($A7315+$C7315) - MAX(IF($B$2:$B7314=$B7315, $A$2:$A7314+$C$2:$C7314)), "")*24*60, "")</f>
        <v>0</v>
      </c>
      <c r="J7315" s="24" t="str" cm="1">
        <f t="array" ref="J7315">IFERROR(IF($B7315=J$1, ($A7315+$C7315) - MAX(IF($B$2:$B7314=$B7315, $A$2:$A7314+$C$2:$C7314)), "")*24*60, "")</f>
        <v/>
      </c>
      <c r="K7315" s="24" t="str" cm="1">
        <f t="array" ref="K7315">IFERROR(IF($B7315=K$1, ($A7315+$C7315) - MAX(IF($B$2:$B7314=$B7315, $A$2:$A7314+$C$2:$C7314)), "")*24*60, "")</f>
        <v/>
      </c>
      <c r="L7315" s="24" t="str" cm="1">
        <f t="array" ref="L7315">IFERROR(IF($B7315=L$1, ($A7315+$C7315) - MAX(IF($B$2:$B7314=$B7315, $A$2:$A7314+$C$2:$C7314)), "")*24*60, "")</f>
        <v/>
      </c>
      <c r="M7315" s="24" t="str" cm="1">
        <f t="array" ref="M7315">IFERROR(IF($B7315=M$1, ($A7315+$C7315) - MAX(IF($B$2:$B7314=$B7315, $A$2:$A7314+$C$2:$C7314)), "")*24*60, "")</f>
        <v/>
      </c>
      <c r="N7315" s="24" t="str" cm="1">
        <f t="array" ref="N7315">IFERROR(IF($B7315=N$1, ($A7315+$C7315) - MAX(IF($B$2:$B7314=$B7315, $A$2:$A7314+$C$2:$C7314)), "")*24*60, "")</f>
        <v/>
      </c>
      <c r="O7315" s="24" t="str" cm="1">
        <f t="array" ref="O7315">IFERROR(IF($B7315=O$1, ($A7315+$C7315) - MAX(IF($B$2:$B7314=$B7315, $A$2:$A7314+$C$2:$C7314)), "")*24*60, "")</f>
        <v/>
      </c>
      <c r="P7315" s="24" t="str" cm="1">
        <f t="array" ref="P7315">IFERROR(IF($B7315=P$1, ($A7315+$C7315) - MAX(IF($B$2:$B7314=$B7315, $A$2:$A7314+$C$2:$C7314)), "")*24*60, "")</f>
        <v/>
      </c>
      <c r="Q7315" s="24" t="str" cm="1">
        <f t="array" ref="Q7315">IFERROR(IF($B7315=Q$1, ($A7315+$C7315) - MAX(IF($B$2:$B7314=$B7315, $A$2:$A7314+$C$2:$C7314)), "")*24*60, "")</f>
        <v/>
      </c>
      <c r="R7315" s="24" t="str" cm="1">
        <f t="array" ref="R7315">IFERROR(IF($B7315=R$1, ($A7315+$C7315) - MAX(IF($B$2:$B7314=$B7315, $A$2:$A7314+$C$2:$C7314)), "")*24*60, "")</f>
        <v/>
      </c>
      <c r="S7315" s="24" t="str" cm="1">
        <f t="array" ref="S7315">IFERROR(IF($B7315=S$1, ($A7315+$C7315) - MAX(IF($B$2:$B7314=$B7315, $A$2:$A7314+$C$2:$C7314)), "")*24*60, "")</f>
        <v/>
      </c>
    </row>
    <row r="7316" spans="1:19" x14ac:dyDescent="0.2">
      <c r="A7316" s="12">
        <f t="shared" ref="A7316:C7316" si="1498">A7315</f>
        <v>46015</v>
      </c>
      <c r="B7316" s="5" t="str">
        <f t="shared" si="1498"/>
        <v>Northern Cardinal</v>
      </c>
      <c r="C7316" s="6">
        <f t="shared" si="1498"/>
        <v>0.74097222222222225</v>
      </c>
      <c r="D7316" s="5"/>
      <c r="E7316" s="5"/>
      <c r="F7316" s="5" t="s">
        <v>9</v>
      </c>
      <c r="G7316" s="15" t="s">
        <v>8</v>
      </c>
      <c r="H7316" s="24">
        <f t="shared" si="1407"/>
        <v>0</v>
      </c>
      <c r="I7316" s="24" cm="1">
        <f t="array" ref="I7316">IFERROR(IF($B7316=I$1, ($A7316+$C7316) - MAX(IF($B$2:$B7315=$B7316, $A$2:$A7315+$C$2:$C7315)), "")*24*60, "")</f>
        <v>0</v>
      </c>
      <c r="J7316" s="24" t="str" cm="1">
        <f t="array" ref="J7316">IFERROR(IF($B7316=J$1, ($A7316+$C7316) - MAX(IF($B$2:$B7315=$B7316, $A$2:$A7315+$C$2:$C7315)), "")*24*60, "")</f>
        <v/>
      </c>
      <c r="K7316" s="24" t="str" cm="1">
        <f t="array" ref="K7316">IFERROR(IF($B7316=K$1, ($A7316+$C7316) - MAX(IF($B$2:$B7315=$B7316, $A$2:$A7315+$C$2:$C7315)), "")*24*60, "")</f>
        <v/>
      </c>
      <c r="L7316" s="24" t="str" cm="1">
        <f t="array" ref="L7316">IFERROR(IF($B7316=L$1, ($A7316+$C7316) - MAX(IF($B$2:$B7315=$B7316, $A$2:$A7315+$C$2:$C7315)), "")*24*60, "")</f>
        <v/>
      </c>
      <c r="M7316" s="24" t="str" cm="1">
        <f t="array" ref="M7316">IFERROR(IF($B7316=M$1, ($A7316+$C7316) - MAX(IF($B$2:$B7315=$B7316, $A$2:$A7315+$C$2:$C7315)), "")*24*60, "")</f>
        <v/>
      </c>
      <c r="N7316" s="24" t="str" cm="1">
        <f t="array" ref="N7316">IFERROR(IF($B7316=N$1, ($A7316+$C7316) - MAX(IF($B$2:$B7315=$B7316, $A$2:$A7315+$C$2:$C7315)), "")*24*60, "")</f>
        <v/>
      </c>
      <c r="O7316" s="24" t="str" cm="1">
        <f t="array" ref="O7316">IFERROR(IF($B7316=O$1, ($A7316+$C7316) - MAX(IF($B$2:$B7315=$B7316, $A$2:$A7315+$C$2:$C7315)), "")*24*60, "")</f>
        <v/>
      </c>
      <c r="P7316" s="24" t="str" cm="1">
        <f t="array" ref="P7316">IFERROR(IF($B7316=P$1, ($A7316+$C7316) - MAX(IF($B$2:$B7315=$B7316, $A$2:$A7315+$C$2:$C7315)), "")*24*60, "")</f>
        <v/>
      </c>
      <c r="Q7316" s="24" t="str" cm="1">
        <f t="array" ref="Q7316">IFERROR(IF($B7316=Q$1, ($A7316+$C7316) - MAX(IF($B$2:$B7315=$B7316, $A$2:$A7315+$C$2:$C7315)), "")*24*60, "")</f>
        <v/>
      </c>
      <c r="R7316" s="24" t="str" cm="1">
        <f t="array" ref="R7316">IFERROR(IF($B7316=R$1, ($A7316+$C7316) - MAX(IF($B$2:$B7315=$B7316, $A$2:$A7315+$C$2:$C7315)), "")*24*60, "")</f>
        <v/>
      </c>
      <c r="S7316" s="24" t="str" cm="1">
        <f t="array" ref="S7316">IFERROR(IF($B7316=S$1, ($A7316+$C7316) - MAX(IF($B$2:$B7315=$B7316, $A$2:$A7315+$C$2:$C7315)), "")*24*60, "")</f>
        <v/>
      </c>
    </row>
    <row r="7317" spans="1:19" x14ac:dyDescent="0.2">
      <c r="A7317" s="12">
        <f t="shared" ref="A7317:C7317" si="1499">A7316</f>
        <v>46015</v>
      </c>
      <c r="B7317" s="5" t="str">
        <f t="shared" si="1499"/>
        <v>Northern Cardinal</v>
      </c>
      <c r="C7317" s="6">
        <f t="shared" si="1499"/>
        <v>0.74097222222222225</v>
      </c>
      <c r="D7317" s="5"/>
      <c r="E7317" s="5"/>
      <c r="F7317" s="5" t="s">
        <v>9</v>
      </c>
      <c r="G7317" s="15" t="s">
        <v>8</v>
      </c>
      <c r="H7317" s="24">
        <f t="shared" si="1407"/>
        <v>0</v>
      </c>
      <c r="I7317" s="24" cm="1">
        <f t="array" ref="I7317">IFERROR(IF($B7317=I$1, ($A7317+$C7317) - MAX(IF($B$2:$B7316=$B7317, $A$2:$A7316+$C$2:$C7316)), "")*24*60, "")</f>
        <v>0</v>
      </c>
      <c r="J7317" s="24" t="str" cm="1">
        <f t="array" ref="J7317">IFERROR(IF($B7317=J$1, ($A7317+$C7317) - MAX(IF($B$2:$B7316=$B7317, $A$2:$A7316+$C$2:$C7316)), "")*24*60, "")</f>
        <v/>
      </c>
      <c r="K7317" s="24" t="str" cm="1">
        <f t="array" ref="K7317">IFERROR(IF($B7317=K$1, ($A7317+$C7317) - MAX(IF($B$2:$B7316=$B7317, $A$2:$A7316+$C$2:$C7316)), "")*24*60, "")</f>
        <v/>
      </c>
      <c r="L7317" s="24" t="str" cm="1">
        <f t="array" ref="L7317">IFERROR(IF($B7317=L$1, ($A7317+$C7317) - MAX(IF($B$2:$B7316=$B7317, $A$2:$A7316+$C$2:$C7316)), "")*24*60, "")</f>
        <v/>
      </c>
      <c r="M7317" s="24" t="str" cm="1">
        <f t="array" ref="M7317">IFERROR(IF($B7317=M$1, ($A7317+$C7317) - MAX(IF($B$2:$B7316=$B7317, $A$2:$A7316+$C$2:$C7316)), "")*24*60, "")</f>
        <v/>
      </c>
      <c r="N7317" s="24" t="str" cm="1">
        <f t="array" ref="N7317">IFERROR(IF($B7317=N$1, ($A7317+$C7317) - MAX(IF($B$2:$B7316=$B7317, $A$2:$A7316+$C$2:$C7316)), "")*24*60, "")</f>
        <v/>
      </c>
      <c r="O7317" s="24" t="str" cm="1">
        <f t="array" ref="O7317">IFERROR(IF($B7317=O$1, ($A7317+$C7317) - MAX(IF($B$2:$B7316=$B7317, $A$2:$A7316+$C$2:$C7316)), "")*24*60, "")</f>
        <v/>
      </c>
      <c r="P7317" s="24" t="str" cm="1">
        <f t="array" ref="P7317">IFERROR(IF($B7317=P$1, ($A7317+$C7317) - MAX(IF($B$2:$B7316=$B7317, $A$2:$A7316+$C$2:$C7316)), "")*24*60, "")</f>
        <v/>
      </c>
      <c r="Q7317" s="24" t="str" cm="1">
        <f t="array" ref="Q7317">IFERROR(IF($B7317=Q$1, ($A7317+$C7317) - MAX(IF($B$2:$B7316=$B7317, $A$2:$A7316+$C$2:$C7316)), "")*24*60, "")</f>
        <v/>
      </c>
      <c r="R7317" s="24" t="str" cm="1">
        <f t="array" ref="R7317">IFERROR(IF($B7317=R$1, ($A7317+$C7317) - MAX(IF($B$2:$B7316=$B7317, $A$2:$A7316+$C$2:$C7316)), "")*24*60, "")</f>
        <v/>
      </c>
      <c r="S7317" s="24" t="str" cm="1">
        <f t="array" ref="S7317">IFERROR(IF($B7317=S$1, ($A7317+$C7317) - MAX(IF($B$2:$B7316=$B7317, $A$2:$A7316+$C$2:$C7316)), "")*24*60, "")</f>
        <v/>
      </c>
    </row>
    <row r="7318" spans="1:19" x14ac:dyDescent="0.2">
      <c r="A7318" s="12">
        <f t="shared" ref="A7318:C7318" si="1500">A7317</f>
        <v>46015</v>
      </c>
      <c r="B7318" s="5" t="str">
        <f t="shared" si="1500"/>
        <v>Northern Cardinal</v>
      </c>
      <c r="C7318" s="6">
        <f t="shared" si="1500"/>
        <v>0.74097222222222225</v>
      </c>
      <c r="D7318" s="5"/>
      <c r="E7318" s="5"/>
      <c r="F7318" s="5" t="s">
        <v>9</v>
      </c>
      <c r="G7318" s="15" t="s">
        <v>8</v>
      </c>
      <c r="H7318" s="24">
        <f t="shared" si="1407"/>
        <v>0</v>
      </c>
      <c r="I7318" s="24" cm="1">
        <f t="array" ref="I7318">IFERROR(IF($B7318=I$1, ($A7318+$C7318) - MAX(IF($B$2:$B7317=$B7318, $A$2:$A7317+$C$2:$C7317)), "")*24*60, "")</f>
        <v>0</v>
      </c>
      <c r="J7318" s="24" t="str" cm="1">
        <f t="array" ref="J7318">IFERROR(IF($B7318=J$1, ($A7318+$C7318) - MAX(IF($B$2:$B7317=$B7318, $A$2:$A7317+$C$2:$C7317)), "")*24*60, "")</f>
        <v/>
      </c>
      <c r="K7318" s="24" t="str" cm="1">
        <f t="array" ref="K7318">IFERROR(IF($B7318=K$1, ($A7318+$C7318) - MAX(IF($B$2:$B7317=$B7318, $A$2:$A7317+$C$2:$C7317)), "")*24*60, "")</f>
        <v/>
      </c>
      <c r="L7318" s="24" t="str" cm="1">
        <f t="array" ref="L7318">IFERROR(IF($B7318=L$1, ($A7318+$C7318) - MAX(IF($B$2:$B7317=$B7318, $A$2:$A7317+$C$2:$C7317)), "")*24*60, "")</f>
        <v/>
      </c>
      <c r="M7318" s="24" t="str" cm="1">
        <f t="array" ref="M7318">IFERROR(IF($B7318=M$1, ($A7318+$C7318) - MAX(IF($B$2:$B7317=$B7318, $A$2:$A7317+$C$2:$C7317)), "")*24*60, "")</f>
        <v/>
      </c>
      <c r="N7318" s="24" t="str" cm="1">
        <f t="array" ref="N7318">IFERROR(IF($B7318=N$1, ($A7318+$C7318) - MAX(IF($B$2:$B7317=$B7318, $A$2:$A7317+$C$2:$C7317)), "")*24*60, "")</f>
        <v/>
      </c>
      <c r="O7318" s="24" t="str" cm="1">
        <f t="array" ref="O7318">IFERROR(IF($B7318=O$1, ($A7318+$C7318) - MAX(IF($B$2:$B7317=$B7318, $A$2:$A7317+$C$2:$C7317)), "")*24*60, "")</f>
        <v/>
      </c>
      <c r="P7318" s="24" t="str" cm="1">
        <f t="array" ref="P7318">IFERROR(IF($B7318=P$1, ($A7318+$C7318) - MAX(IF($B$2:$B7317=$B7318, $A$2:$A7317+$C$2:$C7317)), "")*24*60, "")</f>
        <v/>
      </c>
      <c r="Q7318" s="24" t="str" cm="1">
        <f t="array" ref="Q7318">IFERROR(IF($B7318=Q$1, ($A7318+$C7318) - MAX(IF($B$2:$B7317=$B7318, $A$2:$A7317+$C$2:$C7317)), "")*24*60, "")</f>
        <v/>
      </c>
      <c r="R7318" s="24" t="str" cm="1">
        <f t="array" ref="R7318">IFERROR(IF($B7318=R$1, ($A7318+$C7318) - MAX(IF($B$2:$B7317=$B7318, $A$2:$A7317+$C$2:$C7317)), "")*24*60, "")</f>
        <v/>
      </c>
      <c r="S7318" s="24" t="str" cm="1">
        <f t="array" ref="S7318">IFERROR(IF($B7318=S$1, ($A7318+$C7318) - MAX(IF($B$2:$B7317=$B7318, $A$2:$A7317+$C$2:$C7317)), "")*24*60, "")</f>
        <v/>
      </c>
    </row>
    <row r="7319" spans="1:19" x14ac:dyDescent="0.2">
      <c r="A7319" s="12">
        <f t="shared" ref="A7319:C7319" si="1501">A7318</f>
        <v>46015</v>
      </c>
      <c r="B7319" s="5" t="str">
        <f t="shared" si="1501"/>
        <v>Northern Cardinal</v>
      </c>
      <c r="C7319" s="6">
        <f t="shared" si="1501"/>
        <v>0.74097222222222225</v>
      </c>
      <c r="D7319" s="5"/>
      <c r="E7319" s="5"/>
      <c r="F7319" s="5" t="s">
        <v>9</v>
      </c>
      <c r="G7319" s="15" t="s">
        <v>8</v>
      </c>
      <c r="H7319" s="24">
        <f t="shared" si="1407"/>
        <v>0</v>
      </c>
      <c r="I7319" s="24" cm="1">
        <f t="array" ref="I7319">IFERROR(IF($B7319=I$1, ($A7319+$C7319) - MAX(IF($B$2:$B7318=$B7319, $A$2:$A7318+$C$2:$C7318)), "")*24*60, "")</f>
        <v>0</v>
      </c>
      <c r="J7319" s="24" t="str" cm="1">
        <f t="array" ref="J7319">IFERROR(IF($B7319=J$1, ($A7319+$C7319) - MAX(IF($B$2:$B7318=$B7319, $A$2:$A7318+$C$2:$C7318)), "")*24*60, "")</f>
        <v/>
      </c>
      <c r="K7319" s="24" t="str" cm="1">
        <f t="array" ref="K7319">IFERROR(IF($B7319=K$1, ($A7319+$C7319) - MAX(IF($B$2:$B7318=$B7319, $A$2:$A7318+$C$2:$C7318)), "")*24*60, "")</f>
        <v/>
      </c>
      <c r="L7319" s="24" t="str" cm="1">
        <f t="array" ref="L7319">IFERROR(IF($B7319=L$1, ($A7319+$C7319) - MAX(IF($B$2:$B7318=$B7319, $A$2:$A7318+$C$2:$C7318)), "")*24*60, "")</f>
        <v/>
      </c>
      <c r="M7319" s="24" t="str" cm="1">
        <f t="array" ref="M7319">IFERROR(IF($B7319=M$1, ($A7319+$C7319) - MAX(IF($B$2:$B7318=$B7319, $A$2:$A7318+$C$2:$C7318)), "")*24*60, "")</f>
        <v/>
      </c>
      <c r="N7319" s="24" t="str" cm="1">
        <f t="array" ref="N7319">IFERROR(IF($B7319=N$1, ($A7319+$C7319) - MAX(IF($B$2:$B7318=$B7319, $A$2:$A7318+$C$2:$C7318)), "")*24*60, "")</f>
        <v/>
      </c>
      <c r="O7319" s="24" t="str" cm="1">
        <f t="array" ref="O7319">IFERROR(IF($B7319=O$1, ($A7319+$C7319) - MAX(IF($B$2:$B7318=$B7319, $A$2:$A7318+$C$2:$C7318)), "")*24*60, "")</f>
        <v/>
      </c>
      <c r="P7319" s="24" t="str" cm="1">
        <f t="array" ref="P7319">IFERROR(IF($B7319=P$1, ($A7319+$C7319) - MAX(IF($B$2:$B7318=$B7319, $A$2:$A7318+$C$2:$C7318)), "")*24*60, "")</f>
        <v/>
      </c>
      <c r="Q7319" s="24" t="str" cm="1">
        <f t="array" ref="Q7319">IFERROR(IF($B7319=Q$1, ($A7319+$C7319) - MAX(IF($B$2:$B7318=$B7319, $A$2:$A7318+$C$2:$C7318)), "")*24*60, "")</f>
        <v/>
      </c>
      <c r="R7319" s="24" t="str" cm="1">
        <f t="array" ref="R7319">IFERROR(IF($B7319=R$1, ($A7319+$C7319) - MAX(IF($B$2:$B7318=$B7319, $A$2:$A7318+$C$2:$C7318)), "")*24*60, "")</f>
        <v/>
      </c>
      <c r="S7319" s="24" t="str" cm="1">
        <f t="array" ref="S7319">IFERROR(IF($B7319=S$1, ($A7319+$C7319) - MAX(IF($B$2:$B7318=$B7319, $A$2:$A7318+$C$2:$C7318)), "")*24*60, "")</f>
        <v/>
      </c>
    </row>
    <row r="7320" spans="1:19" x14ac:dyDescent="0.2">
      <c r="A7320" s="12">
        <f t="shared" ref="A7320:C7320" si="1502">A7319</f>
        <v>46015</v>
      </c>
      <c r="B7320" s="5" t="str">
        <f t="shared" si="1502"/>
        <v>Northern Cardinal</v>
      </c>
      <c r="C7320" s="6">
        <f t="shared" si="1502"/>
        <v>0.74097222222222225</v>
      </c>
      <c r="D7320" s="5"/>
      <c r="E7320" s="5"/>
      <c r="F7320" s="5" t="s">
        <v>9</v>
      </c>
      <c r="G7320" s="15" t="s">
        <v>8</v>
      </c>
      <c r="H7320" s="24">
        <f t="shared" si="1407"/>
        <v>0</v>
      </c>
      <c r="I7320" s="24" cm="1">
        <f t="array" ref="I7320">IFERROR(IF($B7320=I$1, ($A7320+$C7320) - MAX(IF($B$2:$B7319=$B7320, $A$2:$A7319+$C$2:$C7319)), "")*24*60, "")</f>
        <v>0</v>
      </c>
      <c r="J7320" s="24" t="str" cm="1">
        <f t="array" ref="J7320">IFERROR(IF($B7320=J$1, ($A7320+$C7320) - MAX(IF($B$2:$B7319=$B7320, $A$2:$A7319+$C$2:$C7319)), "")*24*60, "")</f>
        <v/>
      </c>
      <c r="K7320" s="24" t="str" cm="1">
        <f t="array" ref="K7320">IFERROR(IF($B7320=K$1, ($A7320+$C7320) - MAX(IF($B$2:$B7319=$B7320, $A$2:$A7319+$C$2:$C7319)), "")*24*60, "")</f>
        <v/>
      </c>
      <c r="L7320" s="24" t="str" cm="1">
        <f t="array" ref="L7320">IFERROR(IF($B7320=L$1, ($A7320+$C7320) - MAX(IF($B$2:$B7319=$B7320, $A$2:$A7319+$C$2:$C7319)), "")*24*60, "")</f>
        <v/>
      </c>
      <c r="M7320" s="24" t="str" cm="1">
        <f t="array" ref="M7320">IFERROR(IF($B7320=M$1, ($A7320+$C7320) - MAX(IF($B$2:$B7319=$B7320, $A$2:$A7319+$C$2:$C7319)), "")*24*60, "")</f>
        <v/>
      </c>
      <c r="N7320" s="24" t="str" cm="1">
        <f t="array" ref="N7320">IFERROR(IF($B7320=N$1, ($A7320+$C7320) - MAX(IF($B$2:$B7319=$B7320, $A$2:$A7319+$C$2:$C7319)), "")*24*60, "")</f>
        <v/>
      </c>
      <c r="O7320" s="24" t="str" cm="1">
        <f t="array" ref="O7320">IFERROR(IF($B7320=O$1, ($A7320+$C7320) - MAX(IF($B$2:$B7319=$B7320, $A$2:$A7319+$C$2:$C7319)), "")*24*60, "")</f>
        <v/>
      </c>
      <c r="P7320" s="24" t="str" cm="1">
        <f t="array" ref="P7320">IFERROR(IF($B7320=P$1, ($A7320+$C7320) - MAX(IF($B$2:$B7319=$B7320, $A$2:$A7319+$C$2:$C7319)), "")*24*60, "")</f>
        <v/>
      </c>
      <c r="Q7320" s="24" t="str" cm="1">
        <f t="array" ref="Q7320">IFERROR(IF($B7320=Q$1, ($A7320+$C7320) - MAX(IF($B$2:$B7319=$B7320, $A$2:$A7319+$C$2:$C7319)), "")*24*60, "")</f>
        <v/>
      </c>
      <c r="R7320" s="24" t="str" cm="1">
        <f t="array" ref="R7320">IFERROR(IF($B7320=R$1, ($A7320+$C7320) - MAX(IF($B$2:$B7319=$B7320, $A$2:$A7319+$C$2:$C7319)), "")*24*60, "")</f>
        <v/>
      </c>
      <c r="S7320" s="24" t="str" cm="1">
        <f t="array" ref="S7320">IFERROR(IF($B7320=S$1, ($A7320+$C7320) - MAX(IF($B$2:$B7319=$B7320, $A$2:$A7319+$C$2:$C7319)), "")*24*60, "")</f>
        <v/>
      </c>
    </row>
    <row r="7321" spans="1:19" x14ac:dyDescent="0.2">
      <c r="A7321" s="12">
        <f t="shared" ref="A7321:C7321" si="1503">A7320</f>
        <v>46015</v>
      </c>
      <c r="B7321" s="5" t="str">
        <f t="shared" si="1503"/>
        <v>Northern Cardinal</v>
      </c>
      <c r="C7321" s="6">
        <f t="shared" si="1503"/>
        <v>0.74097222222222225</v>
      </c>
      <c r="D7321" s="5"/>
      <c r="E7321" s="5"/>
      <c r="F7321" s="5" t="s">
        <v>9</v>
      </c>
      <c r="G7321" s="15" t="s">
        <v>8</v>
      </c>
      <c r="H7321" s="24">
        <f t="shared" si="1407"/>
        <v>0</v>
      </c>
      <c r="I7321" s="24" cm="1">
        <f t="array" ref="I7321">IFERROR(IF($B7321=I$1, ($A7321+$C7321) - MAX(IF($B$2:$B7320=$B7321, $A$2:$A7320+$C$2:$C7320)), "")*24*60, "")</f>
        <v>0</v>
      </c>
      <c r="J7321" s="24" t="str" cm="1">
        <f t="array" ref="J7321">IFERROR(IF($B7321=J$1, ($A7321+$C7321) - MAX(IF($B$2:$B7320=$B7321, $A$2:$A7320+$C$2:$C7320)), "")*24*60, "")</f>
        <v/>
      </c>
      <c r="K7321" s="24" t="str" cm="1">
        <f t="array" ref="K7321">IFERROR(IF($B7321=K$1, ($A7321+$C7321) - MAX(IF($B$2:$B7320=$B7321, $A$2:$A7320+$C$2:$C7320)), "")*24*60, "")</f>
        <v/>
      </c>
      <c r="L7321" s="24" t="str" cm="1">
        <f t="array" ref="L7321">IFERROR(IF($B7321=L$1, ($A7321+$C7321) - MAX(IF($B$2:$B7320=$B7321, $A$2:$A7320+$C$2:$C7320)), "")*24*60, "")</f>
        <v/>
      </c>
      <c r="M7321" s="24" t="str" cm="1">
        <f t="array" ref="M7321">IFERROR(IF($B7321=M$1, ($A7321+$C7321) - MAX(IF($B$2:$B7320=$B7321, $A$2:$A7320+$C$2:$C7320)), "")*24*60, "")</f>
        <v/>
      </c>
      <c r="N7321" s="24" t="str" cm="1">
        <f t="array" ref="N7321">IFERROR(IF($B7321=N$1, ($A7321+$C7321) - MAX(IF($B$2:$B7320=$B7321, $A$2:$A7320+$C$2:$C7320)), "")*24*60, "")</f>
        <v/>
      </c>
      <c r="O7321" s="24" t="str" cm="1">
        <f t="array" ref="O7321">IFERROR(IF($B7321=O$1, ($A7321+$C7321) - MAX(IF($B$2:$B7320=$B7321, $A$2:$A7320+$C$2:$C7320)), "")*24*60, "")</f>
        <v/>
      </c>
      <c r="P7321" s="24" t="str" cm="1">
        <f t="array" ref="P7321">IFERROR(IF($B7321=P$1, ($A7321+$C7321) - MAX(IF($B$2:$B7320=$B7321, $A$2:$A7320+$C$2:$C7320)), "")*24*60, "")</f>
        <v/>
      </c>
      <c r="Q7321" s="24" t="str" cm="1">
        <f t="array" ref="Q7321">IFERROR(IF($B7321=Q$1, ($A7321+$C7321) - MAX(IF($B$2:$B7320=$B7321, $A$2:$A7320+$C$2:$C7320)), "")*24*60, "")</f>
        <v/>
      </c>
      <c r="R7321" s="24" t="str" cm="1">
        <f t="array" ref="R7321">IFERROR(IF($B7321=R$1, ($A7321+$C7321) - MAX(IF($B$2:$B7320=$B7321, $A$2:$A7320+$C$2:$C7320)), "")*24*60, "")</f>
        <v/>
      </c>
      <c r="S7321" s="24" t="str" cm="1">
        <f t="array" ref="S7321">IFERROR(IF($B7321=S$1, ($A7321+$C7321) - MAX(IF($B$2:$B7320=$B7321, $A$2:$A7320+$C$2:$C7320)), "")*24*60, "")</f>
        <v/>
      </c>
    </row>
    <row r="7322" spans="1:19" x14ac:dyDescent="0.2">
      <c r="A7322" s="12">
        <f t="shared" ref="A7322:C7322" si="1504">A7321</f>
        <v>46015</v>
      </c>
      <c r="B7322" s="5" t="str">
        <f t="shared" si="1504"/>
        <v>Northern Cardinal</v>
      </c>
      <c r="C7322" s="6">
        <f t="shared" si="1504"/>
        <v>0.74097222222222225</v>
      </c>
      <c r="D7322" s="5"/>
      <c r="E7322" s="5"/>
      <c r="F7322" s="5" t="s">
        <v>9</v>
      </c>
      <c r="G7322" s="15" t="s">
        <v>8</v>
      </c>
      <c r="H7322" s="24">
        <f t="shared" si="1407"/>
        <v>0</v>
      </c>
      <c r="I7322" s="24" cm="1">
        <f t="array" ref="I7322">IFERROR(IF($B7322=I$1, ($A7322+$C7322) - MAX(IF($B$2:$B7321=$B7322, $A$2:$A7321+$C$2:$C7321)), "")*24*60, "")</f>
        <v>0</v>
      </c>
      <c r="J7322" s="24" t="str" cm="1">
        <f t="array" ref="J7322">IFERROR(IF($B7322=J$1, ($A7322+$C7322) - MAX(IF($B$2:$B7321=$B7322, $A$2:$A7321+$C$2:$C7321)), "")*24*60, "")</f>
        <v/>
      </c>
      <c r="K7322" s="24" t="str" cm="1">
        <f t="array" ref="K7322">IFERROR(IF($B7322=K$1, ($A7322+$C7322) - MAX(IF($B$2:$B7321=$B7322, $A$2:$A7321+$C$2:$C7321)), "")*24*60, "")</f>
        <v/>
      </c>
      <c r="L7322" s="24" t="str" cm="1">
        <f t="array" ref="L7322">IFERROR(IF($B7322=L$1, ($A7322+$C7322) - MAX(IF($B$2:$B7321=$B7322, $A$2:$A7321+$C$2:$C7321)), "")*24*60, "")</f>
        <v/>
      </c>
      <c r="M7322" s="24" t="str" cm="1">
        <f t="array" ref="M7322">IFERROR(IF($B7322=M$1, ($A7322+$C7322) - MAX(IF($B$2:$B7321=$B7322, $A$2:$A7321+$C$2:$C7321)), "")*24*60, "")</f>
        <v/>
      </c>
      <c r="N7322" s="24" t="str" cm="1">
        <f t="array" ref="N7322">IFERROR(IF($B7322=N$1, ($A7322+$C7322) - MAX(IF($B$2:$B7321=$B7322, $A$2:$A7321+$C$2:$C7321)), "")*24*60, "")</f>
        <v/>
      </c>
      <c r="O7322" s="24" t="str" cm="1">
        <f t="array" ref="O7322">IFERROR(IF($B7322=O$1, ($A7322+$C7322) - MAX(IF($B$2:$B7321=$B7322, $A$2:$A7321+$C$2:$C7321)), "")*24*60, "")</f>
        <v/>
      </c>
      <c r="P7322" s="24" t="str" cm="1">
        <f t="array" ref="P7322">IFERROR(IF($B7322=P$1, ($A7322+$C7322) - MAX(IF($B$2:$B7321=$B7322, $A$2:$A7321+$C$2:$C7321)), "")*24*60, "")</f>
        <v/>
      </c>
      <c r="Q7322" s="24" t="str" cm="1">
        <f t="array" ref="Q7322">IFERROR(IF($B7322=Q$1, ($A7322+$C7322) - MAX(IF($B$2:$B7321=$B7322, $A$2:$A7321+$C$2:$C7321)), "")*24*60, "")</f>
        <v/>
      </c>
      <c r="R7322" s="24" t="str" cm="1">
        <f t="array" ref="R7322">IFERROR(IF($B7322=R$1, ($A7322+$C7322) - MAX(IF($B$2:$B7321=$B7322, $A$2:$A7321+$C$2:$C7321)), "")*24*60, "")</f>
        <v/>
      </c>
      <c r="S7322" s="24" t="str" cm="1">
        <f t="array" ref="S7322">IFERROR(IF($B7322=S$1, ($A7322+$C7322) - MAX(IF($B$2:$B7321=$B7322, $A$2:$A7321+$C$2:$C7321)), "")*24*60, "")</f>
        <v/>
      </c>
    </row>
    <row r="7323" spans="1:19" x14ac:dyDescent="0.2">
      <c r="A7323" s="12">
        <f t="shared" ref="A7323:C7323" si="1505">A7322</f>
        <v>46015</v>
      </c>
      <c r="B7323" s="5" t="str">
        <f t="shared" si="1505"/>
        <v>Northern Cardinal</v>
      </c>
      <c r="C7323" s="6">
        <f t="shared" si="1505"/>
        <v>0.74097222222222225</v>
      </c>
      <c r="D7323" s="5"/>
      <c r="E7323" s="5"/>
      <c r="F7323" s="5" t="s">
        <v>9</v>
      </c>
      <c r="G7323" s="15" t="s">
        <v>8</v>
      </c>
      <c r="H7323" s="24">
        <f t="shared" si="1407"/>
        <v>0</v>
      </c>
      <c r="I7323" s="24" cm="1">
        <f t="array" ref="I7323">IFERROR(IF($B7323=I$1, ($A7323+$C7323) - MAX(IF($B$2:$B7322=$B7323, $A$2:$A7322+$C$2:$C7322)), "")*24*60, "")</f>
        <v>0</v>
      </c>
      <c r="J7323" s="24" t="str" cm="1">
        <f t="array" ref="J7323">IFERROR(IF($B7323=J$1, ($A7323+$C7323) - MAX(IF($B$2:$B7322=$B7323, $A$2:$A7322+$C$2:$C7322)), "")*24*60, "")</f>
        <v/>
      </c>
      <c r="K7323" s="24" t="str" cm="1">
        <f t="array" ref="K7323">IFERROR(IF($B7323=K$1, ($A7323+$C7323) - MAX(IF($B$2:$B7322=$B7323, $A$2:$A7322+$C$2:$C7322)), "")*24*60, "")</f>
        <v/>
      </c>
      <c r="L7323" s="24" t="str" cm="1">
        <f t="array" ref="L7323">IFERROR(IF($B7323=L$1, ($A7323+$C7323) - MAX(IF($B$2:$B7322=$B7323, $A$2:$A7322+$C$2:$C7322)), "")*24*60, "")</f>
        <v/>
      </c>
      <c r="M7323" s="24" t="str" cm="1">
        <f t="array" ref="M7323">IFERROR(IF($B7323=M$1, ($A7323+$C7323) - MAX(IF($B$2:$B7322=$B7323, $A$2:$A7322+$C$2:$C7322)), "")*24*60, "")</f>
        <v/>
      </c>
      <c r="N7323" s="24" t="str" cm="1">
        <f t="array" ref="N7323">IFERROR(IF($B7323=N$1, ($A7323+$C7323) - MAX(IF($B$2:$B7322=$B7323, $A$2:$A7322+$C$2:$C7322)), "")*24*60, "")</f>
        <v/>
      </c>
      <c r="O7323" s="24" t="str" cm="1">
        <f t="array" ref="O7323">IFERROR(IF($B7323=O$1, ($A7323+$C7323) - MAX(IF($B$2:$B7322=$B7323, $A$2:$A7322+$C$2:$C7322)), "")*24*60, "")</f>
        <v/>
      </c>
      <c r="P7323" s="24" t="str" cm="1">
        <f t="array" ref="P7323">IFERROR(IF($B7323=P$1, ($A7323+$C7323) - MAX(IF($B$2:$B7322=$B7323, $A$2:$A7322+$C$2:$C7322)), "")*24*60, "")</f>
        <v/>
      </c>
      <c r="Q7323" s="24" t="str" cm="1">
        <f t="array" ref="Q7323">IFERROR(IF($B7323=Q$1, ($A7323+$C7323) - MAX(IF($B$2:$B7322=$B7323, $A$2:$A7322+$C$2:$C7322)), "")*24*60, "")</f>
        <v/>
      </c>
      <c r="R7323" s="24" t="str" cm="1">
        <f t="array" ref="R7323">IFERROR(IF($B7323=R$1, ($A7323+$C7323) - MAX(IF($B$2:$B7322=$B7323, $A$2:$A7322+$C$2:$C7322)), "")*24*60, "")</f>
        <v/>
      </c>
      <c r="S7323" s="24" t="str" cm="1">
        <f t="array" ref="S7323">IFERROR(IF($B7323=S$1, ($A7323+$C7323) - MAX(IF($B$2:$B7322=$B7323, $A$2:$A7322+$C$2:$C7322)), "")*24*60, "")</f>
        <v/>
      </c>
    </row>
    <row r="7324" spans="1:19" x14ac:dyDescent="0.2">
      <c r="A7324" s="12">
        <f t="shared" ref="A7324:C7324" si="1506">A7323</f>
        <v>46015</v>
      </c>
      <c r="B7324" s="5" t="str">
        <f t="shared" si="1506"/>
        <v>Northern Cardinal</v>
      </c>
      <c r="C7324" s="6">
        <f t="shared" si="1506"/>
        <v>0.74097222222222225</v>
      </c>
      <c r="D7324" s="5"/>
      <c r="E7324" s="5"/>
      <c r="F7324" s="5" t="s">
        <v>9</v>
      </c>
      <c r="G7324" s="15" t="s">
        <v>8</v>
      </c>
      <c r="H7324" s="24">
        <f t="shared" si="1407"/>
        <v>0</v>
      </c>
      <c r="I7324" s="24" cm="1">
        <f t="array" ref="I7324">IFERROR(IF($B7324=I$1, ($A7324+$C7324) - MAX(IF($B$2:$B7323=$B7324, $A$2:$A7323+$C$2:$C7323)), "")*24*60, "")</f>
        <v>0</v>
      </c>
      <c r="J7324" s="24" t="str" cm="1">
        <f t="array" ref="J7324">IFERROR(IF($B7324=J$1, ($A7324+$C7324) - MAX(IF($B$2:$B7323=$B7324, $A$2:$A7323+$C$2:$C7323)), "")*24*60, "")</f>
        <v/>
      </c>
      <c r="K7324" s="24" t="str" cm="1">
        <f t="array" ref="K7324">IFERROR(IF($B7324=K$1, ($A7324+$C7324) - MAX(IF($B$2:$B7323=$B7324, $A$2:$A7323+$C$2:$C7323)), "")*24*60, "")</f>
        <v/>
      </c>
      <c r="L7324" s="24" t="str" cm="1">
        <f t="array" ref="L7324">IFERROR(IF($B7324=L$1, ($A7324+$C7324) - MAX(IF($B$2:$B7323=$B7324, $A$2:$A7323+$C$2:$C7323)), "")*24*60, "")</f>
        <v/>
      </c>
      <c r="M7324" s="24" t="str" cm="1">
        <f t="array" ref="M7324">IFERROR(IF($B7324=M$1, ($A7324+$C7324) - MAX(IF($B$2:$B7323=$B7324, $A$2:$A7323+$C$2:$C7323)), "")*24*60, "")</f>
        <v/>
      </c>
      <c r="N7324" s="24" t="str" cm="1">
        <f t="array" ref="N7324">IFERROR(IF($B7324=N$1, ($A7324+$C7324) - MAX(IF($B$2:$B7323=$B7324, $A$2:$A7323+$C$2:$C7323)), "")*24*60, "")</f>
        <v/>
      </c>
      <c r="O7324" s="24" t="str" cm="1">
        <f t="array" ref="O7324">IFERROR(IF($B7324=O$1, ($A7324+$C7324) - MAX(IF($B$2:$B7323=$B7324, $A$2:$A7323+$C$2:$C7323)), "")*24*60, "")</f>
        <v/>
      </c>
      <c r="P7324" s="24" t="str" cm="1">
        <f t="array" ref="P7324">IFERROR(IF($B7324=P$1, ($A7324+$C7324) - MAX(IF($B$2:$B7323=$B7324, $A$2:$A7323+$C$2:$C7323)), "")*24*60, "")</f>
        <v/>
      </c>
      <c r="Q7324" s="24" t="str" cm="1">
        <f t="array" ref="Q7324">IFERROR(IF($B7324=Q$1, ($A7324+$C7324) - MAX(IF($B$2:$B7323=$B7324, $A$2:$A7323+$C$2:$C7323)), "")*24*60, "")</f>
        <v/>
      </c>
      <c r="R7324" s="24" t="str" cm="1">
        <f t="array" ref="R7324">IFERROR(IF($B7324=R$1, ($A7324+$C7324) - MAX(IF($B$2:$B7323=$B7324, $A$2:$A7323+$C$2:$C7323)), "")*24*60, "")</f>
        <v/>
      </c>
      <c r="S7324" s="24" t="str" cm="1">
        <f t="array" ref="S7324">IFERROR(IF($B7324=S$1, ($A7324+$C7324) - MAX(IF($B$2:$B7323=$B7324, $A$2:$A7323+$C$2:$C7323)), "")*24*60, "")</f>
        <v/>
      </c>
    </row>
    <row r="7325" spans="1:19" x14ac:dyDescent="0.2">
      <c r="A7325" s="12">
        <f t="shared" ref="A7325:C7325" si="1507">A7324</f>
        <v>46015</v>
      </c>
      <c r="B7325" s="5" t="str">
        <f t="shared" si="1507"/>
        <v>Northern Cardinal</v>
      </c>
      <c r="C7325" s="6">
        <f t="shared" si="1507"/>
        <v>0.74097222222222225</v>
      </c>
      <c r="D7325" s="5"/>
      <c r="E7325" s="5"/>
      <c r="F7325" s="5" t="s">
        <v>9</v>
      </c>
      <c r="G7325" s="15" t="s">
        <v>8</v>
      </c>
      <c r="H7325" s="24">
        <f t="shared" si="1407"/>
        <v>0</v>
      </c>
      <c r="I7325" s="24" cm="1">
        <f t="array" ref="I7325">IFERROR(IF($B7325=I$1, ($A7325+$C7325) - MAX(IF($B$2:$B7324=$B7325, $A$2:$A7324+$C$2:$C7324)), "")*24*60, "")</f>
        <v>0</v>
      </c>
      <c r="J7325" s="24" t="str" cm="1">
        <f t="array" ref="J7325">IFERROR(IF($B7325=J$1, ($A7325+$C7325) - MAX(IF($B$2:$B7324=$B7325, $A$2:$A7324+$C$2:$C7324)), "")*24*60, "")</f>
        <v/>
      </c>
      <c r="K7325" s="24" t="str" cm="1">
        <f t="array" ref="K7325">IFERROR(IF($B7325=K$1, ($A7325+$C7325) - MAX(IF($B$2:$B7324=$B7325, $A$2:$A7324+$C$2:$C7324)), "")*24*60, "")</f>
        <v/>
      </c>
      <c r="L7325" s="24" t="str" cm="1">
        <f t="array" ref="L7325">IFERROR(IF($B7325=L$1, ($A7325+$C7325) - MAX(IF($B$2:$B7324=$B7325, $A$2:$A7324+$C$2:$C7324)), "")*24*60, "")</f>
        <v/>
      </c>
      <c r="M7325" s="24" t="str" cm="1">
        <f t="array" ref="M7325">IFERROR(IF($B7325=M$1, ($A7325+$C7325) - MAX(IF($B$2:$B7324=$B7325, $A$2:$A7324+$C$2:$C7324)), "")*24*60, "")</f>
        <v/>
      </c>
      <c r="N7325" s="24" t="str" cm="1">
        <f t="array" ref="N7325">IFERROR(IF($B7325=N$1, ($A7325+$C7325) - MAX(IF($B$2:$B7324=$B7325, $A$2:$A7324+$C$2:$C7324)), "")*24*60, "")</f>
        <v/>
      </c>
      <c r="O7325" s="24" t="str" cm="1">
        <f t="array" ref="O7325">IFERROR(IF($B7325=O$1, ($A7325+$C7325) - MAX(IF($B$2:$B7324=$B7325, $A$2:$A7324+$C$2:$C7324)), "")*24*60, "")</f>
        <v/>
      </c>
      <c r="P7325" s="24" t="str" cm="1">
        <f t="array" ref="P7325">IFERROR(IF($B7325=P$1, ($A7325+$C7325) - MAX(IF($B$2:$B7324=$B7325, $A$2:$A7324+$C$2:$C7324)), "")*24*60, "")</f>
        <v/>
      </c>
      <c r="Q7325" s="24" t="str" cm="1">
        <f t="array" ref="Q7325">IFERROR(IF($B7325=Q$1, ($A7325+$C7325) - MAX(IF($B$2:$B7324=$B7325, $A$2:$A7324+$C$2:$C7324)), "")*24*60, "")</f>
        <v/>
      </c>
      <c r="R7325" s="24" t="str" cm="1">
        <f t="array" ref="R7325">IFERROR(IF($B7325=R$1, ($A7325+$C7325) - MAX(IF($B$2:$B7324=$B7325, $A$2:$A7324+$C$2:$C7324)), "")*24*60, "")</f>
        <v/>
      </c>
      <c r="S7325" s="24" t="str" cm="1">
        <f t="array" ref="S7325">IFERROR(IF($B7325=S$1, ($A7325+$C7325) - MAX(IF($B$2:$B7324=$B7325, $A$2:$A7324+$C$2:$C7324)), "")*24*60, "")</f>
        <v/>
      </c>
    </row>
    <row r="7326" spans="1:19" x14ac:dyDescent="0.2">
      <c r="A7326" s="12">
        <f t="shared" ref="A7326:C7326" si="1508">A7325</f>
        <v>46015</v>
      </c>
      <c r="B7326" s="5" t="str">
        <f t="shared" si="1508"/>
        <v>Northern Cardinal</v>
      </c>
      <c r="C7326" s="6">
        <f t="shared" si="1508"/>
        <v>0.74097222222222225</v>
      </c>
      <c r="D7326" s="5"/>
      <c r="E7326" s="5"/>
      <c r="F7326" s="5" t="s">
        <v>9</v>
      </c>
      <c r="G7326" s="15" t="s">
        <v>8</v>
      </c>
      <c r="H7326" s="24">
        <f t="shared" si="1407"/>
        <v>0</v>
      </c>
      <c r="I7326" s="24" cm="1">
        <f t="array" ref="I7326">IFERROR(IF($B7326=I$1, ($A7326+$C7326) - MAX(IF($B$2:$B7325=$B7326, $A$2:$A7325+$C$2:$C7325)), "")*24*60, "")</f>
        <v>0</v>
      </c>
      <c r="J7326" s="24" t="str" cm="1">
        <f t="array" ref="J7326">IFERROR(IF($B7326=J$1, ($A7326+$C7326) - MAX(IF($B$2:$B7325=$B7326, $A$2:$A7325+$C$2:$C7325)), "")*24*60, "")</f>
        <v/>
      </c>
      <c r="K7326" s="24" t="str" cm="1">
        <f t="array" ref="K7326">IFERROR(IF($B7326=K$1, ($A7326+$C7326) - MAX(IF($B$2:$B7325=$B7326, $A$2:$A7325+$C$2:$C7325)), "")*24*60, "")</f>
        <v/>
      </c>
      <c r="L7326" s="24" t="str" cm="1">
        <f t="array" ref="L7326">IFERROR(IF($B7326=L$1, ($A7326+$C7326) - MAX(IF($B$2:$B7325=$B7326, $A$2:$A7325+$C$2:$C7325)), "")*24*60, "")</f>
        <v/>
      </c>
      <c r="M7326" s="24" t="str" cm="1">
        <f t="array" ref="M7326">IFERROR(IF($B7326=M$1, ($A7326+$C7326) - MAX(IF($B$2:$B7325=$B7326, $A$2:$A7325+$C$2:$C7325)), "")*24*60, "")</f>
        <v/>
      </c>
      <c r="N7326" s="24" t="str" cm="1">
        <f t="array" ref="N7326">IFERROR(IF($B7326=N$1, ($A7326+$C7326) - MAX(IF($B$2:$B7325=$B7326, $A$2:$A7325+$C$2:$C7325)), "")*24*60, "")</f>
        <v/>
      </c>
      <c r="O7326" s="24" t="str" cm="1">
        <f t="array" ref="O7326">IFERROR(IF($B7326=O$1, ($A7326+$C7326) - MAX(IF($B$2:$B7325=$B7326, $A$2:$A7325+$C$2:$C7325)), "")*24*60, "")</f>
        <v/>
      </c>
      <c r="P7326" s="24" t="str" cm="1">
        <f t="array" ref="P7326">IFERROR(IF($B7326=P$1, ($A7326+$C7326) - MAX(IF($B$2:$B7325=$B7326, $A$2:$A7325+$C$2:$C7325)), "")*24*60, "")</f>
        <v/>
      </c>
      <c r="Q7326" s="24" t="str" cm="1">
        <f t="array" ref="Q7326">IFERROR(IF($B7326=Q$1, ($A7326+$C7326) - MAX(IF($B$2:$B7325=$B7326, $A$2:$A7325+$C$2:$C7325)), "")*24*60, "")</f>
        <v/>
      </c>
      <c r="R7326" s="24" t="str" cm="1">
        <f t="array" ref="R7326">IFERROR(IF($B7326=R$1, ($A7326+$C7326) - MAX(IF($B$2:$B7325=$B7326, $A$2:$A7325+$C$2:$C7325)), "")*24*60, "")</f>
        <v/>
      </c>
      <c r="S7326" s="24" t="str" cm="1">
        <f t="array" ref="S7326">IFERROR(IF($B7326=S$1, ($A7326+$C7326) - MAX(IF($B$2:$B7325=$B7326, $A$2:$A7325+$C$2:$C7325)), "")*24*60, "")</f>
        <v/>
      </c>
    </row>
    <row r="7327" spans="1:19" x14ac:dyDescent="0.2">
      <c r="A7327" s="12">
        <f t="shared" ref="A7327:C7327" si="1509">A7326</f>
        <v>46015</v>
      </c>
      <c r="B7327" s="5" t="str">
        <f t="shared" si="1509"/>
        <v>Northern Cardinal</v>
      </c>
      <c r="C7327" s="6">
        <f t="shared" si="1509"/>
        <v>0.74097222222222225</v>
      </c>
      <c r="D7327" s="5"/>
      <c r="E7327" s="5"/>
      <c r="F7327" s="5" t="s">
        <v>9</v>
      </c>
      <c r="G7327" s="15" t="s">
        <v>8</v>
      </c>
      <c r="H7327" s="24">
        <f t="shared" si="1407"/>
        <v>0</v>
      </c>
      <c r="I7327" s="24" cm="1">
        <f t="array" ref="I7327">IFERROR(IF($B7327=I$1, ($A7327+$C7327) - MAX(IF($B$2:$B7326=$B7327, $A$2:$A7326+$C$2:$C7326)), "")*24*60, "")</f>
        <v>0</v>
      </c>
      <c r="J7327" s="24" t="str" cm="1">
        <f t="array" ref="J7327">IFERROR(IF($B7327=J$1, ($A7327+$C7327) - MAX(IF($B$2:$B7326=$B7327, $A$2:$A7326+$C$2:$C7326)), "")*24*60, "")</f>
        <v/>
      </c>
      <c r="K7327" s="24" t="str" cm="1">
        <f t="array" ref="K7327">IFERROR(IF($B7327=K$1, ($A7327+$C7327) - MAX(IF($B$2:$B7326=$B7327, $A$2:$A7326+$C$2:$C7326)), "")*24*60, "")</f>
        <v/>
      </c>
      <c r="L7327" s="24" t="str" cm="1">
        <f t="array" ref="L7327">IFERROR(IF($B7327=L$1, ($A7327+$C7327) - MAX(IF($B$2:$B7326=$B7327, $A$2:$A7326+$C$2:$C7326)), "")*24*60, "")</f>
        <v/>
      </c>
      <c r="M7327" s="24" t="str" cm="1">
        <f t="array" ref="M7327">IFERROR(IF($B7327=M$1, ($A7327+$C7327) - MAX(IF($B$2:$B7326=$B7327, $A$2:$A7326+$C$2:$C7326)), "")*24*60, "")</f>
        <v/>
      </c>
      <c r="N7327" s="24" t="str" cm="1">
        <f t="array" ref="N7327">IFERROR(IF($B7327=N$1, ($A7327+$C7327) - MAX(IF($B$2:$B7326=$B7327, $A$2:$A7326+$C$2:$C7326)), "")*24*60, "")</f>
        <v/>
      </c>
      <c r="O7327" s="24" t="str" cm="1">
        <f t="array" ref="O7327">IFERROR(IF($B7327=O$1, ($A7327+$C7327) - MAX(IF($B$2:$B7326=$B7327, $A$2:$A7326+$C$2:$C7326)), "")*24*60, "")</f>
        <v/>
      </c>
      <c r="P7327" s="24" t="str" cm="1">
        <f t="array" ref="P7327">IFERROR(IF($B7327=P$1, ($A7327+$C7327) - MAX(IF($B$2:$B7326=$B7327, $A$2:$A7326+$C$2:$C7326)), "")*24*60, "")</f>
        <v/>
      </c>
      <c r="Q7327" s="24" t="str" cm="1">
        <f t="array" ref="Q7327">IFERROR(IF($B7327=Q$1, ($A7327+$C7327) - MAX(IF($B$2:$B7326=$B7327, $A$2:$A7326+$C$2:$C7326)), "")*24*60, "")</f>
        <v/>
      </c>
      <c r="R7327" s="24" t="str" cm="1">
        <f t="array" ref="R7327">IFERROR(IF($B7327=R$1, ($A7327+$C7327) - MAX(IF($B$2:$B7326=$B7327, $A$2:$A7326+$C$2:$C7326)), "")*24*60, "")</f>
        <v/>
      </c>
      <c r="S7327" s="24" t="str" cm="1">
        <f t="array" ref="S7327">IFERROR(IF($B7327=S$1, ($A7327+$C7327) - MAX(IF($B$2:$B7326=$B7327, $A$2:$A7326+$C$2:$C7326)), "")*24*60, "")</f>
        <v/>
      </c>
    </row>
    <row r="7328" spans="1:19" x14ac:dyDescent="0.2">
      <c r="A7328" s="12">
        <f t="shared" ref="A7328:C7328" si="1510">A7327</f>
        <v>46015</v>
      </c>
      <c r="B7328" s="5" t="str">
        <f t="shared" si="1510"/>
        <v>Northern Cardinal</v>
      </c>
      <c r="C7328" s="6">
        <f t="shared" si="1510"/>
        <v>0.74097222222222225</v>
      </c>
      <c r="D7328" s="5"/>
      <c r="E7328" s="5"/>
      <c r="F7328" s="5" t="s">
        <v>9</v>
      </c>
      <c r="G7328" s="15" t="s">
        <v>8</v>
      </c>
      <c r="H7328" s="24">
        <f t="shared" si="1407"/>
        <v>0</v>
      </c>
      <c r="I7328" s="24" cm="1">
        <f t="array" ref="I7328">IFERROR(IF($B7328=I$1, ($A7328+$C7328) - MAX(IF($B$2:$B7327=$B7328, $A$2:$A7327+$C$2:$C7327)), "")*24*60, "")</f>
        <v>0</v>
      </c>
      <c r="J7328" s="24" t="str" cm="1">
        <f t="array" ref="J7328">IFERROR(IF($B7328=J$1, ($A7328+$C7328) - MAX(IF($B$2:$B7327=$B7328, $A$2:$A7327+$C$2:$C7327)), "")*24*60, "")</f>
        <v/>
      </c>
      <c r="K7328" s="24" t="str" cm="1">
        <f t="array" ref="K7328">IFERROR(IF($B7328=K$1, ($A7328+$C7328) - MAX(IF($B$2:$B7327=$B7328, $A$2:$A7327+$C$2:$C7327)), "")*24*60, "")</f>
        <v/>
      </c>
      <c r="L7328" s="24" t="str" cm="1">
        <f t="array" ref="L7328">IFERROR(IF($B7328=L$1, ($A7328+$C7328) - MAX(IF($B$2:$B7327=$B7328, $A$2:$A7327+$C$2:$C7327)), "")*24*60, "")</f>
        <v/>
      </c>
      <c r="M7328" s="24" t="str" cm="1">
        <f t="array" ref="M7328">IFERROR(IF($B7328=M$1, ($A7328+$C7328) - MAX(IF($B$2:$B7327=$B7328, $A$2:$A7327+$C$2:$C7327)), "")*24*60, "")</f>
        <v/>
      </c>
      <c r="N7328" s="24" t="str" cm="1">
        <f t="array" ref="N7328">IFERROR(IF($B7328=N$1, ($A7328+$C7328) - MAX(IF($B$2:$B7327=$B7328, $A$2:$A7327+$C$2:$C7327)), "")*24*60, "")</f>
        <v/>
      </c>
      <c r="O7328" s="24" t="str" cm="1">
        <f t="array" ref="O7328">IFERROR(IF($B7328=O$1, ($A7328+$C7328) - MAX(IF($B$2:$B7327=$B7328, $A$2:$A7327+$C$2:$C7327)), "")*24*60, "")</f>
        <v/>
      </c>
      <c r="P7328" s="24" t="str" cm="1">
        <f t="array" ref="P7328">IFERROR(IF($B7328=P$1, ($A7328+$C7328) - MAX(IF($B$2:$B7327=$B7328, $A$2:$A7327+$C$2:$C7327)), "")*24*60, "")</f>
        <v/>
      </c>
      <c r="Q7328" s="24" t="str" cm="1">
        <f t="array" ref="Q7328">IFERROR(IF($B7328=Q$1, ($A7328+$C7328) - MAX(IF($B$2:$B7327=$B7328, $A$2:$A7327+$C$2:$C7327)), "")*24*60, "")</f>
        <v/>
      </c>
      <c r="R7328" s="24" t="str" cm="1">
        <f t="array" ref="R7328">IFERROR(IF($B7328=R$1, ($A7328+$C7328) - MAX(IF($B$2:$B7327=$B7328, $A$2:$A7327+$C$2:$C7327)), "")*24*60, "")</f>
        <v/>
      </c>
      <c r="S7328" s="24" t="str" cm="1">
        <f t="array" ref="S7328">IFERROR(IF($B7328=S$1, ($A7328+$C7328) - MAX(IF($B$2:$B7327=$B7328, $A$2:$A7327+$C$2:$C7327)), "")*24*60, "")</f>
        <v/>
      </c>
    </row>
    <row r="7329" spans="1:19" x14ac:dyDescent="0.2">
      <c r="A7329" s="12">
        <f t="shared" ref="A7329:C7329" si="1511">A7328</f>
        <v>46015</v>
      </c>
      <c r="B7329" s="5" t="str">
        <f t="shared" si="1511"/>
        <v>Northern Cardinal</v>
      </c>
      <c r="C7329" s="6">
        <f t="shared" si="1511"/>
        <v>0.74097222222222225</v>
      </c>
      <c r="D7329" s="5"/>
      <c r="E7329" s="5"/>
      <c r="F7329" s="5" t="s">
        <v>9</v>
      </c>
      <c r="G7329" s="15" t="s">
        <v>8</v>
      </c>
      <c r="H7329" s="24">
        <f t="shared" si="1407"/>
        <v>0</v>
      </c>
      <c r="I7329" s="24" cm="1">
        <f t="array" ref="I7329">IFERROR(IF($B7329=I$1, ($A7329+$C7329) - MAX(IF($B$2:$B7328=$B7329, $A$2:$A7328+$C$2:$C7328)), "")*24*60, "")</f>
        <v>0</v>
      </c>
      <c r="J7329" s="24" t="str" cm="1">
        <f t="array" ref="J7329">IFERROR(IF($B7329=J$1, ($A7329+$C7329) - MAX(IF($B$2:$B7328=$B7329, $A$2:$A7328+$C$2:$C7328)), "")*24*60, "")</f>
        <v/>
      </c>
      <c r="K7329" s="24" t="str" cm="1">
        <f t="array" ref="K7329">IFERROR(IF($B7329=K$1, ($A7329+$C7329) - MAX(IF($B$2:$B7328=$B7329, $A$2:$A7328+$C$2:$C7328)), "")*24*60, "")</f>
        <v/>
      </c>
      <c r="L7329" s="24" t="str" cm="1">
        <f t="array" ref="L7329">IFERROR(IF($B7329=L$1, ($A7329+$C7329) - MAX(IF($B$2:$B7328=$B7329, $A$2:$A7328+$C$2:$C7328)), "")*24*60, "")</f>
        <v/>
      </c>
      <c r="M7329" s="24" t="str" cm="1">
        <f t="array" ref="M7329">IFERROR(IF($B7329=M$1, ($A7329+$C7329) - MAX(IF($B$2:$B7328=$B7329, $A$2:$A7328+$C$2:$C7328)), "")*24*60, "")</f>
        <v/>
      </c>
      <c r="N7329" s="24" t="str" cm="1">
        <f t="array" ref="N7329">IFERROR(IF($B7329=N$1, ($A7329+$C7329) - MAX(IF($B$2:$B7328=$B7329, $A$2:$A7328+$C$2:$C7328)), "")*24*60, "")</f>
        <v/>
      </c>
      <c r="O7329" s="24" t="str" cm="1">
        <f t="array" ref="O7329">IFERROR(IF($B7329=O$1, ($A7329+$C7329) - MAX(IF($B$2:$B7328=$B7329, $A$2:$A7328+$C$2:$C7328)), "")*24*60, "")</f>
        <v/>
      </c>
      <c r="P7329" s="24" t="str" cm="1">
        <f t="array" ref="P7329">IFERROR(IF($B7329=P$1, ($A7329+$C7329) - MAX(IF($B$2:$B7328=$B7329, $A$2:$A7328+$C$2:$C7328)), "")*24*60, "")</f>
        <v/>
      </c>
      <c r="Q7329" s="24" t="str" cm="1">
        <f t="array" ref="Q7329">IFERROR(IF($B7329=Q$1, ($A7329+$C7329) - MAX(IF($B$2:$B7328=$B7329, $A$2:$A7328+$C$2:$C7328)), "")*24*60, "")</f>
        <v/>
      </c>
      <c r="R7329" s="24" t="str" cm="1">
        <f t="array" ref="R7329">IFERROR(IF($B7329=R$1, ($A7329+$C7329) - MAX(IF($B$2:$B7328=$B7329, $A$2:$A7328+$C$2:$C7328)), "")*24*60, "")</f>
        <v/>
      </c>
      <c r="S7329" s="24" t="str" cm="1">
        <f t="array" ref="S7329">IFERROR(IF($B7329=S$1, ($A7329+$C7329) - MAX(IF($B$2:$B7328=$B7329, $A$2:$A7328+$C$2:$C7328)), "")*24*60, "")</f>
        <v/>
      </c>
    </row>
    <row r="7330" spans="1:19" x14ac:dyDescent="0.2">
      <c r="A7330" s="12">
        <f t="shared" ref="A7330:C7330" si="1512">A7329</f>
        <v>46015</v>
      </c>
      <c r="B7330" s="5" t="str">
        <f t="shared" si="1512"/>
        <v>Northern Cardinal</v>
      </c>
      <c r="C7330" s="6">
        <f t="shared" si="1512"/>
        <v>0.74097222222222225</v>
      </c>
      <c r="D7330" s="5"/>
      <c r="E7330" s="5"/>
      <c r="F7330" s="5" t="s">
        <v>9</v>
      </c>
      <c r="G7330" s="15" t="s">
        <v>8</v>
      </c>
      <c r="H7330" s="24">
        <f t="shared" si="1407"/>
        <v>0</v>
      </c>
      <c r="I7330" s="24" cm="1">
        <f t="array" ref="I7330">IFERROR(IF($B7330=I$1, ($A7330+$C7330) - MAX(IF($B$2:$B7329=$B7330, $A$2:$A7329+$C$2:$C7329)), "")*24*60, "")</f>
        <v>0</v>
      </c>
      <c r="J7330" s="24" t="str" cm="1">
        <f t="array" ref="J7330">IFERROR(IF($B7330=J$1, ($A7330+$C7330) - MAX(IF($B$2:$B7329=$B7330, $A$2:$A7329+$C$2:$C7329)), "")*24*60, "")</f>
        <v/>
      </c>
      <c r="K7330" s="24" t="str" cm="1">
        <f t="array" ref="K7330">IFERROR(IF($B7330=K$1, ($A7330+$C7330) - MAX(IF($B$2:$B7329=$B7330, $A$2:$A7329+$C$2:$C7329)), "")*24*60, "")</f>
        <v/>
      </c>
      <c r="L7330" s="24" t="str" cm="1">
        <f t="array" ref="L7330">IFERROR(IF($B7330=L$1, ($A7330+$C7330) - MAX(IF($B$2:$B7329=$B7330, $A$2:$A7329+$C$2:$C7329)), "")*24*60, "")</f>
        <v/>
      </c>
      <c r="M7330" s="24" t="str" cm="1">
        <f t="array" ref="M7330">IFERROR(IF($B7330=M$1, ($A7330+$C7330) - MAX(IF($B$2:$B7329=$B7330, $A$2:$A7329+$C$2:$C7329)), "")*24*60, "")</f>
        <v/>
      </c>
      <c r="N7330" s="24" t="str" cm="1">
        <f t="array" ref="N7330">IFERROR(IF($B7330=N$1, ($A7330+$C7330) - MAX(IF($B$2:$B7329=$B7330, $A$2:$A7329+$C$2:$C7329)), "")*24*60, "")</f>
        <v/>
      </c>
      <c r="O7330" s="24" t="str" cm="1">
        <f t="array" ref="O7330">IFERROR(IF($B7330=O$1, ($A7330+$C7330) - MAX(IF($B$2:$B7329=$B7330, $A$2:$A7329+$C$2:$C7329)), "")*24*60, "")</f>
        <v/>
      </c>
      <c r="P7330" s="24" t="str" cm="1">
        <f t="array" ref="P7330">IFERROR(IF($B7330=P$1, ($A7330+$C7330) - MAX(IF($B$2:$B7329=$B7330, $A$2:$A7329+$C$2:$C7329)), "")*24*60, "")</f>
        <v/>
      </c>
      <c r="Q7330" s="24" t="str" cm="1">
        <f t="array" ref="Q7330">IFERROR(IF($B7330=Q$1, ($A7330+$C7330) - MAX(IF($B$2:$B7329=$B7330, $A$2:$A7329+$C$2:$C7329)), "")*24*60, "")</f>
        <v/>
      </c>
      <c r="R7330" s="24" t="str" cm="1">
        <f t="array" ref="R7330">IFERROR(IF($B7330=R$1, ($A7330+$C7330) - MAX(IF($B$2:$B7329=$B7330, $A$2:$A7329+$C$2:$C7329)), "")*24*60, "")</f>
        <v/>
      </c>
      <c r="S7330" s="24" t="str" cm="1">
        <f t="array" ref="S7330">IFERROR(IF($B7330=S$1, ($A7330+$C7330) - MAX(IF($B$2:$B7329=$B7330, $A$2:$A7329+$C$2:$C7329)), "")*24*60, "")</f>
        <v/>
      </c>
    </row>
    <row r="7331" spans="1:19" x14ac:dyDescent="0.2">
      <c r="A7331" s="12">
        <f t="shared" ref="A7331:C7331" si="1513">A7330</f>
        <v>46015</v>
      </c>
      <c r="B7331" s="5" t="str">
        <f t="shared" si="1513"/>
        <v>Northern Cardinal</v>
      </c>
      <c r="C7331" s="6">
        <f t="shared" si="1513"/>
        <v>0.74097222222222225</v>
      </c>
      <c r="D7331" s="5"/>
      <c r="E7331" s="5"/>
      <c r="F7331" s="5" t="s">
        <v>9</v>
      </c>
      <c r="G7331" s="15" t="s">
        <v>8</v>
      </c>
      <c r="H7331" s="24">
        <f t="shared" si="1407"/>
        <v>0</v>
      </c>
      <c r="I7331" s="24" cm="1">
        <f t="array" ref="I7331">IFERROR(IF($B7331=I$1, ($A7331+$C7331) - MAX(IF($B$2:$B7330=$B7331, $A$2:$A7330+$C$2:$C7330)), "")*24*60, "")</f>
        <v>0</v>
      </c>
      <c r="J7331" s="24" t="str" cm="1">
        <f t="array" ref="J7331">IFERROR(IF($B7331=J$1, ($A7331+$C7331) - MAX(IF($B$2:$B7330=$B7331, $A$2:$A7330+$C$2:$C7330)), "")*24*60, "")</f>
        <v/>
      </c>
      <c r="K7331" s="24" t="str" cm="1">
        <f t="array" ref="K7331">IFERROR(IF($B7331=K$1, ($A7331+$C7331) - MAX(IF($B$2:$B7330=$B7331, $A$2:$A7330+$C$2:$C7330)), "")*24*60, "")</f>
        <v/>
      </c>
      <c r="L7331" s="24" t="str" cm="1">
        <f t="array" ref="L7331">IFERROR(IF($B7331=L$1, ($A7331+$C7331) - MAX(IF($B$2:$B7330=$B7331, $A$2:$A7330+$C$2:$C7330)), "")*24*60, "")</f>
        <v/>
      </c>
      <c r="M7331" s="24" t="str" cm="1">
        <f t="array" ref="M7331">IFERROR(IF($B7331=M$1, ($A7331+$C7331) - MAX(IF($B$2:$B7330=$B7331, $A$2:$A7330+$C$2:$C7330)), "")*24*60, "")</f>
        <v/>
      </c>
      <c r="N7331" s="24" t="str" cm="1">
        <f t="array" ref="N7331">IFERROR(IF($B7331=N$1, ($A7331+$C7331) - MAX(IF($B$2:$B7330=$B7331, $A$2:$A7330+$C$2:$C7330)), "")*24*60, "")</f>
        <v/>
      </c>
      <c r="O7331" s="24" t="str" cm="1">
        <f t="array" ref="O7331">IFERROR(IF($B7331=O$1, ($A7331+$C7331) - MAX(IF($B$2:$B7330=$B7331, $A$2:$A7330+$C$2:$C7330)), "")*24*60, "")</f>
        <v/>
      </c>
      <c r="P7331" s="24" t="str" cm="1">
        <f t="array" ref="P7331">IFERROR(IF($B7331=P$1, ($A7331+$C7331) - MAX(IF($B$2:$B7330=$B7331, $A$2:$A7330+$C$2:$C7330)), "")*24*60, "")</f>
        <v/>
      </c>
      <c r="Q7331" s="24" t="str" cm="1">
        <f t="array" ref="Q7331">IFERROR(IF($B7331=Q$1, ($A7331+$C7331) - MAX(IF($B$2:$B7330=$B7331, $A$2:$A7330+$C$2:$C7330)), "")*24*60, "")</f>
        <v/>
      </c>
      <c r="R7331" s="24" t="str" cm="1">
        <f t="array" ref="R7331">IFERROR(IF($B7331=R$1, ($A7331+$C7331) - MAX(IF($B$2:$B7330=$B7331, $A$2:$A7330+$C$2:$C7330)), "")*24*60, "")</f>
        <v/>
      </c>
      <c r="S7331" s="24" t="str" cm="1">
        <f t="array" ref="S7331">IFERROR(IF($B7331=S$1, ($A7331+$C7331) - MAX(IF($B$2:$B7330=$B7331, $A$2:$A7330+$C$2:$C7330)), "")*24*60, "")</f>
        <v/>
      </c>
    </row>
    <row r="7332" spans="1:19" x14ac:dyDescent="0.2">
      <c r="A7332" s="12">
        <f t="shared" ref="A7332:C7332" si="1514">A7331</f>
        <v>46015</v>
      </c>
      <c r="B7332" s="5" t="str">
        <f t="shared" si="1514"/>
        <v>Northern Cardinal</v>
      </c>
      <c r="C7332" s="6">
        <f t="shared" si="1514"/>
        <v>0.74097222222222225</v>
      </c>
      <c r="D7332" s="5"/>
      <c r="E7332" s="5"/>
      <c r="F7332" s="5" t="s">
        <v>9</v>
      </c>
      <c r="G7332" s="15" t="s">
        <v>8</v>
      </c>
      <c r="H7332" s="24">
        <f t="shared" si="1407"/>
        <v>0</v>
      </c>
      <c r="I7332" s="24" cm="1">
        <f t="array" ref="I7332">IFERROR(IF($B7332=I$1, ($A7332+$C7332) - MAX(IF($B$2:$B7331=$B7332, $A$2:$A7331+$C$2:$C7331)), "")*24*60, "")</f>
        <v>0</v>
      </c>
      <c r="J7332" s="24" t="str" cm="1">
        <f t="array" ref="J7332">IFERROR(IF($B7332=J$1, ($A7332+$C7332) - MAX(IF($B$2:$B7331=$B7332, $A$2:$A7331+$C$2:$C7331)), "")*24*60, "")</f>
        <v/>
      </c>
      <c r="K7332" s="24" t="str" cm="1">
        <f t="array" ref="K7332">IFERROR(IF($B7332=K$1, ($A7332+$C7332) - MAX(IF($B$2:$B7331=$B7332, $A$2:$A7331+$C$2:$C7331)), "")*24*60, "")</f>
        <v/>
      </c>
      <c r="L7332" s="24" t="str" cm="1">
        <f t="array" ref="L7332">IFERROR(IF($B7332=L$1, ($A7332+$C7332) - MAX(IF($B$2:$B7331=$B7332, $A$2:$A7331+$C$2:$C7331)), "")*24*60, "")</f>
        <v/>
      </c>
      <c r="M7332" s="24" t="str" cm="1">
        <f t="array" ref="M7332">IFERROR(IF($B7332=M$1, ($A7332+$C7332) - MAX(IF($B$2:$B7331=$B7332, $A$2:$A7331+$C$2:$C7331)), "")*24*60, "")</f>
        <v/>
      </c>
      <c r="N7332" s="24" t="str" cm="1">
        <f t="array" ref="N7332">IFERROR(IF($B7332=N$1, ($A7332+$C7332) - MAX(IF($B$2:$B7331=$B7332, $A$2:$A7331+$C$2:$C7331)), "")*24*60, "")</f>
        <v/>
      </c>
      <c r="O7332" s="24" t="str" cm="1">
        <f t="array" ref="O7332">IFERROR(IF($B7332=O$1, ($A7332+$C7332) - MAX(IF($B$2:$B7331=$B7332, $A$2:$A7331+$C$2:$C7331)), "")*24*60, "")</f>
        <v/>
      </c>
      <c r="P7332" s="24" t="str" cm="1">
        <f t="array" ref="P7332">IFERROR(IF($B7332=P$1, ($A7332+$C7332) - MAX(IF($B$2:$B7331=$B7332, $A$2:$A7331+$C$2:$C7331)), "")*24*60, "")</f>
        <v/>
      </c>
      <c r="Q7332" s="24" t="str" cm="1">
        <f t="array" ref="Q7332">IFERROR(IF($B7332=Q$1, ($A7332+$C7332) - MAX(IF($B$2:$B7331=$B7332, $A$2:$A7331+$C$2:$C7331)), "")*24*60, "")</f>
        <v/>
      </c>
      <c r="R7332" s="24" t="str" cm="1">
        <f t="array" ref="R7332">IFERROR(IF($B7332=R$1, ($A7332+$C7332) - MAX(IF($B$2:$B7331=$B7332, $A$2:$A7331+$C$2:$C7331)), "")*24*60, "")</f>
        <v/>
      </c>
      <c r="S7332" s="24" t="str" cm="1">
        <f t="array" ref="S7332">IFERROR(IF($B7332=S$1, ($A7332+$C7332) - MAX(IF($B$2:$B7331=$B7332, $A$2:$A7331+$C$2:$C7331)), "")*24*60, "")</f>
        <v/>
      </c>
    </row>
    <row r="7333" spans="1:19" x14ac:dyDescent="0.2">
      <c r="A7333" s="12">
        <f t="shared" ref="A7333:C7333" si="1515">A7332</f>
        <v>46015</v>
      </c>
      <c r="B7333" s="5" t="str">
        <f t="shared" si="1515"/>
        <v>Northern Cardinal</v>
      </c>
      <c r="C7333" s="6">
        <f t="shared" si="1515"/>
        <v>0.74097222222222225</v>
      </c>
      <c r="D7333" s="5"/>
      <c r="E7333" s="5"/>
      <c r="F7333" s="5" t="s">
        <v>9</v>
      </c>
      <c r="G7333" s="15" t="s">
        <v>8</v>
      </c>
      <c r="H7333" s="24">
        <f t="shared" si="1407"/>
        <v>0</v>
      </c>
      <c r="I7333" s="24" cm="1">
        <f t="array" ref="I7333">IFERROR(IF($B7333=I$1, ($A7333+$C7333) - MAX(IF($B$2:$B7332=$B7333, $A$2:$A7332+$C$2:$C7332)), "")*24*60, "")</f>
        <v>0</v>
      </c>
      <c r="J7333" s="24" t="str" cm="1">
        <f t="array" ref="J7333">IFERROR(IF($B7333=J$1, ($A7333+$C7333) - MAX(IF($B$2:$B7332=$B7333, $A$2:$A7332+$C$2:$C7332)), "")*24*60, "")</f>
        <v/>
      </c>
      <c r="K7333" s="24" t="str" cm="1">
        <f t="array" ref="K7333">IFERROR(IF($B7333=K$1, ($A7333+$C7333) - MAX(IF($B$2:$B7332=$B7333, $A$2:$A7332+$C$2:$C7332)), "")*24*60, "")</f>
        <v/>
      </c>
      <c r="L7333" s="24" t="str" cm="1">
        <f t="array" ref="L7333">IFERROR(IF($B7333=L$1, ($A7333+$C7333) - MAX(IF($B$2:$B7332=$B7333, $A$2:$A7332+$C$2:$C7332)), "")*24*60, "")</f>
        <v/>
      </c>
      <c r="M7333" s="24" t="str" cm="1">
        <f t="array" ref="M7333">IFERROR(IF($B7333=M$1, ($A7333+$C7333) - MAX(IF($B$2:$B7332=$B7333, $A$2:$A7332+$C$2:$C7332)), "")*24*60, "")</f>
        <v/>
      </c>
      <c r="N7333" s="24" t="str" cm="1">
        <f t="array" ref="N7333">IFERROR(IF($B7333=N$1, ($A7333+$C7333) - MAX(IF($B$2:$B7332=$B7333, $A$2:$A7332+$C$2:$C7332)), "")*24*60, "")</f>
        <v/>
      </c>
      <c r="O7333" s="24" t="str" cm="1">
        <f t="array" ref="O7333">IFERROR(IF($B7333=O$1, ($A7333+$C7333) - MAX(IF($B$2:$B7332=$B7333, $A$2:$A7332+$C$2:$C7332)), "")*24*60, "")</f>
        <v/>
      </c>
      <c r="P7333" s="24" t="str" cm="1">
        <f t="array" ref="P7333">IFERROR(IF($B7333=P$1, ($A7333+$C7333) - MAX(IF($B$2:$B7332=$B7333, $A$2:$A7332+$C$2:$C7332)), "")*24*60, "")</f>
        <v/>
      </c>
      <c r="Q7333" s="24" t="str" cm="1">
        <f t="array" ref="Q7333">IFERROR(IF($B7333=Q$1, ($A7333+$C7333) - MAX(IF($B$2:$B7332=$B7333, $A$2:$A7332+$C$2:$C7332)), "")*24*60, "")</f>
        <v/>
      </c>
      <c r="R7333" s="24" t="str" cm="1">
        <f t="array" ref="R7333">IFERROR(IF($B7333=R$1, ($A7333+$C7333) - MAX(IF($B$2:$B7332=$B7333, $A$2:$A7332+$C$2:$C7332)), "")*24*60, "")</f>
        <v/>
      </c>
      <c r="S7333" s="24" t="str" cm="1">
        <f t="array" ref="S7333">IFERROR(IF($B7333=S$1, ($A7333+$C7333) - MAX(IF($B$2:$B7332=$B7333, $A$2:$A7332+$C$2:$C7332)), "")*24*60, "")</f>
        <v/>
      </c>
    </row>
    <row r="7334" spans="1:19" x14ac:dyDescent="0.2">
      <c r="A7334" s="12">
        <f t="shared" ref="A7334:C7334" si="1516">A7333</f>
        <v>46015</v>
      </c>
      <c r="B7334" s="5" t="str">
        <f t="shared" si="1516"/>
        <v>Northern Cardinal</v>
      </c>
      <c r="C7334" s="6">
        <f t="shared" si="1516"/>
        <v>0.74097222222222225</v>
      </c>
      <c r="D7334" s="5"/>
      <c r="E7334" s="5"/>
      <c r="F7334" s="5" t="s">
        <v>9</v>
      </c>
      <c r="G7334" s="15" t="s">
        <v>8</v>
      </c>
      <c r="H7334" s="24">
        <f t="shared" si="1407"/>
        <v>0</v>
      </c>
      <c r="I7334" s="24" cm="1">
        <f t="array" ref="I7334">IFERROR(IF($B7334=I$1, ($A7334+$C7334) - MAX(IF($B$2:$B7333=$B7334, $A$2:$A7333+$C$2:$C7333)), "")*24*60, "")</f>
        <v>0</v>
      </c>
      <c r="J7334" s="24" t="str" cm="1">
        <f t="array" ref="J7334">IFERROR(IF($B7334=J$1, ($A7334+$C7334) - MAX(IF($B$2:$B7333=$B7334, $A$2:$A7333+$C$2:$C7333)), "")*24*60, "")</f>
        <v/>
      </c>
      <c r="K7334" s="24" t="str" cm="1">
        <f t="array" ref="K7334">IFERROR(IF($B7334=K$1, ($A7334+$C7334) - MAX(IF($B$2:$B7333=$B7334, $A$2:$A7333+$C$2:$C7333)), "")*24*60, "")</f>
        <v/>
      </c>
      <c r="L7334" s="24" t="str" cm="1">
        <f t="array" ref="L7334">IFERROR(IF($B7334=L$1, ($A7334+$C7334) - MAX(IF($B$2:$B7333=$B7334, $A$2:$A7333+$C$2:$C7333)), "")*24*60, "")</f>
        <v/>
      </c>
      <c r="M7334" s="24" t="str" cm="1">
        <f t="array" ref="M7334">IFERROR(IF($B7334=M$1, ($A7334+$C7334) - MAX(IF($B$2:$B7333=$B7334, $A$2:$A7333+$C$2:$C7333)), "")*24*60, "")</f>
        <v/>
      </c>
      <c r="N7334" s="24" t="str" cm="1">
        <f t="array" ref="N7334">IFERROR(IF($B7334=N$1, ($A7334+$C7334) - MAX(IF($B$2:$B7333=$B7334, $A$2:$A7333+$C$2:$C7333)), "")*24*60, "")</f>
        <v/>
      </c>
      <c r="O7334" s="24" t="str" cm="1">
        <f t="array" ref="O7334">IFERROR(IF($B7334=O$1, ($A7334+$C7334) - MAX(IF($B$2:$B7333=$B7334, $A$2:$A7333+$C$2:$C7333)), "")*24*60, "")</f>
        <v/>
      </c>
      <c r="P7334" s="24" t="str" cm="1">
        <f t="array" ref="P7334">IFERROR(IF($B7334=P$1, ($A7334+$C7334) - MAX(IF($B$2:$B7333=$B7334, $A$2:$A7333+$C$2:$C7333)), "")*24*60, "")</f>
        <v/>
      </c>
      <c r="Q7334" s="24" t="str" cm="1">
        <f t="array" ref="Q7334">IFERROR(IF($B7334=Q$1, ($A7334+$C7334) - MAX(IF($B$2:$B7333=$B7334, $A$2:$A7333+$C$2:$C7333)), "")*24*60, "")</f>
        <v/>
      </c>
      <c r="R7334" s="24" t="str" cm="1">
        <f t="array" ref="R7334">IFERROR(IF($B7334=R$1, ($A7334+$C7334) - MAX(IF($B$2:$B7333=$B7334, $A$2:$A7333+$C$2:$C7333)), "")*24*60, "")</f>
        <v/>
      </c>
      <c r="S7334" s="24" t="str" cm="1">
        <f t="array" ref="S7334">IFERROR(IF($B7334=S$1, ($A7334+$C7334) - MAX(IF($B$2:$B7333=$B7334, $A$2:$A7333+$C$2:$C7333)), "")*24*60, "")</f>
        <v/>
      </c>
    </row>
    <row r="7335" spans="1:19" x14ac:dyDescent="0.2">
      <c r="A7335" s="12">
        <f t="shared" ref="A7335:C7335" si="1517">A7334</f>
        <v>46015</v>
      </c>
      <c r="B7335" s="5" t="str">
        <f t="shared" si="1517"/>
        <v>Northern Cardinal</v>
      </c>
      <c r="C7335" s="6">
        <f t="shared" si="1517"/>
        <v>0.74097222222222225</v>
      </c>
      <c r="D7335" s="5"/>
      <c r="E7335" s="5"/>
      <c r="F7335" s="5" t="s">
        <v>9</v>
      </c>
      <c r="G7335" s="15" t="s">
        <v>8</v>
      </c>
      <c r="H7335" s="24">
        <f t="shared" si="1407"/>
        <v>0</v>
      </c>
      <c r="I7335" s="24" cm="1">
        <f t="array" ref="I7335">IFERROR(IF($B7335=I$1, ($A7335+$C7335) - MAX(IF($B$2:$B7334=$B7335, $A$2:$A7334+$C$2:$C7334)), "")*24*60, "")</f>
        <v>0</v>
      </c>
      <c r="J7335" s="24" t="str" cm="1">
        <f t="array" ref="J7335">IFERROR(IF($B7335=J$1, ($A7335+$C7335) - MAX(IF($B$2:$B7334=$B7335, $A$2:$A7334+$C$2:$C7334)), "")*24*60, "")</f>
        <v/>
      </c>
      <c r="K7335" s="24" t="str" cm="1">
        <f t="array" ref="K7335">IFERROR(IF($B7335=K$1, ($A7335+$C7335) - MAX(IF($B$2:$B7334=$B7335, $A$2:$A7334+$C$2:$C7334)), "")*24*60, "")</f>
        <v/>
      </c>
      <c r="L7335" s="24" t="str" cm="1">
        <f t="array" ref="L7335">IFERROR(IF($B7335=L$1, ($A7335+$C7335) - MAX(IF($B$2:$B7334=$B7335, $A$2:$A7334+$C$2:$C7334)), "")*24*60, "")</f>
        <v/>
      </c>
      <c r="M7335" s="24" t="str" cm="1">
        <f t="array" ref="M7335">IFERROR(IF($B7335=M$1, ($A7335+$C7335) - MAX(IF($B$2:$B7334=$B7335, $A$2:$A7334+$C$2:$C7334)), "")*24*60, "")</f>
        <v/>
      </c>
      <c r="N7335" s="24" t="str" cm="1">
        <f t="array" ref="N7335">IFERROR(IF($B7335=N$1, ($A7335+$C7335) - MAX(IF($B$2:$B7334=$B7335, $A$2:$A7334+$C$2:$C7334)), "")*24*60, "")</f>
        <v/>
      </c>
      <c r="O7335" s="24" t="str" cm="1">
        <f t="array" ref="O7335">IFERROR(IF($B7335=O$1, ($A7335+$C7335) - MAX(IF($B$2:$B7334=$B7335, $A$2:$A7334+$C$2:$C7334)), "")*24*60, "")</f>
        <v/>
      </c>
      <c r="P7335" s="24" t="str" cm="1">
        <f t="array" ref="P7335">IFERROR(IF($B7335=P$1, ($A7335+$C7335) - MAX(IF($B$2:$B7334=$B7335, $A$2:$A7334+$C$2:$C7334)), "")*24*60, "")</f>
        <v/>
      </c>
      <c r="Q7335" s="24" t="str" cm="1">
        <f t="array" ref="Q7335">IFERROR(IF($B7335=Q$1, ($A7335+$C7335) - MAX(IF($B$2:$B7334=$B7335, $A$2:$A7334+$C$2:$C7334)), "")*24*60, "")</f>
        <v/>
      </c>
      <c r="R7335" s="24" t="str" cm="1">
        <f t="array" ref="R7335">IFERROR(IF($B7335=R$1, ($A7335+$C7335) - MAX(IF($B$2:$B7334=$B7335, $A$2:$A7334+$C$2:$C7334)), "")*24*60, "")</f>
        <v/>
      </c>
      <c r="S7335" s="24" t="str" cm="1">
        <f t="array" ref="S7335">IFERROR(IF($B7335=S$1, ($A7335+$C7335) - MAX(IF($B$2:$B7334=$B7335, $A$2:$A7334+$C$2:$C7334)), "")*24*60, "")</f>
        <v/>
      </c>
    </row>
    <row r="7336" spans="1:19" x14ac:dyDescent="0.2">
      <c r="A7336" s="12">
        <f t="shared" ref="A7336:C7336" si="1518">A7335</f>
        <v>46015</v>
      </c>
      <c r="B7336" s="5" t="str">
        <f t="shared" si="1518"/>
        <v>Northern Cardinal</v>
      </c>
      <c r="C7336" s="6">
        <f t="shared" si="1518"/>
        <v>0.74097222222222225</v>
      </c>
      <c r="D7336" s="5"/>
      <c r="E7336" s="5"/>
      <c r="F7336" s="5" t="s">
        <v>9</v>
      </c>
      <c r="G7336" s="15" t="s">
        <v>8</v>
      </c>
      <c r="H7336" s="24">
        <f t="shared" si="1407"/>
        <v>0</v>
      </c>
      <c r="I7336" s="24" cm="1">
        <f t="array" ref="I7336">IFERROR(IF($B7336=I$1, ($A7336+$C7336) - MAX(IF($B$2:$B7335=$B7336, $A$2:$A7335+$C$2:$C7335)), "")*24*60, "")</f>
        <v>0</v>
      </c>
      <c r="J7336" s="24" t="str" cm="1">
        <f t="array" ref="J7336">IFERROR(IF($B7336=J$1, ($A7336+$C7336) - MAX(IF($B$2:$B7335=$B7336, $A$2:$A7335+$C$2:$C7335)), "")*24*60, "")</f>
        <v/>
      </c>
      <c r="K7336" s="24" t="str" cm="1">
        <f t="array" ref="K7336">IFERROR(IF($B7336=K$1, ($A7336+$C7336) - MAX(IF($B$2:$B7335=$B7336, $A$2:$A7335+$C$2:$C7335)), "")*24*60, "")</f>
        <v/>
      </c>
      <c r="L7336" s="24" t="str" cm="1">
        <f t="array" ref="L7336">IFERROR(IF($B7336=L$1, ($A7336+$C7336) - MAX(IF($B$2:$B7335=$B7336, $A$2:$A7335+$C$2:$C7335)), "")*24*60, "")</f>
        <v/>
      </c>
      <c r="M7336" s="24" t="str" cm="1">
        <f t="array" ref="M7336">IFERROR(IF($B7336=M$1, ($A7336+$C7336) - MAX(IF($B$2:$B7335=$B7336, $A$2:$A7335+$C$2:$C7335)), "")*24*60, "")</f>
        <v/>
      </c>
      <c r="N7336" s="24" t="str" cm="1">
        <f t="array" ref="N7336">IFERROR(IF($B7336=N$1, ($A7336+$C7336) - MAX(IF($B$2:$B7335=$B7336, $A$2:$A7335+$C$2:$C7335)), "")*24*60, "")</f>
        <v/>
      </c>
      <c r="O7336" s="24" t="str" cm="1">
        <f t="array" ref="O7336">IFERROR(IF($B7336=O$1, ($A7336+$C7336) - MAX(IF($B$2:$B7335=$B7336, $A$2:$A7335+$C$2:$C7335)), "")*24*60, "")</f>
        <v/>
      </c>
      <c r="P7336" s="24" t="str" cm="1">
        <f t="array" ref="P7336">IFERROR(IF($B7336=P$1, ($A7336+$C7336) - MAX(IF($B$2:$B7335=$B7336, $A$2:$A7335+$C$2:$C7335)), "")*24*60, "")</f>
        <v/>
      </c>
      <c r="Q7336" s="24" t="str" cm="1">
        <f t="array" ref="Q7336">IFERROR(IF($B7336=Q$1, ($A7336+$C7336) - MAX(IF($B$2:$B7335=$B7336, $A$2:$A7335+$C$2:$C7335)), "")*24*60, "")</f>
        <v/>
      </c>
      <c r="R7336" s="24" t="str" cm="1">
        <f t="array" ref="R7336">IFERROR(IF($B7336=R$1, ($A7336+$C7336) - MAX(IF($B$2:$B7335=$B7336, $A$2:$A7335+$C$2:$C7335)), "")*24*60, "")</f>
        <v/>
      </c>
      <c r="S7336" s="24" t="str" cm="1">
        <f t="array" ref="S7336">IFERROR(IF($B7336=S$1, ($A7336+$C7336) - MAX(IF($B$2:$B7335=$B7336, $A$2:$A7335+$C$2:$C7335)), "")*24*60, "")</f>
        <v/>
      </c>
    </row>
    <row r="7337" spans="1:19" x14ac:dyDescent="0.2">
      <c r="A7337" s="12">
        <f t="shared" ref="A7337:C7337" si="1519">A7336</f>
        <v>46015</v>
      </c>
      <c r="B7337" s="5" t="str">
        <f t="shared" si="1519"/>
        <v>Northern Cardinal</v>
      </c>
      <c r="C7337" s="6">
        <f t="shared" si="1519"/>
        <v>0.74097222222222225</v>
      </c>
      <c r="D7337" s="5"/>
      <c r="E7337" s="5"/>
      <c r="F7337" s="5" t="s">
        <v>9</v>
      </c>
      <c r="G7337" s="15" t="s">
        <v>8</v>
      </c>
      <c r="H7337" s="24">
        <f t="shared" si="1407"/>
        <v>0</v>
      </c>
      <c r="I7337" s="24" cm="1">
        <f t="array" ref="I7337">IFERROR(IF($B7337=I$1, ($A7337+$C7337) - MAX(IF($B$2:$B7336=$B7337, $A$2:$A7336+$C$2:$C7336)), "")*24*60, "")</f>
        <v>0</v>
      </c>
      <c r="J7337" s="24" t="str" cm="1">
        <f t="array" ref="J7337">IFERROR(IF($B7337=J$1, ($A7337+$C7337) - MAX(IF($B$2:$B7336=$B7337, $A$2:$A7336+$C$2:$C7336)), "")*24*60, "")</f>
        <v/>
      </c>
      <c r="K7337" s="24" t="str" cm="1">
        <f t="array" ref="K7337">IFERROR(IF($B7337=K$1, ($A7337+$C7337) - MAX(IF($B$2:$B7336=$B7337, $A$2:$A7336+$C$2:$C7336)), "")*24*60, "")</f>
        <v/>
      </c>
      <c r="L7337" s="24" t="str" cm="1">
        <f t="array" ref="L7337">IFERROR(IF($B7337=L$1, ($A7337+$C7337) - MAX(IF($B$2:$B7336=$B7337, $A$2:$A7336+$C$2:$C7336)), "")*24*60, "")</f>
        <v/>
      </c>
      <c r="M7337" s="24" t="str" cm="1">
        <f t="array" ref="M7337">IFERROR(IF($B7337=M$1, ($A7337+$C7337) - MAX(IF($B$2:$B7336=$B7337, $A$2:$A7336+$C$2:$C7336)), "")*24*60, "")</f>
        <v/>
      </c>
      <c r="N7337" s="24" t="str" cm="1">
        <f t="array" ref="N7337">IFERROR(IF($B7337=N$1, ($A7337+$C7337) - MAX(IF($B$2:$B7336=$B7337, $A$2:$A7336+$C$2:$C7336)), "")*24*60, "")</f>
        <v/>
      </c>
      <c r="O7337" s="24" t="str" cm="1">
        <f t="array" ref="O7337">IFERROR(IF($B7337=O$1, ($A7337+$C7337) - MAX(IF($B$2:$B7336=$B7337, $A$2:$A7336+$C$2:$C7336)), "")*24*60, "")</f>
        <v/>
      </c>
      <c r="P7337" s="24" t="str" cm="1">
        <f t="array" ref="P7337">IFERROR(IF($B7337=P$1, ($A7337+$C7337) - MAX(IF($B$2:$B7336=$B7337, $A$2:$A7336+$C$2:$C7336)), "")*24*60, "")</f>
        <v/>
      </c>
      <c r="Q7337" s="24" t="str" cm="1">
        <f t="array" ref="Q7337">IFERROR(IF($B7337=Q$1, ($A7337+$C7337) - MAX(IF($B$2:$B7336=$B7337, $A$2:$A7336+$C$2:$C7336)), "")*24*60, "")</f>
        <v/>
      </c>
      <c r="R7337" s="24" t="str" cm="1">
        <f t="array" ref="R7337">IFERROR(IF($B7337=R$1, ($A7337+$C7337) - MAX(IF($B$2:$B7336=$B7337, $A$2:$A7336+$C$2:$C7336)), "")*24*60, "")</f>
        <v/>
      </c>
      <c r="S7337" s="24" t="str" cm="1">
        <f t="array" ref="S7337">IFERROR(IF($B7337=S$1, ($A7337+$C7337) - MAX(IF($B$2:$B7336=$B7337, $A$2:$A7336+$C$2:$C7336)), "")*24*60, "")</f>
        <v/>
      </c>
    </row>
    <row r="7338" spans="1:19" x14ac:dyDescent="0.2">
      <c r="A7338" s="12">
        <f t="shared" ref="A7338:C7338" si="1520">A7337</f>
        <v>46015</v>
      </c>
      <c r="B7338" s="5" t="str">
        <f t="shared" si="1520"/>
        <v>Northern Cardinal</v>
      </c>
      <c r="C7338" s="6">
        <f t="shared" si="1520"/>
        <v>0.74097222222222225</v>
      </c>
      <c r="D7338" s="5"/>
      <c r="E7338" s="5"/>
      <c r="F7338" s="5" t="s">
        <v>9</v>
      </c>
      <c r="G7338" s="15" t="s">
        <v>8</v>
      </c>
      <c r="H7338" s="24">
        <f t="shared" si="1407"/>
        <v>0</v>
      </c>
      <c r="I7338" s="24" cm="1">
        <f t="array" ref="I7338">IFERROR(IF($B7338=I$1, ($A7338+$C7338) - MAX(IF($B$2:$B7337=$B7338, $A$2:$A7337+$C$2:$C7337)), "")*24*60, "")</f>
        <v>0</v>
      </c>
      <c r="J7338" s="24" t="str" cm="1">
        <f t="array" ref="J7338">IFERROR(IF($B7338=J$1, ($A7338+$C7338) - MAX(IF($B$2:$B7337=$B7338, $A$2:$A7337+$C$2:$C7337)), "")*24*60, "")</f>
        <v/>
      </c>
      <c r="K7338" s="24" t="str" cm="1">
        <f t="array" ref="K7338">IFERROR(IF($B7338=K$1, ($A7338+$C7338) - MAX(IF($B$2:$B7337=$B7338, $A$2:$A7337+$C$2:$C7337)), "")*24*60, "")</f>
        <v/>
      </c>
      <c r="L7338" s="24" t="str" cm="1">
        <f t="array" ref="L7338">IFERROR(IF($B7338=L$1, ($A7338+$C7338) - MAX(IF($B$2:$B7337=$B7338, $A$2:$A7337+$C$2:$C7337)), "")*24*60, "")</f>
        <v/>
      </c>
      <c r="M7338" s="24" t="str" cm="1">
        <f t="array" ref="M7338">IFERROR(IF($B7338=M$1, ($A7338+$C7338) - MAX(IF($B$2:$B7337=$B7338, $A$2:$A7337+$C$2:$C7337)), "")*24*60, "")</f>
        <v/>
      </c>
      <c r="N7338" s="24" t="str" cm="1">
        <f t="array" ref="N7338">IFERROR(IF($B7338=N$1, ($A7338+$C7338) - MAX(IF($B$2:$B7337=$B7338, $A$2:$A7337+$C$2:$C7337)), "")*24*60, "")</f>
        <v/>
      </c>
      <c r="O7338" s="24" t="str" cm="1">
        <f t="array" ref="O7338">IFERROR(IF($B7338=O$1, ($A7338+$C7338) - MAX(IF($B$2:$B7337=$B7338, $A$2:$A7337+$C$2:$C7337)), "")*24*60, "")</f>
        <v/>
      </c>
      <c r="P7338" s="24" t="str" cm="1">
        <f t="array" ref="P7338">IFERROR(IF($B7338=P$1, ($A7338+$C7338) - MAX(IF($B$2:$B7337=$B7338, $A$2:$A7337+$C$2:$C7337)), "")*24*60, "")</f>
        <v/>
      </c>
      <c r="Q7338" s="24" t="str" cm="1">
        <f t="array" ref="Q7338">IFERROR(IF($B7338=Q$1, ($A7338+$C7338) - MAX(IF($B$2:$B7337=$B7338, $A$2:$A7337+$C$2:$C7337)), "")*24*60, "")</f>
        <v/>
      </c>
      <c r="R7338" s="24" t="str" cm="1">
        <f t="array" ref="R7338">IFERROR(IF($B7338=R$1, ($A7338+$C7338) - MAX(IF($B$2:$B7337=$B7338, $A$2:$A7337+$C$2:$C7337)), "")*24*60, "")</f>
        <v/>
      </c>
      <c r="S7338" s="24" t="str" cm="1">
        <f t="array" ref="S7338">IFERROR(IF($B7338=S$1, ($A7338+$C7338) - MAX(IF($B$2:$B7337=$B7338, $A$2:$A7337+$C$2:$C7337)), "")*24*60, "")</f>
        <v/>
      </c>
    </row>
    <row r="7339" spans="1:19" x14ac:dyDescent="0.2">
      <c r="A7339" s="12">
        <f t="shared" ref="A7339:C7339" si="1521">A7338</f>
        <v>46015</v>
      </c>
      <c r="B7339" s="5" t="str">
        <f t="shared" si="1521"/>
        <v>Northern Cardinal</v>
      </c>
      <c r="C7339" s="6">
        <f t="shared" si="1521"/>
        <v>0.74097222222222225</v>
      </c>
      <c r="D7339" s="5"/>
      <c r="E7339" s="5"/>
      <c r="F7339" s="5" t="s">
        <v>9</v>
      </c>
      <c r="G7339" s="15" t="s">
        <v>8</v>
      </c>
      <c r="H7339" s="24">
        <f t="shared" si="1407"/>
        <v>0</v>
      </c>
      <c r="I7339" s="24" cm="1">
        <f t="array" ref="I7339">IFERROR(IF($B7339=I$1, ($A7339+$C7339) - MAX(IF($B$2:$B7338=$B7339, $A$2:$A7338+$C$2:$C7338)), "")*24*60, "")</f>
        <v>0</v>
      </c>
      <c r="J7339" s="24" t="str" cm="1">
        <f t="array" ref="J7339">IFERROR(IF($B7339=J$1, ($A7339+$C7339) - MAX(IF($B$2:$B7338=$B7339, $A$2:$A7338+$C$2:$C7338)), "")*24*60, "")</f>
        <v/>
      </c>
      <c r="K7339" s="24" t="str" cm="1">
        <f t="array" ref="K7339">IFERROR(IF($B7339=K$1, ($A7339+$C7339) - MAX(IF($B$2:$B7338=$B7339, $A$2:$A7338+$C$2:$C7338)), "")*24*60, "")</f>
        <v/>
      </c>
      <c r="L7339" s="24" t="str" cm="1">
        <f t="array" ref="L7339">IFERROR(IF($B7339=L$1, ($A7339+$C7339) - MAX(IF($B$2:$B7338=$B7339, $A$2:$A7338+$C$2:$C7338)), "")*24*60, "")</f>
        <v/>
      </c>
      <c r="M7339" s="24" t="str" cm="1">
        <f t="array" ref="M7339">IFERROR(IF($B7339=M$1, ($A7339+$C7339) - MAX(IF($B$2:$B7338=$B7339, $A$2:$A7338+$C$2:$C7338)), "")*24*60, "")</f>
        <v/>
      </c>
      <c r="N7339" s="24" t="str" cm="1">
        <f t="array" ref="N7339">IFERROR(IF($B7339=N$1, ($A7339+$C7339) - MAX(IF($B$2:$B7338=$B7339, $A$2:$A7338+$C$2:$C7338)), "")*24*60, "")</f>
        <v/>
      </c>
      <c r="O7339" s="24" t="str" cm="1">
        <f t="array" ref="O7339">IFERROR(IF($B7339=O$1, ($A7339+$C7339) - MAX(IF($B$2:$B7338=$B7339, $A$2:$A7338+$C$2:$C7338)), "")*24*60, "")</f>
        <v/>
      </c>
      <c r="P7339" s="24" t="str" cm="1">
        <f t="array" ref="P7339">IFERROR(IF($B7339=P$1, ($A7339+$C7339) - MAX(IF($B$2:$B7338=$B7339, $A$2:$A7338+$C$2:$C7338)), "")*24*60, "")</f>
        <v/>
      </c>
      <c r="Q7339" s="24" t="str" cm="1">
        <f t="array" ref="Q7339">IFERROR(IF($B7339=Q$1, ($A7339+$C7339) - MAX(IF($B$2:$B7338=$B7339, $A$2:$A7338+$C$2:$C7338)), "")*24*60, "")</f>
        <v/>
      </c>
      <c r="R7339" s="24" t="str" cm="1">
        <f t="array" ref="R7339">IFERROR(IF($B7339=R$1, ($A7339+$C7339) - MAX(IF($B$2:$B7338=$B7339, $A$2:$A7338+$C$2:$C7338)), "")*24*60, "")</f>
        <v/>
      </c>
      <c r="S7339" s="24" t="str" cm="1">
        <f t="array" ref="S7339">IFERROR(IF($B7339=S$1, ($A7339+$C7339) - MAX(IF($B$2:$B7338=$B7339, $A$2:$A7338+$C$2:$C7338)), "")*24*60, "")</f>
        <v/>
      </c>
    </row>
    <row r="7340" spans="1:19" x14ac:dyDescent="0.2">
      <c r="A7340" s="12">
        <f t="shared" ref="A7340:C7340" si="1522">A7339</f>
        <v>46015</v>
      </c>
      <c r="B7340" s="5" t="str">
        <f t="shared" si="1522"/>
        <v>Northern Cardinal</v>
      </c>
      <c r="C7340" s="6">
        <f t="shared" si="1522"/>
        <v>0.74097222222222225</v>
      </c>
      <c r="D7340" s="5"/>
      <c r="E7340" s="5"/>
      <c r="F7340" s="5" t="s">
        <v>9</v>
      </c>
      <c r="G7340" s="15" t="s">
        <v>8</v>
      </c>
      <c r="H7340" s="24">
        <f t="shared" si="1407"/>
        <v>0</v>
      </c>
      <c r="I7340" s="24" cm="1">
        <f t="array" ref="I7340">IFERROR(IF($B7340=I$1, ($A7340+$C7340) - MAX(IF($B$2:$B7339=$B7340, $A$2:$A7339+$C$2:$C7339)), "")*24*60, "")</f>
        <v>0</v>
      </c>
      <c r="J7340" s="24" t="str" cm="1">
        <f t="array" ref="J7340">IFERROR(IF($B7340=J$1, ($A7340+$C7340) - MAX(IF($B$2:$B7339=$B7340, $A$2:$A7339+$C$2:$C7339)), "")*24*60, "")</f>
        <v/>
      </c>
      <c r="K7340" s="24" t="str" cm="1">
        <f t="array" ref="K7340">IFERROR(IF($B7340=K$1, ($A7340+$C7340) - MAX(IF($B$2:$B7339=$B7340, $A$2:$A7339+$C$2:$C7339)), "")*24*60, "")</f>
        <v/>
      </c>
      <c r="L7340" s="24" t="str" cm="1">
        <f t="array" ref="L7340">IFERROR(IF($B7340=L$1, ($A7340+$C7340) - MAX(IF($B$2:$B7339=$B7340, $A$2:$A7339+$C$2:$C7339)), "")*24*60, "")</f>
        <v/>
      </c>
      <c r="M7340" s="24" t="str" cm="1">
        <f t="array" ref="M7340">IFERROR(IF($B7340=M$1, ($A7340+$C7340) - MAX(IF($B$2:$B7339=$B7340, $A$2:$A7339+$C$2:$C7339)), "")*24*60, "")</f>
        <v/>
      </c>
      <c r="N7340" s="24" t="str" cm="1">
        <f t="array" ref="N7340">IFERROR(IF($B7340=N$1, ($A7340+$C7340) - MAX(IF($B$2:$B7339=$B7340, $A$2:$A7339+$C$2:$C7339)), "")*24*60, "")</f>
        <v/>
      </c>
      <c r="O7340" s="24" t="str" cm="1">
        <f t="array" ref="O7340">IFERROR(IF($B7340=O$1, ($A7340+$C7340) - MAX(IF($B$2:$B7339=$B7340, $A$2:$A7339+$C$2:$C7339)), "")*24*60, "")</f>
        <v/>
      </c>
      <c r="P7340" s="24" t="str" cm="1">
        <f t="array" ref="P7340">IFERROR(IF($B7340=P$1, ($A7340+$C7340) - MAX(IF($B$2:$B7339=$B7340, $A$2:$A7339+$C$2:$C7339)), "")*24*60, "")</f>
        <v/>
      </c>
      <c r="Q7340" s="24" t="str" cm="1">
        <f t="array" ref="Q7340">IFERROR(IF($B7340=Q$1, ($A7340+$C7340) - MAX(IF($B$2:$B7339=$B7340, $A$2:$A7339+$C$2:$C7339)), "")*24*60, "")</f>
        <v/>
      </c>
      <c r="R7340" s="24" t="str" cm="1">
        <f t="array" ref="R7340">IFERROR(IF($B7340=R$1, ($A7340+$C7340) - MAX(IF($B$2:$B7339=$B7340, $A$2:$A7339+$C$2:$C7339)), "")*24*60, "")</f>
        <v/>
      </c>
      <c r="S7340" s="24" t="str" cm="1">
        <f t="array" ref="S7340">IFERROR(IF($B7340=S$1, ($A7340+$C7340) - MAX(IF($B$2:$B7339=$B7340, $A$2:$A7339+$C$2:$C7339)), "")*24*60, "")</f>
        <v/>
      </c>
    </row>
    <row r="7341" spans="1:19" x14ac:dyDescent="0.2">
      <c r="A7341" s="12">
        <f t="shared" ref="A7341:C7341" si="1523">A7340</f>
        <v>46015</v>
      </c>
      <c r="B7341" s="5" t="str">
        <f t="shared" si="1523"/>
        <v>Northern Cardinal</v>
      </c>
      <c r="C7341" s="6">
        <f t="shared" si="1523"/>
        <v>0.74097222222222225</v>
      </c>
      <c r="D7341" s="5"/>
      <c r="E7341" s="5"/>
      <c r="F7341" s="5" t="s">
        <v>9</v>
      </c>
      <c r="G7341" s="15" t="s">
        <v>8</v>
      </c>
      <c r="H7341" s="24">
        <f t="shared" si="1407"/>
        <v>0</v>
      </c>
      <c r="I7341" s="24" cm="1">
        <f t="array" ref="I7341">IFERROR(IF($B7341=I$1, ($A7341+$C7341) - MAX(IF($B$2:$B7340=$B7341, $A$2:$A7340+$C$2:$C7340)), "")*24*60, "")</f>
        <v>0</v>
      </c>
      <c r="J7341" s="24" t="str" cm="1">
        <f t="array" ref="J7341">IFERROR(IF($B7341=J$1, ($A7341+$C7341) - MAX(IF($B$2:$B7340=$B7341, $A$2:$A7340+$C$2:$C7340)), "")*24*60, "")</f>
        <v/>
      </c>
      <c r="K7341" s="24" t="str" cm="1">
        <f t="array" ref="K7341">IFERROR(IF($B7341=K$1, ($A7341+$C7341) - MAX(IF($B$2:$B7340=$B7341, $A$2:$A7340+$C$2:$C7340)), "")*24*60, "")</f>
        <v/>
      </c>
      <c r="L7341" s="24" t="str" cm="1">
        <f t="array" ref="L7341">IFERROR(IF($B7341=L$1, ($A7341+$C7341) - MAX(IF($B$2:$B7340=$B7341, $A$2:$A7340+$C$2:$C7340)), "")*24*60, "")</f>
        <v/>
      </c>
      <c r="M7341" s="24" t="str" cm="1">
        <f t="array" ref="M7341">IFERROR(IF($B7341=M$1, ($A7341+$C7341) - MAX(IF($B$2:$B7340=$B7341, $A$2:$A7340+$C$2:$C7340)), "")*24*60, "")</f>
        <v/>
      </c>
      <c r="N7341" s="24" t="str" cm="1">
        <f t="array" ref="N7341">IFERROR(IF($B7341=N$1, ($A7341+$C7341) - MAX(IF($B$2:$B7340=$B7341, $A$2:$A7340+$C$2:$C7340)), "")*24*60, "")</f>
        <v/>
      </c>
      <c r="O7341" s="24" t="str" cm="1">
        <f t="array" ref="O7341">IFERROR(IF($B7341=O$1, ($A7341+$C7341) - MAX(IF($B$2:$B7340=$B7341, $A$2:$A7340+$C$2:$C7340)), "")*24*60, "")</f>
        <v/>
      </c>
      <c r="P7341" s="24" t="str" cm="1">
        <f t="array" ref="P7341">IFERROR(IF($B7341=P$1, ($A7341+$C7341) - MAX(IF($B$2:$B7340=$B7341, $A$2:$A7340+$C$2:$C7340)), "")*24*60, "")</f>
        <v/>
      </c>
      <c r="Q7341" s="24" t="str" cm="1">
        <f t="array" ref="Q7341">IFERROR(IF($B7341=Q$1, ($A7341+$C7341) - MAX(IF($B$2:$B7340=$B7341, $A$2:$A7340+$C$2:$C7340)), "")*24*60, "")</f>
        <v/>
      </c>
      <c r="R7341" s="24" t="str" cm="1">
        <f t="array" ref="R7341">IFERROR(IF($B7341=R$1, ($A7341+$C7341) - MAX(IF($B$2:$B7340=$B7341, $A$2:$A7340+$C$2:$C7340)), "")*24*60, "")</f>
        <v/>
      </c>
      <c r="S7341" s="24" t="str" cm="1">
        <f t="array" ref="S7341">IFERROR(IF($B7341=S$1, ($A7341+$C7341) - MAX(IF($B$2:$B7340=$B7341, $A$2:$A7340+$C$2:$C7340)), "")*24*60, "")</f>
        <v/>
      </c>
    </row>
    <row r="7342" spans="1:19" x14ac:dyDescent="0.2">
      <c r="A7342" s="12">
        <f t="shared" ref="A7342:C7342" si="1524">A7341</f>
        <v>46015</v>
      </c>
      <c r="B7342" s="5" t="str">
        <f t="shared" si="1524"/>
        <v>Northern Cardinal</v>
      </c>
      <c r="C7342" s="6">
        <f t="shared" si="1524"/>
        <v>0.74097222222222225</v>
      </c>
      <c r="D7342" s="5"/>
      <c r="E7342" s="5"/>
      <c r="F7342" s="5" t="s">
        <v>9</v>
      </c>
      <c r="G7342" s="15" t="s">
        <v>8</v>
      </c>
      <c r="H7342" s="24">
        <f t="shared" si="1407"/>
        <v>0</v>
      </c>
      <c r="I7342" s="24" cm="1">
        <f t="array" ref="I7342">IFERROR(IF($B7342=I$1, ($A7342+$C7342) - MAX(IF($B$2:$B7341=$B7342, $A$2:$A7341+$C$2:$C7341)), "")*24*60, "")</f>
        <v>0</v>
      </c>
      <c r="J7342" s="24" t="str" cm="1">
        <f t="array" ref="J7342">IFERROR(IF($B7342=J$1, ($A7342+$C7342) - MAX(IF($B$2:$B7341=$B7342, $A$2:$A7341+$C$2:$C7341)), "")*24*60, "")</f>
        <v/>
      </c>
      <c r="K7342" s="24" t="str" cm="1">
        <f t="array" ref="K7342">IFERROR(IF($B7342=K$1, ($A7342+$C7342) - MAX(IF($B$2:$B7341=$B7342, $A$2:$A7341+$C$2:$C7341)), "")*24*60, "")</f>
        <v/>
      </c>
      <c r="L7342" s="24" t="str" cm="1">
        <f t="array" ref="L7342">IFERROR(IF($B7342=L$1, ($A7342+$C7342) - MAX(IF($B$2:$B7341=$B7342, $A$2:$A7341+$C$2:$C7341)), "")*24*60, "")</f>
        <v/>
      </c>
      <c r="M7342" s="24" t="str" cm="1">
        <f t="array" ref="M7342">IFERROR(IF($B7342=M$1, ($A7342+$C7342) - MAX(IF($B$2:$B7341=$B7342, $A$2:$A7341+$C$2:$C7341)), "")*24*60, "")</f>
        <v/>
      </c>
      <c r="N7342" s="24" t="str" cm="1">
        <f t="array" ref="N7342">IFERROR(IF($B7342=N$1, ($A7342+$C7342) - MAX(IF($B$2:$B7341=$B7342, $A$2:$A7341+$C$2:$C7341)), "")*24*60, "")</f>
        <v/>
      </c>
      <c r="O7342" s="24" t="str" cm="1">
        <f t="array" ref="O7342">IFERROR(IF($B7342=O$1, ($A7342+$C7342) - MAX(IF($B$2:$B7341=$B7342, $A$2:$A7341+$C$2:$C7341)), "")*24*60, "")</f>
        <v/>
      </c>
      <c r="P7342" s="24" t="str" cm="1">
        <f t="array" ref="P7342">IFERROR(IF($B7342=P$1, ($A7342+$C7342) - MAX(IF($B$2:$B7341=$B7342, $A$2:$A7341+$C$2:$C7341)), "")*24*60, "")</f>
        <v/>
      </c>
      <c r="Q7342" s="24" t="str" cm="1">
        <f t="array" ref="Q7342">IFERROR(IF($B7342=Q$1, ($A7342+$C7342) - MAX(IF($B$2:$B7341=$B7342, $A$2:$A7341+$C$2:$C7341)), "")*24*60, "")</f>
        <v/>
      </c>
      <c r="R7342" s="24" t="str" cm="1">
        <f t="array" ref="R7342">IFERROR(IF($B7342=R$1, ($A7342+$C7342) - MAX(IF($B$2:$B7341=$B7342, $A$2:$A7341+$C$2:$C7341)), "")*24*60, "")</f>
        <v/>
      </c>
      <c r="S7342" s="24" t="str" cm="1">
        <f t="array" ref="S7342">IFERROR(IF($B7342=S$1, ($A7342+$C7342) - MAX(IF($B$2:$B7341=$B7342, $A$2:$A7341+$C$2:$C7341)), "")*24*60, "")</f>
        <v/>
      </c>
    </row>
    <row r="7343" spans="1:19" x14ac:dyDescent="0.2">
      <c r="A7343" s="12">
        <f t="shared" ref="A7343:C7343" si="1525">A7342</f>
        <v>46015</v>
      </c>
      <c r="B7343" s="5" t="str">
        <f t="shared" si="1525"/>
        <v>Northern Cardinal</v>
      </c>
      <c r="C7343" s="6">
        <f t="shared" si="1525"/>
        <v>0.74097222222222225</v>
      </c>
      <c r="D7343" s="5"/>
      <c r="E7343" s="5"/>
      <c r="F7343" s="5" t="s">
        <v>9</v>
      </c>
      <c r="G7343" s="15" t="s">
        <v>8</v>
      </c>
      <c r="H7343" s="24">
        <f t="shared" si="1407"/>
        <v>0</v>
      </c>
      <c r="I7343" s="24" cm="1">
        <f t="array" ref="I7343">IFERROR(IF($B7343=I$1, ($A7343+$C7343) - MAX(IF($B$2:$B7342=$B7343, $A$2:$A7342+$C$2:$C7342)), "")*24*60, "")</f>
        <v>0</v>
      </c>
      <c r="J7343" s="24" t="str" cm="1">
        <f t="array" ref="J7343">IFERROR(IF($B7343=J$1, ($A7343+$C7343) - MAX(IF($B$2:$B7342=$B7343, $A$2:$A7342+$C$2:$C7342)), "")*24*60, "")</f>
        <v/>
      </c>
      <c r="K7343" s="24" t="str" cm="1">
        <f t="array" ref="K7343">IFERROR(IF($B7343=K$1, ($A7343+$C7343) - MAX(IF($B$2:$B7342=$B7343, $A$2:$A7342+$C$2:$C7342)), "")*24*60, "")</f>
        <v/>
      </c>
      <c r="L7343" s="24" t="str" cm="1">
        <f t="array" ref="L7343">IFERROR(IF($B7343=L$1, ($A7343+$C7343) - MAX(IF($B$2:$B7342=$B7343, $A$2:$A7342+$C$2:$C7342)), "")*24*60, "")</f>
        <v/>
      </c>
      <c r="M7343" s="24" t="str" cm="1">
        <f t="array" ref="M7343">IFERROR(IF($B7343=M$1, ($A7343+$C7343) - MAX(IF($B$2:$B7342=$B7343, $A$2:$A7342+$C$2:$C7342)), "")*24*60, "")</f>
        <v/>
      </c>
      <c r="N7343" s="24" t="str" cm="1">
        <f t="array" ref="N7343">IFERROR(IF($B7343=N$1, ($A7343+$C7343) - MAX(IF($B$2:$B7342=$B7343, $A$2:$A7342+$C$2:$C7342)), "")*24*60, "")</f>
        <v/>
      </c>
      <c r="O7343" s="24" t="str" cm="1">
        <f t="array" ref="O7343">IFERROR(IF($B7343=O$1, ($A7343+$C7343) - MAX(IF($B$2:$B7342=$B7343, $A$2:$A7342+$C$2:$C7342)), "")*24*60, "")</f>
        <v/>
      </c>
      <c r="P7343" s="24" t="str" cm="1">
        <f t="array" ref="P7343">IFERROR(IF($B7343=P$1, ($A7343+$C7343) - MAX(IF($B$2:$B7342=$B7343, $A$2:$A7342+$C$2:$C7342)), "")*24*60, "")</f>
        <v/>
      </c>
      <c r="Q7343" s="24" t="str" cm="1">
        <f t="array" ref="Q7343">IFERROR(IF($B7343=Q$1, ($A7343+$C7343) - MAX(IF($B$2:$B7342=$B7343, $A$2:$A7342+$C$2:$C7342)), "")*24*60, "")</f>
        <v/>
      </c>
      <c r="R7343" s="24" t="str" cm="1">
        <f t="array" ref="R7343">IFERROR(IF($B7343=R$1, ($A7343+$C7343) - MAX(IF($B$2:$B7342=$B7343, $A$2:$A7342+$C$2:$C7342)), "")*24*60, "")</f>
        <v/>
      </c>
      <c r="S7343" s="24" t="str" cm="1">
        <f t="array" ref="S7343">IFERROR(IF($B7343=S$1, ($A7343+$C7343) - MAX(IF($B$2:$B7342=$B7343, $A$2:$A7342+$C$2:$C7342)), "")*24*60, "")</f>
        <v/>
      </c>
    </row>
    <row r="7344" spans="1:19" x14ac:dyDescent="0.2">
      <c r="A7344" s="12">
        <f t="shared" ref="A7344:C7344" si="1526">A7343</f>
        <v>46015</v>
      </c>
      <c r="B7344" s="5" t="str">
        <f t="shared" si="1526"/>
        <v>Northern Cardinal</v>
      </c>
      <c r="C7344" s="6">
        <f t="shared" si="1526"/>
        <v>0.74097222222222225</v>
      </c>
      <c r="D7344" s="5"/>
      <c r="E7344" s="5"/>
      <c r="F7344" s="5" t="s">
        <v>9</v>
      </c>
      <c r="G7344" s="15" t="s">
        <v>8</v>
      </c>
      <c r="H7344" s="24">
        <f t="shared" si="1407"/>
        <v>0</v>
      </c>
      <c r="I7344" s="24" cm="1">
        <f t="array" ref="I7344">IFERROR(IF($B7344=I$1, ($A7344+$C7344) - MAX(IF($B$2:$B7343=$B7344, $A$2:$A7343+$C$2:$C7343)), "")*24*60, "")</f>
        <v>0</v>
      </c>
      <c r="J7344" s="24" t="str" cm="1">
        <f t="array" ref="J7344">IFERROR(IF($B7344=J$1, ($A7344+$C7344) - MAX(IF($B$2:$B7343=$B7344, $A$2:$A7343+$C$2:$C7343)), "")*24*60, "")</f>
        <v/>
      </c>
      <c r="K7344" s="24" t="str" cm="1">
        <f t="array" ref="K7344">IFERROR(IF($B7344=K$1, ($A7344+$C7344) - MAX(IF($B$2:$B7343=$B7344, $A$2:$A7343+$C$2:$C7343)), "")*24*60, "")</f>
        <v/>
      </c>
      <c r="L7344" s="24" t="str" cm="1">
        <f t="array" ref="L7344">IFERROR(IF($B7344=L$1, ($A7344+$C7344) - MAX(IF($B$2:$B7343=$B7344, $A$2:$A7343+$C$2:$C7343)), "")*24*60, "")</f>
        <v/>
      </c>
      <c r="M7344" s="24" t="str" cm="1">
        <f t="array" ref="M7344">IFERROR(IF($B7344=M$1, ($A7344+$C7344) - MAX(IF($B$2:$B7343=$B7344, $A$2:$A7343+$C$2:$C7343)), "")*24*60, "")</f>
        <v/>
      </c>
      <c r="N7344" s="24" t="str" cm="1">
        <f t="array" ref="N7344">IFERROR(IF($B7344=N$1, ($A7344+$C7344) - MAX(IF($B$2:$B7343=$B7344, $A$2:$A7343+$C$2:$C7343)), "")*24*60, "")</f>
        <v/>
      </c>
      <c r="O7344" s="24" t="str" cm="1">
        <f t="array" ref="O7344">IFERROR(IF($B7344=O$1, ($A7344+$C7344) - MAX(IF($B$2:$B7343=$B7344, $A$2:$A7343+$C$2:$C7343)), "")*24*60, "")</f>
        <v/>
      </c>
      <c r="P7344" s="24" t="str" cm="1">
        <f t="array" ref="P7344">IFERROR(IF($B7344=P$1, ($A7344+$C7344) - MAX(IF($B$2:$B7343=$B7344, $A$2:$A7343+$C$2:$C7343)), "")*24*60, "")</f>
        <v/>
      </c>
      <c r="Q7344" s="24" t="str" cm="1">
        <f t="array" ref="Q7344">IFERROR(IF($B7344=Q$1, ($A7344+$C7344) - MAX(IF($B$2:$B7343=$B7344, $A$2:$A7343+$C$2:$C7343)), "")*24*60, "")</f>
        <v/>
      </c>
      <c r="R7344" s="24" t="str" cm="1">
        <f t="array" ref="R7344">IFERROR(IF($B7344=R$1, ($A7344+$C7344) - MAX(IF($B$2:$B7343=$B7344, $A$2:$A7343+$C$2:$C7343)), "")*24*60, "")</f>
        <v/>
      </c>
      <c r="S7344" s="24" t="str" cm="1">
        <f t="array" ref="S7344">IFERROR(IF($B7344=S$1, ($A7344+$C7344) - MAX(IF($B$2:$B7343=$B7344, $A$2:$A7343+$C$2:$C7343)), "")*24*60, "")</f>
        <v/>
      </c>
    </row>
    <row r="7345" spans="1:19" x14ac:dyDescent="0.2">
      <c r="A7345" s="12">
        <f t="shared" ref="A7345:C7345" si="1527">A7344</f>
        <v>46015</v>
      </c>
      <c r="B7345" s="5" t="str">
        <f t="shared" si="1527"/>
        <v>Northern Cardinal</v>
      </c>
      <c r="C7345" s="6">
        <f t="shared" si="1527"/>
        <v>0.74097222222222225</v>
      </c>
      <c r="D7345" s="5"/>
      <c r="E7345" s="5"/>
      <c r="F7345" s="5" t="s">
        <v>9</v>
      </c>
      <c r="G7345" s="15" t="s">
        <v>8</v>
      </c>
      <c r="H7345" s="24">
        <f t="shared" si="1407"/>
        <v>0</v>
      </c>
      <c r="I7345" s="24" cm="1">
        <f t="array" ref="I7345">IFERROR(IF($B7345=I$1, ($A7345+$C7345) - MAX(IF($B$2:$B7344=$B7345, $A$2:$A7344+$C$2:$C7344)), "")*24*60, "")</f>
        <v>0</v>
      </c>
      <c r="J7345" s="24" t="str" cm="1">
        <f t="array" ref="J7345">IFERROR(IF($B7345=J$1, ($A7345+$C7345) - MAX(IF($B$2:$B7344=$B7345, $A$2:$A7344+$C$2:$C7344)), "")*24*60, "")</f>
        <v/>
      </c>
      <c r="K7345" s="24" t="str" cm="1">
        <f t="array" ref="K7345">IFERROR(IF($B7345=K$1, ($A7345+$C7345) - MAX(IF($B$2:$B7344=$B7345, $A$2:$A7344+$C$2:$C7344)), "")*24*60, "")</f>
        <v/>
      </c>
      <c r="L7345" s="24" t="str" cm="1">
        <f t="array" ref="L7345">IFERROR(IF($B7345=L$1, ($A7345+$C7345) - MAX(IF($B$2:$B7344=$B7345, $A$2:$A7344+$C$2:$C7344)), "")*24*60, "")</f>
        <v/>
      </c>
      <c r="M7345" s="24" t="str" cm="1">
        <f t="array" ref="M7345">IFERROR(IF($B7345=M$1, ($A7345+$C7345) - MAX(IF($B$2:$B7344=$B7345, $A$2:$A7344+$C$2:$C7344)), "")*24*60, "")</f>
        <v/>
      </c>
      <c r="N7345" s="24" t="str" cm="1">
        <f t="array" ref="N7345">IFERROR(IF($B7345=N$1, ($A7345+$C7345) - MAX(IF($B$2:$B7344=$B7345, $A$2:$A7344+$C$2:$C7344)), "")*24*60, "")</f>
        <v/>
      </c>
      <c r="O7345" s="24" t="str" cm="1">
        <f t="array" ref="O7345">IFERROR(IF($B7345=O$1, ($A7345+$C7345) - MAX(IF($B$2:$B7344=$B7345, $A$2:$A7344+$C$2:$C7344)), "")*24*60, "")</f>
        <v/>
      </c>
      <c r="P7345" s="24" t="str" cm="1">
        <f t="array" ref="P7345">IFERROR(IF($B7345=P$1, ($A7345+$C7345) - MAX(IF($B$2:$B7344=$B7345, $A$2:$A7344+$C$2:$C7344)), "")*24*60, "")</f>
        <v/>
      </c>
      <c r="Q7345" s="24" t="str" cm="1">
        <f t="array" ref="Q7345">IFERROR(IF($B7345=Q$1, ($A7345+$C7345) - MAX(IF($B$2:$B7344=$B7345, $A$2:$A7344+$C$2:$C7344)), "")*24*60, "")</f>
        <v/>
      </c>
      <c r="R7345" s="24" t="str" cm="1">
        <f t="array" ref="R7345">IFERROR(IF($B7345=R$1, ($A7345+$C7345) - MAX(IF($B$2:$B7344=$B7345, $A$2:$A7344+$C$2:$C7344)), "")*24*60, "")</f>
        <v/>
      </c>
      <c r="S7345" s="24" t="str" cm="1">
        <f t="array" ref="S7345">IFERROR(IF($B7345=S$1, ($A7345+$C7345) - MAX(IF($B$2:$B7344=$B7345, $A$2:$A7344+$C$2:$C7344)), "")*24*60, "")</f>
        <v/>
      </c>
    </row>
    <row r="7346" spans="1:19" x14ac:dyDescent="0.2">
      <c r="A7346" s="12">
        <f t="shared" ref="A7346:C7346" si="1528">A7345</f>
        <v>46015</v>
      </c>
      <c r="B7346" s="5" t="str">
        <f t="shared" si="1528"/>
        <v>Northern Cardinal</v>
      </c>
      <c r="C7346" s="6">
        <f t="shared" si="1528"/>
        <v>0.74097222222222225</v>
      </c>
      <c r="D7346" s="5"/>
      <c r="E7346" s="5"/>
      <c r="F7346" s="5" t="s">
        <v>9</v>
      </c>
      <c r="G7346" s="15" t="s">
        <v>8</v>
      </c>
      <c r="H7346" s="24">
        <f t="shared" si="1407"/>
        <v>0</v>
      </c>
      <c r="I7346" s="24" cm="1">
        <f t="array" ref="I7346">IFERROR(IF($B7346=I$1, ($A7346+$C7346) - MAX(IF($B$2:$B7345=$B7346, $A$2:$A7345+$C$2:$C7345)), "")*24*60, "")</f>
        <v>0</v>
      </c>
      <c r="J7346" s="24" t="str" cm="1">
        <f t="array" ref="J7346">IFERROR(IF($B7346=J$1, ($A7346+$C7346) - MAX(IF($B$2:$B7345=$B7346, $A$2:$A7345+$C$2:$C7345)), "")*24*60, "")</f>
        <v/>
      </c>
      <c r="K7346" s="24" t="str" cm="1">
        <f t="array" ref="K7346">IFERROR(IF($B7346=K$1, ($A7346+$C7346) - MAX(IF($B$2:$B7345=$B7346, $A$2:$A7345+$C$2:$C7345)), "")*24*60, "")</f>
        <v/>
      </c>
      <c r="L7346" s="24" t="str" cm="1">
        <f t="array" ref="L7346">IFERROR(IF($B7346=L$1, ($A7346+$C7346) - MAX(IF($B$2:$B7345=$B7346, $A$2:$A7345+$C$2:$C7345)), "")*24*60, "")</f>
        <v/>
      </c>
      <c r="M7346" s="24" t="str" cm="1">
        <f t="array" ref="M7346">IFERROR(IF($B7346=M$1, ($A7346+$C7346) - MAX(IF($B$2:$B7345=$B7346, $A$2:$A7345+$C$2:$C7345)), "")*24*60, "")</f>
        <v/>
      </c>
      <c r="N7346" s="24" t="str" cm="1">
        <f t="array" ref="N7346">IFERROR(IF($B7346=N$1, ($A7346+$C7346) - MAX(IF($B$2:$B7345=$B7346, $A$2:$A7345+$C$2:$C7345)), "")*24*60, "")</f>
        <v/>
      </c>
      <c r="O7346" s="24" t="str" cm="1">
        <f t="array" ref="O7346">IFERROR(IF($B7346=O$1, ($A7346+$C7346) - MAX(IF($B$2:$B7345=$B7346, $A$2:$A7345+$C$2:$C7345)), "")*24*60, "")</f>
        <v/>
      </c>
      <c r="P7346" s="24" t="str" cm="1">
        <f t="array" ref="P7346">IFERROR(IF($B7346=P$1, ($A7346+$C7346) - MAX(IF($B$2:$B7345=$B7346, $A$2:$A7345+$C$2:$C7345)), "")*24*60, "")</f>
        <v/>
      </c>
      <c r="Q7346" s="24" t="str" cm="1">
        <f t="array" ref="Q7346">IFERROR(IF($B7346=Q$1, ($A7346+$C7346) - MAX(IF($B$2:$B7345=$B7346, $A$2:$A7345+$C$2:$C7345)), "")*24*60, "")</f>
        <v/>
      </c>
      <c r="R7346" s="24" t="str" cm="1">
        <f t="array" ref="R7346">IFERROR(IF($B7346=R$1, ($A7346+$C7346) - MAX(IF($B$2:$B7345=$B7346, $A$2:$A7345+$C$2:$C7345)), "")*24*60, "")</f>
        <v/>
      </c>
      <c r="S7346" s="24" t="str" cm="1">
        <f t="array" ref="S7346">IFERROR(IF($B7346=S$1, ($A7346+$C7346) - MAX(IF($B$2:$B7345=$B7346, $A$2:$A7345+$C$2:$C7345)), "")*24*60, "")</f>
        <v/>
      </c>
    </row>
    <row r="7347" spans="1:19" x14ac:dyDescent="0.2">
      <c r="A7347" s="12">
        <f t="shared" ref="A7347:C7347" si="1529">A7346</f>
        <v>46015</v>
      </c>
      <c r="B7347" s="5" t="str">
        <f t="shared" si="1529"/>
        <v>Northern Cardinal</v>
      </c>
      <c r="C7347" s="6">
        <f t="shared" si="1529"/>
        <v>0.74097222222222225</v>
      </c>
      <c r="D7347" s="5"/>
      <c r="E7347" s="5"/>
      <c r="F7347" s="5" t="s">
        <v>9</v>
      </c>
      <c r="G7347" s="15" t="s">
        <v>8</v>
      </c>
      <c r="H7347" s="24">
        <f t="shared" si="1407"/>
        <v>0</v>
      </c>
      <c r="I7347" s="24" cm="1">
        <f t="array" ref="I7347">IFERROR(IF($B7347=I$1, ($A7347+$C7347) - MAX(IF($B$2:$B7346=$B7347, $A$2:$A7346+$C$2:$C7346)), "")*24*60, "")</f>
        <v>0</v>
      </c>
      <c r="J7347" s="24" t="str" cm="1">
        <f t="array" ref="J7347">IFERROR(IF($B7347=J$1, ($A7347+$C7347) - MAX(IF($B$2:$B7346=$B7347, $A$2:$A7346+$C$2:$C7346)), "")*24*60, "")</f>
        <v/>
      </c>
      <c r="K7347" s="24" t="str" cm="1">
        <f t="array" ref="K7347">IFERROR(IF($B7347=K$1, ($A7347+$C7347) - MAX(IF($B$2:$B7346=$B7347, $A$2:$A7346+$C$2:$C7346)), "")*24*60, "")</f>
        <v/>
      </c>
      <c r="L7347" s="24" t="str" cm="1">
        <f t="array" ref="L7347">IFERROR(IF($B7347=L$1, ($A7347+$C7347) - MAX(IF($B$2:$B7346=$B7347, $A$2:$A7346+$C$2:$C7346)), "")*24*60, "")</f>
        <v/>
      </c>
      <c r="M7347" s="24" t="str" cm="1">
        <f t="array" ref="M7347">IFERROR(IF($B7347=M$1, ($A7347+$C7347) - MAX(IF($B$2:$B7346=$B7347, $A$2:$A7346+$C$2:$C7346)), "")*24*60, "")</f>
        <v/>
      </c>
      <c r="N7347" s="24" t="str" cm="1">
        <f t="array" ref="N7347">IFERROR(IF($B7347=N$1, ($A7347+$C7347) - MAX(IF($B$2:$B7346=$B7347, $A$2:$A7346+$C$2:$C7346)), "")*24*60, "")</f>
        <v/>
      </c>
      <c r="O7347" s="24" t="str" cm="1">
        <f t="array" ref="O7347">IFERROR(IF($B7347=O$1, ($A7347+$C7347) - MAX(IF($B$2:$B7346=$B7347, $A$2:$A7346+$C$2:$C7346)), "")*24*60, "")</f>
        <v/>
      </c>
      <c r="P7347" s="24" t="str" cm="1">
        <f t="array" ref="P7347">IFERROR(IF($B7347=P$1, ($A7347+$C7347) - MAX(IF($B$2:$B7346=$B7347, $A$2:$A7346+$C$2:$C7346)), "")*24*60, "")</f>
        <v/>
      </c>
      <c r="Q7347" s="24" t="str" cm="1">
        <f t="array" ref="Q7347">IFERROR(IF($B7347=Q$1, ($A7347+$C7347) - MAX(IF($B$2:$B7346=$B7347, $A$2:$A7346+$C$2:$C7346)), "")*24*60, "")</f>
        <v/>
      </c>
      <c r="R7347" s="24" t="str" cm="1">
        <f t="array" ref="R7347">IFERROR(IF($B7347=R$1, ($A7347+$C7347) - MAX(IF($B$2:$B7346=$B7347, $A$2:$A7346+$C$2:$C7346)), "")*24*60, "")</f>
        <v/>
      </c>
      <c r="S7347" s="24" t="str" cm="1">
        <f t="array" ref="S7347">IFERROR(IF($B7347=S$1, ($A7347+$C7347) - MAX(IF($B$2:$B7346=$B7347, $A$2:$A7346+$C$2:$C7346)), "")*24*60, "")</f>
        <v/>
      </c>
    </row>
    <row r="7348" spans="1:19" x14ac:dyDescent="0.2">
      <c r="A7348" s="12">
        <f t="shared" ref="A7348:C7348" si="1530">A7347</f>
        <v>46015</v>
      </c>
      <c r="B7348" s="5" t="str">
        <f t="shared" si="1530"/>
        <v>Northern Cardinal</v>
      </c>
      <c r="C7348" s="6">
        <f t="shared" si="1530"/>
        <v>0.74097222222222225</v>
      </c>
      <c r="D7348" s="5"/>
      <c r="E7348" s="5"/>
      <c r="F7348" s="5" t="s">
        <v>9</v>
      </c>
      <c r="G7348" s="15" t="s">
        <v>8</v>
      </c>
      <c r="H7348" s="24">
        <f t="shared" si="1407"/>
        <v>0</v>
      </c>
      <c r="I7348" s="24" cm="1">
        <f t="array" ref="I7348">IFERROR(IF($B7348=I$1, ($A7348+$C7348) - MAX(IF($B$2:$B7347=$B7348, $A$2:$A7347+$C$2:$C7347)), "")*24*60, "")</f>
        <v>0</v>
      </c>
      <c r="J7348" s="24" t="str" cm="1">
        <f t="array" ref="J7348">IFERROR(IF($B7348=J$1, ($A7348+$C7348) - MAX(IF($B$2:$B7347=$B7348, $A$2:$A7347+$C$2:$C7347)), "")*24*60, "")</f>
        <v/>
      </c>
      <c r="K7348" s="24" t="str" cm="1">
        <f t="array" ref="K7348">IFERROR(IF($B7348=K$1, ($A7348+$C7348) - MAX(IF($B$2:$B7347=$B7348, $A$2:$A7347+$C$2:$C7347)), "")*24*60, "")</f>
        <v/>
      </c>
      <c r="L7348" s="24" t="str" cm="1">
        <f t="array" ref="L7348">IFERROR(IF($B7348=L$1, ($A7348+$C7348) - MAX(IF($B$2:$B7347=$B7348, $A$2:$A7347+$C$2:$C7347)), "")*24*60, "")</f>
        <v/>
      </c>
      <c r="M7348" s="24" t="str" cm="1">
        <f t="array" ref="M7348">IFERROR(IF($B7348=M$1, ($A7348+$C7348) - MAX(IF($B$2:$B7347=$B7348, $A$2:$A7347+$C$2:$C7347)), "")*24*60, "")</f>
        <v/>
      </c>
      <c r="N7348" s="24" t="str" cm="1">
        <f t="array" ref="N7348">IFERROR(IF($B7348=N$1, ($A7348+$C7348) - MAX(IF($B$2:$B7347=$B7348, $A$2:$A7347+$C$2:$C7347)), "")*24*60, "")</f>
        <v/>
      </c>
      <c r="O7348" s="24" t="str" cm="1">
        <f t="array" ref="O7348">IFERROR(IF($B7348=O$1, ($A7348+$C7348) - MAX(IF($B$2:$B7347=$B7348, $A$2:$A7347+$C$2:$C7347)), "")*24*60, "")</f>
        <v/>
      </c>
      <c r="P7348" s="24" t="str" cm="1">
        <f t="array" ref="P7348">IFERROR(IF($B7348=P$1, ($A7348+$C7348) - MAX(IF($B$2:$B7347=$B7348, $A$2:$A7347+$C$2:$C7347)), "")*24*60, "")</f>
        <v/>
      </c>
      <c r="Q7348" s="24" t="str" cm="1">
        <f t="array" ref="Q7348">IFERROR(IF($B7348=Q$1, ($A7348+$C7348) - MAX(IF($B$2:$B7347=$B7348, $A$2:$A7347+$C$2:$C7347)), "")*24*60, "")</f>
        <v/>
      </c>
      <c r="R7348" s="24" t="str" cm="1">
        <f t="array" ref="R7348">IFERROR(IF($B7348=R$1, ($A7348+$C7348) - MAX(IF($B$2:$B7347=$B7348, $A$2:$A7347+$C$2:$C7347)), "")*24*60, "")</f>
        <v/>
      </c>
      <c r="S7348" s="24" t="str" cm="1">
        <f t="array" ref="S7348">IFERROR(IF($B7348=S$1, ($A7348+$C7348) - MAX(IF($B$2:$B7347=$B7348, $A$2:$A7347+$C$2:$C7347)), "")*24*60, "")</f>
        <v/>
      </c>
    </row>
    <row r="7349" spans="1:19" x14ac:dyDescent="0.2">
      <c r="A7349" s="12">
        <f t="shared" ref="A7349:C7349" si="1531">A7348</f>
        <v>46015</v>
      </c>
      <c r="B7349" s="5" t="str">
        <f t="shared" si="1531"/>
        <v>Northern Cardinal</v>
      </c>
      <c r="C7349" s="6">
        <f t="shared" si="1531"/>
        <v>0.74097222222222225</v>
      </c>
      <c r="D7349" s="5"/>
      <c r="E7349" s="5"/>
      <c r="F7349" s="5" t="s">
        <v>9</v>
      </c>
      <c r="G7349" s="15" t="s">
        <v>8</v>
      </c>
      <c r="H7349" s="24">
        <f t="shared" si="1407"/>
        <v>0</v>
      </c>
      <c r="I7349" s="24" cm="1">
        <f t="array" ref="I7349">IFERROR(IF($B7349=I$1, ($A7349+$C7349) - MAX(IF($B$2:$B7348=$B7349, $A$2:$A7348+$C$2:$C7348)), "")*24*60, "")</f>
        <v>0</v>
      </c>
      <c r="J7349" s="24" t="str" cm="1">
        <f t="array" ref="J7349">IFERROR(IF($B7349=J$1, ($A7349+$C7349) - MAX(IF($B$2:$B7348=$B7349, $A$2:$A7348+$C$2:$C7348)), "")*24*60, "")</f>
        <v/>
      </c>
      <c r="K7349" s="24" t="str" cm="1">
        <f t="array" ref="K7349">IFERROR(IF($B7349=K$1, ($A7349+$C7349) - MAX(IF($B$2:$B7348=$B7349, $A$2:$A7348+$C$2:$C7348)), "")*24*60, "")</f>
        <v/>
      </c>
      <c r="L7349" s="24" t="str" cm="1">
        <f t="array" ref="L7349">IFERROR(IF($B7349=L$1, ($A7349+$C7349) - MAX(IF($B$2:$B7348=$B7349, $A$2:$A7348+$C$2:$C7348)), "")*24*60, "")</f>
        <v/>
      </c>
      <c r="M7349" s="24" t="str" cm="1">
        <f t="array" ref="M7349">IFERROR(IF($B7349=M$1, ($A7349+$C7349) - MAX(IF($B$2:$B7348=$B7349, $A$2:$A7348+$C$2:$C7348)), "")*24*60, "")</f>
        <v/>
      </c>
      <c r="N7349" s="24" t="str" cm="1">
        <f t="array" ref="N7349">IFERROR(IF($B7349=N$1, ($A7349+$C7349) - MAX(IF($B$2:$B7348=$B7349, $A$2:$A7348+$C$2:$C7348)), "")*24*60, "")</f>
        <v/>
      </c>
      <c r="O7349" s="24" t="str" cm="1">
        <f t="array" ref="O7349">IFERROR(IF($B7349=O$1, ($A7349+$C7349) - MAX(IF($B$2:$B7348=$B7349, $A$2:$A7348+$C$2:$C7348)), "")*24*60, "")</f>
        <v/>
      </c>
      <c r="P7349" s="24" t="str" cm="1">
        <f t="array" ref="P7349">IFERROR(IF($B7349=P$1, ($A7349+$C7349) - MAX(IF($B$2:$B7348=$B7349, $A$2:$A7348+$C$2:$C7348)), "")*24*60, "")</f>
        <v/>
      </c>
      <c r="Q7349" s="24" t="str" cm="1">
        <f t="array" ref="Q7349">IFERROR(IF($B7349=Q$1, ($A7349+$C7349) - MAX(IF($B$2:$B7348=$B7349, $A$2:$A7348+$C$2:$C7348)), "")*24*60, "")</f>
        <v/>
      </c>
      <c r="R7349" s="24" t="str" cm="1">
        <f t="array" ref="R7349">IFERROR(IF($B7349=R$1, ($A7349+$C7349) - MAX(IF($B$2:$B7348=$B7349, $A$2:$A7348+$C$2:$C7348)), "")*24*60, "")</f>
        <v/>
      </c>
      <c r="S7349" s="24" t="str" cm="1">
        <f t="array" ref="S7349">IFERROR(IF($B7349=S$1, ($A7349+$C7349) - MAX(IF($B$2:$B7348=$B7349, $A$2:$A7348+$C$2:$C7348)), "")*24*60, "")</f>
        <v/>
      </c>
    </row>
    <row r="7350" spans="1:19" x14ac:dyDescent="0.2">
      <c r="A7350" s="12">
        <f t="shared" ref="A7350:C7350" si="1532">A7349</f>
        <v>46015</v>
      </c>
      <c r="B7350" s="5" t="str">
        <f t="shared" si="1532"/>
        <v>Northern Cardinal</v>
      </c>
      <c r="C7350" s="6">
        <f t="shared" si="1532"/>
        <v>0.74097222222222225</v>
      </c>
      <c r="D7350" s="5"/>
      <c r="E7350" s="5"/>
      <c r="F7350" s="5" t="s">
        <v>9</v>
      </c>
      <c r="G7350" s="15" t="s">
        <v>8</v>
      </c>
      <c r="H7350" s="24">
        <f t="shared" si="1407"/>
        <v>0</v>
      </c>
      <c r="I7350" s="24" cm="1">
        <f t="array" ref="I7350">IFERROR(IF($B7350=I$1, ($A7350+$C7350) - MAX(IF($B$2:$B7349=$B7350, $A$2:$A7349+$C$2:$C7349)), "")*24*60, "")</f>
        <v>0</v>
      </c>
      <c r="J7350" s="24" t="str" cm="1">
        <f t="array" ref="J7350">IFERROR(IF($B7350=J$1, ($A7350+$C7350) - MAX(IF($B$2:$B7349=$B7350, $A$2:$A7349+$C$2:$C7349)), "")*24*60, "")</f>
        <v/>
      </c>
      <c r="K7350" s="24" t="str" cm="1">
        <f t="array" ref="K7350">IFERROR(IF($B7350=K$1, ($A7350+$C7350) - MAX(IF($B$2:$B7349=$B7350, $A$2:$A7349+$C$2:$C7349)), "")*24*60, "")</f>
        <v/>
      </c>
      <c r="L7350" s="24" t="str" cm="1">
        <f t="array" ref="L7350">IFERROR(IF($B7350=L$1, ($A7350+$C7350) - MAX(IF($B$2:$B7349=$B7350, $A$2:$A7349+$C$2:$C7349)), "")*24*60, "")</f>
        <v/>
      </c>
      <c r="M7350" s="24" t="str" cm="1">
        <f t="array" ref="M7350">IFERROR(IF($B7350=M$1, ($A7350+$C7350) - MAX(IF($B$2:$B7349=$B7350, $A$2:$A7349+$C$2:$C7349)), "")*24*60, "")</f>
        <v/>
      </c>
      <c r="N7350" s="24" t="str" cm="1">
        <f t="array" ref="N7350">IFERROR(IF($B7350=N$1, ($A7350+$C7350) - MAX(IF($B$2:$B7349=$B7350, $A$2:$A7349+$C$2:$C7349)), "")*24*60, "")</f>
        <v/>
      </c>
      <c r="O7350" s="24" t="str" cm="1">
        <f t="array" ref="O7350">IFERROR(IF($B7350=O$1, ($A7350+$C7350) - MAX(IF($B$2:$B7349=$B7350, $A$2:$A7349+$C$2:$C7349)), "")*24*60, "")</f>
        <v/>
      </c>
      <c r="P7350" s="24" t="str" cm="1">
        <f t="array" ref="P7350">IFERROR(IF($B7350=P$1, ($A7350+$C7350) - MAX(IF($B$2:$B7349=$B7350, $A$2:$A7349+$C$2:$C7349)), "")*24*60, "")</f>
        <v/>
      </c>
      <c r="Q7350" s="24" t="str" cm="1">
        <f t="array" ref="Q7350">IFERROR(IF($B7350=Q$1, ($A7350+$C7350) - MAX(IF($B$2:$B7349=$B7350, $A$2:$A7349+$C$2:$C7349)), "")*24*60, "")</f>
        <v/>
      </c>
      <c r="R7350" s="24" t="str" cm="1">
        <f t="array" ref="R7350">IFERROR(IF($B7350=R$1, ($A7350+$C7350) - MAX(IF($B$2:$B7349=$B7350, $A$2:$A7349+$C$2:$C7349)), "")*24*60, "")</f>
        <v/>
      </c>
      <c r="S7350" s="24" t="str" cm="1">
        <f t="array" ref="S7350">IFERROR(IF($B7350=S$1, ($A7350+$C7350) - MAX(IF($B$2:$B7349=$B7350, $A$2:$A7349+$C$2:$C7349)), "")*24*60, "")</f>
        <v/>
      </c>
    </row>
    <row r="7351" spans="1:19" x14ac:dyDescent="0.2">
      <c r="A7351" s="12">
        <f t="shared" ref="A7351:C7351" si="1533">A7350</f>
        <v>46015</v>
      </c>
      <c r="B7351" s="5" t="str">
        <f t="shared" si="1533"/>
        <v>Northern Cardinal</v>
      </c>
      <c r="C7351" s="6">
        <f t="shared" si="1533"/>
        <v>0.74097222222222225</v>
      </c>
      <c r="D7351" s="5"/>
      <c r="E7351" s="5"/>
      <c r="F7351" s="5" t="s">
        <v>9</v>
      </c>
      <c r="G7351" s="15" t="s">
        <v>8</v>
      </c>
      <c r="H7351" s="24">
        <f t="shared" si="1407"/>
        <v>0</v>
      </c>
      <c r="I7351" s="24" cm="1">
        <f t="array" ref="I7351">IFERROR(IF($B7351=I$1, ($A7351+$C7351) - MAX(IF($B$2:$B7350=$B7351, $A$2:$A7350+$C$2:$C7350)), "")*24*60, "")</f>
        <v>0</v>
      </c>
      <c r="J7351" s="24" t="str" cm="1">
        <f t="array" ref="J7351">IFERROR(IF($B7351=J$1, ($A7351+$C7351) - MAX(IF($B$2:$B7350=$B7351, $A$2:$A7350+$C$2:$C7350)), "")*24*60, "")</f>
        <v/>
      </c>
      <c r="K7351" s="24" t="str" cm="1">
        <f t="array" ref="K7351">IFERROR(IF($B7351=K$1, ($A7351+$C7351) - MAX(IF($B$2:$B7350=$B7351, $A$2:$A7350+$C$2:$C7350)), "")*24*60, "")</f>
        <v/>
      </c>
      <c r="L7351" s="24" t="str" cm="1">
        <f t="array" ref="L7351">IFERROR(IF($B7351=L$1, ($A7351+$C7351) - MAX(IF($B$2:$B7350=$B7351, $A$2:$A7350+$C$2:$C7350)), "")*24*60, "")</f>
        <v/>
      </c>
      <c r="M7351" s="24" t="str" cm="1">
        <f t="array" ref="M7351">IFERROR(IF($B7351=M$1, ($A7351+$C7351) - MAX(IF($B$2:$B7350=$B7351, $A$2:$A7350+$C$2:$C7350)), "")*24*60, "")</f>
        <v/>
      </c>
      <c r="N7351" s="24" t="str" cm="1">
        <f t="array" ref="N7351">IFERROR(IF($B7351=N$1, ($A7351+$C7351) - MAX(IF($B$2:$B7350=$B7351, $A$2:$A7350+$C$2:$C7350)), "")*24*60, "")</f>
        <v/>
      </c>
      <c r="O7351" s="24" t="str" cm="1">
        <f t="array" ref="O7351">IFERROR(IF($B7351=O$1, ($A7351+$C7351) - MAX(IF($B$2:$B7350=$B7351, $A$2:$A7350+$C$2:$C7350)), "")*24*60, "")</f>
        <v/>
      </c>
      <c r="P7351" s="24" t="str" cm="1">
        <f t="array" ref="P7351">IFERROR(IF($B7351=P$1, ($A7351+$C7351) - MAX(IF($B$2:$B7350=$B7351, $A$2:$A7350+$C$2:$C7350)), "")*24*60, "")</f>
        <v/>
      </c>
      <c r="Q7351" s="24" t="str" cm="1">
        <f t="array" ref="Q7351">IFERROR(IF($B7351=Q$1, ($A7351+$C7351) - MAX(IF($B$2:$B7350=$B7351, $A$2:$A7350+$C$2:$C7350)), "")*24*60, "")</f>
        <v/>
      </c>
      <c r="R7351" s="24" t="str" cm="1">
        <f t="array" ref="R7351">IFERROR(IF($B7351=R$1, ($A7351+$C7351) - MAX(IF($B$2:$B7350=$B7351, $A$2:$A7350+$C$2:$C7350)), "")*24*60, "")</f>
        <v/>
      </c>
      <c r="S7351" s="24" t="str" cm="1">
        <f t="array" ref="S7351">IFERROR(IF($B7351=S$1, ($A7351+$C7351) - MAX(IF($B$2:$B7350=$B7351, $A$2:$A7350+$C$2:$C7350)), "")*24*60, "")</f>
        <v/>
      </c>
    </row>
    <row r="7352" spans="1:19" x14ac:dyDescent="0.2">
      <c r="A7352" s="12">
        <f t="shared" ref="A7352:C7352" si="1534">A7351</f>
        <v>46015</v>
      </c>
      <c r="B7352" s="5" t="str">
        <f t="shared" si="1534"/>
        <v>Northern Cardinal</v>
      </c>
      <c r="C7352" s="6">
        <f t="shared" si="1534"/>
        <v>0.74097222222222225</v>
      </c>
      <c r="D7352" s="5"/>
      <c r="E7352" s="5"/>
      <c r="F7352" s="5" t="s">
        <v>9</v>
      </c>
      <c r="G7352" s="15" t="s">
        <v>8</v>
      </c>
      <c r="H7352" s="24">
        <f t="shared" si="1407"/>
        <v>0</v>
      </c>
      <c r="I7352" s="24" cm="1">
        <f t="array" ref="I7352">IFERROR(IF($B7352=I$1, ($A7352+$C7352) - MAX(IF($B$2:$B7351=$B7352, $A$2:$A7351+$C$2:$C7351)), "")*24*60, "")</f>
        <v>0</v>
      </c>
      <c r="J7352" s="24" t="str" cm="1">
        <f t="array" ref="J7352">IFERROR(IF($B7352=J$1, ($A7352+$C7352) - MAX(IF($B$2:$B7351=$B7352, $A$2:$A7351+$C$2:$C7351)), "")*24*60, "")</f>
        <v/>
      </c>
      <c r="K7352" s="24" t="str" cm="1">
        <f t="array" ref="K7352">IFERROR(IF($B7352=K$1, ($A7352+$C7352) - MAX(IF($B$2:$B7351=$B7352, $A$2:$A7351+$C$2:$C7351)), "")*24*60, "")</f>
        <v/>
      </c>
      <c r="L7352" s="24" t="str" cm="1">
        <f t="array" ref="L7352">IFERROR(IF($B7352=L$1, ($A7352+$C7352) - MAX(IF($B$2:$B7351=$B7352, $A$2:$A7351+$C$2:$C7351)), "")*24*60, "")</f>
        <v/>
      </c>
      <c r="M7352" s="24" t="str" cm="1">
        <f t="array" ref="M7352">IFERROR(IF($B7352=M$1, ($A7352+$C7352) - MAX(IF($B$2:$B7351=$B7352, $A$2:$A7351+$C$2:$C7351)), "")*24*60, "")</f>
        <v/>
      </c>
      <c r="N7352" s="24" t="str" cm="1">
        <f t="array" ref="N7352">IFERROR(IF($B7352=N$1, ($A7352+$C7352) - MAX(IF($B$2:$B7351=$B7352, $A$2:$A7351+$C$2:$C7351)), "")*24*60, "")</f>
        <v/>
      </c>
      <c r="O7352" s="24" t="str" cm="1">
        <f t="array" ref="O7352">IFERROR(IF($B7352=O$1, ($A7352+$C7352) - MAX(IF($B$2:$B7351=$B7352, $A$2:$A7351+$C$2:$C7351)), "")*24*60, "")</f>
        <v/>
      </c>
      <c r="P7352" s="24" t="str" cm="1">
        <f t="array" ref="P7352">IFERROR(IF($B7352=P$1, ($A7352+$C7352) - MAX(IF($B$2:$B7351=$B7352, $A$2:$A7351+$C$2:$C7351)), "")*24*60, "")</f>
        <v/>
      </c>
      <c r="Q7352" s="24" t="str" cm="1">
        <f t="array" ref="Q7352">IFERROR(IF($B7352=Q$1, ($A7352+$C7352) - MAX(IF($B$2:$B7351=$B7352, $A$2:$A7351+$C$2:$C7351)), "")*24*60, "")</f>
        <v/>
      </c>
      <c r="R7352" s="24" t="str" cm="1">
        <f t="array" ref="R7352">IFERROR(IF($B7352=R$1, ($A7352+$C7352) - MAX(IF($B$2:$B7351=$B7352, $A$2:$A7351+$C$2:$C7351)), "")*24*60, "")</f>
        <v/>
      </c>
      <c r="S7352" s="24" t="str" cm="1">
        <f t="array" ref="S7352">IFERROR(IF($B7352=S$1, ($A7352+$C7352) - MAX(IF($B$2:$B7351=$B7352, $A$2:$A7351+$C$2:$C7351)), "")*24*60, "")</f>
        <v/>
      </c>
    </row>
    <row r="7353" spans="1:19" x14ac:dyDescent="0.2">
      <c r="A7353" s="12">
        <f t="shared" ref="A7353:C7353" si="1535">A7352</f>
        <v>46015</v>
      </c>
      <c r="B7353" s="5" t="str">
        <f t="shared" si="1535"/>
        <v>Northern Cardinal</v>
      </c>
      <c r="C7353" s="6">
        <f t="shared" si="1535"/>
        <v>0.74097222222222225</v>
      </c>
      <c r="D7353" s="5"/>
      <c r="E7353" s="5"/>
      <c r="F7353" s="5" t="s">
        <v>9</v>
      </c>
      <c r="G7353" s="15" t="s">
        <v>8</v>
      </c>
      <c r="H7353" s="24">
        <f t="shared" si="1407"/>
        <v>0</v>
      </c>
      <c r="I7353" s="24" cm="1">
        <f t="array" ref="I7353">IFERROR(IF($B7353=I$1, ($A7353+$C7353) - MAX(IF($B$2:$B7352=$B7353, $A$2:$A7352+$C$2:$C7352)), "")*24*60, "")</f>
        <v>0</v>
      </c>
      <c r="J7353" s="24" t="str" cm="1">
        <f t="array" ref="J7353">IFERROR(IF($B7353=J$1, ($A7353+$C7353) - MAX(IF($B$2:$B7352=$B7353, $A$2:$A7352+$C$2:$C7352)), "")*24*60, "")</f>
        <v/>
      </c>
      <c r="K7353" s="24" t="str" cm="1">
        <f t="array" ref="K7353">IFERROR(IF($B7353=K$1, ($A7353+$C7353) - MAX(IF($B$2:$B7352=$B7353, $A$2:$A7352+$C$2:$C7352)), "")*24*60, "")</f>
        <v/>
      </c>
      <c r="L7353" s="24" t="str" cm="1">
        <f t="array" ref="L7353">IFERROR(IF($B7353=L$1, ($A7353+$C7353) - MAX(IF($B$2:$B7352=$B7353, $A$2:$A7352+$C$2:$C7352)), "")*24*60, "")</f>
        <v/>
      </c>
      <c r="M7353" s="24" t="str" cm="1">
        <f t="array" ref="M7353">IFERROR(IF($B7353=M$1, ($A7353+$C7353) - MAX(IF($B$2:$B7352=$B7353, $A$2:$A7352+$C$2:$C7352)), "")*24*60, "")</f>
        <v/>
      </c>
      <c r="N7353" s="24" t="str" cm="1">
        <f t="array" ref="N7353">IFERROR(IF($B7353=N$1, ($A7353+$C7353) - MAX(IF($B$2:$B7352=$B7353, $A$2:$A7352+$C$2:$C7352)), "")*24*60, "")</f>
        <v/>
      </c>
      <c r="O7353" s="24" t="str" cm="1">
        <f t="array" ref="O7353">IFERROR(IF($B7353=O$1, ($A7353+$C7353) - MAX(IF($B$2:$B7352=$B7353, $A$2:$A7352+$C$2:$C7352)), "")*24*60, "")</f>
        <v/>
      </c>
      <c r="P7353" s="24" t="str" cm="1">
        <f t="array" ref="P7353">IFERROR(IF($B7353=P$1, ($A7353+$C7353) - MAX(IF($B$2:$B7352=$B7353, $A$2:$A7352+$C$2:$C7352)), "")*24*60, "")</f>
        <v/>
      </c>
      <c r="Q7353" s="24" t="str" cm="1">
        <f t="array" ref="Q7353">IFERROR(IF($B7353=Q$1, ($A7353+$C7353) - MAX(IF($B$2:$B7352=$B7353, $A$2:$A7352+$C$2:$C7352)), "")*24*60, "")</f>
        <v/>
      </c>
      <c r="R7353" s="24" t="str" cm="1">
        <f t="array" ref="R7353">IFERROR(IF($B7353=R$1, ($A7353+$C7353) - MAX(IF($B$2:$B7352=$B7353, $A$2:$A7352+$C$2:$C7352)), "")*24*60, "")</f>
        <v/>
      </c>
      <c r="S7353" s="24" t="str" cm="1">
        <f t="array" ref="S7353">IFERROR(IF($B7353=S$1, ($A7353+$C7353) - MAX(IF($B$2:$B7352=$B7353, $A$2:$A7352+$C$2:$C7352)), "")*24*60, "")</f>
        <v/>
      </c>
    </row>
    <row r="7354" spans="1:19" x14ac:dyDescent="0.2">
      <c r="A7354" s="12">
        <f t="shared" ref="A7354:C7354" si="1536">A7353</f>
        <v>46015</v>
      </c>
      <c r="B7354" s="5" t="str">
        <f t="shared" si="1536"/>
        <v>Northern Cardinal</v>
      </c>
      <c r="C7354" s="6">
        <f t="shared" si="1536"/>
        <v>0.74097222222222225</v>
      </c>
      <c r="D7354" s="5"/>
      <c r="E7354" s="5"/>
      <c r="F7354" s="5" t="s">
        <v>9</v>
      </c>
      <c r="G7354" s="15" t="s">
        <v>8</v>
      </c>
      <c r="H7354" s="24">
        <f t="shared" si="1407"/>
        <v>0</v>
      </c>
      <c r="I7354" s="24" cm="1">
        <f t="array" ref="I7354">IFERROR(IF($B7354=I$1, ($A7354+$C7354) - MAX(IF($B$2:$B7353=$B7354, $A$2:$A7353+$C$2:$C7353)), "")*24*60, "")</f>
        <v>0</v>
      </c>
      <c r="J7354" s="24" t="str" cm="1">
        <f t="array" ref="J7354">IFERROR(IF($B7354=J$1, ($A7354+$C7354) - MAX(IF($B$2:$B7353=$B7354, $A$2:$A7353+$C$2:$C7353)), "")*24*60, "")</f>
        <v/>
      </c>
      <c r="K7354" s="24" t="str" cm="1">
        <f t="array" ref="K7354">IFERROR(IF($B7354=K$1, ($A7354+$C7354) - MAX(IF($B$2:$B7353=$B7354, $A$2:$A7353+$C$2:$C7353)), "")*24*60, "")</f>
        <v/>
      </c>
      <c r="L7354" s="24" t="str" cm="1">
        <f t="array" ref="L7354">IFERROR(IF($B7354=L$1, ($A7354+$C7354) - MAX(IF($B$2:$B7353=$B7354, $A$2:$A7353+$C$2:$C7353)), "")*24*60, "")</f>
        <v/>
      </c>
      <c r="M7354" s="24" t="str" cm="1">
        <f t="array" ref="M7354">IFERROR(IF($B7354=M$1, ($A7354+$C7354) - MAX(IF($B$2:$B7353=$B7354, $A$2:$A7353+$C$2:$C7353)), "")*24*60, "")</f>
        <v/>
      </c>
      <c r="N7354" s="24" t="str" cm="1">
        <f t="array" ref="N7354">IFERROR(IF($B7354=N$1, ($A7354+$C7354) - MAX(IF($B$2:$B7353=$B7354, $A$2:$A7353+$C$2:$C7353)), "")*24*60, "")</f>
        <v/>
      </c>
      <c r="O7354" s="24" t="str" cm="1">
        <f t="array" ref="O7354">IFERROR(IF($B7354=O$1, ($A7354+$C7354) - MAX(IF($B$2:$B7353=$B7354, $A$2:$A7353+$C$2:$C7353)), "")*24*60, "")</f>
        <v/>
      </c>
      <c r="P7354" s="24" t="str" cm="1">
        <f t="array" ref="P7354">IFERROR(IF($B7354=P$1, ($A7354+$C7354) - MAX(IF($B$2:$B7353=$B7354, $A$2:$A7353+$C$2:$C7353)), "")*24*60, "")</f>
        <v/>
      </c>
      <c r="Q7354" s="24" t="str" cm="1">
        <f t="array" ref="Q7354">IFERROR(IF($B7354=Q$1, ($A7354+$C7354) - MAX(IF($B$2:$B7353=$B7354, $A$2:$A7353+$C$2:$C7353)), "")*24*60, "")</f>
        <v/>
      </c>
      <c r="R7354" s="24" t="str" cm="1">
        <f t="array" ref="R7354">IFERROR(IF($B7354=R$1, ($A7354+$C7354) - MAX(IF($B$2:$B7353=$B7354, $A$2:$A7353+$C$2:$C7353)), "")*24*60, "")</f>
        <v/>
      </c>
      <c r="S7354" s="24" t="str" cm="1">
        <f t="array" ref="S7354">IFERROR(IF($B7354=S$1, ($A7354+$C7354) - MAX(IF($B$2:$B7353=$B7354, $A$2:$A7353+$C$2:$C7353)), "")*24*60, "")</f>
        <v/>
      </c>
    </row>
    <row r="7355" spans="1:19" x14ac:dyDescent="0.2">
      <c r="A7355" s="12">
        <f t="shared" ref="A7355:C7355" si="1537">A7354</f>
        <v>46015</v>
      </c>
      <c r="B7355" s="5" t="str">
        <f t="shared" si="1537"/>
        <v>Northern Cardinal</v>
      </c>
      <c r="C7355" s="6">
        <f t="shared" si="1537"/>
        <v>0.74097222222222225</v>
      </c>
      <c r="D7355" s="5"/>
      <c r="E7355" s="5"/>
      <c r="F7355" s="5" t="s">
        <v>9</v>
      </c>
      <c r="G7355" s="15" t="s">
        <v>8</v>
      </c>
      <c r="H7355" s="24">
        <f t="shared" si="1407"/>
        <v>0</v>
      </c>
      <c r="I7355" s="24" cm="1">
        <f t="array" ref="I7355">IFERROR(IF($B7355=I$1, ($A7355+$C7355) - MAX(IF($B$2:$B7354=$B7355, $A$2:$A7354+$C$2:$C7354)), "")*24*60, "")</f>
        <v>0</v>
      </c>
      <c r="J7355" s="24" t="str" cm="1">
        <f t="array" ref="J7355">IFERROR(IF($B7355=J$1, ($A7355+$C7355) - MAX(IF($B$2:$B7354=$B7355, $A$2:$A7354+$C$2:$C7354)), "")*24*60, "")</f>
        <v/>
      </c>
      <c r="K7355" s="24" t="str" cm="1">
        <f t="array" ref="K7355">IFERROR(IF($B7355=K$1, ($A7355+$C7355) - MAX(IF($B$2:$B7354=$B7355, $A$2:$A7354+$C$2:$C7354)), "")*24*60, "")</f>
        <v/>
      </c>
      <c r="L7355" s="24" t="str" cm="1">
        <f t="array" ref="L7355">IFERROR(IF($B7355=L$1, ($A7355+$C7355) - MAX(IF($B$2:$B7354=$B7355, $A$2:$A7354+$C$2:$C7354)), "")*24*60, "")</f>
        <v/>
      </c>
      <c r="M7355" s="24" t="str" cm="1">
        <f t="array" ref="M7355">IFERROR(IF($B7355=M$1, ($A7355+$C7355) - MAX(IF($B$2:$B7354=$B7355, $A$2:$A7354+$C$2:$C7354)), "")*24*60, "")</f>
        <v/>
      </c>
      <c r="N7355" s="24" t="str" cm="1">
        <f t="array" ref="N7355">IFERROR(IF($B7355=N$1, ($A7355+$C7355) - MAX(IF($B$2:$B7354=$B7355, $A$2:$A7354+$C$2:$C7354)), "")*24*60, "")</f>
        <v/>
      </c>
      <c r="O7355" s="24" t="str" cm="1">
        <f t="array" ref="O7355">IFERROR(IF($B7355=O$1, ($A7355+$C7355) - MAX(IF($B$2:$B7354=$B7355, $A$2:$A7354+$C$2:$C7354)), "")*24*60, "")</f>
        <v/>
      </c>
      <c r="P7355" s="24" t="str" cm="1">
        <f t="array" ref="P7355">IFERROR(IF($B7355=P$1, ($A7355+$C7355) - MAX(IF($B$2:$B7354=$B7355, $A$2:$A7354+$C$2:$C7354)), "")*24*60, "")</f>
        <v/>
      </c>
      <c r="Q7355" s="24" t="str" cm="1">
        <f t="array" ref="Q7355">IFERROR(IF($B7355=Q$1, ($A7355+$C7355) - MAX(IF($B$2:$B7354=$B7355, $A$2:$A7354+$C$2:$C7354)), "")*24*60, "")</f>
        <v/>
      </c>
      <c r="R7355" s="24" t="str" cm="1">
        <f t="array" ref="R7355">IFERROR(IF($B7355=R$1, ($A7355+$C7355) - MAX(IF($B$2:$B7354=$B7355, $A$2:$A7354+$C$2:$C7354)), "")*24*60, "")</f>
        <v/>
      </c>
      <c r="S7355" s="24" t="str" cm="1">
        <f t="array" ref="S7355">IFERROR(IF($B7355=S$1, ($A7355+$C7355) - MAX(IF($B$2:$B7354=$B7355, $A$2:$A7354+$C$2:$C7354)), "")*24*60, "")</f>
        <v/>
      </c>
    </row>
    <row r="7356" spans="1:19" x14ac:dyDescent="0.2">
      <c r="A7356" s="12">
        <f t="shared" ref="A7356:C7356" si="1538">A7355</f>
        <v>46015</v>
      </c>
      <c r="B7356" s="5" t="str">
        <f t="shared" si="1538"/>
        <v>Northern Cardinal</v>
      </c>
      <c r="C7356" s="6">
        <f t="shared" si="1538"/>
        <v>0.74097222222222225</v>
      </c>
      <c r="D7356" s="5"/>
      <c r="E7356" s="5"/>
      <c r="F7356" s="5" t="s">
        <v>9</v>
      </c>
      <c r="G7356" s="15" t="s">
        <v>8</v>
      </c>
      <c r="H7356" s="24">
        <f t="shared" si="1407"/>
        <v>0</v>
      </c>
      <c r="I7356" s="24" cm="1">
        <f t="array" ref="I7356">IFERROR(IF($B7356=I$1, ($A7356+$C7356) - MAX(IF($B$2:$B7355=$B7356, $A$2:$A7355+$C$2:$C7355)), "")*24*60, "")</f>
        <v>0</v>
      </c>
      <c r="J7356" s="24" t="str" cm="1">
        <f t="array" ref="J7356">IFERROR(IF($B7356=J$1, ($A7356+$C7356) - MAX(IF($B$2:$B7355=$B7356, $A$2:$A7355+$C$2:$C7355)), "")*24*60, "")</f>
        <v/>
      </c>
      <c r="K7356" s="24" t="str" cm="1">
        <f t="array" ref="K7356">IFERROR(IF($B7356=K$1, ($A7356+$C7356) - MAX(IF($B$2:$B7355=$B7356, $A$2:$A7355+$C$2:$C7355)), "")*24*60, "")</f>
        <v/>
      </c>
      <c r="L7356" s="24" t="str" cm="1">
        <f t="array" ref="L7356">IFERROR(IF($B7356=L$1, ($A7356+$C7356) - MAX(IF($B$2:$B7355=$B7356, $A$2:$A7355+$C$2:$C7355)), "")*24*60, "")</f>
        <v/>
      </c>
      <c r="M7356" s="24" t="str" cm="1">
        <f t="array" ref="M7356">IFERROR(IF($B7356=M$1, ($A7356+$C7356) - MAX(IF($B$2:$B7355=$B7356, $A$2:$A7355+$C$2:$C7355)), "")*24*60, "")</f>
        <v/>
      </c>
      <c r="N7356" s="24" t="str" cm="1">
        <f t="array" ref="N7356">IFERROR(IF($B7356=N$1, ($A7356+$C7356) - MAX(IF($B$2:$B7355=$B7356, $A$2:$A7355+$C$2:$C7355)), "")*24*60, "")</f>
        <v/>
      </c>
      <c r="O7356" s="24" t="str" cm="1">
        <f t="array" ref="O7356">IFERROR(IF($B7356=O$1, ($A7356+$C7356) - MAX(IF($B$2:$B7355=$B7356, $A$2:$A7355+$C$2:$C7355)), "")*24*60, "")</f>
        <v/>
      </c>
      <c r="P7356" s="24" t="str" cm="1">
        <f t="array" ref="P7356">IFERROR(IF($B7356=P$1, ($A7356+$C7356) - MAX(IF($B$2:$B7355=$B7356, $A$2:$A7355+$C$2:$C7355)), "")*24*60, "")</f>
        <v/>
      </c>
      <c r="Q7356" s="24" t="str" cm="1">
        <f t="array" ref="Q7356">IFERROR(IF($B7356=Q$1, ($A7356+$C7356) - MAX(IF($B$2:$B7355=$B7356, $A$2:$A7355+$C$2:$C7355)), "")*24*60, "")</f>
        <v/>
      </c>
      <c r="R7356" s="24" t="str" cm="1">
        <f t="array" ref="R7356">IFERROR(IF($B7356=R$1, ($A7356+$C7356) - MAX(IF($B$2:$B7355=$B7356, $A$2:$A7355+$C$2:$C7355)), "")*24*60, "")</f>
        <v/>
      </c>
      <c r="S7356" s="24" t="str" cm="1">
        <f t="array" ref="S7356">IFERROR(IF($B7356=S$1, ($A7356+$C7356) - MAX(IF($B$2:$B7355=$B7356, $A$2:$A7355+$C$2:$C7355)), "")*24*60, "")</f>
        <v/>
      </c>
    </row>
    <row r="7357" spans="1:19" x14ac:dyDescent="0.2">
      <c r="A7357" s="12">
        <f t="shared" ref="A7357:C7357" si="1539">A7356</f>
        <v>46015</v>
      </c>
      <c r="B7357" s="5" t="str">
        <f t="shared" si="1539"/>
        <v>Northern Cardinal</v>
      </c>
      <c r="C7357" s="6">
        <f t="shared" si="1539"/>
        <v>0.74097222222222225</v>
      </c>
      <c r="D7357" s="5"/>
      <c r="E7357" s="5"/>
      <c r="F7357" s="5" t="s">
        <v>9</v>
      </c>
      <c r="G7357" s="15" t="s">
        <v>8</v>
      </c>
      <c r="H7357" s="24">
        <f t="shared" si="1407"/>
        <v>0</v>
      </c>
      <c r="I7357" s="24" cm="1">
        <f t="array" ref="I7357">IFERROR(IF($B7357=I$1, ($A7357+$C7357) - MAX(IF($B$2:$B7356=$B7357, $A$2:$A7356+$C$2:$C7356)), "")*24*60, "")</f>
        <v>0</v>
      </c>
      <c r="J7357" s="24" t="str" cm="1">
        <f t="array" ref="J7357">IFERROR(IF($B7357=J$1, ($A7357+$C7357) - MAX(IF($B$2:$B7356=$B7357, $A$2:$A7356+$C$2:$C7356)), "")*24*60, "")</f>
        <v/>
      </c>
      <c r="K7357" s="24" t="str" cm="1">
        <f t="array" ref="K7357">IFERROR(IF($B7357=K$1, ($A7357+$C7357) - MAX(IF($B$2:$B7356=$B7357, $A$2:$A7356+$C$2:$C7356)), "")*24*60, "")</f>
        <v/>
      </c>
      <c r="L7357" s="24" t="str" cm="1">
        <f t="array" ref="L7357">IFERROR(IF($B7357=L$1, ($A7357+$C7357) - MAX(IF($B$2:$B7356=$B7357, $A$2:$A7356+$C$2:$C7356)), "")*24*60, "")</f>
        <v/>
      </c>
      <c r="M7357" s="24" t="str" cm="1">
        <f t="array" ref="M7357">IFERROR(IF($B7357=M$1, ($A7357+$C7357) - MAX(IF($B$2:$B7356=$B7357, $A$2:$A7356+$C$2:$C7356)), "")*24*60, "")</f>
        <v/>
      </c>
      <c r="N7357" s="24" t="str" cm="1">
        <f t="array" ref="N7357">IFERROR(IF($B7357=N$1, ($A7357+$C7357) - MAX(IF($B$2:$B7356=$B7357, $A$2:$A7356+$C$2:$C7356)), "")*24*60, "")</f>
        <v/>
      </c>
      <c r="O7357" s="24" t="str" cm="1">
        <f t="array" ref="O7357">IFERROR(IF($B7357=O$1, ($A7357+$C7357) - MAX(IF($B$2:$B7356=$B7357, $A$2:$A7356+$C$2:$C7356)), "")*24*60, "")</f>
        <v/>
      </c>
      <c r="P7357" s="24" t="str" cm="1">
        <f t="array" ref="P7357">IFERROR(IF($B7357=P$1, ($A7357+$C7357) - MAX(IF($B$2:$B7356=$B7357, $A$2:$A7356+$C$2:$C7356)), "")*24*60, "")</f>
        <v/>
      </c>
      <c r="Q7357" s="24" t="str" cm="1">
        <f t="array" ref="Q7357">IFERROR(IF($B7357=Q$1, ($A7357+$C7357) - MAX(IF($B$2:$B7356=$B7357, $A$2:$A7356+$C$2:$C7356)), "")*24*60, "")</f>
        <v/>
      </c>
      <c r="R7357" s="24" t="str" cm="1">
        <f t="array" ref="R7357">IFERROR(IF($B7357=R$1, ($A7357+$C7357) - MAX(IF($B$2:$B7356=$B7357, $A$2:$A7356+$C$2:$C7356)), "")*24*60, "")</f>
        <v/>
      </c>
      <c r="S7357" s="24" t="str" cm="1">
        <f t="array" ref="S7357">IFERROR(IF($B7357=S$1, ($A7357+$C7357) - MAX(IF($B$2:$B7356=$B7357, $A$2:$A7356+$C$2:$C7356)), "")*24*60, "")</f>
        <v/>
      </c>
    </row>
    <row r="7358" spans="1:19" x14ac:dyDescent="0.2">
      <c r="A7358" s="12">
        <f t="shared" ref="A7358:C7358" si="1540">A7357</f>
        <v>46015</v>
      </c>
      <c r="B7358" s="5" t="str">
        <f t="shared" si="1540"/>
        <v>Northern Cardinal</v>
      </c>
      <c r="C7358" s="6">
        <f t="shared" si="1540"/>
        <v>0.74097222222222225</v>
      </c>
      <c r="D7358" s="5"/>
      <c r="E7358" s="5"/>
      <c r="F7358" s="5" t="s">
        <v>9</v>
      </c>
      <c r="G7358" s="15" t="s">
        <v>8</v>
      </c>
      <c r="H7358" s="24">
        <f t="shared" si="1407"/>
        <v>0</v>
      </c>
      <c r="I7358" s="24" cm="1">
        <f t="array" ref="I7358">IFERROR(IF($B7358=I$1, ($A7358+$C7358) - MAX(IF($B$2:$B7357=$B7358, $A$2:$A7357+$C$2:$C7357)), "")*24*60, "")</f>
        <v>0</v>
      </c>
      <c r="J7358" s="24" t="str" cm="1">
        <f t="array" ref="J7358">IFERROR(IF($B7358=J$1, ($A7358+$C7358) - MAX(IF($B$2:$B7357=$B7358, $A$2:$A7357+$C$2:$C7357)), "")*24*60, "")</f>
        <v/>
      </c>
      <c r="K7358" s="24" t="str" cm="1">
        <f t="array" ref="K7358">IFERROR(IF($B7358=K$1, ($A7358+$C7358) - MAX(IF($B$2:$B7357=$B7358, $A$2:$A7357+$C$2:$C7357)), "")*24*60, "")</f>
        <v/>
      </c>
      <c r="L7358" s="24" t="str" cm="1">
        <f t="array" ref="L7358">IFERROR(IF($B7358=L$1, ($A7358+$C7358) - MAX(IF($B$2:$B7357=$B7358, $A$2:$A7357+$C$2:$C7357)), "")*24*60, "")</f>
        <v/>
      </c>
      <c r="M7358" s="24" t="str" cm="1">
        <f t="array" ref="M7358">IFERROR(IF($B7358=M$1, ($A7358+$C7358) - MAX(IF($B$2:$B7357=$B7358, $A$2:$A7357+$C$2:$C7357)), "")*24*60, "")</f>
        <v/>
      </c>
      <c r="N7358" s="24" t="str" cm="1">
        <f t="array" ref="N7358">IFERROR(IF($B7358=N$1, ($A7358+$C7358) - MAX(IF($B$2:$B7357=$B7358, $A$2:$A7357+$C$2:$C7357)), "")*24*60, "")</f>
        <v/>
      </c>
      <c r="O7358" s="24" t="str" cm="1">
        <f t="array" ref="O7358">IFERROR(IF($B7358=O$1, ($A7358+$C7358) - MAX(IF($B$2:$B7357=$B7358, $A$2:$A7357+$C$2:$C7357)), "")*24*60, "")</f>
        <v/>
      </c>
      <c r="P7358" s="24" t="str" cm="1">
        <f t="array" ref="P7358">IFERROR(IF($B7358=P$1, ($A7358+$C7358) - MAX(IF($B$2:$B7357=$B7358, $A$2:$A7357+$C$2:$C7357)), "")*24*60, "")</f>
        <v/>
      </c>
      <c r="Q7358" s="24" t="str" cm="1">
        <f t="array" ref="Q7358">IFERROR(IF($B7358=Q$1, ($A7358+$C7358) - MAX(IF($B$2:$B7357=$B7358, $A$2:$A7357+$C$2:$C7357)), "")*24*60, "")</f>
        <v/>
      </c>
      <c r="R7358" s="24" t="str" cm="1">
        <f t="array" ref="R7358">IFERROR(IF($B7358=R$1, ($A7358+$C7358) - MAX(IF($B$2:$B7357=$B7358, $A$2:$A7357+$C$2:$C7357)), "")*24*60, "")</f>
        <v/>
      </c>
      <c r="S7358" s="24" t="str" cm="1">
        <f t="array" ref="S7358">IFERROR(IF($B7358=S$1, ($A7358+$C7358) - MAX(IF($B$2:$B7357=$B7358, $A$2:$A7357+$C$2:$C7357)), "")*24*60, "")</f>
        <v/>
      </c>
    </row>
    <row r="7359" spans="1:19" x14ac:dyDescent="0.2">
      <c r="A7359" s="12">
        <f t="shared" ref="A7359:C7359" si="1541">A7358</f>
        <v>46015</v>
      </c>
      <c r="B7359" s="5" t="str">
        <f t="shared" si="1541"/>
        <v>Northern Cardinal</v>
      </c>
      <c r="C7359" s="6">
        <f t="shared" si="1541"/>
        <v>0.74097222222222225</v>
      </c>
      <c r="D7359" s="5"/>
      <c r="E7359" s="5"/>
      <c r="F7359" s="5" t="s">
        <v>9</v>
      </c>
      <c r="G7359" s="15" t="s">
        <v>8</v>
      </c>
      <c r="H7359" s="24">
        <f t="shared" si="1407"/>
        <v>0</v>
      </c>
      <c r="I7359" s="24" cm="1">
        <f t="array" ref="I7359">IFERROR(IF($B7359=I$1, ($A7359+$C7359) - MAX(IF($B$2:$B7358=$B7359, $A$2:$A7358+$C$2:$C7358)), "")*24*60, "")</f>
        <v>0</v>
      </c>
      <c r="J7359" s="24" t="str" cm="1">
        <f t="array" ref="J7359">IFERROR(IF($B7359=J$1, ($A7359+$C7359) - MAX(IF($B$2:$B7358=$B7359, $A$2:$A7358+$C$2:$C7358)), "")*24*60, "")</f>
        <v/>
      </c>
      <c r="K7359" s="24" t="str" cm="1">
        <f t="array" ref="K7359">IFERROR(IF($B7359=K$1, ($A7359+$C7359) - MAX(IF($B$2:$B7358=$B7359, $A$2:$A7358+$C$2:$C7358)), "")*24*60, "")</f>
        <v/>
      </c>
      <c r="L7359" s="24" t="str" cm="1">
        <f t="array" ref="L7359">IFERROR(IF($B7359=L$1, ($A7359+$C7359) - MAX(IF($B$2:$B7358=$B7359, $A$2:$A7358+$C$2:$C7358)), "")*24*60, "")</f>
        <v/>
      </c>
      <c r="M7359" s="24" t="str" cm="1">
        <f t="array" ref="M7359">IFERROR(IF($B7359=M$1, ($A7359+$C7359) - MAX(IF($B$2:$B7358=$B7359, $A$2:$A7358+$C$2:$C7358)), "")*24*60, "")</f>
        <v/>
      </c>
      <c r="N7359" s="24" t="str" cm="1">
        <f t="array" ref="N7359">IFERROR(IF($B7359=N$1, ($A7359+$C7359) - MAX(IF($B$2:$B7358=$B7359, $A$2:$A7358+$C$2:$C7358)), "")*24*60, "")</f>
        <v/>
      </c>
      <c r="O7359" s="24" t="str" cm="1">
        <f t="array" ref="O7359">IFERROR(IF($B7359=O$1, ($A7359+$C7359) - MAX(IF($B$2:$B7358=$B7359, $A$2:$A7358+$C$2:$C7358)), "")*24*60, "")</f>
        <v/>
      </c>
      <c r="P7359" s="24" t="str" cm="1">
        <f t="array" ref="P7359">IFERROR(IF($B7359=P$1, ($A7359+$C7359) - MAX(IF($B$2:$B7358=$B7359, $A$2:$A7358+$C$2:$C7358)), "")*24*60, "")</f>
        <v/>
      </c>
      <c r="Q7359" s="24" t="str" cm="1">
        <f t="array" ref="Q7359">IFERROR(IF($B7359=Q$1, ($A7359+$C7359) - MAX(IF($B$2:$B7358=$B7359, $A$2:$A7358+$C$2:$C7358)), "")*24*60, "")</f>
        <v/>
      </c>
      <c r="R7359" s="24" t="str" cm="1">
        <f t="array" ref="R7359">IFERROR(IF($B7359=R$1, ($A7359+$C7359) - MAX(IF($B$2:$B7358=$B7359, $A$2:$A7358+$C$2:$C7358)), "")*24*60, "")</f>
        <v/>
      </c>
      <c r="S7359" s="24" t="str" cm="1">
        <f t="array" ref="S7359">IFERROR(IF($B7359=S$1, ($A7359+$C7359) - MAX(IF($B$2:$B7358=$B7359, $A$2:$A7358+$C$2:$C7358)), "")*24*60, "")</f>
        <v/>
      </c>
    </row>
    <row r="7360" spans="1:19" x14ac:dyDescent="0.2">
      <c r="A7360" s="12">
        <f t="shared" ref="A7360:C7360" si="1542">A7359</f>
        <v>46015</v>
      </c>
      <c r="B7360" s="5" t="str">
        <f t="shared" si="1542"/>
        <v>Northern Cardinal</v>
      </c>
      <c r="C7360" s="6">
        <f t="shared" si="1542"/>
        <v>0.74097222222222225</v>
      </c>
      <c r="D7360" s="5"/>
      <c r="E7360" s="5"/>
      <c r="F7360" s="5" t="s">
        <v>9</v>
      </c>
      <c r="G7360" s="15" t="s">
        <v>8</v>
      </c>
      <c r="H7360" s="24">
        <f t="shared" si="1407"/>
        <v>0</v>
      </c>
      <c r="I7360" s="24" cm="1">
        <f t="array" ref="I7360">IFERROR(IF($B7360=I$1, ($A7360+$C7360) - MAX(IF($B$2:$B7359=$B7360, $A$2:$A7359+$C$2:$C7359)), "")*24*60, "")</f>
        <v>0</v>
      </c>
      <c r="J7360" s="24" t="str" cm="1">
        <f t="array" ref="J7360">IFERROR(IF($B7360=J$1, ($A7360+$C7360) - MAX(IF($B$2:$B7359=$B7360, $A$2:$A7359+$C$2:$C7359)), "")*24*60, "")</f>
        <v/>
      </c>
      <c r="K7360" s="24" t="str" cm="1">
        <f t="array" ref="K7360">IFERROR(IF($B7360=K$1, ($A7360+$C7360) - MAX(IF($B$2:$B7359=$B7360, $A$2:$A7359+$C$2:$C7359)), "")*24*60, "")</f>
        <v/>
      </c>
      <c r="L7360" s="24" t="str" cm="1">
        <f t="array" ref="L7360">IFERROR(IF($B7360=L$1, ($A7360+$C7360) - MAX(IF($B$2:$B7359=$B7360, $A$2:$A7359+$C$2:$C7359)), "")*24*60, "")</f>
        <v/>
      </c>
      <c r="M7360" s="24" t="str" cm="1">
        <f t="array" ref="M7360">IFERROR(IF($B7360=M$1, ($A7360+$C7360) - MAX(IF($B$2:$B7359=$B7360, $A$2:$A7359+$C$2:$C7359)), "")*24*60, "")</f>
        <v/>
      </c>
      <c r="N7360" s="24" t="str" cm="1">
        <f t="array" ref="N7360">IFERROR(IF($B7360=N$1, ($A7360+$C7360) - MAX(IF($B$2:$B7359=$B7360, $A$2:$A7359+$C$2:$C7359)), "")*24*60, "")</f>
        <v/>
      </c>
      <c r="O7360" s="24" t="str" cm="1">
        <f t="array" ref="O7360">IFERROR(IF($B7360=O$1, ($A7360+$C7360) - MAX(IF($B$2:$B7359=$B7360, $A$2:$A7359+$C$2:$C7359)), "")*24*60, "")</f>
        <v/>
      </c>
      <c r="P7360" s="24" t="str" cm="1">
        <f t="array" ref="P7360">IFERROR(IF($B7360=P$1, ($A7360+$C7360) - MAX(IF($B$2:$B7359=$B7360, $A$2:$A7359+$C$2:$C7359)), "")*24*60, "")</f>
        <v/>
      </c>
      <c r="Q7360" s="24" t="str" cm="1">
        <f t="array" ref="Q7360">IFERROR(IF($B7360=Q$1, ($A7360+$C7360) - MAX(IF($B$2:$B7359=$B7360, $A$2:$A7359+$C$2:$C7359)), "")*24*60, "")</f>
        <v/>
      </c>
      <c r="R7360" s="24" t="str" cm="1">
        <f t="array" ref="R7360">IFERROR(IF($B7360=R$1, ($A7360+$C7360) - MAX(IF($B$2:$B7359=$B7360, $A$2:$A7359+$C$2:$C7359)), "")*24*60, "")</f>
        <v/>
      </c>
      <c r="S7360" s="24" t="str" cm="1">
        <f t="array" ref="S7360">IFERROR(IF($B7360=S$1, ($A7360+$C7360) - MAX(IF($B$2:$B7359=$B7360, $A$2:$A7359+$C$2:$C7359)), "")*24*60, "")</f>
        <v/>
      </c>
    </row>
    <row r="7361" spans="1:19" x14ac:dyDescent="0.2">
      <c r="A7361" s="12">
        <f t="shared" ref="A7361:C7361" si="1543">A7360</f>
        <v>46015</v>
      </c>
      <c r="B7361" s="5" t="str">
        <f t="shared" si="1543"/>
        <v>Northern Cardinal</v>
      </c>
      <c r="C7361" s="6">
        <f t="shared" si="1543"/>
        <v>0.74097222222222225</v>
      </c>
      <c r="D7361" s="5"/>
      <c r="E7361" s="5"/>
      <c r="F7361" s="5" t="s">
        <v>9</v>
      </c>
      <c r="G7361" s="15" t="s">
        <v>8</v>
      </c>
      <c r="H7361" s="24">
        <f t="shared" si="1407"/>
        <v>0</v>
      </c>
      <c r="I7361" s="24" cm="1">
        <f t="array" ref="I7361">IFERROR(IF($B7361=I$1, ($A7361+$C7361) - MAX(IF($B$2:$B7360=$B7361, $A$2:$A7360+$C$2:$C7360)), "")*24*60, "")</f>
        <v>0</v>
      </c>
      <c r="J7361" s="24" t="str" cm="1">
        <f t="array" ref="J7361">IFERROR(IF($B7361=J$1, ($A7361+$C7361) - MAX(IF($B$2:$B7360=$B7361, $A$2:$A7360+$C$2:$C7360)), "")*24*60, "")</f>
        <v/>
      </c>
      <c r="K7361" s="24" t="str" cm="1">
        <f t="array" ref="K7361">IFERROR(IF($B7361=K$1, ($A7361+$C7361) - MAX(IF($B$2:$B7360=$B7361, $A$2:$A7360+$C$2:$C7360)), "")*24*60, "")</f>
        <v/>
      </c>
      <c r="L7361" s="24" t="str" cm="1">
        <f t="array" ref="L7361">IFERROR(IF($B7361=L$1, ($A7361+$C7361) - MAX(IF($B$2:$B7360=$B7361, $A$2:$A7360+$C$2:$C7360)), "")*24*60, "")</f>
        <v/>
      </c>
      <c r="M7361" s="24" t="str" cm="1">
        <f t="array" ref="M7361">IFERROR(IF($B7361=M$1, ($A7361+$C7361) - MAX(IF($B$2:$B7360=$B7361, $A$2:$A7360+$C$2:$C7360)), "")*24*60, "")</f>
        <v/>
      </c>
      <c r="N7361" s="24" t="str" cm="1">
        <f t="array" ref="N7361">IFERROR(IF($B7361=N$1, ($A7361+$C7361) - MAX(IF($B$2:$B7360=$B7361, $A$2:$A7360+$C$2:$C7360)), "")*24*60, "")</f>
        <v/>
      </c>
      <c r="O7361" s="24" t="str" cm="1">
        <f t="array" ref="O7361">IFERROR(IF($B7361=O$1, ($A7361+$C7361) - MAX(IF($B$2:$B7360=$B7361, $A$2:$A7360+$C$2:$C7360)), "")*24*60, "")</f>
        <v/>
      </c>
      <c r="P7361" s="24" t="str" cm="1">
        <f t="array" ref="P7361">IFERROR(IF($B7361=P$1, ($A7361+$C7361) - MAX(IF($B$2:$B7360=$B7361, $A$2:$A7360+$C$2:$C7360)), "")*24*60, "")</f>
        <v/>
      </c>
      <c r="Q7361" s="24" t="str" cm="1">
        <f t="array" ref="Q7361">IFERROR(IF($B7361=Q$1, ($A7361+$C7361) - MAX(IF($B$2:$B7360=$B7361, $A$2:$A7360+$C$2:$C7360)), "")*24*60, "")</f>
        <v/>
      </c>
      <c r="R7361" s="24" t="str" cm="1">
        <f t="array" ref="R7361">IFERROR(IF($B7361=R$1, ($A7361+$C7361) - MAX(IF($B$2:$B7360=$B7361, $A$2:$A7360+$C$2:$C7360)), "")*24*60, "")</f>
        <v/>
      </c>
      <c r="S7361" s="24" t="str" cm="1">
        <f t="array" ref="S7361">IFERROR(IF($B7361=S$1, ($A7361+$C7361) - MAX(IF($B$2:$B7360=$B7361, $A$2:$A7360+$C$2:$C7360)), "")*24*60, "")</f>
        <v/>
      </c>
    </row>
    <row r="7362" spans="1:19" x14ac:dyDescent="0.2">
      <c r="A7362" s="12">
        <f t="shared" ref="A7362:C7362" si="1544">A7361</f>
        <v>46015</v>
      </c>
      <c r="B7362" s="5" t="str">
        <f t="shared" si="1544"/>
        <v>Northern Cardinal</v>
      </c>
      <c r="C7362" s="6">
        <f t="shared" si="1544"/>
        <v>0.74097222222222225</v>
      </c>
      <c r="D7362" s="5"/>
      <c r="E7362" s="5"/>
      <c r="F7362" s="5" t="s">
        <v>9</v>
      </c>
      <c r="G7362" s="15" t="s">
        <v>8</v>
      </c>
      <c r="H7362" s="24">
        <f t="shared" si="1407"/>
        <v>0</v>
      </c>
      <c r="I7362" s="24" cm="1">
        <f t="array" ref="I7362">IFERROR(IF($B7362=I$1, ($A7362+$C7362) - MAX(IF($B$2:$B7361=$B7362, $A$2:$A7361+$C$2:$C7361)), "")*24*60, "")</f>
        <v>0</v>
      </c>
      <c r="J7362" s="24" t="str" cm="1">
        <f t="array" ref="J7362">IFERROR(IF($B7362=J$1, ($A7362+$C7362) - MAX(IF($B$2:$B7361=$B7362, $A$2:$A7361+$C$2:$C7361)), "")*24*60, "")</f>
        <v/>
      </c>
      <c r="K7362" s="24" t="str" cm="1">
        <f t="array" ref="K7362">IFERROR(IF($B7362=K$1, ($A7362+$C7362) - MAX(IF($B$2:$B7361=$B7362, $A$2:$A7361+$C$2:$C7361)), "")*24*60, "")</f>
        <v/>
      </c>
      <c r="L7362" s="24" t="str" cm="1">
        <f t="array" ref="L7362">IFERROR(IF($B7362=L$1, ($A7362+$C7362) - MAX(IF($B$2:$B7361=$B7362, $A$2:$A7361+$C$2:$C7361)), "")*24*60, "")</f>
        <v/>
      </c>
      <c r="M7362" s="24" t="str" cm="1">
        <f t="array" ref="M7362">IFERROR(IF($B7362=M$1, ($A7362+$C7362) - MAX(IF($B$2:$B7361=$B7362, $A$2:$A7361+$C$2:$C7361)), "")*24*60, "")</f>
        <v/>
      </c>
      <c r="N7362" s="24" t="str" cm="1">
        <f t="array" ref="N7362">IFERROR(IF($B7362=N$1, ($A7362+$C7362) - MAX(IF($B$2:$B7361=$B7362, $A$2:$A7361+$C$2:$C7361)), "")*24*60, "")</f>
        <v/>
      </c>
      <c r="O7362" s="24" t="str" cm="1">
        <f t="array" ref="O7362">IFERROR(IF($B7362=O$1, ($A7362+$C7362) - MAX(IF($B$2:$B7361=$B7362, $A$2:$A7361+$C$2:$C7361)), "")*24*60, "")</f>
        <v/>
      </c>
      <c r="P7362" s="24" t="str" cm="1">
        <f t="array" ref="P7362">IFERROR(IF($B7362=P$1, ($A7362+$C7362) - MAX(IF($B$2:$B7361=$B7362, $A$2:$A7361+$C$2:$C7361)), "")*24*60, "")</f>
        <v/>
      </c>
      <c r="Q7362" s="24" t="str" cm="1">
        <f t="array" ref="Q7362">IFERROR(IF($B7362=Q$1, ($A7362+$C7362) - MAX(IF($B$2:$B7361=$B7362, $A$2:$A7361+$C$2:$C7361)), "")*24*60, "")</f>
        <v/>
      </c>
      <c r="R7362" s="24" t="str" cm="1">
        <f t="array" ref="R7362">IFERROR(IF($B7362=R$1, ($A7362+$C7362) - MAX(IF($B$2:$B7361=$B7362, $A$2:$A7361+$C$2:$C7361)), "")*24*60, "")</f>
        <v/>
      </c>
      <c r="S7362" s="24" t="str" cm="1">
        <f t="array" ref="S7362">IFERROR(IF($B7362=S$1, ($A7362+$C7362) - MAX(IF($B$2:$B7361=$B7362, $A$2:$A7361+$C$2:$C7361)), "")*24*60, "")</f>
        <v/>
      </c>
    </row>
    <row r="7363" spans="1:19" x14ac:dyDescent="0.2">
      <c r="A7363" s="12">
        <f t="shared" ref="A7363:C7363" si="1545">A7362</f>
        <v>46015</v>
      </c>
      <c r="B7363" s="5" t="str">
        <f t="shared" si="1545"/>
        <v>Northern Cardinal</v>
      </c>
      <c r="C7363" s="6">
        <f t="shared" si="1545"/>
        <v>0.74097222222222225</v>
      </c>
      <c r="D7363" s="5"/>
      <c r="E7363" s="5"/>
      <c r="F7363" s="5" t="s">
        <v>9</v>
      </c>
      <c r="G7363" s="15" t="s">
        <v>8</v>
      </c>
      <c r="H7363" s="24">
        <f t="shared" si="1407"/>
        <v>0</v>
      </c>
      <c r="I7363" s="24" cm="1">
        <f t="array" ref="I7363">IFERROR(IF($B7363=I$1, ($A7363+$C7363) - MAX(IF($B$2:$B7362=$B7363, $A$2:$A7362+$C$2:$C7362)), "")*24*60, "")</f>
        <v>0</v>
      </c>
      <c r="J7363" s="24" t="str" cm="1">
        <f t="array" ref="J7363">IFERROR(IF($B7363=J$1, ($A7363+$C7363) - MAX(IF($B$2:$B7362=$B7363, $A$2:$A7362+$C$2:$C7362)), "")*24*60, "")</f>
        <v/>
      </c>
      <c r="K7363" s="24" t="str" cm="1">
        <f t="array" ref="K7363">IFERROR(IF($B7363=K$1, ($A7363+$C7363) - MAX(IF($B$2:$B7362=$B7363, $A$2:$A7362+$C$2:$C7362)), "")*24*60, "")</f>
        <v/>
      </c>
      <c r="L7363" s="24" t="str" cm="1">
        <f t="array" ref="L7363">IFERROR(IF($B7363=L$1, ($A7363+$C7363) - MAX(IF($B$2:$B7362=$B7363, $A$2:$A7362+$C$2:$C7362)), "")*24*60, "")</f>
        <v/>
      </c>
      <c r="M7363" s="24" t="str" cm="1">
        <f t="array" ref="M7363">IFERROR(IF($B7363=M$1, ($A7363+$C7363) - MAX(IF($B$2:$B7362=$B7363, $A$2:$A7362+$C$2:$C7362)), "")*24*60, "")</f>
        <v/>
      </c>
      <c r="N7363" s="24" t="str" cm="1">
        <f t="array" ref="N7363">IFERROR(IF($B7363=N$1, ($A7363+$C7363) - MAX(IF($B$2:$B7362=$B7363, $A$2:$A7362+$C$2:$C7362)), "")*24*60, "")</f>
        <v/>
      </c>
      <c r="O7363" s="24" t="str" cm="1">
        <f t="array" ref="O7363">IFERROR(IF($B7363=O$1, ($A7363+$C7363) - MAX(IF($B$2:$B7362=$B7363, $A$2:$A7362+$C$2:$C7362)), "")*24*60, "")</f>
        <v/>
      </c>
      <c r="P7363" s="24" t="str" cm="1">
        <f t="array" ref="P7363">IFERROR(IF($B7363=P$1, ($A7363+$C7363) - MAX(IF($B$2:$B7362=$B7363, $A$2:$A7362+$C$2:$C7362)), "")*24*60, "")</f>
        <v/>
      </c>
      <c r="Q7363" s="24" t="str" cm="1">
        <f t="array" ref="Q7363">IFERROR(IF($B7363=Q$1, ($A7363+$C7363) - MAX(IF($B$2:$B7362=$B7363, $A$2:$A7362+$C$2:$C7362)), "")*24*60, "")</f>
        <v/>
      </c>
      <c r="R7363" s="24" t="str" cm="1">
        <f t="array" ref="R7363">IFERROR(IF($B7363=R$1, ($A7363+$C7363) - MAX(IF($B$2:$B7362=$B7363, $A$2:$A7362+$C$2:$C7362)), "")*24*60, "")</f>
        <v/>
      </c>
      <c r="S7363" s="24" t="str" cm="1">
        <f t="array" ref="S7363">IFERROR(IF($B7363=S$1, ($A7363+$C7363) - MAX(IF($B$2:$B7362=$B7363, $A$2:$A7362+$C$2:$C7362)), "")*24*60, "")</f>
        <v/>
      </c>
    </row>
    <row r="7364" spans="1:19" x14ac:dyDescent="0.2">
      <c r="A7364" s="12">
        <f t="shared" ref="A7364:C7364" si="1546">A7363</f>
        <v>46015</v>
      </c>
      <c r="B7364" s="5" t="str">
        <f t="shared" si="1546"/>
        <v>Northern Cardinal</v>
      </c>
      <c r="C7364" s="6">
        <f t="shared" si="1546"/>
        <v>0.74097222222222225</v>
      </c>
      <c r="D7364" s="5"/>
      <c r="E7364" s="5"/>
      <c r="F7364" s="5" t="s">
        <v>9</v>
      </c>
      <c r="G7364" s="15" t="s">
        <v>8</v>
      </c>
      <c r="H7364" s="24">
        <f t="shared" si="1407"/>
        <v>0</v>
      </c>
      <c r="I7364" s="24" cm="1">
        <f t="array" ref="I7364">IFERROR(IF($B7364=I$1, ($A7364+$C7364) - MAX(IF($B$2:$B7363=$B7364, $A$2:$A7363+$C$2:$C7363)), "")*24*60, "")</f>
        <v>0</v>
      </c>
      <c r="J7364" s="24" t="str" cm="1">
        <f t="array" ref="J7364">IFERROR(IF($B7364=J$1, ($A7364+$C7364) - MAX(IF($B$2:$B7363=$B7364, $A$2:$A7363+$C$2:$C7363)), "")*24*60, "")</f>
        <v/>
      </c>
      <c r="K7364" s="24" t="str" cm="1">
        <f t="array" ref="K7364">IFERROR(IF($B7364=K$1, ($A7364+$C7364) - MAX(IF($B$2:$B7363=$B7364, $A$2:$A7363+$C$2:$C7363)), "")*24*60, "")</f>
        <v/>
      </c>
      <c r="L7364" s="24" t="str" cm="1">
        <f t="array" ref="L7364">IFERROR(IF($B7364=L$1, ($A7364+$C7364) - MAX(IF($B$2:$B7363=$B7364, $A$2:$A7363+$C$2:$C7363)), "")*24*60, "")</f>
        <v/>
      </c>
      <c r="M7364" s="24" t="str" cm="1">
        <f t="array" ref="M7364">IFERROR(IF($B7364=M$1, ($A7364+$C7364) - MAX(IF($B$2:$B7363=$B7364, $A$2:$A7363+$C$2:$C7363)), "")*24*60, "")</f>
        <v/>
      </c>
      <c r="N7364" s="24" t="str" cm="1">
        <f t="array" ref="N7364">IFERROR(IF($B7364=N$1, ($A7364+$C7364) - MAX(IF($B$2:$B7363=$B7364, $A$2:$A7363+$C$2:$C7363)), "")*24*60, "")</f>
        <v/>
      </c>
      <c r="O7364" s="24" t="str" cm="1">
        <f t="array" ref="O7364">IFERROR(IF($B7364=O$1, ($A7364+$C7364) - MAX(IF($B$2:$B7363=$B7364, $A$2:$A7363+$C$2:$C7363)), "")*24*60, "")</f>
        <v/>
      </c>
      <c r="P7364" s="24" t="str" cm="1">
        <f t="array" ref="P7364">IFERROR(IF($B7364=P$1, ($A7364+$C7364) - MAX(IF($B$2:$B7363=$B7364, $A$2:$A7363+$C$2:$C7363)), "")*24*60, "")</f>
        <v/>
      </c>
      <c r="Q7364" s="24" t="str" cm="1">
        <f t="array" ref="Q7364">IFERROR(IF($B7364=Q$1, ($A7364+$C7364) - MAX(IF($B$2:$B7363=$B7364, $A$2:$A7363+$C$2:$C7363)), "")*24*60, "")</f>
        <v/>
      </c>
      <c r="R7364" s="24" t="str" cm="1">
        <f t="array" ref="R7364">IFERROR(IF($B7364=R$1, ($A7364+$C7364) - MAX(IF($B$2:$B7363=$B7364, $A$2:$A7363+$C$2:$C7363)), "")*24*60, "")</f>
        <v/>
      </c>
      <c r="S7364" s="24" t="str" cm="1">
        <f t="array" ref="S7364">IFERROR(IF($B7364=S$1, ($A7364+$C7364) - MAX(IF($B$2:$B7363=$B7364, $A$2:$A7363+$C$2:$C7363)), "")*24*60, "")</f>
        <v/>
      </c>
    </row>
    <row r="7365" spans="1:19" x14ac:dyDescent="0.2">
      <c r="A7365" s="12">
        <f t="shared" ref="A7365:C7365" si="1547">A7364</f>
        <v>46015</v>
      </c>
      <c r="B7365" s="5" t="str">
        <f t="shared" si="1547"/>
        <v>Northern Cardinal</v>
      </c>
      <c r="C7365" s="6">
        <f t="shared" si="1547"/>
        <v>0.74097222222222225</v>
      </c>
      <c r="D7365" s="5"/>
      <c r="E7365" s="5"/>
      <c r="F7365" s="5" t="s">
        <v>9</v>
      </c>
      <c r="G7365" s="15" t="s">
        <v>8</v>
      </c>
      <c r="H7365" s="24">
        <f t="shared" si="1407"/>
        <v>0</v>
      </c>
      <c r="I7365" s="24" cm="1">
        <f t="array" ref="I7365">IFERROR(IF($B7365=I$1, ($A7365+$C7365) - MAX(IF($B$2:$B7364=$B7365, $A$2:$A7364+$C$2:$C7364)), "")*24*60, "")</f>
        <v>0</v>
      </c>
      <c r="J7365" s="24" t="str" cm="1">
        <f t="array" ref="J7365">IFERROR(IF($B7365=J$1, ($A7365+$C7365) - MAX(IF($B$2:$B7364=$B7365, $A$2:$A7364+$C$2:$C7364)), "")*24*60, "")</f>
        <v/>
      </c>
      <c r="K7365" s="24" t="str" cm="1">
        <f t="array" ref="K7365">IFERROR(IF($B7365=K$1, ($A7365+$C7365) - MAX(IF($B$2:$B7364=$B7365, $A$2:$A7364+$C$2:$C7364)), "")*24*60, "")</f>
        <v/>
      </c>
      <c r="L7365" s="24" t="str" cm="1">
        <f t="array" ref="L7365">IFERROR(IF($B7365=L$1, ($A7365+$C7365) - MAX(IF($B$2:$B7364=$B7365, $A$2:$A7364+$C$2:$C7364)), "")*24*60, "")</f>
        <v/>
      </c>
      <c r="M7365" s="24" t="str" cm="1">
        <f t="array" ref="M7365">IFERROR(IF($B7365=M$1, ($A7365+$C7365) - MAX(IF($B$2:$B7364=$B7365, $A$2:$A7364+$C$2:$C7364)), "")*24*60, "")</f>
        <v/>
      </c>
      <c r="N7365" s="24" t="str" cm="1">
        <f t="array" ref="N7365">IFERROR(IF($B7365=N$1, ($A7365+$C7365) - MAX(IF($B$2:$B7364=$B7365, $A$2:$A7364+$C$2:$C7364)), "")*24*60, "")</f>
        <v/>
      </c>
      <c r="O7365" s="24" t="str" cm="1">
        <f t="array" ref="O7365">IFERROR(IF($B7365=O$1, ($A7365+$C7365) - MAX(IF($B$2:$B7364=$B7365, $A$2:$A7364+$C$2:$C7364)), "")*24*60, "")</f>
        <v/>
      </c>
      <c r="P7365" s="24" t="str" cm="1">
        <f t="array" ref="P7365">IFERROR(IF($B7365=P$1, ($A7365+$C7365) - MAX(IF($B$2:$B7364=$B7365, $A$2:$A7364+$C$2:$C7364)), "")*24*60, "")</f>
        <v/>
      </c>
      <c r="Q7365" s="24" t="str" cm="1">
        <f t="array" ref="Q7365">IFERROR(IF($B7365=Q$1, ($A7365+$C7365) - MAX(IF($B$2:$B7364=$B7365, $A$2:$A7364+$C$2:$C7364)), "")*24*60, "")</f>
        <v/>
      </c>
      <c r="R7365" s="24" t="str" cm="1">
        <f t="array" ref="R7365">IFERROR(IF($B7365=R$1, ($A7365+$C7365) - MAX(IF($B$2:$B7364=$B7365, $A$2:$A7364+$C$2:$C7364)), "")*24*60, "")</f>
        <v/>
      </c>
      <c r="S7365" s="24" t="str" cm="1">
        <f t="array" ref="S7365">IFERROR(IF($B7365=S$1, ($A7365+$C7365) - MAX(IF($B$2:$B7364=$B7365, $A$2:$A7364+$C$2:$C7364)), "")*24*60, "")</f>
        <v/>
      </c>
    </row>
    <row r="7366" spans="1:19" x14ac:dyDescent="0.2">
      <c r="A7366" s="12">
        <f t="shared" ref="A7366:C7366" si="1548">A7365</f>
        <v>46015</v>
      </c>
      <c r="B7366" s="5" t="str">
        <f t="shared" si="1548"/>
        <v>Northern Cardinal</v>
      </c>
      <c r="C7366" s="6">
        <f t="shared" si="1548"/>
        <v>0.74097222222222225</v>
      </c>
      <c r="D7366" s="5"/>
      <c r="E7366" s="5"/>
      <c r="F7366" s="5" t="s">
        <v>9</v>
      </c>
      <c r="G7366" s="15" t="s">
        <v>8</v>
      </c>
      <c r="H7366" s="24">
        <f t="shared" si="1407"/>
        <v>0</v>
      </c>
      <c r="I7366" s="24" cm="1">
        <f t="array" ref="I7366">IFERROR(IF($B7366=I$1, ($A7366+$C7366) - MAX(IF($B$2:$B7365=$B7366, $A$2:$A7365+$C$2:$C7365)), "")*24*60, "")</f>
        <v>0</v>
      </c>
      <c r="J7366" s="24" t="str" cm="1">
        <f t="array" ref="J7366">IFERROR(IF($B7366=J$1, ($A7366+$C7366) - MAX(IF($B$2:$B7365=$B7366, $A$2:$A7365+$C$2:$C7365)), "")*24*60, "")</f>
        <v/>
      </c>
      <c r="K7366" s="24" t="str" cm="1">
        <f t="array" ref="K7366">IFERROR(IF($B7366=K$1, ($A7366+$C7366) - MAX(IF($B$2:$B7365=$B7366, $A$2:$A7365+$C$2:$C7365)), "")*24*60, "")</f>
        <v/>
      </c>
      <c r="L7366" s="24" t="str" cm="1">
        <f t="array" ref="L7366">IFERROR(IF($B7366=L$1, ($A7366+$C7366) - MAX(IF($B$2:$B7365=$B7366, $A$2:$A7365+$C$2:$C7365)), "")*24*60, "")</f>
        <v/>
      </c>
      <c r="M7366" s="24" t="str" cm="1">
        <f t="array" ref="M7366">IFERROR(IF($B7366=M$1, ($A7366+$C7366) - MAX(IF($B$2:$B7365=$B7366, $A$2:$A7365+$C$2:$C7365)), "")*24*60, "")</f>
        <v/>
      </c>
      <c r="N7366" s="24" t="str" cm="1">
        <f t="array" ref="N7366">IFERROR(IF($B7366=N$1, ($A7366+$C7366) - MAX(IF($B$2:$B7365=$B7366, $A$2:$A7365+$C$2:$C7365)), "")*24*60, "")</f>
        <v/>
      </c>
      <c r="O7366" s="24" t="str" cm="1">
        <f t="array" ref="O7366">IFERROR(IF($B7366=O$1, ($A7366+$C7366) - MAX(IF($B$2:$B7365=$B7366, $A$2:$A7365+$C$2:$C7365)), "")*24*60, "")</f>
        <v/>
      </c>
      <c r="P7366" s="24" t="str" cm="1">
        <f t="array" ref="P7366">IFERROR(IF($B7366=P$1, ($A7366+$C7366) - MAX(IF($B$2:$B7365=$B7366, $A$2:$A7365+$C$2:$C7365)), "")*24*60, "")</f>
        <v/>
      </c>
      <c r="Q7366" s="24" t="str" cm="1">
        <f t="array" ref="Q7366">IFERROR(IF($B7366=Q$1, ($A7366+$C7366) - MAX(IF($B$2:$B7365=$B7366, $A$2:$A7365+$C$2:$C7365)), "")*24*60, "")</f>
        <v/>
      </c>
      <c r="R7366" s="24" t="str" cm="1">
        <f t="array" ref="R7366">IFERROR(IF($B7366=R$1, ($A7366+$C7366) - MAX(IF($B$2:$B7365=$B7366, $A$2:$A7365+$C$2:$C7365)), "")*24*60, "")</f>
        <v/>
      </c>
      <c r="S7366" s="24" t="str" cm="1">
        <f t="array" ref="S7366">IFERROR(IF($B7366=S$1, ($A7366+$C7366) - MAX(IF($B$2:$B7365=$B7366, $A$2:$A7365+$C$2:$C7365)), "")*24*60, "")</f>
        <v/>
      </c>
    </row>
    <row r="7367" spans="1:19" x14ac:dyDescent="0.2">
      <c r="A7367" s="12">
        <f t="shared" ref="A7367:C7367" si="1549">A7366</f>
        <v>46015</v>
      </c>
      <c r="B7367" s="5" t="str">
        <f t="shared" si="1549"/>
        <v>Northern Cardinal</v>
      </c>
      <c r="C7367" s="6">
        <f t="shared" si="1549"/>
        <v>0.74097222222222225</v>
      </c>
      <c r="D7367" s="5"/>
      <c r="E7367" s="5"/>
      <c r="F7367" s="5" t="s">
        <v>9</v>
      </c>
      <c r="G7367" s="15" t="s">
        <v>8</v>
      </c>
      <c r="H7367" s="24">
        <f t="shared" si="1407"/>
        <v>0</v>
      </c>
      <c r="I7367" s="24" cm="1">
        <f t="array" ref="I7367">IFERROR(IF($B7367=I$1, ($A7367+$C7367) - MAX(IF($B$2:$B7366=$B7367, $A$2:$A7366+$C$2:$C7366)), "")*24*60, "")</f>
        <v>0</v>
      </c>
      <c r="J7367" s="24" t="str" cm="1">
        <f t="array" ref="J7367">IFERROR(IF($B7367=J$1, ($A7367+$C7367) - MAX(IF($B$2:$B7366=$B7367, $A$2:$A7366+$C$2:$C7366)), "")*24*60, "")</f>
        <v/>
      </c>
      <c r="K7367" s="24" t="str" cm="1">
        <f t="array" ref="K7367">IFERROR(IF($B7367=K$1, ($A7367+$C7367) - MAX(IF($B$2:$B7366=$B7367, $A$2:$A7366+$C$2:$C7366)), "")*24*60, "")</f>
        <v/>
      </c>
      <c r="L7367" s="24" t="str" cm="1">
        <f t="array" ref="L7367">IFERROR(IF($B7367=L$1, ($A7367+$C7367) - MAX(IF($B$2:$B7366=$B7367, $A$2:$A7366+$C$2:$C7366)), "")*24*60, "")</f>
        <v/>
      </c>
      <c r="M7367" s="24" t="str" cm="1">
        <f t="array" ref="M7367">IFERROR(IF($B7367=M$1, ($A7367+$C7367) - MAX(IF($B$2:$B7366=$B7367, $A$2:$A7366+$C$2:$C7366)), "")*24*60, "")</f>
        <v/>
      </c>
      <c r="N7367" s="24" t="str" cm="1">
        <f t="array" ref="N7367">IFERROR(IF($B7367=N$1, ($A7367+$C7367) - MAX(IF($B$2:$B7366=$B7367, $A$2:$A7366+$C$2:$C7366)), "")*24*60, "")</f>
        <v/>
      </c>
      <c r="O7367" s="24" t="str" cm="1">
        <f t="array" ref="O7367">IFERROR(IF($B7367=O$1, ($A7367+$C7367) - MAX(IF($B$2:$B7366=$B7367, $A$2:$A7366+$C$2:$C7366)), "")*24*60, "")</f>
        <v/>
      </c>
      <c r="P7367" s="24" t="str" cm="1">
        <f t="array" ref="P7367">IFERROR(IF($B7367=P$1, ($A7367+$C7367) - MAX(IF($B$2:$B7366=$B7367, $A$2:$A7366+$C$2:$C7366)), "")*24*60, "")</f>
        <v/>
      </c>
      <c r="Q7367" s="24" t="str" cm="1">
        <f t="array" ref="Q7367">IFERROR(IF($B7367=Q$1, ($A7367+$C7367) - MAX(IF($B$2:$B7366=$B7367, $A$2:$A7366+$C$2:$C7366)), "")*24*60, "")</f>
        <v/>
      </c>
      <c r="R7367" s="24" t="str" cm="1">
        <f t="array" ref="R7367">IFERROR(IF($B7367=R$1, ($A7367+$C7367) - MAX(IF($B$2:$B7366=$B7367, $A$2:$A7366+$C$2:$C7366)), "")*24*60, "")</f>
        <v/>
      </c>
      <c r="S7367" s="24" t="str" cm="1">
        <f t="array" ref="S7367">IFERROR(IF($B7367=S$1, ($A7367+$C7367) - MAX(IF($B$2:$B7366=$B7367, $A$2:$A7366+$C$2:$C7366)), "")*24*60, "")</f>
        <v/>
      </c>
    </row>
    <row r="7368" spans="1:19" x14ac:dyDescent="0.2">
      <c r="A7368" s="12">
        <f t="shared" ref="A7368:C7368" si="1550">A7367</f>
        <v>46015</v>
      </c>
      <c r="B7368" s="5" t="str">
        <f t="shared" si="1550"/>
        <v>Northern Cardinal</v>
      </c>
      <c r="C7368" s="6">
        <f t="shared" si="1550"/>
        <v>0.74097222222222225</v>
      </c>
      <c r="D7368" s="5"/>
      <c r="E7368" s="5"/>
      <c r="F7368" s="5" t="s">
        <v>9</v>
      </c>
      <c r="G7368" s="15" t="s">
        <v>8</v>
      </c>
      <c r="H7368" s="24">
        <f t="shared" si="1407"/>
        <v>0</v>
      </c>
      <c r="I7368" s="24" cm="1">
        <f t="array" ref="I7368">IFERROR(IF($B7368=I$1, ($A7368+$C7368) - MAX(IF($B$2:$B7367=$B7368, $A$2:$A7367+$C$2:$C7367)), "")*24*60, "")</f>
        <v>0</v>
      </c>
      <c r="J7368" s="24" t="str" cm="1">
        <f t="array" ref="J7368">IFERROR(IF($B7368=J$1, ($A7368+$C7368) - MAX(IF($B$2:$B7367=$B7368, $A$2:$A7367+$C$2:$C7367)), "")*24*60, "")</f>
        <v/>
      </c>
      <c r="K7368" s="24" t="str" cm="1">
        <f t="array" ref="K7368">IFERROR(IF($B7368=K$1, ($A7368+$C7368) - MAX(IF($B$2:$B7367=$B7368, $A$2:$A7367+$C$2:$C7367)), "")*24*60, "")</f>
        <v/>
      </c>
      <c r="L7368" s="24" t="str" cm="1">
        <f t="array" ref="L7368">IFERROR(IF($B7368=L$1, ($A7368+$C7368) - MAX(IF($B$2:$B7367=$B7368, $A$2:$A7367+$C$2:$C7367)), "")*24*60, "")</f>
        <v/>
      </c>
      <c r="M7368" s="24" t="str" cm="1">
        <f t="array" ref="M7368">IFERROR(IF($B7368=M$1, ($A7368+$C7368) - MAX(IF($B$2:$B7367=$B7368, $A$2:$A7367+$C$2:$C7367)), "")*24*60, "")</f>
        <v/>
      </c>
      <c r="N7368" s="24" t="str" cm="1">
        <f t="array" ref="N7368">IFERROR(IF($B7368=N$1, ($A7368+$C7368) - MAX(IF($B$2:$B7367=$B7368, $A$2:$A7367+$C$2:$C7367)), "")*24*60, "")</f>
        <v/>
      </c>
      <c r="O7368" s="24" t="str" cm="1">
        <f t="array" ref="O7368">IFERROR(IF($B7368=O$1, ($A7368+$C7368) - MAX(IF($B$2:$B7367=$B7368, $A$2:$A7367+$C$2:$C7367)), "")*24*60, "")</f>
        <v/>
      </c>
      <c r="P7368" s="24" t="str" cm="1">
        <f t="array" ref="P7368">IFERROR(IF($B7368=P$1, ($A7368+$C7368) - MAX(IF($B$2:$B7367=$B7368, $A$2:$A7367+$C$2:$C7367)), "")*24*60, "")</f>
        <v/>
      </c>
      <c r="Q7368" s="24" t="str" cm="1">
        <f t="array" ref="Q7368">IFERROR(IF($B7368=Q$1, ($A7368+$C7368) - MAX(IF($B$2:$B7367=$B7368, $A$2:$A7367+$C$2:$C7367)), "")*24*60, "")</f>
        <v/>
      </c>
      <c r="R7368" s="24" t="str" cm="1">
        <f t="array" ref="R7368">IFERROR(IF($B7368=R$1, ($A7368+$C7368) - MAX(IF($B$2:$B7367=$B7368, $A$2:$A7367+$C$2:$C7367)), "")*24*60, "")</f>
        <v/>
      </c>
      <c r="S7368" s="24" t="str" cm="1">
        <f t="array" ref="S7368">IFERROR(IF($B7368=S$1, ($A7368+$C7368) - MAX(IF($B$2:$B7367=$B7368, $A$2:$A7367+$C$2:$C7367)), "")*24*60, "")</f>
        <v/>
      </c>
    </row>
    <row r="7369" spans="1:19" x14ac:dyDescent="0.2">
      <c r="A7369" s="12">
        <f t="shared" ref="A7369:C7369" si="1551">A7368</f>
        <v>46015</v>
      </c>
      <c r="B7369" s="5" t="str">
        <f t="shared" si="1551"/>
        <v>Northern Cardinal</v>
      </c>
      <c r="C7369" s="6">
        <f t="shared" si="1551"/>
        <v>0.74097222222222225</v>
      </c>
      <c r="D7369" s="5"/>
      <c r="E7369" s="5"/>
      <c r="F7369" s="5" t="s">
        <v>9</v>
      </c>
      <c r="G7369" s="15" t="s">
        <v>8</v>
      </c>
      <c r="H7369" s="24">
        <f t="shared" si="1407"/>
        <v>0</v>
      </c>
      <c r="I7369" s="24" cm="1">
        <f t="array" ref="I7369">IFERROR(IF($B7369=I$1, ($A7369+$C7369) - MAX(IF($B$2:$B7368=$B7369, $A$2:$A7368+$C$2:$C7368)), "")*24*60, "")</f>
        <v>0</v>
      </c>
      <c r="J7369" s="24" t="str" cm="1">
        <f t="array" ref="J7369">IFERROR(IF($B7369=J$1, ($A7369+$C7369) - MAX(IF($B$2:$B7368=$B7369, $A$2:$A7368+$C$2:$C7368)), "")*24*60, "")</f>
        <v/>
      </c>
      <c r="K7369" s="24" t="str" cm="1">
        <f t="array" ref="K7369">IFERROR(IF($B7369=K$1, ($A7369+$C7369) - MAX(IF($B$2:$B7368=$B7369, $A$2:$A7368+$C$2:$C7368)), "")*24*60, "")</f>
        <v/>
      </c>
      <c r="L7369" s="24" t="str" cm="1">
        <f t="array" ref="L7369">IFERROR(IF($B7369=L$1, ($A7369+$C7369) - MAX(IF($B$2:$B7368=$B7369, $A$2:$A7368+$C$2:$C7368)), "")*24*60, "")</f>
        <v/>
      </c>
      <c r="M7369" s="24" t="str" cm="1">
        <f t="array" ref="M7369">IFERROR(IF($B7369=M$1, ($A7369+$C7369) - MAX(IF($B$2:$B7368=$B7369, $A$2:$A7368+$C$2:$C7368)), "")*24*60, "")</f>
        <v/>
      </c>
      <c r="N7369" s="24" t="str" cm="1">
        <f t="array" ref="N7369">IFERROR(IF($B7369=N$1, ($A7369+$C7369) - MAX(IF($B$2:$B7368=$B7369, $A$2:$A7368+$C$2:$C7368)), "")*24*60, "")</f>
        <v/>
      </c>
      <c r="O7369" s="24" t="str" cm="1">
        <f t="array" ref="O7369">IFERROR(IF($B7369=O$1, ($A7369+$C7369) - MAX(IF($B$2:$B7368=$B7369, $A$2:$A7368+$C$2:$C7368)), "")*24*60, "")</f>
        <v/>
      </c>
      <c r="P7369" s="24" t="str" cm="1">
        <f t="array" ref="P7369">IFERROR(IF($B7369=P$1, ($A7369+$C7369) - MAX(IF($B$2:$B7368=$B7369, $A$2:$A7368+$C$2:$C7368)), "")*24*60, "")</f>
        <v/>
      </c>
      <c r="Q7369" s="24" t="str" cm="1">
        <f t="array" ref="Q7369">IFERROR(IF($B7369=Q$1, ($A7369+$C7369) - MAX(IF($B$2:$B7368=$B7369, $A$2:$A7368+$C$2:$C7368)), "")*24*60, "")</f>
        <v/>
      </c>
      <c r="R7369" s="24" t="str" cm="1">
        <f t="array" ref="R7369">IFERROR(IF($B7369=R$1, ($A7369+$C7369) - MAX(IF($B$2:$B7368=$B7369, $A$2:$A7368+$C$2:$C7368)), "")*24*60, "")</f>
        <v/>
      </c>
      <c r="S7369" s="24" t="str" cm="1">
        <f t="array" ref="S7369">IFERROR(IF($B7369=S$1, ($A7369+$C7369) - MAX(IF($B$2:$B7368=$B7369, $A$2:$A7368+$C$2:$C7368)), "")*24*60, "")</f>
        <v/>
      </c>
    </row>
    <row r="7370" spans="1:19" x14ac:dyDescent="0.2">
      <c r="A7370" s="12">
        <f t="shared" ref="A7370:C7370" si="1552">A7369</f>
        <v>46015</v>
      </c>
      <c r="B7370" s="5" t="str">
        <f t="shared" si="1552"/>
        <v>Northern Cardinal</v>
      </c>
      <c r="C7370" s="6">
        <f t="shared" si="1552"/>
        <v>0.74097222222222225</v>
      </c>
      <c r="D7370" s="5"/>
      <c r="E7370" s="5"/>
      <c r="F7370" s="5" t="s">
        <v>9</v>
      </c>
      <c r="G7370" s="15" t="s">
        <v>8</v>
      </c>
      <c r="H7370" s="24">
        <f t="shared" si="1407"/>
        <v>0</v>
      </c>
      <c r="I7370" s="24" cm="1">
        <f t="array" ref="I7370">IFERROR(IF($B7370=I$1, ($A7370+$C7370) - MAX(IF($B$2:$B7369=$B7370, $A$2:$A7369+$C$2:$C7369)), "")*24*60, "")</f>
        <v>0</v>
      </c>
      <c r="J7370" s="24" t="str" cm="1">
        <f t="array" ref="J7370">IFERROR(IF($B7370=J$1, ($A7370+$C7370) - MAX(IF($B$2:$B7369=$B7370, $A$2:$A7369+$C$2:$C7369)), "")*24*60, "")</f>
        <v/>
      </c>
      <c r="K7370" s="24" t="str" cm="1">
        <f t="array" ref="K7370">IFERROR(IF($B7370=K$1, ($A7370+$C7370) - MAX(IF($B$2:$B7369=$B7370, $A$2:$A7369+$C$2:$C7369)), "")*24*60, "")</f>
        <v/>
      </c>
      <c r="L7370" s="24" t="str" cm="1">
        <f t="array" ref="L7370">IFERROR(IF($B7370=L$1, ($A7370+$C7370) - MAX(IF($B$2:$B7369=$B7370, $A$2:$A7369+$C$2:$C7369)), "")*24*60, "")</f>
        <v/>
      </c>
      <c r="M7370" s="24" t="str" cm="1">
        <f t="array" ref="M7370">IFERROR(IF($B7370=M$1, ($A7370+$C7370) - MAX(IF($B$2:$B7369=$B7370, $A$2:$A7369+$C$2:$C7369)), "")*24*60, "")</f>
        <v/>
      </c>
      <c r="N7370" s="24" t="str" cm="1">
        <f t="array" ref="N7370">IFERROR(IF($B7370=N$1, ($A7370+$C7370) - MAX(IF($B$2:$B7369=$B7370, $A$2:$A7369+$C$2:$C7369)), "")*24*60, "")</f>
        <v/>
      </c>
      <c r="O7370" s="24" t="str" cm="1">
        <f t="array" ref="O7370">IFERROR(IF($B7370=O$1, ($A7370+$C7370) - MAX(IF($B$2:$B7369=$B7370, $A$2:$A7369+$C$2:$C7369)), "")*24*60, "")</f>
        <v/>
      </c>
      <c r="P7370" s="24" t="str" cm="1">
        <f t="array" ref="P7370">IFERROR(IF($B7370=P$1, ($A7370+$C7370) - MAX(IF($B$2:$B7369=$B7370, $A$2:$A7369+$C$2:$C7369)), "")*24*60, "")</f>
        <v/>
      </c>
      <c r="Q7370" s="24" t="str" cm="1">
        <f t="array" ref="Q7370">IFERROR(IF($B7370=Q$1, ($A7370+$C7370) - MAX(IF($B$2:$B7369=$B7370, $A$2:$A7369+$C$2:$C7369)), "")*24*60, "")</f>
        <v/>
      </c>
      <c r="R7370" s="24" t="str" cm="1">
        <f t="array" ref="R7370">IFERROR(IF($B7370=R$1, ($A7370+$C7370) - MAX(IF($B$2:$B7369=$B7370, $A$2:$A7369+$C$2:$C7369)), "")*24*60, "")</f>
        <v/>
      </c>
      <c r="S7370" s="24" t="str" cm="1">
        <f t="array" ref="S7370">IFERROR(IF($B7370=S$1, ($A7370+$C7370) - MAX(IF($B$2:$B7369=$B7370, $A$2:$A7369+$C$2:$C7369)), "")*24*60, "")</f>
        <v/>
      </c>
    </row>
    <row r="7371" spans="1:19" x14ac:dyDescent="0.2">
      <c r="A7371" s="12">
        <f t="shared" ref="A7371:C7371" si="1553">A7370</f>
        <v>46015</v>
      </c>
      <c r="B7371" s="5" t="str">
        <f t="shared" si="1553"/>
        <v>Northern Cardinal</v>
      </c>
      <c r="C7371" s="6">
        <f t="shared" si="1553"/>
        <v>0.74097222222222225</v>
      </c>
      <c r="D7371" s="5"/>
      <c r="E7371" s="5"/>
      <c r="F7371" s="5" t="s">
        <v>9</v>
      </c>
      <c r="G7371" s="15" t="s">
        <v>8</v>
      </c>
      <c r="H7371" s="24">
        <f t="shared" si="1407"/>
        <v>0</v>
      </c>
      <c r="I7371" s="24" cm="1">
        <f t="array" ref="I7371">IFERROR(IF($B7371=I$1, ($A7371+$C7371) - MAX(IF($B$2:$B7370=$B7371, $A$2:$A7370+$C$2:$C7370)), "")*24*60, "")</f>
        <v>0</v>
      </c>
      <c r="J7371" s="24" t="str" cm="1">
        <f t="array" ref="J7371">IFERROR(IF($B7371=J$1, ($A7371+$C7371) - MAX(IF($B$2:$B7370=$B7371, $A$2:$A7370+$C$2:$C7370)), "")*24*60, "")</f>
        <v/>
      </c>
      <c r="K7371" s="24" t="str" cm="1">
        <f t="array" ref="K7371">IFERROR(IF($B7371=K$1, ($A7371+$C7371) - MAX(IF($B$2:$B7370=$B7371, $A$2:$A7370+$C$2:$C7370)), "")*24*60, "")</f>
        <v/>
      </c>
      <c r="L7371" s="24" t="str" cm="1">
        <f t="array" ref="L7371">IFERROR(IF($B7371=L$1, ($A7371+$C7371) - MAX(IF($B$2:$B7370=$B7371, $A$2:$A7370+$C$2:$C7370)), "")*24*60, "")</f>
        <v/>
      </c>
      <c r="M7371" s="24" t="str" cm="1">
        <f t="array" ref="M7371">IFERROR(IF($B7371=M$1, ($A7371+$C7371) - MAX(IF($B$2:$B7370=$B7371, $A$2:$A7370+$C$2:$C7370)), "")*24*60, "")</f>
        <v/>
      </c>
      <c r="N7371" s="24" t="str" cm="1">
        <f t="array" ref="N7371">IFERROR(IF($B7371=N$1, ($A7371+$C7371) - MAX(IF($B$2:$B7370=$B7371, $A$2:$A7370+$C$2:$C7370)), "")*24*60, "")</f>
        <v/>
      </c>
      <c r="O7371" s="24" t="str" cm="1">
        <f t="array" ref="O7371">IFERROR(IF($B7371=O$1, ($A7371+$C7371) - MAX(IF($B$2:$B7370=$B7371, $A$2:$A7370+$C$2:$C7370)), "")*24*60, "")</f>
        <v/>
      </c>
      <c r="P7371" s="24" t="str" cm="1">
        <f t="array" ref="P7371">IFERROR(IF($B7371=P$1, ($A7371+$C7371) - MAX(IF($B$2:$B7370=$B7371, $A$2:$A7370+$C$2:$C7370)), "")*24*60, "")</f>
        <v/>
      </c>
      <c r="Q7371" s="24" t="str" cm="1">
        <f t="array" ref="Q7371">IFERROR(IF($B7371=Q$1, ($A7371+$C7371) - MAX(IF($B$2:$B7370=$B7371, $A$2:$A7370+$C$2:$C7370)), "")*24*60, "")</f>
        <v/>
      </c>
      <c r="R7371" s="24" t="str" cm="1">
        <f t="array" ref="R7371">IFERROR(IF($B7371=R$1, ($A7371+$C7371) - MAX(IF($B$2:$B7370=$B7371, $A$2:$A7370+$C$2:$C7370)), "")*24*60, "")</f>
        <v/>
      </c>
      <c r="S7371" s="24" t="str" cm="1">
        <f t="array" ref="S7371">IFERROR(IF($B7371=S$1, ($A7371+$C7371) - MAX(IF($B$2:$B7370=$B7371, $A$2:$A7370+$C$2:$C7370)), "")*24*60, "")</f>
        <v/>
      </c>
    </row>
    <row r="7372" spans="1:19" x14ac:dyDescent="0.2">
      <c r="A7372" s="12">
        <f t="shared" ref="A7372:C7372" si="1554">A7371</f>
        <v>46015</v>
      </c>
      <c r="B7372" s="5" t="str">
        <f t="shared" si="1554"/>
        <v>Northern Cardinal</v>
      </c>
      <c r="C7372" s="6">
        <f t="shared" si="1554"/>
        <v>0.74097222222222225</v>
      </c>
      <c r="D7372" s="5"/>
      <c r="E7372" s="5"/>
      <c r="F7372" s="5" t="s">
        <v>9</v>
      </c>
      <c r="G7372" s="15" t="s">
        <v>8</v>
      </c>
      <c r="H7372" s="24">
        <f t="shared" si="1407"/>
        <v>0</v>
      </c>
      <c r="I7372" s="24" cm="1">
        <f t="array" ref="I7372">IFERROR(IF($B7372=I$1, ($A7372+$C7372) - MAX(IF($B$2:$B7371=$B7372, $A$2:$A7371+$C$2:$C7371)), "")*24*60, "")</f>
        <v>0</v>
      </c>
      <c r="J7372" s="24" t="str" cm="1">
        <f t="array" ref="J7372">IFERROR(IF($B7372=J$1, ($A7372+$C7372) - MAX(IF($B$2:$B7371=$B7372, $A$2:$A7371+$C$2:$C7371)), "")*24*60, "")</f>
        <v/>
      </c>
      <c r="K7372" s="24" t="str" cm="1">
        <f t="array" ref="K7372">IFERROR(IF($B7372=K$1, ($A7372+$C7372) - MAX(IF($B$2:$B7371=$B7372, $A$2:$A7371+$C$2:$C7371)), "")*24*60, "")</f>
        <v/>
      </c>
      <c r="L7372" s="24" t="str" cm="1">
        <f t="array" ref="L7372">IFERROR(IF($B7372=L$1, ($A7372+$C7372) - MAX(IF($B$2:$B7371=$B7372, $A$2:$A7371+$C$2:$C7371)), "")*24*60, "")</f>
        <v/>
      </c>
      <c r="M7372" s="24" t="str" cm="1">
        <f t="array" ref="M7372">IFERROR(IF($B7372=M$1, ($A7372+$C7372) - MAX(IF($B$2:$B7371=$B7372, $A$2:$A7371+$C$2:$C7371)), "")*24*60, "")</f>
        <v/>
      </c>
      <c r="N7372" s="24" t="str" cm="1">
        <f t="array" ref="N7372">IFERROR(IF($B7372=N$1, ($A7372+$C7372) - MAX(IF($B$2:$B7371=$B7372, $A$2:$A7371+$C$2:$C7371)), "")*24*60, "")</f>
        <v/>
      </c>
      <c r="O7372" s="24" t="str" cm="1">
        <f t="array" ref="O7372">IFERROR(IF($B7372=O$1, ($A7372+$C7372) - MAX(IF($B$2:$B7371=$B7372, $A$2:$A7371+$C$2:$C7371)), "")*24*60, "")</f>
        <v/>
      </c>
      <c r="P7372" s="24" t="str" cm="1">
        <f t="array" ref="P7372">IFERROR(IF($B7372=P$1, ($A7372+$C7372) - MAX(IF($B$2:$B7371=$B7372, $A$2:$A7371+$C$2:$C7371)), "")*24*60, "")</f>
        <v/>
      </c>
      <c r="Q7372" s="24" t="str" cm="1">
        <f t="array" ref="Q7372">IFERROR(IF($B7372=Q$1, ($A7372+$C7372) - MAX(IF($B$2:$B7371=$B7372, $A$2:$A7371+$C$2:$C7371)), "")*24*60, "")</f>
        <v/>
      </c>
      <c r="R7372" s="24" t="str" cm="1">
        <f t="array" ref="R7372">IFERROR(IF($B7372=R$1, ($A7372+$C7372) - MAX(IF($B$2:$B7371=$B7372, $A$2:$A7371+$C$2:$C7371)), "")*24*60, "")</f>
        <v/>
      </c>
      <c r="S7372" s="24" t="str" cm="1">
        <f t="array" ref="S7372">IFERROR(IF($B7372=S$1, ($A7372+$C7372) - MAX(IF($B$2:$B7371=$B7372, $A$2:$A7371+$C$2:$C7371)), "")*24*60, "")</f>
        <v/>
      </c>
    </row>
    <row r="7373" spans="1:19" x14ac:dyDescent="0.2">
      <c r="A7373" s="12">
        <f t="shared" ref="A7373:C7373" si="1555">A7372</f>
        <v>46015</v>
      </c>
      <c r="B7373" s="5" t="str">
        <f t="shared" si="1555"/>
        <v>Northern Cardinal</v>
      </c>
      <c r="C7373" s="6">
        <f t="shared" si="1555"/>
        <v>0.74097222222222225</v>
      </c>
      <c r="D7373" s="5"/>
      <c r="E7373" s="5"/>
      <c r="F7373" s="5" t="s">
        <v>9</v>
      </c>
      <c r="G7373" s="15" t="s">
        <v>8</v>
      </c>
      <c r="H7373" s="24">
        <f t="shared" si="1407"/>
        <v>0</v>
      </c>
      <c r="I7373" s="24" cm="1">
        <f t="array" ref="I7373">IFERROR(IF($B7373=I$1, ($A7373+$C7373) - MAX(IF($B$2:$B7372=$B7373, $A$2:$A7372+$C$2:$C7372)), "")*24*60, "")</f>
        <v>0</v>
      </c>
      <c r="J7373" s="24" t="str" cm="1">
        <f t="array" ref="J7373">IFERROR(IF($B7373=J$1, ($A7373+$C7373) - MAX(IF($B$2:$B7372=$B7373, $A$2:$A7372+$C$2:$C7372)), "")*24*60, "")</f>
        <v/>
      </c>
      <c r="K7373" s="24" t="str" cm="1">
        <f t="array" ref="K7373">IFERROR(IF($B7373=K$1, ($A7373+$C7373) - MAX(IF($B$2:$B7372=$B7373, $A$2:$A7372+$C$2:$C7372)), "")*24*60, "")</f>
        <v/>
      </c>
      <c r="L7373" s="24" t="str" cm="1">
        <f t="array" ref="L7373">IFERROR(IF($B7373=L$1, ($A7373+$C7373) - MAX(IF($B$2:$B7372=$B7373, $A$2:$A7372+$C$2:$C7372)), "")*24*60, "")</f>
        <v/>
      </c>
      <c r="M7373" s="24" t="str" cm="1">
        <f t="array" ref="M7373">IFERROR(IF($B7373=M$1, ($A7373+$C7373) - MAX(IF($B$2:$B7372=$B7373, $A$2:$A7372+$C$2:$C7372)), "")*24*60, "")</f>
        <v/>
      </c>
      <c r="N7373" s="24" t="str" cm="1">
        <f t="array" ref="N7373">IFERROR(IF($B7373=N$1, ($A7373+$C7373) - MAX(IF($B$2:$B7372=$B7373, $A$2:$A7372+$C$2:$C7372)), "")*24*60, "")</f>
        <v/>
      </c>
      <c r="O7373" s="24" t="str" cm="1">
        <f t="array" ref="O7373">IFERROR(IF($B7373=O$1, ($A7373+$C7373) - MAX(IF($B$2:$B7372=$B7373, $A$2:$A7372+$C$2:$C7372)), "")*24*60, "")</f>
        <v/>
      </c>
      <c r="P7373" s="24" t="str" cm="1">
        <f t="array" ref="P7373">IFERROR(IF($B7373=P$1, ($A7373+$C7373) - MAX(IF($B$2:$B7372=$B7373, $A$2:$A7372+$C$2:$C7372)), "")*24*60, "")</f>
        <v/>
      </c>
      <c r="Q7373" s="24" t="str" cm="1">
        <f t="array" ref="Q7373">IFERROR(IF($B7373=Q$1, ($A7373+$C7373) - MAX(IF($B$2:$B7372=$B7373, $A$2:$A7372+$C$2:$C7372)), "")*24*60, "")</f>
        <v/>
      </c>
      <c r="R7373" s="24" t="str" cm="1">
        <f t="array" ref="R7373">IFERROR(IF($B7373=R$1, ($A7373+$C7373) - MAX(IF($B$2:$B7372=$B7373, $A$2:$A7372+$C$2:$C7372)), "")*24*60, "")</f>
        <v/>
      </c>
      <c r="S7373" s="24" t="str" cm="1">
        <f t="array" ref="S7373">IFERROR(IF($B7373=S$1, ($A7373+$C7373) - MAX(IF($B$2:$B7372=$B7373, $A$2:$A7372+$C$2:$C7372)), "")*24*60, "")</f>
        <v/>
      </c>
    </row>
    <row r="7374" spans="1:19" x14ac:dyDescent="0.2">
      <c r="A7374" s="12">
        <f t="shared" ref="A7374:C7374" si="1556">A7373</f>
        <v>46015</v>
      </c>
      <c r="B7374" s="5" t="str">
        <f t="shared" si="1556"/>
        <v>Northern Cardinal</v>
      </c>
      <c r="C7374" s="6">
        <f t="shared" si="1556"/>
        <v>0.74097222222222225</v>
      </c>
      <c r="D7374" s="5"/>
      <c r="E7374" s="5"/>
      <c r="F7374" s="5" t="s">
        <v>9</v>
      </c>
      <c r="G7374" s="15" t="s">
        <v>8</v>
      </c>
      <c r="H7374" s="24">
        <f t="shared" si="1407"/>
        <v>0</v>
      </c>
      <c r="I7374" s="24" cm="1">
        <f t="array" ref="I7374">IFERROR(IF($B7374=I$1, ($A7374+$C7374) - MAX(IF($B$2:$B7373=$B7374, $A$2:$A7373+$C$2:$C7373)), "")*24*60, "")</f>
        <v>0</v>
      </c>
      <c r="J7374" s="24" t="str" cm="1">
        <f t="array" ref="J7374">IFERROR(IF($B7374=J$1, ($A7374+$C7374) - MAX(IF($B$2:$B7373=$B7374, $A$2:$A7373+$C$2:$C7373)), "")*24*60, "")</f>
        <v/>
      </c>
      <c r="K7374" s="24" t="str" cm="1">
        <f t="array" ref="K7374">IFERROR(IF($B7374=K$1, ($A7374+$C7374) - MAX(IF($B$2:$B7373=$B7374, $A$2:$A7373+$C$2:$C7373)), "")*24*60, "")</f>
        <v/>
      </c>
      <c r="L7374" s="24" t="str" cm="1">
        <f t="array" ref="L7374">IFERROR(IF($B7374=L$1, ($A7374+$C7374) - MAX(IF($B$2:$B7373=$B7374, $A$2:$A7373+$C$2:$C7373)), "")*24*60, "")</f>
        <v/>
      </c>
      <c r="M7374" s="24" t="str" cm="1">
        <f t="array" ref="M7374">IFERROR(IF($B7374=M$1, ($A7374+$C7374) - MAX(IF($B$2:$B7373=$B7374, $A$2:$A7373+$C$2:$C7373)), "")*24*60, "")</f>
        <v/>
      </c>
      <c r="N7374" s="24" t="str" cm="1">
        <f t="array" ref="N7374">IFERROR(IF($B7374=N$1, ($A7374+$C7374) - MAX(IF($B$2:$B7373=$B7374, $A$2:$A7373+$C$2:$C7373)), "")*24*60, "")</f>
        <v/>
      </c>
      <c r="O7374" s="24" t="str" cm="1">
        <f t="array" ref="O7374">IFERROR(IF($B7374=O$1, ($A7374+$C7374) - MAX(IF($B$2:$B7373=$B7374, $A$2:$A7373+$C$2:$C7373)), "")*24*60, "")</f>
        <v/>
      </c>
      <c r="P7374" s="24" t="str" cm="1">
        <f t="array" ref="P7374">IFERROR(IF($B7374=P$1, ($A7374+$C7374) - MAX(IF($B$2:$B7373=$B7374, $A$2:$A7373+$C$2:$C7373)), "")*24*60, "")</f>
        <v/>
      </c>
      <c r="Q7374" s="24" t="str" cm="1">
        <f t="array" ref="Q7374">IFERROR(IF($B7374=Q$1, ($A7374+$C7374) - MAX(IF($B$2:$B7373=$B7374, $A$2:$A7373+$C$2:$C7373)), "")*24*60, "")</f>
        <v/>
      </c>
      <c r="R7374" s="24" t="str" cm="1">
        <f t="array" ref="R7374">IFERROR(IF($B7374=R$1, ($A7374+$C7374) - MAX(IF($B$2:$B7373=$B7374, $A$2:$A7373+$C$2:$C7373)), "")*24*60, "")</f>
        <v/>
      </c>
      <c r="S7374" s="24" t="str" cm="1">
        <f t="array" ref="S7374">IFERROR(IF($B7374=S$1, ($A7374+$C7374) - MAX(IF($B$2:$B7373=$B7374, $A$2:$A7373+$C$2:$C7373)), "")*24*60, "")</f>
        <v/>
      </c>
    </row>
    <row r="7375" spans="1:19" x14ac:dyDescent="0.2">
      <c r="A7375" s="12">
        <f t="shared" ref="A7375:C7375" si="1557">A7374</f>
        <v>46015</v>
      </c>
      <c r="B7375" s="5" t="str">
        <f t="shared" si="1557"/>
        <v>Northern Cardinal</v>
      </c>
      <c r="C7375" s="6">
        <f t="shared" si="1557"/>
        <v>0.74097222222222225</v>
      </c>
      <c r="D7375" s="5"/>
      <c r="E7375" s="5"/>
      <c r="F7375" s="5" t="s">
        <v>9</v>
      </c>
      <c r="G7375" s="15" t="s">
        <v>8</v>
      </c>
      <c r="H7375" s="24">
        <f t="shared" si="1407"/>
        <v>0</v>
      </c>
      <c r="I7375" s="24" cm="1">
        <f t="array" ref="I7375">IFERROR(IF($B7375=I$1, ($A7375+$C7375) - MAX(IF($B$2:$B7374=$B7375, $A$2:$A7374+$C$2:$C7374)), "")*24*60, "")</f>
        <v>0</v>
      </c>
      <c r="J7375" s="24" t="str" cm="1">
        <f t="array" ref="J7375">IFERROR(IF($B7375=J$1, ($A7375+$C7375) - MAX(IF($B$2:$B7374=$B7375, $A$2:$A7374+$C$2:$C7374)), "")*24*60, "")</f>
        <v/>
      </c>
      <c r="K7375" s="24" t="str" cm="1">
        <f t="array" ref="K7375">IFERROR(IF($B7375=K$1, ($A7375+$C7375) - MAX(IF($B$2:$B7374=$B7375, $A$2:$A7374+$C$2:$C7374)), "")*24*60, "")</f>
        <v/>
      </c>
      <c r="L7375" s="24" t="str" cm="1">
        <f t="array" ref="L7375">IFERROR(IF($B7375=L$1, ($A7375+$C7375) - MAX(IF($B$2:$B7374=$B7375, $A$2:$A7374+$C$2:$C7374)), "")*24*60, "")</f>
        <v/>
      </c>
      <c r="M7375" s="24" t="str" cm="1">
        <f t="array" ref="M7375">IFERROR(IF($B7375=M$1, ($A7375+$C7375) - MAX(IF($B$2:$B7374=$B7375, $A$2:$A7374+$C$2:$C7374)), "")*24*60, "")</f>
        <v/>
      </c>
      <c r="N7375" s="24" t="str" cm="1">
        <f t="array" ref="N7375">IFERROR(IF($B7375=N$1, ($A7375+$C7375) - MAX(IF($B$2:$B7374=$B7375, $A$2:$A7374+$C$2:$C7374)), "")*24*60, "")</f>
        <v/>
      </c>
      <c r="O7375" s="24" t="str" cm="1">
        <f t="array" ref="O7375">IFERROR(IF($B7375=O$1, ($A7375+$C7375) - MAX(IF($B$2:$B7374=$B7375, $A$2:$A7374+$C$2:$C7374)), "")*24*60, "")</f>
        <v/>
      </c>
      <c r="P7375" s="24" t="str" cm="1">
        <f t="array" ref="P7375">IFERROR(IF($B7375=P$1, ($A7375+$C7375) - MAX(IF($B$2:$B7374=$B7375, $A$2:$A7374+$C$2:$C7374)), "")*24*60, "")</f>
        <v/>
      </c>
      <c r="Q7375" s="24" t="str" cm="1">
        <f t="array" ref="Q7375">IFERROR(IF($B7375=Q$1, ($A7375+$C7375) - MAX(IF($B$2:$B7374=$B7375, $A$2:$A7374+$C$2:$C7374)), "")*24*60, "")</f>
        <v/>
      </c>
      <c r="R7375" s="24" t="str" cm="1">
        <f t="array" ref="R7375">IFERROR(IF($B7375=R$1, ($A7375+$C7375) - MAX(IF($B$2:$B7374=$B7375, $A$2:$A7374+$C$2:$C7374)), "")*24*60, "")</f>
        <v/>
      </c>
      <c r="S7375" s="24" t="str" cm="1">
        <f t="array" ref="S7375">IFERROR(IF($B7375=S$1, ($A7375+$C7375) - MAX(IF($B$2:$B7374=$B7375, $A$2:$A7374+$C$2:$C7374)), "")*24*60, "")</f>
        <v/>
      </c>
    </row>
    <row r="7376" spans="1:19" x14ac:dyDescent="0.2">
      <c r="A7376" s="12">
        <f t="shared" ref="A7376:C7376" si="1558">A7375</f>
        <v>46015</v>
      </c>
      <c r="B7376" s="5" t="str">
        <f t="shared" si="1558"/>
        <v>Northern Cardinal</v>
      </c>
      <c r="C7376" s="6">
        <f t="shared" si="1558"/>
        <v>0.74097222222222225</v>
      </c>
      <c r="D7376" s="5"/>
      <c r="E7376" s="5"/>
      <c r="F7376" s="5" t="s">
        <v>9</v>
      </c>
      <c r="G7376" s="15" t="s">
        <v>8</v>
      </c>
      <c r="H7376" s="24">
        <f t="shared" si="1407"/>
        <v>0</v>
      </c>
      <c r="I7376" s="24" cm="1">
        <f t="array" ref="I7376">IFERROR(IF($B7376=I$1, ($A7376+$C7376) - MAX(IF($B$2:$B7375=$B7376, $A$2:$A7375+$C$2:$C7375)), "")*24*60, "")</f>
        <v>0</v>
      </c>
      <c r="J7376" s="24" t="str" cm="1">
        <f t="array" ref="J7376">IFERROR(IF($B7376=J$1, ($A7376+$C7376) - MAX(IF($B$2:$B7375=$B7376, $A$2:$A7375+$C$2:$C7375)), "")*24*60, "")</f>
        <v/>
      </c>
      <c r="K7376" s="24" t="str" cm="1">
        <f t="array" ref="K7376">IFERROR(IF($B7376=K$1, ($A7376+$C7376) - MAX(IF($B$2:$B7375=$B7376, $A$2:$A7375+$C$2:$C7375)), "")*24*60, "")</f>
        <v/>
      </c>
      <c r="L7376" s="24" t="str" cm="1">
        <f t="array" ref="L7376">IFERROR(IF($B7376=L$1, ($A7376+$C7376) - MAX(IF($B$2:$B7375=$B7376, $A$2:$A7375+$C$2:$C7375)), "")*24*60, "")</f>
        <v/>
      </c>
      <c r="M7376" s="24" t="str" cm="1">
        <f t="array" ref="M7376">IFERROR(IF($B7376=M$1, ($A7376+$C7376) - MAX(IF($B$2:$B7375=$B7376, $A$2:$A7375+$C$2:$C7375)), "")*24*60, "")</f>
        <v/>
      </c>
      <c r="N7376" s="24" t="str" cm="1">
        <f t="array" ref="N7376">IFERROR(IF($B7376=N$1, ($A7376+$C7376) - MAX(IF($B$2:$B7375=$B7376, $A$2:$A7375+$C$2:$C7375)), "")*24*60, "")</f>
        <v/>
      </c>
      <c r="O7376" s="24" t="str" cm="1">
        <f t="array" ref="O7376">IFERROR(IF($B7376=O$1, ($A7376+$C7376) - MAX(IF($B$2:$B7375=$B7376, $A$2:$A7375+$C$2:$C7375)), "")*24*60, "")</f>
        <v/>
      </c>
      <c r="P7376" s="24" t="str" cm="1">
        <f t="array" ref="P7376">IFERROR(IF($B7376=P$1, ($A7376+$C7376) - MAX(IF($B$2:$B7375=$B7376, $A$2:$A7375+$C$2:$C7375)), "")*24*60, "")</f>
        <v/>
      </c>
      <c r="Q7376" s="24" t="str" cm="1">
        <f t="array" ref="Q7376">IFERROR(IF($B7376=Q$1, ($A7376+$C7376) - MAX(IF($B$2:$B7375=$B7376, $A$2:$A7375+$C$2:$C7375)), "")*24*60, "")</f>
        <v/>
      </c>
      <c r="R7376" s="24" t="str" cm="1">
        <f t="array" ref="R7376">IFERROR(IF($B7376=R$1, ($A7376+$C7376) - MAX(IF($B$2:$B7375=$B7376, $A$2:$A7375+$C$2:$C7375)), "")*24*60, "")</f>
        <v/>
      </c>
      <c r="S7376" s="24" t="str" cm="1">
        <f t="array" ref="S7376">IFERROR(IF($B7376=S$1, ($A7376+$C7376) - MAX(IF($B$2:$B7375=$B7376, $A$2:$A7375+$C$2:$C7375)), "")*24*60, "")</f>
        <v/>
      </c>
    </row>
    <row r="7377" spans="1:19" x14ac:dyDescent="0.2">
      <c r="A7377" s="12">
        <f t="shared" ref="A7377:C7377" si="1559">A7376</f>
        <v>46015</v>
      </c>
      <c r="B7377" s="5" t="str">
        <f t="shared" si="1559"/>
        <v>Northern Cardinal</v>
      </c>
      <c r="C7377" s="6">
        <f t="shared" si="1559"/>
        <v>0.74097222222222225</v>
      </c>
      <c r="D7377" s="5"/>
      <c r="E7377" s="5"/>
      <c r="F7377" s="5" t="s">
        <v>9</v>
      </c>
      <c r="G7377" s="15" t="s">
        <v>8</v>
      </c>
      <c r="H7377" s="24">
        <f t="shared" si="1407"/>
        <v>0</v>
      </c>
      <c r="I7377" s="24" cm="1">
        <f t="array" ref="I7377">IFERROR(IF($B7377=I$1, ($A7377+$C7377) - MAX(IF($B$2:$B7376=$B7377, $A$2:$A7376+$C$2:$C7376)), "")*24*60, "")</f>
        <v>0</v>
      </c>
      <c r="J7377" s="24" t="str" cm="1">
        <f t="array" ref="J7377">IFERROR(IF($B7377=J$1, ($A7377+$C7377) - MAX(IF($B$2:$B7376=$B7377, $A$2:$A7376+$C$2:$C7376)), "")*24*60, "")</f>
        <v/>
      </c>
      <c r="K7377" s="24" t="str" cm="1">
        <f t="array" ref="K7377">IFERROR(IF($B7377=K$1, ($A7377+$C7377) - MAX(IF($B$2:$B7376=$B7377, $A$2:$A7376+$C$2:$C7376)), "")*24*60, "")</f>
        <v/>
      </c>
      <c r="L7377" s="24" t="str" cm="1">
        <f t="array" ref="L7377">IFERROR(IF($B7377=L$1, ($A7377+$C7377) - MAX(IF($B$2:$B7376=$B7377, $A$2:$A7376+$C$2:$C7376)), "")*24*60, "")</f>
        <v/>
      </c>
      <c r="M7377" s="24" t="str" cm="1">
        <f t="array" ref="M7377">IFERROR(IF($B7377=M$1, ($A7377+$C7377) - MAX(IF($B$2:$B7376=$B7377, $A$2:$A7376+$C$2:$C7376)), "")*24*60, "")</f>
        <v/>
      </c>
      <c r="N7377" s="24" t="str" cm="1">
        <f t="array" ref="N7377">IFERROR(IF($B7377=N$1, ($A7377+$C7377) - MAX(IF($B$2:$B7376=$B7377, $A$2:$A7376+$C$2:$C7376)), "")*24*60, "")</f>
        <v/>
      </c>
      <c r="O7377" s="24" t="str" cm="1">
        <f t="array" ref="O7377">IFERROR(IF($B7377=O$1, ($A7377+$C7377) - MAX(IF($B$2:$B7376=$B7377, $A$2:$A7376+$C$2:$C7376)), "")*24*60, "")</f>
        <v/>
      </c>
      <c r="P7377" s="24" t="str" cm="1">
        <f t="array" ref="P7377">IFERROR(IF($B7377=P$1, ($A7377+$C7377) - MAX(IF($B$2:$B7376=$B7377, $A$2:$A7376+$C$2:$C7376)), "")*24*60, "")</f>
        <v/>
      </c>
      <c r="Q7377" s="24" t="str" cm="1">
        <f t="array" ref="Q7377">IFERROR(IF($B7377=Q$1, ($A7377+$C7377) - MAX(IF($B$2:$B7376=$B7377, $A$2:$A7376+$C$2:$C7376)), "")*24*60, "")</f>
        <v/>
      </c>
      <c r="R7377" s="24" t="str" cm="1">
        <f t="array" ref="R7377">IFERROR(IF($B7377=R$1, ($A7377+$C7377) - MAX(IF($B$2:$B7376=$B7377, $A$2:$A7376+$C$2:$C7376)), "")*24*60, "")</f>
        <v/>
      </c>
      <c r="S7377" s="24" t="str" cm="1">
        <f t="array" ref="S7377">IFERROR(IF($B7377=S$1, ($A7377+$C7377) - MAX(IF($B$2:$B7376=$B7377, $A$2:$A7376+$C$2:$C7376)), "")*24*60, "")</f>
        <v/>
      </c>
    </row>
    <row r="7378" spans="1:19" x14ac:dyDescent="0.2">
      <c r="A7378" s="12">
        <f t="shared" ref="A7378:C7378" si="1560">A7377</f>
        <v>46015</v>
      </c>
      <c r="B7378" s="5" t="str">
        <f t="shared" si="1560"/>
        <v>Northern Cardinal</v>
      </c>
      <c r="C7378" s="6">
        <f t="shared" si="1560"/>
        <v>0.74097222222222225</v>
      </c>
      <c r="D7378" s="5"/>
      <c r="E7378" s="5"/>
      <c r="F7378" s="5" t="s">
        <v>9</v>
      </c>
      <c r="G7378" s="15" t="s">
        <v>8</v>
      </c>
      <c r="H7378" s="24">
        <f t="shared" si="1407"/>
        <v>0</v>
      </c>
      <c r="I7378" s="24" cm="1">
        <f t="array" ref="I7378">IFERROR(IF($B7378=I$1, ($A7378+$C7378) - MAX(IF($B$2:$B7377=$B7378, $A$2:$A7377+$C$2:$C7377)), "")*24*60, "")</f>
        <v>0</v>
      </c>
      <c r="J7378" s="24" t="str" cm="1">
        <f t="array" ref="J7378">IFERROR(IF($B7378=J$1, ($A7378+$C7378) - MAX(IF($B$2:$B7377=$B7378, $A$2:$A7377+$C$2:$C7377)), "")*24*60, "")</f>
        <v/>
      </c>
      <c r="K7378" s="24" t="str" cm="1">
        <f t="array" ref="K7378">IFERROR(IF($B7378=K$1, ($A7378+$C7378) - MAX(IF($B$2:$B7377=$B7378, $A$2:$A7377+$C$2:$C7377)), "")*24*60, "")</f>
        <v/>
      </c>
      <c r="L7378" s="24" t="str" cm="1">
        <f t="array" ref="L7378">IFERROR(IF($B7378=L$1, ($A7378+$C7378) - MAX(IF($B$2:$B7377=$B7378, $A$2:$A7377+$C$2:$C7377)), "")*24*60, "")</f>
        <v/>
      </c>
      <c r="M7378" s="24" t="str" cm="1">
        <f t="array" ref="M7378">IFERROR(IF($B7378=M$1, ($A7378+$C7378) - MAX(IF($B$2:$B7377=$B7378, $A$2:$A7377+$C$2:$C7377)), "")*24*60, "")</f>
        <v/>
      </c>
      <c r="N7378" s="24" t="str" cm="1">
        <f t="array" ref="N7378">IFERROR(IF($B7378=N$1, ($A7378+$C7378) - MAX(IF($B$2:$B7377=$B7378, $A$2:$A7377+$C$2:$C7377)), "")*24*60, "")</f>
        <v/>
      </c>
      <c r="O7378" s="24" t="str" cm="1">
        <f t="array" ref="O7378">IFERROR(IF($B7378=O$1, ($A7378+$C7378) - MAX(IF($B$2:$B7377=$B7378, $A$2:$A7377+$C$2:$C7377)), "")*24*60, "")</f>
        <v/>
      </c>
      <c r="P7378" s="24" t="str" cm="1">
        <f t="array" ref="P7378">IFERROR(IF($B7378=P$1, ($A7378+$C7378) - MAX(IF($B$2:$B7377=$B7378, $A$2:$A7377+$C$2:$C7377)), "")*24*60, "")</f>
        <v/>
      </c>
      <c r="Q7378" s="24" t="str" cm="1">
        <f t="array" ref="Q7378">IFERROR(IF($B7378=Q$1, ($A7378+$C7378) - MAX(IF($B$2:$B7377=$B7378, $A$2:$A7377+$C$2:$C7377)), "")*24*60, "")</f>
        <v/>
      </c>
      <c r="R7378" s="24" t="str" cm="1">
        <f t="array" ref="R7378">IFERROR(IF($B7378=R$1, ($A7378+$C7378) - MAX(IF($B$2:$B7377=$B7378, $A$2:$A7377+$C$2:$C7377)), "")*24*60, "")</f>
        <v/>
      </c>
      <c r="S7378" s="24" t="str" cm="1">
        <f t="array" ref="S7378">IFERROR(IF($B7378=S$1, ($A7378+$C7378) - MAX(IF($B$2:$B7377=$B7378, $A$2:$A7377+$C$2:$C7377)), "")*24*60, "")</f>
        <v/>
      </c>
    </row>
    <row r="7379" spans="1:19" x14ac:dyDescent="0.2">
      <c r="A7379" s="12">
        <f t="shared" ref="A7379:C7379" si="1561">A7378</f>
        <v>46015</v>
      </c>
      <c r="B7379" s="5" t="str">
        <f t="shared" si="1561"/>
        <v>Northern Cardinal</v>
      </c>
      <c r="C7379" s="6">
        <f t="shared" si="1561"/>
        <v>0.74097222222222225</v>
      </c>
      <c r="D7379" s="5"/>
      <c r="E7379" s="5"/>
      <c r="F7379" s="5" t="s">
        <v>9</v>
      </c>
      <c r="G7379" s="15" t="s">
        <v>8</v>
      </c>
      <c r="H7379" s="24">
        <f t="shared" si="1407"/>
        <v>0</v>
      </c>
      <c r="I7379" s="24" cm="1">
        <f t="array" ref="I7379">IFERROR(IF($B7379=I$1, ($A7379+$C7379) - MAX(IF($B$2:$B7378=$B7379, $A$2:$A7378+$C$2:$C7378)), "")*24*60, "")</f>
        <v>0</v>
      </c>
      <c r="J7379" s="24" t="str" cm="1">
        <f t="array" ref="J7379">IFERROR(IF($B7379=J$1, ($A7379+$C7379) - MAX(IF($B$2:$B7378=$B7379, $A$2:$A7378+$C$2:$C7378)), "")*24*60, "")</f>
        <v/>
      </c>
      <c r="K7379" s="24" t="str" cm="1">
        <f t="array" ref="K7379">IFERROR(IF($B7379=K$1, ($A7379+$C7379) - MAX(IF($B$2:$B7378=$B7379, $A$2:$A7378+$C$2:$C7378)), "")*24*60, "")</f>
        <v/>
      </c>
      <c r="L7379" s="24" t="str" cm="1">
        <f t="array" ref="L7379">IFERROR(IF($B7379=L$1, ($A7379+$C7379) - MAX(IF($B$2:$B7378=$B7379, $A$2:$A7378+$C$2:$C7378)), "")*24*60, "")</f>
        <v/>
      </c>
      <c r="M7379" s="24" t="str" cm="1">
        <f t="array" ref="M7379">IFERROR(IF($B7379=M$1, ($A7379+$C7379) - MAX(IF($B$2:$B7378=$B7379, $A$2:$A7378+$C$2:$C7378)), "")*24*60, "")</f>
        <v/>
      </c>
      <c r="N7379" s="24" t="str" cm="1">
        <f t="array" ref="N7379">IFERROR(IF($B7379=N$1, ($A7379+$C7379) - MAX(IF($B$2:$B7378=$B7379, $A$2:$A7378+$C$2:$C7378)), "")*24*60, "")</f>
        <v/>
      </c>
      <c r="O7379" s="24" t="str" cm="1">
        <f t="array" ref="O7379">IFERROR(IF($B7379=O$1, ($A7379+$C7379) - MAX(IF($B$2:$B7378=$B7379, $A$2:$A7378+$C$2:$C7378)), "")*24*60, "")</f>
        <v/>
      </c>
      <c r="P7379" s="24" t="str" cm="1">
        <f t="array" ref="P7379">IFERROR(IF($B7379=P$1, ($A7379+$C7379) - MAX(IF($B$2:$B7378=$B7379, $A$2:$A7378+$C$2:$C7378)), "")*24*60, "")</f>
        <v/>
      </c>
      <c r="Q7379" s="24" t="str" cm="1">
        <f t="array" ref="Q7379">IFERROR(IF($B7379=Q$1, ($A7379+$C7379) - MAX(IF($B$2:$B7378=$B7379, $A$2:$A7378+$C$2:$C7378)), "")*24*60, "")</f>
        <v/>
      </c>
      <c r="R7379" s="24" t="str" cm="1">
        <f t="array" ref="R7379">IFERROR(IF($B7379=R$1, ($A7379+$C7379) - MAX(IF($B$2:$B7378=$B7379, $A$2:$A7378+$C$2:$C7378)), "")*24*60, "")</f>
        <v/>
      </c>
      <c r="S7379" s="24" t="str" cm="1">
        <f t="array" ref="S7379">IFERROR(IF($B7379=S$1, ($A7379+$C7379) - MAX(IF($B$2:$B7378=$B7379, $A$2:$A7378+$C$2:$C7378)), "")*24*60, "")</f>
        <v/>
      </c>
    </row>
    <row r="7380" spans="1:19" x14ac:dyDescent="0.2">
      <c r="A7380" s="12">
        <f t="shared" ref="A7380:C7380" si="1562">A7379</f>
        <v>46015</v>
      </c>
      <c r="B7380" s="5" t="str">
        <f t="shared" si="1562"/>
        <v>Northern Cardinal</v>
      </c>
      <c r="C7380" s="6">
        <f t="shared" si="1562"/>
        <v>0.74097222222222225</v>
      </c>
      <c r="D7380" s="5"/>
      <c r="E7380" s="5"/>
      <c r="F7380" s="5" t="s">
        <v>9</v>
      </c>
      <c r="G7380" s="15" t="s">
        <v>8</v>
      </c>
      <c r="H7380" s="24">
        <f t="shared" si="1407"/>
        <v>0</v>
      </c>
      <c r="I7380" s="24" cm="1">
        <f t="array" ref="I7380">IFERROR(IF($B7380=I$1, ($A7380+$C7380) - MAX(IF($B$2:$B7379=$B7380, $A$2:$A7379+$C$2:$C7379)), "")*24*60, "")</f>
        <v>0</v>
      </c>
      <c r="J7380" s="24" t="str" cm="1">
        <f t="array" ref="J7380">IFERROR(IF($B7380=J$1, ($A7380+$C7380) - MAX(IF($B$2:$B7379=$B7380, $A$2:$A7379+$C$2:$C7379)), "")*24*60, "")</f>
        <v/>
      </c>
      <c r="K7380" s="24" t="str" cm="1">
        <f t="array" ref="K7380">IFERROR(IF($B7380=K$1, ($A7380+$C7380) - MAX(IF($B$2:$B7379=$B7380, $A$2:$A7379+$C$2:$C7379)), "")*24*60, "")</f>
        <v/>
      </c>
      <c r="L7380" s="24" t="str" cm="1">
        <f t="array" ref="L7380">IFERROR(IF($B7380=L$1, ($A7380+$C7380) - MAX(IF($B$2:$B7379=$B7380, $A$2:$A7379+$C$2:$C7379)), "")*24*60, "")</f>
        <v/>
      </c>
      <c r="M7380" s="24" t="str" cm="1">
        <f t="array" ref="M7380">IFERROR(IF($B7380=M$1, ($A7380+$C7380) - MAX(IF($B$2:$B7379=$B7380, $A$2:$A7379+$C$2:$C7379)), "")*24*60, "")</f>
        <v/>
      </c>
      <c r="N7380" s="24" t="str" cm="1">
        <f t="array" ref="N7380">IFERROR(IF($B7380=N$1, ($A7380+$C7380) - MAX(IF($B$2:$B7379=$B7380, $A$2:$A7379+$C$2:$C7379)), "")*24*60, "")</f>
        <v/>
      </c>
      <c r="O7380" s="24" t="str" cm="1">
        <f t="array" ref="O7380">IFERROR(IF($B7380=O$1, ($A7380+$C7380) - MAX(IF($B$2:$B7379=$B7380, $A$2:$A7379+$C$2:$C7379)), "")*24*60, "")</f>
        <v/>
      </c>
      <c r="P7380" s="24" t="str" cm="1">
        <f t="array" ref="P7380">IFERROR(IF($B7380=P$1, ($A7380+$C7380) - MAX(IF($B$2:$B7379=$B7380, $A$2:$A7379+$C$2:$C7379)), "")*24*60, "")</f>
        <v/>
      </c>
      <c r="Q7380" s="24" t="str" cm="1">
        <f t="array" ref="Q7380">IFERROR(IF($B7380=Q$1, ($A7380+$C7380) - MAX(IF($B$2:$B7379=$B7380, $A$2:$A7379+$C$2:$C7379)), "")*24*60, "")</f>
        <v/>
      </c>
      <c r="R7380" s="24" t="str" cm="1">
        <f t="array" ref="R7380">IFERROR(IF($B7380=R$1, ($A7380+$C7380) - MAX(IF($B$2:$B7379=$B7380, $A$2:$A7379+$C$2:$C7379)), "")*24*60, "")</f>
        <v/>
      </c>
      <c r="S7380" s="24" t="str" cm="1">
        <f t="array" ref="S7380">IFERROR(IF($B7380=S$1, ($A7380+$C7380) - MAX(IF($B$2:$B7379=$B7380, $A$2:$A7379+$C$2:$C7379)), "")*24*60, "")</f>
        <v/>
      </c>
    </row>
    <row r="7381" spans="1:19" x14ac:dyDescent="0.2">
      <c r="A7381" s="12">
        <f t="shared" ref="A7381:C7381" si="1563">A7380</f>
        <v>46015</v>
      </c>
      <c r="B7381" s="5" t="str">
        <f t="shared" si="1563"/>
        <v>Northern Cardinal</v>
      </c>
      <c r="C7381" s="6">
        <f t="shared" si="1563"/>
        <v>0.74097222222222225</v>
      </c>
      <c r="D7381" s="5"/>
      <c r="E7381" s="5"/>
      <c r="F7381" s="5" t="s">
        <v>9</v>
      </c>
      <c r="G7381" s="15" t="s">
        <v>8</v>
      </c>
      <c r="H7381" s="24">
        <f t="shared" si="1407"/>
        <v>0</v>
      </c>
      <c r="I7381" s="24" cm="1">
        <f t="array" ref="I7381">IFERROR(IF($B7381=I$1, ($A7381+$C7381) - MAX(IF($B$2:$B7380=$B7381, $A$2:$A7380+$C$2:$C7380)), "")*24*60, "")</f>
        <v>0</v>
      </c>
      <c r="J7381" s="24" t="str" cm="1">
        <f t="array" ref="J7381">IFERROR(IF($B7381=J$1, ($A7381+$C7381) - MAX(IF($B$2:$B7380=$B7381, $A$2:$A7380+$C$2:$C7380)), "")*24*60, "")</f>
        <v/>
      </c>
      <c r="K7381" s="24" t="str" cm="1">
        <f t="array" ref="K7381">IFERROR(IF($B7381=K$1, ($A7381+$C7381) - MAX(IF($B$2:$B7380=$B7381, $A$2:$A7380+$C$2:$C7380)), "")*24*60, "")</f>
        <v/>
      </c>
      <c r="L7381" s="24" t="str" cm="1">
        <f t="array" ref="L7381">IFERROR(IF($B7381=L$1, ($A7381+$C7381) - MAX(IF($B$2:$B7380=$B7381, $A$2:$A7380+$C$2:$C7380)), "")*24*60, "")</f>
        <v/>
      </c>
      <c r="M7381" s="24" t="str" cm="1">
        <f t="array" ref="M7381">IFERROR(IF($B7381=M$1, ($A7381+$C7381) - MAX(IF($B$2:$B7380=$B7381, $A$2:$A7380+$C$2:$C7380)), "")*24*60, "")</f>
        <v/>
      </c>
      <c r="N7381" s="24" t="str" cm="1">
        <f t="array" ref="N7381">IFERROR(IF($B7381=N$1, ($A7381+$C7381) - MAX(IF($B$2:$B7380=$B7381, $A$2:$A7380+$C$2:$C7380)), "")*24*60, "")</f>
        <v/>
      </c>
      <c r="O7381" s="24" t="str" cm="1">
        <f t="array" ref="O7381">IFERROR(IF($B7381=O$1, ($A7381+$C7381) - MAX(IF($B$2:$B7380=$B7381, $A$2:$A7380+$C$2:$C7380)), "")*24*60, "")</f>
        <v/>
      </c>
      <c r="P7381" s="24" t="str" cm="1">
        <f t="array" ref="P7381">IFERROR(IF($B7381=P$1, ($A7381+$C7381) - MAX(IF($B$2:$B7380=$B7381, $A$2:$A7380+$C$2:$C7380)), "")*24*60, "")</f>
        <v/>
      </c>
      <c r="Q7381" s="24" t="str" cm="1">
        <f t="array" ref="Q7381">IFERROR(IF($B7381=Q$1, ($A7381+$C7381) - MAX(IF($B$2:$B7380=$B7381, $A$2:$A7380+$C$2:$C7380)), "")*24*60, "")</f>
        <v/>
      </c>
      <c r="R7381" s="24" t="str" cm="1">
        <f t="array" ref="R7381">IFERROR(IF($B7381=R$1, ($A7381+$C7381) - MAX(IF($B$2:$B7380=$B7381, $A$2:$A7380+$C$2:$C7380)), "")*24*60, "")</f>
        <v/>
      </c>
      <c r="S7381" s="24" t="str" cm="1">
        <f t="array" ref="S7381">IFERROR(IF($B7381=S$1, ($A7381+$C7381) - MAX(IF($B$2:$B7380=$B7381, $A$2:$A7380+$C$2:$C7380)), "")*24*60, "")</f>
        <v/>
      </c>
    </row>
    <row r="7382" spans="1:19" x14ac:dyDescent="0.2">
      <c r="A7382" s="12">
        <f t="shared" ref="A7382:C7382" si="1564">A7381</f>
        <v>46015</v>
      </c>
      <c r="B7382" s="5" t="str">
        <f t="shared" si="1564"/>
        <v>Northern Cardinal</v>
      </c>
      <c r="C7382" s="6">
        <f t="shared" si="1564"/>
        <v>0.74097222222222225</v>
      </c>
      <c r="D7382" s="5"/>
      <c r="E7382" s="5"/>
      <c r="F7382" s="5" t="s">
        <v>9</v>
      </c>
      <c r="G7382" s="15" t="s">
        <v>8</v>
      </c>
      <c r="H7382" s="24">
        <f t="shared" si="1407"/>
        <v>0</v>
      </c>
      <c r="I7382" s="24" cm="1">
        <f t="array" ref="I7382">IFERROR(IF($B7382=I$1, ($A7382+$C7382) - MAX(IF($B$2:$B7381=$B7382, $A$2:$A7381+$C$2:$C7381)), "")*24*60, "")</f>
        <v>0</v>
      </c>
      <c r="J7382" s="24" t="str" cm="1">
        <f t="array" ref="J7382">IFERROR(IF($B7382=J$1, ($A7382+$C7382) - MAX(IF($B$2:$B7381=$B7382, $A$2:$A7381+$C$2:$C7381)), "")*24*60, "")</f>
        <v/>
      </c>
      <c r="K7382" s="24" t="str" cm="1">
        <f t="array" ref="K7382">IFERROR(IF($B7382=K$1, ($A7382+$C7382) - MAX(IF($B$2:$B7381=$B7382, $A$2:$A7381+$C$2:$C7381)), "")*24*60, "")</f>
        <v/>
      </c>
      <c r="L7382" s="24" t="str" cm="1">
        <f t="array" ref="L7382">IFERROR(IF($B7382=L$1, ($A7382+$C7382) - MAX(IF($B$2:$B7381=$B7382, $A$2:$A7381+$C$2:$C7381)), "")*24*60, "")</f>
        <v/>
      </c>
      <c r="M7382" s="24" t="str" cm="1">
        <f t="array" ref="M7382">IFERROR(IF($B7382=M$1, ($A7382+$C7382) - MAX(IF($B$2:$B7381=$B7382, $A$2:$A7381+$C$2:$C7381)), "")*24*60, "")</f>
        <v/>
      </c>
      <c r="N7382" s="24" t="str" cm="1">
        <f t="array" ref="N7382">IFERROR(IF($B7382=N$1, ($A7382+$C7382) - MAX(IF($B$2:$B7381=$B7382, $A$2:$A7381+$C$2:$C7381)), "")*24*60, "")</f>
        <v/>
      </c>
      <c r="O7382" s="24" t="str" cm="1">
        <f t="array" ref="O7382">IFERROR(IF($B7382=O$1, ($A7382+$C7382) - MAX(IF($B$2:$B7381=$B7382, $A$2:$A7381+$C$2:$C7381)), "")*24*60, "")</f>
        <v/>
      </c>
      <c r="P7382" s="24" t="str" cm="1">
        <f t="array" ref="P7382">IFERROR(IF($B7382=P$1, ($A7382+$C7382) - MAX(IF($B$2:$B7381=$B7382, $A$2:$A7381+$C$2:$C7381)), "")*24*60, "")</f>
        <v/>
      </c>
      <c r="Q7382" s="24" t="str" cm="1">
        <f t="array" ref="Q7382">IFERROR(IF($B7382=Q$1, ($A7382+$C7382) - MAX(IF($B$2:$B7381=$B7382, $A$2:$A7381+$C$2:$C7381)), "")*24*60, "")</f>
        <v/>
      </c>
      <c r="R7382" s="24" t="str" cm="1">
        <f t="array" ref="R7382">IFERROR(IF($B7382=R$1, ($A7382+$C7382) - MAX(IF($B$2:$B7381=$B7382, $A$2:$A7381+$C$2:$C7381)), "")*24*60, "")</f>
        <v/>
      </c>
      <c r="S7382" s="24" t="str" cm="1">
        <f t="array" ref="S7382">IFERROR(IF($B7382=S$1, ($A7382+$C7382) - MAX(IF($B$2:$B7381=$B7382, $A$2:$A7381+$C$2:$C7381)), "")*24*60, "")</f>
        <v/>
      </c>
    </row>
    <row r="7383" spans="1:19" x14ac:dyDescent="0.2">
      <c r="A7383" s="12">
        <f t="shared" ref="A7383:C7383" si="1565">A7382</f>
        <v>46015</v>
      </c>
      <c r="B7383" s="5" t="str">
        <f t="shared" si="1565"/>
        <v>Northern Cardinal</v>
      </c>
      <c r="C7383" s="6">
        <f t="shared" si="1565"/>
        <v>0.74097222222222225</v>
      </c>
      <c r="D7383" s="5"/>
      <c r="E7383" s="5"/>
      <c r="F7383" s="5" t="s">
        <v>9</v>
      </c>
      <c r="G7383" s="15" t="s">
        <v>8</v>
      </c>
      <c r="H7383" s="24">
        <f t="shared" si="1407"/>
        <v>0</v>
      </c>
      <c r="I7383" s="24" cm="1">
        <f t="array" ref="I7383">IFERROR(IF($B7383=I$1, ($A7383+$C7383) - MAX(IF($B$2:$B7382=$B7383, $A$2:$A7382+$C$2:$C7382)), "")*24*60, "")</f>
        <v>0</v>
      </c>
      <c r="J7383" s="24" t="str" cm="1">
        <f t="array" ref="J7383">IFERROR(IF($B7383=J$1, ($A7383+$C7383) - MAX(IF($B$2:$B7382=$B7383, $A$2:$A7382+$C$2:$C7382)), "")*24*60, "")</f>
        <v/>
      </c>
      <c r="K7383" s="24" t="str" cm="1">
        <f t="array" ref="K7383">IFERROR(IF($B7383=K$1, ($A7383+$C7383) - MAX(IF($B$2:$B7382=$B7383, $A$2:$A7382+$C$2:$C7382)), "")*24*60, "")</f>
        <v/>
      </c>
      <c r="L7383" s="24" t="str" cm="1">
        <f t="array" ref="L7383">IFERROR(IF($B7383=L$1, ($A7383+$C7383) - MAX(IF($B$2:$B7382=$B7383, $A$2:$A7382+$C$2:$C7382)), "")*24*60, "")</f>
        <v/>
      </c>
      <c r="M7383" s="24" t="str" cm="1">
        <f t="array" ref="M7383">IFERROR(IF($B7383=M$1, ($A7383+$C7383) - MAX(IF($B$2:$B7382=$B7383, $A$2:$A7382+$C$2:$C7382)), "")*24*60, "")</f>
        <v/>
      </c>
      <c r="N7383" s="24" t="str" cm="1">
        <f t="array" ref="N7383">IFERROR(IF($B7383=N$1, ($A7383+$C7383) - MAX(IF($B$2:$B7382=$B7383, $A$2:$A7382+$C$2:$C7382)), "")*24*60, "")</f>
        <v/>
      </c>
      <c r="O7383" s="24" t="str" cm="1">
        <f t="array" ref="O7383">IFERROR(IF($B7383=O$1, ($A7383+$C7383) - MAX(IF($B$2:$B7382=$B7383, $A$2:$A7382+$C$2:$C7382)), "")*24*60, "")</f>
        <v/>
      </c>
      <c r="P7383" s="24" t="str" cm="1">
        <f t="array" ref="P7383">IFERROR(IF($B7383=P$1, ($A7383+$C7383) - MAX(IF($B$2:$B7382=$B7383, $A$2:$A7382+$C$2:$C7382)), "")*24*60, "")</f>
        <v/>
      </c>
      <c r="Q7383" s="24" t="str" cm="1">
        <f t="array" ref="Q7383">IFERROR(IF($B7383=Q$1, ($A7383+$C7383) - MAX(IF($B$2:$B7382=$B7383, $A$2:$A7382+$C$2:$C7382)), "")*24*60, "")</f>
        <v/>
      </c>
      <c r="R7383" s="24" t="str" cm="1">
        <f t="array" ref="R7383">IFERROR(IF($B7383=R$1, ($A7383+$C7383) - MAX(IF($B$2:$B7382=$B7383, $A$2:$A7382+$C$2:$C7382)), "")*24*60, "")</f>
        <v/>
      </c>
      <c r="S7383" s="24" t="str" cm="1">
        <f t="array" ref="S7383">IFERROR(IF($B7383=S$1, ($A7383+$C7383) - MAX(IF($B$2:$B7382=$B7383, $A$2:$A7382+$C$2:$C7382)), "")*24*60, "")</f>
        <v/>
      </c>
    </row>
    <row r="7384" spans="1:19" x14ac:dyDescent="0.2">
      <c r="A7384" s="12">
        <f t="shared" ref="A7384:C7384" si="1566">A7383</f>
        <v>46015</v>
      </c>
      <c r="B7384" s="5" t="str">
        <f t="shared" si="1566"/>
        <v>Northern Cardinal</v>
      </c>
      <c r="C7384" s="6">
        <f t="shared" si="1566"/>
        <v>0.74097222222222225</v>
      </c>
      <c r="D7384" s="5"/>
      <c r="E7384" s="5"/>
      <c r="F7384" s="5" t="s">
        <v>9</v>
      </c>
      <c r="G7384" s="15" t="s">
        <v>8</v>
      </c>
      <c r="H7384" s="24">
        <f t="shared" si="1407"/>
        <v>0</v>
      </c>
      <c r="I7384" s="24" cm="1">
        <f t="array" ref="I7384">IFERROR(IF($B7384=I$1, ($A7384+$C7384) - MAX(IF($B$2:$B7383=$B7384, $A$2:$A7383+$C$2:$C7383)), "")*24*60, "")</f>
        <v>0</v>
      </c>
      <c r="J7384" s="24" t="str" cm="1">
        <f t="array" ref="J7384">IFERROR(IF($B7384=J$1, ($A7384+$C7384) - MAX(IF($B$2:$B7383=$B7384, $A$2:$A7383+$C$2:$C7383)), "")*24*60, "")</f>
        <v/>
      </c>
      <c r="K7384" s="24" t="str" cm="1">
        <f t="array" ref="K7384">IFERROR(IF($B7384=K$1, ($A7384+$C7384) - MAX(IF($B$2:$B7383=$B7384, $A$2:$A7383+$C$2:$C7383)), "")*24*60, "")</f>
        <v/>
      </c>
      <c r="L7384" s="24" t="str" cm="1">
        <f t="array" ref="L7384">IFERROR(IF($B7384=L$1, ($A7384+$C7384) - MAX(IF($B$2:$B7383=$B7384, $A$2:$A7383+$C$2:$C7383)), "")*24*60, "")</f>
        <v/>
      </c>
      <c r="M7384" s="24" t="str" cm="1">
        <f t="array" ref="M7384">IFERROR(IF($B7384=M$1, ($A7384+$C7384) - MAX(IF($B$2:$B7383=$B7384, $A$2:$A7383+$C$2:$C7383)), "")*24*60, "")</f>
        <v/>
      </c>
      <c r="N7384" s="24" t="str" cm="1">
        <f t="array" ref="N7384">IFERROR(IF($B7384=N$1, ($A7384+$C7384) - MAX(IF($B$2:$B7383=$B7384, $A$2:$A7383+$C$2:$C7383)), "")*24*60, "")</f>
        <v/>
      </c>
      <c r="O7384" s="24" t="str" cm="1">
        <f t="array" ref="O7384">IFERROR(IF($B7384=O$1, ($A7384+$C7384) - MAX(IF($B$2:$B7383=$B7384, $A$2:$A7383+$C$2:$C7383)), "")*24*60, "")</f>
        <v/>
      </c>
      <c r="P7384" s="24" t="str" cm="1">
        <f t="array" ref="P7384">IFERROR(IF($B7384=P$1, ($A7384+$C7384) - MAX(IF($B$2:$B7383=$B7384, $A$2:$A7383+$C$2:$C7383)), "")*24*60, "")</f>
        <v/>
      </c>
      <c r="Q7384" s="24" t="str" cm="1">
        <f t="array" ref="Q7384">IFERROR(IF($B7384=Q$1, ($A7384+$C7384) - MAX(IF($B$2:$B7383=$B7384, $A$2:$A7383+$C$2:$C7383)), "")*24*60, "")</f>
        <v/>
      </c>
      <c r="R7384" s="24" t="str" cm="1">
        <f t="array" ref="R7384">IFERROR(IF($B7384=R$1, ($A7384+$C7384) - MAX(IF($B$2:$B7383=$B7384, $A$2:$A7383+$C$2:$C7383)), "")*24*60, "")</f>
        <v/>
      </c>
      <c r="S7384" s="24" t="str" cm="1">
        <f t="array" ref="S7384">IFERROR(IF($B7384=S$1, ($A7384+$C7384) - MAX(IF($B$2:$B7383=$B7384, $A$2:$A7383+$C$2:$C7383)), "")*24*60, "")</f>
        <v/>
      </c>
    </row>
    <row r="7385" spans="1:19" x14ac:dyDescent="0.2">
      <c r="A7385" s="12">
        <f t="shared" ref="A7385:C7385" si="1567">A7384</f>
        <v>46015</v>
      </c>
      <c r="B7385" s="5" t="str">
        <f t="shared" si="1567"/>
        <v>Northern Cardinal</v>
      </c>
      <c r="C7385" s="6">
        <f t="shared" si="1567"/>
        <v>0.74097222222222225</v>
      </c>
      <c r="D7385" s="5"/>
      <c r="E7385" s="5"/>
      <c r="F7385" s="5" t="s">
        <v>9</v>
      </c>
      <c r="G7385" s="15" t="s">
        <v>8</v>
      </c>
      <c r="H7385" s="24">
        <f t="shared" si="1407"/>
        <v>0</v>
      </c>
      <c r="I7385" s="24" cm="1">
        <f t="array" ref="I7385">IFERROR(IF($B7385=I$1, ($A7385+$C7385) - MAX(IF($B$2:$B7384=$B7385, $A$2:$A7384+$C$2:$C7384)), "")*24*60, "")</f>
        <v>0</v>
      </c>
      <c r="J7385" s="24" t="str" cm="1">
        <f t="array" ref="J7385">IFERROR(IF($B7385=J$1, ($A7385+$C7385) - MAX(IF($B$2:$B7384=$B7385, $A$2:$A7384+$C$2:$C7384)), "")*24*60, "")</f>
        <v/>
      </c>
      <c r="K7385" s="24" t="str" cm="1">
        <f t="array" ref="K7385">IFERROR(IF($B7385=K$1, ($A7385+$C7385) - MAX(IF($B$2:$B7384=$B7385, $A$2:$A7384+$C$2:$C7384)), "")*24*60, "")</f>
        <v/>
      </c>
      <c r="L7385" s="24" t="str" cm="1">
        <f t="array" ref="L7385">IFERROR(IF($B7385=L$1, ($A7385+$C7385) - MAX(IF($B$2:$B7384=$B7385, $A$2:$A7384+$C$2:$C7384)), "")*24*60, "")</f>
        <v/>
      </c>
      <c r="M7385" s="24" t="str" cm="1">
        <f t="array" ref="M7385">IFERROR(IF($B7385=M$1, ($A7385+$C7385) - MAX(IF($B$2:$B7384=$B7385, $A$2:$A7384+$C$2:$C7384)), "")*24*60, "")</f>
        <v/>
      </c>
      <c r="N7385" s="24" t="str" cm="1">
        <f t="array" ref="N7385">IFERROR(IF($B7385=N$1, ($A7385+$C7385) - MAX(IF($B$2:$B7384=$B7385, $A$2:$A7384+$C$2:$C7384)), "")*24*60, "")</f>
        <v/>
      </c>
      <c r="O7385" s="24" t="str" cm="1">
        <f t="array" ref="O7385">IFERROR(IF($B7385=O$1, ($A7385+$C7385) - MAX(IF($B$2:$B7384=$B7385, $A$2:$A7384+$C$2:$C7384)), "")*24*60, "")</f>
        <v/>
      </c>
      <c r="P7385" s="24" t="str" cm="1">
        <f t="array" ref="P7385">IFERROR(IF($B7385=P$1, ($A7385+$C7385) - MAX(IF($B$2:$B7384=$B7385, $A$2:$A7384+$C$2:$C7384)), "")*24*60, "")</f>
        <v/>
      </c>
      <c r="Q7385" s="24" t="str" cm="1">
        <f t="array" ref="Q7385">IFERROR(IF($B7385=Q$1, ($A7385+$C7385) - MAX(IF($B$2:$B7384=$B7385, $A$2:$A7384+$C$2:$C7384)), "")*24*60, "")</f>
        <v/>
      </c>
      <c r="R7385" s="24" t="str" cm="1">
        <f t="array" ref="R7385">IFERROR(IF($B7385=R$1, ($A7385+$C7385) - MAX(IF($B$2:$B7384=$B7385, $A$2:$A7384+$C$2:$C7384)), "")*24*60, "")</f>
        <v/>
      </c>
      <c r="S7385" s="24" t="str" cm="1">
        <f t="array" ref="S7385">IFERROR(IF($B7385=S$1, ($A7385+$C7385) - MAX(IF($B$2:$B7384=$B7385, $A$2:$A7384+$C$2:$C7384)), "")*24*60, "")</f>
        <v/>
      </c>
    </row>
    <row r="7386" spans="1:19" x14ac:dyDescent="0.2">
      <c r="A7386" s="12">
        <f t="shared" ref="A7386:C7386" si="1568">A7385</f>
        <v>46015</v>
      </c>
      <c r="B7386" s="5" t="str">
        <f t="shared" si="1568"/>
        <v>Northern Cardinal</v>
      </c>
      <c r="C7386" s="6">
        <f t="shared" si="1568"/>
        <v>0.74097222222222225</v>
      </c>
      <c r="D7386" s="5"/>
      <c r="E7386" s="5"/>
      <c r="F7386" s="5" t="s">
        <v>9</v>
      </c>
      <c r="G7386" s="15" t="s">
        <v>8</v>
      </c>
      <c r="H7386" s="24">
        <f t="shared" si="1407"/>
        <v>0</v>
      </c>
      <c r="I7386" s="24" cm="1">
        <f t="array" ref="I7386">IFERROR(IF($B7386=I$1, ($A7386+$C7386) - MAX(IF($B$2:$B7385=$B7386, $A$2:$A7385+$C$2:$C7385)), "")*24*60, "")</f>
        <v>0</v>
      </c>
      <c r="J7386" s="24" t="str" cm="1">
        <f t="array" ref="J7386">IFERROR(IF($B7386=J$1, ($A7386+$C7386) - MAX(IF($B$2:$B7385=$B7386, $A$2:$A7385+$C$2:$C7385)), "")*24*60, "")</f>
        <v/>
      </c>
      <c r="K7386" s="24" t="str" cm="1">
        <f t="array" ref="K7386">IFERROR(IF($B7386=K$1, ($A7386+$C7386) - MAX(IF($B$2:$B7385=$B7386, $A$2:$A7385+$C$2:$C7385)), "")*24*60, "")</f>
        <v/>
      </c>
      <c r="L7386" s="24" t="str" cm="1">
        <f t="array" ref="L7386">IFERROR(IF($B7386=L$1, ($A7386+$C7386) - MAX(IF($B$2:$B7385=$B7386, $A$2:$A7385+$C$2:$C7385)), "")*24*60, "")</f>
        <v/>
      </c>
      <c r="M7386" s="24" t="str" cm="1">
        <f t="array" ref="M7386">IFERROR(IF($B7386=M$1, ($A7386+$C7386) - MAX(IF($B$2:$B7385=$B7386, $A$2:$A7385+$C$2:$C7385)), "")*24*60, "")</f>
        <v/>
      </c>
      <c r="N7386" s="24" t="str" cm="1">
        <f t="array" ref="N7386">IFERROR(IF($B7386=N$1, ($A7386+$C7386) - MAX(IF($B$2:$B7385=$B7386, $A$2:$A7385+$C$2:$C7385)), "")*24*60, "")</f>
        <v/>
      </c>
      <c r="O7386" s="24" t="str" cm="1">
        <f t="array" ref="O7386">IFERROR(IF($B7386=O$1, ($A7386+$C7386) - MAX(IF($B$2:$B7385=$B7386, $A$2:$A7385+$C$2:$C7385)), "")*24*60, "")</f>
        <v/>
      </c>
      <c r="P7386" s="24" t="str" cm="1">
        <f t="array" ref="P7386">IFERROR(IF($B7386=P$1, ($A7386+$C7386) - MAX(IF($B$2:$B7385=$B7386, $A$2:$A7385+$C$2:$C7385)), "")*24*60, "")</f>
        <v/>
      </c>
      <c r="Q7386" s="24" t="str" cm="1">
        <f t="array" ref="Q7386">IFERROR(IF($B7386=Q$1, ($A7386+$C7386) - MAX(IF($B$2:$B7385=$B7386, $A$2:$A7385+$C$2:$C7385)), "")*24*60, "")</f>
        <v/>
      </c>
      <c r="R7386" s="24" t="str" cm="1">
        <f t="array" ref="R7386">IFERROR(IF($B7386=R$1, ($A7386+$C7386) - MAX(IF($B$2:$B7385=$B7386, $A$2:$A7385+$C$2:$C7385)), "")*24*60, "")</f>
        <v/>
      </c>
      <c r="S7386" s="24" t="str" cm="1">
        <f t="array" ref="S7386">IFERROR(IF($B7386=S$1, ($A7386+$C7386) - MAX(IF($B$2:$B7385=$B7386, $A$2:$A7385+$C$2:$C7385)), "")*24*60, "")</f>
        <v/>
      </c>
    </row>
    <row r="7387" spans="1:19" x14ac:dyDescent="0.2">
      <c r="A7387" s="12">
        <f t="shared" ref="A7387:C7387" si="1569">A7386</f>
        <v>46015</v>
      </c>
      <c r="B7387" s="5" t="str">
        <f t="shared" si="1569"/>
        <v>Northern Cardinal</v>
      </c>
      <c r="C7387" s="6">
        <f t="shared" si="1569"/>
        <v>0.74097222222222225</v>
      </c>
      <c r="D7387" s="5"/>
      <c r="E7387" s="5"/>
      <c r="F7387" s="5" t="s">
        <v>9</v>
      </c>
      <c r="G7387" s="15" t="s">
        <v>8</v>
      </c>
      <c r="H7387" s="24">
        <f t="shared" ref="H7387:H7450" si="1570">IFERROR((($A7387+$C7387) - ($A7386+$C7386))*24*60, "")</f>
        <v>0</v>
      </c>
      <c r="I7387" s="24" cm="1">
        <f t="array" ref="I7387">IFERROR(IF($B7387=I$1, ($A7387+$C7387) - MAX(IF($B$2:$B7386=$B7387, $A$2:$A7386+$C$2:$C7386)), "")*24*60, "")</f>
        <v>0</v>
      </c>
      <c r="J7387" s="24" t="str" cm="1">
        <f t="array" ref="J7387">IFERROR(IF($B7387=J$1, ($A7387+$C7387) - MAX(IF($B$2:$B7386=$B7387, $A$2:$A7386+$C$2:$C7386)), "")*24*60, "")</f>
        <v/>
      </c>
      <c r="K7387" s="24" t="str" cm="1">
        <f t="array" ref="K7387">IFERROR(IF($B7387=K$1, ($A7387+$C7387) - MAX(IF($B$2:$B7386=$B7387, $A$2:$A7386+$C$2:$C7386)), "")*24*60, "")</f>
        <v/>
      </c>
      <c r="L7387" s="24" t="str" cm="1">
        <f t="array" ref="L7387">IFERROR(IF($B7387=L$1, ($A7387+$C7387) - MAX(IF($B$2:$B7386=$B7387, $A$2:$A7386+$C$2:$C7386)), "")*24*60, "")</f>
        <v/>
      </c>
      <c r="M7387" s="24" t="str" cm="1">
        <f t="array" ref="M7387">IFERROR(IF($B7387=M$1, ($A7387+$C7387) - MAX(IF($B$2:$B7386=$B7387, $A$2:$A7386+$C$2:$C7386)), "")*24*60, "")</f>
        <v/>
      </c>
      <c r="N7387" s="24" t="str" cm="1">
        <f t="array" ref="N7387">IFERROR(IF($B7387=N$1, ($A7387+$C7387) - MAX(IF($B$2:$B7386=$B7387, $A$2:$A7386+$C$2:$C7386)), "")*24*60, "")</f>
        <v/>
      </c>
      <c r="O7387" s="24" t="str" cm="1">
        <f t="array" ref="O7387">IFERROR(IF($B7387=O$1, ($A7387+$C7387) - MAX(IF($B$2:$B7386=$B7387, $A$2:$A7386+$C$2:$C7386)), "")*24*60, "")</f>
        <v/>
      </c>
      <c r="P7387" s="24" t="str" cm="1">
        <f t="array" ref="P7387">IFERROR(IF($B7387=P$1, ($A7387+$C7387) - MAX(IF($B$2:$B7386=$B7387, $A$2:$A7386+$C$2:$C7386)), "")*24*60, "")</f>
        <v/>
      </c>
      <c r="Q7387" s="24" t="str" cm="1">
        <f t="array" ref="Q7387">IFERROR(IF($B7387=Q$1, ($A7387+$C7387) - MAX(IF($B$2:$B7386=$B7387, $A$2:$A7386+$C$2:$C7386)), "")*24*60, "")</f>
        <v/>
      </c>
      <c r="R7387" s="24" t="str" cm="1">
        <f t="array" ref="R7387">IFERROR(IF($B7387=R$1, ($A7387+$C7387) - MAX(IF($B$2:$B7386=$B7387, $A$2:$A7386+$C$2:$C7386)), "")*24*60, "")</f>
        <v/>
      </c>
      <c r="S7387" s="24" t="str" cm="1">
        <f t="array" ref="S7387">IFERROR(IF($B7387=S$1, ($A7387+$C7387) - MAX(IF($B$2:$B7386=$B7387, $A$2:$A7386+$C$2:$C7386)), "")*24*60, "")</f>
        <v/>
      </c>
    </row>
    <row r="7388" spans="1:19" x14ac:dyDescent="0.2">
      <c r="A7388" s="12">
        <f t="shared" ref="A7388:C7388" si="1571">A7387</f>
        <v>46015</v>
      </c>
      <c r="B7388" s="5" t="str">
        <f t="shared" si="1571"/>
        <v>Northern Cardinal</v>
      </c>
      <c r="C7388" s="6">
        <f t="shared" si="1571"/>
        <v>0.74097222222222225</v>
      </c>
      <c r="D7388" s="5"/>
      <c r="E7388" s="5"/>
      <c r="F7388" s="5" t="s">
        <v>9</v>
      </c>
      <c r="G7388" s="15" t="s">
        <v>8</v>
      </c>
      <c r="H7388" s="24">
        <f t="shared" si="1570"/>
        <v>0</v>
      </c>
      <c r="I7388" s="24" cm="1">
        <f t="array" ref="I7388">IFERROR(IF($B7388=I$1, ($A7388+$C7388) - MAX(IF($B$2:$B7387=$B7388, $A$2:$A7387+$C$2:$C7387)), "")*24*60, "")</f>
        <v>0</v>
      </c>
      <c r="J7388" s="24" t="str" cm="1">
        <f t="array" ref="J7388">IFERROR(IF($B7388=J$1, ($A7388+$C7388) - MAX(IF($B$2:$B7387=$B7388, $A$2:$A7387+$C$2:$C7387)), "")*24*60, "")</f>
        <v/>
      </c>
      <c r="K7388" s="24" t="str" cm="1">
        <f t="array" ref="K7388">IFERROR(IF($B7388=K$1, ($A7388+$C7388) - MAX(IF($B$2:$B7387=$B7388, $A$2:$A7387+$C$2:$C7387)), "")*24*60, "")</f>
        <v/>
      </c>
      <c r="L7388" s="24" t="str" cm="1">
        <f t="array" ref="L7388">IFERROR(IF($B7388=L$1, ($A7388+$C7388) - MAX(IF($B$2:$B7387=$B7388, $A$2:$A7387+$C$2:$C7387)), "")*24*60, "")</f>
        <v/>
      </c>
      <c r="M7388" s="24" t="str" cm="1">
        <f t="array" ref="M7388">IFERROR(IF($B7388=M$1, ($A7388+$C7388) - MAX(IF($B$2:$B7387=$B7388, $A$2:$A7387+$C$2:$C7387)), "")*24*60, "")</f>
        <v/>
      </c>
      <c r="N7388" s="24" t="str" cm="1">
        <f t="array" ref="N7388">IFERROR(IF($B7388=N$1, ($A7388+$C7388) - MAX(IF($B$2:$B7387=$B7388, $A$2:$A7387+$C$2:$C7387)), "")*24*60, "")</f>
        <v/>
      </c>
      <c r="O7388" s="24" t="str" cm="1">
        <f t="array" ref="O7388">IFERROR(IF($B7388=O$1, ($A7388+$C7388) - MAX(IF($B$2:$B7387=$B7388, $A$2:$A7387+$C$2:$C7387)), "")*24*60, "")</f>
        <v/>
      </c>
      <c r="P7388" s="24" t="str" cm="1">
        <f t="array" ref="P7388">IFERROR(IF($B7388=P$1, ($A7388+$C7388) - MAX(IF($B$2:$B7387=$B7388, $A$2:$A7387+$C$2:$C7387)), "")*24*60, "")</f>
        <v/>
      </c>
      <c r="Q7388" s="24" t="str" cm="1">
        <f t="array" ref="Q7388">IFERROR(IF($B7388=Q$1, ($A7388+$C7388) - MAX(IF($B$2:$B7387=$B7388, $A$2:$A7387+$C$2:$C7387)), "")*24*60, "")</f>
        <v/>
      </c>
      <c r="R7388" s="24" t="str" cm="1">
        <f t="array" ref="R7388">IFERROR(IF($B7388=R$1, ($A7388+$C7388) - MAX(IF($B$2:$B7387=$B7388, $A$2:$A7387+$C$2:$C7387)), "")*24*60, "")</f>
        <v/>
      </c>
      <c r="S7388" s="24" t="str" cm="1">
        <f t="array" ref="S7388">IFERROR(IF($B7388=S$1, ($A7388+$C7388) - MAX(IF($B$2:$B7387=$B7388, $A$2:$A7387+$C$2:$C7387)), "")*24*60, "")</f>
        <v/>
      </c>
    </row>
    <row r="7389" spans="1:19" x14ac:dyDescent="0.2">
      <c r="A7389" s="12">
        <f t="shared" ref="A7389:C7389" si="1572">A7388</f>
        <v>46015</v>
      </c>
      <c r="B7389" s="5" t="str">
        <f t="shared" si="1572"/>
        <v>Northern Cardinal</v>
      </c>
      <c r="C7389" s="6">
        <f t="shared" si="1572"/>
        <v>0.74097222222222225</v>
      </c>
      <c r="D7389" s="5"/>
      <c r="E7389" s="5"/>
      <c r="F7389" s="5" t="s">
        <v>9</v>
      </c>
      <c r="G7389" s="15" t="s">
        <v>8</v>
      </c>
      <c r="H7389" s="24">
        <f t="shared" si="1570"/>
        <v>0</v>
      </c>
      <c r="I7389" s="24" cm="1">
        <f t="array" ref="I7389">IFERROR(IF($B7389=I$1, ($A7389+$C7389) - MAX(IF($B$2:$B7388=$B7389, $A$2:$A7388+$C$2:$C7388)), "")*24*60, "")</f>
        <v>0</v>
      </c>
      <c r="J7389" s="24" t="str" cm="1">
        <f t="array" ref="J7389">IFERROR(IF($B7389=J$1, ($A7389+$C7389) - MAX(IF($B$2:$B7388=$B7389, $A$2:$A7388+$C$2:$C7388)), "")*24*60, "")</f>
        <v/>
      </c>
      <c r="K7389" s="24" t="str" cm="1">
        <f t="array" ref="K7389">IFERROR(IF($B7389=K$1, ($A7389+$C7389) - MAX(IF($B$2:$B7388=$B7389, $A$2:$A7388+$C$2:$C7388)), "")*24*60, "")</f>
        <v/>
      </c>
      <c r="L7389" s="24" t="str" cm="1">
        <f t="array" ref="L7389">IFERROR(IF($B7389=L$1, ($A7389+$C7389) - MAX(IF($B$2:$B7388=$B7389, $A$2:$A7388+$C$2:$C7388)), "")*24*60, "")</f>
        <v/>
      </c>
      <c r="M7389" s="24" t="str" cm="1">
        <f t="array" ref="M7389">IFERROR(IF($B7389=M$1, ($A7389+$C7389) - MAX(IF($B$2:$B7388=$B7389, $A$2:$A7388+$C$2:$C7388)), "")*24*60, "")</f>
        <v/>
      </c>
      <c r="N7389" s="24" t="str" cm="1">
        <f t="array" ref="N7389">IFERROR(IF($B7389=N$1, ($A7389+$C7389) - MAX(IF($B$2:$B7388=$B7389, $A$2:$A7388+$C$2:$C7388)), "")*24*60, "")</f>
        <v/>
      </c>
      <c r="O7389" s="24" t="str" cm="1">
        <f t="array" ref="O7389">IFERROR(IF($B7389=O$1, ($A7389+$C7389) - MAX(IF($B$2:$B7388=$B7389, $A$2:$A7388+$C$2:$C7388)), "")*24*60, "")</f>
        <v/>
      </c>
      <c r="P7389" s="24" t="str" cm="1">
        <f t="array" ref="P7389">IFERROR(IF($B7389=P$1, ($A7389+$C7389) - MAX(IF($B$2:$B7388=$B7389, $A$2:$A7388+$C$2:$C7388)), "")*24*60, "")</f>
        <v/>
      </c>
      <c r="Q7389" s="24" t="str" cm="1">
        <f t="array" ref="Q7389">IFERROR(IF($B7389=Q$1, ($A7389+$C7389) - MAX(IF($B$2:$B7388=$B7389, $A$2:$A7388+$C$2:$C7388)), "")*24*60, "")</f>
        <v/>
      </c>
      <c r="R7389" s="24" t="str" cm="1">
        <f t="array" ref="R7389">IFERROR(IF($B7389=R$1, ($A7389+$C7389) - MAX(IF($B$2:$B7388=$B7389, $A$2:$A7388+$C$2:$C7388)), "")*24*60, "")</f>
        <v/>
      </c>
      <c r="S7389" s="24" t="str" cm="1">
        <f t="array" ref="S7389">IFERROR(IF($B7389=S$1, ($A7389+$C7389) - MAX(IF($B$2:$B7388=$B7389, $A$2:$A7388+$C$2:$C7388)), "")*24*60, "")</f>
        <v/>
      </c>
    </row>
    <row r="7390" spans="1:19" x14ac:dyDescent="0.2">
      <c r="A7390" s="12">
        <f t="shared" ref="A7390:C7390" si="1573">A7389</f>
        <v>46015</v>
      </c>
      <c r="B7390" s="5" t="str">
        <f t="shared" si="1573"/>
        <v>Northern Cardinal</v>
      </c>
      <c r="C7390" s="6">
        <f t="shared" si="1573"/>
        <v>0.74097222222222225</v>
      </c>
      <c r="D7390" s="5"/>
      <c r="E7390" s="5"/>
      <c r="F7390" s="5" t="s">
        <v>9</v>
      </c>
      <c r="G7390" s="15" t="s">
        <v>8</v>
      </c>
      <c r="H7390" s="24">
        <f t="shared" si="1570"/>
        <v>0</v>
      </c>
      <c r="I7390" s="24" cm="1">
        <f t="array" ref="I7390">IFERROR(IF($B7390=I$1, ($A7390+$C7390) - MAX(IF($B$2:$B7389=$B7390, $A$2:$A7389+$C$2:$C7389)), "")*24*60, "")</f>
        <v>0</v>
      </c>
      <c r="J7390" s="24" t="str" cm="1">
        <f t="array" ref="J7390">IFERROR(IF($B7390=J$1, ($A7390+$C7390) - MAX(IF($B$2:$B7389=$B7390, $A$2:$A7389+$C$2:$C7389)), "")*24*60, "")</f>
        <v/>
      </c>
      <c r="K7390" s="24" t="str" cm="1">
        <f t="array" ref="K7390">IFERROR(IF($B7390=K$1, ($A7390+$C7390) - MAX(IF($B$2:$B7389=$B7390, $A$2:$A7389+$C$2:$C7389)), "")*24*60, "")</f>
        <v/>
      </c>
      <c r="L7390" s="24" t="str" cm="1">
        <f t="array" ref="L7390">IFERROR(IF($B7390=L$1, ($A7390+$C7390) - MAX(IF($B$2:$B7389=$B7390, $A$2:$A7389+$C$2:$C7389)), "")*24*60, "")</f>
        <v/>
      </c>
      <c r="M7390" s="24" t="str" cm="1">
        <f t="array" ref="M7390">IFERROR(IF($B7390=M$1, ($A7390+$C7390) - MAX(IF($B$2:$B7389=$B7390, $A$2:$A7389+$C$2:$C7389)), "")*24*60, "")</f>
        <v/>
      </c>
      <c r="N7390" s="24" t="str" cm="1">
        <f t="array" ref="N7390">IFERROR(IF($B7390=N$1, ($A7390+$C7390) - MAX(IF($B$2:$B7389=$B7390, $A$2:$A7389+$C$2:$C7389)), "")*24*60, "")</f>
        <v/>
      </c>
      <c r="O7390" s="24" t="str" cm="1">
        <f t="array" ref="O7390">IFERROR(IF($B7390=O$1, ($A7390+$C7390) - MAX(IF($B$2:$B7389=$B7390, $A$2:$A7389+$C$2:$C7389)), "")*24*60, "")</f>
        <v/>
      </c>
      <c r="P7390" s="24" t="str" cm="1">
        <f t="array" ref="P7390">IFERROR(IF($B7390=P$1, ($A7390+$C7390) - MAX(IF($B$2:$B7389=$B7390, $A$2:$A7389+$C$2:$C7389)), "")*24*60, "")</f>
        <v/>
      </c>
      <c r="Q7390" s="24" t="str" cm="1">
        <f t="array" ref="Q7390">IFERROR(IF($B7390=Q$1, ($A7390+$C7390) - MAX(IF($B$2:$B7389=$B7390, $A$2:$A7389+$C$2:$C7389)), "")*24*60, "")</f>
        <v/>
      </c>
      <c r="R7390" s="24" t="str" cm="1">
        <f t="array" ref="R7390">IFERROR(IF($B7390=R$1, ($A7390+$C7390) - MAX(IF($B$2:$B7389=$B7390, $A$2:$A7389+$C$2:$C7389)), "")*24*60, "")</f>
        <v/>
      </c>
      <c r="S7390" s="24" t="str" cm="1">
        <f t="array" ref="S7390">IFERROR(IF($B7390=S$1, ($A7390+$C7390) - MAX(IF($B$2:$B7389=$B7390, $A$2:$A7389+$C$2:$C7389)), "")*24*60, "")</f>
        <v/>
      </c>
    </row>
    <row r="7391" spans="1:19" x14ac:dyDescent="0.2">
      <c r="A7391" s="12">
        <f t="shared" ref="A7391:C7391" si="1574">A7390</f>
        <v>46015</v>
      </c>
      <c r="B7391" s="5" t="str">
        <f t="shared" si="1574"/>
        <v>Northern Cardinal</v>
      </c>
      <c r="C7391" s="6">
        <f t="shared" si="1574"/>
        <v>0.74097222222222225</v>
      </c>
      <c r="D7391" s="5"/>
      <c r="E7391" s="5"/>
      <c r="F7391" s="5" t="s">
        <v>9</v>
      </c>
      <c r="G7391" s="15" t="s">
        <v>8</v>
      </c>
      <c r="H7391" s="24">
        <f t="shared" si="1570"/>
        <v>0</v>
      </c>
      <c r="I7391" s="24" cm="1">
        <f t="array" ref="I7391">IFERROR(IF($B7391=I$1, ($A7391+$C7391) - MAX(IF($B$2:$B7390=$B7391, $A$2:$A7390+$C$2:$C7390)), "")*24*60, "")</f>
        <v>0</v>
      </c>
      <c r="J7391" s="24" t="str" cm="1">
        <f t="array" ref="J7391">IFERROR(IF($B7391=J$1, ($A7391+$C7391) - MAX(IF($B$2:$B7390=$B7391, $A$2:$A7390+$C$2:$C7390)), "")*24*60, "")</f>
        <v/>
      </c>
      <c r="K7391" s="24" t="str" cm="1">
        <f t="array" ref="K7391">IFERROR(IF($B7391=K$1, ($A7391+$C7391) - MAX(IF($B$2:$B7390=$B7391, $A$2:$A7390+$C$2:$C7390)), "")*24*60, "")</f>
        <v/>
      </c>
      <c r="L7391" s="24" t="str" cm="1">
        <f t="array" ref="L7391">IFERROR(IF($B7391=L$1, ($A7391+$C7391) - MAX(IF($B$2:$B7390=$B7391, $A$2:$A7390+$C$2:$C7390)), "")*24*60, "")</f>
        <v/>
      </c>
      <c r="M7391" s="24" t="str" cm="1">
        <f t="array" ref="M7391">IFERROR(IF($B7391=M$1, ($A7391+$C7391) - MAX(IF($B$2:$B7390=$B7391, $A$2:$A7390+$C$2:$C7390)), "")*24*60, "")</f>
        <v/>
      </c>
      <c r="N7391" s="24" t="str" cm="1">
        <f t="array" ref="N7391">IFERROR(IF($B7391=N$1, ($A7391+$C7391) - MAX(IF($B$2:$B7390=$B7391, $A$2:$A7390+$C$2:$C7390)), "")*24*60, "")</f>
        <v/>
      </c>
      <c r="O7391" s="24" t="str" cm="1">
        <f t="array" ref="O7391">IFERROR(IF($B7391=O$1, ($A7391+$C7391) - MAX(IF($B$2:$B7390=$B7391, $A$2:$A7390+$C$2:$C7390)), "")*24*60, "")</f>
        <v/>
      </c>
      <c r="P7391" s="24" t="str" cm="1">
        <f t="array" ref="P7391">IFERROR(IF($B7391=P$1, ($A7391+$C7391) - MAX(IF($B$2:$B7390=$B7391, $A$2:$A7390+$C$2:$C7390)), "")*24*60, "")</f>
        <v/>
      </c>
      <c r="Q7391" s="24" t="str" cm="1">
        <f t="array" ref="Q7391">IFERROR(IF($B7391=Q$1, ($A7391+$C7391) - MAX(IF($B$2:$B7390=$B7391, $A$2:$A7390+$C$2:$C7390)), "")*24*60, "")</f>
        <v/>
      </c>
      <c r="R7391" s="24" t="str" cm="1">
        <f t="array" ref="R7391">IFERROR(IF($B7391=R$1, ($A7391+$C7391) - MAX(IF($B$2:$B7390=$B7391, $A$2:$A7390+$C$2:$C7390)), "")*24*60, "")</f>
        <v/>
      </c>
      <c r="S7391" s="24" t="str" cm="1">
        <f t="array" ref="S7391">IFERROR(IF($B7391=S$1, ($A7391+$C7391) - MAX(IF($B$2:$B7390=$B7391, $A$2:$A7390+$C$2:$C7390)), "")*24*60, "")</f>
        <v/>
      </c>
    </row>
    <row r="7392" spans="1:19" x14ac:dyDescent="0.2">
      <c r="A7392" s="12">
        <f t="shared" ref="A7392:C7392" si="1575">A7391</f>
        <v>46015</v>
      </c>
      <c r="B7392" s="5" t="str">
        <f t="shared" si="1575"/>
        <v>Northern Cardinal</v>
      </c>
      <c r="C7392" s="6">
        <f t="shared" si="1575"/>
        <v>0.74097222222222225</v>
      </c>
      <c r="D7392" s="5"/>
      <c r="E7392" s="5"/>
      <c r="F7392" s="5" t="s">
        <v>9</v>
      </c>
      <c r="G7392" s="15" t="s">
        <v>8</v>
      </c>
      <c r="H7392" s="24">
        <f t="shared" si="1570"/>
        <v>0</v>
      </c>
      <c r="I7392" s="24" cm="1">
        <f t="array" ref="I7392">IFERROR(IF($B7392=I$1, ($A7392+$C7392) - MAX(IF($B$2:$B7391=$B7392, $A$2:$A7391+$C$2:$C7391)), "")*24*60, "")</f>
        <v>0</v>
      </c>
      <c r="J7392" s="24" t="str" cm="1">
        <f t="array" ref="J7392">IFERROR(IF($B7392=J$1, ($A7392+$C7392) - MAX(IF($B$2:$B7391=$B7392, $A$2:$A7391+$C$2:$C7391)), "")*24*60, "")</f>
        <v/>
      </c>
      <c r="K7392" s="24" t="str" cm="1">
        <f t="array" ref="K7392">IFERROR(IF($B7392=K$1, ($A7392+$C7392) - MAX(IF($B$2:$B7391=$B7392, $A$2:$A7391+$C$2:$C7391)), "")*24*60, "")</f>
        <v/>
      </c>
      <c r="L7392" s="24" t="str" cm="1">
        <f t="array" ref="L7392">IFERROR(IF($B7392=L$1, ($A7392+$C7392) - MAX(IF($B$2:$B7391=$B7392, $A$2:$A7391+$C$2:$C7391)), "")*24*60, "")</f>
        <v/>
      </c>
      <c r="M7392" s="24" t="str" cm="1">
        <f t="array" ref="M7392">IFERROR(IF($B7392=M$1, ($A7392+$C7392) - MAX(IF($B$2:$B7391=$B7392, $A$2:$A7391+$C$2:$C7391)), "")*24*60, "")</f>
        <v/>
      </c>
      <c r="N7392" s="24" t="str" cm="1">
        <f t="array" ref="N7392">IFERROR(IF($B7392=N$1, ($A7392+$C7392) - MAX(IF($B$2:$B7391=$B7392, $A$2:$A7391+$C$2:$C7391)), "")*24*60, "")</f>
        <v/>
      </c>
      <c r="O7392" s="24" t="str" cm="1">
        <f t="array" ref="O7392">IFERROR(IF($B7392=O$1, ($A7392+$C7392) - MAX(IF($B$2:$B7391=$B7392, $A$2:$A7391+$C$2:$C7391)), "")*24*60, "")</f>
        <v/>
      </c>
      <c r="P7392" s="24" t="str" cm="1">
        <f t="array" ref="P7392">IFERROR(IF($B7392=P$1, ($A7392+$C7392) - MAX(IF($B$2:$B7391=$B7392, $A$2:$A7391+$C$2:$C7391)), "")*24*60, "")</f>
        <v/>
      </c>
      <c r="Q7392" s="24" t="str" cm="1">
        <f t="array" ref="Q7392">IFERROR(IF($B7392=Q$1, ($A7392+$C7392) - MAX(IF($B$2:$B7391=$B7392, $A$2:$A7391+$C$2:$C7391)), "")*24*60, "")</f>
        <v/>
      </c>
      <c r="R7392" s="24" t="str" cm="1">
        <f t="array" ref="R7392">IFERROR(IF($B7392=R$1, ($A7392+$C7392) - MAX(IF($B$2:$B7391=$B7392, $A$2:$A7391+$C$2:$C7391)), "")*24*60, "")</f>
        <v/>
      </c>
      <c r="S7392" s="24" t="str" cm="1">
        <f t="array" ref="S7392">IFERROR(IF($B7392=S$1, ($A7392+$C7392) - MAX(IF($B$2:$B7391=$B7392, $A$2:$A7391+$C$2:$C7391)), "")*24*60, "")</f>
        <v/>
      </c>
    </row>
    <row r="7393" spans="1:19" x14ac:dyDescent="0.2">
      <c r="A7393" s="12">
        <f t="shared" ref="A7393:C7393" si="1576">A7392</f>
        <v>46015</v>
      </c>
      <c r="B7393" s="5" t="str">
        <f t="shared" si="1576"/>
        <v>Northern Cardinal</v>
      </c>
      <c r="C7393" s="6">
        <f t="shared" si="1576"/>
        <v>0.74097222222222225</v>
      </c>
      <c r="D7393" s="5"/>
      <c r="E7393" s="5"/>
      <c r="F7393" s="5" t="s">
        <v>9</v>
      </c>
      <c r="G7393" s="15" t="s">
        <v>8</v>
      </c>
      <c r="H7393" s="24">
        <f t="shared" si="1570"/>
        <v>0</v>
      </c>
      <c r="I7393" s="24" cm="1">
        <f t="array" ref="I7393">IFERROR(IF($B7393=I$1, ($A7393+$C7393) - MAX(IF($B$2:$B7392=$B7393, $A$2:$A7392+$C$2:$C7392)), "")*24*60, "")</f>
        <v>0</v>
      </c>
      <c r="J7393" s="24" t="str" cm="1">
        <f t="array" ref="J7393">IFERROR(IF($B7393=J$1, ($A7393+$C7393) - MAX(IF($B$2:$B7392=$B7393, $A$2:$A7392+$C$2:$C7392)), "")*24*60, "")</f>
        <v/>
      </c>
      <c r="K7393" s="24" t="str" cm="1">
        <f t="array" ref="K7393">IFERROR(IF($B7393=K$1, ($A7393+$C7393) - MAX(IF($B$2:$B7392=$B7393, $A$2:$A7392+$C$2:$C7392)), "")*24*60, "")</f>
        <v/>
      </c>
      <c r="L7393" s="24" t="str" cm="1">
        <f t="array" ref="L7393">IFERROR(IF($B7393=L$1, ($A7393+$C7393) - MAX(IF($B$2:$B7392=$B7393, $A$2:$A7392+$C$2:$C7392)), "")*24*60, "")</f>
        <v/>
      </c>
      <c r="M7393" s="24" t="str" cm="1">
        <f t="array" ref="M7393">IFERROR(IF($B7393=M$1, ($A7393+$C7393) - MAX(IF($B$2:$B7392=$B7393, $A$2:$A7392+$C$2:$C7392)), "")*24*60, "")</f>
        <v/>
      </c>
      <c r="N7393" s="24" t="str" cm="1">
        <f t="array" ref="N7393">IFERROR(IF($B7393=N$1, ($A7393+$C7393) - MAX(IF($B$2:$B7392=$B7393, $A$2:$A7392+$C$2:$C7392)), "")*24*60, "")</f>
        <v/>
      </c>
      <c r="O7393" s="24" t="str" cm="1">
        <f t="array" ref="O7393">IFERROR(IF($B7393=O$1, ($A7393+$C7393) - MAX(IF($B$2:$B7392=$B7393, $A$2:$A7392+$C$2:$C7392)), "")*24*60, "")</f>
        <v/>
      </c>
      <c r="P7393" s="24" t="str" cm="1">
        <f t="array" ref="P7393">IFERROR(IF($B7393=P$1, ($A7393+$C7393) - MAX(IF($B$2:$B7392=$B7393, $A$2:$A7392+$C$2:$C7392)), "")*24*60, "")</f>
        <v/>
      </c>
      <c r="Q7393" s="24" t="str" cm="1">
        <f t="array" ref="Q7393">IFERROR(IF($B7393=Q$1, ($A7393+$C7393) - MAX(IF($B$2:$B7392=$B7393, $A$2:$A7392+$C$2:$C7392)), "")*24*60, "")</f>
        <v/>
      </c>
      <c r="R7393" s="24" t="str" cm="1">
        <f t="array" ref="R7393">IFERROR(IF($B7393=R$1, ($A7393+$C7393) - MAX(IF($B$2:$B7392=$B7393, $A$2:$A7392+$C$2:$C7392)), "")*24*60, "")</f>
        <v/>
      </c>
      <c r="S7393" s="24" t="str" cm="1">
        <f t="array" ref="S7393">IFERROR(IF($B7393=S$1, ($A7393+$C7393) - MAX(IF($B$2:$B7392=$B7393, $A$2:$A7392+$C$2:$C7392)), "")*24*60, "")</f>
        <v/>
      </c>
    </row>
    <row r="7394" spans="1:19" x14ac:dyDescent="0.2">
      <c r="A7394" s="12">
        <f t="shared" ref="A7394:C7394" si="1577">A7393</f>
        <v>46015</v>
      </c>
      <c r="B7394" s="5" t="str">
        <f t="shared" si="1577"/>
        <v>Northern Cardinal</v>
      </c>
      <c r="C7394" s="6">
        <f t="shared" si="1577"/>
        <v>0.74097222222222225</v>
      </c>
      <c r="D7394" s="5"/>
      <c r="E7394" s="5"/>
      <c r="F7394" s="5" t="s">
        <v>9</v>
      </c>
      <c r="G7394" s="15" t="s">
        <v>8</v>
      </c>
      <c r="H7394" s="24">
        <f t="shared" si="1570"/>
        <v>0</v>
      </c>
      <c r="I7394" s="24" cm="1">
        <f t="array" ref="I7394">IFERROR(IF($B7394=I$1, ($A7394+$C7394) - MAX(IF($B$2:$B7393=$B7394, $A$2:$A7393+$C$2:$C7393)), "")*24*60, "")</f>
        <v>0</v>
      </c>
      <c r="J7394" s="24" t="str" cm="1">
        <f t="array" ref="J7394">IFERROR(IF($B7394=J$1, ($A7394+$C7394) - MAX(IF($B$2:$B7393=$B7394, $A$2:$A7393+$C$2:$C7393)), "")*24*60, "")</f>
        <v/>
      </c>
      <c r="K7394" s="24" t="str" cm="1">
        <f t="array" ref="K7394">IFERROR(IF($B7394=K$1, ($A7394+$C7394) - MAX(IF($B$2:$B7393=$B7394, $A$2:$A7393+$C$2:$C7393)), "")*24*60, "")</f>
        <v/>
      </c>
      <c r="L7394" s="24" t="str" cm="1">
        <f t="array" ref="L7394">IFERROR(IF($B7394=L$1, ($A7394+$C7394) - MAX(IF($B$2:$B7393=$B7394, $A$2:$A7393+$C$2:$C7393)), "")*24*60, "")</f>
        <v/>
      </c>
      <c r="M7394" s="24" t="str" cm="1">
        <f t="array" ref="M7394">IFERROR(IF($B7394=M$1, ($A7394+$C7394) - MAX(IF($B$2:$B7393=$B7394, $A$2:$A7393+$C$2:$C7393)), "")*24*60, "")</f>
        <v/>
      </c>
      <c r="N7394" s="24" t="str" cm="1">
        <f t="array" ref="N7394">IFERROR(IF($B7394=N$1, ($A7394+$C7394) - MAX(IF($B$2:$B7393=$B7394, $A$2:$A7393+$C$2:$C7393)), "")*24*60, "")</f>
        <v/>
      </c>
      <c r="O7394" s="24" t="str" cm="1">
        <f t="array" ref="O7394">IFERROR(IF($B7394=O$1, ($A7394+$C7394) - MAX(IF($B$2:$B7393=$B7394, $A$2:$A7393+$C$2:$C7393)), "")*24*60, "")</f>
        <v/>
      </c>
      <c r="P7394" s="24" t="str" cm="1">
        <f t="array" ref="P7394">IFERROR(IF($B7394=P$1, ($A7394+$C7394) - MAX(IF($B$2:$B7393=$B7394, $A$2:$A7393+$C$2:$C7393)), "")*24*60, "")</f>
        <v/>
      </c>
      <c r="Q7394" s="24" t="str" cm="1">
        <f t="array" ref="Q7394">IFERROR(IF($B7394=Q$1, ($A7394+$C7394) - MAX(IF($B$2:$B7393=$B7394, $A$2:$A7393+$C$2:$C7393)), "")*24*60, "")</f>
        <v/>
      </c>
      <c r="R7394" s="24" t="str" cm="1">
        <f t="array" ref="R7394">IFERROR(IF($B7394=R$1, ($A7394+$C7394) - MAX(IF($B$2:$B7393=$B7394, $A$2:$A7393+$C$2:$C7393)), "")*24*60, "")</f>
        <v/>
      </c>
      <c r="S7394" s="24" t="str" cm="1">
        <f t="array" ref="S7394">IFERROR(IF($B7394=S$1, ($A7394+$C7394) - MAX(IF($B$2:$B7393=$B7394, $A$2:$A7393+$C$2:$C7393)), "")*24*60, "")</f>
        <v/>
      </c>
    </row>
    <row r="7395" spans="1:19" x14ac:dyDescent="0.2">
      <c r="A7395" s="12">
        <f t="shared" ref="A7395:C7395" si="1578">A7394</f>
        <v>46015</v>
      </c>
      <c r="B7395" s="5" t="str">
        <f t="shared" si="1578"/>
        <v>Northern Cardinal</v>
      </c>
      <c r="C7395" s="6">
        <f t="shared" si="1578"/>
        <v>0.74097222222222225</v>
      </c>
      <c r="D7395" s="5"/>
      <c r="E7395" s="5"/>
      <c r="F7395" s="5" t="s">
        <v>9</v>
      </c>
      <c r="G7395" s="15" t="s">
        <v>8</v>
      </c>
      <c r="H7395" s="24">
        <f t="shared" si="1570"/>
        <v>0</v>
      </c>
      <c r="I7395" s="24" cm="1">
        <f t="array" ref="I7395">IFERROR(IF($B7395=I$1, ($A7395+$C7395) - MAX(IF($B$2:$B7394=$B7395, $A$2:$A7394+$C$2:$C7394)), "")*24*60, "")</f>
        <v>0</v>
      </c>
      <c r="J7395" s="24" t="str" cm="1">
        <f t="array" ref="J7395">IFERROR(IF($B7395=J$1, ($A7395+$C7395) - MAX(IF($B$2:$B7394=$B7395, $A$2:$A7394+$C$2:$C7394)), "")*24*60, "")</f>
        <v/>
      </c>
      <c r="K7395" s="24" t="str" cm="1">
        <f t="array" ref="K7395">IFERROR(IF($B7395=K$1, ($A7395+$C7395) - MAX(IF($B$2:$B7394=$B7395, $A$2:$A7394+$C$2:$C7394)), "")*24*60, "")</f>
        <v/>
      </c>
      <c r="L7395" s="24" t="str" cm="1">
        <f t="array" ref="L7395">IFERROR(IF($B7395=L$1, ($A7395+$C7395) - MAX(IF($B$2:$B7394=$B7395, $A$2:$A7394+$C$2:$C7394)), "")*24*60, "")</f>
        <v/>
      </c>
      <c r="M7395" s="24" t="str" cm="1">
        <f t="array" ref="M7395">IFERROR(IF($B7395=M$1, ($A7395+$C7395) - MAX(IF($B$2:$B7394=$B7395, $A$2:$A7394+$C$2:$C7394)), "")*24*60, "")</f>
        <v/>
      </c>
      <c r="N7395" s="24" t="str" cm="1">
        <f t="array" ref="N7395">IFERROR(IF($B7395=N$1, ($A7395+$C7395) - MAX(IF($B$2:$B7394=$B7395, $A$2:$A7394+$C$2:$C7394)), "")*24*60, "")</f>
        <v/>
      </c>
      <c r="O7395" s="24" t="str" cm="1">
        <f t="array" ref="O7395">IFERROR(IF($B7395=O$1, ($A7395+$C7395) - MAX(IF($B$2:$B7394=$B7395, $A$2:$A7394+$C$2:$C7394)), "")*24*60, "")</f>
        <v/>
      </c>
      <c r="P7395" s="24" t="str" cm="1">
        <f t="array" ref="P7395">IFERROR(IF($B7395=P$1, ($A7395+$C7395) - MAX(IF($B$2:$B7394=$B7395, $A$2:$A7394+$C$2:$C7394)), "")*24*60, "")</f>
        <v/>
      </c>
      <c r="Q7395" s="24" t="str" cm="1">
        <f t="array" ref="Q7395">IFERROR(IF($B7395=Q$1, ($A7395+$C7395) - MAX(IF($B$2:$B7394=$B7395, $A$2:$A7394+$C$2:$C7394)), "")*24*60, "")</f>
        <v/>
      </c>
      <c r="R7395" s="24" t="str" cm="1">
        <f t="array" ref="R7395">IFERROR(IF($B7395=R$1, ($A7395+$C7395) - MAX(IF($B$2:$B7394=$B7395, $A$2:$A7394+$C$2:$C7394)), "")*24*60, "")</f>
        <v/>
      </c>
      <c r="S7395" s="24" t="str" cm="1">
        <f t="array" ref="S7395">IFERROR(IF($B7395=S$1, ($A7395+$C7395) - MAX(IF($B$2:$B7394=$B7395, $A$2:$A7394+$C$2:$C7394)), "")*24*60, "")</f>
        <v/>
      </c>
    </row>
    <row r="7396" spans="1:19" x14ac:dyDescent="0.2">
      <c r="A7396" s="12">
        <f t="shared" ref="A7396:C7396" si="1579">A7395</f>
        <v>46015</v>
      </c>
      <c r="B7396" s="5" t="str">
        <f t="shared" si="1579"/>
        <v>Northern Cardinal</v>
      </c>
      <c r="C7396" s="6">
        <f t="shared" si="1579"/>
        <v>0.74097222222222225</v>
      </c>
      <c r="D7396" s="5"/>
      <c r="E7396" s="5"/>
      <c r="F7396" s="5" t="s">
        <v>9</v>
      </c>
      <c r="G7396" s="15" t="s">
        <v>8</v>
      </c>
      <c r="H7396" s="24">
        <f t="shared" si="1570"/>
        <v>0</v>
      </c>
      <c r="I7396" s="24" cm="1">
        <f t="array" ref="I7396">IFERROR(IF($B7396=I$1, ($A7396+$C7396) - MAX(IF($B$2:$B7395=$B7396, $A$2:$A7395+$C$2:$C7395)), "")*24*60, "")</f>
        <v>0</v>
      </c>
      <c r="J7396" s="24" t="str" cm="1">
        <f t="array" ref="J7396">IFERROR(IF($B7396=J$1, ($A7396+$C7396) - MAX(IF($B$2:$B7395=$B7396, $A$2:$A7395+$C$2:$C7395)), "")*24*60, "")</f>
        <v/>
      </c>
      <c r="K7396" s="24" t="str" cm="1">
        <f t="array" ref="K7396">IFERROR(IF($B7396=K$1, ($A7396+$C7396) - MAX(IF($B$2:$B7395=$B7396, $A$2:$A7395+$C$2:$C7395)), "")*24*60, "")</f>
        <v/>
      </c>
      <c r="L7396" s="24" t="str" cm="1">
        <f t="array" ref="L7396">IFERROR(IF($B7396=L$1, ($A7396+$C7396) - MAX(IF($B$2:$B7395=$B7396, $A$2:$A7395+$C$2:$C7395)), "")*24*60, "")</f>
        <v/>
      </c>
      <c r="M7396" s="24" t="str" cm="1">
        <f t="array" ref="M7396">IFERROR(IF($B7396=M$1, ($A7396+$C7396) - MAX(IF($B$2:$B7395=$B7396, $A$2:$A7395+$C$2:$C7395)), "")*24*60, "")</f>
        <v/>
      </c>
      <c r="N7396" s="24" t="str" cm="1">
        <f t="array" ref="N7396">IFERROR(IF($B7396=N$1, ($A7396+$C7396) - MAX(IF($B$2:$B7395=$B7396, $A$2:$A7395+$C$2:$C7395)), "")*24*60, "")</f>
        <v/>
      </c>
      <c r="O7396" s="24" t="str" cm="1">
        <f t="array" ref="O7396">IFERROR(IF($B7396=O$1, ($A7396+$C7396) - MAX(IF($B$2:$B7395=$B7396, $A$2:$A7395+$C$2:$C7395)), "")*24*60, "")</f>
        <v/>
      </c>
      <c r="P7396" s="24" t="str" cm="1">
        <f t="array" ref="P7396">IFERROR(IF($B7396=P$1, ($A7396+$C7396) - MAX(IF($B$2:$B7395=$B7396, $A$2:$A7395+$C$2:$C7395)), "")*24*60, "")</f>
        <v/>
      </c>
      <c r="Q7396" s="24" t="str" cm="1">
        <f t="array" ref="Q7396">IFERROR(IF($B7396=Q$1, ($A7396+$C7396) - MAX(IF($B$2:$B7395=$B7396, $A$2:$A7395+$C$2:$C7395)), "")*24*60, "")</f>
        <v/>
      </c>
      <c r="R7396" s="24" t="str" cm="1">
        <f t="array" ref="R7396">IFERROR(IF($B7396=R$1, ($A7396+$C7396) - MAX(IF($B$2:$B7395=$B7396, $A$2:$A7395+$C$2:$C7395)), "")*24*60, "")</f>
        <v/>
      </c>
      <c r="S7396" s="24" t="str" cm="1">
        <f t="array" ref="S7396">IFERROR(IF($B7396=S$1, ($A7396+$C7396) - MAX(IF($B$2:$B7395=$B7396, $A$2:$A7395+$C$2:$C7395)), "")*24*60, "")</f>
        <v/>
      </c>
    </row>
    <row r="7397" spans="1:19" x14ac:dyDescent="0.2">
      <c r="A7397" s="12">
        <f t="shared" ref="A7397:C7397" si="1580">A7396</f>
        <v>46015</v>
      </c>
      <c r="B7397" s="5" t="str">
        <f t="shared" si="1580"/>
        <v>Northern Cardinal</v>
      </c>
      <c r="C7397" s="6">
        <f t="shared" si="1580"/>
        <v>0.74097222222222225</v>
      </c>
      <c r="D7397" s="5"/>
      <c r="E7397" s="5"/>
      <c r="F7397" s="5" t="s">
        <v>9</v>
      </c>
      <c r="G7397" s="15" t="s">
        <v>8</v>
      </c>
      <c r="H7397" s="24">
        <f t="shared" si="1570"/>
        <v>0</v>
      </c>
      <c r="I7397" s="24" cm="1">
        <f t="array" ref="I7397">IFERROR(IF($B7397=I$1, ($A7397+$C7397) - MAX(IF($B$2:$B7396=$B7397, $A$2:$A7396+$C$2:$C7396)), "")*24*60, "")</f>
        <v>0</v>
      </c>
      <c r="J7397" s="24" t="str" cm="1">
        <f t="array" ref="J7397">IFERROR(IF($B7397=J$1, ($A7397+$C7397) - MAX(IF($B$2:$B7396=$B7397, $A$2:$A7396+$C$2:$C7396)), "")*24*60, "")</f>
        <v/>
      </c>
      <c r="K7397" s="24" t="str" cm="1">
        <f t="array" ref="K7397">IFERROR(IF($B7397=K$1, ($A7397+$C7397) - MAX(IF($B$2:$B7396=$B7397, $A$2:$A7396+$C$2:$C7396)), "")*24*60, "")</f>
        <v/>
      </c>
      <c r="L7397" s="24" t="str" cm="1">
        <f t="array" ref="L7397">IFERROR(IF($B7397=L$1, ($A7397+$C7397) - MAX(IF($B$2:$B7396=$B7397, $A$2:$A7396+$C$2:$C7396)), "")*24*60, "")</f>
        <v/>
      </c>
      <c r="M7397" s="24" t="str" cm="1">
        <f t="array" ref="M7397">IFERROR(IF($B7397=M$1, ($A7397+$C7397) - MAX(IF($B$2:$B7396=$B7397, $A$2:$A7396+$C$2:$C7396)), "")*24*60, "")</f>
        <v/>
      </c>
      <c r="N7397" s="24" t="str" cm="1">
        <f t="array" ref="N7397">IFERROR(IF($B7397=N$1, ($A7397+$C7397) - MAX(IF($B$2:$B7396=$B7397, $A$2:$A7396+$C$2:$C7396)), "")*24*60, "")</f>
        <v/>
      </c>
      <c r="O7397" s="24" t="str" cm="1">
        <f t="array" ref="O7397">IFERROR(IF($B7397=O$1, ($A7397+$C7397) - MAX(IF($B$2:$B7396=$B7397, $A$2:$A7396+$C$2:$C7396)), "")*24*60, "")</f>
        <v/>
      </c>
      <c r="P7397" s="24" t="str" cm="1">
        <f t="array" ref="P7397">IFERROR(IF($B7397=P$1, ($A7397+$C7397) - MAX(IF($B$2:$B7396=$B7397, $A$2:$A7396+$C$2:$C7396)), "")*24*60, "")</f>
        <v/>
      </c>
      <c r="Q7397" s="24" t="str" cm="1">
        <f t="array" ref="Q7397">IFERROR(IF($B7397=Q$1, ($A7397+$C7397) - MAX(IF($B$2:$B7396=$B7397, $A$2:$A7396+$C$2:$C7396)), "")*24*60, "")</f>
        <v/>
      </c>
      <c r="R7397" s="24" t="str" cm="1">
        <f t="array" ref="R7397">IFERROR(IF($B7397=R$1, ($A7397+$C7397) - MAX(IF($B$2:$B7396=$B7397, $A$2:$A7396+$C$2:$C7396)), "")*24*60, "")</f>
        <v/>
      </c>
      <c r="S7397" s="24" t="str" cm="1">
        <f t="array" ref="S7397">IFERROR(IF($B7397=S$1, ($A7397+$C7397) - MAX(IF($B$2:$B7396=$B7397, $A$2:$A7396+$C$2:$C7396)), "")*24*60, "")</f>
        <v/>
      </c>
    </row>
    <row r="7398" spans="1:19" x14ac:dyDescent="0.2">
      <c r="A7398" s="12">
        <f t="shared" ref="A7398:C7398" si="1581">A7397</f>
        <v>46015</v>
      </c>
      <c r="B7398" s="5" t="str">
        <f t="shared" si="1581"/>
        <v>Northern Cardinal</v>
      </c>
      <c r="C7398" s="6">
        <f t="shared" si="1581"/>
        <v>0.74097222222222225</v>
      </c>
      <c r="D7398" s="5"/>
      <c r="E7398" s="5"/>
      <c r="F7398" s="5" t="s">
        <v>9</v>
      </c>
      <c r="G7398" s="15" t="s">
        <v>8</v>
      </c>
      <c r="H7398" s="24">
        <f t="shared" si="1570"/>
        <v>0</v>
      </c>
      <c r="I7398" s="24" cm="1">
        <f t="array" ref="I7398">IFERROR(IF($B7398=I$1, ($A7398+$C7398) - MAX(IF($B$2:$B7397=$B7398, $A$2:$A7397+$C$2:$C7397)), "")*24*60, "")</f>
        <v>0</v>
      </c>
      <c r="J7398" s="24" t="str" cm="1">
        <f t="array" ref="J7398">IFERROR(IF($B7398=J$1, ($A7398+$C7398) - MAX(IF($B$2:$B7397=$B7398, $A$2:$A7397+$C$2:$C7397)), "")*24*60, "")</f>
        <v/>
      </c>
      <c r="K7398" s="24" t="str" cm="1">
        <f t="array" ref="K7398">IFERROR(IF($B7398=K$1, ($A7398+$C7398) - MAX(IF($B$2:$B7397=$B7398, $A$2:$A7397+$C$2:$C7397)), "")*24*60, "")</f>
        <v/>
      </c>
      <c r="L7398" s="24" t="str" cm="1">
        <f t="array" ref="L7398">IFERROR(IF($B7398=L$1, ($A7398+$C7398) - MAX(IF($B$2:$B7397=$B7398, $A$2:$A7397+$C$2:$C7397)), "")*24*60, "")</f>
        <v/>
      </c>
      <c r="M7398" s="24" t="str" cm="1">
        <f t="array" ref="M7398">IFERROR(IF($B7398=M$1, ($A7398+$C7398) - MAX(IF($B$2:$B7397=$B7398, $A$2:$A7397+$C$2:$C7397)), "")*24*60, "")</f>
        <v/>
      </c>
      <c r="N7398" s="24" t="str" cm="1">
        <f t="array" ref="N7398">IFERROR(IF($B7398=N$1, ($A7398+$C7398) - MAX(IF($B$2:$B7397=$B7398, $A$2:$A7397+$C$2:$C7397)), "")*24*60, "")</f>
        <v/>
      </c>
      <c r="O7398" s="24" t="str" cm="1">
        <f t="array" ref="O7398">IFERROR(IF($B7398=O$1, ($A7398+$C7398) - MAX(IF($B$2:$B7397=$B7398, $A$2:$A7397+$C$2:$C7397)), "")*24*60, "")</f>
        <v/>
      </c>
      <c r="P7398" s="24" t="str" cm="1">
        <f t="array" ref="P7398">IFERROR(IF($B7398=P$1, ($A7398+$C7398) - MAX(IF($B$2:$B7397=$B7398, $A$2:$A7397+$C$2:$C7397)), "")*24*60, "")</f>
        <v/>
      </c>
      <c r="Q7398" s="24" t="str" cm="1">
        <f t="array" ref="Q7398">IFERROR(IF($B7398=Q$1, ($A7398+$C7398) - MAX(IF($B$2:$B7397=$B7398, $A$2:$A7397+$C$2:$C7397)), "")*24*60, "")</f>
        <v/>
      </c>
      <c r="R7398" s="24" t="str" cm="1">
        <f t="array" ref="R7398">IFERROR(IF($B7398=R$1, ($A7398+$C7398) - MAX(IF($B$2:$B7397=$B7398, $A$2:$A7397+$C$2:$C7397)), "")*24*60, "")</f>
        <v/>
      </c>
      <c r="S7398" s="24" t="str" cm="1">
        <f t="array" ref="S7398">IFERROR(IF($B7398=S$1, ($A7398+$C7398) - MAX(IF($B$2:$B7397=$B7398, $A$2:$A7397+$C$2:$C7397)), "")*24*60, "")</f>
        <v/>
      </c>
    </row>
    <row r="7399" spans="1:19" x14ac:dyDescent="0.2">
      <c r="A7399" s="12">
        <f t="shared" ref="A7399:C7399" si="1582">A7398</f>
        <v>46015</v>
      </c>
      <c r="B7399" s="5" t="str">
        <f t="shared" si="1582"/>
        <v>Northern Cardinal</v>
      </c>
      <c r="C7399" s="6">
        <f t="shared" si="1582"/>
        <v>0.74097222222222225</v>
      </c>
      <c r="D7399" s="5"/>
      <c r="E7399" s="5"/>
      <c r="F7399" s="5" t="s">
        <v>9</v>
      </c>
      <c r="G7399" s="15" t="s">
        <v>8</v>
      </c>
      <c r="H7399" s="24">
        <f t="shared" si="1570"/>
        <v>0</v>
      </c>
      <c r="I7399" s="24" cm="1">
        <f t="array" ref="I7399">IFERROR(IF($B7399=I$1, ($A7399+$C7399) - MAX(IF($B$2:$B7398=$B7399, $A$2:$A7398+$C$2:$C7398)), "")*24*60, "")</f>
        <v>0</v>
      </c>
      <c r="J7399" s="24" t="str" cm="1">
        <f t="array" ref="J7399">IFERROR(IF($B7399=J$1, ($A7399+$C7399) - MAX(IF($B$2:$B7398=$B7399, $A$2:$A7398+$C$2:$C7398)), "")*24*60, "")</f>
        <v/>
      </c>
      <c r="K7399" s="24" t="str" cm="1">
        <f t="array" ref="K7399">IFERROR(IF($B7399=K$1, ($A7399+$C7399) - MAX(IF($B$2:$B7398=$B7399, $A$2:$A7398+$C$2:$C7398)), "")*24*60, "")</f>
        <v/>
      </c>
      <c r="L7399" s="24" t="str" cm="1">
        <f t="array" ref="L7399">IFERROR(IF($B7399=L$1, ($A7399+$C7399) - MAX(IF($B$2:$B7398=$B7399, $A$2:$A7398+$C$2:$C7398)), "")*24*60, "")</f>
        <v/>
      </c>
      <c r="M7399" s="24" t="str" cm="1">
        <f t="array" ref="M7399">IFERROR(IF($B7399=M$1, ($A7399+$C7399) - MAX(IF($B$2:$B7398=$B7399, $A$2:$A7398+$C$2:$C7398)), "")*24*60, "")</f>
        <v/>
      </c>
      <c r="N7399" s="24" t="str" cm="1">
        <f t="array" ref="N7399">IFERROR(IF($B7399=N$1, ($A7399+$C7399) - MAX(IF($B$2:$B7398=$B7399, $A$2:$A7398+$C$2:$C7398)), "")*24*60, "")</f>
        <v/>
      </c>
      <c r="O7399" s="24" t="str" cm="1">
        <f t="array" ref="O7399">IFERROR(IF($B7399=O$1, ($A7399+$C7399) - MAX(IF($B$2:$B7398=$B7399, $A$2:$A7398+$C$2:$C7398)), "")*24*60, "")</f>
        <v/>
      </c>
      <c r="P7399" s="24" t="str" cm="1">
        <f t="array" ref="P7399">IFERROR(IF($B7399=P$1, ($A7399+$C7399) - MAX(IF($B$2:$B7398=$B7399, $A$2:$A7398+$C$2:$C7398)), "")*24*60, "")</f>
        <v/>
      </c>
      <c r="Q7399" s="24" t="str" cm="1">
        <f t="array" ref="Q7399">IFERROR(IF($B7399=Q$1, ($A7399+$C7399) - MAX(IF($B$2:$B7398=$B7399, $A$2:$A7398+$C$2:$C7398)), "")*24*60, "")</f>
        <v/>
      </c>
      <c r="R7399" s="24" t="str" cm="1">
        <f t="array" ref="R7399">IFERROR(IF($B7399=R$1, ($A7399+$C7399) - MAX(IF($B$2:$B7398=$B7399, $A$2:$A7398+$C$2:$C7398)), "")*24*60, "")</f>
        <v/>
      </c>
      <c r="S7399" s="24" t="str" cm="1">
        <f t="array" ref="S7399">IFERROR(IF($B7399=S$1, ($A7399+$C7399) - MAX(IF($B$2:$B7398=$B7399, $A$2:$A7398+$C$2:$C7398)), "")*24*60, "")</f>
        <v/>
      </c>
    </row>
    <row r="7400" spans="1:19" x14ac:dyDescent="0.2">
      <c r="A7400" s="12">
        <f t="shared" ref="A7400:C7400" si="1583">A7399</f>
        <v>46015</v>
      </c>
      <c r="B7400" s="5" t="str">
        <f t="shared" si="1583"/>
        <v>Northern Cardinal</v>
      </c>
      <c r="C7400" s="6">
        <f t="shared" si="1583"/>
        <v>0.74097222222222225</v>
      </c>
      <c r="D7400" s="5"/>
      <c r="E7400" s="5"/>
      <c r="F7400" s="5" t="s">
        <v>9</v>
      </c>
      <c r="G7400" s="15" t="s">
        <v>8</v>
      </c>
      <c r="H7400" s="24">
        <f t="shared" si="1570"/>
        <v>0</v>
      </c>
      <c r="I7400" s="24" cm="1">
        <f t="array" ref="I7400">IFERROR(IF($B7400=I$1, ($A7400+$C7400) - MAX(IF($B$2:$B7399=$B7400, $A$2:$A7399+$C$2:$C7399)), "")*24*60, "")</f>
        <v>0</v>
      </c>
      <c r="J7400" s="24" t="str" cm="1">
        <f t="array" ref="J7400">IFERROR(IF($B7400=J$1, ($A7400+$C7400) - MAX(IF($B$2:$B7399=$B7400, $A$2:$A7399+$C$2:$C7399)), "")*24*60, "")</f>
        <v/>
      </c>
      <c r="K7400" s="24" t="str" cm="1">
        <f t="array" ref="K7400">IFERROR(IF($B7400=K$1, ($A7400+$C7400) - MAX(IF($B$2:$B7399=$B7400, $A$2:$A7399+$C$2:$C7399)), "")*24*60, "")</f>
        <v/>
      </c>
      <c r="L7400" s="24" t="str" cm="1">
        <f t="array" ref="L7400">IFERROR(IF($B7400=L$1, ($A7400+$C7400) - MAX(IF($B$2:$B7399=$B7400, $A$2:$A7399+$C$2:$C7399)), "")*24*60, "")</f>
        <v/>
      </c>
      <c r="M7400" s="24" t="str" cm="1">
        <f t="array" ref="M7400">IFERROR(IF($B7400=M$1, ($A7400+$C7400) - MAX(IF($B$2:$B7399=$B7400, $A$2:$A7399+$C$2:$C7399)), "")*24*60, "")</f>
        <v/>
      </c>
      <c r="N7400" s="24" t="str" cm="1">
        <f t="array" ref="N7400">IFERROR(IF($B7400=N$1, ($A7400+$C7400) - MAX(IF($B$2:$B7399=$B7400, $A$2:$A7399+$C$2:$C7399)), "")*24*60, "")</f>
        <v/>
      </c>
      <c r="O7400" s="24" t="str" cm="1">
        <f t="array" ref="O7400">IFERROR(IF($B7400=O$1, ($A7400+$C7400) - MAX(IF($B$2:$B7399=$B7400, $A$2:$A7399+$C$2:$C7399)), "")*24*60, "")</f>
        <v/>
      </c>
      <c r="P7400" s="24" t="str" cm="1">
        <f t="array" ref="P7400">IFERROR(IF($B7400=P$1, ($A7400+$C7400) - MAX(IF($B$2:$B7399=$B7400, $A$2:$A7399+$C$2:$C7399)), "")*24*60, "")</f>
        <v/>
      </c>
      <c r="Q7400" s="24" t="str" cm="1">
        <f t="array" ref="Q7400">IFERROR(IF($B7400=Q$1, ($A7400+$C7400) - MAX(IF($B$2:$B7399=$B7400, $A$2:$A7399+$C$2:$C7399)), "")*24*60, "")</f>
        <v/>
      </c>
      <c r="R7400" s="24" t="str" cm="1">
        <f t="array" ref="R7400">IFERROR(IF($B7400=R$1, ($A7400+$C7400) - MAX(IF($B$2:$B7399=$B7400, $A$2:$A7399+$C$2:$C7399)), "")*24*60, "")</f>
        <v/>
      </c>
      <c r="S7400" s="24" t="str" cm="1">
        <f t="array" ref="S7400">IFERROR(IF($B7400=S$1, ($A7400+$C7400) - MAX(IF($B$2:$B7399=$B7400, $A$2:$A7399+$C$2:$C7399)), "")*24*60, "")</f>
        <v/>
      </c>
    </row>
    <row r="7401" spans="1:19" x14ac:dyDescent="0.2">
      <c r="A7401" s="12">
        <f t="shared" ref="A7401:C7401" si="1584">A7400</f>
        <v>46015</v>
      </c>
      <c r="B7401" s="5" t="str">
        <f t="shared" si="1584"/>
        <v>Northern Cardinal</v>
      </c>
      <c r="C7401" s="6">
        <f t="shared" si="1584"/>
        <v>0.74097222222222225</v>
      </c>
      <c r="D7401" s="5"/>
      <c r="E7401" s="5"/>
      <c r="F7401" s="5" t="s">
        <v>9</v>
      </c>
      <c r="G7401" s="15" t="s">
        <v>8</v>
      </c>
      <c r="H7401" s="24">
        <f t="shared" si="1570"/>
        <v>0</v>
      </c>
      <c r="I7401" s="24" cm="1">
        <f t="array" ref="I7401">IFERROR(IF($B7401=I$1, ($A7401+$C7401) - MAX(IF($B$2:$B7400=$B7401, $A$2:$A7400+$C$2:$C7400)), "")*24*60, "")</f>
        <v>0</v>
      </c>
      <c r="J7401" s="24" t="str" cm="1">
        <f t="array" ref="J7401">IFERROR(IF($B7401=J$1, ($A7401+$C7401) - MAX(IF($B$2:$B7400=$B7401, $A$2:$A7400+$C$2:$C7400)), "")*24*60, "")</f>
        <v/>
      </c>
      <c r="K7401" s="24" t="str" cm="1">
        <f t="array" ref="K7401">IFERROR(IF($B7401=K$1, ($A7401+$C7401) - MAX(IF($B$2:$B7400=$B7401, $A$2:$A7400+$C$2:$C7400)), "")*24*60, "")</f>
        <v/>
      </c>
      <c r="L7401" s="24" t="str" cm="1">
        <f t="array" ref="L7401">IFERROR(IF($B7401=L$1, ($A7401+$C7401) - MAX(IF($B$2:$B7400=$B7401, $A$2:$A7400+$C$2:$C7400)), "")*24*60, "")</f>
        <v/>
      </c>
      <c r="M7401" s="24" t="str" cm="1">
        <f t="array" ref="M7401">IFERROR(IF($B7401=M$1, ($A7401+$C7401) - MAX(IF($B$2:$B7400=$B7401, $A$2:$A7400+$C$2:$C7400)), "")*24*60, "")</f>
        <v/>
      </c>
      <c r="N7401" s="24" t="str" cm="1">
        <f t="array" ref="N7401">IFERROR(IF($B7401=N$1, ($A7401+$C7401) - MAX(IF($B$2:$B7400=$B7401, $A$2:$A7400+$C$2:$C7400)), "")*24*60, "")</f>
        <v/>
      </c>
      <c r="O7401" s="24" t="str" cm="1">
        <f t="array" ref="O7401">IFERROR(IF($B7401=O$1, ($A7401+$C7401) - MAX(IF($B$2:$B7400=$B7401, $A$2:$A7400+$C$2:$C7400)), "")*24*60, "")</f>
        <v/>
      </c>
      <c r="P7401" s="24" t="str" cm="1">
        <f t="array" ref="P7401">IFERROR(IF($B7401=P$1, ($A7401+$C7401) - MAX(IF($B$2:$B7400=$B7401, $A$2:$A7400+$C$2:$C7400)), "")*24*60, "")</f>
        <v/>
      </c>
      <c r="Q7401" s="24" t="str" cm="1">
        <f t="array" ref="Q7401">IFERROR(IF($B7401=Q$1, ($A7401+$C7401) - MAX(IF($B$2:$B7400=$B7401, $A$2:$A7400+$C$2:$C7400)), "")*24*60, "")</f>
        <v/>
      </c>
      <c r="R7401" s="24" t="str" cm="1">
        <f t="array" ref="R7401">IFERROR(IF($B7401=R$1, ($A7401+$C7401) - MAX(IF($B$2:$B7400=$B7401, $A$2:$A7400+$C$2:$C7400)), "")*24*60, "")</f>
        <v/>
      </c>
      <c r="S7401" s="24" t="str" cm="1">
        <f t="array" ref="S7401">IFERROR(IF($B7401=S$1, ($A7401+$C7401) - MAX(IF($B$2:$B7400=$B7401, $A$2:$A7400+$C$2:$C7400)), "")*24*60, "")</f>
        <v/>
      </c>
    </row>
    <row r="7402" spans="1:19" x14ac:dyDescent="0.2">
      <c r="A7402" s="12">
        <f t="shared" ref="A7402:C7402" si="1585">A7401</f>
        <v>46015</v>
      </c>
      <c r="B7402" s="5" t="str">
        <f t="shared" si="1585"/>
        <v>Northern Cardinal</v>
      </c>
      <c r="C7402" s="6">
        <f t="shared" si="1585"/>
        <v>0.74097222222222225</v>
      </c>
      <c r="D7402" s="5"/>
      <c r="E7402" s="5"/>
      <c r="F7402" s="5" t="s">
        <v>9</v>
      </c>
      <c r="G7402" s="15" t="s">
        <v>8</v>
      </c>
      <c r="H7402" s="24">
        <f t="shared" si="1570"/>
        <v>0</v>
      </c>
      <c r="I7402" s="24" cm="1">
        <f t="array" ref="I7402">IFERROR(IF($B7402=I$1, ($A7402+$C7402) - MAX(IF($B$2:$B7401=$B7402, $A$2:$A7401+$C$2:$C7401)), "")*24*60, "")</f>
        <v>0</v>
      </c>
      <c r="J7402" s="24" t="str" cm="1">
        <f t="array" ref="J7402">IFERROR(IF($B7402=J$1, ($A7402+$C7402) - MAX(IF($B$2:$B7401=$B7402, $A$2:$A7401+$C$2:$C7401)), "")*24*60, "")</f>
        <v/>
      </c>
      <c r="K7402" s="24" t="str" cm="1">
        <f t="array" ref="K7402">IFERROR(IF($B7402=K$1, ($A7402+$C7402) - MAX(IF($B$2:$B7401=$B7402, $A$2:$A7401+$C$2:$C7401)), "")*24*60, "")</f>
        <v/>
      </c>
      <c r="L7402" s="24" t="str" cm="1">
        <f t="array" ref="L7402">IFERROR(IF($B7402=L$1, ($A7402+$C7402) - MAX(IF($B$2:$B7401=$B7402, $A$2:$A7401+$C$2:$C7401)), "")*24*60, "")</f>
        <v/>
      </c>
      <c r="M7402" s="24" t="str" cm="1">
        <f t="array" ref="M7402">IFERROR(IF($B7402=M$1, ($A7402+$C7402) - MAX(IF($B$2:$B7401=$B7402, $A$2:$A7401+$C$2:$C7401)), "")*24*60, "")</f>
        <v/>
      </c>
      <c r="N7402" s="24" t="str" cm="1">
        <f t="array" ref="N7402">IFERROR(IF($B7402=N$1, ($A7402+$C7402) - MAX(IF($B$2:$B7401=$B7402, $A$2:$A7401+$C$2:$C7401)), "")*24*60, "")</f>
        <v/>
      </c>
      <c r="O7402" s="24" t="str" cm="1">
        <f t="array" ref="O7402">IFERROR(IF($B7402=O$1, ($A7402+$C7402) - MAX(IF($B$2:$B7401=$B7402, $A$2:$A7401+$C$2:$C7401)), "")*24*60, "")</f>
        <v/>
      </c>
      <c r="P7402" s="24" t="str" cm="1">
        <f t="array" ref="P7402">IFERROR(IF($B7402=P$1, ($A7402+$C7402) - MAX(IF($B$2:$B7401=$B7402, $A$2:$A7401+$C$2:$C7401)), "")*24*60, "")</f>
        <v/>
      </c>
      <c r="Q7402" s="24" t="str" cm="1">
        <f t="array" ref="Q7402">IFERROR(IF($B7402=Q$1, ($A7402+$C7402) - MAX(IF($B$2:$B7401=$B7402, $A$2:$A7401+$C$2:$C7401)), "")*24*60, "")</f>
        <v/>
      </c>
      <c r="R7402" s="24" t="str" cm="1">
        <f t="array" ref="R7402">IFERROR(IF($B7402=R$1, ($A7402+$C7402) - MAX(IF($B$2:$B7401=$B7402, $A$2:$A7401+$C$2:$C7401)), "")*24*60, "")</f>
        <v/>
      </c>
      <c r="S7402" s="24" t="str" cm="1">
        <f t="array" ref="S7402">IFERROR(IF($B7402=S$1, ($A7402+$C7402) - MAX(IF($B$2:$B7401=$B7402, $A$2:$A7401+$C$2:$C7401)), "")*24*60, "")</f>
        <v/>
      </c>
    </row>
    <row r="7403" spans="1:19" x14ac:dyDescent="0.2">
      <c r="A7403" s="12">
        <f t="shared" ref="A7403:C7403" si="1586">A7402</f>
        <v>46015</v>
      </c>
      <c r="B7403" s="5" t="str">
        <f t="shared" si="1586"/>
        <v>Northern Cardinal</v>
      </c>
      <c r="C7403" s="6">
        <f t="shared" si="1586"/>
        <v>0.74097222222222225</v>
      </c>
      <c r="D7403" s="5"/>
      <c r="E7403" s="5"/>
      <c r="F7403" s="5" t="s">
        <v>9</v>
      </c>
      <c r="G7403" s="15" t="s">
        <v>8</v>
      </c>
      <c r="H7403" s="24">
        <f t="shared" si="1570"/>
        <v>0</v>
      </c>
      <c r="I7403" s="24" cm="1">
        <f t="array" ref="I7403">IFERROR(IF($B7403=I$1, ($A7403+$C7403) - MAX(IF($B$2:$B7402=$B7403, $A$2:$A7402+$C$2:$C7402)), "")*24*60, "")</f>
        <v>0</v>
      </c>
      <c r="J7403" s="24" t="str" cm="1">
        <f t="array" ref="J7403">IFERROR(IF($B7403=J$1, ($A7403+$C7403) - MAX(IF($B$2:$B7402=$B7403, $A$2:$A7402+$C$2:$C7402)), "")*24*60, "")</f>
        <v/>
      </c>
      <c r="K7403" s="24" t="str" cm="1">
        <f t="array" ref="K7403">IFERROR(IF($B7403=K$1, ($A7403+$C7403) - MAX(IF($B$2:$B7402=$B7403, $A$2:$A7402+$C$2:$C7402)), "")*24*60, "")</f>
        <v/>
      </c>
      <c r="L7403" s="24" t="str" cm="1">
        <f t="array" ref="L7403">IFERROR(IF($B7403=L$1, ($A7403+$C7403) - MAX(IF($B$2:$B7402=$B7403, $A$2:$A7402+$C$2:$C7402)), "")*24*60, "")</f>
        <v/>
      </c>
      <c r="M7403" s="24" t="str" cm="1">
        <f t="array" ref="M7403">IFERROR(IF($B7403=M$1, ($A7403+$C7403) - MAX(IF($B$2:$B7402=$B7403, $A$2:$A7402+$C$2:$C7402)), "")*24*60, "")</f>
        <v/>
      </c>
      <c r="N7403" s="24" t="str" cm="1">
        <f t="array" ref="N7403">IFERROR(IF($B7403=N$1, ($A7403+$C7403) - MAX(IF($B$2:$B7402=$B7403, $A$2:$A7402+$C$2:$C7402)), "")*24*60, "")</f>
        <v/>
      </c>
      <c r="O7403" s="24" t="str" cm="1">
        <f t="array" ref="O7403">IFERROR(IF($B7403=O$1, ($A7403+$C7403) - MAX(IF($B$2:$B7402=$B7403, $A$2:$A7402+$C$2:$C7402)), "")*24*60, "")</f>
        <v/>
      </c>
      <c r="P7403" s="24" t="str" cm="1">
        <f t="array" ref="P7403">IFERROR(IF($B7403=P$1, ($A7403+$C7403) - MAX(IF($B$2:$B7402=$B7403, $A$2:$A7402+$C$2:$C7402)), "")*24*60, "")</f>
        <v/>
      </c>
      <c r="Q7403" s="24" t="str" cm="1">
        <f t="array" ref="Q7403">IFERROR(IF($B7403=Q$1, ($A7403+$C7403) - MAX(IF($B$2:$B7402=$B7403, $A$2:$A7402+$C$2:$C7402)), "")*24*60, "")</f>
        <v/>
      </c>
      <c r="R7403" s="24" t="str" cm="1">
        <f t="array" ref="R7403">IFERROR(IF($B7403=R$1, ($A7403+$C7403) - MAX(IF($B$2:$B7402=$B7403, $A$2:$A7402+$C$2:$C7402)), "")*24*60, "")</f>
        <v/>
      </c>
      <c r="S7403" s="24" t="str" cm="1">
        <f t="array" ref="S7403">IFERROR(IF($B7403=S$1, ($A7403+$C7403) - MAX(IF($B$2:$B7402=$B7403, $A$2:$A7402+$C$2:$C7402)), "")*24*60, "")</f>
        <v/>
      </c>
    </row>
    <row r="7404" spans="1:19" x14ac:dyDescent="0.2">
      <c r="A7404" s="12">
        <f t="shared" ref="A7404:C7404" si="1587">A7403</f>
        <v>46015</v>
      </c>
      <c r="B7404" s="5" t="str">
        <f t="shared" si="1587"/>
        <v>Northern Cardinal</v>
      </c>
      <c r="C7404" s="6">
        <f t="shared" si="1587"/>
        <v>0.74097222222222225</v>
      </c>
      <c r="D7404" s="5"/>
      <c r="E7404" s="5"/>
      <c r="F7404" s="5" t="s">
        <v>9</v>
      </c>
      <c r="G7404" s="15" t="s">
        <v>8</v>
      </c>
      <c r="H7404" s="24">
        <f t="shared" si="1570"/>
        <v>0</v>
      </c>
      <c r="I7404" s="24" cm="1">
        <f t="array" ref="I7404">IFERROR(IF($B7404=I$1, ($A7404+$C7404) - MAX(IF($B$2:$B7403=$B7404, $A$2:$A7403+$C$2:$C7403)), "")*24*60, "")</f>
        <v>0</v>
      </c>
      <c r="J7404" s="24" t="str" cm="1">
        <f t="array" ref="J7404">IFERROR(IF($B7404=J$1, ($A7404+$C7404) - MAX(IF($B$2:$B7403=$B7404, $A$2:$A7403+$C$2:$C7403)), "")*24*60, "")</f>
        <v/>
      </c>
      <c r="K7404" s="24" t="str" cm="1">
        <f t="array" ref="K7404">IFERROR(IF($B7404=K$1, ($A7404+$C7404) - MAX(IF($B$2:$B7403=$B7404, $A$2:$A7403+$C$2:$C7403)), "")*24*60, "")</f>
        <v/>
      </c>
      <c r="L7404" s="24" t="str" cm="1">
        <f t="array" ref="L7404">IFERROR(IF($B7404=L$1, ($A7404+$C7404) - MAX(IF($B$2:$B7403=$B7404, $A$2:$A7403+$C$2:$C7403)), "")*24*60, "")</f>
        <v/>
      </c>
      <c r="M7404" s="24" t="str" cm="1">
        <f t="array" ref="M7404">IFERROR(IF($B7404=M$1, ($A7404+$C7404) - MAX(IF($B$2:$B7403=$B7404, $A$2:$A7403+$C$2:$C7403)), "")*24*60, "")</f>
        <v/>
      </c>
      <c r="N7404" s="24" t="str" cm="1">
        <f t="array" ref="N7404">IFERROR(IF($B7404=N$1, ($A7404+$C7404) - MAX(IF($B$2:$B7403=$B7404, $A$2:$A7403+$C$2:$C7403)), "")*24*60, "")</f>
        <v/>
      </c>
      <c r="O7404" s="24" t="str" cm="1">
        <f t="array" ref="O7404">IFERROR(IF($B7404=O$1, ($A7404+$C7404) - MAX(IF($B$2:$B7403=$B7404, $A$2:$A7403+$C$2:$C7403)), "")*24*60, "")</f>
        <v/>
      </c>
      <c r="P7404" s="24" t="str" cm="1">
        <f t="array" ref="P7404">IFERROR(IF($B7404=P$1, ($A7404+$C7404) - MAX(IF($B$2:$B7403=$B7404, $A$2:$A7403+$C$2:$C7403)), "")*24*60, "")</f>
        <v/>
      </c>
      <c r="Q7404" s="24" t="str" cm="1">
        <f t="array" ref="Q7404">IFERROR(IF($B7404=Q$1, ($A7404+$C7404) - MAX(IF($B$2:$B7403=$B7404, $A$2:$A7403+$C$2:$C7403)), "")*24*60, "")</f>
        <v/>
      </c>
      <c r="R7404" s="24" t="str" cm="1">
        <f t="array" ref="R7404">IFERROR(IF($B7404=R$1, ($A7404+$C7404) - MAX(IF($B$2:$B7403=$B7404, $A$2:$A7403+$C$2:$C7403)), "")*24*60, "")</f>
        <v/>
      </c>
      <c r="S7404" s="24" t="str" cm="1">
        <f t="array" ref="S7404">IFERROR(IF($B7404=S$1, ($A7404+$C7404) - MAX(IF($B$2:$B7403=$B7404, $A$2:$A7403+$C$2:$C7403)), "")*24*60, "")</f>
        <v/>
      </c>
    </row>
    <row r="7405" spans="1:19" x14ac:dyDescent="0.2">
      <c r="A7405" s="12">
        <f t="shared" ref="A7405:C7405" si="1588">A7404</f>
        <v>46015</v>
      </c>
      <c r="B7405" s="5" t="str">
        <f t="shared" si="1588"/>
        <v>Northern Cardinal</v>
      </c>
      <c r="C7405" s="6">
        <f t="shared" si="1588"/>
        <v>0.74097222222222225</v>
      </c>
      <c r="D7405" s="5"/>
      <c r="E7405" s="5"/>
      <c r="F7405" s="5" t="s">
        <v>9</v>
      </c>
      <c r="G7405" s="15" t="s">
        <v>8</v>
      </c>
      <c r="H7405" s="24">
        <f t="shared" si="1570"/>
        <v>0</v>
      </c>
      <c r="I7405" s="24" cm="1">
        <f t="array" ref="I7405">IFERROR(IF($B7405=I$1, ($A7405+$C7405) - MAX(IF($B$2:$B7404=$B7405, $A$2:$A7404+$C$2:$C7404)), "")*24*60, "")</f>
        <v>0</v>
      </c>
      <c r="J7405" s="24" t="str" cm="1">
        <f t="array" ref="J7405">IFERROR(IF($B7405=J$1, ($A7405+$C7405) - MAX(IF($B$2:$B7404=$B7405, $A$2:$A7404+$C$2:$C7404)), "")*24*60, "")</f>
        <v/>
      </c>
      <c r="K7405" s="24" t="str" cm="1">
        <f t="array" ref="K7405">IFERROR(IF($B7405=K$1, ($A7405+$C7405) - MAX(IF($B$2:$B7404=$B7405, $A$2:$A7404+$C$2:$C7404)), "")*24*60, "")</f>
        <v/>
      </c>
      <c r="L7405" s="24" t="str" cm="1">
        <f t="array" ref="L7405">IFERROR(IF($B7405=L$1, ($A7405+$C7405) - MAX(IF($B$2:$B7404=$B7405, $A$2:$A7404+$C$2:$C7404)), "")*24*60, "")</f>
        <v/>
      </c>
      <c r="M7405" s="24" t="str" cm="1">
        <f t="array" ref="M7405">IFERROR(IF($B7405=M$1, ($A7405+$C7405) - MAX(IF($B$2:$B7404=$B7405, $A$2:$A7404+$C$2:$C7404)), "")*24*60, "")</f>
        <v/>
      </c>
      <c r="N7405" s="24" t="str" cm="1">
        <f t="array" ref="N7405">IFERROR(IF($B7405=N$1, ($A7405+$C7405) - MAX(IF($B$2:$B7404=$B7405, $A$2:$A7404+$C$2:$C7404)), "")*24*60, "")</f>
        <v/>
      </c>
      <c r="O7405" s="24" t="str" cm="1">
        <f t="array" ref="O7405">IFERROR(IF($B7405=O$1, ($A7405+$C7405) - MAX(IF($B$2:$B7404=$B7405, $A$2:$A7404+$C$2:$C7404)), "")*24*60, "")</f>
        <v/>
      </c>
      <c r="P7405" s="24" t="str" cm="1">
        <f t="array" ref="P7405">IFERROR(IF($B7405=P$1, ($A7405+$C7405) - MAX(IF($B$2:$B7404=$B7405, $A$2:$A7404+$C$2:$C7404)), "")*24*60, "")</f>
        <v/>
      </c>
      <c r="Q7405" s="24" t="str" cm="1">
        <f t="array" ref="Q7405">IFERROR(IF($B7405=Q$1, ($A7405+$C7405) - MAX(IF($B$2:$B7404=$B7405, $A$2:$A7404+$C$2:$C7404)), "")*24*60, "")</f>
        <v/>
      </c>
      <c r="R7405" s="24" t="str" cm="1">
        <f t="array" ref="R7405">IFERROR(IF($B7405=R$1, ($A7405+$C7405) - MAX(IF($B$2:$B7404=$B7405, $A$2:$A7404+$C$2:$C7404)), "")*24*60, "")</f>
        <v/>
      </c>
      <c r="S7405" s="24" t="str" cm="1">
        <f t="array" ref="S7405">IFERROR(IF($B7405=S$1, ($A7405+$C7405) - MAX(IF($B$2:$B7404=$B7405, $A$2:$A7404+$C$2:$C7404)), "")*24*60, "")</f>
        <v/>
      </c>
    </row>
    <row r="7406" spans="1:19" x14ac:dyDescent="0.2">
      <c r="A7406" s="12">
        <f t="shared" ref="A7406:C7406" si="1589">A7405</f>
        <v>46015</v>
      </c>
      <c r="B7406" s="5" t="str">
        <f t="shared" si="1589"/>
        <v>Northern Cardinal</v>
      </c>
      <c r="C7406" s="6">
        <f t="shared" si="1589"/>
        <v>0.74097222222222225</v>
      </c>
      <c r="D7406" s="5"/>
      <c r="E7406" s="5"/>
      <c r="F7406" s="5" t="s">
        <v>9</v>
      </c>
      <c r="G7406" s="15" t="s">
        <v>8</v>
      </c>
      <c r="H7406" s="24">
        <f t="shared" si="1570"/>
        <v>0</v>
      </c>
      <c r="I7406" s="24" cm="1">
        <f t="array" ref="I7406">IFERROR(IF($B7406=I$1, ($A7406+$C7406) - MAX(IF($B$2:$B7405=$B7406, $A$2:$A7405+$C$2:$C7405)), "")*24*60, "")</f>
        <v>0</v>
      </c>
      <c r="J7406" s="24" t="str" cm="1">
        <f t="array" ref="J7406">IFERROR(IF($B7406=J$1, ($A7406+$C7406) - MAX(IF($B$2:$B7405=$B7406, $A$2:$A7405+$C$2:$C7405)), "")*24*60, "")</f>
        <v/>
      </c>
      <c r="K7406" s="24" t="str" cm="1">
        <f t="array" ref="K7406">IFERROR(IF($B7406=K$1, ($A7406+$C7406) - MAX(IF($B$2:$B7405=$B7406, $A$2:$A7405+$C$2:$C7405)), "")*24*60, "")</f>
        <v/>
      </c>
      <c r="L7406" s="24" t="str" cm="1">
        <f t="array" ref="L7406">IFERROR(IF($B7406=L$1, ($A7406+$C7406) - MAX(IF($B$2:$B7405=$B7406, $A$2:$A7405+$C$2:$C7405)), "")*24*60, "")</f>
        <v/>
      </c>
      <c r="M7406" s="24" t="str" cm="1">
        <f t="array" ref="M7406">IFERROR(IF($B7406=M$1, ($A7406+$C7406) - MAX(IF($B$2:$B7405=$B7406, $A$2:$A7405+$C$2:$C7405)), "")*24*60, "")</f>
        <v/>
      </c>
      <c r="N7406" s="24" t="str" cm="1">
        <f t="array" ref="N7406">IFERROR(IF($B7406=N$1, ($A7406+$C7406) - MAX(IF($B$2:$B7405=$B7406, $A$2:$A7405+$C$2:$C7405)), "")*24*60, "")</f>
        <v/>
      </c>
      <c r="O7406" s="24" t="str" cm="1">
        <f t="array" ref="O7406">IFERROR(IF($B7406=O$1, ($A7406+$C7406) - MAX(IF($B$2:$B7405=$B7406, $A$2:$A7405+$C$2:$C7405)), "")*24*60, "")</f>
        <v/>
      </c>
      <c r="P7406" s="24" t="str" cm="1">
        <f t="array" ref="P7406">IFERROR(IF($B7406=P$1, ($A7406+$C7406) - MAX(IF($B$2:$B7405=$B7406, $A$2:$A7405+$C$2:$C7405)), "")*24*60, "")</f>
        <v/>
      </c>
      <c r="Q7406" s="24" t="str" cm="1">
        <f t="array" ref="Q7406">IFERROR(IF($B7406=Q$1, ($A7406+$C7406) - MAX(IF($B$2:$B7405=$B7406, $A$2:$A7405+$C$2:$C7405)), "")*24*60, "")</f>
        <v/>
      </c>
      <c r="R7406" s="24" t="str" cm="1">
        <f t="array" ref="R7406">IFERROR(IF($B7406=R$1, ($A7406+$C7406) - MAX(IF($B$2:$B7405=$B7406, $A$2:$A7405+$C$2:$C7405)), "")*24*60, "")</f>
        <v/>
      </c>
      <c r="S7406" s="24" t="str" cm="1">
        <f t="array" ref="S7406">IFERROR(IF($B7406=S$1, ($A7406+$C7406) - MAX(IF($B$2:$B7405=$B7406, $A$2:$A7405+$C$2:$C7405)), "")*24*60, "")</f>
        <v/>
      </c>
    </row>
    <row r="7407" spans="1:19" x14ac:dyDescent="0.2">
      <c r="A7407" s="12">
        <f t="shared" ref="A7407:C7407" si="1590">A7406</f>
        <v>46015</v>
      </c>
      <c r="B7407" s="5" t="str">
        <f t="shared" si="1590"/>
        <v>Northern Cardinal</v>
      </c>
      <c r="C7407" s="6">
        <f t="shared" si="1590"/>
        <v>0.74097222222222225</v>
      </c>
      <c r="D7407" s="5"/>
      <c r="E7407" s="5"/>
      <c r="F7407" s="5" t="s">
        <v>9</v>
      </c>
      <c r="G7407" s="15" t="s">
        <v>8</v>
      </c>
      <c r="H7407" s="24">
        <f t="shared" si="1570"/>
        <v>0</v>
      </c>
      <c r="I7407" s="24" cm="1">
        <f t="array" ref="I7407">IFERROR(IF($B7407=I$1, ($A7407+$C7407) - MAX(IF($B$2:$B7406=$B7407, $A$2:$A7406+$C$2:$C7406)), "")*24*60, "")</f>
        <v>0</v>
      </c>
      <c r="J7407" s="24" t="str" cm="1">
        <f t="array" ref="J7407">IFERROR(IF($B7407=J$1, ($A7407+$C7407) - MAX(IF($B$2:$B7406=$B7407, $A$2:$A7406+$C$2:$C7406)), "")*24*60, "")</f>
        <v/>
      </c>
      <c r="K7407" s="24" t="str" cm="1">
        <f t="array" ref="K7407">IFERROR(IF($B7407=K$1, ($A7407+$C7407) - MAX(IF($B$2:$B7406=$B7407, $A$2:$A7406+$C$2:$C7406)), "")*24*60, "")</f>
        <v/>
      </c>
      <c r="L7407" s="24" t="str" cm="1">
        <f t="array" ref="L7407">IFERROR(IF($B7407=L$1, ($A7407+$C7407) - MAX(IF($B$2:$B7406=$B7407, $A$2:$A7406+$C$2:$C7406)), "")*24*60, "")</f>
        <v/>
      </c>
      <c r="M7407" s="24" t="str" cm="1">
        <f t="array" ref="M7407">IFERROR(IF($B7407=M$1, ($A7407+$C7407) - MAX(IF($B$2:$B7406=$B7407, $A$2:$A7406+$C$2:$C7406)), "")*24*60, "")</f>
        <v/>
      </c>
      <c r="N7407" s="24" t="str" cm="1">
        <f t="array" ref="N7407">IFERROR(IF($B7407=N$1, ($A7407+$C7407) - MAX(IF($B$2:$B7406=$B7407, $A$2:$A7406+$C$2:$C7406)), "")*24*60, "")</f>
        <v/>
      </c>
      <c r="O7407" s="24" t="str" cm="1">
        <f t="array" ref="O7407">IFERROR(IF($B7407=O$1, ($A7407+$C7407) - MAX(IF($B$2:$B7406=$B7407, $A$2:$A7406+$C$2:$C7406)), "")*24*60, "")</f>
        <v/>
      </c>
      <c r="P7407" s="24" t="str" cm="1">
        <f t="array" ref="P7407">IFERROR(IF($B7407=P$1, ($A7407+$C7407) - MAX(IF($B$2:$B7406=$B7407, $A$2:$A7406+$C$2:$C7406)), "")*24*60, "")</f>
        <v/>
      </c>
      <c r="Q7407" s="24" t="str" cm="1">
        <f t="array" ref="Q7407">IFERROR(IF($B7407=Q$1, ($A7407+$C7407) - MAX(IF($B$2:$B7406=$B7407, $A$2:$A7406+$C$2:$C7406)), "")*24*60, "")</f>
        <v/>
      </c>
      <c r="R7407" s="24" t="str" cm="1">
        <f t="array" ref="R7407">IFERROR(IF($B7407=R$1, ($A7407+$C7407) - MAX(IF($B$2:$B7406=$B7407, $A$2:$A7406+$C$2:$C7406)), "")*24*60, "")</f>
        <v/>
      </c>
      <c r="S7407" s="24" t="str" cm="1">
        <f t="array" ref="S7407">IFERROR(IF($B7407=S$1, ($A7407+$C7407) - MAX(IF($B$2:$B7406=$B7407, $A$2:$A7406+$C$2:$C7406)), "")*24*60, "")</f>
        <v/>
      </c>
    </row>
    <row r="7408" spans="1:19" x14ac:dyDescent="0.2">
      <c r="A7408" s="12">
        <f t="shared" ref="A7408:C7408" si="1591">A7407</f>
        <v>46015</v>
      </c>
      <c r="B7408" s="5" t="str">
        <f t="shared" si="1591"/>
        <v>Northern Cardinal</v>
      </c>
      <c r="C7408" s="6">
        <f t="shared" si="1591"/>
        <v>0.74097222222222225</v>
      </c>
      <c r="D7408" s="5"/>
      <c r="E7408" s="5"/>
      <c r="F7408" s="5" t="s">
        <v>9</v>
      </c>
      <c r="G7408" s="15" t="s">
        <v>8</v>
      </c>
      <c r="H7408" s="24">
        <f t="shared" si="1570"/>
        <v>0</v>
      </c>
      <c r="I7408" s="24" cm="1">
        <f t="array" ref="I7408">IFERROR(IF($B7408=I$1, ($A7408+$C7408) - MAX(IF($B$2:$B7407=$B7408, $A$2:$A7407+$C$2:$C7407)), "")*24*60, "")</f>
        <v>0</v>
      </c>
      <c r="J7408" s="24" t="str" cm="1">
        <f t="array" ref="J7408">IFERROR(IF($B7408=J$1, ($A7408+$C7408) - MAX(IF($B$2:$B7407=$B7408, $A$2:$A7407+$C$2:$C7407)), "")*24*60, "")</f>
        <v/>
      </c>
      <c r="K7408" s="24" t="str" cm="1">
        <f t="array" ref="K7408">IFERROR(IF($B7408=K$1, ($A7408+$C7408) - MAX(IF($B$2:$B7407=$B7408, $A$2:$A7407+$C$2:$C7407)), "")*24*60, "")</f>
        <v/>
      </c>
      <c r="L7408" s="24" t="str" cm="1">
        <f t="array" ref="L7408">IFERROR(IF($B7408=L$1, ($A7408+$C7408) - MAX(IF($B$2:$B7407=$B7408, $A$2:$A7407+$C$2:$C7407)), "")*24*60, "")</f>
        <v/>
      </c>
      <c r="M7408" s="24" t="str" cm="1">
        <f t="array" ref="M7408">IFERROR(IF($B7408=M$1, ($A7408+$C7408) - MAX(IF($B$2:$B7407=$B7408, $A$2:$A7407+$C$2:$C7407)), "")*24*60, "")</f>
        <v/>
      </c>
      <c r="N7408" s="24" t="str" cm="1">
        <f t="array" ref="N7408">IFERROR(IF($B7408=N$1, ($A7408+$C7408) - MAX(IF($B$2:$B7407=$B7408, $A$2:$A7407+$C$2:$C7407)), "")*24*60, "")</f>
        <v/>
      </c>
      <c r="O7408" s="24" t="str" cm="1">
        <f t="array" ref="O7408">IFERROR(IF($B7408=O$1, ($A7408+$C7408) - MAX(IF($B$2:$B7407=$B7408, $A$2:$A7407+$C$2:$C7407)), "")*24*60, "")</f>
        <v/>
      </c>
      <c r="P7408" s="24" t="str" cm="1">
        <f t="array" ref="P7408">IFERROR(IF($B7408=P$1, ($A7408+$C7408) - MAX(IF($B$2:$B7407=$B7408, $A$2:$A7407+$C$2:$C7407)), "")*24*60, "")</f>
        <v/>
      </c>
      <c r="Q7408" s="24" t="str" cm="1">
        <f t="array" ref="Q7408">IFERROR(IF($B7408=Q$1, ($A7408+$C7408) - MAX(IF($B$2:$B7407=$B7408, $A$2:$A7407+$C$2:$C7407)), "")*24*60, "")</f>
        <v/>
      </c>
      <c r="R7408" s="24" t="str" cm="1">
        <f t="array" ref="R7408">IFERROR(IF($B7408=R$1, ($A7408+$C7408) - MAX(IF($B$2:$B7407=$B7408, $A$2:$A7407+$C$2:$C7407)), "")*24*60, "")</f>
        <v/>
      </c>
      <c r="S7408" s="24" t="str" cm="1">
        <f t="array" ref="S7408">IFERROR(IF($B7408=S$1, ($A7408+$C7408) - MAX(IF($B$2:$B7407=$B7408, $A$2:$A7407+$C$2:$C7407)), "")*24*60, "")</f>
        <v/>
      </c>
    </row>
    <row r="7409" spans="1:19" x14ac:dyDescent="0.2">
      <c r="A7409" s="12">
        <f t="shared" ref="A7409:C7409" si="1592">A7408</f>
        <v>46015</v>
      </c>
      <c r="B7409" s="5" t="str">
        <f t="shared" si="1592"/>
        <v>Northern Cardinal</v>
      </c>
      <c r="C7409" s="6">
        <f t="shared" si="1592"/>
        <v>0.74097222222222225</v>
      </c>
      <c r="D7409" s="5"/>
      <c r="E7409" s="5"/>
      <c r="F7409" s="5" t="s">
        <v>9</v>
      </c>
      <c r="G7409" s="15" t="s">
        <v>8</v>
      </c>
      <c r="H7409" s="24">
        <f t="shared" si="1570"/>
        <v>0</v>
      </c>
      <c r="I7409" s="24" cm="1">
        <f t="array" ref="I7409">IFERROR(IF($B7409=I$1, ($A7409+$C7409) - MAX(IF($B$2:$B7408=$B7409, $A$2:$A7408+$C$2:$C7408)), "")*24*60, "")</f>
        <v>0</v>
      </c>
      <c r="J7409" s="24" t="str" cm="1">
        <f t="array" ref="J7409">IFERROR(IF($B7409=J$1, ($A7409+$C7409) - MAX(IF($B$2:$B7408=$B7409, $A$2:$A7408+$C$2:$C7408)), "")*24*60, "")</f>
        <v/>
      </c>
      <c r="K7409" s="24" t="str" cm="1">
        <f t="array" ref="K7409">IFERROR(IF($B7409=K$1, ($A7409+$C7409) - MAX(IF($B$2:$B7408=$B7409, $A$2:$A7408+$C$2:$C7408)), "")*24*60, "")</f>
        <v/>
      </c>
      <c r="L7409" s="24" t="str" cm="1">
        <f t="array" ref="L7409">IFERROR(IF($B7409=L$1, ($A7409+$C7409) - MAX(IF($B$2:$B7408=$B7409, $A$2:$A7408+$C$2:$C7408)), "")*24*60, "")</f>
        <v/>
      </c>
      <c r="M7409" s="24" t="str" cm="1">
        <f t="array" ref="M7409">IFERROR(IF($B7409=M$1, ($A7409+$C7409) - MAX(IF($B$2:$B7408=$B7409, $A$2:$A7408+$C$2:$C7408)), "")*24*60, "")</f>
        <v/>
      </c>
      <c r="N7409" s="24" t="str" cm="1">
        <f t="array" ref="N7409">IFERROR(IF($B7409=N$1, ($A7409+$C7409) - MAX(IF($B$2:$B7408=$B7409, $A$2:$A7408+$C$2:$C7408)), "")*24*60, "")</f>
        <v/>
      </c>
      <c r="O7409" s="24" t="str" cm="1">
        <f t="array" ref="O7409">IFERROR(IF($B7409=O$1, ($A7409+$C7409) - MAX(IF($B$2:$B7408=$B7409, $A$2:$A7408+$C$2:$C7408)), "")*24*60, "")</f>
        <v/>
      </c>
      <c r="P7409" s="24" t="str" cm="1">
        <f t="array" ref="P7409">IFERROR(IF($B7409=P$1, ($A7409+$C7409) - MAX(IF($B$2:$B7408=$B7409, $A$2:$A7408+$C$2:$C7408)), "")*24*60, "")</f>
        <v/>
      </c>
      <c r="Q7409" s="24" t="str" cm="1">
        <f t="array" ref="Q7409">IFERROR(IF($B7409=Q$1, ($A7409+$C7409) - MAX(IF($B$2:$B7408=$B7409, $A$2:$A7408+$C$2:$C7408)), "")*24*60, "")</f>
        <v/>
      </c>
      <c r="R7409" s="24" t="str" cm="1">
        <f t="array" ref="R7409">IFERROR(IF($B7409=R$1, ($A7409+$C7409) - MAX(IF($B$2:$B7408=$B7409, $A$2:$A7408+$C$2:$C7408)), "")*24*60, "")</f>
        <v/>
      </c>
      <c r="S7409" s="24" t="str" cm="1">
        <f t="array" ref="S7409">IFERROR(IF($B7409=S$1, ($A7409+$C7409) - MAX(IF($B$2:$B7408=$B7409, $A$2:$A7408+$C$2:$C7408)), "")*24*60, "")</f>
        <v/>
      </c>
    </row>
    <row r="7410" spans="1:19" x14ac:dyDescent="0.2">
      <c r="A7410" s="12">
        <f t="shared" ref="A7410:C7410" si="1593">A7409</f>
        <v>46015</v>
      </c>
      <c r="B7410" s="5" t="str">
        <f t="shared" si="1593"/>
        <v>Northern Cardinal</v>
      </c>
      <c r="C7410" s="6">
        <f t="shared" si="1593"/>
        <v>0.74097222222222225</v>
      </c>
      <c r="D7410" s="5"/>
      <c r="E7410" s="5"/>
      <c r="F7410" s="5" t="s">
        <v>9</v>
      </c>
      <c r="G7410" s="15" t="s">
        <v>8</v>
      </c>
      <c r="H7410" s="24">
        <f t="shared" si="1570"/>
        <v>0</v>
      </c>
      <c r="I7410" s="24" cm="1">
        <f t="array" ref="I7410">IFERROR(IF($B7410=I$1, ($A7410+$C7410) - MAX(IF($B$2:$B7409=$B7410, $A$2:$A7409+$C$2:$C7409)), "")*24*60, "")</f>
        <v>0</v>
      </c>
      <c r="J7410" s="24" t="str" cm="1">
        <f t="array" ref="J7410">IFERROR(IF($B7410=J$1, ($A7410+$C7410) - MAX(IF($B$2:$B7409=$B7410, $A$2:$A7409+$C$2:$C7409)), "")*24*60, "")</f>
        <v/>
      </c>
      <c r="K7410" s="24" t="str" cm="1">
        <f t="array" ref="K7410">IFERROR(IF($B7410=K$1, ($A7410+$C7410) - MAX(IF($B$2:$B7409=$B7410, $A$2:$A7409+$C$2:$C7409)), "")*24*60, "")</f>
        <v/>
      </c>
      <c r="L7410" s="24" t="str" cm="1">
        <f t="array" ref="L7410">IFERROR(IF($B7410=L$1, ($A7410+$C7410) - MAX(IF($B$2:$B7409=$B7410, $A$2:$A7409+$C$2:$C7409)), "")*24*60, "")</f>
        <v/>
      </c>
      <c r="M7410" s="24" t="str" cm="1">
        <f t="array" ref="M7410">IFERROR(IF($B7410=M$1, ($A7410+$C7410) - MAX(IF($B$2:$B7409=$B7410, $A$2:$A7409+$C$2:$C7409)), "")*24*60, "")</f>
        <v/>
      </c>
      <c r="N7410" s="24" t="str" cm="1">
        <f t="array" ref="N7410">IFERROR(IF($B7410=N$1, ($A7410+$C7410) - MAX(IF($B$2:$B7409=$B7410, $A$2:$A7409+$C$2:$C7409)), "")*24*60, "")</f>
        <v/>
      </c>
      <c r="O7410" s="24" t="str" cm="1">
        <f t="array" ref="O7410">IFERROR(IF($B7410=O$1, ($A7410+$C7410) - MAX(IF($B$2:$B7409=$B7410, $A$2:$A7409+$C$2:$C7409)), "")*24*60, "")</f>
        <v/>
      </c>
      <c r="P7410" s="24" t="str" cm="1">
        <f t="array" ref="P7410">IFERROR(IF($B7410=P$1, ($A7410+$C7410) - MAX(IF($B$2:$B7409=$B7410, $A$2:$A7409+$C$2:$C7409)), "")*24*60, "")</f>
        <v/>
      </c>
      <c r="Q7410" s="24" t="str" cm="1">
        <f t="array" ref="Q7410">IFERROR(IF($B7410=Q$1, ($A7410+$C7410) - MAX(IF($B$2:$B7409=$B7410, $A$2:$A7409+$C$2:$C7409)), "")*24*60, "")</f>
        <v/>
      </c>
      <c r="R7410" s="24" t="str" cm="1">
        <f t="array" ref="R7410">IFERROR(IF($B7410=R$1, ($A7410+$C7410) - MAX(IF($B$2:$B7409=$B7410, $A$2:$A7409+$C$2:$C7409)), "")*24*60, "")</f>
        <v/>
      </c>
      <c r="S7410" s="24" t="str" cm="1">
        <f t="array" ref="S7410">IFERROR(IF($B7410=S$1, ($A7410+$C7410) - MAX(IF($B$2:$B7409=$B7410, $A$2:$A7409+$C$2:$C7409)), "")*24*60, "")</f>
        <v/>
      </c>
    </row>
    <row r="7411" spans="1:19" x14ac:dyDescent="0.2">
      <c r="A7411" s="12">
        <f t="shared" ref="A7411:C7411" si="1594">A7410</f>
        <v>46015</v>
      </c>
      <c r="B7411" s="5" t="str">
        <f t="shared" si="1594"/>
        <v>Northern Cardinal</v>
      </c>
      <c r="C7411" s="6">
        <f t="shared" si="1594"/>
        <v>0.74097222222222225</v>
      </c>
      <c r="D7411" s="5"/>
      <c r="E7411" s="5"/>
      <c r="F7411" s="5" t="s">
        <v>9</v>
      </c>
      <c r="G7411" s="15" t="s">
        <v>8</v>
      </c>
      <c r="H7411" s="24">
        <f t="shared" si="1570"/>
        <v>0</v>
      </c>
      <c r="I7411" s="24" cm="1">
        <f t="array" ref="I7411">IFERROR(IF($B7411=I$1, ($A7411+$C7411) - MAX(IF($B$2:$B7410=$B7411, $A$2:$A7410+$C$2:$C7410)), "")*24*60, "")</f>
        <v>0</v>
      </c>
      <c r="J7411" s="24" t="str" cm="1">
        <f t="array" ref="J7411">IFERROR(IF($B7411=J$1, ($A7411+$C7411) - MAX(IF($B$2:$B7410=$B7411, $A$2:$A7410+$C$2:$C7410)), "")*24*60, "")</f>
        <v/>
      </c>
      <c r="K7411" s="24" t="str" cm="1">
        <f t="array" ref="K7411">IFERROR(IF($B7411=K$1, ($A7411+$C7411) - MAX(IF($B$2:$B7410=$B7411, $A$2:$A7410+$C$2:$C7410)), "")*24*60, "")</f>
        <v/>
      </c>
      <c r="L7411" s="24" t="str" cm="1">
        <f t="array" ref="L7411">IFERROR(IF($B7411=L$1, ($A7411+$C7411) - MAX(IF($B$2:$B7410=$B7411, $A$2:$A7410+$C$2:$C7410)), "")*24*60, "")</f>
        <v/>
      </c>
      <c r="M7411" s="24" t="str" cm="1">
        <f t="array" ref="M7411">IFERROR(IF($B7411=M$1, ($A7411+$C7411) - MAX(IF($B$2:$B7410=$B7411, $A$2:$A7410+$C$2:$C7410)), "")*24*60, "")</f>
        <v/>
      </c>
      <c r="N7411" s="24" t="str" cm="1">
        <f t="array" ref="N7411">IFERROR(IF($B7411=N$1, ($A7411+$C7411) - MAX(IF($B$2:$B7410=$B7411, $A$2:$A7410+$C$2:$C7410)), "")*24*60, "")</f>
        <v/>
      </c>
      <c r="O7411" s="24" t="str" cm="1">
        <f t="array" ref="O7411">IFERROR(IF($B7411=O$1, ($A7411+$C7411) - MAX(IF($B$2:$B7410=$B7411, $A$2:$A7410+$C$2:$C7410)), "")*24*60, "")</f>
        <v/>
      </c>
      <c r="P7411" s="24" t="str" cm="1">
        <f t="array" ref="P7411">IFERROR(IF($B7411=P$1, ($A7411+$C7411) - MAX(IF($B$2:$B7410=$B7411, $A$2:$A7410+$C$2:$C7410)), "")*24*60, "")</f>
        <v/>
      </c>
      <c r="Q7411" s="24" t="str" cm="1">
        <f t="array" ref="Q7411">IFERROR(IF($B7411=Q$1, ($A7411+$C7411) - MAX(IF($B$2:$B7410=$B7411, $A$2:$A7410+$C$2:$C7410)), "")*24*60, "")</f>
        <v/>
      </c>
      <c r="R7411" s="24" t="str" cm="1">
        <f t="array" ref="R7411">IFERROR(IF($B7411=R$1, ($A7411+$C7411) - MAX(IF($B$2:$B7410=$B7411, $A$2:$A7410+$C$2:$C7410)), "")*24*60, "")</f>
        <v/>
      </c>
      <c r="S7411" s="24" t="str" cm="1">
        <f t="array" ref="S7411">IFERROR(IF($B7411=S$1, ($A7411+$C7411) - MAX(IF($B$2:$B7410=$B7411, $A$2:$A7410+$C$2:$C7410)), "")*24*60, "")</f>
        <v/>
      </c>
    </row>
    <row r="7412" spans="1:19" x14ac:dyDescent="0.2">
      <c r="A7412" s="12">
        <f t="shared" ref="A7412:C7412" si="1595">A7411</f>
        <v>46015</v>
      </c>
      <c r="B7412" s="5" t="str">
        <f t="shared" si="1595"/>
        <v>Northern Cardinal</v>
      </c>
      <c r="C7412" s="6">
        <f t="shared" si="1595"/>
        <v>0.74097222222222225</v>
      </c>
      <c r="D7412" s="5"/>
      <c r="E7412" s="5"/>
      <c r="F7412" s="5" t="s">
        <v>9</v>
      </c>
      <c r="G7412" s="15" t="s">
        <v>8</v>
      </c>
      <c r="H7412" s="24">
        <f t="shared" si="1570"/>
        <v>0</v>
      </c>
      <c r="I7412" s="24" cm="1">
        <f t="array" ref="I7412">IFERROR(IF($B7412=I$1, ($A7412+$C7412) - MAX(IF($B$2:$B7411=$B7412, $A$2:$A7411+$C$2:$C7411)), "")*24*60, "")</f>
        <v>0</v>
      </c>
      <c r="J7412" s="24" t="str" cm="1">
        <f t="array" ref="J7412">IFERROR(IF($B7412=J$1, ($A7412+$C7412) - MAX(IF($B$2:$B7411=$B7412, $A$2:$A7411+$C$2:$C7411)), "")*24*60, "")</f>
        <v/>
      </c>
      <c r="K7412" s="24" t="str" cm="1">
        <f t="array" ref="K7412">IFERROR(IF($B7412=K$1, ($A7412+$C7412) - MAX(IF($B$2:$B7411=$B7412, $A$2:$A7411+$C$2:$C7411)), "")*24*60, "")</f>
        <v/>
      </c>
      <c r="L7412" s="24" t="str" cm="1">
        <f t="array" ref="L7412">IFERROR(IF($B7412=L$1, ($A7412+$C7412) - MAX(IF($B$2:$B7411=$B7412, $A$2:$A7411+$C$2:$C7411)), "")*24*60, "")</f>
        <v/>
      </c>
      <c r="M7412" s="24" t="str" cm="1">
        <f t="array" ref="M7412">IFERROR(IF($B7412=M$1, ($A7412+$C7412) - MAX(IF($B$2:$B7411=$B7412, $A$2:$A7411+$C$2:$C7411)), "")*24*60, "")</f>
        <v/>
      </c>
      <c r="N7412" s="24" t="str" cm="1">
        <f t="array" ref="N7412">IFERROR(IF($B7412=N$1, ($A7412+$C7412) - MAX(IF($B$2:$B7411=$B7412, $A$2:$A7411+$C$2:$C7411)), "")*24*60, "")</f>
        <v/>
      </c>
      <c r="O7412" s="24" t="str" cm="1">
        <f t="array" ref="O7412">IFERROR(IF($B7412=O$1, ($A7412+$C7412) - MAX(IF($B$2:$B7411=$B7412, $A$2:$A7411+$C$2:$C7411)), "")*24*60, "")</f>
        <v/>
      </c>
      <c r="P7412" s="24" t="str" cm="1">
        <f t="array" ref="P7412">IFERROR(IF($B7412=P$1, ($A7412+$C7412) - MAX(IF($B$2:$B7411=$B7412, $A$2:$A7411+$C$2:$C7411)), "")*24*60, "")</f>
        <v/>
      </c>
      <c r="Q7412" s="24" t="str" cm="1">
        <f t="array" ref="Q7412">IFERROR(IF($B7412=Q$1, ($A7412+$C7412) - MAX(IF($B$2:$B7411=$B7412, $A$2:$A7411+$C$2:$C7411)), "")*24*60, "")</f>
        <v/>
      </c>
      <c r="R7412" s="24" t="str" cm="1">
        <f t="array" ref="R7412">IFERROR(IF($B7412=R$1, ($A7412+$C7412) - MAX(IF($B$2:$B7411=$B7412, $A$2:$A7411+$C$2:$C7411)), "")*24*60, "")</f>
        <v/>
      </c>
      <c r="S7412" s="24" t="str" cm="1">
        <f t="array" ref="S7412">IFERROR(IF($B7412=S$1, ($A7412+$C7412) - MAX(IF($B$2:$B7411=$B7412, $A$2:$A7411+$C$2:$C7411)), "")*24*60, "")</f>
        <v/>
      </c>
    </row>
    <row r="7413" spans="1:19" x14ac:dyDescent="0.2">
      <c r="A7413" s="12">
        <f t="shared" ref="A7413:C7413" si="1596">A7412</f>
        <v>46015</v>
      </c>
      <c r="B7413" s="5" t="str">
        <f t="shared" si="1596"/>
        <v>Northern Cardinal</v>
      </c>
      <c r="C7413" s="6">
        <f t="shared" si="1596"/>
        <v>0.74097222222222225</v>
      </c>
      <c r="D7413" s="5"/>
      <c r="E7413" s="5"/>
      <c r="F7413" s="5" t="s">
        <v>9</v>
      </c>
      <c r="G7413" s="15" t="s">
        <v>8</v>
      </c>
      <c r="H7413" s="24">
        <f t="shared" si="1570"/>
        <v>0</v>
      </c>
      <c r="I7413" s="24" cm="1">
        <f t="array" ref="I7413">IFERROR(IF($B7413=I$1, ($A7413+$C7413) - MAX(IF($B$2:$B7412=$B7413, $A$2:$A7412+$C$2:$C7412)), "")*24*60, "")</f>
        <v>0</v>
      </c>
      <c r="J7413" s="24" t="str" cm="1">
        <f t="array" ref="J7413">IFERROR(IF($B7413=J$1, ($A7413+$C7413) - MAX(IF($B$2:$B7412=$B7413, $A$2:$A7412+$C$2:$C7412)), "")*24*60, "")</f>
        <v/>
      </c>
      <c r="K7413" s="24" t="str" cm="1">
        <f t="array" ref="K7413">IFERROR(IF($B7413=K$1, ($A7413+$C7413) - MAX(IF($B$2:$B7412=$B7413, $A$2:$A7412+$C$2:$C7412)), "")*24*60, "")</f>
        <v/>
      </c>
      <c r="L7413" s="24" t="str" cm="1">
        <f t="array" ref="L7413">IFERROR(IF($B7413=L$1, ($A7413+$C7413) - MAX(IF($B$2:$B7412=$B7413, $A$2:$A7412+$C$2:$C7412)), "")*24*60, "")</f>
        <v/>
      </c>
      <c r="M7413" s="24" t="str" cm="1">
        <f t="array" ref="M7413">IFERROR(IF($B7413=M$1, ($A7413+$C7413) - MAX(IF($B$2:$B7412=$B7413, $A$2:$A7412+$C$2:$C7412)), "")*24*60, "")</f>
        <v/>
      </c>
      <c r="N7413" s="24" t="str" cm="1">
        <f t="array" ref="N7413">IFERROR(IF($B7413=N$1, ($A7413+$C7413) - MAX(IF($B$2:$B7412=$B7413, $A$2:$A7412+$C$2:$C7412)), "")*24*60, "")</f>
        <v/>
      </c>
      <c r="O7413" s="24" t="str" cm="1">
        <f t="array" ref="O7413">IFERROR(IF($B7413=O$1, ($A7413+$C7413) - MAX(IF($B$2:$B7412=$B7413, $A$2:$A7412+$C$2:$C7412)), "")*24*60, "")</f>
        <v/>
      </c>
      <c r="P7413" s="24" t="str" cm="1">
        <f t="array" ref="P7413">IFERROR(IF($B7413=P$1, ($A7413+$C7413) - MAX(IF($B$2:$B7412=$B7413, $A$2:$A7412+$C$2:$C7412)), "")*24*60, "")</f>
        <v/>
      </c>
      <c r="Q7413" s="24" t="str" cm="1">
        <f t="array" ref="Q7413">IFERROR(IF($B7413=Q$1, ($A7413+$C7413) - MAX(IF($B$2:$B7412=$B7413, $A$2:$A7412+$C$2:$C7412)), "")*24*60, "")</f>
        <v/>
      </c>
      <c r="R7413" s="24" t="str" cm="1">
        <f t="array" ref="R7413">IFERROR(IF($B7413=R$1, ($A7413+$C7413) - MAX(IF($B$2:$B7412=$B7413, $A$2:$A7412+$C$2:$C7412)), "")*24*60, "")</f>
        <v/>
      </c>
      <c r="S7413" s="24" t="str" cm="1">
        <f t="array" ref="S7413">IFERROR(IF($B7413=S$1, ($A7413+$C7413) - MAX(IF($B$2:$B7412=$B7413, $A$2:$A7412+$C$2:$C7412)), "")*24*60, "")</f>
        <v/>
      </c>
    </row>
    <row r="7414" spans="1:19" x14ac:dyDescent="0.2">
      <c r="A7414" s="12">
        <f t="shared" ref="A7414:C7414" si="1597">A7413</f>
        <v>46015</v>
      </c>
      <c r="B7414" s="5" t="str">
        <f t="shared" si="1597"/>
        <v>Northern Cardinal</v>
      </c>
      <c r="C7414" s="6">
        <f t="shared" si="1597"/>
        <v>0.74097222222222225</v>
      </c>
      <c r="D7414" s="5"/>
      <c r="E7414" s="5"/>
      <c r="F7414" s="5" t="s">
        <v>9</v>
      </c>
      <c r="G7414" s="15" t="s">
        <v>8</v>
      </c>
      <c r="H7414" s="24">
        <f t="shared" si="1570"/>
        <v>0</v>
      </c>
      <c r="I7414" s="24" cm="1">
        <f t="array" ref="I7414">IFERROR(IF($B7414=I$1, ($A7414+$C7414) - MAX(IF($B$2:$B7413=$B7414, $A$2:$A7413+$C$2:$C7413)), "")*24*60, "")</f>
        <v>0</v>
      </c>
      <c r="J7414" s="24" t="str" cm="1">
        <f t="array" ref="J7414">IFERROR(IF($B7414=J$1, ($A7414+$C7414) - MAX(IF($B$2:$B7413=$B7414, $A$2:$A7413+$C$2:$C7413)), "")*24*60, "")</f>
        <v/>
      </c>
      <c r="K7414" s="24" t="str" cm="1">
        <f t="array" ref="K7414">IFERROR(IF($B7414=K$1, ($A7414+$C7414) - MAX(IF($B$2:$B7413=$B7414, $A$2:$A7413+$C$2:$C7413)), "")*24*60, "")</f>
        <v/>
      </c>
      <c r="L7414" s="24" t="str" cm="1">
        <f t="array" ref="L7414">IFERROR(IF($B7414=L$1, ($A7414+$C7414) - MAX(IF($B$2:$B7413=$B7414, $A$2:$A7413+$C$2:$C7413)), "")*24*60, "")</f>
        <v/>
      </c>
      <c r="M7414" s="24" t="str" cm="1">
        <f t="array" ref="M7414">IFERROR(IF($B7414=M$1, ($A7414+$C7414) - MAX(IF($B$2:$B7413=$B7414, $A$2:$A7413+$C$2:$C7413)), "")*24*60, "")</f>
        <v/>
      </c>
      <c r="N7414" s="24" t="str" cm="1">
        <f t="array" ref="N7414">IFERROR(IF($B7414=N$1, ($A7414+$C7414) - MAX(IF($B$2:$B7413=$B7414, $A$2:$A7413+$C$2:$C7413)), "")*24*60, "")</f>
        <v/>
      </c>
      <c r="O7414" s="24" t="str" cm="1">
        <f t="array" ref="O7414">IFERROR(IF($B7414=O$1, ($A7414+$C7414) - MAX(IF($B$2:$B7413=$B7414, $A$2:$A7413+$C$2:$C7413)), "")*24*60, "")</f>
        <v/>
      </c>
      <c r="P7414" s="24" t="str" cm="1">
        <f t="array" ref="P7414">IFERROR(IF($B7414=P$1, ($A7414+$C7414) - MAX(IF($B$2:$B7413=$B7414, $A$2:$A7413+$C$2:$C7413)), "")*24*60, "")</f>
        <v/>
      </c>
      <c r="Q7414" s="24" t="str" cm="1">
        <f t="array" ref="Q7414">IFERROR(IF($B7414=Q$1, ($A7414+$C7414) - MAX(IF($B$2:$B7413=$B7414, $A$2:$A7413+$C$2:$C7413)), "")*24*60, "")</f>
        <v/>
      </c>
      <c r="R7414" s="24" t="str" cm="1">
        <f t="array" ref="R7414">IFERROR(IF($B7414=R$1, ($A7414+$C7414) - MAX(IF($B$2:$B7413=$B7414, $A$2:$A7413+$C$2:$C7413)), "")*24*60, "")</f>
        <v/>
      </c>
      <c r="S7414" s="24" t="str" cm="1">
        <f t="array" ref="S7414">IFERROR(IF($B7414=S$1, ($A7414+$C7414) - MAX(IF($B$2:$B7413=$B7414, $A$2:$A7413+$C$2:$C7413)), "")*24*60, "")</f>
        <v/>
      </c>
    </row>
    <row r="7415" spans="1:19" x14ac:dyDescent="0.2">
      <c r="A7415" s="12">
        <f t="shared" ref="A7415:C7415" si="1598">A7414</f>
        <v>46015</v>
      </c>
      <c r="B7415" s="5" t="str">
        <f t="shared" si="1598"/>
        <v>Northern Cardinal</v>
      </c>
      <c r="C7415" s="6">
        <f t="shared" si="1598"/>
        <v>0.74097222222222225</v>
      </c>
      <c r="D7415" s="5"/>
      <c r="E7415" s="5"/>
      <c r="F7415" s="5" t="s">
        <v>9</v>
      </c>
      <c r="G7415" s="15" t="s">
        <v>8</v>
      </c>
      <c r="H7415" s="24">
        <f t="shared" si="1570"/>
        <v>0</v>
      </c>
      <c r="I7415" s="24" cm="1">
        <f t="array" ref="I7415">IFERROR(IF($B7415=I$1, ($A7415+$C7415) - MAX(IF($B$2:$B7414=$B7415, $A$2:$A7414+$C$2:$C7414)), "")*24*60, "")</f>
        <v>0</v>
      </c>
      <c r="J7415" s="24" t="str" cm="1">
        <f t="array" ref="J7415">IFERROR(IF($B7415=J$1, ($A7415+$C7415) - MAX(IF($B$2:$B7414=$B7415, $A$2:$A7414+$C$2:$C7414)), "")*24*60, "")</f>
        <v/>
      </c>
      <c r="K7415" s="24" t="str" cm="1">
        <f t="array" ref="K7415">IFERROR(IF($B7415=K$1, ($A7415+$C7415) - MAX(IF($B$2:$B7414=$B7415, $A$2:$A7414+$C$2:$C7414)), "")*24*60, "")</f>
        <v/>
      </c>
      <c r="L7415" s="24" t="str" cm="1">
        <f t="array" ref="L7415">IFERROR(IF($B7415=L$1, ($A7415+$C7415) - MAX(IF($B$2:$B7414=$B7415, $A$2:$A7414+$C$2:$C7414)), "")*24*60, "")</f>
        <v/>
      </c>
      <c r="M7415" s="24" t="str" cm="1">
        <f t="array" ref="M7415">IFERROR(IF($B7415=M$1, ($A7415+$C7415) - MAX(IF($B$2:$B7414=$B7415, $A$2:$A7414+$C$2:$C7414)), "")*24*60, "")</f>
        <v/>
      </c>
      <c r="N7415" s="24" t="str" cm="1">
        <f t="array" ref="N7415">IFERROR(IF($B7415=N$1, ($A7415+$C7415) - MAX(IF($B$2:$B7414=$B7415, $A$2:$A7414+$C$2:$C7414)), "")*24*60, "")</f>
        <v/>
      </c>
      <c r="O7415" s="24" t="str" cm="1">
        <f t="array" ref="O7415">IFERROR(IF($B7415=O$1, ($A7415+$C7415) - MAX(IF($B$2:$B7414=$B7415, $A$2:$A7414+$C$2:$C7414)), "")*24*60, "")</f>
        <v/>
      </c>
      <c r="P7415" s="24" t="str" cm="1">
        <f t="array" ref="P7415">IFERROR(IF($B7415=P$1, ($A7415+$C7415) - MAX(IF($B$2:$B7414=$B7415, $A$2:$A7414+$C$2:$C7414)), "")*24*60, "")</f>
        <v/>
      </c>
      <c r="Q7415" s="24" t="str" cm="1">
        <f t="array" ref="Q7415">IFERROR(IF($B7415=Q$1, ($A7415+$C7415) - MAX(IF($B$2:$B7414=$B7415, $A$2:$A7414+$C$2:$C7414)), "")*24*60, "")</f>
        <v/>
      </c>
      <c r="R7415" s="24" t="str" cm="1">
        <f t="array" ref="R7415">IFERROR(IF($B7415=R$1, ($A7415+$C7415) - MAX(IF($B$2:$B7414=$B7415, $A$2:$A7414+$C$2:$C7414)), "")*24*60, "")</f>
        <v/>
      </c>
      <c r="S7415" s="24" t="str" cm="1">
        <f t="array" ref="S7415">IFERROR(IF($B7415=S$1, ($A7415+$C7415) - MAX(IF($B$2:$B7414=$B7415, $A$2:$A7414+$C$2:$C7414)), "")*24*60, "")</f>
        <v/>
      </c>
    </row>
    <row r="7416" spans="1:19" x14ac:dyDescent="0.2">
      <c r="A7416" s="12">
        <f t="shared" ref="A7416:C7416" si="1599">A7415</f>
        <v>46015</v>
      </c>
      <c r="B7416" s="5" t="str">
        <f t="shared" si="1599"/>
        <v>Northern Cardinal</v>
      </c>
      <c r="C7416" s="6">
        <f t="shared" si="1599"/>
        <v>0.74097222222222225</v>
      </c>
      <c r="D7416" s="5"/>
      <c r="E7416" s="5"/>
      <c r="F7416" s="5" t="s">
        <v>9</v>
      </c>
      <c r="G7416" s="15" t="s">
        <v>8</v>
      </c>
      <c r="H7416" s="24">
        <f t="shared" si="1570"/>
        <v>0</v>
      </c>
      <c r="I7416" s="24" cm="1">
        <f t="array" ref="I7416">IFERROR(IF($B7416=I$1, ($A7416+$C7416) - MAX(IF($B$2:$B7415=$B7416, $A$2:$A7415+$C$2:$C7415)), "")*24*60, "")</f>
        <v>0</v>
      </c>
      <c r="J7416" s="24" t="str" cm="1">
        <f t="array" ref="J7416">IFERROR(IF($B7416=J$1, ($A7416+$C7416) - MAX(IF($B$2:$B7415=$B7416, $A$2:$A7415+$C$2:$C7415)), "")*24*60, "")</f>
        <v/>
      </c>
      <c r="K7416" s="24" t="str" cm="1">
        <f t="array" ref="K7416">IFERROR(IF($B7416=K$1, ($A7416+$C7416) - MAX(IF($B$2:$B7415=$B7416, $A$2:$A7415+$C$2:$C7415)), "")*24*60, "")</f>
        <v/>
      </c>
      <c r="L7416" s="24" t="str" cm="1">
        <f t="array" ref="L7416">IFERROR(IF($B7416=L$1, ($A7416+$C7416) - MAX(IF($B$2:$B7415=$B7416, $A$2:$A7415+$C$2:$C7415)), "")*24*60, "")</f>
        <v/>
      </c>
      <c r="M7416" s="24" t="str" cm="1">
        <f t="array" ref="M7416">IFERROR(IF($B7416=M$1, ($A7416+$C7416) - MAX(IF($B$2:$B7415=$B7416, $A$2:$A7415+$C$2:$C7415)), "")*24*60, "")</f>
        <v/>
      </c>
      <c r="N7416" s="24" t="str" cm="1">
        <f t="array" ref="N7416">IFERROR(IF($B7416=N$1, ($A7416+$C7416) - MAX(IF($B$2:$B7415=$B7416, $A$2:$A7415+$C$2:$C7415)), "")*24*60, "")</f>
        <v/>
      </c>
      <c r="O7416" s="24" t="str" cm="1">
        <f t="array" ref="O7416">IFERROR(IF($B7416=O$1, ($A7416+$C7416) - MAX(IF($B$2:$B7415=$B7416, $A$2:$A7415+$C$2:$C7415)), "")*24*60, "")</f>
        <v/>
      </c>
      <c r="P7416" s="24" t="str" cm="1">
        <f t="array" ref="P7416">IFERROR(IF($B7416=P$1, ($A7416+$C7416) - MAX(IF($B$2:$B7415=$B7416, $A$2:$A7415+$C$2:$C7415)), "")*24*60, "")</f>
        <v/>
      </c>
      <c r="Q7416" s="24" t="str" cm="1">
        <f t="array" ref="Q7416">IFERROR(IF($B7416=Q$1, ($A7416+$C7416) - MAX(IF($B$2:$B7415=$B7416, $A$2:$A7415+$C$2:$C7415)), "")*24*60, "")</f>
        <v/>
      </c>
      <c r="R7416" s="24" t="str" cm="1">
        <f t="array" ref="R7416">IFERROR(IF($B7416=R$1, ($A7416+$C7416) - MAX(IF($B$2:$B7415=$B7416, $A$2:$A7415+$C$2:$C7415)), "")*24*60, "")</f>
        <v/>
      </c>
      <c r="S7416" s="24" t="str" cm="1">
        <f t="array" ref="S7416">IFERROR(IF($B7416=S$1, ($A7416+$C7416) - MAX(IF($B$2:$B7415=$B7416, $A$2:$A7415+$C$2:$C7415)), "")*24*60, "")</f>
        <v/>
      </c>
    </row>
    <row r="7417" spans="1:19" x14ac:dyDescent="0.2">
      <c r="A7417" s="12">
        <f t="shared" ref="A7417:C7417" si="1600">A7416</f>
        <v>46015</v>
      </c>
      <c r="B7417" s="5" t="str">
        <f t="shared" si="1600"/>
        <v>Northern Cardinal</v>
      </c>
      <c r="C7417" s="6">
        <f t="shared" si="1600"/>
        <v>0.74097222222222225</v>
      </c>
      <c r="D7417" s="5"/>
      <c r="E7417" s="5"/>
      <c r="F7417" s="5" t="s">
        <v>9</v>
      </c>
      <c r="G7417" s="15" t="s">
        <v>8</v>
      </c>
      <c r="H7417" s="24">
        <f t="shared" si="1570"/>
        <v>0</v>
      </c>
      <c r="I7417" s="24" cm="1">
        <f t="array" ref="I7417">IFERROR(IF($B7417=I$1, ($A7417+$C7417) - MAX(IF($B$2:$B7416=$B7417, $A$2:$A7416+$C$2:$C7416)), "")*24*60, "")</f>
        <v>0</v>
      </c>
      <c r="J7417" s="24" t="str" cm="1">
        <f t="array" ref="J7417">IFERROR(IF($B7417=J$1, ($A7417+$C7417) - MAX(IF($B$2:$B7416=$B7417, $A$2:$A7416+$C$2:$C7416)), "")*24*60, "")</f>
        <v/>
      </c>
      <c r="K7417" s="24" t="str" cm="1">
        <f t="array" ref="K7417">IFERROR(IF($B7417=K$1, ($A7417+$C7417) - MAX(IF($B$2:$B7416=$B7417, $A$2:$A7416+$C$2:$C7416)), "")*24*60, "")</f>
        <v/>
      </c>
      <c r="L7417" s="24" t="str" cm="1">
        <f t="array" ref="L7417">IFERROR(IF($B7417=L$1, ($A7417+$C7417) - MAX(IF($B$2:$B7416=$B7417, $A$2:$A7416+$C$2:$C7416)), "")*24*60, "")</f>
        <v/>
      </c>
      <c r="M7417" s="24" t="str" cm="1">
        <f t="array" ref="M7417">IFERROR(IF($B7417=M$1, ($A7417+$C7417) - MAX(IF($B$2:$B7416=$B7417, $A$2:$A7416+$C$2:$C7416)), "")*24*60, "")</f>
        <v/>
      </c>
      <c r="N7417" s="24" t="str" cm="1">
        <f t="array" ref="N7417">IFERROR(IF($B7417=N$1, ($A7417+$C7417) - MAX(IF($B$2:$B7416=$B7417, $A$2:$A7416+$C$2:$C7416)), "")*24*60, "")</f>
        <v/>
      </c>
      <c r="O7417" s="24" t="str" cm="1">
        <f t="array" ref="O7417">IFERROR(IF($B7417=O$1, ($A7417+$C7417) - MAX(IF($B$2:$B7416=$B7417, $A$2:$A7416+$C$2:$C7416)), "")*24*60, "")</f>
        <v/>
      </c>
      <c r="P7417" s="24" t="str" cm="1">
        <f t="array" ref="P7417">IFERROR(IF($B7417=P$1, ($A7417+$C7417) - MAX(IF($B$2:$B7416=$B7417, $A$2:$A7416+$C$2:$C7416)), "")*24*60, "")</f>
        <v/>
      </c>
      <c r="Q7417" s="24" t="str" cm="1">
        <f t="array" ref="Q7417">IFERROR(IF($B7417=Q$1, ($A7417+$C7417) - MAX(IF($B$2:$B7416=$B7417, $A$2:$A7416+$C$2:$C7416)), "")*24*60, "")</f>
        <v/>
      </c>
      <c r="R7417" s="24" t="str" cm="1">
        <f t="array" ref="R7417">IFERROR(IF($B7417=R$1, ($A7417+$C7417) - MAX(IF($B$2:$B7416=$B7417, $A$2:$A7416+$C$2:$C7416)), "")*24*60, "")</f>
        <v/>
      </c>
      <c r="S7417" s="24" t="str" cm="1">
        <f t="array" ref="S7417">IFERROR(IF($B7417=S$1, ($A7417+$C7417) - MAX(IF($B$2:$B7416=$B7417, $A$2:$A7416+$C$2:$C7416)), "")*24*60, "")</f>
        <v/>
      </c>
    </row>
    <row r="7418" spans="1:19" x14ac:dyDescent="0.2">
      <c r="A7418" s="12">
        <f t="shared" ref="A7418:C7418" si="1601">A7417</f>
        <v>46015</v>
      </c>
      <c r="B7418" s="5" t="str">
        <f t="shared" si="1601"/>
        <v>Northern Cardinal</v>
      </c>
      <c r="C7418" s="6">
        <f t="shared" si="1601"/>
        <v>0.74097222222222225</v>
      </c>
      <c r="D7418" s="5"/>
      <c r="E7418" s="5"/>
      <c r="F7418" s="5" t="s">
        <v>9</v>
      </c>
      <c r="G7418" s="15" t="s">
        <v>8</v>
      </c>
      <c r="H7418" s="24">
        <f t="shared" si="1570"/>
        <v>0</v>
      </c>
      <c r="I7418" s="24" cm="1">
        <f t="array" ref="I7418">IFERROR(IF($B7418=I$1, ($A7418+$C7418) - MAX(IF($B$2:$B7417=$B7418, $A$2:$A7417+$C$2:$C7417)), "")*24*60, "")</f>
        <v>0</v>
      </c>
      <c r="J7418" s="24" t="str" cm="1">
        <f t="array" ref="J7418">IFERROR(IF($B7418=J$1, ($A7418+$C7418) - MAX(IF($B$2:$B7417=$B7418, $A$2:$A7417+$C$2:$C7417)), "")*24*60, "")</f>
        <v/>
      </c>
      <c r="K7418" s="24" t="str" cm="1">
        <f t="array" ref="K7418">IFERROR(IF($B7418=K$1, ($A7418+$C7418) - MAX(IF($B$2:$B7417=$B7418, $A$2:$A7417+$C$2:$C7417)), "")*24*60, "")</f>
        <v/>
      </c>
      <c r="L7418" s="24" t="str" cm="1">
        <f t="array" ref="L7418">IFERROR(IF($B7418=L$1, ($A7418+$C7418) - MAX(IF($B$2:$B7417=$B7418, $A$2:$A7417+$C$2:$C7417)), "")*24*60, "")</f>
        <v/>
      </c>
      <c r="M7418" s="24" t="str" cm="1">
        <f t="array" ref="M7418">IFERROR(IF($B7418=M$1, ($A7418+$C7418) - MAX(IF($B$2:$B7417=$B7418, $A$2:$A7417+$C$2:$C7417)), "")*24*60, "")</f>
        <v/>
      </c>
      <c r="N7418" s="24" t="str" cm="1">
        <f t="array" ref="N7418">IFERROR(IF($B7418=N$1, ($A7418+$C7418) - MAX(IF($B$2:$B7417=$B7418, $A$2:$A7417+$C$2:$C7417)), "")*24*60, "")</f>
        <v/>
      </c>
      <c r="O7418" s="24" t="str" cm="1">
        <f t="array" ref="O7418">IFERROR(IF($B7418=O$1, ($A7418+$C7418) - MAX(IF($B$2:$B7417=$B7418, $A$2:$A7417+$C$2:$C7417)), "")*24*60, "")</f>
        <v/>
      </c>
      <c r="P7418" s="24" t="str" cm="1">
        <f t="array" ref="P7418">IFERROR(IF($B7418=P$1, ($A7418+$C7418) - MAX(IF($B$2:$B7417=$B7418, $A$2:$A7417+$C$2:$C7417)), "")*24*60, "")</f>
        <v/>
      </c>
      <c r="Q7418" s="24" t="str" cm="1">
        <f t="array" ref="Q7418">IFERROR(IF($B7418=Q$1, ($A7418+$C7418) - MAX(IF($B$2:$B7417=$B7418, $A$2:$A7417+$C$2:$C7417)), "")*24*60, "")</f>
        <v/>
      </c>
      <c r="R7418" s="24" t="str" cm="1">
        <f t="array" ref="R7418">IFERROR(IF($B7418=R$1, ($A7418+$C7418) - MAX(IF($B$2:$B7417=$B7418, $A$2:$A7417+$C$2:$C7417)), "")*24*60, "")</f>
        <v/>
      </c>
      <c r="S7418" s="24" t="str" cm="1">
        <f t="array" ref="S7418">IFERROR(IF($B7418=S$1, ($A7418+$C7418) - MAX(IF($B$2:$B7417=$B7418, $A$2:$A7417+$C$2:$C7417)), "")*24*60, "")</f>
        <v/>
      </c>
    </row>
    <row r="7419" spans="1:19" x14ac:dyDescent="0.2">
      <c r="A7419" s="12">
        <f t="shared" ref="A7419:C7419" si="1602">A7418</f>
        <v>46015</v>
      </c>
      <c r="B7419" s="5" t="str">
        <f t="shared" si="1602"/>
        <v>Northern Cardinal</v>
      </c>
      <c r="C7419" s="6">
        <f t="shared" si="1602"/>
        <v>0.74097222222222225</v>
      </c>
      <c r="D7419" s="5"/>
      <c r="E7419" s="5"/>
      <c r="F7419" s="5" t="s">
        <v>9</v>
      </c>
      <c r="G7419" s="15" t="s">
        <v>8</v>
      </c>
      <c r="H7419" s="24">
        <f t="shared" si="1570"/>
        <v>0</v>
      </c>
      <c r="I7419" s="24" cm="1">
        <f t="array" ref="I7419">IFERROR(IF($B7419=I$1, ($A7419+$C7419) - MAX(IF($B$2:$B7418=$B7419, $A$2:$A7418+$C$2:$C7418)), "")*24*60, "")</f>
        <v>0</v>
      </c>
      <c r="J7419" s="24" t="str" cm="1">
        <f t="array" ref="J7419">IFERROR(IF($B7419=J$1, ($A7419+$C7419) - MAX(IF($B$2:$B7418=$B7419, $A$2:$A7418+$C$2:$C7418)), "")*24*60, "")</f>
        <v/>
      </c>
      <c r="K7419" s="24" t="str" cm="1">
        <f t="array" ref="K7419">IFERROR(IF($B7419=K$1, ($A7419+$C7419) - MAX(IF($B$2:$B7418=$B7419, $A$2:$A7418+$C$2:$C7418)), "")*24*60, "")</f>
        <v/>
      </c>
      <c r="L7419" s="24" t="str" cm="1">
        <f t="array" ref="L7419">IFERROR(IF($B7419=L$1, ($A7419+$C7419) - MAX(IF($B$2:$B7418=$B7419, $A$2:$A7418+$C$2:$C7418)), "")*24*60, "")</f>
        <v/>
      </c>
      <c r="M7419" s="24" t="str" cm="1">
        <f t="array" ref="M7419">IFERROR(IF($B7419=M$1, ($A7419+$C7419) - MAX(IF($B$2:$B7418=$B7419, $A$2:$A7418+$C$2:$C7418)), "")*24*60, "")</f>
        <v/>
      </c>
      <c r="N7419" s="24" t="str" cm="1">
        <f t="array" ref="N7419">IFERROR(IF($B7419=N$1, ($A7419+$C7419) - MAX(IF($B$2:$B7418=$B7419, $A$2:$A7418+$C$2:$C7418)), "")*24*60, "")</f>
        <v/>
      </c>
      <c r="O7419" s="24" t="str" cm="1">
        <f t="array" ref="O7419">IFERROR(IF($B7419=O$1, ($A7419+$C7419) - MAX(IF($B$2:$B7418=$B7419, $A$2:$A7418+$C$2:$C7418)), "")*24*60, "")</f>
        <v/>
      </c>
      <c r="P7419" s="24" t="str" cm="1">
        <f t="array" ref="P7419">IFERROR(IF($B7419=P$1, ($A7419+$C7419) - MAX(IF($B$2:$B7418=$B7419, $A$2:$A7418+$C$2:$C7418)), "")*24*60, "")</f>
        <v/>
      </c>
      <c r="Q7419" s="24" t="str" cm="1">
        <f t="array" ref="Q7419">IFERROR(IF($B7419=Q$1, ($A7419+$C7419) - MAX(IF($B$2:$B7418=$B7419, $A$2:$A7418+$C$2:$C7418)), "")*24*60, "")</f>
        <v/>
      </c>
      <c r="R7419" s="24" t="str" cm="1">
        <f t="array" ref="R7419">IFERROR(IF($B7419=R$1, ($A7419+$C7419) - MAX(IF($B$2:$B7418=$B7419, $A$2:$A7418+$C$2:$C7418)), "")*24*60, "")</f>
        <v/>
      </c>
      <c r="S7419" s="24" t="str" cm="1">
        <f t="array" ref="S7419">IFERROR(IF($B7419=S$1, ($A7419+$C7419) - MAX(IF($B$2:$B7418=$B7419, $A$2:$A7418+$C$2:$C7418)), "")*24*60, "")</f>
        <v/>
      </c>
    </row>
    <row r="7420" spans="1:19" x14ac:dyDescent="0.2">
      <c r="A7420" s="12">
        <f t="shared" ref="A7420:C7420" si="1603">A7419</f>
        <v>46015</v>
      </c>
      <c r="B7420" s="5" t="str">
        <f t="shared" si="1603"/>
        <v>Northern Cardinal</v>
      </c>
      <c r="C7420" s="6">
        <f t="shared" si="1603"/>
        <v>0.74097222222222225</v>
      </c>
      <c r="D7420" s="5"/>
      <c r="E7420" s="5"/>
      <c r="F7420" s="5" t="s">
        <v>9</v>
      </c>
      <c r="G7420" s="15" t="s">
        <v>8</v>
      </c>
      <c r="H7420" s="24">
        <f t="shared" si="1570"/>
        <v>0</v>
      </c>
      <c r="I7420" s="24" cm="1">
        <f t="array" ref="I7420">IFERROR(IF($B7420=I$1, ($A7420+$C7420) - MAX(IF($B$2:$B7419=$B7420, $A$2:$A7419+$C$2:$C7419)), "")*24*60, "")</f>
        <v>0</v>
      </c>
      <c r="J7420" s="24" t="str" cm="1">
        <f t="array" ref="J7420">IFERROR(IF($B7420=J$1, ($A7420+$C7420) - MAX(IF($B$2:$B7419=$B7420, $A$2:$A7419+$C$2:$C7419)), "")*24*60, "")</f>
        <v/>
      </c>
      <c r="K7420" s="24" t="str" cm="1">
        <f t="array" ref="K7420">IFERROR(IF($B7420=K$1, ($A7420+$C7420) - MAX(IF($B$2:$B7419=$B7420, $A$2:$A7419+$C$2:$C7419)), "")*24*60, "")</f>
        <v/>
      </c>
      <c r="L7420" s="24" t="str" cm="1">
        <f t="array" ref="L7420">IFERROR(IF($B7420=L$1, ($A7420+$C7420) - MAX(IF($B$2:$B7419=$B7420, $A$2:$A7419+$C$2:$C7419)), "")*24*60, "")</f>
        <v/>
      </c>
      <c r="M7420" s="24" t="str" cm="1">
        <f t="array" ref="M7420">IFERROR(IF($B7420=M$1, ($A7420+$C7420) - MAX(IF($B$2:$B7419=$B7420, $A$2:$A7419+$C$2:$C7419)), "")*24*60, "")</f>
        <v/>
      </c>
      <c r="N7420" s="24" t="str" cm="1">
        <f t="array" ref="N7420">IFERROR(IF($B7420=N$1, ($A7420+$C7420) - MAX(IF($B$2:$B7419=$B7420, $A$2:$A7419+$C$2:$C7419)), "")*24*60, "")</f>
        <v/>
      </c>
      <c r="O7420" s="24" t="str" cm="1">
        <f t="array" ref="O7420">IFERROR(IF($B7420=O$1, ($A7420+$C7420) - MAX(IF($B$2:$B7419=$B7420, $A$2:$A7419+$C$2:$C7419)), "")*24*60, "")</f>
        <v/>
      </c>
      <c r="P7420" s="24" t="str" cm="1">
        <f t="array" ref="P7420">IFERROR(IF($B7420=P$1, ($A7420+$C7420) - MAX(IF($B$2:$B7419=$B7420, $A$2:$A7419+$C$2:$C7419)), "")*24*60, "")</f>
        <v/>
      </c>
      <c r="Q7420" s="24" t="str" cm="1">
        <f t="array" ref="Q7420">IFERROR(IF($B7420=Q$1, ($A7420+$C7420) - MAX(IF($B$2:$B7419=$B7420, $A$2:$A7419+$C$2:$C7419)), "")*24*60, "")</f>
        <v/>
      </c>
      <c r="R7420" s="24" t="str" cm="1">
        <f t="array" ref="R7420">IFERROR(IF($B7420=R$1, ($A7420+$C7420) - MAX(IF($B$2:$B7419=$B7420, $A$2:$A7419+$C$2:$C7419)), "")*24*60, "")</f>
        <v/>
      </c>
      <c r="S7420" s="24" t="str" cm="1">
        <f t="array" ref="S7420">IFERROR(IF($B7420=S$1, ($A7420+$C7420) - MAX(IF($B$2:$B7419=$B7420, $A$2:$A7419+$C$2:$C7419)), "")*24*60, "")</f>
        <v/>
      </c>
    </row>
    <row r="7421" spans="1:19" x14ac:dyDescent="0.2">
      <c r="A7421" s="12">
        <f t="shared" ref="A7421:C7421" si="1604">A7420</f>
        <v>46015</v>
      </c>
      <c r="B7421" s="5" t="str">
        <f t="shared" si="1604"/>
        <v>Northern Cardinal</v>
      </c>
      <c r="C7421" s="6">
        <f t="shared" si="1604"/>
        <v>0.74097222222222225</v>
      </c>
      <c r="D7421" s="5"/>
      <c r="E7421" s="5"/>
      <c r="F7421" s="5" t="s">
        <v>9</v>
      </c>
      <c r="G7421" s="15" t="s">
        <v>8</v>
      </c>
      <c r="H7421" s="24">
        <f t="shared" si="1570"/>
        <v>0</v>
      </c>
      <c r="I7421" s="24" cm="1">
        <f t="array" ref="I7421">IFERROR(IF($B7421=I$1, ($A7421+$C7421) - MAX(IF($B$2:$B7420=$B7421, $A$2:$A7420+$C$2:$C7420)), "")*24*60, "")</f>
        <v>0</v>
      </c>
      <c r="J7421" s="24" t="str" cm="1">
        <f t="array" ref="J7421">IFERROR(IF($B7421=J$1, ($A7421+$C7421) - MAX(IF($B$2:$B7420=$B7421, $A$2:$A7420+$C$2:$C7420)), "")*24*60, "")</f>
        <v/>
      </c>
      <c r="K7421" s="24" t="str" cm="1">
        <f t="array" ref="K7421">IFERROR(IF($B7421=K$1, ($A7421+$C7421) - MAX(IF($B$2:$B7420=$B7421, $A$2:$A7420+$C$2:$C7420)), "")*24*60, "")</f>
        <v/>
      </c>
      <c r="L7421" s="24" t="str" cm="1">
        <f t="array" ref="L7421">IFERROR(IF($B7421=L$1, ($A7421+$C7421) - MAX(IF($B$2:$B7420=$B7421, $A$2:$A7420+$C$2:$C7420)), "")*24*60, "")</f>
        <v/>
      </c>
      <c r="M7421" s="24" t="str" cm="1">
        <f t="array" ref="M7421">IFERROR(IF($B7421=M$1, ($A7421+$C7421) - MAX(IF($B$2:$B7420=$B7421, $A$2:$A7420+$C$2:$C7420)), "")*24*60, "")</f>
        <v/>
      </c>
      <c r="N7421" s="24" t="str" cm="1">
        <f t="array" ref="N7421">IFERROR(IF($B7421=N$1, ($A7421+$C7421) - MAX(IF($B$2:$B7420=$B7421, $A$2:$A7420+$C$2:$C7420)), "")*24*60, "")</f>
        <v/>
      </c>
      <c r="O7421" s="24" t="str" cm="1">
        <f t="array" ref="O7421">IFERROR(IF($B7421=O$1, ($A7421+$C7421) - MAX(IF($B$2:$B7420=$B7421, $A$2:$A7420+$C$2:$C7420)), "")*24*60, "")</f>
        <v/>
      </c>
      <c r="P7421" s="24" t="str" cm="1">
        <f t="array" ref="P7421">IFERROR(IF($B7421=P$1, ($A7421+$C7421) - MAX(IF($B$2:$B7420=$B7421, $A$2:$A7420+$C$2:$C7420)), "")*24*60, "")</f>
        <v/>
      </c>
      <c r="Q7421" s="24" t="str" cm="1">
        <f t="array" ref="Q7421">IFERROR(IF($B7421=Q$1, ($A7421+$C7421) - MAX(IF($B$2:$B7420=$B7421, $A$2:$A7420+$C$2:$C7420)), "")*24*60, "")</f>
        <v/>
      </c>
      <c r="R7421" s="24" t="str" cm="1">
        <f t="array" ref="R7421">IFERROR(IF($B7421=R$1, ($A7421+$C7421) - MAX(IF($B$2:$B7420=$B7421, $A$2:$A7420+$C$2:$C7420)), "")*24*60, "")</f>
        <v/>
      </c>
      <c r="S7421" s="24" t="str" cm="1">
        <f t="array" ref="S7421">IFERROR(IF($B7421=S$1, ($A7421+$C7421) - MAX(IF($B$2:$B7420=$B7421, $A$2:$A7420+$C$2:$C7420)), "")*24*60, "")</f>
        <v/>
      </c>
    </row>
    <row r="7422" spans="1:19" x14ac:dyDescent="0.2">
      <c r="A7422" s="12">
        <f t="shared" ref="A7422:C7422" si="1605">A7421</f>
        <v>46015</v>
      </c>
      <c r="B7422" s="5" t="str">
        <f t="shared" si="1605"/>
        <v>Northern Cardinal</v>
      </c>
      <c r="C7422" s="6">
        <f t="shared" si="1605"/>
        <v>0.74097222222222225</v>
      </c>
      <c r="D7422" s="5"/>
      <c r="E7422" s="5"/>
      <c r="F7422" s="5" t="s">
        <v>9</v>
      </c>
      <c r="G7422" s="15" t="s">
        <v>8</v>
      </c>
      <c r="H7422" s="24">
        <f t="shared" si="1570"/>
        <v>0</v>
      </c>
      <c r="I7422" s="24" cm="1">
        <f t="array" ref="I7422">IFERROR(IF($B7422=I$1, ($A7422+$C7422) - MAX(IF($B$2:$B7421=$B7422, $A$2:$A7421+$C$2:$C7421)), "")*24*60, "")</f>
        <v>0</v>
      </c>
      <c r="J7422" s="24" t="str" cm="1">
        <f t="array" ref="J7422">IFERROR(IF($B7422=J$1, ($A7422+$C7422) - MAX(IF($B$2:$B7421=$B7422, $A$2:$A7421+$C$2:$C7421)), "")*24*60, "")</f>
        <v/>
      </c>
      <c r="K7422" s="24" t="str" cm="1">
        <f t="array" ref="K7422">IFERROR(IF($B7422=K$1, ($A7422+$C7422) - MAX(IF($B$2:$B7421=$B7422, $A$2:$A7421+$C$2:$C7421)), "")*24*60, "")</f>
        <v/>
      </c>
      <c r="L7422" s="24" t="str" cm="1">
        <f t="array" ref="L7422">IFERROR(IF($B7422=L$1, ($A7422+$C7422) - MAX(IF($B$2:$B7421=$B7422, $A$2:$A7421+$C$2:$C7421)), "")*24*60, "")</f>
        <v/>
      </c>
      <c r="M7422" s="24" t="str" cm="1">
        <f t="array" ref="M7422">IFERROR(IF($B7422=M$1, ($A7422+$C7422) - MAX(IF($B$2:$B7421=$B7422, $A$2:$A7421+$C$2:$C7421)), "")*24*60, "")</f>
        <v/>
      </c>
      <c r="N7422" s="24" t="str" cm="1">
        <f t="array" ref="N7422">IFERROR(IF($B7422=N$1, ($A7422+$C7422) - MAX(IF($B$2:$B7421=$B7422, $A$2:$A7421+$C$2:$C7421)), "")*24*60, "")</f>
        <v/>
      </c>
      <c r="O7422" s="24" t="str" cm="1">
        <f t="array" ref="O7422">IFERROR(IF($B7422=O$1, ($A7422+$C7422) - MAX(IF($B$2:$B7421=$B7422, $A$2:$A7421+$C$2:$C7421)), "")*24*60, "")</f>
        <v/>
      </c>
      <c r="P7422" s="24" t="str" cm="1">
        <f t="array" ref="P7422">IFERROR(IF($B7422=P$1, ($A7422+$C7422) - MAX(IF($B$2:$B7421=$B7422, $A$2:$A7421+$C$2:$C7421)), "")*24*60, "")</f>
        <v/>
      </c>
      <c r="Q7422" s="24" t="str" cm="1">
        <f t="array" ref="Q7422">IFERROR(IF($B7422=Q$1, ($A7422+$C7422) - MAX(IF($B$2:$B7421=$B7422, $A$2:$A7421+$C$2:$C7421)), "")*24*60, "")</f>
        <v/>
      </c>
      <c r="R7422" s="24" t="str" cm="1">
        <f t="array" ref="R7422">IFERROR(IF($B7422=R$1, ($A7422+$C7422) - MAX(IF($B$2:$B7421=$B7422, $A$2:$A7421+$C$2:$C7421)), "")*24*60, "")</f>
        <v/>
      </c>
      <c r="S7422" s="24" t="str" cm="1">
        <f t="array" ref="S7422">IFERROR(IF($B7422=S$1, ($A7422+$C7422) - MAX(IF($B$2:$B7421=$B7422, $A$2:$A7421+$C$2:$C7421)), "")*24*60, "")</f>
        <v/>
      </c>
    </row>
    <row r="7423" spans="1:19" x14ac:dyDescent="0.2">
      <c r="A7423" s="12">
        <f t="shared" ref="A7423:C7423" si="1606">A7422</f>
        <v>46015</v>
      </c>
      <c r="B7423" s="5" t="str">
        <f t="shared" si="1606"/>
        <v>Northern Cardinal</v>
      </c>
      <c r="C7423" s="6">
        <f t="shared" si="1606"/>
        <v>0.74097222222222225</v>
      </c>
      <c r="D7423" s="5"/>
      <c r="E7423" s="5"/>
      <c r="F7423" s="5" t="s">
        <v>9</v>
      </c>
      <c r="G7423" s="15" t="s">
        <v>8</v>
      </c>
      <c r="H7423" s="24">
        <f t="shared" si="1570"/>
        <v>0</v>
      </c>
      <c r="I7423" s="24" cm="1">
        <f t="array" ref="I7423">IFERROR(IF($B7423=I$1, ($A7423+$C7423) - MAX(IF($B$2:$B7422=$B7423, $A$2:$A7422+$C$2:$C7422)), "")*24*60, "")</f>
        <v>0</v>
      </c>
      <c r="J7423" s="24" t="str" cm="1">
        <f t="array" ref="J7423">IFERROR(IF($B7423=J$1, ($A7423+$C7423) - MAX(IF($B$2:$B7422=$B7423, $A$2:$A7422+$C$2:$C7422)), "")*24*60, "")</f>
        <v/>
      </c>
      <c r="K7423" s="24" t="str" cm="1">
        <f t="array" ref="K7423">IFERROR(IF($B7423=K$1, ($A7423+$C7423) - MAX(IF($B$2:$B7422=$B7423, $A$2:$A7422+$C$2:$C7422)), "")*24*60, "")</f>
        <v/>
      </c>
      <c r="L7423" s="24" t="str" cm="1">
        <f t="array" ref="L7423">IFERROR(IF($B7423=L$1, ($A7423+$C7423) - MAX(IF($B$2:$B7422=$B7423, $A$2:$A7422+$C$2:$C7422)), "")*24*60, "")</f>
        <v/>
      </c>
      <c r="M7423" s="24" t="str" cm="1">
        <f t="array" ref="M7423">IFERROR(IF($B7423=M$1, ($A7423+$C7423) - MAX(IF($B$2:$B7422=$B7423, $A$2:$A7422+$C$2:$C7422)), "")*24*60, "")</f>
        <v/>
      </c>
      <c r="N7423" s="24" t="str" cm="1">
        <f t="array" ref="N7423">IFERROR(IF($B7423=N$1, ($A7423+$C7423) - MAX(IF($B$2:$B7422=$B7423, $A$2:$A7422+$C$2:$C7422)), "")*24*60, "")</f>
        <v/>
      </c>
      <c r="O7423" s="24" t="str" cm="1">
        <f t="array" ref="O7423">IFERROR(IF($B7423=O$1, ($A7423+$C7423) - MAX(IF($B$2:$B7422=$B7423, $A$2:$A7422+$C$2:$C7422)), "")*24*60, "")</f>
        <v/>
      </c>
      <c r="P7423" s="24" t="str" cm="1">
        <f t="array" ref="P7423">IFERROR(IF($B7423=P$1, ($A7423+$C7423) - MAX(IF($B$2:$B7422=$B7423, $A$2:$A7422+$C$2:$C7422)), "")*24*60, "")</f>
        <v/>
      </c>
      <c r="Q7423" s="24" t="str" cm="1">
        <f t="array" ref="Q7423">IFERROR(IF($B7423=Q$1, ($A7423+$C7423) - MAX(IF($B$2:$B7422=$B7423, $A$2:$A7422+$C$2:$C7422)), "")*24*60, "")</f>
        <v/>
      </c>
      <c r="R7423" s="24" t="str" cm="1">
        <f t="array" ref="R7423">IFERROR(IF($B7423=R$1, ($A7423+$C7423) - MAX(IF($B$2:$B7422=$B7423, $A$2:$A7422+$C$2:$C7422)), "")*24*60, "")</f>
        <v/>
      </c>
      <c r="S7423" s="24" t="str" cm="1">
        <f t="array" ref="S7423">IFERROR(IF($B7423=S$1, ($A7423+$C7423) - MAX(IF($B$2:$B7422=$B7423, $A$2:$A7422+$C$2:$C7422)), "")*24*60, "")</f>
        <v/>
      </c>
    </row>
    <row r="7424" spans="1:19" x14ac:dyDescent="0.2">
      <c r="A7424" s="12">
        <f t="shared" ref="A7424:C7424" si="1607">A7423</f>
        <v>46015</v>
      </c>
      <c r="B7424" s="5" t="str">
        <f t="shared" si="1607"/>
        <v>Northern Cardinal</v>
      </c>
      <c r="C7424" s="6">
        <f t="shared" si="1607"/>
        <v>0.74097222222222225</v>
      </c>
      <c r="D7424" s="5"/>
      <c r="E7424" s="5"/>
      <c r="F7424" s="5" t="s">
        <v>9</v>
      </c>
      <c r="G7424" s="15" t="s">
        <v>8</v>
      </c>
      <c r="H7424" s="24">
        <f t="shared" si="1570"/>
        <v>0</v>
      </c>
      <c r="I7424" s="24" cm="1">
        <f t="array" ref="I7424">IFERROR(IF($B7424=I$1, ($A7424+$C7424) - MAX(IF($B$2:$B7423=$B7424, $A$2:$A7423+$C$2:$C7423)), "")*24*60, "")</f>
        <v>0</v>
      </c>
      <c r="J7424" s="24" t="str" cm="1">
        <f t="array" ref="J7424">IFERROR(IF($B7424=J$1, ($A7424+$C7424) - MAX(IF($B$2:$B7423=$B7424, $A$2:$A7423+$C$2:$C7423)), "")*24*60, "")</f>
        <v/>
      </c>
      <c r="K7424" s="24" t="str" cm="1">
        <f t="array" ref="K7424">IFERROR(IF($B7424=K$1, ($A7424+$C7424) - MAX(IF($B$2:$B7423=$B7424, $A$2:$A7423+$C$2:$C7423)), "")*24*60, "")</f>
        <v/>
      </c>
      <c r="L7424" s="24" t="str" cm="1">
        <f t="array" ref="L7424">IFERROR(IF($B7424=L$1, ($A7424+$C7424) - MAX(IF($B$2:$B7423=$B7424, $A$2:$A7423+$C$2:$C7423)), "")*24*60, "")</f>
        <v/>
      </c>
      <c r="M7424" s="24" t="str" cm="1">
        <f t="array" ref="M7424">IFERROR(IF($B7424=M$1, ($A7424+$C7424) - MAX(IF($B$2:$B7423=$B7424, $A$2:$A7423+$C$2:$C7423)), "")*24*60, "")</f>
        <v/>
      </c>
      <c r="N7424" s="24" t="str" cm="1">
        <f t="array" ref="N7424">IFERROR(IF($B7424=N$1, ($A7424+$C7424) - MAX(IF($B$2:$B7423=$B7424, $A$2:$A7423+$C$2:$C7423)), "")*24*60, "")</f>
        <v/>
      </c>
      <c r="O7424" s="24" t="str" cm="1">
        <f t="array" ref="O7424">IFERROR(IF($B7424=O$1, ($A7424+$C7424) - MAX(IF($B$2:$B7423=$B7424, $A$2:$A7423+$C$2:$C7423)), "")*24*60, "")</f>
        <v/>
      </c>
      <c r="P7424" s="24" t="str" cm="1">
        <f t="array" ref="P7424">IFERROR(IF($B7424=P$1, ($A7424+$C7424) - MAX(IF($B$2:$B7423=$B7424, $A$2:$A7423+$C$2:$C7423)), "")*24*60, "")</f>
        <v/>
      </c>
      <c r="Q7424" s="24" t="str" cm="1">
        <f t="array" ref="Q7424">IFERROR(IF($B7424=Q$1, ($A7424+$C7424) - MAX(IF($B$2:$B7423=$B7424, $A$2:$A7423+$C$2:$C7423)), "")*24*60, "")</f>
        <v/>
      </c>
      <c r="R7424" s="24" t="str" cm="1">
        <f t="array" ref="R7424">IFERROR(IF($B7424=R$1, ($A7424+$C7424) - MAX(IF($B$2:$B7423=$B7424, $A$2:$A7423+$C$2:$C7423)), "")*24*60, "")</f>
        <v/>
      </c>
      <c r="S7424" s="24" t="str" cm="1">
        <f t="array" ref="S7424">IFERROR(IF($B7424=S$1, ($A7424+$C7424) - MAX(IF($B$2:$B7423=$B7424, $A$2:$A7423+$C$2:$C7423)), "")*24*60, "")</f>
        <v/>
      </c>
    </row>
    <row r="7425" spans="1:19" x14ac:dyDescent="0.2">
      <c r="A7425" s="12">
        <f t="shared" ref="A7425:C7425" si="1608">A7424</f>
        <v>46015</v>
      </c>
      <c r="B7425" s="5" t="str">
        <f t="shared" si="1608"/>
        <v>Northern Cardinal</v>
      </c>
      <c r="C7425" s="6">
        <f t="shared" si="1608"/>
        <v>0.74097222222222225</v>
      </c>
      <c r="D7425" s="5"/>
      <c r="E7425" s="5"/>
      <c r="F7425" s="5" t="s">
        <v>9</v>
      </c>
      <c r="G7425" s="15" t="s">
        <v>8</v>
      </c>
      <c r="H7425" s="24">
        <f t="shared" si="1570"/>
        <v>0</v>
      </c>
      <c r="I7425" s="24" cm="1">
        <f t="array" ref="I7425">IFERROR(IF($B7425=I$1, ($A7425+$C7425) - MAX(IF($B$2:$B7424=$B7425, $A$2:$A7424+$C$2:$C7424)), "")*24*60, "")</f>
        <v>0</v>
      </c>
      <c r="J7425" s="24" t="str" cm="1">
        <f t="array" ref="J7425">IFERROR(IF($B7425=J$1, ($A7425+$C7425) - MAX(IF($B$2:$B7424=$B7425, $A$2:$A7424+$C$2:$C7424)), "")*24*60, "")</f>
        <v/>
      </c>
      <c r="K7425" s="24" t="str" cm="1">
        <f t="array" ref="K7425">IFERROR(IF($B7425=K$1, ($A7425+$C7425) - MAX(IF($B$2:$B7424=$B7425, $A$2:$A7424+$C$2:$C7424)), "")*24*60, "")</f>
        <v/>
      </c>
      <c r="L7425" s="24" t="str" cm="1">
        <f t="array" ref="L7425">IFERROR(IF($B7425=L$1, ($A7425+$C7425) - MAX(IF($B$2:$B7424=$B7425, $A$2:$A7424+$C$2:$C7424)), "")*24*60, "")</f>
        <v/>
      </c>
      <c r="M7425" s="24" t="str" cm="1">
        <f t="array" ref="M7425">IFERROR(IF($B7425=M$1, ($A7425+$C7425) - MAX(IF($B$2:$B7424=$B7425, $A$2:$A7424+$C$2:$C7424)), "")*24*60, "")</f>
        <v/>
      </c>
      <c r="N7425" s="24" t="str" cm="1">
        <f t="array" ref="N7425">IFERROR(IF($B7425=N$1, ($A7425+$C7425) - MAX(IF($B$2:$B7424=$B7425, $A$2:$A7424+$C$2:$C7424)), "")*24*60, "")</f>
        <v/>
      </c>
      <c r="O7425" s="24" t="str" cm="1">
        <f t="array" ref="O7425">IFERROR(IF($B7425=O$1, ($A7425+$C7425) - MAX(IF($B$2:$B7424=$B7425, $A$2:$A7424+$C$2:$C7424)), "")*24*60, "")</f>
        <v/>
      </c>
      <c r="P7425" s="24" t="str" cm="1">
        <f t="array" ref="P7425">IFERROR(IF($B7425=P$1, ($A7425+$C7425) - MAX(IF($B$2:$B7424=$B7425, $A$2:$A7424+$C$2:$C7424)), "")*24*60, "")</f>
        <v/>
      </c>
      <c r="Q7425" s="24" t="str" cm="1">
        <f t="array" ref="Q7425">IFERROR(IF($B7425=Q$1, ($A7425+$C7425) - MAX(IF($B$2:$B7424=$B7425, $A$2:$A7424+$C$2:$C7424)), "")*24*60, "")</f>
        <v/>
      </c>
      <c r="R7425" s="24" t="str" cm="1">
        <f t="array" ref="R7425">IFERROR(IF($B7425=R$1, ($A7425+$C7425) - MAX(IF($B$2:$B7424=$B7425, $A$2:$A7424+$C$2:$C7424)), "")*24*60, "")</f>
        <v/>
      </c>
      <c r="S7425" s="24" t="str" cm="1">
        <f t="array" ref="S7425">IFERROR(IF($B7425=S$1, ($A7425+$C7425) - MAX(IF($B$2:$B7424=$B7425, $A$2:$A7424+$C$2:$C7424)), "")*24*60, "")</f>
        <v/>
      </c>
    </row>
    <row r="7426" spans="1:19" x14ac:dyDescent="0.2">
      <c r="A7426" s="12">
        <f t="shared" ref="A7426:C7426" si="1609">A7425</f>
        <v>46015</v>
      </c>
      <c r="B7426" s="5" t="str">
        <f t="shared" si="1609"/>
        <v>Northern Cardinal</v>
      </c>
      <c r="C7426" s="6">
        <f t="shared" si="1609"/>
        <v>0.74097222222222225</v>
      </c>
      <c r="D7426" s="5"/>
      <c r="E7426" s="5"/>
      <c r="F7426" s="5" t="s">
        <v>9</v>
      </c>
      <c r="G7426" s="15" t="s">
        <v>8</v>
      </c>
      <c r="H7426" s="24">
        <f t="shared" si="1570"/>
        <v>0</v>
      </c>
      <c r="I7426" s="24" cm="1">
        <f t="array" ref="I7426">IFERROR(IF($B7426=I$1, ($A7426+$C7426) - MAX(IF($B$2:$B7425=$B7426, $A$2:$A7425+$C$2:$C7425)), "")*24*60, "")</f>
        <v>0</v>
      </c>
      <c r="J7426" s="24" t="str" cm="1">
        <f t="array" ref="J7426">IFERROR(IF($B7426=J$1, ($A7426+$C7426) - MAX(IF($B$2:$B7425=$B7426, $A$2:$A7425+$C$2:$C7425)), "")*24*60, "")</f>
        <v/>
      </c>
      <c r="K7426" s="24" t="str" cm="1">
        <f t="array" ref="K7426">IFERROR(IF($B7426=K$1, ($A7426+$C7426) - MAX(IF($B$2:$B7425=$B7426, $A$2:$A7425+$C$2:$C7425)), "")*24*60, "")</f>
        <v/>
      </c>
      <c r="L7426" s="24" t="str" cm="1">
        <f t="array" ref="L7426">IFERROR(IF($B7426=L$1, ($A7426+$C7426) - MAX(IF($B$2:$B7425=$B7426, $A$2:$A7425+$C$2:$C7425)), "")*24*60, "")</f>
        <v/>
      </c>
      <c r="M7426" s="24" t="str" cm="1">
        <f t="array" ref="M7426">IFERROR(IF($B7426=M$1, ($A7426+$C7426) - MAX(IF($B$2:$B7425=$B7426, $A$2:$A7425+$C$2:$C7425)), "")*24*60, "")</f>
        <v/>
      </c>
      <c r="N7426" s="24" t="str" cm="1">
        <f t="array" ref="N7426">IFERROR(IF($B7426=N$1, ($A7426+$C7426) - MAX(IF($B$2:$B7425=$B7426, $A$2:$A7425+$C$2:$C7425)), "")*24*60, "")</f>
        <v/>
      </c>
      <c r="O7426" s="24" t="str" cm="1">
        <f t="array" ref="O7426">IFERROR(IF($B7426=O$1, ($A7426+$C7426) - MAX(IF($B$2:$B7425=$B7426, $A$2:$A7425+$C$2:$C7425)), "")*24*60, "")</f>
        <v/>
      </c>
      <c r="P7426" s="24" t="str" cm="1">
        <f t="array" ref="P7426">IFERROR(IF($B7426=P$1, ($A7426+$C7426) - MAX(IF($B$2:$B7425=$B7426, $A$2:$A7425+$C$2:$C7425)), "")*24*60, "")</f>
        <v/>
      </c>
      <c r="Q7426" s="24" t="str" cm="1">
        <f t="array" ref="Q7426">IFERROR(IF($B7426=Q$1, ($A7426+$C7426) - MAX(IF($B$2:$B7425=$B7426, $A$2:$A7425+$C$2:$C7425)), "")*24*60, "")</f>
        <v/>
      </c>
      <c r="R7426" s="24" t="str" cm="1">
        <f t="array" ref="R7426">IFERROR(IF($B7426=R$1, ($A7426+$C7426) - MAX(IF($B$2:$B7425=$B7426, $A$2:$A7425+$C$2:$C7425)), "")*24*60, "")</f>
        <v/>
      </c>
      <c r="S7426" s="24" t="str" cm="1">
        <f t="array" ref="S7426">IFERROR(IF($B7426=S$1, ($A7426+$C7426) - MAX(IF($B$2:$B7425=$B7426, $A$2:$A7425+$C$2:$C7425)), "")*24*60, "")</f>
        <v/>
      </c>
    </row>
    <row r="7427" spans="1:19" x14ac:dyDescent="0.2">
      <c r="A7427" s="12">
        <f t="shared" ref="A7427:C7427" si="1610">A7426</f>
        <v>46015</v>
      </c>
      <c r="B7427" s="5" t="str">
        <f t="shared" si="1610"/>
        <v>Northern Cardinal</v>
      </c>
      <c r="C7427" s="6">
        <f t="shared" si="1610"/>
        <v>0.74097222222222225</v>
      </c>
      <c r="D7427" s="5"/>
      <c r="E7427" s="5"/>
      <c r="F7427" s="5" t="s">
        <v>9</v>
      </c>
      <c r="G7427" s="15" t="s">
        <v>8</v>
      </c>
      <c r="H7427" s="24">
        <f t="shared" si="1570"/>
        <v>0</v>
      </c>
      <c r="I7427" s="24" cm="1">
        <f t="array" ref="I7427">IFERROR(IF($B7427=I$1, ($A7427+$C7427) - MAX(IF($B$2:$B7426=$B7427, $A$2:$A7426+$C$2:$C7426)), "")*24*60, "")</f>
        <v>0</v>
      </c>
      <c r="J7427" s="24" t="str" cm="1">
        <f t="array" ref="J7427">IFERROR(IF($B7427=J$1, ($A7427+$C7427) - MAX(IF($B$2:$B7426=$B7427, $A$2:$A7426+$C$2:$C7426)), "")*24*60, "")</f>
        <v/>
      </c>
      <c r="K7427" s="24" t="str" cm="1">
        <f t="array" ref="K7427">IFERROR(IF($B7427=K$1, ($A7427+$C7427) - MAX(IF($B$2:$B7426=$B7427, $A$2:$A7426+$C$2:$C7426)), "")*24*60, "")</f>
        <v/>
      </c>
      <c r="L7427" s="24" t="str" cm="1">
        <f t="array" ref="L7427">IFERROR(IF($B7427=L$1, ($A7427+$C7427) - MAX(IF($B$2:$B7426=$B7427, $A$2:$A7426+$C$2:$C7426)), "")*24*60, "")</f>
        <v/>
      </c>
      <c r="M7427" s="24" t="str" cm="1">
        <f t="array" ref="M7427">IFERROR(IF($B7427=M$1, ($A7427+$C7427) - MAX(IF($B$2:$B7426=$B7427, $A$2:$A7426+$C$2:$C7426)), "")*24*60, "")</f>
        <v/>
      </c>
      <c r="N7427" s="24" t="str" cm="1">
        <f t="array" ref="N7427">IFERROR(IF($B7427=N$1, ($A7427+$C7427) - MAX(IF($B$2:$B7426=$B7427, $A$2:$A7426+$C$2:$C7426)), "")*24*60, "")</f>
        <v/>
      </c>
      <c r="O7427" s="24" t="str" cm="1">
        <f t="array" ref="O7427">IFERROR(IF($B7427=O$1, ($A7427+$C7427) - MAX(IF($B$2:$B7426=$B7427, $A$2:$A7426+$C$2:$C7426)), "")*24*60, "")</f>
        <v/>
      </c>
      <c r="P7427" s="24" t="str" cm="1">
        <f t="array" ref="P7427">IFERROR(IF($B7427=P$1, ($A7427+$C7427) - MAX(IF($B$2:$B7426=$B7427, $A$2:$A7426+$C$2:$C7426)), "")*24*60, "")</f>
        <v/>
      </c>
      <c r="Q7427" s="24" t="str" cm="1">
        <f t="array" ref="Q7427">IFERROR(IF($B7427=Q$1, ($A7427+$C7427) - MAX(IF($B$2:$B7426=$B7427, $A$2:$A7426+$C$2:$C7426)), "")*24*60, "")</f>
        <v/>
      </c>
      <c r="R7427" s="24" t="str" cm="1">
        <f t="array" ref="R7427">IFERROR(IF($B7427=R$1, ($A7427+$C7427) - MAX(IF($B$2:$B7426=$B7427, $A$2:$A7426+$C$2:$C7426)), "")*24*60, "")</f>
        <v/>
      </c>
      <c r="S7427" s="24" t="str" cm="1">
        <f t="array" ref="S7427">IFERROR(IF($B7427=S$1, ($A7427+$C7427) - MAX(IF($B$2:$B7426=$B7427, $A$2:$A7426+$C$2:$C7426)), "")*24*60, "")</f>
        <v/>
      </c>
    </row>
    <row r="7428" spans="1:19" x14ac:dyDescent="0.2">
      <c r="A7428" s="12">
        <f t="shared" ref="A7428:C7428" si="1611">A7427</f>
        <v>46015</v>
      </c>
      <c r="B7428" s="5" t="str">
        <f t="shared" si="1611"/>
        <v>Northern Cardinal</v>
      </c>
      <c r="C7428" s="6">
        <f t="shared" si="1611"/>
        <v>0.74097222222222225</v>
      </c>
      <c r="D7428" s="5"/>
      <c r="E7428" s="5"/>
      <c r="F7428" s="5" t="s">
        <v>9</v>
      </c>
      <c r="G7428" s="15" t="s">
        <v>8</v>
      </c>
      <c r="H7428" s="24">
        <f t="shared" si="1570"/>
        <v>0</v>
      </c>
      <c r="I7428" s="24" cm="1">
        <f t="array" ref="I7428">IFERROR(IF($B7428=I$1, ($A7428+$C7428) - MAX(IF($B$2:$B7427=$B7428, $A$2:$A7427+$C$2:$C7427)), "")*24*60, "")</f>
        <v>0</v>
      </c>
      <c r="J7428" s="24" t="str" cm="1">
        <f t="array" ref="J7428">IFERROR(IF($B7428=J$1, ($A7428+$C7428) - MAX(IF($B$2:$B7427=$B7428, $A$2:$A7427+$C$2:$C7427)), "")*24*60, "")</f>
        <v/>
      </c>
      <c r="K7428" s="24" t="str" cm="1">
        <f t="array" ref="K7428">IFERROR(IF($B7428=K$1, ($A7428+$C7428) - MAX(IF($B$2:$B7427=$B7428, $A$2:$A7427+$C$2:$C7427)), "")*24*60, "")</f>
        <v/>
      </c>
      <c r="L7428" s="24" t="str" cm="1">
        <f t="array" ref="L7428">IFERROR(IF($B7428=L$1, ($A7428+$C7428) - MAX(IF($B$2:$B7427=$B7428, $A$2:$A7427+$C$2:$C7427)), "")*24*60, "")</f>
        <v/>
      </c>
      <c r="M7428" s="24" t="str" cm="1">
        <f t="array" ref="M7428">IFERROR(IF($B7428=M$1, ($A7428+$C7428) - MAX(IF($B$2:$B7427=$B7428, $A$2:$A7427+$C$2:$C7427)), "")*24*60, "")</f>
        <v/>
      </c>
      <c r="N7428" s="24" t="str" cm="1">
        <f t="array" ref="N7428">IFERROR(IF($B7428=N$1, ($A7428+$C7428) - MAX(IF($B$2:$B7427=$B7428, $A$2:$A7427+$C$2:$C7427)), "")*24*60, "")</f>
        <v/>
      </c>
      <c r="O7428" s="24" t="str" cm="1">
        <f t="array" ref="O7428">IFERROR(IF($B7428=O$1, ($A7428+$C7428) - MAX(IF($B$2:$B7427=$B7428, $A$2:$A7427+$C$2:$C7427)), "")*24*60, "")</f>
        <v/>
      </c>
      <c r="P7428" s="24" t="str" cm="1">
        <f t="array" ref="P7428">IFERROR(IF($B7428=P$1, ($A7428+$C7428) - MAX(IF($B$2:$B7427=$B7428, $A$2:$A7427+$C$2:$C7427)), "")*24*60, "")</f>
        <v/>
      </c>
      <c r="Q7428" s="24" t="str" cm="1">
        <f t="array" ref="Q7428">IFERROR(IF($B7428=Q$1, ($A7428+$C7428) - MAX(IF($B$2:$B7427=$B7428, $A$2:$A7427+$C$2:$C7427)), "")*24*60, "")</f>
        <v/>
      </c>
      <c r="R7428" s="24" t="str" cm="1">
        <f t="array" ref="R7428">IFERROR(IF($B7428=R$1, ($A7428+$C7428) - MAX(IF($B$2:$B7427=$B7428, $A$2:$A7427+$C$2:$C7427)), "")*24*60, "")</f>
        <v/>
      </c>
      <c r="S7428" s="24" t="str" cm="1">
        <f t="array" ref="S7428">IFERROR(IF($B7428=S$1, ($A7428+$C7428) - MAX(IF($B$2:$B7427=$B7428, $A$2:$A7427+$C$2:$C7427)), "")*24*60, "")</f>
        <v/>
      </c>
    </row>
    <row r="7429" spans="1:19" x14ac:dyDescent="0.2">
      <c r="A7429" s="12">
        <f t="shared" ref="A7429:C7429" si="1612">A7428</f>
        <v>46015</v>
      </c>
      <c r="B7429" s="5" t="str">
        <f t="shared" si="1612"/>
        <v>Northern Cardinal</v>
      </c>
      <c r="C7429" s="6">
        <f t="shared" si="1612"/>
        <v>0.74097222222222225</v>
      </c>
      <c r="D7429" s="5"/>
      <c r="E7429" s="5"/>
      <c r="F7429" s="5" t="s">
        <v>9</v>
      </c>
      <c r="G7429" s="15" t="s">
        <v>8</v>
      </c>
      <c r="H7429" s="24">
        <f t="shared" si="1570"/>
        <v>0</v>
      </c>
      <c r="I7429" s="24" cm="1">
        <f t="array" ref="I7429">IFERROR(IF($B7429=I$1, ($A7429+$C7429) - MAX(IF($B$2:$B7428=$B7429, $A$2:$A7428+$C$2:$C7428)), "")*24*60, "")</f>
        <v>0</v>
      </c>
      <c r="J7429" s="24" t="str" cm="1">
        <f t="array" ref="J7429">IFERROR(IF($B7429=J$1, ($A7429+$C7429) - MAX(IF($B$2:$B7428=$B7429, $A$2:$A7428+$C$2:$C7428)), "")*24*60, "")</f>
        <v/>
      </c>
      <c r="K7429" s="24" t="str" cm="1">
        <f t="array" ref="K7429">IFERROR(IF($B7429=K$1, ($A7429+$C7429) - MAX(IF($B$2:$B7428=$B7429, $A$2:$A7428+$C$2:$C7428)), "")*24*60, "")</f>
        <v/>
      </c>
      <c r="L7429" s="24" t="str" cm="1">
        <f t="array" ref="L7429">IFERROR(IF($B7429=L$1, ($A7429+$C7429) - MAX(IF($B$2:$B7428=$B7429, $A$2:$A7428+$C$2:$C7428)), "")*24*60, "")</f>
        <v/>
      </c>
      <c r="M7429" s="24" t="str" cm="1">
        <f t="array" ref="M7429">IFERROR(IF($B7429=M$1, ($A7429+$C7429) - MAX(IF($B$2:$B7428=$B7429, $A$2:$A7428+$C$2:$C7428)), "")*24*60, "")</f>
        <v/>
      </c>
      <c r="N7429" s="24" t="str" cm="1">
        <f t="array" ref="N7429">IFERROR(IF($B7429=N$1, ($A7429+$C7429) - MAX(IF($B$2:$B7428=$B7429, $A$2:$A7428+$C$2:$C7428)), "")*24*60, "")</f>
        <v/>
      </c>
      <c r="O7429" s="24" t="str" cm="1">
        <f t="array" ref="O7429">IFERROR(IF($B7429=O$1, ($A7429+$C7429) - MAX(IF($B$2:$B7428=$B7429, $A$2:$A7428+$C$2:$C7428)), "")*24*60, "")</f>
        <v/>
      </c>
      <c r="P7429" s="24" t="str" cm="1">
        <f t="array" ref="P7429">IFERROR(IF($B7429=P$1, ($A7429+$C7429) - MAX(IF($B$2:$B7428=$B7429, $A$2:$A7428+$C$2:$C7428)), "")*24*60, "")</f>
        <v/>
      </c>
      <c r="Q7429" s="24" t="str" cm="1">
        <f t="array" ref="Q7429">IFERROR(IF($B7429=Q$1, ($A7429+$C7429) - MAX(IF($B$2:$B7428=$B7429, $A$2:$A7428+$C$2:$C7428)), "")*24*60, "")</f>
        <v/>
      </c>
      <c r="R7429" s="24" t="str" cm="1">
        <f t="array" ref="R7429">IFERROR(IF($B7429=R$1, ($A7429+$C7429) - MAX(IF($B$2:$B7428=$B7429, $A$2:$A7428+$C$2:$C7428)), "")*24*60, "")</f>
        <v/>
      </c>
      <c r="S7429" s="24" t="str" cm="1">
        <f t="array" ref="S7429">IFERROR(IF($B7429=S$1, ($A7429+$C7429) - MAX(IF($B$2:$B7428=$B7429, $A$2:$A7428+$C$2:$C7428)), "")*24*60, "")</f>
        <v/>
      </c>
    </row>
    <row r="7430" spans="1:19" x14ac:dyDescent="0.2">
      <c r="A7430" s="12">
        <f t="shared" ref="A7430:C7430" si="1613">A7429</f>
        <v>46015</v>
      </c>
      <c r="B7430" s="5" t="str">
        <f t="shared" si="1613"/>
        <v>Northern Cardinal</v>
      </c>
      <c r="C7430" s="6">
        <f t="shared" si="1613"/>
        <v>0.74097222222222225</v>
      </c>
      <c r="D7430" s="5"/>
      <c r="E7430" s="5"/>
      <c r="F7430" s="5" t="s">
        <v>9</v>
      </c>
      <c r="G7430" s="15" t="s">
        <v>8</v>
      </c>
      <c r="H7430" s="24">
        <f t="shared" si="1570"/>
        <v>0</v>
      </c>
      <c r="I7430" s="24" cm="1">
        <f t="array" ref="I7430">IFERROR(IF($B7430=I$1, ($A7430+$C7430) - MAX(IF($B$2:$B7429=$B7430, $A$2:$A7429+$C$2:$C7429)), "")*24*60, "")</f>
        <v>0</v>
      </c>
      <c r="J7430" s="24" t="str" cm="1">
        <f t="array" ref="J7430">IFERROR(IF($B7430=J$1, ($A7430+$C7430) - MAX(IF($B$2:$B7429=$B7430, $A$2:$A7429+$C$2:$C7429)), "")*24*60, "")</f>
        <v/>
      </c>
      <c r="K7430" s="24" t="str" cm="1">
        <f t="array" ref="K7430">IFERROR(IF($B7430=K$1, ($A7430+$C7430) - MAX(IF($B$2:$B7429=$B7430, $A$2:$A7429+$C$2:$C7429)), "")*24*60, "")</f>
        <v/>
      </c>
      <c r="L7430" s="24" t="str" cm="1">
        <f t="array" ref="L7430">IFERROR(IF($B7430=L$1, ($A7430+$C7430) - MAX(IF($B$2:$B7429=$B7430, $A$2:$A7429+$C$2:$C7429)), "")*24*60, "")</f>
        <v/>
      </c>
      <c r="M7430" s="24" t="str" cm="1">
        <f t="array" ref="M7430">IFERROR(IF($B7430=M$1, ($A7430+$C7430) - MAX(IF($B$2:$B7429=$B7430, $A$2:$A7429+$C$2:$C7429)), "")*24*60, "")</f>
        <v/>
      </c>
      <c r="N7430" s="24" t="str" cm="1">
        <f t="array" ref="N7430">IFERROR(IF($B7430=N$1, ($A7430+$C7430) - MAX(IF($B$2:$B7429=$B7430, $A$2:$A7429+$C$2:$C7429)), "")*24*60, "")</f>
        <v/>
      </c>
      <c r="O7430" s="24" t="str" cm="1">
        <f t="array" ref="O7430">IFERROR(IF($B7430=O$1, ($A7430+$C7430) - MAX(IF($B$2:$B7429=$B7430, $A$2:$A7429+$C$2:$C7429)), "")*24*60, "")</f>
        <v/>
      </c>
      <c r="P7430" s="24" t="str" cm="1">
        <f t="array" ref="P7430">IFERROR(IF($B7430=P$1, ($A7430+$C7430) - MAX(IF($B$2:$B7429=$B7430, $A$2:$A7429+$C$2:$C7429)), "")*24*60, "")</f>
        <v/>
      </c>
      <c r="Q7430" s="24" t="str" cm="1">
        <f t="array" ref="Q7430">IFERROR(IF($B7430=Q$1, ($A7430+$C7430) - MAX(IF($B$2:$B7429=$B7430, $A$2:$A7429+$C$2:$C7429)), "")*24*60, "")</f>
        <v/>
      </c>
      <c r="R7430" s="24" t="str" cm="1">
        <f t="array" ref="R7430">IFERROR(IF($B7430=R$1, ($A7430+$C7430) - MAX(IF($B$2:$B7429=$B7430, $A$2:$A7429+$C$2:$C7429)), "")*24*60, "")</f>
        <v/>
      </c>
      <c r="S7430" s="24" t="str" cm="1">
        <f t="array" ref="S7430">IFERROR(IF($B7430=S$1, ($A7430+$C7430) - MAX(IF($B$2:$B7429=$B7430, $A$2:$A7429+$C$2:$C7429)), "")*24*60, "")</f>
        <v/>
      </c>
    </row>
    <row r="7431" spans="1:19" x14ac:dyDescent="0.2">
      <c r="A7431" s="12">
        <f t="shared" ref="A7431:C7431" si="1614">A7430</f>
        <v>46015</v>
      </c>
      <c r="B7431" s="5" t="str">
        <f t="shared" si="1614"/>
        <v>Northern Cardinal</v>
      </c>
      <c r="C7431" s="6">
        <f t="shared" si="1614"/>
        <v>0.74097222222222225</v>
      </c>
      <c r="D7431" s="5"/>
      <c r="E7431" s="5"/>
      <c r="F7431" s="5" t="s">
        <v>9</v>
      </c>
      <c r="G7431" s="15" t="s">
        <v>8</v>
      </c>
      <c r="H7431" s="24">
        <f t="shared" si="1570"/>
        <v>0</v>
      </c>
      <c r="I7431" s="24" cm="1">
        <f t="array" ref="I7431">IFERROR(IF($B7431=I$1, ($A7431+$C7431) - MAX(IF($B$2:$B7430=$B7431, $A$2:$A7430+$C$2:$C7430)), "")*24*60, "")</f>
        <v>0</v>
      </c>
      <c r="J7431" s="24" t="str" cm="1">
        <f t="array" ref="J7431">IFERROR(IF($B7431=J$1, ($A7431+$C7431) - MAX(IF($B$2:$B7430=$B7431, $A$2:$A7430+$C$2:$C7430)), "")*24*60, "")</f>
        <v/>
      </c>
      <c r="K7431" s="24" t="str" cm="1">
        <f t="array" ref="K7431">IFERROR(IF($B7431=K$1, ($A7431+$C7431) - MAX(IF($B$2:$B7430=$B7431, $A$2:$A7430+$C$2:$C7430)), "")*24*60, "")</f>
        <v/>
      </c>
      <c r="L7431" s="24" t="str" cm="1">
        <f t="array" ref="L7431">IFERROR(IF($B7431=L$1, ($A7431+$C7431) - MAX(IF($B$2:$B7430=$B7431, $A$2:$A7430+$C$2:$C7430)), "")*24*60, "")</f>
        <v/>
      </c>
      <c r="M7431" s="24" t="str" cm="1">
        <f t="array" ref="M7431">IFERROR(IF($B7431=M$1, ($A7431+$C7431) - MAX(IF($B$2:$B7430=$B7431, $A$2:$A7430+$C$2:$C7430)), "")*24*60, "")</f>
        <v/>
      </c>
      <c r="N7431" s="24" t="str" cm="1">
        <f t="array" ref="N7431">IFERROR(IF($B7431=N$1, ($A7431+$C7431) - MAX(IF($B$2:$B7430=$B7431, $A$2:$A7430+$C$2:$C7430)), "")*24*60, "")</f>
        <v/>
      </c>
      <c r="O7431" s="24" t="str" cm="1">
        <f t="array" ref="O7431">IFERROR(IF($B7431=O$1, ($A7431+$C7431) - MAX(IF($B$2:$B7430=$B7431, $A$2:$A7430+$C$2:$C7430)), "")*24*60, "")</f>
        <v/>
      </c>
      <c r="P7431" s="24" t="str" cm="1">
        <f t="array" ref="P7431">IFERROR(IF($B7431=P$1, ($A7431+$C7431) - MAX(IF($B$2:$B7430=$B7431, $A$2:$A7430+$C$2:$C7430)), "")*24*60, "")</f>
        <v/>
      </c>
      <c r="Q7431" s="24" t="str" cm="1">
        <f t="array" ref="Q7431">IFERROR(IF($B7431=Q$1, ($A7431+$C7431) - MAX(IF($B$2:$B7430=$B7431, $A$2:$A7430+$C$2:$C7430)), "")*24*60, "")</f>
        <v/>
      </c>
      <c r="R7431" s="24" t="str" cm="1">
        <f t="array" ref="R7431">IFERROR(IF($B7431=R$1, ($A7431+$C7431) - MAX(IF($B$2:$B7430=$B7431, $A$2:$A7430+$C$2:$C7430)), "")*24*60, "")</f>
        <v/>
      </c>
      <c r="S7431" s="24" t="str" cm="1">
        <f t="array" ref="S7431">IFERROR(IF($B7431=S$1, ($A7431+$C7431) - MAX(IF($B$2:$B7430=$B7431, $A$2:$A7430+$C$2:$C7430)), "")*24*60, "")</f>
        <v/>
      </c>
    </row>
    <row r="7432" spans="1:19" x14ac:dyDescent="0.2">
      <c r="A7432" s="12">
        <f t="shared" ref="A7432:C7432" si="1615">A7431</f>
        <v>46015</v>
      </c>
      <c r="B7432" s="5" t="str">
        <f t="shared" si="1615"/>
        <v>Northern Cardinal</v>
      </c>
      <c r="C7432" s="6">
        <f t="shared" si="1615"/>
        <v>0.74097222222222225</v>
      </c>
      <c r="D7432" s="5"/>
      <c r="E7432" s="5"/>
      <c r="F7432" s="5" t="s">
        <v>9</v>
      </c>
      <c r="G7432" s="15" t="s">
        <v>8</v>
      </c>
      <c r="H7432" s="24">
        <f t="shared" si="1570"/>
        <v>0</v>
      </c>
      <c r="I7432" s="24" cm="1">
        <f t="array" ref="I7432">IFERROR(IF($B7432=I$1, ($A7432+$C7432) - MAX(IF($B$2:$B7431=$B7432, $A$2:$A7431+$C$2:$C7431)), "")*24*60, "")</f>
        <v>0</v>
      </c>
      <c r="J7432" s="24" t="str" cm="1">
        <f t="array" ref="J7432">IFERROR(IF($B7432=J$1, ($A7432+$C7432) - MAX(IF($B$2:$B7431=$B7432, $A$2:$A7431+$C$2:$C7431)), "")*24*60, "")</f>
        <v/>
      </c>
      <c r="K7432" s="24" t="str" cm="1">
        <f t="array" ref="K7432">IFERROR(IF($B7432=K$1, ($A7432+$C7432) - MAX(IF($B$2:$B7431=$B7432, $A$2:$A7431+$C$2:$C7431)), "")*24*60, "")</f>
        <v/>
      </c>
      <c r="L7432" s="24" t="str" cm="1">
        <f t="array" ref="L7432">IFERROR(IF($B7432=L$1, ($A7432+$C7432) - MAX(IF($B$2:$B7431=$B7432, $A$2:$A7431+$C$2:$C7431)), "")*24*60, "")</f>
        <v/>
      </c>
      <c r="M7432" s="24" t="str" cm="1">
        <f t="array" ref="M7432">IFERROR(IF($B7432=M$1, ($A7432+$C7432) - MAX(IF($B$2:$B7431=$B7432, $A$2:$A7431+$C$2:$C7431)), "")*24*60, "")</f>
        <v/>
      </c>
      <c r="N7432" s="24" t="str" cm="1">
        <f t="array" ref="N7432">IFERROR(IF($B7432=N$1, ($A7432+$C7432) - MAX(IF($B$2:$B7431=$B7432, $A$2:$A7431+$C$2:$C7431)), "")*24*60, "")</f>
        <v/>
      </c>
      <c r="O7432" s="24" t="str" cm="1">
        <f t="array" ref="O7432">IFERROR(IF($B7432=O$1, ($A7432+$C7432) - MAX(IF($B$2:$B7431=$B7432, $A$2:$A7431+$C$2:$C7431)), "")*24*60, "")</f>
        <v/>
      </c>
      <c r="P7432" s="24" t="str" cm="1">
        <f t="array" ref="P7432">IFERROR(IF($B7432=P$1, ($A7432+$C7432) - MAX(IF($B$2:$B7431=$B7432, $A$2:$A7431+$C$2:$C7431)), "")*24*60, "")</f>
        <v/>
      </c>
      <c r="Q7432" s="24" t="str" cm="1">
        <f t="array" ref="Q7432">IFERROR(IF($B7432=Q$1, ($A7432+$C7432) - MAX(IF($B$2:$B7431=$B7432, $A$2:$A7431+$C$2:$C7431)), "")*24*60, "")</f>
        <v/>
      </c>
      <c r="R7432" s="24" t="str" cm="1">
        <f t="array" ref="R7432">IFERROR(IF($B7432=R$1, ($A7432+$C7432) - MAX(IF($B$2:$B7431=$B7432, $A$2:$A7431+$C$2:$C7431)), "")*24*60, "")</f>
        <v/>
      </c>
      <c r="S7432" s="24" t="str" cm="1">
        <f t="array" ref="S7432">IFERROR(IF($B7432=S$1, ($A7432+$C7432) - MAX(IF($B$2:$B7431=$B7432, $A$2:$A7431+$C$2:$C7431)), "")*24*60, "")</f>
        <v/>
      </c>
    </row>
    <row r="7433" spans="1:19" x14ac:dyDescent="0.2">
      <c r="A7433" s="12">
        <f t="shared" ref="A7433:C7433" si="1616">A7432</f>
        <v>46015</v>
      </c>
      <c r="B7433" s="5" t="str">
        <f t="shared" si="1616"/>
        <v>Northern Cardinal</v>
      </c>
      <c r="C7433" s="6">
        <f t="shared" si="1616"/>
        <v>0.74097222222222225</v>
      </c>
      <c r="D7433" s="5"/>
      <c r="E7433" s="5"/>
      <c r="F7433" s="5" t="s">
        <v>9</v>
      </c>
      <c r="G7433" s="15" t="s">
        <v>8</v>
      </c>
      <c r="H7433" s="24">
        <f t="shared" si="1570"/>
        <v>0</v>
      </c>
      <c r="I7433" s="24" cm="1">
        <f t="array" ref="I7433">IFERROR(IF($B7433=I$1, ($A7433+$C7433) - MAX(IF($B$2:$B7432=$B7433, $A$2:$A7432+$C$2:$C7432)), "")*24*60, "")</f>
        <v>0</v>
      </c>
      <c r="J7433" s="24" t="str" cm="1">
        <f t="array" ref="J7433">IFERROR(IF($B7433=J$1, ($A7433+$C7433) - MAX(IF($B$2:$B7432=$B7433, $A$2:$A7432+$C$2:$C7432)), "")*24*60, "")</f>
        <v/>
      </c>
      <c r="K7433" s="24" t="str" cm="1">
        <f t="array" ref="K7433">IFERROR(IF($B7433=K$1, ($A7433+$C7433) - MAX(IF($B$2:$B7432=$B7433, $A$2:$A7432+$C$2:$C7432)), "")*24*60, "")</f>
        <v/>
      </c>
      <c r="L7433" s="24" t="str" cm="1">
        <f t="array" ref="L7433">IFERROR(IF($B7433=L$1, ($A7433+$C7433) - MAX(IF($B$2:$B7432=$B7433, $A$2:$A7432+$C$2:$C7432)), "")*24*60, "")</f>
        <v/>
      </c>
      <c r="M7433" s="24" t="str" cm="1">
        <f t="array" ref="M7433">IFERROR(IF($B7433=M$1, ($A7433+$C7433) - MAX(IF($B$2:$B7432=$B7433, $A$2:$A7432+$C$2:$C7432)), "")*24*60, "")</f>
        <v/>
      </c>
      <c r="N7433" s="24" t="str" cm="1">
        <f t="array" ref="N7433">IFERROR(IF($B7433=N$1, ($A7433+$C7433) - MAX(IF($B$2:$B7432=$B7433, $A$2:$A7432+$C$2:$C7432)), "")*24*60, "")</f>
        <v/>
      </c>
      <c r="O7433" s="24" t="str" cm="1">
        <f t="array" ref="O7433">IFERROR(IF($B7433=O$1, ($A7433+$C7433) - MAX(IF($B$2:$B7432=$B7433, $A$2:$A7432+$C$2:$C7432)), "")*24*60, "")</f>
        <v/>
      </c>
      <c r="P7433" s="24" t="str" cm="1">
        <f t="array" ref="P7433">IFERROR(IF($B7433=P$1, ($A7433+$C7433) - MAX(IF($B$2:$B7432=$B7433, $A$2:$A7432+$C$2:$C7432)), "")*24*60, "")</f>
        <v/>
      </c>
      <c r="Q7433" s="24" t="str" cm="1">
        <f t="array" ref="Q7433">IFERROR(IF($B7433=Q$1, ($A7433+$C7433) - MAX(IF($B$2:$B7432=$B7433, $A$2:$A7432+$C$2:$C7432)), "")*24*60, "")</f>
        <v/>
      </c>
      <c r="R7433" s="24" t="str" cm="1">
        <f t="array" ref="R7433">IFERROR(IF($B7433=R$1, ($A7433+$C7433) - MAX(IF($B$2:$B7432=$B7433, $A$2:$A7432+$C$2:$C7432)), "")*24*60, "")</f>
        <v/>
      </c>
      <c r="S7433" s="24" t="str" cm="1">
        <f t="array" ref="S7433">IFERROR(IF($B7433=S$1, ($A7433+$C7433) - MAX(IF($B$2:$B7432=$B7433, $A$2:$A7432+$C$2:$C7432)), "")*24*60, "")</f>
        <v/>
      </c>
    </row>
    <row r="7434" spans="1:19" x14ac:dyDescent="0.2">
      <c r="A7434" s="12">
        <f t="shared" ref="A7434:C7434" si="1617">A7433</f>
        <v>46015</v>
      </c>
      <c r="B7434" s="5" t="str">
        <f t="shared" si="1617"/>
        <v>Northern Cardinal</v>
      </c>
      <c r="C7434" s="6">
        <f t="shared" si="1617"/>
        <v>0.74097222222222225</v>
      </c>
      <c r="D7434" s="5"/>
      <c r="E7434" s="5"/>
      <c r="F7434" s="5" t="s">
        <v>9</v>
      </c>
      <c r="G7434" s="15" t="s">
        <v>8</v>
      </c>
      <c r="H7434" s="24">
        <f t="shared" si="1570"/>
        <v>0</v>
      </c>
      <c r="I7434" s="24" cm="1">
        <f t="array" ref="I7434">IFERROR(IF($B7434=I$1, ($A7434+$C7434) - MAX(IF($B$2:$B7433=$B7434, $A$2:$A7433+$C$2:$C7433)), "")*24*60, "")</f>
        <v>0</v>
      </c>
      <c r="J7434" s="24" t="str" cm="1">
        <f t="array" ref="J7434">IFERROR(IF($B7434=J$1, ($A7434+$C7434) - MAX(IF($B$2:$B7433=$B7434, $A$2:$A7433+$C$2:$C7433)), "")*24*60, "")</f>
        <v/>
      </c>
      <c r="K7434" s="24" t="str" cm="1">
        <f t="array" ref="K7434">IFERROR(IF($B7434=K$1, ($A7434+$C7434) - MAX(IF($B$2:$B7433=$B7434, $A$2:$A7433+$C$2:$C7433)), "")*24*60, "")</f>
        <v/>
      </c>
      <c r="L7434" s="24" t="str" cm="1">
        <f t="array" ref="L7434">IFERROR(IF($B7434=L$1, ($A7434+$C7434) - MAX(IF($B$2:$B7433=$B7434, $A$2:$A7433+$C$2:$C7433)), "")*24*60, "")</f>
        <v/>
      </c>
      <c r="M7434" s="24" t="str" cm="1">
        <f t="array" ref="M7434">IFERROR(IF($B7434=M$1, ($A7434+$C7434) - MAX(IF($B$2:$B7433=$B7434, $A$2:$A7433+$C$2:$C7433)), "")*24*60, "")</f>
        <v/>
      </c>
      <c r="N7434" s="24" t="str" cm="1">
        <f t="array" ref="N7434">IFERROR(IF($B7434=N$1, ($A7434+$C7434) - MAX(IF($B$2:$B7433=$B7434, $A$2:$A7433+$C$2:$C7433)), "")*24*60, "")</f>
        <v/>
      </c>
      <c r="O7434" s="24" t="str" cm="1">
        <f t="array" ref="O7434">IFERROR(IF($B7434=O$1, ($A7434+$C7434) - MAX(IF($B$2:$B7433=$B7434, $A$2:$A7433+$C$2:$C7433)), "")*24*60, "")</f>
        <v/>
      </c>
      <c r="P7434" s="24" t="str" cm="1">
        <f t="array" ref="P7434">IFERROR(IF($B7434=P$1, ($A7434+$C7434) - MAX(IF($B$2:$B7433=$B7434, $A$2:$A7433+$C$2:$C7433)), "")*24*60, "")</f>
        <v/>
      </c>
      <c r="Q7434" s="24" t="str" cm="1">
        <f t="array" ref="Q7434">IFERROR(IF($B7434=Q$1, ($A7434+$C7434) - MAX(IF($B$2:$B7433=$B7434, $A$2:$A7433+$C$2:$C7433)), "")*24*60, "")</f>
        <v/>
      </c>
      <c r="R7434" s="24" t="str" cm="1">
        <f t="array" ref="R7434">IFERROR(IF($B7434=R$1, ($A7434+$C7434) - MAX(IF($B$2:$B7433=$B7434, $A$2:$A7433+$C$2:$C7433)), "")*24*60, "")</f>
        <v/>
      </c>
      <c r="S7434" s="24" t="str" cm="1">
        <f t="array" ref="S7434">IFERROR(IF($B7434=S$1, ($A7434+$C7434) - MAX(IF($B$2:$B7433=$B7434, $A$2:$A7433+$C$2:$C7433)), "")*24*60, "")</f>
        <v/>
      </c>
    </row>
    <row r="7435" spans="1:19" x14ac:dyDescent="0.2">
      <c r="A7435" s="12">
        <f t="shared" ref="A7435:C7435" si="1618">A7434</f>
        <v>46015</v>
      </c>
      <c r="B7435" s="5" t="str">
        <f t="shared" si="1618"/>
        <v>Northern Cardinal</v>
      </c>
      <c r="C7435" s="6">
        <f t="shared" si="1618"/>
        <v>0.74097222222222225</v>
      </c>
      <c r="D7435" s="5"/>
      <c r="E7435" s="5"/>
      <c r="F7435" s="5" t="s">
        <v>9</v>
      </c>
      <c r="G7435" s="15" t="s">
        <v>8</v>
      </c>
      <c r="H7435" s="24">
        <f t="shared" si="1570"/>
        <v>0</v>
      </c>
      <c r="I7435" s="24" cm="1">
        <f t="array" ref="I7435">IFERROR(IF($B7435=I$1, ($A7435+$C7435) - MAX(IF($B$2:$B7434=$B7435, $A$2:$A7434+$C$2:$C7434)), "")*24*60, "")</f>
        <v>0</v>
      </c>
      <c r="J7435" s="24" t="str" cm="1">
        <f t="array" ref="J7435">IFERROR(IF($B7435=J$1, ($A7435+$C7435) - MAX(IF($B$2:$B7434=$B7435, $A$2:$A7434+$C$2:$C7434)), "")*24*60, "")</f>
        <v/>
      </c>
      <c r="K7435" s="24" t="str" cm="1">
        <f t="array" ref="K7435">IFERROR(IF($B7435=K$1, ($A7435+$C7435) - MAX(IF($B$2:$B7434=$B7435, $A$2:$A7434+$C$2:$C7434)), "")*24*60, "")</f>
        <v/>
      </c>
      <c r="L7435" s="24" t="str" cm="1">
        <f t="array" ref="L7435">IFERROR(IF($B7435=L$1, ($A7435+$C7435) - MAX(IF($B$2:$B7434=$B7435, $A$2:$A7434+$C$2:$C7434)), "")*24*60, "")</f>
        <v/>
      </c>
      <c r="M7435" s="24" t="str" cm="1">
        <f t="array" ref="M7435">IFERROR(IF($B7435=M$1, ($A7435+$C7435) - MAX(IF($B$2:$B7434=$B7435, $A$2:$A7434+$C$2:$C7434)), "")*24*60, "")</f>
        <v/>
      </c>
      <c r="N7435" s="24" t="str" cm="1">
        <f t="array" ref="N7435">IFERROR(IF($B7435=N$1, ($A7435+$C7435) - MAX(IF($B$2:$B7434=$B7435, $A$2:$A7434+$C$2:$C7434)), "")*24*60, "")</f>
        <v/>
      </c>
      <c r="O7435" s="24" t="str" cm="1">
        <f t="array" ref="O7435">IFERROR(IF($B7435=O$1, ($A7435+$C7435) - MAX(IF($B$2:$B7434=$B7435, $A$2:$A7434+$C$2:$C7434)), "")*24*60, "")</f>
        <v/>
      </c>
      <c r="P7435" s="24" t="str" cm="1">
        <f t="array" ref="P7435">IFERROR(IF($B7435=P$1, ($A7435+$C7435) - MAX(IF($B$2:$B7434=$B7435, $A$2:$A7434+$C$2:$C7434)), "")*24*60, "")</f>
        <v/>
      </c>
      <c r="Q7435" s="24" t="str" cm="1">
        <f t="array" ref="Q7435">IFERROR(IF($B7435=Q$1, ($A7435+$C7435) - MAX(IF($B$2:$B7434=$B7435, $A$2:$A7434+$C$2:$C7434)), "")*24*60, "")</f>
        <v/>
      </c>
      <c r="R7435" s="24" t="str" cm="1">
        <f t="array" ref="R7435">IFERROR(IF($B7435=R$1, ($A7435+$C7435) - MAX(IF($B$2:$B7434=$B7435, $A$2:$A7434+$C$2:$C7434)), "")*24*60, "")</f>
        <v/>
      </c>
      <c r="S7435" s="24" t="str" cm="1">
        <f t="array" ref="S7435">IFERROR(IF($B7435=S$1, ($A7435+$C7435) - MAX(IF($B$2:$B7434=$B7435, $A$2:$A7434+$C$2:$C7434)), "")*24*60, "")</f>
        <v/>
      </c>
    </row>
    <row r="7436" spans="1:19" x14ac:dyDescent="0.2">
      <c r="A7436" s="12">
        <f t="shared" ref="A7436:C7436" si="1619">A7435</f>
        <v>46015</v>
      </c>
      <c r="B7436" s="5" t="str">
        <f t="shared" si="1619"/>
        <v>Northern Cardinal</v>
      </c>
      <c r="C7436" s="6">
        <f t="shared" si="1619"/>
        <v>0.74097222222222225</v>
      </c>
      <c r="D7436" s="5"/>
      <c r="E7436" s="5"/>
      <c r="F7436" s="5" t="s">
        <v>9</v>
      </c>
      <c r="G7436" s="15" t="s">
        <v>8</v>
      </c>
      <c r="H7436" s="24">
        <f t="shared" si="1570"/>
        <v>0</v>
      </c>
      <c r="I7436" s="24" cm="1">
        <f t="array" ref="I7436">IFERROR(IF($B7436=I$1, ($A7436+$C7436) - MAX(IF($B$2:$B7435=$B7436, $A$2:$A7435+$C$2:$C7435)), "")*24*60, "")</f>
        <v>0</v>
      </c>
      <c r="J7436" s="24" t="str" cm="1">
        <f t="array" ref="J7436">IFERROR(IF($B7436=J$1, ($A7436+$C7436) - MAX(IF($B$2:$B7435=$B7436, $A$2:$A7435+$C$2:$C7435)), "")*24*60, "")</f>
        <v/>
      </c>
      <c r="K7436" s="24" t="str" cm="1">
        <f t="array" ref="K7436">IFERROR(IF($B7436=K$1, ($A7436+$C7436) - MAX(IF($B$2:$B7435=$B7436, $A$2:$A7435+$C$2:$C7435)), "")*24*60, "")</f>
        <v/>
      </c>
      <c r="L7436" s="24" t="str" cm="1">
        <f t="array" ref="L7436">IFERROR(IF($B7436=L$1, ($A7436+$C7436) - MAX(IF($B$2:$B7435=$B7436, $A$2:$A7435+$C$2:$C7435)), "")*24*60, "")</f>
        <v/>
      </c>
      <c r="M7436" s="24" t="str" cm="1">
        <f t="array" ref="M7436">IFERROR(IF($B7436=M$1, ($A7436+$C7436) - MAX(IF($B$2:$B7435=$B7436, $A$2:$A7435+$C$2:$C7435)), "")*24*60, "")</f>
        <v/>
      </c>
      <c r="N7436" s="24" t="str" cm="1">
        <f t="array" ref="N7436">IFERROR(IF($B7436=N$1, ($A7436+$C7436) - MAX(IF($B$2:$B7435=$B7436, $A$2:$A7435+$C$2:$C7435)), "")*24*60, "")</f>
        <v/>
      </c>
      <c r="O7436" s="24" t="str" cm="1">
        <f t="array" ref="O7436">IFERROR(IF($B7436=O$1, ($A7436+$C7436) - MAX(IF($B$2:$B7435=$B7436, $A$2:$A7435+$C$2:$C7435)), "")*24*60, "")</f>
        <v/>
      </c>
      <c r="P7436" s="24" t="str" cm="1">
        <f t="array" ref="P7436">IFERROR(IF($B7436=P$1, ($A7436+$C7436) - MAX(IF($B$2:$B7435=$B7436, $A$2:$A7435+$C$2:$C7435)), "")*24*60, "")</f>
        <v/>
      </c>
      <c r="Q7436" s="24" t="str" cm="1">
        <f t="array" ref="Q7436">IFERROR(IF($B7436=Q$1, ($A7436+$C7436) - MAX(IF($B$2:$B7435=$B7436, $A$2:$A7435+$C$2:$C7435)), "")*24*60, "")</f>
        <v/>
      </c>
      <c r="R7436" s="24" t="str" cm="1">
        <f t="array" ref="R7436">IFERROR(IF($B7436=R$1, ($A7436+$C7436) - MAX(IF($B$2:$B7435=$B7436, $A$2:$A7435+$C$2:$C7435)), "")*24*60, "")</f>
        <v/>
      </c>
      <c r="S7436" s="24" t="str" cm="1">
        <f t="array" ref="S7436">IFERROR(IF($B7436=S$1, ($A7436+$C7436) - MAX(IF($B$2:$B7435=$B7436, $A$2:$A7435+$C$2:$C7435)), "")*24*60, "")</f>
        <v/>
      </c>
    </row>
    <row r="7437" spans="1:19" x14ac:dyDescent="0.2">
      <c r="A7437" s="12">
        <f t="shared" ref="A7437:C7437" si="1620">A7436</f>
        <v>46015</v>
      </c>
      <c r="B7437" s="5" t="str">
        <f t="shared" si="1620"/>
        <v>Northern Cardinal</v>
      </c>
      <c r="C7437" s="6">
        <f t="shared" si="1620"/>
        <v>0.74097222222222225</v>
      </c>
      <c r="D7437" s="5"/>
      <c r="E7437" s="5"/>
      <c r="F7437" s="5" t="s">
        <v>9</v>
      </c>
      <c r="G7437" s="15" t="s">
        <v>8</v>
      </c>
      <c r="H7437" s="24">
        <f t="shared" si="1570"/>
        <v>0</v>
      </c>
      <c r="I7437" s="24" cm="1">
        <f t="array" ref="I7437">IFERROR(IF($B7437=I$1, ($A7437+$C7437) - MAX(IF($B$2:$B7436=$B7437, $A$2:$A7436+$C$2:$C7436)), "")*24*60, "")</f>
        <v>0</v>
      </c>
      <c r="J7437" s="24" t="str" cm="1">
        <f t="array" ref="J7437">IFERROR(IF($B7437=J$1, ($A7437+$C7437) - MAX(IF($B$2:$B7436=$B7437, $A$2:$A7436+$C$2:$C7436)), "")*24*60, "")</f>
        <v/>
      </c>
      <c r="K7437" s="24" t="str" cm="1">
        <f t="array" ref="K7437">IFERROR(IF($B7437=K$1, ($A7437+$C7437) - MAX(IF($B$2:$B7436=$B7437, $A$2:$A7436+$C$2:$C7436)), "")*24*60, "")</f>
        <v/>
      </c>
      <c r="L7437" s="24" t="str" cm="1">
        <f t="array" ref="L7437">IFERROR(IF($B7437=L$1, ($A7437+$C7437) - MAX(IF($B$2:$B7436=$B7437, $A$2:$A7436+$C$2:$C7436)), "")*24*60, "")</f>
        <v/>
      </c>
      <c r="M7437" s="24" t="str" cm="1">
        <f t="array" ref="M7437">IFERROR(IF($B7437=M$1, ($A7437+$C7437) - MAX(IF($B$2:$B7436=$B7437, $A$2:$A7436+$C$2:$C7436)), "")*24*60, "")</f>
        <v/>
      </c>
      <c r="N7437" s="24" t="str" cm="1">
        <f t="array" ref="N7437">IFERROR(IF($B7437=N$1, ($A7437+$C7437) - MAX(IF($B$2:$B7436=$B7437, $A$2:$A7436+$C$2:$C7436)), "")*24*60, "")</f>
        <v/>
      </c>
      <c r="O7437" s="24" t="str" cm="1">
        <f t="array" ref="O7437">IFERROR(IF($B7437=O$1, ($A7437+$C7437) - MAX(IF($B$2:$B7436=$B7437, $A$2:$A7436+$C$2:$C7436)), "")*24*60, "")</f>
        <v/>
      </c>
      <c r="P7437" s="24" t="str" cm="1">
        <f t="array" ref="P7437">IFERROR(IF($B7437=P$1, ($A7437+$C7437) - MAX(IF($B$2:$B7436=$B7437, $A$2:$A7436+$C$2:$C7436)), "")*24*60, "")</f>
        <v/>
      </c>
      <c r="Q7437" s="24" t="str" cm="1">
        <f t="array" ref="Q7437">IFERROR(IF($B7437=Q$1, ($A7437+$C7437) - MAX(IF($B$2:$B7436=$B7437, $A$2:$A7436+$C$2:$C7436)), "")*24*60, "")</f>
        <v/>
      </c>
      <c r="R7437" s="24" t="str" cm="1">
        <f t="array" ref="R7437">IFERROR(IF($B7437=R$1, ($A7437+$C7437) - MAX(IF($B$2:$B7436=$B7437, $A$2:$A7436+$C$2:$C7436)), "")*24*60, "")</f>
        <v/>
      </c>
      <c r="S7437" s="24" t="str" cm="1">
        <f t="array" ref="S7437">IFERROR(IF($B7437=S$1, ($A7437+$C7437) - MAX(IF($B$2:$B7436=$B7437, $A$2:$A7436+$C$2:$C7436)), "")*24*60, "")</f>
        <v/>
      </c>
    </row>
    <row r="7438" spans="1:19" x14ac:dyDescent="0.2">
      <c r="A7438" s="12">
        <f t="shared" ref="A7438:C7438" si="1621">A7437</f>
        <v>46015</v>
      </c>
      <c r="B7438" s="5" t="str">
        <f t="shared" si="1621"/>
        <v>Northern Cardinal</v>
      </c>
      <c r="C7438" s="6">
        <f t="shared" si="1621"/>
        <v>0.74097222222222225</v>
      </c>
      <c r="D7438" s="5"/>
      <c r="E7438" s="5"/>
      <c r="F7438" s="5" t="s">
        <v>9</v>
      </c>
      <c r="G7438" s="15" t="s">
        <v>8</v>
      </c>
      <c r="H7438" s="24">
        <f t="shared" si="1570"/>
        <v>0</v>
      </c>
      <c r="I7438" s="24" cm="1">
        <f t="array" ref="I7438">IFERROR(IF($B7438=I$1, ($A7438+$C7438) - MAX(IF($B$2:$B7437=$B7438, $A$2:$A7437+$C$2:$C7437)), "")*24*60, "")</f>
        <v>0</v>
      </c>
      <c r="J7438" s="24" t="str" cm="1">
        <f t="array" ref="J7438">IFERROR(IF($B7438=J$1, ($A7438+$C7438) - MAX(IF($B$2:$B7437=$B7438, $A$2:$A7437+$C$2:$C7437)), "")*24*60, "")</f>
        <v/>
      </c>
      <c r="K7438" s="24" t="str" cm="1">
        <f t="array" ref="K7438">IFERROR(IF($B7438=K$1, ($A7438+$C7438) - MAX(IF($B$2:$B7437=$B7438, $A$2:$A7437+$C$2:$C7437)), "")*24*60, "")</f>
        <v/>
      </c>
      <c r="L7438" s="24" t="str" cm="1">
        <f t="array" ref="L7438">IFERROR(IF($B7438=L$1, ($A7438+$C7438) - MAX(IF($B$2:$B7437=$B7438, $A$2:$A7437+$C$2:$C7437)), "")*24*60, "")</f>
        <v/>
      </c>
      <c r="M7438" s="24" t="str" cm="1">
        <f t="array" ref="M7438">IFERROR(IF($B7438=M$1, ($A7438+$C7438) - MAX(IF($B$2:$B7437=$B7438, $A$2:$A7437+$C$2:$C7437)), "")*24*60, "")</f>
        <v/>
      </c>
      <c r="N7438" s="24" t="str" cm="1">
        <f t="array" ref="N7438">IFERROR(IF($B7438=N$1, ($A7438+$C7438) - MAX(IF($B$2:$B7437=$B7438, $A$2:$A7437+$C$2:$C7437)), "")*24*60, "")</f>
        <v/>
      </c>
      <c r="O7438" s="24" t="str" cm="1">
        <f t="array" ref="O7438">IFERROR(IF($B7438=O$1, ($A7438+$C7438) - MAX(IF($B$2:$B7437=$B7438, $A$2:$A7437+$C$2:$C7437)), "")*24*60, "")</f>
        <v/>
      </c>
      <c r="P7438" s="24" t="str" cm="1">
        <f t="array" ref="P7438">IFERROR(IF($B7438=P$1, ($A7438+$C7438) - MAX(IF($B$2:$B7437=$B7438, $A$2:$A7437+$C$2:$C7437)), "")*24*60, "")</f>
        <v/>
      </c>
      <c r="Q7438" s="24" t="str" cm="1">
        <f t="array" ref="Q7438">IFERROR(IF($B7438=Q$1, ($A7438+$C7438) - MAX(IF($B$2:$B7437=$B7438, $A$2:$A7437+$C$2:$C7437)), "")*24*60, "")</f>
        <v/>
      </c>
      <c r="R7438" s="24" t="str" cm="1">
        <f t="array" ref="R7438">IFERROR(IF($B7438=R$1, ($A7438+$C7438) - MAX(IF($B$2:$B7437=$B7438, $A$2:$A7437+$C$2:$C7437)), "")*24*60, "")</f>
        <v/>
      </c>
      <c r="S7438" s="24" t="str" cm="1">
        <f t="array" ref="S7438">IFERROR(IF($B7438=S$1, ($A7438+$C7438) - MAX(IF($B$2:$B7437=$B7438, $A$2:$A7437+$C$2:$C7437)), "")*24*60, "")</f>
        <v/>
      </c>
    </row>
    <row r="7439" spans="1:19" x14ac:dyDescent="0.2">
      <c r="A7439" s="12">
        <f t="shared" ref="A7439:C7439" si="1622">A7438</f>
        <v>46015</v>
      </c>
      <c r="B7439" s="5" t="str">
        <f t="shared" si="1622"/>
        <v>Northern Cardinal</v>
      </c>
      <c r="C7439" s="6">
        <f t="shared" si="1622"/>
        <v>0.74097222222222225</v>
      </c>
      <c r="D7439" s="5"/>
      <c r="E7439" s="5"/>
      <c r="F7439" s="5" t="s">
        <v>9</v>
      </c>
      <c r="G7439" s="15" t="s">
        <v>8</v>
      </c>
      <c r="H7439" s="24">
        <f t="shared" si="1570"/>
        <v>0</v>
      </c>
      <c r="I7439" s="24" cm="1">
        <f t="array" ref="I7439">IFERROR(IF($B7439=I$1, ($A7439+$C7439) - MAX(IF($B$2:$B7438=$B7439, $A$2:$A7438+$C$2:$C7438)), "")*24*60, "")</f>
        <v>0</v>
      </c>
      <c r="J7439" s="24" t="str" cm="1">
        <f t="array" ref="J7439">IFERROR(IF($B7439=J$1, ($A7439+$C7439) - MAX(IF($B$2:$B7438=$B7439, $A$2:$A7438+$C$2:$C7438)), "")*24*60, "")</f>
        <v/>
      </c>
      <c r="K7439" s="24" t="str" cm="1">
        <f t="array" ref="K7439">IFERROR(IF($B7439=K$1, ($A7439+$C7439) - MAX(IF($B$2:$B7438=$B7439, $A$2:$A7438+$C$2:$C7438)), "")*24*60, "")</f>
        <v/>
      </c>
      <c r="L7439" s="24" t="str" cm="1">
        <f t="array" ref="L7439">IFERROR(IF($B7439=L$1, ($A7439+$C7439) - MAX(IF($B$2:$B7438=$B7439, $A$2:$A7438+$C$2:$C7438)), "")*24*60, "")</f>
        <v/>
      </c>
      <c r="M7439" s="24" t="str" cm="1">
        <f t="array" ref="M7439">IFERROR(IF($B7439=M$1, ($A7439+$C7439) - MAX(IF($B$2:$B7438=$B7439, $A$2:$A7438+$C$2:$C7438)), "")*24*60, "")</f>
        <v/>
      </c>
      <c r="N7439" s="24" t="str" cm="1">
        <f t="array" ref="N7439">IFERROR(IF($B7439=N$1, ($A7439+$C7439) - MAX(IF($B$2:$B7438=$B7439, $A$2:$A7438+$C$2:$C7438)), "")*24*60, "")</f>
        <v/>
      </c>
      <c r="O7439" s="24" t="str" cm="1">
        <f t="array" ref="O7439">IFERROR(IF($B7439=O$1, ($A7439+$C7439) - MAX(IF($B$2:$B7438=$B7439, $A$2:$A7438+$C$2:$C7438)), "")*24*60, "")</f>
        <v/>
      </c>
      <c r="P7439" s="24" t="str" cm="1">
        <f t="array" ref="P7439">IFERROR(IF($B7439=P$1, ($A7439+$C7439) - MAX(IF($B$2:$B7438=$B7439, $A$2:$A7438+$C$2:$C7438)), "")*24*60, "")</f>
        <v/>
      </c>
      <c r="Q7439" s="24" t="str" cm="1">
        <f t="array" ref="Q7439">IFERROR(IF($B7439=Q$1, ($A7439+$C7439) - MAX(IF($B$2:$B7438=$B7439, $A$2:$A7438+$C$2:$C7438)), "")*24*60, "")</f>
        <v/>
      </c>
      <c r="R7439" s="24" t="str" cm="1">
        <f t="array" ref="R7439">IFERROR(IF($B7439=R$1, ($A7439+$C7439) - MAX(IF($B$2:$B7438=$B7439, $A$2:$A7438+$C$2:$C7438)), "")*24*60, "")</f>
        <v/>
      </c>
      <c r="S7439" s="24" t="str" cm="1">
        <f t="array" ref="S7439">IFERROR(IF($B7439=S$1, ($A7439+$C7439) - MAX(IF($B$2:$B7438=$B7439, $A$2:$A7438+$C$2:$C7438)), "")*24*60, "")</f>
        <v/>
      </c>
    </row>
    <row r="7440" spans="1:19" x14ac:dyDescent="0.2">
      <c r="A7440" s="12">
        <f t="shared" ref="A7440:C7440" si="1623">A7439</f>
        <v>46015</v>
      </c>
      <c r="B7440" s="5" t="str">
        <f t="shared" si="1623"/>
        <v>Northern Cardinal</v>
      </c>
      <c r="C7440" s="6">
        <f t="shared" si="1623"/>
        <v>0.74097222222222225</v>
      </c>
      <c r="D7440" s="5"/>
      <c r="E7440" s="5"/>
      <c r="F7440" s="5" t="s">
        <v>9</v>
      </c>
      <c r="G7440" s="15" t="s">
        <v>8</v>
      </c>
      <c r="H7440" s="24">
        <f t="shared" si="1570"/>
        <v>0</v>
      </c>
      <c r="I7440" s="24" cm="1">
        <f t="array" ref="I7440">IFERROR(IF($B7440=I$1, ($A7440+$C7440) - MAX(IF($B$2:$B7439=$B7440, $A$2:$A7439+$C$2:$C7439)), "")*24*60, "")</f>
        <v>0</v>
      </c>
      <c r="J7440" s="24" t="str" cm="1">
        <f t="array" ref="J7440">IFERROR(IF($B7440=J$1, ($A7440+$C7440) - MAX(IF($B$2:$B7439=$B7440, $A$2:$A7439+$C$2:$C7439)), "")*24*60, "")</f>
        <v/>
      </c>
      <c r="K7440" s="24" t="str" cm="1">
        <f t="array" ref="K7440">IFERROR(IF($B7440=K$1, ($A7440+$C7440) - MAX(IF($B$2:$B7439=$B7440, $A$2:$A7439+$C$2:$C7439)), "")*24*60, "")</f>
        <v/>
      </c>
      <c r="L7440" s="24" t="str" cm="1">
        <f t="array" ref="L7440">IFERROR(IF($B7440=L$1, ($A7440+$C7440) - MAX(IF($B$2:$B7439=$B7440, $A$2:$A7439+$C$2:$C7439)), "")*24*60, "")</f>
        <v/>
      </c>
      <c r="M7440" s="24" t="str" cm="1">
        <f t="array" ref="M7440">IFERROR(IF($B7440=M$1, ($A7440+$C7440) - MAX(IF($B$2:$B7439=$B7440, $A$2:$A7439+$C$2:$C7439)), "")*24*60, "")</f>
        <v/>
      </c>
      <c r="N7440" s="24" t="str" cm="1">
        <f t="array" ref="N7440">IFERROR(IF($B7440=N$1, ($A7440+$C7440) - MAX(IF($B$2:$B7439=$B7440, $A$2:$A7439+$C$2:$C7439)), "")*24*60, "")</f>
        <v/>
      </c>
      <c r="O7440" s="24" t="str" cm="1">
        <f t="array" ref="O7440">IFERROR(IF($B7440=O$1, ($A7440+$C7440) - MAX(IF($B$2:$B7439=$B7440, $A$2:$A7439+$C$2:$C7439)), "")*24*60, "")</f>
        <v/>
      </c>
      <c r="P7440" s="24" t="str" cm="1">
        <f t="array" ref="P7440">IFERROR(IF($B7440=P$1, ($A7440+$C7440) - MAX(IF($B$2:$B7439=$B7440, $A$2:$A7439+$C$2:$C7439)), "")*24*60, "")</f>
        <v/>
      </c>
      <c r="Q7440" s="24" t="str" cm="1">
        <f t="array" ref="Q7440">IFERROR(IF($B7440=Q$1, ($A7440+$C7440) - MAX(IF($B$2:$B7439=$B7440, $A$2:$A7439+$C$2:$C7439)), "")*24*60, "")</f>
        <v/>
      </c>
      <c r="R7440" s="24" t="str" cm="1">
        <f t="array" ref="R7440">IFERROR(IF($B7440=R$1, ($A7440+$C7440) - MAX(IF($B$2:$B7439=$B7440, $A$2:$A7439+$C$2:$C7439)), "")*24*60, "")</f>
        <v/>
      </c>
      <c r="S7440" s="24" t="str" cm="1">
        <f t="array" ref="S7440">IFERROR(IF($B7440=S$1, ($A7440+$C7440) - MAX(IF($B$2:$B7439=$B7440, $A$2:$A7439+$C$2:$C7439)), "")*24*60, "")</f>
        <v/>
      </c>
    </row>
    <row r="7441" spans="1:19" x14ac:dyDescent="0.2">
      <c r="A7441" s="12">
        <f t="shared" ref="A7441:C7441" si="1624">A7440</f>
        <v>46015</v>
      </c>
      <c r="B7441" s="5" t="str">
        <f t="shared" si="1624"/>
        <v>Northern Cardinal</v>
      </c>
      <c r="C7441" s="6">
        <f t="shared" si="1624"/>
        <v>0.74097222222222225</v>
      </c>
      <c r="D7441" s="5"/>
      <c r="E7441" s="5"/>
      <c r="F7441" s="5" t="s">
        <v>9</v>
      </c>
      <c r="G7441" s="15" t="s">
        <v>8</v>
      </c>
      <c r="H7441" s="24">
        <f t="shared" si="1570"/>
        <v>0</v>
      </c>
      <c r="I7441" s="24" cm="1">
        <f t="array" ref="I7441">IFERROR(IF($B7441=I$1, ($A7441+$C7441) - MAX(IF($B$2:$B7440=$B7441, $A$2:$A7440+$C$2:$C7440)), "")*24*60, "")</f>
        <v>0</v>
      </c>
      <c r="J7441" s="24" t="str" cm="1">
        <f t="array" ref="J7441">IFERROR(IF($B7441=J$1, ($A7441+$C7441) - MAX(IF($B$2:$B7440=$B7441, $A$2:$A7440+$C$2:$C7440)), "")*24*60, "")</f>
        <v/>
      </c>
      <c r="K7441" s="24" t="str" cm="1">
        <f t="array" ref="K7441">IFERROR(IF($B7441=K$1, ($A7441+$C7441) - MAX(IF($B$2:$B7440=$B7441, $A$2:$A7440+$C$2:$C7440)), "")*24*60, "")</f>
        <v/>
      </c>
      <c r="L7441" s="24" t="str" cm="1">
        <f t="array" ref="L7441">IFERROR(IF($B7441=L$1, ($A7441+$C7441) - MAX(IF($B$2:$B7440=$B7441, $A$2:$A7440+$C$2:$C7440)), "")*24*60, "")</f>
        <v/>
      </c>
      <c r="M7441" s="24" t="str" cm="1">
        <f t="array" ref="M7441">IFERROR(IF($B7441=M$1, ($A7441+$C7441) - MAX(IF($B$2:$B7440=$B7441, $A$2:$A7440+$C$2:$C7440)), "")*24*60, "")</f>
        <v/>
      </c>
      <c r="N7441" s="24" t="str" cm="1">
        <f t="array" ref="N7441">IFERROR(IF($B7441=N$1, ($A7441+$C7441) - MAX(IF($B$2:$B7440=$B7441, $A$2:$A7440+$C$2:$C7440)), "")*24*60, "")</f>
        <v/>
      </c>
      <c r="O7441" s="24" t="str" cm="1">
        <f t="array" ref="O7441">IFERROR(IF($B7441=O$1, ($A7441+$C7441) - MAX(IF($B$2:$B7440=$B7441, $A$2:$A7440+$C$2:$C7440)), "")*24*60, "")</f>
        <v/>
      </c>
      <c r="P7441" s="24" t="str" cm="1">
        <f t="array" ref="P7441">IFERROR(IF($B7441=P$1, ($A7441+$C7441) - MAX(IF($B$2:$B7440=$B7441, $A$2:$A7440+$C$2:$C7440)), "")*24*60, "")</f>
        <v/>
      </c>
      <c r="Q7441" s="24" t="str" cm="1">
        <f t="array" ref="Q7441">IFERROR(IF($B7441=Q$1, ($A7441+$C7441) - MAX(IF($B$2:$B7440=$B7441, $A$2:$A7440+$C$2:$C7440)), "")*24*60, "")</f>
        <v/>
      </c>
      <c r="R7441" s="24" t="str" cm="1">
        <f t="array" ref="R7441">IFERROR(IF($B7441=R$1, ($A7441+$C7441) - MAX(IF($B$2:$B7440=$B7441, $A$2:$A7440+$C$2:$C7440)), "")*24*60, "")</f>
        <v/>
      </c>
      <c r="S7441" s="24" t="str" cm="1">
        <f t="array" ref="S7441">IFERROR(IF($B7441=S$1, ($A7441+$C7441) - MAX(IF($B$2:$B7440=$B7441, $A$2:$A7440+$C$2:$C7440)), "")*24*60, "")</f>
        <v/>
      </c>
    </row>
    <row r="7442" spans="1:19" x14ac:dyDescent="0.2">
      <c r="A7442" s="12">
        <f t="shared" ref="A7442:C7442" si="1625">A7441</f>
        <v>46015</v>
      </c>
      <c r="B7442" s="5" t="str">
        <f t="shared" si="1625"/>
        <v>Northern Cardinal</v>
      </c>
      <c r="C7442" s="6">
        <f t="shared" si="1625"/>
        <v>0.74097222222222225</v>
      </c>
      <c r="D7442" s="5"/>
      <c r="E7442" s="5"/>
      <c r="F7442" s="5" t="s">
        <v>9</v>
      </c>
      <c r="G7442" s="15" t="s">
        <v>8</v>
      </c>
      <c r="H7442" s="24">
        <f t="shared" si="1570"/>
        <v>0</v>
      </c>
      <c r="I7442" s="24" cm="1">
        <f t="array" ref="I7442">IFERROR(IF($B7442=I$1, ($A7442+$C7442) - MAX(IF($B$2:$B7441=$B7442, $A$2:$A7441+$C$2:$C7441)), "")*24*60, "")</f>
        <v>0</v>
      </c>
      <c r="J7442" s="24" t="str" cm="1">
        <f t="array" ref="J7442">IFERROR(IF($B7442=J$1, ($A7442+$C7442) - MAX(IF($B$2:$B7441=$B7442, $A$2:$A7441+$C$2:$C7441)), "")*24*60, "")</f>
        <v/>
      </c>
      <c r="K7442" s="24" t="str" cm="1">
        <f t="array" ref="K7442">IFERROR(IF($B7442=K$1, ($A7442+$C7442) - MAX(IF($B$2:$B7441=$B7442, $A$2:$A7441+$C$2:$C7441)), "")*24*60, "")</f>
        <v/>
      </c>
      <c r="L7442" s="24" t="str" cm="1">
        <f t="array" ref="L7442">IFERROR(IF($B7442=L$1, ($A7442+$C7442) - MAX(IF($B$2:$B7441=$B7442, $A$2:$A7441+$C$2:$C7441)), "")*24*60, "")</f>
        <v/>
      </c>
      <c r="M7442" s="24" t="str" cm="1">
        <f t="array" ref="M7442">IFERROR(IF($B7442=M$1, ($A7442+$C7442) - MAX(IF($B$2:$B7441=$B7442, $A$2:$A7441+$C$2:$C7441)), "")*24*60, "")</f>
        <v/>
      </c>
      <c r="N7442" s="24" t="str" cm="1">
        <f t="array" ref="N7442">IFERROR(IF($B7442=N$1, ($A7442+$C7442) - MAX(IF($B$2:$B7441=$B7442, $A$2:$A7441+$C$2:$C7441)), "")*24*60, "")</f>
        <v/>
      </c>
      <c r="O7442" s="24" t="str" cm="1">
        <f t="array" ref="O7442">IFERROR(IF($B7442=O$1, ($A7442+$C7442) - MAX(IF($B$2:$B7441=$B7442, $A$2:$A7441+$C$2:$C7441)), "")*24*60, "")</f>
        <v/>
      </c>
      <c r="P7442" s="24" t="str" cm="1">
        <f t="array" ref="P7442">IFERROR(IF($B7442=P$1, ($A7442+$C7442) - MAX(IF($B$2:$B7441=$B7442, $A$2:$A7441+$C$2:$C7441)), "")*24*60, "")</f>
        <v/>
      </c>
      <c r="Q7442" s="24" t="str" cm="1">
        <f t="array" ref="Q7442">IFERROR(IF($B7442=Q$1, ($A7442+$C7442) - MAX(IF($B$2:$B7441=$B7442, $A$2:$A7441+$C$2:$C7441)), "")*24*60, "")</f>
        <v/>
      </c>
      <c r="R7442" s="24" t="str" cm="1">
        <f t="array" ref="R7442">IFERROR(IF($B7442=R$1, ($A7442+$C7442) - MAX(IF($B$2:$B7441=$B7442, $A$2:$A7441+$C$2:$C7441)), "")*24*60, "")</f>
        <v/>
      </c>
      <c r="S7442" s="24" t="str" cm="1">
        <f t="array" ref="S7442">IFERROR(IF($B7442=S$1, ($A7442+$C7442) - MAX(IF($B$2:$B7441=$B7442, $A$2:$A7441+$C$2:$C7441)), "")*24*60, "")</f>
        <v/>
      </c>
    </row>
    <row r="7443" spans="1:19" x14ac:dyDescent="0.2">
      <c r="A7443" s="12">
        <f t="shared" ref="A7443:C7443" si="1626">A7442</f>
        <v>46015</v>
      </c>
      <c r="B7443" s="5" t="str">
        <f t="shared" si="1626"/>
        <v>Northern Cardinal</v>
      </c>
      <c r="C7443" s="6">
        <f t="shared" si="1626"/>
        <v>0.74097222222222225</v>
      </c>
      <c r="D7443" s="5"/>
      <c r="E7443" s="5"/>
      <c r="F7443" s="5" t="s">
        <v>9</v>
      </c>
      <c r="G7443" s="15" t="s">
        <v>8</v>
      </c>
      <c r="H7443" s="24">
        <f t="shared" si="1570"/>
        <v>0</v>
      </c>
      <c r="I7443" s="24" cm="1">
        <f t="array" ref="I7443">IFERROR(IF($B7443=I$1, ($A7443+$C7443) - MAX(IF($B$2:$B7442=$B7443, $A$2:$A7442+$C$2:$C7442)), "")*24*60, "")</f>
        <v>0</v>
      </c>
      <c r="J7443" s="24" t="str" cm="1">
        <f t="array" ref="J7443">IFERROR(IF($B7443=J$1, ($A7443+$C7443) - MAX(IF($B$2:$B7442=$B7443, $A$2:$A7442+$C$2:$C7442)), "")*24*60, "")</f>
        <v/>
      </c>
      <c r="K7443" s="24" t="str" cm="1">
        <f t="array" ref="K7443">IFERROR(IF($B7443=K$1, ($A7443+$C7443) - MAX(IF($B$2:$B7442=$B7443, $A$2:$A7442+$C$2:$C7442)), "")*24*60, "")</f>
        <v/>
      </c>
      <c r="L7443" s="24" t="str" cm="1">
        <f t="array" ref="L7443">IFERROR(IF($B7443=L$1, ($A7443+$C7443) - MAX(IF($B$2:$B7442=$B7443, $A$2:$A7442+$C$2:$C7442)), "")*24*60, "")</f>
        <v/>
      </c>
      <c r="M7443" s="24" t="str" cm="1">
        <f t="array" ref="M7443">IFERROR(IF($B7443=M$1, ($A7443+$C7443) - MAX(IF($B$2:$B7442=$B7443, $A$2:$A7442+$C$2:$C7442)), "")*24*60, "")</f>
        <v/>
      </c>
      <c r="N7443" s="24" t="str" cm="1">
        <f t="array" ref="N7443">IFERROR(IF($B7443=N$1, ($A7443+$C7443) - MAX(IF($B$2:$B7442=$B7443, $A$2:$A7442+$C$2:$C7442)), "")*24*60, "")</f>
        <v/>
      </c>
      <c r="O7443" s="24" t="str" cm="1">
        <f t="array" ref="O7443">IFERROR(IF($B7443=O$1, ($A7443+$C7443) - MAX(IF($B$2:$B7442=$B7443, $A$2:$A7442+$C$2:$C7442)), "")*24*60, "")</f>
        <v/>
      </c>
      <c r="P7443" s="24" t="str" cm="1">
        <f t="array" ref="P7443">IFERROR(IF($B7443=P$1, ($A7443+$C7443) - MAX(IF($B$2:$B7442=$B7443, $A$2:$A7442+$C$2:$C7442)), "")*24*60, "")</f>
        <v/>
      </c>
      <c r="Q7443" s="24" t="str" cm="1">
        <f t="array" ref="Q7443">IFERROR(IF($B7443=Q$1, ($A7443+$C7443) - MAX(IF($B$2:$B7442=$B7443, $A$2:$A7442+$C$2:$C7442)), "")*24*60, "")</f>
        <v/>
      </c>
      <c r="R7443" s="24" t="str" cm="1">
        <f t="array" ref="R7443">IFERROR(IF($B7443=R$1, ($A7443+$C7443) - MAX(IF($B$2:$B7442=$B7443, $A$2:$A7442+$C$2:$C7442)), "")*24*60, "")</f>
        <v/>
      </c>
      <c r="S7443" s="24" t="str" cm="1">
        <f t="array" ref="S7443">IFERROR(IF($B7443=S$1, ($A7443+$C7443) - MAX(IF($B$2:$B7442=$B7443, $A$2:$A7442+$C$2:$C7442)), "")*24*60, "")</f>
        <v/>
      </c>
    </row>
    <row r="7444" spans="1:19" x14ac:dyDescent="0.2">
      <c r="A7444" s="12">
        <f t="shared" ref="A7444:C7444" si="1627">A7443</f>
        <v>46015</v>
      </c>
      <c r="B7444" s="5" t="str">
        <f t="shared" si="1627"/>
        <v>Northern Cardinal</v>
      </c>
      <c r="C7444" s="6">
        <f t="shared" si="1627"/>
        <v>0.74097222222222225</v>
      </c>
      <c r="D7444" s="5"/>
      <c r="E7444" s="5"/>
      <c r="F7444" s="5" t="s">
        <v>9</v>
      </c>
      <c r="G7444" s="15" t="s">
        <v>8</v>
      </c>
      <c r="H7444" s="24">
        <f t="shared" si="1570"/>
        <v>0</v>
      </c>
      <c r="I7444" s="24" cm="1">
        <f t="array" ref="I7444">IFERROR(IF($B7444=I$1, ($A7444+$C7444) - MAX(IF($B$2:$B7443=$B7444, $A$2:$A7443+$C$2:$C7443)), "")*24*60, "")</f>
        <v>0</v>
      </c>
      <c r="J7444" s="24" t="str" cm="1">
        <f t="array" ref="J7444">IFERROR(IF($B7444=J$1, ($A7444+$C7444) - MAX(IF($B$2:$B7443=$B7444, $A$2:$A7443+$C$2:$C7443)), "")*24*60, "")</f>
        <v/>
      </c>
      <c r="K7444" s="24" t="str" cm="1">
        <f t="array" ref="K7444">IFERROR(IF($B7444=K$1, ($A7444+$C7444) - MAX(IF($B$2:$B7443=$B7444, $A$2:$A7443+$C$2:$C7443)), "")*24*60, "")</f>
        <v/>
      </c>
      <c r="L7444" s="24" t="str" cm="1">
        <f t="array" ref="L7444">IFERROR(IF($B7444=L$1, ($A7444+$C7444) - MAX(IF($B$2:$B7443=$B7444, $A$2:$A7443+$C$2:$C7443)), "")*24*60, "")</f>
        <v/>
      </c>
      <c r="M7444" s="24" t="str" cm="1">
        <f t="array" ref="M7444">IFERROR(IF($B7444=M$1, ($A7444+$C7444) - MAX(IF($B$2:$B7443=$B7444, $A$2:$A7443+$C$2:$C7443)), "")*24*60, "")</f>
        <v/>
      </c>
      <c r="N7444" s="24" t="str" cm="1">
        <f t="array" ref="N7444">IFERROR(IF($B7444=N$1, ($A7444+$C7444) - MAX(IF($B$2:$B7443=$B7444, $A$2:$A7443+$C$2:$C7443)), "")*24*60, "")</f>
        <v/>
      </c>
      <c r="O7444" s="24" t="str" cm="1">
        <f t="array" ref="O7444">IFERROR(IF($B7444=O$1, ($A7444+$C7444) - MAX(IF($B$2:$B7443=$B7444, $A$2:$A7443+$C$2:$C7443)), "")*24*60, "")</f>
        <v/>
      </c>
      <c r="P7444" s="24" t="str" cm="1">
        <f t="array" ref="P7444">IFERROR(IF($B7444=P$1, ($A7444+$C7444) - MAX(IF($B$2:$B7443=$B7444, $A$2:$A7443+$C$2:$C7443)), "")*24*60, "")</f>
        <v/>
      </c>
      <c r="Q7444" s="24" t="str" cm="1">
        <f t="array" ref="Q7444">IFERROR(IF($B7444=Q$1, ($A7444+$C7444) - MAX(IF($B$2:$B7443=$B7444, $A$2:$A7443+$C$2:$C7443)), "")*24*60, "")</f>
        <v/>
      </c>
      <c r="R7444" s="24" t="str" cm="1">
        <f t="array" ref="R7444">IFERROR(IF($B7444=R$1, ($A7444+$C7444) - MAX(IF($B$2:$B7443=$B7444, $A$2:$A7443+$C$2:$C7443)), "")*24*60, "")</f>
        <v/>
      </c>
      <c r="S7444" s="24" t="str" cm="1">
        <f t="array" ref="S7444">IFERROR(IF($B7444=S$1, ($A7444+$C7444) - MAX(IF($B$2:$B7443=$B7444, $A$2:$A7443+$C$2:$C7443)), "")*24*60, "")</f>
        <v/>
      </c>
    </row>
    <row r="7445" spans="1:19" x14ac:dyDescent="0.2">
      <c r="A7445" s="12">
        <f t="shared" ref="A7445:C7445" si="1628">A7444</f>
        <v>46015</v>
      </c>
      <c r="B7445" s="5" t="str">
        <f t="shared" si="1628"/>
        <v>Northern Cardinal</v>
      </c>
      <c r="C7445" s="6">
        <f t="shared" si="1628"/>
        <v>0.74097222222222225</v>
      </c>
      <c r="D7445" s="5"/>
      <c r="E7445" s="5"/>
      <c r="F7445" s="5" t="s">
        <v>9</v>
      </c>
      <c r="G7445" s="15" t="s">
        <v>8</v>
      </c>
      <c r="H7445" s="24">
        <f t="shared" si="1570"/>
        <v>0</v>
      </c>
      <c r="I7445" s="24" cm="1">
        <f t="array" ref="I7445">IFERROR(IF($B7445=I$1, ($A7445+$C7445) - MAX(IF($B$2:$B7444=$B7445, $A$2:$A7444+$C$2:$C7444)), "")*24*60, "")</f>
        <v>0</v>
      </c>
      <c r="J7445" s="24" t="str" cm="1">
        <f t="array" ref="J7445">IFERROR(IF($B7445=J$1, ($A7445+$C7445) - MAX(IF($B$2:$B7444=$B7445, $A$2:$A7444+$C$2:$C7444)), "")*24*60, "")</f>
        <v/>
      </c>
      <c r="K7445" s="24" t="str" cm="1">
        <f t="array" ref="K7445">IFERROR(IF($B7445=K$1, ($A7445+$C7445) - MAX(IF($B$2:$B7444=$B7445, $A$2:$A7444+$C$2:$C7444)), "")*24*60, "")</f>
        <v/>
      </c>
      <c r="L7445" s="24" t="str" cm="1">
        <f t="array" ref="L7445">IFERROR(IF($B7445=L$1, ($A7445+$C7445) - MAX(IF($B$2:$B7444=$B7445, $A$2:$A7444+$C$2:$C7444)), "")*24*60, "")</f>
        <v/>
      </c>
      <c r="M7445" s="24" t="str" cm="1">
        <f t="array" ref="M7445">IFERROR(IF($B7445=M$1, ($A7445+$C7445) - MAX(IF($B$2:$B7444=$B7445, $A$2:$A7444+$C$2:$C7444)), "")*24*60, "")</f>
        <v/>
      </c>
      <c r="N7445" s="24" t="str" cm="1">
        <f t="array" ref="N7445">IFERROR(IF($B7445=N$1, ($A7445+$C7445) - MAX(IF($B$2:$B7444=$B7445, $A$2:$A7444+$C$2:$C7444)), "")*24*60, "")</f>
        <v/>
      </c>
      <c r="O7445" s="24" t="str" cm="1">
        <f t="array" ref="O7445">IFERROR(IF($B7445=O$1, ($A7445+$C7445) - MAX(IF($B$2:$B7444=$B7445, $A$2:$A7444+$C$2:$C7444)), "")*24*60, "")</f>
        <v/>
      </c>
      <c r="P7445" s="24" t="str" cm="1">
        <f t="array" ref="P7445">IFERROR(IF($B7445=P$1, ($A7445+$C7445) - MAX(IF($B$2:$B7444=$B7445, $A$2:$A7444+$C$2:$C7444)), "")*24*60, "")</f>
        <v/>
      </c>
      <c r="Q7445" s="24" t="str" cm="1">
        <f t="array" ref="Q7445">IFERROR(IF($B7445=Q$1, ($A7445+$C7445) - MAX(IF($B$2:$B7444=$B7445, $A$2:$A7444+$C$2:$C7444)), "")*24*60, "")</f>
        <v/>
      </c>
      <c r="R7445" s="24" t="str" cm="1">
        <f t="array" ref="R7445">IFERROR(IF($B7445=R$1, ($A7445+$C7445) - MAX(IF($B$2:$B7444=$B7445, $A$2:$A7444+$C$2:$C7444)), "")*24*60, "")</f>
        <v/>
      </c>
      <c r="S7445" s="24" t="str" cm="1">
        <f t="array" ref="S7445">IFERROR(IF($B7445=S$1, ($A7445+$C7445) - MAX(IF($B$2:$B7444=$B7445, $A$2:$A7444+$C$2:$C7444)), "")*24*60, "")</f>
        <v/>
      </c>
    </row>
    <row r="7446" spans="1:19" x14ac:dyDescent="0.2">
      <c r="A7446" s="12">
        <f t="shared" ref="A7446:C7446" si="1629">A7445</f>
        <v>46015</v>
      </c>
      <c r="B7446" s="5" t="str">
        <f t="shared" si="1629"/>
        <v>Northern Cardinal</v>
      </c>
      <c r="C7446" s="6">
        <f t="shared" si="1629"/>
        <v>0.74097222222222225</v>
      </c>
      <c r="D7446" s="5"/>
      <c r="E7446" s="5"/>
      <c r="F7446" s="5" t="s">
        <v>9</v>
      </c>
      <c r="G7446" s="15" t="s">
        <v>8</v>
      </c>
      <c r="H7446" s="24">
        <f t="shared" si="1570"/>
        <v>0</v>
      </c>
      <c r="I7446" s="24" cm="1">
        <f t="array" ref="I7446">IFERROR(IF($B7446=I$1, ($A7446+$C7446) - MAX(IF($B$2:$B7445=$B7446, $A$2:$A7445+$C$2:$C7445)), "")*24*60, "")</f>
        <v>0</v>
      </c>
      <c r="J7446" s="24" t="str" cm="1">
        <f t="array" ref="J7446">IFERROR(IF($B7446=J$1, ($A7446+$C7446) - MAX(IF($B$2:$B7445=$B7446, $A$2:$A7445+$C$2:$C7445)), "")*24*60, "")</f>
        <v/>
      </c>
      <c r="K7446" s="24" t="str" cm="1">
        <f t="array" ref="K7446">IFERROR(IF($B7446=K$1, ($A7446+$C7446) - MAX(IF($B$2:$B7445=$B7446, $A$2:$A7445+$C$2:$C7445)), "")*24*60, "")</f>
        <v/>
      </c>
      <c r="L7446" s="24" t="str" cm="1">
        <f t="array" ref="L7446">IFERROR(IF($B7446=L$1, ($A7446+$C7446) - MAX(IF($B$2:$B7445=$B7446, $A$2:$A7445+$C$2:$C7445)), "")*24*60, "")</f>
        <v/>
      </c>
      <c r="M7446" s="24" t="str" cm="1">
        <f t="array" ref="M7446">IFERROR(IF($B7446=M$1, ($A7446+$C7446) - MAX(IF($B$2:$B7445=$B7446, $A$2:$A7445+$C$2:$C7445)), "")*24*60, "")</f>
        <v/>
      </c>
      <c r="N7446" s="24" t="str" cm="1">
        <f t="array" ref="N7446">IFERROR(IF($B7446=N$1, ($A7446+$C7446) - MAX(IF($B$2:$B7445=$B7446, $A$2:$A7445+$C$2:$C7445)), "")*24*60, "")</f>
        <v/>
      </c>
      <c r="O7446" s="24" t="str" cm="1">
        <f t="array" ref="O7446">IFERROR(IF($B7446=O$1, ($A7446+$C7446) - MAX(IF($B$2:$B7445=$B7446, $A$2:$A7445+$C$2:$C7445)), "")*24*60, "")</f>
        <v/>
      </c>
      <c r="P7446" s="24" t="str" cm="1">
        <f t="array" ref="P7446">IFERROR(IF($B7446=P$1, ($A7446+$C7446) - MAX(IF($B$2:$B7445=$B7446, $A$2:$A7445+$C$2:$C7445)), "")*24*60, "")</f>
        <v/>
      </c>
      <c r="Q7446" s="24" t="str" cm="1">
        <f t="array" ref="Q7446">IFERROR(IF($B7446=Q$1, ($A7446+$C7446) - MAX(IF($B$2:$B7445=$B7446, $A$2:$A7445+$C$2:$C7445)), "")*24*60, "")</f>
        <v/>
      </c>
      <c r="R7446" s="24" t="str" cm="1">
        <f t="array" ref="R7446">IFERROR(IF($B7446=R$1, ($A7446+$C7446) - MAX(IF($B$2:$B7445=$B7446, $A$2:$A7445+$C$2:$C7445)), "")*24*60, "")</f>
        <v/>
      </c>
      <c r="S7446" s="24" t="str" cm="1">
        <f t="array" ref="S7446">IFERROR(IF($B7446=S$1, ($A7446+$C7446) - MAX(IF($B$2:$B7445=$B7446, $A$2:$A7445+$C$2:$C7445)), "")*24*60, "")</f>
        <v/>
      </c>
    </row>
    <row r="7447" spans="1:19" x14ac:dyDescent="0.2">
      <c r="A7447" s="12">
        <f t="shared" ref="A7447:C7447" si="1630">A7446</f>
        <v>46015</v>
      </c>
      <c r="B7447" s="5" t="str">
        <f t="shared" si="1630"/>
        <v>Northern Cardinal</v>
      </c>
      <c r="C7447" s="6">
        <f t="shared" si="1630"/>
        <v>0.74097222222222225</v>
      </c>
      <c r="D7447" s="5"/>
      <c r="E7447" s="5"/>
      <c r="F7447" s="5" t="s">
        <v>9</v>
      </c>
      <c r="G7447" s="15" t="s">
        <v>8</v>
      </c>
      <c r="H7447" s="24">
        <f t="shared" si="1570"/>
        <v>0</v>
      </c>
      <c r="I7447" s="24" cm="1">
        <f t="array" ref="I7447">IFERROR(IF($B7447=I$1, ($A7447+$C7447) - MAX(IF($B$2:$B7446=$B7447, $A$2:$A7446+$C$2:$C7446)), "")*24*60, "")</f>
        <v>0</v>
      </c>
      <c r="J7447" s="24" t="str" cm="1">
        <f t="array" ref="J7447">IFERROR(IF($B7447=J$1, ($A7447+$C7447) - MAX(IF($B$2:$B7446=$B7447, $A$2:$A7446+$C$2:$C7446)), "")*24*60, "")</f>
        <v/>
      </c>
      <c r="K7447" s="24" t="str" cm="1">
        <f t="array" ref="K7447">IFERROR(IF($B7447=K$1, ($A7447+$C7447) - MAX(IF($B$2:$B7446=$B7447, $A$2:$A7446+$C$2:$C7446)), "")*24*60, "")</f>
        <v/>
      </c>
      <c r="L7447" s="24" t="str" cm="1">
        <f t="array" ref="L7447">IFERROR(IF($B7447=L$1, ($A7447+$C7447) - MAX(IF($B$2:$B7446=$B7447, $A$2:$A7446+$C$2:$C7446)), "")*24*60, "")</f>
        <v/>
      </c>
      <c r="M7447" s="24" t="str" cm="1">
        <f t="array" ref="M7447">IFERROR(IF($B7447=M$1, ($A7447+$C7447) - MAX(IF($B$2:$B7446=$B7447, $A$2:$A7446+$C$2:$C7446)), "")*24*60, "")</f>
        <v/>
      </c>
      <c r="N7447" s="24" t="str" cm="1">
        <f t="array" ref="N7447">IFERROR(IF($B7447=N$1, ($A7447+$C7447) - MAX(IF($B$2:$B7446=$B7447, $A$2:$A7446+$C$2:$C7446)), "")*24*60, "")</f>
        <v/>
      </c>
      <c r="O7447" s="24" t="str" cm="1">
        <f t="array" ref="O7447">IFERROR(IF($B7447=O$1, ($A7447+$C7447) - MAX(IF($B$2:$B7446=$B7447, $A$2:$A7446+$C$2:$C7446)), "")*24*60, "")</f>
        <v/>
      </c>
      <c r="P7447" s="24" t="str" cm="1">
        <f t="array" ref="P7447">IFERROR(IF($B7447=P$1, ($A7447+$C7447) - MAX(IF($B$2:$B7446=$B7447, $A$2:$A7446+$C$2:$C7446)), "")*24*60, "")</f>
        <v/>
      </c>
      <c r="Q7447" s="24" t="str" cm="1">
        <f t="array" ref="Q7447">IFERROR(IF($B7447=Q$1, ($A7447+$C7447) - MAX(IF($B$2:$B7446=$B7447, $A$2:$A7446+$C$2:$C7446)), "")*24*60, "")</f>
        <v/>
      </c>
      <c r="R7447" s="24" t="str" cm="1">
        <f t="array" ref="R7447">IFERROR(IF($B7447=R$1, ($A7447+$C7447) - MAX(IF($B$2:$B7446=$B7447, $A$2:$A7446+$C$2:$C7446)), "")*24*60, "")</f>
        <v/>
      </c>
      <c r="S7447" s="24" t="str" cm="1">
        <f t="array" ref="S7447">IFERROR(IF($B7447=S$1, ($A7447+$C7447) - MAX(IF($B$2:$B7446=$B7447, $A$2:$A7446+$C$2:$C7446)), "")*24*60, "")</f>
        <v/>
      </c>
    </row>
    <row r="7448" spans="1:19" x14ac:dyDescent="0.2">
      <c r="A7448" s="12">
        <f t="shared" ref="A7448:C7448" si="1631">A7447</f>
        <v>46015</v>
      </c>
      <c r="B7448" s="5" t="str">
        <f t="shared" si="1631"/>
        <v>Northern Cardinal</v>
      </c>
      <c r="C7448" s="6">
        <f t="shared" si="1631"/>
        <v>0.74097222222222225</v>
      </c>
      <c r="D7448" s="5"/>
      <c r="E7448" s="5"/>
      <c r="F7448" s="5" t="s">
        <v>9</v>
      </c>
      <c r="G7448" s="15" t="s">
        <v>8</v>
      </c>
      <c r="H7448" s="24">
        <f t="shared" si="1570"/>
        <v>0</v>
      </c>
      <c r="I7448" s="24" cm="1">
        <f t="array" ref="I7448">IFERROR(IF($B7448=I$1, ($A7448+$C7448) - MAX(IF($B$2:$B7447=$B7448, $A$2:$A7447+$C$2:$C7447)), "")*24*60, "")</f>
        <v>0</v>
      </c>
      <c r="J7448" s="24" t="str" cm="1">
        <f t="array" ref="J7448">IFERROR(IF($B7448=J$1, ($A7448+$C7448) - MAX(IF($B$2:$B7447=$B7448, $A$2:$A7447+$C$2:$C7447)), "")*24*60, "")</f>
        <v/>
      </c>
      <c r="K7448" s="24" t="str" cm="1">
        <f t="array" ref="K7448">IFERROR(IF($B7448=K$1, ($A7448+$C7448) - MAX(IF($B$2:$B7447=$B7448, $A$2:$A7447+$C$2:$C7447)), "")*24*60, "")</f>
        <v/>
      </c>
      <c r="L7448" s="24" t="str" cm="1">
        <f t="array" ref="L7448">IFERROR(IF($B7448=L$1, ($A7448+$C7448) - MAX(IF($B$2:$B7447=$B7448, $A$2:$A7447+$C$2:$C7447)), "")*24*60, "")</f>
        <v/>
      </c>
      <c r="M7448" s="24" t="str" cm="1">
        <f t="array" ref="M7448">IFERROR(IF($B7448=M$1, ($A7448+$C7448) - MAX(IF($B$2:$B7447=$B7448, $A$2:$A7447+$C$2:$C7447)), "")*24*60, "")</f>
        <v/>
      </c>
      <c r="N7448" s="24" t="str" cm="1">
        <f t="array" ref="N7448">IFERROR(IF($B7448=N$1, ($A7448+$C7448) - MAX(IF($B$2:$B7447=$B7448, $A$2:$A7447+$C$2:$C7447)), "")*24*60, "")</f>
        <v/>
      </c>
      <c r="O7448" s="24" t="str" cm="1">
        <f t="array" ref="O7448">IFERROR(IF($B7448=O$1, ($A7448+$C7448) - MAX(IF($B$2:$B7447=$B7448, $A$2:$A7447+$C$2:$C7447)), "")*24*60, "")</f>
        <v/>
      </c>
      <c r="P7448" s="24" t="str" cm="1">
        <f t="array" ref="P7448">IFERROR(IF($B7448=P$1, ($A7448+$C7448) - MAX(IF($B$2:$B7447=$B7448, $A$2:$A7447+$C$2:$C7447)), "")*24*60, "")</f>
        <v/>
      </c>
      <c r="Q7448" s="24" t="str" cm="1">
        <f t="array" ref="Q7448">IFERROR(IF($B7448=Q$1, ($A7448+$C7448) - MAX(IF($B$2:$B7447=$B7448, $A$2:$A7447+$C$2:$C7447)), "")*24*60, "")</f>
        <v/>
      </c>
      <c r="R7448" s="24" t="str" cm="1">
        <f t="array" ref="R7448">IFERROR(IF($B7448=R$1, ($A7448+$C7448) - MAX(IF($B$2:$B7447=$B7448, $A$2:$A7447+$C$2:$C7447)), "")*24*60, "")</f>
        <v/>
      </c>
      <c r="S7448" s="24" t="str" cm="1">
        <f t="array" ref="S7448">IFERROR(IF($B7448=S$1, ($A7448+$C7448) - MAX(IF($B$2:$B7447=$B7448, $A$2:$A7447+$C$2:$C7447)), "")*24*60, "")</f>
        <v/>
      </c>
    </row>
    <row r="7449" spans="1:19" x14ac:dyDescent="0.2">
      <c r="A7449" s="12">
        <f t="shared" ref="A7449:C7449" si="1632">A7448</f>
        <v>46015</v>
      </c>
      <c r="B7449" s="5" t="str">
        <f t="shared" si="1632"/>
        <v>Northern Cardinal</v>
      </c>
      <c r="C7449" s="6">
        <f t="shared" si="1632"/>
        <v>0.74097222222222225</v>
      </c>
      <c r="D7449" s="5"/>
      <c r="E7449" s="5"/>
      <c r="F7449" s="5" t="s">
        <v>9</v>
      </c>
      <c r="G7449" s="15" t="s">
        <v>8</v>
      </c>
      <c r="H7449" s="24">
        <f t="shared" si="1570"/>
        <v>0</v>
      </c>
      <c r="I7449" s="24" cm="1">
        <f t="array" ref="I7449">IFERROR(IF($B7449=I$1, ($A7449+$C7449) - MAX(IF($B$2:$B7448=$B7449, $A$2:$A7448+$C$2:$C7448)), "")*24*60, "")</f>
        <v>0</v>
      </c>
      <c r="J7449" s="24" t="str" cm="1">
        <f t="array" ref="J7449">IFERROR(IF($B7449=J$1, ($A7449+$C7449) - MAX(IF($B$2:$B7448=$B7449, $A$2:$A7448+$C$2:$C7448)), "")*24*60, "")</f>
        <v/>
      </c>
      <c r="K7449" s="24" t="str" cm="1">
        <f t="array" ref="K7449">IFERROR(IF($B7449=K$1, ($A7449+$C7449) - MAX(IF($B$2:$B7448=$B7449, $A$2:$A7448+$C$2:$C7448)), "")*24*60, "")</f>
        <v/>
      </c>
      <c r="L7449" s="24" t="str" cm="1">
        <f t="array" ref="L7449">IFERROR(IF($B7449=L$1, ($A7449+$C7449) - MAX(IF($B$2:$B7448=$B7449, $A$2:$A7448+$C$2:$C7448)), "")*24*60, "")</f>
        <v/>
      </c>
      <c r="M7449" s="24" t="str" cm="1">
        <f t="array" ref="M7449">IFERROR(IF($B7449=M$1, ($A7449+$C7449) - MAX(IF($B$2:$B7448=$B7449, $A$2:$A7448+$C$2:$C7448)), "")*24*60, "")</f>
        <v/>
      </c>
      <c r="N7449" s="24" t="str" cm="1">
        <f t="array" ref="N7449">IFERROR(IF($B7449=N$1, ($A7449+$C7449) - MAX(IF($B$2:$B7448=$B7449, $A$2:$A7448+$C$2:$C7448)), "")*24*60, "")</f>
        <v/>
      </c>
      <c r="O7449" s="24" t="str" cm="1">
        <f t="array" ref="O7449">IFERROR(IF($B7449=O$1, ($A7449+$C7449) - MAX(IF($B$2:$B7448=$B7449, $A$2:$A7448+$C$2:$C7448)), "")*24*60, "")</f>
        <v/>
      </c>
      <c r="P7449" s="24" t="str" cm="1">
        <f t="array" ref="P7449">IFERROR(IF($B7449=P$1, ($A7449+$C7449) - MAX(IF($B$2:$B7448=$B7449, $A$2:$A7448+$C$2:$C7448)), "")*24*60, "")</f>
        <v/>
      </c>
      <c r="Q7449" s="24" t="str" cm="1">
        <f t="array" ref="Q7449">IFERROR(IF($B7449=Q$1, ($A7449+$C7449) - MAX(IF($B$2:$B7448=$B7449, $A$2:$A7448+$C$2:$C7448)), "")*24*60, "")</f>
        <v/>
      </c>
      <c r="R7449" s="24" t="str" cm="1">
        <f t="array" ref="R7449">IFERROR(IF($B7449=R$1, ($A7449+$C7449) - MAX(IF($B$2:$B7448=$B7449, $A$2:$A7448+$C$2:$C7448)), "")*24*60, "")</f>
        <v/>
      </c>
      <c r="S7449" s="24" t="str" cm="1">
        <f t="array" ref="S7449">IFERROR(IF($B7449=S$1, ($A7449+$C7449) - MAX(IF($B$2:$B7448=$B7449, $A$2:$A7448+$C$2:$C7448)), "")*24*60, "")</f>
        <v/>
      </c>
    </row>
    <row r="7450" spans="1:19" x14ac:dyDescent="0.2">
      <c r="A7450" s="12">
        <f t="shared" ref="A7450:C7450" si="1633">A7449</f>
        <v>46015</v>
      </c>
      <c r="B7450" s="5" t="str">
        <f t="shared" si="1633"/>
        <v>Northern Cardinal</v>
      </c>
      <c r="C7450" s="6">
        <f t="shared" si="1633"/>
        <v>0.74097222222222225</v>
      </c>
      <c r="D7450" s="5"/>
      <c r="E7450" s="5"/>
      <c r="F7450" s="5" t="s">
        <v>9</v>
      </c>
      <c r="G7450" s="15" t="s">
        <v>8</v>
      </c>
      <c r="H7450" s="24">
        <f t="shared" si="1570"/>
        <v>0</v>
      </c>
      <c r="I7450" s="24" cm="1">
        <f t="array" ref="I7450">IFERROR(IF($B7450=I$1, ($A7450+$C7450) - MAX(IF($B$2:$B7449=$B7450, $A$2:$A7449+$C$2:$C7449)), "")*24*60, "")</f>
        <v>0</v>
      </c>
      <c r="J7450" s="24" t="str" cm="1">
        <f t="array" ref="J7450">IFERROR(IF($B7450=J$1, ($A7450+$C7450) - MAX(IF($B$2:$B7449=$B7450, $A$2:$A7449+$C$2:$C7449)), "")*24*60, "")</f>
        <v/>
      </c>
      <c r="K7450" s="24" t="str" cm="1">
        <f t="array" ref="K7450">IFERROR(IF($B7450=K$1, ($A7450+$C7450) - MAX(IF($B$2:$B7449=$B7450, $A$2:$A7449+$C$2:$C7449)), "")*24*60, "")</f>
        <v/>
      </c>
      <c r="L7450" s="24" t="str" cm="1">
        <f t="array" ref="L7450">IFERROR(IF($B7450=L$1, ($A7450+$C7450) - MAX(IF($B$2:$B7449=$B7450, $A$2:$A7449+$C$2:$C7449)), "")*24*60, "")</f>
        <v/>
      </c>
      <c r="M7450" s="24" t="str" cm="1">
        <f t="array" ref="M7450">IFERROR(IF($B7450=M$1, ($A7450+$C7450) - MAX(IF($B$2:$B7449=$B7450, $A$2:$A7449+$C$2:$C7449)), "")*24*60, "")</f>
        <v/>
      </c>
      <c r="N7450" s="24" t="str" cm="1">
        <f t="array" ref="N7450">IFERROR(IF($B7450=N$1, ($A7450+$C7450) - MAX(IF($B$2:$B7449=$B7450, $A$2:$A7449+$C$2:$C7449)), "")*24*60, "")</f>
        <v/>
      </c>
      <c r="O7450" s="24" t="str" cm="1">
        <f t="array" ref="O7450">IFERROR(IF($B7450=O$1, ($A7450+$C7450) - MAX(IF($B$2:$B7449=$B7450, $A$2:$A7449+$C$2:$C7449)), "")*24*60, "")</f>
        <v/>
      </c>
      <c r="P7450" s="24" t="str" cm="1">
        <f t="array" ref="P7450">IFERROR(IF($B7450=P$1, ($A7450+$C7450) - MAX(IF($B$2:$B7449=$B7450, $A$2:$A7449+$C$2:$C7449)), "")*24*60, "")</f>
        <v/>
      </c>
      <c r="Q7450" s="24" t="str" cm="1">
        <f t="array" ref="Q7450">IFERROR(IF($B7450=Q$1, ($A7450+$C7450) - MAX(IF($B$2:$B7449=$B7450, $A$2:$A7449+$C$2:$C7449)), "")*24*60, "")</f>
        <v/>
      </c>
      <c r="R7450" s="24" t="str" cm="1">
        <f t="array" ref="R7450">IFERROR(IF($B7450=R$1, ($A7450+$C7450) - MAX(IF($B$2:$B7449=$B7450, $A$2:$A7449+$C$2:$C7449)), "")*24*60, "")</f>
        <v/>
      </c>
      <c r="S7450" s="24" t="str" cm="1">
        <f t="array" ref="S7450">IFERROR(IF($B7450=S$1, ($A7450+$C7450) - MAX(IF($B$2:$B7449=$B7450, $A$2:$A7449+$C$2:$C7449)), "")*24*60, "")</f>
        <v/>
      </c>
    </row>
    <row r="7451" spans="1:19" x14ac:dyDescent="0.2">
      <c r="A7451" s="12">
        <f t="shared" ref="A7451:C7451" si="1634">A7450</f>
        <v>46015</v>
      </c>
      <c r="B7451" s="5" t="str">
        <f t="shared" si="1634"/>
        <v>Northern Cardinal</v>
      </c>
      <c r="C7451" s="6">
        <f t="shared" si="1634"/>
        <v>0.74097222222222225</v>
      </c>
      <c r="D7451" s="5"/>
      <c r="E7451" s="5"/>
      <c r="F7451" s="5" t="s">
        <v>9</v>
      </c>
      <c r="G7451" s="15" t="s">
        <v>8</v>
      </c>
      <c r="H7451" s="24">
        <f t="shared" ref="H7451:H7514" si="1635">IFERROR((($A7451+$C7451) - ($A7450+$C7450))*24*60, "")</f>
        <v>0</v>
      </c>
      <c r="I7451" s="24" cm="1">
        <f t="array" ref="I7451">IFERROR(IF($B7451=I$1, ($A7451+$C7451) - MAX(IF($B$2:$B7450=$B7451, $A$2:$A7450+$C$2:$C7450)), "")*24*60, "")</f>
        <v>0</v>
      </c>
      <c r="J7451" s="24" t="str" cm="1">
        <f t="array" ref="J7451">IFERROR(IF($B7451=J$1, ($A7451+$C7451) - MAX(IF($B$2:$B7450=$B7451, $A$2:$A7450+$C$2:$C7450)), "")*24*60, "")</f>
        <v/>
      </c>
      <c r="K7451" s="24" t="str" cm="1">
        <f t="array" ref="K7451">IFERROR(IF($B7451=K$1, ($A7451+$C7451) - MAX(IF($B$2:$B7450=$B7451, $A$2:$A7450+$C$2:$C7450)), "")*24*60, "")</f>
        <v/>
      </c>
      <c r="L7451" s="24" t="str" cm="1">
        <f t="array" ref="L7451">IFERROR(IF($B7451=L$1, ($A7451+$C7451) - MAX(IF($B$2:$B7450=$B7451, $A$2:$A7450+$C$2:$C7450)), "")*24*60, "")</f>
        <v/>
      </c>
      <c r="M7451" s="24" t="str" cm="1">
        <f t="array" ref="M7451">IFERROR(IF($B7451=M$1, ($A7451+$C7451) - MAX(IF($B$2:$B7450=$B7451, $A$2:$A7450+$C$2:$C7450)), "")*24*60, "")</f>
        <v/>
      </c>
      <c r="N7451" s="24" t="str" cm="1">
        <f t="array" ref="N7451">IFERROR(IF($B7451=N$1, ($A7451+$C7451) - MAX(IF($B$2:$B7450=$B7451, $A$2:$A7450+$C$2:$C7450)), "")*24*60, "")</f>
        <v/>
      </c>
      <c r="O7451" s="24" t="str" cm="1">
        <f t="array" ref="O7451">IFERROR(IF($B7451=O$1, ($A7451+$C7451) - MAX(IF($B$2:$B7450=$B7451, $A$2:$A7450+$C$2:$C7450)), "")*24*60, "")</f>
        <v/>
      </c>
      <c r="P7451" s="24" t="str" cm="1">
        <f t="array" ref="P7451">IFERROR(IF($B7451=P$1, ($A7451+$C7451) - MAX(IF($B$2:$B7450=$B7451, $A$2:$A7450+$C$2:$C7450)), "")*24*60, "")</f>
        <v/>
      </c>
      <c r="Q7451" s="24" t="str" cm="1">
        <f t="array" ref="Q7451">IFERROR(IF($B7451=Q$1, ($A7451+$C7451) - MAX(IF($B$2:$B7450=$B7451, $A$2:$A7450+$C$2:$C7450)), "")*24*60, "")</f>
        <v/>
      </c>
      <c r="R7451" s="24" t="str" cm="1">
        <f t="array" ref="R7451">IFERROR(IF($B7451=R$1, ($A7451+$C7451) - MAX(IF($B$2:$B7450=$B7451, $A$2:$A7450+$C$2:$C7450)), "")*24*60, "")</f>
        <v/>
      </c>
      <c r="S7451" s="24" t="str" cm="1">
        <f t="array" ref="S7451">IFERROR(IF($B7451=S$1, ($A7451+$C7451) - MAX(IF($B$2:$B7450=$B7451, $A$2:$A7450+$C$2:$C7450)), "")*24*60, "")</f>
        <v/>
      </c>
    </row>
    <row r="7452" spans="1:19" x14ac:dyDescent="0.2">
      <c r="A7452" s="12">
        <f t="shared" ref="A7452:C7452" si="1636">A7451</f>
        <v>46015</v>
      </c>
      <c r="B7452" s="5" t="str">
        <f t="shared" si="1636"/>
        <v>Northern Cardinal</v>
      </c>
      <c r="C7452" s="6">
        <f t="shared" si="1636"/>
        <v>0.74097222222222225</v>
      </c>
      <c r="D7452" s="5"/>
      <c r="E7452" s="5"/>
      <c r="F7452" s="5" t="s">
        <v>9</v>
      </c>
      <c r="G7452" s="15" t="s">
        <v>8</v>
      </c>
      <c r="H7452" s="24">
        <f t="shared" si="1635"/>
        <v>0</v>
      </c>
      <c r="I7452" s="24" cm="1">
        <f t="array" ref="I7452">IFERROR(IF($B7452=I$1, ($A7452+$C7452) - MAX(IF($B$2:$B7451=$B7452, $A$2:$A7451+$C$2:$C7451)), "")*24*60, "")</f>
        <v>0</v>
      </c>
      <c r="J7452" s="24" t="str" cm="1">
        <f t="array" ref="J7452">IFERROR(IF($B7452=J$1, ($A7452+$C7452) - MAX(IF($B$2:$B7451=$B7452, $A$2:$A7451+$C$2:$C7451)), "")*24*60, "")</f>
        <v/>
      </c>
      <c r="K7452" s="24" t="str" cm="1">
        <f t="array" ref="K7452">IFERROR(IF($B7452=K$1, ($A7452+$C7452) - MAX(IF($B$2:$B7451=$B7452, $A$2:$A7451+$C$2:$C7451)), "")*24*60, "")</f>
        <v/>
      </c>
      <c r="L7452" s="24" t="str" cm="1">
        <f t="array" ref="L7452">IFERROR(IF($B7452=L$1, ($A7452+$C7452) - MAX(IF($B$2:$B7451=$B7452, $A$2:$A7451+$C$2:$C7451)), "")*24*60, "")</f>
        <v/>
      </c>
      <c r="M7452" s="24" t="str" cm="1">
        <f t="array" ref="M7452">IFERROR(IF($B7452=M$1, ($A7452+$C7452) - MAX(IF($B$2:$B7451=$B7452, $A$2:$A7451+$C$2:$C7451)), "")*24*60, "")</f>
        <v/>
      </c>
      <c r="N7452" s="24" t="str" cm="1">
        <f t="array" ref="N7452">IFERROR(IF($B7452=N$1, ($A7452+$C7452) - MAX(IF($B$2:$B7451=$B7452, $A$2:$A7451+$C$2:$C7451)), "")*24*60, "")</f>
        <v/>
      </c>
      <c r="O7452" s="24" t="str" cm="1">
        <f t="array" ref="O7452">IFERROR(IF($B7452=O$1, ($A7452+$C7452) - MAX(IF($B$2:$B7451=$B7452, $A$2:$A7451+$C$2:$C7451)), "")*24*60, "")</f>
        <v/>
      </c>
      <c r="P7452" s="24" t="str" cm="1">
        <f t="array" ref="P7452">IFERROR(IF($B7452=P$1, ($A7452+$C7452) - MAX(IF($B$2:$B7451=$B7452, $A$2:$A7451+$C$2:$C7451)), "")*24*60, "")</f>
        <v/>
      </c>
      <c r="Q7452" s="24" t="str" cm="1">
        <f t="array" ref="Q7452">IFERROR(IF($B7452=Q$1, ($A7452+$C7452) - MAX(IF($B$2:$B7451=$B7452, $A$2:$A7451+$C$2:$C7451)), "")*24*60, "")</f>
        <v/>
      </c>
      <c r="R7452" s="24" t="str" cm="1">
        <f t="array" ref="R7452">IFERROR(IF($B7452=R$1, ($A7452+$C7452) - MAX(IF($B$2:$B7451=$B7452, $A$2:$A7451+$C$2:$C7451)), "")*24*60, "")</f>
        <v/>
      </c>
      <c r="S7452" s="24" t="str" cm="1">
        <f t="array" ref="S7452">IFERROR(IF($B7452=S$1, ($A7452+$C7452) - MAX(IF($B$2:$B7451=$B7452, $A$2:$A7451+$C$2:$C7451)), "")*24*60, "")</f>
        <v/>
      </c>
    </row>
    <row r="7453" spans="1:19" x14ac:dyDescent="0.2">
      <c r="A7453" s="12">
        <f t="shared" ref="A7453:C7453" si="1637">A7452</f>
        <v>46015</v>
      </c>
      <c r="B7453" s="5" t="str">
        <f t="shared" si="1637"/>
        <v>Northern Cardinal</v>
      </c>
      <c r="C7453" s="6">
        <f t="shared" si="1637"/>
        <v>0.74097222222222225</v>
      </c>
      <c r="D7453" s="5"/>
      <c r="E7453" s="5"/>
      <c r="F7453" s="5" t="s">
        <v>9</v>
      </c>
      <c r="G7453" s="15" t="s">
        <v>8</v>
      </c>
      <c r="H7453" s="24">
        <f t="shared" si="1635"/>
        <v>0</v>
      </c>
      <c r="I7453" s="24" cm="1">
        <f t="array" ref="I7453">IFERROR(IF($B7453=I$1, ($A7453+$C7453) - MAX(IF($B$2:$B7452=$B7453, $A$2:$A7452+$C$2:$C7452)), "")*24*60, "")</f>
        <v>0</v>
      </c>
      <c r="J7453" s="24" t="str" cm="1">
        <f t="array" ref="J7453">IFERROR(IF($B7453=J$1, ($A7453+$C7453) - MAX(IF($B$2:$B7452=$B7453, $A$2:$A7452+$C$2:$C7452)), "")*24*60, "")</f>
        <v/>
      </c>
      <c r="K7453" s="24" t="str" cm="1">
        <f t="array" ref="K7453">IFERROR(IF($B7453=K$1, ($A7453+$C7453) - MAX(IF($B$2:$B7452=$B7453, $A$2:$A7452+$C$2:$C7452)), "")*24*60, "")</f>
        <v/>
      </c>
      <c r="L7453" s="24" t="str" cm="1">
        <f t="array" ref="L7453">IFERROR(IF($B7453=L$1, ($A7453+$C7453) - MAX(IF($B$2:$B7452=$B7453, $A$2:$A7452+$C$2:$C7452)), "")*24*60, "")</f>
        <v/>
      </c>
      <c r="M7453" s="24" t="str" cm="1">
        <f t="array" ref="M7453">IFERROR(IF($B7453=M$1, ($A7453+$C7453) - MAX(IF($B$2:$B7452=$B7453, $A$2:$A7452+$C$2:$C7452)), "")*24*60, "")</f>
        <v/>
      </c>
      <c r="N7453" s="24" t="str" cm="1">
        <f t="array" ref="N7453">IFERROR(IF($B7453=N$1, ($A7453+$C7453) - MAX(IF($B$2:$B7452=$B7453, $A$2:$A7452+$C$2:$C7452)), "")*24*60, "")</f>
        <v/>
      </c>
      <c r="O7453" s="24" t="str" cm="1">
        <f t="array" ref="O7453">IFERROR(IF($B7453=O$1, ($A7453+$C7453) - MAX(IF($B$2:$B7452=$B7453, $A$2:$A7452+$C$2:$C7452)), "")*24*60, "")</f>
        <v/>
      </c>
      <c r="P7453" s="24" t="str" cm="1">
        <f t="array" ref="P7453">IFERROR(IF($B7453=P$1, ($A7453+$C7453) - MAX(IF($B$2:$B7452=$B7453, $A$2:$A7452+$C$2:$C7452)), "")*24*60, "")</f>
        <v/>
      </c>
      <c r="Q7453" s="24" t="str" cm="1">
        <f t="array" ref="Q7453">IFERROR(IF($B7453=Q$1, ($A7453+$C7453) - MAX(IF($B$2:$B7452=$B7453, $A$2:$A7452+$C$2:$C7452)), "")*24*60, "")</f>
        <v/>
      </c>
      <c r="R7453" s="24" t="str" cm="1">
        <f t="array" ref="R7453">IFERROR(IF($B7453=R$1, ($A7453+$C7453) - MAX(IF($B$2:$B7452=$B7453, $A$2:$A7452+$C$2:$C7452)), "")*24*60, "")</f>
        <v/>
      </c>
      <c r="S7453" s="24" t="str" cm="1">
        <f t="array" ref="S7453">IFERROR(IF($B7453=S$1, ($A7453+$C7453) - MAX(IF($B$2:$B7452=$B7453, $A$2:$A7452+$C$2:$C7452)), "")*24*60, "")</f>
        <v/>
      </c>
    </row>
    <row r="7454" spans="1:19" x14ac:dyDescent="0.2">
      <c r="A7454" s="12">
        <f t="shared" ref="A7454:C7454" si="1638">A7453</f>
        <v>46015</v>
      </c>
      <c r="B7454" s="5" t="str">
        <f t="shared" si="1638"/>
        <v>Northern Cardinal</v>
      </c>
      <c r="C7454" s="6">
        <f t="shared" si="1638"/>
        <v>0.74097222222222225</v>
      </c>
      <c r="D7454" s="5"/>
      <c r="E7454" s="5"/>
      <c r="F7454" s="5" t="s">
        <v>9</v>
      </c>
      <c r="G7454" s="15" t="s">
        <v>8</v>
      </c>
      <c r="H7454" s="24">
        <f t="shared" si="1635"/>
        <v>0</v>
      </c>
      <c r="I7454" s="24" cm="1">
        <f t="array" ref="I7454">IFERROR(IF($B7454=I$1, ($A7454+$C7454) - MAX(IF($B$2:$B7453=$B7454, $A$2:$A7453+$C$2:$C7453)), "")*24*60, "")</f>
        <v>0</v>
      </c>
      <c r="J7454" s="24" t="str" cm="1">
        <f t="array" ref="J7454">IFERROR(IF($B7454=J$1, ($A7454+$C7454) - MAX(IF($B$2:$B7453=$B7454, $A$2:$A7453+$C$2:$C7453)), "")*24*60, "")</f>
        <v/>
      </c>
      <c r="K7454" s="24" t="str" cm="1">
        <f t="array" ref="K7454">IFERROR(IF($B7454=K$1, ($A7454+$C7454) - MAX(IF($B$2:$B7453=$B7454, $A$2:$A7453+$C$2:$C7453)), "")*24*60, "")</f>
        <v/>
      </c>
      <c r="L7454" s="24" t="str" cm="1">
        <f t="array" ref="L7454">IFERROR(IF($B7454=L$1, ($A7454+$C7454) - MAX(IF($B$2:$B7453=$B7454, $A$2:$A7453+$C$2:$C7453)), "")*24*60, "")</f>
        <v/>
      </c>
      <c r="M7454" s="24" t="str" cm="1">
        <f t="array" ref="M7454">IFERROR(IF($B7454=M$1, ($A7454+$C7454) - MAX(IF($B$2:$B7453=$B7454, $A$2:$A7453+$C$2:$C7453)), "")*24*60, "")</f>
        <v/>
      </c>
      <c r="N7454" s="24" t="str" cm="1">
        <f t="array" ref="N7454">IFERROR(IF($B7454=N$1, ($A7454+$C7454) - MAX(IF($B$2:$B7453=$B7454, $A$2:$A7453+$C$2:$C7453)), "")*24*60, "")</f>
        <v/>
      </c>
      <c r="O7454" s="24" t="str" cm="1">
        <f t="array" ref="O7454">IFERROR(IF($B7454=O$1, ($A7454+$C7454) - MAX(IF($B$2:$B7453=$B7454, $A$2:$A7453+$C$2:$C7453)), "")*24*60, "")</f>
        <v/>
      </c>
      <c r="P7454" s="24" t="str" cm="1">
        <f t="array" ref="P7454">IFERROR(IF($B7454=P$1, ($A7454+$C7454) - MAX(IF($B$2:$B7453=$B7454, $A$2:$A7453+$C$2:$C7453)), "")*24*60, "")</f>
        <v/>
      </c>
      <c r="Q7454" s="24" t="str" cm="1">
        <f t="array" ref="Q7454">IFERROR(IF($B7454=Q$1, ($A7454+$C7454) - MAX(IF($B$2:$B7453=$B7454, $A$2:$A7453+$C$2:$C7453)), "")*24*60, "")</f>
        <v/>
      </c>
      <c r="R7454" s="24" t="str" cm="1">
        <f t="array" ref="R7454">IFERROR(IF($B7454=R$1, ($A7454+$C7454) - MAX(IF($B$2:$B7453=$B7454, $A$2:$A7453+$C$2:$C7453)), "")*24*60, "")</f>
        <v/>
      </c>
      <c r="S7454" s="24" t="str" cm="1">
        <f t="array" ref="S7454">IFERROR(IF($B7454=S$1, ($A7454+$C7454) - MAX(IF($B$2:$B7453=$B7454, $A$2:$A7453+$C$2:$C7453)), "")*24*60, "")</f>
        <v/>
      </c>
    </row>
    <row r="7455" spans="1:19" x14ac:dyDescent="0.2">
      <c r="A7455" s="12">
        <f t="shared" ref="A7455:C7455" si="1639">A7454</f>
        <v>46015</v>
      </c>
      <c r="B7455" s="5" t="str">
        <f t="shared" si="1639"/>
        <v>Northern Cardinal</v>
      </c>
      <c r="C7455" s="6">
        <f t="shared" si="1639"/>
        <v>0.74097222222222225</v>
      </c>
      <c r="D7455" s="5"/>
      <c r="E7455" s="5"/>
      <c r="F7455" s="5" t="s">
        <v>9</v>
      </c>
      <c r="G7455" s="15" t="s">
        <v>8</v>
      </c>
      <c r="H7455" s="24">
        <f t="shared" si="1635"/>
        <v>0</v>
      </c>
      <c r="I7455" s="24" cm="1">
        <f t="array" ref="I7455">IFERROR(IF($B7455=I$1, ($A7455+$C7455) - MAX(IF($B$2:$B7454=$B7455, $A$2:$A7454+$C$2:$C7454)), "")*24*60, "")</f>
        <v>0</v>
      </c>
      <c r="J7455" s="24" t="str" cm="1">
        <f t="array" ref="J7455">IFERROR(IF($B7455=J$1, ($A7455+$C7455) - MAX(IF($B$2:$B7454=$B7455, $A$2:$A7454+$C$2:$C7454)), "")*24*60, "")</f>
        <v/>
      </c>
      <c r="K7455" s="24" t="str" cm="1">
        <f t="array" ref="K7455">IFERROR(IF($B7455=K$1, ($A7455+$C7455) - MAX(IF($B$2:$B7454=$B7455, $A$2:$A7454+$C$2:$C7454)), "")*24*60, "")</f>
        <v/>
      </c>
      <c r="L7455" s="24" t="str" cm="1">
        <f t="array" ref="L7455">IFERROR(IF($B7455=L$1, ($A7455+$C7455) - MAX(IF($B$2:$B7454=$B7455, $A$2:$A7454+$C$2:$C7454)), "")*24*60, "")</f>
        <v/>
      </c>
      <c r="M7455" s="24" t="str" cm="1">
        <f t="array" ref="M7455">IFERROR(IF($B7455=M$1, ($A7455+$C7455) - MAX(IF($B$2:$B7454=$B7455, $A$2:$A7454+$C$2:$C7454)), "")*24*60, "")</f>
        <v/>
      </c>
      <c r="N7455" s="24" t="str" cm="1">
        <f t="array" ref="N7455">IFERROR(IF($B7455=N$1, ($A7455+$C7455) - MAX(IF($B$2:$B7454=$B7455, $A$2:$A7454+$C$2:$C7454)), "")*24*60, "")</f>
        <v/>
      </c>
      <c r="O7455" s="24" t="str" cm="1">
        <f t="array" ref="O7455">IFERROR(IF($B7455=O$1, ($A7455+$C7455) - MAX(IF($B$2:$B7454=$B7455, $A$2:$A7454+$C$2:$C7454)), "")*24*60, "")</f>
        <v/>
      </c>
      <c r="P7455" s="24" t="str" cm="1">
        <f t="array" ref="P7455">IFERROR(IF($B7455=P$1, ($A7455+$C7455) - MAX(IF($B$2:$B7454=$B7455, $A$2:$A7454+$C$2:$C7454)), "")*24*60, "")</f>
        <v/>
      </c>
      <c r="Q7455" s="24" t="str" cm="1">
        <f t="array" ref="Q7455">IFERROR(IF($B7455=Q$1, ($A7455+$C7455) - MAX(IF($B$2:$B7454=$B7455, $A$2:$A7454+$C$2:$C7454)), "")*24*60, "")</f>
        <v/>
      </c>
      <c r="R7455" s="24" t="str" cm="1">
        <f t="array" ref="R7455">IFERROR(IF($B7455=R$1, ($A7455+$C7455) - MAX(IF($B$2:$B7454=$B7455, $A$2:$A7454+$C$2:$C7454)), "")*24*60, "")</f>
        <v/>
      </c>
      <c r="S7455" s="24" t="str" cm="1">
        <f t="array" ref="S7455">IFERROR(IF($B7455=S$1, ($A7455+$C7455) - MAX(IF($B$2:$B7454=$B7455, $A$2:$A7454+$C$2:$C7454)), "")*24*60, "")</f>
        <v/>
      </c>
    </row>
    <row r="7456" spans="1:19" x14ac:dyDescent="0.2">
      <c r="A7456" s="12">
        <f t="shared" ref="A7456:C7456" si="1640">A7455</f>
        <v>46015</v>
      </c>
      <c r="B7456" s="5" t="str">
        <f t="shared" si="1640"/>
        <v>Northern Cardinal</v>
      </c>
      <c r="C7456" s="6">
        <f t="shared" si="1640"/>
        <v>0.74097222222222225</v>
      </c>
      <c r="D7456" s="5"/>
      <c r="E7456" s="5"/>
      <c r="F7456" s="5" t="s">
        <v>9</v>
      </c>
      <c r="G7456" s="15" t="s">
        <v>8</v>
      </c>
      <c r="H7456" s="24">
        <f t="shared" si="1635"/>
        <v>0</v>
      </c>
      <c r="I7456" s="24" cm="1">
        <f t="array" ref="I7456">IFERROR(IF($B7456=I$1, ($A7456+$C7456) - MAX(IF($B$2:$B7455=$B7456, $A$2:$A7455+$C$2:$C7455)), "")*24*60, "")</f>
        <v>0</v>
      </c>
      <c r="J7456" s="24" t="str" cm="1">
        <f t="array" ref="J7456">IFERROR(IF($B7456=J$1, ($A7456+$C7456) - MAX(IF($B$2:$B7455=$B7456, $A$2:$A7455+$C$2:$C7455)), "")*24*60, "")</f>
        <v/>
      </c>
      <c r="K7456" s="24" t="str" cm="1">
        <f t="array" ref="K7456">IFERROR(IF($B7456=K$1, ($A7456+$C7456) - MAX(IF($B$2:$B7455=$B7456, $A$2:$A7455+$C$2:$C7455)), "")*24*60, "")</f>
        <v/>
      </c>
      <c r="L7456" s="24" t="str" cm="1">
        <f t="array" ref="L7456">IFERROR(IF($B7456=L$1, ($A7456+$C7456) - MAX(IF($B$2:$B7455=$B7456, $A$2:$A7455+$C$2:$C7455)), "")*24*60, "")</f>
        <v/>
      </c>
      <c r="M7456" s="24" t="str" cm="1">
        <f t="array" ref="M7456">IFERROR(IF($B7456=M$1, ($A7456+$C7456) - MAX(IF($B$2:$B7455=$B7456, $A$2:$A7455+$C$2:$C7455)), "")*24*60, "")</f>
        <v/>
      </c>
      <c r="N7456" s="24" t="str" cm="1">
        <f t="array" ref="N7456">IFERROR(IF($B7456=N$1, ($A7456+$C7456) - MAX(IF($B$2:$B7455=$B7456, $A$2:$A7455+$C$2:$C7455)), "")*24*60, "")</f>
        <v/>
      </c>
      <c r="O7456" s="24" t="str" cm="1">
        <f t="array" ref="O7456">IFERROR(IF($B7456=O$1, ($A7456+$C7456) - MAX(IF($B$2:$B7455=$B7456, $A$2:$A7455+$C$2:$C7455)), "")*24*60, "")</f>
        <v/>
      </c>
      <c r="P7456" s="24" t="str" cm="1">
        <f t="array" ref="P7456">IFERROR(IF($B7456=P$1, ($A7456+$C7456) - MAX(IF($B$2:$B7455=$B7456, $A$2:$A7455+$C$2:$C7455)), "")*24*60, "")</f>
        <v/>
      </c>
      <c r="Q7456" s="24" t="str" cm="1">
        <f t="array" ref="Q7456">IFERROR(IF($B7456=Q$1, ($A7456+$C7456) - MAX(IF($B$2:$B7455=$B7456, $A$2:$A7455+$C$2:$C7455)), "")*24*60, "")</f>
        <v/>
      </c>
      <c r="R7456" s="24" t="str" cm="1">
        <f t="array" ref="R7456">IFERROR(IF($B7456=R$1, ($A7456+$C7456) - MAX(IF($B$2:$B7455=$B7456, $A$2:$A7455+$C$2:$C7455)), "")*24*60, "")</f>
        <v/>
      </c>
      <c r="S7456" s="24" t="str" cm="1">
        <f t="array" ref="S7456">IFERROR(IF($B7456=S$1, ($A7456+$C7456) - MAX(IF($B$2:$B7455=$B7456, $A$2:$A7455+$C$2:$C7455)), "")*24*60, "")</f>
        <v/>
      </c>
    </row>
    <row r="7457" spans="1:19" x14ac:dyDescent="0.2">
      <c r="A7457" s="12">
        <f t="shared" ref="A7457:C7457" si="1641">A7456</f>
        <v>46015</v>
      </c>
      <c r="B7457" s="5" t="str">
        <f t="shared" si="1641"/>
        <v>Northern Cardinal</v>
      </c>
      <c r="C7457" s="6">
        <f t="shared" si="1641"/>
        <v>0.74097222222222225</v>
      </c>
      <c r="D7457" s="5"/>
      <c r="E7457" s="5"/>
      <c r="F7457" s="5" t="s">
        <v>9</v>
      </c>
      <c r="G7457" s="15" t="s">
        <v>8</v>
      </c>
      <c r="H7457" s="24">
        <f t="shared" si="1635"/>
        <v>0</v>
      </c>
      <c r="I7457" s="24" cm="1">
        <f t="array" ref="I7457">IFERROR(IF($B7457=I$1, ($A7457+$C7457) - MAX(IF($B$2:$B7456=$B7457, $A$2:$A7456+$C$2:$C7456)), "")*24*60, "")</f>
        <v>0</v>
      </c>
      <c r="J7457" s="24" t="str" cm="1">
        <f t="array" ref="J7457">IFERROR(IF($B7457=J$1, ($A7457+$C7457) - MAX(IF($B$2:$B7456=$B7457, $A$2:$A7456+$C$2:$C7456)), "")*24*60, "")</f>
        <v/>
      </c>
      <c r="K7457" s="24" t="str" cm="1">
        <f t="array" ref="K7457">IFERROR(IF($B7457=K$1, ($A7457+$C7457) - MAX(IF($B$2:$B7456=$B7457, $A$2:$A7456+$C$2:$C7456)), "")*24*60, "")</f>
        <v/>
      </c>
      <c r="L7457" s="24" t="str" cm="1">
        <f t="array" ref="L7457">IFERROR(IF($B7457=L$1, ($A7457+$C7457) - MAX(IF($B$2:$B7456=$B7457, $A$2:$A7456+$C$2:$C7456)), "")*24*60, "")</f>
        <v/>
      </c>
      <c r="M7457" s="24" t="str" cm="1">
        <f t="array" ref="M7457">IFERROR(IF($B7457=M$1, ($A7457+$C7457) - MAX(IF($B$2:$B7456=$B7457, $A$2:$A7456+$C$2:$C7456)), "")*24*60, "")</f>
        <v/>
      </c>
      <c r="N7457" s="24" t="str" cm="1">
        <f t="array" ref="N7457">IFERROR(IF($B7457=N$1, ($A7457+$C7457) - MAX(IF($B$2:$B7456=$B7457, $A$2:$A7456+$C$2:$C7456)), "")*24*60, "")</f>
        <v/>
      </c>
      <c r="O7457" s="24" t="str" cm="1">
        <f t="array" ref="O7457">IFERROR(IF($B7457=O$1, ($A7457+$C7457) - MAX(IF($B$2:$B7456=$B7457, $A$2:$A7456+$C$2:$C7456)), "")*24*60, "")</f>
        <v/>
      </c>
      <c r="P7457" s="24" t="str" cm="1">
        <f t="array" ref="P7457">IFERROR(IF($B7457=P$1, ($A7457+$C7457) - MAX(IF($B$2:$B7456=$B7457, $A$2:$A7456+$C$2:$C7456)), "")*24*60, "")</f>
        <v/>
      </c>
      <c r="Q7457" s="24" t="str" cm="1">
        <f t="array" ref="Q7457">IFERROR(IF($B7457=Q$1, ($A7457+$C7457) - MAX(IF($B$2:$B7456=$B7457, $A$2:$A7456+$C$2:$C7456)), "")*24*60, "")</f>
        <v/>
      </c>
      <c r="R7457" s="24" t="str" cm="1">
        <f t="array" ref="R7457">IFERROR(IF($B7457=R$1, ($A7457+$C7457) - MAX(IF($B$2:$B7456=$B7457, $A$2:$A7456+$C$2:$C7456)), "")*24*60, "")</f>
        <v/>
      </c>
      <c r="S7457" s="24" t="str" cm="1">
        <f t="array" ref="S7457">IFERROR(IF($B7457=S$1, ($A7457+$C7457) - MAX(IF($B$2:$B7456=$B7457, $A$2:$A7456+$C$2:$C7456)), "")*24*60, "")</f>
        <v/>
      </c>
    </row>
    <row r="7458" spans="1:19" x14ac:dyDescent="0.2">
      <c r="A7458" s="12">
        <f t="shared" ref="A7458:C7458" si="1642">A7457</f>
        <v>46015</v>
      </c>
      <c r="B7458" s="5" t="str">
        <f t="shared" si="1642"/>
        <v>Northern Cardinal</v>
      </c>
      <c r="C7458" s="6">
        <f t="shared" si="1642"/>
        <v>0.74097222222222225</v>
      </c>
      <c r="D7458" s="5"/>
      <c r="E7458" s="5"/>
      <c r="F7458" s="5" t="s">
        <v>9</v>
      </c>
      <c r="G7458" s="15" t="s">
        <v>8</v>
      </c>
      <c r="H7458" s="24">
        <f t="shared" si="1635"/>
        <v>0</v>
      </c>
      <c r="I7458" s="24" cm="1">
        <f t="array" ref="I7458">IFERROR(IF($B7458=I$1, ($A7458+$C7458) - MAX(IF($B$2:$B7457=$B7458, $A$2:$A7457+$C$2:$C7457)), "")*24*60, "")</f>
        <v>0</v>
      </c>
      <c r="J7458" s="24" t="str" cm="1">
        <f t="array" ref="J7458">IFERROR(IF($B7458=J$1, ($A7458+$C7458) - MAX(IF($B$2:$B7457=$B7458, $A$2:$A7457+$C$2:$C7457)), "")*24*60, "")</f>
        <v/>
      </c>
      <c r="K7458" s="24" t="str" cm="1">
        <f t="array" ref="K7458">IFERROR(IF($B7458=K$1, ($A7458+$C7458) - MAX(IF($B$2:$B7457=$B7458, $A$2:$A7457+$C$2:$C7457)), "")*24*60, "")</f>
        <v/>
      </c>
      <c r="L7458" s="24" t="str" cm="1">
        <f t="array" ref="L7458">IFERROR(IF($B7458=L$1, ($A7458+$C7458) - MAX(IF($B$2:$B7457=$B7458, $A$2:$A7457+$C$2:$C7457)), "")*24*60, "")</f>
        <v/>
      </c>
      <c r="M7458" s="24" t="str" cm="1">
        <f t="array" ref="M7458">IFERROR(IF($B7458=M$1, ($A7458+$C7458) - MAX(IF($B$2:$B7457=$B7458, $A$2:$A7457+$C$2:$C7457)), "")*24*60, "")</f>
        <v/>
      </c>
      <c r="N7458" s="24" t="str" cm="1">
        <f t="array" ref="N7458">IFERROR(IF($B7458=N$1, ($A7458+$C7458) - MAX(IF($B$2:$B7457=$B7458, $A$2:$A7457+$C$2:$C7457)), "")*24*60, "")</f>
        <v/>
      </c>
      <c r="O7458" s="24" t="str" cm="1">
        <f t="array" ref="O7458">IFERROR(IF($B7458=O$1, ($A7458+$C7458) - MAX(IF($B$2:$B7457=$B7458, $A$2:$A7457+$C$2:$C7457)), "")*24*60, "")</f>
        <v/>
      </c>
      <c r="P7458" s="24" t="str" cm="1">
        <f t="array" ref="P7458">IFERROR(IF($B7458=P$1, ($A7458+$C7458) - MAX(IF($B$2:$B7457=$B7458, $A$2:$A7457+$C$2:$C7457)), "")*24*60, "")</f>
        <v/>
      </c>
      <c r="Q7458" s="24" t="str" cm="1">
        <f t="array" ref="Q7458">IFERROR(IF($B7458=Q$1, ($A7458+$C7458) - MAX(IF($B$2:$B7457=$B7458, $A$2:$A7457+$C$2:$C7457)), "")*24*60, "")</f>
        <v/>
      </c>
      <c r="R7458" s="24" t="str" cm="1">
        <f t="array" ref="R7458">IFERROR(IF($B7458=R$1, ($A7458+$C7458) - MAX(IF($B$2:$B7457=$B7458, $A$2:$A7457+$C$2:$C7457)), "")*24*60, "")</f>
        <v/>
      </c>
      <c r="S7458" s="24" t="str" cm="1">
        <f t="array" ref="S7458">IFERROR(IF($B7458=S$1, ($A7458+$C7458) - MAX(IF($B$2:$B7457=$B7458, $A$2:$A7457+$C$2:$C7457)), "")*24*60, "")</f>
        <v/>
      </c>
    </row>
    <row r="7459" spans="1:19" x14ac:dyDescent="0.2">
      <c r="A7459" s="12">
        <f t="shared" ref="A7459:C7459" si="1643">A7458</f>
        <v>46015</v>
      </c>
      <c r="B7459" s="5" t="str">
        <f t="shared" si="1643"/>
        <v>Northern Cardinal</v>
      </c>
      <c r="C7459" s="6">
        <f t="shared" si="1643"/>
        <v>0.74097222222222225</v>
      </c>
      <c r="D7459" s="5"/>
      <c r="E7459" s="5"/>
      <c r="F7459" s="5" t="s">
        <v>9</v>
      </c>
      <c r="G7459" s="15" t="s">
        <v>8</v>
      </c>
      <c r="H7459" s="24">
        <f t="shared" si="1635"/>
        <v>0</v>
      </c>
      <c r="I7459" s="24" cm="1">
        <f t="array" ref="I7459">IFERROR(IF($B7459=I$1, ($A7459+$C7459) - MAX(IF($B$2:$B7458=$B7459, $A$2:$A7458+$C$2:$C7458)), "")*24*60, "")</f>
        <v>0</v>
      </c>
      <c r="J7459" s="24" t="str" cm="1">
        <f t="array" ref="J7459">IFERROR(IF($B7459=J$1, ($A7459+$C7459) - MAX(IF($B$2:$B7458=$B7459, $A$2:$A7458+$C$2:$C7458)), "")*24*60, "")</f>
        <v/>
      </c>
      <c r="K7459" s="24" t="str" cm="1">
        <f t="array" ref="K7459">IFERROR(IF($B7459=K$1, ($A7459+$C7459) - MAX(IF($B$2:$B7458=$B7459, $A$2:$A7458+$C$2:$C7458)), "")*24*60, "")</f>
        <v/>
      </c>
      <c r="L7459" s="24" t="str" cm="1">
        <f t="array" ref="L7459">IFERROR(IF($B7459=L$1, ($A7459+$C7459) - MAX(IF($B$2:$B7458=$B7459, $A$2:$A7458+$C$2:$C7458)), "")*24*60, "")</f>
        <v/>
      </c>
      <c r="M7459" s="24" t="str" cm="1">
        <f t="array" ref="M7459">IFERROR(IF($B7459=M$1, ($A7459+$C7459) - MAX(IF($B$2:$B7458=$B7459, $A$2:$A7458+$C$2:$C7458)), "")*24*60, "")</f>
        <v/>
      </c>
      <c r="N7459" s="24" t="str" cm="1">
        <f t="array" ref="N7459">IFERROR(IF($B7459=N$1, ($A7459+$C7459) - MAX(IF($B$2:$B7458=$B7459, $A$2:$A7458+$C$2:$C7458)), "")*24*60, "")</f>
        <v/>
      </c>
      <c r="O7459" s="24" t="str" cm="1">
        <f t="array" ref="O7459">IFERROR(IF($B7459=O$1, ($A7459+$C7459) - MAX(IF($B$2:$B7458=$B7459, $A$2:$A7458+$C$2:$C7458)), "")*24*60, "")</f>
        <v/>
      </c>
      <c r="P7459" s="24" t="str" cm="1">
        <f t="array" ref="P7459">IFERROR(IF($B7459=P$1, ($A7459+$C7459) - MAX(IF($B$2:$B7458=$B7459, $A$2:$A7458+$C$2:$C7458)), "")*24*60, "")</f>
        <v/>
      </c>
      <c r="Q7459" s="24" t="str" cm="1">
        <f t="array" ref="Q7459">IFERROR(IF($B7459=Q$1, ($A7459+$C7459) - MAX(IF($B$2:$B7458=$B7459, $A$2:$A7458+$C$2:$C7458)), "")*24*60, "")</f>
        <v/>
      </c>
      <c r="R7459" s="24" t="str" cm="1">
        <f t="array" ref="R7459">IFERROR(IF($B7459=R$1, ($A7459+$C7459) - MAX(IF($B$2:$B7458=$B7459, $A$2:$A7458+$C$2:$C7458)), "")*24*60, "")</f>
        <v/>
      </c>
      <c r="S7459" s="24" t="str" cm="1">
        <f t="array" ref="S7459">IFERROR(IF($B7459=S$1, ($A7459+$C7459) - MAX(IF($B$2:$B7458=$B7459, $A$2:$A7458+$C$2:$C7458)), "")*24*60, "")</f>
        <v/>
      </c>
    </row>
    <row r="7460" spans="1:19" x14ac:dyDescent="0.2">
      <c r="A7460" s="12">
        <f t="shared" ref="A7460:C7460" si="1644">A7459</f>
        <v>46015</v>
      </c>
      <c r="B7460" s="5" t="str">
        <f t="shared" si="1644"/>
        <v>Northern Cardinal</v>
      </c>
      <c r="C7460" s="6">
        <f t="shared" si="1644"/>
        <v>0.74097222222222225</v>
      </c>
      <c r="D7460" s="5"/>
      <c r="E7460" s="5"/>
      <c r="F7460" s="5" t="s">
        <v>9</v>
      </c>
      <c r="G7460" s="15" t="s">
        <v>8</v>
      </c>
      <c r="H7460" s="24">
        <f t="shared" si="1635"/>
        <v>0</v>
      </c>
      <c r="I7460" s="24" cm="1">
        <f t="array" ref="I7460">IFERROR(IF($B7460=I$1, ($A7460+$C7460) - MAX(IF($B$2:$B7459=$B7460, $A$2:$A7459+$C$2:$C7459)), "")*24*60, "")</f>
        <v>0</v>
      </c>
      <c r="J7460" s="24" t="str" cm="1">
        <f t="array" ref="J7460">IFERROR(IF($B7460=J$1, ($A7460+$C7460) - MAX(IF($B$2:$B7459=$B7460, $A$2:$A7459+$C$2:$C7459)), "")*24*60, "")</f>
        <v/>
      </c>
      <c r="K7460" s="24" t="str" cm="1">
        <f t="array" ref="K7460">IFERROR(IF($B7460=K$1, ($A7460+$C7460) - MAX(IF($B$2:$B7459=$B7460, $A$2:$A7459+$C$2:$C7459)), "")*24*60, "")</f>
        <v/>
      </c>
      <c r="L7460" s="24" t="str" cm="1">
        <f t="array" ref="L7460">IFERROR(IF($B7460=L$1, ($A7460+$C7460) - MAX(IF($B$2:$B7459=$B7460, $A$2:$A7459+$C$2:$C7459)), "")*24*60, "")</f>
        <v/>
      </c>
      <c r="M7460" s="24" t="str" cm="1">
        <f t="array" ref="M7460">IFERROR(IF($B7460=M$1, ($A7460+$C7460) - MAX(IF($B$2:$B7459=$B7460, $A$2:$A7459+$C$2:$C7459)), "")*24*60, "")</f>
        <v/>
      </c>
      <c r="N7460" s="24" t="str" cm="1">
        <f t="array" ref="N7460">IFERROR(IF($B7460=N$1, ($A7460+$C7460) - MAX(IF($B$2:$B7459=$B7460, $A$2:$A7459+$C$2:$C7459)), "")*24*60, "")</f>
        <v/>
      </c>
      <c r="O7460" s="24" t="str" cm="1">
        <f t="array" ref="O7460">IFERROR(IF($B7460=O$1, ($A7460+$C7460) - MAX(IF($B$2:$B7459=$B7460, $A$2:$A7459+$C$2:$C7459)), "")*24*60, "")</f>
        <v/>
      </c>
      <c r="P7460" s="24" t="str" cm="1">
        <f t="array" ref="P7460">IFERROR(IF($B7460=P$1, ($A7460+$C7460) - MAX(IF($B$2:$B7459=$B7460, $A$2:$A7459+$C$2:$C7459)), "")*24*60, "")</f>
        <v/>
      </c>
      <c r="Q7460" s="24" t="str" cm="1">
        <f t="array" ref="Q7460">IFERROR(IF($B7460=Q$1, ($A7460+$C7460) - MAX(IF($B$2:$B7459=$B7460, $A$2:$A7459+$C$2:$C7459)), "")*24*60, "")</f>
        <v/>
      </c>
      <c r="R7460" s="24" t="str" cm="1">
        <f t="array" ref="R7460">IFERROR(IF($B7460=R$1, ($A7460+$C7460) - MAX(IF($B$2:$B7459=$B7460, $A$2:$A7459+$C$2:$C7459)), "")*24*60, "")</f>
        <v/>
      </c>
      <c r="S7460" s="24" t="str" cm="1">
        <f t="array" ref="S7460">IFERROR(IF($B7460=S$1, ($A7460+$C7460) - MAX(IF($B$2:$B7459=$B7460, $A$2:$A7459+$C$2:$C7459)), "")*24*60, "")</f>
        <v/>
      </c>
    </row>
    <row r="7461" spans="1:19" x14ac:dyDescent="0.2">
      <c r="A7461" s="12">
        <f t="shared" ref="A7461:C7461" si="1645">A7460</f>
        <v>46015</v>
      </c>
      <c r="B7461" s="5" t="str">
        <f t="shared" si="1645"/>
        <v>Northern Cardinal</v>
      </c>
      <c r="C7461" s="6">
        <f t="shared" si="1645"/>
        <v>0.74097222222222225</v>
      </c>
      <c r="D7461" s="5"/>
      <c r="E7461" s="5"/>
      <c r="F7461" s="5" t="s">
        <v>9</v>
      </c>
      <c r="G7461" s="15" t="s">
        <v>8</v>
      </c>
      <c r="H7461" s="24">
        <f t="shared" si="1635"/>
        <v>0</v>
      </c>
      <c r="I7461" s="24" cm="1">
        <f t="array" ref="I7461">IFERROR(IF($B7461=I$1, ($A7461+$C7461) - MAX(IF($B$2:$B7460=$B7461, $A$2:$A7460+$C$2:$C7460)), "")*24*60, "")</f>
        <v>0</v>
      </c>
      <c r="J7461" s="24" t="str" cm="1">
        <f t="array" ref="J7461">IFERROR(IF($B7461=J$1, ($A7461+$C7461) - MAX(IF($B$2:$B7460=$B7461, $A$2:$A7460+$C$2:$C7460)), "")*24*60, "")</f>
        <v/>
      </c>
      <c r="K7461" s="24" t="str" cm="1">
        <f t="array" ref="K7461">IFERROR(IF($B7461=K$1, ($A7461+$C7461) - MAX(IF($B$2:$B7460=$B7461, $A$2:$A7460+$C$2:$C7460)), "")*24*60, "")</f>
        <v/>
      </c>
      <c r="L7461" s="24" t="str" cm="1">
        <f t="array" ref="L7461">IFERROR(IF($B7461=L$1, ($A7461+$C7461) - MAX(IF($B$2:$B7460=$B7461, $A$2:$A7460+$C$2:$C7460)), "")*24*60, "")</f>
        <v/>
      </c>
      <c r="M7461" s="24" t="str" cm="1">
        <f t="array" ref="M7461">IFERROR(IF($B7461=M$1, ($A7461+$C7461) - MAX(IF($B$2:$B7460=$B7461, $A$2:$A7460+$C$2:$C7460)), "")*24*60, "")</f>
        <v/>
      </c>
      <c r="N7461" s="24" t="str" cm="1">
        <f t="array" ref="N7461">IFERROR(IF($B7461=N$1, ($A7461+$C7461) - MAX(IF($B$2:$B7460=$B7461, $A$2:$A7460+$C$2:$C7460)), "")*24*60, "")</f>
        <v/>
      </c>
      <c r="O7461" s="24" t="str" cm="1">
        <f t="array" ref="O7461">IFERROR(IF($B7461=O$1, ($A7461+$C7461) - MAX(IF($B$2:$B7460=$B7461, $A$2:$A7460+$C$2:$C7460)), "")*24*60, "")</f>
        <v/>
      </c>
      <c r="P7461" s="24" t="str" cm="1">
        <f t="array" ref="P7461">IFERROR(IF($B7461=P$1, ($A7461+$C7461) - MAX(IF($B$2:$B7460=$B7461, $A$2:$A7460+$C$2:$C7460)), "")*24*60, "")</f>
        <v/>
      </c>
      <c r="Q7461" s="24" t="str" cm="1">
        <f t="array" ref="Q7461">IFERROR(IF($B7461=Q$1, ($A7461+$C7461) - MAX(IF($B$2:$B7460=$B7461, $A$2:$A7460+$C$2:$C7460)), "")*24*60, "")</f>
        <v/>
      </c>
      <c r="R7461" s="24" t="str" cm="1">
        <f t="array" ref="R7461">IFERROR(IF($B7461=R$1, ($A7461+$C7461) - MAX(IF($B$2:$B7460=$B7461, $A$2:$A7460+$C$2:$C7460)), "")*24*60, "")</f>
        <v/>
      </c>
      <c r="S7461" s="24" t="str" cm="1">
        <f t="array" ref="S7461">IFERROR(IF($B7461=S$1, ($A7461+$C7461) - MAX(IF($B$2:$B7460=$B7461, $A$2:$A7460+$C$2:$C7460)), "")*24*60, "")</f>
        <v/>
      </c>
    </row>
    <row r="7462" spans="1:19" x14ac:dyDescent="0.2">
      <c r="A7462" s="12">
        <f t="shared" ref="A7462:C7462" si="1646">A7461</f>
        <v>46015</v>
      </c>
      <c r="B7462" s="5" t="str">
        <f t="shared" si="1646"/>
        <v>Northern Cardinal</v>
      </c>
      <c r="C7462" s="6">
        <f t="shared" si="1646"/>
        <v>0.74097222222222225</v>
      </c>
      <c r="D7462" s="5"/>
      <c r="E7462" s="5"/>
      <c r="F7462" s="5" t="s">
        <v>9</v>
      </c>
      <c r="G7462" s="15" t="s">
        <v>8</v>
      </c>
      <c r="H7462" s="24">
        <f t="shared" si="1635"/>
        <v>0</v>
      </c>
      <c r="I7462" s="24" cm="1">
        <f t="array" ref="I7462">IFERROR(IF($B7462=I$1, ($A7462+$C7462) - MAX(IF($B$2:$B7461=$B7462, $A$2:$A7461+$C$2:$C7461)), "")*24*60, "")</f>
        <v>0</v>
      </c>
      <c r="J7462" s="24" t="str" cm="1">
        <f t="array" ref="J7462">IFERROR(IF($B7462=J$1, ($A7462+$C7462) - MAX(IF($B$2:$B7461=$B7462, $A$2:$A7461+$C$2:$C7461)), "")*24*60, "")</f>
        <v/>
      </c>
      <c r="K7462" s="24" t="str" cm="1">
        <f t="array" ref="K7462">IFERROR(IF($B7462=K$1, ($A7462+$C7462) - MAX(IF($B$2:$B7461=$B7462, $A$2:$A7461+$C$2:$C7461)), "")*24*60, "")</f>
        <v/>
      </c>
      <c r="L7462" s="24" t="str" cm="1">
        <f t="array" ref="L7462">IFERROR(IF($B7462=L$1, ($A7462+$C7462) - MAX(IF($B$2:$B7461=$B7462, $A$2:$A7461+$C$2:$C7461)), "")*24*60, "")</f>
        <v/>
      </c>
      <c r="M7462" s="24" t="str" cm="1">
        <f t="array" ref="M7462">IFERROR(IF($B7462=M$1, ($A7462+$C7462) - MAX(IF($B$2:$B7461=$B7462, $A$2:$A7461+$C$2:$C7461)), "")*24*60, "")</f>
        <v/>
      </c>
      <c r="N7462" s="24" t="str" cm="1">
        <f t="array" ref="N7462">IFERROR(IF($B7462=N$1, ($A7462+$C7462) - MAX(IF($B$2:$B7461=$B7462, $A$2:$A7461+$C$2:$C7461)), "")*24*60, "")</f>
        <v/>
      </c>
      <c r="O7462" s="24" t="str" cm="1">
        <f t="array" ref="O7462">IFERROR(IF($B7462=O$1, ($A7462+$C7462) - MAX(IF($B$2:$B7461=$B7462, $A$2:$A7461+$C$2:$C7461)), "")*24*60, "")</f>
        <v/>
      </c>
      <c r="P7462" s="24" t="str" cm="1">
        <f t="array" ref="P7462">IFERROR(IF($B7462=P$1, ($A7462+$C7462) - MAX(IF($B$2:$B7461=$B7462, $A$2:$A7461+$C$2:$C7461)), "")*24*60, "")</f>
        <v/>
      </c>
      <c r="Q7462" s="24" t="str" cm="1">
        <f t="array" ref="Q7462">IFERROR(IF($B7462=Q$1, ($A7462+$C7462) - MAX(IF($B$2:$B7461=$B7462, $A$2:$A7461+$C$2:$C7461)), "")*24*60, "")</f>
        <v/>
      </c>
      <c r="R7462" s="24" t="str" cm="1">
        <f t="array" ref="R7462">IFERROR(IF($B7462=R$1, ($A7462+$C7462) - MAX(IF($B$2:$B7461=$B7462, $A$2:$A7461+$C$2:$C7461)), "")*24*60, "")</f>
        <v/>
      </c>
      <c r="S7462" s="24" t="str" cm="1">
        <f t="array" ref="S7462">IFERROR(IF($B7462=S$1, ($A7462+$C7462) - MAX(IF($B$2:$B7461=$B7462, $A$2:$A7461+$C$2:$C7461)), "")*24*60, "")</f>
        <v/>
      </c>
    </row>
    <row r="7463" spans="1:19" x14ac:dyDescent="0.2">
      <c r="A7463" s="12">
        <f t="shared" ref="A7463:C7463" si="1647">A7462</f>
        <v>46015</v>
      </c>
      <c r="B7463" s="5" t="str">
        <f t="shared" si="1647"/>
        <v>Northern Cardinal</v>
      </c>
      <c r="C7463" s="6">
        <f t="shared" si="1647"/>
        <v>0.74097222222222225</v>
      </c>
      <c r="D7463" s="5"/>
      <c r="E7463" s="5"/>
      <c r="F7463" s="5" t="s">
        <v>9</v>
      </c>
      <c r="G7463" s="15" t="s">
        <v>8</v>
      </c>
      <c r="H7463" s="24">
        <f t="shared" si="1635"/>
        <v>0</v>
      </c>
      <c r="I7463" s="24" cm="1">
        <f t="array" ref="I7463">IFERROR(IF($B7463=I$1, ($A7463+$C7463) - MAX(IF($B$2:$B7462=$B7463, $A$2:$A7462+$C$2:$C7462)), "")*24*60, "")</f>
        <v>0</v>
      </c>
      <c r="J7463" s="24" t="str" cm="1">
        <f t="array" ref="J7463">IFERROR(IF($B7463=J$1, ($A7463+$C7463) - MAX(IF($B$2:$B7462=$B7463, $A$2:$A7462+$C$2:$C7462)), "")*24*60, "")</f>
        <v/>
      </c>
      <c r="K7463" s="24" t="str" cm="1">
        <f t="array" ref="K7463">IFERROR(IF($B7463=K$1, ($A7463+$C7463) - MAX(IF($B$2:$B7462=$B7463, $A$2:$A7462+$C$2:$C7462)), "")*24*60, "")</f>
        <v/>
      </c>
      <c r="L7463" s="24" t="str" cm="1">
        <f t="array" ref="L7463">IFERROR(IF($B7463=L$1, ($A7463+$C7463) - MAX(IF($B$2:$B7462=$B7463, $A$2:$A7462+$C$2:$C7462)), "")*24*60, "")</f>
        <v/>
      </c>
      <c r="M7463" s="24" t="str" cm="1">
        <f t="array" ref="M7463">IFERROR(IF($B7463=M$1, ($A7463+$C7463) - MAX(IF($B$2:$B7462=$B7463, $A$2:$A7462+$C$2:$C7462)), "")*24*60, "")</f>
        <v/>
      </c>
      <c r="N7463" s="24" t="str" cm="1">
        <f t="array" ref="N7463">IFERROR(IF($B7463=N$1, ($A7463+$C7463) - MAX(IF($B$2:$B7462=$B7463, $A$2:$A7462+$C$2:$C7462)), "")*24*60, "")</f>
        <v/>
      </c>
      <c r="O7463" s="24" t="str" cm="1">
        <f t="array" ref="O7463">IFERROR(IF($B7463=O$1, ($A7463+$C7463) - MAX(IF($B$2:$B7462=$B7463, $A$2:$A7462+$C$2:$C7462)), "")*24*60, "")</f>
        <v/>
      </c>
      <c r="P7463" s="24" t="str" cm="1">
        <f t="array" ref="P7463">IFERROR(IF($B7463=P$1, ($A7463+$C7463) - MAX(IF($B$2:$B7462=$B7463, $A$2:$A7462+$C$2:$C7462)), "")*24*60, "")</f>
        <v/>
      </c>
      <c r="Q7463" s="24" t="str" cm="1">
        <f t="array" ref="Q7463">IFERROR(IF($B7463=Q$1, ($A7463+$C7463) - MAX(IF($B$2:$B7462=$B7463, $A$2:$A7462+$C$2:$C7462)), "")*24*60, "")</f>
        <v/>
      </c>
      <c r="R7463" s="24" t="str" cm="1">
        <f t="array" ref="R7463">IFERROR(IF($B7463=R$1, ($A7463+$C7463) - MAX(IF($B$2:$B7462=$B7463, $A$2:$A7462+$C$2:$C7462)), "")*24*60, "")</f>
        <v/>
      </c>
      <c r="S7463" s="24" t="str" cm="1">
        <f t="array" ref="S7463">IFERROR(IF($B7463=S$1, ($A7463+$C7463) - MAX(IF($B$2:$B7462=$B7463, $A$2:$A7462+$C$2:$C7462)), "")*24*60, "")</f>
        <v/>
      </c>
    </row>
    <row r="7464" spans="1:19" x14ac:dyDescent="0.2">
      <c r="A7464" s="12">
        <f t="shared" ref="A7464:C7464" si="1648">A7463</f>
        <v>46015</v>
      </c>
      <c r="B7464" s="5" t="str">
        <f t="shared" si="1648"/>
        <v>Northern Cardinal</v>
      </c>
      <c r="C7464" s="6">
        <f t="shared" si="1648"/>
        <v>0.74097222222222225</v>
      </c>
      <c r="D7464" s="5"/>
      <c r="E7464" s="5"/>
      <c r="F7464" s="5" t="s">
        <v>9</v>
      </c>
      <c r="G7464" s="15" t="s">
        <v>8</v>
      </c>
      <c r="H7464" s="24">
        <f t="shared" si="1635"/>
        <v>0</v>
      </c>
      <c r="I7464" s="24" cm="1">
        <f t="array" ref="I7464">IFERROR(IF($B7464=I$1, ($A7464+$C7464) - MAX(IF($B$2:$B7463=$B7464, $A$2:$A7463+$C$2:$C7463)), "")*24*60, "")</f>
        <v>0</v>
      </c>
      <c r="J7464" s="24" t="str" cm="1">
        <f t="array" ref="J7464">IFERROR(IF($B7464=J$1, ($A7464+$C7464) - MAX(IF($B$2:$B7463=$B7464, $A$2:$A7463+$C$2:$C7463)), "")*24*60, "")</f>
        <v/>
      </c>
      <c r="K7464" s="24" t="str" cm="1">
        <f t="array" ref="K7464">IFERROR(IF($B7464=K$1, ($A7464+$C7464) - MAX(IF($B$2:$B7463=$B7464, $A$2:$A7463+$C$2:$C7463)), "")*24*60, "")</f>
        <v/>
      </c>
      <c r="L7464" s="24" t="str" cm="1">
        <f t="array" ref="L7464">IFERROR(IF($B7464=L$1, ($A7464+$C7464) - MAX(IF($B$2:$B7463=$B7464, $A$2:$A7463+$C$2:$C7463)), "")*24*60, "")</f>
        <v/>
      </c>
      <c r="M7464" s="24" t="str" cm="1">
        <f t="array" ref="M7464">IFERROR(IF($B7464=M$1, ($A7464+$C7464) - MAX(IF($B$2:$B7463=$B7464, $A$2:$A7463+$C$2:$C7463)), "")*24*60, "")</f>
        <v/>
      </c>
      <c r="N7464" s="24" t="str" cm="1">
        <f t="array" ref="N7464">IFERROR(IF($B7464=N$1, ($A7464+$C7464) - MAX(IF($B$2:$B7463=$B7464, $A$2:$A7463+$C$2:$C7463)), "")*24*60, "")</f>
        <v/>
      </c>
      <c r="O7464" s="24" t="str" cm="1">
        <f t="array" ref="O7464">IFERROR(IF($B7464=O$1, ($A7464+$C7464) - MAX(IF($B$2:$B7463=$B7464, $A$2:$A7463+$C$2:$C7463)), "")*24*60, "")</f>
        <v/>
      </c>
      <c r="P7464" s="24" t="str" cm="1">
        <f t="array" ref="P7464">IFERROR(IF($B7464=P$1, ($A7464+$C7464) - MAX(IF($B$2:$B7463=$B7464, $A$2:$A7463+$C$2:$C7463)), "")*24*60, "")</f>
        <v/>
      </c>
      <c r="Q7464" s="24" t="str" cm="1">
        <f t="array" ref="Q7464">IFERROR(IF($B7464=Q$1, ($A7464+$C7464) - MAX(IF($B$2:$B7463=$B7464, $A$2:$A7463+$C$2:$C7463)), "")*24*60, "")</f>
        <v/>
      </c>
      <c r="R7464" s="24" t="str" cm="1">
        <f t="array" ref="R7464">IFERROR(IF($B7464=R$1, ($A7464+$C7464) - MAX(IF($B$2:$B7463=$B7464, $A$2:$A7463+$C$2:$C7463)), "")*24*60, "")</f>
        <v/>
      </c>
      <c r="S7464" s="24" t="str" cm="1">
        <f t="array" ref="S7464">IFERROR(IF($B7464=S$1, ($A7464+$C7464) - MAX(IF($B$2:$B7463=$B7464, $A$2:$A7463+$C$2:$C7463)), "")*24*60, "")</f>
        <v/>
      </c>
    </row>
    <row r="7465" spans="1:19" x14ac:dyDescent="0.2">
      <c r="A7465" s="12">
        <f t="shared" ref="A7465:C7465" si="1649">A7464</f>
        <v>46015</v>
      </c>
      <c r="B7465" s="5" t="str">
        <f t="shared" si="1649"/>
        <v>Northern Cardinal</v>
      </c>
      <c r="C7465" s="6">
        <f t="shared" si="1649"/>
        <v>0.74097222222222225</v>
      </c>
      <c r="D7465" s="5"/>
      <c r="E7465" s="5"/>
      <c r="F7465" s="5" t="s">
        <v>9</v>
      </c>
      <c r="G7465" s="15" t="s">
        <v>8</v>
      </c>
      <c r="H7465" s="24">
        <f t="shared" si="1635"/>
        <v>0</v>
      </c>
      <c r="I7465" s="24" cm="1">
        <f t="array" ref="I7465">IFERROR(IF($B7465=I$1, ($A7465+$C7465) - MAX(IF($B$2:$B7464=$B7465, $A$2:$A7464+$C$2:$C7464)), "")*24*60, "")</f>
        <v>0</v>
      </c>
      <c r="J7465" s="24" t="str" cm="1">
        <f t="array" ref="J7465">IFERROR(IF($B7465=J$1, ($A7465+$C7465) - MAX(IF($B$2:$B7464=$B7465, $A$2:$A7464+$C$2:$C7464)), "")*24*60, "")</f>
        <v/>
      </c>
      <c r="K7465" s="24" t="str" cm="1">
        <f t="array" ref="K7465">IFERROR(IF($B7465=K$1, ($A7465+$C7465) - MAX(IF($B$2:$B7464=$B7465, $A$2:$A7464+$C$2:$C7464)), "")*24*60, "")</f>
        <v/>
      </c>
      <c r="L7465" s="24" t="str" cm="1">
        <f t="array" ref="L7465">IFERROR(IF($B7465=L$1, ($A7465+$C7465) - MAX(IF($B$2:$B7464=$B7465, $A$2:$A7464+$C$2:$C7464)), "")*24*60, "")</f>
        <v/>
      </c>
      <c r="M7465" s="24" t="str" cm="1">
        <f t="array" ref="M7465">IFERROR(IF($B7465=M$1, ($A7465+$C7465) - MAX(IF($B$2:$B7464=$B7465, $A$2:$A7464+$C$2:$C7464)), "")*24*60, "")</f>
        <v/>
      </c>
      <c r="N7465" s="24" t="str" cm="1">
        <f t="array" ref="N7465">IFERROR(IF($B7465=N$1, ($A7465+$C7465) - MAX(IF($B$2:$B7464=$B7465, $A$2:$A7464+$C$2:$C7464)), "")*24*60, "")</f>
        <v/>
      </c>
      <c r="O7465" s="24" t="str" cm="1">
        <f t="array" ref="O7465">IFERROR(IF($B7465=O$1, ($A7465+$C7465) - MAX(IF($B$2:$B7464=$B7465, $A$2:$A7464+$C$2:$C7464)), "")*24*60, "")</f>
        <v/>
      </c>
      <c r="P7465" s="24" t="str" cm="1">
        <f t="array" ref="P7465">IFERROR(IF($B7465=P$1, ($A7465+$C7465) - MAX(IF($B$2:$B7464=$B7465, $A$2:$A7464+$C$2:$C7464)), "")*24*60, "")</f>
        <v/>
      </c>
      <c r="Q7465" s="24" t="str" cm="1">
        <f t="array" ref="Q7465">IFERROR(IF($B7465=Q$1, ($A7465+$C7465) - MAX(IF($B$2:$B7464=$B7465, $A$2:$A7464+$C$2:$C7464)), "")*24*60, "")</f>
        <v/>
      </c>
      <c r="R7465" s="24" t="str" cm="1">
        <f t="array" ref="R7465">IFERROR(IF($B7465=R$1, ($A7465+$C7465) - MAX(IF($B$2:$B7464=$B7465, $A$2:$A7464+$C$2:$C7464)), "")*24*60, "")</f>
        <v/>
      </c>
      <c r="S7465" s="24" t="str" cm="1">
        <f t="array" ref="S7465">IFERROR(IF($B7465=S$1, ($A7465+$C7465) - MAX(IF($B$2:$B7464=$B7465, $A$2:$A7464+$C$2:$C7464)), "")*24*60, "")</f>
        <v/>
      </c>
    </row>
    <row r="7466" spans="1:19" x14ac:dyDescent="0.2">
      <c r="A7466" s="12">
        <f t="shared" ref="A7466:C7466" si="1650">A7465</f>
        <v>46015</v>
      </c>
      <c r="B7466" s="5" t="str">
        <f t="shared" si="1650"/>
        <v>Northern Cardinal</v>
      </c>
      <c r="C7466" s="6">
        <f t="shared" si="1650"/>
        <v>0.74097222222222225</v>
      </c>
      <c r="D7466" s="5"/>
      <c r="E7466" s="5"/>
      <c r="F7466" s="5" t="s">
        <v>9</v>
      </c>
      <c r="G7466" s="15" t="s">
        <v>8</v>
      </c>
      <c r="H7466" s="24">
        <f t="shared" si="1635"/>
        <v>0</v>
      </c>
      <c r="I7466" s="24" cm="1">
        <f t="array" ref="I7466">IFERROR(IF($B7466=I$1, ($A7466+$C7466) - MAX(IF($B$2:$B7465=$B7466, $A$2:$A7465+$C$2:$C7465)), "")*24*60, "")</f>
        <v>0</v>
      </c>
      <c r="J7466" s="24" t="str" cm="1">
        <f t="array" ref="J7466">IFERROR(IF($B7466=J$1, ($A7466+$C7466) - MAX(IF($B$2:$B7465=$B7466, $A$2:$A7465+$C$2:$C7465)), "")*24*60, "")</f>
        <v/>
      </c>
      <c r="K7466" s="24" t="str" cm="1">
        <f t="array" ref="K7466">IFERROR(IF($B7466=K$1, ($A7466+$C7466) - MAX(IF($B$2:$B7465=$B7466, $A$2:$A7465+$C$2:$C7465)), "")*24*60, "")</f>
        <v/>
      </c>
      <c r="L7466" s="24" t="str" cm="1">
        <f t="array" ref="L7466">IFERROR(IF($B7466=L$1, ($A7466+$C7466) - MAX(IF($B$2:$B7465=$B7466, $A$2:$A7465+$C$2:$C7465)), "")*24*60, "")</f>
        <v/>
      </c>
      <c r="M7466" s="24" t="str" cm="1">
        <f t="array" ref="M7466">IFERROR(IF($B7466=M$1, ($A7466+$C7466) - MAX(IF($B$2:$B7465=$B7466, $A$2:$A7465+$C$2:$C7465)), "")*24*60, "")</f>
        <v/>
      </c>
      <c r="N7466" s="24" t="str" cm="1">
        <f t="array" ref="N7466">IFERROR(IF($B7466=N$1, ($A7466+$C7466) - MAX(IF($B$2:$B7465=$B7466, $A$2:$A7465+$C$2:$C7465)), "")*24*60, "")</f>
        <v/>
      </c>
      <c r="O7466" s="24" t="str" cm="1">
        <f t="array" ref="O7466">IFERROR(IF($B7466=O$1, ($A7466+$C7466) - MAX(IF($B$2:$B7465=$B7466, $A$2:$A7465+$C$2:$C7465)), "")*24*60, "")</f>
        <v/>
      </c>
      <c r="P7466" s="24" t="str" cm="1">
        <f t="array" ref="P7466">IFERROR(IF($B7466=P$1, ($A7466+$C7466) - MAX(IF($B$2:$B7465=$B7466, $A$2:$A7465+$C$2:$C7465)), "")*24*60, "")</f>
        <v/>
      </c>
      <c r="Q7466" s="24" t="str" cm="1">
        <f t="array" ref="Q7466">IFERROR(IF($B7466=Q$1, ($A7466+$C7466) - MAX(IF($B$2:$B7465=$B7466, $A$2:$A7465+$C$2:$C7465)), "")*24*60, "")</f>
        <v/>
      </c>
      <c r="R7466" s="24" t="str" cm="1">
        <f t="array" ref="R7466">IFERROR(IF($B7466=R$1, ($A7466+$C7466) - MAX(IF($B$2:$B7465=$B7466, $A$2:$A7465+$C$2:$C7465)), "")*24*60, "")</f>
        <v/>
      </c>
      <c r="S7466" s="24" t="str" cm="1">
        <f t="array" ref="S7466">IFERROR(IF($B7466=S$1, ($A7466+$C7466) - MAX(IF($B$2:$B7465=$B7466, $A$2:$A7465+$C$2:$C7465)), "")*24*60, "")</f>
        <v/>
      </c>
    </row>
    <row r="7467" spans="1:19" x14ac:dyDescent="0.2">
      <c r="A7467" s="12">
        <f t="shared" ref="A7467:C7467" si="1651">A7466</f>
        <v>46015</v>
      </c>
      <c r="B7467" s="5" t="str">
        <f t="shared" si="1651"/>
        <v>Northern Cardinal</v>
      </c>
      <c r="C7467" s="6">
        <f t="shared" si="1651"/>
        <v>0.74097222222222225</v>
      </c>
      <c r="D7467" s="5"/>
      <c r="E7467" s="5"/>
      <c r="F7467" s="5" t="s">
        <v>9</v>
      </c>
      <c r="G7467" s="15" t="s">
        <v>8</v>
      </c>
      <c r="H7467" s="24">
        <f t="shared" si="1635"/>
        <v>0</v>
      </c>
      <c r="I7467" s="24" cm="1">
        <f t="array" ref="I7467">IFERROR(IF($B7467=I$1, ($A7467+$C7467) - MAX(IF($B$2:$B7466=$B7467, $A$2:$A7466+$C$2:$C7466)), "")*24*60, "")</f>
        <v>0</v>
      </c>
      <c r="J7467" s="24" t="str" cm="1">
        <f t="array" ref="J7467">IFERROR(IF($B7467=J$1, ($A7467+$C7467) - MAX(IF($B$2:$B7466=$B7467, $A$2:$A7466+$C$2:$C7466)), "")*24*60, "")</f>
        <v/>
      </c>
      <c r="K7467" s="24" t="str" cm="1">
        <f t="array" ref="K7467">IFERROR(IF($B7467=K$1, ($A7467+$C7467) - MAX(IF($B$2:$B7466=$B7467, $A$2:$A7466+$C$2:$C7466)), "")*24*60, "")</f>
        <v/>
      </c>
      <c r="L7467" s="24" t="str" cm="1">
        <f t="array" ref="L7467">IFERROR(IF($B7467=L$1, ($A7467+$C7467) - MAX(IF($B$2:$B7466=$B7467, $A$2:$A7466+$C$2:$C7466)), "")*24*60, "")</f>
        <v/>
      </c>
      <c r="M7467" s="24" t="str" cm="1">
        <f t="array" ref="M7467">IFERROR(IF($B7467=M$1, ($A7467+$C7467) - MAX(IF($B$2:$B7466=$B7467, $A$2:$A7466+$C$2:$C7466)), "")*24*60, "")</f>
        <v/>
      </c>
      <c r="N7467" s="24" t="str" cm="1">
        <f t="array" ref="N7467">IFERROR(IF($B7467=N$1, ($A7467+$C7467) - MAX(IF($B$2:$B7466=$B7467, $A$2:$A7466+$C$2:$C7466)), "")*24*60, "")</f>
        <v/>
      </c>
      <c r="O7467" s="24" t="str" cm="1">
        <f t="array" ref="O7467">IFERROR(IF($B7467=O$1, ($A7467+$C7467) - MAX(IF($B$2:$B7466=$B7467, $A$2:$A7466+$C$2:$C7466)), "")*24*60, "")</f>
        <v/>
      </c>
      <c r="P7467" s="24" t="str" cm="1">
        <f t="array" ref="P7467">IFERROR(IF($B7467=P$1, ($A7467+$C7467) - MAX(IF($B$2:$B7466=$B7467, $A$2:$A7466+$C$2:$C7466)), "")*24*60, "")</f>
        <v/>
      </c>
      <c r="Q7467" s="24" t="str" cm="1">
        <f t="array" ref="Q7467">IFERROR(IF($B7467=Q$1, ($A7467+$C7467) - MAX(IF($B$2:$B7466=$B7467, $A$2:$A7466+$C$2:$C7466)), "")*24*60, "")</f>
        <v/>
      </c>
      <c r="R7467" s="24" t="str" cm="1">
        <f t="array" ref="R7467">IFERROR(IF($B7467=R$1, ($A7467+$C7467) - MAX(IF($B$2:$B7466=$B7467, $A$2:$A7466+$C$2:$C7466)), "")*24*60, "")</f>
        <v/>
      </c>
      <c r="S7467" s="24" t="str" cm="1">
        <f t="array" ref="S7467">IFERROR(IF($B7467=S$1, ($A7467+$C7467) - MAX(IF($B$2:$B7466=$B7467, $A$2:$A7466+$C$2:$C7466)), "")*24*60, "")</f>
        <v/>
      </c>
    </row>
    <row r="7468" spans="1:19" x14ac:dyDescent="0.2">
      <c r="A7468" s="12">
        <f t="shared" ref="A7468:C7468" si="1652">A7467</f>
        <v>46015</v>
      </c>
      <c r="B7468" s="5" t="str">
        <f t="shared" si="1652"/>
        <v>Northern Cardinal</v>
      </c>
      <c r="C7468" s="6">
        <f t="shared" si="1652"/>
        <v>0.74097222222222225</v>
      </c>
      <c r="D7468" s="5"/>
      <c r="E7468" s="5"/>
      <c r="F7468" s="5" t="s">
        <v>9</v>
      </c>
      <c r="G7468" s="15" t="s">
        <v>8</v>
      </c>
      <c r="H7468" s="24">
        <f t="shared" si="1635"/>
        <v>0</v>
      </c>
      <c r="I7468" s="24" cm="1">
        <f t="array" ref="I7468">IFERROR(IF($B7468=I$1, ($A7468+$C7468) - MAX(IF($B$2:$B7467=$B7468, $A$2:$A7467+$C$2:$C7467)), "")*24*60, "")</f>
        <v>0</v>
      </c>
      <c r="J7468" s="24" t="str" cm="1">
        <f t="array" ref="J7468">IFERROR(IF($B7468=J$1, ($A7468+$C7468) - MAX(IF($B$2:$B7467=$B7468, $A$2:$A7467+$C$2:$C7467)), "")*24*60, "")</f>
        <v/>
      </c>
      <c r="K7468" s="24" t="str" cm="1">
        <f t="array" ref="K7468">IFERROR(IF($B7468=K$1, ($A7468+$C7468) - MAX(IF($B$2:$B7467=$B7468, $A$2:$A7467+$C$2:$C7467)), "")*24*60, "")</f>
        <v/>
      </c>
      <c r="L7468" s="24" t="str" cm="1">
        <f t="array" ref="L7468">IFERROR(IF($B7468=L$1, ($A7468+$C7468) - MAX(IF($B$2:$B7467=$B7468, $A$2:$A7467+$C$2:$C7467)), "")*24*60, "")</f>
        <v/>
      </c>
      <c r="M7468" s="24" t="str" cm="1">
        <f t="array" ref="M7468">IFERROR(IF($B7468=M$1, ($A7468+$C7468) - MAX(IF($B$2:$B7467=$B7468, $A$2:$A7467+$C$2:$C7467)), "")*24*60, "")</f>
        <v/>
      </c>
      <c r="N7468" s="24" t="str" cm="1">
        <f t="array" ref="N7468">IFERROR(IF($B7468=N$1, ($A7468+$C7468) - MAX(IF($B$2:$B7467=$B7468, $A$2:$A7467+$C$2:$C7467)), "")*24*60, "")</f>
        <v/>
      </c>
      <c r="O7468" s="24" t="str" cm="1">
        <f t="array" ref="O7468">IFERROR(IF($B7468=O$1, ($A7468+$C7468) - MAX(IF($B$2:$B7467=$B7468, $A$2:$A7467+$C$2:$C7467)), "")*24*60, "")</f>
        <v/>
      </c>
      <c r="P7468" s="24" t="str" cm="1">
        <f t="array" ref="P7468">IFERROR(IF($B7468=P$1, ($A7468+$C7468) - MAX(IF($B$2:$B7467=$B7468, $A$2:$A7467+$C$2:$C7467)), "")*24*60, "")</f>
        <v/>
      </c>
      <c r="Q7468" s="24" t="str" cm="1">
        <f t="array" ref="Q7468">IFERROR(IF($B7468=Q$1, ($A7468+$C7468) - MAX(IF($B$2:$B7467=$B7468, $A$2:$A7467+$C$2:$C7467)), "")*24*60, "")</f>
        <v/>
      </c>
      <c r="R7468" s="24" t="str" cm="1">
        <f t="array" ref="R7468">IFERROR(IF($B7468=R$1, ($A7468+$C7468) - MAX(IF($B$2:$B7467=$B7468, $A$2:$A7467+$C$2:$C7467)), "")*24*60, "")</f>
        <v/>
      </c>
      <c r="S7468" s="24" t="str" cm="1">
        <f t="array" ref="S7468">IFERROR(IF($B7468=S$1, ($A7468+$C7468) - MAX(IF($B$2:$B7467=$B7468, $A$2:$A7467+$C$2:$C7467)), "")*24*60, "")</f>
        <v/>
      </c>
    </row>
    <row r="7469" spans="1:19" x14ac:dyDescent="0.2">
      <c r="A7469" s="12">
        <f t="shared" ref="A7469:C7469" si="1653">A7468</f>
        <v>46015</v>
      </c>
      <c r="B7469" s="5" t="str">
        <f t="shared" si="1653"/>
        <v>Northern Cardinal</v>
      </c>
      <c r="C7469" s="6">
        <f t="shared" si="1653"/>
        <v>0.74097222222222225</v>
      </c>
      <c r="D7469" s="5"/>
      <c r="E7469" s="5"/>
      <c r="F7469" s="5" t="s">
        <v>9</v>
      </c>
      <c r="G7469" s="15" t="s">
        <v>8</v>
      </c>
      <c r="H7469" s="24">
        <f t="shared" si="1635"/>
        <v>0</v>
      </c>
      <c r="I7469" s="24" cm="1">
        <f t="array" ref="I7469">IFERROR(IF($B7469=I$1, ($A7469+$C7469) - MAX(IF($B$2:$B7468=$B7469, $A$2:$A7468+$C$2:$C7468)), "")*24*60, "")</f>
        <v>0</v>
      </c>
      <c r="J7469" s="24" t="str" cm="1">
        <f t="array" ref="J7469">IFERROR(IF($B7469=J$1, ($A7469+$C7469) - MAX(IF($B$2:$B7468=$B7469, $A$2:$A7468+$C$2:$C7468)), "")*24*60, "")</f>
        <v/>
      </c>
      <c r="K7469" s="24" t="str" cm="1">
        <f t="array" ref="K7469">IFERROR(IF($B7469=K$1, ($A7469+$C7469) - MAX(IF($B$2:$B7468=$B7469, $A$2:$A7468+$C$2:$C7468)), "")*24*60, "")</f>
        <v/>
      </c>
      <c r="L7469" s="24" t="str" cm="1">
        <f t="array" ref="L7469">IFERROR(IF($B7469=L$1, ($A7469+$C7469) - MAX(IF($B$2:$B7468=$B7469, $A$2:$A7468+$C$2:$C7468)), "")*24*60, "")</f>
        <v/>
      </c>
      <c r="M7469" s="24" t="str" cm="1">
        <f t="array" ref="M7469">IFERROR(IF($B7469=M$1, ($A7469+$C7469) - MAX(IF($B$2:$B7468=$B7469, $A$2:$A7468+$C$2:$C7468)), "")*24*60, "")</f>
        <v/>
      </c>
      <c r="N7469" s="24" t="str" cm="1">
        <f t="array" ref="N7469">IFERROR(IF($B7469=N$1, ($A7469+$C7469) - MAX(IF($B$2:$B7468=$B7469, $A$2:$A7468+$C$2:$C7468)), "")*24*60, "")</f>
        <v/>
      </c>
      <c r="O7469" s="24" t="str" cm="1">
        <f t="array" ref="O7469">IFERROR(IF($B7469=O$1, ($A7469+$C7469) - MAX(IF($B$2:$B7468=$B7469, $A$2:$A7468+$C$2:$C7468)), "")*24*60, "")</f>
        <v/>
      </c>
      <c r="P7469" s="24" t="str" cm="1">
        <f t="array" ref="P7469">IFERROR(IF($B7469=P$1, ($A7469+$C7469) - MAX(IF($B$2:$B7468=$B7469, $A$2:$A7468+$C$2:$C7468)), "")*24*60, "")</f>
        <v/>
      </c>
      <c r="Q7469" s="24" t="str" cm="1">
        <f t="array" ref="Q7469">IFERROR(IF($B7469=Q$1, ($A7469+$C7469) - MAX(IF($B$2:$B7468=$B7469, $A$2:$A7468+$C$2:$C7468)), "")*24*60, "")</f>
        <v/>
      </c>
      <c r="R7469" s="24" t="str" cm="1">
        <f t="array" ref="R7469">IFERROR(IF($B7469=R$1, ($A7469+$C7469) - MAX(IF($B$2:$B7468=$B7469, $A$2:$A7468+$C$2:$C7468)), "")*24*60, "")</f>
        <v/>
      </c>
      <c r="S7469" s="24" t="str" cm="1">
        <f t="array" ref="S7469">IFERROR(IF($B7469=S$1, ($A7469+$C7469) - MAX(IF($B$2:$B7468=$B7469, $A$2:$A7468+$C$2:$C7468)), "")*24*60, "")</f>
        <v/>
      </c>
    </row>
    <row r="7470" spans="1:19" x14ac:dyDescent="0.2">
      <c r="A7470" s="12">
        <f t="shared" ref="A7470:C7470" si="1654">A7469</f>
        <v>46015</v>
      </c>
      <c r="B7470" s="5" t="str">
        <f t="shared" si="1654"/>
        <v>Northern Cardinal</v>
      </c>
      <c r="C7470" s="6">
        <f t="shared" si="1654"/>
        <v>0.74097222222222225</v>
      </c>
      <c r="D7470" s="5"/>
      <c r="E7470" s="5"/>
      <c r="F7470" s="5" t="s">
        <v>9</v>
      </c>
      <c r="G7470" s="15" t="s">
        <v>8</v>
      </c>
      <c r="H7470" s="24">
        <f t="shared" si="1635"/>
        <v>0</v>
      </c>
      <c r="I7470" s="24" cm="1">
        <f t="array" ref="I7470">IFERROR(IF($B7470=I$1, ($A7470+$C7470) - MAX(IF($B$2:$B7469=$B7470, $A$2:$A7469+$C$2:$C7469)), "")*24*60, "")</f>
        <v>0</v>
      </c>
      <c r="J7470" s="24" t="str" cm="1">
        <f t="array" ref="J7470">IFERROR(IF($B7470=J$1, ($A7470+$C7470) - MAX(IF($B$2:$B7469=$B7470, $A$2:$A7469+$C$2:$C7469)), "")*24*60, "")</f>
        <v/>
      </c>
      <c r="K7470" s="24" t="str" cm="1">
        <f t="array" ref="K7470">IFERROR(IF($B7470=K$1, ($A7470+$C7470) - MAX(IF($B$2:$B7469=$B7470, $A$2:$A7469+$C$2:$C7469)), "")*24*60, "")</f>
        <v/>
      </c>
      <c r="L7470" s="24" t="str" cm="1">
        <f t="array" ref="L7470">IFERROR(IF($B7470=L$1, ($A7470+$C7470) - MAX(IF($B$2:$B7469=$B7470, $A$2:$A7469+$C$2:$C7469)), "")*24*60, "")</f>
        <v/>
      </c>
      <c r="M7470" s="24" t="str" cm="1">
        <f t="array" ref="M7470">IFERROR(IF($B7470=M$1, ($A7470+$C7470) - MAX(IF($B$2:$B7469=$B7470, $A$2:$A7469+$C$2:$C7469)), "")*24*60, "")</f>
        <v/>
      </c>
      <c r="N7470" s="24" t="str" cm="1">
        <f t="array" ref="N7470">IFERROR(IF($B7470=N$1, ($A7470+$C7470) - MAX(IF($B$2:$B7469=$B7470, $A$2:$A7469+$C$2:$C7469)), "")*24*60, "")</f>
        <v/>
      </c>
      <c r="O7470" s="24" t="str" cm="1">
        <f t="array" ref="O7470">IFERROR(IF($B7470=O$1, ($A7470+$C7470) - MAX(IF($B$2:$B7469=$B7470, $A$2:$A7469+$C$2:$C7469)), "")*24*60, "")</f>
        <v/>
      </c>
      <c r="P7470" s="24" t="str" cm="1">
        <f t="array" ref="P7470">IFERROR(IF($B7470=P$1, ($A7470+$C7470) - MAX(IF($B$2:$B7469=$B7470, $A$2:$A7469+$C$2:$C7469)), "")*24*60, "")</f>
        <v/>
      </c>
      <c r="Q7470" s="24" t="str" cm="1">
        <f t="array" ref="Q7470">IFERROR(IF($B7470=Q$1, ($A7470+$C7470) - MAX(IF($B$2:$B7469=$B7470, $A$2:$A7469+$C$2:$C7469)), "")*24*60, "")</f>
        <v/>
      </c>
      <c r="R7470" s="24" t="str" cm="1">
        <f t="array" ref="R7470">IFERROR(IF($B7470=R$1, ($A7470+$C7470) - MAX(IF($B$2:$B7469=$B7470, $A$2:$A7469+$C$2:$C7469)), "")*24*60, "")</f>
        <v/>
      </c>
      <c r="S7470" s="24" t="str" cm="1">
        <f t="array" ref="S7470">IFERROR(IF($B7470=S$1, ($A7470+$C7470) - MAX(IF($B$2:$B7469=$B7470, $A$2:$A7469+$C$2:$C7469)), "")*24*60, "")</f>
        <v/>
      </c>
    </row>
    <row r="7471" spans="1:19" x14ac:dyDescent="0.2">
      <c r="A7471" s="12">
        <f t="shared" ref="A7471:C7471" si="1655">A7470</f>
        <v>46015</v>
      </c>
      <c r="B7471" s="5" t="str">
        <f t="shared" si="1655"/>
        <v>Northern Cardinal</v>
      </c>
      <c r="C7471" s="6">
        <f t="shared" si="1655"/>
        <v>0.74097222222222225</v>
      </c>
      <c r="D7471" s="5"/>
      <c r="E7471" s="5"/>
      <c r="F7471" s="5" t="s">
        <v>9</v>
      </c>
      <c r="G7471" s="15" t="s">
        <v>8</v>
      </c>
      <c r="H7471" s="24">
        <f t="shared" si="1635"/>
        <v>0</v>
      </c>
      <c r="I7471" s="24" cm="1">
        <f t="array" ref="I7471">IFERROR(IF($B7471=I$1, ($A7471+$C7471) - MAX(IF($B$2:$B7470=$B7471, $A$2:$A7470+$C$2:$C7470)), "")*24*60, "")</f>
        <v>0</v>
      </c>
      <c r="J7471" s="24" t="str" cm="1">
        <f t="array" ref="J7471">IFERROR(IF($B7471=J$1, ($A7471+$C7471) - MAX(IF($B$2:$B7470=$B7471, $A$2:$A7470+$C$2:$C7470)), "")*24*60, "")</f>
        <v/>
      </c>
      <c r="K7471" s="24" t="str" cm="1">
        <f t="array" ref="K7471">IFERROR(IF($B7471=K$1, ($A7471+$C7471) - MAX(IF($B$2:$B7470=$B7471, $A$2:$A7470+$C$2:$C7470)), "")*24*60, "")</f>
        <v/>
      </c>
      <c r="L7471" s="24" t="str" cm="1">
        <f t="array" ref="L7471">IFERROR(IF($B7471=L$1, ($A7471+$C7471) - MAX(IF($B$2:$B7470=$B7471, $A$2:$A7470+$C$2:$C7470)), "")*24*60, "")</f>
        <v/>
      </c>
      <c r="M7471" s="24" t="str" cm="1">
        <f t="array" ref="M7471">IFERROR(IF($B7471=M$1, ($A7471+$C7471) - MAX(IF($B$2:$B7470=$B7471, $A$2:$A7470+$C$2:$C7470)), "")*24*60, "")</f>
        <v/>
      </c>
      <c r="N7471" s="24" t="str" cm="1">
        <f t="array" ref="N7471">IFERROR(IF($B7471=N$1, ($A7471+$C7471) - MAX(IF($B$2:$B7470=$B7471, $A$2:$A7470+$C$2:$C7470)), "")*24*60, "")</f>
        <v/>
      </c>
      <c r="O7471" s="24" t="str" cm="1">
        <f t="array" ref="O7471">IFERROR(IF($B7471=O$1, ($A7471+$C7471) - MAX(IF($B$2:$B7470=$B7471, $A$2:$A7470+$C$2:$C7470)), "")*24*60, "")</f>
        <v/>
      </c>
      <c r="P7471" s="24" t="str" cm="1">
        <f t="array" ref="P7471">IFERROR(IF($B7471=P$1, ($A7471+$C7471) - MAX(IF($B$2:$B7470=$B7471, $A$2:$A7470+$C$2:$C7470)), "")*24*60, "")</f>
        <v/>
      </c>
      <c r="Q7471" s="24" t="str" cm="1">
        <f t="array" ref="Q7471">IFERROR(IF($B7471=Q$1, ($A7471+$C7471) - MAX(IF($B$2:$B7470=$B7471, $A$2:$A7470+$C$2:$C7470)), "")*24*60, "")</f>
        <v/>
      </c>
      <c r="R7471" s="24" t="str" cm="1">
        <f t="array" ref="R7471">IFERROR(IF($B7471=R$1, ($A7471+$C7471) - MAX(IF($B$2:$B7470=$B7471, $A$2:$A7470+$C$2:$C7470)), "")*24*60, "")</f>
        <v/>
      </c>
      <c r="S7471" s="24" t="str" cm="1">
        <f t="array" ref="S7471">IFERROR(IF($B7471=S$1, ($A7471+$C7471) - MAX(IF($B$2:$B7470=$B7471, $A$2:$A7470+$C$2:$C7470)), "")*24*60, "")</f>
        <v/>
      </c>
    </row>
    <row r="7472" spans="1:19" x14ac:dyDescent="0.2">
      <c r="A7472" s="12">
        <f t="shared" ref="A7472:C7472" si="1656">A7471</f>
        <v>46015</v>
      </c>
      <c r="B7472" s="5" t="str">
        <f t="shared" si="1656"/>
        <v>Northern Cardinal</v>
      </c>
      <c r="C7472" s="6">
        <f t="shared" si="1656"/>
        <v>0.74097222222222225</v>
      </c>
      <c r="D7472" s="5"/>
      <c r="E7472" s="5"/>
      <c r="F7472" s="5" t="s">
        <v>9</v>
      </c>
      <c r="G7472" s="15" t="s">
        <v>8</v>
      </c>
      <c r="H7472" s="24">
        <f t="shared" si="1635"/>
        <v>0</v>
      </c>
      <c r="I7472" s="24" cm="1">
        <f t="array" ref="I7472">IFERROR(IF($B7472=I$1, ($A7472+$C7472) - MAX(IF($B$2:$B7471=$B7472, $A$2:$A7471+$C$2:$C7471)), "")*24*60, "")</f>
        <v>0</v>
      </c>
      <c r="J7472" s="24" t="str" cm="1">
        <f t="array" ref="J7472">IFERROR(IF($B7472=J$1, ($A7472+$C7472) - MAX(IF($B$2:$B7471=$B7472, $A$2:$A7471+$C$2:$C7471)), "")*24*60, "")</f>
        <v/>
      </c>
      <c r="K7472" s="24" t="str" cm="1">
        <f t="array" ref="K7472">IFERROR(IF($B7472=K$1, ($A7472+$C7472) - MAX(IF($B$2:$B7471=$B7472, $A$2:$A7471+$C$2:$C7471)), "")*24*60, "")</f>
        <v/>
      </c>
      <c r="L7472" s="24" t="str" cm="1">
        <f t="array" ref="L7472">IFERROR(IF($B7472=L$1, ($A7472+$C7472) - MAX(IF($B$2:$B7471=$B7472, $A$2:$A7471+$C$2:$C7471)), "")*24*60, "")</f>
        <v/>
      </c>
      <c r="M7472" s="24" t="str" cm="1">
        <f t="array" ref="M7472">IFERROR(IF($B7472=M$1, ($A7472+$C7472) - MAX(IF($B$2:$B7471=$B7472, $A$2:$A7471+$C$2:$C7471)), "")*24*60, "")</f>
        <v/>
      </c>
      <c r="N7472" s="24" t="str" cm="1">
        <f t="array" ref="N7472">IFERROR(IF($B7472=N$1, ($A7472+$C7472) - MAX(IF($B$2:$B7471=$B7472, $A$2:$A7471+$C$2:$C7471)), "")*24*60, "")</f>
        <v/>
      </c>
      <c r="O7472" s="24" t="str" cm="1">
        <f t="array" ref="O7472">IFERROR(IF($B7472=O$1, ($A7472+$C7472) - MAX(IF($B$2:$B7471=$B7472, $A$2:$A7471+$C$2:$C7471)), "")*24*60, "")</f>
        <v/>
      </c>
      <c r="P7472" s="24" t="str" cm="1">
        <f t="array" ref="P7472">IFERROR(IF($B7472=P$1, ($A7472+$C7472) - MAX(IF($B$2:$B7471=$B7472, $A$2:$A7471+$C$2:$C7471)), "")*24*60, "")</f>
        <v/>
      </c>
      <c r="Q7472" s="24" t="str" cm="1">
        <f t="array" ref="Q7472">IFERROR(IF($B7472=Q$1, ($A7472+$C7472) - MAX(IF($B$2:$B7471=$B7472, $A$2:$A7471+$C$2:$C7471)), "")*24*60, "")</f>
        <v/>
      </c>
      <c r="R7472" s="24" t="str" cm="1">
        <f t="array" ref="R7472">IFERROR(IF($B7472=R$1, ($A7472+$C7472) - MAX(IF($B$2:$B7471=$B7472, $A$2:$A7471+$C$2:$C7471)), "")*24*60, "")</f>
        <v/>
      </c>
      <c r="S7472" s="24" t="str" cm="1">
        <f t="array" ref="S7472">IFERROR(IF($B7472=S$1, ($A7472+$C7472) - MAX(IF($B$2:$B7471=$B7472, $A$2:$A7471+$C$2:$C7471)), "")*24*60, "")</f>
        <v/>
      </c>
    </row>
    <row r="7473" spans="1:19" x14ac:dyDescent="0.2">
      <c r="A7473" s="12">
        <f t="shared" ref="A7473:C7473" si="1657">A7472</f>
        <v>46015</v>
      </c>
      <c r="B7473" s="5" t="str">
        <f t="shared" si="1657"/>
        <v>Northern Cardinal</v>
      </c>
      <c r="C7473" s="6">
        <f t="shared" si="1657"/>
        <v>0.74097222222222225</v>
      </c>
      <c r="D7473" s="5"/>
      <c r="E7473" s="5"/>
      <c r="F7473" s="5" t="s">
        <v>9</v>
      </c>
      <c r="G7473" s="15" t="s">
        <v>8</v>
      </c>
      <c r="H7473" s="24">
        <f t="shared" si="1635"/>
        <v>0</v>
      </c>
      <c r="I7473" s="24" cm="1">
        <f t="array" ref="I7473">IFERROR(IF($B7473=I$1, ($A7473+$C7473) - MAX(IF($B$2:$B7472=$B7473, $A$2:$A7472+$C$2:$C7472)), "")*24*60, "")</f>
        <v>0</v>
      </c>
      <c r="J7473" s="24" t="str" cm="1">
        <f t="array" ref="J7473">IFERROR(IF($B7473=J$1, ($A7473+$C7473) - MAX(IF($B$2:$B7472=$B7473, $A$2:$A7472+$C$2:$C7472)), "")*24*60, "")</f>
        <v/>
      </c>
      <c r="K7473" s="24" t="str" cm="1">
        <f t="array" ref="K7473">IFERROR(IF($B7473=K$1, ($A7473+$C7473) - MAX(IF($B$2:$B7472=$B7473, $A$2:$A7472+$C$2:$C7472)), "")*24*60, "")</f>
        <v/>
      </c>
      <c r="L7473" s="24" t="str" cm="1">
        <f t="array" ref="L7473">IFERROR(IF($B7473=L$1, ($A7473+$C7473) - MAX(IF($B$2:$B7472=$B7473, $A$2:$A7472+$C$2:$C7472)), "")*24*60, "")</f>
        <v/>
      </c>
      <c r="M7473" s="24" t="str" cm="1">
        <f t="array" ref="M7473">IFERROR(IF($B7473=M$1, ($A7473+$C7473) - MAX(IF($B$2:$B7472=$B7473, $A$2:$A7472+$C$2:$C7472)), "")*24*60, "")</f>
        <v/>
      </c>
      <c r="N7473" s="24" t="str" cm="1">
        <f t="array" ref="N7473">IFERROR(IF($B7473=N$1, ($A7473+$C7473) - MAX(IF($B$2:$B7472=$B7473, $A$2:$A7472+$C$2:$C7472)), "")*24*60, "")</f>
        <v/>
      </c>
      <c r="O7473" s="24" t="str" cm="1">
        <f t="array" ref="O7473">IFERROR(IF($B7473=O$1, ($A7473+$C7473) - MAX(IF($B$2:$B7472=$B7473, $A$2:$A7472+$C$2:$C7472)), "")*24*60, "")</f>
        <v/>
      </c>
      <c r="P7473" s="24" t="str" cm="1">
        <f t="array" ref="P7473">IFERROR(IF($B7473=P$1, ($A7473+$C7473) - MAX(IF($B$2:$B7472=$B7473, $A$2:$A7472+$C$2:$C7472)), "")*24*60, "")</f>
        <v/>
      </c>
      <c r="Q7473" s="24" t="str" cm="1">
        <f t="array" ref="Q7473">IFERROR(IF($B7473=Q$1, ($A7473+$C7473) - MAX(IF($B$2:$B7472=$B7473, $A$2:$A7472+$C$2:$C7472)), "")*24*60, "")</f>
        <v/>
      </c>
      <c r="R7473" s="24" t="str" cm="1">
        <f t="array" ref="R7473">IFERROR(IF($B7473=R$1, ($A7473+$C7473) - MAX(IF($B$2:$B7472=$B7473, $A$2:$A7472+$C$2:$C7472)), "")*24*60, "")</f>
        <v/>
      </c>
      <c r="S7473" s="24" t="str" cm="1">
        <f t="array" ref="S7473">IFERROR(IF($B7473=S$1, ($A7473+$C7473) - MAX(IF($B$2:$B7472=$B7473, $A$2:$A7472+$C$2:$C7472)), "")*24*60, "")</f>
        <v/>
      </c>
    </row>
    <row r="7474" spans="1:19" x14ac:dyDescent="0.2">
      <c r="A7474" s="12">
        <f t="shared" ref="A7474:C7474" si="1658">A7473</f>
        <v>46015</v>
      </c>
      <c r="B7474" s="5" t="str">
        <f t="shared" si="1658"/>
        <v>Northern Cardinal</v>
      </c>
      <c r="C7474" s="6">
        <f t="shared" si="1658"/>
        <v>0.74097222222222225</v>
      </c>
      <c r="D7474" s="5"/>
      <c r="E7474" s="5"/>
      <c r="F7474" s="5" t="s">
        <v>9</v>
      </c>
      <c r="G7474" s="15" t="s">
        <v>8</v>
      </c>
      <c r="H7474" s="24">
        <f t="shared" si="1635"/>
        <v>0</v>
      </c>
      <c r="I7474" s="24" cm="1">
        <f t="array" ref="I7474">IFERROR(IF($B7474=I$1, ($A7474+$C7474) - MAX(IF($B$2:$B7473=$B7474, $A$2:$A7473+$C$2:$C7473)), "")*24*60, "")</f>
        <v>0</v>
      </c>
      <c r="J7474" s="24" t="str" cm="1">
        <f t="array" ref="J7474">IFERROR(IF($B7474=J$1, ($A7474+$C7474) - MAX(IF($B$2:$B7473=$B7474, $A$2:$A7473+$C$2:$C7473)), "")*24*60, "")</f>
        <v/>
      </c>
      <c r="K7474" s="24" t="str" cm="1">
        <f t="array" ref="K7474">IFERROR(IF($B7474=K$1, ($A7474+$C7474) - MAX(IF($B$2:$B7473=$B7474, $A$2:$A7473+$C$2:$C7473)), "")*24*60, "")</f>
        <v/>
      </c>
      <c r="L7474" s="24" t="str" cm="1">
        <f t="array" ref="L7474">IFERROR(IF($B7474=L$1, ($A7474+$C7474) - MAX(IF($B$2:$B7473=$B7474, $A$2:$A7473+$C$2:$C7473)), "")*24*60, "")</f>
        <v/>
      </c>
      <c r="M7474" s="24" t="str" cm="1">
        <f t="array" ref="M7474">IFERROR(IF($B7474=M$1, ($A7474+$C7474) - MAX(IF($B$2:$B7473=$B7474, $A$2:$A7473+$C$2:$C7473)), "")*24*60, "")</f>
        <v/>
      </c>
      <c r="N7474" s="24" t="str" cm="1">
        <f t="array" ref="N7474">IFERROR(IF($B7474=N$1, ($A7474+$C7474) - MAX(IF($B$2:$B7473=$B7474, $A$2:$A7473+$C$2:$C7473)), "")*24*60, "")</f>
        <v/>
      </c>
      <c r="O7474" s="24" t="str" cm="1">
        <f t="array" ref="O7474">IFERROR(IF($B7474=O$1, ($A7474+$C7474) - MAX(IF($B$2:$B7473=$B7474, $A$2:$A7473+$C$2:$C7473)), "")*24*60, "")</f>
        <v/>
      </c>
      <c r="P7474" s="24" t="str" cm="1">
        <f t="array" ref="P7474">IFERROR(IF($B7474=P$1, ($A7474+$C7474) - MAX(IF($B$2:$B7473=$B7474, $A$2:$A7473+$C$2:$C7473)), "")*24*60, "")</f>
        <v/>
      </c>
      <c r="Q7474" s="24" t="str" cm="1">
        <f t="array" ref="Q7474">IFERROR(IF($B7474=Q$1, ($A7474+$C7474) - MAX(IF($B$2:$B7473=$B7474, $A$2:$A7473+$C$2:$C7473)), "")*24*60, "")</f>
        <v/>
      </c>
      <c r="R7474" s="24" t="str" cm="1">
        <f t="array" ref="R7474">IFERROR(IF($B7474=R$1, ($A7474+$C7474) - MAX(IF($B$2:$B7473=$B7474, $A$2:$A7473+$C$2:$C7473)), "")*24*60, "")</f>
        <v/>
      </c>
      <c r="S7474" s="24" t="str" cm="1">
        <f t="array" ref="S7474">IFERROR(IF($B7474=S$1, ($A7474+$C7474) - MAX(IF($B$2:$B7473=$B7474, $A$2:$A7473+$C$2:$C7473)), "")*24*60, "")</f>
        <v/>
      </c>
    </row>
    <row r="7475" spans="1:19" x14ac:dyDescent="0.2">
      <c r="A7475" s="12">
        <f t="shared" ref="A7475:C7475" si="1659">A7474</f>
        <v>46015</v>
      </c>
      <c r="B7475" s="5" t="str">
        <f t="shared" si="1659"/>
        <v>Northern Cardinal</v>
      </c>
      <c r="C7475" s="6">
        <f t="shared" si="1659"/>
        <v>0.74097222222222225</v>
      </c>
      <c r="D7475" s="5"/>
      <c r="E7475" s="5"/>
      <c r="F7475" s="5" t="s">
        <v>9</v>
      </c>
      <c r="G7475" s="15" t="s">
        <v>8</v>
      </c>
      <c r="H7475" s="24">
        <f t="shared" si="1635"/>
        <v>0</v>
      </c>
      <c r="I7475" s="24" cm="1">
        <f t="array" ref="I7475">IFERROR(IF($B7475=I$1, ($A7475+$C7475) - MAX(IF($B$2:$B7474=$B7475, $A$2:$A7474+$C$2:$C7474)), "")*24*60, "")</f>
        <v>0</v>
      </c>
      <c r="J7475" s="24" t="str" cm="1">
        <f t="array" ref="J7475">IFERROR(IF($B7475=J$1, ($A7475+$C7475) - MAX(IF($B$2:$B7474=$B7475, $A$2:$A7474+$C$2:$C7474)), "")*24*60, "")</f>
        <v/>
      </c>
      <c r="K7475" s="24" t="str" cm="1">
        <f t="array" ref="K7475">IFERROR(IF($B7475=K$1, ($A7475+$C7475) - MAX(IF($B$2:$B7474=$B7475, $A$2:$A7474+$C$2:$C7474)), "")*24*60, "")</f>
        <v/>
      </c>
      <c r="L7475" s="24" t="str" cm="1">
        <f t="array" ref="L7475">IFERROR(IF($B7475=L$1, ($A7475+$C7475) - MAX(IF($B$2:$B7474=$B7475, $A$2:$A7474+$C$2:$C7474)), "")*24*60, "")</f>
        <v/>
      </c>
      <c r="M7475" s="24" t="str" cm="1">
        <f t="array" ref="M7475">IFERROR(IF($B7475=M$1, ($A7475+$C7475) - MAX(IF($B$2:$B7474=$B7475, $A$2:$A7474+$C$2:$C7474)), "")*24*60, "")</f>
        <v/>
      </c>
      <c r="N7475" s="24" t="str" cm="1">
        <f t="array" ref="N7475">IFERROR(IF($B7475=N$1, ($A7475+$C7475) - MAX(IF($B$2:$B7474=$B7475, $A$2:$A7474+$C$2:$C7474)), "")*24*60, "")</f>
        <v/>
      </c>
      <c r="O7475" s="24" t="str" cm="1">
        <f t="array" ref="O7475">IFERROR(IF($B7475=O$1, ($A7475+$C7475) - MAX(IF($B$2:$B7474=$B7475, $A$2:$A7474+$C$2:$C7474)), "")*24*60, "")</f>
        <v/>
      </c>
      <c r="P7475" s="24" t="str" cm="1">
        <f t="array" ref="P7475">IFERROR(IF($B7475=P$1, ($A7475+$C7475) - MAX(IF($B$2:$B7474=$B7475, $A$2:$A7474+$C$2:$C7474)), "")*24*60, "")</f>
        <v/>
      </c>
      <c r="Q7475" s="24" t="str" cm="1">
        <f t="array" ref="Q7475">IFERROR(IF($B7475=Q$1, ($A7475+$C7475) - MAX(IF($B$2:$B7474=$B7475, $A$2:$A7474+$C$2:$C7474)), "")*24*60, "")</f>
        <v/>
      </c>
      <c r="R7475" s="24" t="str" cm="1">
        <f t="array" ref="R7475">IFERROR(IF($B7475=R$1, ($A7475+$C7475) - MAX(IF($B$2:$B7474=$B7475, $A$2:$A7474+$C$2:$C7474)), "")*24*60, "")</f>
        <v/>
      </c>
      <c r="S7475" s="24" t="str" cm="1">
        <f t="array" ref="S7475">IFERROR(IF($B7475=S$1, ($A7475+$C7475) - MAX(IF($B$2:$B7474=$B7475, $A$2:$A7474+$C$2:$C7474)), "")*24*60, "")</f>
        <v/>
      </c>
    </row>
    <row r="7476" spans="1:19" x14ac:dyDescent="0.2">
      <c r="A7476" s="12">
        <f t="shared" ref="A7476:C7476" si="1660">A7475</f>
        <v>46015</v>
      </c>
      <c r="B7476" s="5" t="str">
        <f t="shared" si="1660"/>
        <v>Northern Cardinal</v>
      </c>
      <c r="C7476" s="6">
        <f t="shared" si="1660"/>
        <v>0.74097222222222225</v>
      </c>
      <c r="D7476" s="5"/>
      <c r="E7476" s="5"/>
      <c r="F7476" s="5" t="s">
        <v>9</v>
      </c>
      <c r="G7476" s="15" t="s">
        <v>8</v>
      </c>
      <c r="H7476" s="24">
        <f t="shared" si="1635"/>
        <v>0</v>
      </c>
      <c r="I7476" s="24" cm="1">
        <f t="array" ref="I7476">IFERROR(IF($B7476=I$1, ($A7476+$C7476) - MAX(IF($B$2:$B7475=$B7476, $A$2:$A7475+$C$2:$C7475)), "")*24*60, "")</f>
        <v>0</v>
      </c>
      <c r="J7476" s="24" t="str" cm="1">
        <f t="array" ref="J7476">IFERROR(IF($B7476=J$1, ($A7476+$C7476) - MAX(IF($B$2:$B7475=$B7476, $A$2:$A7475+$C$2:$C7475)), "")*24*60, "")</f>
        <v/>
      </c>
      <c r="K7476" s="24" t="str" cm="1">
        <f t="array" ref="K7476">IFERROR(IF($B7476=K$1, ($A7476+$C7476) - MAX(IF($B$2:$B7475=$B7476, $A$2:$A7475+$C$2:$C7475)), "")*24*60, "")</f>
        <v/>
      </c>
      <c r="L7476" s="24" t="str" cm="1">
        <f t="array" ref="L7476">IFERROR(IF($B7476=L$1, ($A7476+$C7476) - MAX(IF($B$2:$B7475=$B7476, $A$2:$A7475+$C$2:$C7475)), "")*24*60, "")</f>
        <v/>
      </c>
      <c r="M7476" s="24" t="str" cm="1">
        <f t="array" ref="M7476">IFERROR(IF($B7476=M$1, ($A7476+$C7476) - MAX(IF($B$2:$B7475=$B7476, $A$2:$A7475+$C$2:$C7475)), "")*24*60, "")</f>
        <v/>
      </c>
      <c r="N7476" s="24" t="str" cm="1">
        <f t="array" ref="N7476">IFERROR(IF($B7476=N$1, ($A7476+$C7476) - MAX(IF($B$2:$B7475=$B7476, $A$2:$A7475+$C$2:$C7475)), "")*24*60, "")</f>
        <v/>
      </c>
      <c r="O7476" s="24" t="str" cm="1">
        <f t="array" ref="O7476">IFERROR(IF($B7476=O$1, ($A7476+$C7476) - MAX(IF($B$2:$B7475=$B7476, $A$2:$A7475+$C$2:$C7475)), "")*24*60, "")</f>
        <v/>
      </c>
      <c r="P7476" s="24" t="str" cm="1">
        <f t="array" ref="P7476">IFERROR(IF($B7476=P$1, ($A7476+$C7476) - MAX(IF($B$2:$B7475=$B7476, $A$2:$A7475+$C$2:$C7475)), "")*24*60, "")</f>
        <v/>
      </c>
      <c r="Q7476" s="24" t="str" cm="1">
        <f t="array" ref="Q7476">IFERROR(IF($B7476=Q$1, ($A7476+$C7476) - MAX(IF($B$2:$B7475=$B7476, $A$2:$A7475+$C$2:$C7475)), "")*24*60, "")</f>
        <v/>
      </c>
      <c r="R7476" s="24" t="str" cm="1">
        <f t="array" ref="R7476">IFERROR(IF($B7476=R$1, ($A7476+$C7476) - MAX(IF($B$2:$B7475=$B7476, $A$2:$A7475+$C$2:$C7475)), "")*24*60, "")</f>
        <v/>
      </c>
      <c r="S7476" s="24" t="str" cm="1">
        <f t="array" ref="S7476">IFERROR(IF($B7476=S$1, ($A7476+$C7476) - MAX(IF($B$2:$B7475=$B7476, $A$2:$A7475+$C$2:$C7475)), "")*24*60, "")</f>
        <v/>
      </c>
    </row>
    <row r="7477" spans="1:19" x14ac:dyDescent="0.2">
      <c r="A7477" s="12">
        <f t="shared" ref="A7477:C7477" si="1661">A7476</f>
        <v>46015</v>
      </c>
      <c r="B7477" s="5" t="str">
        <f t="shared" si="1661"/>
        <v>Northern Cardinal</v>
      </c>
      <c r="C7477" s="6">
        <f t="shared" si="1661"/>
        <v>0.74097222222222225</v>
      </c>
      <c r="D7477" s="5"/>
      <c r="E7477" s="5"/>
      <c r="F7477" s="5" t="s">
        <v>9</v>
      </c>
      <c r="G7477" s="15" t="s">
        <v>8</v>
      </c>
      <c r="H7477" s="24">
        <f t="shared" si="1635"/>
        <v>0</v>
      </c>
      <c r="I7477" s="24" cm="1">
        <f t="array" ref="I7477">IFERROR(IF($B7477=I$1, ($A7477+$C7477) - MAX(IF($B$2:$B7476=$B7477, $A$2:$A7476+$C$2:$C7476)), "")*24*60, "")</f>
        <v>0</v>
      </c>
      <c r="J7477" s="24" t="str" cm="1">
        <f t="array" ref="J7477">IFERROR(IF($B7477=J$1, ($A7477+$C7477) - MAX(IF($B$2:$B7476=$B7477, $A$2:$A7476+$C$2:$C7476)), "")*24*60, "")</f>
        <v/>
      </c>
      <c r="K7477" s="24" t="str" cm="1">
        <f t="array" ref="K7477">IFERROR(IF($B7477=K$1, ($A7477+$C7477) - MAX(IF($B$2:$B7476=$B7477, $A$2:$A7476+$C$2:$C7476)), "")*24*60, "")</f>
        <v/>
      </c>
      <c r="L7477" s="24" t="str" cm="1">
        <f t="array" ref="L7477">IFERROR(IF($B7477=L$1, ($A7477+$C7477) - MAX(IF($B$2:$B7476=$B7477, $A$2:$A7476+$C$2:$C7476)), "")*24*60, "")</f>
        <v/>
      </c>
      <c r="M7477" s="24" t="str" cm="1">
        <f t="array" ref="M7477">IFERROR(IF($B7477=M$1, ($A7477+$C7477) - MAX(IF($B$2:$B7476=$B7477, $A$2:$A7476+$C$2:$C7476)), "")*24*60, "")</f>
        <v/>
      </c>
      <c r="N7477" s="24" t="str" cm="1">
        <f t="array" ref="N7477">IFERROR(IF($B7477=N$1, ($A7477+$C7477) - MAX(IF($B$2:$B7476=$B7477, $A$2:$A7476+$C$2:$C7476)), "")*24*60, "")</f>
        <v/>
      </c>
      <c r="O7477" s="24" t="str" cm="1">
        <f t="array" ref="O7477">IFERROR(IF($B7477=O$1, ($A7477+$C7477) - MAX(IF($B$2:$B7476=$B7477, $A$2:$A7476+$C$2:$C7476)), "")*24*60, "")</f>
        <v/>
      </c>
      <c r="P7477" s="24" t="str" cm="1">
        <f t="array" ref="P7477">IFERROR(IF($B7477=P$1, ($A7477+$C7477) - MAX(IF($B$2:$B7476=$B7477, $A$2:$A7476+$C$2:$C7476)), "")*24*60, "")</f>
        <v/>
      </c>
      <c r="Q7477" s="24" t="str" cm="1">
        <f t="array" ref="Q7477">IFERROR(IF($B7477=Q$1, ($A7477+$C7477) - MAX(IF($B$2:$B7476=$B7477, $A$2:$A7476+$C$2:$C7476)), "")*24*60, "")</f>
        <v/>
      </c>
      <c r="R7477" s="24" t="str" cm="1">
        <f t="array" ref="R7477">IFERROR(IF($B7477=R$1, ($A7477+$C7477) - MAX(IF($B$2:$B7476=$B7477, $A$2:$A7476+$C$2:$C7476)), "")*24*60, "")</f>
        <v/>
      </c>
      <c r="S7477" s="24" t="str" cm="1">
        <f t="array" ref="S7477">IFERROR(IF($B7477=S$1, ($A7477+$C7477) - MAX(IF($B$2:$B7476=$B7477, $A$2:$A7476+$C$2:$C7476)), "")*24*60, "")</f>
        <v/>
      </c>
    </row>
    <row r="7478" spans="1:19" x14ac:dyDescent="0.2">
      <c r="A7478" s="12">
        <f t="shared" ref="A7478:C7478" si="1662">A7477</f>
        <v>46015</v>
      </c>
      <c r="B7478" s="5" t="str">
        <f t="shared" si="1662"/>
        <v>Northern Cardinal</v>
      </c>
      <c r="C7478" s="6">
        <f t="shared" si="1662"/>
        <v>0.74097222222222225</v>
      </c>
      <c r="D7478" s="5"/>
      <c r="E7478" s="5"/>
      <c r="F7478" s="5" t="s">
        <v>9</v>
      </c>
      <c r="G7478" s="15" t="s">
        <v>8</v>
      </c>
      <c r="H7478" s="24">
        <f t="shared" si="1635"/>
        <v>0</v>
      </c>
      <c r="I7478" s="24" cm="1">
        <f t="array" ref="I7478">IFERROR(IF($B7478=I$1, ($A7478+$C7478) - MAX(IF($B$2:$B7477=$B7478, $A$2:$A7477+$C$2:$C7477)), "")*24*60, "")</f>
        <v>0</v>
      </c>
      <c r="J7478" s="24" t="str" cm="1">
        <f t="array" ref="J7478">IFERROR(IF($B7478=J$1, ($A7478+$C7478) - MAX(IF($B$2:$B7477=$B7478, $A$2:$A7477+$C$2:$C7477)), "")*24*60, "")</f>
        <v/>
      </c>
      <c r="K7478" s="24" t="str" cm="1">
        <f t="array" ref="K7478">IFERROR(IF($B7478=K$1, ($A7478+$C7478) - MAX(IF($B$2:$B7477=$B7478, $A$2:$A7477+$C$2:$C7477)), "")*24*60, "")</f>
        <v/>
      </c>
      <c r="L7478" s="24" t="str" cm="1">
        <f t="array" ref="L7478">IFERROR(IF($B7478=L$1, ($A7478+$C7478) - MAX(IF($B$2:$B7477=$B7478, $A$2:$A7477+$C$2:$C7477)), "")*24*60, "")</f>
        <v/>
      </c>
      <c r="M7478" s="24" t="str" cm="1">
        <f t="array" ref="M7478">IFERROR(IF($B7478=M$1, ($A7478+$C7478) - MAX(IF($B$2:$B7477=$B7478, $A$2:$A7477+$C$2:$C7477)), "")*24*60, "")</f>
        <v/>
      </c>
      <c r="N7478" s="24" t="str" cm="1">
        <f t="array" ref="N7478">IFERROR(IF($B7478=N$1, ($A7478+$C7478) - MAX(IF($B$2:$B7477=$B7478, $A$2:$A7477+$C$2:$C7477)), "")*24*60, "")</f>
        <v/>
      </c>
      <c r="O7478" s="24" t="str" cm="1">
        <f t="array" ref="O7478">IFERROR(IF($B7478=O$1, ($A7478+$C7478) - MAX(IF($B$2:$B7477=$B7478, $A$2:$A7477+$C$2:$C7477)), "")*24*60, "")</f>
        <v/>
      </c>
      <c r="P7478" s="24" t="str" cm="1">
        <f t="array" ref="P7478">IFERROR(IF($B7478=P$1, ($A7478+$C7478) - MAX(IF($B$2:$B7477=$B7478, $A$2:$A7477+$C$2:$C7477)), "")*24*60, "")</f>
        <v/>
      </c>
      <c r="Q7478" s="24" t="str" cm="1">
        <f t="array" ref="Q7478">IFERROR(IF($B7478=Q$1, ($A7478+$C7478) - MAX(IF($B$2:$B7477=$B7478, $A$2:$A7477+$C$2:$C7477)), "")*24*60, "")</f>
        <v/>
      </c>
      <c r="R7478" s="24" t="str" cm="1">
        <f t="array" ref="R7478">IFERROR(IF($B7478=R$1, ($A7478+$C7478) - MAX(IF($B$2:$B7477=$B7478, $A$2:$A7477+$C$2:$C7477)), "")*24*60, "")</f>
        <v/>
      </c>
      <c r="S7478" s="24" t="str" cm="1">
        <f t="array" ref="S7478">IFERROR(IF($B7478=S$1, ($A7478+$C7478) - MAX(IF($B$2:$B7477=$B7478, $A$2:$A7477+$C$2:$C7477)), "")*24*60, "")</f>
        <v/>
      </c>
    </row>
    <row r="7479" spans="1:19" x14ac:dyDescent="0.2">
      <c r="A7479" s="12">
        <f t="shared" ref="A7479:C7479" si="1663">A7478</f>
        <v>46015</v>
      </c>
      <c r="B7479" s="5" t="str">
        <f t="shared" si="1663"/>
        <v>Northern Cardinal</v>
      </c>
      <c r="C7479" s="6">
        <f t="shared" si="1663"/>
        <v>0.74097222222222225</v>
      </c>
      <c r="D7479" s="5"/>
      <c r="E7479" s="5"/>
      <c r="F7479" s="5" t="s">
        <v>9</v>
      </c>
      <c r="G7479" s="15" t="s">
        <v>8</v>
      </c>
      <c r="H7479" s="24">
        <f t="shared" si="1635"/>
        <v>0</v>
      </c>
      <c r="I7479" s="24" cm="1">
        <f t="array" ref="I7479">IFERROR(IF($B7479=I$1, ($A7479+$C7479) - MAX(IF($B$2:$B7478=$B7479, $A$2:$A7478+$C$2:$C7478)), "")*24*60, "")</f>
        <v>0</v>
      </c>
      <c r="J7479" s="24" t="str" cm="1">
        <f t="array" ref="J7479">IFERROR(IF($B7479=J$1, ($A7479+$C7479) - MAX(IF($B$2:$B7478=$B7479, $A$2:$A7478+$C$2:$C7478)), "")*24*60, "")</f>
        <v/>
      </c>
      <c r="K7479" s="24" t="str" cm="1">
        <f t="array" ref="K7479">IFERROR(IF($B7479=K$1, ($A7479+$C7479) - MAX(IF($B$2:$B7478=$B7479, $A$2:$A7478+$C$2:$C7478)), "")*24*60, "")</f>
        <v/>
      </c>
      <c r="L7479" s="24" t="str" cm="1">
        <f t="array" ref="L7479">IFERROR(IF($B7479=L$1, ($A7479+$C7479) - MAX(IF($B$2:$B7478=$B7479, $A$2:$A7478+$C$2:$C7478)), "")*24*60, "")</f>
        <v/>
      </c>
      <c r="M7479" s="24" t="str" cm="1">
        <f t="array" ref="M7479">IFERROR(IF($B7479=M$1, ($A7479+$C7479) - MAX(IF($B$2:$B7478=$B7479, $A$2:$A7478+$C$2:$C7478)), "")*24*60, "")</f>
        <v/>
      </c>
      <c r="N7479" s="24" t="str" cm="1">
        <f t="array" ref="N7479">IFERROR(IF($B7479=N$1, ($A7479+$C7479) - MAX(IF($B$2:$B7478=$B7479, $A$2:$A7478+$C$2:$C7478)), "")*24*60, "")</f>
        <v/>
      </c>
      <c r="O7479" s="24" t="str" cm="1">
        <f t="array" ref="O7479">IFERROR(IF($B7479=O$1, ($A7479+$C7479) - MAX(IF($B$2:$B7478=$B7479, $A$2:$A7478+$C$2:$C7478)), "")*24*60, "")</f>
        <v/>
      </c>
      <c r="P7479" s="24" t="str" cm="1">
        <f t="array" ref="P7479">IFERROR(IF($B7479=P$1, ($A7479+$C7479) - MAX(IF($B$2:$B7478=$B7479, $A$2:$A7478+$C$2:$C7478)), "")*24*60, "")</f>
        <v/>
      </c>
      <c r="Q7479" s="24" t="str" cm="1">
        <f t="array" ref="Q7479">IFERROR(IF($B7479=Q$1, ($A7479+$C7479) - MAX(IF($B$2:$B7478=$B7479, $A$2:$A7478+$C$2:$C7478)), "")*24*60, "")</f>
        <v/>
      </c>
      <c r="R7479" s="24" t="str" cm="1">
        <f t="array" ref="R7479">IFERROR(IF($B7479=R$1, ($A7479+$C7479) - MAX(IF($B$2:$B7478=$B7479, $A$2:$A7478+$C$2:$C7478)), "")*24*60, "")</f>
        <v/>
      </c>
      <c r="S7479" s="24" t="str" cm="1">
        <f t="array" ref="S7479">IFERROR(IF($B7479=S$1, ($A7479+$C7479) - MAX(IF($B$2:$B7478=$B7479, $A$2:$A7478+$C$2:$C7478)), "")*24*60, "")</f>
        <v/>
      </c>
    </row>
    <row r="7480" spans="1:19" x14ac:dyDescent="0.2">
      <c r="A7480" s="12">
        <f t="shared" ref="A7480:C7480" si="1664">A7479</f>
        <v>46015</v>
      </c>
      <c r="B7480" s="5" t="str">
        <f t="shared" si="1664"/>
        <v>Northern Cardinal</v>
      </c>
      <c r="C7480" s="6">
        <f t="shared" si="1664"/>
        <v>0.74097222222222225</v>
      </c>
      <c r="D7480" s="5"/>
      <c r="E7480" s="5"/>
      <c r="F7480" s="5" t="s">
        <v>9</v>
      </c>
      <c r="G7480" s="15" t="s">
        <v>8</v>
      </c>
      <c r="H7480" s="24">
        <f t="shared" si="1635"/>
        <v>0</v>
      </c>
      <c r="I7480" s="24" cm="1">
        <f t="array" ref="I7480">IFERROR(IF($B7480=I$1, ($A7480+$C7480) - MAX(IF($B$2:$B7479=$B7480, $A$2:$A7479+$C$2:$C7479)), "")*24*60, "")</f>
        <v>0</v>
      </c>
      <c r="J7480" s="24" t="str" cm="1">
        <f t="array" ref="J7480">IFERROR(IF($B7480=J$1, ($A7480+$C7480) - MAX(IF($B$2:$B7479=$B7480, $A$2:$A7479+$C$2:$C7479)), "")*24*60, "")</f>
        <v/>
      </c>
      <c r="K7480" s="24" t="str" cm="1">
        <f t="array" ref="K7480">IFERROR(IF($B7480=K$1, ($A7480+$C7480) - MAX(IF($B$2:$B7479=$B7480, $A$2:$A7479+$C$2:$C7479)), "")*24*60, "")</f>
        <v/>
      </c>
      <c r="L7480" s="24" t="str" cm="1">
        <f t="array" ref="L7480">IFERROR(IF($B7480=L$1, ($A7480+$C7480) - MAX(IF($B$2:$B7479=$B7480, $A$2:$A7479+$C$2:$C7479)), "")*24*60, "")</f>
        <v/>
      </c>
      <c r="M7480" s="24" t="str" cm="1">
        <f t="array" ref="M7480">IFERROR(IF($B7480=M$1, ($A7480+$C7480) - MAX(IF($B$2:$B7479=$B7480, $A$2:$A7479+$C$2:$C7479)), "")*24*60, "")</f>
        <v/>
      </c>
      <c r="N7480" s="24" t="str" cm="1">
        <f t="array" ref="N7480">IFERROR(IF($B7480=N$1, ($A7480+$C7480) - MAX(IF($B$2:$B7479=$B7480, $A$2:$A7479+$C$2:$C7479)), "")*24*60, "")</f>
        <v/>
      </c>
      <c r="O7480" s="24" t="str" cm="1">
        <f t="array" ref="O7480">IFERROR(IF($B7480=O$1, ($A7480+$C7480) - MAX(IF($B$2:$B7479=$B7480, $A$2:$A7479+$C$2:$C7479)), "")*24*60, "")</f>
        <v/>
      </c>
      <c r="P7480" s="24" t="str" cm="1">
        <f t="array" ref="P7480">IFERROR(IF($B7480=P$1, ($A7480+$C7480) - MAX(IF($B$2:$B7479=$B7480, $A$2:$A7479+$C$2:$C7479)), "")*24*60, "")</f>
        <v/>
      </c>
      <c r="Q7480" s="24" t="str" cm="1">
        <f t="array" ref="Q7480">IFERROR(IF($B7480=Q$1, ($A7480+$C7480) - MAX(IF($B$2:$B7479=$B7480, $A$2:$A7479+$C$2:$C7479)), "")*24*60, "")</f>
        <v/>
      </c>
      <c r="R7480" s="24" t="str" cm="1">
        <f t="array" ref="R7480">IFERROR(IF($B7480=R$1, ($A7480+$C7480) - MAX(IF($B$2:$B7479=$B7480, $A$2:$A7479+$C$2:$C7479)), "")*24*60, "")</f>
        <v/>
      </c>
      <c r="S7480" s="24" t="str" cm="1">
        <f t="array" ref="S7480">IFERROR(IF($B7480=S$1, ($A7480+$C7480) - MAX(IF($B$2:$B7479=$B7480, $A$2:$A7479+$C$2:$C7479)), "")*24*60, "")</f>
        <v/>
      </c>
    </row>
    <row r="7481" spans="1:19" x14ac:dyDescent="0.2">
      <c r="A7481" s="12">
        <f t="shared" ref="A7481:C7481" si="1665">A7480</f>
        <v>46015</v>
      </c>
      <c r="B7481" s="5" t="str">
        <f t="shared" si="1665"/>
        <v>Northern Cardinal</v>
      </c>
      <c r="C7481" s="6">
        <f t="shared" si="1665"/>
        <v>0.74097222222222225</v>
      </c>
      <c r="D7481" s="5"/>
      <c r="E7481" s="5"/>
      <c r="F7481" s="5" t="s">
        <v>9</v>
      </c>
      <c r="G7481" s="15" t="s">
        <v>8</v>
      </c>
      <c r="H7481" s="24">
        <f t="shared" si="1635"/>
        <v>0</v>
      </c>
      <c r="I7481" s="24" cm="1">
        <f t="array" ref="I7481">IFERROR(IF($B7481=I$1, ($A7481+$C7481) - MAX(IF($B$2:$B7480=$B7481, $A$2:$A7480+$C$2:$C7480)), "")*24*60, "")</f>
        <v>0</v>
      </c>
      <c r="J7481" s="24" t="str" cm="1">
        <f t="array" ref="J7481">IFERROR(IF($B7481=J$1, ($A7481+$C7481) - MAX(IF($B$2:$B7480=$B7481, $A$2:$A7480+$C$2:$C7480)), "")*24*60, "")</f>
        <v/>
      </c>
      <c r="K7481" s="24" t="str" cm="1">
        <f t="array" ref="K7481">IFERROR(IF($B7481=K$1, ($A7481+$C7481) - MAX(IF($B$2:$B7480=$B7481, $A$2:$A7480+$C$2:$C7480)), "")*24*60, "")</f>
        <v/>
      </c>
      <c r="L7481" s="24" t="str" cm="1">
        <f t="array" ref="L7481">IFERROR(IF($B7481=L$1, ($A7481+$C7481) - MAX(IF($B$2:$B7480=$B7481, $A$2:$A7480+$C$2:$C7480)), "")*24*60, "")</f>
        <v/>
      </c>
      <c r="M7481" s="24" t="str" cm="1">
        <f t="array" ref="M7481">IFERROR(IF($B7481=M$1, ($A7481+$C7481) - MAX(IF($B$2:$B7480=$B7481, $A$2:$A7480+$C$2:$C7480)), "")*24*60, "")</f>
        <v/>
      </c>
      <c r="N7481" s="24" t="str" cm="1">
        <f t="array" ref="N7481">IFERROR(IF($B7481=N$1, ($A7481+$C7481) - MAX(IF($B$2:$B7480=$B7481, $A$2:$A7480+$C$2:$C7480)), "")*24*60, "")</f>
        <v/>
      </c>
      <c r="O7481" s="24" t="str" cm="1">
        <f t="array" ref="O7481">IFERROR(IF($B7481=O$1, ($A7481+$C7481) - MAX(IF($B$2:$B7480=$B7481, $A$2:$A7480+$C$2:$C7480)), "")*24*60, "")</f>
        <v/>
      </c>
      <c r="P7481" s="24" t="str" cm="1">
        <f t="array" ref="P7481">IFERROR(IF($B7481=P$1, ($A7481+$C7481) - MAX(IF($B$2:$B7480=$B7481, $A$2:$A7480+$C$2:$C7480)), "")*24*60, "")</f>
        <v/>
      </c>
      <c r="Q7481" s="24" t="str" cm="1">
        <f t="array" ref="Q7481">IFERROR(IF($B7481=Q$1, ($A7481+$C7481) - MAX(IF($B$2:$B7480=$B7481, $A$2:$A7480+$C$2:$C7480)), "")*24*60, "")</f>
        <v/>
      </c>
      <c r="R7481" s="24" t="str" cm="1">
        <f t="array" ref="R7481">IFERROR(IF($B7481=R$1, ($A7481+$C7481) - MAX(IF($B$2:$B7480=$B7481, $A$2:$A7480+$C$2:$C7480)), "")*24*60, "")</f>
        <v/>
      </c>
      <c r="S7481" s="24" t="str" cm="1">
        <f t="array" ref="S7481">IFERROR(IF($B7481=S$1, ($A7481+$C7481) - MAX(IF($B$2:$B7480=$B7481, $A$2:$A7480+$C$2:$C7480)), "")*24*60, "")</f>
        <v/>
      </c>
    </row>
    <row r="7482" spans="1:19" x14ac:dyDescent="0.2">
      <c r="A7482" s="12">
        <f t="shared" ref="A7482:C7482" si="1666">A7481</f>
        <v>46015</v>
      </c>
      <c r="B7482" s="5" t="str">
        <f t="shared" si="1666"/>
        <v>Northern Cardinal</v>
      </c>
      <c r="C7482" s="6">
        <f t="shared" si="1666"/>
        <v>0.74097222222222225</v>
      </c>
      <c r="D7482" s="5"/>
      <c r="E7482" s="5"/>
      <c r="F7482" s="5" t="s">
        <v>9</v>
      </c>
      <c r="G7482" s="15" t="s">
        <v>8</v>
      </c>
      <c r="H7482" s="24">
        <f t="shared" si="1635"/>
        <v>0</v>
      </c>
      <c r="I7482" s="24" cm="1">
        <f t="array" ref="I7482">IFERROR(IF($B7482=I$1, ($A7482+$C7482) - MAX(IF($B$2:$B7481=$B7482, $A$2:$A7481+$C$2:$C7481)), "")*24*60, "")</f>
        <v>0</v>
      </c>
      <c r="J7482" s="24" t="str" cm="1">
        <f t="array" ref="J7482">IFERROR(IF($B7482=J$1, ($A7482+$C7482) - MAX(IF($B$2:$B7481=$B7482, $A$2:$A7481+$C$2:$C7481)), "")*24*60, "")</f>
        <v/>
      </c>
      <c r="K7482" s="24" t="str" cm="1">
        <f t="array" ref="K7482">IFERROR(IF($B7482=K$1, ($A7482+$C7482) - MAX(IF($B$2:$B7481=$B7482, $A$2:$A7481+$C$2:$C7481)), "")*24*60, "")</f>
        <v/>
      </c>
      <c r="L7482" s="24" t="str" cm="1">
        <f t="array" ref="L7482">IFERROR(IF($B7482=L$1, ($A7482+$C7482) - MAX(IF($B$2:$B7481=$B7482, $A$2:$A7481+$C$2:$C7481)), "")*24*60, "")</f>
        <v/>
      </c>
      <c r="M7482" s="24" t="str" cm="1">
        <f t="array" ref="M7482">IFERROR(IF($B7482=M$1, ($A7482+$C7482) - MAX(IF($B$2:$B7481=$B7482, $A$2:$A7481+$C$2:$C7481)), "")*24*60, "")</f>
        <v/>
      </c>
      <c r="N7482" s="24" t="str" cm="1">
        <f t="array" ref="N7482">IFERROR(IF($B7482=N$1, ($A7482+$C7482) - MAX(IF($B$2:$B7481=$B7482, $A$2:$A7481+$C$2:$C7481)), "")*24*60, "")</f>
        <v/>
      </c>
      <c r="O7482" s="24" t="str" cm="1">
        <f t="array" ref="O7482">IFERROR(IF($B7482=O$1, ($A7482+$C7482) - MAX(IF($B$2:$B7481=$B7482, $A$2:$A7481+$C$2:$C7481)), "")*24*60, "")</f>
        <v/>
      </c>
      <c r="P7482" s="24" t="str" cm="1">
        <f t="array" ref="P7482">IFERROR(IF($B7482=P$1, ($A7482+$C7482) - MAX(IF($B$2:$B7481=$B7482, $A$2:$A7481+$C$2:$C7481)), "")*24*60, "")</f>
        <v/>
      </c>
      <c r="Q7482" s="24" t="str" cm="1">
        <f t="array" ref="Q7482">IFERROR(IF($B7482=Q$1, ($A7482+$C7482) - MAX(IF($B$2:$B7481=$B7482, $A$2:$A7481+$C$2:$C7481)), "")*24*60, "")</f>
        <v/>
      </c>
      <c r="R7482" s="24" t="str" cm="1">
        <f t="array" ref="R7482">IFERROR(IF($B7482=R$1, ($A7482+$C7482) - MAX(IF($B$2:$B7481=$B7482, $A$2:$A7481+$C$2:$C7481)), "")*24*60, "")</f>
        <v/>
      </c>
      <c r="S7482" s="24" t="str" cm="1">
        <f t="array" ref="S7482">IFERROR(IF($B7482=S$1, ($A7482+$C7482) - MAX(IF($B$2:$B7481=$B7482, $A$2:$A7481+$C$2:$C7481)), "")*24*60, "")</f>
        <v/>
      </c>
    </row>
    <row r="7483" spans="1:19" x14ac:dyDescent="0.2">
      <c r="A7483" s="12">
        <f t="shared" ref="A7483:C7483" si="1667">A7482</f>
        <v>46015</v>
      </c>
      <c r="B7483" s="5" t="str">
        <f t="shared" si="1667"/>
        <v>Northern Cardinal</v>
      </c>
      <c r="C7483" s="6">
        <f t="shared" si="1667"/>
        <v>0.74097222222222225</v>
      </c>
      <c r="D7483" s="5"/>
      <c r="E7483" s="5"/>
      <c r="F7483" s="5" t="s">
        <v>9</v>
      </c>
      <c r="G7483" s="15" t="s">
        <v>8</v>
      </c>
      <c r="H7483" s="24">
        <f t="shared" si="1635"/>
        <v>0</v>
      </c>
      <c r="I7483" s="24" cm="1">
        <f t="array" ref="I7483">IFERROR(IF($B7483=I$1, ($A7483+$C7483) - MAX(IF($B$2:$B7482=$B7483, $A$2:$A7482+$C$2:$C7482)), "")*24*60, "")</f>
        <v>0</v>
      </c>
      <c r="J7483" s="24" t="str" cm="1">
        <f t="array" ref="J7483">IFERROR(IF($B7483=J$1, ($A7483+$C7483) - MAX(IF($B$2:$B7482=$B7483, $A$2:$A7482+$C$2:$C7482)), "")*24*60, "")</f>
        <v/>
      </c>
      <c r="K7483" s="24" t="str" cm="1">
        <f t="array" ref="K7483">IFERROR(IF($B7483=K$1, ($A7483+$C7483) - MAX(IF($B$2:$B7482=$B7483, $A$2:$A7482+$C$2:$C7482)), "")*24*60, "")</f>
        <v/>
      </c>
      <c r="L7483" s="24" t="str" cm="1">
        <f t="array" ref="L7483">IFERROR(IF($B7483=L$1, ($A7483+$C7483) - MAX(IF($B$2:$B7482=$B7483, $A$2:$A7482+$C$2:$C7482)), "")*24*60, "")</f>
        <v/>
      </c>
      <c r="M7483" s="24" t="str" cm="1">
        <f t="array" ref="M7483">IFERROR(IF($B7483=M$1, ($A7483+$C7483) - MAX(IF($B$2:$B7482=$B7483, $A$2:$A7482+$C$2:$C7482)), "")*24*60, "")</f>
        <v/>
      </c>
      <c r="N7483" s="24" t="str" cm="1">
        <f t="array" ref="N7483">IFERROR(IF($B7483=N$1, ($A7483+$C7483) - MAX(IF($B$2:$B7482=$B7483, $A$2:$A7482+$C$2:$C7482)), "")*24*60, "")</f>
        <v/>
      </c>
      <c r="O7483" s="24" t="str" cm="1">
        <f t="array" ref="O7483">IFERROR(IF($B7483=O$1, ($A7483+$C7483) - MAX(IF($B$2:$B7482=$B7483, $A$2:$A7482+$C$2:$C7482)), "")*24*60, "")</f>
        <v/>
      </c>
      <c r="P7483" s="24" t="str" cm="1">
        <f t="array" ref="P7483">IFERROR(IF($B7483=P$1, ($A7483+$C7483) - MAX(IF($B$2:$B7482=$B7483, $A$2:$A7482+$C$2:$C7482)), "")*24*60, "")</f>
        <v/>
      </c>
      <c r="Q7483" s="24" t="str" cm="1">
        <f t="array" ref="Q7483">IFERROR(IF($B7483=Q$1, ($A7483+$C7483) - MAX(IF($B$2:$B7482=$B7483, $A$2:$A7482+$C$2:$C7482)), "")*24*60, "")</f>
        <v/>
      </c>
      <c r="R7483" s="24" t="str" cm="1">
        <f t="array" ref="R7483">IFERROR(IF($B7483=R$1, ($A7483+$C7483) - MAX(IF($B$2:$B7482=$B7483, $A$2:$A7482+$C$2:$C7482)), "")*24*60, "")</f>
        <v/>
      </c>
      <c r="S7483" s="24" t="str" cm="1">
        <f t="array" ref="S7483">IFERROR(IF($B7483=S$1, ($A7483+$C7483) - MAX(IF($B$2:$B7482=$B7483, $A$2:$A7482+$C$2:$C7482)), "")*24*60, "")</f>
        <v/>
      </c>
    </row>
    <row r="7484" spans="1:19" x14ac:dyDescent="0.2">
      <c r="A7484" s="12">
        <f t="shared" ref="A7484:C7484" si="1668">A7483</f>
        <v>46015</v>
      </c>
      <c r="B7484" s="5" t="str">
        <f t="shared" si="1668"/>
        <v>Northern Cardinal</v>
      </c>
      <c r="C7484" s="6">
        <f t="shared" si="1668"/>
        <v>0.74097222222222225</v>
      </c>
      <c r="D7484" s="5"/>
      <c r="E7484" s="5"/>
      <c r="F7484" s="5" t="s">
        <v>9</v>
      </c>
      <c r="G7484" s="15" t="s">
        <v>8</v>
      </c>
      <c r="H7484" s="24">
        <f t="shared" si="1635"/>
        <v>0</v>
      </c>
      <c r="I7484" s="24" cm="1">
        <f t="array" ref="I7484">IFERROR(IF($B7484=I$1, ($A7484+$C7484) - MAX(IF($B$2:$B7483=$B7484, $A$2:$A7483+$C$2:$C7483)), "")*24*60, "")</f>
        <v>0</v>
      </c>
      <c r="J7484" s="24" t="str" cm="1">
        <f t="array" ref="J7484">IFERROR(IF($B7484=J$1, ($A7484+$C7484) - MAX(IF($B$2:$B7483=$B7484, $A$2:$A7483+$C$2:$C7483)), "")*24*60, "")</f>
        <v/>
      </c>
      <c r="K7484" s="24" t="str" cm="1">
        <f t="array" ref="K7484">IFERROR(IF($B7484=K$1, ($A7484+$C7484) - MAX(IF($B$2:$B7483=$B7484, $A$2:$A7483+$C$2:$C7483)), "")*24*60, "")</f>
        <v/>
      </c>
      <c r="L7484" s="24" t="str" cm="1">
        <f t="array" ref="L7484">IFERROR(IF($B7484=L$1, ($A7484+$C7484) - MAX(IF($B$2:$B7483=$B7484, $A$2:$A7483+$C$2:$C7483)), "")*24*60, "")</f>
        <v/>
      </c>
      <c r="M7484" s="24" t="str" cm="1">
        <f t="array" ref="M7484">IFERROR(IF($B7484=M$1, ($A7484+$C7484) - MAX(IF($B$2:$B7483=$B7484, $A$2:$A7483+$C$2:$C7483)), "")*24*60, "")</f>
        <v/>
      </c>
      <c r="N7484" s="24" t="str" cm="1">
        <f t="array" ref="N7484">IFERROR(IF($B7484=N$1, ($A7484+$C7484) - MAX(IF($B$2:$B7483=$B7484, $A$2:$A7483+$C$2:$C7483)), "")*24*60, "")</f>
        <v/>
      </c>
      <c r="O7484" s="24" t="str" cm="1">
        <f t="array" ref="O7484">IFERROR(IF($B7484=O$1, ($A7484+$C7484) - MAX(IF($B$2:$B7483=$B7484, $A$2:$A7483+$C$2:$C7483)), "")*24*60, "")</f>
        <v/>
      </c>
      <c r="P7484" s="24" t="str" cm="1">
        <f t="array" ref="P7484">IFERROR(IF($B7484=P$1, ($A7484+$C7484) - MAX(IF($B$2:$B7483=$B7484, $A$2:$A7483+$C$2:$C7483)), "")*24*60, "")</f>
        <v/>
      </c>
      <c r="Q7484" s="24" t="str" cm="1">
        <f t="array" ref="Q7484">IFERROR(IF($B7484=Q$1, ($A7484+$C7484) - MAX(IF($B$2:$B7483=$B7484, $A$2:$A7483+$C$2:$C7483)), "")*24*60, "")</f>
        <v/>
      </c>
      <c r="R7484" s="24" t="str" cm="1">
        <f t="array" ref="R7484">IFERROR(IF($B7484=R$1, ($A7484+$C7484) - MAX(IF($B$2:$B7483=$B7484, $A$2:$A7483+$C$2:$C7483)), "")*24*60, "")</f>
        <v/>
      </c>
      <c r="S7484" s="24" t="str" cm="1">
        <f t="array" ref="S7484">IFERROR(IF($B7484=S$1, ($A7484+$C7484) - MAX(IF($B$2:$B7483=$B7484, $A$2:$A7483+$C$2:$C7483)), "")*24*60, "")</f>
        <v/>
      </c>
    </row>
    <row r="7485" spans="1:19" x14ac:dyDescent="0.2">
      <c r="A7485" s="12">
        <f t="shared" ref="A7485:C7485" si="1669">A7484</f>
        <v>46015</v>
      </c>
      <c r="B7485" s="5" t="str">
        <f t="shared" si="1669"/>
        <v>Northern Cardinal</v>
      </c>
      <c r="C7485" s="6">
        <f t="shared" si="1669"/>
        <v>0.74097222222222225</v>
      </c>
      <c r="D7485" s="5"/>
      <c r="E7485" s="5"/>
      <c r="F7485" s="5" t="s">
        <v>9</v>
      </c>
      <c r="G7485" s="15" t="s">
        <v>8</v>
      </c>
      <c r="H7485" s="24">
        <f t="shared" si="1635"/>
        <v>0</v>
      </c>
      <c r="I7485" s="24" cm="1">
        <f t="array" ref="I7485">IFERROR(IF($B7485=I$1, ($A7485+$C7485) - MAX(IF($B$2:$B7484=$B7485, $A$2:$A7484+$C$2:$C7484)), "")*24*60, "")</f>
        <v>0</v>
      </c>
      <c r="J7485" s="24" t="str" cm="1">
        <f t="array" ref="J7485">IFERROR(IF($B7485=J$1, ($A7485+$C7485) - MAX(IF($B$2:$B7484=$B7485, $A$2:$A7484+$C$2:$C7484)), "")*24*60, "")</f>
        <v/>
      </c>
      <c r="K7485" s="24" t="str" cm="1">
        <f t="array" ref="K7485">IFERROR(IF($B7485=K$1, ($A7485+$C7485) - MAX(IF($B$2:$B7484=$B7485, $A$2:$A7484+$C$2:$C7484)), "")*24*60, "")</f>
        <v/>
      </c>
      <c r="L7485" s="24" t="str" cm="1">
        <f t="array" ref="L7485">IFERROR(IF($B7485=L$1, ($A7485+$C7485) - MAX(IF($B$2:$B7484=$B7485, $A$2:$A7484+$C$2:$C7484)), "")*24*60, "")</f>
        <v/>
      </c>
      <c r="M7485" s="24" t="str" cm="1">
        <f t="array" ref="M7485">IFERROR(IF($B7485=M$1, ($A7485+$C7485) - MAX(IF($B$2:$B7484=$B7485, $A$2:$A7484+$C$2:$C7484)), "")*24*60, "")</f>
        <v/>
      </c>
      <c r="N7485" s="24" t="str" cm="1">
        <f t="array" ref="N7485">IFERROR(IF($B7485=N$1, ($A7485+$C7485) - MAX(IF($B$2:$B7484=$B7485, $A$2:$A7484+$C$2:$C7484)), "")*24*60, "")</f>
        <v/>
      </c>
      <c r="O7485" s="24" t="str" cm="1">
        <f t="array" ref="O7485">IFERROR(IF($B7485=O$1, ($A7485+$C7485) - MAX(IF($B$2:$B7484=$B7485, $A$2:$A7484+$C$2:$C7484)), "")*24*60, "")</f>
        <v/>
      </c>
      <c r="P7485" s="24" t="str" cm="1">
        <f t="array" ref="P7485">IFERROR(IF($B7485=P$1, ($A7485+$C7485) - MAX(IF($B$2:$B7484=$B7485, $A$2:$A7484+$C$2:$C7484)), "")*24*60, "")</f>
        <v/>
      </c>
      <c r="Q7485" s="24" t="str" cm="1">
        <f t="array" ref="Q7485">IFERROR(IF($B7485=Q$1, ($A7485+$C7485) - MAX(IF($B$2:$B7484=$B7485, $A$2:$A7484+$C$2:$C7484)), "")*24*60, "")</f>
        <v/>
      </c>
      <c r="R7485" s="24" t="str" cm="1">
        <f t="array" ref="R7485">IFERROR(IF($B7485=R$1, ($A7485+$C7485) - MAX(IF($B$2:$B7484=$B7485, $A$2:$A7484+$C$2:$C7484)), "")*24*60, "")</f>
        <v/>
      </c>
      <c r="S7485" s="24" t="str" cm="1">
        <f t="array" ref="S7485">IFERROR(IF($B7485=S$1, ($A7485+$C7485) - MAX(IF($B$2:$B7484=$B7485, $A$2:$A7484+$C$2:$C7484)), "")*24*60, "")</f>
        <v/>
      </c>
    </row>
    <row r="7486" spans="1:19" x14ac:dyDescent="0.2">
      <c r="A7486" s="12">
        <f t="shared" ref="A7486:C7486" si="1670">A7485</f>
        <v>46015</v>
      </c>
      <c r="B7486" s="5" t="str">
        <f t="shared" si="1670"/>
        <v>Northern Cardinal</v>
      </c>
      <c r="C7486" s="6">
        <f t="shared" si="1670"/>
        <v>0.74097222222222225</v>
      </c>
      <c r="D7486" s="5"/>
      <c r="E7486" s="5"/>
      <c r="F7486" s="5" t="s">
        <v>9</v>
      </c>
      <c r="G7486" s="15" t="s">
        <v>8</v>
      </c>
      <c r="H7486" s="24">
        <f t="shared" si="1635"/>
        <v>0</v>
      </c>
      <c r="I7486" s="24" cm="1">
        <f t="array" ref="I7486">IFERROR(IF($B7486=I$1, ($A7486+$C7486) - MAX(IF($B$2:$B7485=$B7486, $A$2:$A7485+$C$2:$C7485)), "")*24*60, "")</f>
        <v>0</v>
      </c>
      <c r="J7486" s="24" t="str" cm="1">
        <f t="array" ref="J7486">IFERROR(IF($B7486=J$1, ($A7486+$C7486) - MAX(IF($B$2:$B7485=$B7486, $A$2:$A7485+$C$2:$C7485)), "")*24*60, "")</f>
        <v/>
      </c>
      <c r="K7486" s="24" t="str" cm="1">
        <f t="array" ref="K7486">IFERROR(IF($B7486=K$1, ($A7486+$C7486) - MAX(IF($B$2:$B7485=$B7486, $A$2:$A7485+$C$2:$C7485)), "")*24*60, "")</f>
        <v/>
      </c>
      <c r="L7486" s="24" t="str" cm="1">
        <f t="array" ref="L7486">IFERROR(IF($B7486=L$1, ($A7486+$C7486) - MAX(IF($B$2:$B7485=$B7486, $A$2:$A7485+$C$2:$C7485)), "")*24*60, "")</f>
        <v/>
      </c>
      <c r="M7486" s="24" t="str" cm="1">
        <f t="array" ref="M7486">IFERROR(IF($B7486=M$1, ($A7486+$C7486) - MAX(IF($B$2:$B7485=$B7486, $A$2:$A7485+$C$2:$C7485)), "")*24*60, "")</f>
        <v/>
      </c>
      <c r="N7486" s="24" t="str" cm="1">
        <f t="array" ref="N7486">IFERROR(IF($B7486=N$1, ($A7486+$C7486) - MAX(IF($B$2:$B7485=$B7486, $A$2:$A7485+$C$2:$C7485)), "")*24*60, "")</f>
        <v/>
      </c>
      <c r="O7486" s="24" t="str" cm="1">
        <f t="array" ref="O7486">IFERROR(IF($B7486=O$1, ($A7486+$C7486) - MAX(IF($B$2:$B7485=$B7486, $A$2:$A7485+$C$2:$C7485)), "")*24*60, "")</f>
        <v/>
      </c>
      <c r="P7486" s="24" t="str" cm="1">
        <f t="array" ref="P7486">IFERROR(IF($B7486=P$1, ($A7486+$C7486) - MAX(IF($B$2:$B7485=$B7486, $A$2:$A7485+$C$2:$C7485)), "")*24*60, "")</f>
        <v/>
      </c>
      <c r="Q7486" s="24" t="str" cm="1">
        <f t="array" ref="Q7486">IFERROR(IF($B7486=Q$1, ($A7486+$C7486) - MAX(IF($B$2:$B7485=$B7486, $A$2:$A7485+$C$2:$C7485)), "")*24*60, "")</f>
        <v/>
      </c>
      <c r="R7486" s="24" t="str" cm="1">
        <f t="array" ref="R7486">IFERROR(IF($B7486=R$1, ($A7486+$C7486) - MAX(IF($B$2:$B7485=$B7486, $A$2:$A7485+$C$2:$C7485)), "")*24*60, "")</f>
        <v/>
      </c>
      <c r="S7486" s="24" t="str" cm="1">
        <f t="array" ref="S7486">IFERROR(IF($B7486=S$1, ($A7486+$C7486) - MAX(IF($B$2:$B7485=$B7486, $A$2:$A7485+$C$2:$C7485)), "")*24*60, "")</f>
        <v/>
      </c>
    </row>
    <row r="7487" spans="1:19" x14ac:dyDescent="0.2">
      <c r="A7487" s="12">
        <f t="shared" ref="A7487:C7487" si="1671">A7486</f>
        <v>46015</v>
      </c>
      <c r="B7487" s="5" t="str">
        <f t="shared" si="1671"/>
        <v>Northern Cardinal</v>
      </c>
      <c r="C7487" s="6">
        <f t="shared" si="1671"/>
        <v>0.74097222222222225</v>
      </c>
      <c r="D7487" s="5"/>
      <c r="E7487" s="5"/>
      <c r="F7487" s="5" t="s">
        <v>9</v>
      </c>
      <c r="G7487" s="15" t="s">
        <v>8</v>
      </c>
      <c r="H7487" s="24">
        <f t="shared" si="1635"/>
        <v>0</v>
      </c>
      <c r="I7487" s="24" cm="1">
        <f t="array" ref="I7487">IFERROR(IF($B7487=I$1, ($A7487+$C7487) - MAX(IF($B$2:$B7486=$B7487, $A$2:$A7486+$C$2:$C7486)), "")*24*60, "")</f>
        <v>0</v>
      </c>
      <c r="J7487" s="24" t="str" cm="1">
        <f t="array" ref="J7487">IFERROR(IF($B7487=J$1, ($A7487+$C7487) - MAX(IF($B$2:$B7486=$B7487, $A$2:$A7486+$C$2:$C7486)), "")*24*60, "")</f>
        <v/>
      </c>
      <c r="K7487" s="24" t="str" cm="1">
        <f t="array" ref="K7487">IFERROR(IF($B7487=K$1, ($A7487+$C7487) - MAX(IF($B$2:$B7486=$B7487, $A$2:$A7486+$C$2:$C7486)), "")*24*60, "")</f>
        <v/>
      </c>
      <c r="L7487" s="24" t="str" cm="1">
        <f t="array" ref="L7487">IFERROR(IF($B7487=L$1, ($A7487+$C7487) - MAX(IF($B$2:$B7486=$B7487, $A$2:$A7486+$C$2:$C7486)), "")*24*60, "")</f>
        <v/>
      </c>
      <c r="M7487" s="24" t="str" cm="1">
        <f t="array" ref="M7487">IFERROR(IF($B7487=M$1, ($A7487+$C7487) - MAX(IF($B$2:$B7486=$B7487, $A$2:$A7486+$C$2:$C7486)), "")*24*60, "")</f>
        <v/>
      </c>
      <c r="N7487" s="24" t="str" cm="1">
        <f t="array" ref="N7487">IFERROR(IF($B7487=N$1, ($A7487+$C7487) - MAX(IF($B$2:$B7486=$B7487, $A$2:$A7486+$C$2:$C7486)), "")*24*60, "")</f>
        <v/>
      </c>
      <c r="O7487" s="24" t="str" cm="1">
        <f t="array" ref="O7487">IFERROR(IF($B7487=O$1, ($A7487+$C7487) - MAX(IF($B$2:$B7486=$B7487, $A$2:$A7486+$C$2:$C7486)), "")*24*60, "")</f>
        <v/>
      </c>
      <c r="P7487" s="24" t="str" cm="1">
        <f t="array" ref="P7487">IFERROR(IF($B7487=P$1, ($A7487+$C7487) - MAX(IF($B$2:$B7486=$B7487, $A$2:$A7486+$C$2:$C7486)), "")*24*60, "")</f>
        <v/>
      </c>
      <c r="Q7487" s="24" t="str" cm="1">
        <f t="array" ref="Q7487">IFERROR(IF($B7487=Q$1, ($A7487+$C7487) - MAX(IF($B$2:$B7486=$B7487, $A$2:$A7486+$C$2:$C7486)), "")*24*60, "")</f>
        <v/>
      </c>
      <c r="R7487" s="24" t="str" cm="1">
        <f t="array" ref="R7487">IFERROR(IF($B7487=R$1, ($A7487+$C7487) - MAX(IF($B$2:$B7486=$B7487, $A$2:$A7486+$C$2:$C7486)), "")*24*60, "")</f>
        <v/>
      </c>
      <c r="S7487" s="24" t="str" cm="1">
        <f t="array" ref="S7487">IFERROR(IF($B7487=S$1, ($A7487+$C7487) - MAX(IF($B$2:$B7486=$B7487, $A$2:$A7486+$C$2:$C7486)), "")*24*60, "")</f>
        <v/>
      </c>
    </row>
    <row r="7488" spans="1:19" x14ac:dyDescent="0.2">
      <c r="A7488" s="12">
        <f t="shared" ref="A7488:C7488" si="1672">A7487</f>
        <v>46015</v>
      </c>
      <c r="B7488" s="5" t="str">
        <f t="shared" si="1672"/>
        <v>Northern Cardinal</v>
      </c>
      <c r="C7488" s="6">
        <f t="shared" si="1672"/>
        <v>0.74097222222222225</v>
      </c>
      <c r="D7488" s="5"/>
      <c r="E7488" s="5"/>
      <c r="F7488" s="5" t="s">
        <v>9</v>
      </c>
      <c r="G7488" s="15" t="s">
        <v>8</v>
      </c>
      <c r="H7488" s="24">
        <f t="shared" si="1635"/>
        <v>0</v>
      </c>
      <c r="I7488" s="24" cm="1">
        <f t="array" ref="I7488">IFERROR(IF($B7488=I$1, ($A7488+$C7488) - MAX(IF($B$2:$B7487=$B7488, $A$2:$A7487+$C$2:$C7487)), "")*24*60, "")</f>
        <v>0</v>
      </c>
      <c r="J7488" s="24" t="str" cm="1">
        <f t="array" ref="J7488">IFERROR(IF($B7488=J$1, ($A7488+$C7488) - MAX(IF($B$2:$B7487=$B7488, $A$2:$A7487+$C$2:$C7487)), "")*24*60, "")</f>
        <v/>
      </c>
      <c r="K7488" s="24" t="str" cm="1">
        <f t="array" ref="K7488">IFERROR(IF($B7488=K$1, ($A7488+$C7488) - MAX(IF($B$2:$B7487=$B7488, $A$2:$A7487+$C$2:$C7487)), "")*24*60, "")</f>
        <v/>
      </c>
      <c r="L7488" s="24" t="str" cm="1">
        <f t="array" ref="L7488">IFERROR(IF($B7488=L$1, ($A7488+$C7488) - MAX(IF($B$2:$B7487=$B7488, $A$2:$A7487+$C$2:$C7487)), "")*24*60, "")</f>
        <v/>
      </c>
      <c r="M7488" s="24" t="str" cm="1">
        <f t="array" ref="M7488">IFERROR(IF($B7488=M$1, ($A7488+$C7488) - MAX(IF($B$2:$B7487=$B7488, $A$2:$A7487+$C$2:$C7487)), "")*24*60, "")</f>
        <v/>
      </c>
      <c r="N7488" s="24" t="str" cm="1">
        <f t="array" ref="N7488">IFERROR(IF($B7488=N$1, ($A7488+$C7488) - MAX(IF($B$2:$B7487=$B7488, $A$2:$A7487+$C$2:$C7487)), "")*24*60, "")</f>
        <v/>
      </c>
      <c r="O7488" s="24" t="str" cm="1">
        <f t="array" ref="O7488">IFERROR(IF($B7488=O$1, ($A7488+$C7488) - MAX(IF($B$2:$B7487=$B7488, $A$2:$A7487+$C$2:$C7487)), "")*24*60, "")</f>
        <v/>
      </c>
      <c r="P7488" s="24" t="str" cm="1">
        <f t="array" ref="P7488">IFERROR(IF($B7488=P$1, ($A7488+$C7488) - MAX(IF($B$2:$B7487=$B7488, $A$2:$A7487+$C$2:$C7487)), "")*24*60, "")</f>
        <v/>
      </c>
      <c r="Q7488" s="24" t="str" cm="1">
        <f t="array" ref="Q7488">IFERROR(IF($B7488=Q$1, ($A7488+$C7488) - MAX(IF($B$2:$B7487=$B7488, $A$2:$A7487+$C$2:$C7487)), "")*24*60, "")</f>
        <v/>
      </c>
      <c r="R7488" s="24" t="str" cm="1">
        <f t="array" ref="R7488">IFERROR(IF($B7488=R$1, ($A7488+$C7488) - MAX(IF($B$2:$B7487=$B7488, $A$2:$A7487+$C$2:$C7487)), "")*24*60, "")</f>
        <v/>
      </c>
      <c r="S7488" s="24" t="str" cm="1">
        <f t="array" ref="S7488">IFERROR(IF($B7488=S$1, ($A7488+$C7488) - MAX(IF($B$2:$B7487=$B7488, $A$2:$A7487+$C$2:$C7487)), "")*24*60, "")</f>
        <v/>
      </c>
    </row>
    <row r="7489" spans="1:19" x14ac:dyDescent="0.2">
      <c r="A7489" s="12">
        <f t="shared" ref="A7489:C7489" si="1673">A7488</f>
        <v>46015</v>
      </c>
      <c r="B7489" s="5" t="str">
        <f t="shared" si="1673"/>
        <v>Northern Cardinal</v>
      </c>
      <c r="C7489" s="6">
        <f t="shared" si="1673"/>
        <v>0.74097222222222225</v>
      </c>
      <c r="D7489" s="5"/>
      <c r="E7489" s="5"/>
      <c r="F7489" s="5" t="s">
        <v>9</v>
      </c>
      <c r="G7489" s="15" t="s">
        <v>8</v>
      </c>
      <c r="H7489" s="24">
        <f t="shared" si="1635"/>
        <v>0</v>
      </c>
      <c r="I7489" s="24" cm="1">
        <f t="array" ref="I7489">IFERROR(IF($B7489=I$1, ($A7489+$C7489) - MAX(IF($B$2:$B7488=$B7489, $A$2:$A7488+$C$2:$C7488)), "")*24*60, "")</f>
        <v>0</v>
      </c>
      <c r="J7489" s="24" t="str" cm="1">
        <f t="array" ref="J7489">IFERROR(IF($B7489=J$1, ($A7489+$C7489) - MAX(IF($B$2:$B7488=$B7489, $A$2:$A7488+$C$2:$C7488)), "")*24*60, "")</f>
        <v/>
      </c>
      <c r="K7489" s="24" t="str" cm="1">
        <f t="array" ref="K7489">IFERROR(IF($B7489=K$1, ($A7489+$C7489) - MAX(IF($B$2:$B7488=$B7489, $A$2:$A7488+$C$2:$C7488)), "")*24*60, "")</f>
        <v/>
      </c>
      <c r="L7489" s="24" t="str" cm="1">
        <f t="array" ref="L7489">IFERROR(IF($B7489=L$1, ($A7489+$C7489) - MAX(IF($B$2:$B7488=$B7489, $A$2:$A7488+$C$2:$C7488)), "")*24*60, "")</f>
        <v/>
      </c>
      <c r="M7489" s="24" t="str" cm="1">
        <f t="array" ref="M7489">IFERROR(IF($B7489=M$1, ($A7489+$C7489) - MAX(IF($B$2:$B7488=$B7489, $A$2:$A7488+$C$2:$C7488)), "")*24*60, "")</f>
        <v/>
      </c>
      <c r="N7489" s="24" t="str" cm="1">
        <f t="array" ref="N7489">IFERROR(IF($B7489=N$1, ($A7489+$C7489) - MAX(IF($B$2:$B7488=$B7489, $A$2:$A7488+$C$2:$C7488)), "")*24*60, "")</f>
        <v/>
      </c>
      <c r="O7489" s="24" t="str" cm="1">
        <f t="array" ref="O7489">IFERROR(IF($B7489=O$1, ($A7489+$C7489) - MAX(IF($B$2:$B7488=$B7489, $A$2:$A7488+$C$2:$C7488)), "")*24*60, "")</f>
        <v/>
      </c>
      <c r="P7489" s="24" t="str" cm="1">
        <f t="array" ref="P7489">IFERROR(IF($B7489=P$1, ($A7489+$C7489) - MAX(IF($B$2:$B7488=$B7489, $A$2:$A7488+$C$2:$C7488)), "")*24*60, "")</f>
        <v/>
      </c>
      <c r="Q7489" s="24" t="str" cm="1">
        <f t="array" ref="Q7489">IFERROR(IF($B7489=Q$1, ($A7489+$C7489) - MAX(IF($B$2:$B7488=$B7489, $A$2:$A7488+$C$2:$C7488)), "")*24*60, "")</f>
        <v/>
      </c>
      <c r="R7489" s="24" t="str" cm="1">
        <f t="array" ref="R7489">IFERROR(IF($B7489=R$1, ($A7489+$C7489) - MAX(IF($B$2:$B7488=$B7489, $A$2:$A7488+$C$2:$C7488)), "")*24*60, "")</f>
        <v/>
      </c>
      <c r="S7489" s="24" t="str" cm="1">
        <f t="array" ref="S7489">IFERROR(IF($B7489=S$1, ($A7489+$C7489) - MAX(IF($B$2:$B7488=$B7489, $A$2:$A7488+$C$2:$C7488)), "")*24*60, "")</f>
        <v/>
      </c>
    </row>
    <row r="7490" spans="1:19" x14ac:dyDescent="0.2">
      <c r="A7490" s="12">
        <f t="shared" ref="A7490:C7490" si="1674">A7489</f>
        <v>46015</v>
      </c>
      <c r="B7490" s="5" t="str">
        <f t="shared" si="1674"/>
        <v>Northern Cardinal</v>
      </c>
      <c r="C7490" s="6">
        <f t="shared" si="1674"/>
        <v>0.74097222222222225</v>
      </c>
      <c r="D7490" s="5"/>
      <c r="E7490" s="5"/>
      <c r="F7490" s="5" t="s">
        <v>9</v>
      </c>
      <c r="G7490" s="15" t="s">
        <v>8</v>
      </c>
      <c r="H7490" s="24">
        <f t="shared" si="1635"/>
        <v>0</v>
      </c>
      <c r="I7490" s="24" cm="1">
        <f t="array" ref="I7490">IFERROR(IF($B7490=I$1, ($A7490+$C7490) - MAX(IF($B$2:$B7489=$B7490, $A$2:$A7489+$C$2:$C7489)), "")*24*60, "")</f>
        <v>0</v>
      </c>
      <c r="J7490" s="24" t="str" cm="1">
        <f t="array" ref="J7490">IFERROR(IF($B7490=J$1, ($A7490+$C7490) - MAX(IF($B$2:$B7489=$B7490, $A$2:$A7489+$C$2:$C7489)), "")*24*60, "")</f>
        <v/>
      </c>
      <c r="K7490" s="24" t="str" cm="1">
        <f t="array" ref="K7490">IFERROR(IF($B7490=K$1, ($A7490+$C7490) - MAX(IF($B$2:$B7489=$B7490, $A$2:$A7489+$C$2:$C7489)), "")*24*60, "")</f>
        <v/>
      </c>
      <c r="L7490" s="24" t="str" cm="1">
        <f t="array" ref="L7490">IFERROR(IF($B7490=L$1, ($A7490+$C7490) - MAX(IF($B$2:$B7489=$B7490, $A$2:$A7489+$C$2:$C7489)), "")*24*60, "")</f>
        <v/>
      </c>
      <c r="M7490" s="24" t="str" cm="1">
        <f t="array" ref="M7490">IFERROR(IF($B7490=M$1, ($A7490+$C7490) - MAX(IF($B$2:$B7489=$B7490, $A$2:$A7489+$C$2:$C7489)), "")*24*60, "")</f>
        <v/>
      </c>
      <c r="N7490" s="24" t="str" cm="1">
        <f t="array" ref="N7490">IFERROR(IF($B7490=N$1, ($A7490+$C7490) - MAX(IF($B$2:$B7489=$B7490, $A$2:$A7489+$C$2:$C7489)), "")*24*60, "")</f>
        <v/>
      </c>
      <c r="O7490" s="24" t="str" cm="1">
        <f t="array" ref="O7490">IFERROR(IF($B7490=O$1, ($A7490+$C7490) - MAX(IF($B$2:$B7489=$B7490, $A$2:$A7489+$C$2:$C7489)), "")*24*60, "")</f>
        <v/>
      </c>
      <c r="P7490" s="24" t="str" cm="1">
        <f t="array" ref="P7490">IFERROR(IF($B7490=P$1, ($A7490+$C7490) - MAX(IF($B$2:$B7489=$B7490, $A$2:$A7489+$C$2:$C7489)), "")*24*60, "")</f>
        <v/>
      </c>
      <c r="Q7490" s="24" t="str" cm="1">
        <f t="array" ref="Q7490">IFERROR(IF($B7490=Q$1, ($A7490+$C7490) - MAX(IF($B$2:$B7489=$B7490, $A$2:$A7489+$C$2:$C7489)), "")*24*60, "")</f>
        <v/>
      </c>
      <c r="R7490" s="24" t="str" cm="1">
        <f t="array" ref="R7490">IFERROR(IF($B7490=R$1, ($A7490+$C7490) - MAX(IF($B$2:$B7489=$B7490, $A$2:$A7489+$C$2:$C7489)), "")*24*60, "")</f>
        <v/>
      </c>
      <c r="S7490" s="24" t="str" cm="1">
        <f t="array" ref="S7490">IFERROR(IF($B7490=S$1, ($A7490+$C7490) - MAX(IF($B$2:$B7489=$B7490, $A$2:$A7489+$C$2:$C7489)), "")*24*60, "")</f>
        <v/>
      </c>
    </row>
    <row r="7491" spans="1:19" x14ac:dyDescent="0.2">
      <c r="A7491" s="12">
        <f t="shared" ref="A7491:C7491" si="1675">A7490</f>
        <v>46015</v>
      </c>
      <c r="B7491" s="5" t="str">
        <f t="shared" si="1675"/>
        <v>Northern Cardinal</v>
      </c>
      <c r="C7491" s="6">
        <f t="shared" si="1675"/>
        <v>0.74097222222222225</v>
      </c>
      <c r="D7491" s="5"/>
      <c r="E7491" s="5"/>
      <c r="F7491" s="5" t="s">
        <v>9</v>
      </c>
      <c r="G7491" s="15" t="s">
        <v>8</v>
      </c>
      <c r="H7491" s="24">
        <f t="shared" si="1635"/>
        <v>0</v>
      </c>
      <c r="I7491" s="24" cm="1">
        <f t="array" ref="I7491">IFERROR(IF($B7491=I$1, ($A7491+$C7491) - MAX(IF($B$2:$B7490=$B7491, $A$2:$A7490+$C$2:$C7490)), "")*24*60, "")</f>
        <v>0</v>
      </c>
      <c r="J7491" s="24" t="str" cm="1">
        <f t="array" ref="J7491">IFERROR(IF($B7491=J$1, ($A7491+$C7491) - MAX(IF($B$2:$B7490=$B7491, $A$2:$A7490+$C$2:$C7490)), "")*24*60, "")</f>
        <v/>
      </c>
      <c r="K7491" s="24" t="str" cm="1">
        <f t="array" ref="K7491">IFERROR(IF($B7491=K$1, ($A7491+$C7491) - MAX(IF($B$2:$B7490=$B7491, $A$2:$A7490+$C$2:$C7490)), "")*24*60, "")</f>
        <v/>
      </c>
      <c r="L7491" s="24" t="str" cm="1">
        <f t="array" ref="L7491">IFERROR(IF($B7491=L$1, ($A7491+$C7491) - MAX(IF($B$2:$B7490=$B7491, $A$2:$A7490+$C$2:$C7490)), "")*24*60, "")</f>
        <v/>
      </c>
      <c r="M7491" s="24" t="str" cm="1">
        <f t="array" ref="M7491">IFERROR(IF($B7491=M$1, ($A7491+$C7491) - MAX(IF($B$2:$B7490=$B7491, $A$2:$A7490+$C$2:$C7490)), "")*24*60, "")</f>
        <v/>
      </c>
      <c r="N7491" s="24" t="str" cm="1">
        <f t="array" ref="N7491">IFERROR(IF($B7491=N$1, ($A7491+$C7491) - MAX(IF($B$2:$B7490=$B7491, $A$2:$A7490+$C$2:$C7490)), "")*24*60, "")</f>
        <v/>
      </c>
      <c r="O7491" s="24" t="str" cm="1">
        <f t="array" ref="O7491">IFERROR(IF($B7491=O$1, ($A7491+$C7491) - MAX(IF($B$2:$B7490=$B7491, $A$2:$A7490+$C$2:$C7490)), "")*24*60, "")</f>
        <v/>
      </c>
      <c r="P7491" s="24" t="str" cm="1">
        <f t="array" ref="P7491">IFERROR(IF($B7491=P$1, ($A7491+$C7491) - MAX(IF($B$2:$B7490=$B7491, $A$2:$A7490+$C$2:$C7490)), "")*24*60, "")</f>
        <v/>
      </c>
      <c r="Q7491" s="24" t="str" cm="1">
        <f t="array" ref="Q7491">IFERROR(IF($B7491=Q$1, ($A7491+$C7491) - MAX(IF($B$2:$B7490=$B7491, $A$2:$A7490+$C$2:$C7490)), "")*24*60, "")</f>
        <v/>
      </c>
      <c r="R7491" s="24" t="str" cm="1">
        <f t="array" ref="R7491">IFERROR(IF($B7491=R$1, ($A7491+$C7491) - MAX(IF($B$2:$B7490=$B7491, $A$2:$A7490+$C$2:$C7490)), "")*24*60, "")</f>
        <v/>
      </c>
      <c r="S7491" s="24" t="str" cm="1">
        <f t="array" ref="S7491">IFERROR(IF($B7491=S$1, ($A7491+$C7491) - MAX(IF($B$2:$B7490=$B7491, $A$2:$A7490+$C$2:$C7490)), "")*24*60, "")</f>
        <v/>
      </c>
    </row>
    <row r="7492" spans="1:19" x14ac:dyDescent="0.2">
      <c r="A7492" s="12">
        <f t="shared" ref="A7492:C7492" si="1676">A7491</f>
        <v>46015</v>
      </c>
      <c r="B7492" s="5" t="str">
        <f t="shared" si="1676"/>
        <v>Northern Cardinal</v>
      </c>
      <c r="C7492" s="6">
        <f t="shared" si="1676"/>
        <v>0.74097222222222225</v>
      </c>
      <c r="D7492" s="5"/>
      <c r="E7492" s="5"/>
      <c r="F7492" s="5" t="s">
        <v>9</v>
      </c>
      <c r="G7492" s="15" t="s">
        <v>8</v>
      </c>
      <c r="H7492" s="24">
        <f t="shared" si="1635"/>
        <v>0</v>
      </c>
      <c r="I7492" s="24" cm="1">
        <f t="array" ref="I7492">IFERROR(IF($B7492=I$1, ($A7492+$C7492) - MAX(IF($B$2:$B7491=$B7492, $A$2:$A7491+$C$2:$C7491)), "")*24*60, "")</f>
        <v>0</v>
      </c>
      <c r="J7492" s="24" t="str" cm="1">
        <f t="array" ref="J7492">IFERROR(IF($B7492=J$1, ($A7492+$C7492) - MAX(IF($B$2:$B7491=$B7492, $A$2:$A7491+$C$2:$C7491)), "")*24*60, "")</f>
        <v/>
      </c>
      <c r="K7492" s="24" t="str" cm="1">
        <f t="array" ref="K7492">IFERROR(IF($B7492=K$1, ($A7492+$C7492) - MAX(IF($B$2:$B7491=$B7492, $A$2:$A7491+$C$2:$C7491)), "")*24*60, "")</f>
        <v/>
      </c>
      <c r="L7492" s="24" t="str" cm="1">
        <f t="array" ref="L7492">IFERROR(IF($B7492=L$1, ($A7492+$C7492) - MAX(IF($B$2:$B7491=$B7492, $A$2:$A7491+$C$2:$C7491)), "")*24*60, "")</f>
        <v/>
      </c>
      <c r="M7492" s="24" t="str" cm="1">
        <f t="array" ref="M7492">IFERROR(IF($B7492=M$1, ($A7492+$C7492) - MAX(IF($B$2:$B7491=$B7492, $A$2:$A7491+$C$2:$C7491)), "")*24*60, "")</f>
        <v/>
      </c>
      <c r="N7492" s="24" t="str" cm="1">
        <f t="array" ref="N7492">IFERROR(IF($B7492=N$1, ($A7492+$C7492) - MAX(IF($B$2:$B7491=$B7492, $A$2:$A7491+$C$2:$C7491)), "")*24*60, "")</f>
        <v/>
      </c>
      <c r="O7492" s="24" t="str" cm="1">
        <f t="array" ref="O7492">IFERROR(IF($B7492=O$1, ($A7492+$C7492) - MAX(IF($B$2:$B7491=$B7492, $A$2:$A7491+$C$2:$C7491)), "")*24*60, "")</f>
        <v/>
      </c>
      <c r="P7492" s="24" t="str" cm="1">
        <f t="array" ref="P7492">IFERROR(IF($B7492=P$1, ($A7492+$C7492) - MAX(IF($B$2:$B7491=$B7492, $A$2:$A7491+$C$2:$C7491)), "")*24*60, "")</f>
        <v/>
      </c>
      <c r="Q7492" s="24" t="str" cm="1">
        <f t="array" ref="Q7492">IFERROR(IF($B7492=Q$1, ($A7492+$C7492) - MAX(IF($B$2:$B7491=$B7492, $A$2:$A7491+$C$2:$C7491)), "")*24*60, "")</f>
        <v/>
      </c>
      <c r="R7492" s="24" t="str" cm="1">
        <f t="array" ref="R7492">IFERROR(IF($B7492=R$1, ($A7492+$C7492) - MAX(IF($B$2:$B7491=$B7492, $A$2:$A7491+$C$2:$C7491)), "")*24*60, "")</f>
        <v/>
      </c>
      <c r="S7492" s="24" t="str" cm="1">
        <f t="array" ref="S7492">IFERROR(IF($B7492=S$1, ($A7492+$C7492) - MAX(IF($B$2:$B7491=$B7492, $A$2:$A7491+$C$2:$C7491)), "")*24*60, "")</f>
        <v/>
      </c>
    </row>
    <row r="7493" spans="1:19" x14ac:dyDescent="0.2">
      <c r="A7493" s="12">
        <f t="shared" ref="A7493:C7493" si="1677">A7492</f>
        <v>46015</v>
      </c>
      <c r="B7493" s="5" t="str">
        <f t="shared" si="1677"/>
        <v>Northern Cardinal</v>
      </c>
      <c r="C7493" s="6">
        <f t="shared" si="1677"/>
        <v>0.74097222222222225</v>
      </c>
      <c r="D7493" s="5"/>
      <c r="E7493" s="5"/>
      <c r="F7493" s="5" t="s">
        <v>9</v>
      </c>
      <c r="G7493" s="15" t="s">
        <v>8</v>
      </c>
      <c r="H7493" s="24">
        <f t="shared" si="1635"/>
        <v>0</v>
      </c>
      <c r="I7493" s="24" cm="1">
        <f t="array" ref="I7493">IFERROR(IF($B7493=I$1, ($A7493+$C7493) - MAX(IF($B$2:$B7492=$B7493, $A$2:$A7492+$C$2:$C7492)), "")*24*60, "")</f>
        <v>0</v>
      </c>
      <c r="J7493" s="24" t="str" cm="1">
        <f t="array" ref="J7493">IFERROR(IF($B7493=J$1, ($A7493+$C7493) - MAX(IF($B$2:$B7492=$B7493, $A$2:$A7492+$C$2:$C7492)), "")*24*60, "")</f>
        <v/>
      </c>
      <c r="K7493" s="24" t="str" cm="1">
        <f t="array" ref="K7493">IFERROR(IF($B7493=K$1, ($A7493+$C7493) - MAX(IF($B$2:$B7492=$B7493, $A$2:$A7492+$C$2:$C7492)), "")*24*60, "")</f>
        <v/>
      </c>
      <c r="L7493" s="24" t="str" cm="1">
        <f t="array" ref="L7493">IFERROR(IF($B7493=L$1, ($A7493+$C7493) - MAX(IF($B$2:$B7492=$B7493, $A$2:$A7492+$C$2:$C7492)), "")*24*60, "")</f>
        <v/>
      </c>
      <c r="M7493" s="24" t="str" cm="1">
        <f t="array" ref="M7493">IFERROR(IF($B7493=M$1, ($A7493+$C7493) - MAX(IF($B$2:$B7492=$B7493, $A$2:$A7492+$C$2:$C7492)), "")*24*60, "")</f>
        <v/>
      </c>
      <c r="N7493" s="24" t="str" cm="1">
        <f t="array" ref="N7493">IFERROR(IF($B7493=N$1, ($A7493+$C7493) - MAX(IF($B$2:$B7492=$B7493, $A$2:$A7492+$C$2:$C7492)), "")*24*60, "")</f>
        <v/>
      </c>
      <c r="O7493" s="24" t="str" cm="1">
        <f t="array" ref="O7493">IFERROR(IF($B7493=O$1, ($A7493+$C7493) - MAX(IF($B$2:$B7492=$B7493, $A$2:$A7492+$C$2:$C7492)), "")*24*60, "")</f>
        <v/>
      </c>
      <c r="P7493" s="24" t="str" cm="1">
        <f t="array" ref="P7493">IFERROR(IF($B7493=P$1, ($A7493+$C7493) - MAX(IF($B$2:$B7492=$B7493, $A$2:$A7492+$C$2:$C7492)), "")*24*60, "")</f>
        <v/>
      </c>
      <c r="Q7493" s="24" t="str" cm="1">
        <f t="array" ref="Q7493">IFERROR(IF($B7493=Q$1, ($A7493+$C7493) - MAX(IF($B$2:$B7492=$B7493, $A$2:$A7492+$C$2:$C7492)), "")*24*60, "")</f>
        <v/>
      </c>
      <c r="R7493" s="24" t="str" cm="1">
        <f t="array" ref="R7493">IFERROR(IF($B7493=R$1, ($A7493+$C7493) - MAX(IF($B$2:$B7492=$B7493, $A$2:$A7492+$C$2:$C7492)), "")*24*60, "")</f>
        <v/>
      </c>
      <c r="S7493" s="24" t="str" cm="1">
        <f t="array" ref="S7493">IFERROR(IF($B7493=S$1, ($A7493+$C7493) - MAX(IF($B$2:$B7492=$B7493, $A$2:$A7492+$C$2:$C7492)), "")*24*60, "")</f>
        <v/>
      </c>
    </row>
    <row r="7494" spans="1:19" x14ac:dyDescent="0.2">
      <c r="A7494" s="12">
        <f t="shared" ref="A7494:C7494" si="1678">A7493</f>
        <v>46015</v>
      </c>
      <c r="B7494" s="5" t="str">
        <f t="shared" si="1678"/>
        <v>Northern Cardinal</v>
      </c>
      <c r="C7494" s="6">
        <f t="shared" si="1678"/>
        <v>0.74097222222222225</v>
      </c>
      <c r="D7494" s="5"/>
      <c r="E7494" s="5"/>
      <c r="F7494" s="5" t="s">
        <v>9</v>
      </c>
      <c r="G7494" s="15" t="s">
        <v>8</v>
      </c>
      <c r="H7494" s="24">
        <f t="shared" si="1635"/>
        <v>0</v>
      </c>
      <c r="I7494" s="24" cm="1">
        <f t="array" ref="I7494">IFERROR(IF($B7494=I$1, ($A7494+$C7494) - MAX(IF($B$2:$B7493=$B7494, $A$2:$A7493+$C$2:$C7493)), "")*24*60, "")</f>
        <v>0</v>
      </c>
      <c r="J7494" s="24" t="str" cm="1">
        <f t="array" ref="J7494">IFERROR(IF($B7494=J$1, ($A7494+$C7494) - MAX(IF($B$2:$B7493=$B7494, $A$2:$A7493+$C$2:$C7493)), "")*24*60, "")</f>
        <v/>
      </c>
      <c r="K7494" s="24" t="str" cm="1">
        <f t="array" ref="K7494">IFERROR(IF($B7494=K$1, ($A7494+$C7494) - MAX(IF($B$2:$B7493=$B7494, $A$2:$A7493+$C$2:$C7493)), "")*24*60, "")</f>
        <v/>
      </c>
      <c r="L7494" s="24" t="str" cm="1">
        <f t="array" ref="L7494">IFERROR(IF($B7494=L$1, ($A7494+$C7494) - MAX(IF($B$2:$B7493=$B7494, $A$2:$A7493+$C$2:$C7493)), "")*24*60, "")</f>
        <v/>
      </c>
      <c r="M7494" s="24" t="str" cm="1">
        <f t="array" ref="M7494">IFERROR(IF($B7494=M$1, ($A7494+$C7494) - MAX(IF($B$2:$B7493=$B7494, $A$2:$A7493+$C$2:$C7493)), "")*24*60, "")</f>
        <v/>
      </c>
      <c r="N7494" s="24" t="str" cm="1">
        <f t="array" ref="N7494">IFERROR(IF($B7494=N$1, ($A7494+$C7494) - MAX(IF($B$2:$B7493=$B7494, $A$2:$A7493+$C$2:$C7493)), "")*24*60, "")</f>
        <v/>
      </c>
      <c r="O7494" s="24" t="str" cm="1">
        <f t="array" ref="O7494">IFERROR(IF($B7494=O$1, ($A7494+$C7494) - MAX(IF($B$2:$B7493=$B7494, $A$2:$A7493+$C$2:$C7493)), "")*24*60, "")</f>
        <v/>
      </c>
      <c r="P7494" s="24" t="str" cm="1">
        <f t="array" ref="P7494">IFERROR(IF($B7494=P$1, ($A7494+$C7494) - MAX(IF($B$2:$B7493=$B7494, $A$2:$A7493+$C$2:$C7493)), "")*24*60, "")</f>
        <v/>
      </c>
      <c r="Q7494" s="24" t="str" cm="1">
        <f t="array" ref="Q7494">IFERROR(IF($B7494=Q$1, ($A7494+$C7494) - MAX(IF($B$2:$B7493=$B7494, $A$2:$A7493+$C$2:$C7493)), "")*24*60, "")</f>
        <v/>
      </c>
      <c r="R7494" s="24" t="str" cm="1">
        <f t="array" ref="R7494">IFERROR(IF($B7494=R$1, ($A7494+$C7494) - MAX(IF($B$2:$B7493=$B7494, $A$2:$A7493+$C$2:$C7493)), "")*24*60, "")</f>
        <v/>
      </c>
      <c r="S7494" s="24" t="str" cm="1">
        <f t="array" ref="S7494">IFERROR(IF($B7494=S$1, ($A7494+$C7494) - MAX(IF($B$2:$B7493=$B7494, $A$2:$A7493+$C$2:$C7493)), "")*24*60, "")</f>
        <v/>
      </c>
    </row>
    <row r="7495" spans="1:19" x14ac:dyDescent="0.2">
      <c r="A7495" s="12">
        <f t="shared" ref="A7495:C7495" si="1679">A7494</f>
        <v>46015</v>
      </c>
      <c r="B7495" s="5" t="str">
        <f t="shared" si="1679"/>
        <v>Northern Cardinal</v>
      </c>
      <c r="C7495" s="6">
        <f t="shared" si="1679"/>
        <v>0.74097222222222225</v>
      </c>
      <c r="D7495" s="5"/>
      <c r="E7495" s="5"/>
      <c r="F7495" s="5" t="s">
        <v>9</v>
      </c>
      <c r="G7495" s="15" t="s">
        <v>8</v>
      </c>
      <c r="H7495" s="24">
        <f t="shared" si="1635"/>
        <v>0</v>
      </c>
      <c r="I7495" s="24" cm="1">
        <f t="array" ref="I7495">IFERROR(IF($B7495=I$1, ($A7495+$C7495) - MAX(IF($B$2:$B7494=$B7495, $A$2:$A7494+$C$2:$C7494)), "")*24*60, "")</f>
        <v>0</v>
      </c>
      <c r="J7495" s="24" t="str" cm="1">
        <f t="array" ref="J7495">IFERROR(IF($B7495=J$1, ($A7495+$C7495) - MAX(IF($B$2:$B7494=$B7495, $A$2:$A7494+$C$2:$C7494)), "")*24*60, "")</f>
        <v/>
      </c>
      <c r="K7495" s="24" t="str" cm="1">
        <f t="array" ref="K7495">IFERROR(IF($B7495=K$1, ($A7495+$C7495) - MAX(IF($B$2:$B7494=$B7495, $A$2:$A7494+$C$2:$C7494)), "")*24*60, "")</f>
        <v/>
      </c>
      <c r="L7495" s="24" t="str" cm="1">
        <f t="array" ref="L7495">IFERROR(IF($B7495=L$1, ($A7495+$C7495) - MAX(IF($B$2:$B7494=$B7495, $A$2:$A7494+$C$2:$C7494)), "")*24*60, "")</f>
        <v/>
      </c>
      <c r="M7495" s="24" t="str" cm="1">
        <f t="array" ref="M7495">IFERROR(IF($B7495=M$1, ($A7495+$C7495) - MAX(IF($B$2:$B7494=$B7495, $A$2:$A7494+$C$2:$C7494)), "")*24*60, "")</f>
        <v/>
      </c>
      <c r="N7495" s="24" t="str" cm="1">
        <f t="array" ref="N7495">IFERROR(IF($B7495=N$1, ($A7495+$C7495) - MAX(IF($B$2:$B7494=$B7495, $A$2:$A7494+$C$2:$C7494)), "")*24*60, "")</f>
        <v/>
      </c>
      <c r="O7495" s="24" t="str" cm="1">
        <f t="array" ref="O7495">IFERROR(IF($B7495=O$1, ($A7495+$C7495) - MAX(IF($B$2:$B7494=$B7495, $A$2:$A7494+$C$2:$C7494)), "")*24*60, "")</f>
        <v/>
      </c>
      <c r="P7495" s="24" t="str" cm="1">
        <f t="array" ref="P7495">IFERROR(IF($B7495=P$1, ($A7495+$C7495) - MAX(IF($B$2:$B7494=$B7495, $A$2:$A7494+$C$2:$C7494)), "")*24*60, "")</f>
        <v/>
      </c>
      <c r="Q7495" s="24" t="str" cm="1">
        <f t="array" ref="Q7495">IFERROR(IF($B7495=Q$1, ($A7495+$C7495) - MAX(IF($B$2:$B7494=$B7495, $A$2:$A7494+$C$2:$C7494)), "")*24*60, "")</f>
        <v/>
      </c>
      <c r="R7495" s="24" t="str" cm="1">
        <f t="array" ref="R7495">IFERROR(IF($B7495=R$1, ($A7495+$C7495) - MAX(IF($B$2:$B7494=$B7495, $A$2:$A7494+$C$2:$C7494)), "")*24*60, "")</f>
        <v/>
      </c>
      <c r="S7495" s="24" t="str" cm="1">
        <f t="array" ref="S7495">IFERROR(IF($B7495=S$1, ($A7495+$C7495) - MAX(IF($B$2:$B7494=$B7495, $A$2:$A7494+$C$2:$C7494)), "")*24*60, "")</f>
        <v/>
      </c>
    </row>
    <row r="7496" spans="1:19" x14ac:dyDescent="0.2">
      <c r="A7496" s="12">
        <f t="shared" ref="A7496:C7496" si="1680">A7495</f>
        <v>46015</v>
      </c>
      <c r="B7496" s="5" t="str">
        <f t="shared" si="1680"/>
        <v>Northern Cardinal</v>
      </c>
      <c r="C7496" s="6">
        <f t="shared" si="1680"/>
        <v>0.74097222222222225</v>
      </c>
      <c r="D7496" s="5"/>
      <c r="E7496" s="5"/>
      <c r="F7496" s="5" t="s">
        <v>9</v>
      </c>
      <c r="G7496" s="15" t="s">
        <v>8</v>
      </c>
      <c r="H7496" s="24">
        <f t="shared" si="1635"/>
        <v>0</v>
      </c>
      <c r="I7496" s="24" cm="1">
        <f t="array" ref="I7496">IFERROR(IF($B7496=I$1, ($A7496+$C7496) - MAX(IF($B$2:$B7495=$B7496, $A$2:$A7495+$C$2:$C7495)), "")*24*60, "")</f>
        <v>0</v>
      </c>
      <c r="J7496" s="24" t="str" cm="1">
        <f t="array" ref="J7496">IFERROR(IF($B7496=J$1, ($A7496+$C7496) - MAX(IF($B$2:$B7495=$B7496, $A$2:$A7495+$C$2:$C7495)), "")*24*60, "")</f>
        <v/>
      </c>
      <c r="K7496" s="24" t="str" cm="1">
        <f t="array" ref="K7496">IFERROR(IF($B7496=K$1, ($A7496+$C7496) - MAX(IF($B$2:$B7495=$B7496, $A$2:$A7495+$C$2:$C7495)), "")*24*60, "")</f>
        <v/>
      </c>
      <c r="L7496" s="24" t="str" cm="1">
        <f t="array" ref="L7496">IFERROR(IF($B7496=L$1, ($A7496+$C7496) - MAX(IF($B$2:$B7495=$B7496, $A$2:$A7495+$C$2:$C7495)), "")*24*60, "")</f>
        <v/>
      </c>
      <c r="M7496" s="24" t="str" cm="1">
        <f t="array" ref="M7496">IFERROR(IF($B7496=M$1, ($A7496+$C7496) - MAX(IF($B$2:$B7495=$B7496, $A$2:$A7495+$C$2:$C7495)), "")*24*60, "")</f>
        <v/>
      </c>
      <c r="N7496" s="24" t="str" cm="1">
        <f t="array" ref="N7496">IFERROR(IF($B7496=N$1, ($A7496+$C7496) - MAX(IF($B$2:$B7495=$B7496, $A$2:$A7495+$C$2:$C7495)), "")*24*60, "")</f>
        <v/>
      </c>
      <c r="O7496" s="24" t="str" cm="1">
        <f t="array" ref="O7496">IFERROR(IF($B7496=O$1, ($A7496+$C7496) - MAX(IF($B$2:$B7495=$B7496, $A$2:$A7495+$C$2:$C7495)), "")*24*60, "")</f>
        <v/>
      </c>
      <c r="P7496" s="24" t="str" cm="1">
        <f t="array" ref="P7496">IFERROR(IF($B7496=P$1, ($A7496+$C7496) - MAX(IF($B$2:$B7495=$B7496, $A$2:$A7495+$C$2:$C7495)), "")*24*60, "")</f>
        <v/>
      </c>
      <c r="Q7496" s="24" t="str" cm="1">
        <f t="array" ref="Q7496">IFERROR(IF($B7496=Q$1, ($A7496+$C7496) - MAX(IF($B$2:$B7495=$B7496, $A$2:$A7495+$C$2:$C7495)), "")*24*60, "")</f>
        <v/>
      </c>
      <c r="R7496" s="24" t="str" cm="1">
        <f t="array" ref="R7496">IFERROR(IF($B7496=R$1, ($A7496+$C7496) - MAX(IF($B$2:$B7495=$B7496, $A$2:$A7495+$C$2:$C7495)), "")*24*60, "")</f>
        <v/>
      </c>
      <c r="S7496" s="24" t="str" cm="1">
        <f t="array" ref="S7496">IFERROR(IF($B7496=S$1, ($A7496+$C7496) - MAX(IF($B$2:$B7495=$B7496, $A$2:$A7495+$C$2:$C7495)), "")*24*60, "")</f>
        <v/>
      </c>
    </row>
    <row r="7497" spans="1:19" x14ac:dyDescent="0.2">
      <c r="A7497" s="12">
        <f t="shared" ref="A7497:C7497" si="1681">A7496</f>
        <v>46015</v>
      </c>
      <c r="B7497" s="5" t="str">
        <f t="shared" si="1681"/>
        <v>Northern Cardinal</v>
      </c>
      <c r="C7497" s="6">
        <f t="shared" si="1681"/>
        <v>0.74097222222222225</v>
      </c>
      <c r="D7497" s="5"/>
      <c r="E7497" s="5"/>
      <c r="F7497" s="5" t="s">
        <v>9</v>
      </c>
      <c r="G7497" s="15" t="s">
        <v>8</v>
      </c>
      <c r="H7497" s="24">
        <f t="shared" si="1635"/>
        <v>0</v>
      </c>
      <c r="I7497" s="24" cm="1">
        <f t="array" ref="I7497">IFERROR(IF($B7497=I$1, ($A7497+$C7497) - MAX(IF($B$2:$B7496=$B7497, $A$2:$A7496+$C$2:$C7496)), "")*24*60, "")</f>
        <v>0</v>
      </c>
      <c r="J7497" s="24" t="str" cm="1">
        <f t="array" ref="J7497">IFERROR(IF($B7497=J$1, ($A7497+$C7497) - MAX(IF($B$2:$B7496=$B7497, $A$2:$A7496+$C$2:$C7496)), "")*24*60, "")</f>
        <v/>
      </c>
      <c r="K7497" s="24" t="str" cm="1">
        <f t="array" ref="K7497">IFERROR(IF($B7497=K$1, ($A7497+$C7497) - MAX(IF($B$2:$B7496=$B7497, $A$2:$A7496+$C$2:$C7496)), "")*24*60, "")</f>
        <v/>
      </c>
      <c r="L7497" s="24" t="str" cm="1">
        <f t="array" ref="L7497">IFERROR(IF($B7497=L$1, ($A7497+$C7497) - MAX(IF($B$2:$B7496=$B7497, $A$2:$A7496+$C$2:$C7496)), "")*24*60, "")</f>
        <v/>
      </c>
      <c r="M7497" s="24" t="str" cm="1">
        <f t="array" ref="M7497">IFERROR(IF($B7497=M$1, ($A7497+$C7497) - MAX(IF($B$2:$B7496=$B7497, $A$2:$A7496+$C$2:$C7496)), "")*24*60, "")</f>
        <v/>
      </c>
      <c r="N7497" s="24" t="str" cm="1">
        <f t="array" ref="N7497">IFERROR(IF($B7497=N$1, ($A7497+$C7497) - MAX(IF($B$2:$B7496=$B7497, $A$2:$A7496+$C$2:$C7496)), "")*24*60, "")</f>
        <v/>
      </c>
      <c r="O7497" s="24" t="str" cm="1">
        <f t="array" ref="O7497">IFERROR(IF($B7497=O$1, ($A7497+$C7497) - MAX(IF($B$2:$B7496=$B7497, $A$2:$A7496+$C$2:$C7496)), "")*24*60, "")</f>
        <v/>
      </c>
      <c r="P7497" s="24" t="str" cm="1">
        <f t="array" ref="P7497">IFERROR(IF($B7497=P$1, ($A7497+$C7497) - MAX(IF($B$2:$B7496=$B7497, $A$2:$A7496+$C$2:$C7496)), "")*24*60, "")</f>
        <v/>
      </c>
      <c r="Q7497" s="24" t="str" cm="1">
        <f t="array" ref="Q7497">IFERROR(IF($B7497=Q$1, ($A7497+$C7497) - MAX(IF($B$2:$B7496=$B7497, $A$2:$A7496+$C$2:$C7496)), "")*24*60, "")</f>
        <v/>
      </c>
      <c r="R7497" s="24" t="str" cm="1">
        <f t="array" ref="R7497">IFERROR(IF($B7497=R$1, ($A7497+$C7497) - MAX(IF($B$2:$B7496=$B7497, $A$2:$A7496+$C$2:$C7496)), "")*24*60, "")</f>
        <v/>
      </c>
      <c r="S7497" s="24" t="str" cm="1">
        <f t="array" ref="S7497">IFERROR(IF($B7497=S$1, ($A7497+$C7497) - MAX(IF($B$2:$B7496=$B7497, $A$2:$A7496+$C$2:$C7496)), "")*24*60, "")</f>
        <v/>
      </c>
    </row>
    <row r="7498" spans="1:19" x14ac:dyDescent="0.2">
      <c r="A7498" s="12">
        <f t="shared" ref="A7498:C7498" si="1682">A7497</f>
        <v>46015</v>
      </c>
      <c r="B7498" s="5" t="str">
        <f t="shared" si="1682"/>
        <v>Northern Cardinal</v>
      </c>
      <c r="C7498" s="6">
        <f t="shared" si="1682"/>
        <v>0.74097222222222225</v>
      </c>
      <c r="D7498" s="5"/>
      <c r="E7498" s="5"/>
      <c r="F7498" s="5" t="s">
        <v>9</v>
      </c>
      <c r="G7498" s="15" t="s">
        <v>8</v>
      </c>
      <c r="H7498" s="24">
        <f t="shared" si="1635"/>
        <v>0</v>
      </c>
      <c r="I7498" s="24" cm="1">
        <f t="array" ref="I7498">IFERROR(IF($B7498=I$1, ($A7498+$C7498) - MAX(IF($B$2:$B7497=$B7498, $A$2:$A7497+$C$2:$C7497)), "")*24*60, "")</f>
        <v>0</v>
      </c>
      <c r="J7498" s="24" t="str" cm="1">
        <f t="array" ref="J7498">IFERROR(IF($B7498=J$1, ($A7498+$C7498) - MAX(IF($B$2:$B7497=$B7498, $A$2:$A7497+$C$2:$C7497)), "")*24*60, "")</f>
        <v/>
      </c>
      <c r="K7498" s="24" t="str" cm="1">
        <f t="array" ref="K7498">IFERROR(IF($B7498=K$1, ($A7498+$C7498) - MAX(IF($B$2:$B7497=$B7498, $A$2:$A7497+$C$2:$C7497)), "")*24*60, "")</f>
        <v/>
      </c>
      <c r="L7498" s="24" t="str" cm="1">
        <f t="array" ref="L7498">IFERROR(IF($B7498=L$1, ($A7498+$C7498) - MAX(IF($B$2:$B7497=$B7498, $A$2:$A7497+$C$2:$C7497)), "")*24*60, "")</f>
        <v/>
      </c>
      <c r="M7498" s="24" t="str" cm="1">
        <f t="array" ref="M7498">IFERROR(IF($B7498=M$1, ($A7498+$C7498) - MAX(IF($B$2:$B7497=$B7498, $A$2:$A7497+$C$2:$C7497)), "")*24*60, "")</f>
        <v/>
      </c>
      <c r="N7498" s="24" t="str" cm="1">
        <f t="array" ref="N7498">IFERROR(IF($B7498=N$1, ($A7498+$C7498) - MAX(IF($B$2:$B7497=$B7498, $A$2:$A7497+$C$2:$C7497)), "")*24*60, "")</f>
        <v/>
      </c>
      <c r="O7498" s="24" t="str" cm="1">
        <f t="array" ref="O7498">IFERROR(IF($B7498=O$1, ($A7498+$C7498) - MAX(IF($B$2:$B7497=$B7498, $A$2:$A7497+$C$2:$C7497)), "")*24*60, "")</f>
        <v/>
      </c>
      <c r="P7498" s="24" t="str" cm="1">
        <f t="array" ref="P7498">IFERROR(IF($B7498=P$1, ($A7498+$C7498) - MAX(IF($B$2:$B7497=$B7498, $A$2:$A7497+$C$2:$C7497)), "")*24*60, "")</f>
        <v/>
      </c>
      <c r="Q7498" s="24" t="str" cm="1">
        <f t="array" ref="Q7498">IFERROR(IF($B7498=Q$1, ($A7498+$C7498) - MAX(IF($B$2:$B7497=$B7498, $A$2:$A7497+$C$2:$C7497)), "")*24*60, "")</f>
        <v/>
      </c>
      <c r="R7498" s="24" t="str" cm="1">
        <f t="array" ref="R7498">IFERROR(IF($B7498=R$1, ($A7498+$C7498) - MAX(IF($B$2:$B7497=$B7498, $A$2:$A7497+$C$2:$C7497)), "")*24*60, "")</f>
        <v/>
      </c>
      <c r="S7498" s="24" t="str" cm="1">
        <f t="array" ref="S7498">IFERROR(IF($B7498=S$1, ($A7498+$C7498) - MAX(IF($B$2:$B7497=$B7498, $A$2:$A7497+$C$2:$C7497)), "")*24*60, "")</f>
        <v/>
      </c>
    </row>
    <row r="7499" spans="1:19" x14ac:dyDescent="0.2">
      <c r="A7499" s="12">
        <f t="shared" ref="A7499:C7499" si="1683">A7498</f>
        <v>46015</v>
      </c>
      <c r="B7499" s="5" t="str">
        <f t="shared" si="1683"/>
        <v>Northern Cardinal</v>
      </c>
      <c r="C7499" s="6">
        <f t="shared" si="1683"/>
        <v>0.74097222222222225</v>
      </c>
      <c r="D7499" s="5"/>
      <c r="E7499" s="5"/>
      <c r="F7499" s="5" t="s">
        <v>9</v>
      </c>
      <c r="G7499" s="15" t="s">
        <v>8</v>
      </c>
      <c r="H7499" s="24">
        <f t="shared" si="1635"/>
        <v>0</v>
      </c>
      <c r="I7499" s="24" cm="1">
        <f t="array" ref="I7499">IFERROR(IF($B7499=I$1, ($A7499+$C7499) - MAX(IF($B$2:$B7498=$B7499, $A$2:$A7498+$C$2:$C7498)), "")*24*60, "")</f>
        <v>0</v>
      </c>
      <c r="J7499" s="24" t="str" cm="1">
        <f t="array" ref="J7499">IFERROR(IF($B7499=J$1, ($A7499+$C7499) - MAX(IF($B$2:$B7498=$B7499, $A$2:$A7498+$C$2:$C7498)), "")*24*60, "")</f>
        <v/>
      </c>
      <c r="K7499" s="24" t="str" cm="1">
        <f t="array" ref="K7499">IFERROR(IF($B7499=K$1, ($A7499+$C7499) - MAX(IF($B$2:$B7498=$B7499, $A$2:$A7498+$C$2:$C7498)), "")*24*60, "")</f>
        <v/>
      </c>
      <c r="L7499" s="24" t="str" cm="1">
        <f t="array" ref="L7499">IFERROR(IF($B7499=L$1, ($A7499+$C7499) - MAX(IF($B$2:$B7498=$B7499, $A$2:$A7498+$C$2:$C7498)), "")*24*60, "")</f>
        <v/>
      </c>
      <c r="M7499" s="24" t="str" cm="1">
        <f t="array" ref="M7499">IFERROR(IF($B7499=M$1, ($A7499+$C7499) - MAX(IF($B$2:$B7498=$B7499, $A$2:$A7498+$C$2:$C7498)), "")*24*60, "")</f>
        <v/>
      </c>
      <c r="N7499" s="24" t="str" cm="1">
        <f t="array" ref="N7499">IFERROR(IF($B7499=N$1, ($A7499+$C7499) - MAX(IF($B$2:$B7498=$B7499, $A$2:$A7498+$C$2:$C7498)), "")*24*60, "")</f>
        <v/>
      </c>
      <c r="O7499" s="24" t="str" cm="1">
        <f t="array" ref="O7499">IFERROR(IF($B7499=O$1, ($A7499+$C7499) - MAX(IF($B$2:$B7498=$B7499, $A$2:$A7498+$C$2:$C7498)), "")*24*60, "")</f>
        <v/>
      </c>
      <c r="P7499" s="24" t="str" cm="1">
        <f t="array" ref="P7499">IFERROR(IF($B7499=P$1, ($A7499+$C7499) - MAX(IF($B$2:$B7498=$B7499, $A$2:$A7498+$C$2:$C7498)), "")*24*60, "")</f>
        <v/>
      </c>
      <c r="Q7499" s="24" t="str" cm="1">
        <f t="array" ref="Q7499">IFERROR(IF($B7499=Q$1, ($A7499+$C7499) - MAX(IF($B$2:$B7498=$B7499, $A$2:$A7498+$C$2:$C7498)), "")*24*60, "")</f>
        <v/>
      </c>
      <c r="R7499" s="24" t="str" cm="1">
        <f t="array" ref="R7499">IFERROR(IF($B7499=R$1, ($A7499+$C7499) - MAX(IF($B$2:$B7498=$B7499, $A$2:$A7498+$C$2:$C7498)), "")*24*60, "")</f>
        <v/>
      </c>
      <c r="S7499" s="24" t="str" cm="1">
        <f t="array" ref="S7499">IFERROR(IF($B7499=S$1, ($A7499+$C7499) - MAX(IF($B$2:$B7498=$B7499, $A$2:$A7498+$C$2:$C7498)), "")*24*60, "")</f>
        <v/>
      </c>
    </row>
    <row r="7500" spans="1:19" x14ac:dyDescent="0.2">
      <c r="A7500" s="12">
        <f t="shared" ref="A7500:C7500" si="1684">A7499</f>
        <v>46015</v>
      </c>
      <c r="B7500" s="5" t="str">
        <f t="shared" si="1684"/>
        <v>Northern Cardinal</v>
      </c>
      <c r="C7500" s="6">
        <f t="shared" si="1684"/>
        <v>0.74097222222222225</v>
      </c>
      <c r="D7500" s="5"/>
      <c r="E7500" s="5"/>
      <c r="F7500" s="5" t="s">
        <v>9</v>
      </c>
      <c r="G7500" s="15" t="s">
        <v>8</v>
      </c>
      <c r="H7500" s="24">
        <f t="shared" si="1635"/>
        <v>0</v>
      </c>
      <c r="I7500" s="24" cm="1">
        <f t="array" ref="I7500">IFERROR(IF($B7500=I$1, ($A7500+$C7500) - MAX(IF($B$2:$B7499=$B7500, $A$2:$A7499+$C$2:$C7499)), "")*24*60, "")</f>
        <v>0</v>
      </c>
      <c r="J7500" s="24" t="str" cm="1">
        <f t="array" ref="J7500">IFERROR(IF($B7500=J$1, ($A7500+$C7500) - MAX(IF($B$2:$B7499=$B7500, $A$2:$A7499+$C$2:$C7499)), "")*24*60, "")</f>
        <v/>
      </c>
      <c r="K7500" s="24" t="str" cm="1">
        <f t="array" ref="K7500">IFERROR(IF($B7500=K$1, ($A7500+$C7500) - MAX(IF($B$2:$B7499=$B7500, $A$2:$A7499+$C$2:$C7499)), "")*24*60, "")</f>
        <v/>
      </c>
      <c r="L7500" s="24" t="str" cm="1">
        <f t="array" ref="L7500">IFERROR(IF($B7500=L$1, ($A7500+$C7500) - MAX(IF($B$2:$B7499=$B7500, $A$2:$A7499+$C$2:$C7499)), "")*24*60, "")</f>
        <v/>
      </c>
      <c r="M7500" s="24" t="str" cm="1">
        <f t="array" ref="M7500">IFERROR(IF($B7500=M$1, ($A7500+$C7500) - MAX(IF($B$2:$B7499=$B7500, $A$2:$A7499+$C$2:$C7499)), "")*24*60, "")</f>
        <v/>
      </c>
      <c r="N7500" s="24" t="str" cm="1">
        <f t="array" ref="N7500">IFERROR(IF($B7500=N$1, ($A7500+$C7500) - MAX(IF($B$2:$B7499=$B7500, $A$2:$A7499+$C$2:$C7499)), "")*24*60, "")</f>
        <v/>
      </c>
      <c r="O7500" s="24" t="str" cm="1">
        <f t="array" ref="O7500">IFERROR(IF($B7500=O$1, ($A7500+$C7500) - MAX(IF($B$2:$B7499=$B7500, $A$2:$A7499+$C$2:$C7499)), "")*24*60, "")</f>
        <v/>
      </c>
      <c r="P7500" s="24" t="str" cm="1">
        <f t="array" ref="P7500">IFERROR(IF($B7500=P$1, ($A7500+$C7500) - MAX(IF($B$2:$B7499=$B7500, $A$2:$A7499+$C$2:$C7499)), "")*24*60, "")</f>
        <v/>
      </c>
      <c r="Q7500" s="24" t="str" cm="1">
        <f t="array" ref="Q7500">IFERROR(IF($B7500=Q$1, ($A7500+$C7500) - MAX(IF($B$2:$B7499=$B7500, $A$2:$A7499+$C$2:$C7499)), "")*24*60, "")</f>
        <v/>
      </c>
      <c r="R7500" s="24" t="str" cm="1">
        <f t="array" ref="R7500">IFERROR(IF($B7500=R$1, ($A7500+$C7500) - MAX(IF($B$2:$B7499=$B7500, $A$2:$A7499+$C$2:$C7499)), "")*24*60, "")</f>
        <v/>
      </c>
      <c r="S7500" s="24" t="str" cm="1">
        <f t="array" ref="S7500">IFERROR(IF($B7500=S$1, ($A7500+$C7500) - MAX(IF($B$2:$B7499=$B7500, $A$2:$A7499+$C$2:$C7499)), "")*24*60, "")</f>
        <v/>
      </c>
    </row>
    <row r="7501" spans="1:19" x14ac:dyDescent="0.2">
      <c r="A7501" s="12">
        <f t="shared" ref="A7501:C7501" si="1685">A7500</f>
        <v>46015</v>
      </c>
      <c r="B7501" s="5" t="str">
        <f t="shared" si="1685"/>
        <v>Northern Cardinal</v>
      </c>
      <c r="C7501" s="6">
        <f t="shared" si="1685"/>
        <v>0.74097222222222225</v>
      </c>
      <c r="D7501" s="5"/>
      <c r="E7501" s="5"/>
      <c r="F7501" s="5" t="s">
        <v>9</v>
      </c>
      <c r="G7501" s="15" t="s">
        <v>8</v>
      </c>
      <c r="H7501" s="24">
        <f t="shared" si="1635"/>
        <v>0</v>
      </c>
      <c r="I7501" s="24" cm="1">
        <f t="array" ref="I7501">IFERROR(IF($B7501=I$1, ($A7501+$C7501) - MAX(IF($B$2:$B7500=$B7501, $A$2:$A7500+$C$2:$C7500)), "")*24*60, "")</f>
        <v>0</v>
      </c>
      <c r="J7501" s="24" t="str" cm="1">
        <f t="array" ref="J7501">IFERROR(IF($B7501=J$1, ($A7501+$C7501) - MAX(IF($B$2:$B7500=$B7501, $A$2:$A7500+$C$2:$C7500)), "")*24*60, "")</f>
        <v/>
      </c>
      <c r="K7501" s="24" t="str" cm="1">
        <f t="array" ref="K7501">IFERROR(IF($B7501=K$1, ($A7501+$C7501) - MAX(IF($B$2:$B7500=$B7501, $A$2:$A7500+$C$2:$C7500)), "")*24*60, "")</f>
        <v/>
      </c>
      <c r="L7501" s="24" t="str" cm="1">
        <f t="array" ref="L7501">IFERROR(IF($B7501=L$1, ($A7501+$C7501) - MAX(IF($B$2:$B7500=$B7501, $A$2:$A7500+$C$2:$C7500)), "")*24*60, "")</f>
        <v/>
      </c>
      <c r="M7501" s="24" t="str" cm="1">
        <f t="array" ref="M7501">IFERROR(IF($B7501=M$1, ($A7501+$C7501) - MAX(IF($B$2:$B7500=$B7501, $A$2:$A7500+$C$2:$C7500)), "")*24*60, "")</f>
        <v/>
      </c>
      <c r="N7501" s="24" t="str" cm="1">
        <f t="array" ref="N7501">IFERROR(IF($B7501=N$1, ($A7501+$C7501) - MAX(IF($B$2:$B7500=$B7501, $A$2:$A7500+$C$2:$C7500)), "")*24*60, "")</f>
        <v/>
      </c>
      <c r="O7501" s="24" t="str" cm="1">
        <f t="array" ref="O7501">IFERROR(IF($B7501=O$1, ($A7501+$C7501) - MAX(IF($B$2:$B7500=$B7501, $A$2:$A7500+$C$2:$C7500)), "")*24*60, "")</f>
        <v/>
      </c>
      <c r="P7501" s="24" t="str" cm="1">
        <f t="array" ref="P7501">IFERROR(IF($B7501=P$1, ($A7501+$C7501) - MAX(IF($B$2:$B7500=$B7501, $A$2:$A7500+$C$2:$C7500)), "")*24*60, "")</f>
        <v/>
      </c>
      <c r="Q7501" s="24" t="str" cm="1">
        <f t="array" ref="Q7501">IFERROR(IF($B7501=Q$1, ($A7501+$C7501) - MAX(IF($B$2:$B7500=$B7501, $A$2:$A7500+$C$2:$C7500)), "")*24*60, "")</f>
        <v/>
      </c>
      <c r="R7501" s="24" t="str" cm="1">
        <f t="array" ref="R7501">IFERROR(IF($B7501=R$1, ($A7501+$C7501) - MAX(IF($B$2:$B7500=$B7501, $A$2:$A7500+$C$2:$C7500)), "")*24*60, "")</f>
        <v/>
      </c>
      <c r="S7501" s="24" t="str" cm="1">
        <f t="array" ref="S7501">IFERROR(IF($B7501=S$1, ($A7501+$C7501) - MAX(IF($B$2:$B7500=$B7501, $A$2:$A7500+$C$2:$C7500)), "")*24*60, "")</f>
        <v/>
      </c>
    </row>
    <row r="7502" spans="1:19" x14ac:dyDescent="0.2">
      <c r="A7502" s="12">
        <f t="shared" ref="A7502:C7502" si="1686">A7501</f>
        <v>46015</v>
      </c>
      <c r="B7502" s="5" t="str">
        <f t="shared" si="1686"/>
        <v>Northern Cardinal</v>
      </c>
      <c r="C7502" s="6">
        <f t="shared" si="1686"/>
        <v>0.74097222222222225</v>
      </c>
      <c r="D7502" s="5"/>
      <c r="E7502" s="5"/>
      <c r="F7502" s="5" t="s">
        <v>9</v>
      </c>
      <c r="G7502" s="15" t="s">
        <v>8</v>
      </c>
      <c r="H7502" s="24">
        <f t="shared" si="1635"/>
        <v>0</v>
      </c>
      <c r="I7502" s="24" cm="1">
        <f t="array" ref="I7502">IFERROR(IF($B7502=I$1, ($A7502+$C7502) - MAX(IF($B$2:$B7501=$B7502, $A$2:$A7501+$C$2:$C7501)), "")*24*60, "")</f>
        <v>0</v>
      </c>
      <c r="J7502" s="24" t="str" cm="1">
        <f t="array" ref="J7502">IFERROR(IF($B7502=J$1, ($A7502+$C7502) - MAX(IF($B$2:$B7501=$B7502, $A$2:$A7501+$C$2:$C7501)), "")*24*60, "")</f>
        <v/>
      </c>
      <c r="K7502" s="24" t="str" cm="1">
        <f t="array" ref="K7502">IFERROR(IF($B7502=K$1, ($A7502+$C7502) - MAX(IF($B$2:$B7501=$B7502, $A$2:$A7501+$C$2:$C7501)), "")*24*60, "")</f>
        <v/>
      </c>
      <c r="L7502" s="24" t="str" cm="1">
        <f t="array" ref="L7502">IFERROR(IF($B7502=L$1, ($A7502+$C7502) - MAX(IF($B$2:$B7501=$B7502, $A$2:$A7501+$C$2:$C7501)), "")*24*60, "")</f>
        <v/>
      </c>
      <c r="M7502" s="24" t="str" cm="1">
        <f t="array" ref="M7502">IFERROR(IF($B7502=M$1, ($A7502+$C7502) - MAX(IF($B$2:$B7501=$B7502, $A$2:$A7501+$C$2:$C7501)), "")*24*60, "")</f>
        <v/>
      </c>
      <c r="N7502" s="24" t="str" cm="1">
        <f t="array" ref="N7502">IFERROR(IF($B7502=N$1, ($A7502+$C7502) - MAX(IF($B$2:$B7501=$B7502, $A$2:$A7501+$C$2:$C7501)), "")*24*60, "")</f>
        <v/>
      </c>
      <c r="O7502" s="24" t="str" cm="1">
        <f t="array" ref="O7502">IFERROR(IF($B7502=O$1, ($A7502+$C7502) - MAX(IF($B$2:$B7501=$B7502, $A$2:$A7501+$C$2:$C7501)), "")*24*60, "")</f>
        <v/>
      </c>
      <c r="P7502" s="24" t="str" cm="1">
        <f t="array" ref="P7502">IFERROR(IF($B7502=P$1, ($A7502+$C7502) - MAX(IF($B$2:$B7501=$B7502, $A$2:$A7501+$C$2:$C7501)), "")*24*60, "")</f>
        <v/>
      </c>
      <c r="Q7502" s="24" t="str" cm="1">
        <f t="array" ref="Q7502">IFERROR(IF($B7502=Q$1, ($A7502+$C7502) - MAX(IF($B$2:$B7501=$B7502, $A$2:$A7501+$C$2:$C7501)), "")*24*60, "")</f>
        <v/>
      </c>
      <c r="R7502" s="24" t="str" cm="1">
        <f t="array" ref="R7502">IFERROR(IF($B7502=R$1, ($A7502+$C7502) - MAX(IF($B$2:$B7501=$B7502, $A$2:$A7501+$C$2:$C7501)), "")*24*60, "")</f>
        <v/>
      </c>
      <c r="S7502" s="24" t="str" cm="1">
        <f t="array" ref="S7502">IFERROR(IF($B7502=S$1, ($A7502+$C7502) - MAX(IF($B$2:$B7501=$B7502, $A$2:$A7501+$C$2:$C7501)), "")*24*60, "")</f>
        <v/>
      </c>
    </row>
    <row r="7503" spans="1:19" x14ac:dyDescent="0.2">
      <c r="A7503" s="12">
        <f t="shared" ref="A7503:C7503" si="1687">A7502</f>
        <v>46015</v>
      </c>
      <c r="B7503" s="5" t="str">
        <f t="shared" si="1687"/>
        <v>Northern Cardinal</v>
      </c>
      <c r="C7503" s="6">
        <f t="shared" si="1687"/>
        <v>0.74097222222222225</v>
      </c>
      <c r="D7503" s="5"/>
      <c r="E7503" s="5"/>
      <c r="F7503" s="5" t="s">
        <v>9</v>
      </c>
      <c r="G7503" s="15" t="s">
        <v>8</v>
      </c>
      <c r="H7503" s="24">
        <f t="shared" si="1635"/>
        <v>0</v>
      </c>
      <c r="I7503" s="24" cm="1">
        <f t="array" ref="I7503">IFERROR(IF($B7503=I$1, ($A7503+$C7503) - MAX(IF($B$2:$B7502=$B7503, $A$2:$A7502+$C$2:$C7502)), "")*24*60, "")</f>
        <v>0</v>
      </c>
      <c r="J7503" s="24" t="str" cm="1">
        <f t="array" ref="J7503">IFERROR(IF($B7503=J$1, ($A7503+$C7503) - MAX(IF($B$2:$B7502=$B7503, $A$2:$A7502+$C$2:$C7502)), "")*24*60, "")</f>
        <v/>
      </c>
      <c r="K7503" s="24" t="str" cm="1">
        <f t="array" ref="K7503">IFERROR(IF($B7503=K$1, ($A7503+$C7503) - MAX(IF($B$2:$B7502=$B7503, $A$2:$A7502+$C$2:$C7502)), "")*24*60, "")</f>
        <v/>
      </c>
      <c r="L7503" s="24" t="str" cm="1">
        <f t="array" ref="L7503">IFERROR(IF($B7503=L$1, ($A7503+$C7503) - MAX(IF($B$2:$B7502=$B7503, $A$2:$A7502+$C$2:$C7502)), "")*24*60, "")</f>
        <v/>
      </c>
      <c r="M7503" s="24" t="str" cm="1">
        <f t="array" ref="M7503">IFERROR(IF($B7503=M$1, ($A7503+$C7503) - MAX(IF($B$2:$B7502=$B7503, $A$2:$A7502+$C$2:$C7502)), "")*24*60, "")</f>
        <v/>
      </c>
      <c r="N7503" s="24" t="str" cm="1">
        <f t="array" ref="N7503">IFERROR(IF($B7503=N$1, ($A7503+$C7503) - MAX(IF($B$2:$B7502=$B7503, $A$2:$A7502+$C$2:$C7502)), "")*24*60, "")</f>
        <v/>
      </c>
      <c r="O7503" s="24" t="str" cm="1">
        <f t="array" ref="O7503">IFERROR(IF($B7503=O$1, ($A7503+$C7503) - MAX(IF($B$2:$B7502=$B7503, $A$2:$A7502+$C$2:$C7502)), "")*24*60, "")</f>
        <v/>
      </c>
      <c r="P7503" s="24" t="str" cm="1">
        <f t="array" ref="P7503">IFERROR(IF($B7503=P$1, ($A7503+$C7503) - MAX(IF($B$2:$B7502=$B7503, $A$2:$A7502+$C$2:$C7502)), "")*24*60, "")</f>
        <v/>
      </c>
      <c r="Q7503" s="24" t="str" cm="1">
        <f t="array" ref="Q7503">IFERROR(IF($B7503=Q$1, ($A7503+$C7503) - MAX(IF($B$2:$B7502=$B7503, $A$2:$A7502+$C$2:$C7502)), "")*24*60, "")</f>
        <v/>
      </c>
      <c r="R7503" s="24" t="str" cm="1">
        <f t="array" ref="R7503">IFERROR(IF($B7503=R$1, ($A7503+$C7503) - MAX(IF($B$2:$B7502=$B7503, $A$2:$A7502+$C$2:$C7502)), "")*24*60, "")</f>
        <v/>
      </c>
      <c r="S7503" s="24" t="str" cm="1">
        <f t="array" ref="S7503">IFERROR(IF($B7503=S$1, ($A7503+$C7503) - MAX(IF($B$2:$B7502=$B7503, $A$2:$A7502+$C$2:$C7502)), "")*24*60, "")</f>
        <v/>
      </c>
    </row>
    <row r="7504" spans="1:19" x14ac:dyDescent="0.2">
      <c r="A7504" s="12">
        <f t="shared" ref="A7504:C7504" si="1688">A7503</f>
        <v>46015</v>
      </c>
      <c r="B7504" s="5" t="str">
        <f t="shared" si="1688"/>
        <v>Northern Cardinal</v>
      </c>
      <c r="C7504" s="6">
        <f t="shared" si="1688"/>
        <v>0.74097222222222225</v>
      </c>
      <c r="D7504" s="5"/>
      <c r="E7504" s="5"/>
      <c r="F7504" s="5" t="s">
        <v>9</v>
      </c>
      <c r="G7504" s="15" t="s">
        <v>8</v>
      </c>
      <c r="H7504" s="24">
        <f t="shared" si="1635"/>
        <v>0</v>
      </c>
      <c r="I7504" s="24" cm="1">
        <f t="array" ref="I7504">IFERROR(IF($B7504=I$1, ($A7504+$C7504) - MAX(IF($B$2:$B7503=$B7504, $A$2:$A7503+$C$2:$C7503)), "")*24*60, "")</f>
        <v>0</v>
      </c>
      <c r="J7504" s="24" t="str" cm="1">
        <f t="array" ref="J7504">IFERROR(IF($B7504=J$1, ($A7504+$C7504) - MAX(IF($B$2:$B7503=$B7504, $A$2:$A7503+$C$2:$C7503)), "")*24*60, "")</f>
        <v/>
      </c>
      <c r="K7504" s="24" t="str" cm="1">
        <f t="array" ref="K7504">IFERROR(IF($B7504=K$1, ($A7504+$C7504) - MAX(IF($B$2:$B7503=$B7504, $A$2:$A7503+$C$2:$C7503)), "")*24*60, "")</f>
        <v/>
      </c>
      <c r="L7504" s="24" t="str" cm="1">
        <f t="array" ref="L7504">IFERROR(IF($B7504=L$1, ($A7504+$C7504) - MAX(IF($B$2:$B7503=$B7504, $A$2:$A7503+$C$2:$C7503)), "")*24*60, "")</f>
        <v/>
      </c>
      <c r="M7504" s="24" t="str" cm="1">
        <f t="array" ref="M7504">IFERROR(IF($B7504=M$1, ($A7504+$C7504) - MAX(IF($B$2:$B7503=$B7504, $A$2:$A7503+$C$2:$C7503)), "")*24*60, "")</f>
        <v/>
      </c>
      <c r="N7504" s="24" t="str" cm="1">
        <f t="array" ref="N7504">IFERROR(IF($B7504=N$1, ($A7504+$C7504) - MAX(IF($B$2:$B7503=$B7504, $A$2:$A7503+$C$2:$C7503)), "")*24*60, "")</f>
        <v/>
      </c>
      <c r="O7504" s="24" t="str" cm="1">
        <f t="array" ref="O7504">IFERROR(IF($B7504=O$1, ($A7504+$C7504) - MAX(IF($B$2:$B7503=$B7504, $A$2:$A7503+$C$2:$C7503)), "")*24*60, "")</f>
        <v/>
      </c>
      <c r="P7504" s="24" t="str" cm="1">
        <f t="array" ref="P7504">IFERROR(IF($B7504=P$1, ($A7504+$C7504) - MAX(IF($B$2:$B7503=$B7504, $A$2:$A7503+$C$2:$C7503)), "")*24*60, "")</f>
        <v/>
      </c>
      <c r="Q7504" s="24" t="str" cm="1">
        <f t="array" ref="Q7504">IFERROR(IF($B7504=Q$1, ($A7504+$C7504) - MAX(IF($B$2:$B7503=$B7504, $A$2:$A7503+$C$2:$C7503)), "")*24*60, "")</f>
        <v/>
      </c>
      <c r="R7504" s="24" t="str" cm="1">
        <f t="array" ref="R7504">IFERROR(IF($B7504=R$1, ($A7504+$C7504) - MAX(IF($B$2:$B7503=$B7504, $A$2:$A7503+$C$2:$C7503)), "")*24*60, "")</f>
        <v/>
      </c>
      <c r="S7504" s="24" t="str" cm="1">
        <f t="array" ref="S7504">IFERROR(IF($B7504=S$1, ($A7504+$C7504) - MAX(IF($B$2:$B7503=$B7504, $A$2:$A7503+$C$2:$C7503)), "")*24*60, "")</f>
        <v/>
      </c>
    </row>
    <row r="7505" spans="1:19" x14ac:dyDescent="0.2">
      <c r="A7505" s="12">
        <f t="shared" ref="A7505:C7505" si="1689">A7504</f>
        <v>46015</v>
      </c>
      <c r="B7505" s="5" t="str">
        <f t="shared" si="1689"/>
        <v>Northern Cardinal</v>
      </c>
      <c r="C7505" s="6">
        <f t="shared" si="1689"/>
        <v>0.74097222222222225</v>
      </c>
      <c r="D7505" s="5"/>
      <c r="E7505" s="5"/>
      <c r="F7505" s="5" t="s">
        <v>9</v>
      </c>
      <c r="G7505" s="15" t="s">
        <v>8</v>
      </c>
      <c r="H7505" s="24">
        <f t="shared" si="1635"/>
        <v>0</v>
      </c>
      <c r="I7505" s="24" cm="1">
        <f t="array" ref="I7505">IFERROR(IF($B7505=I$1, ($A7505+$C7505) - MAX(IF($B$2:$B7504=$B7505, $A$2:$A7504+$C$2:$C7504)), "")*24*60, "")</f>
        <v>0</v>
      </c>
      <c r="J7505" s="24" t="str" cm="1">
        <f t="array" ref="J7505">IFERROR(IF($B7505=J$1, ($A7505+$C7505) - MAX(IF($B$2:$B7504=$B7505, $A$2:$A7504+$C$2:$C7504)), "")*24*60, "")</f>
        <v/>
      </c>
      <c r="K7505" s="24" t="str" cm="1">
        <f t="array" ref="K7505">IFERROR(IF($B7505=K$1, ($A7505+$C7505) - MAX(IF($B$2:$B7504=$B7505, $A$2:$A7504+$C$2:$C7504)), "")*24*60, "")</f>
        <v/>
      </c>
      <c r="L7505" s="24" t="str" cm="1">
        <f t="array" ref="L7505">IFERROR(IF($B7505=L$1, ($A7505+$C7505) - MAX(IF($B$2:$B7504=$B7505, $A$2:$A7504+$C$2:$C7504)), "")*24*60, "")</f>
        <v/>
      </c>
      <c r="M7505" s="24" t="str" cm="1">
        <f t="array" ref="M7505">IFERROR(IF($B7505=M$1, ($A7505+$C7505) - MAX(IF($B$2:$B7504=$B7505, $A$2:$A7504+$C$2:$C7504)), "")*24*60, "")</f>
        <v/>
      </c>
      <c r="N7505" s="24" t="str" cm="1">
        <f t="array" ref="N7505">IFERROR(IF($B7505=N$1, ($A7505+$C7505) - MAX(IF($B$2:$B7504=$B7505, $A$2:$A7504+$C$2:$C7504)), "")*24*60, "")</f>
        <v/>
      </c>
      <c r="O7505" s="24" t="str" cm="1">
        <f t="array" ref="O7505">IFERROR(IF($B7505=O$1, ($A7505+$C7505) - MAX(IF($B$2:$B7504=$B7505, $A$2:$A7504+$C$2:$C7504)), "")*24*60, "")</f>
        <v/>
      </c>
      <c r="P7505" s="24" t="str" cm="1">
        <f t="array" ref="P7505">IFERROR(IF($B7505=P$1, ($A7505+$C7505) - MAX(IF($B$2:$B7504=$B7505, $A$2:$A7504+$C$2:$C7504)), "")*24*60, "")</f>
        <v/>
      </c>
      <c r="Q7505" s="24" t="str" cm="1">
        <f t="array" ref="Q7505">IFERROR(IF($B7505=Q$1, ($A7505+$C7505) - MAX(IF($B$2:$B7504=$B7505, $A$2:$A7504+$C$2:$C7504)), "")*24*60, "")</f>
        <v/>
      </c>
      <c r="R7505" s="24" t="str" cm="1">
        <f t="array" ref="R7505">IFERROR(IF($B7505=R$1, ($A7505+$C7505) - MAX(IF($B$2:$B7504=$B7505, $A$2:$A7504+$C$2:$C7504)), "")*24*60, "")</f>
        <v/>
      </c>
      <c r="S7505" s="24" t="str" cm="1">
        <f t="array" ref="S7505">IFERROR(IF($B7505=S$1, ($A7505+$C7505) - MAX(IF($B$2:$B7504=$B7505, $A$2:$A7504+$C$2:$C7504)), "")*24*60, "")</f>
        <v/>
      </c>
    </row>
    <row r="7506" spans="1:19" x14ac:dyDescent="0.2">
      <c r="A7506" s="12">
        <f t="shared" ref="A7506:C7506" si="1690">A7505</f>
        <v>46015</v>
      </c>
      <c r="B7506" s="5" t="str">
        <f t="shared" si="1690"/>
        <v>Northern Cardinal</v>
      </c>
      <c r="C7506" s="6">
        <f t="shared" si="1690"/>
        <v>0.74097222222222225</v>
      </c>
      <c r="D7506" s="5"/>
      <c r="E7506" s="5"/>
      <c r="F7506" s="5" t="s">
        <v>9</v>
      </c>
      <c r="G7506" s="15" t="s">
        <v>8</v>
      </c>
      <c r="H7506" s="24">
        <f t="shared" si="1635"/>
        <v>0</v>
      </c>
      <c r="I7506" s="24" cm="1">
        <f t="array" ref="I7506">IFERROR(IF($B7506=I$1, ($A7506+$C7506) - MAX(IF($B$2:$B7505=$B7506, $A$2:$A7505+$C$2:$C7505)), "")*24*60, "")</f>
        <v>0</v>
      </c>
      <c r="J7506" s="24" t="str" cm="1">
        <f t="array" ref="J7506">IFERROR(IF($B7506=J$1, ($A7506+$C7506) - MAX(IF($B$2:$B7505=$B7506, $A$2:$A7505+$C$2:$C7505)), "")*24*60, "")</f>
        <v/>
      </c>
      <c r="K7506" s="24" t="str" cm="1">
        <f t="array" ref="K7506">IFERROR(IF($B7506=K$1, ($A7506+$C7506) - MAX(IF($B$2:$B7505=$B7506, $A$2:$A7505+$C$2:$C7505)), "")*24*60, "")</f>
        <v/>
      </c>
      <c r="L7506" s="24" t="str" cm="1">
        <f t="array" ref="L7506">IFERROR(IF($B7506=L$1, ($A7506+$C7506) - MAX(IF($B$2:$B7505=$B7506, $A$2:$A7505+$C$2:$C7505)), "")*24*60, "")</f>
        <v/>
      </c>
      <c r="M7506" s="24" t="str" cm="1">
        <f t="array" ref="M7506">IFERROR(IF($B7506=M$1, ($A7506+$C7506) - MAX(IF($B$2:$B7505=$B7506, $A$2:$A7505+$C$2:$C7505)), "")*24*60, "")</f>
        <v/>
      </c>
      <c r="N7506" s="24" t="str" cm="1">
        <f t="array" ref="N7506">IFERROR(IF($B7506=N$1, ($A7506+$C7506) - MAX(IF($B$2:$B7505=$B7506, $A$2:$A7505+$C$2:$C7505)), "")*24*60, "")</f>
        <v/>
      </c>
      <c r="O7506" s="24" t="str" cm="1">
        <f t="array" ref="O7506">IFERROR(IF($B7506=O$1, ($A7506+$C7506) - MAX(IF($B$2:$B7505=$B7506, $A$2:$A7505+$C$2:$C7505)), "")*24*60, "")</f>
        <v/>
      </c>
      <c r="P7506" s="24" t="str" cm="1">
        <f t="array" ref="P7506">IFERROR(IF($B7506=P$1, ($A7506+$C7506) - MAX(IF($B$2:$B7505=$B7506, $A$2:$A7505+$C$2:$C7505)), "")*24*60, "")</f>
        <v/>
      </c>
      <c r="Q7506" s="24" t="str" cm="1">
        <f t="array" ref="Q7506">IFERROR(IF($B7506=Q$1, ($A7506+$C7506) - MAX(IF($B$2:$B7505=$B7506, $A$2:$A7505+$C$2:$C7505)), "")*24*60, "")</f>
        <v/>
      </c>
      <c r="R7506" s="24" t="str" cm="1">
        <f t="array" ref="R7506">IFERROR(IF($B7506=R$1, ($A7506+$C7506) - MAX(IF($B$2:$B7505=$B7506, $A$2:$A7505+$C$2:$C7505)), "")*24*60, "")</f>
        <v/>
      </c>
      <c r="S7506" s="24" t="str" cm="1">
        <f t="array" ref="S7506">IFERROR(IF($B7506=S$1, ($A7506+$C7506) - MAX(IF($B$2:$B7505=$B7506, $A$2:$A7505+$C$2:$C7505)), "")*24*60, "")</f>
        <v/>
      </c>
    </row>
    <row r="7507" spans="1:19" x14ac:dyDescent="0.2">
      <c r="A7507" s="12">
        <f t="shared" ref="A7507:C7507" si="1691">A7506</f>
        <v>46015</v>
      </c>
      <c r="B7507" s="5" t="str">
        <f t="shared" si="1691"/>
        <v>Northern Cardinal</v>
      </c>
      <c r="C7507" s="6">
        <f t="shared" si="1691"/>
        <v>0.74097222222222225</v>
      </c>
      <c r="D7507" s="5"/>
      <c r="E7507" s="5"/>
      <c r="F7507" s="5" t="s">
        <v>9</v>
      </c>
      <c r="G7507" s="15" t="s">
        <v>8</v>
      </c>
      <c r="H7507" s="24">
        <f t="shared" si="1635"/>
        <v>0</v>
      </c>
      <c r="I7507" s="24" cm="1">
        <f t="array" ref="I7507">IFERROR(IF($B7507=I$1, ($A7507+$C7507) - MAX(IF($B$2:$B7506=$B7507, $A$2:$A7506+$C$2:$C7506)), "")*24*60, "")</f>
        <v>0</v>
      </c>
      <c r="J7507" s="24" t="str" cm="1">
        <f t="array" ref="J7507">IFERROR(IF($B7507=J$1, ($A7507+$C7507) - MAX(IF($B$2:$B7506=$B7507, $A$2:$A7506+$C$2:$C7506)), "")*24*60, "")</f>
        <v/>
      </c>
      <c r="K7507" s="24" t="str" cm="1">
        <f t="array" ref="K7507">IFERROR(IF($B7507=K$1, ($A7507+$C7507) - MAX(IF($B$2:$B7506=$B7507, $A$2:$A7506+$C$2:$C7506)), "")*24*60, "")</f>
        <v/>
      </c>
      <c r="L7507" s="24" t="str" cm="1">
        <f t="array" ref="L7507">IFERROR(IF($B7507=L$1, ($A7507+$C7507) - MAX(IF($B$2:$B7506=$B7507, $A$2:$A7506+$C$2:$C7506)), "")*24*60, "")</f>
        <v/>
      </c>
      <c r="M7507" s="24" t="str" cm="1">
        <f t="array" ref="M7507">IFERROR(IF($B7507=M$1, ($A7507+$C7507) - MAX(IF($B$2:$B7506=$B7507, $A$2:$A7506+$C$2:$C7506)), "")*24*60, "")</f>
        <v/>
      </c>
      <c r="N7507" s="24" t="str" cm="1">
        <f t="array" ref="N7507">IFERROR(IF($B7507=N$1, ($A7507+$C7507) - MAX(IF($B$2:$B7506=$B7507, $A$2:$A7506+$C$2:$C7506)), "")*24*60, "")</f>
        <v/>
      </c>
      <c r="O7507" s="24" t="str" cm="1">
        <f t="array" ref="O7507">IFERROR(IF($B7507=O$1, ($A7507+$C7507) - MAX(IF($B$2:$B7506=$B7507, $A$2:$A7506+$C$2:$C7506)), "")*24*60, "")</f>
        <v/>
      </c>
      <c r="P7507" s="24" t="str" cm="1">
        <f t="array" ref="P7507">IFERROR(IF($B7507=P$1, ($A7507+$C7507) - MAX(IF($B$2:$B7506=$B7507, $A$2:$A7506+$C$2:$C7506)), "")*24*60, "")</f>
        <v/>
      </c>
      <c r="Q7507" s="24" t="str" cm="1">
        <f t="array" ref="Q7507">IFERROR(IF($B7507=Q$1, ($A7507+$C7507) - MAX(IF($B$2:$B7506=$B7507, $A$2:$A7506+$C$2:$C7506)), "")*24*60, "")</f>
        <v/>
      </c>
      <c r="R7507" s="24" t="str" cm="1">
        <f t="array" ref="R7507">IFERROR(IF($B7507=R$1, ($A7507+$C7507) - MAX(IF($B$2:$B7506=$B7507, $A$2:$A7506+$C$2:$C7506)), "")*24*60, "")</f>
        <v/>
      </c>
      <c r="S7507" s="24" t="str" cm="1">
        <f t="array" ref="S7507">IFERROR(IF($B7507=S$1, ($A7507+$C7507) - MAX(IF($B$2:$B7506=$B7507, $A$2:$A7506+$C$2:$C7506)), "")*24*60, "")</f>
        <v/>
      </c>
    </row>
    <row r="7508" spans="1:19" x14ac:dyDescent="0.2">
      <c r="A7508" s="12">
        <f t="shared" ref="A7508:C7508" si="1692">A7507</f>
        <v>46015</v>
      </c>
      <c r="B7508" s="5" t="str">
        <f t="shared" si="1692"/>
        <v>Northern Cardinal</v>
      </c>
      <c r="C7508" s="6">
        <f t="shared" si="1692"/>
        <v>0.74097222222222225</v>
      </c>
      <c r="D7508" s="5"/>
      <c r="E7508" s="5"/>
      <c r="F7508" s="5" t="s">
        <v>9</v>
      </c>
      <c r="G7508" s="15" t="s">
        <v>8</v>
      </c>
      <c r="H7508" s="24">
        <f t="shared" si="1635"/>
        <v>0</v>
      </c>
      <c r="I7508" s="24" cm="1">
        <f t="array" ref="I7508">IFERROR(IF($B7508=I$1, ($A7508+$C7508) - MAX(IF($B$2:$B7507=$B7508, $A$2:$A7507+$C$2:$C7507)), "")*24*60, "")</f>
        <v>0</v>
      </c>
      <c r="J7508" s="24" t="str" cm="1">
        <f t="array" ref="J7508">IFERROR(IF($B7508=J$1, ($A7508+$C7508) - MAX(IF($B$2:$B7507=$B7508, $A$2:$A7507+$C$2:$C7507)), "")*24*60, "")</f>
        <v/>
      </c>
      <c r="K7508" s="24" t="str" cm="1">
        <f t="array" ref="K7508">IFERROR(IF($B7508=K$1, ($A7508+$C7508) - MAX(IF($B$2:$B7507=$B7508, $A$2:$A7507+$C$2:$C7507)), "")*24*60, "")</f>
        <v/>
      </c>
      <c r="L7508" s="24" t="str" cm="1">
        <f t="array" ref="L7508">IFERROR(IF($B7508=L$1, ($A7508+$C7508) - MAX(IF($B$2:$B7507=$B7508, $A$2:$A7507+$C$2:$C7507)), "")*24*60, "")</f>
        <v/>
      </c>
      <c r="M7508" s="24" t="str" cm="1">
        <f t="array" ref="M7508">IFERROR(IF($B7508=M$1, ($A7508+$C7508) - MAX(IF($B$2:$B7507=$B7508, $A$2:$A7507+$C$2:$C7507)), "")*24*60, "")</f>
        <v/>
      </c>
      <c r="N7508" s="24" t="str" cm="1">
        <f t="array" ref="N7508">IFERROR(IF($B7508=N$1, ($A7508+$C7508) - MAX(IF($B$2:$B7507=$B7508, $A$2:$A7507+$C$2:$C7507)), "")*24*60, "")</f>
        <v/>
      </c>
      <c r="O7508" s="24" t="str" cm="1">
        <f t="array" ref="O7508">IFERROR(IF($B7508=O$1, ($A7508+$C7508) - MAX(IF($B$2:$B7507=$B7508, $A$2:$A7507+$C$2:$C7507)), "")*24*60, "")</f>
        <v/>
      </c>
      <c r="P7508" s="24" t="str" cm="1">
        <f t="array" ref="P7508">IFERROR(IF($B7508=P$1, ($A7508+$C7508) - MAX(IF($B$2:$B7507=$B7508, $A$2:$A7507+$C$2:$C7507)), "")*24*60, "")</f>
        <v/>
      </c>
      <c r="Q7508" s="24" t="str" cm="1">
        <f t="array" ref="Q7508">IFERROR(IF($B7508=Q$1, ($A7508+$C7508) - MAX(IF($B$2:$B7507=$B7508, $A$2:$A7507+$C$2:$C7507)), "")*24*60, "")</f>
        <v/>
      </c>
      <c r="R7508" s="24" t="str" cm="1">
        <f t="array" ref="R7508">IFERROR(IF($B7508=R$1, ($A7508+$C7508) - MAX(IF($B$2:$B7507=$B7508, $A$2:$A7507+$C$2:$C7507)), "")*24*60, "")</f>
        <v/>
      </c>
      <c r="S7508" s="24" t="str" cm="1">
        <f t="array" ref="S7508">IFERROR(IF($B7508=S$1, ($A7508+$C7508) - MAX(IF($B$2:$B7507=$B7508, $A$2:$A7507+$C$2:$C7507)), "")*24*60, "")</f>
        <v/>
      </c>
    </row>
    <row r="7509" spans="1:19" x14ac:dyDescent="0.2">
      <c r="A7509" s="12">
        <f t="shared" ref="A7509:C7509" si="1693">A7508</f>
        <v>46015</v>
      </c>
      <c r="B7509" s="5" t="str">
        <f t="shared" si="1693"/>
        <v>Northern Cardinal</v>
      </c>
      <c r="C7509" s="6">
        <f t="shared" si="1693"/>
        <v>0.74097222222222225</v>
      </c>
      <c r="D7509" s="5"/>
      <c r="E7509" s="5"/>
      <c r="F7509" s="5" t="s">
        <v>9</v>
      </c>
      <c r="G7509" s="15" t="s">
        <v>8</v>
      </c>
      <c r="H7509" s="24">
        <f t="shared" si="1635"/>
        <v>0</v>
      </c>
      <c r="I7509" s="24" cm="1">
        <f t="array" ref="I7509">IFERROR(IF($B7509=I$1, ($A7509+$C7509) - MAX(IF($B$2:$B7508=$B7509, $A$2:$A7508+$C$2:$C7508)), "")*24*60, "")</f>
        <v>0</v>
      </c>
      <c r="J7509" s="24" t="str" cm="1">
        <f t="array" ref="J7509">IFERROR(IF($B7509=J$1, ($A7509+$C7509) - MAX(IF($B$2:$B7508=$B7509, $A$2:$A7508+$C$2:$C7508)), "")*24*60, "")</f>
        <v/>
      </c>
      <c r="K7509" s="24" t="str" cm="1">
        <f t="array" ref="K7509">IFERROR(IF($B7509=K$1, ($A7509+$C7509) - MAX(IF($B$2:$B7508=$B7509, $A$2:$A7508+$C$2:$C7508)), "")*24*60, "")</f>
        <v/>
      </c>
      <c r="L7509" s="24" t="str" cm="1">
        <f t="array" ref="L7509">IFERROR(IF($B7509=L$1, ($A7509+$C7509) - MAX(IF($B$2:$B7508=$B7509, $A$2:$A7508+$C$2:$C7508)), "")*24*60, "")</f>
        <v/>
      </c>
      <c r="M7509" s="24" t="str" cm="1">
        <f t="array" ref="M7509">IFERROR(IF($B7509=M$1, ($A7509+$C7509) - MAX(IF($B$2:$B7508=$B7509, $A$2:$A7508+$C$2:$C7508)), "")*24*60, "")</f>
        <v/>
      </c>
      <c r="N7509" s="24" t="str" cm="1">
        <f t="array" ref="N7509">IFERROR(IF($B7509=N$1, ($A7509+$C7509) - MAX(IF($B$2:$B7508=$B7509, $A$2:$A7508+$C$2:$C7508)), "")*24*60, "")</f>
        <v/>
      </c>
      <c r="O7509" s="24" t="str" cm="1">
        <f t="array" ref="O7509">IFERROR(IF($B7509=O$1, ($A7509+$C7509) - MAX(IF($B$2:$B7508=$B7509, $A$2:$A7508+$C$2:$C7508)), "")*24*60, "")</f>
        <v/>
      </c>
      <c r="P7509" s="24" t="str" cm="1">
        <f t="array" ref="P7509">IFERROR(IF($B7509=P$1, ($A7509+$C7509) - MAX(IF($B$2:$B7508=$B7509, $A$2:$A7508+$C$2:$C7508)), "")*24*60, "")</f>
        <v/>
      </c>
      <c r="Q7509" s="24" t="str" cm="1">
        <f t="array" ref="Q7509">IFERROR(IF($B7509=Q$1, ($A7509+$C7509) - MAX(IF($B$2:$B7508=$B7509, $A$2:$A7508+$C$2:$C7508)), "")*24*60, "")</f>
        <v/>
      </c>
      <c r="R7509" s="24" t="str" cm="1">
        <f t="array" ref="R7509">IFERROR(IF($B7509=R$1, ($A7509+$C7509) - MAX(IF($B$2:$B7508=$B7509, $A$2:$A7508+$C$2:$C7508)), "")*24*60, "")</f>
        <v/>
      </c>
      <c r="S7509" s="24" t="str" cm="1">
        <f t="array" ref="S7509">IFERROR(IF($B7509=S$1, ($A7509+$C7509) - MAX(IF($B$2:$B7508=$B7509, $A$2:$A7508+$C$2:$C7508)), "")*24*60, "")</f>
        <v/>
      </c>
    </row>
    <row r="7510" spans="1:19" x14ac:dyDescent="0.2">
      <c r="A7510" s="12">
        <f t="shared" ref="A7510:C7510" si="1694">A7509</f>
        <v>46015</v>
      </c>
      <c r="B7510" s="5" t="str">
        <f t="shared" si="1694"/>
        <v>Northern Cardinal</v>
      </c>
      <c r="C7510" s="6">
        <f t="shared" si="1694"/>
        <v>0.74097222222222225</v>
      </c>
      <c r="D7510" s="5"/>
      <c r="E7510" s="5"/>
      <c r="F7510" s="5" t="s">
        <v>9</v>
      </c>
      <c r="G7510" s="15" t="s">
        <v>8</v>
      </c>
      <c r="H7510" s="24">
        <f t="shared" si="1635"/>
        <v>0</v>
      </c>
      <c r="I7510" s="24" cm="1">
        <f t="array" ref="I7510">IFERROR(IF($B7510=I$1, ($A7510+$C7510) - MAX(IF($B$2:$B7509=$B7510, $A$2:$A7509+$C$2:$C7509)), "")*24*60, "")</f>
        <v>0</v>
      </c>
      <c r="J7510" s="24" t="str" cm="1">
        <f t="array" ref="J7510">IFERROR(IF($B7510=J$1, ($A7510+$C7510) - MAX(IF($B$2:$B7509=$B7510, $A$2:$A7509+$C$2:$C7509)), "")*24*60, "")</f>
        <v/>
      </c>
      <c r="K7510" s="24" t="str" cm="1">
        <f t="array" ref="K7510">IFERROR(IF($B7510=K$1, ($A7510+$C7510) - MAX(IF($B$2:$B7509=$B7510, $A$2:$A7509+$C$2:$C7509)), "")*24*60, "")</f>
        <v/>
      </c>
      <c r="L7510" s="24" t="str" cm="1">
        <f t="array" ref="L7510">IFERROR(IF($B7510=L$1, ($A7510+$C7510) - MAX(IF($B$2:$B7509=$B7510, $A$2:$A7509+$C$2:$C7509)), "")*24*60, "")</f>
        <v/>
      </c>
      <c r="M7510" s="24" t="str" cm="1">
        <f t="array" ref="M7510">IFERROR(IF($B7510=M$1, ($A7510+$C7510) - MAX(IF($B$2:$B7509=$B7510, $A$2:$A7509+$C$2:$C7509)), "")*24*60, "")</f>
        <v/>
      </c>
      <c r="N7510" s="24" t="str" cm="1">
        <f t="array" ref="N7510">IFERROR(IF($B7510=N$1, ($A7510+$C7510) - MAX(IF($B$2:$B7509=$B7510, $A$2:$A7509+$C$2:$C7509)), "")*24*60, "")</f>
        <v/>
      </c>
      <c r="O7510" s="24" t="str" cm="1">
        <f t="array" ref="O7510">IFERROR(IF($B7510=O$1, ($A7510+$C7510) - MAX(IF($B$2:$B7509=$B7510, $A$2:$A7509+$C$2:$C7509)), "")*24*60, "")</f>
        <v/>
      </c>
      <c r="P7510" s="24" t="str" cm="1">
        <f t="array" ref="P7510">IFERROR(IF($B7510=P$1, ($A7510+$C7510) - MAX(IF($B$2:$B7509=$B7510, $A$2:$A7509+$C$2:$C7509)), "")*24*60, "")</f>
        <v/>
      </c>
      <c r="Q7510" s="24" t="str" cm="1">
        <f t="array" ref="Q7510">IFERROR(IF($B7510=Q$1, ($A7510+$C7510) - MAX(IF($B$2:$B7509=$B7510, $A$2:$A7509+$C$2:$C7509)), "")*24*60, "")</f>
        <v/>
      </c>
      <c r="R7510" s="24" t="str" cm="1">
        <f t="array" ref="R7510">IFERROR(IF($B7510=R$1, ($A7510+$C7510) - MAX(IF($B$2:$B7509=$B7510, $A$2:$A7509+$C$2:$C7509)), "")*24*60, "")</f>
        <v/>
      </c>
      <c r="S7510" s="24" t="str" cm="1">
        <f t="array" ref="S7510">IFERROR(IF($B7510=S$1, ($A7510+$C7510) - MAX(IF($B$2:$B7509=$B7510, $A$2:$A7509+$C$2:$C7509)), "")*24*60, "")</f>
        <v/>
      </c>
    </row>
    <row r="7511" spans="1:19" x14ac:dyDescent="0.2">
      <c r="A7511" s="12">
        <f t="shared" ref="A7511:C7511" si="1695">A7510</f>
        <v>46015</v>
      </c>
      <c r="B7511" s="5" t="str">
        <f t="shared" si="1695"/>
        <v>Northern Cardinal</v>
      </c>
      <c r="C7511" s="6">
        <f t="shared" si="1695"/>
        <v>0.74097222222222225</v>
      </c>
      <c r="D7511" s="5"/>
      <c r="E7511" s="5"/>
      <c r="F7511" s="5" t="s">
        <v>9</v>
      </c>
      <c r="G7511" s="15" t="s">
        <v>8</v>
      </c>
      <c r="H7511" s="24">
        <f t="shared" si="1635"/>
        <v>0</v>
      </c>
      <c r="I7511" s="24" cm="1">
        <f t="array" ref="I7511">IFERROR(IF($B7511=I$1, ($A7511+$C7511) - MAX(IF($B$2:$B7510=$B7511, $A$2:$A7510+$C$2:$C7510)), "")*24*60, "")</f>
        <v>0</v>
      </c>
      <c r="J7511" s="24" t="str" cm="1">
        <f t="array" ref="J7511">IFERROR(IF($B7511=J$1, ($A7511+$C7511) - MAX(IF($B$2:$B7510=$B7511, $A$2:$A7510+$C$2:$C7510)), "")*24*60, "")</f>
        <v/>
      </c>
      <c r="K7511" s="24" t="str" cm="1">
        <f t="array" ref="K7511">IFERROR(IF($B7511=K$1, ($A7511+$C7511) - MAX(IF($B$2:$B7510=$B7511, $A$2:$A7510+$C$2:$C7510)), "")*24*60, "")</f>
        <v/>
      </c>
      <c r="L7511" s="24" t="str" cm="1">
        <f t="array" ref="L7511">IFERROR(IF($B7511=L$1, ($A7511+$C7511) - MAX(IF($B$2:$B7510=$B7511, $A$2:$A7510+$C$2:$C7510)), "")*24*60, "")</f>
        <v/>
      </c>
      <c r="M7511" s="24" t="str" cm="1">
        <f t="array" ref="M7511">IFERROR(IF($B7511=M$1, ($A7511+$C7511) - MAX(IF($B$2:$B7510=$B7511, $A$2:$A7510+$C$2:$C7510)), "")*24*60, "")</f>
        <v/>
      </c>
      <c r="N7511" s="24" t="str" cm="1">
        <f t="array" ref="N7511">IFERROR(IF($B7511=N$1, ($A7511+$C7511) - MAX(IF($B$2:$B7510=$B7511, $A$2:$A7510+$C$2:$C7510)), "")*24*60, "")</f>
        <v/>
      </c>
      <c r="O7511" s="24" t="str" cm="1">
        <f t="array" ref="O7511">IFERROR(IF($B7511=O$1, ($A7511+$C7511) - MAX(IF($B$2:$B7510=$B7511, $A$2:$A7510+$C$2:$C7510)), "")*24*60, "")</f>
        <v/>
      </c>
      <c r="P7511" s="24" t="str" cm="1">
        <f t="array" ref="P7511">IFERROR(IF($B7511=P$1, ($A7511+$C7511) - MAX(IF($B$2:$B7510=$B7511, $A$2:$A7510+$C$2:$C7510)), "")*24*60, "")</f>
        <v/>
      </c>
      <c r="Q7511" s="24" t="str" cm="1">
        <f t="array" ref="Q7511">IFERROR(IF($B7511=Q$1, ($A7511+$C7511) - MAX(IF($B$2:$B7510=$B7511, $A$2:$A7510+$C$2:$C7510)), "")*24*60, "")</f>
        <v/>
      </c>
      <c r="R7511" s="24" t="str" cm="1">
        <f t="array" ref="R7511">IFERROR(IF($B7511=R$1, ($A7511+$C7511) - MAX(IF($B$2:$B7510=$B7511, $A$2:$A7510+$C$2:$C7510)), "")*24*60, "")</f>
        <v/>
      </c>
      <c r="S7511" s="24" t="str" cm="1">
        <f t="array" ref="S7511">IFERROR(IF($B7511=S$1, ($A7511+$C7511) - MAX(IF($B$2:$B7510=$B7511, $A$2:$A7510+$C$2:$C7510)), "")*24*60, "")</f>
        <v/>
      </c>
    </row>
    <row r="7512" spans="1:19" x14ac:dyDescent="0.2">
      <c r="A7512" s="12">
        <f t="shared" ref="A7512:C7512" si="1696">A7511</f>
        <v>46015</v>
      </c>
      <c r="B7512" s="5" t="str">
        <f t="shared" si="1696"/>
        <v>Northern Cardinal</v>
      </c>
      <c r="C7512" s="6">
        <f t="shared" si="1696"/>
        <v>0.74097222222222225</v>
      </c>
      <c r="D7512" s="5"/>
      <c r="E7512" s="5"/>
      <c r="F7512" s="5" t="s">
        <v>9</v>
      </c>
      <c r="G7512" s="15" t="s">
        <v>8</v>
      </c>
      <c r="H7512" s="24">
        <f t="shared" si="1635"/>
        <v>0</v>
      </c>
      <c r="I7512" s="24" cm="1">
        <f t="array" ref="I7512">IFERROR(IF($B7512=I$1, ($A7512+$C7512) - MAX(IF($B$2:$B7511=$B7512, $A$2:$A7511+$C$2:$C7511)), "")*24*60, "")</f>
        <v>0</v>
      </c>
      <c r="J7512" s="24" t="str" cm="1">
        <f t="array" ref="J7512">IFERROR(IF($B7512=J$1, ($A7512+$C7512) - MAX(IF($B$2:$B7511=$B7512, $A$2:$A7511+$C$2:$C7511)), "")*24*60, "")</f>
        <v/>
      </c>
      <c r="K7512" s="24" t="str" cm="1">
        <f t="array" ref="K7512">IFERROR(IF($B7512=K$1, ($A7512+$C7512) - MAX(IF($B$2:$B7511=$B7512, $A$2:$A7511+$C$2:$C7511)), "")*24*60, "")</f>
        <v/>
      </c>
      <c r="L7512" s="24" t="str" cm="1">
        <f t="array" ref="L7512">IFERROR(IF($B7512=L$1, ($A7512+$C7512) - MAX(IF($B$2:$B7511=$B7512, $A$2:$A7511+$C$2:$C7511)), "")*24*60, "")</f>
        <v/>
      </c>
      <c r="M7512" s="24" t="str" cm="1">
        <f t="array" ref="M7512">IFERROR(IF($B7512=M$1, ($A7512+$C7512) - MAX(IF($B$2:$B7511=$B7512, $A$2:$A7511+$C$2:$C7511)), "")*24*60, "")</f>
        <v/>
      </c>
      <c r="N7512" s="24" t="str" cm="1">
        <f t="array" ref="N7512">IFERROR(IF($B7512=N$1, ($A7512+$C7512) - MAX(IF($B$2:$B7511=$B7512, $A$2:$A7511+$C$2:$C7511)), "")*24*60, "")</f>
        <v/>
      </c>
      <c r="O7512" s="24" t="str" cm="1">
        <f t="array" ref="O7512">IFERROR(IF($B7512=O$1, ($A7512+$C7512) - MAX(IF($B$2:$B7511=$B7512, $A$2:$A7511+$C$2:$C7511)), "")*24*60, "")</f>
        <v/>
      </c>
      <c r="P7512" s="24" t="str" cm="1">
        <f t="array" ref="P7512">IFERROR(IF($B7512=P$1, ($A7512+$C7512) - MAX(IF($B$2:$B7511=$B7512, $A$2:$A7511+$C$2:$C7511)), "")*24*60, "")</f>
        <v/>
      </c>
      <c r="Q7512" s="24" t="str" cm="1">
        <f t="array" ref="Q7512">IFERROR(IF($B7512=Q$1, ($A7512+$C7512) - MAX(IF($B$2:$B7511=$B7512, $A$2:$A7511+$C$2:$C7511)), "")*24*60, "")</f>
        <v/>
      </c>
      <c r="R7512" s="24" t="str" cm="1">
        <f t="array" ref="R7512">IFERROR(IF($B7512=R$1, ($A7512+$C7512) - MAX(IF($B$2:$B7511=$B7512, $A$2:$A7511+$C$2:$C7511)), "")*24*60, "")</f>
        <v/>
      </c>
      <c r="S7512" s="24" t="str" cm="1">
        <f t="array" ref="S7512">IFERROR(IF($B7512=S$1, ($A7512+$C7512) - MAX(IF($B$2:$B7511=$B7512, $A$2:$A7511+$C$2:$C7511)), "")*24*60, "")</f>
        <v/>
      </c>
    </row>
    <row r="7513" spans="1:19" x14ac:dyDescent="0.2">
      <c r="A7513" s="12">
        <f t="shared" ref="A7513:C7513" si="1697">A7512</f>
        <v>46015</v>
      </c>
      <c r="B7513" s="5" t="str">
        <f t="shared" si="1697"/>
        <v>Northern Cardinal</v>
      </c>
      <c r="C7513" s="6">
        <f t="shared" si="1697"/>
        <v>0.74097222222222225</v>
      </c>
      <c r="D7513" s="5"/>
      <c r="E7513" s="5"/>
      <c r="F7513" s="5" t="s">
        <v>9</v>
      </c>
      <c r="G7513" s="15" t="s">
        <v>8</v>
      </c>
      <c r="H7513" s="24">
        <f t="shared" si="1635"/>
        <v>0</v>
      </c>
      <c r="I7513" s="24" cm="1">
        <f t="array" ref="I7513">IFERROR(IF($B7513=I$1, ($A7513+$C7513) - MAX(IF($B$2:$B7512=$B7513, $A$2:$A7512+$C$2:$C7512)), "")*24*60, "")</f>
        <v>0</v>
      </c>
      <c r="J7513" s="24" t="str" cm="1">
        <f t="array" ref="J7513">IFERROR(IF($B7513=J$1, ($A7513+$C7513) - MAX(IF($B$2:$B7512=$B7513, $A$2:$A7512+$C$2:$C7512)), "")*24*60, "")</f>
        <v/>
      </c>
      <c r="K7513" s="24" t="str" cm="1">
        <f t="array" ref="K7513">IFERROR(IF($B7513=K$1, ($A7513+$C7513) - MAX(IF($B$2:$B7512=$B7513, $A$2:$A7512+$C$2:$C7512)), "")*24*60, "")</f>
        <v/>
      </c>
      <c r="L7513" s="24" t="str" cm="1">
        <f t="array" ref="L7513">IFERROR(IF($B7513=L$1, ($A7513+$C7513) - MAX(IF($B$2:$B7512=$B7513, $A$2:$A7512+$C$2:$C7512)), "")*24*60, "")</f>
        <v/>
      </c>
      <c r="M7513" s="24" t="str" cm="1">
        <f t="array" ref="M7513">IFERROR(IF($B7513=M$1, ($A7513+$C7513) - MAX(IF($B$2:$B7512=$B7513, $A$2:$A7512+$C$2:$C7512)), "")*24*60, "")</f>
        <v/>
      </c>
      <c r="N7513" s="24" t="str" cm="1">
        <f t="array" ref="N7513">IFERROR(IF($B7513=N$1, ($A7513+$C7513) - MAX(IF($B$2:$B7512=$B7513, $A$2:$A7512+$C$2:$C7512)), "")*24*60, "")</f>
        <v/>
      </c>
      <c r="O7513" s="24" t="str" cm="1">
        <f t="array" ref="O7513">IFERROR(IF($B7513=O$1, ($A7513+$C7513) - MAX(IF($B$2:$B7512=$B7513, $A$2:$A7512+$C$2:$C7512)), "")*24*60, "")</f>
        <v/>
      </c>
      <c r="P7513" s="24" t="str" cm="1">
        <f t="array" ref="P7513">IFERROR(IF($B7513=P$1, ($A7513+$C7513) - MAX(IF($B$2:$B7512=$B7513, $A$2:$A7512+$C$2:$C7512)), "")*24*60, "")</f>
        <v/>
      </c>
      <c r="Q7513" s="24" t="str" cm="1">
        <f t="array" ref="Q7513">IFERROR(IF($B7513=Q$1, ($A7513+$C7513) - MAX(IF($B$2:$B7512=$B7513, $A$2:$A7512+$C$2:$C7512)), "")*24*60, "")</f>
        <v/>
      </c>
      <c r="R7513" s="24" t="str" cm="1">
        <f t="array" ref="R7513">IFERROR(IF($B7513=R$1, ($A7513+$C7513) - MAX(IF($B$2:$B7512=$B7513, $A$2:$A7512+$C$2:$C7512)), "")*24*60, "")</f>
        <v/>
      </c>
      <c r="S7513" s="24" t="str" cm="1">
        <f t="array" ref="S7513">IFERROR(IF($B7513=S$1, ($A7513+$C7513) - MAX(IF($B$2:$B7512=$B7513, $A$2:$A7512+$C$2:$C7512)), "")*24*60, "")</f>
        <v/>
      </c>
    </row>
    <row r="7514" spans="1:19" x14ac:dyDescent="0.2">
      <c r="A7514" s="12">
        <f t="shared" ref="A7514:C7514" si="1698">A7513</f>
        <v>46015</v>
      </c>
      <c r="B7514" s="5" t="str">
        <f t="shared" si="1698"/>
        <v>Northern Cardinal</v>
      </c>
      <c r="C7514" s="6">
        <f t="shared" si="1698"/>
        <v>0.74097222222222225</v>
      </c>
      <c r="D7514" s="5"/>
      <c r="E7514" s="5"/>
      <c r="F7514" s="5" t="s">
        <v>9</v>
      </c>
      <c r="G7514" s="15" t="s">
        <v>8</v>
      </c>
      <c r="H7514" s="24">
        <f t="shared" si="1635"/>
        <v>0</v>
      </c>
      <c r="I7514" s="24" cm="1">
        <f t="array" ref="I7514">IFERROR(IF($B7514=I$1, ($A7514+$C7514) - MAX(IF($B$2:$B7513=$B7514, $A$2:$A7513+$C$2:$C7513)), "")*24*60, "")</f>
        <v>0</v>
      </c>
      <c r="J7514" s="24" t="str" cm="1">
        <f t="array" ref="J7514">IFERROR(IF($B7514=J$1, ($A7514+$C7514) - MAX(IF($B$2:$B7513=$B7514, $A$2:$A7513+$C$2:$C7513)), "")*24*60, "")</f>
        <v/>
      </c>
      <c r="K7514" s="24" t="str" cm="1">
        <f t="array" ref="K7514">IFERROR(IF($B7514=K$1, ($A7514+$C7514) - MAX(IF($B$2:$B7513=$B7514, $A$2:$A7513+$C$2:$C7513)), "")*24*60, "")</f>
        <v/>
      </c>
      <c r="L7514" s="24" t="str" cm="1">
        <f t="array" ref="L7514">IFERROR(IF($B7514=L$1, ($A7514+$C7514) - MAX(IF($B$2:$B7513=$B7514, $A$2:$A7513+$C$2:$C7513)), "")*24*60, "")</f>
        <v/>
      </c>
      <c r="M7514" s="24" t="str" cm="1">
        <f t="array" ref="M7514">IFERROR(IF($B7514=M$1, ($A7514+$C7514) - MAX(IF($B$2:$B7513=$B7514, $A$2:$A7513+$C$2:$C7513)), "")*24*60, "")</f>
        <v/>
      </c>
      <c r="N7514" s="24" t="str" cm="1">
        <f t="array" ref="N7514">IFERROR(IF($B7514=N$1, ($A7514+$C7514) - MAX(IF($B$2:$B7513=$B7514, $A$2:$A7513+$C$2:$C7513)), "")*24*60, "")</f>
        <v/>
      </c>
      <c r="O7514" s="24" t="str" cm="1">
        <f t="array" ref="O7514">IFERROR(IF($B7514=O$1, ($A7514+$C7514) - MAX(IF($B$2:$B7513=$B7514, $A$2:$A7513+$C$2:$C7513)), "")*24*60, "")</f>
        <v/>
      </c>
      <c r="P7514" s="24" t="str" cm="1">
        <f t="array" ref="P7514">IFERROR(IF($B7514=P$1, ($A7514+$C7514) - MAX(IF($B$2:$B7513=$B7514, $A$2:$A7513+$C$2:$C7513)), "")*24*60, "")</f>
        <v/>
      </c>
      <c r="Q7514" s="24" t="str" cm="1">
        <f t="array" ref="Q7514">IFERROR(IF($B7514=Q$1, ($A7514+$C7514) - MAX(IF($B$2:$B7513=$B7514, $A$2:$A7513+$C$2:$C7513)), "")*24*60, "")</f>
        <v/>
      </c>
      <c r="R7514" s="24" t="str" cm="1">
        <f t="array" ref="R7514">IFERROR(IF($B7514=R$1, ($A7514+$C7514) - MAX(IF($B$2:$B7513=$B7514, $A$2:$A7513+$C$2:$C7513)), "")*24*60, "")</f>
        <v/>
      </c>
      <c r="S7514" s="24" t="str" cm="1">
        <f t="array" ref="S7514">IFERROR(IF($B7514=S$1, ($A7514+$C7514) - MAX(IF($B$2:$B7513=$B7514, $A$2:$A7513+$C$2:$C7513)), "")*24*60, "")</f>
        <v/>
      </c>
    </row>
    <row r="7515" spans="1:19" x14ac:dyDescent="0.2">
      <c r="A7515" s="12">
        <f t="shared" ref="A7515:C7515" si="1699">A7514</f>
        <v>46015</v>
      </c>
      <c r="B7515" s="5" t="str">
        <f t="shared" si="1699"/>
        <v>Northern Cardinal</v>
      </c>
      <c r="C7515" s="6">
        <f t="shared" si="1699"/>
        <v>0.74097222222222225</v>
      </c>
      <c r="D7515" s="5"/>
      <c r="E7515" s="5"/>
      <c r="F7515" s="5" t="s">
        <v>9</v>
      </c>
      <c r="G7515" s="15" t="s">
        <v>8</v>
      </c>
      <c r="H7515" s="24">
        <f t="shared" ref="H7515:H7578" si="1700">IFERROR((($A7515+$C7515) - ($A7514+$C7514))*24*60, "")</f>
        <v>0</v>
      </c>
      <c r="I7515" s="24" cm="1">
        <f t="array" ref="I7515">IFERROR(IF($B7515=I$1, ($A7515+$C7515) - MAX(IF($B$2:$B7514=$B7515, $A$2:$A7514+$C$2:$C7514)), "")*24*60, "")</f>
        <v>0</v>
      </c>
      <c r="J7515" s="24" t="str" cm="1">
        <f t="array" ref="J7515">IFERROR(IF($B7515=J$1, ($A7515+$C7515) - MAX(IF($B$2:$B7514=$B7515, $A$2:$A7514+$C$2:$C7514)), "")*24*60, "")</f>
        <v/>
      </c>
      <c r="K7515" s="24" t="str" cm="1">
        <f t="array" ref="K7515">IFERROR(IF($B7515=K$1, ($A7515+$C7515) - MAX(IF($B$2:$B7514=$B7515, $A$2:$A7514+$C$2:$C7514)), "")*24*60, "")</f>
        <v/>
      </c>
      <c r="L7515" s="24" t="str" cm="1">
        <f t="array" ref="L7515">IFERROR(IF($B7515=L$1, ($A7515+$C7515) - MAX(IF($B$2:$B7514=$B7515, $A$2:$A7514+$C$2:$C7514)), "")*24*60, "")</f>
        <v/>
      </c>
      <c r="M7515" s="24" t="str" cm="1">
        <f t="array" ref="M7515">IFERROR(IF($B7515=M$1, ($A7515+$C7515) - MAX(IF($B$2:$B7514=$B7515, $A$2:$A7514+$C$2:$C7514)), "")*24*60, "")</f>
        <v/>
      </c>
      <c r="N7515" s="24" t="str" cm="1">
        <f t="array" ref="N7515">IFERROR(IF($B7515=N$1, ($A7515+$C7515) - MAX(IF($B$2:$B7514=$B7515, $A$2:$A7514+$C$2:$C7514)), "")*24*60, "")</f>
        <v/>
      </c>
      <c r="O7515" s="24" t="str" cm="1">
        <f t="array" ref="O7515">IFERROR(IF($B7515=O$1, ($A7515+$C7515) - MAX(IF($B$2:$B7514=$B7515, $A$2:$A7514+$C$2:$C7514)), "")*24*60, "")</f>
        <v/>
      </c>
      <c r="P7515" s="24" t="str" cm="1">
        <f t="array" ref="P7515">IFERROR(IF($B7515=P$1, ($A7515+$C7515) - MAX(IF($B$2:$B7514=$B7515, $A$2:$A7514+$C$2:$C7514)), "")*24*60, "")</f>
        <v/>
      </c>
      <c r="Q7515" s="24" t="str" cm="1">
        <f t="array" ref="Q7515">IFERROR(IF($B7515=Q$1, ($A7515+$C7515) - MAX(IF($B$2:$B7514=$B7515, $A$2:$A7514+$C$2:$C7514)), "")*24*60, "")</f>
        <v/>
      </c>
      <c r="R7515" s="24" t="str" cm="1">
        <f t="array" ref="R7515">IFERROR(IF($B7515=R$1, ($A7515+$C7515) - MAX(IF($B$2:$B7514=$B7515, $A$2:$A7514+$C$2:$C7514)), "")*24*60, "")</f>
        <v/>
      </c>
      <c r="S7515" s="24" t="str" cm="1">
        <f t="array" ref="S7515">IFERROR(IF($B7515=S$1, ($A7515+$C7515) - MAX(IF($B$2:$B7514=$B7515, $A$2:$A7514+$C$2:$C7514)), "")*24*60, "")</f>
        <v/>
      </c>
    </row>
    <row r="7516" spans="1:19" x14ac:dyDescent="0.2">
      <c r="A7516" s="12">
        <f t="shared" ref="A7516:C7516" si="1701">A7515</f>
        <v>46015</v>
      </c>
      <c r="B7516" s="5" t="str">
        <f t="shared" si="1701"/>
        <v>Northern Cardinal</v>
      </c>
      <c r="C7516" s="6">
        <f t="shared" si="1701"/>
        <v>0.74097222222222225</v>
      </c>
      <c r="D7516" s="5"/>
      <c r="E7516" s="5"/>
      <c r="F7516" s="5" t="s">
        <v>9</v>
      </c>
      <c r="G7516" s="15" t="s">
        <v>8</v>
      </c>
      <c r="H7516" s="24">
        <f t="shared" si="1700"/>
        <v>0</v>
      </c>
      <c r="I7516" s="24" cm="1">
        <f t="array" ref="I7516">IFERROR(IF($B7516=I$1, ($A7516+$C7516) - MAX(IF($B$2:$B7515=$B7516, $A$2:$A7515+$C$2:$C7515)), "")*24*60, "")</f>
        <v>0</v>
      </c>
      <c r="J7516" s="24" t="str" cm="1">
        <f t="array" ref="J7516">IFERROR(IF($B7516=J$1, ($A7516+$C7516) - MAX(IF($B$2:$B7515=$B7516, $A$2:$A7515+$C$2:$C7515)), "")*24*60, "")</f>
        <v/>
      </c>
      <c r="K7516" s="24" t="str" cm="1">
        <f t="array" ref="K7516">IFERROR(IF($B7516=K$1, ($A7516+$C7516) - MAX(IF($B$2:$B7515=$B7516, $A$2:$A7515+$C$2:$C7515)), "")*24*60, "")</f>
        <v/>
      </c>
      <c r="L7516" s="24" t="str" cm="1">
        <f t="array" ref="L7516">IFERROR(IF($B7516=L$1, ($A7516+$C7516) - MAX(IF($B$2:$B7515=$B7516, $A$2:$A7515+$C$2:$C7515)), "")*24*60, "")</f>
        <v/>
      </c>
      <c r="M7516" s="24" t="str" cm="1">
        <f t="array" ref="M7516">IFERROR(IF($B7516=M$1, ($A7516+$C7516) - MAX(IF($B$2:$B7515=$B7516, $A$2:$A7515+$C$2:$C7515)), "")*24*60, "")</f>
        <v/>
      </c>
      <c r="N7516" s="24" t="str" cm="1">
        <f t="array" ref="N7516">IFERROR(IF($B7516=N$1, ($A7516+$C7516) - MAX(IF($B$2:$B7515=$B7516, $A$2:$A7515+$C$2:$C7515)), "")*24*60, "")</f>
        <v/>
      </c>
      <c r="O7516" s="24" t="str" cm="1">
        <f t="array" ref="O7516">IFERROR(IF($B7516=O$1, ($A7516+$C7516) - MAX(IF($B$2:$B7515=$B7516, $A$2:$A7515+$C$2:$C7515)), "")*24*60, "")</f>
        <v/>
      </c>
      <c r="P7516" s="24" t="str" cm="1">
        <f t="array" ref="P7516">IFERROR(IF($B7516=P$1, ($A7516+$C7516) - MAX(IF($B$2:$B7515=$B7516, $A$2:$A7515+$C$2:$C7515)), "")*24*60, "")</f>
        <v/>
      </c>
      <c r="Q7516" s="24" t="str" cm="1">
        <f t="array" ref="Q7516">IFERROR(IF($B7516=Q$1, ($A7516+$C7516) - MAX(IF($B$2:$B7515=$B7516, $A$2:$A7515+$C$2:$C7515)), "")*24*60, "")</f>
        <v/>
      </c>
      <c r="R7516" s="24" t="str" cm="1">
        <f t="array" ref="R7516">IFERROR(IF($B7516=R$1, ($A7516+$C7516) - MAX(IF($B$2:$B7515=$B7516, $A$2:$A7515+$C$2:$C7515)), "")*24*60, "")</f>
        <v/>
      </c>
      <c r="S7516" s="24" t="str" cm="1">
        <f t="array" ref="S7516">IFERROR(IF($B7516=S$1, ($A7516+$C7516) - MAX(IF($B$2:$B7515=$B7516, $A$2:$A7515+$C$2:$C7515)), "")*24*60, "")</f>
        <v/>
      </c>
    </row>
    <row r="7517" spans="1:19" x14ac:dyDescent="0.2">
      <c r="A7517" s="12">
        <f t="shared" ref="A7517:C7517" si="1702">A7516</f>
        <v>46015</v>
      </c>
      <c r="B7517" s="5" t="str">
        <f t="shared" si="1702"/>
        <v>Northern Cardinal</v>
      </c>
      <c r="C7517" s="6">
        <f t="shared" si="1702"/>
        <v>0.74097222222222225</v>
      </c>
      <c r="D7517" s="5"/>
      <c r="E7517" s="5"/>
      <c r="F7517" s="5" t="s">
        <v>9</v>
      </c>
      <c r="G7517" s="15" t="s">
        <v>8</v>
      </c>
      <c r="H7517" s="24">
        <f t="shared" si="1700"/>
        <v>0</v>
      </c>
      <c r="I7517" s="24" cm="1">
        <f t="array" ref="I7517">IFERROR(IF($B7517=I$1, ($A7517+$C7517) - MAX(IF($B$2:$B7516=$B7517, $A$2:$A7516+$C$2:$C7516)), "")*24*60, "")</f>
        <v>0</v>
      </c>
      <c r="J7517" s="24" t="str" cm="1">
        <f t="array" ref="J7517">IFERROR(IF($B7517=J$1, ($A7517+$C7517) - MAX(IF($B$2:$B7516=$B7517, $A$2:$A7516+$C$2:$C7516)), "")*24*60, "")</f>
        <v/>
      </c>
      <c r="K7517" s="24" t="str" cm="1">
        <f t="array" ref="K7517">IFERROR(IF($B7517=K$1, ($A7517+$C7517) - MAX(IF($B$2:$B7516=$B7517, $A$2:$A7516+$C$2:$C7516)), "")*24*60, "")</f>
        <v/>
      </c>
      <c r="L7517" s="24" t="str" cm="1">
        <f t="array" ref="L7517">IFERROR(IF($B7517=L$1, ($A7517+$C7517) - MAX(IF($B$2:$B7516=$B7517, $A$2:$A7516+$C$2:$C7516)), "")*24*60, "")</f>
        <v/>
      </c>
      <c r="M7517" s="24" t="str" cm="1">
        <f t="array" ref="M7517">IFERROR(IF($B7517=M$1, ($A7517+$C7517) - MAX(IF($B$2:$B7516=$B7517, $A$2:$A7516+$C$2:$C7516)), "")*24*60, "")</f>
        <v/>
      </c>
      <c r="N7517" s="24" t="str" cm="1">
        <f t="array" ref="N7517">IFERROR(IF($B7517=N$1, ($A7517+$C7517) - MAX(IF($B$2:$B7516=$B7517, $A$2:$A7516+$C$2:$C7516)), "")*24*60, "")</f>
        <v/>
      </c>
      <c r="O7517" s="24" t="str" cm="1">
        <f t="array" ref="O7517">IFERROR(IF($B7517=O$1, ($A7517+$C7517) - MAX(IF($B$2:$B7516=$B7517, $A$2:$A7516+$C$2:$C7516)), "")*24*60, "")</f>
        <v/>
      </c>
      <c r="P7517" s="24" t="str" cm="1">
        <f t="array" ref="P7517">IFERROR(IF($B7517=P$1, ($A7517+$C7517) - MAX(IF($B$2:$B7516=$B7517, $A$2:$A7516+$C$2:$C7516)), "")*24*60, "")</f>
        <v/>
      </c>
      <c r="Q7517" s="24" t="str" cm="1">
        <f t="array" ref="Q7517">IFERROR(IF($B7517=Q$1, ($A7517+$C7517) - MAX(IF($B$2:$B7516=$B7517, $A$2:$A7516+$C$2:$C7516)), "")*24*60, "")</f>
        <v/>
      </c>
      <c r="R7517" s="24" t="str" cm="1">
        <f t="array" ref="R7517">IFERROR(IF($B7517=R$1, ($A7517+$C7517) - MAX(IF($B$2:$B7516=$B7517, $A$2:$A7516+$C$2:$C7516)), "")*24*60, "")</f>
        <v/>
      </c>
      <c r="S7517" s="24" t="str" cm="1">
        <f t="array" ref="S7517">IFERROR(IF($B7517=S$1, ($A7517+$C7517) - MAX(IF($B$2:$B7516=$B7517, $A$2:$A7516+$C$2:$C7516)), "")*24*60, "")</f>
        <v/>
      </c>
    </row>
    <row r="7518" spans="1:19" x14ac:dyDescent="0.2">
      <c r="A7518" s="12">
        <f t="shared" ref="A7518:C7518" si="1703">A7517</f>
        <v>46015</v>
      </c>
      <c r="B7518" s="5" t="str">
        <f t="shared" si="1703"/>
        <v>Northern Cardinal</v>
      </c>
      <c r="C7518" s="6">
        <f t="shared" si="1703"/>
        <v>0.74097222222222225</v>
      </c>
      <c r="D7518" s="5"/>
      <c r="E7518" s="5"/>
      <c r="F7518" s="5" t="s">
        <v>9</v>
      </c>
      <c r="G7518" s="15" t="s">
        <v>8</v>
      </c>
      <c r="H7518" s="24">
        <f t="shared" si="1700"/>
        <v>0</v>
      </c>
      <c r="I7518" s="24" cm="1">
        <f t="array" ref="I7518">IFERROR(IF($B7518=I$1, ($A7518+$C7518) - MAX(IF($B$2:$B7517=$B7518, $A$2:$A7517+$C$2:$C7517)), "")*24*60, "")</f>
        <v>0</v>
      </c>
      <c r="J7518" s="24" t="str" cm="1">
        <f t="array" ref="J7518">IFERROR(IF($B7518=J$1, ($A7518+$C7518) - MAX(IF($B$2:$B7517=$B7518, $A$2:$A7517+$C$2:$C7517)), "")*24*60, "")</f>
        <v/>
      </c>
      <c r="K7518" s="24" t="str" cm="1">
        <f t="array" ref="K7518">IFERROR(IF($B7518=K$1, ($A7518+$C7518) - MAX(IF($B$2:$B7517=$B7518, $A$2:$A7517+$C$2:$C7517)), "")*24*60, "")</f>
        <v/>
      </c>
      <c r="L7518" s="24" t="str" cm="1">
        <f t="array" ref="L7518">IFERROR(IF($B7518=L$1, ($A7518+$C7518) - MAX(IF($B$2:$B7517=$B7518, $A$2:$A7517+$C$2:$C7517)), "")*24*60, "")</f>
        <v/>
      </c>
      <c r="M7518" s="24" t="str" cm="1">
        <f t="array" ref="M7518">IFERROR(IF($B7518=M$1, ($A7518+$C7518) - MAX(IF($B$2:$B7517=$B7518, $A$2:$A7517+$C$2:$C7517)), "")*24*60, "")</f>
        <v/>
      </c>
      <c r="N7518" s="24" t="str" cm="1">
        <f t="array" ref="N7518">IFERROR(IF($B7518=N$1, ($A7518+$C7518) - MAX(IF($B$2:$B7517=$B7518, $A$2:$A7517+$C$2:$C7517)), "")*24*60, "")</f>
        <v/>
      </c>
      <c r="O7518" s="24" t="str" cm="1">
        <f t="array" ref="O7518">IFERROR(IF($B7518=O$1, ($A7518+$C7518) - MAX(IF($B$2:$B7517=$B7518, $A$2:$A7517+$C$2:$C7517)), "")*24*60, "")</f>
        <v/>
      </c>
      <c r="P7518" s="24" t="str" cm="1">
        <f t="array" ref="P7518">IFERROR(IF($B7518=P$1, ($A7518+$C7518) - MAX(IF($B$2:$B7517=$B7518, $A$2:$A7517+$C$2:$C7517)), "")*24*60, "")</f>
        <v/>
      </c>
      <c r="Q7518" s="24" t="str" cm="1">
        <f t="array" ref="Q7518">IFERROR(IF($B7518=Q$1, ($A7518+$C7518) - MAX(IF($B$2:$B7517=$B7518, $A$2:$A7517+$C$2:$C7517)), "")*24*60, "")</f>
        <v/>
      </c>
      <c r="R7518" s="24" t="str" cm="1">
        <f t="array" ref="R7518">IFERROR(IF($B7518=R$1, ($A7518+$C7518) - MAX(IF($B$2:$B7517=$B7518, $A$2:$A7517+$C$2:$C7517)), "")*24*60, "")</f>
        <v/>
      </c>
      <c r="S7518" s="24" t="str" cm="1">
        <f t="array" ref="S7518">IFERROR(IF($B7518=S$1, ($A7518+$C7518) - MAX(IF($B$2:$B7517=$B7518, $A$2:$A7517+$C$2:$C7517)), "")*24*60, "")</f>
        <v/>
      </c>
    </row>
    <row r="7519" spans="1:19" x14ac:dyDescent="0.2">
      <c r="A7519" s="12">
        <f t="shared" ref="A7519:C7519" si="1704">A7518</f>
        <v>46015</v>
      </c>
      <c r="B7519" s="5" t="str">
        <f t="shared" si="1704"/>
        <v>Northern Cardinal</v>
      </c>
      <c r="C7519" s="6">
        <f t="shared" si="1704"/>
        <v>0.74097222222222225</v>
      </c>
      <c r="D7519" s="5"/>
      <c r="E7519" s="5"/>
      <c r="F7519" s="5" t="s">
        <v>9</v>
      </c>
      <c r="G7519" s="15" t="s">
        <v>8</v>
      </c>
      <c r="H7519" s="24">
        <f t="shared" si="1700"/>
        <v>0</v>
      </c>
      <c r="I7519" s="24" cm="1">
        <f t="array" ref="I7519">IFERROR(IF($B7519=I$1, ($A7519+$C7519) - MAX(IF($B$2:$B7518=$B7519, $A$2:$A7518+$C$2:$C7518)), "")*24*60, "")</f>
        <v>0</v>
      </c>
      <c r="J7519" s="24" t="str" cm="1">
        <f t="array" ref="J7519">IFERROR(IF($B7519=J$1, ($A7519+$C7519) - MAX(IF($B$2:$B7518=$B7519, $A$2:$A7518+$C$2:$C7518)), "")*24*60, "")</f>
        <v/>
      </c>
      <c r="K7519" s="24" t="str" cm="1">
        <f t="array" ref="K7519">IFERROR(IF($B7519=K$1, ($A7519+$C7519) - MAX(IF($B$2:$B7518=$B7519, $A$2:$A7518+$C$2:$C7518)), "")*24*60, "")</f>
        <v/>
      </c>
      <c r="L7519" s="24" t="str" cm="1">
        <f t="array" ref="L7519">IFERROR(IF($B7519=L$1, ($A7519+$C7519) - MAX(IF($B$2:$B7518=$B7519, $A$2:$A7518+$C$2:$C7518)), "")*24*60, "")</f>
        <v/>
      </c>
      <c r="M7519" s="24" t="str" cm="1">
        <f t="array" ref="M7519">IFERROR(IF($B7519=M$1, ($A7519+$C7519) - MAX(IF($B$2:$B7518=$B7519, $A$2:$A7518+$C$2:$C7518)), "")*24*60, "")</f>
        <v/>
      </c>
      <c r="N7519" s="24" t="str" cm="1">
        <f t="array" ref="N7519">IFERROR(IF($B7519=N$1, ($A7519+$C7519) - MAX(IF($B$2:$B7518=$B7519, $A$2:$A7518+$C$2:$C7518)), "")*24*60, "")</f>
        <v/>
      </c>
      <c r="O7519" s="24" t="str" cm="1">
        <f t="array" ref="O7519">IFERROR(IF($B7519=O$1, ($A7519+$C7519) - MAX(IF($B$2:$B7518=$B7519, $A$2:$A7518+$C$2:$C7518)), "")*24*60, "")</f>
        <v/>
      </c>
      <c r="P7519" s="24" t="str" cm="1">
        <f t="array" ref="P7519">IFERROR(IF($B7519=P$1, ($A7519+$C7519) - MAX(IF($B$2:$B7518=$B7519, $A$2:$A7518+$C$2:$C7518)), "")*24*60, "")</f>
        <v/>
      </c>
      <c r="Q7519" s="24" t="str" cm="1">
        <f t="array" ref="Q7519">IFERROR(IF($B7519=Q$1, ($A7519+$C7519) - MAX(IF($B$2:$B7518=$B7519, $A$2:$A7518+$C$2:$C7518)), "")*24*60, "")</f>
        <v/>
      </c>
      <c r="R7519" s="24" t="str" cm="1">
        <f t="array" ref="R7519">IFERROR(IF($B7519=R$1, ($A7519+$C7519) - MAX(IF($B$2:$B7518=$B7519, $A$2:$A7518+$C$2:$C7518)), "")*24*60, "")</f>
        <v/>
      </c>
      <c r="S7519" s="24" t="str" cm="1">
        <f t="array" ref="S7519">IFERROR(IF($B7519=S$1, ($A7519+$C7519) - MAX(IF($B$2:$B7518=$B7519, $A$2:$A7518+$C$2:$C7518)), "")*24*60, "")</f>
        <v/>
      </c>
    </row>
    <row r="7520" spans="1:19" x14ac:dyDescent="0.2">
      <c r="A7520" s="12">
        <f t="shared" ref="A7520:C7520" si="1705">A7519</f>
        <v>46015</v>
      </c>
      <c r="B7520" s="5" t="str">
        <f t="shared" si="1705"/>
        <v>Northern Cardinal</v>
      </c>
      <c r="C7520" s="6">
        <f t="shared" si="1705"/>
        <v>0.74097222222222225</v>
      </c>
      <c r="D7520" s="5"/>
      <c r="E7520" s="5"/>
      <c r="F7520" s="5" t="s">
        <v>9</v>
      </c>
      <c r="G7520" s="15" t="s">
        <v>8</v>
      </c>
      <c r="H7520" s="24">
        <f t="shared" si="1700"/>
        <v>0</v>
      </c>
      <c r="I7520" s="24" cm="1">
        <f t="array" ref="I7520">IFERROR(IF($B7520=I$1, ($A7520+$C7520) - MAX(IF($B$2:$B7519=$B7520, $A$2:$A7519+$C$2:$C7519)), "")*24*60, "")</f>
        <v>0</v>
      </c>
      <c r="J7520" s="24" t="str" cm="1">
        <f t="array" ref="J7520">IFERROR(IF($B7520=J$1, ($A7520+$C7520) - MAX(IF($B$2:$B7519=$B7520, $A$2:$A7519+$C$2:$C7519)), "")*24*60, "")</f>
        <v/>
      </c>
      <c r="K7520" s="24" t="str" cm="1">
        <f t="array" ref="K7520">IFERROR(IF($B7520=K$1, ($A7520+$C7520) - MAX(IF($B$2:$B7519=$B7520, $A$2:$A7519+$C$2:$C7519)), "")*24*60, "")</f>
        <v/>
      </c>
      <c r="L7520" s="24" t="str" cm="1">
        <f t="array" ref="L7520">IFERROR(IF($B7520=L$1, ($A7520+$C7520) - MAX(IF($B$2:$B7519=$B7520, $A$2:$A7519+$C$2:$C7519)), "")*24*60, "")</f>
        <v/>
      </c>
      <c r="M7520" s="24" t="str" cm="1">
        <f t="array" ref="M7520">IFERROR(IF($B7520=M$1, ($A7520+$C7520) - MAX(IF($B$2:$B7519=$B7520, $A$2:$A7519+$C$2:$C7519)), "")*24*60, "")</f>
        <v/>
      </c>
      <c r="N7520" s="24" t="str" cm="1">
        <f t="array" ref="N7520">IFERROR(IF($B7520=N$1, ($A7520+$C7520) - MAX(IF($B$2:$B7519=$B7520, $A$2:$A7519+$C$2:$C7519)), "")*24*60, "")</f>
        <v/>
      </c>
      <c r="O7520" s="24" t="str" cm="1">
        <f t="array" ref="O7520">IFERROR(IF($B7520=O$1, ($A7520+$C7520) - MAX(IF($B$2:$B7519=$B7520, $A$2:$A7519+$C$2:$C7519)), "")*24*60, "")</f>
        <v/>
      </c>
      <c r="P7520" s="24" t="str" cm="1">
        <f t="array" ref="P7520">IFERROR(IF($B7520=P$1, ($A7520+$C7520) - MAX(IF($B$2:$B7519=$B7520, $A$2:$A7519+$C$2:$C7519)), "")*24*60, "")</f>
        <v/>
      </c>
      <c r="Q7520" s="24" t="str" cm="1">
        <f t="array" ref="Q7520">IFERROR(IF($B7520=Q$1, ($A7520+$C7520) - MAX(IF($B$2:$B7519=$B7520, $A$2:$A7519+$C$2:$C7519)), "")*24*60, "")</f>
        <v/>
      </c>
      <c r="R7520" s="24" t="str" cm="1">
        <f t="array" ref="R7520">IFERROR(IF($B7520=R$1, ($A7520+$C7520) - MAX(IF($B$2:$B7519=$B7520, $A$2:$A7519+$C$2:$C7519)), "")*24*60, "")</f>
        <v/>
      </c>
      <c r="S7520" s="24" t="str" cm="1">
        <f t="array" ref="S7520">IFERROR(IF($B7520=S$1, ($A7520+$C7520) - MAX(IF($B$2:$B7519=$B7520, $A$2:$A7519+$C$2:$C7519)), "")*24*60, "")</f>
        <v/>
      </c>
    </row>
    <row r="7521" spans="1:19" x14ac:dyDescent="0.2">
      <c r="A7521" s="12">
        <f t="shared" ref="A7521:C7521" si="1706">A7520</f>
        <v>46015</v>
      </c>
      <c r="B7521" s="5" t="str">
        <f t="shared" si="1706"/>
        <v>Northern Cardinal</v>
      </c>
      <c r="C7521" s="6">
        <f t="shared" si="1706"/>
        <v>0.74097222222222225</v>
      </c>
      <c r="D7521" s="5"/>
      <c r="E7521" s="5"/>
      <c r="F7521" s="5" t="s">
        <v>9</v>
      </c>
      <c r="G7521" s="15" t="s">
        <v>8</v>
      </c>
      <c r="H7521" s="24">
        <f t="shared" si="1700"/>
        <v>0</v>
      </c>
      <c r="I7521" s="24" cm="1">
        <f t="array" ref="I7521">IFERROR(IF($B7521=I$1, ($A7521+$C7521) - MAX(IF($B$2:$B7520=$B7521, $A$2:$A7520+$C$2:$C7520)), "")*24*60, "")</f>
        <v>0</v>
      </c>
      <c r="J7521" s="24" t="str" cm="1">
        <f t="array" ref="J7521">IFERROR(IF($B7521=J$1, ($A7521+$C7521) - MAX(IF($B$2:$B7520=$B7521, $A$2:$A7520+$C$2:$C7520)), "")*24*60, "")</f>
        <v/>
      </c>
      <c r="K7521" s="24" t="str" cm="1">
        <f t="array" ref="K7521">IFERROR(IF($B7521=K$1, ($A7521+$C7521) - MAX(IF($B$2:$B7520=$B7521, $A$2:$A7520+$C$2:$C7520)), "")*24*60, "")</f>
        <v/>
      </c>
      <c r="L7521" s="24" t="str" cm="1">
        <f t="array" ref="L7521">IFERROR(IF($B7521=L$1, ($A7521+$C7521) - MAX(IF($B$2:$B7520=$B7521, $A$2:$A7520+$C$2:$C7520)), "")*24*60, "")</f>
        <v/>
      </c>
      <c r="M7521" s="24" t="str" cm="1">
        <f t="array" ref="M7521">IFERROR(IF($B7521=M$1, ($A7521+$C7521) - MAX(IF($B$2:$B7520=$B7521, $A$2:$A7520+$C$2:$C7520)), "")*24*60, "")</f>
        <v/>
      </c>
      <c r="N7521" s="24" t="str" cm="1">
        <f t="array" ref="N7521">IFERROR(IF($B7521=N$1, ($A7521+$C7521) - MAX(IF($B$2:$B7520=$B7521, $A$2:$A7520+$C$2:$C7520)), "")*24*60, "")</f>
        <v/>
      </c>
      <c r="O7521" s="24" t="str" cm="1">
        <f t="array" ref="O7521">IFERROR(IF($B7521=O$1, ($A7521+$C7521) - MAX(IF($B$2:$B7520=$B7521, $A$2:$A7520+$C$2:$C7520)), "")*24*60, "")</f>
        <v/>
      </c>
      <c r="P7521" s="24" t="str" cm="1">
        <f t="array" ref="P7521">IFERROR(IF($B7521=P$1, ($A7521+$C7521) - MAX(IF($B$2:$B7520=$B7521, $A$2:$A7520+$C$2:$C7520)), "")*24*60, "")</f>
        <v/>
      </c>
      <c r="Q7521" s="24" t="str" cm="1">
        <f t="array" ref="Q7521">IFERROR(IF($B7521=Q$1, ($A7521+$C7521) - MAX(IF($B$2:$B7520=$B7521, $A$2:$A7520+$C$2:$C7520)), "")*24*60, "")</f>
        <v/>
      </c>
      <c r="R7521" s="24" t="str" cm="1">
        <f t="array" ref="R7521">IFERROR(IF($B7521=R$1, ($A7521+$C7521) - MAX(IF($B$2:$B7520=$B7521, $A$2:$A7520+$C$2:$C7520)), "")*24*60, "")</f>
        <v/>
      </c>
      <c r="S7521" s="24" t="str" cm="1">
        <f t="array" ref="S7521">IFERROR(IF($B7521=S$1, ($A7521+$C7521) - MAX(IF($B$2:$B7520=$B7521, $A$2:$A7520+$C$2:$C7520)), "")*24*60, "")</f>
        <v/>
      </c>
    </row>
    <row r="7522" spans="1:19" x14ac:dyDescent="0.2">
      <c r="A7522" s="12">
        <f t="shared" ref="A7522:C7522" si="1707">A7521</f>
        <v>46015</v>
      </c>
      <c r="B7522" s="5" t="str">
        <f t="shared" si="1707"/>
        <v>Northern Cardinal</v>
      </c>
      <c r="C7522" s="6">
        <f t="shared" si="1707"/>
        <v>0.74097222222222225</v>
      </c>
      <c r="D7522" s="5"/>
      <c r="E7522" s="5"/>
      <c r="F7522" s="5" t="s">
        <v>9</v>
      </c>
      <c r="G7522" s="15" t="s">
        <v>8</v>
      </c>
      <c r="H7522" s="24">
        <f t="shared" si="1700"/>
        <v>0</v>
      </c>
      <c r="I7522" s="24" cm="1">
        <f t="array" ref="I7522">IFERROR(IF($B7522=I$1, ($A7522+$C7522) - MAX(IF($B$2:$B7521=$B7522, $A$2:$A7521+$C$2:$C7521)), "")*24*60, "")</f>
        <v>0</v>
      </c>
      <c r="J7522" s="24" t="str" cm="1">
        <f t="array" ref="J7522">IFERROR(IF($B7522=J$1, ($A7522+$C7522) - MAX(IF($B$2:$B7521=$B7522, $A$2:$A7521+$C$2:$C7521)), "")*24*60, "")</f>
        <v/>
      </c>
      <c r="K7522" s="24" t="str" cm="1">
        <f t="array" ref="K7522">IFERROR(IF($B7522=K$1, ($A7522+$C7522) - MAX(IF($B$2:$B7521=$B7522, $A$2:$A7521+$C$2:$C7521)), "")*24*60, "")</f>
        <v/>
      </c>
      <c r="L7522" s="24" t="str" cm="1">
        <f t="array" ref="L7522">IFERROR(IF($B7522=L$1, ($A7522+$C7522) - MAX(IF($B$2:$B7521=$B7522, $A$2:$A7521+$C$2:$C7521)), "")*24*60, "")</f>
        <v/>
      </c>
      <c r="M7522" s="24" t="str" cm="1">
        <f t="array" ref="M7522">IFERROR(IF($B7522=M$1, ($A7522+$C7522) - MAX(IF($B$2:$B7521=$B7522, $A$2:$A7521+$C$2:$C7521)), "")*24*60, "")</f>
        <v/>
      </c>
      <c r="N7522" s="24" t="str" cm="1">
        <f t="array" ref="N7522">IFERROR(IF($B7522=N$1, ($A7522+$C7522) - MAX(IF($B$2:$B7521=$B7522, $A$2:$A7521+$C$2:$C7521)), "")*24*60, "")</f>
        <v/>
      </c>
      <c r="O7522" s="24" t="str" cm="1">
        <f t="array" ref="O7522">IFERROR(IF($B7522=O$1, ($A7522+$C7522) - MAX(IF($B$2:$B7521=$B7522, $A$2:$A7521+$C$2:$C7521)), "")*24*60, "")</f>
        <v/>
      </c>
      <c r="P7522" s="24" t="str" cm="1">
        <f t="array" ref="P7522">IFERROR(IF($B7522=P$1, ($A7522+$C7522) - MAX(IF($B$2:$B7521=$B7522, $A$2:$A7521+$C$2:$C7521)), "")*24*60, "")</f>
        <v/>
      </c>
      <c r="Q7522" s="24" t="str" cm="1">
        <f t="array" ref="Q7522">IFERROR(IF($B7522=Q$1, ($A7522+$C7522) - MAX(IF($B$2:$B7521=$B7522, $A$2:$A7521+$C$2:$C7521)), "")*24*60, "")</f>
        <v/>
      </c>
      <c r="R7522" s="24" t="str" cm="1">
        <f t="array" ref="R7522">IFERROR(IF($B7522=R$1, ($A7522+$C7522) - MAX(IF($B$2:$B7521=$B7522, $A$2:$A7521+$C$2:$C7521)), "")*24*60, "")</f>
        <v/>
      </c>
      <c r="S7522" s="24" t="str" cm="1">
        <f t="array" ref="S7522">IFERROR(IF($B7522=S$1, ($A7522+$C7522) - MAX(IF($B$2:$B7521=$B7522, $A$2:$A7521+$C$2:$C7521)), "")*24*60, "")</f>
        <v/>
      </c>
    </row>
    <row r="7523" spans="1:19" x14ac:dyDescent="0.2">
      <c r="A7523" s="12">
        <f t="shared" ref="A7523:C7523" si="1708">A7522</f>
        <v>46015</v>
      </c>
      <c r="B7523" s="5" t="str">
        <f t="shared" si="1708"/>
        <v>Northern Cardinal</v>
      </c>
      <c r="C7523" s="6">
        <f t="shared" si="1708"/>
        <v>0.74097222222222225</v>
      </c>
      <c r="D7523" s="5"/>
      <c r="E7523" s="5"/>
      <c r="F7523" s="5" t="s">
        <v>9</v>
      </c>
      <c r="G7523" s="15" t="s">
        <v>8</v>
      </c>
      <c r="H7523" s="24">
        <f t="shared" si="1700"/>
        <v>0</v>
      </c>
      <c r="I7523" s="24" cm="1">
        <f t="array" ref="I7523">IFERROR(IF($B7523=I$1, ($A7523+$C7523) - MAX(IF($B$2:$B7522=$B7523, $A$2:$A7522+$C$2:$C7522)), "")*24*60, "")</f>
        <v>0</v>
      </c>
      <c r="J7523" s="24" t="str" cm="1">
        <f t="array" ref="J7523">IFERROR(IF($B7523=J$1, ($A7523+$C7523) - MAX(IF($B$2:$B7522=$B7523, $A$2:$A7522+$C$2:$C7522)), "")*24*60, "")</f>
        <v/>
      </c>
      <c r="K7523" s="24" t="str" cm="1">
        <f t="array" ref="K7523">IFERROR(IF($B7523=K$1, ($A7523+$C7523) - MAX(IF($B$2:$B7522=$B7523, $A$2:$A7522+$C$2:$C7522)), "")*24*60, "")</f>
        <v/>
      </c>
      <c r="L7523" s="24" t="str" cm="1">
        <f t="array" ref="L7523">IFERROR(IF($B7523=L$1, ($A7523+$C7523) - MAX(IF($B$2:$B7522=$B7523, $A$2:$A7522+$C$2:$C7522)), "")*24*60, "")</f>
        <v/>
      </c>
      <c r="M7523" s="24" t="str" cm="1">
        <f t="array" ref="M7523">IFERROR(IF($B7523=M$1, ($A7523+$C7523) - MAX(IF($B$2:$B7522=$B7523, $A$2:$A7522+$C$2:$C7522)), "")*24*60, "")</f>
        <v/>
      </c>
      <c r="N7523" s="24" t="str" cm="1">
        <f t="array" ref="N7523">IFERROR(IF($B7523=N$1, ($A7523+$C7523) - MAX(IF($B$2:$B7522=$B7523, $A$2:$A7522+$C$2:$C7522)), "")*24*60, "")</f>
        <v/>
      </c>
      <c r="O7523" s="24" t="str" cm="1">
        <f t="array" ref="O7523">IFERROR(IF($B7523=O$1, ($A7523+$C7523) - MAX(IF($B$2:$B7522=$B7523, $A$2:$A7522+$C$2:$C7522)), "")*24*60, "")</f>
        <v/>
      </c>
      <c r="P7523" s="24" t="str" cm="1">
        <f t="array" ref="P7523">IFERROR(IF($B7523=P$1, ($A7523+$C7523) - MAX(IF($B$2:$B7522=$B7523, $A$2:$A7522+$C$2:$C7522)), "")*24*60, "")</f>
        <v/>
      </c>
      <c r="Q7523" s="24" t="str" cm="1">
        <f t="array" ref="Q7523">IFERROR(IF($B7523=Q$1, ($A7523+$C7523) - MAX(IF($B$2:$B7522=$B7523, $A$2:$A7522+$C$2:$C7522)), "")*24*60, "")</f>
        <v/>
      </c>
      <c r="R7523" s="24" t="str" cm="1">
        <f t="array" ref="R7523">IFERROR(IF($B7523=R$1, ($A7523+$C7523) - MAX(IF($B$2:$B7522=$B7523, $A$2:$A7522+$C$2:$C7522)), "")*24*60, "")</f>
        <v/>
      </c>
      <c r="S7523" s="24" t="str" cm="1">
        <f t="array" ref="S7523">IFERROR(IF($B7523=S$1, ($A7523+$C7523) - MAX(IF($B$2:$B7522=$B7523, $A$2:$A7522+$C$2:$C7522)), "")*24*60, "")</f>
        <v/>
      </c>
    </row>
    <row r="7524" spans="1:19" x14ac:dyDescent="0.2">
      <c r="A7524" s="12">
        <f t="shared" ref="A7524:C7524" si="1709">A7523</f>
        <v>46015</v>
      </c>
      <c r="B7524" s="5" t="str">
        <f t="shared" si="1709"/>
        <v>Northern Cardinal</v>
      </c>
      <c r="C7524" s="6">
        <f t="shared" si="1709"/>
        <v>0.74097222222222225</v>
      </c>
      <c r="D7524" s="5"/>
      <c r="E7524" s="5"/>
      <c r="F7524" s="5" t="s">
        <v>9</v>
      </c>
      <c r="G7524" s="15" t="s">
        <v>8</v>
      </c>
      <c r="H7524" s="24">
        <f t="shared" si="1700"/>
        <v>0</v>
      </c>
      <c r="I7524" s="24" cm="1">
        <f t="array" ref="I7524">IFERROR(IF($B7524=I$1, ($A7524+$C7524) - MAX(IF($B$2:$B7523=$B7524, $A$2:$A7523+$C$2:$C7523)), "")*24*60, "")</f>
        <v>0</v>
      </c>
      <c r="J7524" s="24" t="str" cm="1">
        <f t="array" ref="J7524">IFERROR(IF($B7524=J$1, ($A7524+$C7524) - MAX(IF($B$2:$B7523=$B7524, $A$2:$A7523+$C$2:$C7523)), "")*24*60, "")</f>
        <v/>
      </c>
      <c r="K7524" s="24" t="str" cm="1">
        <f t="array" ref="K7524">IFERROR(IF($B7524=K$1, ($A7524+$C7524) - MAX(IF($B$2:$B7523=$B7524, $A$2:$A7523+$C$2:$C7523)), "")*24*60, "")</f>
        <v/>
      </c>
      <c r="L7524" s="24" t="str" cm="1">
        <f t="array" ref="L7524">IFERROR(IF($B7524=L$1, ($A7524+$C7524) - MAX(IF($B$2:$B7523=$B7524, $A$2:$A7523+$C$2:$C7523)), "")*24*60, "")</f>
        <v/>
      </c>
      <c r="M7524" s="24" t="str" cm="1">
        <f t="array" ref="M7524">IFERROR(IF($B7524=M$1, ($A7524+$C7524) - MAX(IF($B$2:$B7523=$B7524, $A$2:$A7523+$C$2:$C7523)), "")*24*60, "")</f>
        <v/>
      </c>
      <c r="N7524" s="24" t="str" cm="1">
        <f t="array" ref="N7524">IFERROR(IF($B7524=N$1, ($A7524+$C7524) - MAX(IF($B$2:$B7523=$B7524, $A$2:$A7523+$C$2:$C7523)), "")*24*60, "")</f>
        <v/>
      </c>
      <c r="O7524" s="24" t="str" cm="1">
        <f t="array" ref="O7524">IFERROR(IF($B7524=O$1, ($A7524+$C7524) - MAX(IF($B$2:$B7523=$B7524, $A$2:$A7523+$C$2:$C7523)), "")*24*60, "")</f>
        <v/>
      </c>
      <c r="P7524" s="24" t="str" cm="1">
        <f t="array" ref="P7524">IFERROR(IF($B7524=P$1, ($A7524+$C7524) - MAX(IF($B$2:$B7523=$B7524, $A$2:$A7523+$C$2:$C7523)), "")*24*60, "")</f>
        <v/>
      </c>
      <c r="Q7524" s="24" t="str" cm="1">
        <f t="array" ref="Q7524">IFERROR(IF($B7524=Q$1, ($A7524+$C7524) - MAX(IF($B$2:$B7523=$B7524, $A$2:$A7523+$C$2:$C7523)), "")*24*60, "")</f>
        <v/>
      </c>
      <c r="R7524" s="24" t="str" cm="1">
        <f t="array" ref="R7524">IFERROR(IF($B7524=R$1, ($A7524+$C7524) - MAX(IF($B$2:$B7523=$B7524, $A$2:$A7523+$C$2:$C7523)), "")*24*60, "")</f>
        <v/>
      </c>
      <c r="S7524" s="24" t="str" cm="1">
        <f t="array" ref="S7524">IFERROR(IF($B7524=S$1, ($A7524+$C7524) - MAX(IF($B$2:$B7523=$B7524, $A$2:$A7523+$C$2:$C7523)), "")*24*60, "")</f>
        <v/>
      </c>
    </row>
    <row r="7525" spans="1:19" x14ac:dyDescent="0.2">
      <c r="A7525" s="12">
        <f t="shared" ref="A7525:C7525" si="1710">A7524</f>
        <v>46015</v>
      </c>
      <c r="B7525" s="5" t="str">
        <f t="shared" si="1710"/>
        <v>Northern Cardinal</v>
      </c>
      <c r="C7525" s="6">
        <f t="shared" si="1710"/>
        <v>0.74097222222222225</v>
      </c>
      <c r="D7525" s="5"/>
      <c r="E7525" s="5"/>
      <c r="F7525" s="5" t="s">
        <v>9</v>
      </c>
      <c r="G7525" s="15" t="s">
        <v>8</v>
      </c>
      <c r="H7525" s="24">
        <f t="shared" si="1700"/>
        <v>0</v>
      </c>
      <c r="I7525" s="24" cm="1">
        <f t="array" ref="I7525">IFERROR(IF($B7525=I$1, ($A7525+$C7525) - MAX(IF($B$2:$B7524=$B7525, $A$2:$A7524+$C$2:$C7524)), "")*24*60, "")</f>
        <v>0</v>
      </c>
      <c r="J7525" s="24" t="str" cm="1">
        <f t="array" ref="J7525">IFERROR(IF($B7525=J$1, ($A7525+$C7525) - MAX(IF($B$2:$B7524=$B7525, $A$2:$A7524+$C$2:$C7524)), "")*24*60, "")</f>
        <v/>
      </c>
      <c r="K7525" s="24" t="str" cm="1">
        <f t="array" ref="K7525">IFERROR(IF($B7525=K$1, ($A7525+$C7525) - MAX(IF($B$2:$B7524=$B7525, $A$2:$A7524+$C$2:$C7524)), "")*24*60, "")</f>
        <v/>
      </c>
      <c r="L7525" s="24" t="str" cm="1">
        <f t="array" ref="L7525">IFERROR(IF($B7525=L$1, ($A7525+$C7525) - MAX(IF($B$2:$B7524=$B7525, $A$2:$A7524+$C$2:$C7524)), "")*24*60, "")</f>
        <v/>
      </c>
      <c r="M7525" s="24" t="str" cm="1">
        <f t="array" ref="M7525">IFERROR(IF($B7525=M$1, ($A7525+$C7525) - MAX(IF($B$2:$B7524=$B7525, $A$2:$A7524+$C$2:$C7524)), "")*24*60, "")</f>
        <v/>
      </c>
      <c r="N7525" s="24" t="str" cm="1">
        <f t="array" ref="N7525">IFERROR(IF($B7525=N$1, ($A7525+$C7525) - MAX(IF($B$2:$B7524=$B7525, $A$2:$A7524+$C$2:$C7524)), "")*24*60, "")</f>
        <v/>
      </c>
      <c r="O7525" s="24" t="str" cm="1">
        <f t="array" ref="O7525">IFERROR(IF($B7525=O$1, ($A7525+$C7525) - MAX(IF($B$2:$B7524=$B7525, $A$2:$A7524+$C$2:$C7524)), "")*24*60, "")</f>
        <v/>
      </c>
      <c r="P7525" s="24" t="str" cm="1">
        <f t="array" ref="P7525">IFERROR(IF($B7525=P$1, ($A7525+$C7525) - MAX(IF($B$2:$B7524=$B7525, $A$2:$A7524+$C$2:$C7524)), "")*24*60, "")</f>
        <v/>
      </c>
      <c r="Q7525" s="24" t="str" cm="1">
        <f t="array" ref="Q7525">IFERROR(IF($B7525=Q$1, ($A7525+$C7525) - MAX(IF($B$2:$B7524=$B7525, $A$2:$A7524+$C$2:$C7524)), "")*24*60, "")</f>
        <v/>
      </c>
      <c r="R7525" s="24" t="str" cm="1">
        <f t="array" ref="R7525">IFERROR(IF($B7525=R$1, ($A7525+$C7525) - MAX(IF($B$2:$B7524=$B7525, $A$2:$A7524+$C$2:$C7524)), "")*24*60, "")</f>
        <v/>
      </c>
      <c r="S7525" s="24" t="str" cm="1">
        <f t="array" ref="S7525">IFERROR(IF($B7525=S$1, ($A7525+$C7525) - MAX(IF($B$2:$B7524=$B7525, $A$2:$A7524+$C$2:$C7524)), "")*24*60, "")</f>
        <v/>
      </c>
    </row>
    <row r="7526" spans="1:19" x14ac:dyDescent="0.2">
      <c r="A7526" s="12">
        <f t="shared" ref="A7526:C7526" si="1711">A7525</f>
        <v>46015</v>
      </c>
      <c r="B7526" s="5" t="str">
        <f t="shared" si="1711"/>
        <v>Northern Cardinal</v>
      </c>
      <c r="C7526" s="6">
        <f t="shared" si="1711"/>
        <v>0.74097222222222225</v>
      </c>
      <c r="D7526" s="5"/>
      <c r="E7526" s="5"/>
      <c r="F7526" s="5" t="s">
        <v>9</v>
      </c>
      <c r="G7526" s="15" t="s">
        <v>8</v>
      </c>
      <c r="H7526" s="24">
        <f t="shared" si="1700"/>
        <v>0</v>
      </c>
      <c r="I7526" s="24" cm="1">
        <f t="array" ref="I7526">IFERROR(IF($B7526=I$1, ($A7526+$C7526) - MAX(IF($B$2:$B7525=$B7526, $A$2:$A7525+$C$2:$C7525)), "")*24*60, "")</f>
        <v>0</v>
      </c>
      <c r="J7526" s="24" t="str" cm="1">
        <f t="array" ref="J7526">IFERROR(IF($B7526=J$1, ($A7526+$C7526) - MAX(IF($B$2:$B7525=$B7526, $A$2:$A7525+$C$2:$C7525)), "")*24*60, "")</f>
        <v/>
      </c>
      <c r="K7526" s="24" t="str" cm="1">
        <f t="array" ref="K7526">IFERROR(IF($B7526=K$1, ($A7526+$C7526) - MAX(IF($B$2:$B7525=$B7526, $A$2:$A7525+$C$2:$C7525)), "")*24*60, "")</f>
        <v/>
      </c>
      <c r="L7526" s="24" t="str" cm="1">
        <f t="array" ref="L7526">IFERROR(IF($B7526=L$1, ($A7526+$C7526) - MAX(IF($B$2:$B7525=$B7526, $A$2:$A7525+$C$2:$C7525)), "")*24*60, "")</f>
        <v/>
      </c>
      <c r="M7526" s="24" t="str" cm="1">
        <f t="array" ref="M7526">IFERROR(IF($B7526=M$1, ($A7526+$C7526) - MAX(IF($B$2:$B7525=$B7526, $A$2:$A7525+$C$2:$C7525)), "")*24*60, "")</f>
        <v/>
      </c>
      <c r="N7526" s="24" t="str" cm="1">
        <f t="array" ref="N7526">IFERROR(IF($B7526=N$1, ($A7526+$C7526) - MAX(IF($B$2:$B7525=$B7526, $A$2:$A7525+$C$2:$C7525)), "")*24*60, "")</f>
        <v/>
      </c>
      <c r="O7526" s="24" t="str" cm="1">
        <f t="array" ref="O7526">IFERROR(IF($B7526=O$1, ($A7526+$C7526) - MAX(IF($B$2:$B7525=$B7526, $A$2:$A7525+$C$2:$C7525)), "")*24*60, "")</f>
        <v/>
      </c>
      <c r="P7526" s="24" t="str" cm="1">
        <f t="array" ref="P7526">IFERROR(IF($B7526=P$1, ($A7526+$C7526) - MAX(IF($B$2:$B7525=$B7526, $A$2:$A7525+$C$2:$C7525)), "")*24*60, "")</f>
        <v/>
      </c>
      <c r="Q7526" s="24" t="str" cm="1">
        <f t="array" ref="Q7526">IFERROR(IF($B7526=Q$1, ($A7526+$C7526) - MAX(IF($B$2:$B7525=$B7526, $A$2:$A7525+$C$2:$C7525)), "")*24*60, "")</f>
        <v/>
      </c>
      <c r="R7526" s="24" t="str" cm="1">
        <f t="array" ref="R7526">IFERROR(IF($B7526=R$1, ($A7526+$C7526) - MAX(IF($B$2:$B7525=$B7526, $A$2:$A7525+$C$2:$C7525)), "")*24*60, "")</f>
        <v/>
      </c>
      <c r="S7526" s="24" t="str" cm="1">
        <f t="array" ref="S7526">IFERROR(IF($B7526=S$1, ($A7526+$C7526) - MAX(IF($B$2:$B7525=$B7526, $A$2:$A7525+$C$2:$C7525)), "")*24*60, "")</f>
        <v/>
      </c>
    </row>
    <row r="7527" spans="1:19" x14ac:dyDescent="0.2">
      <c r="A7527" s="12">
        <f t="shared" ref="A7527:C7527" si="1712">A7526</f>
        <v>46015</v>
      </c>
      <c r="B7527" s="5" t="str">
        <f t="shared" si="1712"/>
        <v>Northern Cardinal</v>
      </c>
      <c r="C7527" s="6">
        <f t="shared" si="1712"/>
        <v>0.74097222222222225</v>
      </c>
      <c r="D7527" s="5"/>
      <c r="E7527" s="5"/>
      <c r="F7527" s="5" t="s">
        <v>9</v>
      </c>
      <c r="G7527" s="15" t="s">
        <v>8</v>
      </c>
      <c r="H7527" s="24">
        <f t="shared" si="1700"/>
        <v>0</v>
      </c>
      <c r="I7527" s="24" cm="1">
        <f t="array" ref="I7527">IFERROR(IF($B7527=I$1, ($A7527+$C7527) - MAX(IF($B$2:$B7526=$B7527, $A$2:$A7526+$C$2:$C7526)), "")*24*60, "")</f>
        <v>0</v>
      </c>
      <c r="J7527" s="24" t="str" cm="1">
        <f t="array" ref="J7527">IFERROR(IF($B7527=J$1, ($A7527+$C7527) - MAX(IF($B$2:$B7526=$B7527, $A$2:$A7526+$C$2:$C7526)), "")*24*60, "")</f>
        <v/>
      </c>
      <c r="K7527" s="24" t="str" cm="1">
        <f t="array" ref="K7527">IFERROR(IF($B7527=K$1, ($A7527+$C7527) - MAX(IF($B$2:$B7526=$B7527, $A$2:$A7526+$C$2:$C7526)), "")*24*60, "")</f>
        <v/>
      </c>
      <c r="L7527" s="24" t="str" cm="1">
        <f t="array" ref="L7527">IFERROR(IF($B7527=L$1, ($A7527+$C7527) - MAX(IF($B$2:$B7526=$B7527, $A$2:$A7526+$C$2:$C7526)), "")*24*60, "")</f>
        <v/>
      </c>
      <c r="M7527" s="24" t="str" cm="1">
        <f t="array" ref="M7527">IFERROR(IF($B7527=M$1, ($A7527+$C7527) - MAX(IF($B$2:$B7526=$B7527, $A$2:$A7526+$C$2:$C7526)), "")*24*60, "")</f>
        <v/>
      </c>
      <c r="N7527" s="24" t="str" cm="1">
        <f t="array" ref="N7527">IFERROR(IF($B7527=N$1, ($A7527+$C7527) - MAX(IF($B$2:$B7526=$B7527, $A$2:$A7526+$C$2:$C7526)), "")*24*60, "")</f>
        <v/>
      </c>
      <c r="O7527" s="24" t="str" cm="1">
        <f t="array" ref="O7527">IFERROR(IF($B7527=O$1, ($A7527+$C7527) - MAX(IF($B$2:$B7526=$B7527, $A$2:$A7526+$C$2:$C7526)), "")*24*60, "")</f>
        <v/>
      </c>
      <c r="P7527" s="24" t="str" cm="1">
        <f t="array" ref="P7527">IFERROR(IF($B7527=P$1, ($A7527+$C7527) - MAX(IF($B$2:$B7526=$B7527, $A$2:$A7526+$C$2:$C7526)), "")*24*60, "")</f>
        <v/>
      </c>
      <c r="Q7527" s="24" t="str" cm="1">
        <f t="array" ref="Q7527">IFERROR(IF($B7527=Q$1, ($A7527+$C7527) - MAX(IF($B$2:$B7526=$B7527, $A$2:$A7526+$C$2:$C7526)), "")*24*60, "")</f>
        <v/>
      </c>
      <c r="R7527" s="24" t="str" cm="1">
        <f t="array" ref="R7527">IFERROR(IF($B7527=R$1, ($A7527+$C7527) - MAX(IF($B$2:$B7526=$B7527, $A$2:$A7526+$C$2:$C7526)), "")*24*60, "")</f>
        <v/>
      </c>
      <c r="S7527" s="24" t="str" cm="1">
        <f t="array" ref="S7527">IFERROR(IF($B7527=S$1, ($A7527+$C7527) - MAX(IF($B$2:$B7526=$B7527, $A$2:$A7526+$C$2:$C7526)), "")*24*60, "")</f>
        <v/>
      </c>
    </row>
    <row r="7528" spans="1:19" x14ac:dyDescent="0.2">
      <c r="A7528" s="12">
        <f t="shared" ref="A7528:C7528" si="1713">A7527</f>
        <v>46015</v>
      </c>
      <c r="B7528" s="5" t="str">
        <f t="shared" si="1713"/>
        <v>Northern Cardinal</v>
      </c>
      <c r="C7528" s="6">
        <f t="shared" si="1713"/>
        <v>0.74097222222222225</v>
      </c>
      <c r="D7528" s="5"/>
      <c r="E7528" s="5"/>
      <c r="F7528" s="5" t="s">
        <v>9</v>
      </c>
      <c r="G7528" s="15" t="s">
        <v>8</v>
      </c>
      <c r="H7528" s="24">
        <f t="shared" si="1700"/>
        <v>0</v>
      </c>
      <c r="I7528" s="24" cm="1">
        <f t="array" ref="I7528">IFERROR(IF($B7528=I$1, ($A7528+$C7528) - MAX(IF($B$2:$B7527=$B7528, $A$2:$A7527+$C$2:$C7527)), "")*24*60, "")</f>
        <v>0</v>
      </c>
      <c r="J7528" s="24" t="str" cm="1">
        <f t="array" ref="J7528">IFERROR(IF($B7528=J$1, ($A7528+$C7528) - MAX(IF($B$2:$B7527=$B7528, $A$2:$A7527+$C$2:$C7527)), "")*24*60, "")</f>
        <v/>
      </c>
      <c r="K7528" s="24" t="str" cm="1">
        <f t="array" ref="K7528">IFERROR(IF($B7528=K$1, ($A7528+$C7528) - MAX(IF($B$2:$B7527=$B7528, $A$2:$A7527+$C$2:$C7527)), "")*24*60, "")</f>
        <v/>
      </c>
      <c r="L7528" s="24" t="str" cm="1">
        <f t="array" ref="L7528">IFERROR(IF($B7528=L$1, ($A7528+$C7528) - MAX(IF($B$2:$B7527=$B7528, $A$2:$A7527+$C$2:$C7527)), "")*24*60, "")</f>
        <v/>
      </c>
      <c r="M7528" s="24" t="str" cm="1">
        <f t="array" ref="M7528">IFERROR(IF($B7528=M$1, ($A7528+$C7528) - MAX(IF($B$2:$B7527=$B7528, $A$2:$A7527+$C$2:$C7527)), "")*24*60, "")</f>
        <v/>
      </c>
      <c r="N7528" s="24" t="str" cm="1">
        <f t="array" ref="N7528">IFERROR(IF($B7528=N$1, ($A7528+$C7528) - MAX(IF($B$2:$B7527=$B7528, $A$2:$A7527+$C$2:$C7527)), "")*24*60, "")</f>
        <v/>
      </c>
      <c r="O7528" s="24" t="str" cm="1">
        <f t="array" ref="O7528">IFERROR(IF($B7528=O$1, ($A7528+$C7528) - MAX(IF($B$2:$B7527=$B7528, $A$2:$A7527+$C$2:$C7527)), "")*24*60, "")</f>
        <v/>
      </c>
      <c r="P7528" s="24" t="str" cm="1">
        <f t="array" ref="P7528">IFERROR(IF($B7528=P$1, ($A7528+$C7528) - MAX(IF($B$2:$B7527=$B7528, $A$2:$A7527+$C$2:$C7527)), "")*24*60, "")</f>
        <v/>
      </c>
      <c r="Q7528" s="24" t="str" cm="1">
        <f t="array" ref="Q7528">IFERROR(IF($B7528=Q$1, ($A7528+$C7528) - MAX(IF($B$2:$B7527=$B7528, $A$2:$A7527+$C$2:$C7527)), "")*24*60, "")</f>
        <v/>
      </c>
      <c r="R7528" s="24" t="str" cm="1">
        <f t="array" ref="R7528">IFERROR(IF($B7528=R$1, ($A7528+$C7528) - MAX(IF($B$2:$B7527=$B7528, $A$2:$A7527+$C$2:$C7527)), "")*24*60, "")</f>
        <v/>
      </c>
      <c r="S7528" s="24" t="str" cm="1">
        <f t="array" ref="S7528">IFERROR(IF($B7528=S$1, ($A7528+$C7528) - MAX(IF($B$2:$B7527=$B7528, $A$2:$A7527+$C$2:$C7527)), "")*24*60, "")</f>
        <v/>
      </c>
    </row>
    <row r="7529" spans="1:19" x14ac:dyDescent="0.2">
      <c r="A7529" s="12">
        <f t="shared" ref="A7529:C7529" si="1714">A7528</f>
        <v>46015</v>
      </c>
      <c r="B7529" s="5" t="str">
        <f t="shared" si="1714"/>
        <v>Northern Cardinal</v>
      </c>
      <c r="C7529" s="6">
        <f t="shared" si="1714"/>
        <v>0.74097222222222225</v>
      </c>
      <c r="D7529" s="5"/>
      <c r="E7529" s="5"/>
      <c r="F7529" s="5" t="s">
        <v>9</v>
      </c>
      <c r="G7529" s="15" t="s">
        <v>8</v>
      </c>
      <c r="H7529" s="24">
        <f t="shared" si="1700"/>
        <v>0</v>
      </c>
      <c r="I7529" s="24" cm="1">
        <f t="array" ref="I7529">IFERROR(IF($B7529=I$1, ($A7529+$C7529) - MAX(IF($B$2:$B7528=$B7529, $A$2:$A7528+$C$2:$C7528)), "")*24*60, "")</f>
        <v>0</v>
      </c>
      <c r="J7529" s="24" t="str" cm="1">
        <f t="array" ref="J7529">IFERROR(IF($B7529=J$1, ($A7529+$C7529) - MAX(IF($B$2:$B7528=$B7529, $A$2:$A7528+$C$2:$C7528)), "")*24*60, "")</f>
        <v/>
      </c>
      <c r="K7529" s="24" t="str" cm="1">
        <f t="array" ref="K7529">IFERROR(IF($B7529=K$1, ($A7529+$C7529) - MAX(IF($B$2:$B7528=$B7529, $A$2:$A7528+$C$2:$C7528)), "")*24*60, "")</f>
        <v/>
      </c>
      <c r="L7529" s="24" t="str" cm="1">
        <f t="array" ref="L7529">IFERROR(IF($B7529=L$1, ($A7529+$C7529) - MAX(IF($B$2:$B7528=$B7529, $A$2:$A7528+$C$2:$C7528)), "")*24*60, "")</f>
        <v/>
      </c>
      <c r="M7529" s="24" t="str" cm="1">
        <f t="array" ref="M7529">IFERROR(IF($B7529=M$1, ($A7529+$C7529) - MAX(IF($B$2:$B7528=$B7529, $A$2:$A7528+$C$2:$C7528)), "")*24*60, "")</f>
        <v/>
      </c>
      <c r="N7529" s="24" t="str" cm="1">
        <f t="array" ref="N7529">IFERROR(IF($B7529=N$1, ($A7529+$C7529) - MAX(IF($B$2:$B7528=$B7529, $A$2:$A7528+$C$2:$C7528)), "")*24*60, "")</f>
        <v/>
      </c>
      <c r="O7529" s="24" t="str" cm="1">
        <f t="array" ref="O7529">IFERROR(IF($B7529=O$1, ($A7529+$C7529) - MAX(IF($B$2:$B7528=$B7529, $A$2:$A7528+$C$2:$C7528)), "")*24*60, "")</f>
        <v/>
      </c>
      <c r="P7529" s="24" t="str" cm="1">
        <f t="array" ref="P7529">IFERROR(IF($B7529=P$1, ($A7529+$C7529) - MAX(IF($B$2:$B7528=$B7529, $A$2:$A7528+$C$2:$C7528)), "")*24*60, "")</f>
        <v/>
      </c>
      <c r="Q7529" s="24" t="str" cm="1">
        <f t="array" ref="Q7529">IFERROR(IF($B7529=Q$1, ($A7529+$C7529) - MAX(IF($B$2:$B7528=$B7529, $A$2:$A7528+$C$2:$C7528)), "")*24*60, "")</f>
        <v/>
      </c>
      <c r="R7529" s="24" t="str" cm="1">
        <f t="array" ref="R7529">IFERROR(IF($B7529=R$1, ($A7529+$C7529) - MAX(IF($B$2:$B7528=$B7529, $A$2:$A7528+$C$2:$C7528)), "")*24*60, "")</f>
        <v/>
      </c>
      <c r="S7529" s="24" t="str" cm="1">
        <f t="array" ref="S7529">IFERROR(IF($B7529=S$1, ($A7529+$C7529) - MAX(IF($B$2:$B7528=$B7529, $A$2:$A7528+$C$2:$C7528)), "")*24*60, "")</f>
        <v/>
      </c>
    </row>
    <row r="7530" spans="1:19" x14ac:dyDescent="0.2">
      <c r="A7530" s="12">
        <f t="shared" ref="A7530:C7530" si="1715">A7529</f>
        <v>46015</v>
      </c>
      <c r="B7530" s="5" t="str">
        <f t="shared" si="1715"/>
        <v>Northern Cardinal</v>
      </c>
      <c r="C7530" s="6">
        <f t="shared" si="1715"/>
        <v>0.74097222222222225</v>
      </c>
      <c r="D7530" s="5"/>
      <c r="E7530" s="5"/>
      <c r="F7530" s="5" t="s">
        <v>9</v>
      </c>
      <c r="G7530" s="15" t="s">
        <v>8</v>
      </c>
      <c r="H7530" s="24">
        <f t="shared" si="1700"/>
        <v>0</v>
      </c>
      <c r="I7530" s="24" cm="1">
        <f t="array" ref="I7530">IFERROR(IF($B7530=I$1, ($A7530+$C7530) - MAX(IF($B$2:$B7529=$B7530, $A$2:$A7529+$C$2:$C7529)), "")*24*60, "")</f>
        <v>0</v>
      </c>
      <c r="J7530" s="24" t="str" cm="1">
        <f t="array" ref="J7530">IFERROR(IF($B7530=J$1, ($A7530+$C7530) - MAX(IF($B$2:$B7529=$B7530, $A$2:$A7529+$C$2:$C7529)), "")*24*60, "")</f>
        <v/>
      </c>
      <c r="K7530" s="24" t="str" cm="1">
        <f t="array" ref="K7530">IFERROR(IF($B7530=K$1, ($A7530+$C7530) - MAX(IF($B$2:$B7529=$B7530, $A$2:$A7529+$C$2:$C7529)), "")*24*60, "")</f>
        <v/>
      </c>
      <c r="L7530" s="24" t="str" cm="1">
        <f t="array" ref="L7530">IFERROR(IF($B7530=L$1, ($A7530+$C7530) - MAX(IF($B$2:$B7529=$B7530, $A$2:$A7529+$C$2:$C7529)), "")*24*60, "")</f>
        <v/>
      </c>
      <c r="M7530" s="24" t="str" cm="1">
        <f t="array" ref="M7530">IFERROR(IF($B7530=M$1, ($A7530+$C7530) - MAX(IF($B$2:$B7529=$B7530, $A$2:$A7529+$C$2:$C7529)), "")*24*60, "")</f>
        <v/>
      </c>
      <c r="N7530" s="24" t="str" cm="1">
        <f t="array" ref="N7530">IFERROR(IF($B7530=N$1, ($A7530+$C7530) - MAX(IF($B$2:$B7529=$B7530, $A$2:$A7529+$C$2:$C7529)), "")*24*60, "")</f>
        <v/>
      </c>
      <c r="O7530" s="24" t="str" cm="1">
        <f t="array" ref="O7530">IFERROR(IF($B7530=O$1, ($A7530+$C7530) - MAX(IF($B$2:$B7529=$B7530, $A$2:$A7529+$C$2:$C7529)), "")*24*60, "")</f>
        <v/>
      </c>
      <c r="P7530" s="24" t="str" cm="1">
        <f t="array" ref="P7530">IFERROR(IF($B7530=P$1, ($A7530+$C7530) - MAX(IF($B$2:$B7529=$B7530, $A$2:$A7529+$C$2:$C7529)), "")*24*60, "")</f>
        <v/>
      </c>
      <c r="Q7530" s="24" t="str" cm="1">
        <f t="array" ref="Q7530">IFERROR(IF($B7530=Q$1, ($A7530+$C7530) - MAX(IF($B$2:$B7529=$B7530, $A$2:$A7529+$C$2:$C7529)), "")*24*60, "")</f>
        <v/>
      </c>
      <c r="R7530" s="24" t="str" cm="1">
        <f t="array" ref="R7530">IFERROR(IF($B7530=R$1, ($A7530+$C7530) - MAX(IF($B$2:$B7529=$B7530, $A$2:$A7529+$C$2:$C7529)), "")*24*60, "")</f>
        <v/>
      </c>
      <c r="S7530" s="24" t="str" cm="1">
        <f t="array" ref="S7530">IFERROR(IF($B7530=S$1, ($A7530+$C7530) - MAX(IF($B$2:$B7529=$B7530, $A$2:$A7529+$C$2:$C7529)), "")*24*60, "")</f>
        <v/>
      </c>
    </row>
    <row r="7531" spans="1:19" x14ac:dyDescent="0.2">
      <c r="A7531" s="12">
        <f t="shared" ref="A7531:C7531" si="1716">A7530</f>
        <v>46015</v>
      </c>
      <c r="B7531" s="5" t="str">
        <f t="shared" si="1716"/>
        <v>Northern Cardinal</v>
      </c>
      <c r="C7531" s="6">
        <f t="shared" si="1716"/>
        <v>0.74097222222222225</v>
      </c>
      <c r="D7531" s="5"/>
      <c r="E7531" s="5"/>
      <c r="F7531" s="5" t="s">
        <v>9</v>
      </c>
      <c r="G7531" s="15" t="s">
        <v>8</v>
      </c>
      <c r="H7531" s="24">
        <f t="shared" si="1700"/>
        <v>0</v>
      </c>
      <c r="I7531" s="24" cm="1">
        <f t="array" ref="I7531">IFERROR(IF($B7531=I$1, ($A7531+$C7531) - MAX(IF($B$2:$B7530=$B7531, $A$2:$A7530+$C$2:$C7530)), "")*24*60, "")</f>
        <v>0</v>
      </c>
      <c r="J7531" s="24" t="str" cm="1">
        <f t="array" ref="J7531">IFERROR(IF($B7531=J$1, ($A7531+$C7531) - MAX(IF($B$2:$B7530=$B7531, $A$2:$A7530+$C$2:$C7530)), "")*24*60, "")</f>
        <v/>
      </c>
      <c r="K7531" s="24" t="str" cm="1">
        <f t="array" ref="K7531">IFERROR(IF($B7531=K$1, ($A7531+$C7531) - MAX(IF($B$2:$B7530=$B7531, $A$2:$A7530+$C$2:$C7530)), "")*24*60, "")</f>
        <v/>
      </c>
      <c r="L7531" s="24" t="str" cm="1">
        <f t="array" ref="L7531">IFERROR(IF($B7531=L$1, ($A7531+$C7531) - MAX(IF($B$2:$B7530=$B7531, $A$2:$A7530+$C$2:$C7530)), "")*24*60, "")</f>
        <v/>
      </c>
      <c r="M7531" s="24" t="str" cm="1">
        <f t="array" ref="M7531">IFERROR(IF($B7531=M$1, ($A7531+$C7531) - MAX(IF($B$2:$B7530=$B7531, $A$2:$A7530+$C$2:$C7530)), "")*24*60, "")</f>
        <v/>
      </c>
      <c r="N7531" s="24" t="str" cm="1">
        <f t="array" ref="N7531">IFERROR(IF($B7531=N$1, ($A7531+$C7531) - MAX(IF($B$2:$B7530=$B7531, $A$2:$A7530+$C$2:$C7530)), "")*24*60, "")</f>
        <v/>
      </c>
      <c r="O7531" s="24" t="str" cm="1">
        <f t="array" ref="O7531">IFERROR(IF($B7531=O$1, ($A7531+$C7531) - MAX(IF($B$2:$B7530=$B7531, $A$2:$A7530+$C$2:$C7530)), "")*24*60, "")</f>
        <v/>
      </c>
      <c r="P7531" s="24" t="str" cm="1">
        <f t="array" ref="P7531">IFERROR(IF($B7531=P$1, ($A7531+$C7531) - MAX(IF($B$2:$B7530=$B7531, $A$2:$A7530+$C$2:$C7530)), "")*24*60, "")</f>
        <v/>
      </c>
      <c r="Q7531" s="24" t="str" cm="1">
        <f t="array" ref="Q7531">IFERROR(IF($B7531=Q$1, ($A7531+$C7531) - MAX(IF($B$2:$B7530=$B7531, $A$2:$A7530+$C$2:$C7530)), "")*24*60, "")</f>
        <v/>
      </c>
      <c r="R7531" s="24" t="str" cm="1">
        <f t="array" ref="R7531">IFERROR(IF($B7531=R$1, ($A7531+$C7531) - MAX(IF($B$2:$B7530=$B7531, $A$2:$A7530+$C$2:$C7530)), "")*24*60, "")</f>
        <v/>
      </c>
      <c r="S7531" s="24" t="str" cm="1">
        <f t="array" ref="S7531">IFERROR(IF($B7531=S$1, ($A7531+$C7531) - MAX(IF($B$2:$B7530=$B7531, $A$2:$A7530+$C$2:$C7530)), "")*24*60, "")</f>
        <v/>
      </c>
    </row>
    <row r="7532" spans="1:19" x14ac:dyDescent="0.2">
      <c r="A7532" s="12">
        <f t="shared" ref="A7532:C7532" si="1717">A7531</f>
        <v>46015</v>
      </c>
      <c r="B7532" s="5" t="str">
        <f t="shared" si="1717"/>
        <v>Northern Cardinal</v>
      </c>
      <c r="C7532" s="6">
        <f t="shared" si="1717"/>
        <v>0.74097222222222225</v>
      </c>
      <c r="D7532" s="5"/>
      <c r="E7532" s="5"/>
      <c r="F7532" s="5" t="s">
        <v>9</v>
      </c>
      <c r="G7532" s="15" t="s">
        <v>8</v>
      </c>
      <c r="H7532" s="24">
        <f t="shared" si="1700"/>
        <v>0</v>
      </c>
      <c r="I7532" s="24" cm="1">
        <f t="array" ref="I7532">IFERROR(IF($B7532=I$1, ($A7532+$C7532) - MAX(IF($B$2:$B7531=$B7532, $A$2:$A7531+$C$2:$C7531)), "")*24*60, "")</f>
        <v>0</v>
      </c>
      <c r="J7532" s="24" t="str" cm="1">
        <f t="array" ref="J7532">IFERROR(IF($B7532=J$1, ($A7532+$C7532) - MAX(IF($B$2:$B7531=$B7532, $A$2:$A7531+$C$2:$C7531)), "")*24*60, "")</f>
        <v/>
      </c>
      <c r="K7532" s="24" t="str" cm="1">
        <f t="array" ref="K7532">IFERROR(IF($B7532=K$1, ($A7532+$C7532) - MAX(IF($B$2:$B7531=$B7532, $A$2:$A7531+$C$2:$C7531)), "")*24*60, "")</f>
        <v/>
      </c>
      <c r="L7532" s="24" t="str" cm="1">
        <f t="array" ref="L7532">IFERROR(IF($B7532=L$1, ($A7532+$C7532) - MAX(IF($B$2:$B7531=$B7532, $A$2:$A7531+$C$2:$C7531)), "")*24*60, "")</f>
        <v/>
      </c>
      <c r="M7532" s="24" t="str" cm="1">
        <f t="array" ref="M7532">IFERROR(IF($B7532=M$1, ($A7532+$C7532) - MAX(IF($B$2:$B7531=$B7532, $A$2:$A7531+$C$2:$C7531)), "")*24*60, "")</f>
        <v/>
      </c>
      <c r="N7532" s="24" t="str" cm="1">
        <f t="array" ref="N7532">IFERROR(IF($B7532=N$1, ($A7532+$C7532) - MAX(IF($B$2:$B7531=$B7532, $A$2:$A7531+$C$2:$C7531)), "")*24*60, "")</f>
        <v/>
      </c>
      <c r="O7532" s="24" t="str" cm="1">
        <f t="array" ref="O7532">IFERROR(IF($B7532=O$1, ($A7532+$C7532) - MAX(IF($B$2:$B7531=$B7532, $A$2:$A7531+$C$2:$C7531)), "")*24*60, "")</f>
        <v/>
      </c>
      <c r="P7532" s="24" t="str" cm="1">
        <f t="array" ref="P7532">IFERROR(IF($B7532=P$1, ($A7532+$C7532) - MAX(IF($B$2:$B7531=$B7532, $A$2:$A7531+$C$2:$C7531)), "")*24*60, "")</f>
        <v/>
      </c>
      <c r="Q7532" s="24" t="str" cm="1">
        <f t="array" ref="Q7532">IFERROR(IF($B7532=Q$1, ($A7532+$C7532) - MAX(IF($B$2:$B7531=$B7532, $A$2:$A7531+$C$2:$C7531)), "")*24*60, "")</f>
        <v/>
      </c>
      <c r="R7532" s="24" t="str" cm="1">
        <f t="array" ref="R7532">IFERROR(IF($B7532=R$1, ($A7532+$C7532) - MAX(IF($B$2:$B7531=$B7532, $A$2:$A7531+$C$2:$C7531)), "")*24*60, "")</f>
        <v/>
      </c>
      <c r="S7532" s="24" t="str" cm="1">
        <f t="array" ref="S7532">IFERROR(IF($B7532=S$1, ($A7532+$C7532) - MAX(IF($B$2:$B7531=$B7532, $A$2:$A7531+$C$2:$C7531)), "")*24*60, "")</f>
        <v/>
      </c>
    </row>
    <row r="7533" spans="1:19" x14ac:dyDescent="0.2">
      <c r="A7533" s="12">
        <f t="shared" ref="A7533:C7533" si="1718">A7532</f>
        <v>46015</v>
      </c>
      <c r="B7533" s="5" t="str">
        <f t="shared" si="1718"/>
        <v>Northern Cardinal</v>
      </c>
      <c r="C7533" s="6">
        <f t="shared" si="1718"/>
        <v>0.74097222222222225</v>
      </c>
      <c r="D7533" s="5"/>
      <c r="E7533" s="5"/>
      <c r="F7533" s="5" t="s">
        <v>9</v>
      </c>
      <c r="G7533" s="15" t="s">
        <v>8</v>
      </c>
      <c r="H7533" s="24">
        <f t="shared" si="1700"/>
        <v>0</v>
      </c>
      <c r="I7533" s="24" cm="1">
        <f t="array" ref="I7533">IFERROR(IF($B7533=I$1, ($A7533+$C7533) - MAX(IF($B$2:$B7532=$B7533, $A$2:$A7532+$C$2:$C7532)), "")*24*60, "")</f>
        <v>0</v>
      </c>
      <c r="J7533" s="24" t="str" cm="1">
        <f t="array" ref="J7533">IFERROR(IF($B7533=J$1, ($A7533+$C7533) - MAX(IF($B$2:$B7532=$B7533, $A$2:$A7532+$C$2:$C7532)), "")*24*60, "")</f>
        <v/>
      </c>
      <c r="K7533" s="24" t="str" cm="1">
        <f t="array" ref="K7533">IFERROR(IF($B7533=K$1, ($A7533+$C7533) - MAX(IF($B$2:$B7532=$B7533, $A$2:$A7532+$C$2:$C7532)), "")*24*60, "")</f>
        <v/>
      </c>
      <c r="L7533" s="24" t="str" cm="1">
        <f t="array" ref="L7533">IFERROR(IF($B7533=L$1, ($A7533+$C7533) - MAX(IF($B$2:$B7532=$B7533, $A$2:$A7532+$C$2:$C7532)), "")*24*60, "")</f>
        <v/>
      </c>
      <c r="M7533" s="24" t="str" cm="1">
        <f t="array" ref="M7533">IFERROR(IF($B7533=M$1, ($A7533+$C7533) - MAX(IF($B$2:$B7532=$B7533, $A$2:$A7532+$C$2:$C7532)), "")*24*60, "")</f>
        <v/>
      </c>
      <c r="N7533" s="24" t="str" cm="1">
        <f t="array" ref="N7533">IFERROR(IF($B7533=N$1, ($A7533+$C7533) - MAX(IF($B$2:$B7532=$B7533, $A$2:$A7532+$C$2:$C7532)), "")*24*60, "")</f>
        <v/>
      </c>
      <c r="O7533" s="24" t="str" cm="1">
        <f t="array" ref="O7533">IFERROR(IF($B7533=O$1, ($A7533+$C7533) - MAX(IF($B$2:$B7532=$B7533, $A$2:$A7532+$C$2:$C7532)), "")*24*60, "")</f>
        <v/>
      </c>
      <c r="P7533" s="24" t="str" cm="1">
        <f t="array" ref="P7533">IFERROR(IF($B7533=P$1, ($A7533+$C7533) - MAX(IF($B$2:$B7532=$B7533, $A$2:$A7532+$C$2:$C7532)), "")*24*60, "")</f>
        <v/>
      </c>
      <c r="Q7533" s="24" t="str" cm="1">
        <f t="array" ref="Q7533">IFERROR(IF($B7533=Q$1, ($A7533+$C7533) - MAX(IF($B$2:$B7532=$B7533, $A$2:$A7532+$C$2:$C7532)), "")*24*60, "")</f>
        <v/>
      </c>
      <c r="R7533" s="24" t="str" cm="1">
        <f t="array" ref="R7533">IFERROR(IF($B7533=R$1, ($A7533+$C7533) - MAX(IF($B$2:$B7532=$B7533, $A$2:$A7532+$C$2:$C7532)), "")*24*60, "")</f>
        <v/>
      </c>
      <c r="S7533" s="24" t="str" cm="1">
        <f t="array" ref="S7533">IFERROR(IF($B7533=S$1, ($A7533+$C7533) - MAX(IF($B$2:$B7532=$B7533, $A$2:$A7532+$C$2:$C7532)), "")*24*60, "")</f>
        <v/>
      </c>
    </row>
    <row r="7534" spans="1:19" x14ac:dyDescent="0.2">
      <c r="A7534" s="12">
        <f t="shared" ref="A7534:C7534" si="1719">A7533</f>
        <v>46015</v>
      </c>
      <c r="B7534" s="5" t="str">
        <f t="shared" si="1719"/>
        <v>Northern Cardinal</v>
      </c>
      <c r="C7534" s="6">
        <f t="shared" si="1719"/>
        <v>0.74097222222222225</v>
      </c>
      <c r="D7534" s="5"/>
      <c r="E7534" s="5"/>
      <c r="F7534" s="5" t="s">
        <v>9</v>
      </c>
      <c r="G7534" s="15" t="s">
        <v>8</v>
      </c>
      <c r="H7534" s="24">
        <f t="shared" si="1700"/>
        <v>0</v>
      </c>
      <c r="I7534" s="24" cm="1">
        <f t="array" ref="I7534">IFERROR(IF($B7534=I$1, ($A7534+$C7534) - MAX(IF($B$2:$B7533=$B7534, $A$2:$A7533+$C$2:$C7533)), "")*24*60, "")</f>
        <v>0</v>
      </c>
      <c r="J7534" s="24" t="str" cm="1">
        <f t="array" ref="J7534">IFERROR(IF($B7534=J$1, ($A7534+$C7534) - MAX(IF($B$2:$B7533=$B7534, $A$2:$A7533+$C$2:$C7533)), "")*24*60, "")</f>
        <v/>
      </c>
      <c r="K7534" s="24" t="str" cm="1">
        <f t="array" ref="K7534">IFERROR(IF($B7534=K$1, ($A7534+$C7534) - MAX(IF($B$2:$B7533=$B7534, $A$2:$A7533+$C$2:$C7533)), "")*24*60, "")</f>
        <v/>
      </c>
      <c r="L7534" s="24" t="str" cm="1">
        <f t="array" ref="L7534">IFERROR(IF($B7534=L$1, ($A7534+$C7534) - MAX(IF($B$2:$B7533=$B7534, $A$2:$A7533+$C$2:$C7533)), "")*24*60, "")</f>
        <v/>
      </c>
      <c r="M7534" s="24" t="str" cm="1">
        <f t="array" ref="M7534">IFERROR(IF($B7534=M$1, ($A7534+$C7534) - MAX(IF($B$2:$B7533=$B7534, $A$2:$A7533+$C$2:$C7533)), "")*24*60, "")</f>
        <v/>
      </c>
      <c r="N7534" s="24" t="str" cm="1">
        <f t="array" ref="N7534">IFERROR(IF($B7534=N$1, ($A7534+$C7534) - MAX(IF($B$2:$B7533=$B7534, $A$2:$A7533+$C$2:$C7533)), "")*24*60, "")</f>
        <v/>
      </c>
      <c r="O7534" s="24" t="str" cm="1">
        <f t="array" ref="O7534">IFERROR(IF($B7534=O$1, ($A7534+$C7534) - MAX(IF($B$2:$B7533=$B7534, $A$2:$A7533+$C$2:$C7533)), "")*24*60, "")</f>
        <v/>
      </c>
      <c r="P7534" s="24" t="str" cm="1">
        <f t="array" ref="P7534">IFERROR(IF($B7534=P$1, ($A7534+$C7534) - MAX(IF($B$2:$B7533=$B7534, $A$2:$A7533+$C$2:$C7533)), "")*24*60, "")</f>
        <v/>
      </c>
      <c r="Q7534" s="24" t="str" cm="1">
        <f t="array" ref="Q7534">IFERROR(IF($B7534=Q$1, ($A7534+$C7534) - MAX(IF($B$2:$B7533=$B7534, $A$2:$A7533+$C$2:$C7533)), "")*24*60, "")</f>
        <v/>
      </c>
      <c r="R7534" s="24" t="str" cm="1">
        <f t="array" ref="R7534">IFERROR(IF($B7534=R$1, ($A7534+$C7534) - MAX(IF($B$2:$B7533=$B7534, $A$2:$A7533+$C$2:$C7533)), "")*24*60, "")</f>
        <v/>
      </c>
      <c r="S7534" s="24" t="str" cm="1">
        <f t="array" ref="S7534">IFERROR(IF($B7534=S$1, ($A7534+$C7534) - MAX(IF($B$2:$B7533=$B7534, $A$2:$A7533+$C$2:$C7533)), "")*24*60, "")</f>
        <v/>
      </c>
    </row>
    <row r="7535" spans="1:19" x14ac:dyDescent="0.2">
      <c r="A7535" s="12">
        <f t="shared" ref="A7535:C7535" si="1720">A7534</f>
        <v>46015</v>
      </c>
      <c r="B7535" s="5" t="str">
        <f t="shared" si="1720"/>
        <v>Northern Cardinal</v>
      </c>
      <c r="C7535" s="6">
        <f t="shared" si="1720"/>
        <v>0.74097222222222225</v>
      </c>
      <c r="D7535" s="5"/>
      <c r="E7535" s="5"/>
      <c r="F7535" s="5" t="s">
        <v>9</v>
      </c>
      <c r="G7535" s="15" t="s">
        <v>8</v>
      </c>
      <c r="H7535" s="24">
        <f t="shared" si="1700"/>
        <v>0</v>
      </c>
      <c r="I7535" s="24" cm="1">
        <f t="array" ref="I7535">IFERROR(IF($B7535=I$1, ($A7535+$C7535) - MAX(IF($B$2:$B7534=$B7535, $A$2:$A7534+$C$2:$C7534)), "")*24*60, "")</f>
        <v>0</v>
      </c>
      <c r="J7535" s="24" t="str" cm="1">
        <f t="array" ref="J7535">IFERROR(IF($B7535=J$1, ($A7535+$C7535) - MAX(IF($B$2:$B7534=$B7535, $A$2:$A7534+$C$2:$C7534)), "")*24*60, "")</f>
        <v/>
      </c>
      <c r="K7535" s="24" t="str" cm="1">
        <f t="array" ref="K7535">IFERROR(IF($B7535=K$1, ($A7535+$C7535) - MAX(IF($B$2:$B7534=$B7535, $A$2:$A7534+$C$2:$C7534)), "")*24*60, "")</f>
        <v/>
      </c>
      <c r="L7535" s="24" t="str" cm="1">
        <f t="array" ref="L7535">IFERROR(IF($B7535=L$1, ($A7535+$C7535) - MAX(IF($B$2:$B7534=$B7535, $A$2:$A7534+$C$2:$C7534)), "")*24*60, "")</f>
        <v/>
      </c>
      <c r="M7535" s="24" t="str" cm="1">
        <f t="array" ref="M7535">IFERROR(IF($B7535=M$1, ($A7535+$C7535) - MAX(IF($B$2:$B7534=$B7535, $A$2:$A7534+$C$2:$C7534)), "")*24*60, "")</f>
        <v/>
      </c>
      <c r="N7535" s="24" t="str" cm="1">
        <f t="array" ref="N7535">IFERROR(IF($B7535=N$1, ($A7535+$C7535) - MAX(IF($B$2:$B7534=$B7535, $A$2:$A7534+$C$2:$C7534)), "")*24*60, "")</f>
        <v/>
      </c>
      <c r="O7535" s="24" t="str" cm="1">
        <f t="array" ref="O7535">IFERROR(IF($B7535=O$1, ($A7535+$C7535) - MAX(IF($B$2:$B7534=$B7535, $A$2:$A7534+$C$2:$C7534)), "")*24*60, "")</f>
        <v/>
      </c>
      <c r="P7535" s="24" t="str" cm="1">
        <f t="array" ref="P7535">IFERROR(IF($B7535=P$1, ($A7535+$C7535) - MAX(IF($B$2:$B7534=$B7535, $A$2:$A7534+$C$2:$C7534)), "")*24*60, "")</f>
        <v/>
      </c>
      <c r="Q7535" s="24" t="str" cm="1">
        <f t="array" ref="Q7535">IFERROR(IF($B7535=Q$1, ($A7535+$C7535) - MAX(IF($B$2:$B7534=$B7535, $A$2:$A7534+$C$2:$C7534)), "")*24*60, "")</f>
        <v/>
      </c>
      <c r="R7535" s="24" t="str" cm="1">
        <f t="array" ref="R7535">IFERROR(IF($B7535=R$1, ($A7535+$C7535) - MAX(IF($B$2:$B7534=$B7535, $A$2:$A7534+$C$2:$C7534)), "")*24*60, "")</f>
        <v/>
      </c>
      <c r="S7535" s="24" t="str" cm="1">
        <f t="array" ref="S7535">IFERROR(IF($B7535=S$1, ($A7535+$C7535) - MAX(IF($B$2:$B7534=$B7535, $A$2:$A7534+$C$2:$C7534)), "")*24*60, "")</f>
        <v/>
      </c>
    </row>
    <row r="7536" spans="1:19" x14ac:dyDescent="0.2">
      <c r="A7536" s="12">
        <f t="shared" ref="A7536:C7536" si="1721">A7535</f>
        <v>46015</v>
      </c>
      <c r="B7536" s="5" t="str">
        <f t="shared" si="1721"/>
        <v>Northern Cardinal</v>
      </c>
      <c r="C7536" s="6">
        <f t="shared" si="1721"/>
        <v>0.74097222222222225</v>
      </c>
      <c r="D7536" s="5"/>
      <c r="E7536" s="5"/>
      <c r="F7536" s="5" t="s">
        <v>9</v>
      </c>
      <c r="G7536" s="15" t="s">
        <v>8</v>
      </c>
      <c r="H7536" s="24">
        <f t="shared" si="1700"/>
        <v>0</v>
      </c>
      <c r="I7536" s="24" cm="1">
        <f t="array" ref="I7536">IFERROR(IF($B7536=I$1, ($A7536+$C7536) - MAX(IF($B$2:$B7535=$B7536, $A$2:$A7535+$C$2:$C7535)), "")*24*60, "")</f>
        <v>0</v>
      </c>
      <c r="J7536" s="24" t="str" cm="1">
        <f t="array" ref="J7536">IFERROR(IF($B7536=J$1, ($A7536+$C7536) - MAX(IF($B$2:$B7535=$B7536, $A$2:$A7535+$C$2:$C7535)), "")*24*60, "")</f>
        <v/>
      </c>
      <c r="K7536" s="24" t="str" cm="1">
        <f t="array" ref="K7536">IFERROR(IF($B7536=K$1, ($A7536+$C7536) - MAX(IF($B$2:$B7535=$B7536, $A$2:$A7535+$C$2:$C7535)), "")*24*60, "")</f>
        <v/>
      </c>
      <c r="L7536" s="24" t="str" cm="1">
        <f t="array" ref="L7536">IFERROR(IF($B7536=L$1, ($A7536+$C7536) - MAX(IF($B$2:$B7535=$B7536, $A$2:$A7535+$C$2:$C7535)), "")*24*60, "")</f>
        <v/>
      </c>
      <c r="M7536" s="24" t="str" cm="1">
        <f t="array" ref="M7536">IFERROR(IF($B7536=M$1, ($A7536+$C7536) - MAX(IF($B$2:$B7535=$B7536, $A$2:$A7535+$C$2:$C7535)), "")*24*60, "")</f>
        <v/>
      </c>
      <c r="N7536" s="24" t="str" cm="1">
        <f t="array" ref="N7536">IFERROR(IF($B7536=N$1, ($A7536+$C7536) - MAX(IF($B$2:$B7535=$B7536, $A$2:$A7535+$C$2:$C7535)), "")*24*60, "")</f>
        <v/>
      </c>
      <c r="O7536" s="24" t="str" cm="1">
        <f t="array" ref="O7536">IFERROR(IF($B7536=O$1, ($A7536+$C7536) - MAX(IF($B$2:$B7535=$B7536, $A$2:$A7535+$C$2:$C7535)), "")*24*60, "")</f>
        <v/>
      </c>
      <c r="P7536" s="24" t="str" cm="1">
        <f t="array" ref="P7536">IFERROR(IF($B7536=P$1, ($A7536+$C7536) - MAX(IF($B$2:$B7535=$B7536, $A$2:$A7535+$C$2:$C7535)), "")*24*60, "")</f>
        <v/>
      </c>
      <c r="Q7536" s="24" t="str" cm="1">
        <f t="array" ref="Q7536">IFERROR(IF($B7536=Q$1, ($A7536+$C7536) - MAX(IF($B$2:$B7535=$B7536, $A$2:$A7535+$C$2:$C7535)), "")*24*60, "")</f>
        <v/>
      </c>
      <c r="R7536" s="24" t="str" cm="1">
        <f t="array" ref="R7536">IFERROR(IF($B7536=R$1, ($A7536+$C7536) - MAX(IF($B$2:$B7535=$B7536, $A$2:$A7535+$C$2:$C7535)), "")*24*60, "")</f>
        <v/>
      </c>
      <c r="S7536" s="24" t="str" cm="1">
        <f t="array" ref="S7536">IFERROR(IF($B7536=S$1, ($A7536+$C7536) - MAX(IF($B$2:$B7535=$B7536, $A$2:$A7535+$C$2:$C7535)), "")*24*60, "")</f>
        <v/>
      </c>
    </row>
    <row r="7537" spans="1:19" x14ac:dyDescent="0.2">
      <c r="A7537" s="12">
        <f t="shared" ref="A7537:C7537" si="1722">A7536</f>
        <v>46015</v>
      </c>
      <c r="B7537" s="5" t="str">
        <f t="shared" si="1722"/>
        <v>Northern Cardinal</v>
      </c>
      <c r="C7537" s="6">
        <f t="shared" si="1722"/>
        <v>0.74097222222222225</v>
      </c>
      <c r="D7537" s="5"/>
      <c r="E7537" s="5"/>
      <c r="F7537" s="5" t="s">
        <v>9</v>
      </c>
      <c r="G7537" s="15" t="s">
        <v>8</v>
      </c>
      <c r="H7537" s="24">
        <f t="shared" si="1700"/>
        <v>0</v>
      </c>
      <c r="I7537" s="24" cm="1">
        <f t="array" ref="I7537">IFERROR(IF($B7537=I$1, ($A7537+$C7537) - MAX(IF($B$2:$B7536=$B7537, $A$2:$A7536+$C$2:$C7536)), "")*24*60, "")</f>
        <v>0</v>
      </c>
      <c r="J7537" s="24" t="str" cm="1">
        <f t="array" ref="J7537">IFERROR(IF($B7537=J$1, ($A7537+$C7537) - MAX(IF($B$2:$B7536=$B7537, $A$2:$A7536+$C$2:$C7536)), "")*24*60, "")</f>
        <v/>
      </c>
      <c r="K7537" s="24" t="str" cm="1">
        <f t="array" ref="K7537">IFERROR(IF($B7537=K$1, ($A7537+$C7537) - MAX(IF($B$2:$B7536=$B7537, $A$2:$A7536+$C$2:$C7536)), "")*24*60, "")</f>
        <v/>
      </c>
      <c r="L7537" s="24" t="str" cm="1">
        <f t="array" ref="L7537">IFERROR(IF($B7537=L$1, ($A7537+$C7537) - MAX(IF($B$2:$B7536=$B7537, $A$2:$A7536+$C$2:$C7536)), "")*24*60, "")</f>
        <v/>
      </c>
      <c r="M7537" s="24" t="str" cm="1">
        <f t="array" ref="M7537">IFERROR(IF($B7537=M$1, ($A7537+$C7537) - MAX(IF($B$2:$B7536=$B7537, $A$2:$A7536+$C$2:$C7536)), "")*24*60, "")</f>
        <v/>
      </c>
      <c r="N7537" s="24" t="str" cm="1">
        <f t="array" ref="N7537">IFERROR(IF($B7537=N$1, ($A7537+$C7537) - MAX(IF($B$2:$B7536=$B7537, $A$2:$A7536+$C$2:$C7536)), "")*24*60, "")</f>
        <v/>
      </c>
      <c r="O7537" s="24" t="str" cm="1">
        <f t="array" ref="O7537">IFERROR(IF($B7537=O$1, ($A7537+$C7537) - MAX(IF($B$2:$B7536=$B7537, $A$2:$A7536+$C$2:$C7536)), "")*24*60, "")</f>
        <v/>
      </c>
      <c r="P7537" s="24" t="str" cm="1">
        <f t="array" ref="P7537">IFERROR(IF($B7537=P$1, ($A7537+$C7537) - MAX(IF($B$2:$B7536=$B7537, $A$2:$A7536+$C$2:$C7536)), "")*24*60, "")</f>
        <v/>
      </c>
      <c r="Q7537" s="24" t="str" cm="1">
        <f t="array" ref="Q7537">IFERROR(IF($B7537=Q$1, ($A7537+$C7537) - MAX(IF($B$2:$B7536=$B7537, $A$2:$A7536+$C$2:$C7536)), "")*24*60, "")</f>
        <v/>
      </c>
      <c r="R7537" s="24" t="str" cm="1">
        <f t="array" ref="R7537">IFERROR(IF($B7537=R$1, ($A7537+$C7537) - MAX(IF($B$2:$B7536=$B7537, $A$2:$A7536+$C$2:$C7536)), "")*24*60, "")</f>
        <v/>
      </c>
      <c r="S7537" s="24" t="str" cm="1">
        <f t="array" ref="S7537">IFERROR(IF($B7537=S$1, ($A7537+$C7537) - MAX(IF($B$2:$B7536=$B7537, $A$2:$A7536+$C$2:$C7536)), "")*24*60, "")</f>
        <v/>
      </c>
    </row>
    <row r="7538" spans="1:19" x14ac:dyDescent="0.2">
      <c r="A7538" s="12">
        <f t="shared" ref="A7538:C7538" si="1723">A7537</f>
        <v>46015</v>
      </c>
      <c r="B7538" s="5" t="str">
        <f t="shared" si="1723"/>
        <v>Northern Cardinal</v>
      </c>
      <c r="C7538" s="6">
        <f t="shared" si="1723"/>
        <v>0.74097222222222225</v>
      </c>
      <c r="D7538" s="5"/>
      <c r="E7538" s="5"/>
      <c r="F7538" s="5" t="s">
        <v>9</v>
      </c>
      <c r="G7538" s="15" t="s">
        <v>8</v>
      </c>
      <c r="H7538" s="24">
        <f t="shared" si="1700"/>
        <v>0</v>
      </c>
      <c r="I7538" s="24" cm="1">
        <f t="array" ref="I7538">IFERROR(IF($B7538=I$1, ($A7538+$C7538) - MAX(IF($B$2:$B7537=$B7538, $A$2:$A7537+$C$2:$C7537)), "")*24*60, "")</f>
        <v>0</v>
      </c>
      <c r="J7538" s="24" t="str" cm="1">
        <f t="array" ref="J7538">IFERROR(IF($B7538=J$1, ($A7538+$C7538) - MAX(IF($B$2:$B7537=$B7538, $A$2:$A7537+$C$2:$C7537)), "")*24*60, "")</f>
        <v/>
      </c>
      <c r="K7538" s="24" t="str" cm="1">
        <f t="array" ref="K7538">IFERROR(IF($B7538=K$1, ($A7538+$C7538) - MAX(IF($B$2:$B7537=$B7538, $A$2:$A7537+$C$2:$C7537)), "")*24*60, "")</f>
        <v/>
      </c>
      <c r="L7538" s="24" t="str" cm="1">
        <f t="array" ref="L7538">IFERROR(IF($B7538=L$1, ($A7538+$C7538) - MAX(IF($B$2:$B7537=$B7538, $A$2:$A7537+$C$2:$C7537)), "")*24*60, "")</f>
        <v/>
      </c>
      <c r="M7538" s="24" t="str" cm="1">
        <f t="array" ref="M7538">IFERROR(IF($B7538=M$1, ($A7538+$C7538) - MAX(IF($B$2:$B7537=$B7538, $A$2:$A7537+$C$2:$C7537)), "")*24*60, "")</f>
        <v/>
      </c>
      <c r="N7538" s="24" t="str" cm="1">
        <f t="array" ref="N7538">IFERROR(IF($B7538=N$1, ($A7538+$C7538) - MAX(IF($B$2:$B7537=$B7538, $A$2:$A7537+$C$2:$C7537)), "")*24*60, "")</f>
        <v/>
      </c>
      <c r="O7538" s="24" t="str" cm="1">
        <f t="array" ref="O7538">IFERROR(IF($B7538=O$1, ($A7538+$C7538) - MAX(IF($B$2:$B7537=$B7538, $A$2:$A7537+$C$2:$C7537)), "")*24*60, "")</f>
        <v/>
      </c>
      <c r="P7538" s="24" t="str" cm="1">
        <f t="array" ref="P7538">IFERROR(IF($B7538=P$1, ($A7538+$C7538) - MAX(IF($B$2:$B7537=$B7538, $A$2:$A7537+$C$2:$C7537)), "")*24*60, "")</f>
        <v/>
      </c>
      <c r="Q7538" s="24" t="str" cm="1">
        <f t="array" ref="Q7538">IFERROR(IF($B7538=Q$1, ($A7538+$C7538) - MAX(IF($B$2:$B7537=$B7538, $A$2:$A7537+$C$2:$C7537)), "")*24*60, "")</f>
        <v/>
      </c>
      <c r="R7538" s="24" t="str" cm="1">
        <f t="array" ref="R7538">IFERROR(IF($B7538=R$1, ($A7538+$C7538) - MAX(IF($B$2:$B7537=$B7538, $A$2:$A7537+$C$2:$C7537)), "")*24*60, "")</f>
        <v/>
      </c>
      <c r="S7538" s="24" t="str" cm="1">
        <f t="array" ref="S7538">IFERROR(IF($B7538=S$1, ($A7538+$C7538) - MAX(IF($B$2:$B7537=$B7538, $A$2:$A7537+$C$2:$C7537)), "")*24*60, "")</f>
        <v/>
      </c>
    </row>
    <row r="7539" spans="1:19" x14ac:dyDescent="0.2">
      <c r="A7539" s="12">
        <f t="shared" ref="A7539:C7539" si="1724">A7538</f>
        <v>46015</v>
      </c>
      <c r="B7539" s="5" t="str">
        <f t="shared" si="1724"/>
        <v>Northern Cardinal</v>
      </c>
      <c r="C7539" s="6">
        <f t="shared" si="1724"/>
        <v>0.74097222222222225</v>
      </c>
      <c r="D7539" s="5"/>
      <c r="E7539" s="5"/>
      <c r="F7539" s="5" t="s">
        <v>9</v>
      </c>
      <c r="G7539" s="15" t="s">
        <v>8</v>
      </c>
      <c r="H7539" s="24">
        <f t="shared" si="1700"/>
        <v>0</v>
      </c>
      <c r="I7539" s="24" cm="1">
        <f t="array" ref="I7539">IFERROR(IF($B7539=I$1, ($A7539+$C7539) - MAX(IF($B$2:$B7538=$B7539, $A$2:$A7538+$C$2:$C7538)), "")*24*60, "")</f>
        <v>0</v>
      </c>
      <c r="J7539" s="24" t="str" cm="1">
        <f t="array" ref="J7539">IFERROR(IF($B7539=J$1, ($A7539+$C7539) - MAX(IF($B$2:$B7538=$B7539, $A$2:$A7538+$C$2:$C7538)), "")*24*60, "")</f>
        <v/>
      </c>
      <c r="K7539" s="24" t="str" cm="1">
        <f t="array" ref="K7539">IFERROR(IF($B7539=K$1, ($A7539+$C7539) - MAX(IF($B$2:$B7538=$B7539, $A$2:$A7538+$C$2:$C7538)), "")*24*60, "")</f>
        <v/>
      </c>
      <c r="L7539" s="24" t="str" cm="1">
        <f t="array" ref="L7539">IFERROR(IF($B7539=L$1, ($A7539+$C7539) - MAX(IF($B$2:$B7538=$B7539, $A$2:$A7538+$C$2:$C7538)), "")*24*60, "")</f>
        <v/>
      </c>
      <c r="M7539" s="24" t="str" cm="1">
        <f t="array" ref="M7539">IFERROR(IF($B7539=M$1, ($A7539+$C7539) - MAX(IF($B$2:$B7538=$B7539, $A$2:$A7538+$C$2:$C7538)), "")*24*60, "")</f>
        <v/>
      </c>
      <c r="N7539" s="24" t="str" cm="1">
        <f t="array" ref="N7539">IFERROR(IF($B7539=N$1, ($A7539+$C7539) - MAX(IF($B$2:$B7538=$B7539, $A$2:$A7538+$C$2:$C7538)), "")*24*60, "")</f>
        <v/>
      </c>
      <c r="O7539" s="24" t="str" cm="1">
        <f t="array" ref="O7539">IFERROR(IF($B7539=O$1, ($A7539+$C7539) - MAX(IF($B$2:$B7538=$B7539, $A$2:$A7538+$C$2:$C7538)), "")*24*60, "")</f>
        <v/>
      </c>
      <c r="P7539" s="24" t="str" cm="1">
        <f t="array" ref="P7539">IFERROR(IF($B7539=P$1, ($A7539+$C7539) - MAX(IF($B$2:$B7538=$B7539, $A$2:$A7538+$C$2:$C7538)), "")*24*60, "")</f>
        <v/>
      </c>
      <c r="Q7539" s="24" t="str" cm="1">
        <f t="array" ref="Q7539">IFERROR(IF($B7539=Q$1, ($A7539+$C7539) - MAX(IF($B$2:$B7538=$B7539, $A$2:$A7538+$C$2:$C7538)), "")*24*60, "")</f>
        <v/>
      </c>
      <c r="R7539" s="24" t="str" cm="1">
        <f t="array" ref="R7539">IFERROR(IF($B7539=R$1, ($A7539+$C7539) - MAX(IF($B$2:$B7538=$B7539, $A$2:$A7538+$C$2:$C7538)), "")*24*60, "")</f>
        <v/>
      </c>
      <c r="S7539" s="24" t="str" cm="1">
        <f t="array" ref="S7539">IFERROR(IF($B7539=S$1, ($A7539+$C7539) - MAX(IF($B$2:$B7538=$B7539, $A$2:$A7538+$C$2:$C7538)), "")*24*60, "")</f>
        <v/>
      </c>
    </row>
    <row r="7540" spans="1:19" x14ac:dyDescent="0.2">
      <c r="A7540" s="12">
        <f t="shared" ref="A7540:C7540" si="1725">A7539</f>
        <v>46015</v>
      </c>
      <c r="B7540" s="5" t="str">
        <f t="shared" si="1725"/>
        <v>Northern Cardinal</v>
      </c>
      <c r="C7540" s="6">
        <f t="shared" si="1725"/>
        <v>0.74097222222222225</v>
      </c>
      <c r="D7540" s="5"/>
      <c r="E7540" s="5"/>
      <c r="F7540" s="5" t="s">
        <v>9</v>
      </c>
      <c r="G7540" s="15" t="s">
        <v>8</v>
      </c>
      <c r="H7540" s="24">
        <f t="shared" si="1700"/>
        <v>0</v>
      </c>
      <c r="I7540" s="24" cm="1">
        <f t="array" ref="I7540">IFERROR(IF($B7540=I$1, ($A7540+$C7540) - MAX(IF($B$2:$B7539=$B7540, $A$2:$A7539+$C$2:$C7539)), "")*24*60, "")</f>
        <v>0</v>
      </c>
      <c r="J7540" s="24" t="str" cm="1">
        <f t="array" ref="J7540">IFERROR(IF($B7540=J$1, ($A7540+$C7540) - MAX(IF($B$2:$B7539=$B7540, $A$2:$A7539+$C$2:$C7539)), "")*24*60, "")</f>
        <v/>
      </c>
      <c r="K7540" s="24" t="str" cm="1">
        <f t="array" ref="K7540">IFERROR(IF($B7540=K$1, ($A7540+$C7540) - MAX(IF($B$2:$B7539=$B7540, $A$2:$A7539+$C$2:$C7539)), "")*24*60, "")</f>
        <v/>
      </c>
      <c r="L7540" s="24" t="str" cm="1">
        <f t="array" ref="L7540">IFERROR(IF($B7540=L$1, ($A7540+$C7540) - MAX(IF($B$2:$B7539=$B7540, $A$2:$A7539+$C$2:$C7539)), "")*24*60, "")</f>
        <v/>
      </c>
      <c r="M7540" s="24" t="str" cm="1">
        <f t="array" ref="M7540">IFERROR(IF($B7540=M$1, ($A7540+$C7540) - MAX(IF($B$2:$B7539=$B7540, $A$2:$A7539+$C$2:$C7539)), "")*24*60, "")</f>
        <v/>
      </c>
      <c r="N7540" s="24" t="str" cm="1">
        <f t="array" ref="N7540">IFERROR(IF($B7540=N$1, ($A7540+$C7540) - MAX(IF($B$2:$B7539=$B7540, $A$2:$A7539+$C$2:$C7539)), "")*24*60, "")</f>
        <v/>
      </c>
      <c r="O7540" s="24" t="str" cm="1">
        <f t="array" ref="O7540">IFERROR(IF($B7540=O$1, ($A7540+$C7540) - MAX(IF($B$2:$B7539=$B7540, $A$2:$A7539+$C$2:$C7539)), "")*24*60, "")</f>
        <v/>
      </c>
      <c r="P7540" s="24" t="str" cm="1">
        <f t="array" ref="P7540">IFERROR(IF($B7540=P$1, ($A7540+$C7540) - MAX(IF($B$2:$B7539=$B7540, $A$2:$A7539+$C$2:$C7539)), "")*24*60, "")</f>
        <v/>
      </c>
      <c r="Q7540" s="24" t="str" cm="1">
        <f t="array" ref="Q7540">IFERROR(IF($B7540=Q$1, ($A7540+$C7540) - MAX(IF($B$2:$B7539=$B7540, $A$2:$A7539+$C$2:$C7539)), "")*24*60, "")</f>
        <v/>
      </c>
      <c r="R7540" s="24" t="str" cm="1">
        <f t="array" ref="R7540">IFERROR(IF($B7540=R$1, ($A7540+$C7540) - MAX(IF($B$2:$B7539=$B7540, $A$2:$A7539+$C$2:$C7539)), "")*24*60, "")</f>
        <v/>
      </c>
      <c r="S7540" s="24" t="str" cm="1">
        <f t="array" ref="S7540">IFERROR(IF($B7540=S$1, ($A7540+$C7540) - MAX(IF($B$2:$B7539=$B7540, $A$2:$A7539+$C$2:$C7539)), "")*24*60, "")</f>
        <v/>
      </c>
    </row>
    <row r="7541" spans="1:19" x14ac:dyDescent="0.2">
      <c r="A7541" s="12">
        <f t="shared" ref="A7541:C7541" si="1726">A7540</f>
        <v>46015</v>
      </c>
      <c r="B7541" s="5" t="str">
        <f t="shared" si="1726"/>
        <v>Northern Cardinal</v>
      </c>
      <c r="C7541" s="6">
        <f t="shared" si="1726"/>
        <v>0.74097222222222225</v>
      </c>
      <c r="D7541" s="5"/>
      <c r="E7541" s="5"/>
      <c r="F7541" s="5" t="s">
        <v>9</v>
      </c>
      <c r="G7541" s="15" t="s">
        <v>8</v>
      </c>
      <c r="H7541" s="24">
        <f t="shared" si="1700"/>
        <v>0</v>
      </c>
      <c r="I7541" s="24" cm="1">
        <f t="array" ref="I7541">IFERROR(IF($B7541=I$1, ($A7541+$C7541) - MAX(IF($B$2:$B7540=$B7541, $A$2:$A7540+$C$2:$C7540)), "")*24*60, "")</f>
        <v>0</v>
      </c>
      <c r="J7541" s="24" t="str" cm="1">
        <f t="array" ref="J7541">IFERROR(IF($B7541=J$1, ($A7541+$C7541) - MAX(IF($B$2:$B7540=$B7541, $A$2:$A7540+$C$2:$C7540)), "")*24*60, "")</f>
        <v/>
      </c>
      <c r="K7541" s="24" t="str" cm="1">
        <f t="array" ref="K7541">IFERROR(IF($B7541=K$1, ($A7541+$C7541) - MAX(IF($B$2:$B7540=$B7541, $A$2:$A7540+$C$2:$C7540)), "")*24*60, "")</f>
        <v/>
      </c>
      <c r="L7541" s="24" t="str" cm="1">
        <f t="array" ref="L7541">IFERROR(IF($B7541=L$1, ($A7541+$C7541) - MAX(IF($B$2:$B7540=$B7541, $A$2:$A7540+$C$2:$C7540)), "")*24*60, "")</f>
        <v/>
      </c>
      <c r="M7541" s="24" t="str" cm="1">
        <f t="array" ref="M7541">IFERROR(IF($B7541=M$1, ($A7541+$C7541) - MAX(IF($B$2:$B7540=$B7541, $A$2:$A7540+$C$2:$C7540)), "")*24*60, "")</f>
        <v/>
      </c>
      <c r="N7541" s="24" t="str" cm="1">
        <f t="array" ref="N7541">IFERROR(IF($B7541=N$1, ($A7541+$C7541) - MAX(IF($B$2:$B7540=$B7541, $A$2:$A7540+$C$2:$C7540)), "")*24*60, "")</f>
        <v/>
      </c>
      <c r="O7541" s="24" t="str" cm="1">
        <f t="array" ref="O7541">IFERROR(IF($B7541=O$1, ($A7541+$C7541) - MAX(IF($B$2:$B7540=$B7541, $A$2:$A7540+$C$2:$C7540)), "")*24*60, "")</f>
        <v/>
      </c>
      <c r="P7541" s="24" t="str" cm="1">
        <f t="array" ref="P7541">IFERROR(IF($B7541=P$1, ($A7541+$C7541) - MAX(IF($B$2:$B7540=$B7541, $A$2:$A7540+$C$2:$C7540)), "")*24*60, "")</f>
        <v/>
      </c>
      <c r="Q7541" s="24" t="str" cm="1">
        <f t="array" ref="Q7541">IFERROR(IF($B7541=Q$1, ($A7541+$C7541) - MAX(IF($B$2:$B7540=$B7541, $A$2:$A7540+$C$2:$C7540)), "")*24*60, "")</f>
        <v/>
      </c>
      <c r="R7541" s="24" t="str" cm="1">
        <f t="array" ref="R7541">IFERROR(IF($B7541=R$1, ($A7541+$C7541) - MAX(IF($B$2:$B7540=$B7541, $A$2:$A7540+$C$2:$C7540)), "")*24*60, "")</f>
        <v/>
      </c>
      <c r="S7541" s="24" t="str" cm="1">
        <f t="array" ref="S7541">IFERROR(IF($B7541=S$1, ($A7541+$C7541) - MAX(IF($B$2:$B7540=$B7541, $A$2:$A7540+$C$2:$C7540)), "")*24*60, "")</f>
        <v/>
      </c>
    </row>
    <row r="7542" spans="1:19" x14ac:dyDescent="0.2">
      <c r="A7542" s="12">
        <f t="shared" ref="A7542:C7542" si="1727">A7541</f>
        <v>46015</v>
      </c>
      <c r="B7542" s="5" t="str">
        <f t="shared" si="1727"/>
        <v>Northern Cardinal</v>
      </c>
      <c r="C7542" s="6">
        <f t="shared" si="1727"/>
        <v>0.74097222222222225</v>
      </c>
      <c r="D7542" s="5"/>
      <c r="E7542" s="5"/>
      <c r="F7542" s="5" t="s">
        <v>9</v>
      </c>
      <c r="G7542" s="15" t="s">
        <v>8</v>
      </c>
      <c r="H7542" s="24">
        <f t="shared" si="1700"/>
        <v>0</v>
      </c>
      <c r="I7542" s="24" cm="1">
        <f t="array" ref="I7542">IFERROR(IF($B7542=I$1, ($A7542+$C7542) - MAX(IF($B$2:$B7541=$B7542, $A$2:$A7541+$C$2:$C7541)), "")*24*60, "")</f>
        <v>0</v>
      </c>
      <c r="J7542" s="24" t="str" cm="1">
        <f t="array" ref="J7542">IFERROR(IF($B7542=J$1, ($A7542+$C7542) - MAX(IF($B$2:$B7541=$B7542, $A$2:$A7541+$C$2:$C7541)), "")*24*60, "")</f>
        <v/>
      </c>
      <c r="K7542" s="24" t="str" cm="1">
        <f t="array" ref="K7542">IFERROR(IF($B7542=K$1, ($A7542+$C7542) - MAX(IF($B$2:$B7541=$B7542, $A$2:$A7541+$C$2:$C7541)), "")*24*60, "")</f>
        <v/>
      </c>
      <c r="L7542" s="24" t="str" cm="1">
        <f t="array" ref="L7542">IFERROR(IF($B7542=L$1, ($A7542+$C7542) - MAX(IF($B$2:$B7541=$B7542, $A$2:$A7541+$C$2:$C7541)), "")*24*60, "")</f>
        <v/>
      </c>
      <c r="M7542" s="24" t="str" cm="1">
        <f t="array" ref="M7542">IFERROR(IF($B7542=M$1, ($A7542+$C7542) - MAX(IF($B$2:$B7541=$B7542, $A$2:$A7541+$C$2:$C7541)), "")*24*60, "")</f>
        <v/>
      </c>
      <c r="N7542" s="24" t="str" cm="1">
        <f t="array" ref="N7542">IFERROR(IF($B7542=N$1, ($A7542+$C7542) - MAX(IF($B$2:$B7541=$B7542, $A$2:$A7541+$C$2:$C7541)), "")*24*60, "")</f>
        <v/>
      </c>
      <c r="O7542" s="24" t="str" cm="1">
        <f t="array" ref="O7542">IFERROR(IF($B7542=O$1, ($A7542+$C7542) - MAX(IF($B$2:$B7541=$B7542, $A$2:$A7541+$C$2:$C7541)), "")*24*60, "")</f>
        <v/>
      </c>
      <c r="P7542" s="24" t="str" cm="1">
        <f t="array" ref="P7542">IFERROR(IF($B7542=P$1, ($A7542+$C7542) - MAX(IF($B$2:$B7541=$B7542, $A$2:$A7541+$C$2:$C7541)), "")*24*60, "")</f>
        <v/>
      </c>
      <c r="Q7542" s="24" t="str" cm="1">
        <f t="array" ref="Q7542">IFERROR(IF($B7542=Q$1, ($A7542+$C7542) - MAX(IF($B$2:$B7541=$B7542, $A$2:$A7541+$C$2:$C7541)), "")*24*60, "")</f>
        <v/>
      </c>
      <c r="R7542" s="24" t="str" cm="1">
        <f t="array" ref="R7542">IFERROR(IF($B7542=R$1, ($A7542+$C7542) - MAX(IF($B$2:$B7541=$B7542, $A$2:$A7541+$C$2:$C7541)), "")*24*60, "")</f>
        <v/>
      </c>
      <c r="S7542" s="24" t="str" cm="1">
        <f t="array" ref="S7542">IFERROR(IF($B7542=S$1, ($A7542+$C7542) - MAX(IF($B$2:$B7541=$B7542, $A$2:$A7541+$C$2:$C7541)), "")*24*60, "")</f>
        <v/>
      </c>
    </row>
    <row r="7543" spans="1:19" x14ac:dyDescent="0.2">
      <c r="A7543" s="12">
        <f t="shared" ref="A7543:C7543" si="1728">A7542</f>
        <v>46015</v>
      </c>
      <c r="B7543" s="5" t="str">
        <f t="shared" si="1728"/>
        <v>Northern Cardinal</v>
      </c>
      <c r="C7543" s="6">
        <f t="shared" si="1728"/>
        <v>0.74097222222222225</v>
      </c>
      <c r="D7543" s="5"/>
      <c r="E7543" s="5"/>
      <c r="F7543" s="5" t="s">
        <v>9</v>
      </c>
      <c r="G7543" s="15" t="s">
        <v>8</v>
      </c>
      <c r="H7543" s="24">
        <f t="shared" si="1700"/>
        <v>0</v>
      </c>
      <c r="I7543" s="24" cm="1">
        <f t="array" ref="I7543">IFERROR(IF($B7543=I$1, ($A7543+$C7543) - MAX(IF($B$2:$B7542=$B7543, $A$2:$A7542+$C$2:$C7542)), "")*24*60, "")</f>
        <v>0</v>
      </c>
      <c r="J7543" s="24" t="str" cm="1">
        <f t="array" ref="J7543">IFERROR(IF($B7543=J$1, ($A7543+$C7543) - MAX(IF($B$2:$B7542=$B7543, $A$2:$A7542+$C$2:$C7542)), "")*24*60, "")</f>
        <v/>
      </c>
      <c r="K7543" s="24" t="str" cm="1">
        <f t="array" ref="K7543">IFERROR(IF($B7543=K$1, ($A7543+$C7543) - MAX(IF($B$2:$B7542=$B7543, $A$2:$A7542+$C$2:$C7542)), "")*24*60, "")</f>
        <v/>
      </c>
      <c r="L7543" s="24" t="str" cm="1">
        <f t="array" ref="L7543">IFERROR(IF($B7543=L$1, ($A7543+$C7543) - MAX(IF($B$2:$B7542=$B7543, $A$2:$A7542+$C$2:$C7542)), "")*24*60, "")</f>
        <v/>
      </c>
      <c r="M7543" s="24" t="str" cm="1">
        <f t="array" ref="M7543">IFERROR(IF($B7543=M$1, ($A7543+$C7543) - MAX(IF($B$2:$B7542=$B7543, $A$2:$A7542+$C$2:$C7542)), "")*24*60, "")</f>
        <v/>
      </c>
      <c r="N7543" s="24" t="str" cm="1">
        <f t="array" ref="N7543">IFERROR(IF($B7543=N$1, ($A7543+$C7543) - MAX(IF($B$2:$B7542=$B7543, $A$2:$A7542+$C$2:$C7542)), "")*24*60, "")</f>
        <v/>
      </c>
      <c r="O7543" s="24" t="str" cm="1">
        <f t="array" ref="O7543">IFERROR(IF($B7543=O$1, ($A7543+$C7543) - MAX(IF($B$2:$B7542=$B7543, $A$2:$A7542+$C$2:$C7542)), "")*24*60, "")</f>
        <v/>
      </c>
      <c r="P7543" s="24" t="str" cm="1">
        <f t="array" ref="P7543">IFERROR(IF($B7543=P$1, ($A7543+$C7543) - MAX(IF($B$2:$B7542=$B7543, $A$2:$A7542+$C$2:$C7542)), "")*24*60, "")</f>
        <v/>
      </c>
      <c r="Q7543" s="24" t="str" cm="1">
        <f t="array" ref="Q7543">IFERROR(IF($B7543=Q$1, ($A7543+$C7543) - MAX(IF($B$2:$B7542=$B7543, $A$2:$A7542+$C$2:$C7542)), "")*24*60, "")</f>
        <v/>
      </c>
      <c r="R7543" s="24" t="str" cm="1">
        <f t="array" ref="R7543">IFERROR(IF($B7543=R$1, ($A7543+$C7543) - MAX(IF($B$2:$B7542=$B7543, $A$2:$A7542+$C$2:$C7542)), "")*24*60, "")</f>
        <v/>
      </c>
      <c r="S7543" s="24" t="str" cm="1">
        <f t="array" ref="S7543">IFERROR(IF($B7543=S$1, ($A7543+$C7543) - MAX(IF($B$2:$B7542=$B7543, $A$2:$A7542+$C$2:$C7542)), "")*24*60, "")</f>
        <v/>
      </c>
    </row>
    <row r="7544" spans="1:19" x14ac:dyDescent="0.2">
      <c r="A7544" s="12">
        <f t="shared" ref="A7544:C7544" si="1729">A7543</f>
        <v>46015</v>
      </c>
      <c r="B7544" s="5" t="str">
        <f t="shared" si="1729"/>
        <v>Northern Cardinal</v>
      </c>
      <c r="C7544" s="6">
        <f t="shared" si="1729"/>
        <v>0.74097222222222225</v>
      </c>
      <c r="D7544" s="5"/>
      <c r="E7544" s="5"/>
      <c r="F7544" s="5" t="s">
        <v>9</v>
      </c>
      <c r="G7544" s="15" t="s">
        <v>8</v>
      </c>
      <c r="H7544" s="24">
        <f t="shared" si="1700"/>
        <v>0</v>
      </c>
      <c r="I7544" s="24" cm="1">
        <f t="array" ref="I7544">IFERROR(IF($B7544=I$1, ($A7544+$C7544) - MAX(IF($B$2:$B7543=$B7544, $A$2:$A7543+$C$2:$C7543)), "")*24*60, "")</f>
        <v>0</v>
      </c>
      <c r="J7544" s="24" t="str" cm="1">
        <f t="array" ref="J7544">IFERROR(IF($B7544=J$1, ($A7544+$C7544) - MAX(IF($B$2:$B7543=$B7544, $A$2:$A7543+$C$2:$C7543)), "")*24*60, "")</f>
        <v/>
      </c>
      <c r="K7544" s="24" t="str" cm="1">
        <f t="array" ref="K7544">IFERROR(IF($B7544=K$1, ($A7544+$C7544) - MAX(IF($B$2:$B7543=$B7544, $A$2:$A7543+$C$2:$C7543)), "")*24*60, "")</f>
        <v/>
      </c>
      <c r="L7544" s="24" t="str" cm="1">
        <f t="array" ref="L7544">IFERROR(IF($B7544=L$1, ($A7544+$C7544) - MAX(IF($B$2:$B7543=$B7544, $A$2:$A7543+$C$2:$C7543)), "")*24*60, "")</f>
        <v/>
      </c>
      <c r="M7544" s="24" t="str" cm="1">
        <f t="array" ref="M7544">IFERROR(IF($B7544=M$1, ($A7544+$C7544) - MAX(IF($B$2:$B7543=$B7544, $A$2:$A7543+$C$2:$C7543)), "")*24*60, "")</f>
        <v/>
      </c>
      <c r="N7544" s="24" t="str" cm="1">
        <f t="array" ref="N7544">IFERROR(IF($B7544=N$1, ($A7544+$C7544) - MAX(IF($B$2:$B7543=$B7544, $A$2:$A7543+$C$2:$C7543)), "")*24*60, "")</f>
        <v/>
      </c>
      <c r="O7544" s="24" t="str" cm="1">
        <f t="array" ref="O7544">IFERROR(IF($B7544=O$1, ($A7544+$C7544) - MAX(IF($B$2:$B7543=$B7544, $A$2:$A7543+$C$2:$C7543)), "")*24*60, "")</f>
        <v/>
      </c>
      <c r="P7544" s="24" t="str" cm="1">
        <f t="array" ref="P7544">IFERROR(IF($B7544=P$1, ($A7544+$C7544) - MAX(IF($B$2:$B7543=$B7544, $A$2:$A7543+$C$2:$C7543)), "")*24*60, "")</f>
        <v/>
      </c>
      <c r="Q7544" s="24" t="str" cm="1">
        <f t="array" ref="Q7544">IFERROR(IF($B7544=Q$1, ($A7544+$C7544) - MAX(IF($B$2:$B7543=$B7544, $A$2:$A7543+$C$2:$C7543)), "")*24*60, "")</f>
        <v/>
      </c>
      <c r="R7544" s="24" t="str" cm="1">
        <f t="array" ref="R7544">IFERROR(IF($B7544=R$1, ($A7544+$C7544) - MAX(IF($B$2:$B7543=$B7544, $A$2:$A7543+$C$2:$C7543)), "")*24*60, "")</f>
        <v/>
      </c>
      <c r="S7544" s="24" t="str" cm="1">
        <f t="array" ref="S7544">IFERROR(IF($B7544=S$1, ($A7544+$C7544) - MAX(IF($B$2:$B7543=$B7544, $A$2:$A7543+$C$2:$C7543)), "")*24*60, "")</f>
        <v/>
      </c>
    </row>
    <row r="7545" spans="1:19" x14ac:dyDescent="0.2">
      <c r="A7545" s="12">
        <f t="shared" ref="A7545:C7545" si="1730">A7544</f>
        <v>46015</v>
      </c>
      <c r="B7545" s="5" t="str">
        <f t="shared" si="1730"/>
        <v>Northern Cardinal</v>
      </c>
      <c r="C7545" s="6">
        <f t="shared" si="1730"/>
        <v>0.74097222222222225</v>
      </c>
      <c r="D7545" s="5"/>
      <c r="E7545" s="5"/>
      <c r="F7545" s="5" t="s">
        <v>9</v>
      </c>
      <c r="G7545" s="15" t="s">
        <v>8</v>
      </c>
      <c r="H7545" s="24">
        <f t="shared" si="1700"/>
        <v>0</v>
      </c>
      <c r="I7545" s="24" cm="1">
        <f t="array" ref="I7545">IFERROR(IF($B7545=I$1, ($A7545+$C7545) - MAX(IF($B$2:$B7544=$B7545, $A$2:$A7544+$C$2:$C7544)), "")*24*60, "")</f>
        <v>0</v>
      </c>
      <c r="J7545" s="24" t="str" cm="1">
        <f t="array" ref="J7545">IFERROR(IF($B7545=J$1, ($A7545+$C7545) - MAX(IF($B$2:$B7544=$B7545, $A$2:$A7544+$C$2:$C7544)), "")*24*60, "")</f>
        <v/>
      </c>
      <c r="K7545" s="24" t="str" cm="1">
        <f t="array" ref="K7545">IFERROR(IF($B7545=K$1, ($A7545+$C7545) - MAX(IF($B$2:$B7544=$B7545, $A$2:$A7544+$C$2:$C7544)), "")*24*60, "")</f>
        <v/>
      </c>
      <c r="L7545" s="24" t="str" cm="1">
        <f t="array" ref="L7545">IFERROR(IF($B7545=L$1, ($A7545+$C7545) - MAX(IF($B$2:$B7544=$B7545, $A$2:$A7544+$C$2:$C7544)), "")*24*60, "")</f>
        <v/>
      </c>
      <c r="M7545" s="24" t="str" cm="1">
        <f t="array" ref="M7545">IFERROR(IF($B7545=M$1, ($A7545+$C7545) - MAX(IF($B$2:$B7544=$B7545, $A$2:$A7544+$C$2:$C7544)), "")*24*60, "")</f>
        <v/>
      </c>
      <c r="N7545" s="24" t="str" cm="1">
        <f t="array" ref="N7545">IFERROR(IF($B7545=N$1, ($A7545+$C7545) - MAX(IF($B$2:$B7544=$B7545, $A$2:$A7544+$C$2:$C7544)), "")*24*60, "")</f>
        <v/>
      </c>
      <c r="O7545" s="24" t="str" cm="1">
        <f t="array" ref="O7545">IFERROR(IF($B7545=O$1, ($A7545+$C7545) - MAX(IF($B$2:$B7544=$B7545, $A$2:$A7544+$C$2:$C7544)), "")*24*60, "")</f>
        <v/>
      </c>
      <c r="P7545" s="24" t="str" cm="1">
        <f t="array" ref="P7545">IFERROR(IF($B7545=P$1, ($A7545+$C7545) - MAX(IF($B$2:$B7544=$B7545, $A$2:$A7544+$C$2:$C7544)), "")*24*60, "")</f>
        <v/>
      </c>
      <c r="Q7545" s="24" t="str" cm="1">
        <f t="array" ref="Q7545">IFERROR(IF($B7545=Q$1, ($A7545+$C7545) - MAX(IF($B$2:$B7544=$B7545, $A$2:$A7544+$C$2:$C7544)), "")*24*60, "")</f>
        <v/>
      </c>
      <c r="R7545" s="24" t="str" cm="1">
        <f t="array" ref="R7545">IFERROR(IF($B7545=R$1, ($A7545+$C7545) - MAX(IF($B$2:$B7544=$B7545, $A$2:$A7544+$C$2:$C7544)), "")*24*60, "")</f>
        <v/>
      </c>
      <c r="S7545" s="24" t="str" cm="1">
        <f t="array" ref="S7545">IFERROR(IF($B7545=S$1, ($A7545+$C7545) - MAX(IF($B$2:$B7544=$B7545, $A$2:$A7544+$C$2:$C7544)), "")*24*60, "")</f>
        <v/>
      </c>
    </row>
    <row r="7546" spans="1:19" x14ac:dyDescent="0.2">
      <c r="A7546" s="12">
        <f t="shared" ref="A7546:C7546" si="1731">A7545</f>
        <v>46015</v>
      </c>
      <c r="B7546" s="5" t="str">
        <f t="shared" si="1731"/>
        <v>Northern Cardinal</v>
      </c>
      <c r="C7546" s="6">
        <f t="shared" si="1731"/>
        <v>0.74097222222222225</v>
      </c>
      <c r="D7546" s="5"/>
      <c r="E7546" s="5"/>
      <c r="F7546" s="5" t="s">
        <v>9</v>
      </c>
      <c r="G7546" s="15" t="s">
        <v>8</v>
      </c>
      <c r="H7546" s="24">
        <f t="shared" si="1700"/>
        <v>0</v>
      </c>
      <c r="I7546" s="24" cm="1">
        <f t="array" ref="I7546">IFERROR(IF($B7546=I$1, ($A7546+$C7546) - MAX(IF($B$2:$B7545=$B7546, $A$2:$A7545+$C$2:$C7545)), "")*24*60, "")</f>
        <v>0</v>
      </c>
      <c r="J7546" s="24" t="str" cm="1">
        <f t="array" ref="J7546">IFERROR(IF($B7546=J$1, ($A7546+$C7546) - MAX(IF($B$2:$B7545=$B7546, $A$2:$A7545+$C$2:$C7545)), "")*24*60, "")</f>
        <v/>
      </c>
      <c r="K7546" s="24" t="str" cm="1">
        <f t="array" ref="K7546">IFERROR(IF($B7546=K$1, ($A7546+$C7546) - MAX(IF($B$2:$B7545=$B7546, $A$2:$A7545+$C$2:$C7545)), "")*24*60, "")</f>
        <v/>
      </c>
      <c r="L7546" s="24" t="str" cm="1">
        <f t="array" ref="L7546">IFERROR(IF($B7546=L$1, ($A7546+$C7546) - MAX(IF($B$2:$B7545=$B7546, $A$2:$A7545+$C$2:$C7545)), "")*24*60, "")</f>
        <v/>
      </c>
      <c r="M7546" s="24" t="str" cm="1">
        <f t="array" ref="M7546">IFERROR(IF($B7546=M$1, ($A7546+$C7546) - MAX(IF($B$2:$B7545=$B7546, $A$2:$A7545+$C$2:$C7545)), "")*24*60, "")</f>
        <v/>
      </c>
      <c r="N7546" s="24" t="str" cm="1">
        <f t="array" ref="N7546">IFERROR(IF($B7546=N$1, ($A7546+$C7546) - MAX(IF($B$2:$B7545=$B7546, $A$2:$A7545+$C$2:$C7545)), "")*24*60, "")</f>
        <v/>
      </c>
      <c r="O7546" s="24" t="str" cm="1">
        <f t="array" ref="O7546">IFERROR(IF($B7546=O$1, ($A7546+$C7546) - MAX(IF($B$2:$B7545=$B7546, $A$2:$A7545+$C$2:$C7545)), "")*24*60, "")</f>
        <v/>
      </c>
      <c r="P7546" s="24" t="str" cm="1">
        <f t="array" ref="P7546">IFERROR(IF($B7546=P$1, ($A7546+$C7546) - MAX(IF($B$2:$B7545=$B7546, $A$2:$A7545+$C$2:$C7545)), "")*24*60, "")</f>
        <v/>
      </c>
      <c r="Q7546" s="24" t="str" cm="1">
        <f t="array" ref="Q7546">IFERROR(IF($B7546=Q$1, ($A7546+$C7546) - MAX(IF($B$2:$B7545=$B7546, $A$2:$A7545+$C$2:$C7545)), "")*24*60, "")</f>
        <v/>
      </c>
      <c r="R7546" s="24" t="str" cm="1">
        <f t="array" ref="R7546">IFERROR(IF($B7546=R$1, ($A7546+$C7546) - MAX(IF($B$2:$B7545=$B7546, $A$2:$A7545+$C$2:$C7545)), "")*24*60, "")</f>
        <v/>
      </c>
      <c r="S7546" s="24" t="str" cm="1">
        <f t="array" ref="S7546">IFERROR(IF($B7546=S$1, ($A7546+$C7546) - MAX(IF($B$2:$B7545=$B7546, $A$2:$A7545+$C$2:$C7545)), "")*24*60, "")</f>
        <v/>
      </c>
    </row>
    <row r="7547" spans="1:19" x14ac:dyDescent="0.2">
      <c r="A7547" s="12">
        <f t="shared" ref="A7547:C7547" si="1732">A7546</f>
        <v>46015</v>
      </c>
      <c r="B7547" s="5" t="str">
        <f t="shared" si="1732"/>
        <v>Northern Cardinal</v>
      </c>
      <c r="C7547" s="6">
        <f t="shared" si="1732"/>
        <v>0.74097222222222225</v>
      </c>
      <c r="D7547" s="5"/>
      <c r="E7547" s="5"/>
      <c r="F7547" s="5" t="s">
        <v>9</v>
      </c>
      <c r="G7547" s="15" t="s">
        <v>8</v>
      </c>
      <c r="H7547" s="24">
        <f t="shared" si="1700"/>
        <v>0</v>
      </c>
      <c r="I7547" s="24" cm="1">
        <f t="array" ref="I7547">IFERROR(IF($B7547=I$1, ($A7547+$C7547) - MAX(IF($B$2:$B7546=$B7547, $A$2:$A7546+$C$2:$C7546)), "")*24*60, "")</f>
        <v>0</v>
      </c>
      <c r="J7547" s="24" t="str" cm="1">
        <f t="array" ref="J7547">IFERROR(IF($B7547=J$1, ($A7547+$C7547) - MAX(IF($B$2:$B7546=$B7547, $A$2:$A7546+$C$2:$C7546)), "")*24*60, "")</f>
        <v/>
      </c>
      <c r="K7547" s="24" t="str" cm="1">
        <f t="array" ref="K7547">IFERROR(IF($B7547=K$1, ($A7547+$C7547) - MAX(IF($B$2:$B7546=$B7547, $A$2:$A7546+$C$2:$C7546)), "")*24*60, "")</f>
        <v/>
      </c>
      <c r="L7547" s="24" t="str" cm="1">
        <f t="array" ref="L7547">IFERROR(IF($B7547=L$1, ($A7547+$C7547) - MAX(IF($B$2:$B7546=$B7547, $A$2:$A7546+$C$2:$C7546)), "")*24*60, "")</f>
        <v/>
      </c>
      <c r="M7547" s="24" t="str" cm="1">
        <f t="array" ref="M7547">IFERROR(IF($B7547=M$1, ($A7547+$C7547) - MAX(IF($B$2:$B7546=$B7547, $A$2:$A7546+$C$2:$C7546)), "")*24*60, "")</f>
        <v/>
      </c>
      <c r="N7547" s="24" t="str" cm="1">
        <f t="array" ref="N7547">IFERROR(IF($B7547=N$1, ($A7547+$C7547) - MAX(IF($B$2:$B7546=$B7547, $A$2:$A7546+$C$2:$C7546)), "")*24*60, "")</f>
        <v/>
      </c>
      <c r="O7547" s="24" t="str" cm="1">
        <f t="array" ref="O7547">IFERROR(IF($B7547=O$1, ($A7547+$C7547) - MAX(IF($B$2:$B7546=$B7547, $A$2:$A7546+$C$2:$C7546)), "")*24*60, "")</f>
        <v/>
      </c>
      <c r="P7547" s="24" t="str" cm="1">
        <f t="array" ref="P7547">IFERROR(IF($B7547=P$1, ($A7547+$C7547) - MAX(IF($B$2:$B7546=$B7547, $A$2:$A7546+$C$2:$C7546)), "")*24*60, "")</f>
        <v/>
      </c>
      <c r="Q7547" s="24" t="str" cm="1">
        <f t="array" ref="Q7547">IFERROR(IF($B7547=Q$1, ($A7547+$C7547) - MAX(IF($B$2:$B7546=$B7547, $A$2:$A7546+$C$2:$C7546)), "")*24*60, "")</f>
        <v/>
      </c>
      <c r="R7547" s="24" t="str" cm="1">
        <f t="array" ref="R7547">IFERROR(IF($B7547=R$1, ($A7547+$C7547) - MAX(IF($B$2:$B7546=$B7547, $A$2:$A7546+$C$2:$C7546)), "")*24*60, "")</f>
        <v/>
      </c>
      <c r="S7547" s="24" t="str" cm="1">
        <f t="array" ref="S7547">IFERROR(IF($B7547=S$1, ($A7547+$C7547) - MAX(IF($B$2:$B7546=$B7547, $A$2:$A7546+$C$2:$C7546)), "")*24*60, "")</f>
        <v/>
      </c>
    </row>
    <row r="7548" spans="1:19" x14ac:dyDescent="0.2">
      <c r="A7548" s="12">
        <f t="shared" ref="A7548:C7548" si="1733">A7547</f>
        <v>46015</v>
      </c>
      <c r="B7548" s="5" t="str">
        <f t="shared" si="1733"/>
        <v>Northern Cardinal</v>
      </c>
      <c r="C7548" s="6">
        <f t="shared" si="1733"/>
        <v>0.74097222222222225</v>
      </c>
      <c r="D7548" s="5"/>
      <c r="E7548" s="5"/>
      <c r="F7548" s="5" t="s">
        <v>9</v>
      </c>
      <c r="G7548" s="15" t="s">
        <v>8</v>
      </c>
      <c r="H7548" s="24">
        <f t="shared" si="1700"/>
        <v>0</v>
      </c>
      <c r="I7548" s="24" cm="1">
        <f t="array" ref="I7548">IFERROR(IF($B7548=I$1, ($A7548+$C7548) - MAX(IF($B$2:$B7547=$B7548, $A$2:$A7547+$C$2:$C7547)), "")*24*60, "")</f>
        <v>0</v>
      </c>
      <c r="J7548" s="24" t="str" cm="1">
        <f t="array" ref="J7548">IFERROR(IF($B7548=J$1, ($A7548+$C7548) - MAX(IF($B$2:$B7547=$B7548, $A$2:$A7547+$C$2:$C7547)), "")*24*60, "")</f>
        <v/>
      </c>
      <c r="K7548" s="24" t="str" cm="1">
        <f t="array" ref="K7548">IFERROR(IF($B7548=K$1, ($A7548+$C7548) - MAX(IF($B$2:$B7547=$B7548, $A$2:$A7547+$C$2:$C7547)), "")*24*60, "")</f>
        <v/>
      </c>
      <c r="L7548" s="24" t="str" cm="1">
        <f t="array" ref="L7548">IFERROR(IF($B7548=L$1, ($A7548+$C7548) - MAX(IF($B$2:$B7547=$B7548, $A$2:$A7547+$C$2:$C7547)), "")*24*60, "")</f>
        <v/>
      </c>
      <c r="M7548" s="24" t="str" cm="1">
        <f t="array" ref="M7548">IFERROR(IF($B7548=M$1, ($A7548+$C7548) - MAX(IF($B$2:$B7547=$B7548, $A$2:$A7547+$C$2:$C7547)), "")*24*60, "")</f>
        <v/>
      </c>
      <c r="N7548" s="24" t="str" cm="1">
        <f t="array" ref="N7548">IFERROR(IF($B7548=N$1, ($A7548+$C7548) - MAX(IF($B$2:$B7547=$B7548, $A$2:$A7547+$C$2:$C7547)), "")*24*60, "")</f>
        <v/>
      </c>
      <c r="O7548" s="24" t="str" cm="1">
        <f t="array" ref="O7548">IFERROR(IF($B7548=O$1, ($A7548+$C7548) - MAX(IF($B$2:$B7547=$B7548, $A$2:$A7547+$C$2:$C7547)), "")*24*60, "")</f>
        <v/>
      </c>
      <c r="P7548" s="24" t="str" cm="1">
        <f t="array" ref="P7548">IFERROR(IF($B7548=P$1, ($A7548+$C7548) - MAX(IF($B$2:$B7547=$B7548, $A$2:$A7547+$C$2:$C7547)), "")*24*60, "")</f>
        <v/>
      </c>
      <c r="Q7548" s="24" t="str" cm="1">
        <f t="array" ref="Q7548">IFERROR(IF($B7548=Q$1, ($A7548+$C7548) - MAX(IF($B$2:$B7547=$B7548, $A$2:$A7547+$C$2:$C7547)), "")*24*60, "")</f>
        <v/>
      </c>
      <c r="R7548" s="24" t="str" cm="1">
        <f t="array" ref="R7548">IFERROR(IF($B7548=R$1, ($A7548+$C7548) - MAX(IF($B$2:$B7547=$B7548, $A$2:$A7547+$C$2:$C7547)), "")*24*60, "")</f>
        <v/>
      </c>
      <c r="S7548" s="24" t="str" cm="1">
        <f t="array" ref="S7548">IFERROR(IF($B7548=S$1, ($A7548+$C7548) - MAX(IF($B$2:$B7547=$B7548, $A$2:$A7547+$C$2:$C7547)), "")*24*60, "")</f>
        <v/>
      </c>
    </row>
    <row r="7549" spans="1:19" x14ac:dyDescent="0.2">
      <c r="A7549" s="12">
        <f t="shared" ref="A7549:C7549" si="1734">A7548</f>
        <v>46015</v>
      </c>
      <c r="B7549" s="5" t="str">
        <f t="shared" si="1734"/>
        <v>Northern Cardinal</v>
      </c>
      <c r="C7549" s="6">
        <f t="shared" si="1734"/>
        <v>0.74097222222222225</v>
      </c>
      <c r="D7549" s="5"/>
      <c r="E7549" s="5"/>
      <c r="F7549" s="5" t="s">
        <v>9</v>
      </c>
      <c r="G7549" s="15" t="s">
        <v>8</v>
      </c>
      <c r="H7549" s="24">
        <f t="shared" si="1700"/>
        <v>0</v>
      </c>
      <c r="I7549" s="24" cm="1">
        <f t="array" ref="I7549">IFERROR(IF($B7549=I$1, ($A7549+$C7549) - MAX(IF($B$2:$B7548=$B7549, $A$2:$A7548+$C$2:$C7548)), "")*24*60, "")</f>
        <v>0</v>
      </c>
      <c r="J7549" s="24" t="str" cm="1">
        <f t="array" ref="J7549">IFERROR(IF($B7549=J$1, ($A7549+$C7549) - MAX(IF($B$2:$B7548=$B7549, $A$2:$A7548+$C$2:$C7548)), "")*24*60, "")</f>
        <v/>
      </c>
      <c r="K7549" s="24" t="str" cm="1">
        <f t="array" ref="K7549">IFERROR(IF($B7549=K$1, ($A7549+$C7549) - MAX(IF($B$2:$B7548=$B7549, $A$2:$A7548+$C$2:$C7548)), "")*24*60, "")</f>
        <v/>
      </c>
      <c r="L7549" s="24" t="str" cm="1">
        <f t="array" ref="L7549">IFERROR(IF($B7549=L$1, ($A7549+$C7549) - MAX(IF($B$2:$B7548=$B7549, $A$2:$A7548+$C$2:$C7548)), "")*24*60, "")</f>
        <v/>
      </c>
      <c r="M7549" s="24" t="str" cm="1">
        <f t="array" ref="M7549">IFERROR(IF($B7549=M$1, ($A7549+$C7549) - MAX(IF($B$2:$B7548=$B7549, $A$2:$A7548+$C$2:$C7548)), "")*24*60, "")</f>
        <v/>
      </c>
      <c r="N7549" s="24" t="str" cm="1">
        <f t="array" ref="N7549">IFERROR(IF($B7549=N$1, ($A7549+$C7549) - MAX(IF($B$2:$B7548=$B7549, $A$2:$A7548+$C$2:$C7548)), "")*24*60, "")</f>
        <v/>
      </c>
      <c r="O7549" s="24" t="str" cm="1">
        <f t="array" ref="O7549">IFERROR(IF($B7549=O$1, ($A7549+$C7549) - MAX(IF($B$2:$B7548=$B7549, $A$2:$A7548+$C$2:$C7548)), "")*24*60, "")</f>
        <v/>
      </c>
      <c r="P7549" s="24" t="str" cm="1">
        <f t="array" ref="P7549">IFERROR(IF($B7549=P$1, ($A7549+$C7549) - MAX(IF($B$2:$B7548=$B7549, $A$2:$A7548+$C$2:$C7548)), "")*24*60, "")</f>
        <v/>
      </c>
      <c r="Q7549" s="24" t="str" cm="1">
        <f t="array" ref="Q7549">IFERROR(IF($B7549=Q$1, ($A7549+$C7549) - MAX(IF($B$2:$B7548=$B7549, $A$2:$A7548+$C$2:$C7548)), "")*24*60, "")</f>
        <v/>
      </c>
      <c r="R7549" s="24" t="str" cm="1">
        <f t="array" ref="R7549">IFERROR(IF($B7549=R$1, ($A7549+$C7549) - MAX(IF($B$2:$B7548=$B7549, $A$2:$A7548+$C$2:$C7548)), "")*24*60, "")</f>
        <v/>
      </c>
      <c r="S7549" s="24" t="str" cm="1">
        <f t="array" ref="S7549">IFERROR(IF($B7549=S$1, ($A7549+$C7549) - MAX(IF($B$2:$B7548=$B7549, $A$2:$A7548+$C$2:$C7548)), "")*24*60, "")</f>
        <v/>
      </c>
    </row>
    <row r="7550" spans="1:19" x14ac:dyDescent="0.2">
      <c r="A7550" s="12">
        <f t="shared" ref="A7550:C7550" si="1735">A7549</f>
        <v>46015</v>
      </c>
      <c r="B7550" s="5" t="str">
        <f t="shared" si="1735"/>
        <v>Northern Cardinal</v>
      </c>
      <c r="C7550" s="6">
        <f t="shared" si="1735"/>
        <v>0.74097222222222225</v>
      </c>
      <c r="D7550" s="5"/>
      <c r="E7550" s="5"/>
      <c r="F7550" s="5" t="s">
        <v>9</v>
      </c>
      <c r="G7550" s="15" t="s">
        <v>8</v>
      </c>
      <c r="H7550" s="24">
        <f t="shared" si="1700"/>
        <v>0</v>
      </c>
      <c r="I7550" s="24" cm="1">
        <f t="array" ref="I7550">IFERROR(IF($B7550=I$1, ($A7550+$C7550) - MAX(IF($B$2:$B7549=$B7550, $A$2:$A7549+$C$2:$C7549)), "")*24*60, "")</f>
        <v>0</v>
      </c>
      <c r="J7550" s="24" t="str" cm="1">
        <f t="array" ref="J7550">IFERROR(IF($B7550=J$1, ($A7550+$C7550) - MAX(IF($B$2:$B7549=$B7550, $A$2:$A7549+$C$2:$C7549)), "")*24*60, "")</f>
        <v/>
      </c>
      <c r="K7550" s="24" t="str" cm="1">
        <f t="array" ref="K7550">IFERROR(IF($B7550=K$1, ($A7550+$C7550) - MAX(IF($B$2:$B7549=$B7550, $A$2:$A7549+$C$2:$C7549)), "")*24*60, "")</f>
        <v/>
      </c>
      <c r="L7550" s="24" t="str" cm="1">
        <f t="array" ref="L7550">IFERROR(IF($B7550=L$1, ($A7550+$C7550) - MAX(IF($B$2:$B7549=$B7550, $A$2:$A7549+$C$2:$C7549)), "")*24*60, "")</f>
        <v/>
      </c>
      <c r="M7550" s="24" t="str" cm="1">
        <f t="array" ref="M7550">IFERROR(IF($B7550=M$1, ($A7550+$C7550) - MAX(IF($B$2:$B7549=$B7550, $A$2:$A7549+$C$2:$C7549)), "")*24*60, "")</f>
        <v/>
      </c>
      <c r="N7550" s="24" t="str" cm="1">
        <f t="array" ref="N7550">IFERROR(IF($B7550=N$1, ($A7550+$C7550) - MAX(IF($B$2:$B7549=$B7550, $A$2:$A7549+$C$2:$C7549)), "")*24*60, "")</f>
        <v/>
      </c>
      <c r="O7550" s="24" t="str" cm="1">
        <f t="array" ref="O7550">IFERROR(IF($B7550=O$1, ($A7550+$C7550) - MAX(IF($B$2:$B7549=$B7550, $A$2:$A7549+$C$2:$C7549)), "")*24*60, "")</f>
        <v/>
      </c>
      <c r="P7550" s="24" t="str" cm="1">
        <f t="array" ref="P7550">IFERROR(IF($B7550=P$1, ($A7550+$C7550) - MAX(IF($B$2:$B7549=$B7550, $A$2:$A7549+$C$2:$C7549)), "")*24*60, "")</f>
        <v/>
      </c>
      <c r="Q7550" s="24" t="str" cm="1">
        <f t="array" ref="Q7550">IFERROR(IF($B7550=Q$1, ($A7550+$C7550) - MAX(IF($B$2:$B7549=$B7550, $A$2:$A7549+$C$2:$C7549)), "")*24*60, "")</f>
        <v/>
      </c>
      <c r="R7550" s="24" t="str" cm="1">
        <f t="array" ref="R7550">IFERROR(IF($B7550=R$1, ($A7550+$C7550) - MAX(IF($B$2:$B7549=$B7550, $A$2:$A7549+$C$2:$C7549)), "")*24*60, "")</f>
        <v/>
      </c>
      <c r="S7550" s="24" t="str" cm="1">
        <f t="array" ref="S7550">IFERROR(IF($B7550=S$1, ($A7550+$C7550) - MAX(IF($B$2:$B7549=$B7550, $A$2:$A7549+$C$2:$C7549)), "")*24*60, "")</f>
        <v/>
      </c>
    </row>
    <row r="7551" spans="1:19" x14ac:dyDescent="0.2">
      <c r="A7551" s="12">
        <f t="shared" ref="A7551:C7551" si="1736">A7550</f>
        <v>46015</v>
      </c>
      <c r="B7551" s="5" t="str">
        <f t="shared" si="1736"/>
        <v>Northern Cardinal</v>
      </c>
      <c r="C7551" s="6">
        <f t="shared" si="1736"/>
        <v>0.74097222222222225</v>
      </c>
      <c r="D7551" s="5"/>
      <c r="E7551" s="5"/>
      <c r="F7551" s="5" t="s">
        <v>9</v>
      </c>
      <c r="G7551" s="15" t="s">
        <v>8</v>
      </c>
      <c r="H7551" s="24">
        <f t="shared" si="1700"/>
        <v>0</v>
      </c>
      <c r="I7551" s="24" cm="1">
        <f t="array" ref="I7551">IFERROR(IF($B7551=I$1, ($A7551+$C7551) - MAX(IF($B$2:$B7550=$B7551, $A$2:$A7550+$C$2:$C7550)), "")*24*60, "")</f>
        <v>0</v>
      </c>
      <c r="J7551" s="24" t="str" cm="1">
        <f t="array" ref="J7551">IFERROR(IF($B7551=J$1, ($A7551+$C7551) - MAX(IF($B$2:$B7550=$B7551, $A$2:$A7550+$C$2:$C7550)), "")*24*60, "")</f>
        <v/>
      </c>
      <c r="K7551" s="24" t="str" cm="1">
        <f t="array" ref="K7551">IFERROR(IF($B7551=K$1, ($A7551+$C7551) - MAX(IF($B$2:$B7550=$B7551, $A$2:$A7550+$C$2:$C7550)), "")*24*60, "")</f>
        <v/>
      </c>
      <c r="L7551" s="24" t="str" cm="1">
        <f t="array" ref="L7551">IFERROR(IF($B7551=L$1, ($A7551+$C7551) - MAX(IF($B$2:$B7550=$B7551, $A$2:$A7550+$C$2:$C7550)), "")*24*60, "")</f>
        <v/>
      </c>
      <c r="M7551" s="24" t="str" cm="1">
        <f t="array" ref="M7551">IFERROR(IF($B7551=M$1, ($A7551+$C7551) - MAX(IF($B$2:$B7550=$B7551, $A$2:$A7550+$C$2:$C7550)), "")*24*60, "")</f>
        <v/>
      </c>
      <c r="N7551" s="24" t="str" cm="1">
        <f t="array" ref="N7551">IFERROR(IF($B7551=N$1, ($A7551+$C7551) - MAX(IF($B$2:$B7550=$B7551, $A$2:$A7550+$C$2:$C7550)), "")*24*60, "")</f>
        <v/>
      </c>
      <c r="O7551" s="24" t="str" cm="1">
        <f t="array" ref="O7551">IFERROR(IF($B7551=O$1, ($A7551+$C7551) - MAX(IF($B$2:$B7550=$B7551, $A$2:$A7550+$C$2:$C7550)), "")*24*60, "")</f>
        <v/>
      </c>
      <c r="P7551" s="24" t="str" cm="1">
        <f t="array" ref="P7551">IFERROR(IF($B7551=P$1, ($A7551+$C7551) - MAX(IF($B$2:$B7550=$B7551, $A$2:$A7550+$C$2:$C7550)), "")*24*60, "")</f>
        <v/>
      </c>
      <c r="Q7551" s="24" t="str" cm="1">
        <f t="array" ref="Q7551">IFERROR(IF($B7551=Q$1, ($A7551+$C7551) - MAX(IF($B$2:$B7550=$B7551, $A$2:$A7550+$C$2:$C7550)), "")*24*60, "")</f>
        <v/>
      </c>
      <c r="R7551" s="24" t="str" cm="1">
        <f t="array" ref="R7551">IFERROR(IF($B7551=R$1, ($A7551+$C7551) - MAX(IF($B$2:$B7550=$B7551, $A$2:$A7550+$C$2:$C7550)), "")*24*60, "")</f>
        <v/>
      </c>
      <c r="S7551" s="24" t="str" cm="1">
        <f t="array" ref="S7551">IFERROR(IF($B7551=S$1, ($A7551+$C7551) - MAX(IF($B$2:$B7550=$B7551, $A$2:$A7550+$C$2:$C7550)), "")*24*60, "")</f>
        <v/>
      </c>
    </row>
    <row r="7552" spans="1:19" x14ac:dyDescent="0.2">
      <c r="A7552" s="12">
        <f t="shared" ref="A7552:C7552" si="1737">A7551</f>
        <v>46015</v>
      </c>
      <c r="B7552" s="5" t="str">
        <f t="shared" si="1737"/>
        <v>Northern Cardinal</v>
      </c>
      <c r="C7552" s="6">
        <f t="shared" si="1737"/>
        <v>0.74097222222222225</v>
      </c>
      <c r="D7552" s="5"/>
      <c r="E7552" s="5"/>
      <c r="F7552" s="5" t="s">
        <v>9</v>
      </c>
      <c r="G7552" s="15" t="s">
        <v>8</v>
      </c>
      <c r="H7552" s="24">
        <f t="shared" si="1700"/>
        <v>0</v>
      </c>
      <c r="I7552" s="24" cm="1">
        <f t="array" ref="I7552">IFERROR(IF($B7552=I$1, ($A7552+$C7552) - MAX(IF($B$2:$B7551=$B7552, $A$2:$A7551+$C$2:$C7551)), "")*24*60, "")</f>
        <v>0</v>
      </c>
      <c r="J7552" s="24" t="str" cm="1">
        <f t="array" ref="J7552">IFERROR(IF($B7552=J$1, ($A7552+$C7552) - MAX(IF($B$2:$B7551=$B7552, $A$2:$A7551+$C$2:$C7551)), "")*24*60, "")</f>
        <v/>
      </c>
      <c r="K7552" s="24" t="str" cm="1">
        <f t="array" ref="K7552">IFERROR(IF($B7552=K$1, ($A7552+$C7552) - MAX(IF($B$2:$B7551=$B7552, $A$2:$A7551+$C$2:$C7551)), "")*24*60, "")</f>
        <v/>
      </c>
      <c r="L7552" s="24" t="str" cm="1">
        <f t="array" ref="L7552">IFERROR(IF($B7552=L$1, ($A7552+$C7552) - MAX(IF($B$2:$B7551=$B7552, $A$2:$A7551+$C$2:$C7551)), "")*24*60, "")</f>
        <v/>
      </c>
      <c r="M7552" s="24" t="str" cm="1">
        <f t="array" ref="M7552">IFERROR(IF($B7552=M$1, ($A7552+$C7552) - MAX(IF($B$2:$B7551=$B7552, $A$2:$A7551+$C$2:$C7551)), "")*24*60, "")</f>
        <v/>
      </c>
      <c r="N7552" s="24" t="str" cm="1">
        <f t="array" ref="N7552">IFERROR(IF($B7552=N$1, ($A7552+$C7552) - MAX(IF($B$2:$B7551=$B7552, $A$2:$A7551+$C$2:$C7551)), "")*24*60, "")</f>
        <v/>
      </c>
      <c r="O7552" s="24" t="str" cm="1">
        <f t="array" ref="O7552">IFERROR(IF($B7552=O$1, ($A7552+$C7552) - MAX(IF($B$2:$B7551=$B7552, $A$2:$A7551+$C$2:$C7551)), "")*24*60, "")</f>
        <v/>
      </c>
      <c r="P7552" s="24" t="str" cm="1">
        <f t="array" ref="P7552">IFERROR(IF($B7552=P$1, ($A7552+$C7552) - MAX(IF($B$2:$B7551=$B7552, $A$2:$A7551+$C$2:$C7551)), "")*24*60, "")</f>
        <v/>
      </c>
      <c r="Q7552" s="24" t="str" cm="1">
        <f t="array" ref="Q7552">IFERROR(IF($B7552=Q$1, ($A7552+$C7552) - MAX(IF($B$2:$B7551=$B7552, $A$2:$A7551+$C$2:$C7551)), "")*24*60, "")</f>
        <v/>
      </c>
      <c r="R7552" s="24" t="str" cm="1">
        <f t="array" ref="R7552">IFERROR(IF($B7552=R$1, ($A7552+$C7552) - MAX(IF($B$2:$B7551=$B7552, $A$2:$A7551+$C$2:$C7551)), "")*24*60, "")</f>
        <v/>
      </c>
      <c r="S7552" s="24" t="str" cm="1">
        <f t="array" ref="S7552">IFERROR(IF($B7552=S$1, ($A7552+$C7552) - MAX(IF($B$2:$B7551=$B7552, $A$2:$A7551+$C$2:$C7551)), "")*24*60, "")</f>
        <v/>
      </c>
    </row>
    <row r="7553" spans="1:19" x14ac:dyDescent="0.2">
      <c r="A7553" s="12">
        <f t="shared" ref="A7553:C7553" si="1738">A7552</f>
        <v>46015</v>
      </c>
      <c r="B7553" s="5" t="str">
        <f t="shared" si="1738"/>
        <v>Northern Cardinal</v>
      </c>
      <c r="C7553" s="6">
        <f t="shared" si="1738"/>
        <v>0.74097222222222225</v>
      </c>
      <c r="D7553" s="5"/>
      <c r="E7553" s="5"/>
      <c r="F7553" s="5" t="s">
        <v>9</v>
      </c>
      <c r="G7553" s="15" t="s">
        <v>8</v>
      </c>
      <c r="H7553" s="24">
        <f t="shared" si="1700"/>
        <v>0</v>
      </c>
      <c r="I7553" s="24" cm="1">
        <f t="array" ref="I7553">IFERROR(IF($B7553=I$1, ($A7553+$C7553) - MAX(IF($B$2:$B7552=$B7553, $A$2:$A7552+$C$2:$C7552)), "")*24*60, "")</f>
        <v>0</v>
      </c>
      <c r="J7553" s="24" t="str" cm="1">
        <f t="array" ref="J7553">IFERROR(IF($B7553=J$1, ($A7553+$C7553) - MAX(IF($B$2:$B7552=$B7553, $A$2:$A7552+$C$2:$C7552)), "")*24*60, "")</f>
        <v/>
      </c>
      <c r="K7553" s="24" t="str" cm="1">
        <f t="array" ref="K7553">IFERROR(IF($B7553=K$1, ($A7553+$C7553) - MAX(IF($B$2:$B7552=$B7553, $A$2:$A7552+$C$2:$C7552)), "")*24*60, "")</f>
        <v/>
      </c>
      <c r="L7553" s="24" t="str" cm="1">
        <f t="array" ref="L7553">IFERROR(IF($B7553=L$1, ($A7553+$C7553) - MAX(IF($B$2:$B7552=$B7553, $A$2:$A7552+$C$2:$C7552)), "")*24*60, "")</f>
        <v/>
      </c>
      <c r="M7553" s="24" t="str" cm="1">
        <f t="array" ref="M7553">IFERROR(IF($B7553=M$1, ($A7553+$C7553) - MAX(IF($B$2:$B7552=$B7553, $A$2:$A7552+$C$2:$C7552)), "")*24*60, "")</f>
        <v/>
      </c>
      <c r="N7553" s="24" t="str" cm="1">
        <f t="array" ref="N7553">IFERROR(IF($B7553=N$1, ($A7553+$C7553) - MAX(IF($B$2:$B7552=$B7553, $A$2:$A7552+$C$2:$C7552)), "")*24*60, "")</f>
        <v/>
      </c>
      <c r="O7553" s="24" t="str" cm="1">
        <f t="array" ref="O7553">IFERROR(IF($B7553=O$1, ($A7553+$C7553) - MAX(IF($B$2:$B7552=$B7553, $A$2:$A7552+$C$2:$C7552)), "")*24*60, "")</f>
        <v/>
      </c>
      <c r="P7553" s="24" t="str" cm="1">
        <f t="array" ref="P7553">IFERROR(IF($B7553=P$1, ($A7553+$C7553) - MAX(IF($B$2:$B7552=$B7553, $A$2:$A7552+$C$2:$C7552)), "")*24*60, "")</f>
        <v/>
      </c>
      <c r="Q7553" s="24" t="str" cm="1">
        <f t="array" ref="Q7553">IFERROR(IF($B7553=Q$1, ($A7553+$C7553) - MAX(IF($B$2:$B7552=$B7553, $A$2:$A7552+$C$2:$C7552)), "")*24*60, "")</f>
        <v/>
      </c>
      <c r="R7553" s="24" t="str" cm="1">
        <f t="array" ref="R7553">IFERROR(IF($B7553=R$1, ($A7553+$C7553) - MAX(IF($B$2:$B7552=$B7553, $A$2:$A7552+$C$2:$C7552)), "")*24*60, "")</f>
        <v/>
      </c>
      <c r="S7553" s="24" t="str" cm="1">
        <f t="array" ref="S7553">IFERROR(IF($B7553=S$1, ($A7553+$C7553) - MAX(IF($B$2:$B7552=$B7553, $A$2:$A7552+$C$2:$C7552)), "")*24*60, "")</f>
        <v/>
      </c>
    </row>
    <row r="7554" spans="1:19" x14ac:dyDescent="0.2">
      <c r="A7554" s="12">
        <f t="shared" ref="A7554:C7554" si="1739">A7553</f>
        <v>46015</v>
      </c>
      <c r="B7554" s="5" t="str">
        <f t="shared" si="1739"/>
        <v>Northern Cardinal</v>
      </c>
      <c r="C7554" s="6">
        <f t="shared" si="1739"/>
        <v>0.74097222222222225</v>
      </c>
      <c r="D7554" s="5"/>
      <c r="E7554" s="5"/>
      <c r="F7554" s="5" t="s">
        <v>9</v>
      </c>
      <c r="G7554" s="15" t="s">
        <v>8</v>
      </c>
      <c r="H7554" s="24">
        <f t="shared" si="1700"/>
        <v>0</v>
      </c>
      <c r="I7554" s="24" cm="1">
        <f t="array" ref="I7554">IFERROR(IF($B7554=I$1, ($A7554+$C7554) - MAX(IF($B$2:$B7553=$B7554, $A$2:$A7553+$C$2:$C7553)), "")*24*60, "")</f>
        <v>0</v>
      </c>
      <c r="J7554" s="24" t="str" cm="1">
        <f t="array" ref="J7554">IFERROR(IF($B7554=J$1, ($A7554+$C7554) - MAX(IF($B$2:$B7553=$B7554, $A$2:$A7553+$C$2:$C7553)), "")*24*60, "")</f>
        <v/>
      </c>
      <c r="K7554" s="24" t="str" cm="1">
        <f t="array" ref="K7554">IFERROR(IF($B7554=K$1, ($A7554+$C7554) - MAX(IF($B$2:$B7553=$B7554, $A$2:$A7553+$C$2:$C7553)), "")*24*60, "")</f>
        <v/>
      </c>
      <c r="L7554" s="24" t="str" cm="1">
        <f t="array" ref="L7554">IFERROR(IF($B7554=L$1, ($A7554+$C7554) - MAX(IF($B$2:$B7553=$B7554, $A$2:$A7553+$C$2:$C7553)), "")*24*60, "")</f>
        <v/>
      </c>
      <c r="M7554" s="24" t="str" cm="1">
        <f t="array" ref="M7554">IFERROR(IF($B7554=M$1, ($A7554+$C7554) - MAX(IF($B$2:$B7553=$B7554, $A$2:$A7553+$C$2:$C7553)), "")*24*60, "")</f>
        <v/>
      </c>
      <c r="N7554" s="24" t="str" cm="1">
        <f t="array" ref="N7554">IFERROR(IF($B7554=N$1, ($A7554+$C7554) - MAX(IF($B$2:$B7553=$B7554, $A$2:$A7553+$C$2:$C7553)), "")*24*60, "")</f>
        <v/>
      </c>
      <c r="O7554" s="24" t="str" cm="1">
        <f t="array" ref="O7554">IFERROR(IF($B7554=O$1, ($A7554+$C7554) - MAX(IF($B$2:$B7553=$B7554, $A$2:$A7553+$C$2:$C7553)), "")*24*60, "")</f>
        <v/>
      </c>
      <c r="P7554" s="24" t="str" cm="1">
        <f t="array" ref="P7554">IFERROR(IF($B7554=P$1, ($A7554+$C7554) - MAX(IF($B$2:$B7553=$B7554, $A$2:$A7553+$C$2:$C7553)), "")*24*60, "")</f>
        <v/>
      </c>
      <c r="Q7554" s="24" t="str" cm="1">
        <f t="array" ref="Q7554">IFERROR(IF($B7554=Q$1, ($A7554+$C7554) - MAX(IF($B$2:$B7553=$B7554, $A$2:$A7553+$C$2:$C7553)), "")*24*60, "")</f>
        <v/>
      </c>
      <c r="R7554" s="24" t="str" cm="1">
        <f t="array" ref="R7554">IFERROR(IF($B7554=R$1, ($A7554+$C7554) - MAX(IF($B$2:$B7553=$B7554, $A$2:$A7553+$C$2:$C7553)), "")*24*60, "")</f>
        <v/>
      </c>
      <c r="S7554" s="24" t="str" cm="1">
        <f t="array" ref="S7554">IFERROR(IF($B7554=S$1, ($A7554+$C7554) - MAX(IF($B$2:$B7553=$B7554, $A$2:$A7553+$C$2:$C7553)), "")*24*60, "")</f>
        <v/>
      </c>
    </row>
    <row r="7555" spans="1:19" x14ac:dyDescent="0.2">
      <c r="A7555" s="12">
        <f t="shared" ref="A7555:C7555" si="1740">A7554</f>
        <v>46015</v>
      </c>
      <c r="B7555" s="5" t="str">
        <f t="shared" si="1740"/>
        <v>Northern Cardinal</v>
      </c>
      <c r="C7555" s="6">
        <f t="shared" si="1740"/>
        <v>0.74097222222222225</v>
      </c>
      <c r="D7555" s="5"/>
      <c r="E7555" s="5"/>
      <c r="F7555" s="5" t="s">
        <v>9</v>
      </c>
      <c r="G7555" s="15" t="s">
        <v>8</v>
      </c>
      <c r="H7555" s="24">
        <f t="shared" si="1700"/>
        <v>0</v>
      </c>
      <c r="I7555" s="24" cm="1">
        <f t="array" ref="I7555">IFERROR(IF($B7555=I$1, ($A7555+$C7555) - MAX(IF($B$2:$B7554=$B7555, $A$2:$A7554+$C$2:$C7554)), "")*24*60, "")</f>
        <v>0</v>
      </c>
      <c r="J7555" s="24" t="str" cm="1">
        <f t="array" ref="J7555">IFERROR(IF($B7555=J$1, ($A7555+$C7555) - MAX(IF($B$2:$B7554=$B7555, $A$2:$A7554+$C$2:$C7554)), "")*24*60, "")</f>
        <v/>
      </c>
      <c r="K7555" s="24" t="str" cm="1">
        <f t="array" ref="K7555">IFERROR(IF($B7555=K$1, ($A7555+$C7555) - MAX(IF($B$2:$B7554=$B7555, $A$2:$A7554+$C$2:$C7554)), "")*24*60, "")</f>
        <v/>
      </c>
      <c r="L7555" s="24" t="str" cm="1">
        <f t="array" ref="L7555">IFERROR(IF($B7555=L$1, ($A7555+$C7555) - MAX(IF($B$2:$B7554=$B7555, $A$2:$A7554+$C$2:$C7554)), "")*24*60, "")</f>
        <v/>
      </c>
      <c r="M7555" s="24" t="str" cm="1">
        <f t="array" ref="M7555">IFERROR(IF($B7555=M$1, ($A7555+$C7555) - MAX(IF($B$2:$B7554=$B7555, $A$2:$A7554+$C$2:$C7554)), "")*24*60, "")</f>
        <v/>
      </c>
      <c r="N7555" s="24" t="str" cm="1">
        <f t="array" ref="N7555">IFERROR(IF($B7555=N$1, ($A7555+$C7555) - MAX(IF($B$2:$B7554=$B7555, $A$2:$A7554+$C$2:$C7554)), "")*24*60, "")</f>
        <v/>
      </c>
      <c r="O7555" s="24" t="str" cm="1">
        <f t="array" ref="O7555">IFERROR(IF($B7555=O$1, ($A7555+$C7555) - MAX(IF($B$2:$B7554=$B7555, $A$2:$A7554+$C$2:$C7554)), "")*24*60, "")</f>
        <v/>
      </c>
      <c r="P7555" s="24" t="str" cm="1">
        <f t="array" ref="P7555">IFERROR(IF($B7555=P$1, ($A7555+$C7555) - MAX(IF($B$2:$B7554=$B7555, $A$2:$A7554+$C$2:$C7554)), "")*24*60, "")</f>
        <v/>
      </c>
      <c r="Q7555" s="24" t="str" cm="1">
        <f t="array" ref="Q7555">IFERROR(IF($B7555=Q$1, ($A7555+$C7555) - MAX(IF($B$2:$B7554=$B7555, $A$2:$A7554+$C$2:$C7554)), "")*24*60, "")</f>
        <v/>
      </c>
      <c r="R7555" s="24" t="str" cm="1">
        <f t="array" ref="R7555">IFERROR(IF($B7555=R$1, ($A7555+$C7555) - MAX(IF($B$2:$B7554=$B7555, $A$2:$A7554+$C$2:$C7554)), "")*24*60, "")</f>
        <v/>
      </c>
      <c r="S7555" s="24" t="str" cm="1">
        <f t="array" ref="S7555">IFERROR(IF($B7555=S$1, ($A7555+$C7555) - MAX(IF($B$2:$B7554=$B7555, $A$2:$A7554+$C$2:$C7554)), "")*24*60, "")</f>
        <v/>
      </c>
    </row>
    <row r="7556" spans="1:19" x14ac:dyDescent="0.2">
      <c r="A7556" s="12">
        <f t="shared" ref="A7556:C7556" si="1741">A7555</f>
        <v>46015</v>
      </c>
      <c r="B7556" s="5" t="str">
        <f t="shared" si="1741"/>
        <v>Northern Cardinal</v>
      </c>
      <c r="C7556" s="6">
        <f t="shared" si="1741"/>
        <v>0.74097222222222225</v>
      </c>
      <c r="D7556" s="5"/>
      <c r="E7556" s="5"/>
      <c r="F7556" s="5" t="s">
        <v>9</v>
      </c>
      <c r="G7556" s="15" t="s">
        <v>8</v>
      </c>
      <c r="H7556" s="24">
        <f t="shared" si="1700"/>
        <v>0</v>
      </c>
      <c r="I7556" s="24" cm="1">
        <f t="array" ref="I7556">IFERROR(IF($B7556=I$1, ($A7556+$C7556) - MAX(IF($B$2:$B7555=$B7556, $A$2:$A7555+$C$2:$C7555)), "")*24*60, "")</f>
        <v>0</v>
      </c>
      <c r="J7556" s="24" t="str" cm="1">
        <f t="array" ref="J7556">IFERROR(IF($B7556=J$1, ($A7556+$C7556) - MAX(IF($B$2:$B7555=$B7556, $A$2:$A7555+$C$2:$C7555)), "")*24*60, "")</f>
        <v/>
      </c>
      <c r="K7556" s="24" t="str" cm="1">
        <f t="array" ref="K7556">IFERROR(IF($B7556=K$1, ($A7556+$C7556) - MAX(IF($B$2:$B7555=$B7556, $A$2:$A7555+$C$2:$C7555)), "")*24*60, "")</f>
        <v/>
      </c>
      <c r="L7556" s="24" t="str" cm="1">
        <f t="array" ref="L7556">IFERROR(IF($B7556=L$1, ($A7556+$C7556) - MAX(IF($B$2:$B7555=$B7556, $A$2:$A7555+$C$2:$C7555)), "")*24*60, "")</f>
        <v/>
      </c>
      <c r="M7556" s="24" t="str" cm="1">
        <f t="array" ref="M7556">IFERROR(IF($B7556=M$1, ($A7556+$C7556) - MAX(IF($B$2:$B7555=$B7556, $A$2:$A7555+$C$2:$C7555)), "")*24*60, "")</f>
        <v/>
      </c>
      <c r="N7556" s="24" t="str" cm="1">
        <f t="array" ref="N7556">IFERROR(IF($B7556=N$1, ($A7556+$C7556) - MAX(IF($B$2:$B7555=$B7556, $A$2:$A7555+$C$2:$C7555)), "")*24*60, "")</f>
        <v/>
      </c>
      <c r="O7556" s="24" t="str" cm="1">
        <f t="array" ref="O7556">IFERROR(IF($B7556=O$1, ($A7556+$C7556) - MAX(IF($B$2:$B7555=$B7556, $A$2:$A7555+$C$2:$C7555)), "")*24*60, "")</f>
        <v/>
      </c>
      <c r="P7556" s="24" t="str" cm="1">
        <f t="array" ref="P7556">IFERROR(IF($B7556=P$1, ($A7556+$C7556) - MAX(IF($B$2:$B7555=$B7556, $A$2:$A7555+$C$2:$C7555)), "")*24*60, "")</f>
        <v/>
      </c>
      <c r="Q7556" s="24" t="str" cm="1">
        <f t="array" ref="Q7556">IFERROR(IF($B7556=Q$1, ($A7556+$C7556) - MAX(IF($B$2:$B7555=$B7556, $A$2:$A7555+$C$2:$C7555)), "")*24*60, "")</f>
        <v/>
      </c>
      <c r="R7556" s="24" t="str" cm="1">
        <f t="array" ref="R7556">IFERROR(IF($B7556=R$1, ($A7556+$C7556) - MAX(IF($B$2:$B7555=$B7556, $A$2:$A7555+$C$2:$C7555)), "")*24*60, "")</f>
        <v/>
      </c>
      <c r="S7556" s="24" t="str" cm="1">
        <f t="array" ref="S7556">IFERROR(IF($B7556=S$1, ($A7556+$C7556) - MAX(IF($B$2:$B7555=$B7556, $A$2:$A7555+$C$2:$C7555)), "")*24*60, "")</f>
        <v/>
      </c>
    </row>
    <row r="7557" spans="1:19" x14ac:dyDescent="0.2">
      <c r="A7557" s="12">
        <f t="shared" ref="A7557:C7557" si="1742">A7556</f>
        <v>46015</v>
      </c>
      <c r="B7557" s="5" t="str">
        <f t="shared" si="1742"/>
        <v>Northern Cardinal</v>
      </c>
      <c r="C7557" s="6">
        <f t="shared" si="1742"/>
        <v>0.74097222222222225</v>
      </c>
      <c r="D7557" s="5"/>
      <c r="E7557" s="5"/>
      <c r="F7557" s="5" t="s">
        <v>9</v>
      </c>
      <c r="G7557" s="15" t="s">
        <v>8</v>
      </c>
      <c r="H7557" s="24">
        <f t="shared" si="1700"/>
        <v>0</v>
      </c>
      <c r="I7557" s="24" cm="1">
        <f t="array" ref="I7557">IFERROR(IF($B7557=I$1, ($A7557+$C7557) - MAX(IF($B$2:$B7556=$B7557, $A$2:$A7556+$C$2:$C7556)), "")*24*60, "")</f>
        <v>0</v>
      </c>
      <c r="J7557" s="24" t="str" cm="1">
        <f t="array" ref="J7557">IFERROR(IF($B7557=J$1, ($A7557+$C7557) - MAX(IF($B$2:$B7556=$B7557, $A$2:$A7556+$C$2:$C7556)), "")*24*60, "")</f>
        <v/>
      </c>
      <c r="K7557" s="24" t="str" cm="1">
        <f t="array" ref="K7557">IFERROR(IF($B7557=K$1, ($A7557+$C7557) - MAX(IF($B$2:$B7556=$B7557, $A$2:$A7556+$C$2:$C7556)), "")*24*60, "")</f>
        <v/>
      </c>
      <c r="L7557" s="24" t="str" cm="1">
        <f t="array" ref="L7557">IFERROR(IF($B7557=L$1, ($A7557+$C7557) - MAX(IF($B$2:$B7556=$B7557, $A$2:$A7556+$C$2:$C7556)), "")*24*60, "")</f>
        <v/>
      </c>
      <c r="M7557" s="24" t="str" cm="1">
        <f t="array" ref="M7557">IFERROR(IF($B7557=M$1, ($A7557+$C7557) - MAX(IF($B$2:$B7556=$B7557, $A$2:$A7556+$C$2:$C7556)), "")*24*60, "")</f>
        <v/>
      </c>
      <c r="N7557" s="24" t="str" cm="1">
        <f t="array" ref="N7557">IFERROR(IF($B7557=N$1, ($A7557+$C7557) - MAX(IF($B$2:$B7556=$B7557, $A$2:$A7556+$C$2:$C7556)), "")*24*60, "")</f>
        <v/>
      </c>
      <c r="O7557" s="24" t="str" cm="1">
        <f t="array" ref="O7557">IFERROR(IF($B7557=O$1, ($A7557+$C7557) - MAX(IF($B$2:$B7556=$B7557, $A$2:$A7556+$C$2:$C7556)), "")*24*60, "")</f>
        <v/>
      </c>
      <c r="P7557" s="24" t="str" cm="1">
        <f t="array" ref="P7557">IFERROR(IF($B7557=P$1, ($A7557+$C7557) - MAX(IF($B$2:$B7556=$B7557, $A$2:$A7556+$C$2:$C7556)), "")*24*60, "")</f>
        <v/>
      </c>
      <c r="Q7557" s="24" t="str" cm="1">
        <f t="array" ref="Q7557">IFERROR(IF($B7557=Q$1, ($A7557+$C7557) - MAX(IF($B$2:$B7556=$B7557, $A$2:$A7556+$C$2:$C7556)), "")*24*60, "")</f>
        <v/>
      </c>
      <c r="R7557" s="24" t="str" cm="1">
        <f t="array" ref="R7557">IFERROR(IF($B7557=R$1, ($A7557+$C7557) - MAX(IF($B$2:$B7556=$B7557, $A$2:$A7556+$C$2:$C7556)), "")*24*60, "")</f>
        <v/>
      </c>
      <c r="S7557" s="24" t="str" cm="1">
        <f t="array" ref="S7557">IFERROR(IF($B7557=S$1, ($A7557+$C7557) - MAX(IF($B$2:$B7556=$B7557, $A$2:$A7556+$C$2:$C7556)), "")*24*60, "")</f>
        <v/>
      </c>
    </row>
    <row r="7558" spans="1:19" x14ac:dyDescent="0.2">
      <c r="A7558" s="12">
        <f t="shared" ref="A7558:C7558" si="1743">A7557</f>
        <v>46015</v>
      </c>
      <c r="B7558" s="5" t="str">
        <f t="shared" si="1743"/>
        <v>Northern Cardinal</v>
      </c>
      <c r="C7558" s="6">
        <f t="shared" si="1743"/>
        <v>0.74097222222222225</v>
      </c>
      <c r="D7558" s="5"/>
      <c r="E7558" s="5"/>
      <c r="F7558" s="5" t="s">
        <v>9</v>
      </c>
      <c r="G7558" s="15" t="s">
        <v>8</v>
      </c>
      <c r="H7558" s="24">
        <f t="shared" si="1700"/>
        <v>0</v>
      </c>
      <c r="I7558" s="24" cm="1">
        <f t="array" ref="I7558">IFERROR(IF($B7558=I$1, ($A7558+$C7558) - MAX(IF($B$2:$B7557=$B7558, $A$2:$A7557+$C$2:$C7557)), "")*24*60, "")</f>
        <v>0</v>
      </c>
      <c r="J7558" s="24" t="str" cm="1">
        <f t="array" ref="J7558">IFERROR(IF($B7558=J$1, ($A7558+$C7558) - MAX(IF($B$2:$B7557=$B7558, $A$2:$A7557+$C$2:$C7557)), "")*24*60, "")</f>
        <v/>
      </c>
      <c r="K7558" s="24" t="str" cm="1">
        <f t="array" ref="K7558">IFERROR(IF($B7558=K$1, ($A7558+$C7558) - MAX(IF($B$2:$B7557=$B7558, $A$2:$A7557+$C$2:$C7557)), "")*24*60, "")</f>
        <v/>
      </c>
      <c r="L7558" s="24" t="str" cm="1">
        <f t="array" ref="L7558">IFERROR(IF($B7558=L$1, ($A7558+$C7558) - MAX(IF($B$2:$B7557=$B7558, $A$2:$A7557+$C$2:$C7557)), "")*24*60, "")</f>
        <v/>
      </c>
      <c r="M7558" s="24" t="str" cm="1">
        <f t="array" ref="M7558">IFERROR(IF($B7558=M$1, ($A7558+$C7558) - MAX(IF($B$2:$B7557=$B7558, $A$2:$A7557+$C$2:$C7557)), "")*24*60, "")</f>
        <v/>
      </c>
      <c r="N7558" s="24" t="str" cm="1">
        <f t="array" ref="N7558">IFERROR(IF($B7558=N$1, ($A7558+$C7558) - MAX(IF($B$2:$B7557=$B7558, $A$2:$A7557+$C$2:$C7557)), "")*24*60, "")</f>
        <v/>
      </c>
      <c r="O7558" s="24" t="str" cm="1">
        <f t="array" ref="O7558">IFERROR(IF($B7558=O$1, ($A7558+$C7558) - MAX(IF($B$2:$B7557=$B7558, $A$2:$A7557+$C$2:$C7557)), "")*24*60, "")</f>
        <v/>
      </c>
      <c r="P7558" s="24" t="str" cm="1">
        <f t="array" ref="P7558">IFERROR(IF($B7558=P$1, ($A7558+$C7558) - MAX(IF($B$2:$B7557=$B7558, $A$2:$A7557+$C$2:$C7557)), "")*24*60, "")</f>
        <v/>
      </c>
      <c r="Q7558" s="24" t="str" cm="1">
        <f t="array" ref="Q7558">IFERROR(IF($B7558=Q$1, ($A7558+$C7558) - MAX(IF($B$2:$B7557=$B7558, $A$2:$A7557+$C$2:$C7557)), "")*24*60, "")</f>
        <v/>
      </c>
      <c r="R7558" s="24" t="str" cm="1">
        <f t="array" ref="R7558">IFERROR(IF($B7558=R$1, ($A7558+$C7558) - MAX(IF($B$2:$B7557=$B7558, $A$2:$A7557+$C$2:$C7557)), "")*24*60, "")</f>
        <v/>
      </c>
      <c r="S7558" s="24" t="str" cm="1">
        <f t="array" ref="S7558">IFERROR(IF($B7558=S$1, ($A7558+$C7558) - MAX(IF($B$2:$B7557=$B7558, $A$2:$A7557+$C$2:$C7557)), "")*24*60, "")</f>
        <v/>
      </c>
    </row>
    <row r="7559" spans="1:19" x14ac:dyDescent="0.2">
      <c r="A7559" s="12">
        <f t="shared" ref="A7559:C7559" si="1744">A7558</f>
        <v>46015</v>
      </c>
      <c r="B7559" s="5" t="str">
        <f t="shared" si="1744"/>
        <v>Northern Cardinal</v>
      </c>
      <c r="C7559" s="6">
        <f t="shared" si="1744"/>
        <v>0.74097222222222225</v>
      </c>
      <c r="D7559" s="5"/>
      <c r="E7559" s="5"/>
      <c r="F7559" s="5" t="s">
        <v>9</v>
      </c>
      <c r="G7559" s="15" t="s">
        <v>8</v>
      </c>
      <c r="H7559" s="24">
        <f t="shared" si="1700"/>
        <v>0</v>
      </c>
      <c r="I7559" s="24" cm="1">
        <f t="array" ref="I7559">IFERROR(IF($B7559=I$1, ($A7559+$C7559) - MAX(IF($B$2:$B7558=$B7559, $A$2:$A7558+$C$2:$C7558)), "")*24*60, "")</f>
        <v>0</v>
      </c>
      <c r="J7559" s="24" t="str" cm="1">
        <f t="array" ref="J7559">IFERROR(IF($B7559=J$1, ($A7559+$C7559) - MAX(IF($B$2:$B7558=$B7559, $A$2:$A7558+$C$2:$C7558)), "")*24*60, "")</f>
        <v/>
      </c>
      <c r="K7559" s="24" t="str" cm="1">
        <f t="array" ref="K7559">IFERROR(IF($B7559=K$1, ($A7559+$C7559) - MAX(IF($B$2:$B7558=$B7559, $A$2:$A7558+$C$2:$C7558)), "")*24*60, "")</f>
        <v/>
      </c>
      <c r="L7559" s="24" t="str" cm="1">
        <f t="array" ref="L7559">IFERROR(IF($B7559=L$1, ($A7559+$C7559) - MAX(IF($B$2:$B7558=$B7559, $A$2:$A7558+$C$2:$C7558)), "")*24*60, "")</f>
        <v/>
      </c>
      <c r="M7559" s="24" t="str" cm="1">
        <f t="array" ref="M7559">IFERROR(IF($B7559=M$1, ($A7559+$C7559) - MAX(IF($B$2:$B7558=$B7559, $A$2:$A7558+$C$2:$C7558)), "")*24*60, "")</f>
        <v/>
      </c>
      <c r="N7559" s="24" t="str" cm="1">
        <f t="array" ref="N7559">IFERROR(IF($B7559=N$1, ($A7559+$C7559) - MAX(IF($B$2:$B7558=$B7559, $A$2:$A7558+$C$2:$C7558)), "")*24*60, "")</f>
        <v/>
      </c>
      <c r="O7559" s="24" t="str" cm="1">
        <f t="array" ref="O7559">IFERROR(IF($B7559=O$1, ($A7559+$C7559) - MAX(IF($B$2:$B7558=$B7559, $A$2:$A7558+$C$2:$C7558)), "")*24*60, "")</f>
        <v/>
      </c>
      <c r="P7559" s="24" t="str" cm="1">
        <f t="array" ref="P7559">IFERROR(IF($B7559=P$1, ($A7559+$C7559) - MAX(IF($B$2:$B7558=$B7559, $A$2:$A7558+$C$2:$C7558)), "")*24*60, "")</f>
        <v/>
      </c>
      <c r="Q7559" s="24" t="str" cm="1">
        <f t="array" ref="Q7559">IFERROR(IF($B7559=Q$1, ($A7559+$C7559) - MAX(IF($B$2:$B7558=$B7559, $A$2:$A7558+$C$2:$C7558)), "")*24*60, "")</f>
        <v/>
      </c>
      <c r="R7559" s="24" t="str" cm="1">
        <f t="array" ref="R7559">IFERROR(IF($B7559=R$1, ($A7559+$C7559) - MAX(IF($B$2:$B7558=$B7559, $A$2:$A7558+$C$2:$C7558)), "")*24*60, "")</f>
        <v/>
      </c>
      <c r="S7559" s="24" t="str" cm="1">
        <f t="array" ref="S7559">IFERROR(IF($B7559=S$1, ($A7559+$C7559) - MAX(IF($B$2:$B7558=$B7559, $A$2:$A7558+$C$2:$C7558)), "")*24*60, "")</f>
        <v/>
      </c>
    </row>
    <row r="7560" spans="1:19" x14ac:dyDescent="0.2">
      <c r="A7560" s="12">
        <f t="shared" ref="A7560:C7560" si="1745">A7559</f>
        <v>46015</v>
      </c>
      <c r="B7560" s="5" t="str">
        <f t="shared" si="1745"/>
        <v>Northern Cardinal</v>
      </c>
      <c r="C7560" s="6">
        <f t="shared" si="1745"/>
        <v>0.74097222222222225</v>
      </c>
      <c r="D7560" s="5"/>
      <c r="E7560" s="5"/>
      <c r="F7560" s="5" t="s">
        <v>9</v>
      </c>
      <c r="G7560" s="15" t="s">
        <v>8</v>
      </c>
      <c r="H7560" s="24">
        <f t="shared" si="1700"/>
        <v>0</v>
      </c>
      <c r="I7560" s="24" cm="1">
        <f t="array" ref="I7560">IFERROR(IF($B7560=I$1, ($A7560+$C7560) - MAX(IF($B$2:$B7559=$B7560, $A$2:$A7559+$C$2:$C7559)), "")*24*60, "")</f>
        <v>0</v>
      </c>
      <c r="J7560" s="24" t="str" cm="1">
        <f t="array" ref="J7560">IFERROR(IF($B7560=J$1, ($A7560+$C7560) - MAX(IF($B$2:$B7559=$B7560, $A$2:$A7559+$C$2:$C7559)), "")*24*60, "")</f>
        <v/>
      </c>
      <c r="K7560" s="24" t="str" cm="1">
        <f t="array" ref="K7560">IFERROR(IF($B7560=K$1, ($A7560+$C7560) - MAX(IF($B$2:$B7559=$B7560, $A$2:$A7559+$C$2:$C7559)), "")*24*60, "")</f>
        <v/>
      </c>
      <c r="L7560" s="24" t="str" cm="1">
        <f t="array" ref="L7560">IFERROR(IF($B7560=L$1, ($A7560+$C7560) - MAX(IF($B$2:$B7559=$B7560, $A$2:$A7559+$C$2:$C7559)), "")*24*60, "")</f>
        <v/>
      </c>
      <c r="M7560" s="24" t="str" cm="1">
        <f t="array" ref="M7560">IFERROR(IF($B7560=M$1, ($A7560+$C7560) - MAX(IF($B$2:$B7559=$B7560, $A$2:$A7559+$C$2:$C7559)), "")*24*60, "")</f>
        <v/>
      </c>
      <c r="N7560" s="24" t="str" cm="1">
        <f t="array" ref="N7560">IFERROR(IF($B7560=N$1, ($A7560+$C7560) - MAX(IF($B$2:$B7559=$B7560, $A$2:$A7559+$C$2:$C7559)), "")*24*60, "")</f>
        <v/>
      </c>
      <c r="O7560" s="24" t="str" cm="1">
        <f t="array" ref="O7560">IFERROR(IF($B7560=O$1, ($A7560+$C7560) - MAX(IF($B$2:$B7559=$B7560, $A$2:$A7559+$C$2:$C7559)), "")*24*60, "")</f>
        <v/>
      </c>
      <c r="P7560" s="24" t="str" cm="1">
        <f t="array" ref="P7560">IFERROR(IF($B7560=P$1, ($A7560+$C7560) - MAX(IF($B$2:$B7559=$B7560, $A$2:$A7559+$C$2:$C7559)), "")*24*60, "")</f>
        <v/>
      </c>
      <c r="Q7560" s="24" t="str" cm="1">
        <f t="array" ref="Q7560">IFERROR(IF($B7560=Q$1, ($A7560+$C7560) - MAX(IF($B$2:$B7559=$B7560, $A$2:$A7559+$C$2:$C7559)), "")*24*60, "")</f>
        <v/>
      </c>
      <c r="R7560" s="24" t="str" cm="1">
        <f t="array" ref="R7560">IFERROR(IF($B7560=R$1, ($A7560+$C7560) - MAX(IF($B$2:$B7559=$B7560, $A$2:$A7559+$C$2:$C7559)), "")*24*60, "")</f>
        <v/>
      </c>
      <c r="S7560" s="24" t="str" cm="1">
        <f t="array" ref="S7560">IFERROR(IF($B7560=S$1, ($A7560+$C7560) - MAX(IF($B$2:$B7559=$B7560, $A$2:$A7559+$C$2:$C7559)), "")*24*60, "")</f>
        <v/>
      </c>
    </row>
    <row r="7561" spans="1:19" x14ac:dyDescent="0.2">
      <c r="A7561" s="12">
        <f t="shared" ref="A7561:C7561" si="1746">A7560</f>
        <v>46015</v>
      </c>
      <c r="B7561" s="5" t="str">
        <f t="shared" si="1746"/>
        <v>Northern Cardinal</v>
      </c>
      <c r="C7561" s="6">
        <f t="shared" si="1746"/>
        <v>0.74097222222222225</v>
      </c>
      <c r="D7561" s="5"/>
      <c r="E7561" s="5"/>
      <c r="F7561" s="5" t="s">
        <v>9</v>
      </c>
      <c r="G7561" s="15" t="s">
        <v>8</v>
      </c>
      <c r="H7561" s="24">
        <f t="shared" si="1700"/>
        <v>0</v>
      </c>
      <c r="I7561" s="24" cm="1">
        <f t="array" ref="I7561">IFERROR(IF($B7561=I$1, ($A7561+$C7561) - MAX(IF($B$2:$B7560=$B7561, $A$2:$A7560+$C$2:$C7560)), "")*24*60, "")</f>
        <v>0</v>
      </c>
      <c r="J7561" s="24" t="str" cm="1">
        <f t="array" ref="J7561">IFERROR(IF($B7561=J$1, ($A7561+$C7561) - MAX(IF($B$2:$B7560=$B7561, $A$2:$A7560+$C$2:$C7560)), "")*24*60, "")</f>
        <v/>
      </c>
      <c r="K7561" s="24" t="str" cm="1">
        <f t="array" ref="K7561">IFERROR(IF($B7561=K$1, ($A7561+$C7561) - MAX(IF($B$2:$B7560=$B7561, $A$2:$A7560+$C$2:$C7560)), "")*24*60, "")</f>
        <v/>
      </c>
      <c r="L7561" s="24" t="str" cm="1">
        <f t="array" ref="L7561">IFERROR(IF($B7561=L$1, ($A7561+$C7561) - MAX(IF($B$2:$B7560=$B7561, $A$2:$A7560+$C$2:$C7560)), "")*24*60, "")</f>
        <v/>
      </c>
      <c r="M7561" s="24" t="str" cm="1">
        <f t="array" ref="M7561">IFERROR(IF($B7561=M$1, ($A7561+$C7561) - MAX(IF($B$2:$B7560=$B7561, $A$2:$A7560+$C$2:$C7560)), "")*24*60, "")</f>
        <v/>
      </c>
      <c r="N7561" s="24" t="str" cm="1">
        <f t="array" ref="N7561">IFERROR(IF($B7561=N$1, ($A7561+$C7561) - MAX(IF($B$2:$B7560=$B7561, $A$2:$A7560+$C$2:$C7560)), "")*24*60, "")</f>
        <v/>
      </c>
      <c r="O7561" s="24" t="str" cm="1">
        <f t="array" ref="O7561">IFERROR(IF($B7561=O$1, ($A7561+$C7561) - MAX(IF($B$2:$B7560=$B7561, $A$2:$A7560+$C$2:$C7560)), "")*24*60, "")</f>
        <v/>
      </c>
      <c r="P7561" s="24" t="str" cm="1">
        <f t="array" ref="P7561">IFERROR(IF($B7561=P$1, ($A7561+$C7561) - MAX(IF($B$2:$B7560=$B7561, $A$2:$A7560+$C$2:$C7560)), "")*24*60, "")</f>
        <v/>
      </c>
      <c r="Q7561" s="24" t="str" cm="1">
        <f t="array" ref="Q7561">IFERROR(IF($B7561=Q$1, ($A7561+$C7561) - MAX(IF($B$2:$B7560=$B7561, $A$2:$A7560+$C$2:$C7560)), "")*24*60, "")</f>
        <v/>
      </c>
      <c r="R7561" s="24" t="str" cm="1">
        <f t="array" ref="R7561">IFERROR(IF($B7561=R$1, ($A7561+$C7561) - MAX(IF($B$2:$B7560=$B7561, $A$2:$A7560+$C$2:$C7560)), "")*24*60, "")</f>
        <v/>
      </c>
      <c r="S7561" s="24" t="str" cm="1">
        <f t="array" ref="S7561">IFERROR(IF($B7561=S$1, ($A7561+$C7561) - MAX(IF($B$2:$B7560=$B7561, $A$2:$A7560+$C$2:$C7560)), "")*24*60, "")</f>
        <v/>
      </c>
    </row>
    <row r="7562" spans="1:19" x14ac:dyDescent="0.2">
      <c r="A7562" s="12">
        <f t="shared" ref="A7562:C7562" si="1747">A7561</f>
        <v>46015</v>
      </c>
      <c r="B7562" s="5" t="str">
        <f t="shared" si="1747"/>
        <v>Northern Cardinal</v>
      </c>
      <c r="C7562" s="6">
        <f t="shared" si="1747"/>
        <v>0.74097222222222225</v>
      </c>
      <c r="D7562" s="5"/>
      <c r="E7562" s="5"/>
      <c r="F7562" s="5" t="s">
        <v>9</v>
      </c>
      <c r="G7562" s="15" t="s">
        <v>8</v>
      </c>
      <c r="H7562" s="24">
        <f t="shared" si="1700"/>
        <v>0</v>
      </c>
      <c r="I7562" s="24" cm="1">
        <f t="array" ref="I7562">IFERROR(IF($B7562=I$1, ($A7562+$C7562) - MAX(IF($B$2:$B7561=$B7562, $A$2:$A7561+$C$2:$C7561)), "")*24*60, "")</f>
        <v>0</v>
      </c>
      <c r="J7562" s="24" t="str" cm="1">
        <f t="array" ref="J7562">IFERROR(IF($B7562=J$1, ($A7562+$C7562) - MAX(IF($B$2:$B7561=$B7562, $A$2:$A7561+$C$2:$C7561)), "")*24*60, "")</f>
        <v/>
      </c>
      <c r="K7562" s="24" t="str" cm="1">
        <f t="array" ref="K7562">IFERROR(IF($B7562=K$1, ($A7562+$C7562) - MAX(IF($B$2:$B7561=$B7562, $A$2:$A7561+$C$2:$C7561)), "")*24*60, "")</f>
        <v/>
      </c>
      <c r="L7562" s="24" t="str" cm="1">
        <f t="array" ref="L7562">IFERROR(IF($B7562=L$1, ($A7562+$C7562) - MAX(IF($B$2:$B7561=$B7562, $A$2:$A7561+$C$2:$C7561)), "")*24*60, "")</f>
        <v/>
      </c>
      <c r="M7562" s="24" t="str" cm="1">
        <f t="array" ref="M7562">IFERROR(IF($B7562=M$1, ($A7562+$C7562) - MAX(IF($B$2:$B7561=$B7562, $A$2:$A7561+$C$2:$C7561)), "")*24*60, "")</f>
        <v/>
      </c>
      <c r="N7562" s="24" t="str" cm="1">
        <f t="array" ref="N7562">IFERROR(IF($B7562=N$1, ($A7562+$C7562) - MAX(IF($B$2:$B7561=$B7562, $A$2:$A7561+$C$2:$C7561)), "")*24*60, "")</f>
        <v/>
      </c>
      <c r="O7562" s="24" t="str" cm="1">
        <f t="array" ref="O7562">IFERROR(IF($B7562=O$1, ($A7562+$C7562) - MAX(IF($B$2:$B7561=$B7562, $A$2:$A7561+$C$2:$C7561)), "")*24*60, "")</f>
        <v/>
      </c>
      <c r="P7562" s="24" t="str" cm="1">
        <f t="array" ref="P7562">IFERROR(IF($B7562=P$1, ($A7562+$C7562) - MAX(IF($B$2:$B7561=$B7562, $A$2:$A7561+$C$2:$C7561)), "")*24*60, "")</f>
        <v/>
      </c>
      <c r="Q7562" s="24" t="str" cm="1">
        <f t="array" ref="Q7562">IFERROR(IF($B7562=Q$1, ($A7562+$C7562) - MAX(IF($B$2:$B7561=$B7562, $A$2:$A7561+$C$2:$C7561)), "")*24*60, "")</f>
        <v/>
      </c>
      <c r="R7562" s="24" t="str" cm="1">
        <f t="array" ref="R7562">IFERROR(IF($B7562=R$1, ($A7562+$C7562) - MAX(IF($B$2:$B7561=$B7562, $A$2:$A7561+$C$2:$C7561)), "")*24*60, "")</f>
        <v/>
      </c>
      <c r="S7562" s="24" t="str" cm="1">
        <f t="array" ref="S7562">IFERROR(IF($B7562=S$1, ($A7562+$C7562) - MAX(IF($B$2:$B7561=$B7562, $A$2:$A7561+$C$2:$C7561)), "")*24*60, "")</f>
        <v/>
      </c>
    </row>
    <row r="7563" spans="1:19" x14ac:dyDescent="0.2">
      <c r="A7563" s="12">
        <f t="shared" ref="A7563:C7563" si="1748">A7562</f>
        <v>46015</v>
      </c>
      <c r="B7563" s="5" t="str">
        <f t="shared" si="1748"/>
        <v>Northern Cardinal</v>
      </c>
      <c r="C7563" s="6">
        <f t="shared" si="1748"/>
        <v>0.74097222222222225</v>
      </c>
      <c r="D7563" s="5"/>
      <c r="E7563" s="5"/>
      <c r="F7563" s="5" t="s">
        <v>9</v>
      </c>
      <c r="G7563" s="15" t="s">
        <v>8</v>
      </c>
      <c r="H7563" s="24">
        <f t="shared" si="1700"/>
        <v>0</v>
      </c>
      <c r="I7563" s="24" cm="1">
        <f t="array" ref="I7563">IFERROR(IF($B7563=I$1, ($A7563+$C7563) - MAX(IF($B$2:$B7562=$B7563, $A$2:$A7562+$C$2:$C7562)), "")*24*60, "")</f>
        <v>0</v>
      </c>
      <c r="J7563" s="24" t="str" cm="1">
        <f t="array" ref="J7563">IFERROR(IF($B7563=J$1, ($A7563+$C7563) - MAX(IF($B$2:$B7562=$B7563, $A$2:$A7562+$C$2:$C7562)), "")*24*60, "")</f>
        <v/>
      </c>
      <c r="K7563" s="24" t="str" cm="1">
        <f t="array" ref="K7563">IFERROR(IF($B7563=K$1, ($A7563+$C7563) - MAX(IF($B$2:$B7562=$B7563, $A$2:$A7562+$C$2:$C7562)), "")*24*60, "")</f>
        <v/>
      </c>
      <c r="L7563" s="24" t="str" cm="1">
        <f t="array" ref="L7563">IFERROR(IF($B7563=L$1, ($A7563+$C7563) - MAX(IF($B$2:$B7562=$B7563, $A$2:$A7562+$C$2:$C7562)), "")*24*60, "")</f>
        <v/>
      </c>
      <c r="M7563" s="24" t="str" cm="1">
        <f t="array" ref="M7563">IFERROR(IF($B7563=M$1, ($A7563+$C7563) - MAX(IF($B$2:$B7562=$B7563, $A$2:$A7562+$C$2:$C7562)), "")*24*60, "")</f>
        <v/>
      </c>
      <c r="N7563" s="24" t="str" cm="1">
        <f t="array" ref="N7563">IFERROR(IF($B7563=N$1, ($A7563+$C7563) - MAX(IF($B$2:$B7562=$B7563, $A$2:$A7562+$C$2:$C7562)), "")*24*60, "")</f>
        <v/>
      </c>
      <c r="O7563" s="24" t="str" cm="1">
        <f t="array" ref="O7563">IFERROR(IF($B7563=O$1, ($A7563+$C7563) - MAX(IF($B$2:$B7562=$B7563, $A$2:$A7562+$C$2:$C7562)), "")*24*60, "")</f>
        <v/>
      </c>
      <c r="P7563" s="24" t="str" cm="1">
        <f t="array" ref="P7563">IFERROR(IF($B7563=P$1, ($A7563+$C7563) - MAX(IF($B$2:$B7562=$B7563, $A$2:$A7562+$C$2:$C7562)), "")*24*60, "")</f>
        <v/>
      </c>
      <c r="Q7563" s="24" t="str" cm="1">
        <f t="array" ref="Q7563">IFERROR(IF($B7563=Q$1, ($A7563+$C7563) - MAX(IF($B$2:$B7562=$B7563, $A$2:$A7562+$C$2:$C7562)), "")*24*60, "")</f>
        <v/>
      </c>
      <c r="R7563" s="24" t="str" cm="1">
        <f t="array" ref="R7563">IFERROR(IF($B7563=R$1, ($A7563+$C7563) - MAX(IF($B$2:$B7562=$B7563, $A$2:$A7562+$C$2:$C7562)), "")*24*60, "")</f>
        <v/>
      </c>
      <c r="S7563" s="24" t="str" cm="1">
        <f t="array" ref="S7563">IFERROR(IF($B7563=S$1, ($A7563+$C7563) - MAX(IF($B$2:$B7562=$B7563, $A$2:$A7562+$C$2:$C7562)), "")*24*60, "")</f>
        <v/>
      </c>
    </row>
    <row r="7564" spans="1:19" x14ac:dyDescent="0.2">
      <c r="A7564" s="12">
        <f t="shared" ref="A7564:C7564" si="1749">A7563</f>
        <v>46015</v>
      </c>
      <c r="B7564" s="5" t="str">
        <f t="shared" si="1749"/>
        <v>Northern Cardinal</v>
      </c>
      <c r="C7564" s="6">
        <f t="shared" si="1749"/>
        <v>0.74097222222222225</v>
      </c>
      <c r="D7564" s="5"/>
      <c r="E7564" s="5"/>
      <c r="F7564" s="5" t="s">
        <v>9</v>
      </c>
      <c r="G7564" s="15" t="s">
        <v>8</v>
      </c>
      <c r="H7564" s="24">
        <f t="shared" si="1700"/>
        <v>0</v>
      </c>
      <c r="I7564" s="24" cm="1">
        <f t="array" ref="I7564">IFERROR(IF($B7564=I$1, ($A7564+$C7564) - MAX(IF($B$2:$B7563=$B7564, $A$2:$A7563+$C$2:$C7563)), "")*24*60, "")</f>
        <v>0</v>
      </c>
      <c r="J7564" s="24" t="str" cm="1">
        <f t="array" ref="J7564">IFERROR(IF($B7564=J$1, ($A7564+$C7564) - MAX(IF($B$2:$B7563=$B7564, $A$2:$A7563+$C$2:$C7563)), "")*24*60, "")</f>
        <v/>
      </c>
      <c r="K7564" s="24" t="str" cm="1">
        <f t="array" ref="K7564">IFERROR(IF($B7564=K$1, ($A7564+$C7564) - MAX(IF($B$2:$B7563=$B7564, $A$2:$A7563+$C$2:$C7563)), "")*24*60, "")</f>
        <v/>
      </c>
      <c r="L7564" s="24" t="str" cm="1">
        <f t="array" ref="L7564">IFERROR(IF($B7564=L$1, ($A7564+$C7564) - MAX(IF($B$2:$B7563=$B7564, $A$2:$A7563+$C$2:$C7563)), "")*24*60, "")</f>
        <v/>
      </c>
      <c r="M7564" s="24" t="str" cm="1">
        <f t="array" ref="M7564">IFERROR(IF($B7564=M$1, ($A7564+$C7564) - MAX(IF($B$2:$B7563=$B7564, $A$2:$A7563+$C$2:$C7563)), "")*24*60, "")</f>
        <v/>
      </c>
      <c r="N7564" s="24" t="str" cm="1">
        <f t="array" ref="N7564">IFERROR(IF($B7564=N$1, ($A7564+$C7564) - MAX(IF($B$2:$B7563=$B7564, $A$2:$A7563+$C$2:$C7563)), "")*24*60, "")</f>
        <v/>
      </c>
      <c r="O7564" s="24" t="str" cm="1">
        <f t="array" ref="O7564">IFERROR(IF($B7564=O$1, ($A7564+$C7564) - MAX(IF($B$2:$B7563=$B7564, $A$2:$A7563+$C$2:$C7563)), "")*24*60, "")</f>
        <v/>
      </c>
      <c r="P7564" s="24" t="str" cm="1">
        <f t="array" ref="P7564">IFERROR(IF($B7564=P$1, ($A7564+$C7564) - MAX(IF($B$2:$B7563=$B7564, $A$2:$A7563+$C$2:$C7563)), "")*24*60, "")</f>
        <v/>
      </c>
      <c r="Q7564" s="24" t="str" cm="1">
        <f t="array" ref="Q7564">IFERROR(IF($B7564=Q$1, ($A7564+$C7564) - MAX(IF($B$2:$B7563=$B7564, $A$2:$A7563+$C$2:$C7563)), "")*24*60, "")</f>
        <v/>
      </c>
      <c r="R7564" s="24" t="str" cm="1">
        <f t="array" ref="R7564">IFERROR(IF($B7564=R$1, ($A7564+$C7564) - MAX(IF($B$2:$B7563=$B7564, $A$2:$A7563+$C$2:$C7563)), "")*24*60, "")</f>
        <v/>
      </c>
      <c r="S7564" s="24" t="str" cm="1">
        <f t="array" ref="S7564">IFERROR(IF($B7564=S$1, ($A7564+$C7564) - MAX(IF($B$2:$B7563=$B7564, $A$2:$A7563+$C$2:$C7563)), "")*24*60, "")</f>
        <v/>
      </c>
    </row>
    <row r="7565" spans="1:19" x14ac:dyDescent="0.2">
      <c r="A7565" s="12">
        <f t="shared" ref="A7565:C7565" si="1750">A7564</f>
        <v>46015</v>
      </c>
      <c r="B7565" s="5" t="str">
        <f t="shared" si="1750"/>
        <v>Northern Cardinal</v>
      </c>
      <c r="C7565" s="6">
        <f t="shared" si="1750"/>
        <v>0.74097222222222225</v>
      </c>
      <c r="D7565" s="5"/>
      <c r="E7565" s="5"/>
      <c r="F7565" s="5" t="s">
        <v>9</v>
      </c>
      <c r="G7565" s="15" t="s">
        <v>8</v>
      </c>
      <c r="H7565" s="24">
        <f t="shared" si="1700"/>
        <v>0</v>
      </c>
      <c r="I7565" s="24" cm="1">
        <f t="array" ref="I7565">IFERROR(IF($B7565=I$1, ($A7565+$C7565) - MAX(IF($B$2:$B7564=$B7565, $A$2:$A7564+$C$2:$C7564)), "")*24*60, "")</f>
        <v>0</v>
      </c>
      <c r="J7565" s="24" t="str" cm="1">
        <f t="array" ref="J7565">IFERROR(IF($B7565=J$1, ($A7565+$C7565) - MAX(IF($B$2:$B7564=$B7565, $A$2:$A7564+$C$2:$C7564)), "")*24*60, "")</f>
        <v/>
      </c>
      <c r="K7565" s="24" t="str" cm="1">
        <f t="array" ref="K7565">IFERROR(IF($B7565=K$1, ($A7565+$C7565) - MAX(IF($B$2:$B7564=$B7565, $A$2:$A7564+$C$2:$C7564)), "")*24*60, "")</f>
        <v/>
      </c>
      <c r="L7565" s="24" t="str" cm="1">
        <f t="array" ref="L7565">IFERROR(IF($B7565=L$1, ($A7565+$C7565) - MAX(IF($B$2:$B7564=$B7565, $A$2:$A7564+$C$2:$C7564)), "")*24*60, "")</f>
        <v/>
      </c>
      <c r="M7565" s="24" t="str" cm="1">
        <f t="array" ref="M7565">IFERROR(IF($B7565=M$1, ($A7565+$C7565) - MAX(IF($B$2:$B7564=$B7565, $A$2:$A7564+$C$2:$C7564)), "")*24*60, "")</f>
        <v/>
      </c>
      <c r="N7565" s="24" t="str" cm="1">
        <f t="array" ref="N7565">IFERROR(IF($B7565=N$1, ($A7565+$C7565) - MAX(IF($B$2:$B7564=$B7565, $A$2:$A7564+$C$2:$C7564)), "")*24*60, "")</f>
        <v/>
      </c>
      <c r="O7565" s="24" t="str" cm="1">
        <f t="array" ref="O7565">IFERROR(IF($B7565=O$1, ($A7565+$C7565) - MAX(IF($B$2:$B7564=$B7565, $A$2:$A7564+$C$2:$C7564)), "")*24*60, "")</f>
        <v/>
      </c>
      <c r="P7565" s="24" t="str" cm="1">
        <f t="array" ref="P7565">IFERROR(IF($B7565=P$1, ($A7565+$C7565) - MAX(IF($B$2:$B7564=$B7565, $A$2:$A7564+$C$2:$C7564)), "")*24*60, "")</f>
        <v/>
      </c>
      <c r="Q7565" s="24" t="str" cm="1">
        <f t="array" ref="Q7565">IFERROR(IF($B7565=Q$1, ($A7565+$C7565) - MAX(IF($B$2:$B7564=$B7565, $A$2:$A7564+$C$2:$C7564)), "")*24*60, "")</f>
        <v/>
      </c>
      <c r="R7565" s="24" t="str" cm="1">
        <f t="array" ref="R7565">IFERROR(IF($B7565=R$1, ($A7565+$C7565) - MAX(IF($B$2:$B7564=$B7565, $A$2:$A7564+$C$2:$C7564)), "")*24*60, "")</f>
        <v/>
      </c>
      <c r="S7565" s="24" t="str" cm="1">
        <f t="array" ref="S7565">IFERROR(IF($B7565=S$1, ($A7565+$C7565) - MAX(IF($B$2:$B7564=$B7565, $A$2:$A7564+$C$2:$C7564)), "")*24*60, "")</f>
        <v/>
      </c>
    </row>
    <row r="7566" spans="1:19" x14ac:dyDescent="0.2">
      <c r="A7566" s="12">
        <f t="shared" ref="A7566:C7566" si="1751">A7565</f>
        <v>46015</v>
      </c>
      <c r="B7566" s="5" t="str">
        <f t="shared" si="1751"/>
        <v>Northern Cardinal</v>
      </c>
      <c r="C7566" s="6">
        <f t="shared" si="1751"/>
        <v>0.74097222222222225</v>
      </c>
      <c r="D7566" s="5"/>
      <c r="E7566" s="5"/>
      <c r="F7566" s="5" t="s">
        <v>9</v>
      </c>
      <c r="G7566" s="15" t="s">
        <v>8</v>
      </c>
      <c r="H7566" s="24">
        <f t="shared" si="1700"/>
        <v>0</v>
      </c>
      <c r="I7566" s="24" cm="1">
        <f t="array" ref="I7566">IFERROR(IF($B7566=I$1, ($A7566+$C7566) - MAX(IF($B$2:$B7565=$B7566, $A$2:$A7565+$C$2:$C7565)), "")*24*60, "")</f>
        <v>0</v>
      </c>
      <c r="J7566" s="24" t="str" cm="1">
        <f t="array" ref="J7566">IFERROR(IF($B7566=J$1, ($A7566+$C7566) - MAX(IF($B$2:$B7565=$B7566, $A$2:$A7565+$C$2:$C7565)), "")*24*60, "")</f>
        <v/>
      </c>
      <c r="K7566" s="24" t="str" cm="1">
        <f t="array" ref="K7566">IFERROR(IF($B7566=K$1, ($A7566+$C7566) - MAX(IF($B$2:$B7565=$B7566, $A$2:$A7565+$C$2:$C7565)), "")*24*60, "")</f>
        <v/>
      </c>
      <c r="L7566" s="24" t="str" cm="1">
        <f t="array" ref="L7566">IFERROR(IF($B7566=L$1, ($A7566+$C7566) - MAX(IF($B$2:$B7565=$B7566, $A$2:$A7565+$C$2:$C7565)), "")*24*60, "")</f>
        <v/>
      </c>
      <c r="M7566" s="24" t="str" cm="1">
        <f t="array" ref="M7566">IFERROR(IF($B7566=M$1, ($A7566+$C7566) - MAX(IF($B$2:$B7565=$B7566, $A$2:$A7565+$C$2:$C7565)), "")*24*60, "")</f>
        <v/>
      </c>
      <c r="N7566" s="24" t="str" cm="1">
        <f t="array" ref="N7566">IFERROR(IF($B7566=N$1, ($A7566+$C7566) - MAX(IF($B$2:$B7565=$B7566, $A$2:$A7565+$C$2:$C7565)), "")*24*60, "")</f>
        <v/>
      </c>
      <c r="O7566" s="24" t="str" cm="1">
        <f t="array" ref="O7566">IFERROR(IF($B7566=O$1, ($A7566+$C7566) - MAX(IF($B$2:$B7565=$B7566, $A$2:$A7565+$C$2:$C7565)), "")*24*60, "")</f>
        <v/>
      </c>
      <c r="P7566" s="24" t="str" cm="1">
        <f t="array" ref="P7566">IFERROR(IF($B7566=P$1, ($A7566+$C7566) - MAX(IF($B$2:$B7565=$B7566, $A$2:$A7565+$C$2:$C7565)), "")*24*60, "")</f>
        <v/>
      </c>
      <c r="Q7566" s="24" t="str" cm="1">
        <f t="array" ref="Q7566">IFERROR(IF($B7566=Q$1, ($A7566+$C7566) - MAX(IF($B$2:$B7565=$B7566, $A$2:$A7565+$C$2:$C7565)), "")*24*60, "")</f>
        <v/>
      </c>
      <c r="R7566" s="24" t="str" cm="1">
        <f t="array" ref="R7566">IFERROR(IF($B7566=R$1, ($A7566+$C7566) - MAX(IF($B$2:$B7565=$B7566, $A$2:$A7565+$C$2:$C7565)), "")*24*60, "")</f>
        <v/>
      </c>
      <c r="S7566" s="24" t="str" cm="1">
        <f t="array" ref="S7566">IFERROR(IF($B7566=S$1, ($A7566+$C7566) - MAX(IF($B$2:$B7565=$B7566, $A$2:$A7565+$C$2:$C7565)), "")*24*60, "")</f>
        <v/>
      </c>
    </row>
    <row r="7567" spans="1:19" x14ac:dyDescent="0.2">
      <c r="A7567" s="12">
        <f t="shared" ref="A7567:C7567" si="1752">A7566</f>
        <v>46015</v>
      </c>
      <c r="B7567" s="5" t="str">
        <f t="shared" si="1752"/>
        <v>Northern Cardinal</v>
      </c>
      <c r="C7567" s="6">
        <f t="shared" si="1752"/>
        <v>0.74097222222222225</v>
      </c>
      <c r="D7567" s="5"/>
      <c r="E7567" s="5"/>
      <c r="F7567" s="5" t="s">
        <v>9</v>
      </c>
      <c r="G7567" s="15" t="s">
        <v>8</v>
      </c>
      <c r="H7567" s="24">
        <f t="shared" si="1700"/>
        <v>0</v>
      </c>
      <c r="I7567" s="24" cm="1">
        <f t="array" ref="I7567">IFERROR(IF($B7567=I$1, ($A7567+$C7567) - MAX(IF($B$2:$B7566=$B7567, $A$2:$A7566+$C$2:$C7566)), "")*24*60, "")</f>
        <v>0</v>
      </c>
      <c r="J7567" s="24" t="str" cm="1">
        <f t="array" ref="J7567">IFERROR(IF($B7567=J$1, ($A7567+$C7567) - MAX(IF($B$2:$B7566=$B7567, $A$2:$A7566+$C$2:$C7566)), "")*24*60, "")</f>
        <v/>
      </c>
      <c r="K7567" s="24" t="str" cm="1">
        <f t="array" ref="K7567">IFERROR(IF($B7567=K$1, ($A7567+$C7567) - MAX(IF($B$2:$B7566=$B7567, $A$2:$A7566+$C$2:$C7566)), "")*24*60, "")</f>
        <v/>
      </c>
      <c r="L7567" s="24" t="str" cm="1">
        <f t="array" ref="L7567">IFERROR(IF($B7567=L$1, ($A7567+$C7567) - MAX(IF($B$2:$B7566=$B7567, $A$2:$A7566+$C$2:$C7566)), "")*24*60, "")</f>
        <v/>
      </c>
      <c r="M7567" s="24" t="str" cm="1">
        <f t="array" ref="M7567">IFERROR(IF($B7567=M$1, ($A7567+$C7567) - MAX(IF($B$2:$B7566=$B7567, $A$2:$A7566+$C$2:$C7566)), "")*24*60, "")</f>
        <v/>
      </c>
      <c r="N7567" s="24" t="str" cm="1">
        <f t="array" ref="N7567">IFERROR(IF($B7567=N$1, ($A7567+$C7567) - MAX(IF($B$2:$B7566=$B7567, $A$2:$A7566+$C$2:$C7566)), "")*24*60, "")</f>
        <v/>
      </c>
      <c r="O7567" s="24" t="str" cm="1">
        <f t="array" ref="O7567">IFERROR(IF($B7567=O$1, ($A7567+$C7567) - MAX(IF($B$2:$B7566=$B7567, $A$2:$A7566+$C$2:$C7566)), "")*24*60, "")</f>
        <v/>
      </c>
      <c r="P7567" s="24" t="str" cm="1">
        <f t="array" ref="P7567">IFERROR(IF($B7567=P$1, ($A7567+$C7567) - MAX(IF($B$2:$B7566=$B7567, $A$2:$A7566+$C$2:$C7566)), "")*24*60, "")</f>
        <v/>
      </c>
      <c r="Q7567" s="24" t="str" cm="1">
        <f t="array" ref="Q7567">IFERROR(IF($B7567=Q$1, ($A7567+$C7567) - MAX(IF($B$2:$B7566=$B7567, $A$2:$A7566+$C$2:$C7566)), "")*24*60, "")</f>
        <v/>
      </c>
      <c r="R7567" s="24" t="str" cm="1">
        <f t="array" ref="R7567">IFERROR(IF($B7567=R$1, ($A7567+$C7567) - MAX(IF($B$2:$B7566=$B7567, $A$2:$A7566+$C$2:$C7566)), "")*24*60, "")</f>
        <v/>
      </c>
      <c r="S7567" s="24" t="str" cm="1">
        <f t="array" ref="S7567">IFERROR(IF($B7567=S$1, ($A7567+$C7567) - MAX(IF($B$2:$B7566=$B7567, $A$2:$A7566+$C$2:$C7566)), "")*24*60, "")</f>
        <v/>
      </c>
    </row>
    <row r="7568" spans="1:19" x14ac:dyDescent="0.2">
      <c r="A7568" s="12">
        <f t="shared" ref="A7568:C7568" si="1753">A7567</f>
        <v>46015</v>
      </c>
      <c r="B7568" s="5" t="str">
        <f t="shared" si="1753"/>
        <v>Northern Cardinal</v>
      </c>
      <c r="C7568" s="6">
        <f t="shared" si="1753"/>
        <v>0.74097222222222225</v>
      </c>
      <c r="D7568" s="5"/>
      <c r="E7568" s="5"/>
      <c r="F7568" s="5" t="s">
        <v>9</v>
      </c>
      <c r="G7568" s="15" t="s">
        <v>8</v>
      </c>
      <c r="H7568" s="24">
        <f t="shared" si="1700"/>
        <v>0</v>
      </c>
      <c r="I7568" s="24" cm="1">
        <f t="array" ref="I7568">IFERROR(IF($B7568=I$1, ($A7568+$C7568) - MAX(IF($B$2:$B7567=$B7568, $A$2:$A7567+$C$2:$C7567)), "")*24*60, "")</f>
        <v>0</v>
      </c>
      <c r="J7568" s="24" t="str" cm="1">
        <f t="array" ref="J7568">IFERROR(IF($B7568=J$1, ($A7568+$C7568) - MAX(IF($B$2:$B7567=$B7568, $A$2:$A7567+$C$2:$C7567)), "")*24*60, "")</f>
        <v/>
      </c>
      <c r="K7568" s="24" t="str" cm="1">
        <f t="array" ref="K7568">IFERROR(IF($B7568=K$1, ($A7568+$C7568) - MAX(IF($B$2:$B7567=$B7568, $A$2:$A7567+$C$2:$C7567)), "")*24*60, "")</f>
        <v/>
      </c>
      <c r="L7568" s="24" t="str" cm="1">
        <f t="array" ref="L7568">IFERROR(IF($B7568=L$1, ($A7568+$C7568) - MAX(IF($B$2:$B7567=$B7568, $A$2:$A7567+$C$2:$C7567)), "")*24*60, "")</f>
        <v/>
      </c>
      <c r="M7568" s="24" t="str" cm="1">
        <f t="array" ref="M7568">IFERROR(IF($B7568=M$1, ($A7568+$C7568) - MAX(IF($B$2:$B7567=$B7568, $A$2:$A7567+$C$2:$C7567)), "")*24*60, "")</f>
        <v/>
      </c>
      <c r="N7568" s="24" t="str" cm="1">
        <f t="array" ref="N7568">IFERROR(IF($B7568=N$1, ($A7568+$C7568) - MAX(IF($B$2:$B7567=$B7568, $A$2:$A7567+$C$2:$C7567)), "")*24*60, "")</f>
        <v/>
      </c>
      <c r="O7568" s="24" t="str" cm="1">
        <f t="array" ref="O7568">IFERROR(IF($B7568=O$1, ($A7568+$C7568) - MAX(IF($B$2:$B7567=$B7568, $A$2:$A7567+$C$2:$C7567)), "")*24*60, "")</f>
        <v/>
      </c>
      <c r="P7568" s="24" t="str" cm="1">
        <f t="array" ref="P7568">IFERROR(IF($B7568=P$1, ($A7568+$C7568) - MAX(IF($B$2:$B7567=$B7568, $A$2:$A7567+$C$2:$C7567)), "")*24*60, "")</f>
        <v/>
      </c>
      <c r="Q7568" s="24" t="str" cm="1">
        <f t="array" ref="Q7568">IFERROR(IF($B7568=Q$1, ($A7568+$C7568) - MAX(IF($B$2:$B7567=$B7568, $A$2:$A7567+$C$2:$C7567)), "")*24*60, "")</f>
        <v/>
      </c>
      <c r="R7568" s="24" t="str" cm="1">
        <f t="array" ref="R7568">IFERROR(IF($B7568=R$1, ($A7568+$C7568) - MAX(IF($B$2:$B7567=$B7568, $A$2:$A7567+$C$2:$C7567)), "")*24*60, "")</f>
        <v/>
      </c>
      <c r="S7568" s="24" t="str" cm="1">
        <f t="array" ref="S7568">IFERROR(IF($B7568=S$1, ($A7568+$C7568) - MAX(IF($B$2:$B7567=$B7568, $A$2:$A7567+$C$2:$C7567)), "")*24*60, "")</f>
        <v/>
      </c>
    </row>
    <row r="7569" spans="1:19" x14ac:dyDescent="0.2">
      <c r="A7569" s="12">
        <f t="shared" ref="A7569:C7569" si="1754">A7568</f>
        <v>46015</v>
      </c>
      <c r="B7569" s="5" t="str">
        <f t="shared" si="1754"/>
        <v>Northern Cardinal</v>
      </c>
      <c r="C7569" s="6">
        <f t="shared" si="1754"/>
        <v>0.74097222222222225</v>
      </c>
      <c r="D7569" s="5"/>
      <c r="E7569" s="5"/>
      <c r="F7569" s="5" t="s">
        <v>9</v>
      </c>
      <c r="G7569" s="15" t="s">
        <v>8</v>
      </c>
      <c r="H7569" s="24">
        <f t="shared" si="1700"/>
        <v>0</v>
      </c>
      <c r="I7569" s="24" cm="1">
        <f t="array" ref="I7569">IFERROR(IF($B7569=I$1, ($A7569+$C7569) - MAX(IF($B$2:$B7568=$B7569, $A$2:$A7568+$C$2:$C7568)), "")*24*60, "")</f>
        <v>0</v>
      </c>
      <c r="J7569" s="24" t="str" cm="1">
        <f t="array" ref="J7569">IFERROR(IF($B7569=J$1, ($A7569+$C7569) - MAX(IF($B$2:$B7568=$B7569, $A$2:$A7568+$C$2:$C7568)), "")*24*60, "")</f>
        <v/>
      </c>
      <c r="K7569" s="24" t="str" cm="1">
        <f t="array" ref="K7569">IFERROR(IF($B7569=K$1, ($A7569+$C7569) - MAX(IF($B$2:$B7568=$B7569, $A$2:$A7568+$C$2:$C7568)), "")*24*60, "")</f>
        <v/>
      </c>
      <c r="L7569" s="24" t="str" cm="1">
        <f t="array" ref="L7569">IFERROR(IF($B7569=L$1, ($A7569+$C7569) - MAX(IF($B$2:$B7568=$B7569, $A$2:$A7568+$C$2:$C7568)), "")*24*60, "")</f>
        <v/>
      </c>
      <c r="M7569" s="24" t="str" cm="1">
        <f t="array" ref="M7569">IFERROR(IF($B7569=M$1, ($A7569+$C7569) - MAX(IF($B$2:$B7568=$B7569, $A$2:$A7568+$C$2:$C7568)), "")*24*60, "")</f>
        <v/>
      </c>
      <c r="N7569" s="24" t="str" cm="1">
        <f t="array" ref="N7569">IFERROR(IF($B7569=N$1, ($A7569+$C7569) - MAX(IF($B$2:$B7568=$B7569, $A$2:$A7568+$C$2:$C7568)), "")*24*60, "")</f>
        <v/>
      </c>
      <c r="O7569" s="24" t="str" cm="1">
        <f t="array" ref="O7569">IFERROR(IF($B7569=O$1, ($A7569+$C7569) - MAX(IF($B$2:$B7568=$B7569, $A$2:$A7568+$C$2:$C7568)), "")*24*60, "")</f>
        <v/>
      </c>
      <c r="P7569" s="24" t="str" cm="1">
        <f t="array" ref="P7569">IFERROR(IF($B7569=P$1, ($A7569+$C7569) - MAX(IF($B$2:$B7568=$B7569, $A$2:$A7568+$C$2:$C7568)), "")*24*60, "")</f>
        <v/>
      </c>
      <c r="Q7569" s="24" t="str" cm="1">
        <f t="array" ref="Q7569">IFERROR(IF($B7569=Q$1, ($A7569+$C7569) - MAX(IF($B$2:$B7568=$B7569, $A$2:$A7568+$C$2:$C7568)), "")*24*60, "")</f>
        <v/>
      </c>
      <c r="R7569" s="24" t="str" cm="1">
        <f t="array" ref="R7569">IFERROR(IF($B7569=R$1, ($A7569+$C7569) - MAX(IF($B$2:$B7568=$B7569, $A$2:$A7568+$C$2:$C7568)), "")*24*60, "")</f>
        <v/>
      </c>
      <c r="S7569" s="24" t="str" cm="1">
        <f t="array" ref="S7569">IFERROR(IF($B7569=S$1, ($A7569+$C7569) - MAX(IF($B$2:$B7568=$B7569, $A$2:$A7568+$C$2:$C7568)), "")*24*60, "")</f>
        <v/>
      </c>
    </row>
    <row r="7570" spans="1:19" x14ac:dyDescent="0.2">
      <c r="A7570" s="12">
        <f t="shared" ref="A7570:C7570" si="1755">A7569</f>
        <v>46015</v>
      </c>
      <c r="B7570" s="5" t="str">
        <f t="shared" si="1755"/>
        <v>Northern Cardinal</v>
      </c>
      <c r="C7570" s="6">
        <f t="shared" si="1755"/>
        <v>0.74097222222222225</v>
      </c>
      <c r="D7570" s="5"/>
      <c r="E7570" s="5"/>
      <c r="F7570" s="5" t="s">
        <v>9</v>
      </c>
      <c r="G7570" s="15" t="s">
        <v>8</v>
      </c>
      <c r="H7570" s="24">
        <f t="shared" si="1700"/>
        <v>0</v>
      </c>
      <c r="I7570" s="24" cm="1">
        <f t="array" ref="I7570">IFERROR(IF($B7570=I$1, ($A7570+$C7570) - MAX(IF($B$2:$B7569=$B7570, $A$2:$A7569+$C$2:$C7569)), "")*24*60, "")</f>
        <v>0</v>
      </c>
      <c r="J7570" s="24" t="str" cm="1">
        <f t="array" ref="J7570">IFERROR(IF($B7570=J$1, ($A7570+$C7570) - MAX(IF($B$2:$B7569=$B7570, $A$2:$A7569+$C$2:$C7569)), "")*24*60, "")</f>
        <v/>
      </c>
      <c r="K7570" s="24" t="str" cm="1">
        <f t="array" ref="K7570">IFERROR(IF($B7570=K$1, ($A7570+$C7570) - MAX(IF($B$2:$B7569=$B7570, $A$2:$A7569+$C$2:$C7569)), "")*24*60, "")</f>
        <v/>
      </c>
      <c r="L7570" s="24" t="str" cm="1">
        <f t="array" ref="L7570">IFERROR(IF($B7570=L$1, ($A7570+$C7570) - MAX(IF($B$2:$B7569=$B7570, $A$2:$A7569+$C$2:$C7569)), "")*24*60, "")</f>
        <v/>
      </c>
      <c r="M7570" s="24" t="str" cm="1">
        <f t="array" ref="M7570">IFERROR(IF($B7570=M$1, ($A7570+$C7570) - MAX(IF($B$2:$B7569=$B7570, $A$2:$A7569+$C$2:$C7569)), "")*24*60, "")</f>
        <v/>
      </c>
      <c r="N7570" s="24" t="str" cm="1">
        <f t="array" ref="N7570">IFERROR(IF($B7570=N$1, ($A7570+$C7570) - MAX(IF($B$2:$B7569=$B7570, $A$2:$A7569+$C$2:$C7569)), "")*24*60, "")</f>
        <v/>
      </c>
      <c r="O7570" s="24" t="str" cm="1">
        <f t="array" ref="O7570">IFERROR(IF($B7570=O$1, ($A7570+$C7570) - MAX(IF($B$2:$B7569=$B7570, $A$2:$A7569+$C$2:$C7569)), "")*24*60, "")</f>
        <v/>
      </c>
      <c r="P7570" s="24" t="str" cm="1">
        <f t="array" ref="P7570">IFERROR(IF($B7570=P$1, ($A7570+$C7570) - MAX(IF($B$2:$B7569=$B7570, $A$2:$A7569+$C$2:$C7569)), "")*24*60, "")</f>
        <v/>
      </c>
      <c r="Q7570" s="24" t="str" cm="1">
        <f t="array" ref="Q7570">IFERROR(IF($B7570=Q$1, ($A7570+$C7570) - MAX(IF($B$2:$B7569=$B7570, $A$2:$A7569+$C$2:$C7569)), "")*24*60, "")</f>
        <v/>
      </c>
      <c r="R7570" s="24" t="str" cm="1">
        <f t="array" ref="R7570">IFERROR(IF($B7570=R$1, ($A7570+$C7570) - MAX(IF($B$2:$B7569=$B7570, $A$2:$A7569+$C$2:$C7569)), "")*24*60, "")</f>
        <v/>
      </c>
      <c r="S7570" s="24" t="str" cm="1">
        <f t="array" ref="S7570">IFERROR(IF($B7570=S$1, ($A7570+$C7570) - MAX(IF($B$2:$B7569=$B7570, $A$2:$A7569+$C$2:$C7569)), "")*24*60, "")</f>
        <v/>
      </c>
    </row>
    <row r="7571" spans="1:19" x14ac:dyDescent="0.2">
      <c r="A7571" s="12">
        <f t="shared" ref="A7571:C7571" si="1756">A7570</f>
        <v>46015</v>
      </c>
      <c r="B7571" s="5" t="str">
        <f t="shared" si="1756"/>
        <v>Northern Cardinal</v>
      </c>
      <c r="C7571" s="6">
        <f t="shared" si="1756"/>
        <v>0.74097222222222225</v>
      </c>
      <c r="D7571" s="5"/>
      <c r="E7571" s="5"/>
      <c r="F7571" s="5" t="s">
        <v>9</v>
      </c>
      <c r="G7571" s="15" t="s">
        <v>8</v>
      </c>
      <c r="H7571" s="24">
        <f t="shared" si="1700"/>
        <v>0</v>
      </c>
      <c r="I7571" s="24" cm="1">
        <f t="array" ref="I7571">IFERROR(IF($B7571=I$1, ($A7571+$C7571) - MAX(IF($B$2:$B7570=$B7571, $A$2:$A7570+$C$2:$C7570)), "")*24*60, "")</f>
        <v>0</v>
      </c>
      <c r="J7571" s="24" t="str" cm="1">
        <f t="array" ref="J7571">IFERROR(IF($B7571=J$1, ($A7571+$C7571) - MAX(IF($B$2:$B7570=$B7571, $A$2:$A7570+$C$2:$C7570)), "")*24*60, "")</f>
        <v/>
      </c>
      <c r="K7571" s="24" t="str" cm="1">
        <f t="array" ref="K7571">IFERROR(IF($B7571=K$1, ($A7571+$C7571) - MAX(IF($B$2:$B7570=$B7571, $A$2:$A7570+$C$2:$C7570)), "")*24*60, "")</f>
        <v/>
      </c>
      <c r="L7571" s="24" t="str" cm="1">
        <f t="array" ref="L7571">IFERROR(IF($B7571=L$1, ($A7571+$C7571) - MAX(IF($B$2:$B7570=$B7571, $A$2:$A7570+$C$2:$C7570)), "")*24*60, "")</f>
        <v/>
      </c>
      <c r="M7571" s="24" t="str" cm="1">
        <f t="array" ref="M7571">IFERROR(IF($B7571=M$1, ($A7571+$C7571) - MAX(IF($B$2:$B7570=$B7571, $A$2:$A7570+$C$2:$C7570)), "")*24*60, "")</f>
        <v/>
      </c>
      <c r="N7571" s="24" t="str" cm="1">
        <f t="array" ref="N7571">IFERROR(IF($B7571=N$1, ($A7571+$C7571) - MAX(IF($B$2:$B7570=$B7571, $A$2:$A7570+$C$2:$C7570)), "")*24*60, "")</f>
        <v/>
      </c>
      <c r="O7571" s="24" t="str" cm="1">
        <f t="array" ref="O7571">IFERROR(IF($B7571=O$1, ($A7571+$C7571) - MAX(IF($B$2:$B7570=$B7571, $A$2:$A7570+$C$2:$C7570)), "")*24*60, "")</f>
        <v/>
      </c>
      <c r="P7571" s="24" t="str" cm="1">
        <f t="array" ref="P7571">IFERROR(IF($B7571=P$1, ($A7571+$C7571) - MAX(IF($B$2:$B7570=$B7571, $A$2:$A7570+$C$2:$C7570)), "")*24*60, "")</f>
        <v/>
      </c>
      <c r="Q7571" s="24" t="str" cm="1">
        <f t="array" ref="Q7571">IFERROR(IF($B7571=Q$1, ($A7571+$C7571) - MAX(IF($B$2:$B7570=$B7571, $A$2:$A7570+$C$2:$C7570)), "")*24*60, "")</f>
        <v/>
      </c>
      <c r="R7571" s="24" t="str" cm="1">
        <f t="array" ref="R7571">IFERROR(IF($B7571=R$1, ($A7571+$C7571) - MAX(IF($B$2:$B7570=$B7571, $A$2:$A7570+$C$2:$C7570)), "")*24*60, "")</f>
        <v/>
      </c>
      <c r="S7571" s="24" t="str" cm="1">
        <f t="array" ref="S7571">IFERROR(IF($B7571=S$1, ($A7571+$C7571) - MAX(IF($B$2:$B7570=$B7571, $A$2:$A7570+$C$2:$C7570)), "")*24*60, "")</f>
        <v/>
      </c>
    </row>
    <row r="7572" spans="1:19" x14ac:dyDescent="0.2">
      <c r="A7572" s="12">
        <f t="shared" ref="A7572:C7572" si="1757">A7571</f>
        <v>46015</v>
      </c>
      <c r="B7572" s="5" t="str">
        <f t="shared" si="1757"/>
        <v>Northern Cardinal</v>
      </c>
      <c r="C7572" s="6">
        <f t="shared" si="1757"/>
        <v>0.74097222222222225</v>
      </c>
      <c r="D7572" s="5"/>
      <c r="E7572" s="5"/>
      <c r="F7572" s="5" t="s">
        <v>9</v>
      </c>
      <c r="G7572" s="15" t="s">
        <v>8</v>
      </c>
      <c r="H7572" s="24">
        <f t="shared" si="1700"/>
        <v>0</v>
      </c>
      <c r="I7572" s="24" cm="1">
        <f t="array" ref="I7572">IFERROR(IF($B7572=I$1, ($A7572+$C7572) - MAX(IF($B$2:$B7571=$B7572, $A$2:$A7571+$C$2:$C7571)), "")*24*60, "")</f>
        <v>0</v>
      </c>
      <c r="J7572" s="24" t="str" cm="1">
        <f t="array" ref="J7572">IFERROR(IF($B7572=J$1, ($A7572+$C7572) - MAX(IF($B$2:$B7571=$B7572, $A$2:$A7571+$C$2:$C7571)), "")*24*60, "")</f>
        <v/>
      </c>
      <c r="K7572" s="24" t="str" cm="1">
        <f t="array" ref="K7572">IFERROR(IF($B7572=K$1, ($A7572+$C7572) - MAX(IF($B$2:$B7571=$B7572, $A$2:$A7571+$C$2:$C7571)), "")*24*60, "")</f>
        <v/>
      </c>
      <c r="L7572" s="24" t="str" cm="1">
        <f t="array" ref="L7572">IFERROR(IF($B7572=L$1, ($A7572+$C7572) - MAX(IF($B$2:$B7571=$B7572, $A$2:$A7571+$C$2:$C7571)), "")*24*60, "")</f>
        <v/>
      </c>
      <c r="M7572" s="24" t="str" cm="1">
        <f t="array" ref="M7572">IFERROR(IF($B7572=M$1, ($A7572+$C7572) - MAX(IF($B$2:$B7571=$B7572, $A$2:$A7571+$C$2:$C7571)), "")*24*60, "")</f>
        <v/>
      </c>
      <c r="N7572" s="24" t="str" cm="1">
        <f t="array" ref="N7572">IFERROR(IF($B7572=N$1, ($A7572+$C7572) - MAX(IF($B$2:$B7571=$B7572, $A$2:$A7571+$C$2:$C7571)), "")*24*60, "")</f>
        <v/>
      </c>
      <c r="O7572" s="24" t="str" cm="1">
        <f t="array" ref="O7572">IFERROR(IF($B7572=O$1, ($A7572+$C7572) - MAX(IF($B$2:$B7571=$B7572, $A$2:$A7571+$C$2:$C7571)), "")*24*60, "")</f>
        <v/>
      </c>
      <c r="P7572" s="24" t="str" cm="1">
        <f t="array" ref="P7572">IFERROR(IF($B7572=P$1, ($A7572+$C7572) - MAX(IF($B$2:$B7571=$B7572, $A$2:$A7571+$C$2:$C7571)), "")*24*60, "")</f>
        <v/>
      </c>
      <c r="Q7572" s="24" t="str" cm="1">
        <f t="array" ref="Q7572">IFERROR(IF($B7572=Q$1, ($A7572+$C7572) - MAX(IF($B$2:$B7571=$B7572, $A$2:$A7571+$C$2:$C7571)), "")*24*60, "")</f>
        <v/>
      </c>
      <c r="R7572" s="24" t="str" cm="1">
        <f t="array" ref="R7572">IFERROR(IF($B7572=R$1, ($A7572+$C7572) - MAX(IF($B$2:$B7571=$B7572, $A$2:$A7571+$C$2:$C7571)), "")*24*60, "")</f>
        <v/>
      </c>
      <c r="S7572" s="24" t="str" cm="1">
        <f t="array" ref="S7572">IFERROR(IF($B7572=S$1, ($A7572+$C7572) - MAX(IF($B$2:$B7571=$B7572, $A$2:$A7571+$C$2:$C7571)), "")*24*60, "")</f>
        <v/>
      </c>
    </row>
    <row r="7573" spans="1:19" x14ac:dyDescent="0.2">
      <c r="A7573" s="12">
        <f t="shared" ref="A7573:C7573" si="1758">A7572</f>
        <v>46015</v>
      </c>
      <c r="B7573" s="5" t="str">
        <f t="shared" si="1758"/>
        <v>Northern Cardinal</v>
      </c>
      <c r="C7573" s="6">
        <f t="shared" si="1758"/>
        <v>0.74097222222222225</v>
      </c>
      <c r="D7573" s="5"/>
      <c r="E7573" s="5"/>
      <c r="F7573" s="5" t="s">
        <v>9</v>
      </c>
      <c r="G7573" s="15" t="s">
        <v>8</v>
      </c>
      <c r="H7573" s="24">
        <f t="shared" si="1700"/>
        <v>0</v>
      </c>
      <c r="I7573" s="24" cm="1">
        <f t="array" ref="I7573">IFERROR(IF($B7573=I$1, ($A7573+$C7573) - MAX(IF($B$2:$B7572=$B7573, $A$2:$A7572+$C$2:$C7572)), "")*24*60, "")</f>
        <v>0</v>
      </c>
      <c r="J7573" s="24" t="str" cm="1">
        <f t="array" ref="J7573">IFERROR(IF($B7573=J$1, ($A7573+$C7573) - MAX(IF($B$2:$B7572=$B7573, $A$2:$A7572+$C$2:$C7572)), "")*24*60, "")</f>
        <v/>
      </c>
      <c r="K7573" s="24" t="str" cm="1">
        <f t="array" ref="K7573">IFERROR(IF($B7573=K$1, ($A7573+$C7573) - MAX(IF($B$2:$B7572=$B7573, $A$2:$A7572+$C$2:$C7572)), "")*24*60, "")</f>
        <v/>
      </c>
      <c r="L7573" s="24" t="str" cm="1">
        <f t="array" ref="L7573">IFERROR(IF($B7573=L$1, ($A7573+$C7573) - MAX(IF($B$2:$B7572=$B7573, $A$2:$A7572+$C$2:$C7572)), "")*24*60, "")</f>
        <v/>
      </c>
      <c r="M7573" s="24" t="str" cm="1">
        <f t="array" ref="M7573">IFERROR(IF($B7573=M$1, ($A7573+$C7573) - MAX(IF($B$2:$B7572=$B7573, $A$2:$A7572+$C$2:$C7572)), "")*24*60, "")</f>
        <v/>
      </c>
      <c r="N7573" s="24" t="str" cm="1">
        <f t="array" ref="N7573">IFERROR(IF($B7573=N$1, ($A7573+$C7573) - MAX(IF($B$2:$B7572=$B7573, $A$2:$A7572+$C$2:$C7572)), "")*24*60, "")</f>
        <v/>
      </c>
      <c r="O7573" s="24" t="str" cm="1">
        <f t="array" ref="O7573">IFERROR(IF($B7573=O$1, ($A7573+$C7573) - MAX(IF($B$2:$B7572=$B7573, $A$2:$A7572+$C$2:$C7572)), "")*24*60, "")</f>
        <v/>
      </c>
      <c r="P7573" s="24" t="str" cm="1">
        <f t="array" ref="P7573">IFERROR(IF($B7573=P$1, ($A7573+$C7573) - MAX(IF($B$2:$B7572=$B7573, $A$2:$A7572+$C$2:$C7572)), "")*24*60, "")</f>
        <v/>
      </c>
      <c r="Q7573" s="24" t="str" cm="1">
        <f t="array" ref="Q7573">IFERROR(IF($B7573=Q$1, ($A7573+$C7573) - MAX(IF($B$2:$B7572=$B7573, $A$2:$A7572+$C$2:$C7572)), "")*24*60, "")</f>
        <v/>
      </c>
      <c r="R7573" s="24" t="str" cm="1">
        <f t="array" ref="R7573">IFERROR(IF($B7573=R$1, ($A7573+$C7573) - MAX(IF($B$2:$B7572=$B7573, $A$2:$A7572+$C$2:$C7572)), "")*24*60, "")</f>
        <v/>
      </c>
      <c r="S7573" s="24" t="str" cm="1">
        <f t="array" ref="S7573">IFERROR(IF($B7573=S$1, ($A7573+$C7573) - MAX(IF($B$2:$B7572=$B7573, $A$2:$A7572+$C$2:$C7572)), "")*24*60, "")</f>
        <v/>
      </c>
    </row>
    <row r="7574" spans="1:19" x14ac:dyDescent="0.2">
      <c r="A7574" s="12">
        <f t="shared" ref="A7574:C7574" si="1759">A7573</f>
        <v>46015</v>
      </c>
      <c r="B7574" s="5" t="str">
        <f t="shared" si="1759"/>
        <v>Northern Cardinal</v>
      </c>
      <c r="C7574" s="6">
        <f t="shared" si="1759"/>
        <v>0.74097222222222225</v>
      </c>
      <c r="D7574" s="5"/>
      <c r="E7574" s="5"/>
      <c r="F7574" s="5" t="s">
        <v>9</v>
      </c>
      <c r="G7574" s="15" t="s">
        <v>8</v>
      </c>
      <c r="H7574" s="24">
        <f t="shared" si="1700"/>
        <v>0</v>
      </c>
      <c r="I7574" s="24" cm="1">
        <f t="array" ref="I7574">IFERROR(IF($B7574=I$1, ($A7574+$C7574) - MAX(IF($B$2:$B7573=$B7574, $A$2:$A7573+$C$2:$C7573)), "")*24*60, "")</f>
        <v>0</v>
      </c>
      <c r="J7574" s="24" t="str" cm="1">
        <f t="array" ref="J7574">IFERROR(IF($B7574=J$1, ($A7574+$C7574) - MAX(IF($B$2:$B7573=$B7574, $A$2:$A7573+$C$2:$C7573)), "")*24*60, "")</f>
        <v/>
      </c>
      <c r="K7574" s="24" t="str" cm="1">
        <f t="array" ref="K7574">IFERROR(IF($B7574=K$1, ($A7574+$C7574) - MAX(IF($B$2:$B7573=$B7574, $A$2:$A7573+$C$2:$C7573)), "")*24*60, "")</f>
        <v/>
      </c>
      <c r="L7574" s="24" t="str" cm="1">
        <f t="array" ref="L7574">IFERROR(IF($B7574=L$1, ($A7574+$C7574) - MAX(IF($B$2:$B7573=$B7574, $A$2:$A7573+$C$2:$C7573)), "")*24*60, "")</f>
        <v/>
      </c>
      <c r="M7574" s="24" t="str" cm="1">
        <f t="array" ref="M7574">IFERROR(IF($B7574=M$1, ($A7574+$C7574) - MAX(IF($B$2:$B7573=$B7574, $A$2:$A7573+$C$2:$C7573)), "")*24*60, "")</f>
        <v/>
      </c>
      <c r="N7574" s="24" t="str" cm="1">
        <f t="array" ref="N7574">IFERROR(IF($B7574=N$1, ($A7574+$C7574) - MAX(IF($B$2:$B7573=$B7574, $A$2:$A7573+$C$2:$C7573)), "")*24*60, "")</f>
        <v/>
      </c>
      <c r="O7574" s="24" t="str" cm="1">
        <f t="array" ref="O7574">IFERROR(IF($B7574=O$1, ($A7574+$C7574) - MAX(IF($B$2:$B7573=$B7574, $A$2:$A7573+$C$2:$C7573)), "")*24*60, "")</f>
        <v/>
      </c>
      <c r="P7574" s="24" t="str" cm="1">
        <f t="array" ref="P7574">IFERROR(IF($B7574=P$1, ($A7574+$C7574) - MAX(IF($B$2:$B7573=$B7574, $A$2:$A7573+$C$2:$C7573)), "")*24*60, "")</f>
        <v/>
      </c>
      <c r="Q7574" s="24" t="str" cm="1">
        <f t="array" ref="Q7574">IFERROR(IF($B7574=Q$1, ($A7574+$C7574) - MAX(IF($B$2:$B7573=$B7574, $A$2:$A7573+$C$2:$C7573)), "")*24*60, "")</f>
        <v/>
      </c>
      <c r="R7574" s="24" t="str" cm="1">
        <f t="array" ref="R7574">IFERROR(IF($B7574=R$1, ($A7574+$C7574) - MAX(IF($B$2:$B7573=$B7574, $A$2:$A7573+$C$2:$C7573)), "")*24*60, "")</f>
        <v/>
      </c>
      <c r="S7574" s="24" t="str" cm="1">
        <f t="array" ref="S7574">IFERROR(IF($B7574=S$1, ($A7574+$C7574) - MAX(IF($B$2:$B7573=$B7574, $A$2:$A7573+$C$2:$C7573)), "")*24*60, "")</f>
        <v/>
      </c>
    </row>
    <row r="7575" spans="1:19" x14ac:dyDescent="0.2">
      <c r="A7575" s="12">
        <f t="shared" ref="A7575:C7575" si="1760">A7574</f>
        <v>46015</v>
      </c>
      <c r="B7575" s="5" t="str">
        <f t="shared" si="1760"/>
        <v>Northern Cardinal</v>
      </c>
      <c r="C7575" s="6">
        <f t="shared" si="1760"/>
        <v>0.74097222222222225</v>
      </c>
      <c r="D7575" s="5"/>
      <c r="E7575" s="5"/>
      <c r="F7575" s="5" t="s">
        <v>9</v>
      </c>
      <c r="G7575" s="15" t="s">
        <v>8</v>
      </c>
      <c r="H7575" s="24">
        <f t="shared" si="1700"/>
        <v>0</v>
      </c>
      <c r="I7575" s="24" cm="1">
        <f t="array" ref="I7575">IFERROR(IF($B7575=I$1, ($A7575+$C7575) - MAX(IF($B$2:$B7574=$B7575, $A$2:$A7574+$C$2:$C7574)), "")*24*60, "")</f>
        <v>0</v>
      </c>
      <c r="J7575" s="24" t="str" cm="1">
        <f t="array" ref="J7575">IFERROR(IF($B7575=J$1, ($A7575+$C7575) - MAX(IF($B$2:$B7574=$B7575, $A$2:$A7574+$C$2:$C7574)), "")*24*60, "")</f>
        <v/>
      </c>
      <c r="K7575" s="24" t="str" cm="1">
        <f t="array" ref="K7575">IFERROR(IF($B7575=K$1, ($A7575+$C7575) - MAX(IF($B$2:$B7574=$B7575, $A$2:$A7574+$C$2:$C7574)), "")*24*60, "")</f>
        <v/>
      </c>
      <c r="L7575" s="24" t="str" cm="1">
        <f t="array" ref="L7575">IFERROR(IF($B7575=L$1, ($A7575+$C7575) - MAX(IF($B$2:$B7574=$B7575, $A$2:$A7574+$C$2:$C7574)), "")*24*60, "")</f>
        <v/>
      </c>
      <c r="M7575" s="24" t="str" cm="1">
        <f t="array" ref="M7575">IFERROR(IF($B7575=M$1, ($A7575+$C7575) - MAX(IF($B$2:$B7574=$B7575, $A$2:$A7574+$C$2:$C7574)), "")*24*60, "")</f>
        <v/>
      </c>
      <c r="N7575" s="24" t="str" cm="1">
        <f t="array" ref="N7575">IFERROR(IF($B7575=N$1, ($A7575+$C7575) - MAX(IF($B$2:$B7574=$B7575, $A$2:$A7574+$C$2:$C7574)), "")*24*60, "")</f>
        <v/>
      </c>
      <c r="O7575" s="24" t="str" cm="1">
        <f t="array" ref="O7575">IFERROR(IF($B7575=O$1, ($A7575+$C7575) - MAX(IF($B$2:$B7574=$B7575, $A$2:$A7574+$C$2:$C7574)), "")*24*60, "")</f>
        <v/>
      </c>
      <c r="P7575" s="24" t="str" cm="1">
        <f t="array" ref="P7575">IFERROR(IF($B7575=P$1, ($A7575+$C7575) - MAX(IF($B$2:$B7574=$B7575, $A$2:$A7574+$C$2:$C7574)), "")*24*60, "")</f>
        <v/>
      </c>
      <c r="Q7575" s="24" t="str" cm="1">
        <f t="array" ref="Q7575">IFERROR(IF($B7575=Q$1, ($A7575+$C7575) - MAX(IF($B$2:$B7574=$B7575, $A$2:$A7574+$C$2:$C7574)), "")*24*60, "")</f>
        <v/>
      </c>
      <c r="R7575" s="24" t="str" cm="1">
        <f t="array" ref="R7575">IFERROR(IF($B7575=R$1, ($A7575+$C7575) - MAX(IF($B$2:$B7574=$B7575, $A$2:$A7574+$C$2:$C7574)), "")*24*60, "")</f>
        <v/>
      </c>
      <c r="S7575" s="24" t="str" cm="1">
        <f t="array" ref="S7575">IFERROR(IF($B7575=S$1, ($A7575+$C7575) - MAX(IF($B$2:$B7574=$B7575, $A$2:$A7574+$C$2:$C7574)), "")*24*60, "")</f>
        <v/>
      </c>
    </row>
    <row r="7576" spans="1:19" x14ac:dyDescent="0.2">
      <c r="A7576" s="12">
        <f t="shared" ref="A7576:C7576" si="1761">A7575</f>
        <v>46015</v>
      </c>
      <c r="B7576" s="5" t="str">
        <f t="shared" si="1761"/>
        <v>Northern Cardinal</v>
      </c>
      <c r="C7576" s="6">
        <f t="shared" si="1761"/>
        <v>0.74097222222222225</v>
      </c>
      <c r="D7576" s="5"/>
      <c r="E7576" s="5"/>
      <c r="F7576" s="5" t="s">
        <v>9</v>
      </c>
      <c r="G7576" s="15" t="s">
        <v>8</v>
      </c>
      <c r="H7576" s="24">
        <f t="shared" si="1700"/>
        <v>0</v>
      </c>
      <c r="I7576" s="24" cm="1">
        <f t="array" ref="I7576">IFERROR(IF($B7576=I$1, ($A7576+$C7576) - MAX(IF($B$2:$B7575=$B7576, $A$2:$A7575+$C$2:$C7575)), "")*24*60, "")</f>
        <v>0</v>
      </c>
      <c r="J7576" s="24" t="str" cm="1">
        <f t="array" ref="J7576">IFERROR(IF($B7576=J$1, ($A7576+$C7576) - MAX(IF($B$2:$B7575=$B7576, $A$2:$A7575+$C$2:$C7575)), "")*24*60, "")</f>
        <v/>
      </c>
      <c r="K7576" s="24" t="str" cm="1">
        <f t="array" ref="K7576">IFERROR(IF($B7576=K$1, ($A7576+$C7576) - MAX(IF($B$2:$B7575=$B7576, $A$2:$A7575+$C$2:$C7575)), "")*24*60, "")</f>
        <v/>
      </c>
      <c r="L7576" s="24" t="str" cm="1">
        <f t="array" ref="L7576">IFERROR(IF($B7576=L$1, ($A7576+$C7576) - MAX(IF($B$2:$B7575=$B7576, $A$2:$A7575+$C$2:$C7575)), "")*24*60, "")</f>
        <v/>
      </c>
      <c r="M7576" s="24" t="str" cm="1">
        <f t="array" ref="M7576">IFERROR(IF($B7576=M$1, ($A7576+$C7576) - MAX(IF($B$2:$B7575=$B7576, $A$2:$A7575+$C$2:$C7575)), "")*24*60, "")</f>
        <v/>
      </c>
      <c r="N7576" s="24" t="str" cm="1">
        <f t="array" ref="N7576">IFERROR(IF($B7576=N$1, ($A7576+$C7576) - MAX(IF($B$2:$B7575=$B7576, $A$2:$A7575+$C$2:$C7575)), "")*24*60, "")</f>
        <v/>
      </c>
      <c r="O7576" s="24" t="str" cm="1">
        <f t="array" ref="O7576">IFERROR(IF($B7576=O$1, ($A7576+$C7576) - MAX(IF($B$2:$B7575=$B7576, $A$2:$A7575+$C$2:$C7575)), "")*24*60, "")</f>
        <v/>
      </c>
      <c r="P7576" s="24" t="str" cm="1">
        <f t="array" ref="P7576">IFERROR(IF($B7576=P$1, ($A7576+$C7576) - MAX(IF($B$2:$B7575=$B7576, $A$2:$A7575+$C$2:$C7575)), "")*24*60, "")</f>
        <v/>
      </c>
      <c r="Q7576" s="24" t="str" cm="1">
        <f t="array" ref="Q7576">IFERROR(IF($B7576=Q$1, ($A7576+$C7576) - MAX(IF($B$2:$B7575=$B7576, $A$2:$A7575+$C$2:$C7575)), "")*24*60, "")</f>
        <v/>
      </c>
      <c r="R7576" s="24" t="str" cm="1">
        <f t="array" ref="R7576">IFERROR(IF($B7576=R$1, ($A7576+$C7576) - MAX(IF($B$2:$B7575=$B7576, $A$2:$A7575+$C$2:$C7575)), "")*24*60, "")</f>
        <v/>
      </c>
      <c r="S7576" s="24" t="str" cm="1">
        <f t="array" ref="S7576">IFERROR(IF($B7576=S$1, ($A7576+$C7576) - MAX(IF($B$2:$B7575=$B7576, $A$2:$A7575+$C$2:$C7575)), "")*24*60, "")</f>
        <v/>
      </c>
    </row>
    <row r="7577" spans="1:19" x14ac:dyDescent="0.2">
      <c r="A7577" s="12">
        <f t="shared" ref="A7577:C7577" si="1762">A7576</f>
        <v>46015</v>
      </c>
      <c r="B7577" s="5" t="str">
        <f t="shared" si="1762"/>
        <v>Northern Cardinal</v>
      </c>
      <c r="C7577" s="6">
        <f t="shared" si="1762"/>
        <v>0.74097222222222225</v>
      </c>
      <c r="D7577" s="5"/>
      <c r="E7577" s="5"/>
      <c r="F7577" s="5" t="s">
        <v>9</v>
      </c>
      <c r="G7577" s="15" t="s">
        <v>8</v>
      </c>
      <c r="H7577" s="24">
        <f t="shared" si="1700"/>
        <v>0</v>
      </c>
      <c r="I7577" s="24" cm="1">
        <f t="array" ref="I7577">IFERROR(IF($B7577=I$1, ($A7577+$C7577) - MAX(IF($B$2:$B7576=$B7577, $A$2:$A7576+$C$2:$C7576)), "")*24*60, "")</f>
        <v>0</v>
      </c>
      <c r="J7577" s="24" t="str" cm="1">
        <f t="array" ref="J7577">IFERROR(IF($B7577=J$1, ($A7577+$C7577) - MAX(IF($B$2:$B7576=$B7577, $A$2:$A7576+$C$2:$C7576)), "")*24*60, "")</f>
        <v/>
      </c>
      <c r="K7577" s="24" t="str" cm="1">
        <f t="array" ref="K7577">IFERROR(IF($B7577=K$1, ($A7577+$C7577) - MAX(IF($B$2:$B7576=$B7577, $A$2:$A7576+$C$2:$C7576)), "")*24*60, "")</f>
        <v/>
      </c>
      <c r="L7577" s="24" t="str" cm="1">
        <f t="array" ref="L7577">IFERROR(IF($B7577=L$1, ($A7577+$C7577) - MAX(IF($B$2:$B7576=$B7577, $A$2:$A7576+$C$2:$C7576)), "")*24*60, "")</f>
        <v/>
      </c>
      <c r="M7577" s="24" t="str" cm="1">
        <f t="array" ref="M7577">IFERROR(IF($B7577=M$1, ($A7577+$C7577) - MAX(IF($B$2:$B7576=$B7577, $A$2:$A7576+$C$2:$C7576)), "")*24*60, "")</f>
        <v/>
      </c>
      <c r="N7577" s="24" t="str" cm="1">
        <f t="array" ref="N7577">IFERROR(IF($B7577=N$1, ($A7577+$C7577) - MAX(IF($B$2:$B7576=$B7577, $A$2:$A7576+$C$2:$C7576)), "")*24*60, "")</f>
        <v/>
      </c>
      <c r="O7577" s="24" t="str" cm="1">
        <f t="array" ref="O7577">IFERROR(IF($B7577=O$1, ($A7577+$C7577) - MAX(IF($B$2:$B7576=$B7577, $A$2:$A7576+$C$2:$C7576)), "")*24*60, "")</f>
        <v/>
      </c>
      <c r="P7577" s="24" t="str" cm="1">
        <f t="array" ref="P7577">IFERROR(IF($B7577=P$1, ($A7577+$C7577) - MAX(IF($B$2:$B7576=$B7577, $A$2:$A7576+$C$2:$C7576)), "")*24*60, "")</f>
        <v/>
      </c>
      <c r="Q7577" s="24" t="str" cm="1">
        <f t="array" ref="Q7577">IFERROR(IF($B7577=Q$1, ($A7577+$C7577) - MAX(IF($B$2:$B7576=$B7577, $A$2:$A7576+$C$2:$C7576)), "")*24*60, "")</f>
        <v/>
      </c>
      <c r="R7577" s="24" t="str" cm="1">
        <f t="array" ref="R7577">IFERROR(IF($B7577=R$1, ($A7577+$C7577) - MAX(IF($B$2:$B7576=$B7577, $A$2:$A7576+$C$2:$C7576)), "")*24*60, "")</f>
        <v/>
      </c>
      <c r="S7577" s="24" t="str" cm="1">
        <f t="array" ref="S7577">IFERROR(IF($B7577=S$1, ($A7577+$C7577) - MAX(IF($B$2:$B7576=$B7577, $A$2:$A7576+$C$2:$C7576)), "")*24*60, "")</f>
        <v/>
      </c>
    </row>
    <row r="7578" spans="1:19" x14ac:dyDescent="0.2">
      <c r="A7578" s="12">
        <f t="shared" ref="A7578:C7578" si="1763">A7577</f>
        <v>46015</v>
      </c>
      <c r="B7578" s="5" t="str">
        <f t="shared" si="1763"/>
        <v>Northern Cardinal</v>
      </c>
      <c r="C7578" s="6">
        <f t="shared" si="1763"/>
        <v>0.74097222222222225</v>
      </c>
      <c r="D7578" s="5"/>
      <c r="E7578" s="5"/>
      <c r="F7578" s="5" t="s">
        <v>9</v>
      </c>
      <c r="G7578" s="15" t="s">
        <v>8</v>
      </c>
      <c r="H7578" s="24">
        <f t="shared" si="1700"/>
        <v>0</v>
      </c>
      <c r="I7578" s="24" cm="1">
        <f t="array" ref="I7578">IFERROR(IF($B7578=I$1, ($A7578+$C7578) - MAX(IF($B$2:$B7577=$B7578, $A$2:$A7577+$C$2:$C7577)), "")*24*60, "")</f>
        <v>0</v>
      </c>
      <c r="J7578" s="24" t="str" cm="1">
        <f t="array" ref="J7578">IFERROR(IF($B7578=J$1, ($A7578+$C7578) - MAX(IF($B$2:$B7577=$B7578, $A$2:$A7577+$C$2:$C7577)), "")*24*60, "")</f>
        <v/>
      </c>
      <c r="K7578" s="24" t="str" cm="1">
        <f t="array" ref="K7578">IFERROR(IF($B7578=K$1, ($A7578+$C7578) - MAX(IF($B$2:$B7577=$B7578, $A$2:$A7577+$C$2:$C7577)), "")*24*60, "")</f>
        <v/>
      </c>
      <c r="L7578" s="24" t="str" cm="1">
        <f t="array" ref="L7578">IFERROR(IF($B7578=L$1, ($A7578+$C7578) - MAX(IF($B$2:$B7577=$B7578, $A$2:$A7577+$C$2:$C7577)), "")*24*60, "")</f>
        <v/>
      </c>
      <c r="M7578" s="24" t="str" cm="1">
        <f t="array" ref="M7578">IFERROR(IF($B7578=M$1, ($A7578+$C7578) - MAX(IF($B$2:$B7577=$B7578, $A$2:$A7577+$C$2:$C7577)), "")*24*60, "")</f>
        <v/>
      </c>
      <c r="N7578" s="24" t="str" cm="1">
        <f t="array" ref="N7578">IFERROR(IF($B7578=N$1, ($A7578+$C7578) - MAX(IF($B$2:$B7577=$B7578, $A$2:$A7577+$C$2:$C7577)), "")*24*60, "")</f>
        <v/>
      </c>
      <c r="O7578" s="24" t="str" cm="1">
        <f t="array" ref="O7578">IFERROR(IF($B7578=O$1, ($A7578+$C7578) - MAX(IF($B$2:$B7577=$B7578, $A$2:$A7577+$C$2:$C7577)), "")*24*60, "")</f>
        <v/>
      </c>
      <c r="P7578" s="24" t="str" cm="1">
        <f t="array" ref="P7578">IFERROR(IF($B7578=P$1, ($A7578+$C7578) - MAX(IF($B$2:$B7577=$B7578, $A$2:$A7577+$C$2:$C7577)), "")*24*60, "")</f>
        <v/>
      </c>
      <c r="Q7578" s="24" t="str" cm="1">
        <f t="array" ref="Q7578">IFERROR(IF($B7578=Q$1, ($A7578+$C7578) - MAX(IF($B$2:$B7577=$B7578, $A$2:$A7577+$C$2:$C7577)), "")*24*60, "")</f>
        <v/>
      </c>
      <c r="R7578" s="24" t="str" cm="1">
        <f t="array" ref="R7578">IFERROR(IF($B7578=R$1, ($A7578+$C7578) - MAX(IF($B$2:$B7577=$B7578, $A$2:$A7577+$C$2:$C7577)), "")*24*60, "")</f>
        <v/>
      </c>
      <c r="S7578" s="24" t="str" cm="1">
        <f t="array" ref="S7578">IFERROR(IF($B7578=S$1, ($A7578+$C7578) - MAX(IF($B$2:$B7577=$B7578, $A$2:$A7577+$C$2:$C7577)), "")*24*60, "")</f>
        <v/>
      </c>
    </row>
    <row r="7579" spans="1:19" x14ac:dyDescent="0.2">
      <c r="A7579" s="12">
        <f t="shared" ref="A7579:C7579" si="1764">A7578</f>
        <v>46015</v>
      </c>
      <c r="B7579" s="5" t="str">
        <f t="shared" si="1764"/>
        <v>Northern Cardinal</v>
      </c>
      <c r="C7579" s="6">
        <f t="shared" si="1764"/>
        <v>0.74097222222222225</v>
      </c>
      <c r="D7579" s="5"/>
      <c r="E7579" s="5"/>
      <c r="F7579" s="5" t="s">
        <v>9</v>
      </c>
      <c r="G7579" s="15" t="s">
        <v>8</v>
      </c>
      <c r="H7579" s="24">
        <f t="shared" ref="H7579:H7642" si="1765">IFERROR((($A7579+$C7579) - ($A7578+$C7578))*24*60, "")</f>
        <v>0</v>
      </c>
      <c r="I7579" s="24" cm="1">
        <f t="array" ref="I7579">IFERROR(IF($B7579=I$1, ($A7579+$C7579) - MAX(IF($B$2:$B7578=$B7579, $A$2:$A7578+$C$2:$C7578)), "")*24*60, "")</f>
        <v>0</v>
      </c>
      <c r="J7579" s="24" t="str" cm="1">
        <f t="array" ref="J7579">IFERROR(IF($B7579=J$1, ($A7579+$C7579) - MAX(IF($B$2:$B7578=$B7579, $A$2:$A7578+$C$2:$C7578)), "")*24*60, "")</f>
        <v/>
      </c>
      <c r="K7579" s="24" t="str" cm="1">
        <f t="array" ref="K7579">IFERROR(IF($B7579=K$1, ($A7579+$C7579) - MAX(IF($B$2:$B7578=$B7579, $A$2:$A7578+$C$2:$C7578)), "")*24*60, "")</f>
        <v/>
      </c>
      <c r="L7579" s="24" t="str" cm="1">
        <f t="array" ref="L7579">IFERROR(IF($B7579=L$1, ($A7579+$C7579) - MAX(IF($B$2:$B7578=$B7579, $A$2:$A7578+$C$2:$C7578)), "")*24*60, "")</f>
        <v/>
      </c>
      <c r="M7579" s="24" t="str" cm="1">
        <f t="array" ref="M7579">IFERROR(IF($B7579=M$1, ($A7579+$C7579) - MAX(IF($B$2:$B7578=$B7579, $A$2:$A7578+$C$2:$C7578)), "")*24*60, "")</f>
        <v/>
      </c>
      <c r="N7579" s="24" t="str" cm="1">
        <f t="array" ref="N7579">IFERROR(IF($B7579=N$1, ($A7579+$C7579) - MAX(IF($B$2:$B7578=$B7579, $A$2:$A7578+$C$2:$C7578)), "")*24*60, "")</f>
        <v/>
      </c>
      <c r="O7579" s="24" t="str" cm="1">
        <f t="array" ref="O7579">IFERROR(IF($B7579=O$1, ($A7579+$C7579) - MAX(IF($B$2:$B7578=$B7579, $A$2:$A7578+$C$2:$C7578)), "")*24*60, "")</f>
        <v/>
      </c>
      <c r="P7579" s="24" t="str" cm="1">
        <f t="array" ref="P7579">IFERROR(IF($B7579=P$1, ($A7579+$C7579) - MAX(IF($B$2:$B7578=$B7579, $A$2:$A7578+$C$2:$C7578)), "")*24*60, "")</f>
        <v/>
      </c>
      <c r="Q7579" s="24" t="str" cm="1">
        <f t="array" ref="Q7579">IFERROR(IF($B7579=Q$1, ($A7579+$C7579) - MAX(IF($B$2:$B7578=$B7579, $A$2:$A7578+$C$2:$C7578)), "")*24*60, "")</f>
        <v/>
      </c>
      <c r="R7579" s="24" t="str" cm="1">
        <f t="array" ref="R7579">IFERROR(IF($B7579=R$1, ($A7579+$C7579) - MAX(IF($B$2:$B7578=$B7579, $A$2:$A7578+$C$2:$C7578)), "")*24*60, "")</f>
        <v/>
      </c>
      <c r="S7579" s="24" t="str" cm="1">
        <f t="array" ref="S7579">IFERROR(IF($B7579=S$1, ($A7579+$C7579) - MAX(IF($B$2:$B7578=$B7579, $A$2:$A7578+$C$2:$C7578)), "")*24*60, "")</f>
        <v/>
      </c>
    </row>
    <row r="7580" spans="1:19" x14ac:dyDescent="0.2">
      <c r="A7580" s="12">
        <f t="shared" ref="A7580:C7580" si="1766">A7579</f>
        <v>46015</v>
      </c>
      <c r="B7580" s="5" t="str">
        <f t="shared" si="1766"/>
        <v>Northern Cardinal</v>
      </c>
      <c r="C7580" s="6">
        <f t="shared" si="1766"/>
        <v>0.74097222222222225</v>
      </c>
      <c r="D7580" s="5"/>
      <c r="E7580" s="5"/>
      <c r="F7580" s="5" t="s">
        <v>9</v>
      </c>
      <c r="G7580" s="15" t="s">
        <v>8</v>
      </c>
      <c r="H7580" s="24">
        <f t="shared" si="1765"/>
        <v>0</v>
      </c>
      <c r="I7580" s="24" cm="1">
        <f t="array" ref="I7580">IFERROR(IF($B7580=I$1, ($A7580+$C7580) - MAX(IF($B$2:$B7579=$B7580, $A$2:$A7579+$C$2:$C7579)), "")*24*60, "")</f>
        <v>0</v>
      </c>
      <c r="J7580" s="24" t="str" cm="1">
        <f t="array" ref="J7580">IFERROR(IF($B7580=J$1, ($A7580+$C7580) - MAX(IF($B$2:$B7579=$B7580, $A$2:$A7579+$C$2:$C7579)), "")*24*60, "")</f>
        <v/>
      </c>
      <c r="K7580" s="24" t="str" cm="1">
        <f t="array" ref="K7580">IFERROR(IF($B7580=K$1, ($A7580+$C7580) - MAX(IF($B$2:$B7579=$B7580, $A$2:$A7579+$C$2:$C7579)), "")*24*60, "")</f>
        <v/>
      </c>
      <c r="L7580" s="24" t="str" cm="1">
        <f t="array" ref="L7580">IFERROR(IF($B7580=L$1, ($A7580+$C7580) - MAX(IF($B$2:$B7579=$B7580, $A$2:$A7579+$C$2:$C7579)), "")*24*60, "")</f>
        <v/>
      </c>
      <c r="M7580" s="24" t="str" cm="1">
        <f t="array" ref="M7580">IFERROR(IF($B7580=M$1, ($A7580+$C7580) - MAX(IF($B$2:$B7579=$B7580, $A$2:$A7579+$C$2:$C7579)), "")*24*60, "")</f>
        <v/>
      </c>
      <c r="N7580" s="24" t="str" cm="1">
        <f t="array" ref="N7580">IFERROR(IF($B7580=N$1, ($A7580+$C7580) - MAX(IF($B$2:$B7579=$B7580, $A$2:$A7579+$C$2:$C7579)), "")*24*60, "")</f>
        <v/>
      </c>
      <c r="O7580" s="24" t="str" cm="1">
        <f t="array" ref="O7580">IFERROR(IF($B7580=O$1, ($A7580+$C7580) - MAX(IF($B$2:$B7579=$B7580, $A$2:$A7579+$C$2:$C7579)), "")*24*60, "")</f>
        <v/>
      </c>
      <c r="P7580" s="24" t="str" cm="1">
        <f t="array" ref="P7580">IFERROR(IF($B7580=P$1, ($A7580+$C7580) - MAX(IF($B$2:$B7579=$B7580, $A$2:$A7579+$C$2:$C7579)), "")*24*60, "")</f>
        <v/>
      </c>
      <c r="Q7580" s="24" t="str" cm="1">
        <f t="array" ref="Q7580">IFERROR(IF($B7580=Q$1, ($A7580+$C7580) - MAX(IF($B$2:$B7579=$B7580, $A$2:$A7579+$C$2:$C7579)), "")*24*60, "")</f>
        <v/>
      </c>
      <c r="R7580" s="24" t="str" cm="1">
        <f t="array" ref="R7580">IFERROR(IF($B7580=R$1, ($A7580+$C7580) - MAX(IF($B$2:$B7579=$B7580, $A$2:$A7579+$C$2:$C7579)), "")*24*60, "")</f>
        <v/>
      </c>
      <c r="S7580" s="24" t="str" cm="1">
        <f t="array" ref="S7580">IFERROR(IF($B7580=S$1, ($A7580+$C7580) - MAX(IF($B$2:$B7579=$B7580, $A$2:$A7579+$C$2:$C7579)), "")*24*60, "")</f>
        <v/>
      </c>
    </row>
    <row r="7581" spans="1:19" x14ac:dyDescent="0.2">
      <c r="A7581" s="12">
        <f t="shared" ref="A7581:C7581" si="1767">A7580</f>
        <v>46015</v>
      </c>
      <c r="B7581" s="5" t="str">
        <f t="shared" si="1767"/>
        <v>Northern Cardinal</v>
      </c>
      <c r="C7581" s="6">
        <f t="shared" si="1767"/>
        <v>0.74097222222222225</v>
      </c>
      <c r="D7581" s="5"/>
      <c r="E7581" s="5"/>
      <c r="F7581" s="5" t="s">
        <v>9</v>
      </c>
      <c r="G7581" s="15" t="s">
        <v>8</v>
      </c>
      <c r="H7581" s="24">
        <f t="shared" si="1765"/>
        <v>0</v>
      </c>
      <c r="I7581" s="24" cm="1">
        <f t="array" ref="I7581">IFERROR(IF($B7581=I$1, ($A7581+$C7581) - MAX(IF($B$2:$B7580=$B7581, $A$2:$A7580+$C$2:$C7580)), "")*24*60, "")</f>
        <v>0</v>
      </c>
      <c r="J7581" s="24" t="str" cm="1">
        <f t="array" ref="J7581">IFERROR(IF($B7581=J$1, ($A7581+$C7581) - MAX(IF($B$2:$B7580=$B7581, $A$2:$A7580+$C$2:$C7580)), "")*24*60, "")</f>
        <v/>
      </c>
      <c r="K7581" s="24" t="str" cm="1">
        <f t="array" ref="K7581">IFERROR(IF($B7581=K$1, ($A7581+$C7581) - MAX(IF($B$2:$B7580=$B7581, $A$2:$A7580+$C$2:$C7580)), "")*24*60, "")</f>
        <v/>
      </c>
      <c r="L7581" s="24" t="str" cm="1">
        <f t="array" ref="L7581">IFERROR(IF($B7581=L$1, ($A7581+$C7581) - MAX(IF($B$2:$B7580=$B7581, $A$2:$A7580+$C$2:$C7580)), "")*24*60, "")</f>
        <v/>
      </c>
      <c r="M7581" s="24" t="str" cm="1">
        <f t="array" ref="M7581">IFERROR(IF($B7581=M$1, ($A7581+$C7581) - MAX(IF($B$2:$B7580=$B7581, $A$2:$A7580+$C$2:$C7580)), "")*24*60, "")</f>
        <v/>
      </c>
      <c r="N7581" s="24" t="str" cm="1">
        <f t="array" ref="N7581">IFERROR(IF($B7581=N$1, ($A7581+$C7581) - MAX(IF($B$2:$B7580=$B7581, $A$2:$A7580+$C$2:$C7580)), "")*24*60, "")</f>
        <v/>
      </c>
      <c r="O7581" s="24" t="str" cm="1">
        <f t="array" ref="O7581">IFERROR(IF($B7581=O$1, ($A7581+$C7581) - MAX(IF($B$2:$B7580=$B7581, $A$2:$A7580+$C$2:$C7580)), "")*24*60, "")</f>
        <v/>
      </c>
      <c r="P7581" s="24" t="str" cm="1">
        <f t="array" ref="P7581">IFERROR(IF($B7581=P$1, ($A7581+$C7581) - MAX(IF($B$2:$B7580=$B7581, $A$2:$A7580+$C$2:$C7580)), "")*24*60, "")</f>
        <v/>
      </c>
      <c r="Q7581" s="24" t="str" cm="1">
        <f t="array" ref="Q7581">IFERROR(IF($B7581=Q$1, ($A7581+$C7581) - MAX(IF($B$2:$B7580=$B7581, $A$2:$A7580+$C$2:$C7580)), "")*24*60, "")</f>
        <v/>
      </c>
      <c r="R7581" s="24" t="str" cm="1">
        <f t="array" ref="R7581">IFERROR(IF($B7581=R$1, ($A7581+$C7581) - MAX(IF($B$2:$B7580=$B7581, $A$2:$A7580+$C$2:$C7580)), "")*24*60, "")</f>
        <v/>
      </c>
      <c r="S7581" s="24" t="str" cm="1">
        <f t="array" ref="S7581">IFERROR(IF($B7581=S$1, ($A7581+$C7581) - MAX(IF($B$2:$B7580=$B7581, $A$2:$A7580+$C$2:$C7580)), "")*24*60, "")</f>
        <v/>
      </c>
    </row>
    <row r="7582" spans="1:19" x14ac:dyDescent="0.2">
      <c r="A7582" s="12">
        <f t="shared" ref="A7582:C7582" si="1768">A7581</f>
        <v>46015</v>
      </c>
      <c r="B7582" s="5" t="str">
        <f t="shared" si="1768"/>
        <v>Northern Cardinal</v>
      </c>
      <c r="C7582" s="6">
        <f t="shared" si="1768"/>
        <v>0.74097222222222225</v>
      </c>
      <c r="D7582" s="5"/>
      <c r="E7582" s="5"/>
      <c r="F7582" s="5" t="s">
        <v>9</v>
      </c>
      <c r="G7582" s="15" t="s">
        <v>8</v>
      </c>
      <c r="H7582" s="24">
        <f t="shared" si="1765"/>
        <v>0</v>
      </c>
      <c r="I7582" s="24" cm="1">
        <f t="array" ref="I7582">IFERROR(IF($B7582=I$1, ($A7582+$C7582) - MAX(IF($B$2:$B7581=$B7582, $A$2:$A7581+$C$2:$C7581)), "")*24*60, "")</f>
        <v>0</v>
      </c>
      <c r="J7582" s="24" t="str" cm="1">
        <f t="array" ref="J7582">IFERROR(IF($B7582=J$1, ($A7582+$C7582) - MAX(IF($B$2:$B7581=$B7582, $A$2:$A7581+$C$2:$C7581)), "")*24*60, "")</f>
        <v/>
      </c>
      <c r="K7582" s="24" t="str" cm="1">
        <f t="array" ref="K7582">IFERROR(IF($B7582=K$1, ($A7582+$C7582) - MAX(IF($B$2:$B7581=$B7582, $A$2:$A7581+$C$2:$C7581)), "")*24*60, "")</f>
        <v/>
      </c>
      <c r="L7582" s="24" t="str" cm="1">
        <f t="array" ref="L7582">IFERROR(IF($B7582=L$1, ($A7582+$C7582) - MAX(IF($B$2:$B7581=$B7582, $A$2:$A7581+$C$2:$C7581)), "")*24*60, "")</f>
        <v/>
      </c>
      <c r="M7582" s="24" t="str" cm="1">
        <f t="array" ref="M7582">IFERROR(IF($B7582=M$1, ($A7582+$C7582) - MAX(IF($B$2:$B7581=$B7582, $A$2:$A7581+$C$2:$C7581)), "")*24*60, "")</f>
        <v/>
      </c>
      <c r="N7582" s="24" t="str" cm="1">
        <f t="array" ref="N7582">IFERROR(IF($B7582=N$1, ($A7582+$C7582) - MAX(IF($B$2:$B7581=$B7582, $A$2:$A7581+$C$2:$C7581)), "")*24*60, "")</f>
        <v/>
      </c>
      <c r="O7582" s="24" t="str" cm="1">
        <f t="array" ref="O7582">IFERROR(IF($B7582=O$1, ($A7582+$C7582) - MAX(IF($B$2:$B7581=$B7582, $A$2:$A7581+$C$2:$C7581)), "")*24*60, "")</f>
        <v/>
      </c>
      <c r="P7582" s="24" t="str" cm="1">
        <f t="array" ref="P7582">IFERROR(IF($B7582=P$1, ($A7582+$C7582) - MAX(IF($B$2:$B7581=$B7582, $A$2:$A7581+$C$2:$C7581)), "")*24*60, "")</f>
        <v/>
      </c>
      <c r="Q7582" s="24" t="str" cm="1">
        <f t="array" ref="Q7582">IFERROR(IF($B7582=Q$1, ($A7582+$C7582) - MAX(IF($B$2:$B7581=$B7582, $A$2:$A7581+$C$2:$C7581)), "")*24*60, "")</f>
        <v/>
      </c>
      <c r="R7582" s="24" t="str" cm="1">
        <f t="array" ref="R7582">IFERROR(IF($B7582=R$1, ($A7582+$C7582) - MAX(IF($B$2:$B7581=$B7582, $A$2:$A7581+$C$2:$C7581)), "")*24*60, "")</f>
        <v/>
      </c>
      <c r="S7582" s="24" t="str" cm="1">
        <f t="array" ref="S7582">IFERROR(IF($B7582=S$1, ($A7582+$C7582) - MAX(IF($B$2:$B7581=$B7582, $A$2:$A7581+$C$2:$C7581)), "")*24*60, "")</f>
        <v/>
      </c>
    </row>
    <row r="7583" spans="1:19" x14ac:dyDescent="0.2">
      <c r="A7583" s="12">
        <f t="shared" ref="A7583:C7583" si="1769">A7582</f>
        <v>46015</v>
      </c>
      <c r="B7583" s="5" t="str">
        <f t="shared" si="1769"/>
        <v>Northern Cardinal</v>
      </c>
      <c r="C7583" s="6">
        <f t="shared" si="1769"/>
        <v>0.74097222222222225</v>
      </c>
      <c r="D7583" s="5"/>
      <c r="E7583" s="5"/>
      <c r="F7583" s="5" t="s">
        <v>9</v>
      </c>
      <c r="G7583" s="15" t="s">
        <v>8</v>
      </c>
      <c r="H7583" s="24">
        <f t="shared" si="1765"/>
        <v>0</v>
      </c>
      <c r="I7583" s="24" cm="1">
        <f t="array" ref="I7583">IFERROR(IF($B7583=I$1, ($A7583+$C7583) - MAX(IF($B$2:$B7582=$B7583, $A$2:$A7582+$C$2:$C7582)), "")*24*60, "")</f>
        <v>0</v>
      </c>
      <c r="J7583" s="24" t="str" cm="1">
        <f t="array" ref="J7583">IFERROR(IF($B7583=J$1, ($A7583+$C7583) - MAX(IF($B$2:$B7582=$B7583, $A$2:$A7582+$C$2:$C7582)), "")*24*60, "")</f>
        <v/>
      </c>
      <c r="K7583" s="24" t="str" cm="1">
        <f t="array" ref="K7583">IFERROR(IF($B7583=K$1, ($A7583+$C7583) - MAX(IF($B$2:$B7582=$B7583, $A$2:$A7582+$C$2:$C7582)), "")*24*60, "")</f>
        <v/>
      </c>
      <c r="L7583" s="24" t="str" cm="1">
        <f t="array" ref="L7583">IFERROR(IF($B7583=L$1, ($A7583+$C7583) - MAX(IF($B$2:$B7582=$B7583, $A$2:$A7582+$C$2:$C7582)), "")*24*60, "")</f>
        <v/>
      </c>
      <c r="M7583" s="24" t="str" cm="1">
        <f t="array" ref="M7583">IFERROR(IF($B7583=M$1, ($A7583+$C7583) - MAX(IF($B$2:$B7582=$B7583, $A$2:$A7582+$C$2:$C7582)), "")*24*60, "")</f>
        <v/>
      </c>
      <c r="N7583" s="24" t="str" cm="1">
        <f t="array" ref="N7583">IFERROR(IF($B7583=N$1, ($A7583+$C7583) - MAX(IF($B$2:$B7582=$B7583, $A$2:$A7582+$C$2:$C7582)), "")*24*60, "")</f>
        <v/>
      </c>
      <c r="O7583" s="24" t="str" cm="1">
        <f t="array" ref="O7583">IFERROR(IF($B7583=O$1, ($A7583+$C7583) - MAX(IF($B$2:$B7582=$B7583, $A$2:$A7582+$C$2:$C7582)), "")*24*60, "")</f>
        <v/>
      </c>
      <c r="P7583" s="24" t="str" cm="1">
        <f t="array" ref="P7583">IFERROR(IF($B7583=P$1, ($A7583+$C7583) - MAX(IF($B$2:$B7582=$B7583, $A$2:$A7582+$C$2:$C7582)), "")*24*60, "")</f>
        <v/>
      </c>
      <c r="Q7583" s="24" t="str" cm="1">
        <f t="array" ref="Q7583">IFERROR(IF($B7583=Q$1, ($A7583+$C7583) - MAX(IF($B$2:$B7582=$B7583, $A$2:$A7582+$C$2:$C7582)), "")*24*60, "")</f>
        <v/>
      </c>
      <c r="R7583" s="24" t="str" cm="1">
        <f t="array" ref="R7583">IFERROR(IF($B7583=R$1, ($A7583+$C7583) - MAX(IF($B$2:$B7582=$B7583, $A$2:$A7582+$C$2:$C7582)), "")*24*60, "")</f>
        <v/>
      </c>
      <c r="S7583" s="24" t="str" cm="1">
        <f t="array" ref="S7583">IFERROR(IF($B7583=S$1, ($A7583+$C7583) - MAX(IF($B$2:$B7582=$B7583, $A$2:$A7582+$C$2:$C7582)), "")*24*60, "")</f>
        <v/>
      </c>
    </row>
    <row r="7584" spans="1:19" x14ac:dyDescent="0.2">
      <c r="A7584" s="12">
        <f t="shared" ref="A7584:C7584" si="1770">A7583</f>
        <v>46015</v>
      </c>
      <c r="B7584" s="5" t="str">
        <f t="shared" si="1770"/>
        <v>Northern Cardinal</v>
      </c>
      <c r="C7584" s="6">
        <f t="shared" si="1770"/>
        <v>0.74097222222222225</v>
      </c>
      <c r="D7584" s="5"/>
      <c r="E7584" s="5"/>
      <c r="F7584" s="5" t="s">
        <v>9</v>
      </c>
      <c r="G7584" s="15" t="s">
        <v>8</v>
      </c>
      <c r="H7584" s="24">
        <f t="shared" si="1765"/>
        <v>0</v>
      </c>
      <c r="I7584" s="24" cm="1">
        <f t="array" ref="I7584">IFERROR(IF($B7584=I$1, ($A7584+$C7584) - MAX(IF($B$2:$B7583=$B7584, $A$2:$A7583+$C$2:$C7583)), "")*24*60, "")</f>
        <v>0</v>
      </c>
      <c r="J7584" s="24" t="str" cm="1">
        <f t="array" ref="J7584">IFERROR(IF($B7584=J$1, ($A7584+$C7584) - MAX(IF($B$2:$B7583=$B7584, $A$2:$A7583+$C$2:$C7583)), "")*24*60, "")</f>
        <v/>
      </c>
      <c r="K7584" s="24" t="str" cm="1">
        <f t="array" ref="K7584">IFERROR(IF($B7584=K$1, ($A7584+$C7584) - MAX(IF($B$2:$B7583=$B7584, $A$2:$A7583+$C$2:$C7583)), "")*24*60, "")</f>
        <v/>
      </c>
      <c r="L7584" s="24" t="str" cm="1">
        <f t="array" ref="L7584">IFERROR(IF($B7584=L$1, ($A7584+$C7584) - MAX(IF($B$2:$B7583=$B7584, $A$2:$A7583+$C$2:$C7583)), "")*24*60, "")</f>
        <v/>
      </c>
      <c r="M7584" s="24" t="str" cm="1">
        <f t="array" ref="M7584">IFERROR(IF($B7584=M$1, ($A7584+$C7584) - MAX(IF($B$2:$B7583=$B7584, $A$2:$A7583+$C$2:$C7583)), "")*24*60, "")</f>
        <v/>
      </c>
      <c r="N7584" s="24" t="str" cm="1">
        <f t="array" ref="N7584">IFERROR(IF($B7584=N$1, ($A7584+$C7584) - MAX(IF($B$2:$B7583=$B7584, $A$2:$A7583+$C$2:$C7583)), "")*24*60, "")</f>
        <v/>
      </c>
      <c r="O7584" s="24" t="str" cm="1">
        <f t="array" ref="O7584">IFERROR(IF($B7584=O$1, ($A7584+$C7584) - MAX(IF($B$2:$B7583=$B7584, $A$2:$A7583+$C$2:$C7583)), "")*24*60, "")</f>
        <v/>
      </c>
      <c r="P7584" s="24" t="str" cm="1">
        <f t="array" ref="P7584">IFERROR(IF($B7584=P$1, ($A7584+$C7584) - MAX(IF($B$2:$B7583=$B7584, $A$2:$A7583+$C$2:$C7583)), "")*24*60, "")</f>
        <v/>
      </c>
      <c r="Q7584" s="24" t="str" cm="1">
        <f t="array" ref="Q7584">IFERROR(IF($B7584=Q$1, ($A7584+$C7584) - MAX(IF($B$2:$B7583=$B7584, $A$2:$A7583+$C$2:$C7583)), "")*24*60, "")</f>
        <v/>
      </c>
      <c r="R7584" s="24" t="str" cm="1">
        <f t="array" ref="R7584">IFERROR(IF($B7584=R$1, ($A7584+$C7584) - MAX(IF($B$2:$B7583=$B7584, $A$2:$A7583+$C$2:$C7583)), "")*24*60, "")</f>
        <v/>
      </c>
      <c r="S7584" s="24" t="str" cm="1">
        <f t="array" ref="S7584">IFERROR(IF($B7584=S$1, ($A7584+$C7584) - MAX(IF($B$2:$B7583=$B7584, $A$2:$A7583+$C$2:$C7583)), "")*24*60, "")</f>
        <v/>
      </c>
    </row>
    <row r="7585" spans="1:19" x14ac:dyDescent="0.2">
      <c r="A7585" s="12">
        <f t="shared" ref="A7585:C7585" si="1771">A7584</f>
        <v>46015</v>
      </c>
      <c r="B7585" s="5" t="str">
        <f t="shared" si="1771"/>
        <v>Northern Cardinal</v>
      </c>
      <c r="C7585" s="6">
        <f t="shared" si="1771"/>
        <v>0.74097222222222225</v>
      </c>
      <c r="D7585" s="5"/>
      <c r="E7585" s="5"/>
      <c r="F7585" s="5" t="s">
        <v>9</v>
      </c>
      <c r="G7585" s="15" t="s">
        <v>8</v>
      </c>
      <c r="H7585" s="24">
        <f t="shared" si="1765"/>
        <v>0</v>
      </c>
      <c r="I7585" s="24" cm="1">
        <f t="array" ref="I7585">IFERROR(IF($B7585=I$1, ($A7585+$C7585) - MAX(IF($B$2:$B7584=$B7585, $A$2:$A7584+$C$2:$C7584)), "")*24*60, "")</f>
        <v>0</v>
      </c>
      <c r="J7585" s="24" t="str" cm="1">
        <f t="array" ref="J7585">IFERROR(IF($B7585=J$1, ($A7585+$C7585) - MAX(IF($B$2:$B7584=$B7585, $A$2:$A7584+$C$2:$C7584)), "")*24*60, "")</f>
        <v/>
      </c>
      <c r="K7585" s="24" t="str" cm="1">
        <f t="array" ref="K7585">IFERROR(IF($B7585=K$1, ($A7585+$C7585) - MAX(IF($B$2:$B7584=$B7585, $A$2:$A7584+$C$2:$C7584)), "")*24*60, "")</f>
        <v/>
      </c>
      <c r="L7585" s="24" t="str" cm="1">
        <f t="array" ref="L7585">IFERROR(IF($B7585=L$1, ($A7585+$C7585) - MAX(IF($B$2:$B7584=$B7585, $A$2:$A7584+$C$2:$C7584)), "")*24*60, "")</f>
        <v/>
      </c>
      <c r="M7585" s="24" t="str" cm="1">
        <f t="array" ref="M7585">IFERROR(IF($B7585=M$1, ($A7585+$C7585) - MAX(IF($B$2:$B7584=$B7585, $A$2:$A7584+$C$2:$C7584)), "")*24*60, "")</f>
        <v/>
      </c>
      <c r="N7585" s="24" t="str" cm="1">
        <f t="array" ref="N7585">IFERROR(IF($B7585=N$1, ($A7585+$C7585) - MAX(IF($B$2:$B7584=$B7585, $A$2:$A7584+$C$2:$C7584)), "")*24*60, "")</f>
        <v/>
      </c>
      <c r="O7585" s="24" t="str" cm="1">
        <f t="array" ref="O7585">IFERROR(IF($B7585=O$1, ($A7585+$C7585) - MAX(IF($B$2:$B7584=$B7585, $A$2:$A7584+$C$2:$C7584)), "")*24*60, "")</f>
        <v/>
      </c>
      <c r="P7585" s="24" t="str" cm="1">
        <f t="array" ref="P7585">IFERROR(IF($B7585=P$1, ($A7585+$C7585) - MAX(IF($B$2:$B7584=$B7585, $A$2:$A7584+$C$2:$C7584)), "")*24*60, "")</f>
        <v/>
      </c>
      <c r="Q7585" s="24" t="str" cm="1">
        <f t="array" ref="Q7585">IFERROR(IF($B7585=Q$1, ($A7585+$C7585) - MAX(IF($B$2:$B7584=$B7585, $A$2:$A7584+$C$2:$C7584)), "")*24*60, "")</f>
        <v/>
      </c>
      <c r="R7585" s="24" t="str" cm="1">
        <f t="array" ref="R7585">IFERROR(IF($B7585=R$1, ($A7585+$C7585) - MAX(IF($B$2:$B7584=$B7585, $A$2:$A7584+$C$2:$C7584)), "")*24*60, "")</f>
        <v/>
      </c>
      <c r="S7585" s="24" t="str" cm="1">
        <f t="array" ref="S7585">IFERROR(IF($B7585=S$1, ($A7585+$C7585) - MAX(IF($B$2:$B7584=$B7585, $A$2:$A7584+$C$2:$C7584)), "")*24*60, "")</f>
        <v/>
      </c>
    </row>
    <row r="7586" spans="1:19" x14ac:dyDescent="0.2">
      <c r="A7586" s="12">
        <f t="shared" ref="A7586:C7586" si="1772">A7585</f>
        <v>46015</v>
      </c>
      <c r="B7586" s="5" t="str">
        <f t="shared" si="1772"/>
        <v>Northern Cardinal</v>
      </c>
      <c r="C7586" s="6">
        <f t="shared" si="1772"/>
        <v>0.74097222222222225</v>
      </c>
      <c r="D7586" s="5"/>
      <c r="E7586" s="5"/>
      <c r="F7586" s="5" t="s">
        <v>9</v>
      </c>
      <c r="G7586" s="15" t="s">
        <v>8</v>
      </c>
      <c r="H7586" s="24">
        <f t="shared" si="1765"/>
        <v>0</v>
      </c>
      <c r="I7586" s="24" cm="1">
        <f t="array" ref="I7586">IFERROR(IF($B7586=I$1, ($A7586+$C7586) - MAX(IF($B$2:$B7585=$B7586, $A$2:$A7585+$C$2:$C7585)), "")*24*60, "")</f>
        <v>0</v>
      </c>
      <c r="J7586" s="24" t="str" cm="1">
        <f t="array" ref="J7586">IFERROR(IF($B7586=J$1, ($A7586+$C7586) - MAX(IF($B$2:$B7585=$B7586, $A$2:$A7585+$C$2:$C7585)), "")*24*60, "")</f>
        <v/>
      </c>
      <c r="K7586" s="24" t="str" cm="1">
        <f t="array" ref="K7586">IFERROR(IF($B7586=K$1, ($A7586+$C7586) - MAX(IF($B$2:$B7585=$B7586, $A$2:$A7585+$C$2:$C7585)), "")*24*60, "")</f>
        <v/>
      </c>
      <c r="L7586" s="24" t="str" cm="1">
        <f t="array" ref="L7586">IFERROR(IF($B7586=L$1, ($A7586+$C7586) - MAX(IF($B$2:$B7585=$B7586, $A$2:$A7585+$C$2:$C7585)), "")*24*60, "")</f>
        <v/>
      </c>
      <c r="M7586" s="24" t="str" cm="1">
        <f t="array" ref="M7586">IFERROR(IF($B7586=M$1, ($A7586+$C7586) - MAX(IF($B$2:$B7585=$B7586, $A$2:$A7585+$C$2:$C7585)), "")*24*60, "")</f>
        <v/>
      </c>
      <c r="N7586" s="24" t="str" cm="1">
        <f t="array" ref="N7586">IFERROR(IF($B7586=N$1, ($A7586+$C7586) - MAX(IF($B$2:$B7585=$B7586, $A$2:$A7585+$C$2:$C7585)), "")*24*60, "")</f>
        <v/>
      </c>
      <c r="O7586" s="24" t="str" cm="1">
        <f t="array" ref="O7586">IFERROR(IF($B7586=O$1, ($A7586+$C7586) - MAX(IF($B$2:$B7585=$B7586, $A$2:$A7585+$C$2:$C7585)), "")*24*60, "")</f>
        <v/>
      </c>
      <c r="P7586" s="24" t="str" cm="1">
        <f t="array" ref="P7586">IFERROR(IF($B7586=P$1, ($A7586+$C7586) - MAX(IF($B$2:$B7585=$B7586, $A$2:$A7585+$C$2:$C7585)), "")*24*60, "")</f>
        <v/>
      </c>
      <c r="Q7586" s="24" t="str" cm="1">
        <f t="array" ref="Q7586">IFERROR(IF($B7586=Q$1, ($A7586+$C7586) - MAX(IF($B$2:$B7585=$B7586, $A$2:$A7585+$C$2:$C7585)), "")*24*60, "")</f>
        <v/>
      </c>
      <c r="R7586" s="24" t="str" cm="1">
        <f t="array" ref="R7586">IFERROR(IF($B7586=R$1, ($A7586+$C7586) - MAX(IF($B$2:$B7585=$B7586, $A$2:$A7585+$C$2:$C7585)), "")*24*60, "")</f>
        <v/>
      </c>
      <c r="S7586" s="24" t="str" cm="1">
        <f t="array" ref="S7586">IFERROR(IF($B7586=S$1, ($A7586+$C7586) - MAX(IF($B$2:$B7585=$B7586, $A$2:$A7585+$C$2:$C7585)), "")*24*60, "")</f>
        <v/>
      </c>
    </row>
    <row r="7587" spans="1:19" x14ac:dyDescent="0.2">
      <c r="A7587" s="12">
        <f t="shared" ref="A7587:C7587" si="1773">A7586</f>
        <v>46015</v>
      </c>
      <c r="B7587" s="5" t="str">
        <f t="shared" si="1773"/>
        <v>Northern Cardinal</v>
      </c>
      <c r="C7587" s="6">
        <f t="shared" si="1773"/>
        <v>0.74097222222222225</v>
      </c>
      <c r="D7587" s="5"/>
      <c r="E7587" s="5"/>
      <c r="F7587" s="5" t="s">
        <v>9</v>
      </c>
      <c r="G7587" s="15" t="s">
        <v>8</v>
      </c>
      <c r="H7587" s="24">
        <f t="shared" si="1765"/>
        <v>0</v>
      </c>
      <c r="I7587" s="24" cm="1">
        <f t="array" ref="I7587">IFERROR(IF($B7587=I$1, ($A7587+$C7587) - MAX(IF($B$2:$B7586=$B7587, $A$2:$A7586+$C$2:$C7586)), "")*24*60, "")</f>
        <v>0</v>
      </c>
      <c r="J7587" s="24" t="str" cm="1">
        <f t="array" ref="J7587">IFERROR(IF($B7587=J$1, ($A7587+$C7587) - MAX(IF($B$2:$B7586=$B7587, $A$2:$A7586+$C$2:$C7586)), "")*24*60, "")</f>
        <v/>
      </c>
      <c r="K7587" s="24" t="str" cm="1">
        <f t="array" ref="K7587">IFERROR(IF($B7587=K$1, ($A7587+$C7587) - MAX(IF($B$2:$B7586=$B7587, $A$2:$A7586+$C$2:$C7586)), "")*24*60, "")</f>
        <v/>
      </c>
      <c r="L7587" s="24" t="str" cm="1">
        <f t="array" ref="L7587">IFERROR(IF($B7587=L$1, ($A7587+$C7587) - MAX(IF($B$2:$B7586=$B7587, $A$2:$A7586+$C$2:$C7586)), "")*24*60, "")</f>
        <v/>
      </c>
      <c r="M7587" s="24" t="str" cm="1">
        <f t="array" ref="M7587">IFERROR(IF($B7587=M$1, ($A7587+$C7587) - MAX(IF($B$2:$B7586=$B7587, $A$2:$A7586+$C$2:$C7586)), "")*24*60, "")</f>
        <v/>
      </c>
      <c r="N7587" s="24" t="str" cm="1">
        <f t="array" ref="N7587">IFERROR(IF($B7587=N$1, ($A7587+$C7587) - MAX(IF($B$2:$B7586=$B7587, $A$2:$A7586+$C$2:$C7586)), "")*24*60, "")</f>
        <v/>
      </c>
      <c r="O7587" s="24" t="str" cm="1">
        <f t="array" ref="O7587">IFERROR(IF($B7587=O$1, ($A7587+$C7587) - MAX(IF($B$2:$B7586=$B7587, $A$2:$A7586+$C$2:$C7586)), "")*24*60, "")</f>
        <v/>
      </c>
      <c r="P7587" s="24" t="str" cm="1">
        <f t="array" ref="P7587">IFERROR(IF($B7587=P$1, ($A7587+$C7587) - MAX(IF($B$2:$B7586=$B7587, $A$2:$A7586+$C$2:$C7586)), "")*24*60, "")</f>
        <v/>
      </c>
      <c r="Q7587" s="24" t="str" cm="1">
        <f t="array" ref="Q7587">IFERROR(IF($B7587=Q$1, ($A7587+$C7587) - MAX(IF($B$2:$B7586=$B7587, $A$2:$A7586+$C$2:$C7586)), "")*24*60, "")</f>
        <v/>
      </c>
      <c r="R7587" s="24" t="str" cm="1">
        <f t="array" ref="R7587">IFERROR(IF($B7587=R$1, ($A7587+$C7587) - MAX(IF($B$2:$B7586=$B7587, $A$2:$A7586+$C$2:$C7586)), "")*24*60, "")</f>
        <v/>
      </c>
      <c r="S7587" s="24" t="str" cm="1">
        <f t="array" ref="S7587">IFERROR(IF($B7587=S$1, ($A7587+$C7587) - MAX(IF($B$2:$B7586=$B7587, $A$2:$A7586+$C$2:$C7586)), "")*24*60, "")</f>
        <v/>
      </c>
    </row>
    <row r="7588" spans="1:19" x14ac:dyDescent="0.2">
      <c r="A7588" s="12">
        <f t="shared" ref="A7588:C7588" si="1774">A7587</f>
        <v>46015</v>
      </c>
      <c r="B7588" s="5" t="str">
        <f t="shared" si="1774"/>
        <v>Northern Cardinal</v>
      </c>
      <c r="C7588" s="6">
        <f t="shared" si="1774"/>
        <v>0.74097222222222225</v>
      </c>
      <c r="D7588" s="5"/>
      <c r="E7588" s="5"/>
      <c r="F7588" s="5" t="s">
        <v>9</v>
      </c>
      <c r="G7588" s="15" t="s">
        <v>8</v>
      </c>
      <c r="H7588" s="24">
        <f t="shared" si="1765"/>
        <v>0</v>
      </c>
      <c r="I7588" s="24" cm="1">
        <f t="array" ref="I7588">IFERROR(IF($B7588=I$1, ($A7588+$C7588) - MAX(IF($B$2:$B7587=$B7588, $A$2:$A7587+$C$2:$C7587)), "")*24*60, "")</f>
        <v>0</v>
      </c>
      <c r="J7588" s="24" t="str" cm="1">
        <f t="array" ref="J7588">IFERROR(IF($B7588=J$1, ($A7588+$C7588) - MAX(IF($B$2:$B7587=$B7588, $A$2:$A7587+$C$2:$C7587)), "")*24*60, "")</f>
        <v/>
      </c>
      <c r="K7588" s="24" t="str" cm="1">
        <f t="array" ref="K7588">IFERROR(IF($B7588=K$1, ($A7588+$C7588) - MAX(IF($B$2:$B7587=$B7588, $A$2:$A7587+$C$2:$C7587)), "")*24*60, "")</f>
        <v/>
      </c>
      <c r="L7588" s="24" t="str" cm="1">
        <f t="array" ref="L7588">IFERROR(IF($B7588=L$1, ($A7588+$C7588) - MAX(IF($B$2:$B7587=$B7588, $A$2:$A7587+$C$2:$C7587)), "")*24*60, "")</f>
        <v/>
      </c>
      <c r="M7588" s="24" t="str" cm="1">
        <f t="array" ref="M7588">IFERROR(IF($B7588=M$1, ($A7588+$C7588) - MAX(IF($B$2:$B7587=$B7588, $A$2:$A7587+$C$2:$C7587)), "")*24*60, "")</f>
        <v/>
      </c>
      <c r="N7588" s="24" t="str" cm="1">
        <f t="array" ref="N7588">IFERROR(IF($B7588=N$1, ($A7588+$C7588) - MAX(IF($B$2:$B7587=$B7588, $A$2:$A7587+$C$2:$C7587)), "")*24*60, "")</f>
        <v/>
      </c>
      <c r="O7588" s="24" t="str" cm="1">
        <f t="array" ref="O7588">IFERROR(IF($B7588=O$1, ($A7588+$C7588) - MAX(IF($B$2:$B7587=$B7588, $A$2:$A7587+$C$2:$C7587)), "")*24*60, "")</f>
        <v/>
      </c>
      <c r="P7588" s="24" t="str" cm="1">
        <f t="array" ref="P7588">IFERROR(IF($B7588=P$1, ($A7588+$C7588) - MAX(IF($B$2:$B7587=$B7588, $A$2:$A7587+$C$2:$C7587)), "")*24*60, "")</f>
        <v/>
      </c>
      <c r="Q7588" s="24" t="str" cm="1">
        <f t="array" ref="Q7588">IFERROR(IF($B7588=Q$1, ($A7588+$C7588) - MAX(IF($B$2:$B7587=$B7588, $A$2:$A7587+$C$2:$C7587)), "")*24*60, "")</f>
        <v/>
      </c>
      <c r="R7588" s="24" t="str" cm="1">
        <f t="array" ref="R7588">IFERROR(IF($B7588=R$1, ($A7588+$C7588) - MAX(IF($B$2:$B7587=$B7588, $A$2:$A7587+$C$2:$C7587)), "")*24*60, "")</f>
        <v/>
      </c>
      <c r="S7588" s="24" t="str" cm="1">
        <f t="array" ref="S7588">IFERROR(IF($B7588=S$1, ($A7588+$C7588) - MAX(IF($B$2:$B7587=$B7588, $A$2:$A7587+$C$2:$C7587)), "")*24*60, "")</f>
        <v/>
      </c>
    </row>
    <row r="7589" spans="1:19" x14ac:dyDescent="0.2">
      <c r="A7589" s="12">
        <f t="shared" ref="A7589:C7589" si="1775">A7588</f>
        <v>46015</v>
      </c>
      <c r="B7589" s="5" t="str">
        <f t="shared" si="1775"/>
        <v>Northern Cardinal</v>
      </c>
      <c r="C7589" s="6">
        <f t="shared" si="1775"/>
        <v>0.74097222222222225</v>
      </c>
      <c r="D7589" s="5"/>
      <c r="E7589" s="5"/>
      <c r="F7589" s="5" t="s">
        <v>9</v>
      </c>
      <c r="G7589" s="15" t="s">
        <v>8</v>
      </c>
      <c r="H7589" s="24">
        <f t="shared" si="1765"/>
        <v>0</v>
      </c>
      <c r="I7589" s="24" cm="1">
        <f t="array" ref="I7589">IFERROR(IF($B7589=I$1, ($A7589+$C7589) - MAX(IF($B$2:$B7588=$B7589, $A$2:$A7588+$C$2:$C7588)), "")*24*60, "")</f>
        <v>0</v>
      </c>
      <c r="J7589" s="24" t="str" cm="1">
        <f t="array" ref="J7589">IFERROR(IF($B7589=J$1, ($A7589+$C7589) - MAX(IF($B$2:$B7588=$B7589, $A$2:$A7588+$C$2:$C7588)), "")*24*60, "")</f>
        <v/>
      </c>
      <c r="K7589" s="24" t="str" cm="1">
        <f t="array" ref="K7589">IFERROR(IF($B7589=K$1, ($A7589+$C7589) - MAX(IF($B$2:$B7588=$B7589, $A$2:$A7588+$C$2:$C7588)), "")*24*60, "")</f>
        <v/>
      </c>
      <c r="L7589" s="24" t="str" cm="1">
        <f t="array" ref="L7589">IFERROR(IF($B7589=L$1, ($A7589+$C7589) - MAX(IF($B$2:$B7588=$B7589, $A$2:$A7588+$C$2:$C7588)), "")*24*60, "")</f>
        <v/>
      </c>
      <c r="M7589" s="24" t="str" cm="1">
        <f t="array" ref="M7589">IFERROR(IF($B7589=M$1, ($A7589+$C7589) - MAX(IF($B$2:$B7588=$B7589, $A$2:$A7588+$C$2:$C7588)), "")*24*60, "")</f>
        <v/>
      </c>
      <c r="N7589" s="24" t="str" cm="1">
        <f t="array" ref="N7589">IFERROR(IF($B7589=N$1, ($A7589+$C7589) - MAX(IF($B$2:$B7588=$B7589, $A$2:$A7588+$C$2:$C7588)), "")*24*60, "")</f>
        <v/>
      </c>
      <c r="O7589" s="24" t="str" cm="1">
        <f t="array" ref="O7589">IFERROR(IF($B7589=O$1, ($A7589+$C7589) - MAX(IF($B$2:$B7588=$B7589, $A$2:$A7588+$C$2:$C7588)), "")*24*60, "")</f>
        <v/>
      </c>
      <c r="P7589" s="24" t="str" cm="1">
        <f t="array" ref="P7589">IFERROR(IF($B7589=P$1, ($A7589+$C7589) - MAX(IF($B$2:$B7588=$B7589, $A$2:$A7588+$C$2:$C7588)), "")*24*60, "")</f>
        <v/>
      </c>
      <c r="Q7589" s="24" t="str" cm="1">
        <f t="array" ref="Q7589">IFERROR(IF($B7589=Q$1, ($A7589+$C7589) - MAX(IF($B$2:$B7588=$B7589, $A$2:$A7588+$C$2:$C7588)), "")*24*60, "")</f>
        <v/>
      </c>
      <c r="R7589" s="24" t="str" cm="1">
        <f t="array" ref="R7589">IFERROR(IF($B7589=R$1, ($A7589+$C7589) - MAX(IF($B$2:$B7588=$B7589, $A$2:$A7588+$C$2:$C7588)), "")*24*60, "")</f>
        <v/>
      </c>
      <c r="S7589" s="24" t="str" cm="1">
        <f t="array" ref="S7589">IFERROR(IF($B7589=S$1, ($A7589+$C7589) - MAX(IF($B$2:$B7588=$B7589, $A$2:$A7588+$C$2:$C7588)), "")*24*60, "")</f>
        <v/>
      </c>
    </row>
    <row r="7590" spans="1:19" x14ac:dyDescent="0.2">
      <c r="A7590" s="12">
        <f t="shared" ref="A7590:C7590" si="1776">A7589</f>
        <v>46015</v>
      </c>
      <c r="B7590" s="5" t="str">
        <f t="shared" si="1776"/>
        <v>Northern Cardinal</v>
      </c>
      <c r="C7590" s="6">
        <f t="shared" si="1776"/>
        <v>0.74097222222222225</v>
      </c>
      <c r="D7590" s="5"/>
      <c r="E7590" s="5"/>
      <c r="F7590" s="5" t="s">
        <v>9</v>
      </c>
      <c r="G7590" s="15" t="s">
        <v>8</v>
      </c>
      <c r="H7590" s="24">
        <f t="shared" si="1765"/>
        <v>0</v>
      </c>
      <c r="I7590" s="24" cm="1">
        <f t="array" ref="I7590">IFERROR(IF($B7590=I$1, ($A7590+$C7590) - MAX(IF($B$2:$B7589=$B7590, $A$2:$A7589+$C$2:$C7589)), "")*24*60, "")</f>
        <v>0</v>
      </c>
      <c r="J7590" s="24" t="str" cm="1">
        <f t="array" ref="J7590">IFERROR(IF($B7590=J$1, ($A7590+$C7590) - MAX(IF($B$2:$B7589=$B7590, $A$2:$A7589+$C$2:$C7589)), "")*24*60, "")</f>
        <v/>
      </c>
      <c r="K7590" s="24" t="str" cm="1">
        <f t="array" ref="K7590">IFERROR(IF($B7590=K$1, ($A7590+$C7590) - MAX(IF($B$2:$B7589=$B7590, $A$2:$A7589+$C$2:$C7589)), "")*24*60, "")</f>
        <v/>
      </c>
      <c r="L7590" s="24" t="str" cm="1">
        <f t="array" ref="L7590">IFERROR(IF($B7590=L$1, ($A7590+$C7590) - MAX(IF($B$2:$B7589=$B7590, $A$2:$A7589+$C$2:$C7589)), "")*24*60, "")</f>
        <v/>
      </c>
      <c r="M7590" s="24" t="str" cm="1">
        <f t="array" ref="M7590">IFERROR(IF($B7590=M$1, ($A7590+$C7590) - MAX(IF($B$2:$B7589=$B7590, $A$2:$A7589+$C$2:$C7589)), "")*24*60, "")</f>
        <v/>
      </c>
      <c r="N7590" s="24" t="str" cm="1">
        <f t="array" ref="N7590">IFERROR(IF($B7590=N$1, ($A7590+$C7590) - MAX(IF($B$2:$B7589=$B7590, $A$2:$A7589+$C$2:$C7589)), "")*24*60, "")</f>
        <v/>
      </c>
      <c r="O7590" s="24" t="str" cm="1">
        <f t="array" ref="O7590">IFERROR(IF($B7590=O$1, ($A7590+$C7590) - MAX(IF($B$2:$B7589=$B7590, $A$2:$A7589+$C$2:$C7589)), "")*24*60, "")</f>
        <v/>
      </c>
      <c r="P7590" s="24" t="str" cm="1">
        <f t="array" ref="P7590">IFERROR(IF($B7590=P$1, ($A7590+$C7590) - MAX(IF($B$2:$B7589=$B7590, $A$2:$A7589+$C$2:$C7589)), "")*24*60, "")</f>
        <v/>
      </c>
      <c r="Q7590" s="24" t="str" cm="1">
        <f t="array" ref="Q7590">IFERROR(IF($B7590=Q$1, ($A7590+$C7590) - MAX(IF($B$2:$B7589=$B7590, $A$2:$A7589+$C$2:$C7589)), "")*24*60, "")</f>
        <v/>
      </c>
      <c r="R7590" s="24" t="str" cm="1">
        <f t="array" ref="R7590">IFERROR(IF($B7590=R$1, ($A7590+$C7590) - MAX(IF($B$2:$B7589=$B7590, $A$2:$A7589+$C$2:$C7589)), "")*24*60, "")</f>
        <v/>
      </c>
      <c r="S7590" s="24" t="str" cm="1">
        <f t="array" ref="S7590">IFERROR(IF($B7590=S$1, ($A7590+$C7590) - MAX(IF($B$2:$B7589=$B7590, $A$2:$A7589+$C$2:$C7589)), "")*24*60, "")</f>
        <v/>
      </c>
    </row>
    <row r="7591" spans="1:19" x14ac:dyDescent="0.2">
      <c r="A7591" s="12">
        <f t="shared" ref="A7591:C7591" si="1777">A7590</f>
        <v>46015</v>
      </c>
      <c r="B7591" s="5" t="str">
        <f t="shared" si="1777"/>
        <v>Northern Cardinal</v>
      </c>
      <c r="C7591" s="6">
        <f t="shared" si="1777"/>
        <v>0.74097222222222225</v>
      </c>
      <c r="D7591" s="5"/>
      <c r="E7591" s="5"/>
      <c r="F7591" s="5" t="s">
        <v>9</v>
      </c>
      <c r="G7591" s="15" t="s">
        <v>8</v>
      </c>
      <c r="H7591" s="24">
        <f t="shared" si="1765"/>
        <v>0</v>
      </c>
      <c r="I7591" s="24" cm="1">
        <f t="array" ref="I7591">IFERROR(IF($B7591=I$1, ($A7591+$C7591) - MAX(IF($B$2:$B7590=$B7591, $A$2:$A7590+$C$2:$C7590)), "")*24*60, "")</f>
        <v>0</v>
      </c>
      <c r="J7591" s="24" t="str" cm="1">
        <f t="array" ref="J7591">IFERROR(IF($B7591=J$1, ($A7591+$C7591) - MAX(IF($B$2:$B7590=$B7591, $A$2:$A7590+$C$2:$C7590)), "")*24*60, "")</f>
        <v/>
      </c>
      <c r="K7591" s="24" t="str" cm="1">
        <f t="array" ref="K7591">IFERROR(IF($B7591=K$1, ($A7591+$C7591) - MAX(IF($B$2:$B7590=$B7591, $A$2:$A7590+$C$2:$C7590)), "")*24*60, "")</f>
        <v/>
      </c>
      <c r="L7591" s="24" t="str" cm="1">
        <f t="array" ref="L7591">IFERROR(IF($B7591=L$1, ($A7591+$C7591) - MAX(IF($B$2:$B7590=$B7591, $A$2:$A7590+$C$2:$C7590)), "")*24*60, "")</f>
        <v/>
      </c>
      <c r="M7591" s="24" t="str" cm="1">
        <f t="array" ref="M7591">IFERROR(IF($B7591=M$1, ($A7591+$C7591) - MAX(IF($B$2:$B7590=$B7591, $A$2:$A7590+$C$2:$C7590)), "")*24*60, "")</f>
        <v/>
      </c>
      <c r="N7591" s="24" t="str" cm="1">
        <f t="array" ref="N7591">IFERROR(IF($B7591=N$1, ($A7591+$C7591) - MAX(IF($B$2:$B7590=$B7591, $A$2:$A7590+$C$2:$C7590)), "")*24*60, "")</f>
        <v/>
      </c>
      <c r="O7591" s="24" t="str" cm="1">
        <f t="array" ref="O7591">IFERROR(IF($B7591=O$1, ($A7591+$C7591) - MAX(IF($B$2:$B7590=$B7591, $A$2:$A7590+$C$2:$C7590)), "")*24*60, "")</f>
        <v/>
      </c>
      <c r="P7591" s="24" t="str" cm="1">
        <f t="array" ref="P7591">IFERROR(IF($B7591=P$1, ($A7591+$C7591) - MAX(IF($B$2:$B7590=$B7591, $A$2:$A7590+$C$2:$C7590)), "")*24*60, "")</f>
        <v/>
      </c>
      <c r="Q7591" s="24" t="str" cm="1">
        <f t="array" ref="Q7591">IFERROR(IF($B7591=Q$1, ($A7591+$C7591) - MAX(IF($B$2:$B7590=$B7591, $A$2:$A7590+$C$2:$C7590)), "")*24*60, "")</f>
        <v/>
      </c>
      <c r="R7591" s="24" t="str" cm="1">
        <f t="array" ref="R7591">IFERROR(IF($B7591=R$1, ($A7591+$C7591) - MAX(IF($B$2:$B7590=$B7591, $A$2:$A7590+$C$2:$C7590)), "")*24*60, "")</f>
        <v/>
      </c>
      <c r="S7591" s="24" t="str" cm="1">
        <f t="array" ref="S7591">IFERROR(IF($B7591=S$1, ($A7591+$C7591) - MAX(IF($B$2:$B7590=$B7591, $A$2:$A7590+$C$2:$C7590)), "")*24*60, "")</f>
        <v/>
      </c>
    </row>
    <row r="7592" spans="1:19" x14ac:dyDescent="0.2">
      <c r="A7592" s="12">
        <f t="shared" ref="A7592:C7592" si="1778">A7591</f>
        <v>46015</v>
      </c>
      <c r="B7592" s="5" t="str">
        <f t="shared" si="1778"/>
        <v>Northern Cardinal</v>
      </c>
      <c r="C7592" s="6">
        <f t="shared" si="1778"/>
        <v>0.74097222222222225</v>
      </c>
      <c r="D7592" s="5"/>
      <c r="E7592" s="5"/>
      <c r="F7592" s="5" t="s">
        <v>9</v>
      </c>
      <c r="G7592" s="15" t="s">
        <v>8</v>
      </c>
      <c r="H7592" s="24">
        <f t="shared" si="1765"/>
        <v>0</v>
      </c>
      <c r="I7592" s="24" cm="1">
        <f t="array" ref="I7592">IFERROR(IF($B7592=I$1, ($A7592+$C7592) - MAX(IF($B$2:$B7591=$B7592, $A$2:$A7591+$C$2:$C7591)), "")*24*60, "")</f>
        <v>0</v>
      </c>
      <c r="J7592" s="24" t="str" cm="1">
        <f t="array" ref="J7592">IFERROR(IF($B7592=J$1, ($A7592+$C7592) - MAX(IF($B$2:$B7591=$B7592, $A$2:$A7591+$C$2:$C7591)), "")*24*60, "")</f>
        <v/>
      </c>
      <c r="K7592" s="24" t="str" cm="1">
        <f t="array" ref="K7592">IFERROR(IF($B7592=K$1, ($A7592+$C7592) - MAX(IF($B$2:$B7591=$B7592, $A$2:$A7591+$C$2:$C7591)), "")*24*60, "")</f>
        <v/>
      </c>
      <c r="L7592" s="24" t="str" cm="1">
        <f t="array" ref="L7592">IFERROR(IF($B7592=L$1, ($A7592+$C7592) - MAX(IF($B$2:$B7591=$B7592, $A$2:$A7591+$C$2:$C7591)), "")*24*60, "")</f>
        <v/>
      </c>
      <c r="M7592" s="24" t="str" cm="1">
        <f t="array" ref="M7592">IFERROR(IF($B7592=M$1, ($A7592+$C7592) - MAX(IF($B$2:$B7591=$B7592, $A$2:$A7591+$C$2:$C7591)), "")*24*60, "")</f>
        <v/>
      </c>
      <c r="N7592" s="24" t="str" cm="1">
        <f t="array" ref="N7592">IFERROR(IF($B7592=N$1, ($A7592+$C7592) - MAX(IF($B$2:$B7591=$B7592, $A$2:$A7591+$C$2:$C7591)), "")*24*60, "")</f>
        <v/>
      </c>
      <c r="O7592" s="24" t="str" cm="1">
        <f t="array" ref="O7592">IFERROR(IF($B7592=O$1, ($A7592+$C7592) - MAX(IF($B$2:$B7591=$B7592, $A$2:$A7591+$C$2:$C7591)), "")*24*60, "")</f>
        <v/>
      </c>
      <c r="P7592" s="24" t="str" cm="1">
        <f t="array" ref="P7592">IFERROR(IF($B7592=P$1, ($A7592+$C7592) - MAX(IF($B$2:$B7591=$B7592, $A$2:$A7591+$C$2:$C7591)), "")*24*60, "")</f>
        <v/>
      </c>
      <c r="Q7592" s="24" t="str" cm="1">
        <f t="array" ref="Q7592">IFERROR(IF($B7592=Q$1, ($A7592+$C7592) - MAX(IF($B$2:$B7591=$B7592, $A$2:$A7591+$C$2:$C7591)), "")*24*60, "")</f>
        <v/>
      </c>
      <c r="R7592" s="24" t="str" cm="1">
        <f t="array" ref="R7592">IFERROR(IF($B7592=R$1, ($A7592+$C7592) - MAX(IF($B$2:$B7591=$B7592, $A$2:$A7591+$C$2:$C7591)), "")*24*60, "")</f>
        <v/>
      </c>
      <c r="S7592" s="24" t="str" cm="1">
        <f t="array" ref="S7592">IFERROR(IF($B7592=S$1, ($A7592+$C7592) - MAX(IF($B$2:$B7591=$B7592, $A$2:$A7591+$C$2:$C7591)), "")*24*60, "")</f>
        <v/>
      </c>
    </row>
    <row r="7593" spans="1:19" x14ac:dyDescent="0.2">
      <c r="A7593" s="12">
        <f t="shared" ref="A7593:C7593" si="1779">A7592</f>
        <v>46015</v>
      </c>
      <c r="B7593" s="5" t="str">
        <f t="shared" si="1779"/>
        <v>Northern Cardinal</v>
      </c>
      <c r="C7593" s="6">
        <f t="shared" si="1779"/>
        <v>0.74097222222222225</v>
      </c>
      <c r="D7593" s="5"/>
      <c r="E7593" s="5"/>
      <c r="F7593" s="5" t="s">
        <v>9</v>
      </c>
      <c r="G7593" s="15" t="s">
        <v>8</v>
      </c>
      <c r="H7593" s="24">
        <f t="shared" si="1765"/>
        <v>0</v>
      </c>
      <c r="I7593" s="24" cm="1">
        <f t="array" ref="I7593">IFERROR(IF($B7593=I$1, ($A7593+$C7593) - MAX(IF($B$2:$B7592=$B7593, $A$2:$A7592+$C$2:$C7592)), "")*24*60, "")</f>
        <v>0</v>
      </c>
      <c r="J7593" s="24" t="str" cm="1">
        <f t="array" ref="J7593">IFERROR(IF($B7593=J$1, ($A7593+$C7593) - MAX(IF($B$2:$B7592=$B7593, $A$2:$A7592+$C$2:$C7592)), "")*24*60, "")</f>
        <v/>
      </c>
      <c r="K7593" s="24" t="str" cm="1">
        <f t="array" ref="K7593">IFERROR(IF($B7593=K$1, ($A7593+$C7593) - MAX(IF($B$2:$B7592=$B7593, $A$2:$A7592+$C$2:$C7592)), "")*24*60, "")</f>
        <v/>
      </c>
      <c r="L7593" s="24" t="str" cm="1">
        <f t="array" ref="L7593">IFERROR(IF($B7593=L$1, ($A7593+$C7593) - MAX(IF($B$2:$B7592=$B7593, $A$2:$A7592+$C$2:$C7592)), "")*24*60, "")</f>
        <v/>
      </c>
      <c r="M7593" s="24" t="str" cm="1">
        <f t="array" ref="M7593">IFERROR(IF($B7593=M$1, ($A7593+$C7593) - MAX(IF($B$2:$B7592=$B7593, $A$2:$A7592+$C$2:$C7592)), "")*24*60, "")</f>
        <v/>
      </c>
      <c r="N7593" s="24" t="str" cm="1">
        <f t="array" ref="N7593">IFERROR(IF($B7593=N$1, ($A7593+$C7593) - MAX(IF($B$2:$B7592=$B7593, $A$2:$A7592+$C$2:$C7592)), "")*24*60, "")</f>
        <v/>
      </c>
      <c r="O7593" s="24" t="str" cm="1">
        <f t="array" ref="O7593">IFERROR(IF($B7593=O$1, ($A7593+$C7593) - MAX(IF($B$2:$B7592=$B7593, $A$2:$A7592+$C$2:$C7592)), "")*24*60, "")</f>
        <v/>
      </c>
      <c r="P7593" s="24" t="str" cm="1">
        <f t="array" ref="P7593">IFERROR(IF($B7593=P$1, ($A7593+$C7593) - MAX(IF($B$2:$B7592=$B7593, $A$2:$A7592+$C$2:$C7592)), "")*24*60, "")</f>
        <v/>
      </c>
      <c r="Q7593" s="24" t="str" cm="1">
        <f t="array" ref="Q7593">IFERROR(IF($B7593=Q$1, ($A7593+$C7593) - MAX(IF($B$2:$B7592=$B7593, $A$2:$A7592+$C$2:$C7592)), "")*24*60, "")</f>
        <v/>
      </c>
      <c r="R7593" s="24" t="str" cm="1">
        <f t="array" ref="R7593">IFERROR(IF($B7593=R$1, ($A7593+$C7593) - MAX(IF($B$2:$B7592=$B7593, $A$2:$A7592+$C$2:$C7592)), "")*24*60, "")</f>
        <v/>
      </c>
      <c r="S7593" s="24" t="str" cm="1">
        <f t="array" ref="S7593">IFERROR(IF($B7593=S$1, ($A7593+$C7593) - MAX(IF($B$2:$B7592=$B7593, $A$2:$A7592+$C$2:$C7592)), "")*24*60, "")</f>
        <v/>
      </c>
    </row>
    <row r="7594" spans="1:19" x14ac:dyDescent="0.2">
      <c r="A7594" s="12">
        <f t="shared" ref="A7594:C7594" si="1780">A7593</f>
        <v>46015</v>
      </c>
      <c r="B7594" s="5" t="str">
        <f t="shared" si="1780"/>
        <v>Northern Cardinal</v>
      </c>
      <c r="C7594" s="6">
        <f t="shared" si="1780"/>
        <v>0.74097222222222225</v>
      </c>
      <c r="D7594" s="5"/>
      <c r="E7594" s="5"/>
      <c r="F7594" s="5" t="s">
        <v>9</v>
      </c>
      <c r="G7594" s="15" t="s">
        <v>8</v>
      </c>
      <c r="H7594" s="24">
        <f t="shared" si="1765"/>
        <v>0</v>
      </c>
      <c r="I7594" s="24" cm="1">
        <f t="array" ref="I7594">IFERROR(IF($B7594=I$1, ($A7594+$C7594) - MAX(IF($B$2:$B7593=$B7594, $A$2:$A7593+$C$2:$C7593)), "")*24*60, "")</f>
        <v>0</v>
      </c>
      <c r="J7594" s="24" t="str" cm="1">
        <f t="array" ref="J7594">IFERROR(IF($B7594=J$1, ($A7594+$C7594) - MAX(IF($B$2:$B7593=$B7594, $A$2:$A7593+$C$2:$C7593)), "")*24*60, "")</f>
        <v/>
      </c>
      <c r="K7594" s="24" t="str" cm="1">
        <f t="array" ref="K7594">IFERROR(IF($B7594=K$1, ($A7594+$C7594) - MAX(IF($B$2:$B7593=$B7594, $A$2:$A7593+$C$2:$C7593)), "")*24*60, "")</f>
        <v/>
      </c>
      <c r="L7594" s="24" t="str" cm="1">
        <f t="array" ref="L7594">IFERROR(IF($B7594=L$1, ($A7594+$C7594) - MAX(IF($B$2:$B7593=$B7594, $A$2:$A7593+$C$2:$C7593)), "")*24*60, "")</f>
        <v/>
      </c>
      <c r="M7594" s="24" t="str" cm="1">
        <f t="array" ref="M7594">IFERROR(IF($B7594=M$1, ($A7594+$C7594) - MAX(IF($B$2:$B7593=$B7594, $A$2:$A7593+$C$2:$C7593)), "")*24*60, "")</f>
        <v/>
      </c>
      <c r="N7594" s="24" t="str" cm="1">
        <f t="array" ref="N7594">IFERROR(IF($B7594=N$1, ($A7594+$C7594) - MAX(IF($B$2:$B7593=$B7594, $A$2:$A7593+$C$2:$C7593)), "")*24*60, "")</f>
        <v/>
      </c>
      <c r="O7594" s="24" t="str" cm="1">
        <f t="array" ref="O7594">IFERROR(IF($B7594=O$1, ($A7594+$C7594) - MAX(IF($B$2:$B7593=$B7594, $A$2:$A7593+$C$2:$C7593)), "")*24*60, "")</f>
        <v/>
      </c>
      <c r="P7594" s="24" t="str" cm="1">
        <f t="array" ref="P7594">IFERROR(IF($B7594=P$1, ($A7594+$C7594) - MAX(IF($B$2:$B7593=$B7594, $A$2:$A7593+$C$2:$C7593)), "")*24*60, "")</f>
        <v/>
      </c>
      <c r="Q7594" s="24" t="str" cm="1">
        <f t="array" ref="Q7594">IFERROR(IF($B7594=Q$1, ($A7594+$C7594) - MAX(IF($B$2:$B7593=$B7594, $A$2:$A7593+$C$2:$C7593)), "")*24*60, "")</f>
        <v/>
      </c>
      <c r="R7594" s="24" t="str" cm="1">
        <f t="array" ref="R7594">IFERROR(IF($B7594=R$1, ($A7594+$C7594) - MAX(IF($B$2:$B7593=$B7594, $A$2:$A7593+$C$2:$C7593)), "")*24*60, "")</f>
        <v/>
      </c>
      <c r="S7594" s="24" t="str" cm="1">
        <f t="array" ref="S7594">IFERROR(IF($B7594=S$1, ($A7594+$C7594) - MAX(IF($B$2:$B7593=$B7594, $A$2:$A7593+$C$2:$C7593)), "")*24*60, "")</f>
        <v/>
      </c>
    </row>
    <row r="7595" spans="1:19" x14ac:dyDescent="0.2">
      <c r="A7595" s="12">
        <f t="shared" ref="A7595:C7595" si="1781">A7594</f>
        <v>46015</v>
      </c>
      <c r="B7595" s="5" t="str">
        <f t="shared" si="1781"/>
        <v>Northern Cardinal</v>
      </c>
      <c r="C7595" s="6">
        <f t="shared" si="1781"/>
        <v>0.74097222222222225</v>
      </c>
      <c r="D7595" s="5"/>
      <c r="E7595" s="5"/>
      <c r="F7595" s="5" t="s">
        <v>9</v>
      </c>
      <c r="G7595" s="15" t="s">
        <v>8</v>
      </c>
      <c r="H7595" s="24">
        <f t="shared" si="1765"/>
        <v>0</v>
      </c>
      <c r="I7595" s="24" cm="1">
        <f t="array" ref="I7595">IFERROR(IF($B7595=I$1, ($A7595+$C7595) - MAX(IF($B$2:$B7594=$B7595, $A$2:$A7594+$C$2:$C7594)), "")*24*60, "")</f>
        <v>0</v>
      </c>
      <c r="J7595" s="24" t="str" cm="1">
        <f t="array" ref="J7595">IFERROR(IF($B7595=J$1, ($A7595+$C7595) - MAX(IF($B$2:$B7594=$B7595, $A$2:$A7594+$C$2:$C7594)), "")*24*60, "")</f>
        <v/>
      </c>
      <c r="K7595" s="24" t="str" cm="1">
        <f t="array" ref="K7595">IFERROR(IF($B7595=K$1, ($A7595+$C7595) - MAX(IF($B$2:$B7594=$B7595, $A$2:$A7594+$C$2:$C7594)), "")*24*60, "")</f>
        <v/>
      </c>
      <c r="L7595" s="24" t="str" cm="1">
        <f t="array" ref="L7595">IFERROR(IF($B7595=L$1, ($A7595+$C7595) - MAX(IF($B$2:$B7594=$B7595, $A$2:$A7594+$C$2:$C7594)), "")*24*60, "")</f>
        <v/>
      </c>
      <c r="M7595" s="24" t="str" cm="1">
        <f t="array" ref="M7595">IFERROR(IF($B7595=M$1, ($A7595+$C7595) - MAX(IF($B$2:$B7594=$B7595, $A$2:$A7594+$C$2:$C7594)), "")*24*60, "")</f>
        <v/>
      </c>
      <c r="N7595" s="24" t="str" cm="1">
        <f t="array" ref="N7595">IFERROR(IF($B7595=N$1, ($A7595+$C7595) - MAX(IF($B$2:$B7594=$B7595, $A$2:$A7594+$C$2:$C7594)), "")*24*60, "")</f>
        <v/>
      </c>
      <c r="O7595" s="24" t="str" cm="1">
        <f t="array" ref="O7595">IFERROR(IF($B7595=O$1, ($A7595+$C7595) - MAX(IF($B$2:$B7594=$B7595, $A$2:$A7594+$C$2:$C7594)), "")*24*60, "")</f>
        <v/>
      </c>
      <c r="P7595" s="24" t="str" cm="1">
        <f t="array" ref="P7595">IFERROR(IF($B7595=P$1, ($A7595+$C7595) - MAX(IF($B$2:$B7594=$B7595, $A$2:$A7594+$C$2:$C7594)), "")*24*60, "")</f>
        <v/>
      </c>
      <c r="Q7595" s="24" t="str" cm="1">
        <f t="array" ref="Q7595">IFERROR(IF($B7595=Q$1, ($A7595+$C7595) - MAX(IF($B$2:$B7594=$B7595, $A$2:$A7594+$C$2:$C7594)), "")*24*60, "")</f>
        <v/>
      </c>
      <c r="R7595" s="24" t="str" cm="1">
        <f t="array" ref="R7595">IFERROR(IF($B7595=R$1, ($A7595+$C7595) - MAX(IF($B$2:$B7594=$B7595, $A$2:$A7594+$C$2:$C7594)), "")*24*60, "")</f>
        <v/>
      </c>
      <c r="S7595" s="24" t="str" cm="1">
        <f t="array" ref="S7595">IFERROR(IF($B7595=S$1, ($A7595+$C7595) - MAX(IF($B$2:$B7594=$B7595, $A$2:$A7594+$C$2:$C7594)), "")*24*60, "")</f>
        <v/>
      </c>
    </row>
    <row r="7596" spans="1:19" x14ac:dyDescent="0.2">
      <c r="A7596" s="12">
        <f t="shared" ref="A7596:C7596" si="1782">A7595</f>
        <v>46015</v>
      </c>
      <c r="B7596" s="5" t="str">
        <f t="shared" si="1782"/>
        <v>Northern Cardinal</v>
      </c>
      <c r="C7596" s="6">
        <f t="shared" si="1782"/>
        <v>0.74097222222222225</v>
      </c>
      <c r="D7596" s="5"/>
      <c r="E7596" s="5"/>
      <c r="F7596" s="5" t="s">
        <v>9</v>
      </c>
      <c r="G7596" s="15" t="s">
        <v>8</v>
      </c>
      <c r="H7596" s="24">
        <f t="shared" si="1765"/>
        <v>0</v>
      </c>
      <c r="I7596" s="24" cm="1">
        <f t="array" ref="I7596">IFERROR(IF($B7596=I$1, ($A7596+$C7596) - MAX(IF($B$2:$B7595=$B7596, $A$2:$A7595+$C$2:$C7595)), "")*24*60, "")</f>
        <v>0</v>
      </c>
      <c r="J7596" s="24" t="str" cm="1">
        <f t="array" ref="J7596">IFERROR(IF($B7596=J$1, ($A7596+$C7596) - MAX(IF($B$2:$B7595=$B7596, $A$2:$A7595+$C$2:$C7595)), "")*24*60, "")</f>
        <v/>
      </c>
      <c r="K7596" s="24" t="str" cm="1">
        <f t="array" ref="K7596">IFERROR(IF($B7596=K$1, ($A7596+$C7596) - MAX(IF($B$2:$B7595=$B7596, $A$2:$A7595+$C$2:$C7595)), "")*24*60, "")</f>
        <v/>
      </c>
      <c r="L7596" s="24" t="str" cm="1">
        <f t="array" ref="L7596">IFERROR(IF($B7596=L$1, ($A7596+$C7596) - MAX(IF($B$2:$B7595=$B7596, $A$2:$A7595+$C$2:$C7595)), "")*24*60, "")</f>
        <v/>
      </c>
      <c r="M7596" s="24" t="str" cm="1">
        <f t="array" ref="M7596">IFERROR(IF($B7596=M$1, ($A7596+$C7596) - MAX(IF($B$2:$B7595=$B7596, $A$2:$A7595+$C$2:$C7595)), "")*24*60, "")</f>
        <v/>
      </c>
      <c r="N7596" s="24" t="str" cm="1">
        <f t="array" ref="N7596">IFERROR(IF($B7596=N$1, ($A7596+$C7596) - MAX(IF($B$2:$B7595=$B7596, $A$2:$A7595+$C$2:$C7595)), "")*24*60, "")</f>
        <v/>
      </c>
      <c r="O7596" s="24" t="str" cm="1">
        <f t="array" ref="O7596">IFERROR(IF($B7596=O$1, ($A7596+$C7596) - MAX(IF($B$2:$B7595=$B7596, $A$2:$A7595+$C$2:$C7595)), "")*24*60, "")</f>
        <v/>
      </c>
      <c r="P7596" s="24" t="str" cm="1">
        <f t="array" ref="P7596">IFERROR(IF($B7596=P$1, ($A7596+$C7596) - MAX(IF($B$2:$B7595=$B7596, $A$2:$A7595+$C$2:$C7595)), "")*24*60, "")</f>
        <v/>
      </c>
      <c r="Q7596" s="24" t="str" cm="1">
        <f t="array" ref="Q7596">IFERROR(IF($B7596=Q$1, ($A7596+$C7596) - MAX(IF($B$2:$B7595=$B7596, $A$2:$A7595+$C$2:$C7595)), "")*24*60, "")</f>
        <v/>
      </c>
      <c r="R7596" s="24" t="str" cm="1">
        <f t="array" ref="R7596">IFERROR(IF($B7596=R$1, ($A7596+$C7596) - MAX(IF($B$2:$B7595=$B7596, $A$2:$A7595+$C$2:$C7595)), "")*24*60, "")</f>
        <v/>
      </c>
      <c r="S7596" s="24" t="str" cm="1">
        <f t="array" ref="S7596">IFERROR(IF($B7596=S$1, ($A7596+$C7596) - MAX(IF($B$2:$B7595=$B7596, $A$2:$A7595+$C$2:$C7595)), "")*24*60, "")</f>
        <v/>
      </c>
    </row>
    <row r="7597" spans="1:19" x14ac:dyDescent="0.2">
      <c r="A7597" s="12">
        <f t="shared" ref="A7597:C7597" si="1783">A7596</f>
        <v>46015</v>
      </c>
      <c r="B7597" s="5" t="str">
        <f t="shared" si="1783"/>
        <v>Northern Cardinal</v>
      </c>
      <c r="C7597" s="6">
        <f t="shared" si="1783"/>
        <v>0.74097222222222225</v>
      </c>
      <c r="D7597" s="5"/>
      <c r="E7597" s="5"/>
      <c r="F7597" s="5" t="s">
        <v>9</v>
      </c>
      <c r="G7597" s="15" t="s">
        <v>8</v>
      </c>
      <c r="H7597" s="24">
        <f t="shared" si="1765"/>
        <v>0</v>
      </c>
      <c r="I7597" s="24" cm="1">
        <f t="array" ref="I7597">IFERROR(IF($B7597=I$1, ($A7597+$C7597) - MAX(IF($B$2:$B7596=$B7597, $A$2:$A7596+$C$2:$C7596)), "")*24*60, "")</f>
        <v>0</v>
      </c>
      <c r="J7597" s="24" t="str" cm="1">
        <f t="array" ref="J7597">IFERROR(IF($B7597=J$1, ($A7597+$C7597) - MAX(IF($B$2:$B7596=$B7597, $A$2:$A7596+$C$2:$C7596)), "")*24*60, "")</f>
        <v/>
      </c>
      <c r="K7597" s="24" t="str" cm="1">
        <f t="array" ref="K7597">IFERROR(IF($B7597=K$1, ($A7597+$C7597) - MAX(IF($B$2:$B7596=$B7597, $A$2:$A7596+$C$2:$C7596)), "")*24*60, "")</f>
        <v/>
      </c>
      <c r="L7597" s="24" t="str" cm="1">
        <f t="array" ref="L7597">IFERROR(IF($B7597=L$1, ($A7597+$C7597) - MAX(IF($B$2:$B7596=$B7597, $A$2:$A7596+$C$2:$C7596)), "")*24*60, "")</f>
        <v/>
      </c>
      <c r="M7597" s="24" t="str" cm="1">
        <f t="array" ref="M7597">IFERROR(IF($B7597=M$1, ($A7597+$C7597) - MAX(IF($B$2:$B7596=$B7597, $A$2:$A7596+$C$2:$C7596)), "")*24*60, "")</f>
        <v/>
      </c>
      <c r="N7597" s="24" t="str" cm="1">
        <f t="array" ref="N7597">IFERROR(IF($B7597=N$1, ($A7597+$C7597) - MAX(IF($B$2:$B7596=$B7597, $A$2:$A7596+$C$2:$C7596)), "")*24*60, "")</f>
        <v/>
      </c>
      <c r="O7597" s="24" t="str" cm="1">
        <f t="array" ref="O7597">IFERROR(IF($B7597=O$1, ($A7597+$C7597) - MAX(IF($B$2:$B7596=$B7597, $A$2:$A7596+$C$2:$C7596)), "")*24*60, "")</f>
        <v/>
      </c>
      <c r="P7597" s="24" t="str" cm="1">
        <f t="array" ref="P7597">IFERROR(IF($B7597=P$1, ($A7597+$C7597) - MAX(IF($B$2:$B7596=$B7597, $A$2:$A7596+$C$2:$C7596)), "")*24*60, "")</f>
        <v/>
      </c>
      <c r="Q7597" s="24" t="str" cm="1">
        <f t="array" ref="Q7597">IFERROR(IF($B7597=Q$1, ($A7597+$C7597) - MAX(IF($B$2:$B7596=$B7597, $A$2:$A7596+$C$2:$C7596)), "")*24*60, "")</f>
        <v/>
      </c>
      <c r="R7597" s="24" t="str" cm="1">
        <f t="array" ref="R7597">IFERROR(IF($B7597=R$1, ($A7597+$C7597) - MAX(IF($B$2:$B7596=$B7597, $A$2:$A7596+$C$2:$C7596)), "")*24*60, "")</f>
        <v/>
      </c>
      <c r="S7597" s="24" t="str" cm="1">
        <f t="array" ref="S7597">IFERROR(IF($B7597=S$1, ($A7597+$C7597) - MAX(IF($B$2:$B7596=$B7597, $A$2:$A7596+$C$2:$C7596)), "")*24*60, "")</f>
        <v/>
      </c>
    </row>
    <row r="7598" spans="1:19" x14ac:dyDescent="0.2">
      <c r="A7598" s="12">
        <f t="shared" ref="A7598:C7598" si="1784">A7597</f>
        <v>46015</v>
      </c>
      <c r="B7598" s="5" t="str">
        <f t="shared" si="1784"/>
        <v>Northern Cardinal</v>
      </c>
      <c r="C7598" s="6">
        <f t="shared" si="1784"/>
        <v>0.74097222222222225</v>
      </c>
      <c r="D7598" s="5"/>
      <c r="E7598" s="5"/>
      <c r="F7598" s="5" t="s">
        <v>9</v>
      </c>
      <c r="G7598" s="15" t="s">
        <v>8</v>
      </c>
      <c r="H7598" s="24">
        <f t="shared" si="1765"/>
        <v>0</v>
      </c>
      <c r="I7598" s="24" cm="1">
        <f t="array" ref="I7598">IFERROR(IF($B7598=I$1, ($A7598+$C7598) - MAX(IF($B$2:$B7597=$B7598, $A$2:$A7597+$C$2:$C7597)), "")*24*60, "")</f>
        <v>0</v>
      </c>
      <c r="J7598" s="24" t="str" cm="1">
        <f t="array" ref="J7598">IFERROR(IF($B7598=J$1, ($A7598+$C7598) - MAX(IF($B$2:$B7597=$B7598, $A$2:$A7597+$C$2:$C7597)), "")*24*60, "")</f>
        <v/>
      </c>
      <c r="K7598" s="24" t="str" cm="1">
        <f t="array" ref="K7598">IFERROR(IF($B7598=K$1, ($A7598+$C7598) - MAX(IF($B$2:$B7597=$B7598, $A$2:$A7597+$C$2:$C7597)), "")*24*60, "")</f>
        <v/>
      </c>
      <c r="L7598" s="24" t="str" cm="1">
        <f t="array" ref="L7598">IFERROR(IF($B7598=L$1, ($A7598+$C7598) - MAX(IF($B$2:$B7597=$B7598, $A$2:$A7597+$C$2:$C7597)), "")*24*60, "")</f>
        <v/>
      </c>
      <c r="M7598" s="24" t="str" cm="1">
        <f t="array" ref="M7598">IFERROR(IF($B7598=M$1, ($A7598+$C7598) - MAX(IF($B$2:$B7597=$B7598, $A$2:$A7597+$C$2:$C7597)), "")*24*60, "")</f>
        <v/>
      </c>
      <c r="N7598" s="24" t="str" cm="1">
        <f t="array" ref="N7598">IFERROR(IF($B7598=N$1, ($A7598+$C7598) - MAX(IF($B$2:$B7597=$B7598, $A$2:$A7597+$C$2:$C7597)), "")*24*60, "")</f>
        <v/>
      </c>
      <c r="O7598" s="24" t="str" cm="1">
        <f t="array" ref="O7598">IFERROR(IF($B7598=O$1, ($A7598+$C7598) - MAX(IF($B$2:$B7597=$B7598, $A$2:$A7597+$C$2:$C7597)), "")*24*60, "")</f>
        <v/>
      </c>
      <c r="P7598" s="24" t="str" cm="1">
        <f t="array" ref="P7598">IFERROR(IF($B7598=P$1, ($A7598+$C7598) - MAX(IF($B$2:$B7597=$B7598, $A$2:$A7597+$C$2:$C7597)), "")*24*60, "")</f>
        <v/>
      </c>
      <c r="Q7598" s="24" t="str" cm="1">
        <f t="array" ref="Q7598">IFERROR(IF($B7598=Q$1, ($A7598+$C7598) - MAX(IF($B$2:$B7597=$B7598, $A$2:$A7597+$C$2:$C7597)), "")*24*60, "")</f>
        <v/>
      </c>
      <c r="R7598" s="24" t="str" cm="1">
        <f t="array" ref="R7598">IFERROR(IF($B7598=R$1, ($A7598+$C7598) - MAX(IF($B$2:$B7597=$B7598, $A$2:$A7597+$C$2:$C7597)), "")*24*60, "")</f>
        <v/>
      </c>
      <c r="S7598" s="24" t="str" cm="1">
        <f t="array" ref="S7598">IFERROR(IF($B7598=S$1, ($A7598+$C7598) - MAX(IF($B$2:$B7597=$B7598, $A$2:$A7597+$C$2:$C7597)), "")*24*60, "")</f>
        <v/>
      </c>
    </row>
    <row r="7599" spans="1:19" x14ac:dyDescent="0.2">
      <c r="A7599" s="12">
        <f t="shared" ref="A7599:C7599" si="1785">A7598</f>
        <v>46015</v>
      </c>
      <c r="B7599" s="5" t="str">
        <f t="shared" si="1785"/>
        <v>Northern Cardinal</v>
      </c>
      <c r="C7599" s="6">
        <f t="shared" si="1785"/>
        <v>0.74097222222222225</v>
      </c>
      <c r="D7599" s="5"/>
      <c r="E7599" s="5"/>
      <c r="F7599" s="5" t="s">
        <v>9</v>
      </c>
      <c r="G7599" s="15" t="s">
        <v>8</v>
      </c>
      <c r="H7599" s="24">
        <f t="shared" si="1765"/>
        <v>0</v>
      </c>
      <c r="I7599" s="24" cm="1">
        <f t="array" ref="I7599">IFERROR(IF($B7599=I$1, ($A7599+$C7599) - MAX(IF($B$2:$B7598=$B7599, $A$2:$A7598+$C$2:$C7598)), "")*24*60, "")</f>
        <v>0</v>
      </c>
      <c r="J7599" s="24" t="str" cm="1">
        <f t="array" ref="J7599">IFERROR(IF($B7599=J$1, ($A7599+$C7599) - MAX(IF($B$2:$B7598=$B7599, $A$2:$A7598+$C$2:$C7598)), "")*24*60, "")</f>
        <v/>
      </c>
      <c r="K7599" s="24" t="str" cm="1">
        <f t="array" ref="K7599">IFERROR(IF($B7599=K$1, ($A7599+$C7599) - MAX(IF($B$2:$B7598=$B7599, $A$2:$A7598+$C$2:$C7598)), "")*24*60, "")</f>
        <v/>
      </c>
      <c r="L7599" s="24" t="str" cm="1">
        <f t="array" ref="L7599">IFERROR(IF($B7599=L$1, ($A7599+$C7599) - MAX(IF($B$2:$B7598=$B7599, $A$2:$A7598+$C$2:$C7598)), "")*24*60, "")</f>
        <v/>
      </c>
      <c r="M7599" s="24" t="str" cm="1">
        <f t="array" ref="M7599">IFERROR(IF($B7599=M$1, ($A7599+$C7599) - MAX(IF($B$2:$B7598=$B7599, $A$2:$A7598+$C$2:$C7598)), "")*24*60, "")</f>
        <v/>
      </c>
      <c r="N7599" s="24" t="str" cm="1">
        <f t="array" ref="N7599">IFERROR(IF($B7599=N$1, ($A7599+$C7599) - MAX(IF($B$2:$B7598=$B7599, $A$2:$A7598+$C$2:$C7598)), "")*24*60, "")</f>
        <v/>
      </c>
      <c r="O7599" s="24" t="str" cm="1">
        <f t="array" ref="O7599">IFERROR(IF($B7599=O$1, ($A7599+$C7599) - MAX(IF($B$2:$B7598=$B7599, $A$2:$A7598+$C$2:$C7598)), "")*24*60, "")</f>
        <v/>
      </c>
      <c r="P7599" s="24" t="str" cm="1">
        <f t="array" ref="P7599">IFERROR(IF($B7599=P$1, ($A7599+$C7599) - MAX(IF($B$2:$B7598=$B7599, $A$2:$A7598+$C$2:$C7598)), "")*24*60, "")</f>
        <v/>
      </c>
      <c r="Q7599" s="24" t="str" cm="1">
        <f t="array" ref="Q7599">IFERROR(IF($B7599=Q$1, ($A7599+$C7599) - MAX(IF($B$2:$B7598=$B7599, $A$2:$A7598+$C$2:$C7598)), "")*24*60, "")</f>
        <v/>
      </c>
      <c r="R7599" s="24" t="str" cm="1">
        <f t="array" ref="R7599">IFERROR(IF($B7599=R$1, ($A7599+$C7599) - MAX(IF($B$2:$B7598=$B7599, $A$2:$A7598+$C$2:$C7598)), "")*24*60, "")</f>
        <v/>
      </c>
      <c r="S7599" s="24" t="str" cm="1">
        <f t="array" ref="S7599">IFERROR(IF($B7599=S$1, ($A7599+$C7599) - MAX(IF($B$2:$B7598=$B7599, $A$2:$A7598+$C$2:$C7598)), "")*24*60, "")</f>
        <v/>
      </c>
    </row>
    <row r="7600" spans="1:19" x14ac:dyDescent="0.2">
      <c r="A7600" s="12">
        <f t="shared" ref="A7600:C7600" si="1786">A7599</f>
        <v>46015</v>
      </c>
      <c r="B7600" s="5" t="str">
        <f t="shared" si="1786"/>
        <v>Northern Cardinal</v>
      </c>
      <c r="C7600" s="6">
        <f t="shared" si="1786"/>
        <v>0.74097222222222225</v>
      </c>
      <c r="D7600" s="5"/>
      <c r="E7600" s="5"/>
      <c r="F7600" s="5" t="s">
        <v>9</v>
      </c>
      <c r="G7600" s="15" t="s">
        <v>8</v>
      </c>
      <c r="H7600" s="24">
        <f t="shared" si="1765"/>
        <v>0</v>
      </c>
      <c r="I7600" s="24" cm="1">
        <f t="array" ref="I7600">IFERROR(IF($B7600=I$1, ($A7600+$C7600) - MAX(IF($B$2:$B7599=$B7600, $A$2:$A7599+$C$2:$C7599)), "")*24*60, "")</f>
        <v>0</v>
      </c>
      <c r="J7600" s="24" t="str" cm="1">
        <f t="array" ref="J7600">IFERROR(IF($B7600=J$1, ($A7600+$C7600) - MAX(IF($B$2:$B7599=$B7600, $A$2:$A7599+$C$2:$C7599)), "")*24*60, "")</f>
        <v/>
      </c>
      <c r="K7600" s="24" t="str" cm="1">
        <f t="array" ref="K7600">IFERROR(IF($B7600=K$1, ($A7600+$C7600) - MAX(IF($B$2:$B7599=$B7600, $A$2:$A7599+$C$2:$C7599)), "")*24*60, "")</f>
        <v/>
      </c>
      <c r="L7600" s="24" t="str" cm="1">
        <f t="array" ref="L7600">IFERROR(IF($B7600=L$1, ($A7600+$C7600) - MAX(IF($B$2:$B7599=$B7600, $A$2:$A7599+$C$2:$C7599)), "")*24*60, "")</f>
        <v/>
      </c>
      <c r="M7600" s="24" t="str" cm="1">
        <f t="array" ref="M7600">IFERROR(IF($B7600=M$1, ($A7600+$C7600) - MAX(IF($B$2:$B7599=$B7600, $A$2:$A7599+$C$2:$C7599)), "")*24*60, "")</f>
        <v/>
      </c>
      <c r="N7600" s="24" t="str" cm="1">
        <f t="array" ref="N7600">IFERROR(IF($B7600=N$1, ($A7600+$C7600) - MAX(IF($B$2:$B7599=$B7600, $A$2:$A7599+$C$2:$C7599)), "")*24*60, "")</f>
        <v/>
      </c>
      <c r="O7600" s="24" t="str" cm="1">
        <f t="array" ref="O7600">IFERROR(IF($B7600=O$1, ($A7600+$C7600) - MAX(IF($B$2:$B7599=$B7600, $A$2:$A7599+$C$2:$C7599)), "")*24*60, "")</f>
        <v/>
      </c>
      <c r="P7600" s="24" t="str" cm="1">
        <f t="array" ref="P7600">IFERROR(IF($B7600=P$1, ($A7600+$C7600) - MAX(IF($B$2:$B7599=$B7600, $A$2:$A7599+$C$2:$C7599)), "")*24*60, "")</f>
        <v/>
      </c>
      <c r="Q7600" s="24" t="str" cm="1">
        <f t="array" ref="Q7600">IFERROR(IF($B7600=Q$1, ($A7600+$C7600) - MAX(IF($B$2:$B7599=$B7600, $A$2:$A7599+$C$2:$C7599)), "")*24*60, "")</f>
        <v/>
      </c>
      <c r="R7600" s="24" t="str" cm="1">
        <f t="array" ref="R7600">IFERROR(IF($B7600=R$1, ($A7600+$C7600) - MAX(IF($B$2:$B7599=$B7600, $A$2:$A7599+$C$2:$C7599)), "")*24*60, "")</f>
        <v/>
      </c>
      <c r="S7600" s="24" t="str" cm="1">
        <f t="array" ref="S7600">IFERROR(IF($B7600=S$1, ($A7600+$C7600) - MAX(IF($B$2:$B7599=$B7600, $A$2:$A7599+$C$2:$C7599)), "")*24*60, "")</f>
        <v/>
      </c>
    </row>
    <row r="7601" spans="1:19" x14ac:dyDescent="0.2">
      <c r="A7601" s="12">
        <f t="shared" ref="A7601:C7601" si="1787">A7600</f>
        <v>46015</v>
      </c>
      <c r="B7601" s="5" t="str">
        <f t="shared" si="1787"/>
        <v>Northern Cardinal</v>
      </c>
      <c r="C7601" s="6">
        <f t="shared" si="1787"/>
        <v>0.74097222222222225</v>
      </c>
      <c r="D7601" s="5"/>
      <c r="E7601" s="5"/>
      <c r="F7601" s="5" t="s">
        <v>9</v>
      </c>
      <c r="G7601" s="15" t="s">
        <v>8</v>
      </c>
      <c r="H7601" s="24">
        <f t="shared" si="1765"/>
        <v>0</v>
      </c>
      <c r="I7601" s="24" cm="1">
        <f t="array" ref="I7601">IFERROR(IF($B7601=I$1, ($A7601+$C7601) - MAX(IF($B$2:$B7600=$B7601, $A$2:$A7600+$C$2:$C7600)), "")*24*60, "")</f>
        <v>0</v>
      </c>
      <c r="J7601" s="24" t="str" cm="1">
        <f t="array" ref="J7601">IFERROR(IF($B7601=J$1, ($A7601+$C7601) - MAX(IF($B$2:$B7600=$B7601, $A$2:$A7600+$C$2:$C7600)), "")*24*60, "")</f>
        <v/>
      </c>
      <c r="K7601" s="24" t="str" cm="1">
        <f t="array" ref="K7601">IFERROR(IF($B7601=K$1, ($A7601+$C7601) - MAX(IF($B$2:$B7600=$B7601, $A$2:$A7600+$C$2:$C7600)), "")*24*60, "")</f>
        <v/>
      </c>
      <c r="L7601" s="24" t="str" cm="1">
        <f t="array" ref="L7601">IFERROR(IF($B7601=L$1, ($A7601+$C7601) - MAX(IF($B$2:$B7600=$B7601, $A$2:$A7600+$C$2:$C7600)), "")*24*60, "")</f>
        <v/>
      </c>
      <c r="M7601" s="24" t="str" cm="1">
        <f t="array" ref="M7601">IFERROR(IF($B7601=M$1, ($A7601+$C7601) - MAX(IF($B$2:$B7600=$B7601, $A$2:$A7600+$C$2:$C7600)), "")*24*60, "")</f>
        <v/>
      </c>
      <c r="N7601" s="24" t="str" cm="1">
        <f t="array" ref="N7601">IFERROR(IF($B7601=N$1, ($A7601+$C7601) - MAX(IF($B$2:$B7600=$B7601, $A$2:$A7600+$C$2:$C7600)), "")*24*60, "")</f>
        <v/>
      </c>
      <c r="O7601" s="24" t="str" cm="1">
        <f t="array" ref="O7601">IFERROR(IF($B7601=O$1, ($A7601+$C7601) - MAX(IF($B$2:$B7600=$B7601, $A$2:$A7600+$C$2:$C7600)), "")*24*60, "")</f>
        <v/>
      </c>
      <c r="P7601" s="24" t="str" cm="1">
        <f t="array" ref="P7601">IFERROR(IF($B7601=P$1, ($A7601+$C7601) - MAX(IF($B$2:$B7600=$B7601, $A$2:$A7600+$C$2:$C7600)), "")*24*60, "")</f>
        <v/>
      </c>
      <c r="Q7601" s="24" t="str" cm="1">
        <f t="array" ref="Q7601">IFERROR(IF($B7601=Q$1, ($A7601+$C7601) - MAX(IF($B$2:$B7600=$B7601, $A$2:$A7600+$C$2:$C7600)), "")*24*60, "")</f>
        <v/>
      </c>
      <c r="R7601" s="24" t="str" cm="1">
        <f t="array" ref="R7601">IFERROR(IF($B7601=R$1, ($A7601+$C7601) - MAX(IF($B$2:$B7600=$B7601, $A$2:$A7600+$C$2:$C7600)), "")*24*60, "")</f>
        <v/>
      </c>
      <c r="S7601" s="24" t="str" cm="1">
        <f t="array" ref="S7601">IFERROR(IF($B7601=S$1, ($A7601+$C7601) - MAX(IF($B$2:$B7600=$B7601, $A$2:$A7600+$C$2:$C7600)), "")*24*60, "")</f>
        <v/>
      </c>
    </row>
    <row r="7602" spans="1:19" x14ac:dyDescent="0.2">
      <c r="A7602" s="12">
        <f t="shared" ref="A7602:C7602" si="1788">A7601</f>
        <v>46015</v>
      </c>
      <c r="B7602" s="5" t="str">
        <f t="shared" si="1788"/>
        <v>Northern Cardinal</v>
      </c>
      <c r="C7602" s="6">
        <f t="shared" si="1788"/>
        <v>0.74097222222222225</v>
      </c>
      <c r="D7602" s="5"/>
      <c r="E7602" s="5"/>
      <c r="F7602" s="5" t="s">
        <v>9</v>
      </c>
      <c r="G7602" s="15" t="s">
        <v>8</v>
      </c>
      <c r="H7602" s="24">
        <f t="shared" si="1765"/>
        <v>0</v>
      </c>
      <c r="I7602" s="24" cm="1">
        <f t="array" ref="I7602">IFERROR(IF($B7602=I$1, ($A7602+$C7602) - MAX(IF($B$2:$B7601=$B7602, $A$2:$A7601+$C$2:$C7601)), "")*24*60, "")</f>
        <v>0</v>
      </c>
      <c r="J7602" s="24" t="str" cm="1">
        <f t="array" ref="J7602">IFERROR(IF($B7602=J$1, ($A7602+$C7602) - MAX(IF($B$2:$B7601=$B7602, $A$2:$A7601+$C$2:$C7601)), "")*24*60, "")</f>
        <v/>
      </c>
      <c r="K7602" s="24" t="str" cm="1">
        <f t="array" ref="K7602">IFERROR(IF($B7602=K$1, ($A7602+$C7602) - MAX(IF($B$2:$B7601=$B7602, $A$2:$A7601+$C$2:$C7601)), "")*24*60, "")</f>
        <v/>
      </c>
      <c r="L7602" s="24" t="str" cm="1">
        <f t="array" ref="L7602">IFERROR(IF($B7602=L$1, ($A7602+$C7602) - MAX(IF($B$2:$B7601=$B7602, $A$2:$A7601+$C$2:$C7601)), "")*24*60, "")</f>
        <v/>
      </c>
      <c r="M7602" s="24" t="str" cm="1">
        <f t="array" ref="M7602">IFERROR(IF($B7602=M$1, ($A7602+$C7602) - MAX(IF($B$2:$B7601=$B7602, $A$2:$A7601+$C$2:$C7601)), "")*24*60, "")</f>
        <v/>
      </c>
      <c r="N7602" s="24" t="str" cm="1">
        <f t="array" ref="N7602">IFERROR(IF($B7602=N$1, ($A7602+$C7602) - MAX(IF($B$2:$B7601=$B7602, $A$2:$A7601+$C$2:$C7601)), "")*24*60, "")</f>
        <v/>
      </c>
      <c r="O7602" s="24" t="str" cm="1">
        <f t="array" ref="O7602">IFERROR(IF($B7602=O$1, ($A7602+$C7602) - MAX(IF($B$2:$B7601=$B7602, $A$2:$A7601+$C$2:$C7601)), "")*24*60, "")</f>
        <v/>
      </c>
      <c r="P7602" s="24" t="str" cm="1">
        <f t="array" ref="P7602">IFERROR(IF($B7602=P$1, ($A7602+$C7602) - MAX(IF($B$2:$B7601=$B7602, $A$2:$A7601+$C$2:$C7601)), "")*24*60, "")</f>
        <v/>
      </c>
      <c r="Q7602" s="24" t="str" cm="1">
        <f t="array" ref="Q7602">IFERROR(IF($B7602=Q$1, ($A7602+$C7602) - MAX(IF($B$2:$B7601=$B7602, $A$2:$A7601+$C$2:$C7601)), "")*24*60, "")</f>
        <v/>
      </c>
      <c r="R7602" s="24" t="str" cm="1">
        <f t="array" ref="R7602">IFERROR(IF($B7602=R$1, ($A7602+$C7602) - MAX(IF($B$2:$B7601=$B7602, $A$2:$A7601+$C$2:$C7601)), "")*24*60, "")</f>
        <v/>
      </c>
      <c r="S7602" s="24" t="str" cm="1">
        <f t="array" ref="S7602">IFERROR(IF($B7602=S$1, ($A7602+$C7602) - MAX(IF($B$2:$B7601=$B7602, $A$2:$A7601+$C$2:$C7601)), "")*24*60, "")</f>
        <v/>
      </c>
    </row>
    <row r="7603" spans="1:19" x14ac:dyDescent="0.2">
      <c r="A7603" s="12">
        <f t="shared" ref="A7603:C7603" si="1789">A7602</f>
        <v>46015</v>
      </c>
      <c r="B7603" s="5" t="str">
        <f t="shared" si="1789"/>
        <v>Northern Cardinal</v>
      </c>
      <c r="C7603" s="6">
        <f t="shared" si="1789"/>
        <v>0.74097222222222225</v>
      </c>
      <c r="D7603" s="5"/>
      <c r="E7603" s="5"/>
      <c r="F7603" s="5" t="s">
        <v>9</v>
      </c>
      <c r="G7603" s="15" t="s">
        <v>8</v>
      </c>
      <c r="H7603" s="24">
        <f t="shared" si="1765"/>
        <v>0</v>
      </c>
      <c r="I7603" s="24" cm="1">
        <f t="array" ref="I7603">IFERROR(IF($B7603=I$1, ($A7603+$C7603) - MAX(IF($B$2:$B7602=$B7603, $A$2:$A7602+$C$2:$C7602)), "")*24*60, "")</f>
        <v>0</v>
      </c>
      <c r="J7603" s="24" t="str" cm="1">
        <f t="array" ref="J7603">IFERROR(IF($B7603=J$1, ($A7603+$C7603) - MAX(IF($B$2:$B7602=$B7603, $A$2:$A7602+$C$2:$C7602)), "")*24*60, "")</f>
        <v/>
      </c>
      <c r="K7603" s="24" t="str" cm="1">
        <f t="array" ref="K7603">IFERROR(IF($B7603=K$1, ($A7603+$C7603) - MAX(IF($B$2:$B7602=$B7603, $A$2:$A7602+$C$2:$C7602)), "")*24*60, "")</f>
        <v/>
      </c>
      <c r="L7603" s="24" t="str" cm="1">
        <f t="array" ref="L7603">IFERROR(IF($B7603=L$1, ($A7603+$C7603) - MAX(IF($B$2:$B7602=$B7603, $A$2:$A7602+$C$2:$C7602)), "")*24*60, "")</f>
        <v/>
      </c>
      <c r="M7603" s="24" t="str" cm="1">
        <f t="array" ref="M7603">IFERROR(IF($B7603=M$1, ($A7603+$C7603) - MAX(IF($B$2:$B7602=$B7603, $A$2:$A7602+$C$2:$C7602)), "")*24*60, "")</f>
        <v/>
      </c>
      <c r="N7603" s="24" t="str" cm="1">
        <f t="array" ref="N7603">IFERROR(IF($B7603=N$1, ($A7603+$C7603) - MAX(IF($B$2:$B7602=$B7603, $A$2:$A7602+$C$2:$C7602)), "")*24*60, "")</f>
        <v/>
      </c>
      <c r="O7603" s="24" t="str" cm="1">
        <f t="array" ref="O7603">IFERROR(IF($B7603=O$1, ($A7603+$C7603) - MAX(IF($B$2:$B7602=$B7603, $A$2:$A7602+$C$2:$C7602)), "")*24*60, "")</f>
        <v/>
      </c>
      <c r="P7603" s="24" t="str" cm="1">
        <f t="array" ref="P7603">IFERROR(IF($B7603=P$1, ($A7603+$C7603) - MAX(IF($B$2:$B7602=$B7603, $A$2:$A7602+$C$2:$C7602)), "")*24*60, "")</f>
        <v/>
      </c>
      <c r="Q7603" s="24" t="str" cm="1">
        <f t="array" ref="Q7603">IFERROR(IF($B7603=Q$1, ($A7603+$C7603) - MAX(IF($B$2:$B7602=$B7603, $A$2:$A7602+$C$2:$C7602)), "")*24*60, "")</f>
        <v/>
      </c>
      <c r="R7603" s="24" t="str" cm="1">
        <f t="array" ref="R7603">IFERROR(IF($B7603=R$1, ($A7603+$C7603) - MAX(IF($B$2:$B7602=$B7603, $A$2:$A7602+$C$2:$C7602)), "")*24*60, "")</f>
        <v/>
      </c>
      <c r="S7603" s="24" t="str" cm="1">
        <f t="array" ref="S7603">IFERROR(IF($B7603=S$1, ($A7603+$C7603) - MAX(IF($B$2:$B7602=$B7603, $A$2:$A7602+$C$2:$C7602)), "")*24*60, "")</f>
        <v/>
      </c>
    </row>
    <row r="7604" spans="1:19" x14ac:dyDescent="0.2">
      <c r="A7604" s="12">
        <f t="shared" ref="A7604:C7604" si="1790">A7603</f>
        <v>46015</v>
      </c>
      <c r="B7604" s="5" t="str">
        <f t="shared" si="1790"/>
        <v>Northern Cardinal</v>
      </c>
      <c r="C7604" s="6">
        <f t="shared" si="1790"/>
        <v>0.74097222222222225</v>
      </c>
      <c r="D7604" s="5"/>
      <c r="E7604" s="5"/>
      <c r="F7604" s="5" t="s">
        <v>9</v>
      </c>
      <c r="G7604" s="15" t="s">
        <v>8</v>
      </c>
      <c r="H7604" s="24">
        <f t="shared" si="1765"/>
        <v>0</v>
      </c>
      <c r="I7604" s="24" cm="1">
        <f t="array" ref="I7604">IFERROR(IF($B7604=I$1, ($A7604+$C7604) - MAX(IF($B$2:$B7603=$B7604, $A$2:$A7603+$C$2:$C7603)), "")*24*60, "")</f>
        <v>0</v>
      </c>
      <c r="J7604" s="24" t="str" cm="1">
        <f t="array" ref="J7604">IFERROR(IF($B7604=J$1, ($A7604+$C7604) - MAX(IF($B$2:$B7603=$B7604, $A$2:$A7603+$C$2:$C7603)), "")*24*60, "")</f>
        <v/>
      </c>
      <c r="K7604" s="24" t="str" cm="1">
        <f t="array" ref="K7604">IFERROR(IF($B7604=K$1, ($A7604+$C7604) - MAX(IF($B$2:$B7603=$B7604, $A$2:$A7603+$C$2:$C7603)), "")*24*60, "")</f>
        <v/>
      </c>
      <c r="L7604" s="24" t="str" cm="1">
        <f t="array" ref="L7604">IFERROR(IF($B7604=L$1, ($A7604+$C7604) - MAX(IF($B$2:$B7603=$B7604, $A$2:$A7603+$C$2:$C7603)), "")*24*60, "")</f>
        <v/>
      </c>
      <c r="M7604" s="24" t="str" cm="1">
        <f t="array" ref="M7604">IFERROR(IF($B7604=M$1, ($A7604+$C7604) - MAX(IF($B$2:$B7603=$B7604, $A$2:$A7603+$C$2:$C7603)), "")*24*60, "")</f>
        <v/>
      </c>
      <c r="N7604" s="24" t="str" cm="1">
        <f t="array" ref="N7604">IFERROR(IF($B7604=N$1, ($A7604+$C7604) - MAX(IF($B$2:$B7603=$B7604, $A$2:$A7603+$C$2:$C7603)), "")*24*60, "")</f>
        <v/>
      </c>
      <c r="O7604" s="24" t="str" cm="1">
        <f t="array" ref="O7604">IFERROR(IF($B7604=O$1, ($A7604+$C7604) - MAX(IF($B$2:$B7603=$B7604, $A$2:$A7603+$C$2:$C7603)), "")*24*60, "")</f>
        <v/>
      </c>
      <c r="P7604" s="24" t="str" cm="1">
        <f t="array" ref="P7604">IFERROR(IF($B7604=P$1, ($A7604+$C7604) - MAX(IF($B$2:$B7603=$B7604, $A$2:$A7603+$C$2:$C7603)), "")*24*60, "")</f>
        <v/>
      </c>
      <c r="Q7604" s="24" t="str" cm="1">
        <f t="array" ref="Q7604">IFERROR(IF($B7604=Q$1, ($A7604+$C7604) - MAX(IF($B$2:$B7603=$B7604, $A$2:$A7603+$C$2:$C7603)), "")*24*60, "")</f>
        <v/>
      </c>
      <c r="R7604" s="24" t="str" cm="1">
        <f t="array" ref="R7604">IFERROR(IF($B7604=R$1, ($A7604+$C7604) - MAX(IF($B$2:$B7603=$B7604, $A$2:$A7603+$C$2:$C7603)), "")*24*60, "")</f>
        <v/>
      </c>
      <c r="S7604" s="24" t="str" cm="1">
        <f t="array" ref="S7604">IFERROR(IF($B7604=S$1, ($A7604+$C7604) - MAX(IF($B$2:$B7603=$B7604, $A$2:$A7603+$C$2:$C7603)), "")*24*60, "")</f>
        <v/>
      </c>
    </row>
    <row r="7605" spans="1:19" x14ac:dyDescent="0.2">
      <c r="A7605" s="12">
        <f t="shared" ref="A7605:C7605" si="1791">A7604</f>
        <v>46015</v>
      </c>
      <c r="B7605" s="5" t="str">
        <f t="shared" si="1791"/>
        <v>Northern Cardinal</v>
      </c>
      <c r="C7605" s="6">
        <f t="shared" si="1791"/>
        <v>0.74097222222222225</v>
      </c>
      <c r="D7605" s="5"/>
      <c r="E7605" s="5"/>
      <c r="F7605" s="5" t="s">
        <v>9</v>
      </c>
      <c r="G7605" s="15" t="s">
        <v>8</v>
      </c>
      <c r="H7605" s="24">
        <f t="shared" si="1765"/>
        <v>0</v>
      </c>
      <c r="I7605" s="24" cm="1">
        <f t="array" ref="I7605">IFERROR(IF($B7605=I$1, ($A7605+$C7605) - MAX(IF($B$2:$B7604=$B7605, $A$2:$A7604+$C$2:$C7604)), "")*24*60, "")</f>
        <v>0</v>
      </c>
      <c r="J7605" s="24" t="str" cm="1">
        <f t="array" ref="J7605">IFERROR(IF($B7605=J$1, ($A7605+$C7605) - MAX(IF($B$2:$B7604=$B7605, $A$2:$A7604+$C$2:$C7604)), "")*24*60, "")</f>
        <v/>
      </c>
      <c r="K7605" s="24" t="str" cm="1">
        <f t="array" ref="K7605">IFERROR(IF($B7605=K$1, ($A7605+$C7605) - MAX(IF($B$2:$B7604=$B7605, $A$2:$A7604+$C$2:$C7604)), "")*24*60, "")</f>
        <v/>
      </c>
      <c r="L7605" s="24" t="str" cm="1">
        <f t="array" ref="L7605">IFERROR(IF($B7605=L$1, ($A7605+$C7605) - MAX(IF($B$2:$B7604=$B7605, $A$2:$A7604+$C$2:$C7604)), "")*24*60, "")</f>
        <v/>
      </c>
      <c r="M7605" s="24" t="str" cm="1">
        <f t="array" ref="M7605">IFERROR(IF($B7605=M$1, ($A7605+$C7605) - MAX(IF($B$2:$B7604=$B7605, $A$2:$A7604+$C$2:$C7604)), "")*24*60, "")</f>
        <v/>
      </c>
      <c r="N7605" s="24" t="str" cm="1">
        <f t="array" ref="N7605">IFERROR(IF($B7605=N$1, ($A7605+$C7605) - MAX(IF($B$2:$B7604=$B7605, $A$2:$A7604+$C$2:$C7604)), "")*24*60, "")</f>
        <v/>
      </c>
      <c r="O7605" s="24" t="str" cm="1">
        <f t="array" ref="O7605">IFERROR(IF($B7605=O$1, ($A7605+$C7605) - MAX(IF($B$2:$B7604=$B7605, $A$2:$A7604+$C$2:$C7604)), "")*24*60, "")</f>
        <v/>
      </c>
      <c r="P7605" s="24" t="str" cm="1">
        <f t="array" ref="P7605">IFERROR(IF($B7605=P$1, ($A7605+$C7605) - MAX(IF($B$2:$B7604=$B7605, $A$2:$A7604+$C$2:$C7604)), "")*24*60, "")</f>
        <v/>
      </c>
      <c r="Q7605" s="24" t="str" cm="1">
        <f t="array" ref="Q7605">IFERROR(IF($B7605=Q$1, ($A7605+$C7605) - MAX(IF($B$2:$B7604=$B7605, $A$2:$A7604+$C$2:$C7604)), "")*24*60, "")</f>
        <v/>
      </c>
      <c r="R7605" s="24" t="str" cm="1">
        <f t="array" ref="R7605">IFERROR(IF($B7605=R$1, ($A7605+$C7605) - MAX(IF($B$2:$B7604=$B7605, $A$2:$A7604+$C$2:$C7604)), "")*24*60, "")</f>
        <v/>
      </c>
      <c r="S7605" s="24" t="str" cm="1">
        <f t="array" ref="S7605">IFERROR(IF($B7605=S$1, ($A7605+$C7605) - MAX(IF($B$2:$B7604=$B7605, $A$2:$A7604+$C$2:$C7604)), "")*24*60, "")</f>
        <v/>
      </c>
    </row>
    <row r="7606" spans="1:19" x14ac:dyDescent="0.2">
      <c r="A7606" s="12">
        <f t="shared" ref="A7606:C7606" si="1792">A7605</f>
        <v>46015</v>
      </c>
      <c r="B7606" s="5" t="str">
        <f t="shared" si="1792"/>
        <v>Northern Cardinal</v>
      </c>
      <c r="C7606" s="6">
        <f t="shared" si="1792"/>
        <v>0.74097222222222225</v>
      </c>
      <c r="D7606" s="5"/>
      <c r="E7606" s="5"/>
      <c r="F7606" s="5" t="s">
        <v>9</v>
      </c>
      <c r="G7606" s="15" t="s">
        <v>8</v>
      </c>
      <c r="H7606" s="24">
        <f t="shared" si="1765"/>
        <v>0</v>
      </c>
      <c r="I7606" s="24" cm="1">
        <f t="array" ref="I7606">IFERROR(IF($B7606=I$1, ($A7606+$C7606) - MAX(IF($B$2:$B7605=$B7606, $A$2:$A7605+$C$2:$C7605)), "")*24*60, "")</f>
        <v>0</v>
      </c>
      <c r="J7606" s="24" t="str" cm="1">
        <f t="array" ref="J7606">IFERROR(IF($B7606=J$1, ($A7606+$C7606) - MAX(IF($B$2:$B7605=$B7606, $A$2:$A7605+$C$2:$C7605)), "")*24*60, "")</f>
        <v/>
      </c>
      <c r="K7606" s="24" t="str" cm="1">
        <f t="array" ref="K7606">IFERROR(IF($B7606=K$1, ($A7606+$C7606) - MAX(IF($B$2:$B7605=$B7606, $A$2:$A7605+$C$2:$C7605)), "")*24*60, "")</f>
        <v/>
      </c>
      <c r="L7606" s="24" t="str" cm="1">
        <f t="array" ref="L7606">IFERROR(IF($B7606=L$1, ($A7606+$C7606) - MAX(IF($B$2:$B7605=$B7606, $A$2:$A7605+$C$2:$C7605)), "")*24*60, "")</f>
        <v/>
      </c>
      <c r="M7606" s="24" t="str" cm="1">
        <f t="array" ref="M7606">IFERROR(IF($B7606=M$1, ($A7606+$C7606) - MAX(IF($B$2:$B7605=$B7606, $A$2:$A7605+$C$2:$C7605)), "")*24*60, "")</f>
        <v/>
      </c>
      <c r="N7606" s="24" t="str" cm="1">
        <f t="array" ref="N7606">IFERROR(IF($B7606=N$1, ($A7606+$C7606) - MAX(IF($B$2:$B7605=$B7606, $A$2:$A7605+$C$2:$C7605)), "")*24*60, "")</f>
        <v/>
      </c>
      <c r="O7606" s="24" t="str" cm="1">
        <f t="array" ref="O7606">IFERROR(IF($B7606=O$1, ($A7606+$C7606) - MAX(IF($B$2:$B7605=$B7606, $A$2:$A7605+$C$2:$C7605)), "")*24*60, "")</f>
        <v/>
      </c>
      <c r="P7606" s="24" t="str" cm="1">
        <f t="array" ref="P7606">IFERROR(IF($B7606=P$1, ($A7606+$C7606) - MAX(IF($B$2:$B7605=$B7606, $A$2:$A7605+$C$2:$C7605)), "")*24*60, "")</f>
        <v/>
      </c>
      <c r="Q7606" s="24" t="str" cm="1">
        <f t="array" ref="Q7606">IFERROR(IF($B7606=Q$1, ($A7606+$C7606) - MAX(IF($B$2:$B7605=$B7606, $A$2:$A7605+$C$2:$C7605)), "")*24*60, "")</f>
        <v/>
      </c>
      <c r="R7606" s="24" t="str" cm="1">
        <f t="array" ref="R7606">IFERROR(IF($B7606=R$1, ($A7606+$C7606) - MAX(IF($B$2:$B7605=$B7606, $A$2:$A7605+$C$2:$C7605)), "")*24*60, "")</f>
        <v/>
      </c>
      <c r="S7606" s="24" t="str" cm="1">
        <f t="array" ref="S7606">IFERROR(IF($B7606=S$1, ($A7606+$C7606) - MAX(IF($B$2:$B7605=$B7606, $A$2:$A7605+$C$2:$C7605)), "")*24*60, "")</f>
        <v/>
      </c>
    </row>
    <row r="7607" spans="1:19" x14ac:dyDescent="0.2">
      <c r="A7607" s="12">
        <f t="shared" ref="A7607:C7607" si="1793">A7606</f>
        <v>46015</v>
      </c>
      <c r="B7607" s="5" t="str">
        <f t="shared" si="1793"/>
        <v>Northern Cardinal</v>
      </c>
      <c r="C7607" s="6">
        <f t="shared" si="1793"/>
        <v>0.74097222222222225</v>
      </c>
      <c r="D7607" s="5"/>
      <c r="E7607" s="5"/>
      <c r="F7607" s="5" t="s">
        <v>9</v>
      </c>
      <c r="G7607" s="15" t="s">
        <v>8</v>
      </c>
      <c r="H7607" s="24">
        <f t="shared" si="1765"/>
        <v>0</v>
      </c>
      <c r="I7607" s="24" cm="1">
        <f t="array" ref="I7607">IFERROR(IF($B7607=I$1, ($A7607+$C7607) - MAX(IF($B$2:$B7606=$B7607, $A$2:$A7606+$C$2:$C7606)), "")*24*60, "")</f>
        <v>0</v>
      </c>
      <c r="J7607" s="24" t="str" cm="1">
        <f t="array" ref="J7607">IFERROR(IF($B7607=J$1, ($A7607+$C7607) - MAX(IF($B$2:$B7606=$B7607, $A$2:$A7606+$C$2:$C7606)), "")*24*60, "")</f>
        <v/>
      </c>
      <c r="K7607" s="24" t="str" cm="1">
        <f t="array" ref="K7607">IFERROR(IF($B7607=K$1, ($A7607+$C7607) - MAX(IF($B$2:$B7606=$B7607, $A$2:$A7606+$C$2:$C7606)), "")*24*60, "")</f>
        <v/>
      </c>
      <c r="L7607" s="24" t="str" cm="1">
        <f t="array" ref="L7607">IFERROR(IF($B7607=L$1, ($A7607+$C7607) - MAX(IF($B$2:$B7606=$B7607, $A$2:$A7606+$C$2:$C7606)), "")*24*60, "")</f>
        <v/>
      </c>
      <c r="M7607" s="24" t="str" cm="1">
        <f t="array" ref="M7607">IFERROR(IF($B7607=M$1, ($A7607+$C7607) - MAX(IF($B$2:$B7606=$B7607, $A$2:$A7606+$C$2:$C7606)), "")*24*60, "")</f>
        <v/>
      </c>
      <c r="N7607" s="24" t="str" cm="1">
        <f t="array" ref="N7607">IFERROR(IF($B7607=N$1, ($A7607+$C7607) - MAX(IF($B$2:$B7606=$B7607, $A$2:$A7606+$C$2:$C7606)), "")*24*60, "")</f>
        <v/>
      </c>
      <c r="O7607" s="24" t="str" cm="1">
        <f t="array" ref="O7607">IFERROR(IF($B7607=O$1, ($A7607+$C7607) - MAX(IF($B$2:$B7606=$B7607, $A$2:$A7606+$C$2:$C7606)), "")*24*60, "")</f>
        <v/>
      </c>
      <c r="P7607" s="24" t="str" cm="1">
        <f t="array" ref="P7607">IFERROR(IF($B7607=P$1, ($A7607+$C7607) - MAX(IF($B$2:$B7606=$B7607, $A$2:$A7606+$C$2:$C7606)), "")*24*60, "")</f>
        <v/>
      </c>
      <c r="Q7607" s="24" t="str" cm="1">
        <f t="array" ref="Q7607">IFERROR(IF($B7607=Q$1, ($A7607+$C7607) - MAX(IF($B$2:$B7606=$B7607, $A$2:$A7606+$C$2:$C7606)), "")*24*60, "")</f>
        <v/>
      </c>
      <c r="R7607" s="24" t="str" cm="1">
        <f t="array" ref="R7607">IFERROR(IF($B7607=R$1, ($A7607+$C7607) - MAX(IF($B$2:$B7606=$B7607, $A$2:$A7606+$C$2:$C7606)), "")*24*60, "")</f>
        <v/>
      </c>
      <c r="S7607" s="24" t="str" cm="1">
        <f t="array" ref="S7607">IFERROR(IF($B7607=S$1, ($A7607+$C7607) - MAX(IF($B$2:$B7606=$B7607, $A$2:$A7606+$C$2:$C7606)), "")*24*60, "")</f>
        <v/>
      </c>
    </row>
    <row r="7608" spans="1:19" x14ac:dyDescent="0.2">
      <c r="A7608" s="12">
        <f t="shared" ref="A7608:C7608" si="1794">A7607</f>
        <v>46015</v>
      </c>
      <c r="B7608" s="5" t="str">
        <f t="shared" si="1794"/>
        <v>Northern Cardinal</v>
      </c>
      <c r="C7608" s="6">
        <f t="shared" si="1794"/>
        <v>0.74097222222222225</v>
      </c>
      <c r="D7608" s="5"/>
      <c r="E7608" s="5"/>
      <c r="F7608" s="5" t="s">
        <v>9</v>
      </c>
      <c r="G7608" s="15" t="s">
        <v>8</v>
      </c>
      <c r="H7608" s="24">
        <f t="shared" si="1765"/>
        <v>0</v>
      </c>
      <c r="I7608" s="24" cm="1">
        <f t="array" ref="I7608">IFERROR(IF($B7608=I$1, ($A7608+$C7608) - MAX(IF($B$2:$B7607=$B7608, $A$2:$A7607+$C$2:$C7607)), "")*24*60, "")</f>
        <v>0</v>
      </c>
      <c r="J7608" s="24" t="str" cm="1">
        <f t="array" ref="J7608">IFERROR(IF($B7608=J$1, ($A7608+$C7608) - MAX(IF($B$2:$B7607=$B7608, $A$2:$A7607+$C$2:$C7607)), "")*24*60, "")</f>
        <v/>
      </c>
      <c r="K7608" s="24" t="str" cm="1">
        <f t="array" ref="K7608">IFERROR(IF($B7608=K$1, ($A7608+$C7608) - MAX(IF($B$2:$B7607=$B7608, $A$2:$A7607+$C$2:$C7607)), "")*24*60, "")</f>
        <v/>
      </c>
      <c r="L7608" s="24" t="str" cm="1">
        <f t="array" ref="L7608">IFERROR(IF($B7608=L$1, ($A7608+$C7608) - MAX(IF($B$2:$B7607=$B7608, $A$2:$A7607+$C$2:$C7607)), "")*24*60, "")</f>
        <v/>
      </c>
      <c r="M7608" s="24" t="str" cm="1">
        <f t="array" ref="M7608">IFERROR(IF($B7608=M$1, ($A7608+$C7608) - MAX(IF($B$2:$B7607=$B7608, $A$2:$A7607+$C$2:$C7607)), "")*24*60, "")</f>
        <v/>
      </c>
      <c r="N7608" s="24" t="str" cm="1">
        <f t="array" ref="N7608">IFERROR(IF($B7608=N$1, ($A7608+$C7608) - MAX(IF($B$2:$B7607=$B7608, $A$2:$A7607+$C$2:$C7607)), "")*24*60, "")</f>
        <v/>
      </c>
      <c r="O7608" s="24" t="str" cm="1">
        <f t="array" ref="O7608">IFERROR(IF($B7608=O$1, ($A7608+$C7608) - MAX(IF($B$2:$B7607=$B7608, $A$2:$A7607+$C$2:$C7607)), "")*24*60, "")</f>
        <v/>
      </c>
      <c r="P7608" s="24" t="str" cm="1">
        <f t="array" ref="P7608">IFERROR(IF($B7608=P$1, ($A7608+$C7608) - MAX(IF($B$2:$B7607=$B7608, $A$2:$A7607+$C$2:$C7607)), "")*24*60, "")</f>
        <v/>
      </c>
      <c r="Q7608" s="24" t="str" cm="1">
        <f t="array" ref="Q7608">IFERROR(IF($B7608=Q$1, ($A7608+$C7608) - MAX(IF($B$2:$B7607=$B7608, $A$2:$A7607+$C$2:$C7607)), "")*24*60, "")</f>
        <v/>
      </c>
      <c r="R7608" s="24" t="str" cm="1">
        <f t="array" ref="R7608">IFERROR(IF($B7608=R$1, ($A7608+$C7608) - MAX(IF($B$2:$B7607=$B7608, $A$2:$A7607+$C$2:$C7607)), "")*24*60, "")</f>
        <v/>
      </c>
      <c r="S7608" s="24" t="str" cm="1">
        <f t="array" ref="S7608">IFERROR(IF($B7608=S$1, ($A7608+$C7608) - MAX(IF($B$2:$B7607=$B7608, $A$2:$A7607+$C$2:$C7607)), "")*24*60, "")</f>
        <v/>
      </c>
    </row>
    <row r="7609" spans="1:19" x14ac:dyDescent="0.2">
      <c r="A7609" s="12">
        <f t="shared" ref="A7609:C7609" si="1795">A7608</f>
        <v>46015</v>
      </c>
      <c r="B7609" s="5" t="str">
        <f t="shared" si="1795"/>
        <v>Northern Cardinal</v>
      </c>
      <c r="C7609" s="6">
        <f t="shared" si="1795"/>
        <v>0.74097222222222225</v>
      </c>
      <c r="D7609" s="5"/>
      <c r="E7609" s="5"/>
      <c r="F7609" s="5" t="s">
        <v>9</v>
      </c>
      <c r="G7609" s="15" t="s">
        <v>8</v>
      </c>
      <c r="H7609" s="24">
        <f t="shared" si="1765"/>
        <v>0</v>
      </c>
      <c r="I7609" s="24" cm="1">
        <f t="array" ref="I7609">IFERROR(IF($B7609=I$1, ($A7609+$C7609) - MAX(IF($B$2:$B7608=$B7609, $A$2:$A7608+$C$2:$C7608)), "")*24*60, "")</f>
        <v>0</v>
      </c>
      <c r="J7609" s="24" t="str" cm="1">
        <f t="array" ref="J7609">IFERROR(IF($B7609=J$1, ($A7609+$C7609) - MAX(IF($B$2:$B7608=$B7609, $A$2:$A7608+$C$2:$C7608)), "")*24*60, "")</f>
        <v/>
      </c>
      <c r="K7609" s="24" t="str" cm="1">
        <f t="array" ref="K7609">IFERROR(IF($B7609=K$1, ($A7609+$C7609) - MAX(IF($B$2:$B7608=$B7609, $A$2:$A7608+$C$2:$C7608)), "")*24*60, "")</f>
        <v/>
      </c>
      <c r="L7609" s="24" t="str" cm="1">
        <f t="array" ref="L7609">IFERROR(IF($B7609=L$1, ($A7609+$C7609) - MAX(IF($B$2:$B7608=$B7609, $A$2:$A7608+$C$2:$C7608)), "")*24*60, "")</f>
        <v/>
      </c>
      <c r="M7609" s="24" t="str" cm="1">
        <f t="array" ref="M7609">IFERROR(IF($B7609=M$1, ($A7609+$C7609) - MAX(IF($B$2:$B7608=$B7609, $A$2:$A7608+$C$2:$C7608)), "")*24*60, "")</f>
        <v/>
      </c>
      <c r="N7609" s="24" t="str" cm="1">
        <f t="array" ref="N7609">IFERROR(IF($B7609=N$1, ($A7609+$C7609) - MAX(IF($B$2:$B7608=$B7609, $A$2:$A7608+$C$2:$C7608)), "")*24*60, "")</f>
        <v/>
      </c>
      <c r="O7609" s="24" t="str" cm="1">
        <f t="array" ref="O7609">IFERROR(IF($B7609=O$1, ($A7609+$C7609) - MAX(IF($B$2:$B7608=$B7609, $A$2:$A7608+$C$2:$C7608)), "")*24*60, "")</f>
        <v/>
      </c>
      <c r="P7609" s="24" t="str" cm="1">
        <f t="array" ref="P7609">IFERROR(IF($B7609=P$1, ($A7609+$C7609) - MAX(IF($B$2:$B7608=$B7609, $A$2:$A7608+$C$2:$C7608)), "")*24*60, "")</f>
        <v/>
      </c>
      <c r="Q7609" s="24" t="str" cm="1">
        <f t="array" ref="Q7609">IFERROR(IF($B7609=Q$1, ($A7609+$C7609) - MAX(IF($B$2:$B7608=$B7609, $A$2:$A7608+$C$2:$C7608)), "")*24*60, "")</f>
        <v/>
      </c>
      <c r="R7609" s="24" t="str" cm="1">
        <f t="array" ref="R7609">IFERROR(IF($B7609=R$1, ($A7609+$C7609) - MAX(IF($B$2:$B7608=$B7609, $A$2:$A7608+$C$2:$C7608)), "")*24*60, "")</f>
        <v/>
      </c>
      <c r="S7609" s="24" t="str" cm="1">
        <f t="array" ref="S7609">IFERROR(IF($B7609=S$1, ($A7609+$C7609) - MAX(IF($B$2:$B7608=$B7609, $A$2:$A7608+$C$2:$C7608)), "")*24*60, "")</f>
        <v/>
      </c>
    </row>
    <row r="7610" spans="1:19" x14ac:dyDescent="0.2">
      <c r="A7610" s="12">
        <f t="shared" ref="A7610:C7610" si="1796">A7609</f>
        <v>46015</v>
      </c>
      <c r="B7610" s="5" t="str">
        <f t="shared" si="1796"/>
        <v>Northern Cardinal</v>
      </c>
      <c r="C7610" s="6">
        <f t="shared" si="1796"/>
        <v>0.74097222222222225</v>
      </c>
      <c r="D7610" s="5"/>
      <c r="E7610" s="5"/>
      <c r="F7610" s="5" t="s">
        <v>9</v>
      </c>
      <c r="G7610" s="15" t="s">
        <v>8</v>
      </c>
      <c r="H7610" s="24">
        <f t="shared" si="1765"/>
        <v>0</v>
      </c>
      <c r="I7610" s="24" cm="1">
        <f t="array" ref="I7610">IFERROR(IF($B7610=I$1, ($A7610+$C7610) - MAX(IF($B$2:$B7609=$B7610, $A$2:$A7609+$C$2:$C7609)), "")*24*60, "")</f>
        <v>0</v>
      </c>
      <c r="J7610" s="24" t="str" cm="1">
        <f t="array" ref="J7610">IFERROR(IF($B7610=J$1, ($A7610+$C7610) - MAX(IF($B$2:$B7609=$B7610, $A$2:$A7609+$C$2:$C7609)), "")*24*60, "")</f>
        <v/>
      </c>
      <c r="K7610" s="24" t="str" cm="1">
        <f t="array" ref="K7610">IFERROR(IF($B7610=K$1, ($A7610+$C7610) - MAX(IF($B$2:$B7609=$B7610, $A$2:$A7609+$C$2:$C7609)), "")*24*60, "")</f>
        <v/>
      </c>
      <c r="L7610" s="24" t="str" cm="1">
        <f t="array" ref="L7610">IFERROR(IF($B7610=L$1, ($A7610+$C7610) - MAX(IF($B$2:$B7609=$B7610, $A$2:$A7609+$C$2:$C7609)), "")*24*60, "")</f>
        <v/>
      </c>
      <c r="M7610" s="24" t="str" cm="1">
        <f t="array" ref="M7610">IFERROR(IF($B7610=M$1, ($A7610+$C7610) - MAX(IF($B$2:$B7609=$B7610, $A$2:$A7609+$C$2:$C7609)), "")*24*60, "")</f>
        <v/>
      </c>
      <c r="N7610" s="24" t="str" cm="1">
        <f t="array" ref="N7610">IFERROR(IF($B7610=N$1, ($A7610+$C7610) - MAX(IF($B$2:$B7609=$B7610, $A$2:$A7609+$C$2:$C7609)), "")*24*60, "")</f>
        <v/>
      </c>
      <c r="O7610" s="24" t="str" cm="1">
        <f t="array" ref="O7610">IFERROR(IF($B7610=O$1, ($A7610+$C7610) - MAX(IF($B$2:$B7609=$B7610, $A$2:$A7609+$C$2:$C7609)), "")*24*60, "")</f>
        <v/>
      </c>
      <c r="P7610" s="24" t="str" cm="1">
        <f t="array" ref="P7610">IFERROR(IF($B7610=P$1, ($A7610+$C7610) - MAX(IF($B$2:$B7609=$B7610, $A$2:$A7609+$C$2:$C7609)), "")*24*60, "")</f>
        <v/>
      </c>
      <c r="Q7610" s="24" t="str" cm="1">
        <f t="array" ref="Q7610">IFERROR(IF($B7610=Q$1, ($A7610+$C7610) - MAX(IF($B$2:$B7609=$B7610, $A$2:$A7609+$C$2:$C7609)), "")*24*60, "")</f>
        <v/>
      </c>
      <c r="R7610" s="24" t="str" cm="1">
        <f t="array" ref="R7610">IFERROR(IF($B7610=R$1, ($A7610+$C7610) - MAX(IF($B$2:$B7609=$B7610, $A$2:$A7609+$C$2:$C7609)), "")*24*60, "")</f>
        <v/>
      </c>
      <c r="S7610" s="24" t="str" cm="1">
        <f t="array" ref="S7610">IFERROR(IF($B7610=S$1, ($A7610+$C7610) - MAX(IF($B$2:$B7609=$B7610, $A$2:$A7609+$C$2:$C7609)), "")*24*60, "")</f>
        <v/>
      </c>
    </row>
    <row r="7611" spans="1:19" x14ac:dyDescent="0.2">
      <c r="A7611" s="12">
        <f t="shared" ref="A7611:C7611" si="1797">A7610</f>
        <v>46015</v>
      </c>
      <c r="B7611" s="5" t="str">
        <f t="shared" si="1797"/>
        <v>Northern Cardinal</v>
      </c>
      <c r="C7611" s="6">
        <f t="shared" si="1797"/>
        <v>0.74097222222222225</v>
      </c>
      <c r="D7611" s="5"/>
      <c r="E7611" s="5"/>
      <c r="F7611" s="5" t="s">
        <v>9</v>
      </c>
      <c r="G7611" s="15" t="s">
        <v>8</v>
      </c>
      <c r="H7611" s="24">
        <f t="shared" si="1765"/>
        <v>0</v>
      </c>
      <c r="I7611" s="24" cm="1">
        <f t="array" ref="I7611">IFERROR(IF($B7611=I$1, ($A7611+$C7611) - MAX(IF($B$2:$B7610=$B7611, $A$2:$A7610+$C$2:$C7610)), "")*24*60, "")</f>
        <v>0</v>
      </c>
      <c r="J7611" s="24" t="str" cm="1">
        <f t="array" ref="J7611">IFERROR(IF($B7611=J$1, ($A7611+$C7611) - MAX(IF($B$2:$B7610=$B7611, $A$2:$A7610+$C$2:$C7610)), "")*24*60, "")</f>
        <v/>
      </c>
      <c r="K7611" s="24" t="str" cm="1">
        <f t="array" ref="K7611">IFERROR(IF($B7611=K$1, ($A7611+$C7611) - MAX(IF($B$2:$B7610=$B7611, $A$2:$A7610+$C$2:$C7610)), "")*24*60, "")</f>
        <v/>
      </c>
      <c r="L7611" s="24" t="str" cm="1">
        <f t="array" ref="L7611">IFERROR(IF($B7611=L$1, ($A7611+$C7611) - MAX(IF($B$2:$B7610=$B7611, $A$2:$A7610+$C$2:$C7610)), "")*24*60, "")</f>
        <v/>
      </c>
      <c r="M7611" s="24" t="str" cm="1">
        <f t="array" ref="M7611">IFERROR(IF($B7611=M$1, ($A7611+$C7611) - MAX(IF($B$2:$B7610=$B7611, $A$2:$A7610+$C$2:$C7610)), "")*24*60, "")</f>
        <v/>
      </c>
      <c r="N7611" s="24" t="str" cm="1">
        <f t="array" ref="N7611">IFERROR(IF($B7611=N$1, ($A7611+$C7611) - MAX(IF($B$2:$B7610=$B7611, $A$2:$A7610+$C$2:$C7610)), "")*24*60, "")</f>
        <v/>
      </c>
      <c r="O7611" s="24" t="str" cm="1">
        <f t="array" ref="O7611">IFERROR(IF($B7611=O$1, ($A7611+$C7611) - MAX(IF($B$2:$B7610=$B7611, $A$2:$A7610+$C$2:$C7610)), "")*24*60, "")</f>
        <v/>
      </c>
      <c r="P7611" s="24" t="str" cm="1">
        <f t="array" ref="P7611">IFERROR(IF($B7611=P$1, ($A7611+$C7611) - MAX(IF($B$2:$B7610=$B7611, $A$2:$A7610+$C$2:$C7610)), "")*24*60, "")</f>
        <v/>
      </c>
      <c r="Q7611" s="24" t="str" cm="1">
        <f t="array" ref="Q7611">IFERROR(IF($B7611=Q$1, ($A7611+$C7611) - MAX(IF($B$2:$B7610=$B7611, $A$2:$A7610+$C$2:$C7610)), "")*24*60, "")</f>
        <v/>
      </c>
      <c r="R7611" s="24" t="str" cm="1">
        <f t="array" ref="R7611">IFERROR(IF($B7611=R$1, ($A7611+$C7611) - MAX(IF($B$2:$B7610=$B7611, $A$2:$A7610+$C$2:$C7610)), "")*24*60, "")</f>
        <v/>
      </c>
      <c r="S7611" s="24" t="str" cm="1">
        <f t="array" ref="S7611">IFERROR(IF($B7611=S$1, ($A7611+$C7611) - MAX(IF($B$2:$B7610=$B7611, $A$2:$A7610+$C$2:$C7610)), "")*24*60, "")</f>
        <v/>
      </c>
    </row>
    <row r="7612" spans="1:19" x14ac:dyDescent="0.2">
      <c r="A7612" s="12">
        <f t="shared" ref="A7612:C7612" si="1798">A7611</f>
        <v>46015</v>
      </c>
      <c r="B7612" s="5" t="str">
        <f t="shared" si="1798"/>
        <v>Northern Cardinal</v>
      </c>
      <c r="C7612" s="6">
        <f t="shared" si="1798"/>
        <v>0.74097222222222225</v>
      </c>
      <c r="D7612" s="5"/>
      <c r="E7612" s="5"/>
      <c r="F7612" s="5" t="s">
        <v>9</v>
      </c>
      <c r="G7612" s="15" t="s">
        <v>8</v>
      </c>
      <c r="H7612" s="24">
        <f t="shared" si="1765"/>
        <v>0</v>
      </c>
      <c r="I7612" s="24" cm="1">
        <f t="array" ref="I7612">IFERROR(IF($B7612=I$1, ($A7612+$C7612) - MAX(IF($B$2:$B7611=$B7612, $A$2:$A7611+$C$2:$C7611)), "")*24*60, "")</f>
        <v>0</v>
      </c>
      <c r="J7612" s="24" t="str" cm="1">
        <f t="array" ref="J7612">IFERROR(IF($B7612=J$1, ($A7612+$C7612) - MAX(IF($B$2:$B7611=$B7612, $A$2:$A7611+$C$2:$C7611)), "")*24*60, "")</f>
        <v/>
      </c>
      <c r="K7612" s="24" t="str" cm="1">
        <f t="array" ref="K7612">IFERROR(IF($B7612=K$1, ($A7612+$C7612) - MAX(IF($B$2:$B7611=$B7612, $A$2:$A7611+$C$2:$C7611)), "")*24*60, "")</f>
        <v/>
      </c>
      <c r="L7612" s="24" t="str" cm="1">
        <f t="array" ref="L7612">IFERROR(IF($B7612=L$1, ($A7612+$C7612) - MAX(IF($B$2:$B7611=$B7612, $A$2:$A7611+$C$2:$C7611)), "")*24*60, "")</f>
        <v/>
      </c>
      <c r="M7612" s="24" t="str" cm="1">
        <f t="array" ref="M7612">IFERROR(IF($B7612=M$1, ($A7612+$C7612) - MAX(IF($B$2:$B7611=$B7612, $A$2:$A7611+$C$2:$C7611)), "")*24*60, "")</f>
        <v/>
      </c>
      <c r="N7612" s="24" t="str" cm="1">
        <f t="array" ref="N7612">IFERROR(IF($B7612=N$1, ($A7612+$C7612) - MAX(IF($B$2:$B7611=$B7612, $A$2:$A7611+$C$2:$C7611)), "")*24*60, "")</f>
        <v/>
      </c>
      <c r="O7612" s="24" t="str" cm="1">
        <f t="array" ref="O7612">IFERROR(IF($B7612=O$1, ($A7612+$C7612) - MAX(IF($B$2:$B7611=$B7612, $A$2:$A7611+$C$2:$C7611)), "")*24*60, "")</f>
        <v/>
      </c>
      <c r="P7612" s="24" t="str" cm="1">
        <f t="array" ref="P7612">IFERROR(IF($B7612=P$1, ($A7612+$C7612) - MAX(IF($B$2:$B7611=$B7612, $A$2:$A7611+$C$2:$C7611)), "")*24*60, "")</f>
        <v/>
      </c>
      <c r="Q7612" s="24" t="str" cm="1">
        <f t="array" ref="Q7612">IFERROR(IF($B7612=Q$1, ($A7612+$C7612) - MAX(IF($B$2:$B7611=$B7612, $A$2:$A7611+$C$2:$C7611)), "")*24*60, "")</f>
        <v/>
      </c>
      <c r="R7612" s="24" t="str" cm="1">
        <f t="array" ref="R7612">IFERROR(IF($B7612=R$1, ($A7612+$C7612) - MAX(IF($B$2:$B7611=$B7612, $A$2:$A7611+$C$2:$C7611)), "")*24*60, "")</f>
        <v/>
      </c>
      <c r="S7612" s="24" t="str" cm="1">
        <f t="array" ref="S7612">IFERROR(IF($B7612=S$1, ($A7612+$C7612) - MAX(IF($B$2:$B7611=$B7612, $A$2:$A7611+$C$2:$C7611)), "")*24*60, "")</f>
        <v/>
      </c>
    </row>
    <row r="7613" spans="1:19" x14ac:dyDescent="0.2">
      <c r="A7613" s="12">
        <f t="shared" ref="A7613:C7613" si="1799">A7612</f>
        <v>46015</v>
      </c>
      <c r="B7613" s="5" t="str">
        <f t="shared" si="1799"/>
        <v>Northern Cardinal</v>
      </c>
      <c r="C7613" s="6">
        <f t="shared" si="1799"/>
        <v>0.74097222222222225</v>
      </c>
      <c r="D7613" s="5"/>
      <c r="E7613" s="5"/>
      <c r="F7613" s="5" t="s">
        <v>9</v>
      </c>
      <c r="G7613" s="15" t="s">
        <v>8</v>
      </c>
      <c r="H7613" s="24">
        <f t="shared" si="1765"/>
        <v>0</v>
      </c>
      <c r="I7613" s="24" cm="1">
        <f t="array" ref="I7613">IFERROR(IF($B7613=I$1, ($A7613+$C7613) - MAX(IF($B$2:$B7612=$B7613, $A$2:$A7612+$C$2:$C7612)), "")*24*60, "")</f>
        <v>0</v>
      </c>
      <c r="J7613" s="24" t="str" cm="1">
        <f t="array" ref="J7613">IFERROR(IF($B7613=J$1, ($A7613+$C7613) - MAX(IF($B$2:$B7612=$B7613, $A$2:$A7612+$C$2:$C7612)), "")*24*60, "")</f>
        <v/>
      </c>
      <c r="K7613" s="24" t="str" cm="1">
        <f t="array" ref="K7613">IFERROR(IF($B7613=K$1, ($A7613+$C7613) - MAX(IF($B$2:$B7612=$B7613, $A$2:$A7612+$C$2:$C7612)), "")*24*60, "")</f>
        <v/>
      </c>
      <c r="L7613" s="24" t="str" cm="1">
        <f t="array" ref="L7613">IFERROR(IF($B7613=L$1, ($A7613+$C7613) - MAX(IF($B$2:$B7612=$B7613, $A$2:$A7612+$C$2:$C7612)), "")*24*60, "")</f>
        <v/>
      </c>
      <c r="M7613" s="24" t="str" cm="1">
        <f t="array" ref="M7613">IFERROR(IF($B7613=M$1, ($A7613+$C7613) - MAX(IF($B$2:$B7612=$B7613, $A$2:$A7612+$C$2:$C7612)), "")*24*60, "")</f>
        <v/>
      </c>
      <c r="N7613" s="24" t="str" cm="1">
        <f t="array" ref="N7613">IFERROR(IF($B7613=N$1, ($A7613+$C7613) - MAX(IF($B$2:$B7612=$B7613, $A$2:$A7612+$C$2:$C7612)), "")*24*60, "")</f>
        <v/>
      </c>
      <c r="O7613" s="24" t="str" cm="1">
        <f t="array" ref="O7613">IFERROR(IF($B7613=O$1, ($A7613+$C7613) - MAX(IF($B$2:$B7612=$B7613, $A$2:$A7612+$C$2:$C7612)), "")*24*60, "")</f>
        <v/>
      </c>
      <c r="P7613" s="24" t="str" cm="1">
        <f t="array" ref="P7613">IFERROR(IF($B7613=P$1, ($A7613+$C7613) - MAX(IF($B$2:$B7612=$B7613, $A$2:$A7612+$C$2:$C7612)), "")*24*60, "")</f>
        <v/>
      </c>
      <c r="Q7613" s="24" t="str" cm="1">
        <f t="array" ref="Q7613">IFERROR(IF($B7613=Q$1, ($A7613+$C7613) - MAX(IF($B$2:$B7612=$B7613, $A$2:$A7612+$C$2:$C7612)), "")*24*60, "")</f>
        <v/>
      </c>
      <c r="R7613" s="24" t="str" cm="1">
        <f t="array" ref="R7613">IFERROR(IF($B7613=R$1, ($A7613+$C7613) - MAX(IF($B$2:$B7612=$B7613, $A$2:$A7612+$C$2:$C7612)), "")*24*60, "")</f>
        <v/>
      </c>
      <c r="S7613" s="24" t="str" cm="1">
        <f t="array" ref="S7613">IFERROR(IF($B7613=S$1, ($A7613+$C7613) - MAX(IF($B$2:$B7612=$B7613, $A$2:$A7612+$C$2:$C7612)), "")*24*60, "")</f>
        <v/>
      </c>
    </row>
    <row r="7614" spans="1:19" x14ac:dyDescent="0.2">
      <c r="A7614" s="12">
        <f t="shared" ref="A7614:C7614" si="1800">A7613</f>
        <v>46015</v>
      </c>
      <c r="B7614" s="5" t="str">
        <f t="shared" si="1800"/>
        <v>Northern Cardinal</v>
      </c>
      <c r="C7614" s="6">
        <f t="shared" si="1800"/>
        <v>0.74097222222222225</v>
      </c>
      <c r="D7614" s="5"/>
      <c r="E7614" s="5"/>
      <c r="F7614" s="5" t="s">
        <v>9</v>
      </c>
      <c r="G7614" s="15" t="s">
        <v>8</v>
      </c>
      <c r="H7614" s="24">
        <f t="shared" si="1765"/>
        <v>0</v>
      </c>
      <c r="I7614" s="24" cm="1">
        <f t="array" ref="I7614">IFERROR(IF($B7614=I$1, ($A7614+$C7614) - MAX(IF($B$2:$B7613=$B7614, $A$2:$A7613+$C$2:$C7613)), "")*24*60, "")</f>
        <v>0</v>
      </c>
      <c r="J7614" s="24" t="str" cm="1">
        <f t="array" ref="J7614">IFERROR(IF($B7614=J$1, ($A7614+$C7614) - MAX(IF($B$2:$B7613=$B7614, $A$2:$A7613+$C$2:$C7613)), "")*24*60, "")</f>
        <v/>
      </c>
      <c r="K7614" s="24" t="str" cm="1">
        <f t="array" ref="K7614">IFERROR(IF($B7614=K$1, ($A7614+$C7614) - MAX(IF($B$2:$B7613=$B7614, $A$2:$A7613+$C$2:$C7613)), "")*24*60, "")</f>
        <v/>
      </c>
      <c r="L7614" s="24" t="str" cm="1">
        <f t="array" ref="L7614">IFERROR(IF($B7614=L$1, ($A7614+$C7614) - MAX(IF($B$2:$B7613=$B7614, $A$2:$A7613+$C$2:$C7613)), "")*24*60, "")</f>
        <v/>
      </c>
      <c r="M7614" s="24" t="str" cm="1">
        <f t="array" ref="M7614">IFERROR(IF($B7614=M$1, ($A7614+$C7614) - MAX(IF($B$2:$B7613=$B7614, $A$2:$A7613+$C$2:$C7613)), "")*24*60, "")</f>
        <v/>
      </c>
      <c r="N7614" s="24" t="str" cm="1">
        <f t="array" ref="N7614">IFERROR(IF($B7614=N$1, ($A7614+$C7614) - MAX(IF($B$2:$B7613=$B7614, $A$2:$A7613+$C$2:$C7613)), "")*24*60, "")</f>
        <v/>
      </c>
      <c r="O7614" s="24" t="str" cm="1">
        <f t="array" ref="O7614">IFERROR(IF($B7614=O$1, ($A7614+$C7614) - MAX(IF($B$2:$B7613=$B7614, $A$2:$A7613+$C$2:$C7613)), "")*24*60, "")</f>
        <v/>
      </c>
      <c r="P7614" s="24" t="str" cm="1">
        <f t="array" ref="P7614">IFERROR(IF($B7614=P$1, ($A7614+$C7614) - MAX(IF($B$2:$B7613=$B7614, $A$2:$A7613+$C$2:$C7613)), "")*24*60, "")</f>
        <v/>
      </c>
      <c r="Q7614" s="24" t="str" cm="1">
        <f t="array" ref="Q7614">IFERROR(IF($B7614=Q$1, ($A7614+$C7614) - MAX(IF($B$2:$B7613=$B7614, $A$2:$A7613+$C$2:$C7613)), "")*24*60, "")</f>
        <v/>
      </c>
      <c r="R7614" s="24" t="str" cm="1">
        <f t="array" ref="R7614">IFERROR(IF($B7614=R$1, ($A7614+$C7614) - MAX(IF($B$2:$B7613=$B7614, $A$2:$A7613+$C$2:$C7613)), "")*24*60, "")</f>
        <v/>
      </c>
      <c r="S7614" s="24" t="str" cm="1">
        <f t="array" ref="S7614">IFERROR(IF($B7614=S$1, ($A7614+$C7614) - MAX(IF($B$2:$B7613=$B7614, $A$2:$A7613+$C$2:$C7613)), "")*24*60, "")</f>
        <v/>
      </c>
    </row>
    <row r="7615" spans="1:19" x14ac:dyDescent="0.2">
      <c r="A7615" s="12">
        <f t="shared" ref="A7615:C7615" si="1801">A7614</f>
        <v>46015</v>
      </c>
      <c r="B7615" s="5" t="str">
        <f t="shared" si="1801"/>
        <v>Northern Cardinal</v>
      </c>
      <c r="C7615" s="6">
        <f t="shared" si="1801"/>
        <v>0.74097222222222225</v>
      </c>
      <c r="D7615" s="5"/>
      <c r="E7615" s="5"/>
      <c r="F7615" s="5" t="s">
        <v>9</v>
      </c>
      <c r="G7615" s="15" t="s">
        <v>8</v>
      </c>
      <c r="H7615" s="24">
        <f t="shared" si="1765"/>
        <v>0</v>
      </c>
      <c r="I7615" s="24" cm="1">
        <f t="array" ref="I7615">IFERROR(IF($B7615=I$1, ($A7615+$C7615) - MAX(IF($B$2:$B7614=$B7615, $A$2:$A7614+$C$2:$C7614)), "")*24*60, "")</f>
        <v>0</v>
      </c>
      <c r="J7615" s="24" t="str" cm="1">
        <f t="array" ref="J7615">IFERROR(IF($B7615=J$1, ($A7615+$C7615) - MAX(IF($B$2:$B7614=$B7615, $A$2:$A7614+$C$2:$C7614)), "")*24*60, "")</f>
        <v/>
      </c>
      <c r="K7615" s="24" t="str" cm="1">
        <f t="array" ref="K7615">IFERROR(IF($B7615=K$1, ($A7615+$C7615) - MAX(IF($B$2:$B7614=$B7615, $A$2:$A7614+$C$2:$C7614)), "")*24*60, "")</f>
        <v/>
      </c>
      <c r="L7615" s="24" t="str" cm="1">
        <f t="array" ref="L7615">IFERROR(IF($B7615=L$1, ($A7615+$C7615) - MAX(IF($B$2:$B7614=$B7615, $A$2:$A7614+$C$2:$C7614)), "")*24*60, "")</f>
        <v/>
      </c>
      <c r="M7615" s="24" t="str" cm="1">
        <f t="array" ref="M7615">IFERROR(IF($B7615=M$1, ($A7615+$C7615) - MAX(IF($B$2:$B7614=$B7615, $A$2:$A7614+$C$2:$C7614)), "")*24*60, "")</f>
        <v/>
      </c>
      <c r="N7615" s="24" t="str" cm="1">
        <f t="array" ref="N7615">IFERROR(IF($B7615=N$1, ($A7615+$C7615) - MAX(IF($B$2:$B7614=$B7615, $A$2:$A7614+$C$2:$C7614)), "")*24*60, "")</f>
        <v/>
      </c>
      <c r="O7615" s="24" t="str" cm="1">
        <f t="array" ref="O7615">IFERROR(IF($B7615=O$1, ($A7615+$C7615) - MAX(IF($B$2:$B7614=$B7615, $A$2:$A7614+$C$2:$C7614)), "")*24*60, "")</f>
        <v/>
      </c>
      <c r="P7615" s="24" t="str" cm="1">
        <f t="array" ref="P7615">IFERROR(IF($B7615=P$1, ($A7615+$C7615) - MAX(IF($B$2:$B7614=$B7615, $A$2:$A7614+$C$2:$C7614)), "")*24*60, "")</f>
        <v/>
      </c>
      <c r="Q7615" s="24" t="str" cm="1">
        <f t="array" ref="Q7615">IFERROR(IF($B7615=Q$1, ($A7615+$C7615) - MAX(IF($B$2:$B7614=$B7615, $A$2:$A7614+$C$2:$C7614)), "")*24*60, "")</f>
        <v/>
      </c>
      <c r="R7615" s="24" t="str" cm="1">
        <f t="array" ref="R7615">IFERROR(IF($B7615=R$1, ($A7615+$C7615) - MAX(IF($B$2:$B7614=$B7615, $A$2:$A7614+$C$2:$C7614)), "")*24*60, "")</f>
        <v/>
      </c>
      <c r="S7615" s="24" t="str" cm="1">
        <f t="array" ref="S7615">IFERROR(IF($B7615=S$1, ($A7615+$C7615) - MAX(IF($B$2:$B7614=$B7615, $A$2:$A7614+$C$2:$C7614)), "")*24*60, "")</f>
        <v/>
      </c>
    </row>
    <row r="7616" spans="1:19" x14ac:dyDescent="0.2">
      <c r="A7616" s="12">
        <f t="shared" ref="A7616:C7616" si="1802">A7615</f>
        <v>46015</v>
      </c>
      <c r="B7616" s="5" t="str">
        <f t="shared" si="1802"/>
        <v>Northern Cardinal</v>
      </c>
      <c r="C7616" s="6">
        <f t="shared" si="1802"/>
        <v>0.74097222222222225</v>
      </c>
      <c r="D7616" s="5"/>
      <c r="E7616" s="5"/>
      <c r="F7616" s="5" t="s">
        <v>9</v>
      </c>
      <c r="G7616" s="15" t="s">
        <v>8</v>
      </c>
      <c r="H7616" s="24">
        <f t="shared" si="1765"/>
        <v>0</v>
      </c>
      <c r="I7616" s="24" cm="1">
        <f t="array" ref="I7616">IFERROR(IF($B7616=I$1, ($A7616+$C7616) - MAX(IF($B$2:$B7615=$B7616, $A$2:$A7615+$C$2:$C7615)), "")*24*60, "")</f>
        <v>0</v>
      </c>
      <c r="J7616" s="24" t="str" cm="1">
        <f t="array" ref="J7616">IFERROR(IF($B7616=J$1, ($A7616+$C7616) - MAX(IF($B$2:$B7615=$B7616, $A$2:$A7615+$C$2:$C7615)), "")*24*60, "")</f>
        <v/>
      </c>
      <c r="K7616" s="24" t="str" cm="1">
        <f t="array" ref="K7616">IFERROR(IF($B7616=K$1, ($A7616+$C7616) - MAX(IF($B$2:$B7615=$B7616, $A$2:$A7615+$C$2:$C7615)), "")*24*60, "")</f>
        <v/>
      </c>
      <c r="L7616" s="24" t="str" cm="1">
        <f t="array" ref="L7616">IFERROR(IF($B7616=L$1, ($A7616+$C7616) - MAX(IF($B$2:$B7615=$B7616, $A$2:$A7615+$C$2:$C7615)), "")*24*60, "")</f>
        <v/>
      </c>
      <c r="M7616" s="24" t="str" cm="1">
        <f t="array" ref="M7616">IFERROR(IF($B7616=M$1, ($A7616+$C7616) - MAX(IF($B$2:$B7615=$B7616, $A$2:$A7615+$C$2:$C7615)), "")*24*60, "")</f>
        <v/>
      </c>
      <c r="N7616" s="24" t="str" cm="1">
        <f t="array" ref="N7616">IFERROR(IF($B7616=N$1, ($A7616+$C7616) - MAX(IF($B$2:$B7615=$B7616, $A$2:$A7615+$C$2:$C7615)), "")*24*60, "")</f>
        <v/>
      </c>
      <c r="O7616" s="24" t="str" cm="1">
        <f t="array" ref="O7616">IFERROR(IF($B7616=O$1, ($A7616+$C7616) - MAX(IF($B$2:$B7615=$B7616, $A$2:$A7615+$C$2:$C7615)), "")*24*60, "")</f>
        <v/>
      </c>
      <c r="P7616" s="24" t="str" cm="1">
        <f t="array" ref="P7616">IFERROR(IF($B7616=P$1, ($A7616+$C7616) - MAX(IF($B$2:$B7615=$B7616, $A$2:$A7615+$C$2:$C7615)), "")*24*60, "")</f>
        <v/>
      </c>
      <c r="Q7616" s="24" t="str" cm="1">
        <f t="array" ref="Q7616">IFERROR(IF($B7616=Q$1, ($A7616+$C7616) - MAX(IF($B$2:$B7615=$B7616, $A$2:$A7615+$C$2:$C7615)), "")*24*60, "")</f>
        <v/>
      </c>
      <c r="R7616" s="24" t="str" cm="1">
        <f t="array" ref="R7616">IFERROR(IF($B7616=R$1, ($A7616+$C7616) - MAX(IF($B$2:$B7615=$B7616, $A$2:$A7615+$C$2:$C7615)), "")*24*60, "")</f>
        <v/>
      </c>
      <c r="S7616" s="24" t="str" cm="1">
        <f t="array" ref="S7616">IFERROR(IF($B7616=S$1, ($A7616+$C7616) - MAX(IF($B$2:$B7615=$B7616, $A$2:$A7615+$C$2:$C7615)), "")*24*60, "")</f>
        <v/>
      </c>
    </row>
    <row r="7617" spans="1:19" x14ac:dyDescent="0.2">
      <c r="A7617" s="12">
        <f t="shared" ref="A7617:C7617" si="1803">A7616</f>
        <v>46015</v>
      </c>
      <c r="B7617" s="5" t="str">
        <f t="shared" si="1803"/>
        <v>Northern Cardinal</v>
      </c>
      <c r="C7617" s="6">
        <f t="shared" si="1803"/>
        <v>0.74097222222222225</v>
      </c>
      <c r="D7617" s="5"/>
      <c r="E7617" s="5"/>
      <c r="F7617" s="5" t="s">
        <v>9</v>
      </c>
      <c r="G7617" s="15" t="s">
        <v>8</v>
      </c>
      <c r="H7617" s="24">
        <f t="shared" si="1765"/>
        <v>0</v>
      </c>
      <c r="I7617" s="24" cm="1">
        <f t="array" ref="I7617">IFERROR(IF($B7617=I$1, ($A7617+$C7617) - MAX(IF($B$2:$B7616=$B7617, $A$2:$A7616+$C$2:$C7616)), "")*24*60, "")</f>
        <v>0</v>
      </c>
      <c r="J7617" s="24" t="str" cm="1">
        <f t="array" ref="J7617">IFERROR(IF($B7617=J$1, ($A7617+$C7617) - MAX(IF($B$2:$B7616=$B7617, $A$2:$A7616+$C$2:$C7616)), "")*24*60, "")</f>
        <v/>
      </c>
      <c r="K7617" s="24" t="str" cm="1">
        <f t="array" ref="K7617">IFERROR(IF($B7617=K$1, ($A7617+$C7617) - MAX(IF($B$2:$B7616=$B7617, $A$2:$A7616+$C$2:$C7616)), "")*24*60, "")</f>
        <v/>
      </c>
      <c r="L7617" s="24" t="str" cm="1">
        <f t="array" ref="L7617">IFERROR(IF($B7617=L$1, ($A7617+$C7617) - MAX(IF($B$2:$B7616=$B7617, $A$2:$A7616+$C$2:$C7616)), "")*24*60, "")</f>
        <v/>
      </c>
      <c r="M7617" s="24" t="str" cm="1">
        <f t="array" ref="M7617">IFERROR(IF($B7617=M$1, ($A7617+$C7617) - MAX(IF($B$2:$B7616=$B7617, $A$2:$A7616+$C$2:$C7616)), "")*24*60, "")</f>
        <v/>
      </c>
      <c r="N7617" s="24" t="str" cm="1">
        <f t="array" ref="N7617">IFERROR(IF($B7617=N$1, ($A7617+$C7617) - MAX(IF($B$2:$B7616=$B7617, $A$2:$A7616+$C$2:$C7616)), "")*24*60, "")</f>
        <v/>
      </c>
      <c r="O7617" s="24" t="str" cm="1">
        <f t="array" ref="O7617">IFERROR(IF($B7617=O$1, ($A7617+$C7617) - MAX(IF($B$2:$B7616=$B7617, $A$2:$A7616+$C$2:$C7616)), "")*24*60, "")</f>
        <v/>
      </c>
      <c r="P7617" s="24" t="str" cm="1">
        <f t="array" ref="P7617">IFERROR(IF($B7617=P$1, ($A7617+$C7617) - MAX(IF($B$2:$B7616=$B7617, $A$2:$A7616+$C$2:$C7616)), "")*24*60, "")</f>
        <v/>
      </c>
      <c r="Q7617" s="24" t="str" cm="1">
        <f t="array" ref="Q7617">IFERROR(IF($B7617=Q$1, ($A7617+$C7617) - MAX(IF($B$2:$B7616=$B7617, $A$2:$A7616+$C$2:$C7616)), "")*24*60, "")</f>
        <v/>
      </c>
      <c r="R7617" s="24" t="str" cm="1">
        <f t="array" ref="R7617">IFERROR(IF($B7617=R$1, ($A7617+$C7617) - MAX(IF($B$2:$B7616=$B7617, $A$2:$A7616+$C$2:$C7616)), "")*24*60, "")</f>
        <v/>
      </c>
      <c r="S7617" s="24" t="str" cm="1">
        <f t="array" ref="S7617">IFERROR(IF($B7617=S$1, ($A7617+$C7617) - MAX(IF($B$2:$B7616=$B7617, $A$2:$A7616+$C$2:$C7616)), "")*24*60, "")</f>
        <v/>
      </c>
    </row>
    <row r="7618" spans="1:19" x14ac:dyDescent="0.2">
      <c r="A7618" s="12">
        <f t="shared" ref="A7618:C7618" si="1804">A7617</f>
        <v>46015</v>
      </c>
      <c r="B7618" s="5" t="str">
        <f t="shared" si="1804"/>
        <v>Northern Cardinal</v>
      </c>
      <c r="C7618" s="6">
        <f t="shared" si="1804"/>
        <v>0.74097222222222225</v>
      </c>
      <c r="D7618" s="5"/>
      <c r="E7618" s="5"/>
      <c r="F7618" s="5" t="s">
        <v>9</v>
      </c>
      <c r="G7618" s="15" t="s">
        <v>8</v>
      </c>
      <c r="H7618" s="24">
        <f t="shared" si="1765"/>
        <v>0</v>
      </c>
      <c r="I7618" s="24" cm="1">
        <f t="array" ref="I7618">IFERROR(IF($B7618=I$1, ($A7618+$C7618) - MAX(IF($B$2:$B7617=$B7618, $A$2:$A7617+$C$2:$C7617)), "")*24*60, "")</f>
        <v>0</v>
      </c>
      <c r="J7618" s="24" t="str" cm="1">
        <f t="array" ref="J7618">IFERROR(IF($B7618=J$1, ($A7618+$C7618) - MAX(IF($B$2:$B7617=$B7618, $A$2:$A7617+$C$2:$C7617)), "")*24*60, "")</f>
        <v/>
      </c>
      <c r="K7618" s="24" t="str" cm="1">
        <f t="array" ref="K7618">IFERROR(IF($B7618=K$1, ($A7618+$C7618) - MAX(IF($B$2:$B7617=$B7618, $A$2:$A7617+$C$2:$C7617)), "")*24*60, "")</f>
        <v/>
      </c>
      <c r="L7618" s="24" t="str" cm="1">
        <f t="array" ref="L7618">IFERROR(IF($B7618=L$1, ($A7618+$C7618) - MAX(IF($B$2:$B7617=$B7618, $A$2:$A7617+$C$2:$C7617)), "")*24*60, "")</f>
        <v/>
      </c>
      <c r="M7618" s="24" t="str" cm="1">
        <f t="array" ref="M7618">IFERROR(IF($B7618=M$1, ($A7618+$C7618) - MAX(IF($B$2:$B7617=$B7618, $A$2:$A7617+$C$2:$C7617)), "")*24*60, "")</f>
        <v/>
      </c>
      <c r="N7618" s="24" t="str" cm="1">
        <f t="array" ref="N7618">IFERROR(IF($B7618=N$1, ($A7618+$C7618) - MAX(IF($B$2:$B7617=$B7618, $A$2:$A7617+$C$2:$C7617)), "")*24*60, "")</f>
        <v/>
      </c>
      <c r="O7618" s="24" t="str" cm="1">
        <f t="array" ref="O7618">IFERROR(IF($B7618=O$1, ($A7618+$C7618) - MAX(IF($B$2:$B7617=$B7618, $A$2:$A7617+$C$2:$C7617)), "")*24*60, "")</f>
        <v/>
      </c>
      <c r="P7618" s="24" t="str" cm="1">
        <f t="array" ref="P7618">IFERROR(IF($B7618=P$1, ($A7618+$C7618) - MAX(IF($B$2:$B7617=$B7618, $A$2:$A7617+$C$2:$C7617)), "")*24*60, "")</f>
        <v/>
      </c>
      <c r="Q7618" s="24" t="str" cm="1">
        <f t="array" ref="Q7618">IFERROR(IF($B7618=Q$1, ($A7618+$C7618) - MAX(IF($B$2:$B7617=$B7618, $A$2:$A7617+$C$2:$C7617)), "")*24*60, "")</f>
        <v/>
      </c>
      <c r="R7618" s="24" t="str" cm="1">
        <f t="array" ref="R7618">IFERROR(IF($B7618=R$1, ($A7618+$C7618) - MAX(IF($B$2:$B7617=$B7618, $A$2:$A7617+$C$2:$C7617)), "")*24*60, "")</f>
        <v/>
      </c>
      <c r="S7618" s="24" t="str" cm="1">
        <f t="array" ref="S7618">IFERROR(IF($B7618=S$1, ($A7618+$C7618) - MAX(IF($B$2:$B7617=$B7618, $A$2:$A7617+$C$2:$C7617)), "")*24*60, "")</f>
        <v/>
      </c>
    </row>
    <row r="7619" spans="1:19" x14ac:dyDescent="0.2">
      <c r="A7619" s="12">
        <f t="shared" ref="A7619:C7619" si="1805">A7618</f>
        <v>46015</v>
      </c>
      <c r="B7619" s="5" t="str">
        <f t="shared" si="1805"/>
        <v>Northern Cardinal</v>
      </c>
      <c r="C7619" s="6">
        <f t="shared" si="1805"/>
        <v>0.74097222222222225</v>
      </c>
      <c r="D7619" s="5"/>
      <c r="E7619" s="5"/>
      <c r="F7619" s="5" t="s">
        <v>9</v>
      </c>
      <c r="G7619" s="15" t="s">
        <v>8</v>
      </c>
      <c r="H7619" s="24">
        <f t="shared" si="1765"/>
        <v>0</v>
      </c>
      <c r="I7619" s="24" cm="1">
        <f t="array" ref="I7619">IFERROR(IF($B7619=I$1, ($A7619+$C7619) - MAX(IF($B$2:$B7618=$B7619, $A$2:$A7618+$C$2:$C7618)), "")*24*60, "")</f>
        <v>0</v>
      </c>
      <c r="J7619" s="24" t="str" cm="1">
        <f t="array" ref="J7619">IFERROR(IF($B7619=J$1, ($A7619+$C7619) - MAX(IF($B$2:$B7618=$B7619, $A$2:$A7618+$C$2:$C7618)), "")*24*60, "")</f>
        <v/>
      </c>
      <c r="K7619" s="24" t="str" cm="1">
        <f t="array" ref="K7619">IFERROR(IF($B7619=K$1, ($A7619+$C7619) - MAX(IF($B$2:$B7618=$B7619, $A$2:$A7618+$C$2:$C7618)), "")*24*60, "")</f>
        <v/>
      </c>
      <c r="L7619" s="24" t="str" cm="1">
        <f t="array" ref="L7619">IFERROR(IF($B7619=L$1, ($A7619+$C7619) - MAX(IF($B$2:$B7618=$B7619, $A$2:$A7618+$C$2:$C7618)), "")*24*60, "")</f>
        <v/>
      </c>
      <c r="M7619" s="24" t="str" cm="1">
        <f t="array" ref="M7619">IFERROR(IF($B7619=M$1, ($A7619+$C7619) - MAX(IF($B$2:$B7618=$B7619, $A$2:$A7618+$C$2:$C7618)), "")*24*60, "")</f>
        <v/>
      </c>
      <c r="N7619" s="24" t="str" cm="1">
        <f t="array" ref="N7619">IFERROR(IF($B7619=N$1, ($A7619+$C7619) - MAX(IF($B$2:$B7618=$B7619, $A$2:$A7618+$C$2:$C7618)), "")*24*60, "")</f>
        <v/>
      </c>
      <c r="O7619" s="24" t="str" cm="1">
        <f t="array" ref="O7619">IFERROR(IF($B7619=O$1, ($A7619+$C7619) - MAX(IF($B$2:$B7618=$B7619, $A$2:$A7618+$C$2:$C7618)), "")*24*60, "")</f>
        <v/>
      </c>
      <c r="P7619" s="24" t="str" cm="1">
        <f t="array" ref="P7619">IFERROR(IF($B7619=P$1, ($A7619+$C7619) - MAX(IF($B$2:$B7618=$B7619, $A$2:$A7618+$C$2:$C7618)), "")*24*60, "")</f>
        <v/>
      </c>
      <c r="Q7619" s="24" t="str" cm="1">
        <f t="array" ref="Q7619">IFERROR(IF($B7619=Q$1, ($A7619+$C7619) - MAX(IF($B$2:$B7618=$B7619, $A$2:$A7618+$C$2:$C7618)), "")*24*60, "")</f>
        <v/>
      </c>
      <c r="R7619" s="24" t="str" cm="1">
        <f t="array" ref="R7619">IFERROR(IF($B7619=R$1, ($A7619+$C7619) - MAX(IF($B$2:$B7618=$B7619, $A$2:$A7618+$C$2:$C7618)), "")*24*60, "")</f>
        <v/>
      </c>
      <c r="S7619" s="24" t="str" cm="1">
        <f t="array" ref="S7619">IFERROR(IF($B7619=S$1, ($A7619+$C7619) - MAX(IF($B$2:$B7618=$B7619, $A$2:$A7618+$C$2:$C7618)), "")*24*60, "")</f>
        <v/>
      </c>
    </row>
    <row r="7620" spans="1:19" x14ac:dyDescent="0.2">
      <c r="A7620" s="12">
        <f t="shared" ref="A7620:C7620" si="1806">A7619</f>
        <v>46015</v>
      </c>
      <c r="B7620" s="5" t="str">
        <f t="shared" si="1806"/>
        <v>Northern Cardinal</v>
      </c>
      <c r="C7620" s="6">
        <f t="shared" si="1806"/>
        <v>0.74097222222222225</v>
      </c>
      <c r="D7620" s="5"/>
      <c r="E7620" s="5"/>
      <c r="F7620" s="5" t="s">
        <v>9</v>
      </c>
      <c r="G7620" s="15" t="s">
        <v>8</v>
      </c>
      <c r="H7620" s="24">
        <f t="shared" si="1765"/>
        <v>0</v>
      </c>
      <c r="I7620" s="24" cm="1">
        <f t="array" ref="I7620">IFERROR(IF($B7620=I$1, ($A7620+$C7620) - MAX(IF($B$2:$B7619=$B7620, $A$2:$A7619+$C$2:$C7619)), "")*24*60, "")</f>
        <v>0</v>
      </c>
      <c r="J7620" s="24" t="str" cm="1">
        <f t="array" ref="J7620">IFERROR(IF($B7620=J$1, ($A7620+$C7620) - MAX(IF($B$2:$B7619=$B7620, $A$2:$A7619+$C$2:$C7619)), "")*24*60, "")</f>
        <v/>
      </c>
      <c r="K7620" s="24" t="str" cm="1">
        <f t="array" ref="K7620">IFERROR(IF($B7620=K$1, ($A7620+$C7620) - MAX(IF($B$2:$B7619=$B7620, $A$2:$A7619+$C$2:$C7619)), "")*24*60, "")</f>
        <v/>
      </c>
      <c r="L7620" s="24" t="str" cm="1">
        <f t="array" ref="L7620">IFERROR(IF($B7620=L$1, ($A7620+$C7620) - MAX(IF($B$2:$B7619=$B7620, $A$2:$A7619+$C$2:$C7619)), "")*24*60, "")</f>
        <v/>
      </c>
      <c r="M7620" s="24" t="str" cm="1">
        <f t="array" ref="M7620">IFERROR(IF($B7620=M$1, ($A7620+$C7620) - MAX(IF($B$2:$B7619=$B7620, $A$2:$A7619+$C$2:$C7619)), "")*24*60, "")</f>
        <v/>
      </c>
      <c r="N7620" s="24" t="str" cm="1">
        <f t="array" ref="N7620">IFERROR(IF($B7620=N$1, ($A7620+$C7620) - MAX(IF($B$2:$B7619=$B7620, $A$2:$A7619+$C$2:$C7619)), "")*24*60, "")</f>
        <v/>
      </c>
      <c r="O7620" s="24" t="str" cm="1">
        <f t="array" ref="O7620">IFERROR(IF($B7620=O$1, ($A7620+$C7620) - MAX(IF($B$2:$B7619=$B7620, $A$2:$A7619+$C$2:$C7619)), "")*24*60, "")</f>
        <v/>
      </c>
      <c r="P7620" s="24" t="str" cm="1">
        <f t="array" ref="P7620">IFERROR(IF($B7620=P$1, ($A7620+$C7620) - MAX(IF($B$2:$B7619=$B7620, $A$2:$A7619+$C$2:$C7619)), "")*24*60, "")</f>
        <v/>
      </c>
      <c r="Q7620" s="24" t="str" cm="1">
        <f t="array" ref="Q7620">IFERROR(IF($B7620=Q$1, ($A7620+$C7620) - MAX(IF($B$2:$B7619=$B7620, $A$2:$A7619+$C$2:$C7619)), "")*24*60, "")</f>
        <v/>
      </c>
      <c r="R7620" s="24" t="str" cm="1">
        <f t="array" ref="R7620">IFERROR(IF($B7620=R$1, ($A7620+$C7620) - MAX(IF($B$2:$B7619=$B7620, $A$2:$A7619+$C$2:$C7619)), "")*24*60, "")</f>
        <v/>
      </c>
      <c r="S7620" s="24" t="str" cm="1">
        <f t="array" ref="S7620">IFERROR(IF($B7620=S$1, ($A7620+$C7620) - MAX(IF($B$2:$B7619=$B7620, $A$2:$A7619+$C$2:$C7619)), "")*24*60, "")</f>
        <v/>
      </c>
    </row>
    <row r="7621" spans="1:19" x14ac:dyDescent="0.2">
      <c r="A7621" s="12">
        <f t="shared" ref="A7621:C7621" si="1807">A7620</f>
        <v>46015</v>
      </c>
      <c r="B7621" s="5" t="str">
        <f t="shared" si="1807"/>
        <v>Northern Cardinal</v>
      </c>
      <c r="C7621" s="6">
        <f t="shared" si="1807"/>
        <v>0.74097222222222225</v>
      </c>
      <c r="D7621" s="5"/>
      <c r="E7621" s="5"/>
      <c r="F7621" s="5" t="s">
        <v>9</v>
      </c>
      <c r="G7621" s="15" t="s">
        <v>8</v>
      </c>
      <c r="H7621" s="24">
        <f t="shared" si="1765"/>
        <v>0</v>
      </c>
      <c r="I7621" s="24" cm="1">
        <f t="array" ref="I7621">IFERROR(IF($B7621=I$1, ($A7621+$C7621) - MAX(IF($B$2:$B7620=$B7621, $A$2:$A7620+$C$2:$C7620)), "")*24*60, "")</f>
        <v>0</v>
      </c>
      <c r="J7621" s="24" t="str" cm="1">
        <f t="array" ref="J7621">IFERROR(IF($B7621=J$1, ($A7621+$C7621) - MAX(IF($B$2:$B7620=$B7621, $A$2:$A7620+$C$2:$C7620)), "")*24*60, "")</f>
        <v/>
      </c>
      <c r="K7621" s="24" t="str" cm="1">
        <f t="array" ref="K7621">IFERROR(IF($B7621=K$1, ($A7621+$C7621) - MAX(IF($B$2:$B7620=$B7621, $A$2:$A7620+$C$2:$C7620)), "")*24*60, "")</f>
        <v/>
      </c>
      <c r="L7621" s="24" t="str" cm="1">
        <f t="array" ref="L7621">IFERROR(IF($B7621=L$1, ($A7621+$C7621) - MAX(IF($B$2:$B7620=$B7621, $A$2:$A7620+$C$2:$C7620)), "")*24*60, "")</f>
        <v/>
      </c>
      <c r="M7621" s="24" t="str" cm="1">
        <f t="array" ref="M7621">IFERROR(IF($B7621=M$1, ($A7621+$C7621) - MAX(IF($B$2:$B7620=$B7621, $A$2:$A7620+$C$2:$C7620)), "")*24*60, "")</f>
        <v/>
      </c>
      <c r="N7621" s="24" t="str" cm="1">
        <f t="array" ref="N7621">IFERROR(IF($B7621=N$1, ($A7621+$C7621) - MAX(IF($B$2:$B7620=$B7621, $A$2:$A7620+$C$2:$C7620)), "")*24*60, "")</f>
        <v/>
      </c>
      <c r="O7621" s="24" t="str" cm="1">
        <f t="array" ref="O7621">IFERROR(IF($B7621=O$1, ($A7621+$C7621) - MAX(IF($B$2:$B7620=$B7621, $A$2:$A7620+$C$2:$C7620)), "")*24*60, "")</f>
        <v/>
      </c>
      <c r="P7621" s="24" t="str" cm="1">
        <f t="array" ref="P7621">IFERROR(IF($B7621=P$1, ($A7621+$C7621) - MAX(IF($B$2:$B7620=$B7621, $A$2:$A7620+$C$2:$C7620)), "")*24*60, "")</f>
        <v/>
      </c>
      <c r="Q7621" s="24" t="str" cm="1">
        <f t="array" ref="Q7621">IFERROR(IF($B7621=Q$1, ($A7621+$C7621) - MAX(IF($B$2:$B7620=$B7621, $A$2:$A7620+$C$2:$C7620)), "")*24*60, "")</f>
        <v/>
      </c>
      <c r="R7621" s="24" t="str" cm="1">
        <f t="array" ref="R7621">IFERROR(IF($B7621=R$1, ($A7621+$C7621) - MAX(IF($B$2:$B7620=$B7621, $A$2:$A7620+$C$2:$C7620)), "")*24*60, "")</f>
        <v/>
      </c>
      <c r="S7621" s="24" t="str" cm="1">
        <f t="array" ref="S7621">IFERROR(IF($B7621=S$1, ($A7621+$C7621) - MAX(IF($B$2:$B7620=$B7621, $A$2:$A7620+$C$2:$C7620)), "")*24*60, "")</f>
        <v/>
      </c>
    </row>
    <row r="7622" spans="1:19" x14ac:dyDescent="0.2">
      <c r="A7622" s="12">
        <f t="shared" ref="A7622:C7622" si="1808">A7621</f>
        <v>46015</v>
      </c>
      <c r="B7622" s="5" t="str">
        <f t="shared" si="1808"/>
        <v>Northern Cardinal</v>
      </c>
      <c r="C7622" s="6">
        <f t="shared" si="1808"/>
        <v>0.74097222222222225</v>
      </c>
      <c r="D7622" s="5"/>
      <c r="E7622" s="5"/>
      <c r="F7622" s="5" t="s">
        <v>9</v>
      </c>
      <c r="G7622" s="15" t="s">
        <v>8</v>
      </c>
      <c r="H7622" s="24">
        <f t="shared" si="1765"/>
        <v>0</v>
      </c>
      <c r="I7622" s="24" cm="1">
        <f t="array" ref="I7622">IFERROR(IF($B7622=I$1, ($A7622+$C7622) - MAX(IF($B$2:$B7621=$B7622, $A$2:$A7621+$C$2:$C7621)), "")*24*60, "")</f>
        <v>0</v>
      </c>
      <c r="J7622" s="24" t="str" cm="1">
        <f t="array" ref="J7622">IFERROR(IF($B7622=J$1, ($A7622+$C7622) - MAX(IF($B$2:$B7621=$B7622, $A$2:$A7621+$C$2:$C7621)), "")*24*60, "")</f>
        <v/>
      </c>
      <c r="K7622" s="24" t="str" cm="1">
        <f t="array" ref="K7622">IFERROR(IF($B7622=K$1, ($A7622+$C7622) - MAX(IF($B$2:$B7621=$B7622, $A$2:$A7621+$C$2:$C7621)), "")*24*60, "")</f>
        <v/>
      </c>
      <c r="L7622" s="24" t="str" cm="1">
        <f t="array" ref="L7622">IFERROR(IF($B7622=L$1, ($A7622+$C7622) - MAX(IF($B$2:$B7621=$B7622, $A$2:$A7621+$C$2:$C7621)), "")*24*60, "")</f>
        <v/>
      </c>
      <c r="M7622" s="24" t="str" cm="1">
        <f t="array" ref="M7622">IFERROR(IF($B7622=M$1, ($A7622+$C7622) - MAX(IF($B$2:$B7621=$B7622, $A$2:$A7621+$C$2:$C7621)), "")*24*60, "")</f>
        <v/>
      </c>
      <c r="N7622" s="24" t="str" cm="1">
        <f t="array" ref="N7622">IFERROR(IF($B7622=N$1, ($A7622+$C7622) - MAX(IF($B$2:$B7621=$B7622, $A$2:$A7621+$C$2:$C7621)), "")*24*60, "")</f>
        <v/>
      </c>
      <c r="O7622" s="24" t="str" cm="1">
        <f t="array" ref="O7622">IFERROR(IF($B7622=O$1, ($A7622+$C7622) - MAX(IF($B$2:$B7621=$B7622, $A$2:$A7621+$C$2:$C7621)), "")*24*60, "")</f>
        <v/>
      </c>
      <c r="P7622" s="24" t="str" cm="1">
        <f t="array" ref="P7622">IFERROR(IF($B7622=P$1, ($A7622+$C7622) - MAX(IF($B$2:$B7621=$B7622, $A$2:$A7621+$C$2:$C7621)), "")*24*60, "")</f>
        <v/>
      </c>
      <c r="Q7622" s="24" t="str" cm="1">
        <f t="array" ref="Q7622">IFERROR(IF($B7622=Q$1, ($A7622+$C7622) - MAX(IF($B$2:$B7621=$B7622, $A$2:$A7621+$C$2:$C7621)), "")*24*60, "")</f>
        <v/>
      </c>
      <c r="R7622" s="24" t="str" cm="1">
        <f t="array" ref="R7622">IFERROR(IF($B7622=R$1, ($A7622+$C7622) - MAX(IF($B$2:$B7621=$B7622, $A$2:$A7621+$C$2:$C7621)), "")*24*60, "")</f>
        <v/>
      </c>
      <c r="S7622" s="24" t="str" cm="1">
        <f t="array" ref="S7622">IFERROR(IF($B7622=S$1, ($A7622+$C7622) - MAX(IF($B$2:$B7621=$B7622, $A$2:$A7621+$C$2:$C7621)), "")*24*60, "")</f>
        <v/>
      </c>
    </row>
    <row r="7623" spans="1:19" x14ac:dyDescent="0.2">
      <c r="A7623" s="12">
        <f t="shared" ref="A7623:C7623" si="1809">A7622</f>
        <v>46015</v>
      </c>
      <c r="B7623" s="5" t="str">
        <f t="shared" si="1809"/>
        <v>Northern Cardinal</v>
      </c>
      <c r="C7623" s="6">
        <f t="shared" si="1809"/>
        <v>0.74097222222222225</v>
      </c>
      <c r="D7623" s="5"/>
      <c r="E7623" s="5"/>
      <c r="F7623" s="5" t="s">
        <v>9</v>
      </c>
      <c r="G7623" s="15" t="s">
        <v>8</v>
      </c>
      <c r="H7623" s="24">
        <f t="shared" si="1765"/>
        <v>0</v>
      </c>
      <c r="I7623" s="24" cm="1">
        <f t="array" ref="I7623">IFERROR(IF($B7623=I$1, ($A7623+$C7623) - MAX(IF($B$2:$B7622=$B7623, $A$2:$A7622+$C$2:$C7622)), "")*24*60, "")</f>
        <v>0</v>
      </c>
      <c r="J7623" s="24" t="str" cm="1">
        <f t="array" ref="J7623">IFERROR(IF($B7623=J$1, ($A7623+$C7623) - MAX(IF($B$2:$B7622=$B7623, $A$2:$A7622+$C$2:$C7622)), "")*24*60, "")</f>
        <v/>
      </c>
      <c r="K7623" s="24" t="str" cm="1">
        <f t="array" ref="K7623">IFERROR(IF($B7623=K$1, ($A7623+$C7623) - MAX(IF($B$2:$B7622=$B7623, $A$2:$A7622+$C$2:$C7622)), "")*24*60, "")</f>
        <v/>
      </c>
      <c r="L7623" s="24" t="str" cm="1">
        <f t="array" ref="L7623">IFERROR(IF($B7623=L$1, ($A7623+$C7623) - MAX(IF($B$2:$B7622=$B7623, $A$2:$A7622+$C$2:$C7622)), "")*24*60, "")</f>
        <v/>
      </c>
      <c r="M7623" s="24" t="str" cm="1">
        <f t="array" ref="M7623">IFERROR(IF($B7623=M$1, ($A7623+$C7623) - MAX(IF($B$2:$B7622=$B7623, $A$2:$A7622+$C$2:$C7622)), "")*24*60, "")</f>
        <v/>
      </c>
      <c r="N7623" s="24" t="str" cm="1">
        <f t="array" ref="N7623">IFERROR(IF($B7623=N$1, ($A7623+$C7623) - MAX(IF($B$2:$B7622=$B7623, $A$2:$A7622+$C$2:$C7622)), "")*24*60, "")</f>
        <v/>
      </c>
      <c r="O7623" s="24" t="str" cm="1">
        <f t="array" ref="O7623">IFERROR(IF($B7623=O$1, ($A7623+$C7623) - MAX(IF($B$2:$B7622=$B7623, $A$2:$A7622+$C$2:$C7622)), "")*24*60, "")</f>
        <v/>
      </c>
      <c r="P7623" s="24" t="str" cm="1">
        <f t="array" ref="P7623">IFERROR(IF($B7623=P$1, ($A7623+$C7623) - MAX(IF($B$2:$B7622=$B7623, $A$2:$A7622+$C$2:$C7622)), "")*24*60, "")</f>
        <v/>
      </c>
      <c r="Q7623" s="24" t="str" cm="1">
        <f t="array" ref="Q7623">IFERROR(IF($B7623=Q$1, ($A7623+$C7623) - MAX(IF($B$2:$B7622=$B7623, $A$2:$A7622+$C$2:$C7622)), "")*24*60, "")</f>
        <v/>
      </c>
      <c r="R7623" s="24" t="str" cm="1">
        <f t="array" ref="R7623">IFERROR(IF($B7623=R$1, ($A7623+$C7623) - MAX(IF($B$2:$B7622=$B7623, $A$2:$A7622+$C$2:$C7622)), "")*24*60, "")</f>
        <v/>
      </c>
      <c r="S7623" s="24" t="str" cm="1">
        <f t="array" ref="S7623">IFERROR(IF($B7623=S$1, ($A7623+$C7623) - MAX(IF($B$2:$B7622=$B7623, $A$2:$A7622+$C$2:$C7622)), "")*24*60, "")</f>
        <v/>
      </c>
    </row>
    <row r="7624" spans="1:19" x14ac:dyDescent="0.2">
      <c r="A7624" s="12">
        <f t="shared" ref="A7624:C7624" si="1810">A7623</f>
        <v>46015</v>
      </c>
      <c r="B7624" s="5" t="str">
        <f t="shared" si="1810"/>
        <v>Northern Cardinal</v>
      </c>
      <c r="C7624" s="6">
        <f t="shared" si="1810"/>
        <v>0.74097222222222225</v>
      </c>
      <c r="D7624" s="5"/>
      <c r="E7624" s="5"/>
      <c r="F7624" s="5" t="s">
        <v>9</v>
      </c>
      <c r="G7624" s="15" t="s">
        <v>8</v>
      </c>
      <c r="H7624" s="24">
        <f t="shared" si="1765"/>
        <v>0</v>
      </c>
      <c r="I7624" s="24" cm="1">
        <f t="array" ref="I7624">IFERROR(IF($B7624=I$1, ($A7624+$C7624) - MAX(IF($B$2:$B7623=$B7624, $A$2:$A7623+$C$2:$C7623)), "")*24*60, "")</f>
        <v>0</v>
      </c>
      <c r="J7624" s="24" t="str" cm="1">
        <f t="array" ref="J7624">IFERROR(IF($B7624=J$1, ($A7624+$C7624) - MAX(IF($B$2:$B7623=$B7624, $A$2:$A7623+$C$2:$C7623)), "")*24*60, "")</f>
        <v/>
      </c>
      <c r="K7624" s="24" t="str" cm="1">
        <f t="array" ref="K7624">IFERROR(IF($B7624=K$1, ($A7624+$C7624) - MAX(IF($B$2:$B7623=$B7624, $A$2:$A7623+$C$2:$C7623)), "")*24*60, "")</f>
        <v/>
      </c>
      <c r="L7624" s="24" t="str" cm="1">
        <f t="array" ref="L7624">IFERROR(IF($B7624=L$1, ($A7624+$C7624) - MAX(IF($B$2:$B7623=$B7624, $A$2:$A7623+$C$2:$C7623)), "")*24*60, "")</f>
        <v/>
      </c>
      <c r="M7624" s="24" t="str" cm="1">
        <f t="array" ref="M7624">IFERROR(IF($B7624=M$1, ($A7624+$C7624) - MAX(IF($B$2:$B7623=$B7624, $A$2:$A7623+$C$2:$C7623)), "")*24*60, "")</f>
        <v/>
      </c>
      <c r="N7624" s="24" t="str" cm="1">
        <f t="array" ref="N7624">IFERROR(IF($B7624=N$1, ($A7624+$C7624) - MAX(IF($B$2:$B7623=$B7624, $A$2:$A7623+$C$2:$C7623)), "")*24*60, "")</f>
        <v/>
      </c>
      <c r="O7624" s="24" t="str" cm="1">
        <f t="array" ref="O7624">IFERROR(IF($B7624=O$1, ($A7624+$C7624) - MAX(IF($B$2:$B7623=$B7624, $A$2:$A7623+$C$2:$C7623)), "")*24*60, "")</f>
        <v/>
      </c>
      <c r="P7624" s="24" t="str" cm="1">
        <f t="array" ref="P7624">IFERROR(IF($B7624=P$1, ($A7624+$C7624) - MAX(IF($B$2:$B7623=$B7624, $A$2:$A7623+$C$2:$C7623)), "")*24*60, "")</f>
        <v/>
      </c>
      <c r="Q7624" s="24" t="str" cm="1">
        <f t="array" ref="Q7624">IFERROR(IF($B7624=Q$1, ($A7624+$C7624) - MAX(IF($B$2:$B7623=$B7624, $A$2:$A7623+$C$2:$C7623)), "")*24*60, "")</f>
        <v/>
      </c>
      <c r="R7624" s="24" t="str" cm="1">
        <f t="array" ref="R7624">IFERROR(IF($B7624=R$1, ($A7624+$C7624) - MAX(IF($B$2:$B7623=$B7624, $A$2:$A7623+$C$2:$C7623)), "")*24*60, "")</f>
        <v/>
      </c>
      <c r="S7624" s="24" t="str" cm="1">
        <f t="array" ref="S7624">IFERROR(IF($B7624=S$1, ($A7624+$C7624) - MAX(IF($B$2:$B7623=$B7624, $A$2:$A7623+$C$2:$C7623)), "")*24*60, "")</f>
        <v/>
      </c>
    </row>
    <row r="7625" spans="1:19" x14ac:dyDescent="0.2">
      <c r="A7625" s="12">
        <f t="shared" ref="A7625:C7625" si="1811">A7624</f>
        <v>46015</v>
      </c>
      <c r="B7625" s="5" t="str">
        <f t="shared" si="1811"/>
        <v>Northern Cardinal</v>
      </c>
      <c r="C7625" s="6">
        <f t="shared" si="1811"/>
        <v>0.74097222222222225</v>
      </c>
      <c r="D7625" s="5"/>
      <c r="E7625" s="5"/>
      <c r="F7625" s="5" t="s">
        <v>9</v>
      </c>
      <c r="G7625" s="15" t="s">
        <v>8</v>
      </c>
      <c r="H7625" s="24">
        <f t="shared" si="1765"/>
        <v>0</v>
      </c>
      <c r="I7625" s="24" cm="1">
        <f t="array" ref="I7625">IFERROR(IF($B7625=I$1, ($A7625+$C7625) - MAX(IF($B$2:$B7624=$B7625, $A$2:$A7624+$C$2:$C7624)), "")*24*60, "")</f>
        <v>0</v>
      </c>
      <c r="J7625" s="24" t="str" cm="1">
        <f t="array" ref="J7625">IFERROR(IF($B7625=J$1, ($A7625+$C7625) - MAX(IF($B$2:$B7624=$B7625, $A$2:$A7624+$C$2:$C7624)), "")*24*60, "")</f>
        <v/>
      </c>
      <c r="K7625" s="24" t="str" cm="1">
        <f t="array" ref="K7625">IFERROR(IF($B7625=K$1, ($A7625+$C7625) - MAX(IF($B$2:$B7624=$B7625, $A$2:$A7624+$C$2:$C7624)), "")*24*60, "")</f>
        <v/>
      </c>
      <c r="L7625" s="24" t="str" cm="1">
        <f t="array" ref="L7625">IFERROR(IF($B7625=L$1, ($A7625+$C7625) - MAX(IF($B$2:$B7624=$B7625, $A$2:$A7624+$C$2:$C7624)), "")*24*60, "")</f>
        <v/>
      </c>
      <c r="M7625" s="24" t="str" cm="1">
        <f t="array" ref="M7625">IFERROR(IF($B7625=M$1, ($A7625+$C7625) - MAX(IF($B$2:$B7624=$B7625, $A$2:$A7624+$C$2:$C7624)), "")*24*60, "")</f>
        <v/>
      </c>
      <c r="N7625" s="24" t="str" cm="1">
        <f t="array" ref="N7625">IFERROR(IF($B7625=N$1, ($A7625+$C7625) - MAX(IF($B$2:$B7624=$B7625, $A$2:$A7624+$C$2:$C7624)), "")*24*60, "")</f>
        <v/>
      </c>
      <c r="O7625" s="24" t="str" cm="1">
        <f t="array" ref="O7625">IFERROR(IF($B7625=O$1, ($A7625+$C7625) - MAX(IF($B$2:$B7624=$B7625, $A$2:$A7624+$C$2:$C7624)), "")*24*60, "")</f>
        <v/>
      </c>
      <c r="P7625" s="24" t="str" cm="1">
        <f t="array" ref="P7625">IFERROR(IF($B7625=P$1, ($A7625+$C7625) - MAX(IF($B$2:$B7624=$B7625, $A$2:$A7624+$C$2:$C7624)), "")*24*60, "")</f>
        <v/>
      </c>
      <c r="Q7625" s="24" t="str" cm="1">
        <f t="array" ref="Q7625">IFERROR(IF($B7625=Q$1, ($A7625+$C7625) - MAX(IF($B$2:$B7624=$B7625, $A$2:$A7624+$C$2:$C7624)), "")*24*60, "")</f>
        <v/>
      </c>
      <c r="R7625" s="24" t="str" cm="1">
        <f t="array" ref="R7625">IFERROR(IF($B7625=R$1, ($A7625+$C7625) - MAX(IF($B$2:$B7624=$B7625, $A$2:$A7624+$C$2:$C7624)), "")*24*60, "")</f>
        <v/>
      </c>
      <c r="S7625" s="24" t="str" cm="1">
        <f t="array" ref="S7625">IFERROR(IF($B7625=S$1, ($A7625+$C7625) - MAX(IF($B$2:$B7624=$B7625, $A$2:$A7624+$C$2:$C7624)), "")*24*60, "")</f>
        <v/>
      </c>
    </row>
    <row r="7626" spans="1:19" x14ac:dyDescent="0.2">
      <c r="A7626" s="12">
        <f t="shared" ref="A7626:C7626" si="1812">A7625</f>
        <v>46015</v>
      </c>
      <c r="B7626" s="5" t="str">
        <f t="shared" si="1812"/>
        <v>Northern Cardinal</v>
      </c>
      <c r="C7626" s="6">
        <f t="shared" si="1812"/>
        <v>0.74097222222222225</v>
      </c>
      <c r="D7626" s="5"/>
      <c r="E7626" s="5"/>
      <c r="F7626" s="5" t="s">
        <v>9</v>
      </c>
      <c r="G7626" s="15" t="s">
        <v>8</v>
      </c>
      <c r="H7626" s="24">
        <f t="shared" si="1765"/>
        <v>0</v>
      </c>
      <c r="I7626" s="24" cm="1">
        <f t="array" ref="I7626">IFERROR(IF($B7626=I$1, ($A7626+$C7626) - MAX(IF($B$2:$B7625=$B7626, $A$2:$A7625+$C$2:$C7625)), "")*24*60, "")</f>
        <v>0</v>
      </c>
      <c r="J7626" s="24" t="str" cm="1">
        <f t="array" ref="J7626">IFERROR(IF($B7626=J$1, ($A7626+$C7626) - MAX(IF($B$2:$B7625=$B7626, $A$2:$A7625+$C$2:$C7625)), "")*24*60, "")</f>
        <v/>
      </c>
      <c r="K7626" s="24" t="str" cm="1">
        <f t="array" ref="K7626">IFERROR(IF($B7626=K$1, ($A7626+$C7626) - MAX(IF($B$2:$B7625=$B7626, $A$2:$A7625+$C$2:$C7625)), "")*24*60, "")</f>
        <v/>
      </c>
      <c r="L7626" s="24" t="str" cm="1">
        <f t="array" ref="L7626">IFERROR(IF($B7626=L$1, ($A7626+$C7626) - MAX(IF($B$2:$B7625=$B7626, $A$2:$A7625+$C$2:$C7625)), "")*24*60, "")</f>
        <v/>
      </c>
      <c r="M7626" s="24" t="str" cm="1">
        <f t="array" ref="M7626">IFERROR(IF($B7626=M$1, ($A7626+$C7626) - MAX(IF($B$2:$B7625=$B7626, $A$2:$A7625+$C$2:$C7625)), "")*24*60, "")</f>
        <v/>
      </c>
      <c r="N7626" s="24" t="str" cm="1">
        <f t="array" ref="N7626">IFERROR(IF($B7626=N$1, ($A7626+$C7626) - MAX(IF($B$2:$B7625=$B7626, $A$2:$A7625+$C$2:$C7625)), "")*24*60, "")</f>
        <v/>
      </c>
      <c r="O7626" s="24" t="str" cm="1">
        <f t="array" ref="O7626">IFERROR(IF($B7626=O$1, ($A7626+$C7626) - MAX(IF($B$2:$B7625=$B7626, $A$2:$A7625+$C$2:$C7625)), "")*24*60, "")</f>
        <v/>
      </c>
      <c r="P7626" s="24" t="str" cm="1">
        <f t="array" ref="P7626">IFERROR(IF($B7626=P$1, ($A7626+$C7626) - MAX(IF($B$2:$B7625=$B7626, $A$2:$A7625+$C$2:$C7625)), "")*24*60, "")</f>
        <v/>
      </c>
      <c r="Q7626" s="24" t="str" cm="1">
        <f t="array" ref="Q7626">IFERROR(IF($B7626=Q$1, ($A7626+$C7626) - MAX(IF($B$2:$B7625=$B7626, $A$2:$A7625+$C$2:$C7625)), "")*24*60, "")</f>
        <v/>
      </c>
      <c r="R7626" s="24" t="str" cm="1">
        <f t="array" ref="R7626">IFERROR(IF($B7626=R$1, ($A7626+$C7626) - MAX(IF($B$2:$B7625=$B7626, $A$2:$A7625+$C$2:$C7625)), "")*24*60, "")</f>
        <v/>
      </c>
      <c r="S7626" s="24" t="str" cm="1">
        <f t="array" ref="S7626">IFERROR(IF($B7626=S$1, ($A7626+$C7626) - MAX(IF($B$2:$B7625=$B7626, $A$2:$A7625+$C$2:$C7625)), "")*24*60, "")</f>
        <v/>
      </c>
    </row>
    <row r="7627" spans="1:19" x14ac:dyDescent="0.2">
      <c r="A7627" s="12">
        <f t="shared" ref="A7627:C7627" si="1813">A7626</f>
        <v>46015</v>
      </c>
      <c r="B7627" s="5" t="str">
        <f t="shared" si="1813"/>
        <v>Northern Cardinal</v>
      </c>
      <c r="C7627" s="6">
        <f t="shared" si="1813"/>
        <v>0.74097222222222225</v>
      </c>
      <c r="D7627" s="5"/>
      <c r="E7627" s="5"/>
      <c r="F7627" s="5" t="s">
        <v>9</v>
      </c>
      <c r="G7627" s="15" t="s">
        <v>8</v>
      </c>
      <c r="H7627" s="24">
        <f t="shared" si="1765"/>
        <v>0</v>
      </c>
      <c r="I7627" s="24" cm="1">
        <f t="array" ref="I7627">IFERROR(IF($B7627=I$1, ($A7627+$C7627) - MAX(IF($B$2:$B7626=$B7627, $A$2:$A7626+$C$2:$C7626)), "")*24*60, "")</f>
        <v>0</v>
      </c>
      <c r="J7627" s="24" t="str" cm="1">
        <f t="array" ref="J7627">IFERROR(IF($B7627=J$1, ($A7627+$C7627) - MAX(IF($B$2:$B7626=$B7627, $A$2:$A7626+$C$2:$C7626)), "")*24*60, "")</f>
        <v/>
      </c>
      <c r="K7627" s="24" t="str" cm="1">
        <f t="array" ref="K7627">IFERROR(IF($B7627=K$1, ($A7627+$C7627) - MAX(IF($B$2:$B7626=$B7627, $A$2:$A7626+$C$2:$C7626)), "")*24*60, "")</f>
        <v/>
      </c>
      <c r="L7627" s="24" t="str" cm="1">
        <f t="array" ref="L7627">IFERROR(IF($B7627=L$1, ($A7627+$C7627) - MAX(IF($B$2:$B7626=$B7627, $A$2:$A7626+$C$2:$C7626)), "")*24*60, "")</f>
        <v/>
      </c>
      <c r="M7627" s="24" t="str" cm="1">
        <f t="array" ref="M7627">IFERROR(IF($B7627=M$1, ($A7627+$C7627) - MAX(IF($B$2:$B7626=$B7627, $A$2:$A7626+$C$2:$C7626)), "")*24*60, "")</f>
        <v/>
      </c>
      <c r="N7627" s="24" t="str" cm="1">
        <f t="array" ref="N7627">IFERROR(IF($B7627=N$1, ($A7627+$C7627) - MAX(IF($B$2:$B7626=$B7627, $A$2:$A7626+$C$2:$C7626)), "")*24*60, "")</f>
        <v/>
      </c>
      <c r="O7627" s="24" t="str" cm="1">
        <f t="array" ref="O7627">IFERROR(IF($B7627=O$1, ($A7627+$C7627) - MAX(IF($B$2:$B7626=$B7627, $A$2:$A7626+$C$2:$C7626)), "")*24*60, "")</f>
        <v/>
      </c>
      <c r="P7627" s="24" t="str" cm="1">
        <f t="array" ref="P7627">IFERROR(IF($B7627=P$1, ($A7627+$C7627) - MAX(IF($B$2:$B7626=$B7627, $A$2:$A7626+$C$2:$C7626)), "")*24*60, "")</f>
        <v/>
      </c>
      <c r="Q7627" s="24" t="str" cm="1">
        <f t="array" ref="Q7627">IFERROR(IF($B7627=Q$1, ($A7627+$C7627) - MAX(IF($B$2:$B7626=$B7627, $A$2:$A7626+$C$2:$C7626)), "")*24*60, "")</f>
        <v/>
      </c>
      <c r="R7627" s="24" t="str" cm="1">
        <f t="array" ref="R7627">IFERROR(IF($B7627=R$1, ($A7627+$C7627) - MAX(IF($B$2:$B7626=$B7627, $A$2:$A7626+$C$2:$C7626)), "")*24*60, "")</f>
        <v/>
      </c>
      <c r="S7627" s="24" t="str" cm="1">
        <f t="array" ref="S7627">IFERROR(IF($B7627=S$1, ($A7627+$C7627) - MAX(IF($B$2:$B7626=$B7627, $A$2:$A7626+$C$2:$C7626)), "")*24*60, "")</f>
        <v/>
      </c>
    </row>
    <row r="7628" spans="1:19" x14ac:dyDescent="0.2">
      <c r="A7628" s="12">
        <f t="shared" ref="A7628:C7628" si="1814">A7627</f>
        <v>46015</v>
      </c>
      <c r="B7628" s="5" t="str">
        <f t="shared" si="1814"/>
        <v>Northern Cardinal</v>
      </c>
      <c r="C7628" s="6">
        <f t="shared" si="1814"/>
        <v>0.74097222222222225</v>
      </c>
      <c r="D7628" s="5"/>
      <c r="E7628" s="5"/>
      <c r="F7628" s="5" t="s">
        <v>9</v>
      </c>
      <c r="G7628" s="15" t="s">
        <v>8</v>
      </c>
      <c r="H7628" s="24">
        <f t="shared" si="1765"/>
        <v>0</v>
      </c>
      <c r="I7628" s="24" cm="1">
        <f t="array" ref="I7628">IFERROR(IF($B7628=I$1, ($A7628+$C7628) - MAX(IF($B$2:$B7627=$B7628, $A$2:$A7627+$C$2:$C7627)), "")*24*60, "")</f>
        <v>0</v>
      </c>
      <c r="J7628" s="24" t="str" cm="1">
        <f t="array" ref="J7628">IFERROR(IF($B7628=J$1, ($A7628+$C7628) - MAX(IF($B$2:$B7627=$B7628, $A$2:$A7627+$C$2:$C7627)), "")*24*60, "")</f>
        <v/>
      </c>
      <c r="K7628" s="24" t="str" cm="1">
        <f t="array" ref="K7628">IFERROR(IF($B7628=K$1, ($A7628+$C7628) - MAX(IF($B$2:$B7627=$B7628, $A$2:$A7627+$C$2:$C7627)), "")*24*60, "")</f>
        <v/>
      </c>
      <c r="L7628" s="24" t="str" cm="1">
        <f t="array" ref="L7628">IFERROR(IF($B7628=L$1, ($A7628+$C7628) - MAX(IF($B$2:$B7627=$B7628, $A$2:$A7627+$C$2:$C7627)), "")*24*60, "")</f>
        <v/>
      </c>
      <c r="M7628" s="24" t="str" cm="1">
        <f t="array" ref="M7628">IFERROR(IF($B7628=M$1, ($A7628+$C7628) - MAX(IF($B$2:$B7627=$B7628, $A$2:$A7627+$C$2:$C7627)), "")*24*60, "")</f>
        <v/>
      </c>
      <c r="N7628" s="24" t="str" cm="1">
        <f t="array" ref="N7628">IFERROR(IF($B7628=N$1, ($A7628+$C7628) - MAX(IF($B$2:$B7627=$B7628, $A$2:$A7627+$C$2:$C7627)), "")*24*60, "")</f>
        <v/>
      </c>
      <c r="O7628" s="24" t="str" cm="1">
        <f t="array" ref="O7628">IFERROR(IF($B7628=O$1, ($A7628+$C7628) - MAX(IF($B$2:$B7627=$B7628, $A$2:$A7627+$C$2:$C7627)), "")*24*60, "")</f>
        <v/>
      </c>
      <c r="P7628" s="24" t="str" cm="1">
        <f t="array" ref="P7628">IFERROR(IF($B7628=P$1, ($A7628+$C7628) - MAX(IF($B$2:$B7627=$B7628, $A$2:$A7627+$C$2:$C7627)), "")*24*60, "")</f>
        <v/>
      </c>
      <c r="Q7628" s="24" t="str" cm="1">
        <f t="array" ref="Q7628">IFERROR(IF($B7628=Q$1, ($A7628+$C7628) - MAX(IF($B$2:$B7627=$B7628, $A$2:$A7627+$C$2:$C7627)), "")*24*60, "")</f>
        <v/>
      </c>
      <c r="R7628" s="24" t="str" cm="1">
        <f t="array" ref="R7628">IFERROR(IF($B7628=R$1, ($A7628+$C7628) - MAX(IF($B$2:$B7627=$B7628, $A$2:$A7627+$C$2:$C7627)), "")*24*60, "")</f>
        <v/>
      </c>
      <c r="S7628" s="24" t="str" cm="1">
        <f t="array" ref="S7628">IFERROR(IF($B7628=S$1, ($A7628+$C7628) - MAX(IF($B$2:$B7627=$B7628, $A$2:$A7627+$C$2:$C7627)), "")*24*60, "")</f>
        <v/>
      </c>
    </row>
    <row r="7629" spans="1:19" x14ac:dyDescent="0.2">
      <c r="A7629" s="12">
        <f t="shared" ref="A7629:C7629" si="1815">A7628</f>
        <v>46015</v>
      </c>
      <c r="B7629" s="5" t="str">
        <f t="shared" si="1815"/>
        <v>Northern Cardinal</v>
      </c>
      <c r="C7629" s="6">
        <f t="shared" si="1815"/>
        <v>0.74097222222222225</v>
      </c>
      <c r="D7629" s="5"/>
      <c r="E7629" s="5"/>
      <c r="F7629" s="5" t="s">
        <v>9</v>
      </c>
      <c r="G7629" s="15" t="s">
        <v>8</v>
      </c>
      <c r="H7629" s="24">
        <f t="shared" si="1765"/>
        <v>0</v>
      </c>
      <c r="I7629" s="24" cm="1">
        <f t="array" ref="I7629">IFERROR(IF($B7629=I$1, ($A7629+$C7629) - MAX(IF($B$2:$B7628=$B7629, $A$2:$A7628+$C$2:$C7628)), "")*24*60, "")</f>
        <v>0</v>
      </c>
      <c r="J7629" s="24" t="str" cm="1">
        <f t="array" ref="J7629">IFERROR(IF($B7629=J$1, ($A7629+$C7629) - MAX(IF($B$2:$B7628=$B7629, $A$2:$A7628+$C$2:$C7628)), "")*24*60, "")</f>
        <v/>
      </c>
      <c r="K7629" s="24" t="str" cm="1">
        <f t="array" ref="K7629">IFERROR(IF($B7629=K$1, ($A7629+$C7629) - MAX(IF($B$2:$B7628=$B7629, $A$2:$A7628+$C$2:$C7628)), "")*24*60, "")</f>
        <v/>
      </c>
      <c r="L7629" s="24" t="str" cm="1">
        <f t="array" ref="L7629">IFERROR(IF($B7629=L$1, ($A7629+$C7629) - MAX(IF($B$2:$B7628=$B7629, $A$2:$A7628+$C$2:$C7628)), "")*24*60, "")</f>
        <v/>
      </c>
      <c r="M7629" s="24" t="str" cm="1">
        <f t="array" ref="M7629">IFERROR(IF($B7629=M$1, ($A7629+$C7629) - MAX(IF($B$2:$B7628=$B7629, $A$2:$A7628+$C$2:$C7628)), "")*24*60, "")</f>
        <v/>
      </c>
      <c r="N7629" s="24" t="str" cm="1">
        <f t="array" ref="N7629">IFERROR(IF($B7629=N$1, ($A7629+$C7629) - MAX(IF($B$2:$B7628=$B7629, $A$2:$A7628+$C$2:$C7628)), "")*24*60, "")</f>
        <v/>
      </c>
      <c r="O7629" s="24" t="str" cm="1">
        <f t="array" ref="O7629">IFERROR(IF($B7629=O$1, ($A7629+$C7629) - MAX(IF($B$2:$B7628=$B7629, $A$2:$A7628+$C$2:$C7628)), "")*24*60, "")</f>
        <v/>
      </c>
      <c r="P7629" s="24" t="str" cm="1">
        <f t="array" ref="P7629">IFERROR(IF($B7629=P$1, ($A7629+$C7629) - MAX(IF($B$2:$B7628=$B7629, $A$2:$A7628+$C$2:$C7628)), "")*24*60, "")</f>
        <v/>
      </c>
      <c r="Q7629" s="24" t="str" cm="1">
        <f t="array" ref="Q7629">IFERROR(IF($B7629=Q$1, ($A7629+$C7629) - MAX(IF($B$2:$B7628=$B7629, $A$2:$A7628+$C$2:$C7628)), "")*24*60, "")</f>
        <v/>
      </c>
      <c r="R7629" s="24" t="str" cm="1">
        <f t="array" ref="R7629">IFERROR(IF($B7629=R$1, ($A7629+$C7629) - MAX(IF($B$2:$B7628=$B7629, $A$2:$A7628+$C$2:$C7628)), "")*24*60, "")</f>
        <v/>
      </c>
      <c r="S7629" s="24" t="str" cm="1">
        <f t="array" ref="S7629">IFERROR(IF($B7629=S$1, ($A7629+$C7629) - MAX(IF($B$2:$B7628=$B7629, $A$2:$A7628+$C$2:$C7628)), "")*24*60, "")</f>
        <v/>
      </c>
    </row>
    <row r="7630" spans="1:19" x14ac:dyDescent="0.2">
      <c r="A7630" s="12">
        <f t="shared" ref="A7630:C7630" si="1816">A7629</f>
        <v>46015</v>
      </c>
      <c r="B7630" s="5" t="str">
        <f t="shared" si="1816"/>
        <v>Northern Cardinal</v>
      </c>
      <c r="C7630" s="6">
        <f t="shared" si="1816"/>
        <v>0.74097222222222225</v>
      </c>
      <c r="D7630" s="5"/>
      <c r="E7630" s="5"/>
      <c r="F7630" s="5" t="s">
        <v>9</v>
      </c>
      <c r="G7630" s="15" t="s">
        <v>8</v>
      </c>
      <c r="H7630" s="24">
        <f t="shared" si="1765"/>
        <v>0</v>
      </c>
      <c r="I7630" s="24" cm="1">
        <f t="array" ref="I7630">IFERROR(IF($B7630=I$1, ($A7630+$C7630) - MAX(IF($B$2:$B7629=$B7630, $A$2:$A7629+$C$2:$C7629)), "")*24*60, "")</f>
        <v>0</v>
      </c>
      <c r="J7630" s="24" t="str" cm="1">
        <f t="array" ref="J7630">IFERROR(IF($B7630=J$1, ($A7630+$C7630) - MAX(IF($B$2:$B7629=$B7630, $A$2:$A7629+$C$2:$C7629)), "")*24*60, "")</f>
        <v/>
      </c>
      <c r="K7630" s="24" t="str" cm="1">
        <f t="array" ref="K7630">IFERROR(IF($B7630=K$1, ($A7630+$C7630) - MAX(IF($B$2:$B7629=$B7630, $A$2:$A7629+$C$2:$C7629)), "")*24*60, "")</f>
        <v/>
      </c>
      <c r="L7630" s="24" t="str" cm="1">
        <f t="array" ref="L7630">IFERROR(IF($B7630=L$1, ($A7630+$C7630) - MAX(IF($B$2:$B7629=$B7630, $A$2:$A7629+$C$2:$C7629)), "")*24*60, "")</f>
        <v/>
      </c>
      <c r="M7630" s="24" t="str" cm="1">
        <f t="array" ref="M7630">IFERROR(IF($B7630=M$1, ($A7630+$C7630) - MAX(IF($B$2:$B7629=$B7630, $A$2:$A7629+$C$2:$C7629)), "")*24*60, "")</f>
        <v/>
      </c>
      <c r="N7630" s="24" t="str" cm="1">
        <f t="array" ref="N7630">IFERROR(IF($B7630=N$1, ($A7630+$C7630) - MAX(IF($B$2:$B7629=$B7630, $A$2:$A7629+$C$2:$C7629)), "")*24*60, "")</f>
        <v/>
      </c>
      <c r="O7630" s="24" t="str" cm="1">
        <f t="array" ref="O7630">IFERROR(IF($B7630=O$1, ($A7630+$C7630) - MAX(IF($B$2:$B7629=$B7630, $A$2:$A7629+$C$2:$C7629)), "")*24*60, "")</f>
        <v/>
      </c>
      <c r="P7630" s="24" t="str" cm="1">
        <f t="array" ref="P7630">IFERROR(IF($B7630=P$1, ($A7630+$C7630) - MAX(IF($B$2:$B7629=$B7630, $A$2:$A7629+$C$2:$C7629)), "")*24*60, "")</f>
        <v/>
      </c>
      <c r="Q7630" s="24" t="str" cm="1">
        <f t="array" ref="Q7630">IFERROR(IF($B7630=Q$1, ($A7630+$C7630) - MAX(IF($B$2:$B7629=$B7630, $A$2:$A7629+$C$2:$C7629)), "")*24*60, "")</f>
        <v/>
      </c>
      <c r="R7630" s="24" t="str" cm="1">
        <f t="array" ref="R7630">IFERROR(IF($B7630=R$1, ($A7630+$C7630) - MAX(IF($B$2:$B7629=$B7630, $A$2:$A7629+$C$2:$C7629)), "")*24*60, "")</f>
        <v/>
      </c>
      <c r="S7630" s="24" t="str" cm="1">
        <f t="array" ref="S7630">IFERROR(IF($B7630=S$1, ($A7630+$C7630) - MAX(IF($B$2:$B7629=$B7630, $A$2:$A7629+$C$2:$C7629)), "")*24*60, "")</f>
        <v/>
      </c>
    </row>
    <row r="7631" spans="1:19" x14ac:dyDescent="0.2">
      <c r="A7631" s="12">
        <f t="shared" ref="A7631:C7631" si="1817">A7630</f>
        <v>46015</v>
      </c>
      <c r="B7631" s="5" t="str">
        <f t="shared" si="1817"/>
        <v>Northern Cardinal</v>
      </c>
      <c r="C7631" s="6">
        <f t="shared" si="1817"/>
        <v>0.74097222222222225</v>
      </c>
      <c r="D7631" s="5"/>
      <c r="E7631" s="5"/>
      <c r="F7631" s="5" t="s">
        <v>9</v>
      </c>
      <c r="G7631" s="15" t="s">
        <v>8</v>
      </c>
      <c r="H7631" s="24">
        <f t="shared" si="1765"/>
        <v>0</v>
      </c>
      <c r="I7631" s="24" cm="1">
        <f t="array" ref="I7631">IFERROR(IF($B7631=I$1, ($A7631+$C7631) - MAX(IF($B$2:$B7630=$B7631, $A$2:$A7630+$C$2:$C7630)), "")*24*60, "")</f>
        <v>0</v>
      </c>
      <c r="J7631" s="24" t="str" cm="1">
        <f t="array" ref="J7631">IFERROR(IF($B7631=J$1, ($A7631+$C7631) - MAX(IF($B$2:$B7630=$B7631, $A$2:$A7630+$C$2:$C7630)), "")*24*60, "")</f>
        <v/>
      </c>
      <c r="K7631" s="24" t="str" cm="1">
        <f t="array" ref="K7631">IFERROR(IF($B7631=K$1, ($A7631+$C7631) - MAX(IF($B$2:$B7630=$B7631, $A$2:$A7630+$C$2:$C7630)), "")*24*60, "")</f>
        <v/>
      </c>
      <c r="L7631" s="24" t="str" cm="1">
        <f t="array" ref="L7631">IFERROR(IF($B7631=L$1, ($A7631+$C7631) - MAX(IF($B$2:$B7630=$B7631, $A$2:$A7630+$C$2:$C7630)), "")*24*60, "")</f>
        <v/>
      </c>
      <c r="M7631" s="24" t="str" cm="1">
        <f t="array" ref="M7631">IFERROR(IF($B7631=M$1, ($A7631+$C7631) - MAX(IF($B$2:$B7630=$B7631, $A$2:$A7630+$C$2:$C7630)), "")*24*60, "")</f>
        <v/>
      </c>
      <c r="N7631" s="24" t="str" cm="1">
        <f t="array" ref="N7631">IFERROR(IF($B7631=N$1, ($A7631+$C7631) - MAX(IF($B$2:$B7630=$B7631, $A$2:$A7630+$C$2:$C7630)), "")*24*60, "")</f>
        <v/>
      </c>
      <c r="O7631" s="24" t="str" cm="1">
        <f t="array" ref="O7631">IFERROR(IF($B7631=O$1, ($A7631+$C7631) - MAX(IF($B$2:$B7630=$B7631, $A$2:$A7630+$C$2:$C7630)), "")*24*60, "")</f>
        <v/>
      </c>
      <c r="P7631" s="24" t="str" cm="1">
        <f t="array" ref="P7631">IFERROR(IF($B7631=P$1, ($A7631+$C7631) - MAX(IF($B$2:$B7630=$B7631, $A$2:$A7630+$C$2:$C7630)), "")*24*60, "")</f>
        <v/>
      </c>
      <c r="Q7631" s="24" t="str" cm="1">
        <f t="array" ref="Q7631">IFERROR(IF($B7631=Q$1, ($A7631+$C7631) - MAX(IF($B$2:$B7630=$B7631, $A$2:$A7630+$C$2:$C7630)), "")*24*60, "")</f>
        <v/>
      </c>
      <c r="R7631" s="24" t="str" cm="1">
        <f t="array" ref="R7631">IFERROR(IF($B7631=R$1, ($A7631+$C7631) - MAX(IF($B$2:$B7630=$B7631, $A$2:$A7630+$C$2:$C7630)), "")*24*60, "")</f>
        <v/>
      </c>
      <c r="S7631" s="24" t="str" cm="1">
        <f t="array" ref="S7631">IFERROR(IF($B7631=S$1, ($A7631+$C7631) - MAX(IF($B$2:$B7630=$B7631, $A$2:$A7630+$C$2:$C7630)), "")*24*60, "")</f>
        <v/>
      </c>
    </row>
    <row r="7632" spans="1:19" x14ac:dyDescent="0.2">
      <c r="A7632" s="12">
        <f t="shared" ref="A7632:C7632" si="1818">A7631</f>
        <v>46015</v>
      </c>
      <c r="B7632" s="5" t="str">
        <f t="shared" si="1818"/>
        <v>Northern Cardinal</v>
      </c>
      <c r="C7632" s="6">
        <f t="shared" si="1818"/>
        <v>0.74097222222222225</v>
      </c>
      <c r="D7632" s="5"/>
      <c r="E7632" s="5"/>
      <c r="F7632" s="5" t="s">
        <v>9</v>
      </c>
      <c r="G7632" s="15" t="s">
        <v>8</v>
      </c>
      <c r="H7632" s="24">
        <f t="shared" si="1765"/>
        <v>0</v>
      </c>
      <c r="I7632" s="24" cm="1">
        <f t="array" ref="I7632">IFERROR(IF($B7632=I$1, ($A7632+$C7632) - MAX(IF($B$2:$B7631=$B7632, $A$2:$A7631+$C$2:$C7631)), "")*24*60, "")</f>
        <v>0</v>
      </c>
      <c r="J7632" s="24" t="str" cm="1">
        <f t="array" ref="J7632">IFERROR(IF($B7632=J$1, ($A7632+$C7632) - MAX(IF($B$2:$B7631=$B7632, $A$2:$A7631+$C$2:$C7631)), "")*24*60, "")</f>
        <v/>
      </c>
      <c r="K7632" s="24" t="str" cm="1">
        <f t="array" ref="K7632">IFERROR(IF($B7632=K$1, ($A7632+$C7632) - MAX(IF($B$2:$B7631=$B7632, $A$2:$A7631+$C$2:$C7631)), "")*24*60, "")</f>
        <v/>
      </c>
      <c r="L7632" s="24" t="str" cm="1">
        <f t="array" ref="L7632">IFERROR(IF($B7632=L$1, ($A7632+$C7632) - MAX(IF($B$2:$B7631=$B7632, $A$2:$A7631+$C$2:$C7631)), "")*24*60, "")</f>
        <v/>
      </c>
      <c r="M7632" s="24" t="str" cm="1">
        <f t="array" ref="M7632">IFERROR(IF($B7632=M$1, ($A7632+$C7632) - MAX(IF($B$2:$B7631=$B7632, $A$2:$A7631+$C$2:$C7631)), "")*24*60, "")</f>
        <v/>
      </c>
      <c r="N7632" s="24" t="str" cm="1">
        <f t="array" ref="N7632">IFERROR(IF($B7632=N$1, ($A7632+$C7632) - MAX(IF($B$2:$B7631=$B7632, $A$2:$A7631+$C$2:$C7631)), "")*24*60, "")</f>
        <v/>
      </c>
      <c r="O7632" s="24" t="str" cm="1">
        <f t="array" ref="O7632">IFERROR(IF($B7632=O$1, ($A7632+$C7632) - MAX(IF($B$2:$B7631=$B7632, $A$2:$A7631+$C$2:$C7631)), "")*24*60, "")</f>
        <v/>
      </c>
      <c r="P7632" s="24" t="str" cm="1">
        <f t="array" ref="P7632">IFERROR(IF($B7632=P$1, ($A7632+$C7632) - MAX(IF($B$2:$B7631=$B7632, $A$2:$A7631+$C$2:$C7631)), "")*24*60, "")</f>
        <v/>
      </c>
      <c r="Q7632" s="24" t="str" cm="1">
        <f t="array" ref="Q7632">IFERROR(IF($B7632=Q$1, ($A7632+$C7632) - MAX(IF($B$2:$B7631=$B7632, $A$2:$A7631+$C$2:$C7631)), "")*24*60, "")</f>
        <v/>
      </c>
      <c r="R7632" s="24" t="str" cm="1">
        <f t="array" ref="R7632">IFERROR(IF($B7632=R$1, ($A7632+$C7632) - MAX(IF($B$2:$B7631=$B7632, $A$2:$A7631+$C$2:$C7631)), "")*24*60, "")</f>
        <v/>
      </c>
      <c r="S7632" s="24" t="str" cm="1">
        <f t="array" ref="S7632">IFERROR(IF($B7632=S$1, ($A7632+$C7632) - MAX(IF($B$2:$B7631=$B7632, $A$2:$A7631+$C$2:$C7631)), "")*24*60, "")</f>
        <v/>
      </c>
    </row>
    <row r="7633" spans="1:19" x14ac:dyDescent="0.2">
      <c r="A7633" s="12">
        <f t="shared" ref="A7633:C7633" si="1819">A7632</f>
        <v>46015</v>
      </c>
      <c r="B7633" s="5" t="str">
        <f t="shared" si="1819"/>
        <v>Northern Cardinal</v>
      </c>
      <c r="C7633" s="6">
        <f t="shared" si="1819"/>
        <v>0.74097222222222225</v>
      </c>
      <c r="D7633" s="5"/>
      <c r="E7633" s="5"/>
      <c r="F7633" s="5" t="s">
        <v>9</v>
      </c>
      <c r="G7633" s="15" t="s">
        <v>8</v>
      </c>
      <c r="H7633" s="24">
        <f t="shared" si="1765"/>
        <v>0</v>
      </c>
      <c r="I7633" s="24" cm="1">
        <f t="array" ref="I7633">IFERROR(IF($B7633=I$1, ($A7633+$C7633) - MAX(IF($B$2:$B7632=$B7633, $A$2:$A7632+$C$2:$C7632)), "")*24*60, "")</f>
        <v>0</v>
      </c>
      <c r="J7633" s="24" t="str" cm="1">
        <f t="array" ref="J7633">IFERROR(IF($B7633=J$1, ($A7633+$C7633) - MAX(IF($B$2:$B7632=$B7633, $A$2:$A7632+$C$2:$C7632)), "")*24*60, "")</f>
        <v/>
      </c>
      <c r="K7633" s="24" t="str" cm="1">
        <f t="array" ref="K7633">IFERROR(IF($B7633=K$1, ($A7633+$C7633) - MAX(IF($B$2:$B7632=$B7633, $A$2:$A7632+$C$2:$C7632)), "")*24*60, "")</f>
        <v/>
      </c>
      <c r="L7633" s="24" t="str" cm="1">
        <f t="array" ref="L7633">IFERROR(IF($B7633=L$1, ($A7633+$C7633) - MAX(IF($B$2:$B7632=$B7633, $A$2:$A7632+$C$2:$C7632)), "")*24*60, "")</f>
        <v/>
      </c>
      <c r="M7633" s="24" t="str" cm="1">
        <f t="array" ref="M7633">IFERROR(IF($B7633=M$1, ($A7633+$C7633) - MAX(IF($B$2:$B7632=$B7633, $A$2:$A7632+$C$2:$C7632)), "")*24*60, "")</f>
        <v/>
      </c>
      <c r="N7633" s="24" t="str" cm="1">
        <f t="array" ref="N7633">IFERROR(IF($B7633=N$1, ($A7633+$C7633) - MAX(IF($B$2:$B7632=$B7633, $A$2:$A7632+$C$2:$C7632)), "")*24*60, "")</f>
        <v/>
      </c>
      <c r="O7633" s="24" t="str" cm="1">
        <f t="array" ref="O7633">IFERROR(IF($B7633=O$1, ($A7633+$C7633) - MAX(IF($B$2:$B7632=$B7633, $A$2:$A7632+$C$2:$C7632)), "")*24*60, "")</f>
        <v/>
      </c>
      <c r="P7633" s="24" t="str" cm="1">
        <f t="array" ref="P7633">IFERROR(IF($B7633=P$1, ($A7633+$C7633) - MAX(IF($B$2:$B7632=$B7633, $A$2:$A7632+$C$2:$C7632)), "")*24*60, "")</f>
        <v/>
      </c>
      <c r="Q7633" s="24" t="str" cm="1">
        <f t="array" ref="Q7633">IFERROR(IF($B7633=Q$1, ($A7633+$C7633) - MAX(IF($B$2:$B7632=$B7633, $A$2:$A7632+$C$2:$C7632)), "")*24*60, "")</f>
        <v/>
      </c>
      <c r="R7633" s="24" t="str" cm="1">
        <f t="array" ref="R7633">IFERROR(IF($B7633=R$1, ($A7633+$C7633) - MAX(IF($B$2:$B7632=$B7633, $A$2:$A7632+$C$2:$C7632)), "")*24*60, "")</f>
        <v/>
      </c>
      <c r="S7633" s="24" t="str" cm="1">
        <f t="array" ref="S7633">IFERROR(IF($B7633=S$1, ($A7633+$C7633) - MAX(IF($B$2:$B7632=$B7633, $A$2:$A7632+$C$2:$C7632)), "")*24*60, "")</f>
        <v/>
      </c>
    </row>
    <row r="7634" spans="1:19" x14ac:dyDescent="0.2">
      <c r="A7634" s="12">
        <f t="shared" ref="A7634:C7634" si="1820">A7633</f>
        <v>46015</v>
      </c>
      <c r="B7634" s="5" t="str">
        <f t="shared" si="1820"/>
        <v>Northern Cardinal</v>
      </c>
      <c r="C7634" s="6">
        <f t="shared" si="1820"/>
        <v>0.74097222222222225</v>
      </c>
      <c r="D7634" s="5"/>
      <c r="E7634" s="5"/>
      <c r="F7634" s="5" t="s">
        <v>9</v>
      </c>
      <c r="G7634" s="15" t="s">
        <v>8</v>
      </c>
      <c r="H7634" s="24">
        <f t="shared" si="1765"/>
        <v>0</v>
      </c>
      <c r="I7634" s="24" cm="1">
        <f t="array" ref="I7634">IFERROR(IF($B7634=I$1, ($A7634+$C7634) - MAX(IF($B$2:$B7633=$B7634, $A$2:$A7633+$C$2:$C7633)), "")*24*60, "")</f>
        <v>0</v>
      </c>
      <c r="J7634" s="24" t="str" cm="1">
        <f t="array" ref="J7634">IFERROR(IF($B7634=J$1, ($A7634+$C7634) - MAX(IF($B$2:$B7633=$B7634, $A$2:$A7633+$C$2:$C7633)), "")*24*60, "")</f>
        <v/>
      </c>
      <c r="K7634" s="24" t="str" cm="1">
        <f t="array" ref="K7634">IFERROR(IF($B7634=K$1, ($A7634+$C7634) - MAX(IF($B$2:$B7633=$B7634, $A$2:$A7633+$C$2:$C7633)), "")*24*60, "")</f>
        <v/>
      </c>
      <c r="L7634" s="24" t="str" cm="1">
        <f t="array" ref="L7634">IFERROR(IF($B7634=L$1, ($A7634+$C7634) - MAX(IF($B$2:$B7633=$B7634, $A$2:$A7633+$C$2:$C7633)), "")*24*60, "")</f>
        <v/>
      </c>
      <c r="M7634" s="24" t="str" cm="1">
        <f t="array" ref="M7634">IFERROR(IF($B7634=M$1, ($A7634+$C7634) - MAX(IF($B$2:$B7633=$B7634, $A$2:$A7633+$C$2:$C7633)), "")*24*60, "")</f>
        <v/>
      </c>
      <c r="N7634" s="24" t="str" cm="1">
        <f t="array" ref="N7634">IFERROR(IF($B7634=N$1, ($A7634+$C7634) - MAX(IF($B$2:$B7633=$B7634, $A$2:$A7633+$C$2:$C7633)), "")*24*60, "")</f>
        <v/>
      </c>
      <c r="O7634" s="24" t="str" cm="1">
        <f t="array" ref="O7634">IFERROR(IF($B7634=O$1, ($A7634+$C7634) - MAX(IF($B$2:$B7633=$B7634, $A$2:$A7633+$C$2:$C7633)), "")*24*60, "")</f>
        <v/>
      </c>
      <c r="P7634" s="24" t="str" cm="1">
        <f t="array" ref="P7634">IFERROR(IF($B7634=P$1, ($A7634+$C7634) - MAX(IF($B$2:$B7633=$B7634, $A$2:$A7633+$C$2:$C7633)), "")*24*60, "")</f>
        <v/>
      </c>
      <c r="Q7634" s="24" t="str" cm="1">
        <f t="array" ref="Q7634">IFERROR(IF($B7634=Q$1, ($A7634+$C7634) - MAX(IF($B$2:$B7633=$B7634, $A$2:$A7633+$C$2:$C7633)), "")*24*60, "")</f>
        <v/>
      </c>
      <c r="R7634" s="24" t="str" cm="1">
        <f t="array" ref="R7634">IFERROR(IF($B7634=R$1, ($A7634+$C7634) - MAX(IF($B$2:$B7633=$B7634, $A$2:$A7633+$C$2:$C7633)), "")*24*60, "")</f>
        <v/>
      </c>
      <c r="S7634" s="24" t="str" cm="1">
        <f t="array" ref="S7634">IFERROR(IF($B7634=S$1, ($A7634+$C7634) - MAX(IF($B$2:$B7633=$B7634, $A$2:$A7633+$C$2:$C7633)), "")*24*60, "")</f>
        <v/>
      </c>
    </row>
    <row r="7635" spans="1:19" x14ac:dyDescent="0.2">
      <c r="A7635" s="12">
        <f t="shared" ref="A7635:C7635" si="1821">A7634</f>
        <v>46015</v>
      </c>
      <c r="B7635" s="5" t="str">
        <f t="shared" si="1821"/>
        <v>Northern Cardinal</v>
      </c>
      <c r="C7635" s="6">
        <f t="shared" si="1821"/>
        <v>0.74097222222222225</v>
      </c>
      <c r="D7635" s="5"/>
      <c r="E7635" s="5"/>
      <c r="F7635" s="5" t="s">
        <v>9</v>
      </c>
      <c r="G7635" s="15" t="s">
        <v>8</v>
      </c>
      <c r="H7635" s="24">
        <f t="shared" si="1765"/>
        <v>0</v>
      </c>
      <c r="I7635" s="24" cm="1">
        <f t="array" ref="I7635">IFERROR(IF($B7635=I$1, ($A7635+$C7635) - MAX(IF($B$2:$B7634=$B7635, $A$2:$A7634+$C$2:$C7634)), "")*24*60, "")</f>
        <v>0</v>
      </c>
      <c r="J7635" s="24" t="str" cm="1">
        <f t="array" ref="J7635">IFERROR(IF($B7635=J$1, ($A7635+$C7635) - MAX(IF($B$2:$B7634=$B7635, $A$2:$A7634+$C$2:$C7634)), "")*24*60, "")</f>
        <v/>
      </c>
      <c r="K7635" s="24" t="str" cm="1">
        <f t="array" ref="K7635">IFERROR(IF($B7635=K$1, ($A7635+$C7635) - MAX(IF($B$2:$B7634=$B7635, $A$2:$A7634+$C$2:$C7634)), "")*24*60, "")</f>
        <v/>
      </c>
      <c r="L7635" s="24" t="str" cm="1">
        <f t="array" ref="L7635">IFERROR(IF($B7635=L$1, ($A7635+$C7635) - MAX(IF($B$2:$B7634=$B7635, $A$2:$A7634+$C$2:$C7634)), "")*24*60, "")</f>
        <v/>
      </c>
      <c r="M7635" s="24" t="str" cm="1">
        <f t="array" ref="M7635">IFERROR(IF($B7635=M$1, ($A7635+$C7635) - MAX(IF($B$2:$B7634=$B7635, $A$2:$A7634+$C$2:$C7634)), "")*24*60, "")</f>
        <v/>
      </c>
      <c r="N7635" s="24" t="str" cm="1">
        <f t="array" ref="N7635">IFERROR(IF($B7635=N$1, ($A7635+$C7635) - MAX(IF($B$2:$B7634=$B7635, $A$2:$A7634+$C$2:$C7634)), "")*24*60, "")</f>
        <v/>
      </c>
      <c r="O7635" s="24" t="str" cm="1">
        <f t="array" ref="O7635">IFERROR(IF($B7635=O$1, ($A7635+$C7635) - MAX(IF($B$2:$B7634=$B7635, $A$2:$A7634+$C$2:$C7634)), "")*24*60, "")</f>
        <v/>
      </c>
      <c r="P7635" s="24" t="str" cm="1">
        <f t="array" ref="P7635">IFERROR(IF($B7635=P$1, ($A7635+$C7635) - MAX(IF($B$2:$B7634=$B7635, $A$2:$A7634+$C$2:$C7634)), "")*24*60, "")</f>
        <v/>
      </c>
      <c r="Q7635" s="24" t="str" cm="1">
        <f t="array" ref="Q7635">IFERROR(IF($B7635=Q$1, ($A7635+$C7635) - MAX(IF($B$2:$B7634=$B7635, $A$2:$A7634+$C$2:$C7634)), "")*24*60, "")</f>
        <v/>
      </c>
      <c r="R7635" s="24" t="str" cm="1">
        <f t="array" ref="R7635">IFERROR(IF($B7635=R$1, ($A7635+$C7635) - MAX(IF($B$2:$B7634=$B7635, $A$2:$A7634+$C$2:$C7634)), "")*24*60, "")</f>
        <v/>
      </c>
      <c r="S7635" s="24" t="str" cm="1">
        <f t="array" ref="S7635">IFERROR(IF($B7635=S$1, ($A7635+$C7635) - MAX(IF($B$2:$B7634=$B7635, $A$2:$A7634+$C$2:$C7634)), "")*24*60, "")</f>
        <v/>
      </c>
    </row>
    <row r="7636" spans="1:19" x14ac:dyDescent="0.2">
      <c r="A7636" s="12">
        <f t="shared" ref="A7636:C7636" si="1822">A7635</f>
        <v>46015</v>
      </c>
      <c r="B7636" s="5" t="str">
        <f t="shared" si="1822"/>
        <v>Northern Cardinal</v>
      </c>
      <c r="C7636" s="6">
        <f t="shared" si="1822"/>
        <v>0.74097222222222225</v>
      </c>
      <c r="D7636" s="5"/>
      <c r="E7636" s="5"/>
      <c r="F7636" s="5" t="s">
        <v>9</v>
      </c>
      <c r="G7636" s="15" t="s">
        <v>8</v>
      </c>
      <c r="H7636" s="24">
        <f t="shared" si="1765"/>
        <v>0</v>
      </c>
      <c r="I7636" s="24" cm="1">
        <f t="array" ref="I7636">IFERROR(IF($B7636=I$1, ($A7636+$C7636) - MAX(IF($B$2:$B7635=$B7636, $A$2:$A7635+$C$2:$C7635)), "")*24*60, "")</f>
        <v>0</v>
      </c>
      <c r="J7636" s="24" t="str" cm="1">
        <f t="array" ref="J7636">IFERROR(IF($B7636=J$1, ($A7636+$C7636) - MAX(IF($B$2:$B7635=$B7636, $A$2:$A7635+$C$2:$C7635)), "")*24*60, "")</f>
        <v/>
      </c>
      <c r="K7636" s="24" t="str" cm="1">
        <f t="array" ref="K7636">IFERROR(IF($B7636=K$1, ($A7636+$C7636) - MAX(IF($B$2:$B7635=$B7636, $A$2:$A7635+$C$2:$C7635)), "")*24*60, "")</f>
        <v/>
      </c>
      <c r="L7636" s="24" t="str" cm="1">
        <f t="array" ref="L7636">IFERROR(IF($B7636=L$1, ($A7636+$C7636) - MAX(IF($B$2:$B7635=$B7636, $A$2:$A7635+$C$2:$C7635)), "")*24*60, "")</f>
        <v/>
      </c>
      <c r="M7636" s="24" t="str" cm="1">
        <f t="array" ref="M7636">IFERROR(IF($B7636=M$1, ($A7636+$C7636) - MAX(IF($B$2:$B7635=$B7636, $A$2:$A7635+$C$2:$C7635)), "")*24*60, "")</f>
        <v/>
      </c>
      <c r="N7636" s="24" t="str" cm="1">
        <f t="array" ref="N7636">IFERROR(IF($B7636=N$1, ($A7636+$C7636) - MAX(IF($B$2:$B7635=$B7636, $A$2:$A7635+$C$2:$C7635)), "")*24*60, "")</f>
        <v/>
      </c>
      <c r="O7636" s="24" t="str" cm="1">
        <f t="array" ref="O7636">IFERROR(IF($B7636=O$1, ($A7636+$C7636) - MAX(IF($B$2:$B7635=$B7636, $A$2:$A7635+$C$2:$C7635)), "")*24*60, "")</f>
        <v/>
      </c>
      <c r="P7636" s="24" t="str" cm="1">
        <f t="array" ref="P7636">IFERROR(IF($B7636=P$1, ($A7636+$C7636) - MAX(IF($B$2:$B7635=$B7636, $A$2:$A7635+$C$2:$C7635)), "")*24*60, "")</f>
        <v/>
      </c>
      <c r="Q7636" s="24" t="str" cm="1">
        <f t="array" ref="Q7636">IFERROR(IF($B7636=Q$1, ($A7636+$C7636) - MAX(IF($B$2:$B7635=$B7636, $A$2:$A7635+$C$2:$C7635)), "")*24*60, "")</f>
        <v/>
      </c>
      <c r="R7636" s="24" t="str" cm="1">
        <f t="array" ref="R7636">IFERROR(IF($B7636=R$1, ($A7636+$C7636) - MAX(IF($B$2:$B7635=$B7636, $A$2:$A7635+$C$2:$C7635)), "")*24*60, "")</f>
        <v/>
      </c>
      <c r="S7636" s="24" t="str" cm="1">
        <f t="array" ref="S7636">IFERROR(IF($B7636=S$1, ($A7636+$C7636) - MAX(IF($B$2:$B7635=$B7636, $A$2:$A7635+$C$2:$C7635)), "")*24*60, "")</f>
        <v/>
      </c>
    </row>
    <row r="7637" spans="1:19" x14ac:dyDescent="0.2">
      <c r="A7637" s="12">
        <f t="shared" ref="A7637:C7637" si="1823">A7636</f>
        <v>46015</v>
      </c>
      <c r="B7637" s="5" t="str">
        <f t="shared" si="1823"/>
        <v>Northern Cardinal</v>
      </c>
      <c r="C7637" s="6">
        <f t="shared" si="1823"/>
        <v>0.74097222222222225</v>
      </c>
      <c r="D7637" s="5"/>
      <c r="E7637" s="5"/>
      <c r="F7637" s="5" t="s">
        <v>9</v>
      </c>
      <c r="G7637" s="15" t="s">
        <v>8</v>
      </c>
      <c r="H7637" s="24">
        <f t="shared" si="1765"/>
        <v>0</v>
      </c>
      <c r="I7637" s="24" cm="1">
        <f t="array" ref="I7637">IFERROR(IF($B7637=I$1, ($A7637+$C7637) - MAX(IF($B$2:$B7636=$B7637, $A$2:$A7636+$C$2:$C7636)), "")*24*60, "")</f>
        <v>0</v>
      </c>
      <c r="J7637" s="24" t="str" cm="1">
        <f t="array" ref="J7637">IFERROR(IF($B7637=J$1, ($A7637+$C7637) - MAX(IF($B$2:$B7636=$B7637, $A$2:$A7636+$C$2:$C7636)), "")*24*60, "")</f>
        <v/>
      </c>
      <c r="K7637" s="24" t="str" cm="1">
        <f t="array" ref="K7637">IFERROR(IF($B7637=K$1, ($A7637+$C7637) - MAX(IF($B$2:$B7636=$B7637, $A$2:$A7636+$C$2:$C7636)), "")*24*60, "")</f>
        <v/>
      </c>
      <c r="L7637" s="24" t="str" cm="1">
        <f t="array" ref="L7637">IFERROR(IF($B7637=L$1, ($A7637+$C7637) - MAX(IF($B$2:$B7636=$B7637, $A$2:$A7636+$C$2:$C7636)), "")*24*60, "")</f>
        <v/>
      </c>
      <c r="M7637" s="24" t="str" cm="1">
        <f t="array" ref="M7637">IFERROR(IF($B7637=M$1, ($A7637+$C7637) - MAX(IF($B$2:$B7636=$B7637, $A$2:$A7636+$C$2:$C7636)), "")*24*60, "")</f>
        <v/>
      </c>
      <c r="N7637" s="24" t="str" cm="1">
        <f t="array" ref="N7637">IFERROR(IF($B7637=N$1, ($A7637+$C7637) - MAX(IF($B$2:$B7636=$B7637, $A$2:$A7636+$C$2:$C7636)), "")*24*60, "")</f>
        <v/>
      </c>
      <c r="O7637" s="24" t="str" cm="1">
        <f t="array" ref="O7637">IFERROR(IF($B7637=O$1, ($A7637+$C7637) - MAX(IF($B$2:$B7636=$B7637, $A$2:$A7636+$C$2:$C7636)), "")*24*60, "")</f>
        <v/>
      </c>
      <c r="P7637" s="24" t="str" cm="1">
        <f t="array" ref="P7637">IFERROR(IF($B7637=P$1, ($A7637+$C7637) - MAX(IF($B$2:$B7636=$B7637, $A$2:$A7636+$C$2:$C7636)), "")*24*60, "")</f>
        <v/>
      </c>
      <c r="Q7637" s="24" t="str" cm="1">
        <f t="array" ref="Q7637">IFERROR(IF($B7637=Q$1, ($A7637+$C7637) - MAX(IF($B$2:$B7636=$B7637, $A$2:$A7636+$C$2:$C7636)), "")*24*60, "")</f>
        <v/>
      </c>
      <c r="R7637" s="24" t="str" cm="1">
        <f t="array" ref="R7637">IFERROR(IF($B7637=R$1, ($A7637+$C7637) - MAX(IF($B$2:$B7636=$B7637, $A$2:$A7636+$C$2:$C7636)), "")*24*60, "")</f>
        <v/>
      </c>
      <c r="S7637" s="24" t="str" cm="1">
        <f t="array" ref="S7637">IFERROR(IF($B7637=S$1, ($A7637+$C7637) - MAX(IF($B$2:$B7636=$B7637, $A$2:$A7636+$C$2:$C7636)), "")*24*60, "")</f>
        <v/>
      </c>
    </row>
    <row r="7638" spans="1:19" x14ac:dyDescent="0.2">
      <c r="A7638" s="12">
        <f t="shared" ref="A7638:C7638" si="1824">A7637</f>
        <v>46015</v>
      </c>
      <c r="B7638" s="5" t="str">
        <f t="shared" si="1824"/>
        <v>Northern Cardinal</v>
      </c>
      <c r="C7638" s="6">
        <f t="shared" si="1824"/>
        <v>0.74097222222222225</v>
      </c>
      <c r="D7638" s="5"/>
      <c r="E7638" s="5"/>
      <c r="F7638" s="5" t="s">
        <v>9</v>
      </c>
      <c r="G7638" s="15" t="s">
        <v>8</v>
      </c>
      <c r="H7638" s="24">
        <f t="shared" si="1765"/>
        <v>0</v>
      </c>
      <c r="I7638" s="24" cm="1">
        <f t="array" ref="I7638">IFERROR(IF($B7638=I$1, ($A7638+$C7638) - MAX(IF($B$2:$B7637=$B7638, $A$2:$A7637+$C$2:$C7637)), "")*24*60, "")</f>
        <v>0</v>
      </c>
      <c r="J7638" s="24" t="str" cm="1">
        <f t="array" ref="J7638">IFERROR(IF($B7638=J$1, ($A7638+$C7638) - MAX(IF($B$2:$B7637=$B7638, $A$2:$A7637+$C$2:$C7637)), "")*24*60, "")</f>
        <v/>
      </c>
      <c r="K7638" s="24" t="str" cm="1">
        <f t="array" ref="K7638">IFERROR(IF($B7638=K$1, ($A7638+$C7638) - MAX(IF($B$2:$B7637=$B7638, $A$2:$A7637+$C$2:$C7637)), "")*24*60, "")</f>
        <v/>
      </c>
      <c r="L7638" s="24" t="str" cm="1">
        <f t="array" ref="L7638">IFERROR(IF($B7638=L$1, ($A7638+$C7638) - MAX(IF($B$2:$B7637=$B7638, $A$2:$A7637+$C$2:$C7637)), "")*24*60, "")</f>
        <v/>
      </c>
      <c r="M7638" s="24" t="str" cm="1">
        <f t="array" ref="M7638">IFERROR(IF($B7638=M$1, ($A7638+$C7638) - MAX(IF($B$2:$B7637=$B7638, $A$2:$A7637+$C$2:$C7637)), "")*24*60, "")</f>
        <v/>
      </c>
      <c r="N7638" s="24" t="str" cm="1">
        <f t="array" ref="N7638">IFERROR(IF($B7638=N$1, ($A7638+$C7638) - MAX(IF($B$2:$B7637=$B7638, $A$2:$A7637+$C$2:$C7637)), "")*24*60, "")</f>
        <v/>
      </c>
      <c r="O7638" s="24" t="str" cm="1">
        <f t="array" ref="O7638">IFERROR(IF($B7638=O$1, ($A7638+$C7638) - MAX(IF($B$2:$B7637=$B7638, $A$2:$A7637+$C$2:$C7637)), "")*24*60, "")</f>
        <v/>
      </c>
      <c r="P7638" s="24" t="str" cm="1">
        <f t="array" ref="P7638">IFERROR(IF($B7638=P$1, ($A7638+$C7638) - MAX(IF($B$2:$B7637=$B7638, $A$2:$A7637+$C$2:$C7637)), "")*24*60, "")</f>
        <v/>
      </c>
      <c r="Q7638" s="24" t="str" cm="1">
        <f t="array" ref="Q7638">IFERROR(IF($B7638=Q$1, ($A7638+$C7638) - MAX(IF($B$2:$B7637=$B7638, $A$2:$A7637+$C$2:$C7637)), "")*24*60, "")</f>
        <v/>
      </c>
      <c r="R7638" s="24" t="str" cm="1">
        <f t="array" ref="R7638">IFERROR(IF($B7638=R$1, ($A7638+$C7638) - MAX(IF($B$2:$B7637=$B7638, $A$2:$A7637+$C$2:$C7637)), "")*24*60, "")</f>
        <v/>
      </c>
      <c r="S7638" s="24" t="str" cm="1">
        <f t="array" ref="S7638">IFERROR(IF($B7638=S$1, ($A7638+$C7638) - MAX(IF($B$2:$B7637=$B7638, $A$2:$A7637+$C$2:$C7637)), "")*24*60, "")</f>
        <v/>
      </c>
    </row>
    <row r="7639" spans="1:19" x14ac:dyDescent="0.2">
      <c r="A7639" s="12">
        <f t="shared" ref="A7639:C7639" si="1825">A7638</f>
        <v>46015</v>
      </c>
      <c r="B7639" s="5" t="str">
        <f t="shared" si="1825"/>
        <v>Northern Cardinal</v>
      </c>
      <c r="C7639" s="6">
        <f t="shared" si="1825"/>
        <v>0.74097222222222225</v>
      </c>
      <c r="D7639" s="5"/>
      <c r="E7639" s="5"/>
      <c r="F7639" s="5" t="s">
        <v>9</v>
      </c>
      <c r="G7639" s="15" t="s">
        <v>8</v>
      </c>
      <c r="H7639" s="24">
        <f t="shared" si="1765"/>
        <v>0</v>
      </c>
      <c r="I7639" s="24" cm="1">
        <f t="array" ref="I7639">IFERROR(IF($B7639=I$1, ($A7639+$C7639) - MAX(IF($B$2:$B7638=$B7639, $A$2:$A7638+$C$2:$C7638)), "")*24*60, "")</f>
        <v>0</v>
      </c>
      <c r="J7639" s="24" t="str" cm="1">
        <f t="array" ref="J7639">IFERROR(IF($B7639=J$1, ($A7639+$C7639) - MAX(IF($B$2:$B7638=$B7639, $A$2:$A7638+$C$2:$C7638)), "")*24*60, "")</f>
        <v/>
      </c>
      <c r="K7639" s="24" t="str" cm="1">
        <f t="array" ref="K7639">IFERROR(IF($B7639=K$1, ($A7639+$C7639) - MAX(IF($B$2:$B7638=$B7639, $A$2:$A7638+$C$2:$C7638)), "")*24*60, "")</f>
        <v/>
      </c>
      <c r="L7639" s="24" t="str" cm="1">
        <f t="array" ref="L7639">IFERROR(IF($B7639=L$1, ($A7639+$C7639) - MAX(IF($B$2:$B7638=$B7639, $A$2:$A7638+$C$2:$C7638)), "")*24*60, "")</f>
        <v/>
      </c>
      <c r="M7639" s="24" t="str" cm="1">
        <f t="array" ref="M7639">IFERROR(IF($B7639=M$1, ($A7639+$C7639) - MAX(IF($B$2:$B7638=$B7639, $A$2:$A7638+$C$2:$C7638)), "")*24*60, "")</f>
        <v/>
      </c>
      <c r="N7639" s="24" t="str" cm="1">
        <f t="array" ref="N7639">IFERROR(IF($B7639=N$1, ($A7639+$C7639) - MAX(IF($B$2:$B7638=$B7639, $A$2:$A7638+$C$2:$C7638)), "")*24*60, "")</f>
        <v/>
      </c>
      <c r="O7639" s="24" t="str" cm="1">
        <f t="array" ref="O7639">IFERROR(IF($B7639=O$1, ($A7639+$C7639) - MAX(IF($B$2:$B7638=$B7639, $A$2:$A7638+$C$2:$C7638)), "")*24*60, "")</f>
        <v/>
      </c>
      <c r="P7639" s="24" t="str" cm="1">
        <f t="array" ref="P7639">IFERROR(IF($B7639=P$1, ($A7639+$C7639) - MAX(IF($B$2:$B7638=$B7639, $A$2:$A7638+$C$2:$C7638)), "")*24*60, "")</f>
        <v/>
      </c>
      <c r="Q7639" s="24" t="str" cm="1">
        <f t="array" ref="Q7639">IFERROR(IF($B7639=Q$1, ($A7639+$C7639) - MAX(IF($B$2:$B7638=$B7639, $A$2:$A7638+$C$2:$C7638)), "")*24*60, "")</f>
        <v/>
      </c>
      <c r="R7639" s="24" t="str" cm="1">
        <f t="array" ref="R7639">IFERROR(IF($B7639=R$1, ($A7639+$C7639) - MAX(IF($B$2:$B7638=$B7639, $A$2:$A7638+$C$2:$C7638)), "")*24*60, "")</f>
        <v/>
      </c>
      <c r="S7639" s="24" t="str" cm="1">
        <f t="array" ref="S7639">IFERROR(IF($B7639=S$1, ($A7639+$C7639) - MAX(IF($B$2:$B7638=$B7639, $A$2:$A7638+$C$2:$C7638)), "")*24*60, "")</f>
        <v/>
      </c>
    </row>
    <row r="7640" spans="1:19" x14ac:dyDescent="0.2">
      <c r="A7640" s="12">
        <f t="shared" ref="A7640:C7640" si="1826">A7639</f>
        <v>46015</v>
      </c>
      <c r="B7640" s="5" t="str">
        <f t="shared" si="1826"/>
        <v>Northern Cardinal</v>
      </c>
      <c r="C7640" s="6">
        <f t="shared" si="1826"/>
        <v>0.74097222222222225</v>
      </c>
      <c r="D7640" s="5"/>
      <c r="E7640" s="5"/>
      <c r="F7640" s="5" t="s">
        <v>9</v>
      </c>
      <c r="G7640" s="15" t="s">
        <v>8</v>
      </c>
      <c r="H7640" s="24">
        <f t="shared" si="1765"/>
        <v>0</v>
      </c>
      <c r="I7640" s="24" cm="1">
        <f t="array" ref="I7640">IFERROR(IF($B7640=I$1, ($A7640+$C7640) - MAX(IF($B$2:$B7639=$B7640, $A$2:$A7639+$C$2:$C7639)), "")*24*60, "")</f>
        <v>0</v>
      </c>
      <c r="J7640" s="24" t="str" cm="1">
        <f t="array" ref="J7640">IFERROR(IF($B7640=J$1, ($A7640+$C7640) - MAX(IF($B$2:$B7639=$B7640, $A$2:$A7639+$C$2:$C7639)), "")*24*60, "")</f>
        <v/>
      </c>
      <c r="K7640" s="24" t="str" cm="1">
        <f t="array" ref="K7640">IFERROR(IF($B7640=K$1, ($A7640+$C7640) - MAX(IF($B$2:$B7639=$B7640, $A$2:$A7639+$C$2:$C7639)), "")*24*60, "")</f>
        <v/>
      </c>
      <c r="L7640" s="24" t="str" cm="1">
        <f t="array" ref="L7640">IFERROR(IF($B7640=L$1, ($A7640+$C7640) - MAX(IF($B$2:$B7639=$B7640, $A$2:$A7639+$C$2:$C7639)), "")*24*60, "")</f>
        <v/>
      </c>
      <c r="M7640" s="24" t="str" cm="1">
        <f t="array" ref="M7640">IFERROR(IF($B7640=M$1, ($A7640+$C7640) - MAX(IF($B$2:$B7639=$B7640, $A$2:$A7639+$C$2:$C7639)), "")*24*60, "")</f>
        <v/>
      </c>
      <c r="N7640" s="24" t="str" cm="1">
        <f t="array" ref="N7640">IFERROR(IF($B7640=N$1, ($A7640+$C7640) - MAX(IF($B$2:$B7639=$B7640, $A$2:$A7639+$C$2:$C7639)), "")*24*60, "")</f>
        <v/>
      </c>
      <c r="O7640" s="24" t="str" cm="1">
        <f t="array" ref="O7640">IFERROR(IF($B7640=O$1, ($A7640+$C7640) - MAX(IF($B$2:$B7639=$B7640, $A$2:$A7639+$C$2:$C7639)), "")*24*60, "")</f>
        <v/>
      </c>
      <c r="P7640" s="24" t="str" cm="1">
        <f t="array" ref="P7640">IFERROR(IF($B7640=P$1, ($A7640+$C7640) - MAX(IF($B$2:$B7639=$B7640, $A$2:$A7639+$C$2:$C7639)), "")*24*60, "")</f>
        <v/>
      </c>
      <c r="Q7640" s="24" t="str" cm="1">
        <f t="array" ref="Q7640">IFERROR(IF($B7640=Q$1, ($A7640+$C7640) - MAX(IF($B$2:$B7639=$B7640, $A$2:$A7639+$C$2:$C7639)), "")*24*60, "")</f>
        <v/>
      </c>
      <c r="R7640" s="24" t="str" cm="1">
        <f t="array" ref="R7640">IFERROR(IF($B7640=R$1, ($A7640+$C7640) - MAX(IF($B$2:$B7639=$B7640, $A$2:$A7639+$C$2:$C7639)), "")*24*60, "")</f>
        <v/>
      </c>
      <c r="S7640" s="24" t="str" cm="1">
        <f t="array" ref="S7640">IFERROR(IF($B7640=S$1, ($A7640+$C7640) - MAX(IF($B$2:$B7639=$B7640, $A$2:$A7639+$C$2:$C7639)), "")*24*60, "")</f>
        <v/>
      </c>
    </row>
    <row r="7641" spans="1:19" x14ac:dyDescent="0.2">
      <c r="A7641" s="12">
        <f t="shared" ref="A7641:C7641" si="1827">A7640</f>
        <v>46015</v>
      </c>
      <c r="B7641" s="5" t="str">
        <f t="shared" si="1827"/>
        <v>Northern Cardinal</v>
      </c>
      <c r="C7641" s="6">
        <f t="shared" si="1827"/>
        <v>0.74097222222222225</v>
      </c>
      <c r="D7641" s="5"/>
      <c r="E7641" s="5"/>
      <c r="F7641" s="5" t="s">
        <v>9</v>
      </c>
      <c r="G7641" s="15" t="s">
        <v>8</v>
      </c>
      <c r="H7641" s="24">
        <f t="shared" si="1765"/>
        <v>0</v>
      </c>
      <c r="I7641" s="24" cm="1">
        <f t="array" ref="I7641">IFERROR(IF($B7641=I$1, ($A7641+$C7641) - MAX(IF($B$2:$B7640=$B7641, $A$2:$A7640+$C$2:$C7640)), "")*24*60, "")</f>
        <v>0</v>
      </c>
      <c r="J7641" s="24" t="str" cm="1">
        <f t="array" ref="J7641">IFERROR(IF($B7641=J$1, ($A7641+$C7641) - MAX(IF($B$2:$B7640=$B7641, $A$2:$A7640+$C$2:$C7640)), "")*24*60, "")</f>
        <v/>
      </c>
      <c r="K7641" s="24" t="str" cm="1">
        <f t="array" ref="K7641">IFERROR(IF($B7641=K$1, ($A7641+$C7641) - MAX(IF($B$2:$B7640=$B7641, $A$2:$A7640+$C$2:$C7640)), "")*24*60, "")</f>
        <v/>
      </c>
      <c r="L7641" s="24" t="str" cm="1">
        <f t="array" ref="L7641">IFERROR(IF($B7641=L$1, ($A7641+$C7641) - MAX(IF($B$2:$B7640=$B7641, $A$2:$A7640+$C$2:$C7640)), "")*24*60, "")</f>
        <v/>
      </c>
      <c r="M7641" s="24" t="str" cm="1">
        <f t="array" ref="M7641">IFERROR(IF($B7641=M$1, ($A7641+$C7641) - MAX(IF($B$2:$B7640=$B7641, $A$2:$A7640+$C$2:$C7640)), "")*24*60, "")</f>
        <v/>
      </c>
      <c r="N7641" s="24" t="str" cm="1">
        <f t="array" ref="N7641">IFERROR(IF($B7641=N$1, ($A7641+$C7641) - MAX(IF($B$2:$B7640=$B7641, $A$2:$A7640+$C$2:$C7640)), "")*24*60, "")</f>
        <v/>
      </c>
      <c r="O7641" s="24" t="str" cm="1">
        <f t="array" ref="O7641">IFERROR(IF($B7641=O$1, ($A7641+$C7641) - MAX(IF($B$2:$B7640=$B7641, $A$2:$A7640+$C$2:$C7640)), "")*24*60, "")</f>
        <v/>
      </c>
      <c r="P7641" s="24" t="str" cm="1">
        <f t="array" ref="P7641">IFERROR(IF($B7641=P$1, ($A7641+$C7641) - MAX(IF($B$2:$B7640=$B7641, $A$2:$A7640+$C$2:$C7640)), "")*24*60, "")</f>
        <v/>
      </c>
      <c r="Q7641" s="24" t="str" cm="1">
        <f t="array" ref="Q7641">IFERROR(IF($B7641=Q$1, ($A7641+$C7641) - MAX(IF($B$2:$B7640=$B7641, $A$2:$A7640+$C$2:$C7640)), "")*24*60, "")</f>
        <v/>
      </c>
      <c r="R7641" s="24" t="str" cm="1">
        <f t="array" ref="R7641">IFERROR(IF($B7641=R$1, ($A7641+$C7641) - MAX(IF($B$2:$B7640=$B7641, $A$2:$A7640+$C$2:$C7640)), "")*24*60, "")</f>
        <v/>
      </c>
      <c r="S7641" s="24" t="str" cm="1">
        <f t="array" ref="S7641">IFERROR(IF($B7641=S$1, ($A7641+$C7641) - MAX(IF($B$2:$B7640=$B7641, $A$2:$A7640+$C$2:$C7640)), "")*24*60, "")</f>
        <v/>
      </c>
    </row>
    <row r="7642" spans="1:19" x14ac:dyDescent="0.2">
      <c r="A7642" s="12">
        <f t="shared" ref="A7642:C7642" si="1828">A7641</f>
        <v>46015</v>
      </c>
      <c r="B7642" s="5" t="str">
        <f t="shared" si="1828"/>
        <v>Northern Cardinal</v>
      </c>
      <c r="C7642" s="6">
        <f t="shared" si="1828"/>
        <v>0.74097222222222225</v>
      </c>
      <c r="D7642" s="5"/>
      <c r="E7642" s="5"/>
      <c r="F7642" s="5" t="s">
        <v>9</v>
      </c>
      <c r="G7642" s="15" t="s">
        <v>8</v>
      </c>
      <c r="H7642" s="24">
        <f t="shared" si="1765"/>
        <v>0</v>
      </c>
      <c r="I7642" s="24" cm="1">
        <f t="array" ref="I7642">IFERROR(IF($B7642=I$1, ($A7642+$C7642) - MAX(IF($B$2:$B7641=$B7642, $A$2:$A7641+$C$2:$C7641)), "")*24*60, "")</f>
        <v>0</v>
      </c>
      <c r="J7642" s="24" t="str" cm="1">
        <f t="array" ref="J7642">IFERROR(IF($B7642=J$1, ($A7642+$C7642) - MAX(IF($B$2:$B7641=$B7642, $A$2:$A7641+$C$2:$C7641)), "")*24*60, "")</f>
        <v/>
      </c>
      <c r="K7642" s="24" t="str" cm="1">
        <f t="array" ref="K7642">IFERROR(IF($B7642=K$1, ($A7642+$C7642) - MAX(IF($B$2:$B7641=$B7642, $A$2:$A7641+$C$2:$C7641)), "")*24*60, "")</f>
        <v/>
      </c>
      <c r="L7642" s="24" t="str" cm="1">
        <f t="array" ref="L7642">IFERROR(IF($B7642=L$1, ($A7642+$C7642) - MAX(IF($B$2:$B7641=$B7642, $A$2:$A7641+$C$2:$C7641)), "")*24*60, "")</f>
        <v/>
      </c>
      <c r="M7642" s="24" t="str" cm="1">
        <f t="array" ref="M7642">IFERROR(IF($B7642=M$1, ($A7642+$C7642) - MAX(IF($B$2:$B7641=$B7642, $A$2:$A7641+$C$2:$C7641)), "")*24*60, "")</f>
        <v/>
      </c>
      <c r="N7642" s="24" t="str" cm="1">
        <f t="array" ref="N7642">IFERROR(IF($B7642=N$1, ($A7642+$C7642) - MAX(IF($B$2:$B7641=$B7642, $A$2:$A7641+$C$2:$C7641)), "")*24*60, "")</f>
        <v/>
      </c>
      <c r="O7642" s="24" t="str" cm="1">
        <f t="array" ref="O7642">IFERROR(IF($B7642=O$1, ($A7642+$C7642) - MAX(IF($B$2:$B7641=$B7642, $A$2:$A7641+$C$2:$C7641)), "")*24*60, "")</f>
        <v/>
      </c>
      <c r="P7642" s="24" t="str" cm="1">
        <f t="array" ref="P7642">IFERROR(IF($B7642=P$1, ($A7642+$C7642) - MAX(IF($B$2:$B7641=$B7642, $A$2:$A7641+$C$2:$C7641)), "")*24*60, "")</f>
        <v/>
      </c>
      <c r="Q7642" s="24" t="str" cm="1">
        <f t="array" ref="Q7642">IFERROR(IF($B7642=Q$1, ($A7642+$C7642) - MAX(IF($B$2:$B7641=$B7642, $A$2:$A7641+$C$2:$C7641)), "")*24*60, "")</f>
        <v/>
      </c>
      <c r="R7642" s="24" t="str" cm="1">
        <f t="array" ref="R7642">IFERROR(IF($B7642=R$1, ($A7642+$C7642) - MAX(IF($B$2:$B7641=$B7642, $A$2:$A7641+$C$2:$C7641)), "")*24*60, "")</f>
        <v/>
      </c>
      <c r="S7642" s="24" t="str" cm="1">
        <f t="array" ref="S7642">IFERROR(IF($B7642=S$1, ($A7642+$C7642) - MAX(IF($B$2:$B7641=$B7642, $A$2:$A7641+$C$2:$C7641)), "")*24*60, "")</f>
        <v/>
      </c>
    </row>
    <row r="7643" spans="1:19" x14ac:dyDescent="0.2">
      <c r="A7643" s="12">
        <f t="shared" ref="A7643:C7643" si="1829">A7642</f>
        <v>46015</v>
      </c>
      <c r="B7643" s="5" t="str">
        <f t="shared" si="1829"/>
        <v>Northern Cardinal</v>
      </c>
      <c r="C7643" s="6">
        <f t="shared" si="1829"/>
        <v>0.74097222222222225</v>
      </c>
      <c r="D7643" s="5"/>
      <c r="E7643" s="5"/>
      <c r="F7643" s="5" t="s">
        <v>9</v>
      </c>
      <c r="G7643" s="15" t="s">
        <v>8</v>
      </c>
      <c r="H7643" s="24">
        <f t="shared" ref="H7643:H7706" si="1830">IFERROR((($A7643+$C7643) - ($A7642+$C7642))*24*60, "")</f>
        <v>0</v>
      </c>
      <c r="I7643" s="24" cm="1">
        <f t="array" ref="I7643">IFERROR(IF($B7643=I$1, ($A7643+$C7643) - MAX(IF($B$2:$B7642=$B7643, $A$2:$A7642+$C$2:$C7642)), "")*24*60, "")</f>
        <v>0</v>
      </c>
      <c r="J7643" s="24" t="str" cm="1">
        <f t="array" ref="J7643">IFERROR(IF($B7643=J$1, ($A7643+$C7643) - MAX(IF($B$2:$B7642=$B7643, $A$2:$A7642+$C$2:$C7642)), "")*24*60, "")</f>
        <v/>
      </c>
      <c r="K7643" s="24" t="str" cm="1">
        <f t="array" ref="K7643">IFERROR(IF($B7643=K$1, ($A7643+$C7643) - MAX(IF($B$2:$B7642=$B7643, $A$2:$A7642+$C$2:$C7642)), "")*24*60, "")</f>
        <v/>
      </c>
      <c r="L7643" s="24" t="str" cm="1">
        <f t="array" ref="L7643">IFERROR(IF($B7643=L$1, ($A7643+$C7643) - MAX(IF($B$2:$B7642=$B7643, $A$2:$A7642+$C$2:$C7642)), "")*24*60, "")</f>
        <v/>
      </c>
      <c r="M7643" s="24" t="str" cm="1">
        <f t="array" ref="M7643">IFERROR(IF($B7643=M$1, ($A7643+$C7643) - MAX(IF($B$2:$B7642=$B7643, $A$2:$A7642+$C$2:$C7642)), "")*24*60, "")</f>
        <v/>
      </c>
      <c r="N7643" s="24" t="str" cm="1">
        <f t="array" ref="N7643">IFERROR(IF($B7643=N$1, ($A7643+$C7643) - MAX(IF($B$2:$B7642=$B7643, $A$2:$A7642+$C$2:$C7642)), "")*24*60, "")</f>
        <v/>
      </c>
      <c r="O7643" s="24" t="str" cm="1">
        <f t="array" ref="O7643">IFERROR(IF($B7643=O$1, ($A7643+$C7643) - MAX(IF($B$2:$B7642=$B7643, $A$2:$A7642+$C$2:$C7642)), "")*24*60, "")</f>
        <v/>
      </c>
      <c r="P7643" s="24" t="str" cm="1">
        <f t="array" ref="P7643">IFERROR(IF($B7643=P$1, ($A7643+$C7643) - MAX(IF($B$2:$B7642=$B7643, $A$2:$A7642+$C$2:$C7642)), "")*24*60, "")</f>
        <v/>
      </c>
      <c r="Q7643" s="24" t="str" cm="1">
        <f t="array" ref="Q7643">IFERROR(IF($B7643=Q$1, ($A7643+$C7643) - MAX(IF($B$2:$B7642=$B7643, $A$2:$A7642+$C$2:$C7642)), "")*24*60, "")</f>
        <v/>
      </c>
      <c r="R7643" s="24" t="str" cm="1">
        <f t="array" ref="R7643">IFERROR(IF($B7643=R$1, ($A7643+$C7643) - MAX(IF($B$2:$B7642=$B7643, $A$2:$A7642+$C$2:$C7642)), "")*24*60, "")</f>
        <v/>
      </c>
      <c r="S7643" s="24" t="str" cm="1">
        <f t="array" ref="S7643">IFERROR(IF($B7643=S$1, ($A7643+$C7643) - MAX(IF($B$2:$B7642=$B7643, $A$2:$A7642+$C$2:$C7642)), "")*24*60, "")</f>
        <v/>
      </c>
    </row>
    <row r="7644" spans="1:19" x14ac:dyDescent="0.2">
      <c r="A7644" s="12">
        <f t="shared" ref="A7644:C7644" si="1831">A7643</f>
        <v>46015</v>
      </c>
      <c r="B7644" s="5" t="str">
        <f t="shared" si="1831"/>
        <v>Northern Cardinal</v>
      </c>
      <c r="C7644" s="6">
        <f t="shared" si="1831"/>
        <v>0.74097222222222225</v>
      </c>
      <c r="D7644" s="5"/>
      <c r="E7644" s="5"/>
      <c r="F7644" s="5" t="s">
        <v>9</v>
      </c>
      <c r="G7644" s="15" t="s">
        <v>8</v>
      </c>
      <c r="H7644" s="24">
        <f t="shared" si="1830"/>
        <v>0</v>
      </c>
      <c r="I7644" s="24" cm="1">
        <f t="array" ref="I7644">IFERROR(IF($B7644=I$1, ($A7644+$C7644) - MAX(IF($B$2:$B7643=$B7644, $A$2:$A7643+$C$2:$C7643)), "")*24*60, "")</f>
        <v>0</v>
      </c>
      <c r="J7644" s="24" t="str" cm="1">
        <f t="array" ref="J7644">IFERROR(IF($B7644=J$1, ($A7644+$C7644) - MAX(IF($B$2:$B7643=$B7644, $A$2:$A7643+$C$2:$C7643)), "")*24*60, "")</f>
        <v/>
      </c>
      <c r="K7644" s="24" t="str" cm="1">
        <f t="array" ref="K7644">IFERROR(IF($B7644=K$1, ($A7644+$C7644) - MAX(IF($B$2:$B7643=$B7644, $A$2:$A7643+$C$2:$C7643)), "")*24*60, "")</f>
        <v/>
      </c>
      <c r="L7644" s="24" t="str" cm="1">
        <f t="array" ref="L7644">IFERROR(IF($B7644=L$1, ($A7644+$C7644) - MAX(IF($B$2:$B7643=$B7644, $A$2:$A7643+$C$2:$C7643)), "")*24*60, "")</f>
        <v/>
      </c>
      <c r="M7644" s="24" t="str" cm="1">
        <f t="array" ref="M7644">IFERROR(IF($B7644=M$1, ($A7644+$C7644) - MAX(IF($B$2:$B7643=$B7644, $A$2:$A7643+$C$2:$C7643)), "")*24*60, "")</f>
        <v/>
      </c>
      <c r="N7644" s="24" t="str" cm="1">
        <f t="array" ref="N7644">IFERROR(IF($B7644=N$1, ($A7644+$C7644) - MAX(IF($B$2:$B7643=$B7644, $A$2:$A7643+$C$2:$C7643)), "")*24*60, "")</f>
        <v/>
      </c>
      <c r="O7644" s="24" t="str" cm="1">
        <f t="array" ref="O7644">IFERROR(IF($B7644=O$1, ($A7644+$C7644) - MAX(IF($B$2:$B7643=$B7644, $A$2:$A7643+$C$2:$C7643)), "")*24*60, "")</f>
        <v/>
      </c>
      <c r="P7644" s="24" t="str" cm="1">
        <f t="array" ref="P7644">IFERROR(IF($B7644=P$1, ($A7644+$C7644) - MAX(IF($B$2:$B7643=$B7644, $A$2:$A7643+$C$2:$C7643)), "")*24*60, "")</f>
        <v/>
      </c>
      <c r="Q7644" s="24" t="str" cm="1">
        <f t="array" ref="Q7644">IFERROR(IF($B7644=Q$1, ($A7644+$C7644) - MAX(IF($B$2:$B7643=$B7644, $A$2:$A7643+$C$2:$C7643)), "")*24*60, "")</f>
        <v/>
      </c>
      <c r="R7644" s="24" t="str" cm="1">
        <f t="array" ref="R7644">IFERROR(IF($B7644=R$1, ($A7644+$C7644) - MAX(IF($B$2:$B7643=$B7644, $A$2:$A7643+$C$2:$C7643)), "")*24*60, "")</f>
        <v/>
      </c>
      <c r="S7644" s="24" t="str" cm="1">
        <f t="array" ref="S7644">IFERROR(IF($B7644=S$1, ($A7644+$C7644) - MAX(IF($B$2:$B7643=$B7644, $A$2:$A7643+$C$2:$C7643)), "")*24*60, "")</f>
        <v/>
      </c>
    </row>
    <row r="7645" spans="1:19" x14ac:dyDescent="0.2">
      <c r="A7645" s="12">
        <f t="shared" ref="A7645:C7645" si="1832">A7644</f>
        <v>46015</v>
      </c>
      <c r="B7645" s="5" t="str">
        <f t="shared" si="1832"/>
        <v>Northern Cardinal</v>
      </c>
      <c r="C7645" s="6">
        <f t="shared" si="1832"/>
        <v>0.74097222222222225</v>
      </c>
      <c r="D7645" s="5"/>
      <c r="E7645" s="5"/>
      <c r="F7645" s="5" t="s">
        <v>9</v>
      </c>
      <c r="G7645" s="15" t="s">
        <v>8</v>
      </c>
      <c r="H7645" s="24">
        <f t="shared" si="1830"/>
        <v>0</v>
      </c>
      <c r="I7645" s="24" cm="1">
        <f t="array" ref="I7645">IFERROR(IF($B7645=I$1, ($A7645+$C7645) - MAX(IF($B$2:$B7644=$B7645, $A$2:$A7644+$C$2:$C7644)), "")*24*60, "")</f>
        <v>0</v>
      </c>
      <c r="J7645" s="24" t="str" cm="1">
        <f t="array" ref="J7645">IFERROR(IF($B7645=J$1, ($A7645+$C7645) - MAX(IF($B$2:$B7644=$B7645, $A$2:$A7644+$C$2:$C7644)), "")*24*60, "")</f>
        <v/>
      </c>
      <c r="K7645" s="24" t="str" cm="1">
        <f t="array" ref="K7645">IFERROR(IF($B7645=K$1, ($A7645+$C7645) - MAX(IF($B$2:$B7644=$B7645, $A$2:$A7644+$C$2:$C7644)), "")*24*60, "")</f>
        <v/>
      </c>
      <c r="L7645" s="24" t="str" cm="1">
        <f t="array" ref="L7645">IFERROR(IF($B7645=L$1, ($A7645+$C7645) - MAX(IF($B$2:$B7644=$B7645, $A$2:$A7644+$C$2:$C7644)), "")*24*60, "")</f>
        <v/>
      </c>
      <c r="M7645" s="24" t="str" cm="1">
        <f t="array" ref="M7645">IFERROR(IF($B7645=M$1, ($A7645+$C7645) - MAX(IF($B$2:$B7644=$B7645, $A$2:$A7644+$C$2:$C7644)), "")*24*60, "")</f>
        <v/>
      </c>
      <c r="N7645" s="24" t="str" cm="1">
        <f t="array" ref="N7645">IFERROR(IF($B7645=N$1, ($A7645+$C7645) - MAX(IF($B$2:$B7644=$B7645, $A$2:$A7644+$C$2:$C7644)), "")*24*60, "")</f>
        <v/>
      </c>
      <c r="O7645" s="24" t="str" cm="1">
        <f t="array" ref="O7645">IFERROR(IF($B7645=O$1, ($A7645+$C7645) - MAX(IF($B$2:$B7644=$B7645, $A$2:$A7644+$C$2:$C7644)), "")*24*60, "")</f>
        <v/>
      </c>
      <c r="P7645" s="24" t="str" cm="1">
        <f t="array" ref="P7645">IFERROR(IF($B7645=P$1, ($A7645+$C7645) - MAX(IF($B$2:$B7644=$B7645, $A$2:$A7644+$C$2:$C7644)), "")*24*60, "")</f>
        <v/>
      </c>
      <c r="Q7645" s="24" t="str" cm="1">
        <f t="array" ref="Q7645">IFERROR(IF($B7645=Q$1, ($A7645+$C7645) - MAX(IF($B$2:$B7644=$B7645, $A$2:$A7644+$C$2:$C7644)), "")*24*60, "")</f>
        <v/>
      </c>
      <c r="R7645" s="24" t="str" cm="1">
        <f t="array" ref="R7645">IFERROR(IF($B7645=R$1, ($A7645+$C7645) - MAX(IF($B$2:$B7644=$B7645, $A$2:$A7644+$C$2:$C7644)), "")*24*60, "")</f>
        <v/>
      </c>
      <c r="S7645" s="24" t="str" cm="1">
        <f t="array" ref="S7645">IFERROR(IF($B7645=S$1, ($A7645+$C7645) - MAX(IF($B$2:$B7644=$B7645, $A$2:$A7644+$C$2:$C7644)), "")*24*60, "")</f>
        <v/>
      </c>
    </row>
    <row r="7646" spans="1:19" x14ac:dyDescent="0.2">
      <c r="A7646" s="12">
        <f t="shared" ref="A7646:C7646" si="1833">A7645</f>
        <v>46015</v>
      </c>
      <c r="B7646" s="5" t="str">
        <f t="shared" si="1833"/>
        <v>Northern Cardinal</v>
      </c>
      <c r="C7646" s="6">
        <f t="shared" si="1833"/>
        <v>0.74097222222222225</v>
      </c>
      <c r="D7646" s="5"/>
      <c r="E7646" s="5"/>
      <c r="F7646" s="5" t="s">
        <v>9</v>
      </c>
      <c r="G7646" s="15" t="s">
        <v>8</v>
      </c>
      <c r="H7646" s="24">
        <f t="shared" si="1830"/>
        <v>0</v>
      </c>
      <c r="I7646" s="24" cm="1">
        <f t="array" ref="I7646">IFERROR(IF($B7646=I$1, ($A7646+$C7646) - MAX(IF($B$2:$B7645=$B7646, $A$2:$A7645+$C$2:$C7645)), "")*24*60, "")</f>
        <v>0</v>
      </c>
      <c r="J7646" s="24" t="str" cm="1">
        <f t="array" ref="J7646">IFERROR(IF($B7646=J$1, ($A7646+$C7646) - MAX(IF($B$2:$B7645=$B7646, $A$2:$A7645+$C$2:$C7645)), "")*24*60, "")</f>
        <v/>
      </c>
      <c r="K7646" s="24" t="str" cm="1">
        <f t="array" ref="K7646">IFERROR(IF($B7646=K$1, ($A7646+$C7646) - MAX(IF($B$2:$B7645=$B7646, $A$2:$A7645+$C$2:$C7645)), "")*24*60, "")</f>
        <v/>
      </c>
      <c r="L7646" s="24" t="str" cm="1">
        <f t="array" ref="L7646">IFERROR(IF($B7646=L$1, ($A7646+$C7646) - MAX(IF($B$2:$B7645=$B7646, $A$2:$A7645+$C$2:$C7645)), "")*24*60, "")</f>
        <v/>
      </c>
      <c r="M7646" s="24" t="str" cm="1">
        <f t="array" ref="M7646">IFERROR(IF($B7646=M$1, ($A7646+$C7646) - MAX(IF($B$2:$B7645=$B7646, $A$2:$A7645+$C$2:$C7645)), "")*24*60, "")</f>
        <v/>
      </c>
      <c r="N7646" s="24" t="str" cm="1">
        <f t="array" ref="N7646">IFERROR(IF($B7646=N$1, ($A7646+$C7646) - MAX(IF($B$2:$B7645=$B7646, $A$2:$A7645+$C$2:$C7645)), "")*24*60, "")</f>
        <v/>
      </c>
      <c r="O7646" s="24" t="str" cm="1">
        <f t="array" ref="O7646">IFERROR(IF($B7646=O$1, ($A7646+$C7646) - MAX(IF($B$2:$B7645=$B7646, $A$2:$A7645+$C$2:$C7645)), "")*24*60, "")</f>
        <v/>
      </c>
      <c r="P7646" s="24" t="str" cm="1">
        <f t="array" ref="P7646">IFERROR(IF($B7646=P$1, ($A7646+$C7646) - MAX(IF($B$2:$B7645=$B7646, $A$2:$A7645+$C$2:$C7645)), "")*24*60, "")</f>
        <v/>
      </c>
      <c r="Q7646" s="24" t="str" cm="1">
        <f t="array" ref="Q7646">IFERROR(IF($B7646=Q$1, ($A7646+$C7646) - MAX(IF($B$2:$B7645=$B7646, $A$2:$A7645+$C$2:$C7645)), "")*24*60, "")</f>
        <v/>
      </c>
      <c r="R7646" s="24" t="str" cm="1">
        <f t="array" ref="R7646">IFERROR(IF($B7646=R$1, ($A7646+$C7646) - MAX(IF($B$2:$B7645=$B7646, $A$2:$A7645+$C$2:$C7645)), "")*24*60, "")</f>
        <v/>
      </c>
      <c r="S7646" s="24" t="str" cm="1">
        <f t="array" ref="S7646">IFERROR(IF($B7646=S$1, ($A7646+$C7646) - MAX(IF($B$2:$B7645=$B7646, $A$2:$A7645+$C$2:$C7645)), "")*24*60, "")</f>
        <v/>
      </c>
    </row>
    <row r="7647" spans="1:19" x14ac:dyDescent="0.2">
      <c r="A7647" s="12">
        <f t="shared" ref="A7647:C7647" si="1834">A7646</f>
        <v>46015</v>
      </c>
      <c r="B7647" s="5" t="str">
        <f t="shared" si="1834"/>
        <v>Northern Cardinal</v>
      </c>
      <c r="C7647" s="6">
        <f t="shared" si="1834"/>
        <v>0.74097222222222225</v>
      </c>
      <c r="D7647" s="5"/>
      <c r="E7647" s="5"/>
      <c r="F7647" s="5" t="s">
        <v>9</v>
      </c>
      <c r="G7647" s="15" t="s">
        <v>8</v>
      </c>
      <c r="H7647" s="24">
        <f t="shared" si="1830"/>
        <v>0</v>
      </c>
      <c r="I7647" s="24" cm="1">
        <f t="array" ref="I7647">IFERROR(IF($B7647=I$1, ($A7647+$C7647) - MAX(IF($B$2:$B7646=$B7647, $A$2:$A7646+$C$2:$C7646)), "")*24*60, "")</f>
        <v>0</v>
      </c>
      <c r="J7647" s="24" t="str" cm="1">
        <f t="array" ref="J7647">IFERROR(IF($B7647=J$1, ($A7647+$C7647) - MAX(IF($B$2:$B7646=$B7647, $A$2:$A7646+$C$2:$C7646)), "")*24*60, "")</f>
        <v/>
      </c>
      <c r="K7647" s="24" t="str" cm="1">
        <f t="array" ref="K7647">IFERROR(IF($B7647=K$1, ($A7647+$C7647) - MAX(IF($B$2:$B7646=$B7647, $A$2:$A7646+$C$2:$C7646)), "")*24*60, "")</f>
        <v/>
      </c>
      <c r="L7647" s="24" t="str" cm="1">
        <f t="array" ref="L7647">IFERROR(IF($B7647=L$1, ($A7647+$C7647) - MAX(IF($B$2:$B7646=$B7647, $A$2:$A7646+$C$2:$C7646)), "")*24*60, "")</f>
        <v/>
      </c>
      <c r="M7647" s="24" t="str" cm="1">
        <f t="array" ref="M7647">IFERROR(IF($B7647=M$1, ($A7647+$C7647) - MAX(IF($B$2:$B7646=$B7647, $A$2:$A7646+$C$2:$C7646)), "")*24*60, "")</f>
        <v/>
      </c>
      <c r="N7647" s="24" t="str" cm="1">
        <f t="array" ref="N7647">IFERROR(IF($B7647=N$1, ($A7647+$C7647) - MAX(IF($B$2:$B7646=$B7647, $A$2:$A7646+$C$2:$C7646)), "")*24*60, "")</f>
        <v/>
      </c>
      <c r="O7647" s="24" t="str" cm="1">
        <f t="array" ref="O7647">IFERROR(IF($B7647=O$1, ($A7647+$C7647) - MAX(IF($B$2:$B7646=$B7647, $A$2:$A7646+$C$2:$C7646)), "")*24*60, "")</f>
        <v/>
      </c>
      <c r="P7647" s="24" t="str" cm="1">
        <f t="array" ref="P7647">IFERROR(IF($B7647=P$1, ($A7647+$C7647) - MAX(IF($B$2:$B7646=$B7647, $A$2:$A7646+$C$2:$C7646)), "")*24*60, "")</f>
        <v/>
      </c>
      <c r="Q7647" s="24" t="str" cm="1">
        <f t="array" ref="Q7647">IFERROR(IF($B7647=Q$1, ($A7647+$C7647) - MAX(IF($B$2:$B7646=$B7647, $A$2:$A7646+$C$2:$C7646)), "")*24*60, "")</f>
        <v/>
      </c>
      <c r="R7647" s="24" t="str" cm="1">
        <f t="array" ref="R7647">IFERROR(IF($B7647=R$1, ($A7647+$C7647) - MAX(IF($B$2:$B7646=$B7647, $A$2:$A7646+$C$2:$C7646)), "")*24*60, "")</f>
        <v/>
      </c>
      <c r="S7647" s="24" t="str" cm="1">
        <f t="array" ref="S7647">IFERROR(IF($B7647=S$1, ($A7647+$C7647) - MAX(IF($B$2:$B7646=$B7647, $A$2:$A7646+$C$2:$C7646)), "")*24*60, "")</f>
        <v/>
      </c>
    </row>
    <row r="7648" spans="1:19" x14ac:dyDescent="0.2">
      <c r="A7648" s="12">
        <f t="shared" ref="A7648:C7648" si="1835">A7647</f>
        <v>46015</v>
      </c>
      <c r="B7648" s="5" t="str">
        <f t="shared" si="1835"/>
        <v>Northern Cardinal</v>
      </c>
      <c r="C7648" s="6">
        <f t="shared" si="1835"/>
        <v>0.74097222222222225</v>
      </c>
      <c r="D7648" s="5"/>
      <c r="E7648" s="5"/>
      <c r="F7648" s="5" t="s">
        <v>9</v>
      </c>
      <c r="G7648" s="15" t="s">
        <v>8</v>
      </c>
      <c r="H7648" s="24">
        <f t="shared" si="1830"/>
        <v>0</v>
      </c>
      <c r="I7648" s="24" cm="1">
        <f t="array" ref="I7648">IFERROR(IF($B7648=I$1, ($A7648+$C7648) - MAX(IF($B$2:$B7647=$B7648, $A$2:$A7647+$C$2:$C7647)), "")*24*60, "")</f>
        <v>0</v>
      </c>
      <c r="J7648" s="24" t="str" cm="1">
        <f t="array" ref="J7648">IFERROR(IF($B7648=J$1, ($A7648+$C7648) - MAX(IF($B$2:$B7647=$B7648, $A$2:$A7647+$C$2:$C7647)), "")*24*60, "")</f>
        <v/>
      </c>
      <c r="K7648" s="24" t="str" cm="1">
        <f t="array" ref="K7648">IFERROR(IF($B7648=K$1, ($A7648+$C7648) - MAX(IF($B$2:$B7647=$B7648, $A$2:$A7647+$C$2:$C7647)), "")*24*60, "")</f>
        <v/>
      </c>
      <c r="L7648" s="24" t="str" cm="1">
        <f t="array" ref="L7648">IFERROR(IF($B7648=L$1, ($A7648+$C7648) - MAX(IF($B$2:$B7647=$B7648, $A$2:$A7647+$C$2:$C7647)), "")*24*60, "")</f>
        <v/>
      </c>
      <c r="M7648" s="24" t="str" cm="1">
        <f t="array" ref="M7648">IFERROR(IF($B7648=M$1, ($A7648+$C7648) - MAX(IF($B$2:$B7647=$B7648, $A$2:$A7647+$C$2:$C7647)), "")*24*60, "")</f>
        <v/>
      </c>
      <c r="N7648" s="24" t="str" cm="1">
        <f t="array" ref="N7648">IFERROR(IF($B7648=N$1, ($A7648+$C7648) - MAX(IF($B$2:$B7647=$B7648, $A$2:$A7647+$C$2:$C7647)), "")*24*60, "")</f>
        <v/>
      </c>
      <c r="O7648" s="24" t="str" cm="1">
        <f t="array" ref="O7648">IFERROR(IF($B7648=O$1, ($A7648+$C7648) - MAX(IF($B$2:$B7647=$B7648, $A$2:$A7647+$C$2:$C7647)), "")*24*60, "")</f>
        <v/>
      </c>
      <c r="P7648" s="24" t="str" cm="1">
        <f t="array" ref="P7648">IFERROR(IF($B7648=P$1, ($A7648+$C7648) - MAX(IF($B$2:$B7647=$B7648, $A$2:$A7647+$C$2:$C7647)), "")*24*60, "")</f>
        <v/>
      </c>
      <c r="Q7648" s="24" t="str" cm="1">
        <f t="array" ref="Q7648">IFERROR(IF($B7648=Q$1, ($A7648+$C7648) - MAX(IF($B$2:$B7647=$B7648, $A$2:$A7647+$C$2:$C7647)), "")*24*60, "")</f>
        <v/>
      </c>
      <c r="R7648" s="24" t="str" cm="1">
        <f t="array" ref="R7648">IFERROR(IF($B7648=R$1, ($A7648+$C7648) - MAX(IF($B$2:$B7647=$B7648, $A$2:$A7647+$C$2:$C7647)), "")*24*60, "")</f>
        <v/>
      </c>
      <c r="S7648" s="24" t="str" cm="1">
        <f t="array" ref="S7648">IFERROR(IF($B7648=S$1, ($A7648+$C7648) - MAX(IF($B$2:$B7647=$B7648, $A$2:$A7647+$C$2:$C7647)), "")*24*60, "")</f>
        <v/>
      </c>
    </row>
    <row r="7649" spans="1:19" x14ac:dyDescent="0.2">
      <c r="A7649" s="12">
        <f t="shared" ref="A7649:C7649" si="1836">A7648</f>
        <v>46015</v>
      </c>
      <c r="B7649" s="5" t="str">
        <f t="shared" si="1836"/>
        <v>Northern Cardinal</v>
      </c>
      <c r="C7649" s="6">
        <f t="shared" si="1836"/>
        <v>0.74097222222222225</v>
      </c>
      <c r="D7649" s="5"/>
      <c r="E7649" s="5"/>
      <c r="F7649" s="5" t="s">
        <v>9</v>
      </c>
      <c r="G7649" s="15" t="s">
        <v>8</v>
      </c>
      <c r="H7649" s="24">
        <f t="shared" si="1830"/>
        <v>0</v>
      </c>
      <c r="I7649" s="24" cm="1">
        <f t="array" ref="I7649">IFERROR(IF($B7649=I$1, ($A7649+$C7649) - MAX(IF($B$2:$B7648=$B7649, $A$2:$A7648+$C$2:$C7648)), "")*24*60, "")</f>
        <v>0</v>
      </c>
      <c r="J7649" s="24" t="str" cm="1">
        <f t="array" ref="J7649">IFERROR(IF($B7649=J$1, ($A7649+$C7649) - MAX(IF($B$2:$B7648=$B7649, $A$2:$A7648+$C$2:$C7648)), "")*24*60, "")</f>
        <v/>
      </c>
      <c r="K7649" s="24" t="str" cm="1">
        <f t="array" ref="K7649">IFERROR(IF($B7649=K$1, ($A7649+$C7649) - MAX(IF($B$2:$B7648=$B7649, $A$2:$A7648+$C$2:$C7648)), "")*24*60, "")</f>
        <v/>
      </c>
      <c r="L7649" s="24" t="str" cm="1">
        <f t="array" ref="L7649">IFERROR(IF($B7649=L$1, ($A7649+$C7649) - MAX(IF($B$2:$B7648=$B7649, $A$2:$A7648+$C$2:$C7648)), "")*24*60, "")</f>
        <v/>
      </c>
      <c r="M7649" s="24" t="str" cm="1">
        <f t="array" ref="M7649">IFERROR(IF($B7649=M$1, ($A7649+$C7649) - MAX(IF($B$2:$B7648=$B7649, $A$2:$A7648+$C$2:$C7648)), "")*24*60, "")</f>
        <v/>
      </c>
      <c r="N7649" s="24" t="str" cm="1">
        <f t="array" ref="N7649">IFERROR(IF($B7649=N$1, ($A7649+$C7649) - MAX(IF($B$2:$B7648=$B7649, $A$2:$A7648+$C$2:$C7648)), "")*24*60, "")</f>
        <v/>
      </c>
      <c r="O7649" s="24" t="str" cm="1">
        <f t="array" ref="O7649">IFERROR(IF($B7649=O$1, ($A7649+$C7649) - MAX(IF($B$2:$B7648=$B7649, $A$2:$A7648+$C$2:$C7648)), "")*24*60, "")</f>
        <v/>
      </c>
      <c r="P7649" s="24" t="str" cm="1">
        <f t="array" ref="P7649">IFERROR(IF($B7649=P$1, ($A7649+$C7649) - MAX(IF($B$2:$B7648=$B7649, $A$2:$A7648+$C$2:$C7648)), "")*24*60, "")</f>
        <v/>
      </c>
      <c r="Q7649" s="24" t="str" cm="1">
        <f t="array" ref="Q7649">IFERROR(IF($B7649=Q$1, ($A7649+$C7649) - MAX(IF($B$2:$B7648=$B7649, $A$2:$A7648+$C$2:$C7648)), "")*24*60, "")</f>
        <v/>
      </c>
      <c r="R7649" s="24" t="str" cm="1">
        <f t="array" ref="R7649">IFERROR(IF($B7649=R$1, ($A7649+$C7649) - MAX(IF($B$2:$B7648=$B7649, $A$2:$A7648+$C$2:$C7648)), "")*24*60, "")</f>
        <v/>
      </c>
      <c r="S7649" s="24" t="str" cm="1">
        <f t="array" ref="S7649">IFERROR(IF($B7649=S$1, ($A7649+$C7649) - MAX(IF($B$2:$B7648=$B7649, $A$2:$A7648+$C$2:$C7648)), "")*24*60, "")</f>
        <v/>
      </c>
    </row>
    <row r="7650" spans="1:19" x14ac:dyDescent="0.2">
      <c r="A7650" s="12">
        <f t="shared" ref="A7650:C7650" si="1837">A7649</f>
        <v>46015</v>
      </c>
      <c r="B7650" s="5" t="str">
        <f t="shared" si="1837"/>
        <v>Northern Cardinal</v>
      </c>
      <c r="C7650" s="6">
        <f t="shared" si="1837"/>
        <v>0.74097222222222225</v>
      </c>
      <c r="D7650" s="5"/>
      <c r="E7650" s="5"/>
      <c r="F7650" s="5" t="s">
        <v>9</v>
      </c>
      <c r="G7650" s="15" t="s">
        <v>8</v>
      </c>
      <c r="H7650" s="24">
        <f t="shared" si="1830"/>
        <v>0</v>
      </c>
      <c r="I7650" s="24" cm="1">
        <f t="array" ref="I7650">IFERROR(IF($B7650=I$1, ($A7650+$C7650) - MAX(IF($B$2:$B7649=$B7650, $A$2:$A7649+$C$2:$C7649)), "")*24*60, "")</f>
        <v>0</v>
      </c>
      <c r="J7650" s="24" t="str" cm="1">
        <f t="array" ref="J7650">IFERROR(IF($B7650=J$1, ($A7650+$C7650) - MAX(IF($B$2:$B7649=$B7650, $A$2:$A7649+$C$2:$C7649)), "")*24*60, "")</f>
        <v/>
      </c>
      <c r="K7650" s="24" t="str" cm="1">
        <f t="array" ref="K7650">IFERROR(IF($B7650=K$1, ($A7650+$C7650) - MAX(IF($B$2:$B7649=$B7650, $A$2:$A7649+$C$2:$C7649)), "")*24*60, "")</f>
        <v/>
      </c>
      <c r="L7650" s="24" t="str" cm="1">
        <f t="array" ref="L7650">IFERROR(IF($B7650=L$1, ($A7650+$C7650) - MAX(IF($B$2:$B7649=$B7650, $A$2:$A7649+$C$2:$C7649)), "")*24*60, "")</f>
        <v/>
      </c>
      <c r="M7650" s="24" t="str" cm="1">
        <f t="array" ref="M7650">IFERROR(IF($B7650=M$1, ($A7650+$C7650) - MAX(IF($B$2:$B7649=$B7650, $A$2:$A7649+$C$2:$C7649)), "")*24*60, "")</f>
        <v/>
      </c>
      <c r="N7650" s="24" t="str" cm="1">
        <f t="array" ref="N7650">IFERROR(IF($B7650=N$1, ($A7650+$C7650) - MAX(IF($B$2:$B7649=$B7650, $A$2:$A7649+$C$2:$C7649)), "")*24*60, "")</f>
        <v/>
      </c>
      <c r="O7650" s="24" t="str" cm="1">
        <f t="array" ref="O7650">IFERROR(IF($B7650=O$1, ($A7650+$C7650) - MAX(IF($B$2:$B7649=$B7650, $A$2:$A7649+$C$2:$C7649)), "")*24*60, "")</f>
        <v/>
      </c>
      <c r="P7650" s="24" t="str" cm="1">
        <f t="array" ref="P7650">IFERROR(IF($B7650=P$1, ($A7650+$C7650) - MAX(IF($B$2:$B7649=$B7650, $A$2:$A7649+$C$2:$C7649)), "")*24*60, "")</f>
        <v/>
      </c>
      <c r="Q7650" s="24" t="str" cm="1">
        <f t="array" ref="Q7650">IFERROR(IF($B7650=Q$1, ($A7650+$C7650) - MAX(IF($B$2:$B7649=$B7650, $A$2:$A7649+$C$2:$C7649)), "")*24*60, "")</f>
        <v/>
      </c>
      <c r="R7650" s="24" t="str" cm="1">
        <f t="array" ref="R7650">IFERROR(IF($B7650=R$1, ($A7650+$C7650) - MAX(IF($B$2:$B7649=$B7650, $A$2:$A7649+$C$2:$C7649)), "")*24*60, "")</f>
        <v/>
      </c>
      <c r="S7650" s="24" t="str" cm="1">
        <f t="array" ref="S7650">IFERROR(IF($B7650=S$1, ($A7650+$C7650) - MAX(IF($B$2:$B7649=$B7650, $A$2:$A7649+$C$2:$C7649)), "")*24*60, "")</f>
        <v/>
      </c>
    </row>
    <row r="7651" spans="1:19" x14ac:dyDescent="0.2">
      <c r="A7651" s="12">
        <f t="shared" ref="A7651:C7651" si="1838">A7650</f>
        <v>46015</v>
      </c>
      <c r="B7651" s="5" t="str">
        <f t="shared" si="1838"/>
        <v>Northern Cardinal</v>
      </c>
      <c r="C7651" s="6">
        <f t="shared" si="1838"/>
        <v>0.74097222222222225</v>
      </c>
      <c r="D7651" s="5"/>
      <c r="E7651" s="5"/>
      <c r="F7651" s="5" t="s">
        <v>9</v>
      </c>
      <c r="G7651" s="15" t="s">
        <v>8</v>
      </c>
      <c r="H7651" s="24">
        <f t="shared" si="1830"/>
        <v>0</v>
      </c>
      <c r="I7651" s="24" cm="1">
        <f t="array" ref="I7651">IFERROR(IF($B7651=I$1, ($A7651+$C7651) - MAX(IF($B$2:$B7650=$B7651, $A$2:$A7650+$C$2:$C7650)), "")*24*60, "")</f>
        <v>0</v>
      </c>
      <c r="J7651" s="24" t="str" cm="1">
        <f t="array" ref="J7651">IFERROR(IF($B7651=J$1, ($A7651+$C7651) - MAX(IF($B$2:$B7650=$B7651, $A$2:$A7650+$C$2:$C7650)), "")*24*60, "")</f>
        <v/>
      </c>
      <c r="K7651" s="24" t="str" cm="1">
        <f t="array" ref="K7651">IFERROR(IF($B7651=K$1, ($A7651+$C7651) - MAX(IF($B$2:$B7650=$B7651, $A$2:$A7650+$C$2:$C7650)), "")*24*60, "")</f>
        <v/>
      </c>
      <c r="L7651" s="24" t="str" cm="1">
        <f t="array" ref="L7651">IFERROR(IF($B7651=L$1, ($A7651+$C7651) - MAX(IF($B$2:$B7650=$B7651, $A$2:$A7650+$C$2:$C7650)), "")*24*60, "")</f>
        <v/>
      </c>
      <c r="M7651" s="24" t="str" cm="1">
        <f t="array" ref="M7651">IFERROR(IF($B7651=M$1, ($A7651+$C7651) - MAX(IF($B$2:$B7650=$B7651, $A$2:$A7650+$C$2:$C7650)), "")*24*60, "")</f>
        <v/>
      </c>
      <c r="N7651" s="24" t="str" cm="1">
        <f t="array" ref="N7651">IFERROR(IF($B7651=N$1, ($A7651+$C7651) - MAX(IF($B$2:$B7650=$B7651, $A$2:$A7650+$C$2:$C7650)), "")*24*60, "")</f>
        <v/>
      </c>
      <c r="O7651" s="24" t="str" cm="1">
        <f t="array" ref="O7651">IFERROR(IF($B7651=O$1, ($A7651+$C7651) - MAX(IF($B$2:$B7650=$B7651, $A$2:$A7650+$C$2:$C7650)), "")*24*60, "")</f>
        <v/>
      </c>
      <c r="P7651" s="24" t="str" cm="1">
        <f t="array" ref="P7651">IFERROR(IF($B7651=P$1, ($A7651+$C7651) - MAX(IF($B$2:$B7650=$B7651, $A$2:$A7650+$C$2:$C7650)), "")*24*60, "")</f>
        <v/>
      </c>
      <c r="Q7651" s="24" t="str" cm="1">
        <f t="array" ref="Q7651">IFERROR(IF($B7651=Q$1, ($A7651+$C7651) - MAX(IF($B$2:$B7650=$B7651, $A$2:$A7650+$C$2:$C7650)), "")*24*60, "")</f>
        <v/>
      </c>
      <c r="R7651" s="24" t="str" cm="1">
        <f t="array" ref="R7651">IFERROR(IF($B7651=R$1, ($A7651+$C7651) - MAX(IF($B$2:$B7650=$B7651, $A$2:$A7650+$C$2:$C7650)), "")*24*60, "")</f>
        <v/>
      </c>
      <c r="S7651" s="24" t="str" cm="1">
        <f t="array" ref="S7651">IFERROR(IF($B7651=S$1, ($A7651+$C7651) - MAX(IF($B$2:$B7650=$B7651, $A$2:$A7650+$C$2:$C7650)), "")*24*60, "")</f>
        <v/>
      </c>
    </row>
    <row r="7652" spans="1:19" x14ac:dyDescent="0.2">
      <c r="A7652" s="12">
        <f t="shared" ref="A7652:C7652" si="1839">A7651</f>
        <v>46015</v>
      </c>
      <c r="B7652" s="5" t="str">
        <f t="shared" si="1839"/>
        <v>Northern Cardinal</v>
      </c>
      <c r="C7652" s="6">
        <f t="shared" si="1839"/>
        <v>0.74097222222222225</v>
      </c>
      <c r="D7652" s="5"/>
      <c r="E7652" s="5"/>
      <c r="F7652" s="5" t="s">
        <v>9</v>
      </c>
      <c r="G7652" s="15" t="s">
        <v>8</v>
      </c>
      <c r="H7652" s="24">
        <f t="shared" si="1830"/>
        <v>0</v>
      </c>
      <c r="I7652" s="24" cm="1">
        <f t="array" ref="I7652">IFERROR(IF($B7652=I$1, ($A7652+$C7652) - MAX(IF($B$2:$B7651=$B7652, $A$2:$A7651+$C$2:$C7651)), "")*24*60, "")</f>
        <v>0</v>
      </c>
      <c r="J7652" s="24" t="str" cm="1">
        <f t="array" ref="J7652">IFERROR(IF($B7652=J$1, ($A7652+$C7652) - MAX(IF($B$2:$B7651=$B7652, $A$2:$A7651+$C$2:$C7651)), "")*24*60, "")</f>
        <v/>
      </c>
      <c r="K7652" s="24" t="str" cm="1">
        <f t="array" ref="K7652">IFERROR(IF($B7652=K$1, ($A7652+$C7652) - MAX(IF($B$2:$B7651=$B7652, $A$2:$A7651+$C$2:$C7651)), "")*24*60, "")</f>
        <v/>
      </c>
      <c r="L7652" s="24" t="str" cm="1">
        <f t="array" ref="L7652">IFERROR(IF($B7652=L$1, ($A7652+$C7652) - MAX(IF($B$2:$B7651=$B7652, $A$2:$A7651+$C$2:$C7651)), "")*24*60, "")</f>
        <v/>
      </c>
      <c r="M7652" s="24" t="str" cm="1">
        <f t="array" ref="M7652">IFERROR(IF($B7652=M$1, ($A7652+$C7652) - MAX(IF($B$2:$B7651=$B7652, $A$2:$A7651+$C$2:$C7651)), "")*24*60, "")</f>
        <v/>
      </c>
      <c r="N7652" s="24" t="str" cm="1">
        <f t="array" ref="N7652">IFERROR(IF($B7652=N$1, ($A7652+$C7652) - MAX(IF($B$2:$B7651=$B7652, $A$2:$A7651+$C$2:$C7651)), "")*24*60, "")</f>
        <v/>
      </c>
      <c r="O7652" s="24" t="str" cm="1">
        <f t="array" ref="O7652">IFERROR(IF($B7652=O$1, ($A7652+$C7652) - MAX(IF($B$2:$B7651=$B7652, $A$2:$A7651+$C$2:$C7651)), "")*24*60, "")</f>
        <v/>
      </c>
      <c r="P7652" s="24" t="str" cm="1">
        <f t="array" ref="P7652">IFERROR(IF($B7652=P$1, ($A7652+$C7652) - MAX(IF($B$2:$B7651=$B7652, $A$2:$A7651+$C$2:$C7651)), "")*24*60, "")</f>
        <v/>
      </c>
      <c r="Q7652" s="24" t="str" cm="1">
        <f t="array" ref="Q7652">IFERROR(IF($B7652=Q$1, ($A7652+$C7652) - MAX(IF($B$2:$B7651=$B7652, $A$2:$A7651+$C$2:$C7651)), "")*24*60, "")</f>
        <v/>
      </c>
      <c r="R7652" s="24" t="str" cm="1">
        <f t="array" ref="R7652">IFERROR(IF($B7652=R$1, ($A7652+$C7652) - MAX(IF($B$2:$B7651=$B7652, $A$2:$A7651+$C$2:$C7651)), "")*24*60, "")</f>
        <v/>
      </c>
      <c r="S7652" s="24" t="str" cm="1">
        <f t="array" ref="S7652">IFERROR(IF($B7652=S$1, ($A7652+$C7652) - MAX(IF($B$2:$B7651=$B7652, $A$2:$A7651+$C$2:$C7651)), "")*24*60, "")</f>
        <v/>
      </c>
    </row>
    <row r="7653" spans="1:19" x14ac:dyDescent="0.2">
      <c r="A7653" s="12">
        <f t="shared" ref="A7653:C7653" si="1840">A7652</f>
        <v>46015</v>
      </c>
      <c r="B7653" s="5" t="str">
        <f t="shared" si="1840"/>
        <v>Northern Cardinal</v>
      </c>
      <c r="C7653" s="6">
        <f t="shared" si="1840"/>
        <v>0.74097222222222225</v>
      </c>
      <c r="D7653" s="5"/>
      <c r="E7653" s="5"/>
      <c r="F7653" s="5" t="s">
        <v>9</v>
      </c>
      <c r="G7653" s="15" t="s">
        <v>8</v>
      </c>
      <c r="H7653" s="24">
        <f t="shared" si="1830"/>
        <v>0</v>
      </c>
      <c r="I7653" s="24" cm="1">
        <f t="array" ref="I7653">IFERROR(IF($B7653=I$1, ($A7653+$C7653) - MAX(IF($B$2:$B7652=$B7653, $A$2:$A7652+$C$2:$C7652)), "")*24*60, "")</f>
        <v>0</v>
      </c>
      <c r="J7653" s="24" t="str" cm="1">
        <f t="array" ref="J7653">IFERROR(IF($B7653=J$1, ($A7653+$C7653) - MAX(IF($B$2:$B7652=$B7653, $A$2:$A7652+$C$2:$C7652)), "")*24*60, "")</f>
        <v/>
      </c>
      <c r="K7653" s="24" t="str" cm="1">
        <f t="array" ref="K7653">IFERROR(IF($B7653=K$1, ($A7653+$C7653) - MAX(IF($B$2:$B7652=$B7653, $A$2:$A7652+$C$2:$C7652)), "")*24*60, "")</f>
        <v/>
      </c>
      <c r="L7653" s="24" t="str" cm="1">
        <f t="array" ref="L7653">IFERROR(IF($B7653=L$1, ($A7653+$C7653) - MAX(IF($B$2:$B7652=$B7653, $A$2:$A7652+$C$2:$C7652)), "")*24*60, "")</f>
        <v/>
      </c>
      <c r="M7653" s="24" t="str" cm="1">
        <f t="array" ref="M7653">IFERROR(IF($B7653=M$1, ($A7653+$C7653) - MAX(IF($B$2:$B7652=$B7653, $A$2:$A7652+$C$2:$C7652)), "")*24*60, "")</f>
        <v/>
      </c>
      <c r="N7653" s="24" t="str" cm="1">
        <f t="array" ref="N7653">IFERROR(IF($B7653=N$1, ($A7653+$C7653) - MAX(IF($B$2:$B7652=$B7653, $A$2:$A7652+$C$2:$C7652)), "")*24*60, "")</f>
        <v/>
      </c>
      <c r="O7653" s="24" t="str" cm="1">
        <f t="array" ref="O7653">IFERROR(IF($B7653=O$1, ($A7653+$C7653) - MAX(IF($B$2:$B7652=$B7653, $A$2:$A7652+$C$2:$C7652)), "")*24*60, "")</f>
        <v/>
      </c>
      <c r="P7653" s="24" t="str" cm="1">
        <f t="array" ref="P7653">IFERROR(IF($B7653=P$1, ($A7653+$C7653) - MAX(IF($B$2:$B7652=$B7653, $A$2:$A7652+$C$2:$C7652)), "")*24*60, "")</f>
        <v/>
      </c>
      <c r="Q7653" s="24" t="str" cm="1">
        <f t="array" ref="Q7653">IFERROR(IF($B7653=Q$1, ($A7653+$C7653) - MAX(IF($B$2:$B7652=$B7653, $A$2:$A7652+$C$2:$C7652)), "")*24*60, "")</f>
        <v/>
      </c>
      <c r="R7653" s="24" t="str" cm="1">
        <f t="array" ref="R7653">IFERROR(IF($B7653=R$1, ($A7653+$C7653) - MAX(IF($B$2:$B7652=$B7653, $A$2:$A7652+$C$2:$C7652)), "")*24*60, "")</f>
        <v/>
      </c>
      <c r="S7653" s="24" t="str" cm="1">
        <f t="array" ref="S7653">IFERROR(IF($B7653=S$1, ($A7653+$C7653) - MAX(IF($B$2:$B7652=$B7653, $A$2:$A7652+$C$2:$C7652)), "")*24*60, "")</f>
        <v/>
      </c>
    </row>
    <row r="7654" spans="1:19" x14ac:dyDescent="0.2">
      <c r="A7654" s="12">
        <f t="shared" ref="A7654:C7654" si="1841">A7653</f>
        <v>46015</v>
      </c>
      <c r="B7654" s="5" t="str">
        <f t="shared" si="1841"/>
        <v>Northern Cardinal</v>
      </c>
      <c r="C7654" s="6">
        <f t="shared" si="1841"/>
        <v>0.74097222222222225</v>
      </c>
      <c r="D7654" s="5"/>
      <c r="E7654" s="5"/>
      <c r="F7654" s="5" t="s">
        <v>9</v>
      </c>
      <c r="G7654" s="15" t="s">
        <v>8</v>
      </c>
      <c r="H7654" s="24">
        <f t="shared" si="1830"/>
        <v>0</v>
      </c>
      <c r="I7654" s="24" cm="1">
        <f t="array" ref="I7654">IFERROR(IF($B7654=I$1, ($A7654+$C7654) - MAX(IF($B$2:$B7653=$B7654, $A$2:$A7653+$C$2:$C7653)), "")*24*60, "")</f>
        <v>0</v>
      </c>
      <c r="J7654" s="24" t="str" cm="1">
        <f t="array" ref="J7654">IFERROR(IF($B7654=J$1, ($A7654+$C7654) - MAX(IF($B$2:$B7653=$B7654, $A$2:$A7653+$C$2:$C7653)), "")*24*60, "")</f>
        <v/>
      </c>
      <c r="K7654" s="24" t="str" cm="1">
        <f t="array" ref="K7654">IFERROR(IF($B7654=K$1, ($A7654+$C7654) - MAX(IF($B$2:$B7653=$B7654, $A$2:$A7653+$C$2:$C7653)), "")*24*60, "")</f>
        <v/>
      </c>
      <c r="L7654" s="24" t="str" cm="1">
        <f t="array" ref="L7654">IFERROR(IF($B7654=L$1, ($A7654+$C7654) - MAX(IF($B$2:$B7653=$B7654, $A$2:$A7653+$C$2:$C7653)), "")*24*60, "")</f>
        <v/>
      </c>
      <c r="M7654" s="24" t="str" cm="1">
        <f t="array" ref="M7654">IFERROR(IF($B7654=M$1, ($A7654+$C7654) - MAX(IF($B$2:$B7653=$B7654, $A$2:$A7653+$C$2:$C7653)), "")*24*60, "")</f>
        <v/>
      </c>
      <c r="N7654" s="24" t="str" cm="1">
        <f t="array" ref="N7654">IFERROR(IF($B7654=N$1, ($A7654+$C7654) - MAX(IF($B$2:$B7653=$B7654, $A$2:$A7653+$C$2:$C7653)), "")*24*60, "")</f>
        <v/>
      </c>
      <c r="O7654" s="24" t="str" cm="1">
        <f t="array" ref="O7654">IFERROR(IF($B7654=O$1, ($A7654+$C7654) - MAX(IF($B$2:$B7653=$B7654, $A$2:$A7653+$C$2:$C7653)), "")*24*60, "")</f>
        <v/>
      </c>
      <c r="P7654" s="24" t="str" cm="1">
        <f t="array" ref="P7654">IFERROR(IF($B7654=P$1, ($A7654+$C7654) - MAX(IF($B$2:$B7653=$B7654, $A$2:$A7653+$C$2:$C7653)), "")*24*60, "")</f>
        <v/>
      </c>
      <c r="Q7654" s="24" t="str" cm="1">
        <f t="array" ref="Q7654">IFERROR(IF($B7654=Q$1, ($A7654+$C7654) - MAX(IF($B$2:$B7653=$B7654, $A$2:$A7653+$C$2:$C7653)), "")*24*60, "")</f>
        <v/>
      </c>
      <c r="R7654" s="24" t="str" cm="1">
        <f t="array" ref="R7654">IFERROR(IF($B7654=R$1, ($A7654+$C7654) - MAX(IF($B$2:$B7653=$B7654, $A$2:$A7653+$C$2:$C7653)), "")*24*60, "")</f>
        <v/>
      </c>
      <c r="S7654" s="24" t="str" cm="1">
        <f t="array" ref="S7654">IFERROR(IF($B7654=S$1, ($A7654+$C7654) - MAX(IF($B$2:$B7653=$B7654, $A$2:$A7653+$C$2:$C7653)), "")*24*60, "")</f>
        <v/>
      </c>
    </row>
    <row r="7655" spans="1:19" x14ac:dyDescent="0.2">
      <c r="A7655" s="12">
        <f t="shared" ref="A7655:C7655" si="1842">A7654</f>
        <v>46015</v>
      </c>
      <c r="B7655" s="5" t="str">
        <f t="shared" si="1842"/>
        <v>Northern Cardinal</v>
      </c>
      <c r="C7655" s="6">
        <f t="shared" si="1842"/>
        <v>0.74097222222222225</v>
      </c>
      <c r="D7655" s="5"/>
      <c r="E7655" s="5"/>
      <c r="F7655" s="5" t="s">
        <v>9</v>
      </c>
      <c r="G7655" s="15" t="s">
        <v>8</v>
      </c>
      <c r="H7655" s="24">
        <f t="shared" si="1830"/>
        <v>0</v>
      </c>
      <c r="I7655" s="24" cm="1">
        <f t="array" ref="I7655">IFERROR(IF($B7655=I$1, ($A7655+$C7655) - MAX(IF($B$2:$B7654=$B7655, $A$2:$A7654+$C$2:$C7654)), "")*24*60, "")</f>
        <v>0</v>
      </c>
      <c r="J7655" s="24" t="str" cm="1">
        <f t="array" ref="J7655">IFERROR(IF($B7655=J$1, ($A7655+$C7655) - MAX(IF($B$2:$B7654=$B7655, $A$2:$A7654+$C$2:$C7654)), "")*24*60, "")</f>
        <v/>
      </c>
      <c r="K7655" s="24" t="str" cm="1">
        <f t="array" ref="K7655">IFERROR(IF($B7655=K$1, ($A7655+$C7655) - MAX(IF($B$2:$B7654=$B7655, $A$2:$A7654+$C$2:$C7654)), "")*24*60, "")</f>
        <v/>
      </c>
      <c r="L7655" s="24" t="str" cm="1">
        <f t="array" ref="L7655">IFERROR(IF($B7655=L$1, ($A7655+$C7655) - MAX(IF($B$2:$B7654=$B7655, $A$2:$A7654+$C$2:$C7654)), "")*24*60, "")</f>
        <v/>
      </c>
      <c r="M7655" s="24" t="str" cm="1">
        <f t="array" ref="M7655">IFERROR(IF($B7655=M$1, ($A7655+$C7655) - MAX(IF($B$2:$B7654=$B7655, $A$2:$A7654+$C$2:$C7654)), "")*24*60, "")</f>
        <v/>
      </c>
      <c r="N7655" s="24" t="str" cm="1">
        <f t="array" ref="N7655">IFERROR(IF($B7655=N$1, ($A7655+$C7655) - MAX(IF($B$2:$B7654=$B7655, $A$2:$A7654+$C$2:$C7654)), "")*24*60, "")</f>
        <v/>
      </c>
      <c r="O7655" s="24" t="str" cm="1">
        <f t="array" ref="O7655">IFERROR(IF($B7655=O$1, ($A7655+$C7655) - MAX(IF($B$2:$B7654=$B7655, $A$2:$A7654+$C$2:$C7654)), "")*24*60, "")</f>
        <v/>
      </c>
      <c r="P7655" s="24" t="str" cm="1">
        <f t="array" ref="P7655">IFERROR(IF($B7655=P$1, ($A7655+$C7655) - MAX(IF($B$2:$B7654=$B7655, $A$2:$A7654+$C$2:$C7654)), "")*24*60, "")</f>
        <v/>
      </c>
      <c r="Q7655" s="24" t="str" cm="1">
        <f t="array" ref="Q7655">IFERROR(IF($B7655=Q$1, ($A7655+$C7655) - MAX(IF($B$2:$B7654=$B7655, $A$2:$A7654+$C$2:$C7654)), "")*24*60, "")</f>
        <v/>
      </c>
      <c r="R7655" s="24" t="str" cm="1">
        <f t="array" ref="R7655">IFERROR(IF($B7655=R$1, ($A7655+$C7655) - MAX(IF($B$2:$B7654=$B7655, $A$2:$A7654+$C$2:$C7654)), "")*24*60, "")</f>
        <v/>
      </c>
      <c r="S7655" s="24" t="str" cm="1">
        <f t="array" ref="S7655">IFERROR(IF($B7655=S$1, ($A7655+$C7655) - MAX(IF($B$2:$B7654=$B7655, $A$2:$A7654+$C$2:$C7654)), "")*24*60, "")</f>
        <v/>
      </c>
    </row>
    <row r="7656" spans="1:19" x14ac:dyDescent="0.2">
      <c r="A7656" s="12">
        <f t="shared" ref="A7656:C7656" si="1843">A7655</f>
        <v>46015</v>
      </c>
      <c r="B7656" s="5" t="str">
        <f t="shared" si="1843"/>
        <v>Northern Cardinal</v>
      </c>
      <c r="C7656" s="6">
        <f t="shared" si="1843"/>
        <v>0.74097222222222225</v>
      </c>
      <c r="D7656" s="5"/>
      <c r="E7656" s="5"/>
      <c r="F7656" s="5" t="s">
        <v>9</v>
      </c>
      <c r="G7656" s="15" t="s">
        <v>8</v>
      </c>
      <c r="H7656" s="24">
        <f t="shared" si="1830"/>
        <v>0</v>
      </c>
      <c r="I7656" s="24" cm="1">
        <f t="array" ref="I7656">IFERROR(IF($B7656=I$1, ($A7656+$C7656) - MAX(IF($B$2:$B7655=$B7656, $A$2:$A7655+$C$2:$C7655)), "")*24*60, "")</f>
        <v>0</v>
      </c>
      <c r="J7656" s="24" t="str" cm="1">
        <f t="array" ref="J7656">IFERROR(IF($B7656=J$1, ($A7656+$C7656) - MAX(IF($B$2:$B7655=$B7656, $A$2:$A7655+$C$2:$C7655)), "")*24*60, "")</f>
        <v/>
      </c>
      <c r="K7656" s="24" t="str" cm="1">
        <f t="array" ref="K7656">IFERROR(IF($B7656=K$1, ($A7656+$C7656) - MAX(IF($B$2:$B7655=$B7656, $A$2:$A7655+$C$2:$C7655)), "")*24*60, "")</f>
        <v/>
      </c>
      <c r="L7656" s="24" t="str" cm="1">
        <f t="array" ref="L7656">IFERROR(IF($B7656=L$1, ($A7656+$C7656) - MAX(IF($B$2:$B7655=$B7656, $A$2:$A7655+$C$2:$C7655)), "")*24*60, "")</f>
        <v/>
      </c>
      <c r="M7656" s="24" t="str" cm="1">
        <f t="array" ref="M7656">IFERROR(IF($B7656=M$1, ($A7656+$C7656) - MAX(IF($B$2:$B7655=$B7656, $A$2:$A7655+$C$2:$C7655)), "")*24*60, "")</f>
        <v/>
      </c>
      <c r="N7656" s="24" t="str" cm="1">
        <f t="array" ref="N7656">IFERROR(IF($B7656=N$1, ($A7656+$C7656) - MAX(IF($B$2:$B7655=$B7656, $A$2:$A7655+$C$2:$C7655)), "")*24*60, "")</f>
        <v/>
      </c>
      <c r="O7656" s="24" t="str" cm="1">
        <f t="array" ref="O7656">IFERROR(IF($B7656=O$1, ($A7656+$C7656) - MAX(IF($B$2:$B7655=$B7656, $A$2:$A7655+$C$2:$C7655)), "")*24*60, "")</f>
        <v/>
      </c>
      <c r="P7656" s="24" t="str" cm="1">
        <f t="array" ref="P7656">IFERROR(IF($B7656=P$1, ($A7656+$C7656) - MAX(IF($B$2:$B7655=$B7656, $A$2:$A7655+$C$2:$C7655)), "")*24*60, "")</f>
        <v/>
      </c>
      <c r="Q7656" s="24" t="str" cm="1">
        <f t="array" ref="Q7656">IFERROR(IF($B7656=Q$1, ($A7656+$C7656) - MAX(IF($B$2:$B7655=$B7656, $A$2:$A7655+$C$2:$C7655)), "")*24*60, "")</f>
        <v/>
      </c>
      <c r="R7656" s="24" t="str" cm="1">
        <f t="array" ref="R7656">IFERROR(IF($B7656=R$1, ($A7656+$C7656) - MAX(IF($B$2:$B7655=$B7656, $A$2:$A7655+$C$2:$C7655)), "")*24*60, "")</f>
        <v/>
      </c>
      <c r="S7656" s="24" t="str" cm="1">
        <f t="array" ref="S7656">IFERROR(IF($B7656=S$1, ($A7656+$C7656) - MAX(IF($B$2:$B7655=$B7656, $A$2:$A7655+$C$2:$C7655)), "")*24*60, "")</f>
        <v/>
      </c>
    </row>
    <row r="7657" spans="1:19" x14ac:dyDescent="0.2">
      <c r="A7657" s="12">
        <f t="shared" ref="A7657:C7657" si="1844">A7656</f>
        <v>46015</v>
      </c>
      <c r="B7657" s="5" t="str">
        <f t="shared" si="1844"/>
        <v>Northern Cardinal</v>
      </c>
      <c r="C7657" s="6">
        <f t="shared" si="1844"/>
        <v>0.74097222222222225</v>
      </c>
      <c r="D7657" s="5"/>
      <c r="E7657" s="5"/>
      <c r="F7657" s="5" t="s">
        <v>9</v>
      </c>
      <c r="G7657" s="15" t="s">
        <v>8</v>
      </c>
      <c r="H7657" s="24">
        <f t="shared" si="1830"/>
        <v>0</v>
      </c>
      <c r="I7657" s="24" cm="1">
        <f t="array" ref="I7657">IFERROR(IF($B7657=I$1, ($A7657+$C7657) - MAX(IF($B$2:$B7656=$B7657, $A$2:$A7656+$C$2:$C7656)), "")*24*60, "")</f>
        <v>0</v>
      </c>
      <c r="J7657" s="24" t="str" cm="1">
        <f t="array" ref="J7657">IFERROR(IF($B7657=J$1, ($A7657+$C7657) - MAX(IF($B$2:$B7656=$B7657, $A$2:$A7656+$C$2:$C7656)), "")*24*60, "")</f>
        <v/>
      </c>
      <c r="K7657" s="24" t="str" cm="1">
        <f t="array" ref="K7657">IFERROR(IF($B7657=K$1, ($A7657+$C7657) - MAX(IF($B$2:$B7656=$B7657, $A$2:$A7656+$C$2:$C7656)), "")*24*60, "")</f>
        <v/>
      </c>
      <c r="L7657" s="24" t="str" cm="1">
        <f t="array" ref="L7657">IFERROR(IF($B7657=L$1, ($A7657+$C7657) - MAX(IF($B$2:$B7656=$B7657, $A$2:$A7656+$C$2:$C7656)), "")*24*60, "")</f>
        <v/>
      </c>
      <c r="M7657" s="24" t="str" cm="1">
        <f t="array" ref="M7657">IFERROR(IF($B7657=M$1, ($A7657+$C7657) - MAX(IF($B$2:$B7656=$B7657, $A$2:$A7656+$C$2:$C7656)), "")*24*60, "")</f>
        <v/>
      </c>
      <c r="N7657" s="24" t="str" cm="1">
        <f t="array" ref="N7657">IFERROR(IF($B7657=N$1, ($A7657+$C7657) - MAX(IF($B$2:$B7656=$B7657, $A$2:$A7656+$C$2:$C7656)), "")*24*60, "")</f>
        <v/>
      </c>
      <c r="O7657" s="24" t="str" cm="1">
        <f t="array" ref="O7657">IFERROR(IF($B7657=O$1, ($A7657+$C7657) - MAX(IF($B$2:$B7656=$B7657, $A$2:$A7656+$C$2:$C7656)), "")*24*60, "")</f>
        <v/>
      </c>
      <c r="P7657" s="24" t="str" cm="1">
        <f t="array" ref="P7657">IFERROR(IF($B7657=P$1, ($A7657+$C7657) - MAX(IF($B$2:$B7656=$B7657, $A$2:$A7656+$C$2:$C7656)), "")*24*60, "")</f>
        <v/>
      </c>
      <c r="Q7657" s="24" t="str" cm="1">
        <f t="array" ref="Q7657">IFERROR(IF($B7657=Q$1, ($A7657+$C7657) - MAX(IF($B$2:$B7656=$B7657, $A$2:$A7656+$C$2:$C7656)), "")*24*60, "")</f>
        <v/>
      </c>
      <c r="R7657" s="24" t="str" cm="1">
        <f t="array" ref="R7657">IFERROR(IF($B7657=R$1, ($A7657+$C7657) - MAX(IF($B$2:$B7656=$B7657, $A$2:$A7656+$C$2:$C7656)), "")*24*60, "")</f>
        <v/>
      </c>
      <c r="S7657" s="24" t="str" cm="1">
        <f t="array" ref="S7657">IFERROR(IF($B7657=S$1, ($A7657+$C7657) - MAX(IF($B$2:$B7656=$B7657, $A$2:$A7656+$C$2:$C7656)), "")*24*60, "")</f>
        <v/>
      </c>
    </row>
    <row r="7658" spans="1:19" x14ac:dyDescent="0.2">
      <c r="A7658" s="12">
        <f t="shared" ref="A7658:C7658" si="1845">A7657</f>
        <v>46015</v>
      </c>
      <c r="B7658" s="5" t="str">
        <f t="shared" si="1845"/>
        <v>Northern Cardinal</v>
      </c>
      <c r="C7658" s="6">
        <f t="shared" si="1845"/>
        <v>0.74097222222222225</v>
      </c>
      <c r="D7658" s="5"/>
      <c r="E7658" s="5"/>
      <c r="F7658" s="5" t="s">
        <v>9</v>
      </c>
      <c r="G7658" s="15" t="s">
        <v>8</v>
      </c>
      <c r="H7658" s="24">
        <f t="shared" si="1830"/>
        <v>0</v>
      </c>
      <c r="I7658" s="24" cm="1">
        <f t="array" ref="I7658">IFERROR(IF($B7658=I$1, ($A7658+$C7658) - MAX(IF($B$2:$B7657=$B7658, $A$2:$A7657+$C$2:$C7657)), "")*24*60, "")</f>
        <v>0</v>
      </c>
      <c r="J7658" s="24" t="str" cm="1">
        <f t="array" ref="J7658">IFERROR(IF($B7658=J$1, ($A7658+$C7658) - MAX(IF($B$2:$B7657=$B7658, $A$2:$A7657+$C$2:$C7657)), "")*24*60, "")</f>
        <v/>
      </c>
      <c r="K7658" s="24" t="str" cm="1">
        <f t="array" ref="K7658">IFERROR(IF($B7658=K$1, ($A7658+$C7658) - MAX(IF($B$2:$B7657=$B7658, $A$2:$A7657+$C$2:$C7657)), "")*24*60, "")</f>
        <v/>
      </c>
      <c r="L7658" s="24" t="str" cm="1">
        <f t="array" ref="L7658">IFERROR(IF($B7658=L$1, ($A7658+$C7658) - MAX(IF($B$2:$B7657=$B7658, $A$2:$A7657+$C$2:$C7657)), "")*24*60, "")</f>
        <v/>
      </c>
      <c r="M7658" s="24" t="str" cm="1">
        <f t="array" ref="M7658">IFERROR(IF($B7658=M$1, ($A7658+$C7658) - MAX(IF($B$2:$B7657=$B7658, $A$2:$A7657+$C$2:$C7657)), "")*24*60, "")</f>
        <v/>
      </c>
      <c r="N7658" s="24" t="str" cm="1">
        <f t="array" ref="N7658">IFERROR(IF($B7658=N$1, ($A7658+$C7658) - MAX(IF($B$2:$B7657=$B7658, $A$2:$A7657+$C$2:$C7657)), "")*24*60, "")</f>
        <v/>
      </c>
      <c r="O7658" s="24" t="str" cm="1">
        <f t="array" ref="O7658">IFERROR(IF($B7658=O$1, ($A7658+$C7658) - MAX(IF($B$2:$B7657=$B7658, $A$2:$A7657+$C$2:$C7657)), "")*24*60, "")</f>
        <v/>
      </c>
      <c r="P7658" s="24" t="str" cm="1">
        <f t="array" ref="P7658">IFERROR(IF($B7658=P$1, ($A7658+$C7658) - MAX(IF($B$2:$B7657=$B7658, $A$2:$A7657+$C$2:$C7657)), "")*24*60, "")</f>
        <v/>
      </c>
      <c r="Q7658" s="24" t="str" cm="1">
        <f t="array" ref="Q7658">IFERROR(IF($B7658=Q$1, ($A7658+$C7658) - MAX(IF($B$2:$B7657=$B7658, $A$2:$A7657+$C$2:$C7657)), "")*24*60, "")</f>
        <v/>
      </c>
      <c r="R7658" s="24" t="str" cm="1">
        <f t="array" ref="R7658">IFERROR(IF($B7658=R$1, ($A7658+$C7658) - MAX(IF($B$2:$B7657=$B7658, $A$2:$A7657+$C$2:$C7657)), "")*24*60, "")</f>
        <v/>
      </c>
      <c r="S7658" s="24" t="str" cm="1">
        <f t="array" ref="S7658">IFERROR(IF($B7658=S$1, ($A7658+$C7658) - MAX(IF($B$2:$B7657=$B7658, $A$2:$A7657+$C$2:$C7657)), "")*24*60, "")</f>
        <v/>
      </c>
    </row>
    <row r="7659" spans="1:19" x14ac:dyDescent="0.2">
      <c r="A7659" s="12">
        <f t="shared" ref="A7659:C7659" si="1846">A7658</f>
        <v>46015</v>
      </c>
      <c r="B7659" s="5" t="str">
        <f t="shared" si="1846"/>
        <v>Northern Cardinal</v>
      </c>
      <c r="C7659" s="6">
        <f t="shared" si="1846"/>
        <v>0.74097222222222225</v>
      </c>
      <c r="D7659" s="5"/>
      <c r="E7659" s="5"/>
      <c r="F7659" s="5" t="s">
        <v>9</v>
      </c>
      <c r="G7659" s="15" t="s">
        <v>8</v>
      </c>
      <c r="H7659" s="24">
        <f t="shared" si="1830"/>
        <v>0</v>
      </c>
      <c r="I7659" s="24" cm="1">
        <f t="array" ref="I7659">IFERROR(IF($B7659=I$1, ($A7659+$C7659) - MAX(IF($B$2:$B7658=$B7659, $A$2:$A7658+$C$2:$C7658)), "")*24*60, "")</f>
        <v>0</v>
      </c>
      <c r="J7659" s="24" t="str" cm="1">
        <f t="array" ref="J7659">IFERROR(IF($B7659=J$1, ($A7659+$C7659) - MAX(IF($B$2:$B7658=$B7659, $A$2:$A7658+$C$2:$C7658)), "")*24*60, "")</f>
        <v/>
      </c>
      <c r="K7659" s="24" t="str" cm="1">
        <f t="array" ref="K7659">IFERROR(IF($B7659=K$1, ($A7659+$C7659) - MAX(IF($B$2:$B7658=$B7659, $A$2:$A7658+$C$2:$C7658)), "")*24*60, "")</f>
        <v/>
      </c>
      <c r="L7659" s="24" t="str" cm="1">
        <f t="array" ref="L7659">IFERROR(IF($B7659=L$1, ($A7659+$C7659) - MAX(IF($B$2:$B7658=$B7659, $A$2:$A7658+$C$2:$C7658)), "")*24*60, "")</f>
        <v/>
      </c>
      <c r="M7659" s="24" t="str" cm="1">
        <f t="array" ref="M7659">IFERROR(IF($B7659=M$1, ($A7659+$C7659) - MAX(IF($B$2:$B7658=$B7659, $A$2:$A7658+$C$2:$C7658)), "")*24*60, "")</f>
        <v/>
      </c>
      <c r="N7659" s="24" t="str" cm="1">
        <f t="array" ref="N7659">IFERROR(IF($B7659=N$1, ($A7659+$C7659) - MAX(IF($B$2:$B7658=$B7659, $A$2:$A7658+$C$2:$C7658)), "")*24*60, "")</f>
        <v/>
      </c>
      <c r="O7659" s="24" t="str" cm="1">
        <f t="array" ref="O7659">IFERROR(IF($B7659=O$1, ($A7659+$C7659) - MAX(IF($B$2:$B7658=$B7659, $A$2:$A7658+$C$2:$C7658)), "")*24*60, "")</f>
        <v/>
      </c>
      <c r="P7659" s="24" t="str" cm="1">
        <f t="array" ref="P7659">IFERROR(IF($B7659=P$1, ($A7659+$C7659) - MAX(IF($B$2:$B7658=$B7659, $A$2:$A7658+$C$2:$C7658)), "")*24*60, "")</f>
        <v/>
      </c>
      <c r="Q7659" s="24" t="str" cm="1">
        <f t="array" ref="Q7659">IFERROR(IF($B7659=Q$1, ($A7659+$C7659) - MAX(IF($B$2:$B7658=$B7659, $A$2:$A7658+$C$2:$C7658)), "")*24*60, "")</f>
        <v/>
      </c>
      <c r="R7659" s="24" t="str" cm="1">
        <f t="array" ref="R7659">IFERROR(IF($B7659=R$1, ($A7659+$C7659) - MAX(IF($B$2:$B7658=$B7659, $A$2:$A7658+$C$2:$C7658)), "")*24*60, "")</f>
        <v/>
      </c>
      <c r="S7659" s="24" t="str" cm="1">
        <f t="array" ref="S7659">IFERROR(IF($B7659=S$1, ($A7659+$C7659) - MAX(IF($B$2:$B7658=$B7659, $A$2:$A7658+$C$2:$C7658)), "")*24*60, "")</f>
        <v/>
      </c>
    </row>
    <row r="7660" spans="1:19" x14ac:dyDescent="0.2">
      <c r="A7660" s="12">
        <f t="shared" ref="A7660:C7660" si="1847">A7659</f>
        <v>46015</v>
      </c>
      <c r="B7660" s="5" t="str">
        <f t="shared" si="1847"/>
        <v>Northern Cardinal</v>
      </c>
      <c r="C7660" s="6">
        <f t="shared" si="1847"/>
        <v>0.74097222222222225</v>
      </c>
      <c r="D7660" s="5"/>
      <c r="E7660" s="5"/>
      <c r="F7660" s="5" t="s">
        <v>9</v>
      </c>
      <c r="G7660" s="15" t="s">
        <v>8</v>
      </c>
      <c r="H7660" s="24">
        <f t="shared" si="1830"/>
        <v>0</v>
      </c>
      <c r="I7660" s="24" cm="1">
        <f t="array" ref="I7660">IFERROR(IF($B7660=I$1, ($A7660+$C7660) - MAX(IF($B$2:$B7659=$B7660, $A$2:$A7659+$C$2:$C7659)), "")*24*60, "")</f>
        <v>0</v>
      </c>
      <c r="J7660" s="24" t="str" cm="1">
        <f t="array" ref="J7660">IFERROR(IF($B7660=J$1, ($A7660+$C7660) - MAX(IF($B$2:$B7659=$B7660, $A$2:$A7659+$C$2:$C7659)), "")*24*60, "")</f>
        <v/>
      </c>
      <c r="K7660" s="24" t="str" cm="1">
        <f t="array" ref="K7660">IFERROR(IF($B7660=K$1, ($A7660+$C7660) - MAX(IF($B$2:$B7659=$B7660, $A$2:$A7659+$C$2:$C7659)), "")*24*60, "")</f>
        <v/>
      </c>
      <c r="L7660" s="24" t="str" cm="1">
        <f t="array" ref="L7660">IFERROR(IF($B7660=L$1, ($A7660+$C7660) - MAX(IF($B$2:$B7659=$B7660, $A$2:$A7659+$C$2:$C7659)), "")*24*60, "")</f>
        <v/>
      </c>
      <c r="M7660" s="24" t="str" cm="1">
        <f t="array" ref="M7660">IFERROR(IF($B7660=M$1, ($A7660+$C7660) - MAX(IF($B$2:$B7659=$B7660, $A$2:$A7659+$C$2:$C7659)), "")*24*60, "")</f>
        <v/>
      </c>
      <c r="N7660" s="24" t="str" cm="1">
        <f t="array" ref="N7660">IFERROR(IF($B7660=N$1, ($A7660+$C7660) - MAX(IF($B$2:$B7659=$B7660, $A$2:$A7659+$C$2:$C7659)), "")*24*60, "")</f>
        <v/>
      </c>
      <c r="O7660" s="24" t="str" cm="1">
        <f t="array" ref="O7660">IFERROR(IF($B7660=O$1, ($A7660+$C7660) - MAX(IF($B$2:$B7659=$B7660, $A$2:$A7659+$C$2:$C7659)), "")*24*60, "")</f>
        <v/>
      </c>
      <c r="P7660" s="24" t="str" cm="1">
        <f t="array" ref="P7660">IFERROR(IF($B7660=P$1, ($A7660+$C7660) - MAX(IF($B$2:$B7659=$B7660, $A$2:$A7659+$C$2:$C7659)), "")*24*60, "")</f>
        <v/>
      </c>
      <c r="Q7660" s="24" t="str" cm="1">
        <f t="array" ref="Q7660">IFERROR(IF($B7660=Q$1, ($A7660+$C7660) - MAX(IF($B$2:$B7659=$B7660, $A$2:$A7659+$C$2:$C7659)), "")*24*60, "")</f>
        <v/>
      </c>
      <c r="R7660" s="24" t="str" cm="1">
        <f t="array" ref="R7660">IFERROR(IF($B7660=R$1, ($A7660+$C7660) - MAX(IF($B$2:$B7659=$B7660, $A$2:$A7659+$C$2:$C7659)), "")*24*60, "")</f>
        <v/>
      </c>
      <c r="S7660" s="24" t="str" cm="1">
        <f t="array" ref="S7660">IFERROR(IF($B7660=S$1, ($A7660+$C7660) - MAX(IF($B$2:$B7659=$B7660, $A$2:$A7659+$C$2:$C7659)), "")*24*60, "")</f>
        <v/>
      </c>
    </row>
    <row r="7661" spans="1:19" x14ac:dyDescent="0.2">
      <c r="A7661" s="12">
        <f t="shared" ref="A7661:C7661" si="1848">A7660</f>
        <v>46015</v>
      </c>
      <c r="B7661" s="5" t="str">
        <f t="shared" si="1848"/>
        <v>Northern Cardinal</v>
      </c>
      <c r="C7661" s="6">
        <f t="shared" si="1848"/>
        <v>0.74097222222222225</v>
      </c>
      <c r="D7661" s="5"/>
      <c r="E7661" s="5"/>
      <c r="F7661" s="5" t="s">
        <v>9</v>
      </c>
      <c r="G7661" s="15" t="s">
        <v>8</v>
      </c>
      <c r="H7661" s="24">
        <f t="shared" si="1830"/>
        <v>0</v>
      </c>
      <c r="I7661" s="24" cm="1">
        <f t="array" ref="I7661">IFERROR(IF($B7661=I$1, ($A7661+$C7661) - MAX(IF($B$2:$B7660=$B7661, $A$2:$A7660+$C$2:$C7660)), "")*24*60, "")</f>
        <v>0</v>
      </c>
      <c r="J7661" s="24" t="str" cm="1">
        <f t="array" ref="J7661">IFERROR(IF($B7661=J$1, ($A7661+$C7661) - MAX(IF($B$2:$B7660=$B7661, $A$2:$A7660+$C$2:$C7660)), "")*24*60, "")</f>
        <v/>
      </c>
      <c r="K7661" s="24" t="str" cm="1">
        <f t="array" ref="K7661">IFERROR(IF($B7661=K$1, ($A7661+$C7661) - MAX(IF($B$2:$B7660=$B7661, $A$2:$A7660+$C$2:$C7660)), "")*24*60, "")</f>
        <v/>
      </c>
      <c r="L7661" s="24" t="str" cm="1">
        <f t="array" ref="L7661">IFERROR(IF($B7661=L$1, ($A7661+$C7661) - MAX(IF($B$2:$B7660=$B7661, $A$2:$A7660+$C$2:$C7660)), "")*24*60, "")</f>
        <v/>
      </c>
      <c r="M7661" s="24" t="str" cm="1">
        <f t="array" ref="M7661">IFERROR(IF($B7661=M$1, ($A7661+$C7661) - MAX(IF($B$2:$B7660=$B7661, $A$2:$A7660+$C$2:$C7660)), "")*24*60, "")</f>
        <v/>
      </c>
      <c r="N7661" s="24" t="str" cm="1">
        <f t="array" ref="N7661">IFERROR(IF($B7661=N$1, ($A7661+$C7661) - MAX(IF($B$2:$B7660=$B7661, $A$2:$A7660+$C$2:$C7660)), "")*24*60, "")</f>
        <v/>
      </c>
      <c r="O7661" s="24" t="str" cm="1">
        <f t="array" ref="O7661">IFERROR(IF($B7661=O$1, ($A7661+$C7661) - MAX(IF($B$2:$B7660=$B7661, $A$2:$A7660+$C$2:$C7660)), "")*24*60, "")</f>
        <v/>
      </c>
      <c r="P7661" s="24" t="str" cm="1">
        <f t="array" ref="P7661">IFERROR(IF($B7661=P$1, ($A7661+$C7661) - MAX(IF($B$2:$B7660=$B7661, $A$2:$A7660+$C$2:$C7660)), "")*24*60, "")</f>
        <v/>
      </c>
      <c r="Q7661" s="24" t="str" cm="1">
        <f t="array" ref="Q7661">IFERROR(IF($B7661=Q$1, ($A7661+$C7661) - MAX(IF($B$2:$B7660=$B7661, $A$2:$A7660+$C$2:$C7660)), "")*24*60, "")</f>
        <v/>
      </c>
      <c r="R7661" s="24" t="str" cm="1">
        <f t="array" ref="R7661">IFERROR(IF($B7661=R$1, ($A7661+$C7661) - MAX(IF($B$2:$B7660=$B7661, $A$2:$A7660+$C$2:$C7660)), "")*24*60, "")</f>
        <v/>
      </c>
      <c r="S7661" s="24" t="str" cm="1">
        <f t="array" ref="S7661">IFERROR(IF($B7661=S$1, ($A7661+$C7661) - MAX(IF($B$2:$B7660=$B7661, $A$2:$A7660+$C$2:$C7660)), "")*24*60, "")</f>
        <v/>
      </c>
    </row>
    <row r="7662" spans="1:19" x14ac:dyDescent="0.2">
      <c r="A7662" s="12">
        <f t="shared" ref="A7662:C7662" si="1849">A7661</f>
        <v>46015</v>
      </c>
      <c r="B7662" s="5" t="str">
        <f t="shared" si="1849"/>
        <v>Northern Cardinal</v>
      </c>
      <c r="C7662" s="6">
        <f t="shared" si="1849"/>
        <v>0.74097222222222225</v>
      </c>
      <c r="D7662" s="5"/>
      <c r="E7662" s="5"/>
      <c r="F7662" s="5" t="s">
        <v>9</v>
      </c>
      <c r="G7662" s="15" t="s">
        <v>8</v>
      </c>
      <c r="H7662" s="24">
        <f t="shared" si="1830"/>
        <v>0</v>
      </c>
      <c r="I7662" s="24" cm="1">
        <f t="array" ref="I7662">IFERROR(IF($B7662=I$1, ($A7662+$C7662) - MAX(IF($B$2:$B7661=$B7662, $A$2:$A7661+$C$2:$C7661)), "")*24*60, "")</f>
        <v>0</v>
      </c>
      <c r="J7662" s="24" t="str" cm="1">
        <f t="array" ref="J7662">IFERROR(IF($B7662=J$1, ($A7662+$C7662) - MAX(IF($B$2:$B7661=$B7662, $A$2:$A7661+$C$2:$C7661)), "")*24*60, "")</f>
        <v/>
      </c>
      <c r="K7662" s="24" t="str" cm="1">
        <f t="array" ref="K7662">IFERROR(IF($B7662=K$1, ($A7662+$C7662) - MAX(IF($B$2:$B7661=$B7662, $A$2:$A7661+$C$2:$C7661)), "")*24*60, "")</f>
        <v/>
      </c>
      <c r="L7662" s="24" t="str" cm="1">
        <f t="array" ref="L7662">IFERROR(IF($B7662=L$1, ($A7662+$C7662) - MAX(IF($B$2:$B7661=$B7662, $A$2:$A7661+$C$2:$C7661)), "")*24*60, "")</f>
        <v/>
      </c>
      <c r="M7662" s="24" t="str" cm="1">
        <f t="array" ref="M7662">IFERROR(IF($B7662=M$1, ($A7662+$C7662) - MAX(IF($B$2:$B7661=$B7662, $A$2:$A7661+$C$2:$C7661)), "")*24*60, "")</f>
        <v/>
      </c>
      <c r="N7662" s="24" t="str" cm="1">
        <f t="array" ref="N7662">IFERROR(IF($B7662=N$1, ($A7662+$C7662) - MAX(IF($B$2:$B7661=$B7662, $A$2:$A7661+$C$2:$C7661)), "")*24*60, "")</f>
        <v/>
      </c>
      <c r="O7662" s="24" t="str" cm="1">
        <f t="array" ref="O7662">IFERROR(IF($B7662=O$1, ($A7662+$C7662) - MAX(IF($B$2:$B7661=$B7662, $A$2:$A7661+$C$2:$C7661)), "")*24*60, "")</f>
        <v/>
      </c>
      <c r="P7662" s="24" t="str" cm="1">
        <f t="array" ref="P7662">IFERROR(IF($B7662=P$1, ($A7662+$C7662) - MAX(IF($B$2:$B7661=$B7662, $A$2:$A7661+$C$2:$C7661)), "")*24*60, "")</f>
        <v/>
      </c>
      <c r="Q7662" s="24" t="str" cm="1">
        <f t="array" ref="Q7662">IFERROR(IF($B7662=Q$1, ($A7662+$C7662) - MAX(IF($B$2:$B7661=$B7662, $A$2:$A7661+$C$2:$C7661)), "")*24*60, "")</f>
        <v/>
      </c>
      <c r="R7662" s="24" t="str" cm="1">
        <f t="array" ref="R7662">IFERROR(IF($B7662=R$1, ($A7662+$C7662) - MAX(IF($B$2:$B7661=$B7662, $A$2:$A7661+$C$2:$C7661)), "")*24*60, "")</f>
        <v/>
      </c>
      <c r="S7662" s="24" t="str" cm="1">
        <f t="array" ref="S7662">IFERROR(IF($B7662=S$1, ($A7662+$C7662) - MAX(IF($B$2:$B7661=$B7662, $A$2:$A7661+$C$2:$C7661)), "")*24*60, "")</f>
        <v/>
      </c>
    </row>
    <row r="7663" spans="1:19" x14ac:dyDescent="0.2">
      <c r="A7663" s="12">
        <f t="shared" ref="A7663:C7663" si="1850">A7662</f>
        <v>46015</v>
      </c>
      <c r="B7663" s="5" t="str">
        <f t="shared" si="1850"/>
        <v>Northern Cardinal</v>
      </c>
      <c r="C7663" s="6">
        <f t="shared" si="1850"/>
        <v>0.74097222222222225</v>
      </c>
      <c r="D7663" s="5"/>
      <c r="E7663" s="5"/>
      <c r="F7663" s="5" t="s">
        <v>9</v>
      </c>
      <c r="G7663" s="15" t="s">
        <v>8</v>
      </c>
      <c r="H7663" s="24">
        <f t="shared" si="1830"/>
        <v>0</v>
      </c>
      <c r="I7663" s="24" cm="1">
        <f t="array" ref="I7663">IFERROR(IF($B7663=I$1, ($A7663+$C7663) - MAX(IF($B$2:$B7662=$B7663, $A$2:$A7662+$C$2:$C7662)), "")*24*60, "")</f>
        <v>0</v>
      </c>
      <c r="J7663" s="24" t="str" cm="1">
        <f t="array" ref="J7663">IFERROR(IF($B7663=J$1, ($A7663+$C7663) - MAX(IF($B$2:$B7662=$B7663, $A$2:$A7662+$C$2:$C7662)), "")*24*60, "")</f>
        <v/>
      </c>
      <c r="K7663" s="24" t="str" cm="1">
        <f t="array" ref="K7663">IFERROR(IF($B7663=K$1, ($A7663+$C7663) - MAX(IF($B$2:$B7662=$B7663, $A$2:$A7662+$C$2:$C7662)), "")*24*60, "")</f>
        <v/>
      </c>
      <c r="L7663" s="24" t="str" cm="1">
        <f t="array" ref="L7663">IFERROR(IF($B7663=L$1, ($A7663+$C7663) - MAX(IF($B$2:$B7662=$B7663, $A$2:$A7662+$C$2:$C7662)), "")*24*60, "")</f>
        <v/>
      </c>
      <c r="M7663" s="24" t="str" cm="1">
        <f t="array" ref="M7663">IFERROR(IF($B7663=M$1, ($A7663+$C7663) - MAX(IF($B$2:$B7662=$B7663, $A$2:$A7662+$C$2:$C7662)), "")*24*60, "")</f>
        <v/>
      </c>
      <c r="N7663" s="24" t="str" cm="1">
        <f t="array" ref="N7663">IFERROR(IF($B7663=N$1, ($A7663+$C7663) - MAX(IF($B$2:$B7662=$B7663, $A$2:$A7662+$C$2:$C7662)), "")*24*60, "")</f>
        <v/>
      </c>
      <c r="O7663" s="24" t="str" cm="1">
        <f t="array" ref="O7663">IFERROR(IF($B7663=O$1, ($A7663+$C7663) - MAX(IF($B$2:$B7662=$B7663, $A$2:$A7662+$C$2:$C7662)), "")*24*60, "")</f>
        <v/>
      </c>
      <c r="P7663" s="24" t="str" cm="1">
        <f t="array" ref="P7663">IFERROR(IF($B7663=P$1, ($A7663+$C7663) - MAX(IF($B$2:$B7662=$B7663, $A$2:$A7662+$C$2:$C7662)), "")*24*60, "")</f>
        <v/>
      </c>
      <c r="Q7663" s="24" t="str" cm="1">
        <f t="array" ref="Q7663">IFERROR(IF($B7663=Q$1, ($A7663+$C7663) - MAX(IF($B$2:$B7662=$B7663, $A$2:$A7662+$C$2:$C7662)), "")*24*60, "")</f>
        <v/>
      </c>
      <c r="R7663" s="24" t="str" cm="1">
        <f t="array" ref="R7663">IFERROR(IF($B7663=R$1, ($A7663+$C7663) - MAX(IF($B$2:$B7662=$B7663, $A$2:$A7662+$C$2:$C7662)), "")*24*60, "")</f>
        <v/>
      </c>
      <c r="S7663" s="24" t="str" cm="1">
        <f t="array" ref="S7663">IFERROR(IF($B7663=S$1, ($A7663+$C7663) - MAX(IF($B$2:$B7662=$B7663, $A$2:$A7662+$C$2:$C7662)), "")*24*60, "")</f>
        <v/>
      </c>
    </row>
    <row r="7664" spans="1:19" x14ac:dyDescent="0.2">
      <c r="A7664" s="12">
        <f t="shared" ref="A7664:C7664" si="1851">A7663</f>
        <v>46015</v>
      </c>
      <c r="B7664" s="5" t="str">
        <f t="shared" si="1851"/>
        <v>Northern Cardinal</v>
      </c>
      <c r="C7664" s="6">
        <f t="shared" si="1851"/>
        <v>0.74097222222222225</v>
      </c>
      <c r="D7664" s="5"/>
      <c r="E7664" s="5"/>
      <c r="F7664" s="5" t="s">
        <v>9</v>
      </c>
      <c r="G7664" s="15" t="s">
        <v>8</v>
      </c>
      <c r="H7664" s="24">
        <f t="shared" si="1830"/>
        <v>0</v>
      </c>
      <c r="I7664" s="24" cm="1">
        <f t="array" ref="I7664">IFERROR(IF($B7664=I$1, ($A7664+$C7664) - MAX(IF($B$2:$B7663=$B7664, $A$2:$A7663+$C$2:$C7663)), "")*24*60, "")</f>
        <v>0</v>
      </c>
      <c r="J7664" s="24" t="str" cm="1">
        <f t="array" ref="J7664">IFERROR(IF($B7664=J$1, ($A7664+$C7664) - MAX(IF($B$2:$B7663=$B7664, $A$2:$A7663+$C$2:$C7663)), "")*24*60, "")</f>
        <v/>
      </c>
      <c r="K7664" s="24" t="str" cm="1">
        <f t="array" ref="K7664">IFERROR(IF($B7664=K$1, ($A7664+$C7664) - MAX(IF($B$2:$B7663=$B7664, $A$2:$A7663+$C$2:$C7663)), "")*24*60, "")</f>
        <v/>
      </c>
      <c r="L7664" s="24" t="str" cm="1">
        <f t="array" ref="L7664">IFERROR(IF($B7664=L$1, ($A7664+$C7664) - MAX(IF($B$2:$B7663=$B7664, $A$2:$A7663+$C$2:$C7663)), "")*24*60, "")</f>
        <v/>
      </c>
      <c r="M7664" s="24" t="str" cm="1">
        <f t="array" ref="M7664">IFERROR(IF($B7664=M$1, ($A7664+$C7664) - MAX(IF($B$2:$B7663=$B7664, $A$2:$A7663+$C$2:$C7663)), "")*24*60, "")</f>
        <v/>
      </c>
      <c r="N7664" s="24" t="str" cm="1">
        <f t="array" ref="N7664">IFERROR(IF($B7664=N$1, ($A7664+$C7664) - MAX(IF($B$2:$B7663=$B7664, $A$2:$A7663+$C$2:$C7663)), "")*24*60, "")</f>
        <v/>
      </c>
      <c r="O7664" s="24" t="str" cm="1">
        <f t="array" ref="O7664">IFERROR(IF($B7664=O$1, ($A7664+$C7664) - MAX(IF($B$2:$B7663=$B7664, $A$2:$A7663+$C$2:$C7663)), "")*24*60, "")</f>
        <v/>
      </c>
      <c r="P7664" s="24" t="str" cm="1">
        <f t="array" ref="P7664">IFERROR(IF($B7664=P$1, ($A7664+$C7664) - MAX(IF($B$2:$B7663=$B7664, $A$2:$A7663+$C$2:$C7663)), "")*24*60, "")</f>
        <v/>
      </c>
      <c r="Q7664" s="24" t="str" cm="1">
        <f t="array" ref="Q7664">IFERROR(IF($B7664=Q$1, ($A7664+$C7664) - MAX(IF($B$2:$B7663=$B7664, $A$2:$A7663+$C$2:$C7663)), "")*24*60, "")</f>
        <v/>
      </c>
      <c r="R7664" s="24" t="str" cm="1">
        <f t="array" ref="R7664">IFERROR(IF($B7664=R$1, ($A7664+$C7664) - MAX(IF($B$2:$B7663=$B7664, $A$2:$A7663+$C$2:$C7663)), "")*24*60, "")</f>
        <v/>
      </c>
      <c r="S7664" s="24" t="str" cm="1">
        <f t="array" ref="S7664">IFERROR(IF($B7664=S$1, ($A7664+$C7664) - MAX(IF($B$2:$B7663=$B7664, $A$2:$A7663+$C$2:$C7663)), "")*24*60, "")</f>
        <v/>
      </c>
    </row>
    <row r="7665" spans="1:19" x14ac:dyDescent="0.2">
      <c r="A7665" s="12">
        <f t="shared" ref="A7665:C7665" si="1852">A7664</f>
        <v>46015</v>
      </c>
      <c r="B7665" s="5" t="str">
        <f t="shared" si="1852"/>
        <v>Northern Cardinal</v>
      </c>
      <c r="C7665" s="6">
        <f t="shared" si="1852"/>
        <v>0.74097222222222225</v>
      </c>
      <c r="D7665" s="5"/>
      <c r="E7665" s="5"/>
      <c r="F7665" s="5" t="s">
        <v>9</v>
      </c>
      <c r="G7665" s="15" t="s">
        <v>8</v>
      </c>
      <c r="H7665" s="24">
        <f t="shared" si="1830"/>
        <v>0</v>
      </c>
      <c r="I7665" s="24" cm="1">
        <f t="array" ref="I7665">IFERROR(IF($B7665=I$1, ($A7665+$C7665) - MAX(IF($B$2:$B7664=$B7665, $A$2:$A7664+$C$2:$C7664)), "")*24*60, "")</f>
        <v>0</v>
      </c>
      <c r="J7665" s="24" t="str" cm="1">
        <f t="array" ref="J7665">IFERROR(IF($B7665=J$1, ($A7665+$C7665) - MAX(IF($B$2:$B7664=$B7665, $A$2:$A7664+$C$2:$C7664)), "")*24*60, "")</f>
        <v/>
      </c>
      <c r="K7665" s="24" t="str" cm="1">
        <f t="array" ref="K7665">IFERROR(IF($B7665=K$1, ($A7665+$C7665) - MAX(IF($B$2:$B7664=$B7665, $A$2:$A7664+$C$2:$C7664)), "")*24*60, "")</f>
        <v/>
      </c>
      <c r="L7665" s="24" t="str" cm="1">
        <f t="array" ref="L7665">IFERROR(IF($B7665=L$1, ($A7665+$C7665) - MAX(IF($B$2:$B7664=$B7665, $A$2:$A7664+$C$2:$C7664)), "")*24*60, "")</f>
        <v/>
      </c>
      <c r="M7665" s="24" t="str" cm="1">
        <f t="array" ref="M7665">IFERROR(IF($B7665=M$1, ($A7665+$C7665) - MAX(IF($B$2:$B7664=$B7665, $A$2:$A7664+$C$2:$C7664)), "")*24*60, "")</f>
        <v/>
      </c>
      <c r="N7665" s="24" t="str" cm="1">
        <f t="array" ref="N7665">IFERROR(IF($B7665=N$1, ($A7665+$C7665) - MAX(IF($B$2:$B7664=$B7665, $A$2:$A7664+$C$2:$C7664)), "")*24*60, "")</f>
        <v/>
      </c>
      <c r="O7665" s="24" t="str" cm="1">
        <f t="array" ref="O7665">IFERROR(IF($B7665=O$1, ($A7665+$C7665) - MAX(IF($B$2:$B7664=$B7665, $A$2:$A7664+$C$2:$C7664)), "")*24*60, "")</f>
        <v/>
      </c>
      <c r="P7665" s="24" t="str" cm="1">
        <f t="array" ref="P7665">IFERROR(IF($B7665=P$1, ($A7665+$C7665) - MAX(IF($B$2:$B7664=$B7665, $A$2:$A7664+$C$2:$C7664)), "")*24*60, "")</f>
        <v/>
      </c>
      <c r="Q7665" s="24" t="str" cm="1">
        <f t="array" ref="Q7665">IFERROR(IF($B7665=Q$1, ($A7665+$C7665) - MAX(IF($B$2:$B7664=$B7665, $A$2:$A7664+$C$2:$C7664)), "")*24*60, "")</f>
        <v/>
      </c>
      <c r="R7665" s="24" t="str" cm="1">
        <f t="array" ref="R7665">IFERROR(IF($B7665=R$1, ($A7665+$C7665) - MAX(IF($B$2:$B7664=$B7665, $A$2:$A7664+$C$2:$C7664)), "")*24*60, "")</f>
        <v/>
      </c>
      <c r="S7665" s="24" t="str" cm="1">
        <f t="array" ref="S7665">IFERROR(IF($B7665=S$1, ($A7665+$C7665) - MAX(IF($B$2:$B7664=$B7665, $A$2:$A7664+$C$2:$C7664)), "")*24*60, "")</f>
        <v/>
      </c>
    </row>
    <row r="7666" spans="1:19" x14ac:dyDescent="0.2">
      <c r="A7666" s="12">
        <f t="shared" ref="A7666:C7666" si="1853">A7665</f>
        <v>46015</v>
      </c>
      <c r="B7666" s="5" t="str">
        <f t="shared" si="1853"/>
        <v>Northern Cardinal</v>
      </c>
      <c r="C7666" s="6">
        <f t="shared" si="1853"/>
        <v>0.74097222222222225</v>
      </c>
      <c r="D7666" s="5"/>
      <c r="E7666" s="5"/>
      <c r="F7666" s="5" t="s">
        <v>9</v>
      </c>
      <c r="G7666" s="15" t="s">
        <v>8</v>
      </c>
      <c r="H7666" s="24">
        <f t="shared" si="1830"/>
        <v>0</v>
      </c>
      <c r="I7666" s="24" cm="1">
        <f t="array" ref="I7666">IFERROR(IF($B7666=I$1, ($A7666+$C7666) - MAX(IF($B$2:$B7665=$B7666, $A$2:$A7665+$C$2:$C7665)), "")*24*60, "")</f>
        <v>0</v>
      </c>
      <c r="J7666" s="24" t="str" cm="1">
        <f t="array" ref="J7666">IFERROR(IF($B7666=J$1, ($A7666+$C7666) - MAX(IF($B$2:$B7665=$B7666, $A$2:$A7665+$C$2:$C7665)), "")*24*60, "")</f>
        <v/>
      </c>
      <c r="K7666" s="24" t="str" cm="1">
        <f t="array" ref="K7666">IFERROR(IF($B7666=K$1, ($A7666+$C7666) - MAX(IF($B$2:$B7665=$B7666, $A$2:$A7665+$C$2:$C7665)), "")*24*60, "")</f>
        <v/>
      </c>
      <c r="L7666" s="24" t="str" cm="1">
        <f t="array" ref="L7666">IFERROR(IF($B7666=L$1, ($A7666+$C7666) - MAX(IF($B$2:$B7665=$B7666, $A$2:$A7665+$C$2:$C7665)), "")*24*60, "")</f>
        <v/>
      </c>
      <c r="M7666" s="24" t="str" cm="1">
        <f t="array" ref="M7666">IFERROR(IF($B7666=M$1, ($A7666+$C7666) - MAX(IF($B$2:$B7665=$B7666, $A$2:$A7665+$C$2:$C7665)), "")*24*60, "")</f>
        <v/>
      </c>
      <c r="N7666" s="24" t="str" cm="1">
        <f t="array" ref="N7666">IFERROR(IF($B7666=N$1, ($A7666+$C7666) - MAX(IF($B$2:$B7665=$B7666, $A$2:$A7665+$C$2:$C7665)), "")*24*60, "")</f>
        <v/>
      </c>
      <c r="O7666" s="24" t="str" cm="1">
        <f t="array" ref="O7666">IFERROR(IF($B7666=O$1, ($A7666+$C7666) - MAX(IF($B$2:$B7665=$B7666, $A$2:$A7665+$C$2:$C7665)), "")*24*60, "")</f>
        <v/>
      </c>
      <c r="P7666" s="24" t="str" cm="1">
        <f t="array" ref="P7666">IFERROR(IF($B7666=P$1, ($A7666+$C7666) - MAX(IF($B$2:$B7665=$B7666, $A$2:$A7665+$C$2:$C7665)), "")*24*60, "")</f>
        <v/>
      </c>
      <c r="Q7666" s="24" t="str" cm="1">
        <f t="array" ref="Q7666">IFERROR(IF($B7666=Q$1, ($A7666+$C7666) - MAX(IF($B$2:$B7665=$B7666, $A$2:$A7665+$C$2:$C7665)), "")*24*60, "")</f>
        <v/>
      </c>
      <c r="R7666" s="24" t="str" cm="1">
        <f t="array" ref="R7666">IFERROR(IF($B7666=R$1, ($A7666+$C7666) - MAX(IF($B$2:$B7665=$B7666, $A$2:$A7665+$C$2:$C7665)), "")*24*60, "")</f>
        <v/>
      </c>
      <c r="S7666" s="24" t="str" cm="1">
        <f t="array" ref="S7666">IFERROR(IF($B7666=S$1, ($A7666+$C7666) - MAX(IF($B$2:$B7665=$B7666, $A$2:$A7665+$C$2:$C7665)), "")*24*60, "")</f>
        <v/>
      </c>
    </row>
    <row r="7667" spans="1:19" x14ac:dyDescent="0.2">
      <c r="A7667" s="12">
        <f t="shared" ref="A7667:C7667" si="1854">A7666</f>
        <v>46015</v>
      </c>
      <c r="B7667" s="5" t="str">
        <f t="shared" si="1854"/>
        <v>Northern Cardinal</v>
      </c>
      <c r="C7667" s="6">
        <f t="shared" si="1854"/>
        <v>0.74097222222222225</v>
      </c>
      <c r="D7667" s="5"/>
      <c r="E7667" s="5"/>
      <c r="F7667" s="5" t="s">
        <v>9</v>
      </c>
      <c r="G7667" s="15" t="s">
        <v>8</v>
      </c>
      <c r="H7667" s="24">
        <f t="shared" si="1830"/>
        <v>0</v>
      </c>
      <c r="I7667" s="24" cm="1">
        <f t="array" ref="I7667">IFERROR(IF($B7667=I$1, ($A7667+$C7667) - MAX(IF($B$2:$B7666=$B7667, $A$2:$A7666+$C$2:$C7666)), "")*24*60, "")</f>
        <v>0</v>
      </c>
      <c r="J7667" s="24" t="str" cm="1">
        <f t="array" ref="J7667">IFERROR(IF($B7667=J$1, ($A7667+$C7667) - MAX(IF($B$2:$B7666=$B7667, $A$2:$A7666+$C$2:$C7666)), "")*24*60, "")</f>
        <v/>
      </c>
      <c r="K7667" s="24" t="str" cm="1">
        <f t="array" ref="K7667">IFERROR(IF($B7667=K$1, ($A7667+$C7667) - MAX(IF($B$2:$B7666=$B7667, $A$2:$A7666+$C$2:$C7666)), "")*24*60, "")</f>
        <v/>
      </c>
      <c r="L7667" s="24" t="str" cm="1">
        <f t="array" ref="L7667">IFERROR(IF($B7667=L$1, ($A7667+$C7667) - MAX(IF($B$2:$B7666=$B7667, $A$2:$A7666+$C$2:$C7666)), "")*24*60, "")</f>
        <v/>
      </c>
      <c r="M7667" s="24" t="str" cm="1">
        <f t="array" ref="M7667">IFERROR(IF($B7667=M$1, ($A7667+$C7667) - MAX(IF($B$2:$B7666=$B7667, $A$2:$A7666+$C$2:$C7666)), "")*24*60, "")</f>
        <v/>
      </c>
      <c r="N7667" s="24" t="str" cm="1">
        <f t="array" ref="N7667">IFERROR(IF($B7667=N$1, ($A7667+$C7667) - MAX(IF($B$2:$B7666=$B7667, $A$2:$A7666+$C$2:$C7666)), "")*24*60, "")</f>
        <v/>
      </c>
      <c r="O7667" s="24" t="str" cm="1">
        <f t="array" ref="O7667">IFERROR(IF($B7667=O$1, ($A7667+$C7667) - MAX(IF($B$2:$B7666=$B7667, $A$2:$A7666+$C$2:$C7666)), "")*24*60, "")</f>
        <v/>
      </c>
      <c r="P7667" s="24" t="str" cm="1">
        <f t="array" ref="P7667">IFERROR(IF($B7667=P$1, ($A7667+$C7667) - MAX(IF($B$2:$B7666=$B7667, $A$2:$A7666+$C$2:$C7666)), "")*24*60, "")</f>
        <v/>
      </c>
      <c r="Q7667" s="24" t="str" cm="1">
        <f t="array" ref="Q7667">IFERROR(IF($B7667=Q$1, ($A7667+$C7667) - MAX(IF($B$2:$B7666=$B7667, $A$2:$A7666+$C$2:$C7666)), "")*24*60, "")</f>
        <v/>
      </c>
      <c r="R7667" s="24" t="str" cm="1">
        <f t="array" ref="R7667">IFERROR(IF($B7667=R$1, ($A7667+$C7667) - MAX(IF($B$2:$B7666=$B7667, $A$2:$A7666+$C$2:$C7666)), "")*24*60, "")</f>
        <v/>
      </c>
      <c r="S7667" s="24" t="str" cm="1">
        <f t="array" ref="S7667">IFERROR(IF($B7667=S$1, ($A7667+$C7667) - MAX(IF($B$2:$B7666=$B7667, $A$2:$A7666+$C$2:$C7666)), "")*24*60, "")</f>
        <v/>
      </c>
    </row>
    <row r="7668" spans="1:19" x14ac:dyDescent="0.2">
      <c r="A7668" s="12">
        <f t="shared" ref="A7668:C7668" si="1855">A7667</f>
        <v>46015</v>
      </c>
      <c r="B7668" s="5" t="str">
        <f t="shared" si="1855"/>
        <v>Northern Cardinal</v>
      </c>
      <c r="C7668" s="6">
        <f t="shared" si="1855"/>
        <v>0.74097222222222225</v>
      </c>
      <c r="D7668" s="5"/>
      <c r="E7668" s="5"/>
      <c r="F7668" s="5" t="s">
        <v>9</v>
      </c>
      <c r="G7668" s="15" t="s">
        <v>8</v>
      </c>
      <c r="H7668" s="24">
        <f t="shared" si="1830"/>
        <v>0</v>
      </c>
      <c r="I7668" s="24" cm="1">
        <f t="array" ref="I7668">IFERROR(IF($B7668=I$1, ($A7668+$C7668) - MAX(IF($B$2:$B7667=$B7668, $A$2:$A7667+$C$2:$C7667)), "")*24*60, "")</f>
        <v>0</v>
      </c>
      <c r="J7668" s="24" t="str" cm="1">
        <f t="array" ref="J7668">IFERROR(IF($B7668=J$1, ($A7668+$C7668) - MAX(IF($B$2:$B7667=$B7668, $A$2:$A7667+$C$2:$C7667)), "")*24*60, "")</f>
        <v/>
      </c>
      <c r="K7668" s="24" t="str" cm="1">
        <f t="array" ref="K7668">IFERROR(IF($B7668=K$1, ($A7668+$C7668) - MAX(IF($B$2:$B7667=$B7668, $A$2:$A7667+$C$2:$C7667)), "")*24*60, "")</f>
        <v/>
      </c>
      <c r="L7668" s="24" t="str" cm="1">
        <f t="array" ref="L7668">IFERROR(IF($B7668=L$1, ($A7668+$C7668) - MAX(IF($B$2:$B7667=$B7668, $A$2:$A7667+$C$2:$C7667)), "")*24*60, "")</f>
        <v/>
      </c>
      <c r="M7668" s="24" t="str" cm="1">
        <f t="array" ref="M7668">IFERROR(IF($B7668=M$1, ($A7668+$C7668) - MAX(IF($B$2:$B7667=$B7668, $A$2:$A7667+$C$2:$C7667)), "")*24*60, "")</f>
        <v/>
      </c>
      <c r="N7668" s="24" t="str" cm="1">
        <f t="array" ref="N7668">IFERROR(IF($B7668=N$1, ($A7668+$C7668) - MAX(IF($B$2:$B7667=$B7668, $A$2:$A7667+$C$2:$C7667)), "")*24*60, "")</f>
        <v/>
      </c>
      <c r="O7668" s="24" t="str" cm="1">
        <f t="array" ref="O7668">IFERROR(IF($B7668=O$1, ($A7668+$C7668) - MAX(IF($B$2:$B7667=$B7668, $A$2:$A7667+$C$2:$C7667)), "")*24*60, "")</f>
        <v/>
      </c>
      <c r="P7668" s="24" t="str" cm="1">
        <f t="array" ref="P7668">IFERROR(IF($B7668=P$1, ($A7668+$C7668) - MAX(IF($B$2:$B7667=$B7668, $A$2:$A7667+$C$2:$C7667)), "")*24*60, "")</f>
        <v/>
      </c>
      <c r="Q7668" s="24" t="str" cm="1">
        <f t="array" ref="Q7668">IFERROR(IF($B7668=Q$1, ($A7668+$C7668) - MAX(IF($B$2:$B7667=$B7668, $A$2:$A7667+$C$2:$C7667)), "")*24*60, "")</f>
        <v/>
      </c>
      <c r="R7668" s="24" t="str" cm="1">
        <f t="array" ref="R7668">IFERROR(IF($B7668=R$1, ($A7668+$C7668) - MAX(IF($B$2:$B7667=$B7668, $A$2:$A7667+$C$2:$C7667)), "")*24*60, "")</f>
        <v/>
      </c>
      <c r="S7668" s="24" t="str" cm="1">
        <f t="array" ref="S7668">IFERROR(IF($B7668=S$1, ($A7668+$C7668) - MAX(IF($B$2:$B7667=$B7668, $A$2:$A7667+$C$2:$C7667)), "")*24*60, "")</f>
        <v/>
      </c>
    </row>
    <row r="7669" spans="1:19" x14ac:dyDescent="0.2">
      <c r="A7669" s="12">
        <f t="shared" ref="A7669:C7669" si="1856">A7668</f>
        <v>46015</v>
      </c>
      <c r="B7669" s="5" t="str">
        <f t="shared" si="1856"/>
        <v>Northern Cardinal</v>
      </c>
      <c r="C7669" s="6">
        <f t="shared" si="1856"/>
        <v>0.74097222222222225</v>
      </c>
      <c r="D7669" s="5"/>
      <c r="E7669" s="5"/>
      <c r="F7669" s="5" t="s">
        <v>9</v>
      </c>
      <c r="G7669" s="15" t="s">
        <v>8</v>
      </c>
      <c r="H7669" s="24">
        <f t="shared" si="1830"/>
        <v>0</v>
      </c>
      <c r="I7669" s="24" cm="1">
        <f t="array" ref="I7669">IFERROR(IF($B7669=I$1, ($A7669+$C7669) - MAX(IF($B$2:$B7668=$B7669, $A$2:$A7668+$C$2:$C7668)), "")*24*60, "")</f>
        <v>0</v>
      </c>
      <c r="J7669" s="24" t="str" cm="1">
        <f t="array" ref="J7669">IFERROR(IF($B7669=J$1, ($A7669+$C7669) - MAX(IF($B$2:$B7668=$B7669, $A$2:$A7668+$C$2:$C7668)), "")*24*60, "")</f>
        <v/>
      </c>
      <c r="K7669" s="24" t="str" cm="1">
        <f t="array" ref="K7669">IFERROR(IF($B7669=K$1, ($A7669+$C7669) - MAX(IF($B$2:$B7668=$B7669, $A$2:$A7668+$C$2:$C7668)), "")*24*60, "")</f>
        <v/>
      </c>
      <c r="L7669" s="24" t="str" cm="1">
        <f t="array" ref="L7669">IFERROR(IF($B7669=L$1, ($A7669+$C7669) - MAX(IF($B$2:$B7668=$B7669, $A$2:$A7668+$C$2:$C7668)), "")*24*60, "")</f>
        <v/>
      </c>
      <c r="M7669" s="24" t="str" cm="1">
        <f t="array" ref="M7669">IFERROR(IF($B7669=M$1, ($A7669+$C7669) - MAX(IF($B$2:$B7668=$B7669, $A$2:$A7668+$C$2:$C7668)), "")*24*60, "")</f>
        <v/>
      </c>
      <c r="N7669" s="24" t="str" cm="1">
        <f t="array" ref="N7669">IFERROR(IF($B7669=N$1, ($A7669+$C7669) - MAX(IF($B$2:$B7668=$B7669, $A$2:$A7668+$C$2:$C7668)), "")*24*60, "")</f>
        <v/>
      </c>
      <c r="O7669" s="24" t="str" cm="1">
        <f t="array" ref="O7669">IFERROR(IF($B7669=O$1, ($A7669+$C7669) - MAX(IF($B$2:$B7668=$B7669, $A$2:$A7668+$C$2:$C7668)), "")*24*60, "")</f>
        <v/>
      </c>
      <c r="P7669" s="24" t="str" cm="1">
        <f t="array" ref="P7669">IFERROR(IF($B7669=P$1, ($A7669+$C7669) - MAX(IF($B$2:$B7668=$B7669, $A$2:$A7668+$C$2:$C7668)), "")*24*60, "")</f>
        <v/>
      </c>
      <c r="Q7669" s="24" t="str" cm="1">
        <f t="array" ref="Q7669">IFERROR(IF($B7669=Q$1, ($A7669+$C7669) - MAX(IF($B$2:$B7668=$B7669, $A$2:$A7668+$C$2:$C7668)), "")*24*60, "")</f>
        <v/>
      </c>
      <c r="R7669" s="24" t="str" cm="1">
        <f t="array" ref="R7669">IFERROR(IF($B7669=R$1, ($A7669+$C7669) - MAX(IF($B$2:$B7668=$B7669, $A$2:$A7668+$C$2:$C7668)), "")*24*60, "")</f>
        <v/>
      </c>
      <c r="S7669" s="24" t="str" cm="1">
        <f t="array" ref="S7669">IFERROR(IF($B7669=S$1, ($A7669+$C7669) - MAX(IF($B$2:$B7668=$B7669, $A$2:$A7668+$C$2:$C7668)), "")*24*60, "")</f>
        <v/>
      </c>
    </row>
    <row r="7670" spans="1:19" x14ac:dyDescent="0.2">
      <c r="A7670" s="12">
        <f t="shared" ref="A7670:C7670" si="1857">A7669</f>
        <v>46015</v>
      </c>
      <c r="B7670" s="5" t="str">
        <f t="shared" si="1857"/>
        <v>Northern Cardinal</v>
      </c>
      <c r="C7670" s="6">
        <f t="shared" si="1857"/>
        <v>0.74097222222222225</v>
      </c>
      <c r="D7670" s="5"/>
      <c r="E7670" s="5"/>
      <c r="F7670" s="5" t="s">
        <v>9</v>
      </c>
      <c r="G7670" s="15" t="s">
        <v>8</v>
      </c>
      <c r="H7670" s="24">
        <f t="shared" si="1830"/>
        <v>0</v>
      </c>
      <c r="I7670" s="24" cm="1">
        <f t="array" ref="I7670">IFERROR(IF($B7670=I$1, ($A7670+$C7670) - MAX(IF($B$2:$B7669=$B7670, $A$2:$A7669+$C$2:$C7669)), "")*24*60, "")</f>
        <v>0</v>
      </c>
      <c r="J7670" s="24" t="str" cm="1">
        <f t="array" ref="J7670">IFERROR(IF($B7670=J$1, ($A7670+$C7670) - MAX(IF($B$2:$B7669=$B7670, $A$2:$A7669+$C$2:$C7669)), "")*24*60, "")</f>
        <v/>
      </c>
      <c r="K7670" s="24" t="str" cm="1">
        <f t="array" ref="K7670">IFERROR(IF($B7670=K$1, ($A7670+$C7670) - MAX(IF($B$2:$B7669=$B7670, $A$2:$A7669+$C$2:$C7669)), "")*24*60, "")</f>
        <v/>
      </c>
      <c r="L7670" s="24" t="str" cm="1">
        <f t="array" ref="L7670">IFERROR(IF($B7670=L$1, ($A7670+$C7670) - MAX(IF($B$2:$B7669=$B7670, $A$2:$A7669+$C$2:$C7669)), "")*24*60, "")</f>
        <v/>
      </c>
      <c r="M7670" s="24" t="str" cm="1">
        <f t="array" ref="M7670">IFERROR(IF($B7670=M$1, ($A7670+$C7670) - MAX(IF($B$2:$B7669=$B7670, $A$2:$A7669+$C$2:$C7669)), "")*24*60, "")</f>
        <v/>
      </c>
      <c r="N7670" s="24" t="str" cm="1">
        <f t="array" ref="N7670">IFERROR(IF($B7670=N$1, ($A7670+$C7670) - MAX(IF($B$2:$B7669=$B7670, $A$2:$A7669+$C$2:$C7669)), "")*24*60, "")</f>
        <v/>
      </c>
      <c r="O7670" s="24" t="str" cm="1">
        <f t="array" ref="O7670">IFERROR(IF($B7670=O$1, ($A7670+$C7670) - MAX(IF($B$2:$B7669=$B7670, $A$2:$A7669+$C$2:$C7669)), "")*24*60, "")</f>
        <v/>
      </c>
      <c r="P7670" s="24" t="str" cm="1">
        <f t="array" ref="P7670">IFERROR(IF($B7670=P$1, ($A7670+$C7670) - MAX(IF($B$2:$B7669=$B7670, $A$2:$A7669+$C$2:$C7669)), "")*24*60, "")</f>
        <v/>
      </c>
      <c r="Q7670" s="24" t="str" cm="1">
        <f t="array" ref="Q7670">IFERROR(IF($B7670=Q$1, ($A7670+$C7670) - MAX(IF($B$2:$B7669=$B7670, $A$2:$A7669+$C$2:$C7669)), "")*24*60, "")</f>
        <v/>
      </c>
      <c r="R7670" s="24" t="str" cm="1">
        <f t="array" ref="R7670">IFERROR(IF($B7670=R$1, ($A7670+$C7670) - MAX(IF($B$2:$B7669=$B7670, $A$2:$A7669+$C$2:$C7669)), "")*24*60, "")</f>
        <v/>
      </c>
      <c r="S7670" s="24" t="str" cm="1">
        <f t="array" ref="S7670">IFERROR(IF($B7670=S$1, ($A7670+$C7670) - MAX(IF($B$2:$B7669=$B7670, $A$2:$A7669+$C$2:$C7669)), "")*24*60, "")</f>
        <v/>
      </c>
    </row>
    <row r="7671" spans="1:19" x14ac:dyDescent="0.2">
      <c r="A7671" s="12">
        <f t="shared" ref="A7671:C7671" si="1858">A7670</f>
        <v>46015</v>
      </c>
      <c r="B7671" s="5" t="str">
        <f t="shared" si="1858"/>
        <v>Northern Cardinal</v>
      </c>
      <c r="C7671" s="6">
        <f t="shared" si="1858"/>
        <v>0.74097222222222225</v>
      </c>
      <c r="D7671" s="5"/>
      <c r="E7671" s="5"/>
      <c r="F7671" s="5" t="s">
        <v>9</v>
      </c>
      <c r="G7671" s="15" t="s">
        <v>8</v>
      </c>
      <c r="H7671" s="24">
        <f t="shared" si="1830"/>
        <v>0</v>
      </c>
      <c r="I7671" s="24" cm="1">
        <f t="array" ref="I7671">IFERROR(IF($B7671=I$1, ($A7671+$C7671) - MAX(IF($B$2:$B7670=$B7671, $A$2:$A7670+$C$2:$C7670)), "")*24*60, "")</f>
        <v>0</v>
      </c>
      <c r="J7671" s="24" t="str" cm="1">
        <f t="array" ref="J7671">IFERROR(IF($B7671=J$1, ($A7671+$C7671) - MAX(IF($B$2:$B7670=$B7671, $A$2:$A7670+$C$2:$C7670)), "")*24*60, "")</f>
        <v/>
      </c>
      <c r="K7671" s="24" t="str" cm="1">
        <f t="array" ref="K7671">IFERROR(IF($B7671=K$1, ($A7671+$C7671) - MAX(IF($B$2:$B7670=$B7671, $A$2:$A7670+$C$2:$C7670)), "")*24*60, "")</f>
        <v/>
      </c>
      <c r="L7671" s="24" t="str" cm="1">
        <f t="array" ref="L7671">IFERROR(IF($B7671=L$1, ($A7671+$C7671) - MAX(IF($B$2:$B7670=$B7671, $A$2:$A7670+$C$2:$C7670)), "")*24*60, "")</f>
        <v/>
      </c>
      <c r="M7671" s="24" t="str" cm="1">
        <f t="array" ref="M7671">IFERROR(IF($B7671=M$1, ($A7671+$C7671) - MAX(IF($B$2:$B7670=$B7671, $A$2:$A7670+$C$2:$C7670)), "")*24*60, "")</f>
        <v/>
      </c>
      <c r="N7671" s="24" t="str" cm="1">
        <f t="array" ref="N7671">IFERROR(IF($B7671=N$1, ($A7671+$C7671) - MAX(IF($B$2:$B7670=$B7671, $A$2:$A7670+$C$2:$C7670)), "")*24*60, "")</f>
        <v/>
      </c>
      <c r="O7671" s="24" t="str" cm="1">
        <f t="array" ref="O7671">IFERROR(IF($B7671=O$1, ($A7671+$C7671) - MAX(IF($B$2:$B7670=$B7671, $A$2:$A7670+$C$2:$C7670)), "")*24*60, "")</f>
        <v/>
      </c>
      <c r="P7671" s="24" t="str" cm="1">
        <f t="array" ref="P7671">IFERROR(IF($B7671=P$1, ($A7671+$C7671) - MAX(IF($B$2:$B7670=$B7671, $A$2:$A7670+$C$2:$C7670)), "")*24*60, "")</f>
        <v/>
      </c>
      <c r="Q7671" s="24" t="str" cm="1">
        <f t="array" ref="Q7671">IFERROR(IF($B7671=Q$1, ($A7671+$C7671) - MAX(IF($B$2:$B7670=$B7671, $A$2:$A7670+$C$2:$C7670)), "")*24*60, "")</f>
        <v/>
      </c>
      <c r="R7671" s="24" t="str" cm="1">
        <f t="array" ref="R7671">IFERROR(IF($B7671=R$1, ($A7671+$C7671) - MAX(IF($B$2:$B7670=$B7671, $A$2:$A7670+$C$2:$C7670)), "")*24*60, "")</f>
        <v/>
      </c>
      <c r="S7671" s="24" t="str" cm="1">
        <f t="array" ref="S7671">IFERROR(IF($B7671=S$1, ($A7671+$C7671) - MAX(IF($B$2:$B7670=$B7671, $A$2:$A7670+$C$2:$C7670)), "")*24*60, "")</f>
        <v/>
      </c>
    </row>
    <row r="7672" spans="1:19" x14ac:dyDescent="0.2">
      <c r="A7672" s="12">
        <f t="shared" ref="A7672:C7672" si="1859">A7671</f>
        <v>46015</v>
      </c>
      <c r="B7672" s="5" t="str">
        <f t="shared" si="1859"/>
        <v>Northern Cardinal</v>
      </c>
      <c r="C7672" s="6">
        <f t="shared" si="1859"/>
        <v>0.74097222222222225</v>
      </c>
      <c r="D7672" s="5"/>
      <c r="E7672" s="5"/>
      <c r="F7672" s="5" t="s">
        <v>9</v>
      </c>
      <c r="G7672" s="15" t="s">
        <v>8</v>
      </c>
      <c r="H7672" s="24">
        <f t="shared" si="1830"/>
        <v>0</v>
      </c>
      <c r="I7672" s="24" cm="1">
        <f t="array" ref="I7672">IFERROR(IF($B7672=I$1, ($A7672+$C7672) - MAX(IF($B$2:$B7671=$B7672, $A$2:$A7671+$C$2:$C7671)), "")*24*60, "")</f>
        <v>0</v>
      </c>
      <c r="J7672" s="24" t="str" cm="1">
        <f t="array" ref="J7672">IFERROR(IF($B7672=J$1, ($A7672+$C7672) - MAX(IF($B$2:$B7671=$B7672, $A$2:$A7671+$C$2:$C7671)), "")*24*60, "")</f>
        <v/>
      </c>
      <c r="K7672" s="24" t="str" cm="1">
        <f t="array" ref="K7672">IFERROR(IF($B7672=K$1, ($A7672+$C7672) - MAX(IF($B$2:$B7671=$B7672, $A$2:$A7671+$C$2:$C7671)), "")*24*60, "")</f>
        <v/>
      </c>
      <c r="L7672" s="24" t="str" cm="1">
        <f t="array" ref="L7672">IFERROR(IF($B7672=L$1, ($A7672+$C7672) - MAX(IF($B$2:$B7671=$B7672, $A$2:$A7671+$C$2:$C7671)), "")*24*60, "")</f>
        <v/>
      </c>
      <c r="M7672" s="24" t="str" cm="1">
        <f t="array" ref="M7672">IFERROR(IF($B7672=M$1, ($A7672+$C7672) - MAX(IF($B$2:$B7671=$B7672, $A$2:$A7671+$C$2:$C7671)), "")*24*60, "")</f>
        <v/>
      </c>
      <c r="N7672" s="24" t="str" cm="1">
        <f t="array" ref="N7672">IFERROR(IF($B7672=N$1, ($A7672+$C7672) - MAX(IF($B$2:$B7671=$B7672, $A$2:$A7671+$C$2:$C7671)), "")*24*60, "")</f>
        <v/>
      </c>
      <c r="O7672" s="24" t="str" cm="1">
        <f t="array" ref="O7672">IFERROR(IF($B7672=O$1, ($A7672+$C7672) - MAX(IF($B$2:$B7671=$B7672, $A$2:$A7671+$C$2:$C7671)), "")*24*60, "")</f>
        <v/>
      </c>
      <c r="P7672" s="24" t="str" cm="1">
        <f t="array" ref="P7672">IFERROR(IF($B7672=P$1, ($A7672+$C7672) - MAX(IF($B$2:$B7671=$B7672, $A$2:$A7671+$C$2:$C7671)), "")*24*60, "")</f>
        <v/>
      </c>
      <c r="Q7672" s="24" t="str" cm="1">
        <f t="array" ref="Q7672">IFERROR(IF($B7672=Q$1, ($A7672+$C7672) - MAX(IF($B$2:$B7671=$B7672, $A$2:$A7671+$C$2:$C7671)), "")*24*60, "")</f>
        <v/>
      </c>
      <c r="R7672" s="24" t="str" cm="1">
        <f t="array" ref="R7672">IFERROR(IF($B7672=R$1, ($A7672+$C7672) - MAX(IF($B$2:$B7671=$B7672, $A$2:$A7671+$C$2:$C7671)), "")*24*60, "")</f>
        <v/>
      </c>
      <c r="S7672" s="24" t="str" cm="1">
        <f t="array" ref="S7672">IFERROR(IF($B7672=S$1, ($A7672+$C7672) - MAX(IF($B$2:$B7671=$B7672, $A$2:$A7671+$C$2:$C7671)), "")*24*60, "")</f>
        <v/>
      </c>
    </row>
    <row r="7673" spans="1:19" x14ac:dyDescent="0.2">
      <c r="A7673" s="12">
        <f t="shared" ref="A7673:C7673" si="1860">A7672</f>
        <v>46015</v>
      </c>
      <c r="B7673" s="5" t="str">
        <f t="shared" si="1860"/>
        <v>Northern Cardinal</v>
      </c>
      <c r="C7673" s="6">
        <f t="shared" si="1860"/>
        <v>0.74097222222222225</v>
      </c>
      <c r="D7673" s="5"/>
      <c r="E7673" s="5"/>
      <c r="F7673" s="5" t="s">
        <v>9</v>
      </c>
      <c r="G7673" s="15" t="s">
        <v>8</v>
      </c>
      <c r="H7673" s="24">
        <f t="shared" si="1830"/>
        <v>0</v>
      </c>
      <c r="I7673" s="24" cm="1">
        <f t="array" ref="I7673">IFERROR(IF($B7673=I$1, ($A7673+$C7673) - MAX(IF($B$2:$B7672=$B7673, $A$2:$A7672+$C$2:$C7672)), "")*24*60, "")</f>
        <v>0</v>
      </c>
      <c r="J7673" s="24" t="str" cm="1">
        <f t="array" ref="J7673">IFERROR(IF($B7673=J$1, ($A7673+$C7673) - MAX(IF($B$2:$B7672=$B7673, $A$2:$A7672+$C$2:$C7672)), "")*24*60, "")</f>
        <v/>
      </c>
      <c r="K7673" s="24" t="str" cm="1">
        <f t="array" ref="K7673">IFERROR(IF($B7673=K$1, ($A7673+$C7673) - MAX(IF($B$2:$B7672=$B7673, $A$2:$A7672+$C$2:$C7672)), "")*24*60, "")</f>
        <v/>
      </c>
      <c r="L7673" s="24" t="str" cm="1">
        <f t="array" ref="L7673">IFERROR(IF($B7673=L$1, ($A7673+$C7673) - MAX(IF($B$2:$B7672=$B7673, $A$2:$A7672+$C$2:$C7672)), "")*24*60, "")</f>
        <v/>
      </c>
      <c r="M7673" s="24" t="str" cm="1">
        <f t="array" ref="M7673">IFERROR(IF($B7673=M$1, ($A7673+$C7673) - MAX(IF($B$2:$B7672=$B7673, $A$2:$A7672+$C$2:$C7672)), "")*24*60, "")</f>
        <v/>
      </c>
      <c r="N7673" s="24" t="str" cm="1">
        <f t="array" ref="N7673">IFERROR(IF($B7673=N$1, ($A7673+$C7673) - MAX(IF($B$2:$B7672=$B7673, $A$2:$A7672+$C$2:$C7672)), "")*24*60, "")</f>
        <v/>
      </c>
      <c r="O7673" s="24" t="str" cm="1">
        <f t="array" ref="O7673">IFERROR(IF($B7673=O$1, ($A7673+$C7673) - MAX(IF($B$2:$B7672=$B7673, $A$2:$A7672+$C$2:$C7672)), "")*24*60, "")</f>
        <v/>
      </c>
      <c r="P7673" s="24" t="str" cm="1">
        <f t="array" ref="P7673">IFERROR(IF($B7673=P$1, ($A7673+$C7673) - MAX(IF($B$2:$B7672=$B7673, $A$2:$A7672+$C$2:$C7672)), "")*24*60, "")</f>
        <v/>
      </c>
      <c r="Q7673" s="24" t="str" cm="1">
        <f t="array" ref="Q7673">IFERROR(IF($B7673=Q$1, ($A7673+$C7673) - MAX(IF($B$2:$B7672=$B7673, $A$2:$A7672+$C$2:$C7672)), "")*24*60, "")</f>
        <v/>
      </c>
      <c r="R7673" s="24" t="str" cm="1">
        <f t="array" ref="R7673">IFERROR(IF($B7673=R$1, ($A7673+$C7673) - MAX(IF($B$2:$B7672=$B7673, $A$2:$A7672+$C$2:$C7672)), "")*24*60, "")</f>
        <v/>
      </c>
      <c r="S7673" s="24" t="str" cm="1">
        <f t="array" ref="S7673">IFERROR(IF($B7673=S$1, ($A7673+$C7673) - MAX(IF($B$2:$B7672=$B7673, $A$2:$A7672+$C$2:$C7672)), "")*24*60, "")</f>
        <v/>
      </c>
    </row>
    <row r="7674" spans="1:19" x14ac:dyDescent="0.2">
      <c r="A7674" s="12">
        <f t="shared" ref="A7674:C7674" si="1861">A7673</f>
        <v>46015</v>
      </c>
      <c r="B7674" s="5" t="str">
        <f t="shared" si="1861"/>
        <v>Northern Cardinal</v>
      </c>
      <c r="C7674" s="6">
        <f t="shared" si="1861"/>
        <v>0.74097222222222225</v>
      </c>
      <c r="D7674" s="5"/>
      <c r="E7674" s="5"/>
      <c r="F7674" s="5" t="s">
        <v>9</v>
      </c>
      <c r="G7674" s="15" t="s">
        <v>8</v>
      </c>
      <c r="H7674" s="24">
        <f t="shared" si="1830"/>
        <v>0</v>
      </c>
      <c r="I7674" s="24" cm="1">
        <f t="array" ref="I7674">IFERROR(IF($B7674=I$1, ($A7674+$C7674) - MAX(IF($B$2:$B7673=$B7674, $A$2:$A7673+$C$2:$C7673)), "")*24*60, "")</f>
        <v>0</v>
      </c>
      <c r="J7674" s="24" t="str" cm="1">
        <f t="array" ref="J7674">IFERROR(IF($B7674=J$1, ($A7674+$C7674) - MAX(IF($B$2:$B7673=$B7674, $A$2:$A7673+$C$2:$C7673)), "")*24*60, "")</f>
        <v/>
      </c>
      <c r="K7674" s="24" t="str" cm="1">
        <f t="array" ref="K7674">IFERROR(IF($B7674=K$1, ($A7674+$C7674) - MAX(IF($B$2:$B7673=$B7674, $A$2:$A7673+$C$2:$C7673)), "")*24*60, "")</f>
        <v/>
      </c>
      <c r="L7674" s="24" t="str" cm="1">
        <f t="array" ref="L7674">IFERROR(IF($B7674=L$1, ($A7674+$C7674) - MAX(IF($B$2:$B7673=$B7674, $A$2:$A7673+$C$2:$C7673)), "")*24*60, "")</f>
        <v/>
      </c>
      <c r="M7674" s="24" t="str" cm="1">
        <f t="array" ref="M7674">IFERROR(IF($B7674=M$1, ($A7674+$C7674) - MAX(IF($B$2:$B7673=$B7674, $A$2:$A7673+$C$2:$C7673)), "")*24*60, "")</f>
        <v/>
      </c>
      <c r="N7674" s="24" t="str" cm="1">
        <f t="array" ref="N7674">IFERROR(IF($B7674=N$1, ($A7674+$C7674) - MAX(IF($B$2:$B7673=$B7674, $A$2:$A7673+$C$2:$C7673)), "")*24*60, "")</f>
        <v/>
      </c>
      <c r="O7674" s="24" t="str" cm="1">
        <f t="array" ref="O7674">IFERROR(IF($B7674=O$1, ($A7674+$C7674) - MAX(IF($B$2:$B7673=$B7674, $A$2:$A7673+$C$2:$C7673)), "")*24*60, "")</f>
        <v/>
      </c>
      <c r="P7674" s="24" t="str" cm="1">
        <f t="array" ref="P7674">IFERROR(IF($B7674=P$1, ($A7674+$C7674) - MAX(IF($B$2:$B7673=$B7674, $A$2:$A7673+$C$2:$C7673)), "")*24*60, "")</f>
        <v/>
      </c>
      <c r="Q7674" s="24" t="str" cm="1">
        <f t="array" ref="Q7674">IFERROR(IF($B7674=Q$1, ($A7674+$C7674) - MAX(IF($B$2:$B7673=$B7674, $A$2:$A7673+$C$2:$C7673)), "")*24*60, "")</f>
        <v/>
      </c>
      <c r="R7674" s="24" t="str" cm="1">
        <f t="array" ref="R7674">IFERROR(IF($B7674=R$1, ($A7674+$C7674) - MAX(IF($B$2:$B7673=$B7674, $A$2:$A7673+$C$2:$C7673)), "")*24*60, "")</f>
        <v/>
      </c>
      <c r="S7674" s="24" t="str" cm="1">
        <f t="array" ref="S7674">IFERROR(IF($B7674=S$1, ($A7674+$C7674) - MAX(IF($B$2:$B7673=$B7674, $A$2:$A7673+$C$2:$C7673)), "")*24*60, "")</f>
        <v/>
      </c>
    </row>
    <row r="7675" spans="1:19" x14ac:dyDescent="0.2">
      <c r="A7675" s="12">
        <f t="shared" ref="A7675:C7675" si="1862">A7674</f>
        <v>46015</v>
      </c>
      <c r="B7675" s="5" t="str">
        <f t="shared" si="1862"/>
        <v>Northern Cardinal</v>
      </c>
      <c r="C7675" s="6">
        <f t="shared" si="1862"/>
        <v>0.74097222222222225</v>
      </c>
      <c r="D7675" s="5"/>
      <c r="E7675" s="5"/>
      <c r="F7675" s="5" t="s">
        <v>9</v>
      </c>
      <c r="G7675" s="15" t="s">
        <v>8</v>
      </c>
      <c r="H7675" s="24">
        <f t="shared" si="1830"/>
        <v>0</v>
      </c>
      <c r="I7675" s="24" cm="1">
        <f t="array" ref="I7675">IFERROR(IF($B7675=I$1, ($A7675+$C7675) - MAX(IF($B$2:$B7674=$B7675, $A$2:$A7674+$C$2:$C7674)), "")*24*60, "")</f>
        <v>0</v>
      </c>
      <c r="J7675" s="24" t="str" cm="1">
        <f t="array" ref="J7675">IFERROR(IF($B7675=J$1, ($A7675+$C7675) - MAX(IF($B$2:$B7674=$B7675, $A$2:$A7674+$C$2:$C7674)), "")*24*60, "")</f>
        <v/>
      </c>
      <c r="K7675" s="24" t="str" cm="1">
        <f t="array" ref="K7675">IFERROR(IF($B7675=K$1, ($A7675+$C7675) - MAX(IF($B$2:$B7674=$B7675, $A$2:$A7674+$C$2:$C7674)), "")*24*60, "")</f>
        <v/>
      </c>
      <c r="L7675" s="24" t="str" cm="1">
        <f t="array" ref="L7675">IFERROR(IF($B7675=L$1, ($A7675+$C7675) - MAX(IF($B$2:$B7674=$B7675, $A$2:$A7674+$C$2:$C7674)), "")*24*60, "")</f>
        <v/>
      </c>
      <c r="M7675" s="24" t="str" cm="1">
        <f t="array" ref="M7675">IFERROR(IF($B7675=M$1, ($A7675+$C7675) - MAX(IF($B$2:$B7674=$B7675, $A$2:$A7674+$C$2:$C7674)), "")*24*60, "")</f>
        <v/>
      </c>
      <c r="N7675" s="24" t="str" cm="1">
        <f t="array" ref="N7675">IFERROR(IF($B7675=N$1, ($A7675+$C7675) - MAX(IF($B$2:$B7674=$B7675, $A$2:$A7674+$C$2:$C7674)), "")*24*60, "")</f>
        <v/>
      </c>
      <c r="O7675" s="24" t="str" cm="1">
        <f t="array" ref="O7675">IFERROR(IF($B7675=O$1, ($A7675+$C7675) - MAX(IF($B$2:$B7674=$B7675, $A$2:$A7674+$C$2:$C7674)), "")*24*60, "")</f>
        <v/>
      </c>
      <c r="P7675" s="24" t="str" cm="1">
        <f t="array" ref="P7675">IFERROR(IF($B7675=P$1, ($A7675+$C7675) - MAX(IF($B$2:$B7674=$B7675, $A$2:$A7674+$C$2:$C7674)), "")*24*60, "")</f>
        <v/>
      </c>
      <c r="Q7675" s="24" t="str" cm="1">
        <f t="array" ref="Q7675">IFERROR(IF($B7675=Q$1, ($A7675+$C7675) - MAX(IF($B$2:$B7674=$B7675, $A$2:$A7674+$C$2:$C7674)), "")*24*60, "")</f>
        <v/>
      </c>
      <c r="R7675" s="24" t="str" cm="1">
        <f t="array" ref="R7675">IFERROR(IF($B7675=R$1, ($A7675+$C7675) - MAX(IF($B$2:$B7674=$B7675, $A$2:$A7674+$C$2:$C7674)), "")*24*60, "")</f>
        <v/>
      </c>
      <c r="S7675" s="24" t="str" cm="1">
        <f t="array" ref="S7675">IFERROR(IF($B7675=S$1, ($A7675+$C7675) - MAX(IF($B$2:$B7674=$B7675, $A$2:$A7674+$C$2:$C7674)), "")*24*60, "")</f>
        <v/>
      </c>
    </row>
    <row r="7676" spans="1:19" x14ac:dyDescent="0.2">
      <c r="A7676" s="12">
        <f t="shared" ref="A7676:C7676" si="1863">A7675</f>
        <v>46015</v>
      </c>
      <c r="B7676" s="5" t="str">
        <f t="shared" si="1863"/>
        <v>Northern Cardinal</v>
      </c>
      <c r="C7676" s="6">
        <f t="shared" si="1863"/>
        <v>0.74097222222222225</v>
      </c>
      <c r="D7676" s="5"/>
      <c r="E7676" s="5"/>
      <c r="F7676" s="5" t="s">
        <v>9</v>
      </c>
      <c r="G7676" s="15" t="s">
        <v>8</v>
      </c>
      <c r="H7676" s="24">
        <f t="shared" si="1830"/>
        <v>0</v>
      </c>
      <c r="I7676" s="24" cm="1">
        <f t="array" ref="I7676">IFERROR(IF($B7676=I$1, ($A7676+$C7676) - MAX(IF($B$2:$B7675=$B7676, $A$2:$A7675+$C$2:$C7675)), "")*24*60, "")</f>
        <v>0</v>
      </c>
      <c r="J7676" s="24" t="str" cm="1">
        <f t="array" ref="J7676">IFERROR(IF($B7676=J$1, ($A7676+$C7676) - MAX(IF($B$2:$B7675=$B7676, $A$2:$A7675+$C$2:$C7675)), "")*24*60, "")</f>
        <v/>
      </c>
      <c r="K7676" s="24" t="str" cm="1">
        <f t="array" ref="K7676">IFERROR(IF($B7676=K$1, ($A7676+$C7676) - MAX(IF($B$2:$B7675=$B7676, $A$2:$A7675+$C$2:$C7675)), "")*24*60, "")</f>
        <v/>
      </c>
      <c r="L7676" s="24" t="str" cm="1">
        <f t="array" ref="L7676">IFERROR(IF($B7676=L$1, ($A7676+$C7676) - MAX(IF($B$2:$B7675=$B7676, $A$2:$A7675+$C$2:$C7675)), "")*24*60, "")</f>
        <v/>
      </c>
      <c r="M7676" s="24" t="str" cm="1">
        <f t="array" ref="M7676">IFERROR(IF($B7676=M$1, ($A7676+$C7676) - MAX(IF($B$2:$B7675=$B7676, $A$2:$A7675+$C$2:$C7675)), "")*24*60, "")</f>
        <v/>
      </c>
      <c r="N7676" s="24" t="str" cm="1">
        <f t="array" ref="N7676">IFERROR(IF($B7676=N$1, ($A7676+$C7676) - MAX(IF($B$2:$B7675=$B7676, $A$2:$A7675+$C$2:$C7675)), "")*24*60, "")</f>
        <v/>
      </c>
      <c r="O7676" s="24" t="str" cm="1">
        <f t="array" ref="O7676">IFERROR(IF($B7676=O$1, ($A7676+$C7676) - MAX(IF($B$2:$B7675=$B7676, $A$2:$A7675+$C$2:$C7675)), "")*24*60, "")</f>
        <v/>
      </c>
      <c r="P7676" s="24" t="str" cm="1">
        <f t="array" ref="P7676">IFERROR(IF($B7676=P$1, ($A7676+$C7676) - MAX(IF($B$2:$B7675=$B7676, $A$2:$A7675+$C$2:$C7675)), "")*24*60, "")</f>
        <v/>
      </c>
      <c r="Q7676" s="24" t="str" cm="1">
        <f t="array" ref="Q7676">IFERROR(IF($B7676=Q$1, ($A7676+$C7676) - MAX(IF($B$2:$B7675=$B7676, $A$2:$A7675+$C$2:$C7675)), "")*24*60, "")</f>
        <v/>
      </c>
      <c r="R7676" s="24" t="str" cm="1">
        <f t="array" ref="R7676">IFERROR(IF($B7676=R$1, ($A7676+$C7676) - MAX(IF($B$2:$B7675=$B7676, $A$2:$A7675+$C$2:$C7675)), "")*24*60, "")</f>
        <v/>
      </c>
      <c r="S7676" s="24" t="str" cm="1">
        <f t="array" ref="S7676">IFERROR(IF($B7676=S$1, ($A7676+$C7676) - MAX(IF($B$2:$B7675=$B7676, $A$2:$A7675+$C$2:$C7675)), "")*24*60, "")</f>
        <v/>
      </c>
    </row>
    <row r="7677" spans="1:19" x14ac:dyDescent="0.2">
      <c r="A7677" s="12">
        <f t="shared" ref="A7677:C7677" si="1864">A7676</f>
        <v>46015</v>
      </c>
      <c r="B7677" s="5" t="str">
        <f t="shared" si="1864"/>
        <v>Northern Cardinal</v>
      </c>
      <c r="C7677" s="6">
        <f t="shared" si="1864"/>
        <v>0.74097222222222225</v>
      </c>
      <c r="D7677" s="5"/>
      <c r="E7677" s="5"/>
      <c r="F7677" s="5" t="s">
        <v>9</v>
      </c>
      <c r="G7677" s="15" t="s">
        <v>8</v>
      </c>
      <c r="H7677" s="24">
        <f t="shared" si="1830"/>
        <v>0</v>
      </c>
      <c r="I7677" s="24" cm="1">
        <f t="array" ref="I7677">IFERROR(IF($B7677=I$1, ($A7677+$C7677) - MAX(IF($B$2:$B7676=$B7677, $A$2:$A7676+$C$2:$C7676)), "")*24*60, "")</f>
        <v>0</v>
      </c>
      <c r="J7677" s="24" t="str" cm="1">
        <f t="array" ref="J7677">IFERROR(IF($B7677=J$1, ($A7677+$C7677) - MAX(IF($B$2:$B7676=$B7677, $A$2:$A7676+$C$2:$C7676)), "")*24*60, "")</f>
        <v/>
      </c>
      <c r="K7677" s="24" t="str" cm="1">
        <f t="array" ref="K7677">IFERROR(IF($B7677=K$1, ($A7677+$C7677) - MAX(IF($B$2:$B7676=$B7677, $A$2:$A7676+$C$2:$C7676)), "")*24*60, "")</f>
        <v/>
      </c>
      <c r="L7677" s="24" t="str" cm="1">
        <f t="array" ref="L7677">IFERROR(IF($B7677=L$1, ($A7677+$C7677) - MAX(IF($B$2:$B7676=$B7677, $A$2:$A7676+$C$2:$C7676)), "")*24*60, "")</f>
        <v/>
      </c>
      <c r="M7677" s="24" t="str" cm="1">
        <f t="array" ref="M7677">IFERROR(IF($B7677=M$1, ($A7677+$C7677) - MAX(IF($B$2:$B7676=$B7677, $A$2:$A7676+$C$2:$C7676)), "")*24*60, "")</f>
        <v/>
      </c>
      <c r="N7677" s="24" t="str" cm="1">
        <f t="array" ref="N7677">IFERROR(IF($B7677=N$1, ($A7677+$C7677) - MAX(IF($B$2:$B7676=$B7677, $A$2:$A7676+$C$2:$C7676)), "")*24*60, "")</f>
        <v/>
      </c>
      <c r="O7677" s="24" t="str" cm="1">
        <f t="array" ref="O7677">IFERROR(IF($B7677=O$1, ($A7677+$C7677) - MAX(IF($B$2:$B7676=$B7677, $A$2:$A7676+$C$2:$C7676)), "")*24*60, "")</f>
        <v/>
      </c>
      <c r="P7677" s="24" t="str" cm="1">
        <f t="array" ref="P7677">IFERROR(IF($B7677=P$1, ($A7677+$C7677) - MAX(IF($B$2:$B7676=$B7677, $A$2:$A7676+$C$2:$C7676)), "")*24*60, "")</f>
        <v/>
      </c>
      <c r="Q7677" s="24" t="str" cm="1">
        <f t="array" ref="Q7677">IFERROR(IF($B7677=Q$1, ($A7677+$C7677) - MAX(IF($B$2:$B7676=$B7677, $A$2:$A7676+$C$2:$C7676)), "")*24*60, "")</f>
        <v/>
      </c>
      <c r="R7677" s="24" t="str" cm="1">
        <f t="array" ref="R7677">IFERROR(IF($B7677=R$1, ($A7677+$C7677) - MAX(IF($B$2:$B7676=$B7677, $A$2:$A7676+$C$2:$C7676)), "")*24*60, "")</f>
        <v/>
      </c>
      <c r="S7677" s="24" t="str" cm="1">
        <f t="array" ref="S7677">IFERROR(IF($B7677=S$1, ($A7677+$C7677) - MAX(IF($B$2:$B7676=$B7677, $A$2:$A7676+$C$2:$C7676)), "")*24*60, "")</f>
        <v/>
      </c>
    </row>
    <row r="7678" spans="1:19" x14ac:dyDescent="0.2">
      <c r="A7678" s="12">
        <f t="shared" ref="A7678:C7678" si="1865">A7677</f>
        <v>46015</v>
      </c>
      <c r="B7678" s="5" t="str">
        <f t="shared" si="1865"/>
        <v>Northern Cardinal</v>
      </c>
      <c r="C7678" s="6">
        <f t="shared" si="1865"/>
        <v>0.74097222222222225</v>
      </c>
      <c r="D7678" s="5"/>
      <c r="E7678" s="5"/>
      <c r="F7678" s="5" t="s">
        <v>9</v>
      </c>
      <c r="G7678" s="15" t="s">
        <v>8</v>
      </c>
      <c r="H7678" s="24">
        <f t="shared" si="1830"/>
        <v>0</v>
      </c>
      <c r="I7678" s="24" cm="1">
        <f t="array" ref="I7678">IFERROR(IF($B7678=I$1, ($A7678+$C7678) - MAX(IF($B$2:$B7677=$B7678, $A$2:$A7677+$C$2:$C7677)), "")*24*60, "")</f>
        <v>0</v>
      </c>
      <c r="J7678" s="24" t="str" cm="1">
        <f t="array" ref="J7678">IFERROR(IF($B7678=J$1, ($A7678+$C7678) - MAX(IF($B$2:$B7677=$B7678, $A$2:$A7677+$C$2:$C7677)), "")*24*60, "")</f>
        <v/>
      </c>
      <c r="K7678" s="24" t="str" cm="1">
        <f t="array" ref="K7678">IFERROR(IF($B7678=K$1, ($A7678+$C7678) - MAX(IF($B$2:$B7677=$B7678, $A$2:$A7677+$C$2:$C7677)), "")*24*60, "")</f>
        <v/>
      </c>
      <c r="L7678" s="24" t="str" cm="1">
        <f t="array" ref="L7678">IFERROR(IF($B7678=L$1, ($A7678+$C7678) - MAX(IF($B$2:$B7677=$B7678, $A$2:$A7677+$C$2:$C7677)), "")*24*60, "")</f>
        <v/>
      </c>
      <c r="M7678" s="24" t="str" cm="1">
        <f t="array" ref="M7678">IFERROR(IF($B7678=M$1, ($A7678+$C7678) - MAX(IF($B$2:$B7677=$B7678, $A$2:$A7677+$C$2:$C7677)), "")*24*60, "")</f>
        <v/>
      </c>
      <c r="N7678" s="24" t="str" cm="1">
        <f t="array" ref="N7678">IFERROR(IF($B7678=N$1, ($A7678+$C7678) - MAX(IF($B$2:$B7677=$B7678, $A$2:$A7677+$C$2:$C7677)), "")*24*60, "")</f>
        <v/>
      </c>
      <c r="O7678" s="24" t="str" cm="1">
        <f t="array" ref="O7678">IFERROR(IF($B7678=O$1, ($A7678+$C7678) - MAX(IF($B$2:$B7677=$B7678, $A$2:$A7677+$C$2:$C7677)), "")*24*60, "")</f>
        <v/>
      </c>
      <c r="P7678" s="24" t="str" cm="1">
        <f t="array" ref="P7678">IFERROR(IF($B7678=P$1, ($A7678+$C7678) - MAX(IF($B$2:$B7677=$B7678, $A$2:$A7677+$C$2:$C7677)), "")*24*60, "")</f>
        <v/>
      </c>
      <c r="Q7678" s="24" t="str" cm="1">
        <f t="array" ref="Q7678">IFERROR(IF($B7678=Q$1, ($A7678+$C7678) - MAX(IF($B$2:$B7677=$B7678, $A$2:$A7677+$C$2:$C7677)), "")*24*60, "")</f>
        <v/>
      </c>
      <c r="R7678" s="24" t="str" cm="1">
        <f t="array" ref="R7678">IFERROR(IF($B7678=R$1, ($A7678+$C7678) - MAX(IF($B$2:$B7677=$B7678, $A$2:$A7677+$C$2:$C7677)), "")*24*60, "")</f>
        <v/>
      </c>
      <c r="S7678" s="24" t="str" cm="1">
        <f t="array" ref="S7678">IFERROR(IF($B7678=S$1, ($A7678+$C7678) - MAX(IF($B$2:$B7677=$B7678, $A$2:$A7677+$C$2:$C7677)), "")*24*60, "")</f>
        <v/>
      </c>
    </row>
    <row r="7679" spans="1:19" x14ac:dyDescent="0.2">
      <c r="A7679" s="12">
        <f t="shared" ref="A7679:C7679" si="1866">A7678</f>
        <v>46015</v>
      </c>
      <c r="B7679" s="5" t="str">
        <f t="shared" si="1866"/>
        <v>Northern Cardinal</v>
      </c>
      <c r="C7679" s="6">
        <f t="shared" si="1866"/>
        <v>0.74097222222222225</v>
      </c>
      <c r="D7679" s="5"/>
      <c r="E7679" s="5"/>
      <c r="F7679" s="5" t="s">
        <v>9</v>
      </c>
      <c r="G7679" s="15" t="s">
        <v>8</v>
      </c>
      <c r="H7679" s="24">
        <f t="shared" si="1830"/>
        <v>0</v>
      </c>
      <c r="I7679" s="24" cm="1">
        <f t="array" ref="I7679">IFERROR(IF($B7679=I$1, ($A7679+$C7679) - MAX(IF($B$2:$B7678=$B7679, $A$2:$A7678+$C$2:$C7678)), "")*24*60, "")</f>
        <v>0</v>
      </c>
      <c r="J7679" s="24" t="str" cm="1">
        <f t="array" ref="J7679">IFERROR(IF($B7679=J$1, ($A7679+$C7679) - MAX(IF($B$2:$B7678=$B7679, $A$2:$A7678+$C$2:$C7678)), "")*24*60, "")</f>
        <v/>
      </c>
      <c r="K7679" s="24" t="str" cm="1">
        <f t="array" ref="K7679">IFERROR(IF($B7679=K$1, ($A7679+$C7679) - MAX(IF($B$2:$B7678=$B7679, $A$2:$A7678+$C$2:$C7678)), "")*24*60, "")</f>
        <v/>
      </c>
      <c r="L7679" s="24" t="str" cm="1">
        <f t="array" ref="L7679">IFERROR(IF($B7679=L$1, ($A7679+$C7679) - MAX(IF($B$2:$B7678=$B7679, $A$2:$A7678+$C$2:$C7678)), "")*24*60, "")</f>
        <v/>
      </c>
      <c r="M7679" s="24" t="str" cm="1">
        <f t="array" ref="M7679">IFERROR(IF($B7679=M$1, ($A7679+$C7679) - MAX(IF($B$2:$B7678=$B7679, $A$2:$A7678+$C$2:$C7678)), "")*24*60, "")</f>
        <v/>
      </c>
      <c r="N7679" s="24" t="str" cm="1">
        <f t="array" ref="N7679">IFERROR(IF($B7679=N$1, ($A7679+$C7679) - MAX(IF($B$2:$B7678=$B7679, $A$2:$A7678+$C$2:$C7678)), "")*24*60, "")</f>
        <v/>
      </c>
      <c r="O7679" s="24" t="str" cm="1">
        <f t="array" ref="O7679">IFERROR(IF($B7679=O$1, ($A7679+$C7679) - MAX(IF($B$2:$B7678=$B7679, $A$2:$A7678+$C$2:$C7678)), "")*24*60, "")</f>
        <v/>
      </c>
      <c r="P7679" s="24" t="str" cm="1">
        <f t="array" ref="P7679">IFERROR(IF($B7679=P$1, ($A7679+$C7679) - MAX(IF($B$2:$B7678=$B7679, $A$2:$A7678+$C$2:$C7678)), "")*24*60, "")</f>
        <v/>
      </c>
      <c r="Q7679" s="24" t="str" cm="1">
        <f t="array" ref="Q7679">IFERROR(IF($B7679=Q$1, ($A7679+$C7679) - MAX(IF($B$2:$B7678=$B7679, $A$2:$A7678+$C$2:$C7678)), "")*24*60, "")</f>
        <v/>
      </c>
      <c r="R7679" s="24" t="str" cm="1">
        <f t="array" ref="R7679">IFERROR(IF($B7679=R$1, ($A7679+$C7679) - MAX(IF($B$2:$B7678=$B7679, $A$2:$A7678+$C$2:$C7678)), "")*24*60, "")</f>
        <v/>
      </c>
      <c r="S7679" s="24" t="str" cm="1">
        <f t="array" ref="S7679">IFERROR(IF($B7679=S$1, ($A7679+$C7679) - MAX(IF($B$2:$B7678=$B7679, $A$2:$A7678+$C$2:$C7678)), "")*24*60, "")</f>
        <v/>
      </c>
    </row>
    <row r="7680" spans="1:19" x14ac:dyDescent="0.2">
      <c r="A7680" s="12">
        <f t="shared" ref="A7680:C7680" si="1867">A7679</f>
        <v>46015</v>
      </c>
      <c r="B7680" s="5" t="str">
        <f t="shared" si="1867"/>
        <v>Northern Cardinal</v>
      </c>
      <c r="C7680" s="6">
        <f t="shared" si="1867"/>
        <v>0.74097222222222225</v>
      </c>
      <c r="D7680" s="5"/>
      <c r="E7680" s="5"/>
      <c r="F7680" s="5" t="s">
        <v>9</v>
      </c>
      <c r="G7680" s="15" t="s">
        <v>8</v>
      </c>
      <c r="H7680" s="24">
        <f t="shared" si="1830"/>
        <v>0</v>
      </c>
      <c r="I7680" s="24" cm="1">
        <f t="array" ref="I7680">IFERROR(IF($B7680=I$1, ($A7680+$C7680) - MAX(IF($B$2:$B7679=$B7680, $A$2:$A7679+$C$2:$C7679)), "")*24*60, "")</f>
        <v>0</v>
      </c>
      <c r="J7680" s="24" t="str" cm="1">
        <f t="array" ref="J7680">IFERROR(IF($B7680=J$1, ($A7680+$C7680) - MAX(IF($B$2:$B7679=$B7680, $A$2:$A7679+$C$2:$C7679)), "")*24*60, "")</f>
        <v/>
      </c>
      <c r="K7680" s="24" t="str" cm="1">
        <f t="array" ref="K7680">IFERROR(IF($B7680=K$1, ($A7680+$C7680) - MAX(IF($B$2:$B7679=$B7680, $A$2:$A7679+$C$2:$C7679)), "")*24*60, "")</f>
        <v/>
      </c>
      <c r="L7680" s="24" t="str" cm="1">
        <f t="array" ref="L7680">IFERROR(IF($B7680=L$1, ($A7680+$C7680) - MAX(IF($B$2:$B7679=$B7680, $A$2:$A7679+$C$2:$C7679)), "")*24*60, "")</f>
        <v/>
      </c>
      <c r="M7680" s="24" t="str" cm="1">
        <f t="array" ref="M7680">IFERROR(IF($B7680=M$1, ($A7680+$C7680) - MAX(IF($B$2:$B7679=$B7680, $A$2:$A7679+$C$2:$C7679)), "")*24*60, "")</f>
        <v/>
      </c>
      <c r="N7680" s="24" t="str" cm="1">
        <f t="array" ref="N7680">IFERROR(IF($B7680=N$1, ($A7680+$C7680) - MAX(IF($B$2:$B7679=$B7680, $A$2:$A7679+$C$2:$C7679)), "")*24*60, "")</f>
        <v/>
      </c>
      <c r="O7680" s="24" t="str" cm="1">
        <f t="array" ref="O7680">IFERROR(IF($B7680=O$1, ($A7680+$C7680) - MAX(IF($B$2:$B7679=$B7680, $A$2:$A7679+$C$2:$C7679)), "")*24*60, "")</f>
        <v/>
      </c>
      <c r="P7680" s="24" t="str" cm="1">
        <f t="array" ref="P7680">IFERROR(IF($B7680=P$1, ($A7680+$C7680) - MAX(IF($B$2:$B7679=$B7680, $A$2:$A7679+$C$2:$C7679)), "")*24*60, "")</f>
        <v/>
      </c>
      <c r="Q7680" s="24" t="str" cm="1">
        <f t="array" ref="Q7680">IFERROR(IF($B7680=Q$1, ($A7680+$C7680) - MAX(IF($B$2:$B7679=$B7680, $A$2:$A7679+$C$2:$C7679)), "")*24*60, "")</f>
        <v/>
      </c>
      <c r="R7680" s="24" t="str" cm="1">
        <f t="array" ref="R7680">IFERROR(IF($B7680=R$1, ($A7680+$C7680) - MAX(IF($B$2:$B7679=$B7680, $A$2:$A7679+$C$2:$C7679)), "")*24*60, "")</f>
        <v/>
      </c>
      <c r="S7680" s="24" t="str" cm="1">
        <f t="array" ref="S7680">IFERROR(IF($B7680=S$1, ($A7680+$C7680) - MAX(IF($B$2:$B7679=$B7680, $A$2:$A7679+$C$2:$C7679)), "")*24*60, "")</f>
        <v/>
      </c>
    </row>
    <row r="7681" spans="1:19" x14ac:dyDescent="0.2">
      <c r="A7681" s="12">
        <f t="shared" ref="A7681:C7681" si="1868">A7680</f>
        <v>46015</v>
      </c>
      <c r="B7681" s="5" t="str">
        <f t="shared" si="1868"/>
        <v>Northern Cardinal</v>
      </c>
      <c r="C7681" s="6">
        <f t="shared" si="1868"/>
        <v>0.74097222222222225</v>
      </c>
      <c r="D7681" s="5"/>
      <c r="E7681" s="5"/>
      <c r="F7681" s="5" t="s">
        <v>9</v>
      </c>
      <c r="G7681" s="15" t="s">
        <v>8</v>
      </c>
      <c r="H7681" s="24">
        <f t="shared" si="1830"/>
        <v>0</v>
      </c>
      <c r="I7681" s="24" cm="1">
        <f t="array" ref="I7681">IFERROR(IF($B7681=I$1, ($A7681+$C7681) - MAX(IF($B$2:$B7680=$B7681, $A$2:$A7680+$C$2:$C7680)), "")*24*60, "")</f>
        <v>0</v>
      </c>
      <c r="J7681" s="24" t="str" cm="1">
        <f t="array" ref="J7681">IFERROR(IF($B7681=J$1, ($A7681+$C7681) - MAX(IF($B$2:$B7680=$B7681, $A$2:$A7680+$C$2:$C7680)), "")*24*60, "")</f>
        <v/>
      </c>
      <c r="K7681" s="24" t="str" cm="1">
        <f t="array" ref="K7681">IFERROR(IF($B7681=K$1, ($A7681+$C7681) - MAX(IF($B$2:$B7680=$B7681, $A$2:$A7680+$C$2:$C7680)), "")*24*60, "")</f>
        <v/>
      </c>
      <c r="L7681" s="24" t="str" cm="1">
        <f t="array" ref="L7681">IFERROR(IF($B7681=L$1, ($A7681+$C7681) - MAX(IF($B$2:$B7680=$B7681, $A$2:$A7680+$C$2:$C7680)), "")*24*60, "")</f>
        <v/>
      </c>
      <c r="M7681" s="24" t="str" cm="1">
        <f t="array" ref="M7681">IFERROR(IF($B7681=M$1, ($A7681+$C7681) - MAX(IF($B$2:$B7680=$B7681, $A$2:$A7680+$C$2:$C7680)), "")*24*60, "")</f>
        <v/>
      </c>
      <c r="N7681" s="24" t="str" cm="1">
        <f t="array" ref="N7681">IFERROR(IF($B7681=N$1, ($A7681+$C7681) - MAX(IF($B$2:$B7680=$B7681, $A$2:$A7680+$C$2:$C7680)), "")*24*60, "")</f>
        <v/>
      </c>
      <c r="O7681" s="24" t="str" cm="1">
        <f t="array" ref="O7681">IFERROR(IF($B7681=O$1, ($A7681+$C7681) - MAX(IF($B$2:$B7680=$B7681, $A$2:$A7680+$C$2:$C7680)), "")*24*60, "")</f>
        <v/>
      </c>
      <c r="P7681" s="24" t="str" cm="1">
        <f t="array" ref="P7681">IFERROR(IF($B7681=P$1, ($A7681+$C7681) - MAX(IF($B$2:$B7680=$B7681, $A$2:$A7680+$C$2:$C7680)), "")*24*60, "")</f>
        <v/>
      </c>
      <c r="Q7681" s="24" t="str" cm="1">
        <f t="array" ref="Q7681">IFERROR(IF($B7681=Q$1, ($A7681+$C7681) - MAX(IF($B$2:$B7680=$B7681, $A$2:$A7680+$C$2:$C7680)), "")*24*60, "")</f>
        <v/>
      </c>
      <c r="R7681" s="24" t="str" cm="1">
        <f t="array" ref="R7681">IFERROR(IF($B7681=R$1, ($A7681+$C7681) - MAX(IF($B$2:$B7680=$B7681, $A$2:$A7680+$C$2:$C7680)), "")*24*60, "")</f>
        <v/>
      </c>
      <c r="S7681" s="24" t="str" cm="1">
        <f t="array" ref="S7681">IFERROR(IF($B7681=S$1, ($A7681+$C7681) - MAX(IF($B$2:$B7680=$B7681, $A$2:$A7680+$C$2:$C7680)), "")*24*60, "")</f>
        <v/>
      </c>
    </row>
    <row r="7682" spans="1:19" x14ac:dyDescent="0.2">
      <c r="A7682" s="12">
        <f t="shared" ref="A7682:C7682" si="1869">A7681</f>
        <v>46015</v>
      </c>
      <c r="B7682" s="5" t="str">
        <f t="shared" si="1869"/>
        <v>Northern Cardinal</v>
      </c>
      <c r="C7682" s="6">
        <f t="shared" si="1869"/>
        <v>0.74097222222222225</v>
      </c>
      <c r="D7682" s="5"/>
      <c r="E7682" s="5"/>
      <c r="F7682" s="5" t="s">
        <v>9</v>
      </c>
      <c r="G7682" s="15" t="s">
        <v>8</v>
      </c>
      <c r="H7682" s="24">
        <f t="shared" si="1830"/>
        <v>0</v>
      </c>
      <c r="I7682" s="24" cm="1">
        <f t="array" ref="I7682">IFERROR(IF($B7682=I$1, ($A7682+$C7682) - MAX(IF($B$2:$B7681=$B7682, $A$2:$A7681+$C$2:$C7681)), "")*24*60, "")</f>
        <v>0</v>
      </c>
      <c r="J7682" s="24" t="str" cm="1">
        <f t="array" ref="J7682">IFERROR(IF($B7682=J$1, ($A7682+$C7682) - MAX(IF($B$2:$B7681=$B7682, $A$2:$A7681+$C$2:$C7681)), "")*24*60, "")</f>
        <v/>
      </c>
      <c r="K7682" s="24" t="str" cm="1">
        <f t="array" ref="K7682">IFERROR(IF($B7682=K$1, ($A7682+$C7682) - MAX(IF($B$2:$B7681=$B7682, $A$2:$A7681+$C$2:$C7681)), "")*24*60, "")</f>
        <v/>
      </c>
      <c r="L7682" s="24" t="str" cm="1">
        <f t="array" ref="L7682">IFERROR(IF($B7682=L$1, ($A7682+$C7682) - MAX(IF($B$2:$B7681=$B7682, $A$2:$A7681+$C$2:$C7681)), "")*24*60, "")</f>
        <v/>
      </c>
      <c r="M7682" s="24" t="str" cm="1">
        <f t="array" ref="M7682">IFERROR(IF($B7682=M$1, ($A7682+$C7682) - MAX(IF($B$2:$B7681=$B7682, $A$2:$A7681+$C$2:$C7681)), "")*24*60, "")</f>
        <v/>
      </c>
      <c r="N7682" s="24" t="str" cm="1">
        <f t="array" ref="N7682">IFERROR(IF($B7682=N$1, ($A7682+$C7682) - MAX(IF($B$2:$B7681=$B7682, $A$2:$A7681+$C$2:$C7681)), "")*24*60, "")</f>
        <v/>
      </c>
      <c r="O7682" s="24" t="str" cm="1">
        <f t="array" ref="O7682">IFERROR(IF($B7682=O$1, ($A7682+$C7682) - MAX(IF($B$2:$B7681=$B7682, $A$2:$A7681+$C$2:$C7681)), "")*24*60, "")</f>
        <v/>
      </c>
      <c r="P7682" s="24" t="str" cm="1">
        <f t="array" ref="P7682">IFERROR(IF($B7682=P$1, ($A7682+$C7682) - MAX(IF($B$2:$B7681=$B7682, $A$2:$A7681+$C$2:$C7681)), "")*24*60, "")</f>
        <v/>
      </c>
      <c r="Q7682" s="24" t="str" cm="1">
        <f t="array" ref="Q7682">IFERROR(IF($B7682=Q$1, ($A7682+$C7682) - MAX(IF($B$2:$B7681=$B7682, $A$2:$A7681+$C$2:$C7681)), "")*24*60, "")</f>
        <v/>
      </c>
      <c r="R7682" s="24" t="str" cm="1">
        <f t="array" ref="R7682">IFERROR(IF($B7682=R$1, ($A7682+$C7682) - MAX(IF($B$2:$B7681=$B7682, $A$2:$A7681+$C$2:$C7681)), "")*24*60, "")</f>
        <v/>
      </c>
      <c r="S7682" s="24" t="str" cm="1">
        <f t="array" ref="S7682">IFERROR(IF($B7682=S$1, ($A7682+$C7682) - MAX(IF($B$2:$B7681=$B7682, $A$2:$A7681+$C$2:$C7681)), "")*24*60, "")</f>
        <v/>
      </c>
    </row>
    <row r="7683" spans="1:19" x14ac:dyDescent="0.2">
      <c r="A7683" s="12">
        <f t="shared" ref="A7683:C7683" si="1870">A7682</f>
        <v>46015</v>
      </c>
      <c r="B7683" s="5" t="str">
        <f t="shared" si="1870"/>
        <v>Northern Cardinal</v>
      </c>
      <c r="C7683" s="6">
        <f t="shared" si="1870"/>
        <v>0.74097222222222225</v>
      </c>
      <c r="D7683" s="5"/>
      <c r="E7683" s="5"/>
      <c r="F7683" s="5" t="s">
        <v>9</v>
      </c>
      <c r="G7683" s="15" t="s">
        <v>8</v>
      </c>
      <c r="H7683" s="24">
        <f t="shared" si="1830"/>
        <v>0</v>
      </c>
      <c r="I7683" s="24" cm="1">
        <f t="array" ref="I7683">IFERROR(IF($B7683=I$1, ($A7683+$C7683) - MAX(IF($B$2:$B7682=$B7683, $A$2:$A7682+$C$2:$C7682)), "")*24*60, "")</f>
        <v>0</v>
      </c>
      <c r="J7683" s="24" t="str" cm="1">
        <f t="array" ref="J7683">IFERROR(IF($B7683=J$1, ($A7683+$C7683) - MAX(IF($B$2:$B7682=$B7683, $A$2:$A7682+$C$2:$C7682)), "")*24*60, "")</f>
        <v/>
      </c>
      <c r="K7683" s="24" t="str" cm="1">
        <f t="array" ref="K7683">IFERROR(IF($B7683=K$1, ($A7683+$C7683) - MAX(IF($B$2:$B7682=$B7683, $A$2:$A7682+$C$2:$C7682)), "")*24*60, "")</f>
        <v/>
      </c>
      <c r="L7683" s="24" t="str" cm="1">
        <f t="array" ref="L7683">IFERROR(IF($B7683=L$1, ($A7683+$C7683) - MAX(IF($B$2:$B7682=$B7683, $A$2:$A7682+$C$2:$C7682)), "")*24*60, "")</f>
        <v/>
      </c>
      <c r="M7683" s="24" t="str" cm="1">
        <f t="array" ref="M7683">IFERROR(IF($B7683=M$1, ($A7683+$C7683) - MAX(IF($B$2:$B7682=$B7683, $A$2:$A7682+$C$2:$C7682)), "")*24*60, "")</f>
        <v/>
      </c>
      <c r="N7683" s="24" t="str" cm="1">
        <f t="array" ref="N7683">IFERROR(IF($B7683=N$1, ($A7683+$C7683) - MAX(IF($B$2:$B7682=$B7683, $A$2:$A7682+$C$2:$C7682)), "")*24*60, "")</f>
        <v/>
      </c>
      <c r="O7683" s="24" t="str" cm="1">
        <f t="array" ref="O7683">IFERROR(IF($B7683=O$1, ($A7683+$C7683) - MAX(IF($B$2:$B7682=$B7683, $A$2:$A7682+$C$2:$C7682)), "")*24*60, "")</f>
        <v/>
      </c>
      <c r="P7683" s="24" t="str" cm="1">
        <f t="array" ref="P7683">IFERROR(IF($B7683=P$1, ($A7683+$C7683) - MAX(IF($B$2:$B7682=$B7683, $A$2:$A7682+$C$2:$C7682)), "")*24*60, "")</f>
        <v/>
      </c>
      <c r="Q7683" s="24" t="str" cm="1">
        <f t="array" ref="Q7683">IFERROR(IF($B7683=Q$1, ($A7683+$C7683) - MAX(IF($B$2:$B7682=$B7683, $A$2:$A7682+$C$2:$C7682)), "")*24*60, "")</f>
        <v/>
      </c>
      <c r="R7683" s="24" t="str" cm="1">
        <f t="array" ref="R7683">IFERROR(IF($B7683=R$1, ($A7683+$C7683) - MAX(IF($B$2:$B7682=$B7683, $A$2:$A7682+$C$2:$C7682)), "")*24*60, "")</f>
        <v/>
      </c>
      <c r="S7683" s="24" t="str" cm="1">
        <f t="array" ref="S7683">IFERROR(IF($B7683=S$1, ($A7683+$C7683) - MAX(IF($B$2:$B7682=$B7683, $A$2:$A7682+$C$2:$C7682)), "")*24*60, "")</f>
        <v/>
      </c>
    </row>
    <row r="7684" spans="1:19" x14ac:dyDescent="0.2">
      <c r="A7684" s="12">
        <f t="shared" ref="A7684:C7684" si="1871">A7683</f>
        <v>46015</v>
      </c>
      <c r="B7684" s="5" t="str">
        <f t="shared" si="1871"/>
        <v>Northern Cardinal</v>
      </c>
      <c r="C7684" s="6">
        <f t="shared" si="1871"/>
        <v>0.74097222222222225</v>
      </c>
      <c r="D7684" s="5"/>
      <c r="E7684" s="5"/>
      <c r="F7684" s="5" t="s">
        <v>9</v>
      </c>
      <c r="G7684" s="15" t="s">
        <v>8</v>
      </c>
      <c r="H7684" s="24">
        <f t="shared" si="1830"/>
        <v>0</v>
      </c>
      <c r="I7684" s="24" cm="1">
        <f t="array" ref="I7684">IFERROR(IF($B7684=I$1, ($A7684+$C7684) - MAX(IF($B$2:$B7683=$B7684, $A$2:$A7683+$C$2:$C7683)), "")*24*60, "")</f>
        <v>0</v>
      </c>
      <c r="J7684" s="24" t="str" cm="1">
        <f t="array" ref="J7684">IFERROR(IF($B7684=J$1, ($A7684+$C7684) - MAX(IF($B$2:$B7683=$B7684, $A$2:$A7683+$C$2:$C7683)), "")*24*60, "")</f>
        <v/>
      </c>
      <c r="K7684" s="24" t="str" cm="1">
        <f t="array" ref="K7684">IFERROR(IF($B7684=K$1, ($A7684+$C7684) - MAX(IF($B$2:$B7683=$B7684, $A$2:$A7683+$C$2:$C7683)), "")*24*60, "")</f>
        <v/>
      </c>
      <c r="L7684" s="24" t="str" cm="1">
        <f t="array" ref="L7684">IFERROR(IF($B7684=L$1, ($A7684+$C7684) - MAX(IF($B$2:$B7683=$B7684, $A$2:$A7683+$C$2:$C7683)), "")*24*60, "")</f>
        <v/>
      </c>
      <c r="M7684" s="24" t="str" cm="1">
        <f t="array" ref="M7684">IFERROR(IF($B7684=M$1, ($A7684+$C7684) - MAX(IF($B$2:$B7683=$B7684, $A$2:$A7683+$C$2:$C7683)), "")*24*60, "")</f>
        <v/>
      </c>
      <c r="N7684" s="24" t="str" cm="1">
        <f t="array" ref="N7684">IFERROR(IF($B7684=N$1, ($A7684+$C7684) - MAX(IF($B$2:$B7683=$B7684, $A$2:$A7683+$C$2:$C7683)), "")*24*60, "")</f>
        <v/>
      </c>
      <c r="O7684" s="24" t="str" cm="1">
        <f t="array" ref="O7684">IFERROR(IF($B7684=O$1, ($A7684+$C7684) - MAX(IF($B$2:$B7683=$B7684, $A$2:$A7683+$C$2:$C7683)), "")*24*60, "")</f>
        <v/>
      </c>
      <c r="P7684" s="24" t="str" cm="1">
        <f t="array" ref="P7684">IFERROR(IF($B7684=P$1, ($A7684+$C7684) - MAX(IF($B$2:$B7683=$B7684, $A$2:$A7683+$C$2:$C7683)), "")*24*60, "")</f>
        <v/>
      </c>
      <c r="Q7684" s="24" t="str" cm="1">
        <f t="array" ref="Q7684">IFERROR(IF($B7684=Q$1, ($A7684+$C7684) - MAX(IF($B$2:$B7683=$B7684, $A$2:$A7683+$C$2:$C7683)), "")*24*60, "")</f>
        <v/>
      </c>
      <c r="R7684" s="24" t="str" cm="1">
        <f t="array" ref="R7684">IFERROR(IF($B7684=R$1, ($A7684+$C7684) - MAX(IF($B$2:$B7683=$B7684, $A$2:$A7683+$C$2:$C7683)), "")*24*60, "")</f>
        <v/>
      </c>
      <c r="S7684" s="24" t="str" cm="1">
        <f t="array" ref="S7684">IFERROR(IF($B7684=S$1, ($A7684+$C7684) - MAX(IF($B$2:$B7683=$B7684, $A$2:$A7683+$C$2:$C7683)), "")*24*60, "")</f>
        <v/>
      </c>
    </row>
    <row r="7685" spans="1:19" x14ac:dyDescent="0.2">
      <c r="A7685" s="12">
        <f t="shared" ref="A7685:C7685" si="1872">A7684</f>
        <v>46015</v>
      </c>
      <c r="B7685" s="5" t="str">
        <f t="shared" si="1872"/>
        <v>Northern Cardinal</v>
      </c>
      <c r="C7685" s="6">
        <f t="shared" si="1872"/>
        <v>0.74097222222222225</v>
      </c>
      <c r="D7685" s="5"/>
      <c r="E7685" s="5"/>
      <c r="F7685" s="5" t="s">
        <v>9</v>
      </c>
      <c r="G7685" s="15" t="s">
        <v>8</v>
      </c>
      <c r="H7685" s="24">
        <f t="shared" si="1830"/>
        <v>0</v>
      </c>
      <c r="I7685" s="24" cm="1">
        <f t="array" ref="I7685">IFERROR(IF($B7685=I$1, ($A7685+$C7685) - MAX(IF($B$2:$B7684=$B7685, $A$2:$A7684+$C$2:$C7684)), "")*24*60, "")</f>
        <v>0</v>
      </c>
      <c r="J7685" s="24" t="str" cm="1">
        <f t="array" ref="J7685">IFERROR(IF($B7685=J$1, ($A7685+$C7685) - MAX(IF($B$2:$B7684=$B7685, $A$2:$A7684+$C$2:$C7684)), "")*24*60, "")</f>
        <v/>
      </c>
      <c r="K7685" s="24" t="str" cm="1">
        <f t="array" ref="K7685">IFERROR(IF($B7685=K$1, ($A7685+$C7685) - MAX(IF($B$2:$B7684=$B7685, $A$2:$A7684+$C$2:$C7684)), "")*24*60, "")</f>
        <v/>
      </c>
      <c r="L7685" s="24" t="str" cm="1">
        <f t="array" ref="L7685">IFERROR(IF($B7685=L$1, ($A7685+$C7685) - MAX(IF($B$2:$B7684=$B7685, $A$2:$A7684+$C$2:$C7684)), "")*24*60, "")</f>
        <v/>
      </c>
      <c r="M7685" s="24" t="str" cm="1">
        <f t="array" ref="M7685">IFERROR(IF($B7685=M$1, ($A7685+$C7685) - MAX(IF($B$2:$B7684=$B7685, $A$2:$A7684+$C$2:$C7684)), "")*24*60, "")</f>
        <v/>
      </c>
      <c r="N7685" s="24" t="str" cm="1">
        <f t="array" ref="N7685">IFERROR(IF($B7685=N$1, ($A7685+$C7685) - MAX(IF($B$2:$B7684=$B7685, $A$2:$A7684+$C$2:$C7684)), "")*24*60, "")</f>
        <v/>
      </c>
      <c r="O7685" s="24" t="str" cm="1">
        <f t="array" ref="O7685">IFERROR(IF($B7685=O$1, ($A7685+$C7685) - MAX(IF($B$2:$B7684=$B7685, $A$2:$A7684+$C$2:$C7684)), "")*24*60, "")</f>
        <v/>
      </c>
      <c r="P7685" s="24" t="str" cm="1">
        <f t="array" ref="P7685">IFERROR(IF($B7685=P$1, ($A7685+$C7685) - MAX(IF($B$2:$B7684=$B7685, $A$2:$A7684+$C$2:$C7684)), "")*24*60, "")</f>
        <v/>
      </c>
      <c r="Q7685" s="24" t="str" cm="1">
        <f t="array" ref="Q7685">IFERROR(IF($B7685=Q$1, ($A7685+$C7685) - MAX(IF($B$2:$B7684=$B7685, $A$2:$A7684+$C$2:$C7684)), "")*24*60, "")</f>
        <v/>
      </c>
      <c r="R7685" s="24" t="str" cm="1">
        <f t="array" ref="R7685">IFERROR(IF($B7685=R$1, ($A7685+$C7685) - MAX(IF($B$2:$B7684=$B7685, $A$2:$A7684+$C$2:$C7684)), "")*24*60, "")</f>
        <v/>
      </c>
      <c r="S7685" s="24" t="str" cm="1">
        <f t="array" ref="S7685">IFERROR(IF($B7685=S$1, ($A7685+$C7685) - MAX(IF($B$2:$B7684=$B7685, $A$2:$A7684+$C$2:$C7684)), "")*24*60, "")</f>
        <v/>
      </c>
    </row>
    <row r="7686" spans="1:19" x14ac:dyDescent="0.2">
      <c r="A7686" s="12">
        <f t="shared" ref="A7686:C7686" si="1873">A7685</f>
        <v>46015</v>
      </c>
      <c r="B7686" s="5" t="str">
        <f t="shared" si="1873"/>
        <v>Northern Cardinal</v>
      </c>
      <c r="C7686" s="6">
        <f t="shared" si="1873"/>
        <v>0.74097222222222225</v>
      </c>
      <c r="D7686" s="5"/>
      <c r="E7686" s="5"/>
      <c r="F7686" s="5" t="s">
        <v>9</v>
      </c>
      <c r="G7686" s="15" t="s">
        <v>8</v>
      </c>
      <c r="H7686" s="24">
        <f t="shared" si="1830"/>
        <v>0</v>
      </c>
      <c r="I7686" s="24" cm="1">
        <f t="array" ref="I7686">IFERROR(IF($B7686=I$1, ($A7686+$C7686) - MAX(IF($B$2:$B7685=$B7686, $A$2:$A7685+$C$2:$C7685)), "")*24*60, "")</f>
        <v>0</v>
      </c>
      <c r="J7686" s="24" t="str" cm="1">
        <f t="array" ref="J7686">IFERROR(IF($B7686=J$1, ($A7686+$C7686) - MAX(IF($B$2:$B7685=$B7686, $A$2:$A7685+$C$2:$C7685)), "")*24*60, "")</f>
        <v/>
      </c>
      <c r="K7686" s="24" t="str" cm="1">
        <f t="array" ref="K7686">IFERROR(IF($B7686=K$1, ($A7686+$C7686) - MAX(IF($B$2:$B7685=$B7686, $A$2:$A7685+$C$2:$C7685)), "")*24*60, "")</f>
        <v/>
      </c>
      <c r="L7686" s="24" t="str" cm="1">
        <f t="array" ref="L7686">IFERROR(IF($B7686=L$1, ($A7686+$C7686) - MAX(IF($B$2:$B7685=$B7686, $A$2:$A7685+$C$2:$C7685)), "")*24*60, "")</f>
        <v/>
      </c>
      <c r="M7686" s="24" t="str" cm="1">
        <f t="array" ref="M7686">IFERROR(IF($B7686=M$1, ($A7686+$C7686) - MAX(IF($B$2:$B7685=$B7686, $A$2:$A7685+$C$2:$C7685)), "")*24*60, "")</f>
        <v/>
      </c>
      <c r="N7686" s="24" t="str" cm="1">
        <f t="array" ref="N7686">IFERROR(IF($B7686=N$1, ($A7686+$C7686) - MAX(IF($B$2:$B7685=$B7686, $A$2:$A7685+$C$2:$C7685)), "")*24*60, "")</f>
        <v/>
      </c>
      <c r="O7686" s="24" t="str" cm="1">
        <f t="array" ref="O7686">IFERROR(IF($B7686=O$1, ($A7686+$C7686) - MAX(IF($B$2:$B7685=$B7686, $A$2:$A7685+$C$2:$C7685)), "")*24*60, "")</f>
        <v/>
      </c>
      <c r="P7686" s="24" t="str" cm="1">
        <f t="array" ref="P7686">IFERROR(IF($B7686=P$1, ($A7686+$C7686) - MAX(IF($B$2:$B7685=$B7686, $A$2:$A7685+$C$2:$C7685)), "")*24*60, "")</f>
        <v/>
      </c>
      <c r="Q7686" s="24" t="str" cm="1">
        <f t="array" ref="Q7686">IFERROR(IF($B7686=Q$1, ($A7686+$C7686) - MAX(IF($B$2:$B7685=$B7686, $A$2:$A7685+$C$2:$C7685)), "")*24*60, "")</f>
        <v/>
      </c>
      <c r="R7686" s="24" t="str" cm="1">
        <f t="array" ref="R7686">IFERROR(IF($B7686=R$1, ($A7686+$C7686) - MAX(IF($B$2:$B7685=$B7686, $A$2:$A7685+$C$2:$C7685)), "")*24*60, "")</f>
        <v/>
      </c>
      <c r="S7686" s="24" t="str" cm="1">
        <f t="array" ref="S7686">IFERROR(IF($B7686=S$1, ($A7686+$C7686) - MAX(IF($B$2:$B7685=$B7686, $A$2:$A7685+$C$2:$C7685)), "")*24*60, "")</f>
        <v/>
      </c>
    </row>
    <row r="7687" spans="1:19" x14ac:dyDescent="0.2">
      <c r="A7687" s="12">
        <f t="shared" ref="A7687:C7687" si="1874">A7686</f>
        <v>46015</v>
      </c>
      <c r="B7687" s="5" t="str">
        <f t="shared" si="1874"/>
        <v>Northern Cardinal</v>
      </c>
      <c r="C7687" s="6">
        <f t="shared" si="1874"/>
        <v>0.74097222222222225</v>
      </c>
      <c r="D7687" s="5"/>
      <c r="E7687" s="5"/>
      <c r="F7687" s="5" t="s">
        <v>9</v>
      </c>
      <c r="G7687" s="15" t="s">
        <v>8</v>
      </c>
      <c r="H7687" s="24">
        <f t="shared" si="1830"/>
        <v>0</v>
      </c>
      <c r="I7687" s="24" cm="1">
        <f t="array" ref="I7687">IFERROR(IF($B7687=I$1, ($A7687+$C7687) - MAX(IF($B$2:$B7686=$B7687, $A$2:$A7686+$C$2:$C7686)), "")*24*60, "")</f>
        <v>0</v>
      </c>
      <c r="J7687" s="24" t="str" cm="1">
        <f t="array" ref="J7687">IFERROR(IF($B7687=J$1, ($A7687+$C7687) - MAX(IF($B$2:$B7686=$B7687, $A$2:$A7686+$C$2:$C7686)), "")*24*60, "")</f>
        <v/>
      </c>
      <c r="K7687" s="24" t="str" cm="1">
        <f t="array" ref="K7687">IFERROR(IF($B7687=K$1, ($A7687+$C7687) - MAX(IF($B$2:$B7686=$B7687, $A$2:$A7686+$C$2:$C7686)), "")*24*60, "")</f>
        <v/>
      </c>
      <c r="L7687" s="24" t="str" cm="1">
        <f t="array" ref="L7687">IFERROR(IF($B7687=L$1, ($A7687+$C7687) - MAX(IF($B$2:$B7686=$B7687, $A$2:$A7686+$C$2:$C7686)), "")*24*60, "")</f>
        <v/>
      </c>
      <c r="M7687" s="24" t="str" cm="1">
        <f t="array" ref="M7687">IFERROR(IF($B7687=M$1, ($A7687+$C7687) - MAX(IF($B$2:$B7686=$B7687, $A$2:$A7686+$C$2:$C7686)), "")*24*60, "")</f>
        <v/>
      </c>
      <c r="N7687" s="24" t="str" cm="1">
        <f t="array" ref="N7687">IFERROR(IF($B7687=N$1, ($A7687+$C7687) - MAX(IF($B$2:$B7686=$B7687, $A$2:$A7686+$C$2:$C7686)), "")*24*60, "")</f>
        <v/>
      </c>
      <c r="O7687" s="24" t="str" cm="1">
        <f t="array" ref="O7687">IFERROR(IF($B7687=O$1, ($A7687+$C7687) - MAX(IF($B$2:$B7686=$B7687, $A$2:$A7686+$C$2:$C7686)), "")*24*60, "")</f>
        <v/>
      </c>
      <c r="P7687" s="24" t="str" cm="1">
        <f t="array" ref="P7687">IFERROR(IF($B7687=P$1, ($A7687+$C7687) - MAX(IF($B$2:$B7686=$B7687, $A$2:$A7686+$C$2:$C7686)), "")*24*60, "")</f>
        <v/>
      </c>
      <c r="Q7687" s="24" t="str" cm="1">
        <f t="array" ref="Q7687">IFERROR(IF($B7687=Q$1, ($A7687+$C7687) - MAX(IF($B$2:$B7686=$B7687, $A$2:$A7686+$C$2:$C7686)), "")*24*60, "")</f>
        <v/>
      </c>
      <c r="R7687" s="24" t="str" cm="1">
        <f t="array" ref="R7687">IFERROR(IF($B7687=R$1, ($A7687+$C7687) - MAX(IF($B$2:$B7686=$B7687, $A$2:$A7686+$C$2:$C7686)), "")*24*60, "")</f>
        <v/>
      </c>
      <c r="S7687" s="24" t="str" cm="1">
        <f t="array" ref="S7687">IFERROR(IF($B7687=S$1, ($A7687+$C7687) - MAX(IF($B$2:$B7686=$B7687, $A$2:$A7686+$C$2:$C7686)), "")*24*60, "")</f>
        <v/>
      </c>
    </row>
    <row r="7688" spans="1:19" x14ac:dyDescent="0.2">
      <c r="A7688" s="12">
        <f t="shared" ref="A7688:C7688" si="1875">A7687</f>
        <v>46015</v>
      </c>
      <c r="B7688" s="5" t="str">
        <f t="shared" si="1875"/>
        <v>Northern Cardinal</v>
      </c>
      <c r="C7688" s="6">
        <f t="shared" si="1875"/>
        <v>0.74097222222222225</v>
      </c>
      <c r="D7688" s="5"/>
      <c r="E7688" s="5"/>
      <c r="F7688" s="5" t="s">
        <v>9</v>
      </c>
      <c r="G7688" s="15" t="s">
        <v>8</v>
      </c>
      <c r="H7688" s="24">
        <f t="shared" si="1830"/>
        <v>0</v>
      </c>
      <c r="I7688" s="24" cm="1">
        <f t="array" ref="I7688">IFERROR(IF($B7688=I$1, ($A7688+$C7688) - MAX(IF($B$2:$B7687=$B7688, $A$2:$A7687+$C$2:$C7687)), "")*24*60, "")</f>
        <v>0</v>
      </c>
      <c r="J7688" s="24" t="str" cm="1">
        <f t="array" ref="J7688">IFERROR(IF($B7688=J$1, ($A7688+$C7688) - MAX(IF($B$2:$B7687=$B7688, $A$2:$A7687+$C$2:$C7687)), "")*24*60, "")</f>
        <v/>
      </c>
      <c r="K7688" s="24" t="str" cm="1">
        <f t="array" ref="K7688">IFERROR(IF($B7688=K$1, ($A7688+$C7688) - MAX(IF($B$2:$B7687=$B7688, $A$2:$A7687+$C$2:$C7687)), "")*24*60, "")</f>
        <v/>
      </c>
      <c r="L7688" s="24" t="str" cm="1">
        <f t="array" ref="L7688">IFERROR(IF($B7688=L$1, ($A7688+$C7688) - MAX(IF($B$2:$B7687=$B7688, $A$2:$A7687+$C$2:$C7687)), "")*24*60, "")</f>
        <v/>
      </c>
      <c r="M7688" s="24" t="str" cm="1">
        <f t="array" ref="M7688">IFERROR(IF($B7688=M$1, ($A7688+$C7688) - MAX(IF($B$2:$B7687=$B7688, $A$2:$A7687+$C$2:$C7687)), "")*24*60, "")</f>
        <v/>
      </c>
      <c r="N7688" s="24" t="str" cm="1">
        <f t="array" ref="N7688">IFERROR(IF($B7688=N$1, ($A7688+$C7688) - MAX(IF($B$2:$B7687=$B7688, $A$2:$A7687+$C$2:$C7687)), "")*24*60, "")</f>
        <v/>
      </c>
      <c r="O7688" s="24" t="str" cm="1">
        <f t="array" ref="O7688">IFERROR(IF($B7688=O$1, ($A7688+$C7688) - MAX(IF($B$2:$B7687=$B7688, $A$2:$A7687+$C$2:$C7687)), "")*24*60, "")</f>
        <v/>
      </c>
      <c r="P7688" s="24" t="str" cm="1">
        <f t="array" ref="P7688">IFERROR(IF($B7688=P$1, ($A7688+$C7688) - MAX(IF($B$2:$B7687=$B7688, $A$2:$A7687+$C$2:$C7687)), "")*24*60, "")</f>
        <v/>
      </c>
      <c r="Q7688" s="24" t="str" cm="1">
        <f t="array" ref="Q7688">IFERROR(IF($B7688=Q$1, ($A7688+$C7688) - MAX(IF($B$2:$B7687=$B7688, $A$2:$A7687+$C$2:$C7687)), "")*24*60, "")</f>
        <v/>
      </c>
      <c r="R7688" s="24" t="str" cm="1">
        <f t="array" ref="R7688">IFERROR(IF($B7688=R$1, ($A7688+$C7688) - MAX(IF($B$2:$B7687=$B7688, $A$2:$A7687+$C$2:$C7687)), "")*24*60, "")</f>
        <v/>
      </c>
      <c r="S7688" s="24" t="str" cm="1">
        <f t="array" ref="S7688">IFERROR(IF($B7688=S$1, ($A7688+$C7688) - MAX(IF($B$2:$B7687=$B7688, $A$2:$A7687+$C$2:$C7687)), "")*24*60, "")</f>
        <v/>
      </c>
    </row>
    <row r="7689" spans="1:19" x14ac:dyDescent="0.2">
      <c r="A7689" s="12">
        <f t="shared" ref="A7689:C7689" si="1876">A7688</f>
        <v>46015</v>
      </c>
      <c r="B7689" s="5" t="str">
        <f t="shared" si="1876"/>
        <v>Northern Cardinal</v>
      </c>
      <c r="C7689" s="6">
        <f t="shared" si="1876"/>
        <v>0.74097222222222225</v>
      </c>
      <c r="D7689" s="5"/>
      <c r="E7689" s="5"/>
      <c r="F7689" s="5" t="s">
        <v>9</v>
      </c>
      <c r="G7689" s="15" t="s">
        <v>8</v>
      </c>
      <c r="H7689" s="24">
        <f t="shared" si="1830"/>
        <v>0</v>
      </c>
      <c r="I7689" s="24" cm="1">
        <f t="array" ref="I7689">IFERROR(IF($B7689=I$1, ($A7689+$C7689) - MAX(IF($B$2:$B7688=$B7689, $A$2:$A7688+$C$2:$C7688)), "")*24*60, "")</f>
        <v>0</v>
      </c>
      <c r="J7689" s="24" t="str" cm="1">
        <f t="array" ref="J7689">IFERROR(IF($B7689=J$1, ($A7689+$C7689) - MAX(IF($B$2:$B7688=$B7689, $A$2:$A7688+$C$2:$C7688)), "")*24*60, "")</f>
        <v/>
      </c>
      <c r="K7689" s="24" t="str" cm="1">
        <f t="array" ref="K7689">IFERROR(IF($B7689=K$1, ($A7689+$C7689) - MAX(IF($B$2:$B7688=$B7689, $A$2:$A7688+$C$2:$C7688)), "")*24*60, "")</f>
        <v/>
      </c>
      <c r="L7689" s="24" t="str" cm="1">
        <f t="array" ref="L7689">IFERROR(IF($B7689=L$1, ($A7689+$C7689) - MAX(IF($B$2:$B7688=$B7689, $A$2:$A7688+$C$2:$C7688)), "")*24*60, "")</f>
        <v/>
      </c>
      <c r="M7689" s="24" t="str" cm="1">
        <f t="array" ref="M7689">IFERROR(IF($B7689=M$1, ($A7689+$C7689) - MAX(IF($B$2:$B7688=$B7689, $A$2:$A7688+$C$2:$C7688)), "")*24*60, "")</f>
        <v/>
      </c>
      <c r="N7689" s="24" t="str" cm="1">
        <f t="array" ref="N7689">IFERROR(IF($B7689=N$1, ($A7689+$C7689) - MAX(IF($B$2:$B7688=$B7689, $A$2:$A7688+$C$2:$C7688)), "")*24*60, "")</f>
        <v/>
      </c>
      <c r="O7689" s="24" t="str" cm="1">
        <f t="array" ref="O7689">IFERROR(IF($B7689=O$1, ($A7689+$C7689) - MAX(IF($B$2:$B7688=$B7689, $A$2:$A7688+$C$2:$C7688)), "")*24*60, "")</f>
        <v/>
      </c>
      <c r="P7689" s="24" t="str" cm="1">
        <f t="array" ref="P7689">IFERROR(IF($B7689=P$1, ($A7689+$C7689) - MAX(IF($B$2:$B7688=$B7689, $A$2:$A7688+$C$2:$C7688)), "")*24*60, "")</f>
        <v/>
      </c>
      <c r="Q7689" s="24" t="str" cm="1">
        <f t="array" ref="Q7689">IFERROR(IF($B7689=Q$1, ($A7689+$C7689) - MAX(IF($B$2:$B7688=$B7689, $A$2:$A7688+$C$2:$C7688)), "")*24*60, "")</f>
        <v/>
      </c>
      <c r="R7689" s="24" t="str" cm="1">
        <f t="array" ref="R7689">IFERROR(IF($B7689=R$1, ($A7689+$C7689) - MAX(IF($B$2:$B7688=$B7689, $A$2:$A7688+$C$2:$C7688)), "")*24*60, "")</f>
        <v/>
      </c>
      <c r="S7689" s="24" t="str" cm="1">
        <f t="array" ref="S7689">IFERROR(IF($B7689=S$1, ($A7689+$C7689) - MAX(IF($B$2:$B7688=$B7689, $A$2:$A7688+$C$2:$C7688)), "")*24*60, "")</f>
        <v/>
      </c>
    </row>
    <row r="7690" spans="1:19" x14ac:dyDescent="0.2">
      <c r="A7690" s="12">
        <f t="shared" ref="A7690:C7690" si="1877">A7689</f>
        <v>46015</v>
      </c>
      <c r="B7690" s="5" t="str">
        <f t="shared" si="1877"/>
        <v>Northern Cardinal</v>
      </c>
      <c r="C7690" s="6">
        <f t="shared" si="1877"/>
        <v>0.74097222222222225</v>
      </c>
      <c r="D7690" s="5"/>
      <c r="E7690" s="5"/>
      <c r="F7690" s="5" t="s">
        <v>9</v>
      </c>
      <c r="G7690" s="15" t="s">
        <v>8</v>
      </c>
      <c r="H7690" s="24">
        <f t="shared" si="1830"/>
        <v>0</v>
      </c>
      <c r="I7690" s="24" cm="1">
        <f t="array" ref="I7690">IFERROR(IF($B7690=I$1, ($A7690+$C7690) - MAX(IF($B$2:$B7689=$B7690, $A$2:$A7689+$C$2:$C7689)), "")*24*60, "")</f>
        <v>0</v>
      </c>
      <c r="J7690" s="24" t="str" cm="1">
        <f t="array" ref="J7690">IFERROR(IF($B7690=J$1, ($A7690+$C7690) - MAX(IF($B$2:$B7689=$B7690, $A$2:$A7689+$C$2:$C7689)), "")*24*60, "")</f>
        <v/>
      </c>
      <c r="K7690" s="24" t="str" cm="1">
        <f t="array" ref="K7690">IFERROR(IF($B7690=K$1, ($A7690+$C7690) - MAX(IF($B$2:$B7689=$B7690, $A$2:$A7689+$C$2:$C7689)), "")*24*60, "")</f>
        <v/>
      </c>
      <c r="L7690" s="24" t="str" cm="1">
        <f t="array" ref="L7690">IFERROR(IF($B7690=L$1, ($A7690+$C7690) - MAX(IF($B$2:$B7689=$B7690, $A$2:$A7689+$C$2:$C7689)), "")*24*60, "")</f>
        <v/>
      </c>
      <c r="M7690" s="24" t="str" cm="1">
        <f t="array" ref="M7690">IFERROR(IF($B7690=M$1, ($A7690+$C7690) - MAX(IF($B$2:$B7689=$B7690, $A$2:$A7689+$C$2:$C7689)), "")*24*60, "")</f>
        <v/>
      </c>
      <c r="N7690" s="24" t="str" cm="1">
        <f t="array" ref="N7690">IFERROR(IF($B7690=N$1, ($A7690+$C7690) - MAX(IF($B$2:$B7689=$B7690, $A$2:$A7689+$C$2:$C7689)), "")*24*60, "")</f>
        <v/>
      </c>
      <c r="O7690" s="24" t="str" cm="1">
        <f t="array" ref="O7690">IFERROR(IF($B7690=O$1, ($A7690+$C7690) - MAX(IF($B$2:$B7689=$B7690, $A$2:$A7689+$C$2:$C7689)), "")*24*60, "")</f>
        <v/>
      </c>
      <c r="P7690" s="24" t="str" cm="1">
        <f t="array" ref="P7690">IFERROR(IF($B7690=P$1, ($A7690+$C7690) - MAX(IF($B$2:$B7689=$B7690, $A$2:$A7689+$C$2:$C7689)), "")*24*60, "")</f>
        <v/>
      </c>
      <c r="Q7690" s="24" t="str" cm="1">
        <f t="array" ref="Q7690">IFERROR(IF($B7690=Q$1, ($A7690+$C7690) - MAX(IF($B$2:$B7689=$B7690, $A$2:$A7689+$C$2:$C7689)), "")*24*60, "")</f>
        <v/>
      </c>
      <c r="R7690" s="24" t="str" cm="1">
        <f t="array" ref="R7690">IFERROR(IF($B7690=R$1, ($A7690+$C7690) - MAX(IF($B$2:$B7689=$B7690, $A$2:$A7689+$C$2:$C7689)), "")*24*60, "")</f>
        <v/>
      </c>
      <c r="S7690" s="24" t="str" cm="1">
        <f t="array" ref="S7690">IFERROR(IF($B7690=S$1, ($A7690+$C7690) - MAX(IF($B$2:$B7689=$B7690, $A$2:$A7689+$C$2:$C7689)), "")*24*60, "")</f>
        <v/>
      </c>
    </row>
    <row r="7691" spans="1:19" x14ac:dyDescent="0.2">
      <c r="A7691" s="12">
        <f t="shared" ref="A7691:C7691" si="1878">A7690</f>
        <v>46015</v>
      </c>
      <c r="B7691" s="5" t="str">
        <f t="shared" si="1878"/>
        <v>Northern Cardinal</v>
      </c>
      <c r="C7691" s="6">
        <f t="shared" si="1878"/>
        <v>0.74097222222222225</v>
      </c>
      <c r="D7691" s="5"/>
      <c r="E7691" s="5"/>
      <c r="F7691" s="5" t="s">
        <v>9</v>
      </c>
      <c r="G7691" s="15" t="s">
        <v>8</v>
      </c>
      <c r="H7691" s="24">
        <f t="shared" si="1830"/>
        <v>0</v>
      </c>
      <c r="I7691" s="24" cm="1">
        <f t="array" ref="I7691">IFERROR(IF($B7691=I$1, ($A7691+$C7691) - MAX(IF($B$2:$B7690=$B7691, $A$2:$A7690+$C$2:$C7690)), "")*24*60, "")</f>
        <v>0</v>
      </c>
      <c r="J7691" s="24" t="str" cm="1">
        <f t="array" ref="J7691">IFERROR(IF($B7691=J$1, ($A7691+$C7691) - MAX(IF($B$2:$B7690=$B7691, $A$2:$A7690+$C$2:$C7690)), "")*24*60, "")</f>
        <v/>
      </c>
      <c r="K7691" s="24" t="str" cm="1">
        <f t="array" ref="K7691">IFERROR(IF($B7691=K$1, ($A7691+$C7691) - MAX(IF($B$2:$B7690=$B7691, $A$2:$A7690+$C$2:$C7690)), "")*24*60, "")</f>
        <v/>
      </c>
      <c r="L7691" s="24" t="str" cm="1">
        <f t="array" ref="L7691">IFERROR(IF($B7691=L$1, ($A7691+$C7691) - MAX(IF($B$2:$B7690=$B7691, $A$2:$A7690+$C$2:$C7690)), "")*24*60, "")</f>
        <v/>
      </c>
      <c r="M7691" s="24" t="str" cm="1">
        <f t="array" ref="M7691">IFERROR(IF($B7691=M$1, ($A7691+$C7691) - MAX(IF($B$2:$B7690=$B7691, $A$2:$A7690+$C$2:$C7690)), "")*24*60, "")</f>
        <v/>
      </c>
      <c r="N7691" s="24" t="str" cm="1">
        <f t="array" ref="N7691">IFERROR(IF($B7691=N$1, ($A7691+$C7691) - MAX(IF($B$2:$B7690=$B7691, $A$2:$A7690+$C$2:$C7690)), "")*24*60, "")</f>
        <v/>
      </c>
      <c r="O7691" s="24" t="str" cm="1">
        <f t="array" ref="O7691">IFERROR(IF($B7691=O$1, ($A7691+$C7691) - MAX(IF($B$2:$B7690=$B7691, $A$2:$A7690+$C$2:$C7690)), "")*24*60, "")</f>
        <v/>
      </c>
      <c r="P7691" s="24" t="str" cm="1">
        <f t="array" ref="P7691">IFERROR(IF($B7691=P$1, ($A7691+$C7691) - MAX(IF($B$2:$B7690=$B7691, $A$2:$A7690+$C$2:$C7690)), "")*24*60, "")</f>
        <v/>
      </c>
      <c r="Q7691" s="24" t="str" cm="1">
        <f t="array" ref="Q7691">IFERROR(IF($B7691=Q$1, ($A7691+$C7691) - MAX(IF($B$2:$B7690=$B7691, $A$2:$A7690+$C$2:$C7690)), "")*24*60, "")</f>
        <v/>
      </c>
      <c r="R7691" s="24" t="str" cm="1">
        <f t="array" ref="R7691">IFERROR(IF($B7691=R$1, ($A7691+$C7691) - MAX(IF($B$2:$B7690=$B7691, $A$2:$A7690+$C$2:$C7690)), "")*24*60, "")</f>
        <v/>
      </c>
      <c r="S7691" s="24" t="str" cm="1">
        <f t="array" ref="S7691">IFERROR(IF($B7691=S$1, ($A7691+$C7691) - MAX(IF($B$2:$B7690=$B7691, $A$2:$A7690+$C$2:$C7690)), "")*24*60, "")</f>
        <v/>
      </c>
    </row>
    <row r="7692" spans="1:19" x14ac:dyDescent="0.2">
      <c r="A7692" s="12">
        <f t="shared" ref="A7692:C7692" si="1879">A7691</f>
        <v>46015</v>
      </c>
      <c r="B7692" s="5" t="str">
        <f t="shared" si="1879"/>
        <v>Northern Cardinal</v>
      </c>
      <c r="C7692" s="6">
        <f t="shared" si="1879"/>
        <v>0.74097222222222225</v>
      </c>
      <c r="D7692" s="5"/>
      <c r="E7692" s="5"/>
      <c r="F7692" s="5" t="s">
        <v>9</v>
      </c>
      <c r="G7692" s="15" t="s">
        <v>8</v>
      </c>
      <c r="H7692" s="24">
        <f t="shared" si="1830"/>
        <v>0</v>
      </c>
      <c r="I7692" s="24" cm="1">
        <f t="array" ref="I7692">IFERROR(IF($B7692=I$1, ($A7692+$C7692) - MAX(IF($B$2:$B7691=$B7692, $A$2:$A7691+$C$2:$C7691)), "")*24*60, "")</f>
        <v>0</v>
      </c>
      <c r="J7692" s="24" t="str" cm="1">
        <f t="array" ref="J7692">IFERROR(IF($B7692=J$1, ($A7692+$C7692) - MAX(IF($B$2:$B7691=$B7692, $A$2:$A7691+$C$2:$C7691)), "")*24*60, "")</f>
        <v/>
      </c>
      <c r="K7692" s="24" t="str" cm="1">
        <f t="array" ref="K7692">IFERROR(IF($B7692=K$1, ($A7692+$C7692) - MAX(IF($B$2:$B7691=$B7692, $A$2:$A7691+$C$2:$C7691)), "")*24*60, "")</f>
        <v/>
      </c>
      <c r="L7692" s="24" t="str" cm="1">
        <f t="array" ref="L7692">IFERROR(IF($B7692=L$1, ($A7692+$C7692) - MAX(IF($B$2:$B7691=$B7692, $A$2:$A7691+$C$2:$C7691)), "")*24*60, "")</f>
        <v/>
      </c>
      <c r="M7692" s="24" t="str" cm="1">
        <f t="array" ref="M7692">IFERROR(IF($B7692=M$1, ($A7692+$C7692) - MAX(IF($B$2:$B7691=$B7692, $A$2:$A7691+$C$2:$C7691)), "")*24*60, "")</f>
        <v/>
      </c>
      <c r="N7692" s="24" t="str" cm="1">
        <f t="array" ref="N7692">IFERROR(IF($B7692=N$1, ($A7692+$C7692) - MAX(IF($B$2:$B7691=$B7692, $A$2:$A7691+$C$2:$C7691)), "")*24*60, "")</f>
        <v/>
      </c>
      <c r="O7692" s="24" t="str" cm="1">
        <f t="array" ref="O7692">IFERROR(IF($B7692=O$1, ($A7692+$C7692) - MAX(IF($B$2:$B7691=$B7692, $A$2:$A7691+$C$2:$C7691)), "")*24*60, "")</f>
        <v/>
      </c>
      <c r="P7692" s="24" t="str" cm="1">
        <f t="array" ref="P7692">IFERROR(IF($B7692=P$1, ($A7692+$C7692) - MAX(IF($B$2:$B7691=$B7692, $A$2:$A7691+$C$2:$C7691)), "")*24*60, "")</f>
        <v/>
      </c>
      <c r="Q7692" s="24" t="str" cm="1">
        <f t="array" ref="Q7692">IFERROR(IF($B7692=Q$1, ($A7692+$C7692) - MAX(IF($B$2:$B7691=$B7692, $A$2:$A7691+$C$2:$C7691)), "")*24*60, "")</f>
        <v/>
      </c>
      <c r="R7692" s="24" t="str" cm="1">
        <f t="array" ref="R7692">IFERROR(IF($B7692=R$1, ($A7692+$C7692) - MAX(IF($B$2:$B7691=$B7692, $A$2:$A7691+$C$2:$C7691)), "")*24*60, "")</f>
        <v/>
      </c>
      <c r="S7692" s="24" t="str" cm="1">
        <f t="array" ref="S7692">IFERROR(IF($B7692=S$1, ($A7692+$C7692) - MAX(IF($B$2:$B7691=$B7692, $A$2:$A7691+$C$2:$C7691)), "")*24*60, "")</f>
        <v/>
      </c>
    </row>
    <row r="7693" spans="1:19" x14ac:dyDescent="0.2">
      <c r="A7693" s="12">
        <f t="shared" ref="A7693:C7693" si="1880">A7692</f>
        <v>46015</v>
      </c>
      <c r="B7693" s="5" t="str">
        <f t="shared" si="1880"/>
        <v>Northern Cardinal</v>
      </c>
      <c r="C7693" s="6">
        <f t="shared" si="1880"/>
        <v>0.74097222222222225</v>
      </c>
      <c r="D7693" s="5"/>
      <c r="E7693" s="5"/>
      <c r="F7693" s="5" t="s">
        <v>9</v>
      </c>
      <c r="G7693" s="15" t="s">
        <v>8</v>
      </c>
      <c r="H7693" s="24">
        <f t="shared" si="1830"/>
        <v>0</v>
      </c>
      <c r="I7693" s="24" cm="1">
        <f t="array" ref="I7693">IFERROR(IF($B7693=I$1, ($A7693+$C7693) - MAX(IF($B$2:$B7692=$B7693, $A$2:$A7692+$C$2:$C7692)), "")*24*60, "")</f>
        <v>0</v>
      </c>
      <c r="J7693" s="24" t="str" cm="1">
        <f t="array" ref="J7693">IFERROR(IF($B7693=J$1, ($A7693+$C7693) - MAX(IF($B$2:$B7692=$B7693, $A$2:$A7692+$C$2:$C7692)), "")*24*60, "")</f>
        <v/>
      </c>
      <c r="K7693" s="24" t="str" cm="1">
        <f t="array" ref="K7693">IFERROR(IF($B7693=K$1, ($A7693+$C7693) - MAX(IF($B$2:$B7692=$B7693, $A$2:$A7692+$C$2:$C7692)), "")*24*60, "")</f>
        <v/>
      </c>
      <c r="L7693" s="24" t="str" cm="1">
        <f t="array" ref="L7693">IFERROR(IF($B7693=L$1, ($A7693+$C7693) - MAX(IF($B$2:$B7692=$B7693, $A$2:$A7692+$C$2:$C7692)), "")*24*60, "")</f>
        <v/>
      </c>
      <c r="M7693" s="24" t="str" cm="1">
        <f t="array" ref="M7693">IFERROR(IF($B7693=M$1, ($A7693+$C7693) - MAX(IF($B$2:$B7692=$B7693, $A$2:$A7692+$C$2:$C7692)), "")*24*60, "")</f>
        <v/>
      </c>
      <c r="N7693" s="24" t="str" cm="1">
        <f t="array" ref="N7693">IFERROR(IF($B7693=N$1, ($A7693+$C7693) - MAX(IF($B$2:$B7692=$B7693, $A$2:$A7692+$C$2:$C7692)), "")*24*60, "")</f>
        <v/>
      </c>
      <c r="O7693" s="24" t="str" cm="1">
        <f t="array" ref="O7693">IFERROR(IF($B7693=O$1, ($A7693+$C7693) - MAX(IF($B$2:$B7692=$B7693, $A$2:$A7692+$C$2:$C7692)), "")*24*60, "")</f>
        <v/>
      </c>
      <c r="P7693" s="24" t="str" cm="1">
        <f t="array" ref="P7693">IFERROR(IF($B7693=P$1, ($A7693+$C7693) - MAX(IF($B$2:$B7692=$B7693, $A$2:$A7692+$C$2:$C7692)), "")*24*60, "")</f>
        <v/>
      </c>
      <c r="Q7693" s="24" t="str" cm="1">
        <f t="array" ref="Q7693">IFERROR(IF($B7693=Q$1, ($A7693+$C7693) - MAX(IF($B$2:$B7692=$B7693, $A$2:$A7692+$C$2:$C7692)), "")*24*60, "")</f>
        <v/>
      </c>
      <c r="R7693" s="24" t="str" cm="1">
        <f t="array" ref="R7693">IFERROR(IF($B7693=R$1, ($A7693+$C7693) - MAX(IF($B$2:$B7692=$B7693, $A$2:$A7692+$C$2:$C7692)), "")*24*60, "")</f>
        <v/>
      </c>
      <c r="S7693" s="24" t="str" cm="1">
        <f t="array" ref="S7693">IFERROR(IF($B7693=S$1, ($A7693+$C7693) - MAX(IF($B$2:$B7692=$B7693, $A$2:$A7692+$C$2:$C7692)), "")*24*60, "")</f>
        <v/>
      </c>
    </row>
    <row r="7694" spans="1:19" x14ac:dyDescent="0.2">
      <c r="A7694" s="12">
        <f t="shared" ref="A7694:C7694" si="1881">A7693</f>
        <v>46015</v>
      </c>
      <c r="B7694" s="5" t="str">
        <f t="shared" si="1881"/>
        <v>Northern Cardinal</v>
      </c>
      <c r="C7694" s="6">
        <f t="shared" si="1881"/>
        <v>0.74097222222222225</v>
      </c>
      <c r="D7694" s="5"/>
      <c r="E7694" s="5"/>
      <c r="F7694" s="5" t="s">
        <v>9</v>
      </c>
      <c r="G7694" s="15" t="s">
        <v>8</v>
      </c>
      <c r="H7694" s="24">
        <f t="shared" si="1830"/>
        <v>0</v>
      </c>
      <c r="I7694" s="24" cm="1">
        <f t="array" ref="I7694">IFERROR(IF($B7694=I$1, ($A7694+$C7694) - MAX(IF($B$2:$B7693=$B7694, $A$2:$A7693+$C$2:$C7693)), "")*24*60, "")</f>
        <v>0</v>
      </c>
      <c r="J7694" s="24" t="str" cm="1">
        <f t="array" ref="J7694">IFERROR(IF($B7694=J$1, ($A7694+$C7694) - MAX(IF($B$2:$B7693=$B7694, $A$2:$A7693+$C$2:$C7693)), "")*24*60, "")</f>
        <v/>
      </c>
      <c r="K7694" s="24" t="str" cm="1">
        <f t="array" ref="K7694">IFERROR(IF($B7694=K$1, ($A7694+$C7694) - MAX(IF($B$2:$B7693=$B7694, $A$2:$A7693+$C$2:$C7693)), "")*24*60, "")</f>
        <v/>
      </c>
      <c r="L7694" s="24" t="str" cm="1">
        <f t="array" ref="L7694">IFERROR(IF($B7694=L$1, ($A7694+$C7694) - MAX(IF($B$2:$B7693=$B7694, $A$2:$A7693+$C$2:$C7693)), "")*24*60, "")</f>
        <v/>
      </c>
      <c r="M7694" s="24" t="str" cm="1">
        <f t="array" ref="M7694">IFERROR(IF($B7694=M$1, ($A7694+$C7694) - MAX(IF($B$2:$B7693=$B7694, $A$2:$A7693+$C$2:$C7693)), "")*24*60, "")</f>
        <v/>
      </c>
      <c r="N7694" s="24" t="str" cm="1">
        <f t="array" ref="N7694">IFERROR(IF($B7694=N$1, ($A7694+$C7694) - MAX(IF($B$2:$B7693=$B7694, $A$2:$A7693+$C$2:$C7693)), "")*24*60, "")</f>
        <v/>
      </c>
      <c r="O7694" s="24" t="str" cm="1">
        <f t="array" ref="O7694">IFERROR(IF($B7694=O$1, ($A7694+$C7694) - MAX(IF($B$2:$B7693=$B7694, $A$2:$A7693+$C$2:$C7693)), "")*24*60, "")</f>
        <v/>
      </c>
      <c r="P7694" s="24" t="str" cm="1">
        <f t="array" ref="P7694">IFERROR(IF($B7694=P$1, ($A7694+$C7694) - MAX(IF($B$2:$B7693=$B7694, $A$2:$A7693+$C$2:$C7693)), "")*24*60, "")</f>
        <v/>
      </c>
      <c r="Q7694" s="24" t="str" cm="1">
        <f t="array" ref="Q7694">IFERROR(IF($B7694=Q$1, ($A7694+$C7694) - MAX(IF($B$2:$B7693=$B7694, $A$2:$A7693+$C$2:$C7693)), "")*24*60, "")</f>
        <v/>
      </c>
      <c r="R7694" s="24" t="str" cm="1">
        <f t="array" ref="R7694">IFERROR(IF($B7694=R$1, ($A7694+$C7694) - MAX(IF($B$2:$B7693=$B7694, $A$2:$A7693+$C$2:$C7693)), "")*24*60, "")</f>
        <v/>
      </c>
      <c r="S7694" s="24" t="str" cm="1">
        <f t="array" ref="S7694">IFERROR(IF($B7694=S$1, ($A7694+$C7694) - MAX(IF($B$2:$B7693=$B7694, $A$2:$A7693+$C$2:$C7693)), "")*24*60, "")</f>
        <v/>
      </c>
    </row>
    <row r="7695" spans="1:19" x14ac:dyDescent="0.2">
      <c r="A7695" s="12">
        <f t="shared" ref="A7695:C7695" si="1882">A7694</f>
        <v>46015</v>
      </c>
      <c r="B7695" s="5" t="str">
        <f t="shared" si="1882"/>
        <v>Northern Cardinal</v>
      </c>
      <c r="C7695" s="6">
        <f t="shared" si="1882"/>
        <v>0.74097222222222225</v>
      </c>
      <c r="D7695" s="5"/>
      <c r="E7695" s="5"/>
      <c r="F7695" s="5" t="s">
        <v>9</v>
      </c>
      <c r="G7695" s="15" t="s">
        <v>8</v>
      </c>
      <c r="H7695" s="24">
        <f t="shared" si="1830"/>
        <v>0</v>
      </c>
      <c r="I7695" s="24" cm="1">
        <f t="array" ref="I7695">IFERROR(IF($B7695=I$1, ($A7695+$C7695) - MAX(IF($B$2:$B7694=$B7695, $A$2:$A7694+$C$2:$C7694)), "")*24*60, "")</f>
        <v>0</v>
      </c>
      <c r="J7695" s="24" t="str" cm="1">
        <f t="array" ref="J7695">IFERROR(IF($B7695=J$1, ($A7695+$C7695) - MAX(IF($B$2:$B7694=$B7695, $A$2:$A7694+$C$2:$C7694)), "")*24*60, "")</f>
        <v/>
      </c>
      <c r="K7695" s="24" t="str" cm="1">
        <f t="array" ref="K7695">IFERROR(IF($B7695=K$1, ($A7695+$C7695) - MAX(IF($B$2:$B7694=$B7695, $A$2:$A7694+$C$2:$C7694)), "")*24*60, "")</f>
        <v/>
      </c>
      <c r="L7695" s="24" t="str" cm="1">
        <f t="array" ref="L7695">IFERROR(IF($B7695=L$1, ($A7695+$C7695) - MAX(IF($B$2:$B7694=$B7695, $A$2:$A7694+$C$2:$C7694)), "")*24*60, "")</f>
        <v/>
      </c>
      <c r="M7695" s="24" t="str" cm="1">
        <f t="array" ref="M7695">IFERROR(IF($B7695=M$1, ($A7695+$C7695) - MAX(IF($B$2:$B7694=$B7695, $A$2:$A7694+$C$2:$C7694)), "")*24*60, "")</f>
        <v/>
      </c>
      <c r="N7695" s="24" t="str" cm="1">
        <f t="array" ref="N7695">IFERROR(IF($B7695=N$1, ($A7695+$C7695) - MAX(IF($B$2:$B7694=$B7695, $A$2:$A7694+$C$2:$C7694)), "")*24*60, "")</f>
        <v/>
      </c>
      <c r="O7695" s="24" t="str" cm="1">
        <f t="array" ref="O7695">IFERROR(IF($B7695=O$1, ($A7695+$C7695) - MAX(IF($B$2:$B7694=$B7695, $A$2:$A7694+$C$2:$C7694)), "")*24*60, "")</f>
        <v/>
      </c>
      <c r="P7695" s="24" t="str" cm="1">
        <f t="array" ref="P7695">IFERROR(IF($B7695=P$1, ($A7695+$C7695) - MAX(IF($B$2:$B7694=$B7695, $A$2:$A7694+$C$2:$C7694)), "")*24*60, "")</f>
        <v/>
      </c>
      <c r="Q7695" s="24" t="str" cm="1">
        <f t="array" ref="Q7695">IFERROR(IF($B7695=Q$1, ($A7695+$C7695) - MAX(IF($B$2:$B7694=$B7695, $A$2:$A7694+$C$2:$C7694)), "")*24*60, "")</f>
        <v/>
      </c>
      <c r="R7695" s="24" t="str" cm="1">
        <f t="array" ref="R7695">IFERROR(IF($B7695=R$1, ($A7695+$C7695) - MAX(IF($B$2:$B7694=$B7695, $A$2:$A7694+$C$2:$C7694)), "")*24*60, "")</f>
        <v/>
      </c>
      <c r="S7695" s="24" t="str" cm="1">
        <f t="array" ref="S7695">IFERROR(IF($B7695=S$1, ($A7695+$C7695) - MAX(IF($B$2:$B7694=$B7695, $A$2:$A7694+$C$2:$C7694)), "")*24*60, "")</f>
        <v/>
      </c>
    </row>
    <row r="7696" spans="1:19" x14ac:dyDescent="0.2">
      <c r="A7696" s="12">
        <f t="shared" ref="A7696:C7696" si="1883">A7695</f>
        <v>46015</v>
      </c>
      <c r="B7696" s="5" t="str">
        <f t="shared" si="1883"/>
        <v>Northern Cardinal</v>
      </c>
      <c r="C7696" s="6">
        <f t="shared" si="1883"/>
        <v>0.74097222222222225</v>
      </c>
      <c r="D7696" s="5"/>
      <c r="E7696" s="5"/>
      <c r="F7696" s="5" t="s">
        <v>9</v>
      </c>
      <c r="G7696" s="15" t="s">
        <v>8</v>
      </c>
      <c r="H7696" s="24">
        <f t="shared" si="1830"/>
        <v>0</v>
      </c>
      <c r="I7696" s="24" cm="1">
        <f t="array" ref="I7696">IFERROR(IF($B7696=I$1, ($A7696+$C7696) - MAX(IF($B$2:$B7695=$B7696, $A$2:$A7695+$C$2:$C7695)), "")*24*60, "")</f>
        <v>0</v>
      </c>
      <c r="J7696" s="24" t="str" cm="1">
        <f t="array" ref="J7696">IFERROR(IF($B7696=J$1, ($A7696+$C7696) - MAX(IF($B$2:$B7695=$B7696, $A$2:$A7695+$C$2:$C7695)), "")*24*60, "")</f>
        <v/>
      </c>
      <c r="K7696" s="24" t="str" cm="1">
        <f t="array" ref="K7696">IFERROR(IF($B7696=K$1, ($A7696+$C7696) - MAX(IF($B$2:$B7695=$B7696, $A$2:$A7695+$C$2:$C7695)), "")*24*60, "")</f>
        <v/>
      </c>
      <c r="L7696" s="24" t="str" cm="1">
        <f t="array" ref="L7696">IFERROR(IF($B7696=L$1, ($A7696+$C7696) - MAX(IF($B$2:$B7695=$B7696, $A$2:$A7695+$C$2:$C7695)), "")*24*60, "")</f>
        <v/>
      </c>
      <c r="M7696" s="24" t="str" cm="1">
        <f t="array" ref="M7696">IFERROR(IF($B7696=M$1, ($A7696+$C7696) - MAX(IF($B$2:$B7695=$B7696, $A$2:$A7695+$C$2:$C7695)), "")*24*60, "")</f>
        <v/>
      </c>
      <c r="N7696" s="24" t="str" cm="1">
        <f t="array" ref="N7696">IFERROR(IF($B7696=N$1, ($A7696+$C7696) - MAX(IF($B$2:$B7695=$B7696, $A$2:$A7695+$C$2:$C7695)), "")*24*60, "")</f>
        <v/>
      </c>
      <c r="O7696" s="24" t="str" cm="1">
        <f t="array" ref="O7696">IFERROR(IF($B7696=O$1, ($A7696+$C7696) - MAX(IF($B$2:$B7695=$B7696, $A$2:$A7695+$C$2:$C7695)), "")*24*60, "")</f>
        <v/>
      </c>
      <c r="P7696" s="24" t="str" cm="1">
        <f t="array" ref="P7696">IFERROR(IF($B7696=P$1, ($A7696+$C7696) - MAX(IF($B$2:$B7695=$B7696, $A$2:$A7695+$C$2:$C7695)), "")*24*60, "")</f>
        <v/>
      </c>
      <c r="Q7696" s="24" t="str" cm="1">
        <f t="array" ref="Q7696">IFERROR(IF($B7696=Q$1, ($A7696+$C7696) - MAX(IF($B$2:$B7695=$B7696, $A$2:$A7695+$C$2:$C7695)), "")*24*60, "")</f>
        <v/>
      </c>
      <c r="R7696" s="24" t="str" cm="1">
        <f t="array" ref="R7696">IFERROR(IF($B7696=R$1, ($A7696+$C7696) - MAX(IF($B$2:$B7695=$B7696, $A$2:$A7695+$C$2:$C7695)), "")*24*60, "")</f>
        <v/>
      </c>
      <c r="S7696" s="24" t="str" cm="1">
        <f t="array" ref="S7696">IFERROR(IF($B7696=S$1, ($A7696+$C7696) - MAX(IF($B$2:$B7695=$B7696, $A$2:$A7695+$C$2:$C7695)), "")*24*60, "")</f>
        <v/>
      </c>
    </row>
    <row r="7697" spans="1:19" x14ac:dyDescent="0.2">
      <c r="A7697" s="12">
        <f t="shared" ref="A7697:C7697" si="1884">A7696</f>
        <v>46015</v>
      </c>
      <c r="B7697" s="5" t="str">
        <f t="shared" si="1884"/>
        <v>Northern Cardinal</v>
      </c>
      <c r="C7697" s="6">
        <f t="shared" si="1884"/>
        <v>0.74097222222222225</v>
      </c>
      <c r="D7697" s="5"/>
      <c r="E7697" s="5"/>
      <c r="F7697" s="5" t="s">
        <v>9</v>
      </c>
      <c r="G7697" s="15" t="s">
        <v>8</v>
      </c>
      <c r="H7697" s="24">
        <f t="shared" si="1830"/>
        <v>0</v>
      </c>
      <c r="I7697" s="24" cm="1">
        <f t="array" ref="I7697">IFERROR(IF($B7697=I$1, ($A7697+$C7697) - MAX(IF($B$2:$B7696=$B7697, $A$2:$A7696+$C$2:$C7696)), "")*24*60, "")</f>
        <v>0</v>
      </c>
      <c r="J7697" s="24" t="str" cm="1">
        <f t="array" ref="J7697">IFERROR(IF($B7697=J$1, ($A7697+$C7697) - MAX(IF($B$2:$B7696=$B7697, $A$2:$A7696+$C$2:$C7696)), "")*24*60, "")</f>
        <v/>
      </c>
      <c r="K7697" s="24" t="str" cm="1">
        <f t="array" ref="K7697">IFERROR(IF($B7697=K$1, ($A7697+$C7697) - MAX(IF($B$2:$B7696=$B7697, $A$2:$A7696+$C$2:$C7696)), "")*24*60, "")</f>
        <v/>
      </c>
      <c r="L7697" s="24" t="str" cm="1">
        <f t="array" ref="L7697">IFERROR(IF($B7697=L$1, ($A7697+$C7697) - MAX(IF($B$2:$B7696=$B7697, $A$2:$A7696+$C$2:$C7696)), "")*24*60, "")</f>
        <v/>
      </c>
      <c r="M7697" s="24" t="str" cm="1">
        <f t="array" ref="M7697">IFERROR(IF($B7697=M$1, ($A7697+$C7697) - MAX(IF($B$2:$B7696=$B7697, $A$2:$A7696+$C$2:$C7696)), "")*24*60, "")</f>
        <v/>
      </c>
      <c r="N7697" s="24" t="str" cm="1">
        <f t="array" ref="N7697">IFERROR(IF($B7697=N$1, ($A7697+$C7697) - MAX(IF($B$2:$B7696=$B7697, $A$2:$A7696+$C$2:$C7696)), "")*24*60, "")</f>
        <v/>
      </c>
      <c r="O7697" s="24" t="str" cm="1">
        <f t="array" ref="O7697">IFERROR(IF($B7697=O$1, ($A7697+$C7697) - MAX(IF($B$2:$B7696=$B7697, $A$2:$A7696+$C$2:$C7696)), "")*24*60, "")</f>
        <v/>
      </c>
      <c r="P7697" s="24" t="str" cm="1">
        <f t="array" ref="P7697">IFERROR(IF($B7697=P$1, ($A7697+$C7697) - MAX(IF($B$2:$B7696=$B7697, $A$2:$A7696+$C$2:$C7696)), "")*24*60, "")</f>
        <v/>
      </c>
      <c r="Q7697" s="24" t="str" cm="1">
        <f t="array" ref="Q7697">IFERROR(IF($B7697=Q$1, ($A7697+$C7697) - MAX(IF($B$2:$B7696=$B7697, $A$2:$A7696+$C$2:$C7696)), "")*24*60, "")</f>
        <v/>
      </c>
      <c r="R7697" s="24" t="str" cm="1">
        <f t="array" ref="R7697">IFERROR(IF($B7697=R$1, ($A7697+$C7697) - MAX(IF($B$2:$B7696=$B7697, $A$2:$A7696+$C$2:$C7696)), "")*24*60, "")</f>
        <v/>
      </c>
      <c r="S7697" s="24" t="str" cm="1">
        <f t="array" ref="S7697">IFERROR(IF($B7697=S$1, ($A7697+$C7697) - MAX(IF($B$2:$B7696=$B7697, $A$2:$A7696+$C$2:$C7696)), "")*24*60, "")</f>
        <v/>
      </c>
    </row>
    <row r="7698" spans="1:19" x14ac:dyDescent="0.2">
      <c r="A7698" s="12">
        <f t="shared" ref="A7698:C7698" si="1885">A7697</f>
        <v>46015</v>
      </c>
      <c r="B7698" s="5" t="str">
        <f t="shared" si="1885"/>
        <v>Northern Cardinal</v>
      </c>
      <c r="C7698" s="6">
        <f t="shared" si="1885"/>
        <v>0.74097222222222225</v>
      </c>
      <c r="D7698" s="5"/>
      <c r="E7698" s="5"/>
      <c r="F7698" s="5" t="s">
        <v>9</v>
      </c>
      <c r="G7698" s="15" t="s">
        <v>8</v>
      </c>
      <c r="H7698" s="24">
        <f t="shared" si="1830"/>
        <v>0</v>
      </c>
      <c r="I7698" s="24" cm="1">
        <f t="array" ref="I7698">IFERROR(IF($B7698=I$1, ($A7698+$C7698) - MAX(IF($B$2:$B7697=$B7698, $A$2:$A7697+$C$2:$C7697)), "")*24*60, "")</f>
        <v>0</v>
      </c>
      <c r="J7698" s="24" t="str" cm="1">
        <f t="array" ref="J7698">IFERROR(IF($B7698=J$1, ($A7698+$C7698) - MAX(IF($B$2:$B7697=$B7698, $A$2:$A7697+$C$2:$C7697)), "")*24*60, "")</f>
        <v/>
      </c>
      <c r="K7698" s="24" t="str" cm="1">
        <f t="array" ref="K7698">IFERROR(IF($B7698=K$1, ($A7698+$C7698) - MAX(IF($B$2:$B7697=$B7698, $A$2:$A7697+$C$2:$C7697)), "")*24*60, "")</f>
        <v/>
      </c>
      <c r="L7698" s="24" t="str" cm="1">
        <f t="array" ref="L7698">IFERROR(IF($B7698=L$1, ($A7698+$C7698) - MAX(IF($B$2:$B7697=$B7698, $A$2:$A7697+$C$2:$C7697)), "")*24*60, "")</f>
        <v/>
      </c>
      <c r="M7698" s="24" t="str" cm="1">
        <f t="array" ref="M7698">IFERROR(IF($B7698=M$1, ($A7698+$C7698) - MAX(IF($B$2:$B7697=$B7698, $A$2:$A7697+$C$2:$C7697)), "")*24*60, "")</f>
        <v/>
      </c>
      <c r="N7698" s="24" t="str" cm="1">
        <f t="array" ref="N7698">IFERROR(IF($B7698=N$1, ($A7698+$C7698) - MAX(IF($B$2:$B7697=$B7698, $A$2:$A7697+$C$2:$C7697)), "")*24*60, "")</f>
        <v/>
      </c>
      <c r="O7698" s="24" t="str" cm="1">
        <f t="array" ref="O7698">IFERROR(IF($B7698=O$1, ($A7698+$C7698) - MAX(IF($B$2:$B7697=$B7698, $A$2:$A7697+$C$2:$C7697)), "")*24*60, "")</f>
        <v/>
      </c>
      <c r="P7698" s="24" t="str" cm="1">
        <f t="array" ref="P7698">IFERROR(IF($B7698=P$1, ($A7698+$C7698) - MAX(IF($B$2:$B7697=$B7698, $A$2:$A7697+$C$2:$C7697)), "")*24*60, "")</f>
        <v/>
      </c>
      <c r="Q7698" s="24" t="str" cm="1">
        <f t="array" ref="Q7698">IFERROR(IF($B7698=Q$1, ($A7698+$C7698) - MAX(IF($B$2:$B7697=$B7698, $A$2:$A7697+$C$2:$C7697)), "")*24*60, "")</f>
        <v/>
      </c>
      <c r="R7698" s="24" t="str" cm="1">
        <f t="array" ref="R7698">IFERROR(IF($B7698=R$1, ($A7698+$C7698) - MAX(IF($B$2:$B7697=$B7698, $A$2:$A7697+$C$2:$C7697)), "")*24*60, "")</f>
        <v/>
      </c>
      <c r="S7698" s="24" t="str" cm="1">
        <f t="array" ref="S7698">IFERROR(IF($B7698=S$1, ($A7698+$C7698) - MAX(IF($B$2:$B7697=$B7698, $A$2:$A7697+$C$2:$C7697)), "")*24*60, "")</f>
        <v/>
      </c>
    </row>
    <row r="7699" spans="1:19" x14ac:dyDescent="0.2">
      <c r="A7699" s="12">
        <f t="shared" ref="A7699:C7699" si="1886">A7698</f>
        <v>46015</v>
      </c>
      <c r="B7699" s="5" t="str">
        <f t="shared" si="1886"/>
        <v>Northern Cardinal</v>
      </c>
      <c r="C7699" s="6">
        <f t="shared" si="1886"/>
        <v>0.74097222222222225</v>
      </c>
      <c r="D7699" s="5"/>
      <c r="E7699" s="5"/>
      <c r="F7699" s="5" t="s">
        <v>9</v>
      </c>
      <c r="G7699" s="15" t="s">
        <v>8</v>
      </c>
      <c r="H7699" s="24">
        <f t="shared" si="1830"/>
        <v>0</v>
      </c>
      <c r="I7699" s="24" cm="1">
        <f t="array" ref="I7699">IFERROR(IF($B7699=I$1, ($A7699+$C7699) - MAX(IF($B$2:$B7698=$B7699, $A$2:$A7698+$C$2:$C7698)), "")*24*60, "")</f>
        <v>0</v>
      </c>
      <c r="J7699" s="24" t="str" cm="1">
        <f t="array" ref="J7699">IFERROR(IF($B7699=J$1, ($A7699+$C7699) - MAX(IF($B$2:$B7698=$B7699, $A$2:$A7698+$C$2:$C7698)), "")*24*60, "")</f>
        <v/>
      </c>
      <c r="K7699" s="24" t="str" cm="1">
        <f t="array" ref="K7699">IFERROR(IF($B7699=K$1, ($A7699+$C7699) - MAX(IF($B$2:$B7698=$B7699, $A$2:$A7698+$C$2:$C7698)), "")*24*60, "")</f>
        <v/>
      </c>
      <c r="L7699" s="24" t="str" cm="1">
        <f t="array" ref="L7699">IFERROR(IF($B7699=L$1, ($A7699+$C7699) - MAX(IF($B$2:$B7698=$B7699, $A$2:$A7698+$C$2:$C7698)), "")*24*60, "")</f>
        <v/>
      </c>
      <c r="M7699" s="24" t="str" cm="1">
        <f t="array" ref="M7699">IFERROR(IF($B7699=M$1, ($A7699+$C7699) - MAX(IF($B$2:$B7698=$B7699, $A$2:$A7698+$C$2:$C7698)), "")*24*60, "")</f>
        <v/>
      </c>
      <c r="N7699" s="24" t="str" cm="1">
        <f t="array" ref="N7699">IFERROR(IF($B7699=N$1, ($A7699+$C7699) - MAX(IF($B$2:$B7698=$B7699, $A$2:$A7698+$C$2:$C7698)), "")*24*60, "")</f>
        <v/>
      </c>
      <c r="O7699" s="24" t="str" cm="1">
        <f t="array" ref="O7699">IFERROR(IF($B7699=O$1, ($A7699+$C7699) - MAX(IF($B$2:$B7698=$B7699, $A$2:$A7698+$C$2:$C7698)), "")*24*60, "")</f>
        <v/>
      </c>
      <c r="P7699" s="24" t="str" cm="1">
        <f t="array" ref="P7699">IFERROR(IF($B7699=P$1, ($A7699+$C7699) - MAX(IF($B$2:$B7698=$B7699, $A$2:$A7698+$C$2:$C7698)), "")*24*60, "")</f>
        <v/>
      </c>
      <c r="Q7699" s="24" t="str" cm="1">
        <f t="array" ref="Q7699">IFERROR(IF($B7699=Q$1, ($A7699+$C7699) - MAX(IF($B$2:$B7698=$B7699, $A$2:$A7698+$C$2:$C7698)), "")*24*60, "")</f>
        <v/>
      </c>
      <c r="R7699" s="24" t="str" cm="1">
        <f t="array" ref="R7699">IFERROR(IF($B7699=R$1, ($A7699+$C7699) - MAX(IF($B$2:$B7698=$B7699, $A$2:$A7698+$C$2:$C7698)), "")*24*60, "")</f>
        <v/>
      </c>
      <c r="S7699" s="24" t="str" cm="1">
        <f t="array" ref="S7699">IFERROR(IF($B7699=S$1, ($A7699+$C7699) - MAX(IF($B$2:$B7698=$B7699, $A$2:$A7698+$C$2:$C7698)), "")*24*60, "")</f>
        <v/>
      </c>
    </row>
    <row r="7700" spans="1:19" x14ac:dyDescent="0.2">
      <c r="A7700" s="12">
        <f t="shared" ref="A7700:C7700" si="1887">A7699</f>
        <v>46015</v>
      </c>
      <c r="B7700" s="5" t="str">
        <f t="shared" si="1887"/>
        <v>Northern Cardinal</v>
      </c>
      <c r="C7700" s="6">
        <f t="shared" si="1887"/>
        <v>0.74097222222222225</v>
      </c>
      <c r="D7700" s="5"/>
      <c r="E7700" s="5"/>
      <c r="F7700" s="5" t="s">
        <v>9</v>
      </c>
      <c r="G7700" s="15" t="s">
        <v>8</v>
      </c>
      <c r="H7700" s="24">
        <f t="shared" si="1830"/>
        <v>0</v>
      </c>
      <c r="I7700" s="24" cm="1">
        <f t="array" ref="I7700">IFERROR(IF($B7700=I$1, ($A7700+$C7700) - MAX(IF($B$2:$B7699=$B7700, $A$2:$A7699+$C$2:$C7699)), "")*24*60, "")</f>
        <v>0</v>
      </c>
      <c r="J7700" s="24" t="str" cm="1">
        <f t="array" ref="J7700">IFERROR(IF($B7700=J$1, ($A7700+$C7700) - MAX(IF($B$2:$B7699=$B7700, $A$2:$A7699+$C$2:$C7699)), "")*24*60, "")</f>
        <v/>
      </c>
      <c r="K7700" s="24" t="str" cm="1">
        <f t="array" ref="K7700">IFERROR(IF($B7700=K$1, ($A7700+$C7700) - MAX(IF($B$2:$B7699=$B7700, $A$2:$A7699+$C$2:$C7699)), "")*24*60, "")</f>
        <v/>
      </c>
      <c r="L7700" s="24" t="str" cm="1">
        <f t="array" ref="L7700">IFERROR(IF($B7700=L$1, ($A7700+$C7700) - MAX(IF($B$2:$B7699=$B7700, $A$2:$A7699+$C$2:$C7699)), "")*24*60, "")</f>
        <v/>
      </c>
      <c r="M7700" s="24" t="str" cm="1">
        <f t="array" ref="M7700">IFERROR(IF($B7700=M$1, ($A7700+$C7700) - MAX(IF($B$2:$B7699=$B7700, $A$2:$A7699+$C$2:$C7699)), "")*24*60, "")</f>
        <v/>
      </c>
      <c r="N7700" s="24" t="str" cm="1">
        <f t="array" ref="N7700">IFERROR(IF($B7700=N$1, ($A7700+$C7700) - MAX(IF($B$2:$B7699=$B7700, $A$2:$A7699+$C$2:$C7699)), "")*24*60, "")</f>
        <v/>
      </c>
      <c r="O7700" s="24" t="str" cm="1">
        <f t="array" ref="O7700">IFERROR(IF($B7700=O$1, ($A7700+$C7700) - MAX(IF($B$2:$B7699=$B7700, $A$2:$A7699+$C$2:$C7699)), "")*24*60, "")</f>
        <v/>
      </c>
      <c r="P7700" s="24" t="str" cm="1">
        <f t="array" ref="P7700">IFERROR(IF($B7700=P$1, ($A7700+$C7700) - MAX(IF($B$2:$B7699=$B7700, $A$2:$A7699+$C$2:$C7699)), "")*24*60, "")</f>
        <v/>
      </c>
      <c r="Q7700" s="24" t="str" cm="1">
        <f t="array" ref="Q7700">IFERROR(IF($B7700=Q$1, ($A7700+$C7700) - MAX(IF($B$2:$B7699=$B7700, $A$2:$A7699+$C$2:$C7699)), "")*24*60, "")</f>
        <v/>
      </c>
      <c r="R7700" s="24" t="str" cm="1">
        <f t="array" ref="R7700">IFERROR(IF($B7700=R$1, ($A7700+$C7700) - MAX(IF($B$2:$B7699=$B7700, $A$2:$A7699+$C$2:$C7699)), "")*24*60, "")</f>
        <v/>
      </c>
      <c r="S7700" s="24" t="str" cm="1">
        <f t="array" ref="S7700">IFERROR(IF($B7700=S$1, ($A7700+$C7700) - MAX(IF($B$2:$B7699=$B7700, $A$2:$A7699+$C$2:$C7699)), "")*24*60, "")</f>
        <v/>
      </c>
    </row>
    <row r="7701" spans="1:19" x14ac:dyDescent="0.2">
      <c r="A7701" s="12">
        <f t="shared" ref="A7701:C7701" si="1888">A7700</f>
        <v>46015</v>
      </c>
      <c r="B7701" s="5" t="str">
        <f t="shared" si="1888"/>
        <v>Northern Cardinal</v>
      </c>
      <c r="C7701" s="6">
        <f t="shared" si="1888"/>
        <v>0.74097222222222225</v>
      </c>
      <c r="D7701" s="5"/>
      <c r="E7701" s="5"/>
      <c r="F7701" s="5" t="s">
        <v>9</v>
      </c>
      <c r="G7701" s="15" t="s">
        <v>8</v>
      </c>
      <c r="H7701" s="24">
        <f t="shared" si="1830"/>
        <v>0</v>
      </c>
      <c r="I7701" s="24" cm="1">
        <f t="array" ref="I7701">IFERROR(IF($B7701=I$1, ($A7701+$C7701) - MAX(IF($B$2:$B7700=$B7701, $A$2:$A7700+$C$2:$C7700)), "")*24*60, "")</f>
        <v>0</v>
      </c>
      <c r="J7701" s="24" t="str" cm="1">
        <f t="array" ref="J7701">IFERROR(IF($B7701=J$1, ($A7701+$C7701) - MAX(IF($B$2:$B7700=$B7701, $A$2:$A7700+$C$2:$C7700)), "")*24*60, "")</f>
        <v/>
      </c>
      <c r="K7701" s="24" t="str" cm="1">
        <f t="array" ref="K7701">IFERROR(IF($B7701=K$1, ($A7701+$C7701) - MAX(IF($B$2:$B7700=$B7701, $A$2:$A7700+$C$2:$C7700)), "")*24*60, "")</f>
        <v/>
      </c>
      <c r="L7701" s="24" t="str" cm="1">
        <f t="array" ref="L7701">IFERROR(IF($B7701=L$1, ($A7701+$C7701) - MAX(IF($B$2:$B7700=$B7701, $A$2:$A7700+$C$2:$C7700)), "")*24*60, "")</f>
        <v/>
      </c>
      <c r="M7701" s="24" t="str" cm="1">
        <f t="array" ref="M7701">IFERROR(IF($B7701=M$1, ($A7701+$C7701) - MAX(IF($B$2:$B7700=$B7701, $A$2:$A7700+$C$2:$C7700)), "")*24*60, "")</f>
        <v/>
      </c>
      <c r="N7701" s="24" t="str" cm="1">
        <f t="array" ref="N7701">IFERROR(IF($B7701=N$1, ($A7701+$C7701) - MAX(IF($B$2:$B7700=$B7701, $A$2:$A7700+$C$2:$C7700)), "")*24*60, "")</f>
        <v/>
      </c>
      <c r="O7701" s="24" t="str" cm="1">
        <f t="array" ref="O7701">IFERROR(IF($B7701=O$1, ($A7701+$C7701) - MAX(IF($B$2:$B7700=$B7701, $A$2:$A7700+$C$2:$C7700)), "")*24*60, "")</f>
        <v/>
      </c>
      <c r="P7701" s="24" t="str" cm="1">
        <f t="array" ref="P7701">IFERROR(IF($B7701=P$1, ($A7701+$C7701) - MAX(IF($B$2:$B7700=$B7701, $A$2:$A7700+$C$2:$C7700)), "")*24*60, "")</f>
        <v/>
      </c>
      <c r="Q7701" s="24" t="str" cm="1">
        <f t="array" ref="Q7701">IFERROR(IF($B7701=Q$1, ($A7701+$C7701) - MAX(IF($B$2:$B7700=$B7701, $A$2:$A7700+$C$2:$C7700)), "")*24*60, "")</f>
        <v/>
      </c>
      <c r="R7701" s="24" t="str" cm="1">
        <f t="array" ref="R7701">IFERROR(IF($B7701=R$1, ($A7701+$C7701) - MAX(IF($B$2:$B7700=$B7701, $A$2:$A7700+$C$2:$C7700)), "")*24*60, "")</f>
        <v/>
      </c>
      <c r="S7701" s="24" t="str" cm="1">
        <f t="array" ref="S7701">IFERROR(IF($B7701=S$1, ($A7701+$C7701) - MAX(IF($B$2:$B7700=$B7701, $A$2:$A7700+$C$2:$C7700)), "")*24*60, "")</f>
        <v/>
      </c>
    </row>
    <row r="7702" spans="1:19" x14ac:dyDescent="0.2">
      <c r="A7702" s="12">
        <f t="shared" ref="A7702:C7702" si="1889">A7701</f>
        <v>46015</v>
      </c>
      <c r="B7702" s="5" t="str">
        <f t="shared" si="1889"/>
        <v>Northern Cardinal</v>
      </c>
      <c r="C7702" s="6">
        <f t="shared" si="1889"/>
        <v>0.74097222222222225</v>
      </c>
      <c r="D7702" s="5"/>
      <c r="E7702" s="5"/>
      <c r="F7702" s="5" t="s">
        <v>9</v>
      </c>
      <c r="G7702" s="15" t="s">
        <v>8</v>
      </c>
      <c r="H7702" s="24">
        <f t="shared" si="1830"/>
        <v>0</v>
      </c>
      <c r="I7702" s="24" cm="1">
        <f t="array" ref="I7702">IFERROR(IF($B7702=I$1, ($A7702+$C7702) - MAX(IF($B$2:$B7701=$B7702, $A$2:$A7701+$C$2:$C7701)), "")*24*60, "")</f>
        <v>0</v>
      </c>
      <c r="J7702" s="24" t="str" cm="1">
        <f t="array" ref="J7702">IFERROR(IF($B7702=J$1, ($A7702+$C7702) - MAX(IF($B$2:$B7701=$B7702, $A$2:$A7701+$C$2:$C7701)), "")*24*60, "")</f>
        <v/>
      </c>
      <c r="K7702" s="24" t="str" cm="1">
        <f t="array" ref="K7702">IFERROR(IF($B7702=K$1, ($A7702+$C7702) - MAX(IF($B$2:$B7701=$B7702, $A$2:$A7701+$C$2:$C7701)), "")*24*60, "")</f>
        <v/>
      </c>
      <c r="L7702" s="24" t="str" cm="1">
        <f t="array" ref="L7702">IFERROR(IF($B7702=L$1, ($A7702+$C7702) - MAX(IF($B$2:$B7701=$B7702, $A$2:$A7701+$C$2:$C7701)), "")*24*60, "")</f>
        <v/>
      </c>
      <c r="M7702" s="24" t="str" cm="1">
        <f t="array" ref="M7702">IFERROR(IF($B7702=M$1, ($A7702+$C7702) - MAX(IF($B$2:$B7701=$B7702, $A$2:$A7701+$C$2:$C7701)), "")*24*60, "")</f>
        <v/>
      </c>
      <c r="N7702" s="24" t="str" cm="1">
        <f t="array" ref="N7702">IFERROR(IF($B7702=N$1, ($A7702+$C7702) - MAX(IF($B$2:$B7701=$B7702, $A$2:$A7701+$C$2:$C7701)), "")*24*60, "")</f>
        <v/>
      </c>
      <c r="O7702" s="24" t="str" cm="1">
        <f t="array" ref="O7702">IFERROR(IF($B7702=O$1, ($A7702+$C7702) - MAX(IF($B$2:$B7701=$B7702, $A$2:$A7701+$C$2:$C7701)), "")*24*60, "")</f>
        <v/>
      </c>
      <c r="P7702" s="24" t="str" cm="1">
        <f t="array" ref="P7702">IFERROR(IF($B7702=P$1, ($A7702+$C7702) - MAX(IF($B$2:$B7701=$B7702, $A$2:$A7701+$C$2:$C7701)), "")*24*60, "")</f>
        <v/>
      </c>
      <c r="Q7702" s="24" t="str" cm="1">
        <f t="array" ref="Q7702">IFERROR(IF($B7702=Q$1, ($A7702+$C7702) - MAX(IF($B$2:$B7701=$B7702, $A$2:$A7701+$C$2:$C7701)), "")*24*60, "")</f>
        <v/>
      </c>
      <c r="R7702" s="24" t="str" cm="1">
        <f t="array" ref="R7702">IFERROR(IF($B7702=R$1, ($A7702+$C7702) - MAX(IF($B$2:$B7701=$B7702, $A$2:$A7701+$C$2:$C7701)), "")*24*60, "")</f>
        <v/>
      </c>
      <c r="S7702" s="24" t="str" cm="1">
        <f t="array" ref="S7702">IFERROR(IF($B7702=S$1, ($A7702+$C7702) - MAX(IF($B$2:$B7701=$B7702, $A$2:$A7701+$C$2:$C7701)), "")*24*60, "")</f>
        <v/>
      </c>
    </row>
    <row r="7703" spans="1:19" x14ac:dyDescent="0.2">
      <c r="A7703" s="12">
        <f t="shared" ref="A7703:C7703" si="1890">A7702</f>
        <v>46015</v>
      </c>
      <c r="B7703" s="5" t="str">
        <f t="shared" si="1890"/>
        <v>Northern Cardinal</v>
      </c>
      <c r="C7703" s="6">
        <f t="shared" si="1890"/>
        <v>0.74097222222222225</v>
      </c>
      <c r="D7703" s="5"/>
      <c r="E7703" s="5"/>
      <c r="F7703" s="5" t="s">
        <v>9</v>
      </c>
      <c r="G7703" s="15" t="s">
        <v>8</v>
      </c>
      <c r="H7703" s="24">
        <f t="shared" si="1830"/>
        <v>0</v>
      </c>
      <c r="I7703" s="24" cm="1">
        <f t="array" ref="I7703">IFERROR(IF($B7703=I$1, ($A7703+$C7703) - MAX(IF($B$2:$B7702=$B7703, $A$2:$A7702+$C$2:$C7702)), "")*24*60, "")</f>
        <v>0</v>
      </c>
      <c r="J7703" s="24" t="str" cm="1">
        <f t="array" ref="J7703">IFERROR(IF($B7703=J$1, ($A7703+$C7703) - MAX(IF($B$2:$B7702=$B7703, $A$2:$A7702+$C$2:$C7702)), "")*24*60, "")</f>
        <v/>
      </c>
      <c r="K7703" s="24" t="str" cm="1">
        <f t="array" ref="K7703">IFERROR(IF($B7703=K$1, ($A7703+$C7703) - MAX(IF($B$2:$B7702=$B7703, $A$2:$A7702+$C$2:$C7702)), "")*24*60, "")</f>
        <v/>
      </c>
      <c r="L7703" s="24" t="str" cm="1">
        <f t="array" ref="L7703">IFERROR(IF($B7703=L$1, ($A7703+$C7703) - MAX(IF($B$2:$B7702=$B7703, $A$2:$A7702+$C$2:$C7702)), "")*24*60, "")</f>
        <v/>
      </c>
      <c r="M7703" s="24" t="str" cm="1">
        <f t="array" ref="M7703">IFERROR(IF($B7703=M$1, ($A7703+$C7703) - MAX(IF($B$2:$B7702=$B7703, $A$2:$A7702+$C$2:$C7702)), "")*24*60, "")</f>
        <v/>
      </c>
      <c r="N7703" s="24" t="str" cm="1">
        <f t="array" ref="N7703">IFERROR(IF($B7703=N$1, ($A7703+$C7703) - MAX(IF($B$2:$B7702=$B7703, $A$2:$A7702+$C$2:$C7702)), "")*24*60, "")</f>
        <v/>
      </c>
      <c r="O7703" s="24" t="str" cm="1">
        <f t="array" ref="O7703">IFERROR(IF($B7703=O$1, ($A7703+$C7703) - MAX(IF($B$2:$B7702=$B7703, $A$2:$A7702+$C$2:$C7702)), "")*24*60, "")</f>
        <v/>
      </c>
      <c r="P7703" s="24" t="str" cm="1">
        <f t="array" ref="P7703">IFERROR(IF($B7703=P$1, ($A7703+$C7703) - MAX(IF($B$2:$B7702=$B7703, $A$2:$A7702+$C$2:$C7702)), "")*24*60, "")</f>
        <v/>
      </c>
      <c r="Q7703" s="24" t="str" cm="1">
        <f t="array" ref="Q7703">IFERROR(IF($B7703=Q$1, ($A7703+$C7703) - MAX(IF($B$2:$B7702=$B7703, $A$2:$A7702+$C$2:$C7702)), "")*24*60, "")</f>
        <v/>
      </c>
      <c r="R7703" s="24" t="str" cm="1">
        <f t="array" ref="R7703">IFERROR(IF($B7703=R$1, ($A7703+$C7703) - MAX(IF($B$2:$B7702=$B7703, $A$2:$A7702+$C$2:$C7702)), "")*24*60, "")</f>
        <v/>
      </c>
      <c r="S7703" s="24" t="str" cm="1">
        <f t="array" ref="S7703">IFERROR(IF($B7703=S$1, ($A7703+$C7703) - MAX(IF($B$2:$B7702=$B7703, $A$2:$A7702+$C$2:$C7702)), "")*24*60, "")</f>
        <v/>
      </c>
    </row>
    <row r="7704" spans="1:19" x14ac:dyDescent="0.2">
      <c r="A7704" s="12">
        <f t="shared" ref="A7704:C7704" si="1891">A7703</f>
        <v>46015</v>
      </c>
      <c r="B7704" s="5" t="str">
        <f t="shared" si="1891"/>
        <v>Northern Cardinal</v>
      </c>
      <c r="C7704" s="6">
        <f t="shared" si="1891"/>
        <v>0.74097222222222225</v>
      </c>
      <c r="D7704" s="5"/>
      <c r="E7704" s="5"/>
      <c r="F7704" s="5" t="s">
        <v>9</v>
      </c>
      <c r="G7704" s="15" t="s">
        <v>8</v>
      </c>
      <c r="H7704" s="24">
        <f t="shared" si="1830"/>
        <v>0</v>
      </c>
      <c r="I7704" s="24" cm="1">
        <f t="array" ref="I7704">IFERROR(IF($B7704=I$1, ($A7704+$C7704) - MAX(IF($B$2:$B7703=$B7704, $A$2:$A7703+$C$2:$C7703)), "")*24*60, "")</f>
        <v>0</v>
      </c>
      <c r="J7704" s="24" t="str" cm="1">
        <f t="array" ref="J7704">IFERROR(IF($B7704=J$1, ($A7704+$C7704) - MAX(IF($B$2:$B7703=$B7704, $A$2:$A7703+$C$2:$C7703)), "")*24*60, "")</f>
        <v/>
      </c>
      <c r="K7704" s="24" t="str" cm="1">
        <f t="array" ref="K7704">IFERROR(IF($B7704=K$1, ($A7704+$C7704) - MAX(IF($B$2:$B7703=$B7704, $A$2:$A7703+$C$2:$C7703)), "")*24*60, "")</f>
        <v/>
      </c>
      <c r="L7704" s="24" t="str" cm="1">
        <f t="array" ref="L7704">IFERROR(IF($B7704=L$1, ($A7704+$C7704) - MAX(IF($B$2:$B7703=$B7704, $A$2:$A7703+$C$2:$C7703)), "")*24*60, "")</f>
        <v/>
      </c>
      <c r="M7704" s="24" t="str" cm="1">
        <f t="array" ref="M7704">IFERROR(IF($B7704=M$1, ($A7704+$C7704) - MAX(IF($B$2:$B7703=$B7704, $A$2:$A7703+$C$2:$C7703)), "")*24*60, "")</f>
        <v/>
      </c>
      <c r="N7704" s="24" t="str" cm="1">
        <f t="array" ref="N7704">IFERROR(IF($B7704=N$1, ($A7704+$C7704) - MAX(IF($B$2:$B7703=$B7704, $A$2:$A7703+$C$2:$C7703)), "")*24*60, "")</f>
        <v/>
      </c>
      <c r="O7704" s="24" t="str" cm="1">
        <f t="array" ref="O7704">IFERROR(IF($B7704=O$1, ($A7704+$C7704) - MAX(IF($B$2:$B7703=$B7704, $A$2:$A7703+$C$2:$C7703)), "")*24*60, "")</f>
        <v/>
      </c>
      <c r="P7704" s="24" t="str" cm="1">
        <f t="array" ref="P7704">IFERROR(IF($B7704=P$1, ($A7704+$C7704) - MAX(IF($B$2:$B7703=$B7704, $A$2:$A7703+$C$2:$C7703)), "")*24*60, "")</f>
        <v/>
      </c>
      <c r="Q7704" s="24" t="str" cm="1">
        <f t="array" ref="Q7704">IFERROR(IF($B7704=Q$1, ($A7704+$C7704) - MAX(IF($B$2:$B7703=$B7704, $A$2:$A7703+$C$2:$C7703)), "")*24*60, "")</f>
        <v/>
      </c>
      <c r="R7704" s="24" t="str" cm="1">
        <f t="array" ref="R7704">IFERROR(IF($B7704=R$1, ($A7704+$C7704) - MAX(IF($B$2:$B7703=$B7704, $A$2:$A7703+$C$2:$C7703)), "")*24*60, "")</f>
        <v/>
      </c>
      <c r="S7704" s="24" t="str" cm="1">
        <f t="array" ref="S7704">IFERROR(IF($B7704=S$1, ($A7704+$C7704) - MAX(IF($B$2:$B7703=$B7704, $A$2:$A7703+$C$2:$C7703)), "")*24*60, "")</f>
        <v/>
      </c>
    </row>
    <row r="7705" spans="1:19" x14ac:dyDescent="0.2">
      <c r="A7705" s="12">
        <f t="shared" ref="A7705:C7705" si="1892">A7704</f>
        <v>46015</v>
      </c>
      <c r="B7705" s="5" t="str">
        <f t="shared" si="1892"/>
        <v>Northern Cardinal</v>
      </c>
      <c r="C7705" s="6">
        <f t="shared" si="1892"/>
        <v>0.74097222222222225</v>
      </c>
      <c r="D7705" s="5"/>
      <c r="E7705" s="5"/>
      <c r="F7705" s="5" t="s">
        <v>9</v>
      </c>
      <c r="G7705" s="15" t="s">
        <v>8</v>
      </c>
      <c r="H7705" s="24">
        <f t="shared" si="1830"/>
        <v>0</v>
      </c>
      <c r="I7705" s="24" cm="1">
        <f t="array" ref="I7705">IFERROR(IF($B7705=I$1, ($A7705+$C7705) - MAX(IF($B$2:$B7704=$B7705, $A$2:$A7704+$C$2:$C7704)), "")*24*60, "")</f>
        <v>0</v>
      </c>
      <c r="J7705" s="24" t="str" cm="1">
        <f t="array" ref="J7705">IFERROR(IF($B7705=J$1, ($A7705+$C7705) - MAX(IF($B$2:$B7704=$B7705, $A$2:$A7704+$C$2:$C7704)), "")*24*60, "")</f>
        <v/>
      </c>
      <c r="K7705" s="24" t="str" cm="1">
        <f t="array" ref="K7705">IFERROR(IF($B7705=K$1, ($A7705+$C7705) - MAX(IF($B$2:$B7704=$B7705, $A$2:$A7704+$C$2:$C7704)), "")*24*60, "")</f>
        <v/>
      </c>
      <c r="L7705" s="24" t="str" cm="1">
        <f t="array" ref="L7705">IFERROR(IF($B7705=L$1, ($A7705+$C7705) - MAX(IF($B$2:$B7704=$B7705, $A$2:$A7704+$C$2:$C7704)), "")*24*60, "")</f>
        <v/>
      </c>
      <c r="M7705" s="24" t="str" cm="1">
        <f t="array" ref="M7705">IFERROR(IF($B7705=M$1, ($A7705+$C7705) - MAX(IF($B$2:$B7704=$B7705, $A$2:$A7704+$C$2:$C7704)), "")*24*60, "")</f>
        <v/>
      </c>
      <c r="N7705" s="24" t="str" cm="1">
        <f t="array" ref="N7705">IFERROR(IF($B7705=N$1, ($A7705+$C7705) - MAX(IF($B$2:$B7704=$B7705, $A$2:$A7704+$C$2:$C7704)), "")*24*60, "")</f>
        <v/>
      </c>
      <c r="O7705" s="24" t="str" cm="1">
        <f t="array" ref="O7705">IFERROR(IF($B7705=O$1, ($A7705+$C7705) - MAX(IF($B$2:$B7704=$B7705, $A$2:$A7704+$C$2:$C7704)), "")*24*60, "")</f>
        <v/>
      </c>
      <c r="P7705" s="24" t="str" cm="1">
        <f t="array" ref="P7705">IFERROR(IF($B7705=P$1, ($A7705+$C7705) - MAX(IF($B$2:$B7704=$B7705, $A$2:$A7704+$C$2:$C7704)), "")*24*60, "")</f>
        <v/>
      </c>
      <c r="Q7705" s="24" t="str" cm="1">
        <f t="array" ref="Q7705">IFERROR(IF($B7705=Q$1, ($A7705+$C7705) - MAX(IF($B$2:$B7704=$B7705, $A$2:$A7704+$C$2:$C7704)), "")*24*60, "")</f>
        <v/>
      </c>
      <c r="R7705" s="24" t="str" cm="1">
        <f t="array" ref="R7705">IFERROR(IF($B7705=R$1, ($A7705+$C7705) - MAX(IF($B$2:$B7704=$B7705, $A$2:$A7704+$C$2:$C7704)), "")*24*60, "")</f>
        <v/>
      </c>
      <c r="S7705" s="24" t="str" cm="1">
        <f t="array" ref="S7705">IFERROR(IF($B7705=S$1, ($A7705+$C7705) - MAX(IF($B$2:$B7704=$B7705, $A$2:$A7704+$C$2:$C7704)), "")*24*60, "")</f>
        <v/>
      </c>
    </row>
    <row r="7706" spans="1:19" x14ac:dyDescent="0.2">
      <c r="A7706" s="12">
        <f t="shared" ref="A7706:C7706" si="1893">A7705</f>
        <v>46015</v>
      </c>
      <c r="B7706" s="5" t="str">
        <f t="shared" si="1893"/>
        <v>Northern Cardinal</v>
      </c>
      <c r="C7706" s="6">
        <f t="shared" si="1893"/>
        <v>0.74097222222222225</v>
      </c>
      <c r="D7706" s="5"/>
      <c r="E7706" s="5"/>
      <c r="F7706" s="5" t="s">
        <v>9</v>
      </c>
      <c r="G7706" s="15" t="s">
        <v>8</v>
      </c>
      <c r="H7706" s="24">
        <f t="shared" si="1830"/>
        <v>0</v>
      </c>
      <c r="I7706" s="24" cm="1">
        <f t="array" ref="I7706">IFERROR(IF($B7706=I$1, ($A7706+$C7706) - MAX(IF($B$2:$B7705=$B7706, $A$2:$A7705+$C$2:$C7705)), "")*24*60, "")</f>
        <v>0</v>
      </c>
      <c r="J7706" s="24" t="str" cm="1">
        <f t="array" ref="J7706">IFERROR(IF($B7706=J$1, ($A7706+$C7706) - MAX(IF($B$2:$B7705=$B7706, $A$2:$A7705+$C$2:$C7705)), "")*24*60, "")</f>
        <v/>
      </c>
      <c r="K7706" s="24" t="str" cm="1">
        <f t="array" ref="K7706">IFERROR(IF($B7706=K$1, ($A7706+$C7706) - MAX(IF($B$2:$B7705=$B7706, $A$2:$A7705+$C$2:$C7705)), "")*24*60, "")</f>
        <v/>
      </c>
      <c r="L7706" s="24" t="str" cm="1">
        <f t="array" ref="L7706">IFERROR(IF($B7706=L$1, ($A7706+$C7706) - MAX(IF($B$2:$B7705=$B7706, $A$2:$A7705+$C$2:$C7705)), "")*24*60, "")</f>
        <v/>
      </c>
      <c r="M7706" s="24" t="str" cm="1">
        <f t="array" ref="M7706">IFERROR(IF($B7706=M$1, ($A7706+$C7706) - MAX(IF($B$2:$B7705=$B7706, $A$2:$A7705+$C$2:$C7705)), "")*24*60, "")</f>
        <v/>
      </c>
      <c r="N7706" s="24" t="str" cm="1">
        <f t="array" ref="N7706">IFERROR(IF($B7706=N$1, ($A7706+$C7706) - MAX(IF($B$2:$B7705=$B7706, $A$2:$A7705+$C$2:$C7705)), "")*24*60, "")</f>
        <v/>
      </c>
      <c r="O7706" s="24" t="str" cm="1">
        <f t="array" ref="O7706">IFERROR(IF($B7706=O$1, ($A7706+$C7706) - MAX(IF($B$2:$B7705=$B7706, $A$2:$A7705+$C$2:$C7705)), "")*24*60, "")</f>
        <v/>
      </c>
      <c r="P7706" s="24" t="str" cm="1">
        <f t="array" ref="P7706">IFERROR(IF($B7706=P$1, ($A7706+$C7706) - MAX(IF($B$2:$B7705=$B7706, $A$2:$A7705+$C$2:$C7705)), "")*24*60, "")</f>
        <v/>
      </c>
      <c r="Q7706" s="24" t="str" cm="1">
        <f t="array" ref="Q7706">IFERROR(IF($B7706=Q$1, ($A7706+$C7706) - MAX(IF($B$2:$B7705=$B7706, $A$2:$A7705+$C$2:$C7705)), "")*24*60, "")</f>
        <v/>
      </c>
      <c r="R7706" s="24" t="str" cm="1">
        <f t="array" ref="R7706">IFERROR(IF($B7706=R$1, ($A7706+$C7706) - MAX(IF($B$2:$B7705=$B7706, $A$2:$A7705+$C$2:$C7705)), "")*24*60, "")</f>
        <v/>
      </c>
      <c r="S7706" s="24" t="str" cm="1">
        <f t="array" ref="S7706">IFERROR(IF($B7706=S$1, ($A7706+$C7706) - MAX(IF($B$2:$B7705=$B7706, $A$2:$A7705+$C$2:$C7705)), "")*24*60, "")</f>
        <v/>
      </c>
    </row>
    <row r="7707" spans="1:19" x14ac:dyDescent="0.2">
      <c r="A7707" s="12">
        <f t="shared" ref="A7707:C7707" si="1894">A7706</f>
        <v>46015</v>
      </c>
      <c r="B7707" s="5" t="str">
        <f t="shared" si="1894"/>
        <v>Northern Cardinal</v>
      </c>
      <c r="C7707" s="6">
        <f t="shared" si="1894"/>
        <v>0.74097222222222225</v>
      </c>
      <c r="D7707" s="5"/>
      <c r="E7707" s="5"/>
      <c r="F7707" s="5" t="s">
        <v>9</v>
      </c>
      <c r="G7707" s="15" t="s">
        <v>8</v>
      </c>
      <c r="H7707" s="24">
        <f t="shared" ref="H7707:H7745" si="1895">IFERROR((($A7707+$C7707) - ($A7706+$C7706))*24*60, "")</f>
        <v>0</v>
      </c>
      <c r="I7707" s="24" cm="1">
        <f t="array" ref="I7707">IFERROR(IF($B7707=I$1, ($A7707+$C7707) - MAX(IF($B$2:$B7706=$B7707, $A$2:$A7706+$C$2:$C7706)), "")*24*60, "")</f>
        <v>0</v>
      </c>
      <c r="J7707" s="24" t="str" cm="1">
        <f t="array" ref="J7707">IFERROR(IF($B7707=J$1, ($A7707+$C7707) - MAX(IF($B$2:$B7706=$B7707, $A$2:$A7706+$C$2:$C7706)), "")*24*60, "")</f>
        <v/>
      </c>
      <c r="K7707" s="24" t="str" cm="1">
        <f t="array" ref="K7707">IFERROR(IF($B7707=K$1, ($A7707+$C7707) - MAX(IF($B$2:$B7706=$B7707, $A$2:$A7706+$C$2:$C7706)), "")*24*60, "")</f>
        <v/>
      </c>
      <c r="L7707" s="24" t="str" cm="1">
        <f t="array" ref="L7707">IFERROR(IF($B7707=L$1, ($A7707+$C7707) - MAX(IF($B$2:$B7706=$B7707, $A$2:$A7706+$C$2:$C7706)), "")*24*60, "")</f>
        <v/>
      </c>
      <c r="M7707" s="24" t="str" cm="1">
        <f t="array" ref="M7707">IFERROR(IF($B7707=M$1, ($A7707+$C7707) - MAX(IF($B$2:$B7706=$B7707, $A$2:$A7706+$C$2:$C7706)), "")*24*60, "")</f>
        <v/>
      </c>
      <c r="N7707" s="24" t="str" cm="1">
        <f t="array" ref="N7707">IFERROR(IF($B7707=N$1, ($A7707+$C7707) - MAX(IF($B$2:$B7706=$B7707, $A$2:$A7706+$C$2:$C7706)), "")*24*60, "")</f>
        <v/>
      </c>
      <c r="O7707" s="24" t="str" cm="1">
        <f t="array" ref="O7707">IFERROR(IF($B7707=O$1, ($A7707+$C7707) - MAX(IF($B$2:$B7706=$B7707, $A$2:$A7706+$C$2:$C7706)), "")*24*60, "")</f>
        <v/>
      </c>
      <c r="P7707" s="24" t="str" cm="1">
        <f t="array" ref="P7707">IFERROR(IF($B7707=P$1, ($A7707+$C7707) - MAX(IF($B$2:$B7706=$B7707, $A$2:$A7706+$C$2:$C7706)), "")*24*60, "")</f>
        <v/>
      </c>
      <c r="Q7707" s="24" t="str" cm="1">
        <f t="array" ref="Q7707">IFERROR(IF($B7707=Q$1, ($A7707+$C7707) - MAX(IF($B$2:$B7706=$B7707, $A$2:$A7706+$C$2:$C7706)), "")*24*60, "")</f>
        <v/>
      </c>
      <c r="R7707" s="24" t="str" cm="1">
        <f t="array" ref="R7707">IFERROR(IF($B7707=R$1, ($A7707+$C7707) - MAX(IF($B$2:$B7706=$B7707, $A$2:$A7706+$C$2:$C7706)), "")*24*60, "")</f>
        <v/>
      </c>
      <c r="S7707" s="24" t="str" cm="1">
        <f t="array" ref="S7707">IFERROR(IF($B7707=S$1, ($A7707+$C7707) - MAX(IF($B$2:$B7706=$B7707, $A$2:$A7706+$C$2:$C7706)), "")*24*60, "")</f>
        <v/>
      </c>
    </row>
    <row r="7708" spans="1:19" x14ac:dyDescent="0.2">
      <c r="A7708" s="12">
        <f t="shared" ref="A7708:C7708" si="1896">A7707</f>
        <v>46015</v>
      </c>
      <c r="B7708" s="5" t="str">
        <f t="shared" si="1896"/>
        <v>Northern Cardinal</v>
      </c>
      <c r="C7708" s="6">
        <f t="shared" si="1896"/>
        <v>0.74097222222222225</v>
      </c>
      <c r="D7708" s="5"/>
      <c r="E7708" s="5"/>
      <c r="F7708" s="5" t="s">
        <v>9</v>
      </c>
      <c r="G7708" s="15" t="s">
        <v>8</v>
      </c>
      <c r="H7708" s="24">
        <f t="shared" si="1895"/>
        <v>0</v>
      </c>
      <c r="I7708" s="24" cm="1">
        <f t="array" ref="I7708">IFERROR(IF($B7708=I$1, ($A7708+$C7708) - MAX(IF($B$2:$B7707=$B7708, $A$2:$A7707+$C$2:$C7707)), "")*24*60, "")</f>
        <v>0</v>
      </c>
      <c r="J7708" s="24" t="str" cm="1">
        <f t="array" ref="J7708">IFERROR(IF($B7708=J$1, ($A7708+$C7708) - MAX(IF($B$2:$B7707=$B7708, $A$2:$A7707+$C$2:$C7707)), "")*24*60, "")</f>
        <v/>
      </c>
      <c r="K7708" s="24" t="str" cm="1">
        <f t="array" ref="K7708">IFERROR(IF($B7708=K$1, ($A7708+$C7708) - MAX(IF($B$2:$B7707=$B7708, $A$2:$A7707+$C$2:$C7707)), "")*24*60, "")</f>
        <v/>
      </c>
      <c r="L7708" s="24" t="str" cm="1">
        <f t="array" ref="L7708">IFERROR(IF($B7708=L$1, ($A7708+$C7708) - MAX(IF($B$2:$B7707=$B7708, $A$2:$A7707+$C$2:$C7707)), "")*24*60, "")</f>
        <v/>
      </c>
      <c r="M7708" s="24" t="str" cm="1">
        <f t="array" ref="M7708">IFERROR(IF($B7708=M$1, ($A7708+$C7708) - MAX(IF($B$2:$B7707=$B7708, $A$2:$A7707+$C$2:$C7707)), "")*24*60, "")</f>
        <v/>
      </c>
      <c r="N7708" s="24" t="str" cm="1">
        <f t="array" ref="N7708">IFERROR(IF($B7708=N$1, ($A7708+$C7708) - MAX(IF($B$2:$B7707=$B7708, $A$2:$A7707+$C$2:$C7707)), "")*24*60, "")</f>
        <v/>
      </c>
      <c r="O7708" s="24" t="str" cm="1">
        <f t="array" ref="O7708">IFERROR(IF($B7708=O$1, ($A7708+$C7708) - MAX(IF($B$2:$B7707=$B7708, $A$2:$A7707+$C$2:$C7707)), "")*24*60, "")</f>
        <v/>
      </c>
      <c r="P7708" s="24" t="str" cm="1">
        <f t="array" ref="P7708">IFERROR(IF($B7708=P$1, ($A7708+$C7708) - MAX(IF($B$2:$B7707=$B7708, $A$2:$A7707+$C$2:$C7707)), "")*24*60, "")</f>
        <v/>
      </c>
      <c r="Q7708" s="24" t="str" cm="1">
        <f t="array" ref="Q7708">IFERROR(IF($B7708=Q$1, ($A7708+$C7708) - MAX(IF($B$2:$B7707=$B7708, $A$2:$A7707+$C$2:$C7707)), "")*24*60, "")</f>
        <v/>
      </c>
      <c r="R7708" s="24" t="str" cm="1">
        <f t="array" ref="R7708">IFERROR(IF($B7708=R$1, ($A7708+$C7708) - MAX(IF($B$2:$B7707=$B7708, $A$2:$A7707+$C$2:$C7707)), "")*24*60, "")</f>
        <v/>
      </c>
      <c r="S7708" s="24" t="str" cm="1">
        <f t="array" ref="S7708">IFERROR(IF($B7708=S$1, ($A7708+$C7708) - MAX(IF($B$2:$B7707=$B7708, $A$2:$A7707+$C$2:$C7707)), "")*24*60, "")</f>
        <v/>
      </c>
    </row>
    <row r="7709" spans="1:19" x14ac:dyDescent="0.2">
      <c r="A7709" s="12">
        <f t="shared" ref="A7709:C7709" si="1897">A7708</f>
        <v>46015</v>
      </c>
      <c r="B7709" s="5" t="str">
        <f t="shared" si="1897"/>
        <v>Northern Cardinal</v>
      </c>
      <c r="C7709" s="6">
        <f t="shared" si="1897"/>
        <v>0.74097222222222225</v>
      </c>
      <c r="D7709" s="5"/>
      <c r="E7709" s="5"/>
      <c r="F7709" s="5" t="s">
        <v>9</v>
      </c>
      <c r="G7709" s="15" t="s">
        <v>8</v>
      </c>
      <c r="H7709" s="24">
        <f t="shared" si="1895"/>
        <v>0</v>
      </c>
      <c r="I7709" s="24" cm="1">
        <f t="array" ref="I7709">IFERROR(IF($B7709=I$1, ($A7709+$C7709) - MAX(IF($B$2:$B7708=$B7709, $A$2:$A7708+$C$2:$C7708)), "")*24*60, "")</f>
        <v>0</v>
      </c>
      <c r="J7709" s="24" t="str" cm="1">
        <f t="array" ref="J7709">IFERROR(IF($B7709=J$1, ($A7709+$C7709) - MAX(IF($B$2:$B7708=$B7709, $A$2:$A7708+$C$2:$C7708)), "")*24*60, "")</f>
        <v/>
      </c>
      <c r="K7709" s="24" t="str" cm="1">
        <f t="array" ref="K7709">IFERROR(IF($B7709=K$1, ($A7709+$C7709) - MAX(IF($B$2:$B7708=$B7709, $A$2:$A7708+$C$2:$C7708)), "")*24*60, "")</f>
        <v/>
      </c>
      <c r="L7709" s="24" t="str" cm="1">
        <f t="array" ref="L7709">IFERROR(IF($B7709=L$1, ($A7709+$C7709) - MAX(IF($B$2:$B7708=$B7709, $A$2:$A7708+$C$2:$C7708)), "")*24*60, "")</f>
        <v/>
      </c>
      <c r="M7709" s="24" t="str" cm="1">
        <f t="array" ref="M7709">IFERROR(IF($B7709=M$1, ($A7709+$C7709) - MAX(IF($B$2:$B7708=$B7709, $A$2:$A7708+$C$2:$C7708)), "")*24*60, "")</f>
        <v/>
      </c>
      <c r="N7709" s="24" t="str" cm="1">
        <f t="array" ref="N7709">IFERROR(IF($B7709=N$1, ($A7709+$C7709) - MAX(IF($B$2:$B7708=$B7709, $A$2:$A7708+$C$2:$C7708)), "")*24*60, "")</f>
        <v/>
      </c>
      <c r="O7709" s="24" t="str" cm="1">
        <f t="array" ref="O7709">IFERROR(IF($B7709=O$1, ($A7709+$C7709) - MAX(IF($B$2:$B7708=$B7709, $A$2:$A7708+$C$2:$C7708)), "")*24*60, "")</f>
        <v/>
      </c>
      <c r="P7709" s="24" t="str" cm="1">
        <f t="array" ref="P7709">IFERROR(IF($B7709=P$1, ($A7709+$C7709) - MAX(IF($B$2:$B7708=$B7709, $A$2:$A7708+$C$2:$C7708)), "")*24*60, "")</f>
        <v/>
      </c>
      <c r="Q7709" s="24" t="str" cm="1">
        <f t="array" ref="Q7709">IFERROR(IF($B7709=Q$1, ($A7709+$C7709) - MAX(IF($B$2:$B7708=$B7709, $A$2:$A7708+$C$2:$C7708)), "")*24*60, "")</f>
        <v/>
      </c>
      <c r="R7709" s="24" t="str" cm="1">
        <f t="array" ref="R7709">IFERROR(IF($B7709=R$1, ($A7709+$C7709) - MAX(IF($B$2:$B7708=$B7709, $A$2:$A7708+$C$2:$C7708)), "")*24*60, "")</f>
        <v/>
      </c>
      <c r="S7709" s="24" t="str" cm="1">
        <f t="array" ref="S7709">IFERROR(IF($B7709=S$1, ($A7709+$C7709) - MAX(IF($B$2:$B7708=$B7709, $A$2:$A7708+$C$2:$C7708)), "")*24*60, "")</f>
        <v/>
      </c>
    </row>
    <row r="7710" spans="1:19" x14ac:dyDescent="0.2">
      <c r="A7710" s="12">
        <f t="shared" ref="A7710:C7710" si="1898">A7709</f>
        <v>46015</v>
      </c>
      <c r="B7710" s="5" t="str">
        <f t="shared" si="1898"/>
        <v>Northern Cardinal</v>
      </c>
      <c r="C7710" s="6">
        <f t="shared" si="1898"/>
        <v>0.74097222222222225</v>
      </c>
      <c r="D7710" s="5"/>
      <c r="E7710" s="5"/>
      <c r="F7710" s="5" t="s">
        <v>9</v>
      </c>
      <c r="G7710" s="15" t="s">
        <v>8</v>
      </c>
      <c r="H7710" s="24">
        <f t="shared" si="1895"/>
        <v>0</v>
      </c>
      <c r="I7710" s="24" cm="1">
        <f t="array" ref="I7710">IFERROR(IF($B7710=I$1, ($A7710+$C7710) - MAX(IF($B$2:$B7709=$B7710, $A$2:$A7709+$C$2:$C7709)), "")*24*60, "")</f>
        <v>0</v>
      </c>
      <c r="J7710" s="24" t="str" cm="1">
        <f t="array" ref="J7710">IFERROR(IF($B7710=J$1, ($A7710+$C7710) - MAX(IF($B$2:$B7709=$B7710, $A$2:$A7709+$C$2:$C7709)), "")*24*60, "")</f>
        <v/>
      </c>
      <c r="K7710" s="24" t="str" cm="1">
        <f t="array" ref="K7710">IFERROR(IF($B7710=K$1, ($A7710+$C7710) - MAX(IF($B$2:$B7709=$B7710, $A$2:$A7709+$C$2:$C7709)), "")*24*60, "")</f>
        <v/>
      </c>
      <c r="L7710" s="24" t="str" cm="1">
        <f t="array" ref="L7710">IFERROR(IF($B7710=L$1, ($A7710+$C7710) - MAX(IF($B$2:$B7709=$B7710, $A$2:$A7709+$C$2:$C7709)), "")*24*60, "")</f>
        <v/>
      </c>
      <c r="M7710" s="24" t="str" cm="1">
        <f t="array" ref="M7710">IFERROR(IF($B7710=M$1, ($A7710+$C7710) - MAX(IF($B$2:$B7709=$B7710, $A$2:$A7709+$C$2:$C7709)), "")*24*60, "")</f>
        <v/>
      </c>
      <c r="N7710" s="24" t="str" cm="1">
        <f t="array" ref="N7710">IFERROR(IF($B7710=N$1, ($A7710+$C7710) - MAX(IF($B$2:$B7709=$B7710, $A$2:$A7709+$C$2:$C7709)), "")*24*60, "")</f>
        <v/>
      </c>
      <c r="O7710" s="24" t="str" cm="1">
        <f t="array" ref="O7710">IFERROR(IF($B7710=O$1, ($A7710+$C7710) - MAX(IF($B$2:$B7709=$B7710, $A$2:$A7709+$C$2:$C7709)), "")*24*60, "")</f>
        <v/>
      </c>
      <c r="P7710" s="24" t="str" cm="1">
        <f t="array" ref="P7710">IFERROR(IF($B7710=P$1, ($A7710+$C7710) - MAX(IF($B$2:$B7709=$B7710, $A$2:$A7709+$C$2:$C7709)), "")*24*60, "")</f>
        <v/>
      </c>
      <c r="Q7710" s="24" t="str" cm="1">
        <f t="array" ref="Q7710">IFERROR(IF($B7710=Q$1, ($A7710+$C7710) - MAX(IF($B$2:$B7709=$B7710, $A$2:$A7709+$C$2:$C7709)), "")*24*60, "")</f>
        <v/>
      </c>
      <c r="R7710" s="24" t="str" cm="1">
        <f t="array" ref="R7710">IFERROR(IF($B7710=R$1, ($A7710+$C7710) - MAX(IF($B$2:$B7709=$B7710, $A$2:$A7709+$C$2:$C7709)), "")*24*60, "")</f>
        <v/>
      </c>
      <c r="S7710" s="24" t="str" cm="1">
        <f t="array" ref="S7710">IFERROR(IF($B7710=S$1, ($A7710+$C7710) - MAX(IF($B$2:$B7709=$B7710, $A$2:$A7709+$C$2:$C7709)), "")*24*60, "")</f>
        <v/>
      </c>
    </row>
    <row r="7711" spans="1:19" x14ac:dyDescent="0.2">
      <c r="A7711" s="12">
        <f t="shared" ref="A7711:C7711" si="1899">A7710</f>
        <v>46015</v>
      </c>
      <c r="B7711" s="5" t="str">
        <f t="shared" si="1899"/>
        <v>Northern Cardinal</v>
      </c>
      <c r="C7711" s="6">
        <f t="shared" si="1899"/>
        <v>0.74097222222222225</v>
      </c>
      <c r="D7711" s="5"/>
      <c r="E7711" s="5"/>
      <c r="F7711" s="5" t="s">
        <v>9</v>
      </c>
      <c r="G7711" s="15" t="s">
        <v>8</v>
      </c>
      <c r="H7711" s="24">
        <f t="shared" si="1895"/>
        <v>0</v>
      </c>
      <c r="I7711" s="24" cm="1">
        <f t="array" ref="I7711">IFERROR(IF($B7711=I$1, ($A7711+$C7711) - MAX(IF($B$2:$B7710=$B7711, $A$2:$A7710+$C$2:$C7710)), "")*24*60, "")</f>
        <v>0</v>
      </c>
      <c r="J7711" s="24" t="str" cm="1">
        <f t="array" ref="J7711">IFERROR(IF($B7711=J$1, ($A7711+$C7711) - MAX(IF($B$2:$B7710=$B7711, $A$2:$A7710+$C$2:$C7710)), "")*24*60, "")</f>
        <v/>
      </c>
      <c r="K7711" s="24" t="str" cm="1">
        <f t="array" ref="K7711">IFERROR(IF($B7711=K$1, ($A7711+$C7711) - MAX(IF($B$2:$B7710=$B7711, $A$2:$A7710+$C$2:$C7710)), "")*24*60, "")</f>
        <v/>
      </c>
      <c r="L7711" s="24" t="str" cm="1">
        <f t="array" ref="L7711">IFERROR(IF($B7711=L$1, ($A7711+$C7711) - MAX(IF($B$2:$B7710=$B7711, $A$2:$A7710+$C$2:$C7710)), "")*24*60, "")</f>
        <v/>
      </c>
      <c r="M7711" s="24" t="str" cm="1">
        <f t="array" ref="M7711">IFERROR(IF($B7711=M$1, ($A7711+$C7711) - MAX(IF($B$2:$B7710=$B7711, $A$2:$A7710+$C$2:$C7710)), "")*24*60, "")</f>
        <v/>
      </c>
      <c r="N7711" s="24" t="str" cm="1">
        <f t="array" ref="N7711">IFERROR(IF($B7711=N$1, ($A7711+$C7711) - MAX(IF($B$2:$B7710=$B7711, $A$2:$A7710+$C$2:$C7710)), "")*24*60, "")</f>
        <v/>
      </c>
      <c r="O7711" s="24" t="str" cm="1">
        <f t="array" ref="O7711">IFERROR(IF($B7711=O$1, ($A7711+$C7711) - MAX(IF($B$2:$B7710=$B7711, $A$2:$A7710+$C$2:$C7710)), "")*24*60, "")</f>
        <v/>
      </c>
      <c r="P7711" s="24" t="str" cm="1">
        <f t="array" ref="P7711">IFERROR(IF($B7711=P$1, ($A7711+$C7711) - MAX(IF($B$2:$B7710=$B7711, $A$2:$A7710+$C$2:$C7710)), "")*24*60, "")</f>
        <v/>
      </c>
      <c r="Q7711" s="24" t="str" cm="1">
        <f t="array" ref="Q7711">IFERROR(IF($B7711=Q$1, ($A7711+$C7711) - MAX(IF($B$2:$B7710=$B7711, $A$2:$A7710+$C$2:$C7710)), "")*24*60, "")</f>
        <v/>
      </c>
      <c r="R7711" s="24" t="str" cm="1">
        <f t="array" ref="R7711">IFERROR(IF($B7711=R$1, ($A7711+$C7711) - MAX(IF($B$2:$B7710=$B7711, $A$2:$A7710+$C$2:$C7710)), "")*24*60, "")</f>
        <v/>
      </c>
      <c r="S7711" s="24" t="str" cm="1">
        <f t="array" ref="S7711">IFERROR(IF($B7711=S$1, ($A7711+$C7711) - MAX(IF($B$2:$B7710=$B7711, $A$2:$A7710+$C$2:$C7710)), "")*24*60, "")</f>
        <v/>
      </c>
    </row>
    <row r="7712" spans="1:19" x14ac:dyDescent="0.2">
      <c r="A7712" s="12">
        <f t="shared" ref="A7712:C7712" si="1900">A7711</f>
        <v>46015</v>
      </c>
      <c r="B7712" s="5" t="str">
        <f t="shared" si="1900"/>
        <v>Northern Cardinal</v>
      </c>
      <c r="C7712" s="6">
        <f t="shared" si="1900"/>
        <v>0.74097222222222225</v>
      </c>
      <c r="D7712" s="5"/>
      <c r="E7712" s="5"/>
      <c r="F7712" s="5" t="s">
        <v>9</v>
      </c>
      <c r="G7712" s="15" t="s">
        <v>8</v>
      </c>
      <c r="H7712" s="24">
        <f t="shared" si="1895"/>
        <v>0</v>
      </c>
      <c r="I7712" s="24" cm="1">
        <f t="array" ref="I7712">IFERROR(IF($B7712=I$1, ($A7712+$C7712) - MAX(IF($B$2:$B7711=$B7712, $A$2:$A7711+$C$2:$C7711)), "")*24*60, "")</f>
        <v>0</v>
      </c>
      <c r="J7712" s="24" t="str" cm="1">
        <f t="array" ref="J7712">IFERROR(IF($B7712=J$1, ($A7712+$C7712) - MAX(IF($B$2:$B7711=$B7712, $A$2:$A7711+$C$2:$C7711)), "")*24*60, "")</f>
        <v/>
      </c>
      <c r="K7712" s="24" t="str" cm="1">
        <f t="array" ref="K7712">IFERROR(IF($B7712=K$1, ($A7712+$C7712) - MAX(IF($B$2:$B7711=$B7712, $A$2:$A7711+$C$2:$C7711)), "")*24*60, "")</f>
        <v/>
      </c>
      <c r="L7712" s="24" t="str" cm="1">
        <f t="array" ref="L7712">IFERROR(IF($B7712=L$1, ($A7712+$C7712) - MAX(IF($B$2:$B7711=$B7712, $A$2:$A7711+$C$2:$C7711)), "")*24*60, "")</f>
        <v/>
      </c>
      <c r="M7712" s="24" t="str" cm="1">
        <f t="array" ref="M7712">IFERROR(IF($B7712=M$1, ($A7712+$C7712) - MAX(IF($B$2:$B7711=$B7712, $A$2:$A7711+$C$2:$C7711)), "")*24*60, "")</f>
        <v/>
      </c>
      <c r="N7712" s="24" t="str" cm="1">
        <f t="array" ref="N7712">IFERROR(IF($B7712=N$1, ($A7712+$C7712) - MAX(IF($B$2:$B7711=$B7712, $A$2:$A7711+$C$2:$C7711)), "")*24*60, "")</f>
        <v/>
      </c>
      <c r="O7712" s="24" t="str" cm="1">
        <f t="array" ref="O7712">IFERROR(IF($B7712=O$1, ($A7712+$C7712) - MAX(IF($B$2:$B7711=$B7712, $A$2:$A7711+$C$2:$C7711)), "")*24*60, "")</f>
        <v/>
      </c>
      <c r="P7712" s="24" t="str" cm="1">
        <f t="array" ref="P7712">IFERROR(IF($B7712=P$1, ($A7712+$C7712) - MAX(IF($B$2:$B7711=$B7712, $A$2:$A7711+$C$2:$C7711)), "")*24*60, "")</f>
        <v/>
      </c>
      <c r="Q7712" s="24" t="str" cm="1">
        <f t="array" ref="Q7712">IFERROR(IF($B7712=Q$1, ($A7712+$C7712) - MAX(IF($B$2:$B7711=$B7712, $A$2:$A7711+$C$2:$C7711)), "")*24*60, "")</f>
        <v/>
      </c>
      <c r="R7712" s="24" t="str" cm="1">
        <f t="array" ref="R7712">IFERROR(IF($B7712=R$1, ($A7712+$C7712) - MAX(IF($B$2:$B7711=$B7712, $A$2:$A7711+$C$2:$C7711)), "")*24*60, "")</f>
        <v/>
      </c>
      <c r="S7712" s="24" t="str" cm="1">
        <f t="array" ref="S7712">IFERROR(IF($B7712=S$1, ($A7712+$C7712) - MAX(IF($B$2:$B7711=$B7712, $A$2:$A7711+$C$2:$C7711)), "")*24*60, "")</f>
        <v/>
      </c>
    </row>
    <row r="7713" spans="1:19" x14ac:dyDescent="0.2">
      <c r="A7713" s="12">
        <f t="shared" ref="A7713:C7713" si="1901">A7712</f>
        <v>46015</v>
      </c>
      <c r="B7713" s="5" t="str">
        <f t="shared" si="1901"/>
        <v>Northern Cardinal</v>
      </c>
      <c r="C7713" s="6">
        <f t="shared" si="1901"/>
        <v>0.74097222222222225</v>
      </c>
      <c r="D7713" s="5"/>
      <c r="E7713" s="5"/>
      <c r="F7713" s="5" t="s">
        <v>9</v>
      </c>
      <c r="G7713" s="15" t="s">
        <v>8</v>
      </c>
      <c r="H7713" s="24">
        <f t="shared" si="1895"/>
        <v>0</v>
      </c>
      <c r="I7713" s="24" cm="1">
        <f t="array" ref="I7713">IFERROR(IF($B7713=I$1, ($A7713+$C7713) - MAX(IF($B$2:$B7712=$B7713, $A$2:$A7712+$C$2:$C7712)), "")*24*60, "")</f>
        <v>0</v>
      </c>
      <c r="J7713" s="24" t="str" cm="1">
        <f t="array" ref="J7713">IFERROR(IF($B7713=J$1, ($A7713+$C7713) - MAX(IF($B$2:$B7712=$B7713, $A$2:$A7712+$C$2:$C7712)), "")*24*60, "")</f>
        <v/>
      </c>
      <c r="K7713" s="24" t="str" cm="1">
        <f t="array" ref="K7713">IFERROR(IF($B7713=K$1, ($A7713+$C7713) - MAX(IF($B$2:$B7712=$B7713, $A$2:$A7712+$C$2:$C7712)), "")*24*60, "")</f>
        <v/>
      </c>
      <c r="L7713" s="24" t="str" cm="1">
        <f t="array" ref="L7713">IFERROR(IF($B7713=L$1, ($A7713+$C7713) - MAX(IF($B$2:$B7712=$B7713, $A$2:$A7712+$C$2:$C7712)), "")*24*60, "")</f>
        <v/>
      </c>
      <c r="M7713" s="24" t="str" cm="1">
        <f t="array" ref="M7713">IFERROR(IF($B7713=M$1, ($A7713+$C7713) - MAX(IF($B$2:$B7712=$B7713, $A$2:$A7712+$C$2:$C7712)), "")*24*60, "")</f>
        <v/>
      </c>
      <c r="N7713" s="24" t="str" cm="1">
        <f t="array" ref="N7713">IFERROR(IF($B7713=N$1, ($A7713+$C7713) - MAX(IF($B$2:$B7712=$B7713, $A$2:$A7712+$C$2:$C7712)), "")*24*60, "")</f>
        <v/>
      </c>
      <c r="O7713" s="24" t="str" cm="1">
        <f t="array" ref="O7713">IFERROR(IF($B7713=O$1, ($A7713+$C7713) - MAX(IF($B$2:$B7712=$B7713, $A$2:$A7712+$C$2:$C7712)), "")*24*60, "")</f>
        <v/>
      </c>
      <c r="P7713" s="24" t="str" cm="1">
        <f t="array" ref="P7713">IFERROR(IF($B7713=P$1, ($A7713+$C7713) - MAX(IF($B$2:$B7712=$B7713, $A$2:$A7712+$C$2:$C7712)), "")*24*60, "")</f>
        <v/>
      </c>
      <c r="Q7713" s="24" t="str" cm="1">
        <f t="array" ref="Q7713">IFERROR(IF($B7713=Q$1, ($A7713+$C7713) - MAX(IF($B$2:$B7712=$B7713, $A$2:$A7712+$C$2:$C7712)), "")*24*60, "")</f>
        <v/>
      </c>
      <c r="R7713" s="24" t="str" cm="1">
        <f t="array" ref="R7713">IFERROR(IF($B7713=R$1, ($A7713+$C7713) - MAX(IF($B$2:$B7712=$B7713, $A$2:$A7712+$C$2:$C7712)), "")*24*60, "")</f>
        <v/>
      </c>
      <c r="S7713" s="24" t="str" cm="1">
        <f t="array" ref="S7713">IFERROR(IF($B7713=S$1, ($A7713+$C7713) - MAX(IF($B$2:$B7712=$B7713, $A$2:$A7712+$C$2:$C7712)), "")*24*60, "")</f>
        <v/>
      </c>
    </row>
    <row r="7714" spans="1:19" x14ac:dyDescent="0.2">
      <c r="A7714" s="12">
        <f t="shared" ref="A7714:C7714" si="1902">A7713</f>
        <v>46015</v>
      </c>
      <c r="B7714" s="5" t="str">
        <f t="shared" si="1902"/>
        <v>Northern Cardinal</v>
      </c>
      <c r="C7714" s="6">
        <f t="shared" si="1902"/>
        <v>0.74097222222222225</v>
      </c>
      <c r="D7714" s="5"/>
      <c r="E7714" s="5"/>
      <c r="F7714" s="5" t="s">
        <v>9</v>
      </c>
      <c r="G7714" s="15" t="s">
        <v>8</v>
      </c>
      <c r="H7714" s="24">
        <f t="shared" si="1895"/>
        <v>0</v>
      </c>
      <c r="I7714" s="24" cm="1">
        <f t="array" ref="I7714">IFERROR(IF($B7714=I$1, ($A7714+$C7714) - MAX(IF($B$2:$B7713=$B7714, $A$2:$A7713+$C$2:$C7713)), "")*24*60, "")</f>
        <v>0</v>
      </c>
      <c r="J7714" s="24" t="str" cm="1">
        <f t="array" ref="J7714">IFERROR(IF($B7714=J$1, ($A7714+$C7714) - MAX(IF($B$2:$B7713=$B7714, $A$2:$A7713+$C$2:$C7713)), "")*24*60, "")</f>
        <v/>
      </c>
      <c r="K7714" s="24" t="str" cm="1">
        <f t="array" ref="K7714">IFERROR(IF($B7714=K$1, ($A7714+$C7714) - MAX(IF($B$2:$B7713=$B7714, $A$2:$A7713+$C$2:$C7713)), "")*24*60, "")</f>
        <v/>
      </c>
      <c r="L7714" s="24" t="str" cm="1">
        <f t="array" ref="L7714">IFERROR(IF($B7714=L$1, ($A7714+$C7714) - MAX(IF($B$2:$B7713=$B7714, $A$2:$A7713+$C$2:$C7713)), "")*24*60, "")</f>
        <v/>
      </c>
      <c r="M7714" s="24" t="str" cm="1">
        <f t="array" ref="M7714">IFERROR(IF($B7714=M$1, ($A7714+$C7714) - MAX(IF($B$2:$B7713=$B7714, $A$2:$A7713+$C$2:$C7713)), "")*24*60, "")</f>
        <v/>
      </c>
      <c r="N7714" s="24" t="str" cm="1">
        <f t="array" ref="N7714">IFERROR(IF($B7714=N$1, ($A7714+$C7714) - MAX(IF($B$2:$B7713=$B7714, $A$2:$A7713+$C$2:$C7713)), "")*24*60, "")</f>
        <v/>
      </c>
      <c r="O7714" s="24" t="str" cm="1">
        <f t="array" ref="O7714">IFERROR(IF($B7714=O$1, ($A7714+$C7714) - MAX(IF($B$2:$B7713=$B7714, $A$2:$A7713+$C$2:$C7713)), "")*24*60, "")</f>
        <v/>
      </c>
      <c r="P7714" s="24" t="str" cm="1">
        <f t="array" ref="P7714">IFERROR(IF($B7714=P$1, ($A7714+$C7714) - MAX(IF($B$2:$B7713=$B7714, $A$2:$A7713+$C$2:$C7713)), "")*24*60, "")</f>
        <v/>
      </c>
      <c r="Q7714" s="24" t="str" cm="1">
        <f t="array" ref="Q7714">IFERROR(IF($B7714=Q$1, ($A7714+$C7714) - MAX(IF($B$2:$B7713=$B7714, $A$2:$A7713+$C$2:$C7713)), "")*24*60, "")</f>
        <v/>
      </c>
      <c r="R7714" s="24" t="str" cm="1">
        <f t="array" ref="R7714">IFERROR(IF($B7714=R$1, ($A7714+$C7714) - MAX(IF($B$2:$B7713=$B7714, $A$2:$A7713+$C$2:$C7713)), "")*24*60, "")</f>
        <v/>
      </c>
      <c r="S7714" s="24" t="str" cm="1">
        <f t="array" ref="S7714">IFERROR(IF($B7714=S$1, ($A7714+$C7714) - MAX(IF($B$2:$B7713=$B7714, $A$2:$A7713+$C$2:$C7713)), "")*24*60, "")</f>
        <v/>
      </c>
    </row>
    <row r="7715" spans="1:19" x14ac:dyDescent="0.2">
      <c r="A7715" s="12">
        <f t="shared" ref="A7715:C7715" si="1903">A7714</f>
        <v>46015</v>
      </c>
      <c r="B7715" s="5" t="str">
        <f t="shared" si="1903"/>
        <v>Northern Cardinal</v>
      </c>
      <c r="C7715" s="6">
        <f t="shared" si="1903"/>
        <v>0.74097222222222225</v>
      </c>
      <c r="D7715" s="5"/>
      <c r="E7715" s="5"/>
      <c r="F7715" s="5" t="s">
        <v>9</v>
      </c>
      <c r="G7715" s="15" t="s">
        <v>8</v>
      </c>
      <c r="H7715" s="24">
        <f t="shared" si="1895"/>
        <v>0</v>
      </c>
      <c r="I7715" s="24" cm="1">
        <f t="array" ref="I7715">IFERROR(IF($B7715=I$1, ($A7715+$C7715) - MAX(IF($B$2:$B7714=$B7715, $A$2:$A7714+$C$2:$C7714)), "")*24*60, "")</f>
        <v>0</v>
      </c>
      <c r="J7715" s="24" t="str" cm="1">
        <f t="array" ref="J7715">IFERROR(IF($B7715=J$1, ($A7715+$C7715) - MAX(IF($B$2:$B7714=$B7715, $A$2:$A7714+$C$2:$C7714)), "")*24*60, "")</f>
        <v/>
      </c>
      <c r="K7715" s="24" t="str" cm="1">
        <f t="array" ref="K7715">IFERROR(IF($B7715=K$1, ($A7715+$C7715) - MAX(IF($B$2:$B7714=$B7715, $A$2:$A7714+$C$2:$C7714)), "")*24*60, "")</f>
        <v/>
      </c>
      <c r="L7715" s="24" t="str" cm="1">
        <f t="array" ref="L7715">IFERROR(IF($B7715=L$1, ($A7715+$C7715) - MAX(IF($B$2:$B7714=$B7715, $A$2:$A7714+$C$2:$C7714)), "")*24*60, "")</f>
        <v/>
      </c>
      <c r="M7715" s="24" t="str" cm="1">
        <f t="array" ref="M7715">IFERROR(IF($B7715=M$1, ($A7715+$C7715) - MAX(IF($B$2:$B7714=$B7715, $A$2:$A7714+$C$2:$C7714)), "")*24*60, "")</f>
        <v/>
      </c>
      <c r="N7715" s="24" t="str" cm="1">
        <f t="array" ref="N7715">IFERROR(IF($B7715=N$1, ($A7715+$C7715) - MAX(IF($B$2:$B7714=$B7715, $A$2:$A7714+$C$2:$C7714)), "")*24*60, "")</f>
        <v/>
      </c>
      <c r="O7715" s="24" t="str" cm="1">
        <f t="array" ref="O7715">IFERROR(IF($B7715=O$1, ($A7715+$C7715) - MAX(IF($B$2:$B7714=$B7715, $A$2:$A7714+$C$2:$C7714)), "")*24*60, "")</f>
        <v/>
      </c>
      <c r="P7715" s="24" t="str" cm="1">
        <f t="array" ref="P7715">IFERROR(IF($B7715=P$1, ($A7715+$C7715) - MAX(IF($B$2:$B7714=$B7715, $A$2:$A7714+$C$2:$C7714)), "")*24*60, "")</f>
        <v/>
      </c>
      <c r="Q7715" s="24" t="str" cm="1">
        <f t="array" ref="Q7715">IFERROR(IF($B7715=Q$1, ($A7715+$C7715) - MAX(IF($B$2:$B7714=$B7715, $A$2:$A7714+$C$2:$C7714)), "")*24*60, "")</f>
        <v/>
      </c>
      <c r="R7715" s="24" t="str" cm="1">
        <f t="array" ref="R7715">IFERROR(IF($B7715=R$1, ($A7715+$C7715) - MAX(IF($B$2:$B7714=$B7715, $A$2:$A7714+$C$2:$C7714)), "")*24*60, "")</f>
        <v/>
      </c>
      <c r="S7715" s="24" t="str" cm="1">
        <f t="array" ref="S7715">IFERROR(IF($B7715=S$1, ($A7715+$C7715) - MAX(IF($B$2:$B7714=$B7715, $A$2:$A7714+$C$2:$C7714)), "")*24*60, "")</f>
        <v/>
      </c>
    </row>
    <row r="7716" spans="1:19" x14ac:dyDescent="0.2">
      <c r="A7716" s="12">
        <f t="shared" ref="A7716:C7716" si="1904">A7715</f>
        <v>46015</v>
      </c>
      <c r="B7716" s="5" t="str">
        <f t="shared" si="1904"/>
        <v>Northern Cardinal</v>
      </c>
      <c r="C7716" s="6">
        <f t="shared" si="1904"/>
        <v>0.74097222222222225</v>
      </c>
      <c r="D7716" s="5"/>
      <c r="E7716" s="5"/>
      <c r="F7716" s="5" t="s">
        <v>9</v>
      </c>
      <c r="G7716" s="15" t="s">
        <v>8</v>
      </c>
      <c r="H7716" s="24">
        <f t="shared" si="1895"/>
        <v>0</v>
      </c>
      <c r="I7716" s="24" cm="1">
        <f t="array" ref="I7716">IFERROR(IF($B7716=I$1, ($A7716+$C7716) - MAX(IF($B$2:$B7715=$B7716, $A$2:$A7715+$C$2:$C7715)), "")*24*60, "")</f>
        <v>0</v>
      </c>
      <c r="J7716" s="24" t="str" cm="1">
        <f t="array" ref="J7716">IFERROR(IF($B7716=J$1, ($A7716+$C7716) - MAX(IF($B$2:$B7715=$B7716, $A$2:$A7715+$C$2:$C7715)), "")*24*60, "")</f>
        <v/>
      </c>
      <c r="K7716" s="24" t="str" cm="1">
        <f t="array" ref="K7716">IFERROR(IF($B7716=K$1, ($A7716+$C7716) - MAX(IF($B$2:$B7715=$B7716, $A$2:$A7715+$C$2:$C7715)), "")*24*60, "")</f>
        <v/>
      </c>
      <c r="L7716" s="24" t="str" cm="1">
        <f t="array" ref="L7716">IFERROR(IF($B7716=L$1, ($A7716+$C7716) - MAX(IF($B$2:$B7715=$B7716, $A$2:$A7715+$C$2:$C7715)), "")*24*60, "")</f>
        <v/>
      </c>
      <c r="M7716" s="24" t="str" cm="1">
        <f t="array" ref="M7716">IFERROR(IF($B7716=M$1, ($A7716+$C7716) - MAX(IF($B$2:$B7715=$B7716, $A$2:$A7715+$C$2:$C7715)), "")*24*60, "")</f>
        <v/>
      </c>
      <c r="N7716" s="24" t="str" cm="1">
        <f t="array" ref="N7716">IFERROR(IF($B7716=N$1, ($A7716+$C7716) - MAX(IF($B$2:$B7715=$B7716, $A$2:$A7715+$C$2:$C7715)), "")*24*60, "")</f>
        <v/>
      </c>
      <c r="O7716" s="24" t="str" cm="1">
        <f t="array" ref="O7716">IFERROR(IF($B7716=O$1, ($A7716+$C7716) - MAX(IF($B$2:$B7715=$B7716, $A$2:$A7715+$C$2:$C7715)), "")*24*60, "")</f>
        <v/>
      </c>
      <c r="P7716" s="24" t="str" cm="1">
        <f t="array" ref="P7716">IFERROR(IF($B7716=P$1, ($A7716+$C7716) - MAX(IF($B$2:$B7715=$B7716, $A$2:$A7715+$C$2:$C7715)), "")*24*60, "")</f>
        <v/>
      </c>
      <c r="Q7716" s="24" t="str" cm="1">
        <f t="array" ref="Q7716">IFERROR(IF($B7716=Q$1, ($A7716+$C7716) - MAX(IF($B$2:$B7715=$B7716, $A$2:$A7715+$C$2:$C7715)), "")*24*60, "")</f>
        <v/>
      </c>
      <c r="R7716" s="24" t="str" cm="1">
        <f t="array" ref="R7716">IFERROR(IF($B7716=R$1, ($A7716+$C7716) - MAX(IF($B$2:$B7715=$B7716, $A$2:$A7715+$C$2:$C7715)), "")*24*60, "")</f>
        <v/>
      </c>
      <c r="S7716" s="24" t="str" cm="1">
        <f t="array" ref="S7716">IFERROR(IF($B7716=S$1, ($A7716+$C7716) - MAX(IF($B$2:$B7715=$B7716, $A$2:$A7715+$C$2:$C7715)), "")*24*60, "")</f>
        <v/>
      </c>
    </row>
    <row r="7717" spans="1:19" x14ac:dyDescent="0.2">
      <c r="A7717" s="12">
        <f t="shared" ref="A7717:C7717" si="1905">A7716</f>
        <v>46015</v>
      </c>
      <c r="B7717" s="5" t="str">
        <f t="shared" si="1905"/>
        <v>Northern Cardinal</v>
      </c>
      <c r="C7717" s="6">
        <f t="shared" si="1905"/>
        <v>0.74097222222222225</v>
      </c>
      <c r="D7717" s="5"/>
      <c r="E7717" s="5"/>
      <c r="F7717" s="5" t="s">
        <v>9</v>
      </c>
      <c r="G7717" s="15" t="s">
        <v>8</v>
      </c>
      <c r="H7717" s="24">
        <f t="shared" si="1895"/>
        <v>0</v>
      </c>
      <c r="I7717" s="24" cm="1">
        <f t="array" ref="I7717">IFERROR(IF($B7717=I$1, ($A7717+$C7717) - MAX(IF($B$2:$B7716=$B7717, $A$2:$A7716+$C$2:$C7716)), "")*24*60, "")</f>
        <v>0</v>
      </c>
      <c r="J7717" s="24" t="str" cm="1">
        <f t="array" ref="J7717">IFERROR(IF($B7717=J$1, ($A7717+$C7717) - MAX(IF($B$2:$B7716=$B7717, $A$2:$A7716+$C$2:$C7716)), "")*24*60, "")</f>
        <v/>
      </c>
      <c r="K7717" s="24" t="str" cm="1">
        <f t="array" ref="K7717">IFERROR(IF($B7717=K$1, ($A7717+$C7717) - MAX(IF($B$2:$B7716=$B7717, $A$2:$A7716+$C$2:$C7716)), "")*24*60, "")</f>
        <v/>
      </c>
      <c r="L7717" s="24" t="str" cm="1">
        <f t="array" ref="L7717">IFERROR(IF($B7717=L$1, ($A7717+$C7717) - MAX(IF($B$2:$B7716=$B7717, $A$2:$A7716+$C$2:$C7716)), "")*24*60, "")</f>
        <v/>
      </c>
      <c r="M7717" s="24" t="str" cm="1">
        <f t="array" ref="M7717">IFERROR(IF($B7717=M$1, ($A7717+$C7717) - MAX(IF($B$2:$B7716=$B7717, $A$2:$A7716+$C$2:$C7716)), "")*24*60, "")</f>
        <v/>
      </c>
      <c r="N7717" s="24" t="str" cm="1">
        <f t="array" ref="N7717">IFERROR(IF($B7717=N$1, ($A7717+$C7717) - MAX(IF($B$2:$B7716=$B7717, $A$2:$A7716+$C$2:$C7716)), "")*24*60, "")</f>
        <v/>
      </c>
      <c r="O7717" s="24" t="str" cm="1">
        <f t="array" ref="O7717">IFERROR(IF($B7717=O$1, ($A7717+$C7717) - MAX(IF($B$2:$B7716=$B7717, $A$2:$A7716+$C$2:$C7716)), "")*24*60, "")</f>
        <v/>
      </c>
      <c r="P7717" s="24" t="str" cm="1">
        <f t="array" ref="P7717">IFERROR(IF($B7717=P$1, ($A7717+$C7717) - MAX(IF($B$2:$B7716=$B7717, $A$2:$A7716+$C$2:$C7716)), "")*24*60, "")</f>
        <v/>
      </c>
      <c r="Q7717" s="24" t="str" cm="1">
        <f t="array" ref="Q7717">IFERROR(IF($B7717=Q$1, ($A7717+$C7717) - MAX(IF($B$2:$B7716=$B7717, $A$2:$A7716+$C$2:$C7716)), "")*24*60, "")</f>
        <v/>
      </c>
      <c r="R7717" s="24" t="str" cm="1">
        <f t="array" ref="R7717">IFERROR(IF($B7717=R$1, ($A7717+$C7717) - MAX(IF($B$2:$B7716=$B7717, $A$2:$A7716+$C$2:$C7716)), "")*24*60, "")</f>
        <v/>
      </c>
      <c r="S7717" s="24" t="str" cm="1">
        <f t="array" ref="S7717">IFERROR(IF($B7717=S$1, ($A7717+$C7717) - MAX(IF($B$2:$B7716=$B7717, $A$2:$A7716+$C$2:$C7716)), "")*24*60, "")</f>
        <v/>
      </c>
    </row>
    <row r="7718" spans="1:19" x14ac:dyDescent="0.2">
      <c r="A7718" s="12">
        <f t="shared" ref="A7718:C7718" si="1906">A7717</f>
        <v>46015</v>
      </c>
      <c r="B7718" s="5" t="str">
        <f t="shared" si="1906"/>
        <v>Northern Cardinal</v>
      </c>
      <c r="C7718" s="6">
        <f t="shared" si="1906"/>
        <v>0.74097222222222225</v>
      </c>
      <c r="D7718" s="5"/>
      <c r="E7718" s="5"/>
      <c r="F7718" s="5" t="s">
        <v>9</v>
      </c>
      <c r="G7718" s="15" t="s">
        <v>8</v>
      </c>
      <c r="H7718" s="24">
        <f t="shared" si="1895"/>
        <v>0</v>
      </c>
      <c r="I7718" s="24" cm="1">
        <f t="array" ref="I7718">IFERROR(IF($B7718=I$1, ($A7718+$C7718) - MAX(IF($B$2:$B7717=$B7718, $A$2:$A7717+$C$2:$C7717)), "")*24*60, "")</f>
        <v>0</v>
      </c>
      <c r="J7718" s="24" t="str" cm="1">
        <f t="array" ref="J7718">IFERROR(IF($B7718=J$1, ($A7718+$C7718) - MAX(IF($B$2:$B7717=$B7718, $A$2:$A7717+$C$2:$C7717)), "")*24*60, "")</f>
        <v/>
      </c>
      <c r="K7718" s="24" t="str" cm="1">
        <f t="array" ref="K7718">IFERROR(IF($B7718=K$1, ($A7718+$C7718) - MAX(IF($B$2:$B7717=$B7718, $A$2:$A7717+$C$2:$C7717)), "")*24*60, "")</f>
        <v/>
      </c>
      <c r="L7718" s="24" t="str" cm="1">
        <f t="array" ref="L7718">IFERROR(IF($B7718=L$1, ($A7718+$C7718) - MAX(IF($B$2:$B7717=$B7718, $A$2:$A7717+$C$2:$C7717)), "")*24*60, "")</f>
        <v/>
      </c>
      <c r="M7718" s="24" t="str" cm="1">
        <f t="array" ref="M7718">IFERROR(IF($B7718=M$1, ($A7718+$C7718) - MAX(IF($B$2:$B7717=$B7718, $A$2:$A7717+$C$2:$C7717)), "")*24*60, "")</f>
        <v/>
      </c>
      <c r="N7718" s="24" t="str" cm="1">
        <f t="array" ref="N7718">IFERROR(IF($B7718=N$1, ($A7718+$C7718) - MAX(IF($B$2:$B7717=$B7718, $A$2:$A7717+$C$2:$C7717)), "")*24*60, "")</f>
        <v/>
      </c>
      <c r="O7718" s="24" t="str" cm="1">
        <f t="array" ref="O7718">IFERROR(IF($B7718=O$1, ($A7718+$C7718) - MAX(IF($B$2:$B7717=$B7718, $A$2:$A7717+$C$2:$C7717)), "")*24*60, "")</f>
        <v/>
      </c>
      <c r="P7718" s="24" t="str" cm="1">
        <f t="array" ref="P7718">IFERROR(IF($B7718=P$1, ($A7718+$C7718) - MAX(IF($B$2:$B7717=$B7718, $A$2:$A7717+$C$2:$C7717)), "")*24*60, "")</f>
        <v/>
      </c>
      <c r="Q7718" s="24" t="str" cm="1">
        <f t="array" ref="Q7718">IFERROR(IF($B7718=Q$1, ($A7718+$C7718) - MAX(IF($B$2:$B7717=$B7718, $A$2:$A7717+$C$2:$C7717)), "")*24*60, "")</f>
        <v/>
      </c>
      <c r="R7718" s="24" t="str" cm="1">
        <f t="array" ref="R7718">IFERROR(IF($B7718=R$1, ($A7718+$C7718) - MAX(IF($B$2:$B7717=$B7718, $A$2:$A7717+$C$2:$C7717)), "")*24*60, "")</f>
        <v/>
      </c>
      <c r="S7718" s="24" t="str" cm="1">
        <f t="array" ref="S7718">IFERROR(IF($B7718=S$1, ($A7718+$C7718) - MAX(IF($B$2:$B7717=$B7718, $A$2:$A7717+$C$2:$C7717)), "")*24*60, "")</f>
        <v/>
      </c>
    </row>
    <row r="7719" spans="1:19" x14ac:dyDescent="0.2">
      <c r="A7719" s="12">
        <f t="shared" ref="A7719:C7719" si="1907">A7718</f>
        <v>46015</v>
      </c>
      <c r="B7719" s="5" t="str">
        <f t="shared" si="1907"/>
        <v>Northern Cardinal</v>
      </c>
      <c r="C7719" s="6">
        <f t="shared" si="1907"/>
        <v>0.74097222222222225</v>
      </c>
      <c r="D7719" s="5"/>
      <c r="E7719" s="5"/>
      <c r="F7719" s="5" t="s">
        <v>9</v>
      </c>
      <c r="G7719" s="15" t="s">
        <v>8</v>
      </c>
      <c r="H7719" s="24">
        <f t="shared" si="1895"/>
        <v>0</v>
      </c>
      <c r="I7719" s="24" cm="1">
        <f t="array" ref="I7719">IFERROR(IF($B7719=I$1, ($A7719+$C7719) - MAX(IF($B$2:$B7718=$B7719, $A$2:$A7718+$C$2:$C7718)), "")*24*60, "")</f>
        <v>0</v>
      </c>
      <c r="J7719" s="24" t="str" cm="1">
        <f t="array" ref="J7719">IFERROR(IF($B7719=J$1, ($A7719+$C7719) - MAX(IF($B$2:$B7718=$B7719, $A$2:$A7718+$C$2:$C7718)), "")*24*60, "")</f>
        <v/>
      </c>
      <c r="K7719" s="24" t="str" cm="1">
        <f t="array" ref="K7719">IFERROR(IF($B7719=K$1, ($A7719+$C7719) - MAX(IF($B$2:$B7718=$B7719, $A$2:$A7718+$C$2:$C7718)), "")*24*60, "")</f>
        <v/>
      </c>
      <c r="L7719" s="24" t="str" cm="1">
        <f t="array" ref="L7719">IFERROR(IF($B7719=L$1, ($A7719+$C7719) - MAX(IF($B$2:$B7718=$B7719, $A$2:$A7718+$C$2:$C7718)), "")*24*60, "")</f>
        <v/>
      </c>
      <c r="M7719" s="24" t="str" cm="1">
        <f t="array" ref="M7719">IFERROR(IF($B7719=M$1, ($A7719+$C7719) - MAX(IF($B$2:$B7718=$B7719, $A$2:$A7718+$C$2:$C7718)), "")*24*60, "")</f>
        <v/>
      </c>
      <c r="N7719" s="24" t="str" cm="1">
        <f t="array" ref="N7719">IFERROR(IF($B7719=N$1, ($A7719+$C7719) - MAX(IF($B$2:$B7718=$B7719, $A$2:$A7718+$C$2:$C7718)), "")*24*60, "")</f>
        <v/>
      </c>
      <c r="O7719" s="24" t="str" cm="1">
        <f t="array" ref="O7719">IFERROR(IF($B7719=O$1, ($A7719+$C7719) - MAX(IF($B$2:$B7718=$B7719, $A$2:$A7718+$C$2:$C7718)), "")*24*60, "")</f>
        <v/>
      </c>
      <c r="P7719" s="24" t="str" cm="1">
        <f t="array" ref="P7719">IFERROR(IF($B7719=P$1, ($A7719+$C7719) - MAX(IF($B$2:$B7718=$B7719, $A$2:$A7718+$C$2:$C7718)), "")*24*60, "")</f>
        <v/>
      </c>
      <c r="Q7719" s="24" t="str" cm="1">
        <f t="array" ref="Q7719">IFERROR(IF($B7719=Q$1, ($A7719+$C7719) - MAX(IF($B$2:$B7718=$B7719, $A$2:$A7718+$C$2:$C7718)), "")*24*60, "")</f>
        <v/>
      </c>
      <c r="R7719" s="24" t="str" cm="1">
        <f t="array" ref="R7719">IFERROR(IF($B7719=R$1, ($A7719+$C7719) - MAX(IF($B$2:$B7718=$B7719, $A$2:$A7718+$C$2:$C7718)), "")*24*60, "")</f>
        <v/>
      </c>
      <c r="S7719" s="24" t="str" cm="1">
        <f t="array" ref="S7719">IFERROR(IF($B7719=S$1, ($A7719+$C7719) - MAX(IF($B$2:$B7718=$B7719, $A$2:$A7718+$C$2:$C7718)), "")*24*60, "")</f>
        <v/>
      </c>
    </row>
    <row r="7720" spans="1:19" x14ac:dyDescent="0.2">
      <c r="A7720" s="12">
        <f t="shared" ref="A7720:C7720" si="1908">A7719</f>
        <v>46015</v>
      </c>
      <c r="B7720" s="5" t="str">
        <f t="shared" si="1908"/>
        <v>Northern Cardinal</v>
      </c>
      <c r="C7720" s="6">
        <f t="shared" si="1908"/>
        <v>0.74097222222222225</v>
      </c>
      <c r="D7720" s="5"/>
      <c r="E7720" s="5"/>
      <c r="F7720" s="5" t="s">
        <v>9</v>
      </c>
      <c r="G7720" s="15" t="s">
        <v>8</v>
      </c>
      <c r="H7720" s="24">
        <f t="shared" si="1895"/>
        <v>0</v>
      </c>
      <c r="I7720" s="24" cm="1">
        <f t="array" ref="I7720">IFERROR(IF($B7720=I$1, ($A7720+$C7720) - MAX(IF($B$2:$B7719=$B7720, $A$2:$A7719+$C$2:$C7719)), "")*24*60, "")</f>
        <v>0</v>
      </c>
      <c r="J7720" s="24" t="str" cm="1">
        <f t="array" ref="J7720">IFERROR(IF($B7720=J$1, ($A7720+$C7720) - MAX(IF($B$2:$B7719=$B7720, $A$2:$A7719+$C$2:$C7719)), "")*24*60, "")</f>
        <v/>
      </c>
      <c r="K7720" s="24" t="str" cm="1">
        <f t="array" ref="K7720">IFERROR(IF($B7720=K$1, ($A7720+$C7720) - MAX(IF($B$2:$B7719=$B7720, $A$2:$A7719+$C$2:$C7719)), "")*24*60, "")</f>
        <v/>
      </c>
      <c r="L7720" s="24" t="str" cm="1">
        <f t="array" ref="L7720">IFERROR(IF($B7720=L$1, ($A7720+$C7720) - MAX(IF($B$2:$B7719=$B7720, $A$2:$A7719+$C$2:$C7719)), "")*24*60, "")</f>
        <v/>
      </c>
      <c r="M7720" s="24" t="str" cm="1">
        <f t="array" ref="M7720">IFERROR(IF($B7720=M$1, ($A7720+$C7720) - MAX(IF($B$2:$B7719=$B7720, $A$2:$A7719+$C$2:$C7719)), "")*24*60, "")</f>
        <v/>
      </c>
      <c r="N7720" s="24" t="str" cm="1">
        <f t="array" ref="N7720">IFERROR(IF($B7720=N$1, ($A7720+$C7720) - MAX(IF($B$2:$B7719=$B7720, $A$2:$A7719+$C$2:$C7719)), "")*24*60, "")</f>
        <v/>
      </c>
      <c r="O7720" s="24" t="str" cm="1">
        <f t="array" ref="O7720">IFERROR(IF($B7720=O$1, ($A7720+$C7720) - MAX(IF($B$2:$B7719=$B7720, $A$2:$A7719+$C$2:$C7719)), "")*24*60, "")</f>
        <v/>
      </c>
      <c r="P7720" s="24" t="str" cm="1">
        <f t="array" ref="P7720">IFERROR(IF($B7720=P$1, ($A7720+$C7720) - MAX(IF($B$2:$B7719=$B7720, $A$2:$A7719+$C$2:$C7719)), "")*24*60, "")</f>
        <v/>
      </c>
      <c r="Q7720" s="24" t="str" cm="1">
        <f t="array" ref="Q7720">IFERROR(IF($B7720=Q$1, ($A7720+$C7720) - MAX(IF($B$2:$B7719=$B7720, $A$2:$A7719+$C$2:$C7719)), "")*24*60, "")</f>
        <v/>
      </c>
      <c r="R7720" s="24" t="str" cm="1">
        <f t="array" ref="R7720">IFERROR(IF($B7720=R$1, ($A7720+$C7720) - MAX(IF($B$2:$B7719=$B7720, $A$2:$A7719+$C$2:$C7719)), "")*24*60, "")</f>
        <v/>
      </c>
      <c r="S7720" s="24" t="str" cm="1">
        <f t="array" ref="S7720">IFERROR(IF($B7720=S$1, ($A7720+$C7720) - MAX(IF($B$2:$B7719=$B7720, $A$2:$A7719+$C$2:$C7719)), "")*24*60, "")</f>
        <v/>
      </c>
    </row>
    <row r="7721" spans="1:19" x14ac:dyDescent="0.2">
      <c r="A7721" s="12">
        <f t="shared" ref="A7721:C7721" si="1909">A7720</f>
        <v>46015</v>
      </c>
      <c r="B7721" s="5" t="str">
        <f t="shared" si="1909"/>
        <v>Northern Cardinal</v>
      </c>
      <c r="C7721" s="6">
        <f t="shared" si="1909"/>
        <v>0.74097222222222225</v>
      </c>
      <c r="D7721" s="5"/>
      <c r="E7721" s="5"/>
      <c r="F7721" s="5" t="s">
        <v>9</v>
      </c>
      <c r="G7721" s="15" t="s">
        <v>8</v>
      </c>
      <c r="H7721" s="24">
        <f t="shared" si="1895"/>
        <v>0</v>
      </c>
      <c r="I7721" s="24" cm="1">
        <f t="array" ref="I7721">IFERROR(IF($B7721=I$1, ($A7721+$C7721) - MAX(IF($B$2:$B7720=$B7721, $A$2:$A7720+$C$2:$C7720)), "")*24*60, "")</f>
        <v>0</v>
      </c>
      <c r="J7721" s="24" t="str" cm="1">
        <f t="array" ref="J7721">IFERROR(IF($B7721=J$1, ($A7721+$C7721) - MAX(IF($B$2:$B7720=$B7721, $A$2:$A7720+$C$2:$C7720)), "")*24*60, "")</f>
        <v/>
      </c>
      <c r="K7721" s="24" t="str" cm="1">
        <f t="array" ref="K7721">IFERROR(IF($B7721=K$1, ($A7721+$C7721) - MAX(IF($B$2:$B7720=$B7721, $A$2:$A7720+$C$2:$C7720)), "")*24*60, "")</f>
        <v/>
      </c>
      <c r="L7721" s="24" t="str" cm="1">
        <f t="array" ref="L7721">IFERROR(IF($B7721=L$1, ($A7721+$C7721) - MAX(IF($B$2:$B7720=$B7721, $A$2:$A7720+$C$2:$C7720)), "")*24*60, "")</f>
        <v/>
      </c>
      <c r="M7721" s="24" t="str" cm="1">
        <f t="array" ref="M7721">IFERROR(IF($B7721=M$1, ($A7721+$C7721) - MAX(IF($B$2:$B7720=$B7721, $A$2:$A7720+$C$2:$C7720)), "")*24*60, "")</f>
        <v/>
      </c>
      <c r="N7721" s="24" t="str" cm="1">
        <f t="array" ref="N7721">IFERROR(IF($B7721=N$1, ($A7721+$C7721) - MAX(IF($B$2:$B7720=$B7721, $A$2:$A7720+$C$2:$C7720)), "")*24*60, "")</f>
        <v/>
      </c>
      <c r="O7721" s="24" t="str" cm="1">
        <f t="array" ref="O7721">IFERROR(IF($B7721=O$1, ($A7721+$C7721) - MAX(IF($B$2:$B7720=$B7721, $A$2:$A7720+$C$2:$C7720)), "")*24*60, "")</f>
        <v/>
      </c>
      <c r="P7721" s="24" t="str" cm="1">
        <f t="array" ref="P7721">IFERROR(IF($B7721=P$1, ($A7721+$C7721) - MAX(IF($B$2:$B7720=$B7721, $A$2:$A7720+$C$2:$C7720)), "")*24*60, "")</f>
        <v/>
      </c>
      <c r="Q7721" s="24" t="str" cm="1">
        <f t="array" ref="Q7721">IFERROR(IF($B7721=Q$1, ($A7721+$C7721) - MAX(IF($B$2:$B7720=$B7721, $A$2:$A7720+$C$2:$C7720)), "")*24*60, "")</f>
        <v/>
      </c>
      <c r="R7721" s="24" t="str" cm="1">
        <f t="array" ref="R7721">IFERROR(IF($B7721=R$1, ($A7721+$C7721) - MAX(IF($B$2:$B7720=$B7721, $A$2:$A7720+$C$2:$C7720)), "")*24*60, "")</f>
        <v/>
      </c>
      <c r="S7721" s="24" t="str" cm="1">
        <f t="array" ref="S7721">IFERROR(IF($B7721=S$1, ($A7721+$C7721) - MAX(IF($B$2:$B7720=$B7721, $A$2:$A7720+$C$2:$C7720)), "")*24*60, "")</f>
        <v/>
      </c>
    </row>
    <row r="7722" spans="1:19" x14ac:dyDescent="0.2">
      <c r="A7722" s="12">
        <f t="shared" ref="A7722:C7722" si="1910">A7721</f>
        <v>46015</v>
      </c>
      <c r="B7722" s="5" t="str">
        <f t="shared" si="1910"/>
        <v>Northern Cardinal</v>
      </c>
      <c r="C7722" s="6">
        <f t="shared" si="1910"/>
        <v>0.74097222222222225</v>
      </c>
      <c r="D7722" s="5"/>
      <c r="E7722" s="5"/>
      <c r="F7722" s="5" t="s">
        <v>9</v>
      </c>
      <c r="G7722" s="15" t="s">
        <v>8</v>
      </c>
      <c r="H7722" s="24">
        <f t="shared" si="1895"/>
        <v>0</v>
      </c>
      <c r="I7722" s="24" cm="1">
        <f t="array" ref="I7722">IFERROR(IF($B7722=I$1, ($A7722+$C7722) - MAX(IF($B$2:$B7721=$B7722, $A$2:$A7721+$C$2:$C7721)), "")*24*60, "")</f>
        <v>0</v>
      </c>
      <c r="J7722" s="24" t="str" cm="1">
        <f t="array" ref="J7722">IFERROR(IF($B7722=J$1, ($A7722+$C7722) - MAX(IF($B$2:$B7721=$B7722, $A$2:$A7721+$C$2:$C7721)), "")*24*60, "")</f>
        <v/>
      </c>
      <c r="K7722" s="24" t="str" cm="1">
        <f t="array" ref="K7722">IFERROR(IF($B7722=K$1, ($A7722+$C7722) - MAX(IF($B$2:$B7721=$B7722, $A$2:$A7721+$C$2:$C7721)), "")*24*60, "")</f>
        <v/>
      </c>
      <c r="L7722" s="24" t="str" cm="1">
        <f t="array" ref="L7722">IFERROR(IF($B7722=L$1, ($A7722+$C7722) - MAX(IF($B$2:$B7721=$B7722, $A$2:$A7721+$C$2:$C7721)), "")*24*60, "")</f>
        <v/>
      </c>
      <c r="M7722" s="24" t="str" cm="1">
        <f t="array" ref="M7722">IFERROR(IF($B7722=M$1, ($A7722+$C7722) - MAX(IF($B$2:$B7721=$B7722, $A$2:$A7721+$C$2:$C7721)), "")*24*60, "")</f>
        <v/>
      </c>
      <c r="N7722" s="24" t="str" cm="1">
        <f t="array" ref="N7722">IFERROR(IF($B7722=N$1, ($A7722+$C7722) - MAX(IF($B$2:$B7721=$B7722, $A$2:$A7721+$C$2:$C7721)), "")*24*60, "")</f>
        <v/>
      </c>
      <c r="O7722" s="24" t="str" cm="1">
        <f t="array" ref="O7722">IFERROR(IF($B7722=O$1, ($A7722+$C7722) - MAX(IF($B$2:$B7721=$B7722, $A$2:$A7721+$C$2:$C7721)), "")*24*60, "")</f>
        <v/>
      </c>
      <c r="P7722" s="24" t="str" cm="1">
        <f t="array" ref="P7722">IFERROR(IF($B7722=P$1, ($A7722+$C7722) - MAX(IF($B$2:$B7721=$B7722, $A$2:$A7721+$C$2:$C7721)), "")*24*60, "")</f>
        <v/>
      </c>
      <c r="Q7722" s="24" t="str" cm="1">
        <f t="array" ref="Q7722">IFERROR(IF($B7722=Q$1, ($A7722+$C7722) - MAX(IF($B$2:$B7721=$B7722, $A$2:$A7721+$C$2:$C7721)), "")*24*60, "")</f>
        <v/>
      </c>
      <c r="R7722" s="24" t="str" cm="1">
        <f t="array" ref="R7722">IFERROR(IF($B7722=R$1, ($A7722+$C7722) - MAX(IF($B$2:$B7721=$B7722, $A$2:$A7721+$C$2:$C7721)), "")*24*60, "")</f>
        <v/>
      </c>
      <c r="S7722" s="24" t="str" cm="1">
        <f t="array" ref="S7722">IFERROR(IF($B7722=S$1, ($A7722+$C7722) - MAX(IF($B$2:$B7721=$B7722, $A$2:$A7721+$C$2:$C7721)), "")*24*60, "")</f>
        <v/>
      </c>
    </row>
    <row r="7723" spans="1:19" x14ac:dyDescent="0.2">
      <c r="A7723" s="12">
        <f t="shared" ref="A7723:C7723" si="1911">A7722</f>
        <v>46015</v>
      </c>
      <c r="B7723" s="5" t="str">
        <f t="shared" si="1911"/>
        <v>Northern Cardinal</v>
      </c>
      <c r="C7723" s="6">
        <f t="shared" si="1911"/>
        <v>0.74097222222222225</v>
      </c>
      <c r="D7723" s="5"/>
      <c r="E7723" s="5"/>
      <c r="F7723" s="5" t="s">
        <v>9</v>
      </c>
      <c r="G7723" s="15" t="s">
        <v>8</v>
      </c>
      <c r="H7723" s="24">
        <f t="shared" si="1895"/>
        <v>0</v>
      </c>
      <c r="I7723" s="24" cm="1">
        <f t="array" ref="I7723">IFERROR(IF($B7723=I$1, ($A7723+$C7723) - MAX(IF($B$2:$B7722=$B7723, $A$2:$A7722+$C$2:$C7722)), "")*24*60, "")</f>
        <v>0</v>
      </c>
      <c r="J7723" s="24" t="str" cm="1">
        <f t="array" ref="J7723">IFERROR(IF($B7723=J$1, ($A7723+$C7723) - MAX(IF($B$2:$B7722=$B7723, $A$2:$A7722+$C$2:$C7722)), "")*24*60, "")</f>
        <v/>
      </c>
      <c r="K7723" s="24" t="str" cm="1">
        <f t="array" ref="K7723">IFERROR(IF($B7723=K$1, ($A7723+$C7723) - MAX(IF($B$2:$B7722=$B7723, $A$2:$A7722+$C$2:$C7722)), "")*24*60, "")</f>
        <v/>
      </c>
      <c r="L7723" s="24" t="str" cm="1">
        <f t="array" ref="L7723">IFERROR(IF($B7723=L$1, ($A7723+$C7723) - MAX(IF($B$2:$B7722=$B7723, $A$2:$A7722+$C$2:$C7722)), "")*24*60, "")</f>
        <v/>
      </c>
      <c r="M7723" s="24" t="str" cm="1">
        <f t="array" ref="M7723">IFERROR(IF($B7723=M$1, ($A7723+$C7723) - MAX(IF($B$2:$B7722=$B7723, $A$2:$A7722+$C$2:$C7722)), "")*24*60, "")</f>
        <v/>
      </c>
      <c r="N7723" s="24" t="str" cm="1">
        <f t="array" ref="N7723">IFERROR(IF($B7723=N$1, ($A7723+$C7723) - MAX(IF($B$2:$B7722=$B7723, $A$2:$A7722+$C$2:$C7722)), "")*24*60, "")</f>
        <v/>
      </c>
      <c r="O7723" s="24" t="str" cm="1">
        <f t="array" ref="O7723">IFERROR(IF($B7723=O$1, ($A7723+$C7723) - MAX(IF($B$2:$B7722=$B7723, $A$2:$A7722+$C$2:$C7722)), "")*24*60, "")</f>
        <v/>
      </c>
      <c r="P7723" s="24" t="str" cm="1">
        <f t="array" ref="P7723">IFERROR(IF($B7723=P$1, ($A7723+$C7723) - MAX(IF($B$2:$B7722=$B7723, $A$2:$A7722+$C$2:$C7722)), "")*24*60, "")</f>
        <v/>
      </c>
      <c r="Q7723" s="24" t="str" cm="1">
        <f t="array" ref="Q7723">IFERROR(IF($B7723=Q$1, ($A7723+$C7723) - MAX(IF($B$2:$B7722=$B7723, $A$2:$A7722+$C$2:$C7722)), "")*24*60, "")</f>
        <v/>
      </c>
      <c r="R7723" s="24" t="str" cm="1">
        <f t="array" ref="R7723">IFERROR(IF($B7723=R$1, ($A7723+$C7723) - MAX(IF($B$2:$B7722=$B7723, $A$2:$A7722+$C$2:$C7722)), "")*24*60, "")</f>
        <v/>
      </c>
      <c r="S7723" s="24" t="str" cm="1">
        <f t="array" ref="S7723">IFERROR(IF($B7723=S$1, ($A7723+$C7723) - MAX(IF($B$2:$B7722=$B7723, $A$2:$A7722+$C$2:$C7722)), "")*24*60, "")</f>
        <v/>
      </c>
    </row>
    <row r="7724" spans="1:19" x14ac:dyDescent="0.2">
      <c r="A7724" s="12">
        <f t="shared" ref="A7724:C7724" si="1912">A7723</f>
        <v>46015</v>
      </c>
      <c r="B7724" s="5" t="str">
        <f t="shared" si="1912"/>
        <v>Northern Cardinal</v>
      </c>
      <c r="C7724" s="6">
        <f t="shared" si="1912"/>
        <v>0.74097222222222225</v>
      </c>
      <c r="D7724" s="5"/>
      <c r="E7724" s="5"/>
      <c r="F7724" s="5" t="s">
        <v>9</v>
      </c>
      <c r="G7724" s="15" t="s">
        <v>8</v>
      </c>
      <c r="H7724" s="24">
        <f t="shared" si="1895"/>
        <v>0</v>
      </c>
      <c r="I7724" s="24" cm="1">
        <f t="array" ref="I7724">IFERROR(IF($B7724=I$1, ($A7724+$C7724) - MAX(IF($B$2:$B7723=$B7724, $A$2:$A7723+$C$2:$C7723)), "")*24*60, "")</f>
        <v>0</v>
      </c>
      <c r="J7724" s="24" t="str" cm="1">
        <f t="array" ref="J7724">IFERROR(IF($B7724=J$1, ($A7724+$C7724) - MAX(IF($B$2:$B7723=$B7724, $A$2:$A7723+$C$2:$C7723)), "")*24*60, "")</f>
        <v/>
      </c>
      <c r="K7724" s="24" t="str" cm="1">
        <f t="array" ref="K7724">IFERROR(IF($B7724=K$1, ($A7724+$C7724) - MAX(IF($B$2:$B7723=$B7724, $A$2:$A7723+$C$2:$C7723)), "")*24*60, "")</f>
        <v/>
      </c>
      <c r="L7724" s="24" t="str" cm="1">
        <f t="array" ref="L7724">IFERROR(IF($B7724=L$1, ($A7724+$C7724) - MAX(IF($B$2:$B7723=$B7724, $A$2:$A7723+$C$2:$C7723)), "")*24*60, "")</f>
        <v/>
      </c>
      <c r="M7724" s="24" t="str" cm="1">
        <f t="array" ref="M7724">IFERROR(IF($B7724=M$1, ($A7724+$C7724) - MAX(IF($B$2:$B7723=$B7724, $A$2:$A7723+$C$2:$C7723)), "")*24*60, "")</f>
        <v/>
      </c>
      <c r="N7724" s="24" t="str" cm="1">
        <f t="array" ref="N7724">IFERROR(IF($B7724=N$1, ($A7724+$C7724) - MAX(IF($B$2:$B7723=$B7724, $A$2:$A7723+$C$2:$C7723)), "")*24*60, "")</f>
        <v/>
      </c>
      <c r="O7724" s="24" t="str" cm="1">
        <f t="array" ref="O7724">IFERROR(IF($B7724=O$1, ($A7724+$C7724) - MAX(IF($B$2:$B7723=$B7724, $A$2:$A7723+$C$2:$C7723)), "")*24*60, "")</f>
        <v/>
      </c>
      <c r="P7724" s="24" t="str" cm="1">
        <f t="array" ref="P7724">IFERROR(IF($B7724=P$1, ($A7724+$C7724) - MAX(IF($B$2:$B7723=$B7724, $A$2:$A7723+$C$2:$C7723)), "")*24*60, "")</f>
        <v/>
      </c>
      <c r="Q7724" s="24" t="str" cm="1">
        <f t="array" ref="Q7724">IFERROR(IF($B7724=Q$1, ($A7724+$C7724) - MAX(IF($B$2:$B7723=$B7724, $A$2:$A7723+$C$2:$C7723)), "")*24*60, "")</f>
        <v/>
      </c>
      <c r="R7724" s="24" t="str" cm="1">
        <f t="array" ref="R7724">IFERROR(IF($B7724=R$1, ($A7724+$C7724) - MAX(IF($B$2:$B7723=$B7724, $A$2:$A7723+$C$2:$C7723)), "")*24*60, "")</f>
        <v/>
      </c>
      <c r="S7724" s="24" t="str" cm="1">
        <f t="array" ref="S7724">IFERROR(IF($B7724=S$1, ($A7724+$C7724) - MAX(IF($B$2:$B7723=$B7724, $A$2:$A7723+$C$2:$C7723)), "")*24*60, "")</f>
        <v/>
      </c>
    </row>
    <row r="7725" spans="1:19" x14ac:dyDescent="0.2">
      <c r="A7725" s="12">
        <f t="shared" ref="A7725:C7725" si="1913">A7724</f>
        <v>46015</v>
      </c>
      <c r="B7725" s="5" t="str">
        <f t="shared" si="1913"/>
        <v>Northern Cardinal</v>
      </c>
      <c r="C7725" s="6">
        <f t="shared" si="1913"/>
        <v>0.74097222222222225</v>
      </c>
      <c r="D7725" s="5"/>
      <c r="E7725" s="5"/>
      <c r="F7725" s="5" t="s">
        <v>9</v>
      </c>
      <c r="G7725" s="15" t="s">
        <v>8</v>
      </c>
      <c r="H7725" s="24">
        <f t="shared" si="1895"/>
        <v>0</v>
      </c>
      <c r="I7725" s="24" cm="1">
        <f t="array" ref="I7725">IFERROR(IF($B7725=I$1, ($A7725+$C7725) - MAX(IF($B$2:$B7724=$B7725, $A$2:$A7724+$C$2:$C7724)), "")*24*60, "")</f>
        <v>0</v>
      </c>
      <c r="J7725" s="24" t="str" cm="1">
        <f t="array" ref="J7725">IFERROR(IF($B7725=J$1, ($A7725+$C7725) - MAX(IF($B$2:$B7724=$B7725, $A$2:$A7724+$C$2:$C7724)), "")*24*60, "")</f>
        <v/>
      </c>
      <c r="K7725" s="24" t="str" cm="1">
        <f t="array" ref="K7725">IFERROR(IF($B7725=K$1, ($A7725+$C7725) - MAX(IF($B$2:$B7724=$B7725, $A$2:$A7724+$C$2:$C7724)), "")*24*60, "")</f>
        <v/>
      </c>
      <c r="L7725" s="24" t="str" cm="1">
        <f t="array" ref="L7725">IFERROR(IF($B7725=L$1, ($A7725+$C7725) - MAX(IF($B$2:$B7724=$B7725, $A$2:$A7724+$C$2:$C7724)), "")*24*60, "")</f>
        <v/>
      </c>
      <c r="M7725" s="24" t="str" cm="1">
        <f t="array" ref="M7725">IFERROR(IF($B7725=M$1, ($A7725+$C7725) - MAX(IF($B$2:$B7724=$B7725, $A$2:$A7724+$C$2:$C7724)), "")*24*60, "")</f>
        <v/>
      </c>
      <c r="N7725" s="24" t="str" cm="1">
        <f t="array" ref="N7725">IFERROR(IF($B7725=N$1, ($A7725+$C7725) - MAX(IF($B$2:$B7724=$B7725, $A$2:$A7724+$C$2:$C7724)), "")*24*60, "")</f>
        <v/>
      </c>
      <c r="O7725" s="24" t="str" cm="1">
        <f t="array" ref="O7725">IFERROR(IF($B7725=O$1, ($A7725+$C7725) - MAX(IF($B$2:$B7724=$B7725, $A$2:$A7724+$C$2:$C7724)), "")*24*60, "")</f>
        <v/>
      </c>
      <c r="P7725" s="24" t="str" cm="1">
        <f t="array" ref="P7725">IFERROR(IF($B7725=P$1, ($A7725+$C7725) - MAX(IF($B$2:$B7724=$B7725, $A$2:$A7724+$C$2:$C7724)), "")*24*60, "")</f>
        <v/>
      </c>
      <c r="Q7725" s="24" t="str" cm="1">
        <f t="array" ref="Q7725">IFERROR(IF($B7725=Q$1, ($A7725+$C7725) - MAX(IF($B$2:$B7724=$B7725, $A$2:$A7724+$C$2:$C7724)), "")*24*60, "")</f>
        <v/>
      </c>
      <c r="R7725" s="24" t="str" cm="1">
        <f t="array" ref="R7725">IFERROR(IF($B7725=R$1, ($A7725+$C7725) - MAX(IF($B$2:$B7724=$B7725, $A$2:$A7724+$C$2:$C7724)), "")*24*60, "")</f>
        <v/>
      </c>
      <c r="S7725" s="24" t="str" cm="1">
        <f t="array" ref="S7725">IFERROR(IF($B7725=S$1, ($A7725+$C7725) - MAX(IF($B$2:$B7724=$B7725, $A$2:$A7724+$C$2:$C7724)), "")*24*60, "")</f>
        <v/>
      </c>
    </row>
    <row r="7726" spans="1:19" x14ac:dyDescent="0.2">
      <c r="A7726" s="12">
        <f t="shared" ref="A7726:C7726" si="1914">A7725</f>
        <v>46015</v>
      </c>
      <c r="B7726" s="5" t="str">
        <f t="shared" si="1914"/>
        <v>Northern Cardinal</v>
      </c>
      <c r="C7726" s="6">
        <f t="shared" si="1914"/>
        <v>0.74097222222222225</v>
      </c>
      <c r="D7726" s="5"/>
      <c r="E7726" s="5"/>
      <c r="F7726" s="5" t="s">
        <v>9</v>
      </c>
      <c r="G7726" s="15" t="s">
        <v>8</v>
      </c>
      <c r="H7726" s="24">
        <f t="shared" si="1895"/>
        <v>0</v>
      </c>
      <c r="I7726" s="24" cm="1">
        <f t="array" ref="I7726">IFERROR(IF($B7726=I$1, ($A7726+$C7726) - MAX(IF($B$2:$B7725=$B7726, $A$2:$A7725+$C$2:$C7725)), "")*24*60, "")</f>
        <v>0</v>
      </c>
      <c r="J7726" s="24" t="str" cm="1">
        <f t="array" ref="J7726">IFERROR(IF($B7726=J$1, ($A7726+$C7726) - MAX(IF($B$2:$B7725=$B7726, $A$2:$A7725+$C$2:$C7725)), "")*24*60, "")</f>
        <v/>
      </c>
      <c r="K7726" s="24" t="str" cm="1">
        <f t="array" ref="K7726">IFERROR(IF($B7726=K$1, ($A7726+$C7726) - MAX(IF($B$2:$B7725=$B7726, $A$2:$A7725+$C$2:$C7725)), "")*24*60, "")</f>
        <v/>
      </c>
      <c r="L7726" s="24" t="str" cm="1">
        <f t="array" ref="L7726">IFERROR(IF($B7726=L$1, ($A7726+$C7726) - MAX(IF($B$2:$B7725=$B7726, $A$2:$A7725+$C$2:$C7725)), "")*24*60, "")</f>
        <v/>
      </c>
      <c r="M7726" s="24" t="str" cm="1">
        <f t="array" ref="M7726">IFERROR(IF($B7726=M$1, ($A7726+$C7726) - MAX(IF($B$2:$B7725=$B7726, $A$2:$A7725+$C$2:$C7725)), "")*24*60, "")</f>
        <v/>
      </c>
      <c r="N7726" s="24" t="str" cm="1">
        <f t="array" ref="N7726">IFERROR(IF($B7726=N$1, ($A7726+$C7726) - MAX(IF($B$2:$B7725=$B7726, $A$2:$A7725+$C$2:$C7725)), "")*24*60, "")</f>
        <v/>
      </c>
      <c r="O7726" s="24" t="str" cm="1">
        <f t="array" ref="O7726">IFERROR(IF($B7726=O$1, ($A7726+$C7726) - MAX(IF($B$2:$B7725=$B7726, $A$2:$A7725+$C$2:$C7725)), "")*24*60, "")</f>
        <v/>
      </c>
      <c r="P7726" s="24" t="str" cm="1">
        <f t="array" ref="P7726">IFERROR(IF($B7726=P$1, ($A7726+$C7726) - MAX(IF($B$2:$B7725=$B7726, $A$2:$A7725+$C$2:$C7725)), "")*24*60, "")</f>
        <v/>
      </c>
      <c r="Q7726" s="24" t="str" cm="1">
        <f t="array" ref="Q7726">IFERROR(IF($B7726=Q$1, ($A7726+$C7726) - MAX(IF($B$2:$B7725=$B7726, $A$2:$A7725+$C$2:$C7725)), "")*24*60, "")</f>
        <v/>
      </c>
      <c r="R7726" s="24" t="str" cm="1">
        <f t="array" ref="R7726">IFERROR(IF($B7726=R$1, ($A7726+$C7726) - MAX(IF($B$2:$B7725=$B7726, $A$2:$A7725+$C$2:$C7725)), "")*24*60, "")</f>
        <v/>
      </c>
      <c r="S7726" s="24" t="str" cm="1">
        <f t="array" ref="S7726">IFERROR(IF($B7726=S$1, ($A7726+$C7726) - MAX(IF($B$2:$B7725=$B7726, $A$2:$A7725+$C$2:$C7725)), "")*24*60, "")</f>
        <v/>
      </c>
    </row>
    <row r="7727" spans="1:19" x14ac:dyDescent="0.2">
      <c r="A7727" s="12">
        <f t="shared" ref="A7727:C7727" si="1915">A7726</f>
        <v>46015</v>
      </c>
      <c r="B7727" s="5" t="str">
        <f t="shared" si="1915"/>
        <v>Northern Cardinal</v>
      </c>
      <c r="C7727" s="6">
        <f t="shared" si="1915"/>
        <v>0.74097222222222225</v>
      </c>
      <c r="D7727" s="5"/>
      <c r="E7727" s="5"/>
      <c r="F7727" s="5" t="s">
        <v>9</v>
      </c>
      <c r="G7727" s="15" t="s">
        <v>8</v>
      </c>
      <c r="H7727" s="24">
        <f t="shared" si="1895"/>
        <v>0</v>
      </c>
      <c r="I7727" s="24" cm="1">
        <f t="array" ref="I7727">IFERROR(IF($B7727=I$1, ($A7727+$C7727) - MAX(IF($B$2:$B7726=$B7727, $A$2:$A7726+$C$2:$C7726)), "")*24*60, "")</f>
        <v>0</v>
      </c>
      <c r="J7727" s="24" t="str" cm="1">
        <f t="array" ref="J7727">IFERROR(IF($B7727=J$1, ($A7727+$C7727) - MAX(IF($B$2:$B7726=$B7727, $A$2:$A7726+$C$2:$C7726)), "")*24*60, "")</f>
        <v/>
      </c>
      <c r="K7727" s="24" t="str" cm="1">
        <f t="array" ref="K7727">IFERROR(IF($B7727=K$1, ($A7727+$C7727) - MAX(IF($B$2:$B7726=$B7727, $A$2:$A7726+$C$2:$C7726)), "")*24*60, "")</f>
        <v/>
      </c>
      <c r="L7727" s="24" t="str" cm="1">
        <f t="array" ref="L7727">IFERROR(IF($B7727=L$1, ($A7727+$C7727) - MAX(IF($B$2:$B7726=$B7727, $A$2:$A7726+$C$2:$C7726)), "")*24*60, "")</f>
        <v/>
      </c>
      <c r="M7727" s="24" t="str" cm="1">
        <f t="array" ref="M7727">IFERROR(IF($B7727=M$1, ($A7727+$C7727) - MAX(IF($B$2:$B7726=$B7727, $A$2:$A7726+$C$2:$C7726)), "")*24*60, "")</f>
        <v/>
      </c>
      <c r="N7727" s="24" t="str" cm="1">
        <f t="array" ref="N7727">IFERROR(IF($B7727=N$1, ($A7727+$C7727) - MAX(IF($B$2:$B7726=$B7727, $A$2:$A7726+$C$2:$C7726)), "")*24*60, "")</f>
        <v/>
      </c>
      <c r="O7727" s="24" t="str" cm="1">
        <f t="array" ref="O7727">IFERROR(IF($B7727=O$1, ($A7727+$C7727) - MAX(IF($B$2:$B7726=$B7727, $A$2:$A7726+$C$2:$C7726)), "")*24*60, "")</f>
        <v/>
      </c>
      <c r="P7727" s="24" t="str" cm="1">
        <f t="array" ref="P7727">IFERROR(IF($B7727=P$1, ($A7727+$C7727) - MAX(IF($B$2:$B7726=$B7727, $A$2:$A7726+$C$2:$C7726)), "")*24*60, "")</f>
        <v/>
      </c>
      <c r="Q7727" s="24" t="str" cm="1">
        <f t="array" ref="Q7727">IFERROR(IF($B7727=Q$1, ($A7727+$C7727) - MAX(IF($B$2:$B7726=$B7727, $A$2:$A7726+$C$2:$C7726)), "")*24*60, "")</f>
        <v/>
      </c>
      <c r="R7727" s="24" t="str" cm="1">
        <f t="array" ref="R7727">IFERROR(IF($B7727=R$1, ($A7727+$C7727) - MAX(IF($B$2:$B7726=$B7727, $A$2:$A7726+$C$2:$C7726)), "")*24*60, "")</f>
        <v/>
      </c>
      <c r="S7727" s="24" t="str" cm="1">
        <f t="array" ref="S7727">IFERROR(IF($B7727=S$1, ($A7727+$C7727) - MAX(IF($B$2:$B7726=$B7727, $A$2:$A7726+$C$2:$C7726)), "")*24*60, "")</f>
        <v/>
      </c>
    </row>
    <row r="7728" spans="1:19" x14ac:dyDescent="0.2">
      <c r="A7728" s="12">
        <f t="shared" ref="A7728:C7728" si="1916">A7727</f>
        <v>46015</v>
      </c>
      <c r="B7728" s="5" t="str">
        <f t="shared" si="1916"/>
        <v>Northern Cardinal</v>
      </c>
      <c r="C7728" s="6">
        <f t="shared" si="1916"/>
        <v>0.74097222222222225</v>
      </c>
      <c r="D7728" s="5"/>
      <c r="E7728" s="5"/>
      <c r="F7728" s="5" t="s">
        <v>9</v>
      </c>
      <c r="G7728" s="15" t="s">
        <v>8</v>
      </c>
      <c r="H7728" s="24">
        <f t="shared" si="1895"/>
        <v>0</v>
      </c>
      <c r="I7728" s="24" cm="1">
        <f t="array" ref="I7728">IFERROR(IF($B7728=I$1, ($A7728+$C7728) - MAX(IF($B$2:$B7727=$B7728, $A$2:$A7727+$C$2:$C7727)), "")*24*60, "")</f>
        <v>0</v>
      </c>
      <c r="J7728" s="24" t="str" cm="1">
        <f t="array" ref="J7728">IFERROR(IF($B7728=J$1, ($A7728+$C7728) - MAX(IF($B$2:$B7727=$B7728, $A$2:$A7727+$C$2:$C7727)), "")*24*60, "")</f>
        <v/>
      </c>
      <c r="K7728" s="24" t="str" cm="1">
        <f t="array" ref="K7728">IFERROR(IF($B7728=K$1, ($A7728+$C7728) - MAX(IF($B$2:$B7727=$B7728, $A$2:$A7727+$C$2:$C7727)), "")*24*60, "")</f>
        <v/>
      </c>
      <c r="L7728" s="24" t="str" cm="1">
        <f t="array" ref="L7728">IFERROR(IF($B7728=L$1, ($A7728+$C7728) - MAX(IF($B$2:$B7727=$B7728, $A$2:$A7727+$C$2:$C7727)), "")*24*60, "")</f>
        <v/>
      </c>
      <c r="M7728" s="24" t="str" cm="1">
        <f t="array" ref="M7728">IFERROR(IF($B7728=M$1, ($A7728+$C7728) - MAX(IF($B$2:$B7727=$B7728, $A$2:$A7727+$C$2:$C7727)), "")*24*60, "")</f>
        <v/>
      </c>
      <c r="N7728" s="24" t="str" cm="1">
        <f t="array" ref="N7728">IFERROR(IF($B7728=N$1, ($A7728+$C7728) - MAX(IF($B$2:$B7727=$B7728, $A$2:$A7727+$C$2:$C7727)), "")*24*60, "")</f>
        <v/>
      </c>
      <c r="O7728" s="24" t="str" cm="1">
        <f t="array" ref="O7728">IFERROR(IF($B7728=O$1, ($A7728+$C7728) - MAX(IF($B$2:$B7727=$B7728, $A$2:$A7727+$C$2:$C7727)), "")*24*60, "")</f>
        <v/>
      </c>
      <c r="P7728" s="24" t="str" cm="1">
        <f t="array" ref="P7728">IFERROR(IF($B7728=P$1, ($A7728+$C7728) - MAX(IF($B$2:$B7727=$B7728, $A$2:$A7727+$C$2:$C7727)), "")*24*60, "")</f>
        <v/>
      </c>
      <c r="Q7728" s="24" t="str" cm="1">
        <f t="array" ref="Q7728">IFERROR(IF($B7728=Q$1, ($A7728+$C7728) - MAX(IF($B$2:$B7727=$B7728, $A$2:$A7727+$C$2:$C7727)), "")*24*60, "")</f>
        <v/>
      </c>
      <c r="R7728" s="24" t="str" cm="1">
        <f t="array" ref="R7728">IFERROR(IF($B7728=R$1, ($A7728+$C7728) - MAX(IF($B$2:$B7727=$B7728, $A$2:$A7727+$C$2:$C7727)), "")*24*60, "")</f>
        <v/>
      </c>
      <c r="S7728" s="24" t="str" cm="1">
        <f t="array" ref="S7728">IFERROR(IF($B7728=S$1, ($A7728+$C7728) - MAX(IF($B$2:$B7727=$B7728, $A$2:$A7727+$C$2:$C7727)), "")*24*60, "")</f>
        <v/>
      </c>
    </row>
    <row r="7729" spans="1:19" x14ac:dyDescent="0.2">
      <c r="A7729" s="12">
        <f t="shared" ref="A7729:C7729" si="1917">A7728</f>
        <v>46015</v>
      </c>
      <c r="B7729" s="5" t="str">
        <f t="shared" si="1917"/>
        <v>Northern Cardinal</v>
      </c>
      <c r="C7729" s="6">
        <f t="shared" si="1917"/>
        <v>0.74097222222222225</v>
      </c>
      <c r="D7729" s="5"/>
      <c r="E7729" s="5"/>
      <c r="F7729" s="5" t="s">
        <v>9</v>
      </c>
      <c r="G7729" s="15" t="s">
        <v>8</v>
      </c>
      <c r="H7729" s="24">
        <f t="shared" si="1895"/>
        <v>0</v>
      </c>
      <c r="I7729" s="24" cm="1">
        <f t="array" ref="I7729">IFERROR(IF($B7729=I$1, ($A7729+$C7729) - MAX(IF($B$2:$B7728=$B7729, $A$2:$A7728+$C$2:$C7728)), "")*24*60, "")</f>
        <v>0</v>
      </c>
      <c r="J7729" s="24" t="str" cm="1">
        <f t="array" ref="J7729">IFERROR(IF($B7729=J$1, ($A7729+$C7729) - MAX(IF($B$2:$B7728=$B7729, $A$2:$A7728+$C$2:$C7728)), "")*24*60, "")</f>
        <v/>
      </c>
      <c r="K7729" s="24" t="str" cm="1">
        <f t="array" ref="K7729">IFERROR(IF($B7729=K$1, ($A7729+$C7729) - MAX(IF($B$2:$B7728=$B7729, $A$2:$A7728+$C$2:$C7728)), "")*24*60, "")</f>
        <v/>
      </c>
      <c r="L7729" s="24" t="str" cm="1">
        <f t="array" ref="L7729">IFERROR(IF($B7729=L$1, ($A7729+$C7729) - MAX(IF($B$2:$B7728=$B7729, $A$2:$A7728+$C$2:$C7728)), "")*24*60, "")</f>
        <v/>
      </c>
      <c r="M7729" s="24" t="str" cm="1">
        <f t="array" ref="M7729">IFERROR(IF($B7729=M$1, ($A7729+$C7729) - MAX(IF($B$2:$B7728=$B7729, $A$2:$A7728+$C$2:$C7728)), "")*24*60, "")</f>
        <v/>
      </c>
      <c r="N7729" s="24" t="str" cm="1">
        <f t="array" ref="N7729">IFERROR(IF($B7729=N$1, ($A7729+$C7729) - MAX(IF($B$2:$B7728=$B7729, $A$2:$A7728+$C$2:$C7728)), "")*24*60, "")</f>
        <v/>
      </c>
      <c r="O7729" s="24" t="str" cm="1">
        <f t="array" ref="O7729">IFERROR(IF($B7729=O$1, ($A7729+$C7729) - MAX(IF($B$2:$B7728=$B7729, $A$2:$A7728+$C$2:$C7728)), "")*24*60, "")</f>
        <v/>
      </c>
      <c r="P7729" s="24" t="str" cm="1">
        <f t="array" ref="P7729">IFERROR(IF($B7729=P$1, ($A7729+$C7729) - MAX(IF($B$2:$B7728=$B7729, $A$2:$A7728+$C$2:$C7728)), "")*24*60, "")</f>
        <v/>
      </c>
      <c r="Q7729" s="24" t="str" cm="1">
        <f t="array" ref="Q7729">IFERROR(IF($B7729=Q$1, ($A7729+$C7729) - MAX(IF($B$2:$B7728=$B7729, $A$2:$A7728+$C$2:$C7728)), "")*24*60, "")</f>
        <v/>
      </c>
      <c r="R7729" s="24" t="str" cm="1">
        <f t="array" ref="R7729">IFERROR(IF($B7729=R$1, ($A7729+$C7729) - MAX(IF($B$2:$B7728=$B7729, $A$2:$A7728+$C$2:$C7728)), "")*24*60, "")</f>
        <v/>
      </c>
      <c r="S7729" s="24" t="str" cm="1">
        <f t="array" ref="S7729">IFERROR(IF($B7729=S$1, ($A7729+$C7729) - MAX(IF($B$2:$B7728=$B7729, $A$2:$A7728+$C$2:$C7728)), "")*24*60, "")</f>
        <v/>
      </c>
    </row>
    <row r="7730" spans="1:19" x14ac:dyDescent="0.2">
      <c r="A7730" s="12">
        <f t="shared" ref="A7730:C7730" si="1918">A7729</f>
        <v>46015</v>
      </c>
      <c r="B7730" s="5" t="str">
        <f t="shared" si="1918"/>
        <v>Northern Cardinal</v>
      </c>
      <c r="C7730" s="6">
        <f t="shared" si="1918"/>
        <v>0.74097222222222225</v>
      </c>
      <c r="D7730" s="5"/>
      <c r="E7730" s="5"/>
      <c r="F7730" s="5" t="s">
        <v>9</v>
      </c>
      <c r="G7730" s="15" t="s">
        <v>8</v>
      </c>
      <c r="H7730" s="24">
        <f t="shared" si="1895"/>
        <v>0</v>
      </c>
      <c r="I7730" s="24" cm="1">
        <f t="array" ref="I7730">IFERROR(IF($B7730=I$1, ($A7730+$C7730) - MAX(IF($B$2:$B7729=$B7730, $A$2:$A7729+$C$2:$C7729)), "")*24*60, "")</f>
        <v>0</v>
      </c>
      <c r="J7730" s="24" t="str" cm="1">
        <f t="array" ref="J7730">IFERROR(IF($B7730=J$1, ($A7730+$C7730) - MAX(IF($B$2:$B7729=$B7730, $A$2:$A7729+$C$2:$C7729)), "")*24*60, "")</f>
        <v/>
      </c>
      <c r="K7730" s="24" t="str" cm="1">
        <f t="array" ref="K7730">IFERROR(IF($B7730=K$1, ($A7730+$C7730) - MAX(IF($B$2:$B7729=$B7730, $A$2:$A7729+$C$2:$C7729)), "")*24*60, "")</f>
        <v/>
      </c>
      <c r="L7730" s="24" t="str" cm="1">
        <f t="array" ref="L7730">IFERROR(IF($B7730=L$1, ($A7730+$C7730) - MAX(IF($B$2:$B7729=$B7730, $A$2:$A7729+$C$2:$C7729)), "")*24*60, "")</f>
        <v/>
      </c>
      <c r="M7730" s="24" t="str" cm="1">
        <f t="array" ref="M7730">IFERROR(IF($B7730=M$1, ($A7730+$C7730) - MAX(IF($B$2:$B7729=$B7730, $A$2:$A7729+$C$2:$C7729)), "")*24*60, "")</f>
        <v/>
      </c>
      <c r="N7730" s="24" t="str" cm="1">
        <f t="array" ref="N7730">IFERROR(IF($B7730=N$1, ($A7730+$C7730) - MAX(IF($B$2:$B7729=$B7730, $A$2:$A7729+$C$2:$C7729)), "")*24*60, "")</f>
        <v/>
      </c>
      <c r="O7730" s="24" t="str" cm="1">
        <f t="array" ref="O7730">IFERROR(IF($B7730=O$1, ($A7730+$C7730) - MAX(IF($B$2:$B7729=$B7730, $A$2:$A7729+$C$2:$C7729)), "")*24*60, "")</f>
        <v/>
      </c>
      <c r="P7730" s="24" t="str" cm="1">
        <f t="array" ref="P7730">IFERROR(IF($B7730=P$1, ($A7730+$C7730) - MAX(IF($B$2:$B7729=$B7730, $A$2:$A7729+$C$2:$C7729)), "")*24*60, "")</f>
        <v/>
      </c>
      <c r="Q7730" s="24" t="str" cm="1">
        <f t="array" ref="Q7730">IFERROR(IF($B7730=Q$1, ($A7730+$C7730) - MAX(IF($B$2:$B7729=$B7730, $A$2:$A7729+$C$2:$C7729)), "")*24*60, "")</f>
        <v/>
      </c>
      <c r="R7730" s="24" t="str" cm="1">
        <f t="array" ref="R7730">IFERROR(IF($B7730=R$1, ($A7730+$C7730) - MAX(IF($B$2:$B7729=$B7730, $A$2:$A7729+$C$2:$C7729)), "")*24*60, "")</f>
        <v/>
      </c>
      <c r="S7730" s="24" t="str" cm="1">
        <f t="array" ref="S7730">IFERROR(IF($B7730=S$1, ($A7730+$C7730) - MAX(IF($B$2:$B7729=$B7730, $A$2:$A7729+$C$2:$C7729)), "")*24*60, "")</f>
        <v/>
      </c>
    </row>
    <row r="7731" spans="1:19" x14ac:dyDescent="0.2">
      <c r="A7731" s="12">
        <f t="shared" ref="A7731:C7731" si="1919">A7730</f>
        <v>46015</v>
      </c>
      <c r="B7731" s="5" t="str">
        <f t="shared" si="1919"/>
        <v>Northern Cardinal</v>
      </c>
      <c r="C7731" s="6">
        <f t="shared" si="1919"/>
        <v>0.74097222222222225</v>
      </c>
      <c r="D7731" s="5"/>
      <c r="E7731" s="5"/>
      <c r="F7731" s="5" t="s">
        <v>9</v>
      </c>
      <c r="G7731" s="15" t="s">
        <v>8</v>
      </c>
      <c r="H7731" s="24">
        <f t="shared" si="1895"/>
        <v>0</v>
      </c>
      <c r="I7731" s="24" cm="1">
        <f t="array" ref="I7731">IFERROR(IF($B7731=I$1, ($A7731+$C7731) - MAX(IF($B$2:$B7730=$B7731, $A$2:$A7730+$C$2:$C7730)), "")*24*60, "")</f>
        <v>0</v>
      </c>
      <c r="J7731" s="24" t="str" cm="1">
        <f t="array" ref="J7731">IFERROR(IF($B7731=J$1, ($A7731+$C7731) - MAX(IF($B$2:$B7730=$B7731, $A$2:$A7730+$C$2:$C7730)), "")*24*60, "")</f>
        <v/>
      </c>
      <c r="K7731" s="24" t="str" cm="1">
        <f t="array" ref="K7731">IFERROR(IF($B7731=K$1, ($A7731+$C7731) - MAX(IF($B$2:$B7730=$B7731, $A$2:$A7730+$C$2:$C7730)), "")*24*60, "")</f>
        <v/>
      </c>
      <c r="L7731" s="24" t="str" cm="1">
        <f t="array" ref="L7731">IFERROR(IF($B7731=L$1, ($A7731+$C7731) - MAX(IF($B$2:$B7730=$B7731, $A$2:$A7730+$C$2:$C7730)), "")*24*60, "")</f>
        <v/>
      </c>
      <c r="M7731" s="24" t="str" cm="1">
        <f t="array" ref="M7731">IFERROR(IF($B7731=M$1, ($A7731+$C7731) - MAX(IF($B$2:$B7730=$B7731, $A$2:$A7730+$C$2:$C7730)), "")*24*60, "")</f>
        <v/>
      </c>
      <c r="N7731" s="24" t="str" cm="1">
        <f t="array" ref="N7731">IFERROR(IF($B7731=N$1, ($A7731+$C7731) - MAX(IF($B$2:$B7730=$B7731, $A$2:$A7730+$C$2:$C7730)), "")*24*60, "")</f>
        <v/>
      </c>
      <c r="O7731" s="24" t="str" cm="1">
        <f t="array" ref="O7731">IFERROR(IF($B7731=O$1, ($A7731+$C7731) - MAX(IF($B$2:$B7730=$B7731, $A$2:$A7730+$C$2:$C7730)), "")*24*60, "")</f>
        <v/>
      </c>
      <c r="P7731" s="24" t="str" cm="1">
        <f t="array" ref="P7731">IFERROR(IF($B7731=P$1, ($A7731+$C7731) - MAX(IF($B$2:$B7730=$B7731, $A$2:$A7730+$C$2:$C7730)), "")*24*60, "")</f>
        <v/>
      </c>
      <c r="Q7731" s="24" t="str" cm="1">
        <f t="array" ref="Q7731">IFERROR(IF($B7731=Q$1, ($A7731+$C7731) - MAX(IF($B$2:$B7730=$B7731, $A$2:$A7730+$C$2:$C7730)), "")*24*60, "")</f>
        <v/>
      </c>
      <c r="R7731" s="24" t="str" cm="1">
        <f t="array" ref="R7731">IFERROR(IF($B7731=R$1, ($A7731+$C7731) - MAX(IF($B$2:$B7730=$B7731, $A$2:$A7730+$C$2:$C7730)), "")*24*60, "")</f>
        <v/>
      </c>
      <c r="S7731" s="24" t="str" cm="1">
        <f t="array" ref="S7731">IFERROR(IF($B7731=S$1, ($A7731+$C7731) - MAX(IF($B$2:$B7730=$B7731, $A$2:$A7730+$C$2:$C7730)), "")*24*60, "")</f>
        <v/>
      </c>
    </row>
    <row r="7732" spans="1:19" x14ac:dyDescent="0.2">
      <c r="A7732" s="12">
        <f t="shared" ref="A7732:C7732" si="1920">A7731</f>
        <v>46015</v>
      </c>
      <c r="B7732" s="5" t="str">
        <f t="shared" si="1920"/>
        <v>Northern Cardinal</v>
      </c>
      <c r="C7732" s="6">
        <f t="shared" si="1920"/>
        <v>0.74097222222222225</v>
      </c>
      <c r="D7732" s="5"/>
      <c r="E7732" s="5"/>
      <c r="F7732" s="5" t="s">
        <v>9</v>
      </c>
      <c r="G7732" s="15" t="s">
        <v>8</v>
      </c>
      <c r="H7732" s="24">
        <f t="shared" si="1895"/>
        <v>0</v>
      </c>
      <c r="I7732" s="24" cm="1">
        <f t="array" ref="I7732">IFERROR(IF($B7732=I$1, ($A7732+$C7732) - MAX(IF($B$2:$B7731=$B7732, $A$2:$A7731+$C$2:$C7731)), "")*24*60, "")</f>
        <v>0</v>
      </c>
      <c r="J7732" s="24" t="str" cm="1">
        <f t="array" ref="J7732">IFERROR(IF($B7732=J$1, ($A7732+$C7732) - MAX(IF($B$2:$B7731=$B7732, $A$2:$A7731+$C$2:$C7731)), "")*24*60, "")</f>
        <v/>
      </c>
      <c r="K7732" s="24" t="str" cm="1">
        <f t="array" ref="K7732">IFERROR(IF($B7732=K$1, ($A7732+$C7732) - MAX(IF($B$2:$B7731=$B7732, $A$2:$A7731+$C$2:$C7731)), "")*24*60, "")</f>
        <v/>
      </c>
      <c r="L7732" s="24" t="str" cm="1">
        <f t="array" ref="L7732">IFERROR(IF($B7732=L$1, ($A7732+$C7732) - MAX(IF($B$2:$B7731=$B7732, $A$2:$A7731+$C$2:$C7731)), "")*24*60, "")</f>
        <v/>
      </c>
      <c r="M7732" s="24" t="str" cm="1">
        <f t="array" ref="M7732">IFERROR(IF($B7732=M$1, ($A7732+$C7732) - MAX(IF($B$2:$B7731=$B7732, $A$2:$A7731+$C$2:$C7731)), "")*24*60, "")</f>
        <v/>
      </c>
      <c r="N7732" s="24" t="str" cm="1">
        <f t="array" ref="N7732">IFERROR(IF($B7732=N$1, ($A7732+$C7732) - MAX(IF($B$2:$B7731=$B7732, $A$2:$A7731+$C$2:$C7731)), "")*24*60, "")</f>
        <v/>
      </c>
      <c r="O7732" s="24" t="str" cm="1">
        <f t="array" ref="O7732">IFERROR(IF($B7732=O$1, ($A7732+$C7732) - MAX(IF($B$2:$B7731=$B7732, $A$2:$A7731+$C$2:$C7731)), "")*24*60, "")</f>
        <v/>
      </c>
      <c r="P7732" s="24" t="str" cm="1">
        <f t="array" ref="P7732">IFERROR(IF($B7732=P$1, ($A7732+$C7732) - MAX(IF($B$2:$B7731=$B7732, $A$2:$A7731+$C$2:$C7731)), "")*24*60, "")</f>
        <v/>
      </c>
      <c r="Q7732" s="24" t="str" cm="1">
        <f t="array" ref="Q7732">IFERROR(IF($B7732=Q$1, ($A7732+$C7732) - MAX(IF($B$2:$B7731=$B7732, $A$2:$A7731+$C$2:$C7731)), "")*24*60, "")</f>
        <v/>
      </c>
      <c r="R7732" s="24" t="str" cm="1">
        <f t="array" ref="R7732">IFERROR(IF($B7732=R$1, ($A7732+$C7732) - MAX(IF($B$2:$B7731=$B7732, $A$2:$A7731+$C$2:$C7731)), "")*24*60, "")</f>
        <v/>
      </c>
      <c r="S7732" s="24" t="str" cm="1">
        <f t="array" ref="S7732">IFERROR(IF($B7732=S$1, ($A7732+$C7732) - MAX(IF($B$2:$B7731=$B7732, $A$2:$A7731+$C$2:$C7731)), "")*24*60, "")</f>
        <v/>
      </c>
    </row>
    <row r="7733" spans="1:19" x14ac:dyDescent="0.2">
      <c r="A7733" s="12">
        <f t="shared" ref="A7733:C7733" si="1921">A7732</f>
        <v>46015</v>
      </c>
      <c r="B7733" s="5" t="str">
        <f t="shared" si="1921"/>
        <v>Northern Cardinal</v>
      </c>
      <c r="C7733" s="6">
        <f t="shared" si="1921"/>
        <v>0.74097222222222225</v>
      </c>
      <c r="D7733" s="5"/>
      <c r="E7733" s="5"/>
      <c r="F7733" s="5" t="s">
        <v>9</v>
      </c>
      <c r="G7733" s="15" t="s">
        <v>8</v>
      </c>
      <c r="H7733" s="24">
        <f t="shared" si="1895"/>
        <v>0</v>
      </c>
      <c r="I7733" s="24" cm="1">
        <f t="array" ref="I7733">IFERROR(IF($B7733=I$1, ($A7733+$C7733) - MAX(IF($B$2:$B7732=$B7733, $A$2:$A7732+$C$2:$C7732)), "")*24*60, "")</f>
        <v>0</v>
      </c>
      <c r="J7733" s="24" t="str" cm="1">
        <f t="array" ref="J7733">IFERROR(IF($B7733=J$1, ($A7733+$C7733) - MAX(IF($B$2:$B7732=$B7733, $A$2:$A7732+$C$2:$C7732)), "")*24*60, "")</f>
        <v/>
      </c>
      <c r="K7733" s="24" t="str" cm="1">
        <f t="array" ref="K7733">IFERROR(IF($B7733=K$1, ($A7733+$C7733) - MAX(IF($B$2:$B7732=$B7733, $A$2:$A7732+$C$2:$C7732)), "")*24*60, "")</f>
        <v/>
      </c>
      <c r="L7733" s="24" t="str" cm="1">
        <f t="array" ref="L7733">IFERROR(IF($B7733=L$1, ($A7733+$C7733) - MAX(IF($B$2:$B7732=$B7733, $A$2:$A7732+$C$2:$C7732)), "")*24*60, "")</f>
        <v/>
      </c>
      <c r="M7733" s="24" t="str" cm="1">
        <f t="array" ref="M7733">IFERROR(IF($B7733=M$1, ($A7733+$C7733) - MAX(IF($B$2:$B7732=$B7733, $A$2:$A7732+$C$2:$C7732)), "")*24*60, "")</f>
        <v/>
      </c>
      <c r="N7733" s="24" t="str" cm="1">
        <f t="array" ref="N7733">IFERROR(IF($B7733=N$1, ($A7733+$C7733) - MAX(IF($B$2:$B7732=$B7733, $A$2:$A7732+$C$2:$C7732)), "")*24*60, "")</f>
        <v/>
      </c>
      <c r="O7733" s="24" t="str" cm="1">
        <f t="array" ref="O7733">IFERROR(IF($B7733=O$1, ($A7733+$C7733) - MAX(IF($B$2:$B7732=$B7733, $A$2:$A7732+$C$2:$C7732)), "")*24*60, "")</f>
        <v/>
      </c>
      <c r="P7733" s="24" t="str" cm="1">
        <f t="array" ref="P7733">IFERROR(IF($B7733=P$1, ($A7733+$C7733) - MAX(IF($B$2:$B7732=$B7733, $A$2:$A7732+$C$2:$C7732)), "")*24*60, "")</f>
        <v/>
      </c>
      <c r="Q7733" s="24" t="str" cm="1">
        <f t="array" ref="Q7733">IFERROR(IF($B7733=Q$1, ($A7733+$C7733) - MAX(IF($B$2:$B7732=$B7733, $A$2:$A7732+$C$2:$C7732)), "")*24*60, "")</f>
        <v/>
      </c>
      <c r="R7733" s="24" t="str" cm="1">
        <f t="array" ref="R7733">IFERROR(IF($B7733=R$1, ($A7733+$C7733) - MAX(IF($B$2:$B7732=$B7733, $A$2:$A7732+$C$2:$C7732)), "")*24*60, "")</f>
        <v/>
      </c>
      <c r="S7733" s="24" t="str" cm="1">
        <f t="array" ref="S7733">IFERROR(IF($B7733=S$1, ($A7733+$C7733) - MAX(IF($B$2:$B7732=$B7733, $A$2:$A7732+$C$2:$C7732)), "")*24*60, "")</f>
        <v/>
      </c>
    </row>
    <row r="7734" spans="1:19" x14ac:dyDescent="0.2">
      <c r="A7734" s="12">
        <f t="shared" ref="A7734:C7734" si="1922">A7733</f>
        <v>46015</v>
      </c>
      <c r="B7734" s="5" t="str">
        <f t="shared" si="1922"/>
        <v>Northern Cardinal</v>
      </c>
      <c r="C7734" s="6">
        <f t="shared" si="1922"/>
        <v>0.74097222222222225</v>
      </c>
      <c r="D7734" s="5"/>
      <c r="E7734" s="5"/>
      <c r="F7734" s="5" t="s">
        <v>9</v>
      </c>
      <c r="G7734" s="15" t="s">
        <v>8</v>
      </c>
      <c r="H7734" s="24">
        <f t="shared" si="1895"/>
        <v>0</v>
      </c>
      <c r="I7734" s="24" cm="1">
        <f t="array" ref="I7734">IFERROR(IF($B7734=I$1, ($A7734+$C7734) - MAX(IF($B$2:$B7733=$B7734, $A$2:$A7733+$C$2:$C7733)), "")*24*60, "")</f>
        <v>0</v>
      </c>
      <c r="J7734" s="24" t="str" cm="1">
        <f t="array" ref="J7734">IFERROR(IF($B7734=J$1, ($A7734+$C7734) - MAX(IF($B$2:$B7733=$B7734, $A$2:$A7733+$C$2:$C7733)), "")*24*60, "")</f>
        <v/>
      </c>
      <c r="K7734" s="24" t="str" cm="1">
        <f t="array" ref="K7734">IFERROR(IF($B7734=K$1, ($A7734+$C7734) - MAX(IF($B$2:$B7733=$B7734, $A$2:$A7733+$C$2:$C7733)), "")*24*60, "")</f>
        <v/>
      </c>
      <c r="L7734" s="24" t="str" cm="1">
        <f t="array" ref="L7734">IFERROR(IF($B7734=L$1, ($A7734+$C7734) - MAX(IF($B$2:$B7733=$B7734, $A$2:$A7733+$C$2:$C7733)), "")*24*60, "")</f>
        <v/>
      </c>
      <c r="M7734" s="24" t="str" cm="1">
        <f t="array" ref="M7734">IFERROR(IF($B7734=M$1, ($A7734+$C7734) - MAX(IF($B$2:$B7733=$B7734, $A$2:$A7733+$C$2:$C7733)), "")*24*60, "")</f>
        <v/>
      </c>
      <c r="N7734" s="24" t="str" cm="1">
        <f t="array" ref="N7734">IFERROR(IF($B7734=N$1, ($A7734+$C7734) - MAX(IF($B$2:$B7733=$B7734, $A$2:$A7733+$C$2:$C7733)), "")*24*60, "")</f>
        <v/>
      </c>
      <c r="O7734" s="24" t="str" cm="1">
        <f t="array" ref="O7734">IFERROR(IF($B7734=O$1, ($A7734+$C7734) - MAX(IF($B$2:$B7733=$B7734, $A$2:$A7733+$C$2:$C7733)), "")*24*60, "")</f>
        <v/>
      </c>
      <c r="P7734" s="24" t="str" cm="1">
        <f t="array" ref="P7734">IFERROR(IF($B7734=P$1, ($A7734+$C7734) - MAX(IF($B$2:$B7733=$B7734, $A$2:$A7733+$C$2:$C7733)), "")*24*60, "")</f>
        <v/>
      </c>
      <c r="Q7734" s="24" t="str" cm="1">
        <f t="array" ref="Q7734">IFERROR(IF($B7734=Q$1, ($A7734+$C7734) - MAX(IF($B$2:$B7733=$B7734, $A$2:$A7733+$C$2:$C7733)), "")*24*60, "")</f>
        <v/>
      </c>
      <c r="R7734" s="24" t="str" cm="1">
        <f t="array" ref="R7734">IFERROR(IF($B7734=R$1, ($A7734+$C7734) - MAX(IF($B$2:$B7733=$B7734, $A$2:$A7733+$C$2:$C7733)), "")*24*60, "")</f>
        <v/>
      </c>
      <c r="S7734" s="24" t="str" cm="1">
        <f t="array" ref="S7734">IFERROR(IF($B7734=S$1, ($A7734+$C7734) - MAX(IF($B$2:$B7733=$B7734, $A$2:$A7733+$C$2:$C7733)), "")*24*60, "")</f>
        <v/>
      </c>
    </row>
    <row r="7735" spans="1:19" x14ac:dyDescent="0.2">
      <c r="A7735" s="12">
        <f t="shared" ref="A7735:C7735" si="1923">A7734</f>
        <v>46015</v>
      </c>
      <c r="B7735" s="5" t="str">
        <f t="shared" si="1923"/>
        <v>Northern Cardinal</v>
      </c>
      <c r="C7735" s="6">
        <f t="shared" si="1923"/>
        <v>0.74097222222222225</v>
      </c>
      <c r="D7735" s="5"/>
      <c r="E7735" s="5"/>
      <c r="F7735" s="5" t="s">
        <v>9</v>
      </c>
      <c r="G7735" s="15" t="s">
        <v>8</v>
      </c>
      <c r="H7735" s="24">
        <f t="shared" si="1895"/>
        <v>0</v>
      </c>
      <c r="I7735" s="24" cm="1">
        <f t="array" ref="I7735">IFERROR(IF($B7735=I$1, ($A7735+$C7735) - MAX(IF($B$2:$B7734=$B7735, $A$2:$A7734+$C$2:$C7734)), "")*24*60, "")</f>
        <v>0</v>
      </c>
      <c r="J7735" s="24" t="str" cm="1">
        <f t="array" ref="J7735">IFERROR(IF($B7735=J$1, ($A7735+$C7735) - MAX(IF($B$2:$B7734=$B7735, $A$2:$A7734+$C$2:$C7734)), "")*24*60, "")</f>
        <v/>
      </c>
      <c r="K7735" s="24" t="str" cm="1">
        <f t="array" ref="K7735">IFERROR(IF($B7735=K$1, ($A7735+$C7735) - MAX(IF($B$2:$B7734=$B7735, $A$2:$A7734+$C$2:$C7734)), "")*24*60, "")</f>
        <v/>
      </c>
      <c r="L7735" s="24" t="str" cm="1">
        <f t="array" ref="L7735">IFERROR(IF($B7735=L$1, ($A7735+$C7735) - MAX(IF($B$2:$B7734=$B7735, $A$2:$A7734+$C$2:$C7734)), "")*24*60, "")</f>
        <v/>
      </c>
      <c r="M7735" s="24" t="str" cm="1">
        <f t="array" ref="M7735">IFERROR(IF($B7735=M$1, ($A7735+$C7735) - MAX(IF($B$2:$B7734=$B7735, $A$2:$A7734+$C$2:$C7734)), "")*24*60, "")</f>
        <v/>
      </c>
      <c r="N7735" s="24" t="str" cm="1">
        <f t="array" ref="N7735">IFERROR(IF($B7735=N$1, ($A7735+$C7735) - MAX(IF($B$2:$B7734=$B7735, $A$2:$A7734+$C$2:$C7734)), "")*24*60, "")</f>
        <v/>
      </c>
      <c r="O7735" s="24" t="str" cm="1">
        <f t="array" ref="O7735">IFERROR(IF($B7735=O$1, ($A7735+$C7735) - MAX(IF($B$2:$B7734=$B7735, $A$2:$A7734+$C$2:$C7734)), "")*24*60, "")</f>
        <v/>
      </c>
      <c r="P7735" s="24" t="str" cm="1">
        <f t="array" ref="P7735">IFERROR(IF($B7735=P$1, ($A7735+$C7735) - MAX(IF($B$2:$B7734=$B7735, $A$2:$A7734+$C$2:$C7734)), "")*24*60, "")</f>
        <v/>
      </c>
      <c r="Q7735" s="24" t="str" cm="1">
        <f t="array" ref="Q7735">IFERROR(IF($B7735=Q$1, ($A7735+$C7735) - MAX(IF($B$2:$B7734=$B7735, $A$2:$A7734+$C$2:$C7734)), "")*24*60, "")</f>
        <v/>
      </c>
      <c r="R7735" s="24" t="str" cm="1">
        <f t="array" ref="R7735">IFERROR(IF($B7735=R$1, ($A7735+$C7735) - MAX(IF($B$2:$B7734=$B7735, $A$2:$A7734+$C$2:$C7734)), "")*24*60, "")</f>
        <v/>
      </c>
      <c r="S7735" s="24" t="str" cm="1">
        <f t="array" ref="S7735">IFERROR(IF($B7735=S$1, ($A7735+$C7735) - MAX(IF($B$2:$B7734=$B7735, $A$2:$A7734+$C$2:$C7734)), "")*24*60, "")</f>
        <v/>
      </c>
    </row>
    <row r="7736" spans="1:19" x14ac:dyDescent="0.2">
      <c r="A7736" s="12">
        <f t="shared" ref="A7736:C7736" si="1924">A7735</f>
        <v>46015</v>
      </c>
      <c r="B7736" s="5" t="str">
        <f t="shared" si="1924"/>
        <v>Northern Cardinal</v>
      </c>
      <c r="C7736" s="6">
        <f t="shared" si="1924"/>
        <v>0.74097222222222225</v>
      </c>
      <c r="D7736" s="5"/>
      <c r="E7736" s="5"/>
      <c r="F7736" s="5" t="s">
        <v>9</v>
      </c>
      <c r="G7736" s="15" t="s">
        <v>8</v>
      </c>
      <c r="H7736" s="24">
        <f t="shared" si="1895"/>
        <v>0</v>
      </c>
      <c r="I7736" s="24" cm="1">
        <f t="array" ref="I7736">IFERROR(IF($B7736=I$1, ($A7736+$C7736) - MAX(IF($B$2:$B7735=$B7736, $A$2:$A7735+$C$2:$C7735)), "")*24*60, "")</f>
        <v>0</v>
      </c>
      <c r="J7736" s="24" t="str" cm="1">
        <f t="array" ref="J7736">IFERROR(IF($B7736=J$1, ($A7736+$C7736) - MAX(IF($B$2:$B7735=$B7736, $A$2:$A7735+$C$2:$C7735)), "")*24*60, "")</f>
        <v/>
      </c>
      <c r="K7736" s="24" t="str" cm="1">
        <f t="array" ref="K7736">IFERROR(IF($B7736=K$1, ($A7736+$C7736) - MAX(IF($B$2:$B7735=$B7736, $A$2:$A7735+$C$2:$C7735)), "")*24*60, "")</f>
        <v/>
      </c>
      <c r="L7736" s="24" t="str" cm="1">
        <f t="array" ref="L7736">IFERROR(IF($B7736=L$1, ($A7736+$C7736) - MAX(IF($B$2:$B7735=$B7736, $A$2:$A7735+$C$2:$C7735)), "")*24*60, "")</f>
        <v/>
      </c>
      <c r="M7736" s="24" t="str" cm="1">
        <f t="array" ref="M7736">IFERROR(IF($B7736=M$1, ($A7736+$C7736) - MAX(IF($B$2:$B7735=$B7736, $A$2:$A7735+$C$2:$C7735)), "")*24*60, "")</f>
        <v/>
      </c>
      <c r="N7736" s="24" t="str" cm="1">
        <f t="array" ref="N7736">IFERROR(IF($B7736=N$1, ($A7736+$C7736) - MAX(IF($B$2:$B7735=$B7736, $A$2:$A7735+$C$2:$C7735)), "")*24*60, "")</f>
        <v/>
      </c>
      <c r="O7736" s="24" t="str" cm="1">
        <f t="array" ref="O7736">IFERROR(IF($B7736=O$1, ($A7736+$C7736) - MAX(IF($B$2:$B7735=$B7736, $A$2:$A7735+$C$2:$C7735)), "")*24*60, "")</f>
        <v/>
      </c>
      <c r="P7736" s="24" t="str" cm="1">
        <f t="array" ref="P7736">IFERROR(IF($B7736=P$1, ($A7736+$C7736) - MAX(IF($B$2:$B7735=$B7736, $A$2:$A7735+$C$2:$C7735)), "")*24*60, "")</f>
        <v/>
      </c>
      <c r="Q7736" s="24" t="str" cm="1">
        <f t="array" ref="Q7736">IFERROR(IF($B7736=Q$1, ($A7736+$C7736) - MAX(IF($B$2:$B7735=$B7736, $A$2:$A7735+$C$2:$C7735)), "")*24*60, "")</f>
        <v/>
      </c>
      <c r="R7736" s="24" t="str" cm="1">
        <f t="array" ref="R7736">IFERROR(IF($B7736=R$1, ($A7736+$C7736) - MAX(IF($B$2:$B7735=$B7736, $A$2:$A7735+$C$2:$C7735)), "")*24*60, "")</f>
        <v/>
      </c>
      <c r="S7736" s="24" t="str" cm="1">
        <f t="array" ref="S7736">IFERROR(IF($B7736=S$1, ($A7736+$C7736) - MAX(IF($B$2:$B7735=$B7736, $A$2:$A7735+$C$2:$C7735)), "")*24*60, "")</f>
        <v/>
      </c>
    </row>
    <row r="7737" spans="1:19" x14ac:dyDescent="0.2">
      <c r="A7737" s="12">
        <f t="shared" ref="A7737:C7737" si="1925">A7736</f>
        <v>46015</v>
      </c>
      <c r="B7737" s="5" t="str">
        <f t="shared" si="1925"/>
        <v>Northern Cardinal</v>
      </c>
      <c r="C7737" s="6">
        <f t="shared" si="1925"/>
        <v>0.74097222222222225</v>
      </c>
      <c r="D7737" s="5"/>
      <c r="E7737" s="5"/>
      <c r="F7737" s="5" t="s">
        <v>9</v>
      </c>
      <c r="G7737" s="15" t="s">
        <v>8</v>
      </c>
      <c r="H7737" s="24">
        <f t="shared" si="1895"/>
        <v>0</v>
      </c>
      <c r="I7737" s="24" cm="1">
        <f t="array" ref="I7737">IFERROR(IF($B7737=I$1, ($A7737+$C7737) - MAX(IF($B$2:$B7736=$B7737, $A$2:$A7736+$C$2:$C7736)), "")*24*60, "")</f>
        <v>0</v>
      </c>
      <c r="J7737" s="24" t="str" cm="1">
        <f t="array" ref="J7737">IFERROR(IF($B7737=J$1, ($A7737+$C7737) - MAX(IF($B$2:$B7736=$B7737, $A$2:$A7736+$C$2:$C7736)), "")*24*60, "")</f>
        <v/>
      </c>
      <c r="K7737" s="24" t="str" cm="1">
        <f t="array" ref="K7737">IFERROR(IF($B7737=K$1, ($A7737+$C7737) - MAX(IF($B$2:$B7736=$B7737, $A$2:$A7736+$C$2:$C7736)), "")*24*60, "")</f>
        <v/>
      </c>
      <c r="L7737" s="24" t="str" cm="1">
        <f t="array" ref="L7737">IFERROR(IF($B7737=L$1, ($A7737+$C7737) - MAX(IF($B$2:$B7736=$B7737, $A$2:$A7736+$C$2:$C7736)), "")*24*60, "")</f>
        <v/>
      </c>
      <c r="M7737" s="24" t="str" cm="1">
        <f t="array" ref="M7737">IFERROR(IF($B7737=M$1, ($A7737+$C7737) - MAX(IF($B$2:$B7736=$B7737, $A$2:$A7736+$C$2:$C7736)), "")*24*60, "")</f>
        <v/>
      </c>
      <c r="N7737" s="24" t="str" cm="1">
        <f t="array" ref="N7737">IFERROR(IF($B7737=N$1, ($A7737+$C7737) - MAX(IF($B$2:$B7736=$B7737, $A$2:$A7736+$C$2:$C7736)), "")*24*60, "")</f>
        <v/>
      </c>
      <c r="O7737" s="24" t="str" cm="1">
        <f t="array" ref="O7737">IFERROR(IF($B7737=O$1, ($A7737+$C7737) - MAX(IF($B$2:$B7736=$B7737, $A$2:$A7736+$C$2:$C7736)), "")*24*60, "")</f>
        <v/>
      </c>
      <c r="P7737" s="24" t="str" cm="1">
        <f t="array" ref="P7737">IFERROR(IF($B7737=P$1, ($A7737+$C7737) - MAX(IF($B$2:$B7736=$B7737, $A$2:$A7736+$C$2:$C7736)), "")*24*60, "")</f>
        <v/>
      </c>
      <c r="Q7737" s="24" t="str" cm="1">
        <f t="array" ref="Q7737">IFERROR(IF($B7737=Q$1, ($A7737+$C7737) - MAX(IF($B$2:$B7736=$B7737, $A$2:$A7736+$C$2:$C7736)), "")*24*60, "")</f>
        <v/>
      </c>
      <c r="R7737" s="24" t="str" cm="1">
        <f t="array" ref="R7737">IFERROR(IF($B7737=R$1, ($A7737+$C7737) - MAX(IF($B$2:$B7736=$B7737, $A$2:$A7736+$C$2:$C7736)), "")*24*60, "")</f>
        <v/>
      </c>
      <c r="S7737" s="24" t="str" cm="1">
        <f t="array" ref="S7737">IFERROR(IF($B7737=S$1, ($A7737+$C7737) - MAX(IF($B$2:$B7736=$B7737, $A$2:$A7736+$C$2:$C7736)), "")*24*60, "")</f>
        <v/>
      </c>
    </row>
    <row r="7738" spans="1:19" x14ac:dyDescent="0.2">
      <c r="A7738" s="12">
        <f t="shared" ref="A7738:C7738" si="1926">A7737</f>
        <v>46015</v>
      </c>
      <c r="B7738" s="5" t="str">
        <f t="shared" si="1926"/>
        <v>Northern Cardinal</v>
      </c>
      <c r="C7738" s="6">
        <f t="shared" si="1926"/>
        <v>0.74097222222222225</v>
      </c>
      <c r="D7738" s="5"/>
      <c r="E7738" s="5"/>
      <c r="F7738" s="5" t="s">
        <v>9</v>
      </c>
      <c r="G7738" s="15" t="s">
        <v>8</v>
      </c>
      <c r="H7738" s="24">
        <f t="shared" si="1895"/>
        <v>0</v>
      </c>
      <c r="I7738" s="24" cm="1">
        <f t="array" ref="I7738">IFERROR(IF($B7738=I$1, ($A7738+$C7738) - MAX(IF($B$2:$B7737=$B7738, $A$2:$A7737+$C$2:$C7737)), "")*24*60, "")</f>
        <v>0</v>
      </c>
      <c r="J7738" s="24" t="str" cm="1">
        <f t="array" ref="J7738">IFERROR(IF($B7738=J$1, ($A7738+$C7738) - MAX(IF($B$2:$B7737=$B7738, $A$2:$A7737+$C$2:$C7737)), "")*24*60, "")</f>
        <v/>
      </c>
      <c r="K7738" s="24" t="str" cm="1">
        <f t="array" ref="K7738">IFERROR(IF($B7738=K$1, ($A7738+$C7738) - MAX(IF($B$2:$B7737=$B7738, $A$2:$A7737+$C$2:$C7737)), "")*24*60, "")</f>
        <v/>
      </c>
      <c r="L7738" s="24" t="str" cm="1">
        <f t="array" ref="L7738">IFERROR(IF($B7738=L$1, ($A7738+$C7738) - MAX(IF($B$2:$B7737=$B7738, $A$2:$A7737+$C$2:$C7737)), "")*24*60, "")</f>
        <v/>
      </c>
      <c r="M7738" s="24" t="str" cm="1">
        <f t="array" ref="M7738">IFERROR(IF($B7738=M$1, ($A7738+$C7738) - MAX(IF($B$2:$B7737=$B7738, $A$2:$A7737+$C$2:$C7737)), "")*24*60, "")</f>
        <v/>
      </c>
      <c r="N7738" s="24" t="str" cm="1">
        <f t="array" ref="N7738">IFERROR(IF($B7738=N$1, ($A7738+$C7738) - MAX(IF($B$2:$B7737=$B7738, $A$2:$A7737+$C$2:$C7737)), "")*24*60, "")</f>
        <v/>
      </c>
      <c r="O7738" s="24" t="str" cm="1">
        <f t="array" ref="O7738">IFERROR(IF($B7738=O$1, ($A7738+$C7738) - MAX(IF($B$2:$B7737=$B7738, $A$2:$A7737+$C$2:$C7737)), "")*24*60, "")</f>
        <v/>
      </c>
      <c r="P7738" s="24" t="str" cm="1">
        <f t="array" ref="P7738">IFERROR(IF($B7738=P$1, ($A7738+$C7738) - MAX(IF($B$2:$B7737=$B7738, $A$2:$A7737+$C$2:$C7737)), "")*24*60, "")</f>
        <v/>
      </c>
      <c r="Q7738" s="24" t="str" cm="1">
        <f t="array" ref="Q7738">IFERROR(IF($B7738=Q$1, ($A7738+$C7738) - MAX(IF($B$2:$B7737=$B7738, $A$2:$A7737+$C$2:$C7737)), "")*24*60, "")</f>
        <v/>
      </c>
      <c r="R7738" s="24" t="str" cm="1">
        <f t="array" ref="R7738">IFERROR(IF($B7738=R$1, ($A7738+$C7738) - MAX(IF($B$2:$B7737=$B7738, $A$2:$A7737+$C$2:$C7737)), "")*24*60, "")</f>
        <v/>
      </c>
      <c r="S7738" s="24" t="str" cm="1">
        <f t="array" ref="S7738">IFERROR(IF($B7738=S$1, ($A7738+$C7738) - MAX(IF($B$2:$B7737=$B7738, $A$2:$A7737+$C$2:$C7737)), "")*24*60, "")</f>
        <v/>
      </c>
    </row>
    <row r="7739" spans="1:19" x14ac:dyDescent="0.2">
      <c r="A7739" s="12">
        <f t="shared" ref="A7739:C7739" si="1927">A7738</f>
        <v>46015</v>
      </c>
      <c r="B7739" s="5" t="str">
        <f t="shared" si="1927"/>
        <v>Northern Cardinal</v>
      </c>
      <c r="C7739" s="6">
        <f t="shared" si="1927"/>
        <v>0.74097222222222225</v>
      </c>
      <c r="D7739" s="5"/>
      <c r="E7739" s="5"/>
      <c r="F7739" s="5" t="s">
        <v>9</v>
      </c>
      <c r="G7739" s="15" t="s">
        <v>8</v>
      </c>
      <c r="H7739" s="24">
        <f t="shared" si="1895"/>
        <v>0</v>
      </c>
      <c r="I7739" s="24" cm="1">
        <f t="array" ref="I7739">IFERROR(IF($B7739=I$1, ($A7739+$C7739) - MAX(IF($B$2:$B7738=$B7739, $A$2:$A7738+$C$2:$C7738)), "")*24*60, "")</f>
        <v>0</v>
      </c>
      <c r="J7739" s="24" t="str" cm="1">
        <f t="array" ref="J7739">IFERROR(IF($B7739=J$1, ($A7739+$C7739) - MAX(IF($B$2:$B7738=$B7739, $A$2:$A7738+$C$2:$C7738)), "")*24*60, "")</f>
        <v/>
      </c>
      <c r="K7739" s="24" t="str" cm="1">
        <f t="array" ref="K7739">IFERROR(IF($B7739=K$1, ($A7739+$C7739) - MAX(IF($B$2:$B7738=$B7739, $A$2:$A7738+$C$2:$C7738)), "")*24*60, "")</f>
        <v/>
      </c>
      <c r="L7739" s="24" t="str" cm="1">
        <f t="array" ref="L7739">IFERROR(IF($B7739=L$1, ($A7739+$C7739) - MAX(IF($B$2:$B7738=$B7739, $A$2:$A7738+$C$2:$C7738)), "")*24*60, "")</f>
        <v/>
      </c>
      <c r="M7739" s="24" t="str" cm="1">
        <f t="array" ref="M7739">IFERROR(IF($B7739=M$1, ($A7739+$C7739) - MAX(IF($B$2:$B7738=$B7739, $A$2:$A7738+$C$2:$C7738)), "")*24*60, "")</f>
        <v/>
      </c>
      <c r="N7739" s="24" t="str" cm="1">
        <f t="array" ref="N7739">IFERROR(IF($B7739=N$1, ($A7739+$C7739) - MAX(IF($B$2:$B7738=$B7739, $A$2:$A7738+$C$2:$C7738)), "")*24*60, "")</f>
        <v/>
      </c>
      <c r="O7739" s="24" t="str" cm="1">
        <f t="array" ref="O7739">IFERROR(IF($B7739=O$1, ($A7739+$C7739) - MAX(IF($B$2:$B7738=$B7739, $A$2:$A7738+$C$2:$C7738)), "")*24*60, "")</f>
        <v/>
      </c>
      <c r="P7739" s="24" t="str" cm="1">
        <f t="array" ref="P7739">IFERROR(IF($B7739=P$1, ($A7739+$C7739) - MAX(IF($B$2:$B7738=$B7739, $A$2:$A7738+$C$2:$C7738)), "")*24*60, "")</f>
        <v/>
      </c>
      <c r="Q7739" s="24" t="str" cm="1">
        <f t="array" ref="Q7739">IFERROR(IF($B7739=Q$1, ($A7739+$C7739) - MAX(IF($B$2:$B7738=$B7739, $A$2:$A7738+$C$2:$C7738)), "")*24*60, "")</f>
        <v/>
      </c>
      <c r="R7739" s="24" t="str" cm="1">
        <f t="array" ref="R7739">IFERROR(IF($B7739=R$1, ($A7739+$C7739) - MAX(IF($B$2:$B7738=$B7739, $A$2:$A7738+$C$2:$C7738)), "")*24*60, "")</f>
        <v/>
      </c>
      <c r="S7739" s="24" t="str" cm="1">
        <f t="array" ref="S7739">IFERROR(IF($B7739=S$1, ($A7739+$C7739) - MAX(IF($B$2:$B7738=$B7739, $A$2:$A7738+$C$2:$C7738)), "")*24*60, "")</f>
        <v/>
      </c>
    </row>
    <row r="7740" spans="1:19" x14ac:dyDescent="0.2">
      <c r="A7740" s="12">
        <f t="shared" ref="A7740:C7740" si="1928">A7739</f>
        <v>46015</v>
      </c>
      <c r="B7740" s="5" t="str">
        <f t="shared" si="1928"/>
        <v>Northern Cardinal</v>
      </c>
      <c r="C7740" s="6">
        <f t="shared" si="1928"/>
        <v>0.74097222222222225</v>
      </c>
      <c r="D7740" s="5"/>
      <c r="E7740" s="5"/>
      <c r="F7740" s="5" t="s">
        <v>9</v>
      </c>
      <c r="G7740" s="15" t="s">
        <v>8</v>
      </c>
      <c r="H7740" s="24">
        <f t="shared" si="1895"/>
        <v>0</v>
      </c>
      <c r="I7740" s="24" cm="1">
        <f t="array" ref="I7740">IFERROR(IF($B7740=I$1, ($A7740+$C7740) - MAX(IF($B$2:$B7739=$B7740, $A$2:$A7739+$C$2:$C7739)), "")*24*60, "")</f>
        <v>0</v>
      </c>
      <c r="J7740" s="24" t="str" cm="1">
        <f t="array" ref="J7740">IFERROR(IF($B7740=J$1, ($A7740+$C7740) - MAX(IF($B$2:$B7739=$B7740, $A$2:$A7739+$C$2:$C7739)), "")*24*60, "")</f>
        <v/>
      </c>
      <c r="K7740" s="24" t="str" cm="1">
        <f t="array" ref="K7740">IFERROR(IF($B7740=K$1, ($A7740+$C7740) - MAX(IF($B$2:$B7739=$B7740, $A$2:$A7739+$C$2:$C7739)), "")*24*60, "")</f>
        <v/>
      </c>
      <c r="L7740" s="24" t="str" cm="1">
        <f t="array" ref="L7740">IFERROR(IF($B7740=L$1, ($A7740+$C7740) - MAX(IF($B$2:$B7739=$B7740, $A$2:$A7739+$C$2:$C7739)), "")*24*60, "")</f>
        <v/>
      </c>
      <c r="M7740" s="24" t="str" cm="1">
        <f t="array" ref="M7740">IFERROR(IF($B7740=M$1, ($A7740+$C7740) - MAX(IF($B$2:$B7739=$B7740, $A$2:$A7739+$C$2:$C7739)), "")*24*60, "")</f>
        <v/>
      </c>
      <c r="N7740" s="24" t="str" cm="1">
        <f t="array" ref="N7740">IFERROR(IF($B7740=N$1, ($A7740+$C7740) - MAX(IF($B$2:$B7739=$B7740, $A$2:$A7739+$C$2:$C7739)), "")*24*60, "")</f>
        <v/>
      </c>
      <c r="O7740" s="24" t="str" cm="1">
        <f t="array" ref="O7740">IFERROR(IF($B7740=O$1, ($A7740+$C7740) - MAX(IF($B$2:$B7739=$B7740, $A$2:$A7739+$C$2:$C7739)), "")*24*60, "")</f>
        <v/>
      </c>
      <c r="P7740" s="24" t="str" cm="1">
        <f t="array" ref="P7740">IFERROR(IF($B7740=P$1, ($A7740+$C7740) - MAX(IF($B$2:$B7739=$B7740, $A$2:$A7739+$C$2:$C7739)), "")*24*60, "")</f>
        <v/>
      </c>
      <c r="Q7740" s="24" t="str" cm="1">
        <f t="array" ref="Q7740">IFERROR(IF($B7740=Q$1, ($A7740+$C7740) - MAX(IF($B$2:$B7739=$B7740, $A$2:$A7739+$C$2:$C7739)), "")*24*60, "")</f>
        <v/>
      </c>
      <c r="R7740" s="24" t="str" cm="1">
        <f t="array" ref="R7740">IFERROR(IF($B7740=R$1, ($A7740+$C7740) - MAX(IF($B$2:$B7739=$B7740, $A$2:$A7739+$C$2:$C7739)), "")*24*60, "")</f>
        <v/>
      </c>
      <c r="S7740" s="24" t="str" cm="1">
        <f t="array" ref="S7740">IFERROR(IF($B7740=S$1, ($A7740+$C7740) - MAX(IF($B$2:$B7739=$B7740, $A$2:$A7739+$C$2:$C7739)), "")*24*60, "")</f>
        <v/>
      </c>
    </row>
    <row r="7741" spans="1:19" x14ac:dyDescent="0.2">
      <c r="A7741" s="12">
        <f t="shared" ref="A7741:C7741" si="1929">A7740</f>
        <v>46015</v>
      </c>
      <c r="B7741" s="5" t="str">
        <f t="shared" si="1929"/>
        <v>Northern Cardinal</v>
      </c>
      <c r="C7741" s="6">
        <f t="shared" si="1929"/>
        <v>0.74097222222222225</v>
      </c>
      <c r="D7741" s="5"/>
      <c r="E7741" s="5"/>
      <c r="F7741" s="5" t="s">
        <v>9</v>
      </c>
      <c r="G7741" s="15" t="s">
        <v>8</v>
      </c>
      <c r="H7741" s="24">
        <f t="shared" si="1895"/>
        <v>0</v>
      </c>
      <c r="I7741" s="24" cm="1">
        <f t="array" ref="I7741">IFERROR(IF($B7741=I$1, ($A7741+$C7741) - MAX(IF($B$2:$B7740=$B7741, $A$2:$A7740+$C$2:$C7740)), "")*24*60, "")</f>
        <v>0</v>
      </c>
      <c r="J7741" s="24" t="str" cm="1">
        <f t="array" ref="J7741">IFERROR(IF($B7741=J$1, ($A7741+$C7741) - MAX(IF($B$2:$B7740=$B7741, $A$2:$A7740+$C$2:$C7740)), "")*24*60, "")</f>
        <v/>
      </c>
      <c r="K7741" s="24" t="str" cm="1">
        <f t="array" ref="K7741">IFERROR(IF($B7741=K$1, ($A7741+$C7741) - MAX(IF($B$2:$B7740=$B7741, $A$2:$A7740+$C$2:$C7740)), "")*24*60, "")</f>
        <v/>
      </c>
      <c r="L7741" s="24" t="str" cm="1">
        <f t="array" ref="L7741">IFERROR(IF($B7741=L$1, ($A7741+$C7741) - MAX(IF($B$2:$B7740=$B7741, $A$2:$A7740+$C$2:$C7740)), "")*24*60, "")</f>
        <v/>
      </c>
      <c r="M7741" s="24" t="str" cm="1">
        <f t="array" ref="M7741">IFERROR(IF($B7741=M$1, ($A7741+$C7741) - MAX(IF($B$2:$B7740=$B7741, $A$2:$A7740+$C$2:$C7740)), "")*24*60, "")</f>
        <v/>
      </c>
      <c r="N7741" s="24" t="str" cm="1">
        <f t="array" ref="N7741">IFERROR(IF($B7741=N$1, ($A7741+$C7741) - MAX(IF($B$2:$B7740=$B7741, $A$2:$A7740+$C$2:$C7740)), "")*24*60, "")</f>
        <v/>
      </c>
      <c r="O7741" s="24" t="str" cm="1">
        <f t="array" ref="O7741">IFERROR(IF($B7741=O$1, ($A7741+$C7741) - MAX(IF($B$2:$B7740=$B7741, $A$2:$A7740+$C$2:$C7740)), "")*24*60, "")</f>
        <v/>
      </c>
      <c r="P7741" s="24" t="str" cm="1">
        <f t="array" ref="P7741">IFERROR(IF($B7741=P$1, ($A7741+$C7741) - MAX(IF($B$2:$B7740=$B7741, $A$2:$A7740+$C$2:$C7740)), "")*24*60, "")</f>
        <v/>
      </c>
      <c r="Q7741" s="24" t="str" cm="1">
        <f t="array" ref="Q7741">IFERROR(IF($B7741=Q$1, ($A7741+$C7741) - MAX(IF($B$2:$B7740=$B7741, $A$2:$A7740+$C$2:$C7740)), "")*24*60, "")</f>
        <v/>
      </c>
      <c r="R7741" s="24" t="str" cm="1">
        <f t="array" ref="R7741">IFERROR(IF($B7741=R$1, ($A7741+$C7741) - MAX(IF($B$2:$B7740=$B7741, $A$2:$A7740+$C$2:$C7740)), "")*24*60, "")</f>
        <v/>
      </c>
      <c r="S7741" s="24" t="str" cm="1">
        <f t="array" ref="S7741">IFERROR(IF($B7741=S$1, ($A7741+$C7741) - MAX(IF($B$2:$B7740=$B7741, $A$2:$A7740+$C$2:$C7740)), "")*24*60, "")</f>
        <v/>
      </c>
    </row>
    <row r="7742" spans="1:19" x14ac:dyDescent="0.2">
      <c r="A7742" s="12">
        <f t="shared" ref="A7742:C7742" si="1930">A7741</f>
        <v>46015</v>
      </c>
      <c r="B7742" s="5" t="str">
        <f t="shared" si="1930"/>
        <v>Northern Cardinal</v>
      </c>
      <c r="C7742" s="6">
        <f t="shared" si="1930"/>
        <v>0.74097222222222225</v>
      </c>
      <c r="D7742" s="5"/>
      <c r="E7742" s="5"/>
      <c r="F7742" s="5" t="s">
        <v>9</v>
      </c>
      <c r="G7742" s="15" t="s">
        <v>8</v>
      </c>
      <c r="H7742" s="24">
        <f t="shared" si="1895"/>
        <v>0</v>
      </c>
      <c r="I7742" s="24" cm="1">
        <f t="array" ref="I7742">IFERROR(IF($B7742=I$1, ($A7742+$C7742) - MAX(IF($B$2:$B7741=$B7742, $A$2:$A7741+$C$2:$C7741)), "")*24*60, "")</f>
        <v>0</v>
      </c>
      <c r="J7742" s="24" t="str" cm="1">
        <f t="array" ref="J7742">IFERROR(IF($B7742=J$1, ($A7742+$C7742) - MAX(IF($B$2:$B7741=$B7742, $A$2:$A7741+$C$2:$C7741)), "")*24*60, "")</f>
        <v/>
      </c>
      <c r="K7742" s="24" t="str" cm="1">
        <f t="array" ref="K7742">IFERROR(IF($B7742=K$1, ($A7742+$C7742) - MAX(IF($B$2:$B7741=$B7742, $A$2:$A7741+$C$2:$C7741)), "")*24*60, "")</f>
        <v/>
      </c>
      <c r="L7742" s="24" t="str" cm="1">
        <f t="array" ref="L7742">IFERROR(IF($B7742=L$1, ($A7742+$C7742) - MAX(IF($B$2:$B7741=$B7742, $A$2:$A7741+$C$2:$C7741)), "")*24*60, "")</f>
        <v/>
      </c>
      <c r="M7742" s="24" t="str" cm="1">
        <f t="array" ref="M7742">IFERROR(IF($B7742=M$1, ($A7742+$C7742) - MAX(IF($B$2:$B7741=$B7742, $A$2:$A7741+$C$2:$C7741)), "")*24*60, "")</f>
        <v/>
      </c>
      <c r="N7742" s="24" t="str" cm="1">
        <f t="array" ref="N7742">IFERROR(IF($B7742=N$1, ($A7742+$C7742) - MAX(IF($B$2:$B7741=$B7742, $A$2:$A7741+$C$2:$C7741)), "")*24*60, "")</f>
        <v/>
      </c>
      <c r="O7742" s="24" t="str" cm="1">
        <f t="array" ref="O7742">IFERROR(IF($B7742=O$1, ($A7742+$C7742) - MAX(IF($B$2:$B7741=$B7742, $A$2:$A7741+$C$2:$C7741)), "")*24*60, "")</f>
        <v/>
      </c>
      <c r="P7742" s="24" t="str" cm="1">
        <f t="array" ref="P7742">IFERROR(IF($B7742=P$1, ($A7742+$C7742) - MAX(IF($B$2:$B7741=$B7742, $A$2:$A7741+$C$2:$C7741)), "")*24*60, "")</f>
        <v/>
      </c>
      <c r="Q7742" s="24" t="str" cm="1">
        <f t="array" ref="Q7742">IFERROR(IF($B7742=Q$1, ($A7742+$C7742) - MAX(IF($B$2:$B7741=$B7742, $A$2:$A7741+$C$2:$C7741)), "")*24*60, "")</f>
        <v/>
      </c>
      <c r="R7742" s="24" t="str" cm="1">
        <f t="array" ref="R7742">IFERROR(IF($B7742=R$1, ($A7742+$C7742) - MAX(IF($B$2:$B7741=$B7742, $A$2:$A7741+$C$2:$C7741)), "")*24*60, "")</f>
        <v/>
      </c>
      <c r="S7742" s="24" t="str" cm="1">
        <f t="array" ref="S7742">IFERROR(IF($B7742=S$1, ($A7742+$C7742) - MAX(IF($B$2:$B7741=$B7742, $A$2:$A7741+$C$2:$C7741)), "")*24*60, "")</f>
        <v/>
      </c>
    </row>
    <row r="7743" spans="1:19" x14ac:dyDescent="0.2">
      <c r="A7743" s="12">
        <f t="shared" ref="A7743:C7743" si="1931">A7742</f>
        <v>46015</v>
      </c>
      <c r="B7743" s="5" t="str">
        <f t="shared" si="1931"/>
        <v>Northern Cardinal</v>
      </c>
      <c r="C7743" s="6">
        <f t="shared" si="1931"/>
        <v>0.74097222222222225</v>
      </c>
      <c r="D7743" s="5"/>
      <c r="E7743" s="5"/>
      <c r="F7743" s="5" t="s">
        <v>9</v>
      </c>
      <c r="G7743" s="15" t="s">
        <v>8</v>
      </c>
      <c r="H7743" s="24">
        <f t="shared" si="1895"/>
        <v>0</v>
      </c>
      <c r="I7743" s="24" cm="1">
        <f t="array" ref="I7743">IFERROR(IF($B7743=I$1, ($A7743+$C7743) - MAX(IF($B$2:$B7742=$B7743, $A$2:$A7742+$C$2:$C7742)), "")*24*60, "")</f>
        <v>0</v>
      </c>
      <c r="J7743" s="24" t="str" cm="1">
        <f t="array" ref="J7743">IFERROR(IF($B7743=J$1, ($A7743+$C7743) - MAX(IF($B$2:$B7742=$B7743, $A$2:$A7742+$C$2:$C7742)), "")*24*60, "")</f>
        <v/>
      </c>
      <c r="K7743" s="24" t="str" cm="1">
        <f t="array" ref="K7743">IFERROR(IF($B7743=K$1, ($A7743+$C7743) - MAX(IF($B$2:$B7742=$B7743, $A$2:$A7742+$C$2:$C7742)), "")*24*60, "")</f>
        <v/>
      </c>
      <c r="L7743" s="24" t="str" cm="1">
        <f t="array" ref="L7743">IFERROR(IF($B7743=L$1, ($A7743+$C7743) - MAX(IF($B$2:$B7742=$B7743, $A$2:$A7742+$C$2:$C7742)), "")*24*60, "")</f>
        <v/>
      </c>
      <c r="M7743" s="24" t="str" cm="1">
        <f t="array" ref="M7743">IFERROR(IF($B7743=M$1, ($A7743+$C7743) - MAX(IF($B$2:$B7742=$B7743, $A$2:$A7742+$C$2:$C7742)), "")*24*60, "")</f>
        <v/>
      </c>
      <c r="N7743" s="24" t="str" cm="1">
        <f t="array" ref="N7743">IFERROR(IF($B7743=N$1, ($A7743+$C7743) - MAX(IF($B$2:$B7742=$B7743, $A$2:$A7742+$C$2:$C7742)), "")*24*60, "")</f>
        <v/>
      </c>
      <c r="O7743" s="24" t="str" cm="1">
        <f t="array" ref="O7743">IFERROR(IF($B7743=O$1, ($A7743+$C7743) - MAX(IF($B$2:$B7742=$B7743, $A$2:$A7742+$C$2:$C7742)), "")*24*60, "")</f>
        <v/>
      </c>
      <c r="P7743" s="24" t="str" cm="1">
        <f t="array" ref="P7743">IFERROR(IF($B7743=P$1, ($A7743+$C7743) - MAX(IF($B$2:$B7742=$B7743, $A$2:$A7742+$C$2:$C7742)), "")*24*60, "")</f>
        <v/>
      </c>
      <c r="Q7743" s="24" t="str" cm="1">
        <f t="array" ref="Q7743">IFERROR(IF($B7743=Q$1, ($A7743+$C7743) - MAX(IF($B$2:$B7742=$B7743, $A$2:$A7742+$C$2:$C7742)), "")*24*60, "")</f>
        <v/>
      </c>
      <c r="R7743" s="24" t="str" cm="1">
        <f t="array" ref="R7743">IFERROR(IF($B7743=R$1, ($A7743+$C7743) - MAX(IF($B$2:$B7742=$B7743, $A$2:$A7742+$C$2:$C7742)), "")*24*60, "")</f>
        <v/>
      </c>
      <c r="S7743" s="24" t="str" cm="1">
        <f t="array" ref="S7743">IFERROR(IF($B7743=S$1, ($A7743+$C7743) - MAX(IF($B$2:$B7742=$B7743, $A$2:$A7742+$C$2:$C7742)), "")*24*60, "")</f>
        <v/>
      </c>
    </row>
    <row r="7744" spans="1:19" x14ac:dyDescent="0.2">
      <c r="A7744" s="12">
        <f t="shared" ref="A7744:C7744" si="1932">A7743</f>
        <v>46015</v>
      </c>
      <c r="B7744" s="5" t="str">
        <f t="shared" si="1932"/>
        <v>Northern Cardinal</v>
      </c>
      <c r="C7744" s="6">
        <f t="shared" si="1932"/>
        <v>0.74097222222222225</v>
      </c>
      <c r="D7744" s="5"/>
      <c r="E7744" s="5"/>
      <c r="F7744" s="5" t="s">
        <v>9</v>
      </c>
      <c r="G7744" s="15" t="s">
        <v>8</v>
      </c>
      <c r="H7744" s="24">
        <f t="shared" si="1895"/>
        <v>0</v>
      </c>
      <c r="I7744" s="24" cm="1">
        <f t="array" ref="I7744">IFERROR(IF($B7744=I$1, ($A7744+$C7744) - MAX(IF($B$2:$B7743=$B7744, $A$2:$A7743+$C$2:$C7743)), "")*24*60, "")</f>
        <v>0</v>
      </c>
      <c r="J7744" s="24" t="str" cm="1">
        <f t="array" ref="J7744">IFERROR(IF($B7744=J$1, ($A7744+$C7744) - MAX(IF($B$2:$B7743=$B7744, $A$2:$A7743+$C$2:$C7743)), "")*24*60, "")</f>
        <v/>
      </c>
      <c r="K7744" s="24" t="str" cm="1">
        <f t="array" ref="K7744">IFERROR(IF($B7744=K$1, ($A7744+$C7744) - MAX(IF($B$2:$B7743=$B7744, $A$2:$A7743+$C$2:$C7743)), "")*24*60, "")</f>
        <v/>
      </c>
      <c r="L7744" s="24" t="str" cm="1">
        <f t="array" ref="L7744">IFERROR(IF($B7744=L$1, ($A7744+$C7744) - MAX(IF($B$2:$B7743=$B7744, $A$2:$A7743+$C$2:$C7743)), "")*24*60, "")</f>
        <v/>
      </c>
      <c r="M7744" s="24" t="str" cm="1">
        <f t="array" ref="M7744">IFERROR(IF($B7744=M$1, ($A7744+$C7744) - MAX(IF($B$2:$B7743=$B7744, $A$2:$A7743+$C$2:$C7743)), "")*24*60, "")</f>
        <v/>
      </c>
      <c r="N7744" s="24" t="str" cm="1">
        <f t="array" ref="N7744">IFERROR(IF($B7744=N$1, ($A7744+$C7744) - MAX(IF($B$2:$B7743=$B7744, $A$2:$A7743+$C$2:$C7743)), "")*24*60, "")</f>
        <v/>
      </c>
      <c r="O7744" s="24" t="str" cm="1">
        <f t="array" ref="O7744">IFERROR(IF($B7744=O$1, ($A7744+$C7744) - MAX(IF($B$2:$B7743=$B7744, $A$2:$A7743+$C$2:$C7743)), "")*24*60, "")</f>
        <v/>
      </c>
      <c r="P7744" s="24" t="str" cm="1">
        <f t="array" ref="P7744">IFERROR(IF($B7744=P$1, ($A7744+$C7744) - MAX(IF($B$2:$B7743=$B7744, $A$2:$A7743+$C$2:$C7743)), "")*24*60, "")</f>
        <v/>
      </c>
      <c r="Q7744" s="24" t="str" cm="1">
        <f t="array" ref="Q7744">IFERROR(IF($B7744=Q$1, ($A7744+$C7744) - MAX(IF($B$2:$B7743=$B7744, $A$2:$A7743+$C$2:$C7743)), "")*24*60, "")</f>
        <v/>
      </c>
      <c r="R7744" s="24" t="str" cm="1">
        <f t="array" ref="R7744">IFERROR(IF($B7744=R$1, ($A7744+$C7744) - MAX(IF($B$2:$B7743=$B7744, $A$2:$A7743+$C$2:$C7743)), "")*24*60, "")</f>
        <v/>
      </c>
      <c r="S7744" s="24" t="str" cm="1">
        <f t="array" ref="S7744">IFERROR(IF($B7744=S$1, ($A7744+$C7744) - MAX(IF($B$2:$B7743=$B7744, $A$2:$A7743+$C$2:$C7743)), "")*24*60, "")</f>
        <v/>
      </c>
    </row>
    <row r="7745" spans="1:19" x14ac:dyDescent="0.2">
      <c r="A7745" s="12">
        <f t="shared" ref="A7745:C7745" si="1933">A7744</f>
        <v>46015</v>
      </c>
      <c r="B7745" s="5" t="str">
        <f t="shared" si="1933"/>
        <v>Northern Cardinal</v>
      </c>
      <c r="C7745" s="6">
        <f t="shared" si="1933"/>
        <v>0.74097222222222225</v>
      </c>
      <c r="D7745" s="5"/>
      <c r="E7745" s="5"/>
      <c r="F7745" s="5" t="s">
        <v>9</v>
      </c>
      <c r="G7745" s="15" t="s">
        <v>8</v>
      </c>
      <c r="H7745" s="24">
        <f t="shared" si="1895"/>
        <v>0</v>
      </c>
      <c r="I7745" s="24" cm="1">
        <f t="array" ref="I7745">IFERROR(IF($B7745=I$1, ($A7745+$C7745) - MAX(IF($B$2:$B7744=$B7745, $A$2:$A7744+$C$2:$C7744)), "")*24*60, "")</f>
        <v>0</v>
      </c>
      <c r="J7745" s="24" t="str" cm="1">
        <f t="array" ref="J7745">IFERROR(IF($B7745=J$1, ($A7745+$C7745) - MAX(IF($B$2:$B7744=$B7745, $A$2:$A7744+$C$2:$C7744)), "")*24*60, "")</f>
        <v/>
      </c>
      <c r="K7745" s="24" t="str" cm="1">
        <f t="array" ref="K7745">IFERROR(IF($B7745=K$1, ($A7745+$C7745) - MAX(IF($B$2:$B7744=$B7745, $A$2:$A7744+$C$2:$C7744)), "")*24*60, "")</f>
        <v/>
      </c>
      <c r="L7745" s="24" t="str" cm="1">
        <f t="array" ref="L7745">IFERROR(IF($B7745=L$1, ($A7745+$C7745) - MAX(IF($B$2:$B7744=$B7745, $A$2:$A7744+$C$2:$C7744)), "")*24*60, "")</f>
        <v/>
      </c>
      <c r="M7745" s="24" t="str" cm="1">
        <f t="array" ref="M7745">IFERROR(IF($B7745=M$1, ($A7745+$C7745) - MAX(IF($B$2:$B7744=$B7745, $A$2:$A7744+$C$2:$C7744)), "")*24*60, "")</f>
        <v/>
      </c>
      <c r="N7745" s="24" t="str" cm="1">
        <f t="array" ref="N7745">IFERROR(IF($B7745=N$1, ($A7745+$C7745) - MAX(IF($B$2:$B7744=$B7745, $A$2:$A7744+$C$2:$C7744)), "")*24*60, "")</f>
        <v/>
      </c>
      <c r="O7745" s="24" t="str" cm="1">
        <f t="array" ref="O7745">IFERROR(IF($B7745=O$1, ($A7745+$C7745) - MAX(IF($B$2:$B7744=$B7745, $A$2:$A7744+$C$2:$C7744)), "")*24*60, "")</f>
        <v/>
      </c>
      <c r="P7745" s="24" t="str" cm="1">
        <f t="array" ref="P7745">IFERROR(IF($B7745=P$1, ($A7745+$C7745) - MAX(IF($B$2:$B7744=$B7745, $A$2:$A7744+$C$2:$C7744)), "")*24*60, "")</f>
        <v/>
      </c>
      <c r="Q7745" s="24" t="str" cm="1">
        <f t="array" ref="Q7745">IFERROR(IF($B7745=Q$1, ($A7745+$C7745) - MAX(IF($B$2:$B7744=$B7745, $A$2:$A7744+$C$2:$C7744)), "")*24*60, "")</f>
        <v/>
      </c>
      <c r="R7745" s="24" t="str" cm="1">
        <f t="array" ref="R7745">IFERROR(IF($B7745=R$1, ($A7745+$C7745) - MAX(IF($B$2:$B7744=$B7745, $A$2:$A7744+$C$2:$C7744)), "")*24*60, "")</f>
        <v/>
      </c>
      <c r="S7745" s="24" t="str" cm="1">
        <f t="array" ref="S7745">IFERROR(IF($B7745=S$1, ($A7745+$C7745) - MAX(IF($B$2:$B7744=$B7745, $A$2:$A7744+$C$2:$C7744)),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88"/>
  <sheetViews>
    <sheetView tabSelected="1" zoomScale="120" zoomScaleNormal="120" workbookViewId="0">
      <pane ySplit="1" topLeftCell="A273" activePane="bottomLeft" state="frozen"/>
      <selection pane="bottomLeft" activeCell="A287" sqref="A287:E288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32">
        <v>46009</v>
      </c>
      <c r="B279" s="33" t="s">
        <v>20</v>
      </c>
      <c r="C279" s="33">
        <f>COUNTIFS(RawData!$B:$B, $B279, RawData!$A:$A, DailySummaries!$A279)</f>
        <v>10</v>
      </c>
      <c r="D279" s="33">
        <f>SUMIFS(RawData!$D:$D,RawData!$B:$B,$B279,RawData!$A:$A,DailySummaries!$A279)+1</f>
        <v>1</v>
      </c>
      <c r="E279" s="33">
        <f>SUMIFS(RawData!$E:$E,RawData!$B:$B,$B279,RawData!$A:$A,DailySummaries!$A279)+1</f>
        <v>1</v>
      </c>
    </row>
    <row r="280" spans="1:5" x14ac:dyDescent="0.25">
      <c r="A280" s="10">
        <v>46011</v>
      </c>
      <c r="B280" s="11" t="s">
        <v>10</v>
      </c>
      <c r="C280" s="11">
        <f>COUNTIFS(RawData!$B:$B, $B280, RawData!$A:$A, DailySummaries!$A280)</f>
        <v>2</v>
      </c>
      <c r="D280" s="11">
        <f>SUMIFS(RawData!$D:$D,RawData!$B:$B,$B280,RawData!$A:$A,DailySummaries!$A280)+1</f>
        <v>4</v>
      </c>
      <c r="E280" s="11">
        <f>SUMIFS(RawData!$E:$E,RawData!$B:$B,$B280,RawData!$A:$A,DailySummaries!$A280)+1</f>
        <v>5</v>
      </c>
    </row>
    <row r="281" spans="1:5" x14ac:dyDescent="0.25">
      <c r="A281" s="26">
        <v>46011</v>
      </c>
      <c r="B281" s="27" t="s">
        <v>3</v>
      </c>
      <c r="C281" s="27">
        <f>COUNTIFS(RawData!$B:$B, $B281, RawData!$A:$A, DailySummaries!$A281)</f>
        <v>7</v>
      </c>
      <c r="D281" s="27">
        <f>SUMIFS(RawData!$D:$D,RawData!$B:$B,$B281,RawData!$A:$A,DailySummaries!$A281)+1</f>
        <v>1</v>
      </c>
      <c r="E281" s="27">
        <f>SUMIFS(RawData!$E:$E,RawData!$B:$B,$B281,RawData!$A:$A,DailySummaries!$A281)+1</f>
        <v>26</v>
      </c>
    </row>
    <row r="282" spans="1:5" x14ac:dyDescent="0.25">
      <c r="A282" s="10">
        <v>46012</v>
      </c>
      <c r="B282" s="11" t="s">
        <v>3</v>
      </c>
      <c r="C282" s="11">
        <f>COUNTIFS(RawData!$B:$B, $B282, RawData!$A:$A, DailySummaries!$A282)</f>
        <v>16</v>
      </c>
      <c r="D282" s="11">
        <f>SUMIFS(RawData!$D:$D,RawData!$B:$B,$B282,RawData!$A:$A,DailySummaries!$A282)+1</f>
        <v>2</v>
      </c>
      <c r="E282" s="11">
        <f>SUMIFS(RawData!$E:$E,RawData!$B:$B,$B282,RawData!$A:$A,DailySummaries!$A282)+1</f>
        <v>43</v>
      </c>
    </row>
    <row r="283" spans="1:5" x14ac:dyDescent="0.25">
      <c r="A283" s="10">
        <v>46012</v>
      </c>
      <c r="B283" s="11" t="s">
        <v>20</v>
      </c>
      <c r="C283" s="11">
        <f>COUNTIFS(RawData!$B:$B, $B283, RawData!$A:$A, DailySummaries!$A283)</f>
        <v>48</v>
      </c>
      <c r="D283" s="11">
        <f>SUMIFS(RawData!$D:$D,RawData!$B:$B,$B283,RawData!$A:$A,DailySummaries!$A283)+1</f>
        <v>315</v>
      </c>
      <c r="E283" s="11">
        <f>SUMIFS(RawData!$E:$E,RawData!$B:$B,$B283,RawData!$A:$A,DailySummaries!$A283)+1</f>
        <v>121</v>
      </c>
    </row>
    <row r="284" spans="1:5" x14ac:dyDescent="0.25">
      <c r="A284" s="26">
        <v>46012</v>
      </c>
      <c r="B284" s="27" t="s">
        <v>23</v>
      </c>
      <c r="C284" s="27">
        <f>COUNTIFS(RawData!$B:$B, $B284, RawData!$A:$A, DailySummaries!$A284)</f>
        <v>1</v>
      </c>
      <c r="D284" s="27">
        <f>SUMIFS(RawData!$D:$D,RawData!$B:$B,$B284,RawData!$A:$A,DailySummaries!$A284)+1</f>
        <v>1</v>
      </c>
      <c r="E284" s="27">
        <f>SUMIFS(RawData!$E:$E,RawData!$B:$B,$B284,RawData!$A:$A,DailySummaries!$A284)+1</f>
        <v>1</v>
      </c>
    </row>
    <row r="285" spans="1:5" x14ac:dyDescent="0.25">
      <c r="A285" s="10">
        <v>46013</v>
      </c>
      <c r="B285" s="11" t="s">
        <v>20</v>
      </c>
      <c r="C285" s="11">
        <f>COUNTIFS(RawData!$B:$B, $B285, RawData!$A:$A, DailySummaries!$A285)</f>
        <v>23</v>
      </c>
      <c r="D285" s="11">
        <f>SUMIFS(RawData!$D:$D,RawData!$B:$B,$B285,RawData!$A:$A,DailySummaries!$A285)+1</f>
        <v>20</v>
      </c>
      <c r="E285" s="11">
        <f>SUMIFS(RawData!$E:$E,RawData!$B:$B,$B285,RawData!$A:$A,DailySummaries!$A285)+1</f>
        <v>119</v>
      </c>
    </row>
    <row r="286" spans="1:5" x14ac:dyDescent="0.25">
      <c r="A286" s="26">
        <v>46013</v>
      </c>
      <c r="B286" s="27" t="s">
        <v>3</v>
      </c>
      <c r="C286" s="27">
        <f>COUNTIFS(RawData!$B:$B, $B286, RawData!$A:$A, DailySummaries!$A286)</f>
        <v>17</v>
      </c>
      <c r="D286" s="27">
        <f>SUMIFS(RawData!$D:$D,RawData!$B:$B,$B286,RawData!$A:$A,DailySummaries!$A286)+1</f>
        <v>1</v>
      </c>
      <c r="E286" s="27">
        <f>SUMIFS(RawData!$E:$E,RawData!$B:$B,$B286,RawData!$A:$A,DailySummaries!$A286)+1</f>
        <v>36</v>
      </c>
    </row>
    <row r="287" spans="1:5" x14ac:dyDescent="0.25">
      <c r="A287" s="10">
        <v>46014</v>
      </c>
      <c r="B287" s="11" t="s">
        <v>20</v>
      </c>
      <c r="C287" s="11">
        <f>COUNTIFS(RawData!$B:$B, $B287, RawData!$A:$A, DailySummaries!$A287)</f>
        <v>62</v>
      </c>
      <c r="D287" s="11">
        <f>SUMIFS(RawData!$D:$D,RawData!$B:$B,$B287,RawData!$A:$A,DailySummaries!$A287)+1</f>
        <v>161</v>
      </c>
      <c r="E287" s="11">
        <f>SUMIFS(RawData!$E:$E,RawData!$B:$B,$B287,RawData!$A:$A,DailySummaries!$A287)+1</f>
        <v>268</v>
      </c>
    </row>
    <row r="288" spans="1:5" x14ac:dyDescent="0.25">
      <c r="A288" s="10">
        <v>46014</v>
      </c>
      <c r="B288" s="11" t="s">
        <v>3</v>
      </c>
      <c r="C288" s="11">
        <f>COUNTIFS(RawData!$B:$B, $B288, RawData!$A:$A, DailySummaries!$A288)</f>
        <v>31</v>
      </c>
      <c r="D288" s="11">
        <f>SUMIFS(RawData!$D:$D,RawData!$B:$B,$B288,RawData!$A:$A,DailySummaries!$A288)+1</f>
        <v>1</v>
      </c>
      <c r="E288" s="11">
        <f>SUMIFS(RawData!$E:$E,RawData!$B:$B,$B288,RawData!$A:$A,DailySummaries!$A288)+1</f>
        <v>90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2025-12-24T14:53:28Z</dcterms:modified>
</cp:coreProperties>
</file>
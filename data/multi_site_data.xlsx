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99BBDF08-16F0-B647-8F6E-AFC5B0F7F5D9}" xr6:coauthVersionLast="47" xr6:coauthVersionMax="47" xr10:uidLastSave="{00000000-0000-0000-0000-000000000000}"/>
  <bookViews>
    <workbookView xWindow="3360" yWindow="500" windowWidth="30240" windowHeight="1940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7" i="2" l="1"/>
  <c r="D157" i="2"/>
  <c r="E157" i="2"/>
  <c r="C158" i="2"/>
  <c r="D158" i="2"/>
  <c r="E158" i="2"/>
  <c r="C159" i="2"/>
  <c r="D159" i="2"/>
  <c r="E159" i="2"/>
  <c r="C160" i="2"/>
  <c r="D160" i="2"/>
  <c r="E160" i="2"/>
  <c r="C161" i="2"/>
  <c r="D161" i="2"/>
  <c r="E161" i="2"/>
  <c r="C162" i="2"/>
  <c r="D162" i="2"/>
  <c r="E162" i="2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Q4650" i="1" a="1"/>
  <c r="Q4650" i="1" s="1"/>
  <c r="Q4651" i="1" a="1"/>
  <c r="Q4651" i="1" s="1"/>
  <c r="Q4652" i="1" a="1"/>
  <c r="Q4652" i="1"/>
  <c r="Q4653" i="1" a="1"/>
  <c r="Q4653" i="1" s="1"/>
  <c r="Q4654" i="1" a="1"/>
  <c r="Q4654" i="1" s="1"/>
  <c r="Q4655" i="1" a="1"/>
  <c r="Q4655" i="1" s="1"/>
  <c r="Q4656" i="1" a="1"/>
  <c r="Q4656" i="1"/>
  <c r="Q4657" i="1" a="1"/>
  <c r="Q4657" i="1" s="1"/>
  <c r="Q4658" i="1" a="1"/>
  <c r="Q4658" i="1" s="1"/>
  <c r="Q4659" i="1" a="1"/>
  <c r="Q4659" i="1" s="1"/>
  <c r="Q4660" i="1" a="1"/>
  <c r="Q4660" i="1"/>
  <c r="Q4661" i="1" a="1"/>
  <c r="Q4661" i="1" s="1"/>
  <c r="Q4662" i="1" a="1"/>
  <c r="Q4662" i="1" s="1"/>
  <c r="Q4663" i="1" a="1"/>
  <c r="Q4663" i="1" s="1"/>
  <c r="Q4664" i="1" a="1"/>
  <c r="Q4664" i="1"/>
  <c r="Q4665" i="1" a="1"/>
  <c r="Q4665" i="1" s="1"/>
  <c r="Q4666" i="1" a="1"/>
  <c r="Q4666" i="1" s="1"/>
  <c r="Q4667" i="1" a="1"/>
  <c r="Q4667" i="1" s="1"/>
  <c r="Q4668" i="1" a="1"/>
  <c r="Q4668" i="1"/>
  <c r="Q4669" i="1" a="1"/>
  <c r="Q4669" i="1" s="1"/>
  <c r="Q4670" i="1" a="1"/>
  <c r="Q4670" i="1" s="1"/>
  <c r="Q4671" i="1" a="1"/>
  <c r="Q4671" i="1" s="1"/>
  <c r="Q4672" i="1" a="1"/>
  <c r="Q4672" i="1"/>
  <c r="Q4673" i="1" a="1"/>
  <c r="Q4673" i="1" s="1"/>
  <c r="Q4674" i="1" a="1"/>
  <c r="Q4674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3383" i="1" l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115" i="2" l="1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A117" i="2" l="1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I3441" i="1" l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H3444" i="1" l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B3446" i="1" l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3446" i="1" l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I3447" i="1" l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I3448" i="1" l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H3449" i="1" l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M3450" i="1" l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H3451" i="1" l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L3452" i="1" l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A3454" i="1" l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K3454" i="1" l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L3455" i="1" l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I3456" i="1" l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A3458" i="1" l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K3458" i="1" l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A4598" i="1" l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P4605" i="1" l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4608" i="1" l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A4609" i="1" l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4610" i="1" l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A4611" i="1" l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M4610" i="1" l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A4613" i="1" l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P4612" i="1" l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A4624" i="1" l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P4623" i="1" l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B4625" i="1" l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A4627" i="1" l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P4626" i="1" l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P4627" i="1" l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4630" i="1" l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M4629" i="1" l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B4631" i="1" l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A4633" i="1" l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A4634" i="1" l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M4640" i="1" l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4643" i="1" l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M4642" i="1" l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4645" i="1" l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B4645" i="1" l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A4647" i="1" l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D153" i="2" l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E156" i="2" l="1"/>
  <c r="C156" i="2"/>
  <c r="D156" i="2"/>
  <c r="C154" i="2"/>
  <c r="E154" i="2"/>
  <c r="D154" i="2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C153" i="2" l="1"/>
  <c r="C155" i="2"/>
  <c r="E153" i="2"/>
  <c r="D155" i="2"/>
  <c r="E155" i="2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A4651" i="1" l="1"/>
  <c r="P4649" i="1" a="1"/>
  <c r="P4649" i="1" s="1"/>
  <c r="B4650" i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B4651" i="1" l="1"/>
  <c r="M4650" i="1" a="1"/>
  <c r="M4650" i="1" s="1"/>
  <c r="P4650" i="1" a="1"/>
  <c r="P4650" i="1" s="1"/>
  <c r="A4652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A4653" i="1" l="1"/>
  <c r="M4651" i="1" a="1"/>
  <c r="M4651" i="1" s="1"/>
  <c r="B4652" i="1"/>
  <c r="P4651" i="1" a="1"/>
  <c r="P4651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B4653" i="1" l="1"/>
  <c r="M4652" i="1" a="1"/>
  <c r="M4652" i="1" s="1"/>
  <c r="P4652" i="1" a="1"/>
  <c r="P4652" i="1" s="1"/>
  <c r="A4654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A4655" i="1" l="1"/>
  <c r="P4653" i="1" a="1"/>
  <c r="P4653" i="1" s="1"/>
  <c r="B4654" i="1"/>
  <c r="M4653" i="1" a="1"/>
  <c r="M4653" i="1" s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P4654" i="1" l="1" a="1"/>
  <c r="P4654" i="1" s="1"/>
  <c r="B4655" i="1"/>
  <c r="M4654" i="1" a="1"/>
  <c r="M4654" i="1" s="1"/>
  <c r="A4656" i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P4655" i="1" l="1" a="1"/>
  <c r="P4655" i="1" s="1"/>
  <c r="B4656" i="1"/>
  <c r="M4655" i="1" a="1"/>
  <c r="M4655" i="1" s="1"/>
  <c r="A4657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A4658" i="1" l="1"/>
  <c r="B4657" i="1"/>
  <c r="M4656" i="1" a="1"/>
  <c r="M4656" i="1" s="1"/>
  <c r="P4656" i="1" a="1"/>
  <c r="P4656" i="1" s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M4657" i="1" l="1" a="1"/>
  <c r="M4657" i="1" s="1"/>
  <c r="B4658" i="1"/>
  <c r="P4657" i="1" a="1"/>
  <c r="P4657" i="1" s="1"/>
  <c r="A4659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A4660" i="1" l="1"/>
  <c r="P4658" i="1" a="1"/>
  <c r="P4658" i="1" s="1"/>
  <c r="B4659" i="1"/>
  <c r="M4658" i="1" a="1"/>
  <c r="M4658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3523" i="1" l="1" a="1"/>
  <c r="I3523" i="1" s="1"/>
  <c r="A3524" i="1"/>
  <c r="H3523" i="1"/>
  <c r="P4659" i="1" a="1"/>
  <c r="P4659" i="1" s="1"/>
  <c r="B4660" i="1"/>
  <c r="M4659" i="1" a="1"/>
  <c r="M4659" i="1" s="1"/>
  <c r="A4661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3525" i="1" l="1"/>
  <c r="I3524" i="1" a="1"/>
  <c r="I3524" i="1" s="1"/>
  <c r="H3524" i="1"/>
  <c r="B4661" i="1"/>
  <c r="P4660" i="1" a="1"/>
  <c r="P4660" i="1" s="1"/>
  <c r="M4660" i="1" a="1"/>
  <c r="M4660" i="1" s="1"/>
  <c r="A4662" i="1"/>
  <c r="A3526" i="1" l="1"/>
  <c r="I3525" i="1" a="1"/>
  <c r="I3525" i="1" s="1"/>
  <c r="H3525" i="1"/>
  <c r="A4663" i="1"/>
  <c r="M4661" i="1" a="1"/>
  <c r="M4661" i="1" s="1"/>
  <c r="P4661" i="1" a="1"/>
  <c r="P4661" i="1" s="1"/>
  <c r="B4662" i="1"/>
  <c r="A3527" i="1" l="1"/>
  <c r="L3526" i="1" a="1"/>
  <c r="L3526" i="1" s="1"/>
  <c r="H3526" i="1"/>
  <c r="M4662" i="1" a="1"/>
  <c r="M4662" i="1" s="1"/>
  <c r="B4663" i="1"/>
  <c r="P4662" i="1" a="1"/>
  <c r="P4662" i="1" s="1"/>
  <c r="A4664" i="1"/>
  <c r="L3527" i="1" l="1" a="1"/>
  <c r="L3527" i="1" s="1"/>
  <c r="A3528" i="1"/>
  <c r="H3527" i="1"/>
  <c r="B4664" i="1"/>
  <c r="M4663" i="1" a="1"/>
  <c r="M4663" i="1" s="1"/>
  <c r="P4663" i="1" a="1"/>
  <c r="P4663" i="1" s="1"/>
  <c r="A4665" i="1"/>
  <c r="A3529" i="1" l="1"/>
  <c r="O3528" i="1" a="1"/>
  <c r="O3528" i="1" s="1"/>
  <c r="H3528" i="1"/>
  <c r="A4666" i="1"/>
  <c r="B4665" i="1"/>
  <c r="M4664" i="1" a="1"/>
  <c r="M4664" i="1" s="1"/>
  <c r="P4664" i="1" a="1"/>
  <c r="P4664" i="1" s="1"/>
  <c r="A3530" i="1" l="1"/>
  <c r="H3529" i="1"/>
  <c r="O3529" i="1" a="1"/>
  <c r="O3529" i="1" s="1"/>
  <c r="P4665" i="1" a="1"/>
  <c r="P4665" i="1" s="1"/>
  <c r="B4666" i="1"/>
  <c r="M4665" i="1" a="1"/>
  <c r="M4665" i="1" s="1"/>
  <c r="A4667" i="1"/>
  <c r="A3531" i="1" l="1"/>
  <c r="H3530" i="1"/>
  <c r="O3530" i="1" a="1"/>
  <c r="O3530" i="1" s="1"/>
  <c r="P4666" i="1" a="1"/>
  <c r="P4666" i="1" s="1"/>
  <c r="B4667" i="1"/>
  <c r="M4666" i="1" a="1"/>
  <c r="M4666" i="1" s="1"/>
  <c r="A4668" i="1"/>
  <c r="A3532" i="1" l="1"/>
  <c r="H3531" i="1"/>
  <c r="O3531" i="1" a="1"/>
  <c r="O3531" i="1" s="1"/>
  <c r="A4669" i="1"/>
  <c r="P4667" i="1" a="1"/>
  <c r="P4667" i="1" s="1"/>
  <c r="M4667" i="1" a="1"/>
  <c r="M4667" i="1" s="1"/>
  <c r="B4668" i="1"/>
  <c r="A3533" i="1" l="1"/>
  <c r="O3532" i="1" a="1"/>
  <c r="O3532" i="1" s="1"/>
  <c r="H3532" i="1"/>
  <c r="A4670" i="1"/>
  <c r="B4669" i="1"/>
  <c r="M4668" i="1" a="1"/>
  <c r="M4668" i="1" s="1"/>
  <c r="P4668" i="1" a="1"/>
  <c r="P4668" i="1" s="1"/>
  <c r="A3534" i="1" l="1"/>
  <c r="H3533" i="1"/>
  <c r="O3533" i="1" a="1"/>
  <c r="O3533" i="1" s="1"/>
  <c r="P4669" i="1" a="1"/>
  <c r="P4669" i="1" s="1"/>
  <c r="M4669" i="1" a="1"/>
  <c r="M4669" i="1" s="1"/>
  <c r="B4670" i="1"/>
  <c r="A4671" i="1"/>
  <c r="A3535" i="1" l="1"/>
  <c r="O3534" i="1" a="1"/>
  <c r="O3534" i="1" s="1"/>
  <c r="H3534" i="1"/>
  <c r="P4670" i="1" a="1"/>
  <c r="P4670" i="1" s="1"/>
  <c r="B4671" i="1"/>
  <c r="M4670" i="1" a="1"/>
  <c r="M4670" i="1" s="1"/>
  <c r="A4672" i="1"/>
  <c r="A3536" i="1" l="1"/>
  <c r="H3535" i="1"/>
  <c r="O3535" i="1" a="1"/>
  <c r="O3535" i="1" s="1"/>
  <c r="B4672" i="1"/>
  <c r="M4671" i="1" a="1"/>
  <c r="M4671" i="1" s="1"/>
  <c r="P4671" i="1" a="1"/>
  <c r="P4671" i="1" s="1"/>
  <c r="A4673" i="1"/>
  <c r="A3537" i="1" l="1"/>
  <c r="H3536" i="1"/>
  <c r="O3536" i="1" a="1"/>
  <c r="O3536" i="1" s="1"/>
  <c r="A4674" i="1"/>
  <c r="B4673" i="1"/>
  <c r="P4672" i="1" a="1"/>
  <c r="P4672" i="1" s="1"/>
  <c r="M4672" i="1" a="1"/>
  <c r="M4672" i="1" s="1"/>
  <c r="C152" i="2" l="1"/>
  <c r="E148" i="2"/>
  <c r="A3538" i="1"/>
  <c r="H3537" i="1"/>
  <c r="O3537" i="1" a="1"/>
  <c r="O3537" i="1" s="1"/>
  <c r="M4673" i="1" a="1"/>
  <c r="M4673" i="1" s="1"/>
  <c r="B4674" i="1"/>
  <c r="D152" i="2" s="1"/>
  <c r="P4673" i="1" a="1"/>
  <c r="P4673" i="1" s="1"/>
  <c r="E142" i="2" l="1"/>
  <c r="D148" i="2"/>
  <c r="E152" i="2"/>
  <c r="E147" i="2"/>
  <c r="D150" i="2"/>
  <c r="C150" i="2"/>
  <c r="E150" i="2"/>
  <c r="D151" i="2"/>
  <c r="E151" i="2"/>
  <c r="C151" i="2"/>
  <c r="D142" i="2"/>
  <c r="C142" i="2"/>
  <c r="C147" i="2"/>
  <c r="D147" i="2"/>
  <c r="D149" i="2"/>
  <c r="C149" i="2"/>
  <c r="E149" i="2"/>
  <c r="C146" i="2"/>
  <c r="C148" i="2"/>
  <c r="E146" i="2"/>
  <c r="D146" i="2"/>
  <c r="D143" i="2"/>
  <c r="D144" i="2"/>
  <c r="C144" i="2"/>
  <c r="E145" i="2"/>
  <c r="D145" i="2"/>
  <c r="C145" i="2"/>
  <c r="E144" i="2"/>
  <c r="E143" i="2"/>
  <c r="C143" i="2"/>
  <c r="C139" i="2"/>
  <c r="E139" i="2"/>
  <c r="E141" i="2"/>
  <c r="D139" i="2"/>
  <c r="C141" i="2"/>
  <c r="D141" i="2"/>
  <c r="D119" i="2"/>
  <c r="D118" i="2"/>
  <c r="C125" i="2"/>
  <c r="C118" i="2"/>
  <c r="E128" i="2"/>
  <c r="C135" i="2"/>
  <c r="C120" i="2"/>
  <c r="D132" i="2"/>
  <c r="E115" i="2"/>
  <c r="E135" i="2"/>
  <c r="D128" i="2"/>
  <c r="E132" i="2"/>
  <c r="D129" i="2"/>
  <c r="E136" i="2"/>
  <c r="D123" i="2"/>
  <c r="E119" i="2"/>
  <c r="E129" i="2"/>
  <c r="C129" i="2"/>
  <c r="C132" i="2"/>
  <c r="E123" i="2"/>
  <c r="D124" i="2"/>
  <c r="D131" i="2"/>
  <c r="D120" i="2"/>
  <c r="D114" i="2"/>
  <c r="D137" i="2"/>
  <c r="C115" i="2"/>
  <c r="D125" i="2"/>
  <c r="E114" i="2"/>
  <c r="C137" i="2"/>
  <c r="D115" i="2"/>
  <c r="E131" i="2"/>
  <c r="C119" i="2"/>
  <c r="C128" i="2"/>
  <c r="E125" i="2"/>
  <c r="E137" i="2"/>
  <c r="C124" i="2"/>
  <c r="E118" i="2"/>
  <c r="C131" i="2"/>
  <c r="C136" i="2"/>
  <c r="D135" i="2"/>
  <c r="E124" i="2"/>
  <c r="C123" i="2"/>
  <c r="D136" i="2"/>
  <c r="C114" i="2"/>
  <c r="A3539" i="1"/>
  <c r="O3538" i="1" a="1"/>
  <c r="O3538" i="1" s="1"/>
  <c r="H3538" i="1"/>
  <c r="E120" i="2"/>
  <c r="P4674" i="1" a="1"/>
  <c r="P4674" i="1" s="1"/>
  <c r="M4674" i="1" a="1"/>
  <c r="M4674" i="1" s="1"/>
  <c r="A3540" i="1" l="1"/>
  <c r="H3539" i="1"/>
  <c r="O3539" i="1" a="1"/>
  <c r="O3539" i="1" s="1"/>
  <c r="E67" i="2"/>
  <c r="C13" i="2"/>
  <c r="D55" i="2"/>
  <c r="C62" i="2"/>
  <c r="D109" i="2"/>
  <c r="D111" i="2"/>
  <c r="D23" i="2"/>
  <c r="E64" i="2"/>
  <c r="C90" i="2"/>
  <c r="C76" i="2"/>
  <c r="C71" i="2"/>
  <c r="D67" i="2"/>
  <c r="D83" i="2"/>
  <c r="E82" i="2"/>
  <c r="C91" i="2"/>
  <c r="C21" i="2"/>
  <c r="E20" i="2"/>
  <c r="C5" i="2"/>
  <c r="E70" i="2"/>
  <c r="C57" i="2"/>
  <c r="C25" i="2"/>
  <c r="E76" i="2"/>
  <c r="C39" i="2"/>
  <c r="D90" i="2"/>
  <c r="D26" i="2"/>
  <c r="D3" i="2"/>
  <c r="E57" i="2"/>
  <c r="D82" i="2"/>
  <c r="D30" i="2"/>
  <c r="C40" i="2"/>
  <c r="D50" i="2"/>
  <c r="D36" i="2"/>
  <c r="E6" i="2"/>
  <c r="D24" i="2"/>
  <c r="C9" i="2"/>
  <c r="E44" i="2"/>
  <c r="E37" i="2"/>
  <c r="E92" i="2"/>
  <c r="E13" i="2"/>
  <c r="D6" i="2"/>
  <c r="C19" i="2"/>
  <c r="D47" i="2"/>
  <c r="C79" i="2"/>
  <c r="E32" i="2"/>
  <c r="C34" i="2"/>
  <c r="D19" i="2"/>
  <c r="C6" i="2"/>
  <c r="E66" i="2"/>
  <c r="C56" i="2"/>
  <c r="D70" i="2"/>
  <c r="C72" i="2"/>
  <c r="C95" i="2"/>
  <c r="E35" i="2"/>
  <c r="D10" i="2"/>
  <c r="E80" i="2"/>
  <c r="E49" i="2"/>
  <c r="E100" i="2"/>
  <c r="E83" i="2"/>
  <c r="C80" i="2"/>
  <c r="E16" i="2"/>
  <c r="E50" i="2"/>
  <c r="C75" i="2"/>
  <c r="C55" i="2"/>
  <c r="C44" i="2"/>
  <c r="C36" i="2"/>
  <c r="D91" i="2"/>
  <c r="C11" i="2"/>
  <c r="D42" i="2"/>
  <c r="C105" i="2"/>
  <c r="C20" i="2"/>
  <c r="C30" i="2"/>
  <c r="E55" i="2"/>
  <c r="E10" i="2"/>
  <c r="C14" i="2"/>
  <c r="C66" i="2"/>
  <c r="E23" i="2"/>
  <c r="C85" i="2"/>
  <c r="E30" i="2"/>
  <c r="E79" i="2"/>
  <c r="C46" i="2"/>
  <c r="E46" i="2"/>
  <c r="C65" i="2"/>
  <c r="E91" i="2"/>
  <c r="D28" i="2"/>
  <c r="D39" i="2"/>
  <c r="E31" i="2"/>
  <c r="E39" i="2"/>
  <c r="E86" i="2"/>
  <c r="D86" i="2"/>
  <c r="E47" i="2"/>
  <c r="C31" i="2"/>
  <c r="C24" i="2"/>
  <c r="D44" i="2"/>
  <c r="C3" i="2"/>
  <c r="E85" i="2"/>
  <c r="D29" i="2"/>
  <c r="C67" i="2"/>
  <c r="D88" i="2"/>
  <c r="E34" i="2"/>
  <c r="E45" i="2"/>
  <c r="E19" i="2"/>
  <c r="D49" i="2"/>
  <c r="D71" i="2"/>
  <c r="E21" i="2"/>
  <c r="E62" i="2"/>
  <c r="C106" i="2"/>
  <c r="C32" i="2"/>
  <c r="C28" i="2"/>
  <c r="C53" i="2"/>
  <c r="D25" i="2"/>
  <c r="C10" i="2"/>
  <c r="C45" i="2"/>
  <c r="C23" i="2"/>
  <c r="E90" i="2"/>
  <c r="D37" i="2"/>
  <c r="C16" i="2"/>
  <c r="E56" i="2"/>
  <c r="C29" i="2"/>
  <c r="E105" i="2"/>
  <c r="E71" i="2"/>
  <c r="E88" i="2"/>
  <c r="D72" i="2"/>
  <c r="D16" i="2"/>
  <c r="C41" i="2"/>
  <c r="C64" i="2"/>
  <c r="E25" i="2"/>
  <c r="E5" i="2"/>
  <c r="D57" i="2"/>
  <c r="E95" i="2"/>
  <c r="E14" i="2"/>
  <c r="D32" i="2"/>
  <c r="C17" i="2"/>
  <c r="D20" i="2"/>
  <c r="E65" i="2"/>
  <c r="D13" i="2"/>
  <c r="C26" i="2"/>
  <c r="E28" i="2"/>
  <c r="D41" i="2"/>
  <c r="C88" i="2"/>
  <c r="C37" i="2"/>
  <c r="C7" i="2"/>
  <c r="E11" i="2"/>
  <c r="E36" i="2"/>
  <c r="E26" i="2"/>
  <c r="E51" i="2"/>
  <c r="D51" i="2"/>
  <c r="C99" i="2"/>
  <c r="C101" i="2"/>
  <c r="C96" i="2"/>
  <c r="E106" i="2"/>
  <c r="D95" i="2"/>
  <c r="E96" i="2"/>
  <c r="E101" i="2"/>
  <c r="E99" i="2"/>
  <c r="E40" i="2"/>
  <c r="C47" i="2"/>
  <c r="C51" i="2"/>
  <c r="E72" i="2"/>
  <c r="C100" i="2"/>
  <c r="D66" i="2"/>
  <c r="C86" i="2"/>
  <c r="D35" i="2"/>
  <c r="D7" i="2"/>
  <c r="E9" i="2"/>
  <c r="D11" i="2"/>
  <c r="E42" i="2"/>
  <c r="C42" i="2"/>
  <c r="E29" i="2"/>
  <c r="E75" i="2"/>
  <c r="D45" i="2"/>
  <c r="D56" i="2"/>
  <c r="D64" i="2"/>
  <c r="D60" i="2"/>
  <c r="D101" i="2"/>
  <c r="D31" i="2"/>
  <c r="D100" i="2"/>
  <c r="E24" i="2"/>
  <c r="D65" i="2"/>
  <c r="D79" i="2"/>
  <c r="D9" i="2"/>
  <c r="D53" i="2"/>
  <c r="E109" i="2"/>
  <c r="D106" i="2"/>
  <c r="E53" i="2"/>
  <c r="E3" i="2"/>
  <c r="C70" i="2"/>
  <c r="E110" i="2"/>
  <c r="C111" i="2"/>
  <c r="D40" i="2"/>
  <c r="C49" i="2"/>
  <c r="D76" i="2"/>
  <c r="E17" i="2"/>
  <c r="C82" i="2"/>
  <c r="E7" i="2"/>
  <c r="E60" i="2"/>
  <c r="D14" i="2"/>
  <c r="D75" i="2"/>
  <c r="C60" i="2"/>
  <c r="D80" i="2"/>
  <c r="C92" i="2"/>
  <c r="D85" i="2"/>
  <c r="D105" i="2"/>
  <c r="D62" i="2"/>
  <c r="C50" i="2"/>
  <c r="D21" i="2"/>
  <c r="C83" i="2"/>
  <c r="E41" i="2"/>
  <c r="D99" i="2"/>
  <c r="D110" i="2"/>
  <c r="D96" i="2"/>
  <c r="D17" i="2"/>
  <c r="E111" i="2"/>
  <c r="C35" i="2"/>
  <c r="C110" i="2"/>
  <c r="C109" i="2"/>
  <c r="D5" i="2"/>
  <c r="D92" i="2"/>
  <c r="D46" i="2"/>
  <c r="D34" i="2"/>
  <c r="A3541" i="1" l="1"/>
  <c r="O3540" i="1" a="1"/>
  <c r="O3540" i="1" s="1"/>
  <c r="H3540" i="1"/>
  <c r="I4438" i="1" a="1"/>
  <c r="I4438" i="1" s="1"/>
  <c r="A3542" i="1" l="1"/>
  <c r="H3541" i="1"/>
  <c r="O3541" i="1" a="1"/>
  <c r="O3541" i="1" s="1"/>
  <c r="C4439" i="1"/>
  <c r="H4438" i="1"/>
  <c r="A3543" i="1" l="1"/>
  <c r="H3542" i="1"/>
  <c r="O3542" i="1" a="1"/>
  <c r="O3542" i="1" s="1"/>
  <c r="I4439" i="1" a="1"/>
  <c r="I4439" i="1" s="1"/>
  <c r="C4440" i="1"/>
  <c r="I4440" i="1" s="1" a="1"/>
  <c r="I4440" i="1" s="1"/>
  <c r="H4439" i="1"/>
  <c r="A3544" i="1" l="1"/>
  <c r="H3543" i="1"/>
  <c r="O3543" i="1" a="1"/>
  <c r="O3543" i="1" s="1"/>
  <c r="C4441" i="1"/>
  <c r="H4440" i="1"/>
  <c r="A3545" i="1" l="1"/>
  <c r="O3544" i="1" a="1"/>
  <c r="O3544" i="1" s="1"/>
  <c r="H3544" i="1"/>
  <c r="I4441" i="1" a="1"/>
  <c r="I4441" i="1" s="1"/>
  <c r="I4442" i="1" a="1"/>
  <c r="I4442" i="1" s="1"/>
  <c r="H4441" i="1"/>
  <c r="A3546" i="1" l="1"/>
  <c r="O3545" i="1" a="1"/>
  <c r="O3545" i="1" s="1"/>
  <c r="H3545" i="1"/>
  <c r="C4443" i="1"/>
  <c r="H4442" i="1"/>
  <c r="A3547" i="1" l="1"/>
  <c r="H3546" i="1"/>
  <c r="O3546" i="1" a="1"/>
  <c r="O3546" i="1" s="1"/>
  <c r="I4443" i="1" a="1"/>
  <c r="I4443" i="1" s="1"/>
  <c r="I4444" i="1" a="1"/>
  <c r="I4444" i="1" s="1"/>
  <c r="H4443" i="1"/>
  <c r="A3548" i="1" l="1"/>
  <c r="H3547" i="1"/>
  <c r="O3547" i="1" a="1"/>
  <c r="O3547" i="1" s="1"/>
  <c r="I4445" i="1" a="1"/>
  <c r="I4445" i="1" s="1"/>
  <c r="H4444" i="1"/>
  <c r="A3549" i="1" l="1"/>
  <c r="O3548" i="1" a="1"/>
  <c r="O3548" i="1" s="1"/>
  <c r="H3548" i="1"/>
  <c r="I4446" i="1" a="1"/>
  <c r="I4446" i="1" s="1"/>
  <c r="H4445" i="1"/>
  <c r="A3550" i="1" l="1"/>
  <c r="O3549" i="1" a="1"/>
  <c r="O3549" i="1" s="1"/>
  <c r="H3549" i="1"/>
  <c r="I4447" i="1" a="1"/>
  <c r="I4447" i="1" s="1"/>
  <c r="H4446" i="1"/>
  <c r="A3551" i="1" l="1"/>
  <c r="H3550" i="1"/>
  <c r="O3550" i="1" a="1"/>
  <c r="O3550" i="1" s="1"/>
  <c r="C4448" i="1"/>
  <c r="H4447" i="1"/>
  <c r="O4447" i="1" a="1"/>
  <c r="O4447" i="1" s="1"/>
  <c r="A3552" i="1" l="1"/>
  <c r="I3551" i="1" a="1"/>
  <c r="I3551" i="1" s="1"/>
  <c r="H3551" i="1"/>
  <c r="I4448" i="1" a="1"/>
  <c r="I4448" i="1" s="1"/>
  <c r="C4449" i="1"/>
  <c r="H4448" i="1"/>
  <c r="O4448" i="1" a="1"/>
  <c r="O4448" i="1" s="1"/>
  <c r="A3553" i="1" l="1"/>
  <c r="I3552" i="1" a="1"/>
  <c r="I3552" i="1" s="1"/>
  <c r="H3552" i="1"/>
  <c r="I4449" i="1" a="1"/>
  <c r="I4449" i="1" s="1"/>
  <c r="C4450" i="1"/>
  <c r="H4449" i="1"/>
  <c r="O4449" i="1" a="1"/>
  <c r="O4449" i="1" s="1"/>
  <c r="A3554" i="1" l="1"/>
  <c r="I3553" i="1" a="1"/>
  <c r="I3553" i="1" s="1"/>
  <c r="H3553" i="1"/>
  <c r="I4450" i="1" a="1"/>
  <c r="I4450" i="1" s="1"/>
  <c r="H4450" i="1"/>
  <c r="O4450" i="1" a="1"/>
  <c r="O4450" i="1" s="1"/>
  <c r="A3555" i="1" l="1"/>
  <c r="I3554" i="1" a="1"/>
  <c r="I3554" i="1" s="1"/>
  <c r="H3554" i="1"/>
  <c r="I4451" i="1" a="1"/>
  <c r="I4451" i="1" s="1"/>
  <c r="K4451" i="1" a="1"/>
  <c r="K4451" i="1" s="1"/>
  <c r="H4451" i="1"/>
  <c r="A3556" i="1" l="1"/>
  <c r="I3555" i="1" a="1"/>
  <c r="I3555" i="1" s="1"/>
  <c r="H3555" i="1"/>
  <c r="I4452" i="1" a="1"/>
  <c r="I4452" i="1" s="1"/>
  <c r="K4452" i="1" a="1"/>
  <c r="K4452" i="1" s="1"/>
  <c r="C4453" i="1"/>
  <c r="H4452" i="1"/>
  <c r="A3557" i="1" l="1"/>
  <c r="I3556" i="1" a="1"/>
  <c r="I3556" i="1" s="1"/>
  <c r="H3556" i="1"/>
  <c r="I4453" i="1" a="1"/>
  <c r="I4453" i="1" s="1"/>
  <c r="K4453" i="1" a="1"/>
  <c r="K4453" i="1" s="1"/>
  <c r="H4453" i="1"/>
  <c r="A3558" i="1" l="1"/>
  <c r="I3557" i="1" a="1"/>
  <c r="I3557" i="1" s="1"/>
  <c r="H3557" i="1"/>
  <c r="I4454" i="1" a="1"/>
  <c r="I4454" i="1" s="1"/>
  <c r="K4454" i="1" a="1"/>
  <c r="K4454" i="1" s="1"/>
  <c r="H4454" i="1"/>
  <c r="A3559" i="1" l="1"/>
  <c r="I3558" i="1" a="1"/>
  <c r="I3558" i="1" s="1"/>
  <c r="H3558" i="1"/>
  <c r="I4455" i="1" a="1"/>
  <c r="I4455" i="1" s="1"/>
  <c r="K4455" i="1" a="1"/>
  <c r="K4455" i="1" s="1"/>
  <c r="C4456" i="1"/>
  <c r="H4455" i="1"/>
  <c r="A3560" i="1" l="1"/>
  <c r="I3559" i="1" a="1"/>
  <c r="I3559" i="1" s="1"/>
  <c r="H3559" i="1"/>
  <c r="I4456" i="1" a="1"/>
  <c r="I4456" i="1" s="1"/>
  <c r="K4456" i="1" a="1"/>
  <c r="K4456" i="1" s="1"/>
  <c r="H4456" i="1"/>
  <c r="A3561" i="1" l="1"/>
  <c r="I3560" i="1" a="1"/>
  <c r="I3560" i="1" s="1"/>
  <c r="H3560" i="1"/>
  <c r="I4457" i="1" a="1"/>
  <c r="I4457" i="1" s="1"/>
  <c r="K4457" i="1" a="1"/>
  <c r="K4457" i="1" s="1"/>
  <c r="H4457" i="1"/>
  <c r="A3562" i="1" l="1"/>
  <c r="I3561" i="1" a="1"/>
  <c r="I3561" i="1" s="1"/>
  <c r="H3561" i="1"/>
  <c r="I4458" i="1" a="1"/>
  <c r="I4458" i="1" s="1"/>
  <c r="K4458" i="1" a="1"/>
  <c r="K4458" i="1" s="1"/>
  <c r="C4459" i="1"/>
  <c r="H4458" i="1"/>
  <c r="A3563" i="1" l="1"/>
  <c r="I3562" i="1" a="1"/>
  <c r="I3562" i="1" s="1"/>
  <c r="H3562" i="1"/>
  <c r="I4459" i="1" a="1"/>
  <c r="I4459" i="1" s="1"/>
  <c r="K4459" i="1" a="1"/>
  <c r="K4459" i="1" s="1"/>
  <c r="H4459" i="1"/>
  <c r="A3564" i="1" l="1"/>
  <c r="I3563" i="1" a="1"/>
  <c r="I3563" i="1" s="1"/>
  <c r="H3563" i="1"/>
  <c r="I4460" i="1" a="1"/>
  <c r="I4460" i="1" s="1"/>
  <c r="K4460" i="1" a="1"/>
  <c r="K4460" i="1" s="1"/>
  <c r="C4461" i="1"/>
  <c r="H4460" i="1"/>
  <c r="A3565" i="1" l="1"/>
  <c r="I3564" i="1" a="1"/>
  <c r="I3564" i="1" s="1"/>
  <c r="H3564" i="1"/>
  <c r="I4461" i="1" a="1"/>
  <c r="I4461" i="1" s="1"/>
  <c r="K4461" i="1" a="1"/>
  <c r="K4461" i="1" s="1"/>
  <c r="H4461" i="1"/>
  <c r="A3566" i="1" l="1"/>
  <c r="I3565" i="1" a="1"/>
  <c r="I3565" i="1" s="1"/>
  <c r="H3565" i="1"/>
  <c r="I4462" i="1" a="1"/>
  <c r="I4462" i="1" s="1"/>
  <c r="K4462" i="1" a="1"/>
  <c r="K4462" i="1" s="1"/>
  <c r="C4463" i="1"/>
  <c r="H4462" i="1"/>
  <c r="A3567" i="1" l="1"/>
  <c r="I3566" i="1" a="1"/>
  <c r="I3566" i="1" s="1"/>
  <c r="H3566" i="1"/>
  <c r="I4463" i="1" a="1"/>
  <c r="I4463" i="1" s="1"/>
  <c r="K4463" i="1" a="1"/>
  <c r="K4463" i="1" s="1"/>
  <c r="C4464" i="1"/>
  <c r="H4463" i="1"/>
  <c r="A3568" i="1" l="1"/>
  <c r="I3567" i="1" a="1"/>
  <c r="I3567" i="1" s="1"/>
  <c r="H3567" i="1"/>
  <c r="I4464" i="1" a="1"/>
  <c r="I4464" i="1" s="1"/>
  <c r="K4464" i="1" a="1"/>
  <c r="K4464" i="1" s="1"/>
  <c r="H4464" i="1"/>
  <c r="A3569" i="1" l="1"/>
  <c r="I3568" i="1" a="1"/>
  <c r="I3568" i="1" s="1"/>
  <c r="H3568" i="1"/>
  <c r="I4465" i="1" a="1"/>
  <c r="I4465" i="1" s="1"/>
  <c r="K4465" i="1" a="1"/>
  <c r="K4465" i="1" s="1"/>
  <c r="C4466" i="1"/>
  <c r="H4465" i="1"/>
  <c r="A3570" i="1" l="1"/>
  <c r="I3569" i="1" a="1"/>
  <c r="I3569" i="1" s="1"/>
  <c r="H3569" i="1"/>
  <c r="I4466" i="1" a="1"/>
  <c r="I4466" i="1" s="1"/>
  <c r="K4466" i="1" a="1"/>
  <c r="K4466" i="1" s="1"/>
  <c r="H4466" i="1"/>
  <c r="A3571" i="1" l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D140" i="2"/>
  <c r="E130" i="2"/>
  <c r="E140" i="2"/>
  <c r="C130" i="2"/>
  <c r="C58" i="2"/>
  <c r="D127" i="2"/>
  <c r="D130" i="2"/>
  <c r="C113" i="2"/>
  <c r="C122" i="2"/>
  <c r="E87" i="2"/>
  <c r="E117" i="2"/>
  <c r="D81" i="2"/>
  <c r="E122" i="2"/>
  <c r="C127" i="2"/>
  <c r="C140" i="2"/>
  <c r="D117" i="2"/>
  <c r="E104" i="2"/>
  <c r="E127" i="2"/>
  <c r="D113" i="2"/>
  <c r="D122" i="2"/>
  <c r="D52" i="2"/>
  <c r="D68" i="2"/>
  <c r="C117" i="2"/>
  <c r="C52" i="2"/>
  <c r="D102" i="2"/>
  <c r="E113" i="2"/>
  <c r="D73" i="2"/>
  <c r="E108" i="2"/>
  <c r="C87" i="2"/>
  <c r="D77" i="2"/>
  <c r="E73" i="2"/>
  <c r="D58" i="2"/>
  <c r="D104" i="2"/>
  <c r="E81" i="2"/>
  <c r="C77" i="2"/>
  <c r="C102" i="2"/>
  <c r="E52" i="2"/>
  <c r="E97" i="2"/>
  <c r="E102" i="2"/>
  <c r="E77" i="2"/>
  <c r="C81" i="2"/>
  <c r="C61" i="2"/>
  <c r="E58" i="2"/>
  <c r="C68" i="2"/>
  <c r="C73" i="2"/>
  <c r="E93" i="2"/>
  <c r="D97" i="2"/>
  <c r="D61" i="2"/>
  <c r="E68" i="2"/>
  <c r="D87" i="2"/>
  <c r="D93" i="2"/>
  <c r="C93" i="2"/>
  <c r="E61" i="2"/>
  <c r="C108" i="2"/>
  <c r="D108" i="2"/>
  <c r="C104" i="2"/>
  <c r="C97" i="2"/>
  <c r="C138" i="2"/>
  <c r="E138" i="2"/>
  <c r="D138" i="2"/>
  <c r="C89" i="2"/>
  <c r="C63" i="2"/>
  <c r="E59" i="2"/>
  <c r="E69" i="2"/>
  <c r="E98" i="2"/>
  <c r="D59" i="2"/>
  <c r="C12" i="2"/>
  <c r="E126" i="2"/>
  <c r="E38" i="2"/>
  <c r="C94" i="2"/>
  <c r="C48" i="2"/>
  <c r="D27" i="2"/>
  <c r="C2" i="2"/>
  <c r="D48" i="2"/>
  <c r="C103" i="2"/>
  <c r="E33" i="2"/>
  <c r="D134" i="2"/>
  <c r="C15" i="2"/>
  <c r="E112" i="2"/>
  <c r="D121" i="2"/>
  <c r="C33" i="2"/>
  <c r="C121" i="2"/>
  <c r="D2" i="2"/>
  <c r="C78" i="2"/>
  <c r="E116" i="2"/>
  <c r="C8" i="2"/>
  <c r="D15" i="2"/>
  <c r="D38" i="2"/>
  <c r="C69" i="2"/>
  <c r="D33" i="2"/>
  <c r="D8" i="2"/>
  <c r="E94" i="2"/>
  <c r="C107" i="2"/>
  <c r="E103" i="2"/>
  <c r="C59" i="2"/>
  <c r="D74" i="2"/>
  <c r="C27" i="2"/>
  <c r="D112" i="2"/>
  <c r="E12" i="2"/>
  <c r="D12" i="2"/>
  <c r="D116" i="2"/>
  <c r="C38" i="2"/>
  <c r="D54" i="2"/>
  <c r="D98" i="2"/>
  <c r="E133" i="2"/>
  <c r="D133" i="2"/>
  <c r="E15" i="2"/>
  <c r="E121" i="2"/>
  <c r="E78" i="2"/>
  <c r="D63" i="2"/>
  <c r="E107" i="2"/>
  <c r="E22" i="2"/>
  <c r="E84" i="2"/>
  <c r="C18" i="2"/>
  <c r="C133" i="2"/>
  <c r="E27" i="2"/>
  <c r="C126" i="2"/>
  <c r="D94" i="2"/>
  <c r="E8" i="2"/>
  <c r="C98" i="2"/>
  <c r="E63" i="2"/>
  <c r="C84" i="2"/>
  <c r="D4" i="2"/>
  <c r="E2" i="2"/>
  <c r="E134" i="2"/>
  <c r="C54" i="2"/>
  <c r="D84" i="2"/>
  <c r="C112" i="2"/>
  <c r="D22" i="2"/>
  <c r="C4" i="2"/>
  <c r="E43" i="2"/>
  <c r="E18" i="2"/>
  <c r="D78" i="2"/>
  <c r="C22" i="2"/>
  <c r="C134" i="2"/>
  <c r="D107" i="2"/>
  <c r="D103" i="2"/>
  <c r="E54" i="2"/>
  <c r="C43" i="2"/>
  <c r="E4" i="2"/>
  <c r="C116" i="2"/>
  <c r="D69" i="2"/>
  <c r="E74" i="2"/>
  <c r="E48" i="2"/>
  <c r="D89" i="2"/>
  <c r="D43" i="2"/>
  <c r="D126" i="2"/>
  <c r="C74" i="2"/>
  <c r="E89" i="2"/>
  <c r="D18" i="2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L4628" i="1" l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L4629" i="1" l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L4630" i="1" l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L4631" i="1" l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L4632" i="1" l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L4633" i="1" l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L4634" i="1" l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L4635" i="1" l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L4636" i="1" l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L4637" i="1" l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L4638" i="1" l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L4639" i="1" l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L4640" i="1" l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L4641" i="1" l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L4642" i="1" l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L4643" i="1" l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L4644" i="1" l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L4645" i="1" l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L4646" i="1" l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L4647" i="1" l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L4648" i="1" l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L4649" i="1" l="1" a="1"/>
  <c r="L4649" i="1" s="1"/>
  <c r="N4649" i="1" a="1"/>
  <c r="N4649" i="1" s="1"/>
  <c r="I4649" i="1" a="1"/>
  <c r="I4649" i="1" s="1"/>
  <c r="K4649" i="1" a="1"/>
  <c r="K4649" i="1" s="1"/>
  <c r="J4650" i="1" a="1"/>
  <c r="J4650" i="1" s="1"/>
  <c r="H4649" i="1"/>
  <c r="O4649" i="1" a="1"/>
  <c r="O4649" i="1" s="1"/>
  <c r="L4650" i="1" l="1" a="1"/>
  <c r="L4650" i="1" s="1"/>
  <c r="N4650" i="1" a="1"/>
  <c r="N4650" i="1" s="1"/>
  <c r="I4650" i="1" a="1"/>
  <c r="I4650" i="1" s="1"/>
  <c r="K4650" i="1" a="1"/>
  <c r="K4650" i="1" s="1"/>
  <c r="C4651" i="1"/>
  <c r="J4651" i="1" s="1" a="1"/>
  <c r="J4651" i="1" s="1"/>
  <c r="H4650" i="1"/>
  <c r="O4650" i="1" a="1"/>
  <c r="O4650" i="1" s="1"/>
  <c r="L4651" i="1" l="1" a="1"/>
  <c r="L4651" i="1" s="1"/>
  <c r="N4651" i="1" a="1"/>
  <c r="N4651" i="1" s="1"/>
  <c r="I4651" i="1" a="1"/>
  <c r="I4651" i="1" s="1"/>
  <c r="K4651" i="1" a="1"/>
  <c r="K4651" i="1" s="1"/>
  <c r="C4652" i="1"/>
  <c r="J4652" i="1" s="1" a="1"/>
  <c r="J4652" i="1" s="1"/>
  <c r="H4651" i="1"/>
  <c r="O4651" i="1" a="1"/>
  <c r="O4651" i="1" s="1"/>
  <c r="L4652" i="1" l="1" a="1"/>
  <c r="L4652" i="1" s="1"/>
  <c r="N4652" i="1" a="1"/>
  <c r="N4652" i="1" s="1"/>
  <c r="I4652" i="1" a="1"/>
  <c r="I4652" i="1" s="1"/>
  <c r="K4652" i="1" a="1"/>
  <c r="K4652" i="1" s="1"/>
  <c r="C4653" i="1"/>
  <c r="J4653" i="1" s="1" a="1"/>
  <c r="J4653" i="1" s="1"/>
  <c r="H4652" i="1"/>
  <c r="O4652" i="1" a="1"/>
  <c r="O4652" i="1" s="1"/>
  <c r="L4653" i="1" l="1" a="1"/>
  <c r="L4653" i="1" s="1"/>
  <c r="N4653" i="1" a="1"/>
  <c r="N4653" i="1" s="1"/>
  <c r="I4653" i="1" a="1"/>
  <c r="I4653" i="1" s="1"/>
  <c r="K4653" i="1" a="1"/>
  <c r="K4653" i="1" s="1"/>
  <c r="C4654" i="1"/>
  <c r="J4654" i="1" s="1" a="1"/>
  <c r="J4654" i="1" s="1"/>
  <c r="H4653" i="1"/>
  <c r="O4653" i="1" a="1"/>
  <c r="O4653" i="1" s="1"/>
  <c r="L4654" i="1" l="1" a="1"/>
  <c r="L4654" i="1" s="1"/>
  <c r="N4654" i="1" a="1"/>
  <c r="N4654" i="1" s="1"/>
  <c r="I4654" i="1" a="1"/>
  <c r="I4654" i="1" s="1"/>
  <c r="K4654" i="1" a="1"/>
  <c r="K4654" i="1" s="1"/>
  <c r="C4655" i="1"/>
  <c r="J4655" i="1" s="1" a="1"/>
  <c r="J4655" i="1" s="1"/>
  <c r="H4654" i="1"/>
  <c r="O4654" i="1" a="1"/>
  <c r="O4654" i="1" s="1"/>
  <c r="L4655" i="1" l="1" a="1"/>
  <c r="L4655" i="1" s="1"/>
  <c r="N4655" i="1" a="1"/>
  <c r="N4655" i="1" s="1"/>
  <c r="I4655" i="1" a="1"/>
  <c r="I4655" i="1" s="1"/>
  <c r="K4655" i="1" a="1"/>
  <c r="K4655" i="1" s="1"/>
  <c r="C4656" i="1"/>
  <c r="J4656" i="1" s="1" a="1"/>
  <c r="J4656" i="1" s="1"/>
  <c r="H4655" i="1"/>
  <c r="O4655" i="1" a="1"/>
  <c r="O4655" i="1" s="1"/>
  <c r="L4656" i="1" l="1" a="1"/>
  <c r="L4656" i="1" s="1"/>
  <c r="N4656" i="1" a="1"/>
  <c r="N4656" i="1" s="1"/>
  <c r="I4656" i="1" a="1"/>
  <c r="I4656" i="1" s="1"/>
  <c r="K4656" i="1" a="1"/>
  <c r="K4656" i="1" s="1"/>
  <c r="C4657" i="1"/>
  <c r="J4657" i="1" s="1" a="1"/>
  <c r="J4657" i="1" s="1"/>
  <c r="H4656" i="1"/>
  <c r="O4656" i="1" a="1"/>
  <c r="O4656" i="1" s="1"/>
  <c r="L4657" i="1" l="1" a="1"/>
  <c r="L4657" i="1" s="1"/>
  <c r="N4657" i="1" a="1"/>
  <c r="N4657" i="1" s="1"/>
  <c r="I4657" i="1" a="1"/>
  <c r="I4657" i="1" s="1"/>
  <c r="K4657" i="1" a="1"/>
  <c r="K4657" i="1" s="1"/>
  <c r="C4658" i="1"/>
  <c r="J4658" i="1" s="1" a="1"/>
  <c r="J4658" i="1" s="1"/>
  <c r="H4657" i="1"/>
  <c r="O4657" i="1" a="1"/>
  <c r="O4657" i="1" s="1"/>
  <c r="L4658" i="1" l="1" a="1"/>
  <c r="L4658" i="1" s="1"/>
  <c r="N4658" i="1" a="1"/>
  <c r="N4658" i="1" s="1"/>
  <c r="I4658" i="1" a="1"/>
  <c r="I4658" i="1" s="1"/>
  <c r="K4658" i="1" a="1"/>
  <c r="K4658" i="1" s="1"/>
  <c r="C4659" i="1"/>
  <c r="J4659" i="1" s="1" a="1"/>
  <c r="J4659" i="1" s="1"/>
  <c r="H4658" i="1"/>
  <c r="O4658" i="1" a="1"/>
  <c r="O4658" i="1" s="1"/>
  <c r="L4659" i="1" l="1" a="1"/>
  <c r="L4659" i="1" s="1"/>
  <c r="N4659" i="1" a="1"/>
  <c r="N4659" i="1" s="1"/>
  <c r="I4659" i="1" a="1"/>
  <c r="I4659" i="1" s="1"/>
  <c r="K4659" i="1" a="1"/>
  <c r="K4659" i="1" s="1"/>
  <c r="C4660" i="1"/>
  <c r="J4660" i="1" s="1" a="1"/>
  <c r="J4660" i="1" s="1"/>
  <c r="H4659" i="1"/>
  <c r="O4659" i="1" a="1"/>
  <c r="O4659" i="1" s="1"/>
  <c r="L4660" i="1" l="1" a="1"/>
  <c r="L4660" i="1" s="1"/>
  <c r="N4660" i="1" a="1"/>
  <c r="N4660" i="1" s="1"/>
  <c r="I4660" i="1" a="1"/>
  <c r="I4660" i="1" s="1"/>
  <c r="K4660" i="1" a="1"/>
  <c r="K4660" i="1" s="1"/>
  <c r="C4661" i="1"/>
  <c r="J4661" i="1" s="1" a="1"/>
  <c r="J4661" i="1" s="1"/>
  <c r="H4660" i="1"/>
  <c r="O4660" i="1" a="1"/>
  <c r="O4660" i="1" s="1"/>
  <c r="L4661" i="1" l="1" a="1"/>
  <c r="L4661" i="1" s="1"/>
  <c r="N4661" i="1" a="1"/>
  <c r="N4661" i="1" s="1"/>
  <c r="I4661" i="1" a="1"/>
  <c r="I4661" i="1" s="1"/>
  <c r="K4661" i="1" a="1"/>
  <c r="K4661" i="1" s="1"/>
  <c r="C4662" i="1"/>
  <c r="J4662" i="1" s="1" a="1"/>
  <c r="J4662" i="1" s="1"/>
  <c r="H4661" i="1"/>
  <c r="O4661" i="1" a="1"/>
  <c r="O4661" i="1" s="1"/>
  <c r="L4662" i="1" l="1" a="1"/>
  <c r="L4662" i="1" s="1"/>
  <c r="N4662" i="1" a="1"/>
  <c r="N4662" i="1" s="1"/>
  <c r="I4662" i="1" a="1"/>
  <c r="I4662" i="1" s="1"/>
  <c r="K4662" i="1" a="1"/>
  <c r="K4662" i="1" s="1"/>
  <c r="C4663" i="1"/>
  <c r="J4663" i="1" s="1" a="1"/>
  <c r="J4663" i="1" s="1"/>
  <c r="H4662" i="1"/>
  <c r="O4662" i="1" a="1"/>
  <c r="O4662" i="1" s="1"/>
  <c r="L4663" i="1" l="1" a="1"/>
  <c r="L4663" i="1" s="1"/>
  <c r="N4663" i="1" a="1"/>
  <c r="N4663" i="1" s="1"/>
  <c r="I4663" i="1" a="1"/>
  <c r="I4663" i="1" s="1"/>
  <c r="K4663" i="1" a="1"/>
  <c r="K4663" i="1" s="1"/>
  <c r="C4664" i="1"/>
  <c r="J4664" i="1" s="1" a="1"/>
  <c r="J4664" i="1" s="1"/>
  <c r="H4663" i="1"/>
  <c r="O4663" i="1" a="1"/>
  <c r="O4663" i="1" s="1"/>
  <c r="L4664" i="1" l="1" a="1"/>
  <c r="L4664" i="1" s="1"/>
  <c r="N4664" i="1" a="1"/>
  <c r="N4664" i="1" s="1"/>
  <c r="I4664" i="1" a="1"/>
  <c r="I4664" i="1" s="1"/>
  <c r="K4664" i="1" a="1"/>
  <c r="K4664" i="1" s="1"/>
  <c r="C4665" i="1"/>
  <c r="J4665" i="1" s="1" a="1"/>
  <c r="J4665" i="1" s="1"/>
  <c r="H4664" i="1"/>
  <c r="O4664" i="1" a="1"/>
  <c r="O4664" i="1" s="1"/>
  <c r="L4665" i="1" l="1" a="1"/>
  <c r="L4665" i="1" s="1"/>
  <c r="N4665" i="1" a="1"/>
  <c r="N4665" i="1" s="1"/>
  <c r="I4665" i="1" a="1"/>
  <c r="I4665" i="1" s="1"/>
  <c r="K4665" i="1" a="1"/>
  <c r="K4665" i="1" s="1"/>
  <c r="C4666" i="1"/>
  <c r="J4666" i="1" s="1" a="1"/>
  <c r="J4666" i="1" s="1"/>
  <c r="H4665" i="1"/>
  <c r="O4665" i="1" a="1"/>
  <c r="O4665" i="1" s="1"/>
  <c r="L4666" i="1" l="1" a="1"/>
  <c r="L4666" i="1" s="1"/>
  <c r="N4666" i="1" a="1"/>
  <c r="N4666" i="1" s="1"/>
  <c r="I4666" i="1" a="1"/>
  <c r="I4666" i="1" s="1"/>
  <c r="K4666" i="1" a="1"/>
  <c r="K4666" i="1" s="1"/>
  <c r="C4667" i="1"/>
  <c r="J4667" i="1" s="1" a="1"/>
  <c r="J4667" i="1" s="1"/>
  <c r="H4666" i="1"/>
  <c r="O4666" i="1" a="1"/>
  <c r="O4666" i="1" s="1"/>
  <c r="L4667" i="1" l="1" a="1"/>
  <c r="L4667" i="1" s="1"/>
  <c r="N4667" i="1" a="1"/>
  <c r="N4667" i="1" s="1"/>
  <c r="I4667" i="1" a="1"/>
  <c r="I4667" i="1" s="1"/>
  <c r="K4667" i="1" a="1"/>
  <c r="K4667" i="1" s="1"/>
  <c r="C4668" i="1"/>
  <c r="J4668" i="1" s="1" a="1"/>
  <c r="J4668" i="1" s="1"/>
  <c r="H4667" i="1"/>
  <c r="O4667" i="1" a="1"/>
  <c r="O4667" i="1" s="1"/>
  <c r="L4668" i="1" l="1" a="1"/>
  <c r="L4668" i="1" s="1"/>
  <c r="N4668" i="1" a="1"/>
  <c r="N4668" i="1" s="1"/>
  <c r="I4668" i="1" a="1"/>
  <c r="I4668" i="1" s="1"/>
  <c r="K4668" i="1" a="1"/>
  <c r="K4668" i="1" s="1"/>
  <c r="C4669" i="1"/>
  <c r="J4669" i="1" s="1" a="1"/>
  <c r="J4669" i="1" s="1"/>
  <c r="H4668" i="1"/>
  <c r="O4668" i="1" a="1"/>
  <c r="O4668" i="1" s="1"/>
  <c r="L4669" i="1" l="1" a="1"/>
  <c r="L4669" i="1" s="1"/>
  <c r="N4669" i="1" a="1"/>
  <c r="N4669" i="1" s="1"/>
  <c r="I4669" i="1" a="1"/>
  <c r="I4669" i="1" s="1"/>
  <c r="K4669" i="1" a="1"/>
  <c r="K4669" i="1" s="1"/>
  <c r="C4670" i="1"/>
  <c r="J4670" i="1" s="1" a="1"/>
  <c r="J4670" i="1" s="1"/>
  <c r="H4669" i="1"/>
  <c r="O4669" i="1" a="1"/>
  <c r="O4669" i="1" s="1"/>
  <c r="L4670" i="1" l="1" a="1"/>
  <c r="L4670" i="1" s="1"/>
  <c r="N4670" i="1" a="1"/>
  <c r="N4670" i="1" s="1"/>
  <c r="I4670" i="1" a="1"/>
  <c r="I4670" i="1" s="1"/>
  <c r="K4670" i="1" a="1"/>
  <c r="K4670" i="1" s="1"/>
  <c r="C4671" i="1"/>
  <c r="J4671" i="1" s="1" a="1"/>
  <c r="J4671" i="1" s="1"/>
  <c r="H4670" i="1"/>
  <c r="O4670" i="1" a="1"/>
  <c r="O4670" i="1" s="1"/>
  <c r="L4671" i="1" l="1" a="1"/>
  <c r="L4671" i="1" s="1"/>
  <c r="N4671" i="1" a="1"/>
  <c r="N4671" i="1" s="1"/>
  <c r="I4671" i="1" a="1"/>
  <c r="I4671" i="1" s="1"/>
  <c r="K4671" i="1" a="1"/>
  <c r="K4671" i="1" s="1"/>
  <c r="C4672" i="1"/>
  <c r="J4672" i="1" s="1" a="1"/>
  <c r="J4672" i="1" s="1"/>
  <c r="H4671" i="1"/>
  <c r="O4671" i="1" a="1"/>
  <c r="O4671" i="1" s="1"/>
  <c r="L4672" i="1" l="1" a="1"/>
  <c r="L4672" i="1" s="1"/>
  <c r="N4672" i="1" a="1"/>
  <c r="N4672" i="1" s="1"/>
  <c r="I4672" i="1" a="1"/>
  <c r="I4672" i="1" s="1"/>
  <c r="K4672" i="1" a="1"/>
  <c r="K4672" i="1" s="1"/>
  <c r="C4673" i="1"/>
  <c r="J4673" i="1" s="1" a="1"/>
  <c r="J4673" i="1" s="1"/>
  <c r="H4672" i="1"/>
  <c r="O4672" i="1" a="1"/>
  <c r="O4672" i="1" s="1"/>
  <c r="L4673" i="1" l="1" a="1"/>
  <c r="L4673" i="1" s="1"/>
  <c r="N4673" i="1" a="1"/>
  <c r="N4673" i="1" s="1"/>
  <c r="I4673" i="1" a="1"/>
  <c r="I4673" i="1" s="1"/>
  <c r="K4673" i="1" a="1"/>
  <c r="K4673" i="1" s="1"/>
  <c r="C4674" i="1"/>
  <c r="J4674" i="1" s="1" a="1"/>
  <c r="J4674" i="1" s="1"/>
  <c r="H4673" i="1"/>
  <c r="O4673" i="1" a="1"/>
  <c r="O4673" i="1" s="1"/>
  <c r="L4674" i="1" l="1" a="1"/>
  <c r="L4674" i="1" s="1"/>
  <c r="N4674" i="1" a="1"/>
  <c r="N4674" i="1" s="1"/>
  <c r="I4674" i="1" a="1"/>
  <c r="I4674" i="1" s="1"/>
  <c r="K4674" i="1" a="1"/>
  <c r="K4674" i="1" s="1"/>
  <c r="H4674" i="1"/>
  <c r="O4674" i="1" a="1"/>
  <c r="O467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<sst xmlns="http://schemas.openxmlformats.org/spreadsheetml/2006/main" count="41069" uniqueCount="24">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</sst>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" fontId="3" fillId="2" borderId="0" xfId="0" applyNumberFormat="1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Q4674"/>
  <sheetViews>
    <sheetView zoomScaleNormal="100" workbookViewId="0">
      <pane ySplit="1" topLeftCell="A4649" activePane="bottomLeft" state="frozen"/>
      <selection pane="bottomLeft" activeCell="D4650" sqref="D4650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7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</row>
    <row r="2" spans="1:17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7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7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7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7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7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7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7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7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7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7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7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7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7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7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19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19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19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19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19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19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19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19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19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19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19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19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19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19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19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19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19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19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19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19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19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19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19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19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19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19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19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19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19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19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19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19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19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19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19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19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19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19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19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19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19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19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19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19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19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19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19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19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19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19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19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19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19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19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19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19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19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19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19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19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19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19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19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19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19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19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19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19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19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19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19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19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19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19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19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19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19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19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19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19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19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19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19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19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19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19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19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19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19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19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19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19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19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19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19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4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4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4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4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4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4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4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4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4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4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4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4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4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4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4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4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4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4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4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4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4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4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4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4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4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4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4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4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4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4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4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4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4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4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4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4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4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4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4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4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4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4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4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4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4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4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4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4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4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4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4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4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4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4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4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4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C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62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C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C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:C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:C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C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:C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:C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C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C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C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C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C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C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:C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C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:C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C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C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C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C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C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C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C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C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C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C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:C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C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C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:C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C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C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C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tr">
        <f t="shared" ref="A4650:C4650" si="1128">B4649</f>
        <v>Northern Cardinal</v>
      </c>
      <c r="C4650" s="6">
        <v>0.29166666666666669</v>
      </c>
      <c r="D4650" s="5"/>
      <c r="E4650" s="5"/>
      <c r="F4650" s="5" t="s">
        <v>8</v>
      </c>
      <c r="G4650" s="15" t="s">
        <v>9</v>
      </c>
      <c r="H4650" s="24">
        <f t="shared" si="1077"/>
        <v>796.99999999953434</v>
      </c>
      <c r="I4650" s="24" cm="1">
        <f t="array" ref="I4650">IFERROR(IF($B4650=I$1, ($A4650+$C4650) - MAX(IF($B$2:$B4649=$B4650, $A$2:$A4649+$C$2:$C4649)), "")*24*60, "")</f>
        <v>796.99999999953434</v>
      </c>
      <c r="J4650" s="24" t="str" cm="1">
        <f t="array" ref="J4650">IFERROR(IF($B4650=J$1, ($A4650+$C4650) - MAX(IF($B$2:$B4649=$B4650, $A$2:$A4649+$C$2:$C4649)), "")*24*60, "")</f>
        <v/>
      </c>
      <c r="K4650" s="24" t="str" cm="1">
        <f t="array" ref="K4650">IFERROR(IF($B4650=K$1, ($A4650+$C4650) - MAX(IF($B$2:$B4649=$B4650, $A$2:$A4649+$C$2:$C4649)), "")*24*60, "")</f>
        <v/>
      </c>
      <c r="L4650" s="24" t="str" cm="1">
        <f t="array" ref="L4650">IFERROR(IF($B4650=L$1, ($A4650+$C4650) - MAX(IF($B$2:$B4649=$B4650, $A$2:$A4649+$C$2:$C4649)), "")*24*60, "")</f>
        <v/>
      </c>
      <c r="M4650" s="24" t="str" cm="1">
        <f t="array" ref="M4650">IFERROR(IF($B4650=M$1, ($A4650+$C4650) - MAX(IF($B$2:$B4649=$B4650, $A$2:$A4649+$C$2:$C4649)), "")*24*60, "")</f>
        <v/>
      </c>
      <c r="N4650" s="24" t="str" cm="1">
        <f t="array" ref="N4650">IFERROR(IF($B4650=N$1, ($A4650+$C4650) - MAX(IF($B$2:$B4649=$B4650, $A$2:$A4649+$C$2:$C4649)), "")*24*60, "")</f>
        <v/>
      </c>
      <c r="O4650" s="24" t="str" cm="1">
        <f t="array" ref="O4650">IFERROR(IF($B4650=O$1, ($A4650+$C4650) - MAX(IF($B$2:$B4649=$B4650, $A$2:$A4649+$C$2:$C4649)), "")*24*60, "")</f>
        <v/>
      </c>
      <c r="P4650" s="24" t="str" cm="1">
        <f t="array" ref="P4650">IFERROR(IF($B4650=P$1, ($A4650+$C4650) - MAX(IF($B$2:$B4649=$B4650, $A$2:$A4649+$C$2:$C4649)), "")*24*60, "")</f>
        <v/>
      </c>
      <c r="Q4650" s="24" t="str" cm="1">
        <f t="array" ref="Q4650">IFERROR(IF($B4650=Q$1, ($A4650+$C4650) - MAX(IF($B$2:$B4649=$B4650, $A$2:$A4649+$C$2:$C4649)), "")*24*60, "")</f>
        <v/>
      </c>
    </row>
    <row r="4651" spans="1:17" x14ac:dyDescent="0.2">
      <c r="A4651" s="12">
        <f t="shared" ref="A4651:C4651" si="1129">A4650</f>
        <v>45979</v>
      </c>
      <c r="B4651" s="5" t="str">
        <f t="shared" si="1129"/>
        <v>Northern Cardinal</v>
      </c>
      <c r="C4651" s="6">
        <f t="shared" si="1129"/>
        <v>0.29166666666666669</v>
      </c>
      <c r="D4651" s="5"/>
      <c r="E4651" s="5"/>
      <c r="F4651" s="5" t="s">
        <v>8</v>
      </c>
      <c r="G4651" s="15" t="s">
        <v>9</v>
      </c>
      <c r="H4651" s="24">
        <f t="shared" si="1077"/>
        <v>0</v>
      </c>
      <c r="I4651" s="24" cm="1">
        <f t="array" ref="I4651">IFERROR(IF($B4651=I$1, ($A4651+$C4651) - MAX(IF($B$2:$B4650=$B4651, $A$2:$A4650+$C$2:$C4650)), "")*24*60, "")</f>
        <v>0</v>
      </c>
      <c r="J4651" s="24" t="str" cm="1">
        <f t="array" ref="J4651">IFERROR(IF($B4651=J$1, ($A4651+$C4651) - MAX(IF($B$2:$B4650=$B4651, $A$2:$A4650+$C$2:$C4650)), "")*24*60, "")</f>
        <v/>
      </c>
      <c r="K4651" s="24" t="str" cm="1">
        <f t="array" ref="K4651">IFERROR(IF($B4651=K$1, ($A4651+$C4651) - MAX(IF($B$2:$B4650=$B4651, $A$2:$A4650+$C$2:$C4650)), "")*24*60, "")</f>
        <v/>
      </c>
      <c r="L4651" s="24" t="str" cm="1">
        <f t="array" ref="L4651">IFERROR(IF($B4651=L$1, ($A4651+$C4651) - MAX(IF($B$2:$B4650=$B4651, $A$2:$A4650+$C$2:$C4650)), "")*24*60, "")</f>
        <v/>
      </c>
      <c r="M4651" s="24" t="str" cm="1">
        <f t="array" ref="M4651">IFERROR(IF($B4651=M$1, ($A4651+$C4651) - MAX(IF($B$2:$B4650=$B4651, $A$2:$A4650+$C$2:$C4650)), "")*24*60, "")</f>
        <v/>
      </c>
      <c r="N4651" s="24" t="str" cm="1">
        <f t="array" ref="N4651">IFERROR(IF($B4651=N$1, ($A4651+$C4651) - MAX(IF($B$2:$B4650=$B4651, $A$2:$A4650+$C$2:$C4650)), "")*24*60, "")</f>
        <v/>
      </c>
      <c r="O4651" s="24" t="str" cm="1">
        <f t="array" ref="O4651">IFERROR(IF($B4651=O$1, ($A4651+$C4651) - MAX(IF($B$2:$B4650=$B4651, $A$2:$A4650+$C$2:$C4650)), "")*24*60, "")</f>
        <v/>
      </c>
      <c r="P4651" s="24" t="str" cm="1">
        <f t="array" ref="P4651">IFERROR(IF($B4651=P$1, ($A4651+$C4651) - MAX(IF($B$2:$B4650=$B4651, $A$2:$A4650+$C$2:$C4650)), "")*24*60, "")</f>
        <v/>
      </c>
      <c r="Q4651" s="24" t="str" cm="1">
        <f t="array" ref="Q4651">IFERROR(IF($B4651=Q$1, ($A4651+$C4651) - MAX(IF($B$2:$B4650=$B4651, $A$2:$A4650+$C$2:$C4650)), "")*24*60, "")</f>
        <v/>
      </c>
    </row>
    <row r="4652" spans="1:17" x14ac:dyDescent="0.2">
      <c r="A4652" s="12">
        <f t="shared" ref="A4652:C4652" si="1130">A4651</f>
        <v>45979</v>
      </c>
      <c r="B4652" s="5" t="str">
        <f t="shared" si="1130"/>
        <v>Northern Cardinal</v>
      </c>
      <c r="C4652" s="6">
        <f t="shared" si="1130"/>
        <v>0.29166666666666669</v>
      </c>
      <c r="D4652" s="5"/>
      <c r="E4652" s="5"/>
      <c r="F4652" s="5" t="s">
        <v>8</v>
      </c>
      <c r="G4652" s="15" t="s">
        <v>9</v>
      </c>
      <c r="H4652" s="24">
        <f t="shared" si="1077"/>
        <v>0</v>
      </c>
      <c r="I4652" s="24" cm="1">
        <f t="array" ref="I4652">IFERROR(IF($B4652=I$1, ($A4652+$C4652) - MAX(IF($B$2:$B4651=$B4652, $A$2:$A4651+$C$2:$C4651)), "")*24*60, "")</f>
        <v>0</v>
      </c>
      <c r="J4652" s="24" t="str" cm="1">
        <f t="array" ref="J4652">IFERROR(IF($B4652=J$1, ($A4652+$C4652) - MAX(IF($B$2:$B4651=$B4652, $A$2:$A4651+$C$2:$C4651)), "")*24*60, "")</f>
        <v/>
      </c>
      <c r="K4652" s="24" t="str" cm="1">
        <f t="array" ref="K4652">IFERROR(IF($B4652=K$1, ($A4652+$C4652) - MAX(IF($B$2:$B4651=$B4652, $A$2:$A4651+$C$2:$C4651)), "")*24*60, "")</f>
        <v/>
      </c>
      <c r="L4652" s="24" t="str" cm="1">
        <f t="array" ref="L4652">IFERROR(IF($B4652=L$1, ($A4652+$C4652) - MAX(IF($B$2:$B4651=$B4652, $A$2:$A4651+$C$2:$C4651)), "")*24*60, "")</f>
        <v/>
      </c>
      <c r="M4652" s="24" t="str" cm="1">
        <f t="array" ref="M4652">IFERROR(IF($B4652=M$1, ($A4652+$C4652) - MAX(IF($B$2:$B4651=$B4652, $A$2:$A4651+$C$2:$C4651)), "")*24*60, "")</f>
        <v/>
      </c>
      <c r="N4652" s="24" t="str" cm="1">
        <f t="array" ref="N4652">IFERROR(IF($B4652=N$1, ($A4652+$C4652) - MAX(IF($B$2:$B4651=$B4652, $A$2:$A4651+$C$2:$C4651)), "")*24*60, "")</f>
        <v/>
      </c>
      <c r="O4652" s="24" t="str" cm="1">
        <f t="array" ref="O4652">IFERROR(IF($B4652=O$1, ($A4652+$C4652) - MAX(IF($B$2:$B4651=$B4652, $A$2:$A4651+$C$2:$C4651)), "")*24*60, "")</f>
        <v/>
      </c>
      <c r="P4652" s="24" t="str" cm="1">
        <f t="array" ref="P4652">IFERROR(IF($B4652=P$1, ($A4652+$C4652) - MAX(IF($B$2:$B4651=$B4652, $A$2:$A4651+$C$2:$C4651)), "")*24*60, "")</f>
        <v/>
      </c>
      <c r="Q4652" s="24" t="str" cm="1">
        <f t="array" ref="Q4652">IFERROR(IF($B4652=Q$1, ($A4652+$C4652) - MAX(IF($B$2:$B4651=$B4652, $A$2:$A4651+$C$2:$C4651)), "")*24*60, "")</f>
        <v/>
      </c>
    </row>
    <row r="4653" spans="1:17" x14ac:dyDescent="0.2">
      <c r="A4653" s="12">
        <f t="shared" ref="A4653:C4653" si="1131">A4652</f>
        <v>45979</v>
      </c>
      <c r="B4653" s="5" t="str">
        <f t="shared" si="1131"/>
        <v>Northern Cardinal</v>
      </c>
      <c r="C4653" s="6">
        <f t="shared" si="1131"/>
        <v>0.29166666666666669</v>
      </c>
      <c r="D4653" s="5"/>
      <c r="E4653" s="5"/>
      <c r="F4653" s="5" t="s">
        <v>8</v>
      </c>
      <c r="G4653" s="15" t="s">
        <v>9</v>
      </c>
      <c r="H4653" s="24">
        <f t="shared" si="1077"/>
        <v>0</v>
      </c>
      <c r="I4653" s="24" cm="1">
        <f t="array" ref="I4653">IFERROR(IF($B4653=I$1, ($A4653+$C4653) - MAX(IF($B$2:$B4652=$B4653, $A$2:$A4652+$C$2:$C4652)), "")*24*60, "")</f>
        <v>0</v>
      </c>
      <c r="J4653" s="24" t="str" cm="1">
        <f t="array" ref="J4653">IFERROR(IF($B4653=J$1, ($A4653+$C4653) - MAX(IF($B$2:$B4652=$B4653, $A$2:$A4652+$C$2:$C4652)), "")*24*60, "")</f>
        <v/>
      </c>
      <c r="K4653" s="24" t="str" cm="1">
        <f t="array" ref="K4653">IFERROR(IF($B4653=K$1, ($A4653+$C4653) - MAX(IF($B$2:$B4652=$B4653, $A$2:$A4652+$C$2:$C4652)), "")*24*60, "")</f>
        <v/>
      </c>
      <c r="L4653" s="24" t="str" cm="1">
        <f t="array" ref="L4653">IFERROR(IF($B4653=L$1, ($A4653+$C4653) - MAX(IF($B$2:$B4652=$B4653, $A$2:$A4652+$C$2:$C4652)), "")*24*60, "")</f>
        <v/>
      </c>
      <c r="M4653" s="24" t="str" cm="1">
        <f t="array" ref="M4653">IFERROR(IF($B4653=M$1, ($A4653+$C4653) - MAX(IF($B$2:$B4652=$B4653, $A$2:$A4652+$C$2:$C4652)), "")*24*60, "")</f>
        <v/>
      </c>
      <c r="N4653" s="24" t="str" cm="1">
        <f t="array" ref="N4653">IFERROR(IF($B4653=N$1, ($A4653+$C4653) - MAX(IF($B$2:$B4652=$B4653, $A$2:$A4652+$C$2:$C4652)), "")*24*60, "")</f>
        <v/>
      </c>
      <c r="O4653" s="24" t="str" cm="1">
        <f t="array" ref="O4653">IFERROR(IF($B4653=O$1, ($A4653+$C4653) - MAX(IF($B$2:$B4652=$B4653, $A$2:$A4652+$C$2:$C4652)), "")*24*60, "")</f>
        <v/>
      </c>
      <c r="P4653" s="24" t="str" cm="1">
        <f t="array" ref="P4653">IFERROR(IF($B4653=P$1, ($A4653+$C4653) - MAX(IF($B$2:$B4652=$B4653, $A$2:$A4652+$C$2:$C4652)), "")*24*60, "")</f>
        <v/>
      </c>
      <c r="Q4653" s="24" t="str" cm="1">
        <f t="array" ref="Q4653">IFERROR(IF($B4653=Q$1, ($A4653+$C4653) - MAX(IF($B$2:$B4652=$B4653, $A$2:$A4652+$C$2:$C4652)), "")*24*60, "")</f>
        <v/>
      </c>
    </row>
    <row r="4654" spans="1:17" x14ac:dyDescent="0.2">
      <c r="A4654" s="12">
        <f t="shared" ref="A4654:C4654" si="1132">A4653</f>
        <v>45979</v>
      </c>
      <c r="B4654" s="5" t="str">
        <f t="shared" si="1132"/>
        <v>Northern Cardinal</v>
      </c>
      <c r="C4654" s="6">
        <f t="shared" si="1132"/>
        <v>0.29166666666666669</v>
      </c>
      <c r="D4654" s="5"/>
      <c r="E4654" s="5"/>
      <c r="F4654" s="5" t="s">
        <v>8</v>
      </c>
      <c r="G4654" s="15" t="s">
        <v>9</v>
      </c>
      <c r="H4654" s="24">
        <f t="shared" si="1077"/>
        <v>0</v>
      </c>
      <c r="I4654" s="24" cm="1">
        <f t="array" ref="I4654">IFERROR(IF($B4654=I$1, ($A4654+$C4654) - MAX(IF($B$2:$B4653=$B4654, $A$2:$A4653+$C$2:$C4653)), "")*24*60, "")</f>
        <v>0</v>
      </c>
      <c r="J4654" s="24" t="str" cm="1">
        <f t="array" ref="J4654">IFERROR(IF($B4654=J$1, ($A4654+$C4654) - MAX(IF($B$2:$B4653=$B4654, $A$2:$A4653+$C$2:$C4653)), "")*24*60, "")</f>
        <v/>
      </c>
      <c r="K4654" s="24" t="str" cm="1">
        <f t="array" ref="K4654">IFERROR(IF($B4654=K$1, ($A4654+$C4654) - MAX(IF($B$2:$B4653=$B4654, $A$2:$A4653+$C$2:$C4653)), "")*24*60, "")</f>
        <v/>
      </c>
      <c r="L4654" s="24" t="str" cm="1">
        <f t="array" ref="L4654">IFERROR(IF($B4654=L$1, ($A4654+$C4654) - MAX(IF($B$2:$B4653=$B4654, $A$2:$A4653+$C$2:$C4653)), "")*24*60, "")</f>
        <v/>
      </c>
      <c r="M4654" s="24" t="str" cm="1">
        <f t="array" ref="M4654">IFERROR(IF($B4654=M$1, ($A4654+$C4654) - MAX(IF($B$2:$B4653=$B4654, $A$2:$A4653+$C$2:$C4653)), "")*24*60, "")</f>
        <v/>
      </c>
      <c r="N4654" s="24" t="str" cm="1">
        <f t="array" ref="N4654">IFERROR(IF($B4654=N$1, ($A4654+$C4654) - MAX(IF($B$2:$B4653=$B4654, $A$2:$A4653+$C$2:$C4653)), "")*24*60, "")</f>
        <v/>
      </c>
      <c r="O4654" s="24" t="str" cm="1">
        <f t="array" ref="O4654">IFERROR(IF($B4654=O$1, ($A4654+$C4654) - MAX(IF($B$2:$B4653=$B4654, $A$2:$A4653+$C$2:$C4653)), "")*24*60, "")</f>
        <v/>
      </c>
      <c r="P4654" s="24" t="str" cm="1">
        <f t="array" ref="P4654">IFERROR(IF($B4654=P$1, ($A4654+$C4654) - MAX(IF($B$2:$B4653=$B4654, $A$2:$A4653+$C$2:$C4653)), "")*24*60, "")</f>
        <v/>
      </c>
      <c r="Q4654" s="24" t="str" cm="1">
        <f t="array" ref="Q4654">IFERROR(IF($B4654=Q$1, ($A4654+$C4654) - MAX(IF($B$2:$B4653=$B4654, $A$2:$A4653+$C$2:$C4653)), "")*24*60, "")</f>
        <v/>
      </c>
    </row>
    <row r="4655" spans="1:17" x14ac:dyDescent="0.2">
      <c r="A4655" s="12">
        <f t="shared" ref="A4655:C4655" si="1133">A4654</f>
        <v>45979</v>
      </c>
      <c r="B4655" s="5" t="str">
        <f t="shared" si="1133"/>
        <v>Northern Cardinal</v>
      </c>
      <c r="C4655" s="6">
        <f t="shared" si="1133"/>
        <v>0.29166666666666669</v>
      </c>
      <c r="D4655" s="5"/>
      <c r="E4655" s="5"/>
      <c r="F4655" s="5" t="s">
        <v>8</v>
      </c>
      <c r="G4655" s="15" t="s">
        <v>9</v>
      </c>
      <c r="H4655" s="24">
        <f t="shared" si="1077"/>
        <v>0</v>
      </c>
      <c r="I4655" s="24" cm="1">
        <f t="array" ref="I4655">IFERROR(IF($B4655=I$1, ($A4655+$C4655) - MAX(IF($B$2:$B4654=$B4655, $A$2:$A4654+$C$2:$C4654)), "")*24*60, "")</f>
        <v>0</v>
      </c>
      <c r="J4655" s="24" t="str" cm="1">
        <f t="array" ref="J4655">IFERROR(IF($B4655=J$1, ($A4655+$C4655) - MAX(IF($B$2:$B4654=$B4655, $A$2:$A4654+$C$2:$C4654)), "")*24*60, "")</f>
        <v/>
      </c>
      <c r="K4655" s="24" t="str" cm="1">
        <f t="array" ref="K4655">IFERROR(IF($B4655=K$1, ($A4655+$C4655) - MAX(IF($B$2:$B4654=$B4655, $A$2:$A4654+$C$2:$C4654)), "")*24*60, "")</f>
        <v/>
      </c>
      <c r="L4655" s="24" t="str" cm="1">
        <f t="array" ref="L4655">IFERROR(IF($B4655=L$1, ($A4655+$C4655) - MAX(IF($B$2:$B4654=$B4655, $A$2:$A4654+$C$2:$C4654)), "")*24*60, "")</f>
        <v/>
      </c>
      <c r="M4655" s="24" t="str" cm="1">
        <f t="array" ref="M4655">IFERROR(IF($B4655=M$1, ($A4655+$C4655) - MAX(IF($B$2:$B4654=$B4655, $A$2:$A4654+$C$2:$C4654)), "")*24*60, "")</f>
        <v/>
      </c>
      <c r="N4655" s="24" t="str" cm="1">
        <f t="array" ref="N4655">IFERROR(IF($B4655=N$1, ($A4655+$C4655) - MAX(IF($B$2:$B4654=$B4655, $A$2:$A4654+$C$2:$C4654)), "")*24*60, "")</f>
        <v/>
      </c>
      <c r="O4655" s="24" t="str" cm="1">
        <f t="array" ref="O4655">IFERROR(IF($B4655=O$1, ($A4655+$C4655) - MAX(IF($B$2:$B4654=$B4655, $A$2:$A4654+$C$2:$C4654)), "")*24*60, "")</f>
        <v/>
      </c>
      <c r="P4655" s="24" t="str" cm="1">
        <f t="array" ref="P4655">IFERROR(IF($B4655=P$1, ($A4655+$C4655) - MAX(IF($B$2:$B4654=$B4655, $A$2:$A4654+$C$2:$C4654)), "")*24*60, "")</f>
        <v/>
      </c>
      <c r="Q4655" s="24" t="str" cm="1">
        <f t="array" ref="Q4655">IFERROR(IF($B4655=Q$1, ($A4655+$C4655) - MAX(IF($B$2:$B4654=$B4655, $A$2:$A4654+$C$2:$C4654)), "")*24*60, "")</f>
        <v/>
      </c>
    </row>
    <row r="4656" spans="1:17" x14ac:dyDescent="0.2">
      <c r="A4656" s="12">
        <f t="shared" ref="A4656:C4656" si="1134">A4655</f>
        <v>45979</v>
      </c>
      <c r="B4656" s="5" t="str">
        <f t="shared" si="1134"/>
        <v>Northern Cardinal</v>
      </c>
      <c r="C4656" s="6">
        <f t="shared" si="1134"/>
        <v>0.29166666666666669</v>
      </c>
      <c r="D4656" s="5"/>
      <c r="E4656" s="5"/>
      <c r="F4656" s="5" t="s">
        <v>8</v>
      </c>
      <c r="G4656" s="15" t="s">
        <v>9</v>
      </c>
      <c r="H4656" s="24">
        <f t="shared" si="1077"/>
        <v>0</v>
      </c>
      <c r="I4656" s="24" cm="1">
        <f t="array" ref="I4656">IFERROR(IF($B4656=I$1, ($A4656+$C4656) - MAX(IF($B$2:$B4655=$B4656, $A$2:$A4655+$C$2:$C4655)), "")*24*60, "")</f>
        <v>0</v>
      </c>
      <c r="J4656" s="24" t="str" cm="1">
        <f t="array" ref="J4656">IFERROR(IF($B4656=J$1, ($A4656+$C4656) - MAX(IF($B$2:$B4655=$B4656, $A$2:$A4655+$C$2:$C4655)), "")*24*60, "")</f>
        <v/>
      </c>
      <c r="K4656" s="24" t="str" cm="1">
        <f t="array" ref="K4656">IFERROR(IF($B4656=K$1, ($A4656+$C4656) - MAX(IF($B$2:$B4655=$B4656, $A$2:$A4655+$C$2:$C4655)), "")*24*60, "")</f>
        <v/>
      </c>
      <c r="L4656" s="24" t="str" cm="1">
        <f t="array" ref="L4656">IFERROR(IF($B4656=L$1, ($A4656+$C4656) - MAX(IF($B$2:$B4655=$B4656, $A$2:$A4655+$C$2:$C4655)), "")*24*60, "")</f>
        <v/>
      </c>
      <c r="M4656" s="24" t="str" cm="1">
        <f t="array" ref="M4656">IFERROR(IF($B4656=M$1, ($A4656+$C4656) - MAX(IF($B$2:$B4655=$B4656, $A$2:$A4655+$C$2:$C4655)), "")*24*60, "")</f>
        <v/>
      </c>
      <c r="N4656" s="24" t="str" cm="1">
        <f t="array" ref="N4656">IFERROR(IF($B4656=N$1, ($A4656+$C4656) - MAX(IF($B$2:$B4655=$B4656, $A$2:$A4655+$C$2:$C4655)), "")*24*60, "")</f>
        <v/>
      </c>
      <c r="O4656" s="24" t="str" cm="1">
        <f t="array" ref="O4656">IFERROR(IF($B4656=O$1, ($A4656+$C4656) - MAX(IF($B$2:$B4655=$B4656, $A$2:$A4655+$C$2:$C4655)), "")*24*60, "")</f>
        <v/>
      </c>
      <c r="P4656" s="24" t="str" cm="1">
        <f t="array" ref="P4656">IFERROR(IF($B4656=P$1, ($A4656+$C4656) - MAX(IF($B$2:$B4655=$B4656, $A$2:$A4655+$C$2:$C4655)), "")*24*60, "")</f>
        <v/>
      </c>
      <c r="Q4656" s="24" t="str" cm="1">
        <f t="array" ref="Q4656">IFERROR(IF($B4656=Q$1, ($A4656+$C4656) - MAX(IF($B$2:$B4655=$B4656, $A$2:$A4655+$C$2:$C4655)), "")*24*60, "")</f>
        <v/>
      </c>
    </row>
    <row r="4657" spans="1:17" x14ac:dyDescent="0.2">
      <c r="A4657" s="12">
        <f t="shared" ref="A4657:C4657" si="1135">A4656</f>
        <v>45979</v>
      </c>
      <c r="B4657" s="5" t="str">
        <f t="shared" si="1135"/>
        <v>Northern Cardinal</v>
      </c>
      <c r="C4657" s="6">
        <f t="shared" si="1135"/>
        <v>0.29166666666666669</v>
      </c>
      <c r="D4657" s="5"/>
      <c r="E4657" s="5"/>
      <c r="F4657" s="5" t="s">
        <v>8</v>
      </c>
      <c r="G4657" s="15" t="s">
        <v>9</v>
      </c>
      <c r="H4657" s="24">
        <f t="shared" si="1077"/>
        <v>0</v>
      </c>
      <c r="I4657" s="24" cm="1">
        <f t="array" ref="I4657">IFERROR(IF($B4657=I$1, ($A4657+$C4657) - MAX(IF($B$2:$B4656=$B4657, $A$2:$A4656+$C$2:$C4656)), "")*24*60, "")</f>
        <v>0</v>
      </c>
      <c r="J4657" s="24" t="str" cm="1">
        <f t="array" ref="J4657">IFERROR(IF($B4657=J$1, ($A4657+$C4657) - MAX(IF($B$2:$B4656=$B4657, $A$2:$A4656+$C$2:$C4656)), "")*24*60, "")</f>
        <v/>
      </c>
      <c r="K4657" s="24" t="str" cm="1">
        <f t="array" ref="K4657">IFERROR(IF($B4657=K$1, ($A4657+$C4657) - MAX(IF($B$2:$B4656=$B4657, $A$2:$A4656+$C$2:$C4656)), "")*24*60, "")</f>
        <v/>
      </c>
      <c r="L4657" s="24" t="str" cm="1">
        <f t="array" ref="L4657">IFERROR(IF($B4657=L$1, ($A4657+$C4657) - MAX(IF($B$2:$B4656=$B4657, $A$2:$A4656+$C$2:$C4656)), "")*24*60, "")</f>
        <v/>
      </c>
      <c r="M4657" s="24" t="str" cm="1">
        <f t="array" ref="M4657">IFERROR(IF($B4657=M$1, ($A4657+$C4657) - MAX(IF($B$2:$B4656=$B4657, $A$2:$A4656+$C$2:$C4656)), "")*24*60, "")</f>
        <v/>
      </c>
      <c r="N4657" s="24" t="str" cm="1">
        <f t="array" ref="N4657">IFERROR(IF($B4657=N$1, ($A4657+$C4657) - MAX(IF($B$2:$B4656=$B4657, $A$2:$A4656+$C$2:$C4656)), "")*24*60, "")</f>
        <v/>
      </c>
      <c r="O4657" s="24" t="str" cm="1">
        <f t="array" ref="O4657">IFERROR(IF($B4657=O$1, ($A4657+$C4657) - MAX(IF($B$2:$B4656=$B4657, $A$2:$A4656+$C$2:$C4656)), "")*24*60, "")</f>
        <v/>
      </c>
      <c r="P4657" s="24" t="str" cm="1">
        <f t="array" ref="P4657">IFERROR(IF($B4657=P$1, ($A4657+$C4657) - MAX(IF($B$2:$B4656=$B4657, $A$2:$A4656+$C$2:$C4656)), "")*24*60, "")</f>
        <v/>
      </c>
      <c r="Q4657" s="24" t="str" cm="1">
        <f t="array" ref="Q4657">IFERROR(IF($B4657=Q$1, ($A4657+$C4657) - MAX(IF($B$2:$B4656=$B4657, $A$2:$A4656+$C$2:$C4656)), "")*24*60, "")</f>
        <v/>
      </c>
    </row>
    <row r="4658" spans="1:17" x14ac:dyDescent="0.2">
      <c r="A4658" s="12">
        <f t="shared" ref="A4658:C4658" si="1136">A4657</f>
        <v>45979</v>
      </c>
      <c r="B4658" s="5" t="str">
        <f t="shared" si="1136"/>
        <v>Northern Cardinal</v>
      </c>
      <c r="C4658" s="6">
        <f t="shared" si="1136"/>
        <v>0.29166666666666669</v>
      </c>
      <c r="D4658" s="5"/>
      <c r="E4658" s="5"/>
      <c r="F4658" s="5" t="s">
        <v>8</v>
      </c>
      <c r="G4658" s="15" t="s">
        <v>9</v>
      </c>
      <c r="H4658" s="24">
        <f t="shared" si="1077"/>
        <v>0</v>
      </c>
      <c r="I4658" s="24" cm="1">
        <f t="array" ref="I4658">IFERROR(IF($B4658=I$1, ($A4658+$C4658) - MAX(IF($B$2:$B4657=$B4658, $A$2:$A4657+$C$2:$C4657)), "")*24*60, "")</f>
        <v>0</v>
      </c>
      <c r="J4658" s="24" t="str" cm="1">
        <f t="array" ref="J4658">IFERROR(IF($B4658=J$1, ($A4658+$C4658) - MAX(IF($B$2:$B4657=$B4658, $A$2:$A4657+$C$2:$C4657)), "")*24*60, "")</f>
        <v/>
      </c>
      <c r="K4658" s="24" t="str" cm="1">
        <f t="array" ref="K4658">IFERROR(IF($B4658=K$1, ($A4658+$C4658) - MAX(IF($B$2:$B4657=$B4658, $A$2:$A4657+$C$2:$C4657)), "")*24*60, "")</f>
        <v/>
      </c>
      <c r="L4658" s="24" t="str" cm="1">
        <f t="array" ref="L4658">IFERROR(IF($B4658=L$1, ($A4658+$C4658) - MAX(IF($B$2:$B4657=$B4658, $A$2:$A4657+$C$2:$C4657)), "")*24*60, "")</f>
        <v/>
      </c>
      <c r="M4658" s="24" t="str" cm="1">
        <f t="array" ref="M4658">IFERROR(IF($B4658=M$1, ($A4658+$C4658) - MAX(IF($B$2:$B4657=$B4658, $A$2:$A4657+$C$2:$C4657)), "")*24*60, "")</f>
        <v/>
      </c>
      <c r="N4658" s="24" t="str" cm="1">
        <f t="array" ref="N4658">IFERROR(IF($B4658=N$1, ($A4658+$C4658) - MAX(IF($B$2:$B4657=$B4658, $A$2:$A4657+$C$2:$C4657)), "")*24*60, "")</f>
        <v/>
      </c>
      <c r="O4658" s="24" t="str" cm="1">
        <f t="array" ref="O4658">IFERROR(IF($B4658=O$1, ($A4658+$C4658) - MAX(IF($B$2:$B4657=$B4658, $A$2:$A4657+$C$2:$C4657)), "")*24*60, "")</f>
        <v/>
      </c>
      <c r="P4658" s="24" t="str" cm="1">
        <f t="array" ref="P4658">IFERROR(IF($B4658=P$1, ($A4658+$C4658) - MAX(IF($B$2:$B4657=$B4658, $A$2:$A4657+$C$2:$C4657)), "")*24*60, "")</f>
        <v/>
      </c>
      <c r="Q4658" s="24" t="str" cm="1">
        <f t="array" ref="Q4658">IFERROR(IF($B4658=Q$1, ($A4658+$C4658) - MAX(IF($B$2:$B4657=$B4658, $A$2:$A4657+$C$2:$C4657)), "")*24*60, "")</f>
        <v/>
      </c>
    </row>
    <row r="4659" spans="1:17" x14ac:dyDescent="0.2">
      <c r="A4659" s="12">
        <f t="shared" ref="A4659:C4659" si="1137">A4658</f>
        <v>45979</v>
      </c>
      <c r="B4659" s="5" t="str">
        <f t="shared" si="1137"/>
        <v>Northern Cardinal</v>
      </c>
      <c r="C4659" s="6">
        <f t="shared" si="1137"/>
        <v>0.29166666666666669</v>
      </c>
      <c r="D4659" s="5"/>
      <c r="E4659" s="5"/>
      <c r="F4659" s="5" t="s">
        <v>8</v>
      </c>
      <c r="G4659" s="15" t="s">
        <v>9</v>
      </c>
      <c r="H4659" s="24">
        <f t="shared" si="1077"/>
        <v>0</v>
      </c>
      <c r="I4659" s="24" cm="1">
        <f t="array" ref="I4659">IFERROR(IF($B4659=I$1, ($A4659+$C4659) - MAX(IF($B$2:$B4658=$B4659, $A$2:$A4658+$C$2:$C4658)), "")*24*60, "")</f>
        <v>0</v>
      </c>
      <c r="J4659" s="24" t="str" cm="1">
        <f t="array" ref="J4659">IFERROR(IF($B4659=J$1, ($A4659+$C4659) - MAX(IF($B$2:$B4658=$B4659, $A$2:$A4658+$C$2:$C4658)), "")*24*60, "")</f>
        <v/>
      </c>
      <c r="K4659" s="24" t="str" cm="1">
        <f t="array" ref="K4659">IFERROR(IF($B4659=K$1, ($A4659+$C4659) - MAX(IF($B$2:$B4658=$B4659, $A$2:$A4658+$C$2:$C4658)), "")*24*60, "")</f>
        <v/>
      </c>
      <c r="L4659" s="24" t="str" cm="1">
        <f t="array" ref="L4659">IFERROR(IF($B4659=L$1, ($A4659+$C4659) - MAX(IF($B$2:$B4658=$B4659, $A$2:$A4658+$C$2:$C4658)), "")*24*60, "")</f>
        <v/>
      </c>
      <c r="M4659" s="24" t="str" cm="1">
        <f t="array" ref="M4659">IFERROR(IF($B4659=M$1, ($A4659+$C4659) - MAX(IF($B$2:$B4658=$B4659, $A$2:$A4658+$C$2:$C4658)), "")*24*60, "")</f>
        <v/>
      </c>
      <c r="N4659" s="24" t="str" cm="1">
        <f t="array" ref="N4659">IFERROR(IF($B4659=N$1, ($A4659+$C4659) - MAX(IF($B$2:$B4658=$B4659, $A$2:$A4658+$C$2:$C4658)), "")*24*60, "")</f>
        <v/>
      </c>
      <c r="O4659" s="24" t="str" cm="1">
        <f t="array" ref="O4659">IFERROR(IF($B4659=O$1, ($A4659+$C4659) - MAX(IF($B$2:$B4658=$B4659, $A$2:$A4658+$C$2:$C4658)), "")*24*60, "")</f>
        <v/>
      </c>
      <c r="P4659" s="24" t="str" cm="1">
        <f t="array" ref="P4659">IFERROR(IF($B4659=P$1, ($A4659+$C4659) - MAX(IF($B$2:$B4658=$B4659, $A$2:$A4658+$C$2:$C4658)), "")*24*60, "")</f>
        <v/>
      </c>
      <c r="Q4659" s="24" t="str" cm="1">
        <f t="array" ref="Q4659">IFERROR(IF($B4659=Q$1, ($A4659+$C4659) - MAX(IF($B$2:$B4658=$B4659, $A$2:$A4658+$C$2:$C4658)), "")*24*60, "")</f>
        <v/>
      </c>
    </row>
    <row r="4660" spans="1:17" x14ac:dyDescent="0.2">
      <c r="A4660" s="12">
        <f t="shared" ref="A4660:C4660" si="1138">A4659</f>
        <v>45979</v>
      </c>
      <c r="B4660" s="5" t="str">
        <f t="shared" si="1138"/>
        <v>Northern Cardinal</v>
      </c>
      <c r="C4660" s="6">
        <f t="shared" si="1138"/>
        <v>0.29166666666666669</v>
      </c>
      <c r="D4660" s="5"/>
      <c r="E4660" s="5"/>
      <c r="F4660" s="5" t="s">
        <v>8</v>
      </c>
      <c r="G4660" s="15" t="s">
        <v>9</v>
      </c>
      <c r="H4660" s="24">
        <f t="shared" si="1077"/>
        <v>0</v>
      </c>
      <c r="I4660" s="24" cm="1">
        <f t="array" ref="I4660">IFERROR(IF($B4660=I$1, ($A4660+$C4660) - MAX(IF($B$2:$B4659=$B4660, $A$2:$A4659+$C$2:$C4659)), "")*24*60, "")</f>
        <v>0</v>
      </c>
      <c r="J4660" s="24" t="str" cm="1">
        <f t="array" ref="J4660">IFERROR(IF($B4660=J$1, ($A4660+$C4660) - MAX(IF($B$2:$B4659=$B4660, $A$2:$A4659+$C$2:$C4659)), "")*24*60, "")</f>
        <v/>
      </c>
      <c r="K4660" s="24" t="str" cm="1">
        <f t="array" ref="K4660">IFERROR(IF($B4660=K$1, ($A4660+$C4660) - MAX(IF($B$2:$B4659=$B4660, $A$2:$A4659+$C$2:$C4659)), "")*24*60, "")</f>
        <v/>
      </c>
      <c r="L4660" s="24" t="str" cm="1">
        <f t="array" ref="L4660">IFERROR(IF($B4660=L$1, ($A4660+$C4660) - MAX(IF($B$2:$B4659=$B4660, $A$2:$A4659+$C$2:$C4659)), "")*24*60, "")</f>
        <v/>
      </c>
      <c r="M4660" s="24" t="str" cm="1">
        <f t="array" ref="M4660">IFERROR(IF($B4660=M$1, ($A4660+$C4660) - MAX(IF($B$2:$B4659=$B4660, $A$2:$A4659+$C$2:$C4659)), "")*24*60, "")</f>
        <v/>
      </c>
      <c r="N4660" s="24" t="str" cm="1">
        <f t="array" ref="N4660">IFERROR(IF($B4660=N$1, ($A4660+$C4660) - MAX(IF($B$2:$B4659=$B4660, $A$2:$A4659+$C$2:$C4659)), "")*24*60, "")</f>
        <v/>
      </c>
      <c r="O4660" s="24" t="str" cm="1">
        <f t="array" ref="O4660">IFERROR(IF($B4660=O$1, ($A4660+$C4660) - MAX(IF($B$2:$B4659=$B4660, $A$2:$A4659+$C$2:$C4659)), "")*24*60, "")</f>
        <v/>
      </c>
      <c r="P4660" s="24" t="str" cm="1">
        <f t="array" ref="P4660">IFERROR(IF($B4660=P$1, ($A4660+$C4660) - MAX(IF($B$2:$B4659=$B4660, $A$2:$A4659+$C$2:$C4659)), "")*24*60, "")</f>
        <v/>
      </c>
      <c r="Q4660" s="24" t="str" cm="1">
        <f t="array" ref="Q4660">IFERROR(IF($B4660=Q$1, ($A4660+$C4660) - MAX(IF($B$2:$B4659=$B4660, $A$2:$A4659+$C$2:$C4659)), "")*24*60, "")</f>
        <v/>
      </c>
    </row>
    <row r="4661" spans="1:17" x14ac:dyDescent="0.2">
      <c r="A4661" s="12">
        <f t="shared" ref="A4661:C4661" si="1139">A4660</f>
        <v>45979</v>
      </c>
      <c r="B4661" s="5" t="str">
        <f t="shared" si="1139"/>
        <v>Northern Cardinal</v>
      </c>
      <c r="C4661" s="6">
        <f t="shared" si="1139"/>
        <v>0.29166666666666669</v>
      </c>
      <c r="D4661" s="5"/>
      <c r="E4661" s="5"/>
      <c r="F4661" s="5" t="s">
        <v>8</v>
      </c>
      <c r="G4661" s="15" t="s">
        <v>9</v>
      </c>
      <c r="H4661" s="24">
        <f t="shared" si="1077"/>
        <v>0</v>
      </c>
      <c r="I4661" s="24" cm="1">
        <f t="array" ref="I4661">IFERROR(IF($B4661=I$1, ($A4661+$C4661) - MAX(IF($B$2:$B4660=$B4661, $A$2:$A4660+$C$2:$C4660)), "")*24*60, "")</f>
        <v>0</v>
      </c>
      <c r="J4661" s="24" t="str" cm="1">
        <f t="array" ref="J4661">IFERROR(IF($B4661=J$1, ($A4661+$C4661) - MAX(IF($B$2:$B4660=$B4661, $A$2:$A4660+$C$2:$C4660)), "")*24*60, "")</f>
        <v/>
      </c>
      <c r="K4661" s="24" t="str" cm="1">
        <f t="array" ref="K4661">IFERROR(IF($B4661=K$1, ($A4661+$C4661) - MAX(IF($B$2:$B4660=$B4661, $A$2:$A4660+$C$2:$C4660)), "")*24*60, "")</f>
        <v/>
      </c>
      <c r="L4661" s="24" t="str" cm="1">
        <f t="array" ref="L4661">IFERROR(IF($B4661=L$1, ($A4661+$C4661) - MAX(IF($B$2:$B4660=$B4661, $A$2:$A4660+$C$2:$C4660)), "")*24*60, "")</f>
        <v/>
      </c>
      <c r="M4661" s="24" t="str" cm="1">
        <f t="array" ref="M4661">IFERROR(IF($B4661=M$1, ($A4661+$C4661) - MAX(IF($B$2:$B4660=$B4661, $A$2:$A4660+$C$2:$C4660)), "")*24*60, "")</f>
        <v/>
      </c>
      <c r="N4661" s="24" t="str" cm="1">
        <f t="array" ref="N4661">IFERROR(IF($B4661=N$1, ($A4661+$C4661) - MAX(IF($B$2:$B4660=$B4661, $A$2:$A4660+$C$2:$C4660)), "")*24*60, "")</f>
        <v/>
      </c>
      <c r="O4661" s="24" t="str" cm="1">
        <f t="array" ref="O4661">IFERROR(IF($B4661=O$1, ($A4661+$C4661) - MAX(IF($B$2:$B4660=$B4661, $A$2:$A4660+$C$2:$C4660)), "")*24*60, "")</f>
        <v/>
      </c>
      <c r="P4661" s="24" t="str" cm="1">
        <f t="array" ref="P4661">IFERROR(IF($B4661=P$1, ($A4661+$C4661) - MAX(IF($B$2:$B4660=$B4661, $A$2:$A4660+$C$2:$C4660)), "")*24*60, "")</f>
        <v/>
      </c>
      <c r="Q4661" s="24" t="str" cm="1">
        <f t="array" ref="Q4661">IFERROR(IF($B4661=Q$1, ($A4661+$C4661) - MAX(IF($B$2:$B4660=$B4661, $A$2:$A4660+$C$2:$C4660)), "")*24*60, "")</f>
        <v/>
      </c>
    </row>
    <row r="4662" spans="1:17" x14ac:dyDescent="0.2">
      <c r="A4662" s="12">
        <f t="shared" ref="A4662:C4662" si="1140">A4661</f>
        <v>45979</v>
      </c>
      <c r="B4662" s="5" t="str">
        <f t="shared" si="1140"/>
        <v>Northern Cardinal</v>
      </c>
      <c r="C4662" s="6">
        <f t="shared" si="1140"/>
        <v>0.29166666666666669</v>
      </c>
      <c r="D4662" s="5"/>
      <c r="E4662" s="5"/>
      <c r="F4662" s="5" t="s">
        <v>8</v>
      </c>
      <c r="G4662" s="15" t="s">
        <v>9</v>
      </c>
      <c r="H4662" s="24">
        <f t="shared" si="1077"/>
        <v>0</v>
      </c>
      <c r="I4662" s="24" cm="1">
        <f t="array" ref="I4662">IFERROR(IF($B4662=I$1, ($A4662+$C4662) - MAX(IF($B$2:$B4661=$B4662, $A$2:$A4661+$C$2:$C4661)), "")*24*60, "")</f>
        <v>0</v>
      </c>
      <c r="J4662" s="24" t="str" cm="1">
        <f t="array" ref="J4662">IFERROR(IF($B4662=J$1, ($A4662+$C4662) - MAX(IF($B$2:$B4661=$B4662, $A$2:$A4661+$C$2:$C4661)), "")*24*60, "")</f>
        <v/>
      </c>
      <c r="K4662" s="24" t="str" cm="1">
        <f t="array" ref="K4662">IFERROR(IF($B4662=K$1, ($A4662+$C4662) - MAX(IF($B$2:$B4661=$B4662, $A$2:$A4661+$C$2:$C4661)), "")*24*60, "")</f>
        <v/>
      </c>
      <c r="L4662" s="24" t="str" cm="1">
        <f t="array" ref="L4662">IFERROR(IF($B4662=L$1, ($A4662+$C4662) - MAX(IF($B$2:$B4661=$B4662, $A$2:$A4661+$C$2:$C4661)), "")*24*60, "")</f>
        <v/>
      </c>
      <c r="M4662" s="24" t="str" cm="1">
        <f t="array" ref="M4662">IFERROR(IF($B4662=M$1, ($A4662+$C4662) - MAX(IF($B$2:$B4661=$B4662, $A$2:$A4661+$C$2:$C4661)), "")*24*60, "")</f>
        <v/>
      </c>
      <c r="N4662" s="24" t="str" cm="1">
        <f t="array" ref="N4662">IFERROR(IF($B4662=N$1, ($A4662+$C4662) - MAX(IF($B$2:$B4661=$B4662, $A$2:$A4661+$C$2:$C4661)), "")*24*60, "")</f>
        <v/>
      </c>
      <c r="O4662" s="24" t="str" cm="1">
        <f t="array" ref="O4662">IFERROR(IF($B4662=O$1, ($A4662+$C4662) - MAX(IF($B$2:$B4661=$B4662, $A$2:$A4661+$C$2:$C4661)), "")*24*60, "")</f>
        <v/>
      </c>
      <c r="P4662" s="24" t="str" cm="1">
        <f t="array" ref="P4662">IFERROR(IF($B4662=P$1, ($A4662+$C4662) - MAX(IF($B$2:$B4661=$B4662, $A$2:$A4661+$C$2:$C4661)), "")*24*60, "")</f>
        <v/>
      </c>
      <c r="Q4662" s="24" t="str" cm="1">
        <f t="array" ref="Q4662">IFERROR(IF($B4662=Q$1, ($A4662+$C4662) - MAX(IF($B$2:$B4661=$B4662, $A$2:$A4661+$C$2:$C4661)), "")*24*60, "")</f>
        <v/>
      </c>
    </row>
    <row r="4663" spans="1:17" x14ac:dyDescent="0.2">
      <c r="A4663" s="12">
        <f t="shared" ref="A4663:C4663" si="1141">A4662</f>
        <v>45979</v>
      </c>
      <c r="B4663" s="5" t="str">
        <f t="shared" si="1141"/>
        <v>Northern Cardinal</v>
      </c>
      <c r="C4663" s="6">
        <f t="shared" si="1141"/>
        <v>0.29166666666666669</v>
      </c>
      <c r="D4663" s="5"/>
      <c r="E4663" s="5"/>
      <c r="F4663" s="5" t="s">
        <v>8</v>
      </c>
      <c r="G4663" s="15" t="s">
        <v>9</v>
      </c>
      <c r="H4663" s="24">
        <f t="shared" ref="H4663:H4674" si="1142">IFERROR((($A4663+$C4663) - ($A4662+$C4662))*24*60, "")</f>
        <v>0</v>
      </c>
      <c r="I4663" s="24" cm="1">
        <f t="array" ref="I4663">IFERROR(IF($B4663=I$1, ($A4663+$C4663) - MAX(IF($B$2:$B4662=$B4663, $A$2:$A4662+$C$2:$C4662)), "")*24*60, "")</f>
        <v>0</v>
      </c>
      <c r="J4663" s="24" t="str" cm="1">
        <f t="array" ref="J4663">IFERROR(IF($B4663=J$1, ($A4663+$C4663) - MAX(IF($B$2:$B4662=$B4663, $A$2:$A4662+$C$2:$C4662)), "")*24*60, "")</f>
        <v/>
      </c>
      <c r="K4663" s="24" t="str" cm="1">
        <f t="array" ref="K4663">IFERROR(IF($B4663=K$1, ($A4663+$C4663) - MAX(IF($B$2:$B4662=$B4663, $A$2:$A4662+$C$2:$C4662)), "")*24*60, "")</f>
        <v/>
      </c>
      <c r="L4663" s="24" t="str" cm="1">
        <f t="array" ref="L4663">IFERROR(IF($B4663=L$1, ($A4663+$C4663) - MAX(IF($B$2:$B4662=$B4663, $A$2:$A4662+$C$2:$C4662)), "")*24*60, "")</f>
        <v/>
      </c>
      <c r="M4663" s="24" t="str" cm="1">
        <f t="array" ref="M4663">IFERROR(IF($B4663=M$1, ($A4663+$C4663) - MAX(IF($B$2:$B4662=$B4663, $A$2:$A4662+$C$2:$C4662)), "")*24*60, "")</f>
        <v/>
      </c>
      <c r="N4663" s="24" t="str" cm="1">
        <f t="array" ref="N4663">IFERROR(IF($B4663=N$1, ($A4663+$C4663) - MAX(IF($B$2:$B4662=$B4663, $A$2:$A4662+$C$2:$C4662)), "")*24*60, "")</f>
        <v/>
      </c>
      <c r="O4663" s="24" t="str" cm="1">
        <f t="array" ref="O4663">IFERROR(IF($B4663=O$1, ($A4663+$C4663) - MAX(IF($B$2:$B4662=$B4663, $A$2:$A4662+$C$2:$C4662)), "")*24*60, "")</f>
        <v/>
      </c>
      <c r="P4663" s="24" t="str" cm="1">
        <f t="array" ref="P4663">IFERROR(IF($B4663=P$1, ($A4663+$C4663) - MAX(IF($B$2:$B4662=$B4663, $A$2:$A4662+$C$2:$C4662)), "")*24*60, "")</f>
        <v/>
      </c>
      <c r="Q4663" s="24" t="str" cm="1">
        <f t="array" ref="Q4663">IFERROR(IF($B4663=Q$1, ($A4663+$C4663) - MAX(IF($B$2:$B4662=$B4663, $A$2:$A4662+$C$2:$C4662)), "")*24*60, "")</f>
        <v/>
      </c>
    </row>
    <row r="4664" spans="1:17" x14ac:dyDescent="0.2">
      <c r="A4664" s="12">
        <f t="shared" ref="A4664:C4664" si="1143">A4663</f>
        <v>45979</v>
      </c>
      <c r="B4664" s="5" t="str">
        <f t="shared" si="1143"/>
        <v>Northern Cardinal</v>
      </c>
      <c r="C4664" s="6">
        <f t="shared" si="1143"/>
        <v>0.29166666666666669</v>
      </c>
      <c r="D4664" s="5"/>
      <c r="E4664" s="5"/>
      <c r="F4664" s="5" t="s">
        <v>8</v>
      </c>
      <c r="G4664" s="15" t="s">
        <v>9</v>
      </c>
      <c r="H4664" s="24">
        <f t="shared" si="1142"/>
        <v>0</v>
      </c>
      <c r="I4664" s="24" cm="1">
        <f t="array" ref="I4664">IFERROR(IF($B4664=I$1, ($A4664+$C4664) - MAX(IF($B$2:$B4663=$B4664, $A$2:$A4663+$C$2:$C4663)), "")*24*60, "")</f>
        <v>0</v>
      </c>
      <c r="J4664" s="24" t="str" cm="1">
        <f t="array" ref="J4664">IFERROR(IF($B4664=J$1, ($A4664+$C4664) - MAX(IF($B$2:$B4663=$B4664, $A$2:$A4663+$C$2:$C4663)), "")*24*60, "")</f>
        <v/>
      </c>
      <c r="K4664" s="24" t="str" cm="1">
        <f t="array" ref="K4664">IFERROR(IF($B4664=K$1, ($A4664+$C4664) - MAX(IF($B$2:$B4663=$B4664, $A$2:$A4663+$C$2:$C4663)), "")*24*60, "")</f>
        <v/>
      </c>
      <c r="L4664" s="24" t="str" cm="1">
        <f t="array" ref="L4664">IFERROR(IF($B4664=L$1, ($A4664+$C4664) - MAX(IF($B$2:$B4663=$B4664, $A$2:$A4663+$C$2:$C4663)), "")*24*60, "")</f>
        <v/>
      </c>
      <c r="M4664" s="24" t="str" cm="1">
        <f t="array" ref="M4664">IFERROR(IF($B4664=M$1, ($A4664+$C4664) - MAX(IF($B$2:$B4663=$B4664, $A$2:$A4663+$C$2:$C4663)), "")*24*60, "")</f>
        <v/>
      </c>
      <c r="N4664" s="24" t="str" cm="1">
        <f t="array" ref="N4664">IFERROR(IF($B4664=N$1, ($A4664+$C4664) - MAX(IF($B$2:$B4663=$B4664, $A$2:$A4663+$C$2:$C4663)), "")*24*60, "")</f>
        <v/>
      </c>
      <c r="O4664" s="24" t="str" cm="1">
        <f t="array" ref="O4664">IFERROR(IF($B4664=O$1, ($A4664+$C4664) - MAX(IF($B$2:$B4663=$B4664, $A$2:$A4663+$C$2:$C4663)), "")*24*60, "")</f>
        <v/>
      </c>
      <c r="P4664" s="24" t="str" cm="1">
        <f t="array" ref="P4664">IFERROR(IF($B4664=P$1, ($A4664+$C4664) - MAX(IF($B$2:$B4663=$B4664, $A$2:$A4663+$C$2:$C4663)), "")*24*60, "")</f>
        <v/>
      </c>
      <c r="Q4664" s="24" t="str" cm="1">
        <f t="array" ref="Q4664">IFERROR(IF($B4664=Q$1, ($A4664+$C4664) - MAX(IF($B$2:$B4663=$B4664, $A$2:$A4663+$C$2:$C4663)), "")*24*60, "")</f>
        <v/>
      </c>
    </row>
    <row r="4665" spans="1:17" x14ac:dyDescent="0.2">
      <c r="A4665" s="12">
        <f t="shared" ref="A4665:C4665" si="1144">A4664</f>
        <v>45979</v>
      </c>
      <c r="B4665" s="5" t="str">
        <f t="shared" si="1144"/>
        <v>Northern Cardinal</v>
      </c>
      <c r="C4665" s="6">
        <f t="shared" si="1144"/>
        <v>0.29166666666666669</v>
      </c>
      <c r="D4665" s="5"/>
      <c r="E4665" s="5"/>
      <c r="F4665" s="5" t="s">
        <v>8</v>
      </c>
      <c r="G4665" s="15" t="s">
        <v>9</v>
      </c>
      <c r="H4665" s="24">
        <f t="shared" si="1142"/>
        <v>0</v>
      </c>
      <c r="I4665" s="24" cm="1">
        <f t="array" ref="I4665">IFERROR(IF($B4665=I$1, ($A4665+$C4665) - MAX(IF($B$2:$B4664=$B4665, $A$2:$A4664+$C$2:$C4664)), "")*24*60, "")</f>
        <v>0</v>
      </c>
      <c r="J4665" s="24" t="str" cm="1">
        <f t="array" ref="J4665">IFERROR(IF($B4665=J$1, ($A4665+$C4665) - MAX(IF($B$2:$B4664=$B4665, $A$2:$A4664+$C$2:$C4664)), "")*24*60, "")</f>
        <v/>
      </c>
      <c r="K4665" s="24" t="str" cm="1">
        <f t="array" ref="K4665">IFERROR(IF($B4665=K$1, ($A4665+$C4665) - MAX(IF($B$2:$B4664=$B4665, $A$2:$A4664+$C$2:$C4664)), "")*24*60, "")</f>
        <v/>
      </c>
      <c r="L4665" s="24" t="str" cm="1">
        <f t="array" ref="L4665">IFERROR(IF($B4665=L$1, ($A4665+$C4665) - MAX(IF($B$2:$B4664=$B4665, $A$2:$A4664+$C$2:$C4664)), "")*24*60, "")</f>
        <v/>
      </c>
      <c r="M4665" s="24" t="str" cm="1">
        <f t="array" ref="M4665">IFERROR(IF($B4665=M$1, ($A4665+$C4665) - MAX(IF($B$2:$B4664=$B4665, $A$2:$A4664+$C$2:$C4664)), "")*24*60, "")</f>
        <v/>
      </c>
      <c r="N4665" s="24" t="str" cm="1">
        <f t="array" ref="N4665">IFERROR(IF($B4665=N$1, ($A4665+$C4665) - MAX(IF($B$2:$B4664=$B4665, $A$2:$A4664+$C$2:$C4664)), "")*24*60, "")</f>
        <v/>
      </c>
      <c r="O4665" s="24" t="str" cm="1">
        <f t="array" ref="O4665">IFERROR(IF($B4665=O$1, ($A4665+$C4665) - MAX(IF($B$2:$B4664=$B4665, $A$2:$A4664+$C$2:$C4664)), "")*24*60, "")</f>
        <v/>
      </c>
      <c r="P4665" s="24" t="str" cm="1">
        <f t="array" ref="P4665">IFERROR(IF($B4665=P$1, ($A4665+$C4665) - MAX(IF($B$2:$B4664=$B4665, $A$2:$A4664+$C$2:$C4664)), "")*24*60, "")</f>
        <v/>
      </c>
      <c r="Q4665" s="24" t="str" cm="1">
        <f t="array" ref="Q4665">IFERROR(IF($B4665=Q$1, ($A4665+$C4665) - MAX(IF($B$2:$B4664=$B4665, $A$2:$A4664+$C$2:$C4664)), "")*24*60, "")</f>
        <v/>
      </c>
    </row>
    <row r="4666" spans="1:17" x14ac:dyDescent="0.2">
      <c r="A4666" s="12">
        <f t="shared" ref="A4666:C4666" si="1145">A4665</f>
        <v>45979</v>
      </c>
      <c r="B4666" s="5" t="str">
        <f t="shared" si="1145"/>
        <v>Northern Cardinal</v>
      </c>
      <c r="C4666" s="6">
        <f t="shared" si="1145"/>
        <v>0.29166666666666669</v>
      </c>
      <c r="D4666" s="5"/>
      <c r="E4666" s="5"/>
      <c r="F4666" s="5" t="s">
        <v>8</v>
      </c>
      <c r="G4666" s="15" t="s">
        <v>9</v>
      </c>
      <c r="H4666" s="24">
        <f t="shared" si="1142"/>
        <v>0</v>
      </c>
      <c r="I4666" s="24" cm="1">
        <f t="array" ref="I4666">IFERROR(IF($B4666=I$1, ($A4666+$C4666) - MAX(IF($B$2:$B4665=$B4666, $A$2:$A4665+$C$2:$C4665)), "")*24*60, "")</f>
        <v>0</v>
      </c>
      <c r="J4666" s="24" t="str" cm="1">
        <f t="array" ref="J4666">IFERROR(IF($B4666=J$1, ($A4666+$C4666) - MAX(IF($B$2:$B4665=$B4666, $A$2:$A4665+$C$2:$C4665)), "")*24*60, "")</f>
        <v/>
      </c>
      <c r="K4666" s="24" t="str" cm="1">
        <f t="array" ref="K4666">IFERROR(IF($B4666=K$1, ($A4666+$C4666) - MAX(IF($B$2:$B4665=$B4666, $A$2:$A4665+$C$2:$C4665)), "")*24*60, "")</f>
        <v/>
      </c>
      <c r="L4666" s="24" t="str" cm="1">
        <f t="array" ref="L4666">IFERROR(IF($B4666=L$1, ($A4666+$C4666) - MAX(IF($B$2:$B4665=$B4666, $A$2:$A4665+$C$2:$C4665)), "")*24*60, "")</f>
        <v/>
      </c>
      <c r="M4666" s="24" t="str" cm="1">
        <f t="array" ref="M4666">IFERROR(IF($B4666=M$1, ($A4666+$C4666) - MAX(IF($B$2:$B4665=$B4666, $A$2:$A4665+$C$2:$C4665)), "")*24*60, "")</f>
        <v/>
      </c>
      <c r="N4666" s="24" t="str" cm="1">
        <f t="array" ref="N4666">IFERROR(IF($B4666=N$1, ($A4666+$C4666) - MAX(IF($B$2:$B4665=$B4666, $A$2:$A4665+$C$2:$C4665)), "")*24*60, "")</f>
        <v/>
      </c>
      <c r="O4666" s="24" t="str" cm="1">
        <f t="array" ref="O4666">IFERROR(IF($B4666=O$1, ($A4666+$C4666) - MAX(IF($B$2:$B4665=$B4666, $A$2:$A4665+$C$2:$C4665)), "")*24*60, "")</f>
        <v/>
      </c>
      <c r="P4666" s="24" t="str" cm="1">
        <f t="array" ref="P4666">IFERROR(IF($B4666=P$1, ($A4666+$C4666) - MAX(IF($B$2:$B4665=$B4666, $A$2:$A4665+$C$2:$C4665)), "")*24*60, "")</f>
        <v/>
      </c>
      <c r="Q4666" s="24" t="str" cm="1">
        <f t="array" ref="Q4666">IFERROR(IF($B4666=Q$1, ($A4666+$C4666) - MAX(IF($B$2:$B4665=$B4666, $A$2:$A4665+$C$2:$C4665)), "")*24*60, "")</f>
        <v/>
      </c>
    </row>
    <row r="4667" spans="1:17" x14ac:dyDescent="0.2">
      <c r="A4667" s="12">
        <f t="shared" ref="A4667:C4667" si="1146">A4666</f>
        <v>45979</v>
      </c>
      <c r="B4667" s="5" t="str">
        <f t="shared" si="1146"/>
        <v>Northern Cardinal</v>
      </c>
      <c r="C4667" s="6">
        <f t="shared" si="1146"/>
        <v>0.29166666666666669</v>
      </c>
      <c r="D4667" s="5"/>
      <c r="E4667" s="5"/>
      <c r="F4667" s="5" t="s">
        <v>8</v>
      </c>
      <c r="G4667" s="15" t="s">
        <v>9</v>
      </c>
      <c r="H4667" s="24">
        <f t="shared" si="1142"/>
        <v>0</v>
      </c>
      <c r="I4667" s="24" cm="1">
        <f t="array" ref="I4667">IFERROR(IF($B4667=I$1, ($A4667+$C4667) - MAX(IF($B$2:$B4666=$B4667, $A$2:$A4666+$C$2:$C4666)), "")*24*60, "")</f>
        <v>0</v>
      </c>
      <c r="J4667" s="24" t="str" cm="1">
        <f t="array" ref="J4667">IFERROR(IF($B4667=J$1, ($A4667+$C4667) - MAX(IF($B$2:$B4666=$B4667, $A$2:$A4666+$C$2:$C4666)), "")*24*60, "")</f>
        <v/>
      </c>
      <c r="K4667" s="24" t="str" cm="1">
        <f t="array" ref="K4667">IFERROR(IF($B4667=K$1, ($A4667+$C4667) - MAX(IF($B$2:$B4666=$B4667, $A$2:$A4666+$C$2:$C4666)), "")*24*60, "")</f>
        <v/>
      </c>
      <c r="L4667" s="24" t="str" cm="1">
        <f t="array" ref="L4667">IFERROR(IF($B4667=L$1, ($A4667+$C4667) - MAX(IF($B$2:$B4666=$B4667, $A$2:$A4666+$C$2:$C4666)), "")*24*60, "")</f>
        <v/>
      </c>
      <c r="M4667" s="24" t="str" cm="1">
        <f t="array" ref="M4667">IFERROR(IF($B4667=M$1, ($A4667+$C4667) - MAX(IF($B$2:$B4666=$B4667, $A$2:$A4666+$C$2:$C4666)), "")*24*60, "")</f>
        <v/>
      </c>
      <c r="N4667" s="24" t="str" cm="1">
        <f t="array" ref="N4667">IFERROR(IF($B4667=N$1, ($A4667+$C4667) - MAX(IF($B$2:$B4666=$B4667, $A$2:$A4666+$C$2:$C4666)), "")*24*60, "")</f>
        <v/>
      </c>
      <c r="O4667" s="24" t="str" cm="1">
        <f t="array" ref="O4667">IFERROR(IF($B4667=O$1, ($A4667+$C4667) - MAX(IF($B$2:$B4666=$B4667, $A$2:$A4666+$C$2:$C4666)), "")*24*60, "")</f>
        <v/>
      </c>
      <c r="P4667" s="24" t="str" cm="1">
        <f t="array" ref="P4667">IFERROR(IF($B4667=P$1, ($A4667+$C4667) - MAX(IF($B$2:$B4666=$B4667, $A$2:$A4666+$C$2:$C4666)), "")*24*60, "")</f>
        <v/>
      </c>
      <c r="Q4667" s="24" t="str" cm="1">
        <f t="array" ref="Q4667">IFERROR(IF($B4667=Q$1, ($A4667+$C4667) - MAX(IF($B$2:$B4666=$B4667, $A$2:$A4666+$C$2:$C4666)), "")*24*60, "")</f>
        <v/>
      </c>
    </row>
    <row r="4668" spans="1:17" x14ac:dyDescent="0.2">
      <c r="A4668" s="12">
        <f t="shared" ref="A4668:C4668" si="1147">A4667</f>
        <v>45979</v>
      </c>
      <c r="B4668" s="5" t="str">
        <f t="shared" si="1147"/>
        <v>Northern Cardinal</v>
      </c>
      <c r="C4668" s="6">
        <f t="shared" si="1147"/>
        <v>0.29166666666666669</v>
      </c>
      <c r="D4668" s="5"/>
      <c r="E4668" s="5"/>
      <c r="F4668" s="5" t="s">
        <v>8</v>
      </c>
      <c r="G4668" s="15" t="s">
        <v>9</v>
      </c>
      <c r="H4668" s="24">
        <f t="shared" si="1142"/>
        <v>0</v>
      </c>
      <c r="I4668" s="24" cm="1">
        <f t="array" ref="I4668">IFERROR(IF($B4668=I$1, ($A4668+$C4668) - MAX(IF($B$2:$B4667=$B4668, $A$2:$A4667+$C$2:$C4667)), "")*24*60, "")</f>
        <v>0</v>
      </c>
      <c r="J4668" s="24" t="str" cm="1">
        <f t="array" ref="J4668">IFERROR(IF($B4668=J$1, ($A4668+$C4668) - MAX(IF($B$2:$B4667=$B4668, $A$2:$A4667+$C$2:$C4667)), "")*24*60, "")</f>
        <v/>
      </c>
      <c r="K4668" s="24" t="str" cm="1">
        <f t="array" ref="K4668">IFERROR(IF($B4668=K$1, ($A4668+$C4668) - MAX(IF($B$2:$B4667=$B4668, $A$2:$A4667+$C$2:$C4667)), "")*24*60, "")</f>
        <v/>
      </c>
      <c r="L4668" s="24" t="str" cm="1">
        <f t="array" ref="L4668">IFERROR(IF($B4668=L$1, ($A4668+$C4668) - MAX(IF($B$2:$B4667=$B4668, $A$2:$A4667+$C$2:$C4667)), "")*24*60, "")</f>
        <v/>
      </c>
      <c r="M4668" s="24" t="str" cm="1">
        <f t="array" ref="M4668">IFERROR(IF($B4668=M$1, ($A4668+$C4668) - MAX(IF($B$2:$B4667=$B4668, $A$2:$A4667+$C$2:$C4667)), "")*24*60, "")</f>
        <v/>
      </c>
      <c r="N4668" s="24" t="str" cm="1">
        <f t="array" ref="N4668">IFERROR(IF($B4668=N$1, ($A4668+$C4668) - MAX(IF($B$2:$B4667=$B4668, $A$2:$A4667+$C$2:$C4667)), "")*24*60, "")</f>
        <v/>
      </c>
      <c r="O4668" s="24" t="str" cm="1">
        <f t="array" ref="O4668">IFERROR(IF($B4668=O$1, ($A4668+$C4668) - MAX(IF($B$2:$B4667=$B4668, $A$2:$A4667+$C$2:$C4667)), "")*24*60, "")</f>
        <v/>
      </c>
      <c r="P4668" s="24" t="str" cm="1">
        <f t="array" ref="P4668">IFERROR(IF($B4668=P$1, ($A4668+$C4668) - MAX(IF($B$2:$B4667=$B4668, $A$2:$A4667+$C$2:$C4667)), "")*24*60, "")</f>
        <v/>
      </c>
      <c r="Q4668" s="24" t="str" cm="1">
        <f t="array" ref="Q4668">IFERROR(IF($B4668=Q$1, ($A4668+$C4668) - MAX(IF($B$2:$B4667=$B4668, $A$2:$A4667+$C$2:$C4667)), "")*24*60, "")</f>
        <v/>
      </c>
    </row>
    <row r="4669" spans="1:17" x14ac:dyDescent="0.2">
      <c r="A4669" s="12">
        <f t="shared" ref="A4669:C4669" si="1148">A4668</f>
        <v>45979</v>
      </c>
      <c r="B4669" s="5" t="str">
        <f t="shared" si="1148"/>
        <v>Northern Cardinal</v>
      </c>
      <c r="C4669" s="6">
        <f t="shared" si="1148"/>
        <v>0.29166666666666669</v>
      </c>
      <c r="D4669" s="5"/>
      <c r="E4669" s="5"/>
      <c r="F4669" s="5" t="s">
        <v>8</v>
      </c>
      <c r="G4669" s="15" t="s">
        <v>9</v>
      </c>
      <c r="H4669" s="24">
        <f t="shared" si="1142"/>
        <v>0</v>
      </c>
      <c r="I4669" s="24" cm="1">
        <f t="array" ref="I4669">IFERROR(IF($B4669=I$1, ($A4669+$C4669) - MAX(IF($B$2:$B4668=$B4669, $A$2:$A4668+$C$2:$C4668)), "")*24*60, "")</f>
        <v>0</v>
      </c>
      <c r="J4669" s="24" t="str" cm="1">
        <f t="array" ref="J4669">IFERROR(IF($B4669=J$1, ($A4669+$C4669) - MAX(IF($B$2:$B4668=$B4669, $A$2:$A4668+$C$2:$C4668)), "")*24*60, "")</f>
        <v/>
      </c>
      <c r="K4669" s="24" t="str" cm="1">
        <f t="array" ref="K4669">IFERROR(IF($B4669=K$1, ($A4669+$C4669) - MAX(IF($B$2:$B4668=$B4669, $A$2:$A4668+$C$2:$C4668)), "")*24*60, "")</f>
        <v/>
      </c>
      <c r="L4669" s="24" t="str" cm="1">
        <f t="array" ref="L4669">IFERROR(IF($B4669=L$1, ($A4669+$C4669) - MAX(IF($B$2:$B4668=$B4669, $A$2:$A4668+$C$2:$C4668)), "")*24*60, "")</f>
        <v/>
      </c>
      <c r="M4669" s="24" t="str" cm="1">
        <f t="array" ref="M4669">IFERROR(IF($B4669=M$1, ($A4669+$C4669) - MAX(IF($B$2:$B4668=$B4669, $A$2:$A4668+$C$2:$C4668)), "")*24*60, "")</f>
        <v/>
      </c>
      <c r="N4669" s="24" t="str" cm="1">
        <f t="array" ref="N4669">IFERROR(IF($B4669=N$1, ($A4669+$C4669) - MAX(IF($B$2:$B4668=$B4669, $A$2:$A4668+$C$2:$C4668)), "")*24*60, "")</f>
        <v/>
      </c>
      <c r="O4669" s="24" t="str" cm="1">
        <f t="array" ref="O4669">IFERROR(IF($B4669=O$1, ($A4669+$C4669) - MAX(IF($B$2:$B4668=$B4669, $A$2:$A4668+$C$2:$C4668)), "")*24*60, "")</f>
        <v/>
      </c>
      <c r="P4669" s="24" t="str" cm="1">
        <f t="array" ref="P4669">IFERROR(IF($B4669=P$1, ($A4669+$C4669) - MAX(IF($B$2:$B4668=$B4669, $A$2:$A4668+$C$2:$C4668)), "")*24*60, "")</f>
        <v/>
      </c>
      <c r="Q4669" s="24" t="str" cm="1">
        <f t="array" ref="Q4669">IFERROR(IF($B4669=Q$1, ($A4669+$C4669) - MAX(IF($B$2:$B4668=$B4669, $A$2:$A4668+$C$2:$C4668)), "")*24*60, "")</f>
        <v/>
      </c>
    </row>
    <row r="4670" spans="1:17" x14ac:dyDescent="0.2">
      <c r="A4670" s="12">
        <f t="shared" ref="A4670:C4670" si="1149">A4669</f>
        <v>45979</v>
      </c>
      <c r="B4670" s="5" t="str">
        <f t="shared" si="1149"/>
        <v>Northern Cardinal</v>
      </c>
      <c r="C4670" s="6">
        <f t="shared" si="1149"/>
        <v>0.29166666666666669</v>
      </c>
      <c r="D4670" s="5"/>
      <c r="E4670" s="5"/>
      <c r="F4670" s="5" t="s">
        <v>8</v>
      </c>
      <c r="G4670" s="15" t="s">
        <v>9</v>
      </c>
      <c r="H4670" s="24">
        <f t="shared" si="1142"/>
        <v>0</v>
      </c>
      <c r="I4670" s="24" cm="1">
        <f t="array" ref="I4670">IFERROR(IF($B4670=I$1, ($A4670+$C4670) - MAX(IF($B$2:$B4669=$B4670, $A$2:$A4669+$C$2:$C4669)), "")*24*60, "")</f>
        <v>0</v>
      </c>
      <c r="J4670" s="24" t="str" cm="1">
        <f t="array" ref="J4670">IFERROR(IF($B4670=J$1, ($A4670+$C4670) - MAX(IF($B$2:$B4669=$B4670, $A$2:$A4669+$C$2:$C4669)), "")*24*60, "")</f>
        <v/>
      </c>
      <c r="K4670" s="24" t="str" cm="1">
        <f t="array" ref="K4670">IFERROR(IF($B4670=K$1, ($A4670+$C4670) - MAX(IF($B$2:$B4669=$B4670, $A$2:$A4669+$C$2:$C4669)), "")*24*60, "")</f>
        <v/>
      </c>
      <c r="L4670" s="24" t="str" cm="1">
        <f t="array" ref="L4670">IFERROR(IF($B4670=L$1, ($A4670+$C4670) - MAX(IF($B$2:$B4669=$B4670, $A$2:$A4669+$C$2:$C4669)), "")*24*60, "")</f>
        <v/>
      </c>
      <c r="M4670" s="24" t="str" cm="1">
        <f t="array" ref="M4670">IFERROR(IF($B4670=M$1, ($A4670+$C4670) - MAX(IF($B$2:$B4669=$B4670, $A$2:$A4669+$C$2:$C4669)), "")*24*60, "")</f>
        <v/>
      </c>
      <c r="N4670" s="24" t="str" cm="1">
        <f t="array" ref="N4670">IFERROR(IF($B4670=N$1, ($A4670+$C4670) - MAX(IF($B$2:$B4669=$B4670, $A$2:$A4669+$C$2:$C4669)), "")*24*60, "")</f>
        <v/>
      </c>
      <c r="O4670" s="24" t="str" cm="1">
        <f t="array" ref="O4670">IFERROR(IF($B4670=O$1, ($A4670+$C4670) - MAX(IF($B$2:$B4669=$B4670, $A$2:$A4669+$C$2:$C4669)), "")*24*60, "")</f>
        <v/>
      </c>
      <c r="P4670" s="24" t="str" cm="1">
        <f t="array" ref="P4670">IFERROR(IF($B4670=P$1, ($A4670+$C4670) - MAX(IF($B$2:$B4669=$B4670, $A$2:$A4669+$C$2:$C4669)), "")*24*60, "")</f>
        <v/>
      </c>
      <c r="Q4670" s="24" t="str" cm="1">
        <f t="array" ref="Q4670">IFERROR(IF($B4670=Q$1, ($A4670+$C4670) - MAX(IF($B$2:$B4669=$B4670, $A$2:$A4669+$C$2:$C4669)), "")*24*60, "")</f>
        <v/>
      </c>
    </row>
    <row r="4671" spans="1:17" x14ac:dyDescent="0.2">
      <c r="A4671" s="12">
        <f t="shared" ref="A4671:C4671" si="1150">A4670</f>
        <v>45979</v>
      </c>
      <c r="B4671" s="5" t="str">
        <f t="shared" si="1150"/>
        <v>Northern Cardinal</v>
      </c>
      <c r="C4671" s="6">
        <f t="shared" si="1150"/>
        <v>0.29166666666666669</v>
      </c>
      <c r="D4671" s="5"/>
      <c r="E4671" s="5"/>
      <c r="F4671" s="5" t="s">
        <v>8</v>
      </c>
      <c r="G4671" s="15" t="s">
        <v>9</v>
      </c>
      <c r="H4671" s="24">
        <f t="shared" si="1142"/>
        <v>0</v>
      </c>
      <c r="I4671" s="24" cm="1">
        <f t="array" ref="I4671">IFERROR(IF($B4671=I$1, ($A4671+$C4671) - MAX(IF($B$2:$B4670=$B4671, $A$2:$A4670+$C$2:$C4670)), "")*24*60, "")</f>
        <v>0</v>
      </c>
      <c r="J4671" s="24" t="str" cm="1">
        <f t="array" ref="J4671">IFERROR(IF($B4671=J$1, ($A4671+$C4671) - MAX(IF($B$2:$B4670=$B4671, $A$2:$A4670+$C$2:$C4670)), "")*24*60, "")</f>
        <v/>
      </c>
      <c r="K4671" s="24" t="str" cm="1">
        <f t="array" ref="K4671">IFERROR(IF($B4671=K$1, ($A4671+$C4671) - MAX(IF($B$2:$B4670=$B4671, $A$2:$A4670+$C$2:$C4670)), "")*24*60, "")</f>
        <v/>
      </c>
      <c r="L4671" s="24" t="str" cm="1">
        <f t="array" ref="L4671">IFERROR(IF($B4671=L$1, ($A4671+$C4671) - MAX(IF($B$2:$B4670=$B4671, $A$2:$A4670+$C$2:$C4670)), "")*24*60, "")</f>
        <v/>
      </c>
      <c r="M4671" s="24" t="str" cm="1">
        <f t="array" ref="M4671">IFERROR(IF($B4671=M$1, ($A4671+$C4671) - MAX(IF($B$2:$B4670=$B4671, $A$2:$A4670+$C$2:$C4670)), "")*24*60, "")</f>
        <v/>
      </c>
      <c r="N4671" s="24" t="str" cm="1">
        <f t="array" ref="N4671">IFERROR(IF($B4671=N$1, ($A4671+$C4671) - MAX(IF($B$2:$B4670=$B4671, $A$2:$A4670+$C$2:$C4670)), "")*24*60, "")</f>
        <v/>
      </c>
      <c r="O4671" s="24" t="str" cm="1">
        <f t="array" ref="O4671">IFERROR(IF($B4671=O$1, ($A4671+$C4671) - MAX(IF($B$2:$B4670=$B4671, $A$2:$A4670+$C$2:$C4670)), "")*24*60, "")</f>
        <v/>
      </c>
      <c r="P4671" s="24" t="str" cm="1">
        <f t="array" ref="P4671">IFERROR(IF($B4671=P$1, ($A4671+$C4671) - MAX(IF($B$2:$B4670=$B4671, $A$2:$A4670+$C$2:$C4670)), "")*24*60, "")</f>
        <v/>
      </c>
      <c r="Q4671" s="24" t="str" cm="1">
        <f t="array" ref="Q4671">IFERROR(IF($B4671=Q$1, ($A4671+$C4671) - MAX(IF($B$2:$B4670=$B4671, $A$2:$A4670+$C$2:$C4670)), "")*24*60, "")</f>
        <v/>
      </c>
    </row>
    <row r="4672" spans="1:17" x14ac:dyDescent="0.2">
      <c r="A4672" s="12">
        <f t="shared" ref="A4672:C4672" si="1151">A4671</f>
        <v>45979</v>
      </c>
      <c r="B4672" s="5" t="str">
        <f t="shared" si="1151"/>
        <v>Northern Cardinal</v>
      </c>
      <c r="C4672" s="6">
        <f t="shared" si="1151"/>
        <v>0.29166666666666669</v>
      </c>
      <c r="D4672" s="5"/>
      <c r="E4672" s="5"/>
      <c r="F4672" s="5" t="s">
        <v>8</v>
      </c>
      <c r="G4672" s="15" t="s">
        <v>9</v>
      </c>
      <c r="H4672" s="24">
        <f t="shared" si="1142"/>
        <v>0</v>
      </c>
      <c r="I4672" s="24" cm="1">
        <f t="array" ref="I4672">IFERROR(IF($B4672=I$1, ($A4672+$C4672) - MAX(IF($B$2:$B4671=$B4672, $A$2:$A4671+$C$2:$C4671)), "")*24*60, "")</f>
        <v>0</v>
      </c>
      <c r="J4672" s="24" t="str" cm="1">
        <f t="array" ref="J4672">IFERROR(IF($B4672=J$1, ($A4672+$C4672) - MAX(IF($B$2:$B4671=$B4672, $A$2:$A4671+$C$2:$C4671)), "")*24*60, "")</f>
        <v/>
      </c>
      <c r="K4672" s="24" t="str" cm="1">
        <f t="array" ref="K4672">IFERROR(IF($B4672=K$1, ($A4672+$C4672) - MAX(IF($B$2:$B4671=$B4672, $A$2:$A4671+$C$2:$C4671)), "")*24*60, "")</f>
        <v/>
      </c>
      <c r="L4672" s="24" t="str" cm="1">
        <f t="array" ref="L4672">IFERROR(IF($B4672=L$1, ($A4672+$C4672) - MAX(IF($B$2:$B4671=$B4672, $A$2:$A4671+$C$2:$C4671)), "")*24*60, "")</f>
        <v/>
      </c>
      <c r="M4672" s="24" t="str" cm="1">
        <f t="array" ref="M4672">IFERROR(IF($B4672=M$1, ($A4672+$C4672) - MAX(IF($B$2:$B4671=$B4672, $A$2:$A4671+$C$2:$C4671)), "")*24*60, "")</f>
        <v/>
      </c>
      <c r="N4672" s="24" t="str" cm="1">
        <f t="array" ref="N4672">IFERROR(IF($B4672=N$1, ($A4672+$C4672) - MAX(IF($B$2:$B4671=$B4672, $A$2:$A4671+$C$2:$C4671)), "")*24*60, "")</f>
        <v/>
      </c>
      <c r="O4672" s="24" t="str" cm="1">
        <f t="array" ref="O4672">IFERROR(IF($B4672=O$1, ($A4672+$C4672) - MAX(IF($B$2:$B4671=$B4672, $A$2:$A4671+$C$2:$C4671)), "")*24*60, "")</f>
        <v/>
      </c>
      <c r="P4672" s="24" t="str" cm="1">
        <f t="array" ref="P4672">IFERROR(IF($B4672=P$1, ($A4672+$C4672) - MAX(IF($B$2:$B4671=$B4672, $A$2:$A4671+$C$2:$C4671)), "")*24*60, "")</f>
        <v/>
      </c>
      <c r="Q4672" s="24" t="str" cm="1">
        <f t="array" ref="Q4672">IFERROR(IF($B4672=Q$1, ($A4672+$C4672) - MAX(IF($B$2:$B4671=$B4672, $A$2:$A4671+$C$2:$C4671)), "")*24*60, "")</f>
        <v/>
      </c>
    </row>
    <row r="4673" spans="1:17" x14ac:dyDescent="0.2">
      <c r="A4673" s="12">
        <f t="shared" ref="A4673:C4673" si="1152">A4672</f>
        <v>45979</v>
      </c>
      <c r="B4673" s="5" t="str">
        <f t="shared" si="1152"/>
        <v>Northern Cardinal</v>
      </c>
      <c r="C4673" s="6">
        <f t="shared" si="1152"/>
        <v>0.29166666666666669</v>
      </c>
      <c r="D4673" s="5"/>
      <c r="E4673" s="5"/>
      <c r="F4673" s="5" t="s">
        <v>8</v>
      </c>
      <c r="G4673" s="15" t="s">
        <v>9</v>
      </c>
      <c r="H4673" s="24">
        <f t="shared" si="1142"/>
        <v>0</v>
      </c>
      <c r="I4673" s="24" cm="1">
        <f t="array" ref="I4673">IFERROR(IF($B4673=I$1, ($A4673+$C4673) - MAX(IF($B$2:$B4672=$B4673, $A$2:$A4672+$C$2:$C4672)), "")*24*60, "")</f>
        <v>0</v>
      </c>
      <c r="J4673" s="24" t="str" cm="1">
        <f t="array" ref="J4673">IFERROR(IF($B4673=J$1, ($A4673+$C4673) - MAX(IF($B$2:$B4672=$B4673, $A$2:$A4672+$C$2:$C4672)), "")*24*60, "")</f>
        <v/>
      </c>
      <c r="K4673" s="24" t="str" cm="1">
        <f t="array" ref="K4673">IFERROR(IF($B4673=K$1, ($A4673+$C4673) - MAX(IF($B$2:$B4672=$B4673, $A$2:$A4672+$C$2:$C4672)), "")*24*60, "")</f>
        <v/>
      </c>
      <c r="L4673" s="24" t="str" cm="1">
        <f t="array" ref="L4673">IFERROR(IF($B4673=L$1, ($A4673+$C4673) - MAX(IF($B$2:$B4672=$B4673, $A$2:$A4672+$C$2:$C4672)), "")*24*60, "")</f>
        <v/>
      </c>
      <c r="M4673" s="24" t="str" cm="1">
        <f t="array" ref="M4673">IFERROR(IF($B4673=M$1, ($A4673+$C4673) - MAX(IF($B$2:$B4672=$B4673, $A$2:$A4672+$C$2:$C4672)), "")*24*60, "")</f>
        <v/>
      </c>
      <c r="N4673" s="24" t="str" cm="1">
        <f t="array" ref="N4673">IFERROR(IF($B4673=N$1, ($A4673+$C4673) - MAX(IF($B$2:$B4672=$B4673, $A$2:$A4672+$C$2:$C4672)), "")*24*60, "")</f>
        <v/>
      </c>
      <c r="O4673" s="24" t="str" cm="1">
        <f t="array" ref="O4673">IFERROR(IF($B4673=O$1, ($A4673+$C4673) - MAX(IF($B$2:$B4672=$B4673, $A$2:$A4672+$C$2:$C4672)), "")*24*60, "")</f>
        <v/>
      </c>
      <c r="P4673" s="24" t="str" cm="1">
        <f t="array" ref="P4673">IFERROR(IF($B4673=P$1, ($A4673+$C4673) - MAX(IF($B$2:$B4672=$B4673, $A$2:$A4672+$C$2:$C4672)), "")*24*60, "")</f>
        <v/>
      </c>
      <c r="Q4673" s="24" t="str" cm="1">
        <f t="array" ref="Q4673">IFERROR(IF($B4673=Q$1, ($A4673+$C4673) - MAX(IF($B$2:$B4672=$B4673, $A$2:$A4672+$C$2:$C4672)), "")*24*60, "")</f>
        <v/>
      </c>
    </row>
    <row r="4674" spans="1:17" x14ac:dyDescent="0.2">
      <c r="A4674" s="12">
        <f t="shared" ref="A4674:C4674" si="1153">A4673</f>
        <v>45979</v>
      </c>
      <c r="B4674" s="5" t="str">
        <f t="shared" si="1153"/>
        <v>Northern Cardinal</v>
      </c>
      <c r="C4674" s="6">
        <f t="shared" si="1153"/>
        <v>0.29166666666666669</v>
      </c>
      <c r="D4674" s="5"/>
      <c r="E4674" s="5"/>
      <c r="F4674" s="5" t="s">
        <v>8</v>
      </c>
      <c r="G4674" s="15" t="s">
        <v>9</v>
      </c>
      <c r="H4674" s="24">
        <f t="shared" si="1142"/>
        <v>0</v>
      </c>
      <c r="I4674" s="24" cm="1">
        <f t="array" ref="I4674">IFERROR(IF($B4674=I$1, ($A4674+$C4674) - MAX(IF($B$2:$B4673=$B4674, $A$2:$A4673+$C$2:$C4673)), "")*24*60, "")</f>
        <v>0</v>
      </c>
      <c r="J4674" s="24" t="str" cm="1">
        <f t="array" ref="J4674">IFERROR(IF($B4674=J$1, ($A4674+$C4674) - MAX(IF($B$2:$B4673=$B4674, $A$2:$A4673+$C$2:$C4673)), "")*24*60, "")</f>
        <v/>
      </c>
      <c r="K4674" s="24" t="str" cm="1">
        <f t="array" ref="K4674">IFERROR(IF($B4674=K$1, ($A4674+$C4674) - MAX(IF($B$2:$B4673=$B4674, $A$2:$A4673+$C$2:$C4673)), "")*24*60, "")</f>
        <v/>
      </c>
      <c r="L4674" s="24" t="str" cm="1">
        <f t="array" ref="L4674">IFERROR(IF($B4674=L$1, ($A4674+$C4674) - MAX(IF($B$2:$B4673=$B4674, $A$2:$A4673+$C$2:$C4673)), "")*24*60, "")</f>
        <v/>
      </c>
      <c r="M4674" s="24" t="str" cm="1">
        <f t="array" ref="M4674">IFERROR(IF($B4674=M$1, ($A4674+$C4674) - MAX(IF($B$2:$B4673=$B4674, $A$2:$A4673+$C$2:$C4673)), "")*24*60, "")</f>
        <v/>
      </c>
      <c r="N4674" s="24" t="str" cm="1">
        <f t="array" ref="N4674">IFERROR(IF($B4674=N$1, ($A4674+$C4674) - MAX(IF($B$2:$B4673=$B4674, $A$2:$A4673+$C$2:$C4673)), "")*24*60, "")</f>
        <v/>
      </c>
      <c r="O4674" s="24" t="str" cm="1">
        <f t="array" ref="O4674">IFERROR(IF($B4674=O$1, ($A4674+$C4674) - MAX(IF($B$2:$B4673=$B4674, $A$2:$A4673+$C$2:$C4673)), "")*24*60, "")</f>
        <v/>
      </c>
      <c r="P4674" s="24" t="str" cm="1">
        <f t="array" ref="P4674">IFERROR(IF($B4674=P$1, ($A4674+$C4674) - MAX(IF($B$2:$B4673=$B4674, $A$2:$A4673+$C$2:$C4673)), "")*24*60, "")</f>
        <v/>
      </c>
      <c r="Q4674" s="24" t="str" cm="1">
        <f t="array" ref="Q4674">IFERROR(IF($B4674=Q$1, ($A4674+$C4674) - MAX(IF($B$2:$B4673=$B4674, $A$2:$A4673+$C$2:$C4673)),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162"/>
  <sheetViews>
    <sheetView tabSelected="1" zoomScale="120" zoomScaleNormal="120" workbookViewId="0">
      <pane ySplit="1" topLeftCell="A132" activePane="bottomLeft" state="frozen"/>
      <selection pane="bottomLeft" activeCell="A157" sqref="A157:E162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1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2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15</v>
      </c>
      <c r="D37" s="27">
        <f>SUMIFS(RawData!$D:$D,RawData!$B:$B,$B37,RawData!$A:$A,DailySummaries!$A37)+1</f>
        <v>143</v>
      </c>
      <c r="E37" s="27">
        <f>SUMIFS(RawData!$E:$E,RawData!$B:$B,$B37,RawData!$A:$A,DailySummaries!$A37)+1</f>
        <v>171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25</v>
      </c>
      <c r="D41" s="11">
        <f>SUMIFS(RawData!$D:$D,RawData!$B:$B,$B41,RawData!$A:$A,DailySummaries!$A41)+1</f>
        <v>513</v>
      </c>
      <c r="E41" s="11">
        <f>SUMIFS(RawData!$E:$E,RawData!$B:$B,$B41,RawData!$A:$A,DailySummaries!$A41)+1</f>
        <v>2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16</v>
      </c>
      <c r="D46" s="11">
        <f>SUMIFS(RawData!$D:$D,RawData!$B:$B,$B46,RawData!$A:$A,DailySummaries!$A46)+1</f>
        <v>133</v>
      </c>
      <c r="E46" s="11">
        <f>SUMIFS(RawData!$E:$E,RawData!$B:$B,$B46,RawData!$A:$A,DailySummaries!$A46)+1</f>
        <v>60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13</v>
      </c>
      <c r="D51" s="11">
        <f>SUMIFS(RawData!$D:$D,RawData!$B:$B,$B51,RawData!$A:$A,DailySummaries!$A51)+1</f>
        <v>268</v>
      </c>
      <c r="E51" s="11">
        <f>SUMIFS(RawData!$E:$E,RawData!$B:$B,$B51,RawData!$A:$A,DailySummaries!$A51)+1</f>
        <v>36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19</v>
      </c>
      <c r="D52" s="11">
        <f>SUMIFS(RawData!$D:$D,RawData!$B:$B,$B52,RawData!$A:$A,DailySummaries!$A52)+1</f>
        <v>179</v>
      </c>
      <c r="E52" s="11">
        <f>SUMIFS(RawData!$E:$E,RawData!$B:$B,$B52,RawData!$A:$A,DailySummaries!$A52)+1</f>
        <v>22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12</v>
      </c>
      <c r="D61" s="11">
        <f>SUMIFS(RawData!$D:$D,RawData!$B:$B,$B61,RawData!$A:$A,DailySummaries!$A61)+1</f>
        <v>39</v>
      </c>
      <c r="E61" s="11">
        <f>SUMIFS(RawData!$E:$E,RawData!$B:$B,$B61,RawData!$A:$A,DailySummaries!$A61)+1</f>
        <v>43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11</v>
      </c>
      <c r="D62" s="27">
        <f>SUMIFS(RawData!$D:$D,RawData!$B:$B,$B62,RawData!$A:$A,DailySummaries!$A62)+1</f>
        <v>204</v>
      </c>
      <c r="E62" s="27">
        <f>SUMIFS(RawData!$E:$E,RawData!$B:$B,$B62,RawData!$A:$A,DailySummaries!$A62)+1</f>
        <v>12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14</v>
      </c>
      <c r="D67" s="11">
        <f>SUMIFS(RawData!$D:$D,RawData!$B:$B,$B67,RawData!$A:$A,DailySummaries!$A67)+1</f>
        <v>161</v>
      </c>
      <c r="E67" s="11">
        <f>SUMIFS(RawData!$E:$E,RawData!$B:$B,$B67,RawData!$A:$A,DailySummaries!$A67)+1</f>
        <v>93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14</v>
      </c>
      <c r="D68" s="27">
        <f>SUMIFS(RawData!$D:$D,RawData!$B:$B,$B68,RawData!$A:$A,DailySummaries!$A68)+1</f>
        <v>98</v>
      </c>
      <c r="E68" s="27">
        <f>SUMIFS(RawData!$E:$E,RawData!$B:$B,$B68,RawData!$A:$A,DailySummaries!$A68)+1</f>
        <v>88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45">
        <f>COUNTIFS(RawData!$B:$B, $B157, RawData!$A:$A, DailySummaries!$A157)</f>
        <v>6</v>
      </c>
      <c r="D157" s="45">
        <f>SUMIFS(RawData!$D:$D,RawData!$B:$B,$B157,RawData!$A:$A,DailySummaries!$A157)+1</f>
        <v>7</v>
      </c>
      <c r="E157" s="45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45">
        <f>COUNTIFS(RawData!$B:$B, $B158, RawData!$A:$A, DailySummaries!$A158)</f>
        <v>5</v>
      </c>
      <c r="D158" s="45">
        <f>SUMIFS(RawData!$D:$D,RawData!$B:$B,$B158,RawData!$A:$A,DailySummaries!$A158)+1</f>
        <v>1</v>
      </c>
      <c r="E158" s="45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45">
        <f>COUNTIFS(RawData!$B:$B, $B159, RawData!$A:$A, DailySummaries!$A159)</f>
        <v>8</v>
      </c>
      <c r="D159" s="45">
        <f>SUMIFS(RawData!$D:$D,RawData!$B:$B,$B159,RawData!$A:$A,DailySummaries!$A159)+1</f>
        <v>21</v>
      </c>
      <c r="E159" s="45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45">
        <f>COUNTIFS(RawData!$B:$B, $B160, RawData!$A:$A, DailySummaries!$A160)</f>
        <v>25</v>
      </c>
      <c r="D160" s="45">
        <f>SUMIFS(RawData!$D:$D,RawData!$B:$B,$B160,RawData!$A:$A,DailySummaries!$A160)+1</f>
        <v>48</v>
      </c>
      <c r="E160" s="45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45">
        <f>COUNTIFS(RawData!$B:$B, $B161, RawData!$A:$A, DailySummaries!$A161)</f>
        <v>3</v>
      </c>
      <c r="D161" s="45">
        <f>SUMIFS(RawData!$D:$D,RawData!$B:$B,$B161,RawData!$A:$A,DailySummaries!$A161)+1</f>
        <v>1</v>
      </c>
      <c r="E161" s="45">
        <f>SUMIFS(RawData!$E:$E,RawData!$B:$B,$B161,RawData!$A:$A,DailySummaries!$A161)+1</f>
        <v>13</v>
      </c>
    </row>
    <row r="162" spans="1:5" x14ac:dyDescent="0.25">
      <c r="A162" s="10">
        <v>45978</v>
      </c>
      <c r="B162" s="11" t="s">
        <v>3</v>
      </c>
      <c r="C162" s="45">
        <f>COUNTIFS(RawData!$B:$B, $B162, RawData!$A:$A, DailySummaries!$A162)</f>
        <v>6</v>
      </c>
      <c r="D162" s="45">
        <f>SUMIFS(RawData!$D:$D,RawData!$B:$B,$B162,RawData!$A:$A,DailySummaries!$A162)+1</f>
        <v>10</v>
      </c>
      <c r="E162" s="45">
        <f>SUMIFS(RawData!$E:$E,RawData!$B:$B,$B162,RawData!$A:$A,DailySummaries!$A162)+1</f>
        <v>14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2025-11-18T09:58:28Z</dcterms:modified>
</cp:coreProperties>
</file>
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967502FD-0FFF-BB4B-9E1E-00361320F6C1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7" i="2" l="1"/>
  <c r="D297" i="2"/>
  <c r="E297" i="2"/>
  <c r="C298" i="2"/>
  <c r="D298" i="2"/>
  <c r="E298" i="2"/>
  <c r="C299" i="2"/>
  <c r="D299" i="2"/>
  <c r="E299" i="2"/>
  <c r="C7713" i="1"/>
  <c r="C7714" i="1" s="1"/>
  <c r="C7715" i="1" s="1"/>
  <c r="C7716" i="1" s="1"/>
  <c r="C7717" i="1" s="1"/>
  <c r="C7718" i="1" s="1"/>
  <c r="C7719" i="1" s="1"/>
  <c r="C7720" i="1" s="1"/>
  <c r="C7721" i="1" s="1"/>
  <c r="C7722" i="1" s="1"/>
  <c r="C7723" i="1" s="1"/>
  <c r="C7724" i="1" s="1"/>
  <c r="C7725" i="1" s="1"/>
  <c r="C7726" i="1" s="1"/>
  <c r="C7727" i="1" s="1"/>
  <c r="C7728" i="1" s="1"/>
  <c r="C7729" i="1" s="1"/>
  <c r="C7730" i="1" s="1"/>
  <c r="C7731" i="1" s="1"/>
  <c r="C7732" i="1" s="1"/>
  <c r="C7733" i="1" s="1"/>
  <c r="C7734" i="1" s="1"/>
  <c r="C7735" i="1" s="1"/>
  <c r="C7736" i="1" s="1"/>
  <c r="C7737" i="1" s="1"/>
  <c r="C7738" i="1" s="1"/>
  <c r="C7739" i="1" s="1"/>
  <c r="C7740" i="1" s="1"/>
  <c r="C7741" i="1" s="1"/>
  <c r="C7742" i="1" s="1"/>
  <c r="C7743" i="1" s="1"/>
  <c r="C7744" i="1" s="1"/>
  <c r="C7745" i="1" s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H7713" i="1" l="1"/>
  <c r="A7714" i="1"/>
  <c r="Q6381" i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H7714" i="1" l="1"/>
  <c r="A7715" i="1"/>
  <c r="B7713" i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B7714" i="1" l="1"/>
  <c r="P7713" i="1" a="1"/>
  <c r="P7713" i="1" s="1"/>
  <c r="Q7713" i="1" a="1"/>
  <c r="Q7713" i="1" s="1"/>
  <c r="L7713" i="1" a="1"/>
  <c r="L7713" i="1" s="1"/>
  <c r="M7713" i="1" a="1"/>
  <c r="M7713" i="1" s="1"/>
  <c r="I7713" i="1" a="1"/>
  <c r="I7713" i="1" s="1"/>
  <c r="R7713" i="1" a="1"/>
  <c r="R7713" i="1" s="1"/>
  <c r="K7713" i="1" a="1"/>
  <c r="K7713" i="1" s="1"/>
  <c r="N7713" i="1" a="1"/>
  <c r="N7713" i="1" s="1"/>
  <c r="J7713" i="1" a="1"/>
  <c r="J7713" i="1" s="1"/>
  <c r="S7713" i="1" a="1"/>
  <c r="S7713" i="1" s="1"/>
  <c r="O7713" i="1" a="1"/>
  <c r="O7713" i="1" s="1"/>
  <c r="H7715" i="1"/>
  <c r="A7716" i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A7717" i="1" l="1"/>
  <c r="H7716" i="1"/>
  <c r="Q7714" i="1" a="1"/>
  <c r="Q7714" i="1" s="1"/>
  <c r="M7714" i="1" a="1"/>
  <c r="M7714" i="1" s="1"/>
  <c r="I7714" i="1" a="1"/>
  <c r="I7714" i="1" s="1"/>
  <c r="R7714" i="1" a="1"/>
  <c r="R7714" i="1" s="1"/>
  <c r="N7714" i="1" a="1"/>
  <c r="N7714" i="1" s="1"/>
  <c r="P7714" i="1" a="1"/>
  <c r="P7714" i="1" s="1"/>
  <c r="L7714" i="1" a="1"/>
  <c r="L7714" i="1" s="1"/>
  <c r="S7714" i="1" a="1"/>
  <c r="S7714" i="1" s="1"/>
  <c r="J7714" i="1" a="1"/>
  <c r="J7714" i="1" s="1"/>
  <c r="K7714" i="1" a="1"/>
  <c r="K7714" i="1" s="1"/>
  <c r="B7715" i="1"/>
  <c r="O7714" i="1" a="1"/>
  <c r="O7714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M7715" i="1" l="1" a="1"/>
  <c r="M7715" i="1" s="1"/>
  <c r="I7715" i="1" a="1"/>
  <c r="I7715" i="1" s="1"/>
  <c r="R7715" i="1" a="1"/>
  <c r="R7715" i="1" s="1"/>
  <c r="N7715" i="1" a="1"/>
  <c r="N7715" i="1" s="1"/>
  <c r="S7715" i="1" a="1"/>
  <c r="S7715" i="1" s="1"/>
  <c r="J7715" i="1" a="1"/>
  <c r="J7715" i="1" s="1"/>
  <c r="O7715" i="1" a="1"/>
  <c r="O7715" i="1" s="1"/>
  <c r="L7715" i="1" a="1"/>
  <c r="L7715" i="1" s="1"/>
  <c r="B7716" i="1"/>
  <c r="Q7715" i="1" a="1"/>
  <c r="Q7715" i="1" s="1"/>
  <c r="P7715" i="1" a="1"/>
  <c r="P7715" i="1" s="1"/>
  <c r="K7715" i="1" a="1"/>
  <c r="K7715" i="1" s="1"/>
  <c r="H7717" i="1"/>
  <c r="A7718" i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A7719" i="1" l="1"/>
  <c r="H7718" i="1"/>
  <c r="I7716" i="1" a="1"/>
  <c r="I7716" i="1" s="1"/>
  <c r="N7716" i="1" a="1"/>
  <c r="N7716" i="1" s="1"/>
  <c r="J7716" i="1" a="1"/>
  <c r="J7716" i="1" s="1"/>
  <c r="S7716" i="1" a="1"/>
  <c r="S7716" i="1" s="1"/>
  <c r="O7716" i="1" a="1"/>
  <c r="O7716" i="1" s="1"/>
  <c r="K7716" i="1" a="1"/>
  <c r="K7716" i="1" s="1"/>
  <c r="Q7716" i="1" a="1"/>
  <c r="Q7716" i="1" s="1"/>
  <c r="R7716" i="1" a="1"/>
  <c r="R7716" i="1" s="1"/>
  <c r="P7716" i="1" a="1"/>
  <c r="P7716" i="1" s="1"/>
  <c r="M7716" i="1" a="1"/>
  <c r="M7716" i="1" s="1"/>
  <c r="B7717" i="1"/>
  <c r="L7716" i="1" a="1"/>
  <c r="L7716" i="1" s="1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B7718" i="1" l="1"/>
  <c r="J7717" i="1" a="1"/>
  <c r="J7717" i="1" s="1"/>
  <c r="S7717" i="1" a="1"/>
  <c r="S7717" i="1" s="1"/>
  <c r="O7717" i="1" a="1"/>
  <c r="O7717" i="1" s="1"/>
  <c r="K7717" i="1" a="1"/>
  <c r="K7717" i="1" s="1"/>
  <c r="P7717" i="1" a="1"/>
  <c r="P7717" i="1" s="1"/>
  <c r="N7717" i="1" a="1"/>
  <c r="N7717" i="1" s="1"/>
  <c r="Q7717" i="1" a="1"/>
  <c r="Q7717" i="1" s="1"/>
  <c r="I7717" i="1" a="1"/>
  <c r="I7717" i="1" s="1"/>
  <c r="R7717" i="1" a="1"/>
  <c r="R7717" i="1" s="1"/>
  <c r="L7717" i="1" a="1"/>
  <c r="L7717" i="1" s="1"/>
  <c r="M7717" i="1" a="1"/>
  <c r="M7717" i="1" s="1"/>
  <c r="H7719" i="1"/>
  <c r="A7720" i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H7720" i="1" l="1"/>
  <c r="A7721" i="1"/>
  <c r="O7718" i="1" a="1"/>
  <c r="O7718" i="1" s="1"/>
  <c r="K7718" i="1" a="1"/>
  <c r="K7718" i="1" s="1"/>
  <c r="P7718" i="1" a="1"/>
  <c r="P7718" i="1" s="1"/>
  <c r="B7719" i="1"/>
  <c r="L7718" i="1" a="1"/>
  <c r="L7718" i="1" s="1"/>
  <c r="Q7718" i="1" a="1"/>
  <c r="Q7718" i="1" s="1"/>
  <c r="J7718" i="1" a="1"/>
  <c r="J7718" i="1" s="1"/>
  <c r="S7718" i="1" a="1"/>
  <c r="S7718" i="1" s="1"/>
  <c r="R7718" i="1" a="1"/>
  <c r="R7718" i="1" s="1"/>
  <c r="M7718" i="1" a="1"/>
  <c r="M7718" i="1" s="1"/>
  <c r="I7718" i="1" a="1"/>
  <c r="I7718" i="1" s="1"/>
  <c r="N7718" i="1" a="1"/>
  <c r="N7718" i="1" s="1"/>
  <c r="K6388" i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P7719" i="1" l="1" a="1"/>
  <c r="P7719" i="1" s="1"/>
  <c r="B7720" i="1"/>
  <c r="L7719" i="1" a="1"/>
  <c r="L7719" i="1" s="1"/>
  <c r="Q7719" i="1" a="1"/>
  <c r="Q7719" i="1" s="1"/>
  <c r="M7719" i="1" a="1"/>
  <c r="M7719" i="1" s="1"/>
  <c r="O7719" i="1" a="1"/>
  <c r="O7719" i="1" s="1"/>
  <c r="I7719" i="1" a="1"/>
  <c r="I7719" i="1" s="1"/>
  <c r="R7719" i="1" a="1"/>
  <c r="R7719" i="1" s="1"/>
  <c r="S7719" i="1" a="1"/>
  <c r="S7719" i="1" s="1"/>
  <c r="K7719" i="1" a="1"/>
  <c r="K7719" i="1" s="1"/>
  <c r="N7719" i="1" a="1"/>
  <c r="N7719" i="1" s="1"/>
  <c r="J7719" i="1" a="1"/>
  <c r="J7719" i="1" s="1"/>
  <c r="H7721" i="1"/>
  <c r="A7722" i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A7723" i="1" l="1"/>
  <c r="H7722" i="1"/>
  <c r="L7720" i="1" a="1"/>
  <c r="L7720" i="1" s="1"/>
  <c r="Q7720" i="1" a="1"/>
  <c r="Q7720" i="1" s="1"/>
  <c r="M7720" i="1" a="1"/>
  <c r="M7720" i="1" s="1"/>
  <c r="R7720" i="1" a="1"/>
  <c r="R7720" i="1" s="1"/>
  <c r="I7720" i="1" a="1"/>
  <c r="I7720" i="1" s="1"/>
  <c r="N7720" i="1" a="1"/>
  <c r="N7720" i="1" s="1"/>
  <c r="K7720" i="1" a="1"/>
  <c r="K7720" i="1" s="1"/>
  <c r="B7721" i="1"/>
  <c r="P7720" i="1" a="1"/>
  <c r="P7720" i="1" s="1"/>
  <c r="S7720" i="1" a="1"/>
  <c r="S7720" i="1" s="1"/>
  <c r="O7720" i="1" a="1"/>
  <c r="O7720" i="1" s="1"/>
  <c r="J7720" i="1" a="1"/>
  <c r="J7720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B7722" i="1" l="1"/>
  <c r="M7721" i="1" a="1"/>
  <c r="M7721" i="1" s="1"/>
  <c r="I7721" i="1" a="1"/>
  <c r="I7721" i="1" s="1"/>
  <c r="R7721" i="1" a="1"/>
  <c r="R7721" i="1" s="1"/>
  <c r="N7721" i="1" a="1"/>
  <c r="N7721" i="1" s="1"/>
  <c r="J7721" i="1" a="1"/>
  <c r="J7721" i="1" s="1"/>
  <c r="S7721" i="1" a="1"/>
  <c r="S7721" i="1" s="1"/>
  <c r="P7721" i="1" a="1"/>
  <c r="P7721" i="1" s="1"/>
  <c r="Q7721" i="1" a="1"/>
  <c r="Q7721" i="1" s="1"/>
  <c r="O7721" i="1" a="1"/>
  <c r="O7721" i="1" s="1"/>
  <c r="L7721" i="1" a="1"/>
  <c r="L7721" i="1" s="1"/>
  <c r="K7721" i="1" a="1"/>
  <c r="K7721" i="1" s="1"/>
  <c r="A7724" i="1"/>
  <c r="H7723" i="1"/>
  <c r="K6391" i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A7725" i="1" l="1"/>
  <c r="H7724" i="1"/>
  <c r="I7722" i="1" a="1"/>
  <c r="I7722" i="1" s="1"/>
  <c r="R7722" i="1" a="1"/>
  <c r="R7722" i="1" s="1"/>
  <c r="N7722" i="1" a="1"/>
  <c r="N7722" i="1" s="1"/>
  <c r="J7722" i="1" a="1"/>
  <c r="J7722" i="1" s="1"/>
  <c r="S7722" i="1" a="1"/>
  <c r="S7722" i="1" s="1"/>
  <c r="O7722" i="1" a="1"/>
  <c r="O7722" i="1" s="1"/>
  <c r="B7723" i="1"/>
  <c r="M7722" i="1" a="1"/>
  <c r="M7722" i="1" s="1"/>
  <c r="P7722" i="1" a="1"/>
  <c r="P7722" i="1" s="1"/>
  <c r="L7722" i="1" a="1"/>
  <c r="L7722" i="1" s="1"/>
  <c r="Q7722" i="1" a="1"/>
  <c r="Q7722" i="1" s="1"/>
  <c r="K7722" i="1" a="1"/>
  <c r="K7722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N7723" i="1" l="1" a="1"/>
  <c r="N7723" i="1" s="1"/>
  <c r="S7723" i="1" a="1"/>
  <c r="S7723" i="1" s="1"/>
  <c r="O7723" i="1" a="1"/>
  <c r="O7723" i="1" s="1"/>
  <c r="J7723" i="1" a="1"/>
  <c r="J7723" i="1" s="1"/>
  <c r="K7723" i="1" a="1"/>
  <c r="K7723" i="1" s="1"/>
  <c r="P7723" i="1" a="1"/>
  <c r="P7723" i="1" s="1"/>
  <c r="B7724" i="1"/>
  <c r="I7723" i="1" a="1"/>
  <c r="I7723" i="1" s="1"/>
  <c r="R7723" i="1" a="1"/>
  <c r="R7723" i="1" s="1"/>
  <c r="L7723" i="1" a="1"/>
  <c r="L7723" i="1" s="1"/>
  <c r="M7723" i="1" a="1"/>
  <c r="M7723" i="1" s="1"/>
  <c r="Q7723" i="1" a="1"/>
  <c r="Q7723" i="1" s="1"/>
  <c r="H7725" i="1"/>
  <c r="A7726" i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O7724" i="1" l="1" a="1"/>
  <c r="O7724" i="1" s="1"/>
  <c r="K7724" i="1" a="1"/>
  <c r="K7724" i="1" s="1"/>
  <c r="P7724" i="1" a="1"/>
  <c r="P7724" i="1" s="1"/>
  <c r="B7725" i="1"/>
  <c r="L7724" i="1" a="1"/>
  <c r="L7724" i="1" s="1"/>
  <c r="N7724" i="1" a="1"/>
  <c r="N7724" i="1" s="1"/>
  <c r="M7724" i="1" a="1"/>
  <c r="M7724" i="1" s="1"/>
  <c r="Q7724" i="1" a="1"/>
  <c r="Q7724" i="1" s="1"/>
  <c r="J7724" i="1" a="1"/>
  <c r="J7724" i="1" s="1"/>
  <c r="R7724" i="1" a="1"/>
  <c r="R7724" i="1" s="1"/>
  <c r="S7724" i="1" a="1"/>
  <c r="S7724" i="1" s="1"/>
  <c r="I7724" i="1" a="1"/>
  <c r="I7724" i="1" s="1"/>
  <c r="H7726" i="1"/>
  <c r="A7727" i="1"/>
  <c r="J6394" i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H7727" i="1" l="1"/>
  <c r="A7728" i="1"/>
  <c r="B7726" i="1"/>
  <c r="K7725" i="1" a="1"/>
  <c r="K7725" i="1" s="1"/>
  <c r="P7725" i="1" a="1"/>
  <c r="P7725" i="1" s="1"/>
  <c r="L7725" i="1" a="1"/>
  <c r="L7725" i="1" s="1"/>
  <c r="Q7725" i="1" a="1"/>
  <c r="Q7725" i="1" s="1"/>
  <c r="M7725" i="1" a="1"/>
  <c r="M7725" i="1" s="1"/>
  <c r="J7725" i="1" a="1"/>
  <c r="J7725" i="1" s="1"/>
  <c r="S7725" i="1" a="1"/>
  <c r="S7725" i="1" s="1"/>
  <c r="O7725" i="1" a="1"/>
  <c r="O7725" i="1" s="1"/>
  <c r="R7725" i="1" a="1"/>
  <c r="R7725" i="1" s="1"/>
  <c r="N7725" i="1" a="1"/>
  <c r="N7725" i="1" s="1"/>
  <c r="I7725" i="1" a="1"/>
  <c r="I7725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H7728" i="1" l="1"/>
  <c r="A7729" i="1"/>
  <c r="L7726" i="1" a="1"/>
  <c r="L7726" i="1" s="1"/>
  <c r="Q7726" i="1" a="1"/>
  <c r="Q7726" i="1" s="1"/>
  <c r="M7726" i="1" a="1"/>
  <c r="M7726" i="1" s="1"/>
  <c r="I7726" i="1" a="1"/>
  <c r="I7726" i="1" s="1"/>
  <c r="R7726" i="1" a="1"/>
  <c r="R7726" i="1" s="1"/>
  <c r="O7726" i="1" a="1"/>
  <c r="O7726" i="1" s="1"/>
  <c r="P7726" i="1" a="1"/>
  <c r="P7726" i="1" s="1"/>
  <c r="B7727" i="1"/>
  <c r="S7726" i="1" a="1"/>
  <c r="S7726" i="1" s="1"/>
  <c r="J7726" i="1" a="1"/>
  <c r="J7726" i="1" s="1"/>
  <c r="K7726" i="1" a="1"/>
  <c r="K7726" i="1" s="1"/>
  <c r="N7726" i="1" a="1"/>
  <c r="N7726" i="1" s="1"/>
  <c r="K6396" i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Q7727" i="1" l="1" a="1"/>
  <c r="Q7727" i="1" s="1"/>
  <c r="M7727" i="1" a="1"/>
  <c r="M7727" i="1" s="1"/>
  <c r="I7727" i="1" a="1"/>
  <c r="I7727" i="1" s="1"/>
  <c r="R7727" i="1" a="1"/>
  <c r="R7727" i="1" s="1"/>
  <c r="N7727" i="1" a="1"/>
  <c r="N7727" i="1" s="1"/>
  <c r="S7727" i="1" a="1"/>
  <c r="S7727" i="1" s="1"/>
  <c r="B7728" i="1"/>
  <c r="L7727" i="1" a="1"/>
  <c r="L7727" i="1" s="1"/>
  <c r="O7727" i="1" a="1"/>
  <c r="O7727" i="1" s="1"/>
  <c r="J7727" i="1" a="1"/>
  <c r="J7727" i="1" s="1"/>
  <c r="P7727" i="1" a="1"/>
  <c r="P7727" i="1" s="1"/>
  <c r="K7727" i="1" a="1"/>
  <c r="K7727" i="1" s="1"/>
  <c r="H7729" i="1"/>
  <c r="A7730" i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M7728" i="1" l="1" a="1"/>
  <c r="M7728" i="1" s="1"/>
  <c r="R7728" i="1" a="1"/>
  <c r="R7728" i="1" s="1"/>
  <c r="I7728" i="1" a="1"/>
  <c r="I7728" i="1" s="1"/>
  <c r="N7728" i="1" a="1"/>
  <c r="N7728" i="1" s="1"/>
  <c r="J7728" i="1" a="1"/>
  <c r="J7728" i="1" s="1"/>
  <c r="S7728" i="1" a="1"/>
  <c r="S7728" i="1" s="1"/>
  <c r="O7728" i="1" a="1"/>
  <c r="O7728" i="1" s="1"/>
  <c r="Q7728" i="1" a="1"/>
  <c r="Q7728" i="1" s="1"/>
  <c r="K7728" i="1" a="1"/>
  <c r="K7728" i="1" s="1"/>
  <c r="B7729" i="1"/>
  <c r="P7728" i="1" a="1"/>
  <c r="P7728" i="1" s="1"/>
  <c r="L7728" i="1" a="1"/>
  <c r="L7728" i="1" s="1"/>
  <c r="A7731" i="1"/>
  <c r="H7730" i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A7732" i="1" l="1"/>
  <c r="H7731" i="1"/>
  <c r="B7730" i="1"/>
  <c r="N7729" i="1" a="1"/>
  <c r="N7729" i="1" s="1"/>
  <c r="S7729" i="1" a="1"/>
  <c r="S7729" i="1" s="1"/>
  <c r="J7729" i="1" a="1"/>
  <c r="J7729" i="1" s="1"/>
  <c r="O7729" i="1" a="1"/>
  <c r="O7729" i="1" s="1"/>
  <c r="K7729" i="1" a="1"/>
  <c r="K7729" i="1" s="1"/>
  <c r="M7729" i="1" a="1"/>
  <c r="M7729" i="1" s="1"/>
  <c r="P7729" i="1" a="1"/>
  <c r="P7729" i="1" s="1"/>
  <c r="Q7729" i="1" a="1"/>
  <c r="Q7729" i="1" s="1"/>
  <c r="L7729" i="1" a="1"/>
  <c r="L7729" i="1" s="1"/>
  <c r="I7729" i="1" a="1"/>
  <c r="I7729" i="1" s="1"/>
  <c r="R7729" i="1" a="1"/>
  <c r="R7729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J7730" i="1" l="1" a="1"/>
  <c r="J7730" i="1" s="1"/>
  <c r="S7730" i="1" a="1"/>
  <c r="S7730" i="1" s="1"/>
  <c r="O7730" i="1" a="1"/>
  <c r="O7730" i="1" s="1"/>
  <c r="P7730" i="1" a="1"/>
  <c r="P7730" i="1" s="1"/>
  <c r="K7730" i="1" a="1"/>
  <c r="K7730" i="1" s="1"/>
  <c r="B7731" i="1"/>
  <c r="L7730" i="1" a="1"/>
  <c r="L7730" i="1" s="1"/>
  <c r="I7730" i="1" a="1"/>
  <c r="I7730" i="1" s="1"/>
  <c r="R7730" i="1" a="1"/>
  <c r="R7730" i="1" s="1"/>
  <c r="N7730" i="1" a="1"/>
  <c r="N7730" i="1" s="1"/>
  <c r="M7730" i="1" a="1"/>
  <c r="M7730" i="1" s="1"/>
  <c r="Q7730" i="1" a="1"/>
  <c r="Q7730" i="1" s="1"/>
  <c r="H7732" i="1"/>
  <c r="A7733" i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H7733" i="1" l="1"/>
  <c r="A7734" i="1"/>
  <c r="K7731" i="1" a="1"/>
  <c r="K7731" i="1" s="1"/>
  <c r="P7731" i="1" a="1"/>
  <c r="P7731" i="1" s="1"/>
  <c r="B7732" i="1"/>
  <c r="L7731" i="1" a="1"/>
  <c r="L7731" i="1" s="1"/>
  <c r="Q7731" i="1" a="1"/>
  <c r="Q7731" i="1" s="1"/>
  <c r="N7731" i="1" a="1"/>
  <c r="N7731" i="1" s="1"/>
  <c r="O7731" i="1" a="1"/>
  <c r="O7731" i="1" s="1"/>
  <c r="R7731" i="1" a="1"/>
  <c r="R7731" i="1" s="1"/>
  <c r="M7731" i="1" a="1"/>
  <c r="M7731" i="1" s="1"/>
  <c r="J7731" i="1" a="1"/>
  <c r="J7731" i="1" s="1"/>
  <c r="I7731" i="1" a="1"/>
  <c r="I7731" i="1" s="1"/>
  <c r="S7731" i="1" a="1"/>
  <c r="S7731" i="1" s="1"/>
  <c r="J6401" i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P7732" i="1" l="1" a="1"/>
  <c r="P7732" i="1" s="1"/>
  <c r="B7733" i="1"/>
  <c r="L7732" i="1" a="1"/>
  <c r="L7732" i="1" s="1"/>
  <c r="Q7732" i="1" a="1"/>
  <c r="Q7732" i="1" s="1"/>
  <c r="M7732" i="1" a="1"/>
  <c r="M7732" i="1" s="1"/>
  <c r="R7732" i="1" a="1"/>
  <c r="R7732" i="1" s="1"/>
  <c r="K7732" i="1" a="1"/>
  <c r="K7732" i="1" s="1"/>
  <c r="N7732" i="1" a="1"/>
  <c r="N7732" i="1" s="1"/>
  <c r="I7732" i="1" a="1"/>
  <c r="I7732" i="1" s="1"/>
  <c r="S7732" i="1" a="1"/>
  <c r="S7732" i="1" s="1"/>
  <c r="J7732" i="1" a="1"/>
  <c r="J7732" i="1" s="1"/>
  <c r="O7732" i="1" a="1"/>
  <c r="O7732" i="1" s="1"/>
  <c r="H7734" i="1"/>
  <c r="A7735" i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A7736" i="1" l="1"/>
  <c r="H7735" i="1"/>
  <c r="B7734" i="1"/>
  <c r="L7733" i="1" a="1"/>
  <c r="L7733" i="1" s="1"/>
  <c r="Q7733" i="1" a="1"/>
  <c r="Q7733" i="1" s="1"/>
  <c r="M7733" i="1" a="1"/>
  <c r="M7733" i="1" s="1"/>
  <c r="I7733" i="1" a="1"/>
  <c r="I7733" i="1" s="1"/>
  <c r="R7733" i="1" a="1"/>
  <c r="R7733" i="1" s="1"/>
  <c r="N7733" i="1" a="1"/>
  <c r="N7733" i="1" s="1"/>
  <c r="P7733" i="1" a="1"/>
  <c r="P7733" i="1" s="1"/>
  <c r="S7733" i="1" a="1"/>
  <c r="S7733" i="1" s="1"/>
  <c r="J7733" i="1" a="1"/>
  <c r="J7733" i="1" s="1"/>
  <c r="K7733" i="1" a="1"/>
  <c r="K7733" i="1" s="1"/>
  <c r="O7733" i="1" a="1"/>
  <c r="O7733" i="1" s="1"/>
  <c r="J6403" i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M7734" i="1" l="1" a="1"/>
  <c r="M7734" i="1" s="1"/>
  <c r="I7734" i="1" a="1"/>
  <c r="I7734" i="1" s="1"/>
  <c r="R7734" i="1" a="1"/>
  <c r="R7734" i="1" s="1"/>
  <c r="N7734" i="1" a="1"/>
  <c r="N7734" i="1" s="1"/>
  <c r="J7734" i="1" a="1"/>
  <c r="J7734" i="1" s="1"/>
  <c r="S7734" i="1" a="1"/>
  <c r="S7734" i="1" s="1"/>
  <c r="L7734" i="1" a="1"/>
  <c r="L7734" i="1" s="1"/>
  <c r="B7735" i="1"/>
  <c r="O7734" i="1" a="1"/>
  <c r="O7734" i="1" s="1"/>
  <c r="K7734" i="1" a="1"/>
  <c r="K7734" i="1" s="1"/>
  <c r="P7734" i="1" a="1"/>
  <c r="P7734" i="1" s="1"/>
  <c r="Q7734" i="1" a="1"/>
  <c r="Q7734" i="1" s="1"/>
  <c r="A7737" i="1"/>
  <c r="H7736" i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I7735" i="1" l="1" a="1"/>
  <c r="I7735" i="1" s="1"/>
  <c r="R7735" i="1" a="1"/>
  <c r="R7735" i="1" s="1"/>
  <c r="N7735" i="1" a="1"/>
  <c r="N7735" i="1" s="1"/>
  <c r="S7735" i="1" a="1"/>
  <c r="S7735" i="1" s="1"/>
  <c r="O7735" i="1" a="1"/>
  <c r="O7735" i="1" s="1"/>
  <c r="J7735" i="1" a="1"/>
  <c r="J7735" i="1" s="1"/>
  <c r="K7735" i="1" a="1"/>
  <c r="K7735" i="1" s="1"/>
  <c r="Q7735" i="1" a="1"/>
  <c r="Q7735" i="1" s="1"/>
  <c r="M7735" i="1" a="1"/>
  <c r="M7735" i="1" s="1"/>
  <c r="B7736" i="1"/>
  <c r="L7735" i="1" a="1"/>
  <c r="L7735" i="1" s="1"/>
  <c r="P7735" i="1" a="1"/>
  <c r="P7735" i="1" s="1"/>
  <c r="H7737" i="1"/>
  <c r="A7738" i="1"/>
  <c r="K6405" i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J7736" i="1" l="1" a="1"/>
  <c r="J7736" i="1" s="1"/>
  <c r="S7736" i="1" a="1"/>
  <c r="S7736" i="1" s="1"/>
  <c r="O7736" i="1" a="1"/>
  <c r="O7736" i="1" s="1"/>
  <c r="K7736" i="1" a="1"/>
  <c r="K7736" i="1" s="1"/>
  <c r="P7736" i="1" a="1"/>
  <c r="P7736" i="1" s="1"/>
  <c r="B7737" i="1"/>
  <c r="M7736" i="1" a="1"/>
  <c r="M7736" i="1" s="1"/>
  <c r="N7736" i="1" a="1"/>
  <c r="N7736" i="1" s="1"/>
  <c r="Q7736" i="1" a="1"/>
  <c r="Q7736" i="1" s="1"/>
  <c r="R7736" i="1" a="1"/>
  <c r="R7736" i="1" s="1"/>
  <c r="I7736" i="1" a="1"/>
  <c r="I7736" i="1" s="1"/>
  <c r="L7736" i="1" a="1"/>
  <c r="L7736" i="1" s="1"/>
  <c r="H7738" i="1"/>
  <c r="A7739" i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B7738" i="1" l="1"/>
  <c r="O7737" i="1" a="1"/>
  <c r="O7737" i="1" s="1"/>
  <c r="K7737" i="1" a="1"/>
  <c r="K7737" i="1" s="1"/>
  <c r="P7737" i="1" a="1"/>
  <c r="P7737" i="1" s="1"/>
  <c r="L7737" i="1" a="1"/>
  <c r="L7737" i="1" s="1"/>
  <c r="Q7737" i="1" a="1"/>
  <c r="Q7737" i="1" s="1"/>
  <c r="J7737" i="1" a="1"/>
  <c r="J7737" i="1" s="1"/>
  <c r="S7737" i="1" a="1"/>
  <c r="S7737" i="1" s="1"/>
  <c r="M7737" i="1" a="1"/>
  <c r="M7737" i="1" s="1"/>
  <c r="R7737" i="1" a="1"/>
  <c r="R7737" i="1" s="1"/>
  <c r="N7737" i="1" a="1"/>
  <c r="N7737" i="1" s="1"/>
  <c r="I7737" i="1" a="1"/>
  <c r="I7737" i="1" s="1"/>
  <c r="H7739" i="1"/>
  <c r="A7740" i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H7740" i="1" l="1"/>
  <c r="A7741" i="1"/>
  <c r="K7738" i="1" a="1"/>
  <c r="K7738" i="1" s="1"/>
  <c r="P7738" i="1" a="1"/>
  <c r="P7738" i="1" s="1"/>
  <c r="B7739" i="1"/>
  <c r="Q7738" i="1" a="1"/>
  <c r="Q7738" i="1" s="1"/>
  <c r="L7738" i="1" a="1"/>
  <c r="L7738" i="1" s="1"/>
  <c r="M7738" i="1" a="1"/>
  <c r="M7738" i="1" s="1"/>
  <c r="O7738" i="1" a="1"/>
  <c r="O7738" i="1" s="1"/>
  <c r="R7738" i="1" a="1"/>
  <c r="R7738" i="1" s="1"/>
  <c r="I7738" i="1" a="1"/>
  <c r="I7738" i="1" s="1"/>
  <c r="J7738" i="1" a="1"/>
  <c r="J7738" i="1" s="1"/>
  <c r="N7738" i="1" a="1"/>
  <c r="N7738" i="1" s="1"/>
  <c r="S7738" i="1" a="1"/>
  <c r="S7738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L7739" i="1" l="1" a="1"/>
  <c r="L7739" i="1" s="1"/>
  <c r="Q7739" i="1" a="1"/>
  <c r="Q7739" i="1" s="1"/>
  <c r="M7739" i="1" a="1"/>
  <c r="M7739" i="1" s="1"/>
  <c r="I7739" i="1" a="1"/>
  <c r="I7739" i="1" s="1"/>
  <c r="R7739" i="1" a="1"/>
  <c r="R7739" i="1" s="1"/>
  <c r="K7739" i="1" a="1"/>
  <c r="K7739" i="1" s="1"/>
  <c r="B7740" i="1"/>
  <c r="O7739" i="1" a="1"/>
  <c r="O7739" i="1" s="1"/>
  <c r="S7739" i="1" a="1"/>
  <c r="S7739" i="1" s="1"/>
  <c r="J7739" i="1" a="1"/>
  <c r="J7739" i="1" s="1"/>
  <c r="N7739" i="1" a="1"/>
  <c r="N7739" i="1" s="1"/>
  <c r="P7739" i="1" a="1"/>
  <c r="P7739" i="1" s="1"/>
  <c r="H7741" i="1"/>
  <c r="A7742" i="1"/>
  <c r="K6409" i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Q7740" i="1" l="1" a="1"/>
  <c r="Q7740" i="1" s="1"/>
  <c r="M7740" i="1" a="1"/>
  <c r="M7740" i="1" s="1"/>
  <c r="R7740" i="1" a="1"/>
  <c r="R7740" i="1" s="1"/>
  <c r="N7740" i="1" a="1"/>
  <c r="N7740" i="1" s="1"/>
  <c r="I7740" i="1" a="1"/>
  <c r="I7740" i="1" s="1"/>
  <c r="J7740" i="1" a="1"/>
  <c r="J7740" i="1" s="1"/>
  <c r="S7740" i="1" a="1"/>
  <c r="S7740" i="1" s="1"/>
  <c r="P7740" i="1" a="1"/>
  <c r="P7740" i="1" s="1"/>
  <c r="K7740" i="1" a="1"/>
  <c r="K7740" i="1" s="1"/>
  <c r="B7741" i="1"/>
  <c r="L7740" i="1" a="1"/>
  <c r="L7740" i="1" s="1"/>
  <c r="O7740" i="1" a="1"/>
  <c r="O7740" i="1" s="1"/>
  <c r="A7743" i="1"/>
  <c r="H7742" i="1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A7744" i="1" l="1"/>
  <c r="H7743" i="1"/>
  <c r="B7742" i="1"/>
  <c r="I7741" i="1" a="1"/>
  <c r="I7741" i="1" s="1"/>
  <c r="R7741" i="1" a="1"/>
  <c r="R7741" i="1" s="1"/>
  <c r="N7741" i="1" a="1"/>
  <c r="N7741" i="1" s="1"/>
  <c r="S7741" i="1" a="1"/>
  <c r="S7741" i="1" s="1"/>
  <c r="J7741" i="1" a="1"/>
  <c r="J7741" i="1" s="1"/>
  <c r="O7741" i="1" a="1"/>
  <c r="O7741" i="1" s="1"/>
  <c r="L7741" i="1" a="1"/>
  <c r="L7741" i="1" s="1"/>
  <c r="K7741" i="1" a="1"/>
  <c r="K7741" i="1" s="1"/>
  <c r="M7741" i="1" a="1"/>
  <c r="M7741" i="1" s="1"/>
  <c r="P7741" i="1" a="1"/>
  <c r="P7741" i="1" s="1"/>
  <c r="Q7741" i="1" a="1"/>
  <c r="Q7741" i="1" s="1"/>
  <c r="K6411" i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N7742" i="1" l="1" a="1"/>
  <c r="N7742" i="1" s="1"/>
  <c r="J7742" i="1" a="1"/>
  <c r="J7742" i="1" s="1"/>
  <c r="S7742" i="1" a="1"/>
  <c r="S7742" i="1" s="1"/>
  <c r="O7742" i="1" a="1"/>
  <c r="O7742" i="1" s="1"/>
  <c r="P7742" i="1" a="1"/>
  <c r="P7742" i="1" s="1"/>
  <c r="B7743" i="1"/>
  <c r="K7742" i="1" a="1"/>
  <c r="K7742" i="1" s="1"/>
  <c r="I7742" i="1" a="1"/>
  <c r="I7742" i="1" s="1"/>
  <c r="R7742" i="1" a="1"/>
  <c r="R7742" i="1" s="1"/>
  <c r="M7742" i="1" a="1"/>
  <c r="M7742" i="1" s="1"/>
  <c r="L7742" i="1" a="1"/>
  <c r="L7742" i="1" s="1"/>
  <c r="Q7742" i="1" a="1"/>
  <c r="Q7742" i="1" s="1"/>
  <c r="A7745" i="1"/>
  <c r="H7744" i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H7745" i="1" l="1"/>
  <c r="J7743" i="1" a="1"/>
  <c r="J7743" i="1" s="1"/>
  <c r="O7743" i="1" a="1"/>
  <c r="O7743" i="1" s="1"/>
  <c r="P7743" i="1" a="1"/>
  <c r="P7743" i="1" s="1"/>
  <c r="K7743" i="1" a="1"/>
  <c r="K7743" i="1" s="1"/>
  <c r="B7744" i="1"/>
  <c r="L7743" i="1" a="1"/>
  <c r="L7743" i="1" s="1"/>
  <c r="N7743" i="1" a="1"/>
  <c r="N7743" i="1" s="1"/>
  <c r="Q7743" i="1" a="1"/>
  <c r="Q7743" i="1" s="1"/>
  <c r="I7743" i="1" a="1"/>
  <c r="I7743" i="1" s="1"/>
  <c r="R7743" i="1" a="1"/>
  <c r="R7743" i="1" s="1"/>
  <c r="S7743" i="1" a="1"/>
  <c r="S7743" i="1" s="1"/>
  <c r="M7743" i="1" a="1"/>
  <c r="M7743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K7744" i="1" a="1"/>
  <c r="K7744" i="1" s="1"/>
  <c r="P7744" i="1" a="1"/>
  <c r="P7744" i="1" s="1"/>
  <c r="L7744" i="1" a="1"/>
  <c r="L7744" i="1" s="1"/>
  <c r="B7745" i="1"/>
  <c r="C192" i="2" s="1"/>
  <c r="Q7744" i="1" a="1"/>
  <c r="Q7744" i="1" s="1"/>
  <c r="J7744" i="1" a="1"/>
  <c r="J7744" i="1" s="1"/>
  <c r="S7744" i="1" a="1"/>
  <c r="S7744" i="1" s="1"/>
  <c r="M7744" i="1" a="1"/>
  <c r="M7744" i="1" s="1"/>
  <c r="N7744" i="1" a="1"/>
  <c r="N7744" i="1" s="1"/>
  <c r="I7744" i="1" a="1"/>
  <c r="I7744" i="1" s="1"/>
  <c r="R7744" i="1" a="1"/>
  <c r="R7744" i="1" s="1"/>
  <c r="O7744" i="1" a="1"/>
  <c r="O7744" i="1" s="1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P7745" i="1" a="1"/>
  <c r="P7745" i="1" s="1"/>
  <c r="L7745" i="1" a="1"/>
  <c r="L7745" i="1" s="1"/>
  <c r="M7745" i="1" a="1"/>
  <c r="M7745" i="1" s="1"/>
  <c r="Q7745" i="1" a="1"/>
  <c r="Q7745" i="1" s="1"/>
  <c r="R7745" i="1" a="1"/>
  <c r="R7745" i="1" s="1"/>
  <c r="I7745" i="1" a="1"/>
  <c r="I7745" i="1" s="1"/>
  <c r="O7745" i="1" a="1"/>
  <c r="O7745" i="1" s="1"/>
  <c r="J7745" i="1" a="1"/>
  <c r="J7745" i="1" s="1"/>
  <c r="K7745" i="1" a="1"/>
  <c r="K7745" i="1" s="1"/>
  <c r="S7745" i="1" a="1"/>
  <c r="S7745" i="1" s="1"/>
  <c r="N7745" i="1" a="1"/>
  <c r="N7745" i="1" s="1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<sst xmlns="http://schemas.openxmlformats.org/spreadsheetml/2006/main" count="76795" uniqueCount="26">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</sst>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745"/>
  <sheetViews>
    <sheetView zoomScale="90" zoomScaleNormal="90" workbookViewId="0">
      <pane ySplit="1" topLeftCell="A7712" activePane="bottomLeft" state="frozen"/>
      <selection pane="bottomLeft" activeCell="D7713" sqref="D7713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tr">
        <f t="shared" ref="A7713:C7713" si="1406">B7712</f>
        <v>Northern Cardinal</v>
      </c>
      <c r="C7713" s="6">
        <f t="shared" si="1406"/>
        <v>0.74444444444444446</v>
      </c>
      <c r="D7713" s="5"/>
      <c r="E7713" s="5"/>
      <c r="F7713" s="5" t="s">
        <v>9</v>
      </c>
      <c r="G7713" s="15" t="s">
        <v>8</v>
      </c>
      <c r="H7713" s="24">
        <f t="shared" ref="H7707:H7745" si="1407">IFERROR((($A7713+$C7713) - ($A7712+$C7712))*24*60, "")</f>
        <v>1440</v>
      </c>
      <c r="I7713" s="24" cm="1">
        <f t="array" ref="I7713">IFERROR(IF($B7713=I$1, ($A7713+$C7713) - MAX(IF($B$2:$B7712=$B7713, $A$2:$A7712+$C$2:$C7712)), "")*24*60, "")</f>
        <v>1440</v>
      </c>
      <c r="J7713" s="24" t="str" cm="1">
        <f t="array" ref="J7713">IFERROR(IF($B7713=J$1, ($A7713+$C7713) - MAX(IF($B$2:$B7712=$B7713, $A$2:$A7712+$C$2:$C7712)), "")*24*60, "")</f>
        <v/>
      </c>
      <c r="K7713" s="24" t="str" cm="1">
        <f t="array" ref="K7713">IFERROR(IF($B7713=K$1, ($A7713+$C7713) - MAX(IF($B$2:$B7712=$B7713, $A$2:$A7712+$C$2:$C7712)), "")*24*60, "")</f>
        <v/>
      </c>
      <c r="L7713" s="24" t="str" cm="1">
        <f t="array" ref="L7713">IFERROR(IF($B7713=L$1, ($A7713+$C7713) - MAX(IF($B$2:$B7712=$B7713, $A$2:$A7712+$C$2:$C7712)), "")*24*60, "")</f>
        <v/>
      </c>
      <c r="M7713" s="24" t="str" cm="1">
        <f t="array" ref="M7713">IFERROR(IF($B7713=M$1, ($A7713+$C7713) - MAX(IF($B$2:$B7712=$B7713, $A$2:$A7712+$C$2:$C7712)), "")*24*60, "")</f>
        <v/>
      </c>
      <c r="N7713" s="24" t="str" cm="1">
        <f t="array" ref="N7713">IFERROR(IF($B7713=N$1, ($A7713+$C7713) - MAX(IF($B$2:$B7712=$B7713, $A$2:$A7712+$C$2:$C7712)), "")*24*60, "")</f>
        <v/>
      </c>
      <c r="O7713" s="24" t="str" cm="1">
        <f t="array" ref="O7713">IFERROR(IF($B7713=O$1, ($A7713+$C7713) - MAX(IF($B$2:$B7712=$B7713, $A$2:$A7712+$C$2:$C7712)), "")*24*60, "")</f>
        <v/>
      </c>
      <c r="P7713" s="24" t="str" cm="1">
        <f t="array" ref="P7713">IFERROR(IF($B7713=P$1, ($A7713+$C7713) - MAX(IF($B$2:$B7712=$B7713, $A$2:$A7712+$C$2:$C7712)), "")*24*60, "")</f>
        <v/>
      </c>
      <c r="Q7713" s="24" t="str" cm="1">
        <f t="array" ref="Q7713">IFERROR(IF($B7713=Q$1, ($A7713+$C7713) - MAX(IF($B$2:$B7712=$B7713, $A$2:$A7712+$C$2:$C7712)), "")*24*60, "")</f>
        <v/>
      </c>
      <c r="R7713" s="24" t="str" cm="1">
        <f t="array" ref="R7713">IFERROR(IF($B7713=R$1, ($A7713+$C7713) - MAX(IF($B$2:$B7712=$B7713, $A$2:$A7712+$C$2:$C7712)), "")*24*60, "")</f>
        <v/>
      </c>
      <c r="S7713" s="24" t="str" cm="1">
        <f t="array" ref="S7713">IFERROR(IF($B7713=S$1, ($A7713+$C7713) - MAX(IF($B$2:$B7712=$B7713, $A$2:$A7712+$C$2:$C7712)), "")*24*60, "")</f>
        <v/>
      </c>
    </row>
    <row r="7714" spans="1:19" x14ac:dyDescent="0.2">
      <c r="A7714" s="12">
        <f t="shared" ref="A7714:C7714" si="1408">A7713</f>
        <v>46019</v>
      </c>
      <c r="B7714" s="5" t="str">
        <f t="shared" si="1408"/>
        <v>Northern Cardinal</v>
      </c>
      <c r="C7714" s="6">
        <f t="shared" si="1408"/>
        <v>0.74444444444444446</v>
      </c>
      <c r="D7714" s="5"/>
      <c r="E7714" s="5"/>
      <c r="F7714" s="5" t="s">
        <v>9</v>
      </c>
      <c r="G7714" s="15" t="s">
        <v>8</v>
      </c>
      <c r="H7714" s="24">
        <f t="shared" si="1407"/>
        <v>0</v>
      </c>
      <c r="I7714" s="24" cm="1">
        <f t="array" ref="I7714">IFERROR(IF($B7714=I$1, ($A7714+$C7714) - MAX(IF($B$2:$B7713=$B7714, $A$2:$A7713+$C$2:$C7713)), "")*24*60, "")</f>
        <v>0</v>
      </c>
      <c r="J7714" s="24" t="str" cm="1">
        <f t="array" ref="J7714">IFERROR(IF($B7714=J$1, ($A7714+$C7714) - MAX(IF($B$2:$B7713=$B7714, $A$2:$A7713+$C$2:$C7713)), "")*24*60, "")</f>
        <v/>
      </c>
      <c r="K7714" s="24" t="str" cm="1">
        <f t="array" ref="K7714">IFERROR(IF($B7714=K$1, ($A7714+$C7714) - MAX(IF($B$2:$B7713=$B7714, $A$2:$A7713+$C$2:$C7713)), "")*24*60, "")</f>
        <v/>
      </c>
      <c r="L7714" s="24" t="str" cm="1">
        <f t="array" ref="L7714">IFERROR(IF($B7714=L$1, ($A7714+$C7714) - MAX(IF($B$2:$B7713=$B7714, $A$2:$A7713+$C$2:$C7713)), "")*24*60, "")</f>
        <v/>
      </c>
      <c r="M7714" s="24" t="str" cm="1">
        <f t="array" ref="M7714">IFERROR(IF($B7714=M$1, ($A7714+$C7714) - MAX(IF($B$2:$B7713=$B7714, $A$2:$A7713+$C$2:$C7713)), "")*24*60, "")</f>
        <v/>
      </c>
      <c r="N7714" s="24" t="str" cm="1">
        <f t="array" ref="N7714">IFERROR(IF($B7714=N$1, ($A7714+$C7714) - MAX(IF($B$2:$B7713=$B7714, $A$2:$A7713+$C$2:$C7713)), "")*24*60, "")</f>
        <v/>
      </c>
      <c r="O7714" s="24" t="str" cm="1">
        <f t="array" ref="O7714">IFERROR(IF($B7714=O$1, ($A7714+$C7714) - MAX(IF($B$2:$B7713=$B7714, $A$2:$A7713+$C$2:$C7713)), "")*24*60, "")</f>
        <v/>
      </c>
      <c r="P7714" s="24" t="str" cm="1">
        <f t="array" ref="P7714">IFERROR(IF($B7714=P$1, ($A7714+$C7714) - MAX(IF($B$2:$B7713=$B7714, $A$2:$A7713+$C$2:$C7713)), "")*24*60, "")</f>
        <v/>
      </c>
      <c r="Q7714" s="24" t="str" cm="1">
        <f t="array" ref="Q7714">IFERROR(IF($B7714=Q$1, ($A7714+$C7714) - MAX(IF($B$2:$B7713=$B7714, $A$2:$A7713+$C$2:$C7713)), "")*24*60, "")</f>
        <v/>
      </c>
      <c r="R7714" s="24" t="str" cm="1">
        <f t="array" ref="R7714">IFERROR(IF($B7714=R$1, ($A7714+$C7714) - MAX(IF($B$2:$B7713=$B7714, $A$2:$A7713+$C$2:$C7713)), "")*24*60, "")</f>
        <v/>
      </c>
      <c r="S7714" s="24" t="str" cm="1">
        <f t="array" ref="S7714">IFERROR(IF($B7714=S$1, ($A7714+$C7714) - MAX(IF($B$2:$B7713=$B7714, $A$2:$A7713+$C$2:$C7713)), "")*24*60, "")</f>
        <v/>
      </c>
    </row>
    <row r="7715" spans="1:19" x14ac:dyDescent="0.2">
      <c r="A7715" s="12">
        <f t="shared" ref="A7715:C7715" si="1409">A7714</f>
        <v>46019</v>
      </c>
      <c r="B7715" s="5" t="str">
        <f t="shared" si="1409"/>
        <v>Northern Cardinal</v>
      </c>
      <c r="C7715" s="6">
        <f t="shared" si="1409"/>
        <v>0.74444444444444446</v>
      </c>
      <c r="D7715" s="5"/>
      <c r="E7715" s="5"/>
      <c r="F7715" s="5" t="s">
        <v>9</v>
      </c>
      <c r="G7715" s="15" t="s">
        <v>8</v>
      </c>
      <c r="H7715" s="24">
        <f t="shared" si="1407"/>
        <v>0</v>
      </c>
      <c r="I7715" s="24" cm="1">
        <f t="array" ref="I7715">IFERROR(IF($B7715=I$1, ($A7715+$C7715) - MAX(IF($B$2:$B7714=$B7715, $A$2:$A7714+$C$2:$C7714)), "")*24*60, "")</f>
        <v>0</v>
      </c>
      <c r="J7715" s="24" t="str" cm="1">
        <f t="array" ref="J7715">IFERROR(IF($B7715=J$1, ($A7715+$C7715) - MAX(IF($B$2:$B7714=$B7715, $A$2:$A7714+$C$2:$C7714)), "")*24*60, "")</f>
        <v/>
      </c>
      <c r="K7715" s="24" t="str" cm="1">
        <f t="array" ref="K7715">IFERROR(IF($B7715=K$1, ($A7715+$C7715) - MAX(IF($B$2:$B7714=$B7715, $A$2:$A7714+$C$2:$C7714)), "")*24*60, "")</f>
        <v/>
      </c>
      <c r="L7715" s="24" t="str" cm="1">
        <f t="array" ref="L7715">IFERROR(IF($B7715=L$1, ($A7715+$C7715) - MAX(IF($B$2:$B7714=$B7715, $A$2:$A7714+$C$2:$C7714)), "")*24*60, "")</f>
        <v/>
      </c>
      <c r="M7715" s="24" t="str" cm="1">
        <f t="array" ref="M7715">IFERROR(IF($B7715=M$1, ($A7715+$C7715) - MAX(IF($B$2:$B7714=$B7715, $A$2:$A7714+$C$2:$C7714)), "")*24*60, "")</f>
        <v/>
      </c>
      <c r="N7715" s="24" t="str" cm="1">
        <f t="array" ref="N7715">IFERROR(IF($B7715=N$1, ($A7715+$C7715) - MAX(IF($B$2:$B7714=$B7715, $A$2:$A7714+$C$2:$C7714)), "")*24*60, "")</f>
        <v/>
      </c>
      <c r="O7715" s="24" t="str" cm="1">
        <f t="array" ref="O7715">IFERROR(IF($B7715=O$1, ($A7715+$C7715) - MAX(IF($B$2:$B7714=$B7715, $A$2:$A7714+$C$2:$C7714)), "")*24*60, "")</f>
        <v/>
      </c>
      <c r="P7715" s="24" t="str" cm="1">
        <f t="array" ref="P7715">IFERROR(IF($B7715=P$1, ($A7715+$C7715) - MAX(IF($B$2:$B7714=$B7715, $A$2:$A7714+$C$2:$C7714)), "")*24*60, "")</f>
        <v/>
      </c>
      <c r="Q7715" s="24" t="str" cm="1">
        <f t="array" ref="Q7715">IFERROR(IF($B7715=Q$1, ($A7715+$C7715) - MAX(IF($B$2:$B7714=$B7715, $A$2:$A7714+$C$2:$C7714)), "")*24*60, "")</f>
        <v/>
      </c>
      <c r="R7715" s="24" t="str" cm="1">
        <f t="array" ref="R7715">IFERROR(IF($B7715=R$1, ($A7715+$C7715) - MAX(IF($B$2:$B7714=$B7715, $A$2:$A7714+$C$2:$C7714)), "")*24*60, "")</f>
        <v/>
      </c>
      <c r="S7715" s="24" t="str" cm="1">
        <f t="array" ref="S7715">IFERROR(IF($B7715=S$1, ($A7715+$C7715) - MAX(IF($B$2:$B7714=$B7715, $A$2:$A7714+$C$2:$C7714)), "")*24*60, "")</f>
        <v/>
      </c>
    </row>
    <row r="7716" spans="1:19" x14ac:dyDescent="0.2">
      <c r="A7716" s="12">
        <f t="shared" ref="A7716:C7716" si="1410">A7715</f>
        <v>46019</v>
      </c>
      <c r="B7716" s="5" t="str">
        <f t="shared" si="1410"/>
        <v>Northern Cardinal</v>
      </c>
      <c r="C7716" s="6">
        <f t="shared" si="1410"/>
        <v>0.74444444444444446</v>
      </c>
      <c r="D7716" s="5"/>
      <c r="E7716" s="5"/>
      <c r="F7716" s="5" t="s">
        <v>9</v>
      </c>
      <c r="G7716" s="15" t="s">
        <v>8</v>
      </c>
      <c r="H7716" s="24">
        <f t="shared" si="1407"/>
        <v>0</v>
      </c>
      <c r="I7716" s="24" cm="1">
        <f t="array" ref="I7716">IFERROR(IF($B7716=I$1, ($A7716+$C7716) - MAX(IF($B$2:$B7715=$B7716, $A$2:$A7715+$C$2:$C7715)), "")*24*60, "")</f>
        <v>0</v>
      </c>
      <c r="J7716" s="24" t="str" cm="1">
        <f t="array" ref="J7716">IFERROR(IF($B7716=J$1, ($A7716+$C7716) - MAX(IF($B$2:$B7715=$B7716, $A$2:$A7715+$C$2:$C7715)), "")*24*60, "")</f>
        <v/>
      </c>
      <c r="K7716" s="24" t="str" cm="1">
        <f t="array" ref="K7716">IFERROR(IF($B7716=K$1, ($A7716+$C7716) - MAX(IF($B$2:$B7715=$B7716, $A$2:$A7715+$C$2:$C7715)), "")*24*60, "")</f>
        <v/>
      </c>
      <c r="L7716" s="24" t="str" cm="1">
        <f t="array" ref="L7716">IFERROR(IF($B7716=L$1, ($A7716+$C7716) - MAX(IF($B$2:$B7715=$B7716, $A$2:$A7715+$C$2:$C7715)), "")*24*60, "")</f>
        <v/>
      </c>
      <c r="M7716" s="24" t="str" cm="1">
        <f t="array" ref="M7716">IFERROR(IF($B7716=M$1, ($A7716+$C7716) - MAX(IF($B$2:$B7715=$B7716, $A$2:$A7715+$C$2:$C7715)), "")*24*60, "")</f>
        <v/>
      </c>
      <c r="N7716" s="24" t="str" cm="1">
        <f t="array" ref="N7716">IFERROR(IF($B7716=N$1, ($A7716+$C7716) - MAX(IF($B$2:$B7715=$B7716, $A$2:$A7715+$C$2:$C7715)), "")*24*60, "")</f>
        <v/>
      </c>
      <c r="O7716" s="24" t="str" cm="1">
        <f t="array" ref="O7716">IFERROR(IF($B7716=O$1, ($A7716+$C7716) - MAX(IF($B$2:$B7715=$B7716, $A$2:$A7715+$C$2:$C7715)), "")*24*60, "")</f>
        <v/>
      </c>
      <c r="P7716" s="24" t="str" cm="1">
        <f t="array" ref="P7716">IFERROR(IF($B7716=P$1, ($A7716+$C7716) - MAX(IF($B$2:$B7715=$B7716, $A$2:$A7715+$C$2:$C7715)), "")*24*60, "")</f>
        <v/>
      </c>
      <c r="Q7716" s="24" t="str" cm="1">
        <f t="array" ref="Q7716">IFERROR(IF($B7716=Q$1, ($A7716+$C7716) - MAX(IF($B$2:$B7715=$B7716, $A$2:$A7715+$C$2:$C7715)), "")*24*60, "")</f>
        <v/>
      </c>
      <c r="R7716" s="24" t="str" cm="1">
        <f t="array" ref="R7716">IFERROR(IF($B7716=R$1, ($A7716+$C7716) - MAX(IF($B$2:$B7715=$B7716, $A$2:$A7715+$C$2:$C7715)), "")*24*60, "")</f>
        <v/>
      </c>
      <c r="S7716" s="24" t="str" cm="1">
        <f t="array" ref="S7716">IFERROR(IF($B7716=S$1, ($A7716+$C7716) - MAX(IF($B$2:$B7715=$B7716, $A$2:$A7715+$C$2:$C7715)), "")*24*60, "")</f>
        <v/>
      </c>
    </row>
    <row r="7717" spans="1:19" x14ac:dyDescent="0.2">
      <c r="A7717" s="12">
        <f t="shared" ref="A7717:C7717" si="1411">A7716</f>
        <v>46019</v>
      </c>
      <c r="B7717" s="5" t="str">
        <f t="shared" si="1411"/>
        <v>Northern Cardinal</v>
      </c>
      <c r="C7717" s="6">
        <f t="shared" si="1411"/>
        <v>0.74444444444444446</v>
      </c>
      <c r="D7717" s="5"/>
      <c r="E7717" s="5"/>
      <c r="F7717" s="5" t="s">
        <v>9</v>
      </c>
      <c r="G7717" s="15" t="s">
        <v>8</v>
      </c>
      <c r="H7717" s="24">
        <f t="shared" si="1407"/>
        <v>0</v>
      </c>
      <c r="I7717" s="24" cm="1">
        <f t="array" ref="I7717">IFERROR(IF($B7717=I$1, ($A7717+$C7717) - MAX(IF($B$2:$B7716=$B7717, $A$2:$A7716+$C$2:$C7716)), "")*24*60, "")</f>
        <v>0</v>
      </c>
      <c r="J7717" s="24" t="str" cm="1">
        <f t="array" ref="J7717">IFERROR(IF($B7717=J$1, ($A7717+$C7717) - MAX(IF($B$2:$B7716=$B7717, $A$2:$A7716+$C$2:$C7716)), "")*24*60, "")</f>
        <v/>
      </c>
      <c r="K7717" s="24" t="str" cm="1">
        <f t="array" ref="K7717">IFERROR(IF($B7717=K$1, ($A7717+$C7717) - MAX(IF($B$2:$B7716=$B7717, $A$2:$A7716+$C$2:$C7716)), "")*24*60, "")</f>
        <v/>
      </c>
      <c r="L7717" s="24" t="str" cm="1">
        <f t="array" ref="L7717">IFERROR(IF($B7717=L$1, ($A7717+$C7717) - MAX(IF($B$2:$B7716=$B7717, $A$2:$A7716+$C$2:$C7716)), "")*24*60, "")</f>
        <v/>
      </c>
      <c r="M7717" s="24" t="str" cm="1">
        <f t="array" ref="M7717">IFERROR(IF($B7717=M$1, ($A7717+$C7717) - MAX(IF($B$2:$B7716=$B7717, $A$2:$A7716+$C$2:$C7716)), "")*24*60, "")</f>
        <v/>
      </c>
      <c r="N7717" s="24" t="str" cm="1">
        <f t="array" ref="N7717">IFERROR(IF($B7717=N$1, ($A7717+$C7717) - MAX(IF($B$2:$B7716=$B7717, $A$2:$A7716+$C$2:$C7716)), "")*24*60, "")</f>
        <v/>
      </c>
      <c r="O7717" s="24" t="str" cm="1">
        <f t="array" ref="O7717">IFERROR(IF($B7717=O$1, ($A7717+$C7717) - MAX(IF($B$2:$B7716=$B7717, $A$2:$A7716+$C$2:$C7716)), "")*24*60, "")</f>
        <v/>
      </c>
      <c r="P7717" s="24" t="str" cm="1">
        <f t="array" ref="P7717">IFERROR(IF($B7717=P$1, ($A7717+$C7717) - MAX(IF($B$2:$B7716=$B7717, $A$2:$A7716+$C$2:$C7716)), "")*24*60, "")</f>
        <v/>
      </c>
      <c r="Q7717" s="24" t="str" cm="1">
        <f t="array" ref="Q7717">IFERROR(IF($B7717=Q$1, ($A7717+$C7717) - MAX(IF($B$2:$B7716=$B7717, $A$2:$A7716+$C$2:$C7716)), "")*24*60, "")</f>
        <v/>
      </c>
      <c r="R7717" s="24" t="str" cm="1">
        <f t="array" ref="R7717">IFERROR(IF($B7717=R$1, ($A7717+$C7717) - MAX(IF($B$2:$B7716=$B7717, $A$2:$A7716+$C$2:$C7716)), "")*24*60, "")</f>
        <v/>
      </c>
      <c r="S7717" s="24" t="str" cm="1">
        <f t="array" ref="S7717">IFERROR(IF($B7717=S$1, ($A7717+$C7717) - MAX(IF($B$2:$B7716=$B7717, $A$2:$A7716+$C$2:$C7716)), "")*24*60, "")</f>
        <v/>
      </c>
    </row>
    <row r="7718" spans="1:19" x14ac:dyDescent="0.2">
      <c r="A7718" s="12">
        <f t="shared" ref="A7718:C7718" si="1412">A7717</f>
        <v>46019</v>
      </c>
      <c r="B7718" s="5" t="str">
        <f t="shared" si="1412"/>
        <v>Northern Cardinal</v>
      </c>
      <c r="C7718" s="6">
        <f t="shared" si="1412"/>
        <v>0.74444444444444446</v>
      </c>
      <c r="D7718" s="5"/>
      <c r="E7718" s="5"/>
      <c r="F7718" s="5" t="s">
        <v>9</v>
      </c>
      <c r="G7718" s="15" t="s">
        <v>8</v>
      </c>
      <c r="H7718" s="24">
        <f t="shared" si="1407"/>
        <v>0</v>
      </c>
      <c r="I7718" s="24" cm="1">
        <f t="array" ref="I7718">IFERROR(IF($B7718=I$1, ($A7718+$C7718) - MAX(IF($B$2:$B7717=$B7718, $A$2:$A7717+$C$2:$C7717)), "")*24*60, "")</f>
        <v>0</v>
      </c>
      <c r="J7718" s="24" t="str" cm="1">
        <f t="array" ref="J7718">IFERROR(IF($B7718=J$1, ($A7718+$C7718) - MAX(IF($B$2:$B7717=$B7718, $A$2:$A7717+$C$2:$C7717)), "")*24*60, "")</f>
        <v/>
      </c>
      <c r="K7718" s="24" t="str" cm="1">
        <f t="array" ref="K7718">IFERROR(IF($B7718=K$1, ($A7718+$C7718) - MAX(IF($B$2:$B7717=$B7718, $A$2:$A7717+$C$2:$C7717)), "")*24*60, "")</f>
        <v/>
      </c>
      <c r="L7718" s="24" t="str" cm="1">
        <f t="array" ref="L7718">IFERROR(IF($B7718=L$1, ($A7718+$C7718) - MAX(IF($B$2:$B7717=$B7718, $A$2:$A7717+$C$2:$C7717)), "")*24*60, "")</f>
        <v/>
      </c>
      <c r="M7718" s="24" t="str" cm="1">
        <f t="array" ref="M7718">IFERROR(IF($B7718=M$1, ($A7718+$C7718) - MAX(IF($B$2:$B7717=$B7718, $A$2:$A7717+$C$2:$C7717)), "")*24*60, "")</f>
        <v/>
      </c>
      <c r="N7718" s="24" t="str" cm="1">
        <f t="array" ref="N7718">IFERROR(IF($B7718=N$1, ($A7718+$C7718) - MAX(IF($B$2:$B7717=$B7718, $A$2:$A7717+$C$2:$C7717)), "")*24*60, "")</f>
        <v/>
      </c>
      <c r="O7718" s="24" t="str" cm="1">
        <f t="array" ref="O7718">IFERROR(IF($B7718=O$1, ($A7718+$C7718) - MAX(IF($B$2:$B7717=$B7718, $A$2:$A7717+$C$2:$C7717)), "")*24*60, "")</f>
        <v/>
      </c>
      <c r="P7718" s="24" t="str" cm="1">
        <f t="array" ref="P7718">IFERROR(IF($B7718=P$1, ($A7718+$C7718) - MAX(IF($B$2:$B7717=$B7718, $A$2:$A7717+$C$2:$C7717)), "")*24*60, "")</f>
        <v/>
      </c>
      <c r="Q7718" s="24" t="str" cm="1">
        <f t="array" ref="Q7718">IFERROR(IF($B7718=Q$1, ($A7718+$C7718) - MAX(IF($B$2:$B7717=$B7718, $A$2:$A7717+$C$2:$C7717)), "")*24*60, "")</f>
        <v/>
      </c>
      <c r="R7718" s="24" t="str" cm="1">
        <f t="array" ref="R7718">IFERROR(IF($B7718=R$1, ($A7718+$C7718) - MAX(IF($B$2:$B7717=$B7718, $A$2:$A7717+$C$2:$C7717)), "")*24*60, "")</f>
        <v/>
      </c>
      <c r="S7718" s="24" t="str" cm="1">
        <f t="array" ref="S7718">IFERROR(IF($B7718=S$1, ($A7718+$C7718) - MAX(IF($B$2:$B7717=$B7718, $A$2:$A7717+$C$2:$C7717)), "")*24*60, "")</f>
        <v/>
      </c>
    </row>
    <row r="7719" spans="1:19" x14ac:dyDescent="0.2">
      <c r="A7719" s="12">
        <f t="shared" ref="A7719:C7719" si="1413">A7718</f>
        <v>46019</v>
      </c>
      <c r="B7719" s="5" t="str">
        <f t="shared" si="1413"/>
        <v>Northern Cardinal</v>
      </c>
      <c r="C7719" s="6">
        <f t="shared" si="1413"/>
        <v>0.74444444444444446</v>
      </c>
      <c r="D7719" s="5"/>
      <c r="E7719" s="5"/>
      <c r="F7719" s="5" t="s">
        <v>9</v>
      </c>
      <c r="G7719" s="15" t="s">
        <v>8</v>
      </c>
      <c r="H7719" s="24">
        <f t="shared" si="1407"/>
        <v>0</v>
      </c>
      <c r="I7719" s="24" cm="1">
        <f t="array" ref="I7719">IFERROR(IF($B7719=I$1, ($A7719+$C7719) - MAX(IF($B$2:$B7718=$B7719, $A$2:$A7718+$C$2:$C7718)), "")*24*60, "")</f>
        <v>0</v>
      </c>
      <c r="J7719" s="24" t="str" cm="1">
        <f t="array" ref="J7719">IFERROR(IF($B7719=J$1, ($A7719+$C7719) - MAX(IF($B$2:$B7718=$B7719, $A$2:$A7718+$C$2:$C7718)), "")*24*60, "")</f>
        <v/>
      </c>
      <c r="K7719" s="24" t="str" cm="1">
        <f t="array" ref="K7719">IFERROR(IF($B7719=K$1, ($A7719+$C7719) - MAX(IF($B$2:$B7718=$B7719, $A$2:$A7718+$C$2:$C7718)), "")*24*60, "")</f>
        <v/>
      </c>
      <c r="L7719" s="24" t="str" cm="1">
        <f t="array" ref="L7719">IFERROR(IF($B7719=L$1, ($A7719+$C7719) - MAX(IF($B$2:$B7718=$B7719, $A$2:$A7718+$C$2:$C7718)), "")*24*60, "")</f>
        <v/>
      </c>
      <c r="M7719" s="24" t="str" cm="1">
        <f t="array" ref="M7719">IFERROR(IF($B7719=M$1, ($A7719+$C7719) - MAX(IF($B$2:$B7718=$B7719, $A$2:$A7718+$C$2:$C7718)), "")*24*60, "")</f>
        <v/>
      </c>
      <c r="N7719" s="24" t="str" cm="1">
        <f t="array" ref="N7719">IFERROR(IF($B7719=N$1, ($A7719+$C7719) - MAX(IF($B$2:$B7718=$B7719, $A$2:$A7718+$C$2:$C7718)), "")*24*60, "")</f>
        <v/>
      </c>
      <c r="O7719" s="24" t="str" cm="1">
        <f t="array" ref="O7719">IFERROR(IF($B7719=O$1, ($A7719+$C7719) - MAX(IF($B$2:$B7718=$B7719, $A$2:$A7718+$C$2:$C7718)), "")*24*60, "")</f>
        <v/>
      </c>
      <c r="P7719" s="24" t="str" cm="1">
        <f t="array" ref="P7719">IFERROR(IF($B7719=P$1, ($A7719+$C7719) - MAX(IF($B$2:$B7718=$B7719, $A$2:$A7718+$C$2:$C7718)), "")*24*60, "")</f>
        <v/>
      </c>
      <c r="Q7719" s="24" t="str" cm="1">
        <f t="array" ref="Q7719">IFERROR(IF($B7719=Q$1, ($A7719+$C7719) - MAX(IF($B$2:$B7718=$B7719, $A$2:$A7718+$C$2:$C7718)), "")*24*60, "")</f>
        <v/>
      </c>
      <c r="R7719" s="24" t="str" cm="1">
        <f t="array" ref="R7719">IFERROR(IF($B7719=R$1, ($A7719+$C7719) - MAX(IF($B$2:$B7718=$B7719, $A$2:$A7718+$C$2:$C7718)), "")*24*60, "")</f>
        <v/>
      </c>
      <c r="S7719" s="24" t="str" cm="1">
        <f t="array" ref="S7719">IFERROR(IF($B7719=S$1, ($A7719+$C7719) - MAX(IF($B$2:$B7718=$B7719, $A$2:$A7718+$C$2:$C7718)), "")*24*60, "")</f>
        <v/>
      </c>
    </row>
    <row r="7720" spans="1:19" x14ac:dyDescent="0.2">
      <c r="A7720" s="12">
        <f t="shared" ref="A7720:C7720" si="1414">A7719</f>
        <v>46019</v>
      </c>
      <c r="B7720" s="5" t="str">
        <f t="shared" si="1414"/>
        <v>Northern Cardinal</v>
      </c>
      <c r="C7720" s="6">
        <f t="shared" si="1414"/>
        <v>0.74444444444444446</v>
      </c>
      <c r="D7720" s="5"/>
      <c r="E7720" s="5"/>
      <c r="F7720" s="5" t="s">
        <v>9</v>
      </c>
      <c r="G7720" s="15" t="s">
        <v>8</v>
      </c>
      <c r="H7720" s="24">
        <f t="shared" si="1407"/>
        <v>0</v>
      </c>
      <c r="I7720" s="24" cm="1">
        <f t="array" ref="I7720">IFERROR(IF($B7720=I$1, ($A7720+$C7720) - MAX(IF($B$2:$B7719=$B7720, $A$2:$A7719+$C$2:$C7719)), "")*24*60, "")</f>
        <v>0</v>
      </c>
      <c r="J7720" s="24" t="str" cm="1">
        <f t="array" ref="J7720">IFERROR(IF($B7720=J$1, ($A7720+$C7720) - MAX(IF($B$2:$B7719=$B7720, $A$2:$A7719+$C$2:$C7719)), "")*24*60, "")</f>
        <v/>
      </c>
      <c r="K7720" s="24" t="str" cm="1">
        <f t="array" ref="K7720">IFERROR(IF($B7720=K$1, ($A7720+$C7720) - MAX(IF($B$2:$B7719=$B7720, $A$2:$A7719+$C$2:$C7719)), "")*24*60, "")</f>
        <v/>
      </c>
      <c r="L7720" s="24" t="str" cm="1">
        <f t="array" ref="L7720">IFERROR(IF($B7720=L$1, ($A7720+$C7720) - MAX(IF($B$2:$B7719=$B7720, $A$2:$A7719+$C$2:$C7719)), "")*24*60, "")</f>
        <v/>
      </c>
      <c r="M7720" s="24" t="str" cm="1">
        <f t="array" ref="M7720">IFERROR(IF($B7720=M$1, ($A7720+$C7720) - MAX(IF($B$2:$B7719=$B7720, $A$2:$A7719+$C$2:$C7719)), "")*24*60, "")</f>
        <v/>
      </c>
      <c r="N7720" s="24" t="str" cm="1">
        <f t="array" ref="N7720">IFERROR(IF($B7720=N$1, ($A7720+$C7720) - MAX(IF($B$2:$B7719=$B7720, $A$2:$A7719+$C$2:$C7719)), "")*24*60, "")</f>
        <v/>
      </c>
      <c r="O7720" s="24" t="str" cm="1">
        <f t="array" ref="O7720">IFERROR(IF($B7720=O$1, ($A7720+$C7720) - MAX(IF($B$2:$B7719=$B7720, $A$2:$A7719+$C$2:$C7719)), "")*24*60, "")</f>
        <v/>
      </c>
      <c r="P7720" s="24" t="str" cm="1">
        <f t="array" ref="P7720">IFERROR(IF($B7720=P$1, ($A7720+$C7720) - MAX(IF($B$2:$B7719=$B7720, $A$2:$A7719+$C$2:$C7719)), "")*24*60, "")</f>
        <v/>
      </c>
      <c r="Q7720" s="24" t="str" cm="1">
        <f t="array" ref="Q7720">IFERROR(IF($B7720=Q$1, ($A7720+$C7720) - MAX(IF($B$2:$B7719=$B7720, $A$2:$A7719+$C$2:$C7719)), "")*24*60, "")</f>
        <v/>
      </c>
      <c r="R7720" s="24" t="str" cm="1">
        <f t="array" ref="R7720">IFERROR(IF($B7720=R$1, ($A7720+$C7720) - MAX(IF($B$2:$B7719=$B7720, $A$2:$A7719+$C$2:$C7719)), "")*24*60, "")</f>
        <v/>
      </c>
      <c r="S7720" s="24" t="str" cm="1">
        <f t="array" ref="S7720">IFERROR(IF($B7720=S$1, ($A7720+$C7720) - MAX(IF($B$2:$B7719=$B7720, $A$2:$A7719+$C$2:$C7719)), "")*24*60, "")</f>
        <v/>
      </c>
    </row>
    <row r="7721" spans="1:19" x14ac:dyDescent="0.2">
      <c r="A7721" s="12">
        <f t="shared" ref="A7721:C7721" si="1415">A7720</f>
        <v>46019</v>
      </c>
      <c r="B7721" s="5" t="str">
        <f t="shared" si="1415"/>
        <v>Northern Cardinal</v>
      </c>
      <c r="C7721" s="6">
        <f t="shared" si="1415"/>
        <v>0.74444444444444446</v>
      </c>
      <c r="D7721" s="5"/>
      <c r="E7721" s="5"/>
      <c r="F7721" s="5" t="s">
        <v>9</v>
      </c>
      <c r="G7721" s="15" t="s">
        <v>8</v>
      </c>
      <c r="H7721" s="24">
        <f t="shared" si="1407"/>
        <v>0</v>
      </c>
      <c r="I7721" s="24" cm="1">
        <f t="array" ref="I7721">IFERROR(IF($B7721=I$1, ($A7721+$C7721) - MAX(IF($B$2:$B7720=$B7721, $A$2:$A7720+$C$2:$C7720)), "")*24*60, "")</f>
        <v>0</v>
      </c>
      <c r="J7721" s="24" t="str" cm="1">
        <f t="array" ref="J7721">IFERROR(IF($B7721=J$1, ($A7721+$C7721) - MAX(IF($B$2:$B7720=$B7721, $A$2:$A7720+$C$2:$C7720)), "")*24*60, "")</f>
        <v/>
      </c>
      <c r="K7721" s="24" t="str" cm="1">
        <f t="array" ref="K7721">IFERROR(IF($B7721=K$1, ($A7721+$C7721) - MAX(IF($B$2:$B7720=$B7721, $A$2:$A7720+$C$2:$C7720)), "")*24*60, "")</f>
        <v/>
      </c>
      <c r="L7721" s="24" t="str" cm="1">
        <f t="array" ref="L7721">IFERROR(IF($B7721=L$1, ($A7721+$C7721) - MAX(IF($B$2:$B7720=$B7721, $A$2:$A7720+$C$2:$C7720)), "")*24*60, "")</f>
        <v/>
      </c>
      <c r="M7721" s="24" t="str" cm="1">
        <f t="array" ref="M7721">IFERROR(IF($B7721=M$1, ($A7721+$C7721) - MAX(IF($B$2:$B7720=$B7721, $A$2:$A7720+$C$2:$C7720)), "")*24*60, "")</f>
        <v/>
      </c>
      <c r="N7721" s="24" t="str" cm="1">
        <f t="array" ref="N7721">IFERROR(IF($B7721=N$1, ($A7721+$C7721) - MAX(IF($B$2:$B7720=$B7721, $A$2:$A7720+$C$2:$C7720)), "")*24*60, "")</f>
        <v/>
      </c>
      <c r="O7721" s="24" t="str" cm="1">
        <f t="array" ref="O7721">IFERROR(IF($B7721=O$1, ($A7721+$C7721) - MAX(IF($B$2:$B7720=$B7721, $A$2:$A7720+$C$2:$C7720)), "")*24*60, "")</f>
        <v/>
      </c>
      <c r="P7721" s="24" t="str" cm="1">
        <f t="array" ref="P7721">IFERROR(IF($B7721=P$1, ($A7721+$C7721) - MAX(IF($B$2:$B7720=$B7721, $A$2:$A7720+$C$2:$C7720)), "")*24*60, "")</f>
        <v/>
      </c>
      <c r="Q7721" s="24" t="str" cm="1">
        <f t="array" ref="Q7721">IFERROR(IF($B7721=Q$1, ($A7721+$C7721) - MAX(IF($B$2:$B7720=$B7721, $A$2:$A7720+$C$2:$C7720)), "")*24*60, "")</f>
        <v/>
      </c>
      <c r="R7721" s="24" t="str" cm="1">
        <f t="array" ref="R7721">IFERROR(IF($B7721=R$1, ($A7721+$C7721) - MAX(IF($B$2:$B7720=$B7721, $A$2:$A7720+$C$2:$C7720)), "")*24*60, "")</f>
        <v/>
      </c>
      <c r="S7721" s="24" t="str" cm="1">
        <f t="array" ref="S7721">IFERROR(IF($B7721=S$1, ($A7721+$C7721) - MAX(IF($B$2:$B7720=$B7721, $A$2:$A7720+$C$2:$C7720)), "")*24*60, "")</f>
        <v/>
      </c>
    </row>
    <row r="7722" spans="1:19" x14ac:dyDescent="0.2">
      <c r="A7722" s="12">
        <f t="shared" ref="A7722:C7722" si="1416">A7721</f>
        <v>46019</v>
      </c>
      <c r="B7722" s="5" t="str">
        <f t="shared" si="1416"/>
        <v>Northern Cardinal</v>
      </c>
      <c r="C7722" s="6">
        <f t="shared" si="1416"/>
        <v>0.74444444444444446</v>
      </c>
      <c r="D7722" s="5"/>
      <c r="E7722" s="5"/>
      <c r="F7722" s="5" t="s">
        <v>9</v>
      </c>
      <c r="G7722" s="15" t="s">
        <v>8</v>
      </c>
      <c r="H7722" s="24">
        <f t="shared" si="1407"/>
        <v>0</v>
      </c>
      <c r="I7722" s="24" cm="1">
        <f t="array" ref="I7722">IFERROR(IF($B7722=I$1, ($A7722+$C7722) - MAX(IF($B$2:$B7721=$B7722, $A$2:$A7721+$C$2:$C7721)), "")*24*60, "")</f>
        <v>0</v>
      </c>
      <c r="J7722" s="24" t="str" cm="1">
        <f t="array" ref="J7722">IFERROR(IF($B7722=J$1, ($A7722+$C7722) - MAX(IF($B$2:$B7721=$B7722, $A$2:$A7721+$C$2:$C7721)), "")*24*60, "")</f>
        <v/>
      </c>
      <c r="K7722" s="24" t="str" cm="1">
        <f t="array" ref="K7722">IFERROR(IF($B7722=K$1, ($A7722+$C7722) - MAX(IF($B$2:$B7721=$B7722, $A$2:$A7721+$C$2:$C7721)), "")*24*60, "")</f>
        <v/>
      </c>
      <c r="L7722" s="24" t="str" cm="1">
        <f t="array" ref="L7722">IFERROR(IF($B7722=L$1, ($A7722+$C7722) - MAX(IF($B$2:$B7721=$B7722, $A$2:$A7721+$C$2:$C7721)), "")*24*60, "")</f>
        <v/>
      </c>
      <c r="M7722" s="24" t="str" cm="1">
        <f t="array" ref="M7722">IFERROR(IF($B7722=M$1, ($A7722+$C7722) - MAX(IF($B$2:$B7721=$B7722, $A$2:$A7721+$C$2:$C7721)), "")*24*60, "")</f>
        <v/>
      </c>
      <c r="N7722" s="24" t="str" cm="1">
        <f t="array" ref="N7722">IFERROR(IF($B7722=N$1, ($A7722+$C7722) - MAX(IF($B$2:$B7721=$B7722, $A$2:$A7721+$C$2:$C7721)), "")*24*60, "")</f>
        <v/>
      </c>
      <c r="O7722" s="24" t="str" cm="1">
        <f t="array" ref="O7722">IFERROR(IF($B7722=O$1, ($A7722+$C7722) - MAX(IF($B$2:$B7721=$B7722, $A$2:$A7721+$C$2:$C7721)), "")*24*60, "")</f>
        <v/>
      </c>
      <c r="P7722" s="24" t="str" cm="1">
        <f t="array" ref="P7722">IFERROR(IF($B7722=P$1, ($A7722+$C7722) - MAX(IF($B$2:$B7721=$B7722, $A$2:$A7721+$C$2:$C7721)), "")*24*60, "")</f>
        <v/>
      </c>
      <c r="Q7722" s="24" t="str" cm="1">
        <f t="array" ref="Q7722">IFERROR(IF($B7722=Q$1, ($A7722+$C7722) - MAX(IF($B$2:$B7721=$B7722, $A$2:$A7721+$C$2:$C7721)), "")*24*60, "")</f>
        <v/>
      </c>
      <c r="R7722" s="24" t="str" cm="1">
        <f t="array" ref="R7722">IFERROR(IF($B7722=R$1, ($A7722+$C7722) - MAX(IF($B$2:$B7721=$B7722, $A$2:$A7721+$C$2:$C7721)), "")*24*60, "")</f>
        <v/>
      </c>
      <c r="S7722" s="24" t="str" cm="1">
        <f t="array" ref="S7722">IFERROR(IF($B7722=S$1, ($A7722+$C7722) - MAX(IF($B$2:$B7721=$B7722, $A$2:$A7721+$C$2:$C7721)), "")*24*60, "")</f>
        <v/>
      </c>
    </row>
    <row r="7723" spans="1:19" x14ac:dyDescent="0.2">
      <c r="A7723" s="12">
        <f t="shared" ref="A7723:C7723" si="1417">A7722</f>
        <v>46019</v>
      </c>
      <c r="B7723" s="5" t="str">
        <f t="shared" si="1417"/>
        <v>Northern Cardinal</v>
      </c>
      <c r="C7723" s="6">
        <f t="shared" si="1417"/>
        <v>0.74444444444444446</v>
      </c>
      <c r="D7723" s="5"/>
      <c r="E7723" s="5"/>
      <c r="F7723" s="5" t="s">
        <v>9</v>
      </c>
      <c r="G7723" s="15" t="s">
        <v>8</v>
      </c>
      <c r="H7723" s="24">
        <f t="shared" si="1407"/>
        <v>0</v>
      </c>
      <c r="I7723" s="24" cm="1">
        <f t="array" ref="I7723">IFERROR(IF($B7723=I$1, ($A7723+$C7723) - MAX(IF($B$2:$B7722=$B7723, $A$2:$A7722+$C$2:$C7722)), "")*24*60, "")</f>
        <v>0</v>
      </c>
      <c r="J7723" s="24" t="str" cm="1">
        <f t="array" ref="J7723">IFERROR(IF($B7723=J$1, ($A7723+$C7723) - MAX(IF($B$2:$B7722=$B7723, $A$2:$A7722+$C$2:$C7722)), "")*24*60, "")</f>
        <v/>
      </c>
      <c r="K7723" s="24" t="str" cm="1">
        <f t="array" ref="K7723">IFERROR(IF($B7723=K$1, ($A7723+$C7723) - MAX(IF($B$2:$B7722=$B7723, $A$2:$A7722+$C$2:$C7722)), "")*24*60, "")</f>
        <v/>
      </c>
      <c r="L7723" s="24" t="str" cm="1">
        <f t="array" ref="L7723">IFERROR(IF($B7723=L$1, ($A7723+$C7723) - MAX(IF($B$2:$B7722=$B7723, $A$2:$A7722+$C$2:$C7722)), "")*24*60, "")</f>
        <v/>
      </c>
      <c r="M7723" s="24" t="str" cm="1">
        <f t="array" ref="M7723">IFERROR(IF($B7723=M$1, ($A7723+$C7723) - MAX(IF($B$2:$B7722=$B7723, $A$2:$A7722+$C$2:$C7722)), "")*24*60, "")</f>
        <v/>
      </c>
      <c r="N7723" s="24" t="str" cm="1">
        <f t="array" ref="N7723">IFERROR(IF($B7723=N$1, ($A7723+$C7723) - MAX(IF($B$2:$B7722=$B7723, $A$2:$A7722+$C$2:$C7722)), "")*24*60, "")</f>
        <v/>
      </c>
      <c r="O7723" s="24" t="str" cm="1">
        <f t="array" ref="O7723">IFERROR(IF($B7723=O$1, ($A7723+$C7723) - MAX(IF($B$2:$B7722=$B7723, $A$2:$A7722+$C$2:$C7722)), "")*24*60, "")</f>
        <v/>
      </c>
      <c r="P7723" s="24" t="str" cm="1">
        <f t="array" ref="P7723">IFERROR(IF($B7723=P$1, ($A7723+$C7723) - MAX(IF($B$2:$B7722=$B7723, $A$2:$A7722+$C$2:$C7722)), "")*24*60, "")</f>
        <v/>
      </c>
      <c r="Q7723" s="24" t="str" cm="1">
        <f t="array" ref="Q7723">IFERROR(IF($B7723=Q$1, ($A7723+$C7723) - MAX(IF($B$2:$B7722=$B7723, $A$2:$A7722+$C$2:$C7722)), "")*24*60, "")</f>
        <v/>
      </c>
      <c r="R7723" s="24" t="str" cm="1">
        <f t="array" ref="R7723">IFERROR(IF($B7723=R$1, ($A7723+$C7723) - MAX(IF($B$2:$B7722=$B7723, $A$2:$A7722+$C$2:$C7722)), "")*24*60, "")</f>
        <v/>
      </c>
      <c r="S7723" s="24" t="str" cm="1">
        <f t="array" ref="S7723">IFERROR(IF($B7723=S$1, ($A7723+$C7723) - MAX(IF($B$2:$B7722=$B7723, $A$2:$A7722+$C$2:$C7722)), "")*24*60, "")</f>
        <v/>
      </c>
    </row>
    <row r="7724" spans="1:19" x14ac:dyDescent="0.2">
      <c r="A7724" s="12">
        <f t="shared" ref="A7724:C7724" si="1418">A7723</f>
        <v>46019</v>
      </c>
      <c r="B7724" s="5" t="str">
        <f t="shared" si="1418"/>
        <v>Northern Cardinal</v>
      </c>
      <c r="C7724" s="6">
        <f t="shared" si="1418"/>
        <v>0.74444444444444446</v>
      </c>
      <c r="D7724" s="5"/>
      <c r="E7724" s="5"/>
      <c r="F7724" s="5" t="s">
        <v>9</v>
      </c>
      <c r="G7724" s="15" t="s">
        <v>8</v>
      </c>
      <c r="H7724" s="24">
        <f t="shared" si="1407"/>
        <v>0</v>
      </c>
      <c r="I7724" s="24" cm="1">
        <f t="array" ref="I7724">IFERROR(IF($B7724=I$1, ($A7724+$C7724) - MAX(IF($B$2:$B7723=$B7724, $A$2:$A7723+$C$2:$C7723)), "")*24*60, "")</f>
        <v>0</v>
      </c>
      <c r="J7724" s="24" t="str" cm="1">
        <f t="array" ref="J7724">IFERROR(IF($B7724=J$1, ($A7724+$C7724) - MAX(IF($B$2:$B7723=$B7724, $A$2:$A7723+$C$2:$C7723)), "")*24*60, "")</f>
        <v/>
      </c>
      <c r="K7724" s="24" t="str" cm="1">
        <f t="array" ref="K7724">IFERROR(IF($B7724=K$1, ($A7724+$C7724) - MAX(IF($B$2:$B7723=$B7724, $A$2:$A7723+$C$2:$C7723)), "")*24*60, "")</f>
        <v/>
      </c>
      <c r="L7724" s="24" t="str" cm="1">
        <f t="array" ref="L7724">IFERROR(IF($B7724=L$1, ($A7724+$C7724) - MAX(IF($B$2:$B7723=$B7724, $A$2:$A7723+$C$2:$C7723)), "")*24*60, "")</f>
        <v/>
      </c>
      <c r="M7724" s="24" t="str" cm="1">
        <f t="array" ref="M7724">IFERROR(IF($B7724=M$1, ($A7724+$C7724) - MAX(IF($B$2:$B7723=$B7724, $A$2:$A7723+$C$2:$C7723)), "")*24*60, "")</f>
        <v/>
      </c>
      <c r="N7724" s="24" t="str" cm="1">
        <f t="array" ref="N7724">IFERROR(IF($B7724=N$1, ($A7724+$C7724) - MAX(IF($B$2:$B7723=$B7724, $A$2:$A7723+$C$2:$C7723)), "")*24*60, "")</f>
        <v/>
      </c>
      <c r="O7724" s="24" t="str" cm="1">
        <f t="array" ref="O7724">IFERROR(IF($B7724=O$1, ($A7724+$C7724) - MAX(IF($B$2:$B7723=$B7724, $A$2:$A7723+$C$2:$C7723)), "")*24*60, "")</f>
        <v/>
      </c>
      <c r="P7724" s="24" t="str" cm="1">
        <f t="array" ref="P7724">IFERROR(IF($B7724=P$1, ($A7724+$C7724) - MAX(IF($B$2:$B7723=$B7724, $A$2:$A7723+$C$2:$C7723)), "")*24*60, "")</f>
        <v/>
      </c>
      <c r="Q7724" s="24" t="str" cm="1">
        <f t="array" ref="Q7724">IFERROR(IF($B7724=Q$1, ($A7724+$C7724) - MAX(IF($B$2:$B7723=$B7724, $A$2:$A7723+$C$2:$C7723)), "")*24*60, "")</f>
        <v/>
      </c>
      <c r="R7724" s="24" t="str" cm="1">
        <f t="array" ref="R7724">IFERROR(IF($B7724=R$1, ($A7724+$C7724) - MAX(IF($B$2:$B7723=$B7724, $A$2:$A7723+$C$2:$C7723)), "")*24*60, "")</f>
        <v/>
      </c>
      <c r="S7724" s="24" t="str" cm="1">
        <f t="array" ref="S7724">IFERROR(IF($B7724=S$1, ($A7724+$C7724) - MAX(IF($B$2:$B7723=$B7724, $A$2:$A7723+$C$2:$C7723)), "")*24*60, "")</f>
        <v/>
      </c>
    </row>
    <row r="7725" spans="1:19" x14ac:dyDescent="0.2">
      <c r="A7725" s="12">
        <f t="shared" ref="A7725:C7725" si="1419">A7724</f>
        <v>46019</v>
      </c>
      <c r="B7725" s="5" t="str">
        <f t="shared" si="1419"/>
        <v>Northern Cardinal</v>
      </c>
      <c r="C7725" s="6">
        <f t="shared" si="1419"/>
        <v>0.74444444444444446</v>
      </c>
      <c r="D7725" s="5"/>
      <c r="E7725" s="5"/>
      <c r="F7725" s="5" t="s">
        <v>9</v>
      </c>
      <c r="G7725" s="15" t="s">
        <v>8</v>
      </c>
      <c r="H7725" s="24">
        <f t="shared" si="1407"/>
        <v>0</v>
      </c>
      <c r="I7725" s="24" cm="1">
        <f t="array" ref="I7725">IFERROR(IF($B7725=I$1, ($A7725+$C7725) - MAX(IF($B$2:$B7724=$B7725, $A$2:$A7724+$C$2:$C7724)), "")*24*60, "")</f>
        <v>0</v>
      </c>
      <c r="J7725" s="24" t="str" cm="1">
        <f t="array" ref="J7725">IFERROR(IF($B7725=J$1, ($A7725+$C7725) - MAX(IF($B$2:$B7724=$B7725, $A$2:$A7724+$C$2:$C7724)), "")*24*60, "")</f>
        <v/>
      </c>
      <c r="K7725" s="24" t="str" cm="1">
        <f t="array" ref="K7725">IFERROR(IF($B7725=K$1, ($A7725+$C7725) - MAX(IF($B$2:$B7724=$B7725, $A$2:$A7724+$C$2:$C7724)), "")*24*60, "")</f>
        <v/>
      </c>
      <c r="L7725" s="24" t="str" cm="1">
        <f t="array" ref="L7725">IFERROR(IF($B7725=L$1, ($A7725+$C7725) - MAX(IF($B$2:$B7724=$B7725, $A$2:$A7724+$C$2:$C7724)), "")*24*60, "")</f>
        <v/>
      </c>
      <c r="M7725" s="24" t="str" cm="1">
        <f t="array" ref="M7725">IFERROR(IF($B7725=M$1, ($A7725+$C7725) - MAX(IF($B$2:$B7724=$B7725, $A$2:$A7724+$C$2:$C7724)), "")*24*60, "")</f>
        <v/>
      </c>
      <c r="N7725" s="24" t="str" cm="1">
        <f t="array" ref="N7725">IFERROR(IF($B7725=N$1, ($A7725+$C7725) - MAX(IF($B$2:$B7724=$B7725, $A$2:$A7724+$C$2:$C7724)), "")*24*60, "")</f>
        <v/>
      </c>
      <c r="O7725" s="24" t="str" cm="1">
        <f t="array" ref="O7725">IFERROR(IF($B7725=O$1, ($A7725+$C7725) - MAX(IF($B$2:$B7724=$B7725, $A$2:$A7724+$C$2:$C7724)), "")*24*60, "")</f>
        <v/>
      </c>
      <c r="P7725" s="24" t="str" cm="1">
        <f t="array" ref="P7725">IFERROR(IF($B7725=P$1, ($A7725+$C7725) - MAX(IF($B$2:$B7724=$B7725, $A$2:$A7724+$C$2:$C7724)), "")*24*60, "")</f>
        <v/>
      </c>
      <c r="Q7725" s="24" t="str" cm="1">
        <f t="array" ref="Q7725">IFERROR(IF($B7725=Q$1, ($A7725+$C7725) - MAX(IF($B$2:$B7724=$B7725, $A$2:$A7724+$C$2:$C7724)), "")*24*60, "")</f>
        <v/>
      </c>
      <c r="R7725" s="24" t="str" cm="1">
        <f t="array" ref="R7725">IFERROR(IF($B7725=R$1, ($A7725+$C7725) - MAX(IF($B$2:$B7724=$B7725, $A$2:$A7724+$C$2:$C7724)), "")*24*60, "")</f>
        <v/>
      </c>
      <c r="S7725" s="24" t="str" cm="1">
        <f t="array" ref="S7725">IFERROR(IF($B7725=S$1, ($A7725+$C7725) - MAX(IF($B$2:$B7724=$B7725, $A$2:$A7724+$C$2:$C7724)), "")*24*60, "")</f>
        <v/>
      </c>
    </row>
    <row r="7726" spans="1:19" x14ac:dyDescent="0.2">
      <c r="A7726" s="12">
        <f t="shared" ref="A7726:C7726" si="1420">A7725</f>
        <v>46019</v>
      </c>
      <c r="B7726" s="5" t="str">
        <f t="shared" si="1420"/>
        <v>Northern Cardinal</v>
      </c>
      <c r="C7726" s="6">
        <f t="shared" si="1420"/>
        <v>0.74444444444444446</v>
      </c>
      <c r="D7726" s="5"/>
      <c r="E7726" s="5"/>
      <c r="F7726" s="5" t="s">
        <v>9</v>
      </c>
      <c r="G7726" s="15" t="s">
        <v>8</v>
      </c>
      <c r="H7726" s="24">
        <f t="shared" si="1407"/>
        <v>0</v>
      </c>
      <c r="I7726" s="24" cm="1">
        <f t="array" ref="I7726">IFERROR(IF($B7726=I$1, ($A7726+$C7726) - MAX(IF($B$2:$B7725=$B7726, $A$2:$A7725+$C$2:$C7725)), "")*24*60, "")</f>
        <v>0</v>
      </c>
      <c r="J7726" s="24" t="str" cm="1">
        <f t="array" ref="J7726">IFERROR(IF($B7726=J$1, ($A7726+$C7726) - MAX(IF($B$2:$B7725=$B7726, $A$2:$A7725+$C$2:$C7725)), "")*24*60, "")</f>
        <v/>
      </c>
      <c r="K7726" s="24" t="str" cm="1">
        <f t="array" ref="K7726">IFERROR(IF($B7726=K$1, ($A7726+$C7726) - MAX(IF($B$2:$B7725=$B7726, $A$2:$A7725+$C$2:$C7725)), "")*24*60, "")</f>
        <v/>
      </c>
      <c r="L7726" s="24" t="str" cm="1">
        <f t="array" ref="L7726">IFERROR(IF($B7726=L$1, ($A7726+$C7726) - MAX(IF($B$2:$B7725=$B7726, $A$2:$A7725+$C$2:$C7725)), "")*24*60, "")</f>
        <v/>
      </c>
      <c r="M7726" s="24" t="str" cm="1">
        <f t="array" ref="M7726">IFERROR(IF($B7726=M$1, ($A7726+$C7726) - MAX(IF($B$2:$B7725=$B7726, $A$2:$A7725+$C$2:$C7725)), "")*24*60, "")</f>
        <v/>
      </c>
      <c r="N7726" s="24" t="str" cm="1">
        <f t="array" ref="N7726">IFERROR(IF($B7726=N$1, ($A7726+$C7726) - MAX(IF($B$2:$B7725=$B7726, $A$2:$A7725+$C$2:$C7725)), "")*24*60, "")</f>
        <v/>
      </c>
      <c r="O7726" s="24" t="str" cm="1">
        <f t="array" ref="O7726">IFERROR(IF($B7726=O$1, ($A7726+$C7726) - MAX(IF($B$2:$B7725=$B7726, $A$2:$A7725+$C$2:$C7725)), "")*24*60, "")</f>
        <v/>
      </c>
      <c r="P7726" s="24" t="str" cm="1">
        <f t="array" ref="P7726">IFERROR(IF($B7726=P$1, ($A7726+$C7726) - MAX(IF($B$2:$B7725=$B7726, $A$2:$A7725+$C$2:$C7725)), "")*24*60, "")</f>
        <v/>
      </c>
      <c r="Q7726" s="24" t="str" cm="1">
        <f t="array" ref="Q7726">IFERROR(IF($B7726=Q$1, ($A7726+$C7726) - MAX(IF($B$2:$B7725=$B7726, $A$2:$A7725+$C$2:$C7725)), "")*24*60, "")</f>
        <v/>
      </c>
      <c r="R7726" s="24" t="str" cm="1">
        <f t="array" ref="R7726">IFERROR(IF($B7726=R$1, ($A7726+$C7726) - MAX(IF($B$2:$B7725=$B7726, $A$2:$A7725+$C$2:$C7725)), "")*24*60, "")</f>
        <v/>
      </c>
      <c r="S7726" s="24" t="str" cm="1">
        <f t="array" ref="S7726">IFERROR(IF($B7726=S$1, ($A7726+$C7726) - MAX(IF($B$2:$B7725=$B7726, $A$2:$A7725+$C$2:$C7725)), "")*24*60, "")</f>
        <v/>
      </c>
    </row>
    <row r="7727" spans="1:19" x14ac:dyDescent="0.2">
      <c r="A7727" s="12">
        <f t="shared" ref="A7727:C7727" si="1421">A7726</f>
        <v>46019</v>
      </c>
      <c r="B7727" s="5" t="str">
        <f t="shared" si="1421"/>
        <v>Northern Cardinal</v>
      </c>
      <c r="C7727" s="6">
        <f t="shared" si="1421"/>
        <v>0.74444444444444446</v>
      </c>
      <c r="D7727" s="5"/>
      <c r="E7727" s="5"/>
      <c r="F7727" s="5" t="s">
        <v>9</v>
      </c>
      <c r="G7727" s="15" t="s">
        <v>8</v>
      </c>
      <c r="H7727" s="24">
        <f t="shared" si="1407"/>
        <v>0</v>
      </c>
      <c r="I7727" s="24" cm="1">
        <f t="array" ref="I7727">IFERROR(IF($B7727=I$1, ($A7727+$C7727) - MAX(IF($B$2:$B7726=$B7727, $A$2:$A7726+$C$2:$C7726)), "")*24*60, "")</f>
        <v>0</v>
      </c>
      <c r="J7727" s="24" t="str" cm="1">
        <f t="array" ref="J7727">IFERROR(IF($B7727=J$1, ($A7727+$C7727) - MAX(IF($B$2:$B7726=$B7727, $A$2:$A7726+$C$2:$C7726)), "")*24*60, "")</f>
        <v/>
      </c>
      <c r="K7727" s="24" t="str" cm="1">
        <f t="array" ref="K7727">IFERROR(IF($B7727=K$1, ($A7727+$C7727) - MAX(IF($B$2:$B7726=$B7727, $A$2:$A7726+$C$2:$C7726)), "")*24*60, "")</f>
        <v/>
      </c>
      <c r="L7727" s="24" t="str" cm="1">
        <f t="array" ref="L7727">IFERROR(IF($B7727=L$1, ($A7727+$C7727) - MAX(IF($B$2:$B7726=$B7727, $A$2:$A7726+$C$2:$C7726)), "")*24*60, "")</f>
        <v/>
      </c>
      <c r="M7727" s="24" t="str" cm="1">
        <f t="array" ref="M7727">IFERROR(IF($B7727=M$1, ($A7727+$C7727) - MAX(IF($B$2:$B7726=$B7727, $A$2:$A7726+$C$2:$C7726)), "")*24*60, "")</f>
        <v/>
      </c>
      <c r="N7727" s="24" t="str" cm="1">
        <f t="array" ref="N7727">IFERROR(IF($B7727=N$1, ($A7727+$C7727) - MAX(IF($B$2:$B7726=$B7727, $A$2:$A7726+$C$2:$C7726)), "")*24*60, "")</f>
        <v/>
      </c>
      <c r="O7727" s="24" t="str" cm="1">
        <f t="array" ref="O7727">IFERROR(IF($B7727=O$1, ($A7727+$C7727) - MAX(IF($B$2:$B7726=$B7727, $A$2:$A7726+$C$2:$C7726)), "")*24*60, "")</f>
        <v/>
      </c>
      <c r="P7727" s="24" t="str" cm="1">
        <f t="array" ref="P7727">IFERROR(IF($B7727=P$1, ($A7727+$C7727) - MAX(IF($B$2:$B7726=$B7727, $A$2:$A7726+$C$2:$C7726)), "")*24*60, "")</f>
        <v/>
      </c>
      <c r="Q7727" s="24" t="str" cm="1">
        <f t="array" ref="Q7727">IFERROR(IF($B7727=Q$1, ($A7727+$C7727) - MAX(IF($B$2:$B7726=$B7727, $A$2:$A7726+$C$2:$C7726)), "")*24*60, "")</f>
        <v/>
      </c>
      <c r="R7727" s="24" t="str" cm="1">
        <f t="array" ref="R7727">IFERROR(IF($B7727=R$1, ($A7727+$C7727) - MAX(IF($B$2:$B7726=$B7727, $A$2:$A7726+$C$2:$C7726)), "")*24*60, "")</f>
        <v/>
      </c>
      <c r="S7727" s="24" t="str" cm="1">
        <f t="array" ref="S7727">IFERROR(IF($B7727=S$1, ($A7727+$C7727) - MAX(IF($B$2:$B7726=$B7727, $A$2:$A7726+$C$2:$C7726)), "")*24*60, "")</f>
        <v/>
      </c>
    </row>
    <row r="7728" spans="1:19" x14ac:dyDescent="0.2">
      <c r="A7728" s="12">
        <f t="shared" ref="A7728:C7728" si="1422">A7727</f>
        <v>46019</v>
      </c>
      <c r="B7728" s="5" t="str">
        <f t="shared" si="1422"/>
        <v>Northern Cardinal</v>
      </c>
      <c r="C7728" s="6">
        <f t="shared" si="1422"/>
        <v>0.74444444444444446</v>
      </c>
      <c r="D7728" s="5"/>
      <c r="E7728" s="5"/>
      <c r="F7728" s="5" t="s">
        <v>9</v>
      </c>
      <c r="G7728" s="15" t="s">
        <v>8</v>
      </c>
      <c r="H7728" s="24">
        <f t="shared" si="1407"/>
        <v>0</v>
      </c>
      <c r="I7728" s="24" cm="1">
        <f t="array" ref="I7728">IFERROR(IF($B7728=I$1, ($A7728+$C7728) - MAX(IF($B$2:$B7727=$B7728, $A$2:$A7727+$C$2:$C7727)), "")*24*60, "")</f>
        <v>0</v>
      </c>
      <c r="J7728" s="24" t="str" cm="1">
        <f t="array" ref="J7728">IFERROR(IF($B7728=J$1, ($A7728+$C7728) - MAX(IF($B$2:$B7727=$B7728, $A$2:$A7727+$C$2:$C7727)), "")*24*60, "")</f>
        <v/>
      </c>
      <c r="K7728" s="24" t="str" cm="1">
        <f t="array" ref="K7728">IFERROR(IF($B7728=K$1, ($A7728+$C7728) - MAX(IF($B$2:$B7727=$B7728, $A$2:$A7727+$C$2:$C7727)), "")*24*60, "")</f>
        <v/>
      </c>
      <c r="L7728" s="24" t="str" cm="1">
        <f t="array" ref="L7728">IFERROR(IF($B7728=L$1, ($A7728+$C7728) - MAX(IF($B$2:$B7727=$B7728, $A$2:$A7727+$C$2:$C7727)), "")*24*60, "")</f>
        <v/>
      </c>
      <c r="M7728" s="24" t="str" cm="1">
        <f t="array" ref="M7728">IFERROR(IF($B7728=M$1, ($A7728+$C7728) - MAX(IF($B$2:$B7727=$B7728, $A$2:$A7727+$C$2:$C7727)), "")*24*60, "")</f>
        <v/>
      </c>
      <c r="N7728" s="24" t="str" cm="1">
        <f t="array" ref="N7728">IFERROR(IF($B7728=N$1, ($A7728+$C7728) - MAX(IF($B$2:$B7727=$B7728, $A$2:$A7727+$C$2:$C7727)), "")*24*60, "")</f>
        <v/>
      </c>
      <c r="O7728" s="24" t="str" cm="1">
        <f t="array" ref="O7728">IFERROR(IF($B7728=O$1, ($A7728+$C7728) - MAX(IF($B$2:$B7727=$B7728, $A$2:$A7727+$C$2:$C7727)), "")*24*60, "")</f>
        <v/>
      </c>
      <c r="P7728" s="24" t="str" cm="1">
        <f t="array" ref="P7728">IFERROR(IF($B7728=P$1, ($A7728+$C7728) - MAX(IF($B$2:$B7727=$B7728, $A$2:$A7727+$C$2:$C7727)), "")*24*60, "")</f>
        <v/>
      </c>
      <c r="Q7728" s="24" t="str" cm="1">
        <f t="array" ref="Q7728">IFERROR(IF($B7728=Q$1, ($A7728+$C7728) - MAX(IF($B$2:$B7727=$B7728, $A$2:$A7727+$C$2:$C7727)), "")*24*60, "")</f>
        <v/>
      </c>
      <c r="R7728" s="24" t="str" cm="1">
        <f t="array" ref="R7728">IFERROR(IF($B7728=R$1, ($A7728+$C7728) - MAX(IF($B$2:$B7727=$B7728, $A$2:$A7727+$C$2:$C7727)), "")*24*60, "")</f>
        <v/>
      </c>
      <c r="S7728" s="24" t="str" cm="1">
        <f t="array" ref="S7728">IFERROR(IF($B7728=S$1, ($A7728+$C7728) - MAX(IF($B$2:$B7727=$B7728, $A$2:$A7727+$C$2:$C7727)), "")*24*60, "")</f>
        <v/>
      </c>
    </row>
    <row r="7729" spans="1:19" x14ac:dyDescent="0.2">
      <c r="A7729" s="12">
        <f t="shared" ref="A7729:C7729" si="1423">A7728</f>
        <v>46019</v>
      </c>
      <c r="B7729" s="5" t="str">
        <f t="shared" si="1423"/>
        <v>Northern Cardinal</v>
      </c>
      <c r="C7729" s="6">
        <f t="shared" si="1423"/>
        <v>0.74444444444444446</v>
      </c>
      <c r="D7729" s="5"/>
      <c r="E7729" s="5"/>
      <c r="F7729" s="5" t="s">
        <v>9</v>
      </c>
      <c r="G7729" s="15" t="s">
        <v>8</v>
      </c>
      <c r="H7729" s="24">
        <f t="shared" si="1407"/>
        <v>0</v>
      </c>
      <c r="I7729" s="24" cm="1">
        <f t="array" ref="I7729">IFERROR(IF($B7729=I$1, ($A7729+$C7729) - MAX(IF($B$2:$B7728=$B7729, $A$2:$A7728+$C$2:$C7728)), "")*24*60, "")</f>
        <v>0</v>
      </c>
      <c r="J7729" s="24" t="str" cm="1">
        <f t="array" ref="J7729">IFERROR(IF($B7729=J$1, ($A7729+$C7729) - MAX(IF($B$2:$B7728=$B7729, $A$2:$A7728+$C$2:$C7728)), "")*24*60, "")</f>
        <v/>
      </c>
      <c r="K7729" s="24" t="str" cm="1">
        <f t="array" ref="K7729">IFERROR(IF($B7729=K$1, ($A7729+$C7729) - MAX(IF($B$2:$B7728=$B7729, $A$2:$A7728+$C$2:$C7728)), "")*24*60, "")</f>
        <v/>
      </c>
      <c r="L7729" s="24" t="str" cm="1">
        <f t="array" ref="L7729">IFERROR(IF($B7729=L$1, ($A7729+$C7729) - MAX(IF($B$2:$B7728=$B7729, $A$2:$A7728+$C$2:$C7728)), "")*24*60, "")</f>
        <v/>
      </c>
      <c r="M7729" s="24" t="str" cm="1">
        <f t="array" ref="M7729">IFERROR(IF($B7729=M$1, ($A7729+$C7729) - MAX(IF($B$2:$B7728=$B7729, $A$2:$A7728+$C$2:$C7728)), "")*24*60, "")</f>
        <v/>
      </c>
      <c r="N7729" s="24" t="str" cm="1">
        <f t="array" ref="N7729">IFERROR(IF($B7729=N$1, ($A7729+$C7729) - MAX(IF($B$2:$B7728=$B7729, $A$2:$A7728+$C$2:$C7728)), "")*24*60, "")</f>
        <v/>
      </c>
      <c r="O7729" s="24" t="str" cm="1">
        <f t="array" ref="O7729">IFERROR(IF($B7729=O$1, ($A7729+$C7729) - MAX(IF($B$2:$B7728=$B7729, $A$2:$A7728+$C$2:$C7728)), "")*24*60, "")</f>
        <v/>
      </c>
      <c r="P7729" s="24" t="str" cm="1">
        <f t="array" ref="P7729">IFERROR(IF($B7729=P$1, ($A7729+$C7729) - MAX(IF($B$2:$B7728=$B7729, $A$2:$A7728+$C$2:$C7728)), "")*24*60, "")</f>
        <v/>
      </c>
      <c r="Q7729" s="24" t="str" cm="1">
        <f t="array" ref="Q7729">IFERROR(IF($B7729=Q$1, ($A7729+$C7729) - MAX(IF($B$2:$B7728=$B7729, $A$2:$A7728+$C$2:$C7728)), "")*24*60, "")</f>
        <v/>
      </c>
      <c r="R7729" s="24" t="str" cm="1">
        <f t="array" ref="R7729">IFERROR(IF($B7729=R$1, ($A7729+$C7729) - MAX(IF($B$2:$B7728=$B7729, $A$2:$A7728+$C$2:$C7728)), "")*24*60, "")</f>
        <v/>
      </c>
      <c r="S7729" s="24" t="str" cm="1">
        <f t="array" ref="S7729">IFERROR(IF($B7729=S$1, ($A7729+$C7729) - MAX(IF($B$2:$B7728=$B7729, $A$2:$A7728+$C$2:$C7728)), "")*24*60, "")</f>
        <v/>
      </c>
    </row>
    <row r="7730" spans="1:19" x14ac:dyDescent="0.2">
      <c r="A7730" s="12">
        <f t="shared" ref="A7730:C7730" si="1424">A7729</f>
        <v>46019</v>
      </c>
      <c r="B7730" s="5" t="str">
        <f t="shared" si="1424"/>
        <v>Northern Cardinal</v>
      </c>
      <c r="C7730" s="6">
        <f t="shared" si="1424"/>
        <v>0.74444444444444446</v>
      </c>
      <c r="D7730" s="5"/>
      <c r="E7730" s="5"/>
      <c r="F7730" s="5" t="s">
        <v>9</v>
      </c>
      <c r="G7730" s="15" t="s">
        <v>8</v>
      </c>
      <c r="H7730" s="24">
        <f t="shared" si="1407"/>
        <v>0</v>
      </c>
      <c r="I7730" s="24" cm="1">
        <f t="array" ref="I7730">IFERROR(IF($B7730=I$1, ($A7730+$C7730) - MAX(IF($B$2:$B7729=$B7730, $A$2:$A7729+$C$2:$C7729)), "")*24*60, "")</f>
        <v>0</v>
      </c>
      <c r="J7730" s="24" t="str" cm="1">
        <f t="array" ref="J7730">IFERROR(IF($B7730=J$1, ($A7730+$C7730) - MAX(IF($B$2:$B7729=$B7730, $A$2:$A7729+$C$2:$C7729)), "")*24*60, "")</f>
        <v/>
      </c>
      <c r="K7730" s="24" t="str" cm="1">
        <f t="array" ref="K7730">IFERROR(IF($B7730=K$1, ($A7730+$C7730) - MAX(IF($B$2:$B7729=$B7730, $A$2:$A7729+$C$2:$C7729)), "")*24*60, "")</f>
        <v/>
      </c>
      <c r="L7730" s="24" t="str" cm="1">
        <f t="array" ref="L7730">IFERROR(IF($B7730=L$1, ($A7730+$C7730) - MAX(IF($B$2:$B7729=$B7730, $A$2:$A7729+$C$2:$C7729)), "")*24*60, "")</f>
        <v/>
      </c>
      <c r="M7730" s="24" t="str" cm="1">
        <f t="array" ref="M7730">IFERROR(IF($B7730=M$1, ($A7730+$C7730) - MAX(IF($B$2:$B7729=$B7730, $A$2:$A7729+$C$2:$C7729)), "")*24*60, "")</f>
        <v/>
      </c>
      <c r="N7730" s="24" t="str" cm="1">
        <f t="array" ref="N7730">IFERROR(IF($B7730=N$1, ($A7730+$C7730) - MAX(IF($B$2:$B7729=$B7730, $A$2:$A7729+$C$2:$C7729)), "")*24*60, "")</f>
        <v/>
      </c>
      <c r="O7730" s="24" t="str" cm="1">
        <f t="array" ref="O7730">IFERROR(IF($B7730=O$1, ($A7730+$C7730) - MAX(IF($B$2:$B7729=$B7730, $A$2:$A7729+$C$2:$C7729)), "")*24*60, "")</f>
        <v/>
      </c>
      <c r="P7730" s="24" t="str" cm="1">
        <f t="array" ref="P7730">IFERROR(IF($B7730=P$1, ($A7730+$C7730) - MAX(IF($B$2:$B7729=$B7730, $A$2:$A7729+$C$2:$C7729)), "")*24*60, "")</f>
        <v/>
      </c>
      <c r="Q7730" s="24" t="str" cm="1">
        <f t="array" ref="Q7730">IFERROR(IF($B7730=Q$1, ($A7730+$C7730) - MAX(IF($B$2:$B7729=$B7730, $A$2:$A7729+$C$2:$C7729)), "")*24*60, "")</f>
        <v/>
      </c>
      <c r="R7730" s="24" t="str" cm="1">
        <f t="array" ref="R7730">IFERROR(IF($B7730=R$1, ($A7730+$C7730) - MAX(IF($B$2:$B7729=$B7730, $A$2:$A7729+$C$2:$C7729)), "")*24*60, "")</f>
        <v/>
      </c>
      <c r="S7730" s="24" t="str" cm="1">
        <f t="array" ref="S7730">IFERROR(IF($B7730=S$1, ($A7730+$C7730) - MAX(IF($B$2:$B7729=$B7730, $A$2:$A7729+$C$2:$C7729)), "")*24*60, "")</f>
        <v/>
      </c>
    </row>
    <row r="7731" spans="1:19" x14ac:dyDescent="0.2">
      <c r="A7731" s="12">
        <f t="shared" ref="A7731:C7731" si="1425">A7730</f>
        <v>46019</v>
      </c>
      <c r="B7731" s="5" t="str">
        <f t="shared" si="1425"/>
        <v>Northern Cardinal</v>
      </c>
      <c r="C7731" s="6">
        <f t="shared" si="1425"/>
        <v>0.74444444444444446</v>
      </c>
      <c r="D7731" s="5"/>
      <c r="E7731" s="5"/>
      <c r="F7731" s="5" t="s">
        <v>9</v>
      </c>
      <c r="G7731" s="15" t="s">
        <v>8</v>
      </c>
      <c r="H7731" s="24">
        <f t="shared" si="1407"/>
        <v>0</v>
      </c>
      <c r="I7731" s="24" cm="1">
        <f t="array" ref="I7731">IFERROR(IF($B7731=I$1, ($A7731+$C7731) - MAX(IF($B$2:$B7730=$B7731, $A$2:$A7730+$C$2:$C7730)), "")*24*60, "")</f>
        <v>0</v>
      </c>
      <c r="J7731" s="24" t="str" cm="1">
        <f t="array" ref="J7731">IFERROR(IF($B7731=J$1, ($A7731+$C7731) - MAX(IF($B$2:$B7730=$B7731, $A$2:$A7730+$C$2:$C7730)), "")*24*60, "")</f>
        <v/>
      </c>
      <c r="K7731" s="24" t="str" cm="1">
        <f t="array" ref="K7731">IFERROR(IF($B7731=K$1, ($A7731+$C7731) - MAX(IF($B$2:$B7730=$B7731, $A$2:$A7730+$C$2:$C7730)), "")*24*60, "")</f>
        <v/>
      </c>
      <c r="L7731" s="24" t="str" cm="1">
        <f t="array" ref="L7731">IFERROR(IF($B7731=L$1, ($A7731+$C7731) - MAX(IF($B$2:$B7730=$B7731, $A$2:$A7730+$C$2:$C7730)), "")*24*60, "")</f>
        <v/>
      </c>
      <c r="M7731" s="24" t="str" cm="1">
        <f t="array" ref="M7731">IFERROR(IF($B7731=M$1, ($A7731+$C7731) - MAX(IF($B$2:$B7730=$B7731, $A$2:$A7730+$C$2:$C7730)), "")*24*60, "")</f>
        <v/>
      </c>
      <c r="N7731" s="24" t="str" cm="1">
        <f t="array" ref="N7731">IFERROR(IF($B7731=N$1, ($A7731+$C7731) - MAX(IF($B$2:$B7730=$B7731, $A$2:$A7730+$C$2:$C7730)), "")*24*60, "")</f>
        <v/>
      </c>
      <c r="O7731" s="24" t="str" cm="1">
        <f t="array" ref="O7731">IFERROR(IF($B7731=O$1, ($A7731+$C7731) - MAX(IF($B$2:$B7730=$B7731, $A$2:$A7730+$C$2:$C7730)), "")*24*60, "")</f>
        <v/>
      </c>
      <c r="P7731" s="24" t="str" cm="1">
        <f t="array" ref="P7731">IFERROR(IF($B7731=P$1, ($A7731+$C7731) - MAX(IF($B$2:$B7730=$B7731, $A$2:$A7730+$C$2:$C7730)), "")*24*60, "")</f>
        <v/>
      </c>
      <c r="Q7731" s="24" t="str" cm="1">
        <f t="array" ref="Q7731">IFERROR(IF($B7731=Q$1, ($A7731+$C7731) - MAX(IF($B$2:$B7730=$B7731, $A$2:$A7730+$C$2:$C7730)), "")*24*60, "")</f>
        <v/>
      </c>
      <c r="R7731" s="24" t="str" cm="1">
        <f t="array" ref="R7731">IFERROR(IF($B7731=R$1, ($A7731+$C7731) - MAX(IF($B$2:$B7730=$B7731, $A$2:$A7730+$C$2:$C7730)), "")*24*60, "")</f>
        <v/>
      </c>
      <c r="S7731" s="24" t="str" cm="1">
        <f t="array" ref="S7731">IFERROR(IF($B7731=S$1, ($A7731+$C7731) - MAX(IF($B$2:$B7730=$B7731, $A$2:$A7730+$C$2:$C7730)), "")*24*60, "")</f>
        <v/>
      </c>
    </row>
    <row r="7732" spans="1:19" x14ac:dyDescent="0.2">
      <c r="A7732" s="12">
        <f t="shared" ref="A7732:C7732" si="1426">A7731</f>
        <v>46019</v>
      </c>
      <c r="B7732" s="5" t="str">
        <f t="shared" si="1426"/>
        <v>Northern Cardinal</v>
      </c>
      <c r="C7732" s="6">
        <f t="shared" si="1426"/>
        <v>0.74444444444444446</v>
      </c>
      <c r="D7732" s="5"/>
      <c r="E7732" s="5"/>
      <c r="F7732" s="5" t="s">
        <v>9</v>
      </c>
      <c r="G7732" s="15" t="s">
        <v>8</v>
      </c>
      <c r="H7732" s="24">
        <f t="shared" si="1407"/>
        <v>0</v>
      </c>
      <c r="I7732" s="24" cm="1">
        <f t="array" ref="I7732">IFERROR(IF($B7732=I$1, ($A7732+$C7732) - MAX(IF($B$2:$B7731=$B7732, $A$2:$A7731+$C$2:$C7731)), "")*24*60, "")</f>
        <v>0</v>
      </c>
      <c r="J7732" s="24" t="str" cm="1">
        <f t="array" ref="J7732">IFERROR(IF($B7732=J$1, ($A7732+$C7732) - MAX(IF($B$2:$B7731=$B7732, $A$2:$A7731+$C$2:$C7731)), "")*24*60, "")</f>
        <v/>
      </c>
      <c r="K7732" s="24" t="str" cm="1">
        <f t="array" ref="K7732">IFERROR(IF($B7732=K$1, ($A7732+$C7732) - MAX(IF($B$2:$B7731=$B7732, $A$2:$A7731+$C$2:$C7731)), "")*24*60, "")</f>
        <v/>
      </c>
      <c r="L7732" s="24" t="str" cm="1">
        <f t="array" ref="L7732">IFERROR(IF($B7732=L$1, ($A7732+$C7732) - MAX(IF($B$2:$B7731=$B7732, $A$2:$A7731+$C$2:$C7731)), "")*24*60, "")</f>
        <v/>
      </c>
      <c r="M7732" s="24" t="str" cm="1">
        <f t="array" ref="M7732">IFERROR(IF($B7732=M$1, ($A7732+$C7732) - MAX(IF($B$2:$B7731=$B7732, $A$2:$A7731+$C$2:$C7731)), "")*24*60, "")</f>
        <v/>
      </c>
      <c r="N7732" s="24" t="str" cm="1">
        <f t="array" ref="N7732">IFERROR(IF($B7732=N$1, ($A7732+$C7732) - MAX(IF($B$2:$B7731=$B7732, $A$2:$A7731+$C$2:$C7731)), "")*24*60, "")</f>
        <v/>
      </c>
      <c r="O7732" s="24" t="str" cm="1">
        <f t="array" ref="O7732">IFERROR(IF($B7732=O$1, ($A7732+$C7732) - MAX(IF($B$2:$B7731=$B7732, $A$2:$A7731+$C$2:$C7731)), "")*24*60, "")</f>
        <v/>
      </c>
      <c r="P7732" s="24" t="str" cm="1">
        <f t="array" ref="P7732">IFERROR(IF($B7732=P$1, ($A7732+$C7732) - MAX(IF($B$2:$B7731=$B7732, $A$2:$A7731+$C$2:$C7731)), "")*24*60, "")</f>
        <v/>
      </c>
      <c r="Q7732" s="24" t="str" cm="1">
        <f t="array" ref="Q7732">IFERROR(IF($B7732=Q$1, ($A7732+$C7732) - MAX(IF($B$2:$B7731=$B7732, $A$2:$A7731+$C$2:$C7731)), "")*24*60, "")</f>
        <v/>
      </c>
      <c r="R7732" s="24" t="str" cm="1">
        <f t="array" ref="R7732">IFERROR(IF($B7732=R$1, ($A7732+$C7732) - MAX(IF($B$2:$B7731=$B7732, $A$2:$A7731+$C$2:$C7731)), "")*24*60, "")</f>
        <v/>
      </c>
      <c r="S7732" s="24" t="str" cm="1">
        <f t="array" ref="S7732">IFERROR(IF($B7732=S$1, ($A7732+$C7732) - MAX(IF($B$2:$B7731=$B7732, $A$2:$A7731+$C$2:$C7731)), "")*24*60, "")</f>
        <v/>
      </c>
    </row>
    <row r="7733" spans="1:19" x14ac:dyDescent="0.2">
      <c r="A7733" s="12">
        <f t="shared" ref="A7733:C7733" si="1427">A7732</f>
        <v>46019</v>
      </c>
      <c r="B7733" s="5" t="str">
        <f t="shared" si="1427"/>
        <v>Northern Cardinal</v>
      </c>
      <c r="C7733" s="6">
        <f t="shared" si="1427"/>
        <v>0.74444444444444446</v>
      </c>
      <c r="D7733" s="5"/>
      <c r="E7733" s="5"/>
      <c r="F7733" s="5" t="s">
        <v>9</v>
      </c>
      <c r="G7733" s="15" t="s">
        <v>8</v>
      </c>
      <c r="H7733" s="24">
        <f t="shared" si="1407"/>
        <v>0</v>
      </c>
      <c r="I7733" s="24" cm="1">
        <f t="array" ref="I7733">IFERROR(IF($B7733=I$1, ($A7733+$C7733) - MAX(IF($B$2:$B7732=$B7733, $A$2:$A7732+$C$2:$C7732)), "")*24*60, "")</f>
        <v>0</v>
      </c>
      <c r="J7733" s="24" t="str" cm="1">
        <f t="array" ref="J7733">IFERROR(IF($B7733=J$1, ($A7733+$C7733) - MAX(IF($B$2:$B7732=$B7733, $A$2:$A7732+$C$2:$C7732)), "")*24*60, "")</f>
        <v/>
      </c>
      <c r="K7733" s="24" t="str" cm="1">
        <f t="array" ref="K7733">IFERROR(IF($B7733=K$1, ($A7733+$C7733) - MAX(IF($B$2:$B7732=$B7733, $A$2:$A7732+$C$2:$C7732)), "")*24*60, "")</f>
        <v/>
      </c>
      <c r="L7733" s="24" t="str" cm="1">
        <f t="array" ref="L7733">IFERROR(IF($B7733=L$1, ($A7733+$C7733) - MAX(IF($B$2:$B7732=$B7733, $A$2:$A7732+$C$2:$C7732)), "")*24*60, "")</f>
        <v/>
      </c>
      <c r="M7733" s="24" t="str" cm="1">
        <f t="array" ref="M7733">IFERROR(IF($B7733=M$1, ($A7733+$C7733) - MAX(IF($B$2:$B7732=$B7733, $A$2:$A7732+$C$2:$C7732)), "")*24*60, "")</f>
        <v/>
      </c>
      <c r="N7733" s="24" t="str" cm="1">
        <f t="array" ref="N7733">IFERROR(IF($B7733=N$1, ($A7733+$C7733) - MAX(IF($B$2:$B7732=$B7733, $A$2:$A7732+$C$2:$C7732)), "")*24*60, "")</f>
        <v/>
      </c>
      <c r="O7733" s="24" t="str" cm="1">
        <f t="array" ref="O7733">IFERROR(IF($B7733=O$1, ($A7733+$C7733) - MAX(IF($B$2:$B7732=$B7733, $A$2:$A7732+$C$2:$C7732)), "")*24*60, "")</f>
        <v/>
      </c>
      <c r="P7733" s="24" t="str" cm="1">
        <f t="array" ref="P7733">IFERROR(IF($B7733=P$1, ($A7733+$C7733) - MAX(IF($B$2:$B7732=$B7733, $A$2:$A7732+$C$2:$C7732)), "")*24*60, "")</f>
        <v/>
      </c>
      <c r="Q7733" s="24" t="str" cm="1">
        <f t="array" ref="Q7733">IFERROR(IF($B7733=Q$1, ($A7733+$C7733) - MAX(IF($B$2:$B7732=$B7733, $A$2:$A7732+$C$2:$C7732)), "")*24*60, "")</f>
        <v/>
      </c>
      <c r="R7733" s="24" t="str" cm="1">
        <f t="array" ref="R7733">IFERROR(IF($B7733=R$1, ($A7733+$C7733) - MAX(IF($B$2:$B7732=$B7733, $A$2:$A7732+$C$2:$C7732)), "")*24*60, "")</f>
        <v/>
      </c>
      <c r="S7733" s="24" t="str" cm="1">
        <f t="array" ref="S7733">IFERROR(IF($B7733=S$1, ($A7733+$C7733) - MAX(IF($B$2:$B7732=$B7733, $A$2:$A7732+$C$2:$C7732)), "")*24*60, "")</f>
        <v/>
      </c>
    </row>
    <row r="7734" spans="1:19" x14ac:dyDescent="0.2">
      <c r="A7734" s="12">
        <f t="shared" ref="A7734:C7734" si="1428">A7733</f>
        <v>46019</v>
      </c>
      <c r="B7734" s="5" t="str">
        <f t="shared" si="1428"/>
        <v>Northern Cardinal</v>
      </c>
      <c r="C7734" s="6">
        <f t="shared" si="1428"/>
        <v>0.74444444444444446</v>
      </c>
      <c r="D7734" s="5"/>
      <c r="E7734" s="5"/>
      <c r="F7734" s="5" t="s">
        <v>9</v>
      </c>
      <c r="G7734" s="15" t="s">
        <v>8</v>
      </c>
      <c r="H7734" s="24">
        <f t="shared" si="1407"/>
        <v>0</v>
      </c>
      <c r="I7734" s="24" cm="1">
        <f t="array" ref="I7734">IFERROR(IF($B7734=I$1, ($A7734+$C7734) - MAX(IF($B$2:$B7733=$B7734, $A$2:$A7733+$C$2:$C7733)), "")*24*60, "")</f>
        <v>0</v>
      </c>
      <c r="J7734" s="24" t="str" cm="1">
        <f t="array" ref="J7734">IFERROR(IF($B7734=J$1, ($A7734+$C7734) - MAX(IF($B$2:$B7733=$B7734, $A$2:$A7733+$C$2:$C7733)), "")*24*60, "")</f>
        <v/>
      </c>
      <c r="K7734" s="24" t="str" cm="1">
        <f t="array" ref="K7734">IFERROR(IF($B7734=K$1, ($A7734+$C7734) - MAX(IF($B$2:$B7733=$B7734, $A$2:$A7733+$C$2:$C7733)), "")*24*60, "")</f>
        <v/>
      </c>
      <c r="L7734" s="24" t="str" cm="1">
        <f t="array" ref="L7734">IFERROR(IF($B7734=L$1, ($A7734+$C7734) - MAX(IF($B$2:$B7733=$B7734, $A$2:$A7733+$C$2:$C7733)), "")*24*60, "")</f>
        <v/>
      </c>
      <c r="M7734" s="24" t="str" cm="1">
        <f t="array" ref="M7734">IFERROR(IF($B7734=M$1, ($A7734+$C7734) - MAX(IF($B$2:$B7733=$B7734, $A$2:$A7733+$C$2:$C7733)), "")*24*60, "")</f>
        <v/>
      </c>
      <c r="N7734" s="24" t="str" cm="1">
        <f t="array" ref="N7734">IFERROR(IF($B7734=N$1, ($A7734+$C7734) - MAX(IF($B$2:$B7733=$B7734, $A$2:$A7733+$C$2:$C7733)), "")*24*60, "")</f>
        <v/>
      </c>
      <c r="O7734" s="24" t="str" cm="1">
        <f t="array" ref="O7734">IFERROR(IF($B7734=O$1, ($A7734+$C7734) - MAX(IF($B$2:$B7733=$B7734, $A$2:$A7733+$C$2:$C7733)), "")*24*60, "")</f>
        <v/>
      </c>
      <c r="P7734" s="24" t="str" cm="1">
        <f t="array" ref="P7734">IFERROR(IF($B7734=P$1, ($A7734+$C7734) - MAX(IF($B$2:$B7733=$B7734, $A$2:$A7733+$C$2:$C7733)), "")*24*60, "")</f>
        <v/>
      </c>
      <c r="Q7734" s="24" t="str" cm="1">
        <f t="array" ref="Q7734">IFERROR(IF($B7734=Q$1, ($A7734+$C7734) - MAX(IF($B$2:$B7733=$B7734, $A$2:$A7733+$C$2:$C7733)), "")*24*60, "")</f>
        <v/>
      </c>
      <c r="R7734" s="24" t="str" cm="1">
        <f t="array" ref="R7734">IFERROR(IF($B7734=R$1, ($A7734+$C7734) - MAX(IF($B$2:$B7733=$B7734, $A$2:$A7733+$C$2:$C7733)), "")*24*60, "")</f>
        <v/>
      </c>
      <c r="S7734" s="24" t="str" cm="1">
        <f t="array" ref="S7734">IFERROR(IF($B7734=S$1, ($A7734+$C7734) - MAX(IF($B$2:$B7733=$B7734, $A$2:$A7733+$C$2:$C7733)), "")*24*60, "")</f>
        <v/>
      </c>
    </row>
    <row r="7735" spans="1:19" x14ac:dyDescent="0.2">
      <c r="A7735" s="12">
        <f t="shared" ref="A7735:C7735" si="1429">A7734</f>
        <v>46019</v>
      </c>
      <c r="B7735" s="5" t="str">
        <f t="shared" si="1429"/>
        <v>Northern Cardinal</v>
      </c>
      <c r="C7735" s="6">
        <f t="shared" si="1429"/>
        <v>0.74444444444444446</v>
      </c>
      <c r="D7735" s="5"/>
      <c r="E7735" s="5"/>
      <c r="F7735" s="5" t="s">
        <v>9</v>
      </c>
      <c r="G7735" s="15" t="s">
        <v>8</v>
      </c>
      <c r="H7735" s="24">
        <f t="shared" si="1407"/>
        <v>0</v>
      </c>
      <c r="I7735" s="24" cm="1">
        <f t="array" ref="I7735">IFERROR(IF($B7735=I$1, ($A7735+$C7735) - MAX(IF($B$2:$B7734=$B7735, $A$2:$A7734+$C$2:$C7734)), "")*24*60, "")</f>
        <v>0</v>
      </c>
      <c r="J7735" s="24" t="str" cm="1">
        <f t="array" ref="J7735">IFERROR(IF($B7735=J$1, ($A7735+$C7735) - MAX(IF($B$2:$B7734=$B7735, $A$2:$A7734+$C$2:$C7734)), "")*24*60, "")</f>
        <v/>
      </c>
      <c r="K7735" s="24" t="str" cm="1">
        <f t="array" ref="K7735">IFERROR(IF($B7735=K$1, ($A7735+$C7735) - MAX(IF($B$2:$B7734=$B7735, $A$2:$A7734+$C$2:$C7734)), "")*24*60, "")</f>
        <v/>
      </c>
      <c r="L7735" s="24" t="str" cm="1">
        <f t="array" ref="L7735">IFERROR(IF($B7735=L$1, ($A7735+$C7735) - MAX(IF($B$2:$B7734=$B7735, $A$2:$A7734+$C$2:$C7734)), "")*24*60, "")</f>
        <v/>
      </c>
      <c r="M7735" s="24" t="str" cm="1">
        <f t="array" ref="M7735">IFERROR(IF($B7735=M$1, ($A7735+$C7735) - MAX(IF($B$2:$B7734=$B7735, $A$2:$A7734+$C$2:$C7734)), "")*24*60, "")</f>
        <v/>
      </c>
      <c r="N7735" s="24" t="str" cm="1">
        <f t="array" ref="N7735">IFERROR(IF($B7735=N$1, ($A7735+$C7735) - MAX(IF($B$2:$B7734=$B7735, $A$2:$A7734+$C$2:$C7734)), "")*24*60, "")</f>
        <v/>
      </c>
      <c r="O7735" s="24" t="str" cm="1">
        <f t="array" ref="O7735">IFERROR(IF($B7735=O$1, ($A7735+$C7735) - MAX(IF($B$2:$B7734=$B7735, $A$2:$A7734+$C$2:$C7734)), "")*24*60, "")</f>
        <v/>
      </c>
      <c r="P7735" s="24" t="str" cm="1">
        <f t="array" ref="P7735">IFERROR(IF($B7735=P$1, ($A7735+$C7735) - MAX(IF($B$2:$B7734=$B7735, $A$2:$A7734+$C$2:$C7734)), "")*24*60, "")</f>
        <v/>
      </c>
      <c r="Q7735" s="24" t="str" cm="1">
        <f t="array" ref="Q7735">IFERROR(IF($B7735=Q$1, ($A7735+$C7735) - MAX(IF($B$2:$B7734=$B7735, $A$2:$A7734+$C$2:$C7734)), "")*24*60, "")</f>
        <v/>
      </c>
      <c r="R7735" s="24" t="str" cm="1">
        <f t="array" ref="R7735">IFERROR(IF($B7735=R$1, ($A7735+$C7735) - MAX(IF($B$2:$B7734=$B7735, $A$2:$A7734+$C$2:$C7734)), "")*24*60, "")</f>
        <v/>
      </c>
      <c r="S7735" s="24" t="str" cm="1">
        <f t="array" ref="S7735">IFERROR(IF($B7735=S$1, ($A7735+$C7735) - MAX(IF($B$2:$B7734=$B7735, $A$2:$A7734+$C$2:$C7734)), "")*24*60, "")</f>
        <v/>
      </c>
    </row>
    <row r="7736" spans="1:19" x14ac:dyDescent="0.2">
      <c r="A7736" s="12">
        <f t="shared" ref="A7736:C7736" si="1430">A7735</f>
        <v>46019</v>
      </c>
      <c r="B7736" s="5" t="str">
        <f t="shared" si="1430"/>
        <v>Northern Cardinal</v>
      </c>
      <c r="C7736" s="6">
        <f t="shared" si="1430"/>
        <v>0.74444444444444446</v>
      </c>
      <c r="D7736" s="5"/>
      <c r="E7736" s="5"/>
      <c r="F7736" s="5" t="s">
        <v>9</v>
      </c>
      <c r="G7736" s="15" t="s">
        <v>8</v>
      </c>
      <c r="H7736" s="24">
        <f t="shared" si="1407"/>
        <v>0</v>
      </c>
      <c r="I7736" s="24" cm="1">
        <f t="array" ref="I7736">IFERROR(IF($B7736=I$1, ($A7736+$C7736) - MAX(IF($B$2:$B7735=$B7736, $A$2:$A7735+$C$2:$C7735)), "")*24*60, "")</f>
        <v>0</v>
      </c>
      <c r="J7736" s="24" t="str" cm="1">
        <f t="array" ref="J7736">IFERROR(IF($B7736=J$1, ($A7736+$C7736) - MAX(IF($B$2:$B7735=$B7736, $A$2:$A7735+$C$2:$C7735)), "")*24*60, "")</f>
        <v/>
      </c>
      <c r="K7736" s="24" t="str" cm="1">
        <f t="array" ref="K7736">IFERROR(IF($B7736=K$1, ($A7736+$C7736) - MAX(IF($B$2:$B7735=$B7736, $A$2:$A7735+$C$2:$C7735)), "")*24*60, "")</f>
        <v/>
      </c>
      <c r="L7736" s="24" t="str" cm="1">
        <f t="array" ref="L7736">IFERROR(IF($B7736=L$1, ($A7736+$C7736) - MAX(IF($B$2:$B7735=$B7736, $A$2:$A7735+$C$2:$C7735)), "")*24*60, "")</f>
        <v/>
      </c>
      <c r="M7736" s="24" t="str" cm="1">
        <f t="array" ref="M7736">IFERROR(IF($B7736=M$1, ($A7736+$C7736) - MAX(IF($B$2:$B7735=$B7736, $A$2:$A7735+$C$2:$C7735)), "")*24*60, "")</f>
        <v/>
      </c>
      <c r="N7736" s="24" t="str" cm="1">
        <f t="array" ref="N7736">IFERROR(IF($B7736=N$1, ($A7736+$C7736) - MAX(IF($B$2:$B7735=$B7736, $A$2:$A7735+$C$2:$C7735)), "")*24*60, "")</f>
        <v/>
      </c>
      <c r="O7736" s="24" t="str" cm="1">
        <f t="array" ref="O7736">IFERROR(IF($B7736=O$1, ($A7736+$C7736) - MAX(IF($B$2:$B7735=$B7736, $A$2:$A7735+$C$2:$C7735)), "")*24*60, "")</f>
        <v/>
      </c>
      <c r="P7736" s="24" t="str" cm="1">
        <f t="array" ref="P7736">IFERROR(IF($B7736=P$1, ($A7736+$C7736) - MAX(IF($B$2:$B7735=$B7736, $A$2:$A7735+$C$2:$C7735)), "")*24*60, "")</f>
        <v/>
      </c>
      <c r="Q7736" s="24" t="str" cm="1">
        <f t="array" ref="Q7736">IFERROR(IF($B7736=Q$1, ($A7736+$C7736) - MAX(IF($B$2:$B7735=$B7736, $A$2:$A7735+$C$2:$C7735)), "")*24*60, "")</f>
        <v/>
      </c>
      <c r="R7736" s="24" t="str" cm="1">
        <f t="array" ref="R7736">IFERROR(IF($B7736=R$1, ($A7736+$C7736) - MAX(IF($B$2:$B7735=$B7736, $A$2:$A7735+$C$2:$C7735)), "")*24*60, "")</f>
        <v/>
      </c>
      <c r="S7736" s="24" t="str" cm="1">
        <f t="array" ref="S7736">IFERROR(IF($B7736=S$1, ($A7736+$C7736) - MAX(IF($B$2:$B7735=$B7736, $A$2:$A7735+$C$2:$C7735)), "")*24*60, "")</f>
        <v/>
      </c>
    </row>
    <row r="7737" spans="1:19" x14ac:dyDescent="0.2">
      <c r="A7737" s="12">
        <f t="shared" ref="A7737:C7737" si="1431">A7736</f>
        <v>46019</v>
      </c>
      <c r="B7737" s="5" t="str">
        <f t="shared" si="1431"/>
        <v>Northern Cardinal</v>
      </c>
      <c r="C7737" s="6">
        <f t="shared" si="1431"/>
        <v>0.74444444444444446</v>
      </c>
      <c r="D7737" s="5"/>
      <c r="E7737" s="5"/>
      <c r="F7737" s="5" t="s">
        <v>9</v>
      </c>
      <c r="G7737" s="15" t="s">
        <v>8</v>
      </c>
      <c r="H7737" s="24">
        <f t="shared" si="1407"/>
        <v>0</v>
      </c>
      <c r="I7737" s="24" cm="1">
        <f t="array" ref="I7737">IFERROR(IF($B7737=I$1, ($A7737+$C7737) - MAX(IF($B$2:$B7736=$B7737, $A$2:$A7736+$C$2:$C7736)), "")*24*60, "")</f>
        <v>0</v>
      </c>
      <c r="J7737" s="24" t="str" cm="1">
        <f t="array" ref="J7737">IFERROR(IF($B7737=J$1, ($A7737+$C7737) - MAX(IF($B$2:$B7736=$B7737, $A$2:$A7736+$C$2:$C7736)), "")*24*60, "")</f>
        <v/>
      </c>
      <c r="K7737" s="24" t="str" cm="1">
        <f t="array" ref="K7737">IFERROR(IF($B7737=K$1, ($A7737+$C7737) - MAX(IF($B$2:$B7736=$B7737, $A$2:$A7736+$C$2:$C7736)), "")*24*60, "")</f>
        <v/>
      </c>
      <c r="L7737" s="24" t="str" cm="1">
        <f t="array" ref="L7737">IFERROR(IF($B7737=L$1, ($A7737+$C7737) - MAX(IF($B$2:$B7736=$B7737, $A$2:$A7736+$C$2:$C7736)), "")*24*60, "")</f>
        <v/>
      </c>
      <c r="M7737" s="24" t="str" cm="1">
        <f t="array" ref="M7737">IFERROR(IF($B7737=M$1, ($A7737+$C7737) - MAX(IF($B$2:$B7736=$B7737, $A$2:$A7736+$C$2:$C7736)), "")*24*60, "")</f>
        <v/>
      </c>
      <c r="N7737" s="24" t="str" cm="1">
        <f t="array" ref="N7737">IFERROR(IF($B7737=N$1, ($A7737+$C7737) - MAX(IF($B$2:$B7736=$B7737, $A$2:$A7736+$C$2:$C7736)), "")*24*60, "")</f>
        <v/>
      </c>
      <c r="O7737" s="24" t="str" cm="1">
        <f t="array" ref="O7737">IFERROR(IF($B7737=O$1, ($A7737+$C7737) - MAX(IF($B$2:$B7736=$B7737, $A$2:$A7736+$C$2:$C7736)), "")*24*60, "")</f>
        <v/>
      </c>
      <c r="P7737" s="24" t="str" cm="1">
        <f t="array" ref="P7737">IFERROR(IF($B7737=P$1, ($A7737+$C7737) - MAX(IF($B$2:$B7736=$B7737, $A$2:$A7736+$C$2:$C7736)), "")*24*60, "")</f>
        <v/>
      </c>
      <c r="Q7737" s="24" t="str" cm="1">
        <f t="array" ref="Q7737">IFERROR(IF($B7737=Q$1, ($A7737+$C7737) - MAX(IF($B$2:$B7736=$B7737, $A$2:$A7736+$C$2:$C7736)), "")*24*60, "")</f>
        <v/>
      </c>
      <c r="R7737" s="24" t="str" cm="1">
        <f t="array" ref="R7737">IFERROR(IF($B7737=R$1, ($A7737+$C7737) - MAX(IF($B$2:$B7736=$B7737, $A$2:$A7736+$C$2:$C7736)), "")*24*60, "")</f>
        <v/>
      </c>
      <c r="S7737" s="24" t="str" cm="1">
        <f t="array" ref="S7737">IFERROR(IF($B7737=S$1, ($A7737+$C7737) - MAX(IF($B$2:$B7736=$B7737, $A$2:$A7736+$C$2:$C7736)), "")*24*60, "")</f>
        <v/>
      </c>
    </row>
    <row r="7738" spans="1:19" x14ac:dyDescent="0.2">
      <c r="A7738" s="12">
        <f t="shared" ref="A7738:C7738" si="1432">A7737</f>
        <v>46019</v>
      </c>
      <c r="B7738" s="5" t="str">
        <f t="shared" si="1432"/>
        <v>Northern Cardinal</v>
      </c>
      <c r="C7738" s="6">
        <f t="shared" si="1432"/>
        <v>0.74444444444444446</v>
      </c>
      <c r="D7738" s="5"/>
      <c r="E7738" s="5"/>
      <c r="F7738" s="5" t="s">
        <v>9</v>
      </c>
      <c r="G7738" s="15" t="s">
        <v>8</v>
      </c>
      <c r="H7738" s="24">
        <f t="shared" si="1407"/>
        <v>0</v>
      </c>
      <c r="I7738" s="24" cm="1">
        <f t="array" ref="I7738">IFERROR(IF($B7738=I$1, ($A7738+$C7738) - MAX(IF($B$2:$B7737=$B7738, $A$2:$A7737+$C$2:$C7737)), "")*24*60, "")</f>
        <v>0</v>
      </c>
      <c r="J7738" s="24" t="str" cm="1">
        <f t="array" ref="J7738">IFERROR(IF($B7738=J$1, ($A7738+$C7738) - MAX(IF($B$2:$B7737=$B7738, $A$2:$A7737+$C$2:$C7737)), "")*24*60, "")</f>
        <v/>
      </c>
      <c r="K7738" s="24" t="str" cm="1">
        <f t="array" ref="K7738">IFERROR(IF($B7738=K$1, ($A7738+$C7738) - MAX(IF($B$2:$B7737=$B7738, $A$2:$A7737+$C$2:$C7737)), "")*24*60, "")</f>
        <v/>
      </c>
      <c r="L7738" s="24" t="str" cm="1">
        <f t="array" ref="L7738">IFERROR(IF($B7738=L$1, ($A7738+$C7738) - MAX(IF($B$2:$B7737=$B7738, $A$2:$A7737+$C$2:$C7737)), "")*24*60, "")</f>
        <v/>
      </c>
      <c r="M7738" s="24" t="str" cm="1">
        <f t="array" ref="M7738">IFERROR(IF($B7738=M$1, ($A7738+$C7738) - MAX(IF($B$2:$B7737=$B7738, $A$2:$A7737+$C$2:$C7737)), "")*24*60, "")</f>
        <v/>
      </c>
      <c r="N7738" s="24" t="str" cm="1">
        <f t="array" ref="N7738">IFERROR(IF($B7738=N$1, ($A7738+$C7738) - MAX(IF($B$2:$B7737=$B7738, $A$2:$A7737+$C$2:$C7737)), "")*24*60, "")</f>
        <v/>
      </c>
      <c r="O7738" s="24" t="str" cm="1">
        <f t="array" ref="O7738">IFERROR(IF($B7738=O$1, ($A7738+$C7738) - MAX(IF($B$2:$B7737=$B7738, $A$2:$A7737+$C$2:$C7737)), "")*24*60, "")</f>
        <v/>
      </c>
      <c r="P7738" s="24" t="str" cm="1">
        <f t="array" ref="P7738">IFERROR(IF($B7738=P$1, ($A7738+$C7738) - MAX(IF($B$2:$B7737=$B7738, $A$2:$A7737+$C$2:$C7737)), "")*24*60, "")</f>
        <v/>
      </c>
      <c r="Q7738" s="24" t="str" cm="1">
        <f t="array" ref="Q7738">IFERROR(IF($B7738=Q$1, ($A7738+$C7738) - MAX(IF($B$2:$B7737=$B7738, $A$2:$A7737+$C$2:$C7737)), "")*24*60, "")</f>
        <v/>
      </c>
      <c r="R7738" s="24" t="str" cm="1">
        <f t="array" ref="R7738">IFERROR(IF($B7738=R$1, ($A7738+$C7738) - MAX(IF($B$2:$B7737=$B7738, $A$2:$A7737+$C$2:$C7737)), "")*24*60, "")</f>
        <v/>
      </c>
      <c r="S7738" s="24" t="str" cm="1">
        <f t="array" ref="S7738">IFERROR(IF($B7738=S$1, ($A7738+$C7738) - MAX(IF($B$2:$B7737=$B7738, $A$2:$A7737+$C$2:$C7737)), "")*24*60, "")</f>
        <v/>
      </c>
    </row>
    <row r="7739" spans="1:19" x14ac:dyDescent="0.2">
      <c r="A7739" s="12">
        <f t="shared" ref="A7739:C7739" si="1433">A7738</f>
        <v>46019</v>
      </c>
      <c r="B7739" s="5" t="str">
        <f t="shared" si="1433"/>
        <v>Northern Cardinal</v>
      </c>
      <c r="C7739" s="6">
        <f t="shared" si="1433"/>
        <v>0.74444444444444446</v>
      </c>
      <c r="D7739" s="5"/>
      <c r="E7739" s="5"/>
      <c r="F7739" s="5" t="s">
        <v>9</v>
      </c>
      <c r="G7739" s="15" t="s">
        <v>8</v>
      </c>
      <c r="H7739" s="24">
        <f t="shared" si="1407"/>
        <v>0</v>
      </c>
      <c r="I7739" s="24" cm="1">
        <f t="array" ref="I7739">IFERROR(IF($B7739=I$1, ($A7739+$C7739) - MAX(IF($B$2:$B7738=$B7739, $A$2:$A7738+$C$2:$C7738)), "")*24*60, "")</f>
        <v>0</v>
      </c>
      <c r="J7739" s="24" t="str" cm="1">
        <f t="array" ref="J7739">IFERROR(IF($B7739=J$1, ($A7739+$C7739) - MAX(IF($B$2:$B7738=$B7739, $A$2:$A7738+$C$2:$C7738)), "")*24*60, "")</f>
        <v/>
      </c>
      <c r="K7739" s="24" t="str" cm="1">
        <f t="array" ref="K7739">IFERROR(IF($B7739=K$1, ($A7739+$C7739) - MAX(IF($B$2:$B7738=$B7739, $A$2:$A7738+$C$2:$C7738)), "")*24*60, "")</f>
        <v/>
      </c>
      <c r="L7739" s="24" t="str" cm="1">
        <f t="array" ref="L7739">IFERROR(IF($B7739=L$1, ($A7739+$C7739) - MAX(IF($B$2:$B7738=$B7739, $A$2:$A7738+$C$2:$C7738)), "")*24*60, "")</f>
        <v/>
      </c>
      <c r="M7739" s="24" t="str" cm="1">
        <f t="array" ref="M7739">IFERROR(IF($B7739=M$1, ($A7739+$C7739) - MAX(IF($B$2:$B7738=$B7739, $A$2:$A7738+$C$2:$C7738)), "")*24*60, "")</f>
        <v/>
      </c>
      <c r="N7739" s="24" t="str" cm="1">
        <f t="array" ref="N7739">IFERROR(IF($B7739=N$1, ($A7739+$C7739) - MAX(IF($B$2:$B7738=$B7739, $A$2:$A7738+$C$2:$C7738)), "")*24*60, "")</f>
        <v/>
      </c>
      <c r="O7739" s="24" t="str" cm="1">
        <f t="array" ref="O7739">IFERROR(IF($B7739=O$1, ($A7739+$C7739) - MAX(IF($B$2:$B7738=$B7739, $A$2:$A7738+$C$2:$C7738)), "")*24*60, "")</f>
        <v/>
      </c>
      <c r="P7739" s="24" t="str" cm="1">
        <f t="array" ref="P7739">IFERROR(IF($B7739=P$1, ($A7739+$C7739) - MAX(IF($B$2:$B7738=$B7739, $A$2:$A7738+$C$2:$C7738)), "")*24*60, "")</f>
        <v/>
      </c>
      <c r="Q7739" s="24" t="str" cm="1">
        <f t="array" ref="Q7739">IFERROR(IF($B7739=Q$1, ($A7739+$C7739) - MAX(IF($B$2:$B7738=$B7739, $A$2:$A7738+$C$2:$C7738)), "")*24*60, "")</f>
        <v/>
      </c>
      <c r="R7739" s="24" t="str" cm="1">
        <f t="array" ref="R7739">IFERROR(IF($B7739=R$1, ($A7739+$C7739) - MAX(IF($B$2:$B7738=$B7739, $A$2:$A7738+$C$2:$C7738)), "")*24*60, "")</f>
        <v/>
      </c>
      <c r="S7739" s="24" t="str" cm="1">
        <f t="array" ref="S7739">IFERROR(IF($B7739=S$1, ($A7739+$C7739) - MAX(IF($B$2:$B7738=$B7739, $A$2:$A7738+$C$2:$C7738)), "")*24*60, "")</f>
        <v/>
      </c>
    </row>
    <row r="7740" spans="1:19" x14ac:dyDescent="0.2">
      <c r="A7740" s="12">
        <f t="shared" ref="A7740:C7740" si="1434">A7739</f>
        <v>46019</v>
      </c>
      <c r="B7740" s="5" t="str">
        <f t="shared" si="1434"/>
        <v>Northern Cardinal</v>
      </c>
      <c r="C7740" s="6">
        <f t="shared" si="1434"/>
        <v>0.74444444444444446</v>
      </c>
      <c r="D7740" s="5"/>
      <c r="E7740" s="5"/>
      <c r="F7740" s="5" t="s">
        <v>9</v>
      </c>
      <c r="G7740" s="15" t="s">
        <v>8</v>
      </c>
      <c r="H7740" s="24">
        <f t="shared" si="1407"/>
        <v>0</v>
      </c>
      <c r="I7740" s="24" cm="1">
        <f t="array" ref="I7740">IFERROR(IF($B7740=I$1, ($A7740+$C7740) - MAX(IF($B$2:$B7739=$B7740, $A$2:$A7739+$C$2:$C7739)), "")*24*60, "")</f>
        <v>0</v>
      </c>
      <c r="J7740" s="24" t="str" cm="1">
        <f t="array" ref="J7740">IFERROR(IF($B7740=J$1, ($A7740+$C7740) - MAX(IF($B$2:$B7739=$B7740, $A$2:$A7739+$C$2:$C7739)), "")*24*60, "")</f>
        <v/>
      </c>
      <c r="K7740" s="24" t="str" cm="1">
        <f t="array" ref="K7740">IFERROR(IF($B7740=K$1, ($A7740+$C7740) - MAX(IF($B$2:$B7739=$B7740, $A$2:$A7739+$C$2:$C7739)), "")*24*60, "")</f>
        <v/>
      </c>
      <c r="L7740" s="24" t="str" cm="1">
        <f t="array" ref="L7740">IFERROR(IF($B7740=L$1, ($A7740+$C7740) - MAX(IF($B$2:$B7739=$B7740, $A$2:$A7739+$C$2:$C7739)), "")*24*60, "")</f>
        <v/>
      </c>
      <c r="M7740" s="24" t="str" cm="1">
        <f t="array" ref="M7740">IFERROR(IF($B7740=M$1, ($A7740+$C7740) - MAX(IF($B$2:$B7739=$B7740, $A$2:$A7739+$C$2:$C7739)), "")*24*60, "")</f>
        <v/>
      </c>
      <c r="N7740" s="24" t="str" cm="1">
        <f t="array" ref="N7740">IFERROR(IF($B7740=N$1, ($A7740+$C7740) - MAX(IF($B$2:$B7739=$B7740, $A$2:$A7739+$C$2:$C7739)), "")*24*60, "")</f>
        <v/>
      </c>
      <c r="O7740" s="24" t="str" cm="1">
        <f t="array" ref="O7740">IFERROR(IF($B7740=O$1, ($A7740+$C7740) - MAX(IF($B$2:$B7739=$B7740, $A$2:$A7739+$C$2:$C7739)), "")*24*60, "")</f>
        <v/>
      </c>
      <c r="P7740" s="24" t="str" cm="1">
        <f t="array" ref="P7740">IFERROR(IF($B7740=P$1, ($A7740+$C7740) - MAX(IF($B$2:$B7739=$B7740, $A$2:$A7739+$C$2:$C7739)), "")*24*60, "")</f>
        <v/>
      </c>
      <c r="Q7740" s="24" t="str" cm="1">
        <f t="array" ref="Q7740">IFERROR(IF($B7740=Q$1, ($A7740+$C7740) - MAX(IF($B$2:$B7739=$B7740, $A$2:$A7739+$C$2:$C7739)), "")*24*60, "")</f>
        <v/>
      </c>
      <c r="R7740" s="24" t="str" cm="1">
        <f t="array" ref="R7740">IFERROR(IF($B7740=R$1, ($A7740+$C7740) - MAX(IF($B$2:$B7739=$B7740, $A$2:$A7739+$C$2:$C7739)), "")*24*60, "")</f>
        <v/>
      </c>
      <c r="S7740" s="24" t="str" cm="1">
        <f t="array" ref="S7740">IFERROR(IF($B7740=S$1, ($A7740+$C7740) - MAX(IF($B$2:$B7739=$B7740, $A$2:$A7739+$C$2:$C7739)), "")*24*60, "")</f>
        <v/>
      </c>
    </row>
    <row r="7741" spans="1:19" x14ac:dyDescent="0.2">
      <c r="A7741" s="12">
        <f t="shared" ref="A7741:C7741" si="1435">A7740</f>
        <v>46019</v>
      </c>
      <c r="B7741" s="5" t="str">
        <f t="shared" si="1435"/>
        <v>Northern Cardinal</v>
      </c>
      <c r="C7741" s="6">
        <f t="shared" si="1435"/>
        <v>0.74444444444444446</v>
      </c>
      <c r="D7741" s="5"/>
      <c r="E7741" s="5"/>
      <c r="F7741" s="5" t="s">
        <v>9</v>
      </c>
      <c r="G7741" s="15" t="s">
        <v>8</v>
      </c>
      <c r="H7741" s="24">
        <f t="shared" si="1407"/>
        <v>0</v>
      </c>
      <c r="I7741" s="24" cm="1">
        <f t="array" ref="I7741">IFERROR(IF($B7741=I$1, ($A7741+$C7741) - MAX(IF($B$2:$B7740=$B7741, $A$2:$A7740+$C$2:$C7740)), "")*24*60, "")</f>
        <v>0</v>
      </c>
      <c r="J7741" s="24" t="str" cm="1">
        <f t="array" ref="J7741">IFERROR(IF($B7741=J$1, ($A7741+$C7741) - MAX(IF($B$2:$B7740=$B7741, $A$2:$A7740+$C$2:$C7740)), "")*24*60, "")</f>
        <v/>
      </c>
      <c r="K7741" s="24" t="str" cm="1">
        <f t="array" ref="K7741">IFERROR(IF($B7741=K$1, ($A7741+$C7741) - MAX(IF($B$2:$B7740=$B7741, $A$2:$A7740+$C$2:$C7740)), "")*24*60, "")</f>
        <v/>
      </c>
      <c r="L7741" s="24" t="str" cm="1">
        <f t="array" ref="L7741">IFERROR(IF($B7741=L$1, ($A7741+$C7741) - MAX(IF($B$2:$B7740=$B7741, $A$2:$A7740+$C$2:$C7740)), "")*24*60, "")</f>
        <v/>
      </c>
      <c r="M7741" s="24" t="str" cm="1">
        <f t="array" ref="M7741">IFERROR(IF($B7741=M$1, ($A7741+$C7741) - MAX(IF($B$2:$B7740=$B7741, $A$2:$A7740+$C$2:$C7740)), "")*24*60, "")</f>
        <v/>
      </c>
      <c r="N7741" s="24" t="str" cm="1">
        <f t="array" ref="N7741">IFERROR(IF($B7741=N$1, ($A7741+$C7741) - MAX(IF($B$2:$B7740=$B7741, $A$2:$A7740+$C$2:$C7740)), "")*24*60, "")</f>
        <v/>
      </c>
      <c r="O7741" s="24" t="str" cm="1">
        <f t="array" ref="O7741">IFERROR(IF($B7741=O$1, ($A7741+$C7741) - MAX(IF($B$2:$B7740=$B7741, $A$2:$A7740+$C$2:$C7740)), "")*24*60, "")</f>
        <v/>
      </c>
      <c r="P7741" s="24" t="str" cm="1">
        <f t="array" ref="P7741">IFERROR(IF($B7741=P$1, ($A7741+$C7741) - MAX(IF($B$2:$B7740=$B7741, $A$2:$A7740+$C$2:$C7740)), "")*24*60, "")</f>
        <v/>
      </c>
      <c r="Q7741" s="24" t="str" cm="1">
        <f t="array" ref="Q7741">IFERROR(IF($B7741=Q$1, ($A7741+$C7741) - MAX(IF($B$2:$B7740=$B7741, $A$2:$A7740+$C$2:$C7740)), "")*24*60, "")</f>
        <v/>
      </c>
      <c r="R7741" s="24" t="str" cm="1">
        <f t="array" ref="R7741">IFERROR(IF($B7741=R$1, ($A7741+$C7741) - MAX(IF($B$2:$B7740=$B7741, $A$2:$A7740+$C$2:$C7740)), "")*24*60, "")</f>
        <v/>
      </c>
      <c r="S7741" s="24" t="str" cm="1">
        <f t="array" ref="S7741">IFERROR(IF($B7741=S$1, ($A7741+$C7741) - MAX(IF($B$2:$B7740=$B7741, $A$2:$A7740+$C$2:$C7740)), "")*24*60, "")</f>
        <v/>
      </c>
    </row>
    <row r="7742" spans="1:19" x14ac:dyDescent="0.2">
      <c r="A7742" s="12">
        <f t="shared" ref="A7742:C7742" si="1436">A7741</f>
        <v>46019</v>
      </c>
      <c r="B7742" s="5" t="str">
        <f t="shared" si="1436"/>
        <v>Northern Cardinal</v>
      </c>
      <c r="C7742" s="6">
        <f t="shared" si="1436"/>
        <v>0.74444444444444446</v>
      </c>
      <c r="D7742" s="5"/>
      <c r="E7742" s="5"/>
      <c r="F7742" s="5" t="s">
        <v>9</v>
      </c>
      <c r="G7742" s="15" t="s">
        <v>8</v>
      </c>
      <c r="H7742" s="24">
        <f t="shared" si="1407"/>
        <v>0</v>
      </c>
      <c r="I7742" s="24" cm="1">
        <f t="array" ref="I7742">IFERROR(IF($B7742=I$1, ($A7742+$C7742) - MAX(IF($B$2:$B7741=$B7742, $A$2:$A7741+$C$2:$C7741)), "")*24*60, "")</f>
        <v>0</v>
      </c>
      <c r="J7742" s="24" t="str" cm="1">
        <f t="array" ref="J7742">IFERROR(IF($B7742=J$1, ($A7742+$C7742) - MAX(IF($B$2:$B7741=$B7742, $A$2:$A7741+$C$2:$C7741)), "")*24*60, "")</f>
        <v/>
      </c>
      <c r="K7742" s="24" t="str" cm="1">
        <f t="array" ref="K7742">IFERROR(IF($B7742=K$1, ($A7742+$C7742) - MAX(IF($B$2:$B7741=$B7742, $A$2:$A7741+$C$2:$C7741)), "")*24*60, "")</f>
        <v/>
      </c>
      <c r="L7742" s="24" t="str" cm="1">
        <f t="array" ref="L7742">IFERROR(IF($B7742=L$1, ($A7742+$C7742) - MAX(IF($B$2:$B7741=$B7742, $A$2:$A7741+$C$2:$C7741)), "")*24*60, "")</f>
        <v/>
      </c>
      <c r="M7742" s="24" t="str" cm="1">
        <f t="array" ref="M7742">IFERROR(IF($B7742=M$1, ($A7742+$C7742) - MAX(IF($B$2:$B7741=$B7742, $A$2:$A7741+$C$2:$C7741)), "")*24*60, "")</f>
        <v/>
      </c>
      <c r="N7742" s="24" t="str" cm="1">
        <f t="array" ref="N7742">IFERROR(IF($B7742=N$1, ($A7742+$C7742) - MAX(IF($B$2:$B7741=$B7742, $A$2:$A7741+$C$2:$C7741)), "")*24*60, "")</f>
        <v/>
      </c>
      <c r="O7742" s="24" t="str" cm="1">
        <f t="array" ref="O7742">IFERROR(IF($B7742=O$1, ($A7742+$C7742) - MAX(IF($B$2:$B7741=$B7742, $A$2:$A7741+$C$2:$C7741)), "")*24*60, "")</f>
        <v/>
      </c>
      <c r="P7742" s="24" t="str" cm="1">
        <f t="array" ref="P7742">IFERROR(IF($B7742=P$1, ($A7742+$C7742) - MAX(IF($B$2:$B7741=$B7742, $A$2:$A7741+$C$2:$C7741)), "")*24*60, "")</f>
        <v/>
      </c>
      <c r="Q7742" s="24" t="str" cm="1">
        <f t="array" ref="Q7742">IFERROR(IF($B7742=Q$1, ($A7742+$C7742) - MAX(IF($B$2:$B7741=$B7742, $A$2:$A7741+$C$2:$C7741)), "")*24*60, "")</f>
        <v/>
      </c>
      <c r="R7742" s="24" t="str" cm="1">
        <f t="array" ref="R7742">IFERROR(IF($B7742=R$1, ($A7742+$C7742) - MAX(IF($B$2:$B7741=$B7742, $A$2:$A7741+$C$2:$C7741)), "")*24*60, "")</f>
        <v/>
      </c>
      <c r="S7742" s="24" t="str" cm="1">
        <f t="array" ref="S7742">IFERROR(IF($B7742=S$1, ($A7742+$C7742) - MAX(IF($B$2:$B7741=$B7742, $A$2:$A7741+$C$2:$C7741)), "")*24*60, "")</f>
        <v/>
      </c>
    </row>
    <row r="7743" spans="1:19" x14ac:dyDescent="0.2">
      <c r="A7743" s="12">
        <f t="shared" ref="A7743:C7743" si="1437">A7742</f>
        <v>46019</v>
      </c>
      <c r="B7743" s="5" t="str">
        <f t="shared" si="1437"/>
        <v>Northern Cardinal</v>
      </c>
      <c r="C7743" s="6">
        <f t="shared" si="1437"/>
        <v>0.74444444444444446</v>
      </c>
      <c r="D7743" s="5"/>
      <c r="E7743" s="5"/>
      <c r="F7743" s="5" t="s">
        <v>9</v>
      </c>
      <c r="G7743" s="15" t="s">
        <v>8</v>
      </c>
      <c r="H7743" s="24">
        <f t="shared" si="1407"/>
        <v>0</v>
      </c>
      <c r="I7743" s="24" cm="1">
        <f t="array" ref="I7743">IFERROR(IF($B7743=I$1, ($A7743+$C7743) - MAX(IF($B$2:$B7742=$B7743, $A$2:$A7742+$C$2:$C7742)), "")*24*60, "")</f>
        <v>0</v>
      </c>
      <c r="J7743" s="24" t="str" cm="1">
        <f t="array" ref="J7743">IFERROR(IF($B7743=J$1, ($A7743+$C7743) - MAX(IF($B$2:$B7742=$B7743, $A$2:$A7742+$C$2:$C7742)), "")*24*60, "")</f>
        <v/>
      </c>
      <c r="K7743" s="24" t="str" cm="1">
        <f t="array" ref="K7743">IFERROR(IF($B7743=K$1, ($A7743+$C7743) - MAX(IF($B$2:$B7742=$B7743, $A$2:$A7742+$C$2:$C7742)), "")*24*60, "")</f>
        <v/>
      </c>
      <c r="L7743" s="24" t="str" cm="1">
        <f t="array" ref="L7743">IFERROR(IF($B7743=L$1, ($A7743+$C7743) - MAX(IF($B$2:$B7742=$B7743, $A$2:$A7742+$C$2:$C7742)), "")*24*60, "")</f>
        <v/>
      </c>
      <c r="M7743" s="24" t="str" cm="1">
        <f t="array" ref="M7743">IFERROR(IF($B7743=M$1, ($A7743+$C7743) - MAX(IF($B$2:$B7742=$B7743, $A$2:$A7742+$C$2:$C7742)), "")*24*60, "")</f>
        <v/>
      </c>
      <c r="N7743" s="24" t="str" cm="1">
        <f t="array" ref="N7743">IFERROR(IF($B7743=N$1, ($A7743+$C7743) - MAX(IF($B$2:$B7742=$B7743, $A$2:$A7742+$C$2:$C7742)), "")*24*60, "")</f>
        <v/>
      </c>
      <c r="O7743" s="24" t="str" cm="1">
        <f t="array" ref="O7743">IFERROR(IF($B7743=O$1, ($A7743+$C7743) - MAX(IF($B$2:$B7742=$B7743, $A$2:$A7742+$C$2:$C7742)), "")*24*60, "")</f>
        <v/>
      </c>
      <c r="P7743" s="24" t="str" cm="1">
        <f t="array" ref="P7743">IFERROR(IF($B7743=P$1, ($A7743+$C7743) - MAX(IF($B$2:$B7742=$B7743, $A$2:$A7742+$C$2:$C7742)), "")*24*60, "")</f>
        <v/>
      </c>
      <c r="Q7743" s="24" t="str" cm="1">
        <f t="array" ref="Q7743">IFERROR(IF($B7743=Q$1, ($A7743+$C7743) - MAX(IF($B$2:$B7742=$B7743, $A$2:$A7742+$C$2:$C7742)), "")*24*60, "")</f>
        <v/>
      </c>
      <c r="R7743" s="24" t="str" cm="1">
        <f t="array" ref="R7743">IFERROR(IF($B7743=R$1, ($A7743+$C7743) - MAX(IF($B$2:$B7742=$B7743, $A$2:$A7742+$C$2:$C7742)), "")*24*60, "")</f>
        <v/>
      </c>
      <c r="S7743" s="24" t="str" cm="1">
        <f t="array" ref="S7743">IFERROR(IF($B7743=S$1, ($A7743+$C7743) - MAX(IF($B$2:$B7742=$B7743, $A$2:$A7742+$C$2:$C7742)), "")*24*60, "")</f>
        <v/>
      </c>
    </row>
    <row r="7744" spans="1:19" x14ac:dyDescent="0.2">
      <c r="A7744" s="12">
        <f t="shared" ref="A7744:C7744" si="1438">A7743</f>
        <v>46019</v>
      </c>
      <c r="B7744" s="5" t="str">
        <f t="shared" si="1438"/>
        <v>Northern Cardinal</v>
      </c>
      <c r="C7744" s="6">
        <f t="shared" si="1438"/>
        <v>0.74444444444444446</v>
      </c>
      <c r="D7744" s="5"/>
      <c r="E7744" s="5"/>
      <c r="F7744" s="5" t="s">
        <v>9</v>
      </c>
      <c r="G7744" s="15" t="s">
        <v>8</v>
      </c>
      <c r="H7744" s="24">
        <f t="shared" si="1407"/>
        <v>0</v>
      </c>
      <c r="I7744" s="24" cm="1">
        <f t="array" ref="I7744">IFERROR(IF($B7744=I$1, ($A7744+$C7744) - MAX(IF($B$2:$B7743=$B7744, $A$2:$A7743+$C$2:$C7743)), "")*24*60, "")</f>
        <v>0</v>
      </c>
      <c r="J7744" s="24" t="str" cm="1">
        <f t="array" ref="J7744">IFERROR(IF($B7744=J$1, ($A7744+$C7744) - MAX(IF($B$2:$B7743=$B7744, $A$2:$A7743+$C$2:$C7743)), "")*24*60, "")</f>
        <v/>
      </c>
      <c r="K7744" s="24" t="str" cm="1">
        <f t="array" ref="K7744">IFERROR(IF($B7744=K$1, ($A7744+$C7744) - MAX(IF($B$2:$B7743=$B7744, $A$2:$A7743+$C$2:$C7743)), "")*24*60, "")</f>
        <v/>
      </c>
      <c r="L7744" s="24" t="str" cm="1">
        <f t="array" ref="L7744">IFERROR(IF($B7744=L$1, ($A7744+$C7744) - MAX(IF($B$2:$B7743=$B7744, $A$2:$A7743+$C$2:$C7743)), "")*24*60, "")</f>
        <v/>
      </c>
      <c r="M7744" s="24" t="str" cm="1">
        <f t="array" ref="M7744">IFERROR(IF($B7744=M$1, ($A7744+$C7744) - MAX(IF($B$2:$B7743=$B7744, $A$2:$A7743+$C$2:$C7743)), "")*24*60, "")</f>
        <v/>
      </c>
      <c r="N7744" s="24" t="str" cm="1">
        <f t="array" ref="N7744">IFERROR(IF($B7744=N$1, ($A7744+$C7744) - MAX(IF($B$2:$B7743=$B7744, $A$2:$A7743+$C$2:$C7743)), "")*24*60, "")</f>
        <v/>
      </c>
      <c r="O7744" s="24" t="str" cm="1">
        <f t="array" ref="O7744">IFERROR(IF($B7744=O$1, ($A7744+$C7744) - MAX(IF($B$2:$B7743=$B7744, $A$2:$A7743+$C$2:$C7743)), "")*24*60, "")</f>
        <v/>
      </c>
      <c r="P7744" s="24" t="str" cm="1">
        <f t="array" ref="P7744">IFERROR(IF($B7744=P$1, ($A7744+$C7744) - MAX(IF($B$2:$B7743=$B7744, $A$2:$A7743+$C$2:$C7743)), "")*24*60, "")</f>
        <v/>
      </c>
      <c r="Q7744" s="24" t="str" cm="1">
        <f t="array" ref="Q7744">IFERROR(IF($B7744=Q$1, ($A7744+$C7744) - MAX(IF($B$2:$B7743=$B7744, $A$2:$A7743+$C$2:$C7743)), "")*24*60, "")</f>
        <v/>
      </c>
      <c r="R7744" s="24" t="str" cm="1">
        <f t="array" ref="R7744">IFERROR(IF($B7744=R$1, ($A7744+$C7744) - MAX(IF($B$2:$B7743=$B7744, $A$2:$A7743+$C$2:$C7743)), "")*24*60, "")</f>
        <v/>
      </c>
      <c r="S7744" s="24" t="str" cm="1">
        <f t="array" ref="S7744">IFERROR(IF($B7744=S$1, ($A7744+$C7744) - MAX(IF($B$2:$B7743=$B7744, $A$2:$A7743+$C$2:$C7743)), "")*24*60, "")</f>
        <v/>
      </c>
    </row>
    <row r="7745" spans="1:19" x14ac:dyDescent="0.2">
      <c r="A7745" s="12">
        <f t="shared" ref="A7745:C7745" si="1439">A7744</f>
        <v>46019</v>
      </c>
      <c r="B7745" s="5" t="str">
        <f t="shared" si="1439"/>
        <v>Northern Cardinal</v>
      </c>
      <c r="C7745" s="6">
        <f t="shared" si="1439"/>
        <v>0.74444444444444446</v>
      </c>
      <c r="D7745" s="5"/>
      <c r="E7745" s="5"/>
      <c r="F7745" s="5" t="s">
        <v>9</v>
      </c>
      <c r="G7745" s="15" t="s">
        <v>8</v>
      </c>
      <c r="H7745" s="24">
        <f t="shared" si="1407"/>
        <v>0</v>
      </c>
      <c r="I7745" s="24" cm="1">
        <f t="array" ref="I7745">IFERROR(IF($B7745=I$1, ($A7745+$C7745) - MAX(IF($B$2:$B7744=$B7745, $A$2:$A7744+$C$2:$C7744)), "")*24*60, "")</f>
        <v>0</v>
      </c>
      <c r="J7745" s="24" t="str" cm="1">
        <f t="array" ref="J7745">IFERROR(IF($B7745=J$1, ($A7745+$C7745) - MAX(IF($B$2:$B7744=$B7745, $A$2:$A7744+$C$2:$C7744)), "")*24*60, "")</f>
        <v/>
      </c>
      <c r="K7745" s="24" t="str" cm="1">
        <f t="array" ref="K7745">IFERROR(IF($B7745=K$1, ($A7745+$C7745) - MAX(IF($B$2:$B7744=$B7745, $A$2:$A7744+$C$2:$C7744)), "")*24*60, "")</f>
        <v/>
      </c>
      <c r="L7745" s="24" t="str" cm="1">
        <f t="array" ref="L7745">IFERROR(IF($B7745=L$1, ($A7745+$C7745) - MAX(IF($B$2:$B7744=$B7745, $A$2:$A7744+$C$2:$C7744)), "")*24*60, "")</f>
        <v/>
      </c>
      <c r="M7745" s="24" t="str" cm="1">
        <f t="array" ref="M7745">IFERROR(IF($B7745=M$1, ($A7745+$C7745) - MAX(IF($B$2:$B7744=$B7745, $A$2:$A7744+$C$2:$C7744)), "")*24*60, "")</f>
        <v/>
      </c>
      <c r="N7745" s="24" t="str" cm="1">
        <f t="array" ref="N7745">IFERROR(IF($B7745=N$1, ($A7745+$C7745) - MAX(IF($B$2:$B7744=$B7745, $A$2:$A7744+$C$2:$C7744)), "")*24*60, "")</f>
        <v/>
      </c>
      <c r="O7745" s="24" t="str" cm="1">
        <f t="array" ref="O7745">IFERROR(IF($B7745=O$1, ($A7745+$C7745) - MAX(IF($B$2:$B7744=$B7745, $A$2:$A7744+$C$2:$C7744)), "")*24*60, "")</f>
        <v/>
      </c>
      <c r="P7745" s="24" t="str" cm="1">
        <f t="array" ref="P7745">IFERROR(IF($B7745=P$1, ($A7745+$C7745) - MAX(IF($B$2:$B7744=$B7745, $A$2:$A7744+$C$2:$C7744)), "")*24*60, "")</f>
        <v/>
      </c>
      <c r="Q7745" s="24" t="str" cm="1">
        <f t="array" ref="Q7745">IFERROR(IF($B7745=Q$1, ($A7745+$C7745) - MAX(IF($B$2:$B7744=$B7745, $A$2:$A7744+$C$2:$C7744)), "")*24*60, "")</f>
        <v/>
      </c>
      <c r="R7745" s="24" t="str" cm="1">
        <f t="array" ref="R7745">IFERROR(IF($B7745=R$1, ($A7745+$C7745) - MAX(IF($B$2:$B7744=$B7745, $A$2:$A7744+$C$2:$C7744)), "")*24*60, "")</f>
        <v/>
      </c>
      <c r="S7745" s="24" t="str" cm="1">
        <f t="array" ref="S7745">IFERROR(IF($B7745=S$1, ($A7745+$C7745) - MAX(IF($B$2:$B7744=$B7745, $A$2:$A7744+$C$2:$C7744)),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99"/>
  <sheetViews>
    <sheetView tabSelected="1" zoomScale="120" zoomScaleNormal="120" workbookViewId="0">
      <pane ySplit="1" topLeftCell="A273" activePane="bottomLeft" state="frozen"/>
      <selection pane="bottomLeft" activeCell="A297" sqref="A297:E299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10">
        <v>46018</v>
      </c>
      <c r="B299" s="11" t="s">
        <v>16</v>
      </c>
      <c r="C299" s="11">
        <f>COUNTIFS(RawData!$B:$B, $B299, RawData!$A:$A, DailySummaries!$A299)</f>
        <v>5</v>
      </c>
      <c r="D299" s="11">
        <f>SUMIFS(RawData!$D:$D,RawData!$B:$B,$B299,RawData!$A:$A,DailySummaries!$A299)+1</f>
        <v>23</v>
      </c>
      <c r="E299" s="11">
        <f>SUMIFS(RawData!$E:$E,RawData!$B:$B,$B299,RawData!$A:$A,DailySummaries!$A299)+1</f>
        <v>18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2025-12-28T13:37:09Z</dcterms:modified>
</cp:coreProperties>
</file>
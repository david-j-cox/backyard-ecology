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19AD8824-B0BD-3B49-AD1C-C9B8D47C4FCA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8" i="2" l="1"/>
  <c r="D338" i="2"/>
  <c r="C338" i="2"/>
  <c r="E337" i="2"/>
  <c r="D337" i="2"/>
  <c r="C337" i="2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C8723" i="1" l="1"/>
  <c r="C8724" i="1" s="1"/>
  <c r="C8725" i="1" s="1"/>
  <c r="C8726" i="1" s="1"/>
  <c r="C8727" i="1" s="1"/>
  <c r="C8728" i="1" s="1"/>
  <c r="C8729" i="1" s="1"/>
  <c r="C8730" i="1" s="1"/>
  <c r="C8731" i="1" s="1"/>
  <c r="C8732" i="1" s="1"/>
  <c r="C8733" i="1" s="1"/>
  <c r="C8734" i="1" s="1"/>
  <c r="C8735" i="1" s="1"/>
  <c r="C8736" i="1" s="1"/>
  <c r="C8737" i="1" s="1"/>
  <c r="C8738" i="1" s="1"/>
  <c r="C8739" i="1" s="1"/>
  <c r="C8740" i="1" s="1"/>
  <c r="C8741" i="1" s="1"/>
  <c r="C8742" i="1" s="1"/>
  <c r="C8743" i="1" s="1"/>
  <c r="C8744" i="1" s="1"/>
  <c r="C8745" i="1" s="1"/>
  <c r="C8746" i="1" s="1"/>
  <c r="C8747" i="1" s="1"/>
  <c r="C8748" i="1" s="1"/>
  <c r="C8749" i="1" s="1"/>
  <c r="C8750" i="1" s="1"/>
  <c r="C8751" i="1" s="1"/>
  <c r="C8752" i="1" s="1"/>
  <c r="C8753" i="1" s="1"/>
  <c r="C8754" i="1" s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A8723" i="1" l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A8724" i="1" l="1"/>
  <c r="H8723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B8723" i="1" l="1"/>
  <c r="H8724" i="1"/>
  <c r="A8725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8723" i="1" l="1" a="1"/>
  <c r="K8723" i="1" s="1"/>
  <c r="O8723" i="1" a="1"/>
  <c r="O8723" i="1" s="1"/>
  <c r="S8723" i="1" a="1"/>
  <c r="S8723" i="1" s="1"/>
  <c r="L8723" i="1" a="1"/>
  <c r="L8723" i="1" s="1"/>
  <c r="P8723" i="1" a="1"/>
  <c r="P8723" i="1" s="1"/>
  <c r="B8724" i="1"/>
  <c r="R8723" i="1" a="1"/>
  <c r="R8723" i="1" s="1"/>
  <c r="I8723" i="1" a="1"/>
  <c r="I8723" i="1" s="1"/>
  <c r="J8723" i="1" a="1"/>
  <c r="J8723" i="1" s="1"/>
  <c r="N8723" i="1" a="1"/>
  <c r="N8723" i="1" s="1"/>
  <c r="M8723" i="1" a="1"/>
  <c r="M8723" i="1" s="1"/>
  <c r="Q8723" i="1" a="1"/>
  <c r="Q8723" i="1" s="1"/>
  <c r="H8725" i="1"/>
  <c r="A8726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J8724" i="1" l="1" a="1"/>
  <c r="J8724" i="1" s="1"/>
  <c r="N8724" i="1" a="1"/>
  <c r="N8724" i="1" s="1"/>
  <c r="R8724" i="1" a="1"/>
  <c r="R8724" i="1" s="1"/>
  <c r="K8724" i="1" a="1"/>
  <c r="K8724" i="1" s="1"/>
  <c r="O8724" i="1" a="1"/>
  <c r="O8724" i="1" s="1"/>
  <c r="S8724" i="1" a="1"/>
  <c r="S8724" i="1" s="1"/>
  <c r="B8725" i="1"/>
  <c r="P8724" i="1" a="1"/>
  <c r="P8724" i="1" s="1"/>
  <c r="Q8724" i="1" a="1"/>
  <c r="Q8724" i="1" s="1"/>
  <c r="I8724" i="1" a="1"/>
  <c r="I8724" i="1" s="1"/>
  <c r="L8724" i="1" a="1"/>
  <c r="L8724" i="1" s="1"/>
  <c r="M8724" i="1" a="1"/>
  <c r="M8724" i="1" s="1"/>
  <c r="A8727" i="1"/>
  <c r="H8726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H8727" i="1" l="1"/>
  <c r="A8728" i="1"/>
  <c r="I8725" i="1" a="1"/>
  <c r="I8725" i="1" s="1"/>
  <c r="M8725" i="1" a="1"/>
  <c r="M8725" i="1" s="1"/>
  <c r="Q8725" i="1" a="1"/>
  <c r="Q8725" i="1" s="1"/>
  <c r="J8725" i="1" a="1"/>
  <c r="J8725" i="1" s="1"/>
  <c r="N8725" i="1" a="1"/>
  <c r="N8725" i="1" s="1"/>
  <c r="R8725" i="1" a="1"/>
  <c r="R8725" i="1" s="1"/>
  <c r="B8726" i="1"/>
  <c r="O8725" i="1" a="1"/>
  <c r="O8725" i="1" s="1"/>
  <c r="P8725" i="1" a="1"/>
  <c r="P8725" i="1" s="1"/>
  <c r="K8725" i="1" a="1"/>
  <c r="K8725" i="1" s="1"/>
  <c r="L8725" i="1" a="1"/>
  <c r="L8725" i="1" s="1"/>
  <c r="S8725" i="1" a="1"/>
  <c r="S8725" i="1" s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H8728" i="1" l="1"/>
  <c r="A8729" i="1"/>
  <c r="L8726" i="1" a="1"/>
  <c r="L8726" i="1" s="1"/>
  <c r="P8726" i="1" a="1"/>
  <c r="P8726" i="1" s="1"/>
  <c r="I8726" i="1" a="1"/>
  <c r="I8726" i="1" s="1"/>
  <c r="M8726" i="1" a="1"/>
  <c r="M8726" i="1" s="1"/>
  <c r="Q8726" i="1" a="1"/>
  <c r="Q8726" i="1" s="1"/>
  <c r="K8726" i="1" a="1"/>
  <c r="K8726" i="1" s="1"/>
  <c r="N8726" i="1" a="1"/>
  <c r="N8726" i="1" s="1"/>
  <c r="O8726" i="1" a="1"/>
  <c r="O8726" i="1" s="1"/>
  <c r="R8726" i="1" a="1"/>
  <c r="R8726" i="1" s="1"/>
  <c r="S8726" i="1" a="1"/>
  <c r="S8726" i="1" s="1"/>
  <c r="J8726" i="1" a="1"/>
  <c r="J8726" i="1" s="1"/>
  <c r="B8727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H8729" i="1" l="1"/>
  <c r="A8730" i="1"/>
  <c r="K8727" i="1" a="1"/>
  <c r="K8727" i="1" s="1"/>
  <c r="O8727" i="1" a="1"/>
  <c r="O8727" i="1" s="1"/>
  <c r="S8727" i="1" a="1"/>
  <c r="S8727" i="1" s="1"/>
  <c r="L8727" i="1" a="1"/>
  <c r="L8727" i="1" s="1"/>
  <c r="P8727" i="1" a="1"/>
  <c r="P8727" i="1" s="1"/>
  <c r="B8728" i="1"/>
  <c r="I8727" i="1" a="1"/>
  <c r="I8727" i="1" s="1"/>
  <c r="J8727" i="1" a="1"/>
  <c r="J8727" i="1" s="1"/>
  <c r="M8727" i="1" a="1"/>
  <c r="M8727" i="1" s="1"/>
  <c r="Q8727" i="1" a="1"/>
  <c r="Q8727" i="1" s="1"/>
  <c r="R8727" i="1" a="1"/>
  <c r="R8727" i="1" s="1"/>
  <c r="N8727" i="1" a="1"/>
  <c r="N8727" i="1" s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J8728" i="1" l="1" a="1"/>
  <c r="J8728" i="1" s="1"/>
  <c r="N8728" i="1" a="1"/>
  <c r="N8728" i="1" s="1"/>
  <c r="R8728" i="1" a="1"/>
  <c r="R8728" i="1" s="1"/>
  <c r="B8729" i="1"/>
  <c r="O8728" i="1" a="1"/>
  <c r="O8728" i="1" s="1"/>
  <c r="P8728" i="1" a="1"/>
  <c r="P8728" i="1" s="1"/>
  <c r="I8728" i="1" a="1"/>
  <c r="I8728" i="1" s="1"/>
  <c r="Q8728" i="1" a="1"/>
  <c r="Q8728" i="1" s="1"/>
  <c r="K8728" i="1" a="1"/>
  <c r="K8728" i="1" s="1"/>
  <c r="L8728" i="1" a="1"/>
  <c r="L8728" i="1" s="1"/>
  <c r="M8728" i="1" a="1"/>
  <c r="M8728" i="1" s="1"/>
  <c r="S8728" i="1" a="1"/>
  <c r="S8728" i="1" s="1"/>
  <c r="A8731" i="1"/>
  <c r="H8730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8731" i="1" l="1"/>
  <c r="A8732" i="1"/>
  <c r="I8729" i="1" a="1"/>
  <c r="I8729" i="1" s="1"/>
  <c r="M8729" i="1" a="1"/>
  <c r="M8729" i="1" s="1"/>
  <c r="Q8729" i="1" a="1"/>
  <c r="Q8729" i="1" s="1"/>
  <c r="B8730" i="1"/>
  <c r="J8729" i="1" a="1"/>
  <c r="J8729" i="1" s="1"/>
  <c r="R8729" i="1" a="1"/>
  <c r="R8729" i="1" s="1"/>
  <c r="K8729" i="1" a="1"/>
  <c r="K8729" i="1" s="1"/>
  <c r="S8729" i="1" a="1"/>
  <c r="S8729" i="1" s="1"/>
  <c r="L8729" i="1" a="1"/>
  <c r="L8729" i="1" s="1"/>
  <c r="N8729" i="1" a="1"/>
  <c r="N8729" i="1" s="1"/>
  <c r="O8729" i="1" a="1"/>
  <c r="O8729" i="1" s="1"/>
  <c r="P8729" i="1" a="1"/>
  <c r="P8729" i="1" s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L8730" i="1" l="1" a="1"/>
  <c r="L8730" i="1" s="1"/>
  <c r="P8730" i="1" a="1"/>
  <c r="P8730" i="1" s="1"/>
  <c r="B8731" i="1"/>
  <c r="M8730" i="1" a="1"/>
  <c r="M8730" i="1" s="1"/>
  <c r="N8730" i="1" a="1"/>
  <c r="N8730" i="1" s="1"/>
  <c r="O8730" i="1" a="1"/>
  <c r="O8730" i="1" s="1"/>
  <c r="Q8730" i="1" a="1"/>
  <c r="Q8730" i="1" s="1"/>
  <c r="R8730" i="1" a="1"/>
  <c r="R8730" i="1" s="1"/>
  <c r="S8730" i="1" a="1"/>
  <c r="S8730" i="1" s="1"/>
  <c r="I8730" i="1" a="1"/>
  <c r="I8730" i="1" s="1"/>
  <c r="J8730" i="1" a="1"/>
  <c r="J8730" i="1" s="1"/>
  <c r="K8730" i="1" a="1"/>
  <c r="K8730" i="1" s="1"/>
  <c r="H8732" i="1"/>
  <c r="A8733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K8731" i="1" l="1" a="1"/>
  <c r="K8731" i="1" s="1"/>
  <c r="O8731" i="1" a="1"/>
  <c r="O8731" i="1" s="1"/>
  <c r="S8731" i="1" a="1"/>
  <c r="S8731" i="1" s="1"/>
  <c r="B8732" i="1"/>
  <c r="P8731" i="1" a="1"/>
  <c r="P8731" i="1" s="1"/>
  <c r="I8731" i="1" a="1"/>
  <c r="I8731" i="1" s="1"/>
  <c r="Q8731" i="1" a="1"/>
  <c r="Q8731" i="1" s="1"/>
  <c r="J8731" i="1" a="1"/>
  <c r="J8731" i="1" s="1"/>
  <c r="R8731" i="1" a="1"/>
  <c r="R8731" i="1" s="1"/>
  <c r="L8731" i="1" a="1"/>
  <c r="L8731" i="1" s="1"/>
  <c r="M8731" i="1" a="1"/>
  <c r="M8731" i="1" s="1"/>
  <c r="N8731" i="1" a="1"/>
  <c r="N8731" i="1" s="1"/>
  <c r="H8733" i="1"/>
  <c r="A8734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J8732" i="1" l="1" a="1"/>
  <c r="J8732" i="1" s="1"/>
  <c r="N8732" i="1" a="1"/>
  <c r="N8732" i="1" s="1"/>
  <c r="R8732" i="1" a="1"/>
  <c r="R8732" i="1" s="1"/>
  <c r="B8733" i="1"/>
  <c r="K8732" i="1" a="1"/>
  <c r="K8732" i="1" s="1"/>
  <c r="S8732" i="1" a="1"/>
  <c r="S8732" i="1" s="1"/>
  <c r="L8732" i="1" a="1"/>
  <c r="L8732" i="1" s="1"/>
  <c r="M8732" i="1" a="1"/>
  <c r="M8732" i="1" s="1"/>
  <c r="O8732" i="1" a="1"/>
  <c r="O8732" i="1" s="1"/>
  <c r="P8732" i="1" a="1"/>
  <c r="P8732" i="1" s="1"/>
  <c r="Q8732" i="1" a="1"/>
  <c r="Q8732" i="1" s="1"/>
  <c r="I8732" i="1" a="1"/>
  <c r="I8732" i="1" s="1"/>
  <c r="H8734" i="1"/>
  <c r="A8735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H8735" i="1" l="1"/>
  <c r="A8736" i="1"/>
  <c r="I8733" i="1" a="1"/>
  <c r="I8733" i="1" s="1"/>
  <c r="M8733" i="1" a="1"/>
  <c r="M8733" i="1" s="1"/>
  <c r="Q8733" i="1" a="1"/>
  <c r="Q8733" i="1" s="1"/>
  <c r="B8734" i="1"/>
  <c r="N8733" i="1" a="1"/>
  <c r="N8733" i="1" s="1"/>
  <c r="O8733" i="1" a="1"/>
  <c r="O8733" i="1" s="1"/>
  <c r="P8733" i="1" a="1"/>
  <c r="P8733" i="1" s="1"/>
  <c r="J8733" i="1" a="1"/>
  <c r="J8733" i="1" s="1"/>
  <c r="K8733" i="1" a="1"/>
  <c r="K8733" i="1" s="1"/>
  <c r="L8733" i="1" a="1"/>
  <c r="L8733" i="1" s="1"/>
  <c r="R8733" i="1" a="1"/>
  <c r="R8733" i="1" s="1"/>
  <c r="S8733" i="1" a="1"/>
  <c r="S8733" i="1" s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8736" i="1" l="1"/>
  <c r="A8737" i="1"/>
  <c r="L8734" i="1" a="1"/>
  <c r="L8734" i="1" s="1"/>
  <c r="P8734" i="1" a="1"/>
  <c r="P8734" i="1" s="1"/>
  <c r="I8734" i="1" a="1"/>
  <c r="I8734" i="1" s="1"/>
  <c r="Q8734" i="1" a="1"/>
  <c r="Q8734" i="1" s="1"/>
  <c r="J8734" i="1" a="1"/>
  <c r="J8734" i="1" s="1"/>
  <c r="R8734" i="1" a="1"/>
  <c r="R8734" i="1" s="1"/>
  <c r="K8734" i="1" a="1"/>
  <c r="K8734" i="1" s="1"/>
  <c r="S8734" i="1" a="1"/>
  <c r="S8734" i="1" s="1"/>
  <c r="M8734" i="1" a="1"/>
  <c r="M8734" i="1" s="1"/>
  <c r="N8734" i="1" a="1"/>
  <c r="N8734" i="1" s="1"/>
  <c r="O8734" i="1" a="1"/>
  <c r="O8734" i="1" s="1"/>
  <c r="B8735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H8737" i="1" l="1"/>
  <c r="A8738" i="1"/>
  <c r="B8736" i="1"/>
  <c r="J8735" i="1" a="1"/>
  <c r="J8735" i="1" s="1"/>
  <c r="P8735" i="1" a="1"/>
  <c r="P8735" i="1" s="1"/>
  <c r="K8735" i="1" a="1"/>
  <c r="K8735" i="1" s="1"/>
  <c r="Q8735" i="1" a="1"/>
  <c r="Q8735" i="1" s="1"/>
  <c r="R8735" i="1" a="1"/>
  <c r="R8735" i="1" s="1"/>
  <c r="L8735" i="1" a="1"/>
  <c r="L8735" i="1" s="1"/>
  <c r="S8735" i="1" a="1"/>
  <c r="S8735" i="1" s="1"/>
  <c r="N8735" i="1" a="1"/>
  <c r="N8735" i="1" s="1"/>
  <c r="O8735" i="1" a="1"/>
  <c r="O8735" i="1" s="1"/>
  <c r="M8735" i="1" a="1"/>
  <c r="M8735" i="1" s="1"/>
  <c r="I8735" i="1" a="1"/>
  <c r="I8735" i="1" s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8737" i="1" l="1"/>
  <c r="J8736" i="1" a="1"/>
  <c r="J8736" i="1" s="1"/>
  <c r="P8736" i="1" a="1"/>
  <c r="P8736" i="1" s="1"/>
  <c r="Q8736" i="1" a="1"/>
  <c r="Q8736" i="1" s="1"/>
  <c r="K8736" i="1" a="1"/>
  <c r="K8736" i="1" s="1"/>
  <c r="R8736" i="1" a="1"/>
  <c r="R8736" i="1" s="1"/>
  <c r="L8736" i="1" a="1"/>
  <c r="L8736" i="1" s="1"/>
  <c r="N8736" i="1" a="1"/>
  <c r="N8736" i="1" s="1"/>
  <c r="I8736" i="1" a="1"/>
  <c r="I8736" i="1" s="1"/>
  <c r="M8736" i="1" a="1"/>
  <c r="M8736" i="1" s="1"/>
  <c r="O8736" i="1" a="1"/>
  <c r="O8736" i="1" s="1"/>
  <c r="S8736" i="1" a="1"/>
  <c r="S8736" i="1" s="1"/>
  <c r="H8738" i="1"/>
  <c r="A8739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H8739" i="1" l="1"/>
  <c r="A8740" i="1"/>
  <c r="B8738" i="1"/>
  <c r="P8737" i="1" a="1"/>
  <c r="P8737" i="1" s="1"/>
  <c r="J8737" i="1" a="1"/>
  <c r="J8737" i="1" s="1"/>
  <c r="Q8737" i="1" a="1"/>
  <c r="Q8737" i="1" s="1"/>
  <c r="K8737" i="1" a="1"/>
  <c r="K8737" i="1" s="1"/>
  <c r="L8737" i="1" a="1"/>
  <c r="L8737" i="1" s="1"/>
  <c r="R8737" i="1" a="1"/>
  <c r="R8737" i="1" s="1"/>
  <c r="N8737" i="1" a="1"/>
  <c r="N8737" i="1" s="1"/>
  <c r="I8737" i="1" a="1"/>
  <c r="I8737" i="1" s="1"/>
  <c r="M8737" i="1" a="1"/>
  <c r="M8737" i="1" s="1"/>
  <c r="O8737" i="1" a="1"/>
  <c r="O8737" i="1" s="1"/>
  <c r="S8737" i="1" a="1"/>
  <c r="S8737" i="1" s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I8738" i="1" l="1" a="1"/>
  <c r="I8738" i="1" s="1"/>
  <c r="P8738" i="1" a="1"/>
  <c r="P8738" i="1" s="1"/>
  <c r="J8738" i="1" a="1"/>
  <c r="J8738" i="1" s="1"/>
  <c r="K8738" i="1" a="1"/>
  <c r="K8738" i="1" s="1"/>
  <c r="Q8738" i="1" a="1"/>
  <c r="Q8738" i="1" s="1"/>
  <c r="L8738" i="1" a="1"/>
  <c r="L8738" i="1" s="1"/>
  <c r="R8738" i="1" a="1"/>
  <c r="R8738" i="1" s="1"/>
  <c r="M8738" i="1" a="1"/>
  <c r="M8738" i="1" s="1"/>
  <c r="N8738" i="1" a="1"/>
  <c r="N8738" i="1" s="1"/>
  <c r="O8738" i="1" a="1"/>
  <c r="O8738" i="1" s="1"/>
  <c r="S8738" i="1" a="1"/>
  <c r="S8738" i="1" s="1"/>
  <c r="B8739" i="1"/>
  <c r="H8740" i="1"/>
  <c r="A8741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741" i="1" l="1"/>
  <c r="A8742" i="1"/>
  <c r="B8740" i="1"/>
  <c r="I8739" i="1" a="1"/>
  <c r="I8739" i="1" s="1"/>
  <c r="J8739" i="1" a="1"/>
  <c r="J8739" i="1" s="1"/>
  <c r="P8739" i="1" a="1"/>
  <c r="P8739" i="1" s="1"/>
  <c r="K8739" i="1" a="1"/>
  <c r="K8739" i="1" s="1"/>
  <c r="Q8739" i="1" a="1"/>
  <c r="Q8739" i="1" s="1"/>
  <c r="R8739" i="1" a="1"/>
  <c r="R8739" i="1" s="1"/>
  <c r="M8739" i="1" a="1"/>
  <c r="M8739" i="1" s="1"/>
  <c r="N8739" i="1" a="1"/>
  <c r="N8739" i="1" s="1"/>
  <c r="O8739" i="1" a="1"/>
  <c r="O8739" i="1" s="1"/>
  <c r="S8739" i="1" a="1"/>
  <c r="S8739" i="1" s="1"/>
  <c r="L8739" i="1" a="1"/>
  <c r="L8739" i="1" s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8742" i="1" l="1"/>
  <c r="A8743" i="1"/>
  <c r="B8741" i="1"/>
  <c r="I8740" i="1" a="1"/>
  <c r="I8740" i="1" s="1"/>
  <c r="O8740" i="1" a="1"/>
  <c r="O8740" i="1" s="1"/>
  <c r="J8740" i="1" a="1"/>
  <c r="J8740" i="1" s="1"/>
  <c r="P8740" i="1" a="1"/>
  <c r="P8740" i="1" s="1"/>
  <c r="Q8740" i="1" a="1"/>
  <c r="Q8740" i="1" s="1"/>
  <c r="K8740" i="1" a="1"/>
  <c r="K8740" i="1" s="1"/>
  <c r="R8740" i="1" a="1"/>
  <c r="R8740" i="1" s="1"/>
  <c r="M8740" i="1" a="1"/>
  <c r="M8740" i="1" s="1"/>
  <c r="N8740" i="1" a="1"/>
  <c r="N8740" i="1" s="1"/>
  <c r="S8740" i="1" a="1"/>
  <c r="S8740" i="1" s="1"/>
  <c r="L8740" i="1" a="1"/>
  <c r="L8740" i="1" s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A8744" i="1" l="1"/>
  <c r="H8743" i="1"/>
  <c r="I8741" i="1" a="1"/>
  <c r="I8741" i="1" s="1"/>
  <c r="N8741" i="1" a="1"/>
  <c r="N8741" i="1" s="1"/>
  <c r="R8741" i="1" a="1"/>
  <c r="R8741" i="1" s="1"/>
  <c r="J8741" i="1" a="1"/>
  <c r="J8741" i="1" s="1"/>
  <c r="K8741" i="1" a="1"/>
  <c r="K8741" i="1" s="1"/>
  <c r="O8741" i="1" a="1"/>
  <c r="O8741" i="1" s="1"/>
  <c r="S8741" i="1" a="1"/>
  <c r="S8741" i="1" s="1"/>
  <c r="L8741" i="1" a="1"/>
  <c r="L8741" i="1" s="1"/>
  <c r="B8742" i="1"/>
  <c r="Q8741" i="1" a="1"/>
  <c r="Q8741" i="1" s="1"/>
  <c r="M8741" i="1" a="1"/>
  <c r="M8741" i="1" s="1"/>
  <c r="P8741" i="1" a="1"/>
  <c r="P8741" i="1" s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B8743" i="1" l="1"/>
  <c r="I8742" i="1" a="1"/>
  <c r="I8742" i="1" s="1"/>
  <c r="M8742" i="1" a="1"/>
  <c r="M8742" i="1" s="1"/>
  <c r="Q8742" i="1" a="1"/>
  <c r="Q8742" i="1" s="1"/>
  <c r="J8742" i="1" a="1"/>
  <c r="J8742" i="1" s="1"/>
  <c r="N8742" i="1" a="1"/>
  <c r="N8742" i="1" s="1"/>
  <c r="R8742" i="1" a="1"/>
  <c r="R8742" i="1" s="1"/>
  <c r="O8742" i="1" a="1"/>
  <c r="O8742" i="1" s="1"/>
  <c r="P8742" i="1" a="1"/>
  <c r="P8742" i="1" s="1"/>
  <c r="S8742" i="1" a="1"/>
  <c r="S8742" i="1" s="1"/>
  <c r="K8742" i="1" a="1"/>
  <c r="K8742" i="1" s="1"/>
  <c r="L8742" i="1" a="1"/>
  <c r="L8742" i="1" s="1"/>
  <c r="A8745" i="1"/>
  <c r="H8744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H8745" i="1" l="1"/>
  <c r="A8746" i="1"/>
  <c r="L8743" i="1" a="1"/>
  <c r="L8743" i="1" s="1"/>
  <c r="P8743" i="1" a="1"/>
  <c r="P8743" i="1" s="1"/>
  <c r="B8744" i="1"/>
  <c r="I8743" i="1" a="1"/>
  <c r="I8743" i="1" s="1"/>
  <c r="M8743" i="1" a="1"/>
  <c r="M8743" i="1" s="1"/>
  <c r="Q8743" i="1" a="1"/>
  <c r="Q8743" i="1" s="1"/>
  <c r="J8743" i="1" a="1"/>
  <c r="J8743" i="1" s="1"/>
  <c r="R8743" i="1" a="1"/>
  <c r="R8743" i="1" s="1"/>
  <c r="N8743" i="1" a="1"/>
  <c r="N8743" i="1" s="1"/>
  <c r="O8743" i="1" a="1"/>
  <c r="O8743" i="1" s="1"/>
  <c r="S8743" i="1" a="1"/>
  <c r="S8743" i="1" s="1"/>
  <c r="K8743" i="1" a="1"/>
  <c r="K8743" i="1" s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K8744" i="1" l="1" a="1"/>
  <c r="K8744" i="1" s="1"/>
  <c r="O8744" i="1" a="1"/>
  <c r="O8744" i="1" s="1"/>
  <c r="S8744" i="1" a="1"/>
  <c r="S8744" i="1" s="1"/>
  <c r="R8744" i="1" a="1"/>
  <c r="R8744" i="1" s="1"/>
  <c r="M8744" i="1" a="1"/>
  <c r="M8744" i="1" s="1"/>
  <c r="B8745" i="1"/>
  <c r="J8744" i="1" a="1"/>
  <c r="J8744" i="1" s="1"/>
  <c r="L8744" i="1" a="1"/>
  <c r="L8744" i="1" s="1"/>
  <c r="N8744" i="1" a="1"/>
  <c r="N8744" i="1" s="1"/>
  <c r="P8744" i="1" a="1"/>
  <c r="P8744" i="1" s="1"/>
  <c r="I8744" i="1" a="1"/>
  <c r="I8744" i="1" s="1"/>
  <c r="Q8744" i="1" a="1"/>
  <c r="Q8744" i="1" s="1"/>
  <c r="H8746" i="1"/>
  <c r="A8747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A8748" i="1" l="1"/>
  <c r="H8747" i="1"/>
  <c r="J8745" i="1" a="1"/>
  <c r="J8745" i="1" s="1"/>
  <c r="N8745" i="1" a="1"/>
  <c r="N8745" i="1" s="1"/>
  <c r="R8745" i="1" a="1"/>
  <c r="R8745" i="1" s="1"/>
  <c r="K8745" i="1" a="1"/>
  <c r="K8745" i="1" s="1"/>
  <c r="O8745" i="1" a="1"/>
  <c r="O8745" i="1" s="1"/>
  <c r="S8745" i="1" a="1"/>
  <c r="S8745" i="1" s="1"/>
  <c r="M8745" i="1" a="1"/>
  <c r="M8745" i="1" s="1"/>
  <c r="Q8745" i="1" a="1"/>
  <c r="Q8745" i="1" s="1"/>
  <c r="I8745" i="1" a="1"/>
  <c r="I8745" i="1" s="1"/>
  <c r="B8746" i="1"/>
  <c r="L8745" i="1" a="1"/>
  <c r="L8745" i="1" s="1"/>
  <c r="P8745" i="1" a="1"/>
  <c r="P8745" i="1" s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B8747" i="1" l="1"/>
  <c r="I8746" i="1" a="1"/>
  <c r="I8746" i="1" s="1"/>
  <c r="M8746" i="1" a="1"/>
  <c r="M8746" i="1" s="1"/>
  <c r="Q8746" i="1" a="1"/>
  <c r="Q8746" i="1" s="1"/>
  <c r="J8746" i="1" a="1"/>
  <c r="J8746" i="1" s="1"/>
  <c r="R8746" i="1" a="1"/>
  <c r="R8746" i="1" s="1"/>
  <c r="N8746" i="1" a="1"/>
  <c r="N8746" i="1" s="1"/>
  <c r="P8746" i="1" a="1"/>
  <c r="P8746" i="1" s="1"/>
  <c r="O8746" i="1" a="1"/>
  <c r="O8746" i="1" s="1"/>
  <c r="S8746" i="1" a="1"/>
  <c r="S8746" i="1" s="1"/>
  <c r="K8746" i="1" a="1"/>
  <c r="K8746" i="1" s="1"/>
  <c r="L8746" i="1" a="1"/>
  <c r="L8746" i="1" s="1"/>
  <c r="H8748" i="1"/>
  <c r="A8749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H8749" i="1" l="1"/>
  <c r="A8750" i="1"/>
  <c r="L8747" i="1" a="1"/>
  <c r="L8747" i="1" s="1"/>
  <c r="P8747" i="1" a="1"/>
  <c r="P8747" i="1" s="1"/>
  <c r="B8748" i="1"/>
  <c r="I8747" i="1" a="1"/>
  <c r="I8747" i="1" s="1"/>
  <c r="K8747" i="1" a="1"/>
  <c r="K8747" i="1" s="1"/>
  <c r="R8747" i="1" a="1"/>
  <c r="R8747" i="1" s="1"/>
  <c r="M8747" i="1" a="1"/>
  <c r="M8747" i="1" s="1"/>
  <c r="N8747" i="1" a="1"/>
  <c r="N8747" i="1" s="1"/>
  <c r="O8747" i="1" a="1"/>
  <c r="O8747" i="1" s="1"/>
  <c r="Q8747" i="1" a="1"/>
  <c r="Q8747" i="1" s="1"/>
  <c r="J8747" i="1" a="1"/>
  <c r="J8747" i="1" s="1"/>
  <c r="S8747" i="1" a="1"/>
  <c r="S8747" i="1" s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K8748" i="1" l="1" a="1"/>
  <c r="K8748" i="1" s="1"/>
  <c r="O8748" i="1" a="1"/>
  <c r="O8748" i="1" s="1"/>
  <c r="S8748" i="1" a="1"/>
  <c r="S8748" i="1" s="1"/>
  <c r="L8748" i="1" a="1"/>
  <c r="L8748" i="1" s="1"/>
  <c r="R8748" i="1" a="1"/>
  <c r="R8748" i="1" s="1"/>
  <c r="I8748" i="1" a="1"/>
  <c r="I8748" i="1" s="1"/>
  <c r="Q8748" i="1" a="1"/>
  <c r="Q8748" i="1" s="1"/>
  <c r="J8748" i="1" a="1"/>
  <c r="J8748" i="1" s="1"/>
  <c r="B8749" i="1"/>
  <c r="M8748" i="1" a="1"/>
  <c r="M8748" i="1" s="1"/>
  <c r="N8748" i="1" a="1"/>
  <c r="N8748" i="1" s="1"/>
  <c r="P8748" i="1" a="1"/>
  <c r="P8748" i="1" s="1"/>
  <c r="H8750" i="1"/>
  <c r="A8751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A8752" i="1" l="1"/>
  <c r="H8751" i="1"/>
  <c r="J8749" i="1" a="1"/>
  <c r="J8749" i="1" s="1"/>
  <c r="N8749" i="1" a="1"/>
  <c r="N8749" i="1" s="1"/>
  <c r="R8749" i="1" a="1"/>
  <c r="R8749" i="1" s="1"/>
  <c r="Q8749" i="1" a="1"/>
  <c r="Q8749" i="1" s="1"/>
  <c r="L8749" i="1" a="1"/>
  <c r="L8749" i="1" s="1"/>
  <c r="S8749" i="1" a="1"/>
  <c r="S8749" i="1" s="1"/>
  <c r="B8750" i="1"/>
  <c r="M8749" i="1" a="1"/>
  <c r="M8749" i="1" s="1"/>
  <c r="O8749" i="1" a="1"/>
  <c r="O8749" i="1" s="1"/>
  <c r="P8749" i="1" a="1"/>
  <c r="P8749" i="1" s="1"/>
  <c r="I8749" i="1" a="1"/>
  <c r="I8749" i="1" s="1"/>
  <c r="K8749" i="1" a="1"/>
  <c r="K8749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B8751" i="1" l="1"/>
  <c r="I8750" i="1" a="1"/>
  <c r="I8750" i="1" s="1"/>
  <c r="M8750" i="1" a="1"/>
  <c r="M8750" i="1" s="1"/>
  <c r="Q8750" i="1" a="1"/>
  <c r="Q8750" i="1" s="1"/>
  <c r="K8750" i="1" a="1"/>
  <c r="K8750" i="1" s="1"/>
  <c r="R8750" i="1" a="1"/>
  <c r="R8750" i="1" s="1"/>
  <c r="P8750" i="1" a="1"/>
  <c r="P8750" i="1" s="1"/>
  <c r="J8750" i="1" a="1"/>
  <c r="J8750" i="1" s="1"/>
  <c r="S8750" i="1" a="1"/>
  <c r="S8750" i="1" s="1"/>
  <c r="L8750" i="1" a="1"/>
  <c r="L8750" i="1" s="1"/>
  <c r="N8750" i="1" a="1"/>
  <c r="N8750" i="1" s="1"/>
  <c r="O8750" i="1" a="1"/>
  <c r="O8750" i="1" s="1"/>
  <c r="H8752" i="1"/>
  <c r="A8753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754" i="1" l="1"/>
  <c r="H8754" i="1" s="1"/>
  <c r="H8753" i="1"/>
  <c r="L8751" i="1" a="1"/>
  <c r="L8751" i="1" s="1"/>
  <c r="P8751" i="1" a="1"/>
  <c r="P8751" i="1" s="1"/>
  <c r="B8752" i="1"/>
  <c r="K8751" i="1" a="1"/>
  <c r="K8751" i="1" s="1"/>
  <c r="R8751" i="1" a="1"/>
  <c r="R8751" i="1" s="1"/>
  <c r="M8751" i="1" a="1"/>
  <c r="M8751" i="1" s="1"/>
  <c r="N8751" i="1" a="1"/>
  <c r="N8751" i="1" s="1"/>
  <c r="O8751" i="1" a="1"/>
  <c r="O8751" i="1" s="1"/>
  <c r="I8751" i="1" a="1"/>
  <c r="I8751" i="1" s="1"/>
  <c r="Q8751" i="1" a="1"/>
  <c r="Q8751" i="1" s="1"/>
  <c r="J8751" i="1" a="1"/>
  <c r="J8751" i="1" s="1"/>
  <c r="S8751" i="1" a="1"/>
  <c r="S8751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K8752" i="1" l="1" a="1"/>
  <c r="K8752" i="1" s="1"/>
  <c r="O8752" i="1" a="1"/>
  <c r="O8752" i="1" s="1"/>
  <c r="S8752" i="1" a="1"/>
  <c r="S8752" i="1" s="1"/>
  <c r="J8752" i="1" a="1"/>
  <c r="J8752" i="1" s="1"/>
  <c r="Q8752" i="1" a="1"/>
  <c r="Q8752" i="1" s="1"/>
  <c r="L8752" i="1" a="1"/>
  <c r="L8752" i="1" s="1"/>
  <c r="P8752" i="1" a="1"/>
  <c r="P8752" i="1" s="1"/>
  <c r="I8752" i="1" a="1"/>
  <c r="I8752" i="1" s="1"/>
  <c r="R8752" i="1" a="1"/>
  <c r="R8752" i="1" s="1"/>
  <c r="B8753" i="1"/>
  <c r="M8752" i="1" a="1"/>
  <c r="M8752" i="1" s="1"/>
  <c r="N8752" i="1" a="1"/>
  <c r="N8752" i="1" s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J8753" i="1" l="1" a="1"/>
  <c r="J8753" i="1" s="1"/>
  <c r="N8753" i="1" a="1"/>
  <c r="N8753" i="1" s="1"/>
  <c r="R8753" i="1" a="1"/>
  <c r="R8753" i="1" s="1"/>
  <c r="K8753" i="1" a="1"/>
  <c r="K8753" i="1" s="1"/>
  <c r="L8753" i="1" a="1"/>
  <c r="L8753" i="1" s="1"/>
  <c r="M8753" i="1" a="1"/>
  <c r="M8753" i="1" s="1"/>
  <c r="B8754" i="1"/>
  <c r="O8753" i="1" a="1"/>
  <c r="O8753" i="1" s="1"/>
  <c r="Q8753" i="1" a="1"/>
  <c r="Q8753" i="1" s="1"/>
  <c r="P8753" i="1" a="1"/>
  <c r="P8753" i="1" s="1"/>
  <c r="I8753" i="1" a="1"/>
  <c r="I8753" i="1" s="1"/>
  <c r="S8753" i="1" a="1"/>
  <c r="S8753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I8754" i="1" l="1" a="1"/>
  <c r="I8754" i="1" s="1"/>
  <c r="M8754" i="1" a="1"/>
  <c r="M8754" i="1" s="1"/>
  <c r="Q8754" i="1" a="1"/>
  <c r="Q8754" i="1" s="1"/>
  <c r="P8754" i="1" a="1"/>
  <c r="P8754" i="1" s="1"/>
  <c r="N8754" i="1" a="1"/>
  <c r="N8754" i="1" s="1"/>
  <c r="O8754" i="1" a="1"/>
  <c r="O8754" i="1" s="1"/>
  <c r="J8754" i="1" a="1"/>
  <c r="J8754" i="1" s="1"/>
  <c r="R8754" i="1" a="1"/>
  <c r="R8754" i="1" s="1"/>
  <c r="K8754" i="1" a="1"/>
  <c r="K8754" i="1" s="1"/>
  <c r="S8754" i="1" a="1"/>
  <c r="S8754" i="1" s="1"/>
  <c r="L8754" i="1" a="1"/>
  <c r="L8754" i="1" s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<sst xmlns="http://schemas.openxmlformats.org/spreadsheetml/2006/main" count="89423" uniqueCount="26">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</sst>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754"/>
  <sheetViews>
    <sheetView zoomScale="90" zoomScaleNormal="90" workbookViewId="0">
      <pane ySplit="1" topLeftCell="A8722" activePane="bottomLeft" state="frozen"/>
      <selection pane="bottomLeft" activeCell="D8723" sqref="D8723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f t="shared" ref="A8723:C8723" si="1411">A8722</f>
        <v>46034</v>
      </c>
      <c r="B8723" s="5" t="str">
        <f t="shared" si="1411"/>
        <v>Northern Cardinal</v>
      </c>
      <c r="C8723" s="6">
        <f t="shared" si="1411"/>
        <v>0.75069444444444444</v>
      </c>
      <c r="D8723" s="5"/>
      <c r="E8723" s="5"/>
      <c r="F8723" s="5" t="s">
        <v>9</v>
      </c>
      <c r="G8723" s="15" t="s">
        <v>8</v>
      </c>
      <c r="H8723" s="24">
        <f t="shared" ref="H8693:H8754" si="1412">IFERROR((($A8723+$C8723) - ($A8722+$C8722))*24*60, "")</f>
        <v>0</v>
      </c>
      <c r="I8723" s="24" cm="1">
        <f t="array" ref="I8723">IFERROR(IF($B8723=I$1, ($A8723+$C8723) - MAX(IF($B$2:$B8722=$B8723, $A$2:$A8722+$C$2:$C8722)), "")*24*60, "")</f>
        <v>0</v>
      </c>
      <c r="J8723" s="24" t="str" cm="1">
        <f t="array" ref="J8723">IFERROR(IF($B8723=J$1, ($A8723+$C8723) - MAX(IF($B$2:$B8722=$B8723, $A$2:$A8722+$C$2:$C8722)), "")*24*60, "")</f>
        <v/>
      </c>
      <c r="K8723" s="24" t="str" cm="1">
        <f t="array" ref="K8723">IFERROR(IF($B8723=K$1, ($A8723+$C8723) - MAX(IF($B$2:$B8722=$B8723, $A$2:$A8722+$C$2:$C8722)), "")*24*60, "")</f>
        <v/>
      </c>
      <c r="L8723" s="24" t="str" cm="1">
        <f t="array" ref="L8723">IFERROR(IF($B8723=L$1, ($A8723+$C8723) - MAX(IF($B$2:$B8722=$B8723, $A$2:$A8722+$C$2:$C8722)), "")*24*60, "")</f>
        <v/>
      </c>
      <c r="M8723" s="24" t="str" cm="1">
        <f t="array" ref="M8723">IFERROR(IF($B8723=M$1, ($A8723+$C8723) - MAX(IF($B$2:$B8722=$B8723, $A$2:$A8722+$C$2:$C8722)), "")*24*60, "")</f>
        <v/>
      </c>
      <c r="N8723" s="24" t="str" cm="1">
        <f t="array" ref="N8723">IFERROR(IF($B8723=N$1, ($A8723+$C8723) - MAX(IF($B$2:$B8722=$B8723, $A$2:$A8722+$C$2:$C8722)), "")*24*60, "")</f>
        <v/>
      </c>
      <c r="O8723" s="24" t="str" cm="1">
        <f t="array" ref="O8723">IFERROR(IF($B8723=O$1, ($A8723+$C8723) - MAX(IF($B$2:$B8722=$B8723, $A$2:$A8722+$C$2:$C8722)), "")*24*60, "")</f>
        <v/>
      </c>
      <c r="P8723" s="24" t="str" cm="1">
        <f t="array" ref="P8723">IFERROR(IF($B8723=P$1, ($A8723+$C8723) - MAX(IF($B$2:$B8722=$B8723, $A$2:$A8722+$C$2:$C8722)), "")*24*60, "")</f>
        <v/>
      </c>
      <c r="Q8723" s="24" t="str" cm="1">
        <f t="array" ref="Q8723">IFERROR(IF($B8723=Q$1, ($A8723+$C8723) - MAX(IF($B$2:$B8722=$B8723, $A$2:$A8722+$C$2:$C8722)), "")*24*60, "")</f>
        <v/>
      </c>
      <c r="R8723" s="24" t="str" cm="1">
        <f t="array" ref="R8723">IFERROR(IF($B8723=R$1, ($A8723+$C8723) - MAX(IF($B$2:$B8722=$B8723, $A$2:$A8722+$C$2:$C8722)), "")*24*60, "")</f>
        <v/>
      </c>
      <c r="S8723" s="24" t="str" cm="1">
        <f t="array" ref="S8723">IFERROR(IF($B8723=S$1, ($A8723+$C8723) - MAX(IF($B$2:$B8722=$B8723, $A$2:$A8722+$C$2:$C8722)), "")*24*60, "")</f>
        <v/>
      </c>
    </row>
    <row r="8724" spans="1:19" x14ac:dyDescent="0.2">
      <c r="A8724" s="12">
        <f t="shared" ref="A8724:C8724" si="1413">A8723</f>
        <v>46034</v>
      </c>
      <c r="B8724" s="5" t="str">
        <f t="shared" si="1413"/>
        <v>Northern Cardinal</v>
      </c>
      <c r="C8724" s="6">
        <f t="shared" si="1413"/>
        <v>0.75069444444444444</v>
      </c>
      <c r="D8724" s="5"/>
      <c r="E8724" s="5"/>
      <c r="F8724" s="5" t="s">
        <v>9</v>
      </c>
      <c r="G8724" s="15" t="s">
        <v>8</v>
      </c>
      <c r="H8724" s="24">
        <f t="shared" si="1412"/>
        <v>0</v>
      </c>
      <c r="I8724" s="24" cm="1">
        <f t="array" ref="I8724">IFERROR(IF($B8724=I$1, ($A8724+$C8724) - MAX(IF($B$2:$B8723=$B8724, $A$2:$A8723+$C$2:$C8723)), "")*24*60, "")</f>
        <v>0</v>
      </c>
      <c r="J8724" s="24" t="str" cm="1">
        <f t="array" ref="J8724">IFERROR(IF($B8724=J$1, ($A8724+$C8724) - MAX(IF($B$2:$B8723=$B8724, $A$2:$A8723+$C$2:$C8723)), "")*24*60, "")</f>
        <v/>
      </c>
      <c r="K8724" s="24" t="str" cm="1">
        <f t="array" ref="K8724">IFERROR(IF($B8724=K$1, ($A8724+$C8724) - MAX(IF($B$2:$B8723=$B8724, $A$2:$A8723+$C$2:$C8723)), "")*24*60, "")</f>
        <v/>
      </c>
      <c r="L8724" s="24" t="str" cm="1">
        <f t="array" ref="L8724">IFERROR(IF($B8724=L$1, ($A8724+$C8724) - MAX(IF($B$2:$B8723=$B8724, $A$2:$A8723+$C$2:$C8723)), "")*24*60, "")</f>
        <v/>
      </c>
      <c r="M8724" s="24" t="str" cm="1">
        <f t="array" ref="M8724">IFERROR(IF($B8724=M$1, ($A8724+$C8724) - MAX(IF($B$2:$B8723=$B8724, $A$2:$A8723+$C$2:$C8723)), "")*24*60, "")</f>
        <v/>
      </c>
      <c r="N8724" s="24" t="str" cm="1">
        <f t="array" ref="N8724">IFERROR(IF($B8724=N$1, ($A8724+$C8724) - MAX(IF($B$2:$B8723=$B8724, $A$2:$A8723+$C$2:$C8723)), "")*24*60, "")</f>
        <v/>
      </c>
      <c r="O8724" s="24" t="str" cm="1">
        <f t="array" ref="O8724">IFERROR(IF($B8724=O$1, ($A8724+$C8724) - MAX(IF($B$2:$B8723=$B8724, $A$2:$A8723+$C$2:$C8723)), "")*24*60, "")</f>
        <v/>
      </c>
      <c r="P8724" s="24" t="str" cm="1">
        <f t="array" ref="P8724">IFERROR(IF($B8724=P$1, ($A8724+$C8724) - MAX(IF($B$2:$B8723=$B8724, $A$2:$A8723+$C$2:$C8723)), "")*24*60, "")</f>
        <v/>
      </c>
      <c r="Q8724" s="24" t="str" cm="1">
        <f t="array" ref="Q8724">IFERROR(IF($B8724=Q$1, ($A8724+$C8724) - MAX(IF($B$2:$B8723=$B8724, $A$2:$A8723+$C$2:$C8723)), "")*24*60, "")</f>
        <v/>
      </c>
      <c r="R8724" s="24" t="str" cm="1">
        <f t="array" ref="R8724">IFERROR(IF($B8724=R$1, ($A8724+$C8724) - MAX(IF($B$2:$B8723=$B8724, $A$2:$A8723+$C$2:$C8723)), "")*24*60, "")</f>
        <v/>
      </c>
      <c r="S8724" s="24" t="str" cm="1">
        <f t="array" ref="S8724">IFERROR(IF($B8724=S$1, ($A8724+$C8724) - MAX(IF($B$2:$B8723=$B8724, $A$2:$A8723+$C$2:$C8723)), "")*24*60, "")</f>
        <v/>
      </c>
    </row>
    <row r="8725" spans="1:19" x14ac:dyDescent="0.2">
      <c r="A8725" s="12">
        <f t="shared" ref="A8725:C8725" si="1414">A8724</f>
        <v>46034</v>
      </c>
      <c r="B8725" s="5" t="str">
        <f t="shared" si="1414"/>
        <v>Northern Cardinal</v>
      </c>
      <c r="C8725" s="6">
        <f t="shared" si="1414"/>
        <v>0.75069444444444444</v>
      </c>
      <c r="D8725" s="5"/>
      <c r="E8725" s="5"/>
      <c r="F8725" s="5" t="s">
        <v>9</v>
      </c>
      <c r="G8725" s="15" t="s">
        <v>8</v>
      </c>
      <c r="H8725" s="24">
        <f t="shared" si="1412"/>
        <v>0</v>
      </c>
      <c r="I8725" s="24" cm="1">
        <f t="array" ref="I8725">IFERROR(IF($B8725=I$1, ($A8725+$C8725) - MAX(IF($B$2:$B8724=$B8725, $A$2:$A8724+$C$2:$C8724)), "")*24*60, "")</f>
        <v>0</v>
      </c>
      <c r="J8725" s="24" t="str" cm="1">
        <f t="array" ref="J8725">IFERROR(IF($B8725=J$1, ($A8725+$C8725) - MAX(IF($B$2:$B8724=$B8725, $A$2:$A8724+$C$2:$C8724)), "")*24*60, "")</f>
        <v/>
      </c>
      <c r="K8725" s="24" t="str" cm="1">
        <f t="array" ref="K8725">IFERROR(IF($B8725=K$1, ($A8725+$C8725) - MAX(IF($B$2:$B8724=$B8725, $A$2:$A8724+$C$2:$C8724)), "")*24*60, "")</f>
        <v/>
      </c>
      <c r="L8725" s="24" t="str" cm="1">
        <f t="array" ref="L8725">IFERROR(IF($B8725=L$1, ($A8725+$C8725) - MAX(IF($B$2:$B8724=$B8725, $A$2:$A8724+$C$2:$C8724)), "")*24*60, "")</f>
        <v/>
      </c>
      <c r="M8725" s="24" t="str" cm="1">
        <f t="array" ref="M8725">IFERROR(IF($B8725=M$1, ($A8725+$C8725) - MAX(IF($B$2:$B8724=$B8725, $A$2:$A8724+$C$2:$C8724)), "")*24*60, "")</f>
        <v/>
      </c>
      <c r="N8725" s="24" t="str" cm="1">
        <f t="array" ref="N8725">IFERROR(IF($B8725=N$1, ($A8725+$C8725) - MAX(IF($B$2:$B8724=$B8725, $A$2:$A8724+$C$2:$C8724)), "")*24*60, "")</f>
        <v/>
      </c>
      <c r="O8725" s="24" t="str" cm="1">
        <f t="array" ref="O8725">IFERROR(IF($B8725=O$1, ($A8725+$C8725) - MAX(IF($B$2:$B8724=$B8725, $A$2:$A8724+$C$2:$C8724)), "")*24*60, "")</f>
        <v/>
      </c>
      <c r="P8725" s="24" t="str" cm="1">
        <f t="array" ref="P8725">IFERROR(IF($B8725=P$1, ($A8725+$C8725) - MAX(IF($B$2:$B8724=$B8725, $A$2:$A8724+$C$2:$C8724)), "")*24*60, "")</f>
        <v/>
      </c>
      <c r="Q8725" s="24" t="str" cm="1">
        <f t="array" ref="Q8725">IFERROR(IF($B8725=Q$1, ($A8725+$C8725) - MAX(IF($B$2:$B8724=$B8725, $A$2:$A8724+$C$2:$C8724)), "")*24*60, "")</f>
        <v/>
      </c>
      <c r="R8725" s="24" t="str" cm="1">
        <f t="array" ref="R8725">IFERROR(IF($B8725=R$1, ($A8725+$C8725) - MAX(IF($B$2:$B8724=$B8725, $A$2:$A8724+$C$2:$C8724)), "")*24*60, "")</f>
        <v/>
      </c>
      <c r="S8725" s="24" t="str" cm="1">
        <f t="array" ref="S8725">IFERROR(IF($B8725=S$1, ($A8725+$C8725) - MAX(IF($B$2:$B8724=$B8725, $A$2:$A8724+$C$2:$C8724)), "")*24*60, "")</f>
        <v/>
      </c>
    </row>
    <row r="8726" spans="1:19" x14ac:dyDescent="0.2">
      <c r="A8726" s="12">
        <f t="shared" ref="A8726:C8726" si="1415">A8725</f>
        <v>46034</v>
      </c>
      <c r="B8726" s="5" t="str">
        <f t="shared" si="1415"/>
        <v>Northern Cardinal</v>
      </c>
      <c r="C8726" s="6">
        <f t="shared" si="1415"/>
        <v>0.75069444444444444</v>
      </c>
      <c r="D8726" s="5"/>
      <c r="E8726" s="5"/>
      <c r="F8726" s="5" t="s">
        <v>9</v>
      </c>
      <c r="G8726" s="15" t="s">
        <v>8</v>
      </c>
      <c r="H8726" s="24">
        <f t="shared" si="1412"/>
        <v>0</v>
      </c>
      <c r="I8726" s="24" cm="1">
        <f t="array" ref="I8726">IFERROR(IF($B8726=I$1, ($A8726+$C8726) - MAX(IF($B$2:$B8725=$B8726, $A$2:$A8725+$C$2:$C8725)), "")*24*60, "")</f>
        <v>0</v>
      </c>
      <c r="J8726" s="24" t="str" cm="1">
        <f t="array" ref="J8726">IFERROR(IF($B8726=J$1, ($A8726+$C8726) - MAX(IF($B$2:$B8725=$B8726, $A$2:$A8725+$C$2:$C8725)), "")*24*60, "")</f>
        <v/>
      </c>
      <c r="K8726" s="24" t="str" cm="1">
        <f t="array" ref="K8726">IFERROR(IF($B8726=K$1, ($A8726+$C8726) - MAX(IF($B$2:$B8725=$B8726, $A$2:$A8725+$C$2:$C8725)), "")*24*60, "")</f>
        <v/>
      </c>
      <c r="L8726" s="24" t="str" cm="1">
        <f t="array" ref="L8726">IFERROR(IF($B8726=L$1, ($A8726+$C8726) - MAX(IF($B$2:$B8725=$B8726, $A$2:$A8725+$C$2:$C8725)), "")*24*60, "")</f>
        <v/>
      </c>
      <c r="M8726" s="24" t="str" cm="1">
        <f t="array" ref="M8726">IFERROR(IF($B8726=M$1, ($A8726+$C8726) - MAX(IF($B$2:$B8725=$B8726, $A$2:$A8725+$C$2:$C8725)), "")*24*60, "")</f>
        <v/>
      </c>
      <c r="N8726" s="24" t="str" cm="1">
        <f t="array" ref="N8726">IFERROR(IF($B8726=N$1, ($A8726+$C8726) - MAX(IF($B$2:$B8725=$B8726, $A$2:$A8725+$C$2:$C8725)), "")*24*60, "")</f>
        <v/>
      </c>
      <c r="O8726" s="24" t="str" cm="1">
        <f t="array" ref="O8726">IFERROR(IF($B8726=O$1, ($A8726+$C8726) - MAX(IF($B$2:$B8725=$B8726, $A$2:$A8725+$C$2:$C8725)), "")*24*60, "")</f>
        <v/>
      </c>
      <c r="P8726" s="24" t="str" cm="1">
        <f t="array" ref="P8726">IFERROR(IF($B8726=P$1, ($A8726+$C8726) - MAX(IF($B$2:$B8725=$B8726, $A$2:$A8725+$C$2:$C8725)), "")*24*60, "")</f>
        <v/>
      </c>
      <c r="Q8726" s="24" t="str" cm="1">
        <f t="array" ref="Q8726">IFERROR(IF($B8726=Q$1, ($A8726+$C8726) - MAX(IF($B$2:$B8725=$B8726, $A$2:$A8725+$C$2:$C8725)), "")*24*60, "")</f>
        <v/>
      </c>
      <c r="R8726" s="24" t="str" cm="1">
        <f t="array" ref="R8726">IFERROR(IF($B8726=R$1, ($A8726+$C8726) - MAX(IF($B$2:$B8725=$B8726, $A$2:$A8725+$C$2:$C8725)), "")*24*60, "")</f>
        <v/>
      </c>
      <c r="S8726" s="24" t="str" cm="1">
        <f t="array" ref="S8726">IFERROR(IF($B8726=S$1, ($A8726+$C8726) - MAX(IF($B$2:$B8725=$B8726, $A$2:$A8725+$C$2:$C8725)), "")*24*60, "")</f>
        <v/>
      </c>
    </row>
    <row r="8727" spans="1:19" x14ac:dyDescent="0.2">
      <c r="A8727" s="12">
        <f t="shared" ref="A8727:C8727" si="1416">A8726</f>
        <v>46034</v>
      </c>
      <c r="B8727" s="5" t="str">
        <f t="shared" si="1416"/>
        <v>Northern Cardinal</v>
      </c>
      <c r="C8727" s="6">
        <f t="shared" si="1416"/>
        <v>0.75069444444444444</v>
      </c>
      <c r="D8727" s="5"/>
      <c r="E8727" s="5"/>
      <c r="F8727" s="5" t="s">
        <v>9</v>
      </c>
      <c r="G8727" s="15" t="s">
        <v>8</v>
      </c>
      <c r="H8727" s="24">
        <f t="shared" si="1412"/>
        <v>0</v>
      </c>
      <c r="I8727" s="24" cm="1">
        <f t="array" ref="I8727">IFERROR(IF($B8727=I$1, ($A8727+$C8727) - MAX(IF($B$2:$B8726=$B8727, $A$2:$A8726+$C$2:$C8726)), "")*24*60, "")</f>
        <v>0</v>
      </c>
      <c r="J8727" s="24" t="str" cm="1">
        <f t="array" ref="J8727">IFERROR(IF($B8727=J$1, ($A8727+$C8727) - MAX(IF($B$2:$B8726=$B8727, $A$2:$A8726+$C$2:$C8726)), "")*24*60, "")</f>
        <v/>
      </c>
      <c r="K8727" s="24" t="str" cm="1">
        <f t="array" ref="K8727">IFERROR(IF($B8727=K$1, ($A8727+$C8727) - MAX(IF($B$2:$B8726=$B8727, $A$2:$A8726+$C$2:$C8726)), "")*24*60, "")</f>
        <v/>
      </c>
      <c r="L8727" s="24" t="str" cm="1">
        <f t="array" ref="L8727">IFERROR(IF($B8727=L$1, ($A8727+$C8727) - MAX(IF($B$2:$B8726=$B8727, $A$2:$A8726+$C$2:$C8726)), "")*24*60, "")</f>
        <v/>
      </c>
      <c r="M8727" s="24" t="str" cm="1">
        <f t="array" ref="M8727">IFERROR(IF($B8727=M$1, ($A8727+$C8727) - MAX(IF($B$2:$B8726=$B8727, $A$2:$A8726+$C$2:$C8726)), "")*24*60, "")</f>
        <v/>
      </c>
      <c r="N8727" s="24" t="str" cm="1">
        <f t="array" ref="N8727">IFERROR(IF($B8727=N$1, ($A8727+$C8727) - MAX(IF($B$2:$B8726=$B8727, $A$2:$A8726+$C$2:$C8726)), "")*24*60, "")</f>
        <v/>
      </c>
      <c r="O8727" s="24" t="str" cm="1">
        <f t="array" ref="O8727">IFERROR(IF($B8727=O$1, ($A8727+$C8727) - MAX(IF($B$2:$B8726=$B8727, $A$2:$A8726+$C$2:$C8726)), "")*24*60, "")</f>
        <v/>
      </c>
      <c r="P8727" s="24" t="str" cm="1">
        <f t="array" ref="P8727">IFERROR(IF($B8727=P$1, ($A8727+$C8727) - MAX(IF($B$2:$B8726=$B8727, $A$2:$A8726+$C$2:$C8726)), "")*24*60, "")</f>
        <v/>
      </c>
      <c r="Q8727" s="24" t="str" cm="1">
        <f t="array" ref="Q8727">IFERROR(IF($B8727=Q$1, ($A8727+$C8727) - MAX(IF($B$2:$B8726=$B8727, $A$2:$A8726+$C$2:$C8726)), "")*24*60, "")</f>
        <v/>
      </c>
      <c r="R8727" s="24" t="str" cm="1">
        <f t="array" ref="R8727">IFERROR(IF($B8727=R$1, ($A8727+$C8727) - MAX(IF($B$2:$B8726=$B8727, $A$2:$A8726+$C$2:$C8726)), "")*24*60, "")</f>
        <v/>
      </c>
      <c r="S8727" s="24" t="str" cm="1">
        <f t="array" ref="S8727">IFERROR(IF($B8727=S$1, ($A8727+$C8727) - MAX(IF($B$2:$B8726=$B8727, $A$2:$A8726+$C$2:$C8726)), "")*24*60, "")</f>
        <v/>
      </c>
    </row>
    <row r="8728" spans="1:19" x14ac:dyDescent="0.2">
      <c r="A8728" s="12">
        <f t="shared" ref="A8728:C8728" si="1417">A8727</f>
        <v>46034</v>
      </c>
      <c r="B8728" s="5" t="str">
        <f t="shared" si="1417"/>
        <v>Northern Cardinal</v>
      </c>
      <c r="C8728" s="6">
        <f t="shared" si="1417"/>
        <v>0.75069444444444444</v>
      </c>
      <c r="D8728" s="5"/>
      <c r="E8728" s="5"/>
      <c r="F8728" s="5" t="s">
        <v>9</v>
      </c>
      <c r="G8728" s="15" t="s">
        <v>8</v>
      </c>
      <c r="H8728" s="24">
        <f t="shared" si="1412"/>
        <v>0</v>
      </c>
      <c r="I8728" s="24" cm="1">
        <f t="array" ref="I8728">IFERROR(IF($B8728=I$1, ($A8728+$C8728) - MAX(IF($B$2:$B8727=$B8728, $A$2:$A8727+$C$2:$C8727)), "")*24*60, "")</f>
        <v>0</v>
      </c>
      <c r="J8728" s="24" t="str" cm="1">
        <f t="array" ref="J8728">IFERROR(IF($B8728=J$1, ($A8728+$C8728) - MAX(IF($B$2:$B8727=$B8728, $A$2:$A8727+$C$2:$C8727)), "")*24*60, "")</f>
        <v/>
      </c>
      <c r="K8728" s="24" t="str" cm="1">
        <f t="array" ref="K8728">IFERROR(IF($B8728=K$1, ($A8728+$C8728) - MAX(IF($B$2:$B8727=$B8728, $A$2:$A8727+$C$2:$C8727)), "")*24*60, "")</f>
        <v/>
      </c>
      <c r="L8728" s="24" t="str" cm="1">
        <f t="array" ref="L8728">IFERROR(IF($B8728=L$1, ($A8728+$C8728) - MAX(IF($B$2:$B8727=$B8728, $A$2:$A8727+$C$2:$C8727)), "")*24*60, "")</f>
        <v/>
      </c>
      <c r="M8728" s="24" t="str" cm="1">
        <f t="array" ref="M8728">IFERROR(IF($B8728=M$1, ($A8728+$C8728) - MAX(IF($B$2:$B8727=$B8728, $A$2:$A8727+$C$2:$C8727)), "")*24*60, "")</f>
        <v/>
      </c>
      <c r="N8728" s="24" t="str" cm="1">
        <f t="array" ref="N8728">IFERROR(IF($B8728=N$1, ($A8728+$C8728) - MAX(IF($B$2:$B8727=$B8728, $A$2:$A8727+$C$2:$C8727)), "")*24*60, "")</f>
        <v/>
      </c>
      <c r="O8728" s="24" t="str" cm="1">
        <f t="array" ref="O8728">IFERROR(IF($B8728=O$1, ($A8728+$C8728) - MAX(IF($B$2:$B8727=$B8728, $A$2:$A8727+$C$2:$C8727)), "")*24*60, "")</f>
        <v/>
      </c>
      <c r="P8728" s="24" t="str" cm="1">
        <f t="array" ref="P8728">IFERROR(IF($B8728=P$1, ($A8728+$C8728) - MAX(IF($B$2:$B8727=$B8728, $A$2:$A8727+$C$2:$C8727)), "")*24*60, "")</f>
        <v/>
      </c>
      <c r="Q8728" s="24" t="str" cm="1">
        <f t="array" ref="Q8728">IFERROR(IF($B8728=Q$1, ($A8728+$C8728) - MAX(IF($B$2:$B8727=$B8728, $A$2:$A8727+$C$2:$C8727)), "")*24*60, "")</f>
        <v/>
      </c>
      <c r="R8728" s="24" t="str" cm="1">
        <f t="array" ref="R8728">IFERROR(IF($B8728=R$1, ($A8728+$C8728) - MAX(IF($B$2:$B8727=$B8728, $A$2:$A8727+$C$2:$C8727)), "")*24*60, "")</f>
        <v/>
      </c>
      <c r="S8728" s="24" t="str" cm="1">
        <f t="array" ref="S8728">IFERROR(IF($B8728=S$1, ($A8728+$C8728) - MAX(IF($B$2:$B8727=$B8728, $A$2:$A8727+$C$2:$C8727)), "")*24*60, "")</f>
        <v/>
      </c>
    </row>
    <row r="8729" spans="1:19" x14ac:dyDescent="0.2">
      <c r="A8729" s="12">
        <f t="shared" ref="A8729:C8729" si="1418">A8728</f>
        <v>46034</v>
      </c>
      <c r="B8729" s="5" t="str">
        <f t="shared" si="1418"/>
        <v>Northern Cardinal</v>
      </c>
      <c r="C8729" s="6">
        <f t="shared" si="1418"/>
        <v>0.75069444444444444</v>
      </c>
      <c r="D8729" s="5"/>
      <c r="E8729" s="5"/>
      <c r="F8729" s="5" t="s">
        <v>9</v>
      </c>
      <c r="G8729" s="15" t="s">
        <v>8</v>
      </c>
      <c r="H8729" s="24">
        <f t="shared" si="1412"/>
        <v>0</v>
      </c>
      <c r="I8729" s="24" cm="1">
        <f t="array" ref="I8729">IFERROR(IF($B8729=I$1, ($A8729+$C8729) - MAX(IF($B$2:$B8728=$B8729, $A$2:$A8728+$C$2:$C8728)), "")*24*60, "")</f>
        <v>0</v>
      </c>
      <c r="J8729" s="24" t="str" cm="1">
        <f t="array" ref="J8729">IFERROR(IF($B8729=J$1, ($A8729+$C8729) - MAX(IF($B$2:$B8728=$B8729, $A$2:$A8728+$C$2:$C8728)), "")*24*60, "")</f>
        <v/>
      </c>
      <c r="K8729" s="24" t="str" cm="1">
        <f t="array" ref="K8729">IFERROR(IF($B8729=K$1, ($A8729+$C8729) - MAX(IF($B$2:$B8728=$B8729, $A$2:$A8728+$C$2:$C8728)), "")*24*60, "")</f>
        <v/>
      </c>
      <c r="L8729" s="24" t="str" cm="1">
        <f t="array" ref="L8729">IFERROR(IF($B8729=L$1, ($A8729+$C8729) - MAX(IF($B$2:$B8728=$B8729, $A$2:$A8728+$C$2:$C8728)), "")*24*60, "")</f>
        <v/>
      </c>
      <c r="M8729" s="24" t="str" cm="1">
        <f t="array" ref="M8729">IFERROR(IF($B8729=M$1, ($A8729+$C8729) - MAX(IF($B$2:$B8728=$B8729, $A$2:$A8728+$C$2:$C8728)), "")*24*60, "")</f>
        <v/>
      </c>
      <c r="N8729" s="24" t="str" cm="1">
        <f t="array" ref="N8729">IFERROR(IF($B8729=N$1, ($A8729+$C8729) - MAX(IF($B$2:$B8728=$B8729, $A$2:$A8728+$C$2:$C8728)), "")*24*60, "")</f>
        <v/>
      </c>
      <c r="O8729" s="24" t="str" cm="1">
        <f t="array" ref="O8729">IFERROR(IF($B8729=O$1, ($A8729+$C8729) - MAX(IF($B$2:$B8728=$B8729, $A$2:$A8728+$C$2:$C8728)), "")*24*60, "")</f>
        <v/>
      </c>
      <c r="P8729" s="24" t="str" cm="1">
        <f t="array" ref="P8729">IFERROR(IF($B8729=P$1, ($A8729+$C8729) - MAX(IF($B$2:$B8728=$B8729, $A$2:$A8728+$C$2:$C8728)), "")*24*60, "")</f>
        <v/>
      </c>
      <c r="Q8729" s="24" t="str" cm="1">
        <f t="array" ref="Q8729">IFERROR(IF($B8729=Q$1, ($A8729+$C8729) - MAX(IF($B$2:$B8728=$B8729, $A$2:$A8728+$C$2:$C8728)), "")*24*60, "")</f>
        <v/>
      </c>
      <c r="R8729" s="24" t="str" cm="1">
        <f t="array" ref="R8729">IFERROR(IF($B8729=R$1, ($A8729+$C8729) - MAX(IF($B$2:$B8728=$B8729, $A$2:$A8728+$C$2:$C8728)), "")*24*60, "")</f>
        <v/>
      </c>
      <c r="S8729" s="24" t="str" cm="1">
        <f t="array" ref="S8729">IFERROR(IF($B8729=S$1, ($A8729+$C8729) - MAX(IF($B$2:$B8728=$B8729, $A$2:$A8728+$C$2:$C8728)), "")*24*60, "")</f>
        <v/>
      </c>
    </row>
    <row r="8730" spans="1:19" x14ac:dyDescent="0.2">
      <c r="A8730" s="12">
        <f t="shared" ref="A8730:C8730" si="1419">A8729</f>
        <v>46034</v>
      </c>
      <c r="B8730" s="5" t="str">
        <f t="shared" si="1419"/>
        <v>Northern Cardinal</v>
      </c>
      <c r="C8730" s="6">
        <f t="shared" si="1419"/>
        <v>0.75069444444444444</v>
      </c>
      <c r="D8730" s="5"/>
      <c r="E8730" s="5"/>
      <c r="F8730" s="5" t="s">
        <v>9</v>
      </c>
      <c r="G8730" s="15" t="s">
        <v>8</v>
      </c>
      <c r="H8730" s="24">
        <f t="shared" si="1412"/>
        <v>0</v>
      </c>
      <c r="I8730" s="24" cm="1">
        <f t="array" ref="I8730">IFERROR(IF($B8730=I$1, ($A8730+$C8730) - MAX(IF($B$2:$B8729=$B8730, $A$2:$A8729+$C$2:$C8729)), "")*24*60, "")</f>
        <v>0</v>
      </c>
      <c r="J8730" s="24" t="str" cm="1">
        <f t="array" ref="J8730">IFERROR(IF($B8730=J$1, ($A8730+$C8730) - MAX(IF($B$2:$B8729=$B8730, $A$2:$A8729+$C$2:$C8729)), "")*24*60, "")</f>
        <v/>
      </c>
      <c r="K8730" s="24" t="str" cm="1">
        <f t="array" ref="K8730">IFERROR(IF($B8730=K$1, ($A8730+$C8730) - MAX(IF($B$2:$B8729=$B8730, $A$2:$A8729+$C$2:$C8729)), "")*24*60, "")</f>
        <v/>
      </c>
      <c r="L8730" s="24" t="str" cm="1">
        <f t="array" ref="L8730">IFERROR(IF($B8730=L$1, ($A8730+$C8730) - MAX(IF($B$2:$B8729=$B8730, $A$2:$A8729+$C$2:$C8729)), "")*24*60, "")</f>
        <v/>
      </c>
      <c r="M8730" s="24" t="str" cm="1">
        <f t="array" ref="M8730">IFERROR(IF($B8730=M$1, ($A8730+$C8730) - MAX(IF($B$2:$B8729=$B8730, $A$2:$A8729+$C$2:$C8729)), "")*24*60, "")</f>
        <v/>
      </c>
      <c r="N8730" s="24" t="str" cm="1">
        <f t="array" ref="N8730">IFERROR(IF($B8730=N$1, ($A8730+$C8730) - MAX(IF($B$2:$B8729=$B8730, $A$2:$A8729+$C$2:$C8729)), "")*24*60, "")</f>
        <v/>
      </c>
      <c r="O8730" s="24" t="str" cm="1">
        <f t="array" ref="O8730">IFERROR(IF($B8730=O$1, ($A8730+$C8730) - MAX(IF($B$2:$B8729=$B8730, $A$2:$A8729+$C$2:$C8729)), "")*24*60, "")</f>
        <v/>
      </c>
      <c r="P8730" s="24" t="str" cm="1">
        <f t="array" ref="P8730">IFERROR(IF($B8730=P$1, ($A8730+$C8730) - MAX(IF($B$2:$B8729=$B8730, $A$2:$A8729+$C$2:$C8729)), "")*24*60, "")</f>
        <v/>
      </c>
      <c r="Q8730" s="24" t="str" cm="1">
        <f t="array" ref="Q8730">IFERROR(IF($B8730=Q$1, ($A8730+$C8730) - MAX(IF($B$2:$B8729=$B8730, $A$2:$A8729+$C$2:$C8729)), "")*24*60, "")</f>
        <v/>
      </c>
      <c r="R8730" s="24" t="str" cm="1">
        <f t="array" ref="R8730">IFERROR(IF($B8730=R$1, ($A8730+$C8730) - MAX(IF($B$2:$B8729=$B8730, $A$2:$A8729+$C$2:$C8729)), "")*24*60, "")</f>
        <v/>
      </c>
      <c r="S8730" s="24" t="str" cm="1">
        <f t="array" ref="S8730">IFERROR(IF($B8730=S$1, ($A8730+$C8730) - MAX(IF($B$2:$B8729=$B8730, $A$2:$A8729+$C$2:$C8729)), "")*24*60, "")</f>
        <v/>
      </c>
    </row>
    <row r="8731" spans="1:19" x14ac:dyDescent="0.2">
      <c r="A8731" s="12">
        <f t="shared" ref="A8731:C8731" si="1420">A8730</f>
        <v>46034</v>
      </c>
      <c r="B8731" s="5" t="str">
        <f t="shared" si="1420"/>
        <v>Northern Cardinal</v>
      </c>
      <c r="C8731" s="6">
        <f t="shared" si="1420"/>
        <v>0.75069444444444444</v>
      </c>
      <c r="D8731" s="5"/>
      <c r="E8731" s="5"/>
      <c r="F8731" s="5" t="s">
        <v>9</v>
      </c>
      <c r="G8731" s="15" t="s">
        <v>8</v>
      </c>
      <c r="H8731" s="24">
        <f t="shared" si="1412"/>
        <v>0</v>
      </c>
      <c r="I8731" s="24" cm="1">
        <f t="array" ref="I8731">IFERROR(IF($B8731=I$1, ($A8731+$C8731) - MAX(IF($B$2:$B8730=$B8731, $A$2:$A8730+$C$2:$C8730)), "")*24*60, "")</f>
        <v>0</v>
      </c>
      <c r="J8731" s="24" t="str" cm="1">
        <f t="array" ref="J8731">IFERROR(IF($B8731=J$1, ($A8731+$C8731) - MAX(IF($B$2:$B8730=$B8731, $A$2:$A8730+$C$2:$C8730)), "")*24*60, "")</f>
        <v/>
      </c>
      <c r="K8731" s="24" t="str" cm="1">
        <f t="array" ref="K8731">IFERROR(IF($B8731=K$1, ($A8731+$C8731) - MAX(IF($B$2:$B8730=$B8731, $A$2:$A8730+$C$2:$C8730)), "")*24*60, "")</f>
        <v/>
      </c>
      <c r="L8731" s="24" t="str" cm="1">
        <f t="array" ref="L8731">IFERROR(IF($B8731=L$1, ($A8731+$C8731) - MAX(IF($B$2:$B8730=$B8731, $A$2:$A8730+$C$2:$C8730)), "")*24*60, "")</f>
        <v/>
      </c>
      <c r="M8731" s="24" t="str" cm="1">
        <f t="array" ref="M8731">IFERROR(IF($B8731=M$1, ($A8731+$C8731) - MAX(IF($B$2:$B8730=$B8731, $A$2:$A8730+$C$2:$C8730)), "")*24*60, "")</f>
        <v/>
      </c>
      <c r="N8731" s="24" t="str" cm="1">
        <f t="array" ref="N8731">IFERROR(IF($B8731=N$1, ($A8731+$C8731) - MAX(IF($B$2:$B8730=$B8731, $A$2:$A8730+$C$2:$C8730)), "")*24*60, "")</f>
        <v/>
      </c>
      <c r="O8731" s="24" t="str" cm="1">
        <f t="array" ref="O8731">IFERROR(IF($B8731=O$1, ($A8731+$C8731) - MAX(IF($B$2:$B8730=$B8731, $A$2:$A8730+$C$2:$C8730)), "")*24*60, "")</f>
        <v/>
      </c>
      <c r="P8731" s="24" t="str" cm="1">
        <f t="array" ref="P8731">IFERROR(IF($B8731=P$1, ($A8731+$C8731) - MAX(IF($B$2:$B8730=$B8731, $A$2:$A8730+$C$2:$C8730)), "")*24*60, "")</f>
        <v/>
      </c>
      <c r="Q8731" s="24" t="str" cm="1">
        <f t="array" ref="Q8731">IFERROR(IF($B8731=Q$1, ($A8731+$C8731) - MAX(IF($B$2:$B8730=$B8731, $A$2:$A8730+$C$2:$C8730)), "")*24*60, "")</f>
        <v/>
      </c>
      <c r="R8731" s="24" t="str" cm="1">
        <f t="array" ref="R8731">IFERROR(IF($B8731=R$1, ($A8731+$C8731) - MAX(IF($B$2:$B8730=$B8731, $A$2:$A8730+$C$2:$C8730)), "")*24*60, "")</f>
        <v/>
      </c>
      <c r="S8731" s="24" t="str" cm="1">
        <f t="array" ref="S8731">IFERROR(IF($B8731=S$1, ($A8731+$C8731) - MAX(IF($B$2:$B8730=$B8731, $A$2:$A8730+$C$2:$C8730)), "")*24*60, "")</f>
        <v/>
      </c>
    </row>
    <row r="8732" spans="1:19" x14ac:dyDescent="0.2">
      <c r="A8732" s="12">
        <f t="shared" ref="A8732:C8732" si="1421">A8731</f>
        <v>46034</v>
      </c>
      <c r="B8732" s="5" t="str">
        <f t="shared" si="1421"/>
        <v>Northern Cardinal</v>
      </c>
      <c r="C8732" s="6">
        <f t="shared" si="1421"/>
        <v>0.75069444444444444</v>
      </c>
      <c r="D8732" s="5"/>
      <c r="E8732" s="5"/>
      <c r="F8732" s="5" t="s">
        <v>9</v>
      </c>
      <c r="G8732" s="15" t="s">
        <v>8</v>
      </c>
      <c r="H8732" s="24">
        <f t="shared" si="1412"/>
        <v>0</v>
      </c>
      <c r="I8732" s="24" cm="1">
        <f t="array" ref="I8732">IFERROR(IF($B8732=I$1, ($A8732+$C8732) - MAX(IF($B$2:$B8731=$B8732, $A$2:$A8731+$C$2:$C8731)), "")*24*60, "")</f>
        <v>0</v>
      </c>
      <c r="J8732" s="24" t="str" cm="1">
        <f t="array" ref="J8732">IFERROR(IF($B8732=J$1, ($A8732+$C8732) - MAX(IF($B$2:$B8731=$B8732, $A$2:$A8731+$C$2:$C8731)), "")*24*60, "")</f>
        <v/>
      </c>
      <c r="K8732" s="24" t="str" cm="1">
        <f t="array" ref="K8732">IFERROR(IF($B8732=K$1, ($A8732+$C8732) - MAX(IF($B$2:$B8731=$B8732, $A$2:$A8731+$C$2:$C8731)), "")*24*60, "")</f>
        <v/>
      </c>
      <c r="L8732" s="24" t="str" cm="1">
        <f t="array" ref="L8732">IFERROR(IF($B8732=L$1, ($A8732+$C8732) - MAX(IF($B$2:$B8731=$B8732, $A$2:$A8731+$C$2:$C8731)), "")*24*60, "")</f>
        <v/>
      </c>
      <c r="M8732" s="24" t="str" cm="1">
        <f t="array" ref="M8732">IFERROR(IF($B8732=M$1, ($A8732+$C8732) - MAX(IF($B$2:$B8731=$B8732, $A$2:$A8731+$C$2:$C8731)), "")*24*60, "")</f>
        <v/>
      </c>
      <c r="N8732" s="24" t="str" cm="1">
        <f t="array" ref="N8732">IFERROR(IF($B8732=N$1, ($A8732+$C8732) - MAX(IF($B$2:$B8731=$B8732, $A$2:$A8731+$C$2:$C8731)), "")*24*60, "")</f>
        <v/>
      </c>
      <c r="O8732" s="24" t="str" cm="1">
        <f t="array" ref="O8732">IFERROR(IF($B8732=O$1, ($A8732+$C8732) - MAX(IF($B$2:$B8731=$B8732, $A$2:$A8731+$C$2:$C8731)), "")*24*60, "")</f>
        <v/>
      </c>
      <c r="P8732" s="24" t="str" cm="1">
        <f t="array" ref="P8732">IFERROR(IF($B8732=P$1, ($A8732+$C8732) - MAX(IF($B$2:$B8731=$B8732, $A$2:$A8731+$C$2:$C8731)), "")*24*60, "")</f>
        <v/>
      </c>
      <c r="Q8732" s="24" t="str" cm="1">
        <f t="array" ref="Q8732">IFERROR(IF($B8732=Q$1, ($A8732+$C8732) - MAX(IF($B$2:$B8731=$B8732, $A$2:$A8731+$C$2:$C8731)), "")*24*60, "")</f>
        <v/>
      </c>
      <c r="R8732" s="24" t="str" cm="1">
        <f t="array" ref="R8732">IFERROR(IF($B8732=R$1, ($A8732+$C8732) - MAX(IF($B$2:$B8731=$B8732, $A$2:$A8731+$C$2:$C8731)), "")*24*60, "")</f>
        <v/>
      </c>
      <c r="S8732" s="24" t="str" cm="1">
        <f t="array" ref="S8732">IFERROR(IF($B8732=S$1, ($A8732+$C8732) - MAX(IF($B$2:$B8731=$B8732, $A$2:$A8731+$C$2:$C8731)), "")*24*60, "")</f>
        <v/>
      </c>
    </row>
    <row r="8733" spans="1:19" x14ac:dyDescent="0.2">
      <c r="A8733" s="12">
        <f t="shared" ref="A8733:C8733" si="1422">A8732</f>
        <v>46034</v>
      </c>
      <c r="B8733" s="5" t="str">
        <f t="shared" si="1422"/>
        <v>Northern Cardinal</v>
      </c>
      <c r="C8733" s="6">
        <f t="shared" si="1422"/>
        <v>0.75069444444444444</v>
      </c>
      <c r="D8733" s="5"/>
      <c r="E8733" s="5"/>
      <c r="F8733" s="5" t="s">
        <v>9</v>
      </c>
      <c r="G8733" s="15" t="s">
        <v>8</v>
      </c>
      <c r="H8733" s="24">
        <f t="shared" si="1412"/>
        <v>0</v>
      </c>
      <c r="I8733" s="24" cm="1">
        <f t="array" ref="I8733">IFERROR(IF($B8733=I$1, ($A8733+$C8733) - MAX(IF($B$2:$B8732=$B8733, $A$2:$A8732+$C$2:$C8732)), "")*24*60, "")</f>
        <v>0</v>
      </c>
      <c r="J8733" s="24" t="str" cm="1">
        <f t="array" ref="J8733">IFERROR(IF($B8733=J$1, ($A8733+$C8733) - MAX(IF($B$2:$B8732=$B8733, $A$2:$A8732+$C$2:$C8732)), "")*24*60, "")</f>
        <v/>
      </c>
      <c r="K8733" s="24" t="str" cm="1">
        <f t="array" ref="K8733">IFERROR(IF($B8733=K$1, ($A8733+$C8733) - MAX(IF($B$2:$B8732=$B8733, $A$2:$A8732+$C$2:$C8732)), "")*24*60, "")</f>
        <v/>
      </c>
      <c r="L8733" s="24" t="str" cm="1">
        <f t="array" ref="L8733">IFERROR(IF($B8733=L$1, ($A8733+$C8733) - MAX(IF($B$2:$B8732=$B8733, $A$2:$A8732+$C$2:$C8732)), "")*24*60, "")</f>
        <v/>
      </c>
      <c r="M8733" s="24" t="str" cm="1">
        <f t="array" ref="M8733">IFERROR(IF($B8733=M$1, ($A8733+$C8733) - MAX(IF($B$2:$B8732=$B8733, $A$2:$A8732+$C$2:$C8732)), "")*24*60, "")</f>
        <v/>
      </c>
      <c r="N8733" s="24" t="str" cm="1">
        <f t="array" ref="N8733">IFERROR(IF($B8733=N$1, ($A8733+$C8733) - MAX(IF($B$2:$B8732=$B8733, $A$2:$A8732+$C$2:$C8732)), "")*24*60, "")</f>
        <v/>
      </c>
      <c r="O8733" s="24" t="str" cm="1">
        <f t="array" ref="O8733">IFERROR(IF($B8733=O$1, ($A8733+$C8733) - MAX(IF($B$2:$B8732=$B8733, $A$2:$A8732+$C$2:$C8732)), "")*24*60, "")</f>
        <v/>
      </c>
      <c r="P8733" s="24" t="str" cm="1">
        <f t="array" ref="P8733">IFERROR(IF($B8733=P$1, ($A8733+$C8733) - MAX(IF($B$2:$B8732=$B8733, $A$2:$A8732+$C$2:$C8732)), "")*24*60, "")</f>
        <v/>
      </c>
      <c r="Q8733" s="24" t="str" cm="1">
        <f t="array" ref="Q8733">IFERROR(IF($B8733=Q$1, ($A8733+$C8733) - MAX(IF($B$2:$B8732=$B8733, $A$2:$A8732+$C$2:$C8732)), "")*24*60, "")</f>
        <v/>
      </c>
      <c r="R8733" s="24" t="str" cm="1">
        <f t="array" ref="R8733">IFERROR(IF($B8733=R$1, ($A8733+$C8733) - MAX(IF($B$2:$B8732=$B8733, $A$2:$A8732+$C$2:$C8732)), "")*24*60, "")</f>
        <v/>
      </c>
      <c r="S8733" s="24" t="str" cm="1">
        <f t="array" ref="S8733">IFERROR(IF($B8733=S$1, ($A8733+$C8733) - MAX(IF($B$2:$B8732=$B8733, $A$2:$A8732+$C$2:$C8732)), "")*24*60, "")</f>
        <v/>
      </c>
    </row>
    <row r="8734" spans="1:19" x14ac:dyDescent="0.2">
      <c r="A8734" s="12">
        <f t="shared" ref="A8734:C8734" si="1423">A8733</f>
        <v>46034</v>
      </c>
      <c r="B8734" s="5" t="str">
        <f t="shared" si="1423"/>
        <v>Northern Cardinal</v>
      </c>
      <c r="C8734" s="6">
        <f t="shared" si="1423"/>
        <v>0.75069444444444444</v>
      </c>
      <c r="D8734" s="5"/>
      <c r="E8734" s="5"/>
      <c r="F8734" s="5" t="s">
        <v>9</v>
      </c>
      <c r="G8734" s="15" t="s">
        <v>8</v>
      </c>
      <c r="H8734" s="24">
        <f t="shared" si="1412"/>
        <v>0</v>
      </c>
      <c r="I8734" s="24" cm="1">
        <f t="array" ref="I8734">IFERROR(IF($B8734=I$1, ($A8734+$C8734) - MAX(IF($B$2:$B8733=$B8734, $A$2:$A8733+$C$2:$C8733)), "")*24*60, "")</f>
        <v>0</v>
      </c>
      <c r="J8734" s="24" t="str" cm="1">
        <f t="array" ref="J8734">IFERROR(IF($B8734=J$1, ($A8734+$C8734) - MAX(IF($B$2:$B8733=$B8734, $A$2:$A8733+$C$2:$C8733)), "")*24*60, "")</f>
        <v/>
      </c>
      <c r="K8734" s="24" t="str" cm="1">
        <f t="array" ref="K8734">IFERROR(IF($B8734=K$1, ($A8734+$C8734) - MAX(IF($B$2:$B8733=$B8734, $A$2:$A8733+$C$2:$C8733)), "")*24*60, "")</f>
        <v/>
      </c>
      <c r="L8734" s="24" t="str" cm="1">
        <f t="array" ref="L8734">IFERROR(IF($B8734=L$1, ($A8734+$C8734) - MAX(IF($B$2:$B8733=$B8734, $A$2:$A8733+$C$2:$C8733)), "")*24*60, "")</f>
        <v/>
      </c>
      <c r="M8734" s="24" t="str" cm="1">
        <f t="array" ref="M8734">IFERROR(IF($B8734=M$1, ($A8734+$C8734) - MAX(IF($B$2:$B8733=$B8734, $A$2:$A8733+$C$2:$C8733)), "")*24*60, "")</f>
        <v/>
      </c>
      <c r="N8734" s="24" t="str" cm="1">
        <f t="array" ref="N8734">IFERROR(IF($B8734=N$1, ($A8734+$C8734) - MAX(IF($B$2:$B8733=$B8734, $A$2:$A8733+$C$2:$C8733)), "")*24*60, "")</f>
        <v/>
      </c>
      <c r="O8734" s="24" t="str" cm="1">
        <f t="array" ref="O8734">IFERROR(IF($B8734=O$1, ($A8734+$C8734) - MAX(IF($B$2:$B8733=$B8734, $A$2:$A8733+$C$2:$C8733)), "")*24*60, "")</f>
        <v/>
      </c>
      <c r="P8734" s="24" t="str" cm="1">
        <f t="array" ref="P8734">IFERROR(IF($B8734=P$1, ($A8734+$C8734) - MAX(IF($B$2:$B8733=$B8734, $A$2:$A8733+$C$2:$C8733)), "")*24*60, "")</f>
        <v/>
      </c>
      <c r="Q8734" s="24" t="str" cm="1">
        <f t="array" ref="Q8734">IFERROR(IF($B8734=Q$1, ($A8734+$C8734) - MAX(IF($B$2:$B8733=$B8734, $A$2:$A8733+$C$2:$C8733)), "")*24*60, "")</f>
        <v/>
      </c>
      <c r="R8734" s="24" t="str" cm="1">
        <f t="array" ref="R8734">IFERROR(IF($B8734=R$1, ($A8734+$C8734) - MAX(IF($B$2:$B8733=$B8734, $A$2:$A8733+$C$2:$C8733)), "")*24*60, "")</f>
        <v/>
      </c>
      <c r="S8734" s="24" t="str" cm="1">
        <f t="array" ref="S8734">IFERROR(IF($B8734=S$1, ($A8734+$C8734) - MAX(IF($B$2:$B8733=$B8734, $A$2:$A8733+$C$2:$C8733)), "")*24*60, "")</f>
        <v/>
      </c>
    </row>
    <row r="8735" spans="1:19" x14ac:dyDescent="0.2">
      <c r="A8735" s="12">
        <f t="shared" ref="A8735:C8735" si="1424">A8734</f>
        <v>46034</v>
      </c>
      <c r="B8735" s="5" t="str">
        <f t="shared" si="1424"/>
        <v>Northern Cardinal</v>
      </c>
      <c r="C8735" s="6">
        <f t="shared" si="1424"/>
        <v>0.75069444444444444</v>
      </c>
      <c r="D8735" s="5"/>
      <c r="E8735" s="5"/>
      <c r="F8735" s="5" t="s">
        <v>9</v>
      </c>
      <c r="G8735" s="15" t="s">
        <v>8</v>
      </c>
      <c r="H8735" s="24">
        <f t="shared" si="1412"/>
        <v>0</v>
      </c>
      <c r="I8735" s="24" cm="1">
        <f t="array" ref="I8735">IFERROR(IF($B8735=I$1, ($A8735+$C8735) - MAX(IF($B$2:$B8734=$B8735, $A$2:$A8734+$C$2:$C8734)), "")*24*60, "")</f>
        <v>0</v>
      </c>
      <c r="J8735" s="24" t="str" cm="1">
        <f t="array" ref="J8735">IFERROR(IF($B8735=J$1, ($A8735+$C8735) - MAX(IF($B$2:$B8734=$B8735, $A$2:$A8734+$C$2:$C8734)), "")*24*60, "")</f>
        <v/>
      </c>
      <c r="K8735" s="24" t="str" cm="1">
        <f t="array" ref="K8735">IFERROR(IF($B8735=K$1, ($A8735+$C8735) - MAX(IF($B$2:$B8734=$B8735, $A$2:$A8734+$C$2:$C8734)), "")*24*60, "")</f>
        <v/>
      </c>
      <c r="L8735" s="24" t="str" cm="1">
        <f t="array" ref="L8735">IFERROR(IF($B8735=L$1, ($A8735+$C8735) - MAX(IF($B$2:$B8734=$B8735, $A$2:$A8734+$C$2:$C8734)), "")*24*60, "")</f>
        <v/>
      </c>
      <c r="M8735" s="24" t="str" cm="1">
        <f t="array" ref="M8735">IFERROR(IF($B8735=M$1, ($A8735+$C8735) - MAX(IF($B$2:$B8734=$B8735, $A$2:$A8734+$C$2:$C8734)), "")*24*60, "")</f>
        <v/>
      </c>
      <c r="N8735" s="24" t="str" cm="1">
        <f t="array" ref="N8735">IFERROR(IF($B8735=N$1, ($A8735+$C8735) - MAX(IF($B$2:$B8734=$B8735, $A$2:$A8734+$C$2:$C8734)), "")*24*60, "")</f>
        <v/>
      </c>
      <c r="O8735" s="24" t="str" cm="1">
        <f t="array" ref="O8735">IFERROR(IF($B8735=O$1, ($A8735+$C8735) - MAX(IF($B$2:$B8734=$B8735, $A$2:$A8734+$C$2:$C8734)), "")*24*60, "")</f>
        <v/>
      </c>
      <c r="P8735" s="24" t="str" cm="1">
        <f t="array" ref="P8735">IFERROR(IF($B8735=P$1, ($A8735+$C8735) - MAX(IF($B$2:$B8734=$B8735, $A$2:$A8734+$C$2:$C8734)), "")*24*60, "")</f>
        <v/>
      </c>
      <c r="Q8735" s="24" t="str" cm="1">
        <f t="array" ref="Q8735">IFERROR(IF($B8735=Q$1, ($A8735+$C8735) - MAX(IF($B$2:$B8734=$B8735, $A$2:$A8734+$C$2:$C8734)), "")*24*60, "")</f>
        <v/>
      </c>
      <c r="R8735" s="24" t="str" cm="1">
        <f t="array" ref="R8735">IFERROR(IF($B8735=R$1, ($A8735+$C8735) - MAX(IF($B$2:$B8734=$B8735, $A$2:$A8734+$C$2:$C8734)), "")*24*60, "")</f>
        <v/>
      </c>
      <c r="S8735" s="24" t="str" cm="1">
        <f t="array" ref="S8735">IFERROR(IF($B8735=S$1, ($A8735+$C8735) - MAX(IF($B$2:$B8734=$B8735, $A$2:$A8734+$C$2:$C8734)), "")*24*60, "")</f>
        <v/>
      </c>
    </row>
    <row r="8736" spans="1:19" x14ac:dyDescent="0.2">
      <c r="A8736" s="12">
        <f t="shared" ref="A8736:C8736" si="1425">A8735</f>
        <v>46034</v>
      </c>
      <c r="B8736" s="5" t="str">
        <f t="shared" si="1425"/>
        <v>Northern Cardinal</v>
      </c>
      <c r="C8736" s="6">
        <f t="shared" si="1425"/>
        <v>0.75069444444444444</v>
      </c>
      <c r="D8736" s="5"/>
      <c r="E8736" s="5"/>
      <c r="F8736" s="5" t="s">
        <v>9</v>
      </c>
      <c r="G8736" s="15" t="s">
        <v>8</v>
      </c>
      <c r="H8736" s="24">
        <f t="shared" si="1412"/>
        <v>0</v>
      </c>
      <c r="I8736" s="24" cm="1">
        <f t="array" ref="I8736">IFERROR(IF($B8736=I$1, ($A8736+$C8736) - MAX(IF($B$2:$B8735=$B8736, $A$2:$A8735+$C$2:$C8735)), "")*24*60, "")</f>
        <v>0</v>
      </c>
      <c r="J8736" s="24" t="str" cm="1">
        <f t="array" ref="J8736">IFERROR(IF($B8736=J$1, ($A8736+$C8736) - MAX(IF($B$2:$B8735=$B8736, $A$2:$A8735+$C$2:$C8735)), "")*24*60, "")</f>
        <v/>
      </c>
      <c r="K8736" s="24" t="str" cm="1">
        <f t="array" ref="K8736">IFERROR(IF($B8736=K$1, ($A8736+$C8736) - MAX(IF($B$2:$B8735=$B8736, $A$2:$A8735+$C$2:$C8735)), "")*24*60, "")</f>
        <v/>
      </c>
      <c r="L8736" s="24" t="str" cm="1">
        <f t="array" ref="L8736">IFERROR(IF($B8736=L$1, ($A8736+$C8736) - MAX(IF($B$2:$B8735=$B8736, $A$2:$A8735+$C$2:$C8735)), "")*24*60, "")</f>
        <v/>
      </c>
      <c r="M8736" s="24" t="str" cm="1">
        <f t="array" ref="M8736">IFERROR(IF($B8736=M$1, ($A8736+$C8736) - MAX(IF($B$2:$B8735=$B8736, $A$2:$A8735+$C$2:$C8735)), "")*24*60, "")</f>
        <v/>
      </c>
      <c r="N8736" s="24" t="str" cm="1">
        <f t="array" ref="N8736">IFERROR(IF($B8736=N$1, ($A8736+$C8736) - MAX(IF($B$2:$B8735=$B8736, $A$2:$A8735+$C$2:$C8735)), "")*24*60, "")</f>
        <v/>
      </c>
      <c r="O8736" s="24" t="str" cm="1">
        <f t="array" ref="O8736">IFERROR(IF($B8736=O$1, ($A8736+$C8736) - MAX(IF($B$2:$B8735=$B8736, $A$2:$A8735+$C$2:$C8735)), "")*24*60, "")</f>
        <v/>
      </c>
      <c r="P8736" s="24" t="str" cm="1">
        <f t="array" ref="P8736">IFERROR(IF($B8736=P$1, ($A8736+$C8736) - MAX(IF($B$2:$B8735=$B8736, $A$2:$A8735+$C$2:$C8735)), "")*24*60, "")</f>
        <v/>
      </c>
      <c r="Q8736" s="24" t="str" cm="1">
        <f t="array" ref="Q8736">IFERROR(IF($B8736=Q$1, ($A8736+$C8736) - MAX(IF($B$2:$B8735=$B8736, $A$2:$A8735+$C$2:$C8735)), "")*24*60, "")</f>
        <v/>
      </c>
      <c r="R8736" s="24" t="str" cm="1">
        <f t="array" ref="R8736">IFERROR(IF($B8736=R$1, ($A8736+$C8736) - MAX(IF($B$2:$B8735=$B8736, $A$2:$A8735+$C$2:$C8735)), "")*24*60, "")</f>
        <v/>
      </c>
      <c r="S8736" s="24" t="str" cm="1">
        <f t="array" ref="S8736">IFERROR(IF($B8736=S$1, ($A8736+$C8736) - MAX(IF($B$2:$B8735=$B8736, $A$2:$A8735+$C$2:$C8735)), "")*24*60, "")</f>
        <v/>
      </c>
    </row>
    <row r="8737" spans="1:19" x14ac:dyDescent="0.2">
      <c r="A8737" s="12">
        <f t="shared" ref="A8737:C8737" si="1426">A8736</f>
        <v>46034</v>
      </c>
      <c r="B8737" s="5" t="str">
        <f t="shared" si="1426"/>
        <v>Northern Cardinal</v>
      </c>
      <c r="C8737" s="6">
        <f t="shared" si="1426"/>
        <v>0.75069444444444444</v>
      </c>
      <c r="D8737" s="5"/>
      <c r="E8737" s="5"/>
      <c r="F8737" s="5" t="s">
        <v>9</v>
      </c>
      <c r="G8737" s="15" t="s">
        <v>8</v>
      </c>
      <c r="H8737" s="24">
        <f t="shared" si="1412"/>
        <v>0</v>
      </c>
      <c r="I8737" s="24" cm="1">
        <f t="array" ref="I8737">IFERROR(IF($B8737=I$1, ($A8737+$C8737) - MAX(IF($B$2:$B8736=$B8737, $A$2:$A8736+$C$2:$C8736)), "")*24*60, "")</f>
        <v>0</v>
      </c>
      <c r="J8737" s="24" t="str" cm="1">
        <f t="array" ref="J8737">IFERROR(IF($B8737=J$1, ($A8737+$C8737) - MAX(IF($B$2:$B8736=$B8737, $A$2:$A8736+$C$2:$C8736)), "")*24*60, "")</f>
        <v/>
      </c>
      <c r="K8737" s="24" t="str" cm="1">
        <f t="array" ref="K8737">IFERROR(IF($B8737=K$1, ($A8737+$C8737) - MAX(IF($B$2:$B8736=$B8737, $A$2:$A8736+$C$2:$C8736)), "")*24*60, "")</f>
        <v/>
      </c>
      <c r="L8737" s="24" t="str" cm="1">
        <f t="array" ref="L8737">IFERROR(IF($B8737=L$1, ($A8737+$C8737) - MAX(IF($B$2:$B8736=$B8737, $A$2:$A8736+$C$2:$C8736)), "")*24*60, "")</f>
        <v/>
      </c>
      <c r="M8737" s="24" t="str" cm="1">
        <f t="array" ref="M8737">IFERROR(IF($B8737=M$1, ($A8737+$C8737) - MAX(IF($B$2:$B8736=$B8737, $A$2:$A8736+$C$2:$C8736)), "")*24*60, "")</f>
        <v/>
      </c>
      <c r="N8737" s="24" t="str" cm="1">
        <f t="array" ref="N8737">IFERROR(IF($B8737=N$1, ($A8737+$C8737) - MAX(IF($B$2:$B8736=$B8737, $A$2:$A8736+$C$2:$C8736)), "")*24*60, "")</f>
        <v/>
      </c>
      <c r="O8737" s="24" t="str" cm="1">
        <f t="array" ref="O8737">IFERROR(IF($B8737=O$1, ($A8737+$C8737) - MAX(IF($B$2:$B8736=$B8737, $A$2:$A8736+$C$2:$C8736)), "")*24*60, "")</f>
        <v/>
      </c>
      <c r="P8737" s="24" t="str" cm="1">
        <f t="array" ref="P8737">IFERROR(IF($B8737=P$1, ($A8737+$C8737) - MAX(IF($B$2:$B8736=$B8737, $A$2:$A8736+$C$2:$C8736)), "")*24*60, "")</f>
        <v/>
      </c>
      <c r="Q8737" s="24" t="str" cm="1">
        <f t="array" ref="Q8737">IFERROR(IF($B8737=Q$1, ($A8737+$C8737) - MAX(IF($B$2:$B8736=$B8737, $A$2:$A8736+$C$2:$C8736)), "")*24*60, "")</f>
        <v/>
      </c>
      <c r="R8737" s="24" t="str" cm="1">
        <f t="array" ref="R8737">IFERROR(IF($B8737=R$1, ($A8737+$C8737) - MAX(IF($B$2:$B8736=$B8737, $A$2:$A8736+$C$2:$C8736)), "")*24*60, "")</f>
        <v/>
      </c>
      <c r="S8737" s="24" t="str" cm="1">
        <f t="array" ref="S8737">IFERROR(IF($B8737=S$1, ($A8737+$C8737) - MAX(IF($B$2:$B8736=$B8737, $A$2:$A8736+$C$2:$C8736)), "")*24*60, "")</f>
        <v/>
      </c>
    </row>
    <row r="8738" spans="1:19" x14ac:dyDescent="0.2">
      <c r="A8738" s="12">
        <f t="shared" ref="A8738:C8738" si="1427">A8737</f>
        <v>46034</v>
      </c>
      <c r="B8738" s="5" t="str">
        <f t="shared" si="1427"/>
        <v>Northern Cardinal</v>
      </c>
      <c r="C8738" s="6">
        <f t="shared" si="1427"/>
        <v>0.75069444444444444</v>
      </c>
      <c r="D8738" s="5"/>
      <c r="E8738" s="5"/>
      <c r="F8738" s="5" t="s">
        <v>9</v>
      </c>
      <c r="G8738" s="15" t="s">
        <v>8</v>
      </c>
      <c r="H8738" s="24">
        <f t="shared" si="1412"/>
        <v>0</v>
      </c>
      <c r="I8738" s="24" cm="1">
        <f t="array" ref="I8738">IFERROR(IF($B8738=I$1, ($A8738+$C8738) - MAX(IF($B$2:$B8737=$B8738, $A$2:$A8737+$C$2:$C8737)), "")*24*60, "")</f>
        <v>0</v>
      </c>
      <c r="J8738" s="24" t="str" cm="1">
        <f t="array" ref="J8738">IFERROR(IF($B8738=J$1, ($A8738+$C8738) - MAX(IF($B$2:$B8737=$B8738, $A$2:$A8737+$C$2:$C8737)), "")*24*60, "")</f>
        <v/>
      </c>
      <c r="K8738" s="24" t="str" cm="1">
        <f t="array" ref="K8738">IFERROR(IF($B8738=K$1, ($A8738+$C8738) - MAX(IF($B$2:$B8737=$B8738, $A$2:$A8737+$C$2:$C8737)), "")*24*60, "")</f>
        <v/>
      </c>
      <c r="L8738" s="24" t="str" cm="1">
        <f t="array" ref="L8738">IFERROR(IF($B8738=L$1, ($A8738+$C8738) - MAX(IF($B$2:$B8737=$B8738, $A$2:$A8737+$C$2:$C8737)), "")*24*60, "")</f>
        <v/>
      </c>
      <c r="M8738" s="24" t="str" cm="1">
        <f t="array" ref="M8738">IFERROR(IF($B8738=M$1, ($A8738+$C8738) - MAX(IF($B$2:$B8737=$B8738, $A$2:$A8737+$C$2:$C8737)), "")*24*60, "")</f>
        <v/>
      </c>
      <c r="N8738" s="24" t="str" cm="1">
        <f t="array" ref="N8738">IFERROR(IF($B8738=N$1, ($A8738+$C8738) - MAX(IF($B$2:$B8737=$B8738, $A$2:$A8737+$C$2:$C8737)), "")*24*60, "")</f>
        <v/>
      </c>
      <c r="O8738" s="24" t="str" cm="1">
        <f t="array" ref="O8738">IFERROR(IF($B8738=O$1, ($A8738+$C8738) - MAX(IF($B$2:$B8737=$B8738, $A$2:$A8737+$C$2:$C8737)), "")*24*60, "")</f>
        <v/>
      </c>
      <c r="P8738" s="24" t="str" cm="1">
        <f t="array" ref="P8738">IFERROR(IF($B8738=P$1, ($A8738+$C8738) - MAX(IF($B$2:$B8737=$B8738, $A$2:$A8737+$C$2:$C8737)), "")*24*60, "")</f>
        <v/>
      </c>
      <c r="Q8738" s="24" t="str" cm="1">
        <f t="array" ref="Q8738">IFERROR(IF($B8738=Q$1, ($A8738+$C8738) - MAX(IF($B$2:$B8737=$B8738, $A$2:$A8737+$C$2:$C8737)), "")*24*60, "")</f>
        <v/>
      </c>
      <c r="R8738" s="24" t="str" cm="1">
        <f t="array" ref="R8738">IFERROR(IF($B8738=R$1, ($A8738+$C8738) - MAX(IF($B$2:$B8737=$B8738, $A$2:$A8737+$C$2:$C8737)), "")*24*60, "")</f>
        <v/>
      </c>
      <c r="S8738" s="24" t="str" cm="1">
        <f t="array" ref="S8738">IFERROR(IF($B8738=S$1, ($A8738+$C8738) - MAX(IF($B$2:$B8737=$B8738, $A$2:$A8737+$C$2:$C8737)), "")*24*60, "")</f>
        <v/>
      </c>
    </row>
    <row r="8739" spans="1:19" x14ac:dyDescent="0.2">
      <c r="A8739" s="12">
        <f t="shared" ref="A8739:C8739" si="1428">A8738</f>
        <v>46034</v>
      </c>
      <c r="B8739" s="5" t="str">
        <f t="shared" si="1428"/>
        <v>Northern Cardinal</v>
      </c>
      <c r="C8739" s="6">
        <f t="shared" si="1428"/>
        <v>0.75069444444444444</v>
      </c>
      <c r="D8739" s="5"/>
      <c r="E8739" s="5"/>
      <c r="F8739" s="5" t="s">
        <v>9</v>
      </c>
      <c r="G8739" s="15" t="s">
        <v>8</v>
      </c>
      <c r="H8739" s="24">
        <f t="shared" si="1412"/>
        <v>0</v>
      </c>
      <c r="I8739" s="24" cm="1">
        <f t="array" ref="I8739">IFERROR(IF($B8739=I$1, ($A8739+$C8739) - MAX(IF($B$2:$B8738=$B8739, $A$2:$A8738+$C$2:$C8738)), "")*24*60, "")</f>
        <v>0</v>
      </c>
      <c r="J8739" s="24" t="str" cm="1">
        <f t="array" ref="J8739">IFERROR(IF($B8739=J$1, ($A8739+$C8739) - MAX(IF($B$2:$B8738=$B8739, $A$2:$A8738+$C$2:$C8738)), "")*24*60, "")</f>
        <v/>
      </c>
      <c r="K8739" s="24" t="str" cm="1">
        <f t="array" ref="K8739">IFERROR(IF($B8739=K$1, ($A8739+$C8739) - MAX(IF($B$2:$B8738=$B8739, $A$2:$A8738+$C$2:$C8738)), "")*24*60, "")</f>
        <v/>
      </c>
      <c r="L8739" s="24" t="str" cm="1">
        <f t="array" ref="L8739">IFERROR(IF($B8739=L$1, ($A8739+$C8739) - MAX(IF($B$2:$B8738=$B8739, $A$2:$A8738+$C$2:$C8738)), "")*24*60, "")</f>
        <v/>
      </c>
      <c r="M8739" s="24" t="str" cm="1">
        <f t="array" ref="M8739">IFERROR(IF($B8739=M$1, ($A8739+$C8739) - MAX(IF($B$2:$B8738=$B8739, $A$2:$A8738+$C$2:$C8738)), "")*24*60, "")</f>
        <v/>
      </c>
      <c r="N8739" s="24" t="str" cm="1">
        <f t="array" ref="N8739">IFERROR(IF($B8739=N$1, ($A8739+$C8739) - MAX(IF($B$2:$B8738=$B8739, $A$2:$A8738+$C$2:$C8738)), "")*24*60, "")</f>
        <v/>
      </c>
      <c r="O8739" s="24" t="str" cm="1">
        <f t="array" ref="O8739">IFERROR(IF($B8739=O$1, ($A8739+$C8739) - MAX(IF($B$2:$B8738=$B8739, $A$2:$A8738+$C$2:$C8738)), "")*24*60, "")</f>
        <v/>
      </c>
      <c r="P8739" s="24" t="str" cm="1">
        <f t="array" ref="P8739">IFERROR(IF($B8739=P$1, ($A8739+$C8739) - MAX(IF($B$2:$B8738=$B8739, $A$2:$A8738+$C$2:$C8738)), "")*24*60, "")</f>
        <v/>
      </c>
      <c r="Q8739" s="24" t="str" cm="1">
        <f t="array" ref="Q8739">IFERROR(IF($B8739=Q$1, ($A8739+$C8739) - MAX(IF($B$2:$B8738=$B8739, $A$2:$A8738+$C$2:$C8738)), "")*24*60, "")</f>
        <v/>
      </c>
      <c r="R8739" s="24" t="str" cm="1">
        <f t="array" ref="R8739">IFERROR(IF($B8739=R$1, ($A8739+$C8739) - MAX(IF($B$2:$B8738=$B8739, $A$2:$A8738+$C$2:$C8738)), "")*24*60, "")</f>
        <v/>
      </c>
      <c r="S8739" s="24" t="str" cm="1">
        <f t="array" ref="S8739">IFERROR(IF($B8739=S$1, ($A8739+$C8739) - MAX(IF($B$2:$B8738=$B8739, $A$2:$A8738+$C$2:$C8738)), "")*24*60, "")</f>
        <v/>
      </c>
    </row>
    <row r="8740" spans="1:19" x14ac:dyDescent="0.2">
      <c r="A8740" s="12">
        <f t="shared" ref="A8740:C8740" si="1429">A8739</f>
        <v>46034</v>
      </c>
      <c r="B8740" s="5" t="str">
        <f t="shared" si="1429"/>
        <v>Northern Cardinal</v>
      </c>
      <c r="C8740" s="6">
        <f t="shared" si="1429"/>
        <v>0.75069444444444444</v>
      </c>
      <c r="D8740" s="5"/>
      <c r="E8740" s="5"/>
      <c r="F8740" s="5" t="s">
        <v>9</v>
      </c>
      <c r="G8740" s="15" t="s">
        <v>8</v>
      </c>
      <c r="H8740" s="24">
        <f t="shared" si="1412"/>
        <v>0</v>
      </c>
      <c r="I8740" s="24" cm="1">
        <f t="array" ref="I8740">IFERROR(IF($B8740=I$1, ($A8740+$C8740) - MAX(IF($B$2:$B8739=$B8740, $A$2:$A8739+$C$2:$C8739)), "")*24*60, "")</f>
        <v>0</v>
      </c>
      <c r="J8740" s="24" t="str" cm="1">
        <f t="array" ref="J8740">IFERROR(IF($B8740=J$1, ($A8740+$C8740) - MAX(IF($B$2:$B8739=$B8740, $A$2:$A8739+$C$2:$C8739)), "")*24*60, "")</f>
        <v/>
      </c>
      <c r="K8740" s="24" t="str" cm="1">
        <f t="array" ref="K8740">IFERROR(IF($B8740=K$1, ($A8740+$C8740) - MAX(IF($B$2:$B8739=$B8740, $A$2:$A8739+$C$2:$C8739)), "")*24*60, "")</f>
        <v/>
      </c>
      <c r="L8740" s="24" t="str" cm="1">
        <f t="array" ref="L8740">IFERROR(IF($B8740=L$1, ($A8740+$C8740) - MAX(IF($B$2:$B8739=$B8740, $A$2:$A8739+$C$2:$C8739)), "")*24*60, "")</f>
        <v/>
      </c>
      <c r="M8740" s="24" t="str" cm="1">
        <f t="array" ref="M8740">IFERROR(IF($B8740=M$1, ($A8740+$C8740) - MAX(IF($B$2:$B8739=$B8740, $A$2:$A8739+$C$2:$C8739)), "")*24*60, "")</f>
        <v/>
      </c>
      <c r="N8740" s="24" t="str" cm="1">
        <f t="array" ref="N8740">IFERROR(IF($B8740=N$1, ($A8740+$C8740) - MAX(IF($B$2:$B8739=$B8740, $A$2:$A8739+$C$2:$C8739)), "")*24*60, "")</f>
        <v/>
      </c>
      <c r="O8740" s="24" t="str" cm="1">
        <f t="array" ref="O8740">IFERROR(IF($B8740=O$1, ($A8740+$C8740) - MAX(IF($B$2:$B8739=$B8740, $A$2:$A8739+$C$2:$C8739)), "")*24*60, "")</f>
        <v/>
      </c>
      <c r="P8740" s="24" t="str" cm="1">
        <f t="array" ref="P8740">IFERROR(IF($B8740=P$1, ($A8740+$C8740) - MAX(IF($B$2:$B8739=$B8740, $A$2:$A8739+$C$2:$C8739)), "")*24*60, "")</f>
        <v/>
      </c>
      <c r="Q8740" s="24" t="str" cm="1">
        <f t="array" ref="Q8740">IFERROR(IF($B8740=Q$1, ($A8740+$C8740) - MAX(IF($B$2:$B8739=$B8740, $A$2:$A8739+$C$2:$C8739)), "")*24*60, "")</f>
        <v/>
      </c>
      <c r="R8740" s="24" t="str" cm="1">
        <f t="array" ref="R8740">IFERROR(IF($B8740=R$1, ($A8740+$C8740) - MAX(IF($B$2:$B8739=$B8740, $A$2:$A8739+$C$2:$C8739)), "")*24*60, "")</f>
        <v/>
      </c>
      <c r="S8740" s="24" t="str" cm="1">
        <f t="array" ref="S8740">IFERROR(IF($B8740=S$1, ($A8740+$C8740) - MAX(IF($B$2:$B8739=$B8740, $A$2:$A8739+$C$2:$C8739)), "")*24*60, "")</f>
        <v/>
      </c>
    </row>
    <row r="8741" spans="1:19" x14ac:dyDescent="0.2">
      <c r="A8741" s="12">
        <f t="shared" ref="A8741:C8741" si="1430">A8740</f>
        <v>46034</v>
      </c>
      <c r="B8741" s="5" t="str">
        <f t="shared" si="1430"/>
        <v>Northern Cardinal</v>
      </c>
      <c r="C8741" s="6">
        <f t="shared" si="1430"/>
        <v>0.75069444444444444</v>
      </c>
      <c r="D8741" s="5"/>
      <c r="E8741" s="5"/>
      <c r="F8741" s="5" t="s">
        <v>9</v>
      </c>
      <c r="G8741" s="15" t="s">
        <v>8</v>
      </c>
      <c r="H8741" s="24">
        <f t="shared" si="1412"/>
        <v>0</v>
      </c>
      <c r="I8741" s="24" cm="1">
        <f t="array" ref="I8741">IFERROR(IF($B8741=I$1, ($A8741+$C8741) - MAX(IF($B$2:$B8740=$B8741, $A$2:$A8740+$C$2:$C8740)), "")*24*60, "")</f>
        <v>0</v>
      </c>
      <c r="J8741" s="24" t="str" cm="1">
        <f t="array" ref="J8741">IFERROR(IF($B8741=J$1, ($A8741+$C8741) - MAX(IF($B$2:$B8740=$B8741, $A$2:$A8740+$C$2:$C8740)), "")*24*60, "")</f>
        <v/>
      </c>
      <c r="K8741" s="24" t="str" cm="1">
        <f t="array" ref="K8741">IFERROR(IF($B8741=K$1, ($A8741+$C8741) - MAX(IF($B$2:$B8740=$B8741, $A$2:$A8740+$C$2:$C8740)), "")*24*60, "")</f>
        <v/>
      </c>
      <c r="L8741" s="24" t="str" cm="1">
        <f t="array" ref="L8741">IFERROR(IF($B8741=L$1, ($A8741+$C8741) - MAX(IF($B$2:$B8740=$B8741, $A$2:$A8740+$C$2:$C8740)), "")*24*60, "")</f>
        <v/>
      </c>
      <c r="M8741" s="24" t="str" cm="1">
        <f t="array" ref="M8741">IFERROR(IF($B8741=M$1, ($A8741+$C8741) - MAX(IF($B$2:$B8740=$B8741, $A$2:$A8740+$C$2:$C8740)), "")*24*60, "")</f>
        <v/>
      </c>
      <c r="N8741" s="24" t="str" cm="1">
        <f t="array" ref="N8741">IFERROR(IF($B8741=N$1, ($A8741+$C8741) - MAX(IF($B$2:$B8740=$B8741, $A$2:$A8740+$C$2:$C8740)), "")*24*60, "")</f>
        <v/>
      </c>
      <c r="O8741" s="24" t="str" cm="1">
        <f t="array" ref="O8741">IFERROR(IF($B8741=O$1, ($A8741+$C8741) - MAX(IF($B$2:$B8740=$B8741, $A$2:$A8740+$C$2:$C8740)), "")*24*60, "")</f>
        <v/>
      </c>
      <c r="P8741" s="24" t="str" cm="1">
        <f t="array" ref="P8741">IFERROR(IF($B8741=P$1, ($A8741+$C8741) - MAX(IF($B$2:$B8740=$B8741, $A$2:$A8740+$C$2:$C8740)), "")*24*60, "")</f>
        <v/>
      </c>
      <c r="Q8741" s="24" t="str" cm="1">
        <f t="array" ref="Q8741">IFERROR(IF($B8741=Q$1, ($A8741+$C8741) - MAX(IF($B$2:$B8740=$B8741, $A$2:$A8740+$C$2:$C8740)), "")*24*60, "")</f>
        <v/>
      </c>
      <c r="R8741" s="24" t="str" cm="1">
        <f t="array" ref="R8741">IFERROR(IF($B8741=R$1, ($A8741+$C8741) - MAX(IF($B$2:$B8740=$B8741, $A$2:$A8740+$C$2:$C8740)), "")*24*60, "")</f>
        <v/>
      </c>
      <c r="S8741" s="24" t="str" cm="1">
        <f t="array" ref="S8741">IFERROR(IF($B8741=S$1, ($A8741+$C8741) - MAX(IF($B$2:$B8740=$B8741, $A$2:$A8740+$C$2:$C8740)), "")*24*60, "")</f>
        <v/>
      </c>
    </row>
    <row r="8742" spans="1:19" x14ac:dyDescent="0.2">
      <c r="A8742" s="12">
        <f t="shared" ref="A8742:C8742" si="1431">A8741</f>
        <v>46034</v>
      </c>
      <c r="B8742" s="5" t="str">
        <f t="shared" si="1431"/>
        <v>Northern Cardinal</v>
      </c>
      <c r="C8742" s="6">
        <f t="shared" si="1431"/>
        <v>0.75069444444444444</v>
      </c>
      <c r="D8742" s="5"/>
      <c r="E8742" s="5"/>
      <c r="F8742" s="5" t="s">
        <v>9</v>
      </c>
      <c r="G8742" s="15" t="s">
        <v>8</v>
      </c>
      <c r="H8742" s="24">
        <f t="shared" si="1412"/>
        <v>0</v>
      </c>
      <c r="I8742" s="24" cm="1">
        <f t="array" ref="I8742">IFERROR(IF($B8742=I$1, ($A8742+$C8742) - MAX(IF($B$2:$B8741=$B8742, $A$2:$A8741+$C$2:$C8741)), "")*24*60, "")</f>
        <v>0</v>
      </c>
      <c r="J8742" s="24" t="str" cm="1">
        <f t="array" ref="J8742">IFERROR(IF($B8742=J$1, ($A8742+$C8742) - MAX(IF($B$2:$B8741=$B8742, $A$2:$A8741+$C$2:$C8741)), "")*24*60, "")</f>
        <v/>
      </c>
      <c r="K8742" s="24" t="str" cm="1">
        <f t="array" ref="K8742">IFERROR(IF($B8742=K$1, ($A8742+$C8742) - MAX(IF($B$2:$B8741=$B8742, $A$2:$A8741+$C$2:$C8741)), "")*24*60, "")</f>
        <v/>
      </c>
      <c r="L8742" s="24" t="str" cm="1">
        <f t="array" ref="L8742">IFERROR(IF($B8742=L$1, ($A8742+$C8742) - MAX(IF($B$2:$B8741=$B8742, $A$2:$A8741+$C$2:$C8741)), "")*24*60, "")</f>
        <v/>
      </c>
      <c r="M8742" s="24" t="str" cm="1">
        <f t="array" ref="M8742">IFERROR(IF($B8742=M$1, ($A8742+$C8742) - MAX(IF($B$2:$B8741=$B8742, $A$2:$A8741+$C$2:$C8741)), "")*24*60, "")</f>
        <v/>
      </c>
      <c r="N8742" s="24" t="str" cm="1">
        <f t="array" ref="N8742">IFERROR(IF($B8742=N$1, ($A8742+$C8742) - MAX(IF($B$2:$B8741=$B8742, $A$2:$A8741+$C$2:$C8741)), "")*24*60, "")</f>
        <v/>
      </c>
      <c r="O8742" s="24" t="str" cm="1">
        <f t="array" ref="O8742">IFERROR(IF($B8742=O$1, ($A8742+$C8742) - MAX(IF($B$2:$B8741=$B8742, $A$2:$A8741+$C$2:$C8741)), "")*24*60, "")</f>
        <v/>
      </c>
      <c r="P8742" s="24" t="str" cm="1">
        <f t="array" ref="P8742">IFERROR(IF($B8742=P$1, ($A8742+$C8742) - MAX(IF($B$2:$B8741=$B8742, $A$2:$A8741+$C$2:$C8741)), "")*24*60, "")</f>
        <v/>
      </c>
      <c r="Q8742" s="24" t="str" cm="1">
        <f t="array" ref="Q8742">IFERROR(IF($B8742=Q$1, ($A8742+$C8742) - MAX(IF($B$2:$B8741=$B8742, $A$2:$A8741+$C$2:$C8741)), "")*24*60, "")</f>
        <v/>
      </c>
      <c r="R8742" s="24" t="str" cm="1">
        <f t="array" ref="R8742">IFERROR(IF($B8742=R$1, ($A8742+$C8742) - MAX(IF($B$2:$B8741=$B8742, $A$2:$A8741+$C$2:$C8741)), "")*24*60, "")</f>
        <v/>
      </c>
      <c r="S8742" s="24" t="str" cm="1">
        <f t="array" ref="S8742">IFERROR(IF($B8742=S$1, ($A8742+$C8742) - MAX(IF($B$2:$B8741=$B8742, $A$2:$A8741+$C$2:$C8741)), "")*24*60, "")</f>
        <v/>
      </c>
    </row>
    <row r="8743" spans="1:19" x14ac:dyDescent="0.2">
      <c r="A8743" s="12">
        <f t="shared" ref="A8743:C8743" si="1432">A8742</f>
        <v>46034</v>
      </c>
      <c r="B8743" s="5" t="str">
        <f t="shared" si="1432"/>
        <v>Northern Cardinal</v>
      </c>
      <c r="C8743" s="6">
        <f t="shared" si="1432"/>
        <v>0.75069444444444444</v>
      </c>
      <c r="D8743" s="5"/>
      <c r="E8743" s="5"/>
      <c r="F8743" s="5" t="s">
        <v>9</v>
      </c>
      <c r="G8743" s="15" t="s">
        <v>8</v>
      </c>
      <c r="H8743" s="24">
        <f t="shared" si="1412"/>
        <v>0</v>
      </c>
      <c r="I8743" s="24" cm="1">
        <f t="array" ref="I8743">IFERROR(IF($B8743=I$1, ($A8743+$C8743) - MAX(IF($B$2:$B8742=$B8743, $A$2:$A8742+$C$2:$C8742)), "")*24*60, "")</f>
        <v>0</v>
      </c>
      <c r="J8743" s="24" t="str" cm="1">
        <f t="array" ref="J8743">IFERROR(IF($B8743=J$1, ($A8743+$C8743) - MAX(IF($B$2:$B8742=$B8743, $A$2:$A8742+$C$2:$C8742)), "")*24*60, "")</f>
        <v/>
      </c>
      <c r="K8743" s="24" t="str" cm="1">
        <f t="array" ref="K8743">IFERROR(IF($B8743=K$1, ($A8743+$C8743) - MAX(IF($B$2:$B8742=$B8743, $A$2:$A8742+$C$2:$C8742)), "")*24*60, "")</f>
        <v/>
      </c>
      <c r="L8743" s="24" t="str" cm="1">
        <f t="array" ref="L8743">IFERROR(IF($B8743=L$1, ($A8743+$C8743) - MAX(IF($B$2:$B8742=$B8743, $A$2:$A8742+$C$2:$C8742)), "")*24*60, "")</f>
        <v/>
      </c>
      <c r="M8743" s="24" t="str" cm="1">
        <f t="array" ref="M8743">IFERROR(IF($B8743=M$1, ($A8743+$C8743) - MAX(IF($B$2:$B8742=$B8743, $A$2:$A8742+$C$2:$C8742)), "")*24*60, "")</f>
        <v/>
      </c>
      <c r="N8743" s="24" t="str" cm="1">
        <f t="array" ref="N8743">IFERROR(IF($B8743=N$1, ($A8743+$C8743) - MAX(IF($B$2:$B8742=$B8743, $A$2:$A8742+$C$2:$C8742)), "")*24*60, "")</f>
        <v/>
      </c>
      <c r="O8743" s="24" t="str" cm="1">
        <f t="array" ref="O8743">IFERROR(IF($B8743=O$1, ($A8743+$C8743) - MAX(IF($B$2:$B8742=$B8743, $A$2:$A8742+$C$2:$C8742)), "")*24*60, "")</f>
        <v/>
      </c>
      <c r="P8743" s="24" t="str" cm="1">
        <f t="array" ref="P8743">IFERROR(IF($B8743=P$1, ($A8743+$C8743) - MAX(IF($B$2:$B8742=$B8743, $A$2:$A8742+$C$2:$C8742)), "")*24*60, "")</f>
        <v/>
      </c>
      <c r="Q8743" s="24" t="str" cm="1">
        <f t="array" ref="Q8743">IFERROR(IF($B8743=Q$1, ($A8743+$C8743) - MAX(IF($B$2:$B8742=$B8743, $A$2:$A8742+$C$2:$C8742)), "")*24*60, "")</f>
        <v/>
      </c>
      <c r="R8743" s="24" t="str" cm="1">
        <f t="array" ref="R8743">IFERROR(IF($B8743=R$1, ($A8743+$C8743) - MAX(IF($B$2:$B8742=$B8743, $A$2:$A8742+$C$2:$C8742)), "")*24*60, "")</f>
        <v/>
      </c>
      <c r="S8743" s="24" t="str" cm="1">
        <f t="array" ref="S8743">IFERROR(IF($B8743=S$1, ($A8743+$C8743) - MAX(IF($B$2:$B8742=$B8743, $A$2:$A8742+$C$2:$C8742)), "")*24*60, "")</f>
        <v/>
      </c>
    </row>
    <row r="8744" spans="1:19" x14ac:dyDescent="0.2">
      <c r="A8744" s="12">
        <f t="shared" ref="A8744:C8744" si="1433">A8743</f>
        <v>46034</v>
      </c>
      <c r="B8744" s="5" t="str">
        <f t="shared" si="1433"/>
        <v>Northern Cardinal</v>
      </c>
      <c r="C8744" s="6">
        <f t="shared" si="1433"/>
        <v>0.75069444444444444</v>
      </c>
      <c r="D8744" s="5"/>
      <c r="E8744" s="5"/>
      <c r="F8744" s="5" t="s">
        <v>9</v>
      </c>
      <c r="G8744" s="15" t="s">
        <v>8</v>
      </c>
      <c r="H8744" s="24">
        <f t="shared" si="1412"/>
        <v>0</v>
      </c>
      <c r="I8744" s="24" cm="1">
        <f t="array" ref="I8744">IFERROR(IF($B8744=I$1, ($A8744+$C8744) - MAX(IF($B$2:$B8743=$B8744, $A$2:$A8743+$C$2:$C8743)), "")*24*60, "")</f>
        <v>0</v>
      </c>
      <c r="J8744" s="24" t="str" cm="1">
        <f t="array" ref="J8744">IFERROR(IF($B8744=J$1, ($A8744+$C8744) - MAX(IF($B$2:$B8743=$B8744, $A$2:$A8743+$C$2:$C8743)), "")*24*60, "")</f>
        <v/>
      </c>
      <c r="K8744" s="24" t="str" cm="1">
        <f t="array" ref="K8744">IFERROR(IF($B8744=K$1, ($A8744+$C8744) - MAX(IF($B$2:$B8743=$B8744, $A$2:$A8743+$C$2:$C8743)), "")*24*60, "")</f>
        <v/>
      </c>
      <c r="L8744" s="24" t="str" cm="1">
        <f t="array" ref="L8744">IFERROR(IF($B8744=L$1, ($A8744+$C8744) - MAX(IF($B$2:$B8743=$B8744, $A$2:$A8743+$C$2:$C8743)), "")*24*60, "")</f>
        <v/>
      </c>
      <c r="M8744" s="24" t="str" cm="1">
        <f t="array" ref="M8744">IFERROR(IF($B8744=M$1, ($A8744+$C8744) - MAX(IF($B$2:$B8743=$B8744, $A$2:$A8743+$C$2:$C8743)), "")*24*60, "")</f>
        <v/>
      </c>
      <c r="N8744" s="24" t="str" cm="1">
        <f t="array" ref="N8744">IFERROR(IF($B8744=N$1, ($A8744+$C8744) - MAX(IF($B$2:$B8743=$B8744, $A$2:$A8743+$C$2:$C8743)), "")*24*60, "")</f>
        <v/>
      </c>
      <c r="O8744" s="24" t="str" cm="1">
        <f t="array" ref="O8744">IFERROR(IF($B8744=O$1, ($A8744+$C8744) - MAX(IF($B$2:$B8743=$B8744, $A$2:$A8743+$C$2:$C8743)), "")*24*60, "")</f>
        <v/>
      </c>
      <c r="P8744" s="24" t="str" cm="1">
        <f t="array" ref="P8744">IFERROR(IF($B8744=P$1, ($A8744+$C8744) - MAX(IF($B$2:$B8743=$B8744, $A$2:$A8743+$C$2:$C8743)), "")*24*60, "")</f>
        <v/>
      </c>
      <c r="Q8744" s="24" t="str" cm="1">
        <f t="array" ref="Q8744">IFERROR(IF($B8744=Q$1, ($A8744+$C8744) - MAX(IF($B$2:$B8743=$B8744, $A$2:$A8743+$C$2:$C8743)), "")*24*60, "")</f>
        <v/>
      </c>
      <c r="R8744" s="24" t="str" cm="1">
        <f t="array" ref="R8744">IFERROR(IF($B8744=R$1, ($A8744+$C8744) - MAX(IF($B$2:$B8743=$B8744, $A$2:$A8743+$C$2:$C8743)), "")*24*60, "")</f>
        <v/>
      </c>
      <c r="S8744" s="24" t="str" cm="1">
        <f t="array" ref="S8744">IFERROR(IF($B8744=S$1, ($A8744+$C8744) - MAX(IF($B$2:$B8743=$B8744, $A$2:$A8743+$C$2:$C8743)), "")*24*60, "")</f>
        <v/>
      </c>
    </row>
    <row r="8745" spans="1:19" x14ac:dyDescent="0.2">
      <c r="A8745" s="12">
        <f t="shared" ref="A8745:C8745" si="1434">A8744</f>
        <v>46034</v>
      </c>
      <c r="B8745" s="5" t="str">
        <f t="shared" si="1434"/>
        <v>Northern Cardinal</v>
      </c>
      <c r="C8745" s="6">
        <f t="shared" si="1434"/>
        <v>0.75069444444444444</v>
      </c>
      <c r="D8745" s="5"/>
      <c r="E8745" s="5"/>
      <c r="F8745" s="5" t="s">
        <v>9</v>
      </c>
      <c r="G8745" s="15" t="s">
        <v>8</v>
      </c>
      <c r="H8745" s="24">
        <f t="shared" si="1412"/>
        <v>0</v>
      </c>
      <c r="I8745" s="24" cm="1">
        <f t="array" ref="I8745">IFERROR(IF($B8745=I$1, ($A8745+$C8745) - MAX(IF($B$2:$B8744=$B8745, $A$2:$A8744+$C$2:$C8744)), "")*24*60, "")</f>
        <v>0</v>
      </c>
      <c r="J8745" s="24" t="str" cm="1">
        <f t="array" ref="J8745">IFERROR(IF($B8745=J$1, ($A8745+$C8745) - MAX(IF($B$2:$B8744=$B8745, $A$2:$A8744+$C$2:$C8744)), "")*24*60, "")</f>
        <v/>
      </c>
      <c r="K8745" s="24" t="str" cm="1">
        <f t="array" ref="K8745">IFERROR(IF($B8745=K$1, ($A8745+$C8745) - MAX(IF($B$2:$B8744=$B8745, $A$2:$A8744+$C$2:$C8744)), "")*24*60, "")</f>
        <v/>
      </c>
      <c r="L8745" s="24" t="str" cm="1">
        <f t="array" ref="L8745">IFERROR(IF($B8745=L$1, ($A8745+$C8745) - MAX(IF($B$2:$B8744=$B8745, $A$2:$A8744+$C$2:$C8744)), "")*24*60, "")</f>
        <v/>
      </c>
      <c r="M8745" s="24" t="str" cm="1">
        <f t="array" ref="M8745">IFERROR(IF($B8745=M$1, ($A8745+$C8745) - MAX(IF($B$2:$B8744=$B8745, $A$2:$A8744+$C$2:$C8744)), "")*24*60, "")</f>
        <v/>
      </c>
      <c r="N8745" s="24" t="str" cm="1">
        <f t="array" ref="N8745">IFERROR(IF($B8745=N$1, ($A8745+$C8745) - MAX(IF($B$2:$B8744=$B8745, $A$2:$A8744+$C$2:$C8744)), "")*24*60, "")</f>
        <v/>
      </c>
      <c r="O8745" s="24" t="str" cm="1">
        <f t="array" ref="O8745">IFERROR(IF($B8745=O$1, ($A8745+$C8745) - MAX(IF($B$2:$B8744=$B8745, $A$2:$A8744+$C$2:$C8744)), "")*24*60, "")</f>
        <v/>
      </c>
      <c r="P8745" s="24" t="str" cm="1">
        <f t="array" ref="P8745">IFERROR(IF($B8745=P$1, ($A8745+$C8745) - MAX(IF($B$2:$B8744=$B8745, $A$2:$A8744+$C$2:$C8744)), "")*24*60, "")</f>
        <v/>
      </c>
      <c r="Q8745" s="24" t="str" cm="1">
        <f t="array" ref="Q8745">IFERROR(IF($B8745=Q$1, ($A8745+$C8745) - MAX(IF($B$2:$B8744=$B8745, $A$2:$A8744+$C$2:$C8744)), "")*24*60, "")</f>
        <v/>
      </c>
      <c r="R8745" s="24" t="str" cm="1">
        <f t="array" ref="R8745">IFERROR(IF($B8745=R$1, ($A8745+$C8745) - MAX(IF($B$2:$B8744=$B8745, $A$2:$A8744+$C$2:$C8744)), "")*24*60, "")</f>
        <v/>
      </c>
      <c r="S8745" s="24" t="str" cm="1">
        <f t="array" ref="S8745">IFERROR(IF($B8745=S$1, ($A8745+$C8745) - MAX(IF($B$2:$B8744=$B8745, $A$2:$A8744+$C$2:$C8744)), "")*24*60, "")</f>
        <v/>
      </c>
    </row>
    <row r="8746" spans="1:19" x14ac:dyDescent="0.2">
      <c r="A8746" s="12">
        <f t="shared" ref="A8746:C8746" si="1435">A8745</f>
        <v>46034</v>
      </c>
      <c r="B8746" s="5" t="str">
        <f t="shared" si="1435"/>
        <v>Northern Cardinal</v>
      </c>
      <c r="C8746" s="6">
        <f t="shared" si="1435"/>
        <v>0.75069444444444444</v>
      </c>
      <c r="D8746" s="5"/>
      <c r="E8746" s="5"/>
      <c r="F8746" s="5" t="s">
        <v>9</v>
      </c>
      <c r="G8746" s="15" t="s">
        <v>8</v>
      </c>
      <c r="H8746" s="24">
        <f t="shared" si="1412"/>
        <v>0</v>
      </c>
      <c r="I8746" s="24" cm="1">
        <f t="array" ref="I8746">IFERROR(IF($B8746=I$1, ($A8746+$C8746) - MAX(IF($B$2:$B8745=$B8746, $A$2:$A8745+$C$2:$C8745)), "")*24*60, "")</f>
        <v>0</v>
      </c>
      <c r="J8746" s="24" t="str" cm="1">
        <f t="array" ref="J8746">IFERROR(IF($B8746=J$1, ($A8746+$C8746) - MAX(IF($B$2:$B8745=$B8746, $A$2:$A8745+$C$2:$C8745)), "")*24*60, "")</f>
        <v/>
      </c>
      <c r="K8746" s="24" t="str" cm="1">
        <f t="array" ref="K8746">IFERROR(IF($B8746=K$1, ($A8746+$C8746) - MAX(IF($B$2:$B8745=$B8746, $A$2:$A8745+$C$2:$C8745)), "")*24*60, "")</f>
        <v/>
      </c>
      <c r="L8746" s="24" t="str" cm="1">
        <f t="array" ref="L8746">IFERROR(IF($B8746=L$1, ($A8746+$C8746) - MAX(IF($B$2:$B8745=$B8746, $A$2:$A8745+$C$2:$C8745)), "")*24*60, "")</f>
        <v/>
      </c>
      <c r="M8746" s="24" t="str" cm="1">
        <f t="array" ref="M8746">IFERROR(IF($B8746=M$1, ($A8746+$C8746) - MAX(IF($B$2:$B8745=$B8746, $A$2:$A8745+$C$2:$C8745)), "")*24*60, "")</f>
        <v/>
      </c>
      <c r="N8746" s="24" t="str" cm="1">
        <f t="array" ref="N8746">IFERROR(IF($B8746=N$1, ($A8746+$C8746) - MAX(IF($B$2:$B8745=$B8746, $A$2:$A8745+$C$2:$C8745)), "")*24*60, "")</f>
        <v/>
      </c>
      <c r="O8746" s="24" t="str" cm="1">
        <f t="array" ref="O8746">IFERROR(IF($B8746=O$1, ($A8746+$C8746) - MAX(IF($B$2:$B8745=$B8746, $A$2:$A8745+$C$2:$C8745)), "")*24*60, "")</f>
        <v/>
      </c>
      <c r="P8746" s="24" t="str" cm="1">
        <f t="array" ref="P8746">IFERROR(IF($B8746=P$1, ($A8746+$C8746) - MAX(IF($B$2:$B8745=$B8746, $A$2:$A8745+$C$2:$C8745)), "")*24*60, "")</f>
        <v/>
      </c>
      <c r="Q8746" s="24" t="str" cm="1">
        <f t="array" ref="Q8746">IFERROR(IF($B8746=Q$1, ($A8746+$C8746) - MAX(IF($B$2:$B8745=$B8746, $A$2:$A8745+$C$2:$C8745)), "")*24*60, "")</f>
        <v/>
      </c>
      <c r="R8746" s="24" t="str" cm="1">
        <f t="array" ref="R8746">IFERROR(IF($B8746=R$1, ($A8746+$C8746) - MAX(IF($B$2:$B8745=$B8746, $A$2:$A8745+$C$2:$C8745)), "")*24*60, "")</f>
        <v/>
      </c>
      <c r="S8746" s="24" t="str" cm="1">
        <f t="array" ref="S8746">IFERROR(IF($B8746=S$1, ($A8746+$C8746) - MAX(IF($B$2:$B8745=$B8746, $A$2:$A8745+$C$2:$C8745)), "")*24*60, "")</f>
        <v/>
      </c>
    </row>
    <row r="8747" spans="1:19" x14ac:dyDescent="0.2">
      <c r="A8747" s="12">
        <f t="shared" ref="A8747:C8747" si="1436">A8746</f>
        <v>46034</v>
      </c>
      <c r="B8747" s="5" t="str">
        <f t="shared" si="1436"/>
        <v>Northern Cardinal</v>
      </c>
      <c r="C8747" s="6">
        <f t="shared" si="1436"/>
        <v>0.75069444444444444</v>
      </c>
      <c r="D8747" s="5"/>
      <c r="E8747" s="5"/>
      <c r="F8747" s="5" t="s">
        <v>9</v>
      </c>
      <c r="G8747" s="15" t="s">
        <v>8</v>
      </c>
      <c r="H8747" s="24">
        <f t="shared" si="1412"/>
        <v>0</v>
      </c>
      <c r="I8747" s="24" cm="1">
        <f t="array" ref="I8747">IFERROR(IF($B8747=I$1, ($A8747+$C8747) - MAX(IF($B$2:$B8746=$B8747, $A$2:$A8746+$C$2:$C8746)), "")*24*60, "")</f>
        <v>0</v>
      </c>
      <c r="J8747" s="24" t="str" cm="1">
        <f t="array" ref="J8747">IFERROR(IF($B8747=J$1, ($A8747+$C8747) - MAX(IF($B$2:$B8746=$B8747, $A$2:$A8746+$C$2:$C8746)), "")*24*60, "")</f>
        <v/>
      </c>
      <c r="K8747" s="24" t="str" cm="1">
        <f t="array" ref="K8747">IFERROR(IF($B8747=K$1, ($A8747+$C8747) - MAX(IF($B$2:$B8746=$B8747, $A$2:$A8746+$C$2:$C8746)), "")*24*60, "")</f>
        <v/>
      </c>
      <c r="L8747" s="24" t="str" cm="1">
        <f t="array" ref="L8747">IFERROR(IF($B8747=L$1, ($A8747+$C8747) - MAX(IF($B$2:$B8746=$B8747, $A$2:$A8746+$C$2:$C8746)), "")*24*60, "")</f>
        <v/>
      </c>
      <c r="M8747" s="24" t="str" cm="1">
        <f t="array" ref="M8747">IFERROR(IF($B8747=M$1, ($A8747+$C8747) - MAX(IF($B$2:$B8746=$B8747, $A$2:$A8746+$C$2:$C8746)), "")*24*60, "")</f>
        <v/>
      </c>
      <c r="N8747" s="24" t="str" cm="1">
        <f t="array" ref="N8747">IFERROR(IF($B8747=N$1, ($A8747+$C8747) - MAX(IF($B$2:$B8746=$B8747, $A$2:$A8746+$C$2:$C8746)), "")*24*60, "")</f>
        <v/>
      </c>
      <c r="O8747" s="24" t="str" cm="1">
        <f t="array" ref="O8747">IFERROR(IF($B8747=O$1, ($A8747+$C8747) - MAX(IF($B$2:$B8746=$B8747, $A$2:$A8746+$C$2:$C8746)), "")*24*60, "")</f>
        <v/>
      </c>
      <c r="P8747" s="24" t="str" cm="1">
        <f t="array" ref="P8747">IFERROR(IF($B8747=P$1, ($A8747+$C8747) - MAX(IF($B$2:$B8746=$B8747, $A$2:$A8746+$C$2:$C8746)), "")*24*60, "")</f>
        <v/>
      </c>
      <c r="Q8747" s="24" t="str" cm="1">
        <f t="array" ref="Q8747">IFERROR(IF($B8747=Q$1, ($A8747+$C8747) - MAX(IF($B$2:$B8746=$B8747, $A$2:$A8746+$C$2:$C8746)), "")*24*60, "")</f>
        <v/>
      </c>
      <c r="R8747" s="24" t="str" cm="1">
        <f t="array" ref="R8747">IFERROR(IF($B8747=R$1, ($A8747+$C8747) - MAX(IF($B$2:$B8746=$B8747, $A$2:$A8746+$C$2:$C8746)), "")*24*60, "")</f>
        <v/>
      </c>
      <c r="S8747" s="24" t="str" cm="1">
        <f t="array" ref="S8747">IFERROR(IF($B8747=S$1, ($A8747+$C8747) - MAX(IF($B$2:$B8746=$B8747, $A$2:$A8746+$C$2:$C8746)), "")*24*60, "")</f>
        <v/>
      </c>
    </row>
    <row r="8748" spans="1:19" x14ac:dyDescent="0.2">
      <c r="A8748" s="12">
        <f t="shared" ref="A8748:C8748" si="1437">A8747</f>
        <v>46034</v>
      </c>
      <c r="B8748" s="5" t="str">
        <f t="shared" si="1437"/>
        <v>Northern Cardinal</v>
      </c>
      <c r="C8748" s="6">
        <f t="shared" si="1437"/>
        <v>0.75069444444444444</v>
      </c>
      <c r="D8748" s="5"/>
      <c r="E8748" s="5"/>
      <c r="F8748" s="5" t="s">
        <v>9</v>
      </c>
      <c r="G8748" s="15" t="s">
        <v>8</v>
      </c>
      <c r="H8748" s="24">
        <f t="shared" si="1412"/>
        <v>0</v>
      </c>
      <c r="I8748" s="24" cm="1">
        <f t="array" ref="I8748">IFERROR(IF($B8748=I$1, ($A8748+$C8748) - MAX(IF($B$2:$B8747=$B8748, $A$2:$A8747+$C$2:$C8747)), "")*24*60, "")</f>
        <v>0</v>
      </c>
      <c r="J8748" s="24" t="str" cm="1">
        <f t="array" ref="J8748">IFERROR(IF($B8748=J$1, ($A8748+$C8748) - MAX(IF($B$2:$B8747=$B8748, $A$2:$A8747+$C$2:$C8747)), "")*24*60, "")</f>
        <v/>
      </c>
      <c r="K8748" s="24" t="str" cm="1">
        <f t="array" ref="K8748">IFERROR(IF($B8748=K$1, ($A8748+$C8748) - MAX(IF($B$2:$B8747=$B8748, $A$2:$A8747+$C$2:$C8747)), "")*24*60, "")</f>
        <v/>
      </c>
      <c r="L8748" s="24" t="str" cm="1">
        <f t="array" ref="L8748">IFERROR(IF($B8748=L$1, ($A8748+$C8748) - MAX(IF($B$2:$B8747=$B8748, $A$2:$A8747+$C$2:$C8747)), "")*24*60, "")</f>
        <v/>
      </c>
      <c r="M8748" s="24" t="str" cm="1">
        <f t="array" ref="M8748">IFERROR(IF($B8748=M$1, ($A8748+$C8748) - MAX(IF($B$2:$B8747=$B8748, $A$2:$A8747+$C$2:$C8747)), "")*24*60, "")</f>
        <v/>
      </c>
      <c r="N8748" s="24" t="str" cm="1">
        <f t="array" ref="N8748">IFERROR(IF($B8748=N$1, ($A8748+$C8748) - MAX(IF($B$2:$B8747=$B8748, $A$2:$A8747+$C$2:$C8747)), "")*24*60, "")</f>
        <v/>
      </c>
      <c r="O8748" s="24" t="str" cm="1">
        <f t="array" ref="O8748">IFERROR(IF($B8748=O$1, ($A8748+$C8748) - MAX(IF($B$2:$B8747=$B8748, $A$2:$A8747+$C$2:$C8747)), "")*24*60, "")</f>
        <v/>
      </c>
      <c r="P8748" s="24" t="str" cm="1">
        <f t="array" ref="P8748">IFERROR(IF($B8748=P$1, ($A8748+$C8748) - MAX(IF($B$2:$B8747=$B8748, $A$2:$A8747+$C$2:$C8747)), "")*24*60, "")</f>
        <v/>
      </c>
      <c r="Q8748" s="24" t="str" cm="1">
        <f t="array" ref="Q8748">IFERROR(IF($B8748=Q$1, ($A8748+$C8748) - MAX(IF($B$2:$B8747=$B8748, $A$2:$A8747+$C$2:$C8747)), "")*24*60, "")</f>
        <v/>
      </c>
      <c r="R8748" s="24" t="str" cm="1">
        <f t="array" ref="R8748">IFERROR(IF($B8748=R$1, ($A8748+$C8748) - MAX(IF($B$2:$B8747=$B8748, $A$2:$A8747+$C$2:$C8747)), "")*24*60, "")</f>
        <v/>
      </c>
      <c r="S8748" s="24" t="str" cm="1">
        <f t="array" ref="S8748">IFERROR(IF($B8748=S$1, ($A8748+$C8748) - MAX(IF($B$2:$B8747=$B8748, $A$2:$A8747+$C$2:$C8747)), "")*24*60, "")</f>
        <v/>
      </c>
    </row>
    <row r="8749" spans="1:19" x14ac:dyDescent="0.2">
      <c r="A8749" s="12">
        <f t="shared" ref="A8749:C8749" si="1438">A8748</f>
        <v>46034</v>
      </c>
      <c r="B8749" s="5" t="str">
        <f t="shared" si="1438"/>
        <v>Northern Cardinal</v>
      </c>
      <c r="C8749" s="6">
        <f t="shared" si="1438"/>
        <v>0.75069444444444444</v>
      </c>
      <c r="D8749" s="5"/>
      <c r="E8749" s="5"/>
      <c r="F8749" s="5" t="s">
        <v>9</v>
      </c>
      <c r="G8749" s="15" t="s">
        <v>8</v>
      </c>
      <c r="H8749" s="24">
        <f t="shared" si="1412"/>
        <v>0</v>
      </c>
      <c r="I8749" s="24" cm="1">
        <f t="array" ref="I8749">IFERROR(IF($B8749=I$1, ($A8749+$C8749) - MAX(IF($B$2:$B8748=$B8749, $A$2:$A8748+$C$2:$C8748)), "")*24*60, "")</f>
        <v>0</v>
      </c>
      <c r="J8749" s="24" t="str" cm="1">
        <f t="array" ref="J8749">IFERROR(IF($B8749=J$1, ($A8749+$C8749) - MAX(IF($B$2:$B8748=$B8749, $A$2:$A8748+$C$2:$C8748)), "")*24*60, "")</f>
        <v/>
      </c>
      <c r="K8749" s="24" t="str" cm="1">
        <f t="array" ref="K8749">IFERROR(IF($B8749=K$1, ($A8749+$C8749) - MAX(IF($B$2:$B8748=$B8749, $A$2:$A8748+$C$2:$C8748)), "")*24*60, "")</f>
        <v/>
      </c>
      <c r="L8749" s="24" t="str" cm="1">
        <f t="array" ref="L8749">IFERROR(IF($B8749=L$1, ($A8749+$C8749) - MAX(IF($B$2:$B8748=$B8749, $A$2:$A8748+$C$2:$C8748)), "")*24*60, "")</f>
        <v/>
      </c>
      <c r="M8749" s="24" t="str" cm="1">
        <f t="array" ref="M8749">IFERROR(IF($B8749=M$1, ($A8749+$C8749) - MAX(IF($B$2:$B8748=$B8749, $A$2:$A8748+$C$2:$C8748)), "")*24*60, "")</f>
        <v/>
      </c>
      <c r="N8749" s="24" t="str" cm="1">
        <f t="array" ref="N8749">IFERROR(IF($B8749=N$1, ($A8749+$C8749) - MAX(IF($B$2:$B8748=$B8749, $A$2:$A8748+$C$2:$C8748)), "")*24*60, "")</f>
        <v/>
      </c>
      <c r="O8749" s="24" t="str" cm="1">
        <f t="array" ref="O8749">IFERROR(IF($B8749=O$1, ($A8749+$C8749) - MAX(IF($B$2:$B8748=$B8749, $A$2:$A8748+$C$2:$C8748)), "")*24*60, "")</f>
        <v/>
      </c>
      <c r="P8749" s="24" t="str" cm="1">
        <f t="array" ref="P8749">IFERROR(IF($B8749=P$1, ($A8749+$C8749) - MAX(IF($B$2:$B8748=$B8749, $A$2:$A8748+$C$2:$C8748)), "")*24*60, "")</f>
        <v/>
      </c>
      <c r="Q8749" s="24" t="str" cm="1">
        <f t="array" ref="Q8749">IFERROR(IF($B8749=Q$1, ($A8749+$C8749) - MAX(IF($B$2:$B8748=$B8749, $A$2:$A8748+$C$2:$C8748)), "")*24*60, "")</f>
        <v/>
      </c>
      <c r="R8749" s="24" t="str" cm="1">
        <f t="array" ref="R8749">IFERROR(IF($B8749=R$1, ($A8749+$C8749) - MAX(IF($B$2:$B8748=$B8749, $A$2:$A8748+$C$2:$C8748)), "")*24*60, "")</f>
        <v/>
      </c>
      <c r="S8749" s="24" t="str" cm="1">
        <f t="array" ref="S8749">IFERROR(IF($B8749=S$1, ($A8749+$C8749) - MAX(IF($B$2:$B8748=$B8749, $A$2:$A8748+$C$2:$C8748)), "")*24*60, "")</f>
        <v/>
      </c>
    </row>
    <row r="8750" spans="1:19" x14ac:dyDescent="0.2">
      <c r="A8750" s="12">
        <f t="shared" ref="A8750:C8750" si="1439">A8749</f>
        <v>46034</v>
      </c>
      <c r="B8750" s="5" t="str">
        <f t="shared" si="1439"/>
        <v>Northern Cardinal</v>
      </c>
      <c r="C8750" s="6">
        <f t="shared" si="1439"/>
        <v>0.75069444444444444</v>
      </c>
      <c r="D8750" s="5"/>
      <c r="E8750" s="5"/>
      <c r="F8750" s="5" t="s">
        <v>9</v>
      </c>
      <c r="G8750" s="15" t="s">
        <v>8</v>
      </c>
      <c r="H8750" s="24">
        <f t="shared" si="1412"/>
        <v>0</v>
      </c>
      <c r="I8750" s="24" cm="1">
        <f t="array" ref="I8750">IFERROR(IF($B8750=I$1, ($A8750+$C8750) - MAX(IF($B$2:$B8749=$B8750, $A$2:$A8749+$C$2:$C8749)), "")*24*60, "")</f>
        <v>0</v>
      </c>
      <c r="J8750" s="24" t="str" cm="1">
        <f t="array" ref="J8750">IFERROR(IF($B8750=J$1, ($A8750+$C8750) - MAX(IF($B$2:$B8749=$B8750, $A$2:$A8749+$C$2:$C8749)), "")*24*60, "")</f>
        <v/>
      </c>
      <c r="K8750" s="24" t="str" cm="1">
        <f t="array" ref="K8750">IFERROR(IF($B8750=K$1, ($A8750+$C8750) - MAX(IF($B$2:$B8749=$B8750, $A$2:$A8749+$C$2:$C8749)), "")*24*60, "")</f>
        <v/>
      </c>
      <c r="L8750" s="24" t="str" cm="1">
        <f t="array" ref="L8750">IFERROR(IF($B8750=L$1, ($A8750+$C8750) - MAX(IF($B$2:$B8749=$B8750, $A$2:$A8749+$C$2:$C8749)), "")*24*60, "")</f>
        <v/>
      </c>
      <c r="M8750" s="24" t="str" cm="1">
        <f t="array" ref="M8750">IFERROR(IF($B8750=M$1, ($A8750+$C8750) - MAX(IF($B$2:$B8749=$B8750, $A$2:$A8749+$C$2:$C8749)), "")*24*60, "")</f>
        <v/>
      </c>
      <c r="N8750" s="24" t="str" cm="1">
        <f t="array" ref="N8750">IFERROR(IF($B8750=N$1, ($A8750+$C8750) - MAX(IF($B$2:$B8749=$B8750, $A$2:$A8749+$C$2:$C8749)), "")*24*60, "")</f>
        <v/>
      </c>
      <c r="O8750" s="24" t="str" cm="1">
        <f t="array" ref="O8750">IFERROR(IF($B8750=O$1, ($A8750+$C8750) - MAX(IF($B$2:$B8749=$B8750, $A$2:$A8749+$C$2:$C8749)), "")*24*60, "")</f>
        <v/>
      </c>
      <c r="P8750" s="24" t="str" cm="1">
        <f t="array" ref="P8750">IFERROR(IF($B8750=P$1, ($A8750+$C8750) - MAX(IF($B$2:$B8749=$B8750, $A$2:$A8749+$C$2:$C8749)), "")*24*60, "")</f>
        <v/>
      </c>
      <c r="Q8750" s="24" t="str" cm="1">
        <f t="array" ref="Q8750">IFERROR(IF($B8750=Q$1, ($A8750+$C8750) - MAX(IF($B$2:$B8749=$B8750, $A$2:$A8749+$C$2:$C8749)), "")*24*60, "")</f>
        <v/>
      </c>
      <c r="R8750" s="24" t="str" cm="1">
        <f t="array" ref="R8750">IFERROR(IF($B8750=R$1, ($A8750+$C8750) - MAX(IF($B$2:$B8749=$B8750, $A$2:$A8749+$C$2:$C8749)), "")*24*60, "")</f>
        <v/>
      </c>
      <c r="S8750" s="24" t="str" cm="1">
        <f t="array" ref="S8750">IFERROR(IF($B8750=S$1, ($A8750+$C8750) - MAX(IF($B$2:$B8749=$B8750, $A$2:$A8749+$C$2:$C8749)), "")*24*60, "")</f>
        <v/>
      </c>
    </row>
    <row r="8751" spans="1:19" x14ac:dyDescent="0.2">
      <c r="A8751" s="12">
        <f t="shared" ref="A8751:C8751" si="1440">A8750</f>
        <v>46034</v>
      </c>
      <c r="B8751" s="5" t="str">
        <f t="shared" si="1440"/>
        <v>Northern Cardinal</v>
      </c>
      <c r="C8751" s="6">
        <f t="shared" si="1440"/>
        <v>0.75069444444444444</v>
      </c>
      <c r="D8751" s="5"/>
      <c r="E8751" s="5"/>
      <c r="F8751" s="5" t="s">
        <v>9</v>
      </c>
      <c r="G8751" s="15" t="s">
        <v>8</v>
      </c>
      <c r="H8751" s="24">
        <f t="shared" si="1412"/>
        <v>0</v>
      </c>
      <c r="I8751" s="24" cm="1">
        <f t="array" ref="I8751">IFERROR(IF($B8751=I$1, ($A8751+$C8751) - MAX(IF($B$2:$B8750=$B8751, $A$2:$A8750+$C$2:$C8750)), "")*24*60, "")</f>
        <v>0</v>
      </c>
      <c r="J8751" s="24" t="str" cm="1">
        <f t="array" ref="J8751">IFERROR(IF($B8751=J$1, ($A8751+$C8751) - MAX(IF($B$2:$B8750=$B8751, $A$2:$A8750+$C$2:$C8750)), "")*24*60, "")</f>
        <v/>
      </c>
      <c r="K8751" s="24" t="str" cm="1">
        <f t="array" ref="K8751">IFERROR(IF($B8751=K$1, ($A8751+$C8751) - MAX(IF($B$2:$B8750=$B8751, $A$2:$A8750+$C$2:$C8750)), "")*24*60, "")</f>
        <v/>
      </c>
      <c r="L8751" s="24" t="str" cm="1">
        <f t="array" ref="L8751">IFERROR(IF($B8751=L$1, ($A8751+$C8751) - MAX(IF($B$2:$B8750=$B8751, $A$2:$A8750+$C$2:$C8750)), "")*24*60, "")</f>
        <v/>
      </c>
      <c r="M8751" s="24" t="str" cm="1">
        <f t="array" ref="M8751">IFERROR(IF($B8751=M$1, ($A8751+$C8751) - MAX(IF($B$2:$B8750=$B8751, $A$2:$A8750+$C$2:$C8750)), "")*24*60, "")</f>
        <v/>
      </c>
      <c r="N8751" s="24" t="str" cm="1">
        <f t="array" ref="N8751">IFERROR(IF($B8751=N$1, ($A8751+$C8751) - MAX(IF($B$2:$B8750=$B8751, $A$2:$A8750+$C$2:$C8750)), "")*24*60, "")</f>
        <v/>
      </c>
      <c r="O8751" s="24" t="str" cm="1">
        <f t="array" ref="O8751">IFERROR(IF($B8751=O$1, ($A8751+$C8751) - MAX(IF($B$2:$B8750=$B8751, $A$2:$A8750+$C$2:$C8750)), "")*24*60, "")</f>
        <v/>
      </c>
      <c r="P8751" s="24" t="str" cm="1">
        <f t="array" ref="P8751">IFERROR(IF($B8751=P$1, ($A8751+$C8751) - MAX(IF($B$2:$B8750=$B8751, $A$2:$A8750+$C$2:$C8750)), "")*24*60, "")</f>
        <v/>
      </c>
      <c r="Q8751" s="24" t="str" cm="1">
        <f t="array" ref="Q8751">IFERROR(IF($B8751=Q$1, ($A8751+$C8751) - MAX(IF($B$2:$B8750=$B8751, $A$2:$A8750+$C$2:$C8750)), "")*24*60, "")</f>
        <v/>
      </c>
      <c r="R8751" s="24" t="str" cm="1">
        <f t="array" ref="R8751">IFERROR(IF($B8751=R$1, ($A8751+$C8751) - MAX(IF($B$2:$B8750=$B8751, $A$2:$A8750+$C$2:$C8750)), "")*24*60, "")</f>
        <v/>
      </c>
      <c r="S8751" s="24" t="str" cm="1">
        <f t="array" ref="S8751">IFERROR(IF($B8751=S$1, ($A8751+$C8751) - MAX(IF($B$2:$B8750=$B8751, $A$2:$A8750+$C$2:$C8750)), "")*24*60, "")</f>
        <v/>
      </c>
    </row>
    <row r="8752" spans="1:19" x14ac:dyDescent="0.2">
      <c r="A8752" s="12">
        <f t="shared" ref="A8752:C8752" si="1441">A8751</f>
        <v>46034</v>
      </c>
      <c r="B8752" s="5" t="str">
        <f t="shared" si="1441"/>
        <v>Northern Cardinal</v>
      </c>
      <c r="C8752" s="6">
        <f t="shared" si="1441"/>
        <v>0.75069444444444444</v>
      </c>
      <c r="D8752" s="5"/>
      <c r="E8752" s="5"/>
      <c r="F8752" s="5" t="s">
        <v>9</v>
      </c>
      <c r="G8752" s="15" t="s">
        <v>8</v>
      </c>
      <c r="H8752" s="24">
        <f t="shared" si="1412"/>
        <v>0</v>
      </c>
      <c r="I8752" s="24" cm="1">
        <f t="array" ref="I8752">IFERROR(IF($B8752=I$1, ($A8752+$C8752) - MAX(IF($B$2:$B8751=$B8752, $A$2:$A8751+$C$2:$C8751)), "")*24*60, "")</f>
        <v>0</v>
      </c>
      <c r="J8752" s="24" t="str" cm="1">
        <f t="array" ref="J8752">IFERROR(IF($B8752=J$1, ($A8752+$C8752) - MAX(IF($B$2:$B8751=$B8752, $A$2:$A8751+$C$2:$C8751)), "")*24*60, "")</f>
        <v/>
      </c>
      <c r="K8752" s="24" t="str" cm="1">
        <f t="array" ref="K8752">IFERROR(IF($B8752=K$1, ($A8752+$C8752) - MAX(IF($B$2:$B8751=$B8752, $A$2:$A8751+$C$2:$C8751)), "")*24*60, "")</f>
        <v/>
      </c>
      <c r="L8752" s="24" t="str" cm="1">
        <f t="array" ref="L8752">IFERROR(IF($B8752=L$1, ($A8752+$C8752) - MAX(IF($B$2:$B8751=$B8752, $A$2:$A8751+$C$2:$C8751)), "")*24*60, "")</f>
        <v/>
      </c>
      <c r="M8752" s="24" t="str" cm="1">
        <f t="array" ref="M8752">IFERROR(IF($B8752=M$1, ($A8752+$C8752) - MAX(IF($B$2:$B8751=$B8752, $A$2:$A8751+$C$2:$C8751)), "")*24*60, "")</f>
        <v/>
      </c>
      <c r="N8752" s="24" t="str" cm="1">
        <f t="array" ref="N8752">IFERROR(IF($B8752=N$1, ($A8752+$C8752) - MAX(IF($B$2:$B8751=$B8752, $A$2:$A8751+$C$2:$C8751)), "")*24*60, "")</f>
        <v/>
      </c>
      <c r="O8752" s="24" t="str" cm="1">
        <f t="array" ref="O8752">IFERROR(IF($B8752=O$1, ($A8752+$C8752) - MAX(IF($B$2:$B8751=$B8752, $A$2:$A8751+$C$2:$C8751)), "")*24*60, "")</f>
        <v/>
      </c>
      <c r="P8752" s="24" t="str" cm="1">
        <f t="array" ref="P8752">IFERROR(IF($B8752=P$1, ($A8752+$C8752) - MAX(IF($B$2:$B8751=$B8752, $A$2:$A8751+$C$2:$C8751)), "")*24*60, "")</f>
        <v/>
      </c>
      <c r="Q8752" s="24" t="str" cm="1">
        <f t="array" ref="Q8752">IFERROR(IF($B8752=Q$1, ($A8752+$C8752) - MAX(IF($B$2:$B8751=$B8752, $A$2:$A8751+$C$2:$C8751)), "")*24*60, "")</f>
        <v/>
      </c>
      <c r="R8752" s="24" t="str" cm="1">
        <f t="array" ref="R8752">IFERROR(IF($B8752=R$1, ($A8752+$C8752) - MAX(IF($B$2:$B8751=$B8752, $A$2:$A8751+$C$2:$C8751)), "")*24*60, "")</f>
        <v/>
      </c>
      <c r="S8752" s="24" t="str" cm="1">
        <f t="array" ref="S8752">IFERROR(IF($B8752=S$1, ($A8752+$C8752) - MAX(IF($B$2:$B8751=$B8752, $A$2:$A8751+$C$2:$C8751)), "")*24*60, "")</f>
        <v/>
      </c>
    </row>
    <row r="8753" spans="1:19" x14ac:dyDescent="0.2">
      <c r="A8753" s="12">
        <f t="shared" ref="A8753:C8753" si="1442">A8752</f>
        <v>46034</v>
      </c>
      <c r="B8753" s="5" t="str">
        <f t="shared" si="1442"/>
        <v>Northern Cardinal</v>
      </c>
      <c r="C8753" s="6">
        <f t="shared" si="1442"/>
        <v>0.75069444444444444</v>
      </c>
      <c r="D8753" s="5"/>
      <c r="E8753" s="5"/>
      <c r="F8753" s="5" t="s">
        <v>9</v>
      </c>
      <c r="G8753" s="15" t="s">
        <v>8</v>
      </c>
      <c r="H8753" s="24">
        <f t="shared" si="1412"/>
        <v>0</v>
      </c>
      <c r="I8753" s="24" cm="1">
        <f t="array" ref="I8753">IFERROR(IF($B8753=I$1, ($A8753+$C8753) - MAX(IF($B$2:$B8752=$B8753, $A$2:$A8752+$C$2:$C8752)), "")*24*60, "")</f>
        <v>0</v>
      </c>
      <c r="J8753" s="24" t="str" cm="1">
        <f t="array" ref="J8753">IFERROR(IF($B8753=J$1, ($A8753+$C8753) - MAX(IF($B$2:$B8752=$B8753, $A$2:$A8752+$C$2:$C8752)), "")*24*60, "")</f>
        <v/>
      </c>
      <c r="K8753" s="24" t="str" cm="1">
        <f t="array" ref="K8753">IFERROR(IF($B8753=K$1, ($A8753+$C8753) - MAX(IF($B$2:$B8752=$B8753, $A$2:$A8752+$C$2:$C8752)), "")*24*60, "")</f>
        <v/>
      </c>
      <c r="L8753" s="24" t="str" cm="1">
        <f t="array" ref="L8753">IFERROR(IF($B8753=L$1, ($A8753+$C8753) - MAX(IF($B$2:$B8752=$B8753, $A$2:$A8752+$C$2:$C8752)), "")*24*60, "")</f>
        <v/>
      </c>
      <c r="M8753" s="24" t="str" cm="1">
        <f t="array" ref="M8753">IFERROR(IF($B8753=M$1, ($A8753+$C8753) - MAX(IF($B$2:$B8752=$B8753, $A$2:$A8752+$C$2:$C8752)), "")*24*60, "")</f>
        <v/>
      </c>
      <c r="N8753" s="24" t="str" cm="1">
        <f t="array" ref="N8753">IFERROR(IF($B8753=N$1, ($A8753+$C8753) - MAX(IF($B$2:$B8752=$B8753, $A$2:$A8752+$C$2:$C8752)), "")*24*60, "")</f>
        <v/>
      </c>
      <c r="O8753" s="24" t="str" cm="1">
        <f t="array" ref="O8753">IFERROR(IF($B8753=O$1, ($A8753+$C8753) - MAX(IF($B$2:$B8752=$B8753, $A$2:$A8752+$C$2:$C8752)), "")*24*60, "")</f>
        <v/>
      </c>
      <c r="P8753" s="24" t="str" cm="1">
        <f t="array" ref="P8753">IFERROR(IF($B8753=P$1, ($A8753+$C8753) - MAX(IF($B$2:$B8752=$B8753, $A$2:$A8752+$C$2:$C8752)), "")*24*60, "")</f>
        <v/>
      </c>
      <c r="Q8753" s="24" t="str" cm="1">
        <f t="array" ref="Q8753">IFERROR(IF($B8753=Q$1, ($A8753+$C8753) - MAX(IF($B$2:$B8752=$B8753, $A$2:$A8752+$C$2:$C8752)), "")*24*60, "")</f>
        <v/>
      </c>
      <c r="R8753" s="24" t="str" cm="1">
        <f t="array" ref="R8753">IFERROR(IF($B8753=R$1, ($A8753+$C8753) - MAX(IF($B$2:$B8752=$B8753, $A$2:$A8752+$C$2:$C8752)), "")*24*60, "")</f>
        <v/>
      </c>
      <c r="S8753" s="24" t="str" cm="1">
        <f t="array" ref="S8753">IFERROR(IF($B8753=S$1, ($A8753+$C8753) - MAX(IF($B$2:$B8752=$B8753, $A$2:$A8752+$C$2:$C8752)), "")*24*60, "")</f>
        <v/>
      </c>
    </row>
    <row r="8754" spans="1:19" x14ac:dyDescent="0.2">
      <c r="A8754" s="12">
        <f t="shared" ref="A8754:C8754" si="1443">A8753</f>
        <v>46034</v>
      </c>
      <c r="B8754" s="5" t="str">
        <f t="shared" si="1443"/>
        <v>Northern Cardinal</v>
      </c>
      <c r="C8754" s="6">
        <f t="shared" si="1443"/>
        <v>0.75069444444444444</v>
      </c>
      <c r="D8754" s="5"/>
      <c r="E8754" s="5"/>
      <c r="F8754" s="5" t="s">
        <v>9</v>
      </c>
      <c r="G8754" s="15" t="s">
        <v>8</v>
      </c>
      <c r="H8754" s="24">
        <f t="shared" si="1412"/>
        <v>0</v>
      </c>
      <c r="I8754" s="24" cm="1">
        <f t="array" ref="I8754">IFERROR(IF($B8754=I$1, ($A8754+$C8754) - MAX(IF($B$2:$B8753=$B8754, $A$2:$A8753+$C$2:$C8753)), "")*24*60, "")</f>
        <v>0</v>
      </c>
      <c r="J8754" s="24" t="str" cm="1">
        <f t="array" ref="J8754">IFERROR(IF($B8754=J$1, ($A8754+$C8754) - MAX(IF($B$2:$B8753=$B8754, $A$2:$A8753+$C$2:$C8753)), "")*24*60, "")</f>
        <v/>
      </c>
      <c r="K8754" s="24" t="str" cm="1">
        <f t="array" ref="K8754">IFERROR(IF($B8754=K$1, ($A8754+$C8754) - MAX(IF($B$2:$B8753=$B8754, $A$2:$A8753+$C$2:$C8753)), "")*24*60, "")</f>
        <v/>
      </c>
      <c r="L8754" s="24" t="str" cm="1">
        <f t="array" ref="L8754">IFERROR(IF($B8754=L$1, ($A8754+$C8754) - MAX(IF($B$2:$B8753=$B8754, $A$2:$A8753+$C$2:$C8753)), "")*24*60, "")</f>
        <v/>
      </c>
      <c r="M8754" s="24" t="str" cm="1">
        <f t="array" ref="M8754">IFERROR(IF($B8754=M$1, ($A8754+$C8754) - MAX(IF($B$2:$B8753=$B8754, $A$2:$A8753+$C$2:$C8753)), "")*24*60, "")</f>
        <v/>
      </c>
      <c r="N8754" s="24" t="str" cm="1">
        <f t="array" ref="N8754">IFERROR(IF($B8754=N$1, ($A8754+$C8754) - MAX(IF($B$2:$B8753=$B8754, $A$2:$A8753+$C$2:$C8753)), "")*24*60, "")</f>
        <v/>
      </c>
      <c r="O8754" s="24" t="str" cm="1">
        <f t="array" ref="O8754">IFERROR(IF($B8754=O$1, ($A8754+$C8754) - MAX(IF($B$2:$B8753=$B8754, $A$2:$A8753+$C$2:$C8753)), "")*24*60, "")</f>
        <v/>
      </c>
      <c r="P8754" s="24" t="str" cm="1">
        <f t="array" ref="P8754">IFERROR(IF($B8754=P$1, ($A8754+$C8754) - MAX(IF($B$2:$B8753=$B8754, $A$2:$A8753+$C$2:$C8753)), "")*24*60, "")</f>
        <v/>
      </c>
      <c r="Q8754" s="24" t="str" cm="1">
        <f t="array" ref="Q8754">IFERROR(IF($B8754=Q$1, ($A8754+$C8754) - MAX(IF($B$2:$B8753=$B8754, $A$2:$A8753+$C$2:$C8753)), "")*24*60, "")</f>
        <v/>
      </c>
      <c r="R8754" s="24" t="str" cm="1">
        <f t="array" ref="R8754">IFERROR(IF($B8754=R$1, ($A8754+$C8754) - MAX(IF($B$2:$B8753=$B8754, $A$2:$A8753+$C$2:$C8753)), "")*24*60, "")</f>
        <v/>
      </c>
      <c r="S8754" s="24" t="str" cm="1">
        <f t="array" ref="S8754">IFERROR(IF($B8754=S$1, ($A8754+$C8754) - MAX(IF($B$2:$B8753=$B8754, $A$2:$A8753+$C$2:$C8753)),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38"/>
  <sheetViews>
    <sheetView tabSelected="1" zoomScale="120" zoomScaleNormal="120" workbookViewId="0">
      <pane ySplit="1" topLeftCell="A317" activePane="bottomLeft" state="frozen"/>
      <selection pane="bottomLeft" activeCell="A337" sqref="A337:E338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  <row r="328" spans="1:5" x14ac:dyDescent="0.25">
      <c r="A328" s="10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10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26">
        <v>46031</v>
      </c>
      <c r="B330" s="27" t="s">
        <v>16</v>
      </c>
      <c r="C330" s="27">
        <f>COUNTIFS(RawData!$B:$B, $B330, RawData!$A:$A, DailySummaries!$A330)</f>
        <v>8</v>
      </c>
      <c r="D330" s="27">
        <f>SUMIFS(RawData!$D:$D,RawData!$B:$B,$B330,RawData!$A:$A,DailySummaries!$A330)+1</f>
        <v>47</v>
      </c>
      <c r="E330" s="27">
        <f>SUMIFS(RawData!$E:$E,RawData!$B:$B,$B330,RawData!$A:$A,DailySummaries!$A330)+1</f>
        <v>9</v>
      </c>
    </row>
    <row r="331" spans="1:5" x14ac:dyDescent="0.25">
      <c r="A331" s="10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10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10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10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26">
        <v>46032</v>
      </c>
      <c r="B335" s="27" t="s">
        <v>10</v>
      </c>
      <c r="C335" s="27">
        <f>COUNTIFS(RawData!$B:$B, $B335, RawData!$A:$A, DailySummaries!$A335)</f>
        <v>4</v>
      </c>
      <c r="D335" s="27">
        <f>SUMIFS(RawData!$D:$D,RawData!$B:$B,$B335,RawData!$A:$A,DailySummaries!$A335)+1</f>
        <v>1</v>
      </c>
      <c r="E335" s="27">
        <f>SUMIFS(RawData!$E:$E,RawData!$B:$B,$B335,RawData!$A:$A,DailySummaries!$A335)+1</f>
        <v>6</v>
      </c>
    </row>
    <row r="336" spans="1:5" x14ac:dyDescent="0.25">
      <c r="A336" s="32">
        <v>46033</v>
      </c>
      <c r="B336" s="33" t="s">
        <v>3</v>
      </c>
      <c r="C336" s="33">
        <f>COUNTIFS(RawData!$B:$B, $B336, RawData!$A:$A, DailySummaries!$A336)</f>
        <v>16</v>
      </c>
      <c r="D336" s="33">
        <f>SUMIFS(RawData!$D:$D,RawData!$B:$B,$B336,RawData!$A:$A,DailySummaries!$A336)+1</f>
        <v>1</v>
      </c>
      <c r="E336" s="33">
        <f>SUMIFS(RawData!$E:$E,RawData!$B:$B,$B336,RawData!$A:$A,DailySummaries!$A336)+1</f>
        <v>50</v>
      </c>
    </row>
    <row r="337" spans="1:5" x14ac:dyDescent="0.25">
      <c r="A337" s="10">
        <v>46034</v>
      </c>
      <c r="B337" s="11" t="s">
        <v>3</v>
      </c>
      <c r="C337" s="11">
        <f>COUNTIFS(RawData!$B:$B, $B337, RawData!$A:$A, DailySummaries!$A337)</f>
        <v>60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10">
        <v>46034</v>
      </c>
      <c r="B338" s="11" t="s">
        <v>16</v>
      </c>
      <c r="C338" s="11">
        <f>COUNTIFS(RawData!$B:$B, $B338, RawData!$A:$A, DailySummaries!$A338)</f>
        <v>2</v>
      </c>
      <c r="D338" s="11">
        <f>SUMIFS(RawData!$D:$D,RawData!$B:$B,$B338,RawData!$A:$A,DailySummaries!$A338)+1</f>
        <v>18</v>
      </c>
      <c r="E338" s="11">
        <f>SUMIFS(RawData!$E:$E,RawData!$B:$B,$B338,RawData!$A:$A,DailySummaries!$A338)+1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2026-01-13T10:17:49Z</dcterms:modified>
</cp:coreProperties>
</file>
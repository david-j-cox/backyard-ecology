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B9D87D6D-154F-6D45-94B9-ADDD56294949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3" i="2" l="1"/>
  <c r="D333" i="2"/>
  <c r="E333" i="2"/>
  <c r="C334" i="2"/>
  <c r="D334" i="2"/>
  <c r="E334" i="2"/>
  <c r="C335" i="2"/>
  <c r="D335" i="2"/>
  <c r="E335" i="2"/>
  <c r="E332" i="2"/>
  <c r="D332" i="2"/>
  <c r="C332" i="2"/>
  <c r="E331" i="2"/>
  <c r="D331" i="2"/>
  <c r="C331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A8678" i="1" l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A8679" i="1" l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A8680" i="1" l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C8677" i="1" l="1"/>
  <c r="A8681" i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C8678" i="1" l="1"/>
  <c r="H8677" i="1"/>
  <c r="A8682" i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C8679" i="1" l="1"/>
  <c r="H8678" i="1"/>
  <c r="A8683" i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C8680" i="1" l="1"/>
  <c r="H8679" i="1"/>
  <c r="A8684" i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C8681" i="1" l="1"/>
  <c r="H8680" i="1"/>
  <c r="A8685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C8682" i="1" l="1"/>
  <c r="H8681" i="1"/>
  <c r="A8686" i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C8683" i="1" l="1"/>
  <c r="H8682" i="1"/>
  <c r="A8687" i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C8684" i="1" l="1"/>
  <c r="H8683" i="1"/>
  <c r="A8688" i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C8685" i="1" l="1"/>
  <c r="H8684" i="1"/>
  <c r="A8689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C8686" i="1" l="1"/>
  <c r="H8685" i="1"/>
  <c r="A8690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C8687" i="1" l="1"/>
  <c r="H8686" i="1"/>
  <c r="A8691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C8688" i="1" l="1"/>
  <c r="H8687" i="1"/>
  <c r="A8692" i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C8689" i="1" l="1"/>
  <c r="H8688" i="1"/>
  <c r="A8693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C8690" i="1" l="1"/>
  <c r="H8689" i="1"/>
  <c r="A8694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C8691" i="1" l="1"/>
  <c r="H8690" i="1"/>
  <c r="A8695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C8692" i="1" l="1"/>
  <c r="H8691" i="1"/>
  <c r="A8696" i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C8693" i="1" l="1"/>
  <c r="H8692" i="1"/>
  <c r="A8697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C8694" i="1" l="1"/>
  <c r="H8693" i="1"/>
  <c r="A8698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C8695" i="1" l="1"/>
  <c r="H8694" i="1"/>
  <c r="A8699" i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C8696" i="1" l="1"/>
  <c r="H8695" i="1"/>
  <c r="A8700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C8697" i="1" l="1"/>
  <c r="H8696" i="1"/>
  <c r="A8701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C8698" i="1" l="1"/>
  <c r="H8697" i="1"/>
  <c r="A8702" i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C8699" i="1" l="1"/>
  <c r="H8698" i="1"/>
  <c r="A8703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C8700" i="1" l="1"/>
  <c r="H8699" i="1"/>
  <c r="A8704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C8701" i="1" l="1"/>
  <c r="H8700" i="1"/>
  <c r="A8705" i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C8702" i="1" l="1"/>
  <c r="H8701" i="1"/>
  <c r="A8706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C8703" i="1" l="1"/>
  <c r="H8702" i="1"/>
  <c r="A8707" i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C8704" i="1" l="1"/>
  <c r="H8703" i="1"/>
  <c r="A8708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C8705" i="1" l="1"/>
  <c r="H8704" i="1"/>
  <c r="A8709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C8706" i="1" l="1"/>
  <c r="H8705" i="1"/>
  <c r="A8710" i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C8707" i="1" l="1"/>
  <c r="H8706" i="1"/>
  <c r="A8711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C8708" i="1" l="1"/>
  <c r="H8707" i="1"/>
  <c r="A8712" i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C8709" i="1" l="1"/>
  <c r="H8708" i="1"/>
  <c r="A8713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C8710" i="1" l="1"/>
  <c r="H8709" i="1"/>
  <c r="A8714" i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C8711" i="1" l="1"/>
  <c r="H8710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C8712" i="1" l="1"/>
  <c r="H8711" i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C8713" i="1" l="1"/>
  <c r="H8712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C8714" i="1" l="1"/>
  <c r="H8714" i="1" s="1"/>
  <c r="H8713" i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C330" i="2" l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B8677" i="1" l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C322" i="2" l="1"/>
  <c r="C323" i="2"/>
  <c r="C329" i="2"/>
  <c r="C321" i="2"/>
  <c r="C316" i="2"/>
  <c r="C328" i="2"/>
  <c r="C317" i="2"/>
  <c r="C319" i="2"/>
  <c r="C318" i="2"/>
  <c r="C320" i="2"/>
  <c r="E327" i="2"/>
  <c r="C325" i="2"/>
  <c r="C326" i="2"/>
  <c r="C327" i="2"/>
  <c r="C324" i="2"/>
  <c r="B8678" i="1"/>
  <c r="K8677" i="1" a="1"/>
  <c r="K8677" i="1" s="1"/>
  <c r="N8677" i="1" a="1"/>
  <c r="N8677" i="1" s="1"/>
  <c r="O8677" i="1" a="1"/>
  <c r="O8677" i="1" s="1"/>
  <c r="I8677" i="1" a="1"/>
  <c r="I8677" i="1" s="1"/>
  <c r="S8677" i="1" a="1"/>
  <c r="S8677" i="1" s="1"/>
  <c r="Q8677" i="1" a="1"/>
  <c r="Q8677" i="1" s="1"/>
  <c r="L8677" i="1" a="1"/>
  <c r="L8677" i="1" s="1"/>
  <c r="J8677" i="1" a="1"/>
  <c r="J8677" i="1" s="1"/>
  <c r="P8677" i="1" a="1"/>
  <c r="P8677" i="1" s="1"/>
  <c r="R8677" i="1" a="1"/>
  <c r="R8677" i="1" s="1"/>
  <c r="M8677" i="1" a="1"/>
  <c r="M8677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S8678" i="1" l="1" a="1"/>
  <c r="S8678" i="1" s="1"/>
  <c r="M8678" i="1" a="1"/>
  <c r="M8678" i="1" s="1"/>
  <c r="J8678" i="1" a="1"/>
  <c r="J8678" i="1" s="1"/>
  <c r="L8678" i="1" a="1"/>
  <c r="L8678" i="1" s="1"/>
  <c r="B8679" i="1"/>
  <c r="I8678" i="1" a="1"/>
  <c r="I8678" i="1" s="1"/>
  <c r="R8678" i="1" a="1"/>
  <c r="R8678" i="1" s="1"/>
  <c r="K8678" i="1" a="1"/>
  <c r="K8678" i="1" s="1"/>
  <c r="Q8678" i="1" a="1"/>
  <c r="Q8678" i="1" s="1"/>
  <c r="O8678" i="1" a="1"/>
  <c r="O8678" i="1" s="1"/>
  <c r="N8678" i="1" a="1"/>
  <c r="N8678" i="1" s="1"/>
  <c r="P8678" i="1" a="1"/>
  <c r="P8678" i="1" s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R8679" i="1" l="1" a="1"/>
  <c r="R8679" i="1" s="1"/>
  <c r="L8679" i="1" a="1"/>
  <c r="L8679" i="1" s="1"/>
  <c r="S8679" i="1" a="1"/>
  <c r="S8679" i="1" s="1"/>
  <c r="O8679" i="1" a="1"/>
  <c r="O8679" i="1" s="1"/>
  <c r="M8679" i="1" a="1"/>
  <c r="M8679" i="1" s="1"/>
  <c r="P8679" i="1" a="1"/>
  <c r="P8679" i="1" s="1"/>
  <c r="Q8679" i="1" a="1"/>
  <c r="Q8679" i="1" s="1"/>
  <c r="K8679" i="1" a="1"/>
  <c r="K8679" i="1" s="1"/>
  <c r="J8679" i="1" a="1"/>
  <c r="J8679" i="1" s="1"/>
  <c r="N8679" i="1" a="1"/>
  <c r="N8679" i="1" s="1"/>
  <c r="B8680" i="1"/>
  <c r="I8679" i="1" a="1"/>
  <c r="I8679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K8680" i="1" l="1" a="1"/>
  <c r="K8680" i="1" s="1"/>
  <c r="S8680" i="1" a="1"/>
  <c r="S8680" i="1" s="1"/>
  <c r="L8680" i="1" a="1"/>
  <c r="L8680" i="1" s="1"/>
  <c r="P8680" i="1" a="1"/>
  <c r="P8680" i="1" s="1"/>
  <c r="B8681" i="1"/>
  <c r="O8680" i="1" a="1"/>
  <c r="O8680" i="1" s="1"/>
  <c r="M8680" i="1" a="1"/>
  <c r="M8680" i="1" s="1"/>
  <c r="J8680" i="1" a="1"/>
  <c r="J8680" i="1" s="1"/>
  <c r="Q8680" i="1" a="1"/>
  <c r="Q8680" i="1" s="1"/>
  <c r="R8680" i="1" a="1"/>
  <c r="R8680" i="1" s="1"/>
  <c r="N8680" i="1" a="1"/>
  <c r="N8680" i="1" s="1"/>
  <c r="I8680" i="1" a="1"/>
  <c r="I8680" i="1" s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Q8681" i="1" l="1" a="1"/>
  <c r="Q8681" i="1" s="1"/>
  <c r="K8681" i="1" a="1"/>
  <c r="K8681" i="1" s="1"/>
  <c r="S8681" i="1" a="1"/>
  <c r="S8681" i="1" s="1"/>
  <c r="P8681" i="1" a="1"/>
  <c r="P8681" i="1" s="1"/>
  <c r="B8682" i="1"/>
  <c r="M8681" i="1" a="1"/>
  <c r="M8681" i="1" s="1"/>
  <c r="I8681" i="1" a="1"/>
  <c r="I8681" i="1" s="1"/>
  <c r="L8681" i="1" a="1"/>
  <c r="L8681" i="1" s="1"/>
  <c r="J8681" i="1" a="1"/>
  <c r="J8681" i="1" s="1"/>
  <c r="N8681" i="1" a="1"/>
  <c r="N8681" i="1" s="1"/>
  <c r="R8681" i="1" a="1"/>
  <c r="R8681" i="1" s="1"/>
  <c r="O8681" i="1" a="1"/>
  <c r="O8681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M8682" i="1" l="1" a="1"/>
  <c r="M8682" i="1" s="1"/>
  <c r="I8682" i="1" a="1"/>
  <c r="I8682" i="1" s="1"/>
  <c r="K8682" i="1" a="1"/>
  <c r="K8682" i="1" s="1"/>
  <c r="N8682" i="1" a="1"/>
  <c r="N8682" i="1" s="1"/>
  <c r="P8682" i="1" a="1"/>
  <c r="P8682" i="1" s="1"/>
  <c r="B8683" i="1"/>
  <c r="J8682" i="1" a="1"/>
  <c r="J8682" i="1" s="1"/>
  <c r="L8682" i="1" a="1"/>
  <c r="L8682" i="1" s="1"/>
  <c r="O8682" i="1" a="1"/>
  <c r="O8682" i="1" s="1"/>
  <c r="Q8682" i="1" a="1"/>
  <c r="Q8682" i="1" s="1"/>
  <c r="R8682" i="1" a="1"/>
  <c r="R8682" i="1" s="1"/>
  <c r="S8682" i="1" a="1"/>
  <c r="S8682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R8683" i="1" l="1" a="1"/>
  <c r="R8683" i="1" s="1"/>
  <c r="B8684" i="1"/>
  <c r="P8683" i="1" a="1"/>
  <c r="P8683" i="1" s="1"/>
  <c r="S8683" i="1" a="1"/>
  <c r="S8683" i="1" s="1"/>
  <c r="L8683" i="1" a="1"/>
  <c r="L8683" i="1" s="1"/>
  <c r="O8683" i="1" a="1"/>
  <c r="O8683" i="1" s="1"/>
  <c r="M8683" i="1" a="1"/>
  <c r="M8683" i="1" s="1"/>
  <c r="I8683" i="1" a="1"/>
  <c r="I8683" i="1" s="1"/>
  <c r="N8683" i="1" a="1"/>
  <c r="N8683" i="1" s="1"/>
  <c r="J8683" i="1" a="1"/>
  <c r="J8683" i="1" s="1"/>
  <c r="K8683" i="1" a="1"/>
  <c r="K8683" i="1" s="1"/>
  <c r="Q8683" i="1" a="1"/>
  <c r="Q8683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C315" i="2" l="1"/>
  <c r="C302" i="2"/>
  <c r="E315" i="2"/>
  <c r="E302" i="2"/>
  <c r="E303" i="2"/>
  <c r="C307" i="2"/>
  <c r="E309" i="2"/>
  <c r="E305" i="2"/>
  <c r="E300" i="2"/>
  <c r="D300" i="2"/>
  <c r="C308" i="2"/>
  <c r="C303" i="2"/>
  <c r="C309" i="2"/>
  <c r="C300" i="2"/>
  <c r="E308" i="2"/>
  <c r="E307" i="2"/>
  <c r="C305" i="2"/>
  <c r="J8684" i="1" a="1"/>
  <c r="J8684" i="1" s="1"/>
  <c r="I8684" i="1" a="1"/>
  <c r="I8684" i="1" s="1"/>
  <c r="S8684" i="1" a="1"/>
  <c r="S8684" i="1" s="1"/>
  <c r="O8684" i="1" a="1"/>
  <c r="O8684" i="1" s="1"/>
  <c r="Q8684" i="1" a="1"/>
  <c r="Q8684" i="1" s="1"/>
  <c r="K8684" i="1" a="1"/>
  <c r="K8684" i="1" s="1"/>
  <c r="L8684" i="1" a="1"/>
  <c r="L8684" i="1" s="1"/>
  <c r="P8684" i="1" a="1"/>
  <c r="P8684" i="1" s="1"/>
  <c r="R8684" i="1" a="1"/>
  <c r="R8684" i="1" s="1"/>
  <c r="N8684" i="1" a="1"/>
  <c r="N8684" i="1" s="1"/>
  <c r="M8684" i="1" a="1"/>
  <c r="M8684" i="1" s="1"/>
  <c r="B8685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D315" i="2" l="1"/>
  <c r="C314" i="2"/>
  <c r="D314" i="2"/>
  <c r="E314" i="2"/>
  <c r="D320" i="2"/>
  <c r="O8685" i="1" a="1"/>
  <c r="O8685" i="1" s="1"/>
  <c r="R8685" i="1" a="1"/>
  <c r="R8685" i="1" s="1"/>
  <c r="S8685" i="1" a="1"/>
  <c r="S8685" i="1" s="1"/>
  <c r="K8685" i="1" a="1"/>
  <c r="K8685" i="1" s="1"/>
  <c r="Q8685" i="1" a="1"/>
  <c r="Q8685" i="1" s="1"/>
  <c r="L8685" i="1" a="1"/>
  <c r="L8685" i="1" s="1"/>
  <c r="J8685" i="1" a="1"/>
  <c r="J8685" i="1" s="1"/>
  <c r="M8685" i="1" a="1"/>
  <c r="M8685" i="1" s="1"/>
  <c r="P8685" i="1" a="1"/>
  <c r="P8685" i="1" s="1"/>
  <c r="B8686" i="1"/>
  <c r="N8685" i="1" a="1"/>
  <c r="N8685" i="1" s="1"/>
  <c r="I8685" i="1" a="1"/>
  <c r="I8685" i="1" s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16" i="2" l="1"/>
  <c r="D323" i="2"/>
  <c r="D321" i="2"/>
  <c r="D330" i="2"/>
  <c r="D302" i="2"/>
  <c r="D303" i="2"/>
  <c r="D325" i="2"/>
  <c r="D329" i="2"/>
  <c r="D305" i="2"/>
  <c r="D319" i="2"/>
  <c r="D327" i="2"/>
  <c r="D309" i="2"/>
  <c r="D322" i="2"/>
  <c r="D324" i="2"/>
  <c r="D307" i="2"/>
  <c r="D317" i="2"/>
  <c r="D326" i="2"/>
  <c r="D328" i="2"/>
  <c r="D318" i="2"/>
  <c r="D308" i="2"/>
  <c r="K8686" i="1" a="1"/>
  <c r="K8686" i="1" s="1"/>
  <c r="B8687" i="1"/>
  <c r="I8686" i="1" a="1"/>
  <c r="I8686" i="1" s="1"/>
  <c r="L8686" i="1" a="1"/>
  <c r="L8686" i="1" s="1"/>
  <c r="N8686" i="1" a="1"/>
  <c r="N8686" i="1" s="1"/>
  <c r="J8686" i="1" a="1"/>
  <c r="J8686" i="1" s="1"/>
  <c r="Q8686" i="1" a="1"/>
  <c r="Q8686" i="1" s="1"/>
  <c r="S8686" i="1" a="1"/>
  <c r="S8686" i="1" s="1"/>
  <c r="R8686" i="1" a="1"/>
  <c r="R8686" i="1" s="1"/>
  <c r="O8686" i="1" a="1"/>
  <c r="O8686" i="1" s="1"/>
  <c r="P8686" i="1" a="1"/>
  <c r="P8686" i="1" s="1"/>
  <c r="M8686" i="1" a="1"/>
  <c r="M8686" i="1" s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L8687" i="1" l="1" a="1"/>
  <c r="L8687" i="1" s="1"/>
  <c r="B8688" i="1"/>
  <c r="N8687" i="1" a="1"/>
  <c r="N8687" i="1" s="1"/>
  <c r="I8687" i="1" a="1"/>
  <c r="I8687" i="1" s="1"/>
  <c r="M8687" i="1" a="1"/>
  <c r="M8687" i="1" s="1"/>
  <c r="K8687" i="1" a="1"/>
  <c r="K8687" i="1" s="1"/>
  <c r="S8687" i="1" a="1"/>
  <c r="S8687" i="1" s="1"/>
  <c r="P8687" i="1" a="1"/>
  <c r="P8687" i="1" s="1"/>
  <c r="O8687" i="1" a="1"/>
  <c r="O8687" i="1" s="1"/>
  <c r="J8687" i="1" a="1"/>
  <c r="J8687" i="1" s="1"/>
  <c r="R8687" i="1" a="1"/>
  <c r="R8687" i="1" s="1"/>
  <c r="Q8687" i="1" a="1"/>
  <c r="Q8687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R8688" i="1" l="1" a="1"/>
  <c r="R8688" i="1" s="1"/>
  <c r="Q8688" i="1" a="1"/>
  <c r="Q8688" i="1" s="1"/>
  <c r="B8689" i="1"/>
  <c r="K8688" i="1" a="1"/>
  <c r="K8688" i="1" s="1"/>
  <c r="S8688" i="1" a="1"/>
  <c r="S8688" i="1" s="1"/>
  <c r="M8688" i="1" a="1"/>
  <c r="M8688" i="1" s="1"/>
  <c r="P8688" i="1" a="1"/>
  <c r="P8688" i="1" s="1"/>
  <c r="N8688" i="1" a="1"/>
  <c r="N8688" i="1" s="1"/>
  <c r="O8688" i="1" a="1"/>
  <c r="O8688" i="1" s="1"/>
  <c r="I8688" i="1" a="1"/>
  <c r="I8688" i="1" s="1"/>
  <c r="L8688" i="1" a="1"/>
  <c r="L8688" i="1" s="1"/>
  <c r="J8688" i="1" a="1"/>
  <c r="J8688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J8689" i="1" l="1" a="1"/>
  <c r="J8689" i="1" s="1"/>
  <c r="P8689" i="1" a="1"/>
  <c r="P8689" i="1" s="1"/>
  <c r="S8689" i="1" a="1"/>
  <c r="S8689" i="1" s="1"/>
  <c r="K8689" i="1" a="1"/>
  <c r="K8689" i="1" s="1"/>
  <c r="N8689" i="1" a="1"/>
  <c r="N8689" i="1" s="1"/>
  <c r="L8689" i="1" a="1"/>
  <c r="L8689" i="1" s="1"/>
  <c r="R8689" i="1" a="1"/>
  <c r="R8689" i="1" s="1"/>
  <c r="O8689" i="1" a="1"/>
  <c r="O8689" i="1" s="1"/>
  <c r="I8689" i="1" a="1"/>
  <c r="I8689" i="1" s="1"/>
  <c r="M8689" i="1" a="1"/>
  <c r="M8689" i="1" s="1"/>
  <c r="Q8689" i="1" a="1"/>
  <c r="Q8689" i="1" s="1"/>
  <c r="B8690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P8690" i="1" l="1" a="1"/>
  <c r="P8690" i="1" s="1"/>
  <c r="B8691" i="1"/>
  <c r="I8690" i="1" a="1"/>
  <c r="I8690" i="1" s="1"/>
  <c r="M8690" i="1" a="1"/>
  <c r="M8690" i="1" s="1"/>
  <c r="K8690" i="1" a="1"/>
  <c r="K8690" i="1" s="1"/>
  <c r="Q8690" i="1" a="1"/>
  <c r="Q8690" i="1" s="1"/>
  <c r="O8690" i="1" a="1"/>
  <c r="O8690" i="1" s="1"/>
  <c r="R8690" i="1" a="1"/>
  <c r="R8690" i="1" s="1"/>
  <c r="S8690" i="1" a="1"/>
  <c r="S8690" i="1" s="1"/>
  <c r="J8690" i="1" a="1"/>
  <c r="J8690" i="1" s="1"/>
  <c r="L8690" i="1" a="1"/>
  <c r="L8690" i="1" s="1"/>
  <c r="N8690" i="1" a="1"/>
  <c r="N8690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L8691" i="1" l="1" a="1"/>
  <c r="L8691" i="1" s="1"/>
  <c r="B8692" i="1"/>
  <c r="N8691" i="1" a="1"/>
  <c r="N8691" i="1" s="1"/>
  <c r="R8691" i="1" a="1"/>
  <c r="R8691" i="1" s="1"/>
  <c r="K8691" i="1" a="1"/>
  <c r="K8691" i="1" s="1"/>
  <c r="S8691" i="1" a="1"/>
  <c r="S8691" i="1" s="1"/>
  <c r="P8691" i="1" a="1"/>
  <c r="P8691" i="1" s="1"/>
  <c r="I8691" i="1" a="1"/>
  <c r="I8691" i="1" s="1"/>
  <c r="M8691" i="1" a="1"/>
  <c r="M8691" i="1" s="1"/>
  <c r="Q8691" i="1" a="1"/>
  <c r="Q8691" i="1" s="1"/>
  <c r="O8691" i="1" a="1"/>
  <c r="O8691" i="1" s="1"/>
  <c r="J8691" i="1" a="1"/>
  <c r="J8691" i="1" s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R8692" i="1" l="1" a="1"/>
  <c r="R8692" i="1" s="1"/>
  <c r="Q8692" i="1" a="1"/>
  <c r="Q8692" i="1" s="1"/>
  <c r="J8692" i="1" a="1"/>
  <c r="J8692" i="1" s="1"/>
  <c r="K8692" i="1" a="1"/>
  <c r="K8692" i="1" s="1"/>
  <c r="S8692" i="1" a="1"/>
  <c r="S8692" i="1" s="1"/>
  <c r="M8692" i="1" a="1"/>
  <c r="M8692" i="1" s="1"/>
  <c r="L8692" i="1" a="1"/>
  <c r="L8692" i="1" s="1"/>
  <c r="P8692" i="1" a="1"/>
  <c r="P8692" i="1" s="1"/>
  <c r="N8692" i="1" a="1"/>
  <c r="N8692" i="1" s="1"/>
  <c r="O8692" i="1" a="1"/>
  <c r="O8692" i="1" s="1"/>
  <c r="I8692" i="1" a="1"/>
  <c r="I8692" i="1" s="1"/>
  <c r="B8693" i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8693" i="1" l="1" a="1"/>
  <c r="J8693" i="1" s="1"/>
  <c r="B8694" i="1"/>
  <c r="Q8693" i="1" a="1"/>
  <c r="Q8693" i="1" s="1"/>
  <c r="N8693" i="1" a="1"/>
  <c r="N8693" i="1" s="1"/>
  <c r="R8693" i="1" a="1"/>
  <c r="R8693" i="1" s="1"/>
  <c r="P8693" i="1" a="1"/>
  <c r="P8693" i="1" s="1"/>
  <c r="I8693" i="1" a="1"/>
  <c r="I8693" i="1" s="1"/>
  <c r="M8693" i="1" a="1"/>
  <c r="M8693" i="1" s="1"/>
  <c r="L8693" i="1" a="1"/>
  <c r="L8693" i="1" s="1"/>
  <c r="K8693" i="1" a="1"/>
  <c r="K8693" i="1" s="1"/>
  <c r="O8693" i="1" a="1"/>
  <c r="O8693" i="1" s="1"/>
  <c r="S8693" i="1" a="1"/>
  <c r="S8693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B8695" i="1" l="1"/>
  <c r="I8694" i="1" a="1"/>
  <c r="I8694" i="1" s="1"/>
  <c r="M8694" i="1" a="1"/>
  <c r="M8694" i="1" s="1"/>
  <c r="K8694" i="1" a="1"/>
  <c r="K8694" i="1" s="1"/>
  <c r="Q8694" i="1" a="1"/>
  <c r="Q8694" i="1" s="1"/>
  <c r="O8694" i="1" a="1"/>
  <c r="O8694" i="1" s="1"/>
  <c r="N8694" i="1" a="1"/>
  <c r="N8694" i="1" s="1"/>
  <c r="S8694" i="1" a="1"/>
  <c r="S8694" i="1" s="1"/>
  <c r="R8694" i="1" a="1"/>
  <c r="R8694" i="1" s="1"/>
  <c r="L8694" i="1" a="1"/>
  <c r="L8694" i="1" s="1"/>
  <c r="J8694" i="1" a="1"/>
  <c r="J8694" i="1" s="1"/>
  <c r="P8694" i="1" a="1"/>
  <c r="P8694" i="1" s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8695" i="1" l="1" a="1"/>
  <c r="L8695" i="1" s="1"/>
  <c r="P8695" i="1" a="1"/>
  <c r="P8695" i="1" s="1"/>
  <c r="J8695" i="1" a="1"/>
  <c r="J8695" i="1" s="1"/>
  <c r="M8695" i="1" a="1"/>
  <c r="M8695" i="1" s="1"/>
  <c r="N8695" i="1" a="1"/>
  <c r="N8695" i="1" s="1"/>
  <c r="Q8695" i="1" a="1"/>
  <c r="Q8695" i="1" s="1"/>
  <c r="R8695" i="1" a="1"/>
  <c r="R8695" i="1" s="1"/>
  <c r="I8695" i="1" a="1"/>
  <c r="I8695" i="1" s="1"/>
  <c r="K8695" i="1" a="1"/>
  <c r="K8695" i="1" s="1"/>
  <c r="B8696" i="1"/>
  <c r="O8695" i="1" a="1"/>
  <c r="O8695" i="1" s="1"/>
  <c r="S8695" i="1" a="1"/>
  <c r="S8695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8696" i="1" l="1" a="1"/>
  <c r="K8696" i="1" s="1"/>
  <c r="S8696" i="1" a="1"/>
  <c r="S8696" i="1" s="1"/>
  <c r="M8696" i="1" a="1"/>
  <c r="M8696" i="1" s="1"/>
  <c r="Q8696" i="1" a="1"/>
  <c r="Q8696" i="1" s="1"/>
  <c r="L8696" i="1" a="1"/>
  <c r="L8696" i="1" s="1"/>
  <c r="P8696" i="1" a="1"/>
  <c r="P8696" i="1" s="1"/>
  <c r="R8696" i="1" a="1"/>
  <c r="R8696" i="1" s="1"/>
  <c r="O8696" i="1" a="1"/>
  <c r="O8696" i="1" s="1"/>
  <c r="I8696" i="1" a="1"/>
  <c r="I8696" i="1" s="1"/>
  <c r="B8697" i="1"/>
  <c r="J8696" i="1" a="1"/>
  <c r="J8696" i="1" s="1"/>
  <c r="N8696" i="1" a="1"/>
  <c r="N8696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Q8697" i="1" l="1" a="1"/>
  <c r="Q8697" i="1" s="1"/>
  <c r="N8697" i="1" a="1"/>
  <c r="N8697" i="1" s="1"/>
  <c r="L8697" i="1" a="1"/>
  <c r="L8697" i="1" s="1"/>
  <c r="R8697" i="1" a="1"/>
  <c r="R8697" i="1" s="1"/>
  <c r="P8697" i="1" a="1"/>
  <c r="P8697" i="1" s="1"/>
  <c r="B8698" i="1"/>
  <c r="S8697" i="1" a="1"/>
  <c r="S8697" i="1" s="1"/>
  <c r="M8697" i="1" a="1"/>
  <c r="M8697" i="1" s="1"/>
  <c r="J8697" i="1" a="1"/>
  <c r="J8697" i="1" s="1"/>
  <c r="O8697" i="1" a="1"/>
  <c r="O8697" i="1" s="1"/>
  <c r="K8697" i="1" a="1"/>
  <c r="K8697" i="1" s="1"/>
  <c r="I8697" i="1" a="1"/>
  <c r="I8697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M8698" i="1" l="1" a="1"/>
  <c r="M8698" i="1" s="1"/>
  <c r="Q8698" i="1" a="1"/>
  <c r="Q8698" i="1" s="1"/>
  <c r="K8698" i="1" a="1"/>
  <c r="K8698" i="1" s="1"/>
  <c r="J8698" i="1" a="1"/>
  <c r="J8698" i="1" s="1"/>
  <c r="O8698" i="1" a="1"/>
  <c r="O8698" i="1" s="1"/>
  <c r="R8698" i="1" a="1"/>
  <c r="R8698" i="1" s="1"/>
  <c r="S8698" i="1" a="1"/>
  <c r="S8698" i="1" s="1"/>
  <c r="B8699" i="1"/>
  <c r="L8698" i="1" a="1"/>
  <c r="L8698" i="1" s="1"/>
  <c r="N8698" i="1" a="1"/>
  <c r="N8698" i="1" s="1"/>
  <c r="P8698" i="1" a="1"/>
  <c r="P8698" i="1" s="1"/>
  <c r="I8698" i="1" a="1"/>
  <c r="I8698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S8699" i="1" l="1" a="1"/>
  <c r="S8699" i="1" s="1"/>
  <c r="L8699" i="1" a="1"/>
  <c r="L8699" i="1" s="1"/>
  <c r="P8699" i="1" a="1"/>
  <c r="P8699" i="1" s="1"/>
  <c r="J8699" i="1" a="1"/>
  <c r="J8699" i="1" s="1"/>
  <c r="M8699" i="1" a="1"/>
  <c r="M8699" i="1" s="1"/>
  <c r="N8699" i="1" a="1"/>
  <c r="N8699" i="1" s="1"/>
  <c r="I8699" i="1" a="1"/>
  <c r="I8699" i="1" s="1"/>
  <c r="R8699" i="1" a="1"/>
  <c r="R8699" i="1" s="1"/>
  <c r="Q8699" i="1" a="1"/>
  <c r="Q8699" i="1" s="1"/>
  <c r="K8699" i="1" a="1"/>
  <c r="K8699" i="1" s="1"/>
  <c r="B8700" i="1"/>
  <c r="O8699" i="1" a="1"/>
  <c r="O8699" i="1" s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8700" i="1" l="1" a="1"/>
  <c r="K8700" i="1" s="1"/>
  <c r="O8700" i="1" a="1"/>
  <c r="O8700" i="1" s="1"/>
  <c r="P8700" i="1" a="1"/>
  <c r="P8700" i="1" s="1"/>
  <c r="Q8700" i="1" a="1"/>
  <c r="Q8700" i="1" s="1"/>
  <c r="J8700" i="1" a="1"/>
  <c r="J8700" i="1" s="1"/>
  <c r="N8700" i="1" a="1"/>
  <c r="N8700" i="1" s="1"/>
  <c r="I8700" i="1" a="1"/>
  <c r="I8700" i="1" s="1"/>
  <c r="S8700" i="1" a="1"/>
  <c r="S8700" i="1" s="1"/>
  <c r="M8700" i="1" a="1"/>
  <c r="M8700" i="1" s="1"/>
  <c r="L8700" i="1" a="1"/>
  <c r="L8700" i="1" s="1"/>
  <c r="B8701" i="1"/>
  <c r="R8700" i="1" a="1"/>
  <c r="R8700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Q8701" i="1" l="1" a="1"/>
  <c r="Q8701" i="1" s="1"/>
  <c r="J8701" i="1" a="1"/>
  <c r="J8701" i="1" s="1"/>
  <c r="N8701" i="1" a="1"/>
  <c r="N8701" i="1" s="1"/>
  <c r="L8701" i="1" a="1"/>
  <c r="L8701" i="1" s="1"/>
  <c r="R8701" i="1" a="1"/>
  <c r="R8701" i="1" s="1"/>
  <c r="P8701" i="1" a="1"/>
  <c r="P8701" i="1" s="1"/>
  <c r="K8701" i="1" a="1"/>
  <c r="K8701" i="1" s="1"/>
  <c r="B8702" i="1"/>
  <c r="S8701" i="1" a="1"/>
  <c r="S8701" i="1" s="1"/>
  <c r="I8701" i="1" a="1"/>
  <c r="I8701" i="1" s="1"/>
  <c r="O8701" i="1" a="1"/>
  <c r="O8701" i="1" s="1"/>
  <c r="M8701" i="1" a="1"/>
  <c r="M8701" i="1" s="1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M8702" i="1" l="1" a="1"/>
  <c r="M8702" i="1" s="1"/>
  <c r="K8702" i="1" a="1"/>
  <c r="K8702" i="1" s="1"/>
  <c r="O8702" i="1" a="1"/>
  <c r="O8702" i="1" s="1"/>
  <c r="R8702" i="1" a="1"/>
  <c r="R8702" i="1" s="1"/>
  <c r="B8703" i="1"/>
  <c r="Q8702" i="1" a="1"/>
  <c r="Q8702" i="1" s="1"/>
  <c r="N8702" i="1" a="1"/>
  <c r="N8702" i="1" s="1"/>
  <c r="J8702" i="1" a="1"/>
  <c r="J8702" i="1" s="1"/>
  <c r="L8702" i="1" a="1"/>
  <c r="L8702" i="1" s="1"/>
  <c r="I8702" i="1" a="1"/>
  <c r="I8702" i="1" s="1"/>
  <c r="S8702" i="1" a="1"/>
  <c r="S8702" i="1" s="1"/>
  <c r="P8702" i="1" a="1"/>
  <c r="P8702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P8703" i="1" l="1" a="1"/>
  <c r="P8703" i="1" s="1"/>
  <c r="J8703" i="1" a="1"/>
  <c r="J8703" i="1" s="1"/>
  <c r="I8703" i="1" a="1"/>
  <c r="I8703" i="1" s="1"/>
  <c r="N8703" i="1" a="1"/>
  <c r="N8703" i="1" s="1"/>
  <c r="Q8703" i="1" a="1"/>
  <c r="Q8703" i="1" s="1"/>
  <c r="R8703" i="1" a="1"/>
  <c r="R8703" i="1" s="1"/>
  <c r="B8704" i="1"/>
  <c r="K8703" i="1" a="1"/>
  <c r="K8703" i="1" s="1"/>
  <c r="M8703" i="1" a="1"/>
  <c r="M8703" i="1" s="1"/>
  <c r="O8703" i="1" a="1"/>
  <c r="O8703" i="1" s="1"/>
  <c r="S8703" i="1" a="1"/>
  <c r="S8703" i="1" s="1"/>
  <c r="L8703" i="1" a="1"/>
  <c r="L8703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R8704" i="1" l="1" a="1"/>
  <c r="R8704" i="1" s="1"/>
  <c r="K8704" i="1" a="1"/>
  <c r="K8704" i="1" s="1"/>
  <c r="O8704" i="1" a="1"/>
  <c r="O8704" i="1" s="1"/>
  <c r="I8704" i="1" a="1"/>
  <c r="I8704" i="1" s="1"/>
  <c r="S8704" i="1" a="1"/>
  <c r="S8704" i="1" s="1"/>
  <c r="M8704" i="1" a="1"/>
  <c r="M8704" i="1" s="1"/>
  <c r="L8704" i="1" a="1"/>
  <c r="L8704" i="1" s="1"/>
  <c r="J8704" i="1" a="1"/>
  <c r="J8704" i="1" s="1"/>
  <c r="P8704" i="1" a="1"/>
  <c r="P8704" i="1" s="1"/>
  <c r="N8704" i="1" a="1"/>
  <c r="N8704" i="1" s="1"/>
  <c r="Q8704" i="1" a="1"/>
  <c r="Q8704" i="1" s="1"/>
  <c r="B8705" i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N8705" i="1" a="1"/>
  <c r="N8705" i="1" s="1"/>
  <c r="K8705" i="1" a="1"/>
  <c r="K8705" i="1" s="1"/>
  <c r="S8705" i="1" a="1"/>
  <c r="S8705" i="1" s="1"/>
  <c r="J8705" i="1" a="1"/>
  <c r="J8705" i="1" s="1"/>
  <c r="L8705" i="1" a="1"/>
  <c r="L8705" i="1" s="1"/>
  <c r="R8705" i="1" a="1"/>
  <c r="R8705" i="1" s="1"/>
  <c r="B8706" i="1"/>
  <c r="M8705" i="1" a="1"/>
  <c r="M8705" i="1" s="1"/>
  <c r="P8705" i="1" a="1"/>
  <c r="P8705" i="1" s="1"/>
  <c r="O8705" i="1" a="1"/>
  <c r="O8705" i="1" s="1"/>
  <c r="I8705" i="1" a="1"/>
  <c r="I8705" i="1" s="1"/>
  <c r="Q8705" i="1" a="1"/>
  <c r="Q8705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I8706" i="1" l="1" a="1"/>
  <c r="I8706" i="1" s="1"/>
  <c r="K8706" i="1" a="1"/>
  <c r="K8706" i="1" s="1"/>
  <c r="J8706" i="1" a="1"/>
  <c r="J8706" i="1" s="1"/>
  <c r="R8706" i="1" a="1"/>
  <c r="R8706" i="1" s="1"/>
  <c r="B8707" i="1"/>
  <c r="L8706" i="1" a="1"/>
  <c r="L8706" i="1" s="1"/>
  <c r="M8706" i="1" a="1"/>
  <c r="M8706" i="1" s="1"/>
  <c r="Q8706" i="1" a="1"/>
  <c r="Q8706" i="1" s="1"/>
  <c r="O8706" i="1" a="1"/>
  <c r="O8706" i="1" s="1"/>
  <c r="S8706" i="1" a="1"/>
  <c r="S8706" i="1" s="1"/>
  <c r="N8706" i="1" a="1"/>
  <c r="N8706" i="1" s="1"/>
  <c r="P8706" i="1" a="1"/>
  <c r="P8706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P8707" i="1" l="1" a="1"/>
  <c r="P8707" i="1" s="1"/>
  <c r="J8707" i="1" a="1"/>
  <c r="J8707" i="1" s="1"/>
  <c r="M8707" i="1" a="1"/>
  <c r="M8707" i="1" s="1"/>
  <c r="N8707" i="1" a="1"/>
  <c r="N8707" i="1" s="1"/>
  <c r="I8707" i="1" a="1"/>
  <c r="I8707" i="1" s="1"/>
  <c r="R8707" i="1" a="1"/>
  <c r="R8707" i="1" s="1"/>
  <c r="Q8707" i="1" a="1"/>
  <c r="Q8707" i="1" s="1"/>
  <c r="K8707" i="1" a="1"/>
  <c r="K8707" i="1" s="1"/>
  <c r="B8708" i="1"/>
  <c r="O8707" i="1" a="1"/>
  <c r="O8707" i="1" s="1"/>
  <c r="S8707" i="1" a="1"/>
  <c r="S8707" i="1" s="1"/>
  <c r="L8707" i="1" a="1"/>
  <c r="L8707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K8708" i="1" l="1" a="1"/>
  <c r="K8708" i="1" s="1"/>
  <c r="O8708" i="1" a="1"/>
  <c r="O8708" i="1" s="1"/>
  <c r="I8708" i="1" a="1"/>
  <c r="I8708" i="1" s="1"/>
  <c r="S8708" i="1" a="1"/>
  <c r="S8708" i="1" s="1"/>
  <c r="M8708" i="1" a="1"/>
  <c r="M8708" i="1" s="1"/>
  <c r="P8708" i="1" a="1"/>
  <c r="P8708" i="1" s="1"/>
  <c r="Q8708" i="1" a="1"/>
  <c r="Q8708" i="1" s="1"/>
  <c r="L8708" i="1" a="1"/>
  <c r="L8708" i="1" s="1"/>
  <c r="J8708" i="1" a="1"/>
  <c r="J8708" i="1" s="1"/>
  <c r="B8709" i="1"/>
  <c r="N8708" i="1" a="1"/>
  <c r="N8708" i="1" s="1"/>
  <c r="R8708" i="1" a="1"/>
  <c r="R8708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Q8709" i="1" l="1" a="1"/>
  <c r="Q8709" i="1" s="1"/>
  <c r="N8709" i="1" a="1"/>
  <c r="N8709" i="1" s="1"/>
  <c r="R8709" i="1" a="1"/>
  <c r="R8709" i="1" s="1"/>
  <c r="K8709" i="1" a="1"/>
  <c r="K8709" i="1" s="1"/>
  <c r="S8709" i="1" a="1"/>
  <c r="S8709" i="1" s="1"/>
  <c r="O8709" i="1" a="1"/>
  <c r="O8709" i="1" s="1"/>
  <c r="M8709" i="1" a="1"/>
  <c r="M8709" i="1" s="1"/>
  <c r="J8709" i="1" a="1"/>
  <c r="J8709" i="1" s="1"/>
  <c r="L8709" i="1" a="1"/>
  <c r="L8709" i="1" s="1"/>
  <c r="P8709" i="1" a="1"/>
  <c r="P8709" i="1" s="1"/>
  <c r="B8710" i="1"/>
  <c r="I8709" i="1" a="1"/>
  <c r="I8709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M8710" i="1" l="1" a="1"/>
  <c r="M8710" i="1" s="1"/>
  <c r="Q8710" i="1" a="1"/>
  <c r="Q8710" i="1" s="1"/>
  <c r="K8710" i="1" a="1"/>
  <c r="K8710" i="1" s="1"/>
  <c r="N8710" i="1" a="1"/>
  <c r="N8710" i="1" s="1"/>
  <c r="O8710" i="1" a="1"/>
  <c r="O8710" i="1" s="1"/>
  <c r="J8710" i="1" a="1"/>
  <c r="J8710" i="1" s="1"/>
  <c r="S8710" i="1" a="1"/>
  <c r="S8710" i="1" s="1"/>
  <c r="R8710" i="1" a="1"/>
  <c r="R8710" i="1" s="1"/>
  <c r="L8710" i="1" a="1"/>
  <c r="L8710" i="1" s="1"/>
  <c r="B8711" i="1"/>
  <c r="P8710" i="1" a="1"/>
  <c r="P8710" i="1" s="1"/>
  <c r="I8710" i="1" a="1"/>
  <c r="I8710" i="1" s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L8711" i="1" l="1" a="1"/>
  <c r="L8711" i="1" s="1"/>
  <c r="P8711" i="1" a="1"/>
  <c r="P8711" i="1" s="1"/>
  <c r="J8711" i="1" a="1"/>
  <c r="J8711" i="1" s="1"/>
  <c r="I8711" i="1" a="1"/>
  <c r="I8711" i="1" s="1"/>
  <c r="N8711" i="1" a="1"/>
  <c r="N8711" i="1" s="1"/>
  <c r="Q8711" i="1" a="1"/>
  <c r="Q8711" i="1" s="1"/>
  <c r="R8711" i="1" a="1"/>
  <c r="R8711" i="1" s="1"/>
  <c r="B8712" i="1"/>
  <c r="K8711" i="1" a="1"/>
  <c r="K8711" i="1" s="1"/>
  <c r="M8711" i="1" a="1"/>
  <c r="M8711" i="1" s="1"/>
  <c r="O8711" i="1" a="1"/>
  <c r="O8711" i="1" s="1"/>
  <c r="S8711" i="1" a="1"/>
  <c r="S8711" i="1" s="1"/>
  <c r="J6320" i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K8712" i="1" l="1" a="1"/>
  <c r="K8712" i="1" s="1"/>
  <c r="O8712" i="1" a="1"/>
  <c r="O8712" i="1" s="1"/>
  <c r="Q8712" i="1" a="1"/>
  <c r="Q8712" i="1" s="1"/>
  <c r="J8712" i="1" a="1"/>
  <c r="J8712" i="1" s="1"/>
  <c r="R8712" i="1" a="1"/>
  <c r="R8712" i="1" s="1"/>
  <c r="N8712" i="1" a="1"/>
  <c r="N8712" i="1" s="1"/>
  <c r="I8712" i="1" a="1"/>
  <c r="I8712" i="1" s="1"/>
  <c r="S8712" i="1" a="1"/>
  <c r="S8712" i="1" s="1"/>
  <c r="M8712" i="1" a="1"/>
  <c r="M8712" i="1" s="1"/>
  <c r="L8712" i="1" a="1"/>
  <c r="L8712" i="1" s="1"/>
  <c r="B8713" i="1"/>
  <c r="P8712" i="1" a="1"/>
  <c r="P8712" i="1" s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J8713" i="1" l="1" a="1"/>
  <c r="J8713" i="1" s="1"/>
  <c r="N8713" i="1" a="1"/>
  <c r="N8713" i="1" s="1"/>
  <c r="L8713" i="1" a="1"/>
  <c r="L8713" i="1" s="1"/>
  <c r="R8713" i="1" a="1"/>
  <c r="R8713" i="1" s="1"/>
  <c r="P8713" i="1" a="1"/>
  <c r="P8713" i="1" s="1"/>
  <c r="O8713" i="1" a="1"/>
  <c r="O8713" i="1" s="1"/>
  <c r="B8714" i="1"/>
  <c r="K8713" i="1" a="1"/>
  <c r="K8713" i="1" s="1"/>
  <c r="I8713" i="1" a="1"/>
  <c r="I8713" i="1" s="1"/>
  <c r="S8713" i="1" a="1"/>
  <c r="S8713" i="1" s="1"/>
  <c r="M8713" i="1" a="1"/>
  <c r="M8713" i="1" s="1"/>
  <c r="Q8713" i="1" a="1"/>
  <c r="Q8713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K8714" i="1" l="1" a="1"/>
  <c r="K8714" i="1" s="1"/>
  <c r="J8714" i="1" a="1"/>
  <c r="J8714" i="1" s="1"/>
  <c r="O8714" i="1" a="1"/>
  <c r="O8714" i="1" s="1"/>
  <c r="N8714" i="1" a="1"/>
  <c r="N8714" i="1" s="1"/>
  <c r="S8714" i="1" a="1"/>
  <c r="S8714" i="1" s="1"/>
  <c r="R8714" i="1" a="1"/>
  <c r="R8714" i="1" s="1"/>
  <c r="L8714" i="1" a="1"/>
  <c r="L8714" i="1" s="1"/>
  <c r="P8714" i="1" a="1"/>
  <c r="P8714" i="1" s="1"/>
  <c r="I8714" i="1" a="1"/>
  <c r="I8714" i="1" s="1"/>
  <c r="M8714" i="1" a="1"/>
  <c r="M8714" i="1" s="1"/>
  <c r="Q8714" i="1" a="1"/>
  <c r="Q8714" i="1" s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<sst xmlns="http://schemas.openxmlformats.org/spreadsheetml/2006/main" count="88834" uniqueCount="26">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</sst>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714"/>
  <sheetViews>
    <sheetView tabSelected="1" zoomScale="90" zoomScaleNormal="90" workbookViewId="0">
      <pane ySplit="1" topLeftCell="A8676" activePane="bottomLeft" state="frozen"/>
      <selection pane="bottomLeft" activeCell="D8677" sqref="D8677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tr">
        <f t="shared" ref="A8677:C8677" si="1411">B8676</f>
        <v>Northern Cardinal</v>
      </c>
      <c r="C8677" s="6">
        <f t="shared" si="1411"/>
        <v>0.74930555555555556</v>
      </c>
      <c r="D8677" s="5"/>
      <c r="E8677" s="5"/>
      <c r="F8677" s="5" t="s">
        <v>9</v>
      </c>
      <c r="G8677" s="15" t="s">
        <v>8</v>
      </c>
      <c r="H8677" s="24">
        <f t="shared" ref="H8590:H8714" si="1412">IFERROR((($A8677+$C8677) - ($A8676+$C8676))*24*60, "")</f>
        <v>1440</v>
      </c>
      <c r="I8677" s="24" cm="1">
        <f t="array" ref="I8677">IFERROR(IF($B8677=I$1, ($A8677+$C8677) - MAX(IF($B$2:$B8676=$B8677, $A$2:$A8676+$C$2:$C8676)), "")*24*60, "")</f>
        <v>1440</v>
      </c>
      <c r="J8677" s="24" t="str" cm="1">
        <f t="array" ref="J8677">IFERROR(IF($B8677=J$1, ($A8677+$C8677) - MAX(IF($B$2:$B8676=$B8677, $A$2:$A8676+$C$2:$C8676)), "")*24*60, "")</f>
        <v/>
      </c>
      <c r="K8677" s="24" t="str" cm="1">
        <f t="array" ref="K8677">IFERROR(IF($B8677=K$1, ($A8677+$C8677) - MAX(IF($B$2:$B8676=$B8677, $A$2:$A8676+$C$2:$C8676)), "")*24*60, "")</f>
        <v/>
      </c>
      <c r="L8677" s="24" t="str" cm="1">
        <f t="array" ref="L8677">IFERROR(IF($B8677=L$1, ($A8677+$C8677) - MAX(IF($B$2:$B8676=$B8677, $A$2:$A8676+$C$2:$C8676)), "")*24*60, "")</f>
        <v/>
      </c>
      <c r="M8677" s="24" t="str" cm="1">
        <f t="array" ref="M8677">IFERROR(IF($B8677=M$1, ($A8677+$C8677) - MAX(IF($B$2:$B8676=$B8677, $A$2:$A8676+$C$2:$C8676)), "")*24*60, "")</f>
        <v/>
      </c>
      <c r="N8677" s="24" t="str" cm="1">
        <f t="array" ref="N8677">IFERROR(IF($B8677=N$1, ($A8677+$C8677) - MAX(IF($B$2:$B8676=$B8677, $A$2:$A8676+$C$2:$C8676)), "")*24*60, "")</f>
        <v/>
      </c>
      <c r="O8677" s="24" t="str" cm="1">
        <f t="array" ref="O8677">IFERROR(IF($B8677=O$1, ($A8677+$C8677) - MAX(IF($B$2:$B8676=$B8677, $A$2:$A8676+$C$2:$C8676)), "")*24*60, "")</f>
        <v/>
      </c>
      <c r="P8677" s="24" t="str" cm="1">
        <f t="array" ref="P8677">IFERROR(IF($B8677=P$1, ($A8677+$C8677) - MAX(IF($B$2:$B8676=$B8677, $A$2:$A8676+$C$2:$C8676)), "")*24*60, "")</f>
        <v/>
      </c>
      <c r="Q8677" s="24" t="str" cm="1">
        <f t="array" ref="Q8677">IFERROR(IF($B8677=Q$1, ($A8677+$C8677) - MAX(IF($B$2:$B8676=$B8677, $A$2:$A8676+$C$2:$C8676)), "")*24*60, "")</f>
        <v/>
      </c>
      <c r="R8677" s="24" t="str" cm="1">
        <f t="array" ref="R8677">IFERROR(IF($B8677=R$1, ($A8677+$C8677) - MAX(IF($B$2:$B8676=$B8677, $A$2:$A8676+$C$2:$C8676)), "")*24*60, "")</f>
        <v/>
      </c>
      <c r="S8677" s="24" t="str" cm="1">
        <f t="array" ref="S8677">IFERROR(IF($B8677=S$1, ($A8677+$C8677) - MAX(IF($B$2:$B8676=$B8677, $A$2:$A8676+$C$2:$C8676)), "")*24*60, "")</f>
        <v/>
      </c>
    </row>
    <row r="8678" spans="1:19" x14ac:dyDescent="0.2">
      <c r="A8678" s="12">
        <f t="shared" ref="A8678:C8678" si="1413">A8677</f>
        <v>46033</v>
      </c>
      <c r="B8678" s="5" t="str">
        <f t="shared" si="1413"/>
        <v>Northern Cardinal</v>
      </c>
      <c r="C8678" s="6">
        <f t="shared" si="1413"/>
        <v>0.74930555555555556</v>
      </c>
      <c r="D8678" s="5"/>
      <c r="E8678" s="5"/>
      <c r="F8678" s="5" t="s">
        <v>9</v>
      </c>
      <c r="G8678" s="15" t="s">
        <v>8</v>
      </c>
      <c r="H8678" s="24">
        <f t="shared" si="1412"/>
        <v>0</v>
      </c>
      <c r="I8678" s="24" cm="1">
        <f t="array" ref="I8678">IFERROR(IF($B8678=I$1, ($A8678+$C8678) - MAX(IF($B$2:$B8677=$B8678, $A$2:$A8677+$C$2:$C8677)), "")*24*60, "")</f>
        <v>0</v>
      </c>
      <c r="J8678" s="24" t="str" cm="1">
        <f t="array" ref="J8678">IFERROR(IF($B8678=J$1, ($A8678+$C8678) - MAX(IF($B$2:$B8677=$B8678, $A$2:$A8677+$C$2:$C8677)), "")*24*60, "")</f>
        <v/>
      </c>
      <c r="K8678" s="24" t="str" cm="1">
        <f t="array" ref="K8678">IFERROR(IF($B8678=K$1, ($A8678+$C8678) - MAX(IF($B$2:$B8677=$B8678, $A$2:$A8677+$C$2:$C8677)), "")*24*60, "")</f>
        <v/>
      </c>
      <c r="L8678" s="24" t="str" cm="1">
        <f t="array" ref="L8678">IFERROR(IF($B8678=L$1, ($A8678+$C8678) - MAX(IF($B$2:$B8677=$B8678, $A$2:$A8677+$C$2:$C8677)), "")*24*60, "")</f>
        <v/>
      </c>
      <c r="M8678" s="24" t="str" cm="1">
        <f t="array" ref="M8678">IFERROR(IF($B8678=M$1, ($A8678+$C8678) - MAX(IF($B$2:$B8677=$B8678, $A$2:$A8677+$C$2:$C8677)), "")*24*60, "")</f>
        <v/>
      </c>
      <c r="N8678" s="24" t="str" cm="1">
        <f t="array" ref="N8678">IFERROR(IF($B8678=N$1, ($A8678+$C8678) - MAX(IF($B$2:$B8677=$B8678, $A$2:$A8677+$C$2:$C8677)), "")*24*60, "")</f>
        <v/>
      </c>
      <c r="O8678" s="24" t="str" cm="1">
        <f t="array" ref="O8678">IFERROR(IF($B8678=O$1, ($A8678+$C8678) - MAX(IF($B$2:$B8677=$B8678, $A$2:$A8677+$C$2:$C8677)), "")*24*60, "")</f>
        <v/>
      </c>
      <c r="P8678" s="24" t="str" cm="1">
        <f t="array" ref="P8678">IFERROR(IF($B8678=P$1, ($A8678+$C8678) - MAX(IF($B$2:$B8677=$B8678, $A$2:$A8677+$C$2:$C8677)), "")*24*60, "")</f>
        <v/>
      </c>
      <c r="Q8678" s="24" t="str" cm="1">
        <f t="array" ref="Q8678">IFERROR(IF($B8678=Q$1, ($A8678+$C8678) - MAX(IF($B$2:$B8677=$B8678, $A$2:$A8677+$C$2:$C8677)), "")*24*60, "")</f>
        <v/>
      </c>
      <c r="R8678" s="24" t="str" cm="1">
        <f t="array" ref="R8678">IFERROR(IF($B8678=R$1, ($A8678+$C8678) - MAX(IF($B$2:$B8677=$B8678, $A$2:$A8677+$C$2:$C8677)), "")*24*60, "")</f>
        <v/>
      </c>
      <c r="S8678" s="24" t="str" cm="1">
        <f t="array" ref="S8678">IFERROR(IF($B8678=S$1, ($A8678+$C8678) - MAX(IF($B$2:$B8677=$B8678, $A$2:$A8677+$C$2:$C8677)), "")*24*60, "")</f>
        <v/>
      </c>
    </row>
    <row r="8679" spans="1:19" x14ac:dyDescent="0.2">
      <c r="A8679" s="12">
        <f t="shared" ref="A8679:C8679" si="1414">A8678</f>
        <v>46033</v>
      </c>
      <c r="B8679" s="5" t="str">
        <f t="shared" si="1414"/>
        <v>Northern Cardinal</v>
      </c>
      <c r="C8679" s="6">
        <f t="shared" si="1414"/>
        <v>0.74930555555555556</v>
      </c>
      <c r="D8679" s="5"/>
      <c r="E8679" s="5"/>
      <c r="F8679" s="5" t="s">
        <v>9</v>
      </c>
      <c r="G8679" s="15" t="s">
        <v>8</v>
      </c>
      <c r="H8679" s="24">
        <f t="shared" si="1412"/>
        <v>0</v>
      </c>
      <c r="I8679" s="24" cm="1">
        <f t="array" ref="I8679">IFERROR(IF($B8679=I$1, ($A8679+$C8679) - MAX(IF($B$2:$B8678=$B8679, $A$2:$A8678+$C$2:$C8678)), "")*24*60, "")</f>
        <v>0</v>
      </c>
      <c r="J8679" s="24" t="str" cm="1">
        <f t="array" ref="J8679">IFERROR(IF($B8679=J$1, ($A8679+$C8679) - MAX(IF($B$2:$B8678=$B8679, $A$2:$A8678+$C$2:$C8678)), "")*24*60, "")</f>
        <v/>
      </c>
      <c r="K8679" s="24" t="str" cm="1">
        <f t="array" ref="K8679">IFERROR(IF($B8679=K$1, ($A8679+$C8679) - MAX(IF($B$2:$B8678=$B8679, $A$2:$A8678+$C$2:$C8678)), "")*24*60, "")</f>
        <v/>
      </c>
      <c r="L8679" s="24" t="str" cm="1">
        <f t="array" ref="L8679">IFERROR(IF($B8679=L$1, ($A8679+$C8679) - MAX(IF($B$2:$B8678=$B8679, $A$2:$A8678+$C$2:$C8678)), "")*24*60, "")</f>
        <v/>
      </c>
      <c r="M8679" s="24" t="str" cm="1">
        <f t="array" ref="M8679">IFERROR(IF($B8679=M$1, ($A8679+$C8679) - MAX(IF($B$2:$B8678=$B8679, $A$2:$A8678+$C$2:$C8678)), "")*24*60, "")</f>
        <v/>
      </c>
      <c r="N8679" s="24" t="str" cm="1">
        <f t="array" ref="N8679">IFERROR(IF($B8679=N$1, ($A8679+$C8679) - MAX(IF($B$2:$B8678=$B8679, $A$2:$A8678+$C$2:$C8678)), "")*24*60, "")</f>
        <v/>
      </c>
      <c r="O8679" s="24" t="str" cm="1">
        <f t="array" ref="O8679">IFERROR(IF($B8679=O$1, ($A8679+$C8679) - MAX(IF($B$2:$B8678=$B8679, $A$2:$A8678+$C$2:$C8678)), "")*24*60, "")</f>
        <v/>
      </c>
      <c r="P8679" s="24" t="str" cm="1">
        <f t="array" ref="P8679">IFERROR(IF($B8679=P$1, ($A8679+$C8679) - MAX(IF($B$2:$B8678=$B8679, $A$2:$A8678+$C$2:$C8678)), "")*24*60, "")</f>
        <v/>
      </c>
      <c r="Q8679" s="24" t="str" cm="1">
        <f t="array" ref="Q8679">IFERROR(IF($B8679=Q$1, ($A8679+$C8679) - MAX(IF($B$2:$B8678=$B8679, $A$2:$A8678+$C$2:$C8678)), "")*24*60, "")</f>
        <v/>
      </c>
      <c r="R8679" s="24" t="str" cm="1">
        <f t="array" ref="R8679">IFERROR(IF($B8679=R$1, ($A8679+$C8679) - MAX(IF($B$2:$B8678=$B8679, $A$2:$A8678+$C$2:$C8678)), "")*24*60, "")</f>
        <v/>
      </c>
      <c r="S8679" s="24" t="str" cm="1">
        <f t="array" ref="S8679">IFERROR(IF($B8679=S$1, ($A8679+$C8679) - MAX(IF($B$2:$B8678=$B8679, $A$2:$A8678+$C$2:$C8678)), "")*24*60, "")</f>
        <v/>
      </c>
    </row>
    <row r="8680" spans="1:19" x14ac:dyDescent="0.2">
      <c r="A8680" s="12">
        <f t="shared" ref="A8680:C8680" si="1415">A8679</f>
        <v>46033</v>
      </c>
      <c r="B8680" s="5" t="str">
        <f t="shared" si="1415"/>
        <v>Northern Cardinal</v>
      </c>
      <c r="C8680" s="6">
        <f t="shared" si="1415"/>
        <v>0.74930555555555556</v>
      </c>
      <c r="D8680" s="5"/>
      <c r="E8680" s="5"/>
      <c r="F8680" s="5" t="s">
        <v>9</v>
      </c>
      <c r="G8680" s="15" t="s">
        <v>8</v>
      </c>
      <c r="H8680" s="24">
        <f t="shared" si="1412"/>
        <v>0</v>
      </c>
      <c r="I8680" s="24" cm="1">
        <f t="array" ref="I8680">IFERROR(IF($B8680=I$1, ($A8680+$C8680) - MAX(IF($B$2:$B8679=$B8680, $A$2:$A8679+$C$2:$C8679)), "")*24*60, "")</f>
        <v>0</v>
      </c>
      <c r="J8680" s="24" t="str" cm="1">
        <f t="array" ref="J8680">IFERROR(IF($B8680=J$1, ($A8680+$C8680) - MAX(IF($B$2:$B8679=$B8680, $A$2:$A8679+$C$2:$C8679)), "")*24*60, "")</f>
        <v/>
      </c>
      <c r="K8680" s="24" t="str" cm="1">
        <f t="array" ref="K8680">IFERROR(IF($B8680=K$1, ($A8680+$C8680) - MAX(IF($B$2:$B8679=$B8680, $A$2:$A8679+$C$2:$C8679)), "")*24*60, "")</f>
        <v/>
      </c>
      <c r="L8680" s="24" t="str" cm="1">
        <f t="array" ref="L8680">IFERROR(IF($B8680=L$1, ($A8680+$C8680) - MAX(IF($B$2:$B8679=$B8680, $A$2:$A8679+$C$2:$C8679)), "")*24*60, "")</f>
        <v/>
      </c>
      <c r="M8680" s="24" t="str" cm="1">
        <f t="array" ref="M8680">IFERROR(IF($B8680=M$1, ($A8680+$C8680) - MAX(IF($B$2:$B8679=$B8680, $A$2:$A8679+$C$2:$C8679)), "")*24*60, "")</f>
        <v/>
      </c>
      <c r="N8680" s="24" t="str" cm="1">
        <f t="array" ref="N8680">IFERROR(IF($B8680=N$1, ($A8680+$C8680) - MAX(IF($B$2:$B8679=$B8680, $A$2:$A8679+$C$2:$C8679)), "")*24*60, "")</f>
        <v/>
      </c>
      <c r="O8680" s="24" t="str" cm="1">
        <f t="array" ref="O8680">IFERROR(IF($B8680=O$1, ($A8680+$C8680) - MAX(IF($B$2:$B8679=$B8680, $A$2:$A8679+$C$2:$C8679)), "")*24*60, "")</f>
        <v/>
      </c>
      <c r="P8680" s="24" t="str" cm="1">
        <f t="array" ref="P8680">IFERROR(IF($B8680=P$1, ($A8680+$C8680) - MAX(IF($B$2:$B8679=$B8680, $A$2:$A8679+$C$2:$C8679)), "")*24*60, "")</f>
        <v/>
      </c>
      <c r="Q8680" s="24" t="str" cm="1">
        <f t="array" ref="Q8680">IFERROR(IF($B8680=Q$1, ($A8680+$C8680) - MAX(IF($B$2:$B8679=$B8680, $A$2:$A8679+$C$2:$C8679)), "")*24*60, "")</f>
        <v/>
      </c>
      <c r="R8680" s="24" t="str" cm="1">
        <f t="array" ref="R8680">IFERROR(IF($B8680=R$1, ($A8680+$C8680) - MAX(IF($B$2:$B8679=$B8680, $A$2:$A8679+$C$2:$C8679)), "")*24*60, "")</f>
        <v/>
      </c>
      <c r="S8680" s="24" t="str" cm="1">
        <f t="array" ref="S8680">IFERROR(IF($B8680=S$1, ($A8680+$C8680) - MAX(IF($B$2:$B8679=$B8680, $A$2:$A8679+$C$2:$C8679)), "")*24*60, "")</f>
        <v/>
      </c>
    </row>
    <row r="8681" spans="1:19" x14ac:dyDescent="0.2">
      <c r="A8681" s="12">
        <f t="shared" ref="A8681:C8681" si="1416">A8680</f>
        <v>46033</v>
      </c>
      <c r="B8681" s="5" t="str">
        <f t="shared" si="1416"/>
        <v>Northern Cardinal</v>
      </c>
      <c r="C8681" s="6">
        <f t="shared" si="1416"/>
        <v>0.74930555555555556</v>
      </c>
      <c r="D8681" s="5"/>
      <c r="E8681" s="5"/>
      <c r="F8681" s="5" t="s">
        <v>9</v>
      </c>
      <c r="G8681" s="15" t="s">
        <v>8</v>
      </c>
      <c r="H8681" s="24">
        <f t="shared" si="1412"/>
        <v>0</v>
      </c>
      <c r="I8681" s="24" cm="1">
        <f t="array" ref="I8681">IFERROR(IF($B8681=I$1, ($A8681+$C8681) - MAX(IF($B$2:$B8680=$B8681, $A$2:$A8680+$C$2:$C8680)), "")*24*60, "")</f>
        <v>0</v>
      </c>
      <c r="J8681" s="24" t="str" cm="1">
        <f t="array" ref="J8681">IFERROR(IF($B8681=J$1, ($A8681+$C8681) - MAX(IF($B$2:$B8680=$B8681, $A$2:$A8680+$C$2:$C8680)), "")*24*60, "")</f>
        <v/>
      </c>
      <c r="K8681" s="24" t="str" cm="1">
        <f t="array" ref="K8681">IFERROR(IF($B8681=K$1, ($A8681+$C8681) - MAX(IF($B$2:$B8680=$B8681, $A$2:$A8680+$C$2:$C8680)), "")*24*60, "")</f>
        <v/>
      </c>
      <c r="L8681" s="24" t="str" cm="1">
        <f t="array" ref="L8681">IFERROR(IF($B8681=L$1, ($A8681+$C8681) - MAX(IF($B$2:$B8680=$B8681, $A$2:$A8680+$C$2:$C8680)), "")*24*60, "")</f>
        <v/>
      </c>
      <c r="M8681" s="24" t="str" cm="1">
        <f t="array" ref="M8681">IFERROR(IF($B8681=M$1, ($A8681+$C8681) - MAX(IF($B$2:$B8680=$B8681, $A$2:$A8680+$C$2:$C8680)), "")*24*60, "")</f>
        <v/>
      </c>
      <c r="N8681" s="24" t="str" cm="1">
        <f t="array" ref="N8681">IFERROR(IF($B8681=N$1, ($A8681+$C8681) - MAX(IF($B$2:$B8680=$B8681, $A$2:$A8680+$C$2:$C8680)), "")*24*60, "")</f>
        <v/>
      </c>
      <c r="O8681" s="24" t="str" cm="1">
        <f t="array" ref="O8681">IFERROR(IF($B8681=O$1, ($A8681+$C8681) - MAX(IF($B$2:$B8680=$B8681, $A$2:$A8680+$C$2:$C8680)), "")*24*60, "")</f>
        <v/>
      </c>
      <c r="P8681" s="24" t="str" cm="1">
        <f t="array" ref="P8681">IFERROR(IF($B8681=P$1, ($A8681+$C8681) - MAX(IF($B$2:$B8680=$B8681, $A$2:$A8680+$C$2:$C8680)), "")*24*60, "")</f>
        <v/>
      </c>
      <c r="Q8681" s="24" t="str" cm="1">
        <f t="array" ref="Q8681">IFERROR(IF($B8681=Q$1, ($A8681+$C8681) - MAX(IF($B$2:$B8680=$B8681, $A$2:$A8680+$C$2:$C8680)), "")*24*60, "")</f>
        <v/>
      </c>
      <c r="R8681" s="24" t="str" cm="1">
        <f t="array" ref="R8681">IFERROR(IF($B8681=R$1, ($A8681+$C8681) - MAX(IF($B$2:$B8680=$B8681, $A$2:$A8680+$C$2:$C8680)), "")*24*60, "")</f>
        <v/>
      </c>
      <c r="S8681" s="24" t="str" cm="1">
        <f t="array" ref="S8681">IFERROR(IF($B8681=S$1, ($A8681+$C8681) - MAX(IF($B$2:$B8680=$B8681, $A$2:$A8680+$C$2:$C8680)), "")*24*60, "")</f>
        <v/>
      </c>
    </row>
    <row r="8682" spans="1:19" x14ac:dyDescent="0.2">
      <c r="A8682" s="12">
        <f t="shared" ref="A8682:C8682" si="1417">A8681</f>
        <v>46033</v>
      </c>
      <c r="B8682" s="5" t="str">
        <f t="shared" si="1417"/>
        <v>Northern Cardinal</v>
      </c>
      <c r="C8682" s="6">
        <f t="shared" si="1417"/>
        <v>0.74930555555555556</v>
      </c>
      <c r="D8682" s="5"/>
      <c r="E8682" s="5"/>
      <c r="F8682" s="5" t="s">
        <v>9</v>
      </c>
      <c r="G8682" s="15" t="s">
        <v>8</v>
      </c>
      <c r="H8682" s="24">
        <f t="shared" si="1412"/>
        <v>0</v>
      </c>
      <c r="I8682" s="24" cm="1">
        <f t="array" ref="I8682">IFERROR(IF($B8682=I$1, ($A8682+$C8682) - MAX(IF($B$2:$B8681=$B8682, $A$2:$A8681+$C$2:$C8681)), "")*24*60, "")</f>
        <v>0</v>
      </c>
      <c r="J8682" s="24" t="str" cm="1">
        <f t="array" ref="J8682">IFERROR(IF($B8682=J$1, ($A8682+$C8682) - MAX(IF($B$2:$B8681=$B8682, $A$2:$A8681+$C$2:$C8681)), "")*24*60, "")</f>
        <v/>
      </c>
      <c r="K8682" s="24" t="str" cm="1">
        <f t="array" ref="K8682">IFERROR(IF($B8682=K$1, ($A8682+$C8682) - MAX(IF($B$2:$B8681=$B8682, $A$2:$A8681+$C$2:$C8681)), "")*24*60, "")</f>
        <v/>
      </c>
      <c r="L8682" s="24" t="str" cm="1">
        <f t="array" ref="L8682">IFERROR(IF($B8682=L$1, ($A8682+$C8682) - MAX(IF($B$2:$B8681=$B8682, $A$2:$A8681+$C$2:$C8681)), "")*24*60, "")</f>
        <v/>
      </c>
      <c r="M8682" s="24" t="str" cm="1">
        <f t="array" ref="M8682">IFERROR(IF($B8682=M$1, ($A8682+$C8682) - MAX(IF($B$2:$B8681=$B8682, $A$2:$A8681+$C$2:$C8681)), "")*24*60, "")</f>
        <v/>
      </c>
      <c r="N8682" s="24" t="str" cm="1">
        <f t="array" ref="N8682">IFERROR(IF($B8682=N$1, ($A8682+$C8682) - MAX(IF($B$2:$B8681=$B8682, $A$2:$A8681+$C$2:$C8681)), "")*24*60, "")</f>
        <v/>
      </c>
      <c r="O8682" s="24" t="str" cm="1">
        <f t="array" ref="O8682">IFERROR(IF($B8682=O$1, ($A8682+$C8682) - MAX(IF($B$2:$B8681=$B8682, $A$2:$A8681+$C$2:$C8681)), "")*24*60, "")</f>
        <v/>
      </c>
      <c r="P8682" s="24" t="str" cm="1">
        <f t="array" ref="P8682">IFERROR(IF($B8682=P$1, ($A8682+$C8682) - MAX(IF($B$2:$B8681=$B8682, $A$2:$A8681+$C$2:$C8681)), "")*24*60, "")</f>
        <v/>
      </c>
      <c r="Q8682" s="24" t="str" cm="1">
        <f t="array" ref="Q8682">IFERROR(IF($B8682=Q$1, ($A8682+$C8682) - MAX(IF($B$2:$B8681=$B8682, $A$2:$A8681+$C$2:$C8681)), "")*24*60, "")</f>
        <v/>
      </c>
      <c r="R8682" s="24" t="str" cm="1">
        <f t="array" ref="R8682">IFERROR(IF($B8682=R$1, ($A8682+$C8682) - MAX(IF($B$2:$B8681=$B8682, $A$2:$A8681+$C$2:$C8681)), "")*24*60, "")</f>
        <v/>
      </c>
      <c r="S8682" s="24" t="str" cm="1">
        <f t="array" ref="S8682">IFERROR(IF($B8682=S$1, ($A8682+$C8682) - MAX(IF($B$2:$B8681=$B8682, $A$2:$A8681+$C$2:$C8681)), "")*24*60, "")</f>
        <v/>
      </c>
    </row>
    <row r="8683" spans="1:19" x14ac:dyDescent="0.2">
      <c r="A8683" s="12">
        <f t="shared" ref="A8683:C8683" si="1418">A8682</f>
        <v>46033</v>
      </c>
      <c r="B8683" s="5" t="str">
        <f t="shared" si="1418"/>
        <v>Northern Cardinal</v>
      </c>
      <c r="C8683" s="6">
        <f t="shared" si="1418"/>
        <v>0.74930555555555556</v>
      </c>
      <c r="D8683" s="5"/>
      <c r="E8683" s="5"/>
      <c r="F8683" s="5" t="s">
        <v>9</v>
      </c>
      <c r="G8683" s="15" t="s">
        <v>8</v>
      </c>
      <c r="H8683" s="24">
        <f t="shared" si="1412"/>
        <v>0</v>
      </c>
      <c r="I8683" s="24" cm="1">
        <f t="array" ref="I8683">IFERROR(IF($B8683=I$1, ($A8683+$C8683) - MAX(IF($B$2:$B8682=$B8683, $A$2:$A8682+$C$2:$C8682)), "")*24*60, "")</f>
        <v>0</v>
      </c>
      <c r="J8683" s="24" t="str" cm="1">
        <f t="array" ref="J8683">IFERROR(IF($B8683=J$1, ($A8683+$C8683) - MAX(IF($B$2:$B8682=$B8683, $A$2:$A8682+$C$2:$C8682)), "")*24*60, "")</f>
        <v/>
      </c>
      <c r="K8683" s="24" t="str" cm="1">
        <f t="array" ref="K8683">IFERROR(IF($B8683=K$1, ($A8683+$C8683) - MAX(IF($B$2:$B8682=$B8683, $A$2:$A8682+$C$2:$C8682)), "")*24*60, "")</f>
        <v/>
      </c>
      <c r="L8683" s="24" t="str" cm="1">
        <f t="array" ref="L8683">IFERROR(IF($B8683=L$1, ($A8683+$C8683) - MAX(IF($B$2:$B8682=$B8683, $A$2:$A8682+$C$2:$C8682)), "")*24*60, "")</f>
        <v/>
      </c>
      <c r="M8683" s="24" t="str" cm="1">
        <f t="array" ref="M8683">IFERROR(IF($B8683=M$1, ($A8683+$C8683) - MAX(IF($B$2:$B8682=$B8683, $A$2:$A8682+$C$2:$C8682)), "")*24*60, "")</f>
        <v/>
      </c>
      <c r="N8683" s="24" t="str" cm="1">
        <f t="array" ref="N8683">IFERROR(IF($B8683=N$1, ($A8683+$C8683) - MAX(IF($B$2:$B8682=$B8683, $A$2:$A8682+$C$2:$C8682)), "")*24*60, "")</f>
        <v/>
      </c>
      <c r="O8683" s="24" t="str" cm="1">
        <f t="array" ref="O8683">IFERROR(IF($B8683=O$1, ($A8683+$C8683) - MAX(IF($B$2:$B8682=$B8683, $A$2:$A8682+$C$2:$C8682)), "")*24*60, "")</f>
        <v/>
      </c>
      <c r="P8683" s="24" t="str" cm="1">
        <f t="array" ref="P8683">IFERROR(IF($B8683=P$1, ($A8683+$C8683) - MAX(IF($B$2:$B8682=$B8683, $A$2:$A8682+$C$2:$C8682)), "")*24*60, "")</f>
        <v/>
      </c>
      <c r="Q8683" s="24" t="str" cm="1">
        <f t="array" ref="Q8683">IFERROR(IF($B8683=Q$1, ($A8683+$C8683) - MAX(IF($B$2:$B8682=$B8683, $A$2:$A8682+$C$2:$C8682)), "")*24*60, "")</f>
        <v/>
      </c>
      <c r="R8683" s="24" t="str" cm="1">
        <f t="array" ref="R8683">IFERROR(IF($B8683=R$1, ($A8683+$C8683) - MAX(IF($B$2:$B8682=$B8683, $A$2:$A8682+$C$2:$C8682)), "")*24*60, "")</f>
        <v/>
      </c>
      <c r="S8683" s="24" t="str" cm="1">
        <f t="array" ref="S8683">IFERROR(IF($B8683=S$1, ($A8683+$C8683) - MAX(IF($B$2:$B8682=$B8683, $A$2:$A8682+$C$2:$C8682)), "")*24*60, "")</f>
        <v/>
      </c>
    </row>
    <row r="8684" spans="1:19" x14ac:dyDescent="0.2">
      <c r="A8684" s="12">
        <f t="shared" ref="A8684:C8684" si="1419">A8683</f>
        <v>46033</v>
      </c>
      <c r="B8684" s="5" t="str">
        <f t="shared" si="1419"/>
        <v>Northern Cardinal</v>
      </c>
      <c r="C8684" s="6">
        <f t="shared" si="1419"/>
        <v>0.74930555555555556</v>
      </c>
      <c r="D8684" s="5"/>
      <c r="E8684" s="5"/>
      <c r="F8684" s="5" t="s">
        <v>9</v>
      </c>
      <c r="G8684" s="15" t="s">
        <v>8</v>
      </c>
      <c r="H8684" s="24">
        <f t="shared" si="1412"/>
        <v>0</v>
      </c>
      <c r="I8684" s="24" cm="1">
        <f t="array" ref="I8684">IFERROR(IF($B8684=I$1, ($A8684+$C8684) - MAX(IF($B$2:$B8683=$B8684, $A$2:$A8683+$C$2:$C8683)), "")*24*60, "")</f>
        <v>0</v>
      </c>
      <c r="J8684" s="24" t="str" cm="1">
        <f t="array" ref="J8684">IFERROR(IF($B8684=J$1, ($A8684+$C8684) - MAX(IF($B$2:$B8683=$B8684, $A$2:$A8683+$C$2:$C8683)), "")*24*60, "")</f>
        <v/>
      </c>
      <c r="K8684" s="24" t="str" cm="1">
        <f t="array" ref="K8684">IFERROR(IF($B8684=K$1, ($A8684+$C8684) - MAX(IF($B$2:$B8683=$B8684, $A$2:$A8683+$C$2:$C8683)), "")*24*60, "")</f>
        <v/>
      </c>
      <c r="L8684" s="24" t="str" cm="1">
        <f t="array" ref="L8684">IFERROR(IF($B8684=L$1, ($A8684+$C8684) - MAX(IF($B$2:$B8683=$B8684, $A$2:$A8683+$C$2:$C8683)), "")*24*60, "")</f>
        <v/>
      </c>
      <c r="M8684" s="24" t="str" cm="1">
        <f t="array" ref="M8684">IFERROR(IF($B8684=M$1, ($A8684+$C8684) - MAX(IF($B$2:$B8683=$B8684, $A$2:$A8683+$C$2:$C8683)), "")*24*60, "")</f>
        <v/>
      </c>
      <c r="N8684" s="24" t="str" cm="1">
        <f t="array" ref="N8684">IFERROR(IF($B8684=N$1, ($A8684+$C8684) - MAX(IF($B$2:$B8683=$B8684, $A$2:$A8683+$C$2:$C8683)), "")*24*60, "")</f>
        <v/>
      </c>
      <c r="O8684" s="24" t="str" cm="1">
        <f t="array" ref="O8684">IFERROR(IF($B8684=O$1, ($A8684+$C8684) - MAX(IF($B$2:$B8683=$B8684, $A$2:$A8683+$C$2:$C8683)), "")*24*60, "")</f>
        <v/>
      </c>
      <c r="P8684" s="24" t="str" cm="1">
        <f t="array" ref="P8684">IFERROR(IF($B8684=P$1, ($A8684+$C8684) - MAX(IF($B$2:$B8683=$B8684, $A$2:$A8683+$C$2:$C8683)), "")*24*60, "")</f>
        <v/>
      </c>
      <c r="Q8684" s="24" t="str" cm="1">
        <f t="array" ref="Q8684">IFERROR(IF($B8684=Q$1, ($A8684+$C8684) - MAX(IF($B$2:$B8683=$B8684, $A$2:$A8683+$C$2:$C8683)), "")*24*60, "")</f>
        <v/>
      </c>
      <c r="R8684" s="24" t="str" cm="1">
        <f t="array" ref="R8684">IFERROR(IF($B8684=R$1, ($A8684+$C8684) - MAX(IF($B$2:$B8683=$B8684, $A$2:$A8683+$C$2:$C8683)), "")*24*60, "")</f>
        <v/>
      </c>
      <c r="S8684" s="24" t="str" cm="1">
        <f t="array" ref="S8684">IFERROR(IF($B8684=S$1, ($A8684+$C8684) - MAX(IF($B$2:$B8683=$B8684, $A$2:$A8683+$C$2:$C8683)), "")*24*60, "")</f>
        <v/>
      </c>
    </row>
    <row r="8685" spans="1:19" x14ac:dyDescent="0.2">
      <c r="A8685" s="12">
        <f t="shared" ref="A8685:C8685" si="1420">A8684</f>
        <v>46033</v>
      </c>
      <c r="B8685" s="5" t="str">
        <f t="shared" si="1420"/>
        <v>Northern Cardinal</v>
      </c>
      <c r="C8685" s="6">
        <f t="shared" si="1420"/>
        <v>0.74930555555555556</v>
      </c>
      <c r="D8685" s="5"/>
      <c r="E8685" s="5"/>
      <c r="F8685" s="5" t="s">
        <v>9</v>
      </c>
      <c r="G8685" s="15" t="s">
        <v>8</v>
      </c>
      <c r="H8685" s="24">
        <f t="shared" si="1412"/>
        <v>0</v>
      </c>
      <c r="I8685" s="24" cm="1">
        <f t="array" ref="I8685">IFERROR(IF($B8685=I$1, ($A8685+$C8685) - MAX(IF($B$2:$B8684=$B8685, $A$2:$A8684+$C$2:$C8684)), "")*24*60, "")</f>
        <v>0</v>
      </c>
      <c r="J8685" s="24" t="str" cm="1">
        <f t="array" ref="J8685">IFERROR(IF($B8685=J$1, ($A8685+$C8685) - MAX(IF($B$2:$B8684=$B8685, $A$2:$A8684+$C$2:$C8684)), "")*24*60, "")</f>
        <v/>
      </c>
      <c r="K8685" s="24" t="str" cm="1">
        <f t="array" ref="K8685">IFERROR(IF($B8685=K$1, ($A8685+$C8685) - MAX(IF($B$2:$B8684=$B8685, $A$2:$A8684+$C$2:$C8684)), "")*24*60, "")</f>
        <v/>
      </c>
      <c r="L8685" s="24" t="str" cm="1">
        <f t="array" ref="L8685">IFERROR(IF($B8685=L$1, ($A8685+$C8685) - MAX(IF($B$2:$B8684=$B8685, $A$2:$A8684+$C$2:$C8684)), "")*24*60, "")</f>
        <v/>
      </c>
      <c r="M8685" s="24" t="str" cm="1">
        <f t="array" ref="M8685">IFERROR(IF($B8685=M$1, ($A8685+$C8685) - MAX(IF($B$2:$B8684=$B8685, $A$2:$A8684+$C$2:$C8684)), "")*24*60, "")</f>
        <v/>
      </c>
      <c r="N8685" s="24" t="str" cm="1">
        <f t="array" ref="N8685">IFERROR(IF($B8685=N$1, ($A8685+$C8685) - MAX(IF($B$2:$B8684=$B8685, $A$2:$A8684+$C$2:$C8684)), "")*24*60, "")</f>
        <v/>
      </c>
      <c r="O8685" s="24" t="str" cm="1">
        <f t="array" ref="O8685">IFERROR(IF($B8685=O$1, ($A8685+$C8685) - MAX(IF($B$2:$B8684=$B8685, $A$2:$A8684+$C$2:$C8684)), "")*24*60, "")</f>
        <v/>
      </c>
      <c r="P8685" s="24" t="str" cm="1">
        <f t="array" ref="P8685">IFERROR(IF($B8685=P$1, ($A8685+$C8685) - MAX(IF($B$2:$B8684=$B8685, $A$2:$A8684+$C$2:$C8684)), "")*24*60, "")</f>
        <v/>
      </c>
      <c r="Q8685" s="24" t="str" cm="1">
        <f t="array" ref="Q8685">IFERROR(IF($B8685=Q$1, ($A8685+$C8685) - MAX(IF($B$2:$B8684=$B8685, $A$2:$A8684+$C$2:$C8684)), "")*24*60, "")</f>
        <v/>
      </c>
      <c r="R8685" s="24" t="str" cm="1">
        <f t="array" ref="R8685">IFERROR(IF($B8685=R$1, ($A8685+$C8685) - MAX(IF($B$2:$B8684=$B8685, $A$2:$A8684+$C$2:$C8684)), "")*24*60, "")</f>
        <v/>
      </c>
      <c r="S8685" s="24" t="str" cm="1">
        <f t="array" ref="S8685">IFERROR(IF($B8685=S$1, ($A8685+$C8685) - MAX(IF($B$2:$B8684=$B8685, $A$2:$A8684+$C$2:$C8684)), "")*24*60, "")</f>
        <v/>
      </c>
    </row>
    <row r="8686" spans="1:19" x14ac:dyDescent="0.2">
      <c r="A8686" s="12">
        <f t="shared" ref="A8686:C8686" si="1421">A8685</f>
        <v>46033</v>
      </c>
      <c r="B8686" s="5" t="str">
        <f t="shared" si="1421"/>
        <v>Northern Cardinal</v>
      </c>
      <c r="C8686" s="6">
        <f t="shared" si="1421"/>
        <v>0.74930555555555556</v>
      </c>
      <c r="D8686" s="5"/>
      <c r="E8686" s="5"/>
      <c r="F8686" s="5" t="s">
        <v>9</v>
      </c>
      <c r="G8686" s="15" t="s">
        <v>8</v>
      </c>
      <c r="H8686" s="24">
        <f t="shared" si="1412"/>
        <v>0</v>
      </c>
      <c r="I8686" s="24" cm="1">
        <f t="array" ref="I8686">IFERROR(IF($B8686=I$1, ($A8686+$C8686) - MAX(IF($B$2:$B8685=$B8686, $A$2:$A8685+$C$2:$C8685)), "")*24*60, "")</f>
        <v>0</v>
      </c>
      <c r="J8686" s="24" t="str" cm="1">
        <f t="array" ref="J8686">IFERROR(IF($B8686=J$1, ($A8686+$C8686) - MAX(IF($B$2:$B8685=$B8686, $A$2:$A8685+$C$2:$C8685)), "")*24*60, "")</f>
        <v/>
      </c>
      <c r="K8686" s="24" t="str" cm="1">
        <f t="array" ref="K8686">IFERROR(IF($B8686=K$1, ($A8686+$C8686) - MAX(IF($B$2:$B8685=$B8686, $A$2:$A8685+$C$2:$C8685)), "")*24*60, "")</f>
        <v/>
      </c>
      <c r="L8686" s="24" t="str" cm="1">
        <f t="array" ref="L8686">IFERROR(IF($B8686=L$1, ($A8686+$C8686) - MAX(IF($B$2:$B8685=$B8686, $A$2:$A8685+$C$2:$C8685)), "")*24*60, "")</f>
        <v/>
      </c>
      <c r="M8686" s="24" t="str" cm="1">
        <f t="array" ref="M8686">IFERROR(IF($B8686=M$1, ($A8686+$C8686) - MAX(IF($B$2:$B8685=$B8686, $A$2:$A8685+$C$2:$C8685)), "")*24*60, "")</f>
        <v/>
      </c>
      <c r="N8686" s="24" t="str" cm="1">
        <f t="array" ref="N8686">IFERROR(IF($B8686=N$1, ($A8686+$C8686) - MAX(IF($B$2:$B8685=$B8686, $A$2:$A8685+$C$2:$C8685)), "")*24*60, "")</f>
        <v/>
      </c>
      <c r="O8686" s="24" t="str" cm="1">
        <f t="array" ref="O8686">IFERROR(IF($B8686=O$1, ($A8686+$C8686) - MAX(IF($B$2:$B8685=$B8686, $A$2:$A8685+$C$2:$C8685)), "")*24*60, "")</f>
        <v/>
      </c>
      <c r="P8686" s="24" t="str" cm="1">
        <f t="array" ref="P8686">IFERROR(IF($B8686=P$1, ($A8686+$C8686) - MAX(IF($B$2:$B8685=$B8686, $A$2:$A8685+$C$2:$C8685)), "")*24*60, "")</f>
        <v/>
      </c>
      <c r="Q8686" s="24" t="str" cm="1">
        <f t="array" ref="Q8686">IFERROR(IF($B8686=Q$1, ($A8686+$C8686) - MAX(IF($B$2:$B8685=$B8686, $A$2:$A8685+$C$2:$C8685)), "")*24*60, "")</f>
        <v/>
      </c>
      <c r="R8686" s="24" t="str" cm="1">
        <f t="array" ref="R8686">IFERROR(IF($B8686=R$1, ($A8686+$C8686) - MAX(IF($B$2:$B8685=$B8686, $A$2:$A8685+$C$2:$C8685)), "")*24*60, "")</f>
        <v/>
      </c>
      <c r="S8686" s="24" t="str" cm="1">
        <f t="array" ref="S8686">IFERROR(IF($B8686=S$1, ($A8686+$C8686) - MAX(IF($B$2:$B8685=$B8686, $A$2:$A8685+$C$2:$C8685)), "")*24*60, "")</f>
        <v/>
      </c>
    </row>
    <row r="8687" spans="1:19" x14ac:dyDescent="0.2">
      <c r="A8687" s="12">
        <f t="shared" ref="A8687:C8687" si="1422">A8686</f>
        <v>46033</v>
      </c>
      <c r="B8687" s="5" t="str">
        <f t="shared" si="1422"/>
        <v>Northern Cardinal</v>
      </c>
      <c r="C8687" s="6">
        <f t="shared" si="1422"/>
        <v>0.74930555555555556</v>
      </c>
      <c r="D8687" s="5"/>
      <c r="E8687" s="5"/>
      <c r="F8687" s="5" t="s">
        <v>9</v>
      </c>
      <c r="G8687" s="15" t="s">
        <v>8</v>
      </c>
      <c r="H8687" s="24">
        <f t="shared" si="1412"/>
        <v>0</v>
      </c>
      <c r="I8687" s="24" cm="1">
        <f t="array" ref="I8687">IFERROR(IF($B8687=I$1, ($A8687+$C8687) - MAX(IF($B$2:$B8686=$B8687, $A$2:$A8686+$C$2:$C8686)), "")*24*60, "")</f>
        <v>0</v>
      </c>
      <c r="J8687" s="24" t="str" cm="1">
        <f t="array" ref="J8687">IFERROR(IF($B8687=J$1, ($A8687+$C8687) - MAX(IF($B$2:$B8686=$B8687, $A$2:$A8686+$C$2:$C8686)), "")*24*60, "")</f>
        <v/>
      </c>
      <c r="K8687" s="24" t="str" cm="1">
        <f t="array" ref="K8687">IFERROR(IF($B8687=K$1, ($A8687+$C8687) - MAX(IF($B$2:$B8686=$B8687, $A$2:$A8686+$C$2:$C8686)), "")*24*60, "")</f>
        <v/>
      </c>
      <c r="L8687" s="24" t="str" cm="1">
        <f t="array" ref="L8687">IFERROR(IF($B8687=L$1, ($A8687+$C8687) - MAX(IF($B$2:$B8686=$B8687, $A$2:$A8686+$C$2:$C8686)), "")*24*60, "")</f>
        <v/>
      </c>
      <c r="M8687" s="24" t="str" cm="1">
        <f t="array" ref="M8687">IFERROR(IF($B8687=M$1, ($A8687+$C8687) - MAX(IF($B$2:$B8686=$B8687, $A$2:$A8686+$C$2:$C8686)), "")*24*60, "")</f>
        <v/>
      </c>
      <c r="N8687" s="24" t="str" cm="1">
        <f t="array" ref="N8687">IFERROR(IF($B8687=N$1, ($A8687+$C8687) - MAX(IF($B$2:$B8686=$B8687, $A$2:$A8686+$C$2:$C8686)), "")*24*60, "")</f>
        <v/>
      </c>
      <c r="O8687" s="24" t="str" cm="1">
        <f t="array" ref="O8687">IFERROR(IF($B8687=O$1, ($A8687+$C8687) - MAX(IF($B$2:$B8686=$B8687, $A$2:$A8686+$C$2:$C8686)), "")*24*60, "")</f>
        <v/>
      </c>
      <c r="P8687" s="24" t="str" cm="1">
        <f t="array" ref="P8687">IFERROR(IF($B8687=P$1, ($A8687+$C8687) - MAX(IF($B$2:$B8686=$B8687, $A$2:$A8686+$C$2:$C8686)), "")*24*60, "")</f>
        <v/>
      </c>
      <c r="Q8687" s="24" t="str" cm="1">
        <f t="array" ref="Q8687">IFERROR(IF($B8687=Q$1, ($A8687+$C8687) - MAX(IF($B$2:$B8686=$B8687, $A$2:$A8686+$C$2:$C8686)), "")*24*60, "")</f>
        <v/>
      </c>
      <c r="R8687" s="24" t="str" cm="1">
        <f t="array" ref="R8687">IFERROR(IF($B8687=R$1, ($A8687+$C8687) - MAX(IF($B$2:$B8686=$B8687, $A$2:$A8686+$C$2:$C8686)), "")*24*60, "")</f>
        <v/>
      </c>
      <c r="S8687" s="24" t="str" cm="1">
        <f t="array" ref="S8687">IFERROR(IF($B8687=S$1, ($A8687+$C8687) - MAX(IF($B$2:$B8686=$B8687, $A$2:$A8686+$C$2:$C8686)), "")*24*60, "")</f>
        <v/>
      </c>
    </row>
    <row r="8688" spans="1:19" x14ac:dyDescent="0.2">
      <c r="A8688" s="12">
        <f t="shared" ref="A8688:C8688" si="1423">A8687</f>
        <v>46033</v>
      </c>
      <c r="B8688" s="5" t="str">
        <f t="shared" si="1423"/>
        <v>Northern Cardinal</v>
      </c>
      <c r="C8688" s="6">
        <f t="shared" si="1423"/>
        <v>0.74930555555555556</v>
      </c>
      <c r="D8688" s="5"/>
      <c r="E8688" s="5"/>
      <c r="F8688" s="5" t="s">
        <v>9</v>
      </c>
      <c r="G8688" s="15" t="s">
        <v>8</v>
      </c>
      <c r="H8688" s="24">
        <f t="shared" si="1412"/>
        <v>0</v>
      </c>
      <c r="I8688" s="24" cm="1">
        <f t="array" ref="I8688">IFERROR(IF($B8688=I$1, ($A8688+$C8688) - MAX(IF($B$2:$B8687=$B8688, $A$2:$A8687+$C$2:$C8687)), "")*24*60, "")</f>
        <v>0</v>
      </c>
      <c r="J8688" s="24" t="str" cm="1">
        <f t="array" ref="J8688">IFERROR(IF($B8688=J$1, ($A8688+$C8688) - MAX(IF($B$2:$B8687=$B8688, $A$2:$A8687+$C$2:$C8687)), "")*24*60, "")</f>
        <v/>
      </c>
      <c r="K8688" s="24" t="str" cm="1">
        <f t="array" ref="K8688">IFERROR(IF($B8688=K$1, ($A8688+$C8688) - MAX(IF($B$2:$B8687=$B8688, $A$2:$A8687+$C$2:$C8687)), "")*24*60, "")</f>
        <v/>
      </c>
      <c r="L8688" s="24" t="str" cm="1">
        <f t="array" ref="L8688">IFERROR(IF($B8688=L$1, ($A8688+$C8688) - MAX(IF($B$2:$B8687=$B8688, $A$2:$A8687+$C$2:$C8687)), "")*24*60, "")</f>
        <v/>
      </c>
      <c r="M8688" s="24" t="str" cm="1">
        <f t="array" ref="M8688">IFERROR(IF($B8688=M$1, ($A8688+$C8688) - MAX(IF($B$2:$B8687=$B8688, $A$2:$A8687+$C$2:$C8687)), "")*24*60, "")</f>
        <v/>
      </c>
      <c r="N8688" s="24" t="str" cm="1">
        <f t="array" ref="N8688">IFERROR(IF($B8688=N$1, ($A8688+$C8688) - MAX(IF($B$2:$B8687=$B8688, $A$2:$A8687+$C$2:$C8687)), "")*24*60, "")</f>
        <v/>
      </c>
      <c r="O8688" s="24" t="str" cm="1">
        <f t="array" ref="O8688">IFERROR(IF($B8688=O$1, ($A8688+$C8688) - MAX(IF($B$2:$B8687=$B8688, $A$2:$A8687+$C$2:$C8687)), "")*24*60, "")</f>
        <v/>
      </c>
      <c r="P8688" s="24" t="str" cm="1">
        <f t="array" ref="P8688">IFERROR(IF($B8688=P$1, ($A8688+$C8688) - MAX(IF($B$2:$B8687=$B8688, $A$2:$A8687+$C$2:$C8687)), "")*24*60, "")</f>
        <v/>
      </c>
      <c r="Q8688" s="24" t="str" cm="1">
        <f t="array" ref="Q8688">IFERROR(IF($B8688=Q$1, ($A8688+$C8688) - MAX(IF($B$2:$B8687=$B8688, $A$2:$A8687+$C$2:$C8687)), "")*24*60, "")</f>
        <v/>
      </c>
      <c r="R8688" s="24" t="str" cm="1">
        <f t="array" ref="R8688">IFERROR(IF($B8688=R$1, ($A8688+$C8688) - MAX(IF($B$2:$B8687=$B8688, $A$2:$A8687+$C$2:$C8687)), "")*24*60, "")</f>
        <v/>
      </c>
      <c r="S8688" s="24" t="str" cm="1">
        <f t="array" ref="S8688">IFERROR(IF($B8688=S$1, ($A8688+$C8688) - MAX(IF($B$2:$B8687=$B8688, $A$2:$A8687+$C$2:$C8687)), "")*24*60, "")</f>
        <v/>
      </c>
    </row>
    <row r="8689" spans="1:19" x14ac:dyDescent="0.2">
      <c r="A8689" s="12">
        <f t="shared" ref="A8689:C8689" si="1424">A8688</f>
        <v>46033</v>
      </c>
      <c r="B8689" s="5" t="str">
        <f t="shared" si="1424"/>
        <v>Northern Cardinal</v>
      </c>
      <c r="C8689" s="6">
        <f t="shared" si="1424"/>
        <v>0.74930555555555556</v>
      </c>
      <c r="D8689" s="5"/>
      <c r="E8689" s="5"/>
      <c r="F8689" s="5" t="s">
        <v>9</v>
      </c>
      <c r="G8689" s="15" t="s">
        <v>8</v>
      </c>
      <c r="H8689" s="24">
        <f t="shared" si="1412"/>
        <v>0</v>
      </c>
      <c r="I8689" s="24" cm="1">
        <f t="array" ref="I8689">IFERROR(IF($B8689=I$1, ($A8689+$C8689) - MAX(IF($B$2:$B8688=$B8689, $A$2:$A8688+$C$2:$C8688)), "")*24*60, "")</f>
        <v>0</v>
      </c>
      <c r="J8689" s="24" t="str" cm="1">
        <f t="array" ref="J8689">IFERROR(IF($B8689=J$1, ($A8689+$C8689) - MAX(IF($B$2:$B8688=$B8689, $A$2:$A8688+$C$2:$C8688)), "")*24*60, "")</f>
        <v/>
      </c>
      <c r="K8689" s="24" t="str" cm="1">
        <f t="array" ref="K8689">IFERROR(IF($B8689=K$1, ($A8689+$C8689) - MAX(IF($B$2:$B8688=$B8689, $A$2:$A8688+$C$2:$C8688)), "")*24*60, "")</f>
        <v/>
      </c>
      <c r="L8689" s="24" t="str" cm="1">
        <f t="array" ref="L8689">IFERROR(IF($B8689=L$1, ($A8689+$C8689) - MAX(IF($B$2:$B8688=$B8689, $A$2:$A8688+$C$2:$C8688)), "")*24*60, "")</f>
        <v/>
      </c>
      <c r="M8689" s="24" t="str" cm="1">
        <f t="array" ref="M8689">IFERROR(IF($B8689=M$1, ($A8689+$C8689) - MAX(IF($B$2:$B8688=$B8689, $A$2:$A8688+$C$2:$C8688)), "")*24*60, "")</f>
        <v/>
      </c>
      <c r="N8689" s="24" t="str" cm="1">
        <f t="array" ref="N8689">IFERROR(IF($B8689=N$1, ($A8689+$C8689) - MAX(IF($B$2:$B8688=$B8689, $A$2:$A8688+$C$2:$C8688)), "")*24*60, "")</f>
        <v/>
      </c>
      <c r="O8689" s="24" t="str" cm="1">
        <f t="array" ref="O8689">IFERROR(IF($B8689=O$1, ($A8689+$C8689) - MAX(IF($B$2:$B8688=$B8689, $A$2:$A8688+$C$2:$C8688)), "")*24*60, "")</f>
        <v/>
      </c>
      <c r="P8689" s="24" t="str" cm="1">
        <f t="array" ref="P8689">IFERROR(IF($B8689=P$1, ($A8689+$C8689) - MAX(IF($B$2:$B8688=$B8689, $A$2:$A8688+$C$2:$C8688)), "")*24*60, "")</f>
        <v/>
      </c>
      <c r="Q8689" s="24" t="str" cm="1">
        <f t="array" ref="Q8689">IFERROR(IF($B8689=Q$1, ($A8689+$C8689) - MAX(IF($B$2:$B8688=$B8689, $A$2:$A8688+$C$2:$C8688)), "")*24*60, "")</f>
        <v/>
      </c>
      <c r="R8689" s="24" t="str" cm="1">
        <f t="array" ref="R8689">IFERROR(IF($B8689=R$1, ($A8689+$C8689) - MAX(IF($B$2:$B8688=$B8689, $A$2:$A8688+$C$2:$C8688)), "")*24*60, "")</f>
        <v/>
      </c>
      <c r="S8689" s="24" t="str" cm="1">
        <f t="array" ref="S8689">IFERROR(IF($B8689=S$1, ($A8689+$C8689) - MAX(IF($B$2:$B8688=$B8689, $A$2:$A8688+$C$2:$C8688)), "")*24*60, "")</f>
        <v/>
      </c>
    </row>
    <row r="8690" spans="1:19" x14ac:dyDescent="0.2">
      <c r="A8690" s="12">
        <f t="shared" ref="A8690:C8690" si="1425">A8689</f>
        <v>46033</v>
      </c>
      <c r="B8690" s="5" t="str">
        <f t="shared" si="1425"/>
        <v>Northern Cardinal</v>
      </c>
      <c r="C8690" s="6">
        <f t="shared" si="1425"/>
        <v>0.74930555555555556</v>
      </c>
      <c r="D8690" s="5"/>
      <c r="E8690" s="5"/>
      <c r="F8690" s="5" t="s">
        <v>9</v>
      </c>
      <c r="G8690" s="15" t="s">
        <v>8</v>
      </c>
      <c r="H8690" s="24">
        <f t="shared" si="1412"/>
        <v>0</v>
      </c>
      <c r="I8690" s="24" cm="1">
        <f t="array" ref="I8690">IFERROR(IF($B8690=I$1, ($A8690+$C8690) - MAX(IF($B$2:$B8689=$B8690, $A$2:$A8689+$C$2:$C8689)), "")*24*60, "")</f>
        <v>0</v>
      </c>
      <c r="J8690" s="24" t="str" cm="1">
        <f t="array" ref="J8690">IFERROR(IF($B8690=J$1, ($A8690+$C8690) - MAX(IF($B$2:$B8689=$B8690, $A$2:$A8689+$C$2:$C8689)), "")*24*60, "")</f>
        <v/>
      </c>
      <c r="K8690" s="24" t="str" cm="1">
        <f t="array" ref="K8690">IFERROR(IF($B8690=K$1, ($A8690+$C8690) - MAX(IF($B$2:$B8689=$B8690, $A$2:$A8689+$C$2:$C8689)), "")*24*60, "")</f>
        <v/>
      </c>
      <c r="L8690" s="24" t="str" cm="1">
        <f t="array" ref="L8690">IFERROR(IF($B8690=L$1, ($A8690+$C8690) - MAX(IF($B$2:$B8689=$B8690, $A$2:$A8689+$C$2:$C8689)), "")*24*60, "")</f>
        <v/>
      </c>
      <c r="M8690" s="24" t="str" cm="1">
        <f t="array" ref="M8690">IFERROR(IF($B8690=M$1, ($A8690+$C8690) - MAX(IF($B$2:$B8689=$B8690, $A$2:$A8689+$C$2:$C8689)), "")*24*60, "")</f>
        <v/>
      </c>
      <c r="N8690" s="24" t="str" cm="1">
        <f t="array" ref="N8690">IFERROR(IF($B8690=N$1, ($A8690+$C8690) - MAX(IF($B$2:$B8689=$B8690, $A$2:$A8689+$C$2:$C8689)), "")*24*60, "")</f>
        <v/>
      </c>
      <c r="O8690" s="24" t="str" cm="1">
        <f t="array" ref="O8690">IFERROR(IF($B8690=O$1, ($A8690+$C8690) - MAX(IF($B$2:$B8689=$B8690, $A$2:$A8689+$C$2:$C8689)), "")*24*60, "")</f>
        <v/>
      </c>
      <c r="P8690" s="24" t="str" cm="1">
        <f t="array" ref="P8690">IFERROR(IF($B8690=P$1, ($A8690+$C8690) - MAX(IF($B$2:$B8689=$B8690, $A$2:$A8689+$C$2:$C8689)), "")*24*60, "")</f>
        <v/>
      </c>
      <c r="Q8690" s="24" t="str" cm="1">
        <f t="array" ref="Q8690">IFERROR(IF($B8690=Q$1, ($A8690+$C8690) - MAX(IF($B$2:$B8689=$B8690, $A$2:$A8689+$C$2:$C8689)), "")*24*60, "")</f>
        <v/>
      </c>
      <c r="R8690" s="24" t="str" cm="1">
        <f t="array" ref="R8690">IFERROR(IF($B8690=R$1, ($A8690+$C8690) - MAX(IF($B$2:$B8689=$B8690, $A$2:$A8689+$C$2:$C8689)), "")*24*60, "")</f>
        <v/>
      </c>
      <c r="S8690" s="24" t="str" cm="1">
        <f t="array" ref="S8690">IFERROR(IF($B8690=S$1, ($A8690+$C8690) - MAX(IF($B$2:$B8689=$B8690, $A$2:$A8689+$C$2:$C8689)), "")*24*60, "")</f>
        <v/>
      </c>
    </row>
    <row r="8691" spans="1:19" x14ac:dyDescent="0.2">
      <c r="A8691" s="12">
        <f t="shared" ref="A8691:C8691" si="1426">A8690</f>
        <v>46033</v>
      </c>
      <c r="B8691" s="5" t="str">
        <f t="shared" si="1426"/>
        <v>Northern Cardinal</v>
      </c>
      <c r="C8691" s="6">
        <f t="shared" si="1426"/>
        <v>0.74930555555555556</v>
      </c>
      <c r="D8691" s="5"/>
      <c r="E8691" s="5"/>
      <c r="F8691" s="5" t="s">
        <v>9</v>
      </c>
      <c r="G8691" s="15" t="s">
        <v>8</v>
      </c>
      <c r="H8691" s="24">
        <f t="shared" si="1412"/>
        <v>0</v>
      </c>
      <c r="I8691" s="24" cm="1">
        <f t="array" ref="I8691">IFERROR(IF($B8691=I$1, ($A8691+$C8691) - MAX(IF($B$2:$B8690=$B8691, $A$2:$A8690+$C$2:$C8690)), "")*24*60, "")</f>
        <v>0</v>
      </c>
      <c r="J8691" s="24" t="str" cm="1">
        <f t="array" ref="J8691">IFERROR(IF($B8691=J$1, ($A8691+$C8691) - MAX(IF($B$2:$B8690=$B8691, $A$2:$A8690+$C$2:$C8690)), "")*24*60, "")</f>
        <v/>
      </c>
      <c r="K8691" s="24" t="str" cm="1">
        <f t="array" ref="K8691">IFERROR(IF($B8691=K$1, ($A8691+$C8691) - MAX(IF($B$2:$B8690=$B8691, $A$2:$A8690+$C$2:$C8690)), "")*24*60, "")</f>
        <v/>
      </c>
      <c r="L8691" s="24" t="str" cm="1">
        <f t="array" ref="L8691">IFERROR(IF($B8691=L$1, ($A8691+$C8691) - MAX(IF($B$2:$B8690=$B8691, $A$2:$A8690+$C$2:$C8690)), "")*24*60, "")</f>
        <v/>
      </c>
      <c r="M8691" s="24" t="str" cm="1">
        <f t="array" ref="M8691">IFERROR(IF($B8691=M$1, ($A8691+$C8691) - MAX(IF($B$2:$B8690=$B8691, $A$2:$A8690+$C$2:$C8690)), "")*24*60, "")</f>
        <v/>
      </c>
      <c r="N8691" s="24" t="str" cm="1">
        <f t="array" ref="N8691">IFERROR(IF($B8691=N$1, ($A8691+$C8691) - MAX(IF($B$2:$B8690=$B8691, $A$2:$A8690+$C$2:$C8690)), "")*24*60, "")</f>
        <v/>
      </c>
      <c r="O8691" s="24" t="str" cm="1">
        <f t="array" ref="O8691">IFERROR(IF($B8691=O$1, ($A8691+$C8691) - MAX(IF($B$2:$B8690=$B8691, $A$2:$A8690+$C$2:$C8690)), "")*24*60, "")</f>
        <v/>
      </c>
      <c r="P8691" s="24" t="str" cm="1">
        <f t="array" ref="P8691">IFERROR(IF($B8691=P$1, ($A8691+$C8691) - MAX(IF($B$2:$B8690=$B8691, $A$2:$A8690+$C$2:$C8690)), "")*24*60, "")</f>
        <v/>
      </c>
      <c r="Q8691" s="24" t="str" cm="1">
        <f t="array" ref="Q8691">IFERROR(IF($B8691=Q$1, ($A8691+$C8691) - MAX(IF($B$2:$B8690=$B8691, $A$2:$A8690+$C$2:$C8690)), "")*24*60, "")</f>
        <v/>
      </c>
      <c r="R8691" s="24" t="str" cm="1">
        <f t="array" ref="R8691">IFERROR(IF($B8691=R$1, ($A8691+$C8691) - MAX(IF($B$2:$B8690=$B8691, $A$2:$A8690+$C$2:$C8690)), "")*24*60, "")</f>
        <v/>
      </c>
      <c r="S8691" s="24" t="str" cm="1">
        <f t="array" ref="S8691">IFERROR(IF($B8691=S$1, ($A8691+$C8691) - MAX(IF($B$2:$B8690=$B8691, $A$2:$A8690+$C$2:$C8690)), "")*24*60, "")</f>
        <v/>
      </c>
    </row>
    <row r="8692" spans="1:19" x14ac:dyDescent="0.2">
      <c r="A8692" s="12">
        <f t="shared" ref="A8692:C8692" si="1427">A8691</f>
        <v>46033</v>
      </c>
      <c r="B8692" s="5" t="str">
        <f t="shared" si="1427"/>
        <v>Northern Cardinal</v>
      </c>
      <c r="C8692" s="6">
        <f t="shared" si="1427"/>
        <v>0.74930555555555556</v>
      </c>
      <c r="D8692" s="5"/>
      <c r="E8692" s="5"/>
      <c r="F8692" s="5" t="s">
        <v>9</v>
      </c>
      <c r="G8692" s="15" t="s">
        <v>8</v>
      </c>
      <c r="H8692" s="24">
        <f t="shared" si="1412"/>
        <v>0</v>
      </c>
      <c r="I8692" s="24" cm="1">
        <f t="array" ref="I8692">IFERROR(IF($B8692=I$1, ($A8692+$C8692) - MAX(IF($B$2:$B8691=$B8692, $A$2:$A8691+$C$2:$C8691)), "")*24*60, "")</f>
        <v>0</v>
      </c>
      <c r="J8692" s="24" t="str" cm="1">
        <f t="array" ref="J8692">IFERROR(IF($B8692=J$1, ($A8692+$C8692) - MAX(IF($B$2:$B8691=$B8692, $A$2:$A8691+$C$2:$C8691)), "")*24*60, "")</f>
        <v/>
      </c>
      <c r="K8692" s="24" t="str" cm="1">
        <f t="array" ref="K8692">IFERROR(IF($B8692=K$1, ($A8692+$C8692) - MAX(IF($B$2:$B8691=$B8692, $A$2:$A8691+$C$2:$C8691)), "")*24*60, "")</f>
        <v/>
      </c>
      <c r="L8692" s="24" t="str" cm="1">
        <f t="array" ref="L8692">IFERROR(IF($B8692=L$1, ($A8692+$C8692) - MAX(IF($B$2:$B8691=$B8692, $A$2:$A8691+$C$2:$C8691)), "")*24*60, "")</f>
        <v/>
      </c>
      <c r="M8692" s="24" t="str" cm="1">
        <f t="array" ref="M8692">IFERROR(IF($B8692=M$1, ($A8692+$C8692) - MAX(IF($B$2:$B8691=$B8692, $A$2:$A8691+$C$2:$C8691)), "")*24*60, "")</f>
        <v/>
      </c>
      <c r="N8692" s="24" t="str" cm="1">
        <f t="array" ref="N8692">IFERROR(IF($B8692=N$1, ($A8692+$C8692) - MAX(IF($B$2:$B8691=$B8692, $A$2:$A8691+$C$2:$C8691)), "")*24*60, "")</f>
        <v/>
      </c>
      <c r="O8692" s="24" t="str" cm="1">
        <f t="array" ref="O8692">IFERROR(IF($B8692=O$1, ($A8692+$C8692) - MAX(IF($B$2:$B8691=$B8692, $A$2:$A8691+$C$2:$C8691)), "")*24*60, "")</f>
        <v/>
      </c>
      <c r="P8692" s="24" t="str" cm="1">
        <f t="array" ref="P8692">IFERROR(IF($B8692=P$1, ($A8692+$C8692) - MAX(IF($B$2:$B8691=$B8692, $A$2:$A8691+$C$2:$C8691)), "")*24*60, "")</f>
        <v/>
      </c>
      <c r="Q8692" s="24" t="str" cm="1">
        <f t="array" ref="Q8692">IFERROR(IF($B8692=Q$1, ($A8692+$C8692) - MAX(IF($B$2:$B8691=$B8692, $A$2:$A8691+$C$2:$C8691)), "")*24*60, "")</f>
        <v/>
      </c>
      <c r="R8692" s="24" t="str" cm="1">
        <f t="array" ref="R8692">IFERROR(IF($B8692=R$1, ($A8692+$C8692) - MAX(IF($B$2:$B8691=$B8692, $A$2:$A8691+$C$2:$C8691)), "")*24*60, "")</f>
        <v/>
      </c>
      <c r="S8692" s="24" t="str" cm="1">
        <f t="array" ref="S8692">IFERROR(IF($B8692=S$1, ($A8692+$C8692) - MAX(IF($B$2:$B8691=$B8692, $A$2:$A8691+$C$2:$C8691)), "")*24*60, "")</f>
        <v/>
      </c>
    </row>
    <row r="8693" spans="1:19" x14ac:dyDescent="0.2">
      <c r="A8693" s="12">
        <f t="shared" ref="A8693:C8693" si="1428">A8692</f>
        <v>46033</v>
      </c>
      <c r="B8693" s="5" t="str">
        <f t="shared" si="1428"/>
        <v>Northern Cardinal</v>
      </c>
      <c r="C8693" s="6">
        <f t="shared" si="1428"/>
        <v>0.74930555555555556</v>
      </c>
      <c r="D8693" s="5"/>
      <c r="E8693" s="5"/>
      <c r="F8693" s="5" t="s">
        <v>9</v>
      </c>
      <c r="G8693" s="15" t="s">
        <v>8</v>
      </c>
      <c r="H8693" s="24">
        <f t="shared" si="1412"/>
        <v>0</v>
      </c>
      <c r="I8693" s="24" cm="1">
        <f t="array" ref="I8693">IFERROR(IF($B8693=I$1, ($A8693+$C8693) - MAX(IF($B$2:$B8692=$B8693, $A$2:$A8692+$C$2:$C8692)), "")*24*60, "")</f>
        <v>0</v>
      </c>
      <c r="J8693" s="24" t="str" cm="1">
        <f t="array" ref="J8693">IFERROR(IF($B8693=J$1, ($A8693+$C8693) - MAX(IF($B$2:$B8692=$B8693, $A$2:$A8692+$C$2:$C8692)), "")*24*60, "")</f>
        <v/>
      </c>
      <c r="K8693" s="24" t="str" cm="1">
        <f t="array" ref="K8693">IFERROR(IF($B8693=K$1, ($A8693+$C8693) - MAX(IF($B$2:$B8692=$B8693, $A$2:$A8692+$C$2:$C8692)), "")*24*60, "")</f>
        <v/>
      </c>
      <c r="L8693" s="24" t="str" cm="1">
        <f t="array" ref="L8693">IFERROR(IF($B8693=L$1, ($A8693+$C8693) - MAX(IF($B$2:$B8692=$B8693, $A$2:$A8692+$C$2:$C8692)), "")*24*60, "")</f>
        <v/>
      </c>
      <c r="M8693" s="24" t="str" cm="1">
        <f t="array" ref="M8693">IFERROR(IF($B8693=M$1, ($A8693+$C8693) - MAX(IF($B$2:$B8692=$B8693, $A$2:$A8692+$C$2:$C8692)), "")*24*60, "")</f>
        <v/>
      </c>
      <c r="N8693" s="24" t="str" cm="1">
        <f t="array" ref="N8693">IFERROR(IF($B8693=N$1, ($A8693+$C8693) - MAX(IF($B$2:$B8692=$B8693, $A$2:$A8692+$C$2:$C8692)), "")*24*60, "")</f>
        <v/>
      </c>
      <c r="O8693" s="24" t="str" cm="1">
        <f t="array" ref="O8693">IFERROR(IF($B8693=O$1, ($A8693+$C8693) - MAX(IF($B$2:$B8692=$B8693, $A$2:$A8692+$C$2:$C8692)), "")*24*60, "")</f>
        <v/>
      </c>
      <c r="P8693" s="24" t="str" cm="1">
        <f t="array" ref="P8693">IFERROR(IF($B8693=P$1, ($A8693+$C8693) - MAX(IF($B$2:$B8692=$B8693, $A$2:$A8692+$C$2:$C8692)), "")*24*60, "")</f>
        <v/>
      </c>
      <c r="Q8693" s="24" t="str" cm="1">
        <f t="array" ref="Q8693">IFERROR(IF($B8693=Q$1, ($A8693+$C8693) - MAX(IF($B$2:$B8692=$B8693, $A$2:$A8692+$C$2:$C8692)), "")*24*60, "")</f>
        <v/>
      </c>
      <c r="R8693" s="24" t="str" cm="1">
        <f t="array" ref="R8693">IFERROR(IF($B8693=R$1, ($A8693+$C8693) - MAX(IF($B$2:$B8692=$B8693, $A$2:$A8692+$C$2:$C8692)), "")*24*60, "")</f>
        <v/>
      </c>
      <c r="S8693" s="24" t="str" cm="1">
        <f t="array" ref="S8693">IFERROR(IF($B8693=S$1, ($A8693+$C8693) - MAX(IF($B$2:$B8692=$B8693, $A$2:$A8692+$C$2:$C8692)), "")*24*60, "")</f>
        <v/>
      </c>
    </row>
    <row r="8694" spans="1:19" x14ac:dyDescent="0.2">
      <c r="A8694" s="12">
        <f t="shared" ref="A8694:C8694" si="1429">A8693</f>
        <v>46033</v>
      </c>
      <c r="B8694" s="5" t="str">
        <f t="shared" si="1429"/>
        <v>Northern Cardinal</v>
      </c>
      <c r="C8694" s="6">
        <f t="shared" si="1429"/>
        <v>0.74930555555555556</v>
      </c>
      <c r="D8694" s="5"/>
      <c r="E8694" s="5"/>
      <c r="F8694" s="5" t="s">
        <v>9</v>
      </c>
      <c r="G8694" s="15" t="s">
        <v>8</v>
      </c>
      <c r="H8694" s="24">
        <f t="shared" si="1412"/>
        <v>0</v>
      </c>
      <c r="I8694" s="24" cm="1">
        <f t="array" ref="I8694">IFERROR(IF($B8694=I$1, ($A8694+$C8694) - MAX(IF($B$2:$B8693=$B8694, $A$2:$A8693+$C$2:$C8693)), "")*24*60, "")</f>
        <v>0</v>
      </c>
      <c r="J8694" s="24" t="str" cm="1">
        <f t="array" ref="J8694">IFERROR(IF($B8694=J$1, ($A8694+$C8694) - MAX(IF($B$2:$B8693=$B8694, $A$2:$A8693+$C$2:$C8693)), "")*24*60, "")</f>
        <v/>
      </c>
      <c r="K8694" s="24" t="str" cm="1">
        <f t="array" ref="K8694">IFERROR(IF($B8694=K$1, ($A8694+$C8694) - MAX(IF($B$2:$B8693=$B8694, $A$2:$A8693+$C$2:$C8693)), "")*24*60, "")</f>
        <v/>
      </c>
      <c r="L8694" s="24" t="str" cm="1">
        <f t="array" ref="L8694">IFERROR(IF($B8694=L$1, ($A8694+$C8694) - MAX(IF($B$2:$B8693=$B8694, $A$2:$A8693+$C$2:$C8693)), "")*24*60, "")</f>
        <v/>
      </c>
      <c r="M8694" s="24" t="str" cm="1">
        <f t="array" ref="M8694">IFERROR(IF($B8694=M$1, ($A8694+$C8694) - MAX(IF($B$2:$B8693=$B8694, $A$2:$A8693+$C$2:$C8693)), "")*24*60, "")</f>
        <v/>
      </c>
      <c r="N8694" s="24" t="str" cm="1">
        <f t="array" ref="N8694">IFERROR(IF($B8694=N$1, ($A8694+$C8694) - MAX(IF($B$2:$B8693=$B8694, $A$2:$A8693+$C$2:$C8693)), "")*24*60, "")</f>
        <v/>
      </c>
      <c r="O8694" s="24" t="str" cm="1">
        <f t="array" ref="O8694">IFERROR(IF($B8694=O$1, ($A8694+$C8694) - MAX(IF($B$2:$B8693=$B8694, $A$2:$A8693+$C$2:$C8693)), "")*24*60, "")</f>
        <v/>
      </c>
      <c r="P8694" s="24" t="str" cm="1">
        <f t="array" ref="P8694">IFERROR(IF($B8694=P$1, ($A8694+$C8694) - MAX(IF($B$2:$B8693=$B8694, $A$2:$A8693+$C$2:$C8693)), "")*24*60, "")</f>
        <v/>
      </c>
      <c r="Q8694" s="24" t="str" cm="1">
        <f t="array" ref="Q8694">IFERROR(IF($B8694=Q$1, ($A8694+$C8694) - MAX(IF($B$2:$B8693=$B8694, $A$2:$A8693+$C$2:$C8693)), "")*24*60, "")</f>
        <v/>
      </c>
      <c r="R8694" s="24" t="str" cm="1">
        <f t="array" ref="R8694">IFERROR(IF($B8694=R$1, ($A8694+$C8694) - MAX(IF($B$2:$B8693=$B8694, $A$2:$A8693+$C$2:$C8693)), "")*24*60, "")</f>
        <v/>
      </c>
      <c r="S8694" s="24" t="str" cm="1">
        <f t="array" ref="S8694">IFERROR(IF($B8694=S$1, ($A8694+$C8694) - MAX(IF($B$2:$B8693=$B8694, $A$2:$A8693+$C$2:$C8693)), "")*24*60, "")</f>
        <v/>
      </c>
    </row>
    <row r="8695" spans="1:19" x14ac:dyDescent="0.2">
      <c r="A8695" s="12">
        <f t="shared" ref="A8695:C8695" si="1430">A8694</f>
        <v>46033</v>
      </c>
      <c r="B8695" s="5" t="str">
        <f t="shared" si="1430"/>
        <v>Northern Cardinal</v>
      </c>
      <c r="C8695" s="6">
        <f t="shared" si="1430"/>
        <v>0.74930555555555556</v>
      </c>
      <c r="D8695" s="5"/>
      <c r="E8695" s="5"/>
      <c r="F8695" s="5" t="s">
        <v>9</v>
      </c>
      <c r="G8695" s="15" t="s">
        <v>8</v>
      </c>
      <c r="H8695" s="24">
        <f t="shared" si="1412"/>
        <v>0</v>
      </c>
      <c r="I8695" s="24" cm="1">
        <f t="array" ref="I8695">IFERROR(IF($B8695=I$1, ($A8695+$C8695) - MAX(IF($B$2:$B8694=$B8695, $A$2:$A8694+$C$2:$C8694)), "")*24*60, "")</f>
        <v>0</v>
      </c>
      <c r="J8695" s="24" t="str" cm="1">
        <f t="array" ref="J8695">IFERROR(IF($B8695=J$1, ($A8695+$C8695) - MAX(IF($B$2:$B8694=$B8695, $A$2:$A8694+$C$2:$C8694)), "")*24*60, "")</f>
        <v/>
      </c>
      <c r="K8695" s="24" t="str" cm="1">
        <f t="array" ref="K8695">IFERROR(IF($B8695=K$1, ($A8695+$C8695) - MAX(IF($B$2:$B8694=$B8695, $A$2:$A8694+$C$2:$C8694)), "")*24*60, "")</f>
        <v/>
      </c>
      <c r="L8695" s="24" t="str" cm="1">
        <f t="array" ref="L8695">IFERROR(IF($B8695=L$1, ($A8695+$C8695) - MAX(IF($B$2:$B8694=$B8695, $A$2:$A8694+$C$2:$C8694)), "")*24*60, "")</f>
        <v/>
      </c>
      <c r="M8695" s="24" t="str" cm="1">
        <f t="array" ref="M8695">IFERROR(IF($B8695=M$1, ($A8695+$C8695) - MAX(IF($B$2:$B8694=$B8695, $A$2:$A8694+$C$2:$C8694)), "")*24*60, "")</f>
        <v/>
      </c>
      <c r="N8695" s="24" t="str" cm="1">
        <f t="array" ref="N8695">IFERROR(IF($B8695=N$1, ($A8695+$C8695) - MAX(IF($B$2:$B8694=$B8695, $A$2:$A8694+$C$2:$C8694)), "")*24*60, "")</f>
        <v/>
      </c>
      <c r="O8695" s="24" t="str" cm="1">
        <f t="array" ref="O8695">IFERROR(IF($B8695=O$1, ($A8695+$C8695) - MAX(IF($B$2:$B8694=$B8695, $A$2:$A8694+$C$2:$C8694)), "")*24*60, "")</f>
        <v/>
      </c>
      <c r="P8695" s="24" t="str" cm="1">
        <f t="array" ref="P8695">IFERROR(IF($B8695=P$1, ($A8695+$C8695) - MAX(IF($B$2:$B8694=$B8695, $A$2:$A8694+$C$2:$C8694)), "")*24*60, "")</f>
        <v/>
      </c>
      <c r="Q8695" s="24" t="str" cm="1">
        <f t="array" ref="Q8695">IFERROR(IF($B8695=Q$1, ($A8695+$C8695) - MAX(IF($B$2:$B8694=$B8695, $A$2:$A8694+$C$2:$C8694)), "")*24*60, "")</f>
        <v/>
      </c>
      <c r="R8695" s="24" t="str" cm="1">
        <f t="array" ref="R8695">IFERROR(IF($B8695=R$1, ($A8695+$C8695) - MAX(IF($B$2:$B8694=$B8695, $A$2:$A8694+$C$2:$C8694)), "")*24*60, "")</f>
        <v/>
      </c>
      <c r="S8695" s="24" t="str" cm="1">
        <f t="array" ref="S8695">IFERROR(IF($B8695=S$1, ($A8695+$C8695) - MAX(IF($B$2:$B8694=$B8695, $A$2:$A8694+$C$2:$C8694)), "")*24*60, "")</f>
        <v/>
      </c>
    </row>
    <row r="8696" spans="1:19" x14ac:dyDescent="0.2">
      <c r="A8696" s="12">
        <f t="shared" ref="A8696:C8696" si="1431">A8695</f>
        <v>46033</v>
      </c>
      <c r="B8696" s="5" t="str">
        <f t="shared" si="1431"/>
        <v>Northern Cardinal</v>
      </c>
      <c r="C8696" s="6">
        <f t="shared" si="1431"/>
        <v>0.74930555555555556</v>
      </c>
      <c r="D8696" s="5"/>
      <c r="E8696" s="5"/>
      <c r="F8696" s="5" t="s">
        <v>9</v>
      </c>
      <c r="G8696" s="15" t="s">
        <v>8</v>
      </c>
      <c r="H8696" s="24">
        <f t="shared" si="1412"/>
        <v>0</v>
      </c>
      <c r="I8696" s="24" cm="1">
        <f t="array" ref="I8696">IFERROR(IF($B8696=I$1, ($A8696+$C8696) - MAX(IF($B$2:$B8695=$B8696, $A$2:$A8695+$C$2:$C8695)), "")*24*60, "")</f>
        <v>0</v>
      </c>
      <c r="J8696" s="24" t="str" cm="1">
        <f t="array" ref="J8696">IFERROR(IF($B8696=J$1, ($A8696+$C8696) - MAX(IF($B$2:$B8695=$B8696, $A$2:$A8695+$C$2:$C8695)), "")*24*60, "")</f>
        <v/>
      </c>
      <c r="K8696" s="24" t="str" cm="1">
        <f t="array" ref="K8696">IFERROR(IF($B8696=K$1, ($A8696+$C8696) - MAX(IF($B$2:$B8695=$B8696, $A$2:$A8695+$C$2:$C8695)), "")*24*60, "")</f>
        <v/>
      </c>
      <c r="L8696" s="24" t="str" cm="1">
        <f t="array" ref="L8696">IFERROR(IF($B8696=L$1, ($A8696+$C8696) - MAX(IF($B$2:$B8695=$B8696, $A$2:$A8695+$C$2:$C8695)), "")*24*60, "")</f>
        <v/>
      </c>
      <c r="M8696" s="24" t="str" cm="1">
        <f t="array" ref="M8696">IFERROR(IF($B8696=M$1, ($A8696+$C8696) - MAX(IF($B$2:$B8695=$B8696, $A$2:$A8695+$C$2:$C8695)), "")*24*60, "")</f>
        <v/>
      </c>
      <c r="N8696" s="24" t="str" cm="1">
        <f t="array" ref="N8696">IFERROR(IF($B8696=N$1, ($A8696+$C8696) - MAX(IF($B$2:$B8695=$B8696, $A$2:$A8695+$C$2:$C8695)), "")*24*60, "")</f>
        <v/>
      </c>
      <c r="O8696" s="24" t="str" cm="1">
        <f t="array" ref="O8696">IFERROR(IF($B8696=O$1, ($A8696+$C8696) - MAX(IF($B$2:$B8695=$B8696, $A$2:$A8695+$C$2:$C8695)), "")*24*60, "")</f>
        <v/>
      </c>
      <c r="P8696" s="24" t="str" cm="1">
        <f t="array" ref="P8696">IFERROR(IF($B8696=P$1, ($A8696+$C8696) - MAX(IF($B$2:$B8695=$B8696, $A$2:$A8695+$C$2:$C8695)), "")*24*60, "")</f>
        <v/>
      </c>
      <c r="Q8696" s="24" t="str" cm="1">
        <f t="array" ref="Q8696">IFERROR(IF($B8696=Q$1, ($A8696+$C8696) - MAX(IF($B$2:$B8695=$B8696, $A$2:$A8695+$C$2:$C8695)), "")*24*60, "")</f>
        <v/>
      </c>
      <c r="R8696" s="24" t="str" cm="1">
        <f t="array" ref="R8696">IFERROR(IF($B8696=R$1, ($A8696+$C8696) - MAX(IF($B$2:$B8695=$B8696, $A$2:$A8695+$C$2:$C8695)), "")*24*60, "")</f>
        <v/>
      </c>
      <c r="S8696" s="24" t="str" cm="1">
        <f t="array" ref="S8696">IFERROR(IF($B8696=S$1, ($A8696+$C8696) - MAX(IF($B$2:$B8695=$B8696, $A$2:$A8695+$C$2:$C8695)), "")*24*60, "")</f>
        <v/>
      </c>
    </row>
    <row r="8697" spans="1:19" x14ac:dyDescent="0.2">
      <c r="A8697" s="12">
        <f t="shared" ref="A8697:C8697" si="1432">A8696</f>
        <v>46033</v>
      </c>
      <c r="B8697" s="5" t="str">
        <f t="shared" si="1432"/>
        <v>Northern Cardinal</v>
      </c>
      <c r="C8697" s="6">
        <f t="shared" si="1432"/>
        <v>0.74930555555555556</v>
      </c>
      <c r="D8697" s="5"/>
      <c r="E8697" s="5"/>
      <c r="F8697" s="5" t="s">
        <v>9</v>
      </c>
      <c r="G8697" s="15" t="s">
        <v>8</v>
      </c>
      <c r="H8697" s="24">
        <f t="shared" si="1412"/>
        <v>0</v>
      </c>
      <c r="I8697" s="24" cm="1">
        <f t="array" ref="I8697">IFERROR(IF($B8697=I$1, ($A8697+$C8697) - MAX(IF($B$2:$B8696=$B8697, $A$2:$A8696+$C$2:$C8696)), "")*24*60, "")</f>
        <v>0</v>
      </c>
      <c r="J8697" s="24" t="str" cm="1">
        <f t="array" ref="J8697">IFERROR(IF($B8697=J$1, ($A8697+$C8697) - MAX(IF($B$2:$B8696=$B8697, $A$2:$A8696+$C$2:$C8696)), "")*24*60, "")</f>
        <v/>
      </c>
      <c r="K8697" s="24" t="str" cm="1">
        <f t="array" ref="K8697">IFERROR(IF($B8697=K$1, ($A8697+$C8697) - MAX(IF($B$2:$B8696=$B8697, $A$2:$A8696+$C$2:$C8696)), "")*24*60, "")</f>
        <v/>
      </c>
      <c r="L8697" s="24" t="str" cm="1">
        <f t="array" ref="L8697">IFERROR(IF($B8697=L$1, ($A8697+$C8697) - MAX(IF($B$2:$B8696=$B8697, $A$2:$A8696+$C$2:$C8696)), "")*24*60, "")</f>
        <v/>
      </c>
      <c r="M8697" s="24" t="str" cm="1">
        <f t="array" ref="M8697">IFERROR(IF($B8697=M$1, ($A8697+$C8697) - MAX(IF($B$2:$B8696=$B8697, $A$2:$A8696+$C$2:$C8696)), "")*24*60, "")</f>
        <v/>
      </c>
      <c r="N8697" s="24" t="str" cm="1">
        <f t="array" ref="N8697">IFERROR(IF($B8697=N$1, ($A8697+$C8697) - MAX(IF($B$2:$B8696=$B8697, $A$2:$A8696+$C$2:$C8696)), "")*24*60, "")</f>
        <v/>
      </c>
      <c r="O8697" s="24" t="str" cm="1">
        <f t="array" ref="O8697">IFERROR(IF($B8697=O$1, ($A8697+$C8697) - MAX(IF($B$2:$B8696=$B8697, $A$2:$A8696+$C$2:$C8696)), "")*24*60, "")</f>
        <v/>
      </c>
      <c r="P8697" s="24" t="str" cm="1">
        <f t="array" ref="P8697">IFERROR(IF($B8697=P$1, ($A8697+$C8697) - MAX(IF($B$2:$B8696=$B8697, $A$2:$A8696+$C$2:$C8696)), "")*24*60, "")</f>
        <v/>
      </c>
      <c r="Q8697" s="24" t="str" cm="1">
        <f t="array" ref="Q8697">IFERROR(IF($B8697=Q$1, ($A8697+$C8697) - MAX(IF($B$2:$B8696=$B8697, $A$2:$A8696+$C$2:$C8696)), "")*24*60, "")</f>
        <v/>
      </c>
      <c r="R8697" s="24" t="str" cm="1">
        <f t="array" ref="R8697">IFERROR(IF($B8697=R$1, ($A8697+$C8697) - MAX(IF($B$2:$B8696=$B8697, $A$2:$A8696+$C$2:$C8696)), "")*24*60, "")</f>
        <v/>
      </c>
      <c r="S8697" s="24" t="str" cm="1">
        <f t="array" ref="S8697">IFERROR(IF($B8697=S$1, ($A8697+$C8697) - MAX(IF($B$2:$B8696=$B8697, $A$2:$A8696+$C$2:$C8696)), "")*24*60, "")</f>
        <v/>
      </c>
    </row>
    <row r="8698" spans="1:19" x14ac:dyDescent="0.2">
      <c r="A8698" s="12">
        <f t="shared" ref="A8698:C8698" si="1433">A8697</f>
        <v>46033</v>
      </c>
      <c r="B8698" s="5" t="str">
        <f t="shared" si="1433"/>
        <v>Northern Cardinal</v>
      </c>
      <c r="C8698" s="6">
        <f t="shared" si="1433"/>
        <v>0.74930555555555556</v>
      </c>
      <c r="D8698" s="5"/>
      <c r="E8698" s="5"/>
      <c r="F8698" s="5" t="s">
        <v>9</v>
      </c>
      <c r="G8698" s="15" t="s">
        <v>8</v>
      </c>
      <c r="H8698" s="24">
        <f t="shared" si="1412"/>
        <v>0</v>
      </c>
      <c r="I8698" s="24" cm="1">
        <f t="array" ref="I8698">IFERROR(IF($B8698=I$1, ($A8698+$C8698) - MAX(IF($B$2:$B8697=$B8698, $A$2:$A8697+$C$2:$C8697)), "")*24*60, "")</f>
        <v>0</v>
      </c>
      <c r="J8698" s="24" t="str" cm="1">
        <f t="array" ref="J8698">IFERROR(IF($B8698=J$1, ($A8698+$C8698) - MAX(IF($B$2:$B8697=$B8698, $A$2:$A8697+$C$2:$C8697)), "")*24*60, "")</f>
        <v/>
      </c>
      <c r="K8698" s="24" t="str" cm="1">
        <f t="array" ref="K8698">IFERROR(IF($B8698=K$1, ($A8698+$C8698) - MAX(IF($B$2:$B8697=$B8698, $A$2:$A8697+$C$2:$C8697)), "")*24*60, "")</f>
        <v/>
      </c>
      <c r="L8698" s="24" t="str" cm="1">
        <f t="array" ref="L8698">IFERROR(IF($B8698=L$1, ($A8698+$C8698) - MAX(IF($B$2:$B8697=$B8698, $A$2:$A8697+$C$2:$C8697)), "")*24*60, "")</f>
        <v/>
      </c>
      <c r="M8698" s="24" t="str" cm="1">
        <f t="array" ref="M8698">IFERROR(IF($B8698=M$1, ($A8698+$C8698) - MAX(IF($B$2:$B8697=$B8698, $A$2:$A8697+$C$2:$C8697)), "")*24*60, "")</f>
        <v/>
      </c>
      <c r="N8698" s="24" t="str" cm="1">
        <f t="array" ref="N8698">IFERROR(IF($B8698=N$1, ($A8698+$C8698) - MAX(IF($B$2:$B8697=$B8698, $A$2:$A8697+$C$2:$C8697)), "")*24*60, "")</f>
        <v/>
      </c>
      <c r="O8698" s="24" t="str" cm="1">
        <f t="array" ref="O8698">IFERROR(IF($B8698=O$1, ($A8698+$C8698) - MAX(IF($B$2:$B8697=$B8698, $A$2:$A8697+$C$2:$C8697)), "")*24*60, "")</f>
        <v/>
      </c>
      <c r="P8698" s="24" t="str" cm="1">
        <f t="array" ref="P8698">IFERROR(IF($B8698=P$1, ($A8698+$C8698) - MAX(IF($B$2:$B8697=$B8698, $A$2:$A8697+$C$2:$C8697)), "")*24*60, "")</f>
        <v/>
      </c>
      <c r="Q8698" s="24" t="str" cm="1">
        <f t="array" ref="Q8698">IFERROR(IF($B8698=Q$1, ($A8698+$C8698) - MAX(IF($B$2:$B8697=$B8698, $A$2:$A8697+$C$2:$C8697)), "")*24*60, "")</f>
        <v/>
      </c>
      <c r="R8698" s="24" t="str" cm="1">
        <f t="array" ref="R8698">IFERROR(IF($B8698=R$1, ($A8698+$C8698) - MAX(IF($B$2:$B8697=$B8698, $A$2:$A8697+$C$2:$C8697)), "")*24*60, "")</f>
        <v/>
      </c>
      <c r="S8698" s="24" t="str" cm="1">
        <f t="array" ref="S8698">IFERROR(IF($B8698=S$1, ($A8698+$C8698) - MAX(IF($B$2:$B8697=$B8698, $A$2:$A8697+$C$2:$C8697)), "")*24*60, "")</f>
        <v/>
      </c>
    </row>
    <row r="8699" spans="1:19" x14ac:dyDescent="0.2">
      <c r="A8699" s="12">
        <f t="shared" ref="A8699:C8699" si="1434">A8698</f>
        <v>46033</v>
      </c>
      <c r="B8699" s="5" t="str">
        <f t="shared" si="1434"/>
        <v>Northern Cardinal</v>
      </c>
      <c r="C8699" s="6">
        <f t="shared" si="1434"/>
        <v>0.74930555555555556</v>
      </c>
      <c r="D8699" s="5"/>
      <c r="E8699" s="5"/>
      <c r="F8699" s="5" t="s">
        <v>9</v>
      </c>
      <c r="G8699" s="15" t="s">
        <v>8</v>
      </c>
      <c r="H8699" s="24">
        <f t="shared" si="1412"/>
        <v>0</v>
      </c>
      <c r="I8699" s="24" cm="1">
        <f t="array" ref="I8699">IFERROR(IF($B8699=I$1, ($A8699+$C8699) - MAX(IF($B$2:$B8698=$B8699, $A$2:$A8698+$C$2:$C8698)), "")*24*60, "")</f>
        <v>0</v>
      </c>
      <c r="J8699" s="24" t="str" cm="1">
        <f t="array" ref="J8699">IFERROR(IF($B8699=J$1, ($A8699+$C8699) - MAX(IF($B$2:$B8698=$B8699, $A$2:$A8698+$C$2:$C8698)), "")*24*60, "")</f>
        <v/>
      </c>
      <c r="K8699" s="24" t="str" cm="1">
        <f t="array" ref="K8699">IFERROR(IF($B8699=K$1, ($A8699+$C8699) - MAX(IF($B$2:$B8698=$B8699, $A$2:$A8698+$C$2:$C8698)), "")*24*60, "")</f>
        <v/>
      </c>
      <c r="L8699" s="24" t="str" cm="1">
        <f t="array" ref="L8699">IFERROR(IF($B8699=L$1, ($A8699+$C8699) - MAX(IF($B$2:$B8698=$B8699, $A$2:$A8698+$C$2:$C8698)), "")*24*60, "")</f>
        <v/>
      </c>
      <c r="M8699" s="24" t="str" cm="1">
        <f t="array" ref="M8699">IFERROR(IF($B8699=M$1, ($A8699+$C8699) - MAX(IF($B$2:$B8698=$B8699, $A$2:$A8698+$C$2:$C8698)), "")*24*60, "")</f>
        <v/>
      </c>
      <c r="N8699" s="24" t="str" cm="1">
        <f t="array" ref="N8699">IFERROR(IF($B8699=N$1, ($A8699+$C8699) - MAX(IF($B$2:$B8698=$B8699, $A$2:$A8698+$C$2:$C8698)), "")*24*60, "")</f>
        <v/>
      </c>
      <c r="O8699" s="24" t="str" cm="1">
        <f t="array" ref="O8699">IFERROR(IF($B8699=O$1, ($A8699+$C8699) - MAX(IF($B$2:$B8698=$B8699, $A$2:$A8698+$C$2:$C8698)), "")*24*60, "")</f>
        <v/>
      </c>
      <c r="P8699" s="24" t="str" cm="1">
        <f t="array" ref="P8699">IFERROR(IF($B8699=P$1, ($A8699+$C8699) - MAX(IF($B$2:$B8698=$B8699, $A$2:$A8698+$C$2:$C8698)), "")*24*60, "")</f>
        <v/>
      </c>
      <c r="Q8699" s="24" t="str" cm="1">
        <f t="array" ref="Q8699">IFERROR(IF($B8699=Q$1, ($A8699+$C8699) - MAX(IF($B$2:$B8698=$B8699, $A$2:$A8698+$C$2:$C8698)), "")*24*60, "")</f>
        <v/>
      </c>
      <c r="R8699" s="24" t="str" cm="1">
        <f t="array" ref="R8699">IFERROR(IF($B8699=R$1, ($A8699+$C8699) - MAX(IF($B$2:$B8698=$B8699, $A$2:$A8698+$C$2:$C8698)), "")*24*60, "")</f>
        <v/>
      </c>
      <c r="S8699" s="24" t="str" cm="1">
        <f t="array" ref="S8699">IFERROR(IF($B8699=S$1, ($A8699+$C8699) - MAX(IF($B$2:$B8698=$B8699, $A$2:$A8698+$C$2:$C8698)), "")*24*60, "")</f>
        <v/>
      </c>
    </row>
    <row r="8700" spans="1:19" x14ac:dyDescent="0.2">
      <c r="A8700" s="12">
        <f t="shared" ref="A8700:C8700" si="1435">A8699</f>
        <v>46033</v>
      </c>
      <c r="B8700" s="5" t="str">
        <f t="shared" si="1435"/>
        <v>Northern Cardinal</v>
      </c>
      <c r="C8700" s="6">
        <f t="shared" si="1435"/>
        <v>0.74930555555555556</v>
      </c>
      <c r="D8700" s="5"/>
      <c r="E8700" s="5"/>
      <c r="F8700" s="5" t="s">
        <v>9</v>
      </c>
      <c r="G8700" s="15" t="s">
        <v>8</v>
      </c>
      <c r="H8700" s="24">
        <f t="shared" si="1412"/>
        <v>0</v>
      </c>
      <c r="I8700" s="24" cm="1">
        <f t="array" ref="I8700">IFERROR(IF($B8700=I$1, ($A8700+$C8700) - MAX(IF($B$2:$B8699=$B8700, $A$2:$A8699+$C$2:$C8699)), "")*24*60, "")</f>
        <v>0</v>
      </c>
      <c r="J8700" s="24" t="str" cm="1">
        <f t="array" ref="J8700">IFERROR(IF($B8700=J$1, ($A8700+$C8700) - MAX(IF($B$2:$B8699=$B8700, $A$2:$A8699+$C$2:$C8699)), "")*24*60, "")</f>
        <v/>
      </c>
      <c r="K8700" s="24" t="str" cm="1">
        <f t="array" ref="K8700">IFERROR(IF($B8700=K$1, ($A8700+$C8700) - MAX(IF($B$2:$B8699=$B8700, $A$2:$A8699+$C$2:$C8699)), "")*24*60, "")</f>
        <v/>
      </c>
      <c r="L8700" s="24" t="str" cm="1">
        <f t="array" ref="L8700">IFERROR(IF($B8700=L$1, ($A8700+$C8700) - MAX(IF($B$2:$B8699=$B8700, $A$2:$A8699+$C$2:$C8699)), "")*24*60, "")</f>
        <v/>
      </c>
      <c r="M8700" s="24" t="str" cm="1">
        <f t="array" ref="M8700">IFERROR(IF($B8700=M$1, ($A8700+$C8700) - MAX(IF($B$2:$B8699=$B8700, $A$2:$A8699+$C$2:$C8699)), "")*24*60, "")</f>
        <v/>
      </c>
      <c r="N8700" s="24" t="str" cm="1">
        <f t="array" ref="N8700">IFERROR(IF($B8700=N$1, ($A8700+$C8700) - MAX(IF($B$2:$B8699=$B8700, $A$2:$A8699+$C$2:$C8699)), "")*24*60, "")</f>
        <v/>
      </c>
      <c r="O8700" s="24" t="str" cm="1">
        <f t="array" ref="O8700">IFERROR(IF($B8700=O$1, ($A8700+$C8700) - MAX(IF($B$2:$B8699=$B8700, $A$2:$A8699+$C$2:$C8699)), "")*24*60, "")</f>
        <v/>
      </c>
      <c r="P8700" s="24" t="str" cm="1">
        <f t="array" ref="P8700">IFERROR(IF($B8700=P$1, ($A8700+$C8700) - MAX(IF($B$2:$B8699=$B8700, $A$2:$A8699+$C$2:$C8699)), "")*24*60, "")</f>
        <v/>
      </c>
      <c r="Q8700" s="24" t="str" cm="1">
        <f t="array" ref="Q8700">IFERROR(IF($B8700=Q$1, ($A8700+$C8700) - MAX(IF($B$2:$B8699=$B8700, $A$2:$A8699+$C$2:$C8699)), "")*24*60, "")</f>
        <v/>
      </c>
      <c r="R8700" s="24" t="str" cm="1">
        <f t="array" ref="R8700">IFERROR(IF($B8700=R$1, ($A8700+$C8700) - MAX(IF($B$2:$B8699=$B8700, $A$2:$A8699+$C$2:$C8699)), "")*24*60, "")</f>
        <v/>
      </c>
      <c r="S8700" s="24" t="str" cm="1">
        <f t="array" ref="S8700">IFERROR(IF($B8700=S$1, ($A8700+$C8700) - MAX(IF($B$2:$B8699=$B8700, $A$2:$A8699+$C$2:$C8699)), "")*24*60, "")</f>
        <v/>
      </c>
    </row>
    <row r="8701" spans="1:19" x14ac:dyDescent="0.2">
      <c r="A8701" s="12">
        <f t="shared" ref="A8701:C8701" si="1436">A8700</f>
        <v>46033</v>
      </c>
      <c r="B8701" s="5" t="str">
        <f t="shared" si="1436"/>
        <v>Northern Cardinal</v>
      </c>
      <c r="C8701" s="6">
        <f t="shared" si="1436"/>
        <v>0.74930555555555556</v>
      </c>
      <c r="D8701" s="5"/>
      <c r="E8701" s="5"/>
      <c r="F8701" s="5" t="s">
        <v>9</v>
      </c>
      <c r="G8701" s="15" t="s">
        <v>8</v>
      </c>
      <c r="H8701" s="24">
        <f t="shared" si="1412"/>
        <v>0</v>
      </c>
      <c r="I8701" s="24" cm="1">
        <f t="array" ref="I8701">IFERROR(IF($B8701=I$1, ($A8701+$C8701) - MAX(IF($B$2:$B8700=$B8701, $A$2:$A8700+$C$2:$C8700)), "")*24*60, "")</f>
        <v>0</v>
      </c>
      <c r="J8701" s="24" t="str" cm="1">
        <f t="array" ref="J8701">IFERROR(IF($B8701=J$1, ($A8701+$C8701) - MAX(IF($B$2:$B8700=$B8701, $A$2:$A8700+$C$2:$C8700)), "")*24*60, "")</f>
        <v/>
      </c>
      <c r="K8701" s="24" t="str" cm="1">
        <f t="array" ref="K8701">IFERROR(IF($B8701=K$1, ($A8701+$C8701) - MAX(IF($B$2:$B8700=$B8701, $A$2:$A8700+$C$2:$C8700)), "")*24*60, "")</f>
        <v/>
      </c>
      <c r="L8701" s="24" t="str" cm="1">
        <f t="array" ref="L8701">IFERROR(IF($B8701=L$1, ($A8701+$C8701) - MAX(IF($B$2:$B8700=$B8701, $A$2:$A8700+$C$2:$C8700)), "")*24*60, "")</f>
        <v/>
      </c>
      <c r="M8701" s="24" t="str" cm="1">
        <f t="array" ref="M8701">IFERROR(IF($B8701=M$1, ($A8701+$C8701) - MAX(IF($B$2:$B8700=$B8701, $A$2:$A8700+$C$2:$C8700)), "")*24*60, "")</f>
        <v/>
      </c>
      <c r="N8701" s="24" t="str" cm="1">
        <f t="array" ref="N8701">IFERROR(IF($B8701=N$1, ($A8701+$C8701) - MAX(IF($B$2:$B8700=$B8701, $A$2:$A8700+$C$2:$C8700)), "")*24*60, "")</f>
        <v/>
      </c>
      <c r="O8701" s="24" t="str" cm="1">
        <f t="array" ref="O8701">IFERROR(IF($B8701=O$1, ($A8701+$C8701) - MAX(IF($B$2:$B8700=$B8701, $A$2:$A8700+$C$2:$C8700)), "")*24*60, "")</f>
        <v/>
      </c>
      <c r="P8701" s="24" t="str" cm="1">
        <f t="array" ref="P8701">IFERROR(IF($B8701=P$1, ($A8701+$C8701) - MAX(IF($B$2:$B8700=$B8701, $A$2:$A8700+$C$2:$C8700)), "")*24*60, "")</f>
        <v/>
      </c>
      <c r="Q8701" s="24" t="str" cm="1">
        <f t="array" ref="Q8701">IFERROR(IF($B8701=Q$1, ($A8701+$C8701) - MAX(IF($B$2:$B8700=$B8701, $A$2:$A8700+$C$2:$C8700)), "")*24*60, "")</f>
        <v/>
      </c>
      <c r="R8701" s="24" t="str" cm="1">
        <f t="array" ref="R8701">IFERROR(IF($B8701=R$1, ($A8701+$C8701) - MAX(IF($B$2:$B8700=$B8701, $A$2:$A8700+$C$2:$C8700)), "")*24*60, "")</f>
        <v/>
      </c>
      <c r="S8701" s="24" t="str" cm="1">
        <f t="array" ref="S8701">IFERROR(IF($B8701=S$1, ($A8701+$C8701) - MAX(IF($B$2:$B8700=$B8701, $A$2:$A8700+$C$2:$C8700)), "")*24*60, "")</f>
        <v/>
      </c>
    </row>
    <row r="8702" spans="1:19" x14ac:dyDescent="0.2">
      <c r="A8702" s="12">
        <f t="shared" ref="A8702:C8702" si="1437">A8701</f>
        <v>46033</v>
      </c>
      <c r="B8702" s="5" t="str">
        <f t="shared" si="1437"/>
        <v>Northern Cardinal</v>
      </c>
      <c r="C8702" s="6">
        <f t="shared" si="1437"/>
        <v>0.74930555555555556</v>
      </c>
      <c r="D8702" s="5"/>
      <c r="E8702" s="5"/>
      <c r="F8702" s="5" t="s">
        <v>9</v>
      </c>
      <c r="G8702" s="15" t="s">
        <v>8</v>
      </c>
      <c r="H8702" s="24">
        <f t="shared" si="1412"/>
        <v>0</v>
      </c>
      <c r="I8702" s="24" cm="1">
        <f t="array" ref="I8702">IFERROR(IF($B8702=I$1, ($A8702+$C8702) - MAX(IF($B$2:$B8701=$B8702, $A$2:$A8701+$C$2:$C8701)), "")*24*60, "")</f>
        <v>0</v>
      </c>
      <c r="J8702" s="24" t="str" cm="1">
        <f t="array" ref="J8702">IFERROR(IF($B8702=J$1, ($A8702+$C8702) - MAX(IF($B$2:$B8701=$B8702, $A$2:$A8701+$C$2:$C8701)), "")*24*60, "")</f>
        <v/>
      </c>
      <c r="K8702" s="24" t="str" cm="1">
        <f t="array" ref="K8702">IFERROR(IF($B8702=K$1, ($A8702+$C8702) - MAX(IF($B$2:$B8701=$B8702, $A$2:$A8701+$C$2:$C8701)), "")*24*60, "")</f>
        <v/>
      </c>
      <c r="L8702" s="24" t="str" cm="1">
        <f t="array" ref="L8702">IFERROR(IF($B8702=L$1, ($A8702+$C8702) - MAX(IF($B$2:$B8701=$B8702, $A$2:$A8701+$C$2:$C8701)), "")*24*60, "")</f>
        <v/>
      </c>
      <c r="M8702" s="24" t="str" cm="1">
        <f t="array" ref="M8702">IFERROR(IF($B8702=M$1, ($A8702+$C8702) - MAX(IF($B$2:$B8701=$B8702, $A$2:$A8701+$C$2:$C8701)), "")*24*60, "")</f>
        <v/>
      </c>
      <c r="N8702" s="24" t="str" cm="1">
        <f t="array" ref="N8702">IFERROR(IF($B8702=N$1, ($A8702+$C8702) - MAX(IF($B$2:$B8701=$B8702, $A$2:$A8701+$C$2:$C8701)), "")*24*60, "")</f>
        <v/>
      </c>
      <c r="O8702" s="24" t="str" cm="1">
        <f t="array" ref="O8702">IFERROR(IF($B8702=O$1, ($A8702+$C8702) - MAX(IF($B$2:$B8701=$B8702, $A$2:$A8701+$C$2:$C8701)), "")*24*60, "")</f>
        <v/>
      </c>
      <c r="P8702" s="24" t="str" cm="1">
        <f t="array" ref="P8702">IFERROR(IF($B8702=P$1, ($A8702+$C8702) - MAX(IF($B$2:$B8701=$B8702, $A$2:$A8701+$C$2:$C8701)), "")*24*60, "")</f>
        <v/>
      </c>
      <c r="Q8702" s="24" t="str" cm="1">
        <f t="array" ref="Q8702">IFERROR(IF($B8702=Q$1, ($A8702+$C8702) - MAX(IF($B$2:$B8701=$B8702, $A$2:$A8701+$C$2:$C8701)), "")*24*60, "")</f>
        <v/>
      </c>
      <c r="R8702" s="24" t="str" cm="1">
        <f t="array" ref="R8702">IFERROR(IF($B8702=R$1, ($A8702+$C8702) - MAX(IF($B$2:$B8701=$B8702, $A$2:$A8701+$C$2:$C8701)), "")*24*60, "")</f>
        <v/>
      </c>
      <c r="S8702" s="24" t="str" cm="1">
        <f t="array" ref="S8702">IFERROR(IF($B8702=S$1, ($A8702+$C8702) - MAX(IF($B$2:$B8701=$B8702, $A$2:$A8701+$C$2:$C8701)), "")*24*60, "")</f>
        <v/>
      </c>
    </row>
    <row r="8703" spans="1:19" x14ac:dyDescent="0.2">
      <c r="A8703" s="12">
        <f t="shared" ref="A8703:C8703" si="1438">A8702</f>
        <v>46033</v>
      </c>
      <c r="B8703" s="5" t="str">
        <f t="shared" si="1438"/>
        <v>Northern Cardinal</v>
      </c>
      <c r="C8703" s="6">
        <f t="shared" si="1438"/>
        <v>0.74930555555555556</v>
      </c>
      <c r="D8703" s="5"/>
      <c r="E8703" s="5"/>
      <c r="F8703" s="5" t="s">
        <v>9</v>
      </c>
      <c r="G8703" s="15" t="s">
        <v>8</v>
      </c>
      <c r="H8703" s="24">
        <f t="shared" si="1412"/>
        <v>0</v>
      </c>
      <c r="I8703" s="24" cm="1">
        <f t="array" ref="I8703">IFERROR(IF($B8703=I$1, ($A8703+$C8703) - MAX(IF($B$2:$B8702=$B8703, $A$2:$A8702+$C$2:$C8702)), "")*24*60, "")</f>
        <v>0</v>
      </c>
      <c r="J8703" s="24" t="str" cm="1">
        <f t="array" ref="J8703">IFERROR(IF($B8703=J$1, ($A8703+$C8703) - MAX(IF($B$2:$B8702=$B8703, $A$2:$A8702+$C$2:$C8702)), "")*24*60, "")</f>
        <v/>
      </c>
      <c r="K8703" s="24" t="str" cm="1">
        <f t="array" ref="K8703">IFERROR(IF($B8703=K$1, ($A8703+$C8703) - MAX(IF($B$2:$B8702=$B8703, $A$2:$A8702+$C$2:$C8702)), "")*24*60, "")</f>
        <v/>
      </c>
      <c r="L8703" s="24" t="str" cm="1">
        <f t="array" ref="L8703">IFERROR(IF($B8703=L$1, ($A8703+$C8703) - MAX(IF($B$2:$B8702=$B8703, $A$2:$A8702+$C$2:$C8702)), "")*24*60, "")</f>
        <v/>
      </c>
      <c r="M8703" s="24" t="str" cm="1">
        <f t="array" ref="M8703">IFERROR(IF($B8703=M$1, ($A8703+$C8703) - MAX(IF($B$2:$B8702=$B8703, $A$2:$A8702+$C$2:$C8702)), "")*24*60, "")</f>
        <v/>
      </c>
      <c r="N8703" s="24" t="str" cm="1">
        <f t="array" ref="N8703">IFERROR(IF($B8703=N$1, ($A8703+$C8703) - MAX(IF($B$2:$B8702=$B8703, $A$2:$A8702+$C$2:$C8702)), "")*24*60, "")</f>
        <v/>
      </c>
      <c r="O8703" s="24" t="str" cm="1">
        <f t="array" ref="O8703">IFERROR(IF($B8703=O$1, ($A8703+$C8703) - MAX(IF($B$2:$B8702=$B8703, $A$2:$A8702+$C$2:$C8702)), "")*24*60, "")</f>
        <v/>
      </c>
      <c r="P8703" s="24" t="str" cm="1">
        <f t="array" ref="P8703">IFERROR(IF($B8703=P$1, ($A8703+$C8703) - MAX(IF($B$2:$B8702=$B8703, $A$2:$A8702+$C$2:$C8702)), "")*24*60, "")</f>
        <v/>
      </c>
      <c r="Q8703" s="24" t="str" cm="1">
        <f t="array" ref="Q8703">IFERROR(IF($B8703=Q$1, ($A8703+$C8703) - MAX(IF($B$2:$B8702=$B8703, $A$2:$A8702+$C$2:$C8702)), "")*24*60, "")</f>
        <v/>
      </c>
      <c r="R8703" s="24" t="str" cm="1">
        <f t="array" ref="R8703">IFERROR(IF($B8703=R$1, ($A8703+$C8703) - MAX(IF($B$2:$B8702=$B8703, $A$2:$A8702+$C$2:$C8702)), "")*24*60, "")</f>
        <v/>
      </c>
      <c r="S8703" s="24" t="str" cm="1">
        <f t="array" ref="S8703">IFERROR(IF($B8703=S$1, ($A8703+$C8703) - MAX(IF($B$2:$B8702=$B8703, $A$2:$A8702+$C$2:$C8702)), "")*24*60, "")</f>
        <v/>
      </c>
    </row>
    <row r="8704" spans="1:19" x14ac:dyDescent="0.2">
      <c r="A8704" s="12">
        <f t="shared" ref="A8704:C8704" si="1439">A8703</f>
        <v>46033</v>
      </c>
      <c r="B8704" s="5" t="str">
        <f t="shared" si="1439"/>
        <v>Northern Cardinal</v>
      </c>
      <c r="C8704" s="6">
        <f t="shared" si="1439"/>
        <v>0.74930555555555556</v>
      </c>
      <c r="D8704" s="5"/>
      <c r="E8704" s="5"/>
      <c r="F8704" s="5" t="s">
        <v>9</v>
      </c>
      <c r="G8704" s="15" t="s">
        <v>8</v>
      </c>
      <c r="H8704" s="24">
        <f t="shared" si="1412"/>
        <v>0</v>
      </c>
      <c r="I8704" s="24" cm="1">
        <f t="array" ref="I8704">IFERROR(IF($B8704=I$1, ($A8704+$C8704) - MAX(IF($B$2:$B8703=$B8704, $A$2:$A8703+$C$2:$C8703)), "")*24*60, "")</f>
        <v>0</v>
      </c>
      <c r="J8704" s="24" t="str" cm="1">
        <f t="array" ref="J8704">IFERROR(IF($B8704=J$1, ($A8704+$C8704) - MAX(IF($B$2:$B8703=$B8704, $A$2:$A8703+$C$2:$C8703)), "")*24*60, "")</f>
        <v/>
      </c>
      <c r="K8704" s="24" t="str" cm="1">
        <f t="array" ref="K8704">IFERROR(IF($B8704=K$1, ($A8704+$C8704) - MAX(IF($B$2:$B8703=$B8704, $A$2:$A8703+$C$2:$C8703)), "")*24*60, "")</f>
        <v/>
      </c>
      <c r="L8704" s="24" t="str" cm="1">
        <f t="array" ref="L8704">IFERROR(IF($B8704=L$1, ($A8704+$C8704) - MAX(IF($B$2:$B8703=$B8704, $A$2:$A8703+$C$2:$C8703)), "")*24*60, "")</f>
        <v/>
      </c>
      <c r="M8704" s="24" t="str" cm="1">
        <f t="array" ref="M8704">IFERROR(IF($B8704=M$1, ($A8704+$C8704) - MAX(IF($B$2:$B8703=$B8704, $A$2:$A8703+$C$2:$C8703)), "")*24*60, "")</f>
        <v/>
      </c>
      <c r="N8704" s="24" t="str" cm="1">
        <f t="array" ref="N8704">IFERROR(IF($B8704=N$1, ($A8704+$C8704) - MAX(IF($B$2:$B8703=$B8704, $A$2:$A8703+$C$2:$C8703)), "")*24*60, "")</f>
        <v/>
      </c>
      <c r="O8704" s="24" t="str" cm="1">
        <f t="array" ref="O8704">IFERROR(IF($B8704=O$1, ($A8704+$C8704) - MAX(IF($B$2:$B8703=$B8704, $A$2:$A8703+$C$2:$C8703)), "")*24*60, "")</f>
        <v/>
      </c>
      <c r="P8704" s="24" t="str" cm="1">
        <f t="array" ref="P8704">IFERROR(IF($B8704=P$1, ($A8704+$C8704) - MAX(IF($B$2:$B8703=$B8704, $A$2:$A8703+$C$2:$C8703)), "")*24*60, "")</f>
        <v/>
      </c>
      <c r="Q8704" s="24" t="str" cm="1">
        <f t="array" ref="Q8704">IFERROR(IF($B8704=Q$1, ($A8704+$C8704) - MAX(IF($B$2:$B8703=$B8704, $A$2:$A8703+$C$2:$C8703)), "")*24*60, "")</f>
        <v/>
      </c>
      <c r="R8704" s="24" t="str" cm="1">
        <f t="array" ref="R8704">IFERROR(IF($B8704=R$1, ($A8704+$C8704) - MAX(IF($B$2:$B8703=$B8704, $A$2:$A8703+$C$2:$C8703)), "")*24*60, "")</f>
        <v/>
      </c>
      <c r="S8704" s="24" t="str" cm="1">
        <f t="array" ref="S8704">IFERROR(IF($B8704=S$1, ($A8704+$C8704) - MAX(IF($B$2:$B8703=$B8704, $A$2:$A8703+$C$2:$C8703)), "")*24*60, "")</f>
        <v/>
      </c>
    </row>
    <row r="8705" spans="1:19" x14ac:dyDescent="0.2">
      <c r="A8705" s="12">
        <f t="shared" ref="A8705:C8705" si="1440">A8704</f>
        <v>46033</v>
      </c>
      <c r="B8705" s="5" t="str">
        <f t="shared" si="1440"/>
        <v>Northern Cardinal</v>
      </c>
      <c r="C8705" s="6">
        <f t="shared" si="1440"/>
        <v>0.74930555555555556</v>
      </c>
      <c r="D8705" s="5"/>
      <c r="E8705" s="5"/>
      <c r="F8705" s="5" t="s">
        <v>9</v>
      </c>
      <c r="G8705" s="15" t="s">
        <v>8</v>
      </c>
      <c r="H8705" s="24">
        <f t="shared" si="1412"/>
        <v>0</v>
      </c>
      <c r="I8705" s="24" cm="1">
        <f t="array" ref="I8705">IFERROR(IF($B8705=I$1, ($A8705+$C8705) - MAX(IF($B$2:$B8704=$B8705, $A$2:$A8704+$C$2:$C8704)), "")*24*60, "")</f>
        <v>0</v>
      </c>
      <c r="J8705" s="24" t="str" cm="1">
        <f t="array" ref="J8705">IFERROR(IF($B8705=J$1, ($A8705+$C8705) - MAX(IF($B$2:$B8704=$B8705, $A$2:$A8704+$C$2:$C8704)), "")*24*60, "")</f>
        <v/>
      </c>
      <c r="K8705" s="24" t="str" cm="1">
        <f t="array" ref="K8705">IFERROR(IF($B8705=K$1, ($A8705+$C8705) - MAX(IF($B$2:$B8704=$B8705, $A$2:$A8704+$C$2:$C8704)), "")*24*60, "")</f>
        <v/>
      </c>
      <c r="L8705" s="24" t="str" cm="1">
        <f t="array" ref="L8705">IFERROR(IF($B8705=L$1, ($A8705+$C8705) - MAX(IF($B$2:$B8704=$B8705, $A$2:$A8704+$C$2:$C8704)), "")*24*60, "")</f>
        <v/>
      </c>
      <c r="M8705" s="24" t="str" cm="1">
        <f t="array" ref="M8705">IFERROR(IF($B8705=M$1, ($A8705+$C8705) - MAX(IF($B$2:$B8704=$B8705, $A$2:$A8704+$C$2:$C8704)), "")*24*60, "")</f>
        <v/>
      </c>
      <c r="N8705" s="24" t="str" cm="1">
        <f t="array" ref="N8705">IFERROR(IF($B8705=N$1, ($A8705+$C8705) - MAX(IF($B$2:$B8704=$B8705, $A$2:$A8704+$C$2:$C8704)), "")*24*60, "")</f>
        <v/>
      </c>
      <c r="O8705" s="24" t="str" cm="1">
        <f t="array" ref="O8705">IFERROR(IF($B8705=O$1, ($A8705+$C8705) - MAX(IF($B$2:$B8704=$B8705, $A$2:$A8704+$C$2:$C8704)), "")*24*60, "")</f>
        <v/>
      </c>
      <c r="P8705" s="24" t="str" cm="1">
        <f t="array" ref="P8705">IFERROR(IF($B8705=P$1, ($A8705+$C8705) - MAX(IF($B$2:$B8704=$B8705, $A$2:$A8704+$C$2:$C8704)), "")*24*60, "")</f>
        <v/>
      </c>
      <c r="Q8705" s="24" t="str" cm="1">
        <f t="array" ref="Q8705">IFERROR(IF($B8705=Q$1, ($A8705+$C8705) - MAX(IF($B$2:$B8704=$B8705, $A$2:$A8704+$C$2:$C8704)), "")*24*60, "")</f>
        <v/>
      </c>
      <c r="R8705" s="24" t="str" cm="1">
        <f t="array" ref="R8705">IFERROR(IF($B8705=R$1, ($A8705+$C8705) - MAX(IF($B$2:$B8704=$B8705, $A$2:$A8704+$C$2:$C8704)), "")*24*60, "")</f>
        <v/>
      </c>
      <c r="S8705" s="24" t="str" cm="1">
        <f t="array" ref="S8705">IFERROR(IF($B8705=S$1, ($A8705+$C8705) - MAX(IF($B$2:$B8704=$B8705, $A$2:$A8704+$C$2:$C8704)), "")*24*60, "")</f>
        <v/>
      </c>
    </row>
    <row r="8706" spans="1:19" x14ac:dyDescent="0.2">
      <c r="A8706" s="12">
        <f t="shared" ref="A8706:C8706" si="1441">A8705</f>
        <v>46033</v>
      </c>
      <c r="B8706" s="5" t="str">
        <f t="shared" si="1441"/>
        <v>Northern Cardinal</v>
      </c>
      <c r="C8706" s="6">
        <f t="shared" si="1441"/>
        <v>0.74930555555555556</v>
      </c>
      <c r="D8706" s="5"/>
      <c r="E8706" s="5"/>
      <c r="F8706" s="5" t="s">
        <v>9</v>
      </c>
      <c r="G8706" s="15" t="s">
        <v>8</v>
      </c>
      <c r="H8706" s="24">
        <f t="shared" si="1412"/>
        <v>0</v>
      </c>
      <c r="I8706" s="24" cm="1">
        <f t="array" ref="I8706">IFERROR(IF($B8706=I$1, ($A8706+$C8706) - MAX(IF($B$2:$B8705=$B8706, $A$2:$A8705+$C$2:$C8705)), "")*24*60, "")</f>
        <v>0</v>
      </c>
      <c r="J8706" s="24" t="str" cm="1">
        <f t="array" ref="J8706">IFERROR(IF($B8706=J$1, ($A8706+$C8706) - MAX(IF($B$2:$B8705=$B8706, $A$2:$A8705+$C$2:$C8705)), "")*24*60, "")</f>
        <v/>
      </c>
      <c r="K8706" s="24" t="str" cm="1">
        <f t="array" ref="K8706">IFERROR(IF($B8706=K$1, ($A8706+$C8706) - MAX(IF($B$2:$B8705=$B8706, $A$2:$A8705+$C$2:$C8705)), "")*24*60, "")</f>
        <v/>
      </c>
      <c r="L8706" s="24" t="str" cm="1">
        <f t="array" ref="L8706">IFERROR(IF($B8706=L$1, ($A8706+$C8706) - MAX(IF($B$2:$B8705=$B8706, $A$2:$A8705+$C$2:$C8705)), "")*24*60, "")</f>
        <v/>
      </c>
      <c r="M8706" s="24" t="str" cm="1">
        <f t="array" ref="M8706">IFERROR(IF($B8706=M$1, ($A8706+$C8706) - MAX(IF($B$2:$B8705=$B8706, $A$2:$A8705+$C$2:$C8705)), "")*24*60, "")</f>
        <v/>
      </c>
      <c r="N8706" s="24" t="str" cm="1">
        <f t="array" ref="N8706">IFERROR(IF($B8706=N$1, ($A8706+$C8706) - MAX(IF($B$2:$B8705=$B8706, $A$2:$A8705+$C$2:$C8705)), "")*24*60, "")</f>
        <v/>
      </c>
      <c r="O8706" s="24" t="str" cm="1">
        <f t="array" ref="O8706">IFERROR(IF($B8706=O$1, ($A8706+$C8706) - MAX(IF($B$2:$B8705=$B8706, $A$2:$A8705+$C$2:$C8705)), "")*24*60, "")</f>
        <v/>
      </c>
      <c r="P8706" s="24" t="str" cm="1">
        <f t="array" ref="P8706">IFERROR(IF($B8706=P$1, ($A8706+$C8706) - MAX(IF($B$2:$B8705=$B8706, $A$2:$A8705+$C$2:$C8705)), "")*24*60, "")</f>
        <v/>
      </c>
      <c r="Q8706" s="24" t="str" cm="1">
        <f t="array" ref="Q8706">IFERROR(IF($B8706=Q$1, ($A8706+$C8706) - MAX(IF($B$2:$B8705=$B8706, $A$2:$A8705+$C$2:$C8705)), "")*24*60, "")</f>
        <v/>
      </c>
      <c r="R8706" s="24" t="str" cm="1">
        <f t="array" ref="R8706">IFERROR(IF($B8706=R$1, ($A8706+$C8706) - MAX(IF($B$2:$B8705=$B8706, $A$2:$A8705+$C$2:$C8705)), "")*24*60, "")</f>
        <v/>
      </c>
      <c r="S8706" s="24" t="str" cm="1">
        <f t="array" ref="S8706">IFERROR(IF($B8706=S$1, ($A8706+$C8706) - MAX(IF($B$2:$B8705=$B8706, $A$2:$A8705+$C$2:$C8705)), "")*24*60, "")</f>
        <v/>
      </c>
    </row>
    <row r="8707" spans="1:19" x14ac:dyDescent="0.2">
      <c r="A8707" s="12">
        <f t="shared" ref="A8707:C8707" si="1442">A8706</f>
        <v>46033</v>
      </c>
      <c r="B8707" s="5" t="str">
        <f t="shared" si="1442"/>
        <v>Northern Cardinal</v>
      </c>
      <c r="C8707" s="6">
        <f t="shared" si="1442"/>
        <v>0.74930555555555556</v>
      </c>
      <c r="D8707" s="5"/>
      <c r="E8707" s="5"/>
      <c r="F8707" s="5" t="s">
        <v>9</v>
      </c>
      <c r="G8707" s="15" t="s">
        <v>8</v>
      </c>
      <c r="H8707" s="24">
        <f t="shared" si="1412"/>
        <v>0</v>
      </c>
      <c r="I8707" s="24" cm="1">
        <f t="array" ref="I8707">IFERROR(IF($B8707=I$1, ($A8707+$C8707) - MAX(IF($B$2:$B8706=$B8707, $A$2:$A8706+$C$2:$C8706)), "")*24*60, "")</f>
        <v>0</v>
      </c>
      <c r="J8707" s="24" t="str" cm="1">
        <f t="array" ref="J8707">IFERROR(IF($B8707=J$1, ($A8707+$C8707) - MAX(IF($B$2:$B8706=$B8707, $A$2:$A8706+$C$2:$C8706)), "")*24*60, "")</f>
        <v/>
      </c>
      <c r="K8707" s="24" t="str" cm="1">
        <f t="array" ref="K8707">IFERROR(IF($B8707=K$1, ($A8707+$C8707) - MAX(IF($B$2:$B8706=$B8707, $A$2:$A8706+$C$2:$C8706)), "")*24*60, "")</f>
        <v/>
      </c>
      <c r="L8707" s="24" t="str" cm="1">
        <f t="array" ref="L8707">IFERROR(IF($B8707=L$1, ($A8707+$C8707) - MAX(IF($B$2:$B8706=$B8707, $A$2:$A8706+$C$2:$C8706)), "")*24*60, "")</f>
        <v/>
      </c>
      <c r="M8707" s="24" t="str" cm="1">
        <f t="array" ref="M8707">IFERROR(IF($B8707=M$1, ($A8707+$C8707) - MAX(IF($B$2:$B8706=$B8707, $A$2:$A8706+$C$2:$C8706)), "")*24*60, "")</f>
        <v/>
      </c>
      <c r="N8707" s="24" t="str" cm="1">
        <f t="array" ref="N8707">IFERROR(IF($B8707=N$1, ($A8707+$C8707) - MAX(IF($B$2:$B8706=$B8707, $A$2:$A8706+$C$2:$C8706)), "")*24*60, "")</f>
        <v/>
      </c>
      <c r="O8707" s="24" t="str" cm="1">
        <f t="array" ref="O8707">IFERROR(IF($B8707=O$1, ($A8707+$C8707) - MAX(IF($B$2:$B8706=$B8707, $A$2:$A8706+$C$2:$C8706)), "")*24*60, "")</f>
        <v/>
      </c>
      <c r="P8707" s="24" t="str" cm="1">
        <f t="array" ref="P8707">IFERROR(IF($B8707=P$1, ($A8707+$C8707) - MAX(IF($B$2:$B8706=$B8707, $A$2:$A8706+$C$2:$C8706)), "")*24*60, "")</f>
        <v/>
      </c>
      <c r="Q8707" s="24" t="str" cm="1">
        <f t="array" ref="Q8707">IFERROR(IF($B8707=Q$1, ($A8707+$C8707) - MAX(IF($B$2:$B8706=$B8707, $A$2:$A8706+$C$2:$C8706)), "")*24*60, "")</f>
        <v/>
      </c>
      <c r="R8707" s="24" t="str" cm="1">
        <f t="array" ref="R8707">IFERROR(IF($B8707=R$1, ($A8707+$C8707) - MAX(IF($B$2:$B8706=$B8707, $A$2:$A8706+$C$2:$C8706)), "")*24*60, "")</f>
        <v/>
      </c>
      <c r="S8707" s="24" t="str" cm="1">
        <f t="array" ref="S8707">IFERROR(IF($B8707=S$1, ($A8707+$C8707) - MAX(IF($B$2:$B8706=$B8707, $A$2:$A8706+$C$2:$C8706)), "")*24*60, "")</f>
        <v/>
      </c>
    </row>
    <row r="8708" spans="1:19" x14ac:dyDescent="0.2">
      <c r="A8708" s="12">
        <f t="shared" ref="A8708:C8708" si="1443">A8707</f>
        <v>46033</v>
      </c>
      <c r="B8708" s="5" t="str">
        <f t="shared" si="1443"/>
        <v>Northern Cardinal</v>
      </c>
      <c r="C8708" s="6">
        <f t="shared" si="1443"/>
        <v>0.74930555555555556</v>
      </c>
      <c r="D8708" s="5"/>
      <c r="E8708" s="5"/>
      <c r="F8708" s="5" t="s">
        <v>9</v>
      </c>
      <c r="G8708" s="15" t="s">
        <v>8</v>
      </c>
      <c r="H8708" s="24">
        <f t="shared" si="1412"/>
        <v>0</v>
      </c>
      <c r="I8708" s="24" cm="1">
        <f t="array" ref="I8708">IFERROR(IF($B8708=I$1, ($A8708+$C8708) - MAX(IF($B$2:$B8707=$B8708, $A$2:$A8707+$C$2:$C8707)), "")*24*60, "")</f>
        <v>0</v>
      </c>
      <c r="J8708" s="24" t="str" cm="1">
        <f t="array" ref="J8708">IFERROR(IF($B8708=J$1, ($A8708+$C8708) - MAX(IF($B$2:$B8707=$B8708, $A$2:$A8707+$C$2:$C8707)), "")*24*60, "")</f>
        <v/>
      </c>
      <c r="K8708" s="24" t="str" cm="1">
        <f t="array" ref="K8708">IFERROR(IF($B8708=K$1, ($A8708+$C8708) - MAX(IF($B$2:$B8707=$B8708, $A$2:$A8707+$C$2:$C8707)), "")*24*60, "")</f>
        <v/>
      </c>
      <c r="L8708" s="24" t="str" cm="1">
        <f t="array" ref="L8708">IFERROR(IF($B8708=L$1, ($A8708+$C8708) - MAX(IF($B$2:$B8707=$B8708, $A$2:$A8707+$C$2:$C8707)), "")*24*60, "")</f>
        <v/>
      </c>
      <c r="M8708" s="24" t="str" cm="1">
        <f t="array" ref="M8708">IFERROR(IF($B8708=M$1, ($A8708+$C8708) - MAX(IF($B$2:$B8707=$B8708, $A$2:$A8707+$C$2:$C8707)), "")*24*60, "")</f>
        <v/>
      </c>
      <c r="N8708" s="24" t="str" cm="1">
        <f t="array" ref="N8708">IFERROR(IF($B8708=N$1, ($A8708+$C8708) - MAX(IF($B$2:$B8707=$B8708, $A$2:$A8707+$C$2:$C8707)), "")*24*60, "")</f>
        <v/>
      </c>
      <c r="O8708" s="24" t="str" cm="1">
        <f t="array" ref="O8708">IFERROR(IF($B8708=O$1, ($A8708+$C8708) - MAX(IF($B$2:$B8707=$B8708, $A$2:$A8707+$C$2:$C8707)), "")*24*60, "")</f>
        <v/>
      </c>
      <c r="P8708" s="24" t="str" cm="1">
        <f t="array" ref="P8708">IFERROR(IF($B8708=P$1, ($A8708+$C8708) - MAX(IF($B$2:$B8707=$B8708, $A$2:$A8707+$C$2:$C8707)), "")*24*60, "")</f>
        <v/>
      </c>
      <c r="Q8708" s="24" t="str" cm="1">
        <f t="array" ref="Q8708">IFERROR(IF($B8708=Q$1, ($A8708+$C8708) - MAX(IF($B$2:$B8707=$B8708, $A$2:$A8707+$C$2:$C8707)), "")*24*60, "")</f>
        <v/>
      </c>
      <c r="R8708" s="24" t="str" cm="1">
        <f t="array" ref="R8708">IFERROR(IF($B8708=R$1, ($A8708+$C8708) - MAX(IF($B$2:$B8707=$B8708, $A$2:$A8707+$C$2:$C8707)), "")*24*60, "")</f>
        <v/>
      </c>
      <c r="S8708" s="24" t="str" cm="1">
        <f t="array" ref="S8708">IFERROR(IF($B8708=S$1, ($A8708+$C8708) - MAX(IF($B$2:$B8707=$B8708, $A$2:$A8707+$C$2:$C8707)), "")*24*60, "")</f>
        <v/>
      </c>
    </row>
    <row r="8709" spans="1:19" x14ac:dyDescent="0.2">
      <c r="A8709" s="12">
        <f t="shared" ref="A8709:C8709" si="1444">A8708</f>
        <v>46033</v>
      </c>
      <c r="B8709" s="5" t="str">
        <f t="shared" si="1444"/>
        <v>Northern Cardinal</v>
      </c>
      <c r="C8709" s="6">
        <f t="shared" si="1444"/>
        <v>0.74930555555555556</v>
      </c>
      <c r="D8709" s="5"/>
      <c r="E8709" s="5"/>
      <c r="F8709" s="5" t="s">
        <v>9</v>
      </c>
      <c r="G8709" s="15" t="s">
        <v>8</v>
      </c>
      <c r="H8709" s="24">
        <f t="shared" si="1412"/>
        <v>0</v>
      </c>
      <c r="I8709" s="24" cm="1">
        <f t="array" ref="I8709">IFERROR(IF($B8709=I$1, ($A8709+$C8709) - MAX(IF($B$2:$B8708=$B8709, $A$2:$A8708+$C$2:$C8708)), "")*24*60, "")</f>
        <v>0</v>
      </c>
      <c r="J8709" s="24" t="str" cm="1">
        <f t="array" ref="J8709">IFERROR(IF($B8709=J$1, ($A8709+$C8709) - MAX(IF($B$2:$B8708=$B8709, $A$2:$A8708+$C$2:$C8708)), "")*24*60, "")</f>
        <v/>
      </c>
      <c r="K8709" s="24" t="str" cm="1">
        <f t="array" ref="K8709">IFERROR(IF($B8709=K$1, ($A8709+$C8709) - MAX(IF($B$2:$B8708=$B8709, $A$2:$A8708+$C$2:$C8708)), "")*24*60, "")</f>
        <v/>
      </c>
      <c r="L8709" s="24" t="str" cm="1">
        <f t="array" ref="L8709">IFERROR(IF($B8709=L$1, ($A8709+$C8709) - MAX(IF($B$2:$B8708=$B8709, $A$2:$A8708+$C$2:$C8708)), "")*24*60, "")</f>
        <v/>
      </c>
      <c r="M8709" s="24" t="str" cm="1">
        <f t="array" ref="M8709">IFERROR(IF($B8709=M$1, ($A8709+$C8709) - MAX(IF($B$2:$B8708=$B8709, $A$2:$A8708+$C$2:$C8708)), "")*24*60, "")</f>
        <v/>
      </c>
      <c r="N8709" s="24" t="str" cm="1">
        <f t="array" ref="N8709">IFERROR(IF($B8709=N$1, ($A8709+$C8709) - MAX(IF($B$2:$B8708=$B8709, $A$2:$A8708+$C$2:$C8708)), "")*24*60, "")</f>
        <v/>
      </c>
      <c r="O8709" s="24" t="str" cm="1">
        <f t="array" ref="O8709">IFERROR(IF($B8709=O$1, ($A8709+$C8709) - MAX(IF($B$2:$B8708=$B8709, $A$2:$A8708+$C$2:$C8708)), "")*24*60, "")</f>
        <v/>
      </c>
      <c r="P8709" s="24" t="str" cm="1">
        <f t="array" ref="P8709">IFERROR(IF($B8709=P$1, ($A8709+$C8709) - MAX(IF($B$2:$B8708=$B8709, $A$2:$A8708+$C$2:$C8708)), "")*24*60, "")</f>
        <v/>
      </c>
      <c r="Q8709" s="24" t="str" cm="1">
        <f t="array" ref="Q8709">IFERROR(IF($B8709=Q$1, ($A8709+$C8709) - MAX(IF($B$2:$B8708=$B8709, $A$2:$A8708+$C$2:$C8708)), "")*24*60, "")</f>
        <v/>
      </c>
      <c r="R8709" s="24" t="str" cm="1">
        <f t="array" ref="R8709">IFERROR(IF($B8709=R$1, ($A8709+$C8709) - MAX(IF($B$2:$B8708=$B8709, $A$2:$A8708+$C$2:$C8708)), "")*24*60, "")</f>
        <v/>
      </c>
      <c r="S8709" s="24" t="str" cm="1">
        <f t="array" ref="S8709">IFERROR(IF($B8709=S$1, ($A8709+$C8709) - MAX(IF($B$2:$B8708=$B8709, $A$2:$A8708+$C$2:$C8708)), "")*24*60, "")</f>
        <v/>
      </c>
    </row>
    <row r="8710" spans="1:19" x14ac:dyDescent="0.2">
      <c r="A8710" s="12">
        <f t="shared" ref="A8710:C8710" si="1445">A8709</f>
        <v>46033</v>
      </c>
      <c r="B8710" s="5" t="str">
        <f t="shared" si="1445"/>
        <v>Northern Cardinal</v>
      </c>
      <c r="C8710" s="6">
        <f t="shared" si="1445"/>
        <v>0.74930555555555556</v>
      </c>
      <c r="D8710" s="5"/>
      <c r="E8710" s="5"/>
      <c r="F8710" s="5" t="s">
        <v>9</v>
      </c>
      <c r="G8710" s="15" t="s">
        <v>8</v>
      </c>
      <c r="H8710" s="24">
        <f t="shared" si="1412"/>
        <v>0</v>
      </c>
      <c r="I8710" s="24" cm="1">
        <f t="array" ref="I8710">IFERROR(IF($B8710=I$1, ($A8710+$C8710) - MAX(IF($B$2:$B8709=$B8710, $A$2:$A8709+$C$2:$C8709)), "")*24*60, "")</f>
        <v>0</v>
      </c>
      <c r="J8710" s="24" t="str" cm="1">
        <f t="array" ref="J8710">IFERROR(IF($B8710=J$1, ($A8710+$C8710) - MAX(IF($B$2:$B8709=$B8710, $A$2:$A8709+$C$2:$C8709)), "")*24*60, "")</f>
        <v/>
      </c>
      <c r="K8710" s="24" t="str" cm="1">
        <f t="array" ref="K8710">IFERROR(IF($B8710=K$1, ($A8710+$C8710) - MAX(IF($B$2:$B8709=$B8710, $A$2:$A8709+$C$2:$C8709)), "")*24*60, "")</f>
        <v/>
      </c>
      <c r="L8710" s="24" t="str" cm="1">
        <f t="array" ref="L8710">IFERROR(IF($B8710=L$1, ($A8710+$C8710) - MAX(IF($B$2:$B8709=$B8710, $A$2:$A8709+$C$2:$C8709)), "")*24*60, "")</f>
        <v/>
      </c>
      <c r="M8710" s="24" t="str" cm="1">
        <f t="array" ref="M8710">IFERROR(IF($B8710=M$1, ($A8710+$C8710) - MAX(IF($B$2:$B8709=$B8710, $A$2:$A8709+$C$2:$C8709)), "")*24*60, "")</f>
        <v/>
      </c>
      <c r="N8710" s="24" t="str" cm="1">
        <f t="array" ref="N8710">IFERROR(IF($B8710=N$1, ($A8710+$C8710) - MAX(IF($B$2:$B8709=$B8710, $A$2:$A8709+$C$2:$C8709)), "")*24*60, "")</f>
        <v/>
      </c>
      <c r="O8710" s="24" t="str" cm="1">
        <f t="array" ref="O8710">IFERROR(IF($B8710=O$1, ($A8710+$C8710) - MAX(IF($B$2:$B8709=$B8710, $A$2:$A8709+$C$2:$C8709)), "")*24*60, "")</f>
        <v/>
      </c>
      <c r="P8710" s="24" t="str" cm="1">
        <f t="array" ref="P8710">IFERROR(IF($B8710=P$1, ($A8710+$C8710) - MAX(IF($B$2:$B8709=$B8710, $A$2:$A8709+$C$2:$C8709)), "")*24*60, "")</f>
        <v/>
      </c>
      <c r="Q8710" s="24" t="str" cm="1">
        <f t="array" ref="Q8710">IFERROR(IF($B8710=Q$1, ($A8710+$C8710) - MAX(IF($B$2:$B8709=$B8710, $A$2:$A8709+$C$2:$C8709)), "")*24*60, "")</f>
        <v/>
      </c>
      <c r="R8710" s="24" t="str" cm="1">
        <f t="array" ref="R8710">IFERROR(IF($B8710=R$1, ($A8710+$C8710) - MAX(IF($B$2:$B8709=$B8710, $A$2:$A8709+$C$2:$C8709)), "")*24*60, "")</f>
        <v/>
      </c>
      <c r="S8710" s="24" t="str" cm="1">
        <f t="array" ref="S8710">IFERROR(IF($B8710=S$1, ($A8710+$C8710) - MAX(IF($B$2:$B8709=$B8710, $A$2:$A8709+$C$2:$C8709)), "")*24*60, "")</f>
        <v/>
      </c>
    </row>
    <row r="8711" spans="1:19" x14ac:dyDescent="0.2">
      <c r="A8711" s="12">
        <f t="shared" ref="A8711:C8711" si="1446">A8710</f>
        <v>46033</v>
      </c>
      <c r="B8711" s="5" t="str">
        <f t="shared" si="1446"/>
        <v>Northern Cardinal</v>
      </c>
      <c r="C8711" s="6">
        <f t="shared" si="1446"/>
        <v>0.74930555555555556</v>
      </c>
      <c r="D8711" s="5"/>
      <c r="E8711" s="5"/>
      <c r="F8711" s="5" t="s">
        <v>9</v>
      </c>
      <c r="G8711" s="15" t="s">
        <v>8</v>
      </c>
      <c r="H8711" s="24">
        <f t="shared" si="1412"/>
        <v>0</v>
      </c>
      <c r="I8711" s="24" cm="1">
        <f t="array" ref="I8711">IFERROR(IF($B8711=I$1, ($A8711+$C8711) - MAX(IF($B$2:$B8710=$B8711, $A$2:$A8710+$C$2:$C8710)), "")*24*60, "")</f>
        <v>0</v>
      </c>
      <c r="J8711" s="24" t="str" cm="1">
        <f t="array" ref="J8711">IFERROR(IF($B8711=J$1, ($A8711+$C8711) - MAX(IF($B$2:$B8710=$B8711, $A$2:$A8710+$C$2:$C8710)), "")*24*60, "")</f>
        <v/>
      </c>
      <c r="K8711" s="24" t="str" cm="1">
        <f t="array" ref="K8711">IFERROR(IF($B8711=K$1, ($A8711+$C8711) - MAX(IF($B$2:$B8710=$B8711, $A$2:$A8710+$C$2:$C8710)), "")*24*60, "")</f>
        <v/>
      </c>
      <c r="L8711" s="24" t="str" cm="1">
        <f t="array" ref="L8711">IFERROR(IF($B8711=L$1, ($A8711+$C8711) - MAX(IF($B$2:$B8710=$B8711, $A$2:$A8710+$C$2:$C8710)), "")*24*60, "")</f>
        <v/>
      </c>
      <c r="M8711" s="24" t="str" cm="1">
        <f t="array" ref="M8711">IFERROR(IF($B8711=M$1, ($A8711+$C8711) - MAX(IF($B$2:$B8710=$B8711, $A$2:$A8710+$C$2:$C8710)), "")*24*60, "")</f>
        <v/>
      </c>
      <c r="N8711" s="24" t="str" cm="1">
        <f t="array" ref="N8711">IFERROR(IF($B8711=N$1, ($A8711+$C8711) - MAX(IF($B$2:$B8710=$B8711, $A$2:$A8710+$C$2:$C8710)), "")*24*60, "")</f>
        <v/>
      </c>
      <c r="O8711" s="24" t="str" cm="1">
        <f t="array" ref="O8711">IFERROR(IF($B8711=O$1, ($A8711+$C8711) - MAX(IF($B$2:$B8710=$B8711, $A$2:$A8710+$C$2:$C8710)), "")*24*60, "")</f>
        <v/>
      </c>
      <c r="P8711" s="24" t="str" cm="1">
        <f t="array" ref="P8711">IFERROR(IF($B8711=P$1, ($A8711+$C8711) - MAX(IF($B$2:$B8710=$B8711, $A$2:$A8710+$C$2:$C8710)), "")*24*60, "")</f>
        <v/>
      </c>
      <c r="Q8711" s="24" t="str" cm="1">
        <f t="array" ref="Q8711">IFERROR(IF($B8711=Q$1, ($A8711+$C8711) - MAX(IF($B$2:$B8710=$B8711, $A$2:$A8710+$C$2:$C8710)), "")*24*60, "")</f>
        <v/>
      </c>
      <c r="R8711" s="24" t="str" cm="1">
        <f t="array" ref="R8711">IFERROR(IF($B8711=R$1, ($A8711+$C8711) - MAX(IF($B$2:$B8710=$B8711, $A$2:$A8710+$C$2:$C8710)), "")*24*60, "")</f>
        <v/>
      </c>
      <c r="S8711" s="24" t="str" cm="1">
        <f t="array" ref="S8711">IFERROR(IF($B8711=S$1, ($A8711+$C8711) - MAX(IF($B$2:$B8710=$B8711, $A$2:$A8710+$C$2:$C8710)), "")*24*60, "")</f>
        <v/>
      </c>
    </row>
    <row r="8712" spans="1:19" x14ac:dyDescent="0.2">
      <c r="A8712" s="12">
        <f t="shared" ref="A8712:C8712" si="1447">A8711</f>
        <v>46033</v>
      </c>
      <c r="B8712" s="5" t="str">
        <f t="shared" si="1447"/>
        <v>Northern Cardinal</v>
      </c>
      <c r="C8712" s="6">
        <f t="shared" si="1447"/>
        <v>0.74930555555555556</v>
      </c>
      <c r="D8712" s="5"/>
      <c r="E8712" s="5"/>
      <c r="F8712" s="5" t="s">
        <v>9</v>
      </c>
      <c r="G8712" s="15" t="s">
        <v>8</v>
      </c>
      <c r="H8712" s="24">
        <f t="shared" si="1412"/>
        <v>0</v>
      </c>
      <c r="I8712" s="24" cm="1">
        <f t="array" ref="I8712">IFERROR(IF($B8712=I$1, ($A8712+$C8712) - MAX(IF($B$2:$B8711=$B8712, $A$2:$A8711+$C$2:$C8711)), "")*24*60, "")</f>
        <v>0</v>
      </c>
      <c r="J8712" s="24" t="str" cm="1">
        <f t="array" ref="J8712">IFERROR(IF($B8712=J$1, ($A8712+$C8712) - MAX(IF($B$2:$B8711=$B8712, $A$2:$A8711+$C$2:$C8711)), "")*24*60, "")</f>
        <v/>
      </c>
      <c r="K8712" s="24" t="str" cm="1">
        <f t="array" ref="K8712">IFERROR(IF($B8712=K$1, ($A8712+$C8712) - MAX(IF($B$2:$B8711=$B8712, $A$2:$A8711+$C$2:$C8711)), "")*24*60, "")</f>
        <v/>
      </c>
      <c r="L8712" s="24" t="str" cm="1">
        <f t="array" ref="L8712">IFERROR(IF($B8712=L$1, ($A8712+$C8712) - MAX(IF($B$2:$B8711=$B8712, $A$2:$A8711+$C$2:$C8711)), "")*24*60, "")</f>
        <v/>
      </c>
      <c r="M8712" s="24" t="str" cm="1">
        <f t="array" ref="M8712">IFERROR(IF($B8712=M$1, ($A8712+$C8712) - MAX(IF($B$2:$B8711=$B8712, $A$2:$A8711+$C$2:$C8711)), "")*24*60, "")</f>
        <v/>
      </c>
      <c r="N8712" s="24" t="str" cm="1">
        <f t="array" ref="N8712">IFERROR(IF($B8712=N$1, ($A8712+$C8712) - MAX(IF($B$2:$B8711=$B8712, $A$2:$A8711+$C$2:$C8711)), "")*24*60, "")</f>
        <v/>
      </c>
      <c r="O8712" s="24" t="str" cm="1">
        <f t="array" ref="O8712">IFERROR(IF($B8712=O$1, ($A8712+$C8712) - MAX(IF($B$2:$B8711=$B8712, $A$2:$A8711+$C$2:$C8711)), "")*24*60, "")</f>
        <v/>
      </c>
      <c r="P8712" s="24" t="str" cm="1">
        <f t="array" ref="P8712">IFERROR(IF($B8712=P$1, ($A8712+$C8712) - MAX(IF($B$2:$B8711=$B8712, $A$2:$A8711+$C$2:$C8711)), "")*24*60, "")</f>
        <v/>
      </c>
      <c r="Q8712" s="24" t="str" cm="1">
        <f t="array" ref="Q8712">IFERROR(IF($B8712=Q$1, ($A8712+$C8712) - MAX(IF($B$2:$B8711=$B8712, $A$2:$A8711+$C$2:$C8711)), "")*24*60, "")</f>
        <v/>
      </c>
      <c r="R8712" s="24" t="str" cm="1">
        <f t="array" ref="R8712">IFERROR(IF($B8712=R$1, ($A8712+$C8712) - MAX(IF($B$2:$B8711=$B8712, $A$2:$A8711+$C$2:$C8711)), "")*24*60, "")</f>
        <v/>
      </c>
      <c r="S8712" s="24" t="str" cm="1">
        <f t="array" ref="S8712">IFERROR(IF($B8712=S$1, ($A8712+$C8712) - MAX(IF($B$2:$B8711=$B8712, $A$2:$A8711+$C$2:$C8711)), "")*24*60, "")</f>
        <v/>
      </c>
    </row>
    <row r="8713" spans="1:19" x14ac:dyDescent="0.2">
      <c r="A8713" s="12">
        <f t="shared" ref="A8713:C8713" si="1448">A8712</f>
        <v>46033</v>
      </c>
      <c r="B8713" s="5" t="str">
        <f t="shared" si="1448"/>
        <v>Northern Cardinal</v>
      </c>
      <c r="C8713" s="6">
        <f t="shared" si="1448"/>
        <v>0.74930555555555556</v>
      </c>
      <c r="D8713" s="5"/>
      <c r="E8713" s="5"/>
      <c r="F8713" s="5" t="s">
        <v>9</v>
      </c>
      <c r="G8713" s="15" t="s">
        <v>8</v>
      </c>
      <c r="H8713" s="24">
        <f t="shared" si="1412"/>
        <v>0</v>
      </c>
      <c r="I8713" s="24" cm="1">
        <f t="array" ref="I8713">IFERROR(IF($B8713=I$1, ($A8713+$C8713) - MAX(IF($B$2:$B8712=$B8713, $A$2:$A8712+$C$2:$C8712)), "")*24*60, "")</f>
        <v>0</v>
      </c>
      <c r="J8713" s="24" t="str" cm="1">
        <f t="array" ref="J8713">IFERROR(IF($B8713=J$1, ($A8713+$C8713) - MAX(IF($B$2:$B8712=$B8713, $A$2:$A8712+$C$2:$C8712)), "")*24*60, "")</f>
        <v/>
      </c>
      <c r="K8713" s="24" t="str" cm="1">
        <f t="array" ref="K8713">IFERROR(IF($B8713=K$1, ($A8713+$C8713) - MAX(IF($B$2:$B8712=$B8713, $A$2:$A8712+$C$2:$C8712)), "")*24*60, "")</f>
        <v/>
      </c>
      <c r="L8713" s="24" t="str" cm="1">
        <f t="array" ref="L8713">IFERROR(IF($B8713=L$1, ($A8713+$C8713) - MAX(IF($B$2:$B8712=$B8713, $A$2:$A8712+$C$2:$C8712)), "")*24*60, "")</f>
        <v/>
      </c>
      <c r="M8713" s="24" t="str" cm="1">
        <f t="array" ref="M8713">IFERROR(IF($B8713=M$1, ($A8713+$C8713) - MAX(IF($B$2:$B8712=$B8713, $A$2:$A8712+$C$2:$C8712)), "")*24*60, "")</f>
        <v/>
      </c>
      <c r="N8713" s="24" t="str" cm="1">
        <f t="array" ref="N8713">IFERROR(IF($B8713=N$1, ($A8713+$C8713) - MAX(IF($B$2:$B8712=$B8713, $A$2:$A8712+$C$2:$C8712)), "")*24*60, "")</f>
        <v/>
      </c>
      <c r="O8713" s="24" t="str" cm="1">
        <f t="array" ref="O8713">IFERROR(IF($B8713=O$1, ($A8713+$C8713) - MAX(IF($B$2:$B8712=$B8713, $A$2:$A8712+$C$2:$C8712)), "")*24*60, "")</f>
        <v/>
      </c>
      <c r="P8713" s="24" t="str" cm="1">
        <f t="array" ref="P8713">IFERROR(IF($B8713=P$1, ($A8713+$C8713) - MAX(IF($B$2:$B8712=$B8713, $A$2:$A8712+$C$2:$C8712)), "")*24*60, "")</f>
        <v/>
      </c>
      <c r="Q8713" s="24" t="str" cm="1">
        <f t="array" ref="Q8713">IFERROR(IF($B8713=Q$1, ($A8713+$C8713) - MAX(IF($B$2:$B8712=$B8713, $A$2:$A8712+$C$2:$C8712)), "")*24*60, "")</f>
        <v/>
      </c>
      <c r="R8713" s="24" t="str" cm="1">
        <f t="array" ref="R8713">IFERROR(IF($B8713=R$1, ($A8713+$C8713) - MAX(IF($B$2:$B8712=$B8713, $A$2:$A8712+$C$2:$C8712)), "")*24*60, "")</f>
        <v/>
      </c>
      <c r="S8713" s="24" t="str" cm="1">
        <f t="array" ref="S8713">IFERROR(IF($B8713=S$1, ($A8713+$C8713) - MAX(IF($B$2:$B8712=$B8713, $A$2:$A8712+$C$2:$C8712)), "")*24*60, "")</f>
        <v/>
      </c>
    </row>
    <row r="8714" spans="1:19" x14ac:dyDescent="0.2">
      <c r="A8714" s="12">
        <f t="shared" ref="A8714:C8714" si="1449">A8713</f>
        <v>46033</v>
      </c>
      <c r="B8714" s="5" t="str">
        <f t="shared" si="1449"/>
        <v>Northern Cardinal</v>
      </c>
      <c r="C8714" s="6">
        <f t="shared" si="1449"/>
        <v>0.74930555555555556</v>
      </c>
      <c r="D8714" s="5"/>
      <c r="E8714" s="5"/>
      <c r="F8714" s="5" t="s">
        <v>9</v>
      </c>
      <c r="G8714" s="15" t="s">
        <v>8</v>
      </c>
      <c r="H8714" s="24">
        <f t="shared" si="1412"/>
        <v>0</v>
      </c>
      <c r="I8714" s="24" cm="1">
        <f t="array" ref="I8714">IFERROR(IF($B8714=I$1, ($A8714+$C8714) - MAX(IF($B$2:$B8713=$B8714, $A$2:$A8713+$C$2:$C8713)), "")*24*60, "")</f>
        <v>0</v>
      </c>
      <c r="J8714" s="24" t="str" cm="1">
        <f t="array" ref="J8714">IFERROR(IF($B8714=J$1, ($A8714+$C8714) - MAX(IF($B$2:$B8713=$B8714, $A$2:$A8713+$C$2:$C8713)), "")*24*60, "")</f>
        <v/>
      </c>
      <c r="K8714" s="24" t="str" cm="1">
        <f t="array" ref="K8714">IFERROR(IF($B8714=K$1, ($A8714+$C8714) - MAX(IF($B$2:$B8713=$B8714, $A$2:$A8713+$C$2:$C8713)), "")*24*60, "")</f>
        <v/>
      </c>
      <c r="L8714" s="24" t="str" cm="1">
        <f t="array" ref="L8714">IFERROR(IF($B8714=L$1, ($A8714+$C8714) - MAX(IF($B$2:$B8713=$B8714, $A$2:$A8713+$C$2:$C8713)), "")*24*60, "")</f>
        <v/>
      </c>
      <c r="M8714" s="24" t="str" cm="1">
        <f t="array" ref="M8714">IFERROR(IF($B8714=M$1, ($A8714+$C8714) - MAX(IF($B$2:$B8713=$B8714, $A$2:$A8713+$C$2:$C8713)), "")*24*60, "")</f>
        <v/>
      </c>
      <c r="N8714" s="24" t="str" cm="1">
        <f t="array" ref="N8714">IFERROR(IF($B8714=N$1, ($A8714+$C8714) - MAX(IF($B$2:$B8713=$B8714, $A$2:$A8713+$C$2:$C8713)), "")*24*60, "")</f>
        <v/>
      </c>
      <c r="O8714" s="24" t="str" cm="1">
        <f t="array" ref="O8714">IFERROR(IF($B8714=O$1, ($A8714+$C8714) - MAX(IF($B$2:$B8713=$B8714, $A$2:$A8713+$C$2:$C8713)), "")*24*60, "")</f>
        <v/>
      </c>
      <c r="P8714" s="24" t="str" cm="1">
        <f t="array" ref="P8714">IFERROR(IF($B8714=P$1, ($A8714+$C8714) - MAX(IF($B$2:$B8713=$B8714, $A$2:$A8713+$C$2:$C8713)), "")*24*60, "")</f>
        <v/>
      </c>
      <c r="Q8714" s="24" t="str" cm="1">
        <f t="array" ref="Q8714">IFERROR(IF($B8714=Q$1, ($A8714+$C8714) - MAX(IF($B$2:$B8713=$B8714, $A$2:$A8713+$C$2:$C8713)), "")*24*60, "")</f>
        <v/>
      </c>
      <c r="R8714" s="24" t="str" cm="1">
        <f t="array" ref="R8714">IFERROR(IF($B8714=R$1, ($A8714+$C8714) - MAX(IF($B$2:$B8713=$B8714, $A$2:$A8713+$C$2:$C8713)), "")*24*60, "")</f>
        <v/>
      </c>
      <c r="S8714" s="24" t="str" cm="1">
        <f t="array" ref="S8714">IFERROR(IF($B8714=S$1, ($A8714+$C8714) - MAX(IF($B$2:$B8713=$B8714, $A$2:$A8713+$C$2:$C8713)),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35"/>
  <sheetViews>
    <sheetView zoomScale="120" zoomScaleNormal="120" workbookViewId="0">
      <pane ySplit="1" topLeftCell="A317" activePane="bottomLeft" state="frozen"/>
      <selection pane="bottomLeft" activeCell="A335" sqref="A335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  <row r="331" spans="1:5" x14ac:dyDescent="0.25">
      <c r="A331" s="10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10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10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10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10">
        <v>46032</v>
      </c>
      <c r="B335" s="11" t="s">
        <v>10</v>
      </c>
      <c r="C335" s="11">
        <f>COUNTIFS(RawData!$B:$B, $B335, RawData!$A:$A, DailySummaries!$A335)</f>
        <v>4</v>
      </c>
      <c r="D335" s="11">
        <f>SUMIFS(RawData!$D:$D,RawData!$B:$B,$B335,RawData!$A:$A,DailySummaries!$A335)+1</f>
        <v>1</v>
      </c>
      <c r="E335" s="11">
        <f>SUMIFS(RawData!$E:$E,RawData!$B:$B,$B335,RawData!$A:$A,DailySummaries!$A335)+1</f>
        <v>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2026-01-11T13:07:20Z</dcterms:modified>
</cp:coreProperties>
</file>
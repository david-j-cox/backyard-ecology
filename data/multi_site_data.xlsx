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C157B731-395F-B14C-A0DB-1F40AF3BF5B5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1" i="2" l="1"/>
  <c r="E341" i="2"/>
  <c r="D341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8809" i="1" l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8810" i="1" l="1"/>
  <c r="L8809" i="1" a="1"/>
  <c r="L8809" i="1" s="1"/>
  <c r="P8809" i="1" a="1"/>
  <c r="P8809" i="1" s="1"/>
  <c r="B8810" i="1"/>
  <c r="Q8809" i="1" a="1"/>
  <c r="Q8809" i="1" s="1"/>
  <c r="J8809" i="1" a="1"/>
  <c r="J8809" i="1" s="1"/>
  <c r="R8809" i="1" a="1"/>
  <c r="R8809" i="1" s="1"/>
  <c r="K8809" i="1" a="1"/>
  <c r="K8809" i="1" s="1"/>
  <c r="S8809" i="1" a="1"/>
  <c r="S8809" i="1" s="1"/>
  <c r="M8809" i="1" a="1"/>
  <c r="M8809" i="1" s="1"/>
  <c r="N8809" i="1" a="1"/>
  <c r="N8809" i="1" s="1"/>
  <c r="O8809" i="1" a="1"/>
  <c r="O8809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B8811" i="1" l="1"/>
  <c r="K8810" i="1" a="1"/>
  <c r="K8810" i="1" s="1"/>
  <c r="O8810" i="1" a="1"/>
  <c r="O8810" i="1" s="1"/>
  <c r="S8810" i="1" a="1"/>
  <c r="S8810" i="1" s="1"/>
  <c r="L8810" i="1" a="1"/>
  <c r="L8810" i="1" s="1"/>
  <c r="M8810" i="1" a="1"/>
  <c r="M8810" i="1" s="1"/>
  <c r="N8810" i="1" a="1"/>
  <c r="N8810" i="1" s="1"/>
  <c r="P8810" i="1" a="1"/>
  <c r="P8810" i="1" s="1"/>
  <c r="Q8810" i="1" a="1"/>
  <c r="Q8810" i="1" s="1"/>
  <c r="J8810" i="1" a="1"/>
  <c r="J8810" i="1" s="1"/>
  <c r="R8810" i="1" a="1"/>
  <c r="R8810" i="1" s="1"/>
  <c r="A8811" i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C8809" i="1" l="1"/>
  <c r="A8812" i="1"/>
  <c r="B8812" i="1"/>
  <c r="J8811" i="1" a="1"/>
  <c r="J8811" i="1" s="1"/>
  <c r="N8811" i="1" a="1"/>
  <c r="N8811" i="1" s="1"/>
  <c r="R8811" i="1" a="1"/>
  <c r="R8811" i="1" s="1"/>
  <c r="O8811" i="1" a="1"/>
  <c r="O8811" i="1" s="1"/>
  <c r="P8811" i="1" a="1"/>
  <c r="P8811" i="1" s="1"/>
  <c r="Q8811" i="1" a="1"/>
  <c r="Q8811" i="1" s="1"/>
  <c r="K8811" i="1" a="1"/>
  <c r="K8811" i="1" s="1"/>
  <c r="S8811" i="1" a="1"/>
  <c r="S8811" i="1" s="1"/>
  <c r="L8811" i="1" a="1"/>
  <c r="L8811" i="1" s="1"/>
  <c r="M8811" i="1" a="1"/>
  <c r="M8811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C8810" i="1" l="1"/>
  <c r="I8809" i="1" a="1"/>
  <c r="I8809" i="1" s="1"/>
  <c r="H8809" i="1"/>
  <c r="P8812" i="1" a="1"/>
  <c r="P8812" i="1" s="1"/>
  <c r="J8812" i="1" a="1"/>
  <c r="J8812" i="1" s="1"/>
  <c r="K8812" i="1" a="1"/>
  <c r="K8812" i="1" s="1"/>
  <c r="Q8812" i="1" a="1"/>
  <c r="Q8812" i="1" s="1"/>
  <c r="L8812" i="1" a="1"/>
  <c r="L8812" i="1" s="1"/>
  <c r="R8812" i="1" a="1"/>
  <c r="R8812" i="1" s="1"/>
  <c r="S8812" i="1" a="1"/>
  <c r="S8812" i="1" s="1"/>
  <c r="M8812" i="1" a="1"/>
  <c r="M8812" i="1" s="1"/>
  <c r="N8812" i="1" a="1"/>
  <c r="N8812" i="1" s="1"/>
  <c r="B8813" i="1"/>
  <c r="O8812" i="1" a="1"/>
  <c r="O8812" i="1" s="1"/>
  <c r="A8813" i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C8811" i="1" l="1"/>
  <c r="I8810" i="1" a="1"/>
  <c r="I8810" i="1" s="1"/>
  <c r="H8810" i="1"/>
  <c r="B8814" i="1"/>
  <c r="J8813" i="1" a="1"/>
  <c r="J8813" i="1" s="1"/>
  <c r="P8813" i="1" a="1"/>
  <c r="P8813" i="1" s="1"/>
  <c r="K8813" i="1" a="1"/>
  <c r="K8813" i="1" s="1"/>
  <c r="Q8813" i="1" a="1"/>
  <c r="Q8813" i="1" s="1"/>
  <c r="R8813" i="1" a="1"/>
  <c r="R8813" i="1" s="1"/>
  <c r="L8813" i="1" a="1"/>
  <c r="L8813" i="1" s="1"/>
  <c r="S8813" i="1" a="1"/>
  <c r="S8813" i="1" s="1"/>
  <c r="M8813" i="1" a="1"/>
  <c r="M8813" i="1" s="1"/>
  <c r="N8813" i="1" a="1"/>
  <c r="N8813" i="1" s="1"/>
  <c r="O8813" i="1" a="1"/>
  <c r="O8813" i="1" s="1"/>
  <c r="A8814" i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C8812" i="1" l="1"/>
  <c r="I8811" i="1" a="1"/>
  <c r="I8811" i="1" s="1"/>
  <c r="H8811" i="1"/>
  <c r="A8815" i="1"/>
  <c r="B8815" i="1"/>
  <c r="O8814" i="1" a="1"/>
  <c r="O8814" i="1" s="1"/>
  <c r="J8814" i="1" a="1"/>
  <c r="J8814" i="1" s="1"/>
  <c r="P8814" i="1" a="1"/>
  <c r="P8814" i="1" s="1"/>
  <c r="Q8814" i="1" a="1"/>
  <c r="Q8814" i="1" s="1"/>
  <c r="K8814" i="1" a="1"/>
  <c r="K8814" i="1" s="1"/>
  <c r="R8814" i="1" a="1"/>
  <c r="R8814" i="1" s="1"/>
  <c r="L8814" i="1" a="1"/>
  <c r="L8814" i="1" s="1"/>
  <c r="M8814" i="1" a="1"/>
  <c r="M8814" i="1" s="1"/>
  <c r="S8814" i="1" a="1"/>
  <c r="S8814" i="1" s="1"/>
  <c r="N8814" i="1" a="1"/>
  <c r="N8814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D340" i="2" l="1"/>
  <c r="C8813" i="1"/>
  <c r="H8812" i="1"/>
  <c r="I8812" i="1" a="1"/>
  <c r="I8812" i="1" s="1"/>
  <c r="A8816" i="1"/>
  <c r="O8815" i="1" a="1"/>
  <c r="O8815" i="1" s="1"/>
  <c r="S8815" i="1" a="1"/>
  <c r="S8815" i="1" s="1"/>
  <c r="J8815" i="1" a="1"/>
  <c r="J8815" i="1" s="1"/>
  <c r="K8815" i="1" a="1"/>
  <c r="K8815" i="1" s="1"/>
  <c r="P8815" i="1" a="1"/>
  <c r="P8815" i="1" s="1"/>
  <c r="L8815" i="1" a="1"/>
  <c r="L8815" i="1" s="1"/>
  <c r="B8816" i="1"/>
  <c r="M8815" i="1" a="1"/>
  <c r="M8815" i="1" s="1"/>
  <c r="Q8815" i="1" a="1"/>
  <c r="Q8815" i="1" s="1"/>
  <c r="N8815" i="1" a="1"/>
  <c r="N8815" i="1" s="1"/>
  <c r="R8815" i="1" a="1"/>
  <c r="R8815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C8814" i="1" l="1"/>
  <c r="I8813" i="1" a="1"/>
  <c r="I8813" i="1" s="1"/>
  <c r="H8813" i="1"/>
  <c r="J8816" i="1" a="1"/>
  <c r="J8816" i="1" s="1"/>
  <c r="N8816" i="1" a="1"/>
  <c r="N8816" i="1" s="1"/>
  <c r="R8816" i="1" a="1"/>
  <c r="R8816" i="1" s="1"/>
  <c r="K8816" i="1" a="1"/>
  <c r="K8816" i="1" s="1"/>
  <c r="O8816" i="1" a="1"/>
  <c r="O8816" i="1" s="1"/>
  <c r="S8816" i="1" a="1"/>
  <c r="S8816" i="1" s="1"/>
  <c r="L8816" i="1" a="1"/>
  <c r="L8816" i="1" s="1"/>
  <c r="P8816" i="1" a="1"/>
  <c r="P8816" i="1" s="1"/>
  <c r="B8817" i="1"/>
  <c r="Q8816" i="1" a="1"/>
  <c r="Q8816" i="1" s="1"/>
  <c r="M8816" i="1" a="1"/>
  <c r="M8816" i="1" s="1"/>
  <c r="A8817" i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E340" i="2" l="1"/>
  <c r="C340" i="2"/>
  <c r="C8815" i="1"/>
  <c r="H8814" i="1"/>
  <c r="I8814" i="1" a="1"/>
  <c r="I8814" i="1" s="1"/>
  <c r="A8818" i="1"/>
  <c r="B8818" i="1"/>
  <c r="M8817" i="1" a="1"/>
  <c r="M8817" i="1" s="1"/>
  <c r="Q8817" i="1" a="1"/>
  <c r="Q8817" i="1" s="1"/>
  <c r="J8817" i="1" a="1"/>
  <c r="J8817" i="1" s="1"/>
  <c r="N8817" i="1" a="1"/>
  <c r="N8817" i="1" s="1"/>
  <c r="R8817" i="1" a="1"/>
  <c r="R8817" i="1" s="1"/>
  <c r="K8817" i="1" a="1"/>
  <c r="K8817" i="1" s="1"/>
  <c r="O8817" i="1" a="1"/>
  <c r="O8817" i="1" s="1"/>
  <c r="S8817" i="1" a="1"/>
  <c r="S8817" i="1" s="1"/>
  <c r="L8817" i="1" a="1"/>
  <c r="L8817" i="1" s="1"/>
  <c r="P8817" i="1" a="1"/>
  <c r="P8817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C8816" i="1" l="1"/>
  <c r="H8815" i="1"/>
  <c r="I8815" i="1" a="1"/>
  <c r="I8815" i="1" s="1"/>
  <c r="L8818" i="1" a="1"/>
  <c r="L8818" i="1" s="1"/>
  <c r="P8818" i="1" a="1"/>
  <c r="P8818" i="1" s="1"/>
  <c r="M8818" i="1" a="1"/>
  <c r="M8818" i="1" s="1"/>
  <c r="Q8818" i="1" a="1"/>
  <c r="Q8818" i="1" s="1"/>
  <c r="J8818" i="1" a="1"/>
  <c r="J8818" i="1" s="1"/>
  <c r="N8818" i="1" a="1"/>
  <c r="N8818" i="1" s="1"/>
  <c r="R8818" i="1" a="1"/>
  <c r="R8818" i="1" s="1"/>
  <c r="B8819" i="1"/>
  <c r="K8818" i="1" a="1"/>
  <c r="K8818" i="1" s="1"/>
  <c r="O8818" i="1" a="1"/>
  <c r="O8818" i="1" s="1"/>
  <c r="S8818" i="1" a="1"/>
  <c r="S8818" i="1" s="1"/>
  <c r="A8819" i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C8817" i="1" l="1"/>
  <c r="H8816" i="1"/>
  <c r="I8816" i="1" a="1"/>
  <c r="I8816" i="1" s="1"/>
  <c r="K8819" i="1" a="1"/>
  <c r="K8819" i="1" s="1"/>
  <c r="O8819" i="1" a="1"/>
  <c r="O8819" i="1" s="1"/>
  <c r="S8819" i="1" a="1"/>
  <c r="S8819" i="1" s="1"/>
  <c r="L8819" i="1" a="1"/>
  <c r="L8819" i="1" s="1"/>
  <c r="P8819" i="1" a="1"/>
  <c r="P8819" i="1" s="1"/>
  <c r="B8820" i="1"/>
  <c r="M8819" i="1" a="1"/>
  <c r="M8819" i="1" s="1"/>
  <c r="Q8819" i="1" a="1"/>
  <c r="Q8819" i="1" s="1"/>
  <c r="R8819" i="1" a="1"/>
  <c r="R8819" i="1" s="1"/>
  <c r="J8819" i="1" a="1"/>
  <c r="J8819" i="1" s="1"/>
  <c r="N8819" i="1" a="1"/>
  <c r="N8819" i="1" s="1"/>
  <c r="A8820" i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C8818" i="1" l="1"/>
  <c r="H8817" i="1"/>
  <c r="I8817" i="1" a="1"/>
  <c r="I8817" i="1" s="1"/>
  <c r="J8820" i="1" a="1"/>
  <c r="J8820" i="1" s="1"/>
  <c r="N8820" i="1" a="1"/>
  <c r="N8820" i="1" s="1"/>
  <c r="R8820" i="1" a="1"/>
  <c r="R8820" i="1" s="1"/>
  <c r="K8820" i="1" a="1"/>
  <c r="K8820" i="1" s="1"/>
  <c r="O8820" i="1" a="1"/>
  <c r="O8820" i="1" s="1"/>
  <c r="S8820" i="1" a="1"/>
  <c r="S8820" i="1" s="1"/>
  <c r="L8820" i="1" a="1"/>
  <c r="L8820" i="1" s="1"/>
  <c r="P8820" i="1" a="1"/>
  <c r="P8820" i="1" s="1"/>
  <c r="Q8820" i="1" a="1"/>
  <c r="Q8820" i="1" s="1"/>
  <c r="B8821" i="1"/>
  <c r="M8820" i="1" a="1"/>
  <c r="M8820" i="1" s="1"/>
  <c r="A8821" i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C8819" i="1" l="1"/>
  <c r="H8818" i="1"/>
  <c r="I8818" i="1" a="1"/>
  <c r="I8818" i="1" s="1"/>
  <c r="A8822" i="1"/>
  <c r="B8822" i="1"/>
  <c r="M8821" i="1" a="1"/>
  <c r="M8821" i="1" s="1"/>
  <c r="Q8821" i="1" a="1"/>
  <c r="Q8821" i="1" s="1"/>
  <c r="J8821" i="1" a="1"/>
  <c r="J8821" i="1" s="1"/>
  <c r="N8821" i="1" a="1"/>
  <c r="N8821" i="1" s="1"/>
  <c r="R8821" i="1" a="1"/>
  <c r="R8821" i="1" s="1"/>
  <c r="K8821" i="1" a="1"/>
  <c r="K8821" i="1" s="1"/>
  <c r="O8821" i="1" a="1"/>
  <c r="O8821" i="1" s="1"/>
  <c r="S8821" i="1" a="1"/>
  <c r="S8821" i="1" s="1"/>
  <c r="P8821" i="1" a="1"/>
  <c r="P8821" i="1" s="1"/>
  <c r="L8821" i="1" a="1"/>
  <c r="L8821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C8820" i="1" l="1"/>
  <c r="H8819" i="1"/>
  <c r="I8819" i="1" a="1"/>
  <c r="I8819" i="1" s="1"/>
  <c r="L8822" i="1" a="1"/>
  <c r="L8822" i="1" s="1"/>
  <c r="P8822" i="1" a="1"/>
  <c r="P8822" i="1" s="1"/>
  <c r="M8822" i="1" a="1"/>
  <c r="M8822" i="1" s="1"/>
  <c r="Q8822" i="1" a="1"/>
  <c r="Q8822" i="1" s="1"/>
  <c r="J8822" i="1" a="1"/>
  <c r="J8822" i="1" s="1"/>
  <c r="N8822" i="1" a="1"/>
  <c r="N8822" i="1" s="1"/>
  <c r="R8822" i="1" a="1"/>
  <c r="R8822" i="1" s="1"/>
  <c r="K8822" i="1" a="1"/>
  <c r="K8822" i="1" s="1"/>
  <c r="O8822" i="1" a="1"/>
  <c r="O8822" i="1" s="1"/>
  <c r="B8823" i="1"/>
  <c r="S8822" i="1" a="1"/>
  <c r="S8822" i="1" s="1"/>
  <c r="A8823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C8821" i="1" l="1"/>
  <c r="H8820" i="1"/>
  <c r="I8820" i="1" a="1"/>
  <c r="I8820" i="1" s="1"/>
  <c r="K8823" i="1" a="1"/>
  <c r="K8823" i="1" s="1"/>
  <c r="O8823" i="1" a="1"/>
  <c r="O8823" i="1" s="1"/>
  <c r="S8823" i="1" a="1"/>
  <c r="S8823" i="1" s="1"/>
  <c r="L8823" i="1" a="1"/>
  <c r="L8823" i="1" s="1"/>
  <c r="P8823" i="1" a="1"/>
  <c r="P8823" i="1" s="1"/>
  <c r="B8824" i="1"/>
  <c r="M8823" i="1" a="1"/>
  <c r="M8823" i="1" s="1"/>
  <c r="Q8823" i="1" a="1"/>
  <c r="Q8823" i="1" s="1"/>
  <c r="J8823" i="1" a="1"/>
  <c r="J8823" i="1" s="1"/>
  <c r="N8823" i="1" a="1"/>
  <c r="N8823" i="1" s="1"/>
  <c r="R8823" i="1" a="1"/>
  <c r="R8823" i="1" s="1"/>
  <c r="A8824" i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C8822" i="1" l="1"/>
  <c r="H8821" i="1"/>
  <c r="I8821" i="1" a="1"/>
  <c r="I8821" i="1" s="1"/>
  <c r="J8824" i="1" a="1"/>
  <c r="J8824" i="1" s="1"/>
  <c r="N8824" i="1" a="1"/>
  <c r="N8824" i="1" s="1"/>
  <c r="R8824" i="1" a="1"/>
  <c r="R8824" i="1" s="1"/>
  <c r="K8824" i="1" a="1"/>
  <c r="K8824" i="1" s="1"/>
  <c r="O8824" i="1" a="1"/>
  <c r="O8824" i="1" s="1"/>
  <c r="S8824" i="1" a="1"/>
  <c r="S8824" i="1" s="1"/>
  <c r="L8824" i="1" a="1"/>
  <c r="L8824" i="1" s="1"/>
  <c r="P8824" i="1" a="1"/>
  <c r="P8824" i="1" s="1"/>
  <c r="Q8824" i="1" a="1"/>
  <c r="Q8824" i="1" s="1"/>
  <c r="B8825" i="1"/>
  <c r="M8824" i="1" a="1"/>
  <c r="M8824" i="1" s="1"/>
  <c r="A8825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8823" i="1" l="1"/>
  <c r="H8822" i="1"/>
  <c r="I8822" i="1" a="1"/>
  <c r="I8822" i="1" s="1"/>
  <c r="A8826" i="1"/>
  <c r="B8826" i="1"/>
  <c r="M8825" i="1" a="1"/>
  <c r="M8825" i="1" s="1"/>
  <c r="Q8825" i="1" a="1"/>
  <c r="Q8825" i="1" s="1"/>
  <c r="J8825" i="1" a="1"/>
  <c r="J8825" i="1" s="1"/>
  <c r="N8825" i="1" a="1"/>
  <c r="N8825" i="1" s="1"/>
  <c r="R8825" i="1" a="1"/>
  <c r="R8825" i="1" s="1"/>
  <c r="K8825" i="1" a="1"/>
  <c r="K8825" i="1" s="1"/>
  <c r="O8825" i="1" a="1"/>
  <c r="O8825" i="1" s="1"/>
  <c r="S8825" i="1" a="1"/>
  <c r="S8825" i="1" s="1"/>
  <c r="P8825" i="1" a="1"/>
  <c r="P8825" i="1" s="1"/>
  <c r="L8825" i="1" a="1"/>
  <c r="L8825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C8824" i="1" l="1"/>
  <c r="H8823" i="1"/>
  <c r="I8823" i="1" a="1"/>
  <c r="I8823" i="1" s="1"/>
  <c r="L8826" i="1" a="1"/>
  <c r="L8826" i="1" s="1"/>
  <c r="P8826" i="1" a="1"/>
  <c r="P8826" i="1" s="1"/>
  <c r="M8826" i="1" a="1"/>
  <c r="M8826" i="1" s="1"/>
  <c r="Q8826" i="1" a="1"/>
  <c r="Q8826" i="1" s="1"/>
  <c r="J8826" i="1" a="1"/>
  <c r="J8826" i="1" s="1"/>
  <c r="N8826" i="1" a="1"/>
  <c r="N8826" i="1" s="1"/>
  <c r="R8826" i="1" a="1"/>
  <c r="R8826" i="1" s="1"/>
  <c r="O8826" i="1" a="1"/>
  <c r="O8826" i="1" s="1"/>
  <c r="S8826" i="1" a="1"/>
  <c r="S8826" i="1" s="1"/>
  <c r="K8826" i="1" a="1"/>
  <c r="K8826" i="1" s="1"/>
  <c r="B8827" i="1"/>
  <c r="A8827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C8825" i="1" l="1"/>
  <c r="H8824" i="1"/>
  <c r="I8824" i="1" a="1"/>
  <c r="I8824" i="1" s="1"/>
  <c r="A8828" i="1"/>
  <c r="K8827" i="1" a="1"/>
  <c r="K8827" i="1" s="1"/>
  <c r="O8827" i="1" a="1"/>
  <c r="O8827" i="1" s="1"/>
  <c r="S8827" i="1" a="1"/>
  <c r="S8827" i="1" s="1"/>
  <c r="L8827" i="1" a="1"/>
  <c r="L8827" i="1" s="1"/>
  <c r="P8827" i="1" a="1"/>
  <c r="P8827" i="1" s="1"/>
  <c r="B8828" i="1"/>
  <c r="M8827" i="1" a="1"/>
  <c r="M8827" i="1" s="1"/>
  <c r="Q8827" i="1" a="1"/>
  <c r="Q8827" i="1" s="1"/>
  <c r="J8827" i="1" a="1"/>
  <c r="J8827" i="1" s="1"/>
  <c r="N8827" i="1" a="1"/>
  <c r="N8827" i="1" s="1"/>
  <c r="R8827" i="1" a="1"/>
  <c r="R8827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C8826" i="1" l="1"/>
  <c r="I8825" i="1" a="1"/>
  <c r="I8825" i="1" s="1"/>
  <c r="H8825" i="1"/>
  <c r="J8828" i="1" a="1"/>
  <c r="J8828" i="1" s="1"/>
  <c r="O8828" i="1" a="1"/>
  <c r="O8828" i="1" s="1"/>
  <c r="B8829" i="1"/>
  <c r="P8828" i="1" a="1"/>
  <c r="P8828" i="1" s="1"/>
  <c r="K8828" i="1" a="1"/>
  <c r="K8828" i="1" s="1"/>
  <c r="L8828" i="1" a="1"/>
  <c r="L8828" i="1" s="1"/>
  <c r="Q8828" i="1" a="1"/>
  <c r="Q8828" i="1" s="1"/>
  <c r="R8828" i="1" a="1"/>
  <c r="R8828" i="1" s="1"/>
  <c r="N8828" i="1" a="1"/>
  <c r="N8828" i="1" s="1"/>
  <c r="S8828" i="1" a="1"/>
  <c r="S8828" i="1" s="1"/>
  <c r="M8828" i="1" a="1"/>
  <c r="M8828" i="1" s="1"/>
  <c r="A8829" i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C8827" i="1" l="1"/>
  <c r="H8826" i="1"/>
  <c r="I8826" i="1" a="1"/>
  <c r="I8826" i="1" s="1"/>
  <c r="A8830" i="1"/>
  <c r="B8830" i="1"/>
  <c r="L8829" i="1" a="1"/>
  <c r="L8829" i="1" s="1"/>
  <c r="M8829" i="1" a="1"/>
  <c r="M8829" i="1" s="1"/>
  <c r="R8829" i="1" a="1"/>
  <c r="R8829" i="1" s="1"/>
  <c r="S8829" i="1" a="1"/>
  <c r="S8829" i="1" s="1"/>
  <c r="N8829" i="1" a="1"/>
  <c r="N8829" i="1" s="1"/>
  <c r="O8829" i="1" a="1"/>
  <c r="O8829" i="1" s="1"/>
  <c r="J8829" i="1" a="1"/>
  <c r="J8829" i="1" s="1"/>
  <c r="Q8829" i="1" a="1"/>
  <c r="Q8829" i="1" s="1"/>
  <c r="P8829" i="1" a="1"/>
  <c r="P8829" i="1" s="1"/>
  <c r="K8829" i="1" a="1"/>
  <c r="K8829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C8828" i="1" l="1"/>
  <c r="I8827" i="1" a="1"/>
  <c r="I8827" i="1" s="1"/>
  <c r="H8827" i="1"/>
  <c r="J8830" i="1" a="1"/>
  <c r="J8830" i="1" s="1"/>
  <c r="O8830" i="1" a="1"/>
  <c r="O8830" i="1" s="1"/>
  <c r="B8831" i="1"/>
  <c r="P8830" i="1" a="1"/>
  <c r="P8830" i="1" s="1"/>
  <c r="K8830" i="1" a="1"/>
  <c r="K8830" i="1" s="1"/>
  <c r="L8830" i="1" a="1"/>
  <c r="L8830" i="1" s="1"/>
  <c r="Q8830" i="1" a="1"/>
  <c r="Q8830" i="1" s="1"/>
  <c r="R8830" i="1" a="1"/>
  <c r="R8830" i="1" s="1"/>
  <c r="M8830" i="1" a="1"/>
  <c r="M8830" i="1" s="1"/>
  <c r="S8830" i="1" a="1"/>
  <c r="S8830" i="1" s="1"/>
  <c r="N8830" i="1" a="1"/>
  <c r="N8830" i="1" s="1"/>
  <c r="A8831" i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C8829" i="1" l="1"/>
  <c r="I8828" i="1" a="1"/>
  <c r="I8828" i="1" s="1"/>
  <c r="H8828" i="1"/>
  <c r="A8832" i="1"/>
  <c r="Q8831" i="1" a="1"/>
  <c r="Q8831" i="1" s="1"/>
  <c r="M8831" i="1" a="1"/>
  <c r="M8831" i="1" s="1"/>
  <c r="R8831" i="1" a="1"/>
  <c r="R8831" i="1" s="1"/>
  <c r="N8831" i="1" a="1"/>
  <c r="N8831" i="1" s="1"/>
  <c r="S8831" i="1" a="1"/>
  <c r="S8831" i="1" s="1"/>
  <c r="J8831" i="1" a="1"/>
  <c r="J8831" i="1" s="1"/>
  <c r="O8831" i="1" a="1"/>
  <c r="O8831" i="1" s="1"/>
  <c r="K8831" i="1" a="1"/>
  <c r="K8831" i="1" s="1"/>
  <c r="L8831" i="1" a="1"/>
  <c r="L8831" i="1" s="1"/>
  <c r="P8831" i="1" a="1"/>
  <c r="P8831" i="1" s="1"/>
  <c r="B8832" i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C8830" i="1" l="1"/>
  <c r="I8829" i="1" a="1"/>
  <c r="I8829" i="1" s="1"/>
  <c r="H8829" i="1"/>
  <c r="M8832" i="1" a="1"/>
  <c r="M8832" i="1" s="1"/>
  <c r="R8832" i="1" a="1"/>
  <c r="R8832" i="1" s="1"/>
  <c r="N8832" i="1" a="1"/>
  <c r="N8832" i="1" s="1"/>
  <c r="J8832" i="1" a="1"/>
  <c r="J8832" i="1" s="1"/>
  <c r="S8832" i="1" a="1"/>
  <c r="S8832" i="1" s="1"/>
  <c r="O8832" i="1" a="1"/>
  <c r="O8832" i="1" s="1"/>
  <c r="K8832" i="1" a="1"/>
  <c r="K8832" i="1" s="1"/>
  <c r="P8832" i="1" a="1"/>
  <c r="P8832" i="1" s="1"/>
  <c r="B8833" i="1"/>
  <c r="Q8832" i="1" a="1"/>
  <c r="Q8832" i="1" s="1"/>
  <c r="L8832" i="1" a="1"/>
  <c r="L8832" i="1" s="1"/>
  <c r="A8833" i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C8831" i="1" l="1"/>
  <c r="H8830" i="1"/>
  <c r="I8830" i="1" a="1"/>
  <c r="I8830" i="1" s="1"/>
  <c r="A8834" i="1"/>
  <c r="N8833" i="1" a="1"/>
  <c r="N8833" i="1" s="1"/>
  <c r="R8833" i="1" a="1"/>
  <c r="R8833" i="1" s="1"/>
  <c r="J8833" i="1" a="1"/>
  <c r="J8833" i="1" s="1"/>
  <c r="O8833" i="1" a="1"/>
  <c r="O8833" i="1" s="1"/>
  <c r="S8833" i="1" a="1"/>
  <c r="S8833" i="1" s="1"/>
  <c r="K8833" i="1" a="1"/>
  <c r="K8833" i="1" s="1"/>
  <c r="P8833" i="1" a="1"/>
  <c r="P8833" i="1" s="1"/>
  <c r="L8833" i="1" a="1"/>
  <c r="L8833" i="1" s="1"/>
  <c r="B8834" i="1"/>
  <c r="Q8833" i="1" a="1"/>
  <c r="Q8833" i="1" s="1"/>
  <c r="M8833" i="1" a="1"/>
  <c r="M8833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C8832" i="1" l="1"/>
  <c r="H8831" i="1"/>
  <c r="I8831" i="1" a="1"/>
  <c r="I8831" i="1" s="1"/>
  <c r="A8835" i="1"/>
  <c r="M8834" i="1" a="1"/>
  <c r="M8834" i="1" s="1"/>
  <c r="Q8834" i="1" a="1"/>
  <c r="Q8834" i="1" s="1"/>
  <c r="J8834" i="1" a="1"/>
  <c r="J8834" i="1" s="1"/>
  <c r="N8834" i="1" a="1"/>
  <c r="N8834" i="1" s="1"/>
  <c r="R8834" i="1" a="1"/>
  <c r="R8834" i="1" s="1"/>
  <c r="K8834" i="1" a="1"/>
  <c r="K8834" i="1" s="1"/>
  <c r="O8834" i="1" a="1"/>
  <c r="O8834" i="1" s="1"/>
  <c r="S8834" i="1" a="1"/>
  <c r="S8834" i="1" s="1"/>
  <c r="B8835" i="1"/>
  <c r="L8834" i="1" a="1"/>
  <c r="L8834" i="1" s="1"/>
  <c r="P8834" i="1" a="1"/>
  <c r="P8834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C8833" i="1" l="1"/>
  <c r="I8832" i="1" a="1"/>
  <c r="I8832" i="1" s="1"/>
  <c r="H8832" i="1"/>
  <c r="L8835" i="1" a="1"/>
  <c r="L8835" i="1" s="1"/>
  <c r="P8835" i="1" a="1"/>
  <c r="P8835" i="1" s="1"/>
  <c r="B8836" i="1"/>
  <c r="M8835" i="1" a="1"/>
  <c r="M8835" i="1" s="1"/>
  <c r="Q8835" i="1" a="1"/>
  <c r="Q8835" i="1" s="1"/>
  <c r="J8835" i="1" a="1"/>
  <c r="J8835" i="1" s="1"/>
  <c r="N8835" i="1" a="1"/>
  <c r="N8835" i="1" s="1"/>
  <c r="R8835" i="1" a="1"/>
  <c r="R8835" i="1" s="1"/>
  <c r="K8835" i="1" a="1"/>
  <c r="K8835" i="1" s="1"/>
  <c r="S8835" i="1" a="1"/>
  <c r="S8835" i="1" s="1"/>
  <c r="O8835" i="1" a="1"/>
  <c r="O8835" i="1" s="1"/>
  <c r="A8836" i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C8834" i="1" l="1"/>
  <c r="I8833" i="1" a="1"/>
  <c r="I8833" i="1" s="1"/>
  <c r="H8833" i="1"/>
  <c r="A8837" i="1"/>
  <c r="K8836" i="1" a="1"/>
  <c r="K8836" i="1" s="1"/>
  <c r="O8836" i="1" a="1"/>
  <c r="O8836" i="1" s="1"/>
  <c r="S8836" i="1" a="1"/>
  <c r="S8836" i="1" s="1"/>
  <c r="L8836" i="1" a="1"/>
  <c r="L8836" i="1" s="1"/>
  <c r="P8836" i="1" a="1"/>
  <c r="P8836" i="1" s="1"/>
  <c r="B8837" i="1"/>
  <c r="M8836" i="1" a="1"/>
  <c r="M8836" i="1" s="1"/>
  <c r="Q8836" i="1" a="1"/>
  <c r="Q8836" i="1" s="1"/>
  <c r="J8836" i="1" a="1"/>
  <c r="J8836" i="1" s="1"/>
  <c r="N8836" i="1" a="1"/>
  <c r="N8836" i="1" s="1"/>
  <c r="R8836" i="1" a="1"/>
  <c r="R8836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C8835" i="1" l="1"/>
  <c r="H8834" i="1"/>
  <c r="I8834" i="1" a="1"/>
  <c r="I8834" i="1" s="1"/>
  <c r="J8837" i="1" a="1"/>
  <c r="J8837" i="1" s="1"/>
  <c r="N8837" i="1" a="1"/>
  <c r="N8837" i="1" s="1"/>
  <c r="R8837" i="1" a="1"/>
  <c r="R8837" i="1" s="1"/>
  <c r="K8837" i="1" a="1"/>
  <c r="K8837" i="1" s="1"/>
  <c r="O8837" i="1" a="1"/>
  <c r="O8837" i="1" s="1"/>
  <c r="S8837" i="1" a="1"/>
  <c r="S8837" i="1" s="1"/>
  <c r="L8837" i="1" a="1"/>
  <c r="L8837" i="1" s="1"/>
  <c r="P8837" i="1" a="1"/>
  <c r="P8837" i="1" s="1"/>
  <c r="B8838" i="1"/>
  <c r="M8837" i="1" a="1"/>
  <c r="M8837" i="1" s="1"/>
  <c r="Q8837" i="1" a="1"/>
  <c r="Q8837" i="1" s="1"/>
  <c r="A8838" i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C8836" i="1" l="1"/>
  <c r="H8835" i="1"/>
  <c r="I8835" i="1" a="1"/>
  <c r="I8835" i="1" s="1"/>
  <c r="A8839" i="1"/>
  <c r="M8838" i="1" a="1"/>
  <c r="M8838" i="1" s="1"/>
  <c r="Q8838" i="1" a="1"/>
  <c r="Q8838" i="1" s="1"/>
  <c r="J8838" i="1" a="1"/>
  <c r="J8838" i="1" s="1"/>
  <c r="N8838" i="1" a="1"/>
  <c r="N8838" i="1" s="1"/>
  <c r="R8838" i="1" a="1"/>
  <c r="R8838" i="1" s="1"/>
  <c r="K8838" i="1" a="1"/>
  <c r="K8838" i="1" s="1"/>
  <c r="O8838" i="1" a="1"/>
  <c r="O8838" i="1" s="1"/>
  <c r="S8838" i="1" a="1"/>
  <c r="S8838" i="1" s="1"/>
  <c r="B8839" i="1"/>
  <c r="P8838" i="1" a="1"/>
  <c r="P8838" i="1" s="1"/>
  <c r="L8838" i="1" a="1"/>
  <c r="L8838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C8837" i="1" l="1"/>
  <c r="H8836" i="1"/>
  <c r="I8836" i="1" a="1"/>
  <c r="I8836" i="1" s="1"/>
  <c r="A8840" i="1"/>
  <c r="L8839" i="1" a="1"/>
  <c r="L8839" i="1" s="1"/>
  <c r="P8839" i="1" a="1"/>
  <c r="P8839" i="1" s="1"/>
  <c r="B8840" i="1"/>
  <c r="M8839" i="1" a="1"/>
  <c r="M8839" i="1" s="1"/>
  <c r="Q8839" i="1" a="1"/>
  <c r="Q8839" i="1" s="1"/>
  <c r="J8839" i="1" a="1"/>
  <c r="J8839" i="1" s="1"/>
  <c r="N8839" i="1" a="1"/>
  <c r="N8839" i="1" s="1"/>
  <c r="R8839" i="1" a="1"/>
  <c r="R8839" i="1" s="1"/>
  <c r="O8839" i="1" a="1"/>
  <c r="O8839" i="1" s="1"/>
  <c r="K8839" i="1" a="1"/>
  <c r="K8839" i="1" s="1"/>
  <c r="S8839" i="1" a="1"/>
  <c r="S8839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C8838" i="1" l="1"/>
  <c r="H8837" i="1"/>
  <c r="I8837" i="1" a="1"/>
  <c r="I8837" i="1" s="1"/>
  <c r="K8840" i="1" a="1"/>
  <c r="K8840" i="1" s="1"/>
  <c r="O8840" i="1" a="1"/>
  <c r="O8840" i="1" s="1"/>
  <c r="S8840" i="1" a="1"/>
  <c r="S8840" i="1" s="1"/>
  <c r="L8840" i="1" a="1"/>
  <c r="L8840" i="1" s="1"/>
  <c r="P8840" i="1" a="1"/>
  <c r="P8840" i="1" s="1"/>
  <c r="B8841" i="1"/>
  <c r="M8840" i="1" a="1"/>
  <c r="M8840" i="1" s="1"/>
  <c r="Q8840" i="1" a="1"/>
  <c r="Q8840" i="1" s="1"/>
  <c r="N8840" i="1" a="1"/>
  <c r="N8840" i="1" s="1"/>
  <c r="J8840" i="1" a="1"/>
  <c r="J8840" i="1" s="1"/>
  <c r="R8840" i="1" a="1"/>
  <c r="R8840" i="1" s="1"/>
  <c r="A8841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C8839" i="1" l="1"/>
  <c r="H8838" i="1"/>
  <c r="I8838" i="1" a="1"/>
  <c r="I8838" i="1" s="1"/>
  <c r="J8841" i="1" a="1"/>
  <c r="J8841" i="1" s="1"/>
  <c r="N8841" i="1" a="1"/>
  <c r="N8841" i="1" s="1"/>
  <c r="R8841" i="1" a="1"/>
  <c r="R8841" i="1" s="1"/>
  <c r="K8841" i="1" a="1"/>
  <c r="K8841" i="1" s="1"/>
  <c r="O8841" i="1" a="1"/>
  <c r="O8841" i="1" s="1"/>
  <c r="S8841" i="1" a="1"/>
  <c r="S8841" i="1" s="1"/>
  <c r="L8841" i="1" a="1"/>
  <c r="L8841" i="1" s="1"/>
  <c r="P8841" i="1" a="1"/>
  <c r="P8841" i="1" s="1"/>
  <c r="B8842" i="1"/>
  <c r="M8841" i="1" a="1"/>
  <c r="M8841" i="1" s="1"/>
  <c r="Q8841" i="1" a="1"/>
  <c r="Q8841" i="1" s="1"/>
  <c r="A8842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C8840" i="1" l="1"/>
  <c r="I8839" i="1" a="1"/>
  <c r="I8839" i="1" s="1"/>
  <c r="H8839" i="1"/>
  <c r="M8842" i="1" a="1"/>
  <c r="M8842" i="1" s="1"/>
  <c r="Q8842" i="1" a="1"/>
  <c r="Q8842" i="1" s="1"/>
  <c r="J8842" i="1" a="1"/>
  <c r="J8842" i="1" s="1"/>
  <c r="N8842" i="1" a="1"/>
  <c r="N8842" i="1" s="1"/>
  <c r="R8842" i="1" a="1"/>
  <c r="R8842" i="1" s="1"/>
  <c r="K8842" i="1" a="1"/>
  <c r="K8842" i="1" s="1"/>
  <c r="O8842" i="1" a="1"/>
  <c r="O8842" i="1" s="1"/>
  <c r="S8842" i="1" a="1"/>
  <c r="S8842" i="1" s="1"/>
  <c r="B8843" i="1"/>
  <c r="P8842" i="1" a="1"/>
  <c r="P8842" i="1" s="1"/>
  <c r="L8842" i="1" a="1"/>
  <c r="L8842" i="1" s="1"/>
  <c r="A8843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C8841" i="1" l="1"/>
  <c r="H8840" i="1"/>
  <c r="I8840" i="1" a="1"/>
  <c r="I8840" i="1" s="1"/>
  <c r="L8843" i="1" a="1"/>
  <c r="L8843" i="1" s="1"/>
  <c r="P8843" i="1" a="1"/>
  <c r="P8843" i="1" s="1"/>
  <c r="B8844" i="1"/>
  <c r="M8843" i="1" a="1"/>
  <c r="M8843" i="1" s="1"/>
  <c r="Q8843" i="1" a="1"/>
  <c r="Q8843" i="1" s="1"/>
  <c r="J8843" i="1" a="1"/>
  <c r="J8843" i="1" s="1"/>
  <c r="N8843" i="1" a="1"/>
  <c r="N8843" i="1" s="1"/>
  <c r="K8843" i="1" a="1"/>
  <c r="K8843" i="1" s="1"/>
  <c r="O8843" i="1" a="1"/>
  <c r="O8843" i="1" s="1"/>
  <c r="S8843" i="1" a="1"/>
  <c r="S8843" i="1" s="1"/>
  <c r="R8843" i="1" a="1"/>
  <c r="R8843" i="1" s="1"/>
  <c r="A8844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C8842" i="1" l="1"/>
  <c r="H8841" i="1"/>
  <c r="I8841" i="1" a="1"/>
  <c r="I8841" i="1" s="1"/>
  <c r="A8845" i="1"/>
  <c r="K8844" i="1" a="1"/>
  <c r="K8844" i="1" s="1"/>
  <c r="O8844" i="1" a="1"/>
  <c r="O8844" i="1" s="1"/>
  <c r="S8844" i="1" a="1"/>
  <c r="S8844" i="1" s="1"/>
  <c r="L8844" i="1" a="1"/>
  <c r="L8844" i="1" s="1"/>
  <c r="P8844" i="1" a="1"/>
  <c r="P8844" i="1" s="1"/>
  <c r="B8845" i="1"/>
  <c r="Q8844" i="1" a="1"/>
  <c r="Q8844" i="1" s="1"/>
  <c r="R8844" i="1" a="1"/>
  <c r="R8844" i="1" s="1"/>
  <c r="M8844" i="1" a="1"/>
  <c r="M8844" i="1" s="1"/>
  <c r="J8844" i="1" a="1"/>
  <c r="J8844" i="1" s="1"/>
  <c r="N8844" i="1" a="1"/>
  <c r="N8844" i="1" s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C8843" i="1" l="1"/>
  <c r="H8842" i="1"/>
  <c r="I8842" i="1" a="1"/>
  <c r="I8842" i="1" s="1"/>
  <c r="J8845" i="1" a="1"/>
  <c r="J8845" i="1" s="1"/>
  <c r="N8845" i="1" a="1"/>
  <c r="N8845" i="1" s="1"/>
  <c r="R8845" i="1" a="1"/>
  <c r="R8845" i="1" s="1"/>
  <c r="K8845" i="1" a="1"/>
  <c r="K8845" i="1" s="1"/>
  <c r="O8845" i="1" a="1"/>
  <c r="O8845" i="1" s="1"/>
  <c r="S8845" i="1" a="1"/>
  <c r="S8845" i="1" s="1"/>
  <c r="B8846" i="1"/>
  <c r="L8845" i="1" a="1"/>
  <c r="L8845" i="1" s="1"/>
  <c r="M8845" i="1" a="1"/>
  <c r="M8845" i="1" s="1"/>
  <c r="Q8845" i="1" a="1"/>
  <c r="Q8845" i="1" s="1"/>
  <c r="P8845" i="1" a="1"/>
  <c r="P8845" i="1" s="1"/>
  <c r="A8846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C8844" i="1" l="1"/>
  <c r="H8843" i="1"/>
  <c r="I8843" i="1" a="1"/>
  <c r="I8843" i="1" s="1"/>
  <c r="A8847" i="1"/>
  <c r="M8846" i="1" a="1"/>
  <c r="M8846" i="1" s="1"/>
  <c r="Q8846" i="1" a="1"/>
  <c r="Q8846" i="1" s="1"/>
  <c r="J8846" i="1" a="1"/>
  <c r="J8846" i="1" s="1"/>
  <c r="N8846" i="1" a="1"/>
  <c r="N8846" i="1" s="1"/>
  <c r="R8846" i="1" a="1"/>
  <c r="R8846" i="1" s="1"/>
  <c r="B8847" i="1"/>
  <c r="P8846" i="1" a="1"/>
  <c r="P8846" i="1" s="1"/>
  <c r="S8846" i="1" a="1"/>
  <c r="S8846" i="1" s="1"/>
  <c r="K8846" i="1" a="1"/>
  <c r="K8846" i="1" s="1"/>
  <c r="L8846" i="1" a="1"/>
  <c r="L8846" i="1" s="1"/>
  <c r="O8846" i="1" a="1"/>
  <c r="O8846" i="1" s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C8845" i="1" l="1"/>
  <c r="I8844" i="1" a="1"/>
  <c r="I8844" i="1" s="1"/>
  <c r="H8844" i="1"/>
  <c r="A8848" i="1"/>
  <c r="L8847" i="1" a="1"/>
  <c r="L8847" i="1" s="1"/>
  <c r="P8847" i="1" a="1"/>
  <c r="P8847" i="1" s="1"/>
  <c r="B8848" i="1"/>
  <c r="M8847" i="1" a="1"/>
  <c r="M8847" i="1" s="1"/>
  <c r="Q8847" i="1" a="1"/>
  <c r="Q8847" i="1" s="1"/>
  <c r="J8847" i="1" a="1"/>
  <c r="J8847" i="1" s="1"/>
  <c r="K8847" i="1" a="1"/>
  <c r="K8847" i="1" s="1"/>
  <c r="O8847" i="1" a="1"/>
  <c r="O8847" i="1" s="1"/>
  <c r="N8847" i="1" a="1"/>
  <c r="N8847" i="1" s="1"/>
  <c r="R8847" i="1" a="1"/>
  <c r="R8847" i="1" s="1"/>
  <c r="S8847" i="1" a="1"/>
  <c r="S8847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C8846" i="1" l="1"/>
  <c r="H8845" i="1"/>
  <c r="I8845" i="1" a="1"/>
  <c r="I8845" i="1" s="1"/>
  <c r="K8848" i="1" a="1"/>
  <c r="K8848" i="1" s="1"/>
  <c r="O8848" i="1" a="1"/>
  <c r="O8848" i="1" s="1"/>
  <c r="S8848" i="1" a="1"/>
  <c r="S8848" i="1" s="1"/>
  <c r="L8848" i="1" a="1"/>
  <c r="L8848" i="1" s="1"/>
  <c r="P8848" i="1" a="1"/>
  <c r="P8848" i="1" s="1"/>
  <c r="B8849" i="1"/>
  <c r="M8848" i="1" a="1"/>
  <c r="M8848" i="1" s="1"/>
  <c r="N8848" i="1" a="1"/>
  <c r="N8848" i="1" s="1"/>
  <c r="Q8848" i="1" a="1"/>
  <c r="Q8848" i="1" s="1"/>
  <c r="R8848" i="1" a="1"/>
  <c r="R8848" i="1" s="1"/>
  <c r="J8848" i="1" a="1"/>
  <c r="J8848" i="1" s="1"/>
  <c r="A8849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C8847" i="1" l="1"/>
  <c r="H8846" i="1"/>
  <c r="I8846" i="1" a="1"/>
  <c r="I8846" i="1" s="1"/>
  <c r="J8849" i="1" a="1"/>
  <c r="J8849" i="1" s="1"/>
  <c r="N8849" i="1" a="1"/>
  <c r="N8849" i="1" s="1"/>
  <c r="R8849" i="1" a="1"/>
  <c r="R8849" i="1" s="1"/>
  <c r="O8849" i="1" a="1"/>
  <c r="O8849" i="1" s="1"/>
  <c r="K8849" i="1" a="1"/>
  <c r="K8849" i="1" s="1"/>
  <c r="S8849" i="1" a="1"/>
  <c r="S8849" i="1" s="1"/>
  <c r="B8850" i="1"/>
  <c r="P8849" i="1" a="1"/>
  <c r="P8849" i="1" s="1"/>
  <c r="M8849" i="1" a="1"/>
  <c r="M8849" i="1" s="1"/>
  <c r="Q8849" i="1" a="1"/>
  <c r="Q8849" i="1" s="1"/>
  <c r="L8849" i="1" a="1"/>
  <c r="L8849" i="1" s="1"/>
  <c r="A8850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E339" i="2" l="1"/>
  <c r="D339" i="2"/>
  <c r="C339" i="2"/>
  <c r="C8848" i="1"/>
  <c r="I8847" i="1" a="1"/>
  <c r="I8847" i="1" s="1"/>
  <c r="H8847" i="1"/>
  <c r="M8850" i="1" a="1"/>
  <c r="M8850" i="1" s="1"/>
  <c r="Q8850" i="1" a="1"/>
  <c r="Q8850" i="1" s="1"/>
  <c r="J8850" i="1" a="1"/>
  <c r="J8850" i="1" s="1"/>
  <c r="N8850" i="1" a="1"/>
  <c r="N8850" i="1" s="1"/>
  <c r="R8850" i="1" a="1"/>
  <c r="R8850" i="1" s="1"/>
  <c r="O8850" i="1" a="1"/>
  <c r="O8850" i="1" s="1"/>
  <c r="L8850" i="1" a="1"/>
  <c r="L8850" i="1" s="1"/>
  <c r="P8850" i="1" a="1"/>
  <c r="P8850" i="1" s="1"/>
  <c r="S8850" i="1" a="1"/>
  <c r="S8850" i="1" s="1"/>
  <c r="K8850" i="1" a="1"/>
  <c r="K8850" i="1" s="1"/>
  <c r="D338" i="2"/>
  <c r="C338" i="2"/>
  <c r="E337" i="2"/>
  <c r="C337" i="2"/>
  <c r="E338" i="2"/>
  <c r="D337" i="2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C8849" i="1" l="1"/>
  <c r="H8848" i="1"/>
  <c r="I8848" i="1" a="1"/>
  <c r="I8848" i="1" s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C8850" i="1" l="1"/>
  <c r="H8849" i="1"/>
  <c r="I8849" i="1" a="1"/>
  <c r="I8849" i="1" s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H8850" i="1" l="1"/>
  <c r="I8850" i="1" a="1"/>
  <c r="I8850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<sst xmlns="http://schemas.openxmlformats.org/spreadsheetml/2006/main" count="90564" uniqueCount="26">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</sst>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850"/>
  <sheetViews>
    <sheetView tabSelected="1" zoomScale="90" zoomScaleNormal="90" workbookViewId="0">
      <pane ySplit="1" topLeftCell="A8808" activePane="bottomLeft" state="frozen"/>
      <selection pane="bottomLeft" activeCell="D8809" sqref="D880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tr">
        <f t="shared" ref="A8809:C8809" si="1411">B8808</f>
        <v>Northern Cardinal</v>
      </c>
      <c r="C8809" s="6">
        <f t="shared" si="1411"/>
        <v>0.74861111111111112</v>
      </c>
      <c r="D8809" s="5"/>
      <c r="E8809" s="5"/>
      <c r="F8809" s="5" t="s">
        <v>9</v>
      </c>
      <c r="G8809" s="15" t="s">
        <v>8</v>
      </c>
      <c r="H8809" s="24">
        <f t="shared" ref="H8773:H8850" si="1412">IFERROR((($A8809+$C8809) - ($A8808+$C8808))*24*60, "")</f>
        <v>1440</v>
      </c>
      <c r="I8809" s="24" cm="1">
        <f t="array" ref="I8809">IFERROR(IF($B8809=I$1, ($A8809+$C8809) - MAX(IF($B$2:$B8808=$B8809, $A$2:$A8808+$C$2:$C8808)), "")*24*60, "")</f>
        <v>1440</v>
      </c>
      <c r="J8809" s="24" t="str" cm="1">
        <f t="array" ref="J8809">IFERROR(IF($B8809=J$1, ($A8809+$C8809) - MAX(IF($B$2:$B8808=$B8809, $A$2:$A8808+$C$2:$C8808)), "")*24*60, "")</f>
        <v/>
      </c>
      <c r="K8809" s="24" t="str" cm="1">
        <f t="array" ref="K8809">IFERROR(IF($B8809=K$1, ($A8809+$C8809) - MAX(IF($B$2:$B8808=$B8809, $A$2:$A8808+$C$2:$C8808)), "")*24*60, "")</f>
        <v/>
      </c>
      <c r="L8809" s="24" t="str" cm="1">
        <f t="array" ref="L8809">IFERROR(IF($B8809=L$1, ($A8809+$C8809) - MAX(IF($B$2:$B8808=$B8809, $A$2:$A8808+$C$2:$C8808)), "")*24*60, "")</f>
        <v/>
      </c>
      <c r="M8809" s="24" t="str" cm="1">
        <f t="array" ref="M8809">IFERROR(IF($B8809=M$1, ($A8809+$C8809) - MAX(IF($B$2:$B8808=$B8809, $A$2:$A8808+$C$2:$C8808)), "")*24*60, "")</f>
        <v/>
      </c>
      <c r="N8809" s="24" t="str" cm="1">
        <f t="array" ref="N8809">IFERROR(IF($B8809=N$1, ($A8809+$C8809) - MAX(IF($B$2:$B8808=$B8809, $A$2:$A8808+$C$2:$C8808)), "")*24*60, "")</f>
        <v/>
      </c>
      <c r="O8809" s="24" t="str" cm="1">
        <f t="array" ref="O8809">IFERROR(IF($B8809=O$1, ($A8809+$C8809) - MAX(IF($B$2:$B8808=$B8809, $A$2:$A8808+$C$2:$C8808)), "")*24*60, "")</f>
        <v/>
      </c>
      <c r="P8809" s="24" t="str" cm="1">
        <f t="array" ref="P8809">IFERROR(IF($B8809=P$1, ($A8809+$C8809) - MAX(IF($B$2:$B8808=$B8809, $A$2:$A8808+$C$2:$C8808)), "")*24*60, "")</f>
        <v/>
      </c>
      <c r="Q8809" s="24" t="str" cm="1">
        <f t="array" ref="Q8809">IFERROR(IF($B8809=Q$1, ($A8809+$C8809) - MAX(IF($B$2:$B8808=$B8809, $A$2:$A8808+$C$2:$C8808)), "")*24*60, "")</f>
        <v/>
      </c>
      <c r="R8809" s="24" t="str" cm="1">
        <f t="array" ref="R8809">IFERROR(IF($B8809=R$1, ($A8809+$C8809) - MAX(IF($B$2:$B8808=$B8809, $A$2:$A8808+$C$2:$C8808)), "")*24*60, "")</f>
        <v/>
      </c>
      <c r="S8809" s="24" t="str" cm="1">
        <f t="array" ref="S8809">IFERROR(IF($B8809=S$1, ($A8809+$C8809) - MAX(IF($B$2:$B8808=$B8809, $A$2:$A8808+$C$2:$C8808)), "")*24*60, "")</f>
        <v/>
      </c>
    </row>
    <row r="8810" spans="1:19" x14ac:dyDescent="0.2">
      <c r="A8810" s="12">
        <f t="shared" ref="A8810:C8810" si="1413">A8809</f>
        <v>46037</v>
      </c>
      <c r="B8810" s="5" t="str">
        <f t="shared" si="1413"/>
        <v>Northern Cardinal</v>
      </c>
      <c r="C8810" s="6">
        <f t="shared" si="1413"/>
        <v>0.74861111111111112</v>
      </c>
      <c r="D8810" s="5"/>
      <c r="E8810" s="5"/>
      <c r="F8810" s="5" t="s">
        <v>9</v>
      </c>
      <c r="G8810" s="15" t="s">
        <v>8</v>
      </c>
      <c r="H8810" s="24">
        <f t="shared" si="1412"/>
        <v>0</v>
      </c>
      <c r="I8810" s="24" cm="1">
        <f t="array" ref="I8810">IFERROR(IF($B8810=I$1, ($A8810+$C8810) - MAX(IF($B$2:$B8809=$B8810, $A$2:$A8809+$C$2:$C8809)), "")*24*60, "")</f>
        <v>0</v>
      </c>
      <c r="J8810" s="24" t="str" cm="1">
        <f t="array" ref="J8810">IFERROR(IF($B8810=J$1, ($A8810+$C8810) - MAX(IF($B$2:$B8809=$B8810, $A$2:$A8809+$C$2:$C8809)), "")*24*60, "")</f>
        <v/>
      </c>
      <c r="K8810" s="24" t="str" cm="1">
        <f t="array" ref="K8810">IFERROR(IF($B8810=K$1, ($A8810+$C8810) - MAX(IF($B$2:$B8809=$B8810, $A$2:$A8809+$C$2:$C8809)), "")*24*60, "")</f>
        <v/>
      </c>
      <c r="L8810" s="24" t="str" cm="1">
        <f t="array" ref="L8810">IFERROR(IF($B8810=L$1, ($A8810+$C8810) - MAX(IF($B$2:$B8809=$B8810, $A$2:$A8809+$C$2:$C8809)), "")*24*60, "")</f>
        <v/>
      </c>
      <c r="M8810" s="24" t="str" cm="1">
        <f t="array" ref="M8810">IFERROR(IF($B8810=M$1, ($A8810+$C8810) - MAX(IF($B$2:$B8809=$B8810, $A$2:$A8809+$C$2:$C8809)), "")*24*60, "")</f>
        <v/>
      </c>
      <c r="N8810" s="24" t="str" cm="1">
        <f t="array" ref="N8810">IFERROR(IF($B8810=N$1, ($A8810+$C8810) - MAX(IF($B$2:$B8809=$B8810, $A$2:$A8809+$C$2:$C8809)), "")*24*60, "")</f>
        <v/>
      </c>
      <c r="O8810" s="24" t="str" cm="1">
        <f t="array" ref="O8810">IFERROR(IF($B8810=O$1, ($A8810+$C8810) - MAX(IF($B$2:$B8809=$B8810, $A$2:$A8809+$C$2:$C8809)), "")*24*60, "")</f>
        <v/>
      </c>
      <c r="P8810" s="24" t="str" cm="1">
        <f t="array" ref="P8810">IFERROR(IF($B8810=P$1, ($A8810+$C8810) - MAX(IF($B$2:$B8809=$B8810, $A$2:$A8809+$C$2:$C8809)), "")*24*60, "")</f>
        <v/>
      </c>
      <c r="Q8810" s="24" t="str" cm="1">
        <f t="array" ref="Q8810">IFERROR(IF($B8810=Q$1, ($A8810+$C8810) - MAX(IF($B$2:$B8809=$B8810, $A$2:$A8809+$C$2:$C8809)), "")*24*60, "")</f>
        <v/>
      </c>
      <c r="R8810" s="24" t="str" cm="1">
        <f t="array" ref="R8810">IFERROR(IF($B8810=R$1, ($A8810+$C8810) - MAX(IF($B$2:$B8809=$B8810, $A$2:$A8809+$C$2:$C8809)), "")*24*60, "")</f>
        <v/>
      </c>
      <c r="S8810" s="24" t="str" cm="1">
        <f t="array" ref="S8810">IFERROR(IF($B8810=S$1, ($A8810+$C8810) - MAX(IF($B$2:$B8809=$B8810, $A$2:$A8809+$C$2:$C8809)), "")*24*60, "")</f>
        <v/>
      </c>
    </row>
    <row r="8811" spans="1:19" x14ac:dyDescent="0.2">
      <c r="A8811" s="12">
        <f t="shared" ref="A8811:C8811" si="1414">A8810</f>
        <v>46037</v>
      </c>
      <c r="B8811" s="5" t="str">
        <f t="shared" si="1414"/>
        <v>Northern Cardinal</v>
      </c>
      <c r="C8811" s="6">
        <f t="shared" si="1414"/>
        <v>0.74861111111111112</v>
      </c>
      <c r="D8811" s="5"/>
      <c r="E8811" s="5"/>
      <c r="F8811" s="5" t="s">
        <v>9</v>
      </c>
      <c r="G8811" s="15" t="s">
        <v>8</v>
      </c>
      <c r="H8811" s="24">
        <f t="shared" si="1412"/>
        <v>0</v>
      </c>
      <c r="I8811" s="24" cm="1">
        <f t="array" ref="I8811">IFERROR(IF($B8811=I$1, ($A8811+$C8811) - MAX(IF($B$2:$B8810=$B8811, $A$2:$A8810+$C$2:$C8810)), "")*24*60, "")</f>
        <v>0</v>
      </c>
      <c r="J8811" s="24" t="str" cm="1">
        <f t="array" ref="J8811">IFERROR(IF($B8811=J$1, ($A8811+$C8811) - MAX(IF($B$2:$B8810=$B8811, $A$2:$A8810+$C$2:$C8810)), "")*24*60, "")</f>
        <v/>
      </c>
      <c r="K8811" s="24" t="str" cm="1">
        <f t="array" ref="K8811">IFERROR(IF($B8811=K$1, ($A8811+$C8811) - MAX(IF($B$2:$B8810=$B8811, $A$2:$A8810+$C$2:$C8810)), "")*24*60, "")</f>
        <v/>
      </c>
      <c r="L8811" s="24" t="str" cm="1">
        <f t="array" ref="L8811">IFERROR(IF($B8811=L$1, ($A8811+$C8811) - MAX(IF($B$2:$B8810=$B8811, $A$2:$A8810+$C$2:$C8810)), "")*24*60, "")</f>
        <v/>
      </c>
      <c r="M8811" s="24" t="str" cm="1">
        <f t="array" ref="M8811">IFERROR(IF($B8811=M$1, ($A8811+$C8811) - MAX(IF($B$2:$B8810=$B8811, $A$2:$A8810+$C$2:$C8810)), "")*24*60, "")</f>
        <v/>
      </c>
      <c r="N8811" s="24" t="str" cm="1">
        <f t="array" ref="N8811">IFERROR(IF($B8811=N$1, ($A8811+$C8811) - MAX(IF($B$2:$B8810=$B8811, $A$2:$A8810+$C$2:$C8810)), "")*24*60, "")</f>
        <v/>
      </c>
      <c r="O8811" s="24" t="str" cm="1">
        <f t="array" ref="O8811">IFERROR(IF($B8811=O$1, ($A8811+$C8811) - MAX(IF($B$2:$B8810=$B8811, $A$2:$A8810+$C$2:$C8810)), "")*24*60, "")</f>
        <v/>
      </c>
      <c r="P8811" s="24" t="str" cm="1">
        <f t="array" ref="P8811">IFERROR(IF($B8811=P$1, ($A8811+$C8811) - MAX(IF($B$2:$B8810=$B8811, $A$2:$A8810+$C$2:$C8810)), "")*24*60, "")</f>
        <v/>
      </c>
      <c r="Q8811" s="24" t="str" cm="1">
        <f t="array" ref="Q8811">IFERROR(IF($B8811=Q$1, ($A8811+$C8811) - MAX(IF($B$2:$B8810=$B8811, $A$2:$A8810+$C$2:$C8810)), "")*24*60, "")</f>
        <v/>
      </c>
      <c r="R8811" s="24" t="str" cm="1">
        <f t="array" ref="R8811">IFERROR(IF($B8811=R$1, ($A8811+$C8811) - MAX(IF($B$2:$B8810=$B8811, $A$2:$A8810+$C$2:$C8810)), "")*24*60, "")</f>
        <v/>
      </c>
      <c r="S8811" s="24" t="str" cm="1">
        <f t="array" ref="S8811">IFERROR(IF($B8811=S$1, ($A8811+$C8811) - MAX(IF($B$2:$B8810=$B8811, $A$2:$A8810+$C$2:$C8810)), "")*24*60, "")</f>
        <v/>
      </c>
    </row>
    <row r="8812" spans="1:19" x14ac:dyDescent="0.2">
      <c r="A8812" s="12">
        <f t="shared" ref="A8812:C8812" si="1415">A8811</f>
        <v>46037</v>
      </c>
      <c r="B8812" s="5" t="str">
        <f t="shared" si="1415"/>
        <v>Northern Cardinal</v>
      </c>
      <c r="C8812" s="6">
        <f t="shared" si="1415"/>
        <v>0.74861111111111112</v>
      </c>
      <c r="D8812" s="5"/>
      <c r="E8812" s="5"/>
      <c r="F8812" s="5" t="s">
        <v>9</v>
      </c>
      <c r="G8812" s="15" t="s">
        <v>8</v>
      </c>
      <c r="H8812" s="24">
        <f t="shared" si="1412"/>
        <v>0</v>
      </c>
      <c r="I8812" s="24" cm="1">
        <f t="array" ref="I8812">IFERROR(IF($B8812=I$1, ($A8812+$C8812) - MAX(IF($B$2:$B8811=$B8812, $A$2:$A8811+$C$2:$C8811)), "")*24*60, "")</f>
        <v>0</v>
      </c>
      <c r="J8812" s="24" t="str" cm="1">
        <f t="array" ref="J8812">IFERROR(IF($B8812=J$1, ($A8812+$C8812) - MAX(IF($B$2:$B8811=$B8812, $A$2:$A8811+$C$2:$C8811)), "")*24*60, "")</f>
        <v/>
      </c>
      <c r="K8812" s="24" t="str" cm="1">
        <f t="array" ref="K8812">IFERROR(IF($B8812=K$1, ($A8812+$C8812) - MAX(IF($B$2:$B8811=$B8812, $A$2:$A8811+$C$2:$C8811)), "")*24*60, "")</f>
        <v/>
      </c>
      <c r="L8812" s="24" t="str" cm="1">
        <f t="array" ref="L8812">IFERROR(IF($B8812=L$1, ($A8812+$C8812) - MAX(IF($B$2:$B8811=$B8812, $A$2:$A8811+$C$2:$C8811)), "")*24*60, "")</f>
        <v/>
      </c>
      <c r="M8812" s="24" t="str" cm="1">
        <f t="array" ref="M8812">IFERROR(IF($B8812=M$1, ($A8812+$C8812) - MAX(IF($B$2:$B8811=$B8812, $A$2:$A8811+$C$2:$C8811)), "")*24*60, "")</f>
        <v/>
      </c>
      <c r="N8812" s="24" t="str" cm="1">
        <f t="array" ref="N8812">IFERROR(IF($B8812=N$1, ($A8812+$C8812) - MAX(IF($B$2:$B8811=$B8812, $A$2:$A8811+$C$2:$C8811)), "")*24*60, "")</f>
        <v/>
      </c>
      <c r="O8812" s="24" t="str" cm="1">
        <f t="array" ref="O8812">IFERROR(IF($B8812=O$1, ($A8812+$C8812) - MAX(IF($B$2:$B8811=$B8812, $A$2:$A8811+$C$2:$C8811)), "")*24*60, "")</f>
        <v/>
      </c>
      <c r="P8812" s="24" t="str" cm="1">
        <f t="array" ref="P8812">IFERROR(IF($B8812=P$1, ($A8812+$C8812) - MAX(IF($B$2:$B8811=$B8812, $A$2:$A8811+$C$2:$C8811)), "")*24*60, "")</f>
        <v/>
      </c>
      <c r="Q8812" s="24" t="str" cm="1">
        <f t="array" ref="Q8812">IFERROR(IF($B8812=Q$1, ($A8812+$C8812) - MAX(IF($B$2:$B8811=$B8812, $A$2:$A8811+$C$2:$C8811)), "")*24*60, "")</f>
        <v/>
      </c>
      <c r="R8812" s="24" t="str" cm="1">
        <f t="array" ref="R8812">IFERROR(IF($B8812=R$1, ($A8812+$C8812) - MAX(IF($B$2:$B8811=$B8812, $A$2:$A8811+$C$2:$C8811)), "")*24*60, "")</f>
        <v/>
      </c>
      <c r="S8812" s="24" t="str" cm="1">
        <f t="array" ref="S8812">IFERROR(IF($B8812=S$1, ($A8812+$C8812) - MAX(IF($B$2:$B8811=$B8812, $A$2:$A8811+$C$2:$C8811)), "")*24*60, "")</f>
        <v/>
      </c>
    </row>
    <row r="8813" spans="1:19" x14ac:dyDescent="0.2">
      <c r="A8813" s="12">
        <f t="shared" ref="A8813:C8813" si="1416">A8812</f>
        <v>46037</v>
      </c>
      <c r="B8813" s="5" t="str">
        <f t="shared" si="1416"/>
        <v>Northern Cardinal</v>
      </c>
      <c r="C8813" s="6">
        <f t="shared" si="1416"/>
        <v>0.74861111111111112</v>
      </c>
      <c r="D8813" s="5"/>
      <c r="E8813" s="5"/>
      <c r="F8813" s="5" t="s">
        <v>9</v>
      </c>
      <c r="G8813" s="15" t="s">
        <v>8</v>
      </c>
      <c r="H8813" s="24">
        <f t="shared" si="1412"/>
        <v>0</v>
      </c>
      <c r="I8813" s="24" cm="1">
        <f t="array" ref="I8813">IFERROR(IF($B8813=I$1, ($A8813+$C8813) - MAX(IF($B$2:$B8812=$B8813, $A$2:$A8812+$C$2:$C8812)), "")*24*60, "")</f>
        <v>0</v>
      </c>
      <c r="J8813" s="24" t="str" cm="1">
        <f t="array" ref="J8813">IFERROR(IF($B8813=J$1, ($A8813+$C8813) - MAX(IF($B$2:$B8812=$B8813, $A$2:$A8812+$C$2:$C8812)), "")*24*60, "")</f>
        <v/>
      </c>
      <c r="K8813" s="24" t="str" cm="1">
        <f t="array" ref="K8813">IFERROR(IF($B8813=K$1, ($A8813+$C8813) - MAX(IF($B$2:$B8812=$B8813, $A$2:$A8812+$C$2:$C8812)), "")*24*60, "")</f>
        <v/>
      </c>
      <c r="L8813" s="24" t="str" cm="1">
        <f t="array" ref="L8813">IFERROR(IF($B8813=L$1, ($A8813+$C8813) - MAX(IF($B$2:$B8812=$B8813, $A$2:$A8812+$C$2:$C8812)), "")*24*60, "")</f>
        <v/>
      </c>
      <c r="M8813" s="24" t="str" cm="1">
        <f t="array" ref="M8813">IFERROR(IF($B8813=M$1, ($A8813+$C8813) - MAX(IF($B$2:$B8812=$B8813, $A$2:$A8812+$C$2:$C8812)), "")*24*60, "")</f>
        <v/>
      </c>
      <c r="N8813" s="24" t="str" cm="1">
        <f t="array" ref="N8813">IFERROR(IF($B8813=N$1, ($A8813+$C8813) - MAX(IF($B$2:$B8812=$B8813, $A$2:$A8812+$C$2:$C8812)), "")*24*60, "")</f>
        <v/>
      </c>
      <c r="O8813" s="24" t="str" cm="1">
        <f t="array" ref="O8813">IFERROR(IF($B8813=O$1, ($A8813+$C8813) - MAX(IF($B$2:$B8812=$B8813, $A$2:$A8812+$C$2:$C8812)), "")*24*60, "")</f>
        <v/>
      </c>
      <c r="P8813" s="24" t="str" cm="1">
        <f t="array" ref="P8813">IFERROR(IF($B8813=P$1, ($A8813+$C8813) - MAX(IF($B$2:$B8812=$B8813, $A$2:$A8812+$C$2:$C8812)), "")*24*60, "")</f>
        <v/>
      </c>
      <c r="Q8813" s="24" t="str" cm="1">
        <f t="array" ref="Q8813">IFERROR(IF($B8813=Q$1, ($A8813+$C8813) - MAX(IF($B$2:$B8812=$B8813, $A$2:$A8812+$C$2:$C8812)), "")*24*60, "")</f>
        <v/>
      </c>
      <c r="R8813" s="24" t="str" cm="1">
        <f t="array" ref="R8813">IFERROR(IF($B8813=R$1, ($A8813+$C8813) - MAX(IF($B$2:$B8812=$B8813, $A$2:$A8812+$C$2:$C8812)), "")*24*60, "")</f>
        <v/>
      </c>
      <c r="S8813" s="24" t="str" cm="1">
        <f t="array" ref="S8813">IFERROR(IF($B8813=S$1, ($A8813+$C8813) - MAX(IF($B$2:$B8812=$B8813, $A$2:$A8812+$C$2:$C8812)), "")*24*60, "")</f>
        <v/>
      </c>
    </row>
    <row r="8814" spans="1:19" x14ac:dyDescent="0.2">
      <c r="A8814" s="12">
        <f t="shared" ref="A8814:C8814" si="1417">A8813</f>
        <v>46037</v>
      </c>
      <c r="B8814" s="5" t="str">
        <f t="shared" si="1417"/>
        <v>Northern Cardinal</v>
      </c>
      <c r="C8814" s="6">
        <f t="shared" si="1417"/>
        <v>0.74861111111111112</v>
      </c>
      <c r="D8814" s="5"/>
      <c r="E8814" s="5"/>
      <c r="F8814" s="5" t="s">
        <v>9</v>
      </c>
      <c r="G8814" s="15" t="s">
        <v>8</v>
      </c>
      <c r="H8814" s="24">
        <f t="shared" si="1412"/>
        <v>0</v>
      </c>
      <c r="I8814" s="24" cm="1">
        <f t="array" ref="I8814">IFERROR(IF($B8814=I$1, ($A8814+$C8814) - MAX(IF($B$2:$B8813=$B8814, $A$2:$A8813+$C$2:$C8813)), "")*24*60, "")</f>
        <v>0</v>
      </c>
      <c r="J8814" s="24" t="str" cm="1">
        <f t="array" ref="J8814">IFERROR(IF($B8814=J$1, ($A8814+$C8814) - MAX(IF($B$2:$B8813=$B8814, $A$2:$A8813+$C$2:$C8813)), "")*24*60, "")</f>
        <v/>
      </c>
      <c r="K8814" s="24" t="str" cm="1">
        <f t="array" ref="K8814">IFERROR(IF($B8814=K$1, ($A8814+$C8814) - MAX(IF($B$2:$B8813=$B8814, $A$2:$A8813+$C$2:$C8813)), "")*24*60, "")</f>
        <v/>
      </c>
      <c r="L8814" s="24" t="str" cm="1">
        <f t="array" ref="L8814">IFERROR(IF($B8814=L$1, ($A8814+$C8814) - MAX(IF($B$2:$B8813=$B8814, $A$2:$A8813+$C$2:$C8813)), "")*24*60, "")</f>
        <v/>
      </c>
      <c r="M8814" s="24" t="str" cm="1">
        <f t="array" ref="M8814">IFERROR(IF($B8814=M$1, ($A8814+$C8814) - MAX(IF($B$2:$B8813=$B8814, $A$2:$A8813+$C$2:$C8813)), "")*24*60, "")</f>
        <v/>
      </c>
      <c r="N8814" s="24" t="str" cm="1">
        <f t="array" ref="N8814">IFERROR(IF($B8814=N$1, ($A8814+$C8814) - MAX(IF($B$2:$B8813=$B8814, $A$2:$A8813+$C$2:$C8813)), "")*24*60, "")</f>
        <v/>
      </c>
      <c r="O8814" s="24" t="str" cm="1">
        <f t="array" ref="O8814">IFERROR(IF($B8814=O$1, ($A8814+$C8814) - MAX(IF($B$2:$B8813=$B8814, $A$2:$A8813+$C$2:$C8813)), "")*24*60, "")</f>
        <v/>
      </c>
      <c r="P8814" s="24" t="str" cm="1">
        <f t="array" ref="P8814">IFERROR(IF($B8814=P$1, ($A8814+$C8814) - MAX(IF($B$2:$B8813=$B8814, $A$2:$A8813+$C$2:$C8813)), "")*24*60, "")</f>
        <v/>
      </c>
      <c r="Q8814" s="24" t="str" cm="1">
        <f t="array" ref="Q8814">IFERROR(IF($B8814=Q$1, ($A8814+$C8814) - MAX(IF($B$2:$B8813=$B8814, $A$2:$A8813+$C$2:$C8813)), "")*24*60, "")</f>
        <v/>
      </c>
      <c r="R8814" s="24" t="str" cm="1">
        <f t="array" ref="R8814">IFERROR(IF($B8814=R$1, ($A8814+$C8814) - MAX(IF($B$2:$B8813=$B8814, $A$2:$A8813+$C$2:$C8813)), "")*24*60, "")</f>
        <v/>
      </c>
      <c r="S8814" s="24" t="str" cm="1">
        <f t="array" ref="S8814">IFERROR(IF($B8814=S$1, ($A8814+$C8814) - MAX(IF($B$2:$B8813=$B8814, $A$2:$A8813+$C$2:$C8813)), "")*24*60, "")</f>
        <v/>
      </c>
    </row>
    <row r="8815" spans="1:19" x14ac:dyDescent="0.2">
      <c r="A8815" s="12">
        <f t="shared" ref="A8815:C8815" si="1418">A8814</f>
        <v>46037</v>
      </c>
      <c r="B8815" s="5" t="str">
        <f t="shared" si="1418"/>
        <v>Northern Cardinal</v>
      </c>
      <c r="C8815" s="6">
        <f t="shared" si="1418"/>
        <v>0.74861111111111112</v>
      </c>
      <c r="D8815" s="5"/>
      <c r="E8815" s="5"/>
      <c r="F8815" s="5" t="s">
        <v>9</v>
      </c>
      <c r="G8815" s="15" t="s">
        <v>8</v>
      </c>
      <c r="H8815" s="24">
        <f t="shared" si="1412"/>
        <v>0</v>
      </c>
      <c r="I8815" s="24" cm="1">
        <f t="array" ref="I8815">IFERROR(IF($B8815=I$1, ($A8815+$C8815) - MAX(IF($B$2:$B8814=$B8815, $A$2:$A8814+$C$2:$C8814)), "")*24*60, "")</f>
        <v>0</v>
      </c>
      <c r="J8815" s="24" t="str" cm="1">
        <f t="array" ref="J8815">IFERROR(IF($B8815=J$1, ($A8815+$C8815) - MAX(IF($B$2:$B8814=$B8815, $A$2:$A8814+$C$2:$C8814)), "")*24*60, "")</f>
        <v/>
      </c>
      <c r="K8815" s="24" t="str" cm="1">
        <f t="array" ref="K8815">IFERROR(IF($B8815=K$1, ($A8815+$C8815) - MAX(IF($B$2:$B8814=$B8815, $A$2:$A8814+$C$2:$C8814)), "")*24*60, "")</f>
        <v/>
      </c>
      <c r="L8815" s="24" t="str" cm="1">
        <f t="array" ref="L8815">IFERROR(IF($B8815=L$1, ($A8815+$C8815) - MAX(IF($B$2:$B8814=$B8815, $A$2:$A8814+$C$2:$C8814)), "")*24*60, "")</f>
        <v/>
      </c>
      <c r="M8815" s="24" t="str" cm="1">
        <f t="array" ref="M8815">IFERROR(IF($B8815=M$1, ($A8815+$C8815) - MAX(IF($B$2:$B8814=$B8815, $A$2:$A8814+$C$2:$C8814)), "")*24*60, "")</f>
        <v/>
      </c>
      <c r="N8815" s="24" t="str" cm="1">
        <f t="array" ref="N8815">IFERROR(IF($B8815=N$1, ($A8815+$C8815) - MAX(IF($B$2:$B8814=$B8815, $A$2:$A8814+$C$2:$C8814)), "")*24*60, "")</f>
        <v/>
      </c>
      <c r="O8815" s="24" t="str" cm="1">
        <f t="array" ref="O8815">IFERROR(IF($B8815=O$1, ($A8815+$C8815) - MAX(IF($B$2:$B8814=$B8815, $A$2:$A8814+$C$2:$C8814)), "")*24*60, "")</f>
        <v/>
      </c>
      <c r="P8815" s="24" t="str" cm="1">
        <f t="array" ref="P8815">IFERROR(IF($B8815=P$1, ($A8815+$C8815) - MAX(IF($B$2:$B8814=$B8815, $A$2:$A8814+$C$2:$C8814)), "")*24*60, "")</f>
        <v/>
      </c>
      <c r="Q8815" s="24" t="str" cm="1">
        <f t="array" ref="Q8815">IFERROR(IF($B8815=Q$1, ($A8815+$C8815) - MAX(IF($B$2:$B8814=$B8815, $A$2:$A8814+$C$2:$C8814)), "")*24*60, "")</f>
        <v/>
      </c>
      <c r="R8815" s="24" t="str" cm="1">
        <f t="array" ref="R8815">IFERROR(IF($B8815=R$1, ($A8815+$C8815) - MAX(IF($B$2:$B8814=$B8815, $A$2:$A8814+$C$2:$C8814)), "")*24*60, "")</f>
        <v/>
      </c>
      <c r="S8815" s="24" t="str" cm="1">
        <f t="array" ref="S8815">IFERROR(IF($B8815=S$1, ($A8815+$C8815) - MAX(IF($B$2:$B8814=$B8815, $A$2:$A8814+$C$2:$C8814)), "")*24*60, "")</f>
        <v/>
      </c>
    </row>
    <row r="8816" spans="1:19" x14ac:dyDescent="0.2">
      <c r="A8816" s="12">
        <f t="shared" ref="A8816:C8816" si="1419">A8815</f>
        <v>46037</v>
      </c>
      <c r="B8816" s="5" t="str">
        <f t="shared" si="1419"/>
        <v>Northern Cardinal</v>
      </c>
      <c r="C8816" s="6">
        <f t="shared" si="1419"/>
        <v>0.74861111111111112</v>
      </c>
      <c r="D8816" s="5"/>
      <c r="E8816" s="5"/>
      <c r="F8816" s="5" t="s">
        <v>9</v>
      </c>
      <c r="G8816" s="15" t="s">
        <v>8</v>
      </c>
      <c r="H8816" s="24">
        <f t="shared" si="1412"/>
        <v>0</v>
      </c>
      <c r="I8816" s="24" cm="1">
        <f t="array" ref="I8816">IFERROR(IF($B8816=I$1, ($A8816+$C8816) - MAX(IF($B$2:$B8815=$B8816, $A$2:$A8815+$C$2:$C8815)), "")*24*60, "")</f>
        <v>0</v>
      </c>
      <c r="J8816" s="24" t="str" cm="1">
        <f t="array" ref="J8816">IFERROR(IF($B8816=J$1, ($A8816+$C8816) - MAX(IF($B$2:$B8815=$B8816, $A$2:$A8815+$C$2:$C8815)), "")*24*60, "")</f>
        <v/>
      </c>
      <c r="K8816" s="24" t="str" cm="1">
        <f t="array" ref="K8816">IFERROR(IF($B8816=K$1, ($A8816+$C8816) - MAX(IF($B$2:$B8815=$B8816, $A$2:$A8815+$C$2:$C8815)), "")*24*60, "")</f>
        <v/>
      </c>
      <c r="L8816" s="24" t="str" cm="1">
        <f t="array" ref="L8816">IFERROR(IF($B8816=L$1, ($A8816+$C8816) - MAX(IF($B$2:$B8815=$B8816, $A$2:$A8815+$C$2:$C8815)), "")*24*60, "")</f>
        <v/>
      </c>
      <c r="M8816" s="24" t="str" cm="1">
        <f t="array" ref="M8816">IFERROR(IF($B8816=M$1, ($A8816+$C8816) - MAX(IF($B$2:$B8815=$B8816, $A$2:$A8815+$C$2:$C8815)), "")*24*60, "")</f>
        <v/>
      </c>
      <c r="N8816" s="24" t="str" cm="1">
        <f t="array" ref="N8816">IFERROR(IF($B8816=N$1, ($A8816+$C8816) - MAX(IF($B$2:$B8815=$B8816, $A$2:$A8815+$C$2:$C8815)), "")*24*60, "")</f>
        <v/>
      </c>
      <c r="O8816" s="24" t="str" cm="1">
        <f t="array" ref="O8816">IFERROR(IF($B8816=O$1, ($A8816+$C8816) - MAX(IF($B$2:$B8815=$B8816, $A$2:$A8815+$C$2:$C8815)), "")*24*60, "")</f>
        <v/>
      </c>
      <c r="P8816" s="24" t="str" cm="1">
        <f t="array" ref="P8816">IFERROR(IF($B8816=P$1, ($A8816+$C8816) - MAX(IF($B$2:$B8815=$B8816, $A$2:$A8815+$C$2:$C8815)), "")*24*60, "")</f>
        <v/>
      </c>
      <c r="Q8816" s="24" t="str" cm="1">
        <f t="array" ref="Q8816">IFERROR(IF($B8816=Q$1, ($A8816+$C8816) - MAX(IF($B$2:$B8815=$B8816, $A$2:$A8815+$C$2:$C8815)), "")*24*60, "")</f>
        <v/>
      </c>
      <c r="R8816" s="24" t="str" cm="1">
        <f t="array" ref="R8816">IFERROR(IF($B8816=R$1, ($A8816+$C8816) - MAX(IF($B$2:$B8815=$B8816, $A$2:$A8815+$C$2:$C8815)), "")*24*60, "")</f>
        <v/>
      </c>
      <c r="S8816" s="24" t="str" cm="1">
        <f t="array" ref="S8816">IFERROR(IF($B8816=S$1, ($A8816+$C8816) - MAX(IF($B$2:$B8815=$B8816, $A$2:$A8815+$C$2:$C8815)), "")*24*60, "")</f>
        <v/>
      </c>
    </row>
    <row r="8817" spans="1:19" x14ac:dyDescent="0.2">
      <c r="A8817" s="12">
        <f t="shared" ref="A8817:C8817" si="1420">A8816</f>
        <v>46037</v>
      </c>
      <c r="B8817" s="5" t="str">
        <f t="shared" si="1420"/>
        <v>Northern Cardinal</v>
      </c>
      <c r="C8817" s="6">
        <f t="shared" si="1420"/>
        <v>0.74861111111111112</v>
      </c>
      <c r="D8817" s="5"/>
      <c r="E8817" s="5"/>
      <c r="F8817" s="5" t="s">
        <v>9</v>
      </c>
      <c r="G8817" s="15" t="s">
        <v>8</v>
      </c>
      <c r="H8817" s="24">
        <f t="shared" si="1412"/>
        <v>0</v>
      </c>
      <c r="I8817" s="24" cm="1">
        <f t="array" ref="I8817">IFERROR(IF($B8817=I$1, ($A8817+$C8817) - MAX(IF($B$2:$B8816=$B8817, $A$2:$A8816+$C$2:$C8816)), "")*24*60, "")</f>
        <v>0</v>
      </c>
      <c r="J8817" s="24" t="str" cm="1">
        <f t="array" ref="J8817">IFERROR(IF($B8817=J$1, ($A8817+$C8817) - MAX(IF($B$2:$B8816=$B8817, $A$2:$A8816+$C$2:$C8816)), "")*24*60, "")</f>
        <v/>
      </c>
      <c r="K8817" s="24" t="str" cm="1">
        <f t="array" ref="K8817">IFERROR(IF($B8817=K$1, ($A8817+$C8817) - MAX(IF($B$2:$B8816=$B8817, $A$2:$A8816+$C$2:$C8816)), "")*24*60, "")</f>
        <v/>
      </c>
      <c r="L8817" s="24" t="str" cm="1">
        <f t="array" ref="L8817">IFERROR(IF($B8817=L$1, ($A8817+$C8817) - MAX(IF($B$2:$B8816=$B8817, $A$2:$A8816+$C$2:$C8816)), "")*24*60, "")</f>
        <v/>
      </c>
      <c r="M8817" s="24" t="str" cm="1">
        <f t="array" ref="M8817">IFERROR(IF($B8817=M$1, ($A8817+$C8817) - MAX(IF($B$2:$B8816=$B8817, $A$2:$A8816+$C$2:$C8816)), "")*24*60, "")</f>
        <v/>
      </c>
      <c r="N8817" s="24" t="str" cm="1">
        <f t="array" ref="N8817">IFERROR(IF($B8817=N$1, ($A8817+$C8817) - MAX(IF($B$2:$B8816=$B8817, $A$2:$A8816+$C$2:$C8816)), "")*24*60, "")</f>
        <v/>
      </c>
      <c r="O8817" s="24" t="str" cm="1">
        <f t="array" ref="O8817">IFERROR(IF($B8817=O$1, ($A8817+$C8817) - MAX(IF($B$2:$B8816=$B8817, $A$2:$A8816+$C$2:$C8816)), "")*24*60, "")</f>
        <v/>
      </c>
      <c r="P8817" s="24" t="str" cm="1">
        <f t="array" ref="P8817">IFERROR(IF($B8817=P$1, ($A8817+$C8817) - MAX(IF($B$2:$B8816=$B8817, $A$2:$A8816+$C$2:$C8816)), "")*24*60, "")</f>
        <v/>
      </c>
      <c r="Q8817" s="24" t="str" cm="1">
        <f t="array" ref="Q8817">IFERROR(IF($B8817=Q$1, ($A8817+$C8817) - MAX(IF($B$2:$B8816=$B8817, $A$2:$A8816+$C$2:$C8816)), "")*24*60, "")</f>
        <v/>
      </c>
      <c r="R8817" s="24" t="str" cm="1">
        <f t="array" ref="R8817">IFERROR(IF($B8817=R$1, ($A8817+$C8817) - MAX(IF($B$2:$B8816=$B8817, $A$2:$A8816+$C$2:$C8816)), "")*24*60, "")</f>
        <v/>
      </c>
      <c r="S8817" s="24" t="str" cm="1">
        <f t="array" ref="S8817">IFERROR(IF($B8817=S$1, ($A8817+$C8817) - MAX(IF($B$2:$B8816=$B8817, $A$2:$A8816+$C$2:$C8816)), "")*24*60, "")</f>
        <v/>
      </c>
    </row>
    <row r="8818" spans="1:19" x14ac:dyDescent="0.2">
      <c r="A8818" s="12">
        <f t="shared" ref="A8818:C8818" si="1421">A8817</f>
        <v>46037</v>
      </c>
      <c r="B8818" s="5" t="str">
        <f t="shared" si="1421"/>
        <v>Northern Cardinal</v>
      </c>
      <c r="C8818" s="6">
        <f t="shared" si="1421"/>
        <v>0.74861111111111112</v>
      </c>
      <c r="D8818" s="5"/>
      <c r="E8818" s="5"/>
      <c r="F8818" s="5" t="s">
        <v>9</v>
      </c>
      <c r="G8818" s="15" t="s">
        <v>8</v>
      </c>
      <c r="H8818" s="24">
        <f t="shared" si="1412"/>
        <v>0</v>
      </c>
      <c r="I8818" s="24" cm="1">
        <f t="array" ref="I8818">IFERROR(IF($B8818=I$1, ($A8818+$C8818) - MAX(IF($B$2:$B8817=$B8818, $A$2:$A8817+$C$2:$C8817)), "")*24*60, "")</f>
        <v>0</v>
      </c>
      <c r="J8818" s="24" t="str" cm="1">
        <f t="array" ref="J8818">IFERROR(IF($B8818=J$1, ($A8818+$C8818) - MAX(IF($B$2:$B8817=$B8818, $A$2:$A8817+$C$2:$C8817)), "")*24*60, "")</f>
        <v/>
      </c>
      <c r="K8818" s="24" t="str" cm="1">
        <f t="array" ref="K8818">IFERROR(IF($B8818=K$1, ($A8818+$C8818) - MAX(IF($B$2:$B8817=$B8818, $A$2:$A8817+$C$2:$C8817)), "")*24*60, "")</f>
        <v/>
      </c>
      <c r="L8818" s="24" t="str" cm="1">
        <f t="array" ref="L8818">IFERROR(IF($B8818=L$1, ($A8818+$C8818) - MAX(IF($B$2:$B8817=$B8818, $A$2:$A8817+$C$2:$C8817)), "")*24*60, "")</f>
        <v/>
      </c>
      <c r="M8818" s="24" t="str" cm="1">
        <f t="array" ref="M8818">IFERROR(IF($B8818=M$1, ($A8818+$C8818) - MAX(IF($B$2:$B8817=$B8818, $A$2:$A8817+$C$2:$C8817)), "")*24*60, "")</f>
        <v/>
      </c>
      <c r="N8818" s="24" t="str" cm="1">
        <f t="array" ref="N8818">IFERROR(IF($B8818=N$1, ($A8818+$C8818) - MAX(IF($B$2:$B8817=$B8818, $A$2:$A8817+$C$2:$C8817)), "")*24*60, "")</f>
        <v/>
      </c>
      <c r="O8818" s="24" t="str" cm="1">
        <f t="array" ref="O8818">IFERROR(IF($B8818=O$1, ($A8818+$C8818) - MAX(IF($B$2:$B8817=$B8818, $A$2:$A8817+$C$2:$C8817)), "")*24*60, "")</f>
        <v/>
      </c>
      <c r="P8818" s="24" t="str" cm="1">
        <f t="array" ref="P8818">IFERROR(IF($B8818=P$1, ($A8818+$C8818) - MAX(IF($B$2:$B8817=$B8818, $A$2:$A8817+$C$2:$C8817)), "")*24*60, "")</f>
        <v/>
      </c>
      <c r="Q8818" s="24" t="str" cm="1">
        <f t="array" ref="Q8818">IFERROR(IF($B8818=Q$1, ($A8818+$C8818) - MAX(IF($B$2:$B8817=$B8818, $A$2:$A8817+$C$2:$C8817)), "")*24*60, "")</f>
        <v/>
      </c>
      <c r="R8818" s="24" t="str" cm="1">
        <f t="array" ref="R8818">IFERROR(IF($B8818=R$1, ($A8818+$C8818) - MAX(IF($B$2:$B8817=$B8818, $A$2:$A8817+$C$2:$C8817)), "")*24*60, "")</f>
        <v/>
      </c>
      <c r="S8818" s="24" t="str" cm="1">
        <f t="array" ref="S8818">IFERROR(IF($B8818=S$1, ($A8818+$C8818) - MAX(IF($B$2:$B8817=$B8818, $A$2:$A8817+$C$2:$C8817)), "")*24*60, "")</f>
        <v/>
      </c>
    </row>
    <row r="8819" spans="1:19" x14ac:dyDescent="0.2">
      <c r="A8819" s="12">
        <f t="shared" ref="A8819:C8819" si="1422">A8818</f>
        <v>46037</v>
      </c>
      <c r="B8819" s="5" t="str">
        <f t="shared" si="1422"/>
        <v>Northern Cardinal</v>
      </c>
      <c r="C8819" s="6">
        <f t="shared" si="1422"/>
        <v>0.74861111111111112</v>
      </c>
      <c r="D8819" s="5"/>
      <c r="E8819" s="5"/>
      <c r="F8819" s="5" t="s">
        <v>9</v>
      </c>
      <c r="G8819" s="15" t="s">
        <v>8</v>
      </c>
      <c r="H8819" s="24">
        <f t="shared" si="1412"/>
        <v>0</v>
      </c>
      <c r="I8819" s="24" cm="1">
        <f t="array" ref="I8819">IFERROR(IF($B8819=I$1, ($A8819+$C8819) - MAX(IF($B$2:$B8818=$B8819, $A$2:$A8818+$C$2:$C8818)), "")*24*60, "")</f>
        <v>0</v>
      </c>
      <c r="J8819" s="24" t="str" cm="1">
        <f t="array" ref="J8819">IFERROR(IF($B8819=J$1, ($A8819+$C8819) - MAX(IF($B$2:$B8818=$B8819, $A$2:$A8818+$C$2:$C8818)), "")*24*60, "")</f>
        <v/>
      </c>
      <c r="K8819" s="24" t="str" cm="1">
        <f t="array" ref="K8819">IFERROR(IF($B8819=K$1, ($A8819+$C8819) - MAX(IF($B$2:$B8818=$B8819, $A$2:$A8818+$C$2:$C8818)), "")*24*60, "")</f>
        <v/>
      </c>
      <c r="L8819" s="24" t="str" cm="1">
        <f t="array" ref="L8819">IFERROR(IF($B8819=L$1, ($A8819+$C8819) - MAX(IF($B$2:$B8818=$B8819, $A$2:$A8818+$C$2:$C8818)), "")*24*60, "")</f>
        <v/>
      </c>
      <c r="M8819" s="24" t="str" cm="1">
        <f t="array" ref="M8819">IFERROR(IF($B8819=M$1, ($A8819+$C8819) - MAX(IF($B$2:$B8818=$B8819, $A$2:$A8818+$C$2:$C8818)), "")*24*60, "")</f>
        <v/>
      </c>
      <c r="N8819" s="24" t="str" cm="1">
        <f t="array" ref="N8819">IFERROR(IF($B8819=N$1, ($A8819+$C8819) - MAX(IF($B$2:$B8818=$B8819, $A$2:$A8818+$C$2:$C8818)), "")*24*60, "")</f>
        <v/>
      </c>
      <c r="O8819" s="24" t="str" cm="1">
        <f t="array" ref="O8819">IFERROR(IF($B8819=O$1, ($A8819+$C8819) - MAX(IF($B$2:$B8818=$B8819, $A$2:$A8818+$C$2:$C8818)), "")*24*60, "")</f>
        <v/>
      </c>
      <c r="P8819" s="24" t="str" cm="1">
        <f t="array" ref="P8819">IFERROR(IF($B8819=P$1, ($A8819+$C8819) - MAX(IF($B$2:$B8818=$B8819, $A$2:$A8818+$C$2:$C8818)), "")*24*60, "")</f>
        <v/>
      </c>
      <c r="Q8819" s="24" t="str" cm="1">
        <f t="array" ref="Q8819">IFERROR(IF($B8819=Q$1, ($A8819+$C8819) - MAX(IF($B$2:$B8818=$B8819, $A$2:$A8818+$C$2:$C8818)), "")*24*60, "")</f>
        <v/>
      </c>
      <c r="R8819" s="24" t="str" cm="1">
        <f t="array" ref="R8819">IFERROR(IF($B8819=R$1, ($A8819+$C8819) - MAX(IF($B$2:$B8818=$B8819, $A$2:$A8818+$C$2:$C8818)), "")*24*60, "")</f>
        <v/>
      </c>
      <c r="S8819" s="24" t="str" cm="1">
        <f t="array" ref="S8819">IFERROR(IF($B8819=S$1, ($A8819+$C8819) - MAX(IF($B$2:$B8818=$B8819, $A$2:$A8818+$C$2:$C8818)), "")*24*60, "")</f>
        <v/>
      </c>
    </row>
    <row r="8820" spans="1:19" x14ac:dyDescent="0.2">
      <c r="A8820" s="12">
        <f t="shared" ref="A8820:C8820" si="1423">A8819</f>
        <v>46037</v>
      </c>
      <c r="B8820" s="5" t="str">
        <f t="shared" si="1423"/>
        <v>Northern Cardinal</v>
      </c>
      <c r="C8820" s="6">
        <f t="shared" si="1423"/>
        <v>0.74861111111111112</v>
      </c>
      <c r="D8820" s="5"/>
      <c r="E8820" s="5"/>
      <c r="F8820" s="5" t="s">
        <v>9</v>
      </c>
      <c r="G8820" s="15" t="s">
        <v>8</v>
      </c>
      <c r="H8820" s="24">
        <f t="shared" si="1412"/>
        <v>0</v>
      </c>
      <c r="I8820" s="24" cm="1">
        <f t="array" ref="I8820">IFERROR(IF($B8820=I$1, ($A8820+$C8820) - MAX(IF($B$2:$B8819=$B8820, $A$2:$A8819+$C$2:$C8819)), "")*24*60, "")</f>
        <v>0</v>
      </c>
      <c r="J8820" s="24" t="str" cm="1">
        <f t="array" ref="J8820">IFERROR(IF($B8820=J$1, ($A8820+$C8820) - MAX(IF($B$2:$B8819=$B8820, $A$2:$A8819+$C$2:$C8819)), "")*24*60, "")</f>
        <v/>
      </c>
      <c r="K8820" s="24" t="str" cm="1">
        <f t="array" ref="K8820">IFERROR(IF($B8820=K$1, ($A8820+$C8820) - MAX(IF($B$2:$B8819=$B8820, $A$2:$A8819+$C$2:$C8819)), "")*24*60, "")</f>
        <v/>
      </c>
      <c r="L8820" s="24" t="str" cm="1">
        <f t="array" ref="L8820">IFERROR(IF($B8820=L$1, ($A8820+$C8820) - MAX(IF($B$2:$B8819=$B8820, $A$2:$A8819+$C$2:$C8819)), "")*24*60, "")</f>
        <v/>
      </c>
      <c r="M8820" s="24" t="str" cm="1">
        <f t="array" ref="M8820">IFERROR(IF($B8820=M$1, ($A8820+$C8820) - MAX(IF($B$2:$B8819=$B8820, $A$2:$A8819+$C$2:$C8819)), "")*24*60, "")</f>
        <v/>
      </c>
      <c r="N8820" s="24" t="str" cm="1">
        <f t="array" ref="N8820">IFERROR(IF($B8820=N$1, ($A8820+$C8820) - MAX(IF($B$2:$B8819=$B8820, $A$2:$A8819+$C$2:$C8819)), "")*24*60, "")</f>
        <v/>
      </c>
      <c r="O8820" s="24" t="str" cm="1">
        <f t="array" ref="O8820">IFERROR(IF($B8820=O$1, ($A8820+$C8820) - MAX(IF($B$2:$B8819=$B8820, $A$2:$A8819+$C$2:$C8819)), "")*24*60, "")</f>
        <v/>
      </c>
      <c r="P8820" s="24" t="str" cm="1">
        <f t="array" ref="P8820">IFERROR(IF($B8820=P$1, ($A8820+$C8820) - MAX(IF($B$2:$B8819=$B8820, $A$2:$A8819+$C$2:$C8819)), "")*24*60, "")</f>
        <v/>
      </c>
      <c r="Q8820" s="24" t="str" cm="1">
        <f t="array" ref="Q8820">IFERROR(IF($B8820=Q$1, ($A8820+$C8820) - MAX(IF($B$2:$B8819=$B8820, $A$2:$A8819+$C$2:$C8819)), "")*24*60, "")</f>
        <v/>
      </c>
      <c r="R8820" s="24" t="str" cm="1">
        <f t="array" ref="R8820">IFERROR(IF($B8820=R$1, ($A8820+$C8820) - MAX(IF($B$2:$B8819=$B8820, $A$2:$A8819+$C$2:$C8819)), "")*24*60, "")</f>
        <v/>
      </c>
      <c r="S8820" s="24" t="str" cm="1">
        <f t="array" ref="S8820">IFERROR(IF($B8820=S$1, ($A8820+$C8820) - MAX(IF($B$2:$B8819=$B8820, $A$2:$A8819+$C$2:$C8819)), "")*24*60, "")</f>
        <v/>
      </c>
    </row>
    <row r="8821" spans="1:19" x14ac:dyDescent="0.2">
      <c r="A8821" s="12">
        <f t="shared" ref="A8821:C8821" si="1424">A8820</f>
        <v>46037</v>
      </c>
      <c r="B8821" s="5" t="str">
        <f t="shared" si="1424"/>
        <v>Northern Cardinal</v>
      </c>
      <c r="C8821" s="6">
        <f t="shared" si="1424"/>
        <v>0.74861111111111112</v>
      </c>
      <c r="D8821" s="5"/>
      <c r="E8821" s="5"/>
      <c r="F8821" s="5" t="s">
        <v>9</v>
      </c>
      <c r="G8821" s="15" t="s">
        <v>8</v>
      </c>
      <c r="H8821" s="24">
        <f t="shared" si="1412"/>
        <v>0</v>
      </c>
      <c r="I8821" s="24" cm="1">
        <f t="array" ref="I8821">IFERROR(IF($B8821=I$1, ($A8821+$C8821) - MAX(IF($B$2:$B8820=$B8821, $A$2:$A8820+$C$2:$C8820)), "")*24*60, "")</f>
        <v>0</v>
      </c>
      <c r="J8821" s="24" t="str" cm="1">
        <f t="array" ref="J8821">IFERROR(IF($B8821=J$1, ($A8821+$C8821) - MAX(IF($B$2:$B8820=$B8821, $A$2:$A8820+$C$2:$C8820)), "")*24*60, "")</f>
        <v/>
      </c>
      <c r="K8821" s="24" t="str" cm="1">
        <f t="array" ref="K8821">IFERROR(IF($B8821=K$1, ($A8821+$C8821) - MAX(IF($B$2:$B8820=$B8821, $A$2:$A8820+$C$2:$C8820)), "")*24*60, "")</f>
        <v/>
      </c>
      <c r="L8821" s="24" t="str" cm="1">
        <f t="array" ref="L8821">IFERROR(IF($B8821=L$1, ($A8821+$C8821) - MAX(IF($B$2:$B8820=$B8821, $A$2:$A8820+$C$2:$C8820)), "")*24*60, "")</f>
        <v/>
      </c>
      <c r="M8821" s="24" t="str" cm="1">
        <f t="array" ref="M8821">IFERROR(IF($B8821=M$1, ($A8821+$C8821) - MAX(IF($B$2:$B8820=$B8821, $A$2:$A8820+$C$2:$C8820)), "")*24*60, "")</f>
        <v/>
      </c>
      <c r="N8821" s="24" t="str" cm="1">
        <f t="array" ref="N8821">IFERROR(IF($B8821=N$1, ($A8821+$C8821) - MAX(IF($B$2:$B8820=$B8821, $A$2:$A8820+$C$2:$C8820)), "")*24*60, "")</f>
        <v/>
      </c>
      <c r="O8821" s="24" t="str" cm="1">
        <f t="array" ref="O8821">IFERROR(IF($B8821=O$1, ($A8821+$C8821) - MAX(IF($B$2:$B8820=$B8821, $A$2:$A8820+$C$2:$C8820)), "")*24*60, "")</f>
        <v/>
      </c>
      <c r="P8821" s="24" t="str" cm="1">
        <f t="array" ref="P8821">IFERROR(IF($B8821=P$1, ($A8821+$C8821) - MAX(IF($B$2:$B8820=$B8821, $A$2:$A8820+$C$2:$C8820)), "")*24*60, "")</f>
        <v/>
      </c>
      <c r="Q8821" s="24" t="str" cm="1">
        <f t="array" ref="Q8821">IFERROR(IF($B8821=Q$1, ($A8821+$C8821) - MAX(IF($B$2:$B8820=$B8821, $A$2:$A8820+$C$2:$C8820)), "")*24*60, "")</f>
        <v/>
      </c>
      <c r="R8821" s="24" t="str" cm="1">
        <f t="array" ref="R8821">IFERROR(IF($B8821=R$1, ($A8821+$C8821) - MAX(IF($B$2:$B8820=$B8821, $A$2:$A8820+$C$2:$C8820)), "")*24*60, "")</f>
        <v/>
      </c>
      <c r="S8821" s="24" t="str" cm="1">
        <f t="array" ref="S8821">IFERROR(IF($B8821=S$1, ($A8821+$C8821) - MAX(IF($B$2:$B8820=$B8821, $A$2:$A8820+$C$2:$C8820)), "")*24*60, "")</f>
        <v/>
      </c>
    </row>
    <row r="8822" spans="1:19" x14ac:dyDescent="0.2">
      <c r="A8822" s="12">
        <f t="shared" ref="A8822:C8822" si="1425">A8821</f>
        <v>46037</v>
      </c>
      <c r="B8822" s="5" t="str">
        <f t="shared" si="1425"/>
        <v>Northern Cardinal</v>
      </c>
      <c r="C8822" s="6">
        <f t="shared" si="1425"/>
        <v>0.74861111111111112</v>
      </c>
      <c r="D8822" s="5"/>
      <c r="E8822" s="5"/>
      <c r="F8822" s="5" t="s">
        <v>9</v>
      </c>
      <c r="G8822" s="15" t="s">
        <v>8</v>
      </c>
      <c r="H8822" s="24">
        <f t="shared" si="1412"/>
        <v>0</v>
      </c>
      <c r="I8822" s="24" cm="1">
        <f t="array" ref="I8822">IFERROR(IF($B8822=I$1, ($A8822+$C8822) - MAX(IF($B$2:$B8821=$B8822, $A$2:$A8821+$C$2:$C8821)), "")*24*60, "")</f>
        <v>0</v>
      </c>
      <c r="J8822" s="24" t="str" cm="1">
        <f t="array" ref="J8822">IFERROR(IF($B8822=J$1, ($A8822+$C8822) - MAX(IF($B$2:$B8821=$B8822, $A$2:$A8821+$C$2:$C8821)), "")*24*60, "")</f>
        <v/>
      </c>
      <c r="K8822" s="24" t="str" cm="1">
        <f t="array" ref="K8822">IFERROR(IF($B8822=K$1, ($A8822+$C8822) - MAX(IF($B$2:$B8821=$B8822, $A$2:$A8821+$C$2:$C8821)), "")*24*60, "")</f>
        <v/>
      </c>
      <c r="L8822" s="24" t="str" cm="1">
        <f t="array" ref="L8822">IFERROR(IF($B8822=L$1, ($A8822+$C8822) - MAX(IF($B$2:$B8821=$B8822, $A$2:$A8821+$C$2:$C8821)), "")*24*60, "")</f>
        <v/>
      </c>
      <c r="M8822" s="24" t="str" cm="1">
        <f t="array" ref="M8822">IFERROR(IF($B8822=M$1, ($A8822+$C8822) - MAX(IF($B$2:$B8821=$B8822, $A$2:$A8821+$C$2:$C8821)), "")*24*60, "")</f>
        <v/>
      </c>
      <c r="N8822" s="24" t="str" cm="1">
        <f t="array" ref="N8822">IFERROR(IF($B8822=N$1, ($A8822+$C8822) - MAX(IF($B$2:$B8821=$B8822, $A$2:$A8821+$C$2:$C8821)), "")*24*60, "")</f>
        <v/>
      </c>
      <c r="O8822" s="24" t="str" cm="1">
        <f t="array" ref="O8822">IFERROR(IF($B8822=O$1, ($A8822+$C8822) - MAX(IF($B$2:$B8821=$B8822, $A$2:$A8821+$C$2:$C8821)), "")*24*60, "")</f>
        <v/>
      </c>
      <c r="P8822" s="24" t="str" cm="1">
        <f t="array" ref="P8822">IFERROR(IF($B8822=P$1, ($A8822+$C8822) - MAX(IF($B$2:$B8821=$B8822, $A$2:$A8821+$C$2:$C8821)), "")*24*60, "")</f>
        <v/>
      </c>
      <c r="Q8822" s="24" t="str" cm="1">
        <f t="array" ref="Q8822">IFERROR(IF($B8822=Q$1, ($A8822+$C8822) - MAX(IF($B$2:$B8821=$B8822, $A$2:$A8821+$C$2:$C8821)), "")*24*60, "")</f>
        <v/>
      </c>
      <c r="R8822" s="24" t="str" cm="1">
        <f t="array" ref="R8822">IFERROR(IF($B8822=R$1, ($A8822+$C8822) - MAX(IF($B$2:$B8821=$B8822, $A$2:$A8821+$C$2:$C8821)), "")*24*60, "")</f>
        <v/>
      </c>
      <c r="S8822" s="24" t="str" cm="1">
        <f t="array" ref="S8822">IFERROR(IF($B8822=S$1, ($A8822+$C8822) - MAX(IF($B$2:$B8821=$B8822, $A$2:$A8821+$C$2:$C8821)), "")*24*60, "")</f>
        <v/>
      </c>
    </row>
    <row r="8823" spans="1:19" x14ac:dyDescent="0.2">
      <c r="A8823" s="12">
        <f t="shared" ref="A8823:C8823" si="1426">A8822</f>
        <v>46037</v>
      </c>
      <c r="B8823" s="5" t="str">
        <f t="shared" si="1426"/>
        <v>Northern Cardinal</v>
      </c>
      <c r="C8823" s="6">
        <f t="shared" si="1426"/>
        <v>0.74861111111111112</v>
      </c>
      <c r="D8823" s="5"/>
      <c r="E8823" s="5"/>
      <c r="F8823" s="5" t="s">
        <v>9</v>
      </c>
      <c r="G8823" s="15" t="s">
        <v>8</v>
      </c>
      <c r="H8823" s="24">
        <f t="shared" si="1412"/>
        <v>0</v>
      </c>
      <c r="I8823" s="24" cm="1">
        <f t="array" ref="I8823">IFERROR(IF($B8823=I$1, ($A8823+$C8823) - MAX(IF($B$2:$B8822=$B8823, $A$2:$A8822+$C$2:$C8822)), "")*24*60, "")</f>
        <v>0</v>
      </c>
      <c r="J8823" s="24" t="str" cm="1">
        <f t="array" ref="J8823">IFERROR(IF($B8823=J$1, ($A8823+$C8823) - MAX(IF($B$2:$B8822=$B8823, $A$2:$A8822+$C$2:$C8822)), "")*24*60, "")</f>
        <v/>
      </c>
      <c r="K8823" s="24" t="str" cm="1">
        <f t="array" ref="K8823">IFERROR(IF($B8823=K$1, ($A8823+$C8823) - MAX(IF($B$2:$B8822=$B8823, $A$2:$A8822+$C$2:$C8822)), "")*24*60, "")</f>
        <v/>
      </c>
      <c r="L8823" s="24" t="str" cm="1">
        <f t="array" ref="L8823">IFERROR(IF($B8823=L$1, ($A8823+$C8823) - MAX(IF($B$2:$B8822=$B8823, $A$2:$A8822+$C$2:$C8822)), "")*24*60, "")</f>
        <v/>
      </c>
      <c r="M8823" s="24" t="str" cm="1">
        <f t="array" ref="M8823">IFERROR(IF($B8823=M$1, ($A8823+$C8823) - MAX(IF($B$2:$B8822=$B8823, $A$2:$A8822+$C$2:$C8822)), "")*24*60, "")</f>
        <v/>
      </c>
      <c r="N8823" s="24" t="str" cm="1">
        <f t="array" ref="N8823">IFERROR(IF($B8823=N$1, ($A8823+$C8823) - MAX(IF($B$2:$B8822=$B8823, $A$2:$A8822+$C$2:$C8822)), "")*24*60, "")</f>
        <v/>
      </c>
      <c r="O8823" s="24" t="str" cm="1">
        <f t="array" ref="O8823">IFERROR(IF($B8823=O$1, ($A8823+$C8823) - MAX(IF($B$2:$B8822=$B8823, $A$2:$A8822+$C$2:$C8822)), "")*24*60, "")</f>
        <v/>
      </c>
      <c r="P8823" s="24" t="str" cm="1">
        <f t="array" ref="P8823">IFERROR(IF($B8823=P$1, ($A8823+$C8823) - MAX(IF($B$2:$B8822=$B8823, $A$2:$A8822+$C$2:$C8822)), "")*24*60, "")</f>
        <v/>
      </c>
      <c r="Q8823" s="24" t="str" cm="1">
        <f t="array" ref="Q8823">IFERROR(IF($B8823=Q$1, ($A8823+$C8823) - MAX(IF($B$2:$B8822=$B8823, $A$2:$A8822+$C$2:$C8822)), "")*24*60, "")</f>
        <v/>
      </c>
      <c r="R8823" s="24" t="str" cm="1">
        <f t="array" ref="R8823">IFERROR(IF($B8823=R$1, ($A8823+$C8823) - MAX(IF($B$2:$B8822=$B8823, $A$2:$A8822+$C$2:$C8822)), "")*24*60, "")</f>
        <v/>
      </c>
      <c r="S8823" s="24" t="str" cm="1">
        <f t="array" ref="S8823">IFERROR(IF($B8823=S$1, ($A8823+$C8823) - MAX(IF($B$2:$B8822=$B8823, $A$2:$A8822+$C$2:$C8822)), "")*24*60, "")</f>
        <v/>
      </c>
    </row>
    <row r="8824" spans="1:19" x14ac:dyDescent="0.2">
      <c r="A8824" s="12">
        <f t="shared" ref="A8824:C8824" si="1427">A8823</f>
        <v>46037</v>
      </c>
      <c r="B8824" s="5" t="str">
        <f t="shared" si="1427"/>
        <v>Northern Cardinal</v>
      </c>
      <c r="C8824" s="6">
        <f t="shared" si="1427"/>
        <v>0.74861111111111112</v>
      </c>
      <c r="D8824" s="5"/>
      <c r="E8824" s="5"/>
      <c r="F8824" s="5" t="s">
        <v>9</v>
      </c>
      <c r="G8824" s="15" t="s">
        <v>8</v>
      </c>
      <c r="H8824" s="24">
        <f t="shared" si="1412"/>
        <v>0</v>
      </c>
      <c r="I8824" s="24" cm="1">
        <f t="array" ref="I8824">IFERROR(IF($B8824=I$1, ($A8824+$C8824) - MAX(IF($B$2:$B8823=$B8824, $A$2:$A8823+$C$2:$C8823)), "")*24*60, "")</f>
        <v>0</v>
      </c>
      <c r="J8824" s="24" t="str" cm="1">
        <f t="array" ref="J8824">IFERROR(IF($B8824=J$1, ($A8824+$C8824) - MAX(IF($B$2:$B8823=$B8824, $A$2:$A8823+$C$2:$C8823)), "")*24*60, "")</f>
        <v/>
      </c>
      <c r="K8824" s="24" t="str" cm="1">
        <f t="array" ref="K8824">IFERROR(IF($B8824=K$1, ($A8824+$C8824) - MAX(IF($B$2:$B8823=$B8824, $A$2:$A8823+$C$2:$C8823)), "")*24*60, "")</f>
        <v/>
      </c>
      <c r="L8824" s="24" t="str" cm="1">
        <f t="array" ref="L8824">IFERROR(IF($B8824=L$1, ($A8824+$C8824) - MAX(IF($B$2:$B8823=$B8824, $A$2:$A8823+$C$2:$C8823)), "")*24*60, "")</f>
        <v/>
      </c>
      <c r="M8824" s="24" t="str" cm="1">
        <f t="array" ref="M8824">IFERROR(IF($B8824=M$1, ($A8824+$C8824) - MAX(IF($B$2:$B8823=$B8824, $A$2:$A8823+$C$2:$C8823)), "")*24*60, "")</f>
        <v/>
      </c>
      <c r="N8824" s="24" t="str" cm="1">
        <f t="array" ref="N8824">IFERROR(IF($B8824=N$1, ($A8824+$C8824) - MAX(IF($B$2:$B8823=$B8824, $A$2:$A8823+$C$2:$C8823)), "")*24*60, "")</f>
        <v/>
      </c>
      <c r="O8824" s="24" t="str" cm="1">
        <f t="array" ref="O8824">IFERROR(IF($B8824=O$1, ($A8824+$C8824) - MAX(IF($B$2:$B8823=$B8824, $A$2:$A8823+$C$2:$C8823)), "")*24*60, "")</f>
        <v/>
      </c>
      <c r="P8824" s="24" t="str" cm="1">
        <f t="array" ref="P8824">IFERROR(IF($B8824=P$1, ($A8824+$C8824) - MAX(IF($B$2:$B8823=$B8824, $A$2:$A8823+$C$2:$C8823)), "")*24*60, "")</f>
        <v/>
      </c>
      <c r="Q8824" s="24" t="str" cm="1">
        <f t="array" ref="Q8824">IFERROR(IF($B8824=Q$1, ($A8824+$C8824) - MAX(IF($B$2:$B8823=$B8824, $A$2:$A8823+$C$2:$C8823)), "")*24*60, "")</f>
        <v/>
      </c>
      <c r="R8824" s="24" t="str" cm="1">
        <f t="array" ref="R8824">IFERROR(IF($B8824=R$1, ($A8824+$C8824) - MAX(IF($B$2:$B8823=$B8824, $A$2:$A8823+$C$2:$C8823)), "")*24*60, "")</f>
        <v/>
      </c>
      <c r="S8824" s="24" t="str" cm="1">
        <f t="array" ref="S8824">IFERROR(IF($B8824=S$1, ($A8824+$C8824) - MAX(IF($B$2:$B8823=$B8824, $A$2:$A8823+$C$2:$C8823)), "")*24*60, "")</f>
        <v/>
      </c>
    </row>
    <row r="8825" spans="1:19" x14ac:dyDescent="0.2">
      <c r="A8825" s="12">
        <f t="shared" ref="A8825:C8825" si="1428">A8824</f>
        <v>46037</v>
      </c>
      <c r="B8825" s="5" t="str">
        <f t="shared" si="1428"/>
        <v>Northern Cardinal</v>
      </c>
      <c r="C8825" s="6">
        <f t="shared" si="1428"/>
        <v>0.74861111111111112</v>
      </c>
      <c r="D8825" s="5"/>
      <c r="E8825" s="5"/>
      <c r="F8825" s="5" t="s">
        <v>9</v>
      </c>
      <c r="G8825" s="15" t="s">
        <v>8</v>
      </c>
      <c r="H8825" s="24">
        <f t="shared" si="1412"/>
        <v>0</v>
      </c>
      <c r="I8825" s="24" cm="1">
        <f t="array" ref="I8825">IFERROR(IF($B8825=I$1, ($A8825+$C8825) - MAX(IF($B$2:$B8824=$B8825, $A$2:$A8824+$C$2:$C8824)), "")*24*60, "")</f>
        <v>0</v>
      </c>
      <c r="J8825" s="24" t="str" cm="1">
        <f t="array" ref="J8825">IFERROR(IF($B8825=J$1, ($A8825+$C8825) - MAX(IF($B$2:$B8824=$B8825, $A$2:$A8824+$C$2:$C8824)), "")*24*60, "")</f>
        <v/>
      </c>
      <c r="K8825" s="24" t="str" cm="1">
        <f t="array" ref="K8825">IFERROR(IF($B8825=K$1, ($A8825+$C8825) - MAX(IF($B$2:$B8824=$B8825, $A$2:$A8824+$C$2:$C8824)), "")*24*60, "")</f>
        <v/>
      </c>
      <c r="L8825" s="24" t="str" cm="1">
        <f t="array" ref="L8825">IFERROR(IF($B8825=L$1, ($A8825+$C8825) - MAX(IF($B$2:$B8824=$B8825, $A$2:$A8824+$C$2:$C8824)), "")*24*60, "")</f>
        <v/>
      </c>
      <c r="M8825" s="24" t="str" cm="1">
        <f t="array" ref="M8825">IFERROR(IF($B8825=M$1, ($A8825+$C8825) - MAX(IF($B$2:$B8824=$B8825, $A$2:$A8824+$C$2:$C8824)), "")*24*60, "")</f>
        <v/>
      </c>
      <c r="N8825" s="24" t="str" cm="1">
        <f t="array" ref="N8825">IFERROR(IF($B8825=N$1, ($A8825+$C8825) - MAX(IF($B$2:$B8824=$B8825, $A$2:$A8824+$C$2:$C8824)), "")*24*60, "")</f>
        <v/>
      </c>
      <c r="O8825" s="24" t="str" cm="1">
        <f t="array" ref="O8825">IFERROR(IF($B8825=O$1, ($A8825+$C8825) - MAX(IF($B$2:$B8824=$B8825, $A$2:$A8824+$C$2:$C8824)), "")*24*60, "")</f>
        <v/>
      </c>
      <c r="P8825" s="24" t="str" cm="1">
        <f t="array" ref="P8825">IFERROR(IF($B8825=P$1, ($A8825+$C8825) - MAX(IF($B$2:$B8824=$B8825, $A$2:$A8824+$C$2:$C8824)), "")*24*60, "")</f>
        <v/>
      </c>
      <c r="Q8825" s="24" t="str" cm="1">
        <f t="array" ref="Q8825">IFERROR(IF($B8825=Q$1, ($A8825+$C8825) - MAX(IF($B$2:$B8824=$B8825, $A$2:$A8824+$C$2:$C8824)), "")*24*60, "")</f>
        <v/>
      </c>
      <c r="R8825" s="24" t="str" cm="1">
        <f t="array" ref="R8825">IFERROR(IF($B8825=R$1, ($A8825+$C8825) - MAX(IF($B$2:$B8824=$B8825, $A$2:$A8824+$C$2:$C8824)), "")*24*60, "")</f>
        <v/>
      </c>
      <c r="S8825" s="24" t="str" cm="1">
        <f t="array" ref="S8825">IFERROR(IF($B8825=S$1, ($A8825+$C8825) - MAX(IF($B$2:$B8824=$B8825, $A$2:$A8824+$C$2:$C8824)), "")*24*60, "")</f>
        <v/>
      </c>
    </row>
    <row r="8826" spans="1:19" x14ac:dyDescent="0.2">
      <c r="A8826" s="12">
        <f t="shared" ref="A8826:C8826" si="1429">A8825</f>
        <v>46037</v>
      </c>
      <c r="B8826" s="5" t="str">
        <f t="shared" si="1429"/>
        <v>Northern Cardinal</v>
      </c>
      <c r="C8826" s="6">
        <f t="shared" si="1429"/>
        <v>0.74861111111111112</v>
      </c>
      <c r="D8826" s="5"/>
      <c r="E8826" s="5"/>
      <c r="F8826" s="5" t="s">
        <v>9</v>
      </c>
      <c r="G8826" s="15" t="s">
        <v>8</v>
      </c>
      <c r="H8826" s="24">
        <f t="shared" si="1412"/>
        <v>0</v>
      </c>
      <c r="I8826" s="24" cm="1">
        <f t="array" ref="I8826">IFERROR(IF($B8826=I$1, ($A8826+$C8826) - MAX(IF($B$2:$B8825=$B8826, $A$2:$A8825+$C$2:$C8825)), "")*24*60, "")</f>
        <v>0</v>
      </c>
      <c r="J8826" s="24" t="str" cm="1">
        <f t="array" ref="J8826">IFERROR(IF($B8826=J$1, ($A8826+$C8826) - MAX(IF($B$2:$B8825=$B8826, $A$2:$A8825+$C$2:$C8825)), "")*24*60, "")</f>
        <v/>
      </c>
      <c r="K8826" s="24" t="str" cm="1">
        <f t="array" ref="K8826">IFERROR(IF($B8826=K$1, ($A8826+$C8826) - MAX(IF($B$2:$B8825=$B8826, $A$2:$A8825+$C$2:$C8825)), "")*24*60, "")</f>
        <v/>
      </c>
      <c r="L8826" s="24" t="str" cm="1">
        <f t="array" ref="L8826">IFERROR(IF($B8826=L$1, ($A8826+$C8826) - MAX(IF($B$2:$B8825=$B8826, $A$2:$A8825+$C$2:$C8825)), "")*24*60, "")</f>
        <v/>
      </c>
      <c r="M8826" s="24" t="str" cm="1">
        <f t="array" ref="M8826">IFERROR(IF($B8826=M$1, ($A8826+$C8826) - MAX(IF($B$2:$B8825=$B8826, $A$2:$A8825+$C$2:$C8825)), "")*24*60, "")</f>
        <v/>
      </c>
      <c r="N8826" s="24" t="str" cm="1">
        <f t="array" ref="N8826">IFERROR(IF($B8826=N$1, ($A8826+$C8826) - MAX(IF($B$2:$B8825=$B8826, $A$2:$A8825+$C$2:$C8825)), "")*24*60, "")</f>
        <v/>
      </c>
      <c r="O8826" s="24" t="str" cm="1">
        <f t="array" ref="O8826">IFERROR(IF($B8826=O$1, ($A8826+$C8826) - MAX(IF($B$2:$B8825=$B8826, $A$2:$A8825+$C$2:$C8825)), "")*24*60, "")</f>
        <v/>
      </c>
      <c r="P8826" s="24" t="str" cm="1">
        <f t="array" ref="P8826">IFERROR(IF($B8826=P$1, ($A8826+$C8826) - MAX(IF($B$2:$B8825=$B8826, $A$2:$A8825+$C$2:$C8825)), "")*24*60, "")</f>
        <v/>
      </c>
      <c r="Q8826" s="24" t="str" cm="1">
        <f t="array" ref="Q8826">IFERROR(IF($B8826=Q$1, ($A8826+$C8826) - MAX(IF($B$2:$B8825=$B8826, $A$2:$A8825+$C$2:$C8825)), "")*24*60, "")</f>
        <v/>
      </c>
      <c r="R8826" s="24" t="str" cm="1">
        <f t="array" ref="R8826">IFERROR(IF($B8826=R$1, ($A8826+$C8826) - MAX(IF($B$2:$B8825=$B8826, $A$2:$A8825+$C$2:$C8825)), "")*24*60, "")</f>
        <v/>
      </c>
      <c r="S8826" s="24" t="str" cm="1">
        <f t="array" ref="S8826">IFERROR(IF($B8826=S$1, ($A8826+$C8826) - MAX(IF($B$2:$B8825=$B8826, $A$2:$A8825+$C$2:$C8825)), "")*24*60, "")</f>
        <v/>
      </c>
    </row>
    <row r="8827" spans="1:19" x14ac:dyDescent="0.2">
      <c r="A8827" s="12">
        <f t="shared" ref="A8827:C8827" si="1430">A8826</f>
        <v>46037</v>
      </c>
      <c r="B8827" s="5" t="str">
        <f t="shared" si="1430"/>
        <v>Northern Cardinal</v>
      </c>
      <c r="C8827" s="6">
        <f t="shared" si="1430"/>
        <v>0.74861111111111112</v>
      </c>
      <c r="D8827" s="5"/>
      <c r="E8827" s="5"/>
      <c r="F8827" s="5" t="s">
        <v>9</v>
      </c>
      <c r="G8827" s="15" t="s">
        <v>8</v>
      </c>
      <c r="H8827" s="24">
        <f t="shared" si="1412"/>
        <v>0</v>
      </c>
      <c r="I8827" s="24" cm="1">
        <f t="array" ref="I8827">IFERROR(IF($B8827=I$1, ($A8827+$C8827) - MAX(IF($B$2:$B8826=$B8827, $A$2:$A8826+$C$2:$C8826)), "")*24*60, "")</f>
        <v>0</v>
      </c>
      <c r="J8827" s="24" t="str" cm="1">
        <f t="array" ref="J8827">IFERROR(IF($B8827=J$1, ($A8827+$C8827) - MAX(IF($B$2:$B8826=$B8827, $A$2:$A8826+$C$2:$C8826)), "")*24*60, "")</f>
        <v/>
      </c>
      <c r="K8827" s="24" t="str" cm="1">
        <f t="array" ref="K8827">IFERROR(IF($B8827=K$1, ($A8827+$C8827) - MAX(IF($B$2:$B8826=$B8827, $A$2:$A8826+$C$2:$C8826)), "")*24*60, "")</f>
        <v/>
      </c>
      <c r="L8827" s="24" t="str" cm="1">
        <f t="array" ref="L8827">IFERROR(IF($B8827=L$1, ($A8827+$C8827) - MAX(IF($B$2:$B8826=$B8827, $A$2:$A8826+$C$2:$C8826)), "")*24*60, "")</f>
        <v/>
      </c>
      <c r="M8827" s="24" t="str" cm="1">
        <f t="array" ref="M8827">IFERROR(IF($B8827=M$1, ($A8827+$C8827) - MAX(IF($B$2:$B8826=$B8827, $A$2:$A8826+$C$2:$C8826)), "")*24*60, "")</f>
        <v/>
      </c>
      <c r="N8827" s="24" t="str" cm="1">
        <f t="array" ref="N8827">IFERROR(IF($B8827=N$1, ($A8827+$C8827) - MAX(IF($B$2:$B8826=$B8827, $A$2:$A8826+$C$2:$C8826)), "")*24*60, "")</f>
        <v/>
      </c>
      <c r="O8827" s="24" t="str" cm="1">
        <f t="array" ref="O8827">IFERROR(IF($B8827=O$1, ($A8827+$C8827) - MAX(IF($B$2:$B8826=$B8827, $A$2:$A8826+$C$2:$C8826)), "")*24*60, "")</f>
        <v/>
      </c>
      <c r="P8827" s="24" t="str" cm="1">
        <f t="array" ref="P8827">IFERROR(IF($B8827=P$1, ($A8827+$C8827) - MAX(IF($B$2:$B8826=$B8827, $A$2:$A8826+$C$2:$C8826)), "")*24*60, "")</f>
        <v/>
      </c>
      <c r="Q8827" s="24" t="str" cm="1">
        <f t="array" ref="Q8827">IFERROR(IF($B8827=Q$1, ($A8827+$C8827) - MAX(IF($B$2:$B8826=$B8827, $A$2:$A8826+$C$2:$C8826)), "")*24*60, "")</f>
        <v/>
      </c>
      <c r="R8827" s="24" t="str" cm="1">
        <f t="array" ref="R8827">IFERROR(IF($B8827=R$1, ($A8827+$C8827) - MAX(IF($B$2:$B8826=$B8827, $A$2:$A8826+$C$2:$C8826)), "")*24*60, "")</f>
        <v/>
      </c>
      <c r="S8827" s="24" t="str" cm="1">
        <f t="array" ref="S8827">IFERROR(IF($B8827=S$1, ($A8827+$C8827) - MAX(IF($B$2:$B8826=$B8827, $A$2:$A8826+$C$2:$C8826)), "")*24*60, "")</f>
        <v/>
      </c>
    </row>
    <row r="8828" spans="1:19" x14ac:dyDescent="0.2">
      <c r="A8828" s="12">
        <f t="shared" ref="A8828:C8828" si="1431">A8827</f>
        <v>46037</v>
      </c>
      <c r="B8828" s="5" t="str">
        <f t="shared" si="1431"/>
        <v>Northern Cardinal</v>
      </c>
      <c r="C8828" s="6">
        <f t="shared" si="1431"/>
        <v>0.74861111111111112</v>
      </c>
      <c r="D8828" s="5"/>
      <c r="E8828" s="5"/>
      <c r="F8828" s="5" t="s">
        <v>9</v>
      </c>
      <c r="G8828" s="15" t="s">
        <v>8</v>
      </c>
      <c r="H8828" s="24">
        <f t="shared" si="1412"/>
        <v>0</v>
      </c>
      <c r="I8828" s="24" cm="1">
        <f t="array" ref="I8828">IFERROR(IF($B8828=I$1, ($A8828+$C8828) - MAX(IF($B$2:$B8827=$B8828, $A$2:$A8827+$C$2:$C8827)), "")*24*60, "")</f>
        <v>0</v>
      </c>
      <c r="J8828" s="24" t="str" cm="1">
        <f t="array" ref="J8828">IFERROR(IF($B8828=J$1, ($A8828+$C8828) - MAX(IF($B$2:$B8827=$B8828, $A$2:$A8827+$C$2:$C8827)), "")*24*60, "")</f>
        <v/>
      </c>
      <c r="K8828" s="24" t="str" cm="1">
        <f t="array" ref="K8828">IFERROR(IF($B8828=K$1, ($A8828+$C8828) - MAX(IF($B$2:$B8827=$B8828, $A$2:$A8827+$C$2:$C8827)), "")*24*60, "")</f>
        <v/>
      </c>
      <c r="L8828" s="24" t="str" cm="1">
        <f t="array" ref="L8828">IFERROR(IF($B8828=L$1, ($A8828+$C8828) - MAX(IF($B$2:$B8827=$B8828, $A$2:$A8827+$C$2:$C8827)), "")*24*60, "")</f>
        <v/>
      </c>
      <c r="M8828" s="24" t="str" cm="1">
        <f t="array" ref="M8828">IFERROR(IF($B8828=M$1, ($A8828+$C8828) - MAX(IF($B$2:$B8827=$B8828, $A$2:$A8827+$C$2:$C8827)), "")*24*60, "")</f>
        <v/>
      </c>
      <c r="N8828" s="24" t="str" cm="1">
        <f t="array" ref="N8828">IFERROR(IF($B8828=N$1, ($A8828+$C8828) - MAX(IF($B$2:$B8827=$B8828, $A$2:$A8827+$C$2:$C8827)), "")*24*60, "")</f>
        <v/>
      </c>
      <c r="O8828" s="24" t="str" cm="1">
        <f t="array" ref="O8828">IFERROR(IF($B8828=O$1, ($A8828+$C8828) - MAX(IF($B$2:$B8827=$B8828, $A$2:$A8827+$C$2:$C8827)), "")*24*60, "")</f>
        <v/>
      </c>
      <c r="P8828" s="24" t="str" cm="1">
        <f t="array" ref="P8828">IFERROR(IF($B8828=P$1, ($A8828+$C8828) - MAX(IF($B$2:$B8827=$B8828, $A$2:$A8827+$C$2:$C8827)), "")*24*60, "")</f>
        <v/>
      </c>
      <c r="Q8828" s="24" t="str" cm="1">
        <f t="array" ref="Q8828">IFERROR(IF($B8828=Q$1, ($A8828+$C8828) - MAX(IF($B$2:$B8827=$B8828, $A$2:$A8827+$C$2:$C8827)), "")*24*60, "")</f>
        <v/>
      </c>
      <c r="R8828" s="24" t="str" cm="1">
        <f t="array" ref="R8828">IFERROR(IF($B8828=R$1, ($A8828+$C8828) - MAX(IF($B$2:$B8827=$B8828, $A$2:$A8827+$C$2:$C8827)), "")*24*60, "")</f>
        <v/>
      </c>
      <c r="S8828" s="24" t="str" cm="1">
        <f t="array" ref="S8828">IFERROR(IF($B8828=S$1, ($A8828+$C8828) - MAX(IF($B$2:$B8827=$B8828, $A$2:$A8827+$C$2:$C8827)), "")*24*60, "")</f>
        <v/>
      </c>
    </row>
    <row r="8829" spans="1:19" x14ac:dyDescent="0.2">
      <c r="A8829" s="12">
        <f t="shared" ref="A8829:C8829" si="1432">A8828</f>
        <v>46037</v>
      </c>
      <c r="B8829" s="5" t="str">
        <f t="shared" si="1432"/>
        <v>Northern Cardinal</v>
      </c>
      <c r="C8829" s="6">
        <f t="shared" si="1432"/>
        <v>0.74861111111111112</v>
      </c>
      <c r="D8829" s="5"/>
      <c r="E8829" s="5"/>
      <c r="F8829" s="5" t="s">
        <v>9</v>
      </c>
      <c r="G8829" s="15" t="s">
        <v>8</v>
      </c>
      <c r="H8829" s="24">
        <f t="shared" si="1412"/>
        <v>0</v>
      </c>
      <c r="I8829" s="24" cm="1">
        <f t="array" ref="I8829">IFERROR(IF($B8829=I$1, ($A8829+$C8829) - MAX(IF($B$2:$B8828=$B8829, $A$2:$A8828+$C$2:$C8828)), "")*24*60, "")</f>
        <v>0</v>
      </c>
      <c r="J8829" s="24" t="str" cm="1">
        <f t="array" ref="J8829">IFERROR(IF($B8829=J$1, ($A8829+$C8829) - MAX(IF($B$2:$B8828=$B8829, $A$2:$A8828+$C$2:$C8828)), "")*24*60, "")</f>
        <v/>
      </c>
      <c r="K8829" s="24" t="str" cm="1">
        <f t="array" ref="K8829">IFERROR(IF($B8829=K$1, ($A8829+$C8829) - MAX(IF($B$2:$B8828=$B8829, $A$2:$A8828+$C$2:$C8828)), "")*24*60, "")</f>
        <v/>
      </c>
      <c r="L8829" s="24" t="str" cm="1">
        <f t="array" ref="L8829">IFERROR(IF($B8829=L$1, ($A8829+$C8829) - MAX(IF($B$2:$B8828=$B8829, $A$2:$A8828+$C$2:$C8828)), "")*24*60, "")</f>
        <v/>
      </c>
      <c r="M8829" s="24" t="str" cm="1">
        <f t="array" ref="M8829">IFERROR(IF($B8829=M$1, ($A8829+$C8829) - MAX(IF($B$2:$B8828=$B8829, $A$2:$A8828+$C$2:$C8828)), "")*24*60, "")</f>
        <v/>
      </c>
      <c r="N8829" s="24" t="str" cm="1">
        <f t="array" ref="N8829">IFERROR(IF($B8829=N$1, ($A8829+$C8829) - MAX(IF($B$2:$B8828=$B8829, $A$2:$A8828+$C$2:$C8828)), "")*24*60, "")</f>
        <v/>
      </c>
      <c r="O8829" s="24" t="str" cm="1">
        <f t="array" ref="O8829">IFERROR(IF($B8829=O$1, ($A8829+$C8829) - MAX(IF($B$2:$B8828=$B8829, $A$2:$A8828+$C$2:$C8828)), "")*24*60, "")</f>
        <v/>
      </c>
      <c r="P8829" s="24" t="str" cm="1">
        <f t="array" ref="P8829">IFERROR(IF($B8829=P$1, ($A8829+$C8829) - MAX(IF($B$2:$B8828=$B8829, $A$2:$A8828+$C$2:$C8828)), "")*24*60, "")</f>
        <v/>
      </c>
      <c r="Q8829" s="24" t="str" cm="1">
        <f t="array" ref="Q8829">IFERROR(IF($B8829=Q$1, ($A8829+$C8829) - MAX(IF($B$2:$B8828=$B8829, $A$2:$A8828+$C$2:$C8828)), "")*24*60, "")</f>
        <v/>
      </c>
      <c r="R8829" s="24" t="str" cm="1">
        <f t="array" ref="R8829">IFERROR(IF($B8829=R$1, ($A8829+$C8829) - MAX(IF($B$2:$B8828=$B8829, $A$2:$A8828+$C$2:$C8828)), "")*24*60, "")</f>
        <v/>
      </c>
      <c r="S8829" s="24" t="str" cm="1">
        <f t="array" ref="S8829">IFERROR(IF($B8829=S$1, ($A8829+$C8829) - MAX(IF($B$2:$B8828=$B8829, $A$2:$A8828+$C$2:$C8828)), "")*24*60, "")</f>
        <v/>
      </c>
    </row>
    <row r="8830" spans="1:19" x14ac:dyDescent="0.2">
      <c r="A8830" s="12">
        <f t="shared" ref="A8830:C8830" si="1433">A8829</f>
        <v>46037</v>
      </c>
      <c r="B8830" s="5" t="str">
        <f t="shared" si="1433"/>
        <v>Northern Cardinal</v>
      </c>
      <c r="C8830" s="6">
        <f t="shared" si="1433"/>
        <v>0.74861111111111112</v>
      </c>
      <c r="D8830" s="5"/>
      <c r="E8830" s="5"/>
      <c r="F8830" s="5" t="s">
        <v>9</v>
      </c>
      <c r="G8830" s="15" t="s">
        <v>8</v>
      </c>
      <c r="H8830" s="24">
        <f t="shared" si="1412"/>
        <v>0</v>
      </c>
      <c r="I8830" s="24" cm="1">
        <f t="array" ref="I8830">IFERROR(IF($B8830=I$1, ($A8830+$C8830) - MAX(IF($B$2:$B8829=$B8830, $A$2:$A8829+$C$2:$C8829)), "")*24*60, "")</f>
        <v>0</v>
      </c>
      <c r="J8830" s="24" t="str" cm="1">
        <f t="array" ref="J8830">IFERROR(IF($B8830=J$1, ($A8830+$C8830) - MAX(IF($B$2:$B8829=$B8830, $A$2:$A8829+$C$2:$C8829)), "")*24*60, "")</f>
        <v/>
      </c>
      <c r="K8830" s="24" t="str" cm="1">
        <f t="array" ref="K8830">IFERROR(IF($B8830=K$1, ($A8830+$C8830) - MAX(IF($B$2:$B8829=$B8830, $A$2:$A8829+$C$2:$C8829)), "")*24*60, "")</f>
        <v/>
      </c>
      <c r="L8830" s="24" t="str" cm="1">
        <f t="array" ref="L8830">IFERROR(IF($B8830=L$1, ($A8830+$C8830) - MAX(IF($B$2:$B8829=$B8830, $A$2:$A8829+$C$2:$C8829)), "")*24*60, "")</f>
        <v/>
      </c>
      <c r="M8830" s="24" t="str" cm="1">
        <f t="array" ref="M8830">IFERROR(IF($B8830=M$1, ($A8830+$C8830) - MAX(IF($B$2:$B8829=$B8830, $A$2:$A8829+$C$2:$C8829)), "")*24*60, "")</f>
        <v/>
      </c>
      <c r="N8830" s="24" t="str" cm="1">
        <f t="array" ref="N8830">IFERROR(IF($B8830=N$1, ($A8830+$C8830) - MAX(IF($B$2:$B8829=$B8830, $A$2:$A8829+$C$2:$C8829)), "")*24*60, "")</f>
        <v/>
      </c>
      <c r="O8830" s="24" t="str" cm="1">
        <f t="array" ref="O8830">IFERROR(IF($B8830=O$1, ($A8830+$C8830) - MAX(IF($B$2:$B8829=$B8830, $A$2:$A8829+$C$2:$C8829)), "")*24*60, "")</f>
        <v/>
      </c>
      <c r="P8830" s="24" t="str" cm="1">
        <f t="array" ref="P8830">IFERROR(IF($B8830=P$1, ($A8830+$C8830) - MAX(IF($B$2:$B8829=$B8830, $A$2:$A8829+$C$2:$C8829)), "")*24*60, "")</f>
        <v/>
      </c>
      <c r="Q8830" s="24" t="str" cm="1">
        <f t="array" ref="Q8830">IFERROR(IF($B8830=Q$1, ($A8830+$C8830) - MAX(IF($B$2:$B8829=$B8830, $A$2:$A8829+$C$2:$C8829)), "")*24*60, "")</f>
        <v/>
      </c>
      <c r="R8830" s="24" t="str" cm="1">
        <f t="array" ref="R8830">IFERROR(IF($B8830=R$1, ($A8830+$C8830) - MAX(IF($B$2:$B8829=$B8830, $A$2:$A8829+$C$2:$C8829)), "")*24*60, "")</f>
        <v/>
      </c>
      <c r="S8830" s="24" t="str" cm="1">
        <f t="array" ref="S8830">IFERROR(IF($B8830=S$1, ($A8830+$C8830) - MAX(IF($B$2:$B8829=$B8830, $A$2:$A8829+$C$2:$C8829)), "")*24*60, "")</f>
        <v/>
      </c>
    </row>
    <row r="8831" spans="1:19" x14ac:dyDescent="0.2">
      <c r="A8831" s="12">
        <f t="shared" ref="A8831:C8831" si="1434">A8830</f>
        <v>46037</v>
      </c>
      <c r="B8831" s="5" t="str">
        <f t="shared" si="1434"/>
        <v>Northern Cardinal</v>
      </c>
      <c r="C8831" s="6">
        <f t="shared" si="1434"/>
        <v>0.74861111111111112</v>
      </c>
      <c r="D8831" s="5"/>
      <c r="E8831" s="5"/>
      <c r="F8831" s="5" t="s">
        <v>9</v>
      </c>
      <c r="G8831" s="15" t="s">
        <v>8</v>
      </c>
      <c r="H8831" s="24">
        <f t="shared" si="1412"/>
        <v>0</v>
      </c>
      <c r="I8831" s="24" cm="1">
        <f t="array" ref="I8831">IFERROR(IF($B8831=I$1, ($A8831+$C8831) - MAX(IF($B$2:$B8830=$B8831, $A$2:$A8830+$C$2:$C8830)), "")*24*60, "")</f>
        <v>0</v>
      </c>
      <c r="J8831" s="24" t="str" cm="1">
        <f t="array" ref="J8831">IFERROR(IF($B8831=J$1, ($A8831+$C8831) - MAX(IF($B$2:$B8830=$B8831, $A$2:$A8830+$C$2:$C8830)), "")*24*60, "")</f>
        <v/>
      </c>
      <c r="K8831" s="24" t="str" cm="1">
        <f t="array" ref="K8831">IFERROR(IF($B8831=K$1, ($A8831+$C8831) - MAX(IF($B$2:$B8830=$B8831, $A$2:$A8830+$C$2:$C8830)), "")*24*60, "")</f>
        <v/>
      </c>
      <c r="L8831" s="24" t="str" cm="1">
        <f t="array" ref="L8831">IFERROR(IF($B8831=L$1, ($A8831+$C8831) - MAX(IF($B$2:$B8830=$B8831, $A$2:$A8830+$C$2:$C8830)), "")*24*60, "")</f>
        <v/>
      </c>
      <c r="M8831" s="24" t="str" cm="1">
        <f t="array" ref="M8831">IFERROR(IF($B8831=M$1, ($A8831+$C8831) - MAX(IF($B$2:$B8830=$B8831, $A$2:$A8830+$C$2:$C8830)), "")*24*60, "")</f>
        <v/>
      </c>
      <c r="N8831" s="24" t="str" cm="1">
        <f t="array" ref="N8831">IFERROR(IF($B8831=N$1, ($A8831+$C8831) - MAX(IF($B$2:$B8830=$B8831, $A$2:$A8830+$C$2:$C8830)), "")*24*60, "")</f>
        <v/>
      </c>
      <c r="O8831" s="24" t="str" cm="1">
        <f t="array" ref="O8831">IFERROR(IF($B8831=O$1, ($A8831+$C8831) - MAX(IF($B$2:$B8830=$B8831, $A$2:$A8830+$C$2:$C8830)), "")*24*60, "")</f>
        <v/>
      </c>
      <c r="P8831" s="24" t="str" cm="1">
        <f t="array" ref="P8831">IFERROR(IF($B8831=P$1, ($A8831+$C8831) - MAX(IF($B$2:$B8830=$B8831, $A$2:$A8830+$C$2:$C8830)), "")*24*60, "")</f>
        <v/>
      </c>
      <c r="Q8831" s="24" t="str" cm="1">
        <f t="array" ref="Q8831">IFERROR(IF($B8831=Q$1, ($A8831+$C8831) - MAX(IF($B$2:$B8830=$B8831, $A$2:$A8830+$C$2:$C8830)), "")*24*60, "")</f>
        <v/>
      </c>
      <c r="R8831" s="24" t="str" cm="1">
        <f t="array" ref="R8831">IFERROR(IF($B8831=R$1, ($A8831+$C8831) - MAX(IF($B$2:$B8830=$B8831, $A$2:$A8830+$C$2:$C8830)), "")*24*60, "")</f>
        <v/>
      </c>
      <c r="S8831" s="24" t="str" cm="1">
        <f t="array" ref="S8831">IFERROR(IF($B8831=S$1, ($A8831+$C8831) - MAX(IF($B$2:$B8830=$B8831, $A$2:$A8830+$C$2:$C8830)), "")*24*60, "")</f>
        <v/>
      </c>
    </row>
    <row r="8832" spans="1:19" x14ac:dyDescent="0.2">
      <c r="A8832" s="12">
        <f t="shared" ref="A8832:C8832" si="1435">A8831</f>
        <v>46037</v>
      </c>
      <c r="B8832" s="5" t="str">
        <f t="shared" si="1435"/>
        <v>Northern Cardinal</v>
      </c>
      <c r="C8832" s="6">
        <f t="shared" si="1435"/>
        <v>0.74861111111111112</v>
      </c>
      <c r="D8832" s="5"/>
      <c r="E8832" s="5"/>
      <c r="F8832" s="5" t="s">
        <v>9</v>
      </c>
      <c r="G8832" s="15" t="s">
        <v>8</v>
      </c>
      <c r="H8832" s="24">
        <f t="shared" si="1412"/>
        <v>0</v>
      </c>
      <c r="I8832" s="24" cm="1">
        <f t="array" ref="I8832">IFERROR(IF($B8832=I$1, ($A8832+$C8832) - MAX(IF($B$2:$B8831=$B8832, $A$2:$A8831+$C$2:$C8831)), "")*24*60, "")</f>
        <v>0</v>
      </c>
      <c r="J8832" s="24" t="str" cm="1">
        <f t="array" ref="J8832">IFERROR(IF($B8832=J$1, ($A8832+$C8832) - MAX(IF($B$2:$B8831=$B8832, $A$2:$A8831+$C$2:$C8831)), "")*24*60, "")</f>
        <v/>
      </c>
      <c r="K8832" s="24" t="str" cm="1">
        <f t="array" ref="K8832">IFERROR(IF($B8832=K$1, ($A8832+$C8832) - MAX(IF($B$2:$B8831=$B8832, $A$2:$A8831+$C$2:$C8831)), "")*24*60, "")</f>
        <v/>
      </c>
      <c r="L8832" s="24" t="str" cm="1">
        <f t="array" ref="L8832">IFERROR(IF($B8832=L$1, ($A8832+$C8832) - MAX(IF($B$2:$B8831=$B8832, $A$2:$A8831+$C$2:$C8831)), "")*24*60, "")</f>
        <v/>
      </c>
      <c r="M8832" s="24" t="str" cm="1">
        <f t="array" ref="M8832">IFERROR(IF($B8832=M$1, ($A8832+$C8832) - MAX(IF($B$2:$B8831=$B8832, $A$2:$A8831+$C$2:$C8831)), "")*24*60, "")</f>
        <v/>
      </c>
      <c r="N8832" s="24" t="str" cm="1">
        <f t="array" ref="N8832">IFERROR(IF($B8832=N$1, ($A8832+$C8832) - MAX(IF($B$2:$B8831=$B8832, $A$2:$A8831+$C$2:$C8831)), "")*24*60, "")</f>
        <v/>
      </c>
      <c r="O8832" s="24" t="str" cm="1">
        <f t="array" ref="O8832">IFERROR(IF($B8832=O$1, ($A8832+$C8832) - MAX(IF($B$2:$B8831=$B8832, $A$2:$A8831+$C$2:$C8831)), "")*24*60, "")</f>
        <v/>
      </c>
      <c r="P8832" s="24" t="str" cm="1">
        <f t="array" ref="P8832">IFERROR(IF($B8832=P$1, ($A8832+$C8832) - MAX(IF($B$2:$B8831=$B8832, $A$2:$A8831+$C$2:$C8831)), "")*24*60, "")</f>
        <v/>
      </c>
      <c r="Q8832" s="24" t="str" cm="1">
        <f t="array" ref="Q8832">IFERROR(IF($B8832=Q$1, ($A8832+$C8832) - MAX(IF($B$2:$B8831=$B8832, $A$2:$A8831+$C$2:$C8831)), "")*24*60, "")</f>
        <v/>
      </c>
      <c r="R8832" s="24" t="str" cm="1">
        <f t="array" ref="R8832">IFERROR(IF($B8832=R$1, ($A8832+$C8832) - MAX(IF($B$2:$B8831=$B8832, $A$2:$A8831+$C$2:$C8831)), "")*24*60, "")</f>
        <v/>
      </c>
      <c r="S8832" s="24" t="str" cm="1">
        <f t="array" ref="S8832">IFERROR(IF($B8832=S$1, ($A8832+$C8832) - MAX(IF($B$2:$B8831=$B8832, $A$2:$A8831+$C$2:$C8831)), "")*24*60, "")</f>
        <v/>
      </c>
    </row>
    <row r="8833" spans="1:19" x14ac:dyDescent="0.2">
      <c r="A8833" s="12">
        <f t="shared" ref="A8833:C8833" si="1436">A8832</f>
        <v>46037</v>
      </c>
      <c r="B8833" s="5" t="str">
        <f t="shared" si="1436"/>
        <v>Northern Cardinal</v>
      </c>
      <c r="C8833" s="6">
        <f t="shared" si="1436"/>
        <v>0.74861111111111112</v>
      </c>
      <c r="D8833" s="5"/>
      <c r="E8833" s="5"/>
      <c r="F8833" s="5" t="s">
        <v>9</v>
      </c>
      <c r="G8833" s="15" t="s">
        <v>8</v>
      </c>
      <c r="H8833" s="24">
        <f t="shared" si="1412"/>
        <v>0</v>
      </c>
      <c r="I8833" s="24" cm="1">
        <f t="array" ref="I8833">IFERROR(IF($B8833=I$1, ($A8833+$C8833) - MAX(IF($B$2:$B8832=$B8833, $A$2:$A8832+$C$2:$C8832)), "")*24*60, "")</f>
        <v>0</v>
      </c>
      <c r="J8833" s="24" t="str" cm="1">
        <f t="array" ref="J8833">IFERROR(IF($B8833=J$1, ($A8833+$C8833) - MAX(IF($B$2:$B8832=$B8833, $A$2:$A8832+$C$2:$C8832)), "")*24*60, "")</f>
        <v/>
      </c>
      <c r="K8833" s="24" t="str" cm="1">
        <f t="array" ref="K8833">IFERROR(IF($B8833=K$1, ($A8833+$C8833) - MAX(IF($B$2:$B8832=$B8833, $A$2:$A8832+$C$2:$C8832)), "")*24*60, "")</f>
        <v/>
      </c>
      <c r="L8833" s="24" t="str" cm="1">
        <f t="array" ref="L8833">IFERROR(IF($B8833=L$1, ($A8833+$C8833) - MAX(IF($B$2:$B8832=$B8833, $A$2:$A8832+$C$2:$C8832)), "")*24*60, "")</f>
        <v/>
      </c>
      <c r="M8833" s="24" t="str" cm="1">
        <f t="array" ref="M8833">IFERROR(IF($B8833=M$1, ($A8833+$C8833) - MAX(IF($B$2:$B8832=$B8833, $A$2:$A8832+$C$2:$C8832)), "")*24*60, "")</f>
        <v/>
      </c>
      <c r="N8833" s="24" t="str" cm="1">
        <f t="array" ref="N8833">IFERROR(IF($B8833=N$1, ($A8833+$C8833) - MAX(IF($B$2:$B8832=$B8833, $A$2:$A8832+$C$2:$C8832)), "")*24*60, "")</f>
        <v/>
      </c>
      <c r="O8833" s="24" t="str" cm="1">
        <f t="array" ref="O8833">IFERROR(IF($B8833=O$1, ($A8833+$C8833) - MAX(IF($B$2:$B8832=$B8833, $A$2:$A8832+$C$2:$C8832)), "")*24*60, "")</f>
        <v/>
      </c>
      <c r="P8833" s="24" t="str" cm="1">
        <f t="array" ref="P8833">IFERROR(IF($B8833=P$1, ($A8833+$C8833) - MAX(IF($B$2:$B8832=$B8833, $A$2:$A8832+$C$2:$C8832)), "")*24*60, "")</f>
        <v/>
      </c>
      <c r="Q8833" s="24" t="str" cm="1">
        <f t="array" ref="Q8833">IFERROR(IF($B8833=Q$1, ($A8833+$C8833) - MAX(IF($B$2:$B8832=$B8833, $A$2:$A8832+$C$2:$C8832)), "")*24*60, "")</f>
        <v/>
      </c>
      <c r="R8833" s="24" t="str" cm="1">
        <f t="array" ref="R8833">IFERROR(IF($B8833=R$1, ($A8833+$C8833) - MAX(IF($B$2:$B8832=$B8833, $A$2:$A8832+$C$2:$C8832)), "")*24*60, "")</f>
        <v/>
      </c>
      <c r="S8833" s="24" t="str" cm="1">
        <f t="array" ref="S8833">IFERROR(IF($B8833=S$1, ($A8833+$C8833) - MAX(IF($B$2:$B8832=$B8833, $A$2:$A8832+$C$2:$C8832)), "")*24*60, "")</f>
        <v/>
      </c>
    </row>
    <row r="8834" spans="1:19" x14ac:dyDescent="0.2">
      <c r="A8834" s="12">
        <f t="shared" ref="A8834:C8834" si="1437">A8833</f>
        <v>46037</v>
      </c>
      <c r="B8834" s="5" t="str">
        <f t="shared" si="1437"/>
        <v>Northern Cardinal</v>
      </c>
      <c r="C8834" s="6">
        <f t="shared" si="1437"/>
        <v>0.74861111111111112</v>
      </c>
      <c r="D8834" s="5"/>
      <c r="E8834" s="5"/>
      <c r="F8834" s="5" t="s">
        <v>9</v>
      </c>
      <c r="G8834" s="15" t="s">
        <v>8</v>
      </c>
      <c r="H8834" s="24">
        <f t="shared" si="1412"/>
        <v>0</v>
      </c>
      <c r="I8834" s="24" cm="1">
        <f t="array" ref="I8834">IFERROR(IF($B8834=I$1, ($A8834+$C8834) - MAX(IF($B$2:$B8833=$B8834, $A$2:$A8833+$C$2:$C8833)), "")*24*60, "")</f>
        <v>0</v>
      </c>
      <c r="J8834" s="24" t="str" cm="1">
        <f t="array" ref="J8834">IFERROR(IF($B8834=J$1, ($A8834+$C8834) - MAX(IF($B$2:$B8833=$B8834, $A$2:$A8833+$C$2:$C8833)), "")*24*60, "")</f>
        <v/>
      </c>
      <c r="K8834" s="24" t="str" cm="1">
        <f t="array" ref="K8834">IFERROR(IF($B8834=K$1, ($A8834+$C8834) - MAX(IF($B$2:$B8833=$B8834, $A$2:$A8833+$C$2:$C8833)), "")*24*60, "")</f>
        <v/>
      </c>
      <c r="L8834" s="24" t="str" cm="1">
        <f t="array" ref="L8834">IFERROR(IF($B8834=L$1, ($A8834+$C8834) - MAX(IF($B$2:$B8833=$B8834, $A$2:$A8833+$C$2:$C8833)), "")*24*60, "")</f>
        <v/>
      </c>
      <c r="M8834" s="24" t="str" cm="1">
        <f t="array" ref="M8834">IFERROR(IF($B8834=M$1, ($A8834+$C8834) - MAX(IF($B$2:$B8833=$B8834, $A$2:$A8833+$C$2:$C8833)), "")*24*60, "")</f>
        <v/>
      </c>
      <c r="N8834" s="24" t="str" cm="1">
        <f t="array" ref="N8834">IFERROR(IF($B8834=N$1, ($A8834+$C8834) - MAX(IF($B$2:$B8833=$B8834, $A$2:$A8833+$C$2:$C8833)), "")*24*60, "")</f>
        <v/>
      </c>
      <c r="O8834" s="24" t="str" cm="1">
        <f t="array" ref="O8834">IFERROR(IF($B8834=O$1, ($A8834+$C8834) - MAX(IF($B$2:$B8833=$B8834, $A$2:$A8833+$C$2:$C8833)), "")*24*60, "")</f>
        <v/>
      </c>
      <c r="P8834" s="24" t="str" cm="1">
        <f t="array" ref="P8834">IFERROR(IF($B8834=P$1, ($A8834+$C8834) - MAX(IF($B$2:$B8833=$B8834, $A$2:$A8833+$C$2:$C8833)), "")*24*60, "")</f>
        <v/>
      </c>
      <c r="Q8834" s="24" t="str" cm="1">
        <f t="array" ref="Q8834">IFERROR(IF($B8834=Q$1, ($A8834+$C8834) - MAX(IF($B$2:$B8833=$B8834, $A$2:$A8833+$C$2:$C8833)), "")*24*60, "")</f>
        <v/>
      </c>
      <c r="R8834" s="24" t="str" cm="1">
        <f t="array" ref="R8834">IFERROR(IF($B8834=R$1, ($A8834+$C8834) - MAX(IF($B$2:$B8833=$B8834, $A$2:$A8833+$C$2:$C8833)), "")*24*60, "")</f>
        <v/>
      </c>
      <c r="S8834" s="24" t="str" cm="1">
        <f t="array" ref="S8834">IFERROR(IF($B8834=S$1, ($A8834+$C8834) - MAX(IF($B$2:$B8833=$B8834, $A$2:$A8833+$C$2:$C8833)), "")*24*60, "")</f>
        <v/>
      </c>
    </row>
    <row r="8835" spans="1:19" x14ac:dyDescent="0.2">
      <c r="A8835" s="12">
        <f t="shared" ref="A8835:C8835" si="1438">A8834</f>
        <v>46037</v>
      </c>
      <c r="B8835" s="5" t="str">
        <f t="shared" si="1438"/>
        <v>Northern Cardinal</v>
      </c>
      <c r="C8835" s="6">
        <f t="shared" si="1438"/>
        <v>0.74861111111111112</v>
      </c>
      <c r="D8835" s="5"/>
      <c r="E8835" s="5"/>
      <c r="F8835" s="5" t="s">
        <v>9</v>
      </c>
      <c r="G8835" s="15" t="s">
        <v>8</v>
      </c>
      <c r="H8835" s="24">
        <f t="shared" si="1412"/>
        <v>0</v>
      </c>
      <c r="I8835" s="24" cm="1">
        <f t="array" ref="I8835">IFERROR(IF($B8835=I$1, ($A8835+$C8835) - MAX(IF($B$2:$B8834=$B8835, $A$2:$A8834+$C$2:$C8834)), "")*24*60, "")</f>
        <v>0</v>
      </c>
      <c r="J8835" s="24" t="str" cm="1">
        <f t="array" ref="J8835">IFERROR(IF($B8835=J$1, ($A8835+$C8835) - MAX(IF($B$2:$B8834=$B8835, $A$2:$A8834+$C$2:$C8834)), "")*24*60, "")</f>
        <v/>
      </c>
      <c r="K8835" s="24" t="str" cm="1">
        <f t="array" ref="K8835">IFERROR(IF($B8835=K$1, ($A8835+$C8835) - MAX(IF($B$2:$B8834=$B8835, $A$2:$A8834+$C$2:$C8834)), "")*24*60, "")</f>
        <v/>
      </c>
      <c r="L8835" s="24" t="str" cm="1">
        <f t="array" ref="L8835">IFERROR(IF($B8835=L$1, ($A8835+$C8835) - MAX(IF($B$2:$B8834=$B8835, $A$2:$A8834+$C$2:$C8834)), "")*24*60, "")</f>
        <v/>
      </c>
      <c r="M8835" s="24" t="str" cm="1">
        <f t="array" ref="M8835">IFERROR(IF($B8835=M$1, ($A8835+$C8835) - MAX(IF($B$2:$B8834=$B8835, $A$2:$A8834+$C$2:$C8834)), "")*24*60, "")</f>
        <v/>
      </c>
      <c r="N8835" s="24" t="str" cm="1">
        <f t="array" ref="N8835">IFERROR(IF($B8835=N$1, ($A8835+$C8835) - MAX(IF($B$2:$B8834=$B8835, $A$2:$A8834+$C$2:$C8834)), "")*24*60, "")</f>
        <v/>
      </c>
      <c r="O8835" s="24" t="str" cm="1">
        <f t="array" ref="O8835">IFERROR(IF($B8835=O$1, ($A8835+$C8835) - MAX(IF($B$2:$B8834=$B8835, $A$2:$A8834+$C$2:$C8834)), "")*24*60, "")</f>
        <v/>
      </c>
      <c r="P8835" s="24" t="str" cm="1">
        <f t="array" ref="P8835">IFERROR(IF($B8835=P$1, ($A8835+$C8835) - MAX(IF($B$2:$B8834=$B8835, $A$2:$A8834+$C$2:$C8834)), "")*24*60, "")</f>
        <v/>
      </c>
      <c r="Q8835" s="24" t="str" cm="1">
        <f t="array" ref="Q8835">IFERROR(IF($B8835=Q$1, ($A8835+$C8835) - MAX(IF($B$2:$B8834=$B8835, $A$2:$A8834+$C$2:$C8834)), "")*24*60, "")</f>
        <v/>
      </c>
      <c r="R8835" s="24" t="str" cm="1">
        <f t="array" ref="R8835">IFERROR(IF($B8835=R$1, ($A8835+$C8835) - MAX(IF($B$2:$B8834=$B8835, $A$2:$A8834+$C$2:$C8834)), "")*24*60, "")</f>
        <v/>
      </c>
      <c r="S8835" s="24" t="str" cm="1">
        <f t="array" ref="S8835">IFERROR(IF($B8835=S$1, ($A8835+$C8835) - MAX(IF($B$2:$B8834=$B8835, $A$2:$A8834+$C$2:$C8834)), "")*24*60, "")</f>
        <v/>
      </c>
    </row>
    <row r="8836" spans="1:19" x14ac:dyDescent="0.2">
      <c r="A8836" s="12">
        <f t="shared" ref="A8836:C8836" si="1439">A8835</f>
        <v>46037</v>
      </c>
      <c r="B8836" s="5" t="str">
        <f t="shared" si="1439"/>
        <v>Northern Cardinal</v>
      </c>
      <c r="C8836" s="6">
        <f t="shared" si="1439"/>
        <v>0.74861111111111112</v>
      </c>
      <c r="D8836" s="5"/>
      <c r="E8836" s="5"/>
      <c r="F8836" s="5" t="s">
        <v>9</v>
      </c>
      <c r="G8836" s="15" t="s">
        <v>8</v>
      </c>
      <c r="H8836" s="24">
        <f t="shared" si="1412"/>
        <v>0</v>
      </c>
      <c r="I8836" s="24" cm="1">
        <f t="array" ref="I8836">IFERROR(IF($B8836=I$1, ($A8836+$C8836) - MAX(IF($B$2:$B8835=$B8836, $A$2:$A8835+$C$2:$C8835)), "")*24*60, "")</f>
        <v>0</v>
      </c>
      <c r="J8836" s="24" t="str" cm="1">
        <f t="array" ref="J8836">IFERROR(IF($B8836=J$1, ($A8836+$C8836) - MAX(IF($B$2:$B8835=$B8836, $A$2:$A8835+$C$2:$C8835)), "")*24*60, "")</f>
        <v/>
      </c>
      <c r="K8836" s="24" t="str" cm="1">
        <f t="array" ref="K8836">IFERROR(IF($B8836=K$1, ($A8836+$C8836) - MAX(IF($B$2:$B8835=$B8836, $A$2:$A8835+$C$2:$C8835)), "")*24*60, "")</f>
        <v/>
      </c>
      <c r="L8836" s="24" t="str" cm="1">
        <f t="array" ref="L8836">IFERROR(IF($B8836=L$1, ($A8836+$C8836) - MAX(IF($B$2:$B8835=$B8836, $A$2:$A8835+$C$2:$C8835)), "")*24*60, "")</f>
        <v/>
      </c>
      <c r="M8836" s="24" t="str" cm="1">
        <f t="array" ref="M8836">IFERROR(IF($B8836=M$1, ($A8836+$C8836) - MAX(IF($B$2:$B8835=$B8836, $A$2:$A8835+$C$2:$C8835)), "")*24*60, "")</f>
        <v/>
      </c>
      <c r="N8836" s="24" t="str" cm="1">
        <f t="array" ref="N8836">IFERROR(IF($B8836=N$1, ($A8836+$C8836) - MAX(IF($B$2:$B8835=$B8836, $A$2:$A8835+$C$2:$C8835)), "")*24*60, "")</f>
        <v/>
      </c>
      <c r="O8836" s="24" t="str" cm="1">
        <f t="array" ref="O8836">IFERROR(IF($B8836=O$1, ($A8836+$C8836) - MAX(IF($B$2:$B8835=$B8836, $A$2:$A8835+$C$2:$C8835)), "")*24*60, "")</f>
        <v/>
      </c>
      <c r="P8836" s="24" t="str" cm="1">
        <f t="array" ref="P8836">IFERROR(IF($B8836=P$1, ($A8836+$C8836) - MAX(IF($B$2:$B8835=$B8836, $A$2:$A8835+$C$2:$C8835)), "")*24*60, "")</f>
        <v/>
      </c>
      <c r="Q8836" s="24" t="str" cm="1">
        <f t="array" ref="Q8836">IFERROR(IF($B8836=Q$1, ($A8836+$C8836) - MAX(IF($B$2:$B8835=$B8836, $A$2:$A8835+$C$2:$C8835)), "")*24*60, "")</f>
        <v/>
      </c>
      <c r="R8836" s="24" t="str" cm="1">
        <f t="array" ref="R8836">IFERROR(IF($B8836=R$1, ($A8836+$C8836) - MAX(IF($B$2:$B8835=$B8836, $A$2:$A8835+$C$2:$C8835)), "")*24*60, "")</f>
        <v/>
      </c>
      <c r="S8836" s="24" t="str" cm="1">
        <f t="array" ref="S8836">IFERROR(IF($B8836=S$1, ($A8836+$C8836) - MAX(IF($B$2:$B8835=$B8836, $A$2:$A8835+$C$2:$C8835)), "")*24*60, "")</f>
        <v/>
      </c>
    </row>
    <row r="8837" spans="1:19" x14ac:dyDescent="0.2">
      <c r="A8837" s="12">
        <f t="shared" ref="A8837:C8837" si="1440">A8836</f>
        <v>46037</v>
      </c>
      <c r="B8837" s="5" t="str">
        <f t="shared" si="1440"/>
        <v>Northern Cardinal</v>
      </c>
      <c r="C8837" s="6">
        <f t="shared" si="1440"/>
        <v>0.74861111111111112</v>
      </c>
      <c r="D8837" s="5"/>
      <c r="E8837" s="5"/>
      <c r="F8837" s="5" t="s">
        <v>9</v>
      </c>
      <c r="G8837" s="15" t="s">
        <v>8</v>
      </c>
      <c r="H8837" s="24">
        <f t="shared" si="1412"/>
        <v>0</v>
      </c>
      <c r="I8837" s="24" cm="1">
        <f t="array" ref="I8837">IFERROR(IF($B8837=I$1, ($A8837+$C8837) - MAX(IF($B$2:$B8836=$B8837, $A$2:$A8836+$C$2:$C8836)), "")*24*60, "")</f>
        <v>0</v>
      </c>
      <c r="J8837" s="24" t="str" cm="1">
        <f t="array" ref="J8837">IFERROR(IF($B8837=J$1, ($A8837+$C8837) - MAX(IF($B$2:$B8836=$B8837, $A$2:$A8836+$C$2:$C8836)), "")*24*60, "")</f>
        <v/>
      </c>
      <c r="K8837" s="24" t="str" cm="1">
        <f t="array" ref="K8837">IFERROR(IF($B8837=K$1, ($A8837+$C8837) - MAX(IF($B$2:$B8836=$B8837, $A$2:$A8836+$C$2:$C8836)), "")*24*60, "")</f>
        <v/>
      </c>
      <c r="L8837" s="24" t="str" cm="1">
        <f t="array" ref="L8837">IFERROR(IF($B8837=L$1, ($A8837+$C8837) - MAX(IF($B$2:$B8836=$B8837, $A$2:$A8836+$C$2:$C8836)), "")*24*60, "")</f>
        <v/>
      </c>
      <c r="M8837" s="24" t="str" cm="1">
        <f t="array" ref="M8837">IFERROR(IF($B8837=M$1, ($A8837+$C8837) - MAX(IF($B$2:$B8836=$B8837, $A$2:$A8836+$C$2:$C8836)), "")*24*60, "")</f>
        <v/>
      </c>
      <c r="N8837" s="24" t="str" cm="1">
        <f t="array" ref="N8837">IFERROR(IF($B8837=N$1, ($A8837+$C8837) - MAX(IF($B$2:$B8836=$B8837, $A$2:$A8836+$C$2:$C8836)), "")*24*60, "")</f>
        <v/>
      </c>
      <c r="O8837" s="24" t="str" cm="1">
        <f t="array" ref="O8837">IFERROR(IF($B8837=O$1, ($A8837+$C8837) - MAX(IF($B$2:$B8836=$B8837, $A$2:$A8836+$C$2:$C8836)), "")*24*60, "")</f>
        <v/>
      </c>
      <c r="P8837" s="24" t="str" cm="1">
        <f t="array" ref="P8837">IFERROR(IF($B8837=P$1, ($A8837+$C8837) - MAX(IF($B$2:$B8836=$B8837, $A$2:$A8836+$C$2:$C8836)), "")*24*60, "")</f>
        <v/>
      </c>
      <c r="Q8837" s="24" t="str" cm="1">
        <f t="array" ref="Q8837">IFERROR(IF($B8837=Q$1, ($A8837+$C8837) - MAX(IF($B$2:$B8836=$B8837, $A$2:$A8836+$C$2:$C8836)), "")*24*60, "")</f>
        <v/>
      </c>
      <c r="R8837" s="24" t="str" cm="1">
        <f t="array" ref="R8837">IFERROR(IF($B8837=R$1, ($A8837+$C8837) - MAX(IF($B$2:$B8836=$B8837, $A$2:$A8836+$C$2:$C8836)), "")*24*60, "")</f>
        <v/>
      </c>
      <c r="S8837" s="24" t="str" cm="1">
        <f t="array" ref="S8837">IFERROR(IF($B8837=S$1, ($A8837+$C8837) - MAX(IF($B$2:$B8836=$B8837, $A$2:$A8836+$C$2:$C8836)), "")*24*60, "")</f>
        <v/>
      </c>
    </row>
    <row r="8838" spans="1:19" x14ac:dyDescent="0.2">
      <c r="A8838" s="12">
        <f t="shared" ref="A8838:C8838" si="1441">A8837</f>
        <v>46037</v>
      </c>
      <c r="B8838" s="5" t="str">
        <f t="shared" si="1441"/>
        <v>Northern Cardinal</v>
      </c>
      <c r="C8838" s="6">
        <f t="shared" si="1441"/>
        <v>0.74861111111111112</v>
      </c>
      <c r="D8838" s="5"/>
      <c r="E8838" s="5"/>
      <c r="F8838" s="5" t="s">
        <v>9</v>
      </c>
      <c r="G8838" s="15" t="s">
        <v>8</v>
      </c>
      <c r="H8838" s="24">
        <f t="shared" si="1412"/>
        <v>0</v>
      </c>
      <c r="I8838" s="24" cm="1">
        <f t="array" ref="I8838">IFERROR(IF($B8838=I$1, ($A8838+$C8838) - MAX(IF($B$2:$B8837=$B8838, $A$2:$A8837+$C$2:$C8837)), "")*24*60, "")</f>
        <v>0</v>
      </c>
      <c r="J8838" s="24" t="str" cm="1">
        <f t="array" ref="J8838">IFERROR(IF($B8838=J$1, ($A8838+$C8838) - MAX(IF($B$2:$B8837=$B8838, $A$2:$A8837+$C$2:$C8837)), "")*24*60, "")</f>
        <v/>
      </c>
      <c r="K8838" s="24" t="str" cm="1">
        <f t="array" ref="K8838">IFERROR(IF($B8838=K$1, ($A8838+$C8838) - MAX(IF($B$2:$B8837=$B8838, $A$2:$A8837+$C$2:$C8837)), "")*24*60, "")</f>
        <v/>
      </c>
      <c r="L8838" s="24" t="str" cm="1">
        <f t="array" ref="L8838">IFERROR(IF($B8838=L$1, ($A8838+$C8838) - MAX(IF($B$2:$B8837=$B8838, $A$2:$A8837+$C$2:$C8837)), "")*24*60, "")</f>
        <v/>
      </c>
      <c r="M8838" s="24" t="str" cm="1">
        <f t="array" ref="M8838">IFERROR(IF($B8838=M$1, ($A8838+$C8838) - MAX(IF($B$2:$B8837=$B8838, $A$2:$A8837+$C$2:$C8837)), "")*24*60, "")</f>
        <v/>
      </c>
      <c r="N8838" s="24" t="str" cm="1">
        <f t="array" ref="N8838">IFERROR(IF($B8838=N$1, ($A8838+$C8838) - MAX(IF($B$2:$B8837=$B8838, $A$2:$A8837+$C$2:$C8837)), "")*24*60, "")</f>
        <v/>
      </c>
      <c r="O8838" s="24" t="str" cm="1">
        <f t="array" ref="O8838">IFERROR(IF($B8838=O$1, ($A8838+$C8838) - MAX(IF($B$2:$B8837=$B8838, $A$2:$A8837+$C$2:$C8837)), "")*24*60, "")</f>
        <v/>
      </c>
      <c r="P8838" s="24" t="str" cm="1">
        <f t="array" ref="P8838">IFERROR(IF($B8838=P$1, ($A8838+$C8838) - MAX(IF($B$2:$B8837=$B8838, $A$2:$A8837+$C$2:$C8837)), "")*24*60, "")</f>
        <v/>
      </c>
      <c r="Q8838" s="24" t="str" cm="1">
        <f t="array" ref="Q8838">IFERROR(IF($B8838=Q$1, ($A8838+$C8838) - MAX(IF($B$2:$B8837=$B8838, $A$2:$A8837+$C$2:$C8837)), "")*24*60, "")</f>
        <v/>
      </c>
      <c r="R8838" s="24" t="str" cm="1">
        <f t="array" ref="R8838">IFERROR(IF($B8838=R$1, ($A8838+$C8838) - MAX(IF($B$2:$B8837=$B8838, $A$2:$A8837+$C$2:$C8837)), "")*24*60, "")</f>
        <v/>
      </c>
      <c r="S8838" s="24" t="str" cm="1">
        <f t="array" ref="S8838">IFERROR(IF($B8838=S$1, ($A8838+$C8838) - MAX(IF($B$2:$B8837=$B8838, $A$2:$A8837+$C$2:$C8837)), "")*24*60, "")</f>
        <v/>
      </c>
    </row>
    <row r="8839" spans="1:19" x14ac:dyDescent="0.2">
      <c r="A8839" s="12">
        <f t="shared" ref="A8839:C8839" si="1442">A8838</f>
        <v>46037</v>
      </c>
      <c r="B8839" s="5" t="str">
        <f t="shared" si="1442"/>
        <v>Northern Cardinal</v>
      </c>
      <c r="C8839" s="6">
        <f t="shared" si="1442"/>
        <v>0.74861111111111112</v>
      </c>
      <c r="D8839" s="5"/>
      <c r="E8839" s="5"/>
      <c r="F8839" s="5" t="s">
        <v>9</v>
      </c>
      <c r="G8839" s="15" t="s">
        <v>8</v>
      </c>
      <c r="H8839" s="24">
        <f t="shared" si="1412"/>
        <v>0</v>
      </c>
      <c r="I8839" s="24" cm="1">
        <f t="array" ref="I8839">IFERROR(IF($B8839=I$1, ($A8839+$C8839) - MAX(IF($B$2:$B8838=$B8839, $A$2:$A8838+$C$2:$C8838)), "")*24*60, "")</f>
        <v>0</v>
      </c>
      <c r="J8839" s="24" t="str" cm="1">
        <f t="array" ref="J8839">IFERROR(IF($B8839=J$1, ($A8839+$C8839) - MAX(IF($B$2:$B8838=$B8839, $A$2:$A8838+$C$2:$C8838)), "")*24*60, "")</f>
        <v/>
      </c>
      <c r="K8839" s="24" t="str" cm="1">
        <f t="array" ref="K8839">IFERROR(IF($B8839=K$1, ($A8839+$C8839) - MAX(IF($B$2:$B8838=$B8839, $A$2:$A8838+$C$2:$C8838)), "")*24*60, "")</f>
        <v/>
      </c>
      <c r="L8839" s="24" t="str" cm="1">
        <f t="array" ref="L8839">IFERROR(IF($B8839=L$1, ($A8839+$C8839) - MAX(IF($B$2:$B8838=$B8839, $A$2:$A8838+$C$2:$C8838)), "")*24*60, "")</f>
        <v/>
      </c>
      <c r="M8839" s="24" t="str" cm="1">
        <f t="array" ref="M8839">IFERROR(IF($B8839=M$1, ($A8839+$C8839) - MAX(IF($B$2:$B8838=$B8839, $A$2:$A8838+$C$2:$C8838)), "")*24*60, "")</f>
        <v/>
      </c>
      <c r="N8839" s="24" t="str" cm="1">
        <f t="array" ref="N8839">IFERROR(IF($B8839=N$1, ($A8839+$C8839) - MAX(IF($B$2:$B8838=$B8839, $A$2:$A8838+$C$2:$C8838)), "")*24*60, "")</f>
        <v/>
      </c>
      <c r="O8839" s="24" t="str" cm="1">
        <f t="array" ref="O8839">IFERROR(IF($B8839=O$1, ($A8839+$C8839) - MAX(IF($B$2:$B8838=$B8839, $A$2:$A8838+$C$2:$C8838)), "")*24*60, "")</f>
        <v/>
      </c>
      <c r="P8839" s="24" t="str" cm="1">
        <f t="array" ref="P8839">IFERROR(IF($B8839=P$1, ($A8839+$C8839) - MAX(IF($B$2:$B8838=$B8839, $A$2:$A8838+$C$2:$C8838)), "")*24*60, "")</f>
        <v/>
      </c>
      <c r="Q8839" s="24" t="str" cm="1">
        <f t="array" ref="Q8839">IFERROR(IF($B8839=Q$1, ($A8839+$C8839) - MAX(IF($B$2:$B8838=$B8839, $A$2:$A8838+$C$2:$C8838)), "")*24*60, "")</f>
        <v/>
      </c>
      <c r="R8839" s="24" t="str" cm="1">
        <f t="array" ref="R8839">IFERROR(IF($B8839=R$1, ($A8839+$C8839) - MAX(IF($B$2:$B8838=$B8839, $A$2:$A8838+$C$2:$C8838)), "")*24*60, "")</f>
        <v/>
      </c>
      <c r="S8839" s="24" t="str" cm="1">
        <f t="array" ref="S8839">IFERROR(IF($B8839=S$1, ($A8839+$C8839) - MAX(IF($B$2:$B8838=$B8839, $A$2:$A8838+$C$2:$C8838)), "")*24*60, "")</f>
        <v/>
      </c>
    </row>
    <row r="8840" spans="1:19" x14ac:dyDescent="0.2">
      <c r="A8840" s="12">
        <f t="shared" ref="A8840:C8840" si="1443">A8839</f>
        <v>46037</v>
      </c>
      <c r="B8840" s="5" t="str">
        <f t="shared" si="1443"/>
        <v>Northern Cardinal</v>
      </c>
      <c r="C8840" s="6">
        <f t="shared" si="1443"/>
        <v>0.74861111111111112</v>
      </c>
      <c r="D8840" s="5"/>
      <c r="E8840" s="5"/>
      <c r="F8840" s="5" t="s">
        <v>9</v>
      </c>
      <c r="G8840" s="15" t="s">
        <v>8</v>
      </c>
      <c r="H8840" s="24">
        <f t="shared" si="1412"/>
        <v>0</v>
      </c>
      <c r="I8840" s="24" cm="1">
        <f t="array" ref="I8840">IFERROR(IF($B8840=I$1, ($A8840+$C8840) - MAX(IF($B$2:$B8839=$B8840, $A$2:$A8839+$C$2:$C8839)), "")*24*60, "")</f>
        <v>0</v>
      </c>
      <c r="J8840" s="24" t="str" cm="1">
        <f t="array" ref="J8840">IFERROR(IF($B8840=J$1, ($A8840+$C8840) - MAX(IF($B$2:$B8839=$B8840, $A$2:$A8839+$C$2:$C8839)), "")*24*60, "")</f>
        <v/>
      </c>
      <c r="K8840" s="24" t="str" cm="1">
        <f t="array" ref="K8840">IFERROR(IF($B8840=K$1, ($A8840+$C8840) - MAX(IF($B$2:$B8839=$B8840, $A$2:$A8839+$C$2:$C8839)), "")*24*60, "")</f>
        <v/>
      </c>
      <c r="L8840" s="24" t="str" cm="1">
        <f t="array" ref="L8840">IFERROR(IF($B8840=L$1, ($A8840+$C8840) - MAX(IF($B$2:$B8839=$B8840, $A$2:$A8839+$C$2:$C8839)), "")*24*60, "")</f>
        <v/>
      </c>
      <c r="M8840" s="24" t="str" cm="1">
        <f t="array" ref="M8840">IFERROR(IF($B8840=M$1, ($A8840+$C8840) - MAX(IF($B$2:$B8839=$B8840, $A$2:$A8839+$C$2:$C8839)), "")*24*60, "")</f>
        <v/>
      </c>
      <c r="N8840" s="24" t="str" cm="1">
        <f t="array" ref="N8840">IFERROR(IF($B8840=N$1, ($A8840+$C8840) - MAX(IF($B$2:$B8839=$B8840, $A$2:$A8839+$C$2:$C8839)), "")*24*60, "")</f>
        <v/>
      </c>
      <c r="O8840" s="24" t="str" cm="1">
        <f t="array" ref="O8840">IFERROR(IF($B8840=O$1, ($A8840+$C8840) - MAX(IF($B$2:$B8839=$B8840, $A$2:$A8839+$C$2:$C8839)), "")*24*60, "")</f>
        <v/>
      </c>
      <c r="P8840" s="24" t="str" cm="1">
        <f t="array" ref="P8840">IFERROR(IF($B8840=P$1, ($A8840+$C8840) - MAX(IF($B$2:$B8839=$B8840, $A$2:$A8839+$C$2:$C8839)), "")*24*60, "")</f>
        <v/>
      </c>
      <c r="Q8840" s="24" t="str" cm="1">
        <f t="array" ref="Q8840">IFERROR(IF($B8840=Q$1, ($A8840+$C8840) - MAX(IF($B$2:$B8839=$B8840, $A$2:$A8839+$C$2:$C8839)), "")*24*60, "")</f>
        <v/>
      </c>
      <c r="R8840" s="24" t="str" cm="1">
        <f t="array" ref="R8840">IFERROR(IF($B8840=R$1, ($A8840+$C8840) - MAX(IF($B$2:$B8839=$B8840, $A$2:$A8839+$C$2:$C8839)), "")*24*60, "")</f>
        <v/>
      </c>
      <c r="S8840" s="24" t="str" cm="1">
        <f t="array" ref="S8840">IFERROR(IF($B8840=S$1, ($A8840+$C8840) - MAX(IF($B$2:$B8839=$B8840, $A$2:$A8839+$C$2:$C8839)), "")*24*60, "")</f>
        <v/>
      </c>
    </row>
    <row r="8841" spans="1:19" x14ac:dyDescent="0.2">
      <c r="A8841" s="12">
        <f t="shared" ref="A8841:C8841" si="1444">A8840</f>
        <v>46037</v>
      </c>
      <c r="B8841" s="5" t="str">
        <f t="shared" si="1444"/>
        <v>Northern Cardinal</v>
      </c>
      <c r="C8841" s="6">
        <f t="shared" si="1444"/>
        <v>0.74861111111111112</v>
      </c>
      <c r="D8841" s="5"/>
      <c r="E8841" s="5"/>
      <c r="F8841" s="5" t="s">
        <v>9</v>
      </c>
      <c r="G8841" s="15" t="s">
        <v>8</v>
      </c>
      <c r="H8841" s="24">
        <f t="shared" si="1412"/>
        <v>0</v>
      </c>
      <c r="I8841" s="24" cm="1">
        <f t="array" ref="I8841">IFERROR(IF($B8841=I$1, ($A8841+$C8841) - MAX(IF($B$2:$B8840=$B8841, $A$2:$A8840+$C$2:$C8840)), "")*24*60, "")</f>
        <v>0</v>
      </c>
      <c r="J8841" s="24" t="str" cm="1">
        <f t="array" ref="J8841">IFERROR(IF($B8841=J$1, ($A8841+$C8841) - MAX(IF($B$2:$B8840=$B8841, $A$2:$A8840+$C$2:$C8840)), "")*24*60, "")</f>
        <v/>
      </c>
      <c r="K8841" s="24" t="str" cm="1">
        <f t="array" ref="K8841">IFERROR(IF($B8841=K$1, ($A8841+$C8841) - MAX(IF($B$2:$B8840=$B8841, $A$2:$A8840+$C$2:$C8840)), "")*24*60, "")</f>
        <v/>
      </c>
      <c r="L8841" s="24" t="str" cm="1">
        <f t="array" ref="L8841">IFERROR(IF($B8841=L$1, ($A8841+$C8841) - MAX(IF($B$2:$B8840=$B8841, $A$2:$A8840+$C$2:$C8840)), "")*24*60, "")</f>
        <v/>
      </c>
      <c r="M8841" s="24" t="str" cm="1">
        <f t="array" ref="M8841">IFERROR(IF($B8841=M$1, ($A8841+$C8841) - MAX(IF($B$2:$B8840=$B8841, $A$2:$A8840+$C$2:$C8840)), "")*24*60, "")</f>
        <v/>
      </c>
      <c r="N8841" s="24" t="str" cm="1">
        <f t="array" ref="N8841">IFERROR(IF($B8841=N$1, ($A8841+$C8841) - MAX(IF($B$2:$B8840=$B8841, $A$2:$A8840+$C$2:$C8840)), "")*24*60, "")</f>
        <v/>
      </c>
      <c r="O8841" s="24" t="str" cm="1">
        <f t="array" ref="O8841">IFERROR(IF($B8841=O$1, ($A8841+$C8841) - MAX(IF($B$2:$B8840=$B8841, $A$2:$A8840+$C$2:$C8840)), "")*24*60, "")</f>
        <v/>
      </c>
      <c r="P8841" s="24" t="str" cm="1">
        <f t="array" ref="P8841">IFERROR(IF($B8841=P$1, ($A8841+$C8841) - MAX(IF($B$2:$B8840=$B8841, $A$2:$A8840+$C$2:$C8840)), "")*24*60, "")</f>
        <v/>
      </c>
      <c r="Q8841" s="24" t="str" cm="1">
        <f t="array" ref="Q8841">IFERROR(IF($B8841=Q$1, ($A8841+$C8841) - MAX(IF($B$2:$B8840=$B8841, $A$2:$A8840+$C$2:$C8840)), "")*24*60, "")</f>
        <v/>
      </c>
      <c r="R8841" s="24" t="str" cm="1">
        <f t="array" ref="R8841">IFERROR(IF($B8841=R$1, ($A8841+$C8841) - MAX(IF($B$2:$B8840=$B8841, $A$2:$A8840+$C$2:$C8840)), "")*24*60, "")</f>
        <v/>
      </c>
      <c r="S8841" s="24" t="str" cm="1">
        <f t="array" ref="S8841">IFERROR(IF($B8841=S$1, ($A8841+$C8841) - MAX(IF($B$2:$B8840=$B8841, $A$2:$A8840+$C$2:$C8840)), "")*24*60, "")</f>
        <v/>
      </c>
    </row>
    <row r="8842" spans="1:19" x14ac:dyDescent="0.2">
      <c r="A8842" s="12">
        <f t="shared" ref="A8842:C8842" si="1445">A8841</f>
        <v>46037</v>
      </c>
      <c r="B8842" s="5" t="str">
        <f t="shared" si="1445"/>
        <v>Northern Cardinal</v>
      </c>
      <c r="C8842" s="6">
        <f t="shared" si="1445"/>
        <v>0.74861111111111112</v>
      </c>
      <c r="D8842" s="5"/>
      <c r="E8842" s="5"/>
      <c r="F8842" s="5" t="s">
        <v>9</v>
      </c>
      <c r="G8842" s="15" t="s">
        <v>8</v>
      </c>
      <c r="H8842" s="24">
        <f t="shared" si="1412"/>
        <v>0</v>
      </c>
      <c r="I8842" s="24" cm="1">
        <f t="array" ref="I8842">IFERROR(IF($B8842=I$1, ($A8842+$C8842) - MAX(IF($B$2:$B8841=$B8842, $A$2:$A8841+$C$2:$C8841)), "")*24*60, "")</f>
        <v>0</v>
      </c>
      <c r="J8842" s="24" t="str" cm="1">
        <f t="array" ref="J8842">IFERROR(IF($B8842=J$1, ($A8842+$C8842) - MAX(IF($B$2:$B8841=$B8842, $A$2:$A8841+$C$2:$C8841)), "")*24*60, "")</f>
        <v/>
      </c>
      <c r="K8842" s="24" t="str" cm="1">
        <f t="array" ref="K8842">IFERROR(IF($B8842=K$1, ($A8842+$C8842) - MAX(IF($B$2:$B8841=$B8842, $A$2:$A8841+$C$2:$C8841)), "")*24*60, "")</f>
        <v/>
      </c>
      <c r="L8842" s="24" t="str" cm="1">
        <f t="array" ref="L8842">IFERROR(IF($B8842=L$1, ($A8842+$C8842) - MAX(IF($B$2:$B8841=$B8842, $A$2:$A8841+$C$2:$C8841)), "")*24*60, "")</f>
        <v/>
      </c>
      <c r="M8842" s="24" t="str" cm="1">
        <f t="array" ref="M8842">IFERROR(IF($B8842=M$1, ($A8842+$C8842) - MAX(IF($B$2:$B8841=$B8842, $A$2:$A8841+$C$2:$C8841)), "")*24*60, "")</f>
        <v/>
      </c>
      <c r="N8842" s="24" t="str" cm="1">
        <f t="array" ref="N8842">IFERROR(IF($B8842=N$1, ($A8842+$C8842) - MAX(IF($B$2:$B8841=$B8842, $A$2:$A8841+$C$2:$C8841)), "")*24*60, "")</f>
        <v/>
      </c>
      <c r="O8842" s="24" t="str" cm="1">
        <f t="array" ref="O8842">IFERROR(IF($B8842=O$1, ($A8842+$C8842) - MAX(IF($B$2:$B8841=$B8842, $A$2:$A8841+$C$2:$C8841)), "")*24*60, "")</f>
        <v/>
      </c>
      <c r="P8842" s="24" t="str" cm="1">
        <f t="array" ref="P8842">IFERROR(IF($B8842=P$1, ($A8842+$C8842) - MAX(IF($B$2:$B8841=$B8842, $A$2:$A8841+$C$2:$C8841)), "")*24*60, "")</f>
        <v/>
      </c>
      <c r="Q8842" s="24" t="str" cm="1">
        <f t="array" ref="Q8842">IFERROR(IF($B8842=Q$1, ($A8842+$C8842) - MAX(IF($B$2:$B8841=$B8842, $A$2:$A8841+$C$2:$C8841)), "")*24*60, "")</f>
        <v/>
      </c>
      <c r="R8842" s="24" t="str" cm="1">
        <f t="array" ref="R8842">IFERROR(IF($B8842=R$1, ($A8842+$C8842) - MAX(IF($B$2:$B8841=$B8842, $A$2:$A8841+$C$2:$C8841)), "")*24*60, "")</f>
        <v/>
      </c>
      <c r="S8842" s="24" t="str" cm="1">
        <f t="array" ref="S8842">IFERROR(IF($B8842=S$1, ($A8842+$C8842) - MAX(IF($B$2:$B8841=$B8842, $A$2:$A8841+$C$2:$C8841)), "")*24*60, "")</f>
        <v/>
      </c>
    </row>
    <row r="8843" spans="1:19" x14ac:dyDescent="0.2">
      <c r="A8843" s="12">
        <f t="shared" ref="A8843:C8843" si="1446">A8842</f>
        <v>46037</v>
      </c>
      <c r="B8843" s="5" t="str">
        <f t="shared" si="1446"/>
        <v>Northern Cardinal</v>
      </c>
      <c r="C8843" s="6">
        <f t="shared" si="1446"/>
        <v>0.74861111111111112</v>
      </c>
      <c r="D8843" s="5"/>
      <c r="E8843" s="5"/>
      <c r="F8843" s="5" t="s">
        <v>9</v>
      </c>
      <c r="G8843" s="15" t="s">
        <v>8</v>
      </c>
      <c r="H8843" s="24">
        <f t="shared" si="1412"/>
        <v>0</v>
      </c>
      <c r="I8843" s="24" cm="1">
        <f t="array" ref="I8843">IFERROR(IF($B8843=I$1, ($A8843+$C8843) - MAX(IF($B$2:$B8842=$B8843, $A$2:$A8842+$C$2:$C8842)), "")*24*60, "")</f>
        <v>0</v>
      </c>
      <c r="J8843" s="24" t="str" cm="1">
        <f t="array" ref="J8843">IFERROR(IF($B8843=J$1, ($A8843+$C8843) - MAX(IF($B$2:$B8842=$B8843, $A$2:$A8842+$C$2:$C8842)), "")*24*60, "")</f>
        <v/>
      </c>
      <c r="K8843" s="24" t="str" cm="1">
        <f t="array" ref="K8843">IFERROR(IF($B8843=K$1, ($A8843+$C8843) - MAX(IF($B$2:$B8842=$B8843, $A$2:$A8842+$C$2:$C8842)), "")*24*60, "")</f>
        <v/>
      </c>
      <c r="L8843" s="24" t="str" cm="1">
        <f t="array" ref="L8843">IFERROR(IF($B8843=L$1, ($A8843+$C8843) - MAX(IF($B$2:$B8842=$B8843, $A$2:$A8842+$C$2:$C8842)), "")*24*60, "")</f>
        <v/>
      </c>
      <c r="M8843" s="24" t="str" cm="1">
        <f t="array" ref="M8843">IFERROR(IF($B8843=M$1, ($A8843+$C8843) - MAX(IF($B$2:$B8842=$B8843, $A$2:$A8842+$C$2:$C8842)), "")*24*60, "")</f>
        <v/>
      </c>
      <c r="N8843" s="24" t="str" cm="1">
        <f t="array" ref="N8843">IFERROR(IF($B8843=N$1, ($A8843+$C8843) - MAX(IF($B$2:$B8842=$B8843, $A$2:$A8842+$C$2:$C8842)), "")*24*60, "")</f>
        <v/>
      </c>
      <c r="O8843" s="24" t="str" cm="1">
        <f t="array" ref="O8843">IFERROR(IF($B8843=O$1, ($A8843+$C8843) - MAX(IF($B$2:$B8842=$B8843, $A$2:$A8842+$C$2:$C8842)), "")*24*60, "")</f>
        <v/>
      </c>
      <c r="P8843" s="24" t="str" cm="1">
        <f t="array" ref="P8843">IFERROR(IF($B8843=P$1, ($A8843+$C8843) - MAX(IF($B$2:$B8842=$B8843, $A$2:$A8842+$C$2:$C8842)), "")*24*60, "")</f>
        <v/>
      </c>
      <c r="Q8843" s="24" t="str" cm="1">
        <f t="array" ref="Q8843">IFERROR(IF($B8843=Q$1, ($A8843+$C8843) - MAX(IF($B$2:$B8842=$B8843, $A$2:$A8842+$C$2:$C8842)), "")*24*60, "")</f>
        <v/>
      </c>
      <c r="R8843" s="24" t="str" cm="1">
        <f t="array" ref="R8843">IFERROR(IF($B8843=R$1, ($A8843+$C8843) - MAX(IF($B$2:$B8842=$B8843, $A$2:$A8842+$C$2:$C8842)), "")*24*60, "")</f>
        <v/>
      </c>
      <c r="S8843" s="24" t="str" cm="1">
        <f t="array" ref="S8843">IFERROR(IF($B8843=S$1, ($A8843+$C8843) - MAX(IF($B$2:$B8842=$B8843, $A$2:$A8842+$C$2:$C8842)), "")*24*60, "")</f>
        <v/>
      </c>
    </row>
    <row r="8844" spans="1:19" x14ac:dyDescent="0.2">
      <c r="A8844" s="12">
        <f t="shared" ref="A8844:C8844" si="1447">A8843</f>
        <v>46037</v>
      </c>
      <c r="B8844" s="5" t="str">
        <f t="shared" si="1447"/>
        <v>Northern Cardinal</v>
      </c>
      <c r="C8844" s="6">
        <f t="shared" si="1447"/>
        <v>0.74861111111111112</v>
      </c>
      <c r="D8844" s="5"/>
      <c r="E8844" s="5"/>
      <c r="F8844" s="5" t="s">
        <v>9</v>
      </c>
      <c r="G8844" s="15" t="s">
        <v>8</v>
      </c>
      <c r="H8844" s="24">
        <f t="shared" si="1412"/>
        <v>0</v>
      </c>
      <c r="I8844" s="24" cm="1">
        <f t="array" ref="I8844">IFERROR(IF($B8844=I$1, ($A8844+$C8844) - MAX(IF($B$2:$B8843=$B8844, $A$2:$A8843+$C$2:$C8843)), "")*24*60, "")</f>
        <v>0</v>
      </c>
      <c r="J8844" s="24" t="str" cm="1">
        <f t="array" ref="J8844">IFERROR(IF($B8844=J$1, ($A8844+$C8844) - MAX(IF($B$2:$B8843=$B8844, $A$2:$A8843+$C$2:$C8843)), "")*24*60, "")</f>
        <v/>
      </c>
      <c r="K8844" s="24" t="str" cm="1">
        <f t="array" ref="K8844">IFERROR(IF($B8844=K$1, ($A8844+$C8844) - MAX(IF($B$2:$B8843=$B8844, $A$2:$A8843+$C$2:$C8843)), "")*24*60, "")</f>
        <v/>
      </c>
      <c r="L8844" s="24" t="str" cm="1">
        <f t="array" ref="L8844">IFERROR(IF($B8844=L$1, ($A8844+$C8844) - MAX(IF($B$2:$B8843=$B8844, $A$2:$A8843+$C$2:$C8843)), "")*24*60, "")</f>
        <v/>
      </c>
      <c r="M8844" s="24" t="str" cm="1">
        <f t="array" ref="M8844">IFERROR(IF($B8844=M$1, ($A8844+$C8844) - MAX(IF($B$2:$B8843=$B8844, $A$2:$A8843+$C$2:$C8843)), "")*24*60, "")</f>
        <v/>
      </c>
      <c r="N8844" s="24" t="str" cm="1">
        <f t="array" ref="N8844">IFERROR(IF($B8844=N$1, ($A8844+$C8844) - MAX(IF($B$2:$B8843=$B8844, $A$2:$A8843+$C$2:$C8843)), "")*24*60, "")</f>
        <v/>
      </c>
      <c r="O8844" s="24" t="str" cm="1">
        <f t="array" ref="O8844">IFERROR(IF($B8844=O$1, ($A8844+$C8844) - MAX(IF($B$2:$B8843=$B8844, $A$2:$A8843+$C$2:$C8843)), "")*24*60, "")</f>
        <v/>
      </c>
      <c r="P8844" s="24" t="str" cm="1">
        <f t="array" ref="P8844">IFERROR(IF($B8844=P$1, ($A8844+$C8844) - MAX(IF($B$2:$B8843=$B8844, $A$2:$A8843+$C$2:$C8843)), "")*24*60, "")</f>
        <v/>
      </c>
      <c r="Q8844" s="24" t="str" cm="1">
        <f t="array" ref="Q8844">IFERROR(IF($B8844=Q$1, ($A8844+$C8844) - MAX(IF($B$2:$B8843=$B8844, $A$2:$A8843+$C$2:$C8843)), "")*24*60, "")</f>
        <v/>
      </c>
      <c r="R8844" s="24" t="str" cm="1">
        <f t="array" ref="R8844">IFERROR(IF($B8844=R$1, ($A8844+$C8844) - MAX(IF($B$2:$B8843=$B8844, $A$2:$A8843+$C$2:$C8843)), "")*24*60, "")</f>
        <v/>
      </c>
      <c r="S8844" s="24" t="str" cm="1">
        <f t="array" ref="S8844">IFERROR(IF($B8844=S$1, ($A8844+$C8844) - MAX(IF($B$2:$B8843=$B8844, $A$2:$A8843+$C$2:$C8843)), "")*24*60, "")</f>
        <v/>
      </c>
    </row>
    <row r="8845" spans="1:19" x14ac:dyDescent="0.2">
      <c r="A8845" s="12">
        <f t="shared" ref="A8845:C8845" si="1448">A8844</f>
        <v>46037</v>
      </c>
      <c r="B8845" s="5" t="str">
        <f t="shared" si="1448"/>
        <v>Northern Cardinal</v>
      </c>
      <c r="C8845" s="6">
        <f t="shared" si="1448"/>
        <v>0.74861111111111112</v>
      </c>
      <c r="D8845" s="5"/>
      <c r="E8845" s="5"/>
      <c r="F8845" s="5" t="s">
        <v>9</v>
      </c>
      <c r="G8845" s="15" t="s">
        <v>8</v>
      </c>
      <c r="H8845" s="24">
        <f t="shared" si="1412"/>
        <v>0</v>
      </c>
      <c r="I8845" s="24" cm="1">
        <f t="array" ref="I8845">IFERROR(IF($B8845=I$1, ($A8845+$C8845) - MAX(IF($B$2:$B8844=$B8845, $A$2:$A8844+$C$2:$C8844)), "")*24*60, "")</f>
        <v>0</v>
      </c>
      <c r="J8845" s="24" t="str" cm="1">
        <f t="array" ref="J8845">IFERROR(IF($B8845=J$1, ($A8845+$C8845) - MAX(IF($B$2:$B8844=$B8845, $A$2:$A8844+$C$2:$C8844)), "")*24*60, "")</f>
        <v/>
      </c>
      <c r="K8845" s="24" t="str" cm="1">
        <f t="array" ref="K8845">IFERROR(IF($B8845=K$1, ($A8845+$C8845) - MAX(IF($B$2:$B8844=$B8845, $A$2:$A8844+$C$2:$C8844)), "")*24*60, "")</f>
        <v/>
      </c>
      <c r="L8845" s="24" t="str" cm="1">
        <f t="array" ref="L8845">IFERROR(IF($B8845=L$1, ($A8845+$C8845) - MAX(IF($B$2:$B8844=$B8845, $A$2:$A8844+$C$2:$C8844)), "")*24*60, "")</f>
        <v/>
      </c>
      <c r="M8845" s="24" t="str" cm="1">
        <f t="array" ref="M8845">IFERROR(IF($B8845=M$1, ($A8845+$C8845) - MAX(IF($B$2:$B8844=$B8845, $A$2:$A8844+$C$2:$C8844)), "")*24*60, "")</f>
        <v/>
      </c>
      <c r="N8845" s="24" t="str" cm="1">
        <f t="array" ref="N8845">IFERROR(IF($B8845=N$1, ($A8845+$C8845) - MAX(IF($B$2:$B8844=$B8845, $A$2:$A8844+$C$2:$C8844)), "")*24*60, "")</f>
        <v/>
      </c>
      <c r="O8845" s="24" t="str" cm="1">
        <f t="array" ref="O8845">IFERROR(IF($B8845=O$1, ($A8845+$C8845) - MAX(IF($B$2:$B8844=$B8845, $A$2:$A8844+$C$2:$C8844)), "")*24*60, "")</f>
        <v/>
      </c>
      <c r="P8845" s="24" t="str" cm="1">
        <f t="array" ref="P8845">IFERROR(IF($B8845=P$1, ($A8845+$C8845) - MAX(IF($B$2:$B8844=$B8845, $A$2:$A8844+$C$2:$C8844)), "")*24*60, "")</f>
        <v/>
      </c>
      <c r="Q8845" s="24" t="str" cm="1">
        <f t="array" ref="Q8845">IFERROR(IF($B8845=Q$1, ($A8845+$C8845) - MAX(IF($B$2:$B8844=$B8845, $A$2:$A8844+$C$2:$C8844)), "")*24*60, "")</f>
        <v/>
      </c>
      <c r="R8845" s="24" t="str" cm="1">
        <f t="array" ref="R8845">IFERROR(IF($B8845=R$1, ($A8845+$C8845) - MAX(IF($B$2:$B8844=$B8845, $A$2:$A8844+$C$2:$C8844)), "")*24*60, "")</f>
        <v/>
      </c>
      <c r="S8845" s="24" t="str" cm="1">
        <f t="array" ref="S8845">IFERROR(IF($B8845=S$1, ($A8845+$C8845) - MAX(IF($B$2:$B8844=$B8845, $A$2:$A8844+$C$2:$C8844)), "")*24*60, "")</f>
        <v/>
      </c>
    </row>
    <row r="8846" spans="1:19" x14ac:dyDescent="0.2">
      <c r="A8846" s="12">
        <f t="shared" ref="A8846:C8846" si="1449">A8845</f>
        <v>46037</v>
      </c>
      <c r="B8846" s="5" t="str">
        <f t="shared" si="1449"/>
        <v>Northern Cardinal</v>
      </c>
      <c r="C8846" s="6">
        <f t="shared" si="1449"/>
        <v>0.74861111111111112</v>
      </c>
      <c r="D8846" s="5"/>
      <c r="E8846" s="5"/>
      <c r="F8846" s="5" t="s">
        <v>9</v>
      </c>
      <c r="G8846" s="15" t="s">
        <v>8</v>
      </c>
      <c r="H8846" s="24">
        <f t="shared" si="1412"/>
        <v>0</v>
      </c>
      <c r="I8846" s="24" cm="1">
        <f t="array" ref="I8846">IFERROR(IF($B8846=I$1, ($A8846+$C8846) - MAX(IF($B$2:$B8845=$B8846, $A$2:$A8845+$C$2:$C8845)), "")*24*60, "")</f>
        <v>0</v>
      </c>
      <c r="J8846" s="24" t="str" cm="1">
        <f t="array" ref="J8846">IFERROR(IF($B8846=J$1, ($A8846+$C8846) - MAX(IF($B$2:$B8845=$B8846, $A$2:$A8845+$C$2:$C8845)), "")*24*60, "")</f>
        <v/>
      </c>
      <c r="K8846" s="24" t="str" cm="1">
        <f t="array" ref="K8846">IFERROR(IF($B8846=K$1, ($A8846+$C8846) - MAX(IF($B$2:$B8845=$B8846, $A$2:$A8845+$C$2:$C8845)), "")*24*60, "")</f>
        <v/>
      </c>
      <c r="L8846" s="24" t="str" cm="1">
        <f t="array" ref="L8846">IFERROR(IF($B8846=L$1, ($A8846+$C8846) - MAX(IF($B$2:$B8845=$B8846, $A$2:$A8845+$C$2:$C8845)), "")*24*60, "")</f>
        <v/>
      </c>
      <c r="M8846" s="24" t="str" cm="1">
        <f t="array" ref="M8846">IFERROR(IF($B8846=M$1, ($A8846+$C8846) - MAX(IF($B$2:$B8845=$B8846, $A$2:$A8845+$C$2:$C8845)), "")*24*60, "")</f>
        <v/>
      </c>
      <c r="N8846" s="24" t="str" cm="1">
        <f t="array" ref="N8846">IFERROR(IF($B8846=N$1, ($A8846+$C8846) - MAX(IF($B$2:$B8845=$B8846, $A$2:$A8845+$C$2:$C8845)), "")*24*60, "")</f>
        <v/>
      </c>
      <c r="O8846" s="24" t="str" cm="1">
        <f t="array" ref="O8846">IFERROR(IF($B8846=O$1, ($A8846+$C8846) - MAX(IF($B$2:$B8845=$B8846, $A$2:$A8845+$C$2:$C8845)), "")*24*60, "")</f>
        <v/>
      </c>
      <c r="P8846" s="24" t="str" cm="1">
        <f t="array" ref="P8846">IFERROR(IF($B8846=P$1, ($A8846+$C8846) - MAX(IF($B$2:$B8845=$B8846, $A$2:$A8845+$C$2:$C8845)), "")*24*60, "")</f>
        <v/>
      </c>
      <c r="Q8846" s="24" t="str" cm="1">
        <f t="array" ref="Q8846">IFERROR(IF($B8846=Q$1, ($A8846+$C8846) - MAX(IF($B$2:$B8845=$B8846, $A$2:$A8845+$C$2:$C8845)), "")*24*60, "")</f>
        <v/>
      </c>
      <c r="R8846" s="24" t="str" cm="1">
        <f t="array" ref="R8846">IFERROR(IF($B8846=R$1, ($A8846+$C8846) - MAX(IF($B$2:$B8845=$B8846, $A$2:$A8845+$C$2:$C8845)), "")*24*60, "")</f>
        <v/>
      </c>
      <c r="S8846" s="24" t="str" cm="1">
        <f t="array" ref="S8846">IFERROR(IF($B8846=S$1, ($A8846+$C8846) - MAX(IF($B$2:$B8845=$B8846, $A$2:$A8845+$C$2:$C8845)), "")*24*60, "")</f>
        <v/>
      </c>
    </row>
    <row r="8847" spans="1:19" x14ac:dyDescent="0.2">
      <c r="A8847" s="12">
        <f t="shared" ref="A8847:C8847" si="1450">A8846</f>
        <v>46037</v>
      </c>
      <c r="B8847" s="5" t="str">
        <f t="shared" si="1450"/>
        <v>Northern Cardinal</v>
      </c>
      <c r="C8847" s="6">
        <f t="shared" si="1450"/>
        <v>0.74861111111111112</v>
      </c>
      <c r="D8847" s="5"/>
      <c r="E8847" s="5"/>
      <c r="F8847" s="5" t="s">
        <v>9</v>
      </c>
      <c r="G8847" s="15" t="s">
        <v>8</v>
      </c>
      <c r="H8847" s="24">
        <f t="shared" si="1412"/>
        <v>0</v>
      </c>
      <c r="I8847" s="24" cm="1">
        <f t="array" ref="I8847">IFERROR(IF($B8847=I$1, ($A8847+$C8847) - MAX(IF($B$2:$B8846=$B8847, $A$2:$A8846+$C$2:$C8846)), "")*24*60, "")</f>
        <v>0</v>
      </c>
      <c r="J8847" s="24" t="str" cm="1">
        <f t="array" ref="J8847">IFERROR(IF($B8847=J$1, ($A8847+$C8847) - MAX(IF($B$2:$B8846=$B8847, $A$2:$A8846+$C$2:$C8846)), "")*24*60, "")</f>
        <v/>
      </c>
      <c r="K8847" s="24" t="str" cm="1">
        <f t="array" ref="K8847">IFERROR(IF($B8847=K$1, ($A8847+$C8847) - MAX(IF($B$2:$B8846=$B8847, $A$2:$A8846+$C$2:$C8846)), "")*24*60, "")</f>
        <v/>
      </c>
      <c r="L8847" s="24" t="str" cm="1">
        <f t="array" ref="L8847">IFERROR(IF($B8847=L$1, ($A8847+$C8847) - MAX(IF($B$2:$B8846=$B8847, $A$2:$A8846+$C$2:$C8846)), "")*24*60, "")</f>
        <v/>
      </c>
      <c r="M8847" s="24" t="str" cm="1">
        <f t="array" ref="M8847">IFERROR(IF($B8847=M$1, ($A8847+$C8847) - MAX(IF($B$2:$B8846=$B8847, $A$2:$A8846+$C$2:$C8846)), "")*24*60, "")</f>
        <v/>
      </c>
      <c r="N8847" s="24" t="str" cm="1">
        <f t="array" ref="N8847">IFERROR(IF($B8847=N$1, ($A8847+$C8847) - MAX(IF($B$2:$B8846=$B8847, $A$2:$A8846+$C$2:$C8846)), "")*24*60, "")</f>
        <v/>
      </c>
      <c r="O8847" s="24" t="str" cm="1">
        <f t="array" ref="O8847">IFERROR(IF($B8847=O$1, ($A8847+$C8847) - MAX(IF($B$2:$B8846=$B8847, $A$2:$A8846+$C$2:$C8846)), "")*24*60, "")</f>
        <v/>
      </c>
      <c r="P8847" s="24" t="str" cm="1">
        <f t="array" ref="P8847">IFERROR(IF($B8847=P$1, ($A8847+$C8847) - MAX(IF($B$2:$B8846=$B8847, $A$2:$A8846+$C$2:$C8846)), "")*24*60, "")</f>
        <v/>
      </c>
      <c r="Q8847" s="24" t="str" cm="1">
        <f t="array" ref="Q8847">IFERROR(IF($B8847=Q$1, ($A8847+$C8847) - MAX(IF($B$2:$B8846=$B8847, $A$2:$A8846+$C$2:$C8846)), "")*24*60, "")</f>
        <v/>
      </c>
      <c r="R8847" s="24" t="str" cm="1">
        <f t="array" ref="R8847">IFERROR(IF($B8847=R$1, ($A8847+$C8847) - MAX(IF($B$2:$B8846=$B8847, $A$2:$A8846+$C$2:$C8846)), "")*24*60, "")</f>
        <v/>
      </c>
      <c r="S8847" s="24" t="str" cm="1">
        <f t="array" ref="S8847">IFERROR(IF($B8847=S$1, ($A8847+$C8847) - MAX(IF($B$2:$B8846=$B8847, $A$2:$A8846+$C$2:$C8846)), "")*24*60, "")</f>
        <v/>
      </c>
    </row>
    <row r="8848" spans="1:19" x14ac:dyDescent="0.2">
      <c r="A8848" s="12">
        <f t="shared" ref="A8848:C8848" si="1451">A8847</f>
        <v>46037</v>
      </c>
      <c r="B8848" s="5" t="str">
        <f t="shared" si="1451"/>
        <v>Northern Cardinal</v>
      </c>
      <c r="C8848" s="6">
        <f t="shared" si="1451"/>
        <v>0.74861111111111112</v>
      </c>
      <c r="D8848" s="5"/>
      <c r="E8848" s="5"/>
      <c r="F8848" s="5" t="s">
        <v>9</v>
      </c>
      <c r="G8848" s="15" t="s">
        <v>8</v>
      </c>
      <c r="H8848" s="24">
        <f t="shared" si="1412"/>
        <v>0</v>
      </c>
      <c r="I8848" s="24" cm="1">
        <f t="array" ref="I8848">IFERROR(IF($B8848=I$1, ($A8848+$C8848) - MAX(IF($B$2:$B8847=$B8848, $A$2:$A8847+$C$2:$C8847)), "")*24*60, "")</f>
        <v>0</v>
      </c>
      <c r="J8848" s="24" t="str" cm="1">
        <f t="array" ref="J8848">IFERROR(IF($B8848=J$1, ($A8848+$C8848) - MAX(IF($B$2:$B8847=$B8848, $A$2:$A8847+$C$2:$C8847)), "")*24*60, "")</f>
        <v/>
      </c>
      <c r="K8848" s="24" t="str" cm="1">
        <f t="array" ref="K8848">IFERROR(IF($B8848=K$1, ($A8848+$C8848) - MAX(IF($B$2:$B8847=$B8848, $A$2:$A8847+$C$2:$C8847)), "")*24*60, "")</f>
        <v/>
      </c>
      <c r="L8848" s="24" t="str" cm="1">
        <f t="array" ref="L8848">IFERROR(IF($B8848=L$1, ($A8848+$C8848) - MAX(IF($B$2:$B8847=$B8848, $A$2:$A8847+$C$2:$C8847)), "")*24*60, "")</f>
        <v/>
      </c>
      <c r="M8848" s="24" t="str" cm="1">
        <f t="array" ref="M8848">IFERROR(IF($B8848=M$1, ($A8848+$C8848) - MAX(IF($B$2:$B8847=$B8848, $A$2:$A8847+$C$2:$C8847)), "")*24*60, "")</f>
        <v/>
      </c>
      <c r="N8848" s="24" t="str" cm="1">
        <f t="array" ref="N8848">IFERROR(IF($B8848=N$1, ($A8848+$C8848) - MAX(IF($B$2:$B8847=$B8848, $A$2:$A8847+$C$2:$C8847)), "")*24*60, "")</f>
        <v/>
      </c>
      <c r="O8848" s="24" t="str" cm="1">
        <f t="array" ref="O8848">IFERROR(IF($B8848=O$1, ($A8848+$C8848) - MAX(IF($B$2:$B8847=$B8848, $A$2:$A8847+$C$2:$C8847)), "")*24*60, "")</f>
        <v/>
      </c>
      <c r="P8848" s="24" t="str" cm="1">
        <f t="array" ref="P8848">IFERROR(IF($B8848=P$1, ($A8848+$C8848) - MAX(IF($B$2:$B8847=$B8848, $A$2:$A8847+$C$2:$C8847)), "")*24*60, "")</f>
        <v/>
      </c>
      <c r="Q8848" s="24" t="str" cm="1">
        <f t="array" ref="Q8848">IFERROR(IF($B8848=Q$1, ($A8848+$C8848) - MAX(IF($B$2:$B8847=$B8848, $A$2:$A8847+$C$2:$C8847)), "")*24*60, "")</f>
        <v/>
      </c>
      <c r="R8848" s="24" t="str" cm="1">
        <f t="array" ref="R8848">IFERROR(IF($B8848=R$1, ($A8848+$C8848) - MAX(IF($B$2:$B8847=$B8848, $A$2:$A8847+$C$2:$C8847)), "")*24*60, "")</f>
        <v/>
      </c>
      <c r="S8848" s="24" t="str" cm="1">
        <f t="array" ref="S8848">IFERROR(IF($B8848=S$1, ($A8848+$C8848) - MAX(IF($B$2:$B8847=$B8848, $A$2:$A8847+$C$2:$C8847)), "")*24*60, "")</f>
        <v/>
      </c>
    </row>
    <row r="8849" spans="1:19" x14ac:dyDescent="0.2">
      <c r="A8849" s="12">
        <f t="shared" ref="A8849:C8849" si="1452">A8848</f>
        <v>46037</v>
      </c>
      <c r="B8849" s="5" t="str">
        <f t="shared" si="1452"/>
        <v>Northern Cardinal</v>
      </c>
      <c r="C8849" s="6">
        <f t="shared" si="1452"/>
        <v>0.74861111111111112</v>
      </c>
      <c r="D8849" s="5"/>
      <c r="E8849" s="5"/>
      <c r="F8849" s="5" t="s">
        <v>9</v>
      </c>
      <c r="G8849" s="15" t="s">
        <v>8</v>
      </c>
      <c r="H8849" s="24">
        <f t="shared" si="1412"/>
        <v>0</v>
      </c>
      <c r="I8849" s="24" cm="1">
        <f t="array" ref="I8849">IFERROR(IF($B8849=I$1, ($A8849+$C8849) - MAX(IF($B$2:$B8848=$B8849, $A$2:$A8848+$C$2:$C8848)), "")*24*60, "")</f>
        <v>0</v>
      </c>
      <c r="J8849" s="24" t="str" cm="1">
        <f t="array" ref="J8849">IFERROR(IF($B8849=J$1, ($A8849+$C8849) - MAX(IF($B$2:$B8848=$B8849, $A$2:$A8848+$C$2:$C8848)), "")*24*60, "")</f>
        <v/>
      </c>
      <c r="K8849" s="24" t="str" cm="1">
        <f t="array" ref="K8849">IFERROR(IF($B8849=K$1, ($A8849+$C8849) - MAX(IF($B$2:$B8848=$B8849, $A$2:$A8848+$C$2:$C8848)), "")*24*60, "")</f>
        <v/>
      </c>
      <c r="L8849" s="24" t="str" cm="1">
        <f t="array" ref="L8849">IFERROR(IF($B8849=L$1, ($A8849+$C8849) - MAX(IF($B$2:$B8848=$B8849, $A$2:$A8848+$C$2:$C8848)), "")*24*60, "")</f>
        <v/>
      </c>
      <c r="M8849" s="24" t="str" cm="1">
        <f t="array" ref="M8849">IFERROR(IF($B8849=M$1, ($A8849+$C8849) - MAX(IF($B$2:$B8848=$B8849, $A$2:$A8848+$C$2:$C8848)), "")*24*60, "")</f>
        <v/>
      </c>
      <c r="N8849" s="24" t="str" cm="1">
        <f t="array" ref="N8849">IFERROR(IF($B8849=N$1, ($A8849+$C8849) - MAX(IF($B$2:$B8848=$B8849, $A$2:$A8848+$C$2:$C8848)), "")*24*60, "")</f>
        <v/>
      </c>
      <c r="O8849" s="24" t="str" cm="1">
        <f t="array" ref="O8849">IFERROR(IF($B8849=O$1, ($A8849+$C8849) - MAX(IF($B$2:$B8848=$B8849, $A$2:$A8848+$C$2:$C8848)), "")*24*60, "")</f>
        <v/>
      </c>
      <c r="P8849" s="24" t="str" cm="1">
        <f t="array" ref="P8849">IFERROR(IF($B8849=P$1, ($A8849+$C8849) - MAX(IF($B$2:$B8848=$B8849, $A$2:$A8848+$C$2:$C8848)), "")*24*60, "")</f>
        <v/>
      </c>
      <c r="Q8849" s="24" t="str" cm="1">
        <f t="array" ref="Q8849">IFERROR(IF($B8849=Q$1, ($A8849+$C8849) - MAX(IF($B$2:$B8848=$B8849, $A$2:$A8848+$C$2:$C8848)), "")*24*60, "")</f>
        <v/>
      </c>
      <c r="R8849" s="24" t="str" cm="1">
        <f t="array" ref="R8849">IFERROR(IF($B8849=R$1, ($A8849+$C8849) - MAX(IF($B$2:$B8848=$B8849, $A$2:$A8848+$C$2:$C8848)), "")*24*60, "")</f>
        <v/>
      </c>
      <c r="S8849" s="24" t="str" cm="1">
        <f t="array" ref="S8849">IFERROR(IF($B8849=S$1, ($A8849+$C8849) - MAX(IF($B$2:$B8848=$B8849, $A$2:$A8848+$C$2:$C8848)), "")*24*60, "")</f>
        <v/>
      </c>
    </row>
    <row r="8850" spans="1:19" x14ac:dyDescent="0.2">
      <c r="A8850" s="12">
        <f t="shared" ref="A8850:C8850" si="1453">A8849</f>
        <v>46037</v>
      </c>
      <c r="B8850" s="5" t="str">
        <f t="shared" si="1453"/>
        <v>Northern Cardinal</v>
      </c>
      <c r="C8850" s="6">
        <f t="shared" si="1453"/>
        <v>0.74861111111111112</v>
      </c>
      <c r="D8850" s="5"/>
      <c r="E8850" s="5"/>
      <c r="F8850" s="5" t="s">
        <v>9</v>
      </c>
      <c r="G8850" s="15" t="s">
        <v>8</v>
      </c>
      <c r="H8850" s="24">
        <f t="shared" si="1412"/>
        <v>0</v>
      </c>
      <c r="I8850" s="24" cm="1">
        <f t="array" ref="I8850">IFERROR(IF($B8850=I$1, ($A8850+$C8850) - MAX(IF($B$2:$B8849=$B8850, $A$2:$A8849+$C$2:$C8849)), "")*24*60, "")</f>
        <v>0</v>
      </c>
      <c r="J8850" s="24" t="str" cm="1">
        <f t="array" ref="J8850">IFERROR(IF($B8850=J$1, ($A8850+$C8850) - MAX(IF($B$2:$B8849=$B8850, $A$2:$A8849+$C$2:$C8849)), "")*24*60, "")</f>
        <v/>
      </c>
      <c r="K8850" s="24" t="str" cm="1">
        <f t="array" ref="K8850">IFERROR(IF($B8850=K$1, ($A8850+$C8850) - MAX(IF($B$2:$B8849=$B8850, $A$2:$A8849+$C$2:$C8849)), "")*24*60, "")</f>
        <v/>
      </c>
      <c r="L8850" s="24" t="str" cm="1">
        <f t="array" ref="L8850">IFERROR(IF($B8850=L$1, ($A8850+$C8850) - MAX(IF($B$2:$B8849=$B8850, $A$2:$A8849+$C$2:$C8849)), "")*24*60, "")</f>
        <v/>
      </c>
      <c r="M8850" s="24" t="str" cm="1">
        <f t="array" ref="M8850">IFERROR(IF($B8850=M$1, ($A8850+$C8850) - MAX(IF($B$2:$B8849=$B8850, $A$2:$A8849+$C$2:$C8849)), "")*24*60, "")</f>
        <v/>
      </c>
      <c r="N8850" s="24" t="str" cm="1">
        <f t="array" ref="N8850">IFERROR(IF($B8850=N$1, ($A8850+$C8850) - MAX(IF($B$2:$B8849=$B8850, $A$2:$A8849+$C$2:$C8849)), "")*24*60, "")</f>
        <v/>
      </c>
      <c r="O8850" s="24" t="str" cm="1">
        <f t="array" ref="O8850">IFERROR(IF($B8850=O$1, ($A8850+$C8850) - MAX(IF($B$2:$B8849=$B8850, $A$2:$A8849+$C$2:$C8849)), "")*24*60, "")</f>
        <v/>
      </c>
      <c r="P8850" s="24" t="str" cm="1">
        <f t="array" ref="P8850">IFERROR(IF($B8850=P$1, ($A8850+$C8850) - MAX(IF($B$2:$B8849=$B8850, $A$2:$A8849+$C$2:$C8849)), "")*24*60, "")</f>
        <v/>
      </c>
      <c r="Q8850" s="24" t="str" cm="1">
        <f t="array" ref="Q8850">IFERROR(IF($B8850=Q$1, ($A8850+$C8850) - MAX(IF($B$2:$B8849=$B8850, $A$2:$A8849+$C$2:$C8849)), "")*24*60, "")</f>
        <v/>
      </c>
      <c r="R8850" s="24" t="str" cm="1">
        <f t="array" ref="R8850">IFERROR(IF($B8850=R$1, ($A8850+$C8850) - MAX(IF($B$2:$B8849=$B8850, $A$2:$A8849+$C$2:$C8849)), "")*24*60, "")</f>
        <v/>
      </c>
      <c r="S8850" s="24" t="str" cm="1">
        <f t="array" ref="S8850">IFERROR(IF($B8850=S$1, ($A8850+$C8850) - MAX(IF($B$2:$B8849=$B8850, $A$2:$A8849+$C$2:$C8849)),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41"/>
  <sheetViews>
    <sheetView zoomScale="120" zoomScaleNormal="120" workbookViewId="0">
      <pane ySplit="1" topLeftCell="A323" activePane="bottomLeft" state="frozen"/>
      <selection pane="bottomLeft" activeCell="C341" sqref="C34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26">
        <v>46034</v>
      </c>
      <c r="B338" s="27" t="s">
        <v>16</v>
      </c>
      <c r="C338" s="27">
        <f>COUNTIFS(RawData!$B:$B, $B338, RawData!$A:$A, DailySummaries!$A338)</f>
        <v>2</v>
      </c>
      <c r="D338" s="27">
        <f>SUMIFS(RawData!$D:$D,RawData!$B:$B,$B338,RawData!$A:$A,DailySummaries!$A338)+1</f>
        <v>18</v>
      </c>
      <c r="E338" s="27">
        <f>SUMIFS(RawData!$E:$E,RawData!$B:$B,$B338,RawData!$A:$A,DailySummaries!$A338)+1</f>
        <v>1</v>
      </c>
    </row>
    <row r="339" spans="1:5" x14ac:dyDescent="0.25">
      <c r="A339" s="10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26">
        <v>46035</v>
      </c>
      <c r="B340" s="27" t="s">
        <v>16</v>
      </c>
      <c r="C340" s="27">
        <f>COUNTIFS(RawData!$B:$B, $B340, RawData!$A:$A, DailySummaries!$A340)</f>
        <v>2</v>
      </c>
      <c r="D340" s="27">
        <f>SUMIFS(RawData!$D:$D,RawData!$B:$B,$B340,RawData!$A:$A,DailySummaries!$A340)+1</f>
        <v>10</v>
      </c>
      <c r="E340" s="27">
        <f>SUMIFS(RawData!$E:$E,RawData!$B:$B,$B340,RawData!$A:$A,DailySummaries!$A340)+1</f>
        <v>2</v>
      </c>
    </row>
    <row r="341" spans="1:5" x14ac:dyDescent="0.25">
      <c r="A341" s="10">
        <v>46036</v>
      </c>
      <c r="B341" s="11" t="s">
        <v>3</v>
      </c>
      <c r="C341" s="11">
        <f>COUNTIFS(RawData!$B:$B, $B341, RawData!$A:$A, DailySummaries!$A341)</f>
        <v>36</v>
      </c>
      <c r="D341" s="11">
        <f>SUMIFS(RawData!$D:$D,RawData!$B:$B,$B341,RawData!$A:$A,DailySummaries!$A341)+1</f>
        <v>16</v>
      </c>
      <c r="E341" s="11">
        <f>SUMIFS(RawData!$E:$E,RawData!$B:$B,$B341,RawData!$A:$A,DailySummaries!$A341)+1</f>
        <v>78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2026-01-15T09:51:10Z</dcterms:modified>
</cp:coreProperties>
</file>
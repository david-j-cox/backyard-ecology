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A3018C85-929A-CB43-B560-650E2E9556B1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7" i="2" l="1"/>
  <c r="D207" i="2"/>
  <c r="E207" i="2"/>
  <c r="C208" i="2"/>
  <c r="D208" i="2"/>
  <c r="E208" i="2"/>
  <c r="C209" i="2"/>
  <c r="D209" i="2"/>
  <c r="E209" i="2"/>
  <c r="C210" i="2"/>
  <c r="D210" i="2"/>
  <c r="E210" i="2"/>
  <c r="C211" i="2"/>
  <c r="D211" i="2"/>
  <c r="E211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3441" i="1" l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H3444" i="1" l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3446" i="1" l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3446" i="1" l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3447" i="1" l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3448" i="1" l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3449" i="1" l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3450" i="1" l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3451" i="1" l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3452" i="1" l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3454" i="1" l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3454" i="1" l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3455" i="1" l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3456" i="1" l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3458" i="1" l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3458" i="1" l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4598" i="1" l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P4605" i="1" l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M4610" i="1" l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M4629" i="1" l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M4640" i="1" l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P4649" i="1" l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3514" i="1" l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3515" i="1" l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P3515" i="1" l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O3516" i="1" l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H3517" i="1" l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I3518" i="1" l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J3519" i="1" l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K3520" i="1" l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L3521" i="1" l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A3526" i="1" l="1"/>
  <c r="I3525" i="1" a="1"/>
  <c r="I3525" i="1" s="1"/>
  <c r="H3525" i="1"/>
  <c r="A3527" i="1" l="1"/>
  <c r="L3526" i="1" a="1"/>
  <c r="L3526" i="1" s="1"/>
  <c r="H3526" i="1"/>
  <c r="L3527" i="1" l="1" a="1"/>
  <c r="L3527" i="1" s="1"/>
  <c r="A3528" i="1"/>
  <c r="H3527" i="1"/>
  <c r="A3529" i="1" l="1"/>
  <c r="O3528" i="1" a="1"/>
  <c r="O3528" i="1" s="1"/>
  <c r="H3528" i="1"/>
  <c r="A3530" i="1" l="1"/>
  <c r="H3529" i="1"/>
  <c r="O3529" i="1" a="1"/>
  <c r="O3529" i="1" s="1"/>
  <c r="A3531" i="1" l="1"/>
  <c r="H3530" i="1"/>
  <c r="O3530" i="1" a="1"/>
  <c r="O3530" i="1" s="1"/>
  <c r="A3532" i="1" l="1"/>
  <c r="H3531" i="1"/>
  <c r="O3531" i="1" a="1"/>
  <c r="O3531" i="1" s="1"/>
  <c r="A3533" i="1" l="1"/>
  <c r="O3532" i="1" a="1"/>
  <c r="O3532" i="1" s="1"/>
  <c r="H3532" i="1"/>
  <c r="A3534" i="1" l="1"/>
  <c r="H3533" i="1"/>
  <c r="O3533" i="1" a="1"/>
  <c r="O3533" i="1" s="1"/>
  <c r="A3535" i="1" l="1"/>
  <c r="O3534" i="1" a="1"/>
  <c r="O3534" i="1" s="1"/>
  <c r="H3534" i="1"/>
  <c r="A3536" i="1" l="1"/>
  <c r="H3535" i="1"/>
  <c r="O3535" i="1" a="1"/>
  <c r="O3535" i="1" s="1"/>
  <c r="A3537" i="1" l="1"/>
  <c r="H3536" i="1"/>
  <c r="O3536" i="1" a="1"/>
  <c r="O3536" i="1" s="1"/>
  <c r="A3538" i="1" l="1"/>
  <c r="H3537" i="1"/>
  <c r="O3537" i="1" a="1"/>
  <c r="O3537" i="1" s="1"/>
  <c r="A3539" i="1" l="1"/>
  <c r="O3538" i="1" a="1"/>
  <c r="O3538" i="1" s="1"/>
  <c r="H3538" i="1"/>
  <c r="A3540" i="1" l="1"/>
  <c r="H3539" i="1"/>
  <c r="O3539" i="1" a="1"/>
  <c r="O3539" i="1" s="1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6153" i="1" l="1"/>
  <c r="B6152" i="1"/>
  <c r="A3543" i="1"/>
  <c r="H3542" i="1"/>
  <c r="O3542" i="1" a="1"/>
  <c r="O3542" i="1" s="1"/>
  <c r="I4439" i="1" a="1"/>
  <c r="I4439" i="1" s="1"/>
  <c r="C4440" i="1"/>
  <c r="I4440" i="1" s="1" a="1"/>
  <c r="I4440" i="1" s="1"/>
  <c r="H4439" i="1"/>
  <c r="E204" i="2" l="1"/>
  <c r="O6152" i="1" a="1"/>
  <c r="O6152" i="1" s="1"/>
  <c r="K6152" i="1" a="1"/>
  <c r="K6152" i="1" s="1"/>
  <c r="P6152" i="1" a="1"/>
  <c r="P6152" i="1" s="1"/>
  <c r="B6153" i="1"/>
  <c r="C204" i="2" s="1"/>
  <c r="L6152" i="1" a="1"/>
  <c r="L6152" i="1" s="1"/>
  <c r="Q6152" i="1" a="1"/>
  <c r="Q6152" i="1" s="1"/>
  <c r="M6152" i="1" a="1"/>
  <c r="M6152" i="1" s="1"/>
  <c r="R6152" i="1" a="1"/>
  <c r="R6152" i="1" s="1"/>
  <c r="N6152" i="1" a="1"/>
  <c r="N6152" i="1" s="1"/>
  <c r="S6152" i="1" a="1"/>
  <c r="S6152" i="1" s="1"/>
  <c r="A6154" i="1"/>
  <c r="A3544" i="1"/>
  <c r="H3543" i="1"/>
  <c r="O3543" i="1" a="1"/>
  <c r="O3543" i="1" s="1"/>
  <c r="C4441" i="1"/>
  <c r="H4440" i="1"/>
  <c r="D204" i="2" l="1"/>
  <c r="I6152" i="1" a="1"/>
  <c r="I6152" i="1" s="1"/>
  <c r="J6152" i="1" a="1"/>
  <c r="J6152" i="1" s="1"/>
  <c r="C6153" i="1"/>
  <c r="O6153" i="1" s="1" a="1"/>
  <c r="O6153" i="1" s="1"/>
  <c r="H6152" i="1"/>
  <c r="A6155" i="1"/>
  <c r="P6153" i="1" a="1"/>
  <c r="P6153" i="1" s="1"/>
  <c r="B6154" i="1"/>
  <c r="L6153" i="1" a="1"/>
  <c r="L6153" i="1" s="1"/>
  <c r="Q6153" i="1" a="1"/>
  <c r="Q6153" i="1" s="1"/>
  <c r="M6153" i="1" a="1"/>
  <c r="M6153" i="1" s="1"/>
  <c r="R6153" i="1" a="1"/>
  <c r="R6153" i="1" s="1"/>
  <c r="N6153" i="1" a="1"/>
  <c r="N6153" i="1" s="1"/>
  <c r="S6153" i="1" a="1"/>
  <c r="S6153" i="1" s="1"/>
  <c r="K6153" i="1" a="1"/>
  <c r="K6153" i="1" s="1"/>
  <c r="A3545" i="1"/>
  <c r="O3544" i="1" a="1"/>
  <c r="O3544" i="1" s="1"/>
  <c r="H3544" i="1"/>
  <c r="I4441" i="1" a="1"/>
  <c r="I4441" i="1" s="1"/>
  <c r="I4442" i="1" a="1"/>
  <c r="I4442" i="1" s="1"/>
  <c r="H4441" i="1"/>
  <c r="E205" i="2" l="1"/>
  <c r="C206" i="2"/>
  <c r="D203" i="2"/>
  <c r="C205" i="2"/>
  <c r="C203" i="2"/>
  <c r="D206" i="2"/>
  <c r="E206" i="2"/>
  <c r="D205" i="2"/>
  <c r="E203" i="2"/>
  <c r="J6153" i="1" a="1"/>
  <c r="J6153" i="1" s="1"/>
  <c r="I6153" i="1" a="1"/>
  <c r="I6153" i="1" s="1"/>
  <c r="C6154" i="1"/>
  <c r="J6154" i="1" s="1" a="1"/>
  <c r="J6154" i="1" s="1"/>
  <c r="H6153" i="1"/>
  <c r="B6155" i="1"/>
  <c r="L6154" i="1" a="1"/>
  <c r="L6154" i="1" s="1"/>
  <c r="Q6154" i="1" a="1"/>
  <c r="Q6154" i="1" s="1"/>
  <c r="M6154" i="1" a="1"/>
  <c r="M6154" i="1" s="1"/>
  <c r="R6154" i="1" a="1"/>
  <c r="R6154" i="1" s="1"/>
  <c r="N6154" i="1" a="1"/>
  <c r="N6154" i="1" s="1"/>
  <c r="S6154" i="1" a="1"/>
  <c r="S6154" i="1" s="1"/>
  <c r="P6154" i="1" a="1"/>
  <c r="P6154" i="1" s="1"/>
  <c r="K6154" i="1" a="1"/>
  <c r="K6154" i="1" s="1"/>
  <c r="A6156" i="1"/>
  <c r="A3546" i="1"/>
  <c r="O3545" i="1" a="1"/>
  <c r="O3545" i="1" s="1"/>
  <c r="H3545" i="1"/>
  <c r="C4443" i="1"/>
  <c r="H4442" i="1"/>
  <c r="I6154" i="1" l="1" a="1"/>
  <c r="I6154" i="1" s="1"/>
  <c r="O6154" i="1" a="1"/>
  <c r="O6154" i="1" s="1"/>
  <c r="C6155" i="1"/>
  <c r="O6155" i="1" s="1" a="1"/>
  <c r="O6155" i="1" s="1"/>
  <c r="H6154" i="1"/>
  <c r="A6157" i="1"/>
  <c r="M6155" i="1" a="1"/>
  <c r="M6155" i="1" s="1"/>
  <c r="R6155" i="1" a="1"/>
  <c r="R6155" i="1" s="1"/>
  <c r="N6155" i="1" a="1"/>
  <c r="N6155" i="1" s="1"/>
  <c r="S6155" i="1" a="1"/>
  <c r="S6155" i="1" s="1"/>
  <c r="P6155" i="1" a="1"/>
  <c r="P6155" i="1" s="1"/>
  <c r="B6156" i="1"/>
  <c r="Q6155" i="1" a="1"/>
  <c r="Q6155" i="1" s="1"/>
  <c r="A3547" i="1"/>
  <c r="H3546" i="1"/>
  <c r="O3546" i="1" a="1"/>
  <c r="O3546" i="1" s="1"/>
  <c r="I4443" i="1" a="1"/>
  <c r="I4443" i="1" s="1"/>
  <c r="I4444" i="1" a="1"/>
  <c r="I4444" i="1" s="1"/>
  <c r="H4443" i="1"/>
  <c r="L6155" i="1" l="1" a="1"/>
  <c r="L6155" i="1" s="1"/>
  <c r="K6155" i="1" a="1"/>
  <c r="K6155" i="1" s="1"/>
  <c r="J6155" i="1" a="1"/>
  <c r="J6155" i="1" s="1"/>
  <c r="I6155" i="1" a="1"/>
  <c r="I6155" i="1" s="1"/>
  <c r="C6156" i="1"/>
  <c r="O6156" i="1" s="1" a="1"/>
  <c r="O6156" i="1" s="1"/>
  <c r="H6155" i="1"/>
  <c r="R6156" i="1" a="1"/>
  <c r="R6156" i="1" s="1"/>
  <c r="N6156" i="1" a="1"/>
  <c r="N6156" i="1" s="1"/>
  <c r="S6156" i="1" a="1"/>
  <c r="S6156" i="1" s="1"/>
  <c r="K6156" i="1" a="1"/>
  <c r="K6156" i="1" s="1"/>
  <c r="P6156" i="1" a="1"/>
  <c r="P6156" i="1" s="1"/>
  <c r="B6157" i="1"/>
  <c r="L6156" i="1" a="1"/>
  <c r="L6156" i="1" s="1"/>
  <c r="M6156" i="1" a="1"/>
  <c r="M6156" i="1" s="1"/>
  <c r="Q6156" i="1" a="1"/>
  <c r="Q6156" i="1" s="1"/>
  <c r="A6158" i="1"/>
  <c r="A3548" i="1"/>
  <c r="H3547" i="1"/>
  <c r="O3547" i="1" a="1"/>
  <c r="O3547" i="1" s="1"/>
  <c r="I4445" i="1" a="1"/>
  <c r="I4445" i="1" s="1"/>
  <c r="H4444" i="1"/>
  <c r="J6156" i="1" l="1" a="1"/>
  <c r="J6156" i="1" s="1"/>
  <c r="I6156" i="1" a="1"/>
  <c r="I6156" i="1" s="1"/>
  <c r="C6157" i="1"/>
  <c r="J6157" i="1" s="1" a="1"/>
  <c r="J6157" i="1" s="1"/>
  <c r="H6156" i="1"/>
  <c r="A6159" i="1"/>
  <c r="S6157" i="1" a="1"/>
  <c r="S6157" i="1" s="1"/>
  <c r="K6157" i="1" a="1"/>
  <c r="K6157" i="1" s="1"/>
  <c r="L6157" i="1" a="1"/>
  <c r="L6157" i="1" s="1"/>
  <c r="Q6157" i="1" a="1"/>
  <c r="Q6157" i="1" s="1"/>
  <c r="B6158" i="1"/>
  <c r="M6157" i="1" a="1"/>
  <c r="M6157" i="1" s="1"/>
  <c r="N6157" i="1" a="1"/>
  <c r="N6157" i="1" s="1"/>
  <c r="P6157" i="1" a="1"/>
  <c r="P6157" i="1" s="1"/>
  <c r="R6157" i="1" a="1"/>
  <c r="R6157" i="1" s="1"/>
  <c r="A3549" i="1"/>
  <c r="O3548" i="1" a="1"/>
  <c r="O3548" i="1" s="1"/>
  <c r="H3548" i="1"/>
  <c r="I4446" i="1" a="1"/>
  <c r="I4446" i="1" s="1"/>
  <c r="H4445" i="1"/>
  <c r="I6157" i="1" l="1" a="1"/>
  <c r="I6157" i="1" s="1"/>
  <c r="O6157" i="1" a="1"/>
  <c r="O6157" i="1" s="1"/>
  <c r="C6158" i="1"/>
  <c r="I6158" i="1" s="1" a="1"/>
  <c r="I6158" i="1" s="1"/>
  <c r="H6157" i="1"/>
  <c r="A6160" i="1"/>
  <c r="B6159" i="1"/>
  <c r="K6158" i="1" a="1"/>
  <c r="K6158" i="1" s="1"/>
  <c r="P6158" i="1" a="1"/>
  <c r="P6158" i="1" s="1"/>
  <c r="M6158" i="1" a="1"/>
  <c r="M6158" i="1" s="1"/>
  <c r="R6158" i="1" a="1"/>
  <c r="R6158" i="1" s="1"/>
  <c r="S6158" i="1" a="1"/>
  <c r="S6158" i="1" s="1"/>
  <c r="L6158" i="1" a="1"/>
  <c r="L6158" i="1" s="1"/>
  <c r="N6158" i="1" a="1"/>
  <c r="N6158" i="1" s="1"/>
  <c r="Q6158" i="1" a="1"/>
  <c r="Q6158" i="1" s="1"/>
  <c r="A3550" i="1"/>
  <c r="O3549" i="1" a="1"/>
  <c r="O3549" i="1" s="1"/>
  <c r="H3549" i="1"/>
  <c r="I4447" i="1" a="1"/>
  <c r="I4447" i="1" s="1"/>
  <c r="H4446" i="1"/>
  <c r="J6158" i="1" l="1" a="1"/>
  <c r="J6158" i="1" s="1"/>
  <c r="O6158" i="1" a="1"/>
  <c r="O6158" i="1" s="1"/>
  <c r="C6159" i="1"/>
  <c r="L6159" i="1" s="1" a="1"/>
  <c r="L6159" i="1" s="1"/>
  <c r="H6158" i="1"/>
  <c r="K6159" i="1" a="1"/>
  <c r="K6159" i="1" s="1"/>
  <c r="P6159" i="1" a="1"/>
  <c r="P6159" i="1" s="1"/>
  <c r="B6160" i="1"/>
  <c r="Q6159" i="1" a="1"/>
  <c r="Q6159" i="1" s="1"/>
  <c r="R6159" i="1" a="1"/>
  <c r="R6159" i="1" s="1"/>
  <c r="N6159" i="1" a="1"/>
  <c r="N6159" i="1" s="1"/>
  <c r="S6159" i="1" a="1"/>
  <c r="S6159" i="1" s="1"/>
  <c r="M6159" i="1" a="1"/>
  <c r="M6159" i="1" s="1"/>
  <c r="A6161" i="1"/>
  <c r="A3551" i="1"/>
  <c r="H3550" i="1"/>
  <c r="O3550" i="1" a="1"/>
  <c r="O3550" i="1" s="1"/>
  <c r="C4448" i="1"/>
  <c r="H4447" i="1"/>
  <c r="O4447" i="1" a="1"/>
  <c r="O4447" i="1" s="1"/>
  <c r="I6159" i="1" l="1" a="1"/>
  <c r="I6159" i="1" s="1"/>
  <c r="J6159" i="1" a="1"/>
  <c r="J6159" i="1" s="1"/>
  <c r="O6159" i="1" a="1"/>
  <c r="O6159" i="1" s="1"/>
  <c r="C6160" i="1"/>
  <c r="J6160" i="1" s="1" a="1"/>
  <c r="J6160" i="1" s="1"/>
  <c r="H6159" i="1"/>
  <c r="Q6160" i="1" a="1"/>
  <c r="Q6160" i="1" s="1"/>
  <c r="M6160" i="1" a="1"/>
  <c r="M6160" i="1" s="1"/>
  <c r="N6160" i="1" a="1"/>
  <c r="N6160" i="1" s="1"/>
  <c r="S6160" i="1" a="1"/>
  <c r="S6160" i="1" s="1"/>
  <c r="R6160" i="1" a="1"/>
  <c r="R6160" i="1" s="1"/>
  <c r="B6161" i="1"/>
  <c r="K6160" i="1" a="1"/>
  <c r="K6160" i="1" s="1"/>
  <c r="P6160" i="1" a="1"/>
  <c r="P6160" i="1" s="1"/>
  <c r="A6162" i="1"/>
  <c r="A3552" i="1"/>
  <c r="I3551" i="1" a="1"/>
  <c r="I3551" i="1" s="1"/>
  <c r="H3551" i="1"/>
  <c r="I4448" i="1" a="1"/>
  <c r="I4448" i="1" s="1"/>
  <c r="C4449" i="1"/>
  <c r="H4448" i="1"/>
  <c r="O4448" i="1" a="1"/>
  <c r="O4448" i="1" s="1"/>
  <c r="I6160" i="1" l="1" a="1"/>
  <c r="I6160" i="1" s="1"/>
  <c r="O6160" i="1" a="1"/>
  <c r="O6160" i="1" s="1"/>
  <c r="L6160" i="1" a="1"/>
  <c r="L6160" i="1" s="1"/>
  <c r="C6161" i="1"/>
  <c r="L6161" i="1" s="1" a="1"/>
  <c r="L6161" i="1" s="1"/>
  <c r="H6160" i="1"/>
  <c r="A6163" i="1"/>
  <c r="Q6161" i="1" a="1"/>
  <c r="Q6161" i="1" s="1"/>
  <c r="M6161" i="1" a="1"/>
  <c r="M6161" i="1" s="1"/>
  <c r="R6161" i="1" a="1"/>
  <c r="R6161" i="1" s="1"/>
  <c r="N6161" i="1" a="1"/>
  <c r="N6161" i="1" s="1"/>
  <c r="S6161" i="1" a="1"/>
  <c r="S6161" i="1" s="1"/>
  <c r="B6162" i="1"/>
  <c r="P6161" i="1" a="1"/>
  <c r="P6161" i="1" s="1"/>
  <c r="A3553" i="1"/>
  <c r="I3552" i="1" a="1"/>
  <c r="I3552" i="1" s="1"/>
  <c r="H3552" i="1"/>
  <c r="I4449" i="1" a="1"/>
  <c r="I4449" i="1" s="1"/>
  <c r="C4450" i="1"/>
  <c r="H4449" i="1"/>
  <c r="O4449" i="1" a="1"/>
  <c r="O4449" i="1" s="1"/>
  <c r="J6161" i="1" l="1" a="1"/>
  <c r="J6161" i="1" s="1"/>
  <c r="K6161" i="1" a="1"/>
  <c r="K6161" i="1" s="1"/>
  <c r="I6161" i="1" a="1"/>
  <c r="I6161" i="1" s="1"/>
  <c r="C6162" i="1"/>
  <c r="I6162" i="1" s="1" a="1"/>
  <c r="I6162" i="1" s="1"/>
  <c r="H6161" i="1"/>
  <c r="O6161" i="1" a="1"/>
  <c r="O6161" i="1" s="1"/>
  <c r="B6163" i="1"/>
  <c r="R6162" i="1" a="1"/>
  <c r="R6162" i="1" s="1"/>
  <c r="N6162" i="1" a="1"/>
  <c r="N6162" i="1" s="1"/>
  <c r="K6162" i="1" a="1"/>
  <c r="K6162" i="1" s="1"/>
  <c r="P6162" i="1" a="1"/>
  <c r="P6162" i="1" s="1"/>
  <c r="Q6162" i="1" a="1"/>
  <c r="Q6162" i="1" s="1"/>
  <c r="S6162" i="1" a="1"/>
  <c r="S6162" i="1" s="1"/>
  <c r="M6162" i="1" a="1"/>
  <c r="M6162" i="1" s="1"/>
  <c r="A6164" i="1"/>
  <c r="A3554" i="1"/>
  <c r="I3553" i="1" a="1"/>
  <c r="I3553" i="1" s="1"/>
  <c r="H3553" i="1"/>
  <c r="I4450" i="1" a="1"/>
  <c r="I4450" i="1" s="1"/>
  <c r="H4450" i="1"/>
  <c r="O4450" i="1" a="1"/>
  <c r="O4450" i="1" s="1"/>
  <c r="J6162" i="1" l="1" a="1"/>
  <c r="J6162" i="1" s="1"/>
  <c r="L6162" i="1" a="1"/>
  <c r="L6162" i="1" s="1"/>
  <c r="O6162" i="1" a="1"/>
  <c r="O6162" i="1" s="1"/>
  <c r="C6163" i="1"/>
  <c r="L6163" i="1" s="1" a="1"/>
  <c r="L6163" i="1" s="1"/>
  <c r="H6162" i="1"/>
  <c r="A6165" i="1"/>
  <c r="N6163" i="1" a="1"/>
  <c r="N6163" i="1" s="1"/>
  <c r="S6163" i="1" a="1"/>
  <c r="S6163" i="1" s="1"/>
  <c r="P6163" i="1" a="1"/>
  <c r="P6163" i="1" s="1"/>
  <c r="K6163" i="1" a="1"/>
  <c r="K6163" i="1" s="1"/>
  <c r="Q6163" i="1" a="1"/>
  <c r="Q6163" i="1" s="1"/>
  <c r="R6163" i="1" a="1"/>
  <c r="R6163" i="1" s="1"/>
  <c r="B6164" i="1"/>
  <c r="M6163" i="1" a="1"/>
  <c r="M6163" i="1" s="1"/>
  <c r="A3555" i="1"/>
  <c r="I3554" i="1" a="1"/>
  <c r="I3554" i="1" s="1"/>
  <c r="H3554" i="1"/>
  <c r="I4451" i="1" a="1"/>
  <c r="I4451" i="1" s="1"/>
  <c r="K4451" i="1" a="1"/>
  <c r="K4451" i="1" s="1"/>
  <c r="H4451" i="1"/>
  <c r="I6163" i="1" l="1" a="1"/>
  <c r="I6163" i="1" s="1"/>
  <c r="J6163" i="1" a="1"/>
  <c r="J6163" i="1" s="1"/>
  <c r="O6163" i="1" a="1"/>
  <c r="O6163" i="1" s="1"/>
  <c r="C6164" i="1"/>
  <c r="O6164" i="1" s="1" a="1"/>
  <c r="O6164" i="1" s="1"/>
  <c r="H6163" i="1"/>
  <c r="K6164" i="1" a="1"/>
  <c r="K6164" i="1" s="1"/>
  <c r="N6164" i="1" a="1"/>
  <c r="N6164" i="1" s="1"/>
  <c r="P6164" i="1" a="1"/>
  <c r="P6164" i="1" s="1"/>
  <c r="Q6164" i="1" a="1"/>
  <c r="Q6164" i="1" s="1"/>
  <c r="L6164" i="1" a="1"/>
  <c r="L6164" i="1" s="1"/>
  <c r="S6164" i="1" a="1"/>
  <c r="S6164" i="1" s="1"/>
  <c r="B6165" i="1"/>
  <c r="M6164" i="1" a="1"/>
  <c r="M6164" i="1" s="1"/>
  <c r="R6164" i="1" a="1"/>
  <c r="R6164" i="1" s="1"/>
  <c r="A6166" i="1"/>
  <c r="A3556" i="1"/>
  <c r="I3555" i="1" a="1"/>
  <c r="I3555" i="1" s="1"/>
  <c r="H3555" i="1"/>
  <c r="I4452" i="1" a="1"/>
  <c r="I4452" i="1" s="1"/>
  <c r="K4452" i="1" a="1"/>
  <c r="K4452" i="1" s="1"/>
  <c r="C4453" i="1"/>
  <c r="H4452" i="1"/>
  <c r="I6164" i="1" l="1" a="1"/>
  <c r="I6164" i="1" s="1"/>
  <c r="J6164" i="1" a="1"/>
  <c r="J6164" i="1" s="1"/>
  <c r="C6165" i="1"/>
  <c r="K6165" i="1" s="1" a="1"/>
  <c r="K6165" i="1" s="1"/>
  <c r="H6164" i="1"/>
  <c r="A6167" i="1"/>
  <c r="P6165" i="1" a="1"/>
  <c r="P6165" i="1" s="1"/>
  <c r="B6166" i="1"/>
  <c r="N6165" i="1" a="1"/>
  <c r="N6165" i="1" s="1"/>
  <c r="Q6165" i="1" a="1"/>
  <c r="Q6165" i="1" s="1"/>
  <c r="M6165" i="1" a="1"/>
  <c r="M6165" i="1" s="1"/>
  <c r="R6165" i="1" a="1"/>
  <c r="R6165" i="1" s="1"/>
  <c r="S6165" i="1" a="1"/>
  <c r="S6165" i="1" s="1"/>
  <c r="A3557" i="1"/>
  <c r="I3556" i="1" a="1"/>
  <c r="I3556" i="1" s="1"/>
  <c r="H3556" i="1"/>
  <c r="I4453" i="1" a="1"/>
  <c r="I4453" i="1" s="1"/>
  <c r="K4453" i="1" a="1"/>
  <c r="K4453" i="1" s="1"/>
  <c r="H4453" i="1"/>
  <c r="I6165" i="1" l="1" a="1"/>
  <c r="I6165" i="1" s="1"/>
  <c r="J6165" i="1" a="1"/>
  <c r="J6165" i="1" s="1"/>
  <c r="L6165" i="1" a="1"/>
  <c r="L6165" i="1" s="1"/>
  <c r="O6165" i="1" a="1"/>
  <c r="O6165" i="1" s="1"/>
  <c r="C6166" i="1"/>
  <c r="J6166" i="1" s="1" a="1"/>
  <c r="J6166" i="1" s="1"/>
  <c r="H6165" i="1"/>
  <c r="A6168" i="1"/>
  <c r="B6167" i="1"/>
  <c r="P6166" i="1" a="1"/>
  <c r="P6166" i="1" s="1"/>
  <c r="Q6166" i="1" a="1"/>
  <c r="Q6166" i="1" s="1"/>
  <c r="S6166" i="1" a="1"/>
  <c r="S6166" i="1" s="1"/>
  <c r="N6166" i="1" a="1"/>
  <c r="N6166" i="1" s="1"/>
  <c r="K6166" i="1" a="1"/>
  <c r="K6166" i="1" s="1"/>
  <c r="M6166" i="1" a="1"/>
  <c r="M6166" i="1" s="1"/>
  <c r="R6166" i="1" a="1"/>
  <c r="R6166" i="1" s="1"/>
  <c r="A3558" i="1"/>
  <c r="I3557" i="1" a="1"/>
  <c r="I3557" i="1" s="1"/>
  <c r="H3557" i="1"/>
  <c r="I4454" i="1" a="1"/>
  <c r="I4454" i="1" s="1"/>
  <c r="K4454" i="1" a="1"/>
  <c r="K4454" i="1" s="1"/>
  <c r="H4454" i="1"/>
  <c r="I6166" i="1" l="1" a="1"/>
  <c r="I6166" i="1" s="1"/>
  <c r="L6166" i="1" a="1"/>
  <c r="L6166" i="1" s="1"/>
  <c r="O6166" i="1" a="1"/>
  <c r="O6166" i="1" s="1"/>
  <c r="C6167" i="1"/>
  <c r="O6167" i="1" s="1" a="1"/>
  <c r="O6167" i="1" s="1"/>
  <c r="H6166" i="1"/>
  <c r="A6169" i="1"/>
  <c r="Q6167" i="1" a="1"/>
  <c r="Q6167" i="1" s="1"/>
  <c r="M6167" i="1" a="1"/>
  <c r="M6167" i="1" s="1"/>
  <c r="S6167" i="1" a="1"/>
  <c r="S6167" i="1" s="1"/>
  <c r="N6167" i="1" a="1"/>
  <c r="N6167" i="1" s="1"/>
  <c r="B6168" i="1"/>
  <c r="K6167" i="1" a="1"/>
  <c r="K6167" i="1" s="1"/>
  <c r="P6167" i="1" a="1"/>
  <c r="P6167" i="1" s="1"/>
  <c r="R6167" i="1" a="1"/>
  <c r="R6167" i="1" s="1"/>
  <c r="A3559" i="1"/>
  <c r="I3558" i="1" a="1"/>
  <c r="I3558" i="1" s="1"/>
  <c r="H3558" i="1"/>
  <c r="I4455" i="1" a="1"/>
  <c r="I4455" i="1" s="1"/>
  <c r="K4455" i="1" a="1"/>
  <c r="K4455" i="1" s="1"/>
  <c r="C4456" i="1"/>
  <c r="H4455" i="1"/>
  <c r="J6167" i="1" l="1" a="1"/>
  <c r="J6167" i="1" s="1"/>
  <c r="I6167" i="1" a="1"/>
  <c r="I6167" i="1" s="1"/>
  <c r="L6167" i="1" a="1"/>
  <c r="L6167" i="1" s="1"/>
  <c r="C6168" i="1"/>
  <c r="L6168" i="1" s="1" a="1"/>
  <c r="L6168" i="1" s="1"/>
  <c r="H6167" i="1"/>
  <c r="A6170" i="1"/>
  <c r="M6168" i="1" a="1"/>
  <c r="M6168" i="1" s="1"/>
  <c r="R6168" i="1" a="1"/>
  <c r="R6168" i="1" s="1"/>
  <c r="Q6168" i="1" a="1"/>
  <c r="Q6168" i="1" s="1"/>
  <c r="S6168" i="1" a="1"/>
  <c r="S6168" i="1" s="1"/>
  <c r="N6168" i="1" a="1"/>
  <c r="N6168" i="1" s="1"/>
  <c r="B6169" i="1"/>
  <c r="P6168" i="1" a="1"/>
  <c r="P6168" i="1" s="1"/>
  <c r="J6168" i="1" a="1"/>
  <c r="J6168" i="1" s="1"/>
  <c r="K6168" i="1" a="1"/>
  <c r="K6168" i="1" s="1"/>
  <c r="A3560" i="1"/>
  <c r="I3559" i="1" a="1"/>
  <c r="I3559" i="1" s="1"/>
  <c r="H3559" i="1"/>
  <c r="I4456" i="1" a="1"/>
  <c r="I4456" i="1" s="1"/>
  <c r="K4456" i="1" a="1"/>
  <c r="K4456" i="1" s="1"/>
  <c r="H4456" i="1"/>
  <c r="I6168" i="1" l="1" a="1"/>
  <c r="I6168" i="1" s="1"/>
  <c r="O6168" i="1" a="1"/>
  <c r="O6168" i="1" s="1"/>
  <c r="C6169" i="1"/>
  <c r="J6169" i="1" s="1" a="1"/>
  <c r="J6169" i="1" s="1"/>
  <c r="H6168" i="1"/>
  <c r="N6169" i="1" a="1"/>
  <c r="N6169" i="1" s="1"/>
  <c r="S6169" i="1" a="1"/>
  <c r="S6169" i="1" s="1"/>
  <c r="K6169" i="1" a="1"/>
  <c r="K6169" i="1" s="1"/>
  <c r="Q6169" i="1" a="1"/>
  <c r="Q6169" i="1" s="1"/>
  <c r="R6169" i="1" a="1"/>
  <c r="R6169" i="1" s="1"/>
  <c r="M6169" i="1" a="1"/>
  <c r="M6169" i="1" s="1"/>
  <c r="B6170" i="1"/>
  <c r="P6169" i="1" a="1"/>
  <c r="P6169" i="1" s="1"/>
  <c r="A6171" i="1"/>
  <c r="A3561" i="1"/>
  <c r="I3560" i="1" a="1"/>
  <c r="I3560" i="1" s="1"/>
  <c r="H3560" i="1"/>
  <c r="I4457" i="1" a="1"/>
  <c r="I4457" i="1" s="1"/>
  <c r="K4457" i="1" a="1"/>
  <c r="K4457" i="1" s="1"/>
  <c r="H4457" i="1"/>
  <c r="I6169" i="1" l="1" a="1"/>
  <c r="I6169" i="1" s="1"/>
  <c r="O6169" i="1" a="1"/>
  <c r="O6169" i="1" s="1"/>
  <c r="L6169" i="1" a="1"/>
  <c r="L6169" i="1" s="1"/>
  <c r="C6170" i="1"/>
  <c r="K6170" i="1" s="1" a="1"/>
  <c r="K6170" i="1" s="1"/>
  <c r="H6169" i="1"/>
  <c r="B6171" i="1"/>
  <c r="S6170" i="1" a="1"/>
  <c r="S6170" i="1" s="1"/>
  <c r="P6170" i="1" a="1"/>
  <c r="P6170" i="1" s="1"/>
  <c r="Q6170" i="1" a="1"/>
  <c r="Q6170" i="1" s="1"/>
  <c r="R6170" i="1" a="1"/>
  <c r="R6170" i="1" s="1"/>
  <c r="M6170" i="1" a="1"/>
  <c r="M6170" i="1" s="1"/>
  <c r="N6170" i="1" a="1"/>
  <c r="N6170" i="1" s="1"/>
  <c r="A6172" i="1"/>
  <c r="A3562" i="1"/>
  <c r="I3561" i="1" a="1"/>
  <c r="I3561" i="1" s="1"/>
  <c r="H3561" i="1"/>
  <c r="I4458" i="1" a="1"/>
  <c r="I4458" i="1" s="1"/>
  <c r="K4458" i="1" a="1"/>
  <c r="K4458" i="1" s="1"/>
  <c r="C4459" i="1"/>
  <c r="H4458" i="1"/>
  <c r="J6170" i="1" l="1" a="1"/>
  <c r="J6170" i="1" s="1"/>
  <c r="L6170" i="1" a="1"/>
  <c r="L6170" i="1" s="1"/>
  <c r="I6170" i="1" a="1"/>
  <c r="I6170" i="1" s="1"/>
  <c r="O6170" i="1" a="1"/>
  <c r="O6170" i="1" s="1"/>
  <c r="C6171" i="1"/>
  <c r="O6171" i="1" s="1" a="1"/>
  <c r="O6171" i="1" s="1"/>
  <c r="H6170" i="1"/>
  <c r="A6173" i="1"/>
  <c r="P6171" i="1" a="1"/>
  <c r="P6171" i="1" s="1"/>
  <c r="B6172" i="1"/>
  <c r="Q6171" i="1" a="1"/>
  <c r="Q6171" i="1" s="1"/>
  <c r="R6171" i="1" a="1"/>
  <c r="R6171" i="1" s="1"/>
  <c r="M6171" i="1" a="1"/>
  <c r="M6171" i="1" s="1"/>
  <c r="N6171" i="1" a="1"/>
  <c r="N6171" i="1" s="1"/>
  <c r="S6171" i="1" a="1"/>
  <c r="S6171" i="1" s="1"/>
  <c r="A3563" i="1"/>
  <c r="I3562" i="1" a="1"/>
  <c r="I3562" i="1" s="1"/>
  <c r="H3562" i="1"/>
  <c r="I4459" i="1" a="1"/>
  <c r="I4459" i="1" s="1"/>
  <c r="K4459" i="1" a="1"/>
  <c r="K4459" i="1" s="1"/>
  <c r="H4459" i="1"/>
  <c r="J6171" i="1" l="1" a="1"/>
  <c r="J6171" i="1" s="1"/>
  <c r="L6171" i="1" a="1"/>
  <c r="L6171" i="1" s="1"/>
  <c r="I6171" i="1" a="1"/>
  <c r="I6171" i="1" s="1"/>
  <c r="K6171" i="1" a="1"/>
  <c r="K6171" i="1" s="1"/>
  <c r="C6172" i="1"/>
  <c r="J6172" i="1" s="1" a="1"/>
  <c r="J6172" i="1" s="1"/>
  <c r="H6171" i="1"/>
  <c r="A6174" i="1"/>
  <c r="P6172" i="1" a="1"/>
  <c r="P6172" i="1" s="1"/>
  <c r="B6173" i="1"/>
  <c r="N6172" i="1" a="1"/>
  <c r="N6172" i="1" s="1"/>
  <c r="Q6172" i="1" a="1"/>
  <c r="Q6172" i="1" s="1"/>
  <c r="K6172" i="1" a="1"/>
  <c r="K6172" i="1" s="1"/>
  <c r="M6172" i="1" a="1"/>
  <c r="M6172" i="1" s="1"/>
  <c r="R6172" i="1" a="1"/>
  <c r="R6172" i="1" s="1"/>
  <c r="S6172" i="1" a="1"/>
  <c r="S6172" i="1" s="1"/>
  <c r="A3564" i="1"/>
  <c r="I3563" i="1" a="1"/>
  <c r="I3563" i="1" s="1"/>
  <c r="H3563" i="1"/>
  <c r="I4460" i="1" a="1"/>
  <c r="I4460" i="1" s="1"/>
  <c r="K4460" i="1" a="1"/>
  <c r="K4460" i="1" s="1"/>
  <c r="C4461" i="1"/>
  <c r="H4460" i="1"/>
  <c r="I6172" i="1" l="1" a="1"/>
  <c r="I6172" i="1" s="1"/>
  <c r="L6172" i="1" a="1"/>
  <c r="L6172" i="1" s="1"/>
  <c r="O6172" i="1" a="1"/>
  <c r="O6172" i="1" s="1"/>
  <c r="C6173" i="1"/>
  <c r="L6173" i="1" s="1" a="1"/>
  <c r="L6173" i="1" s="1"/>
  <c r="H6172" i="1"/>
  <c r="Q6173" i="1" a="1"/>
  <c r="Q6173" i="1" s="1"/>
  <c r="N6173" i="1" a="1"/>
  <c r="N6173" i="1" s="1"/>
  <c r="B6174" i="1"/>
  <c r="P6173" i="1" a="1"/>
  <c r="P6173" i="1" s="1"/>
  <c r="R6173" i="1" a="1"/>
  <c r="R6173" i="1" s="1"/>
  <c r="S6173" i="1" a="1"/>
  <c r="S6173" i="1" s="1"/>
  <c r="M6173" i="1" a="1"/>
  <c r="M6173" i="1" s="1"/>
  <c r="A6175" i="1"/>
  <c r="A3565" i="1"/>
  <c r="I3564" i="1" a="1"/>
  <c r="I3564" i="1" s="1"/>
  <c r="H3564" i="1"/>
  <c r="I4461" i="1" a="1"/>
  <c r="I4461" i="1" s="1"/>
  <c r="K4461" i="1" a="1"/>
  <c r="K4461" i="1" s="1"/>
  <c r="H4461" i="1"/>
  <c r="J6173" i="1" l="1" a="1"/>
  <c r="J6173" i="1" s="1"/>
  <c r="K6173" i="1" a="1"/>
  <c r="K6173" i="1" s="1"/>
  <c r="I6173" i="1" a="1"/>
  <c r="I6173" i="1" s="1"/>
  <c r="O6173" i="1" a="1"/>
  <c r="O6173" i="1" s="1"/>
  <c r="C6174" i="1"/>
  <c r="O6174" i="1" s="1" a="1"/>
  <c r="O6174" i="1" s="1"/>
  <c r="H6173" i="1"/>
  <c r="A6176" i="1"/>
  <c r="B6175" i="1"/>
  <c r="M6174" i="1" a="1"/>
  <c r="M6174" i="1" s="1"/>
  <c r="R6174" i="1" a="1"/>
  <c r="R6174" i="1" s="1"/>
  <c r="S6174" i="1" a="1"/>
  <c r="S6174" i="1" s="1"/>
  <c r="N6174" i="1" a="1"/>
  <c r="N6174" i="1" s="1"/>
  <c r="K6174" i="1" a="1"/>
  <c r="K6174" i="1" s="1"/>
  <c r="P6174" i="1" a="1"/>
  <c r="P6174" i="1" s="1"/>
  <c r="Q6174" i="1" a="1"/>
  <c r="Q6174" i="1" s="1"/>
  <c r="A3566" i="1"/>
  <c r="I3565" i="1" a="1"/>
  <c r="I3565" i="1" s="1"/>
  <c r="H3565" i="1"/>
  <c r="I4462" i="1" a="1"/>
  <c r="I4462" i="1" s="1"/>
  <c r="K4462" i="1" a="1"/>
  <c r="K4462" i="1" s="1"/>
  <c r="C4463" i="1"/>
  <c r="H4462" i="1"/>
  <c r="J6174" i="1" l="1" a="1"/>
  <c r="J6174" i="1" s="1"/>
  <c r="I6174" i="1" a="1"/>
  <c r="I6174" i="1" s="1"/>
  <c r="L6174" i="1" a="1"/>
  <c r="L6174" i="1" s="1"/>
  <c r="C6175" i="1"/>
  <c r="L6175" i="1" s="1" a="1"/>
  <c r="L6175" i="1" s="1"/>
  <c r="H6174" i="1"/>
  <c r="R6175" i="1" a="1"/>
  <c r="R6175" i="1" s="1"/>
  <c r="N6175" i="1" a="1"/>
  <c r="N6175" i="1" s="1"/>
  <c r="S6175" i="1" a="1"/>
  <c r="S6175" i="1" s="1"/>
  <c r="M6175" i="1" a="1"/>
  <c r="M6175" i="1" s="1"/>
  <c r="B6176" i="1"/>
  <c r="P6175" i="1" a="1"/>
  <c r="P6175" i="1" s="1"/>
  <c r="Q6175" i="1" a="1"/>
  <c r="Q6175" i="1" s="1"/>
  <c r="A6177" i="1"/>
  <c r="A3567" i="1"/>
  <c r="I3566" i="1" a="1"/>
  <c r="I3566" i="1" s="1"/>
  <c r="H3566" i="1"/>
  <c r="I4463" i="1" a="1"/>
  <c r="I4463" i="1" s="1"/>
  <c r="K4463" i="1" a="1"/>
  <c r="K4463" i="1" s="1"/>
  <c r="C4464" i="1"/>
  <c r="H4463" i="1"/>
  <c r="K6175" i="1" l="1" a="1"/>
  <c r="K6175" i="1" s="1"/>
  <c r="J6175" i="1" a="1"/>
  <c r="J6175" i="1" s="1"/>
  <c r="I6175" i="1" a="1"/>
  <c r="I6175" i="1" s="1"/>
  <c r="O6175" i="1" a="1"/>
  <c r="O6175" i="1" s="1"/>
  <c r="C6176" i="1"/>
  <c r="O6176" i="1" s="1" a="1"/>
  <c r="O6176" i="1" s="1"/>
  <c r="H6175" i="1"/>
  <c r="N6176" i="1" a="1"/>
  <c r="N6176" i="1" s="1"/>
  <c r="S6176" i="1" a="1"/>
  <c r="S6176" i="1" s="1"/>
  <c r="Q6176" i="1" a="1"/>
  <c r="Q6176" i="1" s="1"/>
  <c r="R6176" i="1" a="1"/>
  <c r="R6176" i="1" s="1"/>
  <c r="M6176" i="1" a="1"/>
  <c r="M6176" i="1" s="1"/>
  <c r="B6177" i="1"/>
  <c r="K6176" i="1" a="1"/>
  <c r="K6176" i="1" s="1"/>
  <c r="P6176" i="1" a="1"/>
  <c r="P6176" i="1" s="1"/>
  <c r="A6178" i="1"/>
  <c r="A3568" i="1"/>
  <c r="I3567" i="1" a="1"/>
  <c r="I3567" i="1" s="1"/>
  <c r="H3567" i="1"/>
  <c r="I4464" i="1" a="1"/>
  <c r="I4464" i="1" s="1"/>
  <c r="K4464" i="1" a="1"/>
  <c r="K4464" i="1" s="1"/>
  <c r="H4464" i="1"/>
  <c r="J6176" i="1" l="1" a="1"/>
  <c r="J6176" i="1" s="1"/>
  <c r="L6176" i="1" a="1"/>
  <c r="L6176" i="1" s="1"/>
  <c r="I6176" i="1" a="1"/>
  <c r="I6176" i="1" s="1"/>
  <c r="C6177" i="1"/>
  <c r="K6177" i="1" s="1" a="1"/>
  <c r="K6177" i="1" s="1"/>
  <c r="H6176" i="1"/>
  <c r="A6179" i="1"/>
  <c r="Q6177" i="1" a="1"/>
  <c r="Q6177" i="1" s="1"/>
  <c r="R6177" i="1" a="1"/>
  <c r="R6177" i="1" s="1"/>
  <c r="M6177" i="1" a="1"/>
  <c r="M6177" i="1" s="1"/>
  <c r="S6177" i="1" a="1"/>
  <c r="S6177" i="1" s="1"/>
  <c r="N6177" i="1" a="1"/>
  <c r="N6177" i="1" s="1"/>
  <c r="P6177" i="1" a="1"/>
  <c r="P6177" i="1" s="1"/>
  <c r="B6178" i="1"/>
  <c r="A3569" i="1"/>
  <c r="I3568" i="1" a="1"/>
  <c r="I3568" i="1" s="1"/>
  <c r="H3568" i="1"/>
  <c r="I4465" i="1" a="1"/>
  <c r="I4465" i="1" s="1"/>
  <c r="K4465" i="1" a="1"/>
  <c r="K4465" i="1" s="1"/>
  <c r="C4466" i="1"/>
  <c r="H4465" i="1"/>
  <c r="I6177" i="1" l="1" a="1"/>
  <c r="I6177" i="1" s="1"/>
  <c r="J6177" i="1" a="1"/>
  <c r="J6177" i="1" s="1"/>
  <c r="L6177" i="1" a="1"/>
  <c r="L6177" i="1" s="1"/>
  <c r="O6177" i="1" a="1"/>
  <c r="O6177" i="1" s="1"/>
  <c r="C6178" i="1"/>
  <c r="K6178" i="1" s="1" a="1"/>
  <c r="K6178" i="1" s="1"/>
  <c r="H6177" i="1"/>
  <c r="B6179" i="1"/>
  <c r="P6178" i="1" a="1"/>
  <c r="P6178" i="1" s="1"/>
  <c r="Q6178" i="1" a="1"/>
  <c r="Q6178" i="1" s="1"/>
  <c r="R6178" i="1" a="1"/>
  <c r="R6178" i="1" s="1"/>
  <c r="M6178" i="1" a="1"/>
  <c r="M6178" i="1" s="1"/>
  <c r="S6178" i="1" a="1"/>
  <c r="S6178" i="1" s="1"/>
  <c r="N6178" i="1" a="1"/>
  <c r="N6178" i="1" s="1"/>
  <c r="A6180" i="1"/>
  <c r="A3570" i="1"/>
  <c r="I3569" i="1" a="1"/>
  <c r="I3569" i="1" s="1"/>
  <c r="H3569" i="1"/>
  <c r="I4466" i="1" a="1"/>
  <c r="I4466" i="1" s="1"/>
  <c r="K4466" i="1" a="1"/>
  <c r="K4466" i="1" s="1"/>
  <c r="H4466" i="1"/>
  <c r="J6178" i="1" l="1" a="1"/>
  <c r="J6178" i="1" s="1"/>
  <c r="I6178" i="1" a="1"/>
  <c r="I6178" i="1" s="1"/>
  <c r="O6178" i="1" a="1"/>
  <c r="O6178" i="1" s="1"/>
  <c r="L6178" i="1" a="1"/>
  <c r="L6178" i="1" s="1"/>
  <c r="C6179" i="1"/>
  <c r="L6179" i="1" s="1" a="1"/>
  <c r="L6179" i="1" s="1"/>
  <c r="H6178" i="1"/>
  <c r="A6181" i="1"/>
  <c r="Q6179" i="1" a="1"/>
  <c r="Q6179" i="1" s="1"/>
  <c r="B6180" i="1"/>
  <c r="P6179" i="1" a="1"/>
  <c r="P6179" i="1" s="1"/>
  <c r="R6179" i="1" a="1"/>
  <c r="R6179" i="1" s="1"/>
  <c r="S6179" i="1" a="1"/>
  <c r="S6179" i="1" s="1"/>
  <c r="M6179" i="1" a="1"/>
  <c r="M6179" i="1" s="1"/>
  <c r="N6179" i="1" a="1"/>
  <c r="N6179" i="1" s="1"/>
  <c r="A3571" i="1"/>
  <c r="I3570" i="1" a="1"/>
  <c r="I3570" i="1" s="1"/>
  <c r="H3570" i="1"/>
  <c r="I4467" i="1" a="1"/>
  <c r="I4467" i="1" s="1"/>
  <c r="K4467" i="1" a="1"/>
  <c r="K4467" i="1" s="1"/>
  <c r="C4468" i="1"/>
  <c r="H4467" i="1"/>
  <c r="I6179" i="1" l="1" a="1"/>
  <c r="I6179" i="1" s="1"/>
  <c r="K6179" i="1" a="1"/>
  <c r="K6179" i="1" s="1"/>
  <c r="J6179" i="1" a="1"/>
  <c r="J6179" i="1" s="1"/>
  <c r="O6179" i="1" a="1"/>
  <c r="O6179" i="1" s="1"/>
  <c r="C6180" i="1"/>
  <c r="O6180" i="1" s="1" a="1"/>
  <c r="O6180" i="1" s="1"/>
  <c r="H6179" i="1"/>
  <c r="Q6180" i="1" a="1"/>
  <c r="Q6180" i="1" s="1"/>
  <c r="M6180" i="1" a="1"/>
  <c r="M6180" i="1" s="1"/>
  <c r="N6180" i="1" a="1"/>
  <c r="N6180" i="1" s="1"/>
  <c r="B6181" i="1"/>
  <c r="P6180" i="1" a="1"/>
  <c r="P6180" i="1" s="1"/>
  <c r="K6180" i="1" a="1"/>
  <c r="K6180" i="1" s="1"/>
  <c r="R6180" i="1" a="1"/>
  <c r="R6180" i="1" s="1"/>
  <c r="S6180" i="1" a="1"/>
  <c r="S6180" i="1" s="1"/>
  <c r="A6182" i="1"/>
  <c r="A3572" i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6180" i="1" l="1" a="1"/>
  <c r="I6180" i="1" s="1"/>
  <c r="J6180" i="1" a="1"/>
  <c r="J6180" i="1" s="1"/>
  <c r="L6180" i="1" a="1"/>
  <c r="L6180" i="1" s="1"/>
  <c r="C6181" i="1"/>
  <c r="I6181" i="1" s="1" a="1"/>
  <c r="I6181" i="1" s="1"/>
  <c r="H6180" i="1"/>
  <c r="M6181" i="1" a="1"/>
  <c r="M6181" i="1" s="1"/>
  <c r="R6181" i="1" a="1"/>
  <c r="R6181" i="1" s="1"/>
  <c r="N6181" i="1" a="1"/>
  <c r="N6181" i="1" s="1"/>
  <c r="B6182" i="1"/>
  <c r="P6181" i="1" a="1"/>
  <c r="P6181" i="1" s="1"/>
  <c r="K6181" i="1" a="1"/>
  <c r="K6181" i="1" s="1"/>
  <c r="Q6181" i="1" a="1"/>
  <c r="Q6181" i="1" s="1"/>
  <c r="S6181" i="1" a="1"/>
  <c r="S6181" i="1" s="1"/>
  <c r="A6183" i="1"/>
  <c r="I3572" i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L6181" i="1" l="1" a="1"/>
  <c r="L6181" i="1" s="1"/>
  <c r="O6181" i="1" a="1"/>
  <c r="O6181" i="1" s="1"/>
  <c r="J6181" i="1" a="1"/>
  <c r="J6181" i="1" s="1"/>
  <c r="C6182" i="1"/>
  <c r="O6182" i="1" s="1" a="1"/>
  <c r="O6182" i="1" s="1"/>
  <c r="H6181" i="1"/>
  <c r="A6184" i="1"/>
  <c r="B6183" i="1"/>
  <c r="N6182" i="1" a="1"/>
  <c r="N6182" i="1" s="1"/>
  <c r="S6182" i="1" a="1"/>
  <c r="S6182" i="1" s="1"/>
  <c r="R6182" i="1" a="1"/>
  <c r="R6182" i="1" s="1"/>
  <c r="M6182" i="1" a="1"/>
  <c r="M6182" i="1" s="1"/>
  <c r="P6182" i="1" a="1"/>
  <c r="P6182" i="1" s="1"/>
  <c r="Q6182" i="1" a="1"/>
  <c r="Q6182" i="1" s="1"/>
  <c r="K6182" i="1" a="1"/>
  <c r="K6182" i="1" s="1"/>
  <c r="I4470" i="1" a="1"/>
  <c r="I4470" i="1" s="1"/>
  <c r="K4470" i="1" a="1"/>
  <c r="K4470" i="1" s="1"/>
  <c r="H4470" i="1"/>
  <c r="O4470" i="1" a="1"/>
  <c r="O4470" i="1" s="1"/>
  <c r="J6182" i="1" l="1" a="1"/>
  <c r="J6182" i="1" s="1"/>
  <c r="L6182" i="1" a="1"/>
  <c r="L6182" i="1" s="1"/>
  <c r="I6182" i="1" a="1"/>
  <c r="I6182" i="1" s="1"/>
  <c r="C6183" i="1"/>
  <c r="L6183" i="1" s="1" a="1"/>
  <c r="L6183" i="1" s="1"/>
  <c r="H6182" i="1"/>
  <c r="S6183" i="1" a="1"/>
  <c r="S6183" i="1" s="1"/>
  <c r="R6183" i="1" a="1"/>
  <c r="R6183" i="1" s="1"/>
  <c r="M6183" i="1" a="1"/>
  <c r="M6183" i="1" s="1"/>
  <c r="B6184" i="1"/>
  <c r="N6183" i="1" a="1"/>
  <c r="N6183" i="1" s="1"/>
  <c r="Q6183" i="1" a="1"/>
  <c r="Q6183" i="1" s="1"/>
  <c r="K6183" i="1" a="1"/>
  <c r="K6183" i="1" s="1"/>
  <c r="P6183" i="1" a="1"/>
  <c r="P6183" i="1" s="1"/>
  <c r="A6185" i="1"/>
  <c r="I4471" i="1" a="1"/>
  <c r="I4471" i="1" s="1"/>
  <c r="K4471" i="1" a="1"/>
  <c r="K4471" i="1" s="1"/>
  <c r="C4472" i="1"/>
  <c r="H4471" i="1"/>
  <c r="O4471" i="1" a="1"/>
  <c r="O4471" i="1" s="1"/>
  <c r="J6183" i="1" l="1" a="1"/>
  <c r="J6183" i="1" s="1"/>
  <c r="I6183" i="1" a="1"/>
  <c r="I6183" i="1" s="1"/>
  <c r="O6183" i="1" a="1"/>
  <c r="O6183" i="1" s="1"/>
  <c r="C6184" i="1"/>
  <c r="O6184" i="1" s="1" a="1"/>
  <c r="O6184" i="1" s="1"/>
  <c r="H6183" i="1"/>
  <c r="K6184" i="1" a="1"/>
  <c r="K6184" i="1" s="1"/>
  <c r="P6184" i="1" a="1"/>
  <c r="P6184" i="1" s="1"/>
  <c r="B6185" i="1"/>
  <c r="J6184" i="1" a="1"/>
  <c r="J6184" i="1" s="1"/>
  <c r="Q6184" i="1" a="1"/>
  <c r="Q6184" i="1" s="1"/>
  <c r="R6184" i="1" a="1"/>
  <c r="R6184" i="1" s="1"/>
  <c r="M6184" i="1" a="1"/>
  <c r="M6184" i="1" s="1"/>
  <c r="S6184" i="1" a="1"/>
  <c r="S6184" i="1" s="1"/>
  <c r="N6184" i="1" a="1"/>
  <c r="N6184" i="1" s="1"/>
  <c r="A6186" i="1"/>
  <c r="L4474" i="1" a="1"/>
  <c r="L4474" i="1" s="1"/>
  <c r="I4472" i="1" a="1"/>
  <c r="I4472" i="1" s="1"/>
  <c r="K4472" i="1" a="1"/>
  <c r="K4472" i="1" s="1"/>
  <c r="H4472" i="1"/>
  <c r="O4472" i="1" a="1"/>
  <c r="O4472" i="1" s="1"/>
  <c r="I6184" i="1" l="1" a="1"/>
  <c r="I6184" i="1" s="1"/>
  <c r="L6184" i="1" a="1"/>
  <c r="L6184" i="1" s="1"/>
  <c r="C6185" i="1"/>
  <c r="L6185" i="1" s="1" a="1"/>
  <c r="L6185" i="1" s="1"/>
  <c r="H6184" i="1"/>
  <c r="A6187" i="1"/>
  <c r="P6185" i="1" a="1"/>
  <c r="P6185" i="1" s="1"/>
  <c r="B6186" i="1"/>
  <c r="Q6185" i="1" a="1"/>
  <c r="Q6185" i="1" s="1"/>
  <c r="R6185" i="1" a="1"/>
  <c r="R6185" i="1" s="1"/>
  <c r="M6185" i="1" a="1"/>
  <c r="M6185" i="1" s="1"/>
  <c r="S6185" i="1" a="1"/>
  <c r="S6185" i="1" s="1"/>
  <c r="N6185" i="1" a="1"/>
  <c r="N6185" i="1" s="1"/>
  <c r="I4473" i="1" a="1"/>
  <c r="I4473" i="1" s="1"/>
  <c r="K4473" i="1" a="1"/>
  <c r="K4473" i="1" s="1"/>
  <c r="H4473" i="1"/>
  <c r="O4473" i="1" a="1"/>
  <c r="O4473" i="1" s="1"/>
  <c r="I6185" i="1" l="1" a="1"/>
  <c r="I6185" i="1" s="1"/>
  <c r="J6185" i="1" a="1"/>
  <c r="J6185" i="1" s="1"/>
  <c r="O6185" i="1" a="1"/>
  <c r="O6185" i="1" s="1"/>
  <c r="K6185" i="1" a="1"/>
  <c r="K6185" i="1" s="1"/>
  <c r="C6186" i="1"/>
  <c r="L6186" i="1" s="1" a="1"/>
  <c r="L6186" i="1" s="1"/>
  <c r="H6185" i="1"/>
  <c r="Q6186" i="1" a="1"/>
  <c r="Q6186" i="1" s="1"/>
  <c r="I6186" i="1" a="1"/>
  <c r="I6186" i="1" s="1"/>
  <c r="N6186" i="1" a="1"/>
  <c r="N6186" i="1" s="1"/>
  <c r="S6186" i="1" a="1"/>
  <c r="S6186" i="1" s="1"/>
  <c r="B6187" i="1"/>
  <c r="K6186" i="1" a="1"/>
  <c r="K6186" i="1" s="1"/>
  <c r="P6186" i="1" a="1"/>
  <c r="P6186" i="1" s="1"/>
  <c r="M6186" i="1" a="1"/>
  <c r="M6186" i="1" s="1"/>
  <c r="R6186" i="1" a="1"/>
  <c r="R6186" i="1" s="1"/>
  <c r="A6188" i="1"/>
  <c r="I4474" i="1" a="1"/>
  <c r="I4474" i="1" s="1"/>
  <c r="K4474" i="1" a="1"/>
  <c r="K4474" i="1" s="1"/>
  <c r="C4475" i="1"/>
  <c r="H4474" i="1"/>
  <c r="O4474" i="1" a="1"/>
  <c r="O4474" i="1" s="1"/>
  <c r="J6186" i="1" l="1" a="1"/>
  <c r="J6186" i="1" s="1"/>
  <c r="O6186" i="1" a="1"/>
  <c r="O6186" i="1" s="1"/>
  <c r="C6187" i="1"/>
  <c r="J6187" i="1" s="1" a="1"/>
  <c r="J6187" i="1" s="1"/>
  <c r="H6186" i="1"/>
  <c r="P6187" i="1" a="1"/>
  <c r="P6187" i="1" s="1"/>
  <c r="K6187" i="1" a="1"/>
  <c r="K6187" i="1" s="1"/>
  <c r="B6188" i="1"/>
  <c r="Q6187" i="1" a="1"/>
  <c r="Q6187" i="1" s="1"/>
  <c r="M6187" i="1" a="1"/>
  <c r="M6187" i="1" s="1"/>
  <c r="N6187" i="1" a="1"/>
  <c r="N6187" i="1" s="1"/>
  <c r="R6187" i="1" a="1"/>
  <c r="R6187" i="1" s="1"/>
  <c r="S6187" i="1" a="1"/>
  <c r="S6187" i="1" s="1"/>
  <c r="A6189" i="1"/>
  <c r="L4475" i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O6187" i="1" l="1" a="1"/>
  <c r="O6187" i="1" s="1"/>
  <c r="I6187" i="1" a="1"/>
  <c r="I6187" i="1" s="1"/>
  <c r="L6187" i="1" a="1"/>
  <c r="L6187" i="1" s="1"/>
  <c r="C6188" i="1"/>
  <c r="L6188" i="1" s="1" a="1"/>
  <c r="L6188" i="1" s="1"/>
  <c r="H6187" i="1"/>
  <c r="K6188" i="1" a="1"/>
  <c r="K6188" i="1" s="1"/>
  <c r="S6188" i="1" a="1"/>
  <c r="S6188" i="1" s="1"/>
  <c r="P6188" i="1" a="1"/>
  <c r="P6188" i="1" s="1"/>
  <c r="B6189" i="1"/>
  <c r="Q6188" i="1" a="1"/>
  <c r="Q6188" i="1" s="1"/>
  <c r="M6188" i="1" a="1"/>
  <c r="M6188" i="1" s="1"/>
  <c r="R6188" i="1" a="1"/>
  <c r="R6188" i="1" s="1"/>
  <c r="N6188" i="1" a="1"/>
  <c r="N6188" i="1" s="1"/>
  <c r="A6190" i="1"/>
  <c r="I4476" i="1" a="1"/>
  <c r="I4476" i="1" s="1"/>
  <c r="K4476" i="1" a="1"/>
  <c r="K4476" i="1" s="1"/>
  <c r="L4477" i="1" a="1"/>
  <c r="L4477" i="1" s="1"/>
  <c r="H4476" i="1"/>
  <c r="O4476" i="1" a="1"/>
  <c r="O4476" i="1" s="1"/>
  <c r="J6188" i="1" l="1" a="1"/>
  <c r="J6188" i="1" s="1"/>
  <c r="I6188" i="1" a="1"/>
  <c r="I6188" i="1" s="1"/>
  <c r="O6188" i="1" a="1"/>
  <c r="O6188" i="1" s="1"/>
  <c r="C6189" i="1"/>
  <c r="J6189" i="1" s="1" a="1"/>
  <c r="J6189" i="1" s="1"/>
  <c r="H6188" i="1"/>
  <c r="A6191" i="1"/>
  <c r="N6189" i="1" a="1"/>
  <c r="N6189" i="1" s="1"/>
  <c r="R6189" i="1" a="1"/>
  <c r="R6189" i="1" s="1"/>
  <c r="Q6189" i="1" a="1"/>
  <c r="Q6189" i="1" s="1"/>
  <c r="M6189" i="1" a="1"/>
  <c r="M6189" i="1" s="1"/>
  <c r="S6189" i="1" a="1"/>
  <c r="S6189" i="1" s="1"/>
  <c r="B6190" i="1"/>
  <c r="P6189" i="1" a="1"/>
  <c r="P6189" i="1" s="1"/>
  <c r="I4477" i="1" a="1"/>
  <c r="I4477" i="1" s="1"/>
  <c r="K4477" i="1" a="1"/>
  <c r="K4477" i="1" s="1"/>
  <c r="C4478" i="1"/>
  <c r="H4477" i="1"/>
  <c r="O4477" i="1" a="1"/>
  <c r="O4477" i="1" s="1"/>
  <c r="I6189" i="1" l="1" a="1"/>
  <c r="I6189" i="1" s="1"/>
  <c r="L6189" i="1" a="1"/>
  <c r="L6189" i="1" s="1"/>
  <c r="O6189" i="1" a="1"/>
  <c r="O6189" i="1" s="1"/>
  <c r="K6189" i="1" a="1"/>
  <c r="K6189" i="1" s="1"/>
  <c r="C6190" i="1"/>
  <c r="O6190" i="1" s="1" a="1"/>
  <c r="O6190" i="1" s="1"/>
  <c r="H6189" i="1"/>
  <c r="A6192" i="1"/>
  <c r="M6190" i="1" a="1"/>
  <c r="M6190" i="1" s="1"/>
  <c r="Q6190" i="1" a="1"/>
  <c r="Q6190" i="1" s="1"/>
  <c r="R6190" i="1" a="1"/>
  <c r="R6190" i="1" s="1"/>
  <c r="N6190" i="1" a="1"/>
  <c r="N6190" i="1" s="1"/>
  <c r="S6190" i="1" a="1"/>
  <c r="S6190" i="1" s="1"/>
  <c r="B6191" i="1"/>
  <c r="K6190" i="1" a="1"/>
  <c r="K6190" i="1" s="1"/>
  <c r="P6190" i="1" a="1"/>
  <c r="P6190" i="1" s="1"/>
  <c r="L4478" i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6190" i="1" l="1" a="1"/>
  <c r="I6190" i="1" s="1"/>
  <c r="J6190" i="1" a="1"/>
  <c r="J6190" i="1" s="1"/>
  <c r="L6190" i="1" a="1"/>
  <c r="L6190" i="1" s="1"/>
  <c r="C6191" i="1"/>
  <c r="L6191" i="1" s="1" a="1"/>
  <c r="L6191" i="1" s="1"/>
  <c r="H6190" i="1"/>
  <c r="P6191" i="1" a="1"/>
  <c r="P6191" i="1" s="1"/>
  <c r="I6191" i="1" a="1"/>
  <c r="I6191" i="1" s="1"/>
  <c r="R6191" i="1" a="1"/>
  <c r="R6191" i="1" s="1"/>
  <c r="N6191" i="1" a="1"/>
  <c r="N6191" i="1" s="1"/>
  <c r="J6191" i="1" a="1"/>
  <c r="J6191" i="1" s="1"/>
  <c r="S6191" i="1" a="1"/>
  <c r="S6191" i="1" s="1"/>
  <c r="K6191" i="1" a="1"/>
  <c r="K6191" i="1" s="1"/>
  <c r="B6192" i="1"/>
  <c r="M6191" i="1" a="1"/>
  <c r="M6191" i="1" s="1"/>
  <c r="Q6191" i="1" a="1"/>
  <c r="Q6191" i="1" s="1"/>
  <c r="A6193" i="1"/>
  <c r="I4479" i="1" a="1"/>
  <c r="I4479" i="1" s="1"/>
  <c r="K4479" i="1" a="1"/>
  <c r="K4479" i="1" s="1"/>
  <c r="L4480" i="1" a="1"/>
  <c r="L4480" i="1" s="1"/>
  <c r="H4479" i="1"/>
  <c r="O4479" i="1" a="1"/>
  <c r="O4479" i="1" s="1"/>
  <c r="O6191" i="1" l="1" a="1"/>
  <c r="O6191" i="1" s="1"/>
  <c r="C6192" i="1"/>
  <c r="K6192" i="1" s="1" a="1"/>
  <c r="K6192" i="1" s="1"/>
  <c r="H6191" i="1"/>
  <c r="A6194" i="1"/>
  <c r="O6192" i="1" a="1"/>
  <c r="O6192" i="1" s="1"/>
  <c r="S6192" i="1" a="1"/>
  <c r="S6192" i="1" s="1"/>
  <c r="N6192" i="1" a="1"/>
  <c r="N6192" i="1" s="1"/>
  <c r="P6192" i="1" a="1"/>
  <c r="P6192" i="1" s="1"/>
  <c r="B6193" i="1"/>
  <c r="R6192" i="1" a="1"/>
  <c r="R6192" i="1" s="1"/>
  <c r="M6192" i="1" a="1"/>
  <c r="M6192" i="1" s="1"/>
  <c r="Q6192" i="1" a="1"/>
  <c r="Q6192" i="1" s="1"/>
  <c r="I4480" i="1" a="1"/>
  <c r="I4480" i="1" s="1"/>
  <c r="K4480" i="1" a="1"/>
  <c r="K4480" i="1" s="1"/>
  <c r="L4481" i="1" a="1"/>
  <c r="L4481" i="1" s="1"/>
  <c r="H4480" i="1"/>
  <c r="O4480" i="1" a="1"/>
  <c r="O4480" i="1" s="1"/>
  <c r="I6192" i="1" l="1" a="1"/>
  <c r="I6192" i="1" s="1"/>
  <c r="J6192" i="1" a="1"/>
  <c r="J6192" i="1" s="1"/>
  <c r="L6192" i="1" a="1"/>
  <c r="L6192" i="1" s="1"/>
  <c r="C6193" i="1"/>
  <c r="J6193" i="1" s="1" a="1"/>
  <c r="J6193" i="1" s="1"/>
  <c r="H6192" i="1"/>
  <c r="N6193" i="1" a="1"/>
  <c r="N6193" i="1" s="1"/>
  <c r="R6193" i="1" a="1"/>
  <c r="R6193" i="1" s="1"/>
  <c r="K6193" i="1" a="1"/>
  <c r="K6193" i="1" s="1"/>
  <c r="P6193" i="1" a="1"/>
  <c r="P6193" i="1" s="1"/>
  <c r="B6194" i="1"/>
  <c r="Q6193" i="1" a="1"/>
  <c r="Q6193" i="1" s="1"/>
  <c r="S6193" i="1" a="1"/>
  <c r="S6193" i="1" s="1"/>
  <c r="M6193" i="1" a="1"/>
  <c r="M6193" i="1" s="1"/>
  <c r="A6195" i="1"/>
  <c r="I4481" i="1" a="1"/>
  <c r="I4481" i="1" s="1"/>
  <c r="K4481" i="1" a="1"/>
  <c r="K4481" i="1" s="1"/>
  <c r="C4482" i="1"/>
  <c r="H4481" i="1"/>
  <c r="O4481" i="1" a="1"/>
  <c r="O4481" i="1" s="1"/>
  <c r="I6193" i="1" l="1" a="1"/>
  <c r="I6193" i="1" s="1"/>
  <c r="O6193" i="1" a="1"/>
  <c r="O6193" i="1" s="1"/>
  <c r="L6193" i="1" a="1"/>
  <c r="L6193" i="1" s="1"/>
  <c r="C6194" i="1"/>
  <c r="I6194" i="1" s="1" a="1"/>
  <c r="I6194" i="1" s="1"/>
  <c r="H6193" i="1"/>
  <c r="M6194" i="1" a="1"/>
  <c r="M6194" i="1" s="1"/>
  <c r="Q6194" i="1" a="1"/>
  <c r="Q6194" i="1" s="1"/>
  <c r="K6194" i="1" a="1"/>
  <c r="K6194" i="1" s="1"/>
  <c r="P6194" i="1" a="1"/>
  <c r="P6194" i="1" s="1"/>
  <c r="B6195" i="1"/>
  <c r="R6194" i="1" a="1"/>
  <c r="R6194" i="1" s="1"/>
  <c r="S6194" i="1" a="1"/>
  <c r="S6194" i="1" s="1"/>
  <c r="N6194" i="1" a="1"/>
  <c r="N6194" i="1" s="1"/>
  <c r="A6196" i="1"/>
  <c r="L4482" i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J6194" i="1" l="1" a="1"/>
  <c r="J6194" i="1" s="1"/>
  <c r="O6194" i="1" a="1"/>
  <c r="O6194" i="1" s="1"/>
  <c r="L6194" i="1" a="1"/>
  <c r="L6194" i="1" s="1"/>
  <c r="C6195" i="1"/>
  <c r="O6195" i="1" s="1" a="1"/>
  <c r="O6195" i="1" s="1"/>
  <c r="H6194" i="1"/>
  <c r="P6195" i="1" a="1"/>
  <c r="P6195" i="1" s="1"/>
  <c r="Q6195" i="1" a="1"/>
  <c r="Q6195" i="1" s="1"/>
  <c r="M6195" i="1" a="1"/>
  <c r="M6195" i="1" s="1"/>
  <c r="R6195" i="1" a="1"/>
  <c r="R6195" i="1" s="1"/>
  <c r="N6195" i="1" a="1"/>
  <c r="N6195" i="1" s="1"/>
  <c r="S6195" i="1" a="1"/>
  <c r="S6195" i="1" s="1"/>
  <c r="B6196" i="1"/>
  <c r="K6195" i="1" a="1"/>
  <c r="K6195" i="1" s="1"/>
  <c r="A6197" i="1"/>
  <c r="I4483" i="1" a="1"/>
  <c r="I4483" i="1" s="1"/>
  <c r="K4483" i="1" a="1"/>
  <c r="K4483" i="1" s="1"/>
  <c r="L4484" i="1" a="1"/>
  <c r="L4484" i="1" s="1"/>
  <c r="H4483" i="1"/>
  <c r="O4483" i="1" a="1"/>
  <c r="O4483" i="1" s="1"/>
  <c r="I6195" i="1" l="1" a="1"/>
  <c r="I6195" i="1" s="1"/>
  <c r="J6195" i="1" a="1"/>
  <c r="J6195" i="1" s="1"/>
  <c r="L6195" i="1" a="1"/>
  <c r="L6195" i="1" s="1"/>
  <c r="C6196" i="1"/>
  <c r="I6196" i="1" s="1" a="1"/>
  <c r="I6196" i="1" s="1"/>
  <c r="H6195" i="1"/>
  <c r="A6198" i="1"/>
  <c r="K6196" i="1" a="1"/>
  <c r="K6196" i="1" s="1"/>
  <c r="S6196" i="1" a="1"/>
  <c r="S6196" i="1" s="1"/>
  <c r="Q6196" i="1" a="1"/>
  <c r="Q6196" i="1" s="1"/>
  <c r="M6196" i="1" a="1"/>
  <c r="M6196" i="1" s="1"/>
  <c r="R6196" i="1" a="1"/>
  <c r="R6196" i="1" s="1"/>
  <c r="N6196" i="1" a="1"/>
  <c r="N6196" i="1" s="1"/>
  <c r="P6196" i="1" a="1"/>
  <c r="P6196" i="1" s="1"/>
  <c r="B6197" i="1"/>
  <c r="L6196" i="1" a="1"/>
  <c r="L6196" i="1" s="1"/>
  <c r="I4484" i="1" a="1"/>
  <c r="I4484" i="1" s="1"/>
  <c r="K4484" i="1" a="1"/>
  <c r="K4484" i="1" s="1"/>
  <c r="C4485" i="1"/>
  <c r="H4484" i="1"/>
  <c r="O4484" i="1" a="1"/>
  <c r="O4484" i="1" s="1"/>
  <c r="J6196" i="1" l="1" a="1"/>
  <c r="J6196" i="1" s="1"/>
  <c r="O6196" i="1" a="1"/>
  <c r="O6196" i="1" s="1"/>
  <c r="C6197" i="1"/>
  <c r="J6197" i="1" s="1" a="1"/>
  <c r="J6197" i="1" s="1"/>
  <c r="H6196" i="1"/>
  <c r="N6197" i="1" a="1"/>
  <c r="N6197" i="1" s="1"/>
  <c r="R6197" i="1" a="1"/>
  <c r="R6197" i="1" s="1"/>
  <c r="M6197" i="1" a="1"/>
  <c r="M6197" i="1" s="1"/>
  <c r="S6197" i="1" a="1"/>
  <c r="S6197" i="1" s="1"/>
  <c r="K6197" i="1" a="1"/>
  <c r="K6197" i="1" s="1"/>
  <c r="P6197" i="1" a="1"/>
  <c r="P6197" i="1" s="1"/>
  <c r="Q6197" i="1" a="1"/>
  <c r="Q6197" i="1" s="1"/>
  <c r="B6198" i="1"/>
  <c r="L6197" i="1" a="1"/>
  <c r="L6197" i="1" s="1"/>
  <c r="A6199" i="1"/>
  <c r="L4485" i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6197" i="1" l="1" a="1"/>
  <c r="I6197" i="1" s="1"/>
  <c r="O6197" i="1" a="1"/>
  <c r="O6197" i="1" s="1"/>
  <c r="C6198" i="1"/>
  <c r="K6198" i="1" s="1" a="1"/>
  <c r="K6198" i="1" s="1"/>
  <c r="H6197" i="1"/>
  <c r="A6200" i="1"/>
  <c r="I6198" i="1" a="1"/>
  <c r="I6198" i="1" s="1"/>
  <c r="M6198" i="1" a="1"/>
  <c r="M6198" i="1" s="1"/>
  <c r="Q6198" i="1" a="1"/>
  <c r="Q6198" i="1" s="1"/>
  <c r="N6198" i="1" a="1"/>
  <c r="N6198" i="1" s="1"/>
  <c r="S6198" i="1" a="1"/>
  <c r="S6198" i="1" s="1"/>
  <c r="P6198" i="1" a="1"/>
  <c r="P6198" i="1" s="1"/>
  <c r="B6199" i="1"/>
  <c r="R6198" i="1" a="1"/>
  <c r="R6198" i="1" s="1"/>
  <c r="L6198" i="1" a="1"/>
  <c r="L6198" i="1" s="1"/>
  <c r="I4486" i="1" a="1"/>
  <c r="I4486" i="1" s="1"/>
  <c r="K4486" i="1" a="1"/>
  <c r="K4486" i="1" s="1"/>
  <c r="L4487" i="1" a="1"/>
  <c r="L4487" i="1" s="1"/>
  <c r="H4486" i="1"/>
  <c r="O4486" i="1" a="1"/>
  <c r="O4486" i="1" s="1"/>
  <c r="J6198" i="1" l="1" a="1"/>
  <c r="J6198" i="1" s="1"/>
  <c r="O6198" i="1" a="1"/>
  <c r="O6198" i="1" s="1"/>
  <c r="C6199" i="1"/>
  <c r="L6199" i="1" s="1" a="1"/>
  <c r="L6199" i="1" s="1"/>
  <c r="H6198" i="1"/>
  <c r="P6199" i="1" a="1"/>
  <c r="P6199" i="1" s="1"/>
  <c r="S6199" i="1" a="1"/>
  <c r="S6199" i="1" s="1"/>
  <c r="K6199" i="1" a="1"/>
  <c r="K6199" i="1" s="1"/>
  <c r="B6200" i="1"/>
  <c r="Q6199" i="1" a="1"/>
  <c r="Q6199" i="1" s="1"/>
  <c r="M6199" i="1" a="1"/>
  <c r="M6199" i="1" s="1"/>
  <c r="N6199" i="1" a="1"/>
  <c r="N6199" i="1" s="1"/>
  <c r="R6199" i="1" a="1"/>
  <c r="R6199" i="1" s="1"/>
  <c r="A6201" i="1"/>
  <c r="I4487" i="1" a="1"/>
  <c r="I4487" i="1" s="1"/>
  <c r="K4487" i="1" a="1"/>
  <c r="K4487" i="1" s="1"/>
  <c r="L4488" i="1" a="1"/>
  <c r="L4488" i="1" s="1"/>
  <c r="H4487" i="1"/>
  <c r="O4487" i="1" a="1"/>
  <c r="O4487" i="1" s="1"/>
  <c r="J6199" i="1" l="1" a="1"/>
  <c r="J6199" i="1" s="1"/>
  <c r="I6199" i="1" a="1"/>
  <c r="I6199" i="1" s="1"/>
  <c r="O6199" i="1" a="1"/>
  <c r="O6199" i="1" s="1"/>
  <c r="C6200" i="1"/>
  <c r="K6200" i="1" s="1" a="1"/>
  <c r="K6200" i="1" s="1"/>
  <c r="H6199" i="1"/>
  <c r="S6200" i="1" a="1"/>
  <c r="S6200" i="1" s="1"/>
  <c r="P6200" i="1" a="1"/>
  <c r="P6200" i="1" s="1"/>
  <c r="B6201" i="1"/>
  <c r="Q6200" i="1" a="1"/>
  <c r="Q6200" i="1" s="1"/>
  <c r="M6200" i="1" a="1"/>
  <c r="M6200" i="1" s="1"/>
  <c r="N6200" i="1" a="1"/>
  <c r="N6200" i="1" s="1"/>
  <c r="R6200" i="1" a="1"/>
  <c r="R6200" i="1" s="1"/>
  <c r="A6202" i="1"/>
  <c r="I4488" i="1" a="1"/>
  <c r="I4488" i="1" s="1"/>
  <c r="K4488" i="1" a="1"/>
  <c r="K4488" i="1" s="1"/>
  <c r="H4488" i="1"/>
  <c r="O4488" i="1" a="1"/>
  <c r="O4488" i="1" s="1"/>
  <c r="I6200" i="1" l="1" a="1"/>
  <c r="I6200" i="1" s="1"/>
  <c r="L6200" i="1" a="1"/>
  <c r="L6200" i="1" s="1"/>
  <c r="O6200" i="1" a="1"/>
  <c r="O6200" i="1" s="1"/>
  <c r="J6200" i="1" a="1"/>
  <c r="J6200" i="1" s="1"/>
  <c r="C6201" i="1"/>
  <c r="J6201" i="1" s="1" a="1"/>
  <c r="J6201" i="1" s="1"/>
  <c r="H6200" i="1"/>
  <c r="A6203" i="1"/>
  <c r="N6201" i="1" a="1"/>
  <c r="N6201" i="1" s="1"/>
  <c r="R6201" i="1" a="1"/>
  <c r="R6201" i="1" s="1"/>
  <c r="P6201" i="1" a="1"/>
  <c r="P6201" i="1" s="1"/>
  <c r="B6202" i="1"/>
  <c r="Q6201" i="1" a="1"/>
  <c r="Q6201" i="1" s="1"/>
  <c r="M6201" i="1" a="1"/>
  <c r="M6201" i="1" s="1"/>
  <c r="K6201" i="1" a="1"/>
  <c r="K6201" i="1" s="1"/>
  <c r="S6201" i="1" a="1"/>
  <c r="S6201" i="1" s="1"/>
  <c r="L4509" i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I6201" i="1" l="1" a="1"/>
  <c r="I6201" i="1" s="1"/>
  <c r="O6201" i="1" a="1"/>
  <c r="O6201" i="1" s="1"/>
  <c r="L6201" i="1" a="1"/>
  <c r="L6201" i="1" s="1"/>
  <c r="C6202" i="1"/>
  <c r="O6202" i="1" s="1" a="1"/>
  <c r="O6202" i="1" s="1"/>
  <c r="H6201" i="1"/>
  <c r="M6202" i="1" a="1"/>
  <c r="M6202" i="1" s="1"/>
  <c r="Q6202" i="1" a="1"/>
  <c r="Q6202" i="1" s="1"/>
  <c r="L6202" i="1" a="1"/>
  <c r="L6202" i="1" s="1"/>
  <c r="R6202" i="1" a="1"/>
  <c r="R6202" i="1" s="1"/>
  <c r="N6202" i="1" a="1"/>
  <c r="N6202" i="1" s="1"/>
  <c r="S6202" i="1" a="1"/>
  <c r="S6202" i="1" s="1"/>
  <c r="B6203" i="1"/>
  <c r="K6202" i="1" a="1"/>
  <c r="K6202" i="1" s="1"/>
  <c r="P6202" i="1" a="1"/>
  <c r="P6202" i="1" s="1"/>
  <c r="A6204" i="1"/>
  <c r="L4510" i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J6202" i="1" l="1" a="1"/>
  <c r="J6202" i="1" s="1"/>
  <c r="I6202" i="1" a="1"/>
  <c r="I6202" i="1" s="1"/>
  <c r="C6203" i="1"/>
  <c r="O6203" i="1" s="1" a="1"/>
  <c r="O6203" i="1" s="1"/>
  <c r="H6202" i="1"/>
  <c r="A6205" i="1"/>
  <c r="L6203" i="1" a="1"/>
  <c r="L6203" i="1" s="1"/>
  <c r="P6203" i="1" a="1"/>
  <c r="P6203" i="1" s="1"/>
  <c r="M6203" i="1" a="1"/>
  <c r="M6203" i="1" s="1"/>
  <c r="R6203" i="1" a="1"/>
  <c r="R6203" i="1" s="1"/>
  <c r="N6203" i="1" a="1"/>
  <c r="N6203" i="1" s="1"/>
  <c r="J6203" i="1" a="1"/>
  <c r="J6203" i="1" s="1"/>
  <c r="S6203" i="1" a="1"/>
  <c r="S6203" i="1" s="1"/>
  <c r="K6203" i="1" a="1"/>
  <c r="K6203" i="1" s="1"/>
  <c r="Q6203" i="1" a="1"/>
  <c r="Q6203" i="1" s="1"/>
  <c r="B6204" i="1"/>
  <c r="L4511" i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I6203" i="1" l="1" a="1"/>
  <c r="I6203" i="1" s="1"/>
  <c r="C6204" i="1"/>
  <c r="K6204" i="1" s="1" a="1"/>
  <c r="K6204" i="1" s="1"/>
  <c r="H6203" i="1"/>
  <c r="S6204" i="1" a="1"/>
  <c r="S6204" i="1" s="1"/>
  <c r="R6204" i="1" a="1"/>
  <c r="R6204" i="1" s="1"/>
  <c r="N6204" i="1" a="1"/>
  <c r="N6204" i="1" s="1"/>
  <c r="P6204" i="1" a="1"/>
  <c r="P6204" i="1" s="1"/>
  <c r="B6205" i="1"/>
  <c r="M6204" i="1" a="1"/>
  <c r="M6204" i="1" s="1"/>
  <c r="Q6204" i="1" a="1"/>
  <c r="Q6204" i="1" s="1"/>
  <c r="A6206" i="1"/>
  <c r="L4512" i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I6204" i="1" l="1" a="1"/>
  <c r="I6204" i="1" s="1"/>
  <c r="J6204" i="1" a="1"/>
  <c r="J6204" i="1" s="1"/>
  <c r="L6204" i="1" a="1"/>
  <c r="L6204" i="1" s="1"/>
  <c r="O6204" i="1" a="1"/>
  <c r="O6204" i="1" s="1"/>
  <c r="C6205" i="1"/>
  <c r="J6205" i="1" s="1" a="1"/>
  <c r="J6205" i="1" s="1"/>
  <c r="H6204" i="1"/>
  <c r="A6207" i="1"/>
  <c r="N6205" i="1" a="1"/>
  <c r="N6205" i="1" s="1"/>
  <c r="R6205" i="1" a="1"/>
  <c r="R6205" i="1" s="1"/>
  <c r="S6205" i="1" a="1"/>
  <c r="S6205" i="1" s="1"/>
  <c r="P6205" i="1" a="1"/>
  <c r="P6205" i="1" s="1"/>
  <c r="B6206" i="1"/>
  <c r="M6205" i="1" a="1"/>
  <c r="M6205" i="1" s="1"/>
  <c r="Q6205" i="1" a="1"/>
  <c r="Q6205" i="1" s="1"/>
  <c r="L4513" i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K6205" i="1" l="1" a="1"/>
  <c r="K6205" i="1" s="1"/>
  <c r="I6205" i="1" a="1"/>
  <c r="I6205" i="1" s="1"/>
  <c r="L6205" i="1" a="1"/>
  <c r="L6205" i="1" s="1"/>
  <c r="O6205" i="1" a="1"/>
  <c r="O6205" i="1" s="1"/>
  <c r="C6206" i="1"/>
  <c r="O6206" i="1" s="1" a="1"/>
  <c r="O6206" i="1" s="1"/>
  <c r="H6205" i="1"/>
  <c r="M6206" i="1" a="1"/>
  <c r="M6206" i="1" s="1"/>
  <c r="Q6206" i="1" a="1"/>
  <c r="Q6206" i="1" s="1"/>
  <c r="P6206" i="1" a="1"/>
  <c r="P6206" i="1" s="1"/>
  <c r="B6207" i="1"/>
  <c r="S6206" i="1" a="1"/>
  <c r="S6206" i="1" s="1"/>
  <c r="N6206" i="1" a="1"/>
  <c r="N6206" i="1" s="1"/>
  <c r="R6206" i="1" a="1"/>
  <c r="R6206" i="1" s="1"/>
  <c r="A6208" i="1"/>
  <c r="L4514" i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6206" i="1" l="1" a="1"/>
  <c r="J6206" i="1" s="1"/>
  <c r="I6206" i="1" a="1"/>
  <c r="I6206" i="1" s="1"/>
  <c r="L6206" i="1" a="1"/>
  <c r="L6206" i="1" s="1"/>
  <c r="K6206" i="1" a="1"/>
  <c r="K6206" i="1" s="1"/>
  <c r="C6207" i="1"/>
  <c r="L6207" i="1" s="1" a="1"/>
  <c r="L6207" i="1" s="1"/>
  <c r="H6206" i="1"/>
  <c r="P6207" i="1" a="1"/>
  <c r="P6207" i="1" s="1"/>
  <c r="K6207" i="1" a="1"/>
  <c r="K6207" i="1" s="1"/>
  <c r="B6208" i="1"/>
  <c r="Q6207" i="1" a="1"/>
  <c r="Q6207" i="1" s="1"/>
  <c r="M6207" i="1" a="1"/>
  <c r="M6207" i="1" s="1"/>
  <c r="R6207" i="1" a="1"/>
  <c r="R6207" i="1" s="1"/>
  <c r="S6207" i="1" a="1"/>
  <c r="S6207" i="1" s="1"/>
  <c r="N6207" i="1" a="1"/>
  <c r="N6207" i="1" s="1"/>
  <c r="J6207" i="1" a="1"/>
  <c r="J6207" i="1" s="1"/>
  <c r="A6209" i="1"/>
  <c r="J4534" i="1" a="1"/>
  <c r="J4534" i="1" s="1"/>
  <c r="O6207" i="1" l="1" a="1"/>
  <c r="O6207" i="1" s="1"/>
  <c r="I6207" i="1" a="1"/>
  <c r="I6207" i="1" s="1"/>
  <c r="C6208" i="1"/>
  <c r="O6208" i="1" s="1" a="1"/>
  <c r="O6208" i="1" s="1"/>
  <c r="H6207" i="1"/>
  <c r="K6208" i="1" a="1"/>
  <c r="K6208" i="1" s="1"/>
  <c r="S6208" i="1" a="1"/>
  <c r="S6208" i="1" s="1"/>
  <c r="L6208" i="1" a="1"/>
  <c r="L6208" i="1" s="1"/>
  <c r="P6208" i="1" a="1"/>
  <c r="P6208" i="1" s="1"/>
  <c r="B6209" i="1"/>
  <c r="M6208" i="1" a="1"/>
  <c r="M6208" i="1" s="1"/>
  <c r="Q6208" i="1" a="1"/>
  <c r="Q6208" i="1" s="1"/>
  <c r="R6208" i="1" a="1"/>
  <c r="R6208" i="1" s="1"/>
  <c r="N6208" i="1" a="1"/>
  <c r="N6208" i="1" s="1"/>
  <c r="A6210" i="1"/>
  <c r="L4534" i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6208" i="1" l="1" a="1"/>
  <c r="J6208" i="1" s="1"/>
  <c r="I6208" i="1" a="1"/>
  <c r="I6208" i="1" s="1"/>
  <c r="C6209" i="1"/>
  <c r="J6209" i="1" s="1" a="1"/>
  <c r="J6209" i="1" s="1"/>
  <c r="H6208" i="1"/>
  <c r="N6209" i="1" a="1"/>
  <c r="N6209" i="1" s="1"/>
  <c r="R6209" i="1" a="1"/>
  <c r="R6209" i="1" s="1"/>
  <c r="K6209" i="1" a="1"/>
  <c r="K6209" i="1" s="1"/>
  <c r="S6209" i="1" a="1"/>
  <c r="S6209" i="1" s="1"/>
  <c r="P6209" i="1" a="1"/>
  <c r="P6209" i="1" s="1"/>
  <c r="M6209" i="1" a="1"/>
  <c r="M6209" i="1" s="1"/>
  <c r="B6210" i="1"/>
  <c r="Q6209" i="1" a="1"/>
  <c r="Q6209" i="1" s="1"/>
  <c r="A6211" i="1"/>
  <c r="J4597" i="1" a="1"/>
  <c r="J4597" i="1" s="1"/>
  <c r="L6209" i="1" l="1" a="1"/>
  <c r="L6209" i="1" s="1"/>
  <c r="I6209" i="1" a="1"/>
  <c r="I6209" i="1" s="1"/>
  <c r="O6209" i="1" a="1"/>
  <c r="O6209" i="1" s="1"/>
  <c r="C6210" i="1"/>
  <c r="O6210" i="1" s="1" a="1"/>
  <c r="O6210" i="1" s="1"/>
  <c r="H6209" i="1"/>
  <c r="M6210" i="1" a="1"/>
  <c r="M6210" i="1" s="1"/>
  <c r="Q6210" i="1" a="1"/>
  <c r="Q6210" i="1" s="1"/>
  <c r="N6210" i="1" a="1"/>
  <c r="N6210" i="1" s="1"/>
  <c r="R6210" i="1" a="1"/>
  <c r="R6210" i="1" s="1"/>
  <c r="S6210" i="1" a="1"/>
  <c r="S6210" i="1" s="1"/>
  <c r="B6211" i="1"/>
  <c r="L6210" i="1" a="1"/>
  <c r="L6210" i="1" s="1"/>
  <c r="P6210" i="1" a="1"/>
  <c r="P6210" i="1" s="1"/>
  <c r="A6212" i="1"/>
  <c r="L4597" i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J6210" i="1" l="1" a="1"/>
  <c r="J6210" i="1" s="1"/>
  <c r="K6210" i="1" a="1"/>
  <c r="K6210" i="1" s="1"/>
  <c r="I6210" i="1" a="1"/>
  <c r="I6210" i="1" s="1"/>
  <c r="C6211" i="1"/>
  <c r="K6211" i="1" s="1" a="1"/>
  <c r="K6211" i="1" s="1"/>
  <c r="H6210" i="1"/>
  <c r="A6213" i="1"/>
  <c r="P6211" i="1" a="1"/>
  <c r="P6211" i="1" s="1"/>
  <c r="B6212" i="1"/>
  <c r="M6211" i="1" a="1"/>
  <c r="M6211" i="1" s="1"/>
  <c r="Q6211" i="1" a="1"/>
  <c r="Q6211" i="1" s="1"/>
  <c r="N6211" i="1" a="1"/>
  <c r="N6211" i="1" s="1"/>
  <c r="R6211" i="1" a="1"/>
  <c r="R6211" i="1" s="1"/>
  <c r="S6211" i="1" a="1"/>
  <c r="S6211" i="1" s="1"/>
  <c r="L4598" i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J6211" i="1" l="1" a="1"/>
  <c r="J6211" i="1" s="1"/>
  <c r="O6211" i="1" a="1"/>
  <c r="O6211" i="1" s="1"/>
  <c r="I6211" i="1" a="1"/>
  <c r="I6211" i="1" s="1"/>
  <c r="L6211" i="1" a="1"/>
  <c r="L6211" i="1" s="1"/>
  <c r="C6212" i="1"/>
  <c r="K6212" i="1" s="1" a="1"/>
  <c r="K6212" i="1" s="1"/>
  <c r="H6211" i="1"/>
  <c r="S6212" i="1" a="1"/>
  <c r="S6212" i="1" s="1"/>
  <c r="M6212" i="1" a="1"/>
  <c r="M6212" i="1" s="1"/>
  <c r="Q6212" i="1" a="1"/>
  <c r="Q6212" i="1" s="1"/>
  <c r="P6212" i="1" a="1"/>
  <c r="P6212" i="1" s="1"/>
  <c r="R6212" i="1" a="1"/>
  <c r="R6212" i="1" s="1"/>
  <c r="N6212" i="1" a="1"/>
  <c r="N6212" i="1" s="1"/>
  <c r="B6213" i="1"/>
  <c r="A6214" i="1"/>
  <c r="L4599" i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J6212" i="1" l="1" a="1"/>
  <c r="J6212" i="1" s="1"/>
  <c r="I6212" i="1" a="1"/>
  <c r="I6212" i="1" s="1"/>
  <c r="O6212" i="1" a="1"/>
  <c r="O6212" i="1" s="1"/>
  <c r="L6212" i="1" a="1"/>
  <c r="L6212" i="1" s="1"/>
  <c r="C6213" i="1"/>
  <c r="O6213" i="1" s="1" a="1"/>
  <c r="O6213" i="1" s="1"/>
  <c r="H6212" i="1"/>
  <c r="A6215" i="1"/>
  <c r="N6213" i="1" a="1"/>
  <c r="N6213" i="1" s="1"/>
  <c r="R6213" i="1" a="1"/>
  <c r="R6213" i="1" s="1"/>
  <c r="P6213" i="1" a="1"/>
  <c r="P6213" i="1" s="1"/>
  <c r="S6213" i="1" a="1"/>
  <c r="S6213" i="1" s="1"/>
  <c r="M6213" i="1" a="1"/>
  <c r="M6213" i="1" s="1"/>
  <c r="Q6213" i="1" a="1"/>
  <c r="Q6213" i="1" s="1"/>
  <c r="B6214" i="1"/>
  <c r="K6213" i="1" a="1"/>
  <c r="K6213" i="1" s="1"/>
  <c r="L4600" i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6213" i="1" l="1" a="1"/>
  <c r="L6213" i="1" s="1"/>
  <c r="I6213" i="1" a="1"/>
  <c r="I6213" i="1" s="1"/>
  <c r="J6213" i="1" a="1"/>
  <c r="J6213" i="1" s="1"/>
  <c r="C6214" i="1"/>
  <c r="J6214" i="1" s="1" a="1"/>
  <c r="J6214" i="1" s="1"/>
  <c r="H6213" i="1"/>
  <c r="M6214" i="1" a="1"/>
  <c r="M6214" i="1" s="1"/>
  <c r="Q6214" i="1" a="1"/>
  <c r="Q6214" i="1" s="1"/>
  <c r="K6214" i="1" a="1"/>
  <c r="K6214" i="1" s="1"/>
  <c r="S6214" i="1" a="1"/>
  <c r="S6214" i="1" s="1"/>
  <c r="B6215" i="1"/>
  <c r="P6214" i="1" a="1"/>
  <c r="P6214" i="1" s="1"/>
  <c r="R6214" i="1" a="1"/>
  <c r="R6214" i="1" s="1"/>
  <c r="L6214" i="1" a="1"/>
  <c r="L6214" i="1" s="1"/>
  <c r="N6214" i="1" a="1"/>
  <c r="N6214" i="1" s="1"/>
  <c r="A6216" i="1"/>
  <c r="L4601" i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I6214" i="1" l="1" a="1"/>
  <c r="I6214" i="1" s="1"/>
  <c r="O6214" i="1" a="1"/>
  <c r="O6214" i="1" s="1"/>
  <c r="C6215" i="1"/>
  <c r="O6215" i="1" s="1" a="1"/>
  <c r="O6215" i="1" s="1"/>
  <c r="H6214" i="1"/>
  <c r="A6217" i="1"/>
  <c r="P6215" i="1" a="1"/>
  <c r="P6215" i="1" s="1"/>
  <c r="B6216" i="1"/>
  <c r="N6215" i="1" a="1"/>
  <c r="N6215" i="1" s="1"/>
  <c r="R6215" i="1" a="1"/>
  <c r="R6215" i="1" s="1"/>
  <c r="K6215" i="1" a="1"/>
  <c r="K6215" i="1" s="1"/>
  <c r="M6215" i="1" a="1"/>
  <c r="M6215" i="1" s="1"/>
  <c r="S6215" i="1" a="1"/>
  <c r="S6215" i="1" s="1"/>
  <c r="Q6215" i="1" a="1"/>
  <c r="Q6215" i="1" s="1"/>
  <c r="L4602" i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I6215" i="1" l="1" a="1"/>
  <c r="I6215" i="1" s="1"/>
  <c r="L6215" i="1" a="1"/>
  <c r="L6215" i="1" s="1"/>
  <c r="J6215" i="1" a="1"/>
  <c r="J6215" i="1" s="1"/>
  <c r="C6216" i="1"/>
  <c r="O6216" i="1" s="1" a="1"/>
  <c r="O6216" i="1" s="1"/>
  <c r="H6215" i="1"/>
  <c r="K6216" i="1" a="1"/>
  <c r="K6216" i="1" s="1"/>
  <c r="S6216" i="1" a="1"/>
  <c r="S6216" i="1" s="1"/>
  <c r="M6216" i="1" a="1"/>
  <c r="M6216" i="1" s="1"/>
  <c r="Q6216" i="1" a="1"/>
  <c r="Q6216" i="1" s="1"/>
  <c r="N6216" i="1" a="1"/>
  <c r="N6216" i="1" s="1"/>
  <c r="B6217" i="1"/>
  <c r="P6216" i="1" a="1"/>
  <c r="P6216" i="1" s="1"/>
  <c r="L6216" i="1" a="1"/>
  <c r="L6216" i="1" s="1"/>
  <c r="R6216" i="1" a="1"/>
  <c r="R6216" i="1" s="1"/>
  <c r="A6218" i="1"/>
  <c r="L4603" i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I6216" i="1" l="1" a="1"/>
  <c r="I6216" i="1" s="1"/>
  <c r="J6216" i="1" a="1"/>
  <c r="J6216" i="1" s="1"/>
  <c r="C6217" i="1"/>
  <c r="J6217" i="1" s="1" a="1"/>
  <c r="J6217" i="1" s="1"/>
  <c r="H6216" i="1"/>
  <c r="N6217" i="1" a="1"/>
  <c r="N6217" i="1" s="1"/>
  <c r="R6217" i="1" a="1"/>
  <c r="R6217" i="1" s="1"/>
  <c r="P6217" i="1" a="1"/>
  <c r="P6217" i="1" s="1"/>
  <c r="B6218" i="1"/>
  <c r="K6217" i="1" a="1"/>
  <c r="K6217" i="1" s="1"/>
  <c r="Q6217" i="1" a="1"/>
  <c r="Q6217" i="1" s="1"/>
  <c r="S6217" i="1" a="1"/>
  <c r="S6217" i="1" s="1"/>
  <c r="M6217" i="1" a="1"/>
  <c r="M6217" i="1" s="1"/>
  <c r="A6219" i="1"/>
  <c r="L4604" i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O6217" i="1" l="1" a="1"/>
  <c r="O6217" i="1" s="1"/>
  <c r="I6217" i="1" a="1"/>
  <c r="I6217" i="1" s="1"/>
  <c r="L6217" i="1" a="1"/>
  <c r="L6217" i="1" s="1"/>
  <c r="C6218" i="1"/>
  <c r="O6218" i="1" s="1" a="1"/>
  <c r="O6218" i="1" s="1"/>
  <c r="H6217" i="1"/>
  <c r="M6218" i="1" a="1"/>
  <c r="M6218" i="1" s="1"/>
  <c r="Q6218" i="1" a="1"/>
  <c r="Q6218" i="1" s="1"/>
  <c r="K6218" i="1" a="1"/>
  <c r="K6218" i="1" s="1"/>
  <c r="S6218" i="1" a="1"/>
  <c r="S6218" i="1" s="1"/>
  <c r="N6218" i="1" a="1"/>
  <c r="N6218" i="1" s="1"/>
  <c r="B6219" i="1"/>
  <c r="R6218" i="1" a="1"/>
  <c r="R6218" i="1" s="1"/>
  <c r="L6218" i="1" a="1"/>
  <c r="L6218" i="1" s="1"/>
  <c r="P6218" i="1" a="1"/>
  <c r="P6218" i="1" s="1"/>
  <c r="A6220" i="1"/>
  <c r="L4605" i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J6218" i="1" l="1" a="1"/>
  <c r="J6218" i="1" s="1"/>
  <c r="I6218" i="1" a="1"/>
  <c r="I6218" i="1" s="1"/>
  <c r="C6219" i="1"/>
  <c r="J6219" i="1" s="1" a="1"/>
  <c r="J6219" i="1" s="1"/>
  <c r="H6218" i="1"/>
  <c r="P6219" i="1" a="1"/>
  <c r="P6219" i="1" s="1"/>
  <c r="B6220" i="1"/>
  <c r="N6219" i="1" a="1"/>
  <c r="N6219" i="1" s="1"/>
  <c r="R6219" i="1" a="1"/>
  <c r="R6219" i="1" s="1"/>
  <c r="Q6219" i="1" a="1"/>
  <c r="Q6219" i="1" s="1"/>
  <c r="K6219" i="1" a="1"/>
  <c r="K6219" i="1" s="1"/>
  <c r="S6219" i="1" a="1"/>
  <c r="S6219" i="1" s="1"/>
  <c r="M6219" i="1" a="1"/>
  <c r="M6219" i="1" s="1"/>
  <c r="A6221" i="1"/>
  <c r="L4606" i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O6219" i="1" l="1" a="1"/>
  <c r="O6219" i="1" s="1"/>
  <c r="I6219" i="1" a="1"/>
  <c r="I6219" i="1" s="1"/>
  <c r="L6219" i="1" a="1"/>
  <c r="L6219" i="1" s="1"/>
  <c r="C6220" i="1"/>
  <c r="J6220" i="1" s="1" a="1"/>
  <c r="J6220" i="1" s="1"/>
  <c r="H6219" i="1"/>
  <c r="A6222" i="1"/>
  <c r="K6220" i="1" a="1"/>
  <c r="K6220" i="1" s="1"/>
  <c r="S6220" i="1" a="1"/>
  <c r="S6220" i="1" s="1"/>
  <c r="M6220" i="1" a="1"/>
  <c r="M6220" i="1" s="1"/>
  <c r="Q6220" i="1" a="1"/>
  <c r="Q6220" i="1" s="1"/>
  <c r="N6220" i="1" a="1"/>
  <c r="N6220" i="1" s="1"/>
  <c r="B6221" i="1"/>
  <c r="R6220" i="1" a="1"/>
  <c r="R6220" i="1" s="1"/>
  <c r="P6220" i="1" a="1"/>
  <c r="P6220" i="1" s="1"/>
  <c r="L4607" i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I6220" i="1" l="1" a="1"/>
  <c r="I6220" i="1" s="1"/>
  <c r="L6220" i="1" a="1"/>
  <c r="L6220" i="1" s="1"/>
  <c r="O6220" i="1" a="1"/>
  <c r="O6220" i="1" s="1"/>
  <c r="C6221" i="1"/>
  <c r="J6221" i="1" s="1" a="1"/>
  <c r="J6221" i="1" s="1"/>
  <c r="H6220" i="1"/>
  <c r="N6221" i="1" a="1"/>
  <c r="N6221" i="1" s="1"/>
  <c r="R6221" i="1" a="1"/>
  <c r="R6221" i="1" s="1"/>
  <c r="L6221" i="1" a="1"/>
  <c r="L6221" i="1" s="1"/>
  <c r="Q6221" i="1" a="1"/>
  <c r="Q6221" i="1" s="1"/>
  <c r="M6221" i="1" a="1"/>
  <c r="M6221" i="1" s="1"/>
  <c r="S6221" i="1" a="1"/>
  <c r="S6221" i="1" s="1"/>
  <c r="B6222" i="1"/>
  <c r="K6221" i="1" a="1"/>
  <c r="K6221" i="1" s="1"/>
  <c r="P6221" i="1" a="1"/>
  <c r="P6221" i="1" s="1"/>
  <c r="A6223" i="1"/>
  <c r="L4608" i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I6221" i="1" l="1" a="1"/>
  <c r="I6221" i="1" s="1"/>
  <c r="O6221" i="1" a="1"/>
  <c r="O6221" i="1" s="1"/>
  <c r="C6222" i="1"/>
  <c r="J6222" i="1" s="1" a="1"/>
  <c r="J6222" i="1" s="1"/>
  <c r="H6221" i="1"/>
  <c r="A6224" i="1"/>
  <c r="M6222" i="1" a="1"/>
  <c r="M6222" i="1" s="1"/>
  <c r="Q6222" i="1" a="1"/>
  <c r="Q6222" i="1" s="1"/>
  <c r="N6222" i="1" a="1"/>
  <c r="N6222" i="1" s="1"/>
  <c r="S6222" i="1" a="1"/>
  <c r="S6222" i="1" s="1"/>
  <c r="P6222" i="1" a="1"/>
  <c r="P6222" i="1" s="1"/>
  <c r="B6223" i="1"/>
  <c r="R6222" i="1" a="1"/>
  <c r="R6222" i="1" s="1"/>
  <c r="K6222" i="1" a="1"/>
  <c r="K6222" i="1" s="1"/>
  <c r="L4609" i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6222" i="1" l="1" a="1"/>
  <c r="L6222" i="1" s="1"/>
  <c r="O6222" i="1" a="1"/>
  <c r="O6222" i="1" s="1"/>
  <c r="I6222" i="1" a="1"/>
  <c r="I6222" i="1" s="1"/>
  <c r="C6223" i="1"/>
  <c r="O6223" i="1" s="1" a="1"/>
  <c r="O6223" i="1" s="1"/>
  <c r="H6222" i="1"/>
  <c r="L6223" i="1" a="1"/>
  <c r="L6223" i="1" s="1"/>
  <c r="P6223" i="1" a="1"/>
  <c r="P6223" i="1" s="1"/>
  <c r="J6223" i="1" a="1"/>
  <c r="J6223" i="1" s="1"/>
  <c r="S6223" i="1" a="1"/>
  <c r="S6223" i="1" s="1"/>
  <c r="B6224" i="1"/>
  <c r="Q6223" i="1" a="1"/>
  <c r="Q6223" i="1" s="1"/>
  <c r="M6223" i="1" a="1"/>
  <c r="M6223" i="1" s="1"/>
  <c r="R6223" i="1" a="1"/>
  <c r="R6223" i="1" s="1"/>
  <c r="N6223" i="1" a="1"/>
  <c r="N6223" i="1" s="1"/>
  <c r="A6225" i="1"/>
  <c r="L4610" i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K6223" i="1" l="1" a="1"/>
  <c r="K6223" i="1" s="1"/>
  <c r="I6223" i="1" a="1"/>
  <c r="I6223" i="1" s="1"/>
  <c r="C6224" i="1"/>
  <c r="K6224" i="1" s="1" a="1"/>
  <c r="K6224" i="1" s="1"/>
  <c r="H6223" i="1"/>
  <c r="S6224" i="1" a="1"/>
  <c r="S6224" i="1" s="1"/>
  <c r="P6224" i="1" a="1"/>
  <c r="P6224" i="1" s="1"/>
  <c r="B6225" i="1"/>
  <c r="L6224" i="1" a="1"/>
  <c r="L6224" i="1" s="1"/>
  <c r="M6224" i="1" a="1"/>
  <c r="M6224" i="1" s="1"/>
  <c r="R6224" i="1" a="1"/>
  <c r="R6224" i="1" s="1"/>
  <c r="Q6224" i="1" a="1"/>
  <c r="Q6224" i="1" s="1"/>
  <c r="N6224" i="1" a="1"/>
  <c r="N6224" i="1" s="1"/>
  <c r="A6226" i="1"/>
  <c r="L4611" i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J6224" i="1" l="1" a="1"/>
  <c r="J6224" i="1" s="1"/>
  <c r="I6224" i="1" a="1"/>
  <c r="I6224" i="1" s="1"/>
  <c r="O6224" i="1" a="1"/>
  <c r="O6224" i="1" s="1"/>
  <c r="C6225" i="1"/>
  <c r="J6225" i="1" s="1" a="1"/>
  <c r="J6225" i="1" s="1"/>
  <c r="H6224" i="1"/>
  <c r="A6227" i="1"/>
  <c r="N6225" i="1" a="1"/>
  <c r="N6225" i="1" s="1"/>
  <c r="R6225" i="1" a="1"/>
  <c r="R6225" i="1" s="1"/>
  <c r="P6225" i="1" a="1"/>
  <c r="P6225" i="1" s="1"/>
  <c r="B6226" i="1"/>
  <c r="Q6225" i="1" a="1"/>
  <c r="Q6225" i="1" s="1"/>
  <c r="S6225" i="1" a="1"/>
  <c r="S6225" i="1" s="1"/>
  <c r="K6225" i="1" a="1"/>
  <c r="K6225" i="1" s="1"/>
  <c r="M6225" i="1" a="1"/>
  <c r="M6225" i="1" s="1"/>
  <c r="L4612" i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I6225" i="1" l="1" a="1"/>
  <c r="I6225" i="1" s="1"/>
  <c r="L6225" i="1" a="1"/>
  <c r="L6225" i="1" s="1"/>
  <c r="O6225" i="1" a="1"/>
  <c r="O6225" i="1" s="1"/>
  <c r="C6226" i="1"/>
  <c r="K6226" i="1" s="1" a="1"/>
  <c r="K6226" i="1" s="1"/>
  <c r="H6225" i="1"/>
  <c r="M6226" i="1" a="1"/>
  <c r="M6226" i="1" s="1"/>
  <c r="Q6226" i="1" a="1"/>
  <c r="Q6226" i="1" s="1"/>
  <c r="L6226" i="1" a="1"/>
  <c r="L6226" i="1" s="1"/>
  <c r="R6226" i="1" a="1"/>
  <c r="R6226" i="1" s="1"/>
  <c r="S6226" i="1" a="1"/>
  <c r="S6226" i="1" s="1"/>
  <c r="N6226" i="1" a="1"/>
  <c r="N6226" i="1" s="1"/>
  <c r="P6226" i="1" a="1"/>
  <c r="P6226" i="1" s="1"/>
  <c r="B6227" i="1"/>
  <c r="A6228" i="1"/>
  <c r="L4613" i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I6226" i="1" l="1" a="1"/>
  <c r="I6226" i="1" s="1"/>
  <c r="O6226" i="1" a="1"/>
  <c r="O6226" i="1" s="1"/>
  <c r="J6226" i="1" a="1"/>
  <c r="J6226" i="1" s="1"/>
  <c r="C6227" i="1"/>
  <c r="J6227" i="1" s="1" a="1"/>
  <c r="J6227" i="1" s="1"/>
  <c r="H6226" i="1"/>
  <c r="A6229" i="1"/>
  <c r="P6227" i="1" a="1"/>
  <c r="P6227" i="1" s="1"/>
  <c r="M6227" i="1" a="1"/>
  <c r="M6227" i="1" s="1"/>
  <c r="I6227" i="1" a="1"/>
  <c r="I6227" i="1" s="1"/>
  <c r="R6227" i="1" a="1"/>
  <c r="R6227" i="1" s="1"/>
  <c r="N6227" i="1" a="1"/>
  <c r="N6227" i="1" s="1"/>
  <c r="K6227" i="1" a="1"/>
  <c r="K6227" i="1" s="1"/>
  <c r="B6228" i="1"/>
  <c r="Q6227" i="1" a="1"/>
  <c r="Q6227" i="1" s="1"/>
  <c r="S6227" i="1" a="1"/>
  <c r="S6227" i="1" s="1"/>
  <c r="L4614" i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6227" i="1" l="1" a="1"/>
  <c r="L6227" i="1" s="1"/>
  <c r="O6227" i="1" a="1"/>
  <c r="O6227" i="1" s="1"/>
  <c r="C6228" i="1"/>
  <c r="K6228" i="1" s="1" a="1"/>
  <c r="K6228" i="1" s="1"/>
  <c r="H6227" i="1"/>
  <c r="S6228" i="1" a="1"/>
  <c r="S6228" i="1" s="1"/>
  <c r="R6228" i="1" a="1"/>
  <c r="R6228" i="1" s="1"/>
  <c r="N6228" i="1" a="1"/>
  <c r="N6228" i="1" s="1"/>
  <c r="P6228" i="1" a="1"/>
  <c r="P6228" i="1" s="1"/>
  <c r="B6229" i="1"/>
  <c r="M6228" i="1" a="1"/>
  <c r="M6228" i="1" s="1"/>
  <c r="Q6228" i="1" a="1"/>
  <c r="Q6228" i="1" s="1"/>
  <c r="A6230" i="1"/>
  <c r="L4615" i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6228" i="1" l="1" a="1"/>
  <c r="L6228" i="1" s="1"/>
  <c r="I6228" i="1" a="1"/>
  <c r="I6228" i="1" s="1"/>
  <c r="O6228" i="1" a="1"/>
  <c r="O6228" i="1" s="1"/>
  <c r="J6228" i="1" a="1"/>
  <c r="J6228" i="1" s="1"/>
  <c r="C6229" i="1"/>
  <c r="J6229" i="1" s="1" a="1"/>
  <c r="J6229" i="1" s="1"/>
  <c r="H6228" i="1"/>
  <c r="A6231" i="1"/>
  <c r="N6229" i="1" a="1"/>
  <c r="N6229" i="1" s="1"/>
  <c r="R6229" i="1" a="1"/>
  <c r="R6229" i="1" s="1"/>
  <c r="S6229" i="1" a="1"/>
  <c r="S6229" i="1" s="1"/>
  <c r="Q6229" i="1" a="1"/>
  <c r="Q6229" i="1" s="1"/>
  <c r="M6229" i="1" a="1"/>
  <c r="M6229" i="1" s="1"/>
  <c r="P6229" i="1" a="1"/>
  <c r="P6229" i="1" s="1"/>
  <c r="B6230" i="1"/>
  <c r="L4616" i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K6229" i="1" l="1" a="1"/>
  <c r="K6229" i="1" s="1"/>
  <c r="O6229" i="1" a="1"/>
  <c r="O6229" i="1" s="1"/>
  <c r="I6229" i="1" a="1"/>
  <c r="I6229" i="1" s="1"/>
  <c r="L6229" i="1" a="1"/>
  <c r="L6229" i="1" s="1"/>
  <c r="C6230" i="1"/>
  <c r="J6230" i="1" s="1" a="1"/>
  <c r="J6230" i="1" s="1"/>
  <c r="H6229" i="1"/>
  <c r="M6230" i="1" a="1"/>
  <c r="M6230" i="1" s="1"/>
  <c r="Q6230" i="1" a="1"/>
  <c r="Q6230" i="1" s="1"/>
  <c r="K6230" i="1" a="1"/>
  <c r="K6230" i="1" s="1"/>
  <c r="P6230" i="1" a="1"/>
  <c r="P6230" i="1" s="1"/>
  <c r="B6231" i="1"/>
  <c r="R6230" i="1" a="1"/>
  <c r="R6230" i="1" s="1"/>
  <c r="N6230" i="1" a="1"/>
  <c r="N6230" i="1" s="1"/>
  <c r="S6230" i="1" a="1"/>
  <c r="S6230" i="1" s="1"/>
  <c r="A6232" i="1"/>
  <c r="L4617" i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6230" i="1" l="1" a="1"/>
  <c r="L6230" i="1" s="1"/>
  <c r="I6230" i="1" a="1"/>
  <c r="I6230" i="1" s="1"/>
  <c r="O6230" i="1" a="1"/>
  <c r="O6230" i="1" s="1"/>
  <c r="C6231" i="1"/>
  <c r="J6231" i="1" s="1" a="1"/>
  <c r="J6231" i="1" s="1"/>
  <c r="H6230" i="1"/>
  <c r="P6231" i="1" a="1"/>
  <c r="P6231" i="1" s="1"/>
  <c r="K6231" i="1" a="1"/>
  <c r="K6231" i="1" s="1"/>
  <c r="B6232" i="1"/>
  <c r="Q6231" i="1" a="1"/>
  <c r="Q6231" i="1" s="1"/>
  <c r="R6231" i="1" a="1"/>
  <c r="R6231" i="1" s="1"/>
  <c r="S6231" i="1" a="1"/>
  <c r="S6231" i="1" s="1"/>
  <c r="M6231" i="1" a="1"/>
  <c r="M6231" i="1" s="1"/>
  <c r="N6231" i="1" a="1"/>
  <c r="N6231" i="1" s="1"/>
  <c r="A6233" i="1"/>
  <c r="L4618" i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I6231" i="1" l="1" a="1"/>
  <c r="I6231" i="1" s="1"/>
  <c r="O6231" i="1" a="1"/>
  <c r="O6231" i="1" s="1"/>
  <c r="L6231" i="1" a="1"/>
  <c r="L6231" i="1" s="1"/>
  <c r="C6232" i="1"/>
  <c r="K6232" i="1" s="1" a="1"/>
  <c r="K6232" i="1" s="1"/>
  <c r="H6231" i="1"/>
  <c r="S6232" i="1" a="1"/>
  <c r="S6232" i="1" s="1"/>
  <c r="Q6232" i="1" a="1"/>
  <c r="Q6232" i="1" s="1"/>
  <c r="M6232" i="1" a="1"/>
  <c r="M6232" i="1" s="1"/>
  <c r="N6232" i="1" a="1"/>
  <c r="N6232" i="1" s="1"/>
  <c r="P6232" i="1" a="1"/>
  <c r="P6232" i="1" s="1"/>
  <c r="R6232" i="1" a="1"/>
  <c r="R6232" i="1" s="1"/>
  <c r="B6233" i="1"/>
  <c r="A6234" i="1"/>
  <c r="L4619" i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I6232" i="1" l="1" a="1"/>
  <c r="I6232" i="1" s="1"/>
  <c r="L6232" i="1" a="1"/>
  <c r="L6232" i="1" s="1"/>
  <c r="O6232" i="1" a="1"/>
  <c r="O6232" i="1" s="1"/>
  <c r="J6232" i="1" a="1"/>
  <c r="J6232" i="1" s="1"/>
  <c r="C6233" i="1"/>
  <c r="O6233" i="1" s="1" a="1"/>
  <c r="O6233" i="1" s="1"/>
  <c r="H6232" i="1"/>
  <c r="A6235" i="1"/>
  <c r="N6233" i="1" a="1"/>
  <c r="N6233" i="1" s="1"/>
  <c r="R6233" i="1" a="1"/>
  <c r="R6233" i="1" s="1"/>
  <c r="Q6233" i="1" a="1"/>
  <c r="Q6233" i="1" s="1"/>
  <c r="M6233" i="1" a="1"/>
  <c r="M6233" i="1" s="1"/>
  <c r="B6234" i="1"/>
  <c r="P6233" i="1" a="1"/>
  <c r="P6233" i="1" s="1"/>
  <c r="K6233" i="1" a="1"/>
  <c r="K6233" i="1" s="1"/>
  <c r="S6233" i="1" a="1"/>
  <c r="S6233" i="1" s="1"/>
  <c r="L4620" i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J6233" i="1" l="1" a="1"/>
  <c r="J6233" i="1" s="1"/>
  <c r="L6233" i="1" a="1"/>
  <c r="L6233" i="1" s="1"/>
  <c r="I6233" i="1" a="1"/>
  <c r="I6233" i="1" s="1"/>
  <c r="C6234" i="1"/>
  <c r="O6234" i="1" s="1" a="1"/>
  <c r="O6234" i="1" s="1"/>
  <c r="H6233" i="1"/>
  <c r="I6234" i="1" a="1"/>
  <c r="I6234" i="1" s="1"/>
  <c r="M6234" i="1" a="1"/>
  <c r="M6234" i="1" s="1"/>
  <c r="Q6234" i="1" a="1"/>
  <c r="Q6234" i="1" s="1"/>
  <c r="R6234" i="1" a="1"/>
  <c r="R6234" i="1" s="1"/>
  <c r="N6234" i="1" a="1"/>
  <c r="N6234" i="1" s="1"/>
  <c r="S6234" i="1" a="1"/>
  <c r="S6234" i="1" s="1"/>
  <c r="P6234" i="1" a="1"/>
  <c r="P6234" i="1" s="1"/>
  <c r="K6234" i="1" a="1"/>
  <c r="K6234" i="1" s="1"/>
  <c r="B6235" i="1"/>
  <c r="L6234" i="1" a="1"/>
  <c r="L6234" i="1" s="1"/>
  <c r="A6236" i="1"/>
  <c r="L4621" i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J6234" i="1" l="1" a="1"/>
  <c r="J6234" i="1" s="1"/>
  <c r="C6235" i="1"/>
  <c r="K6235" i="1" s="1" a="1"/>
  <c r="K6235" i="1" s="1"/>
  <c r="H6234" i="1"/>
  <c r="A6237" i="1"/>
  <c r="P6235" i="1" a="1"/>
  <c r="P6235" i="1" s="1"/>
  <c r="N6235" i="1" a="1"/>
  <c r="N6235" i="1" s="1"/>
  <c r="S6235" i="1" a="1"/>
  <c r="S6235" i="1" s="1"/>
  <c r="Q6235" i="1" a="1"/>
  <c r="Q6235" i="1" s="1"/>
  <c r="R6235" i="1" a="1"/>
  <c r="R6235" i="1" s="1"/>
  <c r="B6236" i="1"/>
  <c r="M6235" i="1" a="1"/>
  <c r="M6235" i="1" s="1"/>
  <c r="L4622" i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O6235" i="1" l="1" a="1"/>
  <c r="O6235" i="1" s="1"/>
  <c r="I6235" i="1" a="1"/>
  <c r="I6235" i="1" s="1"/>
  <c r="J6235" i="1" a="1"/>
  <c r="J6235" i="1" s="1"/>
  <c r="L6235" i="1" a="1"/>
  <c r="L6235" i="1" s="1"/>
  <c r="C6236" i="1"/>
  <c r="K6236" i="1" s="1" a="1"/>
  <c r="K6236" i="1" s="1"/>
  <c r="H6235" i="1"/>
  <c r="S6236" i="1" a="1"/>
  <c r="S6236" i="1" s="1"/>
  <c r="P6236" i="1" a="1"/>
  <c r="P6236" i="1" s="1"/>
  <c r="B6237" i="1"/>
  <c r="R6236" i="1" a="1"/>
  <c r="R6236" i="1" s="1"/>
  <c r="M6236" i="1" a="1"/>
  <c r="M6236" i="1" s="1"/>
  <c r="N6236" i="1" a="1"/>
  <c r="N6236" i="1" s="1"/>
  <c r="Q6236" i="1" a="1"/>
  <c r="Q6236" i="1" s="1"/>
  <c r="A6238" i="1"/>
  <c r="L4623" i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I6236" i="1" l="1" a="1"/>
  <c r="I6236" i="1" s="1"/>
  <c r="O6236" i="1" a="1"/>
  <c r="O6236" i="1" s="1"/>
  <c r="L6236" i="1" a="1"/>
  <c r="L6236" i="1" s="1"/>
  <c r="J6236" i="1" a="1"/>
  <c r="J6236" i="1" s="1"/>
  <c r="C6237" i="1"/>
  <c r="L6237" i="1" s="1" a="1"/>
  <c r="L6237" i="1" s="1"/>
  <c r="H6236" i="1"/>
  <c r="J6237" i="1" a="1"/>
  <c r="J6237" i="1" s="1"/>
  <c r="N6237" i="1" a="1"/>
  <c r="N6237" i="1" s="1"/>
  <c r="R6237" i="1" a="1"/>
  <c r="R6237" i="1" s="1"/>
  <c r="P6237" i="1" a="1"/>
  <c r="P6237" i="1" s="1"/>
  <c r="B6238" i="1"/>
  <c r="S6237" i="1" a="1"/>
  <c r="S6237" i="1" s="1"/>
  <c r="M6237" i="1" a="1"/>
  <c r="M6237" i="1" s="1"/>
  <c r="Q6237" i="1" a="1"/>
  <c r="Q6237" i="1" s="1"/>
  <c r="A6239" i="1"/>
  <c r="L4624" i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I6237" i="1" l="1" a="1"/>
  <c r="I6237" i="1" s="1"/>
  <c r="K6237" i="1" a="1"/>
  <c r="K6237" i="1" s="1"/>
  <c r="O6237" i="1" a="1"/>
  <c r="O6237" i="1" s="1"/>
  <c r="C6238" i="1"/>
  <c r="J6238" i="1" s="1" a="1"/>
  <c r="J6238" i="1" s="1"/>
  <c r="H6237" i="1"/>
  <c r="M6238" i="1" a="1"/>
  <c r="M6238" i="1" s="1"/>
  <c r="Q6238" i="1" a="1"/>
  <c r="Q6238" i="1" s="1"/>
  <c r="P6238" i="1" a="1"/>
  <c r="P6238" i="1" s="1"/>
  <c r="B6239" i="1"/>
  <c r="N6238" i="1" a="1"/>
  <c r="N6238" i="1" s="1"/>
  <c r="R6238" i="1" a="1"/>
  <c r="R6238" i="1" s="1"/>
  <c r="K6238" i="1" a="1"/>
  <c r="K6238" i="1" s="1"/>
  <c r="S6238" i="1" a="1"/>
  <c r="S6238" i="1" s="1"/>
  <c r="A6240" i="1"/>
  <c r="L4625" i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6238" i="1" l="1" a="1"/>
  <c r="L6238" i="1" s="1"/>
  <c r="I6238" i="1" a="1"/>
  <c r="I6238" i="1" s="1"/>
  <c r="O6238" i="1" a="1"/>
  <c r="O6238" i="1" s="1"/>
  <c r="C6239" i="1"/>
  <c r="O6239" i="1" s="1" a="1"/>
  <c r="O6239" i="1" s="1"/>
  <c r="H6238" i="1"/>
  <c r="A6241" i="1"/>
  <c r="L6239" i="1" a="1"/>
  <c r="L6239" i="1" s="1"/>
  <c r="P6239" i="1" a="1"/>
  <c r="P6239" i="1" s="1"/>
  <c r="Q6239" i="1" a="1"/>
  <c r="Q6239" i="1" s="1"/>
  <c r="M6239" i="1" a="1"/>
  <c r="M6239" i="1" s="1"/>
  <c r="R6239" i="1" a="1"/>
  <c r="R6239" i="1" s="1"/>
  <c r="S6239" i="1" a="1"/>
  <c r="S6239" i="1" s="1"/>
  <c r="N6239" i="1" a="1"/>
  <c r="N6239" i="1" s="1"/>
  <c r="B6240" i="1"/>
  <c r="L4626" i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J6239" i="1" l="1" a="1"/>
  <c r="J6239" i="1" s="1"/>
  <c r="K6239" i="1" a="1"/>
  <c r="K6239" i="1" s="1"/>
  <c r="I6239" i="1" a="1"/>
  <c r="I6239" i="1" s="1"/>
  <c r="C6240" i="1"/>
  <c r="K6240" i="1" s="1" a="1"/>
  <c r="K6240" i="1" s="1"/>
  <c r="H6239" i="1"/>
  <c r="S6240" i="1" a="1"/>
  <c r="S6240" i="1" s="1"/>
  <c r="M6240" i="1" a="1"/>
  <c r="M6240" i="1" s="1"/>
  <c r="I6240" i="1" a="1"/>
  <c r="I6240" i="1" s="1"/>
  <c r="R6240" i="1" a="1"/>
  <c r="R6240" i="1" s="1"/>
  <c r="N6240" i="1" a="1"/>
  <c r="N6240" i="1" s="1"/>
  <c r="Q6240" i="1" a="1"/>
  <c r="Q6240" i="1" s="1"/>
  <c r="B6241" i="1"/>
  <c r="P6240" i="1" a="1"/>
  <c r="P6240" i="1" s="1"/>
  <c r="A6242" i="1"/>
  <c r="L4627" i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J6240" i="1" l="1" a="1"/>
  <c r="J6240" i="1" s="1"/>
  <c r="O6240" i="1" a="1"/>
  <c r="O6240" i="1" s="1"/>
  <c r="L6240" i="1" a="1"/>
  <c r="L6240" i="1" s="1"/>
  <c r="C6241" i="1"/>
  <c r="L6241" i="1" s="1" a="1"/>
  <c r="L6241" i="1" s="1"/>
  <c r="H6240" i="1"/>
  <c r="A6243" i="1"/>
  <c r="J6241" i="1" a="1"/>
  <c r="J6241" i="1" s="1"/>
  <c r="N6241" i="1" a="1"/>
  <c r="N6241" i="1" s="1"/>
  <c r="R6241" i="1" a="1"/>
  <c r="R6241" i="1" s="1"/>
  <c r="S6241" i="1" a="1"/>
  <c r="S6241" i="1" s="1"/>
  <c r="B6242" i="1"/>
  <c r="M6241" i="1" a="1"/>
  <c r="M6241" i="1" s="1"/>
  <c r="K6241" i="1" a="1"/>
  <c r="K6241" i="1" s="1"/>
  <c r="P6241" i="1" a="1"/>
  <c r="P6241" i="1" s="1"/>
  <c r="Q6241" i="1" a="1"/>
  <c r="Q6241" i="1" s="1"/>
  <c r="L4628" i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I6241" i="1" l="1" a="1"/>
  <c r="I6241" i="1" s="1"/>
  <c r="O6241" i="1" a="1"/>
  <c r="O6241" i="1" s="1"/>
  <c r="C6242" i="1"/>
  <c r="O6242" i="1" s="1" a="1"/>
  <c r="O6242" i="1" s="1"/>
  <c r="H6241" i="1"/>
  <c r="M6242" i="1" a="1"/>
  <c r="M6242" i="1" s="1"/>
  <c r="Q6242" i="1" a="1"/>
  <c r="Q6242" i="1" s="1"/>
  <c r="S6242" i="1" a="1"/>
  <c r="S6242" i="1" s="1"/>
  <c r="B6243" i="1"/>
  <c r="N6242" i="1" a="1"/>
  <c r="N6242" i="1" s="1"/>
  <c r="P6242" i="1" a="1"/>
  <c r="P6242" i="1" s="1"/>
  <c r="L6242" i="1" a="1"/>
  <c r="L6242" i="1" s="1"/>
  <c r="R6242" i="1" a="1"/>
  <c r="R6242" i="1" s="1"/>
  <c r="A6244" i="1"/>
  <c r="L4629" i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I6242" i="1" l="1" a="1"/>
  <c r="I6242" i="1" s="1"/>
  <c r="J6242" i="1" a="1"/>
  <c r="J6242" i="1" s="1"/>
  <c r="K6242" i="1" a="1"/>
  <c r="K6242" i="1" s="1"/>
  <c r="C6243" i="1"/>
  <c r="L6243" i="1" s="1" a="1"/>
  <c r="L6243" i="1" s="1"/>
  <c r="H6242" i="1"/>
  <c r="P6243" i="1" a="1"/>
  <c r="P6243" i="1" s="1"/>
  <c r="K6243" i="1" a="1"/>
  <c r="K6243" i="1" s="1"/>
  <c r="B6244" i="1"/>
  <c r="N6243" i="1" a="1"/>
  <c r="N6243" i="1" s="1"/>
  <c r="Q6243" i="1" a="1"/>
  <c r="Q6243" i="1" s="1"/>
  <c r="R6243" i="1" a="1"/>
  <c r="R6243" i="1" s="1"/>
  <c r="S6243" i="1" a="1"/>
  <c r="S6243" i="1" s="1"/>
  <c r="M6243" i="1" a="1"/>
  <c r="M6243" i="1" s="1"/>
  <c r="A6245" i="1"/>
  <c r="L4630" i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I6243" i="1" l="1" a="1"/>
  <c r="I6243" i="1" s="1"/>
  <c r="J6243" i="1" a="1"/>
  <c r="J6243" i="1" s="1"/>
  <c r="O6243" i="1" a="1"/>
  <c r="O6243" i="1" s="1"/>
  <c r="C6244" i="1"/>
  <c r="O6244" i="1" s="1" a="1"/>
  <c r="O6244" i="1" s="1"/>
  <c r="H6243" i="1"/>
  <c r="A6246" i="1"/>
  <c r="K6244" i="1" a="1"/>
  <c r="K6244" i="1" s="1"/>
  <c r="S6244" i="1" a="1"/>
  <c r="S6244" i="1" s="1"/>
  <c r="P6244" i="1" a="1"/>
  <c r="P6244" i="1" s="1"/>
  <c r="B6245" i="1"/>
  <c r="Q6244" i="1" a="1"/>
  <c r="Q6244" i="1" s="1"/>
  <c r="R6244" i="1" a="1"/>
  <c r="R6244" i="1" s="1"/>
  <c r="M6244" i="1" a="1"/>
  <c r="M6244" i="1" s="1"/>
  <c r="N6244" i="1" a="1"/>
  <c r="N6244" i="1" s="1"/>
  <c r="L4631" i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J6244" i="1" l="1" a="1"/>
  <c r="J6244" i="1" s="1"/>
  <c r="L6244" i="1" a="1"/>
  <c r="L6244" i="1" s="1"/>
  <c r="I6244" i="1" a="1"/>
  <c r="I6244" i="1" s="1"/>
  <c r="C6245" i="1"/>
  <c r="J6245" i="1" s="1" a="1"/>
  <c r="J6245" i="1" s="1"/>
  <c r="H6244" i="1"/>
  <c r="N6245" i="1" a="1"/>
  <c r="N6245" i="1" s="1"/>
  <c r="R6245" i="1" a="1"/>
  <c r="R6245" i="1" s="1"/>
  <c r="L6245" i="1" a="1"/>
  <c r="L6245" i="1" s="1"/>
  <c r="Q6245" i="1" a="1"/>
  <c r="Q6245" i="1" s="1"/>
  <c r="M6245" i="1" a="1"/>
  <c r="M6245" i="1" s="1"/>
  <c r="S6245" i="1" a="1"/>
  <c r="S6245" i="1" s="1"/>
  <c r="B6246" i="1"/>
  <c r="P6245" i="1" a="1"/>
  <c r="P6245" i="1" s="1"/>
  <c r="I6245" i="1" a="1"/>
  <c r="I6245" i="1" s="1"/>
  <c r="A6247" i="1"/>
  <c r="L4632" i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K6245" i="1" l="1" a="1"/>
  <c r="K6245" i="1" s="1"/>
  <c r="O6245" i="1" a="1"/>
  <c r="O6245" i="1" s="1"/>
  <c r="C6246" i="1"/>
  <c r="O6246" i="1" s="1" a="1"/>
  <c r="O6246" i="1" s="1"/>
  <c r="H6245" i="1"/>
  <c r="A6248" i="1"/>
  <c r="M6246" i="1" a="1"/>
  <c r="M6246" i="1" s="1"/>
  <c r="Q6246" i="1" a="1"/>
  <c r="Q6246" i="1" s="1"/>
  <c r="R6246" i="1" a="1"/>
  <c r="R6246" i="1" s="1"/>
  <c r="N6246" i="1" a="1"/>
  <c r="N6246" i="1" s="1"/>
  <c r="B6247" i="1"/>
  <c r="S6246" i="1" a="1"/>
  <c r="S6246" i="1" s="1"/>
  <c r="P6246" i="1" a="1"/>
  <c r="P6246" i="1" s="1"/>
  <c r="L4633" i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J6246" i="1" l="1" a="1"/>
  <c r="J6246" i="1" s="1"/>
  <c r="L6246" i="1" a="1"/>
  <c r="L6246" i="1" s="1"/>
  <c r="I6246" i="1" a="1"/>
  <c r="I6246" i="1" s="1"/>
  <c r="K6246" i="1" a="1"/>
  <c r="K6246" i="1" s="1"/>
  <c r="C6247" i="1"/>
  <c r="J6247" i="1" s="1" a="1"/>
  <c r="J6247" i="1" s="1"/>
  <c r="H6246" i="1"/>
  <c r="P6247" i="1" a="1"/>
  <c r="P6247" i="1" s="1"/>
  <c r="R6247" i="1" a="1"/>
  <c r="R6247" i="1" s="1"/>
  <c r="N6247" i="1" a="1"/>
  <c r="N6247" i="1" s="1"/>
  <c r="S6247" i="1" a="1"/>
  <c r="S6247" i="1" s="1"/>
  <c r="M6247" i="1" a="1"/>
  <c r="M6247" i="1" s="1"/>
  <c r="Q6247" i="1" a="1"/>
  <c r="Q6247" i="1" s="1"/>
  <c r="B6248" i="1"/>
  <c r="A6249" i="1"/>
  <c r="L4634" i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I6247" i="1" l="1" a="1"/>
  <c r="I6247" i="1" s="1"/>
  <c r="O6247" i="1" a="1"/>
  <c r="O6247" i="1" s="1"/>
  <c r="L6247" i="1" a="1"/>
  <c r="L6247" i="1" s="1"/>
  <c r="K6247" i="1" a="1"/>
  <c r="K6247" i="1" s="1"/>
  <c r="C6248" i="1"/>
  <c r="J6248" i="1" s="1" a="1"/>
  <c r="J6248" i="1" s="1"/>
  <c r="H6247" i="1"/>
  <c r="A6250" i="1"/>
  <c r="K6248" i="1" a="1"/>
  <c r="K6248" i="1" s="1"/>
  <c r="S6248" i="1" a="1"/>
  <c r="S6248" i="1" s="1"/>
  <c r="N6248" i="1" a="1"/>
  <c r="N6248" i="1" s="1"/>
  <c r="P6248" i="1" a="1"/>
  <c r="P6248" i="1" s="1"/>
  <c r="Q6248" i="1" a="1"/>
  <c r="Q6248" i="1" s="1"/>
  <c r="L6248" i="1" a="1"/>
  <c r="L6248" i="1" s="1"/>
  <c r="R6248" i="1" a="1"/>
  <c r="R6248" i="1" s="1"/>
  <c r="M6248" i="1" a="1"/>
  <c r="M6248" i="1" s="1"/>
  <c r="B6249" i="1"/>
  <c r="L4635" i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I6248" i="1" l="1" a="1"/>
  <c r="I6248" i="1" s="1"/>
  <c r="O6248" i="1" a="1"/>
  <c r="O6248" i="1" s="1"/>
  <c r="C6249" i="1"/>
  <c r="J6249" i="1" s="1" a="1"/>
  <c r="J6249" i="1" s="1"/>
  <c r="H6248" i="1"/>
  <c r="N6249" i="1" a="1"/>
  <c r="N6249" i="1" s="1"/>
  <c r="R6249" i="1" a="1"/>
  <c r="R6249" i="1" s="1"/>
  <c r="K6249" i="1" a="1"/>
  <c r="K6249" i="1" s="1"/>
  <c r="P6249" i="1" a="1"/>
  <c r="P6249" i="1" s="1"/>
  <c r="B6250" i="1"/>
  <c r="Q6249" i="1" a="1"/>
  <c r="Q6249" i="1" s="1"/>
  <c r="S6249" i="1" a="1"/>
  <c r="S6249" i="1" s="1"/>
  <c r="M6249" i="1" a="1"/>
  <c r="M6249" i="1" s="1"/>
  <c r="A6251" i="1"/>
  <c r="L4636" i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I6249" i="1" l="1" a="1"/>
  <c r="I6249" i="1" s="1"/>
  <c r="L6249" i="1" a="1"/>
  <c r="L6249" i="1" s="1"/>
  <c r="O6249" i="1" a="1"/>
  <c r="O6249" i="1" s="1"/>
  <c r="C6250" i="1"/>
  <c r="L6250" i="1" s="1" a="1"/>
  <c r="L6250" i="1" s="1"/>
  <c r="H6249" i="1"/>
  <c r="A6252" i="1"/>
  <c r="M6250" i="1" a="1"/>
  <c r="M6250" i="1" s="1"/>
  <c r="Q6250" i="1" a="1"/>
  <c r="Q6250" i="1" s="1"/>
  <c r="P6250" i="1" a="1"/>
  <c r="P6250" i="1" s="1"/>
  <c r="B6251" i="1"/>
  <c r="S6250" i="1" a="1"/>
  <c r="S6250" i="1" s="1"/>
  <c r="N6250" i="1" a="1"/>
  <c r="N6250" i="1" s="1"/>
  <c r="O6250" i="1" a="1"/>
  <c r="O6250" i="1" s="1"/>
  <c r="R6250" i="1" a="1"/>
  <c r="R6250" i="1" s="1"/>
  <c r="L4637" i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J6250" i="1" l="1" a="1"/>
  <c r="J6250" i="1" s="1"/>
  <c r="K6250" i="1" a="1"/>
  <c r="K6250" i="1" s="1"/>
  <c r="I6250" i="1" a="1"/>
  <c r="I6250" i="1" s="1"/>
  <c r="C6251" i="1"/>
  <c r="J6251" i="1" s="1" a="1"/>
  <c r="J6251" i="1" s="1"/>
  <c r="H6250" i="1"/>
  <c r="P6251" i="1" a="1"/>
  <c r="P6251" i="1" s="1"/>
  <c r="Q6251" i="1" a="1"/>
  <c r="Q6251" i="1" s="1"/>
  <c r="M6251" i="1" a="1"/>
  <c r="M6251" i="1" s="1"/>
  <c r="N6251" i="1" a="1"/>
  <c r="N6251" i="1" s="1"/>
  <c r="B6252" i="1"/>
  <c r="K6251" i="1" a="1"/>
  <c r="K6251" i="1" s="1"/>
  <c r="R6251" i="1" a="1"/>
  <c r="R6251" i="1" s="1"/>
  <c r="S6251" i="1" a="1"/>
  <c r="S6251" i="1" s="1"/>
  <c r="A6253" i="1"/>
  <c r="L4638" i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O6251" i="1" l="1" a="1"/>
  <c r="O6251" i="1" s="1"/>
  <c r="I6251" i="1" a="1"/>
  <c r="I6251" i="1" s="1"/>
  <c r="L6251" i="1" a="1"/>
  <c r="L6251" i="1" s="1"/>
  <c r="C6252" i="1"/>
  <c r="K6252" i="1" s="1" a="1"/>
  <c r="K6252" i="1" s="1"/>
  <c r="H6251" i="1"/>
  <c r="A6254" i="1"/>
  <c r="S6252" i="1" a="1"/>
  <c r="S6252" i="1" s="1"/>
  <c r="Q6252" i="1" a="1"/>
  <c r="Q6252" i="1" s="1"/>
  <c r="M6252" i="1" a="1"/>
  <c r="M6252" i="1" s="1"/>
  <c r="R6252" i="1" a="1"/>
  <c r="R6252" i="1" s="1"/>
  <c r="P6252" i="1" a="1"/>
  <c r="P6252" i="1" s="1"/>
  <c r="B6253" i="1"/>
  <c r="N6252" i="1" a="1"/>
  <c r="N6252" i="1" s="1"/>
  <c r="L4639" i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I6252" i="1" l="1" a="1"/>
  <c r="I6252" i="1" s="1"/>
  <c r="O6252" i="1" a="1"/>
  <c r="O6252" i="1" s="1"/>
  <c r="L6252" i="1" a="1"/>
  <c r="L6252" i="1" s="1"/>
  <c r="J6252" i="1" a="1"/>
  <c r="J6252" i="1" s="1"/>
  <c r="C6253" i="1"/>
  <c r="K6253" i="1" s="1" a="1"/>
  <c r="K6253" i="1" s="1"/>
  <c r="H6252" i="1"/>
  <c r="N6253" i="1" a="1"/>
  <c r="N6253" i="1" s="1"/>
  <c r="R6253" i="1" a="1"/>
  <c r="R6253" i="1" s="1"/>
  <c r="M6253" i="1" a="1"/>
  <c r="M6253" i="1" s="1"/>
  <c r="S6253" i="1" a="1"/>
  <c r="S6253" i="1" s="1"/>
  <c r="P6253" i="1" a="1"/>
  <c r="P6253" i="1" s="1"/>
  <c r="Q6253" i="1" a="1"/>
  <c r="Q6253" i="1" s="1"/>
  <c r="B6254" i="1"/>
  <c r="A6255" i="1"/>
  <c r="L4640" i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I6253" i="1" l="1" a="1"/>
  <c r="I6253" i="1" s="1"/>
  <c r="O6253" i="1" a="1"/>
  <c r="O6253" i="1" s="1"/>
  <c r="L6253" i="1" a="1"/>
  <c r="L6253" i="1" s="1"/>
  <c r="J6253" i="1" a="1"/>
  <c r="J6253" i="1" s="1"/>
  <c r="C6254" i="1"/>
  <c r="K6254" i="1" s="1" a="1"/>
  <c r="K6254" i="1" s="1"/>
  <c r="H6253" i="1"/>
  <c r="M6254" i="1" a="1"/>
  <c r="M6254" i="1" s="1"/>
  <c r="Q6254" i="1" a="1"/>
  <c r="Q6254" i="1" s="1"/>
  <c r="N6254" i="1" a="1"/>
  <c r="N6254" i="1" s="1"/>
  <c r="S6254" i="1" a="1"/>
  <c r="S6254" i="1" s="1"/>
  <c r="R6254" i="1" a="1"/>
  <c r="R6254" i="1" s="1"/>
  <c r="B6255" i="1"/>
  <c r="P6254" i="1" a="1"/>
  <c r="P6254" i="1" s="1"/>
  <c r="A6256" i="1"/>
  <c r="L4641" i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I6254" i="1" l="1" a="1"/>
  <c r="I6254" i="1" s="1"/>
  <c r="O6254" i="1" a="1"/>
  <c r="O6254" i="1" s="1"/>
  <c r="L6254" i="1" a="1"/>
  <c r="L6254" i="1" s="1"/>
  <c r="J6254" i="1" a="1"/>
  <c r="J6254" i="1" s="1"/>
  <c r="C6255" i="1"/>
  <c r="L6255" i="1" s="1" a="1"/>
  <c r="L6255" i="1" s="1"/>
  <c r="H6254" i="1"/>
  <c r="A6257" i="1"/>
  <c r="P6255" i="1" a="1"/>
  <c r="P6255" i="1" s="1"/>
  <c r="S6255" i="1" a="1"/>
  <c r="S6255" i="1" s="1"/>
  <c r="B6256" i="1"/>
  <c r="M6255" i="1" a="1"/>
  <c r="M6255" i="1" s="1"/>
  <c r="N6255" i="1" a="1"/>
  <c r="N6255" i="1" s="1"/>
  <c r="R6255" i="1" a="1"/>
  <c r="R6255" i="1" s="1"/>
  <c r="Q6255" i="1" a="1"/>
  <c r="Q6255" i="1" s="1"/>
  <c r="L4642" i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I6255" i="1" l="1" a="1"/>
  <c r="I6255" i="1" s="1"/>
  <c r="K6255" i="1" a="1"/>
  <c r="K6255" i="1" s="1"/>
  <c r="J6255" i="1" a="1"/>
  <c r="J6255" i="1" s="1"/>
  <c r="O6255" i="1" a="1"/>
  <c r="O6255" i="1" s="1"/>
  <c r="C6256" i="1"/>
  <c r="K6256" i="1" s="1" a="1"/>
  <c r="K6256" i="1" s="1"/>
  <c r="H6255" i="1"/>
  <c r="S6256" i="1" a="1"/>
  <c r="S6256" i="1" s="1"/>
  <c r="P6256" i="1" a="1"/>
  <c r="P6256" i="1" s="1"/>
  <c r="B6257" i="1"/>
  <c r="N6256" i="1" a="1"/>
  <c r="N6256" i="1" s="1"/>
  <c r="Q6256" i="1" a="1"/>
  <c r="Q6256" i="1" s="1"/>
  <c r="M6256" i="1" a="1"/>
  <c r="M6256" i="1" s="1"/>
  <c r="R6256" i="1" a="1"/>
  <c r="R6256" i="1" s="1"/>
  <c r="A6258" i="1"/>
  <c r="L4643" i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J6256" i="1" l="1" a="1"/>
  <c r="J6256" i="1" s="1"/>
  <c r="I6256" i="1" a="1"/>
  <c r="I6256" i="1" s="1"/>
  <c r="L6256" i="1" a="1"/>
  <c r="L6256" i="1" s="1"/>
  <c r="O6256" i="1" a="1"/>
  <c r="O6256" i="1" s="1"/>
  <c r="C6257" i="1"/>
  <c r="L6257" i="1" s="1" a="1"/>
  <c r="L6257" i="1" s="1"/>
  <c r="H6256" i="1"/>
  <c r="A6259" i="1"/>
  <c r="J6257" i="1" a="1"/>
  <c r="J6257" i="1" s="1"/>
  <c r="N6257" i="1" a="1"/>
  <c r="N6257" i="1" s="1"/>
  <c r="R6257" i="1" a="1"/>
  <c r="R6257" i="1" s="1"/>
  <c r="P6257" i="1" a="1"/>
  <c r="P6257" i="1" s="1"/>
  <c r="B6258" i="1"/>
  <c r="Q6257" i="1" a="1"/>
  <c r="Q6257" i="1" s="1"/>
  <c r="K6257" i="1" a="1"/>
  <c r="K6257" i="1" s="1"/>
  <c r="S6257" i="1" a="1"/>
  <c r="S6257" i="1" s="1"/>
  <c r="M6257" i="1" a="1"/>
  <c r="M6257" i="1" s="1"/>
  <c r="L4644" i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I6257" i="1" l="1" a="1"/>
  <c r="I6257" i="1" s="1"/>
  <c r="O6257" i="1" a="1"/>
  <c r="O6257" i="1" s="1"/>
  <c r="C6258" i="1"/>
  <c r="K6258" i="1" s="1" a="1"/>
  <c r="K6258" i="1" s="1"/>
  <c r="H6257" i="1"/>
  <c r="M6258" i="1" a="1"/>
  <c r="M6258" i="1" s="1"/>
  <c r="Q6258" i="1" a="1"/>
  <c r="Q6258" i="1" s="1"/>
  <c r="R6258" i="1" a="1"/>
  <c r="R6258" i="1" s="1"/>
  <c r="P6258" i="1" a="1"/>
  <c r="P6258" i="1" s="1"/>
  <c r="S6258" i="1" a="1"/>
  <c r="S6258" i="1" s="1"/>
  <c r="N6258" i="1" a="1"/>
  <c r="N6258" i="1" s="1"/>
  <c r="B6259" i="1"/>
  <c r="A6260" i="1"/>
  <c r="L4645" i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I6258" i="1" l="1" a="1"/>
  <c r="I6258" i="1" s="1"/>
  <c r="J6258" i="1" a="1"/>
  <c r="J6258" i="1" s="1"/>
  <c r="O6258" i="1" a="1"/>
  <c r="O6258" i="1" s="1"/>
  <c r="L6258" i="1" a="1"/>
  <c r="L6258" i="1" s="1"/>
  <c r="C6259" i="1"/>
  <c r="K6259" i="1" s="1" a="1"/>
  <c r="K6259" i="1" s="1"/>
  <c r="H6258" i="1"/>
  <c r="A6261" i="1"/>
  <c r="P6259" i="1" a="1"/>
  <c r="P6259" i="1" s="1"/>
  <c r="M6259" i="1" a="1"/>
  <c r="M6259" i="1" s="1"/>
  <c r="R6259" i="1" a="1"/>
  <c r="R6259" i="1" s="1"/>
  <c r="N6259" i="1" a="1"/>
  <c r="N6259" i="1" s="1"/>
  <c r="S6259" i="1" a="1"/>
  <c r="S6259" i="1" s="1"/>
  <c r="B6260" i="1"/>
  <c r="Q6259" i="1" a="1"/>
  <c r="Q6259" i="1" s="1"/>
  <c r="L4646" i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J6259" i="1" l="1" a="1"/>
  <c r="J6259" i="1" s="1"/>
  <c r="O6259" i="1" a="1"/>
  <c r="O6259" i="1" s="1"/>
  <c r="I6259" i="1" a="1"/>
  <c r="I6259" i="1" s="1"/>
  <c r="L6259" i="1" a="1"/>
  <c r="L6259" i="1" s="1"/>
  <c r="C6260" i="1"/>
  <c r="L6260" i="1" s="1" a="1"/>
  <c r="L6260" i="1" s="1"/>
  <c r="H6259" i="1"/>
  <c r="K6260" i="1" a="1"/>
  <c r="K6260" i="1" s="1"/>
  <c r="S6260" i="1" a="1"/>
  <c r="S6260" i="1" s="1"/>
  <c r="R6260" i="1" a="1"/>
  <c r="R6260" i="1" s="1"/>
  <c r="N6260" i="1" a="1"/>
  <c r="N6260" i="1" s="1"/>
  <c r="B6261" i="1"/>
  <c r="M6260" i="1" a="1"/>
  <c r="M6260" i="1" s="1"/>
  <c r="P6260" i="1" a="1"/>
  <c r="P6260" i="1" s="1"/>
  <c r="Q6260" i="1" a="1"/>
  <c r="Q6260" i="1" s="1"/>
  <c r="A6262" i="1"/>
  <c r="L4647" i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I6260" i="1" l="1" a="1"/>
  <c r="I6260" i="1" s="1"/>
  <c r="J6260" i="1" a="1"/>
  <c r="J6260" i="1" s="1"/>
  <c r="O6260" i="1" a="1"/>
  <c r="O6260" i="1" s="1"/>
  <c r="C6261" i="1"/>
  <c r="O6261" i="1" s="1" a="1"/>
  <c r="O6261" i="1" s="1"/>
  <c r="H6260" i="1"/>
  <c r="N6261" i="1" a="1"/>
  <c r="N6261" i="1" s="1"/>
  <c r="R6261" i="1" a="1"/>
  <c r="R6261" i="1" s="1"/>
  <c r="S6261" i="1" a="1"/>
  <c r="S6261" i="1" s="1"/>
  <c r="K6261" i="1" a="1"/>
  <c r="K6261" i="1" s="1"/>
  <c r="P6261" i="1" a="1"/>
  <c r="P6261" i="1" s="1"/>
  <c r="Q6261" i="1" a="1"/>
  <c r="Q6261" i="1" s="1"/>
  <c r="B6262" i="1"/>
  <c r="M6261" i="1" a="1"/>
  <c r="M6261" i="1" s="1"/>
  <c r="A6263" i="1"/>
  <c r="L4648" i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J6261" i="1" l="1" a="1"/>
  <c r="J6261" i="1" s="1"/>
  <c r="L6261" i="1" a="1"/>
  <c r="L6261" i="1" s="1"/>
  <c r="I6261" i="1" a="1"/>
  <c r="I6261" i="1" s="1"/>
  <c r="C6262" i="1"/>
  <c r="J6262" i="1" s="1" a="1"/>
  <c r="J6262" i="1" s="1"/>
  <c r="H6261" i="1"/>
  <c r="A6264" i="1"/>
  <c r="M6262" i="1" a="1"/>
  <c r="M6262" i="1" s="1"/>
  <c r="Q6262" i="1" a="1"/>
  <c r="Q6262" i="1" s="1"/>
  <c r="K6262" i="1" a="1"/>
  <c r="K6262" i="1" s="1"/>
  <c r="P6262" i="1" a="1"/>
  <c r="P6262" i="1" s="1"/>
  <c r="B6263" i="1"/>
  <c r="R6262" i="1" a="1"/>
  <c r="R6262" i="1" s="1"/>
  <c r="S6262" i="1" a="1"/>
  <c r="S6262" i="1" s="1"/>
  <c r="N6262" i="1" a="1"/>
  <c r="N6262" i="1" s="1"/>
  <c r="L4649" i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L6262" i="1" l="1" a="1"/>
  <c r="L6262" i="1" s="1"/>
  <c r="O6262" i="1" a="1"/>
  <c r="O6262" i="1" s="1"/>
  <c r="I6262" i="1" a="1"/>
  <c r="I6262" i="1" s="1"/>
  <c r="C6263" i="1"/>
  <c r="K6263" i="1" s="1" a="1"/>
  <c r="K6263" i="1" s="1"/>
  <c r="H6262" i="1"/>
  <c r="P6263" i="1" a="1"/>
  <c r="P6263" i="1" s="1"/>
  <c r="B6264" i="1"/>
  <c r="Q6263" i="1" a="1"/>
  <c r="Q6263" i="1" s="1"/>
  <c r="R6263" i="1" a="1"/>
  <c r="R6263" i="1" s="1"/>
  <c r="M6263" i="1" a="1"/>
  <c r="M6263" i="1" s="1"/>
  <c r="S6263" i="1" a="1"/>
  <c r="S6263" i="1" s="1"/>
  <c r="N6263" i="1" a="1"/>
  <c r="N6263" i="1" s="1"/>
  <c r="A6265" i="1"/>
  <c r="J6263" i="1" l="1" a="1"/>
  <c r="J6263" i="1" s="1"/>
  <c r="I6263" i="1" a="1"/>
  <c r="I6263" i="1" s="1"/>
  <c r="O6263" i="1" a="1"/>
  <c r="O6263" i="1" s="1"/>
  <c r="L6263" i="1" a="1"/>
  <c r="L6263" i="1" s="1"/>
  <c r="C6264" i="1"/>
  <c r="K6264" i="1" s="1" a="1"/>
  <c r="K6264" i="1" s="1"/>
  <c r="H6263" i="1"/>
  <c r="A6266" i="1"/>
  <c r="S6264" i="1" a="1"/>
  <c r="S6264" i="1" s="1"/>
  <c r="Q6264" i="1" a="1"/>
  <c r="Q6264" i="1" s="1"/>
  <c r="M6264" i="1" a="1"/>
  <c r="M6264" i="1" s="1"/>
  <c r="N6264" i="1" a="1"/>
  <c r="N6264" i="1" s="1"/>
  <c r="B6265" i="1"/>
  <c r="R6264" i="1" a="1"/>
  <c r="R6264" i="1" s="1"/>
  <c r="P6264" i="1" a="1"/>
  <c r="P6264" i="1" s="1"/>
  <c r="J6264" i="1" l="1" a="1"/>
  <c r="J6264" i="1" s="1"/>
  <c r="I6264" i="1" a="1"/>
  <c r="I6264" i="1" s="1"/>
  <c r="O6264" i="1" a="1"/>
  <c r="O6264" i="1" s="1"/>
  <c r="L6264" i="1" a="1"/>
  <c r="L6264" i="1" s="1"/>
  <c r="C6265" i="1"/>
  <c r="J6265" i="1" s="1" a="1"/>
  <c r="J6265" i="1" s="1"/>
  <c r="H6264" i="1"/>
  <c r="N6265" i="1" a="1"/>
  <c r="N6265" i="1" s="1"/>
  <c r="R6265" i="1" a="1"/>
  <c r="R6265" i="1" s="1"/>
  <c r="Q6265" i="1" a="1"/>
  <c r="Q6265" i="1" s="1"/>
  <c r="M6265" i="1" a="1"/>
  <c r="M6265" i="1" s="1"/>
  <c r="B6266" i="1"/>
  <c r="P6265" i="1" a="1"/>
  <c r="P6265" i="1" s="1"/>
  <c r="K6265" i="1" a="1"/>
  <c r="K6265" i="1" s="1"/>
  <c r="S6265" i="1" a="1"/>
  <c r="S6265" i="1" s="1"/>
  <c r="A6267" i="1"/>
  <c r="I6265" i="1" l="1" a="1"/>
  <c r="I6265" i="1" s="1"/>
  <c r="O6265" i="1" a="1"/>
  <c r="O6265" i="1" s="1"/>
  <c r="L6265" i="1" a="1"/>
  <c r="L6265" i="1" s="1"/>
  <c r="C6266" i="1"/>
  <c r="O6266" i="1" s="1" a="1"/>
  <c r="O6266" i="1" s="1"/>
  <c r="H6265" i="1"/>
  <c r="A6268" i="1"/>
  <c r="M6266" i="1" a="1"/>
  <c r="M6266" i="1" s="1"/>
  <c r="Q6266" i="1" a="1"/>
  <c r="Q6266" i="1" s="1"/>
  <c r="R6266" i="1" a="1"/>
  <c r="R6266" i="1" s="1"/>
  <c r="N6266" i="1" a="1"/>
  <c r="N6266" i="1" s="1"/>
  <c r="S6266" i="1" a="1"/>
  <c r="S6266" i="1" s="1"/>
  <c r="P6266" i="1" a="1"/>
  <c r="P6266" i="1" s="1"/>
  <c r="K6266" i="1" a="1"/>
  <c r="K6266" i="1" s="1"/>
  <c r="L6266" i="1" a="1"/>
  <c r="L6266" i="1" s="1"/>
  <c r="B6267" i="1"/>
  <c r="I6266" i="1" l="1" a="1"/>
  <c r="I6266" i="1" s="1"/>
  <c r="J6266" i="1" a="1"/>
  <c r="J6266" i="1" s="1"/>
  <c r="C6267" i="1"/>
  <c r="L6267" i="1" s="1" a="1"/>
  <c r="L6267" i="1" s="1"/>
  <c r="H6266" i="1"/>
  <c r="P6267" i="1" a="1"/>
  <c r="P6267" i="1" s="1"/>
  <c r="N6267" i="1" a="1"/>
  <c r="N6267" i="1" s="1"/>
  <c r="S6267" i="1" a="1"/>
  <c r="S6267" i="1" s="1"/>
  <c r="Q6267" i="1" a="1"/>
  <c r="Q6267" i="1" s="1"/>
  <c r="K6267" i="1" a="1"/>
  <c r="K6267" i="1" s="1"/>
  <c r="R6267" i="1" a="1"/>
  <c r="R6267" i="1" s="1"/>
  <c r="B6268" i="1"/>
  <c r="M6267" i="1" a="1"/>
  <c r="M6267" i="1" s="1"/>
  <c r="A6269" i="1"/>
  <c r="J6267" i="1" l="1" a="1"/>
  <c r="J6267" i="1" s="1"/>
  <c r="O6267" i="1" a="1"/>
  <c r="O6267" i="1" s="1"/>
  <c r="I6267" i="1" a="1"/>
  <c r="I6267" i="1" s="1"/>
  <c r="C6268" i="1"/>
  <c r="O6268" i="1" s="1" a="1"/>
  <c r="O6268" i="1" s="1"/>
  <c r="H6267" i="1"/>
  <c r="A6270" i="1"/>
  <c r="K6268" i="1" a="1"/>
  <c r="K6268" i="1" s="1"/>
  <c r="S6268" i="1" a="1"/>
  <c r="S6268" i="1" s="1"/>
  <c r="P6268" i="1" a="1"/>
  <c r="P6268" i="1" s="1"/>
  <c r="B6269" i="1"/>
  <c r="R6268" i="1" a="1"/>
  <c r="R6268" i="1" s="1"/>
  <c r="M6268" i="1" a="1"/>
  <c r="M6268" i="1" s="1"/>
  <c r="N6268" i="1" a="1"/>
  <c r="N6268" i="1" s="1"/>
  <c r="Q6268" i="1" a="1"/>
  <c r="Q6268" i="1" s="1"/>
  <c r="I6268" i="1" l="1" a="1"/>
  <c r="I6268" i="1" s="1"/>
  <c r="L6268" i="1" a="1"/>
  <c r="L6268" i="1" s="1"/>
  <c r="J6268" i="1" a="1"/>
  <c r="J6268" i="1" s="1"/>
  <c r="C6269" i="1"/>
  <c r="J6269" i="1" s="1" a="1"/>
  <c r="J6269" i="1" s="1"/>
  <c r="H6268" i="1"/>
  <c r="N6269" i="1" a="1"/>
  <c r="N6269" i="1" s="1"/>
  <c r="R6269" i="1" a="1"/>
  <c r="R6269" i="1" s="1"/>
  <c r="K6269" i="1" a="1"/>
  <c r="K6269" i="1" s="1"/>
  <c r="P6269" i="1" a="1"/>
  <c r="P6269" i="1" s="1"/>
  <c r="B6270" i="1"/>
  <c r="M6269" i="1" a="1"/>
  <c r="M6269" i="1" s="1"/>
  <c r="Q6269" i="1" a="1"/>
  <c r="Q6269" i="1" s="1"/>
  <c r="S6269" i="1" a="1"/>
  <c r="S6269" i="1" s="1"/>
  <c r="A6271" i="1"/>
  <c r="I6269" i="1" l="1" a="1"/>
  <c r="I6269" i="1" s="1"/>
  <c r="O6269" i="1" a="1"/>
  <c r="O6269" i="1" s="1"/>
  <c r="L6269" i="1" a="1"/>
  <c r="L6269" i="1" s="1"/>
  <c r="C6270" i="1"/>
  <c r="L6270" i="1" s="1" a="1"/>
  <c r="L6270" i="1" s="1"/>
  <c r="H6269" i="1"/>
  <c r="M6270" i="1" a="1"/>
  <c r="M6270" i="1" s="1"/>
  <c r="Q6270" i="1" a="1"/>
  <c r="Q6270" i="1" s="1"/>
  <c r="P6270" i="1" a="1"/>
  <c r="P6270" i="1" s="1"/>
  <c r="B6271" i="1"/>
  <c r="R6270" i="1" a="1"/>
  <c r="R6270" i="1" s="1"/>
  <c r="S6270" i="1" a="1"/>
  <c r="S6270" i="1" s="1"/>
  <c r="K6270" i="1" a="1"/>
  <c r="K6270" i="1" s="1"/>
  <c r="N6270" i="1" a="1"/>
  <c r="N6270" i="1" s="1"/>
  <c r="A6272" i="1"/>
  <c r="J6270" i="1" l="1" a="1"/>
  <c r="J6270" i="1" s="1"/>
  <c r="I6270" i="1" a="1"/>
  <c r="I6270" i="1" s="1"/>
  <c r="O6270" i="1" a="1"/>
  <c r="O6270" i="1" s="1"/>
  <c r="C6271" i="1"/>
  <c r="K6271" i="1" s="1" a="1"/>
  <c r="K6271" i="1" s="1"/>
  <c r="H6270" i="1"/>
  <c r="A6273" i="1"/>
  <c r="L6271" i="1" a="1"/>
  <c r="L6271" i="1" s="1"/>
  <c r="P6271" i="1" a="1"/>
  <c r="P6271" i="1" s="1"/>
  <c r="Q6271" i="1" a="1"/>
  <c r="Q6271" i="1" s="1"/>
  <c r="M6271" i="1" a="1"/>
  <c r="M6271" i="1" s="1"/>
  <c r="R6271" i="1" a="1"/>
  <c r="R6271" i="1" s="1"/>
  <c r="S6271" i="1" a="1"/>
  <c r="S6271" i="1" s="1"/>
  <c r="N6271" i="1" a="1"/>
  <c r="N6271" i="1" s="1"/>
  <c r="B6272" i="1"/>
  <c r="I6271" i="1" l="1" a="1"/>
  <c r="I6271" i="1" s="1"/>
  <c r="O6271" i="1" a="1"/>
  <c r="O6271" i="1" s="1"/>
  <c r="J6271" i="1" a="1"/>
  <c r="J6271" i="1" s="1"/>
  <c r="C6272" i="1"/>
  <c r="K6272" i="1" s="1" a="1"/>
  <c r="K6272" i="1" s="1"/>
  <c r="H6271" i="1"/>
  <c r="S6272" i="1" a="1"/>
  <c r="S6272" i="1" s="1"/>
  <c r="M6272" i="1" a="1"/>
  <c r="M6272" i="1" s="1"/>
  <c r="R6272" i="1" a="1"/>
  <c r="R6272" i="1" s="1"/>
  <c r="N6272" i="1" a="1"/>
  <c r="N6272" i="1" s="1"/>
  <c r="Q6272" i="1" a="1"/>
  <c r="Q6272" i="1" s="1"/>
  <c r="B6273" i="1"/>
  <c r="P6272" i="1" a="1"/>
  <c r="P6272" i="1" s="1"/>
  <c r="A6274" i="1"/>
  <c r="I6272" i="1" l="1" a="1"/>
  <c r="I6272" i="1" s="1"/>
  <c r="O6272" i="1" a="1"/>
  <c r="O6272" i="1" s="1"/>
  <c r="J6272" i="1" a="1"/>
  <c r="J6272" i="1" s="1"/>
  <c r="L6272" i="1" a="1"/>
  <c r="L6272" i="1" s="1"/>
  <c r="C6273" i="1"/>
  <c r="J6273" i="1" s="1" a="1"/>
  <c r="J6273" i="1" s="1"/>
  <c r="H6272" i="1"/>
  <c r="A6275" i="1"/>
  <c r="N6273" i="1" a="1"/>
  <c r="N6273" i="1" s="1"/>
  <c r="R6273" i="1" a="1"/>
  <c r="R6273" i="1" s="1"/>
  <c r="S6273" i="1" a="1"/>
  <c r="S6273" i="1" s="1"/>
  <c r="M6273" i="1" a="1"/>
  <c r="M6273" i="1" s="1"/>
  <c r="B6274" i="1"/>
  <c r="Q6273" i="1" a="1"/>
  <c r="Q6273" i="1" s="1"/>
  <c r="K6273" i="1" a="1"/>
  <c r="K6273" i="1" s="1"/>
  <c r="P6273" i="1" a="1"/>
  <c r="P6273" i="1" s="1"/>
  <c r="I6273" i="1" l="1" a="1"/>
  <c r="I6273" i="1" s="1"/>
  <c r="O6273" i="1" a="1"/>
  <c r="O6273" i="1" s="1"/>
  <c r="L6273" i="1" a="1"/>
  <c r="L6273" i="1" s="1"/>
  <c r="C6274" i="1"/>
  <c r="K6274" i="1" s="1" a="1"/>
  <c r="K6274" i="1" s="1"/>
  <c r="H6273" i="1"/>
  <c r="A6276" i="1"/>
  <c r="B6275" i="1"/>
  <c r="M6274" i="1" a="1"/>
  <c r="M6274" i="1" s="1"/>
  <c r="Q6274" i="1" a="1"/>
  <c r="Q6274" i="1" s="1"/>
  <c r="S6274" i="1" a="1"/>
  <c r="S6274" i="1" s="1"/>
  <c r="N6274" i="1" a="1"/>
  <c r="N6274" i="1" s="1"/>
  <c r="P6274" i="1" a="1"/>
  <c r="P6274" i="1" s="1"/>
  <c r="R6274" i="1" a="1"/>
  <c r="R6274" i="1" s="1"/>
  <c r="I6274" i="1" l="1" a="1"/>
  <c r="I6274" i="1" s="1"/>
  <c r="L6274" i="1" a="1"/>
  <c r="L6274" i="1" s="1"/>
  <c r="O6274" i="1" a="1"/>
  <c r="O6274" i="1" s="1"/>
  <c r="J6274" i="1" a="1"/>
  <c r="J6274" i="1" s="1"/>
  <c r="C6275" i="1"/>
  <c r="L6275" i="1" s="1" a="1"/>
  <c r="L6275" i="1" s="1"/>
  <c r="H6274" i="1"/>
  <c r="P6275" i="1" a="1"/>
  <c r="P6275" i="1" s="1"/>
  <c r="B6276" i="1"/>
  <c r="R6275" i="1" a="1"/>
  <c r="R6275" i="1" s="1"/>
  <c r="M6275" i="1" a="1"/>
  <c r="M6275" i="1" s="1"/>
  <c r="S6275" i="1" a="1"/>
  <c r="S6275" i="1" s="1"/>
  <c r="N6275" i="1" a="1"/>
  <c r="N6275" i="1" s="1"/>
  <c r="Q6275" i="1" a="1"/>
  <c r="Q6275" i="1" s="1"/>
  <c r="A6277" i="1"/>
  <c r="J6275" i="1" l="1" a="1"/>
  <c r="J6275" i="1" s="1"/>
  <c r="K6275" i="1" a="1"/>
  <c r="K6275" i="1" s="1"/>
  <c r="I6275" i="1" a="1"/>
  <c r="I6275" i="1" s="1"/>
  <c r="O6275" i="1" a="1"/>
  <c r="O6275" i="1" s="1"/>
  <c r="C6276" i="1"/>
  <c r="K6276" i="1" s="1" a="1"/>
  <c r="K6276" i="1" s="1"/>
  <c r="H6275" i="1"/>
  <c r="A6278" i="1"/>
  <c r="R6276" i="1" a="1"/>
  <c r="R6276" i="1" s="1"/>
  <c r="M6276" i="1" a="1"/>
  <c r="M6276" i="1" s="1"/>
  <c r="S6276" i="1" a="1"/>
  <c r="S6276" i="1" s="1"/>
  <c r="N6276" i="1" a="1"/>
  <c r="N6276" i="1" s="1"/>
  <c r="B6277" i="1"/>
  <c r="P6276" i="1" a="1"/>
  <c r="P6276" i="1" s="1"/>
  <c r="Q6276" i="1" a="1"/>
  <c r="Q6276" i="1" s="1"/>
  <c r="I6276" i="1" l="1" a="1"/>
  <c r="I6276" i="1" s="1"/>
  <c r="O6276" i="1" a="1"/>
  <c r="O6276" i="1" s="1"/>
  <c r="L6276" i="1" a="1"/>
  <c r="L6276" i="1" s="1"/>
  <c r="J6276" i="1" a="1"/>
  <c r="J6276" i="1" s="1"/>
  <c r="C6277" i="1"/>
  <c r="J6277" i="1" s="1" a="1"/>
  <c r="J6277" i="1" s="1"/>
  <c r="H6276" i="1"/>
  <c r="B6278" i="1"/>
  <c r="K6277" i="1" a="1"/>
  <c r="K6277" i="1" s="1"/>
  <c r="P6277" i="1" a="1"/>
  <c r="P6277" i="1" s="1"/>
  <c r="Q6277" i="1" a="1"/>
  <c r="Q6277" i="1" s="1"/>
  <c r="R6277" i="1" a="1"/>
  <c r="R6277" i="1" s="1"/>
  <c r="N6277" i="1" a="1"/>
  <c r="N6277" i="1" s="1"/>
  <c r="S6277" i="1" a="1"/>
  <c r="S6277" i="1" s="1"/>
  <c r="M6277" i="1" a="1"/>
  <c r="M6277" i="1" s="1"/>
  <c r="A6279" i="1"/>
  <c r="I6277" i="1" l="1" a="1"/>
  <c r="I6277" i="1" s="1"/>
  <c r="L6277" i="1" a="1"/>
  <c r="L6277" i="1" s="1"/>
  <c r="O6277" i="1" a="1"/>
  <c r="O6277" i="1" s="1"/>
  <c r="C6278" i="1"/>
  <c r="K6278" i="1" s="1" a="1"/>
  <c r="K6278" i="1" s="1"/>
  <c r="H6277" i="1"/>
  <c r="A6280" i="1"/>
  <c r="M6278" i="1" a="1"/>
  <c r="M6278" i="1" s="1"/>
  <c r="N6278" i="1" a="1"/>
  <c r="N6278" i="1" s="1"/>
  <c r="S6278" i="1" a="1"/>
  <c r="S6278" i="1" s="1"/>
  <c r="B6279" i="1"/>
  <c r="P6278" i="1" a="1"/>
  <c r="P6278" i="1" s="1"/>
  <c r="Q6278" i="1" a="1"/>
  <c r="Q6278" i="1" s="1"/>
  <c r="R6278" i="1" a="1"/>
  <c r="R6278" i="1" s="1"/>
  <c r="L6278" i="1" a="1"/>
  <c r="L6278" i="1" s="1"/>
  <c r="J6278" i="1" l="1" a="1"/>
  <c r="J6278" i="1" s="1"/>
  <c r="I6278" i="1" a="1"/>
  <c r="I6278" i="1" s="1"/>
  <c r="O6278" i="1" a="1"/>
  <c r="O6278" i="1" s="1"/>
  <c r="C6279" i="1"/>
  <c r="L6279" i="1" s="1" a="1"/>
  <c r="L6279" i="1" s="1"/>
  <c r="H6278" i="1"/>
  <c r="A6281" i="1"/>
  <c r="B6280" i="1"/>
  <c r="S6279" i="1" a="1"/>
  <c r="S6279" i="1" s="1"/>
  <c r="P6279" i="1" a="1"/>
  <c r="P6279" i="1" s="1"/>
  <c r="Q6279" i="1" a="1"/>
  <c r="Q6279" i="1" s="1"/>
  <c r="N6279" i="1" a="1"/>
  <c r="N6279" i="1" s="1"/>
  <c r="R6279" i="1" a="1"/>
  <c r="R6279" i="1" s="1"/>
  <c r="M6279" i="1" a="1"/>
  <c r="M6279" i="1" s="1"/>
  <c r="K6279" i="1" l="1" a="1"/>
  <c r="K6279" i="1" s="1"/>
  <c r="I6279" i="1" a="1"/>
  <c r="I6279" i="1" s="1"/>
  <c r="O6279" i="1" a="1"/>
  <c r="O6279" i="1" s="1"/>
  <c r="J6279" i="1" a="1"/>
  <c r="J6279" i="1" s="1"/>
  <c r="C6280" i="1"/>
  <c r="O6280" i="1" s="1" a="1"/>
  <c r="O6280" i="1" s="1"/>
  <c r="H6279" i="1"/>
  <c r="K6280" i="1" a="1"/>
  <c r="K6280" i="1" s="1"/>
  <c r="P6280" i="1" a="1"/>
  <c r="P6280" i="1" s="1"/>
  <c r="B6281" i="1"/>
  <c r="Q6280" i="1" a="1"/>
  <c r="Q6280" i="1" s="1"/>
  <c r="M6280" i="1" a="1"/>
  <c r="M6280" i="1" s="1"/>
  <c r="N6280" i="1" a="1"/>
  <c r="N6280" i="1" s="1"/>
  <c r="R6280" i="1" a="1"/>
  <c r="R6280" i="1" s="1"/>
  <c r="I6280" i="1" a="1"/>
  <c r="I6280" i="1" s="1"/>
  <c r="S6280" i="1" a="1"/>
  <c r="S6280" i="1" s="1"/>
  <c r="J6280" i="1" a="1"/>
  <c r="J6280" i="1" s="1"/>
  <c r="A6282" i="1"/>
  <c r="L6280" i="1" l="1" a="1"/>
  <c r="L6280" i="1" s="1"/>
  <c r="C6281" i="1"/>
  <c r="L6281" i="1" s="1" a="1"/>
  <c r="L6281" i="1" s="1"/>
  <c r="H6280" i="1"/>
  <c r="P6281" i="1" a="1"/>
  <c r="P6281" i="1" s="1"/>
  <c r="B6282" i="1"/>
  <c r="Q6281" i="1" a="1"/>
  <c r="Q6281" i="1" s="1"/>
  <c r="M6281" i="1" a="1"/>
  <c r="M6281" i="1" s="1"/>
  <c r="I6281" i="1" a="1"/>
  <c r="I6281" i="1" s="1"/>
  <c r="R6281" i="1" a="1"/>
  <c r="R6281" i="1" s="1"/>
  <c r="N6281" i="1" a="1"/>
  <c r="N6281" i="1" s="1"/>
  <c r="S6281" i="1" a="1"/>
  <c r="S6281" i="1" s="1"/>
  <c r="A6283" i="1"/>
  <c r="J6281" i="1" l="1" a="1"/>
  <c r="J6281" i="1" s="1"/>
  <c r="K6281" i="1" a="1"/>
  <c r="K6281" i="1" s="1"/>
  <c r="O6281" i="1" a="1"/>
  <c r="O6281" i="1" s="1"/>
  <c r="C6282" i="1"/>
  <c r="O6282" i="1" s="1" a="1"/>
  <c r="O6282" i="1" s="1"/>
  <c r="H6281" i="1"/>
  <c r="A6284" i="1"/>
  <c r="L6282" i="1" a="1"/>
  <c r="L6282" i="1" s="1"/>
  <c r="Q6282" i="1" a="1"/>
  <c r="Q6282" i="1" s="1"/>
  <c r="M6282" i="1" a="1"/>
  <c r="M6282" i="1" s="1"/>
  <c r="R6282" i="1" a="1"/>
  <c r="R6282" i="1" s="1"/>
  <c r="N6282" i="1" a="1"/>
  <c r="N6282" i="1" s="1"/>
  <c r="S6282" i="1" a="1"/>
  <c r="S6282" i="1" s="1"/>
  <c r="P6282" i="1" a="1"/>
  <c r="P6282" i="1" s="1"/>
  <c r="B6283" i="1"/>
  <c r="K6282" i="1" a="1"/>
  <c r="K6282" i="1" s="1"/>
  <c r="J6282" i="1" l="1" a="1"/>
  <c r="J6282" i="1" s="1"/>
  <c r="I6282" i="1" a="1"/>
  <c r="I6282" i="1" s="1"/>
  <c r="C6283" i="1"/>
  <c r="L6283" i="1" s="1" a="1"/>
  <c r="L6283" i="1" s="1"/>
  <c r="H6282" i="1"/>
  <c r="B6284" i="1"/>
  <c r="M6283" i="1" a="1"/>
  <c r="M6283" i="1" s="1"/>
  <c r="R6283" i="1" a="1"/>
  <c r="R6283" i="1" s="1"/>
  <c r="N6283" i="1" a="1"/>
  <c r="N6283" i="1" s="1"/>
  <c r="S6283" i="1" a="1"/>
  <c r="S6283" i="1" s="1"/>
  <c r="P6283" i="1" a="1"/>
  <c r="P6283" i="1" s="1"/>
  <c r="Q6283" i="1" a="1"/>
  <c r="Q6283" i="1" s="1"/>
  <c r="A6285" i="1"/>
  <c r="J6283" i="1" l="1" a="1"/>
  <c r="J6283" i="1" s="1"/>
  <c r="K6283" i="1" a="1"/>
  <c r="K6283" i="1" s="1"/>
  <c r="I6283" i="1" a="1"/>
  <c r="I6283" i="1" s="1"/>
  <c r="O6283" i="1" a="1"/>
  <c r="O6283" i="1" s="1"/>
  <c r="C6284" i="1"/>
  <c r="K6284" i="1" s="1" a="1"/>
  <c r="K6284" i="1" s="1"/>
  <c r="H6283" i="1"/>
  <c r="A6286" i="1"/>
  <c r="R6284" i="1" a="1"/>
  <c r="R6284" i="1" s="1"/>
  <c r="N6284" i="1" a="1"/>
  <c r="N6284" i="1" s="1"/>
  <c r="S6284" i="1" a="1"/>
  <c r="S6284" i="1" s="1"/>
  <c r="P6284" i="1" a="1"/>
  <c r="P6284" i="1" s="1"/>
  <c r="B6285" i="1"/>
  <c r="L6284" i="1" a="1"/>
  <c r="L6284" i="1" s="1"/>
  <c r="M6284" i="1" a="1"/>
  <c r="M6284" i="1" s="1"/>
  <c r="Q6284" i="1" a="1"/>
  <c r="Q6284" i="1" s="1"/>
  <c r="J6284" i="1" l="1" a="1"/>
  <c r="J6284" i="1" s="1"/>
  <c r="O6284" i="1" a="1"/>
  <c r="O6284" i="1" s="1"/>
  <c r="I6284" i="1" a="1"/>
  <c r="I6284" i="1" s="1"/>
  <c r="C6285" i="1"/>
  <c r="L6285" i="1" s="1" a="1"/>
  <c r="L6285" i="1" s="1"/>
  <c r="H6284" i="1"/>
  <c r="N6285" i="1" a="1"/>
  <c r="N6285" i="1" s="1"/>
  <c r="S6285" i="1" a="1"/>
  <c r="S6285" i="1" s="1"/>
  <c r="K6285" i="1" a="1"/>
  <c r="K6285" i="1" s="1"/>
  <c r="P6285" i="1" a="1"/>
  <c r="P6285" i="1" s="1"/>
  <c r="B6286" i="1"/>
  <c r="M6285" i="1" a="1"/>
  <c r="M6285" i="1" s="1"/>
  <c r="Q6285" i="1" a="1"/>
  <c r="Q6285" i="1" s="1"/>
  <c r="R6285" i="1" a="1"/>
  <c r="R6285" i="1" s="1"/>
  <c r="A6287" i="1"/>
  <c r="J6285" i="1" l="1" a="1"/>
  <c r="J6285" i="1" s="1"/>
  <c r="O6285" i="1" a="1"/>
  <c r="O6285" i="1" s="1"/>
  <c r="I6285" i="1" a="1"/>
  <c r="I6285" i="1" s="1"/>
  <c r="C6286" i="1"/>
  <c r="J6286" i="1" s="1" a="1"/>
  <c r="J6286" i="1" s="1"/>
  <c r="H6285" i="1"/>
  <c r="A6288" i="1"/>
  <c r="K6286" i="1" a="1"/>
  <c r="K6286" i="1" s="1"/>
  <c r="P6286" i="1" a="1"/>
  <c r="P6286" i="1" s="1"/>
  <c r="B6287" i="1"/>
  <c r="Q6286" i="1" a="1"/>
  <c r="Q6286" i="1" s="1"/>
  <c r="M6286" i="1" a="1"/>
  <c r="M6286" i="1" s="1"/>
  <c r="N6286" i="1" a="1"/>
  <c r="N6286" i="1" s="1"/>
  <c r="R6286" i="1" a="1"/>
  <c r="R6286" i="1" s="1"/>
  <c r="S6286" i="1" a="1"/>
  <c r="S6286" i="1" s="1"/>
  <c r="I6286" i="1" l="1" a="1"/>
  <c r="I6286" i="1" s="1"/>
  <c r="L6286" i="1" a="1"/>
  <c r="L6286" i="1" s="1"/>
  <c r="O6286" i="1" a="1"/>
  <c r="O6286" i="1" s="1"/>
  <c r="C6287" i="1"/>
  <c r="J6287" i="1" s="1" a="1"/>
  <c r="J6287" i="1" s="1"/>
  <c r="H6286" i="1"/>
  <c r="B6288" i="1"/>
  <c r="K6287" i="1" a="1"/>
  <c r="K6287" i="1" s="1"/>
  <c r="P6287" i="1" a="1"/>
  <c r="P6287" i="1" s="1"/>
  <c r="Q6287" i="1" a="1"/>
  <c r="Q6287" i="1" s="1"/>
  <c r="M6287" i="1" a="1"/>
  <c r="M6287" i="1" s="1"/>
  <c r="R6287" i="1" a="1"/>
  <c r="R6287" i="1" s="1"/>
  <c r="N6287" i="1" a="1"/>
  <c r="N6287" i="1" s="1"/>
  <c r="S6287" i="1" a="1"/>
  <c r="S6287" i="1" s="1"/>
  <c r="A6289" i="1"/>
  <c r="I6287" i="1" l="1" a="1"/>
  <c r="I6287" i="1" s="1"/>
  <c r="L6287" i="1" a="1"/>
  <c r="L6287" i="1" s="1"/>
  <c r="O6287" i="1" a="1"/>
  <c r="O6287" i="1" s="1"/>
  <c r="C6288" i="1"/>
  <c r="K6288" i="1" s="1" a="1"/>
  <c r="K6288" i="1" s="1"/>
  <c r="H6287" i="1"/>
  <c r="A6290" i="1"/>
  <c r="Q6288" i="1" a="1"/>
  <c r="Q6288" i="1" s="1"/>
  <c r="M6288" i="1" a="1"/>
  <c r="M6288" i="1" s="1"/>
  <c r="R6288" i="1" a="1"/>
  <c r="R6288" i="1" s="1"/>
  <c r="N6288" i="1" a="1"/>
  <c r="N6288" i="1" s="1"/>
  <c r="B6289" i="1"/>
  <c r="P6288" i="1" a="1"/>
  <c r="P6288" i="1" s="1"/>
  <c r="S6288" i="1" a="1"/>
  <c r="S6288" i="1" s="1"/>
  <c r="I6288" i="1" l="1" a="1"/>
  <c r="I6288" i="1" s="1"/>
  <c r="J6288" i="1" a="1"/>
  <c r="J6288" i="1" s="1"/>
  <c r="O6288" i="1" a="1"/>
  <c r="O6288" i="1" s="1"/>
  <c r="L6288" i="1" a="1"/>
  <c r="L6288" i="1" s="1"/>
  <c r="C6289" i="1"/>
  <c r="O6289" i="1" s="1" a="1"/>
  <c r="O6289" i="1" s="1"/>
  <c r="H6288" i="1"/>
  <c r="Q6289" i="1" a="1"/>
  <c r="Q6289" i="1" s="1"/>
  <c r="M6289" i="1" a="1"/>
  <c r="M6289" i="1" s="1"/>
  <c r="R6289" i="1" a="1"/>
  <c r="R6289" i="1" s="1"/>
  <c r="N6289" i="1" a="1"/>
  <c r="N6289" i="1" s="1"/>
  <c r="S6289" i="1" a="1"/>
  <c r="S6289" i="1" s="1"/>
  <c r="B6290" i="1"/>
  <c r="P6289" i="1" a="1"/>
  <c r="P6289" i="1" s="1"/>
  <c r="A6291" i="1"/>
  <c r="J6289" i="1" l="1" a="1"/>
  <c r="J6289" i="1" s="1"/>
  <c r="K6289" i="1" a="1"/>
  <c r="K6289" i="1" s="1"/>
  <c r="I6289" i="1" a="1"/>
  <c r="I6289" i="1" s="1"/>
  <c r="L6289" i="1" a="1"/>
  <c r="L6289" i="1" s="1"/>
  <c r="C6290" i="1"/>
  <c r="L6290" i="1" s="1" a="1"/>
  <c r="L6290" i="1" s="1"/>
  <c r="H6289" i="1"/>
  <c r="A6292" i="1"/>
  <c r="M6290" i="1" a="1"/>
  <c r="M6290" i="1" s="1"/>
  <c r="R6290" i="1" a="1"/>
  <c r="R6290" i="1" s="1"/>
  <c r="N6290" i="1" a="1"/>
  <c r="N6290" i="1" s="1"/>
  <c r="S6290" i="1" a="1"/>
  <c r="S6290" i="1" s="1"/>
  <c r="K6290" i="1" a="1"/>
  <c r="K6290" i="1" s="1"/>
  <c r="Q6290" i="1" a="1"/>
  <c r="Q6290" i="1" s="1"/>
  <c r="B6291" i="1"/>
  <c r="P6290" i="1" a="1"/>
  <c r="P6290" i="1" s="1"/>
  <c r="I6290" i="1" l="1" a="1"/>
  <c r="I6290" i="1" s="1"/>
  <c r="J6290" i="1" a="1"/>
  <c r="J6290" i="1" s="1"/>
  <c r="O6290" i="1" a="1"/>
  <c r="O6290" i="1" s="1"/>
  <c r="C6291" i="1"/>
  <c r="O6291" i="1" s="1" a="1"/>
  <c r="O6291" i="1" s="1"/>
  <c r="H6290" i="1"/>
  <c r="A6293" i="1"/>
  <c r="B6292" i="1"/>
  <c r="N6291" i="1" a="1"/>
  <c r="N6291" i="1" s="1"/>
  <c r="S6291" i="1" a="1"/>
  <c r="S6291" i="1" s="1"/>
  <c r="P6291" i="1" a="1"/>
  <c r="P6291" i="1" s="1"/>
  <c r="R6291" i="1" a="1"/>
  <c r="R6291" i="1" s="1"/>
  <c r="L6291" i="1" a="1"/>
  <c r="L6291" i="1" s="1"/>
  <c r="M6291" i="1" a="1"/>
  <c r="M6291" i="1" s="1"/>
  <c r="Q6291" i="1" a="1"/>
  <c r="Q6291" i="1" s="1"/>
  <c r="J6291" i="1" l="1" a="1"/>
  <c r="J6291" i="1" s="1"/>
  <c r="K6291" i="1" a="1"/>
  <c r="K6291" i="1" s="1"/>
  <c r="I6291" i="1" a="1"/>
  <c r="I6291" i="1" s="1"/>
  <c r="C6292" i="1"/>
  <c r="J6292" i="1" s="1" a="1"/>
  <c r="J6292" i="1" s="1"/>
  <c r="H6291" i="1"/>
  <c r="S6292" i="1" a="1"/>
  <c r="S6292" i="1" s="1"/>
  <c r="K6292" i="1" a="1"/>
  <c r="K6292" i="1" s="1"/>
  <c r="P6292" i="1" a="1"/>
  <c r="P6292" i="1" s="1"/>
  <c r="B6293" i="1"/>
  <c r="Q6292" i="1" a="1"/>
  <c r="Q6292" i="1" s="1"/>
  <c r="R6292" i="1" a="1"/>
  <c r="R6292" i="1" s="1"/>
  <c r="M6292" i="1" a="1"/>
  <c r="M6292" i="1" s="1"/>
  <c r="N6292" i="1" a="1"/>
  <c r="N6292" i="1" s="1"/>
  <c r="A6294" i="1"/>
  <c r="L6292" i="1" l="1" a="1"/>
  <c r="L6292" i="1" s="1"/>
  <c r="I6292" i="1" a="1"/>
  <c r="I6292" i="1" s="1"/>
  <c r="O6292" i="1" a="1"/>
  <c r="O6292" i="1" s="1"/>
  <c r="C6293" i="1"/>
  <c r="O6293" i="1" s="1" a="1"/>
  <c r="O6293" i="1" s="1"/>
  <c r="H6292" i="1"/>
  <c r="A6295" i="1"/>
  <c r="K6293" i="1" a="1"/>
  <c r="K6293" i="1" s="1"/>
  <c r="P6293" i="1" a="1"/>
  <c r="P6293" i="1" s="1"/>
  <c r="B6294" i="1"/>
  <c r="Q6293" i="1" a="1"/>
  <c r="Q6293" i="1" s="1"/>
  <c r="M6293" i="1" a="1"/>
  <c r="M6293" i="1" s="1"/>
  <c r="R6293" i="1" a="1"/>
  <c r="R6293" i="1" s="1"/>
  <c r="S6293" i="1" a="1"/>
  <c r="S6293" i="1" s="1"/>
  <c r="N6293" i="1" a="1"/>
  <c r="N6293" i="1" s="1"/>
  <c r="I6293" i="1" l="1" a="1"/>
  <c r="I6293" i="1" s="1"/>
  <c r="J6293" i="1" a="1"/>
  <c r="J6293" i="1" s="1"/>
  <c r="L6293" i="1" a="1"/>
  <c r="L6293" i="1" s="1"/>
  <c r="C6294" i="1"/>
  <c r="O6294" i="1" s="1" a="1"/>
  <c r="O6294" i="1" s="1"/>
  <c r="H6293" i="1"/>
  <c r="P6294" i="1" a="1"/>
  <c r="P6294" i="1" s="1"/>
  <c r="B6295" i="1"/>
  <c r="L6294" i="1" a="1"/>
  <c r="L6294" i="1" s="1"/>
  <c r="Q6294" i="1" a="1"/>
  <c r="Q6294" i="1" s="1"/>
  <c r="M6294" i="1" a="1"/>
  <c r="M6294" i="1" s="1"/>
  <c r="R6294" i="1" a="1"/>
  <c r="R6294" i="1" s="1"/>
  <c r="I6294" i="1" a="1"/>
  <c r="I6294" i="1" s="1"/>
  <c r="N6294" i="1" a="1"/>
  <c r="N6294" i="1" s="1"/>
  <c r="S6294" i="1" a="1"/>
  <c r="S6294" i="1" s="1"/>
  <c r="K6294" i="1" a="1"/>
  <c r="K6294" i="1" s="1"/>
  <c r="A6296" i="1"/>
  <c r="J6294" i="1" l="1" a="1"/>
  <c r="J6294" i="1" s="1"/>
  <c r="C6295" i="1"/>
  <c r="L6295" i="1" s="1" a="1"/>
  <c r="L6295" i="1" s="1"/>
  <c r="H6294" i="1"/>
  <c r="A6297" i="1"/>
  <c r="B6296" i="1"/>
  <c r="Q6295" i="1" a="1"/>
  <c r="Q6295" i="1" s="1"/>
  <c r="M6295" i="1" a="1"/>
  <c r="M6295" i="1" s="1"/>
  <c r="I6295" i="1" a="1"/>
  <c r="I6295" i="1" s="1"/>
  <c r="R6295" i="1" a="1"/>
  <c r="R6295" i="1" s="1"/>
  <c r="N6295" i="1" a="1"/>
  <c r="N6295" i="1" s="1"/>
  <c r="S6295" i="1" a="1"/>
  <c r="S6295" i="1" s="1"/>
  <c r="P6295" i="1" a="1"/>
  <c r="P6295" i="1" s="1"/>
  <c r="K6295" i="1" a="1"/>
  <c r="K6295" i="1" s="1"/>
  <c r="J6295" i="1" l="1" a="1"/>
  <c r="J6295" i="1" s="1"/>
  <c r="O6295" i="1" a="1"/>
  <c r="O6295" i="1" s="1"/>
  <c r="C6296" i="1"/>
  <c r="J6296" i="1" s="1" a="1"/>
  <c r="J6296" i="1" s="1"/>
  <c r="H6295" i="1"/>
  <c r="M6296" i="1" a="1"/>
  <c r="M6296" i="1" s="1"/>
  <c r="R6296" i="1" a="1"/>
  <c r="R6296" i="1" s="1"/>
  <c r="N6296" i="1" a="1"/>
  <c r="N6296" i="1" s="1"/>
  <c r="S6296" i="1" a="1"/>
  <c r="S6296" i="1" s="1"/>
  <c r="P6296" i="1" a="1"/>
  <c r="P6296" i="1" s="1"/>
  <c r="Q6296" i="1" a="1"/>
  <c r="Q6296" i="1" s="1"/>
  <c r="B6297" i="1"/>
  <c r="K6296" i="1" a="1"/>
  <c r="K6296" i="1" s="1"/>
  <c r="A6298" i="1"/>
  <c r="I6296" i="1" l="1" a="1"/>
  <c r="I6296" i="1" s="1"/>
  <c r="L6296" i="1" a="1"/>
  <c r="L6296" i="1" s="1"/>
  <c r="O6296" i="1" a="1"/>
  <c r="O6296" i="1" s="1"/>
  <c r="C6297" i="1"/>
  <c r="O6297" i="1" s="1" a="1"/>
  <c r="O6297" i="1" s="1"/>
  <c r="H6296" i="1"/>
  <c r="R6297" i="1" a="1"/>
  <c r="R6297" i="1" s="1"/>
  <c r="N6297" i="1" a="1"/>
  <c r="N6297" i="1" s="1"/>
  <c r="S6297" i="1" a="1"/>
  <c r="S6297" i="1" s="1"/>
  <c r="P6297" i="1" a="1"/>
  <c r="P6297" i="1" s="1"/>
  <c r="B6298" i="1"/>
  <c r="M6297" i="1" a="1"/>
  <c r="M6297" i="1" s="1"/>
  <c r="Q6297" i="1" a="1"/>
  <c r="Q6297" i="1" s="1"/>
  <c r="A6299" i="1"/>
  <c r="J6297" i="1" l="1" a="1"/>
  <c r="J6297" i="1" s="1"/>
  <c r="K6297" i="1" a="1"/>
  <c r="K6297" i="1" s="1"/>
  <c r="L6297" i="1" a="1"/>
  <c r="L6297" i="1" s="1"/>
  <c r="I6297" i="1" a="1"/>
  <c r="I6297" i="1" s="1"/>
  <c r="C6298" i="1"/>
  <c r="J6298" i="1" s="1" a="1"/>
  <c r="J6298" i="1" s="1"/>
  <c r="H6297" i="1"/>
  <c r="S6298" i="1" a="1"/>
  <c r="S6298" i="1" s="1"/>
  <c r="K6298" i="1" a="1"/>
  <c r="K6298" i="1" s="1"/>
  <c r="P6298" i="1" a="1"/>
  <c r="P6298" i="1" s="1"/>
  <c r="B6299" i="1"/>
  <c r="M6298" i="1" a="1"/>
  <c r="M6298" i="1" s="1"/>
  <c r="N6298" i="1" a="1"/>
  <c r="N6298" i="1" s="1"/>
  <c r="Q6298" i="1" a="1"/>
  <c r="Q6298" i="1" s="1"/>
  <c r="R6298" i="1" a="1"/>
  <c r="R6298" i="1" s="1"/>
  <c r="A6300" i="1"/>
  <c r="L6298" i="1" l="1" a="1"/>
  <c r="L6298" i="1" s="1"/>
  <c r="I6298" i="1" a="1"/>
  <c r="I6298" i="1" s="1"/>
  <c r="O6298" i="1" a="1"/>
  <c r="O6298" i="1" s="1"/>
  <c r="C6299" i="1"/>
  <c r="J6299" i="1" s="1" a="1"/>
  <c r="J6299" i="1" s="1"/>
  <c r="H6298" i="1"/>
  <c r="A6301" i="1"/>
  <c r="B6300" i="1"/>
  <c r="K6299" i="1" a="1"/>
  <c r="K6299" i="1" s="1"/>
  <c r="P6299" i="1" a="1"/>
  <c r="P6299" i="1" s="1"/>
  <c r="Q6299" i="1" a="1"/>
  <c r="Q6299" i="1" s="1"/>
  <c r="M6299" i="1" a="1"/>
  <c r="M6299" i="1" s="1"/>
  <c r="N6299" i="1" a="1"/>
  <c r="N6299" i="1" s="1"/>
  <c r="R6299" i="1" a="1"/>
  <c r="R6299" i="1" s="1"/>
  <c r="S6299" i="1" a="1"/>
  <c r="S6299" i="1" s="1"/>
  <c r="I6299" i="1" l="1" a="1"/>
  <c r="I6299" i="1" s="1"/>
  <c r="O6299" i="1" a="1"/>
  <c r="O6299" i="1" s="1"/>
  <c r="L6299" i="1" a="1"/>
  <c r="L6299" i="1" s="1"/>
  <c r="C6300" i="1"/>
  <c r="K6300" i="1" s="1" a="1"/>
  <c r="K6300" i="1" s="1"/>
  <c r="H6299" i="1"/>
  <c r="P6300" i="1" a="1"/>
  <c r="P6300" i="1" s="1"/>
  <c r="B6301" i="1"/>
  <c r="Q6300" i="1" a="1"/>
  <c r="Q6300" i="1" s="1"/>
  <c r="M6300" i="1" a="1"/>
  <c r="M6300" i="1" s="1"/>
  <c r="R6300" i="1" a="1"/>
  <c r="R6300" i="1" s="1"/>
  <c r="N6300" i="1" a="1"/>
  <c r="N6300" i="1" s="1"/>
  <c r="S6300" i="1" a="1"/>
  <c r="S6300" i="1" s="1"/>
  <c r="A6302" i="1"/>
  <c r="I6300" i="1" l="1" a="1"/>
  <c r="I6300" i="1" s="1"/>
  <c r="L6300" i="1" a="1"/>
  <c r="L6300" i="1" s="1"/>
  <c r="O6300" i="1" a="1"/>
  <c r="O6300" i="1" s="1"/>
  <c r="J6300" i="1" a="1"/>
  <c r="J6300" i="1" s="1"/>
  <c r="C6301" i="1"/>
  <c r="L6301" i="1" s="1" a="1"/>
  <c r="L6301" i="1" s="1"/>
  <c r="H6300" i="1"/>
  <c r="A6303" i="1"/>
  <c r="Q6301" i="1" a="1"/>
  <c r="Q6301" i="1" s="1"/>
  <c r="M6301" i="1" a="1"/>
  <c r="M6301" i="1" s="1"/>
  <c r="R6301" i="1" a="1"/>
  <c r="R6301" i="1" s="1"/>
  <c r="N6301" i="1" a="1"/>
  <c r="N6301" i="1" s="1"/>
  <c r="S6301" i="1" a="1"/>
  <c r="S6301" i="1" s="1"/>
  <c r="B6302" i="1"/>
  <c r="K6301" i="1" a="1"/>
  <c r="K6301" i="1" s="1"/>
  <c r="P6301" i="1" a="1"/>
  <c r="P6301" i="1" s="1"/>
  <c r="J6301" i="1" l="1" a="1"/>
  <c r="J6301" i="1" s="1"/>
  <c r="I6301" i="1" a="1"/>
  <c r="I6301" i="1" s="1"/>
  <c r="O6301" i="1" a="1"/>
  <c r="O6301" i="1" s="1"/>
  <c r="C6302" i="1"/>
  <c r="O6302" i="1" s="1" a="1"/>
  <c r="O6302" i="1" s="1"/>
  <c r="H6301" i="1"/>
  <c r="Q6302" i="1" a="1"/>
  <c r="Q6302" i="1" s="1"/>
  <c r="M6302" i="1" a="1"/>
  <c r="M6302" i="1" s="1"/>
  <c r="R6302" i="1" a="1"/>
  <c r="R6302" i="1" s="1"/>
  <c r="N6302" i="1" a="1"/>
  <c r="N6302" i="1" s="1"/>
  <c r="S6302" i="1" a="1"/>
  <c r="S6302" i="1" s="1"/>
  <c r="B6303" i="1"/>
  <c r="K6302" i="1" a="1"/>
  <c r="K6302" i="1" s="1"/>
  <c r="P6302" i="1" a="1"/>
  <c r="P6302" i="1" s="1"/>
  <c r="A6304" i="1"/>
  <c r="J6302" i="1" l="1" a="1"/>
  <c r="J6302" i="1" s="1"/>
  <c r="I6302" i="1" a="1"/>
  <c r="I6302" i="1" s="1"/>
  <c r="L6302" i="1" a="1"/>
  <c r="L6302" i="1" s="1"/>
  <c r="C6303" i="1"/>
  <c r="K6303" i="1" s="1" a="1"/>
  <c r="K6303" i="1" s="1"/>
  <c r="H6302" i="1"/>
  <c r="A6305" i="1"/>
  <c r="B6304" i="1"/>
  <c r="R6303" i="1" a="1"/>
  <c r="R6303" i="1" s="1"/>
  <c r="N6303" i="1" a="1"/>
  <c r="N6303" i="1" s="1"/>
  <c r="S6303" i="1" a="1"/>
  <c r="S6303" i="1" s="1"/>
  <c r="M6303" i="1" a="1"/>
  <c r="M6303" i="1" s="1"/>
  <c r="Q6303" i="1" a="1"/>
  <c r="Q6303" i="1" s="1"/>
  <c r="P6303" i="1" a="1"/>
  <c r="P6303" i="1" s="1"/>
  <c r="J6303" i="1" l="1" a="1"/>
  <c r="J6303" i="1" s="1"/>
  <c r="I6303" i="1" a="1"/>
  <c r="I6303" i="1" s="1"/>
  <c r="O6303" i="1" a="1"/>
  <c r="O6303" i="1" s="1"/>
  <c r="L6303" i="1" a="1"/>
  <c r="L6303" i="1" s="1"/>
  <c r="C6304" i="1"/>
  <c r="J6304" i="1" s="1" a="1"/>
  <c r="J6304" i="1" s="1"/>
  <c r="H6303" i="1"/>
  <c r="N6304" i="1" a="1"/>
  <c r="N6304" i="1" s="1"/>
  <c r="S6304" i="1" a="1"/>
  <c r="S6304" i="1" s="1"/>
  <c r="K6304" i="1" a="1"/>
  <c r="K6304" i="1" s="1"/>
  <c r="P6304" i="1" a="1"/>
  <c r="P6304" i="1" s="1"/>
  <c r="B6305" i="1"/>
  <c r="R6304" i="1" a="1"/>
  <c r="R6304" i="1" s="1"/>
  <c r="M6304" i="1" a="1"/>
  <c r="M6304" i="1" s="1"/>
  <c r="Q6304" i="1" a="1"/>
  <c r="Q6304" i="1" s="1"/>
  <c r="A6306" i="1"/>
  <c r="L6304" i="1" l="1" a="1"/>
  <c r="L6304" i="1" s="1"/>
  <c r="I6304" i="1" a="1"/>
  <c r="I6304" i="1" s="1"/>
  <c r="O6304" i="1" a="1"/>
  <c r="O6304" i="1" s="1"/>
  <c r="C6305" i="1"/>
  <c r="J6305" i="1" s="1" a="1"/>
  <c r="J6305" i="1" s="1"/>
  <c r="H6304" i="1"/>
  <c r="A6307" i="1"/>
  <c r="K6305" i="1" a="1"/>
  <c r="K6305" i="1" s="1"/>
  <c r="P6305" i="1" a="1"/>
  <c r="P6305" i="1" s="1"/>
  <c r="B6306" i="1"/>
  <c r="Q6305" i="1" a="1"/>
  <c r="Q6305" i="1" s="1"/>
  <c r="R6305" i="1" a="1"/>
  <c r="R6305" i="1" s="1"/>
  <c r="S6305" i="1" a="1"/>
  <c r="S6305" i="1" s="1"/>
  <c r="M6305" i="1" a="1"/>
  <c r="M6305" i="1" s="1"/>
  <c r="N6305" i="1" a="1"/>
  <c r="N6305" i="1" s="1"/>
  <c r="L6305" i="1" l="1" a="1"/>
  <c r="L6305" i="1" s="1"/>
  <c r="I6305" i="1" a="1"/>
  <c r="I6305" i="1" s="1"/>
  <c r="O6305" i="1" a="1"/>
  <c r="O6305" i="1" s="1"/>
  <c r="C6306" i="1"/>
  <c r="O6306" i="1" s="1" a="1"/>
  <c r="O6306" i="1" s="1"/>
  <c r="H6305" i="1"/>
  <c r="K6306" i="1" a="1"/>
  <c r="K6306" i="1" s="1"/>
  <c r="P6306" i="1" a="1"/>
  <c r="P6306" i="1" s="1"/>
  <c r="B6307" i="1"/>
  <c r="L6306" i="1" a="1"/>
  <c r="L6306" i="1" s="1"/>
  <c r="Q6306" i="1" a="1"/>
  <c r="Q6306" i="1" s="1"/>
  <c r="M6306" i="1" a="1"/>
  <c r="M6306" i="1" s="1"/>
  <c r="R6306" i="1" a="1"/>
  <c r="R6306" i="1" s="1"/>
  <c r="S6306" i="1" a="1"/>
  <c r="S6306" i="1" s="1"/>
  <c r="N6306" i="1" a="1"/>
  <c r="N6306" i="1" s="1"/>
  <c r="A6308" i="1"/>
  <c r="J6306" i="1" l="1" a="1"/>
  <c r="J6306" i="1" s="1"/>
  <c r="I6306" i="1" a="1"/>
  <c r="I6306" i="1" s="1"/>
  <c r="C6307" i="1"/>
  <c r="L6307" i="1" s="1" a="1"/>
  <c r="L6307" i="1" s="1"/>
  <c r="H6306" i="1"/>
  <c r="A6309" i="1"/>
  <c r="P6307" i="1" a="1"/>
  <c r="P6307" i="1" s="1"/>
  <c r="B6308" i="1"/>
  <c r="M6307" i="1" a="1"/>
  <c r="M6307" i="1" s="1"/>
  <c r="Q6307" i="1" a="1"/>
  <c r="Q6307" i="1" s="1"/>
  <c r="N6307" i="1" a="1"/>
  <c r="N6307" i="1" s="1"/>
  <c r="R6307" i="1" a="1"/>
  <c r="R6307" i="1" s="1"/>
  <c r="S6307" i="1" a="1"/>
  <c r="S6307" i="1" s="1"/>
  <c r="K6307" i="1" a="1"/>
  <c r="K6307" i="1" s="1"/>
  <c r="I6307" i="1" l="1" a="1"/>
  <c r="I6307" i="1" s="1"/>
  <c r="J6307" i="1" a="1"/>
  <c r="J6307" i="1" s="1"/>
  <c r="O6307" i="1" a="1"/>
  <c r="O6307" i="1" s="1"/>
  <c r="C6308" i="1"/>
  <c r="O6308" i="1" s="1" a="1"/>
  <c r="O6308" i="1" s="1"/>
  <c r="H6307" i="1"/>
  <c r="K6308" i="1" a="1"/>
  <c r="K6308" i="1" s="1"/>
  <c r="S6308" i="1" a="1"/>
  <c r="S6308" i="1" s="1"/>
  <c r="L6308" i="1" a="1"/>
  <c r="L6308" i="1" s="1"/>
  <c r="P6308" i="1" a="1"/>
  <c r="P6308" i="1" s="1"/>
  <c r="B6309" i="1"/>
  <c r="M6308" i="1" a="1"/>
  <c r="M6308" i="1" s="1"/>
  <c r="Q6308" i="1" a="1"/>
  <c r="Q6308" i="1" s="1"/>
  <c r="N6308" i="1" a="1"/>
  <c r="N6308" i="1" s="1"/>
  <c r="R6308" i="1" a="1"/>
  <c r="R6308" i="1" s="1"/>
  <c r="A6310" i="1"/>
  <c r="J6308" i="1" l="1" a="1"/>
  <c r="J6308" i="1" s="1"/>
  <c r="I6308" i="1" a="1"/>
  <c r="I6308" i="1" s="1"/>
  <c r="C6309" i="1"/>
  <c r="J6309" i="1" s="1" a="1"/>
  <c r="J6309" i="1" s="1"/>
  <c r="H6308" i="1"/>
  <c r="N6309" i="1" a="1"/>
  <c r="N6309" i="1" s="1"/>
  <c r="R6309" i="1" a="1"/>
  <c r="R6309" i="1" s="1"/>
  <c r="K6309" i="1" a="1"/>
  <c r="K6309" i="1" s="1"/>
  <c r="O6309" i="1" a="1"/>
  <c r="O6309" i="1" s="1"/>
  <c r="S6309" i="1" a="1"/>
  <c r="S6309" i="1" s="1"/>
  <c r="P6309" i="1" a="1"/>
  <c r="P6309" i="1" s="1"/>
  <c r="M6309" i="1" a="1"/>
  <c r="M6309" i="1" s="1"/>
  <c r="Q6309" i="1" a="1"/>
  <c r="Q6309" i="1" s="1"/>
  <c r="B6310" i="1"/>
  <c r="A6311" i="1"/>
  <c r="I6309" i="1" l="1" a="1"/>
  <c r="I6309" i="1" s="1"/>
  <c r="L6309" i="1" a="1"/>
  <c r="L6309" i="1" s="1"/>
  <c r="C6310" i="1"/>
  <c r="J6310" i="1" s="1" a="1"/>
  <c r="J6310" i="1" s="1"/>
  <c r="H6309" i="1"/>
  <c r="M6310" i="1" a="1"/>
  <c r="M6310" i="1" s="1"/>
  <c r="Q6310" i="1" a="1"/>
  <c r="Q6310" i="1" s="1"/>
  <c r="N6310" i="1" a="1"/>
  <c r="N6310" i="1" s="1"/>
  <c r="R6310" i="1" a="1"/>
  <c r="R6310" i="1" s="1"/>
  <c r="K6310" i="1" a="1"/>
  <c r="K6310" i="1" s="1"/>
  <c r="S6310" i="1" a="1"/>
  <c r="S6310" i="1" s="1"/>
  <c r="B6311" i="1"/>
  <c r="P6310" i="1" a="1"/>
  <c r="P6310" i="1" s="1"/>
  <c r="A6312" i="1"/>
  <c r="I6310" i="1" l="1" a="1"/>
  <c r="I6310" i="1" s="1"/>
  <c r="O6310" i="1" a="1"/>
  <c r="O6310" i="1" s="1"/>
  <c r="L6310" i="1" a="1"/>
  <c r="L6310" i="1" s="1"/>
  <c r="C6311" i="1"/>
  <c r="L6311" i="1" s="1" a="1"/>
  <c r="L6311" i="1" s="1"/>
  <c r="H6310" i="1"/>
  <c r="A6313" i="1"/>
  <c r="P6311" i="1" a="1"/>
  <c r="P6311" i="1" s="1"/>
  <c r="B6312" i="1"/>
  <c r="M6311" i="1" a="1"/>
  <c r="M6311" i="1" s="1"/>
  <c r="Q6311" i="1" a="1"/>
  <c r="Q6311" i="1" s="1"/>
  <c r="N6311" i="1" a="1"/>
  <c r="N6311" i="1" s="1"/>
  <c r="R6311" i="1" a="1"/>
  <c r="R6311" i="1" s="1"/>
  <c r="S6311" i="1" a="1"/>
  <c r="S6311" i="1" s="1"/>
  <c r="K6311" i="1" a="1"/>
  <c r="K6311" i="1" s="1"/>
  <c r="I6311" i="1" l="1" a="1"/>
  <c r="I6311" i="1" s="1"/>
  <c r="J6311" i="1" a="1"/>
  <c r="J6311" i="1" s="1"/>
  <c r="O6311" i="1" a="1"/>
  <c r="O6311" i="1" s="1"/>
  <c r="C6312" i="1"/>
  <c r="O6312" i="1" s="1" a="1"/>
  <c r="O6312" i="1" s="1"/>
  <c r="H6311" i="1"/>
  <c r="K6312" i="1" a="1"/>
  <c r="K6312" i="1" s="1"/>
  <c r="S6312" i="1" a="1"/>
  <c r="S6312" i="1" s="1"/>
  <c r="P6312" i="1" a="1"/>
  <c r="P6312" i="1" s="1"/>
  <c r="B6313" i="1"/>
  <c r="M6312" i="1" a="1"/>
  <c r="M6312" i="1" s="1"/>
  <c r="Q6312" i="1" a="1"/>
  <c r="Q6312" i="1" s="1"/>
  <c r="R6312" i="1" a="1"/>
  <c r="R6312" i="1" s="1"/>
  <c r="N6312" i="1" a="1"/>
  <c r="N6312" i="1" s="1"/>
  <c r="A6314" i="1"/>
  <c r="J6312" i="1" l="1" a="1"/>
  <c r="J6312" i="1" s="1"/>
  <c r="L6312" i="1" a="1"/>
  <c r="L6312" i="1" s="1"/>
  <c r="I6312" i="1" a="1"/>
  <c r="I6312" i="1" s="1"/>
  <c r="C6313" i="1"/>
  <c r="L6313" i="1" s="1" a="1"/>
  <c r="L6313" i="1" s="1"/>
  <c r="H6312" i="1"/>
  <c r="A6315" i="1"/>
  <c r="N6313" i="1" a="1"/>
  <c r="N6313" i="1" s="1"/>
  <c r="R6313" i="1" a="1"/>
  <c r="R6313" i="1" s="1"/>
  <c r="S6313" i="1" a="1"/>
  <c r="S6313" i="1" s="1"/>
  <c r="P6313" i="1" a="1"/>
  <c r="P6313" i="1" s="1"/>
  <c r="M6313" i="1" a="1"/>
  <c r="M6313" i="1" s="1"/>
  <c r="Q6313" i="1" a="1"/>
  <c r="Q6313" i="1" s="1"/>
  <c r="B6314" i="1"/>
  <c r="I6313" i="1" l="1" a="1"/>
  <c r="I6313" i="1" s="1"/>
  <c r="J6313" i="1" a="1"/>
  <c r="J6313" i="1" s="1"/>
  <c r="K6313" i="1" a="1"/>
  <c r="K6313" i="1" s="1"/>
  <c r="O6313" i="1" a="1"/>
  <c r="O6313" i="1" s="1"/>
  <c r="C6314" i="1"/>
  <c r="O6314" i="1" s="1" a="1"/>
  <c r="O6314" i="1" s="1"/>
  <c r="H6313" i="1"/>
  <c r="M6314" i="1" a="1"/>
  <c r="M6314" i="1" s="1"/>
  <c r="Q6314" i="1" a="1"/>
  <c r="Q6314" i="1" s="1"/>
  <c r="N6314" i="1" a="1"/>
  <c r="N6314" i="1" s="1"/>
  <c r="R6314" i="1" a="1"/>
  <c r="R6314" i="1" s="1"/>
  <c r="S6314" i="1" a="1"/>
  <c r="S6314" i="1" s="1"/>
  <c r="B6315" i="1"/>
  <c r="P6314" i="1" a="1"/>
  <c r="P6314" i="1" s="1"/>
  <c r="A6316" i="1"/>
  <c r="I6314" i="1" l="1" a="1"/>
  <c r="I6314" i="1" s="1"/>
  <c r="K6314" i="1" a="1"/>
  <c r="K6314" i="1" s="1"/>
  <c r="J6314" i="1" a="1"/>
  <c r="J6314" i="1" s="1"/>
  <c r="L6314" i="1" a="1"/>
  <c r="L6314" i="1" s="1"/>
  <c r="C6315" i="1"/>
  <c r="J6315" i="1" s="1" a="1"/>
  <c r="J6315" i="1" s="1"/>
  <c r="H6314" i="1"/>
  <c r="A6317" i="1"/>
  <c r="P6315" i="1" a="1"/>
  <c r="P6315" i="1" s="1"/>
  <c r="B6316" i="1"/>
  <c r="M6315" i="1" a="1"/>
  <c r="M6315" i="1" s="1"/>
  <c r="Q6315" i="1" a="1"/>
  <c r="Q6315" i="1" s="1"/>
  <c r="N6315" i="1" a="1"/>
  <c r="N6315" i="1" s="1"/>
  <c r="R6315" i="1" a="1"/>
  <c r="R6315" i="1" s="1"/>
  <c r="S6315" i="1" a="1"/>
  <c r="S6315" i="1" s="1"/>
  <c r="K6315" i="1" a="1"/>
  <c r="K6315" i="1" s="1"/>
  <c r="L6315" i="1" l="1" a="1"/>
  <c r="L6315" i="1" s="1"/>
  <c r="I6315" i="1" a="1"/>
  <c r="I6315" i="1" s="1"/>
  <c r="O6315" i="1" a="1"/>
  <c r="O6315" i="1" s="1"/>
  <c r="C6316" i="1"/>
  <c r="L6316" i="1" s="1" a="1"/>
  <c r="L6316" i="1" s="1"/>
  <c r="H6315" i="1"/>
  <c r="K6316" i="1" a="1"/>
  <c r="K6316" i="1" s="1"/>
  <c r="S6316" i="1" a="1"/>
  <c r="S6316" i="1" s="1"/>
  <c r="P6316" i="1" a="1"/>
  <c r="P6316" i="1" s="1"/>
  <c r="B6317" i="1"/>
  <c r="M6316" i="1" a="1"/>
  <c r="M6316" i="1" s="1"/>
  <c r="Q6316" i="1" a="1"/>
  <c r="Q6316" i="1" s="1"/>
  <c r="R6316" i="1" a="1"/>
  <c r="R6316" i="1" s="1"/>
  <c r="N6316" i="1" a="1"/>
  <c r="N6316" i="1" s="1"/>
  <c r="A6318" i="1"/>
  <c r="J6316" i="1" l="1" a="1"/>
  <c r="J6316" i="1" s="1"/>
  <c r="I6316" i="1" a="1"/>
  <c r="I6316" i="1" s="1"/>
  <c r="O6316" i="1" a="1"/>
  <c r="O6316" i="1" s="1"/>
  <c r="C6317" i="1"/>
  <c r="J6317" i="1" s="1" a="1"/>
  <c r="J6317" i="1" s="1"/>
  <c r="H6316" i="1"/>
  <c r="N6317" i="1" a="1"/>
  <c r="N6317" i="1" s="1"/>
  <c r="R6317" i="1" a="1"/>
  <c r="R6317" i="1" s="1"/>
  <c r="K6317" i="1" a="1"/>
  <c r="K6317" i="1" s="1"/>
  <c r="S6317" i="1" a="1"/>
  <c r="S6317" i="1" s="1"/>
  <c r="P6317" i="1" a="1"/>
  <c r="P6317" i="1" s="1"/>
  <c r="Q6317" i="1" a="1"/>
  <c r="Q6317" i="1" s="1"/>
  <c r="B6318" i="1"/>
  <c r="M6317" i="1" a="1"/>
  <c r="M6317" i="1" s="1"/>
  <c r="A6319" i="1"/>
  <c r="I6317" i="1" l="1" a="1"/>
  <c r="I6317" i="1" s="1"/>
  <c r="L6317" i="1" a="1"/>
  <c r="L6317" i="1" s="1"/>
  <c r="O6317" i="1" a="1"/>
  <c r="O6317" i="1" s="1"/>
  <c r="C6318" i="1"/>
  <c r="L6318" i="1" s="1" a="1"/>
  <c r="L6318" i="1" s="1"/>
  <c r="H6317" i="1"/>
  <c r="M6318" i="1" a="1"/>
  <c r="M6318" i="1" s="1"/>
  <c r="Q6318" i="1" a="1"/>
  <c r="Q6318" i="1" s="1"/>
  <c r="N6318" i="1" a="1"/>
  <c r="N6318" i="1" s="1"/>
  <c r="R6318" i="1" a="1"/>
  <c r="R6318" i="1" s="1"/>
  <c r="S6318" i="1" a="1"/>
  <c r="S6318" i="1" s="1"/>
  <c r="P6318" i="1" a="1"/>
  <c r="P6318" i="1" s="1"/>
  <c r="B6319" i="1"/>
  <c r="A6320" i="1"/>
  <c r="K6318" i="1" l="1" a="1"/>
  <c r="K6318" i="1" s="1"/>
  <c r="J6318" i="1" a="1"/>
  <c r="J6318" i="1" s="1"/>
  <c r="I6318" i="1" a="1"/>
  <c r="I6318" i="1" s="1"/>
  <c r="O6318" i="1" a="1"/>
  <c r="O6318" i="1" s="1"/>
  <c r="C6319" i="1"/>
  <c r="J6319" i="1" s="1" a="1"/>
  <c r="J6319" i="1" s="1"/>
  <c r="H6318" i="1"/>
  <c r="A6321" i="1"/>
  <c r="P6319" i="1" a="1"/>
  <c r="P6319" i="1" s="1"/>
  <c r="B6320" i="1"/>
  <c r="M6319" i="1" a="1"/>
  <c r="M6319" i="1" s="1"/>
  <c r="Q6319" i="1" a="1"/>
  <c r="Q6319" i="1" s="1"/>
  <c r="N6319" i="1" a="1"/>
  <c r="N6319" i="1" s="1"/>
  <c r="R6319" i="1" a="1"/>
  <c r="R6319" i="1" s="1"/>
  <c r="K6319" i="1" a="1"/>
  <c r="K6319" i="1" s="1"/>
  <c r="S6319" i="1" a="1"/>
  <c r="S6319" i="1" s="1"/>
  <c r="I6319" i="1" l="1" a="1"/>
  <c r="I6319" i="1" s="1"/>
  <c r="O6319" i="1" a="1"/>
  <c r="O6319" i="1" s="1"/>
  <c r="L6319" i="1" a="1"/>
  <c r="L6319" i="1" s="1"/>
  <c r="C6320" i="1"/>
  <c r="O6320" i="1" s="1" a="1"/>
  <c r="O6320" i="1" s="1"/>
  <c r="H6319" i="1"/>
  <c r="K6320" i="1" a="1"/>
  <c r="K6320" i="1" s="1"/>
  <c r="S6320" i="1" a="1"/>
  <c r="S6320" i="1" s="1"/>
  <c r="P6320" i="1" a="1"/>
  <c r="P6320" i="1" s="1"/>
  <c r="B6321" i="1"/>
  <c r="M6320" i="1" a="1"/>
  <c r="M6320" i="1" s="1"/>
  <c r="Q6320" i="1" a="1"/>
  <c r="Q6320" i="1" s="1"/>
  <c r="R6320" i="1" a="1"/>
  <c r="R6320" i="1" s="1"/>
  <c r="N6320" i="1" a="1"/>
  <c r="N6320" i="1" s="1"/>
  <c r="A6322" i="1"/>
  <c r="J6320" i="1" l="1" a="1"/>
  <c r="J6320" i="1" s="1"/>
  <c r="I6320" i="1" a="1"/>
  <c r="I6320" i="1" s="1"/>
  <c r="L6320" i="1" a="1"/>
  <c r="L6320" i="1" s="1"/>
  <c r="C6321" i="1"/>
  <c r="O6321" i="1" s="1" a="1"/>
  <c r="O6321" i="1" s="1"/>
  <c r="H6320" i="1"/>
  <c r="N6321" i="1" a="1"/>
  <c r="N6321" i="1" s="1"/>
  <c r="R6321" i="1" a="1"/>
  <c r="R6321" i="1" s="1"/>
  <c r="S6321" i="1" a="1"/>
  <c r="S6321" i="1" s="1"/>
  <c r="P6321" i="1" a="1"/>
  <c r="P6321" i="1" s="1"/>
  <c r="Q6321" i="1" a="1"/>
  <c r="Q6321" i="1" s="1"/>
  <c r="B6322" i="1"/>
  <c r="M6321" i="1" a="1"/>
  <c r="M6321" i="1" s="1"/>
  <c r="A6323" i="1"/>
  <c r="I6321" i="1" l="1" a="1"/>
  <c r="I6321" i="1" s="1"/>
  <c r="J6321" i="1" a="1"/>
  <c r="J6321" i="1" s="1"/>
  <c r="K6321" i="1" a="1"/>
  <c r="K6321" i="1" s="1"/>
  <c r="L6321" i="1" a="1"/>
  <c r="L6321" i="1" s="1"/>
  <c r="C6322" i="1"/>
  <c r="O6322" i="1" s="1" a="1"/>
  <c r="O6322" i="1" s="1"/>
  <c r="H6321" i="1"/>
  <c r="A6324" i="1"/>
  <c r="I6322" i="1" a="1"/>
  <c r="I6322" i="1" s="1"/>
  <c r="M6322" i="1" a="1"/>
  <c r="M6322" i="1" s="1"/>
  <c r="Q6322" i="1" a="1"/>
  <c r="Q6322" i="1" s="1"/>
  <c r="N6322" i="1" a="1"/>
  <c r="N6322" i="1" s="1"/>
  <c r="R6322" i="1" a="1"/>
  <c r="R6322" i="1" s="1"/>
  <c r="S6322" i="1" a="1"/>
  <c r="S6322" i="1" s="1"/>
  <c r="P6322" i="1" a="1"/>
  <c r="P6322" i="1" s="1"/>
  <c r="B6323" i="1"/>
  <c r="L6322" i="1" a="1"/>
  <c r="L6322" i="1" s="1"/>
  <c r="J6322" i="1" l="1" a="1"/>
  <c r="J6322" i="1" s="1"/>
  <c r="K6322" i="1" a="1"/>
  <c r="K6322" i="1" s="1"/>
  <c r="C6323" i="1"/>
  <c r="L6323" i="1" s="1" a="1"/>
  <c r="L6323" i="1" s="1"/>
  <c r="H6322" i="1"/>
  <c r="P6323" i="1" a="1"/>
  <c r="P6323" i="1" s="1"/>
  <c r="B6324" i="1"/>
  <c r="M6323" i="1" a="1"/>
  <c r="M6323" i="1" s="1"/>
  <c r="Q6323" i="1" a="1"/>
  <c r="Q6323" i="1" s="1"/>
  <c r="N6323" i="1" a="1"/>
  <c r="N6323" i="1" s="1"/>
  <c r="R6323" i="1" a="1"/>
  <c r="R6323" i="1" s="1"/>
  <c r="K6323" i="1" a="1"/>
  <c r="K6323" i="1" s="1"/>
  <c r="O6323" i="1" a="1"/>
  <c r="O6323" i="1" s="1"/>
  <c r="S6323" i="1" a="1"/>
  <c r="S6323" i="1" s="1"/>
  <c r="A6325" i="1"/>
  <c r="J6323" i="1" l="1" a="1"/>
  <c r="J6323" i="1" s="1"/>
  <c r="I6323" i="1" a="1"/>
  <c r="I6323" i="1" s="1"/>
  <c r="C6324" i="1"/>
  <c r="O6324" i="1" s="1" a="1"/>
  <c r="O6324" i="1" s="1"/>
  <c r="H6323" i="1"/>
  <c r="A6326" i="1"/>
  <c r="K6324" i="1" a="1"/>
  <c r="K6324" i="1" s="1"/>
  <c r="S6324" i="1" a="1"/>
  <c r="S6324" i="1" s="1"/>
  <c r="P6324" i="1" a="1"/>
  <c r="P6324" i="1" s="1"/>
  <c r="B6325" i="1"/>
  <c r="M6324" i="1" a="1"/>
  <c r="M6324" i="1" s="1"/>
  <c r="Q6324" i="1" a="1"/>
  <c r="Q6324" i="1" s="1"/>
  <c r="N6324" i="1" a="1"/>
  <c r="N6324" i="1" s="1"/>
  <c r="R6324" i="1" a="1"/>
  <c r="R6324" i="1" s="1"/>
  <c r="I6324" i="1" l="1" a="1"/>
  <c r="I6324" i="1" s="1"/>
  <c r="J6324" i="1" a="1"/>
  <c r="J6324" i="1" s="1"/>
  <c r="L6324" i="1" a="1"/>
  <c r="L6324" i="1" s="1"/>
  <c r="C6325" i="1"/>
  <c r="O6325" i="1" s="1" a="1"/>
  <c r="O6325" i="1" s="1"/>
  <c r="H6324" i="1"/>
  <c r="N6325" i="1" a="1"/>
  <c r="N6325" i="1" s="1"/>
  <c r="R6325" i="1" a="1"/>
  <c r="R6325" i="1" s="1"/>
  <c r="K6325" i="1" a="1"/>
  <c r="K6325" i="1" s="1"/>
  <c r="S6325" i="1" a="1"/>
  <c r="S6325" i="1" s="1"/>
  <c r="P6325" i="1" a="1"/>
  <c r="P6325" i="1" s="1"/>
  <c r="Q6325" i="1" a="1"/>
  <c r="Q6325" i="1" s="1"/>
  <c r="B6326" i="1"/>
  <c r="M6325" i="1" a="1"/>
  <c r="M6325" i="1" s="1"/>
  <c r="A6327" i="1"/>
  <c r="I6325" i="1" l="1" a="1"/>
  <c r="I6325" i="1" s="1"/>
  <c r="J6325" i="1" a="1"/>
  <c r="J6325" i="1" s="1"/>
  <c r="L6325" i="1" a="1"/>
  <c r="L6325" i="1" s="1"/>
  <c r="C6326" i="1"/>
  <c r="O6326" i="1" s="1" a="1"/>
  <c r="O6326" i="1" s="1"/>
  <c r="H6325" i="1"/>
  <c r="M6326" i="1" a="1"/>
  <c r="M6326" i="1" s="1"/>
  <c r="Q6326" i="1" a="1"/>
  <c r="Q6326" i="1" s="1"/>
  <c r="N6326" i="1" a="1"/>
  <c r="N6326" i="1" s="1"/>
  <c r="R6326" i="1" a="1"/>
  <c r="R6326" i="1" s="1"/>
  <c r="S6326" i="1" a="1"/>
  <c r="S6326" i="1" s="1"/>
  <c r="P6326" i="1" a="1"/>
  <c r="P6326" i="1" s="1"/>
  <c r="B6327" i="1"/>
  <c r="A6328" i="1"/>
  <c r="J6326" i="1" l="1" a="1"/>
  <c r="J6326" i="1" s="1"/>
  <c r="L6326" i="1" a="1"/>
  <c r="L6326" i="1" s="1"/>
  <c r="K6326" i="1" a="1"/>
  <c r="K6326" i="1" s="1"/>
  <c r="I6326" i="1" a="1"/>
  <c r="I6326" i="1" s="1"/>
  <c r="C6327" i="1"/>
  <c r="L6327" i="1" s="1" a="1"/>
  <c r="L6327" i="1" s="1"/>
  <c r="H6326" i="1"/>
  <c r="A6329" i="1"/>
  <c r="P6327" i="1" a="1"/>
  <c r="P6327" i="1" s="1"/>
  <c r="B6328" i="1"/>
  <c r="M6327" i="1" a="1"/>
  <c r="M6327" i="1" s="1"/>
  <c r="Q6327" i="1" a="1"/>
  <c r="Q6327" i="1" s="1"/>
  <c r="N6327" i="1" a="1"/>
  <c r="N6327" i="1" s="1"/>
  <c r="R6327" i="1" a="1"/>
  <c r="R6327" i="1" s="1"/>
  <c r="S6327" i="1" a="1"/>
  <c r="S6327" i="1" s="1"/>
  <c r="J6327" i="1" l="1" a="1"/>
  <c r="J6327" i="1" s="1"/>
  <c r="K6327" i="1" a="1"/>
  <c r="K6327" i="1" s="1"/>
  <c r="O6327" i="1" a="1"/>
  <c r="O6327" i="1" s="1"/>
  <c r="I6327" i="1" a="1"/>
  <c r="I6327" i="1" s="1"/>
  <c r="C6328" i="1"/>
  <c r="O6328" i="1" s="1" a="1"/>
  <c r="O6328" i="1" s="1"/>
  <c r="H6327" i="1"/>
  <c r="K6328" i="1" a="1"/>
  <c r="K6328" i="1" s="1"/>
  <c r="S6328" i="1" a="1"/>
  <c r="S6328" i="1" s="1"/>
  <c r="P6328" i="1" a="1"/>
  <c r="P6328" i="1" s="1"/>
  <c r="B6329" i="1"/>
  <c r="M6328" i="1" a="1"/>
  <c r="M6328" i="1" s="1"/>
  <c r="Q6328" i="1" a="1"/>
  <c r="Q6328" i="1" s="1"/>
  <c r="N6328" i="1" a="1"/>
  <c r="N6328" i="1" s="1"/>
  <c r="R6328" i="1" a="1"/>
  <c r="R6328" i="1" s="1"/>
  <c r="A6330" i="1"/>
  <c r="I6328" i="1" l="1" a="1"/>
  <c r="I6328" i="1" s="1"/>
  <c r="L6328" i="1" a="1"/>
  <c r="L6328" i="1" s="1"/>
  <c r="J6328" i="1" a="1"/>
  <c r="J6328" i="1" s="1"/>
  <c r="C6329" i="1"/>
  <c r="L6329" i="1" s="1" a="1"/>
  <c r="L6329" i="1" s="1"/>
  <c r="H6328" i="1"/>
  <c r="N6329" i="1" a="1"/>
  <c r="N6329" i="1" s="1"/>
  <c r="R6329" i="1" a="1"/>
  <c r="R6329" i="1" s="1"/>
  <c r="K6329" i="1" a="1"/>
  <c r="K6329" i="1" s="1"/>
  <c r="S6329" i="1" a="1"/>
  <c r="S6329" i="1" s="1"/>
  <c r="P6329" i="1" a="1"/>
  <c r="P6329" i="1" s="1"/>
  <c r="Q6329" i="1" a="1"/>
  <c r="Q6329" i="1" s="1"/>
  <c r="B6330" i="1"/>
  <c r="M6329" i="1" a="1"/>
  <c r="M6329" i="1" s="1"/>
  <c r="A6331" i="1"/>
  <c r="J6329" i="1" l="1" a="1"/>
  <c r="J6329" i="1" s="1"/>
  <c r="O6329" i="1" a="1"/>
  <c r="O6329" i="1" s="1"/>
  <c r="I6329" i="1" a="1"/>
  <c r="I6329" i="1" s="1"/>
  <c r="C6330" i="1"/>
  <c r="O6330" i="1" s="1" a="1"/>
  <c r="O6330" i="1" s="1"/>
  <c r="H6329" i="1"/>
  <c r="M6330" i="1" a="1"/>
  <c r="M6330" i="1" s="1"/>
  <c r="Q6330" i="1" a="1"/>
  <c r="Q6330" i="1" s="1"/>
  <c r="J6330" i="1" a="1"/>
  <c r="J6330" i="1" s="1"/>
  <c r="N6330" i="1" a="1"/>
  <c r="N6330" i="1" s="1"/>
  <c r="R6330" i="1" a="1"/>
  <c r="R6330" i="1" s="1"/>
  <c r="S6330" i="1" a="1"/>
  <c r="S6330" i="1" s="1"/>
  <c r="L6330" i="1" a="1"/>
  <c r="L6330" i="1" s="1"/>
  <c r="B6331" i="1"/>
  <c r="P6330" i="1" a="1"/>
  <c r="P6330" i="1" s="1"/>
  <c r="A6332" i="1"/>
  <c r="K6330" i="1" l="1" a="1"/>
  <c r="K6330" i="1" s="1"/>
  <c r="I6330" i="1" a="1"/>
  <c r="I6330" i="1" s="1"/>
  <c r="C6331" i="1"/>
  <c r="J6331" i="1" s="1" a="1"/>
  <c r="J6331" i="1" s="1"/>
  <c r="H6330" i="1"/>
  <c r="A6333" i="1"/>
  <c r="P6331" i="1" a="1"/>
  <c r="P6331" i="1" s="1"/>
  <c r="B6332" i="1"/>
  <c r="M6331" i="1" a="1"/>
  <c r="M6331" i="1" s="1"/>
  <c r="Q6331" i="1" a="1"/>
  <c r="Q6331" i="1" s="1"/>
  <c r="N6331" i="1" a="1"/>
  <c r="N6331" i="1" s="1"/>
  <c r="R6331" i="1" a="1"/>
  <c r="R6331" i="1" s="1"/>
  <c r="K6331" i="1" a="1"/>
  <c r="K6331" i="1" s="1"/>
  <c r="S6331" i="1" a="1"/>
  <c r="S6331" i="1" s="1"/>
  <c r="I6331" i="1" l="1" a="1"/>
  <c r="I6331" i="1" s="1"/>
  <c r="O6331" i="1" a="1"/>
  <c r="O6331" i="1" s="1"/>
  <c r="L6331" i="1" a="1"/>
  <c r="L6331" i="1" s="1"/>
  <c r="C6332" i="1"/>
  <c r="J6332" i="1" s="1" a="1"/>
  <c r="J6332" i="1" s="1"/>
  <c r="H6331" i="1"/>
  <c r="S6332" i="1" a="1"/>
  <c r="S6332" i="1" s="1"/>
  <c r="M6332" i="1" a="1"/>
  <c r="M6332" i="1" s="1"/>
  <c r="Q6332" i="1" a="1"/>
  <c r="Q6332" i="1" s="1"/>
  <c r="P6332" i="1" a="1"/>
  <c r="P6332" i="1" s="1"/>
  <c r="R6332" i="1" a="1"/>
  <c r="R6332" i="1" s="1"/>
  <c r="N6332" i="1" a="1"/>
  <c r="N6332" i="1" s="1"/>
  <c r="B6333" i="1"/>
  <c r="A6334" i="1"/>
  <c r="I6332" i="1" l="1" a="1"/>
  <c r="I6332" i="1" s="1"/>
  <c r="L6332" i="1" a="1"/>
  <c r="L6332" i="1" s="1"/>
  <c r="O6332" i="1" a="1"/>
  <c r="O6332" i="1" s="1"/>
  <c r="K6332" i="1" a="1"/>
  <c r="K6332" i="1" s="1"/>
  <c r="C6333" i="1"/>
  <c r="L6333" i="1" s="1" a="1"/>
  <c r="L6333" i="1" s="1"/>
  <c r="H6332" i="1"/>
  <c r="A6335" i="1"/>
  <c r="N6333" i="1" a="1"/>
  <c r="N6333" i="1" s="1"/>
  <c r="R6333" i="1" a="1"/>
  <c r="R6333" i="1" s="1"/>
  <c r="P6333" i="1" a="1"/>
  <c r="P6333" i="1" s="1"/>
  <c r="Q6333" i="1" a="1"/>
  <c r="Q6333" i="1" s="1"/>
  <c r="S6333" i="1" a="1"/>
  <c r="S6333" i="1" s="1"/>
  <c r="B6334" i="1"/>
  <c r="M6333" i="1" a="1"/>
  <c r="M6333" i="1" s="1"/>
  <c r="K6333" i="1" l="1" a="1"/>
  <c r="K6333" i="1" s="1"/>
  <c r="I6333" i="1" a="1"/>
  <c r="I6333" i="1" s="1"/>
  <c r="O6333" i="1" a="1"/>
  <c r="O6333" i="1" s="1"/>
  <c r="J6333" i="1" a="1"/>
  <c r="J6333" i="1" s="1"/>
  <c r="C6334" i="1"/>
  <c r="J6334" i="1" s="1" a="1"/>
  <c r="J6334" i="1" s="1"/>
  <c r="H6333" i="1"/>
  <c r="I6334" i="1" a="1"/>
  <c r="I6334" i="1" s="1"/>
  <c r="M6334" i="1" a="1"/>
  <c r="M6334" i="1" s="1"/>
  <c r="Q6334" i="1" a="1"/>
  <c r="Q6334" i="1" s="1"/>
  <c r="S6334" i="1" a="1"/>
  <c r="S6334" i="1" s="1"/>
  <c r="B6335" i="1"/>
  <c r="P6334" i="1" a="1"/>
  <c r="P6334" i="1" s="1"/>
  <c r="R6334" i="1" a="1"/>
  <c r="R6334" i="1" s="1"/>
  <c r="N6334" i="1" a="1"/>
  <c r="N6334" i="1" s="1"/>
  <c r="A6336" i="1"/>
  <c r="K6334" i="1" l="1" a="1"/>
  <c r="K6334" i="1" s="1"/>
  <c r="O6334" i="1" a="1"/>
  <c r="O6334" i="1" s="1"/>
  <c r="L6334" i="1" a="1"/>
  <c r="L6334" i="1" s="1"/>
  <c r="C6335" i="1"/>
  <c r="L6335" i="1" s="1" a="1"/>
  <c r="L6335" i="1" s="1"/>
  <c r="H6334" i="1"/>
  <c r="P6335" i="1" a="1"/>
  <c r="P6335" i="1" s="1"/>
  <c r="B6336" i="1"/>
  <c r="N6335" i="1" a="1"/>
  <c r="N6335" i="1" s="1"/>
  <c r="R6335" i="1" a="1"/>
  <c r="R6335" i="1" s="1"/>
  <c r="Q6335" i="1" a="1"/>
  <c r="Q6335" i="1" s="1"/>
  <c r="K6335" i="1" a="1"/>
  <c r="K6335" i="1" s="1"/>
  <c r="M6335" i="1" a="1"/>
  <c r="M6335" i="1" s="1"/>
  <c r="S6335" i="1" a="1"/>
  <c r="S6335" i="1" s="1"/>
  <c r="A6337" i="1"/>
  <c r="J6335" i="1" l="1" a="1"/>
  <c r="J6335" i="1" s="1"/>
  <c r="O6335" i="1" a="1"/>
  <c r="O6335" i="1" s="1"/>
  <c r="I6335" i="1" a="1"/>
  <c r="I6335" i="1" s="1"/>
  <c r="C6336" i="1"/>
  <c r="K6336" i="1" s="1" a="1"/>
  <c r="K6336" i="1" s="1"/>
  <c r="H6335" i="1"/>
  <c r="S6336" i="1" a="1"/>
  <c r="S6336" i="1" s="1"/>
  <c r="M6336" i="1" a="1"/>
  <c r="M6336" i="1" s="1"/>
  <c r="Q6336" i="1" a="1"/>
  <c r="Q6336" i="1" s="1"/>
  <c r="N6336" i="1" a="1"/>
  <c r="N6336" i="1" s="1"/>
  <c r="B6337" i="1"/>
  <c r="P6336" i="1" a="1"/>
  <c r="P6336" i="1" s="1"/>
  <c r="R6336" i="1" a="1"/>
  <c r="R6336" i="1" s="1"/>
  <c r="A6338" i="1"/>
  <c r="I6336" i="1" l="1" a="1"/>
  <c r="I6336" i="1" s="1"/>
  <c r="J6336" i="1" a="1"/>
  <c r="J6336" i="1" s="1"/>
  <c r="L6336" i="1" a="1"/>
  <c r="L6336" i="1" s="1"/>
  <c r="O6336" i="1" a="1"/>
  <c r="O6336" i="1" s="1"/>
  <c r="C6337" i="1"/>
  <c r="J6337" i="1" s="1" a="1"/>
  <c r="J6337" i="1" s="1"/>
  <c r="H6336" i="1"/>
  <c r="N6337" i="1" a="1"/>
  <c r="N6337" i="1" s="1"/>
  <c r="R6337" i="1" a="1"/>
  <c r="R6337" i="1" s="1"/>
  <c r="L6337" i="1" a="1"/>
  <c r="L6337" i="1" s="1"/>
  <c r="P6337" i="1" a="1"/>
  <c r="P6337" i="1" s="1"/>
  <c r="B6338" i="1"/>
  <c r="Q6337" i="1" a="1"/>
  <c r="Q6337" i="1" s="1"/>
  <c r="S6337" i="1" a="1"/>
  <c r="S6337" i="1" s="1"/>
  <c r="M6337" i="1" a="1"/>
  <c r="M6337" i="1" s="1"/>
  <c r="A6339" i="1"/>
  <c r="K6337" i="1" l="1" a="1"/>
  <c r="K6337" i="1" s="1"/>
  <c r="I6337" i="1" a="1"/>
  <c r="I6337" i="1" s="1"/>
  <c r="O6337" i="1" a="1"/>
  <c r="O6337" i="1" s="1"/>
  <c r="C6338" i="1"/>
  <c r="O6338" i="1" s="1" a="1"/>
  <c r="O6338" i="1" s="1"/>
  <c r="H6337" i="1"/>
  <c r="M6338" i="1" a="1"/>
  <c r="M6338" i="1" s="1"/>
  <c r="Q6338" i="1" a="1"/>
  <c r="Q6338" i="1" s="1"/>
  <c r="K6338" i="1" a="1"/>
  <c r="K6338" i="1" s="1"/>
  <c r="S6338" i="1" a="1"/>
  <c r="S6338" i="1" s="1"/>
  <c r="N6338" i="1" a="1"/>
  <c r="N6338" i="1" s="1"/>
  <c r="B6339" i="1"/>
  <c r="J6338" i="1" a="1"/>
  <c r="J6338" i="1" s="1"/>
  <c r="P6338" i="1" a="1"/>
  <c r="P6338" i="1" s="1"/>
  <c r="L6338" i="1" a="1"/>
  <c r="L6338" i="1" s="1"/>
  <c r="R6338" i="1" a="1"/>
  <c r="R6338" i="1" s="1"/>
  <c r="A6340" i="1"/>
  <c r="I6338" i="1" l="1" a="1"/>
  <c r="I6338" i="1" s="1"/>
  <c r="C6339" i="1"/>
  <c r="J6339" i="1" s="1" a="1"/>
  <c r="J6339" i="1" s="1"/>
  <c r="H6338" i="1"/>
  <c r="P6339" i="1" a="1"/>
  <c r="P6339" i="1" s="1"/>
  <c r="B6340" i="1"/>
  <c r="N6339" i="1" a="1"/>
  <c r="N6339" i="1" s="1"/>
  <c r="R6339" i="1" a="1"/>
  <c r="R6339" i="1" s="1"/>
  <c r="Q6339" i="1" a="1"/>
  <c r="Q6339" i="1" s="1"/>
  <c r="M6339" i="1" a="1"/>
  <c r="M6339" i="1" s="1"/>
  <c r="S6339" i="1" a="1"/>
  <c r="S6339" i="1" s="1"/>
  <c r="A6341" i="1"/>
  <c r="I6339" i="1" l="1" a="1"/>
  <c r="I6339" i="1" s="1"/>
  <c r="O6339" i="1" a="1"/>
  <c r="O6339" i="1" s="1"/>
  <c r="L6339" i="1" a="1"/>
  <c r="L6339" i="1" s="1"/>
  <c r="K6339" i="1" a="1"/>
  <c r="K6339" i="1" s="1"/>
  <c r="C6340" i="1"/>
  <c r="K6340" i="1" s="1" a="1"/>
  <c r="K6340" i="1" s="1"/>
  <c r="H6339" i="1"/>
  <c r="A6342" i="1"/>
  <c r="S6340" i="1" a="1"/>
  <c r="S6340" i="1" s="1"/>
  <c r="I6340" i="1" a="1"/>
  <c r="I6340" i="1" s="1"/>
  <c r="M6340" i="1" a="1"/>
  <c r="M6340" i="1" s="1"/>
  <c r="Q6340" i="1" a="1"/>
  <c r="Q6340" i="1" s="1"/>
  <c r="N6340" i="1" a="1"/>
  <c r="N6340" i="1" s="1"/>
  <c r="B6341" i="1"/>
  <c r="P6340" i="1" a="1"/>
  <c r="P6340" i="1" s="1"/>
  <c r="R6340" i="1" a="1"/>
  <c r="R6340" i="1" s="1"/>
  <c r="O6340" i="1" l="1" a="1"/>
  <c r="O6340" i="1" s="1"/>
  <c r="L6340" i="1" a="1"/>
  <c r="L6340" i="1" s="1"/>
  <c r="J6340" i="1" a="1"/>
  <c r="J6340" i="1" s="1"/>
  <c r="C6341" i="1"/>
  <c r="J6341" i="1" s="1" a="1"/>
  <c r="J6341" i="1" s="1"/>
  <c r="H6340" i="1"/>
  <c r="N6341" i="1" a="1"/>
  <c r="N6341" i="1" s="1"/>
  <c r="R6341" i="1" a="1"/>
  <c r="R6341" i="1" s="1"/>
  <c r="L6341" i="1" a="1"/>
  <c r="L6341" i="1" s="1"/>
  <c r="P6341" i="1" a="1"/>
  <c r="P6341" i="1" s="1"/>
  <c r="M6341" i="1" a="1"/>
  <c r="M6341" i="1" s="1"/>
  <c r="B6342" i="1"/>
  <c r="Q6341" i="1" a="1"/>
  <c r="Q6341" i="1" s="1"/>
  <c r="S6341" i="1" a="1"/>
  <c r="S6341" i="1" s="1"/>
  <c r="K6341" i="1" a="1"/>
  <c r="K6341" i="1" s="1"/>
  <c r="A6343" i="1"/>
  <c r="O6341" i="1" l="1" a="1"/>
  <c r="O6341" i="1" s="1"/>
  <c r="I6341" i="1" a="1"/>
  <c r="I6341" i="1" s="1"/>
  <c r="C6342" i="1"/>
  <c r="O6342" i="1" s="1" a="1"/>
  <c r="O6342" i="1" s="1"/>
  <c r="H6341" i="1"/>
  <c r="A6344" i="1"/>
  <c r="M6342" i="1" a="1"/>
  <c r="M6342" i="1" s="1"/>
  <c r="Q6342" i="1" a="1"/>
  <c r="Q6342" i="1" s="1"/>
  <c r="K6342" i="1" a="1"/>
  <c r="K6342" i="1" s="1"/>
  <c r="S6342" i="1" a="1"/>
  <c r="S6342" i="1" s="1"/>
  <c r="N6342" i="1" a="1"/>
  <c r="N6342" i="1" s="1"/>
  <c r="B6343" i="1"/>
  <c r="P6342" i="1" a="1"/>
  <c r="P6342" i="1" s="1"/>
  <c r="R6342" i="1" a="1"/>
  <c r="R6342" i="1" s="1"/>
  <c r="L6342" i="1" a="1"/>
  <c r="L6342" i="1" s="1"/>
  <c r="J6342" i="1" l="1" a="1"/>
  <c r="J6342" i="1" s="1"/>
  <c r="I6342" i="1" a="1"/>
  <c r="I6342" i="1" s="1"/>
  <c r="C6343" i="1"/>
  <c r="L6343" i="1" s="1" a="1"/>
  <c r="L6343" i="1" s="1"/>
  <c r="H6342" i="1"/>
  <c r="P6343" i="1" a="1"/>
  <c r="P6343" i="1" s="1"/>
  <c r="B6344" i="1"/>
  <c r="M6343" i="1" a="1"/>
  <c r="M6343" i="1" s="1"/>
  <c r="R6343" i="1" a="1"/>
  <c r="R6343" i="1" s="1"/>
  <c r="N6343" i="1" a="1"/>
  <c r="N6343" i="1" s="1"/>
  <c r="S6343" i="1" a="1"/>
  <c r="S6343" i="1" s="1"/>
  <c r="K6343" i="1" a="1"/>
  <c r="K6343" i="1" s="1"/>
  <c r="Q6343" i="1" a="1"/>
  <c r="Q6343" i="1" s="1"/>
  <c r="A6345" i="1"/>
  <c r="I6343" i="1" l="1" a="1"/>
  <c r="I6343" i="1" s="1"/>
  <c r="O6343" i="1" a="1"/>
  <c r="O6343" i="1" s="1"/>
  <c r="J6343" i="1" a="1"/>
  <c r="J6343" i="1" s="1"/>
  <c r="C6344" i="1"/>
  <c r="O6344" i="1" s="1" a="1"/>
  <c r="O6344" i="1" s="1"/>
  <c r="H6343" i="1"/>
  <c r="K6344" i="1" a="1"/>
  <c r="K6344" i="1" s="1"/>
  <c r="S6344" i="1" a="1"/>
  <c r="S6344" i="1" s="1"/>
  <c r="B6345" i="1"/>
  <c r="P6344" i="1" a="1"/>
  <c r="P6344" i="1" s="1"/>
  <c r="Q6344" i="1" a="1"/>
  <c r="Q6344" i="1" s="1"/>
  <c r="M6344" i="1" a="1"/>
  <c r="M6344" i="1" s="1"/>
  <c r="N6344" i="1" a="1"/>
  <c r="N6344" i="1" s="1"/>
  <c r="R6344" i="1" a="1"/>
  <c r="R6344" i="1" s="1"/>
  <c r="A6346" i="1"/>
  <c r="J6344" i="1" l="1" a="1"/>
  <c r="J6344" i="1" s="1"/>
  <c r="I6344" i="1" a="1"/>
  <c r="I6344" i="1" s="1"/>
  <c r="L6344" i="1" a="1"/>
  <c r="L6344" i="1" s="1"/>
  <c r="C6345" i="1"/>
  <c r="J6345" i="1" s="1" a="1"/>
  <c r="J6345" i="1" s="1"/>
  <c r="H6344" i="1"/>
  <c r="A6347" i="1"/>
  <c r="N6345" i="1" a="1"/>
  <c r="N6345" i="1" s="1"/>
  <c r="R6345" i="1" a="1"/>
  <c r="R6345" i="1" s="1"/>
  <c r="M6345" i="1" a="1"/>
  <c r="M6345" i="1" s="1"/>
  <c r="S6345" i="1" a="1"/>
  <c r="S6345" i="1" s="1"/>
  <c r="B6346" i="1"/>
  <c r="K6345" i="1" a="1"/>
  <c r="K6345" i="1" s="1"/>
  <c r="P6345" i="1" a="1"/>
  <c r="P6345" i="1" s="1"/>
  <c r="Q6345" i="1" a="1"/>
  <c r="Q6345" i="1" s="1"/>
  <c r="I6345" i="1" l="1" a="1"/>
  <c r="I6345" i="1" s="1"/>
  <c r="L6345" i="1" a="1"/>
  <c r="L6345" i="1" s="1"/>
  <c r="O6345" i="1" a="1"/>
  <c r="O6345" i="1" s="1"/>
  <c r="C6346" i="1"/>
  <c r="O6346" i="1" s="1" a="1"/>
  <c r="O6346" i="1" s="1"/>
  <c r="H6345" i="1"/>
  <c r="M6346" i="1" a="1"/>
  <c r="M6346" i="1" s="1"/>
  <c r="Q6346" i="1" a="1"/>
  <c r="Q6346" i="1" s="1"/>
  <c r="B6347" i="1"/>
  <c r="P6346" i="1" a="1"/>
  <c r="P6346" i="1" s="1"/>
  <c r="R6346" i="1" a="1"/>
  <c r="R6346" i="1" s="1"/>
  <c r="N6346" i="1" a="1"/>
  <c r="N6346" i="1" s="1"/>
  <c r="S6346" i="1" a="1"/>
  <c r="S6346" i="1" s="1"/>
  <c r="A6348" i="1"/>
  <c r="J6346" i="1" l="1" a="1"/>
  <c r="J6346" i="1" s="1"/>
  <c r="K6346" i="1" a="1"/>
  <c r="K6346" i="1" s="1"/>
  <c r="I6346" i="1" a="1"/>
  <c r="I6346" i="1" s="1"/>
  <c r="L6346" i="1" a="1"/>
  <c r="L6346" i="1" s="1"/>
  <c r="C6347" i="1"/>
  <c r="J6347" i="1" s="1" a="1"/>
  <c r="J6347" i="1" s="1"/>
  <c r="H6346" i="1"/>
  <c r="A6349" i="1"/>
  <c r="P6347" i="1" a="1"/>
  <c r="P6347" i="1" s="1"/>
  <c r="B6348" i="1"/>
  <c r="N6347" i="1" a="1"/>
  <c r="N6347" i="1" s="1"/>
  <c r="S6347" i="1" a="1"/>
  <c r="S6347" i="1" s="1"/>
  <c r="M6347" i="1" a="1"/>
  <c r="M6347" i="1" s="1"/>
  <c r="Q6347" i="1" a="1"/>
  <c r="Q6347" i="1" s="1"/>
  <c r="R6347" i="1" a="1"/>
  <c r="R6347" i="1" s="1"/>
  <c r="K6347" i="1" a="1"/>
  <c r="K6347" i="1" s="1"/>
  <c r="I6347" i="1" l="1" a="1"/>
  <c r="I6347" i="1" s="1"/>
  <c r="L6347" i="1" a="1"/>
  <c r="L6347" i="1" s="1"/>
  <c r="O6347" i="1" a="1"/>
  <c r="O6347" i="1" s="1"/>
  <c r="C6348" i="1"/>
  <c r="L6348" i="1" s="1" a="1"/>
  <c r="L6348" i="1" s="1"/>
  <c r="H6347" i="1"/>
  <c r="A6350" i="1"/>
  <c r="K6348" i="1" a="1"/>
  <c r="K6348" i="1" s="1"/>
  <c r="S6348" i="1" a="1"/>
  <c r="S6348" i="1" s="1"/>
  <c r="Q6348" i="1" a="1"/>
  <c r="Q6348" i="1" s="1"/>
  <c r="M6348" i="1" a="1"/>
  <c r="M6348" i="1" s="1"/>
  <c r="R6348" i="1" a="1"/>
  <c r="R6348" i="1" s="1"/>
  <c r="N6348" i="1" a="1"/>
  <c r="N6348" i="1" s="1"/>
  <c r="P6348" i="1" a="1"/>
  <c r="P6348" i="1" s="1"/>
  <c r="B6349" i="1"/>
  <c r="I6348" i="1" l="1" a="1"/>
  <c r="I6348" i="1" s="1"/>
  <c r="J6348" i="1" a="1"/>
  <c r="J6348" i="1" s="1"/>
  <c r="O6348" i="1" a="1"/>
  <c r="O6348" i="1" s="1"/>
  <c r="C6349" i="1"/>
  <c r="J6349" i="1" s="1" a="1"/>
  <c r="J6349" i="1" s="1"/>
  <c r="H6348" i="1"/>
  <c r="A6351" i="1"/>
  <c r="N6349" i="1" a="1"/>
  <c r="N6349" i="1" s="1"/>
  <c r="R6349" i="1" a="1"/>
  <c r="R6349" i="1" s="1"/>
  <c r="B6350" i="1"/>
  <c r="K6349" i="1" a="1"/>
  <c r="K6349" i="1" s="1"/>
  <c r="P6349" i="1" a="1"/>
  <c r="P6349" i="1" s="1"/>
  <c r="M6349" i="1" a="1"/>
  <c r="M6349" i="1" s="1"/>
  <c r="Q6349" i="1" a="1"/>
  <c r="Q6349" i="1" s="1"/>
  <c r="S6349" i="1" a="1"/>
  <c r="S6349" i="1" s="1"/>
  <c r="L6349" i="1" a="1"/>
  <c r="L6349" i="1" s="1"/>
  <c r="O6349" i="1" l="1" a="1"/>
  <c r="O6349" i="1" s="1"/>
  <c r="I6349" i="1" a="1"/>
  <c r="I6349" i="1" s="1"/>
  <c r="C6350" i="1"/>
  <c r="O6350" i="1" s="1" a="1"/>
  <c r="O6350" i="1" s="1"/>
  <c r="H6349" i="1"/>
  <c r="A6352" i="1"/>
  <c r="M6350" i="1" a="1"/>
  <c r="M6350" i="1" s="1"/>
  <c r="Q6350" i="1" a="1"/>
  <c r="Q6350" i="1" s="1"/>
  <c r="L6350" i="1" a="1"/>
  <c r="L6350" i="1" s="1"/>
  <c r="R6350" i="1" a="1"/>
  <c r="R6350" i="1" s="1"/>
  <c r="N6350" i="1" a="1"/>
  <c r="N6350" i="1" s="1"/>
  <c r="S6350" i="1" a="1"/>
  <c r="S6350" i="1" s="1"/>
  <c r="P6350" i="1" a="1"/>
  <c r="P6350" i="1" s="1"/>
  <c r="B6351" i="1"/>
  <c r="J6350" i="1" a="1"/>
  <c r="J6350" i="1" s="1"/>
  <c r="K6350" i="1" a="1"/>
  <c r="K6350" i="1" s="1"/>
  <c r="I6350" i="1" l="1" a="1"/>
  <c r="I6350" i="1" s="1"/>
  <c r="C6351" i="1"/>
  <c r="L6351" i="1" s="1" a="1"/>
  <c r="L6351" i="1" s="1"/>
  <c r="H6350" i="1"/>
  <c r="P6351" i="1" a="1"/>
  <c r="P6351" i="1" s="1"/>
  <c r="B6352" i="1"/>
  <c r="J6351" i="1" a="1"/>
  <c r="J6351" i="1" s="1"/>
  <c r="K6351" i="1" a="1"/>
  <c r="K6351" i="1" s="1"/>
  <c r="Q6351" i="1" a="1"/>
  <c r="Q6351" i="1" s="1"/>
  <c r="R6351" i="1" a="1"/>
  <c r="R6351" i="1" s="1"/>
  <c r="S6351" i="1" a="1"/>
  <c r="S6351" i="1" s="1"/>
  <c r="M6351" i="1" a="1"/>
  <c r="M6351" i="1" s="1"/>
  <c r="N6351" i="1" a="1"/>
  <c r="N6351" i="1" s="1"/>
  <c r="A6353" i="1"/>
  <c r="I6351" i="1" l="1" a="1"/>
  <c r="I6351" i="1" s="1"/>
  <c r="O6351" i="1" a="1"/>
  <c r="O6351" i="1" s="1"/>
  <c r="C6352" i="1"/>
  <c r="J6352" i="1" s="1" a="1"/>
  <c r="J6352" i="1" s="1"/>
  <c r="H6351" i="1"/>
  <c r="A6354" i="1"/>
  <c r="K6352" i="1" a="1"/>
  <c r="K6352" i="1" s="1"/>
  <c r="S6352" i="1" a="1"/>
  <c r="S6352" i="1" s="1"/>
  <c r="M6352" i="1" a="1"/>
  <c r="M6352" i="1" s="1"/>
  <c r="R6352" i="1" a="1"/>
  <c r="R6352" i="1" s="1"/>
  <c r="N6352" i="1" a="1"/>
  <c r="N6352" i="1" s="1"/>
  <c r="B6353" i="1"/>
  <c r="Q6352" i="1" a="1"/>
  <c r="Q6352" i="1" s="1"/>
  <c r="P6352" i="1" a="1"/>
  <c r="P6352" i="1" s="1"/>
  <c r="I6352" i="1" l="1" a="1"/>
  <c r="I6352" i="1" s="1"/>
  <c r="L6352" i="1" a="1"/>
  <c r="L6352" i="1" s="1"/>
  <c r="O6352" i="1" a="1"/>
  <c r="O6352" i="1" s="1"/>
  <c r="C6353" i="1"/>
  <c r="J6353" i="1" s="1" a="1"/>
  <c r="J6353" i="1" s="1"/>
  <c r="H6352" i="1"/>
  <c r="N6353" i="1" a="1"/>
  <c r="N6353" i="1" s="1"/>
  <c r="R6353" i="1" a="1"/>
  <c r="R6353" i="1" s="1"/>
  <c r="K6353" i="1" a="1"/>
  <c r="K6353" i="1" s="1"/>
  <c r="P6353" i="1" a="1"/>
  <c r="P6353" i="1" s="1"/>
  <c r="B6354" i="1"/>
  <c r="Q6353" i="1" a="1"/>
  <c r="Q6353" i="1" s="1"/>
  <c r="S6353" i="1" a="1"/>
  <c r="S6353" i="1" s="1"/>
  <c r="M6353" i="1" a="1"/>
  <c r="M6353" i="1" s="1"/>
  <c r="A6355" i="1"/>
  <c r="I6353" i="1" l="1" a="1"/>
  <c r="I6353" i="1" s="1"/>
  <c r="L6353" i="1" a="1"/>
  <c r="L6353" i="1" s="1"/>
  <c r="O6353" i="1" a="1"/>
  <c r="O6353" i="1" s="1"/>
  <c r="C6354" i="1"/>
  <c r="O6354" i="1" s="1" a="1"/>
  <c r="O6354" i="1" s="1"/>
  <c r="H6353" i="1"/>
  <c r="A6356" i="1"/>
  <c r="M6354" i="1" a="1"/>
  <c r="M6354" i="1" s="1"/>
  <c r="Q6354" i="1" a="1"/>
  <c r="Q6354" i="1" s="1"/>
  <c r="P6354" i="1" a="1"/>
  <c r="P6354" i="1" s="1"/>
  <c r="B6355" i="1"/>
  <c r="R6354" i="1" a="1"/>
  <c r="R6354" i="1" s="1"/>
  <c r="S6354" i="1" a="1"/>
  <c r="S6354" i="1" s="1"/>
  <c r="N6354" i="1" a="1"/>
  <c r="N6354" i="1" s="1"/>
  <c r="I6354" i="1" l="1" a="1"/>
  <c r="I6354" i="1" s="1"/>
  <c r="J6354" i="1" a="1"/>
  <c r="J6354" i="1" s="1"/>
  <c r="K6354" i="1" a="1"/>
  <c r="K6354" i="1" s="1"/>
  <c r="L6354" i="1" a="1"/>
  <c r="L6354" i="1" s="1"/>
  <c r="C6355" i="1"/>
  <c r="J6355" i="1" s="1" a="1"/>
  <c r="J6355" i="1" s="1"/>
  <c r="H6354" i="1"/>
  <c r="L6355" i="1" a="1"/>
  <c r="L6355" i="1" s="1"/>
  <c r="P6355" i="1" a="1"/>
  <c r="P6355" i="1" s="1"/>
  <c r="Q6355" i="1" a="1"/>
  <c r="Q6355" i="1" s="1"/>
  <c r="M6355" i="1" a="1"/>
  <c r="M6355" i="1" s="1"/>
  <c r="R6355" i="1" a="1"/>
  <c r="R6355" i="1" s="1"/>
  <c r="N6355" i="1" a="1"/>
  <c r="N6355" i="1" s="1"/>
  <c r="S6355" i="1" a="1"/>
  <c r="S6355" i="1" s="1"/>
  <c r="B6356" i="1"/>
  <c r="A6357" i="1"/>
  <c r="K6355" i="1" l="1" a="1"/>
  <c r="K6355" i="1" s="1"/>
  <c r="I6355" i="1" a="1"/>
  <c r="I6355" i="1" s="1"/>
  <c r="O6355" i="1" a="1"/>
  <c r="O6355" i="1" s="1"/>
  <c r="C6356" i="1"/>
  <c r="L6356" i="1" s="1" a="1"/>
  <c r="L6356" i="1" s="1"/>
  <c r="H6355" i="1"/>
  <c r="K6356" i="1" a="1"/>
  <c r="K6356" i="1" s="1"/>
  <c r="S6356" i="1" a="1"/>
  <c r="S6356" i="1" s="1"/>
  <c r="Q6356" i="1" a="1"/>
  <c r="Q6356" i="1" s="1"/>
  <c r="M6356" i="1" a="1"/>
  <c r="M6356" i="1" s="1"/>
  <c r="N6356" i="1" a="1"/>
  <c r="N6356" i="1" s="1"/>
  <c r="R6356" i="1" a="1"/>
  <c r="R6356" i="1" s="1"/>
  <c r="B6357" i="1"/>
  <c r="P6356" i="1" a="1"/>
  <c r="P6356" i="1" s="1"/>
  <c r="A6358" i="1"/>
  <c r="J6356" i="1" l="1" a="1"/>
  <c r="J6356" i="1" s="1"/>
  <c r="I6356" i="1" a="1"/>
  <c r="I6356" i="1" s="1"/>
  <c r="O6356" i="1" a="1"/>
  <c r="O6356" i="1" s="1"/>
  <c r="C6357" i="1"/>
  <c r="J6357" i="1" s="1" a="1"/>
  <c r="J6357" i="1" s="1"/>
  <c r="H6356" i="1"/>
  <c r="A6359" i="1"/>
  <c r="N6357" i="1" a="1"/>
  <c r="N6357" i="1" s="1"/>
  <c r="R6357" i="1" a="1"/>
  <c r="R6357" i="1" s="1"/>
  <c r="M6357" i="1" a="1"/>
  <c r="M6357" i="1" s="1"/>
  <c r="S6357" i="1" a="1"/>
  <c r="S6357" i="1" s="1"/>
  <c r="B6358" i="1"/>
  <c r="P6357" i="1" a="1"/>
  <c r="P6357" i="1" s="1"/>
  <c r="K6357" i="1" a="1"/>
  <c r="K6357" i="1" s="1"/>
  <c r="Q6357" i="1" a="1"/>
  <c r="Q6357" i="1" s="1"/>
  <c r="I6357" i="1" l="1" a="1"/>
  <c r="I6357" i="1" s="1"/>
  <c r="L6357" i="1" a="1"/>
  <c r="L6357" i="1" s="1"/>
  <c r="O6357" i="1" a="1"/>
  <c r="O6357" i="1" s="1"/>
  <c r="C6358" i="1"/>
  <c r="J6358" i="1" s="1" a="1"/>
  <c r="J6358" i="1" s="1"/>
  <c r="H6357" i="1"/>
  <c r="M6358" i="1" a="1"/>
  <c r="M6358" i="1" s="1"/>
  <c r="Q6358" i="1" a="1"/>
  <c r="Q6358" i="1" s="1"/>
  <c r="N6358" i="1" a="1"/>
  <c r="N6358" i="1" s="1"/>
  <c r="B6359" i="1"/>
  <c r="P6358" i="1" a="1"/>
  <c r="P6358" i="1" s="1"/>
  <c r="S6358" i="1" a="1"/>
  <c r="S6358" i="1" s="1"/>
  <c r="R6358" i="1" a="1"/>
  <c r="R6358" i="1" s="1"/>
  <c r="A6360" i="1"/>
  <c r="K6358" i="1" l="1" a="1"/>
  <c r="K6358" i="1" s="1"/>
  <c r="I6358" i="1" a="1"/>
  <c r="I6358" i="1" s="1"/>
  <c r="O6358" i="1" a="1"/>
  <c r="O6358" i="1" s="1"/>
  <c r="L6358" i="1" a="1"/>
  <c r="L6358" i="1" s="1"/>
  <c r="C6359" i="1"/>
  <c r="L6359" i="1" s="1" a="1"/>
  <c r="L6359" i="1" s="1"/>
  <c r="H6358" i="1"/>
  <c r="P6359" i="1" a="1"/>
  <c r="P6359" i="1" s="1"/>
  <c r="S6359" i="1" a="1"/>
  <c r="S6359" i="1" s="1"/>
  <c r="Q6359" i="1" a="1"/>
  <c r="Q6359" i="1" s="1"/>
  <c r="M6359" i="1" a="1"/>
  <c r="M6359" i="1" s="1"/>
  <c r="R6359" i="1" a="1"/>
  <c r="R6359" i="1" s="1"/>
  <c r="N6359" i="1" a="1"/>
  <c r="N6359" i="1" s="1"/>
  <c r="B6360" i="1"/>
  <c r="K6359" i="1" a="1"/>
  <c r="K6359" i="1" s="1"/>
  <c r="A6361" i="1"/>
  <c r="J6359" i="1" l="1" a="1"/>
  <c r="J6359" i="1" s="1"/>
  <c r="I6359" i="1" a="1"/>
  <c r="I6359" i="1" s="1"/>
  <c r="O6359" i="1" a="1"/>
  <c r="O6359" i="1" s="1"/>
  <c r="C6360" i="1"/>
  <c r="J6360" i="1" s="1" a="1"/>
  <c r="J6360" i="1" s="1"/>
  <c r="H6359" i="1"/>
  <c r="A6362" i="1"/>
  <c r="K6360" i="1" a="1"/>
  <c r="K6360" i="1" s="1"/>
  <c r="S6360" i="1" a="1"/>
  <c r="S6360" i="1" s="1"/>
  <c r="N6360" i="1" a="1"/>
  <c r="N6360" i="1" s="1"/>
  <c r="B6361" i="1"/>
  <c r="P6360" i="1" a="1"/>
  <c r="P6360" i="1" s="1"/>
  <c r="Q6360" i="1" a="1"/>
  <c r="Q6360" i="1" s="1"/>
  <c r="M6360" i="1" a="1"/>
  <c r="M6360" i="1" s="1"/>
  <c r="R6360" i="1" a="1"/>
  <c r="R6360" i="1" s="1"/>
  <c r="I6360" i="1" l="1" a="1"/>
  <c r="I6360" i="1" s="1"/>
  <c r="O6360" i="1" a="1"/>
  <c r="O6360" i="1" s="1"/>
  <c r="L6360" i="1" a="1"/>
  <c r="L6360" i="1" s="1"/>
  <c r="C6361" i="1"/>
  <c r="L6361" i="1" s="1" a="1"/>
  <c r="L6361" i="1" s="1"/>
  <c r="H6360" i="1"/>
  <c r="N6361" i="1" a="1"/>
  <c r="N6361" i="1" s="1"/>
  <c r="R6361" i="1" a="1"/>
  <c r="R6361" i="1" s="1"/>
  <c r="P6361" i="1" a="1"/>
  <c r="P6361" i="1" s="1"/>
  <c r="B6362" i="1"/>
  <c r="Q6361" i="1" a="1"/>
  <c r="Q6361" i="1" s="1"/>
  <c r="K6361" i="1" a="1"/>
  <c r="K6361" i="1" s="1"/>
  <c r="M6361" i="1" a="1"/>
  <c r="M6361" i="1" s="1"/>
  <c r="S6361" i="1" a="1"/>
  <c r="S6361" i="1" s="1"/>
  <c r="I6361" i="1" a="1"/>
  <c r="I6361" i="1" s="1"/>
  <c r="A6363" i="1"/>
  <c r="J6361" i="1" l="1" a="1"/>
  <c r="J6361" i="1" s="1"/>
  <c r="O6361" i="1" a="1"/>
  <c r="O6361" i="1" s="1"/>
  <c r="C6362" i="1"/>
  <c r="J6362" i="1" s="1" a="1"/>
  <c r="J6362" i="1" s="1"/>
  <c r="H6361" i="1"/>
  <c r="A6364" i="1"/>
  <c r="M6362" i="1" a="1"/>
  <c r="M6362" i="1" s="1"/>
  <c r="Q6362" i="1" a="1"/>
  <c r="Q6362" i="1" s="1"/>
  <c r="L6362" i="1" a="1"/>
  <c r="L6362" i="1" s="1"/>
  <c r="B6363" i="1"/>
  <c r="S6362" i="1" a="1"/>
  <c r="S6362" i="1" s="1"/>
  <c r="K6362" i="1" a="1"/>
  <c r="K6362" i="1" s="1"/>
  <c r="P6362" i="1" a="1"/>
  <c r="P6362" i="1" s="1"/>
  <c r="R6362" i="1" a="1"/>
  <c r="R6362" i="1" s="1"/>
  <c r="N6362" i="1" a="1"/>
  <c r="N6362" i="1" s="1"/>
  <c r="I6362" i="1" l="1" a="1"/>
  <c r="I6362" i="1" s="1"/>
  <c r="O6362" i="1" a="1"/>
  <c r="O6362" i="1" s="1"/>
  <c r="C6363" i="1"/>
  <c r="J6363" i="1" s="1" a="1"/>
  <c r="J6363" i="1" s="1"/>
  <c r="H6362" i="1"/>
  <c r="P6363" i="1" a="1"/>
  <c r="P6363" i="1" s="1"/>
  <c r="M6363" i="1" a="1"/>
  <c r="M6363" i="1" s="1"/>
  <c r="Q6363" i="1" a="1"/>
  <c r="Q6363" i="1" s="1"/>
  <c r="R6363" i="1" a="1"/>
  <c r="R6363" i="1" s="1"/>
  <c r="N6363" i="1" a="1"/>
  <c r="N6363" i="1" s="1"/>
  <c r="S6363" i="1" a="1"/>
  <c r="S6363" i="1" s="1"/>
  <c r="K6363" i="1" a="1"/>
  <c r="K6363" i="1" s="1"/>
  <c r="B6364" i="1"/>
  <c r="A6365" i="1"/>
  <c r="I6363" i="1" l="1" a="1"/>
  <c r="I6363" i="1" s="1"/>
  <c r="L6363" i="1" a="1"/>
  <c r="L6363" i="1" s="1"/>
  <c r="O6363" i="1" a="1"/>
  <c r="O6363" i="1" s="1"/>
  <c r="C6364" i="1"/>
  <c r="J6364" i="1" s="1" a="1"/>
  <c r="J6364" i="1" s="1"/>
  <c r="H6363" i="1"/>
  <c r="A6366" i="1"/>
  <c r="K6364" i="1" a="1"/>
  <c r="K6364" i="1" s="1"/>
  <c r="S6364" i="1" a="1"/>
  <c r="S6364" i="1" s="1"/>
  <c r="R6364" i="1" a="1"/>
  <c r="R6364" i="1" s="1"/>
  <c r="N6364" i="1" a="1"/>
  <c r="N6364" i="1" s="1"/>
  <c r="B6365" i="1"/>
  <c r="P6364" i="1" a="1"/>
  <c r="P6364" i="1" s="1"/>
  <c r="Q6364" i="1" a="1"/>
  <c r="Q6364" i="1" s="1"/>
  <c r="M6364" i="1" a="1"/>
  <c r="M6364" i="1" s="1"/>
  <c r="I6364" i="1" l="1" a="1"/>
  <c r="I6364" i="1" s="1"/>
  <c r="L6364" i="1" a="1"/>
  <c r="L6364" i="1" s="1"/>
  <c r="O6364" i="1" a="1"/>
  <c r="O6364" i="1" s="1"/>
  <c r="C6365" i="1"/>
  <c r="O6365" i="1" s="1" a="1"/>
  <c r="O6365" i="1" s="1"/>
  <c r="H6364" i="1"/>
  <c r="N6365" i="1" a="1"/>
  <c r="N6365" i="1" s="1"/>
  <c r="R6365" i="1" a="1"/>
  <c r="R6365" i="1" s="1"/>
  <c r="S6365" i="1" a="1"/>
  <c r="S6365" i="1" s="1"/>
  <c r="Q6365" i="1" a="1"/>
  <c r="Q6365" i="1" s="1"/>
  <c r="M6365" i="1" a="1"/>
  <c r="M6365" i="1" s="1"/>
  <c r="B6366" i="1"/>
  <c r="K6365" i="1" a="1"/>
  <c r="K6365" i="1" s="1"/>
  <c r="P6365" i="1" a="1"/>
  <c r="P6365" i="1" s="1"/>
  <c r="A6367" i="1"/>
  <c r="J6365" i="1" l="1" a="1"/>
  <c r="J6365" i="1" s="1"/>
  <c r="L6365" i="1" a="1"/>
  <c r="L6365" i="1" s="1"/>
  <c r="I6365" i="1" a="1"/>
  <c r="I6365" i="1" s="1"/>
  <c r="C6366" i="1"/>
  <c r="O6366" i="1" s="1" a="1"/>
  <c r="O6366" i="1" s="1"/>
  <c r="H6365" i="1"/>
  <c r="A6368" i="1"/>
  <c r="M6366" i="1" a="1"/>
  <c r="M6366" i="1" s="1"/>
  <c r="Q6366" i="1" a="1"/>
  <c r="Q6366" i="1" s="1"/>
  <c r="B6367" i="1"/>
  <c r="N6366" i="1" a="1"/>
  <c r="N6366" i="1" s="1"/>
  <c r="K6366" i="1" a="1"/>
  <c r="K6366" i="1" s="1"/>
  <c r="P6366" i="1" a="1"/>
  <c r="P6366" i="1" s="1"/>
  <c r="R6366" i="1" a="1"/>
  <c r="R6366" i="1" s="1"/>
  <c r="S6366" i="1" a="1"/>
  <c r="S6366" i="1" s="1"/>
  <c r="L6366" i="1" l="1" a="1"/>
  <c r="L6366" i="1" s="1"/>
  <c r="J6366" i="1" a="1"/>
  <c r="J6366" i="1" s="1"/>
  <c r="I6366" i="1" a="1"/>
  <c r="I6366" i="1" s="1"/>
  <c r="C6367" i="1"/>
  <c r="L6367" i="1" s="1" a="1"/>
  <c r="L6367" i="1" s="1"/>
  <c r="H6366" i="1"/>
  <c r="P6367" i="1" a="1"/>
  <c r="P6367" i="1" s="1"/>
  <c r="K6367" i="1" a="1"/>
  <c r="K6367" i="1" s="1"/>
  <c r="B6368" i="1"/>
  <c r="M6367" i="1" a="1"/>
  <c r="M6367" i="1" s="1"/>
  <c r="R6367" i="1" a="1"/>
  <c r="R6367" i="1" s="1"/>
  <c r="N6367" i="1" a="1"/>
  <c r="N6367" i="1" s="1"/>
  <c r="S6367" i="1" a="1"/>
  <c r="S6367" i="1" s="1"/>
  <c r="Q6367" i="1" a="1"/>
  <c r="Q6367" i="1" s="1"/>
  <c r="A6369" i="1"/>
  <c r="J6367" i="1" l="1" a="1"/>
  <c r="J6367" i="1" s="1"/>
  <c r="I6367" i="1" a="1"/>
  <c r="I6367" i="1" s="1"/>
  <c r="O6367" i="1" a="1"/>
  <c r="O6367" i="1" s="1"/>
  <c r="C6368" i="1"/>
  <c r="O6368" i="1" s="1" a="1"/>
  <c r="O6368" i="1" s="1"/>
  <c r="H6367" i="1"/>
  <c r="A6370" i="1"/>
  <c r="K6368" i="1" a="1"/>
  <c r="K6368" i="1" s="1"/>
  <c r="S6368" i="1" a="1"/>
  <c r="S6368" i="1" s="1"/>
  <c r="L6368" i="1" a="1"/>
  <c r="L6368" i="1" s="1"/>
  <c r="B6369" i="1"/>
  <c r="P6368" i="1" a="1"/>
  <c r="P6368" i="1" s="1"/>
  <c r="Q6368" i="1" a="1"/>
  <c r="Q6368" i="1" s="1"/>
  <c r="N6368" i="1" a="1"/>
  <c r="N6368" i="1" s="1"/>
  <c r="M6368" i="1" a="1"/>
  <c r="M6368" i="1" s="1"/>
  <c r="R6368" i="1" a="1"/>
  <c r="R6368" i="1" s="1"/>
  <c r="J6368" i="1" l="1" a="1"/>
  <c r="J6368" i="1" s="1"/>
  <c r="I6368" i="1" a="1"/>
  <c r="I6368" i="1" s="1"/>
  <c r="C6369" i="1"/>
  <c r="J6369" i="1" s="1" a="1"/>
  <c r="J6369" i="1" s="1"/>
  <c r="H6368" i="1"/>
  <c r="N6369" i="1" a="1"/>
  <c r="N6369" i="1" s="1"/>
  <c r="R6369" i="1" a="1"/>
  <c r="R6369" i="1" s="1"/>
  <c r="Q6369" i="1" a="1"/>
  <c r="Q6369" i="1" s="1"/>
  <c r="M6369" i="1" a="1"/>
  <c r="M6369" i="1" s="1"/>
  <c r="S6369" i="1" a="1"/>
  <c r="S6369" i="1" s="1"/>
  <c r="B6370" i="1"/>
  <c r="K6369" i="1" a="1"/>
  <c r="K6369" i="1" s="1"/>
  <c r="P6369" i="1" a="1"/>
  <c r="P6369" i="1" s="1"/>
  <c r="A6371" i="1"/>
  <c r="I6369" i="1" l="1" a="1"/>
  <c r="I6369" i="1" s="1"/>
  <c r="L6369" i="1" a="1"/>
  <c r="L6369" i="1" s="1"/>
  <c r="O6369" i="1" a="1"/>
  <c r="O6369" i="1" s="1"/>
  <c r="C6370" i="1"/>
  <c r="K6370" i="1" s="1" a="1"/>
  <c r="K6370" i="1" s="1"/>
  <c r="H6369" i="1"/>
  <c r="M6370" i="1" a="1"/>
  <c r="M6370" i="1" s="1"/>
  <c r="Q6370" i="1" a="1"/>
  <c r="Q6370" i="1" s="1"/>
  <c r="R6370" i="1" a="1"/>
  <c r="R6370" i="1" s="1"/>
  <c r="B6371" i="1"/>
  <c r="P6370" i="1" a="1"/>
  <c r="P6370" i="1" s="1"/>
  <c r="S6370" i="1" a="1"/>
  <c r="S6370" i="1" s="1"/>
  <c r="N6370" i="1" a="1"/>
  <c r="N6370" i="1" s="1"/>
  <c r="A6372" i="1"/>
  <c r="I6370" i="1" l="1" a="1"/>
  <c r="I6370" i="1" s="1"/>
  <c r="O6370" i="1" a="1"/>
  <c r="O6370" i="1" s="1"/>
  <c r="L6370" i="1" a="1"/>
  <c r="L6370" i="1" s="1"/>
  <c r="J6370" i="1" a="1"/>
  <c r="J6370" i="1" s="1"/>
  <c r="C6371" i="1"/>
  <c r="L6371" i="1" s="1" a="1"/>
  <c r="L6371" i="1" s="1"/>
  <c r="H6370" i="1"/>
  <c r="P6371" i="1" a="1"/>
  <c r="P6371" i="1" s="1"/>
  <c r="N6371" i="1" a="1"/>
  <c r="N6371" i="1" s="1"/>
  <c r="M6371" i="1" a="1"/>
  <c r="M6371" i="1" s="1"/>
  <c r="R6371" i="1" a="1"/>
  <c r="R6371" i="1" s="1"/>
  <c r="S6371" i="1" a="1"/>
  <c r="S6371" i="1" s="1"/>
  <c r="Q6371" i="1" a="1"/>
  <c r="Q6371" i="1" s="1"/>
  <c r="B6372" i="1"/>
  <c r="K6371" i="1" a="1"/>
  <c r="K6371" i="1" s="1"/>
  <c r="A6373" i="1"/>
  <c r="J6371" i="1" l="1" a="1"/>
  <c r="J6371" i="1" s="1"/>
  <c r="I6371" i="1" a="1"/>
  <c r="I6371" i="1" s="1"/>
  <c r="O6371" i="1" a="1"/>
  <c r="O6371" i="1" s="1"/>
  <c r="C6372" i="1"/>
  <c r="L6372" i="1" s="1" a="1"/>
  <c r="L6372" i="1" s="1"/>
  <c r="H6371" i="1"/>
  <c r="A6374" i="1"/>
  <c r="K6372" i="1" a="1"/>
  <c r="K6372" i="1" s="1"/>
  <c r="S6372" i="1" a="1"/>
  <c r="S6372" i="1" s="1"/>
  <c r="J6372" i="1" a="1"/>
  <c r="J6372" i="1" s="1"/>
  <c r="B6373" i="1"/>
  <c r="P6372" i="1" a="1"/>
  <c r="P6372" i="1" s="1"/>
  <c r="Q6372" i="1" a="1"/>
  <c r="Q6372" i="1" s="1"/>
  <c r="M6372" i="1" a="1"/>
  <c r="M6372" i="1" s="1"/>
  <c r="R6372" i="1" a="1"/>
  <c r="R6372" i="1" s="1"/>
  <c r="N6372" i="1" a="1"/>
  <c r="N6372" i="1" s="1"/>
  <c r="I6372" i="1" l="1" a="1"/>
  <c r="I6372" i="1" s="1"/>
  <c r="O6372" i="1" a="1"/>
  <c r="O6372" i="1" s="1"/>
  <c r="C6373" i="1"/>
  <c r="J6373" i="1" s="1" a="1"/>
  <c r="J6373" i="1" s="1"/>
  <c r="H6372" i="1"/>
  <c r="N6373" i="1" a="1"/>
  <c r="N6373" i="1" s="1"/>
  <c r="R6373" i="1" a="1"/>
  <c r="R6373" i="1" s="1"/>
  <c r="K6373" i="1" a="1"/>
  <c r="K6373" i="1" s="1"/>
  <c r="L6373" i="1" a="1"/>
  <c r="L6373" i="1" s="1"/>
  <c r="M6373" i="1" a="1"/>
  <c r="M6373" i="1" s="1"/>
  <c r="S6373" i="1" a="1"/>
  <c r="S6373" i="1" s="1"/>
  <c r="Q6373" i="1" a="1"/>
  <c r="Q6373" i="1" s="1"/>
  <c r="B6374" i="1"/>
  <c r="P6373" i="1" a="1"/>
  <c r="P6373" i="1" s="1"/>
  <c r="A6375" i="1"/>
  <c r="I6373" i="1" l="1" a="1"/>
  <c r="I6373" i="1" s="1"/>
  <c r="O6373" i="1" a="1"/>
  <c r="O6373" i="1" s="1"/>
  <c r="C6374" i="1"/>
  <c r="O6374" i="1" s="1" a="1"/>
  <c r="O6374" i="1" s="1"/>
  <c r="H6373" i="1"/>
  <c r="A6376" i="1"/>
  <c r="M6374" i="1" a="1"/>
  <c r="M6374" i="1" s="1"/>
  <c r="Q6374" i="1" a="1"/>
  <c r="Q6374" i="1" s="1"/>
  <c r="P6374" i="1" a="1"/>
  <c r="P6374" i="1" s="1"/>
  <c r="B6375" i="1"/>
  <c r="R6374" i="1" a="1"/>
  <c r="R6374" i="1" s="1"/>
  <c r="N6374" i="1" a="1"/>
  <c r="N6374" i="1" s="1"/>
  <c r="S6374" i="1" a="1"/>
  <c r="S6374" i="1" s="1"/>
  <c r="K6374" i="1" l="1" a="1"/>
  <c r="K6374" i="1" s="1"/>
  <c r="J6374" i="1" a="1"/>
  <c r="J6374" i="1" s="1"/>
  <c r="I6374" i="1" a="1"/>
  <c r="I6374" i="1" s="1"/>
  <c r="L6374" i="1" a="1"/>
  <c r="L6374" i="1" s="1"/>
  <c r="C6375" i="1"/>
  <c r="L6375" i="1" s="1" a="1"/>
  <c r="L6375" i="1" s="1"/>
  <c r="H6374" i="1"/>
  <c r="P6375" i="1" a="1"/>
  <c r="P6375" i="1" s="1"/>
  <c r="Q6375" i="1" a="1"/>
  <c r="Q6375" i="1" s="1"/>
  <c r="M6375" i="1" a="1"/>
  <c r="M6375" i="1" s="1"/>
  <c r="R6375" i="1" a="1"/>
  <c r="R6375" i="1" s="1"/>
  <c r="N6375" i="1" a="1"/>
  <c r="N6375" i="1" s="1"/>
  <c r="S6375" i="1" a="1"/>
  <c r="S6375" i="1" s="1"/>
  <c r="B6376" i="1"/>
  <c r="K6375" i="1" a="1"/>
  <c r="K6375" i="1" s="1"/>
  <c r="A6377" i="1"/>
  <c r="J6375" i="1" l="1" a="1"/>
  <c r="J6375" i="1" s="1"/>
  <c r="I6375" i="1" a="1"/>
  <c r="I6375" i="1" s="1"/>
  <c r="O6375" i="1" a="1"/>
  <c r="O6375" i="1" s="1"/>
  <c r="C6376" i="1"/>
  <c r="J6376" i="1" s="1" a="1"/>
  <c r="J6376" i="1" s="1"/>
  <c r="H6375" i="1"/>
  <c r="A6378" i="1"/>
  <c r="K6376" i="1" a="1"/>
  <c r="K6376" i="1" s="1"/>
  <c r="S6376" i="1" a="1"/>
  <c r="S6376" i="1" s="1"/>
  <c r="M6376" i="1" a="1"/>
  <c r="M6376" i="1" s="1"/>
  <c r="B6377" i="1"/>
  <c r="P6376" i="1" a="1"/>
  <c r="P6376" i="1" s="1"/>
  <c r="Q6376" i="1" a="1"/>
  <c r="Q6376" i="1" s="1"/>
  <c r="R6376" i="1" a="1"/>
  <c r="R6376" i="1" s="1"/>
  <c r="I6376" i="1" a="1"/>
  <c r="I6376" i="1" s="1"/>
  <c r="N6376" i="1" a="1"/>
  <c r="N6376" i="1" s="1"/>
  <c r="O6376" i="1" l="1" a="1"/>
  <c r="O6376" i="1" s="1"/>
  <c r="L6376" i="1" a="1"/>
  <c r="L6376" i="1" s="1"/>
  <c r="C6377" i="1"/>
  <c r="O6377" i="1" s="1" a="1"/>
  <c r="O6377" i="1" s="1"/>
  <c r="H6376" i="1"/>
  <c r="N6377" i="1" a="1"/>
  <c r="N6377" i="1" s="1"/>
  <c r="R6377" i="1" a="1"/>
  <c r="R6377" i="1" s="1"/>
  <c r="I6377" i="1" a="1"/>
  <c r="I6377" i="1" s="1"/>
  <c r="M6377" i="1" a="1"/>
  <c r="M6377" i="1" s="1"/>
  <c r="S6377" i="1" a="1"/>
  <c r="S6377" i="1" s="1"/>
  <c r="L6377" i="1" a="1"/>
  <c r="L6377" i="1" s="1"/>
  <c r="B6378" i="1"/>
  <c r="K6377" i="1" a="1"/>
  <c r="K6377" i="1" s="1"/>
  <c r="P6377" i="1" a="1"/>
  <c r="P6377" i="1" s="1"/>
  <c r="Q6377" i="1" a="1"/>
  <c r="Q6377" i="1" s="1"/>
  <c r="A6379" i="1"/>
  <c r="J6377" i="1" l="1" a="1"/>
  <c r="J6377" i="1" s="1"/>
  <c r="C6378" i="1"/>
  <c r="J6378" i="1" s="1" a="1"/>
  <c r="J6378" i="1" s="1"/>
  <c r="H6377" i="1"/>
  <c r="A6380" i="1"/>
  <c r="M6378" i="1" a="1"/>
  <c r="M6378" i="1" s="1"/>
  <c r="Q6378" i="1" a="1"/>
  <c r="Q6378" i="1" s="1"/>
  <c r="S6378" i="1" a="1"/>
  <c r="S6378" i="1" s="1"/>
  <c r="B6379" i="1"/>
  <c r="K6378" i="1" a="1"/>
  <c r="K6378" i="1" s="1"/>
  <c r="P6378" i="1" a="1"/>
  <c r="P6378" i="1" s="1"/>
  <c r="R6378" i="1" a="1"/>
  <c r="R6378" i="1" s="1"/>
  <c r="N6378" i="1" a="1"/>
  <c r="N6378" i="1" s="1"/>
  <c r="L6378" i="1" l="1" a="1"/>
  <c r="L6378" i="1" s="1"/>
  <c r="I6378" i="1" a="1"/>
  <c r="I6378" i="1" s="1"/>
  <c r="O6378" i="1" a="1"/>
  <c r="O6378" i="1" s="1"/>
  <c r="C6379" i="1"/>
  <c r="O6379" i="1" s="1" a="1"/>
  <c r="O6379" i="1" s="1"/>
  <c r="H6378" i="1"/>
  <c r="P6379" i="1" a="1"/>
  <c r="P6379" i="1" s="1"/>
  <c r="M6379" i="1" a="1"/>
  <c r="M6379" i="1" s="1"/>
  <c r="R6379" i="1" a="1"/>
  <c r="R6379" i="1" s="1"/>
  <c r="N6379" i="1" a="1"/>
  <c r="N6379" i="1" s="1"/>
  <c r="S6379" i="1" a="1"/>
  <c r="S6379" i="1" s="1"/>
  <c r="B6380" i="1"/>
  <c r="Q6379" i="1" a="1"/>
  <c r="Q6379" i="1" s="1"/>
  <c r="A6381" i="1"/>
  <c r="I6379" i="1" l="1" a="1"/>
  <c r="I6379" i="1" s="1"/>
  <c r="L6379" i="1" a="1"/>
  <c r="L6379" i="1" s="1"/>
  <c r="K6379" i="1" a="1"/>
  <c r="K6379" i="1" s="1"/>
  <c r="J6379" i="1" a="1"/>
  <c r="J6379" i="1" s="1"/>
  <c r="C6380" i="1"/>
  <c r="L6380" i="1" s="1" a="1"/>
  <c r="L6380" i="1" s="1"/>
  <c r="H6379" i="1"/>
  <c r="A6382" i="1"/>
  <c r="K6380" i="1" a="1"/>
  <c r="K6380" i="1" s="1"/>
  <c r="S6380" i="1" a="1"/>
  <c r="S6380" i="1" s="1"/>
  <c r="P6380" i="1" a="1"/>
  <c r="P6380" i="1" s="1"/>
  <c r="B6381" i="1"/>
  <c r="Q6380" i="1" a="1"/>
  <c r="Q6380" i="1" s="1"/>
  <c r="M6380" i="1" a="1"/>
  <c r="M6380" i="1" s="1"/>
  <c r="R6380" i="1" a="1"/>
  <c r="R6380" i="1" s="1"/>
  <c r="I6380" i="1" a="1"/>
  <c r="I6380" i="1" s="1"/>
  <c r="N6380" i="1" a="1"/>
  <c r="N6380" i="1" s="1"/>
  <c r="J6380" i="1" l="1" a="1"/>
  <c r="J6380" i="1" s="1"/>
  <c r="O6380" i="1" a="1"/>
  <c r="O6380" i="1" s="1"/>
  <c r="C6381" i="1"/>
  <c r="O6381" i="1" s="1" a="1"/>
  <c r="O6381" i="1" s="1"/>
  <c r="H6380" i="1"/>
  <c r="A6383" i="1"/>
  <c r="J6381" i="1" a="1"/>
  <c r="J6381" i="1" s="1"/>
  <c r="N6381" i="1" a="1"/>
  <c r="N6381" i="1" s="1"/>
  <c r="R6381" i="1" a="1"/>
  <c r="R6381" i="1" s="1"/>
  <c r="M6381" i="1" a="1"/>
  <c r="M6381" i="1" s="1"/>
  <c r="S6381" i="1" a="1"/>
  <c r="S6381" i="1" s="1"/>
  <c r="B6382" i="1"/>
  <c r="K6381" i="1" a="1"/>
  <c r="K6381" i="1" s="1"/>
  <c r="P6381" i="1" a="1"/>
  <c r="P6381" i="1" s="1"/>
  <c r="Q6381" i="1" a="1"/>
  <c r="Q6381" i="1" s="1"/>
  <c r="L6381" i="1" l="1" a="1"/>
  <c r="L6381" i="1" s="1"/>
  <c r="I6381" i="1" a="1"/>
  <c r="I6381" i="1" s="1"/>
  <c r="C6382" i="1"/>
  <c r="I6382" i="1" s="1" a="1"/>
  <c r="I6382" i="1" s="1"/>
  <c r="H6381" i="1"/>
  <c r="M6382" i="1" a="1"/>
  <c r="M6382" i="1" s="1"/>
  <c r="Q6382" i="1" a="1"/>
  <c r="Q6382" i="1" s="1"/>
  <c r="B6383" i="1"/>
  <c r="K6382" i="1" a="1"/>
  <c r="K6382" i="1" s="1"/>
  <c r="P6382" i="1" a="1"/>
  <c r="P6382" i="1" s="1"/>
  <c r="R6382" i="1" a="1"/>
  <c r="R6382" i="1" s="1"/>
  <c r="N6382" i="1" a="1"/>
  <c r="N6382" i="1" s="1"/>
  <c r="S6382" i="1" a="1"/>
  <c r="S6382" i="1" s="1"/>
  <c r="A6384" i="1"/>
  <c r="J6382" i="1" l="1" a="1"/>
  <c r="J6382" i="1" s="1"/>
  <c r="L6382" i="1" a="1"/>
  <c r="L6382" i="1" s="1"/>
  <c r="O6382" i="1" a="1"/>
  <c r="O6382" i="1" s="1"/>
  <c r="C6383" i="1"/>
  <c r="J6383" i="1" s="1" a="1"/>
  <c r="J6383" i="1" s="1"/>
  <c r="H6382" i="1"/>
  <c r="A6385" i="1"/>
  <c r="L6383" i="1" a="1"/>
  <c r="L6383" i="1" s="1"/>
  <c r="P6383" i="1" a="1"/>
  <c r="P6383" i="1" s="1"/>
  <c r="R6383" i="1" a="1"/>
  <c r="R6383" i="1" s="1"/>
  <c r="M6383" i="1" a="1"/>
  <c r="M6383" i="1" s="1"/>
  <c r="N6383" i="1" a="1"/>
  <c r="N6383" i="1" s="1"/>
  <c r="S6383" i="1" a="1"/>
  <c r="S6383" i="1" s="1"/>
  <c r="B6384" i="1"/>
  <c r="K6383" i="1" a="1"/>
  <c r="K6383" i="1" s="1"/>
  <c r="Q6383" i="1" a="1"/>
  <c r="Q6383" i="1" s="1"/>
  <c r="I6383" i="1" l="1" a="1"/>
  <c r="I6383" i="1" s="1"/>
  <c r="O6383" i="1" a="1"/>
  <c r="O6383" i="1" s="1"/>
  <c r="C6384" i="1"/>
  <c r="O6384" i="1" s="1" a="1"/>
  <c r="O6384" i="1" s="1"/>
  <c r="H6383" i="1"/>
  <c r="K6384" i="1" a="1"/>
  <c r="K6384" i="1" s="1"/>
  <c r="S6384" i="1" a="1"/>
  <c r="S6384" i="1" s="1"/>
  <c r="N6384" i="1" a="1"/>
  <c r="N6384" i="1" s="1"/>
  <c r="P6384" i="1" a="1"/>
  <c r="P6384" i="1" s="1"/>
  <c r="B6385" i="1"/>
  <c r="Q6384" i="1" a="1"/>
  <c r="Q6384" i="1" s="1"/>
  <c r="M6384" i="1" a="1"/>
  <c r="M6384" i="1" s="1"/>
  <c r="R6384" i="1" a="1"/>
  <c r="R6384" i="1" s="1"/>
  <c r="A6386" i="1"/>
  <c r="J6384" i="1" l="1" a="1"/>
  <c r="J6384" i="1" s="1"/>
  <c r="I6384" i="1" a="1"/>
  <c r="I6384" i="1" s="1"/>
  <c r="L6384" i="1" a="1"/>
  <c r="L6384" i="1" s="1"/>
  <c r="C6385" i="1"/>
  <c r="J6385" i="1" s="1" a="1"/>
  <c r="J6385" i="1" s="1"/>
  <c r="H6384" i="1"/>
  <c r="A6387" i="1"/>
  <c r="N6385" i="1" a="1"/>
  <c r="N6385" i="1" s="1"/>
  <c r="R6385" i="1" a="1"/>
  <c r="R6385" i="1" s="1"/>
  <c r="M6385" i="1" a="1"/>
  <c r="M6385" i="1" s="1"/>
  <c r="S6385" i="1" a="1"/>
  <c r="S6385" i="1" s="1"/>
  <c r="B6386" i="1"/>
  <c r="P6385" i="1" a="1"/>
  <c r="P6385" i="1" s="1"/>
  <c r="Q6385" i="1" a="1"/>
  <c r="Q6385" i="1" s="1"/>
  <c r="L6385" i="1" l="1" a="1"/>
  <c r="L6385" i="1" s="1"/>
  <c r="O6385" i="1" a="1"/>
  <c r="O6385" i="1" s="1"/>
  <c r="I6385" i="1" a="1"/>
  <c r="I6385" i="1" s="1"/>
  <c r="K6385" i="1" a="1"/>
  <c r="K6385" i="1" s="1"/>
  <c r="C6386" i="1"/>
  <c r="L6386" i="1" s="1" a="1"/>
  <c r="L6386" i="1" s="1"/>
  <c r="H6385" i="1"/>
  <c r="M6386" i="1" a="1"/>
  <c r="M6386" i="1" s="1"/>
  <c r="Q6386" i="1" a="1"/>
  <c r="Q6386" i="1" s="1"/>
  <c r="P6386" i="1" a="1"/>
  <c r="P6386" i="1" s="1"/>
  <c r="R6386" i="1" a="1"/>
  <c r="R6386" i="1" s="1"/>
  <c r="N6386" i="1" a="1"/>
  <c r="N6386" i="1" s="1"/>
  <c r="S6386" i="1" a="1"/>
  <c r="S6386" i="1" s="1"/>
  <c r="B6387" i="1"/>
  <c r="A6388" i="1"/>
  <c r="K6386" i="1" l="1" a="1"/>
  <c r="K6386" i="1" s="1"/>
  <c r="I6386" i="1" a="1"/>
  <c r="I6386" i="1" s="1"/>
  <c r="O6386" i="1" a="1"/>
  <c r="O6386" i="1" s="1"/>
  <c r="J6386" i="1" a="1"/>
  <c r="J6386" i="1" s="1"/>
  <c r="C6387" i="1"/>
  <c r="J6387" i="1" s="1" a="1"/>
  <c r="J6387" i="1" s="1"/>
  <c r="H6386" i="1"/>
  <c r="A6389" i="1"/>
  <c r="P6387" i="1" a="1"/>
  <c r="P6387" i="1" s="1"/>
  <c r="N6387" i="1" a="1"/>
  <c r="N6387" i="1" s="1"/>
  <c r="S6387" i="1" a="1"/>
  <c r="S6387" i="1" s="1"/>
  <c r="R6387" i="1" a="1"/>
  <c r="R6387" i="1" s="1"/>
  <c r="B6388" i="1"/>
  <c r="K6387" i="1" a="1"/>
  <c r="K6387" i="1" s="1"/>
  <c r="Q6387" i="1" a="1"/>
  <c r="Q6387" i="1" s="1"/>
  <c r="M6387" i="1" a="1"/>
  <c r="M6387" i="1" s="1"/>
  <c r="I6387" i="1" l="1" a="1"/>
  <c r="I6387" i="1" s="1"/>
  <c r="O6387" i="1" a="1"/>
  <c r="O6387" i="1" s="1"/>
  <c r="L6387" i="1" a="1"/>
  <c r="L6387" i="1" s="1"/>
  <c r="C6388" i="1"/>
  <c r="J6388" i="1" s="1" a="1"/>
  <c r="J6388" i="1" s="1"/>
  <c r="H6387" i="1"/>
  <c r="S6388" i="1" a="1"/>
  <c r="S6388" i="1" s="1"/>
  <c r="Q6388" i="1" a="1"/>
  <c r="Q6388" i="1" s="1"/>
  <c r="P6388" i="1" a="1"/>
  <c r="P6388" i="1" s="1"/>
  <c r="M6388" i="1" a="1"/>
  <c r="M6388" i="1" s="1"/>
  <c r="R6388" i="1" a="1"/>
  <c r="R6388" i="1" s="1"/>
  <c r="N6388" i="1" a="1"/>
  <c r="N6388" i="1" s="1"/>
  <c r="B6389" i="1"/>
  <c r="A6390" i="1"/>
  <c r="K6388" i="1" l="1" a="1"/>
  <c r="K6388" i="1" s="1"/>
  <c r="L6388" i="1" a="1"/>
  <c r="L6388" i="1" s="1"/>
  <c r="I6388" i="1" a="1"/>
  <c r="I6388" i="1" s="1"/>
  <c r="O6388" i="1" a="1"/>
  <c r="O6388" i="1" s="1"/>
  <c r="C6389" i="1"/>
  <c r="J6389" i="1" s="1" a="1"/>
  <c r="J6389" i="1" s="1"/>
  <c r="H6388" i="1"/>
  <c r="N6389" i="1" a="1"/>
  <c r="N6389" i="1" s="1"/>
  <c r="R6389" i="1" a="1"/>
  <c r="R6389" i="1" s="1"/>
  <c r="M6389" i="1" a="1"/>
  <c r="M6389" i="1" s="1"/>
  <c r="S6389" i="1" a="1"/>
  <c r="S6389" i="1" s="1"/>
  <c r="B6390" i="1"/>
  <c r="P6389" i="1" a="1"/>
  <c r="P6389" i="1" s="1"/>
  <c r="L6389" i="1" a="1"/>
  <c r="L6389" i="1" s="1"/>
  <c r="Q6389" i="1" a="1"/>
  <c r="Q6389" i="1" s="1"/>
  <c r="A6391" i="1"/>
  <c r="K6389" i="1" l="1" a="1"/>
  <c r="K6389" i="1" s="1"/>
  <c r="I6389" i="1" a="1"/>
  <c r="I6389" i="1" s="1"/>
  <c r="O6389" i="1" a="1"/>
  <c r="O6389" i="1" s="1"/>
  <c r="C6390" i="1"/>
  <c r="L6390" i="1" s="1" a="1"/>
  <c r="L6390" i="1" s="1"/>
  <c r="H6389" i="1"/>
  <c r="A6392" i="1"/>
  <c r="M6390" i="1" a="1"/>
  <c r="M6390" i="1" s="1"/>
  <c r="Q6390" i="1" a="1"/>
  <c r="Q6390" i="1" s="1"/>
  <c r="N6390" i="1" a="1"/>
  <c r="N6390" i="1" s="1"/>
  <c r="P6390" i="1" a="1"/>
  <c r="P6390" i="1" s="1"/>
  <c r="B6391" i="1"/>
  <c r="R6390" i="1" a="1"/>
  <c r="R6390" i="1" s="1"/>
  <c r="S6390" i="1" a="1"/>
  <c r="S6390" i="1" s="1"/>
  <c r="J6390" i="1" l="1" a="1"/>
  <c r="J6390" i="1" s="1"/>
  <c r="K6390" i="1" a="1"/>
  <c r="K6390" i="1" s="1"/>
  <c r="I6390" i="1" a="1"/>
  <c r="I6390" i="1" s="1"/>
  <c r="O6390" i="1" a="1"/>
  <c r="O6390" i="1" s="1"/>
  <c r="C6391" i="1"/>
  <c r="J6391" i="1" s="1" a="1"/>
  <c r="J6391" i="1" s="1"/>
  <c r="H6390" i="1"/>
  <c r="P6391" i="1" a="1"/>
  <c r="P6391" i="1" s="1"/>
  <c r="S6391" i="1" a="1"/>
  <c r="S6391" i="1" s="1"/>
  <c r="N6391" i="1" a="1"/>
  <c r="N6391" i="1" s="1"/>
  <c r="B6392" i="1"/>
  <c r="R6391" i="1" a="1"/>
  <c r="R6391" i="1" s="1"/>
  <c r="K6391" i="1" a="1"/>
  <c r="K6391" i="1" s="1"/>
  <c r="M6391" i="1" a="1"/>
  <c r="M6391" i="1" s="1"/>
  <c r="Q6391" i="1" a="1"/>
  <c r="Q6391" i="1" s="1"/>
  <c r="A6393" i="1"/>
  <c r="I6391" i="1" l="1" a="1"/>
  <c r="I6391" i="1" s="1"/>
  <c r="O6391" i="1" a="1"/>
  <c r="O6391" i="1" s="1"/>
  <c r="L6391" i="1" a="1"/>
  <c r="L6391" i="1" s="1"/>
  <c r="C6392" i="1"/>
  <c r="J6392" i="1" s="1" a="1"/>
  <c r="J6392" i="1" s="1"/>
  <c r="H6391" i="1"/>
  <c r="K6392" i="1" a="1"/>
  <c r="K6392" i="1" s="1"/>
  <c r="S6392" i="1" a="1"/>
  <c r="S6392" i="1" s="1"/>
  <c r="L6392" i="1" a="1"/>
  <c r="L6392" i="1" s="1"/>
  <c r="Q6392" i="1" a="1"/>
  <c r="Q6392" i="1" s="1"/>
  <c r="P6392" i="1" a="1"/>
  <c r="P6392" i="1" s="1"/>
  <c r="M6392" i="1" a="1"/>
  <c r="M6392" i="1" s="1"/>
  <c r="R6392" i="1" a="1"/>
  <c r="R6392" i="1" s="1"/>
  <c r="N6392" i="1" a="1"/>
  <c r="N6392" i="1" s="1"/>
  <c r="B6393" i="1"/>
  <c r="A6394" i="1"/>
  <c r="O6392" i="1" l="1" a="1"/>
  <c r="O6392" i="1" s="1"/>
  <c r="I6392" i="1" a="1"/>
  <c r="I6392" i="1" s="1"/>
  <c r="C6393" i="1"/>
  <c r="J6393" i="1" s="1" a="1"/>
  <c r="J6393" i="1" s="1"/>
  <c r="H6392" i="1"/>
  <c r="A6395" i="1"/>
  <c r="K6393" i="1" a="1"/>
  <c r="K6393" i="1" s="1"/>
  <c r="S6393" i="1" a="1"/>
  <c r="S6393" i="1" s="1"/>
  <c r="M6393" i="1" a="1"/>
  <c r="M6393" i="1" s="1"/>
  <c r="R6393" i="1" a="1"/>
  <c r="R6393" i="1" s="1"/>
  <c r="Q6393" i="1" a="1"/>
  <c r="Q6393" i="1" s="1"/>
  <c r="N6393" i="1" a="1"/>
  <c r="N6393" i="1" s="1"/>
  <c r="P6393" i="1" a="1"/>
  <c r="P6393" i="1" s="1"/>
  <c r="B6394" i="1"/>
  <c r="I6393" i="1" l="1" a="1"/>
  <c r="I6393" i="1" s="1"/>
  <c r="O6393" i="1" a="1"/>
  <c r="O6393" i="1" s="1"/>
  <c r="L6393" i="1" a="1"/>
  <c r="L6393" i="1" s="1"/>
  <c r="C6394" i="1"/>
  <c r="L6394" i="1" s="1" a="1"/>
  <c r="L6394" i="1" s="1"/>
  <c r="H6393" i="1"/>
  <c r="N6394" i="1" a="1"/>
  <c r="N6394" i="1" s="1"/>
  <c r="R6394" i="1" a="1"/>
  <c r="R6394" i="1" s="1"/>
  <c r="S6394" i="1" a="1"/>
  <c r="S6394" i="1" s="1"/>
  <c r="Q6394" i="1" a="1"/>
  <c r="Q6394" i="1" s="1"/>
  <c r="B6395" i="1"/>
  <c r="M6394" i="1" a="1"/>
  <c r="M6394" i="1" s="1"/>
  <c r="P6394" i="1" a="1"/>
  <c r="P6394" i="1" s="1"/>
  <c r="A6396" i="1"/>
  <c r="J6394" i="1" l="1" a="1"/>
  <c r="J6394" i="1" s="1"/>
  <c r="K6394" i="1" a="1"/>
  <c r="K6394" i="1" s="1"/>
  <c r="I6394" i="1" a="1"/>
  <c r="I6394" i="1" s="1"/>
  <c r="O6394" i="1" a="1"/>
  <c r="O6394" i="1" s="1"/>
  <c r="C6395" i="1"/>
  <c r="J6395" i="1" s="1" a="1"/>
  <c r="J6395" i="1" s="1"/>
  <c r="H6394" i="1"/>
  <c r="A6397" i="1"/>
  <c r="B6396" i="1"/>
  <c r="M6395" i="1" a="1"/>
  <c r="M6395" i="1" s="1"/>
  <c r="Q6395" i="1" a="1"/>
  <c r="Q6395" i="1" s="1"/>
  <c r="P6395" i="1" a="1"/>
  <c r="P6395" i="1" s="1"/>
  <c r="N6395" i="1" a="1"/>
  <c r="N6395" i="1" s="1"/>
  <c r="R6395" i="1" a="1"/>
  <c r="R6395" i="1" s="1"/>
  <c r="S6395" i="1" a="1"/>
  <c r="S6395" i="1" s="1"/>
  <c r="K6395" i="1" l="1" a="1"/>
  <c r="K6395" i="1" s="1"/>
  <c r="I6395" i="1" a="1"/>
  <c r="I6395" i="1" s="1"/>
  <c r="O6395" i="1" a="1"/>
  <c r="O6395" i="1" s="1"/>
  <c r="L6395" i="1" a="1"/>
  <c r="L6395" i="1" s="1"/>
  <c r="C6396" i="1"/>
  <c r="L6396" i="1" s="1" a="1"/>
  <c r="L6396" i="1" s="1"/>
  <c r="H6395" i="1"/>
  <c r="P6396" i="1" a="1"/>
  <c r="P6396" i="1" s="1"/>
  <c r="K6396" i="1" a="1"/>
  <c r="K6396" i="1" s="1"/>
  <c r="B6397" i="1"/>
  <c r="M6396" i="1" a="1"/>
  <c r="M6396" i="1" s="1"/>
  <c r="Q6396" i="1" a="1"/>
  <c r="Q6396" i="1" s="1"/>
  <c r="N6396" i="1" a="1"/>
  <c r="N6396" i="1" s="1"/>
  <c r="R6396" i="1" a="1"/>
  <c r="R6396" i="1" s="1"/>
  <c r="S6396" i="1" a="1"/>
  <c r="S6396" i="1" s="1"/>
  <c r="A6398" i="1"/>
  <c r="J6396" i="1" l="1" a="1"/>
  <c r="J6396" i="1" s="1"/>
  <c r="I6396" i="1" a="1"/>
  <c r="I6396" i="1" s="1"/>
  <c r="O6396" i="1" a="1"/>
  <c r="O6396" i="1" s="1"/>
  <c r="C6397" i="1"/>
  <c r="L6397" i="1" s="1" a="1"/>
  <c r="L6397" i="1" s="1"/>
  <c r="H6396" i="1"/>
  <c r="N6397" i="1" a="1"/>
  <c r="N6397" i="1" s="1"/>
  <c r="K6397" i="1" a="1"/>
  <c r="K6397" i="1" s="1"/>
  <c r="S6397" i="1" a="1"/>
  <c r="S6397" i="1" s="1"/>
  <c r="R6397" i="1" a="1"/>
  <c r="R6397" i="1" s="1"/>
  <c r="P6397" i="1" a="1"/>
  <c r="P6397" i="1" s="1"/>
  <c r="B6398" i="1"/>
  <c r="M6397" i="1" a="1"/>
  <c r="M6397" i="1" s="1"/>
  <c r="Q6397" i="1" a="1"/>
  <c r="Q6397" i="1" s="1"/>
  <c r="A6399" i="1"/>
  <c r="I6397" i="1" l="1" a="1"/>
  <c r="I6397" i="1" s="1"/>
  <c r="J6397" i="1" a="1"/>
  <c r="J6397" i="1" s="1"/>
  <c r="O6397" i="1" a="1"/>
  <c r="O6397" i="1" s="1"/>
  <c r="C6398" i="1"/>
  <c r="O6398" i="1" s="1" a="1"/>
  <c r="O6398" i="1" s="1"/>
  <c r="H6397" i="1"/>
  <c r="A6400" i="1"/>
  <c r="N6398" i="1" a="1"/>
  <c r="N6398" i="1" s="1"/>
  <c r="R6398" i="1" a="1"/>
  <c r="R6398" i="1" s="1"/>
  <c r="M6398" i="1" a="1"/>
  <c r="M6398" i="1" s="1"/>
  <c r="S6398" i="1" a="1"/>
  <c r="S6398" i="1" s="1"/>
  <c r="Q6398" i="1" a="1"/>
  <c r="Q6398" i="1" s="1"/>
  <c r="L6398" i="1" a="1"/>
  <c r="L6398" i="1" s="1"/>
  <c r="P6398" i="1" a="1"/>
  <c r="P6398" i="1" s="1"/>
  <c r="B6399" i="1"/>
  <c r="I6398" i="1" a="1"/>
  <c r="I6398" i="1" s="1"/>
  <c r="J6398" i="1" l="1" a="1"/>
  <c r="J6398" i="1" s="1"/>
  <c r="K6398" i="1" a="1"/>
  <c r="K6398" i="1" s="1"/>
  <c r="C6399" i="1"/>
  <c r="L6399" i="1" s="1" a="1"/>
  <c r="L6399" i="1" s="1"/>
  <c r="H6398" i="1"/>
  <c r="A6401" i="1"/>
  <c r="B6400" i="1"/>
  <c r="M6399" i="1" a="1"/>
  <c r="M6399" i="1" s="1"/>
  <c r="Q6399" i="1" a="1"/>
  <c r="Q6399" i="1" s="1"/>
  <c r="N6399" i="1" a="1"/>
  <c r="N6399" i="1" s="1"/>
  <c r="R6399" i="1" a="1"/>
  <c r="R6399" i="1" s="1"/>
  <c r="P6399" i="1" a="1"/>
  <c r="P6399" i="1" s="1"/>
  <c r="K6399" i="1" a="1"/>
  <c r="K6399" i="1" s="1"/>
  <c r="O6399" i="1" a="1"/>
  <c r="O6399" i="1" s="1"/>
  <c r="S6399" i="1" a="1"/>
  <c r="S6399" i="1" s="1"/>
  <c r="I6399" i="1" l="1" a="1"/>
  <c r="I6399" i="1" s="1"/>
  <c r="J6399" i="1" a="1"/>
  <c r="J6399" i="1" s="1"/>
  <c r="C6400" i="1"/>
  <c r="O6400" i="1" s="1" a="1"/>
  <c r="O6400" i="1" s="1"/>
  <c r="H6399" i="1"/>
  <c r="L6400" i="1" a="1"/>
  <c r="L6400" i="1" s="1"/>
  <c r="P6400" i="1" a="1"/>
  <c r="P6400" i="1" s="1"/>
  <c r="B6401" i="1"/>
  <c r="M6400" i="1" a="1"/>
  <c r="M6400" i="1" s="1"/>
  <c r="Q6400" i="1" a="1"/>
  <c r="Q6400" i="1" s="1"/>
  <c r="S6400" i="1" a="1"/>
  <c r="S6400" i="1" s="1"/>
  <c r="N6400" i="1" a="1"/>
  <c r="N6400" i="1" s="1"/>
  <c r="R6400" i="1" a="1"/>
  <c r="R6400" i="1" s="1"/>
  <c r="K6400" i="1" a="1"/>
  <c r="K6400" i="1" s="1"/>
  <c r="A6402" i="1"/>
  <c r="J6400" i="1" l="1" a="1"/>
  <c r="J6400" i="1" s="1"/>
  <c r="I6400" i="1" a="1"/>
  <c r="I6400" i="1" s="1"/>
  <c r="C6401" i="1"/>
  <c r="O6401" i="1" s="1" a="1"/>
  <c r="O6401" i="1" s="1"/>
  <c r="H6400" i="1"/>
  <c r="A6403" i="1"/>
  <c r="K6401" i="1" a="1"/>
  <c r="K6401" i="1" s="1"/>
  <c r="S6401" i="1" a="1"/>
  <c r="S6401" i="1" s="1"/>
  <c r="N6401" i="1" a="1"/>
  <c r="N6401" i="1" s="1"/>
  <c r="P6401" i="1" a="1"/>
  <c r="P6401" i="1" s="1"/>
  <c r="R6401" i="1" a="1"/>
  <c r="R6401" i="1" s="1"/>
  <c r="B6402" i="1"/>
  <c r="M6401" i="1" a="1"/>
  <c r="M6401" i="1" s="1"/>
  <c r="Q6401" i="1" a="1"/>
  <c r="Q6401" i="1" s="1"/>
  <c r="J6401" i="1" l="1" a="1"/>
  <c r="J6401" i="1" s="1"/>
  <c r="I6401" i="1" a="1"/>
  <c r="I6401" i="1" s="1"/>
  <c r="L6401" i="1" a="1"/>
  <c r="L6401" i="1" s="1"/>
  <c r="C6402" i="1"/>
  <c r="J6402" i="1" s="1" a="1"/>
  <c r="J6402" i="1" s="1"/>
  <c r="H6401" i="1"/>
  <c r="N6402" i="1" a="1"/>
  <c r="N6402" i="1" s="1"/>
  <c r="R6402" i="1" a="1"/>
  <c r="R6402" i="1" s="1"/>
  <c r="B6403" i="1"/>
  <c r="Q6402" i="1" a="1"/>
  <c r="Q6402" i="1" s="1"/>
  <c r="S6402" i="1" a="1"/>
  <c r="S6402" i="1" s="1"/>
  <c r="L6402" i="1" a="1"/>
  <c r="L6402" i="1" s="1"/>
  <c r="P6402" i="1" a="1"/>
  <c r="P6402" i="1" s="1"/>
  <c r="M6402" i="1" a="1"/>
  <c r="M6402" i="1" s="1"/>
  <c r="A6404" i="1"/>
  <c r="K6402" i="1" l="1" a="1"/>
  <c r="K6402" i="1" s="1"/>
  <c r="I6402" i="1" a="1"/>
  <c r="I6402" i="1" s="1"/>
  <c r="O6402" i="1" a="1"/>
  <c r="O6402" i="1" s="1"/>
  <c r="C6403" i="1"/>
  <c r="L6403" i="1" s="1" a="1"/>
  <c r="L6403" i="1" s="1"/>
  <c r="H6402" i="1"/>
  <c r="A6405" i="1"/>
  <c r="B6404" i="1"/>
  <c r="M6403" i="1" a="1"/>
  <c r="M6403" i="1" s="1"/>
  <c r="Q6403" i="1" a="1"/>
  <c r="Q6403" i="1" s="1"/>
  <c r="N6403" i="1" a="1"/>
  <c r="N6403" i="1" s="1"/>
  <c r="R6403" i="1" a="1"/>
  <c r="R6403" i="1" s="1"/>
  <c r="S6403" i="1" a="1"/>
  <c r="S6403" i="1" s="1"/>
  <c r="P6403" i="1" a="1"/>
  <c r="P6403" i="1" s="1"/>
  <c r="J6403" i="1" l="1" a="1"/>
  <c r="J6403" i="1" s="1"/>
  <c r="K6403" i="1" a="1"/>
  <c r="K6403" i="1" s="1"/>
  <c r="I6403" i="1" a="1"/>
  <c r="I6403" i="1" s="1"/>
  <c r="O6403" i="1" a="1"/>
  <c r="O6403" i="1" s="1"/>
  <c r="C6404" i="1"/>
  <c r="J6404" i="1" s="1" a="1"/>
  <c r="J6404" i="1" s="1"/>
  <c r="H6403" i="1"/>
  <c r="P6404" i="1" a="1"/>
  <c r="P6404" i="1" s="1"/>
  <c r="B6405" i="1"/>
  <c r="M6404" i="1" a="1"/>
  <c r="M6404" i="1" s="1"/>
  <c r="Q6404" i="1" a="1"/>
  <c r="Q6404" i="1" s="1"/>
  <c r="S6404" i="1" a="1"/>
  <c r="S6404" i="1" s="1"/>
  <c r="N6404" i="1" a="1"/>
  <c r="N6404" i="1" s="1"/>
  <c r="R6404" i="1" a="1"/>
  <c r="R6404" i="1" s="1"/>
  <c r="A6406" i="1"/>
  <c r="K6404" i="1" l="1" a="1"/>
  <c r="K6404" i="1" s="1"/>
  <c r="I6404" i="1" a="1"/>
  <c r="I6404" i="1" s="1"/>
  <c r="O6404" i="1" a="1"/>
  <c r="O6404" i="1" s="1"/>
  <c r="L6404" i="1" a="1"/>
  <c r="L6404" i="1" s="1"/>
  <c r="C6405" i="1"/>
  <c r="O6405" i="1" s="1" a="1"/>
  <c r="O6405" i="1" s="1"/>
  <c r="H6404" i="1"/>
  <c r="A6407" i="1"/>
  <c r="K6405" i="1" a="1"/>
  <c r="K6405" i="1" s="1"/>
  <c r="S6405" i="1" a="1"/>
  <c r="S6405" i="1" s="1"/>
  <c r="P6405" i="1" a="1"/>
  <c r="P6405" i="1" s="1"/>
  <c r="B6406" i="1"/>
  <c r="M6405" i="1" a="1"/>
  <c r="M6405" i="1" s="1"/>
  <c r="Q6405" i="1" a="1"/>
  <c r="Q6405" i="1" s="1"/>
  <c r="R6405" i="1" a="1"/>
  <c r="R6405" i="1" s="1"/>
  <c r="N6405" i="1" a="1"/>
  <c r="N6405" i="1" s="1"/>
  <c r="J6405" i="1" l="1" a="1"/>
  <c r="J6405" i="1" s="1"/>
  <c r="I6405" i="1" a="1"/>
  <c r="I6405" i="1" s="1"/>
  <c r="L6405" i="1" a="1"/>
  <c r="L6405" i="1" s="1"/>
  <c r="C6406" i="1"/>
  <c r="J6406" i="1" s="1" a="1"/>
  <c r="J6406" i="1" s="1"/>
  <c r="H6405" i="1"/>
  <c r="Q6406" i="1" a="1"/>
  <c r="Q6406" i="1" s="1"/>
  <c r="N6406" i="1" a="1"/>
  <c r="N6406" i="1" s="1"/>
  <c r="R6406" i="1" a="1"/>
  <c r="R6406" i="1" s="1"/>
  <c r="B6407" i="1"/>
  <c r="S6406" i="1" a="1"/>
  <c r="S6406" i="1" s="1"/>
  <c r="M6406" i="1" a="1"/>
  <c r="M6406" i="1" s="1"/>
  <c r="L6406" i="1" a="1"/>
  <c r="L6406" i="1" s="1"/>
  <c r="P6406" i="1" a="1"/>
  <c r="P6406" i="1" s="1"/>
  <c r="A6408" i="1"/>
  <c r="I6406" i="1" l="1" a="1"/>
  <c r="I6406" i="1" s="1"/>
  <c r="K6406" i="1" a="1"/>
  <c r="K6406" i="1" s="1"/>
  <c r="O6406" i="1" a="1"/>
  <c r="O6406" i="1" s="1"/>
  <c r="C6407" i="1"/>
  <c r="J6407" i="1" s="1" a="1"/>
  <c r="J6407" i="1" s="1"/>
  <c r="H6406" i="1"/>
  <c r="A6409" i="1"/>
  <c r="B6408" i="1"/>
  <c r="M6407" i="1" a="1"/>
  <c r="M6407" i="1" s="1"/>
  <c r="Q6407" i="1" a="1"/>
  <c r="Q6407" i="1" s="1"/>
  <c r="N6407" i="1" a="1"/>
  <c r="N6407" i="1" s="1"/>
  <c r="R6407" i="1" a="1"/>
  <c r="R6407" i="1" s="1"/>
  <c r="K6407" i="1" a="1"/>
  <c r="K6407" i="1" s="1"/>
  <c r="S6407" i="1" a="1"/>
  <c r="S6407" i="1" s="1"/>
  <c r="P6407" i="1" a="1"/>
  <c r="P6407" i="1" s="1"/>
  <c r="I6407" i="1" l="1" a="1"/>
  <c r="I6407" i="1" s="1"/>
  <c r="O6407" i="1" a="1"/>
  <c r="O6407" i="1" s="1"/>
  <c r="L6407" i="1" a="1"/>
  <c r="L6407" i="1" s="1"/>
  <c r="C6408" i="1"/>
  <c r="J6408" i="1" s="1" a="1"/>
  <c r="J6408" i="1" s="1"/>
  <c r="H6407" i="1"/>
  <c r="S6408" i="1" a="1"/>
  <c r="S6408" i="1" s="1"/>
  <c r="L6408" i="1" a="1"/>
  <c r="L6408" i="1" s="1"/>
  <c r="P6408" i="1" a="1"/>
  <c r="P6408" i="1" s="1"/>
  <c r="B6409" i="1"/>
  <c r="M6408" i="1" a="1"/>
  <c r="M6408" i="1" s="1"/>
  <c r="Q6408" i="1" a="1"/>
  <c r="Q6408" i="1" s="1"/>
  <c r="N6408" i="1" a="1"/>
  <c r="N6408" i="1" s="1"/>
  <c r="R6408" i="1" a="1"/>
  <c r="R6408" i="1" s="1"/>
  <c r="A6410" i="1"/>
  <c r="K6408" i="1" l="1" a="1"/>
  <c r="K6408" i="1" s="1"/>
  <c r="O6408" i="1" a="1"/>
  <c r="O6408" i="1" s="1"/>
  <c r="I6408" i="1" a="1"/>
  <c r="I6408" i="1" s="1"/>
  <c r="C6409" i="1"/>
  <c r="I6409" i="1" s="1" a="1"/>
  <c r="I6409" i="1" s="1"/>
  <c r="H6408" i="1"/>
  <c r="A6411" i="1"/>
  <c r="K6409" i="1" a="1"/>
  <c r="K6409" i="1" s="1"/>
  <c r="S6409" i="1" a="1"/>
  <c r="S6409" i="1" s="1"/>
  <c r="P6409" i="1" a="1"/>
  <c r="P6409" i="1" s="1"/>
  <c r="B6410" i="1"/>
  <c r="M6409" i="1" a="1"/>
  <c r="M6409" i="1" s="1"/>
  <c r="Q6409" i="1" a="1"/>
  <c r="Q6409" i="1" s="1"/>
  <c r="N6409" i="1" a="1"/>
  <c r="N6409" i="1" s="1"/>
  <c r="R6409" i="1" a="1"/>
  <c r="R6409" i="1" s="1"/>
  <c r="J6409" i="1" l="1" a="1"/>
  <c r="J6409" i="1" s="1"/>
  <c r="L6409" i="1" a="1"/>
  <c r="L6409" i="1" s="1"/>
  <c r="O6409" i="1" a="1"/>
  <c r="O6409" i="1" s="1"/>
  <c r="C6410" i="1"/>
  <c r="K6410" i="1" s="1" a="1"/>
  <c r="K6410" i="1" s="1"/>
  <c r="H6409" i="1"/>
  <c r="A6412" i="1"/>
  <c r="B6411" i="1"/>
  <c r="N6410" i="1" a="1"/>
  <c r="N6410" i="1" s="1"/>
  <c r="R6410" i="1" a="1"/>
  <c r="R6410" i="1" s="1"/>
  <c r="Q6410" i="1" a="1"/>
  <c r="Q6410" i="1" s="1"/>
  <c r="S6410" i="1" a="1"/>
  <c r="S6410" i="1" s="1"/>
  <c r="M6410" i="1" a="1"/>
  <c r="M6410" i="1" s="1"/>
  <c r="L6410" i="1" a="1"/>
  <c r="L6410" i="1" s="1"/>
  <c r="P6410" i="1" a="1"/>
  <c r="P6410" i="1" s="1"/>
  <c r="J6410" i="1" l="1" a="1"/>
  <c r="J6410" i="1" s="1"/>
  <c r="O6410" i="1" a="1"/>
  <c r="O6410" i="1" s="1"/>
  <c r="I6410" i="1" a="1"/>
  <c r="I6410" i="1" s="1"/>
  <c r="C6411" i="1"/>
  <c r="O6411" i="1" s="1" a="1"/>
  <c r="O6411" i="1" s="1"/>
  <c r="H6410" i="1"/>
  <c r="B6412" i="1"/>
  <c r="M6411" i="1" a="1"/>
  <c r="M6411" i="1" s="1"/>
  <c r="Q6411" i="1" a="1"/>
  <c r="Q6411" i="1" s="1"/>
  <c r="L6411" i="1" a="1"/>
  <c r="L6411" i="1" s="1"/>
  <c r="N6411" i="1" a="1"/>
  <c r="N6411" i="1" s="1"/>
  <c r="R6411" i="1" a="1"/>
  <c r="R6411" i="1" s="1"/>
  <c r="K6411" i="1" a="1"/>
  <c r="K6411" i="1" s="1"/>
  <c r="S6411" i="1" a="1"/>
  <c r="S6411" i="1" s="1"/>
  <c r="P6411" i="1" a="1"/>
  <c r="P6411" i="1" s="1"/>
  <c r="A6413" i="1"/>
  <c r="C202" i="2" l="1"/>
  <c r="D202" i="2"/>
  <c r="E202" i="2"/>
  <c r="J6411" i="1" a="1"/>
  <c r="J6411" i="1" s="1"/>
  <c r="I6411" i="1" a="1"/>
  <c r="I6411" i="1" s="1"/>
  <c r="C6412" i="1"/>
  <c r="J6412" i="1" s="1" a="1"/>
  <c r="J6412" i="1" s="1"/>
  <c r="H6411" i="1"/>
  <c r="P6412" i="1" a="1"/>
  <c r="P6412" i="1" s="1"/>
  <c r="B6413" i="1"/>
  <c r="S6412" i="1" a="1"/>
  <c r="S6412" i="1" s="1"/>
  <c r="M6412" i="1" a="1"/>
  <c r="M6412" i="1" s="1"/>
  <c r="Q6412" i="1" a="1"/>
  <c r="Q6412" i="1" s="1"/>
  <c r="R6412" i="1" a="1"/>
  <c r="R6412" i="1" s="1"/>
  <c r="K6412" i="1" a="1"/>
  <c r="K6412" i="1" s="1"/>
  <c r="N6412" i="1" a="1"/>
  <c r="N6412" i="1" s="1"/>
  <c r="I6412" i="1" l="1" a="1"/>
  <c r="I6412" i="1" s="1"/>
  <c r="L6412" i="1" a="1"/>
  <c r="L6412" i="1" s="1"/>
  <c r="O6412" i="1" a="1"/>
  <c r="O6412" i="1" s="1"/>
  <c r="C6413" i="1"/>
  <c r="H6413" i="1" s="1"/>
  <c r="H6412" i="1"/>
  <c r="S6413" i="1" a="1"/>
  <c r="S6413" i="1" s="1"/>
  <c r="R6413" i="1" a="1"/>
  <c r="R6413" i="1" s="1"/>
  <c r="P6413" i="1" a="1"/>
  <c r="P6413" i="1" s="1"/>
  <c r="M6413" i="1" a="1"/>
  <c r="M6413" i="1" s="1"/>
  <c r="Q6413" i="1" a="1"/>
  <c r="Q6413" i="1" s="1"/>
  <c r="N6413" i="1" a="1"/>
  <c r="N6413" i="1" s="1"/>
  <c r="E114" i="2"/>
  <c r="E76" i="2"/>
  <c r="E84" i="2"/>
  <c r="C185" i="2"/>
  <c r="E186" i="2"/>
  <c r="C26" i="2"/>
  <c r="E183" i="2"/>
  <c r="E184" i="2"/>
  <c r="C93" i="2"/>
  <c r="C190" i="2"/>
  <c r="C189" i="2"/>
  <c r="E190" i="2"/>
  <c r="E187" i="2"/>
  <c r="C187" i="2"/>
  <c r="C184" i="2"/>
  <c r="E121" i="2"/>
  <c r="E3" i="2"/>
  <c r="E188" i="2"/>
  <c r="C19" i="2"/>
  <c r="E137" i="2"/>
  <c r="C123" i="2"/>
  <c r="C145" i="2"/>
  <c r="C22" i="2"/>
  <c r="E146" i="2"/>
  <c r="C36" i="2"/>
  <c r="E166" i="2"/>
  <c r="C188" i="2"/>
  <c r="C183" i="2"/>
  <c r="C186" i="2"/>
  <c r="E40" i="2"/>
  <c r="E185" i="2"/>
  <c r="E140" i="2"/>
  <c r="D151" i="2"/>
  <c r="C45" i="2"/>
  <c r="E189" i="2"/>
  <c r="D152" i="2"/>
  <c r="E79" i="2"/>
  <c r="E141" i="2"/>
  <c r="D30" i="2"/>
  <c r="E161" i="2"/>
  <c r="E135" i="2"/>
  <c r="C50" i="2"/>
  <c r="E145" i="2"/>
  <c r="C32" i="2"/>
  <c r="C133" i="2"/>
  <c r="C151" i="2"/>
  <c r="E150" i="2"/>
  <c r="C152" i="2"/>
  <c r="E163" i="2"/>
  <c r="E165" i="2"/>
  <c r="D118" i="2"/>
  <c r="E124" i="2"/>
  <c r="E56" i="2"/>
  <c r="C87" i="2"/>
  <c r="E29" i="2"/>
  <c r="C114" i="2"/>
  <c r="C30" i="2"/>
  <c r="C90" i="2"/>
  <c r="C105" i="2"/>
  <c r="C125" i="2"/>
  <c r="D120" i="2"/>
  <c r="E24" i="2"/>
  <c r="C127" i="2"/>
  <c r="C64" i="2"/>
  <c r="D155" i="2"/>
  <c r="E57" i="2"/>
  <c r="D71" i="2"/>
  <c r="D154" i="2"/>
  <c r="C137" i="2"/>
  <c r="D146" i="2"/>
  <c r="E156" i="2"/>
  <c r="C144" i="2"/>
  <c r="C154" i="2"/>
  <c r="C83" i="2"/>
  <c r="C21" i="2"/>
  <c r="C156" i="2"/>
  <c r="E13" i="2"/>
  <c r="D52" i="2"/>
  <c r="E143" i="2"/>
  <c r="E139" i="2"/>
  <c r="C94" i="2"/>
  <c r="C143" i="2"/>
  <c r="C38" i="2"/>
  <c r="C136" i="2"/>
  <c r="C15" i="2"/>
  <c r="C5" i="2"/>
  <c r="C58" i="2"/>
  <c r="E33" i="2"/>
  <c r="E159" i="2"/>
  <c r="C122" i="2"/>
  <c r="C40" i="2"/>
  <c r="E16" i="2"/>
  <c r="C106" i="2"/>
  <c r="E142" i="2"/>
  <c r="C111" i="2"/>
  <c r="C49" i="2"/>
  <c r="C149" i="2"/>
  <c r="E153" i="2"/>
  <c r="C80" i="2"/>
  <c r="C173" i="2"/>
  <c r="E119" i="2"/>
  <c r="C35" i="2"/>
  <c r="C76" i="2"/>
  <c r="C25" i="2"/>
  <c r="E125" i="2"/>
  <c r="E71" i="2"/>
  <c r="C63" i="2"/>
  <c r="C11" i="2"/>
  <c r="E42" i="2"/>
  <c r="E45" i="2"/>
  <c r="C155" i="2"/>
  <c r="E64" i="2"/>
  <c r="E5" i="2"/>
  <c r="C115" i="2"/>
  <c r="E136" i="2"/>
  <c r="D101" i="2"/>
  <c r="E174" i="2"/>
  <c r="E48" i="2"/>
  <c r="C75" i="2"/>
  <c r="E105" i="2"/>
  <c r="C72" i="2"/>
  <c r="C86" i="2"/>
  <c r="C85" i="2"/>
  <c r="E177" i="2"/>
  <c r="C74" i="2"/>
  <c r="C82" i="2"/>
  <c r="C175" i="2"/>
  <c r="C84" i="2"/>
  <c r="C95" i="2"/>
  <c r="C153" i="2"/>
  <c r="C99" i="2"/>
  <c r="E118" i="2"/>
  <c r="C171" i="2"/>
  <c r="E162" i="2"/>
  <c r="E86" i="2"/>
  <c r="C110" i="2"/>
  <c r="E176" i="2"/>
  <c r="C60" i="2"/>
  <c r="C67" i="2"/>
  <c r="E49" i="2"/>
  <c r="C98" i="2"/>
  <c r="C88" i="2"/>
  <c r="C33" i="2"/>
  <c r="C176" i="2"/>
  <c r="C57" i="2"/>
  <c r="E122" i="2"/>
  <c r="C42" i="2"/>
  <c r="E82" i="2"/>
  <c r="E91" i="2"/>
  <c r="C14" i="2"/>
  <c r="E175" i="2"/>
  <c r="C24" i="2"/>
  <c r="E32" i="2"/>
  <c r="C117" i="2"/>
  <c r="C59" i="2"/>
  <c r="E173" i="2"/>
  <c r="C138" i="2"/>
  <c r="C148" i="2"/>
  <c r="C44" i="2"/>
  <c r="E131" i="2"/>
  <c r="E53" i="2"/>
  <c r="C118" i="2"/>
  <c r="C31" i="2"/>
  <c r="E152" i="2"/>
  <c r="E170" i="2"/>
  <c r="D106" i="2"/>
  <c r="C169" i="2"/>
  <c r="C181" i="2"/>
  <c r="E158" i="2"/>
  <c r="D185" i="2"/>
  <c r="D184" i="2"/>
  <c r="E130" i="2"/>
  <c r="D189" i="2"/>
  <c r="E157" i="2"/>
  <c r="C177" i="2"/>
  <c r="D43" i="2"/>
  <c r="E155" i="2"/>
  <c r="E83" i="2"/>
  <c r="C159" i="2"/>
  <c r="E160" i="2"/>
  <c r="C170" i="2"/>
  <c r="E23" i="2"/>
  <c r="E58" i="2"/>
  <c r="C158" i="2"/>
  <c r="C172" i="2"/>
  <c r="D64" i="2"/>
  <c r="E94" i="2"/>
  <c r="E180" i="2"/>
  <c r="D75" i="2"/>
  <c r="D90" i="2"/>
  <c r="E2" i="2"/>
  <c r="E129" i="2"/>
  <c r="C162" i="2"/>
  <c r="E154" i="2"/>
  <c r="C180" i="2"/>
  <c r="C120" i="2"/>
  <c r="E169" i="2"/>
  <c r="D107" i="2"/>
  <c r="C91" i="2"/>
  <c r="E62" i="2"/>
  <c r="D103" i="2"/>
  <c r="E11" i="2"/>
  <c r="D186" i="2"/>
  <c r="E65" i="2"/>
  <c r="D48" i="2"/>
  <c r="C109" i="2"/>
  <c r="C46" i="2"/>
  <c r="C150" i="2"/>
  <c r="C178" i="2"/>
  <c r="C179" i="2"/>
  <c r="E4" i="2"/>
  <c r="C157" i="2"/>
  <c r="D162" i="2"/>
  <c r="D62" i="2"/>
  <c r="D183" i="2"/>
  <c r="C166" i="2"/>
  <c r="E100" i="2"/>
  <c r="C16" i="2"/>
  <c r="D190" i="2"/>
  <c r="E179" i="2"/>
  <c r="D136" i="2"/>
  <c r="E34" i="2"/>
  <c r="D77" i="2"/>
  <c r="D41" i="2"/>
  <c r="E181" i="2"/>
  <c r="E37" i="2"/>
  <c r="E138" i="2"/>
  <c r="C139" i="2"/>
  <c r="D119" i="2"/>
  <c r="C119" i="2"/>
  <c r="D67" i="2"/>
  <c r="D131" i="2"/>
  <c r="D114" i="2"/>
  <c r="D31" i="2"/>
  <c r="D63" i="2"/>
  <c r="E116" i="2"/>
  <c r="C129" i="2"/>
  <c r="D10" i="2"/>
  <c r="C142" i="2"/>
  <c r="D187" i="2"/>
  <c r="C147" i="2"/>
  <c r="D98" i="2"/>
  <c r="D188" i="2"/>
  <c r="D92" i="2"/>
  <c r="D51" i="2"/>
  <c r="E90" i="2"/>
  <c r="D5" i="2"/>
  <c r="D6" i="2"/>
  <c r="C103" i="2"/>
  <c r="E10" i="2"/>
  <c r="D47" i="2"/>
  <c r="E171" i="2"/>
  <c r="D91" i="2"/>
  <c r="D21" i="2"/>
  <c r="D9" i="2"/>
  <c r="D86" i="2"/>
  <c r="D177" i="2"/>
  <c r="E104" i="2"/>
  <c r="D169" i="2"/>
  <c r="D49" i="2"/>
  <c r="D150" i="2"/>
  <c r="C131" i="2"/>
  <c r="D35" i="2"/>
  <c r="E50" i="2"/>
  <c r="C182" i="2"/>
  <c r="E172" i="2"/>
  <c r="C4" i="2"/>
  <c r="E66" i="2"/>
  <c r="E182" i="2"/>
  <c r="C7" i="2"/>
  <c r="D19" i="2"/>
  <c r="D141" i="2"/>
  <c r="E178" i="2"/>
  <c r="C77" i="2"/>
  <c r="D13" i="2"/>
  <c r="D153" i="2"/>
  <c r="D85" i="2"/>
  <c r="C146" i="2"/>
  <c r="C48" i="2"/>
  <c r="E101" i="2"/>
  <c r="D56" i="2"/>
  <c r="D134" i="2"/>
  <c r="E19" i="2"/>
  <c r="C6" i="2"/>
  <c r="E133" i="2"/>
  <c r="D125" i="2"/>
  <c r="D70" i="2"/>
  <c r="D109" i="2"/>
  <c r="D105" i="2"/>
  <c r="E21" i="2"/>
  <c r="D149" i="2"/>
  <c r="D135" i="2"/>
  <c r="D60" i="2"/>
  <c r="D99" i="2"/>
  <c r="D126" i="2"/>
  <c r="E110" i="2"/>
  <c r="D17" i="2"/>
  <c r="D57" i="2"/>
  <c r="D88" i="2"/>
  <c r="E67" i="2"/>
  <c r="D45" i="2"/>
  <c r="D128" i="2"/>
  <c r="D156" i="2"/>
  <c r="D37" i="2"/>
  <c r="C126" i="2"/>
  <c r="D38" i="2"/>
  <c r="E68" i="2"/>
  <c r="D182" i="2"/>
  <c r="E6" i="2"/>
  <c r="D36" i="2"/>
  <c r="D181" i="2"/>
  <c r="E112" i="2"/>
  <c r="C18" i="2"/>
  <c r="E27" i="2"/>
  <c r="E70" i="2"/>
  <c r="D144" i="2"/>
  <c r="D139" i="2"/>
  <c r="E128" i="2"/>
  <c r="D7" i="2"/>
  <c r="C160" i="2"/>
  <c r="D14" i="2"/>
  <c r="D23" i="2"/>
  <c r="D32" i="2"/>
  <c r="D40" i="2"/>
  <c r="D76" i="2"/>
  <c r="E31" i="2"/>
  <c r="D96" i="2"/>
  <c r="C51" i="2"/>
  <c r="C78" i="2"/>
  <c r="E22" i="2"/>
  <c r="E106" i="2"/>
  <c r="D117" i="2"/>
  <c r="C130" i="2"/>
  <c r="D34" i="2"/>
  <c r="D11" i="2"/>
  <c r="C174" i="2"/>
  <c r="E111" i="2"/>
  <c r="E54" i="2"/>
  <c r="E17" i="2"/>
  <c r="E9" i="2"/>
  <c r="C34" i="2"/>
  <c r="C96" i="2"/>
  <c r="C141" i="2"/>
  <c r="C13" i="2"/>
  <c r="E30" i="2"/>
  <c r="C101" i="2"/>
  <c r="C55" i="2"/>
  <c r="C66" i="2"/>
  <c r="C104" i="2"/>
  <c r="E12" i="2"/>
  <c r="C3" i="2"/>
  <c r="E147" i="2"/>
  <c r="C165" i="2"/>
  <c r="E55" i="2"/>
  <c r="E107" i="2"/>
  <c r="E44" i="2"/>
  <c r="C41" i="2"/>
  <c r="E81" i="2"/>
  <c r="C62" i="2"/>
  <c r="C108" i="2"/>
  <c r="C39" i="2"/>
  <c r="E113" i="2"/>
  <c r="C53" i="2"/>
  <c r="E134" i="2"/>
  <c r="C112" i="2"/>
  <c r="E96" i="2"/>
  <c r="C28" i="2"/>
  <c r="C37" i="2"/>
  <c r="D18" i="2"/>
  <c r="E75" i="2"/>
  <c r="C56" i="2"/>
  <c r="C47" i="2"/>
  <c r="C29" i="2"/>
  <c r="C134" i="2"/>
  <c r="E80" i="2"/>
  <c r="E93" i="2"/>
  <c r="E115" i="2"/>
  <c r="E78" i="2"/>
  <c r="C54" i="2"/>
  <c r="E98" i="2"/>
  <c r="C12" i="2"/>
  <c r="C92" i="2"/>
  <c r="C52" i="2"/>
  <c r="C17" i="2"/>
  <c r="C79" i="2"/>
  <c r="C89" i="2"/>
  <c r="E127" i="2"/>
  <c r="C140" i="2"/>
  <c r="E59" i="2"/>
  <c r="D196" i="2"/>
  <c r="E199" i="2"/>
  <c r="D199" i="2"/>
  <c r="D201" i="2"/>
  <c r="D197" i="2"/>
  <c r="C201" i="2"/>
  <c r="E198" i="2"/>
  <c r="C196" i="2"/>
  <c r="C197" i="2"/>
  <c r="E200" i="2"/>
  <c r="C198" i="2"/>
  <c r="D198" i="2"/>
  <c r="C200" i="2"/>
  <c r="E197" i="2"/>
  <c r="E201" i="2"/>
  <c r="E196" i="2"/>
  <c r="C199" i="2"/>
  <c r="C113" i="2"/>
  <c r="D200" i="2"/>
  <c r="C164" i="2"/>
  <c r="D116" i="2"/>
  <c r="D163" i="2"/>
  <c r="C8" i="2"/>
  <c r="D53" i="2"/>
  <c r="E28" i="2"/>
  <c r="C70" i="2"/>
  <c r="C168" i="2"/>
  <c r="D59" i="2"/>
  <c r="E60" i="2"/>
  <c r="C2" i="2"/>
  <c r="D42" i="2"/>
  <c r="D122" i="2"/>
  <c r="C116" i="2"/>
  <c r="E167" i="2"/>
  <c r="C68" i="2"/>
  <c r="D3" i="2"/>
  <c r="D124" i="2"/>
  <c r="D168" i="2"/>
  <c r="D24" i="2"/>
  <c r="C73" i="2"/>
  <c r="C10" i="2"/>
  <c r="E43" i="2"/>
  <c r="D69" i="2"/>
  <c r="E15" i="2"/>
  <c r="C121" i="2"/>
  <c r="D65" i="2"/>
  <c r="D95" i="2"/>
  <c r="D26" i="2"/>
  <c r="D28" i="2"/>
  <c r="D46" i="2"/>
  <c r="D166" i="2"/>
  <c r="E117" i="2"/>
  <c r="C107" i="2"/>
  <c r="C20" i="2"/>
  <c r="C102" i="2"/>
  <c r="D83" i="2"/>
  <c r="D4" i="2"/>
  <c r="C65" i="2"/>
  <c r="D93" i="2"/>
  <c r="C100" i="2"/>
  <c r="D157" i="2"/>
  <c r="D25" i="2"/>
  <c r="D142" i="2"/>
  <c r="D161" i="2"/>
  <c r="D115" i="2"/>
  <c r="D20" i="2"/>
  <c r="D16" i="2"/>
  <c r="D68" i="2"/>
  <c r="D89" i="2"/>
  <c r="D145" i="2"/>
  <c r="D72" i="2"/>
  <c r="D143" i="2"/>
  <c r="D22" i="2"/>
  <c r="D12" i="2"/>
  <c r="D97" i="2"/>
  <c r="D176" i="2"/>
  <c r="D158" i="2"/>
  <c r="E7" i="2"/>
  <c r="E41" i="2"/>
  <c r="E88" i="2"/>
  <c r="E192" i="2"/>
  <c r="E132" i="2"/>
  <c r="E38" i="2"/>
  <c r="E51" i="2"/>
  <c r="E103" i="2"/>
  <c r="E87" i="2"/>
  <c r="C192" i="2"/>
  <c r="E195" i="2"/>
  <c r="E72" i="2"/>
  <c r="E69" i="2"/>
  <c r="E74" i="2"/>
  <c r="E25" i="2"/>
  <c r="E47" i="2"/>
  <c r="E26" i="2"/>
  <c r="E120" i="2"/>
  <c r="E20" i="2"/>
  <c r="D192" i="2"/>
  <c r="E191" i="2"/>
  <c r="E95" i="2"/>
  <c r="C193" i="2"/>
  <c r="E168" i="2"/>
  <c r="E85" i="2"/>
  <c r="E39" i="2"/>
  <c r="E194" i="2"/>
  <c r="E193" i="2"/>
  <c r="D195" i="2"/>
  <c r="C194" i="2"/>
  <c r="E92" i="2"/>
  <c r="E61" i="2"/>
  <c r="E36" i="2"/>
  <c r="E8" i="2"/>
  <c r="D123" i="2"/>
  <c r="C191" i="2"/>
  <c r="E77" i="2"/>
  <c r="C195" i="2"/>
  <c r="E46" i="2"/>
  <c r="D193" i="2"/>
  <c r="D191" i="2"/>
  <c r="E102" i="2"/>
  <c r="D50" i="2"/>
  <c r="D167" i="2"/>
  <c r="D15" i="2"/>
  <c r="D164" i="2"/>
  <c r="D73" i="2"/>
  <c r="D61" i="2"/>
  <c r="D138" i="2"/>
  <c r="D84" i="2"/>
  <c r="D2" i="2"/>
  <c r="D133" i="2"/>
  <c r="D110" i="2"/>
  <c r="E164" i="2"/>
  <c r="D140" i="2"/>
  <c r="E14" i="2"/>
  <c r="E89" i="2"/>
  <c r="C161" i="2"/>
  <c r="D137" i="2"/>
  <c r="E148" i="2"/>
  <c r="E99" i="2"/>
  <c r="E151" i="2"/>
  <c r="D165" i="2"/>
  <c r="E144" i="2"/>
  <c r="D80" i="2"/>
  <c r="D194" i="2"/>
  <c r="C61" i="2"/>
  <c r="D55" i="2"/>
  <c r="D27" i="2"/>
  <c r="C163" i="2"/>
  <c r="D81" i="2"/>
  <c r="C135" i="2"/>
  <c r="C23" i="2"/>
  <c r="E73" i="2"/>
  <c r="C9" i="2"/>
  <c r="E123" i="2"/>
  <c r="E108" i="2"/>
  <c r="D104" i="2"/>
  <c r="C71" i="2"/>
  <c r="E149" i="2"/>
  <c r="C69" i="2"/>
  <c r="C128" i="2"/>
  <c r="E126" i="2"/>
  <c r="C43" i="2"/>
  <c r="C124" i="2"/>
  <c r="C97" i="2"/>
  <c r="D54" i="2"/>
  <c r="C81" i="2"/>
  <c r="E52" i="2"/>
  <c r="D100" i="2"/>
  <c r="D147" i="2"/>
  <c r="C132" i="2"/>
  <c r="E109" i="2"/>
  <c r="E97" i="2"/>
  <c r="D132" i="2"/>
  <c r="C167" i="2"/>
  <c r="E63" i="2"/>
  <c r="E18" i="2"/>
  <c r="C27" i="2"/>
  <c r="E35" i="2"/>
  <c r="D74" i="2"/>
  <c r="D127" i="2"/>
  <c r="D121" i="2"/>
  <c r="D78" i="2"/>
  <c r="D113" i="2"/>
  <c r="D112" i="2"/>
  <c r="D178" i="2"/>
  <c r="D102" i="2"/>
  <c r="D148" i="2"/>
  <c r="D8" i="2"/>
  <c r="D82" i="2"/>
  <c r="D159" i="2"/>
  <c r="D79" i="2"/>
  <c r="D108" i="2"/>
  <c r="D111" i="2"/>
  <c r="D174" i="2"/>
  <c r="D33" i="2"/>
  <c r="D29" i="2"/>
  <c r="D173" i="2"/>
  <c r="D175" i="2"/>
  <c r="D66" i="2"/>
  <c r="D39" i="2"/>
  <c r="D171" i="2"/>
  <c r="D87" i="2"/>
  <c r="D179" i="2"/>
  <c r="D94" i="2"/>
  <c r="D172" i="2"/>
  <c r="D129" i="2"/>
  <c r="D170" i="2"/>
  <c r="D130" i="2"/>
  <c r="D180" i="2"/>
  <c r="D44" i="2"/>
  <c r="D58" i="2"/>
  <c r="D160" i="2"/>
  <c r="I6413" i="1" l="1" a="1"/>
  <c r="I6413" i="1" s="1"/>
  <c r="L6413" i="1" a="1"/>
  <c r="L6413" i="1" s="1"/>
  <c r="J6413" i="1" a="1"/>
  <c r="J6413" i="1" s="1"/>
  <c r="K6413" i="1" a="1"/>
  <c r="K6413" i="1" s="1"/>
  <c r="O6413" i="1" a="1"/>
  <c r="O641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<sst xmlns="http://schemas.openxmlformats.org/spreadsheetml/2006/main" count="59872" uniqueCount="26">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</sst>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6413"/>
  <sheetViews>
    <sheetView zoomScale="90" zoomScaleNormal="90" workbookViewId="0">
      <pane ySplit="1" topLeftCell="A6151" activePane="bottomLeft" state="frozen"/>
      <selection pane="bottomLeft" activeCell="D6152" sqref="D6152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">
        <v>3</v>
      </c>
      <c r="C5806" s="6">
        <v>0.28333333333333333</v>
      </c>
      <c r="D5806" s="5">
        <v>0</v>
      </c>
      <c r="E5806" s="5">
        <v>5</v>
      </c>
      <c r="F5806" s="5" t="s">
        <v>8</v>
      </c>
      <c r="G5806" s="15" t="s">
        <v>9</v>
      </c>
      <c r="H5806" s="24">
        <v>783.99999999906868</v>
      </c>
      <c r="I5806" s="24">
        <v>783.99999999906868</v>
      </c>
      <c r="J5806" s="24" t="s">
        <v>21</v>
      </c>
      <c r="K5806" s="24" t="s">
        <v>21</v>
      </c>
      <c r="L5806" s="24" t="s">
        <v>21</v>
      </c>
      <c r="M5806" s="24" t="s">
        <v>21</v>
      </c>
      <c r="N5806" s="24" t="s">
        <v>21</v>
      </c>
      <c r="O5806" s="24" t="s">
        <v>21</v>
      </c>
      <c r="P5806" s="24" t="s">
        <v>21</v>
      </c>
      <c r="Q5806" s="24" t="s">
        <v>21</v>
      </c>
      <c r="R5806" s="24" t="s">
        <v>21</v>
      </c>
      <c r="S5806" s="24" t="s">
        <v>21</v>
      </c>
    </row>
    <row r="5807" spans="1:19" x14ac:dyDescent="0.2">
      <c r="A5807" s="12">
        <v>45986</v>
      </c>
      <c r="B5807" s="5" t="s">
        <v>3</v>
      </c>
      <c r="C5807" s="6">
        <v>0.28402777777777777</v>
      </c>
      <c r="D5807" s="5">
        <v>3</v>
      </c>
      <c r="E5807" s="5">
        <v>1</v>
      </c>
      <c r="F5807" s="5" t="s">
        <v>8</v>
      </c>
      <c r="G5807" s="15" t="s">
        <v>9</v>
      </c>
      <c r="H5807" s="24">
        <v>1.000000003259629</v>
      </c>
      <c r="I5807" s="24">
        <v>1.000000003259629</v>
      </c>
      <c r="J5807" s="24" t="s">
        <v>21</v>
      </c>
      <c r="K5807" s="24" t="s">
        <v>21</v>
      </c>
      <c r="L5807" s="24" t="s">
        <v>21</v>
      </c>
      <c r="M5807" s="24" t="s">
        <v>21</v>
      </c>
      <c r="N5807" s="24" t="s">
        <v>21</v>
      </c>
      <c r="O5807" s="24" t="s">
        <v>21</v>
      </c>
      <c r="P5807" s="24" t="s">
        <v>21</v>
      </c>
      <c r="Q5807" s="24" t="s">
        <v>21</v>
      </c>
      <c r="R5807" s="24" t="s">
        <v>21</v>
      </c>
      <c r="S5807" s="24" t="s">
        <v>21</v>
      </c>
    </row>
    <row r="5808" spans="1:19" x14ac:dyDescent="0.2">
      <c r="A5808" s="12">
        <v>45986</v>
      </c>
      <c r="B5808" s="5" t="s">
        <v>3</v>
      </c>
      <c r="C5808" s="6">
        <v>0.28402777777777777</v>
      </c>
      <c r="D5808" s="5">
        <v>0</v>
      </c>
      <c r="E5808" s="5">
        <v>13</v>
      </c>
      <c r="F5808" s="5" t="s">
        <v>8</v>
      </c>
      <c r="G5808" s="15" t="s">
        <v>9</v>
      </c>
      <c r="H5808" s="24">
        <v>0</v>
      </c>
      <c r="I5808" s="24">
        <v>0</v>
      </c>
      <c r="J5808" s="24" t="s">
        <v>21</v>
      </c>
      <c r="K5808" s="24" t="s">
        <v>21</v>
      </c>
      <c r="L5808" s="24" t="s">
        <v>21</v>
      </c>
      <c r="M5808" s="24" t="s">
        <v>21</v>
      </c>
      <c r="N5808" s="24" t="s">
        <v>21</v>
      </c>
      <c r="O5808" s="24" t="s">
        <v>21</v>
      </c>
      <c r="P5808" s="24" t="s">
        <v>21</v>
      </c>
      <c r="Q5808" s="24" t="s">
        <v>21</v>
      </c>
      <c r="R5808" s="24" t="s">
        <v>21</v>
      </c>
      <c r="S5808" s="24" t="s">
        <v>21</v>
      </c>
    </row>
    <row r="5809" spans="1:19" x14ac:dyDescent="0.2">
      <c r="A5809" s="12">
        <v>45986</v>
      </c>
      <c r="B5809" s="5" t="s">
        <v>3</v>
      </c>
      <c r="C5809" s="6">
        <v>0.28472222222222221</v>
      </c>
      <c r="D5809" s="5">
        <v>0</v>
      </c>
      <c r="E5809" s="5">
        <v>13</v>
      </c>
      <c r="F5809" s="5" t="s">
        <v>8</v>
      </c>
      <c r="G5809" s="15" t="s">
        <v>9</v>
      </c>
      <c r="H5809" s="24">
        <v>0.99999999278225005</v>
      </c>
      <c r="I5809" s="24">
        <v>0.99999999278225005</v>
      </c>
      <c r="J5809" s="24" t="s">
        <v>21</v>
      </c>
      <c r="K5809" s="24" t="s">
        <v>21</v>
      </c>
      <c r="L5809" s="24" t="s">
        <v>21</v>
      </c>
      <c r="M5809" s="24" t="s">
        <v>21</v>
      </c>
      <c r="N5809" s="24" t="s">
        <v>21</v>
      </c>
      <c r="O5809" s="24" t="s">
        <v>21</v>
      </c>
      <c r="P5809" s="24" t="s">
        <v>21</v>
      </c>
      <c r="Q5809" s="24" t="s">
        <v>21</v>
      </c>
      <c r="R5809" s="24" t="s">
        <v>21</v>
      </c>
      <c r="S5809" s="24" t="s">
        <v>21</v>
      </c>
    </row>
    <row r="5810" spans="1:19" x14ac:dyDescent="0.2">
      <c r="A5810" s="12">
        <v>45986</v>
      </c>
      <c r="B5810" s="5" t="s">
        <v>3</v>
      </c>
      <c r="C5810" s="6">
        <v>0.28472222222222221</v>
      </c>
      <c r="D5810" s="5">
        <v>0</v>
      </c>
      <c r="E5810" s="5">
        <v>12</v>
      </c>
      <c r="F5810" s="5" t="s">
        <v>8</v>
      </c>
      <c r="G5810" s="15" t="s">
        <v>9</v>
      </c>
      <c r="H5810" s="24">
        <v>0</v>
      </c>
      <c r="I5810" s="24">
        <v>0</v>
      </c>
      <c r="J5810" s="24" t="s">
        <v>21</v>
      </c>
      <c r="K5810" s="24" t="s">
        <v>21</v>
      </c>
      <c r="L5810" s="24" t="s">
        <v>21</v>
      </c>
      <c r="M5810" s="24" t="s">
        <v>21</v>
      </c>
      <c r="N5810" s="24" t="s">
        <v>21</v>
      </c>
      <c r="O5810" s="24" t="s">
        <v>21</v>
      </c>
      <c r="P5810" s="24" t="s">
        <v>21</v>
      </c>
      <c r="Q5810" s="24" t="s">
        <v>21</v>
      </c>
      <c r="R5810" s="24" t="s">
        <v>21</v>
      </c>
      <c r="S5810" s="24" t="s">
        <v>21</v>
      </c>
    </row>
    <row r="5811" spans="1:19" x14ac:dyDescent="0.2">
      <c r="A5811" s="12">
        <v>45986</v>
      </c>
      <c r="B5811" s="5" t="s">
        <v>16</v>
      </c>
      <c r="C5811" s="6">
        <v>0.33750000000000002</v>
      </c>
      <c r="D5811" s="5">
        <v>0</v>
      </c>
      <c r="E5811" s="5">
        <v>6</v>
      </c>
      <c r="F5811" s="5" t="s">
        <v>8</v>
      </c>
      <c r="G5811" s="15" t="s">
        <v>9</v>
      </c>
      <c r="H5811" s="24">
        <v>76.000000006752089</v>
      </c>
      <c r="I5811" s="24" t="s">
        <v>21</v>
      </c>
      <c r="J5811" s="24" t="s">
        <v>21</v>
      </c>
      <c r="K5811" s="24" t="s">
        <v>21</v>
      </c>
      <c r="L5811" s="24">
        <v>992.00000000651926</v>
      </c>
      <c r="M5811" s="24" t="s">
        <v>21</v>
      </c>
      <c r="N5811" s="24" t="s">
        <v>21</v>
      </c>
      <c r="O5811" s="24" t="s">
        <v>21</v>
      </c>
      <c r="P5811" s="24" t="s">
        <v>21</v>
      </c>
      <c r="Q5811" s="24" t="s">
        <v>21</v>
      </c>
      <c r="R5811" s="24" t="s">
        <v>21</v>
      </c>
      <c r="S5811" s="24" t="s">
        <v>21</v>
      </c>
    </row>
    <row r="5812" spans="1:19" x14ac:dyDescent="0.2">
      <c r="A5812" s="12">
        <v>45986</v>
      </c>
      <c r="B5812" s="5" t="s">
        <v>16</v>
      </c>
      <c r="C5812" s="6">
        <v>0.33958333333333335</v>
      </c>
      <c r="D5812" s="5">
        <v>0</v>
      </c>
      <c r="E5812" s="5">
        <v>12</v>
      </c>
      <c r="F5812" s="5" t="s">
        <v>8</v>
      </c>
      <c r="G5812" s="15" t="s">
        <v>9</v>
      </c>
      <c r="H5812" s="24">
        <v>2.9999999993015081</v>
      </c>
      <c r="I5812" s="24" t="s">
        <v>21</v>
      </c>
      <c r="J5812" s="24" t="s">
        <v>21</v>
      </c>
      <c r="K5812" s="24" t="s">
        <v>21</v>
      </c>
      <c r="L5812" s="24">
        <v>2.9999999993015081</v>
      </c>
      <c r="M5812" s="24" t="s">
        <v>21</v>
      </c>
      <c r="N5812" s="24" t="s">
        <v>21</v>
      </c>
      <c r="O5812" s="24" t="s">
        <v>21</v>
      </c>
      <c r="P5812" s="24" t="s">
        <v>21</v>
      </c>
      <c r="Q5812" s="24" t="s">
        <v>21</v>
      </c>
      <c r="R5812" s="24" t="s">
        <v>21</v>
      </c>
      <c r="S5812" s="24" t="s">
        <v>21</v>
      </c>
    </row>
    <row r="5813" spans="1:19" x14ac:dyDescent="0.2">
      <c r="A5813" s="12">
        <v>45986</v>
      </c>
      <c r="B5813" s="5" t="s">
        <v>16</v>
      </c>
      <c r="C5813" s="6">
        <v>0.33958333333333335</v>
      </c>
      <c r="D5813" s="5">
        <v>0</v>
      </c>
      <c r="E5813" s="5">
        <v>16</v>
      </c>
      <c r="F5813" s="5" t="s">
        <v>8</v>
      </c>
      <c r="G5813" s="15" t="s">
        <v>9</v>
      </c>
      <c r="H5813" s="24">
        <v>0</v>
      </c>
      <c r="I5813" s="24" t="s">
        <v>21</v>
      </c>
      <c r="J5813" s="24" t="s">
        <v>21</v>
      </c>
      <c r="K5813" s="24" t="s">
        <v>21</v>
      </c>
      <c r="L5813" s="24">
        <v>0</v>
      </c>
      <c r="M5813" s="24" t="s">
        <v>21</v>
      </c>
      <c r="N5813" s="24" t="s">
        <v>21</v>
      </c>
      <c r="O5813" s="24" t="s">
        <v>21</v>
      </c>
      <c r="P5813" s="24" t="s">
        <v>21</v>
      </c>
      <c r="Q5813" s="24" t="s">
        <v>21</v>
      </c>
      <c r="R5813" s="24" t="s">
        <v>21</v>
      </c>
      <c r="S5813" s="24" t="s">
        <v>21</v>
      </c>
    </row>
    <row r="5814" spans="1:19" x14ac:dyDescent="0.2">
      <c r="A5814" s="12">
        <v>45986</v>
      </c>
      <c r="B5814" s="5" t="s">
        <v>16</v>
      </c>
      <c r="C5814" s="6">
        <v>0.34027777777777779</v>
      </c>
      <c r="D5814" s="5">
        <v>0</v>
      </c>
      <c r="E5814" s="5">
        <v>16</v>
      </c>
      <c r="F5814" s="5" t="s">
        <v>8</v>
      </c>
      <c r="G5814" s="15" t="s">
        <v>9</v>
      </c>
      <c r="H5814" s="24">
        <v>1.000000003259629</v>
      </c>
      <c r="I5814" s="24" t="s">
        <v>21</v>
      </c>
      <c r="J5814" s="24" t="s">
        <v>21</v>
      </c>
      <c r="K5814" s="24" t="s">
        <v>21</v>
      </c>
      <c r="L5814" s="24">
        <v>1.000000003259629</v>
      </c>
      <c r="M5814" s="24" t="s">
        <v>21</v>
      </c>
      <c r="N5814" s="24" t="s">
        <v>21</v>
      </c>
      <c r="O5814" s="24" t="s">
        <v>21</v>
      </c>
      <c r="P5814" s="24" t="s">
        <v>21</v>
      </c>
      <c r="Q5814" s="24" t="s">
        <v>21</v>
      </c>
      <c r="R5814" s="24" t="s">
        <v>21</v>
      </c>
      <c r="S5814" s="24" t="s">
        <v>21</v>
      </c>
    </row>
    <row r="5815" spans="1:19" x14ac:dyDescent="0.2">
      <c r="A5815" s="12">
        <v>45986</v>
      </c>
      <c r="B5815" s="5" t="s">
        <v>20</v>
      </c>
      <c r="C5815" s="6">
        <v>0.35972222222222222</v>
      </c>
      <c r="D5815" s="5">
        <v>9</v>
      </c>
      <c r="E5815" s="5">
        <v>0</v>
      </c>
      <c r="F5815" s="5" t="s">
        <v>8</v>
      </c>
      <c r="G5815" s="15" t="s">
        <v>9</v>
      </c>
      <c r="H5815" s="24">
        <v>27.999999996973202</v>
      </c>
      <c r="I5815" s="24" t="s">
        <v>21</v>
      </c>
      <c r="J5815" s="24" t="s">
        <v>21</v>
      </c>
      <c r="K5815" s="24" t="s">
        <v>21</v>
      </c>
      <c r="L5815" s="24" t="s">
        <v>21</v>
      </c>
      <c r="M5815" s="24" t="s">
        <v>21</v>
      </c>
      <c r="N5815" s="24" t="s">
        <v>21</v>
      </c>
      <c r="O5815" s="24">
        <v>958.00000000046566</v>
      </c>
      <c r="P5815" s="24" t="s">
        <v>21</v>
      </c>
      <c r="Q5815" s="24" t="s">
        <v>21</v>
      </c>
      <c r="R5815" s="24" t="s">
        <v>21</v>
      </c>
      <c r="S5815" s="24" t="s">
        <v>21</v>
      </c>
    </row>
    <row r="5816" spans="1:19" x14ac:dyDescent="0.2">
      <c r="A5816" s="12">
        <v>45986</v>
      </c>
      <c r="B5816" s="5" t="s">
        <v>20</v>
      </c>
      <c r="C5816" s="6">
        <v>0.35972222222222222</v>
      </c>
      <c r="D5816" s="5">
        <v>0</v>
      </c>
      <c r="E5816" s="5">
        <v>6</v>
      </c>
      <c r="F5816" s="5" t="s">
        <v>8</v>
      </c>
      <c r="G5816" s="15" t="s">
        <v>9</v>
      </c>
      <c r="H5816" s="24">
        <v>0</v>
      </c>
      <c r="I5816" s="24" t="s">
        <v>21</v>
      </c>
      <c r="J5816" s="24" t="s">
        <v>21</v>
      </c>
      <c r="K5816" s="24" t="s">
        <v>21</v>
      </c>
      <c r="L5816" s="24" t="s">
        <v>21</v>
      </c>
      <c r="M5816" s="24" t="s">
        <v>21</v>
      </c>
      <c r="N5816" s="24" t="s">
        <v>21</v>
      </c>
      <c r="O5816" s="24">
        <v>0</v>
      </c>
      <c r="P5816" s="24" t="s">
        <v>21</v>
      </c>
      <c r="Q5816" s="24" t="s">
        <v>21</v>
      </c>
      <c r="R5816" s="24" t="s">
        <v>21</v>
      </c>
      <c r="S5816" s="24" t="s">
        <v>21</v>
      </c>
    </row>
    <row r="5817" spans="1:19" x14ac:dyDescent="0.2">
      <c r="A5817" s="12">
        <v>45986</v>
      </c>
      <c r="B5817" s="5" t="s">
        <v>20</v>
      </c>
      <c r="C5817" s="6">
        <v>0.36041666666666666</v>
      </c>
      <c r="D5817" s="5">
        <v>0</v>
      </c>
      <c r="E5817" s="5">
        <v>0</v>
      </c>
      <c r="F5817" s="5" t="s">
        <v>8</v>
      </c>
      <c r="G5817" s="15" t="s">
        <v>9</v>
      </c>
      <c r="H5817" s="24">
        <v>1.000000003259629</v>
      </c>
      <c r="I5817" s="24" t="s">
        <v>21</v>
      </c>
      <c r="J5817" s="24" t="s">
        <v>21</v>
      </c>
      <c r="K5817" s="24" t="s">
        <v>21</v>
      </c>
      <c r="L5817" s="24" t="s">
        <v>21</v>
      </c>
      <c r="M5817" s="24" t="s">
        <v>21</v>
      </c>
      <c r="N5817" s="24" t="s">
        <v>21</v>
      </c>
      <c r="O5817" s="24">
        <v>1.000000003259629</v>
      </c>
      <c r="P5817" s="24" t="s">
        <v>21</v>
      </c>
      <c r="Q5817" s="24" t="s">
        <v>21</v>
      </c>
      <c r="R5817" s="24" t="s">
        <v>21</v>
      </c>
      <c r="S5817" s="24" t="s">
        <v>21</v>
      </c>
    </row>
    <row r="5818" spans="1:19" x14ac:dyDescent="0.2">
      <c r="A5818" s="12">
        <v>45986</v>
      </c>
      <c r="B5818" s="5" t="s">
        <v>20</v>
      </c>
      <c r="C5818" s="6">
        <v>0.3611111111111111</v>
      </c>
      <c r="D5818" s="5">
        <v>0</v>
      </c>
      <c r="E5818" s="5">
        <v>0</v>
      </c>
      <c r="F5818" s="5" t="s">
        <v>8</v>
      </c>
      <c r="G5818" s="15" t="s">
        <v>9</v>
      </c>
      <c r="H5818" s="24">
        <v>0.99999999278225005</v>
      </c>
      <c r="I5818" s="24" t="s">
        <v>21</v>
      </c>
      <c r="J5818" s="24" t="s">
        <v>21</v>
      </c>
      <c r="K5818" s="24" t="s">
        <v>21</v>
      </c>
      <c r="L5818" s="24" t="s">
        <v>21</v>
      </c>
      <c r="M5818" s="24" t="s">
        <v>21</v>
      </c>
      <c r="N5818" s="24" t="s">
        <v>21</v>
      </c>
      <c r="O5818" s="24">
        <v>0.99999999278225005</v>
      </c>
      <c r="P5818" s="24" t="s">
        <v>21</v>
      </c>
      <c r="Q5818" s="24" t="s">
        <v>21</v>
      </c>
      <c r="R5818" s="24" t="s">
        <v>21</v>
      </c>
      <c r="S5818" s="24" t="s">
        <v>21</v>
      </c>
    </row>
    <row r="5819" spans="1:19" x14ac:dyDescent="0.2">
      <c r="A5819" s="12">
        <v>45986</v>
      </c>
      <c r="B5819" s="5" t="s">
        <v>20</v>
      </c>
      <c r="C5819" s="6">
        <v>0.3611111111111111</v>
      </c>
      <c r="D5819" s="5">
        <v>0</v>
      </c>
      <c r="E5819" s="5">
        <v>11</v>
      </c>
      <c r="F5819" s="5" t="s">
        <v>8</v>
      </c>
      <c r="G5819" s="15" t="s">
        <v>9</v>
      </c>
      <c r="H5819" s="24">
        <v>0</v>
      </c>
      <c r="I5819" s="24" t="s">
        <v>21</v>
      </c>
      <c r="J5819" s="24" t="s">
        <v>21</v>
      </c>
      <c r="K5819" s="24" t="s">
        <v>21</v>
      </c>
      <c r="L5819" s="24" t="s">
        <v>21</v>
      </c>
      <c r="M5819" s="24" t="s">
        <v>21</v>
      </c>
      <c r="N5819" s="24" t="s">
        <v>21</v>
      </c>
      <c r="O5819" s="24">
        <v>0</v>
      </c>
      <c r="P5819" s="24" t="s">
        <v>21</v>
      </c>
      <c r="Q5819" s="24" t="s">
        <v>21</v>
      </c>
      <c r="R5819" s="24" t="s">
        <v>21</v>
      </c>
      <c r="S5819" s="24" t="s">
        <v>21</v>
      </c>
    </row>
    <row r="5820" spans="1:19" x14ac:dyDescent="0.2">
      <c r="A5820" s="12">
        <v>45986</v>
      </c>
      <c r="B5820" s="5" t="s">
        <v>20</v>
      </c>
      <c r="C5820" s="6">
        <v>0.3611111111111111</v>
      </c>
      <c r="D5820" s="5">
        <v>0</v>
      </c>
      <c r="E5820" s="5">
        <v>13</v>
      </c>
      <c r="F5820" s="5" t="s">
        <v>8</v>
      </c>
      <c r="G5820" s="15" t="s">
        <v>9</v>
      </c>
      <c r="H5820" s="24">
        <v>0</v>
      </c>
      <c r="I5820" s="24" t="s">
        <v>21</v>
      </c>
      <c r="J5820" s="24" t="s">
        <v>21</v>
      </c>
      <c r="K5820" s="24" t="s">
        <v>21</v>
      </c>
      <c r="L5820" s="24" t="s">
        <v>21</v>
      </c>
      <c r="M5820" s="24" t="s">
        <v>21</v>
      </c>
      <c r="N5820" s="24" t="s">
        <v>21</v>
      </c>
      <c r="O5820" s="24">
        <v>0</v>
      </c>
      <c r="P5820" s="24" t="s">
        <v>21</v>
      </c>
      <c r="Q5820" s="24" t="s">
        <v>21</v>
      </c>
      <c r="R5820" s="24" t="s">
        <v>21</v>
      </c>
      <c r="S5820" s="24" t="s">
        <v>21</v>
      </c>
    </row>
    <row r="5821" spans="1:19" x14ac:dyDescent="0.2">
      <c r="A5821" s="12">
        <v>45986</v>
      </c>
      <c r="B5821" s="5" t="s">
        <v>20</v>
      </c>
      <c r="C5821" s="6">
        <v>0.36180555555555555</v>
      </c>
      <c r="D5821" s="5">
        <v>0</v>
      </c>
      <c r="E5821" s="5">
        <v>13</v>
      </c>
      <c r="F5821" s="5" t="s">
        <v>8</v>
      </c>
      <c r="G5821" s="15" t="s">
        <v>9</v>
      </c>
      <c r="H5821" s="24">
        <v>1.000000003259629</v>
      </c>
      <c r="I5821" s="24" t="s">
        <v>21</v>
      </c>
      <c r="J5821" s="24" t="s">
        <v>21</v>
      </c>
      <c r="K5821" s="24" t="s">
        <v>21</v>
      </c>
      <c r="L5821" s="24" t="s">
        <v>21</v>
      </c>
      <c r="M5821" s="24" t="s">
        <v>21</v>
      </c>
      <c r="N5821" s="24" t="s">
        <v>21</v>
      </c>
      <c r="O5821" s="24">
        <v>1.000000003259629</v>
      </c>
      <c r="P5821" s="24" t="s">
        <v>21</v>
      </c>
      <c r="Q5821" s="24" t="s">
        <v>21</v>
      </c>
      <c r="R5821" s="24" t="s">
        <v>21</v>
      </c>
      <c r="S5821" s="24" t="s">
        <v>21</v>
      </c>
    </row>
    <row r="5822" spans="1:19" x14ac:dyDescent="0.2">
      <c r="A5822" s="12">
        <v>45986</v>
      </c>
      <c r="B5822" s="5" t="s">
        <v>20</v>
      </c>
      <c r="C5822" s="6">
        <v>0.36319444444444443</v>
      </c>
      <c r="D5822" s="5">
        <v>0</v>
      </c>
      <c r="E5822" s="5">
        <v>17</v>
      </c>
      <c r="F5822" s="5" t="s">
        <v>8</v>
      </c>
      <c r="G5822" s="15" t="s">
        <v>9</v>
      </c>
      <c r="H5822" s="24">
        <v>1.9999999960418791</v>
      </c>
      <c r="I5822" s="24" t="s">
        <v>21</v>
      </c>
      <c r="J5822" s="24" t="s">
        <v>21</v>
      </c>
      <c r="K5822" s="24" t="s">
        <v>21</v>
      </c>
      <c r="L5822" s="24" t="s">
        <v>21</v>
      </c>
      <c r="M5822" s="24" t="s">
        <v>21</v>
      </c>
      <c r="N5822" s="24" t="s">
        <v>21</v>
      </c>
      <c r="O5822" s="24">
        <v>1.9999999960418791</v>
      </c>
      <c r="P5822" s="24" t="s">
        <v>21</v>
      </c>
      <c r="Q5822" s="24" t="s">
        <v>21</v>
      </c>
      <c r="R5822" s="24" t="s">
        <v>21</v>
      </c>
      <c r="S5822" s="24" t="s">
        <v>21</v>
      </c>
    </row>
    <row r="5823" spans="1:19" x14ac:dyDescent="0.2">
      <c r="A5823" s="12">
        <v>45986</v>
      </c>
      <c r="B5823" s="5" t="s">
        <v>20</v>
      </c>
      <c r="C5823" s="6">
        <v>0.36319444444444443</v>
      </c>
      <c r="D5823" s="5">
        <v>0</v>
      </c>
      <c r="E5823" s="5">
        <v>5</v>
      </c>
      <c r="F5823" s="5" t="s">
        <v>8</v>
      </c>
      <c r="G5823" s="15" t="s">
        <v>9</v>
      </c>
      <c r="H5823" s="24">
        <v>0</v>
      </c>
      <c r="I5823" s="24" t="s">
        <v>21</v>
      </c>
      <c r="J5823" s="24" t="s">
        <v>21</v>
      </c>
      <c r="K5823" s="24" t="s">
        <v>21</v>
      </c>
      <c r="L5823" s="24" t="s">
        <v>21</v>
      </c>
      <c r="M5823" s="24" t="s">
        <v>21</v>
      </c>
      <c r="N5823" s="24" t="s">
        <v>21</v>
      </c>
      <c r="O5823" s="24">
        <v>0</v>
      </c>
      <c r="P5823" s="24" t="s">
        <v>21</v>
      </c>
      <c r="Q5823" s="24" t="s">
        <v>21</v>
      </c>
      <c r="R5823" s="24" t="s">
        <v>21</v>
      </c>
      <c r="S5823" s="24" t="s">
        <v>21</v>
      </c>
    </row>
    <row r="5824" spans="1:19" x14ac:dyDescent="0.2">
      <c r="A5824" s="12">
        <v>45986</v>
      </c>
      <c r="B5824" s="5" t="s">
        <v>20</v>
      </c>
      <c r="C5824" s="6">
        <v>0.36388888888888887</v>
      </c>
      <c r="D5824" s="5">
        <v>0</v>
      </c>
      <c r="E5824" s="5">
        <v>14</v>
      </c>
      <c r="F5824" s="5" t="s">
        <v>8</v>
      </c>
      <c r="G5824" s="15" t="s">
        <v>9</v>
      </c>
      <c r="H5824" s="24">
        <v>1.000000003259629</v>
      </c>
      <c r="I5824" s="24" t="s">
        <v>21</v>
      </c>
      <c r="J5824" s="24" t="s">
        <v>21</v>
      </c>
      <c r="K5824" s="24" t="s">
        <v>21</v>
      </c>
      <c r="L5824" s="24" t="s">
        <v>21</v>
      </c>
      <c r="M5824" s="24" t="s">
        <v>21</v>
      </c>
      <c r="N5824" s="24" t="s">
        <v>21</v>
      </c>
      <c r="O5824" s="24">
        <v>1.000000003259629</v>
      </c>
      <c r="P5824" s="24" t="s">
        <v>21</v>
      </c>
      <c r="Q5824" s="24" t="s">
        <v>21</v>
      </c>
      <c r="R5824" s="24" t="s">
        <v>21</v>
      </c>
      <c r="S5824" s="24" t="s">
        <v>21</v>
      </c>
    </row>
    <row r="5825" spans="1:19" x14ac:dyDescent="0.2">
      <c r="A5825" s="12">
        <v>45986</v>
      </c>
      <c r="B5825" s="5" t="s">
        <v>20</v>
      </c>
      <c r="C5825" s="6">
        <v>0.36388888888888887</v>
      </c>
      <c r="D5825" s="5">
        <v>0</v>
      </c>
      <c r="E5825" s="5">
        <v>15</v>
      </c>
      <c r="F5825" s="5" t="s">
        <v>8</v>
      </c>
      <c r="G5825" s="15" t="s">
        <v>9</v>
      </c>
      <c r="H5825" s="24">
        <v>0</v>
      </c>
      <c r="I5825" s="24" t="s">
        <v>21</v>
      </c>
      <c r="J5825" s="24" t="s">
        <v>21</v>
      </c>
      <c r="K5825" s="24" t="s">
        <v>21</v>
      </c>
      <c r="L5825" s="24" t="s">
        <v>21</v>
      </c>
      <c r="M5825" s="24" t="s">
        <v>21</v>
      </c>
      <c r="N5825" s="24" t="s">
        <v>21</v>
      </c>
      <c r="O5825" s="24">
        <v>0</v>
      </c>
      <c r="P5825" s="24" t="s">
        <v>21</v>
      </c>
      <c r="Q5825" s="24" t="s">
        <v>21</v>
      </c>
      <c r="R5825" s="24" t="s">
        <v>21</v>
      </c>
      <c r="S5825" s="24" t="s">
        <v>21</v>
      </c>
    </row>
    <row r="5826" spans="1:19" x14ac:dyDescent="0.2">
      <c r="A5826" s="12">
        <v>45986</v>
      </c>
      <c r="B5826" s="5" t="s">
        <v>20</v>
      </c>
      <c r="C5826" s="6">
        <v>0.36458333333333331</v>
      </c>
      <c r="D5826" s="5">
        <v>0</v>
      </c>
      <c r="E5826" s="5">
        <v>12</v>
      </c>
      <c r="F5826" s="5" t="s">
        <v>8</v>
      </c>
      <c r="G5826" s="15" t="s">
        <v>9</v>
      </c>
      <c r="H5826" s="24">
        <v>1.000000003259629</v>
      </c>
      <c r="I5826" s="24" t="s">
        <v>21</v>
      </c>
      <c r="J5826" s="24" t="s">
        <v>21</v>
      </c>
      <c r="K5826" s="24" t="s">
        <v>21</v>
      </c>
      <c r="L5826" s="24" t="s">
        <v>21</v>
      </c>
      <c r="M5826" s="24" t="s">
        <v>21</v>
      </c>
      <c r="N5826" s="24" t="s">
        <v>21</v>
      </c>
      <c r="O5826" s="24">
        <v>1.000000003259629</v>
      </c>
      <c r="P5826" s="24" t="s">
        <v>21</v>
      </c>
      <c r="Q5826" s="24" t="s">
        <v>21</v>
      </c>
      <c r="R5826" s="24" t="s">
        <v>21</v>
      </c>
      <c r="S5826" s="24" t="s">
        <v>21</v>
      </c>
    </row>
    <row r="5827" spans="1:19" x14ac:dyDescent="0.2">
      <c r="A5827" s="12">
        <v>45986</v>
      </c>
      <c r="B5827" s="5" t="s">
        <v>20</v>
      </c>
      <c r="C5827" s="6">
        <v>0.3659722222222222</v>
      </c>
      <c r="D5827" s="5">
        <v>0</v>
      </c>
      <c r="E5827" s="5">
        <v>0</v>
      </c>
      <c r="F5827" s="5" t="s">
        <v>8</v>
      </c>
      <c r="G5827" s="15" t="s">
        <v>9</v>
      </c>
      <c r="H5827" s="24">
        <v>1.9999999960418791</v>
      </c>
      <c r="I5827" s="24" t="s">
        <v>21</v>
      </c>
      <c r="J5827" s="24" t="s">
        <v>21</v>
      </c>
      <c r="K5827" s="24" t="s">
        <v>21</v>
      </c>
      <c r="L5827" s="24" t="s">
        <v>21</v>
      </c>
      <c r="M5827" s="24" t="s">
        <v>21</v>
      </c>
      <c r="N5827" s="24" t="s">
        <v>21</v>
      </c>
      <c r="O5827" s="24">
        <v>1.9999999960418791</v>
      </c>
      <c r="P5827" s="24" t="s">
        <v>21</v>
      </c>
      <c r="Q5827" s="24" t="s">
        <v>21</v>
      </c>
      <c r="R5827" s="24" t="s">
        <v>21</v>
      </c>
      <c r="S5827" s="24" t="s">
        <v>21</v>
      </c>
    </row>
    <row r="5828" spans="1:19" x14ac:dyDescent="0.2">
      <c r="A5828" s="12">
        <v>45986</v>
      </c>
      <c r="B5828" s="5" t="s">
        <v>20</v>
      </c>
      <c r="C5828" s="6">
        <v>0.3659722222222222</v>
      </c>
      <c r="D5828" s="5">
        <v>0</v>
      </c>
      <c r="E5828" s="5">
        <v>0</v>
      </c>
      <c r="F5828" s="5" t="s">
        <v>8</v>
      </c>
      <c r="G5828" s="15" t="s">
        <v>9</v>
      </c>
      <c r="H5828" s="24">
        <v>0</v>
      </c>
      <c r="I5828" s="24" t="s">
        <v>21</v>
      </c>
      <c r="J5828" s="24" t="s">
        <v>21</v>
      </c>
      <c r="K5828" s="24" t="s">
        <v>21</v>
      </c>
      <c r="L5828" s="24" t="s">
        <v>21</v>
      </c>
      <c r="M5828" s="24" t="s">
        <v>21</v>
      </c>
      <c r="N5828" s="24" t="s">
        <v>21</v>
      </c>
      <c r="O5828" s="24">
        <v>0</v>
      </c>
      <c r="P5828" s="24" t="s">
        <v>21</v>
      </c>
      <c r="Q5828" s="24" t="s">
        <v>21</v>
      </c>
      <c r="R5828" s="24" t="s">
        <v>21</v>
      </c>
      <c r="S5828" s="24" t="s">
        <v>21</v>
      </c>
    </row>
    <row r="5829" spans="1:19" x14ac:dyDescent="0.2">
      <c r="A5829" s="12">
        <v>45986</v>
      </c>
      <c r="B5829" s="5" t="s">
        <v>16</v>
      </c>
      <c r="C5829" s="6">
        <v>0.42569444444444443</v>
      </c>
      <c r="D5829" s="5">
        <v>0</v>
      </c>
      <c r="E5829" s="5">
        <v>8</v>
      </c>
      <c r="F5829" s="5" t="s">
        <v>8</v>
      </c>
      <c r="G5829" s="15" t="s">
        <v>9</v>
      </c>
      <c r="H5829" s="24">
        <v>85.999999997438863</v>
      </c>
      <c r="I5829" s="24" t="s">
        <v>21</v>
      </c>
      <c r="J5829" s="24" t="s">
        <v>21</v>
      </c>
      <c r="K5829" s="24" t="s">
        <v>21</v>
      </c>
      <c r="L5829" s="24">
        <v>122.99999999231659</v>
      </c>
      <c r="M5829" s="24" t="s">
        <v>21</v>
      </c>
      <c r="N5829" s="24" t="s">
        <v>21</v>
      </c>
      <c r="O5829" s="24" t="s">
        <v>21</v>
      </c>
      <c r="P5829" s="24" t="s">
        <v>21</v>
      </c>
      <c r="Q5829" s="24" t="s">
        <v>21</v>
      </c>
      <c r="R5829" s="24" t="s">
        <v>21</v>
      </c>
      <c r="S5829" s="24" t="s">
        <v>21</v>
      </c>
    </row>
    <row r="5830" spans="1:19" x14ac:dyDescent="0.2">
      <c r="A5830" s="12">
        <v>45986</v>
      </c>
      <c r="B5830" s="5" t="s">
        <v>16</v>
      </c>
      <c r="C5830" s="6">
        <v>0.42569444444444443</v>
      </c>
      <c r="D5830" s="5">
        <v>0</v>
      </c>
      <c r="E5830" s="5">
        <v>12</v>
      </c>
      <c r="F5830" s="5" t="s">
        <v>8</v>
      </c>
      <c r="G5830" s="15" t="s">
        <v>9</v>
      </c>
      <c r="H5830" s="24">
        <v>0</v>
      </c>
      <c r="I5830" s="24" t="s">
        <v>21</v>
      </c>
      <c r="J5830" s="24" t="s">
        <v>21</v>
      </c>
      <c r="K5830" s="24" t="s">
        <v>21</v>
      </c>
      <c r="L5830" s="24">
        <v>0</v>
      </c>
      <c r="M5830" s="24" t="s">
        <v>21</v>
      </c>
      <c r="N5830" s="24" t="s">
        <v>21</v>
      </c>
      <c r="O5830" s="24" t="s">
        <v>21</v>
      </c>
      <c r="P5830" s="24" t="s">
        <v>21</v>
      </c>
      <c r="Q5830" s="24" t="s">
        <v>21</v>
      </c>
      <c r="R5830" s="24" t="s">
        <v>21</v>
      </c>
      <c r="S5830" s="24" t="s">
        <v>21</v>
      </c>
    </row>
    <row r="5831" spans="1:19" x14ac:dyDescent="0.2">
      <c r="A5831" s="12">
        <v>45986</v>
      </c>
      <c r="B5831" s="5" t="s">
        <v>16</v>
      </c>
      <c r="C5831" s="6">
        <v>0.42638888888888887</v>
      </c>
      <c r="D5831" s="5">
        <v>0</v>
      </c>
      <c r="E5831" s="5">
        <v>11</v>
      </c>
      <c r="F5831" s="5" t="s">
        <v>8</v>
      </c>
      <c r="G5831" s="15" t="s">
        <v>9</v>
      </c>
      <c r="H5831" s="24">
        <v>1.000000003259629</v>
      </c>
      <c r="I5831" s="24" t="s">
        <v>21</v>
      </c>
      <c r="J5831" s="24" t="s">
        <v>21</v>
      </c>
      <c r="K5831" s="24" t="s">
        <v>21</v>
      </c>
      <c r="L5831" s="24">
        <v>1.000000003259629</v>
      </c>
      <c r="M5831" s="24" t="s">
        <v>21</v>
      </c>
      <c r="N5831" s="24" t="s">
        <v>21</v>
      </c>
      <c r="O5831" s="24" t="s">
        <v>21</v>
      </c>
      <c r="P5831" s="24" t="s">
        <v>21</v>
      </c>
      <c r="Q5831" s="24" t="s">
        <v>21</v>
      </c>
      <c r="R5831" s="24" t="s">
        <v>21</v>
      </c>
      <c r="S5831" s="24" t="s">
        <v>21</v>
      </c>
    </row>
    <row r="5832" spans="1:19" x14ac:dyDescent="0.2">
      <c r="A5832" s="12">
        <v>45986</v>
      </c>
      <c r="B5832" s="5" t="s">
        <v>16</v>
      </c>
      <c r="C5832" s="6">
        <v>0.43263888888888891</v>
      </c>
      <c r="D5832" s="5">
        <v>0</v>
      </c>
      <c r="E5832" s="5">
        <v>15</v>
      </c>
      <c r="F5832" s="5" t="s">
        <v>8</v>
      </c>
      <c r="G5832" s="15" t="s">
        <v>9</v>
      </c>
      <c r="H5832" s="24">
        <v>8.9999999979045242</v>
      </c>
      <c r="I5832" s="24" t="s">
        <v>21</v>
      </c>
      <c r="J5832" s="24" t="s">
        <v>21</v>
      </c>
      <c r="K5832" s="24" t="s">
        <v>21</v>
      </c>
      <c r="L5832" s="24">
        <v>8.9999999979045242</v>
      </c>
      <c r="M5832" s="24" t="s">
        <v>21</v>
      </c>
      <c r="N5832" s="24" t="s">
        <v>21</v>
      </c>
      <c r="O5832" s="24" t="s">
        <v>21</v>
      </c>
      <c r="P5832" s="24" t="s">
        <v>21</v>
      </c>
      <c r="Q5832" s="24" t="s">
        <v>21</v>
      </c>
      <c r="R5832" s="24" t="s">
        <v>21</v>
      </c>
      <c r="S5832" s="24" t="s">
        <v>21</v>
      </c>
    </row>
    <row r="5833" spans="1:19" x14ac:dyDescent="0.2">
      <c r="A5833" s="12">
        <v>45986</v>
      </c>
      <c r="B5833" s="5" t="s">
        <v>16</v>
      </c>
      <c r="C5833" s="6">
        <v>0.43333333333333335</v>
      </c>
      <c r="D5833" s="5">
        <v>0</v>
      </c>
      <c r="E5833" s="5">
        <v>12</v>
      </c>
      <c r="F5833" s="5" t="s">
        <v>8</v>
      </c>
      <c r="G5833" s="15" t="s">
        <v>9</v>
      </c>
      <c r="H5833" s="24">
        <v>1.000000003259629</v>
      </c>
      <c r="I5833" s="24" t="s">
        <v>21</v>
      </c>
      <c r="J5833" s="24" t="s">
        <v>21</v>
      </c>
      <c r="K5833" s="24" t="s">
        <v>21</v>
      </c>
      <c r="L5833" s="24">
        <v>1.000000003259629</v>
      </c>
      <c r="M5833" s="24" t="s">
        <v>21</v>
      </c>
      <c r="N5833" s="24" t="s">
        <v>21</v>
      </c>
      <c r="O5833" s="24" t="s">
        <v>21</v>
      </c>
      <c r="P5833" s="24" t="s">
        <v>21</v>
      </c>
      <c r="Q5833" s="24" t="s">
        <v>21</v>
      </c>
      <c r="R5833" s="24" t="s">
        <v>21</v>
      </c>
      <c r="S5833" s="24" t="s">
        <v>21</v>
      </c>
    </row>
    <row r="5834" spans="1:19" x14ac:dyDescent="0.2">
      <c r="A5834" s="12">
        <v>45986</v>
      </c>
      <c r="B5834" s="5" t="s">
        <v>16</v>
      </c>
      <c r="C5834" s="6">
        <v>0.43402777777777779</v>
      </c>
      <c r="D5834" s="5">
        <v>0</v>
      </c>
      <c r="E5834" s="5">
        <v>2</v>
      </c>
      <c r="F5834" s="5" t="s">
        <v>8</v>
      </c>
      <c r="G5834" s="15" t="s">
        <v>9</v>
      </c>
      <c r="H5834" s="24">
        <v>1.000000003259629</v>
      </c>
      <c r="I5834" s="24" t="s">
        <v>21</v>
      </c>
      <c r="J5834" s="24" t="s">
        <v>21</v>
      </c>
      <c r="K5834" s="24" t="s">
        <v>21</v>
      </c>
      <c r="L5834" s="24">
        <v>1.000000003259629</v>
      </c>
      <c r="M5834" s="24" t="s">
        <v>21</v>
      </c>
      <c r="N5834" s="24" t="s">
        <v>21</v>
      </c>
      <c r="O5834" s="24" t="s">
        <v>21</v>
      </c>
      <c r="P5834" s="24" t="s">
        <v>21</v>
      </c>
      <c r="Q5834" s="24" t="s">
        <v>21</v>
      </c>
      <c r="R5834" s="24" t="s">
        <v>21</v>
      </c>
      <c r="S5834" s="24" t="s">
        <v>21</v>
      </c>
    </row>
    <row r="5835" spans="1:19" x14ac:dyDescent="0.2">
      <c r="A5835" s="12">
        <v>45986</v>
      </c>
      <c r="B5835" s="5" t="s">
        <v>20</v>
      </c>
      <c r="C5835" s="6">
        <v>0.46666666666666667</v>
      </c>
      <c r="D5835" s="5">
        <v>0</v>
      </c>
      <c r="E5835" s="5">
        <v>2</v>
      </c>
      <c r="F5835" s="5" t="s">
        <v>8</v>
      </c>
      <c r="G5835" s="15" t="s">
        <v>9</v>
      </c>
      <c r="H5835" s="24">
        <v>46.999999996041879</v>
      </c>
      <c r="I5835" s="24" t="s">
        <v>21</v>
      </c>
      <c r="J5835" s="24" t="s">
        <v>21</v>
      </c>
      <c r="K5835" s="24" t="s">
        <v>21</v>
      </c>
      <c r="L5835" s="24" t="s">
        <v>21</v>
      </c>
      <c r="M5835" s="24" t="s">
        <v>21</v>
      </c>
      <c r="N5835" s="24" t="s">
        <v>21</v>
      </c>
      <c r="O5835" s="24">
        <v>145.00000000116415</v>
      </c>
      <c r="P5835" s="24" t="s">
        <v>21</v>
      </c>
      <c r="Q5835" s="24" t="s">
        <v>21</v>
      </c>
      <c r="R5835" s="24" t="s">
        <v>21</v>
      </c>
      <c r="S5835" s="24" t="s">
        <v>21</v>
      </c>
    </row>
    <row r="5836" spans="1:19" x14ac:dyDescent="0.2">
      <c r="A5836" s="12">
        <v>45986</v>
      </c>
      <c r="B5836" s="5" t="s">
        <v>20</v>
      </c>
      <c r="C5836" s="6">
        <v>0.46736111111111112</v>
      </c>
      <c r="D5836" s="5">
        <v>0</v>
      </c>
      <c r="E5836" s="5">
        <v>12</v>
      </c>
      <c r="F5836" s="5" t="s">
        <v>8</v>
      </c>
      <c r="G5836" s="15" t="s">
        <v>9</v>
      </c>
      <c r="H5836" s="24">
        <v>1.000000003259629</v>
      </c>
      <c r="I5836" s="24" t="s">
        <v>21</v>
      </c>
      <c r="J5836" s="24" t="s">
        <v>21</v>
      </c>
      <c r="K5836" s="24" t="s">
        <v>21</v>
      </c>
      <c r="L5836" s="24" t="s">
        <v>21</v>
      </c>
      <c r="M5836" s="24" t="s">
        <v>21</v>
      </c>
      <c r="N5836" s="24" t="s">
        <v>21</v>
      </c>
      <c r="O5836" s="24">
        <v>1.000000003259629</v>
      </c>
      <c r="P5836" s="24" t="s">
        <v>21</v>
      </c>
      <c r="Q5836" s="24" t="s">
        <v>21</v>
      </c>
      <c r="R5836" s="24" t="s">
        <v>21</v>
      </c>
      <c r="S5836" s="24" t="s">
        <v>21</v>
      </c>
    </row>
    <row r="5837" spans="1:19" x14ac:dyDescent="0.2">
      <c r="A5837" s="12">
        <v>45986</v>
      </c>
      <c r="B5837" s="5" t="s">
        <v>20</v>
      </c>
      <c r="C5837" s="6">
        <v>0.46736111111111112</v>
      </c>
      <c r="D5837" s="5">
        <v>0</v>
      </c>
      <c r="E5837" s="5">
        <v>15</v>
      </c>
      <c r="F5837" s="5" t="s">
        <v>8</v>
      </c>
      <c r="G5837" s="15" t="s">
        <v>9</v>
      </c>
      <c r="H5837" s="24">
        <v>0</v>
      </c>
      <c r="I5837" s="24" t="s">
        <v>21</v>
      </c>
      <c r="J5837" s="24" t="s">
        <v>21</v>
      </c>
      <c r="K5837" s="24" t="s">
        <v>21</v>
      </c>
      <c r="L5837" s="24" t="s">
        <v>21</v>
      </c>
      <c r="M5837" s="24" t="s">
        <v>21</v>
      </c>
      <c r="N5837" s="24" t="s">
        <v>21</v>
      </c>
      <c r="O5837" s="24">
        <v>0</v>
      </c>
      <c r="P5837" s="24" t="s">
        <v>21</v>
      </c>
      <c r="Q5837" s="24" t="s">
        <v>21</v>
      </c>
      <c r="R5837" s="24" t="s">
        <v>21</v>
      </c>
      <c r="S5837" s="24" t="s">
        <v>21</v>
      </c>
    </row>
    <row r="5838" spans="1:19" x14ac:dyDescent="0.2">
      <c r="A5838" s="12">
        <v>45986</v>
      </c>
      <c r="B5838" s="5" t="s">
        <v>20</v>
      </c>
      <c r="C5838" s="6">
        <v>0.46805555555555556</v>
      </c>
      <c r="D5838" s="5">
        <v>0</v>
      </c>
      <c r="E5838" s="5">
        <v>13</v>
      </c>
      <c r="F5838" s="5" t="s">
        <v>8</v>
      </c>
      <c r="G5838" s="15" t="s">
        <v>9</v>
      </c>
      <c r="H5838" s="24">
        <v>0.99999999278225005</v>
      </c>
      <c r="I5838" s="24" t="s">
        <v>21</v>
      </c>
      <c r="J5838" s="24" t="s">
        <v>21</v>
      </c>
      <c r="K5838" s="24" t="s">
        <v>21</v>
      </c>
      <c r="L5838" s="24" t="s">
        <v>21</v>
      </c>
      <c r="M5838" s="24" t="s">
        <v>21</v>
      </c>
      <c r="N5838" s="24" t="s">
        <v>21</v>
      </c>
      <c r="O5838" s="24">
        <v>0.99999999278225005</v>
      </c>
      <c r="P5838" s="24" t="s">
        <v>21</v>
      </c>
      <c r="Q5838" s="24" t="s">
        <v>21</v>
      </c>
      <c r="R5838" s="24" t="s">
        <v>21</v>
      </c>
      <c r="S5838" s="24" t="s">
        <v>21</v>
      </c>
    </row>
    <row r="5839" spans="1:19" x14ac:dyDescent="0.2">
      <c r="A5839" s="12">
        <v>45986</v>
      </c>
      <c r="B5839" s="5" t="s">
        <v>20</v>
      </c>
      <c r="C5839" s="6">
        <v>0.46805555555555556</v>
      </c>
      <c r="D5839" s="5">
        <v>0</v>
      </c>
      <c r="E5839" s="5">
        <v>21</v>
      </c>
      <c r="F5839" s="5" t="s">
        <v>8</v>
      </c>
      <c r="G5839" s="15" t="s">
        <v>9</v>
      </c>
      <c r="H5839" s="24">
        <v>0</v>
      </c>
      <c r="I5839" s="24" t="s">
        <v>21</v>
      </c>
      <c r="J5839" s="24" t="s">
        <v>21</v>
      </c>
      <c r="K5839" s="24" t="s">
        <v>21</v>
      </c>
      <c r="L5839" s="24" t="s">
        <v>21</v>
      </c>
      <c r="M5839" s="24" t="s">
        <v>21</v>
      </c>
      <c r="N5839" s="24" t="s">
        <v>21</v>
      </c>
      <c r="O5839" s="24">
        <v>0</v>
      </c>
      <c r="P5839" s="24" t="s">
        <v>21</v>
      </c>
      <c r="Q5839" s="24" t="s">
        <v>21</v>
      </c>
      <c r="R5839" s="24" t="s">
        <v>21</v>
      </c>
      <c r="S5839" s="24" t="s">
        <v>21</v>
      </c>
    </row>
    <row r="5840" spans="1:19" x14ac:dyDescent="0.2">
      <c r="A5840" s="12">
        <v>45986</v>
      </c>
      <c r="B5840" s="5" t="s">
        <v>20</v>
      </c>
      <c r="C5840" s="6">
        <v>0.46875</v>
      </c>
      <c r="D5840" s="5">
        <v>0</v>
      </c>
      <c r="E5840" s="5">
        <v>13</v>
      </c>
      <c r="F5840" s="5" t="s">
        <v>8</v>
      </c>
      <c r="G5840" s="15" t="s">
        <v>9</v>
      </c>
      <c r="H5840" s="24">
        <v>1.000000003259629</v>
      </c>
      <c r="I5840" s="24" t="s">
        <v>21</v>
      </c>
      <c r="J5840" s="24" t="s">
        <v>21</v>
      </c>
      <c r="K5840" s="24" t="s">
        <v>21</v>
      </c>
      <c r="L5840" s="24" t="s">
        <v>21</v>
      </c>
      <c r="M5840" s="24" t="s">
        <v>21</v>
      </c>
      <c r="N5840" s="24" t="s">
        <v>21</v>
      </c>
      <c r="O5840" s="24">
        <v>1.000000003259629</v>
      </c>
      <c r="P5840" s="24" t="s">
        <v>21</v>
      </c>
      <c r="Q5840" s="24" t="s">
        <v>21</v>
      </c>
      <c r="R5840" s="24" t="s">
        <v>21</v>
      </c>
      <c r="S5840" s="24" t="s">
        <v>21</v>
      </c>
    </row>
    <row r="5841" spans="1:19" x14ac:dyDescent="0.2">
      <c r="A5841" s="12">
        <v>45986</v>
      </c>
      <c r="B5841" s="5" t="s">
        <v>20</v>
      </c>
      <c r="C5841" s="6">
        <v>0.46875</v>
      </c>
      <c r="D5841" s="5">
        <v>0</v>
      </c>
      <c r="E5841" s="5">
        <v>18</v>
      </c>
      <c r="F5841" s="5" t="s">
        <v>8</v>
      </c>
      <c r="G5841" s="15" t="s">
        <v>9</v>
      </c>
      <c r="H5841" s="24">
        <v>0</v>
      </c>
      <c r="I5841" s="24" t="s">
        <v>21</v>
      </c>
      <c r="J5841" s="24" t="s">
        <v>21</v>
      </c>
      <c r="K5841" s="24" t="s">
        <v>21</v>
      </c>
      <c r="L5841" s="24" t="s">
        <v>21</v>
      </c>
      <c r="M5841" s="24" t="s">
        <v>21</v>
      </c>
      <c r="N5841" s="24" t="s">
        <v>21</v>
      </c>
      <c r="O5841" s="24">
        <v>0</v>
      </c>
      <c r="P5841" s="24" t="s">
        <v>21</v>
      </c>
      <c r="Q5841" s="24" t="s">
        <v>21</v>
      </c>
      <c r="R5841" s="24" t="s">
        <v>21</v>
      </c>
      <c r="S5841" s="24" t="s">
        <v>21</v>
      </c>
    </row>
    <row r="5842" spans="1:19" x14ac:dyDescent="0.2">
      <c r="A5842" s="12">
        <v>45986</v>
      </c>
      <c r="B5842" s="5" t="s">
        <v>20</v>
      </c>
      <c r="C5842" s="6">
        <v>0.46944444444444444</v>
      </c>
      <c r="D5842" s="5">
        <v>0</v>
      </c>
      <c r="E5842" s="5">
        <v>24</v>
      </c>
      <c r="F5842" s="5" t="s">
        <v>8</v>
      </c>
      <c r="G5842" s="15" t="s">
        <v>9</v>
      </c>
      <c r="H5842" s="24">
        <v>1.000000003259629</v>
      </c>
      <c r="I5842" s="24" t="s">
        <v>21</v>
      </c>
      <c r="J5842" s="24" t="s">
        <v>21</v>
      </c>
      <c r="K5842" s="24" t="s">
        <v>21</v>
      </c>
      <c r="L5842" s="24" t="s">
        <v>21</v>
      </c>
      <c r="M5842" s="24" t="s">
        <v>21</v>
      </c>
      <c r="N5842" s="24" t="s">
        <v>21</v>
      </c>
      <c r="O5842" s="24">
        <v>1.000000003259629</v>
      </c>
      <c r="P5842" s="24" t="s">
        <v>21</v>
      </c>
      <c r="Q5842" s="24" t="s">
        <v>21</v>
      </c>
      <c r="R5842" s="24" t="s">
        <v>21</v>
      </c>
      <c r="S5842" s="24" t="s">
        <v>21</v>
      </c>
    </row>
    <row r="5843" spans="1:19" x14ac:dyDescent="0.2">
      <c r="A5843" s="12">
        <v>45986</v>
      </c>
      <c r="B5843" s="5" t="s">
        <v>20</v>
      </c>
      <c r="C5843" s="6">
        <v>0.46944444444444444</v>
      </c>
      <c r="D5843" s="5">
        <v>0</v>
      </c>
      <c r="E5843" s="5">
        <v>9</v>
      </c>
      <c r="F5843" s="5" t="s">
        <v>8</v>
      </c>
      <c r="G5843" s="15" t="s">
        <v>9</v>
      </c>
      <c r="H5843" s="24">
        <v>0</v>
      </c>
      <c r="I5843" s="24" t="s">
        <v>21</v>
      </c>
      <c r="J5843" s="24" t="s">
        <v>21</v>
      </c>
      <c r="K5843" s="24" t="s">
        <v>21</v>
      </c>
      <c r="L5843" s="24" t="s">
        <v>21</v>
      </c>
      <c r="M5843" s="24" t="s">
        <v>21</v>
      </c>
      <c r="N5843" s="24" t="s">
        <v>21</v>
      </c>
      <c r="O5843" s="24">
        <v>0</v>
      </c>
      <c r="P5843" s="24" t="s">
        <v>21</v>
      </c>
      <c r="Q5843" s="24" t="s">
        <v>21</v>
      </c>
      <c r="R5843" s="24" t="s">
        <v>21</v>
      </c>
      <c r="S5843" s="24" t="s">
        <v>21</v>
      </c>
    </row>
    <row r="5844" spans="1:19" x14ac:dyDescent="0.2">
      <c r="A5844" s="12">
        <v>45986</v>
      </c>
      <c r="B5844" s="5" t="s">
        <v>20</v>
      </c>
      <c r="C5844" s="6">
        <v>0.47013888888888888</v>
      </c>
      <c r="D5844" s="5">
        <v>0</v>
      </c>
      <c r="E5844" s="5">
        <v>17</v>
      </c>
      <c r="F5844" s="5" t="s">
        <v>8</v>
      </c>
      <c r="G5844" s="15" t="s">
        <v>9</v>
      </c>
      <c r="H5844" s="24">
        <v>0.99999999278225005</v>
      </c>
      <c r="I5844" s="24" t="s">
        <v>21</v>
      </c>
      <c r="J5844" s="24" t="s">
        <v>21</v>
      </c>
      <c r="K5844" s="24" t="s">
        <v>21</v>
      </c>
      <c r="L5844" s="24" t="s">
        <v>21</v>
      </c>
      <c r="M5844" s="24" t="s">
        <v>21</v>
      </c>
      <c r="N5844" s="24" t="s">
        <v>21</v>
      </c>
      <c r="O5844" s="24">
        <v>0.99999999278225005</v>
      </c>
      <c r="P5844" s="24" t="s">
        <v>21</v>
      </c>
      <c r="Q5844" s="24" t="s">
        <v>21</v>
      </c>
      <c r="R5844" s="24" t="s">
        <v>21</v>
      </c>
      <c r="S5844" s="24" t="s">
        <v>21</v>
      </c>
    </row>
    <row r="5845" spans="1:19" x14ac:dyDescent="0.2">
      <c r="A5845" s="12">
        <v>45986</v>
      </c>
      <c r="B5845" s="5" t="s">
        <v>20</v>
      </c>
      <c r="C5845" s="6">
        <v>0.47013888888888888</v>
      </c>
      <c r="D5845" s="5">
        <v>0</v>
      </c>
      <c r="E5845" s="5">
        <v>18</v>
      </c>
      <c r="F5845" s="5" t="s">
        <v>8</v>
      </c>
      <c r="G5845" s="15" t="s">
        <v>9</v>
      </c>
      <c r="H5845" s="24">
        <v>0</v>
      </c>
      <c r="I5845" s="24" t="s">
        <v>21</v>
      </c>
      <c r="J5845" s="24" t="s">
        <v>21</v>
      </c>
      <c r="K5845" s="24" t="s">
        <v>21</v>
      </c>
      <c r="L5845" s="24" t="s">
        <v>21</v>
      </c>
      <c r="M5845" s="24" t="s">
        <v>21</v>
      </c>
      <c r="N5845" s="24" t="s">
        <v>21</v>
      </c>
      <c r="O5845" s="24">
        <v>0</v>
      </c>
      <c r="P5845" s="24" t="s">
        <v>21</v>
      </c>
      <c r="Q5845" s="24" t="s">
        <v>21</v>
      </c>
      <c r="R5845" s="24" t="s">
        <v>21</v>
      </c>
      <c r="S5845" s="24" t="s">
        <v>21</v>
      </c>
    </row>
    <row r="5846" spans="1:19" x14ac:dyDescent="0.2">
      <c r="A5846" s="12">
        <v>45986</v>
      </c>
      <c r="B5846" s="5" t="s">
        <v>20</v>
      </c>
      <c r="C5846" s="6">
        <v>0.47083333333333333</v>
      </c>
      <c r="D5846" s="5">
        <v>0</v>
      </c>
      <c r="E5846" s="5">
        <v>5</v>
      </c>
      <c r="F5846" s="5" t="s">
        <v>8</v>
      </c>
      <c r="G5846" s="15" t="s">
        <v>9</v>
      </c>
      <c r="H5846" s="24">
        <v>1.000000003259629</v>
      </c>
      <c r="I5846" s="24" t="s">
        <v>21</v>
      </c>
      <c r="J5846" s="24" t="s">
        <v>21</v>
      </c>
      <c r="K5846" s="24" t="s">
        <v>21</v>
      </c>
      <c r="L5846" s="24" t="s">
        <v>21</v>
      </c>
      <c r="M5846" s="24" t="s">
        <v>21</v>
      </c>
      <c r="N5846" s="24" t="s">
        <v>21</v>
      </c>
      <c r="O5846" s="24">
        <v>1.000000003259629</v>
      </c>
      <c r="P5846" s="24" t="s">
        <v>21</v>
      </c>
      <c r="Q5846" s="24" t="s">
        <v>21</v>
      </c>
      <c r="R5846" s="24" t="s">
        <v>21</v>
      </c>
      <c r="S5846" s="24" t="s">
        <v>21</v>
      </c>
    </row>
    <row r="5847" spans="1:19" x14ac:dyDescent="0.2">
      <c r="A5847" s="12">
        <v>45986</v>
      </c>
      <c r="B5847" s="5" t="s">
        <v>20</v>
      </c>
      <c r="C5847" s="6">
        <v>0.47152777777777777</v>
      </c>
      <c r="D5847" s="5">
        <v>0</v>
      </c>
      <c r="E5847" s="5">
        <v>22</v>
      </c>
      <c r="F5847" s="5" t="s">
        <v>8</v>
      </c>
      <c r="G5847" s="15" t="s">
        <v>9</v>
      </c>
      <c r="H5847" s="24">
        <v>1.000000003259629</v>
      </c>
      <c r="I5847" s="24" t="s">
        <v>21</v>
      </c>
      <c r="J5847" s="24" t="s">
        <v>21</v>
      </c>
      <c r="K5847" s="24" t="s">
        <v>21</v>
      </c>
      <c r="L5847" s="24" t="s">
        <v>21</v>
      </c>
      <c r="M5847" s="24" t="s">
        <v>21</v>
      </c>
      <c r="N5847" s="24" t="s">
        <v>21</v>
      </c>
      <c r="O5847" s="24">
        <v>1.000000003259629</v>
      </c>
      <c r="P5847" s="24" t="s">
        <v>21</v>
      </c>
      <c r="Q5847" s="24" t="s">
        <v>21</v>
      </c>
      <c r="R5847" s="24" t="s">
        <v>21</v>
      </c>
      <c r="S5847" s="24" t="s">
        <v>21</v>
      </c>
    </row>
    <row r="5848" spans="1:19" x14ac:dyDescent="0.2">
      <c r="A5848" s="12">
        <v>45986</v>
      </c>
      <c r="B5848" s="5" t="s">
        <v>20</v>
      </c>
      <c r="C5848" s="6">
        <v>0.47152777777777777</v>
      </c>
      <c r="D5848" s="5">
        <v>0</v>
      </c>
      <c r="E5848" s="5">
        <v>21</v>
      </c>
      <c r="F5848" s="5" t="s">
        <v>8</v>
      </c>
      <c r="G5848" s="15" t="s">
        <v>9</v>
      </c>
      <c r="H5848" s="24">
        <v>0</v>
      </c>
      <c r="I5848" s="24" t="s">
        <v>21</v>
      </c>
      <c r="J5848" s="24" t="s">
        <v>21</v>
      </c>
      <c r="K5848" s="24" t="s">
        <v>21</v>
      </c>
      <c r="L5848" s="24" t="s">
        <v>21</v>
      </c>
      <c r="M5848" s="24" t="s">
        <v>21</v>
      </c>
      <c r="N5848" s="24" t="s">
        <v>21</v>
      </c>
      <c r="O5848" s="24">
        <v>0</v>
      </c>
      <c r="P5848" s="24" t="s">
        <v>21</v>
      </c>
      <c r="Q5848" s="24" t="s">
        <v>21</v>
      </c>
      <c r="R5848" s="24" t="s">
        <v>21</v>
      </c>
      <c r="S5848" s="24" t="s">
        <v>21</v>
      </c>
    </row>
    <row r="5849" spans="1:19" x14ac:dyDescent="0.2">
      <c r="A5849" s="12">
        <v>45986</v>
      </c>
      <c r="B5849" s="5" t="s">
        <v>20</v>
      </c>
      <c r="C5849" s="6">
        <v>0.47222222222222221</v>
      </c>
      <c r="D5849" s="5">
        <v>0</v>
      </c>
      <c r="E5849" s="5">
        <v>21</v>
      </c>
      <c r="F5849" s="5" t="s">
        <v>8</v>
      </c>
      <c r="G5849" s="15" t="s">
        <v>9</v>
      </c>
      <c r="H5849" s="24">
        <v>0.99999999278225005</v>
      </c>
      <c r="I5849" s="24" t="s">
        <v>21</v>
      </c>
      <c r="J5849" s="24" t="s">
        <v>21</v>
      </c>
      <c r="K5849" s="24" t="s">
        <v>21</v>
      </c>
      <c r="L5849" s="24" t="s">
        <v>21</v>
      </c>
      <c r="M5849" s="24" t="s">
        <v>21</v>
      </c>
      <c r="N5849" s="24" t="s">
        <v>21</v>
      </c>
      <c r="O5849" s="24">
        <v>0.99999999278225005</v>
      </c>
      <c r="P5849" s="24" t="s">
        <v>21</v>
      </c>
      <c r="Q5849" s="24" t="s">
        <v>21</v>
      </c>
      <c r="R5849" s="24" t="s">
        <v>21</v>
      </c>
      <c r="S5849" s="24" t="s">
        <v>21</v>
      </c>
    </row>
    <row r="5850" spans="1:19" x14ac:dyDescent="0.2">
      <c r="A5850" s="12">
        <v>45986</v>
      </c>
      <c r="B5850" s="5" t="s">
        <v>20</v>
      </c>
      <c r="C5850" s="6">
        <v>0.47222222222222221</v>
      </c>
      <c r="D5850" s="5">
        <v>0</v>
      </c>
      <c r="E5850" s="5">
        <v>18</v>
      </c>
      <c r="F5850" s="5" t="s">
        <v>8</v>
      </c>
      <c r="G5850" s="15" t="s">
        <v>9</v>
      </c>
      <c r="H5850" s="24">
        <v>0</v>
      </c>
      <c r="I5850" s="24" t="s">
        <v>21</v>
      </c>
      <c r="J5850" s="24" t="s">
        <v>21</v>
      </c>
      <c r="K5850" s="24" t="s">
        <v>21</v>
      </c>
      <c r="L5850" s="24" t="s">
        <v>21</v>
      </c>
      <c r="M5850" s="24" t="s">
        <v>21</v>
      </c>
      <c r="N5850" s="24" t="s">
        <v>21</v>
      </c>
      <c r="O5850" s="24">
        <v>0</v>
      </c>
      <c r="P5850" s="24" t="s">
        <v>21</v>
      </c>
      <c r="Q5850" s="24" t="s">
        <v>21</v>
      </c>
      <c r="R5850" s="24" t="s">
        <v>21</v>
      </c>
      <c r="S5850" s="24" t="s">
        <v>21</v>
      </c>
    </row>
    <row r="5851" spans="1:19" x14ac:dyDescent="0.2">
      <c r="A5851" s="12">
        <v>45986</v>
      </c>
      <c r="B5851" s="5" t="s">
        <v>20</v>
      </c>
      <c r="C5851" s="6">
        <v>0.47291666666666665</v>
      </c>
      <c r="D5851" s="5">
        <v>0</v>
      </c>
      <c r="E5851" s="5">
        <v>21</v>
      </c>
      <c r="F5851" s="5" t="s">
        <v>8</v>
      </c>
      <c r="G5851" s="15" t="s">
        <v>9</v>
      </c>
      <c r="H5851" s="24">
        <v>1.000000003259629</v>
      </c>
      <c r="I5851" s="24" t="s">
        <v>21</v>
      </c>
      <c r="J5851" s="24" t="s">
        <v>21</v>
      </c>
      <c r="K5851" s="24" t="s">
        <v>21</v>
      </c>
      <c r="L5851" s="24" t="s">
        <v>21</v>
      </c>
      <c r="M5851" s="24" t="s">
        <v>21</v>
      </c>
      <c r="N5851" s="24" t="s">
        <v>21</v>
      </c>
      <c r="O5851" s="24">
        <v>1.000000003259629</v>
      </c>
      <c r="P5851" s="24" t="s">
        <v>21</v>
      </c>
      <c r="Q5851" s="24" t="s">
        <v>21</v>
      </c>
      <c r="R5851" s="24" t="s">
        <v>21</v>
      </c>
      <c r="S5851" s="24" t="s">
        <v>21</v>
      </c>
    </row>
    <row r="5852" spans="1:19" x14ac:dyDescent="0.2">
      <c r="A5852" s="12">
        <v>45986</v>
      </c>
      <c r="B5852" s="5" t="s">
        <v>20</v>
      </c>
      <c r="C5852" s="6">
        <v>0.47291666666666665</v>
      </c>
      <c r="D5852" s="5">
        <v>0</v>
      </c>
      <c r="E5852" s="5">
        <v>27</v>
      </c>
      <c r="F5852" s="5" t="s">
        <v>8</v>
      </c>
      <c r="G5852" s="15" t="s">
        <v>9</v>
      </c>
      <c r="H5852" s="24">
        <v>0</v>
      </c>
      <c r="I5852" s="24" t="s">
        <v>21</v>
      </c>
      <c r="J5852" s="24" t="s">
        <v>21</v>
      </c>
      <c r="K5852" s="24" t="s">
        <v>21</v>
      </c>
      <c r="L5852" s="24" t="s">
        <v>21</v>
      </c>
      <c r="M5852" s="24" t="s">
        <v>21</v>
      </c>
      <c r="N5852" s="24" t="s">
        <v>21</v>
      </c>
      <c r="O5852" s="24">
        <v>0</v>
      </c>
      <c r="P5852" s="24" t="s">
        <v>21</v>
      </c>
      <c r="Q5852" s="24" t="s">
        <v>21</v>
      </c>
      <c r="R5852" s="24" t="s">
        <v>21</v>
      </c>
      <c r="S5852" s="24" t="s">
        <v>21</v>
      </c>
    </row>
    <row r="5853" spans="1:19" x14ac:dyDescent="0.2">
      <c r="A5853" s="12">
        <v>45986</v>
      </c>
      <c r="B5853" s="5" t="s">
        <v>20</v>
      </c>
      <c r="C5853" s="6">
        <v>0.47291666666666665</v>
      </c>
      <c r="D5853" s="5">
        <v>0</v>
      </c>
      <c r="E5853" s="5">
        <v>22</v>
      </c>
      <c r="F5853" s="5" t="s">
        <v>8</v>
      </c>
      <c r="G5853" s="15" t="s">
        <v>9</v>
      </c>
      <c r="H5853" s="24">
        <v>0</v>
      </c>
      <c r="I5853" s="24" t="s">
        <v>21</v>
      </c>
      <c r="J5853" s="24" t="s">
        <v>21</v>
      </c>
      <c r="K5853" s="24" t="s">
        <v>21</v>
      </c>
      <c r="L5853" s="24" t="s">
        <v>21</v>
      </c>
      <c r="M5853" s="24" t="s">
        <v>21</v>
      </c>
      <c r="N5853" s="24" t="s">
        <v>21</v>
      </c>
      <c r="O5853" s="24">
        <v>0</v>
      </c>
      <c r="P5853" s="24" t="s">
        <v>21</v>
      </c>
      <c r="Q5853" s="24" t="s">
        <v>21</v>
      </c>
      <c r="R5853" s="24" t="s">
        <v>21</v>
      </c>
      <c r="S5853" s="24" t="s">
        <v>21</v>
      </c>
    </row>
    <row r="5854" spans="1:19" x14ac:dyDescent="0.2">
      <c r="A5854" s="12">
        <v>45986</v>
      </c>
      <c r="B5854" s="5" t="s">
        <v>20</v>
      </c>
      <c r="C5854" s="6">
        <v>0.47361111111111109</v>
      </c>
      <c r="D5854" s="5">
        <v>0</v>
      </c>
      <c r="E5854" s="5">
        <v>29</v>
      </c>
      <c r="F5854" s="5" t="s">
        <v>8</v>
      </c>
      <c r="G5854" s="15" t="s">
        <v>9</v>
      </c>
      <c r="H5854" s="24">
        <v>1.000000003259629</v>
      </c>
      <c r="I5854" s="24" t="s">
        <v>21</v>
      </c>
      <c r="J5854" s="24" t="s">
        <v>21</v>
      </c>
      <c r="K5854" s="24" t="s">
        <v>21</v>
      </c>
      <c r="L5854" s="24" t="s">
        <v>21</v>
      </c>
      <c r="M5854" s="24" t="s">
        <v>21</v>
      </c>
      <c r="N5854" s="24" t="s">
        <v>21</v>
      </c>
      <c r="O5854" s="24">
        <v>1.000000003259629</v>
      </c>
      <c r="P5854" s="24" t="s">
        <v>21</v>
      </c>
      <c r="Q5854" s="24" t="s">
        <v>21</v>
      </c>
      <c r="R5854" s="24" t="s">
        <v>21</v>
      </c>
      <c r="S5854" s="24" t="s">
        <v>21</v>
      </c>
    </row>
    <row r="5855" spans="1:19" x14ac:dyDescent="0.2">
      <c r="A5855" s="12">
        <v>45986</v>
      </c>
      <c r="B5855" s="5" t="s">
        <v>20</v>
      </c>
      <c r="C5855" s="6">
        <v>0.47430555555555554</v>
      </c>
      <c r="D5855" s="5">
        <v>0</v>
      </c>
      <c r="E5855" s="5">
        <v>17</v>
      </c>
      <c r="F5855" s="5" t="s">
        <v>8</v>
      </c>
      <c r="G5855" s="15" t="s">
        <v>9</v>
      </c>
      <c r="H5855" s="24">
        <v>1.000000003259629</v>
      </c>
      <c r="I5855" s="24" t="s">
        <v>21</v>
      </c>
      <c r="J5855" s="24" t="s">
        <v>21</v>
      </c>
      <c r="K5855" s="24" t="s">
        <v>21</v>
      </c>
      <c r="L5855" s="24" t="s">
        <v>21</v>
      </c>
      <c r="M5855" s="24" t="s">
        <v>21</v>
      </c>
      <c r="N5855" s="24" t="s">
        <v>21</v>
      </c>
      <c r="O5855" s="24">
        <v>1.000000003259629</v>
      </c>
      <c r="P5855" s="24" t="s">
        <v>21</v>
      </c>
      <c r="Q5855" s="24" t="s">
        <v>21</v>
      </c>
      <c r="R5855" s="24" t="s">
        <v>21</v>
      </c>
      <c r="S5855" s="24" t="s">
        <v>21</v>
      </c>
    </row>
    <row r="5856" spans="1:19" x14ac:dyDescent="0.2">
      <c r="A5856" s="12">
        <v>45986</v>
      </c>
      <c r="B5856" s="5" t="s">
        <v>20</v>
      </c>
      <c r="C5856" s="6">
        <v>0.47499999999999998</v>
      </c>
      <c r="D5856" s="5">
        <v>0</v>
      </c>
      <c r="E5856" s="5">
        <v>15</v>
      </c>
      <c r="F5856" s="5" t="s">
        <v>8</v>
      </c>
      <c r="G5856" s="15" t="s">
        <v>9</v>
      </c>
      <c r="H5856" s="24">
        <v>0.99999999278225005</v>
      </c>
      <c r="I5856" s="24" t="s">
        <v>21</v>
      </c>
      <c r="J5856" s="24" t="s">
        <v>21</v>
      </c>
      <c r="K5856" s="24" t="s">
        <v>21</v>
      </c>
      <c r="L5856" s="24" t="s">
        <v>21</v>
      </c>
      <c r="M5856" s="24" t="s">
        <v>21</v>
      </c>
      <c r="N5856" s="24" t="s">
        <v>21</v>
      </c>
      <c r="O5856" s="24">
        <v>0.99999999278225005</v>
      </c>
      <c r="P5856" s="24" t="s">
        <v>21</v>
      </c>
      <c r="Q5856" s="24" t="s">
        <v>21</v>
      </c>
      <c r="R5856" s="24" t="s">
        <v>21</v>
      </c>
      <c r="S5856" s="24" t="s">
        <v>21</v>
      </c>
    </row>
    <row r="5857" spans="1:19" x14ac:dyDescent="0.2">
      <c r="A5857" s="12">
        <v>45986</v>
      </c>
      <c r="B5857" s="5" t="s">
        <v>20</v>
      </c>
      <c r="C5857" s="6">
        <v>0.47569444444444442</v>
      </c>
      <c r="D5857" s="5">
        <v>0</v>
      </c>
      <c r="E5857" s="5">
        <v>0</v>
      </c>
      <c r="F5857" s="5" t="s">
        <v>8</v>
      </c>
      <c r="G5857" s="15" t="s">
        <v>9</v>
      </c>
      <c r="H5857" s="24">
        <v>1.000000003259629</v>
      </c>
      <c r="I5857" s="24" t="s">
        <v>21</v>
      </c>
      <c r="J5857" s="24" t="s">
        <v>21</v>
      </c>
      <c r="K5857" s="24" t="s">
        <v>21</v>
      </c>
      <c r="L5857" s="24" t="s">
        <v>21</v>
      </c>
      <c r="M5857" s="24" t="s">
        <v>21</v>
      </c>
      <c r="N5857" s="24" t="s">
        <v>21</v>
      </c>
      <c r="O5857" s="24">
        <v>1.000000003259629</v>
      </c>
      <c r="P5857" s="24" t="s">
        <v>21</v>
      </c>
      <c r="Q5857" s="24" t="s">
        <v>21</v>
      </c>
      <c r="R5857" s="24" t="s">
        <v>21</v>
      </c>
      <c r="S5857" s="24" t="s">
        <v>21</v>
      </c>
    </row>
    <row r="5858" spans="1:19" x14ac:dyDescent="0.2">
      <c r="A5858" s="12">
        <v>45986</v>
      </c>
      <c r="B5858" s="5" t="s">
        <v>20</v>
      </c>
      <c r="C5858" s="6">
        <v>0.47569444444444442</v>
      </c>
      <c r="D5858" s="5">
        <v>0</v>
      </c>
      <c r="E5858" s="5">
        <v>9</v>
      </c>
      <c r="F5858" s="5" t="s">
        <v>8</v>
      </c>
      <c r="G5858" s="15" t="s">
        <v>9</v>
      </c>
      <c r="H5858" s="24">
        <v>0</v>
      </c>
      <c r="I5858" s="24" t="s">
        <v>21</v>
      </c>
      <c r="J5858" s="24" t="s">
        <v>21</v>
      </c>
      <c r="K5858" s="24" t="s">
        <v>21</v>
      </c>
      <c r="L5858" s="24" t="s">
        <v>21</v>
      </c>
      <c r="M5858" s="24" t="s">
        <v>21</v>
      </c>
      <c r="N5858" s="24" t="s">
        <v>21</v>
      </c>
      <c r="O5858" s="24">
        <v>0</v>
      </c>
      <c r="P5858" s="24" t="s">
        <v>21</v>
      </c>
      <c r="Q5858" s="24" t="s">
        <v>21</v>
      </c>
      <c r="R5858" s="24" t="s">
        <v>21</v>
      </c>
      <c r="S5858" s="24" t="s">
        <v>21</v>
      </c>
    </row>
    <row r="5859" spans="1:19" x14ac:dyDescent="0.2">
      <c r="A5859" s="12">
        <v>45986</v>
      </c>
      <c r="B5859" s="5" t="s">
        <v>20</v>
      </c>
      <c r="C5859" s="6">
        <v>0.47638888888888886</v>
      </c>
      <c r="D5859" s="5">
        <v>0</v>
      </c>
      <c r="E5859" s="5">
        <v>0</v>
      </c>
      <c r="F5859" s="5" t="s">
        <v>8</v>
      </c>
      <c r="G5859" s="15" t="s">
        <v>9</v>
      </c>
      <c r="H5859" s="24">
        <v>1.000000003259629</v>
      </c>
      <c r="I5859" s="24" t="s">
        <v>21</v>
      </c>
      <c r="J5859" s="24" t="s">
        <v>21</v>
      </c>
      <c r="K5859" s="24" t="s">
        <v>21</v>
      </c>
      <c r="L5859" s="24" t="s">
        <v>21</v>
      </c>
      <c r="M5859" s="24" t="s">
        <v>21</v>
      </c>
      <c r="N5859" s="24" t="s">
        <v>21</v>
      </c>
      <c r="O5859" s="24">
        <v>1.000000003259629</v>
      </c>
      <c r="P5859" s="24" t="s">
        <v>21</v>
      </c>
      <c r="Q5859" s="24" t="s">
        <v>21</v>
      </c>
      <c r="R5859" s="24" t="s">
        <v>21</v>
      </c>
      <c r="S5859" s="24" t="s">
        <v>21</v>
      </c>
    </row>
    <row r="5860" spans="1:19" x14ac:dyDescent="0.2">
      <c r="A5860" s="12">
        <v>45986</v>
      </c>
      <c r="B5860" s="5" t="s">
        <v>20</v>
      </c>
      <c r="C5860" s="6">
        <v>0.47708333333333336</v>
      </c>
      <c r="D5860" s="5">
        <v>0</v>
      </c>
      <c r="E5860" s="5">
        <v>0</v>
      </c>
      <c r="F5860" s="5" t="s">
        <v>8</v>
      </c>
      <c r="G5860" s="15" t="s">
        <v>9</v>
      </c>
      <c r="H5860" s="24">
        <v>0.99999999278225005</v>
      </c>
      <c r="I5860" s="24" t="s">
        <v>21</v>
      </c>
      <c r="J5860" s="24" t="s">
        <v>21</v>
      </c>
      <c r="K5860" s="24" t="s">
        <v>21</v>
      </c>
      <c r="L5860" s="24" t="s">
        <v>21</v>
      </c>
      <c r="M5860" s="24" t="s">
        <v>21</v>
      </c>
      <c r="N5860" s="24" t="s">
        <v>21</v>
      </c>
      <c r="O5860" s="24">
        <v>0.99999999278225005</v>
      </c>
      <c r="P5860" s="24" t="s">
        <v>21</v>
      </c>
      <c r="Q5860" s="24" t="s">
        <v>21</v>
      </c>
      <c r="R5860" s="24" t="s">
        <v>21</v>
      </c>
      <c r="S5860" s="24" t="s">
        <v>21</v>
      </c>
    </row>
    <row r="5861" spans="1:19" x14ac:dyDescent="0.2">
      <c r="A5861" s="12">
        <v>45986</v>
      </c>
      <c r="B5861" s="5" t="s">
        <v>20</v>
      </c>
      <c r="C5861" s="6">
        <v>0.47708333333333336</v>
      </c>
      <c r="D5861" s="5">
        <v>0</v>
      </c>
      <c r="E5861" s="5">
        <v>0</v>
      </c>
      <c r="F5861" s="5" t="s">
        <v>8</v>
      </c>
      <c r="G5861" s="15" t="s">
        <v>9</v>
      </c>
      <c r="H5861" s="24">
        <v>0</v>
      </c>
      <c r="I5861" s="24" t="s">
        <v>21</v>
      </c>
      <c r="J5861" s="24" t="s">
        <v>21</v>
      </c>
      <c r="K5861" s="24" t="s">
        <v>21</v>
      </c>
      <c r="L5861" s="24" t="s">
        <v>21</v>
      </c>
      <c r="M5861" s="24" t="s">
        <v>21</v>
      </c>
      <c r="N5861" s="24" t="s">
        <v>21</v>
      </c>
      <c r="O5861" s="24">
        <v>0</v>
      </c>
      <c r="P5861" s="24" t="s">
        <v>21</v>
      </c>
      <c r="Q5861" s="24" t="s">
        <v>21</v>
      </c>
      <c r="R5861" s="24" t="s">
        <v>21</v>
      </c>
      <c r="S5861" s="24" t="s">
        <v>21</v>
      </c>
    </row>
    <row r="5862" spans="1:19" x14ac:dyDescent="0.2">
      <c r="A5862" s="12">
        <v>45986</v>
      </c>
      <c r="B5862" s="5" t="s">
        <v>14</v>
      </c>
      <c r="C5862" s="6">
        <v>0.48472222222222222</v>
      </c>
      <c r="D5862" s="5">
        <v>2</v>
      </c>
      <c r="E5862" s="5">
        <v>0</v>
      </c>
      <c r="F5862" s="5" t="s">
        <v>8</v>
      </c>
      <c r="G5862" s="15" t="s">
        <v>9</v>
      </c>
      <c r="H5862" s="24">
        <v>11.000000004423782</v>
      </c>
      <c r="I5862" s="24" t="s">
        <v>21</v>
      </c>
      <c r="J5862" s="24" t="s">
        <v>21</v>
      </c>
      <c r="K5862" s="24">
        <v>1332.9999999969732</v>
      </c>
      <c r="L5862" s="24" t="s">
        <v>21</v>
      </c>
      <c r="M5862" s="24" t="s">
        <v>21</v>
      </c>
      <c r="N5862" s="24" t="s">
        <v>21</v>
      </c>
      <c r="O5862" s="24" t="s">
        <v>21</v>
      </c>
      <c r="P5862" s="24" t="s">
        <v>21</v>
      </c>
      <c r="Q5862" s="24" t="s">
        <v>21</v>
      </c>
      <c r="R5862" s="24" t="s">
        <v>21</v>
      </c>
      <c r="S5862" s="24" t="s">
        <v>21</v>
      </c>
    </row>
    <row r="5863" spans="1:19" x14ac:dyDescent="0.2">
      <c r="A5863" s="12">
        <v>45986</v>
      </c>
      <c r="B5863" s="5" t="s">
        <v>14</v>
      </c>
      <c r="C5863" s="6">
        <v>0.48472222222222222</v>
      </c>
      <c r="D5863" s="5">
        <v>1</v>
      </c>
      <c r="E5863" s="5">
        <v>0</v>
      </c>
      <c r="F5863" s="5" t="s">
        <v>8</v>
      </c>
      <c r="G5863" s="15" t="s">
        <v>9</v>
      </c>
      <c r="H5863" s="24">
        <v>0</v>
      </c>
      <c r="I5863" s="24" t="s">
        <v>21</v>
      </c>
      <c r="J5863" s="24" t="s">
        <v>21</v>
      </c>
      <c r="K5863" s="24">
        <v>0</v>
      </c>
      <c r="L5863" s="24" t="s">
        <v>21</v>
      </c>
      <c r="M5863" s="24" t="s">
        <v>21</v>
      </c>
      <c r="N5863" s="24" t="s">
        <v>21</v>
      </c>
      <c r="O5863" s="24" t="s">
        <v>21</v>
      </c>
      <c r="P5863" s="24" t="s">
        <v>21</v>
      </c>
      <c r="Q5863" s="24" t="s">
        <v>21</v>
      </c>
      <c r="R5863" s="24" t="s">
        <v>21</v>
      </c>
      <c r="S5863" s="24" t="s">
        <v>21</v>
      </c>
    </row>
    <row r="5864" spans="1:19" x14ac:dyDescent="0.2">
      <c r="A5864" s="12">
        <v>45986</v>
      </c>
      <c r="B5864" s="5" t="s">
        <v>10</v>
      </c>
      <c r="C5864" s="6">
        <v>0.48541666666666666</v>
      </c>
      <c r="D5864" s="5">
        <v>1</v>
      </c>
      <c r="E5864" s="5">
        <v>0</v>
      </c>
      <c r="F5864" s="5" t="s">
        <v>8</v>
      </c>
      <c r="G5864" s="15" t="s">
        <v>9</v>
      </c>
      <c r="H5864" s="24">
        <v>1.000000003259629</v>
      </c>
      <c r="I5864" s="24" t="s">
        <v>21</v>
      </c>
      <c r="J5864" s="24">
        <v>1331.0000000009313</v>
      </c>
      <c r="K5864" s="24" t="s">
        <v>21</v>
      </c>
      <c r="L5864" s="24" t="s">
        <v>21</v>
      </c>
      <c r="M5864" s="24" t="s">
        <v>21</v>
      </c>
      <c r="N5864" s="24" t="s">
        <v>21</v>
      </c>
      <c r="O5864" s="24" t="s">
        <v>21</v>
      </c>
      <c r="P5864" s="24" t="s">
        <v>21</v>
      </c>
      <c r="Q5864" s="24" t="s">
        <v>21</v>
      </c>
      <c r="R5864" s="24" t="s">
        <v>21</v>
      </c>
      <c r="S5864" s="24" t="s">
        <v>21</v>
      </c>
    </row>
    <row r="5865" spans="1:19" x14ac:dyDescent="0.2">
      <c r="A5865" s="12">
        <v>45986</v>
      </c>
      <c r="B5865" s="5" t="s">
        <v>10</v>
      </c>
      <c r="C5865" s="6">
        <v>0.48541666666666666</v>
      </c>
      <c r="D5865" s="5">
        <v>2</v>
      </c>
      <c r="E5865" s="5">
        <v>0</v>
      </c>
      <c r="F5865" s="5" t="s">
        <v>8</v>
      </c>
      <c r="G5865" s="15" t="s">
        <v>9</v>
      </c>
      <c r="H5865" s="24">
        <v>0</v>
      </c>
      <c r="I5865" s="24" t="s">
        <v>21</v>
      </c>
      <c r="J5865" s="24">
        <v>0</v>
      </c>
      <c r="K5865" s="24" t="s">
        <v>21</v>
      </c>
      <c r="L5865" s="24" t="s">
        <v>21</v>
      </c>
      <c r="M5865" s="24" t="s">
        <v>21</v>
      </c>
      <c r="N5865" s="24" t="s">
        <v>21</v>
      </c>
      <c r="O5865" s="24" t="s">
        <v>21</v>
      </c>
      <c r="P5865" s="24" t="s">
        <v>21</v>
      </c>
      <c r="Q5865" s="24" t="s">
        <v>21</v>
      </c>
      <c r="R5865" s="24" t="s">
        <v>21</v>
      </c>
      <c r="S5865" s="24" t="s">
        <v>21</v>
      </c>
    </row>
    <row r="5866" spans="1:19" x14ac:dyDescent="0.2">
      <c r="A5866" s="12">
        <v>45986</v>
      </c>
      <c r="B5866" s="5" t="s">
        <v>14</v>
      </c>
      <c r="C5866" s="6">
        <v>0.48541666666666666</v>
      </c>
      <c r="D5866" s="5">
        <v>3</v>
      </c>
      <c r="E5866" s="5">
        <v>0</v>
      </c>
      <c r="F5866" s="5" t="s">
        <v>8</v>
      </c>
      <c r="G5866" s="15" t="s">
        <v>9</v>
      </c>
      <c r="H5866" s="24">
        <v>0</v>
      </c>
      <c r="I5866" s="24" t="s">
        <v>21</v>
      </c>
      <c r="J5866" s="24" t="s">
        <v>21</v>
      </c>
      <c r="K5866" s="24">
        <v>1.000000003259629</v>
      </c>
      <c r="L5866" s="24" t="s">
        <v>21</v>
      </c>
      <c r="M5866" s="24" t="s">
        <v>21</v>
      </c>
      <c r="N5866" s="24" t="s">
        <v>21</v>
      </c>
      <c r="O5866" s="24" t="s">
        <v>21</v>
      </c>
      <c r="P5866" s="24" t="s">
        <v>21</v>
      </c>
      <c r="Q5866" s="24" t="s">
        <v>21</v>
      </c>
      <c r="R5866" s="24" t="s">
        <v>21</v>
      </c>
      <c r="S5866" s="24" t="s">
        <v>21</v>
      </c>
    </row>
    <row r="5867" spans="1:19" x14ac:dyDescent="0.2">
      <c r="A5867" s="12">
        <v>45986</v>
      </c>
      <c r="B5867" s="5" t="s">
        <v>10</v>
      </c>
      <c r="C5867" s="6">
        <v>0.4861111111111111</v>
      </c>
      <c r="D5867" s="5">
        <v>1</v>
      </c>
      <c r="E5867" s="5">
        <v>0</v>
      </c>
      <c r="F5867" s="5" t="s">
        <v>8</v>
      </c>
      <c r="G5867" s="15" t="s">
        <v>9</v>
      </c>
      <c r="H5867" s="24">
        <v>0.99999999278225005</v>
      </c>
      <c r="I5867" s="24" t="s">
        <v>21</v>
      </c>
      <c r="J5867" s="24">
        <v>0.99999999278225005</v>
      </c>
      <c r="K5867" s="24" t="s">
        <v>21</v>
      </c>
      <c r="L5867" s="24" t="s">
        <v>21</v>
      </c>
      <c r="M5867" s="24" t="s">
        <v>21</v>
      </c>
      <c r="N5867" s="24" t="s">
        <v>21</v>
      </c>
      <c r="O5867" s="24" t="s">
        <v>21</v>
      </c>
      <c r="P5867" s="24" t="s">
        <v>21</v>
      </c>
      <c r="Q5867" s="24" t="s">
        <v>21</v>
      </c>
      <c r="R5867" s="24" t="s">
        <v>21</v>
      </c>
      <c r="S5867" s="24" t="s">
        <v>21</v>
      </c>
    </row>
    <row r="5868" spans="1:19" x14ac:dyDescent="0.2">
      <c r="A5868" s="12">
        <v>45986</v>
      </c>
      <c r="B5868" s="5" t="s">
        <v>10</v>
      </c>
      <c r="C5868" s="6">
        <v>0.4861111111111111</v>
      </c>
      <c r="D5868" s="5">
        <v>2</v>
      </c>
      <c r="E5868" s="5">
        <v>0</v>
      </c>
      <c r="F5868" s="5" t="s">
        <v>8</v>
      </c>
      <c r="G5868" s="15" t="s">
        <v>9</v>
      </c>
      <c r="H5868" s="24">
        <v>0</v>
      </c>
      <c r="I5868" s="24" t="s">
        <v>21</v>
      </c>
      <c r="J5868" s="24">
        <v>0</v>
      </c>
      <c r="K5868" s="24" t="s">
        <v>21</v>
      </c>
      <c r="L5868" s="24" t="s">
        <v>21</v>
      </c>
      <c r="M5868" s="24" t="s">
        <v>21</v>
      </c>
      <c r="N5868" s="24" t="s">
        <v>21</v>
      </c>
      <c r="O5868" s="24" t="s">
        <v>21</v>
      </c>
      <c r="P5868" s="24" t="s">
        <v>21</v>
      </c>
      <c r="Q5868" s="24" t="s">
        <v>21</v>
      </c>
      <c r="R5868" s="24" t="s">
        <v>21</v>
      </c>
      <c r="S5868" s="24" t="s">
        <v>21</v>
      </c>
    </row>
    <row r="5869" spans="1:19" x14ac:dyDescent="0.2">
      <c r="A5869" s="12">
        <v>45986</v>
      </c>
      <c r="B5869" s="5" t="s">
        <v>10</v>
      </c>
      <c r="C5869" s="6">
        <v>0.4861111111111111</v>
      </c>
      <c r="D5869" s="5">
        <v>2</v>
      </c>
      <c r="E5869" s="5">
        <v>0</v>
      </c>
      <c r="F5869" s="5" t="s">
        <v>8</v>
      </c>
      <c r="G5869" s="15" t="s">
        <v>9</v>
      </c>
      <c r="H5869" s="24">
        <v>0</v>
      </c>
      <c r="I5869" s="24" t="s">
        <v>21</v>
      </c>
      <c r="J5869" s="24">
        <v>0</v>
      </c>
      <c r="K5869" s="24" t="s">
        <v>21</v>
      </c>
      <c r="L5869" s="24" t="s">
        <v>21</v>
      </c>
      <c r="M5869" s="24" t="s">
        <v>21</v>
      </c>
      <c r="N5869" s="24" t="s">
        <v>21</v>
      </c>
      <c r="O5869" s="24" t="s">
        <v>21</v>
      </c>
      <c r="P5869" s="24" t="s">
        <v>21</v>
      </c>
      <c r="Q5869" s="24" t="s">
        <v>21</v>
      </c>
      <c r="R5869" s="24" t="s">
        <v>21</v>
      </c>
      <c r="S5869" s="24" t="s">
        <v>21</v>
      </c>
    </row>
    <row r="5870" spans="1:19" x14ac:dyDescent="0.2">
      <c r="A5870" s="12">
        <v>45986</v>
      </c>
      <c r="B5870" s="5" t="s">
        <v>10</v>
      </c>
      <c r="C5870" s="6">
        <v>0.48680555555555555</v>
      </c>
      <c r="D5870" s="5">
        <v>0</v>
      </c>
      <c r="E5870" s="5">
        <v>0</v>
      </c>
      <c r="F5870" s="5" t="s">
        <v>8</v>
      </c>
      <c r="G5870" s="15" t="s">
        <v>9</v>
      </c>
      <c r="H5870" s="24">
        <v>1.000000003259629</v>
      </c>
      <c r="I5870" s="24" t="s">
        <v>21</v>
      </c>
      <c r="J5870" s="24">
        <v>1.000000003259629</v>
      </c>
      <c r="K5870" s="24" t="s">
        <v>21</v>
      </c>
      <c r="L5870" s="24" t="s">
        <v>21</v>
      </c>
      <c r="M5870" s="24" t="s">
        <v>21</v>
      </c>
      <c r="N5870" s="24" t="s">
        <v>21</v>
      </c>
      <c r="O5870" s="24" t="s">
        <v>21</v>
      </c>
      <c r="P5870" s="24" t="s">
        <v>21</v>
      </c>
      <c r="Q5870" s="24" t="s">
        <v>21</v>
      </c>
      <c r="R5870" s="24" t="s">
        <v>21</v>
      </c>
      <c r="S5870" s="24" t="s">
        <v>21</v>
      </c>
    </row>
    <row r="5871" spans="1:19" x14ac:dyDescent="0.2">
      <c r="A5871" s="12">
        <v>45986</v>
      </c>
      <c r="B5871" s="5" t="s">
        <v>10</v>
      </c>
      <c r="C5871" s="6">
        <v>0.48749999999999999</v>
      </c>
      <c r="D5871" s="5">
        <v>2</v>
      </c>
      <c r="E5871" s="5">
        <v>0</v>
      </c>
      <c r="F5871" s="5" t="s">
        <v>8</v>
      </c>
      <c r="G5871" s="15" t="s">
        <v>9</v>
      </c>
      <c r="H5871" s="24">
        <v>1.000000003259629</v>
      </c>
      <c r="I5871" s="24" t="s">
        <v>21</v>
      </c>
      <c r="J5871" s="24">
        <v>1.000000003259629</v>
      </c>
      <c r="K5871" s="24" t="s">
        <v>21</v>
      </c>
      <c r="L5871" s="24" t="s">
        <v>21</v>
      </c>
      <c r="M5871" s="24" t="s">
        <v>21</v>
      </c>
      <c r="N5871" s="24" t="s">
        <v>21</v>
      </c>
      <c r="O5871" s="24" t="s">
        <v>21</v>
      </c>
      <c r="P5871" s="24" t="s">
        <v>21</v>
      </c>
      <c r="Q5871" s="24" t="s">
        <v>21</v>
      </c>
      <c r="R5871" s="24" t="s">
        <v>21</v>
      </c>
      <c r="S5871" s="24" t="s">
        <v>21</v>
      </c>
    </row>
    <row r="5872" spans="1:19" x14ac:dyDescent="0.2">
      <c r="A5872" s="12">
        <v>45986</v>
      </c>
      <c r="B5872" s="5" t="s">
        <v>10</v>
      </c>
      <c r="C5872" s="6">
        <v>0.48749999999999999</v>
      </c>
      <c r="D5872" s="5">
        <v>2</v>
      </c>
      <c r="E5872" s="5">
        <v>0</v>
      </c>
      <c r="F5872" s="5" t="s">
        <v>8</v>
      </c>
      <c r="G5872" s="15" t="s">
        <v>9</v>
      </c>
      <c r="H5872" s="24">
        <v>0</v>
      </c>
      <c r="I5872" s="24" t="s">
        <v>21</v>
      </c>
      <c r="J5872" s="24">
        <v>0</v>
      </c>
      <c r="K5872" s="24" t="s">
        <v>21</v>
      </c>
      <c r="L5872" s="24" t="s">
        <v>21</v>
      </c>
      <c r="M5872" s="24" t="s">
        <v>21</v>
      </c>
      <c r="N5872" s="24" t="s">
        <v>21</v>
      </c>
      <c r="O5872" s="24" t="s">
        <v>21</v>
      </c>
      <c r="P5872" s="24" t="s">
        <v>21</v>
      </c>
      <c r="Q5872" s="24" t="s">
        <v>21</v>
      </c>
      <c r="R5872" s="24" t="s">
        <v>21</v>
      </c>
      <c r="S5872" s="24" t="s">
        <v>21</v>
      </c>
    </row>
    <row r="5873" spans="1:19" x14ac:dyDescent="0.2">
      <c r="A5873" s="12">
        <v>45986</v>
      </c>
      <c r="B5873" s="5" t="s">
        <v>10</v>
      </c>
      <c r="C5873" s="6">
        <v>0.48749999999999999</v>
      </c>
      <c r="D5873" s="5">
        <v>0</v>
      </c>
      <c r="E5873" s="5">
        <v>0</v>
      </c>
      <c r="F5873" s="5" t="s">
        <v>8</v>
      </c>
      <c r="G5873" s="15" t="s">
        <v>9</v>
      </c>
      <c r="H5873" s="24">
        <v>0</v>
      </c>
      <c r="I5873" s="24" t="s">
        <v>21</v>
      </c>
      <c r="J5873" s="24">
        <v>0</v>
      </c>
      <c r="K5873" s="24" t="s">
        <v>21</v>
      </c>
      <c r="L5873" s="24" t="s">
        <v>21</v>
      </c>
      <c r="M5873" s="24" t="s">
        <v>21</v>
      </c>
      <c r="N5873" s="24" t="s">
        <v>21</v>
      </c>
      <c r="O5873" s="24" t="s">
        <v>21</v>
      </c>
      <c r="P5873" s="24" t="s">
        <v>21</v>
      </c>
      <c r="Q5873" s="24" t="s">
        <v>21</v>
      </c>
      <c r="R5873" s="24" t="s">
        <v>21</v>
      </c>
      <c r="S5873" s="24" t="s">
        <v>21</v>
      </c>
    </row>
    <row r="5874" spans="1:19" x14ac:dyDescent="0.2">
      <c r="A5874" s="12">
        <v>45986</v>
      </c>
      <c r="B5874" s="5" t="s">
        <v>10</v>
      </c>
      <c r="C5874" s="6">
        <v>0.48819444444444443</v>
      </c>
      <c r="D5874" s="5">
        <v>1</v>
      </c>
      <c r="E5874" s="5">
        <v>0</v>
      </c>
      <c r="F5874" s="5" t="s">
        <v>8</v>
      </c>
      <c r="G5874" s="15" t="s">
        <v>9</v>
      </c>
      <c r="H5874" s="24">
        <v>0.99999999278225005</v>
      </c>
      <c r="I5874" s="24" t="s">
        <v>21</v>
      </c>
      <c r="J5874" s="24">
        <v>0.99999999278225005</v>
      </c>
      <c r="K5874" s="24" t="s">
        <v>21</v>
      </c>
      <c r="L5874" s="24" t="s">
        <v>21</v>
      </c>
      <c r="M5874" s="24" t="s">
        <v>21</v>
      </c>
      <c r="N5874" s="24" t="s">
        <v>21</v>
      </c>
      <c r="O5874" s="24" t="s">
        <v>21</v>
      </c>
      <c r="P5874" s="24" t="s">
        <v>21</v>
      </c>
      <c r="Q5874" s="24" t="s">
        <v>21</v>
      </c>
      <c r="R5874" s="24" t="s">
        <v>21</v>
      </c>
      <c r="S5874" s="24" t="s">
        <v>21</v>
      </c>
    </row>
    <row r="5875" spans="1:19" x14ac:dyDescent="0.2">
      <c r="A5875" s="12">
        <v>45986</v>
      </c>
      <c r="B5875" s="5" t="s">
        <v>10</v>
      </c>
      <c r="C5875" s="6">
        <v>0.48819444444444443</v>
      </c>
      <c r="D5875" s="5">
        <v>5</v>
      </c>
      <c r="E5875" s="5">
        <v>0</v>
      </c>
      <c r="F5875" s="5" t="s">
        <v>8</v>
      </c>
      <c r="G5875" s="15" t="s">
        <v>9</v>
      </c>
      <c r="H5875" s="24">
        <v>0</v>
      </c>
      <c r="I5875" s="24" t="s">
        <v>21</v>
      </c>
      <c r="J5875" s="24">
        <v>0</v>
      </c>
      <c r="K5875" s="24" t="s">
        <v>21</v>
      </c>
      <c r="L5875" s="24" t="s">
        <v>21</v>
      </c>
      <c r="M5875" s="24" t="s">
        <v>21</v>
      </c>
      <c r="N5875" s="24" t="s">
        <v>21</v>
      </c>
      <c r="O5875" s="24" t="s">
        <v>21</v>
      </c>
      <c r="P5875" s="24" t="s">
        <v>21</v>
      </c>
      <c r="Q5875" s="24" t="s">
        <v>21</v>
      </c>
      <c r="R5875" s="24" t="s">
        <v>21</v>
      </c>
      <c r="S5875" s="24" t="s">
        <v>21</v>
      </c>
    </row>
    <row r="5876" spans="1:19" x14ac:dyDescent="0.2">
      <c r="A5876" s="12">
        <v>45986</v>
      </c>
      <c r="B5876" s="5" t="s">
        <v>14</v>
      </c>
      <c r="C5876" s="6">
        <v>0.48819444444444443</v>
      </c>
      <c r="D5876" s="5">
        <v>3</v>
      </c>
      <c r="E5876" s="5">
        <v>0</v>
      </c>
      <c r="F5876" s="5" t="s">
        <v>8</v>
      </c>
      <c r="G5876" s="15" t="s">
        <v>9</v>
      </c>
      <c r="H5876" s="24">
        <v>0</v>
      </c>
      <c r="I5876" s="24" t="s">
        <v>21</v>
      </c>
      <c r="J5876" s="24" t="s">
        <v>21</v>
      </c>
      <c r="K5876" s="24">
        <v>3.9999999920837581</v>
      </c>
      <c r="L5876" s="24" t="s">
        <v>21</v>
      </c>
      <c r="M5876" s="24" t="s">
        <v>21</v>
      </c>
      <c r="N5876" s="24" t="s">
        <v>21</v>
      </c>
      <c r="O5876" s="24" t="s">
        <v>21</v>
      </c>
      <c r="P5876" s="24" t="s">
        <v>21</v>
      </c>
      <c r="Q5876" s="24" t="s">
        <v>21</v>
      </c>
      <c r="R5876" s="24" t="s">
        <v>21</v>
      </c>
      <c r="S5876" s="24" t="s">
        <v>21</v>
      </c>
    </row>
    <row r="5877" spans="1:19" x14ac:dyDescent="0.2">
      <c r="A5877" s="12">
        <v>45986</v>
      </c>
      <c r="B5877" s="5" t="s">
        <v>14</v>
      </c>
      <c r="C5877" s="6">
        <v>0.49027777777777776</v>
      </c>
      <c r="D5877" s="5">
        <v>4</v>
      </c>
      <c r="E5877" s="5">
        <v>0</v>
      </c>
      <c r="F5877" s="5" t="s">
        <v>8</v>
      </c>
      <c r="G5877" s="15" t="s">
        <v>9</v>
      </c>
      <c r="H5877" s="24">
        <v>2.9999999993015081</v>
      </c>
      <c r="I5877" s="24" t="s">
        <v>21</v>
      </c>
      <c r="J5877" s="24" t="s">
        <v>21</v>
      </c>
      <c r="K5877" s="24">
        <v>2.9999999993015081</v>
      </c>
      <c r="L5877" s="24" t="s">
        <v>21</v>
      </c>
      <c r="M5877" s="24" t="s">
        <v>21</v>
      </c>
      <c r="N5877" s="24" t="s">
        <v>21</v>
      </c>
      <c r="O5877" s="24" t="s">
        <v>21</v>
      </c>
      <c r="P5877" s="24" t="s">
        <v>21</v>
      </c>
      <c r="Q5877" s="24" t="s">
        <v>21</v>
      </c>
      <c r="R5877" s="24" t="s">
        <v>21</v>
      </c>
      <c r="S5877" s="24" t="s">
        <v>21</v>
      </c>
    </row>
    <row r="5878" spans="1:19" x14ac:dyDescent="0.2">
      <c r="A5878" s="12">
        <v>45986</v>
      </c>
      <c r="B5878" s="5" t="s">
        <v>10</v>
      </c>
      <c r="C5878" s="6">
        <v>0.49027777777777776</v>
      </c>
      <c r="D5878" s="5">
        <v>0</v>
      </c>
      <c r="E5878" s="5">
        <v>2</v>
      </c>
      <c r="F5878" s="5" t="s">
        <v>8</v>
      </c>
      <c r="G5878" s="15" t="s">
        <v>9</v>
      </c>
      <c r="H5878" s="24">
        <v>0</v>
      </c>
      <c r="I5878" s="24" t="s">
        <v>21</v>
      </c>
      <c r="J5878" s="24">
        <v>2.9999999993015081</v>
      </c>
      <c r="K5878" s="24" t="s">
        <v>21</v>
      </c>
      <c r="L5878" s="24" t="s">
        <v>21</v>
      </c>
      <c r="M5878" s="24" t="s">
        <v>21</v>
      </c>
      <c r="N5878" s="24" t="s">
        <v>21</v>
      </c>
      <c r="O5878" s="24" t="s">
        <v>21</v>
      </c>
      <c r="P5878" s="24" t="s">
        <v>21</v>
      </c>
      <c r="Q5878" s="24" t="s">
        <v>21</v>
      </c>
      <c r="R5878" s="24" t="s">
        <v>21</v>
      </c>
      <c r="S5878" s="24" t="s">
        <v>21</v>
      </c>
    </row>
    <row r="5879" spans="1:19" x14ac:dyDescent="0.2">
      <c r="A5879" s="12">
        <v>45986</v>
      </c>
      <c r="B5879" s="5" t="s">
        <v>14</v>
      </c>
      <c r="C5879" s="6">
        <v>0.49027777777777776</v>
      </c>
      <c r="D5879" s="5">
        <v>0</v>
      </c>
      <c r="E5879" s="5">
        <v>0</v>
      </c>
      <c r="F5879" s="5" t="s">
        <v>8</v>
      </c>
      <c r="G5879" s="15" t="s">
        <v>9</v>
      </c>
      <c r="H5879" s="24">
        <v>0</v>
      </c>
      <c r="I5879" s="24" t="s">
        <v>21</v>
      </c>
      <c r="J5879" s="24" t="s">
        <v>21</v>
      </c>
      <c r="K5879" s="24">
        <v>0</v>
      </c>
      <c r="L5879" s="24" t="s">
        <v>21</v>
      </c>
      <c r="M5879" s="24" t="s">
        <v>21</v>
      </c>
      <c r="N5879" s="24" t="s">
        <v>21</v>
      </c>
      <c r="O5879" s="24" t="s">
        <v>21</v>
      </c>
      <c r="P5879" s="24" t="s">
        <v>21</v>
      </c>
      <c r="Q5879" s="24" t="s">
        <v>21</v>
      </c>
      <c r="R5879" s="24" t="s">
        <v>21</v>
      </c>
      <c r="S5879" s="24" t="s">
        <v>21</v>
      </c>
    </row>
    <row r="5880" spans="1:19" x14ac:dyDescent="0.2">
      <c r="A5880" s="12">
        <v>45986</v>
      </c>
      <c r="B5880" s="5" t="s">
        <v>10</v>
      </c>
      <c r="C5880" s="6">
        <v>0.49166666666666664</v>
      </c>
      <c r="D5880" s="5">
        <v>2</v>
      </c>
      <c r="E5880" s="5">
        <v>0</v>
      </c>
      <c r="F5880" s="5" t="s">
        <v>8</v>
      </c>
      <c r="G5880" s="15" t="s">
        <v>9</v>
      </c>
      <c r="H5880" s="24">
        <v>2.000000006519258</v>
      </c>
      <c r="I5880" s="24" t="s">
        <v>21</v>
      </c>
      <c r="J5880" s="24">
        <v>2.000000006519258</v>
      </c>
      <c r="K5880" s="24" t="s">
        <v>21</v>
      </c>
      <c r="L5880" s="24" t="s">
        <v>21</v>
      </c>
      <c r="M5880" s="24" t="s">
        <v>21</v>
      </c>
      <c r="N5880" s="24" t="s">
        <v>21</v>
      </c>
      <c r="O5880" s="24" t="s">
        <v>21</v>
      </c>
      <c r="P5880" s="24" t="s">
        <v>21</v>
      </c>
      <c r="Q5880" s="24" t="s">
        <v>21</v>
      </c>
      <c r="R5880" s="24" t="s">
        <v>21</v>
      </c>
      <c r="S5880" s="24" t="s">
        <v>21</v>
      </c>
    </row>
    <row r="5881" spans="1:19" x14ac:dyDescent="0.2">
      <c r="A5881" s="12">
        <v>45986</v>
      </c>
      <c r="B5881" s="5" t="s">
        <v>10</v>
      </c>
      <c r="C5881" s="6">
        <v>0.49236111111111114</v>
      </c>
      <c r="D5881" s="5">
        <v>6</v>
      </c>
      <c r="E5881" s="5">
        <v>0</v>
      </c>
      <c r="F5881" s="5" t="s">
        <v>8</v>
      </c>
      <c r="G5881" s="15" t="s">
        <v>9</v>
      </c>
      <c r="H5881" s="24">
        <v>0.99999999278225005</v>
      </c>
      <c r="I5881" s="24" t="s">
        <v>21</v>
      </c>
      <c r="J5881" s="24">
        <v>0.99999999278225005</v>
      </c>
      <c r="K5881" s="24" t="s">
        <v>21</v>
      </c>
      <c r="L5881" s="24" t="s">
        <v>21</v>
      </c>
      <c r="M5881" s="24" t="s">
        <v>21</v>
      </c>
      <c r="N5881" s="24" t="s">
        <v>21</v>
      </c>
      <c r="O5881" s="24" t="s">
        <v>21</v>
      </c>
      <c r="P5881" s="24" t="s">
        <v>21</v>
      </c>
      <c r="Q5881" s="24" t="s">
        <v>21</v>
      </c>
      <c r="R5881" s="24" t="s">
        <v>21</v>
      </c>
      <c r="S5881" s="24" t="s">
        <v>21</v>
      </c>
    </row>
    <row r="5882" spans="1:19" x14ac:dyDescent="0.2">
      <c r="A5882" s="12">
        <v>45986</v>
      </c>
      <c r="B5882" s="5" t="s">
        <v>14</v>
      </c>
      <c r="C5882" s="6">
        <v>0.49236111111111114</v>
      </c>
      <c r="D5882" s="5">
        <v>0</v>
      </c>
      <c r="E5882" s="5">
        <v>0</v>
      </c>
      <c r="F5882" s="5" t="s">
        <v>8</v>
      </c>
      <c r="G5882" s="15" t="s">
        <v>9</v>
      </c>
      <c r="H5882" s="24">
        <v>0</v>
      </c>
      <c r="I5882" s="24" t="s">
        <v>21</v>
      </c>
      <c r="J5882" s="24" t="s">
        <v>21</v>
      </c>
      <c r="K5882" s="24">
        <v>2.9999999993015081</v>
      </c>
      <c r="L5882" s="24" t="s">
        <v>21</v>
      </c>
      <c r="M5882" s="24" t="s">
        <v>21</v>
      </c>
      <c r="N5882" s="24" t="s">
        <v>21</v>
      </c>
      <c r="O5882" s="24" t="s">
        <v>21</v>
      </c>
      <c r="P5882" s="24" t="s">
        <v>21</v>
      </c>
      <c r="Q5882" s="24" t="s">
        <v>21</v>
      </c>
      <c r="R5882" s="24" t="s">
        <v>21</v>
      </c>
      <c r="S5882" s="24" t="s">
        <v>21</v>
      </c>
    </row>
    <row r="5883" spans="1:19" x14ac:dyDescent="0.2">
      <c r="A5883" s="12">
        <v>45986</v>
      </c>
      <c r="B5883" s="5" t="s">
        <v>14</v>
      </c>
      <c r="C5883" s="6">
        <v>0.49375000000000002</v>
      </c>
      <c r="D5883" s="5">
        <v>1</v>
      </c>
      <c r="E5883" s="5">
        <v>0</v>
      </c>
      <c r="F5883" s="5" t="s">
        <v>8</v>
      </c>
      <c r="G5883" s="15" t="s">
        <v>9</v>
      </c>
      <c r="H5883" s="24">
        <v>2.000000006519258</v>
      </c>
      <c r="I5883" s="24" t="s">
        <v>21</v>
      </c>
      <c r="J5883" s="24" t="s">
        <v>21</v>
      </c>
      <c r="K5883" s="24">
        <v>2.000000006519258</v>
      </c>
      <c r="L5883" s="24" t="s">
        <v>21</v>
      </c>
      <c r="M5883" s="24" t="s">
        <v>21</v>
      </c>
      <c r="N5883" s="24" t="s">
        <v>21</v>
      </c>
      <c r="O5883" s="24" t="s">
        <v>21</v>
      </c>
      <c r="P5883" s="24" t="s">
        <v>21</v>
      </c>
      <c r="Q5883" s="24" t="s">
        <v>21</v>
      </c>
      <c r="R5883" s="24" t="s">
        <v>21</v>
      </c>
      <c r="S5883" s="24" t="s">
        <v>21</v>
      </c>
    </row>
    <row r="5884" spans="1:19" x14ac:dyDescent="0.2">
      <c r="A5884" s="12">
        <v>45986</v>
      </c>
      <c r="B5884" s="5" t="s">
        <v>10</v>
      </c>
      <c r="C5884" s="6">
        <v>0.50624999999999998</v>
      </c>
      <c r="D5884" s="5">
        <v>4</v>
      </c>
      <c r="E5884" s="5">
        <v>0</v>
      </c>
      <c r="F5884" s="5" t="s">
        <v>8</v>
      </c>
      <c r="G5884" s="15" t="s">
        <v>9</v>
      </c>
      <c r="H5884" s="24">
        <v>17.999999995809048</v>
      </c>
      <c r="I5884" s="24" t="s">
        <v>21</v>
      </c>
      <c r="J5884" s="24">
        <v>20.000000002328306</v>
      </c>
      <c r="K5884" s="24" t="s">
        <v>21</v>
      </c>
      <c r="L5884" s="24" t="s">
        <v>21</v>
      </c>
      <c r="M5884" s="24" t="s">
        <v>21</v>
      </c>
      <c r="N5884" s="24" t="s">
        <v>21</v>
      </c>
      <c r="O5884" s="24" t="s">
        <v>21</v>
      </c>
      <c r="P5884" s="24" t="s">
        <v>21</v>
      </c>
      <c r="Q5884" s="24" t="s">
        <v>21</v>
      </c>
      <c r="R5884" s="24" t="s">
        <v>21</v>
      </c>
      <c r="S5884" s="24" t="s">
        <v>21</v>
      </c>
    </row>
    <row r="5885" spans="1:19" x14ac:dyDescent="0.2">
      <c r="A5885" s="12">
        <v>45986</v>
      </c>
      <c r="B5885" s="5" t="s">
        <v>10</v>
      </c>
      <c r="C5885" s="6">
        <v>0.50624999999999998</v>
      </c>
      <c r="D5885" s="5">
        <v>1</v>
      </c>
      <c r="E5885" s="5">
        <v>0</v>
      </c>
      <c r="F5885" s="5" t="s">
        <v>8</v>
      </c>
      <c r="G5885" s="15" t="s">
        <v>9</v>
      </c>
      <c r="H5885" s="24">
        <v>0</v>
      </c>
      <c r="I5885" s="24" t="s">
        <v>21</v>
      </c>
      <c r="J5885" s="24">
        <v>0</v>
      </c>
      <c r="K5885" s="24" t="s">
        <v>21</v>
      </c>
      <c r="L5885" s="24" t="s">
        <v>21</v>
      </c>
      <c r="M5885" s="24" t="s">
        <v>21</v>
      </c>
      <c r="N5885" s="24" t="s">
        <v>21</v>
      </c>
      <c r="O5885" s="24" t="s">
        <v>21</v>
      </c>
      <c r="P5885" s="24" t="s">
        <v>21</v>
      </c>
      <c r="Q5885" s="24" t="s">
        <v>21</v>
      </c>
      <c r="R5885" s="24" t="s">
        <v>21</v>
      </c>
      <c r="S5885" s="24" t="s">
        <v>21</v>
      </c>
    </row>
    <row r="5886" spans="1:19" x14ac:dyDescent="0.2">
      <c r="A5886" s="12">
        <v>45986</v>
      </c>
      <c r="B5886" s="5" t="s">
        <v>16</v>
      </c>
      <c r="C5886" s="6">
        <v>0.50694444444444442</v>
      </c>
      <c r="D5886" s="5">
        <v>0</v>
      </c>
      <c r="E5886" s="5">
        <v>10</v>
      </c>
      <c r="F5886" s="5" t="s">
        <v>8</v>
      </c>
      <c r="G5886" s="15" t="s">
        <v>9</v>
      </c>
      <c r="H5886" s="24">
        <v>1.000000003259629</v>
      </c>
      <c r="I5886" s="24" t="s">
        <v>21</v>
      </c>
      <c r="J5886" s="24" t="s">
        <v>21</v>
      </c>
      <c r="K5886" s="24" t="s">
        <v>21</v>
      </c>
      <c r="L5886" s="24">
        <v>104.99999999650754</v>
      </c>
      <c r="M5886" s="24" t="s">
        <v>21</v>
      </c>
      <c r="N5886" s="24" t="s">
        <v>21</v>
      </c>
      <c r="O5886" s="24" t="s">
        <v>21</v>
      </c>
      <c r="P5886" s="24" t="s">
        <v>21</v>
      </c>
      <c r="Q5886" s="24" t="s">
        <v>21</v>
      </c>
      <c r="R5886" s="24" t="s">
        <v>21</v>
      </c>
      <c r="S5886" s="24" t="s">
        <v>21</v>
      </c>
    </row>
    <row r="5887" spans="1:19" x14ac:dyDescent="0.2">
      <c r="A5887" s="12">
        <v>45986</v>
      </c>
      <c r="B5887" s="5" t="s">
        <v>16</v>
      </c>
      <c r="C5887" s="6">
        <v>0.50694444444444442</v>
      </c>
      <c r="D5887" s="5">
        <v>1</v>
      </c>
      <c r="E5887" s="5">
        <v>7</v>
      </c>
      <c r="F5887" s="5" t="s">
        <v>8</v>
      </c>
      <c r="G5887" s="15" t="s">
        <v>9</v>
      </c>
      <c r="H5887" s="24">
        <v>0</v>
      </c>
      <c r="I5887" s="24" t="s">
        <v>21</v>
      </c>
      <c r="J5887" s="24" t="s">
        <v>21</v>
      </c>
      <c r="K5887" s="24" t="s">
        <v>21</v>
      </c>
      <c r="L5887" s="24">
        <v>0</v>
      </c>
      <c r="M5887" s="24" t="s">
        <v>21</v>
      </c>
      <c r="N5887" s="24" t="s">
        <v>21</v>
      </c>
      <c r="O5887" s="24" t="s">
        <v>21</v>
      </c>
      <c r="P5887" s="24" t="s">
        <v>21</v>
      </c>
      <c r="Q5887" s="24" t="s">
        <v>21</v>
      </c>
      <c r="R5887" s="24" t="s">
        <v>21</v>
      </c>
      <c r="S5887" s="24" t="s">
        <v>21</v>
      </c>
    </row>
    <row r="5888" spans="1:19" x14ac:dyDescent="0.2">
      <c r="A5888" s="12">
        <v>45986</v>
      </c>
      <c r="B5888" s="5" t="s">
        <v>16</v>
      </c>
      <c r="C5888" s="6">
        <v>0.53333333333333333</v>
      </c>
      <c r="D5888" s="5">
        <v>0</v>
      </c>
      <c r="E5888" s="5">
        <v>9</v>
      </c>
      <c r="F5888" s="5" t="s">
        <v>8</v>
      </c>
      <c r="G5888" s="15" t="s">
        <v>9</v>
      </c>
      <c r="H5888" s="24">
        <v>37.999999998137355</v>
      </c>
      <c r="I5888" s="24" t="s">
        <v>21</v>
      </c>
      <c r="J5888" s="24" t="s">
        <v>21</v>
      </c>
      <c r="K5888" s="24" t="s">
        <v>21</v>
      </c>
      <c r="L5888" s="24">
        <v>37.999999998137355</v>
      </c>
      <c r="M5888" s="24" t="s">
        <v>21</v>
      </c>
      <c r="N5888" s="24" t="s">
        <v>21</v>
      </c>
      <c r="O5888" s="24" t="s">
        <v>21</v>
      </c>
      <c r="P5888" s="24" t="s">
        <v>21</v>
      </c>
      <c r="Q5888" s="24" t="s">
        <v>21</v>
      </c>
      <c r="R5888" s="24" t="s">
        <v>21</v>
      </c>
      <c r="S5888" s="24" t="s">
        <v>21</v>
      </c>
    </row>
    <row r="5889" spans="1:19" x14ac:dyDescent="0.2">
      <c r="A5889" s="12">
        <v>45986</v>
      </c>
      <c r="B5889" s="5" t="s">
        <v>16</v>
      </c>
      <c r="C5889" s="6">
        <v>0.53402777777777777</v>
      </c>
      <c r="D5889" s="5">
        <v>0</v>
      </c>
      <c r="E5889" s="5">
        <v>1</v>
      </c>
      <c r="F5889" s="5" t="s">
        <v>8</v>
      </c>
      <c r="G5889" s="15" t="s">
        <v>9</v>
      </c>
      <c r="H5889" s="24">
        <v>1.000000003259629</v>
      </c>
      <c r="I5889" s="24" t="s">
        <v>21</v>
      </c>
      <c r="J5889" s="24" t="s">
        <v>21</v>
      </c>
      <c r="K5889" s="24" t="s">
        <v>21</v>
      </c>
      <c r="L5889" s="24">
        <v>1.000000003259629</v>
      </c>
      <c r="M5889" s="24" t="s">
        <v>21</v>
      </c>
      <c r="N5889" s="24" t="s">
        <v>21</v>
      </c>
      <c r="O5889" s="24" t="s">
        <v>21</v>
      </c>
      <c r="P5889" s="24" t="s">
        <v>21</v>
      </c>
      <c r="Q5889" s="24" t="s">
        <v>21</v>
      </c>
      <c r="R5889" s="24" t="s">
        <v>21</v>
      </c>
      <c r="S5889" s="24" t="s">
        <v>21</v>
      </c>
    </row>
    <row r="5890" spans="1:19" x14ac:dyDescent="0.2">
      <c r="A5890" s="12">
        <v>45986</v>
      </c>
      <c r="B5890" s="5" t="s">
        <v>16</v>
      </c>
      <c r="C5890" s="6">
        <v>0.53749999999999998</v>
      </c>
      <c r="D5890" s="5">
        <v>0</v>
      </c>
      <c r="E5890" s="5">
        <v>9</v>
      </c>
      <c r="F5890" s="5" t="s">
        <v>8</v>
      </c>
      <c r="G5890" s="15" t="s">
        <v>9</v>
      </c>
      <c r="H5890" s="24">
        <v>4.9999999953433871</v>
      </c>
      <c r="I5890" s="24" t="s">
        <v>21</v>
      </c>
      <c r="J5890" s="24" t="s">
        <v>21</v>
      </c>
      <c r="K5890" s="24" t="s">
        <v>21</v>
      </c>
      <c r="L5890" s="24">
        <v>4.9999999953433871</v>
      </c>
      <c r="M5890" s="24" t="s">
        <v>21</v>
      </c>
      <c r="N5890" s="24" t="s">
        <v>21</v>
      </c>
      <c r="O5890" s="24" t="s">
        <v>21</v>
      </c>
      <c r="P5890" s="24" t="s">
        <v>21</v>
      </c>
      <c r="Q5890" s="24" t="s">
        <v>21</v>
      </c>
      <c r="R5890" s="24" t="s">
        <v>21</v>
      </c>
      <c r="S5890" s="24" t="s">
        <v>21</v>
      </c>
    </row>
    <row r="5891" spans="1:19" x14ac:dyDescent="0.2">
      <c r="A5891" s="12">
        <v>45986</v>
      </c>
      <c r="B5891" s="5" t="s">
        <v>10</v>
      </c>
      <c r="C5891" s="6">
        <v>0.5444444444444444</v>
      </c>
      <c r="D5891" s="5">
        <v>3</v>
      </c>
      <c r="E5891" s="5">
        <v>0</v>
      </c>
      <c r="F5891" s="5" t="s">
        <v>8</v>
      </c>
      <c r="G5891" s="15" t="s">
        <v>9</v>
      </c>
      <c r="H5891" s="24">
        <v>10.000000001164153</v>
      </c>
      <c r="I5891" s="24" t="s">
        <v>21</v>
      </c>
      <c r="J5891" s="24">
        <v>55.000000001164153</v>
      </c>
      <c r="K5891" s="24" t="s">
        <v>21</v>
      </c>
      <c r="L5891" s="24" t="s">
        <v>21</v>
      </c>
      <c r="M5891" s="24" t="s">
        <v>21</v>
      </c>
      <c r="N5891" s="24" t="s">
        <v>21</v>
      </c>
      <c r="O5891" s="24" t="s">
        <v>21</v>
      </c>
      <c r="P5891" s="24" t="s">
        <v>21</v>
      </c>
      <c r="Q5891" s="24" t="s">
        <v>21</v>
      </c>
      <c r="R5891" s="24" t="s">
        <v>21</v>
      </c>
      <c r="S5891" s="24" t="s">
        <v>21</v>
      </c>
    </row>
    <row r="5892" spans="1:19" x14ac:dyDescent="0.2">
      <c r="A5892" s="12">
        <v>45986</v>
      </c>
      <c r="B5892" s="5" t="s">
        <v>10</v>
      </c>
      <c r="C5892" s="6">
        <v>0.5444444444444444</v>
      </c>
      <c r="D5892" s="5">
        <v>1</v>
      </c>
      <c r="E5892" s="5">
        <v>0</v>
      </c>
      <c r="F5892" s="5" t="s">
        <v>8</v>
      </c>
      <c r="G5892" s="15" t="s">
        <v>9</v>
      </c>
      <c r="H5892" s="24">
        <v>0</v>
      </c>
      <c r="I5892" s="24" t="s">
        <v>21</v>
      </c>
      <c r="J5892" s="24">
        <v>0</v>
      </c>
      <c r="K5892" s="24" t="s">
        <v>21</v>
      </c>
      <c r="L5892" s="24" t="s">
        <v>21</v>
      </c>
      <c r="M5892" s="24" t="s">
        <v>21</v>
      </c>
      <c r="N5892" s="24" t="s">
        <v>21</v>
      </c>
      <c r="O5892" s="24" t="s">
        <v>21</v>
      </c>
      <c r="P5892" s="24" t="s">
        <v>21</v>
      </c>
      <c r="Q5892" s="24" t="s">
        <v>21</v>
      </c>
      <c r="R5892" s="24" t="s">
        <v>21</v>
      </c>
      <c r="S5892" s="24" t="s">
        <v>21</v>
      </c>
    </row>
    <row r="5893" spans="1:19" x14ac:dyDescent="0.2">
      <c r="A5893" s="12">
        <v>45986</v>
      </c>
      <c r="B5893" s="5" t="s">
        <v>10</v>
      </c>
      <c r="C5893" s="6">
        <v>0.54513888888888884</v>
      </c>
      <c r="D5893" s="5">
        <v>1</v>
      </c>
      <c r="E5893" s="5">
        <v>0</v>
      </c>
      <c r="F5893" s="5" t="s">
        <v>8</v>
      </c>
      <c r="G5893" s="15" t="s">
        <v>9</v>
      </c>
      <c r="H5893" s="24">
        <v>1.000000003259629</v>
      </c>
      <c r="I5893" s="24" t="s">
        <v>21</v>
      </c>
      <c r="J5893" s="24">
        <v>1.000000003259629</v>
      </c>
      <c r="K5893" s="24" t="s">
        <v>21</v>
      </c>
      <c r="L5893" s="24" t="s">
        <v>21</v>
      </c>
      <c r="M5893" s="24" t="s">
        <v>21</v>
      </c>
      <c r="N5893" s="24" t="s">
        <v>21</v>
      </c>
      <c r="O5893" s="24" t="s">
        <v>21</v>
      </c>
      <c r="P5893" s="24" t="s">
        <v>21</v>
      </c>
      <c r="Q5893" s="24" t="s">
        <v>21</v>
      </c>
      <c r="R5893" s="24" t="s">
        <v>21</v>
      </c>
      <c r="S5893" s="24" t="s">
        <v>21</v>
      </c>
    </row>
    <row r="5894" spans="1:19" x14ac:dyDescent="0.2">
      <c r="A5894" s="12">
        <v>45986</v>
      </c>
      <c r="B5894" s="5" t="s">
        <v>10</v>
      </c>
      <c r="C5894" s="6">
        <v>0.54513888888888884</v>
      </c>
      <c r="D5894" s="5">
        <v>0</v>
      </c>
      <c r="E5894" s="5">
        <v>0</v>
      </c>
      <c r="F5894" s="5" t="s">
        <v>8</v>
      </c>
      <c r="G5894" s="15" t="s">
        <v>9</v>
      </c>
      <c r="H5894" s="24">
        <v>0</v>
      </c>
      <c r="I5894" s="24" t="s">
        <v>21</v>
      </c>
      <c r="J5894" s="24">
        <v>0</v>
      </c>
      <c r="K5894" s="24" t="s">
        <v>21</v>
      </c>
      <c r="L5894" s="24" t="s">
        <v>21</v>
      </c>
      <c r="M5894" s="24" t="s">
        <v>21</v>
      </c>
      <c r="N5894" s="24" t="s">
        <v>21</v>
      </c>
      <c r="O5894" s="24" t="s">
        <v>21</v>
      </c>
      <c r="P5894" s="24" t="s">
        <v>21</v>
      </c>
      <c r="Q5894" s="24" t="s">
        <v>21</v>
      </c>
      <c r="R5894" s="24" t="s">
        <v>21</v>
      </c>
      <c r="S5894" s="24" t="s">
        <v>21</v>
      </c>
    </row>
    <row r="5895" spans="1:19" x14ac:dyDescent="0.2">
      <c r="A5895" s="12">
        <v>45986</v>
      </c>
      <c r="B5895" s="5" t="s">
        <v>10</v>
      </c>
      <c r="C5895" s="6">
        <v>0.54652777777777772</v>
      </c>
      <c r="D5895" s="5">
        <v>0</v>
      </c>
      <c r="E5895" s="5">
        <v>6</v>
      </c>
      <c r="F5895" s="5" t="s">
        <v>8</v>
      </c>
      <c r="G5895" s="15" t="s">
        <v>9</v>
      </c>
      <c r="H5895" s="24">
        <v>1.9999999960418791</v>
      </c>
      <c r="I5895" s="24" t="s">
        <v>21</v>
      </c>
      <c r="J5895" s="24">
        <v>1.9999999960418791</v>
      </c>
      <c r="K5895" s="24" t="s">
        <v>21</v>
      </c>
      <c r="L5895" s="24" t="s">
        <v>21</v>
      </c>
      <c r="M5895" s="24" t="s">
        <v>21</v>
      </c>
      <c r="N5895" s="24" t="s">
        <v>21</v>
      </c>
      <c r="O5895" s="24" t="s">
        <v>21</v>
      </c>
      <c r="P5895" s="24" t="s">
        <v>21</v>
      </c>
      <c r="Q5895" s="24" t="s">
        <v>21</v>
      </c>
      <c r="R5895" s="24" t="s">
        <v>21</v>
      </c>
      <c r="S5895" s="24" t="s">
        <v>21</v>
      </c>
    </row>
    <row r="5896" spans="1:19" x14ac:dyDescent="0.2">
      <c r="A5896" s="12">
        <v>45986</v>
      </c>
      <c r="B5896" s="5" t="s">
        <v>10</v>
      </c>
      <c r="C5896" s="6">
        <v>0.54722222222222228</v>
      </c>
      <c r="D5896" s="5">
        <v>1</v>
      </c>
      <c r="E5896" s="5">
        <v>0</v>
      </c>
      <c r="F5896" s="5" t="s">
        <v>8</v>
      </c>
      <c r="G5896" s="15" t="s">
        <v>9</v>
      </c>
      <c r="H5896" s="24">
        <v>1.000000003259629</v>
      </c>
      <c r="I5896" s="24" t="s">
        <v>21</v>
      </c>
      <c r="J5896" s="24">
        <v>1.000000003259629</v>
      </c>
      <c r="K5896" s="24" t="s">
        <v>21</v>
      </c>
      <c r="L5896" s="24" t="s">
        <v>21</v>
      </c>
      <c r="M5896" s="24" t="s">
        <v>21</v>
      </c>
      <c r="N5896" s="24" t="s">
        <v>21</v>
      </c>
      <c r="O5896" s="24" t="s">
        <v>21</v>
      </c>
      <c r="P5896" s="24" t="s">
        <v>21</v>
      </c>
      <c r="Q5896" s="24" t="s">
        <v>21</v>
      </c>
      <c r="R5896" s="24" t="s">
        <v>21</v>
      </c>
      <c r="S5896" s="24" t="s">
        <v>21</v>
      </c>
    </row>
    <row r="5897" spans="1:19" x14ac:dyDescent="0.2">
      <c r="A5897" s="12">
        <v>45986</v>
      </c>
      <c r="B5897" s="5" t="s">
        <v>10</v>
      </c>
      <c r="C5897" s="6">
        <v>0.5805555555555556</v>
      </c>
      <c r="D5897" s="5">
        <v>2</v>
      </c>
      <c r="E5897" s="5">
        <v>0</v>
      </c>
      <c r="F5897" s="5" t="s">
        <v>8</v>
      </c>
      <c r="G5897" s="15" t="s">
        <v>9</v>
      </c>
      <c r="H5897" s="24">
        <v>47.999999999301508</v>
      </c>
      <c r="I5897" s="24" t="s">
        <v>21</v>
      </c>
      <c r="J5897" s="24">
        <v>47.999999999301508</v>
      </c>
      <c r="K5897" s="24" t="s">
        <v>21</v>
      </c>
      <c r="L5897" s="24" t="s">
        <v>21</v>
      </c>
      <c r="M5897" s="24" t="s">
        <v>21</v>
      </c>
      <c r="N5897" s="24" t="s">
        <v>21</v>
      </c>
      <c r="O5897" s="24" t="s">
        <v>21</v>
      </c>
      <c r="P5897" s="24" t="s">
        <v>21</v>
      </c>
      <c r="Q5897" s="24" t="s">
        <v>21</v>
      </c>
      <c r="R5897" s="24" t="s">
        <v>21</v>
      </c>
      <c r="S5897" s="24" t="s">
        <v>21</v>
      </c>
    </row>
    <row r="5898" spans="1:19" x14ac:dyDescent="0.2">
      <c r="A5898" s="12">
        <v>45986</v>
      </c>
      <c r="B5898" s="5" t="s">
        <v>10</v>
      </c>
      <c r="C5898" s="6">
        <v>0.5805555555555556</v>
      </c>
      <c r="D5898" s="5">
        <v>1</v>
      </c>
      <c r="E5898" s="5">
        <v>9</v>
      </c>
      <c r="F5898" s="5" t="s">
        <v>8</v>
      </c>
      <c r="G5898" s="15" t="s">
        <v>9</v>
      </c>
      <c r="H5898" s="24">
        <v>0</v>
      </c>
      <c r="I5898" s="24" t="s">
        <v>21</v>
      </c>
      <c r="J5898" s="24">
        <v>0</v>
      </c>
      <c r="K5898" s="24" t="s">
        <v>21</v>
      </c>
      <c r="L5898" s="24" t="s">
        <v>21</v>
      </c>
      <c r="M5898" s="24" t="s">
        <v>21</v>
      </c>
      <c r="N5898" s="24" t="s">
        <v>21</v>
      </c>
      <c r="O5898" s="24" t="s">
        <v>21</v>
      </c>
      <c r="P5898" s="24" t="s">
        <v>21</v>
      </c>
      <c r="Q5898" s="24" t="s">
        <v>21</v>
      </c>
      <c r="R5898" s="24" t="s">
        <v>21</v>
      </c>
      <c r="S5898" s="24" t="s">
        <v>21</v>
      </c>
    </row>
    <row r="5899" spans="1:19" x14ac:dyDescent="0.2">
      <c r="A5899" s="12">
        <v>45986</v>
      </c>
      <c r="B5899" s="5" t="s">
        <v>10</v>
      </c>
      <c r="C5899" s="6">
        <v>0.58125000000000004</v>
      </c>
      <c r="D5899" s="5">
        <v>1</v>
      </c>
      <c r="E5899" s="5">
        <v>7</v>
      </c>
      <c r="F5899" s="5" t="s">
        <v>8</v>
      </c>
      <c r="G5899" s="15" t="s">
        <v>9</v>
      </c>
      <c r="H5899" s="24">
        <v>1.000000003259629</v>
      </c>
      <c r="I5899" s="24" t="s">
        <v>21</v>
      </c>
      <c r="J5899" s="24">
        <v>1.000000003259629</v>
      </c>
      <c r="K5899" s="24" t="s">
        <v>21</v>
      </c>
      <c r="L5899" s="24" t="s">
        <v>21</v>
      </c>
      <c r="M5899" s="24" t="s">
        <v>21</v>
      </c>
      <c r="N5899" s="24" t="s">
        <v>21</v>
      </c>
      <c r="O5899" s="24" t="s">
        <v>21</v>
      </c>
      <c r="P5899" s="24" t="s">
        <v>21</v>
      </c>
      <c r="Q5899" s="24" t="s">
        <v>21</v>
      </c>
      <c r="R5899" s="24" t="s">
        <v>21</v>
      </c>
      <c r="S5899" s="24" t="s">
        <v>21</v>
      </c>
    </row>
    <row r="5900" spans="1:19" x14ac:dyDescent="0.2">
      <c r="A5900" s="12">
        <v>45986</v>
      </c>
      <c r="B5900" s="5" t="s">
        <v>20</v>
      </c>
      <c r="C5900" s="6">
        <v>0.58125000000000004</v>
      </c>
      <c r="D5900" s="5">
        <v>0</v>
      </c>
      <c r="E5900" s="5">
        <v>0</v>
      </c>
      <c r="F5900" s="5" t="s">
        <v>8</v>
      </c>
      <c r="G5900" s="15" t="s">
        <v>9</v>
      </c>
      <c r="H5900" s="24">
        <v>0</v>
      </c>
      <c r="I5900" s="24" t="s">
        <v>21</v>
      </c>
      <c r="J5900" s="24" t="s">
        <v>21</v>
      </c>
      <c r="K5900" s="24" t="s">
        <v>21</v>
      </c>
      <c r="L5900" s="24" t="s">
        <v>21</v>
      </c>
      <c r="M5900" s="24" t="s">
        <v>21</v>
      </c>
      <c r="N5900" s="24" t="s">
        <v>21</v>
      </c>
      <c r="O5900" s="24">
        <v>150.00000000698492</v>
      </c>
      <c r="P5900" s="24" t="s">
        <v>21</v>
      </c>
      <c r="Q5900" s="24" t="s">
        <v>21</v>
      </c>
      <c r="R5900" s="24" t="s">
        <v>21</v>
      </c>
      <c r="S5900" s="24" t="s">
        <v>21</v>
      </c>
    </row>
    <row r="5901" spans="1:19" x14ac:dyDescent="0.2">
      <c r="A5901" s="12">
        <v>45986</v>
      </c>
      <c r="B5901" s="5" t="s">
        <v>20</v>
      </c>
      <c r="C5901" s="6">
        <v>0.58194444444444449</v>
      </c>
      <c r="D5901" s="5">
        <v>0</v>
      </c>
      <c r="E5901" s="5">
        <v>18</v>
      </c>
      <c r="F5901" s="5" t="s">
        <v>8</v>
      </c>
      <c r="G5901" s="15" t="s">
        <v>9</v>
      </c>
      <c r="H5901" s="24">
        <v>0.99999999278225005</v>
      </c>
      <c r="I5901" s="24" t="s">
        <v>21</v>
      </c>
      <c r="J5901" s="24" t="s">
        <v>21</v>
      </c>
      <c r="K5901" s="24" t="s">
        <v>21</v>
      </c>
      <c r="L5901" s="24" t="s">
        <v>21</v>
      </c>
      <c r="M5901" s="24" t="s">
        <v>21</v>
      </c>
      <c r="N5901" s="24" t="s">
        <v>21</v>
      </c>
      <c r="O5901" s="24">
        <v>0.99999999278225005</v>
      </c>
      <c r="P5901" s="24" t="s">
        <v>21</v>
      </c>
      <c r="Q5901" s="24" t="s">
        <v>21</v>
      </c>
      <c r="R5901" s="24" t="s">
        <v>21</v>
      </c>
      <c r="S5901" s="24" t="s">
        <v>21</v>
      </c>
    </row>
    <row r="5902" spans="1:19" x14ac:dyDescent="0.2">
      <c r="A5902" s="12">
        <v>45986</v>
      </c>
      <c r="B5902" s="5" t="s">
        <v>16</v>
      </c>
      <c r="C5902" s="6">
        <v>0.58194444444444449</v>
      </c>
      <c r="D5902" s="5">
        <v>2</v>
      </c>
      <c r="E5902" s="5">
        <v>0</v>
      </c>
      <c r="F5902" s="5" t="s">
        <v>8</v>
      </c>
      <c r="G5902" s="15" t="s">
        <v>9</v>
      </c>
      <c r="H5902" s="24">
        <v>0</v>
      </c>
      <c r="I5902" s="24" t="s">
        <v>21</v>
      </c>
      <c r="J5902" s="24" t="s">
        <v>21</v>
      </c>
      <c r="K5902" s="24" t="s">
        <v>21</v>
      </c>
      <c r="L5902" s="24">
        <v>63.999999999068677</v>
      </c>
      <c r="M5902" s="24" t="s">
        <v>21</v>
      </c>
      <c r="N5902" s="24" t="s">
        <v>21</v>
      </c>
      <c r="O5902" s="24" t="s">
        <v>21</v>
      </c>
      <c r="P5902" s="24" t="s">
        <v>21</v>
      </c>
      <c r="Q5902" s="24" t="s">
        <v>21</v>
      </c>
      <c r="R5902" s="24" t="s">
        <v>21</v>
      </c>
      <c r="S5902" s="24" t="s">
        <v>21</v>
      </c>
    </row>
    <row r="5903" spans="1:19" x14ac:dyDescent="0.2">
      <c r="A5903" s="12">
        <v>45986</v>
      </c>
      <c r="B5903" s="5" t="s">
        <v>20</v>
      </c>
      <c r="C5903" s="6">
        <v>0.58194444444444449</v>
      </c>
      <c r="D5903" s="5">
        <v>0</v>
      </c>
      <c r="E5903" s="5">
        <v>14</v>
      </c>
      <c r="F5903" s="5" t="s">
        <v>8</v>
      </c>
      <c r="G5903" s="15" t="s">
        <v>9</v>
      </c>
      <c r="H5903" s="24">
        <v>0</v>
      </c>
      <c r="I5903" s="24" t="s">
        <v>21</v>
      </c>
      <c r="J5903" s="24" t="s">
        <v>21</v>
      </c>
      <c r="K5903" s="24" t="s">
        <v>21</v>
      </c>
      <c r="L5903" s="24" t="s">
        <v>21</v>
      </c>
      <c r="M5903" s="24" t="s">
        <v>21</v>
      </c>
      <c r="N5903" s="24" t="s">
        <v>21</v>
      </c>
      <c r="O5903" s="24">
        <v>0</v>
      </c>
      <c r="P5903" s="24" t="s">
        <v>21</v>
      </c>
      <c r="Q5903" s="24" t="s">
        <v>21</v>
      </c>
      <c r="R5903" s="24" t="s">
        <v>21</v>
      </c>
      <c r="S5903" s="24" t="s">
        <v>21</v>
      </c>
    </row>
    <row r="5904" spans="1:19" x14ac:dyDescent="0.2">
      <c r="A5904" s="12">
        <v>45986</v>
      </c>
      <c r="B5904" s="5" t="s">
        <v>16</v>
      </c>
      <c r="C5904" s="6">
        <v>0.58194444444444449</v>
      </c>
      <c r="D5904" s="5">
        <v>2</v>
      </c>
      <c r="E5904" s="5">
        <v>2</v>
      </c>
      <c r="F5904" s="5" t="s">
        <v>8</v>
      </c>
      <c r="G5904" s="15" t="s">
        <v>9</v>
      </c>
      <c r="H5904" s="24">
        <v>0</v>
      </c>
      <c r="I5904" s="24" t="s">
        <v>21</v>
      </c>
      <c r="J5904" s="24" t="s">
        <v>21</v>
      </c>
      <c r="K5904" s="24" t="s">
        <v>21</v>
      </c>
      <c r="L5904" s="24">
        <v>0</v>
      </c>
      <c r="M5904" s="24" t="s">
        <v>21</v>
      </c>
      <c r="N5904" s="24" t="s">
        <v>21</v>
      </c>
      <c r="O5904" s="24" t="s">
        <v>21</v>
      </c>
      <c r="P5904" s="24" t="s">
        <v>21</v>
      </c>
      <c r="Q5904" s="24" t="s">
        <v>21</v>
      </c>
      <c r="R5904" s="24" t="s">
        <v>21</v>
      </c>
      <c r="S5904" s="24" t="s">
        <v>21</v>
      </c>
    </row>
    <row r="5905" spans="1:19" x14ac:dyDescent="0.2">
      <c r="A5905" s="12">
        <v>45986</v>
      </c>
      <c r="B5905" s="5" t="s">
        <v>20</v>
      </c>
      <c r="C5905" s="6">
        <v>0.56874999999999998</v>
      </c>
      <c r="D5905" s="5">
        <v>0</v>
      </c>
      <c r="E5905" s="5">
        <v>18</v>
      </c>
      <c r="F5905" s="5" t="s">
        <v>8</v>
      </c>
      <c r="G5905" s="15" t="s">
        <v>9</v>
      </c>
      <c r="H5905" s="24">
        <v>-18.999999999068677</v>
      </c>
      <c r="I5905" s="24" t="s">
        <v>21</v>
      </c>
      <c r="J5905" s="24" t="s">
        <v>21</v>
      </c>
      <c r="K5905" s="24" t="s">
        <v>21</v>
      </c>
      <c r="L5905" s="24" t="s">
        <v>21</v>
      </c>
      <c r="M5905" s="24" t="s">
        <v>21</v>
      </c>
      <c r="N5905" s="24" t="s">
        <v>21</v>
      </c>
      <c r="O5905" s="24">
        <v>-18.999999999068677</v>
      </c>
      <c r="P5905" s="24" t="s">
        <v>21</v>
      </c>
      <c r="Q5905" s="24" t="s">
        <v>21</v>
      </c>
      <c r="R5905" s="24" t="s">
        <v>21</v>
      </c>
      <c r="S5905" s="24" t="s">
        <v>21</v>
      </c>
    </row>
    <row r="5906" spans="1:19" x14ac:dyDescent="0.2">
      <c r="A5906" s="12">
        <v>45986</v>
      </c>
      <c r="B5906" s="5" t="s">
        <v>16</v>
      </c>
      <c r="C5906" s="6">
        <v>0.56874999999999998</v>
      </c>
      <c r="D5906" s="5">
        <v>4</v>
      </c>
      <c r="E5906" s="5">
        <v>0</v>
      </c>
      <c r="F5906" s="5" t="s">
        <v>8</v>
      </c>
      <c r="G5906" s="15" t="s">
        <v>9</v>
      </c>
      <c r="H5906" s="24">
        <v>0</v>
      </c>
      <c r="I5906" s="24" t="s">
        <v>21</v>
      </c>
      <c r="J5906" s="24" t="s">
        <v>21</v>
      </c>
      <c r="K5906" s="24" t="s">
        <v>21</v>
      </c>
      <c r="L5906" s="24">
        <v>-18.999999999068677</v>
      </c>
      <c r="M5906" s="24" t="s">
        <v>21</v>
      </c>
      <c r="N5906" s="24" t="s">
        <v>21</v>
      </c>
      <c r="O5906" s="24" t="s">
        <v>21</v>
      </c>
      <c r="P5906" s="24" t="s">
        <v>21</v>
      </c>
      <c r="Q5906" s="24" t="s">
        <v>21</v>
      </c>
      <c r="R5906" s="24" t="s">
        <v>21</v>
      </c>
      <c r="S5906" s="24" t="s">
        <v>21</v>
      </c>
    </row>
    <row r="5907" spans="1:19" x14ac:dyDescent="0.2">
      <c r="A5907" s="12">
        <v>45986</v>
      </c>
      <c r="B5907" s="5" t="s">
        <v>20</v>
      </c>
      <c r="C5907" s="6">
        <v>0.56874999999999998</v>
      </c>
      <c r="D5907" s="5">
        <v>5</v>
      </c>
      <c r="E5907" s="5">
        <v>2</v>
      </c>
      <c r="F5907" s="5" t="s">
        <v>8</v>
      </c>
      <c r="G5907" s="15" t="s">
        <v>9</v>
      </c>
      <c r="H5907" s="24">
        <v>0</v>
      </c>
      <c r="I5907" s="24" t="s">
        <v>21</v>
      </c>
      <c r="J5907" s="24" t="s">
        <v>21</v>
      </c>
      <c r="K5907" s="24" t="s">
        <v>21</v>
      </c>
      <c r="L5907" s="24" t="s">
        <v>21</v>
      </c>
      <c r="M5907" s="24" t="s">
        <v>21</v>
      </c>
      <c r="N5907" s="24" t="s">
        <v>21</v>
      </c>
      <c r="O5907" s="24">
        <v>-18.999999999068677</v>
      </c>
      <c r="P5907" s="24" t="s">
        <v>21</v>
      </c>
      <c r="Q5907" s="24" t="s">
        <v>21</v>
      </c>
      <c r="R5907" s="24" t="s">
        <v>21</v>
      </c>
      <c r="S5907" s="24" t="s">
        <v>21</v>
      </c>
    </row>
    <row r="5908" spans="1:19" x14ac:dyDescent="0.2">
      <c r="A5908" s="12">
        <v>45986</v>
      </c>
      <c r="B5908" s="5" t="s">
        <v>20</v>
      </c>
      <c r="C5908" s="6">
        <v>0.58333333333333337</v>
      </c>
      <c r="D5908" s="5">
        <v>0</v>
      </c>
      <c r="E5908" s="5">
        <v>13</v>
      </c>
      <c r="F5908" s="5" t="s">
        <v>8</v>
      </c>
      <c r="G5908" s="15" t="s">
        <v>9</v>
      </c>
      <c r="H5908" s="24">
        <v>21.000000005587935</v>
      </c>
      <c r="I5908" s="24" t="s">
        <v>21</v>
      </c>
      <c r="J5908" s="24" t="s">
        <v>21</v>
      </c>
      <c r="K5908" s="24" t="s">
        <v>21</v>
      </c>
      <c r="L5908" s="24" t="s">
        <v>21</v>
      </c>
      <c r="M5908" s="24" t="s">
        <v>21</v>
      </c>
      <c r="N5908" s="24" t="s">
        <v>21</v>
      </c>
      <c r="O5908" s="24">
        <v>2.000000006519258</v>
      </c>
      <c r="P5908" s="24" t="s">
        <v>21</v>
      </c>
      <c r="Q5908" s="24" t="s">
        <v>21</v>
      </c>
      <c r="R5908" s="24" t="s">
        <v>21</v>
      </c>
      <c r="S5908" s="24" t="s">
        <v>21</v>
      </c>
    </row>
    <row r="5909" spans="1:19" x14ac:dyDescent="0.2">
      <c r="A5909" s="12">
        <v>45986</v>
      </c>
      <c r="B5909" s="5" t="s">
        <v>20</v>
      </c>
      <c r="C5909" s="6">
        <v>0.58402777777777781</v>
      </c>
      <c r="D5909" s="5">
        <v>0</v>
      </c>
      <c r="E5909" s="5">
        <v>23</v>
      </c>
      <c r="F5909" s="5" t="s">
        <v>8</v>
      </c>
      <c r="G5909" s="15" t="s">
        <v>9</v>
      </c>
      <c r="H5909" s="24">
        <v>0.99999999278225005</v>
      </c>
      <c r="I5909" s="24" t="s">
        <v>21</v>
      </c>
      <c r="J5909" s="24" t="s">
        <v>21</v>
      </c>
      <c r="K5909" s="24" t="s">
        <v>21</v>
      </c>
      <c r="L5909" s="24" t="s">
        <v>21</v>
      </c>
      <c r="M5909" s="24" t="s">
        <v>21</v>
      </c>
      <c r="N5909" s="24" t="s">
        <v>21</v>
      </c>
      <c r="O5909" s="24">
        <v>0.99999999278225005</v>
      </c>
      <c r="P5909" s="24" t="s">
        <v>21</v>
      </c>
      <c r="Q5909" s="24" t="s">
        <v>21</v>
      </c>
      <c r="R5909" s="24" t="s">
        <v>21</v>
      </c>
      <c r="S5909" s="24" t="s">
        <v>21</v>
      </c>
    </row>
    <row r="5910" spans="1:19" x14ac:dyDescent="0.2">
      <c r="A5910" s="12">
        <v>45986</v>
      </c>
      <c r="B5910" s="5" t="s">
        <v>20</v>
      </c>
      <c r="C5910" s="6">
        <v>0.58402777777777781</v>
      </c>
      <c r="D5910" s="5">
        <v>0</v>
      </c>
      <c r="E5910" s="5">
        <v>27</v>
      </c>
      <c r="F5910" s="5" t="s">
        <v>8</v>
      </c>
      <c r="G5910" s="15" t="s">
        <v>9</v>
      </c>
      <c r="H5910" s="24">
        <v>0</v>
      </c>
      <c r="I5910" s="24" t="s">
        <v>21</v>
      </c>
      <c r="J5910" s="24" t="s">
        <v>21</v>
      </c>
      <c r="K5910" s="24" t="s">
        <v>21</v>
      </c>
      <c r="L5910" s="24" t="s">
        <v>21</v>
      </c>
      <c r="M5910" s="24" t="s">
        <v>21</v>
      </c>
      <c r="N5910" s="24" t="s">
        <v>21</v>
      </c>
      <c r="O5910" s="24">
        <v>0</v>
      </c>
      <c r="P5910" s="24" t="s">
        <v>21</v>
      </c>
      <c r="Q5910" s="24" t="s">
        <v>21</v>
      </c>
      <c r="R5910" s="24" t="s">
        <v>21</v>
      </c>
      <c r="S5910" s="24" t="s">
        <v>21</v>
      </c>
    </row>
    <row r="5911" spans="1:19" x14ac:dyDescent="0.2">
      <c r="A5911" s="12">
        <v>45986</v>
      </c>
      <c r="B5911" s="5" t="s">
        <v>20</v>
      </c>
      <c r="C5911" s="6">
        <v>0.58472222222222225</v>
      </c>
      <c r="D5911" s="5">
        <v>0</v>
      </c>
      <c r="E5911" s="5">
        <v>33</v>
      </c>
      <c r="F5911" s="5" t="s">
        <v>8</v>
      </c>
      <c r="G5911" s="15" t="s">
        <v>9</v>
      </c>
      <c r="H5911" s="24">
        <v>1.000000003259629</v>
      </c>
      <c r="I5911" s="24" t="s">
        <v>21</v>
      </c>
      <c r="J5911" s="24" t="s">
        <v>21</v>
      </c>
      <c r="K5911" s="24" t="s">
        <v>21</v>
      </c>
      <c r="L5911" s="24" t="s">
        <v>21</v>
      </c>
      <c r="M5911" s="24" t="s">
        <v>21</v>
      </c>
      <c r="N5911" s="24" t="s">
        <v>21</v>
      </c>
      <c r="O5911" s="24">
        <v>1.000000003259629</v>
      </c>
      <c r="P5911" s="24" t="s">
        <v>21</v>
      </c>
      <c r="Q5911" s="24" t="s">
        <v>21</v>
      </c>
      <c r="R5911" s="24" t="s">
        <v>21</v>
      </c>
      <c r="S5911" s="24" t="s">
        <v>21</v>
      </c>
    </row>
    <row r="5912" spans="1:19" x14ac:dyDescent="0.2">
      <c r="A5912" s="12">
        <v>45986</v>
      </c>
      <c r="B5912" s="5" t="s">
        <v>20</v>
      </c>
      <c r="C5912" s="6">
        <v>0.5854166666666667</v>
      </c>
      <c r="D5912" s="5">
        <v>0</v>
      </c>
      <c r="E5912" s="5">
        <v>29</v>
      </c>
      <c r="F5912" s="5" t="s">
        <v>8</v>
      </c>
      <c r="G5912" s="15" t="s">
        <v>9</v>
      </c>
      <c r="H5912" s="24">
        <v>1.000000003259629</v>
      </c>
      <c r="I5912" s="24" t="s">
        <v>21</v>
      </c>
      <c r="J5912" s="24" t="s">
        <v>21</v>
      </c>
      <c r="K5912" s="24" t="s">
        <v>21</v>
      </c>
      <c r="L5912" s="24" t="s">
        <v>21</v>
      </c>
      <c r="M5912" s="24" t="s">
        <v>21</v>
      </c>
      <c r="N5912" s="24" t="s">
        <v>21</v>
      </c>
      <c r="O5912" s="24">
        <v>1.000000003259629</v>
      </c>
      <c r="P5912" s="24" t="s">
        <v>21</v>
      </c>
      <c r="Q5912" s="24" t="s">
        <v>21</v>
      </c>
      <c r="R5912" s="24" t="s">
        <v>21</v>
      </c>
      <c r="S5912" s="24" t="s">
        <v>21</v>
      </c>
    </row>
    <row r="5913" spans="1:19" x14ac:dyDescent="0.2">
      <c r="A5913" s="12">
        <v>45986</v>
      </c>
      <c r="B5913" s="5" t="s">
        <v>20</v>
      </c>
      <c r="C5913" s="6">
        <v>0.5854166666666667</v>
      </c>
      <c r="D5913" s="5">
        <v>0</v>
      </c>
      <c r="E5913" s="5">
        <v>15</v>
      </c>
      <c r="F5913" s="5" t="s">
        <v>8</v>
      </c>
      <c r="G5913" s="15" t="s">
        <v>9</v>
      </c>
      <c r="H5913" s="24">
        <v>0</v>
      </c>
      <c r="I5913" s="24" t="s">
        <v>21</v>
      </c>
      <c r="J5913" s="24" t="s">
        <v>21</v>
      </c>
      <c r="K5913" s="24" t="s">
        <v>21</v>
      </c>
      <c r="L5913" s="24" t="s">
        <v>21</v>
      </c>
      <c r="M5913" s="24" t="s">
        <v>21</v>
      </c>
      <c r="N5913" s="24" t="s">
        <v>21</v>
      </c>
      <c r="O5913" s="24">
        <v>0</v>
      </c>
      <c r="P5913" s="24" t="s">
        <v>21</v>
      </c>
      <c r="Q5913" s="24" t="s">
        <v>21</v>
      </c>
      <c r="R5913" s="24" t="s">
        <v>21</v>
      </c>
      <c r="S5913" s="24" t="s">
        <v>21</v>
      </c>
    </row>
    <row r="5914" spans="1:19" x14ac:dyDescent="0.2">
      <c r="A5914" s="12">
        <v>45986</v>
      </c>
      <c r="B5914" s="5" t="s">
        <v>20</v>
      </c>
      <c r="C5914" s="6">
        <v>0.5854166666666667</v>
      </c>
      <c r="D5914" s="5">
        <v>0</v>
      </c>
      <c r="E5914" s="5">
        <v>20</v>
      </c>
      <c r="F5914" s="5" t="s">
        <v>8</v>
      </c>
      <c r="G5914" s="15" t="s">
        <v>9</v>
      </c>
      <c r="H5914" s="24">
        <v>0</v>
      </c>
      <c r="I5914" s="24" t="s">
        <v>21</v>
      </c>
      <c r="J5914" s="24" t="s">
        <v>21</v>
      </c>
      <c r="K5914" s="24" t="s">
        <v>21</v>
      </c>
      <c r="L5914" s="24" t="s">
        <v>21</v>
      </c>
      <c r="M5914" s="24" t="s">
        <v>21</v>
      </c>
      <c r="N5914" s="24" t="s">
        <v>21</v>
      </c>
      <c r="O5914" s="24">
        <v>0</v>
      </c>
      <c r="P5914" s="24" t="s">
        <v>21</v>
      </c>
      <c r="Q5914" s="24" t="s">
        <v>21</v>
      </c>
      <c r="R5914" s="24" t="s">
        <v>21</v>
      </c>
      <c r="S5914" s="24" t="s">
        <v>21</v>
      </c>
    </row>
    <row r="5915" spans="1:19" x14ac:dyDescent="0.2">
      <c r="A5915" s="12">
        <v>45986</v>
      </c>
      <c r="B5915" s="5" t="s">
        <v>20</v>
      </c>
      <c r="C5915" s="6">
        <v>0.58611111111111114</v>
      </c>
      <c r="D5915" s="5">
        <v>0</v>
      </c>
      <c r="E5915" s="5">
        <v>17</v>
      </c>
      <c r="F5915" s="5" t="s">
        <v>8</v>
      </c>
      <c r="G5915" s="15" t="s">
        <v>9</v>
      </c>
      <c r="H5915" s="24">
        <v>0.99999999278225005</v>
      </c>
      <c r="I5915" s="24" t="s">
        <v>21</v>
      </c>
      <c r="J5915" s="24" t="s">
        <v>21</v>
      </c>
      <c r="K5915" s="24" t="s">
        <v>21</v>
      </c>
      <c r="L5915" s="24" t="s">
        <v>21</v>
      </c>
      <c r="M5915" s="24" t="s">
        <v>21</v>
      </c>
      <c r="N5915" s="24" t="s">
        <v>21</v>
      </c>
      <c r="O5915" s="24">
        <v>0.99999999278225005</v>
      </c>
      <c r="P5915" s="24" t="s">
        <v>21</v>
      </c>
      <c r="Q5915" s="24" t="s">
        <v>21</v>
      </c>
      <c r="R5915" s="24" t="s">
        <v>21</v>
      </c>
      <c r="S5915" s="24" t="s">
        <v>21</v>
      </c>
    </row>
    <row r="5916" spans="1:19" x14ac:dyDescent="0.2">
      <c r="A5916" s="12">
        <v>45986</v>
      </c>
      <c r="B5916" s="5" t="s">
        <v>20</v>
      </c>
      <c r="C5916" s="6">
        <v>0.58680555555555558</v>
      </c>
      <c r="D5916" s="5">
        <v>0</v>
      </c>
      <c r="E5916" s="5">
        <v>22</v>
      </c>
      <c r="F5916" s="5" t="s">
        <v>8</v>
      </c>
      <c r="G5916" s="15" t="s">
        <v>9</v>
      </c>
      <c r="H5916" s="24">
        <v>1.000000003259629</v>
      </c>
      <c r="I5916" s="24" t="s">
        <v>21</v>
      </c>
      <c r="J5916" s="24" t="s">
        <v>21</v>
      </c>
      <c r="K5916" s="24" t="s">
        <v>21</v>
      </c>
      <c r="L5916" s="24" t="s">
        <v>21</v>
      </c>
      <c r="M5916" s="24" t="s">
        <v>21</v>
      </c>
      <c r="N5916" s="24" t="s">
        <v>21</v>
      </c>
      <c r="O5916" s="24">
        <v>1.000000003259629</v>
      </c>
      <c r="P5916" s="24" t="s">
        <v>21</v>
      </c>
      <c r="Q5916" s="24" t="s">
        <v>21</v>
      </c>
      <c r="R5916" s="24" t="s">
        <v>21</v>
      </c>
      <c r="S5916" s="24" t="s">
        <v>21</v>
      </c>
    </row>
    <row r="5917" spans="1:19" x14ac:dyDescent="0.2">
      <c r="A5917" s="12">
        <v>45986</v>
      </c>
      <c r="B5917" s="5" t="s">
        <v>20</v>
      </c>
      <c r="C5917" s="6">
        <v>0.58680555555555558</v>
      </c>
      <c r="D5917" s="5">
        <v>0</v>
      </c>
      <c r="E5917" s="5">
        <v>32</v>
      </c>
      <c r="F5917" s="5" t="s">
        <v>8</v>
      </c>
      <c r="G5917" s="15" t="s">
        <v>9</v>
      </c>
      <c r="H5917" s="24">
        <v>0</v>
      </c>
      <c r="I5917" s="24" t="s">
        <v>21</v>
      </c>
      <c r="J5917" s="24" t="s">
        <v>21</v>
      </c>
      <c r="K5917" s="24" t="s">
        <v>21</v>
      </c>
      <c r="L5917" s="24" t="s">
        <v>21</v>
      </c>
      <c r="M5917" s="24" t="s">
        <v>21</v>
      </c>
      <c r="N5917" s="24" t="s">
        <v>21</v>
      </c>
      <c r="O5917" s="24">
        <v>0</v>
      </c>
      <c r="P5917" s="24" t="s">
        <v>21</v>
      </c>
      <c r="Q5917" s="24" t="s">
        <v>21</v>
      </c>
      <c r="R5917" s="24" t="s">
        <v>21</v>
      </c>
      <c r="S5917" s="24" t="s">
        <v>21</v>
      </c>
    </row>
    <row r="5918" spans="1:19" x14ac:dyDescent="0.2">
      <c r="A5918" s="12">
        <v>45986</v>
      </c>
      <c r="B5918" s="5" t="s">
        <v>20</v>
      </c>
      <c r="C5918" s="6">
        <v>0.58750000000000002</v>
      </c>
      <c r="D5918" s="5">
        <v>0</v>
      </c>
      <c r="E5918" s="5">
        <v>40</v>
      </c>
      <c r="F5918" s="5" t="s">
        <v>8</v>
      </c>
      <c r="G5918" s="15" t="s">
        <v>9</v>
      </c>
      <c r="H5918" s="24">
        <v>1.000000003259629</v>
      </c>
      <c r="I5918" s="24" t="s">
        <v>21</v>
      </c>
      <c r="J5918" s="24" t="s">
        <v>21</v>
      </c>
      <c r="K5918" s="24" t="s">
        <v>21</v>
      </c>
      <c r="L5918" s="24" t="s">
        <v>21</v>
      </c>
      <c r="M5918" s="24" t="s">
        <v>21</v>
      </c>
      <c r="N5918" s="24" t="s">
        <v>21</v>
      </c>
      <c r="O5918" s="24">
        <v>1.000000003259629</v>
      </c>
      <c r="P5918" s="24" t="s">
        <v>21</v>
      </c>
      <c r="Q5918" s="24" t="s">
        <v>21</v>
      </c>
      <c r="R5918" s="24" t="s">
        <v>21</v>
      </c>
      <c r="S5918" s="24" t="s">
        <v>21</v>
      </c>
    </row>
    <row r="5919" spans="1:19" x14ac:dyDescent="0.2">
      <c r="A5919" s="12">
        <v>45986</v>
      </c>
      <c r="B5919" s="5" t="s">
        <v>20</v>
      </c>
      <c r="C5919" s="6">
        <v>0.58750000000000002</v>
      </c>
      <c r="D5919" s="5">
        <v>0</v>
      </c>
      <c r="E5919" s="5">
        <v>42</v>
      </c>
      <c r="F5919" s="5" t="s">
        <v>8</v>
      </c>
      <c r="G5919" s="15" t="s">
        <v>9</v>
      </c>
      <c r="H5919" s="24">
        <v>0</v>
      </c>
      <c r="I5919" s="24" t="s">
        <v>21</v>
      </c>
      <c r="J5919" s="24" t="s">
        <v>21</v>
      </c>
      <c r="K5919" s="24" t="s">
        <v>21</v>
      </c>
      <c r="L5919" s="24" t="s">
        <v>21</v>
      </c>
      <c r="M5919" s="24" t="s">
        <v>21</v>
      </c>
      <c r="N5919" s="24" t="s">
        <v>21</v>
      </c>
      <c r="O5919" s="24">
        <v>0</v>
      </c>
      <c r="P5919" s="24" t="s">
        <v>21</v>
      </c>
      <c r="Q5919" s="24" t="s">
        <v>21</v>
      </c>
      <c r="R5919" s="24" t="s">
        <v>21</v>
      </c>
      <c r="S5919" s="24" t="s">
        <v>21</v>
      </c>
    </row>
    <row r="5920" spans="1:19" x14ac:dyDescent="0.2">
      <c r="A5920" s="12">
        <v>45986</v>
      </c>
      <c r="B5920" s="5" t="s">
        <v>20</v>
      </c>
      <c r="C5920" s="6">
        <v>0.58819444444444446</v>
      </c>
      <c r="D5920" s="5">
        <v>0</v>
      </c>
      <c r="E5920" s="5">
        <v>20</v>
      </c>
      <c r="F5920" s="5" t="s">
        <v>8</v>
      </c>
      <c r="G5920" s="15" t="s">
        <v>9</v>
      </c>
      <c r="H5920" s="24">
        <v>0.99999999278225005</v>
      </c>
      <c r="I5920" s="24" t="s">
        <v>21</v>
      </c>
      <c r="J5920" s="24" t="s">
        <v>21</v>
      </c>
      <c r="K5920" s="24" t="s">
        <v>21</v>
      </c>
      <c r="L5920" s="24" t="s">
        <v>21</v>
      </c>
      <c r="M5920" s="24" t="s">
        <v>21</v>
      </c>
      <c r="N5920" s="24" t="s">
        <v>21</v>
      </c>
      <c r="O5920" s="24">
        <v>0.99999999278225005</v>
      </c>
      <c r="P5920" s="24" t="s">
        <v>21</v>
      </c>
      <c r="Q5920" s="24" t="s">
        <v>21</v>
      </c>
      <c r="R5920" s="24" t="s">
        <v>21</v>
      </c>
      <c r="S5920" s="24" t="s">
        <v>21</v>
      </c>
    </row>
    <row r="5921" spans="1:19" x14ac:dyDescent="0.2">
      <c r="A5921" s="12">
        <v>45986</v>
      </c>
      <c r="B5921" s="5" t="s">
        <v>20</v>
      </c>
      <c r="C5921" s="6">
        <v>0.58888888888888891</v>
      </c>
      <c r="D5921" s="5">
        <v>0</v>
      </c>
      <c r="E5921" s="5">
        <v>23</v>
      </c>
      <c r="F5921" s="5" t="s">
        <v>8</v>
      </c>
      <c r="G5921" s="15" t="s">
        <v>9</v>
      </c>
      <c r="H5921" s="24">
        <v>1.000000003259629</v>
      </c>
      <c r="I5921" s="24" t="s">
        <v>21</v>
      </c>
      <c r="J5921" s="24" t="s">
        <v>21</v>
      </c>
      <c r="K5921" s="24" t="s">
        <v>21</v>
      </c>
      <c r="L5921" s="24" t="s">
        <v>21</v>
      </c>
      <c r="M5921" s="24" t="s">
        <v>21</v>
      </c>
      <c r="N5921" s="24" t="s">
        <v>21</v>
      </c>
      <c r="O5921" s="24">
        <v>1.000000003259629</v>
      </c>
      <c r="P5921" s="24" t="s">
        <v>21</v>
      </c>
      <c r="Q5921" s="24" t="s">
        <v>21</v>
      </c>
      <c r="R5921" s="24" t="s">
        <v>21</v>
      </c>
      <c r="S5921" s="24" t="s">
        <v>21</v>
      </c>
    </row>
    <row r="5922" spans="1:19" x14ac:dyDescent="0.2">
      <c r="A5922" s="12">
        <v>45986</v>
      </c>
      <c r="B5922" s="5" t="s">
        <v>20</v>
      </c>
      <c r="C5922" s="6">
        <v>0.58958333333333335</v>
      </c>
      <c r="D5922" s="5">
        <v>0</v>
      </c>
      <c r="E5922" s="5">
        <v>17</v>
      </c>
      <c r="F5922" s="5" t="s">
        <v>8</v>
      </c>
      <c r="G5922" s="15" t="s">
        <v>9</v>
      </c>
      <c r="H5922" s="24">
        <v>1.000000003259629</v>
      </c>
      <c r="I5922" s="24" t="s">
        <v>21</v>
      </c>
      <c r="J5922" s="24" t="s">
        <v>21</v>
      </c>
      <c r="K5922" s="24" t="s">
        <v>21</v>
      </c>
      <c r="L5922" s="24" t="s">
        <v>21</v>
      </c>
      <c r="M5922" s="24" t="s">
        <v>21</v>
      </c>
      <c r="N5922" s="24" t="s">
        <v>21</v>
      </c>
      <c r="O5922" s="24">
        <v>1.000000003259629</v>
      </c>
      <c r="P5922" s="24" t="s">
        <v>21</v>
      </c>
      <c r="Q5922" s="24" t="s">
        <v>21</v>
      </c>
      <c r="R5922" s="24" t="s">
        <v>21</v>
      </c>
      <c r="S5922" s="24" t="s">
        <v>21</v>
      </c>
    </row>
    <row r="5923" spans="1:19" x14ac:dyDescent="0.2">
      <c r="A5923" s="12">
        <v>45986</v>
      </c>
      <c r="B5923" s="5" t="s">
        <v>20</v>
      </c>
      <c r="C5923" s="6">
        <v>0.58958333333333335</v>
      </c>
      <c r="D5923" s="5">
        <v>0</v>
      </c>
      <c r="E5923" s="5">
        <v>27</v>
      </c>
      <c r="F5923" s="5" t="s">
        <v>8</v>
      </c>
      <c r="G5923" s="15" t="s">
        <v>9</v>
      </c>
      <c r="H5923" s="24">
        <v>0</v>
      </c>
      <c r="I5923" s="24" t="s">
        <v>21</v>
      </c>
      <c r="J5923" s="24" t="s">
        <v>21</v>
      </c>
      <c r="K5923" s="24" t="s">
        <v>21</v>
      </c>
      <c r="L5923" s="24" t="s">
        <v>21</v>
      </c>
      <c r="M5923" s="24" t="s">
        <v>21</v>
      </c>
      <c r="N5923" s="24" t="s">
        <v>21</v>
      </c>
      <c r="O5923" s="24">
        <v>0</v>
      </c>
      <c r="P5923" s="24" t="s">
        <v>21</v>
      </c>
      <c r="Q5923" s="24" t="s">
        <v>21</v>
      </c>
      <c r="R5923" s="24" t="s">
        <v>21</v>
      </c>
      <c r="S5923" s="24" t="s">
        <v>21</v>
      </c>
    </row>
    <row r="5924" spans="1:19" x14ac:dyDescent="0.2">
      <c r="A5924" s="12">
        <v>45986</v>
      </c>
      <c r="B5924" s="5" t="s">
        <v>20</v>
      </c>
      <c r="C5924" s="6">
        <v>0.59027777777777779</v>
      </c>
      <c r="D5924" s="5">
        <v>0</v>
      </c>
      <c r="E5924" s="5">
        <v>17</v>
      </c>
      <c r="F5924" s="5" t="s">
        <v>8</v>
      </c>
      <c r="G5924" s="15" t="s">
        <v>9</v>
      </c>
      <c r="H5924" s="24">
        <v>1.000000003259629</v>
      </c>
      <c r="I5924" s="24" t="s">
        <v>21</v>
      </c>
      <c r="J5924" s="24" t="s">
        <v>21</v>
      </c>
      <c r="K5924" s="24" t="s">
        <v>21</v>
      </c>
      <c r="L5924" s="24" t="s">
        <v>21</v>
      </c>
      <c r="M5924" s="24" t="s">
        <v>21</v>
      </c>
      <c r="N5924" s="24" t="s">
        <v>21</v>
      </c>
      <c r="O5924" s="24">
        <v>1.000000003259629</v>
      </c>
      <c r="P5924" s="24" t="s">
        <v>21</v>
      </c>
      <c r="Q5924" s="24" t="s">
        <v>21</v>
      </c>
      <c r="R5924" s="24" t="s">
        <v>21</v>
      </c>
      <c r="S5924" s="24" t="s">
        <v>21</v>
      </c>
    </row>
    <row r="5925" spans="1:19" x14ac:dyDescent="0.2">
      <c r="A5925" s="12">
        <v>45986</v>
      </c>
      <c r="B5925" s="5" t="s">
        <v>20</v>
      </c>
      <c r="C5925" s="6">
        <v>0.59027777777777779</v>
      </c>
      <c r="D5925" s="5">
        <v>0</v>
      </c>
      <c r="E5925" s="5">
        <v>7</v>
      </c>
      <c r="F5925" s="5" t="s">
        <v>8</v>
      </c>
      <c r="G5925" s="15" t="s">
        <v>9</v>
      </c>
      <c r="H5925" s="24">
        <v>0</v>
      </c>
      <c r="I5925" s="24" t="s">
        <v>21</v>
      </c>
      <c r="J5925" s="24" t="s">
        <v>21</v>
      </c>
      <c r="K5925" s="24" t="s">
        <v>21</v>
      </c>
      <c r="L5925" s="24" t="s">
        <v>21</v>
      </c>
      <c r="M5925" s="24" t="s">
        <v>21</v>
      </c>
      <c r="N5925" s="24" t="s">
        <v>21</v>
      </c>
      <c r="O5925" s="24">
        <v>0</v>
      </c>
      <c r="P5925" s="24" t="s">
        <v>21</v>
      </c>
      <c r="Q5925" s="24" t="s">
        <v>21</v>
      </c>
      <c r="R5925" s="24" t="s">
        <v>21</v>
      </c>
      <c r="S5925" s="24" t="s">
        <v>21</v>
      </c>
    </row>
    <row r="5926" spans="1:19" x14ac:dyDescent="0.2">
      <c r="A5926" s="12">
        <v>45986</v>
      </c>
      <c r="B5926" s="5" t="s">
        <v>16</v>
      </c>
      <c r="C5926" s="6">
        <v>0.6020833333333333</v>
      </c>
      <c r="D5926" s="5">
        <v>0</v>
      </c>
      <c r="E5926" s="5">
        <v>8</v>
      </c>
      <c r="F5926" s="5" t="s">
        <v>8</v>
      </c>
      <c r="G5926" s="15" t="s">
        <v>9</v>
      </c>
      <c r="H5926" s="24">
        <v>16.999999992549419</v>
      </c>
      <c r="I5926" s="24" t="s">
        <v>21</v>
      </c>
      <c r="J5926" s="24" t="s">
        <v>21</v>
      </c>
      <c r="K5926" s="24" t="s">
        <v>21</v>
      </c>
      <c r="L5926" s="24">
        <v>29.000000000232831</v>
      </c>
      <c r="M5926" s="24" t="s">
        <v>21</v>
      </c>
      <c r="N5926" s="24" t="s">
        <v>21</v>
      </c>
      <c r="O5926" s="24" t="s">
        <v>21</v>
      </c>
      <c r="P5926" s="24" t="s">
        <v>21</v>
      </c>
      <c r="Q5926" s="24" t="s">
        <v>21</v>
      </c>
      <c r="R5926" s="24" t="s">
        <v>21</v>
      </c>
      <c r="S5926" s="24" t="s">
        <v>21</v>
      </c>
    </row>
    <row r="5927" spans="1:19" x14ac:dyDescent="0.2">
      <c r="A5927" s="12">
        <v>45986</v>
      </c>
      <c r="B5927" s="5" t="s">
        <v>16</v>
      </c>
      <c r="C5927" s="6">
        <v>0.60277777777777775</v>
      </c>
      <c r="D5927" s="5">
        <v>0</v>
      </c>
      <c r="E5927" s="5">
        <v>14</v>
      </c>
      <c r="F5927" s="5" t="s">
        <v>8</v>
      </c>
      <c r="G5927" s="15" t="s">
        <v>9</v>
      </c>
      <c r="H5927" s="24">
        <v>1.000000003259629</v>
      </c>
      <c r="I5927" s="24" t="s">
        <v>21</v>
      </c>
      <c r="J5927" s="24" t="s">
        <v>21</v>
      </c>
      <c r="K5927" s="24" t="s">
        <v>21</v>
      </c>
      <c r="L5927" s="24">
        <v>1.000000003259629</v>
      </c>
      <c r="M5927" s="24" t="s">
        <v>21</v>
      </c>
      <c r="N5927" s="24" t="s">
        <v>21</v>
      </c>
      <c r="O5927" s="24" t="s">
        <v>21</v>
      </c>
      <c r="P5927" s="24" t="s">
        <v>21</v>
      </c>
      <c r="Q5927" s="24" t="s">
        <v>21</v>
      </c>
      <c r="R5927" s="24" t="s">
        <v>21</v>
      </c>
      <c r="S5927" s="24" t="s">
        <v>21</v>
      </c>
    </row>
    <row r="5928" spans="1:19" x14ac:dyDescent="0.2">
      <c r="A5928" s="12">
        <v>45986</v>
      </c>
      <c r="B5928" s="5" t="s">
        <v>16</v>
      </c>
      <c r="C5928" s="6">
        <v>0.60416666666666663</v>
      </c>
      <c r="D5928" s="5">
        <v>0</v>
      </c>
      <c r="E5928" s="5">
        <v>12</v>
      </c>
      <c r="F5928" s="5" t="s">
        <v>8</v>
      </c>
      <c r="G5928" s="15" t="s">
        <v>9</v>
      </c>
      <c r="H5928" s="24">
        <v>1.9999999960418791</v>
      </c>
      <c r="I5928" s="24" t="s">
        <v>21</v>
      </c>
      <c r="J5928" s="24" t="s">
        <v>21</v>
      </c>
      <c r="K5928" s="24" t="s">
        <v>21</v>
      </c>
      <c r="L5928" s="24">
        <v>1.9999999960418791</v>
      </c>
      <c r="M5928" s="24" t="s">
        <v>21</v>
      </c>
      <c r="N5928" s="24" t="s">
        <v>21</v>
      </c>
      <c r="O5928" s="24" t="s">
        <v>21</v>
      </c>
      <c r="P5928" s="24" t="s">
        <v>21</v>
      </c>
      <c r="Q5928" s="24" t="s">
        <v>21</v>
      </c>
      <c r="R5928" s="24" t="s">
        <v>21</v>
      </c>
      <c r="S5928" s="24" t="s">
        <v>21</v>
      </c>
    </row>
    <row r="5929" spans="1:19" x14ac:dyDescent="0.2">
      <c r="A5929" s="12">
        <v>45986</v>
      </c>
      <c r="B5929" s="5" t="s">
        <v>16</v>
      </c>
      <c r="C5929" s="6">
        <v>0.60486111111111107</v>
      </c>
      <c r="D5929" s="5">
        <v>0</v>
      </c>
      <c r="E5929" s="5">
        <v>9</v>
      </c>
      <c r="F5929" s="5" t="s">
        <v>8</v>
      </c>
      <c r="G5929" s="15" t="s">
        <v>9</v>
      </c>
      <c r="H5929" s="24">
        <v>1.000000003259629</v>
      </c>
      <c r="I5929" s="24" t="s">
        <v>21</v>
      </c>
      <c r="J5929" s="24" t="s">
        <v>21</v>
      </c>
      <c r="K5929" s="24" t="s">
        <v>21</v>
      </c>
      <c r="L5929" s="24">
        <v>1.000000003259629</v>
      </c>
      <c r="M5929" s="24" t="s">
        <v>21</v>
      </c>
      <c r="N5929" s="24" t="s">
        <v>21</v>
      </c>
      <c r="O5929" s="24" t="s">
        <v>21</v>
      </c>
      <c r="P5929" s="24" t="s">
        <v>21</v>
      </c>
      <c r="Q5929" s="24" t="s">
        <v>21</v>
      </c>
      <c r="R5929" s="24" t="s">
        <v>21</v>
      </c>
      <c r="S5929" s="24" t="s">
        <v>21</v>
      </c>
    </row>
    <row r="5930" spans="1:19" x14ac:dyDescent="0.2">
      <c r="A5930" s="12">
        <v>45986</v>
      </c>
      <c r="B5930" s="5" t="s">
        <v>16</v>
      </c>
      <c r="C5930" s="6">
        <v>0.60555555555555551</v>
      </c>
      <c r="D5930" s="5">
        <v>0</v>
      </c>
      <c r="E5930" s="5">
        <v>10</v>
      </c>
      <c r="F5930" s="5" t="s">
        <v>8</v>
      </c>
      <c r="G5930" s="15" t="s">
        <v>9</v>
      </c>
      <c r="H5930" s="24">
        <v>1.000000003259629</v>
      </c>
      <c r="I5930" s="24" t="s">
        <v>21</v>
      </c>
      <c r="J5930" s="24" t="s">
        <v>21</v>
      </c>
      <c r="K5930" s="24" t="s">
        <v>21</v>
      </c>
      <c r="L5930" s="24">
        <v>1.000000003259629</v>
      </c>
      <c r="M5930" s="24" t="s">
        <v>21</v>
      </c>
      <c r="N5930" s="24" t="s">
        <v>21</v>
      </c>
      <c r="O5930" s="24" t="s">
        <v>21</v>
      </c>
      <c r="P5930" s="24" t="s">
        <v>21</v>
      </c>
      <c r="Q5930" s="24" t="s">
        <v>21</v>
      </c>
      <c r="R5930" s="24" t="s">
        <v>21</v>
      </c>
      <c r="S5930" s="24" t="s">
        <v>21</v>
      </c>
    </row>
    <row r="5931" spans="1:19" x14ac:dyDescent="0.2">
      <c r="A5931" s="12">
        <v>45986</v>
      </c>
      <c r="B5931" s="5" t="s">
        <v>16</v>
      </c>
      <c r="C5931" s="6">
        <v>0.61041666666666672</v>
      </c>
      <c r="D5931" s="5">
        <v>0</v>
      </c>
      <c r="E5931" s="5">
        <v>6</v>
      </c>
      <c r="F5931" s="5" t="s">
        <v>8</v>
      </c>
      <c r="G5931" s="15" t="s">
        <v>9</v>
      </c>
      <c r="H5931" s="24">
        <v>7.0000000018626451</v>
      </c>
      <c r="I5931" s="24" t="s">
        <v>21</v>
      </c>
      <c r="J5931" s="24" t="s">
        <v>21</v>
      </c>
      <c r="K5931" s="24" t="s">
        <v>21</v>
      </c>
      <c r="L5931" s="24">
        <v>7.0000000018626451</v>
      </c>
      <c r="M5931" s="24" t="s">
        <v>21</v>
      </c>
      <c r="N5931" s="24" t="s">
        <v>21</v>
      </c>
      <c r="O5931" s="24" t="s">
        <v>21</v>
      </c>
      <c r="P5931" s="24" t="s">
        <v>21</v>
      </c>
      <c r="Q5931" s="24" t="s">
        <v>21</v>
      </c>
      <c r="R5931" s="24" t="s">
        <v>21</v>
      </c>
      <c r="S5931" s="24" t="s">
        <v>21</v>
      </c>
    </row>
    <row r="5932" spans="1:19" x14ac:dyDescent="0.2">
      <c r="A5932" s="12">
        <v>45986</v>
      </c>
      <c r="B5932" s="5" t="s">
        <v>20</v>
      </c>
      <c r="C5932" s="6">
        <v>0.61111111111111116</v>
      </c>
      <c r="D5932" s="5">
        <v>0</v>
      </c>
      <c r="E5932" s="5">
        <v>17</v>
      </c>
      <c r="F5932" s="5" t="s">
        <v>8</v>
      </c>
      <c r="G5932" s="15" t="s">
        <v>9</v>
      </c>
      <c r="H5932" s="24">
        <v>0.99999999278225005</v>
      </c>
      <c r="I5932" s="24" t="s">
        <v>21</v>
      </c>
      <c r="J5932" s="24" t="s">
        <v>21</v>
      </c>
      <c r="K5932" s="24" t="s">
        <v>21</v>
      </c>
      <c r="L5932" s="24" t="s">
        <v>21</v>
      </c>
      <c r="M5932" s="24" t="s">
        <v>21</v>
      </c>
      <c r="N5932" s="24" t="s">
        <v>21</v>
      </c>
      <c r="O5932" s="24">
        <v>29.999999993015081</v>
      </c>
      <c r="P5932" s="24" t="s">
        <v>21</v>
      </c>
      <c r="Q5932" s="24" t="s">
        <v>21</v>
      </c>
      <c r="R5932" s="24" t="s">
        <v>21</v>
      </c>
      <c r="S5932" s="24" t="s">
        <v>21</v>
      </c>
    </row>
    <row r="5933" spans="1:19" x14ac:dyDescent="0.2">
      <c r="A5933" s="12">
        <v>45986</v>
      </c>
      <c r="B5933" s="5" t="s">
        <v>20</v>
      </c>
      <c r="C5933" s="6">
        <v>0.6118055555555556</v>
      </c>
      <c r="D5933" s="5">
        <v>0</v>
      </c>
      <c r="E5933" s="5">
        <v>0</v>
      </c>
      <c r="F5933" s="5" t="s">
        <v>8</v>
      </c>
      <c r="G5933" s="15" t="s">
        <v>9</v>
      </c>
      <c r="H5933" s="24">
        <v>1.000000003259629</v>
      </c>
      <c r="I5933" s="24" t="s">
        <v>21</v>
      </c>
      <c r="J5933" s="24" t="s">
        <v>21</v>
      </c>
      <c r="K5933" s="24" t="s">
        <v>21</v>
      </c>
      <c r="L5933" s="24" t="s">
        <v>21</v>
      </c>
      <c r="M5933" s="24" t="s">
        <v>21</v>
      </c>
      <c r="N5933" s="24" t="s">
        <v>21</v>
      </c>
      <c r="O5933" s="24">
        <v>1.000000003259629</v>
      </c>
      <c r="P5933" s="24" t="s">
        <v>21</v>
      </c>
      <c r="Q5933" s="24" t="s">
        <v>21</v>
      </c>
      <c r="R5933" s="24" t="s">
        <v>21</v>
      </c>
      <c r="S5933" s="24" t="s">
        <v>21</v>
      </c>
    </row>
    <row r="5934" spans="1:19" x14ac:dyDescent="0.2">
      <c r="A5934" s="12">
        <v>45986</v>
      </c>
      <c r="B5934" s="5" t="s">
        <v>20</v>
      </c>
      <c r="C5934" s="6">
        <v>0.6118055555555556</v>
      </c>
      <c r="D5934" s="5">
        <v>2</v>
      </c>
      <c r="E5934" s="5">
        <v>2</v>
      </c>
      <c r="F5934" s="5" t="s">
        <v>8</v>
      </c>
      <c r="G5934" s="15" t="s">
        <v>9</v>
      </c>
      <c r="H5934" s="24">
        <v>0</v>
      </c>
      <c r="I5934" s="24" t="s">
        <v>21</v>
      </c>
      <c r="J5934" s="24" t="s">
        <v>21</v>
      </c>
      <c r="K5934" s="24" t="s">
        <v>21</v>
      </c>
      <c r="L5934" s="24" t="s">
        <v>21</v>
      </c>
      <c r="M5934" s="24" t="s">
        <v>21</v>
      </c>
      <c r="N5934" s="24" t="s">
        <v>21</v>
      </c>
      <c r="O5934" s="24">
        <v>0</v>
      </c>
      <c r="P5934" s="24" t="s">
        <v>21</v>
      </c>
      <c r="Q5934" s="24" t="s">
        <v>21</v>
      </c>
      <c r="R5934" s="24" t="s">
        <v>21</v>
      </c>
      <c r="S5934" s="24" t="s">
        <v>21</v>
      </c>
    </row>
    <row r="5935" spans="1:19" x14ac:dyDescent="0.2">
      <c r="A5935" s="12">
        <v>45986</v>
      </c>
      <c r="B5935" s="5" t="s">
        <v>20</v>
      </c>
      <c r="C5935" s="6">
        <v>0.61250000000000004</v>
      </c>
      <c r="D5935" s="5">
        <v>0</v>
      </c>
      <c r="E5935" s="5">
        <v>16</v>
      </c>
      <c r="F5935" s="5" t="s">
        <v>8</v>
      </c>
      <c r="G5935" s="15" t="s">
        <v>9</v>
      </c>
      <c r="H5935" s="24">
        <v>1.000000003259629</v>
      </c>
      <c r="I5935" s="24" t="s">
        <v>21</v>
      </c>
      <c r="J5935" s="24" t="s">
        <v>21</v>
      </c>
      <c r="K5935" s="24" t="s">
        <v>21</v>
      </c>
      <c r="L5935" s="24" t="s">
        <v>21</v>
      </c>
      <c r="M5935" s="24" t="s">
        <v>21</v>
      </c>
      <c r="N5935" s="24" t="s">
        <v>21</v>
      </c>
      <c r="O5935" s="24">
        <v>1.000000003259629</v>
      </c>
      <c r="P5935" s="24" t="s">
        <v>21</v>
      </c>
      <c r="Q5935" s="24" t="s">
        <v>21</v>
      </c>
      <c r="R5935" s="24" t="s">
        <v>21</v>
      </c>
      <c r="S5935" s="24" t="s">
        <v>21</v>
      </c>
    </row>
    <row r="5936" spans="1:19" x14ac:dyDescent="0.2">
      <c r="A5936" s="12">
        <v>45986</v>
      </c>
      <c r="B5936" s="5" t="s">
        <v>20</v>
      </c>
      <c r="C5936" s="6">
        <v>0.61250000000000004</v>
      </c>
      <c r="D5936" s="5">
        <v>0</v>
      </c>
      <c r="E5936" s="5">
        <v>0</v>
      </c>
      <c r="F5936" s="5" t="s">
        <v>8</v>
      </c>
      <c r="G5936" s="15" t="s">
        <v>9</v>
      </c>
      <c r="H5936" s="24">
        <v>0</v>
      </c>
      <c r="I5936" s="24" t="s">
        <v>21</v>
      </c>
      <c r="J5936" s="24" t="s">
        <v>21</v>
      </c>
      <c r="K5936" s="24" t="s">
        <v>21</v>
      </c>
      <c r="L5936" s="24" t="s">
        <v>21</v>
      </c>
      <c r="M5936" s="24" t="s">
        <v>21</v>
      </c>
      <c r="N5936" s="24" t="s">
        <v>21</v>
      </c>
      <c r="O5936" s="24">
        <v>0</v>
      </c>
      <c r="P5936" s="24" t="s">
        <v>21</v>
      </c>
      <c r="Q5936" s="24" t="s">
        <v>21</v>
      </c>
      <c r="R5936" s="24" t="s">
        <v>21</v>
      </c>
      <c r="S5936" s="24" t="s">
        <v>21</v>
      </c>
    </row>
    <row r="5937" spans="1:19" x14ac:dyDescent="0.2">
      <c r="A5937" s="12">
        <v>45986</v>
      </c>
      <c r="B5937" s="5" t="s">
        <v>16</v>
      </c>
      <c r="C5937" s="6">
        <v>0.68402777777777779</v>
      </c>
      <c r="D5937" s="5">
        <v>0</v>
      </c>
      <c r="E5937" s="5">
        <v>11</v>
      </c>
      <c r="F5937" s="5" t="s">
        <v>8</v>
      </c>
      <c r="G5937" s="15" t="s">
        <v>9</v>
      </c>
      <c r="H5937" s="24">
        <v>103.00000000046566</v>
      </c>
      <c r="I5937" s="24" t="s">
        <v>21</v>
      </c>
      <c r="J5937" s="24" t="s">
        <v>21</v>
      </c>
      <c r="K5937" s="24" t="s">
        <v>21</v>
      </c>
      <c r="L5937" s="24">
        <v>105.99999999976717</v>
      </c>
      <c r="M5937" s="24" t="s">
        <v>21</v>
      </c>
      <c r="N5937" s="24" t="s">
        <v>21</v>
      </c>
      <c r="O5937" s="24" t="s">
        <v>21</v>
      </c>
      <c r="P5937" s="24" t="s">
        <v>21</v>
      </c>
      <c r="Q5937" s="24" t="s">
        <v>21</v>
      </c>
      <c r="R5937" s="24" t="s">
        <v>21</v>
      </c>
      <c r="S5937" s="24" t="s">
        <v>21</v>
      </c>
    </row>
    <row r="5938" spans="1:19" x14ac:dyDescent="0.2">
      <c r="A5938" s="12">
        <v>45986</v>
      </c>
      <c r="B5938" s="5" t="s">
        <v>16</v>
      </c>
      <c r="C5938" s="6">
        <v>0.68402777777777779</v>
      </c>
      <c r="D5938" s="5">
        <v>0</v>
      </c>
      <c r="E5938" s="5">
        <v>11</v>
      </c>
      <c r="F5938" s="5" t="s">
        <v>8</v>
      </c>
      <c r="G5938" s="15" t="s">
        <v>9</v>
      </c>
      <c r="H5938" s="24">
        <v>0</v>
      </c>
      <c r="I5938" s="24" t="s">
        <v>21</v>
      </c>
      <c r="J5938" s="24" t="s">
        <v>21</v>
      </c>
      <c r="K5938" s="24" t="s">
        <v>21</v>
      </c>
      <c r="L5938" s="24">
        <v>0</v>
      </c>
      <c r="M5938" s="24" t="s">
        <v>21</v>
      </c>
      <c r="N5938" s="24" t="s">
        <v>21</v>
      </c>
      <c r="O5938" s="24" t="s">
        <v>21</v>
      </c>
      <c r="P5938" s="24" t="s">
        <v>21</v>
      </c>
      <c r="Q5938" s="24" t="s">
        <v>21</v>
      </c>
      <c r="R5938" s="24" t="s">
        <v>21</v>
      </c>
      <c r="S5938" s="24" t="s">
        <v>21</v>
      </c>
    </row>
    <row r="5939" spans="1:19" x14ac:dyDescent="0.2">
      <c r="A5939" s="12">
        <v>45986</v>
      </c>
      <c r="B5939" s="5" t="s">
        <v>16</v>
      </c>
      <c r="C5939" s="6">
        <v>0.68472222222222223</v>
      </c>
      <c r="D5939" s="5">
        <v>0</v>
      </c>
      <c r="E5939" s="5">
        <v>14</v>
      </c>
      <c r="F5939" s="5" t="s">
        <v>8</v>
      </c>
      <c r="G5939" s="15" t="s">
        <v>9</v>
      </c>
      <c r="H5939" s="24">
        <v>0.99999999278225005</v>
      </c>
      <c r="I5939" s="24" t="s">
        <v>21</v>
      </c>
      <c r="J5939" s="24" t="s">
        <v>21</v>
      </c>
      <c r="K5939" s="24" t="s">
        <v>21</v>
      </c>
      <c r="L5939" s="24">
        <v>0.99999999278225005</v>
      </c>
      <c r="M5939" s="24" t="s">
        <v>21</v>
      </c>
      <c r="N5939" s="24" t="s">
        <v>21</v>
      </c>
      <c r="O5939" s="24" t="s">
        <v>21</v>
      </c>
      <c r="P5939" s="24" t="s">
        <v>21</v>
      </c>
      <c r="Q5939" s="24" t="s">
        <v>21</v>
      </c>
      <c r="R5939" s="24" t="s">
        <v>21</v>
      </c>
      <c r="S5939" s="24" t="s">
        <v>21</v>
      </c>
    </row>
    <row r="5940" spans="1:19" x14ac:dyDescent="0.2">
      <c r="A5940" s="12">
        <v>45986</v>
      </c>
      <c r="B5940" s="5" t="s">
        <v>16</v>
      </c>
      <c r="C5940" s="6">
        <v>0.68541666666666667</v>
      </c>
      <c r="D5940" s="5">
        <v>0</v>
      </c>
      <c r="E5940" s="5">
        <v>7</v>
      </c>
      <c r="F5940" s="5" t="s">
        <v>8</v>
      </c>
      <c r="G5940" s="15" t="s">
        <v>9</v>
      </c>
      <c r="H5940" s="24">
        <v>1.000000003259629</v>
      </c>
      <c r="I5940" s="24" t="s">
        <v>21</v>
      </c>
      <c r="J5940" s="24" t="s">
        <v>21</v>
      </c>
      <c r="K5940" s="24" t="s">
        <v>21</v>
      </c>
      <c r="L5940" s="24">
        <v>1.000000003259629</v>
      </c>
      <c r="M5940" s="24" t="s">
        <v>21</v>
      </c>
      <c r="N5940" s="24" t="s">
        <v>21</v>
      </c>
      <c r="O5940" s="24" t="s">
        <v>21</v>
      </c>
      <c r="P5940" s="24" t="s">
        <v>21</v>
      </c>
      <c r="Q5940" s="24" t="s">
        <v>21</v>
      </c>
      <c r="R5940" s="24" t="s">
        <v>21</v>
      </c>
      <c r="S5940" s="24" t="s">
        <v>21</v>
      </c>
    </row>
    <row r="5941" spans="1:19" x14ac:dyDescent="0.2">
      <c r="A5941" s="12">
        <v>45986</v>
      </c>
      <c r="B5941" s="5" t="s">
        <v>20</v>
      </c>
      <c r="C5941" s="6">
        <v>0.71458333333333335</v>
      </c>
      <c r="D5941" s="5">
        <v>0</v>
      </c>
      <c r="E5941" s="5">
        <v>0</v>
      </c>
      <c r="F5941" s="5" t="s">
        <v>8</v>
      </c>
      <c r="G5941" s="15" t="s">
        <v>9</v>
      </c>
      <c r="H5941" s="24">
        <v>42.000000000698492</v>
      </c>
      <c r="I5941" s="24" t="s">
        <v>21</v>
      </c>
      <c r="J5941" s="24" t="s">
        <v>21</v>
      </c>
      <c r="K5941" s="24" t="s">
        <v>21</v>
      </c>
      <c r="L5941" s="24" t="s">
        <v>21</v>
      </c>
      <c r="M5941" s="24" t="s">
        <v>21</v>
      </c>
      <c r="N5941" s="24" t="s">
        <v>21</v>
      </c>
      <c r="O5941" s="24">
        <v>146.99999999720603</v>
      </c>
      <c r="P5941" s="24" t="s">
        <v>21</v>
      </c>
      <c r="Q5941" s="24" t="s">
        <v>21</v>
      </c>
      <c r="R5941" s="24" t="s">
        <v>21</v>
      </c>
      <c r="S5941" s="24" t="s">
        <v>21</v>
      </c>
    </row>
    <row r="5942" spans="1:19" x14ac:dyDescent="0.2">
      <c r="A5942" s="12">
        <v>45986</v>
      </c>
      <c r="B5942" s="5" t="s">
        <v>20</v>
      </c>
      <c r="C5942" s="6">
        <v>0.71527777777777779</v>
      </c>
      <c r="D5942" s="5">
        <v>7</v>
      </c>
      <c r="E5942" s="5">
        <v>0</v>
      </c>
      <c r="F5942" s="5" t="s">
        <v>8</v>
      </c>
      <c r="G5942" s="15" t="s">
        <v>9</v>
      </c>
      <c r="H5942" s="24">
        <v>1.000000003259629</v>
      </c>
      <c r="I5942" s="24" t="s">
        <v>21</v>
      </c>
      <c r="J5942" s="24" t="s">
        <v>21</v>
      </c>
      <c r="K5942" s="24" t="s">
        <v>21</v>
      </c>
      <c r="L5942" s="24" t="s">
        <v>21</v>
      </c>
      <c r="M5942" s="24" t="s">
        <v>21</v>
      </c>
      <c r="N5942" s="24" t="s">
        <v>21</v>
      </c>
      <c r="O5942" s="24">
        <v>1.000000003259629</v>
      </c>
      <c r="P5942" s="24" t="s">
        <v>21</v>
      </c>
      <c r="Q5942" s="24" t="s">
        <v>21</v>
      </c>
      <c r="R5942" s="24" t="s">
        <v>21</v>
      </c>
      <c r="S5942" s="24" t="s">
        <v>21</v>
      </c>
    </row>
    <row r="5943" spans="1:19" x14ac:dyDescent="0.2">
      <c r="A5943" s="12">
        <v>45986</v>
      </c>
      <c r="B5943" s="5" t="s">
        <v>20</v>
      </c>
      <c r="C5943" s="6">
        <v>0.71527777777777779</v>
      </c>
      <c r="D5943" s="5">
        <v>0</v>
      </c>
      <c r="E5943" s="5">
        <v>8</v>
      </c>
      <c r="F5943" s="5" t="s">
        <v>8</v>
      </c>
      <c r="G5943" s="15" t="s">
        <v>9</v>
      </c>
      <c r="H5943" s="24">
        <v>0</v>
      </c>
      <c r="I5943" s="24" t="s">
        <v>21</v>
      </c>
      <c r="J5943" s="24" t="s">
        <v>21</v>
      </c>
      <c r="K5943" s="24" t="s">
        <v>21</v>
      </c>
      <c r="L5943" s="24" t="s">
        <v>21</v>
      </c>
      <c r="M5943" s="24" t="s">
        <v>21</v>
      </c>
      <c r="N5943" s="24" t="s">
        <v>21</v>
      </c>
      <c r="O5943" s="24">
        <v>0</v>
      </c>
      <c r="P5943" s="24" t="s">
        <v>21</v>
      </c>
      <c r="Q5943" s="24" t="s">
        <v>21</v>
      </c>
      <c r="R5943" s="24" t="s">
        <v>21</v>
      </c>
      <c r="S5943" s="24" t="s">
        <v>21</v>
      </c>
    </row>
    <row r="5944" spans="1:19" x14ac:dyDescent="0.2">
      <c r="A5944" s="12">
        <v>45986</v>
      </c>
      <c r="B5944" s="5" t="s">
        <v>20</v>
      </c>
      <c r="C5944" s="6">
        <v>0.71527777777777779</v>
      </c>
      <c r="D5944" s="5">
        <v>0</v>
      </c>
      <c r="E5944" s="5">
        <v>21</v>
      </c>
      <c r="F5944" s="5" t="s">
        <v>8</v>
      </c>
      <c r="G5944" s="15" t="s">
        <v>9</v>
      </c>
      <c r="H5944" s="24">
        <v>0</v>
      </c>
      <c r="I5944" s="24" t="s">
        <v>21</v>
      </c>
      <c r="J5944" s="24" t="s">
        <v>21</v>
      </c>
      <c r="K5944" s="24" t="s">
        <v>21</v>
      </c>
      <c r="L5944" s="24" t="s">
        <v>21</v>
      </c>
      <c r="M5944" s="24" t="s">
        <v>21</v>
      </c>
      <c r="N5944" s="24" t="s">
        <v>21</v>
      </c>
      <c r="O5944" s="24">
        <v>0</v>
      </c>
      <c r="P5944" s="24" t="s">
        <v>21</v>
      </c>
      <c r="Q5944" s="24" t="s">
        <v>21</v>
      </c>
      <c r="R5944" s="24" t="s">
        <v>21</v>
      </c>
      <c r="S5944" s="24" t="s">
        <v>21</v>
      </c>
    </row>
    <row r="5945" spans="1:19" x14ac:dyDescent="0.2">
      <c r="A5945" s="12">
        <v>45986</v>
      </c>
      <c r="B5945" s="5" t="s">
        <v>20</v>
      </c>
      <c r="C5945" s="6">
        <v>0.71527777777777779</v>
      </c>
      <c r="D5945" s="5">
        <v>2</v>
      </c>
      <c r="E5945" s="5">
        <v>0</v>
      </c>
      <c r="F5945" s="5" t="s">
        <v>8</v>
      </c>
      <c r="G5945" s="15" t="s">
        <v>9</v>
      </c>
      <c r="H5945" s="24">
        <v>0</v>
      </c>
      <c r="I5945" s="24" t="s">
        <v>21</v>
      </c>
      <c r="J5945" s="24" t="s">
        <v>21</v>
      </c>
      <c r="K5945" s="24" t="s">
        <v>21</v>
      </c>
      <c r="L5945" s="24" t="s">
        <v>21</v>
      </c>
      <c r="M5945" s="24" t="s">
        <v>21</v>
      </c>
      <c r="N5945" s="24" t="s">
        <v>21</v>
      </c>
      <c r="O5945" s="24">
        <v>0</v>
      </c>
      <c r="P5945" s="24" t="s">
        <v>21</v>
      </c>
      <c r="Q5945" s="24" t="s">
        <v>21</v>
      </c>
      <c r="R5945" s="24" t="s">
        <v>21</v>
      </c>
      <c r="S5945" s="24" t="s">
        <v>21</v>
      </c>
    </row>
    <row r="5946" spans="1:19" x14ac:dyDescent="0.2">
      <c r="A5946" s="12">
        <v>45986</v>
      </c>
      <c r="B5946" s="5" t="s">
        <v>20</v>
      </c>
      <c r="C5946" s="6">
        <v>0.71597222222222223</v>
      </c>
      <c r="D5946" s="5">
        <v>0</v>
      </c>
      <c r="E5946" s="5">
        <v>26</v>
      </c>
      <c r="F5946" s="5" t="s">
        <v>8</v>
      </c>
      <c r="G5946" s="15" t="s">
        <v>9</v>
      </c>
      <c r="H5946" s="24">
        <v>0.99999999278225005</v>
      </c>
      <c r="I5946" s="24" t="s">
        <v>21</v>
      </c>
      <c r="J5946" s="24" t="s">
        <v>21</v>
      </c>
      <c r="K5946" s="24" t="s">
        <v>21</v>
      </c>
      <c r="L5946" s="24" t="s">
        <v>21</v>
      </c>
      <c r="M5946" s="24" t="s">
        <v>21</v>
      </c>
      <c r="N5946" s="24" t="s">
        <v>21</v>
      </c>
      <c r="O5946" s="24">
        <v>0.99999999278225005</v>
      </c>
      <c r="P5946" s="24" t="s">
        <v>21</v>
      </c>
      <c r="Q5946" s="24" t="s">
        <v>21</v>
      </c>
      <c r="R5946" s="24" t="s">
        <v>21</v>
      </c>
      <c r="S5946" s="24" t="s">
        <v>21</v>
      </c>
    </row>
    <row r="5947" spans="1:19" x14ac:dyDescent="0.2">
      <c r="A5947" s="12">
        <v>45986</v>
      </c>
      <c r="B5947" s="5" t="s">
        <v>20</v>
      </c>
      <c r="C5947" s="6">
        <v>0.71597222222222223</v>
      </c>
      <c r="D5947" s="5">
        <v>3</v>
      </c>
      <c r="E5947" s="5">
        <v>0</v>
      </c>
      <c r="F5947" s="5" t="s">
        <v>8</v>
      </c>
      <c r="G5947" s="15" t="s">
        <v>9</v>
      </c>
      <c r="H5947" s="24">
        <v>0</v>
      </c>
      <c r="I5947" s="24" t="s">
        <v>21</v>
      </c>
      <c r="J5947" s="24" t="s">
        <v>21</v>
      </c>
      <c r="K5947" s="24" t="s">
        <v>21</v>
      </c>
      <c r="L5947" s="24" t="s">
        <v>21</v>
      </c>
      <c r="M5947" s="24" t="s">
        <v>21</v>
      </c>
      <c r="N5947" s="24" t="s">
        <v>21</v>
      </c>
      <c r="O5947" s="24">
        <v>0</v>
      </c>
      <c r="P5947" s="24" t="s">
        <v>21</v>
      </c>
      <c r="Q5947" s="24" t="s">
        <v>21</v>
      </c>
      <c r="R5947" s="24" t="s">
        <v>21</v>
      </c>
      <c r="S5947" s="24" t="s">
        <v>21</v>
      </c>
    </row>
    <row r="5948" spans="1:19" x14ac:dyDescent="0.2">
      <c r="A5948" s="12">
        <v>45986</v>
      </c>
      <c r="B5948" s="5" t="s">
        <v>20</v>
      </c>
      <c r="C5948" s="6">
        <v>0.71597222222222223</v>
      </c>
      <c r="D5948" s="5">
        <v>0</v>
      </c>
      <c r="E5948" s="5">
        <v>10</v>
      </c>
      <c r="F5948" s="5" t="s">
        <v>8</v>
      </c>
      <c r="G5948" s="15" t="s">
        <v>9</v>
      </c>
      <c r="H5948" s="24">
        <v>0</v>
      </c>
      <c r="I5948" s="24" t="s">
        <v>21</v>
      </c>
      <c r="J5948" s="24" t="s">
        <v>21</v>
      </c>
      <c r="K5948" s="24" t="s">
        <v>21</v>
      </c>
      <c r="L5948" s="24" t="s">
        <v>21</v>
      </c>
      <c r="M5948" s="24" t="s">
        <v>21</v>
      </c>
      <c r="N5948" s="24" t="s">
        <v>21</v>
      </c>
      <c r="O5948" s="24">
        <v>0</v>
      </c>
      <c r="P5948" s="24" t="s">
        <v>21</v>
      </c>
      <c r="Q5948" s="24" t="s">
        <v>21</v>
      </c>
      <c r="R5948" s="24" t="s">
        <v>21</v>
      </c>
      <c r="S5948" s="24" t="s">
        <v>21</v>
      </c>
    </row>
    <row r="5949" spans="1:19" x14ac:dyDescent="0.2">
      <c r="A5949" s="12">
        <v>45986</v>
      </c>
      <c r="B5949" s="5" t="s">
        <v>20</v>
      </c>
      <c r="C5949" s="6">
        <v>0.71666666666666667</v>
      </c>
      <c r="D5949" s="5">
        <v>0</v>
      </c>
      <c r="E5949" s="5">
        <v>13</v>
      </c>
      <c r="F5949" s="5" t="s">
        <v>8</v>
      </c>
      <c r="G5949" s="15" t="s">
        <v>9</v>
      </c>
      <c r="H5949" s="24">
        <v>1.000000003259629</v>
      </c>
      <c r="I5949" s="24" t="s">
        <v>21</v>
      </c>
      <c r="J5949" s="24" t="s">
        <v>21</v>
      </c>
      <c r="K5949" s="24" t="s">
        <v>21</v>
      </c>
      <c r="L5949" s="24" t="s">
        <v>21</v>
      </c>
      <c r="M5949" s="24" t="s">
        <v>21</v>
      </c>
      <c r="N5949" s="24" t="s">
        <v>21</v>
      </c>
      <c r="O5949" s="24">
        <v>1.000000003259629</v>
      </c>
      <c r="P5949" s="24" t="s">
        <v>21</v>
      </c>
      <c r="Q5949" s="24" t="s">
        <v>21</v>
      </c>
      <c r="R5949" s="24" t="s">
        <v>21</v>
      </c>
      <c r="S5949" s="24" t="s">
        <v>21</v>
      </c>
    </row>
    <row r="5950" spans="1:19" x14ac:dyDescent="0.2">
      <c r="A5950" s="12">
        <v>45986</v>
      </c>
      <c r="B5950" s="5" t="s">
        <v>20</v>
      </c>
      <c r="C5950" s="6">
        <v>0.71666666666666667</v>
      </c>
      <c r="D5950" s="5">
        <v>0</v>
      </c>
      <c r="E5950" s="5">
        <v>19</v>
      </c>
      <c r="F5950" s="5" t="s">
        <v>8</v>
      </c>
      <c r="G5950" s="15" t="s">
        <v>9</v>
      </c>
      <c r="H5950" s="24">
        <v>0</v>
      </c>
      <c r="I5950" s="24" t="s">
        <v>21</v>
      </c>
      <c r="J5950" s="24" t="s">
        <v>21</v>
      </c>
      <c r="K5950" s="24" t="s">
        <v>21</v>
      </c>
      <c r="L5950" s="24" t="s">
        <v>21</v>
      </c>
      <c r="M5950" s="24" t="s">
        <v>21</v>
      </c>
      <c r="N5950" s="24" t="s">
        <v>21</v>
      </c>
      <c r="O5950" s="24">
        <v>0</v>
      </c>
      <c r="P5950" s="24" t="s">
        <v>21</v>
      </c>
      <c r="Q5950" s="24" t="s">
        <v>21</v>
      </c>
      <c r="R5950" s="24" t="s">
        <v>21</v>
      </c>
      <c r="S5950" s="24" t="s">
        <v>21</v>
      </c>
    </row>
    <row r="5951" spans="1:19" x14ac:dyDescent="0.2">
      <c r="A5951" s="12">
        <v>45986</v>
      </c>
      <c r="B5951" s="5" t="s">
        <v>20</v>
      </c>
      <c r="C5951" s="6">
        <v>0.71736111111111112</v>
      </c>
      <c r="D5951" s="5">
        <v>0</v>
      </c>
      <c r="E5951" s="5">
        <v>19</v>
      </c>
      <c r="F5951" s="5" t="s">
        <v>8</v>
      </c>
      <c r="G5951" s="15" t="s">
        <v>9</v>
      </c>
      <c r="H5951" s="24">
        <v>1.000000003259629</v>
      </c>
      <c r="I5951" s="24" t="s">
        <v>21</v>
      </c>
      <c r="J5951" s="24" t="s">
        <v>21</v>
      </c>
      <c r="K5951" s="24" t="s">
        <v>21</v>
      </c>
      <c r="L5951" s="24" t="s">
        <v>21</v>
      </c>
      <c r="M5951" s="24" t="s">
        <v>21</v>
      </c>
      <c r="N5951" s="24" t="s">
        <v>21</v>
      </c>
      <c r="O5951" s="24">
        <v>1.000000003259629</v>
      </c>
      <c r="P5951" s="24" t="s">
        <v>21</v>
      </c>
      <c r="Q5951" s="24" t="s">
        <v>21</v>
      </c>
      <c r="R5951" s="24" t="s">
        <v>21</v>
      </c>
      <c r="S5951" s="24" t="s">
        <v>21</v>
      </c>
    </row>
    <row r="5952" spans="1:19" x14ac:dyDescent="0.2">
      <c r="A5952" s="12">
        <v>45986</v>
      </c>
      <c r="B5952" s="5" t="s">
        <v>20</v>
      </c>
      <c r="C5952" s="6">
        <v>0.71736111111111112</v>
      </c>
      <c r="D5952" s="5">
        <v>0</v>
      </c>
      <c r="E5952" s="5">
        <v>14</v>
      </c>
      <c r="F5952" s="5" t="s">
        <v>8</v>
      </c>
      <c r="G5952" s="15" t="s">
        <v>9</v>
      </c>
      <c r="H5952" s="24">
        <v>0</v>
      </c>
      <c r="I5952" s="24" t="s">
        <v>21</v>
      </c>
      <c r="J5952" s="24" t="s">
        <v>21</v>
      </c>
      <c r="K5952" s="24" t="s">
        <v>21</v>
      </c>
      <c r="L5952" s="24" t="s">
        <v>21</v>
      </c>
      <c r="M5952" s="24" t="s">
        <v>21</v>
      </c>
      <c r="N5952" s="24" t="s">
        <v>21</v>
      </c>
      <c r="O5952" s="24">
        <v>0</v>
      </c>
      <c r="P5952" s="24" t="s">
        <v>21</v>
      </c>
      <c r="Q5952" s="24" t="s">
        <v>21</v>
      </c>
      <c r="R5952" s="24" t="s">
        <v>21</v>
      </c>
      <c r="S5952" s="24" t="s">
        <v>21</v>
      </c>
    </row>
    <row r="5953" spans="1:19" x14ac:dyDescent="0.2">
      <c r="A5953" s="12">
        <v>45986</v>
      </c>
      <c r="B5953" s="5" t="s">
        <v>20</v>
      </c>
      <c r="C5953" s="6">
        <v>0.71805555555555556</v>
      </c>
      <c r="D5953" s="5">
        <v>0</v>
      </c>
      <c r="E5953" s="5">
        <v>7</v>
      </c>
      <c r="F5953" s="5" t="s">
        <v>8</v>
      </c>
      <c r="G5953" s="15" t="s">
        <v>9</v>
      </c>
      <c r="H5953" s="24">
        <v>0.99999999278225005</v>
      </c>
      <c r="I5953" s="24" t="s">
        <v>21</v>
      </c>
      <c r="J5953" s="24" t="s">
        <v>21</v>
      </c>
      <c r="K5953" s="24" t="s">
        <v>21</v>
      </c>
      <c r="L5953" s="24" t="s">
        <v>21</v>
      </c>
      <c r="M5953" s="24" t="s">
        <v>21</v>
      </c>
      <c r="N5953" s="24" t="s">
        <v>21</v>
      </c>
      <c r="O5953" s="24">
        <v>0.99999999278225005</v>
      </c>
      <c r="P5953" s="24" t="s">
        <v>21</v>
      </c>
      <c r="Q5953" s="24" t="s">
        <v>21</v>
      </c>
      <c r="R5953" s="24" t="s">
        <v>21</v>
      </c>
      <c r="S5953" s="24" t="s">
        <v>21</v>
      </c>
    </row>
    <row r="5954" spans="1:19" x14ac:dyDescent="0.2">
      <c r="A5954" s="12">
        <v>45986</v>
      </c>
      <c r="B5954" s="5" t="s">
        <v>20</v>
      </c>
      <c r="C5954" s="6">
        <v>0.71875</v>
      </c>
      <c r="D5954" s="5">
        <v>0</v>
      </c>
      <c r="E5954" s="5">
        <v>20</v>
      </c>
      <c r="F5954" s="5" t="s">
        <v>8</v>
      </c>
      <c r="G5954" s="15" t="s">
        <v>9</v>
      </c>
      <c r="H5954" s="24">
        <v>1.000000003259629</v>
      </c>
      <c r="I5954" s="24" t="s">
        <v>21</v>
      </c>
      <c r="J5954" s="24" t="s">
        <v>21</v>
      </c>
      <c r="K5954" s="24" t="s">
        <v>21</v>
      </c>
      <c r="L5954" s="24" t="s">
        <v>21</v>
      </c>
      <c r="M5954" s="24" t="s">
        <v>21</v>
      </c>
      <c r="N5954" s="24" t="s">
        <v>21</v>
      </c>
      <c r="O5954" s="24">
        <v>1.000000003259629</v>
      </c>
      <c r="P5954" s="24" t="s">
        <v>21</v>
      </c>
      <c r="Q5954" s="24" t="s">
        <v>21</v>
      </c>
      <c r="R5954" s="24" t="s">
        <v>21</v>
      </c>
      <c r="S5954" s="24" t="s">
        <v>21</v>
      </c>
    </row>
    <row r="5955" spans="1:19" x14ac:dyDescent="0.2">
      <c r="A5955" s="12">
        <v>45986</v>
      </c>
      <c r="B5955" s="5" t="s">
        <v>20</v>
      </c>
      <c r="C5955" s="6">
        <v>0.71875</v>
      </c>
      <c r="D5955" s="5">
        <v>0</v>
      </c>
      <c r="E5955" s="5">
        <v>21</v>
      </c>
      <c r="F5955" s="5" t="s">
        <v>8</v>
      </c>
      <c r="G5955" s="15" t="s">
        <v>9</v>
      </c>
      <c r="H5955" s="24">
        <v>0</v>
      </c>
      <c r="I5955" s="24" t="s">
        <v>21</v>
      </c>
      <c r="J5955" s="24" t="s">
        <v>21</v>
      </c>
      <c r="K5955" s="24" t="s">
        <v>21</v>
      </c>
      <c r="L5955" s="24" t="s">
        <v>21</v>
      </c>
      <c r="M5955" s="24" t="s">
        <v>21</v>
      </c>
      <c r="N5955" s="24" t="s">
        <v>21</v>
      </c>
      <c r="O5955" s="24">
        <v>0</v>
      </c>
      <c r="P5955" s="24" t="s">
        <v>21</v>
      </c>
      <c r="Q5955" s="24" t="s">
        <v>21</v>
      </c>
      <c r="R5955" s="24" t="s">
        <v>21</v>
      </c>
      <c r="S5955" s="24" t="s">
        <v>21</v>
      </c>
    </row>
    <row r="5956" spans="1:19" x14ac:dyDescent="0.2">
      <c r="A5956" s="12">
        <v>45986</v>
      </c>
      <c r="B5956" s="5" t="s">
        <v>20</v>
      </c>
      <c r="C5956" s="6">
        <v>0.72013888888888888</v>
      </c>
      <c r="D5956" s="5">
        <v>0</v>
      </c>
      <c r="E5956" s="5">
        <v>9</v>
      </c>
      <c r="F5956" s="5" t="s">
        <v>8</v>
      </c>
      <c r="G5956" s="15" t="s">
        <v>9</v>
      </c>
      <c r="H5956" s="24">
        <v>1.9999999960418791</v>
      </c>
      <c r="I5956" s="24" t="s">
        <v>21</v>
      </c>
      <c r="J5956" s="24" t="s">
        <v>21</v>
      </c>
      <c r="K5956" s="24" t="s">
        <v>21</v>
      </c>
      <c r="L5956" s="24" t="s">
        <v>21</v>
      </c>
      <c r="M5956" s="24" t="s">
        <v>21</v>
      </c>
      <c r="N5956" s="24" t="s">
        <v>21</v>
      </c>
      <c r="O5956" s="24">
        <v>1.9999999960418791</v>
      </c>
      <c r="P5956" s="24" t="s">
        <v>21</v>
      </c>
      <c r="Q5956" s="24" t="s">
        <v>21</v>
      </c>
      <c r="R5956" s="24" t="s">
        <v>21</v>
      </c>
      <c r="S5956" s="24" t="s">
        <v>21</v>
      </c>
    </row>
    <row r="5957" spans="1:19" x14ac:dyDescent="0.2">
      <c r="A5957" s="12">
        <v>45986</v>
      </c>
      <c r="B5957" s="5" t="s">
        <v>20</v>
      </c>
      <c r="C5957" s="6">
        <v>0.72013888888888888</v>
      </c>
      <c r="D5957" s="5">
        <v>0</v>
      </c>
      <c r="E5957" s="5">
        <v>11</v>
      </c>
      <c r="F5957" s="5" t="s">
        <v>8</v>
      </c>
      <c r="G5957" s="15" t="s">
        <v>9</v>
      </c>
      <c r="H5957" s="24">
        <v>0</v>
      </c>
      <c r="I5957" s="24" t="s">
        <v>21</v>
      </c>
      <c r="J5957" s="24" t="s">
        <v>21</v>
      </c>
      <c r="K5957" s="24" t="s">
        <v>21</v>
      </c>
      <c r="L5957" s="24" t="s">
        <v>21</v>
      </c>
      <c r="M5957" s="24" t="s">
        <v>21</v>
      </c>
      <c r="N5957" s="24" t="s">
        <v>21</v>
      </c>
      <c r="O5957" s="24">
        <v>0</v>
      </c>
      <c r="P5957" s="24" t="s">
        <v>21</v>
      </c>
      <c r="Q5957" s="24" t="s">
        <v>21</v>
      </c>
      <c r="R5957" s="24" t="s">
        <v>21</v>
      </c>
      <c r="S5957" s="24" t="s">
        <v>21</v>
      </c>
    </row>
    <row r="5958" spans="1:19" x14ac:dyDescent="0.2">
      <c r="A5958" s="12">
        <v>45986</v>
      </c>
      <c r="B5958" s="5" t="s">
        <v>20</v>
      </c>
      <c r="C5958" s="6">
        <v>0.72083333333333333</v>
      </c>
      <c r="D5958" s="5">
        <v>0</v>
      </c>
      <c r="E5958" s="5">
        <v>19</v>
      </c>
      <c r="F5958" s="5" t="s">
        <v>8</v>
      </c>
      <c r="G5958" s="15" t="s">
        <v>9</v>
      </c>
      <c r="H5958" s="24">
        <v>1.000000003259629</v>
      </c>
      <c r="I5958" s="24" t="s">
        <v>21</v>
      </c>
      <c r="J5958" s="24" t="s">
        <v>21</v>
      </c>
      <c r="K5958" s="24" t="s">
        <v>21</v>
      </c>
      <c r="L5958" s="24" t="s">
        <v>21</v>
      </c>
      <c r="M5958" s="24" t="s">
        <v>21</v>
      </c>
      <c r="N5958" s="24" t="s">
        <v>21</v>
      </c>
      <c r="O5958" s="24">
        <v>1.000000003259629</v>
      </c>
      <c r="P5958" s="24" t="s">
        <v>21</v>
      </c>
      <c r="Q5958" s="24" t="s">
        <v>21</v>
      </c>
      <c r="R5958" s="24" t="s">
        <v>21</v>
      </c>
      <c r="S5958" s="24" t="s">
        <v>21</v>
      </c>
    </row>
    <row r="5959" spans="1:19" x14ac:dyDescent="0.2">
      <c r="A5959" s="12">
        <v>45986</v>
      </c>
      <c r="B5959" s="5" t="s">
        <v>20</v>
      </c>
      <c r="C5959" s="6">
        <v>0.72152777777777777</v>
      </c>
      <c r="D5959" s="5">
        <v>0</v>
      </c>
      <c r="E5959" s="5">
        <v>2</v>
      </c>
      <c r="F5959" s="5" t="s">
        <v>8</v>
      </c>
      <c r="G5959" s="15" t="s">
        <v>9</v>
      </c>
      <c r="H5959" s="24">
        <v>1.000000003259629</v>
      </c>
      <c r="I5959" s="24" t="s">
        <v>21</v>
      </c>
      <c r="J5959" s="24" t="s">
        <v>21</v>
      </c>
      <c r="K5959" s="24" t="s">
        <v>21</v>
      </c>
      <c r="L5959" s="24" t="s">
        <v>21</v>
      </c>
      <c r="M5959" s="24" t="s">
        <v>21</v>
      </c>
      <c r="N5959" s="24" t="s">
        <v>21</v>
      </c>
      <c r="O5959" s="24">
        <v>1.000000003259629</v>
      </c>
      <c r="P5959" s="24" t="s">
        <v>21</v>
      </c>
      <c r="Q5959" s="24" t="s">
        <v>21</v>
      </c>
      <c r="R5959" s="24" t="s">
        <v>21</v>
      </c>
      <c r="S5959" s="24" t="s">
        <v>21</v>
      </c>
    </row>
    <row r="5960" spans="1:19" x14ac:dyDescent="0.2">
      <c r="A5960" s="12">
        <v>45986</v>
      </c>
      <c r="B5960" s="5" t="s">
        <v>20</v>
      </c>
      <c r="C5960" s="6">
        <v>0.72152777777777777</v>
      </c>
      <c r="D5960" s="5">
        <v>0</v>
      </c>
      <c r="E5960" s="5">
        <v>20</v>
      </c>
      <c r="F5960" s="5" t="s">
        <v>8</v>
      </c>
      <c r="G5960" s="15" t="s">
        <v>9</v>
      </c>
      <c r="H5960" s="24">
        <v>0</v>
      </c>
      <c r="I5960" s="24" t="s">
        <v>21</v>
      </c>
      <c r="J5960" s="24" t="s">
        <v>21</v>
      </c>
      <c r="K5960" s="24" t="s">
        <v>21</v>
      </c>
      <c r="L5960" s="24" t="s">
        <v>21</v>
      </c>
      <c r="M5960" s="24" t="s">
        <v>21</v>
      </c>
      <c r="N5960" s="24" t="s">
        <v>21</v>
      </c>
      <c r="O5960" s="24">
        <v>0</v>
      </c>
      <c r="P5960" s="24" t="s">
        <v>21</v>
      </c>
      <c r="Q5960" s="24" t="s">
        <v>21</v>
      </c>
      <c r="R5960" s="24" t="s">
        <v>21</v>
      </c>
      <c r="S5960" s="24" t="s">
        <v>21</v>
      </c>
    </row>
    <row r="5961" spans="1:19" x14ac:dyDescent="0.2">
      <c r="A5961" s="12">
        <v>45986</v>
      </c>
      <c r="B5961" s="5" t="s">
        <v>20</v>
      </c>
      <c r="C5961" s="6">
        <v>0.72152777777777777</v>
      </c>
      <c r="D5961" s="5">
        <v>0</v>
      </c>
      <c r="E5961" s="5">
        <v>9</v>
      </c>
      <c r="F5961" s="5" t="s">
        <v>8</v>
      </c>
      <c r="G5961" s="15" t="s">
        <v>9</v>
      </c>
      <c r="H5961" s="24">
        <v>0</v>
      </c>
      <c r="I5961" s="24" t="s">
        <v>21</v>
      </c>
      <c r="J5961" s="24" t="s">
        <v>21</v>
      </c>
      <c r="K5961" s="24" t="s">
        <v>21</v>
      </c>
      <c r="L5961" s="24" t="s">
        <v>21</v>
      </c>
      <c r="M5961" s="24" t="s">
        <v>21</v>
      </c>
      <c r="N5961" s="24" t="s">
        <v>21</v>
      </c>
      <c r="O5961" s="24">
        <v>0</v>
      </c>
      <c r="P5961" s="24" t="s">
        <v>21</v>
      </c>
      <c r="Q5961" s="24" t="s">
        <v>21</v>
      </c>
      <c r="R5961" s="24" t="s">
        <v>21</v>
      </c>
      <c r="S5961" s="24" t="s">
        <v>21</v>
      </c>
    </row>
    <row r="5962" spans="1:19" x14ac:dyDescent="0.2">
      <c r="A5962" s="12">
        <v>45986</v>
      </c>
      <c r="B5962" s="5" t="s">
        <v>20</v>
      </c>
      <c r="C5962" s="6">
        <v>0.72222222222222221</v>
      </c>
      <c r="D5962" s="5">
        <v>0</v>
      </c>
      <c r="E5962" s="5">
        <v>2</v>
      </c>
      <c r="F5962" s="5" t="s">
        <v>8</v>
      </c>
      <c r="G5962" s="15" t="s">
        <v>9</v>
      </c>
      <c r="H5962" s="24">
        <v>0.99999999278225005</v>
      </c>
      <c r="I5962" s="24" t="s">
        <v>21</v>
      </c>
      <c r="J5962" s="24" t="s">
        <v>21</v>
      </c>
      <c r="K5962" s="24" t="s">
        <v>21</v>
      </c>
      <c r="L5962" s="24" t="s">
        <v>21</v>
      </c>
      <c r="M5962" s="24" t="s">
        <v>21</v>
      </c>
      <c r="N5962" s="24" t="s">
        <v>21</v>
      </c>
      <c r="O5962" s="24">
        <v>0.99999999278225005</v>
      </c>
      <c r="P5962" s="24" t="s">
        <v>21</v>
      </c>
      <c r="Q5962" s="24" t="s">
        <v>21</v>
      </c>
      <c r="R5962" s="24" t="s">
        <v>21</v>
      </c>
      <c r="S5962" s="24" t="s">
        <v>21</v>
      </c>
    </row>
    <row r="5963" spans="1:19" x14ac:dyDescent="0.2">
      <c r="A5963" s="12">
        <v>45986</v>
      </c>
      <c r="B5963" s="5" t="s">
        <v>20</v>
      </c>
      <c r="C5963" s="6">
        <v>0.72291666666666665</v>
      </c>
      <c r="D5963" s="5">
        <v>0</v>
      </c>
      <c r="E5963" s="5">
        <v>0</v>
      </c>
      <c r="F5963" s="5" t="s">
        <v>8</v>
      </c>
      <c r="G5963" s="15" t="s">
        <v>9</v>
      </c>
      <c r="H5963" s="24">
        <v>1.000000003259629</v>
      </c>
      <c r="I5963" s="24" t="s">
        <v>21</v>
      </c>
      <c r="J5963" s="24" t="s">
        <v>21</v>
      </c>
      <c r="K5963" s="24" t="s">
        <v>21</v>
      </c>
      <c r="L5963" s="24" t="s">
        <v>21</v>
      </c>
      <c r="M5963" s="24" t="s">
        <v>21</v>
      </c>
      <c r="N5963" s="24" t="s">
        <v>21</v>
      </c>
      <c r="O5963" s="24">
        <v>1.000000003259629</v>
      </c>
      <c r="P5963" s="24" t="s">
        <v>21</v>
      </c>
      <c r="Q5963" s="24" t="s">
        <v>21</v>
      </c>
      <c r="R5963" s="24" t="s">
        <v>21</v>
      </c>
      <c r="S5963" s="24" t="s">
        <v>21</v>
      </c>
    </row>
    <row r="5964" spans="1:19" x14ac:dyDescent="0.2">
      <c r="A5964" s="12">
        <v>45986</v>
      </c>
      <c r="B5964" s="5" t="s">
        <v>3</v>
      </c>
      <c r="C5964" s="6">
        <v>0.72361111111111109</v>
      </c>
      <c r="D5964" s="5">
        <v>1</v>
      </c>
      <c r="E5964" s="5">
        <v>5</v>
      </c>
      <c r="F5964" s="5" t="s">
        <v>8</v>
      </c>
      <c r="G5964" s="15" t="s">
        <v>9</v>
      </c>
      <c r="H5964" s="24">
        <v>1.000000003259629</v>
      </c>
      <c r="I5964" s="24">
        <v>632.00000000651926</v>
      </c>
      <c r="J5964" s="24" t="s">
        <v>21</v>
      </c>
      <c r="K5964" s="24" t="s">
        <v>21</v>
      </c>
      <c r="L5964" s="24" t="s">
        <v>21</v>
      </c>
      <c r="M5964" s="24" t="s">
        <v>21</v>
      </c>
      <c r="N5964" s="24" t="s">
        <v>21</v>
      </c>
      <c r="O5964" s="24" t="s">
        <v>21</v>
      </c>
      <c r="P5964" s="24" t="s">
        <v>21</v>
      </c>
      <c r="Q5964" s="24" t="s">
        <v>21</v>
      </c>
      <c r="R5964" s="24" t="s">
        <v>21</v>
      </c>
      <c r="S5964" s="24" t="s">
        <v>21</v>
      </c>
    </row>
    <row r="5965" spans="1:19" x14ac:dyDescent="0.2">
      <c r="A5965" s="12">
        <v>45986</v>
      </c>
      <c r="B5965" s="5" t="s">
        <v>3</v>
      </c>
      <c r="C5965" s="6">
        <v>0.72361111111111109</v>
      </c>
      <c r="D5965" s="5">
        <v>0</v>
      </c>
      <c r="E5965" s="5">
        <v>0</v>
      </c>
      <c r="F5965" s="5" t="s">
        <v>8</v>
      </c>
      <c r="G5965" s="15" t="s">
        <v>9</v>
      </c>
      <c r="H5965" s="24">
        <v>0</v>
      </c>
      <c r="I5965" s="24">
        <v>0</v>
      </c>
      <c r="J5965" s="24" t="s">
        <v>21</v>
      </c>
      <c r="K5965" s="24" t="s">
        <v>21</v>
      </c>
      <c r="L5965" s="24" t="s">
        <v>21</v>
      </c>
      <c r="M5965" s="24" t="s">
        <v>21</v>
      </c>
      <c r="N5965" s="24" t="s">
        <v>21</v>
      </c>
      <c r="O5965" s="24" t="s">
        <v>21</v>
      </c>
      <c r="P5965" s="24" t="s">
        <v>21</v>
      </c>
      <c r="Q5965" s="24" t="s">
        <v>21</v>
      </c>
      <c r="R5965" s="24" t="s">
        <v>21</v>
      </c>
      <c r="S5965" s="24" t="s">
        <v>21</v>
      </c>
    </row>
    <row r="5966" spans="1:19" x14ac:dyDescent="0.2">
      <c r="A5966" s="12">
        <v>45986</v>
      </c>
      <c r="B5966" s="5" t="s">
        <v>3</v>
      </c>
      <c r="C5966" s="6">
        <v>0.72430555555555554</v>
      </c>
      <c r="D5966" s="5">
        <v>2</v>
      </c>
      <c r="E5966" s="5">
        <v>0</v>
      </c>
      <c r="F5966" s="5" t="s">
        <v>8</v>
      </c>
      <c r="G5966" s="15" t="s">
        <v>9</v>
      </c>
      <c r="H5966" s="24">
        <v>1.000000003259629</v>
      </c>
      <c r="I5966" s="24">
        <v>1.000000003259629</v>
      </c>
      <c r="J5966" s="24" t="s">
        <v>21</v>
      </c>
      <c r="K5966" s="24" t="s">
        <v>21</v>
      </c>
      <c r="L5966" s="24" t="s">
        <v>21</v>
      </c>
      <c r="M5966" s="24" t="s">
        <v>21</v>
      </c>
      <c r="N5966" s="24" t="s">
        <v>21</v>
      </c>
      <c r="O5966" s="24" t="s">
        <v>21</v>
      </c>
      <c r="P5966" s="24" t="s">
        <v>21</v>
      </c>
      <c r="Q5966" s="24" t="s">
        <v>21</v>
      </c>
      <c r="R5966" s="24" t="s">
        <v>21</v>
      </c>
      <c r="S5966" s="24" t="s">
        <v>21</v>
      </c>
    </row>
    <row r="5967" spans="1:19" x14ac:dyDescent="0.2">
      <c r="A5967" s="12">
        <v>45986</v>
      </c>
      <c r="B5967" s="5" t="s">
        <v>3</v>
      </c>
      <c r="C5967" s="6">
        <v>0.72430555555555554</v>
      </c>
      <c r="D5967" s="5">
        <v>4</v>
      </c>
      <c r="E5967" s="5">
        <v>0</v>
      </c>
      <c r="F5967" s="5" t="s">
        <v>8</v>
      </c>
      <c r="G5967" s="15" t="s">
        <v>9</v>
      </c>
      <c r="H5967" s="24">
        <v>0</v>
      </c>
      <c r="I5967" s="24">
        <v>0</v>
      </c>
      <c r="J5967" s="24" t="s">
        <v>21</v>
      </c>
      <c r="K5967" s="24" t="s">
        <v>21</v>
      </c>
      <c r="L5967" s="24" t="s">
        <v>21</v>
      </c>
      <c r="M5967" s="24" t="s">
        <v>21</v>
      </c>
      <c r="N5967" s="24" t="s">
        <v>21</v>
      </c>
      <c r="O5967" s="24" t="s">
        <v>21</v>
      </c>
      <c r="P5967" s="24" t="s">
        <v>21</v>
      </c>
      <c r="Q5967" s="24" t="s">
        <v>21</v>
      </c>
      <c r="R5967" s="24" t="s">
        <v>21</v>
      </c>
      <c r="S5967" s="24" t="s">
        <v>21</v>
      </c>
    </row>
    <row r="5968" spans="1:19" x14ac:dyDescent="0.2">
      <c r="A5968" s="12">
        <v>45986</v>
      </c>
      <c r="B5968" s="5" t="s">
        <v>3</v>
      </c>
      <c r="C5968" s="6">
        <v>0.72499999999999998</v>
      </c>
      <c r="D5968" s="5">
        <v>3</v>
      </c>
      <c r="E5968" s="5">
        <v>3</v>
      </c>
      <c r="F5968" s="5" t="s">
        <v>8</v>
      </c>
      <c r="G5968" s="15" t="s">
        <v>9</v>
      </c>
      <c r="H5968" s="24">
        <v>0.99999999278225005</v>
      </c>
      <c r="I5968" s="24">
        <v>0.99999999278225005</v>
      </c>
      <c r="J5968" s="24" t="s">
        <v>21</v>
      </c>
      <c r="K5968" s="24" t="s">
        <v>21</v>
      </c>
      <c r="L5968" s="24" t="s">
        <v>21</v>
      </c>
      <c r="M5968" s="24" t="s">
        <v>21</v>
      </c>
      <c r="N5968" s="24" t="s">
        <v>21</v>
      </c>
      <c r="O5968" s="24" t="s">
        <v>21</v>
      </c>
      <c r="P5968" s="24" t="s">
        <v>21</v>
      </c>
      <c r="Q5968" s="24" t="s">
        <v>21</v>
      </c>
      <c r="R5968" s="24" t="s">
        <v>21</v>
      </c>
      <c r="S5968" s="24" t="s">
        <v>21</v>
      </c>
    </row>
    <row r="5969" spans="1:19" x14ac:dyDescent="0.2">
      <c r="A5969" s="12">
        <v>45986</v>
      </c>
      <c r="B5969" s="5" t="s">
        <v>3</v>
      </c>
      <c r="C5969" s="6">
        <v>0.72499999999999998</v>
      </c>
      <c r="D5969" s="5">
        <v>2</v>
      </c>
      <c r="E5969" s="5">
        <v>0</v>
      </c>
      <c r="F5969" s="5" t="s">
        <v>8</v>
      </c>
      <c r="G5969" s="15" t="s">
        <v>9</v>
      </c>
      <c r="H5969" s="24">
        <v>0</v>
      </c>
      <c r="I5969" s="24">
        <v>0</v>
      </c>
      <c r="J5969" s="24" t="s">
        <v>21</v>
      </c>
      <c r="K5969" s="24" t="s">
        <v>21</v>
      </c>
      <c r="L5969" s="24" t="s">
        <v>21</v>
      </c>
      <c r="M5969" s="24" t="s">
        <v>21</v>
      </c>
      <c r="N5969" s="24" t="s">
        <v>21</v>
      </c>
      <c r="O5969" s="24" t="s">
        <v>21</v>
      </c>
      <c r="P5969" s="24" t="s">
        <v>21</v>
      </c>
      <c r="Q5969" s="24" t="s">
        <v>21</v>
      </c>
      <c r="R5969" s="24" t="s">
        <v>21</v>
      </c>
      <c r="S5969" s="24" t="s">
        <v>21</v>
      </c>
    </row>
    <row r="5970" spans="1:19" x14ac:dyDescent="0.2">
      <c r="A5970" s="12">
        <v>45986</v>
      </c>
      <c r="B5970" s="5" t="s">
        <v>3</v>
      </c>
      <c r="C5970" s="6">
        <v>0.72638888888888886</v>
      </c>
      <c r="D5970" s="5">
        <v>1</v>
      </c>
      <c r="E5970" s="5">
        <v>1</v>
      </c>
      <c r="F5970" s="5" t="s">
        <v>8</v>
      </c>
      <c r="G5970" s="15" t="s">
        <v>9</v>
      </c>
      <c r="H5970" s="24">
        <v>2.000000006519258</v>
      </c>
      <c r="I5970" s="24">
        <v>2.000000006519258</v>
      </c>
      <c r="J5970" s="24" t="s">
        <v>21</v>
      </c>
      <c r="K5970" s="24" t="s">
        <v>21</v>
      </c>
      <c r="L5970" s="24" t="s">
        <v>21</v>
      </c>
      <c r="M5970" s="24" t="s">
        <v>21</v>
      </c>
      <c r="N5970" s="24" t="s">
        <v>21</v>
      </c>
      <c r="O5970" s="24" t="s">
        <v>21</v>
      </c>
      <c r="P5970" s="24" t="s">
        <v>21</v>
      </c>
      <c r="Q5970" s="24" t="s">
        <v>21</v>
      </c>
      <c r="R5970" s="24" t="s">
        <v>21</v>
      </c>
      <c r="S5970" s="24" t="s">
        <v>21</v>
      </c>
    </row>
    <row r="5971" spans="1:19" x14ac:dyDescent="0.2">
      <c r="A5971" s="12">
        <v>45986</v>
      </c>
      <c r="B5971" s="5" t="s">
        <v>3</v>
      </c>
      <c r="C5971" s="6">
        <v>0.72638888888888886</v>
      </c>
      <c r="D5971" s="5">
        <v>0</v>
      </c>
      <c r="E5971" s="5">
        <v>0</v>
      </c>
      <c r="F5971" s="5" t="s">
        <v>8</v>
      </c>
      <c r="G5971" s="15" t="s">
        <v>9</v>
      </c>
      <c r="H5971" s="24">
        <v>0</v>
      </c>
      <c r="I5971" s="24">
        <v>0</v>
      </c>
      <c r="J5971" s="24" t="s">
        <v>21</v>
      </c>
      <c r="K5971" s="24" t="s">
        <v>21</v>
      </c>
      <c r="L5971" s="24" t="s">
        <v>21</v>
      </c>
      <c r="M5971" s="24" t="s">
        <v>21</v>
      </c>
      <c r="N5971" s="24" t="s">
        <v>21</v>
      </c>
      <c r="O5971" s="24" t="s">
        <v>21</v>
      </c>
      <c r="P5971" s="24" t="s">
        <v>21</v>
      </c>
      <c r="Q5971" s="24" t="s">
        <v>21</v>
      </c>
      <c r="R5971" s="24" t="s">
        <v>21</v>
      </c>
      <c r="S5971" s="24" t="s">
        <v>21</v>
      </c>
    </row>
    <row r="5972" spans="1:19" x14ac:dyDescent="0.2">
      <c r="A5972" s="12">
        <v>45986</v>
      </c>
      <c r="B5972" s="5" t="s">
        <v>3</v>
      </c>
      <c r="C5972" s="6">
        <v>0.72638888888888886</v>
      </c>
      <c r="D5972" s="5">
        <v>2</v>
      </c>
      <c r="E5972" s="5">
        <v>0</v>
      </c>
      <c r="F5972" s="5" t="s">
        <v>8</v>
      </c>
      <c r="G5972" s="15" t="s">
        <v>9</v>
      </c>
      <c r="H5972" s="24">
        <v>0</v>
      </c>
      <c r="I5972" s="24">
        <v>0</v>
      </c>
      <c r="J5972" s="24" t="s">
        <v>21</v>
      </c>
      <c r="K5972" s="24" t="s">
        <v>21</v>
      </c>
      <c r="L5972" s="24" t="s">
        <v>21</v>
      </c>
      <c r="M5972" s="24" t="s">
        <v>21</v>
      </c>
      <c r="N5972" s="24" t="s">
        <v>21</v>
      </c>
      <c r="O5972" s="24" t="s">
        <v>21</v>
      </c>
      <c r="P5972" s="24" t="s">
        <v>21</v>
      </c>
      <c r="Q5972" s="24" t="s">
        <v>21</v>
      </c>
      <c r="R5972" s="24" t="s">
        <v>21</v>
      </c>
      <c r="S5972" s="24" t="s">
        <v>21</v>
      </c>
    </row>
    <row r="5973" spans="1:19" x14ac:dyDescent="0.2">
      <c r="A5973" s="12">
        <v>45986</v>
      </c>
      <c r="B5973" s="5" t="s">
        <v>3</v>
      </c>
      <c r="C5973" s="6">
        <v>0.7270833333333333</v>
      </c>
      <c r="D5973" s="5">
        <v>3</v>
      </c>
      <c r="E5973" s="5">
        <v>0</v>
      </c>
      <c r="F5973" s="5" t="s">
        <v>8</v>
      </c>
      <c r="G5973" s="15" t="s">
        <v>9</v>
      </c>
      <c r="H5973" s="24">
        <v>0.99999999278225005</v>
      </c>
      <c r="I5973" s="24">
        <v>0.99999999278225005</v>
      </c>
      <c r="J5973" s="24" t="s">
        <v>21</v>
      </c>
      <c r="K5973" s="24" t="s">
        <v>21</v>
      </c>
      <c r="L5973" s="24" t="s">
        <v>21</v>
      </c>
      <c r="M5973" s="24" t="s">
        <v>21</v>
      </c>
      <c r="N5973" s="24" t="s">
        <v>21</v>
      </c>
      <c r="O5973" s="24" t="s">
        <v>21</v>
      </c>
      <c r="P5973" s="24" t="s">
        <v>21</v>
      </c>
      <c r="Q5973" s="24" t="s">
        <v>21</v>
      </c>
      <c r="R5973" s="24" t="s">
        <v>21</v>
      </c>
      <c r="S5973" s="24" t="s">
        <v>21</v>
      </c>
    </row>
    <row r="5974" spans="1:19" x14ac:dyDescent="0.2">
      <c r="A5974" s="12">
        <v>45986</v>
      </c>
      <c r="B5974" s="5" t="s">
        <v>3</v>
      </c>
      <c r="C5974" s="6">
        <v>0.7270833333333333</v>
      </c>
      <c r="D5974" s="5">
        <v>3</v>
      </c>
      <c r="E5974" s="5">
        <v>0</v>
      </c>
      <c r="F5974" s="5" t="s">
        <v>8</v>
      </c>
      <c r="G5974" s="15" t="s">
        <v>9</v>
      </c>
      <c r="H5974" s="24">
        <v>0</v>
      </c>
      <c r="I5974" s="24">
        <v>0</v>
      </c>
      <c r="J5974" s="24" t="s">
        <v>21</v>
      </c>
      <c r="K5974" s="24" t="s">
        <v>21</v>
      </c>
      <c r="L5974" s="24" t="s">
        <v>21</v>
      </c>
      <c r="M5974" s="24" t="s">
        <v>21</v>
      </c>
      <c r="N5974" s="24" t="s">
        <v>21</v>
      </c>
      <c r="O5974" s="24" t="s">
        <v>21</v>
      </c>
      <c r="P5974" s="24" t="s">
        <v>21</v>
      </c>
      <c r="Q5974" s="24" t="s">
        <v>21</v>
      </c>
      <c r="R5974" s="24" t="s">
        <v>21</v>
      </c>
      <c r="S5974" s="24" t="s">
        <v>21</v>
      </c>
    </row>
    <row r="5975" spans="1:19" x14ac:dyDescent="0.2">
      <c r="A5975" s="12">
        <v>45986</v>
      </c>
      <c r="B5975" s="5" t="s">
        <v>3</v>
      </c>
      <c r="C5975" s="6">
        <v>0.72777777777777775</v>
      </c>
      <c r="D5975" s="5">
        <v>0</v>
      </c>
      <c r="E5975" s="5">
        <v>0</v>
      </c>
      <c r="F5975" s="5" t="s">
        <v>8</v>
      </c>
      <c r="G5975" s="15" t="s">
        <v>9</v>
      </c>
      <c r="H5975" s="24">
        <v>1.000000003259629</v>
      </c>
      <c r="I5975" s="24">
        <v>1.000000003259629</v>
      </c>
      <c r="J5975" s="24" t="s">
        <v>21</v>
      </c>
      <c r="K5975" s="24" t="s">
        <v>21</v>
      </c>
      <c r="L5975" s="24" t="s">
        <v>21</v>
      </c>
      <c r="M5975" s="24" t="s">
        <v>21</v>
      </c>
      <c r="N5975" s="24" t="s">
        <v>21</v>
      </c>
      <c r="O5975" s="24" t="s">
        <v>21</v>
      </c>
      <c r="P5975" s="24" t="s">
        <v>21</v>
      </c>
      <c r="Q5975" s="24" t="s">
        <v>21</v>
      </c>
      <c r="R5975" s="24" t="s">
        <v>21</v>
      </c>
      <c r="S5975" s="24" t="s">
        <v>21</v>
      </c>
    </row>
    <row r="5976" spans="1:19" x14ac:dyDescent="0.2">
      <c r="A5976" s="12">
        <v>45986</v>
      </c>
      <c r="B5976" s="5" t="s">
        <v>3</v>
      </c>
      <c r="C5976" s="6">
        <v>0.72847222222222219</v>
      </c>
      <c r="D5976" s="5">
        <v>1</v>
      </c>
      <c r="E5976" s="5">
        <v>1</v>
      </c>
      <c r="F5976" s="5" t="s">
        <v>8</v>
      </c>
      <c r="G5976" s="15" t="s">
        <v>9</v>
      </c>
      <c r="H5976" s="24">
        <v>1.000000003259629</v>
      </c>
      <c r="I5976" s="24">
        <v>1.000000003259629</v>
      </c>
      <c r="J5976" s="24" t="s">
        <v>21</v>
      </c>
      <c r="K5976" s="24" t="s">
        <v>21</v>
      </c>
      <c r="L5976" s="24" t="s">
        <v>21</v>
      </c>
      <c r="M5976" s="24" t="s">
        <v>21</v>
      </c>
      <c r="N5976" s="24" t="s">
        <v>21</v>
      </c>
      <c r="O5976" s="24" t="s">
        <v>21</v>
      </c>
      <c r="P5976" s="24" t="s">
        <v>21</v>
      </c>
      <c r="Q5976" s="24" t="s">
        <v>21</v>
      </c>
      <c r="R5976" s="24" t="s">
        <v>21</v>
      </c>
      <c r="S5976" s="24" t="s">
        <v>21</v>
      </c>
    </row>
    <row r="5977" spans="1:19" x14ac:dyDescent="0.2">
      <c r="A5977" s="12">
        <v>45986</v>
      </c>
      <c r="B5977" s="5" t="s">
        <v>3</v>
      </c>
      <c r="C5977" s="6">
        <v>0.72847222222222219</v>
      </c>
      <c r="D5977" s="5">
        <v>1</v>
      </c>
      <c r="E5977" s="5">
        <v>1</v>
      </c>
      <c r="F5977" s="5" t="s">
        <v>8</v>
      </c>
      <c r="G5977" s="15" t="s">
        <v>9</v>
      </c>
      <c r="H5977" s="24">
        <v>0</v>
      </c>
      <c r="I5977" s="24">
        <v>0</v>
      </c>
      <c r="J5977" s="24" t="s">
        <v>21</v>
      </c>
      <c r="K5977" s="24" t="s">
        <v>21</v>
      </c>
      <c r="L5977" s="24" t="s">
        <v>21</v>
      </c>
      <c r="M5977" s="24" t="s">
        <v>21</v>
      </c>
      <c r="N5977" s="24" t="s">
        <v>21</v>
      </c>
      <c r="O5977" s="24" t="s">
        <v>21</v>
      </c>
      <c r="P5977" s="24" t="s">
        <v>21</v>
      </c>
      <c r="Q5977" s="24" t="s">
        <v>21</v>
      </c>
      <c r="R5977" s="24" t="s">
        <v>21</v>
      </c>
      <c r="S5977" s="24" t="s">
        <v>21</v>
      </c>
    </row>
    <row r="5978" spans="1:19" x14ac:dyDescent="0.2">
      <c r="A5978" s="12">
        <v>45986</v>
      </c>
      <c r="B5978" s="5" t="s">
        <v>3</v>
      </c>
      <c r="C5978" s="6">
        <v>0.7319444444444444</v>
      </c>
      <c r="D5978" s="5">
        <v>2</v>
      </c>
      <c r="E5978" s="5">
        <v>1</v>
      </c>
      <c r="F5978" s="5" t="s">
        <v>8</v>
      </c>
      <c r="G5978" s="15" t="s">
        <v>9</v>
      </c>
      <c r="H5978" s="24">
        <v>4.9999999953433871</v>
      </c>
      <c r="I5978" s="24">
        <v>4.9999999953433871</v>
      </c>
      <c r="J5978" s="24" t="s">
        <v>21</v>
      </c>
      <c r="K5978" s="24" t="s">
        <v>21</v>
      </c>
      <c r="L5978" s="24" t="s">
        <v>21</v>
      </c>
      <c r="M5978" s="24" t="s">
        <v>21</v>
      </c>
      <c r="N5978" s="24" t="s">
        <v>21</v>
      </c>
      <c r="O5978" s="24" t="s">
        <v>21</v>
      </c>
      <c r="P5978" s="24" t="s">
        <v>21</v>
      </c>
      <c r="Q5978" s="24" t="s">
        <v>21</v>
      </c>
      <c r="R5978" s="24" t="s">
        <v>21</v>
      </c>
      <c r="S5978" s="24" t="s">
        <v>21</v>
      </c>
    </row>
    <row r="5979" spans="1:19" x14ac:dyDescent="0.2">
      <c r="A5979" s="12">
        <v>45986</v>
      </c>
      <c r="B5979" s="5" t="s">
        <v>3</v>
      </c>
      <c r="C5979" s="6">
        <v>0.73263888888888884</v>
      </c>
      <c r="D5979" s="5">
        <v>3</v>
      </c>
      <c r="E5979" s="5">
        <v>0</v>
      </c>
      <c r="F5979" s="5" t="s">
        <v>8</v>
      </c>
      <c r="G5979" s="15" t="s">
        <v>9</v>
      </c>
      <c r="H5979" s="24">
        <v>1.000000003259629</v>
      </c>
      <c r="I5979" s="24">
        <v>1.000000003259629</v>
      </c>
      <c r="J5979" s="24" t="s">
        <v>21</v>
      </c>
      <c r="K5979" s="24" t="s">
        <v>21</v>
      </c>
      <c r="L5979" s="24" t="s">
        <v>21</v>
      </c>
      <c r="M5979" s="24" t="s">
        <v>21</v>
      </c>
      <c r="N5979" s="24" t="s">
        <v>21</v>
      </c>
      <c r="O5979" s="24" t="s">
        <v>21</v>
      </c>
      <c r="P5979" s="24" t="s">
        <v>21</v>
      </c>
      <c r="Q5979" s="24" t="s">
        <v>21</v>
      </c>
      <c r="R5979" s="24" t="s">
        <v>21</v>
      </c>
      <c r="S5979" s="24" t="s">
        <v>21</v>
      </c>
    </row>
    <row r="5980" spans="1:19" x14ac:dyDescent="0.2">
      <c r="A5980" s="12">
        <v>45986</v>
      </c>
      <c r="B5980" s="5" t="s">
        <v>3</v>
      </c>
      <c r="C5980" s="6">
        <v>0.73333333333333328</v>
      </c>
      <c r="D5980" s="5">
        <v>2</v>
      </c>
      <c r="E5980" s="5">
        <v>2</v>
      </c>
      <c r="F5980" s="5" t="s">
        <v>8</v>
      </c>
      <c r="G5980" s="15" t="s">
        <v>9</v>
      </c>
      <c r="H5980" s="24">
        <v>0.99999999278225005</v>
      </c>
      <c r="I5980" s="24">
        <v>0.99999999278225005</v>
      </c>
      <c r="J5980" s="24" t="s">
        <v>21</v>
      </c>
      <c r="K5980" s="24" t="s">
        <v>21</v>
      </c>
      <c r="L5980" s="24" t="s">
        <v>21</v>
      </c>
      <c r="M5980" s="24" t="s">
        <v>21</v>
      </c>
      <c r="N5980" s="24" t="s">
        <v>21</v>
      </c>
      <c r="O5980" s="24" t="s">
        <v>21</v>
      </c>
      <c r="P5980" s="24" t="s">
        <v>21</v>
      </c>
      <c r="Q5980" s="24" t="s">
        <v>21</v>
      </c>
      <c r="R5980" s="24" t="s">
        <v>21</v>
      </c>
      <c r="S5980" s="24" t="s">
        <v>21</v>
      </c>
    </row>
    <row r="5981" spans="1:19" x14ac:dyDescent="0.2">
      <c r="A5981" s="12">
        <v>45986</v>
      </c>
      <c r="B5981" s="5" t="s">
        <v>3</v>
      </c>
      <c r="C5981" s="6">
        <v>0.73402777777777772</v>
      </c>
      <c r="D5981" s="5">
        <v>3</v>
      </c>
      <c r="E5981" s="5">
        <v>0</v>
      </c>
      <c r="F5981" s="5" t="s">
        <v>8</v>
      </c>
      <c r="G5981" s="15" t="s">
        <v>9</v>
      </c>
      <c r="H5981" s="24">
        <v>1.000000003259629</v>
      </c>
      <c r="I5981" s="24">
        <v>1.000000003259629</v>
      </c>
      <c r="J5981" s="24" t="s">
        <v>21</v>
      </c>
      <c r="K5981" s="24" t="s">
        <v>21</v>
      </c>
      <c r="L5981" s="24" t="s">
        <v>21</v>
      </c>
      <c r="M5981" s="24" t="s">
        <v>21</v>
      </c>
      <c r="N5981" s="24" t="s">
        <v>21</v>
      </c>
      <c r="O5981" s="24" t="s">
        <v>21</v>
      </c>
      <c r="P5981" s="24" t="s">
        <v>21</v>
      </c>
      <c r="Q5981" s="24" t="s">
        <v>21</v>
      </c>
      <c r="R5981" s="24" t="s">
        <v>21</v>
      </c>
      <c r="S5981" s="24" t="s">
        <v>21</v>
      </c>
    </row>
    <row r="5982" spans="1:19" x14ac:dyDescent="0.2">
      <c r="A5982" s="12">
        <v>45986</v>
      </c>
      <c r="B5982" s="5" t="s">
        <v>3</v>
      </c>
      <c r="C5982" s="6">
        <v>0.73402777777777772</v>
      </c>
      <c r="D5982" s="5">
        <v>1</v>
      </c>
      <c r="E5982" s="5">
        <v>0</v>
      </c>
      <c r="F5982" s="5" t="s">
        <v>8</v>
      </c>
      <c r="G5982" s="15" t="s">
        <v>9</v>
      </c>
      <c r="H5982" s="24">
        <v>0</v>
      </c>
      <c r="I5982" s="24">
        <v>0</v>
      </c>
      <c r="J5982" s="24" t="s">
        <v>21</v>
      </c>
      <c r="K5982" s="24" t="s">
        <v>21</v>
      </c>
      <c r="L5982" s="24" t="s">
        <v>21</v>
      </c>
      <c r="M5982" s="24" t="s">
        <v>21</v>
      </c>
      <c r="N5982" s="24" t="s">
        <v>21</v>
      </c>
      <c r="O5982" s="24" t="s">
        <v>21</v>
      </c>
      <c r="P5982" s="24" t="s">
        <v>21</v>
      </c>
      <c r="Q5982" s="24" t="s">
        <v>21</v>
      </c>
      <c r="R5982" s="24" t="s">
        <v>21</v>
      </c>
      <c r="S5982" s="24" t="s">
        <v>21</v>
      </c>
    </row>
    <row r="5983" spans="1:19" x14ac:dyDescent="0.2">
      <c r="A5983" s="12">
        <v>45986</v>
      </c>
      <c r="B5983" s="5" t="s">
        <v>3</v>
      </c>
      <c r="C5983" s="6">
        <v>0.73402777777777772</v>
      </c>
      <c r="D5983" s="5">
        <v>2</v>
      </c>
      <c r="E5983" s="5">
        <v>0</v>
      </c>
      <c r="F5983" s="5" t="s">
        <v>8</v>
      </c>
      <c r="G5983" s="15" t="s">
        <v>9</v>
      </c>
      <c r="H5983" s="24">
        <v>0</v>
      </c>
      <c r="I5983" s="24">
        <v>0</v>
      </c>
      <c r="J5983" s="24" t="s">
        <v>21</v>
      </c>
      <c r="K5983" s="24" t="s">
        <v>21</v>
      </c>
      <c r="L5983" s="24" t="s">
        <v>21</v>
      </c>
      <c r="M5983" s="24" t="s">
        <v>21</v>
      </c>
      <c r="N5983" s="24" t="s">
        <v>21</v>
      </c>
      <c r="O5983" s="24" t="s">
        <v>21</v>
      </c>
      <c r="P5983" s="24" t="s">
        <v>21</v>
      </c>
      <c r="Q5983" s="24" t="s">
        <v>21</v>
      </c>
      <c r="R5983" s="24" t="s">
        <v>21</v>
      </c>
      <c r="S5983" s="24" t="s">
        <v>21</v>
      </c>
    </row>
    <row r="5984" spans="1:19" x14ac:dyDescent="0.2">
      <c r="A5984" s="12">
        <v>45986</v>
      </c>
      <c r="B5984" s="5" t="s">
        <v>3</v>
      </c>
      <c r="C5984" s="6">
        <v>0.73472222222222228</v>
      </c>
      <c r="D5984" s="5">
        <v>1</v>
      </c>
      <c r="E5984" s="5">
        <v>0</v>
      </c>
      <c r="F5984" s="5" t="s">
        <v>8</v>
      </c>
      <c r="G5984" s="15" t="s">
        <v>9</v>
      </c>
      <c r="H5984" s="24">
        <v>1.000000003259629</v>
      </c>
      <c r="I5984" s="24">
        <v>1.000000003259629</v>
      </c>
      <c r="J5984" s="24" t="s">
        <v>21</v>
      </c>
      <c r="K5984" s="24" t="s">
        <v>21</v>
      </c>
      <c r="L5984" s="24" t="s">
        <v>21</v>
      </c>
      <c r="M5984" s="24" t="s">
        <v>21</v>
      </c>
      <c r="N5984" s="24" t="s">
        <v>21</v>
      </c>
      <c r="O5984" s="24" t="s">
        <v>21</v>
      </c>
      <c r="P5984" s="24" t="s">
        <v>21</v>
      </c>
      <c r="Q5984" s="24" t="s">
        <v>21</v>
      </c>
      <c r="R5984" s="24" t="s">
        <v>21</v>
      </c>
      <c r="S5984" s="24" t="s">
        <v>21</v>
      </c>
    </row>
    <row r="5985" spans="1:19" x14ac:dyDescent="0.2">
      <c r="A5985" s="12">
        <v>45986</v>
      </c>
      <c r="B5985" s="5" t="s">
        <v>3</v>
      </c>
      <c r="C5985" s="6">
        <v>0.73472222222222228</v>
      </c>
      <c r="D5985" s="5">
        <v>0</v>
      </c>
      <c r="E5985" s="5">
        <v>6</v>
      </c>
      <c r="F5985" s="5" t="s">
        <v>8</v>
      </c>
      <c r="G5985" s="15" t="s">
        <v>9</v>
      </c>
      <c r="H5985" s="24">
        <v>0</v>
      </c>
      <c r="I5985" s="24">
        <v>0</v>
      </c>
      <c r="J5985" s="24" t="s">
        <v>21</v>
      </c>
      <c r="K5985" s="24" t="s">
        <v>21</v>
      </c>
      <c r="L5985" s="24" t="s">
        <v>21</v>
      </c>
      <c r="M5985" s="24" t="s">
        <v>21</v>
      </c>
      <c r="N5985" s="24" t="s">
        <v>21</v>
      </c>
      <c r="O5985" s="24" t="s">
        <v>21</v>
      </c>
      <c r="P5985" s="24" t="s">
        <v>21</v>
      </c>
      <c r="Q5985" s="24" t="s">
        <v>21</v>
      </c>
      <c r="R5985" s="24" t="s">
        <v>21</v>
      </c>
      <c r="S5985" s="24" t="s">
        <v>21</v>
      </c>
    </row>
    <row r="5986" spans="1:19" x14ac:dyDescent="0.2">
      <c r="A5986" s="13">
        <v>45986</v>
      </c>
      <c r="B5986" s="7" t="s">
        <v>3</v>
      </c>
      <c r="C5986" s="8">
        <v>0.73472222222222228</v>
      </c>
      <c r="D5986" s="7">
        <v>0</v>
      </c>
      <c r="E5986" s="7">
        <v>6</v>
      </c>
      <c r="F5986" s="7" t="s">
        <v>8</v>
      </c>
      <c r="G5986" s="16" t="s">
        <v>9</v>
      </c>
      <c r="H5986" s="25">
        <v>0</v>
      </c>
      <c r="I5986" s="25">
        <v>0</v>
      </c>
      <c r="J5986" s="25" t="s">
        <v>21</v>
      </c>
      <c r="K5986" s="25" t="s">
        <v>21</v>
      </c>
      <c r="L5986" s="25" t="s">
        <v>21</v>
      </c>
      <c r="M5986" s="25" t="s">
        <v>21</v>
      </c>
      <c r="N5986" s="25" t="s">
        <v>21</v>
      </c>
      <c r="O5986" s="25" t="s">
        <v>21</v>
      </c>
      <c r="P5986" s="25" t="s">
        <v>21</v>
      </c>
      <c r="Q5986" s="25" t="s">
        <v>21</v>
      </c>
      <c r="R5986" s="25" t="s">
        <v>21</v>
      </c>
      <c r="S5986" s="25" t="s">
        <v>21</v>
      </c>
    </row>
    <row r="5987" spans="1:19" x14ac:dyDescent="0.2">
      <c r="A5987" s="12">
        <v>45987</v>
      </c>
      <c r="B5987" s="5" t="s">
        <v>20</v>
      </c>
      <c r="C5987" s="6">
        <v>0.3</v>
      </c>
      <c r="D5987" s="5">
        <v>3</v>
      </c>
      <c r="E5987" s="5">
        <v>0</v>
      </c>
      <c r="F5987" s="5" t="s">
        <v>8</v>
      </c>
      <c r="G5987" s="15" t="s">
        <v>9</v>
      </c>
      <c r="H5987" s="24">
        <v>814.00000000256114</v>
      </c>
      <c r="I5987" s="24" t="s">
        <v>21</v>
      </c>
      <c r="J5987" s="24" t="s">
        <v>21</v>
      </c>
      <c r="K5987" s="24" t="s">
        <v>21</v>
      </c>
      <c r="L5987" s="24" t="s">
        <v>21</v>
      </c>
      <c r="M5987" s="24" t="s">
        <v>21</v>
      </c>
      <c r="N5987" s="24" t="s">
        <v>21</v>
      </c>
      <c r="O5987" s="24">
        <v>831.00000000558794</v>
      </c>
      <c r="P5987" s="24" t="s">
        <v>21</v>
      </c>
      <c r="Q5987" s="24" t="s">
        <v>21</v>
      </c>
      <c r="R5987" s="24" t="s">
        <v>21</v>
      </c>
      <c r="S5987" s="24" t="s">
        <v>21</v>
      </c>
    </row>
    <row r="5988" spans="1:19" x14ac:dyDescent="0.2">
      <c r="A5988" s="12">
        <v>45987</v>
      </c>
      <c r="B5988" s="5" t="s">
        <v>20</v>
      </c>
      <c r="C5988" s="6">
        <v>0.30069444444444443</v>
      </c>
      <c r="D5988" s="5">
        <v>0</v>
      </c>
      <c r="E5988" s="5">
        <v>0</v>
      </c>
      <c r="F5988" s="5" t="s">
        <v>8</v>
      </c>
      <c r="G5988" s="15" t="s">
        <v>9</v>
      </c>
      <c r="H5988" s="24">
        <v>0.99999999278225005</v>
      </c>
      <c r="I5988" s="24" t="s">
        <v>21</v>
      </c>
      <c r="J5988" s="24" t="s">
        <v>21</v>
      </c>
      <c r="K5988" s="24" t="s">
        <v>21</v>
      </c>
      <c r="L5988" s="24" t="s">
        <v>21</v>
      </c>
      <c r="M5988" s="24" t="s">
        <v>21</v>
      </c>
      <c r="N5988" s="24" t="s">
        <v>21</v>
      </c>
      <c r="O5988" s="24">
        <v>0.99999999278225005</v>
      </c>
      <c r="P5988" s="24" t="s">
        <v>21</v>
      </c>
      <c r="Q5988" s="24" t="s">
        <v>21</v>
      </c>
      <c r="R5988" s="24" t="s">
        <v>21</v>
      </c>
      <c r="S5988" s="24" t="s">
        <v>21</v>
      </c>
    </row>
    <row r="5989" spans="1:19" x14ac:dyDescent="0.2">
      <c r="A5989" s="12">
        <v>45987</v>
      </c>
      <c r="B5989" s="5" t="s">
        <v>20</v>
      </c>
      <c r="C5989" s="6">
        <v>0.30138888888888887</v>
      </c>
      <c r="D5989" s="5">
        <v>8</v>
      </c>
      <c r="E5989" s="5">
        <v>0</v>
      </c>
      <c r="F5989" s="5" t="s">
        <v>8</v>
      </c>
      <c r="G5989" s="15" t="s">
        <v>9</v>
      </c>
      <c r="H5989" s="24">
        <v>1.000000003259629</v>
      </c>
      <c r="I5989" s="24" t="s">
        <v>21</v>
      </c>
      <c r="J5989" s="24" t="s">
        <v>21</v>
      </c>
      <c r="K5989" s="24" t="s">
        <v>21</v>
      </c>
      <c r="L5989" s="24" t="s">
        <v>21</v>
      </c>
      <c r="M5989" s="24" t="s">
        <v>21</v>
      </c>
      <c r="N5989" s="24" t="s">
        <v>21</v>
      </c>
      <c r="O5989" s="24">
        <v>1.000000003259629</v>
      </c>
      <c r="P5989" s="24" t="s">
        <v>21</v>
      </c>
      <c r="Q5989" s="24" t="s">
        <v>21</v>
      </c>
      <c r="R5989" s="24" t="s">
        <v>21</v>
      </c>
      <c r="S5989" s="24" t="s">
        <v>21</v>
      </c>
    </row>
    <row r="5990" spans="1:19" x14ac:dyDescent="0.2">
      <c r="A5990" s="12">
        <v>45987</v>
      </c>
      <c r="B5990" s="5" t="s">
        <v>20</v>
      </c>
      <c r="C5990" s="6">
        <v>0.30138888888888887</v>
      </c>
      <c r="D5990" s="5">
        <v>1</v>
      </c>
      <c r="E5990" s="5">
        <v>0</v>
      </c>
      <c r="F5990" s="5" t="s">
        <v>8</v>
      </c>
      <c r="G5990" s="15" t="s">
        <v>9</v>
      </c>
      <c r="H5990" s="24">
        <v>0</v>
      </c>
      <c r="I5990" s="24" t="s">
        <v>21</v>
      </c>
      <c r="J5990" s="24" t="s">
        <v>21</v>
      </c>
      <c r="K5990" s="24" t="s">
        <v>21</v>
      </c>
      <c r="L5990" s="24" t="s">
        <v>21</v>
      </c>
      <c r="M5990" s="24" t="s">
        <v>21</v>
      </c>
      <c r="N5990" s="24" t="s">
        <v>21</v>
      </c>
      <c r="O5990" s="24">
        <v>0</v>
      </c>
      <c r="P5990" s="24" t="s">
        <v>21</v>
      </c>
      <c r="Q5990" s="24" t="s">
        <v>21</v>
      </c>
      <c r="R5990" s="24" t="s">
        <v>21</v>
      </c>
      <c r="S5990" s="24" t="s">
        <v>21</v>
      </c>
    </row>
    <row r="5991" spans="1:19" x14ac:dyDescent="0.2">
      <c r="A5991" s="12">
        <v>45987</v>
      </c>
      <c r="B5991" s="5" t="s">
        <v>20</v>
      </c>
      <c r="C5991" s="6">
        <v>0.3034722222222222</v>
      </c>
      <c r="D5991" s="5">
        <v>6</v>
      </c>
      <c r="E5991" s="5">
        <v>0</v>
      </c>
      <c r="F5991" s="5" t="s">
        <v>8</v>
      </c>
      <c r="G5991" s="15" t="s">
        <v>9</v>
      </c>
      <c r="H5991" s="24">
        <v>2.9999999993015081</v>
      </c>
      <c r="I5991" s="24" t="s">
        <v>21</v>
      </c>
      <c r="J5991" s="24" t="s">
        <v>21</v>
      </c>
      <c r="K5991" s="24" t="s">
        <v>21</v>
      </c>
      <c r="L5991" s="24" t="s">
        <v>21</v>
      </c>
      <c r="M5991" s="24" t="s">
        <v>21</v>
      </c>
      <c r="N5991" s="24" t="s">
        <v>21</v>
      </c>
      <c r="O5991" s="24">
        <v>2.9999999993015081</v>
      </c>
      <c r="P5991" s="24" t="s">
        <v>21</v>
      </c>
      <c r="Q5991" s="24" t="s">
        <v>21</v>
      </c>
      <c r="R5991" s="24" t="s">
        <v>21</v>
      </c>
      <c r="S5991" s="24" t="s">
        <v>21</v>
      </c>
    </row>
    <row r="5992" spans="1:19" x14ac:dyDescent="0.2">
      <c r="A5992" s="12">
        <v>45987</v>
      </c>
      <c r="B5992" s="5" t="s">
        <v>20</v>
      </c>
      <c r="C5992" s="6">
        <v>0.30416666666666664</v>
      </c>
      <c r="D5992" s="5">
        <v>0</v>
      </c>
      <c r="E5992" s="5">
        <v>13</v>
      </c>
      <c r="F5992" s="5" t="s">
        <v>8</v>
      </c>
      <c r="G5992" s="15" t="s">
        <v>9</v>
      </c>
      <c r="H5992" s="24">
        <v>1.000000003259629</v>
      </c>
      <c r="I5992" s="24" t="s">
        <v>21</v>
      </c>
      <c r="J5992" s="24" t="s">
        <v>21</v>
      </c>
      <c r="K5992" s="24" t="s">
        <v>21</v>
      </c>
      <c r="L5992" s="24" t="s">
        <v>21</v>
      </c>
      <c r="M5992" s="24" t="s">
        <v>21</v>
      </c>
      <c r="N5992" s="24" t="s">
        <v>21</v>
      </c>
      <c r="O5992" s="24">
        <v>1.000000003259629</v>
      </c>
      <c r="P5992" s="24" t="s">
        <v>21</v>
      </c>
      <c r="Q5992" s="24" t="s">
        <v>21</v>
      </c>
      <c r="R5992" s="24" t="s">
        <v>21</v>
      </c>
      <c r="S5992" s="24" t="s">
        <v>21</v>
      </c>
    </row>
    <row r="5993" spans="1:19" x14ac:dyDescent="0.2">
      <c r="A5993" s="12">
        <v>45987</v>
      </c>
      <c r="B5993" s="5" t="s">
        <v>20</v>
      </c>
      <c r="C5993" s="6">
        <v>0.30486111111111114</v>
      </c>
      <c r="D5993" s="5">
        <v>0</v>
      </c>
      <c r="E5993" s="5">
        <v>24</v>
      </c>
      <c r="F5993" s="5" t="s">
        <v>8</v>
      </c>
      <c r="G5993" s="15" t="s">
        <v>9</v>
      </c>
      <c r="H5993" s="24">
        <v>0.99999999278225005</v>
      </c>
      <c r="I5993" s="24" t="s">
        <v>21</v>
      </c>
      <c r="J5993" s="24" t="s">
        <v>21</v>
      </c>
      <c r="K5993" s="24" t="s">
        <v>21</v>
      </c>
      <c r="L5993" s="24" t="s">
        <v>21</v>
      </c>
      <c r="M5993" s="24" t="s">
        <v>21</v>
      </c>
      <c r="N5993" s="24" t="s">
        <v>21</v>
      </c>
      <c r="O5993" s="24">
        <v>0.99999999278225005</v>
      </c>
      <c r="P5993" s="24" t="s">
        <v>21</v>
      </c>
      <c r="Q5993" s="24" t="s">
        <v>21</v>
      </c>
      <c r="R5993" s="24" t="s">
        <v>21</v>
      </c>
      <c r="S5993" s="24" t="s">
        <v>21</v>
      </c>
    </row>
    <row r="5994" spans="1:19" x14ac:dyDescent="0.2">
      <c r="A5994" s="12">
        <v>45987</v>
      </c>
      <c r="B5994" s="5" t="s">
        <v>20</v>
      </c>
      <c r="C5994" s="6">
        <v>0.30486111111111114</v>
      </c>
      <c r="D5994" s="5">
        <v>0</v>
      </c>
      <c r="E5994" s="5">
        <v>6</v>
      </c>
      <c r="F5994" s="5" t="s">
        <v>8</v>
      </c>
      <c r="G5994" s="15" t="s">
        <v>9</v>
      </c>
      <c r="H5994" s="24">
        <v>0</v>
      </c>
      <c r="I5994" s="24" t="s">
        <v>21</v>
      </c>
      <c r="J5994" s="24" t="s">
        <v>21</v>
      </c>
      <c r="K5994" s="24" t="s">
        <v>21</v>
      </c>
      <c r="L5994" s="24" t="s">
        <v>21</v>
      </c>
      <c r="M5994" s="24" t="s">
        <v>21</v>
      </c>
      <c r="N5994" s="24" t="s">
        <v>21</v>
      </c>
      <c r="O5994" s="24">
        <v>0</v>
      </c>
      <c r="P5994" s="24" t="s">
        <v>21</v>
      </c>
      <c r="Q5994" s="24" t="s">
        <v>21</v>
      </c>
      <c r="R5994" s="24" t="s">
        <v>21</v>
      </c>
      <c r="S5994" s="24" t="s">
        <v>21</v>
      </c>
    </row>
    <row r="5995" spans="1:19" x14ac:dyDescent="0.2">
      <c r="A5995" s="12">
        <v>45987</v>
      </c>
      <c r="B5995" s="5" t="s">
        <v>20</v>
      </c>
      <c r="C5995" s="6">
        <v>0.30555555555555558</v>
      </c>
      <c r="D5995" s="5">
        <v>0</v>
      </c>
      <c r="E5995" s="5">
        <v>17</v>
      </c>
      <c r="F5995" s="5" t="s">
        <v>8</v>
      </c>
      <c r="G5995" s="15" t="s">
        <v>9</v>
      </c>
      <c r="H5995" s="24">
        <v>1.000000003259629</v>
      </c>
      <c r="I5995" s="24" t="s">
        <v>21</v>
      </c>
      <c r="J5995" s="24" t="s">
        <v>21</v>
      </c>
      <c r="K5995" s="24" t="s">
        <v>21</v>
      </c>
      <c r="L5995" s="24" t="s">
        <v>21</v>
      </c>
      <c r="M5995" s="24" t="s">
        <v>21</v>
      </c>
      <c r="N5995" s="24" t="s">
        <v>21</v>
      </c>
      <c r="O5995" s="24">
        <v>1.000000003259629</v>
      </c>
      <c r="P5995" s="24" t="s">
        <v>21</v>
      </c>
      <c r="Q5995" s="24" t="s">
        <v>21</v>
      </c>
      <c r="R5995" s="24" t="s">
        <v>21</v>
      </c>
      <c r="S5995" s="24" t="s">
        <v>21</v>
      </c>
    </row>
    <row r="5996" spans="1:19" x14ac:dyDescent="0.2">
      <c r="A5996" s="12">
        <v>45987</v>
      </c>
      <c r="B5996" s="5" t="s">
        <v>20</v>
      </c>
      <c r="C5996" s="6">
        <v>0.30555555555555558</v>
      </c>
      <c r="D5996" s="5">
        <v>0</v>
      </c>
      <c r="E5996" s="5">
        <v>0</v>
      </c>
      <c r="F5996" s="5" t="s">
        <v>8</v>
      </c>
      <c r="G5996" s="15" t="s">
        <v>9</v>
      </c>
      <c r="H5996" s="24">
        <v>0</v>
      </c>
      <c r="I5996" s="24" t="s">
        <v>21</v>
      </c>
      <c r="J5996" s="24" t="s">
        <v>21</v>
      </c>
      <c r="K5996" s="24" t="s">
        <v>21</v>
      </c>
      <c r="L5996" s="24" t="s">
        <v>21</v>
      </c>
      <c r="M5996" s="24" t="s">
        <v>21</v>
      </c>
      <c r="N5996" s="24" t="s">
        <v>21</v>
      </c>
      <c r="O5996" s="24">
        <v>0</v>
      </c>
      <c r="P5996" s="24" t="s">
        <v>21</v>
      </c>
      <c r="Q5996" s="24" t="s">
        <v>21</v>
      </c>
      <c r="R5996" s="24" t="s">
        <v>21</v>
      </c>
      <c r="S5996" s="24" t="s">
        <v>21</v>
      </c>
    </row>
    <row r="5997" spans="1:19" x14ac:dyDescent="0.2">
      <c r="A5997" s="12">
        <v>45987</v>
      </c>
      <c r="B5997" s="5" t="s">
        <v>20</v>
      </c>
      <c r="C5997" s="6">
        <v>0.30625000000000002</v>
      </c>
      <c r="D5997" s="5">
        <v>0</v>
      </c>
      <c r="E5997" s="5">
        <v>0</v>
      </c>
      <c r="F5997" s="5" t="s">
        <v>8</v>
      </c>
      <c r="G5997" s="15" t="s">
        <v>9</v>
      </c>
      <c r="H5997" s="24">
        <v>1.000000003259629</v>
      </c>
      <c r="I5997" s="24" t="s">
        <v>21</v>
      </c>
      <c r="J5997" s="24" t="s">
        <v>21</v>
      </c>
      <c r="K5997" s="24" t="s">
        <v>21</v>
      </c>
      <c r="L5997" s="24" t="s">
        <v>21</v>
      </c>
      <c r="M5997" s="24" t="s">
        <v>21</v>
      </c>
      <c r="N5997" s="24" t="s">
        <v>21</v>
      </c>
      <c r="O5997" s="24">
        <v>1.000000003259629</v>
      </c>
      <c r="P5997" s="24" t="s">
        <v>21</v>
      </c>
      <c r="Q5997" s="24" t="s">
        <v>21</v>
      </c>
      <c r="R5997" s="24" t="s">
        <v>21</v>
      </c>
      <c r="S5997" s="24" t="s">
        <v>21</v>
      </c>
    </row>
    <row r="5998" spans="1:19" x14ac:dyDescent="0.2">
      <c r="A5998" s="12">
        <v>45987</v>
      </c>
      <c r="B5998" s="5" t="s">
        <v>16</v>
      </c>
      <c r="C5998" s="6">
        <v>0.37916666666666665</v>
      </c>
      <c r="D5998" s="5">
        <v>2</v>
      </c>
      <c r="E5998" s="5">
        <v>14</v>
      </c>
      <c r="F5998" s="5" t="s">
        <v>8</v>
      </c>
      <c r="G5998" s="15" t="s">
        <v>9</v>
      </c>
      <c r="H5998" s="24">
        <v>104.99999999650754</v>
      </c>
      <c r="I5998" s="24" t="s">
        <v>21</v>
      </c>
      <c r="J5998" s="24" t="s">
        <v>21</v>
      </c>
      <c r="K5998" s="24" t="s">
        <v>21</v>
      </c>
      <c r="L5998" s="24">
        <v>998.99999999790452</v>
      </c>
      <c r="M5998" s="24" t="s">
        <v>21</v>
      </c>
      <c r="N5998" s="24" t="s">
        <v>21</v>
      </c>
      <c r="O5998" s="24" t="s">
        <v>21</v>
      </c>
      <c r="P5998" s="24" t="s">
        <v>21</v>
      </c>
      <c r="Q5998" s="24" t="s">
        <v>21</v>
      </c>
      <c r="R5998" s="24" t="s">
        <v>21</v>
      </c>
      <c r="S5998" s="24" t="s">
        <v>21</v>
      </c>
    </row>
    <row r="5999" spans="1:19" x14ac:dyDescent="0.2">
      <c r="A5999" s="12">
        <v>45987</v>
      </c>
      <c r="B5999" s="5" t="s">
        <v>16</v>
      </c>
      <c r="C5999" s="6">
        <v>0.37986111111111109</v>
      </c>
      <c r="D5999" s="5">
        <v>0</v>
      </c>
      <c r="E5999" s="5">
        <v>12</v>
      </c>
      <c r="F5999" s="5" t="s">
        <v>8</v>
      </c>
      <c r="G5999" s="15" t="s">
        <v>9</v>
      </c>
      <c r="H5999" s="24">
        <v>1.000000003259629</v>
      </c>
      <c r="I5999" s="24" t="s">
        <v>21</v>
      </c>
      <c r="J5999" s="24" t="s">
        <v>21</v>
      </c>
      <c r="K5999" s="24" t="s">
        <v>21</v>
      </c>
      <c r="L5999" s="24">
        <v>1.000000003259629</v>
      </c>
      <c r="M5999" s="24" t="s">
        <v>21</v>
      </c>
      <c r="N5999" s="24" t="s">
        <v>21</v>
      </c>
      <c r="O5999" s="24" t="s">
        <v>21</v>
      </c>
      <c r="P5999" s="24" t="s">
        <v>21</v>
      </c>
      <c r="Q5999" s="24" t="s">
        <v>21</v>
      </c>
      <c r="R5999" s="24" t="s">
        <v>21</v>
      </c>
      <c r="S5999" s="24" t="s">
        <v>21</v>
      </c>
    </row>
    <row r="6000" spans="1:19" x14ac:dyDescent="0.2">
      <c r="A6000" s="12">
        <v>45987</v>
      </c>
      <c r="B6000" s="5" t="s">
        <v>16</v>
      </c>
      <c r="C6000" s="6">
        <v>0.37986111111111109</v>
      </c>
      <c r="D6000" s="5">
        <v>0</v>
      </c>
      <c r="E6000" s="5">
        <v>13</v>
      </c>
      <c r="F6000" s="5" t="s">
        <v>8</v>
      </c>
      <c r="G6000" s="15" t="s">
        <v>9</v>
      </c>
      <c r="H6000" s="24">
        <v>0</v>
      </c>
      <c r="I6000" s="24" t="s">
        <v>21</v>
      </c>
      <c r="J6000" s="24" t="s">
        <v>21</v>
      </c>
      <c r="K6000" s="24" t="s">
        <v>21</v>
      </c>
      <c r="L6000" s="24">
        <v>0</v>
      </c>
      <c r="M6000" s="24" t="s">
        <v>21</v>
      </c>
      <c r="N6000" s="24" t="s">
        <v>21</v>
      </c>
      <c r="O6000" s="24" t="s">
        <v>21</v>
      </c>
      <c r="P6000" s="24" t="s">
        <v>21</v>
      </c>
      <c r="Q6000" s="24" t="s">
        <v>21</v>
      </c>
      <c r="R6000" s="24" t="s">
        <v>21</v>
      </c>
      <c r="S6000" s="24" t="s">
        <v>21</v>
      </c>
    </row>
    <row r="6001" spans="1:19" x14ac:dyDescent="0.2">
      <c r="A6001" s="12">
        <v>45987</v>
      </c>
      <c r="B6001" s="5" t="s">
        <v>16</v>
      </c>
      <c r="C6001" s="6">
        <v>0.38055555555555554</v>
      </c>
      <c r="D6001" s="5">
        <v>0</v>
      </c>
      <c r="E6001" s="5">
        <v>0</v>
      </c>
      <c r="F6001" s="5" t="s">
        <v>8</v>
      </c>
      <c r="G6001" s="15" t="s">
        <v>9</v>
      </c>
      <c r="H6001" s="24">
        <v>1.000000003259629</v>
      </c>
      <c r="I6001" s="24" t="s">
        <v>21</v>
      </c>
      <c r="J6001" s="24" t="s">
        <v>21</v>
      </c>
      <c r="K6001" s="24" t="s">
        <v>21</v>
      </c>
      <c r="L6001" s="24">
        <v>1.000000003259629</v>
      </c>
      <c r="M6001" s="24" t="s">
        <v>21</v>
      </c>
      <c r="N6001" s="24" t="s">
        <v>21</v>
      </c>
      <c r="O6001" s="24" t="s">
        <v>21</v>
      </c>
      <c r="P6001" s="24" t="s">
        <v>21</v>
      </c>
      <c r="Q6001" s="24" t="s">
        <v>21</v>
      </c>
      <c r="R6001" s="24" t="s">
        <v>21</v>
      </c>
      <c r="S6001" s="24" t="s">
        <v>21</v>
      </c>
    </row>
    <row r="6002" spans="1:19" x14ac:dyDescent="0.2">
      <c r="A6002" s="12">
        <v>45987</v>
      </c>
      <c r="B6002" s="5" t="s">
        <v>10</v>
      </c>
      <c r="C6002" s="6">
        <v>0.40277777777777779</v>
      </c>
      <c r="D6002" s="5">
        <v>2</v>
      </c>
      <c r="E6002" s="5">
        <v>0</v>
      </c>
      <c r="F6002" s="5" t="s">
        <v>8</v>
      </c>
      <c r="G6002" s="15" t="s">
        <v>9</v>
      </c>
      <c r="H6002" s="24">
        <v>31.999999999534339</v>
      </c>
      <c r="I6002" s="24" t="s">
        <v>21</v>
      </c>
      <c r="J6002" s="24">
        <v>1183.0000000004657</v>
      </c>
      <c r="K6002" s="24" t="s">
        <v>21</v>
      </c>
      <c r="L6002" s="24" t="s">
        <v>21</v>
      </c>
      <c r="M6002" s="24" t="s">
        <v>21</v>
      </c>
      <c r="N6002" s="24" t="s">
        <v>21</v>
      </c>
      <c r="O6002" s="24" t="s">
        <v>21</v>
      </c>
      <c r="P6002" s="24" t="s">
        <v>21</v>
      </c>
      <c r="Q6002" s="24" t="s">
        <v>21</v>
      </c>
      <c r="R6002" s="24" t="s">
        <v>21</v>
      </c>
      <c r="S6002" s="24" t="s">
        <v>21</v>
      </c>
    </row>
    <row r="6003" spans="1:19" x14ac:dyDescent="0.2">
      <c r="A6003" s="12">
        <v>45987</v>
      </c>
      <c r="B6003" s="5" t="s">
        <v>10</v>
      </c>
      <c r="C6003" s="6">
        <v>0.40347222222222223</v>
      </c>
      <c r="D6003" s="5">
        <v>1</v>
      </c>
      <c r="E6003" s="5">
        <v>0</v>
      </c>
      <c r="F6003" s="5" t="s">
        <v>8</v>
      </c>
      <c r="G6003" s="15" t="s">
        <v>9</v>
      </c>
      <c r="H6003" s="24">
        <v>0.99999999278225005</v>
      </c>
      <c r="I6003" s="24" t="s">
        <v>21</v>
      </c>
      <c r="J6003" s="24">
        <v>0.99999999278225005</v>
      </c>
      <c r="K6003" s="24" t="s">
        <v>21</v>
      </c>
      <c r="L6003" s="24" t="s">
        <v>21</v>
      </c>
      <c r="M6003" s="24" t="s">
        <v>21</v>
      </c>
      <c r="N6003" s="24" t="s">
        <v>21</v>
      </c>
      <c r="O6003" s="24" t="s">
        <v>21</v>
      </c>
      <c r="P6003" s="24" t="s">
        <v>21</v>
      </c>
      <c r="Q6003" s="24" t="s">
        <v>21</v>
      </c>
      <c r="R6003" s="24" t="s">
        <v>21</v>
      </c>
      <c r="S6003" s="24" t="s">
        <v>21</v>
      </c>
    </row>
    <row r="6004" spans="1:19" x14ac:dyDescent="0.2">
      <c r="A6004" s="12">
        <v>45987</v>
      </c>
      <c r="B6004" s="5" t="s">
        <v>14</v>
      </c>
      <c r="C6004" s="6">
        <v>0.40347222222222223</v>
      </c>
      <c r="D6004" s="5">
        <v>1</v>
      </c>
      <c r="E6004" s="5">
        <v>0</v>
      </c>
      <c r="F6004" s="5" t="s">
        <v>8</v>
      </c>
      <c r="G6004" s="15" t="s">
        <v>9</v>
      </c>
      <c r="H6004" s="24">
        <v>0</v>
      </c>
      <c r="I6004" s="24" t="s">
        <v>21</v>
      </c>
      <c r="J6004" s="24" t="s">
        <v>21</v>
      </c>
      <c r="K6004" s="24">
        <v>1309.9999999953434</v>
      </c>
      <c r="L6004" s="24" t="s">
        <v>21</v>
      </c>
      <c r="M6004" s="24" t="s">
        <v>21</v>
      </c>
      <c r="N6004" s="24" t="s">
        <v>21</v>
      </c>
      <c r="O6004" s="24" t="s">
        <v>21</v>
      </c>
      <c r="P6004" s="24" t="s">
        <v>21</v>
      </c>
      <c r="Q6004" s="24" t="s">
        <v>21</v>
      </c>
      <c r="R6004" s="24" t="s">
        <v>21</v>
      </c>
      <c r="S6004" s="24" t="s">
        <v>21</v>
      </c>
    </row>
    <row r="6005" spans="1:19" x14ac:dyDescent="0.2">
      <c r="A6005" s="12">
        <v>45987</v>
      </c>
      <c r="B6005" s="5" t="s">
        <v>14</v>
      </c>
      <c r="C6005" s="6">
        <v>0.40486111111111112</v>
      </c>
      <c r="D6005" s="5">
        <v>1</v>
      </c>
      <c r="E6005" s="5">
        <v>0</v>
      </c>
      <c r="F6005" s="5" t="s">
        <v>8</v>
      </c>
      <c r="G6005" s="15" t="s">
        <v>9</v>
      </c>
      <c r="H6005" s="24">
        <v>2.000000006519258</v>
      </c>
      <c r="I6005" s="24" t="s">
        <v>21</v>
      </c>
      <c r="J6005" s="24" t="s">
        <v>21</v>
      </c>
      <c r="K6005" s="24">
        <v>2.000000006519258</v>
      </c>
      <c r="L6005" s="24" t="s">
        <v>21</v>
      </c>
      <c r="M6005" s="24" t="s">
        <v>21</v>
      </c>
      <c r="N6005" s="24" t="s">
        <v>21</v>
      </c>
      <c r="O6005" s="24" t="s">
        <v>21</v>
      </c>
      <c r="P6005" s="24" t="s">
        <v>21</v>
      </c>
      <c r="Q6005" s="24" t="s">
        <v>21</v>
      </c>
      <c r="R6005" s="24" t="s">
        <v>21</v>
      </c>
      <c r="S6005" s="24" t="s">
        <v>21</v>
      </c>
    </row>
    <row r="6006" spans="1:19" x14ac:dyDescent="0.2">
      <c r="A6006" s="12">
        <v>45987</v>
      </c>
      <c r="B6006" s="5" t="s">
        <v>10</v>
      </c>
      <c r="C6006" s="6">
        <v>0.40902777777777777</v>
      </c>
      <c r="D6006" s="5">
        <v>3</v>
      </c>
      <c r="E6006" s="5">
        <v>0</v>
      </c>
      <c r="F6006" s="5" t="s">
        <v>8</v>
      </c>
      <c r="G6006" s="15" t="s">
        <v>9</v>
      </c>
      <c r="H6006" s="24">
        <v>5.9999999986030161</v>
      </c>
      <c r="I6006" s="24" t="s">
        <v>21</v>
      </c>
      <c r="J6006" s="24">
        <v>8.0000000051222742</v>
      </c>
      <c r="K6006" s="24" t="s">
        <v>21</v>
      </c>
      <c r="L6006" s="24" t="s">
        <v>21</v>
      </c>
      <c r="M6006" s="24" t="s">
        <v>21</v>
      </c>
      <c r="N6006" s="24" t="s">
        <v>21</v>
      </c>
      <c r="O6006" s="24" t="s">
        <v>21</v>
      </c>
      <c r="P6006" s="24" t="s">
        <v>21</v>
      </c>
      <c r="Q6006" s="24" t="s">
        <v>21</v>
      </c>
      <c r="R6006" s="24" t="s">
        <v>21</v>
      </c>
      <c r="S6006" s="24" t="s">
        <v>21</v>
      </c>
    </row>
    <row r="6007" spans="1:19" x14ac:dyDescent="0.2">
      <c r="A6007" s="12">
        <v>45987</v>
      </c>
      <c r="B6007" s="5" t="s">
        <v>20</v>
      </c>
      <c r="C6007" s="6">
        <v>0.41041666666666665</v>
      </c>
      <c r="D6007" s="5">
        <v>0</v>
      </c>
      <c r="E6007" s="5">
        <v>0</v>
      </c>
      <c r="F6007" s="5" t="s">
        <v>8</v>
      </c>
      <c r="G6007" s="15" t="s">
        <v>9</v>
      </c>
      <c r="H6007" s="24">
        <v>1.9999999960418791</v>
      </c>
      <c r="I6007" s="24" t="s">
        <v>21</v>
      </c>
      <c r="J6007" s="24" t="s">
        <v>21</v>
      </c>
      <c r="K6007" s="24" t="s">
        <v>21</v>
      </c>
      <c r="L6007" s="24" t="s">
        <v>21</v>
      </c>
      <c r="M6007" s="24" t="s">
        <v>21</v>
      </c>
      <c r="N6007" s="24" t="s">
        <v>21</v>
      </c>
      <c r="O6007" s="24">
        <v>149.99999999650754</v>
      </c>
      <c r="P6007" s="24" t="s">
        <v>21</v>
      </c>
      <c r="Q6007" s="24" t="s">
        <v>21</v>
      </c>
      <c r="R6007" s="24" t="s">
        <v>21</v>
      </c>
      <c r="S6007" s="24" t="s">
        <v>21</v>
      </c>
    </row>
    <row r="6008" spans="1:19" x14ac:dyDescent="0.2">
      <c r="A6008" s="12">
        <v>45987</v>
      </c>
      <c r="B6008" s="5" t="s">
        <v>20</v>
      </c>
      <c r="C6008" s="6">
        <v>0.41111111111111109</v>
      </c>
      <c r="D6008" s="5">
        <v>0</v>
      </c>
      <c r="E6008" s="5">
        <v>0</v>
      </c>
      <c r="F6008" s="5" t="s">
        <v>8</v>
      </c>
      <c r="G6008" s="15" t="s">
        <v>9</v>
      </c>
      <c r="H6008" s="24">
        <v>1.000000003259629</v>
      </c>
      <c r="I6008" s="24" t="s">
        <v>21</v>
      </c>
      <c r="J6008" s="24" t="s">
        <v>21</v>
      </c>
      <c r="K6008" s="24" t="s">
        <v>21</v>
      </c>
      <c r="L6008" s="24" t="s">
        <v>21</v>
      </c>
      <c r="M6008" s="24" t="s">
        <v>21</v>
      </c>
      <c r="N6008" s="24" t="s">
        <v>21</v>
      </c>
      <c r="O6008" s="24">
        <v>1.000000003259629</v>
      </c>
      <c r="P6008" s="24" t="s">
        <v>21</v>
      </c>
      <c r="Q6008" s="24" t="s">
        <v>21</v>
      </c>
      <c r="R6008" s="24" t="s">
        <v>21</v>
      </c>
      <c r="S6008" s="24" t="s">
        <v>21</v>
      </c>
    </row>
    <row r="6009" spans="1:19" x14ac:dyDescent="0.2">
      <c r="A6009" s="12">
        <v>45987</v>
      </c>
      <c r="B6009" s="5" t="s">
        <v>20</v>
      </c>
      <c r="C6009" s="6">
        <v>0.41111111111111109</v>
      </c>
      <c r="D6009" s="5">
        <v>8</v>
      </c>
      <c r="E6009" s="5">
        <v>0</v>
      </c>
      <c r="F6009" s="5" t="s">
        <v>8</v>
      </c>
      <c r="G6009" s="15" t="s">
        <v>9</v>
      </c>
      <c r="H6009" s="24">
        <v>0</v>
      </c>
      <c r="I6009" s="24" t="s">
        <v>21</v>
      </c>
      <c r="J6009" s="24" t="s">
        <v>21</v>
      </c>
      <c r="K6009" s="24" t="s">
        <v>21</v>
      </c>
      <c r="L6009" s="24" t="s">
        <v>21</v>
      </c>
      <c r="M6009" s="24" t="s">
        <v>21</v>
      </c>
      <c r="N6009" s="24" t="s">
        <v>21</v>
      </c>
      <c r="O6009" s="24">
        <v>0</v>
      </c>
      <c r="P6009" s="24" t="s">
        <v>21</v>
      </c>
      <c r="Q6009" s="24" t="s">
        <v>21</v>
      </c>
      <c r="R6009" s="24" t="s">
        <v>21</v>
      </c>
      <c r="S6009" s="24" t="s">
        <v>21</v>
      </c>
    </row>
    <row r="6010" spans="1:19" x14ac:dyDescent="0.2">
      <c r="A6010" s="12">
        <v>45987</v>
      </c>
      <c r="B6010" s="5" t="s">
        <v>3</v>
      </c>
      <c r="C6010" s="6">
        <v>0.41111111111111109</v>
      </c>
      <c r="D6010" s="5">
        <v>0</v>
      </c>
      <c r="E6010" s="5">
        <v>8</v>
      </c>
      <c r="F6010" s="5" t="s">
        <v>8</v>
      </c>
      <c r="G6010" s="15" t="s">
        <v>9</v>
      </c>
      <c r="H6010" s="24">
        <v>0</v>
      </c>
      <c r="I6010" s="24">
        <v>974.00000000023283</v>
      </c>
      <c r="J6010" s="24" t="s">
        <v>21</v>
      </c>
      <c r="K6010" s="24" t="s">
        <v>21</v>
      </c>
      <c r="L6010" s="24" t="s">
        <v>21</v>
      </c>
      <c r="M6010" s="24" t="s">
        <v>21</v>
      </c>
      <c r="N6010" s="24" t="s">
        <v>21</v>
      </c>
      <c r="O6010" s="24" t="s">
        <v>21</v>
      </c>
      <c r="P6010" s="24" t="s">
        <v>21</v>
      </c>
      <c r="Q6010" s="24" t="s">
        <v>21</v>
      </c>
      <c r="R6010" s="24" t="s">
        <v>21</v>
      </c>
      <c r="S6010" s="24" t="s">
        <v>21</v>
      </c>
    </row>
    <row r="6011" spans="1:19" x14ac:dyDescent="0.2">
      <c r="A6011" s="12">
        <v>45987</v>
      </c>
      <c r="B6011" s="5" t="s">
        <v>3</v>
      </c>
      <c r="C6011" s="6">
        <v>0.41180555555555554</v>
      </c>
      <c r="D6011" s="5">
        <v>2</v>
      </c>
      <c r="E6011" s="5">
        <v>3</v>
      </c>
      <c r="F6011" s="5" t="s">
        <v>8</v>
      </c>
      <c r="G6011" s="15" t="s">
        <v>9</v>
      </c>
      <c r="H6011" s="24">
        <v>1.000000003259629</v>
      </c>
      <c r="I6011" s="24">
        <v>1.000000003259629</v>
      </c>
      <c r="J6011" s="24" t="s">
        <v>21</v>
      </c>
      <c r="K6011" s="24" t="s">
        <v>21</v>
      </c>
      <c r="L6011" s="24" t="s">
        <v>21</v>
      </c>
      <c r="M6011" s="24" t="s">
        <v>21</v>
      </c>
      <c r="N6011" s="24" t="s">
        <v>21</v>
      </c>
      <c r="O6011" s="24" t="s">
        <v>21</v>
      </c>
      <c r="P6011" s="24" t="s">
        <v>21</v>
      </c>
      <c r="Q6011" s="24" t="s">
        <v>21</v>
      </c>
      <c r="R6011" s="24" t="s">
        <v>21</v>
      </c>
      <c r="S6011" s="24" t="s">
        <v>21</v>
      </c>
    </row>
    <row r="6012" spans="1:19" x14ac:dyDescent="0.2">
      <c r="A6012" s="12">
        <v>45987</v>
      </c>
      <c r="B6012" s="5" t="s">
        <v>20</v>
      </c>
      <c r="C6012" s="6">
        <v>0.41180555555555554</v>
      </c>
      <c r="D6012" s="5">
        <v>8</v>
      </c>
      <c r="E6012" s="5">
        <v>0</v>
      </c>
      <c r="F6012" s="5" t="s">
        <v>8</v>
      </c>
      <c r="G6012" s="15" t="s">
        <v>9</v>
      </c>
      <c r="H6012" s="24">
        <v>0</v>
      </c>
      <c r="I6012" s="24" t="s">
        <v>21</v>
      </c>
      <c r="J6012" s="24" t="s">
        <v>21</v>
      </c>
      <c r="K6012" s="24" t="s">
        <v>21</v>
      </c>
      <c r="L6012" s="24" t="s">
        <v>21</v>
      </c>
      <c r="M6012" s="24" t="s">
        <v>21</v>
      </c>
      <c r="N6012" s="24" t="s">
        <v>21</v>
      </c>
      <c r="O6012" s="24">
        <v>1.000000003259629</v>
      </c>
      <c r="P6012" s="24" t="s">
        <v>21</v>
      </c>
      <c r="Q6012" s="24" t="s">
        <v>21</v>
      </c>
      <c r="R6012" s="24" t="s">
        <v>21</v>
      </c>
      <c r="S6012" s="24" t="s">
        <v>21</v>
      </c>
    </row>
    <row r="6013" spans="1:19" x14ac:dyDescent="0.2">
      <c r="A6013" s="12">
        <v>45987</v>
      </c>
      <c r="B6013" s="5" t="s">
        <v>20</v>
      </c>
      <c r="C6013" s="6">
        <v>0.41180555555555554</v>
      </c>
      <c r="D6013" s="5">
        <v>9</v>
      </c>
      <c r="E6013" s="5">
        <v>0</v>
      </c>
      <c r="F6013" s="5" t="s">
        <v>8</v>
      </c>
      <c r="G6013" s="15" t="s">
        <v>9</v>
      </c>
      <c r="H6013" s="24">
        <v>0</v>
      </c>
      <c r="I6013" s="24" t="s">
        <v>21</v>
      </c>
      <c r="J6013" s="24" t="s">
        <v>21</v>
      </c>
      <c r="K6013" s="24" t="s">
        <v>21</v>
      </c>
      <c r="L6013" s="24" t="s">
        <v>21</v>
      </c>
      <c r="M6013" s="24" t="s">
        <v>21</v>
      </c>
      <c r="N6013" s="24" t="s">
        <v>21</v>
      </c>
      <c r="O6013" s="24">
        <v>0</v>
      </c>
      <c r="P6013" s="24" t="s">
        <v>21</v>
      </c>
      <c r="Q6013" s="24" t="s">
        <v>21</v>
      </c>
      <c r="R6013" s="24" t="s">
        <v>21</v>
      </c>
      <c r="S6013" s="24" t="s">
        <v>21</v>
      </c>
    </row>
    <row r="6014" spans="1:19" x14ac:dyDescent="0.2">
      <c r="A6014" s="12">
        <v>45987</v>
      </c>
      <c r="B6014" s="5" t="s">
        <v>3</v>
      </c>
      <c r="C6014" s="6">
        <v>0.41180555555555554</v>
      </c>
      <c r="D6014" s="5">
        <v>0</v>
      </c>
      <c r="E6014" s="5">
        <v>9</v>
      </c>
      <c r="F6014" s="5" t="s">
        <v>8</v>
      </c>
      <c r="G6014" s="15" t="s">
        <v>9</v>
      </c>
      <c r="H6014" s="24">
        <v>0</v>
      </c>
      <c r="I6014" s="24">
        <v>0</v>
      </c>
      <c r="J6014" s="24" t="s">
        <v>21</v>
      </c>
      <c r="K6014" s="24" t="s">
        <v>21</v>
      </c>
      <c r="L6014" s="24" t="s">
        <v>21</v>
      </c>
      <c r="M6014" s="24" t="s">
        <v>21</v>
      </c>
      <c r="N6014" s="24" t="s">
        <v>21</v>
      </c>
      <c r="O6014" s="24" t="s">
        <v>21</v>
      </c>
      <c r="P6014" s="24" t="s">
        <v>21</v>
      </c>
      <c r="Q6014" s="24" t="s">
        <v>21</v>
      </c>
      <c r="R6014" s="24" t="s">
        <v>21</v>
      </c>
      <c r="S6014" s="24" t="s">
        <v>21</v>
      </c>
    </row>
    <row r="6015" spans="1:19" x14ac:dyDescent="0.2">
      <c r="A6015" s="12">
        <v>45987</v>
      </c>
      <c r="B6015" s="5" t="s">
        <v>20</v>
      </c>
      <c r="C6015" s="6">
        <v>0.41249999999999998</v>
      </c>
      <c r="D6015" s="5">
        <v>3</v>
      </c>
      <c r="E6015" s="5">
        <v>0</v>
      </c>
      <c r="F6015" s="5" t="s">
        <v>8</v>
      </c>
      <c r="G6015" s="15" t="s">
        <v>9</v>
      </c>
      <c r="H6015" s="24">
        <v>0.99999999278225005</v>
      </c>
      <c r="I6015" s="24" t="s">
        <v>21</v>
      </c>
      <c r="J6015" s="24" t="s">
        <v>21</v>
      </c>
      <c r="K6015" s="24" t="s">
        <v>21</v>
      </c>
      <c r="L6015" s="24" t="s">
        <v>21</v>
      </c>
      <c r="M6015" s="24" t="s">
        <v>21</v>
      </c>
      <c r="N6015" s="24" t="s">
        <v>21</v>
      </c>
      <c r="O6015" s="24">
        <v>0.99999999278225005</v>
      </c>
      <c r="P6015" s="24" t="s">
        <v>21</v>
      </c>
      <c r="Q6015" s="24" t="s">
        <v>21</v>
      </c>
      <c r="R6015" s="24" t="s">
        <v>21</v>
      </c>
      <c r="S6015" s="24" t="s">
        <v>21</v>
      </c>
    </row>
    <row r="6016" spans="1:19" x14ac:dyDescent="0.2">
      <c r="A6016" s="12">
        <v>45987</v>
      </c>
      <c r="B6016" s="5" t="s">
        <v>20</v>
      </c>
      <c r="C6016" s="6">
        <v>0.41249999999999998</v>
      </c>
      <c r="D6016" s="5">
        <v>4</v>
      </c>
      <c r="E6016" s="5">
        <v>0</v>
      </c>
      <c r="F6016" s="5" t="s">
        <v>8</v>
      </c>
      <c r="G6016" s="15" t="s">
        <v>9</v>
      </c>
      <c r="H6016" s="24">
        <v>0</v>
      </c>
      <c r="I6016" s="24" t="s">
        <v>21</v>
      </c>
      <c r="J6016" s="24" t="s">
        <v>21</v>
      </c>
      <c r="K6016" s="24" t="s">
        <v>21</v>
      </c>
      <c r="L6016" s="24" t="s">
        <v>21</v>
      </c>
      <c r="M6016" s="24" t="s">
        <v>21</v>
      </c>
      <c r="N6016" s="24" t="s">
        <v>21</v>
      </c>
      <c r="O6016" s="24">
        <v>0</v>
      </c>
      <c r="P6016" s="24" t="s">
        <v>21</v>
      </c>
      <c r="Q6016" s="24" t="s">
        <v>21</v>
      </c>
      <c r="R6016" s="24" t="s">
        <v>21</v>
      </c>
      <c r="S6016" s="24" t="s">
        <v>21</v>
      </c>
    </row>
    <row r="6017" spans="1:19" x14ac:dyDescent="0.2">
      <c r="A6017" s="12">
        <v>45987</v>
      </c>
      <c r="B6017" s="5" t="s">
        <v>16</v>
      </c>
      <c r="C6017" s="6">
        <v>0.46875</v>
      </c>
      <c r="D6017" s="5">
        <v>0</v>
      </c>
      <c r="E6017" s="5">
        <v>11</v>
      </c>
      <c r="F6017" s="5" t="s">
        <v>8</v>
      </c>
      <c r="G6017" s="15" t="s">
        <v>9</v>
      </c>
      <c r="H6017" s="24">
        <v>81.000000002095476</v>
      </c>
      <c r="I6017" s="24" t="s">
        <v>21</v>
      </c>
      <c r="J6017" s="24" t="s">
        <v>21</v>
      </c>
      <c r="K6017" s="24" t="s">
        <v>21</v>
      </c>
      <c r="L6017" s="24">
        <v>126.99999999487773</v>
      </c>
      <c r="M6017" s="24" t="s">
        <v>21</v>
      </c>
      <c r="N6017" s="24" t="s">
        <v>21</v>
      </c>
      <c r="O6017" s="24" t="s">
        <v>21</v>
      </c>
      <c r="P6017" s="24" t="s">
        <v>21</v>
      </c>
      <c r="Q6017" s="24" t="s">
        <v>21</v>
      </c>
      <c r="R6017" s="24" t="s">
        <v>21</v>
      </c>
      <c r="S6017" s="24" t="s">
        <v>21</v>
      </c>
    </row>
    <row r="6018" spans="1:19" x14ac:dyDescent="0.2">
      <c r="A6018" s="12">
        <v>45987</v>
      </c>
      <c r="B6018" s="5" t="s">
        <v>16</v>
      </c>
      <c r="C6018" s="6">
        <v>0.46944444444444444</v>
      </c>
      <c r="D6018" s="5">
        <v>0</v>
      </c>
      <c r="E6018" s="5">
        <v>17</v>
      </c>
      <c r="F6018" s="5" t="s">
        <v>8</v>
      </c>
      <c r="G6018" s="15" t="s">
        <v>9</v>
      </c>
      <c r="H6018" s="24">
        <v>1.000000003259629</v>
      </c>
      <c r="I6018" s="24" t="s">
        <v>21</v>
      </c>
      <c r="J6018" s="24" t="s">
        <v>21</v>
      </c>
      <c r="K6018" s="24" t="s">
        <v>21</v>
      </c>
      <c r="L6018" s="24">
        <v>1.000000003259629</v>
      </c>
      <c r="M6018" s="24" t="s">
        <v>21</v>
      </c>
      <c r="N6018" s="24" t="s">
        <v>21</v>
      </c>
      <c r="O6018" s="24" t="s">
        <v>21</v>
      </c>
      <c r="P6018" s="24" t="s">
        <v>21</v>
      </c>
      <c r="Q6018" s="24" t="s">
        <v>21</v>
      </c>
      <c r="R6018" s="24" t="s">
        <v>21</v>
      </c>
      <c r="S6018" s="24" t="s">
        <v>21</v>
      </c>
    </row>
    <row r="6019" spans="1:19" x14ac:dyDescent="0.2">
      <c r="A6019" s="12">
        <v>45987</v>
      </c>
      <c r="B6019" s="5" t="s">
        <v>16</v>
      </c>
      <c r="C6019" s="6">
        <v>0.47013888888888888</v>
      </c>
      <c r="D6019" s="5">
        <v>0</v>
      </c>
      <c r="E6019" s="5">
        <v>10</v>
      </c>
      <c r="F6019" s="5" t="s">
        <v>8</v>
      </c>
      <c r="G6019" s="15" t="s">
        <v>9</v>
      </c>
      <c r="H6019" s="24">
        <v>0.99999999278225005</v>
      </c>
      <c r="I6019" s="24" t="s">
        <v>21</v>
      </c>
      <c r="J6019" s="24" t="s">
        <v>21</v>
      </c>
      <c r="K6019" s="24" t="s">
        <v>21</v>
      </c>
      <c r="L6019" s="24">
        <v>0.99999999278225005</v>
      </c>
      <c r="M6019" s="24" t="s">
        <v>21</v>
      </c>
      <c r="N6019" s="24" t="s">
        <v>21</v>
      </c>
      <c r="O6019" s="24" t="s">
        <v>21</v>
      </c>
      <c r="P6019" s="24" t="s">
        <v>21</v>
      </c>
      <c r="Q6019" s="24" t="s">
        <v>21</v>
      </c>
      <c r="R6019" s="24" t="s">
        <v>21</v>
      </c>
      <c r="S6019" s="24" t="s">
        <v>21</v>
      </c>
    </row>
    <row r="6020" spans="1:19" x14ac:dyDescent="0.2">
      <c r="A6020" s="12">
        <v>45987</v>
      </c>
      <c r="B6020" s="5" t="s">
        <v>16</v>
      </c>
      <c r="C6020" s="6">
        <v>0.47013888888888888</v>
      </c>
      <c r="D6020" s="5">
        <v>0</v>
      </c>
      <c r="E6020" s="5">
        <v>16</v>
      </c>
      <c r="F6020" s="5" t="s">
        <v>8</v>
      </c>
      <c r="G6020" s="15" t="s">
        <v>9</v>
      </c>
      <c r="H6020" s="24">
        <v>0</v>
      </c>
      <c r="I6020" s="24" t="s">
        <v>21</v>
      </c>
      <c r="J6020" s="24" t="s">
        <v>21</v>
      </c>
      <c r="K6020" s="24" t="s">
        <v>21</v>
      </c>
      <c r="L6020" s="24">
        <v>0</v>
      </c>
      <c r="M6020" s="24" t="s">
        <v>21</v>
      </c>
      <c r="N6020" s="24" t="s">
        <v>21</v>
      </c>
      <c r="O6020" s="24" t="s">
        <v>21</v>
      </c>
      <c r="P6020" s="24" t="s">
        <v>21</v>
      </c>
      <c r="Q6020" s="24" t="s">
        <v>21</v>
      </c>
      <c r="R6020" s="24" t="s">
        <v>21</v>
      </c>
      <c r="S6020" s="24" t="s">
        <v>21</v>
      </c>
    </row>
    <row r="6021" spans="1:19" x14ac:dyDescent="0.2">
      <c r="A6021" s="12">
        <v>45987</v>
      </c>
      <c r="B6021" s="5" t="s">
        <v>16</v>
      </c>
      <c r="C6021" s="6">
        <v>0.47083333333333333</v>
      </c>
      <c r="D6021" s="5">
        <v>0</v>
      </c>
      <c r="E6021" s="5">
        <v>7</v>
      </c>
      <c r="F6021" s="5" t="s">
        <v>8</v>
      </c>
      <c r="G6021" s="15" t="s">
        <v>9</v>
      </c>
      <c r="H6021" s="24">
        <v>1.000000003259629</v>
      </c>
      <c r="I6021" s="24" t="s">
        <v>21</v>
      </c>
      <c r="J6021" s="24" t="s">
        <v>21</v>
      </c>
      <c r="K6021" s="24" t="s">
        <v>21</v>
      </c>
      <c r="L6021" s="24">
        <v>1.000000003259629</v>
      </c>
      <c r="M6021" s="24" t="s">
        <v>21</v>
      </c>
      <c r="N6021" s="24" t="s">
        <v>21</v>
      </c>
      <c r="O6021" s="24" t="s">
        <v>21</v>
      </c>
      <c r="P6021" s="24" t="s">
        <v>21</v>
      </c>
      <c r="Q6021" s="24" t="s">
        <v>21</v>
      </c>
      <c r="R6021" s="24" t="s">
        <v>21</v>
      </c>
      <c r="S6021" s="24" t="s">
        <v>21</v>
      </c>
    </row>
    <row r="6022" spans="1:19" x14ac:dyDescent="0.2">
      <c r="A6022" s="12">
        <v>45987</v>
      </c>
      <c r="B6022" s="5" t="s">
        <v>20</v>
      </c>
      <c r="C6022" s="6">
        <v>0.52777777777777779</v>
      </c>
      <c r="D6022" s="5">
        <v>2</v>
      </c>
      <c r="E6022" s="5">
        <v>0</v>
      </c>
      <c r="F6022" s="5" t="s">
        <v>8</v>
      </c>
      <c r="G6022" s="15" t="s">
        <v>9</v>
      </c>
      <c r="H6022" s="24">
        <v>82.000000005355105</v>
      </c>
      <c r="I6022" s="24" t="s">
        <v>21</v>
      </c>
      <c r="J6022" s="24" t="s">
        <v>21</v>
      </c>
      <c r="K6022" s="24" t="s">
        <v>21</v>
      </c>
      <c r="L6022" s="24" t="s">
        <v>21</v>
      </c>
      <c r="M6022" s="24" t="s">
        <v>21</v>
      </c>
      <c r="N6022" s="24" t="s">
        <v>21</v>
      </c>
      <c r="O6022" s="24">
        <v>166.00000000675209</v>
      </c>
      <c r="P6022" s="24" t="s">
        <v>21</v>
      </c>
      <c r="Q6022" s="24" t="s">
        <v>21</v>
      </c>
      <c r="R6022" s="24" t="s">
        <v>21</v>
      </c>
      <c r="S6022" s="24" t="s">
        <v>21</v>
      </c>
    </row>
    <row r="6023" spans="1:19" x14ac:dyDescent="0.2">
      <c r="A6023" s="12">
        <v>45987</v>
      </c>
      <c r="B6023" s="5" t="s">
        <v>20</v>
      </c>
      <c r="C6023" s="6">
        <v>0.52777777777777779</v>
      </c>
      <c r="D6023" s="5">
        <v>0</v>
      </c>
      <c r="E6023" s="5">
        <v>0</v>
      </c>
      <c r="F6023" s="5" t="s">
        <v>8</v>
      </c>
      <c r="G6023" s="15" t="s">
        <v>9</v>
      </c>
      <c r="H6023" s="24">
        <v>0</v>
      </c>
      <c r="I6023" s="24" t="s">
        <v>21</v>
      </c>
      <c r="J6023" s="24" t="s">
        <v>21</v>
      </c>
      <c r="K6023" s="24" t="s">
        <v>21</v>
      </c>
      <c r="L6023" s="24" t="s">
        <v>21</v>
      </c>
      <c r="M6023" s="24" t="s">
        <v>21</v>
      </c>
      <c r="N6023" s="24" t="s">
        <v>21</v>
      </c>
      <c r="O6023" s="24">
        <v>0</v>
      </c>
      <c r="P6023" s="24" t="s">
        <v>21</v>
      </c>
      <c r="Q6023" s="24" t="s">
        <v>21</v>
      </c>
      <c r="R6023" s="24" t="s">
        <v>21</v>
      </c>
      <c r="S6023" s="24" t="s">
        <v>21</v>
      </c>
    </row>
    <row r="6024" spans="1:19" x14ac:dyDescent="0.2">
      <c r="A6024" s="12">
        <v>45987</v>
      </c>
      <c r="B6024" s="5" t="s">
        <v>20</v>
      </c>
      <c r="C6024" s="6">
        <v>0.52847222222222223</v>
      </c>
      <c r="D6024" s="5">
        <v>3</v>
      </c>
      <c r="E6024" s="5">
        <v>0</v>
      </c>
      <c r="F6024" s="5" t="s">
        <v>8</v>
      </c>
      <c r="G6024" s="15" t="s">
        <v>9</v>
      </c>
      <c r="H6024" s="24">
        <v>0.99999999278225005</v>
      </c>
      <c r="I6024" s="24" t="s">
        <v>21</v>
      </c>
      <c r="J6024" s="24" t="s">
        <v>21</v>
      </c>
      <c r="K6024" s="24" t="s">
        <v>21</v>
      </c>
      <c r="L6024" s="24" t="s">
        <v>21</v>
      </c>
      <c r="M6024" s="24" t="s">
        <v>21</v>
      </c>
      <c r="N6024" s="24" t="s">
        <v>21</v>
      </c>
      <c r="O6024" s="24">
        <v>0.99999999278225005</v>
      </c>
      <c r="P6024" s="24" t="s">
        <v>21</v>
      </c>
      <c r="Q6024" s="24" t="s">
        <v>21</v>
      </c>
      <c r="R6024" s="24" t="s">
        <v>21</v>
      </c>
      <c r="S6024" s="24" t="s">
        <v>21</v>
      </c>
    </row>
    <row r="6025" spans="1:19" x14ac:dyDescent="0.2">
      <c r="A6025" s="12">
        <v>45987</v>
      </c>
      <c r="B6025" s="5" t="s">
        <v>20</v>
      </c>
      <c r="C6025" s="6">
        <v>0.52916666666666667</v>
      </c>
      <c r="D6025" s="5">
        <v>6</v>
      </c>
      <c r="E6025" s="5">
        <v>6</v>
      </c>
      <c r="F6025" s="5" t="s">
        <v>8</v>
      </c>
      <c r="G6025" s="15" t="s">
        <v>9</v>
      </c>
      <c r="H6025" s="24">
        <v>1.000000003259629</v>
      </c>
      <c r="I6025" s="24" t="s">
        <v>21</v>
      </c>
      <c r="J6025" s="24" t="s">
        <v>21</v>
      </c>
      <c r="K6025" s="24" t="s">
        <v>21</v>
      </c>
      <c r="L6025" s="24" t="s">
        <v>21</v>
      </c>
      <c r="M6025" s="24" t="s">
        <v>21</v>
      </c>
      <c r="N6025" s="24" t="s">
        <v>21</v>
      </c>
      <c r="O6025" s="24">
        <v>1.000000003259629</v>
      </c>
      <c r="P6025" s="24" t="s">
        <v>21</v>
      </c>
      <c r="Q6025" s="24" t="s">
        <v>21</v>
      </c>
      <c r="R6025" s="24" t="s">
        <v>21</v>
      </c>
      <c r="S6025" s="24" t="s">
        <v>21</v>
      </c>
    </row>
    <row r="6026" spans="1:19" x14ac:dyDescent="0.2">
      <c r="A6026" s="12">
        <v>45987</v>
      </c>
      <c r="B6026" s="5" t="s">
        <v>20</v>
      </c>
      <c r="C6026" s="6">
        <v>0.52916666666666667</v>
      </c>
      <c r="D6026" s="5">
        <v>0</v>
      </c>
      <c r="E6026" s="5">
        <v>23</v>
      </c>
      <c r="F6026" s="5" t="s">
        <v>8</v>
      </c>
      <c r="G6026" s="15" t="s">
        <v>9</v>
      </c>
      <c r="H6026" s="24">
        <v>0</v>
      </c>
      <c r="I6026" s="24" t="s">
        <v>21</v>
      </c>
      <c r="J6026" s="24" t="s">
        <v>21</v>
      </c>
      <c r="K6026" s="24" t="s">
        <v>21</v>
      </c>
      <c r="L6026" s="24" t="s">
        <v>21</v>
      </c>
      <c r="M6026" s="24" t="s">
        <v>21</v>
      </c>
      <c r="N6026" s="24" t="s">
        <v>21</v>
      </c>
      <c r="O6026" s="24">
        <v>0</v>
      </c>
      <c r="P6026" s="24" t="s">
        <v>21</v>
      </c>
      <c r="Q6026" s="24" t="s">
        <v>21</v>
      </c>
      <c r="R6026" s="24" t="s">
        <v>21</v>
      </c>
      <c r="S6026" s="24" t="s">
        <v>21</v>
      </c>
    </row>
    <row r="6027" spans="1:19" x14ac:dyDescent="0.2">
      <c r="A6027" s="12">
        <v>45987</v>
      </c>
      <c r="B6027" s="5" t="s">
        <v>20</v>
      </c>
      <c r="C6027" s="6">
        <v>0.52986111111111112</v>
      </c>
      <c r="D6027" s="5">
        <v>0</v>
      </c>
      <c r="E6027" s="5">
        <v>19</v>
      </c>
      <c r="F6027" s="5" t="s">
        <v>8</v>
      </c>
      <c r="G6027" s="15" t="s">
        <v>9</v>
      </c>
      <c r="H6027" s="24">
        <v>1.000000003259629</v>
      </c>
      <c r="I6027" s="24" t="s">
        <v>21</v>
      </c>
      <c r="J6027" s="24" t="s">
        <v>21</v>
      </c>
      <c r="K6027" s="24" t="s">
        <v>21</v>
      </c>
      <c r="L6027" s="24" t="s">
        <v>21</v>
      </c>
      <c r="M6027" s="24" t="s">
        <v>21</v>
      </c>
      <c r="N6027" s="24" t="s">
        <v>21</v>
      </c>
      <c r="O6027" s="24">
        <v>1.000000003259629</v>
      </c>
      <c r="P6027" s="24" t="s">
        <v>21</v>
      </c>
      <c r="Q6027" s="24" t="s">
        <v>21</v>
      </c>
      <c r="R6027" s="24" t="s">
        <v>21</v>
      </c>
      <c r="S6027" s="24" t="s">
        <v>21</v>
      </c>
    </row>
    <row r="6028" spans="1:19" x14ac:dyDescent="0.2">
      <c r="A6028" s="12">
        <v>45987</v>
      </c>
      <c r="B6028" s="5" t="s">
        <v>20</v>
      </c>
      <c r="C6028" s="6">
        <v>0.53055555555555556</v>
      </c>
      <c r="D6028" s="5">
        <v>3</v>
      </c>
      <c r="E6028" s="5">
        <v>3</v>
      </c>
      <c r="F6028" s="5" t="s">
        <v>8</v>
      </c>
      <c r="G6028" s="15" t="s">
        <v>9</v>
      </c>
      <c r="H6028" s="24">
        <v>0.99999999278225005</v>
      </c>
      <c r="I6028" s="24" t="s">
        <v>21</v>
      </c>
      <c r="J6028" s="24" t="s">
        <v>21</v>
      </c>
      <c r="K6028" s="24" t="s">
        <v>21</v>
      </c>
      <c r="L6028" s="24" t="s">
        <v>21</v>
      </c>
      <c r="M6028" s="24" t="s">
        <v>21</v>
      </c>
      <c r="N6028" s="24" t="s">
        <v>21</v>
      </c>
      <c r="O6028" s="24">
        <v>0.99999999278225005</v>
      </c>
      <c r="P6028" s="24" t="s">
        <v>21</v>
      </c>
      <c r="Q6028" s="24" t="s">
        <v>21</v>
      </c>
      <c r="R6028" s="24" t="s">
        <v>21</v>
      </c>
      <c r="S6028" s="24" t="s">
        <v>21</v>
      </c>
    </row>
    <row r="6029" spans="1:19" x14ac:dyDescent="0.2">
      <c r="A6029" s="12">
        <v>45987</v>
      </c>
      <c r="B6029" s="5" t="s">
        <v>20</v>
      </c>
      <c r="C6029" s="6">
        <v>0.53055555555555556</v>
      </c>
      <c r="D6029" s="5">
        <v>0</v>
      </c>
      <c r="E6029" s="5">
        <v>0</v>
      </c>
      <c r="F6029" s="5" t="s">
        <v>8</v>
      </c>
      <c r="G6029" s="15" t="s">
        <v>9</v>
      </c>
      <c r="H6029" s="24">
        <v>0</v>
      </c>
      <c r="I6029" s="24" t="s">
        <v>21</v>
      </c>
      <c r="J6029" s="24" t="s">
        <v>21</v>
      </c>
      <c r="K6029" s="24" t="s">
        <v>21</v>
      </c>
      <c r="L6029" s="24" t="s">
        <v>21</v>
      </c>
      <c r="M6029" s="24" t="s">
        <v>21</v>
      </c>
      <c r="N6029" s="24" t="s">
        <v>21</v>
      </c>
      <c r="O6029" s="24">
        <v>0</v>
      </c>
      <c r="P6029" s="24" t="s">
        <v>21</v>
      </c>
      <c r="Q6029" s="24" t="s">
        <v>21</v>
      </c>
      <c r="R6029" s="24" t="s">
        <v>21</v>
      </c>
      <c r="S6029" s="24" t="s">
        <v>21</v>
      </c>
    </row>
    <row r="6030" spans="1:19" x14ac:dyDescent="0.2">
      <c r="A6030" s="12">
        <v>45987</v>
      </c>
      <c r="B6030" s="5" t="s">
        <v>20</v>
      </c>
      <c r="C6030" s="6">
        <v>0.53125</v>
      </c>
      <c r="D6030" s="5">
        <v>0</v>
      </c>
      <c r="E6030" s="5">
        <v>23</v>
      </c>
      <c r="F6030" s="5" t="s">
        <v>8</v>
      </c>
      <c r="G6030" s="15" t="s">
        <v>9</v>
      </c>
      <c r="H6030" s="24">
        <v>1.000000003259629</v>
      </c>
      <c r="I6030" s="24" t="s">
        <v>21</v>
      </c>
      <c r="J6030" s="24" t="s">
        <v>21</v>
      </c>
      <c r="K6030" s="24" t="s">
        <v>21</v>
      </c>
      <c r="L6030" s="24" t="s">
        <v>21</v>
      </c>
      <c r="M6030" s="24" t="s">
        <v>21</v>
      </c>
      <c r="N6030" s="24" t="s">
        <v>21</v>
      </c>
      <c r="O6030" s="24">
        <v>1.000000003259629</v>
      </c>
      <c r="P6030" s="24" t="s">
        <v>21</v>
      </c>
      <c r="Q6030" s="24" t="s">
        <v>21</v>
      </c>
      <c r="R6030" s="24" t="s">
        <v>21</v>
      </c>
      <c r="S6030" s="24" t="s">
        <v>21</v>
      </c>
    </row>
    <row r="6031" spans="1:19" x14ac:dyDescent="0.2">
      <c r="A6031" s="12">
        <v>45987</v>
      </c>
      <c r="B6031" s="5" t="s">
        <v>20</v>
      </c>
      <c r="C6031" s="6">
        <v>0.53125</v>
      </c>
      <c r="D6031" s="5">
        <v>5</v>
      </c>
      <c r="E6031" s="5">
        <v>0</v>
      </c>
      <c r="F6031" s="5" t="s">
        <v>8</v>
      </c>
      <c r="G6031" s="15" t="s">
        <v>9</v>
      </c>
      <c r="H6031" s="24">
        <v>0</v>
      </c>
      <c r="I6031" s="24" t="s">
        <v>21</v>
      </c>
      <c r="J6031" s="24" t="s">
        <v>21</v>
      </c>
      <c r="K6031" s="24" t="s">
        <v>21</v>
      </c>
      <c r="L6031" s="24" t="s">
        <v>21</v>
      </c>
      <c r="M6031" s="24" t="s">
        <v>21</v>
      </c>
      <c r="N6031" s="24" t="s">
        <v>21</v>
      </c>
      <c r="O6031" s="24">
        <v>0</v>
      </c>
      <c r="P6031" s="24" t="s">
        <v>21</v>
      </c>
      <c r="Q6031" s="24" t="s">
        <v>21</v>
      </c>
      <c r="R6031" s="24" t="s">
        <v>21</v>
      </c>
      <c r="S6031" s="24" t="s">
        <v>21</v>
      </c>
    </row>
    <row r="6032" spans="1:19" x14ac:dyDescent="0.2">
      <c r="A6032" s="12">
        <v>45987</v>
      </c>
      <c r="B6032" s="5" t="s">
        <v>20</v>
      </c>
      <c r="C6032" s="6">
        <v>0.53125</v>
      </c>
      <c r="D6032" s="5">
        <v>16</v>
      </c>
      <c r="E6032" s="5">
        <v>0</v>
      </c>
      <c r="F6032" s="5" t="s">
        <v>8</v>
      </c>
      <c r="G6032" s="15" t="s">
        <v>9</v>
      </c>
      <c r="H6032" s="24">
        <v>0</v>
      </c>
      <c r="I6032" s="24" t="s">
        <v>21</v>
      </c>
      <c r="J6032" s="24" t="s">
        <v>21</v>
      </c>
      <c r="K6032" s="24" t="s">
        <v>21</v>
      </c>
      <c r="L6032" s="24" t="s">
        <v>21</v>
      </c>
      <c r="M6032" s="24" t="s">
        <v>21</v>
      </c>
      <c r="N6032" s="24" t="s">
        <v>21</v>
      </c>
      <c r="O6032" s="24">
        <v>0</v>
      </c>
      <c r="P6032" s="24" t="s">
        <v>21</v>
      </c>
      <c r="Q6032" s="24" t="s">
        <v>21</v>
      </c>
      <c r="R6032" s="24" t="s">
        <v>21</v>
      </c>
      <c r="S6032" s="24" t="s">
        <v>21</v>
      </c>
    </row>
    <row r="6033" spans="1:19" x14ac:dyDescent="0.2">
      <c r="A6033" s="12">
        <v>45987</v>
      </c>
      <c r="B6033" s="5" t="s">
        <v>20</v>
      </c>
      <c r="C6033" s="6">
        <v>0.53125</v>
      </c>
      <c r="D6033" s="5">
        <v>0</v>
      </c>
      <c r="E6033" s="5">
        <v>28</v>
      </c>
      <c r="F6033" s="5" t="s">
        <v>8</v>
      </c>
      <c r="G6033" s="15" t="s">
        <v>9</v>
      </c>
      <c r="H6033" s="24">
        <v>0</v>
      </c>
      <c r="I6033" s="24" t="s">
        <v>21</v>
      </c>
      <c r="J6033" s="24" t="s">
        <v>21</v>
      </c>
      <c r="K6033" s="24" t="s">
        <v>21</v>
      </c>
      <c r="L6033" s="24" t="s">
        <v>21</v>
      </c>
      <c r="M6033" s="24" t="s">
        <v>21</v>
      </c>
      <c r="N6033" s="24" t="s">
        <v>21</v>
      </c>
      <c r="O6033" s="24">
        <v>0</v>
      </c>
      <c r="P6033" s="24" t="s">
        <v>21</v>
      </c>
      <c r="Q6033" s="24" t="s">
        <v>21</v>
      </c>
      <c r="R6033" s="24" t="s">
        <v>21</v>
      </c>
      <c r="S6033" s="24" t="s">
        <v>21</v>
      </c>
    </row>
    <row r="6034" spans="1:19" x14ac:dyDescent="0.2">
      <c r="A6034" s="12">
        <v>45987</v>
      </c>
      <c r="B6034" s="5" t="s">
        <v>20</v>
      </c>
      <c r="C6034" s="6">
        <v>0.53194444444444444</v>
      </c>
      <c r="D6034" s="5">
        <v>12</v>
      </c>
      <c r="E6034" s="5">
        <v>0</v>
      </c>
      <c r="F6034" s="5" t="s">
        <v>8</v>
      </c>
      <c r="G6034" s="15" t="s">
        <v>9</v>
      </c>
      <c r="H6034" s="24">
        <v>1.000000003259629</v>
      </c>
      <c r="I6034" s="24" t="s">
        <v>21</v>
      </c>
      <c r="J6034" s="24" t="s">
        <v>21</v>
      </c>
      <c r="K6034" s="24" t="s">
        <v>21</v>
      </c>
      <c r="L6034" s="24" t="s">
        <v>21</v>
      </c>
      <c r="M6034" s="24" t="s">
        <v>21</v>
      </c>
      <c r="N6034" s="24" t="s">
        <v>21</v>
      </c>
      <c r="O6034" s="24">
        <v>1.000000003259629</v>
      </c>
      <c r="P6034" s="24" t="s">
        <v>21</v>
      </c>
      <c r="Q6034" s="24" t="s">
        <v>21</v>
      </c>
      <c r="R6034" s="24" t="s">
        <v>21</v>
      </c>
      <c r="S6034" s="24" t="s">
        <v>21</v>
      </c>
    </row>
    <row r="6035" spans="1:19" x14ac:dyDescent="0.2">
      <c r="A6035" s="12">
        <v>45987</v>
      </c>
      <c r="B6035" s="5" t="s">
        <v>20</v>
      </c>
      <c r="C6035" s="6">
        <v>0.53194444444444444</v>
      </c>
      <c r="D6035" s="5">
        <v>0</v>
      </c>
      <c r="E6035" s="5">
        <v>18</v>
      </c>
      <c r="F6035" s="5" t="s">
        <v>8</v>
      </c>
      <c r="G6035" s="15" t="s">
        <v>9</v>
      </c>
      <c r="H6035" s="24">
        <v>0</v>
      </c>
      <c r="I6035" s="24" t="s">
        <v>21</v>
      </c>
      <c r="J6035" s="24" t="s">
        <v>21</v>
      </c>
      <c r="K6035" s="24" t="s">
        <v>21</v>
      </c>
      <c r="L6035" s="24" t="s">
        <v>21</v>
      </c>
      <c r="M6035" s="24" t="s">
        <v>21</v>
      </c>
      <c r="N6035" s="24" t="s">
        <v>21</v>
      </c>
      <c r="O6035" s="24">
        <v>0</v>
      </c>
      <c r="P6035" s="24" t="s">
        <v>21</v>
      </c>
      <c r="Q6035" s="24" t="s">
        <v>21</v>
      </c>
      <c r="R6035" s="24" t="s">
        <v>21</v>
      </c>
      <c r="S6035" s="24" t="s">
        <v>21</v>
      </c>
    </row>
    <row r="6036" spans="1:19" x14ac:dyDescent="0.2">
      <c r="A6036" s="12">
        <v>45987</v>
      </c>
      <c r="B6036" s="5" t="s">
        <v>20</v>
      </c>
      <c r="C6036" s="6">
        <v>0.53194444444444444</v>
      </c>
      <c r="D6036" s="5">
        <v>0</v>
      </c>
      <c r="E6036" s="5">
        <v>30</v>
      </c>
      <c r="F6036" s="5" t="s">
        <v>8</v>
      </c>
      <c r="G6036" s="15" t="s">
        <v>9</v>
      </c>
      <c r="H6036" s="24">
        <v>0</v>
      </c>
      <c r="I6036" s="24" t="s">
        <v>21</v>
      </c>
      <c r="J6036" s="24" t="s">
        <v>21</v>
      </c>
      <c r="K6036" s="24" t="s">
        <v>21</v>
      </c>
      <c r="L6036" s="24" t="s">
        <v>21</v>
      </c>
      <c r="M6036" s="24" t="s">
        <v>21</v>
      </c>
      <c r="N6036" s="24" t="s">
        <v>21</v>
      </c>
      <c r="O6036" s="24">
        <v>0</v>
      </c>
      <c r="P6036" s="24" t="s">
        <v>21</v>
      </c>
      <c r="Q6036" s="24" t="s">
        <v>21</v>
      </c>
      <c r="R6036" s="24" t="s">
        <v>21</v>
      </c>
      <c r="S6036" s="24" t="s">
        <v>21</v>
      </c>
    </row>
    <row r="6037" spans="1:19" x14ac:dyDescent="0.2">
      <c r="A6037" s="12">
        <v>45987</v>
      </c>
      <c r="B6037" s="5" t="s">
        <v>20</v>
      </c>
      <c r="C6037" s="6">
        <v>0.53194444444444444</v>
      </c>
      <c r="D6037" s="5">
        <v>15</v>
      </c>
      <c r="E6037" s="5">
        <v>0</v>
      </c>
      <c r="F6037" s="5" t="s">
        <v>8</v>
      </c>
      <c r="G6037" s="15" t="s">
        <v>9</v>
      </c>
      <c r="H6037" s="24">
        <v>0</v>
      </c>
      <c r="I6037" s="24" t="s">
        <v>21</v>
      </c>
      <c r="J6037" s="24" t="s">
        <v>21</v>
      </c>
      <c r="K6037" s="24" t="s">
        <v>21</v>
      </c>
      <c r="L6037" s="24" t="s">
        <v>21</v>
      </c>
      <c r="M6037" s="24" t="s">
        <v>21</v>
      </c>
      <c r="N6037" s="24" t="s">
        <v>21</v>
      </c>
      <c r="O6037" s="24">
        <v>0</v>
      </c>
      <c r="P6037" s="24" t="s">
        <v>21</v>
      </c>
      <c r="Q6037" s="24" t="s">
        <v>21</v>
      </c>
      <c r="R6037" s="24" t="s">
        <v>21</v>
      </c>
      <c r="S6037" s="24" t="s">
        <v>21</v>
      </c>
    </row>
    <row r="6038" spans="1:19" x14ac:dyDescent="0.2">
      <c r="A6038" s="12">
        <v>45987</v>
      </c>
      <c r="B6038" s="5" t="s">
        <v>20</v>
      </c>
      <c r="C6038" s="6">
        <v>0.53263888888888888</v>
      </c>
      <c r="D6038" s="5">
        <v>0</v>
      </c>
      <c r="E6038" s="5">
        <v>2</v>
      </c>
      <c r="F6038" s="5" t="s">
        <v>8</v>
      </c>
      <c r="G6038" s="15" t="s">
        <v>9</v>
      </c>
      <c r="H6038" s="24">
        <v>0.99999999278225005</v>
      </c>
      <c r="I6038" s="24" t="s">
        <v>21</v>
      </c>
      <c r="J6038" s="24" t="s">
        <v>21</v>
      </c>
      <c r="K6038" s="24" t="s">
        <v>21</v>
      </c>
      <c r="L6038" s="24" t="s">
        <v>21</v>
      </c>
      <c r="M6038" s="24" t="s">
        <v>21</v>
      </c>
      <c r="N6038" s="24" t="s">
        <v>21</v>
      </c>
      <c r="O6038" s="24">
        <v>0.99999999278225005</v>
      </c>
      <c r="P6038" s="24" t="s">
        <v>21</v>
      </c>
      <c r="Q6038" s="24" t="s">
        <v>21</v>
      </c>
      <c r="R6038" s="24" t="s">
        <v>21</v>
      </c>
      <c r="S6038" s="24" t="s">
        <v>21</v>
      </c>
    </row>
    <row r="6039" spans="1:19" x14ac:dyDescent="0.2">
      <c r="A6039" s="12">
        <v>45987</v>
      </c>
      <c r="B6039" s="5" t="s">
        <v>20</v>
      </c>
      <c r="C6039" s="6">
        <v>0.53263888888888888</v>
      </c>
      <c r="D6039" s="5">
        <v>0</v>
      </c>
      <c r="E6039" s="5">
        <v>0</v>
      </c>
      <c r="F6039" s="5" t="s">
        <v>8</v>
      </c>
      <c r="G6039" s="15" t="s">
        <v>9</v>
      </c>
      <c r="H6039" s="24">
        <v>0</v>
      </c>
      <c r="I6039" s="24" t="s">
        <v>21</v>
      </c>
      <c r="J6039" s="24" t="s">
        <v>21</v>
      </c>
      <c r="K6039" s="24" t="s">
        <v>21</v>
      </c>
      <c r="L6039" s="24" t="s">
        <v>21</v>
      </c>
      <c r="M6039" s="24" t="s">
        <v>21</v>
      </c>
      <c r="N6039" s="24" t="s">
        <v>21</v>
      </c>
      <c r="O6039" s="24">
        <v>0</v>
      </c>
      <c r="P6039" s="24" t="s">
        <v>21</v>
      </c>
      <c r="Q6039" s="24" t="s">
        <v>21</v>
      </c>
      <c r="R6039" s="24" t="s">
        <v>21</v>
      </c>
      <c r="S6039" s="24" t="s">
        <v>21</v>
      </c>
    </row>
    <row r="6040" spans="1:19" x14ac:dyDescent="0.2">
      <c r="A6040" s="12">
        <v>45987</v>
      </c>
      <c r="B6040" s="5" t="s">
        <v>20</v>
      </c>
      <c r="C6040" s="6">
        <v>0.53263888888888888</v>
      </c>
      <c r="D6040" s="5">
        <v>0</v>
      </c>
      <c r="E6040" s="5">
        <v>2</v>
      </c>
      <c r="F6040" s="5" t="s">
        <v>8</v>
      </c>
      <c r="G6040" s="15" t="s">
        <v>9</v>
      </c>
      <c r="H6040" s="24">
        <v>0</v>
      </c>
      <c r="I6040" s="24" t="s">
        <v>21</v>
      </c>
      <c r="J6040" s="24" t="s">
        <v>21</v>
      </c>
      <c r="K6040" s="24" t="s">
        <v>21</v>
      </c>
      <c r="L6040" s="24" t="s">
        <v>21</v>
      </c>
      <c r="M6040" s="24" t="s">
        <v>21</v>
      </c>
      <c r="N6040" s="24" t="s">
        <v>21</v>
      </c>
      <c r="O6040" s="24">
        <v>0</v>
      </c>
      <c r="P6040" s="24" t="s">
        <v>21</v>
      </c>
      <c r="Q6040" s="24" t="s">
        <v>21</v>
      </c>
      <c r="R6040" s="24" t="s">
        <v>21</v>
      </c>
      <c r="S6040" s="24" t="s">
        <v>21</v>
      </c>
    </row>
    <row r="6041" spans="1:19" x14ac:dyDescent="0.2">
      <c r="A6041" s="12">
        <v>45987</v>
      </c>
      <c r="B6041" s="5" t="s">
        <v>20</v>
      </c>
      <c r="C6041" s="6">
        <v>0.53263888888888888</v>
      </c>
      <c r="D6041" s="5">
        <v>0</v>
      </c>
      <c r="E6041" s="5">
        <v>6</v>
      </c>
      <c r="F6041" s="5" t="s">
        <v>8</v>
      </c>
      <c r="G6041" s="15" t="s">
        <v>9</v>
      </c>
      <c r="H6041" s="24">
        <v>0</v>
      </c>
      <c r="I6041" s="24" t="s">
        <v>21</v>
      </c>
      <c r="J6041" s="24" t="s">
        <v>21</v>
      </c>
      <c r="K6041" s="24" t="s">
        <v>21</v>
      </c>
      <c r="L6041" s="24" t="s">
        <v>21</v>
      </c>
      <c r="M6041" s="24" t="s">
        <v>21</v>
      </c>
      <c r="N6041" s="24" t="s">
        <v>21</v>
      </c>
      <c r="O6041" s="24">
        <v>0</v>
      </c>
      <c r="P6041" s="24" t="s">
        <v>21</v>
      </c>
      <c r="Q6041" s="24" t="s">
        <v>21</v>
      </c>
      <c r="R6041" s="24" t="s">
        <v>21</v>
      </c>
      <c r="S6041" s="24" t="s">
        <v>21</v>
      </c>
    </row>
    <row r="6042" spans="1:19" x14ac:dyDescent="0.2">
      <c r="A6042" s="12">
        <v>45987</v>
      </c>
      <c r="B6042" s="5" t="s">
        <v>20</v>
      </c>
      <c r="C6042" s="6">
        <v>0.53333333333333333</v>
      </c>
      <c r="D6042" s="5">
        <v>0</v>
      </c>
      <c r="E6042" s="5">
        <v>35</v>
      </c>
      <c r="F6042" s="5" t="s">
        <v>8</v>
      </c>
      <c r="G6042" s="15" t="s">
        <v>9</v>
      </c>
      <c r="H6042" s="24">
        <v>1.000000003259629</v>
      </c>
      <c r="I6042" s="24" t="s">
        <v>21</v>
      </c>
      <c r="J6042" s="24" t="s">
        <v>21</v>
      </c>
      <c r="K6042" s="24" t="s">
        <v>21</v>
      </c>
      <c r="L6042" s="24" t="s">
        <v>21</v>
      </c>
      <c r="M6042" s="24" t="s">
        <v>21</v>
      </c>
      <c r="N6042" s="24" t="s">
        <v>21</v>
      </c>
      <c r="O6042" s="24">
        <v>1.000000003259629</v>
      </c>
      <c r="P6042" s="24" t="s">
        <v>21</v>
      </c>
      <c r="Q6042" s="24" t="s">
        <v>21</v>
      </c>
      <c r="R6042" s="24" t="s">
        <v>21</v>
      </c>
      <c r="S6042" s="24" t="s">
        <v>21</v>
      </c>
    </row>
    <row r="6043" spans="1:19" x14ac:dyDescent="0.2">
      <c r="A6043" s="12">
        <v>45987</v>
      </c>
      <c r="B6043" s="5" t="s">
        <v>20</v>
      </c>
      <c r="C6043" s="6">
        <v>0.53402777777777777</v>
      </c>
      <c r="D6043" s="5">
        <v>0</v>
      </c>
      <c r="E6043" s="5">
        <v>29</v>
      </c>
      <c r="F6043" s="5" t="s">
        <v>8</v>
      </c>
      <c r="G6043" s="15" t="s">
        <v>9</v>
      </c>
      <c r="H6043" s="24">
        <v>1.000000003259629</v>
      </c>
      <c r="I6043" s="24" t="s">
        <v>21</v>
      </c>
      <c r="J6043" s="24" t="s">
        <v>21</v>
      </c>
      <c r="K6043" s="24" t="s">
        <v>21</v>
      </c>
      <c r="L6043" s="24" t="s">
        <v>21</v>
      </c>
      <c r="M6043" s="24" t="s">
        <v>21</v>
      </c>
      <c r="N6043" s="24" t="s">
        <v>21</v>
      </c>
      <c r="O6043" s="24">
        <v>1.000000003259629</v>
      </c>
      <c r="P6043" s="24" t="s">
        <v>21</v>
      </c>
      <c r="Q6043" s="24" t="s">
        <v>21</v>
      </c>
      <c r="R6043" s="24" t="s">
        <v>21</v>
      </c>
      <c r="S6043" s="24" t="s">
        <v>21</v>
      </c>
    </row>
    <row r="6044" spans="1:19" x14ac:dyDescent="0.2">
      <c r="A6044" s="12">
        <v>45987</v>
      </c>
      <c r="B6044" s="5" t="s">
        <v>20</v>
      </c>
      <c r="C6044" s="6">
        <v>0.53402777777777777</v>
      </c>
      <c r="D6044" s="5">
        <v>0</v>
      </c>
      <c r="E6044" s="5">
        <v>8</v>
      </c>
      <c r="F6044" s="5" t="s">
        <v>8</v>
      </c>
      <c r="G6044" s="15" t="s">
        <v>9</v>
      </c>
      <c r="H6044" s="24">
        <v>0</v>
      </c>
      <c r="I6044" s="24" t="s">
        <v>21</v>
      </c>
      <c r="J6044" s="24" t="s">
        <v>21</v>
      </c>
      <c r="K6044" s="24" t="s">
        <v>21</v>
      </c>
      <c r="L6044" s="24" t="s">
        <v>21</v>
      </c>
      <c r="M6044" s="24" t="s">
        <v>21</v>
      </c>
      <c r="N6044" s="24" t="s">
        <v>21</v>
      </c>
      <c r="O6044" s="24">
        <v>0</v>
      </c>
      <c r="P6044" s="24" t="s">
        <v>21</v>
      </c>
      <c r="Q6044" s="24" t="s">
        <v>21</v>
      </c>
      <c r="R6044" s="24" t="s">
        <v>21</v>
      </c>
      <c r="S6044" s="24" t="s">
        <v>21</v>
      </c>
    </row>
    <row r="6045" spans="1:19" x14ac:dyDescent="0.2">
      <c r="A6045" s="12">
        <v>45987</v>
      </c>
      <c r="B6045" s="5" t="s">
        <v>20</v>
      </c>
      <c r="C6045" s="6">
        <v>0.5444444444444444</v>
      </c>
      <c r="D6045" s="5">
        <v>0</v>
      </c>
      <c r="E6045" s="5">
        <v>0</v>
      </c>
      <c r="F6045" s="5" t="s">
        <v>8</v>
      </c>
      <c r="G6045" s="15" t="s">
        <v>9</v>
      </c>
      <c r="H6045" s="24">
        <v>14.99999999650754</v>
      </c>
      <c r="I6045" s="24" t="s">
        <v>21</v>
      </c>
      <c r="J6045" s="24" t="s">
        <v>21</v>
      </c>
      <c r="K6045" s="24" t="s">
        <v>21</v>
      </c>
      <c r="L6045" s="24" t="s">
        <v>21</v>
      </c>
      <c r="M6045" s="24" t="s">
        <v>21</v>
      </c>
      <c r="N6045" s="24" t="s">
        <v>21</v>
      </c>
      <c r="O6045" s="24">
        <v>14.99999999650754</v>
      </c>
      <c r="P6045" s="24" t="s">
        <v>21</v>
      </c>
      <c r="Q6045" s="24" t="s">
        <v>21</v>
      </c>
      <c r="R6045" s="24" t="s">
        <v>21</v>
      </c>
      <c r="S6045" s="24" t="s">
        <v>21</v>
      </c>
    </row>
    <row r="6046" spans="1:19" x14ac:dyDescent="0.2">
      <c r="A6046" s="12">
        <v>45987</v>
      </c>
      <c r="B6046" s="5" t="s">
        <v>10</v>
      </c>
      <c r="C6046" s="6">
        <v>0.5493055555555556</v>
      </c>
      <c r="D6046" s="5">
        <v>2</v>
      </c>
      <c r="E6046" s="5">
        <v>0</v>
      </c>
      <c r="F6046" s="5" t="s">
        <v>8</v>
      </c>
      <c r="G6046" s="15" t="s">
        <v>9</v>
      </c>
      <c r="H6046" s="24">
        <v>7.0000000018626451</v>
      </c>
      <c r="I6046" s="24" t="s">
        <v>21</v>
      </c>
      <c r="J6046" s="24">
        <v>201.99999999837019</v>
      </c>
      <c r="K6046" s="24" t="s">
        <v>21</v>
      </c>
      <c r="L6046" s="24" t="s">
        <v>21</v>
      </c>
      <c r="M6046" s="24" t="s">
        <v>21</v>
      </c>
      <c r="N6046" s="24" t="s">
        <v>21</v>
      </c>
      <c r="O6046" s="24" t="s">
        <v>21</v>
      </c>
      <c r="P6046" s="24" t="s">
        <v>21</v>
      </c>
      <c r="Q6046" s="24" t="s">
        <v>21</v>
      </c>
      <c r="R6046" s="24" t="s">
        <v>21</v>
      </c>
      <c r="S6046" s="24" t="s">
        <v>21</v>
      </c>
    </row>
    <row r="6047" spans="1:19" x14ac:dyDescent="0.2">
      <c r="A6047" s="12">
        <v>45987</v>
      </c>
      <c r="B6047" s="5" t="s">
        <v>10</v>
      </c>
      <c r="C6047" s="6">
        <v>0.5493055555555556</v>
      </c>
      <c r="D6047" s="5">
        <v>0</v>
      </c>
      <c r="E6047" s="5">
        <v>0</v>
      </c>
      <c r="F6047" s="5" t="s">
        <v>8</v>
      </c>
      <c r="G6047" s="15" t="s">
        <v>9</v>
      </c>
      <c r="H6047" s="24">
        <v>0</v>
      </c>
      <c r="I6047" s="24" t="s">
        <v>21</v>
      </c>
      <c r="J6047" s="24">
        <v>0</v>
      </c>
      <c r="K6047" s="24" t="s">
        <v>21</v>
      </c>
      <c r="L6047" s="24" t="s">
        <v>21</v>
      </c>
      <c r="M6047" s="24" t="s">
        <v>21</v>
      </c>
      <c r="N6047" s="24" t="s">
        <v>21</v>
      </c>
      <c r="O6047" s="24" t="s">
        <v>21</v>
      </c>
      <c r="P6047" s="24" t="s">
        <v>21</v>
      </c>
      <c r="Q6047" s="24" t="s">
        <v>21</v>
      </c>
      <c r="R6047" s="24" t="s">
        <v>21</v>
      </c>
      <c r="S6047" s="24" t="s">
        <v>21</v>
      </c>
    </row>
    <row r="6048" spans="1:19" x14ac:dyDescent="0.2">
      <c r="A6048" s="12">
        <v>45987</v>
      </c>
      <c r="B6048" s="5" t="s">
        <v>10</v>
      </c>
      <c r="C6048" s="6">
        <v>0.55000000000000004</v>
      </c>
      <c r="D6048" s="5">
        <v>1</v>
      </c>
      <c r="E6048" s="5">
        <v>0</v>
      </c>
      <c r="F6048" s="5" t="s">
        <v>8</v>
      </c>
      <c r="G6048" s="15" t="s">
        <v>9</v>
      </c>
      <c r="H6048" s="24">
        <v>1.000000003259629</v>
      </c>
      <c r="I6048" s="24" t="s">
        <v>21</v>
      </c>
      <c r="J6048" s="24">
        <v>1.000000003259629</v>
      </c>
      <c r="K6048" s="24" t="s">
        <v>21</v>
      </c>
      <c r="L6048" s="24" t="s">
        <v>21</v>
      </c>
      <c r="M6048" s="24" t="s">
        <v>21</v>
      </c>
      <c r="N6048" s="24" t="s">
        <v>21</v>
      </c>
      <c r="O6048" s="24" t="s">
        <v>21</v>
      </c>
      <c r="P6048" s="24" t="s">
        <v>21</v>
      </c>
      <c r="Q6048" s="24" t="s">
        <v>21</v>
      </c>
      <c r="R6048" s="24" t="s">
        <v>21</v>
      </c>
      <c r="S6048" s="24" t="s">
        <v>21</v>
      </c>
    </row>
    <row r="6049" spans="1:19" x14ac:dyDescent="0.2">
      <c r="A6049" s="12">
        <v>45987</v>
      </c>
      <c r="B6049" s="5" t="s">
        <v>10</v>
      </c>
      <c r="C6049" s="6">
        <v>0.55000000000000004</v>
      </c>
      <c r="D6049" s="5">
        <v>0</v>
      </c>
      <c r="E6049" s="5">
        <v>0</v>
      </c>
      <c r="F6049" s="5" t="s">
        <v>8</v>
      </c>
      <c r="G6049" s="15" t="s">
        <v>9</v>
      </c>
      <c r="H6049" s="24">
        <v>0</v>
      </c>
      <c r="I6049" s="24" t="s">
        <v>21</v>
      </c>
      <c r="J6049" s="24">
        <v>0</v>
      </c>
      <c r="K6049" s="24" t="s">
        <v>21</v>
      </c>
      <c r="L6049" s="24" t="s">
        <v>21</v>
      </c>
      <c r="M6049" s="24" t="s">
        <v>21</v>
      </c>
      <c r="N6049" s="24" t="s">
        <v>21</v>
      </c>
      <c r="O6049" s="24" t="s">
        <v>21</v>
      </c>
      <c r="P6049" s="24" t="s">
        <v>21</v>
      </c>
      <c r="Q6049" s="24" t="s">
        <v>21</v>
      </c>
      <c r="R6049" s="24" t="s">
        <v>21</v>
      </c>
      <c r="S6049" s="24" t="s">
        <v>21</v>
      </c>
    </row>
    <row r="6050" spans="1:19" x14ac:dyDescent="0.2">
      <c r="A6050" s="12">
        <v>45987</v>
      </c>
      <c r="B6050" s="5" t="s">
        <v>10</v>
      </c>
      <c r="C6050" s="6">
        <v>0.55000000000000004</v>
      </c>
      <c r="D6050" s="5">
        <v>2</v>
      </c>
      <c r="E6050" s="5">
        <v>0</v>
      </c>
      <c r="F6050" s="5" t="s">
        <v>8</v>
      </c>
      <c r="G6050" s="15" t="s">
        <v>9</v>
      </c>
      <c r="H6050" s="24">
        <v>0</v>
      </c>
      <c r="I6050" s="24" t="s">
        <v>21</v>
      </c>
      <c r="J6050" s="24">
        <v>0</v>
      </c>
      <c r="K6050" s="24" t="s">
        <v>21</v>
      </c>
      <c r="L6050" s="24" t="s">
        <v>21</v>
      </c>
      <c r="M6050" s="24" t="s">
        <v>21</v>
      </c>
      <c r="N6050" s="24" t="s">
        <v>21</v>
      </c>
      <c r="O6050" s="24" t="s">
        <v>21</v>
      </c>
      <c r="P6050" s="24" t="s">
        <v>21</v>
      </c>
      <c r="Q6050" s="24" t="s">
        <v>21</v>
      </c>
      <c r="R6050" s="24" t="s">
        <v>21</v>
      </c>
      <c r="S6050" s="24" t="s">
        <v>21</v>
      </c>
    </row>
    <row r="6051" spans="1:19" x14ac:dyDescent="0.2">
      <c r="A6051" s="12">
        <v>45987</v>
      </c>
      <c r="B6051" s="5" t="s">
        <v>10</v>
      </c>
      <c r="C6051" s="6">
        <v>0.55000000000000004</v>
      </c>
      <c r="D6051" s="5">
        <v>1</v>
      </c>
      <c r="E6051" s="5">
        <v>0</v>
      </c>
      <c r="F6051" s="5" t="s">
        <v>8</v>
      </c>
      <c r="G6051" s="15" t="s">
        <v>9</v>
      </c>
      <c r="H6051" s="24">
        <v>0</v>
      </c>
      <c r="I6051" s="24" t="s">
        <v>21</v>
      </c>
      <c r="J6051" s="24">
        <v>0</v>
      </c>
      <c r="K6051" s="24" t="s">
        <v>21</v>
      </c>
      <c r="L6051" s="24" t="s">
        <v>21</v>
      </c>
      <c r="M6051" s="24" t="s">
        <v>21</v>
      </c>
      <c r="N6051" s="24" t="s">
        <v>21</v>
      </c>
      <c r="O6051" s="24" t="s">
        <v>21</v>
      </c>
      <c r="P6051" s="24" t="s">
        <v>21</v>
      </c>
      <c r="Q6051" s="24" t="s">
        <v>21</v>
      </c>
      <c r="R6051" s="24" t="s">
        <v>21</v>
      </c>
      <c r="S6051" s="24" t="s">
        <v>21</v>
      </c>
    </row>
    <row r="6052" spans="1:19" x14ac:dyDescent="0.2">
      <c r="A6052" s="12">
        <v>45987</v>
      </c>
      <c r="B6052" s="5" t="s">
        <v>10</v>
      </c>
      <c r="C6052" s="6">
        <v>0.55069444444444449</v>
      </c>
      <c r="D6052" s="5">
        <v>1</v>
      </c>
      <c r="E6052" s="5">
        <v>0</v>
      </c>
      <c r="F6052" s="5" t="s">
        <v>8</v>
      </c>
      <c r="G6052" s="15" t="s">
        <v>9</v>
      </c>
      <c r="H6052" s="24">
        <v>0.99999999278225005</v>
      </c>
      <c r="I6052" s="24" t="s">
        <v>21</v>
      </c>
      <c r="J6052" s="24">
        <v>0.99999999278225005</v>
      </c>
      <c r="K6052" s="24" t="s">
        <v>21</v>
      </c>
      <c r="L6052" s="24" t="s">
        <v>21</v>
      </c>
      <c r="M6052" s="24" t="s">
        <v>21</v>
      </c>
      <c r="N6052" s="24" t="s">
        <v>21</v>
      </c>
      <c r="O6052" s="24" t="s">
        <v>21</v>
      </c>
      <c r="P6052" s="24" t="s">
        <v>21</v>
      </c>
      <c r="Q6052" s="24" t="s">
        <v>21</v>
      </c>
      <c r="R6052" s="24" t="s">
        <v>21</v>
      </c>
      <c r="S6052" s="24" t="s">
        <v>21</v>
      </c>
    </row>
    <row r="6053" spans="1:19" x14ac:dyDescent="0.2">
      <c r="A6053" s="12">
        <v>45987</v>
      </c>
      <c r="B6053" s="5" t="s">
        <v>10</v>
      </c>
      <c r="C6053" s="6">
        <v>0.56874999999999998</v>
      </c>
      <c r="D6053" s="5">
        <v>1</v>
      </c>
      <c r="E6053" s="5">
        <v>0</v>
      </c>
      <c r="F6053" s="5" t="s">
        <v>8</v>
      </c>
      <c r="G6053" s="15" t="s">
        <v>9</v>
      </c>
      <c r="H6053" s="24">
        <v>26.000000000931323</v>
      </c>
      <c r="I6053" s="24" t="s">
        <v>21</v>
      </c>
      <c r="J6053" s="24">
        <v>26.000000000931323</v>
      </c>
      <c r="K6053" s="24" t="s">
        <v>21</v>
      </c>
      <c r="L6053" s="24" t="s">
        <v>21</v>
      </c>
      <c r="M6053" s="24" t="s">
        <v>21</v>
      </c>
      <c r="N6053" s="24" t="s">
        <v>21</v>
      </c>
      <c r="O6053" s="24" t="s">
        <v>21</v>
      </c>
      <c r="P6053" s="24" t="s">
        <v>21</v>
      </c>
      <c r="Q6053" s="24" t="s">
        <v>21</v>
      </c>
      <c r="R6053" s="24" t="s">
        <v>21</v>
      </c>
      <c r="S6053" s="24" t="s">
        <v>21</v>
      </c>
    </row>
    <row r="6054" spans="1:19" x14ac:dyDescent="0.2">
      <c r="A6054" s="12">
        <v>45987</v>
      </c>
      <c r="B6054" s="5" t="s">
        <v>10</v>
      </c>
      <c r="C6054" s="6">
        <v>0.56944444444444442</v>
      </c>
      <c r="D6054" s="5">
        <v>0</v>
      </c>
      <c r="E6054" s="5">
        <v>0</v>
      </c>
      <c r="F6054" s="5" t="s">
        <v>8</v>
      </c>
      <c r="G6054" s="15" t="s">
        <v>9</v>
      </c>
      <c r="H6054" s="24">
        <v>1.000000003259629</v>
      </c>
      <c r="I6054" s="24" t="s">
        <v>21</v>
      </c>
      <c r="J6054" s="24">
        <v>1.000000003259629</v>
      </c>
      <c r="K6054" s="24" t="s">
        <v>21</v>
      </c>
      <c r="L6054" s="24" t="s">
        <v>21</v>
      </c>
      <c r="M6054" s="24" t="s">
        <v>21</v>
      </c>
      <c r="N6054" s="24" t="s">
        <v>21</v>
      </c>
      <c r="O6054" s="24" t="s">
        <v>21</v>
      </c>
      <c r="P6054" s="24" t="s">
        <v>21</v>
      </c>
      <c r="Q6054" s="24" t="s">
        <v>21</v>
      </c>
      <c r="R6054" s="24" t="s">
        <v>21</v>
      </c>
      <c r="S6054" s="24" t="s">
        <v>21</v>
      </c>
    </row>
    <row r="6055" spans="1:19" x14ac:dyDescent="0.2">
      <c r="A6055" s="12">
        <v>45987</v>
      </c>
      <c r="B6055" s="5" t="s">
        <v>10</v>
      </c>
      <c r="C6055" s="6">
        <v>0.56944444444444442</v>
      </c>
      <c r="D6055" s="5">
        <v>0</v>
      </c>
      <c r="E6055" s="5">
        <v>0</v>
      </c>
      <c r="F6055" s="5" t="s">
        <v>8</v>
      </c>
      <c r="G6055" s="15" t="s">
        <v>9</v>
      </c>
      <c r="H6055" s="24">
        <v>0</v>
      </c>
      <c r="I6055" s="24" t="s">
        <v>21</v>
      </c>
      <c r="J6055" s="24">
        <v>0</v>
      </c>
      <c r="K6055" s="24" t="s">
        <v>21</v>
      </c>
      <c r="L6055" s="24" t="s">
        <v>21</v>
      </c>
      <c r="M6055" s="24" t="s">
        <v>21</v>
      </c>
      <c r="N6055" s="24" t="s">
        <v>21</v>
      </c>
      <c r="O6055" s="24" t="s">
        <v>21</v>
      </c>
      <c r="P6055" s="24" t="s">
        <v>21</v>
      </c>
      <c r="Q6055" s="24" t="s">
        <v>21</v>
      </c>
      <c r="R6055" s="24" t="s">
        <v>21</v>
      </c>
      <c r="S6055" s="24" t="s">
        <v>21</v>
      </c>
    </row>
    <row r="6056" spans="1:19" x14ac:dyDescent="0.2">
      <c r="A6056" s="12">
        <v>45987</v>
      </c>
      <c r="B6056" s="5" t="s">
        <v>10</v>
      </c>
      <c r="C6056" s="6">
        <v>0.57013888888888886</v>
      </c>
      <c r="D6056" s="5">
        <v>0</v>
      </c>
      <c r="E6056" s="5">
        <v>0</v>
      </c>
      <c r="F6056" s="5" t="s">
        <v>8</v>
      </c>
      <c r="G6056" s="15" t="s">
        <v>9</v>
      </c>
      <c r="H6056" s="24">
        <v>1.000000003259629</v>
      </c>
      <c r="I6056" s="24" t="s">
        <v>21</v>
      </c>
      <c r="J6056" s="24">
        <v>1.000000003259629</v>
      </c>
      <c r="K6056" s="24" t="s">
        <v>21</v>
      </c>
      <c r="L6056" s="24" t="s">
        <v>21</v>
      </c>
      <c r="M6056" s="24" t="s">
        <v>21</v>
      </c>
      <c r="N6056" s="24" t="s">
        <v>21</v>
      </c>
      <c r="O6056" s="24" t="s">
        <v>21</v>
      </c>
      <c r="P6056" s="24" t="s">
        <v>21</v>
      </c>
      <c r="Q6056" s="24" t="s">
        <v>21</v>
      </c>
      <c r="R6056" s="24" t="s">
        <v>21</v>
      </c>
      <c r="S6056" s="24" t="s">
        <v>21</v>
      </c>
    </row>
    <row r="6057" spans="1:19" x14ac:dyDescent="0.2">
      <c r="A6057" s="12">
        <v>45987</v>
      </c>
      <c r="B6057" s="5" t="s">
        <v>10</v>
      </c>
      <c r="C6057" s="6">
        <v>0.5708333333333333</v>
      </c>
      <c r="D6057" s="5">
        <v>2</v>
      </c>
      <c r="E6057" s="5">
        <v>0</v>
      </c>
      <c r="F6057" s="5" t="s">
        <v>8</v>
      </c>
      <c r="G6057" s="15" t="s">
        <v>9</v>
      </c>
      <c r="H6057" s="24">
        <v>0.99999999278225005</v>
      </c>
      <c r="I6057" s="24" t="s">
        <v>21</v>
      </c>
      <c r="J6057" s="24">
        <v>0.99999999278225005</v>
      </c>
      <c r="K6057" s="24" t="s">
        <v>21</v>
      </c>
      <c r="L6057" s="24" t="s">
        <v>21</v>
      </c>
      <c r="M6057" s="24" t="s">
        <v>21</v>
      </c>
      <c r="N6057" s="24" t="s">
        <v>21</v>
      </c>
      <c r="O6057" s="24" t="s">
        <v>21</v>
      </c>
      <c r="P6057" s="24" t="s">
        <v>21</v>
      </c>
      <c r="Q6057" s="24" t="s">
        <v>21</v>
      </c>
      <c r="R6057" s="24" t="s">
        <v>21</v>
      </c>
      <c r="S6057" s="24" t="s">
        <v>21</v>
      </c>
    </row>
    <row r="6058" spans="1:19" x14ac:dyDescent="0.2">
      <c r="A6058" s="12">
        <v>45987</v>
      </c>
      <c r="B6058" s="5" t="s">
        <v>10</v>
      </c>
      <c r="C6058" s="6">
        <v>0.5708333333333333</v>
      </c>
      <c r="D6058" s="5">
        <v>1</v>
      </c>
      <c r="E6058" s="5">
        <v>0</v>
      </c>
      <c r="F6058" s="5" t="s">
        <v>8</v>
      </c>
      <c r="G6058" s="15" t="s">
        <v>9</v>
      </c>
      <c r="H6058" s="24">
        <v>0</v>
      </c>
      <c r="I6058" s="24" t="s">
        <v>21</v>
      </c>
      <c r="J6058" s="24">
        <v>0</v>
      </c>
      <c r="K6058" s="24" t="s">
        <v>21</v>
      </c>
      <c r="L6058" s="24" t="s">
        <v>21</v>
      </c>
      <c r="M6058" s="24" t="s">
        <v>21</v>
      </c>
      <c r="N6058" s="24" t="s">
        <v>21</v>
      </c>
      <c r="O6058" s="24" t="s">
        <v>21</v>
      </c>
      <c r="P6058" s="24" t="s">
        <v>21</v>
      </c>
      <c r="Q6058" s="24" t="s">
        <v>21</v>
      </c>
      <c r="R6058" s="24" t="s">
        <v>21</v>
      </c>
      <c r="S6058" s="24" t="s">
        <v>21</v>
      </c>
    </row>
    <row r="6059" spans="1:19" x14ac:dyDescent="0.2">
      <c r="A6059" s="12">
        <v>45987</v>
      </c>
      <c r="B6059" s="5" t="s">
        <v>10</v>
      </c>
      <c r="C6059" s="6">
        <v>0.5708333333333333</v>
      </c>
      <c r="D6059" s="5">
        <v>3</v>
      </c>
      <c r="E6059" s="5">
        <v>0</v>
      </c>
      <c r="F6059" s="5" t="s">
        <v>8</v>
      </c>
      <c r="G6059" s="15" t="s">
        <v>9</v>
      </c>
      <c r="H6059" s="24">
        <v>0</v>
      </c>
      <c r="I6059" s="24" t="s">
        <v>21</v>
      </c>
      <c r="J6059" s="24">
        <v>0</v>
      </c>
      <c r="K6059" s="24" t="s">
        <v>21</v>
      </c>
      <c r="L6059" s="24" t="s">
        <v>21</v>
      </c>
      <c r="M6059" s="24" t="s">
        <v>21</v>
      </c>
      <c r="N6059" s="24" t="s">
        <v>21</v>
      </c>
      <c r="O6059" s="24" t="s">
        <v>21</v>
      </c>
      <c r="P6059" s="24" t="s">
        <v>21</v>
      </c>
      <c r="Q6059" s="24" t="s">
        <v>21</v>
      </c>
      <c r="R6059" s="24" t="s">
        <v>21</v>
      </c>
      <c r="S6059" s="24" t="s">
        <v>21</v>
      </c>
    </row>
    <row r="6060" spans="1:19" x14ac:dyDescent="0.2">
      <c r="A6060" s="12">
        <v>45987</v>
      </c>
      <c r="B6060" s="5" t="s">
        <v>10</v>
      </c>
      <c r="C6060" s="6">
        <v>0.57152777777777775</v>
      </c>
      <c r="D6060" s="5">
        <v>2</v>
      </c>
      <c r="E6060" s="5">
        <v>0</v>
      </c>
      <c r="F6060" s="5" t="s">
        <v>8</v>
      </c>
      <c r="G6060" s="15" t="s">
        <v>9</v>
      </c>
      <c r="H6060" s="24">
        <v>1.000000003259629</v>
      </c>
      <c r="I6060" s="24" t="s">
        <v>21</v>
      </c>
      <c r="J6060" s="24">
        <v>1.000000003259629</v>
      </c>
      <c r="K6060" s="24" t="s">
        <v>21</v>
      </c>
      <c r="L6060" s="24" t="s">
        <v>21</v>
      </c>
      <c r="M6060" s="24" t="s">
        <v>21</v>
      </c>
      <c r="N6060" s="24" t="s">
        <v>21</v>
      </c>
      <c r="O6060" s="24" t="s">
        <v>21</v>
      </c>
      <c r="P6060" s="24" t="s">
        <v>21</v>
      </c>
      <c r="Q6060" s="24" t="s">
        <v>21</v>
      </c>
      <c r="R6060" s="24" t="s">
        <v>21</v>
      </c>
      <c r="S6060" s="24" t="s">
        <v>21</v>
      </c>
    </row>
    <row r="6061" spans="1:19" x14ac:dyDescent="0.2">
      <c r="A6061" s="12">
        <v>45987</v>
      </c>
      <c r="B6061" s="5" t="s">
        <v>10</v>
      </c>
      <c r="C6061" s="6">
        <v>0.57222222222222219</v>
      </c>
      <c r="D6061" s="5">
        <v>2</v>
      </c>
      <c r="E6061" s="5">
        <v>2</v>
      </c>
      <c r="F6061" s="5" t="s">
        <v>8</v>
      </c>
      <c r="G6061" s="15" t="s">
        <v>9</v>
      </c>
      <c r="H6061" s="24">
        <v>1.000000003259629</v>
      </c>
      <c r="I6061" s="24" t="s">
        <v>21</v>
      </c>
      <c r="J6061" s="24">
        <v>1.000000003259629</v>
      </c>
      <c r="K6061" s="24" t="s">
        <v>21</v>
      </c>
      <c r="L6061" s="24" t="s">
        <v>21</v>
      </c>
      <c r="M6061" s="24" t="s">
        <v>21</v>
      </c>
      <c r="N6061" s="24" t="s">
        <v>21</v>
      </c>
      <c r="O6061" s="24" t="s">
        <v>21</v>
      </c>
      <c r="P6061" s="24" t="s">
        <v>21</v>
      </c>
      <c r="Q6061" s="24" t="s">
        <v>21</v>
      </c>
      <c r="R6061" s="24" t="s">
        <v>21</v>
      </c>
      <c r="S6061" s="24" t="s">
        <v>21</v>
      </c>
    </row>
    <row r="6062" spans="1:19" x14ac:dyDescent="0.2">
      <c r="A6062" s="12">
        <v>45987</v>
      </c>
      <c r="B6062" s="5" t="s">
        <v>10</v>
      </c>
      <c r="C6062" s="6">
        <v>0.57222222222222219</v>
      </c>
      <c r="D6062" s="5">
        <v>3</v>
      </c>
      <c r="E6062" s="5">
        <v>0</v>
      </c>
      <c r="F6062" s="5" t="s">
        <v>8</v>
      </c>
      <c r="G6062" s="15" t="s">
        <v>9</v>
      </c>
      <c r="H6062" s="24">
        <v>0</v>
      </c>
      <c r="I6062" s="24" t="s">
        <v>21</v>
      </c>
      <c r="J6062" s="24">
        <v>0</v>
      </c>
      <c r="K6062" s="24" t="s">
        <v>21</v>
      </c>
      <c r="L6062" s="24" t="s">
        <v>21</v>
      </c>
      <c r="M6062" s="24" t="s">
        <v>21</v>
      </c>
      <c r="N6062" s="24" t="s">
        <v>21</v>
      </c>
      <c r="O6062" s="24" t="s">
        <v>21</v>
      </c>
      <c r="P6062" s="24" t="s">
        <v>21</v>
      </c>
      <c r="Q6062" s="24" t="s">
        <v>21</v>
      </c>
      <c r="R6062" s="24" t="s">
        <v>21</v>
      </c>
      <c r="S6062" s="24" t="s">
        <v>21</v>
      </c>
    </row>
    <row r="6063" spans="1:19" x14ac:dyDescent="0.2">
      <c r="A6063" s="12">
        <v>45987</v>
      </c>
      <c r="B6063" s="5" t="s">
        <v>10</v>
      </c>
      <c r="C6063" s="6">
        <v>0.57222222222222219</v>
      </c>
      <c r="D6063" s="5">
        <v>1</v>
      </c>
      <c r="E6063" s="5">
        <v>0</v>
      </c>
      <c r="F6063" s="5" t="s">
        <v>8</v>
      </c>
      <c r="G6063" s="15" t="s">
        <v>9</v>
      </c>
      <c r="H6063" s="24">
        <v>0</v>
      </c>
      <c r="I6063" s="24" t="s">
        <v>21</v>
      </c>
      <c r="J6063" s="24">
        <v>0</v>
      </c>
      <c r="K6063" s="24" t="s">
        <v>21</v>
      </c>
      <c r="L6063" s="24" t="s">
        <v>21</v>
      </c>
      <c r="M6063" s="24" t="s">
        <v>21</v>
      </c>
      <c r="N6063" s="24" t="s">
        <v>21</v>
      </c>
      <c r="O6063" s="24" t="s">
        <v>21</v>
      </c>
      <c r="P6063" s="24" t="s">
        <v>21</v>
      </c>
      <c r="Q6063" s="24" t="s">
        <v>21</v>
      </c>
      <c r="R6063" s="24" t="s">
        <v>21</v>
      </c>
      <c r="S6063" s="24" t="s">
        <v>21</v>
      </c>
    </row>
    <row r="6064" spans="1:19" x14ac:dyDescent="0.2">
      <c r="A6064" s="12">
        <v>45987</v>
      </c>
      <c r="B6064" s="5" t="s">
        <v>10</v>
      </c>
      <c r="C6064" s="6">
        <v>0.625</v>
      </c>
      <c r="D6064" s="5">
        <v>2</v>
      </c>
      <c r="E6064" s="5">
        <v>0</v>
      </c>
      <c r="F6064" s="5" t="s">
        <v>8</v>
      </c>
      <c r="G6064" s="15" t="s">
        <v>9</v>
      </c>
      <c r="H6064" s="24">
        <v>75.99999999627471</v>
      </c>
      <c r="I6064" s="24" t="s">
        <v>21</v>
      </c>
      <c r="J6064" s="24">
        <v>75.99999999627471</v>
      </c>
      <c r="K6064" s="24" t="s">
        <v>21</v>
      </c>
      <c r="L6064" s="24" t="s">
        <v>21</v>
      </c>
      <c r="M6064" s="24" t="s">
        <v>21</v>
      </c>
      <c r="N6064" s="24" t="s">
        <v>21</v>
      </c>
      <c r="O6064" s="24" t="s">
        <v>21</v>
      </c>
      <c r="P6064" s="24" t="s">
        <v>21</v>
      </c>
      <c r="Q6064" s="24" t="s">
        <v>21</v>
      </c>
      <c r="R6064" s="24" t="s">
        <v>21</v>
      </c>
      <c r="S6064" s="24" t="s">
        <v>21</v>
      </c>
    </row>
    <row r="6065" spans="1:19" x14ac:dyDescent="0.2">
      <c r="A6065" s="12">
        <v>45987</v>
      </c>
      <c r="B6065" s="5" t="s">
        <v>10</v>
      </c>
      <c r="C6065" s="6">
        <v>0.625</v>
      </c>
      <c r="D6065" s="5">
        <v>3</v>
      </c>
      <c r="E6065" s="5">
        <v>0</v>
      </c>
      <c r="F6065" s="5" t="s">
        <v>8</v>
      </c>
      <c r="G6065" s="15" t="s">
        <v>9</v>
      </c>
      <c r="H6065" s="24">
        <v>0</v>
      </c>
      <c r="I6065" s="24" t="s">
        <v>21</v>
      </c>
      <c r="J6065" s="24">
        <v>0</v>
      </c>
      <c r="K6065" s="24" t="s">
        <v>21</v>
      </c>
      <c r="L6065" s="24" t="s">
        <v>21</v>
      </c>
      <c r="M6065" s="24" t="s">
        <v>21</v>
      </c>
      <c r="N6065" s="24" t="s">
        <v>21</v>
      </c>
      <c r="O6065" s="24" t="s">
        <v>21</v>
      </c>
      <c r="P6065" s="24" t="s">
        <v>21</v>
      </c>
      <c r="Q6065" s="24" t="s">
        <v>21</v>
      </c>
      <c r="R6065" s="24" t="s">
        <v>21</v>
      </c>
      <c r="S6065" s="24" t="s">
        <v>21</v>
      </c>
    </row>
    <row r="6066" spans="1:19" x14ac:dyDescent="0.2">
      <c r="A6066" s="12">
        <v>45987</v>
      </c>
      <c r="B6066" s="5" t="s">
        <v>10</v>
      </c>
      <c r="C6066" s="6">
        <v>0.625</v>
      </c>
      <c r="D6066" s="5">
        <v>2</v>
      </c>
      <c r="E6066" s="5">
        <v>0</v>
      </c>
      <c r="F6066" s="5" t="s">
        <v>8</v>
      </c>
      <c r="G6066" s="15" t="s">
        <v>9</v>
      </c>
      <c r="H6066" s="24">
        <v>0</v>
      </c>
      <c r="I6066" s="24" t="s">
        <v>21</v>
      </c>
      <c r="J6066" s="24">
        <v>0</v>
      </c>
      <c r="K6066" s="24" t="s">
        <v>21</v>
      </c>
      <c r="L6066" s="24" t="s">
        <v>21</v>
      </c>
      <c r="M6066" s="24" t="s">
        <v>21</v>
      </c>
      <c r="N6066" s="24" t="s">
        <v>21</v>
      </c>
      <c r="O6066" s="24" t="s">
        <v>21</v>
      </c>
      <c r="P6066" s="24" t="s">
        <v>21</v>
      </c>
      <c r="Q6066" s="24" t="s">
        <v>21</v>
      </c>
      <c r="R6066" s="24" t="s">
        <v>21</v>
      </c>
      <c r="S6066" s="24" t="s">
        <v>21</v>
      </c>
    </row>
    <row r="6067" spans="1:19" x14ac:dyDescent="0.2">
      <c r="A6067" s="12">
        <v>45987</v>
      </c>
      <c r="B6067" s="5" t="s">
        <v>10</v>
      </c>
      <c r="C6067" s="6">
        <v>0.625</v>
      </c>
      <c r="D6067" s="5">
        <v>1</v>
      </c>
      <c r="E6067" s="5">
        <v>0</v>
      </c>
      <c r="F6067" s="5" t="s">
        <v>8</v>
      </c>
      <c r="G6067" s="15" t="s">
        <v>9</v>
      </c>
      <c r="H6067" s="24">
        <v>0</v>
      </c>
      <c r="I6067" s="24" t="s">
        <v>21</v>
      </c>
      <c r="J6067" s="24">
        <v>0</v>
      </c>
      <c r="K6067" s="24" t="s">
        <v>21</v>
      </c>
      <c r="L6067" s="24" t="s">
        <v>21</v>
      </c>
      <c r="M6067" s="24" t="s">
        <v>21</v>
      </c>
      <c r="N6067" s="24" t="s">
        <v>21</v>
      </c>
      <c r="O6067" s="24" t="s">
        <v>21</v>
      </c>
      <c r="P6067" s="24" t="s">
        <v>21</v>
      </c>
      <c r="Q6067" s="24" t="s">
        <v>21</v>
      </c>
      <c r="R6067" s="24" t="s">
        <v>21</v>
      </c>
      <c r="S6067" s="24" t="s">
        <v>21</v>
      </c>
    </row>
    <row r="6068" spans="1:19" x14ac:dyDescent="0.2">
      <c r="A6068" s="12">
        <v>45987</v>
      </c>
      <c r="B6068" s="5" t="s">
        <v>10</v>
      </c>
      <c r="C6068" s="6">
        <v>0.62569444444444444</v>
      </c>
      <c r="D6068" s="5">
        <v>2</v>
      </c>
      <c r="E6068" s="5">
        <v>0</v>
      </c>
      <c r="F6068" s="5" t="s">
        <v>8</v>
      </c>
      <c r="G6068" s="15" t="s">
        <v>9</v>
      </c>
      <c r="H6068" s="24">
        <v>1.000000003259629</v>
      </c>
      <c r="I6068" s="24" t="s">
        <v>21</v>
      </c>
      <c r="J6068" s="24">
        <v>1.000000003259629</v>
      </c>
      <c r="K6068" s="24" t="s">
        <v>21</v>
      </c>
      <c r="L6068" s="24" t="s">
        <v>21</v>
      </c>
      <c r="M6068" s="24" t="s">
        <v>21</v>
      </c>
      <c r="N6068" s="24" t="s">
        <v>21</v>
      </c>
      <c r="O6068" s="24" t="s">
        <v>21</v>
      </c>
      <c r="P6068" s="24" t="s">
        <v>21</v>
      </c>
      <c r="Q6068" s="24" t="s">
        <v>21</v>
      </c>
      <c r="R6068" s="24" t="s">
        <v>21</v>
      </c>
      <c r="S6068" s="24" t="s">
        <v>21</v>
      </c>
    </row>
    <row r="6069" spans="1:19" x14ac:dyDescent="0.2">
      <c r="A6069" s="12">
        <v>45987</v>
      </c>
      <c r="B6069" s="5" t="s">
        <v>10</v>
      </c>
      <c r="C6069" s="6">
        <v>0.62569444444444444</v>
      </c>
      <c r="D6069" s="5">
        <v>2</v>
      </c>
      <c r="E6069" s="5">
        <v>0</v>
      </c>
      <c r="F6069" s="5" t="s">
        <v>8</v>
      </c>
      <c r="G6069" s="15" t="s">
        <v>9</v>
      </c>
      <c r="H6069" s="24">
        <v>0</v>
      </c>
      <c r="I6069" s="24" t="s">
        <v>21</v>
      </c>
      <c r="J6069" s="24">
        <v>0</v>
      </c>
      <c r="K6069" s="24" t="s">
        <v>21</v>
      </c>
      <c r="L6069" s="24" t="s">
        <v>21</v>
      </c>
      <c r="M6069" s="24" t="s">
        <v>21</v>
      </c>
      <c r="N6069" s="24" t="s">
        <v>21</v>
      </c>
      <c r="O6069" s="24" t="s">
        <v>21</v>
      </c>
      <c r="P6069" s="24" t="s">
        <v>21</v>
      </c>
      <c r="Q6069" s="24" t="s">
        <v>21</v>
      </c>
      <c r="R6069" s="24" t="s">
        <v>21</v>
      </c>
      <c r="S6069" s="24" t="s">
        <v>21</v>
      </c>
    </row>
    <row r="6070" spans="1:19" x14ac:dyDescent="0.2">
      <c r="A6070" s="12">
        <v>45987</v>
      </c>
      <c r="B6070" s="5" t="s">
        <v>10</v>
      </c>
      <c r="C6070" s="6">
        <v>0.62569444444444444</v>
      </c>
      <c r="D6070" s="5">
        <v>1</v>
      </c>
      <c r="E6070" s="5">
        <v>0</v>
      </c>
      <c r="F6070" s="5" t="s">
        <v>8</v>
      </c>
      <c r="G6070" s="15" t="s">
        <v>9</v>
      </c>
      <c r="H6070" s="24">
        <v>0</v>
      </c>
      <c r="I6070" s="24" t="s">
        <v>21</v>
      </c>
      <c r="J6070" s="24">
        <v>0</v>
      </c>
      <c r="K6070" s="24" t="s">
        <v>21</v>
      </c>
      <c r="L6070" s="24" t="s">
        <v>21</v>
      </c>
      <c r="M6070" s="24" t="s">
        <v>21</v>
      </c>
      <c r="N6070" s="24" t="s">
        <v>21</v>
      </c>
      <c r="O6070" s="24" t="s">
        <v>21</v>
      </c>
      <c r="P6070" s="24" t="s">
        <v>21</v>
      </c>
      <c r="Q6070" s="24" t="s">
        <v>21</v>
      </c>
      <c r="R6070" s="24" t="s">
        <v>21</v>
      </c>
      <c r="S6070" s="24" t="s">
        <v>21</v>
      </c>
    </row>
    <row r="6071" spans="1:19" x14ac:dyDescent="0.2">
      <c r="A6071" s="12">
        <v>45987</v>
      </c>
      <c r="B6071" s="5" t="s">
        <v>10</v>
      </c>
      <c r="C6071" s="6">
        <v>0.62847222222222221</v>
      </c>
      <c r="D6071" s="5">
        <v>2</v>
      </c>
      <c r="E6071" s="5">
        <v>0</v>
      </c>
      <c r="F6071" s="5" t="s">
        <v>8</v>
      </c>
      <c r="G6071" s="15" t="s">
        <v>9</v>
      </c>
      <c r="H6071" s="24">
        <v>3.9999999920837581</v>
      </c>
      <c r="I6071" s="24" t="s">
        <v>21</v>
      </c>
      <c r="J6071" s="24">
        <v>3.9999999920837581</v>
      </c>
      <c r="K6071" s="24" t="s">
        <v>21</v>
      </c>
      <c r="L6071" s="24" t="s">
        <v>21</v>
      </c>
      <c r="M6071" s="24" t="s">
        <v>21</v>
      </c>
      <c r="N6071" s="24" t="s">
        <v>21</v>
      </c>
      <c r="O6071" s="24" t="s">
        <v>21</v>
      </c>
      <c r="P6071" s="24" t="s">
        <v>21</v>
      </c>
      <c r="Q6071" s="24" t="s">
        <v>21</v>
      </c>
      <c r="R6071" s="24" t="s">
        <v>21</v>
      </c>
      <c r="S6071" s="24" t="s">
        <v>21</v>
      </c>
    </row>
    <row r="6072" spans="1:19" x14ac:dyDescent="0.2">
      <c r="A6072" s="12">
        <v>45987</v>
      </c>
      <c r="B6072" s="5" t="s">
        <v>10</v>
      </c>
      <c r="C6072" s="6">
        <v>0.62847222222222221</v>
      </c>
      <c r="D6072" s="5">
        <v>1</v>
      </c>
      <c r="E6072" s="5">
        <v>0</v>
      </c>
      <c r="F6072" s="5" t="s">
        <v>8</v>
      </c>
      <c r="G6072" s="15" t="s">
        <v>9</v>
      </c>
      <c r="H6072" s="24">
        <v>0</v>
      </c>
      <c r="I6072" s="24" t="s">
        <v>21</v>
      </c>
      <c r="J6072" s="24">
        <v>0</v>
      </c>
      <c r="K6072" s="24" t="s">
        <v>21</v>
      </c>
      <c r="L6072" s="24" t="s">
        <v>21</v>
      </c>
      <c r="M6072" s="24" t="s">
        <v>21</v>
      </c>
      <c r="N6072" s="24" t="s">
        <v>21</v>
      </c>
      <c r="O6072" s="24" t="s">
        <v>21</v>
      </c>
      <c r="P6072" s="24" t="s">
        <v>21</v>
      </c>
      <c r="Q6072" s="24" t="s">
        <v>21</v>
      </c>
      <c r="R6072" s="24" t="s">
        <v>21</v>
      </c>
      <c r="S6072" s="24" t="s">
        <v>21</v>
      </c>
    </row>
    <row r="6073" spans="1:19" x14ac:dyDescent="0.2">
      <c r="A6073" s="12">
        <v>45987</v>
      </c>
      <c r="B6073" s="5" t="s">
        <v>10</v>
      </c>
      <c r="C6073" s="6">
        <v>0.62847222222222221</v>
      </c>
      <c r="D6073" s="5">
        <v>1</v>
      </c>
      <c r="E6073" s="5">
        <v>0</v>
      </c>
      <c r="F6073" s="5" t="s">
        <v>8</v>
      </c>
      <c r="G6073" s="15" t="s">
        <v>9</v>
      </c>
      <c r="H6073" s="24">
        <v>0</v>
      </c>
      <c r="I6073" s="24" t="s">
        <v>21</v>
      </c>
      <c r="J6073" s="24">
        <v>0</v>
      </c>
      <c r="K6073" s="24" t="s">
        <v>21</v>
      </c>
      <c r="L6073" s="24" t="s">
        <v>21</v>
      </c>
      <c r="M6073" s="24" t="s">
        <v>21</v>
      </c>
      <c r="N6073" s="24" t="s">
        <v>21</v>
      </c>
      <c r="O6073" s="24" t="s">
        <v>21</v>
      </c>
      <c r="P6073" s="24" t="s">
        <v>21</v>
      </c>
      <c r="Q6073" s="24" t="s">
        <v>21</v>
      </c>
      <c r="R6073" s="24" t="s">
        <v>21</v>
      </c>
      <c r="S6073" s="24" t="s">
        <v>21</v>
      </c>
    </row>
    <row r="6074" spans="1:19" x14ac:dyDescent="0.2">
      <c r="A6074" s="12">
        <v>45987</v>
      </c>
      <c r="B6074" s="5" t="s">
        <v>10</v>
      </c>
      <c r="C6074" s="6">
        <v>0.62916666666666665</v>
      </c>
      <c r="D6074" s="5">
        <v>0</v>
      </c>
      <c r="E6074" s="5">
        <v>0</v>
      </c>
      <c r="F6074" s="5" t="s">
        <v>8</v>
      </c>
      <c r="G6074" s="15" t="s">
        <v>9</v>
      </c>
      <c r="H6074" s="24">
        <v>1.000000003259629</v>
      </c>
      <c r="I6074" s="24" t="s">
        <v>21</v>
      </c>
      <c r="J6074" s="24">
        <v>1.000000003259629</v>
      </c>
      <c r="K6074" s="24" t="s">
        <v>21</v>
      </c>
      <c r="L6074" s="24" t="s">
        <v>21</v>
      </c>
      <c r="M6074" s="24" t="s">
        <v>21</v>
      </c>
      <c r="N6074" s="24" t="s">
        <v>21</v>
      </c>
      <c r="O6074" s="24" t="s">
        <v>21</v>
      </c>
      <c r="P6074" s="24" t="s">
        <v>21</v>
      </c>
      <c r="Q6074" s="24" t="s">
        <v>21</v>
      </c>
      <c r="R6074" s="24" t="s">
        <v>21</v>
      </c>
      <c r="S6074" s="24" t="s">
        <v>21</v>
      </c>
    </row>
    <row r="6075" spans="1:19" x14ac:dyDescent="0.2">
      <c r="A6075" s="12">
        <v>45987</v>
      </c>
      <c r="B6075" s="5" t="s">
        <v>10</v>
      </c>
      <c r="C6075" s="6">
        <v>0.62916666666666665</v>
      </c>
      <c r="D6075" s="5">
        <v>2</v>
      </c>
      <c r="E6075" s="5">
        <v>0</v>
      </c>
      <c r="F6075" s="5" t="s">
        <v>8</v>
      </c>
      <c r="G6075" s="15" t="s">
        <v>9</v>
      </c>
      <c r="H6075" s="24">
        <v>0</v>
      </c>
      <c r="I6075" s="24" t="s">
        <v>21</v>
      </c>
      <c r="J6075" s="24">
        <v>0</v>
      </c>
      <c r="K6075" s="24" t="s">
        <v>21</v>
      </c>
      <c r="L6075" s="24" t="s">
        <v>21</v>
      </c>
      <c r="M6075" s="24" t="s">
        <v>21</v>
      </c>
      <c r="N6075" s="24" t="s">
        <v>21</v>
      </c>
      <c r="O6075" s="24" t="s">
        <v>21</v>
      </c>
      <c r="P6075" s="24" t="s">
        <v>21</v>
      </c>
      <c r="Q6075" s="24" t="s">
        <v>21</v>
      </c>
      <c r="R6075" s="24" t="s">
        <v>21</v>
      </c>
      <c r="S6075" s="24" t="s">
        <v>21</v>
      </c>
    </row>
    <row r="6076" spans="1:19" x14ac:dyDescent="0.2">
      <c r="A6076" s="12">
        <v>45987</v>
      </c>
      <c r="B6076" s="5" t="s">
        <v>10</v>
      </c>
      <c r="C6076" s="6">
        <v>0.62916666666666665</v>
      </c>
      <c r="D6076" s="5">
        <v>2</v>
      </c>
      <c r="E6076" s="5">
        <v>0</v>
      </c>
      <c r="F6076" s="5" t="s">
        <v>8</v>
      </c>
      <c r="G6076" s="15" t="s">
        <v>9</v>
      </c>
      <c r="H6076" s="24">
        <v>0</v>
      </c>
      <c r="I6076" s="24" t="s">
        <v>21</v>
      </c>
      <c r="J6076" s="24">
        <v>0</v>
      </c>
      <c r="K6076" s="24" t="s">
        <v>21</v>
      </c>
      <c r="L6076" s="24" t="s">
        <v>21</v>
      </c>
      <c r="M6076" s="24" t="s">
        <v>21</v>
      </c>
      <c r="N6076" s="24" t="s">
        <v>21</v>
      </c>
      <c r="O6076" s="24" t="s">
        <v>21</v>
      </c>
      <c r="P6076" s="24" t="s">
        <v>21</v>
      </c>
      <c r="Q6076" s="24" t="s">
        <v>21</v>
      </c>
      <c r="R6076" s="24" t="s">
        <v>21</v>
      </c>
      <c r="S6076" s="24" t="s">
        <v>21</v>
      </c>
    </row>
    <row r="6077" spans="1:19" x14ac:dyDescent="0.2">
      <c r="A6077" s="12">
        <v>45987</v>
      </c>
      <c r="B6077" s="5" t="s">
        <v>10</v>
      </c>
      <c r="C6077" s="6">
        <v>0.62986111111111109</v>
      </c>
      <c r="D6077" s="5">
        <v>2</v>
      </c>
      <c r="E6077" s="5">
        <v>0</v>
      </c>
      <c r="F6077" s="5" t="s">
        <v>8</v>
      </c>
      <c r="G6077" s="15" t="s">
        <v>9</v>
      </c>
      <c r="H6077" s="24">
        <v>1.000000003259629</v>
      </c>
      <c r="I6077" s="24" t="s">
        <v>21</v>
      </c>
      <c r="J6077" s="24">
        <v>1.000000003259629</v>
      </c>
      <c r="K6077" s="24" t="s">
        <v>21</v>
      </c>
      <c r="L6077" s="24" t="s">
        <v>21</v>
      </c>
      <c r="M6077" s="24" t="s">
        <v>21</v>
      </c>
      <c r="N6077" s="24" t="s">
        <v>21</v>
      </c>
      <c r="O6077" s="24" t="s">
        <v>21</v>
      </c>
      <c r="P6077" s="24" t="s">
        <v>21</v>
      </c>
      <c r="Q6077" s="24" t="s">
        <v>21</v>
      </c>
      <c r="R6077" s="24" t="s">
        <v>21</v>
      </c>
      <c r="S6077" s="24" t="s">
        <v>21</v>
      </c>
    </row>
    <row r="6078" spans="1:19" x14ac:dyDescent="0.2">
      <c r="A6078" s="12">
        <v>45987</v>
      </c>
      <c r="B6078" s="5" t="s">
        <v>10</v>
      </c>
      <c r="C6078" s="6">
        <v>0.62986111111111109</v>
      </c>
      <c r="D6078" s="5">
        <v>1</v>
      </c>
      <c r="E6078" s="5">
        <v>0</v>
      </c>
      <c r="F6078" s="5" t="s">
        <v>8</v>
      </c>
      <c r="G6078" s="15" t="s">
        <v>9</v>
      </c>
      <c r="H6078" s="24">
        <v>0</v>
      </c>
      <c r="I6078" s="24" t="s">
        <v>21</v>
      </c>
      <c r="J6078" s="24">
        <v>0</v>
      </c>
      <c r="K6078" s="24" t="s">
        <v>21</v>
      </c>
      <c r="L6078" s="24" t="s">
        <v>21</v>
      </c>
      <c r="M6078" s="24" t="s">
        <v>21</v>
      </c>
      <c r="N6078" s="24" t="s">
        <v>21</v>
      </c>
      <c r="O6078" s="24" t="s">
        <v>21</v>
      </c>
      <c r="P6078" s="24" t="s">
        <v>21</v>
      </c>
      <c r="Q6078" s="24" t="s">
        <v>21</v>
      </c>
      <c r="R6078" s="24" t="s">
        <v>21</v>
      </c>
      <c r="S6078" s="24" t="s">
        <v>21</v>
      </c>
    </row>
    <row r="6079" spans="1:19" x14ac:dyDescent="0.2">
      <c r="A6079" s="12">
        <v>45987</v>
      </c>
      <c r="B6079" s="5" t="s">
        <v>10</v>
      </c>
      <c r="C6079" s="6">
        <v>0.62986111111111109</v>
      </c>
      <c r="D6079" s="5">
        <v>4</v>
      </c>
      <c r="E6079" s="5">
        <v>0</v>
      </c>
      <c r="F6079" s="5" t="s">
        <v>8</v>
      </c>
      <c r="G6079" s="15" t="s">
        <v>9</v>
      </c>
      <c r="H6079" s="24">
        <v>0</v>
      </c>
      <c r="I6079" s="24" t="s">
        <v>21</v>
      </c>
      <c r="J6079" s="24">
        <v>0</v>
      </c>
      <c r="K6079" s="24" t="s">
        <v>21</v>
      </c>
      <c r="L6079" s="24" t="s">
        <v>21</v>
      </c>
      <c r="M6079" s="24" t="s">
        <v>21</v>
      </c>
      <c r="N6079" s="24" t="s">
        <v>21</v>
      </c>
      <c r="O6079" s="24" t="s">
        <v>21</v>
      </c>
      <c r="P6079" s="24" t="s">
        <v>21</v>
      </c>
      <c r="Q6079" s="24" t="s">
        <v>21</v>
      </c>
      <c r="R6079" s="24" t="s">
        <v>21</v>
      </c>
      <c r="S6079" s="24" t="s">
        <v>21</v>
      </c>
    </row>
    <row r="6080" spans="1:19" x14ac:dyDescent="0.2">
      <c r="A6080" s="12">
        <v>45987</v>
      </c>
      <c r="B6080" s="5" t="s">
        <v>10</v>
      </c>
      <c r="C6080" s="6">
        <v>0.62986111111111109</v>
      </c>
      <c r="D6080" s="5">
        <v>3</v>
      </c>
      <c r="E6080" s="5">
        <v>0</v>
      </c>
      <c r="F6080" s="5" t="s">
        <v>8</v>
      </c>
      <c r="G6080" s="15" t="s">
        <v>9</v>
      </c>
      <c r="H6080" s="24">
        <v>0</v>
      </c>
      <c r="I6080" s="24" t="s">
        <v>21</v>
      </c>
      <c r="J6080" s="24">
        <v>0</v>
      </c>
      <c r="K6080" s="24" t="s">
        <v>21</v>
      </c>
      <c r="L6080" s="24" t="s">
        <v>21</v>
      </c>
      <c r="M6080" s="24" t="s">
        <v>21</v>
      </c>
      <c r="N6080" s="24" t="s">
        <v>21</v>
      </c>
      <c r="O6080" s="24" t="s">
        <v>21</v>
      </c>
      <c r="P6080" s="24" t="s">
        <v>21</v>
      </c>
      <c r="Q6080" s="24" t="s">
        <v>21</v>
      </c>
      <c r="R6080" s="24" t="s">
        <v>21</v>
      </c>
      <c r="S6080" s="24" t="s">
        <v>21</v>
      </c>
    </row>
    <row r="6081" spans="1:19" x14ac:dyDescent="0.2">
      <c r="A6081" s="12">
        <v>45987</v>
      </c>
      <c r="B6081" s="5" t="s">
        <v>10</v>
      </c>
      <c r="C6081" s="6">
        <v>0.63055555555555554</v>
      </c>
      <c r="D6081" s="5">
        <v>2</v>
      </c>
      <c r="E6081" s="5">
        <v>0</v>
      </c>
      <c r="F6081" s="5" t="s">
        <v>8</v>
      </c>
      <c r="G6081" s="15" t="s">
        <v>9</v>
      </c>
      <c r="H6081" s="24">
        <v>1.000000003259629</v>
      </c>
      <c r="I6081" s="24" t="s">
        <v>21</v>
      </c>
      <c r="J6081" s="24">
        <v>1.000000003259629</v>
      </c>
      <c r="K6081" s="24" t="s">
        <v>21</v>
      </c>
      <c r="L6081" s="24" t="s">
        <v>21</v>
      </c>
      <c r="M6081" s="24" t="s">
        <v>21</v>
      </c>
      <c r="N6081" s="24" t="s">
        <v>21</v>
      </c>
      <c r="O6081" s="24" t="s">
        <v>21</v>
      </c>
      <c r="P6081" s="24" t="s">
        <v>21</v>
      </c>
      <c r="Q6081" s="24" t="s">
        <v>21</v>
      </c>
      <c r="R6081" s="24" t="s">
        <v>21</v>
      </c>
      <c r="S6081" s="24" t="s">
        <v>21</v>
      </c>
    </row>
    <row r="6082" spans="1:19" x14ac:dyDescent="0.2">
      <c r="A6082" s="12">
        <v>45987</v>
      </c>
      <c r="B6082" s="5" t="s">
        <v>10</v>
      </c>
      <c r="C6082" s="6">
        <v>0.63124999999999998</v>
      </c>
      <c r="D6082" s="5">
        <v>3</v>
      </c>
      <c r="E6082" s="5">
        <v>0</v>
      </c>
      <c r="F6082" s="5" t="s">
        <v>8</v>
      </c>
      <c r="G6082" s="15" t="s">
        <v>9</v>
      </c>
      <c r="H6082" s="24">
        <v>0.99999999278225005</v>
      </c>
      <c r="I6082" s="24" t="s">
        <v>21</v>
      </c>
      <c r="J6082" s="24">
        <v>0.99999999278225005</v>
      </c>
      <c r="K6082" s="24" t="s">
        <v>21</v>
      </c>
      <c r="L6082" s="24" t="s">
        <v>21</v>
      </c>
      <c r="M6082" s="24" t="s">
        <v>21</v>
      </c>
      <c r="N6082" s="24" t="s">
        <v>21</v>
      </c>
      <c r="O6082" s="24" t="s">
        <v>21</v>
      </c>
      <c r="P6082" s="24" t="s">
        <v>21</v>
      </c>
      <c r="Q6082" s="24" t="s">
        <v>21</v>
      </c>
      <c r="R6082" s="24" t="s">
        <v>21</v>
      </c>
      <c r="S6082" s="24" t="s">
        <v>21</v>
      </c>
    </row>
    <row r="6083" spans="1:19" x14ac:dyDescent="0.2">
      <c r="A6083" s="12">
        <v>45987</v>
      </c>
      <c r="B6083" s="5" t="s">
        <v>10</v>
      </c>
      <c r="C6083" s="6">
        <v>0.63194444444444442</v>
      </c>
      <c r="D6083" s="5">
        <v>3</v>
      </c>
      <c r="E6083" s="5">
        <v>0</v>
      </c>
      <c r="F6083" s="5" t="s">
        <v>8</v>
      </c>
      <c r="G6083" s="15" t="s">
        <v>9</v>
      </c>
      <c r="H6083" s="24">
        <v>1.000000003259629</v>
      </c>
      <c r="I6083" s="24" t="s">
        <v>21</v>
      </c>
      <c r="J6083" s="24">
        <v>1.000000003259629</v>
      </c>
      <c r="K6083" s="24" t="s">
        <v>21</v>
      </c>
      <c r="L6083" s="24" t="s">
        <v>21</v>
      </c>
      <c r="M6083" s="24" t="s">
        <v>21</v>
      </c>
      <c r="N6083" s="24" t="s">
        <v>21</v>
      </c>
      <c r="O6083" s="24" t="s">
        <v>21</v>
      </c>
      <c r="P6083" s="24" t="s">
        <v>21</v>
      </c>
      <c r="Q6083" s="24" t="s">
        <v>21</v>
      </c>
      <c r="R6083" s="24" t="s">
        <v>21</v>
      </c>
      <c r="S6083" s="24" t="s">
        <v>21</v>
      </c>
    </row>
    <row r="6084" spans="1:19" x14ac:dyDescent="0.2">
      <c r="A6084" s="12">
        <v>45987</v>
      </c>
      <c r="B6084" s="5" t="s">
        <v>20</v>
      </c>
      <c r="C6084" s="6">
        <v>0.70138888888888884</v>
      </c>
      <c r="D6084" s="5">
        <v>0</v>
      </c>
      <c r="E6084" s="5">
        <v>7</v>
      </c>
      <c r="F6084" s="5" t="s">
        <v>8</v>
      </c>
      <c r="G6084" s="15" t="s">
        <v>9</v>
      </c>
      <c r="H6084" s="24">
        <v>100.00000000116415</v>
      </c>
      <c r="I6084" s="24" t="s">
        <v>21</v>
      </c>
      <c r="J6084" s="24" t="s">
        <v>21</v>
      </c>
      <c r="K6084" s="24" t="s">
        <v>21</v>
      </c>
      <c r="L6084" s="24" t="s">
        <v>21</v>
      </c>
      <c r="M6084" s="24" t="s">
        <v>21</v>
      </c>
      <c r="N6084" s="24" t="s">
        <v>21</v>
      </c>
      <c r="O6084" s="24">
        <v>226.00000000325963</v>
      </c>
      <c r="P6084" s="24" t="s">
        <v>21</v>
      </c>
      <c r="Q6084" s="24" t="s">
        <v>21</v>
      </c>
      <c r="R6084" s="24" t="s">
        <v>21</v>
      </c>
      <c r="S6084" s="24" t="s">
        <v>21</v>
      </c>
    </row>
    <row r="6085" spans="1:19" x14ac:dyDescent="0.2">
      <c r="A6085" s="12">
        <v>45987</v>
      </c>
      <c r="B6085" s="5" t="s">
        <v>20</v>
      </c>
      <c r="C6085" s="6">
        <v>0.70138888888888884</v>
      </c>
      <c r="D6085" s="5">
        <v>0</v>
      </c>
      <c r="E6085" s="5">
        <v>22</v>
      </c>
      <c r="F6085" s="5" t="s">
        <v>8</v>
      </c>
      <c r="G6085" s="15" t="s">
        <v>9</v>
      </c>
      <c r="H6085" s="24">
        <v>0</v>
      </c>
      <c r="I6085" s="24" t="s">
        <v>21</v>
      </c>
      <c r="J6085" s="24" t="s">
        <v>21</v>
      </c>
      <c r="K6085" s="24" t="s">
        <v>21</v>
      </c>
      <c r="L6085" s="24" t="s">
        <v>21</v>
      </c>
      <c r="M6085" s="24" t="s">
        <v>21</v>
      </c>
      <c r="N6085" s="24" t="s">
        <v>21</v>
      </c>
      <c r="O6085" s="24">
        <v>0</v>
      </c>
      <c r="P6085" s="24" t="s">
        <v>21</v>
      </c>
      <c r="Q6085" s="24" t="s">
        <v>21</v>
      </c>
      <c r="R6085" s="24" t="s">
        <v>21</v>
      </c>
      <c r="S6085" s="24" t="s">
        <v>21</v>
      </c>
    </row>
    <row r="6086" spans="1:19" x14ac:dyDescent="0.2">
      <c r="A6086" s="12">
        <v>45987</v>
      </c>
      <c r="B6086" s="5" t="s">
        <v>20</v>
      </c>
      <c r="C6086" s="6">
        <v>0.70208333333333328</v>
      </c>
      <c r="D6086" s="5">
        <v>0</v>
      </c>
      <c r="E6086" s="5">
        <v>18</v>
      </c>
      <c r="F6086" s="5" t="s">
        <v>8</v>
      </c>
      <c r="G6086" s="15" t="s">
        <v>9</v>
      </c>
      <c r="H6086" s="24">
        <v>0.99999999278225005</v>
      </c>
      <c r="I6086" s="24" t="s">
        <v>21</v>
      </c>
      <c r="J6086" s="24" t="s">
        <v>21</v>
      </c>
      <c r="K6086" s="24" t="s">
        <v>21</v>
      </c>
      <c r="L6086" s="24" t="s">
        <v>21</v>
      </c>
      <c r="M6086" s="24" t="s">
        <v>21</v>
      </c>
      <c r="N6086" s="24" t="s">
        <v>21</v>
      </c>
      <c r="O6086" s="24">
        <v>0.99999999278225005</v>
      </c>
      <c r="P6086" s="24" t="s">
        <v>21</v>
      </c>
      <c r="Q6086" s="24" t="s">
        <v>21</v>
      </c>
      <c r="R6086" s="24" t="s">
        <v>21</v>
      </c>
      <c r="S6086" s="24" t="s">
        <v>21</v>
      </c>
    </row>
    <row r="6087" spans="1:19" x14ac:dyDescent="0.2">
      <c r="A6087" s="12">
        <v>45987</v>
      </c>
      <c r="B6087" s="5" t="s">
        <v>20</v>
      </c>
      <c r="C6087" s="6">
        <v>0.70277777777777772</v>
      </c>
      <c r="D6087" s="5">
        <v>0</v>
      </c>
      <c r="E6087" s="5">
        <v>11</v>
      </c>
      <c r="F6087" s="5" t="s">
        <v>8</v>
      </c>
      <c r="G6087" s="15" t="s">
        <v>9</v>
      </c>
      <c r="H6087" s="24">
        <v>1.000000003259629</v>
      </c>
      <c r="I6087" s="24" t="s">
        <v>21</v>
      </c>
      <c r="J6087" s="24" t="s">
        <v>21</v>
      </c>
      <c r="K6087" s="24" t="s">
        <v>21</v>
      </c>
      <c r="L6087" s="24" t="s">
        <v>21</v>
      </c>
      <c r="M6087" s="24" t="s">
        <v>21</v>
      </c>
      <c r="N6087" s="24" t="s">
        <v>21</v>
      </c>
      <c r="O6087" s="24">
        <v>1.000000003259629</v>
      </c>
      <c r="P6087" s="24" t="s">
        <v>21</v>
      </c>
      <c r="Q6087" s="24" t="s">
        <v>21</v>
      </c>
      <c r="R6087" s="24" t="s">
        <v>21</v>
      </c>
      <c r="S6087" s="24" t="s">
        <v>21</v>
      </c>
    </row>
    <row r="6088" spans="1:19" x14ac:dyDescent="0.2">
      <c r="A6088" s="12">
        <v>45987</v>
      </c>
      <c r="B6088" s="5" t="s">
        <v>20</v>
      </c>
      <c r="C6088" s="6">
        <v>0.70277777777777772</v>
      </c>
      <c r="D6088" s="5">
        <v>9</v>
      </c>
      <c r="E6088" s="5">
        <v>0</v>
      </c>
      <c r="F6088" s="5" t="s">
        <v>8</v>
      </c>
      <c r="G6088" s="15" t="s">
        <v>9</v>
      </c>
      <c r="H6088" s="24">
        <v>0</v>
      </c>
      <c r="I6088" s="24" t="s">
        <v>21</v>
      </c>
      <c r="J6088" s="24" t="s">
        <v>21</v>
      </c>
      <c r="K6088" s="24" t="s">
        <v>21</v>
      </c>
      <c r="L6088" s="24" t="s">
        <v>21</v>
      </c>
      <c r="M6088" s="24" t="s">
        <v>21</v>
      </c>
      <c r="N6088" s="24" t="s">
        <v>21</v>
      </c>
      <c r="O6088" s="24">
        <v>0</v>
      </c>
      <c r="P6088" s="24" t="s">
        <v>21</v>
      </c>
      <c r="Q6088" s="24" t="s">
        <v>21</v>
      </c>
      <c r="R6088" s="24" t="s">
        <v>21</v>
      </c>
      <c r="S6088" s="24" t="s">
        <v>21</v>
      </c>
    </row>
    <row r="6089" spans="1:19" x14ac:dyDescent="0.2">
      <c r="A6089" s="12">
        <v>45987</v>
      </c>
      <c r="B6089" s="5" t="s">
        <v>20</v>
      </c>
      <c r="C6089" s="6">
        <v>0.70277777777777772</v>
      </c>
      <c r="D6089" s="5">
        <v>0</v>
      </c>
      <c r="E6089" s="5">
        <v>0</v>
      </c>
      <c r="F6089" s="5" t="s">
        <v>8</v>
      </c>
      <c r="G6089" s="15" t="s">
        <v>9</v>
      </c>
      <c r="H6089" s="24">
        <v>0</v>
      </c>
      <c r="I6089" s="24" t="s">
        <v>21</v>
      </c>
      <c r="J6089" s="24" t="s">
        <v>21</v>
      </c>
      <c r="K6089" s="24" t="s">
        <v>21</v>
      </c>
      <c r="L6089" s="24" t="s">
        <v>21</v>
      </c>
      <c r="M6089" s="24" t="s">
        <v>21</v>
      </c>
      <c r="N6089" s="24" t="s">
        <v>21</v>
      </c>
      <c r="O6089" s="24">
        <v>0</v>
      </c>
      <c r="P6089" s="24" t="s">
        <v>21</v>
      </c>
      <c r="Q6089" s="24" t="s">
        <v>21</v>
      </c>
      <c r="R6089" s="24" t="s">
        <v>21</v>
      </c>
      <c r="S6089" s="24" t="s">
        <v>21</v>
      </c>
    </row>
    <row r="6090" spans="1:19" x14ac:dyDescent="0.2">
      <c r="A6090" s="12">
        <v>45987</v>
      </c>
      <c r="B6090" s="5" t="s">
        <v>20</v>
      </c>
      <c r="C6090" s="6">
        <v>0.70277777777777772</v>
      </c>
      <c r="D6090" s="5">
        <v>12</v>
      </c>
      <c r="E6090" s="5">
        <v>0</v>
      </c>
      <c r="F6090" s="5" t="s">
        <v>8</v>
      </c>
      <c r="G6090" s="15" t="s">
        <v>9</v>
      </c>
      <c r="H6090" s="24">
        <v>0</v>
      </c>
      <c r="I6090" s="24" t="s">
        <v>21</v>
      </c>
      <c r="J6090" s="24" t="s">
        <v>21</v>
      </c>
      <c r="K6090" s="24" t="s">
        <v>21</v>
      </c>
      <c r="L6090" s="24" t="s">
        <v>21</v>
      </c>
      <c r="M6090" s="24" t="s">
        <v>21</v>
      </c>
      <c r="N6090" s="24" t="s">
        <v>21</v>
      </c>
      <c r="O6090" s="24">
        <v>0</v>
      </c>
      <c r="P6090" s="24" t="s">
        <v>21</v>
      </c>
      <c r="Q6090" s="24" t="s">
        <v>21</v>
      </c>
      <c r="R6090" s="24" t="s">
        <v>21</v>
      </c>
      <c r="S6090" s="24" t="s">
        <v>21</v>
      </c>
    </row>
    <row r="6091" spans="1:19" x14ac:dyDescent="0.2">
      <c r="A6091" s="12">
        <v>45987</v>
      </c>
      <c r="B6091" s="5" t="s">
        <v>20</v>
      </c>
      <c r="C6091" s="6">
        <v>0.70277777777777772</v>
      </c>
      <c r="D6091" s="5">
        <v>0</v>
      </c>
      <c r="E6091" s="5">
        <v>15</v>
      </c>
      <c r="F6091" s="5" t="s">
        <v>8</v>
      </c>
      <c r="G6091" s="15" t="s">
        <v>9</v>
      </c>
      <c r="H6091" s="24">
        <v>0</v>
      </c>
      <c r="I6091" s="24" t="s">
        <v>21</v>
      </c>
      <c r="J6091" s="24" t="s">
        <v>21</v>
      </c>
      <c r="K6091" s="24" t="s">
        <v>21</v>
      </c>
      <c r="L6091" s="24" t="s">
        <v>21</v>
      </c>
      <c r="M6091" s="24" t="s">
        <v>21</v>
      </c>
      <c r="N6091" s="24" t="s">
        <v>21</v>
      </c>
      <c r="O6091" s="24">
        <v>0</v>
      </c>
      <c r="P6091" s="24" t="s">
        <v>21</v>
      </c>
      <c r="Q6091" s="24" t="s">
        <v>21</v>
      </c>
      <c r="R6091" s="24" t="s">
        <v>21</v>
      </c>
      <c r="S6091" s="24" t="s">
        <v>21</v>
      </c>
    </row>
    <row r="6092" spans="1:19" x14ac:dyDescent="0.2">
      <c r="A6092" s="12">
        <v>45987</v>
      </c>
      <c r="B6092" s="5" t="s">
        <v>20</v>
      </c>
      <c r="C6092" s="6">
        <v>0.70277777777777772</v>
      </c>
      <c r="D6092" s="5">
        <v>0</v>
      </c>
      <c r="E6092" s="5">
        <v>0</v>
      </c>
      <c r="F6092" s="5" t="s">
        <v>8</v>
      </c>
      <c r="G6092" s="15" t="s">
        <v>9</v>
      </c>
      <c r="H6092" s="24">
        <v>0</v>
      </c>
      <c r="I6092" s="24" t="s">
        <v>21</v>
      </c>
      <c r="J6092" s="24" t="s">
        <v>21</v>
      </c>
      <c r="K6092" s="24" t="s">
        <v>21</v>
      </c>
      <c r="L6092" s="24" t="s">
        <v>21</v>
      </c>
      <c r="M6092" s="24" t="s">
        <v>21</v>
      </c>
      <c r="N6092" s="24" t="s">
        <v>21</v>
      </c>
      <c r="O6092" s="24">
        <v>0</v>
      </c>
      <c r="P6092" s="24" t="s">
        <v>21</v>
      </c>
      <c r="Q6092" s="24" t="s">
        <v>21</v>
      </c>
      <c r="R6092" s="24" t="s">
        <v>21</v>
      </c>
      <c r="S6092" s="24" t="s">
        <v>21</v>
      </c>
    </row>
    <row r="6093" spans="1:19" x14ac:dyDescent="0.2">
      <c r="A6093" s="12">
        <v>45987</v>
      </c>
      <c r="B6093" s="5" t="s">
        <v>20</v>
      </c>
      <c r="C6093" s="6">
        <v>0.70347222222222228</v>
      </c>
      <c r="D6093" s="5">
        <v>7</v>
      </c>
      <c r="E6093" s="5">
        <v>0</v>
      </c>
      <c r="F6093" s="5" t="s">
        <v>8</v>
      </c>
      <c r="G6093" s="15" t="s">
        <v>9</v>
      </c>
      <c r="H6093" s="24">
        <v>1.000000003259629</v>
      </c>
      <c r="I6093" s="24" t="s">
        <v>21</v>
      </c>
      <c r="J6093" s="24" t="s">
        <v>21</v>
      </c>
      <c r="K6093" s="24" t="s">
        <v>21</v>
      </c>
      <c r="L6093" s="24" t="s">
        <v>21</v>
      </c>
      <c r="M6093" s="24" t="s">
        <v>21</v>
      </c>
      <c r="N6093" s="24" t="s">
        <v>21</v>
      </c>
      <c r="O6093" s="24">
        <v>1.000000003259629</v>
      </c>
      <c r="P6093" s="24" t="s">
        <v>21</v>
      </c>
      <c r="Q6093" s="24" t="s">
        <v>21</v>
      </c>
      <c r="R6093" s="24" t="s">
        <v>21</v>
      </c>
      <c r="S6093" s="24" t="s">
        <v>21</v>
      </c>
    </row>
    <row r="6094" spans="1:19" x14ac:dyDescent="0.2">
      <c r="A6094" s="12">
        <v>45987</v>
      </c>
      <c r="B6094" s="5" t="s">
        <v>20</v>
      </c>
      <c r="C6094" s="6">
        <v>0.70347222222222228</v>
      </c>
      <c r="D6094" s="5">
        <v>0</v>
      </c>
      <c r="E6094" s="5">
        <v>15</v>
      </c>
      <c r="F6094" s="5" t="s">
        <v>8</v>
      </c>
      <c r="G6094" s="15" t="s">
        <v>9</v>
      </c>
      <c r="H6094" s="24">
        <v>0</v>
      </c>
      <c r="I6094" s="24" t="s">
        <v>21</v>
      </c>
      <c r="J6094" s="24" t="s">
        <v>21</v>
      </c>
      <c r="K6094" s="24" t="s">
        <v>21</v>
      </c>
      <c r="L6094" s="24" t="s">
        <v>21</v>
      </c>
      <c r="M6094" s="24" t="s">
        <v>21</v>
      </c>
      <c r="N6094" s="24" t="s">
        <v>21</v>
      </c>
      <c r="O6094" s="24">
        <v>0</v>
      </c>
      <c r="P6094" s="24" t="s">
        <v>21</v>
      </c>
      <c r="Q6094" s="24" t="s">
        <v>21</v>
      </c>
      <c r="R6094" s="24" t="s">
        <v>21</v>
      </c>
      <c r="S6094" s="24" t="s">
        <v>21</v>
      </c>
    </row>
    <row r="6095" spans="1:19" x14ac:dyDescent="0.2">
      <c r="A6095" s="12">
        <v>45987</v>
      </c>
      <c r="B6095" s="5" t="s">
        <v>20</v>
      </c>
      <c r="C6095" s="6">
        <v>0.70347222222222228</v>
      </c>
      <c r="D6095" s="5">
        <v>0</v>
      </c>
      <c r="E6095" s="5">
        <v>0</v>
      </c>
      <c r="F6095" s="5" t="s">
        <v>8</v>
      </c>
      <c r="G6095" s="15" t="s">
        <v>9</v>
      </c>
      <c r="H6095" s="24">
        <v>0</v>
      </c>
      <c r="I6095" s="24" t="s">
        <v>21</v>
      </c>
      <c r="J6095" s="24" t="s">
        <v>21</v>
      </c>
      <c r="K6095" s="24" t="s">
        <v>21</v>
      </c>
      <c r="L6095" s="24" t="s">
        <v>21</v>
      </c>
      <c r="M6095" s="24" t="s">
        <v>21</v>
      </c>
      <c r="N6095" s="24" t="s">
        <v>21</v>
      </c>
      <c r="O6095" s="24">
        <v>0</v>
      </c>
      <c r="P6095" s="24" t="s">
        <v>21</v>
      </c>
      <c r="Q6095" s="24" t="s">
        <v>21</v>
      </c>
      <c r="R6095" s="24" t="s">
        <v>21</v>
      </c>
      <c r="S6095" s="24" t="s">
        <v>21</v>
      </c>
    </row>
    <row r="6096" spans="1:19" x14ac:dyDescent="0.2">
      <c r="A6096" s="12">
        <v>45987</v>
      </c>
      <c r="B6096" s="5" t="s">
        <v>20</v>
      </c>
      <c r="C6096" s="6">
        <v>0.70347222222222228</v>
      </c>
      <c r="D6096" s="5">
        <v>0</v>
      </c>
      <c r="E6096" s="5">
        <v>28</v>
      </c>
      <c r="F6096" s="5" t="s">
        <v>8</v>
      </c>
      <c r="G6096" s="15" t="s">
        <v>9</v>
      </c>
      <c r="H6096" s="24">
        <v>0</v>
      </c>
      <c r="I6096" s="24" t="s">
        <v>21</v>
      </c>
      <c r="J6096" s="24" t="s">
        <v>21</v>
      </c>
      <c r="K6096" s="24" t="s">
        <v>21</v>
      </c>
      <c r="L6096" s="24" t="s">
        <v>21</v>
      </c>
      <c r="M6096" s="24" t="s">
        <v>21</v>
      </c>
      <c r="N6096" s="24" t="s">
        <v>21</v>
      </c>
      <c r="O6096" s="24">
        <v>0</v>
      </c>
      <c r="P6096" s="24" t="s">
        <v>21</v>
      </c>
      <c r="Q6096" s="24" t="s">
        <v>21</v>
      </c>
      <c r="R6096" s="24" t="s">
        <v>21</v>
      </c>
      <c r="S6096" s="24" t="s">
        <v>21</v>
      </c>
    </row>
    <row r="6097" spans="1:19" x14ac:dyDescent="0.2">
      <c r="A6097" s="12">
        <v>45987</v>
      </c>
      <c r="B6097" s="5" t="s">
        <v>20</v>
      </c>
      <c r="C6097" s="6">
        <v>0.70347222222222228</v>
      </c>
      <c r="D6097" s="5">
        <v>0</v>
      </c>
      <c r="E6097" s="5">
        <v>0</v>
      </c>
      <c r="F6097" s="5" t="s">
        <v>8</v>
      </c>
      <c r="G6097" s="15" t="s">
        <v>9</v>
      </c>
      <c r="H6097" s="24">
        <v>0</v>
      </c>
      <c r="I6097" s="24" t="s">
        <v>21</v>
      </c>
      <c r="J6097" s="24" t="s">
        <v>21</v>
      </c>
      <c r="K6097" s="24" t="s">
        <v>21</v>
      </c>
      <c r="L6097" s="24" t="s">
        <v>21</v>
      </c>
      <c r="M6097" s="24" t="s">
        <v>21</v>
      </c>
      <c r="N6097" s="24" t="s">
        <v>21</v>
      </c>
      <c r="O6097" s="24">
        <v>0</v>
      </c>
      <c r="P6097" s="24" t="s">
        <v>21</v>
      </c>
      <c r="Q6097" s="24" t="s">
        <v>21</v>
      </c>
      <c r="R6097" s="24" t="s">
        <v>21</v>
      </c>
      <c r="S6097" s="24" t="s">
        <v>21</v>
      </c>
    </row>
    <row r="6098" spans="1:19" x14ac:dyDescent="0.2">
      <c r="A6098" s="12">
        <v>45987</v>
      </c>
      <c r="B6098" s="5" t="s">
        <v>20</v>
      </c>
      <c r="C6098" s="6">
        <v>0.70416666666666672</v>
      </c>
      <c r="D6098" s="5">
        <v>7</v>
      </c>
      <c r="E6098" s="5">
        <v>0</v>
      </c>
      <c r="F6098" s="5" t="s">
        <v>8</v>
      </c>
      <c r="G6098" s="15" t="s">
        <v>9</v>
      </c>
      <c r="H6098" s="24">
        <v>1.000000003259629</v>
      </c>
      <c r="I6098" s="24" t="s">
        <v>21</v>
      </c>
      <c r="J6098" s="24" t="s">
        <v>21</v>
      </c>
      <c r="K6098" s="24" t="s">
        <v>21</v>
      </c>
      <c r="L6098" s="24" t="s">
        <v>21</v>
      </c>
      <c r="M6098" s="24" t="s">
        <v>21</v>
      </c>
      <c r="N6098" s="24" t="s">
        <v>21</v>
      </c>
      <c r="O6098" s="24">
        <v>1.000000003259629</v>
      </c>
      <c r="P6098" s="24" t="s">
        <v>21</v>
      </c>
      <c r="Q6098" s="24" t="s">
        <v>21</v>
      </c>
      <c r="R6098" s="24" t="s">
        <v>21</v>
      </c>
      <c r="S6098" s="24" t="s">
        <v>21</v>
      </c>
    </row>
    <row r="6099" spans="1:19" x14ac:dyDescent="0.2">
      <c r="A6099" s="12">
        <v>45987</v>
      </c>
      <c r="B6099" s="5" t="s">
        <v>20</v>
      </c>
      <c r="C6099" s="6">
        <v>0.70416666666666672</v>
      </c>
      <c r="D6099" s="5">
        <v>0</v>
      </c>
      <c r="E6099" s="5">
        <v>8</v>
      </c>
      <c r="F6099" s="5" t="s">
        <v>8</v>
      </c>
      <c r="G6099" s="15" t="s">
        <v>9</v>
      </c>
      <c r="H6099" s="24">
        <v>0</v>
      </c>
      <c r="I6099" s="24" t="s">
        <v>21</v>
      </c>
      <c r="J6099" s="24" t="s">
        <v>21</v>
      </c>
      <c r="K6099" s="24" t="s">
        <v>21</v>
      </c>
      <c r="L6099" s="24" t="s">
        <v>21</v>
      </c>
      <c r="M6099" s="24" t="s">
        <v>21</v>
      </c>
      <c r="N6099" s="24" t="s">
        <v>21</v>
      </c>
      <c r="O6099" s="24">
        <v>0</v>
      </c>
      <c r="P6099" s="24" t="s">
        <v>21</v>
      </c>
      <c r="Q6099" s="24" t="s">
        <v>21</v>
      </c>
      <c r="R6099" s="24" t="s">
        <v>21</v>
      </c>
      <c r="S6099" s="24" t="s">
        <v>21</v>
      </c>
    </row>
    <row r="6100" spans="1:19" x14ac:dyDescent="0.2">
      <c r="A6100" s="12">
        <v>45987</v>
      </c>
      <c r="B6100" s="5" t="s">
        <v>20</v>
      </c>
      <c r="C6100" s="6">
        <v>0.70416666666666672</v>
      </c>
      <c r="D6100" s="5">
        <v>0</v>
      </c>
      <c r="E6100" s="5">
        <v>0</v>
      </c>
      <c r="F6100" s="5" t="s">
        <v>8</v>
      </c>
      <c r="G6100" s="15" t="s">
        <v>9</v>
      </c>
      <c r="H6100" s="24">
        <v>0</v>
      </c>
      <c r="I6100" s="24" t="s">
        <v>21</v>
      </c>
      <c r="J6100" s="24" t="s">
        <v>21</v>
      </c>
      <c r="K6100" s="24" t="s">
        <v>21</v>
      </c>
      <c r="L6100" s="24" t="s">
        <v>21</v>
      </c>
      <c r="M6100" s="24" t="s">
        <v>21</v>
      </c>
      <c r="N6100" s="24" t="s">
        <v>21</v>
      </c>
      <c r="O6100" s="24">
        <v>0</v>
      </c>
      <c r="P6100" s="24" t="s">
        <v>21</v>
      </c>
      <c r="Q6100" s="24" t="s">
        <v>21</v>
      </c>
      <c r="R6100" s="24" t="s">
        <v>21</v>
      </c>
      <c r="S6100" s="24" t="s">
        <v>21</v>
      </c>
    </row>
    <row r="6101" spans="1:19" x14ac:dyDescent="0.2">
      <c r="A6101" s="12">
        <v>45987</v>
      </c>
      <c r="B6101" s="5" t="s">
        <v>20</v>
      </c>
      <c r="C6101" s="6">
        <v>0.70416666666666672</v>
      </c>
      <c r="D6101" s="5">
        <v>0</v>
      </c>
      <c r="E6101" s="5">
        <v>14</v>
      </c>
      <c r="F6101" s="5" t="s">
        <v>8</v>
      </c>
      <c r="G6101" s="15" t="s">
        <v>9</v>
      </c>
      <c r="H6101" s="24">
        <v>0</v>
      </c>
      <c r="I6101" s="24" t="s">
        <v>21</v>
      </c>
      <c r="J6101" s="24" t="s">
        <v>21</v>
      </c>
      <c r="K6101" s="24" t="s">
        <v>21</v>
      </c>
      <c r="L6101" s="24" t="s">
        <v>21</v>
      </c>
      <c r="M6101" s="24" t="s">
        <v>21</v>
      </c>
      <c r="N6101" s="24" t="s">
        <v>21</v>
      </c>
      <c r="O6101" s="24">
        <v>0</v>
      </c>
      <c r="P6101" s="24" t="s">
        <v>21</v>
      </c>
      <c r="Q6101" s="24" t="s">
        <v>21</v>
      </c>
      <c r="R6101" s="24" t="s">
        <v>21</v>
      </c>
      <c r="S6101" s="24" t="s">
        <v>21</v>
      </c>
    </row>
    <row r="6102" spans="1:19" x14ac:dyDescent="0.2">
      <c r="A6102" s="12">
        <v>45987</v>
      </c>
      <c r="B6102" s="5" t="s">
        <v>20</v>
      </c>
      <c r="C6102" s="6">
        <v>0.70416666666666672</v>
      </c>
      <c r="D6102" s="5">
        <v>11</v>
      </c>
      <c r="E6102" s="5">
        <v>0</v>
      </c>
      <c r="F6102" s="5" t="s">
        <v>8</v>
      </c>
      <c r="G6102" s="15" t="s">
        <v>9</v>
      </c>
      <c r="H6102" s="24">
        <v>0</v>
      </c>
      <c r="I6102" s="24" t="s">
        <v>21</v>
      </c>
      <c r="J6102" s="24" t="s">
        <v>21</v>
      </c>
      <c r="K6102" s="24" t="s">
        <v>21</v>
      </c>
      <c r="L6102" s="24" t="s">
        <v>21</v>
      </c>
      <c r="M6102" s="24" t="s">
        <v>21</v>
      </c>
      <c r="N6102" s="24" t="s">
        <v>21</v>
      </c>
      <c r="O6102" s="24">
        <v>0</v>
      </c>
      <c r="P6102" s="24" t="s">
        <v>21</v>
      </c>
      <c r="Q6102" s="24" t="s">
        <v>21</v>
      </c>
      <c r="R6102" s="24" t="s">
        <v>21</v>
      </c>
      <c r="S6102" s="24" t="s">
        <v>21</v>
      </c>
    </row>
    <row r="6103" spans="1:19" x14ac:dyDescent="0.2">
      <c r="A6103" s="12">
        <v>45987</v>
      </c>
      <c r="B6103" s="5" t="s">
        <v>20</v>
      </c>
      <c r="C6103" s="6">
        <v>0.70486111111111116</v>
      </c>
      <c r="D6103" s="5">
        <v>0</v>
      </c>
      <c r="E6103" s="5">
        <v>23</v>
      </c>
      <c r="F6103" s="5" t="s">
        <v>8</v>
      </c>
      <c r="G6103" s="15" t="s">
        <v>9</v>
      </c>
      <c r="H6103" s="24">
        <v>0.99999999278225005</v>
      </c>
      <c r="I6103" s="24" t="s">
        <v>21</v>
      </c>
      <c r="J6103" s="24" t="s">
        <v>21</v>
      </c>
      <c r="K6103" s="24" t="s">
        <v>21</v>
      </c>
      <c r="L6103" s="24" t="s">
        <v>21</v>
      </c>
      <c r="M6103" s="24" t="s">
        <v>21</v>
      </c>
      <c r="N6103" s="24" t="s">
        <v>21</v>
      </c>
      <c r="O6103" s="24">
        <v>0.99999999278225005</v>
      </c>
      <c r="P6103" s="24" t="s">
        <v>21</v>
      </c>
      <c r="Q6103" s="24" t="s">
        <v>21</v>
      </c>
      <c r="R6103" s="24" t="s">
        <v>21</v>
      </c>
      <c r="S6103" s="24" t="s">
        <v>21</v>
      </c>
    </row>
    <row r="6104" spans="1:19" x14ac:dyDescent="0.2">
      <c r="A6104" s="12">
        <v>45987</v>
      </c>
      <c r="B6104" s="5" t="s">
        <v>20</v>
      </c>
      <c r="C6104" s="6">
        <v>0.70486111111111116</v>
      </c>
      <c r="D6104" s="5">
        <v>5</v>
      </c>
      <c r="E6104" s="5">
        <v>0</v>
      </c>
      <c r="F6104" s="5" t="s">
        <v>8</v>
      </c>
      <c r="G6104" s="15" t="s">
        <v>9</v>
      </c>
      <c r="H6104" s="24">
        <v>0</v>
      </c>
      <c r="I6104" s="24" t="s">
        <v>21</v>
      </c>
      <c r="J6104" s="24" t="s">
        <v>21</v>
      </c>
      <c r="K6104" s="24" t="s">
        <v>21</v>
      </c>
      <c r="L6104" s="24" t="s">
        <v>21</v>
      </c>
      <c r="M6104" s="24" t="s">
        <v>21</v>
      </c>
      <c r="N6104" s="24" t="s">
        <v>21</v>
      </c>
      <c r="O6104" s="24">
        <v>0</v>
      </c>
      <c r="P6104" s="24" t="s">
        <v>21</v>
      </c>
      <c r="Q6104" s="24" t="s">
        <v>21</v>
      </c>
      <c r="R6104" s="24" t="s">
        <v>21</v>
      </c>
      <c r="S6104" s="24" t="s">
        <v>21</v>
      </c>
    </row>
    <row r="6105" spans="1:19" x14ac:dyDescent="0.2">
      <c r="A6105" s="12">
        <v>45987</v>
      </c>
      <c r="B6105" s="5" t="s">
        <v>20</v>
      </c>
      <c r="C6105" s="6">
        <v>0.70486111111111116</v>
      </c>
      <c r="D6105" s="5">
        <v>0</v>
      </c>
      <c r="E6105" s="5">
        <v>0</v>
      </c>
      <c r="F6105" s="5" t="s">
        <v>8</v>
      </c>
      <c r="G6105" s="15" t="s">
        <v>9</v>
      </c>
      <c r="H6105" s="24">
        <v>0</v>
      </c>
      <c r="I6105" s="24" t="s">
        <v>21</v>
      </c>
      <c r="J6105" s="24" t="s">
        <v>21</v>
      </c>
      <c r="K6105" s="24" t="s">
        <v>21</v>
      </c>
      <c r="L6105" s="24" t="s">
        <v>21</v>
      </c>
      <c r="M6105" s="24" t="s">
        <v>21</v>
      </c>
      <c r="N6105" s="24" t="s">
        <v>21</v>
      </c>
      <c r="O6105" s="24">
        <v>0</v>
      </c>
      <c r="P6105" s="24" t="s">
        <v>21</v>
      </c>
      <c r="Q6105" s="24" t="s">
        <v>21</v>
      </c>
      <c r="R6105" s="24" t="s">
        <v>21</v>
      </c>
      <c r="S6105" s="24" t="s">
        <v>21</v>
      </c>
    </row>
    <row r="6106" spans="1:19" x14ac:dyDescent="0.2">
      <c r="A6106" s="12">
        <v>45987</v>
      </c>
      <c r="B6106" s="5" t="s">
        <v>20</v>
      </c>
      <c r="C6106" s="6">
        <v>0.7055555555555556</v>
      </c>
      <c r="D6106" s="5">
        <v>0</v>
      </c>
      <c r="E6106" s="5">
        <v>19</v>
      </c>
      <c r="F6106" s="5" t="s">
        <v>8</v>
      </c>
      <c r="G6106" s="15" t="s">
        <v>9</v>
      </c>
      <c r="H6106" s="24">
        <v>1.000000003259629</v>
      </c>
      <c r="I6106" s="24" t="s">
        <v>21</v>
      </c>
      <c r="J6106" s="24" t="s">
        <v>21</v>
      </c>
      <c r="K6106" s="24" t="s">
        <v>21</v>
      </c>
      <c r="L6106" s="24" t="s">
        <v>21</v>
      </c>
      <c r="M6106" s="24" t="s">
        <v>21</v>
      </c>
      <c r="N6106" s="24" t="s">
        <v>21</v>
      </c>
      <c r="O6106" s="24">
        <v>1.000000003259629</v>
      </c>
      <c r="P6106" s="24" t="s">
        <v>21</v>
      </c>
      <c r="Q6106" s="24" t="s">
        <v>21</v>
      </c>
      <c r="R6106" s="24" t="s">
        <v>21</v>
      </c>
      <c r="S6106" s="24" t="s">
        <v>21</v>
      </c>
    </row>
    <row r="6107" spans="1:19" x14ac:dyDescent="0.2">
      <c r="A6107" s="12">
        <v>45987</v>
      </c>
      <c r="B6107" s="5" t="s">
        <v>20</v>
      </c>
      <c r="C6107" s="6">
        <v>0.7055555555555556</v>
      </c>
      <c r="D6107" s="5">
        <v>8</v>
      </c>
      <c r="E6107" s="5">
        <v>0</v>
      </c>
      <c r="F6107" s="5" t="s">
        <v>8</v>
      </c>
      <c r="G6107" s="15" t="s">
        <v>9</v>
      </c>
      <c r="H6107" s="24">
        <v>0</v>
      </c>
      <c r="I6107" s="24" t="s">
        <v>21</v>
      </c>
      <c r="J6107" s="24" t="s">
        <v>21</v>
      </c>
      <c r="K6107" s="24" t="s">
        <v>21</v>
      </c>
      <c r="L6107" s="24" t="s">
        <v>21</v>
      </c>
      <c r="M6107" s="24" t="s">
        <v>21</v>
      </c>
      <c r="N6107" s="24" t="s">
        <v>21</v>
      </c>
      <c r="O6107" s="24">
        <v>0</v>
      </c>
      <c r="P6107" s="24" t="s">
        <v>21</v>
      </c>
      <c r="Q6107" s="24" t="s">
        <v>21</v>
      </c>
      <c r="R6107" s="24" t="s">
        <v>21</v>
      </c>
      <c r="S6107" s="24" t="s">
        <v>21</v>
      </c>
    </row>
    <row r="6108" spans="1:19" x14ac:dyDescent="0.2">
      <c r="A6108" s="12">
        <v>45987</v>
      </c>
      <c r="B6108" s="5" t="s">
        <v>20</v>
      </c>
      <c r="C6108" s="6">
        <v>0.7055555555555556</v>
      </c>
      <c r="D6108" s="5">
        <v>0</v>
      </c>
      <c r="E6108" s="5">
        <v>0</v>
      </c>
      <c r="F6108" s="5" t="s">
        <v>8</v>
      </c>
      <c r="G6108" s="15" t="s">
        <v>9</v>
      </c>
      <c r="H6108" s="24">
        <v>0</v>
      </c>
      <c r="I6108" s="24" t="s">
        <v>21</v>
      </c>
      <c r="J6108" s="24" t="s">
        <v>21</v>
      </c>
      <c r="K6108" s="24" t="s">
        <v>21</v>
      </c>
      <c r="L6108" s="24" t="s">
        <v>21</v>
      </c>
      <c r="M6108" s="24" t="s">
        <v>21</v>
      </c>
      <c r="N6108" s="24" t="s">
        <v>21</v>
      </c>
      <c r="O6108" s="24">
        <v>0</v>
      </c>
      <c r="P6108" s="24" t="s">
        <v>21</v>
      </c>
      <c r="Q6108" s="24" t="s">
        <v>21</v>
      </c>
      <c r="R6108" s="24" t="s">
        <v>21</v>
      </c>
      <c r="S6108" s="24" t="s">
        <v>21</v>
      </c>
    </row>
    <row r="6109" spans="1:19" x14ac:dyDescent="0.2">
      <c r="A6109" s="12">
        <v>45987</v>
      </c>
      <c r="B6109" s="5" t="s">
        <v>20</v>
      </c>
      <c r="C6109" s="6">
        <v>0.7055555555555556</v>
      </c>
      <c r="D6109" s="5">
        <v>0</v>
      </c>
      <c r="E6109" s="5">
        <v>14</v>
      </c>
      <c r="F6109" s="5" t="s">
        <v>8</v>
      </c>
      <c r="G6109" s="15" t="s">
        <v>9</v>
      </c>
      <c r="H6109" s="24">
        <v>0</v>
      </c>
      <c r="I6109" s="24" t="s">
        <v>21</v>
      </c>
      <c r="J6109" s="24" t="s">
        <v>21</v>
      </c>
      <c r="K6109" s="24" t="s">
        <v>21</v>
      </c>
      <c r="L6109" s="24" t="s">
        <v>21</v>
      </c>
      <c r="M6109" s="24" t="s">
        <v>21</v>
      </c>
      <c r="N6109" s="24" t="s">
        <v>21</v>
      </c>
      <c r="O6109" s="24">
        <v>0</v>
      </c>
      <c r="P6109" s="24" t="s">
        <v>21</v>
      </c>
      <c r="Q6109" s="24" t="s">
        <v>21</v>
      </c>
      <c r="R6109" s="24" t="s">
        <v>21</v>
      </c>
      <c r="S6109" s="24" t="s">
        <v>21</v>
      </c>
    </row>
    <row r="6110" spans="1:19" x14ac:dyDescent="0.2">
      <c r="A6110" s="12">
        <v>45987</v>
      </c>
      <c r="B6110" s="5" t="s">
        <v>20</v>
      </c>
      <c r="C6110" s="6">
        <v>0.7055555555555556</v>
      </c>
      <c r="D6110" s="5">
        <v>8</v>
      </c>
      <c r="E6110" s="5">
        <v>0</v>
      </c>
      <c r="F6110" s="5" t="s">
        <v>8</v>
      </c>
      <c r="G6110" s="15" t="s">
        <v>9</v>
      </c>
      <c r="H6110" s="24">
        <v>0</v>
      </c>
      <c r="I6110" s="24" t="s">
        <v>21</v>
      </c>
      <c r="J6110" s="24" t="s">
        <v>21</v>
      </c>
      <c r="K6110" s="24" t="s">
        <v>21</v>
      </c>
      <c r="L6110" s="24" t="s">
        <v>21</v>
      </c>
      <c r="M6110" s="24" t="s">
        <v>21</v>
      </c>
      <c r="N6110" s="24" t="s">
        <v>21</v>
      </c>
      <c r="O6110" s="24">
        <v>0</v>
      </c>
      <c r="P6110" s="24" t="s">
        <v>21</v>
      </c>
      <c r="Q6110" s="24" t="s">
        <v>21</v>
      </c>
      <c r="R6110" s="24" t="s">
        <v>21</v>
      </c>
      <c r="S6110" s="24" t="s">
        <v>21</v>
      </c>
    </row>
    <row r="6111" spans="1:19" x14ac:dyDescent="0.2">
      <c r="A6111" s="12">
        <v>45987</v>
      </c>
      <c r="B6111" s="5" t="s">
        <v>20</v>
      </c>
      <c r="C6111" s="6">
        <v>0.70625000000000004</v>
      </c>
      <c r="D6111" s="5">
        <v>11</v>
      </c>
      <c r="E6111" s="5">
        <v>0</v>
      </c>
      <c r="F6111" s="5" t="s">
        <v>8</v>
      </c>
      <c r="G6111" s="15" t="s">
        <v>9</v>
      </c>
      <c r="H6111" s="24">
        <v>1.000000003259629</v>
      </c>
      <c r="I6111" s="24" t="s">
        <v>21</v>
      </c>
      <c r="J6111" s="24" t="s">
        <v>21</v>
      </c>
      <c r="K6111" s="24" t="s">
        <v>21</v>
      </c>
      <c r="L6111" s="24" t="s">
        <v>21</v>
      </c>
      <c r="M6111" s="24" t="s">
        <v>21</v>
      </c>
      <c r="N6111" s="24" t="s">
        <v>21</v>
      </c>
      <c r="O6111" s="24">
        <v>1.000000003259629</v>
      </c>
      <c r="P6111" s="24" t="s">
        <v>21</v>
      </c>
      <c r="Q6111" s="24" t="s">
        <v>21</v>
      </c>
      <c r="R6111" s="24" t="s">
        <v>21</v>
      </c>
      <c r="S6111" s="24" t="s">
        <v>21</v>
      </c>
    </row>
    <row r="6112" spans="1:19" x14ac:dyDescent="0.2">
      <c r="A6112" s="12">
        <v>45987</v>
      </c>
      <c r="B6112" s="5" t="s">
        <v>20</v>
      </c>
      <c r="C6112" s="6">
        <v>0.70625000000000004</v>
      </c>
      <c r="D6112" s="5">
        <v>0</v>
      </c>
      <c r="E6112" s="5">
        <v>16</v>
      </c>
      <c r="F6112" s="5" t="s">
        <v>8</v>
      </c>
      <c r="G6112" s="15" t="s">
        <v>9</v>
      </c>
      <c r="H6112" s="24">
        <v>0</v>
      </c>
      <c r="I6112" s="24" t="s">
        <v>21</v>
      </c>
      <c r="J6112" s="24" t="s">
        <v>21</v>
      </c>
      <c r="K6112" s="24" t="s">
        <v>21</v>
      </c>
      <c r="L6112" s="24" t="s">
        <v>21</v>
      </c>
      <c r="M6112" s="24" t="s">
        <v>21</v>
      </c>
      <c r="N6112" s="24" t="s">
        <v>21</v>
      </c>
      <c r="O6112" s="24">
        <v>0</v>
      </c>
      <c r="P6112" s="24" t="s">
        <v>21</v>
      </c>
      <c r="Q6112" s="24" t="s">
        <v>21</v>
      </c>
      <c r="R6112" s="24" t="s">
        <v>21</v>
      </c>
      <c r="S6112" s="24" t="s">
        <v>21</v>
      </c>
    </row>
    <row r="6113" spans="1:19" x14ac:dyDescent="0.2">
      <c r="A6113" s="12">
        <v>45987</v>
      </c>
      <c r="B6113" s="5" t="s">
        <v>20</v>
      </c>
      <c r="C6113" s="6">
        <v>0.70694444444444449</v>
      </c>
      <c r="D6113" s="5">
        <v>4</v>
      </c>
      <c r="E6113" s="5">
        <v>8</v>
      </c>
      <c r="F6113" s="5" t="s">
        <v>8</v>
      </c>
      <c r="G6113" s="15" t="s">
        <v>9</v>
      </c>
      <c r="H6113" s="24">
        <v>0.99999999278225005</v>
      </c>
      <c r="I6113" s="24" t="s">
        <v>21</v>
      </c>
      <c r="J6113" s="24" t="s">
        <v>21</v>
      </c>
      <c r="K6113" s="24" t="s">
        <v>21</v>
      </c>
      <c r="L6113" s="24" t="s">
        <v>21</v>
      </c>
      <c r="M6113" s="24" t="s">
        <v>21</v>
      </c>
      <c r="N6113" s="24" t="s">
        <v>21</v>
      </c>
      <c r="O6113" s="24">
        <v>0.99999999278225005</v>
      </c>
      <c r="P6113" s="24" t="s">
        <v>21</v>
      </c>
      <c r="Q6113" s="24" t="s">
        <v>21</v>
      </c>
      <c r="R6113" s="24" t="s">
        <v>21</v>
      </c>
      <c r="S6113" s="24" t="s">
        <v>21</v>
      </c>
    </row>
    <row r="6114" spans="1:19" x14ac:dyDescent="0.2">
      <c r="A6114" s="12">
        <v>45987</v>
      </c>
      <c r="B6114" s="5" t="s">
        <v>20</v>
      </c>
      <c r="C6114" s="6">
        <v>0.70694444444444449</v>
      </c>
      <c r="D6114" s="5">
        <v>0</v>
      </c>
      <c r="E6114" s="5">
        <v>27</v>
      </c>
      <c r="F6114" s="5" t="s">
        <v>8</v>
      </c>
      <c r="G6114" s="15" t="s">
        <v>9</v>
      </c>
      <c r="H6114" s="24">
        <v>0</v>
      </c>
      <c r="I6114" s="24" t="s">
        <v>21</v>
      </c>
      <c r="J6114" s="24" t="s">
        <v>21</v>
      </c>
      <c r="K6114" s="24" t="s">
        <v>21</v>
      </c>
      <c r="L6114" s="24" t="s">
        <v>21</v>
      </c>
      <c r="M6114" s="24" t="s">
        <v>21</v>
      </c>
      <c r="N6114" s="24" t="s">
        <v>21</v>
      </c>
      <c r="O6114" s="24">
        <v>0</v>
      </c>
      <c r="P6114" s="24" t="s">
        <v>21</v>
      </c>
      <c r="Q6114" s="24" t="s">
        <v>21</v>
      </c>
      <c r="R6114" s="24" t="s">
        <v>21</v>
      </c>
      <c r="S6114" s="24" t="s">
        <v>21</v>
      </c>
    </row>
    <row r="6115" spans="1:19" x14ac:dyDescent="0.2">
      <c r="A6115" s="12">
        <v>45987</v>
      </c>
      <c r="B6115" s="5" t="s">
        <v>20</v>
      </c>
      <c r="C6115" s="6">
        <v>0.70763888888888893</v>
      </c>
      <c r="D6115" s="5">
        <v>0</v>
      </c>
      <c r="E6115" s="5">
        <v>27</v>
      </c>
      <c r="F6115" s="5" t="s">
        <v>8</v>
      </c>
      <c r="G6115" s="15" t="s">
        <v>9</v>
      </c>
      <c r="H6115" s="24">
        <v>1.000000003259629</v>
      </c>
      <c r="I6115" s="24" t="s">
        <v>21</v>
      </c>
      <c r="J6115" s="24" t="s">
        <v>21</v>
      </c>
      <c r="K6115" s="24" t="s">
        <v>21</v>
      </c>
      <c r="L6115" s="24" t="s">
        <v>21</v>
      </c>
      <c r="M6115" s="24" t="s">
        <v>21</v>
      </c>
      <c r="N6115" s="24" t="s">
        <v>21</v>
      </c>
      <c r="O6115" s="24">
        <v>1.000000003259629</v>
      </c>
      <c r="P6115" s="24" t="s">
        <v>21</v>
      </c>
      <c r="Q6115" s="24" t="s">
        <v>21</v>
      </c>
      <c r="R6115" s="24" t="s">
        <v>21</v>
      </c>
      <c r="S6115" s="24" t="s">
        <v>21</v>
      </c>
    </row>
    <row r="6116" spans="1:19" x14ac:dyDescent="0.2">
      <c r="A6116" s="12">
        <v>45987</v>
      </c>
      <c r="B6116" s="5" t="s">
        <v>20</v>
      </c>
      <c r="C6116" s="6">
        <v>0.70763888888888893</v>
      </c>
      <c r="D6116" s="5">
        <v>0</v>
      </c>
      <c r="E6116" s="5">
        <v>33</v>
      </c>
      <c r="F6116" s="5" t="s">
        <v>8</v>
      </c>
      <c r="G6116" s="15" t="s">
        <v>9</v>
      </c>
      <c r="H6116" s="24">
        <v>0</v>
      </c>
      <c r="I6116" s="24" t="s">
        <v>21</v>
      </c>
      <c r="J6116" s="24" t="s">
        <v>21</v>
      </c>
      <c r="K6116" s="24" t="s">
        <v>21</v>
      </c>
      <c r="L6116" s="24" t="s">
        <v>21</v>
      </c>
      <c r="M6116" s="24" t="s">
        <v>21</v>
      </c>
      <c r="N6116" s="24" t="s">
        <v>21</v>
      </c>
      <c r="O6116" s="24">
        <v>0</v>
      </c>
      <c r="P6116" s="24" t="s">
        <v>21</v>
      </c>
      <c r="Q6116" s="24" t="s">
        <v>21</v>
      </c>
      <c r="R6116" s="24" t="s">
        <v>21</v>
      </c>
      <c r="S6116" s="24" t="s">
        <v>21</v>
      </c>
    </row>
    <row r="6117" spans="1:19" x14ac:dyDescent="0.2">
      <c r="A6117" s="12">
        <v>45987</v>
      </c>
      <c r="B6117" s="5" t="s">
        <v>20</v>
      </c>
      <c r="C6117" s="6">
        <v>0.70833333333333337</v>
      </c>
      <c r="D6117" s="5">
        <v>0</v>
      </c>
      <c r="E6117" s="5">
        <v>26</v>
      </c>
      <c r="F6117" s="5" t="s">
        <v>8</v>
      </c>
      <c r="G6117" s="15" t="s">
        <v>9</v>
      </c>
      <c r="H6117" s="24">
        <v>1.000000003259629</v>
      </c>
      <c r="I6117" s="24" t="s">
        <v>21</v>
      </c>
      <c r="J6117" s="24" t="s">
        <v>21</v>
      </c>
      <c r="K6117" s="24" t="s">
        <v>21</v>
      </c>
      <c r="L6117" s="24" t="s">
        <v>21</v>
      </c>
      <c r="M6117" s="24" t="s">
        <v>21</v>
      </c>
      <c r="N6117" s="24" t="s">
        <v>21</v>
      </c>
      <c r="O6117" s="24">
        <v>1.000000003259629</v>
      </c>
      <c r="P6117" s="24" t="s">
        <v>21</v>
      </c>
      <c r="Q6117" s="24" t="s">
        <v>21</v>
      </c>
      <c r="R6117" s="24" t="s">
        <v>21</v>
      </c>
      <c r="S6117" s="24" t="s">
        <v>21</v>
      </c>
    </row>
    <row r="6118" spans="1:19" x14ac:dyDescent="0.2">
      <c r="A6118" s="12">
        <v>45987</v>
      </c>
      <c r="B6118" s="5" t="s">
        <v>20</v>
      </c>
      <c r="C6118" s="6">
        <v>0.70833333333333337</v>
      </c>
      <c r="D6118" s="5">
        <v>0</v>
      </c>
      <c r="E6118" s="5">
        <v>24</v>
      </c>
      <c r="F6118" s="5" t="s">
        <v>8</v>
      </c>
      <c r="G6118" s="15" t="s">
        <v>9</v>
      </c>
      <c r="H6118" s="24">
        <v>0</v>
      </c>
      <c r="I6118" s="24" t="s">
        <v>21</v>
      </c>
      <c r="J6118" s="24" t="s">
        <v>21</v>
      </c>
      <c r="K6118" s="24" t="s">
        <v>21</v>
      </c>
      <c r="L6118" s="24" t="s">
        <v>21</v>
      </c>
      <c r="M6118" s="24" t="s">
        <v>21</v>
      </c>
      <c r="N6118" s="24" t="s">
        <v>21</v>
      </c>
      <c r="O6118" s="24">
        <v>0</v>
      </c>
      <c r="P6118" s="24" t="s">
        <v>21</v>
      </c>
      <c r="Q6118" s="24" t="s">
        <v>21</v>
      </c>
      <c r="R6118" s="24" t="s">
        <v>21</v>
      </c>
      <c r="S6118" s="24" t="s">
        <v>21</v>
      </c>
    </row>
    <row r="6119" spans="1:19" x14ac:dyDescent="0.2">
      <c r="A6119" s="12">
        <v>45987</v>
      </c>
      <c r="B6119" s="5" t="s">
        <v>20</v>
      </c>
      <c r="C6119" s="6">
        <v>0.70902777777777781</v>
      </c>
      <c r="D6119" s="5">
        <v>0</v>
      </c>
      <c r="E6119" s="5">
        <v>29</v>
      </c>
      <c r="F6119" s="5" t="s">
        <v>8</v>
      </c>
      <c r="G6119" s="15" t="s">
        <v>9</v>
      </c>
      <c r="H6119" s="24">
        <v>0.99999999278225005</v>
      </c>
      <c r="I6119" s="24" t="s">
        <v>21</v>
      </c>
      <c r="J6119" s="24" t="s">
        <v>21</v>
      </c>
      <c r="K6119" s="24" t="s">
        <v>21</v>
      </c>
      <c r="L6119" s="24" t="s">
        <v>21</v>
      </c>
      <c r="M6119" s="24" t="s">
        <v>21</v>
      </c>
      <c r="N6119" s="24" t="s">
        <v>21</v>
      </c>
      <c r="O6119" s="24">
        <v>0.99999999278225005</v>
      </c>
      <c r="P6119" s="24" t="s">
        <v>21</v>
      </c>
      <c r="Q6119" s="24" t="s">
        <v>21</v>
      </c>
      <c r="R6119" s="24" t="s">
        <v>21</v>
      </c>
      <c r="S6119" s="24" t="s">
        <v>21</v>
      </c>
    </row>
    <row r="6120" spans="1:19" x14ac:dyDescent="0.2">
      <c r="A6120" s="12">
        <v>45987</v>
      </c>
      <c r="B6120" s="5" t="s">
        <v>20</v>
      </c>
      <c r="C6120" s="6">
        <v>0.70972222222222225</v>
      </c>
      <c r="D6120" s="5">
        <v>0</v>
      </c>
      <c r="E6120" s="5">
        <v>32</v>
      </c>
      <c r="F6120" s="5" t="s">
        <v>8</v>
      </c>
      <c r="G6120" s="15" t="s">
        <v>9</v>
      </c>
      <c r="H6120" s="24">
        <v>1.000000003259629</v>
      </c>
      <c r="I6120" s="24" t="s">
        <v>21</v>
      </c>
      <c r="J6120" s="24" t="s">
        <v>21</v>
      </c>
      <c r="K6120" s="24" t="s">
        <v>21</v>
      </c>
      <c r="L6120" s="24" t="s">
        <v>21</v>
      </c>
      <c r="M6120" s="24" t="s">
        <v>21</v>
      </c>
      <c r="N6120" s="24" t="s">
        <v>21</v>
      </c>
      <c r="O6120" s="24">
        <v>1.000000003259629</v>
      </c>
      <c r="P6120" s="24" t="s">
        <v>21</v>
      </c>
      <c r="Q6120" s="24" t="s">
        <v>21</v>
      </c>
      <c r="R6120" s="24" t="s">
        <v>21</v>
      </c>
      <c r="S6120" s="24" t="s">
        <v>21</v>
      </c>
    </row>
    <row r="6121" spans="1:19" x14ac:dyDescent="0.2">
      <c r="A6121" s="12">
        <v>45987</v>
      </c>
      <c r="B6121" s="5" t="s">
        <v>20</v>
      </c>
      <c r="C6121" s="6">
        <v>0.70972222222222225</v>
      </c>
      <c r="D6121" s="5">
        <v>0</v>
      </c>
      <c r="E6121" s="5">
        <v>21</v>
      </c>
      <c r="F6121" s="5" t="s">
        <v>8</v>
      </c>
      <c r="G6121" s="15" t="s">
        <v>9</v>
      </c>
      <c r="H6121" s="24">
        <v>0</v>
      </c>
      <c r="I6121" s="24" t="s">
        <v>21</v>
      </c>
      <c r="J6121" s="24" t="s">
        <v>21</v>
      </c>
      <c r="K6121" s="24" t="s">
        <v>21</v>
      </c>
      <c r="L6121" s="24" t="s">
        <v>21</v>
      </c>
      <c r="M6121" s="24" t="s">
        <v>21</v>
      </c>
      <c r="N6121" s="24" t="s">
        <v>21</v>
      </c>
      <c r="O6121" s="24">
        <v>0</v>
      </c>
      <c r="P6121" s="24" t="s">
        <v>21</v>
      </c>
      <c r="Q6121" s="24" t="s">
        <v>21</v>
      </c>
      <c r="R6121" s="24" t="s">
        <v>21</v>
      </c>
      <c r="S6121" s="24" t="s">
        <v>21</v>
      </c>
    </row>
    <row r="6122" spans="1:19" x14ac:dyDescent="0.2">
      <c r="A6122" s="12">
        <v>45987</v>
      </c>
      <c r="B6122" s="5" t="s">
        <v>20</v>
      </c>
      <c r="C6122" s="6">
        <v>0.7104166666666667</v>
      </c>
      <c r="D6122" s="5">
        <v>0</v>
      </c>
      <c r="E6122" s="5">
        <v>23</v>
      </c>
      <c r="F6122" s="5" t="s">
        <v>8</v>
      </c>
      <c r="G6122" s="15" t="s">
        <v>9</v>
      </c>
      <c r="H6122" s="24">
        <v>1.000000003259629</v>
      </c>
      <c r="I6122" s="24" t="s">
        <v>21</v>
      </c>
      <c r="J6122" s="24" t="s">
        <v>21</v>
      </c>
      <c r="K6122" s="24" t="s">
        <v>21</v>
      </c>
      <c r="L6122" s="24" t="s">
        <v>21</v>
      </c>
      <c r="M6122" s="24" t="s">
        <v>21</v>
      </c>
      <c r="N6122" s="24" t="s">
        <v>21</v>
      </c>
      <c r="O6122" s="24">
        <v>1.000000003259629</v>
      </c>
      <c r="P6122" s="24" t="s">
        <v>21</v>
      </c>
      <c r="Q6122" s="24" t="s">
        <v>21</v>
      </c>
      <c r="R6122" s="24" t="s">
        <v>21</v>
      </c>
      <c r="S6122" s="24" t="s">
        <v>21</v>
      </c>
    </row>
    <row r="6123" spans="1:19" x14ac:dyDescent="0.2">
      <c r="A6123" s="12">
        <v>45987</v>
      </c>
      <c r="B6123" s="5" t="s">
        <v>20</v>
      </c>
      <c r="C6123" s="6">
        <v>0.7104166666666667</v>
      </c>
      <c r="D6123" s="5">
        <v>0</v>
      </c>
      <c r="E6123" s="5">
        <v>20</v>
      </c>
      <c r="F6123" s="5" t="s">
        <v>8</v>
      </c>
      <c r="G6123" s="15" t="s">
        <v>9</v>
      </c>
      <c r="H6123" s="24">
        <v>0</v>
      </c>
      <c r="I6123" s="24" t="s">
        <v>21</v>
      </c>
      <c r="J6123" s="24" t="s">
        <v>21</v>
      </c>
      <c r="K6123" s="24" t="s">
        <v>21</v>
      </c>
      <c r="L6123" s="24" t="s">
        <v>21</v>
      </c>
      <c r="M6123" s="24" t="s">
        <v>21</v>
      </c>
      <c r="N6123" s="24" t="s">
        <v>21</v>
      </c>
      <c r="O6123" s="24">
        <v>0</v>
      </c>
      <c r="P6123" s="24" t="s">
        <v>21</v>
      </c>
      <c r="Q6123" s="24" t="s">
        <v>21</v>
      </c>
      <c r="R6123" s="24" t="s">
        <v>21</v>
      </c>
      <c r="S6123" s="24" t="s">
        <v>21</v>
      </c>
    </row>
    <row r="6124" spans="1:19" x14ac:dyDescent="0.2">
      <c r="A6124" s="12">
        <v>45987</v>
      </c>
      <c r="B6124" s="5" t="s">
        <v>20</v>
      </c>
      <c r="C6124" s="6">
        <v>0.71111111111111114</v>
      </c>
      <c r="D6124" s="5">
        <v>0</v>
      </c>
      <c r="E6124" s="5">
        <v>21</v>
      </c>
      <c r="F6124" s="5" t="s">
        <v>8</v>
      </c>
      <c r="G6124" s="15" t="s">
        <v>9</v>
      </c>
      <c r="H6124" s="24">
        <v>0.99999999278225005</v>
      </c>
      <c r="I6124" s="24" t="s">
        <v>21</v>
      </c>
      <c r="J6124" s="24" t="s">
        <v>21</v>
      </c>
      <c r="K6124" s="24" t="s">
        <v>21</v>
      </c>
      <c r="L6124" s="24" t="s">
        <v>21</v>
      </c>
      <c r="M6124" s="24" t="s">
        <v>21</v>
      </c>
      <c r="N6124" s="24" t="s">
        <v>21</v>
      </c>
      <c r="O6124" s="24">
        <v>0.99999999278225005</v>
      </c>
      <c r="P6124" s="24" t="s">
        <v>21</v>
      </c>
      <c r="Q6124" s="24" t="s">
        <v>21</v>
      </c>
      <c r="R6124" s="24" t="s">
        <v>21</v>
      </c>
      <c r="S6124" s="24" t="s">
        <v>21</v>
      </c>
    </row>
    <row r="6125" spans="1:19" x14ac:dyDescent="0.2">
      <c r="A6125" s="12">
        <v>45987</v>
      </c>
      <c r="B6125" s="5" t="s">
        <v>20</v>
      </c>
      <c r="C6125" s="6">
        <v>0.71111111111111114</v>
      </c>
      <c r="D6125" s="5">
        <v>0</v>
      </c>
      <c r="E6125" s="5">
        <v>23</v>
      </c>
      <c r="F6125" s="5" t="s">
        <v>8</v>
      </c>
      <c r="G6125" s="15" t="s">
        <v>9</v>
      </c>
      <c r="H6125" s="24">
        <v>0</v>
      </c>
      <c r="I6125" s="24" t="s">
        <v>21</v>
      </c>
      <c r="J6125" s="24" t="s">
        <v>21</v>
      </c>
      <c r="K6125" s="24" t="s">
        <v>21</v>
      </c>
      <c r="L6125" s="24" t="s">
        <v>21</v>
      </c>
      <c r="M6125" s="24" t="s">
        <v>21</v>
      </c>
      <c r="N6125" s="24" t="s">
        <v>21</v>
      </c>
      <c r="O6125" s="24">
        <v>0</v>
      </c>
      <c r="P6125" s="24" t="s">
        <v>21</v>
      </c>
      <c r="Q6125" s="24" t="s">
        <v>21</v>
      </c>
      <c r="R6125" s="24" t="s">
        <v>21</v>
      </c>
      <c r="S6125" s="24" t="s">
        <v>21</v>
      </c>
    </row>
    <row r="6126" spans="1:19" x14ac:dyDescent="0.2">
      <c r="A6126" s="12">
        <v>45987</v>
      </c>
      <c r="B6126" s="5" t="s">
        <v>20</v>
      </c>
      <c r="C6126" s="6">
        <v>0.71180555555555558</v>
      </c>
      <c r="D6126" s="5">
        <v>0</v>
      </c>
      <c r="E6126" s="5">
        <v>22</v>
      </c>
      <c r="F6126" s="5" t="s">
        <v>8</v>
      </c>
      <c r="G6126" s="15" t="s">
        <v>9</v>
      </c>
      <c r="H6126" s="24">
        <v>1.000000003259629</v>
      </c>
      <c r="I6126" s="24" t="s">
        <v>21</v>
      </c>
      <c r="J6126" s="24" t="s">
        <v>21</v>
      </c>
      <c r="K6126" s="24" t="s">
        <v>21</v>
      </c>
      <c r="L6126" s="24" t="s">
        <v>21</v>
      </c>
      <c r="M6126" s="24" t="s">
        <v>21</v>
      </c>
      <c r="N6126" s="24" t="s">
        <v>21</v>
      </c>
      <c r="O6126" s="24">
        <v>1.000000003259629</v>
      </c>
      <c r="P6126" s="24" t="s">
        <v>21</v>
      </c>
      <c r="Q6126" s="24" t="s">
        <v>21</v>
      </c>
      <c r="R6126" s="24" t="s">
        <v>21</v>
      </c>
      <c r="S6126" s="24" t="s">
        <v>21</v>
      </c>
    </row>
    <row r="6127" spans="1:19" x14ac:dyDescent="0.2">
      <c r="A6127" s="12">
        <v>45987</v>
      </c>
      <c r="B6127" s="5" t="s">
        <v>20</v>
      </c>
      <c r="C6127" s="6">
        <v>0.71180555555555558</v>
      </c>
      <c r="D6127" s="5">
        <v>0</v>
      </c>
      <c r="E6127" s="5">
        <v>23</v>
      </c>
      <c r="F6127" s="5" t="s">
        <v>8</v>
      </c>
      <c r="G6127" s="15" t="s">
        <v>9</v>
      </c>
      <c r="H6127" s="24">
        <v>0</v>
      </c>
      <c r="I6127" s="24" t="s">
        <v>21</v>
      </c>
      <c r="J6127" s="24" t="s">
        <v>21</v>
      </c>
      <c r="K6127" s="24" t="s">
        <v>21</v>
      </c>
      <c r="L6127" s="24" t="s">
        <v>21</v>
      </c>
      <c r="M6127" s="24" t="s">
        <v>21</v>
      </c>
      <c r="N6127" s="24" t="s">
        <v>21</v>
      </c>
      <c r="O6127" s="24">
        <v>0</v>
      </c>
      <c r="P6127" s="24" t="s">
        <v>21</v>
      </c>
      <c r="Q6127" s="24" t="s">
        <v>21</v>
      </c>
      <c r="R6127" s="24" t="s">
        <v>21</v>
      </c>
      <c r="S6127" s="24" t="s">
        <v>21</v>
      </c>
    </row>
    <row r="6128" spans="1:19" x14ac:dyDescent="0.2">
      <c r="A6128" s="12">
        <v>45987</v>
      </c>
      <c r="B6128" s="5" t="s">
        <v>20</v>
      </c>
      <c r="C6128" s="6">
        <v>0.71250000000000002</v>
      </c>
      <c r="D6128" s="5">
        <v>0</v>
      </c>
      <c r="E6128" s="5">
        <v>27</v>
      </c>
      <c r="F6128" s="5" t="s">
        <v>8</v>
      </c>
      <c r="G6128" s="15" t="s">
        <v>9</v>
      </c>
      <c r="H6128" s="24">
        <v>1.000000003259629</v>
      </c>
      <c r="I6128" s="24" t="s">
        <v>21</v>
      </c>
      <c r="J6128" s="24" t="s">
        <v>21</v>
      </c>
      <c r="K6128" s="24" t="s">
        <v>21</v>
      </c>
      <c r="L6128" s="24" t="s">
        <v>21</v>
      </c>
      <c r="M6128" s="24" t="s">
        <v>21</v>
      </c>
      <c r="N6128" s="24" t="s">
        <v>21</v>
      </c>
      <c r="O6128" s="24">
        <v>1.000000003259629</v>
      </c>
      <c r="P6128" s="24" t="s">
        <v>21</v>
      </c>
      <c r="Q6128" s="24" t="s">
        <v>21</v>
      </c>
      <c r="R6128" s="24" t="s">
        <v>21</v>
      </c>
      <c r="S6128" s="24" t="s">
        <v>21</v>
      </c>
    </row>
    <row r="6129" spans="1:19" x14ac:dyDescent="0.2">
      <c r="A6129" s="12">
        <v>45987</v>
      </c>
      <c r="B6129" s="5" t="s">
        <v>20</v>
      </c>
      <c r="C6129" s="6">
        <v>0.71250000000000002</v>
      </c>
      <c r="D6129" s="5">
        <v>0</v>
      </c>
      <c r="E6129" s="5">
        <v>26</v>
      </c>
      <c r="F6129" s="5" t="s">
        <v>8</v>
      </c>
      <c r="G6129" s="15" t="s">
        <v>9</v>
      </c>
      <c r="H6129" s="24">
        <v>0</v>
      </c>
      <c r="I6129" s="24" t="s">
        <v>21</v>
      </c>
      <c r="J6129" s="24" t="s">
        <v>21</v>
      </c>
      <c r="K6129" s="24" t="s">
        <v>21</v>
      </c>
      <c r="L6129" s="24" t="s">
        <v>21</v>
      </c>
      <c r="M6129" s="24" t="s">
        <v>21</v>
      </c>
      <c r="N6129" s="24" t="s">
        <v>21</v>
      </c>
      <c r="O6129" s="24">
        <v>0</v>
      </c>
      <c r="P6129" s="24" t="s">
        <v>21</v>
      </c>
      <c r="Q6129" s="24" t="s">
        <v>21</v>
      </c>
      <c r="R6129" s="24" t="s">
        <v>21</v>
      </c>
      <c r="S6129" s="24" t="s">
        <v>21</v>
      </c>
    </row>
    <row r="6130" spans="1:19" x14ac:dyDescent="0.2">
      <c r="A6130" s="12">
        <v>45987</v>
      </c>
      <c r="B6130" s="5" t="s">
        <v>20</v>
      </c>
      <c r="C6130" s="6">
        <v>0.71319444444444446</v>
      </c>
      <c r="D6130" s="5">
        <v>0</v>
      </c>
      <c r="E6130" s="5">
        <v>20</v>
      </c>
      <c r="F6130" s="5" t="s">
        <v>8</v>
      </c>
      <c r="G6130" s="15" t="s">
        <v>9</v>
      </c>
      <c r="H6130" s="24">
        <v>0.99999999278225005</v>
      </c>
      <c r="I6130" s="24" t="s">
        <v>21</v>
      </c>
      <c r="J6130" s="24" t="s">
        <v>21</v>
      </c>
      <c r="K6130" s="24" t="s">
        <v>21</v>
      </c>
      <c r="L6130" s="24" t="s">
        <v>21</v>
      </c>
      <c r="M6130" s="24" t="s">
        <v>21</v>
      </c>
      <c r="N6130" s="24" t="s">
        <v>21</v>
      </c>
      <c r="O6130" s="24">
        <v>0.99999999278225005</v>
      </c>
      <c r="P6130" s="24" t="s">
        <v>21</v>
      </c>
      <c r="Q6130" s="24" t="s">
        <v>21</v>
      </c>
      <c r="R6130" s="24" t="s">
        <v>21</v>
      </c>
      <c r="S6130" s="24" t="s">
        <v>21</v>
      </c>
    </row>
    <row r="6131" spans="1:19" x14ac:dyDescent="0.2">
      <c r="A6131" s="12">
        <v>45987</v>
      </c>
      <c r="B6131" s="5" t="s">
        <v>20</v>
      </c>
      <c r="C6131" s="6">
        <v>0.71319444444444446</v>
      </c>
      <c r="D6131" s="5">
        <v>0</v>
      </c>
      <c r="E6131" s="5">
        <v>25</v>
      </c>
      <c r="F6131" s="5" t="s">
        <v>8</v>
      </c>
      <c r="G6131" s="15" t="s">
        <v>9</v>
      </c>
      <c r="H6131" s="24">
        <v>0</v>
      </c>
      <c r="I6131" s="24" t="s">
        <v>21</v>
      </c>
      <c r="J6131" s="24" t="s">
        <v>21</v>
      </c>
      <c r="K6131" s="24" t="s">
        <v>21</v>
      </c>
      <c r="L6131" s="24" t="s">
        <v>21</v>
      </c>
      <c r="M6131" s="24" t="s">
        <v>21</v>
      </c>
      <c r="N6131" s="24" t="s">
        <v>21</v>
      </c>
      <c r="O6131" s="24">
        <v>0</v>
      </c>
      <c r="P6131" s="24" t="s">
        <v>21</v>
      </c>
      <c r="Q6131" s="24" t="s">
        <v>21</v>
      </c>
      <c r="R6131" s="24" t="s">
        <v>21</v>
      </c>
      <c r="S6131" s="24" t="s">
        <v>21</v>
      </c>
    </row>
    <row r="6132" spans="1:19" x14ac:dyDescent="0.2">
      <c r="A6132" s="12">
        <v>45987</v>
      </c>
      <c r="B6132" s="5" t="s">
        <v>20</v>
      </c>
      <c r="C6132" s="6">
        <v>0.71388888888888891</v>
      </c>
      <c r="D6132" s="5">
        <v>0</v>
      </c>
      <c r="E6132" s="5">
        <v>22</v>
      </c>
      <c r="F6132" s="5" t="s">
        <v>8</v>
      </c>
      <c r="G6132" s="15" t="s">
        <v>9</v>
      </c>
      <c r="H6132" s="24">
        <v>1.000000003259629</v>
      </c>
      <c r="I6132" s="24" t="s">
        <v>21</v>
      </c>
      <c r="J6132" s="24" t="s">
        <v>21</v>
      </c>
      <c r="K6132" s="24" t="s">
        <v>21</v>
      </c>
      <c r="L6132" s="24" t="s">
        <v>21</v>
      </c>
      <c r="M6132" s="24" t="s">
        <v>21</v>
      </c>
      <c r="N6132" s="24" t="s">
        <v>21</v>
      </c>
      <c r="O6132" s="24">
        <v>1.000000003259629</v>
      </c>
      <c r="P6132" s="24" t="s">
        <v>21</v>
      </c>
      <c r="Q6132" s="24" t="s">
        <v>21</v>
      </c>
      <c r="R6132" s="24" t="s">
        <v>21</v>
      </c>
      <c r="S6132" s="24" t="s">
        <v>21</v>
      </c>
    </row>
    <row r="6133" spans="1:19" x14ac:dyDescent="0.2">
      <c r="A6133" s="12">
        <v>45987</v>
      </c>
      <c r="B6133" s="5" t="s">
        <v>20</v>
      </c>
      <c r="C6133" s="6">
        <v>0.71388888888888891</v>
      </c>
      <c r="D6133" s="5">
        <v>0</v>
      </c>
      <c r="E6133" s="5">
        <v>19</v>
      </c>
      <c r="F6133" s="5" t="s">
        <v>8</v>
      </c>
      <c r="G6133" s="15" t="s">
        <v>9</v>
      </c>
      <c r="H6133" s="24">
        <v>0</v>
      </c>
      <c r="I6133" s="24" t="s">
        <v>21</v>
      </c>
      <c r="J6133" s="24" t="s">
        <v>21</v>
      </c>
      <c r="K6133" s="24" t="s">
        <v>21</v>
      </c>
      <c r="L6133" s="24" t="s">
        <v>21</v>
      </c>
      <c r="M6133" s="24" t="s">
        <v>21</v>
      </c>
      <c r="N6133" s="24" t="s">
        <v>21</v>
      </c>
      <c r="O6133" s="24">
        <v>0</v>
      </c>
      <c r="P6133" s="24" t="s">
        <v>21</v>
      </c>
      <c r="Q6133" s="24" t="s">
        <v>21</v>
      </c>
      <c r="R6133" s="24" t="s">
        <v>21</v>
      </c>
      <c r="S6133" s="24" t="s">
        <v>21</v>
      </c>
    </row>
    <row r="6134" spans="1:19" x14ac:dyDescent="0.2">
      <c r="A6134" s="12">
        <v>45987</v>
      </c>
      <c r="B6134" s="5" t="s">
        <v>20</v>
      </c>
      <c r="C6134" s="6">
        <v>0.71458333333333335</v>
      </c>
      <c r="D6134" s="5">
        <v>0</v>
      </c>
      <c r="E6134" s="5">
        <v>20</v>
      </c>
      <c r="F6134" s="5" t="s">
        <v>8</v>
      </c>
      <c r="G6134" s="15" t="s">
        <v>9</v>
      </c>
      <c r="H6134" s="24">
        <v>1.000000003259629</v>
      </c>
      <c r="I6134" s="24" t="s">
        <v>21</v>
      </c>
      <c r="J6134" s="24" t="s">
        <v>21</v>
      </c>
      <c r="K6134" s="24" t="s">
        <v>21</v>
      </c>
      <c r="L6134" s="24" t="s">
        <v>21</v>
      </c>
      <c r="M6134" s="24" t="s">
        <v>21</v>
      </c>
      <c r="N6134" s="24" t="s">
        <v>21</v>
      </c>
      <c r="O6134" s="24">
        <v>1.000000003259629</v>
      </c>
      <c r="P6134" s="24" t="s">
        <v>21</v>
      </c>
      <c r="Q6134" s="24" t="s">
        <v>21</v>
      </c>
      <c r="R6134" s="24" t="s">
        <v>21</v>
      </c>
      <c r="S6134" s="24" t="s">
        <v>21</v>
      </c>
    </row>
    <row r="6135" spans="1:19" x14ac:dyDescent="0.2">
      <c r="A6135" s="12">
        <v>45987</v>
      </c>
      <c r="B6135" s="5" t="s">
        <v>20</v>
      </c>
      <c r="C6135" s="6">
        <v>0.71458333333333335</v>
      </c>
      <c r="D6135" s="5">
        <v>0</v>
      </c>
      <c r="E6135" s="5">
        <v>24</v>
      </c>
      <c r="F6135" s="5" t="s">
        <v>8</v>
      </c>
      <c r="G6135" s="15" t="s">
        <v>9</v>
      </c>
      <c r="H6135" s="24">
        <v>0</v>
      </c>
      <c r="I6135" s="24" t="s">
        <v>21</v>
      </c>
      <c r="J6135" s="24" t="s">
        <v>21</v>
      </c>
      <c r="K6135" s="24" t="s">
        <v>21</v>
      </c>
      <c r="L6135" s="24" t="s">
        <v>21</v>
      </c>
      <c r="M6135" s="24" t="s">
        <v>21</v>
      </c>
      <c r="N6135" s="24" t="s">
        <v>21</v>
      </c>
      <c r="O6135" s="24">
        <v>0</v>
      </c>
      <c r="P6135" s="24" t="s">
        <v>21</v>
      </c>
      <c r="Q6135" s="24" t="s">
        <v>21</v>
      </c>
      <c r="R6135" s="24" t="s">
        <v>21</v>
      </c>
      <c r="S6135" s="24" t="s">
        <v>21</v>
      </c>
    </row>
    <row r="6136" spans="1:19" x14ac:dyDescent="0.2">
      <c r="A6136" s="12">
        <v>45987</v>
      </c>
      <c r="B6136" s="5" t="s">
        <v>20</v>
      </c>
      <c r="C6136" s="6">
        <v>0.71527777777777779</v>
      </c>
      <c r="D6136" s="5">
        <v>0</v>
      </c>
      <c r="E6136" s="5">
        <v>0</v>
      </c>
      <c r="F6136" s="5" t="s">
        <v>8</v>
      </c>
      <c r="G6136" s="15" t="s">
        <v>9</v>
      </c>
      <c r="H6136" s="24">
        <v>1.000000003259629</v>
      </c>
      <c r="I6136" s="24" t="s">
        <v>21</v>
      </c>
      <c r="J6136" s="24" t="s">
        <v>21</v>
      </c>
      <c r="K6136" s="24" t="s">
        <v>21</v>
      </c>
      <c r="L6136" s="24" t="s">
        <v>21</v>
      </c>
      <c r="M6136" s="24" t="s">
        <v>21</v>
      </c>
      <c r="N6136" s="24" t="s">
        <v>21</v>
      </c>
      <c r="O6136" s="24">
        <v>1.000000003259629</v>
      </c>
      <c r="P6136" s="24" t="s">
        <v>21</v>
      </c>
      <c r="Q6136" s="24" t="s">
        <v>21</v>
      </c>
      <c r="R6136" s="24" t="s">
        <v>21</v>
      </c>
      <c r="S6136" s="24" t="s">
        <v>21</v>
      </c>
    </row>
    <row r="6137" spans="1:19" x14ac:dyDescent="0.2">
      <c r="A6137" s="12">
        <v>45987</v>
      </c>
      <c r="B6137" s="5" t="s">
        <v>3</v>
      </c>
      <c r="C6137" s="6">
        <v>0.71805555555555556</v>
      </c>
      <c r="D6137" s="5">
        <v>2</v>
      </c>
      <c r="E6137" s="5">
        <v>6</v>
      </c>
      <c r="F6137" s="5" t="s">
        <v>8</v>
      </c>
      <c r="G6137" s="15" t="s">
        <v>9</v>
      </c>
      <c r="H6137" s="24">
        <v>3.9999999920837581</v>
      </c>
      <c r="I6137" s="24">
        <v>440.9999999916181</v>
      </c>
      <c r="J6137" s="24" t="s">
        <v>21</v>
      </c>
      <c r="K6137" s="24" t="s">
        <v>21</v>
      </c>
      <c r="L6137" s="24" t="s">
        <v>21</v>
      </c>
      <c r="M6137" s="24" t="s">
        <v>21</v>
      </c>
      <c r="N6137" s="24" t="s">
        <v>21</v>
      </c>
      <c r="O6137" s="24" t="s">
        <v>21</v>
      </c>
      <c r="P6137" s="24" t="s">
        <v>21</v>
      </c>
      <c r="Q6137" s="24" t="s">
        <v>21</v>
      </c>
      <c r="R6137" s="24" t="s">
        <v>21</v>
      </c>
      <c r="S6137" s="24" t="s">
        <v>21</v>
      </c>
    </row>
    <row r="6138" spans="1:19" x14ac:dyDescent="0.2">
      <c r="A6138" s="12">
        <v>45987</v>
      </c>
      <c r="B6138" s="5" t="s">
        <v>3</v>
      </c>
      <c r="C6138" s="6">
        <v>0.71875</v>
      </c>
      <c r="D6138" s="5">
        <v>1</v>
      </c>
      <c r="E6138" s="5">
        <v>5</v>
      </c>
      <c r="F6138" s="5" t="s">
        <v>8</v>
      </c>
      <c r="G6138" s="15" t="s">
        <v>9</v>
      </c>
      <c r="H6138" s="24">
        <v>1.000000003259629</v>
      </c>
      <c r="I6138" s="24">
        <v>1.000000003259629</v>
      </c>
      <c r="J6138" s="24" t="s">
        <v>21</v>
      </c>
      <c r="K6138" s="24" t="s">
        <v>21</v>
      </c>
      <c r="L6138" s="24" t="s">
        <v>21</v>
      </c>
      <c r="M6138" s="24" t="s">
        <v>21</v>
      </c>
      <c r="N6138" s="24" t="s">
        <v>21</v>
      </c>
      <c r="O6138" s="24" t="s">
        <v>21</v>
      </c>
      <c r="P6138" s="24" t="s">
        <v>21</v>
      </c>
      <c r="Q6138" s="24" t="s">
        <v>21</v>
      </c>
      <c r="R6138" s="24" t="s">
        <v>21</v>
      </c>
      <c r="S6138" s="24" t="s">
        <v>21</v>
      </c>
    </row>
    <row r="6139" spans="1:19" x14ac:dyDescent="0.2">
      <c r="A6139" s="12">
        <v>45987</v>
      </c>
      <c r="B6139" s="5" t="s">
        <v>3</v>
      </c>
      <c r="C6139" s="6">
        <v>0.71875</v>
      </c>
      <c r="D6139" s="5">
        <v>0</v>
      </c>
      <c r="E6139" s="5">
        <v>6</v>
      </c>
      <c r="F6139" s="5" t="s">
        <v>8</v>
      </c>
      <c r="G6139" s="15" t="s">
        <v>9</v>
      </c>
      <c r="H6139" s="24">
        <v>0</v>
      </c>
      <c r="I6139" s="24">
        <v>0</v>
      </c>
      <c r="J6139" s="24" t="s">
        <v>21</v>
      </c>
      <c r="K6139" s="24" t="s">
        <v>21</v>
      </c>
      <c r="L6139" s="24" t="s">
        <v>21</v>
      </c>
      <c r="M6139" s="24" t="s">
        <v>21</v>
      </c>
      <c r="N6139" s="24" t="s">
        <v>21</v>
      </c>
      <c r="O6139" s="24" t="s">
        <v>21</v>
      </c>
      <c r="P6139" s="24" t="s">
        <v>21</v>
      </c>
      <c r="Q6139" s="24" t="s">
        <v>21</v>
      </c>
      <c r="R6139" s="24" t="s">
        <v>21</v>
      </c>
      <c r="S6139" s="24" t="s">
        <v>21</v>
      </c>
    </row>
    <row r="6140" spans="1:19" x14ac:dyDescent="0.2">
      <c r="A6140" s="12">
        <v>45987</v>
      </c>
      <c r="B6140" s="5" t="s">
        <v>3</v>
      </c>
      <c r="C6140" s="6">
        <v>0.71944444444444444</v>
      </c>
      <c r="D6140" s="5">
        <v>0</v>
      </c>
      <c r="E6140" s="5">
        <v>7</v>
      </c>
      <c r="F6140" s="5" t="s">
        <v>8</v>
      </c>
      <c r="G6140" s="15" t="s">
        <v>9</v>
      </c>
      <c r="H6140" s="24">
        <v>1.000000003259629</v>
      </c>
      <c r="I6140" s="24">
        <v>1.000000003259629</v>
      </c>
      <c r="J6140" s="24" t="s">
        <v>21</v>
      </c>
      <c r="K6140" s="24" t="s">
        <v>21</v>
      </c>
      <c r="L6140" s="24" t="s">
        <v>21</v>
      </c>
      <c r="M6140" s="24" t="s">
        <v>21</v>
      </c>
      <c r="N6140" s="24" t="s">
        <v>21</v>
      </c>
      <c r="O6140" s="24" t="s">
        <v>21</v>
      </c>
      <c r="P6140" s="24" t="s">
        <v>21</v>
      </c>
      <c r="Q6140" s="24" t="s">
        <v>21</v>
      </c>
      <c r="R6140" s="24" t="s">
        <v>21</v>
      </c>
      <c r="S6140" s="24" t="s">
        <v>21</v>
      </c>
    </row>
    <row r="6141" spans="1:19" x14ac:dyDescent="0.2">
      <c r="A6141" s="12">
        <v>45987</v>
      </c>
      <c r="B6141" s="5" t="s">
        <v>3</v>
      </c>
      <c r="C6141" s="6">
        <v>0.71944444444444444</v>
      </c>
      <c r="D6141" s="5">
        <v>0</v>
      </c>
      <c r="E6141" s="5">
        <v>5</v>
      </c>
      <c r="F6141" s="5" t="s">
        <v>8</v>
      </c>
      <c r="G6141" s="15" t="s">
        <v>9</v>
      </c>
      <c r="H6141" s="24">
        <v>0</v>
      </c>
      <c r="I6141" s="24">
        <v>0</v>
      </c>
      <c r="J6141" s="24" t="s">
        <v>21</v>
      </c>
      <c r="K6141" s="24" t="s">
        <v>21</v>
      </c>
      <c r="L6141" s="24" t="s">
        <v>21</v>
      </c>
      <c r="M6141" s="24" t="s">
        <v>21</v>
      </c>
      <c r="N6141" s="24" t="s">
        <v>21</v>
      </c>
      <c r="O6141" s="24" t="s">
        <v>21</v>
      </c>
      <c r="P6141" s="24" t="s">
        <v>21</v>
      </c>
      <c r="Q6141" s="24" t="s">
        <v>21</v>
      </c>
      <c r="R6141" s="24" t="s">
        <v>21</v>
      </c>
      <c r="S6141" s="24" t="s">
        <v>21</v>
      </c>
    </row>
    <row r="6142" spans="1:19" x14ac:dyDescent="0.2">
      <c r="A6142" s="12">
        <v>45987</v>
      </c>
      <c r="B6142" s="5" t="s">
        <v>3</v>
      </c>
      <c r="C6142" s="6">
        <v>0.72013888888888888</v>
      </c>
      <c r="D6142" s="5">
        <v>0</v>
      </c>
      <c r="E6142" s="5">
        <v>4</v>
      </c>
      <c r="F6142" s="5" t="s">
        <v>8</v>
      </c>
      <c r="G6142" s="15" t="s">
        <v>9</v>
      </c>
      <c r="H6142" s="24">
        <v>0.99999999278225005</v>
      </c>
      <c r="I6142" s="24">
        <v>0.99999999278225005</v>
      </c>
      <c r="J6142" s="24" t="s">
        <v>21</v>
      </c>
      <c r="K6142" s="24" t="s">
        <v>21</v>
      </c>
      <c r="L6142" s="24" t="s">
        <v>21</v>
      </c>
      <c r="M6142" s="24" t="s">
        <v>21</v>
      </c>
      <c r="N6142" s="24" t="s">
        <v>21</v>
      </c>
      <c r="O6142" s="24" t="s">
        <v>21</v>
      </c>
      <c r="P6142" s="24" t="s">
        <v>21</v>
      </c>
      <c r="Q6142" s="24" t="s">
        <v>21</v>
      </c>
      <c r="R6142" s="24" t="s">
        <v>21</v>
      </c>
      <c r="S6142" s="24" t="s">
        <v>21</v>
      </c>
    </row>
    <row r="6143" spans="1:19" x14ac:dyDescent="0.2">
      <c r="A6143" s="12">
        <v>45987</v>
      </c>
      <c r="B6143" s="5" t="s">
        <v>3</v>
      </c>
      <c r="C6143" s="6">
        <v>0.72083333333333333</v>
      </c>
      <c r="D6143" s="5">
        <v>2</v>
      </c>
      <c r="E6143" s="5">
        <v>4</v>
      </c>
      <c r="F6143" s="5" t="s">
        <v>8</v>
      </c>
      <c r="G6143" s="15" t="s">
        <v>9</v>
      </c>
      <c r="H6143" s="24">
        <v>1.000000003259629</v>
      </c>
      <c r="I6143" s="24">
        <v>1.000000003259629</v>
      </c>
      <c r="J6143" s="24" t="s">
        <v>21</v>
      </c>
      <c r="K6143" s="24" t="s">
        <v>21</v>
      </c>
      <c r="L6143" s="24" t="s">
        <v>21</v>
      </c>
      <c r="M6143" s="24" t="s">
        <v>21</v>
      </c>
      <c r="N6143" s="24" t="s">
        <v>21</v>
      </c>
      <c r="O6143" s="24" t="s">
        <v>21</v>
      </c>
      <c r="P6143" s="24" t="s">
        <v>21</v>
      </c>
      <c r="Q6143" s="24" t="s">
        <v>21</v>
      </c>
      <c r="R6143" s="24" t="s">
        <v>21</v>
      </c>
      <c r="S6143" s="24" t="s">
        <v>21</v>
      </c>
    </row>
    <row r="6144" spans="1:19" x14ac:dyDescent="0.2">
      <c r="A6144" s="12">
        <v>45987</v>
      </c>
      <c r="B6144" s="5" t="s">
        <v>3</v>
      </c>
      <c r="C6144" s="6">
        <v>0.72361111111111109</v>
      </c>
      <c r="D6144" s="5">
        <v>1</v>
      </c>
      <c r="E6144" s="5">
        <v>2</v>
      </c>
      <c r="F6144" s="5" t="s">
        <v>8</v>
      </c>
      <c r="G6144" s="15" t="s">
        <v>9</v>
      </c>
      <c r="H6144" s="24">
        <v>4.0000000025611371</v>
      </c>
      <c r="I6144" s="24">
        <v>4.0000000025611371</v>
      </c>
      <c r="J6144" s="24" t="s">
        <v>21</v>
      </c>
      <c r="K6144" s="24" t="s">
        <v>21</v>
      </c>
      <c r="L6144" s="24" t="s">
        <v>21</v>
      </c>
      <c r="M6144" s="24" t="s">
        <v>21</v>
      </c>
      <c r="N6144" s="24" t="s">
        <v>21</v>
      </c>
      <c r="O6144" s="24" t="s">
        <v>21</v>
      </c>
      <c r="P6144" s="24" t="s">
        <v>21</v>
      </c>
      <c r="Q6144" s="24" t="s">
        <v>21</v>
      </c>
      <c r="R6144" s="24" t="s">
        <v>21</v>
      </c>
      <c r="S6144" s="24" t="s">
        <v>21</v>
      </c>
    </row>
    <row r="6145" spans="1:19" x14ac:dyDescent="0.2">
      <c r="A6145" s="12">
        <v>45987</v>
      </c>
      <c r="B6145" s="5" t="s">
        <v>3</v>
      </c>
      <c r="C6145" s="6">
        <v>0.72430555555555554</v>
      </c>
      <c r="D6145" s="5">
        <v>1</v>
      </c>
      <c r="E6145" s="5">
        <v>2</v>
      </c>
      <c r="F6145" s="5" t="s">
        <v>8</v>
      </c>
      <c r="G6145" s="15" t="s">
        <v>9</v>
      </c>
      <c r="H6145" s="24">
        <v>1.000000003259629</v>
      </c>
      <c r="I6145" s="24">
        <v>1.000000003259629</v>
      </c>
      <c r="J6145" s="24" t="s">
        <v>21</v>
      </c>
      <c r="K6145" s="24" t="s">
        <v>21</v>
      </c>
      <c r="L6145" s="24" t="s">
        <v>21</v>
      </c>
      <c r="M6145" s="24" t="s">
        <v>21</v>
      </c>
      <c r="N6145" s="24" t="s">
        <v>21</v>
      </c>
      <c r="O6145" s="24" t="s">
        <v>21</v>
      </c>
      <c r="P6145" s="24" t="s">
        <v>21</v>
      </c>
      <c r="Q6145" s="24" t="s">
        <v>21</v>
      </c>
      <c r="R6145" s="24" t="s">
        <v>21</v>
      </c>
      <c r="S6145" s="24" t="s">
        <v>21</v>
      </c>
    </row>
    <row r="6146" spans="1:19" x14ac:dyDescent="0.2">
      <c r="A6146" s="12">
        <v>45987</v>
      </c>
      <c r="B6146" s="5" t="s">
        <v>3</v>
      </c>
      <c r="C6146" s="6">
        <v>0.72499999999999998</v>
      </c>
      <c r="D6146" s="5">
        <v>2</v>
      </c>
      <c r="E6146" s="5">
        <v>0</v>
      </c>
      <c r="F6146" s="5" t="s">
        <v>8</v>
      </c>
      <c r="G6146" s="15" t="s">
        <v>9</v>
      </c>
      <c r="H6146" s="24">
        <v>0.99999999278225005</v>
      </c>
      <c r="I6146" s="24">
        <v>0.99999999278225005</v>
      </c>
      <c r="J6146" s="24" t="s">
        <v>21</v>
      </c>
      <c r="K6146" s="24" t="s">
        <v>21</v>
      </c>
      <c r="L6146" s="24" t="s">
        <v>21</v>
      </c>
      <c r="M6146" s="24" t="s">
        <v>21</v>
      </c>
      <c r="N6146" s="24" t="s">
        <v>21</v>
      </c>
      <c r="O6146" s="24" t="s">
        <v>21</v>
      </c>
      <c r="P6146" s="24" t="s">
        <v>21</v>
      </c>
      <c r="Q6146" s="24" t="s">
        <v>21</v>
      </c>
      <c r="R6146" s="24" t="s">
        <v>21</v>
      </c>
      <c r="S6146" s="24" t="s">
        <v>21</v>
      </c>
    </row>
    <row r="6147" spans="1:19" x14ac:dyDescent="0.2">
      <c r="A6147" s="12">
        <v>45987</v>
      </c>
      <c r="B6147" s="5" t="s">
        <v>3</v>
      </c>
      <c r="C6147" s="6">
        <v>0.7270833333333333</v>
      </c>
      <c r="D6147" s="5">
        <v>4</v>
      </c>
      <c r="E6147" s="5">
        <v>0</v>
      </c>
      <c r="F6147" s="5" t="s">
        <v>8</v>
      </c>
      <c r="G6147" s="15" t="s">
        <v>9</v>
      </c>
      <c r="H6147" s="24">
        <v>2.9999999993015081</v>
      </c>
      <c r="I6147" s="24">
        <v>2.9999999993015081</v>
      </c>
      <c r="J6147" s="24" t="s">
        <v>21</v>
      </c>
      <c r="K6147" s="24" t="s">
        <v>21</v>
      </c>
      <c r="L6147" s="24" t="s">
        <v>21</v>
      </c>
      <c r="M6147" s="24" t="s">
        <v>21</v>
      </c>
      <c r="N6147" s="24" t="s">
        <v>21</v>
      </c>
      <c r="O6147" s="24" t="s">
        <v>21</v>
      </c>
      <c r="P6147" s="24" t="s">
        <v>21</v>
      </c>
      <c r="Q6147" s="24" t="s">
        <v>21</v>
      </c>
      <c r="R6147" s="24" t="s">
        <v>21</v>
      </c>
      <c r="S6147" s="24" t="s">
        <v>21</v>
      </c>
    </row>
    <row r="6148" spans="1:19" x14ac:dyDescent="0.2">
      <c r="A6148" s="12">
        <v>45987</v>
      </c>
      <c r="B6148" s="5" t="s">
        <v>3</v>
      </c>
      <c r="C6148" s="6">
        <v>0.7270833333333333</v>
      </c>
      <c r="D6148" s="5">
        <v>2</v>
      </c>
      <c r="E6148" s="5">
        <v>1</v>
      </c>
      <c r="F6148" s="5" t="s">
        <v>8</v>
      </c>
      <c r="G6148" s="15" t="s">
        <v>9</v>
      </c>
      <c r="H6148" s="24">
        <v>0</v>
      </c>
      <c r="I6148" s="24">
        <v>0</v>
      </c>
      <c r="J6148" s="24" t="s">
        <v>21</v>
      </c>
      <c r="K6148" s="24" t="s">
        <v>21</v>
      </c>
      <c r="L6148" s="24" t="s">
        <v>21</v>
      </c>
      <c r="M6148" s="24" t="s">
        <v>21</v>
      </c>
      <c r="N6148" s="24" t="s">
        <v>21</v>
      </c>
      <c r="O6148" s="24" t="s">
        <v>21</v>
      </c>
      <c r="P6148" s="24" t="s">
        <v>21</v>
      </c>
      <c r="Q6148" s="24" t="s">
        <v>21</v>
      </c>
      <c r="R6148" s="24" t="s">
        <v>21</v>
      </c>
      <c r="S6148" s="24" t="s">
        <v>21</v>
      </c>
    </row>
    <row r="6149" spans="1:19" x14ac:dyDescent="0.2">
      <c r="A6149" s="12">
        <v>45987</v>
      </c>
      <c r="B6149" s="5" t="s">
        <v>3</v>
      </c>
      <c r="C6149" s="6">
        <v>0.73055555555555551</v>
      </c>
      <c r="D6149" s="5">
        <v>2</v>
      </c>
      <c r="E6149" s="5">
        <v>1</v>
      </c>
      <c r="F6149" s="5" t="s">
        <v>8</v>
      </c>
      <c r="G6149" s="15" t="s">
        <v>9</v>
      </c>
      <c r="H6149" s="24">
        <v>5.0000000058207661</v>
      </c>
      <c r="I6149" s="24">
        <v>5.0000000058207661</v>
      </c>
      <c r="J6149" s="24" t="s">
        <v>21</v>
      </c>
      <c r="K6149" s="24" t="s">
        <v>21</v>
      </c>
      <c r="L6149" s="24" t="s">
        <v>21</v>
      </c>
      <c r="M6149" s="24" t="s">
        <v>21</v>
      </c>
      <c r="N6149" s="24" t="s">
        <v>21</v>
      </c>
      <c r="O6149" s="24" t="s">
        <v>21</v>
      </c>
      <c r="P6149" s="24" t="s">
        <v>21</v>
      </c>
      <c r="Q6149" s="24" t="s">
        <v>21</v>
      </c>
      <c r="R6149" s="24" t="s">
        <v>21</v>
      </c>
      <c r="S6149" s="24" t="s">
        <v>21</v>
      </c>
    </row>
    <row r="6150" spans="1:19" x14ac:dyDescent="0.2">
      <c r="A6150" s="12">
        <v>45987</v>
      </c>
      <c r="B6150" s="5" t="s">
        <v>3</v>
      </c>
      <c r="C6150" s="6">
        <v>0.73124999999999996</v>
      </c>
      <c r="D6150" s="5">
        <v>2</v>
      </c>
      <c r="E6150" s="5">
        <v>0</v>
      </c>
      <c r="F6150" s="5" t="s">
        <v>8</v>
      </c>
      <c r="G6150" s="15" t="s">
        <v>9</v>
      </c>
      <c r="H6150" s="24">
        <v>0.99999999278225005</v>
      </c>
      <c r="I6150" s="24">
        <v>0.99999999278225005</v>
      </c>
      <c r="J6150" s="24" t="s">
        <v>21</v>
      </c>
      <c r="K6150" s="24" t="s">
        <v>21</v>
      </c>
      <c r="L6150" s="24" t="s">
        <v>21</v>
      </c>
      <c r="M6150" s="24" t="s">
        <v>21</v>
      </c>
      <c r="N6150" s="24" t="s">
        <v>21</v>
      </c>
      <c r="O6150" s="24" t="s">
        <v>21</v>
      </c>
      <c r="P6150" s="24" t="s">
        <v>21</v>
      </c>
      <c r="Q6150" s="24" t="s">
        <v>21</v>
      </c>
      <c r="R6150" s="24" t="s">
        <v>21</v>
      </c>
      <c r="S6150" s="24" t="s">
        <v>21</v>
      </c>
    </row>
    <row r="6151" spans="1:19" x14ac:dyDescent="0.2">
      <c r="A6151" s="13">
        <v>45987</v>
      </c>
      <c r="B6151" s="7" t="s">
        <v>3</v>
      </c>
      <c r="C6151" s="8">
        <v>0.73124999999999996</v>
      </c>
      <c r="D6151" s="7">
        <v>1</v>
      </c>
      <c r="E6151" s="7">
        <v>2</v>
      </c>
      <c r="F6151" s="7" t="s">
        <v>8</v>
      </c>
      <c r="G6151" s="16" t="s">
        <v>9</v>
      </c>
      <c r="H6151" s="25">
        <v>0</v>
      </c>
      <c r="I6151" s="25">
        <v>0</v>
      </c>
      <c r="J6151" s="25" t="s">
        <v>21</v>
      </c>
      <c r="K6151" s="25" t="s">
        <v>21</v>
      </c>
      <c r="L6151" s="25" t="s">
        <v>21</v>
      </c>
      <c r="M6151" s="25" t="s">
        <v>21</v>
      </c>
      <c r="N6151" s="25" t="s">
        <v>21</v>
      </c>
      <c r="O6151" s="25" t="s">
        <v>21</v>
      </c>
      <c r="P6151" s="25" t="s">
        <v>21</v>
      </c>
      <c r="Q6151" s="25" t="s">
        <v>21</v>
      </c>
      <c r="R6151" s="25" t="s">
        <v>21</v>
      </c>
      <c r="S6151" s="25" t="s">
        <v>21</v>
      </c>
    </row>
    <row r="6152" spans="1:19" x14ac:dyDescent="0.2">
      <c r="A6152" s="12">
        <v>45988</v>
      </c>
      <c r="B6152" s="5" t="str">
        <f t="shared" ref="A6152:C6152" si="1128">B6151</f>
        <v>Northern Cardinal</v>
      </c>
      <c r="C6152" s="6">
        <v>0.28472222222222221</v>
      </c>
      <c r="D6152" s="5"/>
      <c r="E6152" s="5"/>
      <c r="F6152" s="5" t="s">
        <v>8</v>
      </c>
      <c r="G6152" s="15" t="s">
        <v>9</v>
      </c>
      <c r="H6152" s="24">
        <f t="shared" ref="H6106:H6169" si="1129">IFERROR((($A6152+$C6152) - ($A6151+$C6151))*24*60, "")</f>
        <v>796.99999999953434</v>
      </c>
      <c r="I6152" s="24" cm="1">
        <f t="array" ref="I6152">IFERROR(IF($B6152=I$1, ($A6152+$C6152) - MAX(IF($B$2:$B6151=$B6152, $A$2:$A6151+$C$2:$C6151)), "")*24*60, "")</f>
        <v>796.99999999953434</v>
      </c>
      <c r="J6152" s="24" t="str" cm="1">
        <f t="array" ref="J6152">IFERROR(IF($B6152=J$1, ($A6152+$C6152) - MAX(IF($B$2:$B6151=$B6152, $A$2:$A6151+$C$2:$C6151)), "")*24*60, "")</f>
        <v/>
      </c>
      <c r="K6152" s="24" t="str" cm="1">
        <f t="array" ref="K6152">IFERROR(IF($B6152=K$1, ($A6152+$C6152) - MAX(IF($B$2:$B6151=$B6152, $A$2:$A6151+$C$2:$C6151)), "")*24*60, "")</f>
        <v/>
      </c>
      <c r="L6152" s="24" t="str" cm="1">
        <f t="array" ref="L6152">IFERROR(IF($B6152=L$1, ($A6152+$C6152) - MAX(IF($B$2:$B6151=$B6152, $A$2:$A6151+$C$2:$C6151)), "")*24*60, "")</f>
        <v/>
      </c>
      <c r="M6152" s="24" t="str" cm="1">
        <f t="array" ref="M6152">IFERROR(IF($B6152=M$1, ($A6152+$C6152) - MAX(IF($B$2:$B6151=$B6152, $A$2:$A6151+$C$2:$C6151)), "")*24*60, "")</f>
        <v/>
      </c>
      <c r="N6152" s="24" t="str" cm="1">
        <f t="array" ref="N6152">IFERROR(IF($B6152=N$1, ($A6152+$C6152) - MAX(IF($B$2:$B6151=$B6152, $A$2:$A6151+$C$2:$C6151)), "")*24*60, "")</f>
        <v/>
      </c>
      <c r="O6152" s="24" t="str" cm="1">
        <f t="array" ref="O6152">IFERROR(IF($B6152=O$1, ($A6152+$C6152) - MAX(IF($B$2:$B6151=$B6152, $A$2:$A6151+$C$2:$C6151)), "")*24*60, "")</f>
        <v/>
      </c>
      <c r="P6152" s="24" t="str" cm="1">
        <f t="array" ref="P6152">IFERROR(IF($B6152=P$1, ($A6152+$C6152) - MAX(IF($B$2:$B6151=$B6152, $A$2:$A6151+$C$2:$C6151)), "")*24*60, "")</f>
        <v/>
      </c>
      <c r="Q6152" s="24" t="str" cm="1">
        <f t="array" ref="Q6152">IFERROR(IF($B6152=Q$1, ($A6152+$C6152) - MAX(IF($B$2:$B6151=$B6152, $A$2:$A6151+$C$2:$C6151)), "")*24*60, "")</f>
        <v/>
      </c>
      <c r="R6152" s="24" t="str" cm="1">
        <f t="array" ref="R6152">IFERROR(IF($B6152=R$1, ($A6152+$C6152) - MAX(IF($B$2:$B6151=$B6152, $A$2:$A6151+$C$2:$C6151)), "")*24*60, "")</f>
        <v/>
      </c>
      <c r="S6152" s="24" t="str" cm="1">
        <f t="array" ref="S6152">IFERROR(IF($B6152=S$1, ($A6152+$C6152) - MAX(IF($B$2:$B6151=$B6152, $A$2:$A6151+$C$2:$C6151)), "")*24*60, "")</f>
        <v/>
      </c>
    </row>
    <row r="6153" spans="1:19" x14ac:dyDescent="0.2">
      <c r="A6153" s="12">
        <f t="shared" ref="A6153:C6153" si="1130">A6152</f>
        <v>45988</v>
      </c>
      <c r="B6153" s="5" t="str">
        <f t="shared" si="1130"/>
        <v>Northern Cardinal</v>
      </c>
      <c r="C6153" s="6">
        <f t="shared" si="1130"/>
        <v>0.28472222222222221</v>
      </c>
      <c r="D6153" s="5"/>
      <c r="E6153" s="5"/>
      <c r="F6153" s="5" t="s">
        <v>8</v>
      </c>
      <c r="G6153" s="15" t="s">
        <v>9</v>
      </c>
      <c r="H6153" s="24">
        <f t="shared" si="1129"/>
        <v>0</v>
      </c>
      <c r="I6153" s="24" cm="1">
        <f t="array" ref="I6153">IFERROR(IF($B6153=I$1, ($A6153+$C6153) - MAX(IF($B$2:$B6152=$B6153, $A$2:$A6152+$C$2:$C6152)), "")*24*60, "")</f>
        <v>0</v>
      </c>
      <c r="J6153" s="24" t="str" cm="1">
        <f t="array" ref="J6153">IFERROR(IF($B6153=J$1, ($A6153+$C6153) - MAX(IF($B$2:$B6152=$B6153, $A$2:$A6152+$C$2:$C6152)), "")*24*60, "")</f>
        <v/>
      </c>
      <c r="K6153" s="24" t="str" cm="1">
        <f t="array" ref="K6153">IFERROR(IF($B6153=K$1, ($A6153+$C6153) - MAX(IF($B$2:$B6152=$B6153, $A$2:$A6152+$C$2:$C6152)), "")*24*60, "")</f>
        <v/>
      </c>
      <c r="L6153" s="24" t="str" cm="1">
        <f t="array" ref="L6153">IFERROR(IF($B6153=L$1, ($A6153+$C6153) - MAX(IF($B$2:$B6152=$B6153, $A$2:$A6152+$C$2:$C6152)), "")*24*60, "")</f>
        <v/>
      </c>
      <c r="M6153" s="24" t="str" cm="1">
        <f t="array" ref="M6153">IFERROR(IF($B6153=M$1, ($A6153+$C6153) - MAX(IF($B$2:$B6152=$B6153, $A$2:$A6152+$C$2:$C6152)), "")*24*60, "")</f>
        <v/>
      </c>
      <c r="N6153" s="24" t="str" cm="1">
        <f t="array" ref="N6153">IFERROR(IF($B6153=N$1, ($A6153+$C6153) - MAX(IF($B$2:$B6152=$B6153, $A$2:$A6152+$C$2:$C6152)), "")*24*60, "")</f>
        <v/>
      </c>
      <c r="O6153" s="24" t="str" cm="1">
        <f t="array" ref="O6153">IFERROR(IF($B6153=O$1, ($A6153+$C6153) - MAX(IF($B$2:$B6152=$B6153, $A$2:$A6152+$C$2:$C6152)), "")*24*60, "")</f>
        <v/>
      </c>
      <c r="P6153" s="24" t="str" cm="1">
        <f t="array" ref="P6153">IFERROR(IF($B6153=P$1, ($A6153+$C6153) - MAX(IF($B$2:$B6152=$B6153, $A$2:$A6152+$C$2:$C6152)), "")*24*60, "")</f>
        <v/>
      </c>
      <c r="Q6153" s="24" t="str" cm="1">
        <f t="array" ref="Q6153">IFERROR(IF($B6153=Q$1, ($A6153+$C6153) - MAX(IF($B$2:$B6152=$B6153, $A$2:$A6152+$C$2:$C6152)), "")*24*60, "")</f>
        <v/>
      </c>
      <c r="R6153" s="24" t="str" cm="1">
        <f t="array" ref="R6153">IFERROR(IF($B6153=R$1, ($A6153+$C6153) - MAX(IF($B$2:$B6152=$B6153, $A$2:$A6152+$C$2:$C6152)), "")*24*60, "")</f>
        <v/>
      </c>
      <c r="S6153" s="24" t="str" cm="1">
        <f t="array" ref="S6153">IFERROR(IF($B6153=S$1, ($A6153+$C6153) - MAX(IF($B$2:$B6152=$B6153, $A$2:$A6152+$C$2:$C6152)), "")*24*60, "")</f>
        <v/>
      </c>
    </row>
    <row r="6154" spans="1:19" x14ac:dyDescent="0.2">
      <c r="A6154" s="12">
        <f t="shared" ref="A6154:C6154" si="1131">A6153</f>
        <v>45988</v>
      </c>
      <c r="B6154" s="5" t="str">
        <f t="shared" si="1131"/>
        <v>Northern Cardinal</v>
      </c>
      <c r="C6154" s="6">
        <f t="shared" si="1131"/>
        <v>0.28472222222222221</v>
      </c>
      <c r="D6154" s="5"/>
      <c r="E6154" s="5"/>
      <c r="F6154" s="5" t="s">
        <v>8</v>
      </c>
      <c r="G6154" s="15" t="s">
        <v>9</v>
      </c>
      <c r="H6154" s="24">
        <f t="shared" si="1129"/>
        <v>0</v>
      </c>
      <c r="I6154" s="24" cm="1">
        <f t="array" ref="I6154">IFERROR(IF($B6154=I$1, ($A6154+$C6154) - MAX(IF($B$2:$B6153=$B6154, $A$2:$A6153+$C$2:$C6153)), "")*24*60, "")</f>
        <v>0</v>
      </c>
      <c r="J6154" s="24" t="str" cm="1">
        <f t="array" ref="J6154">IFERROR(IF($B6154=J$1, ($A6154+$C6154) - MAX(IF($B$2:$B6153=$B6154, $A$2:$A6153+$C$2:$C6153)), "")*24*60, "")</f>
        <v/>
      </c>
      <c r="K6154" s="24" t="str" cm="1">
        <f t="array" ref="K6154">IFERROR(IF($B6154=K$1, ($A6154+$C6154) - MAX(IF($B$2:$B6153=$B6154, $A$2:$A6153+$C$2:$C6153)), "")*24*60, "")</f>
        <v/>
      </c>
      <c r="L6154" s="24" t="str" cm="1">
        <f t="array" ref="L6154">IFERROR(IF($B6154=L$1, ($A6154+$C6154) - MAX(IF($B$2:$B6153=$B6154, $A$2:$A6153+$C$2:$C6153)), "")*24*60, "")</f>
        <v/>
      </c>
      <c r="M6154" s="24" t="str" cm="1">
        <f t="array" ref="M6154">IFERROR(IF($B6154=M$1, ($A6154+$C6154) - MAX(IF($B$2:$B6153=$B6154, $A$2:$A6153+$C$2:$C6153)), "")*24*60, "")</f>
        <v/>
      </c>
      <c r="N6154" s="24" t="str" cm="1">
        <f t="array" ref="N6154">IFERROR(IF($B6154=N$1, ($A6154+$C6154) - MAX(IF($B$2:$B6153=$B6154, $A$2:$A6153+$C$2:$C6153)), "")*24*60, "")</f>
        <v/>
      </c>
      <c r="O6154" s="24" t="str" cm="1">
        <f t="array" ref="O6154">IFERROR(IF($B6154=O$1, ($A6154+$C6154) - MAX(IF($B$2:$B6153=$B6154, $A$2:$A6153+$C$2:$C6153)), "")*24*60, "")</f>
        <v/>
      </c>
      <c r="P6154" s="24" t="str" cm="1">
        <f t="array" ref="P6154">IFERROR(IF($B6154=P$1, ($A6154+$C6154) - MAX(IF($B$2:$B6153=$B6154, $A$2:$A6153+$C$2:$C6153)), "")*24*60, "")</f>
        <v/>
      </c>
      <c r="Q6154" s="24" t="str" cm="1">
        <f t="array" ref="Q6154">IFERROR(IF($B6154=Q$1, ($A6154+$C6154) - MAX(IF($B$2:$B6153=$B6154, $A$2:$A6153+$C$2:$C6153)), "")*24*60, "")</f>
        <v/>
      </c>
      <c r="R6154" s="24" t="str" cm="1">
        <f t="array" ref="R6154">IFERROR(IF($B6154=R$1, ($A6154+$C6154) - MAX(IF($B$2:$B6153=$B6154, $A$2:$A6153+$C$2:$C6153)), "")*24*60, "")</f>
        <v/>
      </c>
      <c r="S6154" s="24" t="str" cm="1">
        <f t="array" ref="S6154">IFERROR(IF($B6154=S$1, ($A6154+$C6154) - MAX(IF($B$2:$B6153=$B6154, $A$2:$A6153+$C$2:$C6153)), "")*24*60, "")</f>
        <v/>
      </c>
    </row>
    <row r="6155" spans="1:19" x14ac:dyDescent="0.2">
      <c r="A6155" s="12">
        <f t="shared" ref="A6155:C6155" si="1132">A6154</f>
        <v>45988</v>
      </c>
      <c r="B6155" s="5" t="str">
        <f t="shared" si="1132"/>
        <v>Northern Cardinal</v>
      </c>
      <c r="C6155" s="6">
        <f t="shared" si="1132"/>
        <v>0.28472222222222221</v>
      </c>
      <c r="D6155" s="5"/>
      <c r="E6155" s="5"/>
      <c r="F6155" s="5" t="s">
        <v>8</v>
      </c>
      <c r="G6155" s="15" t="s">
        <v>9</v>
      </c>
      <c r="H6155" s="24">
        <f t="shared" si="1129"/>
        <v>0</v>
      </c>
      <c r="I6155" s="24" cm="1">
        <f t="array" ref="I6155">IFERROR(IF($B6155=I$1, ($A6155+$C6155) - MAX(IF($B$2:$B6154=$B6155, $A$2:$A6154+$C$2:$C6154)), "")*24*60, "")</f>
        <v>0</v>
      </c>
      <c r="J6155" s="24" t="str" cm="1">
        <f t="array" ref="J6155">IFERROR(IF($B6155=J$1, ($A6155+$C6155) - MAX(IF($B$2:$B6154=$B6155, $A$2:$A6154+$C$2:$C6154)), "")*24*60, "")</f>
        <v/>
      </c>
      <c r="K6155" s="24" t="str" cm="1">
        <f t="array" ref="K6155">IFERROR(IF($B6155=K$1, ($A6155+$C6155) - MAX(IF($B$2:$B6154=$B6155, $A$2:$A6154+$C$2:$C6154)), "")*24*60, "")</f>
        <v/>
      </c>
      <c r="L6155" s="24" t="str" cm="1">
        <f t="array" ref="L6155">IFERROR(IF($B6155=L$1, ($A6155+$C6155) - MAX(IF($B$2:$B6154=$B6155, $A$2:$A6154+$C$2:$C6154)), "")*24*60, "")</f>
        <v/>
      </c>
      <c r="M6155" s="24" t="str" cm="1">
        <f t="array" ref="M6155">IFERROR(IF($B6155=M$1, ($A6155+$C6155) - MAX(IF($B$2:$B6154=$B6155, $A$2:$A6154+$C$2:$C6154)), "")*24*60, "")</f>
        <v/>
      </c>
      <c r="N6155" s="24" t="str" cm="1">
        <f t="array" ref="N6155">IFERROR(IF($B6155=N$1, ($A6155+$C6155) - MAX(IF($B$2:$B6154=$B6155, $A$2:$A6154+$C$2:$C6154)), "")*24*60, "")</f>
        <v/>
      </c>
      <c r="O6155" s="24" t="str" cm="1">
        <f t="array" ref="O6155">IFERROR(IF($B6155=O$1, ($A6155+$C6155) - MAX(IF($B$2:$B6154=$B6155, $A$2:$A6154+$C$2:$C6154)), "")*24*60, "")</f>
        <v/>
      </c>
      <c r="P6155" s="24" t="str" cm="1">
        <f t="array" ref="P6155">IFERROR(IF($B6155=P$1, ($A6155+$C6155) - MAX(IF($B$2:$B6154=$B6155, $A$2:$A6154+$C$2:$C6154)), "")*24*60, "")</f>
        <v/>
      </c>
      <c r="Q6155" s="24" t="str" cm="1">
        <f t="array" ref="Q6155">IFERROR(IF($B6155=Q$1, ($A6155+$C6155) - MAX(IF($B$2:$B6154=$B6155, $A$2:$A6154+$C$2:$C6154)), "")*24*60, "")</f>
        <v/>
      </c>
      <c r="R6155" s="24" t="str" cm="1">
        <f t="array" ref="R6155">IFERROR(IF($B6155=R$1, ($A6155+$C6155) - MAX(IF($B$2:$B6154=$B6155, $A$2:$A6154+$C$2:$C6154)), "")*24*60, "")</f>
        <v/>
      </c>
      <c r="S6155" s="24" t="str" cm="1">
        <f t="array" ref="S6155">IFERROR(IF($B6155=S$1, ($A6155+$C6155) - MAX(IF($B$2:$B6154=$B6155, $A$2:$A6154+$C$2:$C6154)), "")*24*60, "")</f>
        <v/>
      </c>
    </row>
    <row r="6156" spans="1:19" x14ac:dyDescent="0.2">
      <c r="A6156" s="12">
        <f t="shared" ref="A6156:C6156" si="1133">A6155</f>
        <v>45988</v>
      </c>
      <c r="B6156" s="5" t="str">
        <f t="shared" si="1133"/>
        <v>Northern Cardinal</v>
      </c>
      <c r="C6156" s="6">
        <f t="shared" si="1133"/>
        <v>0.28472222222222221</v>
      </c>
      <c r="D6156" s="5"/>
      <c r="E6156" s="5"/>
      <c r="F6156" s="5" t="s">
        <v>8</v>
      </c>
      <c r="G6156" s="15" t="s">
        <v>9</v>
      </c>
      <c r="H6156" s="24">
        <f t="shared" si="1129"/>
        <v>0</v>
      </c>
      <c r="I6156" s="24" cm="1">
        <f t="array" ref="I6156">IFERROR(IF($B6156=I$1, ($A6156+$C6156) - MAX(IF($B$2:$B6155=$B6156, $A$2:$A6155+$C$2:$C6155)), "")*24*60, "")</f>
        <v>0</v>
      </c>
      <c r="J6156" s="24" t="str" cm="1">
        <f t="array" ref="J6156">IFERROR(IF($B6156=J$1, ($A6156+$C6156) - MAX(IF($B$2:$B6155=$B6156, $A$2:$A6155+$C$2:$C6155)), "")*24*60, "")</f>
        <v/>
      </c>
      <c r="K6156" s="24" t="str" cm="1">
        <f t="array" ref="K6156">IFERROR(IF($B6156=K$1, ($A6156+$C6156) - MAX(IF($B$2:$B6155=$B6156, $A$2:$A6155+$C$2:$C6155)), "")*24*60, "")</f>
        <v/>
      </c>
      <c r="L6156" s="24" t="str" cm="1">
        <f t="array" ref="L6156">IFERROR(IF($B6156=L$1, ($A6156+$C6156) - MAX(IF($B$2:$B6155=$B6156, $A$2:$A6155+$C$2:$C6155)), "")*24*60, "")</f>
        <v/>
      </c>
      <c r="M6156" s="24" t="str" cm="1">
        <f t="array" ref="M6156">IFERROR(IF($B6156=M$1, ($A6156+$C6156) - MAX(IF($B$2:$B6155=$B6156, $A$2:$A6155+$C$2:$C6155)), "")*24*60, "")</f>
        <v/>
      </c>
      <c r="N6156" s="24" t="str" cm="1">
        <f t="array" ref="N6156">IFERROR(IF($B6156=N$1, ($A6156+$C6156) - MAX(IF($B$2:$B6155=$B6156, $A$2:$A6155+$C$2:$C6155)), "")*24*60, "")</f>
        <v/>
      </c>
      <c r="O6156" s="24" t="str" cm="1">
        <f t="array" ref="O6156">IFERROR(IF($B6156=O$1, ($A6156+$C6156) - MAX(IF($B$2:$B6155=$B6156, $A$2:$A6155+$C$2:$C6155)), "")*24*60, "")</f>
        <v/>
      </c>
      <c r="P6156" s="24" t="str" cm="1">
        <f t="array" ref="P6156">IFERROR(IF($B6156=P$1, ($A6156+$C6156) - MAX(IF($B$2:$B6155=$B6156, $A$2:$A6155+$C$2:$C6155)), "")*24*60, "")</f>
        <v/>
      </c>
      <c r="Q6156" s="24" t="str" cm="1">
        <f t="array" ref="Q6156">IFERROR(IF($B6156=Q$1, ($A6156+$C6156) - MAX(IF($B$2:$B6155=$B6156, $A$2:$A6155+$C$2:$C6155)), "")*24*60, "")</f>
        <v/>
      </c>
      <c r="R6156" s="24" t="str" cm="1">
        <f t="array" ref="R6156">IFERROR(IF($B6156=R$1, ($A6156+$C6156) - MAX(IF($B$2:$B6155=$B6156, $A$2:$A6155+$C$2:$C6155)), "")*24*60, "")</f>
        <v/>
      </c>
      <c r="S6156" s="24" t="str" cm="1">
        <f t="array" ref="S6156">IFERROR(IF($B6156=S$1, ($A6156+$C6156) - MAX(IF($B$2:$B6155=$B6156, $A$2:$A6155+$C$2:$C6155)), "")*24*60, "")</f>
        <v/>
      </c>
    </row>
    <row r="6157" spans="1:19" x14ac:dyDescent="0.2">
      <c r="A6157" s="12">
        <f t="shared" ref="A6157:C6157" si="1134">A6156</f>
        <v>45988</v>
      </c>
      <c r="B6157" s="5" t="str">
        <f t="shared" si="1134"/>
        <v>Northern Cardinal</v>
      </c>
      <c r="C6157" s="6">
        <f t="shared" si="1134"/>
        <v>0.28472222222222221</v>
      </c>
      <c r="D6157" s="5"/>
      <c r="E6157" s="5"/>
      <c r="F6157" s="5" t="s">
        <v>8</v>
      </c>
      <c r="G6157" s="15" t="s">
        <v>9</v>
      </c>
      <c r="H6157" s="24">
        <f t="shared" si="1129"/>
        <v>0</v>
      </c>
      <c r="I6157" s="24" cm="1">
        <f t="array" ref="I6157">IFERROR(IF($B6157=I$1, ($A6157+$C6157) - MAX(IF($B$2:$B6156=$B6157, $A$2:$A6156+$C$2:$C6156)), "")*24*60, "")</f>
        <v>0</v>
      </c>
      <c r="J6157" s="24" t="str" cm="1">
        <f t="array" ref="J6157">IFERROR(IF($B6157=J$1, ($A6157+$C6157) - MAX(IF($B$2:$B6156=$B6157, $A$2:$A6156+$C$2:$C6156)), "")*24*60, "")</f>
        <v/>
      </c>
      <c r="K6157" s="24" t="str" cm="1">
        <f t="array" ref="K6157">IFERROR(IF($B6157=K$1, ($A6157+$C6157) - MAX(IF($B$2:$B6156=$B6157, $A$2:$A6156+$C$2:$C6156)), "")*24*60, "")</f>
        <v/>
      </c>
      <c r="L6157" s="24" t="str" cm="1">
        <f t="array" ref="L6157">IFERROR(IF($B6157=L$1, ($A6157+$C6157) - MAX(IF($B$2:$B6156=$B6157, $A$2:$A6156+$C$2:$C6156)), "")*24*60, "")</f>
        <v/>
      </c>
      <c r="M6157" s="24" t="str" cm="1">
        <f t="array" ref="M6157">IFERROR(IF($B6157=M$1, ($A6157+$C6157) - MAX(IF($B$2:$B6156=$B6157, $A$2:$A6156+$C$2:$C6156)), "")*24*60, "")</f>
        <v/>
      </c>
      <c r="N6157" s="24" t="str" cm="1">
        <f t="array" ref="N6157">IFERROR(IF($B6157=N$1, ($A6157+$C6157) - MAX(IF($B$2:$B6156=$B6157, $A$2:$A6156+$C$2:$C6156)), "")*24*60, "")</f>
        <v/>
      </c>
      <c r="O6157" s="24" t="str" cm="1">
        <f t="array" ref="O6157">IFERROR(IF($B6157=O$1, ($A6157+$C6157) - MAX(IF($B$2:$B6156=$B6157, $A$2:$A6156+$C$2:$C6156)), "")*24*60, "")</f>
        <v/>
      </c>
      <c r="P6157" s="24" t="str" cm="1">
        <f t="array" ref="P6157">IFERROR(IF($B6157=P$1, ($A6157+$C6157) - MAX(IF($B$2:$B6156=$B6157, $A$2:$A6156+$C$2:$C6156)), "")*24*60, "")</f>
        <v/>
      </c>
      <c r="Q6157" s="24" t="str" cm="1">
        <f t="array" ref="Q6157">IFERROR(IF($B6157=Q$1, ($A6157+$C6157) - MAX(IF($B$2:$B6156=$B6157, $A$2:$A6156+$C$2:$C6156)), "")*24*60, "")</f>
        <v/>
      </c>
      <c r="R6157" s="24" t="str" cm="1">
        <f t="array" ref="R6157">IFERROR(IF($B6157=R$1, ($A6157+$C6157) - MAX(IF($B$2:$B6156=$B6157, $A$2:$A6156+$C$2:$C6156)), "")*24*60, "")</f>
        <v/>
      </c>
      <c r="S6157" s="24" t="str" cm="1">
        <f t="array" ref="S6157">IFERROR(IF($B6157=S$1, ($A6157+$C6157) - MAX(IF($B$2:$B6156=$B6157, $A$2:$A6156+$C$2:$C6156)), "")*24*60, "")</f>
        <v/>
      </c>
    </row>
    <row r="6158" spans="1:19" x14ac:dyDescent="0.2">
      <c r="A6158" s="12">
        <f t="shared" ref="A6158:C6158" si="1135">A6157</f>
        <v>45988</v>
      </c>
      <c r="B6158" s="5" t="str">
        <f t="shared" si="1135"/>
        <v>Northern Cardinal</v>
      </c>
      <c r="C6158" s="6">
        <f t="shared" si="1135"/>
        <v>0.28472222222222221</v>
      </c>
      <c r="D6158" s="5"/>
      <c r="E6158" s="5"/>
      <c r="F6158" s="5" t="s">
        <v>8</v>
      </c>
      <c r="G6158" s="15" t="s">
        <v>9</v>
      </c>
      <c r="H6158" s="24">
        <f t="shared" si="1129"/>
        <v>0</v>
      </c>
      <c r="I6158" s="24" cm="1">
        <f t="array" ref="I6158">IFERROR(IF($B6158=I$1, ($A6158+$C6158) - MAX(IF($B$2:$B6157=$B6158, $A$2:$A6157+$C$2:$C6157)), "")*24*60, "")</f>
        <v>0</v>
      </c>
      <c r="J6158" s="24" t="str" cm="1">
        <f t="array" ref="J6158">IFERROR(IF($B6158=J$1, ($A6158+$C6158) - MAX(IF($B$2:$B6157=$B6158, $A$2:$A6157+$C$2:$C6157)), "")*24*60, "")</f>
        <v/>
      </c>
      <c r="K6158" s="24" t="str" cm="1">
        <f t="array" ref="K6158">IFERROR(IF($B6158=K$1, ($A6158+$C6158) - MAX(IF($B$2:$B6157=$B6158, $A$2:$A6157+$C$2:$C6157)), "")*24*60, "")</f>
        <v/>
      </c>
      <c r="L6158" s="24" t="str" cm="1">
        <f t="array" ref="L6158">IFERROR(IF($B6158=L$1, ($A6158+$C6158) - MAX(IF($B$2:$B6157=$B6158, $A$2:$A6157+$C$2:$C6157)), "")*24*60, "")</f>
        <v/>
      </c>
      <c r="M6158" s="24" t="str" cm="1">
        <f t="array" ref="M6158">IFERROR(IF($B6158=M$1, ($A6158+$C6158) - MAX(IF($B$2:$B6157=$B6158, $A$2:$A6157+$C$2:$C6157)), "")*24*60, "")</f>
        <v/>
      </c>
      <c r="N6158" s="24" t="str" cm="1">
        <f t="array" ref="N6158">IFERROR(IF($B6158=N$1, ($A6158+$C6158) - MAX(IF($B$2:$B6157=$B6158, $A$2:$A6157+$C$2:$C6157)), "")*24*60, "")</f>
        <v/>
      </c>
      <c r="O6158" s="24" t="str" cm="1">
        <f t="array" ref="O6158">IFERROR(IF($B6158=O$1, ($A6158+$C6158) - MAX(IF($B$2:$B6157=$B6158, $A$2:$A6157+$C$2:$C6157)), "")*24*60, "")</f>
        <v/>
      </c>
      <c r="P6158" s="24" t="str" cm="1">
        <f t="array" ref="P6158">IFERROR(IF($B6158=P$1, ($A6158+$C6158) - MAX(IF($B$2:$B6157=$B6158, $A$2:$A6157+$C$2:$C6157)), "")*24*60, "")</f>
        <v/>
      </c>
      <c r="Q6158" s="24" t="str" cm="1">
        <f t="array" ref="Q6158">IFERROR(IF($B6158=Q$1, ($A6158+$C6158) - MAX(IF($B$2:$B6157=$B6158, $A$2:$A6157+$C$2:$C6157)), "")*24*60, "")</f>
        <v/>
      </c>
      <c r="R6158" s="24" t="str" cm="1">
        <f t="array" ref="R6158">IFERROR(IF($B6158=R$1, ($A6158+$C6158) - MAX(IF($B$2:$B6157=$B6158, $A$2:$A6157+$C$2:$C6157)), "")*24*60, "")</f>
        <v/>
      </c>
      <c r="S6158" s="24" t="str" cm="1">
        <f t="array" ref="S6158">IFERROR(IF($B6158=S$1, ($A6158+$C6158) - MAX(IF($B$2:$B6157=$B6158, $A$2:$A6157+$C$2:$C6157)), "")*24*60, "")</f>
        <v/>
      </c>
    </row>
    <row r="6159" spans="1:19" x14ac:dyDescent="0.2">
      <c r="A6159" s="12">
        <f t="shared" ref="A6159:C6159" si="1136">A6158</f>
        <v>45988</v>
      </c>
      <c r="B6159" s="5" t="str">
        <f t="shared" si="1136"/>
        <v>Northern Cardinal</v>
      </c>
      <c r="C6159" s="6">
        <f t="shared" si="1136"/>
        <v>0.28472222222222221</v>
      </c>
      <c r="D6159" s="5"/>
      <c r="E6159" s="5"/>
      <c r="F6159" s="5" t="s">
        <v>8</v>
      </c>
      <c r="G6159" s="15" t="s">
        <v>9</v>
      </c>
      <c r="H6159" s="24">
        <f t="shared" si="1129"/>
        <v>0</v>
      </c>
      <c r="I6159" s="24" cm="1">
        <f t="array" ref="I6159">IFERROR(IF($B6159=I$1, ($A6159+$C6159) - MAX(IF($B$2:$B6158=$B6159, $A$2:$A6158+$C$2:$C6158)), "")*24*60, "")</f>
        <v>0</v>
      </c>
      <c r="J6159" s="24" t="str" cm="1">
        <f t="array" ref="J6159">IFERROR(IF($B6159=J$1, ($A6159+$C6159) - MAX(IF($B$2:$B6158=$B6159, $A$2:$A6158+$C$2:$C6158)), "")*24*60, "")</f>
        <v/>
      </c>
      <c r="K6159" s="24" t="str" cm="1">
        <f t="array" ref="K6159">IFERROR(IF($B6159=K$1, ($A6159+$C6159) - MAX(IF($B$2:$B6158=$B6159, $A$2:$A6158+$C$2:$C6158)), "")*24*60, "")</f>
        <v/>
      </c>
      <c r="L6159" s="24" t="str" cm="1">
        <f t="array" ref="L6159">IFERROR(IF($B6159=L$1, ($A6159+$C6159) - MAX(IF($B$2:$B6158=$B6159, $A$2:$A6158+$C$2:$C6158)), "")*24*60, "")</f>
        <v/>
      </c>
      <c r="M6159" s="24" t="str" cm="1">
        <f t="array" ref="M6159">IFERROR(IF($B6159=M$1, ($A6159+$C6159) - MAX(IF($B$2:$B6158=$B6159, $A$2:$A6158+$C$2:$C6158)), "")*24*60, "")</f>
        <v/>
      </c>
      <c r="N6159" s="24" t="str" cm="1">
        <f t="array" ref="N6159">IFERROR(IF($B6159=N$1, ($A6159+$C6159) - MAX(IF($B$2:$B6158=$B6159, $A$2:$A6158+$C$2:$C6158)), "")*24*60, "")</f>
        <v/>
      </c>
      <c r="O6159" s="24" t="str" cm="1">
        <f t="array" ref="O6159">IFERROR(IF($B6159=O$1, ($A6159+$C6159) - MAX(IF($B$2:$B6158=$B6159, $A$2:$A6158+$C$2:$C6158)), "")*24*60, "")</f>
        <v/>
      </c>
      <c r="P6159" s="24" t="str" cm="1">
        <f t="array" ref="P6159">IFERROR(IF($B6159=P$1, ($A6159+$C6159) - MAX(IF($B$2:$B6158=$B6159, $A$2:$A6158+$C$2:$C6158)), "")*24*60, "")</f>
        <v/>
      </c>
      <c r="Q6159" s="24" t="str" cm="1">
        <f t="array" ref="Q6159">IFERROR(IF($B6159=Q$1, ($A6159+$C6159) - MAX(IF($B$2:$B6158=$B6159, $A$2:$A6158+$C$2:$C6158)), "")*24*60, "")</f>
        <v/>
      </c>
      <c r="R6159" s="24" t="str" cm="1">
        <f t="array" ref="R6159">IFERROR(IF($B6159=R$1, ($A6159+$C6159) - MAX(IF($B$2:$B6158=$B6159, $A$2:$A6158+$C$2:$C6158)), "")*24*60, "")</f>
        <v/>
      </c>
      <c r="S6159" s="24" t="str" cm="1">
        <f t="array" ref="S6159">IFERROR(IF($B6159=S$1, ($A6159+$C6159) - MAX(IF($B$2:$B6158=$B6159, $A$2:$A6158+$C$2:$C6158)), "")*24*60, "")</f>
        <v/>
      </c>
    </row>
    <row r="6160" spans="1:19" x14ac:dyDescent="0.2">
      <c r="A6160" s="12">
        <f t="shared" ref="A6160:C6160" si="1137">A6159</f>
        <v>45988</v>
      </c>
      <c r="B6160" s="5" t="str">
        <f t="shared" si="1137"/>
        <v>Northern Cardinal</v>
      </c>
      <c r="C6160" s="6">
        <f t="shared" si="1137"/>
        <v>0.28472222222222221</v>
      </c>
      <c r="D6160" s="5"/>
      <c r="E6160" s="5"/>
      <c r="F6160" s="5" t="s">
        <v>8</v>
      </c>
      <c r="G6160" s="15" t="s">
        <v>9</v>
      </c>
      <c r="H6160" s="24">
        <f t="shared" si="1129"/>
        <v>0</v>
      </c>
      <c r="I6160" s="24" cm="1">
        <f t="array" ref="I6160">IFERROR(IF($B6160=I$1, ($A6160+$C6160) - MAX(IF($B$2:$B6159=$B6160, $A$2:$A6159+$C$2:$C6159)), "")*24*60, "")</f>
        <v>0</v>
      </c>
      <c r="J6160" s="24" t="str" cm="1">
        <f t="array" ref="J6160">IFERROR(IF($B6160=J$1, ($A6160+$C6160) - MAX(IF($B$2:$B6159=$B6160, $A$2:$A6159+$C$2:$C6159)), "")*24*60, "")</f>
        <v/>
      </c>
      <c r="K6160" s="24" t="str" cm="1">
        <f t="array" ref="K6160">IFERROR(IF($B6160=K$1, ($A6160+$C6160) - MAX(IF($B$2:$B6159=$B6160, $A$2:$A6159+$C$2:$C6159)), "")*24*60, "")</f>
        <v/>
      </c>
      <c r="L6160" s="24" t="str" cm="1">
        <f t="array" ref="L6160">IFERROR(IF($B6160=L$1, ($A6160+$C6160) - MAX(IF($B$2:$B6159=$B6160, $A$2:$A6159+$C$2:$C6159)), "")*24*60, "")</f>
        <v/>
      </c>
      <c r="M6160" s="24" t="str" cm="1">
        <f t="array" ref="M6160">IFERROR(IF($B6160=M$1, ($A6160+$C6160) - MAX(IF($B$2:$B6159=$B6160, $A$2:$A6159+$C$2:$C6159)), "")*24*60, "")</f>
        <v/>
      </c>
      <c r="N6160" s="24" t="str" cm="1">
        <f t="array" ref="N6160">IFERROR(IF($B6160=N$1, ($A6160+$C6160) - MAX(IF($B$2:$B6159=$B6160, $A$2:$A6159+$C$2:$C6159)), "")*24*60, "")</f>
        <v/>
      </c>
      <c r="O6160" s="24" t="str" cm="1">
        <f t="array" ref="O6160">IFERROR(IF($B6160=O$1, ($A6160+$C6160) - MAX(IF($B$2:$B6159=$B6160, $A$2:$A6159+$C$2:$C6159)), "")*24*60, "")</f>
        <v/>
      </c>
      <c r="P6160" s="24" t="str" cm="1">
        <f t="array" ref="P6160">IFERROR(IF($B6160=P$1, ($A6160+$C6160) - MAX(IF($B$2:$B6159=$B6160, $A$2:$A6159+$C$2:$C6159)), "")*24*60, "")</f>
        <v/>
      </c>
      <c r="Q6160" s="24" t="str" cm="1">
        <f t="array" ref="Q6160">IFERROR(IF($B6160=Q$1, ($A6160+$C6160) - MAX(IF($B$2:$B6159=$B6160, $A$2:$A6159+$C$2:$C6159)), "")*24*60, "")</f>
        <v/>
      </c>
      <c r="R6160" s="24" t="str" cm="1">
        <f t="array" ref="R6160">IFERROR(IF($B6160=R$1, ($A6160+$C6160) - MAX(IF($B$2:$B6159=$B6160, $A$2:$A6159+$C$2:$C6159)), "")*24*60, "")</f>
        <v/>
      </c>
      <c r="S6160" s="24" t="str" cm="1">
        <f t="array" ref="S6160">IFERROR(IF($B6160=S$1, ($A6160+$C6160) - MAX(IF($B$2:$B6159=$B6160, $A$2:$A6159+$C$2:$C6159)), "")*24*60, "")</f>
        <v/>
      </c>
    </row>
    <row r="6161" spans="1:19" x14ac:dyDescent="0.2">
      <c r="A6161" s="12">
        <f t="shared" ref="A6161:C6161" si="1138">A6160</f>
        <v>45988</v>
      </c>
      <c r="B6161" s="5" t="str">
        <f t="shared" si="1138"/>
        <v>Northern Cardinal</v>
      </c>
      <c r="C6161" s="6">
        <f t="shared" si="1138"/>
        <v>0.28472222222222221</v>
      </c>
      <c r="D6161" s="5"/>
      <c r="E6161" s="5"/>
      <c r="F6161" s="5" t="s">
        <v>8</v>
      </c>
      <c r="G6161" s="15" t="s">
        <v>9</v>
      </c>
      <c r="H6161" s="24">
        <f t="shared" si="1129"/>
        <v>0</v>
      </c>
      <c r="I6161" s="24" cm="1">
        <f t="array" ref="I6161">IFERROR(IF($B6161=I$1, ($A6161+$C6161) - MAX(IF($B$2:$B6160=$B6161, $A$2:$A6160+$C$2:$C6160)), "")*24*60, "")</f>
        <v>0</v>
      </c>
      <c r="J6161" s="24" t="str" cm="1">
        <f t="array" ref="J6161">IFERROR(IF($B6161=J$1, ($A6161+$C6161) - MAX(IF($B$2:$B6160=$B6161, $A$2:$A6160+$C$2:$C6160)), "")*24*60, "")</f>
        <v/>
      </c>
      <c r="K6161" s="24" t="str" cm="1">
        <f t="array" ref="K6161">IFERROR(IF($B6161=K$1, ($A6161+$C6161) - MAX(IF($B$2:$B6160=$B6161, $A$2:$A6160+$C$2:$C6160)), "")*24*60, "")</f>
        <v/>
      </c>
      <c r="L6161" s="24" t="str" cm="1">
        <f t="array" ref="L6161">IFERROR(IF($B6161=L$1, ($A6161+$C6161) - MAX(IF($B$2:$B6160=$B6161, $A$2:$A6160+$C$2:$C6160)), "")*24*60, "")</f>
        <v/>
      </c>
      <c r="M6161" s="24" t="str" cm="1">
        <f t="array" ref="M6161">IFERROR(IF($B6161=M$1, ($A6161+$C6161) - MAX(IF($B$2:$B6160=$B6161, $A$2:$A6160+$C$2:$C6160)), "")*24*60, "")</f>
        <v/>
      </c>
      <c r="N6161" s="24" t="str" cm="1">
        <f t="array" ref="N6161">IFERROR(IF($B6161=N$1, ($A6161+$C6161) - MAX(IF($B$2:$B6160=$B6161, $A$2:$A6160+$C$2:$C6160)), "")*24*60, "")</f>
        <v/>
      </c>
      <c r="O6161" s="24" t="str" cm="1">
        <f t="array" ref="O6161">IFERROR(IF($B6161=O$1, ($A6161+$C6161) - MAX(IF($B$2:$B6160=$B6161, $A$2:$A6160+$C$2:$C6160)), "")*24*60, "")</f>
        <v/>
      </c>
      <c r="P6161" s="24" t="str" cm="1">
        <f t="array" ref="P6161">IFERROR(IF($B6161=P$1, ($A6161+$C6161) - MAX(IF($B$2:$B6160=$B6161, $A$2:$A6160+$C$2:$C6160)), "")*24*60, "")</f>
        <v/>
      </c>
      <c r="Q6161" s="24" t="str" cm="1">
        <f t="array" ref="Q6161">IFERROR(IF($B6161=Q$1, ($A6161+$C6161) - MAX(IF($B$2:$B6160=$B6161, $A$2:$A6160+$C$2:$C6160)), "")*24*60, "")</f>
        <v/>
      </c>
      <c r="R6161" s="24" t="str" cm="1">
        <f t="array" ref="R6161">IFERROR(IF($B6161=R$1, ($A6161+$C6161) - MAX(IF($B$2:$B6160=$B6161, $A$2:$A6160+$C$2:$C6160)), "")*24*60, "")</f>
        <v/>
      </c>
      <c r="S6161" s="24" t="str" cm="1">
        <f t="array" ref="S6161">IFERROR(IF($B6161=S$1, ($A6161+$C6161) - MAX(IF($B$2:$B6160=$B6161, $A$2:$A6160+$C$2:$C6160)), "")*24*60, "")</f>
        <v/>
      </c>
    </row>
    <row r="6162" spans="1:19" x14ac:dyDescent="0.2">
      <c r="A6162" s="12">
        <f t="shared" ref="A6162:C6162" si="1139">A6161</f>
        <v>45988</v>
      </c>
      <c r="B6162" s="5" t="str">
        <f t="shared" si="1139"/>
        <v>Northern Cardinal</v>
      </c>
      <c r="C6162" s="6">
        <f t="shared" si="1139"/>
        <v>0.28472222222222221</v>
      </c>
      <c r="D6162" s="5"/>
      <c r="E6162" s="5"/>
      <c r="F6162" s="5" t="s">
        <v>8</v>
      </c>
      <c r="G6162" s="15" t="s">
        <v>9</v>
      </c>
      <c r="H6162" s="24">
        <f t="shared" si="1129"/>
        <v>0</v>
      </c>
      <c r="I6162" s="24" cm="1">
        <f t="array" ref="I6162">IFERROR(IF($B6162=I$1, ($A6162+$C6162) - MAX(IF($B$2:$B6161=$B6162, $A$2:$A6161+$C$2:$C6161)), "")*24*60, "")</f>
        <v>0</v>
      </c>
      <c r="J6162" s="24" t="str" cm="1">
        <f t="array" ref="J6162">IFERROR(IF($B6162=J$1, ($A6162+$C6162) - MAX(IF($B$2:$B6161=$B6162, $A$2:$A6161+$C$2:$C6161)), "")*24*60, "")</f>
        <v/>
      </c>
      <c r="K6162" s="24" t="str" cm="1">
        <f t="array" ref="K6162">IFERROR(IF($B6162=K$1, ($A6162+$C6162) - MAX(IF($B$2:$B6161=$B6162, $A$2:$A6161+$C$2:$C6161)), "")*24*60, "")</f>
        <v/>
      </c>
      <c r="L6162" s="24" t="str" cm="1">
        <f t="array" ref="L6162">IFERROR(IF($B6162=L$1, ($A6162+$C6162) - MAX(IF($B$2:$B6161=$B6162, $A$2:$A6161+$C$2:$C6161)), "")*24*60, "")</f>
        <v/>
      </c>
      <c r="M6162" s="24" t="str" cm="1">
        <f t="array" ref="M6162">IFERROR(IF($B6162=M$1, ($A6162+$C6162) - MAX(IF($B$2:$B6161=$B6162, $A$2:$A6161+$C$2:$C6161)), "")*24*60, "")</f>
        <v/>
      </c>
      <c r="N6162" s="24" t="str" cm="1">
        <f t="array" ref="N6162">IFERROR(IF($B6162=N$1, ($A6162+$C6162) - MAX(IF($B$2:$B6161=$B6162, $A$2:$A6161+$C$2:$C6161)), "")*24*60, "")</f>
        <v/>
      </c>
      <c r="O6162" s="24" t="str" cm="1">
        <f t="array" ref="O6162">IFERROR(IF($B6162=O$1, ($A6162+$C6162) - MAX(IF($B$2:$B6161=$B6162, $A$2:$A6161+$C$2:$C6161)), "")*24*60, "")</f>
        <v/>
      </c>
      <c r="P6162" s="24" t="str" cm="1">
        <f t="array" ref="P6162">IFERROR(IF($B6162=P$1, ($A6162+$C6162) - MAX(IF($B$2:$B6161=$B6162, $A$2:$A6161+$C$2:$C6161)), "")*24*60, "")</f>
        <v/>
      </c>
      <c r="Q6162" s="24" t="str" cm="1">
        <f t="array" ref="Q6162">IFERROR(IF($B6162=Q$1, ($A6162+$C6162) - MAX(IF($B$2:$B6161=$B6162, $A$2:$A6161+$C$2:$C6161)), "")*24*60, "")</f>
        <v/>
      </c>
      <c r="R6162" s="24" t="str" cm="1">
        <f t="array" ref="R6162">IFERROR(IF($B6162=R$1, ($A6162+$C6162) - MAX(IF($B$2:$B6161=$B6162, $A$2:$A6161+$C$2:$C6161)), "")*24*60, "")</f>
        <v/>
      </c>
      <c r="S6162" s="24" t="str" cm="1">
        <f t="array" ref="S6162">IFERROR(IF($B6162=S$1, ($A6162+$C6162) - MAX(IF($B$2:$B6161=$B6162, $A$2:$A6161+$C$2:$C6161)), "")*24*60, "")</f>
        <v/>
      </c>
    </row>
    <row r="6163" spans="1:19" x14ac:dyDescent="0.2">
      <c r="A6163" s="12">
        <f t="shared" ref="A6163:C6163" si="1140">A6162</f>
        <v>45988</v>
      </c>
      <c r="B6163" s="5" t="str">
        <f t="shared" si="1140"/>
        <v>Northern Cardinal</v>
      </c>
      <c r="C6163" s="6">
        <f t="shared" si="1140"/>
        <v>0.28472222222222221</v>
      </c>
      <c r="D6163" s="5"/>
      <c r="E6163" s="5"/>
      <c r="F6163" s="5" t="s">
        <v>8</v>
      </c>
      <c r="G6163" s="15" t="s">
        <v>9</v>
      </c>
      <c r="H6163" s="24">
        <f t="shared" si="1129"/>
        <v>0</v>
      </c>
      <c r="I6163" s="24" cm="1">
        <f t="array" ref="I6163">IFERROR(IF($B6163=I$1, ($A6163+$C6163) - MAX(IF($B$2:$B6162=$B6163, $A$2:$A6162+$C$2:$C6162)), "")*24*60, "")</f>
        <v>0</v>
      </c>
      <c r="J6163" s="24" t="str" cm="1">
        <f t="array" ref="J6163">IFERROR(IF($B6163=J$1, ($A6163+$C6163) - MAX(IF($B$2:$B6162=$B6163, $A$2:$A6162+$C$2:$C6162)), "")*24*60, "")</f>
        <v/>
      </c>
      <c r="K6163" s="24" t="str" cm="1">
        <f t="array" ref="K6163">IFERROR(IF($B6163=K$1, ($A6163+$C6163) - MAX(IF($B$2:$B6162=$B6163, $A$2:$A6162+$C$2:$C6162)), "")*24*60, "")</f>
        <v/>
      </c>
      <c r="L6163" s="24" t="str" cm="1">
        <f t="array" ref="L6163">IFERROR(IF($B6163=L$1, ($A6163+$C6163) - MAX(IF($B$2:$B6162=$B6163, $A$2:$A6162+$C$2:$C6162)), "")*24*60, "")</f>
        <v/>
      </c>
      <c r="M6163" s="24" t="str" cm="1">
        <f t="array" ref="M6163">IFERROR(IF($B6163=M$1, ($A6163+$C6163) - MAX(IF($B$2:$B6162=$B6163, $A$2:$A6162+$C$2:$C6162)), "")*24*60, "")</f>
        <v/>
      </c>
      <c r="N6163" s="24" t="str" cm="1">
        <f t="array" ref="N6163">IFERROR(IF($B6163=N$1, ($A6163+$C6163) - MAX(IF($B$2:$B6162=$B6163, $A$2:$A6162+$C$2:$C6162)), "")*24*60, "")</f>
        <v/>
      </c>
      <c r="O6163" s="24" t="str" cm="1">
        <f t="array" ref="O6163">IFERROR(IF($B6163=O$1, ($A6163+$C6163) - MAX(IF($B$2:$B6162=$B6163, $A$2:$A6162+$C$2:$C6162)), "")*24*60, "")</f>
        <v/>
      </c>
      <c r="P6163" s="24" t="str" cm="1">
        <f t="array" ref="P6163">IFERROR(IF($B6163=P$1, ($A6163+$C6163) - MAX(IF($B$2:$B6162=$B6163, $A$2:$A6162+$C$2:$C6162)), "")*24*60, "")</f>
        <v/>
      </c>
      <c r="Q6163" s="24" t="str" cm="1">
        <f t="array" ref="Q6163">IFERROR(IF($B6163=Q$1, ($A6163+$C6163) - MAX(IF($B$2:$B6162=$B6163, $A$2:$A6162+$C$2:$C6162)), "")*24*60, "")</f>
        <v/>
      </c>
      <c r="R6163" s="24" t="str" cm="1">
        <f t="array" ref="R6163">IFERROR(IF($B6163=R$1, ($A6163+$C6163) - MAX(IF($B$2:$B6162=$B6163, $A$2:$A6162+$C$2:$C6162)), "")*24*60, "")</f>
        <v/>
      </c>
      <c r="S6163" s="24" t="str" cm="1">
        <f t="array" ref="S6163">IFERROR(IF($B6163=S$1, ($A6163+$C6163) - MAX(IF($B$2:$B6162=$B6163, $A$2:$A6162+$C$2:$C6162)), "")*24*60, "")</f>
        <v/>
      </c>
    </row>
    <row r="6164" spans="1:19" x14ac:dyDescent="0.2">
      <c r="A6164" s="12">
        <f t="shared" ref="A6164:C6164" si="1141">A6163</f>
        <v>45988</v>
      </c>
      <c r="B6164" s="5" t="str">
        <f t="shared" si="1141"/>
        <v>Northern Cardinal</v>
      </c>
      <c r="C6164" s="6">
        <f t="shared" si="1141"/>
        <v>0.28472222222222221</v>
      </c>
      <c r="D6164" s="5"/>
      <c r="E6164" s="5"/>
      <c r="F6164" s="5" t="s">
        <v>8</v>
      </c>
      <c r="G6164" s="15" t="s">
        <v>9</v>
      </c>
      <c r="H6164" s="24">
        <f t="shared" si="1129"/>
        <v>0</v>
      </c>
      <c r="I6164" s="24" cm="1">
        <f t="array" ref="I6164">IFERROR(IF($B6164=I$1, ($A6164+$C6164) - MAX(IF($B$2:$B6163=$B6164, $A$2:$A6163+$C$2:$C6163)), "")*24*60, "")</f>
        <v>0</v>
      </c>
      <c r="J6164" s="24" t="str" cm="1">
        <f t="array" ref="J6164">IFERROR(IF($B6164=J$1, ($A6164+$C6164) - MAX(IF($B$2:$B6163=$B6164, $A$2:$A6163+$C$2:$C6163)), "")*24*60, "")</f>
        <v/>
      </c>
      <c r="K6164" s="24" t="str" cm="1">
        <f t="array" ref="K6164">IFERROR(IF($B6164=K$1, ($A6164+$C6164) - MAX(IF($B$2:$B6163=$B6164, $A$2:$A6163+$C$2:$C6163)), "")*24*60, "")</f>
        <v/>
      </c>
      <c r="L6164" s="24" t="str" cm="1">
        <f t="array" ref="L6164">IFERROR(IF($B6164=L$1, ($A6164+$C6164) - MAX(IF($B$2:$B6163=$B6164, $A$2:$A6163+$C$2:$C6163)), "")*24*60, "")</f>
        <v/>
      </c>
      <c r="M6164" s="24" t="str" cm="1">
        <f t="array" ref="M6164">IFERROR(IF($B6164=M$1, ($A6164+$C6164) - MAX(IF($B$2:$B6163=$B6164, $A$2:$A6163+$C$2:$C6163)), "")*24*60, "")</f>
        <v/>
      </c>
      <c r="N6164" s="24" t="str" cm="1">
        <f t="array" ref="N6164">IFERROR(IF($B6164=N$1, ($A6164+$C6164) - MAX(IF($B$2:$B6163=$B6164, $A$2:$A6163+$C$2:$C6163)), "")*24*60, "")</f>
        <v/>
      </c>
      <c r="O6164" s="24" t="str" cm="1">
        <f t="array" ref="O6164">IFERROR(IF($B6164=O$1, ($A6164+$C6164) - MAX(IF($B$2:$B6163=$B6164, $A$2:$A6163+$C$2:$C6163)), "")*24*60, "")</f>
        <v/>
      </c>
      <c r="P6164" s="24" t="str" cm="1">
        <f t="array" ref="P6164">IFERROR(IF($B6164=P$1, ($A6164+$C6164) - MAX(IF($B$2:$B6163=$B6164, $A$2:$A6163+$C$2:$C6163)), "")*24*60, "")</f>
        <v/>
      </c>
      <c r="Q6164" s="24" t="str" cm="1">
        <f t="array" ref="Q6164">IFERROR(IF($B6164=Q$1, ($A6164+$C6164) - MAX(IF($B$2:$B6163=$B6164, $A$2:$A6163+$C$2:$C6163)), "")*24*60, "")</f>
        <v/>
      </c>
      <c r="R6164" s="24" t="str" cm="1">
        <f t="array" ref="R6164">IFERROR(IF($B6164=R$1, ($A6164+$C6164) - MAX(IF($B$2:$B6163=$B6164, $A$2:$A6163+$C$2:$C6163)), "")*24*60, "")</f>
        <v/>
      </c>
      <c r="S6164" s="24" t="str" cm="1">
        <f t="array" ref="S6164">IFERROR(IF($B6164=S$1, ($A6164+$C6164) - MAX(IF($B$2:$B6163=$B6164, $A$2:$A6163+$C$2:$C6163)), "")*24*60, "")</f>
        <v/>
      </c>
    </row>
    <row r="6165" spans="1:19" x14ac:dyDescent="0.2">
      <c r="A6165" s="12">
        <f t="shared" ref="A6165:C6165" si="1142">A6164</f>
        <v>45988</v>
      </c>
      <c r="B6165" s="5" t="str">
        <f t="shared" si="1142"/>
        <v>Northern Cardinal</v>
      </c>
      <c r="C6165" s="6">
        <f t="shared" si="1142"/>
        <v>0.28472222222222221</v>
      </c>
      <c r="D6165" s="5"/>
      <c r="E6165" s="5"/>
      <c r="F6165" s="5" t="s">
        <v>8</v>
      </c>
      <c r="G6165" s="15" t="s">
        <v>9</v>
      </c>
      <c r="H6165" s="24">
        <f t="shared" si="1129"/>
        <v>0</v>
      </c>
      <c r="I6165" s="24" cm="1">
        <f t="array" ref="I6165">IFERROR(IF($B6165=I$1, ($A6165+$C6165) - MAX(IF($B$2:$B6164=$B6165, $A$2:$A6164+$C$2:$C6164)), "")*24*60, "")</f>
        <v>0</v>
      </c>
      <c r="J6165" s="24" t="str" cm="1">
        <f t="array" ref="J6165">IFERROR(IF($B6165=J$1, ($A6165+$C6165) - MAX(IF($B$2:$B6164=$B6165, $A$2:$A6164+$C$2:$C6164)), "")*24*60, "")</f>
        <v/>
      </c>
      <c r="K6165" s="24" t="str" cm="1">
        <f t="array" ref="K6165">IFERROR(IF($B6165=K$1, ($A6165+$C6165) - MAX(IF($B$2:$B6164=$B6165, $A$2:$A6164+$C$2:$C6164)), "")*24*60, "")</f>
        <v/>
      </c>
      <c r="L6165" s="24" t="str" cm="1">
        <f t="array" ref="L6165">IFERROR(IF($B6165=L$1, ($A6165+$C6165) - MAX(IF($B$2:$B6164=$B6165, $A$2:$A6164+$C$2:$C6164)), "")*24*60, "")</f>
        <v/>
      </c>
      <c r="M6165" s="24" t="str" cm="1">
        <f t="array" ref="M6165">IFERROR(IF($B6165=M$1, ($A6165+$C6165) - MAX(IF($B$2:$B6164=$B6165, $A$2:$A6164+$C$2:$C6164)), "")*24*60, "")</f>
        <v/>
      </c>
      <c r="N6165" s="24" t="str" cm="1">
        <f t="array" ref="N6165">IFERROR(IF($B6165=N$1, ($A6165+$C6165) - MAX(IF($B$2:$B6164=$B6165, $A$2:$A6164+$C$2:$C6164)), "")*24*60, "")</f>
        <v/>
      </c>
      <c r="O6165" s="24" t="str" cm="1">
        <f t="array" ref="O6165">IFERROR(IF($B6165=O$1, ($A6165+$C6165) - MAX(IF($B$2:$B6164=$B6165, $A$2:$A6164+$C$2:$C6164)), "")*24*60, "")</f>
        <v/>
      </c>
      <c r="P6165" s="24" t="str" cm="1">
        <f t="array" ref="P6165">IFERROR(IF($B6165=P$1, ($A6165+$C6165) - MAX(IF($B$2:$B6164=$B6165, $A$2:$A6164+$C$2:$C6164)), "")*24*60, "")</f>
        <v/>
      </c>
      <c r="Q6165" s="24" t="str" cm="1">
        <f t="array" ref="Q6165">IFERROR(IF($B6165=Q$1, ($A6165+$C6165) - MAX(IF($B$2:$B6164=$B6165, $A$2:$A6164+$C$2:$C6164)), "")*24*60, "")</f>
        <v/>
      </c>
      <c r="R6165" s="24" t="str" cm="1">
        <f t="array" ref="R6165">IFERROR(IF($B6165=R$1, ($A6165+$C6165) - MAX(IF($B$2:$B6164=$B6165, $A$2:$A6164+$C$2:$C6164)), "")*24*60, "")</f>
        <v/>
      </c>
      <c r="S6165" s="24" t="str" cm="1">
        <f t="array" ref="S6165">IFERROR(IF($B6165=S$1, ($A6165+$C6165) - MAX(IF($B$2:$B6164=$B6165, $A$2:$A6164+$C$2:$C6164)), "")*24*60, "")</f>
        <v/>
      </c>
    </row>
    <row r="6166" spans="1:19" x14ac:dyDescent="0.2">
      <c r="A6166" s="12">
        <f t="shared" ref="A6166:C6166" si="1143">A6165</f>
        <v>45988</v>
      </c>
      <c r="B6166" s="5" t="str">
        <f t="shared" si="1143"/>
        <v>Northern Cardinal</v>
      </c>
      <c r="C6166" s="6">
        <f t="shared" si="1143"/>
        <v>0.28472222222222221</v>
      </c>
      <c r="D6166" s="5"/>
      <c r="E6166" s="5"/>
      <c r="F6166" s="5" t="s">
        <v>8</v>
      </c>
      <c r="G6166" s="15" t="s">
        <v>9</v>
      </c>
      <c r="H6166" s="24">
        <f t="shared" si="1129"/>
        <v>0</v>
      </c>
      <c r="I6166" s="24" cm="1">
        <f t="array" ref="I6166">IFERROR(IF($B6166=I$1, ($A6166+$C6166) - MAX(IF($B$2:$B6165=$B6166, $A$2:$A6165+$C$2:$C6165)), "")*24*60, "")</f>
        <v>0</v>
      </c>
      <c r="J6166" s="24" t="str" cm="1">
        <f t="array" ref="J6166">IFERROR(IF($B6166=J$1, ($A6166+$C6166) - MAX(IF($B$2:$B6165=$B6166, $A$2:$A6165+$C$2:$C6165)), "")*24*60, "")</f>
        <v/>
      </c>
      <c r="K6166" s="24" t="str" cm="1">
        <f t="array" ref="K6166">IFERROR(IF($B6166=K$1, ($A6166+$C6166) - MAX(IF($B$2:$B6165=$B6166, $A$2:$A6165+$C$2:$C6165)), "")*24*60, "")</f>
        <v/>
      </c>
      <c r="L6166" s="24" t="str" cm="1">
        <f t="array" ref="L6166">IFERROR(IF($B6166=L$1, ($A6166+$C6166) - MAX(IF($B$2:$B6165=$B6166, $A$2:$A6165+$C$2:$C6165)), "")*24*60, "")</f>
        <v/>
      </c>
      <c r="M6166" s="24" t="str" cm="1">
        <f t="array" ref="M6166">IFERROR(IF($B6166=M$1, ($A6166+$C6166) - MAX(IF($B$2:$B6165=$B6166, $A$2:$A6165+$C$2:$C6165)), "")*24*60, "")</f>
        <v/>
      </c>
      <c r="N6166" s="24" t="str" cm="1">
        <f t="array" ref="N6166">IFERROR(IF($B6166=N$1, ($A6166+$C6166) - MAX(IF($B$2:$B6165=$B6166, $A$2:$A6165+$C$2:$C6165)), "")*24*60, "")</f>
        <v/>
      </c>
      <c r="O6166" s="24" t="str" cm="1">
        <f t="array" ref="O6166">IFERROR(IF($B6166=O$1, ($A6166+$C6166) - MAX(IF($B$2:$B6165=$B6166, $A$2:$A6165+$C$2:$C6165)), "")*24*60, "")</f>
        <v/>
      </c>
      <c r="P6166" s="24" t="str" cm="1">
        <f t="array" ref="P6166">IFERROR(IF($B6166=P$1, ($A6166+$C6166) - MAX(IF($B$2:$B6165=$B6166, $A$2:$A6165+$C$2:$C6165)), "")*24*60, "")</f>
        <v/>
      </c>
      <c r="Q6166" s="24" t="str" cm="1">
        <f t="array" ref="Q6166">IFERROR(IF($B6166=Q$1, ($A6166+$C6166) - MAX(IF($B$2:$B6165=$B6166, $A$2:$A6165+$C$2:$C6165)), "")*24*60, "")</f>
        <v/>
      </c>
      <c r="R6166" s="24" t="str" cm="1">
        <f t="array" ref="R6166">IFERROR(IF($B6166=R$1, ($A6166+$C6166) - MAX(IF($B$2:$B6165=$B6166, $A$2:$A6165+$C$2:$C6165)), "")*24*60, "")</f>
        <v/>
      </c>
      <c r="S6166" s="24" t="str" cm="1">
        <f t="array" ref="S6166">IFERROR(IF($B6166=S$1, ($A6166+$C6166) - MAX(IF($B$2:$B6165=$B6166, $A$2:$A6165+$C$2:$C6165)), "")*24*60, "")</f>
        <v/>
      </c>
    </row>
    <row r="6167" spans="1:19" x14ac:dyDescent="0.2">
      <c r="A6167" s="12">
        <f t="shared" ref="A6167:C6167" si="1144">A6166</f>
        <v>45988</v>
      </c>
      <c r="B6167" s="5" t="str">
        <f t="shared" si="1144"/>
        <v>Northern Cardinal</v>
      </c>
      <c r="C6167" s="6">
        <f t="shared" si="1144"/>
        <v>0.28472222222222221</v>
      </c>
      <c r="D6167" s="5"/>
      <c r="E6167" s="5"/>
      <c r="F6167" s="5" t="s">
        <v>8</v>
      </c>
      <c r="G6167" s="15" t="s">
        <v>9</v>
      </c>
      <c r="H6167" s="24">
        <f t="shared" si="1129"/>
        <v>0</v>
      </c>
      <c r="I6167" s="24" cm="1">
        <f t="array" ref="I6167">IFERROR(IF($B6167=I$1, ($A6167+$C6167) - MAX(IF($B$2:$B6166=$B6167, $A$2:$A6166+$C$2:$C6166)), "")*24*60, "")</f>
        <v>0</v>
      </c>
      <c r="J6167" s="24" t="str" cm="1">
        <f t="array" ref="J6167">IFERROR(IF($B6167=J$1, ($A6167+$C6167) - MAX(IF($B$2:$B6166=$B6167, $A$2:$A6166+$C$2:$C6166)), "")*24*60, "")</f>
        <v/>
      </c>
      <c r="K6167" s="24" t="str" cm="1">
        <f t="array" ref="K6167">IFERROR(IF($B6167=K$1, ($A6167+$C6167) - MAX(IF($B$2:$B6166=$B6167, $A$2:$A6166+$C$2:$C6166)), "")*24*60, "")</f>
        <v/>
      </c>
      <c r="L6167" s="24" t="str" cm="1">
        <f t="array" ref="L6167">IFERROR(IF($B6167=L$1, ($A6167+$C6167) - MAX(IF($B$2:$B6166=$B6167, $A$2:$A6166+$C$2:$C6166)), "")*24*60, "")</f>
        <v/>
      </c>
      <c r="M6167" s="24" t="str" cm="1">
        <f t="array" ref="M6167">IFERROR(IF($B6167=M$1, ($A6167+$C6167) - MAX(IF($B$2:$B6166=$B6167, $A$2:$A6166+$C$2:$C6166)), "")*24*60, "")</f>
        <v/>
      </c>
      <c r="N6167" s="24" t="str" cm="1">
        <f t="array" ref="N6167">IFERROR(IF($B6167=N$1, ($A6167+$C6167) - MAX(IF($B$2:$B6166=$B6167, $A$2:$A6166+$C$2:$C6166)), "")*24*60, "")</f>
        <v/>
      </c>
      <c r="O6167" s="24" t="str" cm="1">
        <f t="array" ref="O6167">IFERROR(IF($B6167=O$1, ($A6167+$C6167) - MAX(IF($B$2:$B6166=$B6167, $A$2:$A6166+$C$2:$C6166)), "")*24*60, "")</f>
        <v/>
      </c>
      <c r="P6167" s="24" t="str" cm="1">
        <f t="array" ref="P6167">IFERROR(IF($B6167=P$1, ($A6167+$C6167) - MAX(IF($B$2:$B6166=$B6167, $A$2:$A6166+$C$2:$C6166)), "")*24*60, "")</f>
        <v/>
      </c>
      <c r="Q6167" s="24" t="str" cm="1">
        <f t="array" ref="Q6167">IFERROR(IF($B6167=Q$1, ($A6167+$C6167) - MAX(IF($B$2:$B6166=$B6167, $A$2:$A6166+$C$2:$C6166)), "")*24*60, "")</f>
        <v/>
      </c>
      <c r="R6167" s="24" t="str" cm="1">
        <f t="array" ref="R6167">IFERROR(IF($B6167=R$1, ($A6167+$C6167) - MAX(IF($B$2:$B6166=$B6167, $A$2:$A6166+$C$2:$C6166)), "")*24*60, "")</f>
        <v/>
      </c>
      <c r="S6167" s="24" t="str" cm="1">
        <f t="array" ref="S6167">IFERROR(IF($B6167=S$1, ($A6167+$C6167) - MAX(IF($B$2:$B6166=$B6167, $A$2:$A6166+$C$2:$C6166)), "")*24*60, "")</f>
        <v/>
      </c>
    </row>
    <row r="6168" spans="1:19" x14ac:dyDescent="0.2">
      <c r="A6168" s="12">
        <f t="shared" ref="A6168:C6168" si="1145">A6167</f>
        <v>45988</v>
      </c>
      <c r="B6168" s="5" t="str">
        <f t="shared" si="1145"/>
        <v>Northern Cardinal</v>
      </c>
      <c r="C6168" s="6">
        <f t="shared" si="1145"/>
        <v>0.28472222222222221</v>
      </c>
      <c r="D6168" s="5"/>
      <c r="E6168" s="5"/>
      <c r="F6168" s="5" t="s">
        <v>8</v>
      </c>
      <c r="G6168" s="15" t="s">
        <v>9</v>
      </c>
      <c r="H6168" s="24">
        <f t="shared" si="1129"/>
        <v>0</v>
      </c>
      <c r="I6168" s="24" cm="1">
        <f t="array" ref="I6168">IFERROR(IF($B6168=I$1, ($A6168+$C6168) - MAX(IF($B$2:$B6167=$B6168, $A$2:$A6167+$C$2:$C6167)), "")*24*60, "")</f>
        <v>0</v>
      </c>
      <c r="J6168" s="24" t="str" cm="1">
        <f t="array" ref="J6168">IFERROR(IF($B6168=J$1, ($A6168+$C6168) - MAX(IF($B$2:$B6167=$B6168, $A$2:$A6167+$C$2:$C6167)), "")*24*60, "")</f>
        <v/>
      </c>
      <c r="K6168" s="24" t="str" cm="1">
        <f t="array" ref="K6168">IFERROR(IF($B6168=K$1, ($A6168+$C6168) - MAX(IF($B$2:$B6167=$B6168, $A$2:$A6167+$C$2:$C6167)), "")*24*60, "")</f>
        <v/>
      </c>
      <c r="L6168" s="24" t="str" cm="1">
        <f t="array" ref="L6168">IFERROR(IF($B6168=L$1, ($A6168+$C6168) - MAX(IF($B$2:$B6167=$B6168, $A$2:$A6167+$C$2:$C6167)), "")*24*60, "")</f>
        <v/>
      </c>
      <c r="M6168" s="24" t="str" cm="1">
        <f t="array" ref="M6168">IFERROR(IF($B6168=M$1, ($A6168+$C6168) - MAX(IF($B$2:$B6167=$B6168, $A$2:$A6167+$C$2:$C6167)), "")*24*60, "")</f>
        <v/>
      </c>
      <c r="N6168" s="24" t="str" cm="1">
        <f t="array" ref="N6168">IFERROR(IF($B6168=N$1, ($A6168+$C6168) - MAX(IF($B$2:$B6167=$B6168, $A$2:$A6167+$C$2:$C6167)), "")*24*60, "")</f>
        <v/>
      </c>
      <c r="O6168" s="24" t="str" cm="1">
        <f t="array" ref="O6168">IFERROR(IF($B6168=O$1, ($A6168+$C6168) - MAX(IF($B$2:$B6167=$B6168, $A$2:$A6167+$C$2:$C6167)), "")*24*60, "")</f>
        <v/>
      </c>
      <c r="P6168" s="24" t="str" cm="1">
        <f t="array" ref="P6168">IFERROR(IF($B6168=P$1, ($A6168+$C6168) - MAX(IF($B$2:$B6167=$B6168, $A$2:$A6167+$C$2:$C6167)), "")*24*60, "")</f>
        <v/>
      </c>
      <c r="Q6168" s="24" t="str" cm="1">
        <f t="array" ref="Q6168">IFERROR(IF($B6168=Q$1, ($A6168+$C6168) - MAX(IF($B$2:$B6167=$B6168, $A$2:$A6167+$C$2:$C6167)), "")*24*60, "")</f>
        <v/>
      </c>
      <c r="R6168" s="24" t="str" cm="1">
        <f t="array" ref="R6168">IFERROR(IF($B6168=R$1, ($A6168+$C6168) - MAX(IF($B$2:$B6167=$B6168, $A$2:$A6167+$C$2:$C6167)), "")*24*60, "")</f>
        <v/>
      </c>
      <c r="S6168" s="24" t="str" cm="1">
        <f t="array" ref="S6168">IFERROR(IF($B6168=S$1, ($A6168+$C6168) - MAX(IF($B$2:$B6167=$B6168, $A$2:$A6167+$C$2:$C6167)), "")*24*60, "")</f>
        <v/>
      </c>
    </row>
    <row r="6169" spans="1:19" x14ac:dyDescent="0.2">
      <c r="A6169" s="12">
        <f t="shared" ref="A6169:C6169" si="1146">A6168</f>
        <v>45988</v>
      </c>
      <c r="B6169" s="5" t="str">
        <f t="shared" si="1146"/>
        <v>Northern Cardinal</v>
      </c>
      <c r="C6169" s="6">
        <f t="shared" si="1146"/>
        <v>0.28472222222222221</v>
      </c>
      <c r="D6169" s="5"/>
      <c r="E6169" s="5"/>
      <c r="F6169" s="5" t="s">
        <v>8</v>
      </c>
      <c r="G6169" s="15" t="s">
        <v>9</v>
      </c>
      <c r="H6169" s="24">
        <f t="shared" si="1129"/>
        <v>0</v>
      </c>
      <c r="I6169" s="24" cm="1">
        <f t="array" ref="I6169">IFERROR(IF($B6169=I$1, ($A6169+$C6169) - MAX(IF($B$2:$B6168=$B6169, $A$2:$A6168+$C$2:$C6168)), "")*24*60, "")</f>
        <v>0</v>
      </c>
      <c r="J6169" s="24" t="str" cm="1">
        <f t="array" ref="J6169">IFERROR(IF($B6169=J$1, ($A6169+$C6169) - MAX(IF($B$2:$B6168=$B6169, $A$2:$A6168+$C$2:$C6168)), "")*24*60, "")</f>
        <v/>
      </c>
      <c r="K6169" s="24" t="str" cm="1">
        <f t="array" ref="K6169">IFERROR(IF($B6169=K$1, ($A6169+$C6169) - MAX(IF($B$2:$B6168=$B6169, $A$2:$A6168+$C$2:$C6168)), "")*24*60, "")</f>
        <v/>
      </c>
      <c r="L6169" s="24" t="str" cm="1">
        <f t="array" ref="L6169">IFERROR(IF($B6169=L$1, ($A6169+$C6169) - MAX(IF($B$2:$B6168=$B6169, $A$2:$A6168+$C$2:$C6168)), "")*24*60, "")</f>
        <v/>
      </c>
      <c r="M6169" s="24" t="str" cm="1">
        <f t="array" ref="M6169">IFERROR(IF($B6169=M$1, ($A6169+$C6169) - MAX(IF($B$2:$B6168=$B6169, $A$2:$A6168+$C$2:$C6168)), "")*24*60, "")</f>
        <v/>
      </c>
      <c r="N6169" s="24" t="str" cm="1">
        <f t="array" ref="N6169">IFERROR(IF($B6169=N$1, ($A6169+$C6169) - MAX(IF($B$2:$B6168=$B6169, $A$2:$A6168+$C$2:$C6168)), "")*24*60, "")</f>
        <v/>
      </c>
      <c r="O6169" s="24" t="str" cm="1">
        <f t="array" ref="O6169">IFERROR(IF($B6169=O$1, ($A6169+$C6169) - MAX(IF($B$2:$B6168=$B6169, $A$2:$A6168+$C$2:$C6168)), "")*24*60, "")</f>
        <v/>
      </c>
      <c r="P6169" s="24" t="str" cm="1">
        <f t="array" ref="P6169">IFERROR(IF($B6169=P$1, ($A6169+$C6169) - MAX(IF($B$2:$B6168=$B6169, $A$2:$A6168+$C$2:$C6168)), "")*24*60, "")</f>
        <v/>
      </c>
      <c r="Q6169" s="24" t="str" cm="1">
        <f t="array" ref="Q6169">IFERROR(IF($B6169=Q$1, ($A6169+$C6169) - MAX(IF($B$2:$B6168=$B6169, $A$2:$A6168+$C$2:$C6168)), "")*24*60, "")</f>
        <v/>
      </c>
      <c r="R6169" s="24" t="str" cm="1">
        <f t="array" ref="R6169">IFERROR(IF($B6169=R$1, ($A6169+$C6169) - MAX(IF($B$2:$B6168=$B6169, $A$2:$A6168+$C$2:$C6168)), "")*24*60, "")</f>
        <v/>
      </c>
      <c r="S6169" s="24" t="str" cm="1">
        <f t="array" ref="S6169">IFERROR(IF($B6169=S$1, ($A6169+$C6169) - MAX(IF($B$2:$B6168=$B6169, $A$2:$A6168+$C$2:$C6168)), "")*24*60, "")</f>
        <v/>
      </c>
    </row>
    <row r="6170" spans="1:19" x14ac:dyDescent="0.2">
      <c r="A6170" s="12">
        <f t="shared" ref="A6170:C6170" si="1147">A6169</f>
        <v>45988</v>
      </c>
      <c r="B6170" s="5" t="str">
        <f t="shared" si="1147"/>
        <v>Northern Cardinal</v>
      </c>
      <c r="C6170" s="6">
        <f t="shared" si="1147"/>
        <v>0.28472222222222221</v>
      </c>
      <c r="D6170" s="5"/>
      <c r="E6170" s="5"/>
      <c r="F6170" s="5" t="s">
        <v>8</v>
      </c>
      <c r="G6170" s="15" t="s">
        <v>9</v>
      </c>
      <c r="H6170" s="24">
        <f t="shared" ref="H6170:H6233" si="1148">IFERROR((($A6170+$C6170) - ($A6169+$C6169))*24*60, "")</f>
        <v>0</v>
      </c>
      <c r="I6170" s="24" cm="1">
        <f t="array" ref="I6170">IFERROR(IF($B6170=I$1, ($A6170+$C6170) - MAX(IF($B$2:$B6169=$B6170, $A$2:$A6169+$C$2:$C6169)), "")*24*60, "")</f>
        <v>0</v>
      </c>
      <c r="J6170" s="24" t="str" cm="1">
        <f t="array" ref="J6170">IFERROR(IF($B6170=J$1, ($A6170+$C6170) - MAX(IF($B$2:$B6169=$B6170, $A$2:$A6169+$C$2:$C6169)), "")*24*60, "")</f>
        <v/>
      </c>
      <c r="K6170" s="24" t="str" cm="1">
        <f t="array" ref="K6170">IFERROR(IF($B6170=K$1, ($A6170+$C6170) - MAX(IF($B$2:$B6169=$B6170, $A$2:$A6169+$C$2:$C6169)), "")*24*60, "")</f>
        <v/>
      </c>
      <c r="L6170" s="24" t="str" cm="1">
        <f t="array" ref="L6170">IFERROR(IF($B6170=L$1, ($A6170+$C6170) - MAX(IF($B$2:$B6169=$B6170, $A$2:$A6169+$C$2:$C6169)), "")*24*60, "")</f>
        <v/>
      </c>
      <c r="M6170" s="24" t="str" cm="1">
        <f t="array" ref="M6170">IFERROR(IF($B6170=M$1, ($A6170+$C6170) - MAX(IF($B$2:$B6169=$B6170, $A$2:$A6169+$C$2:$C6169)), "")*24*60, "")</f>
        <v/>
      </c>
      <c r="N6170" s="24" t="str" cm="1">
        <f t="array" ref="N6170">IFERROR(IF($B6170=N$1, ($A6170+$C6170) - MAX(IF($B$2:$B6169=$B6170, $A$2:$A6169+$C$2:$C6169)), "")*24*60, "")</f>
        <v/>
      </c>
      <c r="O6170" s="24" t="str" cm="1">
        <f t="array" ref="O6170">IFERROR(IF($B6170=O$1, ($A6170+$C6170) - MAX(IF($B$2:$B6169=$B6170, $A$2:$A6169+$C$2:$C6169)), "")*24*60, "")</f>
        <v/>
      </c>
      <c r="P6170" s="24" t="str" cm="1">
        <f t="array" ref="P6170">IFERROR(IF($B6170=P$1, ($A6170+$C6170) - MAX(IF($B$2:$B6169=$B6170, $A$2:$A6169+$C$2:$C6169)), "")*24*60, "")</f>
        <v/>
      </c>
      <c r="Q6170" s="24" t="str" cm="1">
        <f t="array" ref="Q6170">IFERROR(IF($B6170=Q$1, ($A6170+$C6170) - MAX(IF($B$2:$B6169=$B6170, $A$2:$A6169+$C$2:$C6169)), "")*24*60, "")</f>
        <v/>
      </c>
      <c r="R6170" s="24" t="str" cm="1">
        <f t="array" ref="R6170">IFERROR(IF($B6170=R$1, ($A6170+$C6170) - MAX(IF($B$2:$B6169=$B6170, $A$2:$A6169+$C$2:$C6169)), "")*24*60, "")</f>
        <v/>
      </c>
      <c r="S6170" s="24" t="str" cm="1">
        <f t="array" ref="S6170">IFERROR(IF($B6170=S$1, ($A6170+$C6170) - MAX(IF($B$2:$B6169=$B6170, $A$2:$A6169+$C$2:$C6169)), "")*24*60, "")</f>
        <v/>
      </c>
    </row>
    <row r="6171" spans="1:19" x14ac:dyDescent="0.2">
      <c r="A6171" s="12">
        <f t="shared" ref="A6171:C6171" si="1149">A6170</f>
        <v>45988</v>
      </c>
      <c r="B6171" s="5" t="str">
        <f t="shared" si="1149"/>
        <v>Northern Cardinal</v>
      </c>
      <c r="C6171" s="6">
        <f t="shared" si="1149"/>
        <v>0.28472222222222221</v>
      </c>
      <c r="D6171" s="5"/>
      <c r="E6171" s="5"/>
      <c r="F6171" s="5" t="s">
        <v>8</v>
      </c>
      <c r="G6171" s="15" t="s">
        <v>9</v>
      </c>
      <c r="H6171" s="24">
        <f t="shared" si="1148"/>
        <v>0</v>
      </c>
      <c r="I6171" s="24" cm="1">
        <f t="array" ref="I6171">IFERROR(IF($B6171=I$1, ($A6171+$C6171) - MAX(IF($B$2:$B6170=$B6171, $A$2:$A6170+$C$2:$C6170)), "")*24*60, "")</f>
        <v>0</v>
      </c>
      <c r="J6171" s="24" t="str" cm="1">
        <f t="array" ref="J6171">IFERROR(IF($B6171=J$1, ($A6171+$C6171) - MAX(IF($B$2:$B6170=$B6171, $A$2:$A6170+$C$2:$C6170)), "")*24*60, "")</f>
        <v/>
      </c>
      <c r="K6171" s="24" t="str" cm="1">
        <f t="array" ref="K6171">IFERROR(IF($B6171=K$1, ($A6171+$C6171) - MAX(IF($B$2:$B6170=$B6171, $A$2:$A6170+$C$2:$C6170)), "")*24*60, "")</f>
        <v/>
      </c>
      <c r="L6171" s="24" t="str" cm="1">
        <f t="array" ref="L6171">IFERROR(IF($B6171=L$1, ($A6171+$C6171) - MAX(IF($B$2:$B6170=$B6171, $A$2:$A6170+$C$2:$C6170)), "")*24*60, "")</f>
        <v/>
      </c>
      <c r="M6171" s="24" t="str" cm="1">
        <f t="array" ref="M6171">IFERROR(IF($B6171=M$1, ($A6171+$C6171) - MAX(IF($B$2:$B6170=$B6171, $A$2:$A6170+$C$2:$C6170)), "")*24*60, "")</f>
        <v/>
      </c>
      <c r="N6171" s="24" t="str" cm="1">
        <f t="array" ref="N6171">IFERROR(IF($B6171=N$1, ($A6171+$C6171) - MAX(IF($B$2:$B6170=$B6171, $A$2:$A6170+$C$2:$C6170)), "")*24*60, "")</f>
        <v/>
      </c>
      <c r="O6171" s="24" t="str" cm="1">
        <f t="array" ref="O6171">IFERROR(IF($B6171=O$1, ($A6171+$C6171) - MAX(IF($B$2:$B6170=$B6171, $A$2:$A6170+$C$2:$C6170)), "")*24*60, "")</f>
        <v/>
      </c>
      <c r="P6171" s="24" t="str" cm="1">
        <f t="array" ref="P6171">IFERROR(IF($B6171=P$1, ($A6171+$C6171) - MAX(IF($B$2:$B6170=$B6171, $A$2:$A6170+$C$2:$C6170)), "")*24*60, "")</f>
        <v/>
      </c>
      <c r="Q6171" s="24" t="str" cm="1">
        <f t="array" ref="Q6171">IFERROR(IF($B6171=Q$1, ($A6171+$C6171) - MAX(IF($B$2:$B6170=$B6171, $A$2:$A6170+$C$2:$C6170)), "")*24*60, "")</f>
        <v/>
      </c>
      <c r="R6171" s="24" t="str" cm="1">
        <f t="array" ref="R6171">IFERROR(IF($B6171=R$1, ($A6171+$C6171) - MAX(IF($B$2:$B6170=$B6171, $A$2:$A6170+$C$2:$C6170)), "")*24*60, "")</f>
        <v/>
      </c>
      <c r="S6171" s="24" t="str" cm="1">
        <f t="array" ref="S6171">IFERROR(IF($B6171=S$1, ($A6171+$C6171) - MAX(IF($B$2:$B6170=$B6171, $A$2:$A6170+$C$2:$C6170)), "")*24*60, "")</f>
        <v/>
      </c>
    </row>
    <row r="6172" spans="1:19" x14ac:dyDescent="0.2">
      <c r="A6172" s="12">
        <f t="shared" ref="A6172:C6172" si="1150">A6171</f>
        <v>45988</v>
      </c>
      <c r="B6172" s="5" t="str">
        <f t="shared" si="1150"/>
        <v>Northern Cardinal</v>
      </c>
      <c r="C6172" s="6">
        <f t="shared" si="1150"/>
        <v>0.28472222222222221</v>
      </c>
      <c r="D6172" s="5"/>
      <c r="E6172" s="5"/>
      <c r="F6172" s="5" t="s">
        <v>8</v>
      </c>
      <c r="G6172" s="15" t="s">
        <v>9</v>
      </c>
      <c r="H6172" s="24">
        <f t="shared" si="1148"/>
        <v>0</v>
      </c>
      <c r="I6172" s="24" cm="1">
        <f t="array" ref="I6172">IFERROR(IF($B6172=I$1, ($A6172+$C6172) - MAX(IF($B$2:$B6171=$B6172, $A$2:$A6171+$C$2:$C6171)), "")*24*60, "")</f>
        <v>0</v>
      </c>
      <c r="J6172" s="24" t="str" cm="1">
        <f t="array" ref="J6172">IFERROR(IF($B6172=J$1, ($A6172+$C6172) - MAX(IF($B$2:$B6171=$B6172, $A$2:$A6171+$C$2:$C6171)), "")*24*60, "")</f>
        <v/>
      </c>
      <c r="K6172" s="24" t="str" cm="1">
        <f t="array" ref="K6172">IFERROR(IF($B6172=K$1, ($A6172+$C6172) - MAX(IF($B$2:$B6171=$B6172, $A$2:$A6171+$C$2:$C6171)), "")*24*60, "")</f>
        <v/>
      </c>
      <c r="L6172" s="24" t="str" cm="1">
        <f t="array" ref="L6172">IFERROR(IF($B6172=L$1, ($A6172+$C6172) - MAX(IF($B$2:$B6171=$B6172, $A$2:$A6171+$C$2:$C6171)), "")*24*60, "")</f>
        <v/>
      </c>
      <c r="M6172" s="24" t="str" cm="1">
        <f t="array" ref="M6172">IFERROR(IF($B6172=M$1, ($A6172+$C6172) - MAX(IF($B$2:$B6171=$B6172, $A$2:$A6171+$C$2:$C6171)), "")*24*60, "")</f>
        <v/>
      </c>
      <c r="N6172" s="24" t="str" cm="1">
        <f t="array" ref="N6172">IFERROR(IF($B6172=N$1, ($A6172+$C6172) - MAX(IF($B$2:$B6171=$B6172, $A$2:$A6171+$C$2:$C6171)), "")*24*60, "")</f>
        <v/>
      </c>
      <c r="O6172" s="24" t="str" cm="1">
        <f t="array" ref="O6172">IFERROR(IF($B6172=O$1, ($A6172+$C6172) - MAX(IF($B$2:$B6171=$B6172, $A$2:$A6171+$C$2:$C6171)), "")*24*60, "")</f>
        <v/>
      </c>
      <c r="P6172" s="24" t="str" cm="1">
        <f t="array" ref="P6172">IFERROR(IF($B6172=P$1, ($A6172+$C6172) - MAX(IF($B$2:$B6171=$B6172, $A$2:$A6171+$C$2:$C6171)), "")*24*60, "")</f>
        <v/>
      </c>
      <c r="Q6172" s="24" t="str" cm="1">
        <f t="array" ref="Q6172">IFERROR(IF($B6172=Q$1, ($A6172+$C6172) - MAX(IF($B$2:$B6171=$B6172, $A$2:$A6171+$C$2:$C6171)), "")*24*60, "")</f>
        <v/>
      </c>
      <c r="R6172" s="24" t="str" cm="1">
        <f t="array" ref="R6172">IFERROR(IF($B6172=R$1, ($A6172+$C6172) - MAX(IF($B$2:$B6171=$B6172, $A$2:$A6171+$C$2:$C6171)), "")*24*60, "")</f>
        <v/>
      </c>
      <c r="S6172" s="24" t="str" cm="1">
        <f t="array" ref="S6172">IFERROR(IF($B6172=S$1, ($A6172+$C6172) - MAX(IF($B$2:$B6171=$B6172, $A$2:$A6171+$C$2:$C6171)), "")*24*60, "")</f>
        <v/>
      </c>
    </row>
    <row r="6173" spans="1:19" x14ac:dyDescent="0.2">
      <c r="A6173" s="12">
        <f t="shared" ref="A6173:C6173" si="1151">A6172</f>
        <v>45988</v>
      </c>
      <c r="B6173" s="5" t="str">
        <f t="shared" si="1151"/>
        <v>Northern Cardinal</v>
      </c>
      <c r="C6173" s="6">
        <f t="shared" si="1151"/>
        <v>0.28472222222222221</v>
      </c>
      <c r="D6173" s="5"/>
      <c r="E6173" s="5"/>
      <c r="F6173" s="5" t="s">
        <v>8</v>
      </c>
      <c r="G6173" s="15" t="s">
        <v>9</v>
      </c>
      <c r="H6173" s="24">
        <f t="shared" si="1148"/>
        <v>0</v>
      </c>
      <c r="I6173" s="24" cm="1">
        <f t="array" ref="I6173">IFERROR(IF($B6173=I$1, ($A6173+$C6173) - MAX(IF($B$2:$B6172=$B6173, $A$2:$A6172+$C$2:$C6172)), "")*24*60, "")</f>
        <v>0</v>
      </c>
      <c r="J6173" s="24" t="str" cm="1">
        <f t="array" ref="J6173">IFERROR(IF($B6173=J$1, ($A6173+$C6173) - MAX(IF($B$2:$B6172=$B6173, $A$2:$A6172+$C$2:$C6172)), "")*24*60, "")</f>
        <v/>
      </c>
      <c r="K6173" s="24" t="str" cm="1">
        <f t="array" ref="K6173">IFERROR(IF($B6173=K$1, ($A6173+$C6173) - MAX(IF($B$2:$B6172=$B6173, $A$2:$A6172+$C$2:$C6172)), "")*24*60, "")</f>
        <v/>
      </c>
      <c r="L6173" s="24" t="str" cm="1">
        <f t="array" ref="L6173">IFERROR(IF($B6173=L$1, ($A6173+$C6173) - MAX(IF($B$2:$B6172=$B6173, $A$2:$A6172+$C$2:$C6172)), "")*24*60, "")</f>
        <v/>
      </c>
      <c r="M6173" s="24" t="str" cm="1">
        <f t="array" ref="M6173">IFERROR(IF($B6173=M$1, ($A6173+$C6173) - MAX(IF($B$2:$B6172=$B6173, $A$2:$A6172+$C$2:$C6172)), "")*24*60, "")</f>
        <v/>
      </c>
      <c r="N6173" s="24" t="str" cm="1">
        <f t="array" ref="N6173">IFERROR(IF($B6173=N$1, ($A6173+$C6173) - MAX(IF($B$2:$B6172=$B6173, $A$2:$A6172+$C$2:$C6172)), "")*24*60, "")</f>
        <v/>
      </c>
      <c r="O6173" s="24" t="str" cm="1">
        <f t="array" ref="O6173">IFERROR(IF($B6173=O$1, ($A6173+$C6173) - MAX(IF($B$2:$B6172=$B6173, $A$2:$A6172+$C$2:$C6172)), "")*24*60, "")</f>
        <v/>
      </c>
      <c r="P6173" s="24" t="str" cm="1">
        <f t="array" ref="P6173">IFERROR(IF($B6173=P$1, ($A6173+$C6173) - MAX(IF($B$2:$B6172=$B6173, $A$2:$A6172+$C$2:$C6172)), "")*24*60, "")</f>
        <v/>
      </c>
      <c r="Q6173" s="24" t="str" cm="1">
        <f t="array" ref="Q6173">IFERROR(IF($B6173=Q$1, ($A6173+$C6173) - MAX(IF($B$2:$B6172=$B6173, $A$2:$A6172+$C$2:$C6172)), "")*24*60, "")</f>
        <v/>
      </c>
      <c r="R6173" s="24" t="str" cm="1">
        <f t="array" ref="R6173">IFERROR(IF($B6173=R$1, ($A6173+$C6173) - MAX(IF($B$2:$B6172=$B6173, $A$2:$A6172+$C$2:$C6172)), "")*24*60, "")</f>
        <v/>
      </c>
      <c r="S6173" s="24" t="str" cm="1">
        <f t="array" ref="S6173">IFERROR(IF($B6173=S$1, ($A6173+$C6173) - MAX(IF($B$2:$B6172=$B6173, $A$2:$A6172+$C$2:$C6172)), "")*24*60, "")</f>
        <v/>
      </c>
    </row>
    <row r="6174" spans="1:19" x14ac:dyDescent="0.2">
      <c r="A6174" s="12">
        <f t="shared" ref="A6174:C6174" si="1152">A6173</f>
        <v>45988</v>
      </c>
      <c r="B6174" s="5" t="str">
        <f t="shared" si="1152"/>
        <v>Northern Cardinal</v>
      </c>
      <c r="C6174" s="6">
        <f t="shared" si="1152"/>
        <v>0.28472222222222221</v>
      </c>
      <c r="D6174" s="5"/>
      <c r="E6174" s="5"/>
      <c r="F6174" s="5" t="s">
        <v>8</v>
      </c>
      <c r="G6174" s="15" t="s">
        <v>9</v>
      </c>
      <c r="H6174" s="24">
        <f t="shared" si="1148"/>
        <v>0</v>
      </c>
      <c r="I6174" s="24" cm="1">
        <f t="array" ref="I6174">IFERROR(IF($B6174=I$1, ($A6174+$C6174) - MAX(IF($B$2:$B6173=$B6174, $A$2:$A6173+$C$2:$C6173)), "")*24*60, "")</f>
        <v>0</v>
      </c>
      <c r="J6174" s="24" t="str" cm="1">
        <f t="array" ref="J6174">IFERROR(IF($B6174=J$1, ($A6174+$C6174) - MAX(IF($B$2:$B6173=$B6174, $A$2:$A6173+$C$2:$C6173)), "")*24*60, "")</f>
        <v/>
      </c>
      <c r="K6174" s="24" t="str" cm="1">
        <f t="array" ref="K6174">IFERROR(IF($B6174=K$1, ($A6174+$C6174) - MAX(IF($B$2:$B6173=$B6174, $A$2:$A6173+$C$2:$C6173)), "")*24*60, "")</f>
        <v/>
      </c>
      <c r="L6174" s="24" t="str" cm="1">
        <f t="array" ref="L6174">IFERROR(IF($B6174=L$1, ($A6174+$C6174) - MAX(IF($B$2:$B6173=$B6174, $A$2:$A6173+$C$2:$C6173)), "")*24*60, "")</f>
        <v/>
      </c>
      <c r="M6174" s="24" t="str" cm="1">
        <f t="array" ref="M6174">IFERROR(IF($B6174=M$1, ($A6174+$C6174) - MAX(IF($B$2:$B6173=$B6174, $A$2:$A6173+$C$2:$C6173)), "")*24*60, "")</f>
        <v/>
      </c>
      <c r="N6174" s="24" t="str" cm="1">
        <f t="array" ref="N6174">IFERROR(IF($B6174=N$1, ($A6174+$C6174) - MAX(IF($B$2:$B6173=$B6174, $A$2:$A6173+$C$2:$C6173)), "")*24*60, "")</f>
        <v/>
      </c>
      <c r="O6174" s="24" t="str" cm="1">
        <f t="array" ref="O6174">IFERROR(IF($B6174=O$1, ($A6174+$C6174) - MAX(IF($B$2:$B6173=$B6174, $A$2:$A6173+$C$2:$C6173)), "")*24*60, "")</f>
        <v/>
      </c>
      <c r="P6174" s="24" t="str" cm="1">
        <f t="array" ref="P6174">IFERROR(IF($B6174=P$1, ($A6174+$C6174) - MAX(IF($B$2:$B6173=$B6174, $A$2:$A6173+$C$2:$C6173)), "")*24*60, "")</f>
        <v/>
      </c>
      <c r="Q6174" s="24" t="str" cm="1">
        <f t="array" ref="Q6174">IFERROR(IF($B6174=Q$1, ($A6174+$C6174) - MAX(IF($B$2:$B6173=$B6174, $A$2:$A6173+$C$2:$C6173)), "")*24*60, "")</f>
        <v/>
      </c>
      <c r="R6174" s="24" t="str" cm="1">
        <f t="array" ref="R6174">IFERROR(IF($B6174=R$1, ($A6174+$C6174) - MAX(IF($B$2:$B6173=$B6174, $A$2:$A6173+$C$2:$C6173)), "")*24*60, "")</f>
        <v/>
      </c>
      <c r="S6174" s="24" t="str" cm="1">
        <f t="array" ref="S6174">IFERROR(IF($B6174=S$1, ($A6174+$C6174) - MAX(IF($B$2:$B6173=$B6174, $A$2:$A6173+$C$2:$C6173)), "")*24*60, "")</f>
        <v/>
      </c>
    </row>
    <row r="6175" spans="1:19" x14ac:dyDescent="0.2">
      <c r="A6175" s="12">
        <f t="shared" ref="A6175:C6175" si="1153">A6174</f>
        <v>45988</v>
      </c>
      <c r="B6175" s="5" t="str">
        <f t="shared" si="1153"/>
        <v>Northern Cardinal</v>
      </c>
      <c r="C6175" s="6">
        <f t="shared" si="1153"/>
        <v>0.28472222222222221</v>
      </c>
      <c r="D6175" s="5"/>
      <c r="E6175" s="5"/>
      <c r="F6175" s="5" t="s">
        <v>8</v>
      </c>
      <c r="G6175" s="15" t="s">
        <v>9</v>
      </c>
      <c r="H6175" s="24">
        <f t="shared" si="1148"/>
        <v>0</v>
      </c>
      <c r="I6175" s="24" cm="1">
        <f t="array" ref="I6175">IFERROR(IF($B6175=I$1, ($A6175+$C6175) - MAX(IF($B$2:$B6174=$B6175, $A$2:$A6174+$C$2:$C6174)), "")*24*60, "")</f>
        <v>0</v>
      </c>
      <c r="J6175" s="24" t="str" cm="1">
        <f t="array" ref="J6175">IFERROR(IF($B6175=J$1, ($A6175+$C6175) - MAX(IF($B$2:$B6174=$B6175, $A$2:$A6174+$C$2:$C6174)), "")*24*60, "")</f>
        <v/>
      </c>
      <c r="K6175" s="24" t="str" cm="1">
        <f t="array" ref="K6175">IFERROR(IF($B6175=K$1, ($A6175+$C6175) - MAX(IF($B$2:$B6174=$B6175, $A$2:$A6174+$C$2:$C6174)), "")*24*60, "")</f>
        <v/>
      </c>
      <c r="L6175" s="24" t="str" cm="1">
        <f t="array" ref="L6175">IFERROR(IF($B6175=L$1, ($A6175+$C6175) - MAX(IF($B$2:$B6174=$B6175, $A$2:$A6174+$C$2:$C6174)), "")*24*60, "")</f>
        <v/>
      </c>
      <c r="M6175" s="24" t="str" cm="1">
        <f t="array" ref="M6175">IFERROR(IF($B6175=M$1, ($A6175+$C6175) - MAX(IF($B$2:$B6174=$B6175, $A$2:$A6174+$C$2:$C6174)), "")*24*60, "")</f>
        <v/>
      </c>
      <c r="N6175" s="24" t="str" cm="1">
        <f t="array" ref="N6175">IFERROR(IF($B6175=N$1, ($A6175+$C6175) - MAX(IF($B$2:$B6174=$B6175, $A$2:$A6174+$C$2:$C6174)), "")*24*60, "")</f>
        <v/>
      </c>
      <c r="O6175" s="24" t="str" cm="1">
        <f t="array" ref="O6175">IFERROR(IF($B6175=O$1, ($A6175+$C6175) - MAX(IF($B$2:$B6174=$B6175, $A$2:$A6174+$C$2:$C6174)), "")*24*60, "")</f>
        <v/>
      </c>
      <c r="P6175" s="24" t="str" cm="1">
        <f t="array" ref="P6175">IFERROR(IF($B6175=P$1, ($A6175+$C6175) - MAX(IF($B$2:$B6174=$B6175, $A$2:$A6174+$C$2:$C6174)), "")*24*60, "")</f>
        <v/>
      </c>
      <c r="Q6175" s="24" t="str" cm="1">
        <f t="array" ref="Q6175">IFERROR(IF($B6175=Q$1, ($A6175+$C6175) - MAX(IF($B$2:$B6174=$B6175, $A$2:$A6174+$C$2:$C6174)), "")*24*60, "")</f>
        <v/>
      </c>
      <c r="R6175" s="24" t="str" cm="1">
        <f t="array" ref="R6175">IFERROR(IF($B6175=R$1, ($A6175+$C6175) - MAX(IF($B$2:$B6174=$B6175, $A$2:$A6174+$C$2:$C6174)), "")*24*60, "")</f>
        <v/>
      </c>
      <c r="S6175" s="24" t="str" cm="1">
        <f t="array" ref="S6175">IFERROR(IF($B6175=S$1, ($A6175+$C6175) - MAX(IF($B$2:$B6174=$B6175, $A$2:$A6174+$C$2:$C6174)), "")*24*60, "")</f>
        <v/>
      </c>
    </row>
    <row r="6176" spans="1:19" x14ac:dyDescent="0.2">
      <c r="A6176" s="12">
        <f t="shared" ref="A6176:C6176" si="1154">A6175</f>
        <v>45988</v>
      </c>
      <c r="B6176" s="5" t="str">
        <f t="shared" si="1154"/>
        <v>Northern Cardinal</v>
      </c>
      <c r="C6176" s="6">
        <f t="shared" si="1154"/>
        <v>0.28472222222222221</v>
      </c>
      <c r="D6176" s="5"/>
      <c r="E6176" s="5"/>
      <c r="F6176" s="5" t="s">
        <v>8</v>
      </c>
      <c r="G6176" s="15" t="s">
        <v>9</v>
      </c>
      <c r="H6176" s="24">
        <f t="shared" si="1148"/>
        <v>0</v>
      </c>
      <c r="I6176" s="24" cm="1">
        <f t="array" ref="I6176">IFERROR(IF($B6176=I$1, ($A6176+$C6176) - MAX(IF($B$2:$B6175=$B6176, $A$2:$A6175+$C$2:$C6175)), "")*24*60, "")</f>
        <v>0</v>
      </c>
      <c r="J6176" s="24" t="str" cm="1">
        <f t="array" ref="J6176">IFERROR(IF($B6176=J$1, ($A6176+$C6176) - MAX(IF($B$2:$B6175=$B6176, $A$2:$A6175+$C$2:$C6175)), "")*24*60, "")</f>
        <v/>
      </c>
      <c r="K6176" s="24" t="str" cm="1">
        <f t="array" ref="K6176">IFERROR(IF($B6176=K$1, ($A6176+$C6176) - MAX(IF($B$2:$B6175=$B6176, $A$2:$A6175+$C$2:$C6175)), "")*24*60, "")</f>
        <v/>
      </c>
      <c r="L6176" s="24" t="str" cm="1">
        <f t="array" ref="L6176">IFERROR(IF($B6176=L$1, ($A6176+$C6176) - MAX(IF($B$2:$B6175=$B6176, $A$2:$A6175+$C$2:$C6175)), "")*24*60, "")</f>
        <v/>
      </c>
      <c r="M6176" s="24" t="str" cm="1">
        <f t="array" ref="M6176">IFERROR(IF($B6176=M$1, ($A6176+$C6176) - MAX(IF($B$2:$B6175=$B6176, $A$2:$A6175+$C$2:$C6175)), "")*24*60, "")</f>
        <v/>
      </c>
      <c r="N6176" s="24" t="str" cm="1">
        <f t="array" ref="N6176">IFERROR(IF($B6176=N$1, ($A6176+$C6176) - MAX(IF($B$2:$B6175=$B6176, $A$2:$A6175+$C$2:$C6175)), "")*24*60, "")</f>
        <v/>
      </c>
      <c r="O6176" s="24" t="str" cm="1">
        <f t="array" ref="O6176">IFERROR(IF($B6176=O$1, ($A6176+$C6176) - MAX(IF($B$2:$B6175=$B6176, $A$2:$A6175+$C$2:$C6175)), "")*24*60, "")</f>
        <v/>
      </c>
      <c r="P6176" s="24" t="str" cm="1">
        <f t="array" ref="P6176">IFERROR(IF($B6176=P$1, ($A6176+$C6176) - MAX(IF($B$2:$B6175=$B6176, $A$2:$A6175+$C$2:$C6175)), "")*24*60, "")</f>
        <v/>
      </c>
      <c r="Q6176" s="24" t="str" cm="1">
        <f t="array" ref="Q6176">IFERROR(IF($B6176=Q$1, ($A6176+$C6176) - MAX(IF($B$2:$B6175=$B6176, $A$2:$A6175+$C$2:$C6175)), "")*24*60, "")</f>
        <v/>
      </c>
      <c r="R6176" s="24" t="str" cm="1">
        <f t="array" ref="R6176">IFERROR(IF($B6176=R$1, ($A6176+$C6176) - MAX(IF($B$2:$B6175=$B6176, $A$2:$A6175+$C$2:$C6175)), "")*24*60, "")</f>
        <v/>
      </c>
      <c r="S6176" s="24" t="str" cm="1">
        <f t="array" ref="S6176">IFERROR(IF($B6176=S$1, ($A6176+$C6176) - MAX(IF($B$2:$B6175=$B6176, $A$2:$A6175+$C$2:$C6175)), "")*24*60, "")</f>
        <v/>
      </c>
    </row>
    <row r="6177" spans="1:19" x14ac:dyDescent="0.2">
      <c r="A6177" s="12">
        <f t="shared" ref="A6177:C6177" si="1155">A6176</f>
        <v>45988</v>
      </c>
      <c r="B6177" s="5" t="str">
        <f t="shared" si="1155"/>
        <v>Northern Cardinal</v>
      </c>
      <c r="C6177" s="6">
        <f t="shared" si="1155"/>
        <v>0.28472222222222221</v>
      </c>
      <c r="D6177" s="5"/>
      <c r="E6177" s="5"/>
      <c r="F6177" s="5" t="s">
        <v>8</v>
      </c>
      <c r="G6177" s="15" t="s">
        <v>9</v>
      </c>
      <c r="H6177" s="24">
        <f t="shared" si="1148"/>
        <v>0</v>
      </c>
      <c r="I6177" s="24" cm="1">
        <f t="array" ref="I6177">IFERROR(IF($B6177=I$1, ($A6177+$C6177) - MAX(IF($B$2:$B6176=$B6177, $A$2:$A6176+$C$2:$C6176)), "")*24*60, "")</f>
        <v>0</v>
      </c>
      <c r="J6177" s="24" t="str" cm="1">
        <f t="array" ref="J6177">IFERROR(IF($B6177=J$1, ($A6177+$C6177) - MAX(IF($B$2:$B6176=$B6177, $A$2:$A6176+$C$2:$C6176)), "")*24*60, "")</f>
        <v/>
      </c>
      <c r="K6177" s="24" t="str" cm="1">
        <f t="array" ref="K6177">IFERROR(IF($B6177=K$1, ($A6177+$C6177) - MAX(IF($B$2:$B6176=$B6177, $A$2:$A6176+$C$2:$C6176)), "")*24*60, "")</f>
        <v/>
      </c>
      <c r="L6177" s="24" t="str" cm="1">
        <f t="array" ref="L6177">IFERROR(IF($B6177=L$1, ($A6177+$C6177) - MAX(IF($B$2:$B6176=$B6177, $A$2:$A6176+$C$2:$C6176)), "")*24*60, "")</f>
        <v/>
      </c>
      <c r="M6177" s="24" t="str" cm="1">
        <f t="array" ref="M6177">IFERROR(IF($B6177=M$1, ($A6177+$C6177) - MAX(IF($B$2:$B6176=$B6177, $A$2:$A6176+$C$2:$C6176)), "")*24*60, "")</f>
        <v/>
      </c>
      <c r="N6177" s="24" t="str" cm="1">
        <f t="array" ref="N6177">IFERROR(IF($B6177=N$1, ($A6177+$C6177) - MAX(IF($B$2:$B6176=$B6177, $A$2:$A6176+$C$2:$C6176)), "")*24*60, "")</f>
        <v/>
      </c>
      <c r="O6177" s="24" t="str" cm="1">
        <f t="array" ref="O6177">IFERROR(IF($B6177=O$1, ($A6177+$C6177) - MAX(IF($B$2:$B6176=$B6177, $A$2:$A6176+$C$2:$C6176)), "")*24*60, "")</f>
        <v/>
      </c>
      <c r="P6177" s="24" t="str" cm="1">
        <f t="array" ref="P6177">IFERROR(IF($B6177=P$1, ($A6177+$C6177) - MAX(IF($B$2:$B6176=$B6177, $A$2:$A6176+$C$2:$C6176)), "")*24*60, "")</f>
        <v/>
      </c>
      <c r="Q6177" s="24" t="str" cm="1">
        <f t="array" ref="Q6177">IFERROR(IF($B6177=Q$1, ($A6177+$C6177) - MAX(IF($B$2:$B6176=$B6177, $A$2:$A6176+$C$2:$C6176)), "")*24*60, "")</f>
        <v/>
      </c>
      <c r="R6177" s="24" t="str" cm="1">
        <f t="array" ref="R6177">IFERROR(IF($B6177=R$1, ($A6177+$C6177) - MAX(IF($B$2:$B6176=$B6177, $A$2:$A6176+$C$2:$C6176)), "")*24*60, "")</f>
        <v/>
      </c>
      <c r="S6177" s="24" t="str" cm="1">
        <f t="array" ref="S6177">IFERROR(IF($B6177=S$1, ($A6177+$C6177) - MAX(IF($B$2:$B6176=$B6177, $A$2:$A6176+$C$2:$C6176)), "")*24*60, "")</f>
        <v/>
      </c>
    </row>
    <row r="6178" spans="1:19" x14ac:dyDescent="0.2">
      <c r="A6178" s="12">
        <f t="shared" ref="A6178:C6178" si="1156">A6177</f>
        <v>45988</v>
      </c>
      <c r="B6178" s="5" t="str">
        <f t="shared" si="1156"/>
        <v>Northern Cardinal</v>
      </c>
      <c r="C6178" s="6">
        <f t="shared" si="1156"/>
        <v>0.28472222222222221</v>
      </c>
      <c r="D6178" s="5"/>
      <c r="E6178" s="5"/>
      <c r="F6178" s="5" t="s">
        <v>8</v>
      </c>
      <c r="G6178" s="15" t="s">
        <v>9</v>
      </c>
      <c r="H6178" s="24">
        <f t="shared" si="1148"/>
        <v>0</v>
      </c>
      <c r="I6178" s="24" cm="1">
        <f t="array" ref="I6178">IFERROR(IF($B6178=I$1, ($A6178+$C6178) - MAX(IF($B$2:$B6177=$B6178, $A$2:$A6177+$C$2:$C6177)), "")*24*60, "")</f>
        <v>0</v>
      </c>
      <c r="J6178" s="24" t="str" cm="1">
        <f t="array" ref="J6178">IFERROR(IF($B6178=J$1, ($A6178+$C6178) - MAX(IF($B$2:$B6177=$B6178, $A$2:$A6177+$C$2:$C6177)), "")*24*60, "")</f>
        <v/>
      </c>
      <c r="K6178" s="24" t="str" cm="1">
        <f t="array" ref="K6178">IFERROR(IF($B6178=K$1, ($A6178+$C6178) - MAX(IF($B$2:$B6177=$B6178, $A$2:$A6177+$C$2:$C6177)), "")*24*60, "")</f>
        <v/>
      </c>
      <c r="L6178" s="24" t="str" cm="1">
        <f t="array" ref="L6178">IFERROR(IF($B6178=L$1, ($A6178+$C6178) - MAX(IF($B$2:$B6177=$B6178, $A$2:$A6177+$C$2:$C6177)), "")*24*60, "")</f>
        <v/>
      </c>
      <c r="M6178" s="24" t="str" cm="1">
        <f t="array" ref="M6178">IFERROR(IF($B6178=M$1, ($A6178+$C6178) - MAX(IF($B$2:$B6177=$B6178, $A$2:$A6177+$C$2:$C6177)), "")*24*60, "")</f>
        <v/>
      </c>
      <c r="N6178" s="24" t="str" cm="1">
        <f t="array" ref="N6178">IFERROR(IF($B6178=N$1, ($A6178+$C6178) - MAX(IF($B$2:$B6177=$B6178, $A$2:$A6177+$C$2:$C6177)), "")*24*60, "")</f>
        <v/>
      </c>
      <c r="O6178" s="24" t="str" cm="1">
        <f t="array" ref="O6178">IFERROR(IF($B6178=O$1, ($A6178+$C6178) - MAX(IF($B$2:$B6177=$B6178, $A$2:$A6177+$C$2:$C6177)), "")*24*60, "")</f>
        <v/>
      </c>
      <c r="P6178" s="24" t="str" cm="1">
        <f t="array" ref="P6178">IFERROR(IF($B6178=P$1, ($A6178+$C6178) - MAX(IF($B$2:$B6177=$B6178, $A$2:$A6177+$C$2:$C6177)), "")*24*60, "")</f>
        <v/>
      </c>
      <c r="Q6178" s="24" t="str" cm="1">
        <f t="array" ref="Q6178">IFERROR(IF($B6178=Q$1, ($A6178+$C6178) - MAX(IF($B$2:$B6177=$B6178, $A$2:$A6177+$C$2:$C6177)), "")*24*60, "")</f>
        <v/>
      </c>
      <c r="R6178" s="24" t="str" cm="1">
        <f t="array" ref="R6178">IFERROR(IF($B6178=R$1, ($A6178+$C6178) - MAX(IF($B$2:$B6177=$B6178, $A$2:$A6177+$C$2:$C6177)), "")*24*60, "")</f>
        <v/>
      </c>
      <c r="S6178" s="24" t="str" cm="1">
        <f t="array" ref="S6178">IFERROR(IF($B6178=S$1, ($A6178+$C6178) - MAX(IF($B$2:$B6177=$B6178, $A$2:$A6177+$C$2:$C6177)), "")*24*60, "")</f>
        <v/>
      </c>
    </row>
    <row r="6179" spans="1:19" x14ac:dyDescent="0.2">
      <c r="A6179" s="12">
        <f t="shared" ref="A6179:C6179" si="1157">A6178</f>
        <v>45988</v>
      </c>
      <c r="B6179" s="5" t="str">
        <f t="shared" si="1157"/>
        <v>Northern Cardinal</v>
      </c>
      <c r="C6179" s="6">
        <f t="shared" si="1157"/>
        <v>0.28472222222222221</v>
      </c>
      <c r="D6179" s="5"/>
      <c r="E6179" s="5"/>
      <c r="F6179" s="5" t="s">
        <v>8</v>
      </c>
      <c r="G6179" s="15" t="s">
        <v>9</v>
      </c>
      <c r="H6179" s="24">
        <f t="shared" si="1148"/>
        <v>0</v>
      </c>
      <c r="I6179" s="24" cm="1">
        <f t="array" ref="I6179">IFERROR(IF($B6179=I$1, ($A6179+$C6179) - MAX(IF($B$2:$B6178=$B6179, $A$2:$A6178+$C$2:$C6178)), "")*24*60, "")</f>
        <v>0</v>
      </c>
      <c r="J6179" s="24" t="str" cm="1">
        <f t="array" ref="J6179">IFERROR(IF($B6179=J$1, ($A6179+$C6179) - MAX(IF($B$2:$B6178=$B6179, $A$2:$A6178+$C$2:$C6178)), "")*24*60, "")</f>
        <v/>
      </c>
      <c r="K6179" s="24" t="str" cm="1">
        <f t="array" ref="K6179">IFERROR(IF($B6179=K$1, ($A6179+$C6179) - MAX(IF($B$2:$B6178=$B6179, $A$2:$A6178+$C$2:$C6178)), "")*24*60, "")</f>
        <v/>
      </c>
      <c r="L6179" s="24" t="str" cm="1">
        <f t="array" ref="L6179">IFERROR(IF($B6179=L$1, ($A6179+$C6179) - MAX(IF($B$2:$B6178=$B6179, $A$2:$A6178+$C$2:$C6178)), "")*24*60, "")</f>
        <v/>
      </c>
      <c r="M6179" s="24" t="str" cm="1">
        <f t="array" ref="M6179">IFERROR(IF($B6179=M$1, ($A6179+$C6179) - MAX(IF($B$2:$B6178=$B6179, $A$2:$A6178+$C$2:$C6178)), "")*24*60, "")</f>
        <v/>
      </c>
      <c r="N6179" s="24" t="str" cm="1">
        <f t="array" ref="N6179">IFERROR(IF($B6179=N$1, ($A6179+$C6179) - MAX(IF($B$2:$B6178=$B6179, $A$2:$A6178+$C$2:$C6178)), "")*24*60, "")</f>
        <v/>
      </c>
      <c r="O6179" s="24" t="str" cm="1">
        <f t="array" ref="O6179">IFERROR(IF($B6179=O$1, ($A6179+$C6179) - MAX(IF($B$2:$B6178=$B6179, $A$2:$A6178+$C$2:$C6178)), "")*24*60, "")</f>
        <v/>
      </c>
      <c r="P6179" s="24" t="str" cm="1">
        <f t="array" ref="P6179">IFERROR(IF($B6179=P$1, ($A6179+$C6179) - MAX(IF($B$2:$B6178=$B6179, $A$2:$A6178+$C$2:$C6178)), "")*24*60, "")</f>
        <v/>
      </c>
      <c r="Q6179" s="24" t="str" cm="1">
        <f t="array" ref="Q6179">IFERROR(IF($B6179=Q$1, ($A6179+$C6179) - MAX(IF($B$2:$B6178=$B6179, $A$2:$A6178+$C$2:$C6178)), "")*24*60, "")</f>
        <v/>
      </c>
      <c r="R6179" s="24" t="str" cm="1">
        <f t="array" ref="R6179">IFERROR(IF($B6179=R$1, ($A6179+$C6179) - MAX(IF($B$2:$B6178=$B6179, $A$2:$A6178+$C$2:$C6178)), "")*24*60, "")</f>
        <v/>
      </c>
      <c r="S6179" s="24" t="str" cm="1">
        <f t="array" ref="S6179">IFERROR(IF($B6179=S$1, ($A6179+$C6179) - MAX(IF($B$2:$B6178=$B6179, $A$2:$A6178+$C$2:$C6178)), "")*24*60, "")</f>
        <v/>
      </c>
    </row>
    <row r="6180" spans="1:19" x14ac:dyDescent="0.2">
      <c r="A6180" s="12">
        <f t="shared" ref="A6180:C6180" si="1158">A6179</f>
        <v>45988</v>
      </c>
      <c r="B6180" s="5" t="str">
        <f t="shared" si="1158"/>
        <v>Northern Cardinal</v>
      </c>
      <c r="C6180" s="6">
        <f t="shared" si="1158"/>
        <v>0.28472222222222221</v>
      </c>
      <c r="D6180" s="5"/>
      <c r="E6180" s="5"/>
      <c r="F6180" s="5" t="s">
        <v>8</v>
      </c>
      <c r="G6180" s="15" t="s">
        <v>9</v>
      </c>
      <c r="H6180" s="24">
        <f t="shared" si="1148"/>
        <v>0</v>
      </c>
      <c r="I6180" s="24" cm="1">
        <f t="array" ref="I6180">IFERROR(IF($B6180=I$1, ($A6180+$C6180) - MAX(IF($B$2:$B6179=$B6180, $A$2:$A6179+$C$2:$C6179)), "")*24*60, "")</f>
        <v>0</v>
      </c>
      <c r="J6180" s="24" t="str" cm="1">
        <f t="array" ref="J6180">IFERROR(IF($B6180=J$1, ($A6180+$C6180) - MAX(IF($B$2:$B6179=$B6180, $A$2:$A6179+$C$2:$C6179)), "")*24*60, "")</f>
        <v/>
      </c>
      <c r="K6180" s="24" t="str" cm="1">
        <f t="array" ref="K6180">IFERROR(IF($B6180=K$1, ($A6180+$C6180) - MAX(IF($B$2:$B6179=$B6180, $A$2:$A6179+$C$2:$C6179)), "")*24*60, "")</f>
        <v/>
      </c>
      <c r="L6180" s="24" t="str" cm="1">
        <f t="array" ref="L6180">IFERROR(IF($B6180=L$1, ($A6180+$C6180) - MAX(IF($B$2:$B6179=$B6180, $A$2:$A6179+$C$2:$C6179)), "")*24*60, "")</f>
        <v/>
      </c>
      <c r="M6180" s="24" t="str" cm="1">
        <f t="array" ref="M6180">IFERROR(IF($B6180=M$1, ($A6180+$C6180) - MAX(IF($B$2:$B6179=$B6180, $A$2:$A6179+$C$2:$C6179)), "")*24*60, "")</f>
        <v/>
      </c>
      <c r="N6180" s="24" t="str" cm="1">
        <f t="array" ref="N6180">IFERROR(IF($B6180=N$1, ($A6180+$C6180) - MAX(IF($B$2:$B6179=$B6180, $A$2:$A6179+$C$2:$C6179)), "")*24*60, "")</f>
        <v/>
      </c>
      <c r="O6180" s="24" t="str" cm="1">
        <f t="array" ref="O6180">IFERROR(IF($B6180=O$1, ($A6180+$C6180) - MAX(IF($B$2:$B6179=$B6180, $A$2:$A6179+$C$2:$C6179)), "")*24*60, "")</f>
        <v/>
      </c>
      <c r="P6180" s="24" t="str" cm="1">
        <f t="array" ref="P6180">IFERROR(IF($B6180=P$1, ($A6180+$C6180) - MAX(IF($B$2:$B6179=$B6180, $A$2:$A6179+$C$2:$C6179)), "")*24*60, "")</f>
        <v/>
      </c>
      <c r="Q6180" s="24" t="str" cm="1">
        <f t="array" ref="Q6180">IFERROR(IF($B6180=Q$1, ($A6180+$C6180) - MAX(IF($B$2:$B6179=$B6180, $A$2:$A6179+$C$2:$C6179)), "")*24*60, "")</f>
        <v/>
      </c>
      <c r="R6180" s="24" t="str" cm="1">
        <f t="array" ref="R6180">IFERROR(IF($B6180=R$1, ($A6180+$C6180) - MAX(IF($B$2:$B6179=$B6180, $A$2:$A6179+$C$2:$C6179)), "")*24*60, "")</f>
        <v/>
      </c>
      <c r="S6180" s="24" t="str" cm="1">
        <f t="array" ref="S6180">IFERROR(IF($B6180=S$1, ($A6180+$C6180) - MAX(IF($B$2:$B6179=$B6180, $A$2:$A6179+$C$2:$C6179)), "")*24*60, "")</f>
        <v/>
      </c>
    </row>
    <row r="6181" spans="1:19" x14ac:dyDescent="0.2">
      <c r="A6181" s="12">
        <f t="shared" ref="A6181:C6181" si="1159">A6180</f>
        <v>45988</v>
      </c>
      <c r="B6181" s="5" t="str">
        <f t="shared" si="1159"/>
        <v>Northern Cardinal</v>
      </c>
      <c r="C6181" s="6">
        <f t="shared" si="1159"/>
        <v>0.28472222222222221</v>
      </c>
      <c r="D6181" s="5"/>
      <c r="E6181" s="5"/>
      <c r="F6181" s="5" t="s">
        <v>8</v>
      </c>
      <c r="G6181" s="15" t="s">
        <v>9</v>
      </c>
      <c r="H6181" s="24">
        <f t="shared" si="1148"/>
        <v>0</v>
      </c>
      <c r="I6181" s="24" cm="1">
        <f t="array" ref="I6181">IFERROR(IF($B6181=I$1, ($A6181+$C6181) - MAX(IF($B$2:$B6180=$B6181, $A$2:$A6180+$C$2:$C6180)), "")*24*60, "")</f>
        <v>0</v>
      </c>
      <c r="J6181" s="24" t="str" cm="1">
        <f t="array" ref="J6181">IFERROR(IF($B6181=J$1, ($A6181+$C6181) - MAX(IF($B$2:$B6180=$B6181, $A$2:$A6180+$C$2:$C6180)), "")*24*60, "")</f>
        <v/>
      </c>
      <c r="K6181" s="24" t="str" cm="1">
        <f t="array" ref="K6181">IFERROR(IF($B6181=K$1, ($A6181+$C6181) - MAX(IF($B$2:$B6180=$B6181, $A$2:$A6180+$C$2:$C6180)), "")*24*60, "")</f>
        <v/>
      </c>
      <c r="L6181" s="24" t="str" cm="1">
        <f t="array" ref="L6181">IFERROR(IF($B6181=L$1, ($A6181+$C6181) - MAX(IF($B$2:$B6180=$B6181, $A$2:$A6180+$C$2:$C6180)), "")*24*60, "")</f>
        <v/>
      </c>
      <c r="M6181" s="24" t="str" cm="1">
        <f t="array" ref="M6181">IFERROR(IF($B6181=M$1, ($A6181+$C6181) - MAX(IF($B$2:$B6180=$B6181, $A$2:$A6180+$C$2:$C6180)), "")*24*60, "")</f>
        <v/>
      </c>
      <c r="N6181" s="24" t="str" cm="1">
        <f t="array" ref="N6181">IFERROR(IF($B6181=N$1, ($A6181+$C6181) - MAX(IF($B$2:$B6180=$B6181, $A$2:$A6180+$C$2:$C6180)), "")*24*60, "")</f>
        <v/>
      </c>
      <c r="O6181" s="24" t="str" cm="1">
        <f t="array" ref="O6181">IFERROR(IF($B6181=O$1, ($A6181+$C6181) - MAX(IF($B$2:$B6180=$B6181, $A$2:$A6180+$C$2:$C6180)), "")*24*60, "")</f>
        <v/>
      </c>
      <c r="P6181" s="24" t="str" cm="1">
        <f t="array" ref="P6181">IFERROR(IF($B6181=P$1, ($A6181+$C6181) - MAX(IF($B$2:$B6180=$B6181, $A$2:$A6180+$C$2:$C6180)), "")*24*60, "")</f>
        <v/>
      </c>
      <c r="Q6181" s="24" t="str" cm="1">
        <f t="array" ref="Q6181">IFERROR(IF($B6181=Q$1, ($A6181+$C6181) - MAX(IF($B$2:$B6180=$B6181, $A$2:$A6180+$C$2:$C6180)), "")*24*60, "")</f>
        <v/>
      </c>
      <c r="R6181" s="24" t="str" cm="1">
        <f t="array" ref="R6181">IFERROR(IF($B6181=R$1, ($A6181+$C6181) - MAX(IF($B$2:$B6180=$B6181, $A$2:$A6180+$C$2:$C6180)), "")*24*60, "")</f>
        <v/>
      </c>
      <c r="S6181" s="24" t="str" cm="1">
        <f t="array" ref="S6181">IFERROR(IF($B6181=S$1, ($A6181+$C6181) - MAX(IF($B$2:$B6180=$B6181, $A$2:$A6180+$C$2:$C6180)), "")*24*60, "")</f>
        <v/>
      </c>
    </row>
    <row r="6182" spans="1:19" x14ac:dyDescent="0.2">
      <c r="A6182" s="12">
        <f t="shared" ref="A6182:C6182" si="1160">A6181</f>
        <v>45988</v>
      </c>
      <c r="B6182" s="5" t="str">
        <f t="shared" si="1160"/>
        <v>Northern Cardinal</v>
      </c>
      <c r="C6182" s="6">
        <f t="shared" si="1160"/>
        <v>0.28472222222222221</v>
      </c>
      <c r="D6182" s="5"/>
      <c r="E6182" s="5"/>
      <c r="F6182" s="5" t="s">
        <v>8</v>
      </c>
      <c r="G6182" s="15" t="s">
        <v>9</v>
      </c>
      <c r="H6182" s="24">
        <f t="shared" si="1148"/>
        <v>0</v>
      </c>
      <c r="I6182" s="24" cm="1">
        <f t="array" ref="I6182">IFERROR(IF($B6182=I$1, ($A6182+$C6182) - MAX(IF($B$2:$B6181=$B6182, $A$2:$A6181+$C$2:$C6181)), "")*24*60, "")</f>
        <v>0</v>
      </c>
      <c r="J6182" s="24" t="str" cm="1">
        <f t="array" ref="J6182">IFERROR(IF($B6182=J$1, ($A6182+$C6182) - MAX(IF($B$2:$B6181=$B6182, $A$2:$A6181+$C$2:$C6181)), "")*24*60, "")</f>
        <v/>
      </c>
      <c r="K6182" s="24" t="str" cm="1">
        <f t="array" ref="K6182">IFERROR(IF($B6182=K$1, ($A6182+$C6182) - MAX(IF($B$2:$B6181=$B6182, $A$2:$A6181+$C$2:$C6181)), "")*24*60, "")</f>
        <v/>
      </c>
      <c r="L6182" s="24" t="str" cm="1">
        <f t="array" ref="L6182">IFERROR(IF($B6182=L$1, ($A6182+$C6182) - MAX(IF($B$2:$B6181=$B6182, $A$2:$A6181+$C$2:$C6181)), "")*24*60, "")</f>
        <v/>
      </c>
      <c r="M6182" s="24" t="str" cm="1">
        <f t="array" ref="M6182">IFERROR(IF($B6182=M$1, ($A6182+$C6182) - MAX(IF($B$2:$B6181=$B6182, $A$2:$A6181+$C$2:$C6181)), "")*24*60, "")</f>
        <v/>
      </c>
      <c r="N6182" s="24" t="str" cm="1">
        <f t="array" ref="N6182">IFERROR(IF($B6182=N$1, ($A6182+$C6182) - MAX(IF($B$2:$B6181=$B6182, $A$2:$A6181+$C$2:$C6181)), "")*24*60, "")</f>
        <v/>
      </c>
      <c r="O6182" s="24" t="str" cm="1">
        <f t="array" ref="O6182">IFERROR(IF($B6182=O$1, ($A6182+$C6182) - MAX(IF($B$2:$B6181=$B6182, $A$2:$A6181+$C$2:$C6181)), "")*24*60, "")</f>
        <v/>
      </c>
      <c r="P6182" s="24" t="str" cm="1">
        <f t="array" ref="P6182">IFERROR(IF($B6182=P$1, ($A6182+$C6182) - MAX(IF($B$2:$B6181=$B6182, $A$2:$A6181+$C$2:$C6181)), "")*24*60, "")</f>
        <v/>
      </c>
      <c r="Q6182" s="24" t="str" cm="1">
        <f t="array" ref="Q6182">IFERROR(IF($B6182=Q$1, ($A6182+$C6182) - MAX(IF($B$2:$B6181=$B6182, $A$2:$A6181+$C$2:$C6181)), "")*24*60, "")</f>
        <v/>
      </c>
      <c r="R6182" s="24" t="str" cm="1">
        <f t="array" ref="R6182">IFERROR(IF($B6182=R$1, ($A6182+$C6182) - MAX(IF($B$2:$B6181=$B6182, $A$2:$A6181+$C$2:$C6181)), "")*24*60, "")</f>
        <v/>
      </c>
      <c r="S6182" s="24" t="str" cm="1">
        <f t="array" ref="S6182">IFERROR(IF($B6182=S$1, ($A6182+$C6182) - MAX(IF($B$2:$B6181=$B6182, $A$2:$A6181+$C$2:$C6181)), "")*24*60, "")</f>
        <v/>
      </c>
    </row>
    <row r="6183" spans="1:19" x14ac:dyDescent="0.2">
      <c r="A6183" s="12">
        <f t="shared" ref="A6183:C6183" si="1161">A6182</f>
        <v>45988</v>
      </c>
      <c r="B6183" s="5" t="str">
        <f t="shared" si="1161"/>
        <v>Northern Cardinal</v>
      </c>
      <c r="C6183" s="6">
        <f t="shared" si="1161"/>
        <v>0.28472222222222221</v>
      </c>
      <c r="D6183" s="5"/>
      <c r="E6183" s="5"/>
      <c r="F6183" s="5" t="s">
        <v>8</v>
      </c>
      <c r="G6183" s="15" t="s">
        <v>9</v>
      </c>
      <c r="H6183" s="24">
        <f t="shared" si="1148"/>
        <v>0</v>
      </c>
      <c r="I6183" s="24" cm="1">
        <f t="array" ref="I6183">IFERROR(IF($B6183=I$1, ($A6183+$C6183) - MAX(IF($B$2:$B6182=$B6183, $A$2:$A6182+$C$2:$C6182)), "")*24*60, "")</f>
        <v>0</v>
      </c>
      <c r="J6183" s="24" t="str" cm="1">
        <f t="array" ref="J6183">IFERROR(IF($B6183=J$1, ($A6183+$C6183) - MAX(IF($B$2:$B6182=$B6183, $A$2:$A6182+$C$2:$C6182)), "")*24*60, "")</f>
        <v/>
      </c>
      <c r="K6183" s="24" t="str" cm="1">
        <f t="array" ref="K6183">IFERROR(IF($B6183=K$1, ($A6183+$C6183) - MAX(IF($B$2:$B6182=$B6183, $A$2:$A6182+$C$2:$C6182)), "")*24*60, "")</f>
        <v/>
      </c>
      <c r="L6183" s="24" t="str" cm="1">
        <f t="array" ref="L6183">IFERROR(IF($B6183=L$1, ($A6183+$C6183) - MAX(IF($B$2:$B6182=$B6183, $A$2:$A6182+$C$2:$C6182)), "")*24*60, "")</f>
        <v/>
      </c>
      <c r="M6183" s="24" t="str" cm="1">
        <f t="array" ref="M6183">IFERROR(IF($B6183=M$1, ($A6183+$C6183) - MAX(IF($B$2:$B6182=$B6183, $A$2:$A6182+$C$2:$C6182)), "")*24*60, "")</f>
        <v/>
      </c>
      <c r="N6183" s="24" t="str" cm="1">
        <f t="array" ref="N6183">IFERROR(IF($B6183=N$1, ($A6183+$C6183) - MAX(IF($B$2:$B6182=$B6183, $A$2:$A6182+$C$2:$C6182)), "")*24*60, "")</f>
        <v/>
      </c>
      <c r="O6183" s="24" t="str" cm="1">
        <f t="array" ref="O6183">IFERROR(IF($B6183=O$1, ($A6183+$C6183) - MAX(IF($B$2:$B6182=$B6183, $A$2:$A6182+$C$2:$C6182)), "")*24*60, "")</f>
        <v/>
      </c>
      <c r="P6183" s="24" t="str" cm="1">
        <f t="array" ref="P6183">IFERROR(IF($B6183=P$1, ($A6183+$C6183) - MAX(IF($B$2:$B6182=$B6183, $A$2:$A6182+$C$2:$C6182)), "")*24*60, "")</f>
        <v/>
      </c>
      <c r="Q6183" s="24" t="str" cm="1">
        <f t="array" ref="Q6183">IFERROR(IF($B6183=Q$1, ($A6183+$C6183) - MAX(IF($B$2:$B6182=$B6183, $A$2:$A6182+$C$2:$C6182)), "")*24*60, "")</f>
        <v/>
      </c>
      <c r="R6183" s="24" t="str" cm="1">
        <f t="array" ref="R6183">IFERROR(IF($B6183=R$1, ($A6183+$C6183) - MAX(IF($B$2:$B6182=$B6183, $A$2:$A6182+$C$2:$C6182)), "")*24*60, "")</f>
        <v/>
      </c>
      <c r="S6183" s="24" t="str" cm="1">
        <f t="array" ref="S6183">IFERROR(IF($B6183=S$1, ($A6183+$C6183) - MAX(IF($B$2:$B6182=$B6183, $A$2:$A6182+$C$2:$C6182)), "")*24*60, "")</f>
        <v/>
      </c>
    </row>
    <row r="6184" spans="1:19" x14ac:dyDescent="0.2">
      <c r="A6184" s="12">
        <f t="shared" ref="A6184:C6184" si="1162">A6183</f>
        <v>45988</v>
      </c>
      <c r="B6184" s="5" t="str">
        <f t="shared" si="1162"/>
        <v>Northern Cardinal</v>
      </c>
      <c r="C6184" s="6">
        <f t="shared" si="1162"/>
        <v>0.28472222222222221</v>
      </c>
      <c r="D6184" s="5"/>
      <c r="E6184" s="5"/>
      <c r="F6184" s="5" t="s">
        <v>8</v>
      </c>
      <c r="G6184" s="15" t="s">
        <v>9</v>
      </c>
      <c r="H6184" s="24">
        <f t="shared" si="1148"/>
        <v>0</v>
      </c>
      <c r="I6184" s="24" cm="1">
        <f t="array" ref="I6184">IFERROR(IF($B6184=I$1, ($A6184+$C6184) - MAX(IF($B$2:$B6183=$B6184, $A$2:$A6183+$C$2:$C6183)), "")*24*60, "")</f>
        <v>0</v>
      </c>
      <c r="J6184" s="24" t="str" cm="1">
        <f t="array" ref="J6184">IFERROR(IF($B6184=J$1, ($A6184+$C6184) - MAX(IF($B$2:$B6183=$B6184, $A$2:$A6183+$C$2:$C6183)), "")*24*60, "")</f>
        <v/>
      </c>
      <c r="K6184" s="24" t="str" cm="1">
        <f t="array" ref="K6184">IFERROR(IF($B6184=K$1, ($A6184+$C6184) - MAX(IF($B$2:$B6183=$B6184, $A$2:$A6183+$C$2:$C6183)), "")*24*60, "")</f>
        <v/>
      </c>
      <c r="L6184" s="24" t="str" cm="1">
        <f t="array" ref="L6184">IFERROR(IF($B6184=L$1, ($A6184+$C6184) - MAX(IF($B$2:$B6183=$B6184, $A$2:$A6183+$C$2:$C6183)), "")*24*60, "")</f>
        <v/>
      </c>
      <c r="M6184" s="24" t="str" cm="1">
        <f t="array" ref="M6184">IFERROR(IF($B6184=M$1, ($A6184+$C6184) - MAX(IF($B$2:$B6183=$B6184, $A$2:$A6183+$C$2:$C6183)), "")*24*60, "")</f>
        <v/>
      </c>
      <c r="N6184" s="24" t="str" cm="1">
        <f t="array" ref="N6184">IFERROR(IF($B6184=N$1, ($A6184+$C6184) - MAX(IF($B$2:$B6183=$B6184, $A$2:$A6183+$C$2:$C6183)), "")*24*60, "")</f>
        <v/>
      </c>
      <c r="O6184" s="24" t="str" cm="1">
        <f t="array" ref="O6184">IFERROR(IF($B6184=O$1, ($A6184+$C6184) - MAX(IF($B$2:$B6183=$B6184, $A$2:$A6183+$C$2:$C6183)), "")*24*60, "")</f>
        <v/>
      </c>
      <c r="P6184" s="24" t="str" cm="1">
        <f t="array" ref="P6184">IFERROR(IF($B6184=P$1, ($A6184+$C6184) - MAX(IF($B$2:$B6183=$B6184, $A$2:$A6183+$C$2:$C6183)), "")*24*60, "")</f>
        <v/>
      </c>
      <c r="Q6184" s="24" t="str" cm="1">
        <f t="array" ref="Q6184">IFERROR(IF($B6184=Q$1, ($A6184+$C6184) - MAX(IF($B$2:$B6183=$B6184, $A$2:$A6183+$C$2:$C6183)), "")*24*60, "")</f>
        <v/>
      </c>
      <c r="R6184" s="24" t="str" cm="1">
        <f t="array" ref="R6184">IFERROR(IF($B6184=R$1, ($A6184+$C6184) - MAX(IF($B$2:$B6183=$B6184, $A$2:$A6183+$C$2:$C6183)), "")*24*60, "")</f>
        <v/>
      </c>
      <c r="S6184" s="24" t="str" cm="1">
        <f t="array" ref="S6184">IFERROR(IF($B6184=S$1, ($A6184+$C6184) - MAX(IF($B$2:$B6183=$B6184, $A$2:$A6183+$C$2:$C6183)), "")*24*60, "")</f>
        <v/>
      </c>
    </row>
    <row r="6185" spans="1:19" x14ac:dyDescent="0.2">
      <c r="A6185" s="12">
        <f t="shared" ref="A6185:C6185" si="1163">A6184</f>
        <v>45988</v>
      </c>
      <c r="B6185" s="5" t="str">
        <f t="shared" si="1163"/>
        <v>Northern Cardinal</v>
      </c>
      <c r="C6185" s="6">
        <f t="shared" si="1163"/>
        <v>0.28472222222222221</v>
      </c>
      <c r="D6185" s="5"/>
      <c r="E6185" s="5"/>
      <c r="F6185" s="5" t="s">
        <v>8</v>
      </c>
      <c r="G6185" s="15" t="s">
        <v>9</v>
      </c>
      <c r="H6185" s="24">
        <f t="shared" si="1148"/>
        <v>0</v>
      </c>
      <c r="I6185" s="24" cm="1">
        <f t="array" ref="I6185">IFERROR(IF($B6185=I$1, ($A6185+$C6185) - MAX(IF($B$2:$B6184=$B6185, $A$2:$A6184+$C$2:$C6184)), "")*24*60, "")</f>
        <v>0</v>
      </c>
      <c r="J6185" s="24" t="str" cm="1">
        <f t="array" ref="J6185">IFERROR(IF($B6185=J$1, ($A6185+$C6185) - MAX(IF($B$2:$B6184=$B6185, $A$2:$A6184+$C$2:$C6184)), "")*24*60, "")</f>
        <v/>
      </c>
      <c r="K6185" s="24" t="str" cm="1">
        <f t="array" ref="K6185">IFERROR(IF($B6185=K$1, ($A6185+$C6185) - MAX(IF($B$2:$B6184=$B6185, $A$2:$A6184+$C$2:$C6184)), "")*24*60, "")</f>
        <v/>
      </c>
      <c r="L6185" s="24" t="str" cm="1">
        <f t="array" ref="L6185">IFERROR(IF($B6185=L$1, ($A6185+$C6185) - MAX(IF($B$2:$B6184=$B6185, $A$2:$A6184+$C$2:$C6184)), "")*24*60, "")</f>
        <v/>
      </c>
      <c r="M6185" s="24" t="str" cm="1">
        <f t="array" ref="M6185">IFERROR(IF($B6185=M$1, ($A6185+$C6185) - MAX(IF($B$2:$B6184=$B6185, $A$2:$A6184+$C$2:$C6184)), "")*24*60, "")</f>
        <v/>
      </c>
      <c r="N6185" s="24" t="str" cm="1">
        <f t="array" ref="N6185">IFERROR(IF($B6185=N$1, ($A6185+$C6185) - MAX(IF($B$2:$B6184=$B6185, $A$2:$A6184+$C$2:$C6184)), "")*24*60, "")</f>
        <v/>
      </c>
      <c r="O6185" s="24" t="str" cm="1">
        <f t="array" ref="O6185">IFERROR(IF($B6185=O$1, ($A6185+$C6185) - MAX(IF($B$2:$B6184=$B6185, $A$2:$A6184+$C$2:$C6184)), "")*24*60, "")</f>
        <v/>
      </c>
      <c r="P6185" s="24" t="str" cm="1">
        <f t="array" ref="P6185">IFERROR(IF($B6185=P$1, ($A6185+$C6185) - MAX(IF($B$2:$B6184=$B6185, $A$2:$A6184+$C$2:$C6184)), "")*24*60, "")</f>
        <v/>
      </c>
      <c r="Q6185" s="24" t="str" cm="1">
        <f t="array" ref="Q6185">IFERROR(IF($B6185=Q$1, ($A6185+$C6185) - MAX(IF($B$2:$B6184=$B6185, $A$2:$A6184+$C$2:$C6184)), "")*24*60, "")</f>
        <v/>
      </c>
      <c r="R6185" s="24" t="str" cm="1">
        <f t="array" ref="R6185">IFERROR(IF($B6185=R$1, ($A6185+$C6185) - MAX(IF($B$2:$B6184=$B6185, $A$2:$A6184+$C$2:$C6184)), "")*24*60, "")</f>
        <v/>
      </c>
      <c r="S6185" s="24" t="str" cm="1">
        <f t="array" ref="S6185">IFERROR(IF($B6185=S$1, ($A6185+$C6185) - MAX(IF($B$2:$B6184=$B6185, $A$2:$A6184+$C$2:$C6184)), "")*24*60, "")</f>
        <v/>
      </c>
    </row>
    <row r="6186" spans="1:19" x14ac:dyDescent="0.2">
      <c r="A6186" s="12">
        <f t="shared" ref="A6186:C6186" si="1164">A6185</f>
        <v>45988</v>
      </c>
      <c r="B6186" s="5" t="str">
        <f t="shared" si="1164"/>
        <v>Northern Cardinal</v>
      </c>
      <c r="C6186" s="6">
        <f t="shared" si="1164"/>
        <v>0.28472222222222221</v>
      </c>
      <c r="D6186" s="5"/>
      <c r="E6186" s="5"/>
      <c r="F6186" s="5" t="s">
        <v>8</v>
      </c>
      <c r="G6186" s="15" t="s">
        <v>9</v>
      </c>
      <c r="H6186" s="24">
        <f t="shared" si="1148"/>
        <v>0</v>
      </c>
      <c r="I6186" s="24" cm="1">
        <f t="array" ref="I6186">IFERROR(IF($B6186=I$1, ($A6186+$C6186) - MAX(IF($B$2:$B6185=$B6186, $A$2:$A6185+$C$2:$C6185)), "")*24*60, "")</f>
        <v>0</v>
      </c>
      <c r="J6186" s="24" t="str" cm="1">
        <f t="array" ref="J6186">IFERROR(IF($B6186=J$1, ($A6186+$C6186) - MAX(IF($B$2:$B6185=$B6186, $A$2:$A6185+$C$2:$C6185)), "")*24*60, "")</f>
        <v/>
      </c>
      <c r="K6186" s="24" t="str" cm="1">
        <f t="array" ref="K6186">IFERROR(IF($B6186=K$1, ($A6186+$C6186) - MAX(IF($B$2:$B6185=$B6186, $A$2:$A6185+$C$2:$C6185)), "")*24*60, "")</f>
        <v/>
      </c>
      <c r="L6186" s="24" t="str" cm="1">
        <f t="array" ref="L6186">IFERROR(IF($B6186=L$1, ($A6186+$C6186) - MAX(IF($B$2:$B6185=$B6186, $A$2:$A6185+$C$2:$C6185)), "")*24*60, "")</f>
        <v/>
      </c>
      <c r="M6186" s="24" t="str" cm="1">
        <f t="array" ref="M6186">IFERROR(IF($B6186=M$1, ($A6186+$C6186) - MAX(IF($B$2:$B6185=$B6186, $A$2:$A6185+$C$2:$C6185)), "")*24*60, "")</f>
        <v/>
      </c>
      <c r="N6186" s="24" t="str" cm="1">
        <f t="array" ref="N6186">IFERROR(IF($B6186=N$1, ($A6186+$C6186) - MAX(IF($B$2:$B6185=$B6186, $A$2:$A6185+$C$2:$C6185)), "")*24*60, "")</f>
        <v/>
      </c>
      <c r="O6186" s="24" t="str" cm="1">
        <f t="array" ref="O6186">IFERROR(IF($B6186=O$1, ($A6186+$C6186) - MAX(IF($B$2:$B6185=$B6186, $A$2:$A6185+$C$2:$C6185)), "")*24*60, "")</f>
        <v/>
      </c>
      <c r="P6186" s="24" t="str" cm="1">
        <f t="array" ref="P6186">IFERROR(IF($B6186=P$1, ($A6186+$C6186) - MAX(IF($B$2:$B6185=$B6186, $A$2:$A6185+$C$2:$C6185)), "")*24*60, "")</f>
        <v/>
      </c>
      <c r="Q6186" s="24" t="str" cm="1">
        <f t="array" ref="Q6186">IFERROR(IF($B6186=Q$1, ($A6186+$C6186) - MAX(IF($B$2:$B6185=$B6186, $A$2:$A6185+$C$2:$C6185)), "")*24*60, "")</f>
        <v/>
      </c>
      <c r="R6186" s="24" t="str" cm="1">
        <f t="array" ref="R6186">IFERROR(IF($B6186=R$1, ($A6186+$C6186) - MAX(IF($B$2:$B6185=$B6186, $A$2:$A6185+$C$2:$C6185)), "")*24*60, "")</f>
        <v/>
      </c>
      <c r="S6186" s="24" t="str" cm="1">
        <f t="array" ref="S6186">IFERROR(IF($B6186=S$1, ($A6186+$C6186) - MAX(IF($B$2:$B6185=$B6186, $A$2:$A6185+$C$2:$C6185)), "")*24*60, "")</f>
        <v/>
      </c>
    </row>
    <row r="6187" spans="1:19" x14ac:dyDescent="0.2">
      <c r="A6187" s="12">
        <f t="shared" ref="A6187:C6187" si="1165">A6186</f>
        <v>45988</v>
      </c>
      <c r="B6187" s="5" t="str">
        <f t="shared" si="1165"/>
        <v>Northern Cardinal</v>
      </c>
      <c r="C6187" s="6">
        <f t="shared" si="1165"/>
        <v>0.28472222222222221</v>
      </c>
      <c r="D6187" s="5"/>
      <c r="E6187" s="5"/>
      <c r="F6187" s="5" t="s">
        <v>8</v>
      </c>
      <c r="G6187" s="15" t="s">
        <v>9</v>
      </c>
      <c r="H6187" s="24">
        <f t="shared" si="1148"/>
        <v>0</v>
      </c>
      <c r="I6187" s="24" cm="1">
        <f t="array" ref="I6187">IFERROR(IF($B6187=I$1, ($A6187+$C6187) - MAX(IF($B$2:$B6186=$B6187, $A$2:$A6186+$C$2:$C6186)), "")*24*60, "")</f>
        <v>0</v>
      </c>
      <c r="J6187" s="24" t="str" cm="1">
        <f t="array" ref="J6187">IFERROR(IF($B6187=J$1, ($A6187+$C6187) - MAX(IF($B$2:$B6186=$B6187, $A$2:$A6186+$C$2:$C6186)), "")*24*60, "")</f>
        <v/>
      </c>
      <c r="K6187" s="24" t="str" cm="1">
        <f t="array" ref="K6187">IFERROR(IF($B6187=K$1, ($A6187+$C6187) - MAX(IF($B$2:$B6186=$B6187, $A$2:$A6186+$C$2:$C6186)), "")*24*60, "")</f>
        <v/>
      </c>
      <c r="L6187" s="24" t="str" cm="1">
        <f t="array" ref="L6187">IFERROR(IF($B6187=L$1, ($A6187+$C6187) - MAX(IF($B$2:$B6186=$B6187, $A$2:$A6186+$C$2:$C6186)), "")*24*60, "")</f>
        <v/>
      </c>
      <c r="M6187" s="24" t="str" cm="1">
        <f t="array" ref="M6187">IFERROR(IF($B6187=M$1, ($A6187+$C6187) - MAX(IF($B$2:$B6186=$B6187, $A$2:$A6186+$C$2:$C6186)), "")*24*60, "")</f>
        <v/>
      </c>
      <c r="N6187" s="24" t="str" cm="1">
        <f t="array" ref="N6187">IFERROR(IF($B6187=N$1, ($A6187+$C6187) - MAX(IF($B$2:$B6186=$B6187, $A$2:$A6186+$C$2:$C6186)), "")*24*60, "")</f>
        <v/>
      </c>
      <c r="O6187" s="24" t="str" cm="1">
        <f t="array" ref="O6187">IFERROR(IF($B6187=O$1, ($A6187+$C6187) - MAX(IF($B$2:$B6186=$B6187, $A$2:$A6186+$C$2:$C6186)), "")*24*60, "")</f>
        <v/>
      </c>
      <c r="P6187" s="24" t="str" cm="1">
        <f t="array" ref="P6187">IFERROR(IF($B6187=P$1, ($A6187+$C6187) - MAX(IF($B$2:$B6186=$B6187, $A$2:$A6186+$C$2:$C6186)), "")*24*60, "")</f>
        <v/>
      </c>
      <c r="Q6187" s="24" t="str" cm="1">
        <f t="array" ref="Q6187">IFERROR(IF($B6187=Q$1, ($A6187+$C6187) - MAX(IF($B$2:$B6186=$B6187, $A$2:$A6186+$C$2:$C6186)), "")*24*60, "")</f>
        <v/>
      </c>
      <c r="R6187" s="24" t="str" cm="1">
        <f t="array" ref="R6187">IFERROR(IF($B6187=R$1, ($A6187+$C6187) - MAX(IF($B$2:$B6186=$B6187, $A$2:$A6186+$C$2:$C6186)), "")*24*60, "")</f>
        <v/>
      </c>
      <c r="S6187" s="24" t="str" cm="1">
        <f t="array" ref="S6187">IFERROR(IF($B6187=S$1, ($A6187+$C6187) - MAX(IF($B$2:$B6186=$B6187, $A$2:$A6186+$C$2:$C6186)), "")*24*60, "")</f>
        <v/>
      </c>
    </row>
    <row r="6188" spans="1:19" x14ac:dyDescent="0.2">
      <c r="A6188" s="12">
        <f t="shared" ref="A6188:C6188" si="1166">A6187</f>
        <v>45988</v>
      </c>
      <c r="B6188" s="5" t="str">
        <f t="shared" si="1166"/>
        <v>Northern Cardinal</v>
      </c>
      <c r="C6188" s="6">
        <f t="shared" si="1166"/>
        <v>0.28472222222222221</v>
      </c>
      <c r="D6188" s="5"/>
      <c r="E6188" s="5"/>
      <c r="F6188" s="5" t="s">
        <v>8</v>
      </c>
      <c r="G6188" s="15" t="s">
        <v>9</v>
      </c>
      <c r="H6188" s="24">
        <f t="shared" si="1148"/>
        <v>0</v>
      </c>
      <c r="I6188" s="24" cm="1">
        <f t="array" ref="I6188">IFERROR(IF($B6188=I$1, ($A6188+$C6188) - MAX(IF($B$2:$B6187=$B6188, $A$2:$A6187+$C$2:$C6187)), "")*24*60, "")</f>
        <v>0</v>
      </c>
      <c r="J6188" s="24" t="str" cm="1">
        <f t="array" ref="J6188">IFERROR(IF($B6188=J$1, ($A6188+$C6188) - MAX(IF($B$2:$B6187=$B6188, $A$2:$A6187+$C$2:$C6187)), "")*24*60, "")</f>
        <v/>
      </c>
      <c r="K6188" s="24" t="str" cm="1">
        <f t="array" ref="K6188">IFERROR(IF($B6188=K$1, ($A6188+$C6188) - MAX(IF($B$2:$B6187=$B6188, $A$2:$A6187+$C$2:$C6187)), "")*24*60, "")</f>
        <v/>
      </c>
      <c r="L6188" s="24" t="str" cm="1">
        <f t="array" ref="L6188">IFERROR(IF($B6188=L$1, ($A6188+$C6188) - MAX(IF($B$2:$B6187=$B6188, $A$2:$A6187+$C$2:$C6187)), "")*24*60, "")</f>
        <v/>
      </c>
      <c r="M6188" s="24" t="str" cm="1">
        <f t="array" ref="M6188">IFERROR(IF($B6188=M$1, ($A6188+$C6188) - MAX(IF($B$2:$B6187=$B6188, $A$2:$A6187+$C$2:$C6187)), "")*24*60, "")</f>
        <v/>
      </c>
      <c r="N6188" s="24" t="str" cm="1">
        <f t="array" ref="N6188">IFERROR(IF($B6188=N$1, ($A6188+$C6188) - MAX(IF($B$2:$B6187=$B6188, $A$2:$A6187+$C$2:$C6187)), "")*24*60, "")</f>
        <v/>
      </c>
      <c r="O6188" s="24" t="str" cm="1">
        <f t="array" ref="O6188">IFERROR(IF($B6188=O$1, ($A6188+$C6188) - MAX(IF($B$2:$B6187=$B6188, $A$2:$A6187+$C$2:$C6187)), "")*24*60, "")</f>
        <v/>
      </c>
      <c r="P6188" s="24" t="str" cm="1">
        <f t="array" ref="P6188">IFERROR(IF($B6188=P$1, ($A6188+$C6188) - MAX(IF($B$2:$B6187=$B6188, $A$2:$A6187+$C$2:$C6187)), "")*24*60, "")</f>
        <v/>
      </c>
      <c r="Q6188" s="24" t="str" cm="1">
        <f t="array" ref="Q6188">IFERROR(IF($B6188=Q$1, ($A6188+$C6188) - MAX(IF($B$2:$B6187=$B6188, $A$2:$A6187+$C$2:$C6187)), "")*24*60, "")</f>
        <v/>
      </c>
      <c r="R6188" s="24" t="str" cm="1">
        <f t="array" ref="R6188">IFERROR(IF($B6188=R$1, ($A6188+$C6188) - MAX(IF($B$2:$B6187=$B6188, $A$2:$A6187+$C$2:$C6187)), "")*24*60, "")</f>
        <v/>
      </c>
      <c r="S6188" s="24" t="str" cm="1">
        <f t="array" ref="S6188">IFERROR(IF($B6188=S$1, ($A6188+$C6188) - MAX(IF($B$2:$B6187=$B6188, $A$2:$A6187+$C$2:$C6187)), "")*24*60, "")</f>
        <v/>
      </c>
    </row>
    <row r="6189" spans="1:19" x14ac:dyDescent="0.2">
      <c r="A6189" s="12">
        <f t="shared" ref="A6189:C6189" si="1167">A6188</f>
        <v>45988</v>
      </c>
      <c r="B6189" s="5" t="str">
        <f t="shared" si="1167"/>
        <v>Northern Cardinal</v>
      </c>
      <c r="C6189" s="6">
        <f t="shared" si="1167"/>
        <v>0.28472222222222221</v>
      </c>
      <c r="D6189" s="5"/>
      <c r="E6189" s="5"/>
      <c r="F6189" s="5" t="s">
        <v>8</v>
      </c>
      <c r="G6189" s="15" t="s">
        <v>9</v>
      </c>
      <c r="H6189" s="24">
        <f t="shared" si="1148"/>
        <v>0</v>
      </c>
      <c r="I6189" s="24" cm="1">
        <f t="array" ref="I6189">IFERROR(IF($B6189=I$1, ($A6189+$C6189) - MAX(IF($B$2:$B6188=$B6189, $A$2:$A6188+$C$2:$C6188)), "")*24*60, "")</f>
        <v>0</v>
      </c>
      <c r="J6189" s="24" t="str" cm="1">
        <f t="array" ref="J6189">IFERROR(IF($B6189=J$1, ($A6189+$C6189) - MAX(IF($B$2:$B6188=$B6189, $A$2:$A6188+$C$2:$C6188)), "")*24*60, "")</f>
        <v/>
      </c>
      <c r="K6189" s="24" t="str" cm="1">
        <f t="array" ref="K6189">IFERROR(IF($B6189=K$1, ($A6189+$C6189) - MAX(IF($B$2:$B6188=$B6189, $A$2:$A6188+$C$2:$C6188)), "")*24*60, "")</f>
        <v/>
      </c>
      <c r="L6189" s="24" t="str" cm="1">
        <f t="array" ref="L6189">IFERROR(IF($B6189=L$1, ($A6189+$C6189) - MAX(IF($B$2:$B6188=$B6189, $A$2:$A6188+$C$2:$C6188)), "")*24*60, "")</f>
        <v/>
      </c>
      <c r="M6189" s="24" t="str" cm="1">
        <f t="array" ref="M6189">IFERROR(IF($B6189=M$1, ($A6189+$C6189) - MAX(IF($B$2:$B6188=$B6189, $A$2:$A6188+$C$2:$C6188)), "")*24*60, "")</f>
        <v/>
      </c>
      <c r="N6189" s="24" t="str" cm="1">
        <f t="array" ref="N6189">IFERROR(IF($B6189=N$1, ($A6189+$C6189) - MAX(IF($B$2:$B6188=$B6189, $A$2:$A6188+$C$2:$C6188)), "")*24*60, "")</f>
        <v/>
      </c>
      <c r="O6189" s="24" t="str" cm="1">
        <f t="array" ref="O6189">IFERROR(IF($B6189=O$1, ($A6189+$C6189) - MAX(IF($B$2:$B6188=$B6189, $A$2:$A6188+$C$2:$C6188)), "")*24*60, "")</f>
        <v/>
      </c>
      <c r="P6189" s="24" t="str" cm="1">
        <f t="array" ref="P6189">IFERROR(IF($B6189=P$1, ($A6189+$C6189) - MAX(IF($B$2:$B6188=$B6189, $A$2:$A6188+$C$2:$C6188)), "")*24*60, "")</f>
        <v/>
      </c>
      <c r="Q6189" s="24" t="str" cm="1">
        <f t="array" ref="Q6189">IFERROR(IF($B6189=Q$1, ($A6189+$C6189) - MAX(IF($B$2:$B6188=$B6189, $A$2:$A6188+$C$2:$C6188)), "")*24*60, "")</f>
        <v/>
      </c>
      <c r="R6189" s="24" t="str" cm="1">
        <f t="array" ref="R6189">IFERROR(IF($B6189=R$1, ($A6189+$C6189) - MAX(IF($B$2:$B6188=$B6189, $A$2:$A6188+$C$2:$C6188)), "")*24*60, "")</f>
        <v/>
      </c>
      <c r="S6189" s="24" t="str" cm="1">
        <f t="array" ref="S6189">IFERROR(IF($B6189=S$1, ($A6189+$C6189) - MAX(IF($B$2:$B6188=$B6189, $A$2:$A6188+$C$2:$C6188)), "")*24*60, "")</f>
        <v/>
      </c>
    </row>
    <row r="6190" spans="1:19" x14ac:dyDescent="0.2">
      <c r="A6190" s="12">
        <f t="shared" ref="A6190:C6190" si="1168">A6189</f>
        <v>45988</v>
      </c>
      <c r="B6190" s="5" t="str">
        <f t="shared" si="1168"/>
        <v>Northern Cardinal</v>
      </c>
      <c r="C6190" s="6">
        <f t="shared" si="1168"/>
        <v>0.28472222222222221</v>
      </c>
      <c r="D6190" s="5"/>
      <c r="E6190" s="5"/>
      <c r="F6190" s="5" t="s">
        <v>8</v>
      </c>
      <c r="G6190" s="15" t="s">
        <v>9</v>
      </c>
      <c r="H6190" s="24">
        <f t="shared" si="1148"/>
        <v>0</v>
      </c>
      <c r="I6190" s="24" cm="1">
        <f t="array" ref="I6190">IFERROR(IF($B6190=I$1, ($A6190+$C6190) - MAX(IF($B$2:$B6189=$B6190, $A$2:$A6189+$C$2:$C6189)), "")*24*60, "")</f>
        <v>0</v>
      </c>
      <c r="J6190" s="24" t="str" cm="1">
        <f t="array" ref="J6190">IFERROR(IF($B6190=J$1, ($A6190+$C6190) - MAX(IF($B$2:$B6189=$B6190, $A$2:$A6189+$C$2:$C6189)), "")*24*60, "")</f>
        <v/>
      </c>
      <c r="K6190" s="24" t="str" cm="1">
        <f t="array" ref="K6190">IFERROR(IF($B6190=K$1, ($A6190+$C6190) - MAX(IF($B$2:$B6189=$B6190, $A$2:$A6189+$C$2:$C6189)), "")*24*60, "")</f>
        <v/>
      </c>
      <c r="L6190" s="24" t="str" cm="1">
        <f t="array" ref="L6190">IFERROR(IF($B6190=L$1, ($A6190+$C6190) - MAX(IF($B$2:$B6189=$B6190, $A$2:$A6189+$C$2:$C6189)), "")*24*60, "")</f>
        <v/>
      </c>
      <c r="M6190" s="24" t="str" cm="1">
        <f t="array" ref="M6190">IFERROR(IF($B6190=M$1, ($A6190+$C6190) - MAX(IF($B$2:$B6189=$B6190, $A$2:$A6189+$C$2:$C6189)), "")*24*60, "")</f>
        <v/>
      </c>
      <c r="N6190" s="24" t="str" cm="1">
        <f t="array" ref="N6190">IFERROR(IF($B6190=N$1, ($A6190+$C6190) - MAX(IF($B$2:$B6189=$B6190, $A$2:$A6189+$C$2:$C6189)), "")*24*60, "")</f>
        <v/>
      </c>
      <c r="O6190" s="24" t="str" cm="1">
        <f t="array" ref="O6190">IFERROR(IF($B6190=O$1, ($A6190+$C6190) - MAX(IF($B$2:$B6189=$B6190, $A$2:$A6189+$C$2:$C6189)), "")*24*60, "")</f>
        <v/>
      </c>
      <c r="P6190" s="24" t="str" cm="1">
        <f t="array" ref="P6190">IFERROR(IF($B6190=P$1, ($A6190+$C6190) - MAX(IF($B$2:$B6189=$B6190, $A$2:$A6189+$C$2:$C6189)), "")*24*60, "")</f>
        <v/>
      </c>
      <c r="Q6190" s="24" t="str" cm="1">
        <f t="array" ref="Q6190">IFERROR(IF($B6190=Q$1, ($A6190+$C6190) - MAX(IF($B$2:$B6189=$B6190, $A$2:$A6189+$C$2:$C6189)), "")*24*60, "")</f>
        <v/>
      </c>
      <c r="R6190" s="24" t="str" cm="1">
        <f t="array" ref="R6190">IFERROR(IF($B6190=R$1, ($A6190+$C6190) - MAX(IF($B$2:$B6189=$B6190, $A$2:$A6189+$C$2:$C6189)), "")*24*60, "")</f>
        <v/>
      </c>
      <c r="S6190" s="24" t="str" cm="1">
        <f t="array" ref="S6190">IFERROR(IF($B6190=S$1, ($A6190+$C6190) - MAX(IF($B$2:$B6189=$B6190, $A$2:$A6189+$C$2:$C6189)), "")*24*60, "")</f>
        <v/>
      </c>
    </row>
    <row r="6191" spans="1:19" x14ac:dyDescent="0.2">
      <c r="A6191" s="12">
        <f t="shared" ref="A6191:C6191" si="1169">A6190</f>
        <v>45988</v>
      </c>
      <c r="B6191" s="5" t="str">
        <f t="shared" si="1169"/>
        <v>Northern Cardinal</v>
      </c>
      <c r="C6191" s="6">
        <f t="shared" si="1169"/>
        <v>0.28472222222222221</v>
      </c>
      <c r="D6191" s="5"/>
      <c r="E6191" s="5"/>
      <c r="F6191" s="5" t="s">
        <v>8</v>
      </c>
      <c r="G6191" s="15" t="s">
        <v>9</v>
      </c>
      <c r="H6191" s="24">
        <f t="shared" si="1148"/>
        <v>0</v>
      </c>
      <c r="I6191" s="24" cm="1">
        <f t="array" ref="I6191">IFERROR(IF($B6191=I$1, ($A6191+$C6191) - MAX(IF($B$2:$B6190=$B6191, $A$2:$A6190+$C$2:$C6190)), "")*24*60, "")</f>
        <v>0</v>
      </c>
      <c r="J6191" s="24" t="str" cm="1">
        <f t="array" ref="J6191">IFERROR(IF($B6191=J$1, ($A6191+$C6191) - MAX(IF($B$2:$B6190=$B6191, $A$2:$A6190+$C$2:$C6190)), "")*24*60, "")</f>
        <v/>
      </c>
      <c r="K6191" s="24" t="str" cm="1">
        <f t="array" ref="K6191">IFERROR(IF($B6191=K$1, ($A6191+$C6191) - MAX(IF($B$2:$B6190=$B6191, $A$2:$A6190+$C$2:$C6190)), "")*24*60, "")</f>
        <v/>
      </c>
      <c r="L6191" s="24" t="str" cm="1">
        <f t="array" ref="L6191">IFERROR(IF($B6191=L$1, ($A6191+$C6191) - MAX(IF($B$2:$B6190=$B6191, $A$2:$A6190+$C$2:$C6190)), "")*24*60, "")</f>
        <v/>
      </c>
      <c r="M6191" s="24" t="str" cm="1">
        <f t="array" ref="M6191">IFERROR(IF($B6191=M$1, ($A6191+$C6191) - MAX(IF($B$2:$B6190=$B6191, $A$2:$A6190+$C$2:$C6190)), "")*24*60, "")</f>
        <v/>
      </c>
      <c r="N6191" s="24" t="str" cm="1">
        <f t="array" ref="N6191">IFERROR(IF($B6191=N$1, ($A6191+$C6191) - MAX(IF($B$2:$B6190=$B6191, $A$2:$A6190+$C$2:$C6190)), "")*24*60, "")</f>
        <v/>
      </c>
      <c r="O6191" s="24" t="str" cm="1">
        <f t="array" ref="O6191">IFERROR(IF($B6191=O$1, ($A6191+$C6191) - MAX(IF($B$2:$B6190=$B6191, $A$2:$A6190+$C$2:$C6190)), "")*24*60, "")</f>
        <v/>
      </c>
      <c r="P6191" s="24" t="str" cm="1">
        <f t="array" ref="P6191">IFERROR(IF($B6191=P$1, ($A6191+$C6191) - MAX(IF($B$2:$B6190=$B6191, $A$2:$A6190+$C$2:$C6190)), "")*24*60, "")</f>
        <v/>
      </c>
      <c r="Q6191" s="24" t="str" cm="1">
        <f t="array" ref="Q6191">IFERROR(IF($B6191=Q$1, ($A6191+$C6191) - MAX(IF($B$2:$B6190=$B6191, $A$2:$A6190+$C$2:$C6190)), "")*24*60, "")</f>
        <v/>
      </c>
      <c r="R6191" s="24" t="str" cm="1">
        <f t="array" ref="R6191">IFERROR(IF($B6191=R$1, ($A6191+$C6191) - MAX(IF($B$2:$B6190=$B6191, $A$2:$A6190+$C$2:$C6190)), "")*24*60, "")</f>
        <v/>
      </c>
      <c r="S6191" s="24" t="str" cm="1">
        <f t="array" ref="S6191">IFERROR(IF($B6191=S$1, ($A6191+$C6191) - MAX(IF($B$2:$B6190=$B6191, $A$2:$A6190+$C$2:$C6190)), "")*24*60, "")</f>
        <v/>
      </c>
    </row>
    <row r="6192" spans="1:19" x14ac:dyDescent="0.2">
      <c r="A6192" s="12">
        <f t="shared" ref="A6192:C6192" si="1170">A6191</f>
        <v>45988</v>
      </c>
      <c r="B6192" s="5" t="str">
        <f t="shared" si="1170"/>
        <v>Northern Cardinal</v>
      </c>
      <c r="C6192" s="6">
        <f t="shared" si="1170"/>
        <v>0.28472222222222221</v>
      </c>
      <c r="D6192" s="5"/>
      <c r="E6192" s="5"/>
      <c r="F6192" s="5" t="s">
        <v>8</v>
      </c>
      <c r="G6192" s="15" t="s">
        <v>9</v>
      </c>
      <c r="H6192" s="24">
        <f t="shared" si="1148"/>
        <v>0</v>
      </c>
      <c r="I6192" s="24" cm="1">
        <f t="array" ref="I6192">IFERROR(IF($B6192=I$1, ($A6192+$C6192) - MAX(IF($B$2:$B6191=$B6192, $A$2:$A6191+$C$2:$C6191)), "")*24*60, "")</f>
        <v>0</v>
      </c>
      <c r="J6192" s="24" t="str" cm="1">
        <f t="array" ref="J6192">IFERROR(IF($B6192=J$1, ($A6192+$C6192) - MAX(IF($B$2:$B6191=$B6192, $A$2:$A6191+$C$2:$C6191)), "")*24*60, "")</f>
        <v/>
      </c>
      <c r="K6192" s="24" t="str" cm="1">
        <f t="array" ref="K6192">IFERROR(IF($B6192=K$1, ($A6192+$C6192) - MAX(IF($B$2:$B6191=$B6192, $A$2:$A6191+$C$2:$C6191)), "")*24*60, "")</f>
        <v/>
      </c>
      <c r="L6192" s="24" t="str" cm="1">
        <f t="array" ref="L6192">IFERROR(IF($B6192=L$1, ($A6192+$C6192) - MAX(IF($B$2:$B6191=$B6192, $A$2:$A6191+$C$2:$C6191)), "")*24*60, "")</f>
        <v/>
      </c>
      <c r="M6192" s="24" t="str" cm="1">
        <f t="array" ref="M6192">IFERROR(IF($B6192=M$1, ($A6192+$C6192) - MAX(IF($B$2:$B6191=$B6192, $A$2:$A6191+$C$2:$C6191)), "")*24*60, "")</f>
        <v/>
      </c>
      <c r="N6192" s="24" t="str" cm="1">
        <f t="array" ref="N6192">IFERROR(IF($B6192=N$1, ($A6192+$C6192) - MAX(IF($B$2:$B6191=$B6192, $A$2:$A6191+$C$2:$C6191)), "")*24*60, "")</f>
        <v/>
      </c>
      <c r="O6192" s="24" t="str" cm="1">
        <f t="array" ref="O6192">IFERROR(IF($B6192=O$1, ($A6192+$C6192) - MAX(IF($B$2:$B6191=$B6192, $A$2:$A6191+$C$2:$C6191)), "")*24*60, "")</f>
        <v/>
      </c>
      <c r="P6192" s="24" t="str" cm="1">
        <f t="array" ref="P6192">IFERROR(IF($B6192=P$1, ($A6192+$C6192) - MAX(IF($B$2:$B6191=$B6192, $A$2:$A6191+$C$2:$C6191)), "")*24*60, "")</f>
        <v/>
      </c>
      <c r="Q6192" s="24" t="str" cm="1">
        <f t="array" ref="Q6192">IFERROR(IF($B6192=Q$1, ($A6192+$C6192) - MAX(IF($B$2:$B6191=$B6192, $A$2:$A6191+$C$2:$C6191)), "")*24*60, "")</f>
        <v/>
      </c>
      <c r="R6192" s="24" t="str" cm="1">
        <f t="array" ref="R6192">IFERROR(IF($B6192=R$1, ($A6192+$C6192) - MAX(IF($B$2:$B6191=$B6192, $A$2:$A6191+$C$2:$C6191)), "")*24*60, "")</f>
        <v/>
      </c>
      <c r="S6192" s="24" t="str" cm="1">
        <f t="array" ref="S6192">IFERROR(IF($B6192=S$1, ($A6192+$C6192) - MAX(IF($B$2:$B6191=$B6192, $A$2:$A6191+$C$2:$C6191)), "")*24*60, "")</f>
        <v/>
      </c>
    </row>
    <row r="6193" spans="1:19" x14ac:dyDescent="0.2">
      <c r="A6193" s="12">
        <f t="shared" ref="A6193:C6193" si="1171">A6192</f>
        <v>45988</v>
      </c>
      <c r="B6193" s="5" t="str">
        <f t="shared" si="1171"/>
        <v>Northern Cardinal</v>
      </c>
      <c r="C6193" s="6">
        <f t="shared" si="1171"/>
        <v>0.28472222222222221</v>
      </c>
      <c r="D6193" s="5"/>
      <c r="E6193" s="5"/>
      <c r="F6193" s="5" t="s">
        <v>8</v>
      </c>
      <c r="G6193" s="15" t="s">
        <v>9</v>
      </c>
      <c r="H6193" s="24">
        <f t="shared" si="1148"/>
        <v>0</v>
      </c>
      <c r="I6193" s="24" cm="1">
        <f t="array" ref="I6193">IFERROR(IF($B6193=I$1, ($A6193+$C6193) - MAX(IF($B$2:$B6192=$B6193, $A$2:$A6192+$C$2:$C6192)), "")*24*60, "")</f>
        <v>0</v>
      </c>
      <c r="J6193" s="24" t="str" cm="1">
        <f t="array" ref="J6193">IFERROR(IF($B6193=J$1, ($A6193+$C6193) - MAX(IF($B$2:$B6192=$B6193, $A$2:$A6192+$C$2:$C6192)), "")*24*60, "")</f>
        <v/>
      </c>
      <c r="K6193" s="24" t="str" cm="1">
        <f t="array" ref="K6193">IFERROR(IF($B6193=K$1, ($A6193+$C6193) - MAX(IF($B$2:$B6192=$B6193, $A$2:$A6192+$C$2:$C6192)), "")*24*60, "")</f>
        <v/>
      </c>
      <c r="L6193" s="24" t="str" cm="1">
        <f t="array" ref="L6193">IFERROR(IF($B6193=L$1, ($A6193+$C6193) - MAX(IF($B$2:$B6192=$B6193, $A$2:$A6192+$C$2:$C6192)), "")*24*60, "")</f>
        <v/>
      </c>
      <c r="M6193" s="24" t="str" cm="1">
        <f t="array" ref="M6193">IFERROR(IF($B6193=M$1, ($A6193+$C6193) - MAX(IF($B$2:$B6192=$B6193, $A$2:$A6192+$C$2:$C6192)), "")*24*60, "")</f>
        <v/>
      </c>
      <c r="N6193" s="24" t="str" cm="1">
        <f t="array" ref="N6193">IFERROR(IF($B6193=N$1, ($A6193+$C6193) - MAX(IF($B$2:$B6192=$B6193, $A$2:$A6192+$C$2:$C6192)), "")*24*60, "")</f>
        <v/>
      </c>
      <c r="O6193" s="24" t="str" cm="1">
        <f t="array" ref="O6193">IFERROR(IF($B6193=O$1, ($A6193+$C6193) - MAX(IF($B$2:$B6192=$B6193, $A$2:$A6192+$C$2:$C6192)), "")*24*60, "")</f>
        <v/>
      </c>
      <c r="P6193" s="24" t="str" cm="1">
        <f t="array" ref="P6193">IFERROR(IF($B6193=P$1, ($A6193+$C6193) - MAX(IF($B$2:$B6192=$B6193, $A$2:$A6192+$C$2:$C6192)), "")*24*60, "")</f>
        <v/>
      </c>
      <c r="Q6193" s="24" t="str" cm="1">
        <f t="array" ref="Q6193">IFERROR(IF($B6193=Q$1, ($A6193+$C6193) - MAX(IF($B$2:$B6192=$B6193, $A$2:$A6192+$C$2:$C6192)), "")*24*60, "")</f>
        <v/>
      </c>
      <c r="R6193" s="24" t="str" cm="1">
        <f t="array" ref="R6193">IFERROR(IF($B6193=R$1, ($A6193+$C6193) - MAX(IF($B$2:$B6192=$B6193, $A$2:$A6192+$C$2:$C6192)), "")*24*60, "")</f>
        <v/>
      </c>
      <c r="S6193" s="24" t="str" cm="1">
        <f t="array" ref="S6193">IFERROR(IF($B6193=S$1, ($A6193+$C6193) - MAX(IF($B$2:$B6192=$B6193, $A$2:$A6192+$C$2:$C6192)), "")*24*60, "")</f>
        <v/>
      </c>
    </row>
    <row r="6194" spans="1:19" x14ac:dyDescent="0.2">
      <c r="A6194" s="12">
        <f t="shared" ref="A6194:C6194" si="1172">A6193</f>
        <v>45988</v>
      </c>
      <c r="B6194" s="5" t="str">
        <f t="shared" si="1172"/>
        <v>Northern Cardinal</v>
      </c>
      <c r="C6194" s="6">
        <f t="shared" si="1172"/>
        <v>0.28472222222222221</v>
      </c>
      <c r="D6194" s="5"/>
      <c r="E6194" s="5"/>
      <c r="F6194" s="5" t="s">
        <v>8</v>
      </c>
      <c r="G6194" s="15" t="s">
        <v>9</v>
      </c>
      <c r="H6194" s="24">
        <f t="shared" si="1148"/>
        <v>0</v>
      </c>
      <c r="I6194" s="24" cm="1">
        <f t="array" ref="I6194">IFERROR(IF($B6194=I$1, ($A6194+$C6194) - MAX(IF($B$2:$B6193=$B6194, $A$2:$A6193+$C$2:$C6193)), "")*24*60, "")</f>
        <v>0</v>
      </c>
      <c r="J6194" s="24" t="str" cm="1">
        <f t="array" ref="J6194">IFERROR(IF($B6194=J$1, ($A6194+$C6194) - MAX(IF($B$2:$B6193=$B6194, $A$2:$A6193+$C$2:$C6193)), "")*24*60, "")</f>
        <v/>
      </c>
      <c r="K6194" s="24" t="str" cm="1">
        <f t="array" ref="K6194">IFERROR(IF($B6194=K$1, ($A6194+$C6194) - MAX(IF($B$2:$B6193=$B6194, $A$2:$A6193+$C$2:$C6193)), "")*24*60, "")</f>
        <v/>
      </c>
      <c r="L6194" s="24" t="str" cm="1">
        <f t="array" ref="L6194">IFERROR(IF($B6194=L$1, ($A6194+$C6194) - MAX(IF($B$2:$B6193=$B6194, $A$2:$A6193+$C$2:$C6193)), "")*24*60, "")</f>
        <v/>
      </c>
      <c r="M6194" s="24" t="str" cm="1">
        <f t="array" ref="M6194">IFERROR(IF($B6194=M$1, ($A6194+$C6194) - MAX(IF($B$2:$B6193=$B6194, $A$2:$A6193+$C$2:$C6193)), "")*24*60, "")</f>
        <v/>
      </c>
      <c r="N6194" s="24" t="str" cm="1">
        <f t="array" ref="N6194">IFERROR(IF($B6194=N$1, ($A6194+$C6194) - MAX(IF($B$2:$B6193=$B6194, $A$2:$A6193+$C$2:$C6193)), "")*24*60, "")</f>
        <v/>
      </c>
      <c r="O6194" s="24" t="str" cm="1">
        <f t="array" ref="O6194">IFERROR(IF($B6194=O$1, ($A6194+$C6194) - MAX(IF($B$2:$B6193=$B6194, $A$2:$A6193+$C$2:$C6193)), "")*24*60, "")</f>
        <v/>
      </c>
      <c r="P6194" s="24" t="str" cm="1">
        <f t="array" ref="P6194">IFERROR(IF($B6194=P$1, ($A6194+$C6194) - MAX(IF($B$2:$B6193=$B6194, $A$2:$A6193+$C$2:$C6193)), "")*24*60, "")</f>
        <v/>
      </c>
      <c r="Q6194" s="24" t="str" cm="1">
        <f t="array" ref="Q6194">IFERROR(IF($B6194=Q$1, ($A6194+$C6194) - MAX(IF($B$2:$B6193=$B6194, $A$2:$A6193+$C$2:$C6193)), "")*24*60, "")</f>
        <v/>
      </c>
      <c r="R6194" s="24" t="str" cm="1">
        <f t="array" ref="R6194">IFERROR(IF($B6194=R$1, ($A6194+$C6194) - MAX(IF($B$2:$B6193=$B6194, $A$2:$A6193+$C$2:$C6193)), "")*24*60, "")</f>
        <v/>
      </c>
      <c r="S6194" s="24" t="str" cm="1">
        <f t="array" ref="S6194">IFERROR(IF($B6194=S$1, ($A6194+$C6194) - MAX(IF($B$2:$B6193=$B6194, $A$2:$A6193+$C$2:$C6193)), "")*24*60, "")</f>
        <v/>
      </c>
    </row>
    <row r="6195" spans="1:19" x14ac:dyDescent="0.2">
      <c r="A6195" s="12">
        <f t="shared" ref="A6195:C6195" si="1173">A6194</f>
        <v>45988</v>
      </c>
      <c r="B6195" s="5" t="str">
        <f t="shared" si="1173"/>
        <v>Northern Cardinal</v>
      </c>
      <c r="C6195" s="6">
        <f t="shared" si="1173"/>
        <v>0.28472222222222221</v>
      </c>
      <c r="D6195" s="5"/>
      <c r="E6195" s="5"/>
      <c r="F6195" s="5" t="s">
        <v>8</v>
      </c>
      <c r="G6195" s="15" t="s">
        <v>9</v>
      </c>
      <c r="H6195" s="24">
        <f t="shared" si="1148"/>
        <v>0</v>
      </c>
      <c r="I6195" s="24" cm="1">
        <f t="array" ref="I6195">IFERROR(IF($B6195=I$1, ($A6195+$C6195) - MAX(IF($B$2:$B6194=$B6195, $A$2:$A6194+$C$2:$C6194)), "")*24*60, "")</f>
        <v>0</v>
      </c>
      <c r="J6195" s="24" t="str" cm="1">
        <f t="array" ref="J6195">IFERROR(IF($B6195=J$1, ($A6195+$C6195) - MAX(IF($B$2:$B6194=$B6195, $A$2:$A6194+$C$2:$C6194)), "")*24*60, "")</f>
        <v/>
      </c>
      <c r="K6195" s="24" t="str" cm="1">
        <f t="array" ref="K6195">IFERROR(IF($B6195=K$1, ($A6195+$C6195) - MAX(IF($B$2:$B6194=$B6195, $A$2:$A6194+$C$2:$C6194)), "")*24*60, "")</f>
        <v/>
      </c>
      <c r="L6195" s="24" t="str" cm="1">
        <f t="array" ref="L6195">IFERROR(IF($B6195=L$1, ($A6195+$C6195) - MAX(IF($B$2:$B6194=$B6195, $A$2:$A6194+$C$2:$C6194)), "")*24*60, "")</f>
        <v/>
      </c>
      <c r="M6195" s="24" t="str" cm="1">
        <f t="array" ref="M6195">IFERROR(IF($B6195=M$1, ($A6195+$C6195) - MAX(IF($B$2:$B6194=$B6195, $A$2:$A6194+$C$2:$C6194)), "")*24*60, "")</f>
        <v/>
      </c>
      <c r="N6195" s="24" t="str" cm="1">
        <f t="array" ref="N6195">IFERROR(IF($B6195=N$1, ($A6195+$C6195) - MAX(IF($B$2:$B6194=$B6195, $A$2:$A6194+$C$2:$C6194)), "")*24*60, "")</f>
        <v/>
      </c>
      <c r="O6195" s="24" t="str" cm="1">
        <f t="array" ref="O6195">IFERROR(IF($B6195=O$1, ($A6195+$C6195) - MAX(IF($B$2:$B6194=$B6195, $A$2:$A6194+$C$2:$C6194)), "")*24*60, "")</f>
        <v/>
      </c>
      <c r="P6195" s="24" t="str" cm="1">
        <f t="array" ref="P6195">IFERROR(IF($B6195=P$1, ($A6195+$C6195) - MAX(IF($B$2:$B6194=$B6195, $A$2:$A6194+$C$2:$C6194)), "")*24*60, "")</f>
        <v/>
      </c>
      <c r="Q6195" s="24" t="str" cm="1">
        <f t="array" ref="Q6195">IFERROR(IF($B6195=Q$1, ($A6195+$C6195) - MAX(IF($B$2:$B6194=$B6195, $A$2:$A6194+$C$2:$C6194)), "")*24*60, "")</f>
        <v/>
      </c>
      <c r="R6195" s="24" t="str" cm="1">
        <f t="array" ref="R6195">IFERROR(IF($B6195=R$1, ($A6195+$C6195) - MAX(IF($B$2:$B6194=$B6195, $A$2:$A6194+$C$2:$C6194)), "")*24*60, "")</f>
        <v/>
      </c>
      <c r="S6195" s="24" t="str" cm="1">
        <f t="array" ref="S6195">IFERROR(IF($B6195=S$1, ($A6195+$C6195) - MAX(IF($B$2:$B6194=$B6195, $A$2:$A6194+$C$2:$C6194)), "")*24*60, "")</f>
        <v/>
      </c>
    </row>
    <row r="6196" spans="1:19" x14ac:dyDescent="0.2">
      <c r="A6196" s="12">
        <f t="shared" ref="A6196:C6196" si="1174">A6195</f>
        <v>45988</v>
      </c>
      <c r="B6196" s="5" t="str">
        <f t="shared" si="1174"/>
        <v>Northern Cardinal</v>
      </c>
      <c r="C6196" s="6">
        <f t="shared" si="1174"/>
        <v>0.28472222222222221</v>
      </c>
      <c r="D6196" s="5"/>
      <c r="E6196" s="5"/>
      <c r="F6196" s="5" t="s">
        <v>8</v>
      </c>
      <c r="G6196" s="15" t="s">
        <v>9</v>
      </c>
      <c r="H6196" s="24">
        <f t="shared" si="1148"/>
        <v>0</v>
      </c>
      <c r="I6196" s="24" cm="1">
        <f t="array" ref="I6196">IFERROR(IF($B6196=I$1, ($A6196+$C6196) - MAX(IF($B$2:$B6195=$B6196, $A$2:$A6195+$C$2:$C6195)), "")*24*60, "")</f>
        <v>0</v>
      </c>
      <c r="J6196" s="24" t="str" cm="1">
        <f t="array" ref="J6196">IFERROR(IF($B6196=J$1, ($A6196+$C6196) - MAX(IF($B$2:$B6195=$B6196, $A$2:$A6195+$C$2:$C6195)), "")*24*60, "")</f>
        <v/>
      </c>
      <c r="K6196" s="24" t="str" cm="1">
        <f t="array" ref="K6196">IFERROR(IF($B6196=K$1, ($A6196+$C6196) - MAX(IF($B$2:$B6195=$B6196, $A$2:$A6195+$C$2:$C6195)), "")*24*60, "")</f>
        <v/>
      </c>
      <c r="L6196" s="24" t="str" cm="1">
        <f t="array" ref="L6196">IFERROR(IF($B6196=L$1, ($A6196+$C6196) - MAX(IF($B$2:$B6195=$B6196, $A$2:$A6195+$C$2:$C6195)), "")*24*60, "")</f>
        <v/>
      </c>
      <c r="M6196" s="24" t="str" cm="1">
        <f t="array" ref="M6196">IFERROR(IF($B6196=M$1, ($A6196+$C6196) - MAX(IF($B$2:$B6195=$B6196, $A$2:$A6195+$C$2:$C6195)), "")*24*60, "")</f>
        <v/>
      </c>
      <c r="N6196" s="24" t="str" cm="1">
        <f t="array" ref="N6196">IFERROR(IF($B6196=N$1, ($A6196+$C6196) - MAX(IF($B$2:$B6195=$B6196, $A$2:$A6195+$C$2:$C6195)), "")*24*60, "")</f>
        <v/>
      </c>
      <c r="O6196" s="24" t="str" cm="1">
        <f t="array" ref="O6196">IFERROR(IF($B6196=O$1, ($A6196+$C6196) - MAX(IF($B$2:$B6195=$B6196, $A$2:$A6195+$C$2:$C6195)), "")*24*60, "")</f>
        <v/>
      </c>
      <c r="P6196" s="24" t="str" cm="1">
        <f t="array" ref="P6196">IFERROR(IF($B6196=P$1, ($A6196+$C6196) - MAX(IF($B$2:$B6195=$B6196, $A$2:$A6195+$C$2:$C6195)), "")*24*60, "")</f>
        <v/>
      </c>
      <c r="Q6196" s="24" t="str" cm="1">
        <f t="array" ref="Q6196">IFERROR(IF($B6196=Q$1, ($A6196+$C6196) - MAX(IF($B$2:$B6195=$B6196, $A$2:$A6195+$C$2:$C6195)), "")*24*60, "")</f>
        <v/>
      </c>
      <c r="R6196" s="24" t="str" cm="1">
        <f t="array" ref="R6196">IFERROR(IF($B6196=R$1, ($A6196+$C6196) - MAX(IF($B$2:$B6195=$B6196, $A$2:$A6195+$C$2:$C6195)), "")*24*60, "")</f>
        <v/>
      </c>
      <c r="S6196" s="24" t="str" cm="1">
        <f t="array" ref="S6196">IFERROR(IF($B6196=S$1, ($A6196+$C6196) - MAX(IF($B$2:$B6195=$B6196, $A$2:$A6195+$C$2:$C6195)), "")*24*60, "")</f>
        <v/>
      </c>
    </row>
    <row r="6197" spans="1:19" x14ac:dyDescent="0.2">
      <c r="A6197" s="12">
        <f t="shared" ref="A6197:C6197" si="1175">A6196</f>
        <v>45988</v>
      </c>
      <c r="B6197" s="5" t="str">
        <f t="shared" si="1175"/>
        <v>Northern Cardinal</v>
      </c>
      <c r="C6197" s="6">
        <f t="shared" si="1175"/>
        <v>0.28472222222222221</v>
      </c>
      <c r="D6197" s="5"/>
      <c r="E6197" s="5"/>
      <c r="F6197" s="5" t="s">
        <v>8</v>
      </c>
      <c r="G6197" s="15" t="s">
        <v>9</v>
      </c>
      <c r="H6197" s="24">
        <f t="shared" si="1148"/>
        <v>0</v>
      </c>
      <c r="I6197" s="24" cm="1">
        <f t="array" ref="I6197">IFERROR(IF($B6197=I$1, ($A6197+$C6197) - MAX(IF($B$2:$B6196=$B6197, $A$2:$A6196+$C$2:$C6196)), "")*24*60, "")</f>
        <v>0</v>
      </c>
      <c r="J6197" s="24" t="str" cm="1">
        <f t="array" ref="J6197">IFERROR(IF($B6197=J$1, ($A6197+$C6197) - MAX(IF($B$2:$B6196=$B6197, $A$2:$A6196+$C$2:$C6196)), "")*24*60, "")</f>
        <v/>
      </c>
      <c r="K6197" s="24" t="str" cm="1">
        <f t="array" ref="K6197">IFERROR(IF($B6197=K$1, ($A6197+$C6197) - MAX(IF($B$2:$B6196=$B6197, $A$2:$A6196+$C$2:$C6196)), "")*24*60, "")</f>
        <v/>
      </c>
      <c r="L6197" s="24" t="str" cm="1">
        <f t="array" ref="L6197">IFERROR(IF($B6197=L$1, ($A6197+$C6197) - MAX(IF($B$2:$B6196=$B6197, $A$2:$A6196+$C$2:$C6196)), "")*24*60, "")</f>
        <v/>
      </c>
      <c r="M6197" s="24" t="str" cm="1">
        <f t="array" ref="M6197">IFERROR(IF($B6197=M$1, ($A6197+$C6197) - MAX(IF($B$2:$B6196=$B6197, $A$2:$A6196+$C$2:$C6196)), "")*24*60, "")</f>
        <v/>
      </c>
      <c r="N6197" s="24" t="str" cm="1">
        <f t="array" ref="N6197">IFERROR(IF($B6197=N$1, ($A6197+$C6197) - MAX(IF($B$2:$B6196=$B6197, $A$2:$A6196+$C$2:$C6196)), "")*24*60, "")</f>
        <v/>
      </c>
      <c r="O6197" s="24" t="str" cm="1">
        <f t="array" ref="O6197">IFERROR(IF($B6197=O$1, ($A6197+$C6197) - MAX(IF($B$2:$B6196=$B6197, $A$2:$A6196+$C$2:$C6196)), "")*24*60, "")</f>
        <v/>
      </c>
      <c r="P6197" s="24" t="str" cm="1">
        <f t="array" ref="P6197">IFERROR(IF($B6197=P$1, ($A6197+$C6197) - MAX(IF($B$2:$B6196=$B6197, $A$2:$A6196+$C$2:$C6196)), "")*24*60, "")</f>
        <v/>
      </c>
      <c r="Q6197" s="24" t="str" cm="1">
        <f t="array" ref="Q6197">IFERROR(IF($B6197=Q$1, ($A6197+$C6197) - MAX(IF($B$2:$B6196=$B6197, $A$2:$A6196+$C$2:$C6196)), "")*24*60, "")</f>
        <v/>
      </c>
      <c r="R6197" s="24" t="str" cm="1">
        <f t="array" ref="R6197">IFERROR(IF($B6197=R$1, ($A6197+$C6197) - MAX(IF($B$2:$B6196=$B6197, $A$2:$A6196+$C$2:$C6196)), "")*24*60, "")</f>
        <v/>
      </c>
      <c r="S6197" s="24" t="str" cm="1">
        <f t="array" ref="S6197">IFERROR(IF($B6197=S$1, ($A6197+$C6197) - MAX(IF($B$2:$B6196=$B6197, $A$2:$A6196+$C$2:$C6196)), "")*24*60, "")</f>
        <v/>
      </c>
    </row>
    <row r="6198" spans="1:19" x14ac:dyDescent="0.2">
      <c r="A6198" s="12">
        <f t="shared" ref="A6198:C6198" si="1176">A6197</f>
        <v>45988</v>
      </c>
      <c r="B6198" s="5" t="str">
        <f t="shared" si="1176"/>
        <v>Northern Cardinal</v>
      </c>
      <c r="C6198" s="6">
        <f t="shared" si="1176"/>
        <v>0.28472222222222221</v>
      </c>
      <c r="D6198" s="5"/>
      <c r="E6198" s="5"/>
      <c r="F6198" s="5" t="s">
        <v>8</v>
      </c>
      <c r="G6198" s="15" t="s">
        <v>9</v>
      </c>
      <c r="H6198" s="24">
        <f t="shared" si="1148"/>
        <v>0</v>
      </c>
      <c r="I6198" s="24" cm="1">
        <f t="array" ref="I6198">IFERROR(IF($B6198=I$1, ($A6198+$C6198) - MAX(IF($B$2:$B6197=$B6198, $A$2:$A6197+$C$2:$C6197)), "")*24*60, "")</f>
        <v>0</v>
      </c>
      <c r="J6198" s="24" t="str" cm="1">
        <f t="array" ref="J6198">IFERROR(IF($B6198=J$1, ($A6198+$C6198) - MAX(IF($B$2:$B6197=$B6198, $A$2:$A6197+$C$2:$C6197)), "")*24*60, "")</f>
        <v/>
      </c>
      <c r="K6198" s="24" t="str" cm="1">
        <f t="array" ref="K6198">IFERROR(IF($B6198=K$1, ($A6198+$C6198) - MAX(IF($B$2:$B6197=$B6198, $A$2:$A6197+$C$2:$C6197)), "")*24*60, "")</f>
        <v/>
      </c>
      <c r="L6198" s="24" t="str" cm="1">
        <f t="array" ref="L6198">IFERROR(IF($B6198=L$1, ($A6198+$C6198) - MAX(IF($B$2:$B6197=$B6198, $A$2:$A6197+$C$2:$C6197)), "")*24*60, "")</f>
        <v/>
      </c>
      <c r="M6198" s="24" t="str" cm="1">
        <f t="array" ref="M6198">IFERROR(IF($B6198=M$1, ($A6198+$C6198) - MAX(IF($B$2:$B6197=$B6198, $A$2:$A6197+$C$2:$C6197)), "")*24*60, "")</f>
        <v/>
      </c>
      <c r="N6198" s="24" t="str" cm="1">
        <f t="array" ref="N6198">IFERROR(IF($B6198=N$1, ($A6198+$C6198) - MAX(IF($B$2:$B6197=$B6198, $A$2:$A6197+$C$2:$C6197)), "")*24*60, "")</f>
        <v/>
      </c>
      <c r="O6198" s="24" t="str" cm="1">
        <f t="array" ref="O6198">IFERROR(IF($B6198=O$1, ($A6198+$C6198) - MAX(IF($B$2:$B6197=$B6198, $A$2:$A6197+$C$2:$C6197)), "")*24*60, "")</f>
        <v/>
      </c>
      <c r="P6198" s="24" t="str" cm="1">
        <f t="array" ref="P6198">IFERROR(IF($B6198=P$1, ($A6198+$C6198) - MAX(IF($B$2:$B6197=$B6198, $A$2:$A6197+$C$2:$C6197)), "")*24*60, "")</f>
        <v/>
      </c>
      <c r="Q6198" s="24" t="str" cm="1">
        <f t="array" ref="Q6198">IFERROR(IF($B6198=Q$1, ($A6198+$C6198) - MAX(IF($B$2:$B6197=$B6198, $A$2:$A6197+$C$2:$C6197)), "")*24*60, "")</f>
        <v/>
      </c>
      <c r="R6198" s="24" t="str" cm="1">
        <f t="array" ref="R6198">IFERROR(IF($B6198=R$1, ($A6198+$C6198) - MAX(IF($B$2:$B6197=$B6198, $A$2:$A6197+$C$2:$C6197)), "")*24*60, "")</f>
        <v/>
      </c>
      <c r="S6198" s="24" t="str" cm="1">
        <f t="array" ref="S6198">IFERROR(IF($B6198=S$1, ($A6198+$C6198) - MAX(IF($B$2:$B6197=$B6198, $A$2:$A6197+$C$2:$C6197)), "")*24*60, "")</f>
        <v/>
      </c>
    </row>
    <row r="6199" spans="1:19" x14ac:dyDescent="0.2">
      <c r="A6199" s="12">
        <f t="shared" ref="A6199:C6199" si="1177">A6198</f>
        <v>45988</v>
      </c>
      <c r="B6199" s="5" t="str">
        <f t="shared" si="1177"/>
        <v>Northern Cardinal</v>
      </c>
      <c r="C6199" s="6">
        <f t="shared" si="1177"/>
        <v>0.28472222222222221</v>
      </c>
      <c r="D6199" s="5"/>
      <c r="E6199" s="5"/>
      <c r="F6199" s="5" t="s">
        <v>8</v>
      </c>
      <c r="G6199" s="15" t="s">
        <v>9</v>
      </c>
      <c r="H6199" s="24">
        <f t="shared" si="1148"/>
        <v>0</v>
      </c>
      <c r="I6199" s="24" cm="1">
        <f t="array" ref="I6199">IFERROR(IF($B6199=I$1, ($A6199+$C6199) - MAX(IF($B$2:$B6198=$B6199, $A$2:$A6198+$C$2:$C6198)), "")*24*60, "")</f>
        <v>0</v>
      </c>
      <c r="J6199" s="24" t="str" cm="1">
        <f t="array" ref="J6199">IFERROR(IF($B6199=J$1, ($A6199+$C6199) - MAX(IF($B$2:$B6198=$B6199, $A$2:$A6198+$C$2:$C6198)), "")*24*60, "")</f>
        <v/>
      </c>
      <c r="K6199" s="24" t="str" cm="1">
        <f t="array" ref="K6199">IFERROR(IF($B6199=K$1, ($A6199+$C6199) - MAX(IF($B$2:$B6198=$B6199, $A$2:$A6198+$C$2:$C6198)), "")*24*60, "")</f>
        <v/>
      </c>
      <c r="L6199" s="24" t="str" cm="1">
        <f t="array" ref="L6199">IFERROR(IF($B6199=L$1, ($A6199+$C6199) - MAX(IF($B$2:$B6198=$B6199, $A$2:$A6198+$C$2:$C6198)), "")*24*60, "")</f>
        <v/>
      </c>
      <c r="M6199" s="24" t="str" cm="1">
        <f t="array" ref="M6199">IFERROR(IF($B6199=M$1, ($A6199+$C6199) - MAX(IF($B$2:$B6198=$B6199, $A$2:$A6198+$C$2:$C6198)), "")*24*60, "")</f>
        <v/>
      </c>
      <c r="N6199" s="24" t="str" cm="1">
        <f t="array" ref="N6199">IFERROR(IF($B6199=N$1, ($A6199+$C6199) - MAX(IF($B$2:$B6198=$B6199, $A$2:$A6198+$C$2:$C6198)), "")*24*60, "")</f>
        <v/>
      </c>
      <c r="O6199" s="24" t="str" cm="1">
        <f t="array" ref="O6199">IFERROR(IF($B6199=O$1, ($A6199+$C6199) - MAX(IF($B$2:$B6198=$B6199, $A$2:$A6198+$C$2:$C6198)), "")*24*60, "")</f>
        <v/>
      </c>
      <c r="P6199" s="24" t="str" cm="1">
        <f t="array" ref="P6199">IFERROR(IF($B6199=P$1, ($A6199+$C6199) - MAX(IF($B$2:$B6198=$B6199, $A$2:$A6198+$C$2:$C6198)), "")*24*60, "")</f>
        <v/>
      </c>
      <c r="Q6199" s="24" t="str" cm="1">
        <f t="array" ref="Q6199">IFERROR(IF($B6199=Q$1, ($A6199+$C6199) - MAX(IF($B$2:$B6198=$B6199, $A$2:$A6198+$C$2:$C6198)), "")*24*60, "")</f>
        <v/>
      </c>
      <c r="R6199" s="24" t="str" cm="1">
        <f t="array" ref="R6199">IFERROR(IF($B6199=R$1, ($A6199+$C6199) - MAX(IF($B$2:$B6198=$B6199, $A$2:$A6198+$C$2:$C6198)), "")*24*60, "")</f>
        <v/>
      </c>
      <c r="S6199" s="24" t="str" cm="1">
        <f t="array" ref="S6199">IFERROR(IF($B6199=S$1, ($A6199+$C6199) - MAX(IF($B$2:$B6198=$B6199, $A$2:$A6198+$C$2:$C6198)), "")*24*60, "")</f>
        <v/>
      </c>
    </row>
    <row r="6200" spans="1:19" x14ac:dyDescent="0.2">
      <c r="A6200" s="12">
        <f t="shared" ref="A6200:C6200" si="1178">A6199</f>
        <v>45988</v>
      </c>
      <c r="B6200" s="5" t="str">
        <f t="shared" si="1178"/>
        <v>Northern Cardinal</v>
      </c>
      <c r="C6200" s="6">
        <f t="shared" si="1178"/>
        <v>0.28472222222222221</v>
      </c>
      <c r="D6200" s="5"/>
      <c r="E6200" s="5"/>
      <c r="F6200" s="5" t="s">
        <v>8</v>
      </c>
      <c r="G6200" s="15" t="s">
        <v>9</v>
      </c>
      <c r="H6200" s="24">
        <f t="shared" si="1148"/>
        <v>0</v>
      </c>
      <c r="I6200" s="24" cm="1">
        <f t="array" ref="I6200">IFERROR(IF($B6200=I$1, ($A6200+$C6200) - MAX(IF($B$2:$B6199=$B6200, $A$2:$A6199+$C$2:$C6199)), "")*24*60, "")</f>
        <v>0</v>
      </c>
      <c r="J6200" s="24" t="str" cm="1">
        <f t="array" ref="J6200">IFERROR(IF($B6200=J$1, ($A6200+$C6200) - MAX(IF($B$2:$B6199=$B6200, $A$2:$A6199+$C$2:$C6199)), "")*24*60, "")</f>
        <v/>
      </c>
      <c r="K6200" s="24" t="str" cm="1">
        <f t="array" ref="K6200">IFERROR(IF($B6200=K$1, ($A6200+$C6200) - MAX(IF($B$2:$B6199=$B6200, $A$2:$A6199+$C$2:$C6199)), "")*24*60, "")</f>
        <v/>
      </c>
      <c r="L6200" s="24" t="str" cm="1">
        <f t="array" ref="L6200">IFERROR(IF($B6200=L$1, ($A6200+$C6200) - MAX(IF($B$2:$B6199=$B6200, $A$2:$A6199+$C$2:$C6199)), "")*24*60, "")</f>
        <v/>
      </c>
      <c r="M6200" s="24" t="str" cm="1">
        <f t="array" ref="M6200">IFERROR(IF($B6200=M$1, ($A6200+$C6200) - MAX(IF($B$2:$B6199=$B6200, $A$2:$A6199+$C$2:$C6199)), "")*24*60, "")</f>
        <v/>
      </c>
      <c r="N6200" s="24" t="str" cm="1">
        <f t="array" ref="N6200">IFERROR(IF($B6200=N$1, ($A6200+$C6200) - MAX(IF($B$2:$B6199=$B6200, $A$2:$A6199+$C$2:$C6199)), "")*24*60, "")</f>
        <v/>
      </c>
      <c r="O6200" s="24" t="str" cm="1">
        <f t="array" ref="O6200">IFERROR(IF($B6200=O$1, ($A6200+$C6200) - MAX(IF($B$2:$B6199=$B6200, $A$2:$A6199+$C$2:$C6199)), "")*24*60, "")</f>
        <v/>
      </c>
      <c r="P6200" s="24" t="str" cm="1">
        <f t="array" ref="P6200">IFERROR(IF($B6200=P$1, ($A6200+$C6200) - MAX(IF($B$2:$B6199=$B6200, $A$2:$A6199+$C$2:$C6199)), "")*24*60, "")</f>
        <v/>
      </c>
      <c r="Q6200" s="24" t="str" cm="1">
        <f t="array" ref="Q6200">IFERROR(IF($B6200=Q$1, ($A6200+$C6200) - MAX(IF($B$2:$B6199=$B6200, $A$2:$A6199+$C$2:$C6199)), "")*24*60, "")</f>
        <v/>
      </c>
      <c r="R6200" s="24" t="str" cm="1">
        <f t="array" ref="R6200">IFERROR(IF($B6200=R$1, ($A6200+$C6200) - MAX(IF($B$2:$B6199=$B6200, $A$2:$A6199+$C$2:$C6199)), "")*24*60, "")</f>
        <v/>
      </c>
      <c r="S6200" s="24" t="str" cm="1">
        <f t="array" ref="S6200">IFERROR(IF($B6200=S$1, ($A6200+$C6200) - MAX(IF($B$2:$B6199=$B6200, $A$2:$A6199+$C$2:$C6199)), "")*24*60, "")</f>
        <v/>
      </c>
    </row>
    <row r="6201" spans="1:19" x14ac:dyDescent="0.2">
      <c r="A6201" s="12">
        <f t="shared" ref="A6201:C6201" si="1179">A6200</f>
        <v>45988</v>
      </c>
      <c r="B6201" s="5" t="str">
        <f t="shared" si="1179"/>
        <v>Northern Cardinal</v>
      </c>
      <c r="C6201" s="6">
        <f t="shared" si="1179"/>
        <v>0.28472222222222221</v>
      </c>
      <c r="D6201" s="5"/>
      <c r="E6201" s="5"/>
      <c r="F6201" s="5" t="s">
        <v>8</v>
      </c>
      <c r="G6201" s="15" t="s">
        <v>9</v>
      </c>
      <c r="H6201" s="24">
        <f t="shared" si="1148"/>
        <v>0</v>
      </c>
      <c r="I6201" s="24" cm="1">
        <f t="array" ref="I6201">IFERROR(IF($B6201=I$1, ($A6201+$C6201) - MAX(IF($B$2:$B6200=$B6201, $A$2:$A6200+$C$2:$C6200)), "")*24*60, "")</f>
        <v>0</v>
      </c>
      <c r="J6201" s="24" t="str" cm="1">
        <f t="array" ref="J6201">IFERROR(IF($B6201=J$1, ($A6201+$C6201) - MAX(IF($B$2:$B6200=$B6201, $A$2:$A6200+$C$2:$C6200)), "")*24*60, "")</f>
        <v/>
      </c>
      <c r="K6201" s="24" t="str" cm="1">
        <f t="array" ref="K6201">IFERROR(IF($B6201=K$1, ($A6201+$C6201) - MAX(IF($B$2:$B6200=$B6201, $A$2:$A6200+$C$2:$C6200)), "")*24*60, "")</f>
        <v/>
      </c>
      <c r="L6201" s="24" t="str" cm="1">
        <f t="array" ref="L6201">IFERROR(IF($B6201=L$1, ($A6201+$C6201) - MAX(IF($B$2:$B6200=$B6201, $A$2:$A6200+$C$2:$C6200)), "")*24*60, "")</f>
        <v/>
      </c>
      <c r="M6201" s="24" t="str" cm="1">
        <f t="array" ref="M6201">IFERROR(IF($B6201=M$1, ($A6201+$C6201) - MAX(IF($B$2:$B6200=$B6201, $A$2:$A6200+$C$2:$C6200)), "")*24*60, "")</f>
        <v/>
      </c>
      <c r="N6201" s="24" t="str" cm="1">
        <f t="array" ref="N6201">IFERROR(IF($B6201=N$1, ($A6201+$C6201) - MAX(IF($B$2:$B6200=$B6201, $A$2:$A6200+$C$2:$C6200)), "")*24*60, "")</f>
        <v/>
      </c>
      <c r="O6201" s="24" t="str" cm="1">
        <f t="array" ref="O6201">IFERROR(IF($B6201=O$1, ($A6201+$C6201) - MAX(IF($B$2:$B6200=$B6201, $A$2:$A6200+$C$2:$C6200)), "")*24*60, "")</f>
        <v/>
      </c>
      <c r="P6201" s="24" t="str" cm="1">
        <f t="array" ref="P6201">IFERROR(IF($B6201=P$1, ($A6201+$C6201) - MAX(IF($B$2:$B6200=$B6201, $A$2:$A6200+$C$2:$C6200)), "")*24*60, "")</f>
        <v/>
      </c>
      <c r="Q6201" s="24" t="str" cm="1">
        <f t="array" ref="Q6201">IFERROR(IF($B6201=Q$1, ($A6201+$C6201) - MAX(IF($B$2:$B6200=$B6201, $A$2:$A6200+$C$2:$C6200)), "")*24*60, "")</f>
        <v/>
      </c>
      <c r="R6201" s="24" t="str" cm="1">
        <f t="array" ref="R6201">IFERROR(IF($B6201=R$1, ($A6201+$C6201) - MAX(IF($B$2:$B6200=$B6201, $A$2:$A6200+$C$2:$C6200)), "")*24*60, "")</f>
        <v/>
      </c>
      <c r="S6201" s="24" t="str" cm="1">
        <f t="array" ref="S6201">IFERROR(IF($B6201=S$1, ($A6201+$C6201) - MAX(IF($B$2:$B6200=$B6201, $A$2:$A6200+$C$2:$C6200)), "")*24*60, "")</f>
        <v/>
      </c>
    </row>
    <row r="6202" spans="1:19" x14ac:dyDescent="0.2">
      <c r="A6202" s="12">
        <f t="shared" ref="A6202:C6202" si="1180">A6201</f>
        <v>45988</v>
      </c>
      <c r="B6202" s="5" t="str">
        <f t="shared" si="1180"/>
        <v>Northern Cardinal</v>
      </c>
      <c r="C6202" s="6">
        <f t="shared" si="1180"/>
        <v>0.28472222222222221</v>
      </c>
      <c r="D6202" s="5"/>
      <c r="E6202" s="5"/>
      <c r="F6202" s="5" t="s">
        <v>8</v>
      </c>
      <c r="G6202" s="15" t="s">
        <v>9</v>
      </c>
      <c r="H6202" s="24">
        <f t="shared" si="1148"/>
        <v>0</v>
      </c>
      <c r="I6202" s="24" cm="1">
        <f t="array" ref="I6202">IFERROR(IF($B6202=I$1, ($A6202+$C6202) - MAX(IF($B$2:$B6201=$B6202, $A$2:$A6201+$C$2:$C6201)), "")*24*60, "")</f>
        <v>0</v>
      </c>
      <c r="J6202" s="24" t="str" cm="1">
        <f t="array" ref="J6202">IFERROR(IF($B6202=J$1, ($A6202+$C6202) - MAX(IF($B$2:$B6201=$B6202, $A$2:$A6201+$C$2:$C6201)), "")*24*60, "")</f>
        <v/>
      </c>
      <c r="K6202" s="24" t="str" cm="1">
        <f t="array" ref="K6202">IFERROR(IF($B6202=K$1, ($A6202+$C6202) - MAX(IF($B$2:$B6201=$B6202, $A$2:$A6201+$C$2:$C6201)), "")*24*60, "")</f>
        <v/>
      </c>
      <c r="L6202" s="24" t="str" cm="1">
        <f t="array" ref="L6202">IFERROR(IF($B6202=L$1, ($A6202+$C6202) - MAX(IF($B$2:$B6201=$B6202, $A$2:$A6201+$C$2:$C6201)), "")*24*60, "")</f>
        <v/>
      </c>
      <c r="M6202" s="24" t="str" cm="1">
        <f t="array" ref="M6202">IFERROR(IF($B6202=M$1, ($A6202+$C6202) - MAX(IF($B$2:$B6201=$B6202, $A$2:$A6201+$C$2:$C6201)), "")*24*60, "")</f>
        <v/>
      </c>
      <c r="N6202" s="24" t="str" cm="1">
        <f t="array" ref="N6202">IFERROR(IF($B6202=N$1, ($A6202+$C6202) - MAX(IF($B$2:$B6201=$B6202, $A$2:$A6201+$C$2:$C6201)), "")*24*60, "")</f>
        <v/>
      </c>
      <c r="O6202" s="24" t="str" cm="1">
        <f t="array" ref="O6202">IFERROR(IF($B6202=O$1, ($A6202+$C6202) - MAX(IF($B$2:$B6201=$B6202, $A$2:$A6201+$C$2:$C6201)), "")*24*60, "")</f>
        <v/>
      </c>
      <c r="P6202" s="24" t="str" cm="1">
        <f t="array" ref="P6202">IFERROR(IF($B6202=P$1, ($A6202+$C6202) - MAX(IF($B$2:$B6201=$B6202, $A$2:$A6201+$C$2:$C6201)), "")*24*60, "")</f>
        <v/>
      </c>
      <c r="Q6202" s="24" t="str" cm="1">
        <f t="array" ref="Q6202">IFERROR(IF($B6202=Q$1, ($A6202+$C6202) - MAX(IF($B$2:$B6201=$B6202, $A$2:$A6201+$C$2:$C6201)), "")*24*60, "")</f>
        <v/>
      </c>
      <c r="R6202" s="24" t="str" cm="1">
        <f t="array" ref="R6202">IFERROR(IF($B6202=R$1, ($A6202+$C6202) - MAX(IF($B$2:$B6201=$B6202, $A$2:$A6201+$C$2:$C6201)), "")*24*60, "")</f>
        <v/>
      </c>
      <c r="S6202" s="24" t="str" cm="1">
        <f t="array" ref="S6202">IFERROR(IF($B6202=S$1, ($A6202+$C6202) - MAX(IF($B$2:$B6201=$B6202, $A$2:$A6201+$C$2:$C6201)), "")*24*60, "")</f>
        <v/>
      </c>
    </row>
    <row r="6203" spans="1:19" x14ac:dyDescent="0.2">
      <c r="A6203" s="12">
        <f t="shared" ref="A6203:C6203" si="1181">A6202</f>
        <v>45988</v>
      </c>
      <c r="B6203" s="5" t="str">
        <f t="shared" si="1181"/>
        <v>Northern Cardinal</v>
      </c>
      <c r="C6203" s="6">
        <f t="shared" si="1181"/>
        <v>0.28472222222222221</v>
      </c>
      <c r="D6203" s="5"/>
      <c r="E6203" s="5"/>
      <c r="F6203" s="5" t="s">
        <v>8</v>
      </c>
      <c r="G6203" s="15" t="s">
        <v>9</v>
      </c>
      <c r="H6203" s="24">
        <f t="shared" si="1148"/>
        <v>0</v>
      </c>
      <c r="I6203" s="24" cm="1">
        <f t="array" ref="I6203">IFERROR(IF($B6203=I$1, ($A6203+$C6203) - MAX(IF($B$2:$B6202=$B6203, $A$2:$A6202+$C$2:$C6202)), "")*24*60, "")</f>
        <v>0</v>
      </c>
      <c r="J6203" s="24" t="str" cm="1">
        <f t="array" ref="J6203">IFERROR(IF($B6203=J$1, ($A6203+$C6203) - MAX(IF($B$2:$B6202=$B6203, $A$2:$A6202+$C$2:$C6202)), "")*24*60, "")</f>
        <v/>
      </c>
      <c r="K6203" s="24" t="str" cm="1">
        <f t="array" ref="K6203">IFERROR(IF($B6203=K$1, ($A6203+$C6203) - MAX(IF($B$2:$B6202=$B6203, $A$2:$A6202+$C$2:$C6202)), "")*24*60, "")</f>
        <v/>
      </c>
      <c r="L6203" s="24" t="str" cm="1">
        <f t="array" ref="L6203">IFERROR(IF($B6203=L$1, ($A6203+$C6203) - MAX(IF($B$2:$B6202=$B6203, $A$2:$A6202+$C$2:$C6202)), "")*24*60, "")</f>
        <v/>
      </c>
      <c r="M6203" s="24" t="str" cm="1">
        <f t="array" ref="M6203">IFERROR(IF($B6203=M$1, ($A6203+$C6203) - MAX(IF($B$2:$B6202=$B6203, $A$2:$A6202+$C$2:$C6202)), "")*24*60, "")</f>
        <v/>
      </c>
      <c r="N6203" s="24" t="str" cm="1">
        <f t="array" ref="N6203">IFERROR(IF($B6203=N$1, ($A6203+$C6203) - MAX(IF($B$2:$B6202=$B6203, $A$2:$A6202+$C$2:$C6202)), "")*24*60, "")</f>
        <v/>
      </c>
      <c r="O6203" s="24" t="str" cm="1">
        <f t="array" ref="O6203">IFERROR(IF($B6203=O$1, ($A6203+$C6203) - MAX(IF($B$2:$B6202=$B6203, $A$2:$A6202+$C$2:$C6202)), "")*24*60, "")</f>
        <v/>
      </c>
      <c r="P6203" s="24" t="str" cm="1">
        <f t="array" ref="P6203">IFERROR(IF($B6203=P$1, ($A6203+$C6203) - MAX(IF($B$2:$B6202=$B6203, $A$2:$A6202+$C$2:$C6202)), "")*24*60, "")</f>
        <v/>
      </c>
      <c r="Q6203" s="24" t="str" cm="1">
        <f t="array" ref="Q6203">IFERROR(IF($B6203=Q$1, ($A6203+$C6203) - MAX(IF($B$2:$B6202=$B6203, $A$2:$A6202+$C$2:$C6202)), "")*24*60, "")</f>
        <v/>
      </c>
      <c r="R6203" s="24" t="str" cm="1">
        <f t="array" ref="R6203">IFERROR(IF($B6203=R$1, ($A6203+$C6203) - MAX(IF($B$2:$B6202=$B6203, $A$2:$A6202+$C$2:$C6202)), "")*24*60, "")</f>
        <v/>
      </c>
      <c r="S6203" s="24" t="str" cm="1">
        <f t="array" ref="S6203">IFERROR(IF($B6203=S$1, ($A6203+$C6203) - MAX(IF($B$2:$B6202=$B6203, $A$2:$A6202+$C$2:$C6202)), "")*24*60, "")</f>
        <v/>
      </c>
    </row>
    <row r="6204" spans="1:19" x14ac:dyDescent="0.2">
      <c r="A6204" s="12">
        <f t="shared" ref="A6204:C6204" si="1182">A6203</f>
        <v>45988</v>
      </c>
      <c r="B6204" s="5" t="str">
        <f t="shared" si="1182"/>
        <v>Northern Cardinal</v>
      </c>
      <c r="C6204" s="6">
        <f t="shared" si="1182"/>
        <v>0.28472222222222221</v>
      </c>
      <c r="D6204" s="5"/>
      <c r="E6204" s="5"/>
      <c r="F6204" s="5" t="s">
        <v>8</v>
      </c>
      <c r="G6204" s="15" t="s">
        <v>9</v>
      </c>
      <c r="H6204" s="24">
        <f t="shared" si="1148"/>
        <v>0</v>
      </c>
      <c r="I6204" s="24" cm="1">
        <f t="array" ref="I6204">IFERROR(IF($B6204=I$1, ($A6204+$C6204) - MAX(IF($B$2:$B6203=$B6204, $A$2:$A6203+$C$2:$C6203)), "")*24*60, "")</f>
        <v>0</v>
      </c>
      <c r="J6204" s="24" t="str" cm="1">
        <f t="array" ref="J6204">IFERROR(IF($B6204=J$1, ($A6204+$C6204) - MAX(IF($B$2:$B6203=$B6204, $A$2:$A6203+$C$2:$C6203)), "")*24*60, "")</f>
        <v/>
      </c>
      <c r="K6204" s="24" t="str" cm="1">
        <f t="array" ref="K6204">IFERROR(IF($B6204=K$1, ($A6204+$C6204) - MAX(IF($B$2:$B6203=$B6204, $A$2:$A6203+$C$2:$C6203)), "")*24*60, "")</f>
        <v/>
      </c>
      <c r="L6204" s="24" t="str" cm="1">
        <f t="array" ref="L6204">IFERROR(IF($B6204=L$1, ($A6204+$C6204) - MAX(IF($B$2:$B6203=$B6204, $A$2:$A6203+$C$2:$C6203)), "")*24*60, "")</f>
        <v/>
      </c>
      <c r="M6204" s="24" t="str" cm="1">
        <f t="array" ref="M6204">IFERROR(IF($B6204=M$1, ($A6204+$C6204) - MAX(IF($B$2:$B6203=$B6204, $A$2:$A6203+$C$2:$C6203)), "")*24*60, "")</f>
        <v/>
      </c>
      <c r="N6204" s="24" t="str" cm="1">
        <f t="array" ref="N6204">IFERROR(IF($B6204=N$1, ($A6204+$C6204) - MAX(IF($B$2:$B6203=$B6204, $A$2:$A6203+$C$2:$C6203)), "")*24*60, "")</f>
        <v/>
      </c>
      <c r="O6204" s="24" t="str" cm="1">
        <f t="array" ref="O6204">IFERROR(IF($B6204=O$1, ($A6204+$C6204) - MAX(IF($B$2:$B6203=$B6204, $A$2:$A6203+$C$2:$C6203)), "")*24*60, "")</f>
        <v/>
      </c>
      <c r="P6204" s="24" t="str" cm="1">
        <f t="array" ref="P6204">IFERROR(IF($B6204=P$1, ($A6204+$C6204) - MAX(IF($B$2:$B6203=$B6204, $A$2:$A6203+$C$2:$C6203)), "")*24*60, "")</f>
        <v/>
      </c>
      <c r="Q6204" s="24" t="str" cm="1">
        <f t="array" ref="Q6204">IFERROR(IF($B6204=Q$1, ($A6204+$C6204) - MAX(IF($B$2:$B6203=$B6204, $A$2:$A6203+$C$2:$C6203)), "")*24*60, "")</f>
        <v/>
      </c>
      <c r="R6204" s="24" t="str" cm="1">
        <f t="array" ref="R6204">IFERROR(IF($B6204=R$1, ($A6204+$C6204) - MAX(IF($B$2:$B6203=$B6204, $A$2:$A6203+$C$2:$C6203)), "")*24*60, "")</f>
        <v/>
      </c>
      <c r="S6204" s="24" t="str" cm="1">
        <f t="array" ref="S6204">IFERROR(IF($B6204=S$1, ($A6204+$C6204) - MAX(IF($B$2:$B6203=$B6204, $A$2:$A6203+$C$2:$C6203)), "")*24*60, "")</f>
        <v/>
      </c>
    </row>
    <row r="6205" spans="1:19" x14ac:dyDescent="0.2">
      <c r="A6205" s="12">
        <f t="shared" ref="A6205:C6205" si="1183">A6204</f>
        <v>45988</v>
      </c>
      <c r="B6205" s="5" t="str">
        <f t="shared" si="1183"/>
        <v>Northern Cardinal</v>
      </c>
      <c r="C6205" s="6">
        <f t="shared" si="1183"/>
        <v>0.28472222222222221</v>
      </c>
      <c r="D6205" s="5"/>
      <c r="E6205" s="5"/>
      <c r="F6205" s="5" t="s">
        <v>8</v>
      </c>
      <c r="G6205" s="15" t="s">
        <v>9</v>
      </c>
      <c r="H6205" s="24">
        <f t="shared" si="1148"/>
        <v>0</v>
      </c>
      <c r="I6205" s="24" cm="1">
        <f t="array" ref="I6205">IFERROR(IF($B6205=I$1, ($A6205+$C6205) - MAX(IF($B$2:$B6204=$B6205, $A$2:$A6204+$C$2:$C6204)), "")*24*60, "")</f>
        <v>0</v>
      </c>
      <c r="J6205" s="24" t="str" cm="1">
        <f t="array" ref="J6205">IFERROR(IF($B6205=J$1, ($A6205+$C6205) - MAX(IF($B$2:$B6204=$B6205, $A$2:$A6204+$C$2:$C6204)), "")*24*60, "")</f>
        <v/>
      </c>
      <c r="K6205" s="24" t="str" cm="1">
        <f t="array" ref="K6205">IFERROR(IF($B6205=K$1, ($A6205+$C6205) - MAX(IF($B$2:$B6204=$B6205, $A$2:$A6204+$C$2:$C6204)), "")*24*60, "")</f>
        <v/>
      </c>
      <c r="L6205" s="24" t="str" cm="1">
        <f t="array" ref="L6205">IFERROR(IF($B6205=L$1, ($A6205+$C6205) - MAX(IF($B$2:$B6204=$B6205, $A$2:$A6204+$C$2:$C6204)), "")*24*60, "")</f>
        <v/>
      </c>
      <c r="M6205" s="24" t="str" cm="1">
        <f t="array" ref="M6205">IFERROR(IF($B6205=M$1, ($A6205+$C6205) - MAX(IF($B$2:$B6204=$B6205, $A$2:$A6204+$C$2:$C6204)), "")*24*60, "")</f>
        <v/>
      </c>
      <c r="N6205" s="24" t="str" cm="1">
        <f t="array" ref="N6205">IFERROR(IF($B6205=N$1, ($A6205+$C6205) - MAX(IF($B$2:$B6204=$B6205, $A$2:$A6204+$C$2:$C6204)), "")*24*60, "")</f>
        <v/>
      </c>
      <c r="O6205" s="24" t="str" cm="1">
        <f t="array" ref="O6205">IFERROR(IF($B6205=O$1, ($A6205+$C6205) - MAX(IF($B$2:$B6204=$B6205, $A$2:$A6204+$C$2:$C6204)), "")*24*60, "")</f>
        <v/>
      </c>
      <c r="P6205" s="24" t="str" cm="1">
        <f t="array" ref="P6205">IFERROR(IF($B6205=P$1, ($A6205+$C6205) - MAX(IF($B$2:$B6204=$B6205, $A$2:$A6204+$C$2:$C6204)), "")*24*60, "")</f>
        <v/>
      </c>
      <c r="Q6205" s="24" t="str" cm="1">
        <f t="array" ref="Q6205">IFERROR(IF($B6205=Q$1, ($A6205+$C6205) - MAX(IF($B$2:$B6204=$B6205, $A$2:$A6204+$C$2:$C6204)), "")*24*60, "")</f>
        <v/>
      </c>
      <c r="R6205" s="24" t="str" cm="1">
        <f t="array" ref="R6205">IFERROR(IF($B6205=R$1, ($A6205+$C6205) - MAX(IF($B$2:$B6204=$B6205, $A$2:$A6204+$C$2:$C6204)), "")*24*60, "")</f>
        <v/>
      </c>
      <c r="S6205" s="24" t="str" cm="1">
        <f t="array" ref="S6205">IFERROR(IF($B6205=S$1, ($A6205+$C6205) - MAX(IF($B$2:$B6204=$B6205, $A$2:$A6204+$C$2:$C6204)), "")*24*60, "")</f>
        <v/>
      </c>
    </row>
    <row r="6206" spans="1:19" x14ac:dyDescent="0.2">
      <c r="A6206" s="12">
        <f t="shared" ref="A6206:C6206" si="1184">A6205</f>
        <v>45988</v>
      </c>
      <c r="B6206" s="5" t="str">
        <f t="shared" si="1184"/>
        <v>Northern Cardinal</v>
      </c>
      <c r="C6206" s="6">
        <f t="shared" si="1184"/>
        <v>0.28472222222222221</v>
      </c>
      <c r="D6206" s="5"/>
      <c r="E6206" s="5"/>
      <c r="F6206" s="5" t="s">
        <v>8</v>
      </c>
      <c r="G6206" s="15" t="s">
        <v>9</v>
      </c>
      <c r="H6206" s="24">
        <f t="shared" si="1148"/>
        <v>0</v>
      </c>
      <c r="I6206" s="24" cm="1">
        <f t="array" ref="I6206">IFERROR(IF($B6206=I$1, ($A6206+$C6206) - MAX(IF($B$2:$B6205=$B6206, $A$2:$A6205+$C$2:$C6205)), "")*24*60, "")</f>
        <v>0</v>
      </c>
      <c r="J6206" s="24" t="str" cm="1">
        <f t="array" ref="J6206">IFERROR(IF($B6206=J$1, ($A6206+$C6206) - MAX(IF($B$2:$B6205=$B6206, $A$2:$A6205+$C$2:$C6205)), "")*24*60, "")</f>
        <v/>
      </c>
      <c r="K6206" s="24" t="str" cm="1">
        <f t="array" ref="K6206">IFERROR(IF($B6206=K$1, ($A6206+$C6206) - MAX(IF($B$2:$B6205=$B6206, $A$2:$A6205+$C$2:$C6205)), "")*24*60, "")</f>
        <v/>
      </c>
      <c r="L6206" s="24" t="str" cm="1">
        <f t="array" ref="L6206">IFERROR(IF($B6206=L$1, ($A6206+$C6206) - MAX(IF($B$2:$B6205=$B6206, $A$2:$A6205+$C$2:$C6205)), "")*24*60, "")</f>
        <v/>
      </c>
      <c r="M6206" s="24" t="str" cm="1">
        <f t="array" ref="M6206">IFERROR(IF($B6206=M$1, ($A6206+$C6206) - MAX(IF($B$2:$B6205=$B6206, $A$2:$A6205+$C$2:$C6205)), "")*24*60, "")</f>
        <v/>
      </c>
      <c r="N6206" s="24" t="str" cm="1">
        <f t="array" ref="N6206">IFERROR(IF($B6206=N$1, ($A6206+$C6206) - MAX(IF($B$2:$B6205=$B6206, $A$2:$A6205+$C$2:$C6205)), "")*24*60, "")</f>
        <v/>
      </c>
      <c r="O6206" s="24" t="str" cm="1">
        <f t="array" ref="O6206">IFERROR(IF($B6206=O$1, ($A6206+$C6206) - MAX(IF($B$2:$B6205=$B6206, $A$2:$A6205+$C$2:$C6205)), "")*24*60, "")</f>
        <v/>
      </c>
      <c r="P6206" s="24" t="str" cm="1">
        <f t="array" ref="P6206">IFERROR(IF($B6206=P$1, ($A6206+$C6206) - MAX(IF($B$2:$B6205=$B6206, $A$2:$A6205+$C$2:$C6205)), "")*24*60, "")</f>
        <v/>
      </c>
      <c r="Q6206" s="24" t="str" cm="1">
        <f t="array" ref="Q6206">IFERROR(IF($B6206=Q$1, ($A6206+$C6206) - MAX(IF($B$2:$B6205=$B6206, $A$2:$A6205+$C$2:$C6205)), "")*24*60, "")</f>
        <v/>
      </c>
      <c r="R6206" s="24" t="str" cm="1">
        <f t="array" ref="R6206">IFERROR(IF($B6206=R$1, ($A6206+$C6206) - MAX(IF($B$2:$B6205=$B6206, $A$2:$A6205+$C$2:$C6205)), "")*24*60, "")</f>
        <v/>
      </c>
      <c r="S6206" s="24" t="str" cm="1">
        <f t="array" ref="S6206">IFERROR(IF($B6206=S$1, ($A6206+$C6206) - MAX(IF($B$2:$B6205=$B6206, $A$2:$A6205+$C$2:$C6205)), "")*24*60, "")</f>
        <v/>
      </c>
    </row>
    <row r="6207" spans="1:19" x14ac:dyDescent="0.2">
      <c r="A6207" s="12">
        <f t="shared" ref="A6207:C6207" si="1185">A6206</f>
        <v>45988</v>
      </c>
      <c r="B6207" s="5" t="str">
        <f t="shared" si="1185"/>
        <v>Northern Cardinal</v>
      </c>
      <c r="C6207" s="6">
        <f t="shared" si="1185"/>
        <v>0.28472222222222221</v>
      </c>
      <c r="D6207" s="5"/>
      <c r="E6207" s="5"/>
      <c r="F6207" s="5" t="s">
        <v>8</v>
      </c>
      <c r="G6207" s="15" t="s">
        <v>9</v>
      </c>
      <c r="H6207" s="24">
        <f t="shared" si="1148"/>
        <v>0</v>
      </c>
      <c r="I6207" s="24" cm="1">
        <f t="array" ref="I6207">IFERROR(IF($B6207=I$1, ($A6207+$C6207) - MAX(IF($B$2:$B6206=$B6207, $A$2:$A6206+$C$2:$C6206)), "")*24*60, "")</f>
        <v>0</v>
      </c>
      <c r="J6207" s="24" t="str" cm="1">
        <f t="array" ref="J6207">IFERROR(IF($B6207=J$1, ($A6207+$C6207) - MAX(IF($B$2:$B6206=$B6207, $A$2:$A6206+$C$2:$C6206)), "")*24*60, "")</f>
        <v/>
      </c>
      <c r="K6207" s="24" t="str" cm="1">
        <f t="array" ref="K6207">IFERROR(IF($B6207=K$1, ($A6207+$C6207) - MAX(IF($B$2:$B6206=$B6207, $A$2:$A6206+$C$2:$C6206)), "")*24*60, "")</f>
        <v/>
      </c>
      <c r="L6207" s="24" t="str" cm="1">
        <f t="array" ref="L6207">IFERROR(IF($B6207=L$1, ($A6207+$C6207) - MAX(IF($B$2:$B6206=$B6207, $A$2:$A6206+$C$2:$C6206)), "")*24*60, "")</f>
        <v/>
      </c>
      <c r="M6207" s="24" t="str" cm="1">
        <f t="array" ref="M6207">IFERROR(IF($B6207=M$1, ($A6207+$C6207) - MAX(IF($B$2:$B6206=$B6207, $A$2:$A6206+$C$2:$C6206)), "")*24*60, "")</f>
        <v/>
      </c>
      <c r="N6207" s="24" t="str" cm="1">
        <f t="array" ref="N6207">IFERROR(IF($B6207=N$1, ($A6207+$C6207) - MAX(IF($B$2:$B6206=$B6207, $A$2:$A6206+$C$2:$C6206)), "")*24*60, "")</f>
        <v/>
      </c>
      <c r="O6207" s="24" t="str" cm="1">
        <f t="array" ref="O6207">IFERROR(IF($B6207=O$1, ($A6207+$C6207) - MAX(IF($B$2:$B6206=$B6207, $A$2:$A6206+$C$2:$C6206)), "")*24*60, "")</f>
        <v/>
      </c>
      <c r="P6207" s="24" t="str" cm="1">
        <f t="array" ref="P6207">IFERROR(IF($B6207=P$1, ($A6207+$C6207) - MAX(IF($B$2:$B6206=$B6207, $A$2:$A6206+$C$2:$C6206)), "")*24*60, "")</f>
        <v/>
      </c>
      <c r="Q6207" s="24" t="str" cm="1">
        <f t="array" ref="Q6207">IFERROR(IF($B6207=Q$1, ($A6207+$C6207) - MAX(IF($B$2:$B6206=$B6207, $A$2:$A6206+$C$2:$C6206)), "")*24*60, "")</f>
        <v/>
      </c>
      <c r="R6207" s="24" t="str" cm="1">
        <f t="array" ref="R6207">IFERROR(IF($B6207=R$1, ($A6207+$C6207) - MAX(IF($B$2:$B6206=$B6207, $A$2:$A6206+$C$2:$C6206)), "")*24*60, "")</f>
        <v/>
      </c>
      <c r="S6207" s="24" t="str" cm="1">
        <f t="array" ref="S6207">IFERROR(IF($B6207=S$1, ($A6207+$C6207) - MAX(IF($B$2:$B6206=$B6207, $A$2:$A6206+$C$2:$C6206)), "")*24*60, "")</f>
        <v/>
      </c>
    </row>
    <row r="6208" spans="1:19" x14ac:dyDescent="0.2">
      <c r="A6208" s="12">
        <f t="shared" ref="A6208:C6208" si="1186">A6207</f>
        <v>45988</v>
      </c>
      <c r="B6208" s="5" t="str">
        <f t="shared" si="1186"/>
        <v>Northern Cardinal</v>
      </c>
      <c r="C6208" s="6">
        <f t="shared" si="1186"/>
        <v>0.28472222222222221</v>
      </c>
      <c r="D6208" s="5"/>
      <c r="E6208" s="5"/>
      <c r="F6208" s="5" t="s">
        <v>8</v>
      </c>
      <c r="G6208" s="15" t="s">
        <v>9</v>
      </c>
      <c r="H6208" s="24">
        <f t="shared" si="1148"/>
        <v>0</v>
      </c>
      <c r="I6208" s="24" cm="1">
        <f t="array" ref="I6208">IFERROR(IF($B6208=I$1, ($A6208+$C6208) - MAX(IF($B$2:$B6207=$B6208, $A$2:$A6207+$C$2:$C6207)), "")*24*60, "")</f>
        <v>0</v>
      </c>
      <c r="J6208" s="24" t="str" cm="1">
        <f t="array" ref="J6208">IFERROR(IF($B6208=J$1, ($A6208+$C6208) - MAX(IF($B$2:$B6207=$B6208, $A$2:$A6207+$C$2:$C6207)), "")*24*60, "")</f>
        <v/>
      </c>
      <c r="K6208" s="24" t="str" cm="1">
        <f t="array" ref="K6208">IFERROR(IF($B6208=K$1, ($A6208+$C6208) - MAX(IF($B$2:$B6207=$B6208, $A$2:$A6207+$C$2:$C6207)), "")*24*60, "")</f>
        <v/>
      </c>
      <c r="L6208" s="24" t="str" cm="1">
        <f t="array" ref="L6208">IFERROR(IF($B6208=L$1, ($A6208+$C6208) - MAX(IF($B$2:$B6207=$B6208, $A$2:$A6207+$C$2:$C6207)), "")*24*60, "")</f>
        <v/>
      </c>
      <c r="M6208" s="24" t="str" cm="1">
        <f t="array" ref="M6208">IFERROR(IF($B6208=M$1, ($A6208+$C6208) - MAX(IF($B$2:$B6207=$B6208, $A$2:$A6207+$C$2:$C6207)), "")*24*60, "")</f>
        <v/>
      </c>
      <c r="N6208" s="24" t="str" cm="1">
        <f t="array" ref="N6208">IFERROR(IF($B6208=N$1, ($A6208+$C6208) - MAX(IF($B$2:$B6207=$B6208, $A$2:$A6207+$C$2:$C6207)), "")*24*60, "")</f>
        <v/>
      </c>
      <c r="O6208" s="24" t="str" cm="1">
        <f t="array" ref="O6208">IFERROR(IF($B6208=O$1, ($A6208+$C6208) - MAX(IF($B$2:$B6207=$B6208, $A$2:$A6207+$C$2:$C6207)), "")*24*60, "")</f>
        <v/>
      </c>
      <c r="P6208" s="24" t="str" cm="1">
        <f t="array" ref="P6208">IFERROR(IF($B6208=P$1, ($A6208+$C6208) - MAX(IF($B$2:$B6207=$B6208, $A$2:$A6207+$C$2:$C6207)), "")*24*60, "")</f>
        <v/>
      </c>
      <c r="Q6208" s="24" t="str" cm="1">
        <f t="array" ref="Q6208">IFERROR(IF($B6208=Q$1, ($A6208+$C6208) - MAX(IF($B$2:$B6207=$B6208, $A$2:$A6207+$C$2:$C6207)), "")*24*60, "")</f>
        <v/>
      </c>
      <c r="R6208" s="24" t="str" cm="1">
        <f t="array" ref="R6208">IFERROR(IF($B6208=R$1, ($A6208+$C6208) - MAX(IF($B$2:$B6207=$B6208, $A$2:$A6207+$C$2:$C6207)), "")*24*60, "")</f>
        <v/>
      </c>
      <c r="S6208" s="24" t="str" cm="1">
        <f t="array" ref="S6208">IFERROR(IF($B6208=S$1, ($A6208+$C6208) - MAX(IF($B$2:$B6207=$B6208, $A$2:$A6207+$C$2:$C6207)), "")*24*60, "")</f>
        <v/>
      </c>
    </row>
    <row r="6209" spans="1:19" x14ac:dyDescent="0.2">
      <c r="A6209" s="12">
        <f t="shared" ref="A6209:C6209" si="1187">A6208</f>
        <v>45988</v>
      </c>
      <c r="B6209" s="5" t="str">
        <f t="shared" si="1187"/>
        <v>Northern Cardinal</v>
      </c>
      <c r="C6209" s="6">
        <f t="shared" si="1187"/>
        <v>0.28472222222222221</v>
      </c>
      <c r="D6209" s="5"/>
      <c r="E6209" s="5"/>
      <c r="F6209" s="5" t="s">
        <v>8</v>
      </c>
      <c r="G6209" s="15" t="s">
        <v>9</v>
      </c>
      <c r="H6209" s="24">
        <f t="shared" si="1148"/>
        <v>0</v>
      </c>
      <c r="I6209" s="24" cm="1">
        <f t="array" ref="I6209">IFERROR(IF($B6209=I$1, ($A6209+$C6209) - MAX(IF($B$2:$B6208=$B6209, $A$2:$A6208+$C$2:$C6208)), "")*24*60, "")</f>
        <v>0</v>
      </c>
      <c r="J6209" s="24" t="str" cm="1">
        <f t="array" ref="J6209">IFERROR(IF($B6209=J$1, ($A6209+$C6209) - MAX(IF($B$2:$B6208=$B6209, $A$2:$A6208+$C$2:$C6208)), "")*24*60, "")</f>
        <v/>
      </c>
      <c r="K6209" s="24" t="str" cm="1">
        <f t="array" ref="K6209">IFERROR(IF($B6209=K$1, ($A6209+$C6209) - MAX(IF($B$2:$B6208=$B6209, $A$2:$A6208+$C$2:$C6208)), "")*24*60, "")</f>
        <v/>
      </c>
      <c r="L6209" s="24" t="str" cm="1">
        <f t="array" ref="L6209">IFERROR(IF($B6209=L$1, ($A6209+$C6209) - MAX(IF($B$2:$B6208=$B6209, $A$2:$A6208+$C$2:$C6208)), "")*24*60, "")</f>
        <v/>
      </c>
      <c r="M6209" s="24" t="str" cm="1">
        <f t="array" ref="M6209">IFERROR(IF($B6209=M$1, ($A6209+$C6209) - MAX(IF($B$2:$B6208=$B6209, $A$2:$A6208+$C$2:$C6208)), "")*24*60, "")</f>
        <v/>
      </c>
      <c r="N6209" s="24" t="str" cm="1">
        <f t="array" ref="N6209">IFERROR(IF($B6209=N$1, ($A6209+$C6209) - MAX(IF($B$2:$B6208=$B6209, $A$2:$A6208+$C$2:$C6208)), "")*24*60, "")</f>
        <v/>
      </c>
      <c r="O6209" s="24" t="str" cm="1">
        <f t="array" ref="O6209">IFERROR(IF($B6209=O$1, ($A6209+$C6209) - MAX(IF($B$2:$B6208=$B6209, $A$2:$A6208+$C$2:$C6208)), "")*24*60, "")</f>
        <v/>
      </c>
      <c r="P6209" s="24" t="str" cm="1">
        <f t="array" ref="P6209">IFERROR(IF($B6209=P$1, ($A6209+$C6209) - MAX(IF($B$2:$B6208=$B6209, $A$2:$A6208+$C$2:$C6208)), "")*24*60, "")</f>
        <v/>
      </c>
      <c r="Q6209" s="24" t="str" cm="1">
        <f t="array" ref="Q6209">IFERROR(IF($B6209=Q$1, ($A6209+$C6209) - MAX(IF($B$2:$B6208=$B6209, $A$2:$A6208+$C$2:$C6208)), "")*24*60, "")</f>
        <v/>
      </c>
      <c r="R6209" s="24" t="str" cm="1">
        <f t="array" ref="R6209">IFERROR(IF($B6209=R$1, ($A6209+$C6209) - MAX(IF($B$2:$B6208=$B6209, $A$2:$A6208+$C$2:$C6208)), "")*24*60, "")</f>
        <v/>
      </c>
      <c r="S6209" s="24" t="str" cm="1">
        <f t="array" ref="S6209">IFERROR(IF($B6209=S$1, ($A6209+$C6209) - MAX(IF($B$2:$B6208=$B6209, $A$2:$A6208+$C$2:$C6208)), "")*24*60, "")</f>
        <v/>
      </c>
    </row>
    <row r="6210" spans="1:19" x14ac:dyDescent="0.2">
      <c r="A6210" s="12">
        <f t="shared" ref="A6210:C6210" si="1188">A6209</f>
        <v>45988</v>
      </c>
      <c r="B6210" s="5" t="str">
        <f t="shared" si="1188"/>
        <v>Northern Cardinal</v>
      </c>
      <c r="C6210" s="6">
        <f t="shared" si="1188"/>
        <v>0.28472222222222221</v>
      </c>
      <c r="D6210" s="5"/>
      <c r="E6210" s="5"/>
      <c r="F6210" s="5" t="s">
        <v>8</v>
      </c>
      <c r="G6210" s="15" t="s">
        <v>9</v>
      </c>
      <c r="H6210" s="24">
        <f t="shared" si="1148"/>
        <v>0</v>
      </c>
      <c r="I6210" s="24" cm="1">
        <f t="array" ref="I6210">IFERROR(IF($B6210=I$1, ($A6210+$C6210) - MAX(IF($B$2:$B6209=$B6210, $A$2:$A6209+$C$2:$C6209)), "")*24*60, "")</f>
        <v>0</v>
      </c>
      <c r="J6210" s="24" t="str" cm="1">
        <f t="array" ref="J6210">IFERROR(IF($B6210=J$1, ($A6210+$C6210) - MAX(IF($B$2:$B6209=$B6210, $A$2:$A6209+$C$2:$C6209)), "")*24*60, "")</f>
        <v/>
      </c>
      <c r="K6210" s="24" t="str" cm="1">
        <f t="array" ref="K6210">IFERROR(IF($B6210=K$1, ($A6210+$C6210) - MAX(IF($B$2:$B6209=$B6210, $A$2:$A6209+$C$2:$C6209)), "")*24*60, "")</f>
        <v/>
      </c>
      <c r="L6210" s="24" t="str" cm="1">
        <f t="array" ref="L6210">IFERROR(IF($B6210=L$1, ($A6210+$C6210) - MAX(IF($B$2:$B6209=$B6210, $A$2:$A6209+$C$2:$C6209)), "")*24*60, "")</f>
        <v/>
      </c>
      <c r="M6210" s="24" t="str" cm="1">
        <f t="array" ref="M6210">IFERROR(IF($B6210=M$1, ($A6210+$C6210) - MAX(IF($B$2:$B6209=$B6210, $A$2:$A6209+$C$2:$C6209)), "")*24*60, "")</f>
        <v/>
      </c>
      <c r="N6210" s="24" t="str" cm="1">
        <f t="array" ref="N6210">IFERROR(IF($B6210=N$1, ($A6210+$C6210) - MAX(IF($B$2:$B6209=$B6210, $A$2:$A6209+$C$2:$C6209)), "")*24*60, "")</f>
        <v/>
      </c>
      <c r="O6210" s="24" t="str" cm="1">
        <f t="array" ref="O6210">IFERROR(IF($B6210=O$1, ($A6210+$C6210) - MAX(IF($B$2:$B6209=$B6210, $A$2:$A6209+$C$2:$C6209)), "")*24*60, "")</f>
        <v/>
      </c>
      <c r="P6210" s="24" t="str" cm="1">
        <f t="array" ref="P6210">IFERROR(IF($B6210=P$1, ($A6210+$C6210) - MAX(IF($B$2:$B6209=$B6210, $A$2:$A6209+$C$2:$C6209)), "")*24*60, "")</f>
        <v/>
      </c>
      <c r="Q6210" s="24" t="str" cm="1">
        <f t="array" ref="Q6210">IFERROR(IF($B6210=Q$1, ($A6210+$C6210) - MAX(IF($B$2:$B6209=$B6210, $A$2:$A6209+$C$2:$C6209)), "")*24*60, "")</f>
        <v/>
      </c>
      <c r="R6210" s="24" t="str" cm="1">
        <f t="array" ref="R6210">IFERROR(IF($B6210=R$1, ($A6210+$C6210) - MAX(IF($B$2:$B6209=$B6210, $A$2:$A6209+$C$2:$C6209)), "")*24*60, "")</f>
        <v/>
      </c>
      <c r="S6210" s="24" t="str" cm="1">
        <f t="array" ref="S6210">IFERROR(IF($B6210=S$1, ($A6210+$C6210) - MAX(IF($B$2:$B6209=$B6210, $A$2:$A6209+$C$2:$C6209)), "")*24*60, "")</f>
        <v/>
      </c>
    </row>
    <row r="6211" spans="1:19" x14ac:dyDescent="0.2">
      <c r="A6211" s="12">
        <f t="shared" ref="A6211:C6211" si="1189">A6210</f>
        <v>45988</v>
      </c>
      <c r="B6211" s="5" t="str">
        <f t="shared" si="1189"/>
        <v>Northern Cardinal</v>
      </c>
      <c r="C6211" s="6">
        <f t="shared" si="1189"/>
        <v>0.28472222222222221</v>
      </c>
      <c r="D6211" s="5"/>
      <c r="E6211" s="5"/>
      <c r="F6211" s="5" t="s">
        <v>8</v>
      </c>
      <c r="G6211" s="15" t="s">
        <v>9</v>
      </c>
      <c r="H6211" s="24">
        <f t="shared" si="1148"/>
        <v>0</v>
      </c>
      <c r="I6211" s="24" cm="1">
        <f t="array" ref="I6211">IFERROR(IF($B6211=I$1, ($A6211+$C6211) - MAX(IF($B$2:$B6210=$B6211, $A$2:$A6210+$C$2:$C6210)), "")*24*60, "")</f>
        <v>0</v>
      </c>
      <c r="J6211" s="24" t="str" cm="1">
        <f t="array" ref="J6211">IFERROR(IF($B6211=J$1, ($A6211+$C6211) - MAX(IF($B$2:$B6210=$B6211, $A$2:$A6210+$C$2:$C6210)), "")*24*60, "")</f>
        <v/>
      </c>
      <c r="K6211" s="24" t="str" cm="1">
        <f t="array" ref="K6211">IFERROR(IF($B6211=K$1, ($A6211+$C6211) - MAX(IF($B$2:$B6210=$B6211, $A$2:$A6210+$C$2:$C6210)), "")*24*60, "")</f>
        <v/>
      </c>
      <c r="L6211" s="24" t="str" cm="1">
        <f t="array" ref="L6211">IFERROR(IF($B6211=L$1, ($A6211+$C6211) - MAX(IF($B$2:$B6210=$B6211, $A$2:$A6210+$C$2:$C6210)), "")*24*60, "")</f>
        <v/>
      </c>
      <c r="M6211" s="24" t="str" cm="1">
        <f t="array" ref="M6211">IFERROR(IF($B6211=M$1, ($A6211+$C6211) - MAX(IF($B$2:$B6210=$B6211, $A$2:$A6210+$C$2:$C6210)), "")*24*60, "")</f>
        <v/>
      </c>
      <c r="N6211" s="24" t="str" cm="1">
        <f t="array" ref="N6211">IFERROR(IF($B6211=N$1, ($A6211+$C6211) - MAX(IF($B$2:$B6210=$B6211, $A$2:$A6210+$C$2:$C6210)), "")*24*60, "")</f>
        <v/>
      </c>
      <c r="O6211" s="24" t="str" cm="1">
        <f t="array" ref="O6211">IFERROR(IF($B6211=O$1, ($A6211+$C6211) - MAX(IF($B$2:$B6210=$B6211, $A$2:$A6210+$C$2:$C6210)), "")*24*60, "")</f>
        <v/>
      </c>
      <c r="P6211" s="24" t="str" cm="1">
        <f t="array" ref="P6211">IFERROR(IF($B6211=P$1, ($A6211+$C6211) - MAX(IF($B$2:$B6210=$B6211, $A$2:$A6210+$C$2:$C6210)), "")*24*60, "")</f>
        <v/>
      </c>
      <c r="Q6211" s="24" t="str" cm="1">
        <f t="array" ref="Q6211">IFERROR(IF($B6211=Q$1, ($A6211+$C6211) - MAX(IF($B$2:$B6210=$B6211, $A$2:$A6210+$C$2:$C6210)), "")*24*60, "")</f>
        <v/>
      </c>
      <c r="R6211" s="24" t="str" cm="1">
        <f t="array" ref="R6211">IFERROR(IF($B6211=R$1, ($A6211+$C6211) - MAX(IF($B$2:$B6210=$B6211, $A$2:$A6210+$C$2:$C6210)), "")*24*60, "")</f>
        <v/>
      </c>
      <c r="S6211" s="24" t="str" cm="1">
        <f t="array" ref="S6211">IFERROR(IF($B6211=S$1, ($A6211+$C6211) - MAX(IF($B$2:$B6210=$B6211, $A$2:$A6210+$C$2:$C6210)), "")*24*60, "")</f>
        <v/>
      </c>
    </row>
    <row r="6212" spans="1:19" x14ac:dyDescent="0.2">
      <c r="A6212" s="12">
        <f t="shared" ref="A6212:C6212" si="1190">A6211</f>
        <v>45988</v>
      </c>
      <c r="B6212" s="5" t="str">
        <f t="shared" si="1190"/>
        <v>Northern Cardinal</v>
      </c>
      <c r="C6212" s="6">
        <f t="shared" si="1190"/>
        <v>0.28472222222222221</v>
      </c>
      <c r="D6212" s="5"/>
      <c r="E6212" s="5"/>
      <c r="F6212" s="5" t="s">
        <v>8</v>
      </c>
      <c r="G6212" s="15" t="s">
        <v>9</v>
      </c>
      <c r="H6212" s="24">
        <f t="shared" si="1148"/>
        <v>0</v>
      </c>
      <c r="I6212" s="24" cm="1">
        <f t="array" ref="I6212">IFERROR(IF($B6212=I$1, ($A6212+$C6212) - MAX(IF($B$2:$B6211=$B6212, $A$2:$A6211+$C$2:$C6211)), "")*24*60, "")</f>
        <v>0</v>
      </c>
      <c r="J6212" s="24" t="str" cm="1">
        <f t="array" ref="J6212">IFERROR(IF($B6212=J$1, ($A6212+$C6212) - MAX(IF($B$2:$B6211=$B6212, $A$2:$A6211+$C$2:$C6211)), "")*24*60, "")</f>
        <v/>
      </c>
      <c r="K6212" s="24" t="str" cm="1">
        <f t="array" ref="K6212">IFERROR(IF($B6212=K$1, ($A6212+$C6212) - MAX(IF($B$2:$B6211=$B6212, $A$2:$A6211+$C$2:$C6211)), "")*24*60, "")</f>
        <v/>
      </c>
      <c r="L6212" s="24" t="str" cm="1">
        <f t="array" ref="L6212">IFERROR(IF($B6212=L$1, ($A6212+$C6212) - MAX(IF($B$2:$B6211=$B6212, $A$2:$A6211+$C$2:$C6211)), "")*24*60, "")</f>
        <v/>
      </c>
      <c r="M6212" s="24" t="str" cm="1">
        <f t="array" ref="M6212">IFERROR(IF($B6212=M$1, ($A6212+$C6212) - MAX(IF($B$2:$B6211=$B6212, $A$2:$A6211+$C$2:$C6211)), "")*24*60, "")</f>
        <v/>
      </c>
      <c r="N6212" s="24" t="str" cm="1">
        <f t="array" ref="N6212">IFERROR(IF($B6212=N$1, ($A6212+$C6212) - MAX(IF($B$2:$B6211=$B6212, $A$2:$A6211+$C$2:$C6211)), "")*24*60, "")</f>
        <v/>
      </c>
      <c r="O6212" s="24" t="str" cm="1">
        <f t="array" ref="O6212">IFERROR(IF($B6212=O$1, ($A6212+$C6212) - MAX(IF($B$2:$B6211=$B6212, $A$2:$A6211+$C$2:$C6211)), "")*24*60, "")</f>
        <v/>
      </c>
      <c r="P6212" s="24" t="str" cm="1">
        <f t="array" ref="P6212">IFERROR(IF($B6212=P$1, ($A6212+$C6212) - MAX(IF($B$2:$B6211=$B6212, $A$2:$A6211+$C$2:$C6211)), "")*24*60, "")</f>
        <v/>
      </c>
      <c r="Q6212" s="24" t="str" cm="1">
        <f t="array" ref="Q6212">IFERROR(IF($B6212=Q$1, ($A6212+$C6212) - MAX(IF($B$2:$B6211=$B6212, $A$2:$A6211+$C$2:$C6211)), "")*24*60, "")</f>
        <v/>
      </c>
      <c r="R6212" s="24" t="str" cm="1">
        <f t="array" ref="R6212">IFERROR(IF($B6212=R$1, ($A6212+$C6212) - MAX(IF($B$2:$B6211=$B6212, $A$2:$A6211+$C$2:$C6211)), "")*24*60, "")</f>
        <v/>
      </c>
      <c r="S6212" s="24" t="str" cm="1">
        <f t="array" ref="S6212">IFERROR(IF($B6212=S$1, ($A6212+$C6212) - MAX(IF($B$2:$B6211=$B6212, $A$2:$A6211+$C$2:$C6211)), "")*24*60, "")</f>
        <v/>
      </c>
    </row>
    <row r="6213" spans="1:19" x14ac:dyDescent="0.2">
      <c r="A6213" s="12">
        <f t="shared" ref="A6213:C6213" si="1191">A6212</f>
        <v>45988</v>
      </c>
      <c r="B6213" s="5" t="str">
        <f t="shared" si="1191"/>
        <v>Northern Cardinal</v>
      </c>
      <c r="C6213" s="6">
        <f t="shared" si="1191"/>
        <v>0.28472222222222221</v>
      </c>
      <c r="D6213" s="5"/>
      <c r="E6213" s="5"/>
      <c r="F6213" s="5" t="s">
        <v>8</v>
      </c>
      <c r="G6213" s="15" t="s">
        <v>9</v>
      </c>
      <c r="H6213" s="24">
        <f t="shared" si="1148"/>
        <v>0</v>
      </c>
      <c r="I6213" s="24" cm="1">
        <f t="array" ref="I6213">IFERROR(IF($B6213=I$1, ($A6213+$C6213) - MAX(IF($B$2:$B6212=$B6213, $A$2:$A6212+$C$2:$C6212)), "")*24*60, "")</f>
        <v>0</v>
      </c>
      <c r="J6213" s="24" t="str" cm="1">
        <f t="array" ref="J6213">IFERROR(IF($B6213=J$1, ($A6213+$C6213) - MAX(IF($B$2:$B6212=$B6213, $A$2:$A6212+$C$2:$C6212)), "")*24*60, "")</f>
        <v/>
      </c>
      <c r="K6213" s="24" t="str" cm="1">
        <f t="array" ref="K6213">IFERROR(IF($B6213=K$1, ($A6213+$C6213) - MAX(IF($B$2:$B6212=$B6213, $A$2:$A6212+$C$2:$C6212)), "")*24*60, "")</f>
        <v/>
      </c>
      <c r="L6213" s="24" t="str" cm="1">
        <f t="array" ref="L6213">IFERROR(IF($B6213=L$1, ($A6213+$C6213) - MAX(IF($B$2:$B6212=$B6213, $A$2:$A6212+$C$2:$C6212)), "")*24*60, "")</f>
        <v/>
      </c>
      <c r="M6213" s="24" t="str" cm="1">
        <f t="array" ref="M6213">IFERROR(IF($B6213=M$1, ($A6213+$C6213) - MAX(IF($B$2:$B6212=$B6213, $A$2:$A6212+$C$2:$C6212)), "")*24*60, "")</f>
        <v/>
      </c>
      <c r="N6213" s="24" t="str" cm="1">
        <f t="array" ref="N6213">IFERROR(IF($B6213=N$1, ($A6213+$C6213) - MAX(IF($B$2:$B6212=$B6213, $A$2:$A6212+$C$2:$C6212)), "")*24*60, "")</f>
        <v/>
      </c>
      <c r="O6213" s="24" t="str" cm="1">
        <f t="array" ref="O6213">IFERROR(IF($B6213=O$1, ($A6213+$C6213) - MAX(IF($B$2:$B6212=$B6213, $A$2:$A6212+$C$2:$C6212)), "")*24*60, "")</f>
        <v/>
      </c>
      <c r="P6213" s="24" t="str" cm="1">
        <f t="array" ref="P6213">IFERROR(IF($B6213=P$1, ($A6213+$C6213) - MAX(IF($B$2:$B6212=$B6213, $A$2:$A6212+$C$2:$C6212)), "")*24*60, "")</f>
        <v/>
      </c>
      <c r="Q6213" s="24" t="str" cm="1">
        <f t="array" ref="Q6213">IFERROR(IF($B6213=Q$1, ($A6213+$C6213) - MAX(IF($B$2:$B6212=$B6213, $A$2:$A6212+$C$2:$C6212)), "")*24*60, "")</f>
        <v/>
      </c>
      <c r="R6213" s="24" t="str" cm="1">
        <f t="array" ref="R6213">IFERROR(IF($B6213=R$1, ($A6213+$C6213) - MAX(IF($B$2:$B6212=$B6213, $A$2:$A6212+$C$2:$C6212)), "")*24*60, "")</f>
        <v/>
      </c>
      <c r="S6213" s="24" t="str" cm="1">
        <f t="array" ref="S6213">IFERROR(IF($B6213=S$1, ($A6213+$C6213) - MAX(IF($B$2:$B6212=$B6213, $A$2:$A6212+$C$2:$C6212)), "")*24*60, "")</f>
        <v/>
      </c>
    </row>
    <row r="6214" spans="1:19" x14ac:dyDescent="0.2">
      <c r="A6214" s="12">
        <f t="shared" ref="A6214:C6214" si="1192">A6213</f>
        <v>45988</v>
      </c>
      <c r="B6214" s="5" t="str">
        <f t="shared" si="1192"/>
        <v>Northern Cardinal</v>
      </c>
      <c r="C6214" s="6">
        <f t="shared" si="1192"/>
        <v>0.28472222222222221</v>
      </c>
      <c r="D6214" s="5"/>
      <c r="E6214" s="5"/>
      <c r="F6214" s="5" t="s">
        <v>8</v>
      </c>
      <c r="G6214" s="15" t="s">
        <v>9</v>
      </c>
      <c r="H6214" s="24">
        <f t="shared" si="1148"/>
        <v>0</v>
      </c>
      <c r="I6214" s="24" cm="1">
        <f t="array" ref="I6214">IFERROR(IF($B6214=I$1, ($A6214+$C6214) - MAX(IF($B$2:$B6213=$B6214, $A$2:$A6213+$C$2:$C6213)), "")*24*60, "")</f>
        <v>0</v>
      </c>
      <c r="J6214" s="24" t="str" cm="1">
        <f t="array" ref="J6214">IFERROR(IF($B6214=J$1, ($A6214+$C6214) - MAX(IF($B$2:$B6213=$B6214, $A$2:$A6213+$C$2:$C6213)), "")*24*60, "")</f>
        <v/>
      </c>
      <c r="K6214" s="24" t="str" cm="1">
        <f t="array" ref="K6214">IFERROR(IF($B6214=K$1, ($A6214+$C6214) - MAX(IF($B$2:$B6213=$B6214, $A$2:$A6213+$C$2:$C6213)), "")*24*60, "")</f>
        <v/>
      </c>
      <c r="L6214" s="24" t="str" cm="1">
        <f t="array" ref="L6214">IFERROR(IF($B6214=L$1, ($A6214+$C6214) - MAX(IF($B$2:$B6213=$B6214, $A$2:$A6213+$C$2:$C6213)), "")*24*60, "")</f>
        <v/>
      </c>
      <c r="M6214" s="24" t="str" cm="1">
        <f t="array" ref="M6214">IFERROR(IF($B6214=M$1, ($A6214+$C6214) - MAX(IF($B$2:$B6213=$B6214, $A$2:$A6213+$C$2:$C6213)), "")*24*60, "")</f>
        <v/>
      </c>
      <c r="N6214" s="24" t="str" cm="1">
        <f t="array" ref="N6214">IFERROR(IF($B6214=N$1, ($A6214+$C6214) - MAX(IF($B$2:$B6213=$B6214, $A$2:$A6213+$C$2:$C6213)), "")*24*60, "")</f>
        <v/>
      </c>
      <c r="O6214" s="24" t="str" cm="1">
        <f t="array" ref="O6214">IFERROR(IF($B6214=O$1, ($A6214+$C6214) - MAX(IF($B$2:$B6213=$B6214, $A$2:$A6213+$C$2:$C6213)), "")*24*60, "")</f>
        <v/>
      </c>
      <c r="P6214" s="24" t="str" cm="1">
        <f t="array" ref="P6214">IFERROR(IF($B6214=P$1, ($A6214+$C6214) - MAX(IF($B$2:$B6213=$B6214, $A$2:$A6213+$C$2:$C6213)), "")*24*60, "")</f>
        <v/>
      </c>
      <c r="Q6214" s="24" t="str" cm="1">
        <f t="array" ref="Q6214">IFERROR(IF($B6214=Q$1, ($A6214+$C6214) - MAX(IF($B$2:$B6213=$B6214, $A$2:$A6213+$C$2:$C6213)), "")*24*60, "")</f>
        <v/>
      </c>
      <c r="R6214" s="24" t="str" cm="1">
        <f t="array" ref="R6214">IFERROR(IF($B6214=R$1, ($A6214+$C6214) - MAX(IF($B$2:$B6213=$B6214, $A$2:$A6213+$C$2:$C6213)), "")*24*60, "")</f>
        <v/>
      </c>
      <c r="S6214" s="24" t="str" cm="1">
        <f t="array" ref="S6214">IFERROR(IF($B6214=S$1, ($A6214+$C6214) - MAX(IF($B$2:$B6213=$B6214, $A$2:$A6213+$C$2:$C6213)), "")*24*60, "")</f>
        <v/>
      </c>
    </row>
    <row r="6215" spans="1:19" x14ac:dyDescent="0.2">
      <c r="A6215" s="12">
        <f t="shared" ref="A6215:C6215" si="1193">A6214</f>
        <v>45988</v>
      </c>
      <c r="B6215" s="5" t="str">
        <f t="shared" si="1193"/>
        <v>Northern Cardinal</v>
      </c>
      <c r="C6215" s="6">
        <f t="shared" si="1193"/>
        <v>0.28472222222222221</v>
      </c>
      <c r="D6215" s="5"/>
      <c r="E6215" s="5"/>
      <c r="F6215" s="5" t="s">
        <v>8</v>
      </c>
      <c r="G6215" s="15" t="s">
        <v>9</v>
      </c>
      <c r="H6215" s="24">
        <f t="shared" si="1148"/>
        <v>0</v>
      </c>
      <c r="I6215" s="24" cm="1">
        <f t="array" ref="I6215">IFERROR(IF($B6215=I$1, ($A6215+$C6215) - MAX(IF($B$2:$B6214=$B6215, $A$2:$A6214+$C$2:$C6214)), "")*24*60, "")</f>
        <v>0</v>
      </c>
      <c r="J6215" s="24" t="str" cm="1">
        <f t="array" ref="J6215">IFERROR(IF($B6215=J$1, ($A6215+$C6215) - MAX(IF($B$2:$B6214=$B6215, $A$2:$A6214+$C$2:$C6214)), "")*24*60, "")</f>
        <v/>
      </c>
      <c r="K6215" s="24" t="str" cm="1">
        <f t="array" ref="K6215">IFERROR(IF($B6215=K$1, ($A6215+$C6215) - MAX(IF($B$2:$B6214=$B6215, $A$2:$A6214+$C$2:$C6214)), "")*24*60, "")</f>
        <v/>
      </c>
      <c r="L6215" s="24" t="str" cm="1">
        <f t="array" ref="L6215">IFERROR(IF($B6215=L$1, ($A6215+$C6215) - MAX(IF($B$2:$B6214=$B6215, $A$2:$A6214+$C$2:$C6214)), "")*24*60, "")</f>
        <v/>
      </c>
      <c r="M6215" s="24" t="str" cm="1">
        <f t="array" ref="M6215">IFERROR(IF($B6215=M$1, ($A6215+$C6215) - MAX(IF($B$2:$B6214=$B6215, $A$2:$A6214+$C$2:$C6214)), "")*24*60, "")</f>
        <v/>
      </c>
      <c r="N6215" s="24" t="str" cm="1">
        <f t="array" ref="N6215">IFERROR(IF($B6215=N$1, ($A6215+$C6215) - MAX(IF($B$2:$B6214=$B6215, $A$2:$A6214+$C$2:$C6214)), "")*24*60, "")</f>
        <v/>
      </c>
      <c r="O6215" s="24" t="str" cm="1">
        <f t="array" ref="O6215">IFERROR(IF($B6215=O$1, ($A6215+$C6215) - MAX(IF($B$2:$B6214=$B6215, $A$2:$A6214+$C$2:$C6214)), "")*24*60, "")</f>
        <v/>
      </c>
      <c r="P6215" s="24" t="str" cm="1">
        <f t="array" ref="P6215">IFERROR(IF($B6215=P$1, ($A6215+$C6215) - MAX(IF($B$2:$B6214=$B6215, $A$2:$A6214+$C$2:$C6214)), "")*24*60, "")</f>
        <v/>
      </c>
      <c r="Q6215" s="24" t="str" cm="1">
        <f t="array" ref="Q6215">IFERROR(IF($B6215=Q$1, ($A6215+$C6215) - MAX(IF($B$2:$B6214=$B6215, $A$2:$A6214+$C$2:$C6214)), "")*24*60, "")</f>
        <v/>
      </c>
      <c r="R6215" s="24" t="str" cm="1">
        <f t="array" ref="R6215">IFERROR(IF($B6215=R$1, ($A6215+$C6215) - MAX(IF($B$2:$B6214=$B6215, $A$2:$A6214+$C$2:$C6214)), "")*24*60, "")</f>
        <v/>
      </c>
      <c r="S6215" s="24" t="str" cm="1">
        <f t="array" ref="S6215">IFERROR(IF($B6215=S$1, ($A6215+$C6215) - MAX(IF($B$2:$B6214=$B6215, $A$2:$A6214+$C$2:$C6214)), "")*24*60, "")</f>
        <v/>
      </c>
    </row>
    <row r="6216" spans="1:19" x14ac:dyDescent="0.2">
      <c r="A6216" s="12">
        <f t="shared" ref="A6216:C6216" si="1194">A6215</f>
        <v>45988</v>
      </c>
      <c r="B6216" s="5" t="str">
        <f t="shared" si="1194"/>
        <v>Northern Cardinal</v>
      </c>
      <c r="C6216" s="6">
        <f t="shared" si="1194"/>
        <v>0.28472222222222221</v>
      </c>
      <c r="D6216" s="5"/>
      <c r="E6216" s="5"/>
      <c r="F6216" s="5" t="s">
        <v>8</v>
      </c>
      <c r="G6216" s="15" t="s">
        <v>9</v>
      </c>
      <c r="H6216" s="24">
        <f t="shared" si="1148"/>
        <v>0</v>
      </c>
      <c r="I6216" s="24" cm="1">
        <f t="array" ref="I6216">IFERROR(IF($B6216=I$1, ($A6216+$C6216) - MAX(IF($B$2:$B6215=$B6216, $A$2:$A6215+$C$2:$C6215)), "")*24*60, "")</f>
        <v>0</v>
      </c>
      <c r="J6216" s="24" t="str" cm="1">
        <f t="array" ref="J6216">IFERROR(IF($B6216=J$1, ($A6216+$C6216) - MAX(IF($B$2:$B6215=$B6216, $A$2:$A6215+$C$2:$C6215)), "")*24*60, "")</f>
        <v/>
      </c>
      <c r="K6216" s="24" t="str" cm="1">
        <f t="array" ref="K6216">IFERROR(IF($B6216=K$1, ($A6216+$C6216) - MAX(IF($B$2:$B6215=$B6216, $A$2:$A6215+$C$2:$C6215)), "")*24*60, "")</f>
        <v/>
      </c>
      <c r="L6216" s="24" t="str" cm="1">
        <f t="array" ref="L6216">IFERROR(IF($B6216=L$1, ($A6216+$C6216) - MAX(IF($B$2:$B6215=$B6216, $A$2:$A6215+$C$2:$C6215)), "")*24*60, "")</f>
        <v/>
      </c>
      <c r="M6216" s="24" t="str" cm="1">
        <f t="array" ref="M6216">IFERROR(IF($B6216=M$1, ($A6216+$C6216) - MAX(IF($B$2:$B6215=$B6216, $A$2:$A6215+$C$2:$C6215)), "")*24*60, "")</f>
        <v/>
      </c>
      <c r="N6216" s="24" t="str" cm="1">
        <f t="array" ref="N6216">IFERROR(IF($B6216=N$1, ($A6216+$C6216) - MAX(IF($B$2:$B6215=$B6216, $A$2:$A6215+$C$2:$C6215)), "")*24*60, "")</f>
        <v/>
      </c>
      <c r="O6216" s="24" t="str" cm="1">
        <f t="array" ref="O6216">IFERROR(IF($B6216=O$1, ($A6216+$C6216) - MAX(IF($B$2:$B6215=$B6216, $A$2:$A6215+$C$2:$C6215)), "")*24*60, "")</f>
        <v/>
      </c>
      <c r="P6216" s="24" t="str" cm="1">
        <f t="array" ref="P6216">IFERROR(IF($B6216=P$1, ($A6216+$C6216) - MAX(IF($B$2:$B6215=$B6216, $A$2:$A6215+$C$2:$C6215)), "")*24*60, "")</f>
        <v/>
      </c>
      <c r="Q6216" s="24" t="str" cm="1">
        <f t="array" ref="Q6216">IFERROR(IF($B6216=Q$1, ($A6216+$C6216) - MAX(IF($B$2:$B6215=$B6216, $A$2:$A6215+$C$2:$C6215)), "")*24*60, "")</f>
        <v/>
      </c>
      <c r="R6216" s="24" t="str" cm="1">
        <f t="array" ref="R6216">IFERROR(IF($B6216=R$1, ($A6216+$C6216) - MAX(IF($B$2:$B6215=$B6216, $A$2:$A6215+$C$2:$C6215)), "")*24*60, "")</f>
        <v/>
      </c>
      <c r="S6216" s="24" t="str" cm="1">
        <f t="array" ref="S6216">IFERROR(IF($B6216=S$1, ($A6216+$C6216) - MAX(IF($B$2:$B6215=$B6216, $A$2:$A6215+$C$2:$C6215)), "")*24*60, "")</f>
        <v/>
      </c>
    </row>
    <row r="6217" spans="1:19" x14ac:dyDescent="0.2">
      <c r="A6217" s="12">
        <f t="shared" ref="A6217:C6217" si="1195">A6216</f>
        <v>45988</v>
      </c>
      <c r="B6217" s="5" t="str">
        <f t="shared" si="1195"/>
        <v>Northern Cardinal</v>
      </c>
      <c r="C6217" s="6">
        <f t="shared" si="1195"/>
        <v>0.28472222222222221</v>
      </c>
      <c r="D6217" s="5"/>
      <c r="E6217" s="5"/>
      <c r="F6217" s="5" t="s">
        <v>8</v>
      </c>
      <c r="G6217" s="15" t="s">
        <v>9</v>
      </c>
      <c r="H6217" s="24">
        <f t="shared" si="1148"/>
        <v>0</v>
      </c>
      <c r="I6217" s="24" cm="1">
        <f t="array" ref="I6217">IFERROR(IF($B6217=I$1, ($A6217+$C6217) - MAX(IF($B$2:$B6216=$B6217, $A$2:$A6216+$C$2:$C6216)), "")*24*60, "")</f>
        <v>0</v>
      </c>
      <c r="J6217" s="24" t="str" cm="1">
        <f t="array" ref="J6217">IFERROR(IF($B6217=J$1, ($A6217+$C6217) - MAX(IF($B$2:$B6216=$B6217, $A$2:$A6216+$C$2:$C6216)), "")*24*60, "")</f>
        <v/>
      </c>
      <c r="K6217" s="24" t="str" cm="1">
        <f t="array" ref="K6217">IFERROR(IF($B6217=K$1, ($A6217+$C6217) - MAX(IF($B$2:$B6216=$B6217, $A$2:$A6216+$C$2:$C6216)), "")*24*60, "")</f>
        <v/>
      </c>
      <c r="L6217" s="24" t="str" cm="1">
        <f t="array" ref="L6217">IFERROR(IF($B6217=L$1, ($A6217+$C6217) - MAX(IF($B$2:$B6216=$B6217, $A$2:$A6216+$C$2:$C6216)), "")*24*60, "")</f>
        <v/>
      </c>
      <c r="M6217" s="24" t="str" cm="1">
        <f t="array" ref="M6217">IFERROR(IF($B6217=M$1, ($A6217+$C6217) - MAX(IF($B$2:$B6216=$B6217, $A$2:$A6216+$C$2:$C6216)), "")*24*60, "")</f>
        <v/>
      </c>
      <c r="N6217" s="24" t="str" cm="1">
        <f t="array" ref="N6217">IFERROR(IF($B6217=N$1, ($A6217+$C6217) - MAX(IF($B$2:$B6216=$B6217, $A$2:$A6216+$C$2:$C6216)), "")*24*60, "")</f>
        <v/>
      </c>
      <c r="O6217" s="24" t="str" cm="1">
        <f t="array" ref="O6217">IFERROR(IF($B6217=O$1, ($A6217+$C6217) - MAX(IF($B$2:$B6216=$B6217, $A$2:$A6216+$C$2:$C6216)), "")*24*60, "")</f>
        <v/>
      </c>
      <c r="P6217" s="24" t="str" cm="1">
        <f t="array" ref="P6217">IFERROR(IF($B6217=P$1, ($A6217+$C6217) - MAX(IF($B$2:$B6216=$B6217, $A$2:$A6216+$C$2:$C6216)), "")*24*60, "")</f>
        <v/>
      </c>
      <c r="Q6217" s="24" t="str" cm="1">
        <f t="array" ref="Q6217">IFERROR(IF($B6217=Q$1, ($A6217+$C6217) - MAX(IF($B$2:$B6216=$B6217, $A$2:$A6216+$C$2:$C6216)), "")*24*60, "")</f>
        <v/>
      </c>
      <c r="R6217" s="24" t="str" cm="1">
        <f t="array" ref="R6217">IFERROR(IF($B6217=R$1, ($A6217+$C6217) - MAX(IF($B$2:$B6216=$B6217, $A$2:$A6216+$C$2:$C6216)), "")*24*60, "")</f>
        <v/>
      </c>
      <c r="S6217" s="24" t="str" cm="1">
        <f t="array" ref="S6217">IFERROR(IF($B6217=S$1, ($A6217+$C6217) - MAX(IF($B$2:$B6216=$B6217, $A$2:$A6216+$C$2:$C6216)), "")*24*60, "")</f>
        <v/>
      </c>
    </row>
    <row r="6218" spans="1:19" x14ac:dyDescent="0.2">
      <c r="A6218" s="12">
        <f t="shared" ref="A6218:C6218" si="1196">A6217</f>
        <v>45988</v>
      </c>
      <c r="B6218" s="5" t="str">
        <f t="shared" si="1196"/>
        <v>Northern Cardinal</v>
      </c>
      <c r="C6218" s="6">
        <f t="shared" si="1196"/>
        <v>0.28472222222222221</v>
      </c>
      <c r="D6218" s="5"/>
      <c r="E6218" s="5"/>
      <c r="F6218" s="5" t="s">
        <v>8</v>
      </c>
      <c r="G6218" s="15" t="s">
        <v>9</v>
      </c>
      <c r="H6218" s="24">
        <f t="shared" si="1148"/>
        <v>0</v>
      </c>
      <c r="I6218" s="24" cm="1">
        <f t="array" ref="I6218">IFERROR(IF($B6218=I$1, ($A6218+$C6218) - MAX(IF($B$2:$B6217=$B6218, $A$2:$A6217+$C$2:$C6217)), "")*24*60, "")</f>
        <v>0</v>
      </c>
      <c r="J6218" s="24" t="str" cm="1">
        <f t="array" ref="J6218">IFERROR(IF($B6218=J$1, ($A6218+$C6218) - MAX(IF($B$2:$B6217=$B6218, $A$2:$A6217+$C$2:$C6217)), "")*24*60, "")</f>
        <v/>
      </c>
      <c r="K6218" s="24" t="str" cm="1">
        <f t="array" ref="K6218">IFERROR(IF($B6218=K$1, ($A6218+$C6218) - MAX(IF($B$2:$B6217=$B6218, $A$2:$A6217+$C$2:$C6217)), "")*24*60, "")</f>
        <v/>
      </c>
      <c r="L6218" s="24" t="str" cm="1">
        <f t="array" ref="L6218">IFERROR(IF($B6218=L$1, ($A6218+$C6218) - MAX(IF($B$2:$B6217=$B6218, $A$2:$A6217+$C$2:$C6217)), "")*24*60, "")</f>
        <v/>
      </c>
      <c r="M6218" s="24" t="str" cm="1">
        <f t="array" ref="M6218">IFERROR(IF($B6218=M$1, ($A6218+$C6218) - MAX(IF($B$2:$B6217=$B6218, $A$2:$A6217+$C$2:$C6217)), "")*24*60, "")</f>
        <v/>
      </c>
      <c r="N6218" s="24" t="str" cm="1">
        <f t="array" ref="N6218">IFERROR(IF($B6218=N$1, ($A6218+$C6218) - MAX(IF($B$2:$B6217=$B6218, $A$2:$A6217+$C$2:$C6217)), "")*24*60, "")</f>
        <v/>
      </c>
      <c r="O6218" s="24" t="str" cm="1">
        <f t="array" ref="O6218">IFERROR(IF($B6218=O$1, ($A6218+$C6218) - MAX(IF($B$2:$B6217=$B6218, $A$2:$A6217+$C$2:$C6217)), "")*24*60, "")</f>
        <v/>
      </c>
      <c r="P6218" s="24" t="str" cm="1">
        <f t="array" ref="P6218">IFERROR(IF($B6218=P$1, ($A6218+$C6218) - MAX(IF($B$2:$B6217=$B6218, $A$2:$A6217+$C$2:$C6217)), "")*24*60, "")</f>
        <v/>
      </c>
      <c r="Q6218" s="24" t="str" cm="1">
        <f t="array" ref="Q6218">IFERROR(IF($B6218=Q$1, ($A6218+$C6218) - MAX(IF($B$2:$B6217=$B6218, $A$2:$A6217+$C$2:$C6217)), "")*24*60, "")</f>
        <v/>
      </c>
      <c r="R6218" s="24" t="str" cm="1">
        <f t="array" ref="R6218">IFERROR(IF($B6218=R$1, ($A6218+$C6218) - MAX(IF($B$2:$B6217=$B6218, $A$2:$A6217+$C$2:$C6217)), "")*24*60, "")</f>
        <v/>
      </c>
      <c r="S6218" s="24" t="str" cm="1">
        <f t="array" ref="S6218">IFERROR(IF($B6218=S$1, ($A6218+$C6218) - MAX(IF($B$2:$B6217=$B6218, $A$2:$A6217+$C$2:$C6217)), "")*24*60, "")</f>
        <v/>
      </c>
    </row>
    <row r="6219" spans="1:19" x14ac:dyDescent="0.2">
      <c r="A6219" s="12">
        <f t="shared" ref="A6219:C6219" si="1197">A6218</f>
        <v>45988</v>
      </c>
      <c r="B6219" s="5" t="str">
        <f t="shared" si="1197"/>
        <v>Northern Cardinal</v>
      </c>
      <c r="C6219" s="6">
        <f t="shared" si="1197"/>
        <v>0.28472222222222221</v>
      </c>
      <c r="D6219" s="5"/>
      <c r="E6219" s="5"/>
      <c r="F6219" s="5" t="s">
        <v>8</v>
      </c>
      <c r="G6219" s="15" t="s">
        <v>9</v>
      </c>
      <c r="H6219" s="24">
        <f t="shared" si="1148"/>
        <v>0</v>
      </c>
      <c r="I6219" s="24" cm="1">
        <f t="array" ref="I6219">IFERROR(IF($B6219=I$1, ($A6219+$C6219) - MAX(IF($B$2:$B6218=$B6219, $A$2:$A6218+$C$2:$C6218)), "")*24*60, "")</f>
        <v>0</v>
      </c>
      <c r="J6219" s="24" t="str" cm="1">
        <f t="array" ref="J6219">IFERROR(IF($B6219=J$1, ($A6219+$C6219) - MAX(IF($B$2:$B6218=$B6219, $A$2:$A6218+$C$2:$C6218)), "")*24*60, "")</f>
        <v/>
      </c>
      <c r="K6219" s="24" t="str" cm="1">
        <f t="array" ref="K6219">IFERROR(IF($B6219=K$1, ($A6219+$C6219) - MAX(IF($B$2:$B6218=$B6219, $A$2:$A6218+$C$2:$C6218)), "")*24*60, "")</f>
        <v/>
      </c>
      <c r="L6219" s="24" t="str" cm="1">
        <f t="array" ref="L6219">IFERROR(IF($B6219=L$1, ($A6219+$C6219) - MAX(IF($B$2:$B6218=$B6219, $A$2:$A6218+$C$2:$C6218)), "")*24*60, "")</f>
        <v/>
      </c>
      <c r="M6219" s="24" t="str" cm="1">
        <f t="array" ref="M6219">IFERROR(IF($B6219=M$1, ($A6219+$C6219) - MAX(IF($B$2:$B6218=$B6219, $A$2:$A6218+$C$2:$C6218)), "")*24*60, "")</f>
        <v/>
      </c>
      <c r="N6219" s="24" t="str" cm="1">
        <f t="array" ref="N6219">IFERROR(IF($B6219=N$1, ($A6219+$C6219) - MAX(IF($B$2:$B6218=$B6219, $A$2:$A6218+$C$2:$C6218)), "")*24*60, "")</f>
        <v/>
      </c>
      <c r="O6219" s="24" t="str" cm="1">
        <f t="array" ref="O6219">IFERROR(IF($B6219=O$1, ($A6219+$C6219) - MAX(IF($B$2:$B6218=$B6219, $A$2:$A6218+$C$2:$C6218)), "")*24*60, "")</f>
        <v/>
      </c>
      <c r="P6219" s="24" t="str" cm="1">
        <f t="array" ref="P6219">IFERROR(IF($B6219=P$1, ($A6219+$C6219) - MAX(IF($B$2:$B6218=$B6219, $A$2:$A6218+$C$2:$C6218)), "")*24*60, "")</f>
        <v/>
      </c>
      <c r="Q6219" s="24" t="str" cm="1">
        <f t="array" ref="Q6219">IFERROR(IF($B6219=Q$1, ($A6219+$C6219) - MAX(IF($B$2:$B6218=$B6219, $A$2:$A6218+$C$2:$C6218)), "")*24*60, "")</f>
        <v/>
      </c>
      <c r="R6219" s="24" t="str" cm="1">
        <f t="array" ref="R6219">IFERROR(IF($B6219=R$1, ($A6219+$C6219) - MAX(IF($B$2:$B6218=$B6219, $A$2:$A6218+$C$2:$C6218)), "")*24*60, "")</f>
        <v/>
      </c>
      <c r="S6219" s="24" t="str" cm="1">
        <f t="array" ref="S6219">IFERROR(IF($B6219=S$1, ($A6219+$C6219) - MAX(IF($B$2:$B6218=$B6219, $A$2:$A6218+$C$2:$C6218)), "")*24*60, "")</f>
        <v/>
      </c>
    </row>
    <row r="6220" spans="1:19" x14ac:dyDescent="0.2">
      <c r="A6220" s="12">
        <f t="shared" ref="A6220:C6220" si="1198">A6219</f>
        <v>45988</v>
      </c>
      <c r="B6220" s="5" t="str">
        <f t="shared" si="1198"/>
        <v>Northern Cardinal</v>
      </c>
      <c r="C6220" s="6">
        <f t="shared" si="1198"/>
        <v>0.28472222222222221</v>
      </c>
      <c r="D6220" s="5"/>
      <c r="E6220" s="5"/>
      <c r="F6220" s="5" t="s">
        <v>8</v>
      </c>
      <c r="G6220" s="15" t="s">
        <v>9</v>
      </c>
      <c r="H6220" s="24">
        <f t="shared" si="1148"/>
        <v>0</v>
      </c>
      <c r="I6220" s="24" cm="1">
        <f t="array" ref="I6220">IFERROR(IF($B6220=I$1, ($A6220+$C6220) - MAX(IF($B$2:$B6219=$B6220, $A$2:$A6219+$C$2:$C6219)), "")*24*60, "")</f>
        <v>0</v>
      </c>
      <c r="J6220" s="24" t="str" cm="1">
        <f t="array" ref="J6220">IFERROR(IF($B6220=J$1, ($A6220+$C6220) - MAX(IF($B$2:$B6219=$B6220, $A$2:$A6219+$C$2:$C6219)), "")*24*60, "")</f>
        <v/>
      </c>
      <c r="K6220" s="24" t="str" cm="1">
        <f t="array" ref="K6220">IFERROR(IF($B6220=K$1, ($A6220+$C6220) - MAX(IF($B$2:$B6219=$B6220, $A$2:$A6219+$C$2:$C6219)), "")*24*60, "")</f>
        <v/>
      </c>
      <c r="L6220" s="24" t="str" cm="1">
        <f t="array" ref="L6220">IFERROR(IF($B6220=L$1, ($A6220+$C6220) - MAX(IF($B$2:$B6219=$B6220, $A$2:$A6219+$C$2:$C6219)), "")*24*60, "")</f>
        <v/>
      </c>
      <c r="M6220" s="24" t="str" cm="1">
        <f t="array" ref="M6220">IFERROR(IF($B6220=M$1, ($A6220+$C6220) - MAX(IF($B$2:$B6219=$B6220, $A$2:$A6219+$C$2:$C6219)), "")*24*60, "")</f>
        <v/>
      </c>
      <c r="N6220" s="24" t="str" cm="1">
        <f t="array" ref="N6220">IFERROR(IF($B6220=N$1, ($A6220+$C6220) - MAX(IF($B$2:$B6219=$B6220, $A$2:$A6219+$C$2:$C6219)), "")*24*60, "")</f>
        <v/>
      </c>
      <c r="O6220" s="24" t="str" cm="1">
        <f t="array" ref="O6220">IFERROR(IF($B6220=O$1, ($A6220+$C6220) - MAX(IF($B$2:$B6219=$B6220, $A$2:$A6219+$C$2:$C6219)), "")*24*60, "")</f>
        <v/>
      </c>
      <c r="P6220" s="24" t="str" cm="1">
        <f t="array" ref="P6220">IFERROR(IF($B6220=P$1, ($A6220+$C6220) - MAX(IF($B$2:$B6219=$B6220, $A$2:$A6219+$C$2:$C6219)), "")*24*60, "")</f>
        <v/>
      </c>
      <c r="Q6220" s="24" t="str" cm="1">
        <f t="array" ref="Q6220">IFERROR(IF($B6220=Q$1, ($A6220+$C6220) - MAX(IF($B$2:$B6219=$B6220, $A$2:$A6219+$C$2:$C6219)), "")*24*60, "")</f>
        <v/>
      </c>
      <c r="R6220" s="24" t="str" cm="1">
        <f t="array" ref="R6220">IFERROR(IF($B6220=R$1, ($A6220+$C6220) - MAX(IF($B$2:$B6219=$B6220, $A$2:$A6219+$C$2:$C6219)), "")*24*60, "")</f>
        <v/>
      </c>
      <c r="S6220" s="24" t="str" cm="1">
        <f t="array" ref="S6220">IFERROR(IF($B6220=S$1, ($A6220+$C6220) - MAX(IF($B$2:$B6219=$B6220, $A$2:$A6219+$C$2:$C6219)), "")*24*60, "")</f>
        <v/>
      </c>
    </row>
    <row r="6221" spans="1:19" x14ac:dyDescent="0.2">
      <c r="A6221" s="12">
        <f t="shared" ref="A6221:C6221" si="1199">A6220</f>
        <v>45988</v>
      </c>
      <c r="B6221" s="5" t="str">
        <f t="shared" si="1199"/>
        <v>Northern Cardinal</v>
      </c>
      <c r="C6221" s="6">
        <f t="shared" si="1199"/>
        <v>0.28472222222222221</v>
      </c>
      <c r="D6221" s="5"/>
      <c r="E6221" s="5"/>
      <c r="F6221" s="5" t="s">
        <v>8</v>
      </c>
      <c r="G6221" s="15" t="s">
        <v>9</v>
      </c>
      <c r="H6221" s="24">
        <f t="shared" si="1148"/>
        <v>0</v>
      </c>
      <c r="I6221" s="24" cm="1">
        <f t="array" ref="I6221">IFERROR(IF($B6221=I$1, ($A6221+$C6221) - MAX(IF($B$2:$B6220=$B6221, $A$2:$A6220+$C$2:$C6220)), "")*24*60, "")</f>
        <v>0</v>
      </c>
      <c r="J6221" s="24" t="str" cm="1">
        <f t="array" ref="J6221">IFERROR(IF($B6221=J$1, ($A6221+$C6221) - MAX(IF($B$2:$B6220=$B6221, $A$2:$A6220+$C$2:$C6220)), "")*24*60, "")</f>
        <v/>
      </c>
      <c r="K6221" s="24" t="str" cm="1">
        <f t="array" ref="K6221">IFERROR(IF($B6221=K$1, ($A6221+$C6221) - MAX(IF($B$2:$B6220=$B6221, $A$2:$A6220+$C$2:$C6220)), "")*24*60, "")</f>
        <v/>
      </c>
      <c r="L6221" s="24" t="str" cm="1">
        <f t="array" ref="L6221">IFERROR(IF($B6221=L$1, ($A6221+$C6221) - MAX(IF($B$2:$B6220=$B6221, $A$2:$A6220+$C$2:$C6220)), "")*24*60, "")</f>
        <v/>
      </c>
      <c r="M6221" s="24" t="str" cm="1">
        <f t="array" ref="M6221">IFERROR(IF($B6221=M$1, ($A6221+$C6221) - MAX(IF($B$2:$B6220=$B6221, $A$2:$A6220+$C$2:$C6220)), "")*24*60, "")</f>
        <v/>
      </c>
      <c r="N6221" s="24" t="str" cm="1">
        <f t="array" ref="N6221">IFERROR(IF($B6221=N$1, ($A6221+$C6221) - MAX(IF($B$2:$B6220=$B6221, $A$2:$A6220+$C$2:$C6220)), "")*24*60, "")</f>
        <v/>
      </c>
      <c r="O6221" s="24" t="str" cm="1">
        <f t="array" ref="O6221">IFERROR(IF($B6221=O$1, ($A6221+$C6221) - MAX(IF($B$2:$B6220=$B6221, $A$2:$A6220+$C$2:$C6220)), "")*24*60, "")</f>
        <v/>
      </c>
      <c r="P6221" s="24" t="str" cm="1">
        <f t="array" ref="P6221">IFERROR(IF($B6221=P$1, ($A6221+$C6221) - MAX(IF($B$2:$B6220=$B6221, $A$2:$A6220+$C$2:$C6220)), "")*24*60, "")</f>
        <v/>
      </c>
      <c r="Q6221" s="24" t="str" cm="1">
        <f t="array" ref="Q6221">IFERROR(IF($B6221=Q$1, ($A6221+$C6221) - MAX(IF($B$2:$B6220=$B6221, $A$2:$A6220+$C$2:$C6220)), "")*24*60, "")</f>
        <v/>
      </c>
      <c r="R6221" s="24" t="str" cm="1">
        <f t="array" ref="R6221">IFERROR(IF($B6221=R$1, ($A6221+$C6221) - MAX(IF($B$2:$B6220=$B6221, $A$2:$A6220+$C$2:$C6220)), "")*24*60, "")</f>
        <v/>
      </c>
      <c r="S6221" s="24" t="str" cm="1">
        <f t="array" ref="S6221">IFERROR(IF($B6221=S$1, ($A6221+$C6221) - MAX(IF($B$2:$B6220=$B6221, $A$2:$A6220+$C$2:$C6220)), "")*24*60, "")</f>
        <v/>
      </c>
    </row>
    <row r="6222" spans="1:19" x14ac:dyDescent="0.2">
      <c r="A6222" s="12">
        <f t="shared" ref="A6222:C6222" si="1200">A6221</f>
        <v>45988</v>
      </c>
      <c r="B6222" s="5" t="str">
        <f t="shared" si="1200"/>
        <v>Northern Cardinal</v>
      </c>
      <c r="C6222" s="6">
        <f t="shared" si="1200"/>
        <v>0.28472222222222221</v>
      </c>
      <c r="D6222" s="5"/>
      <c r="E6222" s="5"/>
      <c r="F6222" s="5" t="s">
        <v>8</v>
      </c>
      <c r="G6222" s="15" t="s">
        <v>9</v>
      </c>
      <c r="H6222" s="24">
        <f t="shared" si="1148"/>
        <v>0</v>
      </c>
      <c r="I6222" s="24" cm="1">
        <f t="array" ref="I6222">IFERROR(IF($B6222=I$1, ($A6222+$C6222) - MAX(IF($B$2:$B6221=$B6222, $A$2:$A6221+$C$2:$C6221)), "")*24*60, "")</f>
        <v>0</v>
      </c>
      <c r="J6222" s="24" t="str" cm="1">
        <f t="array" ref="J6222">IFERROR(IF($B6222=J$1, ($A6222+$C6222) - MAX(IF($B$2:$B6221=$B6222, $A$2:$A6221+$C$2:$C6221)), "")*24*60, "")</f>
        <v/>
      </c>
      <c r="K6222" s="24" t="str" cm="1">
        <f t="array" ref="K6222">IFERROR(IF($B6222=K$1, ($A6222+$C6222) - MAX(IF($B$2:$B6221=$B6222, $A$2:$A6221+$C$2:$C6221)), "")*24*60, "")</f>
        <v/>
      </c>
      <c r="L6222" s="24" t="str" cm="1">
        <f t="array" ref="L6222">IFERROR(IF($B6222=L$1, ($A6222+$C6222) - MAX(IF($B$2:$B6221=$B6222, $A$2:$A6221+$C$2:$C6221)), "")*24*60, "")</f>
        <v/>
      </c>
      <c r="M6222" s="24" t="str" cm="1">
        <f t="array" ref="M6222">IFERROR(IF($B6222=M$1, ($A6222+$C6222) - MAX(IF($B$2:$B6221=$B6222, $A$2:$A6221+$C$2:$C6221)), "")*24*60, "")</f>
        <v/>
      </c>
      <c r="N6222" s="24" t="str" cm="1">
        <f t="array" ref="N6222">IFERROR(IF($B6222=N$1, ($A6222+$C6222) - MAX(IF($B$2:$B6221=$B6222, $A$2:$A6221+$C$2:$C6221)), "")*24*60, "")</f>
        <v/>
      </c>
      <c r="O6222" s="24" t="str" cm="1">
        <f t="array" ref="O6222">IFERROR(IF($B6222=O$1, ($A6222+$C6222) - MAX(IF($B$2:$B6221=$B6222, $A$2:$A6221+$C$2:$C6221)), "")*24*60, "")</f>
        <v/>
      </c>
      <c r="P6222" s="24" t="str" cm="1">
        <f t="array" ref="P6222">IFERROR(IF($B6222=P$1, ($A6222+$C6222) - MAX(IF($B$2:$B6221=$B6222, $A$2:$A6221+$C$2:$C6221)), "")*24*60, "")</f>
        <v/>
      </c>
      <c r="Q6222" s="24" t="str" cm="1">
        <f t="array" ref="Q6222">IFERROR(IF($B6222=Q$1, ($A6222+$C6222) - MAX(IF($B$2:$B6221=$B6222, $A$2:$A6221+$C$2:$C6221)), "")*24*60, "")</f>
        <v/>
      </c>
      <c r="R6222" s="24" t="str" cm="1">
        <f t="array" ref="R6222">IFERROR(IF($B6222=R$1, ($A6222+$C6222) - MAX(IF($B$2:$B6221=$B6222, $A$2:$A6221+$C$2:$C6221)), "")*24*60, "")</f>
        <v/>
      </c>
      <c r="S6222" s="24" t="str" cm="1">
        <f t="array" ref="S6222">IFERROR(IF($B6222=S$1, ($A6222+$C6222) - MAX(IF($B$2:$B6221=$B6222, $A$2:$A6221+$C$2:$C6221)), "")*24*60, "")</f>
        <v/>
      </c>
    </row>
    <row r="6223" spans="1:19" x14ac:dyDescent="0.2">
      <c r="A6223" s="12">
        <f t="shared" ref="A6223:C6223" si="1201">A6222</f>
        <v>45988</v>
      </c>
      <c r="B6223" s="5" t="str">
        <f t="shared" si="1201"/>
        <v>Northern Cardinal</v>
      </c>
      <c r="C6223" s="6">
        <f t="shared" si="1201"/>
        <v>0.28472222222222221</v>
      </c>
      <c r="D6223" s="5"/>
      <c r="E6223" s="5"/>
      <c r="F6223" s="5" t="s">
        <v>8</v>
      </c>
      <c r="G6223" s="15" t="s">
        <v>9</v>
      </c>
      <c r="H6223" s="24">
        <f t="shared" si="1148"/>
        <v>0</v>
      </c>
      <c r="I6223" s="24" cm="1">
        <f t="array" ref="I6223">IFERROR(IF($B6223=I$1, ($A6223+$C6223) - MAX(IF($B$2:$B6222=$B6223, $A$2:$A6222+$C$2:$C6222)), "")*24*60, "")</f>
        <v>0</v>
      </c>
      <c r="J6223" s="24" t="str" cm="1">
        <f t="array" ref="J6223">IFERROR(IF($B6223=J$1, ($A6223+$C6223) - MAX(IF($B$2:$B6222=$B6223, $A$2:$A6222+$C$2:$C6222)), "")*24*60, "")</f>
        <v/>
      </c>
      <c r="K6223" s="24" t="str" cm="1">
        <f t="array" ref="K6223">IFERROR(IF($B6223=K$1, ($A6223+$C6223) - MAX(IF($B$2:$B6222=$B6223, $A$2:$A6222+$C$2:$C6222)), "")*24*60, "")</f>
        <v/>
      </c>
      <c r="L6223" s="24" t="str" cm="1">
        <f t="array" ref="L6223">IFERROR(IF($B6223=L$1, ($A6223+$C6223) - MAX(IF($B$2:$B6222=$B6223, $A$2:$A6222+$C$2:$C6222)), "")*24*60, "")</f>
        <v/>
      </c>
      <c r="M6223" s="24" t="str" cm="1">
        <f t="array" ref="M6223">IFERROR(IF($B6223=M$1, ($A6223+$C6223) - MAX(IF($B$2:$B6222=$B6223, $A$2:$A6222+$C$2:$C6222)), "")*24*60, "")</f>
        <v/>
      </c>
      <c r="N6223" s="24" t="str" cm="1">
        <f t="array" ref="N6223">IFERROR(IF($B6223=N$1, ($A6223+$C6223) - MAX(IF($B$2:$B6222=$B6223, $A$2:$A6222+$C$2:$C6222)), "")*24*60, "")</f>
        <v/>
      </c>
      <c r="O6223" s="24" t="str" cm="1">
        <f t="array" ref="O6223">IFERROR(IF($B6223=O$1, ($A6223+$C6223) - MAX(IF($B$2:$B6222=$B6223, $A$2:$A6222+$C$2:$C6222)), "")*24*60, "")</f>
        <v/>
      </c>
      <c r="P6223" s="24" t="str" cm="1">
        <f t="array" ref="P6223">IFERROR(IF($B6223=P$1, ($A6223+$C6223) - MAX(IF($B$2:$B6222=$B6223, $A$2:$A6222+$C$2:$C6222)), "")*24*60, "")</f>
        <v/>
      </c>
      <c r="Q6223" s="24" t="str" cm="1">
        <f t="array" ref="Q6223">IFERROR(IF($B6223=Q$1, ($A6223+$C6223) - MAX(IF($B$2:$B6222=$B6223, $A$2:$A6222+$C$2:$C6222)), "")*24*60, "")</f>
        <v/>
      </c>
      <c r="R6223" s="24" t="str" cm="1">
        <f t="array" ref="R6223">IFERROR(IF($B6223=R$1, ($A6223+$C6223) - MAX(IF($B$2:$B6222=$B6223, $A$2:$A6222+$C$2:$C6222)), "")*24*60, "")</f>
        <v/>
      </c>
      <c r="S6223" s="24" t="str" cm="1">
        <f t="array" ref="S6223">IFERROR(IF($B6223=S$1, ($A6223+$C6223) - MAX(IF($B$2:$B6222=$B6223, $A$2:$A6222+$C$2:$C6222)), "")*24*60, "")</f>
        <v/>
      </c>
    </row>
    <row r="6224" spans="1:19" x14ac:dyDescent="0.2">
      <c r="A6224" s="12">
        <f t="shared" ref="A6224:C6224" si="1202">A6223</f>
        <v>45988</v>
      </c>
      <c r="B6224" s="5" t="str">
        <f t="shared" si="1202"/>
        <v>Northern Cardinal</v>
      </c>
      <c r="C6224" s="6">
        <f t="shared" si="1202"/>
        <v>0.28472222222222221</v>
      </c>
      <c r="D6224" s="5"/>
      <c r="E6224" s="5"/>
      <c r="F6224" s="5" t="s">
        <v>8</v>
      </c>
      <c r="G6224" s="15" t="s">
        <v>9</v>
      </c>
      <c r="H6224" s="24">
        <f t="shared" si="1148"/>
        <v>0</v>
      </c>
      <c r="I6224" s="24" cm="1">
        <f t="array" ref="I6224">IFERROR(IF($B6224=I$1, ($A6224+$C6224) - MAX(IF($B$2:$B6223=$B6224, $A$2:$A6223+$C$2:$C6223)), "")*24*60, "")</f>
        <v>0</v>
      </c>
      <c r="J6224" s="24" t="str" cm="1">
        <f t="array" ref="J6224">IFERROR(IF($B6224=J$1, ($A6224+$C6224) - MAX(IF($B$2:$B6223=$B6224, $A$2:$A6223+$C$2:$C6223)), "")*24*60, "")</f>
        <v/>
      </c>
      <c r="K6224" s="24" t="str" cm="1">
        <f t="array" ref="K6224">IFERROR(IF($B6224=K$1, ($A6224+$C6224) - MAX(IF($B$2:$B6223=$B6224, $A$2:$A6223+$C$2:$C6223)), "")*24*60, "")</f>
        <v/>
      </c>
      <c r="L6224" s="24" t="str" cm="1">
        <f t="array" ref="L6224">IFERROR(IF($B6224=L$1, ($A6224+$C6224) - MAX(IF($B$2:$B6223=$B6224, $A$2:$A6223+$C$2:$C6223)), "")*24*60, "")</f>
        <v/>
      </c>
      <c r="M6224" s="24" t="str" cm="1">
        <f t="array" ref="M6224">IFERROR(IF($B6224=M$1, ($A6224+$C6224) - MAX(IF($B$2:$B6223=$B6224, $A$2:$A6223+$C$2:$C6223)), "")*24*60, "")</f>
        <v/>
      </c>
      <c r="N6224" s="24" t="str" cm="1">
        <f t="array" ref="N6224">IFERROR(IF($B6224=N$1, ($A6224+$C6224) - MAX(IF($B$2:$B6223=$B6224, $A$2:$A6223+$C$2:$C6223)), "")*24*60, "")</f>
        <v/>
      </c>
      <c r="O6224" s="24" t="str" cm="1">
        <f t="array" ref="O6224">IFERROR(IF($B6224=O$1, ($A6224+$C6224) - MAX(IF($B$2:$B6223=$B6224, $A$2:$A6223+$C$2:$C6223)), "")*24*60, "")</f>
        <v/>
      </c>
      <c r="P6224" s="24" t="str" cm="1">
        <f t="array" ref="P6224">IFERROR(IF($B6224=P$1, ($A6224+$C6224) - MAX(IF($B$2:$B6223=$B6224, $A$2:$A6223+$C$2:$C6223)), "")*24*60, "")</f>
        <v/>
      </c>
      <c r="Q6224" s="24" t="str" cm="1">
        <f t="array" ref="Q6224">IFERROR(IF($B6224=Q$1, ($A6224+$C6224) - MAX(IF($B$2:$B6223=$B6224, $A$2:$A6223+$C$2:$C6223)), "")*24*60, "")</f>
        <v/>
      </c>
      <c r="R6224" s="24" t="str" cm="1">
        <f t="array" ref="R6224">IFERROR(IF($B6224=R$1, ($A6224+$C6224) - MAX(IF($B$2:$B6223=$B6224, $A$2:$A6223+$C$2:$C6223)), "")*24*60, "")</f>
        <v/>
      </c>
      <c r="S6224" s="24" t="str" cm="1">
        <f t="array" ref="S6224">IFERROR(IF($B6224=S$1, ($A6224+$C6224) - MAX(IF($B$2:$B6223=$B6224, $A$2:$A6223+$C$2:$C6223)), "")*24*60, "")</f>
        <v/>
      </c>
    </row>
    <row r="6225" spans="1:19" x14ac:dyDescent="0.2">
      <c r="A6225" s="12">
        <f t="shared" ref="A6225:C6225" si="1203">A6224</f>
        <v>45988</v>
      </c>
      <c r="B6225" s="5" t="str">
        <f t="shared" si="1203"/>
        <v>Northern Cardinal</v>
      </c>
      <c r="C6225" s="6">
        <f t="shared" si="1203"/>
        <v>0.28472222222222221</v>
      </c>
      <c r="D6225" s="5"/>
      <c r="E6225" s="5"/>
      <c r="F6225" s="5" t="s">
        <v>8</v>
      </c>
      <c r="G6225" s="15" t="s">
        <v>9</v>
      </c>
      <c r="H6225" s="24">
        <f t="shared" si="1148"/>
        <v>0</v>
      </c>
      <c r="I6225" s="24" cm="1">
        <f t="array" ref="I6225">IFERROR(IF($B6225=I$1, ($A6225+$C6225) - MAX(IF($B$2:$B6224=$B6225, $A$2:$A6224+$C$2:$C6224)), "")*24*60, "")</f>
        <v>0</v>
      </c>
      <c r="J6225" s="24" t="str" cm="1">
        <f t="array" ref="J6225">IFERROR(IF($B6225=J$1, ($A6225+$C6225) - MAX(IF($B$2:$B6224=$B6225, $A$2:$A6224+$C$2:$C6224)), "")*24*60, "")</f>
        <v/>
      </c>
      <c r="K6225" s="24" t="str" cm="1">
        <f t="array" ref="K6225">IFERROR(IF($B6225=K$1, ($A6225+$C6225) - MAX(IF($B$2:$B6224=$B6225, $A$2:$A6224+$C$2:$C6224)), "")*24*60, "")</f>
        <v/>
      </c>
      <c r="L6225" s="24" t="str" cm="1">
        <f t="array" ref="L6225">IFERROR(IF($B6225=L$1, ($A6225+$C6225) - MAX(IF($B$2:$B6224=$B6225, $A$2:$A6224+$C$2:$C6224)), "")*24*60, "")</f>
        <v/>
      </c>
      <c r="M6225" s="24" t="str" cm="1">
        <f t="array" ref="M6225">IFERROR(IF($B6225=M$1, ($A6225+$C6225) - MAX(IF($B$2:$B6224=$B6225, $A$2:$A6224+$C$2:$C6224)), "")*24*60, "")</f>
        <v/>
      </c>
      <c r="N6225" s="24" t="str" cm="1">
        <f t="array" ref="N6225">IFERROR(IF($B6225=N$1, ($A6225+$C6225) - MAX(IF($B$2:$B6224=$B6225, $A$2:$A6224+$C$2:$C6224)), "")*24*60, "")</f>
        <v/>
      </c>
      <c r="O6225" s="24" t="str" cm="1">
        <f t="array" ref="O6225">IFERROR(IF($B6225=O$1, ($A6225+$C6225) - MAX(IF($B$2:$B6224=$B6225, $A$2:$A6224+$C$2:$C6224)), "")*24*60, "")</f>
        <v/>
      </c>
      <c r="P6225" s="24" t="str" cm="1">
        <f t="array" ref="P6225">IFERROR(IF($B6225=P$1, ($A6225+$C6225) - MAX(IF($B$2:$B6224=$B6225, $A$2:$A6224+$C$2:$C6224)), "")*24*60, "")</f>
        <v/>
      </c>
      <c r="Q6225" s="24" t="str" cm="1">
        <f t="array" ref="Q6225">IFERROR(IF($B6225=Q$1, ($A6225+$C6225) - MAX(IF($B$2:$B6224=$B6225, $A$2:$A6224+$C$2:$C6224)), "")*24*60, "")</f>
        <v/>
      </c>
      <c r="R6225" s="24" t="str" cm="1">
        <f t="array" ref="R6225">IFERROR(IF($B6225=R$1, ($A6225+$C6225) - MAX(IF($B$2:$B6224=$B6225, $A$2:$A6224+$C$2:$C6224)), "")*24*60, "")</f>
        <v/>
      </c>
      <c r="S6225" s="24" t="str" cm="1">
        <f t="array" ref="S6225">IFERROR(IF($B6225=S$1, ($A6225+$C6225) - MAX(IF($B$2:$B6224=$B6225, $A$2:$A6224+$C$2:$C6224)), "")*24*60, "")</f>
        <v/>
      </c>
    </row>
    <row r="6226" spans="1:19" x14ac:dyDescent="0.2">
      <c r="A6226" s="12">
        <f t="shared" ref="A6226:C6226" si="1204">A6225</f>
        <v>45988</v>
      </c>
      <c r="B6226" s="5" t="str">
        <f t="shared" si="1204"/>
        <v>Northern Cardinal</v>
      </c>
      <c r="C6226" s="6">
        <f t="shared" si="1204"/>
        <v>0.28472222222222221</v>
      </c>
      <c r="D6226" s="5"/>
      <c r="E6226" s="5"/>
      <c r="F6226" s="5" t="s">
        <v>8</v>
      </c>
      <c r="G6226" s="15" t="s">
        <v>9</v>
      </c>
      <c r="H6226" s="24">
        <f t="shared" si="1148"/>
        <v>0</v>
      </c>
      <c r="I6226" s="24" cm="1">
        <f t="array" ref="I6226">IFERROR(IF($B6226=I$1, ($A6226+$C6226) - MAX(IF($B$2:$B6225=$B6226, $A$2:$A6225+$C$2:$C6225)), "")*24*60, "")</f>
        <v>0</v>
      </c>
      <c r="J6226" s="24" t="str" cm="1">
        <f t="array" ref="J6226">IFERROR(IF($B6226=J$1, ($A6226+$C6226) - MAX(IF($B$2:$B6225=$B6226, $A$2:$A6225+$C$2:$C6225)), "")*24*60, "")</f>
        <v/>
      </c>
      <c r="K6226" s="24" t="str" cm="1">
        <f t="array" ref="K6226">IFERROR(IF($B6226=K$1, ($A6226+$C6226) - MAX(IF($B$2:$B6225=$B6226, $A$2:$A6225+$C$2:$C6225)), "")*24*60, "")</f>
        <v/>
      </c>
      <c r="L6226" s="24" t="str" cm="1">
        <f t="array" ref="L6226">IFERROR(IF($B6226=L$1, ($A6226+$C6226) - MAX(IF($B$2:$B6225=$B6226, $A$2:$A6225+$C$2:$C6225)), "")*24*60, "")</f>
        <v/>
      </c>
      <c r="M6226" s="24" t="str" cm="1">
        <f t="array" ref="M6226">IFERROR(IF($B6226=M$1, ($A6226+$C6226) - MAX(IF($B$2:$B6225=$B6226, $A$2:$A6225+$C$2:$C6225)), "")*24*60, "")</f>
        <v/>
      </c>
      <c r="N6226" s="24" t="str" cm="1">
        <f t="array" ref="N6226">IFERROR(IF($B6226=N$1, ($A6226+$C6226) - MAX(IF($B$2:$B6225=$B6226, $A$2:$A6225+$C$2:$C6225)), "")*24*60, "")</f>
        <v/>
      </c>
      <c r="O6226" s="24" t="str" cm="1">
        <f t="array" ref="O6226">IFERROR(IF($B6226=O$1, ($A6226+$C6226) - MAX(IF($B$2:$B6225=$B6226, $A$2:$A6225+$C$2:$C6225)), "")*24*60, "")</f>
        <v/>
      </c>
      <c r="P6226" s="24" t="str" cm="1">
        <f t="array" ref="P6226">IFERROR(IF($B6226=P$1, ($A6226+$C6226) - MAX(IF($B$2:$B6225=$B6226, $A$2:$A6225+$C$2:$C6225)), "")*24*60, "")</f>
        <v/>
      </c>
      <c r="Q6226" s="24" t="str" cm="1">
        <f t="array" ref="Q6226">IFERROR(IF($B6226=Q$1, ($A6226+$C6226) - MAX(IF($B$2:$B6225=$B6226, $A$2:$A6225+$C$2:$C6225)), "")*24*60, "")</f>
        <v/>
      </c>
      <c r="R6226" s="24" t="str" cm="1">
        <f t="array" ref="R6226">IFERROR(IF($B6226=R$1, ($A6226+$C6226) - MAX(IF($B$2:$B6225=$B6226, $A$2:$A6225+$C$2:$C6225)), "")*24*60, "")</f>
        <v/>
      </c>
      <c r="S6226" s="24" t="str" cm="1">
        <f t="array" ref="S6226">IFERROR(IF($B6226=S$1, ($A6226+$C6226) - MAX(IF($B$2:$B6225=$B6226, $A$2:$A6225+$C$2:$C6225)), "")*24*60, "")</f>
        <v/>
      </c>
    </row>
    <row r="6227" spans="1:19" x14ac:dyDescent="0.2">
      <c r="A6227" s="12">
        <f t="shared" ref="A6227:C6227" si="1205">A6226</f>
        <v>45988</v>
      </c>
      <c r="B6227" s="5" t="str">
        <f t="shared" si="1205"/>
        <v>Northern Cardinal</v>
      </c>
      <c r="C6227" s="6">
        <f t="shared" si="1205"/>
        <v>0.28472222222222221</v>
      </c>
      <c r="D6227" s="5"/>
      <c r="E6227" s="5"/>
      <c r="F6227" s="5" t="s">
        <v>8</v>
      </c>
      <c r="G6227" s="15" t="s">
        <v>9</v>
      </c>
      <c r="H6227" s="24">
        <f t="shared" si="1148"/>
        <v>0</v>
      </c>
      <c r="I6227" s="24" cm="1">
        <f t="array" ref="I6227">IFERROR(IF($B6227=I$1, ($A6227+$C6227) - MAX(IF($B$2:$B6226=$B6227, $A$2:$A6226+$C$2:$C6226)), "")*24*60, "")</f>
        <v>0</v>
      </c>
      <c r="J6227" s="24" t="str" cm="1">
        <f t="array" ref="J6227">IFERROR(IF($B6227=J$1, ($A6227+$C6227) - MAX(IF($B$2:$B6226=$B6227, $A$2:$A6226+$C$2:$C6226)), "")*24*60, "")</f>
        <v/>
      </c>
      <c r="K6227" s="24" t="str" cm="1">
        <f t="array" ref="K6227">IFERROR(IF($B6227=K$1, ($A6227+$C6227) - MAX(IF($B$2:$B6226=$B6227, $A$2:$A6226+$C$2:$C6226)), "")*24*60, "")</f>
        <v/>
      </c>
      <c r="L6227" s="24" t="str" cm="1">
        <f t="array" ref="L6227">IFERROR(IF($B6227=L$1, ($A6227+$C6227) - MAX(IF($B$2:$B6226=$B6227, $A$2:$A6226+$C$2:$C6226)), "")*24*60, "")</f>
        <v/>
      </c>
      <c r="M6227" s="24" t="str" cm="1">
        <f t="array" ref="M6227">IFERROR(IF($B6227=M$1, ($A6227+$C6227) - MAX(IF($B$2:$B6226=$B6227, $A$2:$A6226+$C$2:$C6226)), "")*24*60, "")</f>
        <v/>
      </c>
      <c r="N6227" s="24" t="str" cm="1">
        <f t="array" ref="N6227">IFERROR(IF($B6227=N$1, ($A6227+$C6227) - MAX(IF($B$2:$B6226=$B6227, $A$2:$A6226+$C$2:$C6226)), "")*24*60, "")</f>
        <v/>
      </c>
      <c r="O6227" s="24" t="str" cm="1">
        <f t="array" ref="O6227">IFERROR(IF($B6227=O$1, ($A6227+$C6227) - MAX(IF($B$2:$B6226=$B6227, $A$2:$A6226+$C$2:$C6226)), "")*24*60, "")</f>
        <v/>
      </c>
      <c r="P6227" s="24" t="str" cm="1">
        <f t="array" ref="P6227">IFERROR(IF($B6227=P$1, ($A6227+$C6227) - MAX(IF($B$2:$B6226=$B6227, $A$2:$A6226+$C$2:$C6226)), "")*24*60, "")</f>
        <v/>
      </c>
      <c r="Q6227" s="24" t="str" cm="1">
        <f t="array" ref="Q6227">IFERROR(IF($B6227=Q$1, ($A6227+$C6227) - MAX(IF($B$2:$B6226=$B6227, $A$2:$A6226+$C$2:$C6226)), "")*24*60, "")</f>
        <v/>
      </c>
      <c r="R6227" s="24" t="str" cm="1">
        <f t="array" ref="R6227">IFERROR(IF($B6227=R$1, ($A6227+$C6227) - MAX(IF($B$2:$B6226=$B6227, $A$2:$A6226+$C$2:$C6226)), "")*24*60, "")</f>
        <v/>
      </c>
      <c r="S6227" s="24" t="str" cm="1">
        <f t="array" ref="S6227">IFERROR(IF($B6227=S$1, ($A6227+$C6227) - MAX(IF($B$2:$B6226=$B6227, $A$2:$A6226+$C$2:$C6226)), "")*24*60, "")</f>
        <v/>
      </c>
    </row>
    <row r="6228" spans="1:19" x14ac:dyDescent="0.2">
      <c r="A6228" s="12">
        <f t="shared" ref="A6228:C6228" si="1206">A6227</f>
        <v>45988</v>
      </c>
      <c r="B6228" s="5" t="str">
        <f t="shared" si="1206"/>
        <v>Northern Cardinal</v>
      </c>
      <c r="C6228" s="6">
        <f t="shared" si="1206"/>
        <v>0.28472222222222221</v>
      </c>
      <c r="D6228" s="5"/>
      <c r="E6228" s="5"/>
      <c r="F6228" s="5" t="s">
        <v>8</v>
      </c>
      <c r="G6228" s="15" t="s">
        <v>9</v>
      </c>
      <c r="H6228" s="24">
        <f t="shared" si="1148"/>
        <v>0</v>
      </c>
      <c r="I6228" s="24" cm="1">
        <f t="array" ref="I6228">IFERROR(IF($B6228=I$1, ($A6228+$C6228) - MAX(IF($B$2:$B6227=$B6228, $A$2:$A6227+$C$2:$C6227)), "")*24*60, "")</f>
        <v>0</v>
      </c>
      <c r="J6228" s="24" t="str" cm="1">
        <f t="array" ref="J6228">IFERROR(IF($B6228=J$1, ($A6228+$C6228) - MAX(IF($B$2:$B6227=$B6228, $A$2:$A6227+$C$2:$C6227)), "")*24*60, "")</f>
        <v/>
      </c>
      <c r="K6228" s="24" t="str" cm="1">
        <f t="array" ref="K6228">IFERROR(IF($B6228=K$1, ($A6228+$C6228) - MAX(IF($B$2:$B6227=$B6228, $A$2:$A6227+$C$2:$C6227)), "")*24*60, "")</f>
        <v/>
      </c>
      <c r="L6228" s="24" t="str" cm="1">
        <f t="array" ref="L6228">IFERROR(IF($B6228=L$1, ($A6228+$C6228) - MAX(IF($B$2:$B6227=$B6228, $A$2:$A6227+$C$2:$C6227)), "")*24*60, "")</f>
        <v/>
      </c>
      <c r="M6228" s="24" t="str" cm="1">
        <f t="array" ref="M6228">IFERROR(IF($B6228=M$1, ($A6228+$C6228) - MAX(IF($B$2:$B6227=$B6228, $A$2:$A6227+$C$2:$C6227)), "")*24*60, "")</f>
        <v/>
      </c>
      <c r="N6228" s="24" t="str" cm="1">
        <f t="array" ref="N6228">IFERROR(IF($B6228=N$1, ($A6228+$C6228) - MAX(IF($B$2:$B6227=$B6228, $A$2:$A6227+$C$2:$C6227)), "")*24*60, "")</f>
        <v/>
      </c>
      <c r="O6228" s="24" t="str" cm="1">
        <f t="array" ref="O6228">IFERROR(IF($B6228=O$1, ($A6228+$C6228) - MAX(IF($B$2:$B6227=$B6228, $A$2:$A6227+$C$2:$C6227)), "")*24*60, "")</f>
        <v/>
      </c>
      <c r="P6228" s="24" t="str" cm="1">
        <f t="array" ref="P6228">IFERROR(IF($B6228=P$1, ($A6228+$C6228) - MAX(IF($B$2:$B6227=$B6228, $A$2:$A6227+$C$2:$C6227)), "")*24*60, "")</f>
        <v/>
      </c>
      <c r="Q6228" s="24" t="str" cm="1">
        <f t="array" ref="Q6228">IFERROR(IF($B6228=Q$1, ($A6228+$C6228) - MAX(IF($B$2:$B6227=$B6228, $A$2:$A6227+$C$2:$C6227)), "")*24*60, "")</f>
        <v/>
      </c>
      <c r="R6228" s="24" t="str" cm="1">
        <f t="array" ref="R6228">IFERROR(IF($B6228=R$1, ($A6228+$C6228) - MAX(IF($B$2:$B6227=$B6228, $A$2:$A6227+$C$2:$C6227)), "")*24*60, "")</f>
        <v/>
      </c>
      <c r="S6228" s="24" t="str" cm="1">
        <f t="array" ref="S6228">IFERROR(IF($B6228=S$1, ($A6228+$C6228) - MAX(IF($B$2:$B6227=$B6228, $A$2:$A6227+$C$2:$C6227)), "")*24*60, "")</f>
        <v/>
      </c>
    </row>
    <row r="6229" spans="1:19" x14ac:dyDescent="0.2">
      <c r="A6229" s="12">
        <f t="shared" ref="A6229:C6229" si="1207">A6228</f>
        <v>45988</v>
      </c>
      <c r="B6229" s="5" t="str">
        <f t="shared" si="1207"/>
        <v>Northern Cardinal</v>
      </c>
      <c r="C6229" s="6">
        <f t="shared" si="1207"/>
        <v>0.28472222222222221</v>
      </c>
      <c r="D6229" s="5"/>
      <c r="E6229" s="5"/>
      <c r="F6229" s="5" t="s">
        <v>8</v>
      </c>
      <c r="G6229" s="15" t="s">
        <v>9</v>
      </c>
      <c r="H6229" s="24">
        <f t="shared" si="1148"/>
        <v>0</v>
      </c>
      <c r="I6229" s="24" cm="1">
        <f t="array" ref="I6229">IFERROR(IF($B6229=I$1, ($A6229+$C6229) - MAX(IF($B$2:$B6228=$B6229, $A$2:$A6228+$C$2:$C6228)), "")*24*60, "")</f>
        <v>0</v>
      </c>
      <c r="J6229" s="24" t="str" cm="1">
        <f t="array" ref="J6229">IFERROR(IF($B6229=J$1, ($A6229+$C6229) - MAX(IF($B$2:$B6228=$B6229, $A$2:$A6228+$C$2:$C6228)), "")*24*60, "")</f>
        <v/>
      </c>
      <c r="K6229" s="24" t="str" cm="1">
        <f t="array" ref="K6229">IFERROR(IF($B6229=K$1, ($A6229+$C6229) - MAX(IF($B$2:$B6228=$B6229, $A$2:$A6228+$C$2:$C6228)), "")*24*60, "")</f>
        <v/>
      </c>
      <c r="L6229" s="24" t="str" cm="1">
        <f t="array" ref="L6229">IFERROR(IF($B6229=L$1, ($A6229+$C6229) - MAX(IF($B$2:$B6228=$B6229, $A$2:$A6228+$C$2:$C6228)), "")*24*60, "")</f>
        <v/>
      </c>
      <c r="M6229" s="24" t="str" cm="1">
        <f t="array" ref="M6229">IFERROR(IF($B6229=M$1, ($A6229+$C6229) - MAX(IF($B$2:$B6228=$B6229, $A$2:$A6228+$C$2:$C6228)), "")*24*60, "")</f>
        <v/>
      </c>
      <c r="N6229" s="24" t="str" cm="1">
        <f t="array" ref="N6229">IFERROR(IF($B6229=N$1, ($A6229+$C6229) - MAX(IF($B$2:$B6228=$B6229, $A$2:$A6228+$C$2:$C6228)), "")*24*60, "")</f>
        <v/>
      </c>
      <c r="O6229" s="24" t="str" cm="1">
        <f t="array" ref="O6229">IFERROR(IF($B6229=O$1, ($A6229+$C6229) - MAX(IF($B$2:$B6228=$B6229, $A$2:$A6228+$C$2:$C6228)), "")*24*60, "")</f>
        <v/>
      </c>
      <c r="P6229" s="24" t="str" cm="1">
        <f t="array" ref="P6229">IFERROR(IF($B6229=P$1, ($A6229+$C6229) - MAX(IF($B$2:$B6228=$B6229, $A$2:$A6228+$C$2:$C6228)), "")*24*60, "")</f>
        <v/>
      </c>
      <c r="Q6229" s="24" t="str" cm="1">
        <f t="array" ref="Q6229">IFERROR(IF($B6229=Q$1, ($A6229+$C6229) - MAX(IF($B$2:$B6228=$B6229, $A$2:$A6228+$C$2:$C6228)), "")*24*60, "")</f>
        <v/>
      </c>
      <c r="R6229" s="24" t="str" cm="1">
        <f t="array" ref="R6229">IFERROR(IF($B6229=R$1, ($A6229+$C6229) - MAX(IF($B$2:$B6228=$B6229, $A$2:$A6228+$C$2:$C6228)), "")*24*60, "")</f>
        <v/>
      </c>
      <c r="S6229" s="24" t="str" cm="1">
        <f t="array" ref="S6229">IFERROR(IF($B6229=S$1, ($A6229+$C6229) - MAX(IF($B$2:$B6228=$B6229, $A$2:$A6228+$C$2:$C6228)), "")*24*60, "")</f>
        <v/>
      </c>
    </row>
    <row r="6230" spans="1:19" x14ac:dyDescent="0.2">
      <c r="A6230" s="12">
        <f t="shared" ref="A6230:C6230" si="1208">A6229</f>
        <v>45988</v>
      </c>
      <c r="B6230" s="5" t="str">
        <f t="shared" si="1208"/>
        <v>Northern Cardinal</v>
      </c>
      <c r="C6230" s="6">
        <f t="shared" si="1208"/>
        <v>0.28472222222222221</v>
      </c>
      <c r="D6230" s="5"/>
      <c r="E6230" s="5"/>
      <c r="F6230" s="5" t="s">
        <v>8</v>
      </c>
      <c r="G6230" s="15" t="s">
        <v>9</v>
      </c>
      <c r="H6230" s="24">
        <f t="shared" si="1148"/>
        <v>0</v>
      </c>
      <c r="I6230" s="24" cm="1">
        <f t="array" ref="I6230">IFERROR(IF($B6230=I$1, ($A6230+$C6230) - MAX(IF($B$2:$B6229=$B6230, $A$2:$A6229+$C$2:$C6229)), "")*24*60, "")</f>
        <v>0</v>
      </c>
      <c r="J6230" s="24" t="str" cm="1">
        <f t="array" ref="J6230">IFERROR(IF($B6230=J$1, ($A6230+$C6230) - MAX(IF($B$2:$B6229=$B6230, $A$2:$A6229+$C$2:$C6229)), "")*24*60, "")</f>
        <v/>
      </c>
      <c r="K6230" s="24" t="str" cm="1">
        <f t="array" ref="K6230">IFERROR(IF($B6230=K$1, ($A6230+$C6230) - MAX(IF($B$2:$B6229=$B6230, $A$2:$A6229+$C$2:$C6229)), "")*24*60, "")</f>
        <v/>
      </c>
      <c r="L6230" s="24" t="str" cm="1">
        <f t="array" ref="L6230">IFERROR(IF($B6230=L$1, ($A6230+$C6230) - MAX(IF($B$2:$B6229=$B6230, $A$2:$A6229+$C$2:$C6229)), "")*24*60, "")</f>
        <v/>
      </c>
      <c r="M6230" s="24" t="str" cm="1">
        <f t="array" ref="M6230">IFERROR(IF($B6230=M$1, ($A6230+$C6230) - MAX(IF($B$2:$B6229=$B6230, $A$2:$A6229+$C$2:$C6229)), "")*24*60, "")</f>
        <v/>
      </c>
      <c r="N6230" s="24" t="str" cm="1">
        <f t="array" ref="N6230">IFERROR(IF($B6230=N$1, ($A6230+$C6230) - MAX(IF($B$2:$B6229=$B6230, $A$2:$A6229+$C$2:$C6229)), "")*24*60, "")</f>
        <v/>
      </c>
      <c r="O6230" s="24" t="str" cm="1">
        <f t="array" ref="O6230">IFERROR(IF($B6230=O$1, ($A6230+$C6230) - MAX(IF($B$2:$B6229=$B6230, $A$2:$A6229+$C$2:$C6229)), "")*24*60, "")</f>
        <v/>
      </c>
      <c r="P6230" s="24" t="str" cm="1">
        <f t="array" ref="P6230">IFERROR(IF($B6230=P$1, ($A6230+$C6230) - MAX(IF($B$2:$B6229=$B6230, $A$2:$A6229+$C$2:$C6229)), "")*24*60, "")</f>
        <v/>
      </c>
      <c r="Q6230" s="24" t="str" cm="1">
        <f t="array" ref="Q6230">IFERROR(IF($B6230=Q$1, ($A6230+$C6230) - MAX(IF($B$2:$B6229=$B6230, $A$2:$A6229+$C$2:$C6229)), "")*24*60, "")</f>
        <v/>
      </c>
      <c r="R6230" s="24" t="str" cm="1">
        <f t="array" ref="R6230">IFERROR(IF($B6230=R$1, ($A6230+$C6230) - MAX(IF($B$2:$B6229=$B6230, $A$2:$A6229+$C$2:$C6229)), "")*24*60, "")</f>
        <v/>
      </c>
      <c r="S6230" s="24" t="str" cm="1">
        <f t="array" ref="S6230">IFERROR(IF($B6230=S$1, ($A6230+$C6230) - MAX(IF($B$2:$B6229=$B6230, $A$2:$A6229+$C$2:$C6229)), "")*24*60, "")</f>
        <v/>
      </c>
    </row>
    <row r="6231" spans="1:19" x14ac:dyDescent="0.2">
      <c r="A6231" s="12">
        <f t="shared" ref="A6231:C6231" si="1209">A6230</f>
        <v>45988</v>
      </c>
      <c r="B6231" s="5" t="str">
        <f t="shared" si="1209"/>
        <v>Northern Cardinal</v>
      </c>
      <c r="C6231" s="6">
        <f t="shared" si="1209"/>
        <v>0.28472222222222221</v>
      </c>
      <c r="D6231" s="5"/>
      <c r="E6231" s="5"/>
      <c r="F6231" s="5" t="s">
        <v>8</v>
      </c>
      <c r="G6231" s="15" t="s">
        <v>9</v>
      </c>
      <c r="H6231" s="24">
        <f t="shared" si="1148"/>
        <v>0</v>
      </c>
      <c r="I6231" s="24" cm="1">
        <f t="array" ref="I6231">IFERROR(IF($B6231=I$1, ($A6231+$C6231) - MAX(IF($B$2:$B6230=$B6231, $A$2:$A6230+$C$2:$C6230)), "")*24*60, "")</f>
        <v>0</v>
      </c>
      <c r="J6231" s="24" t="str" cm="1">
        <f t="array" ref="J6231">IFERROR(IF($B6231=J$1, ($A6231+$C6231) - MAX(IF($B$2:$B6230=$B6231, $A$2:$A6230+$C$2:$C6230)), "")*24*60, "")</f>
        <v/>
      </c>
      <c r="K6231" s="24" t="str" cm="1">
        <f t="array" ref="K6231">IFERROR(IF($B6231=K$1, ($A6231+$C6231) - MAX(IF($B$2:$B6230=$B6231, $A$2:$A6230+$C$2:$C6230)), "")*24*60, "")</f>
        <v/>
      </c>
      <c r="L6231" s="24" t="str" cm="1">
        <f t="array" ref="L6231">IFERROR(IF($B6231=L$1, ($A6231+$C6231) - MAX(IF($B$2:$B6230=$B6231, $A$2:$A6230+$C$2:$C6230)), "")*24*60, "")</f>
        <v/>
      </c>
      <c r="M6231" s="24" t="str" cm="1">
        <f t="array" ref="M6231">IFERROR(IF($B6231=M$1, ($A6231+$C6231) - MAX(IF($B$2:$B6230=$B6231, $A$2:$A6230+$C$2:$C6230)), "")*24*60, "")</f>
        <v/>
      </c>
      <c r="N6231" s="24" t="str" cm="1">
        <f t="array" ref="N6231">IFERROR(IF($B6231=N$1, ($A6231+$C6231) - MAX(IF($B$2:$B6230=$B6231, $A$2:$A6230+$C$2:$C6230)), "")*24*60, "")</f>
        <v/>
      </c>
      <c r="O6231" s="24" t="str" cm="1">
        <f t="array" ref="O6231">IFERROR(IF($B6231=O$1, ($A6231+$C6231) - MAX(IF($B$2:$B6230=$B6231, $A$2:$A6230+$C$2:$C6230)), "")*24*60, "")</f>
        <v/>
      </c>
      <c r="P6231" s="24" t="str" cm="1">
        <f t="array" ref="P6231">IFERROR(IF($B6231=P$1, ($A6231+$C6231) - MAX(IF($B$2:$B6230=$B6231, $A$2:$A6230+$C$2:$C6230)), "")*24*60, "")</f>
        <v/>
      </c>
      <c r="Q6231" s="24" t="str" cm="1">
        <f t="array" ref="Q6231">IFERROR(IF($B6231=Q$1, ($A6231+$C6231) - MAX(IF($B$2:$B6230=$B6231, $A$2:$A6230+$C$2:$C6230)), "")*24*60, "")</f>
        <v/>
      </c>
      <c r="R6231" s="24" t="str" cm="1">
        <f t="array" ref="R6231">IFERROR(IF($B6231=R$1, ($A6231+$C6231) - MAX(IF($B$2:$B6230=$B6231, $A$2:$A6230+$C$2:$C6230)), "")*24*60, "")</f>
        <v/>
      </c>
      <c r="S6231" s="24" t="str" cm="1">
        <f t="array" ref="S6231">IFERROR(IF($B6231=S$1, ($A6231+$C6231) - MAX(IF($B$2:$B6230=$B6231, $A$2:$A6230+$C$2:$C6230)), "")*24*60, "")</f>
        <v/>
      </c>
    </row>
    <row r="6232" spans="1:19" x14ac:dyDescent="0.2">
      <c r="A6232" s="12">
        <f t="shared" ref="A6232:C6232" si="1210">A6231</f>
        <v>45988</v>
      </c>
      <c r="B6232" s="5" t="str">
        <f t="shared" si="1210"/>
        <v>Northern Cardinal</v>
      </c>
      <c r="C6232" s="6">
        <f t="shared" si="1210"/>
        <v>0.28472222222222221</v>
      </c>
      <c r="D6232" s="5"/>
      <c r="E6232" s="5"/>
      <c r="F6232" s="5" t="s">
        <v>8</v>
      </c>
      <c r="G6232" s="15" t="s">
        <v>9</v>
      </c>
      <c r="H6232" s="24">
        <f t="shared" si="1148"/>
        <v>0</v>
      </c>
      <c r="I6232" s="24" cm="1">
        <f t="array" ref="I6232">IFERROR(IF($B6232=I$1, ($A6232+$C6232) - MAX(IF($B$2:$B6231=$B6232, $A$2:$A6231+$C$2:$C6231)), "")*24*60, "")</f>
        <v>0</v>
      </c>
      <c r="J6232" s="24" t="str" cm="1">
        <f t="array" ref="J6232">IFERROR(IF($B6232=J$1, ($A6232+$C6232) - MAX(IF($B$2:$B6231=$B6232, $A$2:$A6231+$C$2:$C6231)), "")*24*60, "")</f>
        <v/>
      </c>
      <c r="K6232" s="24" t="str" cm="1">
        <f t="array" ref="K6232">IFERROR(IF($B6232=K$1, ($A6232+$C6232) - MAX(IF($B$2:$B6231=$B6232, $A$2:$A6231+$C$2:$C6231)), "")*24*60, "")</f>
        <v/>
      </c>
      <c r="L6232" s="24" t="str" cm="1">
        <f t="array" ref="L6232">IFERROR(IF($B6232=L$1, ($A6232+$C6232) - MAX(IF($B$2:$B6231=$B6232, $A$2:$A6231+$C$2:$C6231)), "")*24*60, "")</f>
        <v/>
      </c>
      <c r="M6232" s="24" t="str" cm="1">
        <f t="array" ref="M6232">IFERROR(IF($B6232=M$1, ($A6232+$C6232) - MAX(IF($B$2:$B6231=$B6232, $A$2:$A6231+$C$2:$C6231)), "")*24*60, "")</f>
        <v/>
      </c>
      <c r="N6232" s="24" t="str" cm="1">
        <f t="array" ref="N6232">IFERROR(IF($B6232=N$1, ($A6232+$C6232) - MAX(IF($B$2:$B6231=$B6232, $A$2:$A6231+$C$2:$C6231)), "")*24*60, "")</f>
        <v/>
      </c>
      <c r="O6232" s="24" t="str" cm="1">
        <f t="array" ref="O6232">IFERROR(IF($B6232=O$1, ($A6232+$C6232) - MAX(IF($B$2:$B6231=$B6232, $A$2:$A6231+$C$2:$C6231)), "")*24*60, "")</f>
        <v/>
      </c>
      <c r="P6232" s="24" t="str" cm="1">
        <f t="array" ref="P6232">IFERROR(IF($B6232=P$1, ($A6232+$C6232) - MAX(IF($B$2:$B6231=$B6232, $A$2:$A6231+$C$2:$C6231)), "")*24*60, "")</f>
        <v/>
      </c>
      <c r="Q6232" s="24" t="str" cm="1">
        <f t="array" ref="Q6232">IFERROR(IF($B6232=Q$1, ($A6232+$C6232) - MAX(IF($B$2:$B6231=$B6232, $A$2:$A6231+$C$2:$C6231)), "")*24*60, "")</f>
        <v/>
      </c>
      <c r="R6232" s="24" t="str" cm="1">
        <f t="array" ref="R6232">IFERROR(IF($B6232=R$1, ($A6232+$C6232) - MAX(IF($B$2:$B6231=$B6232, $A$2:$A6231+$C$2:$C6231)), "")*24*60, "")</f>
        <v/>
      </c>
      <c r="S6232" s="24" t="str" cm="1">
        <f t="array" ref="S6232">IFERROR(IF($B6232=S$1, ($A6232+$C6232) - MAX(IF($B$2:$B6231=$B6232, $A$2:$A6231+$C$2:$C6231)), "")*24*60, "")</f>
        <v/>
      </c>
    </row>
    <row r="6233" spans="1:19" x14ac:dyDescent="0.2">
      <c r="A6233" s="12">
        <f t="shared" ref="A6233:C6233" si="1211">A6232</f>
        <v>45988</v>
      </c>
      <c r="B6233" s="5" t="str">
        <f t="shared" si="1211"/>
        <v>Northern Cardinal</v>
      </c>
      <c r="C6233" s="6">
        <f t="shared" si="1211"/>
        <v>0.28472222222222221</v>
      </c>
      <c r="D6233" s="5"/>
      <c r="E6233" s="5"/>
      <c r="F6233" s="5" t="s">
        <v>8</v>
      </c>
      <c r="G6233" s="15" t="s">
        <v>9</v>
      </c>
      <c r="H6233" s="24">
        <f t="shared" si="1148"/>
        <v>0</v>
      </c>
      <c r="I6233" s="24" cm="1">
        <f t="array" ref="I6233">IFERROR(IF($B6233=I$1, ($A6233+$C6233) - MAX(IF($B$2:$B6232=$B6233, $A$2:$A6232+$C$2:$C6232)), "")*24*60, "")</f>
        <v>0</v>
      </c>
      <c r="J6233" s="24" t="str" cm="1">
        <f t="array" ref="J6233">IFERROR(IF($B6233=J$1, ($A6233+$C6233) - MAX(IF($B$2:$B6232=$B6233, $A$2:$A6232+$C$2:$C6232)), "")*24*60, "")</f>
        <v/>
      </c>
      <c r="K6233" s="24" t="str" cm="1">
        <f t="array" ref="K6233">IFERROR(IF($B6233=K$1, ($A6233+$C6233) - MAX(IF($B$2:$B6232=$B6233, $A$2:$A6232+$C$2:$C6232)), "")*24*60, "")</f>
        <v/>
      </c>
      <c r="L6233" s="24" t="str" cm="1">
        <f t="array" ref="L6233">IFERROR(IF($B6233=L$1, ($A6233+$C6233) - MAX(IF($B$2:$B6232=$B6233, $A$2:$A6232+$C$2:$C6232)), "")*24*60, "")</f>
        <v/>
      </c>
      <c r="M6233" s="24" t="str" cm="1">
        <f t="array" ref="M6233">IFERROR(IF($B6233=M$1, ($A6233+$C6233) - MAX(IF($B$2:$B6232=$B6233, $A$2:$A6232+$C$2:$C6232)), "")*24*60, "")</f>
        <v/>
      </c>
      <c r="N6233" s="24" t="str" cm="1">
        <f t="array" ref="N6233">IFERROR(IF($B6233=N$1, ($A6233+$C6233) - MAX(IF($B$2:$B6232=$B6233, $A$2:$A6232+$C$2:$C6232)), "")*24*60, "")</f>
        <v/>
      </c>
      <c r="O6233" s="24" t="str" cm="1">
        <f t="array" ref="O6233">IFERROR(IF($B6233=O$1, ($A6233+$C6233) - MAX(IF($B$2:$B6232=$B6233, $A$2:$A6232+$C$2:$C6232)), "")*24*60, "")</f>
        <v/>
      </c>
      <c r="P6233" s="24" t="str" cm="1">
        <f t="array" ref="P6233">IFERROR(IF($B6233=P$1, ($A6233+$C6233) - MAX(IF($B$2:$B6232=$B6233, $A$2:$A6232+$C$2:$C6232)), "")*24*60, "")</f>
        <v/>
      </c>
      <c r="Q6233" s="24" t="str" cm="1">
        <f t="array" ref="Q6233">IFERROR(IF($B6233=Q$1, ($A6233+$C6233) - MAX(IF($B$2:$B6232=$B6233, $A$2:$A6232+$C$2:$C6232)), "")*24*60, "")</f>
        <v/>
      </c>
      <c r="R6233" s="24" t="str" cm="1">
        <f t="array" ref="R6233">IFERROR(IF($B6233=R$1, ($A6233+$C6233) - MAX(IF($B$2:$B6232=$B6233, $A$2:$A6232+$C$2:$C6232)), "")*24*60, "")</f>
        <v/>
      </c>
      <c r="S6233" s="24" t="str" cm="1">
        <f t="array" ref="S6233">IFERROR(IF($B6233=S$1, ($A6233+$C6233) - MAX(IF($B$2:$B6232=$B6233, $A$2:$A6232+$C$2:$C6232)), "")*24*60, "")</f>
        <v/>
      </c>
    </row>
    <row r="6234" spans="1:19" x14ac:dyDescent="0.2">
      <c r="A6234" s="12">
        <f t="shared" ref="A6234:C6234" si="1212">A6233</f>
        <v>45988</v>
      </c>
      <c r="B6234" s="5" t="str">
        <f t="shared" si="1212"/>
        <v>Northern Cardinal</v>
      </c>
      <c r="C6234" s="6">
        <f t="shared" si="1212"/>
        <v>0.28472222222222221</v>
      </c>
      <c r="D6234" s="5"/>
      <c r="E6234" s="5"/>
      <c r="F6234" s="5" t="s">
        <v>8</v>
      </c>
      <c r="G6234" s="15" t="s">
        <v>9</v>
      </c>
      <c r="H6234" s="24">
        <f t="shared" ref="H6234:H6297" si="1213">IFERROR((($A6234+$C6234) - ($A6233+$C6233))*24*60, "")</f>
        <v>0</v>
      </c>
      <c r="I6234" s="24" cm="1">
        <f t="array" ref="I6234">IFERROR(IF($B6234=I$1, ($A6234+$C6234) - MAX(IF($B$2:$B6233=$B6234, $A$2:$A6233+$C$2:$C6233)), "")*24*60, "")</f>
        <v>0</v>
      </c>
      <c r="J6234" s="24" t="str" cm="1">
        <f t="array" ref="J6234">IFERROR(IF($B6234=J$1, ($A6234+$C6234) - MAX(IF($B$2:$B6233=$B6234, $A$2:$A6233+$C$2:$C6233)), "")*24*60, "")</f>
        <v/>
      </c>
      <c r="K6234" s="24" t="str" cm="1">
        <f t="array" ref="K6234">IFERROR(IF($B6234=K$1, ($A6234+$C6234) - MAX(IF($B$2:$B6233=$B6234, $A$2:$A6233+$C$2:$C6233)), "")*24*60, "")</f>
        <v/>
      </c>
      <c r="L6234" s="24" t="str" cm="1">
        <f t="array" ref="L6234">IFERROR(IF($B6234=L$1, ($A6234+$C6234) - MAX(IF($B$2:$B6233=$B6234, $A$2:$A6233+$C$2:$C6233)), "")*24*60, "")</f>
        <v/>
      </c>
      <c r="M6234" s="24" t="str" cm="1">
        <f t="array" ref="M6234">IFERROR(IF($B6234=M$1, ($A6234+$C6234) - MAX(IF($B$2:$B6233=$B6234, $A$2:$A6233+$C$2:$C6233)), "")*24*60, "")</f>
        <v/>
      </c>
      <c r="N6234" s="24" t="str" cm="1">
        <f t="array" ref="N6234">IFERROR(IF($B6234=N$1, ($A6234+$C6234) - MAX(IF($B$2:$B6233=$B6234, $A$2:$A6233+$C$2:$C6233)), "")*24*60, "")</f>
        <v/>
      </c>
      <c r="O6234" s="24" t="str" cm="1">
        <f t="array" ref="O6234">IFERROR(IF($B6234=O$1, ($A6234+$C6234) - MAX(IF($B$2:$B6233=$B6234, $A$2:$A6233+$C$2:$C6233)), "")*24*60, "")</f>
        <v/>
      </c>
      <c r="P6234" s="24" t="str" cm="1">
        <f t="array" ref="P6234">IFERROR(IF($B6234=P$1, ($A6234+$C6234) - MAX(IF($B$2:$B6233=$B6234, $A$2:$A6233+$C$2:$C6233)), "")*24*60, "")</f>
        <v/>
      </c>
      <c r="Q6234" s="24" t="str" cm="1">
        <f t="array" ref="Q6234">IFERROR(IF($B6234=Q$1, ($A6234+$C6234) - MAX(IF($B$2:$B6233=$B6234, $A$2:$A6233+$C$2:$C6233)), "")*24*60, "")</f>
        <v/>
      </c>
      <c r="R6234" s="24" t="str" cm="1">
        <f t="array" ref="R6234">IFERROR(IF($B6234=R$1, ($A6234+$C6234) - MAX(IF($B$2:$B6233=$B6234, $A$2:$A6233+$C$2:$C6233)), "")*24*60, "")</f>
        <v/>
      </c>
      <c r="S6234" s="24" t="str" cm="1">
        <f t="array" ref="S6234">IFERROR(IF($B6234=S$1, ($A6234+$C6234) - MAX(IF($B$2:$B6233=$B6234, $A$2:$A6233+$C$2:$C6233)), "")*24*60, "")</f>
        <v/>
      </c>
    </row>
    <row r="6235" spans="1:19" x14ac:dyDescent="0.2">
      <c r="A6235" s="12">
        <f t="shared" ref="A6235:C6235" si="1214">A6234</f>
        <v>45988</v>
      </c>
      <c r="B6235" s="5" t="str">
        <f t="shared" si="1214"/>
        <v>Northern Cardinal</v>
      </c>
      <c r="C6235" s="6">
        <f t="shared" si="1214"/>
        <v>0.28472222222222221</v>
      </c>
      <c r="D6235" s="5"/>
      <c r="E6235" s="5"/>
      <c r="F6235" s="5" t="s">
        <v>8</v>
      </c>
      <c r="G6235" s="15" t="s">
        <v>9</v>
      </c>
      <c r="H6235" s="24">
        <f t="shared" si="1213"/>
        <v>0</v>
      </c>
      <c r="I6235" s="24" cm="1">
        <f t="array" ref="I6235">IFERROR(IF($B6235=I$1, ($A6235+$C6235) - MAX(IF($B$2:$B6234=$B6235, $A$2:$A6234+$C$2:$C6234)), "")*24*60, "")</f>
        <v>0</v>
      </c>
      <c r="J6235" s="24" t="str" cm="1">
        <f t="array" ref="J6235">IFERROR(IF($B6235=J$1, ($A6235+$C6235) - MAX(IF($B$2:$B6234=$B6235, $A$2:$A6234+$C$2:$C6234)), "")*24*60, "")</f>
        <v/>
      </c>
      <c r="K6235" s="24" t="str" cm="1">
        <f t="array" ref="K6235">IFERROR(IF($B6235=K$1, ($A6235+$C6235) - MAX(IF($B$2:$B6234=$B6235, $A$2:$A6234+$C$2:$C6234)), "")*24*60, "")</f>
        <v/>
      </c>
      <c r="L6235" s="24" t="str" cm="1">
        <f t="array" ref="L6235">IFERROR(IF($B6235=L$1, ($A6235+$C6235) - MAX(IF($B$2:$B6234=$B6235, $A$2:$A6234+$C$2:$C6234)), "")*24*60, "")</f>
        <v/>
      </c>
      <c r="M6235" s="24" t="str" cm="1">
        <f t="array" ref="M6235">IFERROR(IF($B6235=M$1, ($A6235+$C6235) - MAX(IF($B$2:$B6234=$B6235, $A$2:$A6234+$C$2:$C6234)), "")*24*60, "")</f>
        <v/>
      </c>
      <c r="N6235" s="24" t="str" cm="1">
        <f t="array" ref="N6235">IFERROR(IF($B6235=N$1, ($A6235+$C6235) - MAX(IF($B$2:$B6234=$B6235, $A$2:$A6234+$C$2:$C6234)), "")*24*60, "")</f>
        <v/>
      </c>
      <c r="O6235" s="24" t="str" cm="1">
        <f t="array" ref="O6235">IFERROR(IF($B6235=O$1, ($A6235+$C6235) - MAX(IF($B$2:$B6234=$B6235, $A$2:$A6234+$C$2:$C6234)), "")*24*60, "")</f>
        <v/>
      </c>
      <c r="P6235" s="24" t="str" cm="1">
        <f t="array" ref="P6235">IFERROR(IF($B6235=P$1, ($A6235+$C6235) - MAX(IF($B$2:$B6234=$B6235, $A$2:$A6234+$C$2:$C6234)), "")*24*60, "")</f>
        <v/>
      </c>
      <c r="Q6235" s="24" t="str" cm="1">
        <f t="array" ref="Q6235">IFERROR(IF($B6235=Q$1, ($A6235+$C6235) - MAX(IF($B$2:$B6234=$B6235, $A$2:$A6234+$C$2:$C6234)), "")*24*60, "")</f>
        <v/>
      </c>
      <c r="R6235" s="24" t="str" cm="1">
        <f t="array" ref="R6235">IFERROR(IF($B6235=R$1, ($A6235+$C6235) - MAX(IF($B$2:$B6234=$B6235, $A$2:$A6234+$C$2:$C6234)), "")*24*60, "")</f>
        <v/>
      </c>
      <c r="S6235" s="24" t="str" cm="1">
        <f t="array" ref="S6235">IFERROR(IF($B6235=S$1, ($A6235+$C6235) - MAX(IF($B$2:$B6234=$B6235, $A$2:$A6234+$C$2:$C6234)), "")*24*60, "")</f>
        <v/>
      </c>
    </row>
    <row r="6236" spans="1:19" x14ac:dyDescent="0.2">
      <c r="A6236" s="12">
        <f t="shared" ref="A6236:C6236" si="1215">A6235</f>
        <v>45988</v>
      </c>
      <c r="B6236" s="5" t="str">
        <f t="shared" si="1215"/>
        <v>Northern Cardinal</v>
      </c>
      <c r="C6236" s="6">
        <f t="shared" si="1215"/>
        <v>0.28472222222222221</v>
      </c>
      <c r="D6236" s="5"/>
      <c r="E6236" s="5"/>
      <c r="F6236" s="5" t="s">
        <v>8</v>
      </c>
      <c r="G6236" s="15" t="s">
        <v>9</v>
      </c>
      <c r="H6236" s="24">
        <f t="shared" si="1213"/>
        <v>0</v>
      </c>
      <c r="I6236" s="24" cm="1">
        <f t="array" ref="I6236">IFERROR(IF($B6236=I$1, ($A6236+$C6236) - MAX(IF($B$2:$B6235=$B6236, $A$2:$A6235+$C$2:$C6235)), "")*24*60, "")</f>
        <v>0</v>
      </c>
      <c r="J6236" s="24" t="str" cm="1">
        <f t="array" ref="J6236">IFERROR(IF($B6236=J$1, ($A6236+$C6236) - MAX(IF($B$2:$B6235=$B6236, $A$2:$A6235+$C$2:$C6235)), "")*24*60, "")</f>
        <v/>
      </c>
      <c r="K6236" s="24" t="str" cm="1">
        <f t="array" ref="K6236">IFERROR(IF($B6236=K$1, ($A6236+$C6236) - MAX(IF($B$2:$B6235=$B6236, $A$2:$A6235+$C$2:$C6235)), "")*24*60, "")</f>
        <v/>
      </c>
      <c r="L6236" s="24" t="str" cm="1">
        <f t="array" ref="L6236">IFERROR(IF($B6236=L$1, ($A6236+$C6236) - MAX(IF($B$2:$B6235=$B6236, $A$2:$A6235+$C$2:$C6235)), "")*24*60, "")</f>
        <v/>
      </c>
      <c r="M6236" s="24" t="str" cm="1">
        <f t="array" ref="M6236">IFERROR(IF($B6236=M$1, ($A6236+$C6236) - MAX(IF($B$2:$B6235=$B6236, $A$2:$A6235+$C$2:$C6235)), "")*24*60, "")</f>
        <v/>
      </c>
      <c r="N6236" s="24" t="str" cm="1">
        <f t="array" ref="N6236">IFERROR(IF($B6236=N$1, ($A6236+$C6236) - MAX(IF($B$2:$B6235=$B6236, $A$2:$A6235+$C$2:$C6235)), "")*24*60, "")</f>
        <v/>
      </c>
      <c r="O6236" s="24" t="str" cm="1">
        <f t="array" ref="O6236">IFERROR(IF($B6236=O$1, ($A6236+$C6236) - MAX(IF($B$2:$B6235=$B6236, $A$2:$A6235+$C$2:$C6235)), "")*24*60, "")</f>
        <v/>
      </c>
      <c r="P6236" s="24" t="str" cm="1">
        <f t="array" ref="P6236">IFERROR(IF($B6236=P$1, ($A6236+$C6236) - MAX(IF($B$2:$B6235=$B6236, $A$2:$A6235+$C$2:$C6235)), "")*24*60, "")</f>
        <v/>
      </c>
      <c r="Q6236" s="24" t="str" cm="1">
        <f t="array" ref="Q6236">IFERROR(IF($B6236=Q$1, ($A6236+$C6236) - MAX(IF($B$2:$B6235=$B6236, $A$2:$A6235+$C$2:$C6235)), "")*24*60, "")</f>
        <v/>
      </c>
      <c r="R6236" s="24" t="str" cm="1">
        <f t="array" ref="R6236">IFERROR(IF($B6236=R$1, ($A6236+$C6236) - MAX(IF($B$2:$B6235=$B6236, $A$2:$A6235+$C$2:$C6235)), "")*24*60, "")</f>
        <v/>
      </c>
      <c r="S6236" s="24" t="str" cm="1">
        <f t="array" ref="S6236">IFERROR(IF($B6236=S$1, ($A6236+$C6236) - MAX(IF($B$2:$B6235=$B6236, $A$2:$A6235+$C$2:$C6235)), "")*24*60, "")</f>
        <v/>
      </c>
    </row>
    <row r="6237" spans="1:19" x14ac:dyDescent="0.2">
      <c r="A6237" s="12">
        <f t="shared" ref="A6237:C6237" si="1216">A6236</f>
        <v>45988</v>
      </c>
      <c r="B6237" s="5" t="str">
        <f t="shared" si="1216"/>
        <v>Northern Cardinal</v>
      </c>
      <c r="C6237" s="6">
        <f t="shared" si="1216"/>
        <v>0.28472222222222221</v>
      </c>
      <c r="D6237" s="5"/>
      <c r="E6237" s="5"/>
      <c r="F6237" s="5" t="s">
        <v>8</v>
      </c>
      <c r="G6237" s="15" t="s">
        <v>9</v>
      </c>
      <c r="H6237" s="24">
        <f t="shared" si="1213"/>
        <v>0</v>
      </c>
      <c r="I6237" s="24" cm="1">
        <f t="array" ref="I6237">IFERROR(IF($B6237=I$1, ($A6237+$C6237) - MAX(IF($B$2:$B6236=$B6237, $A$2:$A6236+$C$2:$C6236)), "")*24*60, "")</f>
        <v>0</v>
      </c>
      <c r="J6237" s="24" t="str" cm="1">
        <f t="array" ref="J6237">IFERROR(IF($B6237=J$1, ($A6237+$C6237) - MAX(IF($B$2:$B6236=$B6237, $A$2:$A6236+$C$2:$C6236)), "")*24*60, "")</f>
        <v/>
      </c>
      <c r="K6237" s="24" t="str" cm="1">
        <f t="array" ref="K6237">IFERROR(IF($B6237=K$1, ($A6237+$C6237) - MAX(IF($B$2:$B6236=$B6237, $A$2:$A6236+$C$2:$C6236)), "")*24*60, "")</f>
        <v/>
      </c>
      <c r="L6237" s="24" t="str" cm="1">
        <f t="array" ref="L6237">IFERROR(IF($B6237=L$1, ($A6237+$C6237) - MAX(IF($B$2:$B6236=$B6237, $A$2:$A6236+$C$2:$C6236)), "")*24*60, "")</f>
        <v/>
      </c>
      <c r="M6237" s="24" t="str" cm="1">
        <f t="array" ref="M6237">IFERROR(IF($B6237=M$1, ($A6237+$C6237) - MAX(IF($B$2:$B6236=$B6237, $A$2:$A6236+$C$2:$C6236)), "")*24*60, "")</f>
        <v/>
      </c>
      <c r="N6237" s="24" t="str" cm="1">
        <f t="array" ref="N6237">IFERROR(IF($B6237=N$1, ($A6237+$C6237) - MAX(IF($B$2:$B6236=$B6237, $A$2:$A6236+$C$2:$C6236)), "")*24*60, "")</f>
        <v/>
      </c>
      <c r="O6237" s="24" t="str" cm="1">
        <f t="array" ref="O6237">IFERROR(IF($B6237=O$1, ($A6237+$C6237) - MAX(IF($B$2:$B6236=$B6237, $A$2:$A6236+$C$2:$C6236)), "")*24*60, "")</f>
        <v/>
      </c>
      <c r="P6237" s="24" t="str" cm="1">
        <f t="array" ref="P6237">IFERROR(IF($B6237=P$1, ($A6237+$C6237) - MAX(IF($B$2:$B6236=$B6237, $A$2:$A6236+$C$2:$C6236)), "")*24*60, "")</f>
        <v/>
      </c>
      <c r="Q6237" s="24" t="str" cm="1">
        <f t="array" ref="Q6237">IFERROR(IF($B6237=Q$1, ($A6237+$C6237) - MAX(IF($B$2:$B6236=$B6237, $A$2:$A6236+$C$2:$C6236)), "")*24*60, "")</f>
        <v/>
      </c>
      <c r="R6237" s="24" t="str" cm="1">
        <f t="array" ref="R6237">IFERROR(IF($B6237=R$1, ($A6237+$C6237) - MAX(IF($B$2:$B6236=$B6237, $A$2:$A6236+$C$2:$C6236)), "")*24*60, "")</f>
        <v/>
      </c>
      <c r="S6237" s="24" t="str" cm="1">
        <f t="array" ref="S6237">IFERROR(IF($B6237=S$1, ($A6237+$C6237) - MAX(IF($B$2:$B6236=$B6237, $A$2:$A6236+$C$2:$C6236)), "")*24*60, "")</f>
        <v/>
      </c>
    </row>
    <row r="6238" spans="1:19" x14ac:dyDescent="0.2">
      <c r="A6238" s="12">
        <f t="shared" ref="A6238:C6238" si="1217">A6237</f>
        <v>45988</v>
      </c>
      <c r="B6238" s="5" t="str">
        <f t="shared" si="1217"/>
        <v>Northern Cardinal</v>
      </c>
      <c r="C6238" s="6">
        <f t="shared" si="1217"/>
        <v>0.28472222222222221</v>
      </c>
      <c r="D6238" s="5"/>
      <c r="E6238" s="5"/>
      <c r="F6238" s="5" t="s">
        <v>8</v>
      </c>
      <c r="G6238" s="15" t="s">
        <v>9</v>
      </c>
      <c r="H6238" s="24">
        <f t="shared" si="1213"/>
        <v>0</v>
      </c>
      <c r="I6238" s="24" cm="1">
        <f t="array" ref="I6238">IFERROR(IF($B6238=I$1, ($A6238+$C6238) - MAX(IF($B$2:$B6237=$B6238, $A$2:$A6237+$C$2:$C6237)), "")*24*60, "")</f>
        <v>0</v>
      </c>
      <c r="J6238" s="24" t="str" cm="1">
        <f t="array" ref="J6238">IFERROR(IF($B6238=J$1, ($A6238+$C6238) - MAX(IF($B$2:$B6237=$B6238, $A$2:$A6237+$C$2:$C6237)), "")*24*60, "")</f>
        <v/>
      </c>
      <c r="K6238" s="24" t="str" cm="1">
        <f t="array" ref="K6238">IFERROR(IF($B6238=K$1, ($A6238+$C6238) - MAX(IF($B$2:$B6237=$B6238, $A$2:$A6237+$C$2:$C6237)), "")*24*60, "")</f>
        <v/>
      </c>
      <c r="L6238" s="24" t="str" cm="1">
        <f t="array" ref="L6238">IFERROR(IF($B6238=L$1, ($A6238+$C6238) - MAX(IF($B$2:$B6237=$B6238, $A$2:$A6237+$C$2:$C6237)), "")*24*60, "")</f>
        <v/>
      </c>
      <c r="M6238" s="24" t="str" cm="1">
        <f t="array" ref="M6238">IFERROR(IF($B6238=M$1, ($A6238+$C6238) - MAX(IF($B$2:$B6237=$B6238, $A$2:$A6237+$C$2:$C6237)), "")*24*60, "")</f>
        <v/>
      </c>
      <c r="N6238" s="24" t="str" cm="1">
        <f t="array" ref="N6238">IFERROR(IF($B6238=N$1, ($A6238+$C6238) - MAX(IF($B$2:$B6237=$B6238, $A$2:$A6237+$C$2:$C6237)), "")*24*60, "")</f>
        <v/>
      </c>
      <c r="O6238" s="24" t="str" cm="1">
        <f t="array" ref="O6238">IFERROR(IF($B6238=O$1, ($A6238+$C6238) - MAX(IF($B$2:$B6237=$B6238, $A$2:$A6237+$C$2:$C6237)), "")*24*60, "")</f>
        <v/>
      </c>
      <c r="P6238" s="24" t="str" cm="1">
        <f t="array" ref="P6238">IFERROR(IF($B6238=P$1, ($A6238+$C6238) - MAX(IF($B$2:$B6237=$B6238, $A$2:$A6237+$C$2:$C6237)), "")*24*60, "")</f>
        <v/>
      </c>
      <c r="Q6238" s="24" t="str" cm="1">
        <f t="array" ref="Q6238">IFERROR(IF($B6238=Q$1, ($A6238+$C6238) - MAX(IF($B$2:$B6237=$B6238, $A$2:$A6237+$C$2:$C6237)), "")*24*60, "")</f>
        <v/>
      </c>
      <c r="R6238" s="24" t="str" cm="1">
        <f t="array" ref="R6238">IFERROR(IF($B6238=R$1, ($A6238+$C6238) - MAX(IF($B$2:$B6237=$B6238, $A$2:$A6237+$C$2:$C6237)), "")*24*60, "")</f>
        <v/>
      </c>
      <c r="S6238" s="24" t="str" cm="1">
        <f t="array" ref="S6238">IFERROR(IF($B6238=S$1, ($A6238+$C6238) - MAX(IF($B$2:$B6237=$B6238, $A$2:$A6237+$C$2:$C6237)), "")*24*60, "")</f>
        <v/>
      </c>
    </row>
    <row r="6239" spans="1:19" x14ac:dyDescent="0.2">
      <c r="A6239" s="12">
        <f t="shared" ref="A6239:C6239" si="1218">A6238</f>
        <v>45988</v>
      </c>
      <c r="B6239" s="5" t="str">
        <f t="shared" si="1218"/>
        <v>Northern Cardinal</v>
      </c>
      <c r="C6239" s="6">
        <f t="shared" si="1218"/>
        <v>0.28472222222222221</v>
      </c>
      <c r="D6239" s="5"/>
      <c r="E6239" s="5"/>
      <c r="F6239" s="5" t="s">
        <v>8</v>
      </c>
      <c r="G6239" s="15" t="s">
        <v>9</v>
      </c>
      <c r="H6239" s="24">
        <f t="shared" si="1213"/>
        <v>0</v>
      </c>
      <c r="I6239" s="24" cm="1">
        <f t="array" ref="I6239">IFERROR(IF($B6239=I$1, ($A6239+$C6239) - MAX(IF($B$2:$B6238=$B6239, $A$2:$A6238+$C$2:$C6238)), "")*24*60, "")</f>
        <v>0</v>
      </c>
      <c r="J6239" s="24" t="str" cm="1">
        <f t="array" ref="J6239">IFERROR(IF($B6239=J$1, ($A6239+$C6239) - MAX(IF($B$2:$B6238=$B6239, $A$2:$A6238+$C$2:$C6238)), "")*24*60, "")</f>
        <v/>
      </c>
      <c r="K6239" s="24" t="str" cm="1">
        <f t="array" ref="K6239">IFERROR(IF($B6239=K$1, ($A6239+$C6239) - MAX(IF($B$2:$B6238=$B6239, $A$2:$A6238+$C$2:$C6238)), "")*24*60, "")</f>
        <v/>
      </c>
      <c r="L6239" s="24" t="str" cm="1">
        <f t="array" ref="L6239">IFERROR(IF($B6239=L$1, ($A6239+$C6239) - MAX(IF($B$2:$B6238=$B6239, $A$2:$A6238+$C$2:$C6238)), "")*24*60, "")</f>
        <v/>
      </c>
      <c r="M6239" s="24" t="str" cm="1">
        <f t="array" ref="M6239">IFERROR(IF($B6239=M$1, ($A6239+$C6239) - MAX(IF($B$2:$B6238=$B6239, $A$2:$A6238+$C$2:$C6238)), "")*24*60, "")</f>
        <v/>
      </c>
      <c r="N6239" s="24" t="str" cm="1">
        <f t="array" ref="N6239">IFERROR(IF($B6239=N$1, ($A6239+$C6239) - MAX(IF($B$2:$B6238=$B6239, $A$2:$A6238+$C$2:$C6238)), "")*24*60, "")</f>
        <v/>
      </c>
      <c r="O6239" s="24" t="str" cm="1">
        <f t="array" ref="O6239">IFERROR(IF($B6239=O$1, ($A6239+$C6239) - MAX(IF($B$2:$B6238=$B6239, $A$2:$A6238+$C$2:$C6238)), "")*24*60, "")</f>
        <v/>
      </c>
      <c r="P6239" s="24" t="str" cm="1">
        <f t="array" ref="P6239">IFERROR(IF($B6239=P$1, ($A6239+$C6239) - MAX(IF($B$2:$B6238=$B6239, $A$2:$A6238+$C$2:$C6238)), "")*24*60, "")</f>
        <v/>
      </c>
      <c r="Q6239" s="24" t="str" cm="1">
        <f t="array" ref="Q6239">IFERROR(IF($B6239=Q$1, ($A6239+$C6239) - MAX(IF($B$2:$B6238=$B6239, $A$2:$A6238+$C$2:$C6238)), "")*24*60, "")</f>
        <v/>
      </c>
      <c r="R6239" s="24" t="str" cm="1">
        <f t="array" ref="R6239">IFERROR(IF($B6239=R$1, ($A6239+$C6239) - MAX(IF($B$2:$B6238=$B6239, $A$2:$A6238+$C$2:$C6238)), "")*24*60, "")</f>
        <v/>
      </c>
      <c r="S6239" s="24" t="str" cm="1">
        <f t="array" ref="S6239">IFERROR(IF($B6239=S$1, ($A6239+$C6239) - MAX(IF($B$2:$B6238=$B6239, $A$2:$A6238+$C$2:$C6238)), "")*24*60, "")</f>
        <v/>
      </c>
    </row>
    <row r="6240" spans="1:19" x14ac:dyDescent="0.2">
      <c r="A6240" s="12">
        <f t="shared" ref="A6240:C6240" si="1219">A6239</f>
        <v>45988</v>
      </c>
      <c r="B6240" s="5" t="str">
        <f t="shared" si="1219"/>
        <v>Northern Cardinal</v>
      </c>
      <c r="C6240" s="6">
        <f t="shared" si="1219"/>
        <v>0.28472222222222221</v>
      </c>
      <c r="D6240" s="5"/>
      <c r="E6240" s="5"/>
      <c r="F6240" s="5" t="s">
        <v>8</v>
      </c>
      <c r="G6240" s="15" t="s">
        <v>9</v>
      </c>
      <c r="H6240" s="24">
        <f t="shared" si="1213"/>
        <v>0</v>
      </c>
      <c r="I6240" s="24" cm="1">
        <f t="array" ref="I6240">IFERROR(IF($B6240=I$1, ($A6240+$C6240) - MAX(IF($B$2:$B6239=$B6240, $A$2:$A6239+$C$2:$C6239)), "")*24*60, "")</f>
        <v>0</v>
      </c>
      <c r="J6240" s="24" t="str" cm="1">
        <f t="array" ref="J6240">IFERROR(IF($B6240=J$1, ($A6240+$C6240) - MAX(IF($B$2:$B6239=$B6240, $A$2:$A6239+$C$2:$C6239)), "")*24*60, "")</f>
        <v/>
      </c>
      <c r="K6240" s="24" t="str" cm="1">
        <f t="array" ref="K6240">IFERROR(IF($B6240=K$1, ($A6240+$C6240) - MAX(IF($B$2:$B6239=$B6240, $A$2:$A6239+$C$2:$C6239)), "")*24*60, "")</f>
        <v/>
      </c>
      <c r="L6240" s="24" t="str" cm="1">
        <f t="array" ref="L6240">IFERROR(IF($B6240=L$1, ($A6240+$C6240) - MAX(IF($B$2:$B6239=$B6240, $A$2:$A6239+$C$2:$C6239)), "")*24*60, "")</f>
        <v/>
      </c>
      <c r="M6240" s="24" t="str" cm="1">
        <f t="array" ref="M6240">IFERROR(IF($B6240=M$1, ($A6240+$C6240) - MAX(IF($B$2:$B6239=$B6240, $A$2:$A6239+$C$2:$C6239)), "")*24*60, "")</f>
        <v/>
      </c>
      <c r="N6240" s="24" t="str" cm="1">
        <f t="array" ref="N6240">IFERROR(IF($B6240=N$1, ($A6240+$C6240) - MAX(IF($B$2:$B6239=$B6240, $A$2:$A6239+$C$2:$C6239)), "")*24*60, "")</f>
        <v/>
      </c>
      <c r="O6240" s="24" t="str" cm="1">
        <f t="array" ref="O6240">IFERROR(IF($B6240=O$1, ($A6240+$C6240) - MAX(IF($B$2:$B6239=$B6240, $A$2:$A6239+$C$2:$C6239)), "")*24*60, "")</f>
        <v/>
      </c>
      <c r="P6240" s="24" t="str" cm="1">
        <f t="array" ref="P6240">IFERROR(IF($B6240=P$1, ($A6240+$C6240) - MAX(IF($B$2:$B6239=$B6240, $A$2:$A6239+$C$2:$C6239)), "")*24*60, "")</f>
        <v/>
      </c>
      <c r="Q6240" s="24" t="str" cm="1">
        <f t="array" ref="Q6240">IFERROR(IF($B6240=Q$1, ($A6240+$C6240) - MAX(IF($B$2:$B6239=$B6240, $A$2:$A6239+$C$2:$C6239)), "")*24*60, "")</f>
        <v/>
      </c>
      <c r="R6240" s="24" t="str" cm="1">
        <f t="array" ref="R6240">IFERROR(IF($B6240=R$1, ($A6240+$C6240) - MAX(IF($B$2:$B6239=$B6240, $A$2:$A6239+$C$2:$C6239)), "")*24*60, "")</f>
        <v/>
      </c>
      <c r="S6240" s="24" t="str" cm="1">
        <f t="array" ref="S6240">IFERROR(IF($B6240=S$1, ($A6240+$C6240) - MAX(IF($B$2:$B6239=$B6240, $A$2:$A6239+$C$2:$C6239)), "")*24*60, "")</f>
        <v/>
      </c>
    </row>
    <row r="6241" spans="1:19" x14ac:dyDescent="0.2">
      <c r="A6241" s="12">
        <f t="shared" ref="A6241:C6241" si="1220">A6240</f>
        <v>45988</v>
      </c>
      <c r="B6241" s="5" t="str">
        <f t="shared" si="1220"/>
        <v>Northern Cardinal</v>
      </c>
      <c r="C6241" s="6">
        <f t="shared" si="1220"/>
        <v>0.28472222222222221</v>
      </c>
      <c r="D6241" s="5"/>
      <c r="E6241" s="5"/>
      <c r="F6241" s="5" t="s">
        <v>8</v>
      </c>
      <c r="G6241" s="15" t="s">
        <v>9</v>
      </c>
      <c r="H6241" s="24">
        <f t="shared" si="1213"/>
        <v>0</v>
      </c>
      <c r="I6241" s="24" cm="1">
        <f t="array" ref="I6241">IFERROR(IF($B6241=I$1, ($A6241+$C6241) - MAX(IF($B$2:$B6240=$B6241, $A$2:$A6240+$C$2:$C6240)), "")*24*60, "")</f>
        <v>0</v>
      </c>
      <c r="J6241" s="24" t="str" cm="1">
        <f t="array" ref="J6241">IFERROR(IF($B6241=J$1, ($A6241+$C6241) - MAX(IF($B$2:$B6240=$B6241, $A$2:$A6240+$C$2:$C6240)), "")*24*60, "")</f>
        <v/>
      </c>
      <c r="K6241" s="24" t="str" cm="1">
        <f t="array" ref="K6241">IFERROR(IF($B6241=K$1, ($A6241+$C6241) - MAX(IF($B$2:$B6240=$B6241, $A$2:$A6240+$C$2:$C6240)), "")*24*60, "")</f>
        <v/>
      </c>
      <c r="L6241" s="24" t="str" cm="1">
        <f t="array" ref="L6241">IFERROR(IF($B6241=L$1, ($A6241+$C6241) - MAX(IF($B$2:$B6240=$B6241, $A$2:$A6240+$C$2:$C6240)), "")*24*60, "")</f>
        <v/>
      </c>
      <c r="M6241" s="24" t="str" cm="1">
        <f t="array" ref="M6241">IFERROR(IF($B6241=M$1, ($A6241+$C6241) - MAX(IF($B$2:$B6240=$B6241, $A$2:$A6240+$C$2:$C6240)), "")*24*60, "")</f>
        <v/>
      </c>
      <c r="N6241" s="24" t="str" cm="1">
        <f t="array" ref="N6241">IFERROR(IF($B6241=N$1, ($A6241+$C6241) - MAX(IF($B$2:$B6240=$B6241, $A$2:$A6240+$C$2:$C6240)), "")*24*60, "")</f>
        <v/>
      </c>
      <c r="O6241" s="24" t="str" cm="1">
        <f t="array" ref="O6241">IFERROR(IF($B6241=O$1, ($A6241+$C6241) - MAX(IF($B$2:$B6240=$B6241, $A$2:$A6240+$C$2:$C6240)), "")*24*60, "")</f>
        <v/>
      </c>
      <c r="P6241" s="24" t="str" cm="1">
        <f t="array" ref="P6241">IFERROR(IF($B6241=P$1, ($A6241+$C6241) - MAX(IF($B$2:$B6240=$B6241, $A$2:$A6240+$C$2:$C6240)), "")*24*60, "")</f>
        <v/>
      </c>
      <c r="Q6241" s="24" t="str" cm="1">
        <f t="array" ref="Q6241">IFERROR(IF($B6241=Q$1, ($A6241+$C6241) - MAX(IF($B$2:$B6240=$B6241, $A$2:$A6240+$C$2:$C6240)), "")*24*60, "")</f>
        <v/>
      </c>
      <c r="R6241" s="24" t="str" cm="1">
        <f t="array" ref="R6241">IFERROR(IF($B6241=R$1, ($A6241+$C6241) - MAX(IF($B$2:$B6240=$B6241, $A$2:$A6240+$C$2:$C6240)), "")*24*60, "")</f>
        <v/>
      </c>
      <c r="S6241" s="24" t="str" cm="1">
        <f t="array" ref="S6241">IFERROR(IF($B6241=S$1, ($A6241+$C6241) - MAX(IF($B$2:$B6240=$B6241, $A$2:$A6240+$C$2:$C6240)), "")*24*60, "")</f>
        <v/>
      </c>
    </row>
    <row r="6242" spans="1:19" x14ac:dyDescent="0.2">
      <c r="A6242" s="12">
        <f t="shared" ref="A6242:C6242" si="1221">A6241</f>
        <v>45988</v>
      </c>
      <c r="B6242" s="5" t="str">
        <f t="shared" si="1221"/>
        <v>Northern Cardinal</v>
      </c>
      <c r="C6242" s="6">
        <f t="shared" si="1221"/>
        <v>0.28472222222222221</v>
      </c>
      <c r="D6242" s="5"/>
      <c r="E6242" s="5"/>
      <c r="F6242" s="5" t="s">
        <v>8</v>
      </c>
      <c r="G6242" s="15" t="s">
        <v>9</v>
      </c>
      <c r="H6242" s="24">
        <f t="shared" si="1213"/>
        <v>0</v>
      </c>
      <c r="I6242" s="24" cm="1">
        <f t="array" ref="I6242">IFERROR(IF($B6242=I$1, ($A6242+$C6242) - MAX(IF($B$2:$B6241=$B6242, $A$2:$A6241+$C$2:$C6241)), "")*24*60, "")</f>
        <v>0</v>
      </c>
      <c r="J6242" s="24" t="str" cm="1">
        <f t="array" ref="J6242">IFERROR(IF($B6242=J$1, ($A6242+$C6242) - MAX(IF($B$2:$B6241=$B6242, $A$2:$A6241+$C$2:$C6241)), "")*24*60, "")</f>
        <v/>
      </c>
      <c r="K6242" s="24" t="str" cm="1">
        <f t="array" ref="K6242">IFERROR(IF($B6242=K$1, ($A6242+$C6242) - MAX(IF($B$2:$B6241=$B6242, $A$2:$A6241+$C$2:$C6241)), "")*24*60, "")</f>
        <v/>
      </c>
      <c r="L6242" s="24" t="str" cm="1">
        <f t="array" ref="L6242">IFERROR(IF($B6242=L$1, ($A6242+$C6242) - MAX(IF($B$2:$B6241=$B6242, $A$2:$A6241+$C$2:$C6241)), "")*24*60, "")</f>
        <v/>
      </c>
      <c r="M6242" s="24" t="str" cm="1">
        <f t="array" ref="M6242">IFERROR(IF($B6242=M$1, ($A6242+$C6242) - MAX(IF($B$2:$B6241=$B6242, $A$2:$A6241+$C$2:$C6241)), "")*24*60, "")</f>
        <v/>
      </c>
      <c r="N6242" s="24" t="str" cm="1">
        <f t="array" ref="N6242">IFERROR(IF($B6242=N$1, ($A6242+$C6242) - MAX(IF($B$2:$B6241=$B6242, $A$2:$A6241+$C$2:$C6241)), "")*24*60, "")</f>
        <v/>
      </c>
      <c r="O6242" s="24" t="str" cm="1">
        <f t="array" ref="O6242">IFERROR(IF($B6242=O$1, ($A6242+$C6242) - MAX(IF($B$2:$B6241=$B6242, $A$2:$A6241+$C$2:$C6241)), "")*24*60, "")</f>
        <v/>
      </c>
      <c r="P6242" s="24" t="str" cm="1">
        <f t="array" ref="P6242">IFERROR(IF($B6242=P$1, ($A6242+$C6242) - MAX(IF($B$2:$B6241=$B6242, $A$2:$A6241+$C$2:$C6241)), "")*24*60, "")</f>
        <v/>
      </c>
      <c r="Q6242" s="24" t="str" cm="1">
        <f t="array" ref="Q6242">IFERROR(IF($B6242=Q$1, ($A6242+$C6242) - MAX(IF($B$2:$B6241=$B6242, $A$2:$A6241+$C$2:$C6241)), "")*24*60, "")</f>
        <v/>
      </c>
      <c r="R6242" s="24" t="str" cm="1">
        <f t="array" ref="R6242">IFERROR(IF($B6242=R$1, ($A6242+$C6242) - MAX(IF($B$2:$B6241=$B6242, $A$2:$A6241+$C$2:$C6241)), "")*24*60, "")</f>
        <v/>
      </c>
      <c r="S6242" s="24" t="str" cm="1">
        <f t="array" ref="S6242">IFERROR(IF($B6242=S$1, ($A6242+$C6242) - MAX(IF($B$2:$B6241=$B6242, $A$2:$A6241+$C$2:$C6241)), "")*24*60, "")</f>
        <v/>
      </c>
    </row>
    <row r="6243" spans="1:19" x14ac:dyDescent="0.2">
      <c r="A6243" s="12">
        <f t="shared" ref="A6243:C6243" si="1222">A6242</f>
        <v>45988</v>
      </c>
      <c r="B6243" s="5" t="str">
        <f t="shared" si="1222"/>
        <v>Northern Cardinal</v>
      </c>
      <c r="C6243" s="6">
        <f t="shared" si="1222"/>
        <v>0.28472222222222221</v>
      </c>
      <c r="D6243" s="5"/>
      <c r="E6243" s="5"/>
      <c r="F6243" s="5" t="s">
        <v>8</v>
      </c>
      <c r="G6243" s="15" t="s">
        <v>9</v>
      </c>
      <c r="H6243" s="24">
        <f t="shared" si="1213"/>
        <v>0</v>
      </c>
      <c r="I6243" s="24" cm="1">
        <f t="array" ref="I6243">IFERROR(IF($B6243=I$1, ($A6243+$C6243) - MAX(IF($B$2:$B6242=$B6243, $A$2:$A6242+$C$2:$C6242)), "")*24*60, "")</f>
        <v>0</v>
      </c>
      <c r="J6243" s="24" t="str" cm="1">
        <f t="array" ref="J6243">IFERROR(IF($B6243=J$1, ($A6243+$C6243) - MAX(IF($B$2:$B6242=$B6243, $A$2:$A6242+$C$2:$C6242)), "")*24*60, "")</f>
        <v/>
      </c>
      <c r="K6243" s="24" t="str" cm="1">
        <f t="array" ref="K6243">IFERROR(IF($B6243=K$1, ($A6243+$C6243) - MAX(IF($B$2:$B6242=$B6243, $A$2:$A6242+$C$2:$C6242)), "")*24*60, "")</f>
        <v/>
      </c>
      <c r="L6243" s="24" t="str" cm="1">
        <f t="array" ref="L6243">IFERROR(IF($B6243=L$1, ($A6243+$C6243) - MAX(IF($B$2:$B6242=$B6243, $A$2:$A6242+$C$2:$C6242)), "")*24*60, "")</f>
        <v/>
      </c>
      <c r="M6243" s="24" t="str" cm="1">
        <f t="array" ref="M6243">IFERROR(IF($B6243=M$1, ($A6243+$C6243) - MAX(IF($B$2:$B6242=$B6243, $A$2:$A6242+$C$2:$C6242)), "")*24*60, "")</f>
        <v/>
      </c>
      <c r="N6243" s="24" t="str" cm="1">
        <f t="array" ref="N6243">IFERROR(IF($B6243=N$1, ($A6243+$C6243) - MAX(IF($B$2:$B6242=$B6243, $A$2:$A6242+$C$2:$C6242)), "")*24*60, "")</f>
        <v/>
      </c>
      <c r="O6243" s="24" t="str" cm="1">
        <f t="array" ref="O6243">IFERROR(IF($B6243=O$1, ($A6243+$C6243) - MAX(IF($B$2:$B6242=$B6243, $A$2:$A6242+$C$2:$C6242)), "")*24*60, "")</f>
        <v/>
      </c>
      <c r="P6243" s="24" t="str" cm="1">
        <f t="array" ref="P6243">IFERROR(IF($B6243=P$1, ($A6243+$C6243) - MAX(IF($B$2:$B6242=$B6243, $A$2:$A6242+$C$2:$C6242)), "")*24*60, "")</f>
        <v/>
      </c>
      <c r="Q6243" s="24" t="str" cm="1">
        <f t="array" ref="Q6243">IFERROR(IF($B6243=Q$1, ($A6243+$C6243) - MAX(IF($B$2:$B6242=$B6243, $A$2:$A6242+$C$2:$C6242)), "")*24*60, "")</f>
        <v/>
      </c>
      <c r="R6243" s="24" t="str" cm="1">
        <f t="array" ref="R6243">IFERROR(IF($B6243=R$1, ($A6243+$C6243) - MAX(IF($B$2:$B6242=$B6243, $A$2:$A6242+$C$2:$C6242)), "")*24*60, "")</f>
        <v/>
      </c>
      <c r="S6243" s="24" t="str" cm="1">
        <f t="array" ref="S6243">IFERROR(IF($B6243=S$1, ($A6243+$C6243) - MAX(IF($B$2:$B6242=$B6243, $A$2:$A6242+$C$2:$C6242)), "")*24*60, "")</f>
        <v/>
      </c>
    </row>
    <row r="6244" spans="1:19" x14ac:dyDescent="0.2">
      <c r="A6244" s="12">
        <f t="shared" ref="A6244:C6244" si="1223">A6243</f>
        <v>45988</v>
      </c>
      <c r="B6244" s="5" t="str">
        <f t="shared" si="1223"/>
        <v>Northern Cardinal</v>
      </c>
      <c r="C6244" s="6">
        <f t="shared" si="1223"/>
        <v>0.28472222222222221</v>
      </c>
      <c r="D6244" s="5"/>
      <c r="E6244" s="5"/>
      <c r="F6244" s="5" t="s">
        <v>8</v>
      </c>
      <c r="G6244" s="15" t="s">
        <v>9</v>
      </c>
      <c r="H6244" s="24">
        <f t="shared" si="1213"/>
        <v>0</v>
      </c>
      <c r="I6244" s="24" cm="1">
        <f t="array" ref="I6244">IFERROR(IF($B6244=I$1, ($A6244+$C6244) - MAX(IF($B$2:$B6243=$B6244, $A$2:$A6243+$C$2:$C6243)), "")*24*60, "")</f>
        <v>0</v>
      </c>
      <c r="J6244" s="24" t="str" cm="1">
        <f t="array" ref="J6244">IFERROR(IF($B6244=J$1, ($A6244+$C6244) - MAX(IF($B$2:$B6243=$B6244, $A$2:$A6243+$C$2:$C6243)), "")*24*60, "")</f>
        <v/>
      </c>
      <c r="K6244" s="24" t="str" cm="1">
        <f t="array" ref="K6244">IFERROR(IF($B6244=K$1, ($A6244+$C6244) - MAX(IF($B$2:$B6243=$B6244, $A$2:$A6243+$C$2:$C6243)), "")*24*60, "")</f>
        <v/>
      </c>
      <c r="L6244" s="24" t="str" cm="1">
        <f t="array" ref="L6244">IFERROR(IF($B6244=L$1, ($A6244+$C6244) - MAX(IF($B$2:$B6243=$B6244, $A$2:$A6243+$C$2:$C6243)), "")*24*60, "")</f>
        <v/>
      </c>
      <c r="M6244" s="24" t="str" cm="1">
        <f t="array" ref="M6244">IFERROR(IF($B6244=M$1, ($A6244+$C6244) - MAX(IF($B$2:$B6243=$B6244, $A$2:$A6243+$C$2:$C6243)), "")*24*60, "")</f>
        <v/>
      </c>
      <c r="N6244" s="24" t="str" cm="1">
        <f t="array" ref="N6244">IFERROR(IF($B6244=N$1, ($A6244+$C6244) - MAX(IF($B$2:$B6243=$B6244, $A$2:$A6243+$C$2:$C6243)), "")*24*60, "")</f>
        <v/>
      </c>
      <c r="O6244" s="24" t="str" cm="1">
        <f t="array" ref="O6244">IFERROR(IF($B6244=O$1, ($A6244+$C6244) - MAX(IF($B$2:$B6243=$B6244, $A$2:$A6243+$C$2:$C6243)), "")*24*60, "")</f>
        <v/>
      </c>
      <c r="P6244" s="24" t="str" cm="1">
        <f t="array" ref="P6244">IFERROR(IF($B6244=P$1, ($A6244+$C6244) - MAX(IF($B$2:$B6243=$B6244, $A$2:$A6243+$C$2:$C6243)), "")*24*60, "")</f>
        <v/>
      </c>
      <c r="Q6244" s="24" t="str" cm="1">
        <f t="array" ref="Q6244">IFERROR(IF($B6244=Q$1, ($A6244+$C6244) - MAX(IF($B$2:$B6243=$B6244, $A$2:$A6243+$C$2:$C6243)), "")*24*60, "")</f>
        <v/>
      </c>
      <c r="R6244" s="24" t="str" cm="1">
        <f t="array" ref="R6244">IFERROR(IF($B6244=R$1, ($A6244+$C6244) - MAX(IF($B$2:$B6243=$B6244, $A$2:$A6243+$C$2:$C6243)), "")*24*60, "")</f>
        <v/>
      </c>
      <c r="S6244" s="24" t="str" cm="1">
        <f t="array" ref="S6244">IFERROR(IF($B6244=S$1, ($A6244+$C6244) - MAX(IF($B$2:$B6243=$B6244, $A$2:$A6243+$C$2:$C6243)), "")*24*60, "")</f>
        <v/>
      </c>
    </row>
    <row r="6245" spans="1:19" x14ac:dyDescent="0.2">
      <c r="A6245" s="12">
        <f t="shared" ref="A6245:C6245" si="1224">A6244</f>
        <v>45988</v>
      </c>
      <c r="B6245" s="5" t="str">
        <f t="shared" si="1224"/>
        <v>Northern Cardinal</v>
      </c>
      <c r="C6245" s="6">
        <f t="shared" si="1224"/>
        <v>0.28472222222222221</v>
      </c>
      <c r="D6245" s="5"/>
      <c r="E6245" s="5"/>
      <c r="F6245" s="5" t="s">
        <v>8</v>
      </c>
      <c r="G6245" s="15" t="s">
        <v>9</v>
      </c>
      <c r="H6245" s="24">
        <f t="shared" si="1213"/>
        <v>0</v>
      </c>
      <c r="I6245" s="24" cm="1">
        <f t="array" ref="I6245">IFERROR(IF($B6245=I$1, ($A6245+$C6245) - MAX(IF($B$2:$B6244=$B6245, $A$2:$A6244+$C$2:$C6244)), "")*24*60, "")</f>
        <v>0</v>
      </c>
      <c r="J6245" s="24" t="str" cm="1">
        <f t="array" ref="J6245">IFERROR(IF($B6245=J$1, ($A6245+$C6245) - MAX(IF($B$2:$B6244=$B6245, $A$2:$A6244+$C$2:$C6244)), "")*24*60, "")</f>
        <v/>
      </c>
      <c r="K6245" s="24" t="str" cm="1">
        <f t="array" ref="K6245">IFERROR(IF($B6245=K$1, ($A6245+$C6245) - MAX(IF($B$2:$B6244=$B6245, $A$2:$A6244+$C$2:$C6244)), "")*24*60, "")</f>
        <v/>
      </c>
      <c r="L6245" s="24" t="str" cm="1">
        <f t="array" ref="L6245">IFERROR(IF($B6245=L$1, ($A6245+$C6245) - MAX(IF($B$2:$B6244=$B6245, $A$2:$A6244+$C$2:$C6244)), "")*24*60, "")</f>
        <v/>
      </c>
      <c r="M6245" s="24" t="str" cm="1">
        <f t="array" ref="M6245">IFERROR(IF($B6245=M$1, ($A6245+$C6245) - MAX(IF($B$2:$B6244=$B6245, $A$2:$A6244+$C$2:$C6244)), "")*24*60, "")</f>
        <v/>
      </c>
      <c r="N6245" s="24" t="str" cm="1">
        <f t="array" ref="N6245">IFERROR(IF($B6245=N$1, ($A6245+$C6245) - MAX(IF($B$2:$B6244=$B6245, $A$2:$A6244+$C$2:$C6244)), "")*24*60, "")</f>
        <v/>
      </c>
      <c r="O6245" s="24" t="str" cm="1">
        <f t="array" ref="O6245">IFERROR(IF($B6245=O$1, ($A6245+$C6245) - MAX(IF($B$2:$B6244=$B6245, $A$2:$A6244+$C$2:$C6244)), "")*24*60, "")</f>
        <v/>
      </c>
      <c r="P6245" s="24" t="str" cm="1">
        <f t="array" ref="P6245">IFERROR(IF($B6245=P$1, ($A6245+$C6245) - MAX(IF($B$2:$B6244=$B6245, $A$2:$A6244+$C$2:$C6244)), "")*24*60, "")</f>
        <v/>
      </c>
      <c r="Q6245" s="24" t="str" cm="1">
        <f t="array" ref="Q6245">IFERROR(IF($B6245=Q$1, ($A6245+$C6245) - MAX(IF($B$2:$B6244=$B6245, $A$2:$A6244+$C$2:$C6244)), "")*24*60, "")</f>
        <v/>
      </c>
      <c r="R6245" s="24" t="str" cm="1">
        <f t="array" ref="R6245">IFERROR(IF($B6245=R$1, ($A6245+$C6245) - MAX(IF($B$2:$B6244=$B6245, $A$2:$A6244+$C$2:$C6244)), "")*24*60, "")</f>
        <v/>
      </c>
      <c r="S6245" s="24" t="str" cm="1">
        <f t="array" ref="S6245">IFERROR(IF($B6245=S$1, ($A6245+$C6245) - MAX(IF($B$2:$B6244=$B6245, $A$2:$A6244+$C$2:$C6244)), "")*24*60, "")</f>
        <v/>
      </c>
    </row>
    <row r="6246" spans="1:19" x14ac:dyDescent="0.2">
      <c r="A6246" s="12">
        <f t="shared" ref="A6246:C6246" si="1225">A6245</f>
        <v>45988</v>
      </c>
      <c r="B6246" s="5" t="str">
        <f t="shared" si="1225"/>
        <v>Northern Cardinal</v>
      </c>
      <c r="C6246" s="6">
        <f t="shared" si="1225"/>
        <v>0.28472222222222221</v>
      </c>
      <c r="D6246" s="5"/>
      <c r="E6246" s="5"/>
      <c r="F6246" s="5" t="s">
        <v>8</v>
      </c>
      <c r="G6246" s="15" t="s">
        <v>9</v>
      </c>
      <c r="H6246" s="24">
        <f t="shared" si="1213"/>
        <v>0</v>
      </c>
      <c r="I6246" s="24" cm="1">
        <f t="array" ref="I6246">IFERROR(IF($B6246=I$1, ($A6246+$C6246) - MAX(IF($B$2:$B6245=$B6246, $A$2:$A6245+$C$2:$C6245)), "")*24*60, "")</f>
        <v>0</v>
      </c>
      <c r="J6246" s="24" t="str" cm="1">
        <f t="array" ref="J6246">IFERROR(IF($B6246=J$1, ($A6246+$C6246) - MAX(IF($B$2:$B6245=$B6246, $A$2:$A6245+$C$2:$C6245)), "")*24*60, "")</f>
        <v/>
      </c>
      <c r="K6246" s="24" t="str" cm="1">
        <f t="array" ref="K6246">IFERROR(IF($B6246=K$1, ($A6246+$C6246) - MAX(IF($B$2:$B6245=$B6246, $A$2:$A6245+$C$2:$C6245)), "")*24*60, "")</f>
        <v/>
      </c>
      <c r="L6246" s="24" t="str" cm="1">
        <f t="array" ref="L6246">IFERROR(IF($B6246=L$1, ($A6246+$C6246) - MAX(IF($B$2:$B6245=$B6246, $A$2:$A6245+$C$2:$C6245)), "")*24*60, "")</f>
        <v/>
      </c>
      <c r="M6246" s="24" t="str" cm="1">
        <f t="array" ref="M6246">IFERROR(IF($B6246=M$1, ($A6246+$C6246) - MAX(IF($B$2:$B6245=$B6246, $A$2:$A6245+$C$2:$C6245)), "")*24*60, "")</f>
        <v/>
      </c>
      <c r="N6246" s="24" t="str" cm="1">
        <f t="array" ref="N6246">IFERROR(IF($B6246=N$1, ($A6246+$C6246) - MAX(IF($B$2:$B6245=$B6246, $A$2:$A6245+$C$2:$C6245)), "")*24*60, "")</f>
        <v/>
      </c>
      <c r="O6246" s="24" t="str" cm="1">
        <f t="array" ref="O6246">IFERROR(IF($B6246=O$1, ($A6246+$C6246) - MAX(IF($B$2:$B6245=$B6246, $A$2:$A6245+$C$2:$C6245)), "")*24*60, "")</f>
        <v/>
      </c>
      <c r="P6246" s="24" t="str" cm="1">
        <f t="array" ref="P6246">IFERROR(IF($B6246=P$1, ($A6246+$C6246) - MAX(IF($B$2:$B6245=$B6246, $A$2:$A6245+$C$2:$C6245)), "")*24*60, "")</f>
        <v/>
      </c>
      <c r="Q6246" s="24" t="str" cm="1">
        <f t="array" ref="Q6246">IFERROR(IF($B6246=Q$1, ($A6246+$C6246) - MAX(IF($B$2:$B6245=$B6246, $A$2:$A6245+$C$2:$C6245)), "")*24*60, "")</f>
        <v/>
      </c>
      <c r="R6246" s="24" t="str" cm="1">
        <f t="array" ref="R6246">IFERROR(IF($B6246=R$1, ($A6246+$C6246) - MAX(IF($B$2:$B6245=$B6246, $A$2:$A6245+$C$2:$C6245)), "")*24*60, "")</f>
        <v/>
      </c>
      <c r="S6246" s="24" t="str" cm="1">
        <f t="array" ref="S6246">IFERROR(IF($B6246=S$1, ($A6246+$C6246) - MAX(IF($B$2:$B6245=$B6246, $A$2:$A6245+$C$2:$C6245)), "")*24*60, "")</f>
        <v/>
      </c>
    </row>
    <row r="6247" spans="1:19" x14ac:dyDescent="0.2">
      <c r="A6247" s="12">
        <f t="shared" ref="A6247:C6247" si="1226">A6246</f>
        <v>45988</v>
      </c>
      <c r="B6247" s="5" t="str">
        <f t="shared" si="1226"/>
        <v>Northern Cardinal</v>
      </c>
      <c r="C6247" s="6">
        <f t="shared" si="1226"/>
        <v>0.28472222222222221</v>
      </c>
      <c r="D6247" s="5"/>
      <c r="E6247" s="5"/>
      <c r="F6247" s="5" t="s">
        <v>8</v>
      </c>
      <c r="G6247" s="15" t="s">
        <v>9</v>
      </c>
      <c r="H6247" s="24">
        <f t="shared" si="1213"/>
        <v>0</v>
      </c>
      <c r="I6247" s="24" cm="1">
        <f t="array" ref="I6247">IFERROR(IF($B6247=I$1, ($A6247+$C6247) - MAX(IF($B$2:$B6246=$B6247, $A$2:$A6246+$C$2:$C6246)), "")*24*60, "")</f>
        <v>0</v>
      </c>
      <c r="J6247" s="24" t="str" cm="1">
        <f t="array" ref="J6247">IFERROR(IF($B6247=J$1, ($A6247+$C6247) - MAX(IF($B$2:$B6246=$B6247, $A$2:$A6246+$C$2:$C6246)), "")*24*60, "")</f>
        <v/>
      </c>
      <c r="K6247" s="24" t="str" cm="1">
        <f t="array" ref="K6247">IFERROR(IF($B6247=K$1, ($A6247+$C6247) - MAX(IF($B$2:$B6246=$B6247, $A$2:$A6246+$C$2:$C6246)), "")*24*60, "")</f>
        <v/>
      </c>
      <c r="L6247" s="24" t="str" cm="1">
        <f t="array" ref="L6247">IFERROR(IF($B6247=L$1, ($A6247+$C6247) - MAX(IF($B$2:$B6246=$B6247, $A$2:$A6246+$C$2:$C6246)), "")*24*60, "")</f>
        <v/>
      </c>
      <c r="M6247" s="24" t="str" cm="1">
        <f t="array" ref="M6247">IFERROR(IF($B6247=M$1, ($A6247+$C6247) - MAX(IF($B$2:$B6246=$B6247, $A$2:$A6246+$C$2:$C6246)), "")*24*60, "")</f>
        <v/>
      </c>
      <c r="N6247" s="24" t="str" cm="1">
        <f t="array" ref="N6247">IFERROR(IF($B6247=N$1, ($A6247+$C6247) - MAX(IF($B$2:$B6246=$B6247, $A$2:$A6246+$C$2:$C6246)), "")*24*60, "")</f>
        <v/>
      </c>
      <c r="O6247" s="24" t="str" cm="1">
        <f t="array" ref="O6247">IFERROR(IF($B6247=O$1, ($A6247+$C6247) - MAX(IF($B$2:$B6246=$B6247, $A$2:$A6246+$C$2:$C6246)), "")*24*60, "")</f>
        <v/>
      </c>
      <c r="P6247" s="24" t="str" cm="1">
        <f t="array" ref="P6247">IFERROR(IF($B6247=P$1, ($A6247+$C6247) - MAX(IF($B$2:$B6246=$B6247, $A$2:$A6246+$C$2:$C6246)), "")*24*60, "")</f>
        <v/>
      </c>
      <c r="Q6247" s="24" t="str" cm="1">
        <f t="array" ref="Q6247">IFERROR(IF($B6247=Q$1, ($A6247+$C6247) - MAX(IF($B$2:$B6246=$B6247, $A$2:$A6246+$C$2:$C6246)), "")*24*60, "")</f>
        <v/>
      </c>
      <c r="R6247" s="24" t="str" cm="1">
        <f t="array" ref="R6247">IFERROR(IF($B6247=R$1, ($A6247+$C6247) - MAX(IF($B$2:$B6246=$B6247, $A$2:$A6246+$C$2:$C6246)), "")*24*60, "")</f>
        <v/>
      </c>
      <c r="S6247" s="24" t="str" cm="1">
        <f t="array" ref="S6247">IFERROR(IF($B6247=S$1, ($A6247+$C6247) - MAX(IF($B$2:$B6246=$B6247, $A$2:$A6246+$C$2:$C6246)), "")*24*60, "")</f>
        <v/>
      </c>
    </row>
    <row r="6248" spans="1:19" x14ac:dyDescent="0.2">
      <c r="A6248" s="12">
        <f t="shared" ref="A6248:C6248" si="1227">A6247</f>
        <v>45988</v>
      </c>
      <c r="B6248" s="5" t="str">
        <f t="shared" si="1227"/>
        <v>Northern Cardinal</v>
      </c>
      <c r="C6248" s="6">
        <f t="shared" si="1227"/>
        <v>0.28472222222222221</v>
      </c>
      <c r="D6248" s="5"/>
      <c r="E6248" s="5"/>
      <c r="F6248" s="5" t="s">
        <v>8</v>
      </c>
      <c r="G6248" s="15" t="s">
        <v>9</v>
      </c>
      <c r="H6248" s="24">
        <f t="shared" si="1213"/>
        <v>0</v>
      </c>
      <c r="I6248" s="24" cm="1">
        <f t="array" ref="I6248">IFERROR(IF($B6248=I$1, ($A6248+$C6248) - MAX(IF($B$2:$B6247=$B6248, $A$2:$A6247+$C$2:$C6247)), "")*24*60, "")</f>
        <v>0</v>
      </c>
      <c r="J6248" s="24" t="str" cm="1">
        <f t="array" ref="J6248">IFERROR(IF($B6248=J$1, ($A6248+$C6248) - MAX(IF($B$2:$B6247=$B6248, $A$2:$A6247+$C$2:$C6247)), "")*24*60, "")</f>
        <v/>
      </c>
      <c r="K6248" s="24" t="str" cm="1">
        <f t="array" ref="K6248">IFERROR(IF($B6248=K$1, ($A6248+$C6248) - MAX(IF($B$2:$B6247=$B6248, $A$2:$A6247+$C$2:$C6247)), "")*24*60, "")</f>
        <v/>
      </c>
      <c r="L6248" s="24" t="str" cm="1">
        <f t="array" ref="L6248">IFERROR(IF($B6248=L$1, ($A6248+$C6248) - MAX(IF($B$2:$B6247=$B6248, $A$2:$A6247+$C$2:$C6247)), "")*24*60, "")</f>
        <v/>
      </c>
      <c r="M6248" s="24" t="str" cm="1">
        <f t="array" ref="M6248">IFERROR(IF($B6248=M$1, ($A6248+$C6248) - MAX(IF($B$2:$B6247=$B6248, $A$2:$A6247+$C$2:$C6247)), "")*24*60, "")</f>
        <v/>
      </c>
      <c r="N6248" s="24" t="str" cm="1">
        <f t="array" ref="N6248">IFERROR(IF($B6248=N$1, ($A6248+$C6248) - MAX(IF($B$2:$B6247=$B6248, $A$2:$A6247+$C$2:$C6247)), "")*24*60, "")</f>
        <v/>
      </c>
      <c r="O6248" s="24" t="str" cm="1">
        <f t="array" ref="O6248">IFERROR(IF($B6248=O$1, ($A6248+$C6248) - MAX(IF($B$2:$B6247=$B6248, $A$2:$A6247+$C$2:$C6247)), "")*24*60, "")</f>
        <v/>
      </c>
      <c r="P6248" s="24" t="str" cm="1">
        <f t="array" ref="P6248">IFERROR(IF($B6248=P$1, ($A6248+$C6248) - MAX(IF($B$2:$B6247=$B6248, $A$2:$A6247+$C$2:$C6247)), "")*24*60, "")</f>
        <v/>
      </c>
      <c r="Q6248" s="24" t="str" cm="1">
        <f t="array" ref="Q6248">IFERROR(IF($B6248=Q$1, ($A6248+$C6248) - MAX(IF($B$2:$B6247=$B6248, $A$2:$A6247+$C$2:$C6247)), "")*24*60, "")</f>
        <v/>
      </c>
      <c r="R6248" s="24" t="str" cm="1">
        <f t="array" ref="R6248">IFERROR(IF($B6248=R$1, ($A6248+$C6248) - MAX(IF($B$2:$B6247=$B6248, $A$2:$A6247+$C$2:$C6247)), "")*24*60, "")</f>
        <v/>
      </c>
      <c r="S6248" s="24" t="str" cm="1">
        <f t="array" ref="S6248">IFERROR(IF($B6248=S$1, ($A6248+$C6248) - MAX(IF($B$2:$B6247=$B6248, $A$2:$A6247+$C$2:$C6247)), "")*24*60, "")</f>
        <v/>
      </c>
    </row>
    <row r="6249" spans="1:19" x14ac:dyDescent="0.2">
      <c r="A6249" s="12">
        <f t="shared" ref="A6249:C6249" si="1228">A6248</f>
        <v>45988</v>
      </c>
      <c r="B6249" s="5" t="str">
        <f t="shared" si="1228"/>
        <v>Northern Cardinal</v>
      </c>
      <c r="C6249" s="6">
        <f t="shared" si="1228"/>
        <v>0.28472222222222221</v>
      </c>
      <c r="D6249" s="5"/>
      <c r="E6249" s="5"/>
      <c r="F6249" s="5" t="s">
        <v>8</v>
      </c>
      <c r="G6249" s="15" t="s">
        <v>9</v>
      </c>
      <c r="H6249" s="24">
        <f t="shared" si="1213"/>
        <v>0</v>
      </c>
      <c r="I6249" s="24" cm="1">
        <f t="array" ref="I6249">IFERROR(IF($B6249=I$1, ($A6249+$C6249) - MAX(IF($B$2:$B6248=$B6249, $A$2:$A6248+$C$2:$C6248)), "")*24*60, "")</f>
        <v>0</v>
      </c>
      <c r="J6249" s="24" t="str" cm="1">
        <f t="array" ref="J6249">IFERROR(IF($B6249=J$1, ($A6249+$C6249) - MAX(IF($B$2:$B6248=$B6249, $A$2:$A6248+$C$2:$C6248)), "")*24*60, "")</f>
        <v/>
      </c>
      <c r="K6249" s="24" t="str" cm="1">
        <f t="array" ref="K6249">IFERROR(IF($B6249=K$1, ($A6249+$C6249) - MAX(IF($B$2:$B6248=$B6249, $A$2:$A6248+$C$2:$C6248)), "")*24*60, "")</f>
        <v/>
      </c>
      <c r="L6249" s="24" t="str" cm="1">
        <f t="array" ref="L6249">IFERROR(IF($B6249=L$1, ($A6249+$C6249) - MAX(IF($B$2:$B6248=$B6249, $A$2:$A6248+$C$2:$C6248)), "")*24*60, "")</f>
        <v/>
      </c>
      <c r="M6249" s="24" t="str" cm="1">
        <f t="array" ref="M6249">IFERROR(IF($B6249=M$1, ($A6249+$C6249) - MAX(IF($B$2:$B6248=$B6249, $A$2:$A6248+$C$2:$C6248)), "")*24*60, "")</f>
        <v/>
      </c>
      <c r="N6249" s="24" t="str" cm="1">
        <f t="array" ref="N6249">IFERROR(IF($B6249=N$1, ($A6249+$C6249) - MAX(IF($B$2:$B6248=$B6249, $A$2:$A6248+$C$2:$C6248)), "")*24*60, "")</f>
        <v/>
      </c>
      <c r="O6249" s="24" t="str" cm="1">
        <f t="array" ref="O6249">IFERROR(IF($B6249=O$1, ($A6249+$C6249) - MAX(IF($B$2:$B6248=$B6249, $A$2:$A6248+$C$2:$C6248)), "")*24*60, "")</f>
        <v/>
      </c>
      <c r="P6249" s="24" t="str" cm="1">
        <f t="array" ref="P6249">IFERROR(IF($B6249=P$1, ($A6249+$C6249) - MAX(IF($B$2:$B6248=$B6249, $A$2:$A6248+$C$2:$C6248)), "")*24*60, "")</f>
        <v/>
      </c>
      <c r="Q6249" s="24" t="str" cm="1">
        <f t="array" ref="Q6249">IFERROR(IF($B6249=Q$1, ($A6249+$C6249) - MAX(IF($B$2:$B6248=$B6249, $A$2:$A6248+$C$2:$C6248)), "")*24*60, "")</f>
        <v/>
      </c>
      <c r="R6249" s="24" t="str" cm="1">
        <f t="array" ref="R6249">IFERROR(IF($B6249=R$1, ($A6249+$C6249) - MAX(IF($B$2:$B6248=$B6249, $A$2:$A6248+$C$2:$C6248)), "")*24*60, "")</f>
        <v/>
      </c>
      <c r="S6249" s="24" t="str" cm="1">
        <f t="array" ref="S6249">IFERROR(IF($B6249=S$1, ($A6249+$C6249) - MAX(IF($B$2:$B6248=$B6249, $A$2:$A6248+$C$2:$C6248)), "")*24*60, "")</f>
        <v/>
      </c>
    </row>
    <row r="6250" spans="1:19" x14ac:dyDescent="0.2">
      <c r="A6250" s="12">
        <f t="shared" ref="A6250:C6250" si="1229">A6249</f>
        <v>45988</v>
      </c>
      <c r="B6250" s="5" t="str">
        <f t="shared" si="1229"/>
        <v>Northern Cardinal</v>
      </c>
      <c r="C6250" s="6">
        <f t="shared" si="1229"/>
        <v>0.28472222222222221</v>
      </c>
      <c r="D6250" s="5"/>
      <c r="E6250" s="5"/>
      <c r="F6250" s="5" t="s">
        <v>8</v>
      </c>
      <c r="G6250" s="15" t="s">
        <v>9</v>
      </c>
      <c r="H6250" s="24">
        <f t="shared" si="1213"/>
        <v>0</v>
      </c>
      <c r="I6250" s="24" cm="1">
        <f t="array" ref="I6250">IFERROR(IF($B6250=I$1, ($A6250+$C6250) - MAX(IF($B$2:$B6249=$B6250, $A$2:$A6249+$C$2:$C6249)), "")*24*60, "")</f>
        <v>0</v>
      </c>
      <c r="J6250" s="24" t="str" cm="1">
        <f t="array" ref="J6250">IFERROR(IF($B6250=J$1, ($A6250+$C6250) - MAX(IF($B$2:$B6249=$B6250, $A$2:$A6249+$C$2:$C6249)), "")*24*60, "")</f>
        <v/>
      </c>
      <c r="K6250" s="24" t="str" cm="1">
        <f t="array" ref="K6250">IFERROR(IF($B6250=K$1, ($A6250+$C6250) - MAX(IF($B$2:$B6249=$B6250, $A$2:$A6249+$C$2:$C6249)), "")*24*60, "")</f>
        <v/>
      </c>
      <c r="L6250" s="24" t="str" cm="1">
        <f t="array" ref="L6250">IFERROR(IF($B6250=L$1, ($A6250+$C6250) - MAX(IF($B$2:$B6249=$B6250, $A$2:$A6249+$C$2:$C6249)), "")*24*60, "")</f>
        <v/>
      </c>
      <c r="M6250" s="24" t="str" cm="1">
        <f t="array" ref="M6250">IFERROR(IF($B6250=M$1, ($A6250+$C6250) - MAX(IF($B$2:$B6249=$B6250, $A$2:$A6249+$C$2:$C6249)), "")*24*60, "")</f>
        <v/>
      </c>
      <c r="N6250" s="24" t="str" cm="1">
        <f t="array" ref="N6250">IFERROR(IF($B6250=N$1, ($A6250+$C6250) - MAX(IF($B$2:$B6249=$B6250, $A$2:$A6249+$C$2:$C6249)), "")*24*60, "")</f>
        <v/>
      </c>
      <c r="O6250" s="24" t="str" cm="1">
        <f t="array" ref="O6250">IFERROR(IF($B6250=O$1, ($A6250+$C6250) - MAX(IF($B$2:$B6249=$B6250, $A$2:$A6249+$C$2:$C6249)), "")*24*60, "")</f>
        <v/>
      </c>
      <c r="P6250" s="24" t="str" cm="1">
        <f t="array" ref="P6250">IFERROR(IF($B6250=P$1, ($A6250+$C6250) - MAX(IF($B$2:$B6249=$B6250, $A$2:$A6249+$C$2:$C6249)), "")*24*60, "")</f>
        <v/>
      </c>
      <c r="Q6250" s="24" t="str" cm="1">
        <f t="array" ref="Q6250">IFERROR(IF($B6250=Q$1, ($A6250+$C6250) - MAX(IF($B$2:$B6249=$B6250, $A$2:$A6249+$C$2:$C6249)), "")*24*60, "")</f>
        <v/>
      </c>
      <c r="R6250" s="24" t="str" cm="1">
        <f t="array" ref="R6250">IFERROR(IF($B6250=R$1, ($A6250+$C6250) - MAX(IF($B$2:$B6249=$B6250, $A$2:$A6249+$C$2:$C6249)), "")*24*60, "")</f>
        <v/>
      </c>
      <c r="S6250" s="24" t="str" cm="1">
        <f t="array" ref="S6250">IFERROR(IF($B6250=S$1, ($A6250+$C6250) - MAX(IF($B$2:$B6249=$B6250, $A$2:$A6249+$C$2:$C6249)), "")*24*60, "")</f>
        <v/>
      </c>
    </row>
    <row r="6251" spans="1:19" x14ac:dyDescent="0.2">
      <c r="A6251" s="12">
        <f t="shared" ref="A6251:C6251" si="1230">A6250</f>
        <v>45988</v>
      </c>
      <c r="B6251" s="5" t="str">
        <f t="shared" si="1230"/>
        <v>Northern Cardinal</v>
      </c>
      <c r="C6251" s="6">
        <f t="shared" si="1230"/>
        <v>0.28472222222222221</v>
      </c>
      <c r="D6251" s="5"/>
      <c r="E6251" s="5"/>
      <c r="F6251" s="5" t="s">
        <v>8</v>
      </c>
      <c r="G6251" s="15" t="s">
        <v>9</v>
      </c>
      <c r="H6251" s="24">
        <f t="shared" si="1213"/>
        <v>0</v>
      </c>
      <c r="I6251" s="24" cm="1">
        <f t="array" ref="I6251">IFERROR(IF($B6251=I$1, ($A6251+$C6251) - MAX(IF($B$2:$B6250=$B6251, $A$2:$A6250+$C$2:$C6250)), "")*24*60, "")</f>
        <v>0</v>
      </c>
      <c r="J6251" s="24" t="str" cm="1">
        <f t="array" ref="J6251">IFERROR(IF($B6251=J$1, ($A6251+$C6251) - MAX(IF($B$2:$B6250=$B6251, $A$2:$A6250+$C$2:$C6250)), "")*24*60, "")</f>
        <v/>
      </c>
      <c r="K6251" s="24" t="str" cm="1">
        <f t="array" ref="K6251">IFERROR(IF($B6251=K$1, ($A6251+$C6251) - MAX(IF($B$2:$B6250=$B6251, $A$2:$A6250+$C$2:$C6250)), "")*24*60, "")</f>
        <v/>
      </c>
      <c r="L6251" s="24" t="str" cm="1">
        <f t="array" ref="L6251">IFERROR(IF($B6251=L$1, ($A6251+$C6251) - MAX(IF($B$2:$B6250=$B6251, $A$2:$A6250+$C$2:$C6250)), "")*24*60, "")</f>
        <v/>
      </c>
      <c r="M6251" s="24" t="str" cm="1">
        <f t="array" ref="M6251">IFERROR(IF($B6251=M$1, ($A6251+$C6251) - MAX(IF($B$2:$B6250=$B6251, $A$2:$A6250+$C$2:$C6250)), "")*24*60, "")</f>
        <v/>
      </c>
      <c r="N6251" s="24" t="str" cm="1">
        <f t="array" ref="N6251">IFERROR(IF($B6251=N$1, ($A6251+$C6251) - MAX(IF($B$2:$B6250=$B6251, $A$2:$A6250+$C$2:$C6250)), "")*24*60, "")</f>
        <v/>
      </c>
      <c r="O6251" s="24" t="str" cm="1">
        <f t="array" ref="O6251">IFERROR(IF($B6251=O$1, ($A6251+$C6251) - MAX(IF($B$2:$B6250=$B6251, $A$2:$A6250+$C$2:$C6250)), "")*24*60, "")</f>
        <v/>
      </c>
      <c r="P6251" s="24" t="str" cm="1">
        <f t="array" ref="P6251">IFERROR(IF($B6251=P$1, ($A6251+$C6251) - MAX(IF($B$2:$B6250=$B6251, $A$2:$A6250+$C$2:$C6250)), "")*24*60, "")</f>
        <v/>
      </c>
      <c r="Q6251" s="24" t="str" cm="1">
        <f t="array" ref="Q6251">IFERROR(IF($B6251=Q$1, ($A6251+$C6251) - MAX(IF($B$2:$B6250=$B6251, $A$2:$A6250+$C$2:$C6250)), "")*24*60, "")</f>
        <v/>
      </c>
      <c r="R6251" s="24" t="str" cm="1">
        <f t="array" ref="R6251">IFERROR(IF($B6251=R$1, ($A6251+$C6251) - MAX(IF($B$2:$B6250=$B6251, $A$2:$A6250+$C$2:$C6250)), "")*24*60, "")</f>
        <v/>
      </c>
      <c r="S6251" s="24" t="str" cm="1">
        <f t="array" ref="S6251">IFERROR(IF($B6251=S$1, ($A6251+$C6251) - MAX(IF($B$2:$B6250=$B6251, $A$2:$A6250+$C$2:$C6250)), "")*24*60, "")</f>
        <v/>
      </c>
    </row>
    <row r="6252" spans="1:19" x14ac:dyDescent="0.2">
      <c r="A6252" s="12">
        <f t="shared" ref="A6252:C6252" si="1231">A6251</f>
        <v>45988</v>
      </c>
      <c r="B6252" s="5" t="str">
        <f t="shared" si="1231"/>
        <v>Northern Cardinal</v>
      </c>
      <c r="C6252" s="6">
        <f t="shared" si="1231"/>
        <v>0.28472222222222221</v>
      </c>
      <c r="D6252" s="5"/>
      <c r="E6252" s="5"/>
      <c r="F6252" s="5" t="s">
        <v>8</v>
      </c>
      <c r="G6252" s="15" t="s">
        <v>9</v>
      </c>
      <c r="H6252" s="24">
        <f t="shared" si="1213"/>
        <v>0</v>
      </c>
      <c r="I6252" s="24" cm="1">
        <f t="array" ref="I6252">IFERROR(IF($B6252=I$1, ($A6252+$C6252) - MAX(IF($B$2:$B6251=$B6252, $A$2:$A6251+$C$2:$C6251)), "")*24*60, "")</f>
        <v>0</v>
      </c>
      <c r="J6252" s="24" t="str" cm="1">
        <f t="array" ref="J6252">IFERROR(IF($B6252=J$1, ($A6252+$C6252) - MAX(IF($B$2:$B6251=$B6252, $A$2:$A6251+$C$2:$C6251)), "")*24*60, "")</f>
        <v/>
      </c>
      <c r="K6252" s="24" t="str" cm="1">
        <f t="array" ref="K6252">IFERROR(IF($B6252=K$1, ($A6252+$C6252) - MAX(IF($B$2:$B6251=$B6252, $A$2:$A6251+$C$2:$C6251)), "")*24*60, "")</f>
        <v/>
      </c>
      <c r="L6252" s="24" t="str" cm="1">
        <f t="array" ref="L6252">IFERROR(IF($B6252=L$1, ($A6252+$C6252) - MAX(IF($B$2:$B6251=$B6252, $A$2:$A6251+$C$2:$C6251)), "")*24*60, "")</f>
        <v/>
      </c>
      <c r="M6252" s="24" t="str" cm="1">
        <f t="array" ref="M6252">IFERROR(IF($B6252=M$1, ($A6252+$C6252) - MAX(IF($B$2:$B6251=$B6252, $A$2:$A6251+$C$2:$C6251)), "")*24*60, "")</f>
        <v/>
      </c>
      <c r="N6252" s="24" t="str" cm="1">
        <f t="array" ref="N6252">IFERROR(IF($B6252=N$1, ($A6252+$C6252) - MAX(IF($B$2:$B6251=$B6252, $A$2:$A6251+$C$2:$C6251)), "")*24*60, "")</f>
        <v/>
      </c>
      <c r="O6252" s="24" t="str" cm="1">
        <f t="array" ref="O6252">IFERROR(IF($B6252=O$1, ($A6252+$C6252) - MAX(IF($B$2:$B6251=$B6252, $A$2:$A6251+$C$2:$C6251)), "")*24*60, "")</f>
        <v/>
      </c>
      <c r="P6252" s="24" t="str" cm="1">
        <f t="array" ref="P6252">IFERROR(IF($B6252=P$1, ($A6252+$C6252) - MAX(IF($B$2:$B6251=$B6252, $A$2:$A6251+$C$2:$C6251)), "")*24*60, "")</f>
        <v/>
      </c>
      <c r="Q6252" s="24" t="str" cm="1">
        <f t="array" ref="Q6252">IFERROR(IF($B6252=Q$1, ($A6252+$C6252) - MAX(IF($B$2:$B6251=$B6252, $A$2:$A6251+$C$2:$C6251)), "")*24*60, "")</f>
        <v/>
      </c>
      <c r="R6252" s="24" t="str" cm="1">
        <f t="array" ref="R6252">IFERROR(IF($B6252=R$1, ($A6252+$C6252) - MAX(IF($B$2:$B6251=$B6252, $A$2:$A6251+$C$2:$C6251)), "")*24*60, "")</f>
        <v/>
      </c>
      <c r="S6252" s="24" t="str" cm="1">
        <f t="array" ref="S6252">IFERROR(IF($B6252=S$1, ($A6252+$C6252) - MAX(IF($B$2:$B6251=$B6252, $A$2:$A6251+$C$2:$C6251)), "")*24*60, "")</f>
        <v/>
      </c>
    </row>
    <row r="6253" spans="1:19" x14ac:dyDescent="0.2">
      <c r="A6253" s="12">
        <f t="shared" ref="A6253:C6253" si="1232">A6252</f>
        <v>45988</v>
      </c>
      <c r="B6253" s="5" t="str">
        <f t="shared" si="1232"/>
        <v>Northern Cardinal</v>
      </c>
      <c r="C6253" s="6">
        <f t="shared" si="1232"/>
        <v>0.28472222222222221</v>
      </c>
      <c r="D6253" s="5"/>
      <c r="E6253" s="5"/>
      <c r="F6253" s="5" t="s">
        <v>8</v>
      </c>
      <c r="G6253" s="15" t="s">
        <v>9</v>
      </c>
      <c r="H6253" s="24">
        <f t="shared" si="1213"/>
        <v>0</v>
      </c>
      <c r="I6253" s="24" cm="1">
        <f t="array" ref="I6253">IFERROR(IF($B6253=I$1, ($A6253+$C6253) - MAX(IF($B$2:$B6252=$B6253, $A$2:$A6252+$C$2:$C6252)), "")*24*60, "")</f>
        <v>0</v>
      </c>
      <c r="J6253" s="24" t="str" cm="1">
        <f t="array" ref="J6253">IFERROR(IF($B6253=J$1, ($A6253+$C6253) - MAX(IF($B$2:$B6252=$B6253, $A$2:$A6252+$C$2:$C6252)), "")*24*60, "")</f>
        <v/>
      </c>
      <c r="K6253" s="24" t="str" cm="1">
        <f t="array" ref="K6253">IFERROR(IF($B6253=K$1, ($A6253+$C6253) - MAX(IF($B$2:$B6252=$B6253, $A$2:$A6252+$C$2:$C6252)), "")*24*60, "")</f>
        <v/>
      </c>
      <c r="L6253" s="24" t="str" cm="1">
        <f t="array" ref="L6253">IFERROR(IF($B6253=L$1, ($A6253+$C6253) - MAX(IF($B$2:$B6252=$B6253, $A$2:$A6252+$C$2:$C6252)), "")*24*60, "")</f>
        <v/>
      </c>
      <c r="M6253" s="24" t="str" cm="1">
        <f t="array" ref="M6253">IFERROR(IF($B6253=M$1, ($A6253+$C6253) - MAX(IF($B$2:$B6252=$B6253, $A$2:$A6252+$C$2:$C6252)), "")*24*60, "")</f>
        <v/>
      </c>
      <c r="N6253" s="24" t="str" cm="1">
        <f t="array" ref="N6253">IFERROR(IF($B6253=N$1, ($A6253+$C6253) - MAX(IF($B$2:$B6252=$B6253, $A$2:$A6252+$C$2:$C6252)), "")*24*60, "")</f>
        <v/>
      </c>
      <c r="O6253" s="24" t="str" cm="1">
        <f t="array" ref="O6253">IFERROR(IF($B6253=O$1, ($A6253+$C6253) - MAX(IF($B$2:$B6252=$B6253, $A$2:$A6252+$C$2:$C6252)), "")*24*60, "")</f>
        <v/>
      </c>
      <c r="P6253" s="24" t="str" cm="1">
        <f t="array" ref="P6253">IFERROR(IF($B6253=P$1, ($A6253+$C6253) - MAX(IF($B$2:$B6252=$B6253, $A$2:$A6252+$C$2:$C6252)), "")*24*60, "")</f>
        <v/>
      </c>
      <c r="Q6253" s="24" t="str" cm="1">
        <f t="array" ref="Q6253">IFERROR(IF($B6253=Q$1, ($A6253+$C6253) - MAX(IF($B$2:$B6252=$B6253, $A$2:$A6252+$C$2:$C6252)), "")*24*60, "")</f>
        <v/>
      </c>
      <c r="R6253" s="24" t="str" cm="1">
        <f t="array" ref="R6253">IFERROR(IF($B6253=R$1, ($A6253+$C6253) - MAX(IF($B$2:$B6252=$B6253, $A$2:$A6252+$C$2:$C6252)), "")*24*60, "")</f>
        <v/>
      </c>
      <c r="S6253" s="24" t="str" cm="1">
        <f t="array" ref="S6253">IFERROR(IF($B6253=S$1, ($A6253+$C6253) - MAX(IF($B$2:$B6252=$B6253, $A$2:$A6252+$C$2:$C6252)), "")*24*60, "")</f>
        <v/>
      </c>
    </row>
    <row r="6254" spans="1:19" x14ac:dyDescent="0.2">
      <c r="A6254" s="12">
        <f t="shared" ref="A6254:C6254" si="1233">A6253</f>
        <v>45988</v>
      </c>
      <c r="B6254" s="5" t="str">
        <f t="shared" si="1233"/>
        <v>Northern Cardinal</v>
      </c>
      <c r="C6254" s="6">
        <f t="shared" si="1233"/>
        <v>0.28472222222222221</v>
      </c>
      <c r="D6254" s="5"/>
      <c r="E6254" s="5"/>
      <c r="F6254" s="5" t="s">
        <v>8</v>
      </c>
      <c r="G6254" s="15" t="s">
        <v>9</v>
      </c>
      <c r="H6254" s="24">
        <f t="shared" si="1213"/>
        <v>0</v>
      </c>
      <c r="I6254" s="24" cm="1">
        <f t="array" ref="I6254">IFERROR(IF($B6254=I$1, ($A6254+$C6254) - MAX(IF($B$2:$B6253=$B6254, $A$2:$A6253+$C$2:$C6253)), "")*24*60, "")</f>
        <v>0</v>
      </c>
      <c r="J6254" s="24" t="str" cm="1">
        <f t="array" ref="J6254">IFERROR(IF($B6254=J$1, ($A6254+$C6254) - MAX(IF($B$2:$B6253=$B6254, $A$2:$A6253+$C$2:$C6253)), "")*24*60, "")</f>
        <v/>
      </c>
      <c r="K6254" s="24" t="str" cm="1">
        <f t="array" ref="K6254">IFERROR(IF($B6254=K$1, ($A6254+$C6254) - MAX(IF($B$2:$B6253=$B6254, $A$2:$A6253+$C$2:$C6253)), "")*24*60, "")</f>
        <v/>
      </c>
      <c r="L6254" s="24" t="str" cm="1">
        <f t="array" ref="L6254">IFERROR(IF($B6254=L$1, ($A6254+$C6254) - MAX(IF($B$2:$B6253=$B6254, $A$2:$A6253+$C$2:$C6253)), "")*24*60, "")</f>
        <v/>
      </c>
      <c r="M6254" s="24" t="str" cm="1">
        <f t="array" ref="M6254">IFERROR(IF($B6254=M$1, ($A6254+$C6254) - MAX(IF($B$2:$B6253=$B6254, $A$2:$A6253+$C$2:$C6253)), "")*24*60, "")</f>
        <v/>
      </c>
      <c r="N6254" s="24" t="str" cm="1">
        <f t="array" ref="N6254">IFERROR(IF($B6254=N$1, ($A6254+$C6254) - MAX(IF($B$2:$B6253=$B6254, $A$2:$A6253+$C$2:$C6253)), "")*24*60, "")</f>
        <v/>
      </c>
      <c r="O6254" s="24" t="str" cm="1">
        <f t="array" ref="O6254">IFERROR(IF($B6254=O$1, ($A6254+$C6254) - MAX(IF($B$2:$B6253=$B6254, $A$2:$A6253+$C$2:$C6253)), "")*24*60, "")</f>
        <v/>
      </c>
      <c r="P6254" s="24" t="str" cm="1">
        <f t="array" ref="P6254">IFERROR(IF($B6254=P$1, ($A6254+$C6254) - MAX(IF($B$2:$B6253=$B6254, $A$2:$A6253+$C$2:$C6253)), "")*24*60, "")</f>
        <v/>
      </c>
      <c r="Q6254" s="24" t="str" cm="1">
        <f t="array" ref="Q6254">IFERROR(IF($B6254=Q$1, ($A6254+$C6254) - MAX(IF($B$2:$B6253=$B6254, $A$2:$A6253+$C$2:$C6253)), "")*24*60, "")</f>
        <v/>
      </c>
      <c r="R6254" s="24" t="str" cm="1">
        <f t="array" ref="R6254">IFERROR(IF($B6254=R$1, ($A6254+$C6254) - MAX(IF($B$2:$B6253=$B6254, $A$2:$A6253+$C$2:$C6253)), "")*24*60, "")</f>
        <v/>
      </c>
      <c r="S6254" s="24" t="str" cm="1">
        <f t="array" ref="S6254">IFERROR(IF($B6254=S$1, ($A6254+$C6254) - MAX(IF($B$2:$B6253=$B6254, $A$2:$A6253+$C$2:$C6253)), "")*24*60, "")</f>
        <v/>
      </c>
    </row>
    <row r="6255" spans="1:19" x14ac:dyDescent="0.2">
      <c r="A6255" s="12">
        <f t="shared" ref="A6255:C6255" si="1234">A6254</f>
        <v>45988</v>
      </c>
      <c r="B6255" s="5" t="str">
        <f t="shared" si="1234"/>
        <v>Northern Cardinal</v>
      </c>
      <c r="C6255" s="6">
        <f t="shared" si="1234"/>
        <v>0.28472222222222221</v>
      </c>
      <c r="D6255" s="5"/>
      <c r="E6255" s="5"/>
      <c r="F6255" s="5" t="s">
        <v>8</v>
      </c>
      <c r="G6255" s="15" t="s">
        <v>9</v>
      </c>
      <c r="H6255" s="24">
        <f t="shared" si="1213"/>
        <v>0</v>
      </c>
      <c r="I6255" s="24" cm="1">
        <f t="array" ref="I6255">IFERROR(IF($B6255=I$1, ($A6255+$C6255) - MAX(IF($B$2:$B6254=$B6255, $A$2:$A6254+$C$2:$C6254)), "")*24*60, "")</f>
        <v>0</v>
      </c>
      <c r="J6255" s="24" t="str" cm="1">
        <f t="array" ref="J6255">IFERROR(IF($B6255=J$1, ($A6255+$C6255) - MAX(IF($B$2:$B6254=$B6255, $A$2:$A6254+$C$2:$C6254)), "")*24*60, "")</f>
        <v/>
      </c>
      <c r="K6255" s="24" t="str" cm="1">
        <f t="array" ref="K6255">IFERROR(IF($B6255=K$1, ($A6255+$C6255) - MAX(IF($B$2:$B6254=$B6255, $A$2:$A6254+$C$2:$C6254)), "")*24*60, "")</f>
        <v/>
      </c>
      <c r="L6255" s="24" t="str" cm="1">
        <f t="array" ref="L6255">IFERROR(IF($B6255=L$1, ($A6255+$C6255) - MAX(IF($B$2:$B6254=$B6255, $A$2:$A6254+$C$2:$C6254)), "")*24*60, "")</f>
        <v/>
      </c>
      <c r="M6255" s="24" t="str" cm="1">
        <f t="array" ref="M6255">IFERROR(IF($B6255=M$1, ($A6255+$C6255) - MAX(IF($B$2:$B6254=$B6255, $A$2:$A6254+$C$2:$C6254)), "")*24*60, "")</f>
        <v/>
      </c>
      <c r="N6255" s="24" t="str" cm="1">
        <f t="array" ref="N6255">IFERROR(IF($B6255=N$1, ($A6255+$C6255) - MAX(IF($B$2:$B6254=$B6255, $A$2:$A6254+$C$2:$C6254)), "")*24*60, "")</f>
        <v/>
      </c>
      <c r="O6255" s="24" t="str" cm="1">
        <f t="array" ref="O6255">IFERROR(IF($B6255=O$1, ($A6255+$C6255) - MAX(IF($B$2:$B6254=$B6255, $A$2:$A6254+$C$2:$C6254)), "")*24*60, "")</f>
        <v/>
      </c>
      <c r="P6255" s="24" t="str" cm="1">
        <f t="array" ref="P6255">IFERROR(IF($B6255=P$1, ($A6255+$C6255) - MAX(IF($B$2:$B6254=$B6255, $A$2:$A6254+$C$2:$C6254)), "")*24*60, "")</f>
        <v/>
      </c>
      <c r="Q6255" s="24" t="str" cm="1">
        <f t="array" ref="Q6255">IFERROR(IF($B6255=Q$1, ($A6255+$C6255) - MAX(IF($B$2:$B6254=$B6255, $A$2:$A6254+$C$2:$C6254)), "")*24*60, "")</f>
        <v/>
      </c>
      <c r="R6255" s="24" t="str" cm="1">
        <f t="array" ref="R6255">IFERROR(IF($B6255=R$1, ($A6255+$C6255) - MAX(IF($B$2:$B6254=$B6255, $A$2:$A6254+$C$2:$C6254)), "")*24*60, "")</f>
        <v/>
      </c>
      <c r="S6255" s="24" t="str" cm="1">
        <f t="array" ref="S6255">IFERROR(IF($B6255=S$1, ($A6255+$C6255) - MAX(IF($B$2:$B6254=$B6255, $A$2:$A6254+$C$2:$C6254)), "")*24*60, "")</f>
        <v/>
      </c>
    </row>
    <row r="6256" spans="1:19" x14ac:dyDescent="0.2">
      <c r="A6256" s="12">
        <f t="shared" ref="A6256:C6256" si="1235">A6255</f>
        <v>45988</v>
      </c>
      <c r="B6256" s="5" t="str">
        <f t="shared" si="1235"/>
        <v>Northern Cardinal</v>
      </c>
      <c r="C6256" s="6">
        <f t="shared" si="1235"/>
        <v>0.28472222222222221</v>
      </c>
      <c r="D6256" s="5"/>
      <c r="E6256" s="5"/>
      <c r="F6256" s="5" t="s">
        <v>8</v>
      </c>
      <c r="G6256" s="15" t="s">
        <v>9</v>
      </c>
      <c r="H6256" s="24">
        <f t="shared" si="1213"/>
        <v>0</v>
      </c>
      <c r="I6256" s="24" cm="1">
        <f t="array" ref="I6256">IFERROR(IF($B6256=I$1, ($A6256+$C6256) - MAX(IF($B$2:$B6255=$B6256, $A$2:$A6255+$C$2:$C6255)), "")*24*60, "")</f>
        <v>0</v>
      </c>
      <c r="J6256" s="24" t="str" cm="1">
        <f t="array" ref="J6256">IFERROR(IF($B6256=J$1, ($A6256+$C6256) - MAX(IF($B$2:$B6255=$B6256, $A$2:$A6255+$C$2:$C6255)), "")*24*60, "")</f>
        <v/>
      </c>
      <c r="K6256" s="24" t="str" cm="1">
        <f t="array" ref="K6256">IFERROR(IF($B6256=K$1, ($A6256+$C6256) - MAX(IF($B$2:$B6255=$B6256, $A$2:$A6255+$C$2:$C6255)), "")*24*60, "")</f>
        <v/>
      </c>
      <c r="L6256" s="24" t="str" cm="1">
        <f t="array" ref="L6256">IFERROR(IF($B6256=L$1, ($A6256+$C6256) - MAX(IF($B$2:$B6255=$B6256, $A$2:$A6255+$C$2:$C6255)), "")*24*60, "")</f>
        <v/>
      </c>
      <c r="M6256" s="24" t="str" cm="1">
        <f t="array" ref="M6256">IFERROR(IF($B6256=M$1, ($A6256+$C6256) - MAX(IF($B$2:$B6255=$B6256, $A$2:$A6255+$C$2:$C6255)), "")*24*60, "")</f>
        <v/>
      </c>
      <c r="N6256" s="24" t="str" cm="1">
        <f t="array" ref="N6256">IFERROR(IF($B6256=N$1, ($A6256+$C6256) - MAX(IF($B$2:$B6255=$B6256, $A$2:$A6255+$C$2:$C6255)), "")*24*60, "")</f>
        <v/>
      </c>
      <c r="O6256" s="24" t="str" cm="1">
        <f t="array" ref="O6256">IFERROR(IF($B6256=O$1, ($A6256+$C6256) - MAX(IF($B$2:$B6255=$B6256, $A$2:$A6255+$C$2:$C6255)), "")*24*60, "")</f>
        <v/>
      </c>
      <c r="P6256" s="24" t="str" cm="1">
        <f t="array" ref="P6256">IFERROR(IF($B6256=P$1, ($A6256+$C6256) - MAX(IF($B$2:$B6255=$B6256, $A$2:$A6255+$C$2:$C6255)), "")*24*60, "")</f>
        <v/>
      </c>
      <c r="Q6256" s="24" t="str" cm="1">
        <f t="array" ref="Q6256">IFERROR(IF($B6256=Q$1, ($A6256+$C6256) - MAX(IF($B$2:$B6255=$B6256, $A$2:$A6255+$C$2:$C6255)), "")*24*60, "")</f>
        <v/>
      </c>
      <c r="R6256" s="24" t="str" cm="1">
        <f t="array" ref="R6256">IFERROR(IF($B6256=R$1, ($A6256+$C6256) - MAX(IF($B$2:$B6255=$B6256, $A$2:$A6255+$C$2:$C6255)), "")*24*60, "")</f>
        <v/>
      </c>
      <c r="S6256" s="24" t="str" cm="1">
        <f t="array" ref="S6256">IFERROR(IF($B6256=S$1, ($A6256+$C6256) - MAX(IF($B$2:$B6255=$B6256, $A$2:$A6255+$C$2:$C6255)), "")*24*60, "")</f>
        <v/>
      </c>
    </row>
    <row r="6257" spans="1:19" x14ac:dyDescent="0.2">
      <c r="A6257" s="12">
        <f t="shared" ref="A6257:C6257" si="1236">A6256</f>
        <v>45988</v>
      </c>
      <c r="B6257" s="5" t="str">
        <f t="shared" si="1236"/>
        <v>Northern Cardinal</v>
      </c>
      <c r="C6257" s="6">
        <f t="shared" si="1236"/>
        <v>0.28472222222222221</v>
      </c>
      <c r="D6257" s="5"/>
      <c r="E6257" s="5"/>
      <c r="F6257" s="5" t="s">
        <v>8</v>
      </c>
      <c r="G6257" s="15" t="s">
        <v>9</v>
      </c>
      <c r="H6257" s="24">
        <f t="shared" si="1213"/>
        <v>0</v>
      </c>
      <c r="I6257" s="24" cm="1">
        <f t="array" ref="I6257">IFERROR(IF($B6257=I$1, ($A6257+$C6257) - MAX(IF($B$2:$B6256=$B6257, $A$2:$A6256+$C$2:$C6256)), "")*24*60, "")</f>
        <v>0</v>
      </c>
      <c r="J6257" s="24" t="str" cm="1">
        <f t="array" ref="J6257">IFERROR(IF($B6257=J$1, ($A6257+$C6257) - MAX(IF($B$2:$B6256=$B6257, $A$2:$A6256+$C$2:$C6256)), "")*24*60, "")</f>
        <v/>
      </c>
      <c r="K6257" s="24" t="str" cm="1">
        <f t="array" ref="K6257">IFERROR(IF($B6257=K$1, ($A6257+$C6257) - MAX(IF($B$2:$B6256=$B6257, $A$2:$A6256+$C$2:$C6256)), "")*24*60, "")</f>
        <v/>
      </c>
      <c r="L6257" s="24" t="str" cm="1">
        <f t="array" ref="L6257">IFERROR(IF($B6257=L$1, ($A6257+$C6257) - MAX(IF($B$2:$B6256=$B6257, $A$2:$A6256+$C$2:$C6256)), "")*24*60, "")</f>
        <v/>
      </c>
      <c r="M6257" s="24" t="str" cm="1">
        <f t="array" ref="M6257">IFERROR(IF($B6257=M$1, ($A6257+$C6257) - MAX(IF($B$2:$B6256=$B6257, $A$2:$A6256+$C$2:$C6256)), "")*24*60, "")</f>
        <v/>
      </c>
      <c r="N6257" s="24" t="str" cm="1">
        <f t="array" ref="N6257">IFERROR(IF($B6257=N$1, ($A6257+$C6257) - MAX(IF($B$2:$B6256=$B6257, $A$2:$A6256+$C$2:$C6256)), "")*24*60, "")</f>
        <v/>
      </c>
      <c r="O6257" s="24" t="str" cm="1">
        <f t="array" ref="O6257">IFERROR(IF($B6257=O$1, ($A6257+$C6257) - MAX(IF($B$2:$B6256=$B6257, $A$2:$A6256+$C$2:$C6256)), "")*24*60, "")</f>
        <v/>
      </c>
      <c r="P6257" s="24" t="str" cm="1">
        <f t="array" ref="P6257">IFERROR(IF($B6257=P$1, ($A6257+$C6257) - MAX(IF($B$2:$B6256=$B6257, $A$2:$A6256+$C$2:$C6256)), "")*24*60, "")</f>
        <v/>
      </c>
      <c r="Q6257" s="24" t="str" cm="1">
        <f t="array" ref="Q6257">IFERROR(IF($B6257=Q$1, ($A6257+$C6257) - MAX(IF($B$2:$B6256=$B6257, $A$2:$A6256+$C$2:$C6256)), "")*24*60, "")</f>
        <v/>
      </c>
      <c r="R6257" s="24" t="str" cm="1">
        <f t="array" ref="R6257">IFERROR(IF($B6257=R$1, ($A6257+$C6257) - MAX(IF($B$2:$B6256=$B6257, $A$2:$A6256+$C$2:$C6256)), "")*24*60, "")</f>
        <v/>
      </c>
      <c r="S6257" s="24" t="str" cm="1">
        <f t="array" ref="S6257">IFERROR(IF($B6257=S$1, ($A6257+$C6257) - MAX(IF($B$2:$B6256=$B6257, $A$2:$A6256+$C$2:$C6256)), "")*24*60, "")</f>
        <v/>
      </c>
    </row>
    <row r="6258" spans="1:19" x14ac:dyDescent="0.2">
      <c r="A6258" s="12">
        <f t="shared" ref="A6258:C6258" si="1237">A6257</f>
        <v>45988</v>
      </c>
      <c r="B6258" s="5" t="str">
        <f t="shared" si="1237"/>
        <v>Northern Cardinal</v>
      </c>
      <c r="C6258" s="6">
        <f t="shared" si="1237"/>
        <v>0.28472222222222221</v>
      </c>
      <c r="D6258" s="5"/>
      <c r="E6258" s="5"/>
      <c r="F6258" s="5" t="s">
        <v>8</v>
      </c>
      <c r="G6258" s="15" t="s">
        <v>9</v>
      </c>
      <c r="H6258" s="24">
        <f t="shared" si="1213"/>
        <v>0</v>
      </c>
      <c r="I6258" s="24" cm="1">
        <f t="array" ref="I6258">IFERROR(IF($B6258=I$1, ($A6258+$C6258) - MAX(IF($B$2:$B6257=$B6258, $A$2:$A6257+$C$2:$C6257)), "")*24*60, "")</f>
        <v>0</v>
      </c>
      <c r="J6258" s="24" t="str" cm="1">
        <f t="array" ref="J6258">IFERROR(IF($B6258=J$1, ($A6258+$C6258) - MAX(IF($B$2:$B6257=$B6258, $A$2:$A6257+$C$2:$C6257)), "")*24*60, "")</f>
        <v/>
      </c>
      <c r="K6258" s="24" t="str" cm="1">
        <f t="array" ref="K6258">IFERROR(IF($B6258=K$1, ($A6258+$C6258) - MAX(IF($B$2:$B6257=$B6258, $A$2:$A6257+$C$2:$C6257)), "")*24*60, "")</f>
        <v/>
      </c>
      <c r="L6258" s="24" t="str" cm="1">
        <f t="array" ref="L6258">IFERROR(IF($B6258=L$1, ($A6258+$C6258) - MAX(IF($B$2:$B6257=$B6258, $A$2:$A6257+$C$2:$C6257)), "")*24*60, "")</f>
        <v/>
      </c>
      <c r="M6258" s="24" t="str" cm="1">
        <f t="array" ref="M6258">IFERROR(IF($B6258=M$1, ($A6258+$C6258) - MAX(IF($B$2:$B6257=$B6258, $A$2:$A6257+$C$2:$C6257)), "")*24*60, "")</f>
        <v/>
      </c>
      <c r="N6258" s="24" t="str" cm="1">
        <f t="array" ref="N6258">IFERROR(IF($B6258=N$1, ($A6258+$C6258) - MAX(IF($B$2:$B6257=$B6258, $A$2:$A6257+$C$2:$C6257)), "")*24*60, "")</f>
        <v/>
      </c>
      <c r="O6258" s="24" t="str" cm="1">
        <f t="array" ref="O6258">IFERROR(IF($B6258=O$1, ($A6258+$C6258) - MAX(IF($B$2:$B6257=$B6258, $A$2:$A6257+$C$2:$C6257)), "")*24*60, "")</f>
        <v/>
      </c>
      <c r="P6258" s="24" t="str" cm="1">
        <f t="array" ref="P6258">IFERROR(IF($B6258=P$1, ($A6258+$C6258) - MAX(IF($B$2:$B6257=$B6258, $A$2:$A6257+$C$2:$C6257)), "")*24*60, "")</f>
        <v/>
      </c>
      <c r="Q6258" s="24" t="str" cm="1">
        <f t="array" ref="Q6258">IFERROR(IF($B6258=Q$1, ($A6258+$C6258) - MAX(IF($B$2:$B6257=$B6258, $A$2:$A6257+$C$2:$C6257)), "")*24*60, "")</f>
        <v/>
      </c>
      <c r="R6258" s="24" t="str" cm="1">
        <f t="array" ref="R6258">IFERROR(IF($B6258=R$1, ($A6258+$C6258) - MAX(IF($B$2:$B6257=$B6258, $A$2:$A6257+$C$2:$C6257)), "")*24*60, "")</f>
        <v/>
      </c>
      <c r="S6258" s="24" t="str" cm="1">
        <f t="array" ref="S6258">IFERROR(IF($B6258=S$1, ($A6258+$C6258) - MAX(IF($B$2:$B6257=$B6258, $A$2:$A6257+$C$2:$C6257)), "")*24*60, "")</f>
        <v/>
      </c>
    </row>
    <row r="6259" spans="1:19" x14ac:dyDescent="0.2">
      <c r="A6259" s="12">
        <f t="shared" ref="A6259:C6259" si="1238">A6258</f>
        <v>45988</v>
      </c>
      <c r="B6259" s="5" t="str">
        <f t="shared" si="1238"/>
        <v>Northern Cardinal</v>
      </c>
      <c r="C6259" s="6">
        <f t="shared" si="1238"/>
        <v>0.28472222222222221</v>
      </c>
      <c r="D6259" s="5"/>
      <c r="E6259" s="5"/>
      <c r="F6259" s="5" t="s">
        <v>8</v>
      </c>
      <c r="G6259" s="15" t="s">
        <v>9</v>
      </c>
      <c r="H6259" s="24">
        <f t="shared" si="1213"/>
        <v>0</v>
      </c>
      <c r="I6259" s="24" cm="1">
        <f t="array" ref="I6259">IFERROR(IF($B6259=I$1, ($A6259+$C6259) - MAX(IF($B$2:$B6258=$B6259, $A$2:$A6258+$C$2:$C6258)), "")*24*60, "")</f>
        <v>0</v>
      </c>
      <c r="J6259" s="24" t="str" cm="1">
        <f t="array" ref="J6259">IFERROR(IF($B6259=J$1, ($A6259+$C6259) - MAX(IF($B$2:$B6258=$B6259, $A$2:$A6258+$C$2:$C6258)), "")*24*60, "")</f>
        <v/>
      </c>
      <c r="K6259" s="24" t="str" cm="1">
        <f t="array" ref="K6259">IFERROR(IF($B6259=K$1, ($A6259+$C6259) - MAX(IF($B$2:$B6258=$B6259, $A$2:$A6258+$C$2:$C6258)), "")*24*60, "")</f>
        <v/>
      </c>
      <c r="L6259" s="24" t="str" cm="1">
        <f t="array" ref="L6259">IFERROR(IF($B6259=L$1, ($A6259+$C6259) - MAX(IF($B$2:$B6258=$B6259, $A$2:$A6258+$C$2:$C6258)), "")*24*60, "")</f>
        <v/>
      </c>
      <c r="M6259" s="24" t="str" cm="1">
        <f t="array" ref="M6259">IFERROR(IF($B6259=M$1, ($A6259+$C6259) - MAX(IF($B$2:$B6258=$B6259, $A$2:$A6258+$C$2:$C6258)), "")*24*60, "")</f>
        <v/>
      </c>
      <c r="N6259" s="24" t="str" cm="1">
        <f t="array" ref="N6259">IFERROR(IF($B6259=N$1, ($A6259+$C6259) - MAX(IF($B$2:$B6258=$B6259, $A$2:$A6258+$C$2:$C6258)), "")*24*60, "")</f>
        <v/>
      </c>
      <c r="O6259" s="24" t="str" cm="1">
        <f t="array" ref="O6259">IFERROR(IF($B6259=O$1, ($A6259+$C6259) - MAX(IF($B$2:$B6258=$B6259, $A$2:$A6258+$C$2:$C6258)), "")*24*60, "")</f>
        <v/>
      </c>
      <c r="P6259" s="24" t="str" cm="1">
        <f t="array" ref="P6259">IFERROR(IF($B6259=P$1, ($A6259+$C6259) - MAX(IF($B$2:$B6258=$B6259, $A$2:$A6258+$C$2:$C6258)), "")*24*60, "")</f>
        <v/>
      </c>
      <c r="Q6259" s="24" t="str" cm="1">
        <f t="array" ref="Q6259">IFERROR(IF($B6259=Q$1, ($A6259+$C6259) - MAX(IF($B$2:$B6258=$B6259, $A$2:$A6258+$C$2:$C6258)), "")*24*60, "")</f>
        <v/>
      </c>
      <c r="R6259" s="24" t="str" cm="1">
        <f t="array" ref="R6259">IFERROR(IF($B6259=R$1, ($A6259+$C6259) - MAX(IF($B$2:$B6258=$B6259, $A$2:$A6258+$C$2:$C6258)), "")*24*60, "")</f>
        <v/>
      </c>
      <c r="S6259" s="24" t="str" cm="1">
        <f t="array" ref="S6259">IFERROR(IF($B6259=S$1, ($A6259+$C6259) - MAX(IF($B$2:$B6258=$B6259, $A$2:$A6258+$C$2:$C6258)), "")*24*60, "")</f>
        <v/>
      </c>
    </row>
    <row r="6260" spans="1:19" x14ac:dyDescent="0.2">
      <c r="A6260" s="12">
        <f t="shared" ref="A6260:C6260" si="1239">A6259</f>
        <v>45988</v>
      </c>
      <c r="B6260" s="5" t="str">
        <f t="shared" si="1239"/>
        <v>Northern Cardinal</v>
      </c>
      <c r="C6260" s="6">
        <f t="shared" si="1239"/>
        <v>0.28472222222222221</v>
      </c>
      <c r="D6260" s="5"/>
      <c r="E6260" s="5"/>
      <c r="F6260" s="5" t="s">
        <v>8</v>
      </c>
      <c r="G6260" s="15" t="s">
        <v>9</v>
      </c>
      <c r="H6260" s="24">
        <f t="shared" si="1213"/>
        <v>0</v>
      </c>
      <c r="I6260" s="24" cm="1">
        <f t="array" ref="I6260">IFERROR(IF($B6260=I$1, ($A6260+$C6260) - MAX(IF($B$2:$B6259=$B6260, $A$2:$A6259+$C$2:$C6259)), "")*24*60, "")</f>
        <v>0</v>
      </c>
      <c r="J6260" s="24" t="str" cm="1">
        <f t="array" ref="J6260">IFERROR(IF($B6260=J$1, ($A6260+$C6260) - MAX(IF($B$2:$B6259=$B6260, $A$2:$A6259+$C$2:$C6259)), "")*24*60, "")</f>
        <v/>
      </c>
      <c r="K6260" s="24" t="str" cm="1">
        <f t="array" ref="K6260">IFERROR(IF($B6260=K$1, ($A6260+$C6260) - MAX(IF($B$2:$B6259=$B6260, $A$2:$A6259+$C$2:$C6259)), "")*24*60, "")</f>
        <v/>
      </c>
      <c r="L6260" s="24" t="str" cm="1">
        <f t="array" ref="L6260">IFERROR(IF($B6260=L$1, ($A6260+$C6260) - MAX(IF($B$2:$B6259=$B6260, $A$2:$A6259+$C$2:$C6259)), "")*24*60, "")</f>
        <v/>
      </c>
      <c r="M6260" s="24" t="str" cm="1">
        <f t="array" ref="M6260">IFERROR(IF($B6260=M$1, ($A6260+$C6260) - MAX(IF($B$2:$B6259=$B6260, $A$2:$A6259+$C$2:$C6259)), "")*24*60, "")</f>
        <v/>
      </c>
      <c r="N6260" s="24" t="str" cm="1">
        <f t="array" ref="N6260">IFERROR(IF($B6260=N$1, ($A6260+$C6260) - MAX(IF($B$2:$B6259=$B6260, $A$2:$A6259+$C$2:$C6259)), "")*24*60, "")</f>
        <v/>
      </c>
      <c r="O6260" s="24" t="str" cm="1">
        <f t="array" ref="O6260">IFERROR(IF($B6260=O$1, ($A6260+$C6260) - MAX(IF($B$2:$B6259=$B6260, $A$2:$A6259+$C$2:$C6259)), "")*24*60, "")</f>
        <v/>
      </c>
      <c r="P6260" s="24" t="str" cm="1">
        <f t="array" ref="P6260">IFERROR(IF($B6260=P$1, ($A6260+$C6260) - MAX(IF($B$2:$B6259=$B6260, $A$2:$A6259+$C$2:$C6259)), "")*24*60, "")</f>
        <v/>
      </c>
      <c r="Q6260" s="24" t="str" cm="1">
        <f t="array" ref="Q6260">IFERROR(IF($B6260=Q$1, ($A6260+$C6260) - MAX(IF($B$2:$B6259=$B6260, $A$2:$A6259+$C$2:$C6259)), "")*24*60, "")</f>
        <v/>
      </c>
      <c r="R6260" s="24" t="str" cm="1">
        <f t="array" ref="R6260">IFERROR(IF($B6260=R$1, ($A6260+$C6260) - MAX(IF($B$2:$B6259=$B6260, $A$2:$A6259+$C$2:$C6259)), "")*24*60, "")</f>
        <v/>
      </c>
      <c r="S6260" s="24" t="str" cm="1">
        <f t="array" ref="S6260">IFERROR(IF($B6260=S$1, ($A6260+$C6260) - MAX(IF($B$2:$B6259=$B6260, $A$2:$A6259+$C$2:$C6259)), "")*24*60, "")</f>
        <v/>
      </c>
    </row>
    <row r="6261" spans="1:19" x14ac:dyDescent="0.2">
      <c r="A6261" s="12">
        <f t="shared" ref="A6261:C6261" si="1240">A6260</f>
        <v>45988</v>
      </c>
      <c r="B6261" s="5" t="str">
        <f t="shared" si="1240"/>
        <v>Northern Cardinal</v>
      </c>
      <c r="C6261" s="6">
        <f t="shared" si="1240"/>
        <v>0.28472222222222221</v>
      </c>
      <c r="D6261" s="5"/>
      <c r="E6261" s="5"/>
      <c r="F6261" s="5" t="s">
        <v>8</v>
      </c>
      <c r="G6261" s="15" t="s">
        <v>9</v>
      </c>
      <c r="H6261" s="24">
        <f t="shared" si="1213"/>
        <v>0</v>
      </c>
      <c r="I6261" s="24" cm="1">
        <f t="array" ref="I6261">IFERROR(IF($B6261=I$1, ($A6261+$C6261) - MAX(IF($B$2:$B6260=$B6261, $A$2:$A6260+$C$2:$C6260)), "")*24*60, "")</f>
        <v>0</v>
      </c>
      <c r="J6261" s="24" t="str" cm="1">
        <f t="array" ref="J6261">IFERROR(IF($B6261=J$1, ($A6261+$C6261) - MAX(IF($B$2:$B6260=$B6261, $A$2:$A6260+$C$2:$C6260)), "")*24*60, "")</f>
        <v/>
      </c>
      <c r="K6261" s="24" t="str" cm="1">
        <f t="array" ref="K6261">IFERROR(IF($B6261=K$1, ($A6261+$C6261) - MAX(IF($B$2:$B6260=$B6261, $A$2:$A6260+$C$2:$C6260)), "")*24*60, "")</f>
        <v/>
      </c>
      <c r="L6261" s="24" t="str" cm="1">
        <f t="array" ref="L6261">IFERROR(IF($B6261=L$1, ($A6261+$C6261) - MAX(IF($B$2:$B6260=$B6261, $A$2:$A6260+$C$2:$C6260)), "")*24*60, "")</f>
        <v/>
      </c>
      <c r="M6261" s="24" t="str" cm="1">
        <f t="array" ref="M6261">IFERROR(IF($B6261=M$1, ($A6261+$C6261) - MAX(IF($B$2:$B6260=$B6261, $A$2:$A6260+$C$2:$C6260)), "")*24*60, "")</f>
        <v/>
      </c>
      <c r="N6261" s="24" t="str" cm="1">
        <f t="array" ref="N6261">IFERROR(IF($B6261=N$1, ($A6261+$C6261) - MAX(IF($B$2:$B6260=$B6261, $A$2:$A6260+$C$2:$C6260)), "")*24*60, "")</f>
        <v/>
      </c>
      <c r="O6261" s="24" t="str" cm="1">
        <f t="array" ref="O6261">IFERROR(IF($B6261=O$1, ($A6261+$C6261) - MAX(IF($B$2:$B6260=$B6261, $A$2:$A6260+$C$2:$C6260)), "")*24*60, "")</f>
        <v/>
      </c>
      <c r="P6261" s="24" t="str" cm="1">
        <f t="array" ref="P6261">IFERROR(IF($B6261=P$1, ($A6261+$C6261) - MAX(IF($B$2:$B6260=$B6261, $A$2:$A6260+$C$2:$C6260)), "")*24*60, "")</f>
        <v/>
      </c>
      <c r="Q6261" s="24" t="str" cm="1">
        <f t="array" ref="Q6261">IFERROR(IF($B6261=Q$1, ($A6261+$C6261) - MAX(IF($B$2:$B6260=$B6261, $A$2:$A6260+$C$2:$C6260)), "")*24*60, "")</f>
        <v/>
      </c>
      <c r="R6261" s="24" t="str" cm="1">
        <f t="array" ref="R6261">IFERROR(IF($B6261=R$1, ($A6261+$C6261) - MAX(IF($B$2:$B6260=$B6261, $A$2:$A6260+$C$2:$C6260)), "")*24*60, "")</f>
        <v/>
      </c>
      <c r="S6261" s="24" t="str" cm="1">
        <f t="array" ref="S6261">IFERROR(IF($B6261=S$1, ($A6261+$C6261) - MAX(IF($B$2:$B6260=$B6261, $A$2:$A6260+$C$2:$C6260)), "")*24*60, "")</f>
        <v/>
      </c>
    </row>
    <row r="6262" spans="1:19" x14ac:dyDescent="0.2">
      <c r="A6262" s="12">
        <f t="shared" ref="A6262:C6262" si="1241">A6261</f>
        <v>45988</v>
      </c>
      <c r="B6262" s="5" t="str">
        <f t="shared" si="1241"/>
        <v>Northern Cardinal</v>
      </c>
      <c r="C6262" s="6">
        <f t="shared" si="1241"/>
        <v>0.28472222222222221</v>
      </c>
      <c r="D6262" s="5"/>
      <c r="E6262" s="5"/>
      <c r="F6262" s="5" t="s">
        <v>8</v>
      </c>
      <c r="G6262" s="15" t="s">
        <v>9</v>
      </c>
      <c r="H6262" s="24">
        <f t="shared" si="1213"/>
        <v>0</v>
      </c>
      <c r="I6262" s="24" cm="1">
        <f t="array" ref="I6262">IFERROR(IF($B6262=I$1, ($A6262+$C6262) - MAX(IF($B$2:$B6261=$B6262, $A$2:$A6261+$C$2:$C6261)), "")*24*60, "")</f>
        <v>0</v>
      </c>
      <c r="J6262" s="24" t="str" cm="1">
        <f t="array" ref="J6262">IFERROR(IF($B6262=J$1, ($A6262+$C6262) - MAX(IF($B$2:$B6261=$B6262, $A$2:$A6261+$C$2:$C6261)), "")*24*60, "")</f>
        <v/>
      </c>
      <c r="K6262" s="24" t="str" cm="1">
        <f t="array" ref="K6262">IFERROR(IF($B6262=K$1, ($A6262+$C6262) - MAX(IF($B$2:$B6261=$B6262, $A$2:$A6261+$C$2:$C6261)), "")*24*60, "")</f>
        <v/>
      </c>
      <c r="L6262" s="24" t="str" cm="1">
        <f t="array" ref="L6262">IFERROR(IF($B6262=L$1, ($A6262+$C6262) - MAX(IF($B$2:$B6261=$B6262, $A$2:$A6261+$C$2:$C6261)), "")*24*60, "")</f>
        <v/>
      </c>
      <c r="M6262" s="24" t="str" cm="1">
        <f t="array" ref="M6262">IFERROR(IF($B6262=M$1, ($A6262+$C6262) - MAX(IF($B$2:$B6261=$B6262, $A$2:$A6261+$C$2:$C6261)), "")*24*60, "")</f>
        <v/>
      </c>
      <c r="N6262" s="24" t="str" cm="1">
        <f t="array" ref="N6262">IFERROR(IF($B6262=N$1, ($A6262+$C6262) - MAX(IF($B$2:$B6261=$B6262, $A$2:$A6261+$C$2:$C6261)), "")*24*60, "")</f>
        <v/>
      </c>
      <c r="O6262" s="24" t="str" cm="1">
        <f t="array" ref="O6262">IFERROR(IF($B6262=O$1, ($A6262+$C6262) - MAX(IF($B$2:$B6261=$B6262, $A$2:$A6261+$C$2:$C6261)), "")*24*60, "")</f>
        <v/>
      </c>
      <c r="P6262" s="24" t="str" cm="1">
        <f t="array" ref="P6262">IFERROR(IF($B6262=P$1, ($A6262+$C6262) - MAX(IF($B$2:$B6261=$B6262, $A$2:$A6261+$C$2:$C6261)), "")*24*60, "")</f>
        <v/>
      </c>
      <c r="Q6262" s="24" t="str" cm="1">
        <f t="array" ref="Q6262">IFERROR(IF($B6262=Q$1, ($A6262+$C6262) - MAX(IF($B$2:$B6261=$B6262, $A$2:$A6261+$C$2:$C6261)), "")*24*60, "")</f>
        <v/>
      </c>
      <c r="R6262" s="24" t="str" cm="1">
        <f t="array" ref="R6262">IFERROR(IF($B6262=R$1, ($A6262+$C6262) - MAX(IF($B$2:$B6261=$B6262, $A$2:$A6261+$C$2:$C6261)), "")*24*60, "")</f>
        <v/>
      </c>
      <c r="S6262" s="24" t="str" cm="1">
        <f t="array" ref="S6262">IFERROR(IF($B6262=S$1, ($A6262+$C6262) - MAX(IF($B$2:$B6261=$B6262, $A$2:$A6261+$C$2:$C6261)), "")*24*60, "")</f>
        <v/>
      </c>
    </row>
    <row r="6263" spans="1:19" x14ac:dyDescent="0.2">
      <c r="A6263" s="12">
        <f t="shared" ref="A6263:C6263" si="1242">A6262</f>
        <v>45988</v>
      </c>
      <c r="B6263" s="5" t="str">
        <f t="shared" si="1242"/>
        <v>Northern Cardinal</v>
      </c>
      <c r="C6263" s="6">
        <f t="shared" si="1242"/>
        <v>0.28472222222222221</v>
      </c>
      <c r="D6263" s="5"/>
      <c r="E6263" s="5"/>
      <c r="F6263" s="5" t="s">
        <v>8</v>
      </c>
      <c r="G6263" s="15" t="s">
        <v>9</v>
      </c>
      <c r="H6263" s="24">
        <f t="shared" si="1213"/>
        <v>0</v>
      </c>
      <c r="I6263" s="24" cm="1">
        <f t="array" ref="I6263">IFERROR(IF($B6263=I$1, ($A6263+$C6263) - MAX(IF($B$2:$B6262=$B6263, $A$2:$A6262+$C$2:$C6262)), "")*24*60, "")</f>
        <v>0</v>
      </c>
      <c r="J6263" s="24" t="str" cm="1">
        <f t="array" ref="J6263">IFERROR(IF($B6263=J$1, ($A6263+$C6263) - MAX(IF($B$2:$B6262=$B6263, $A$2:$A6262+$C$2:$C6262)), "")*24*60, "")</f>
        <v/>
      </c>
      <c r="K6263" s="24" t="str" cm="1">
        <f t="array" ref="K6263">IFERROR(IF($B6263=K$1, ($A6263+$C6263) - MAX(IF($B$2:$B6262=$B6263, $A$2:$A6262+$C$2:$C6262)), "")*24*60, "")</f>
        <v/>
      </c>
      <c r="L6263" s="24" t="str" cm="1">
        <f t="array" ref="L6263">IFERROR(IF($B6263=L$1, ($A6263+$C6263) - MAX(IF($B$2:$B6262=$B6263, $A$2:$A6262+$C$2:$C6262)), "")*24*60, "")</f>
        <v/>
      </c>
      <c r="M6263" s="24" t="str" cm="1">
        <f t="array" ref="M6263">IFERROR(IF($B6263=M$1, ($A6263+$C6263) - MAX(IF($B$2:$B6262=$B6263, $A$2:$A6262+$C$2:$C6262)), "")*24*60, "")</f>
        <v/>
      </c>
      <c r="N6263" s="24" t="str" cm="1">
        <f t="array" ref="N6263">IFERROR(IF($B6263=N$1, ($A6263+$C6263) - MAX(IF($B$2:$B6262=$B6263, $A$2:$A6262+$C$2:$C6262)), "")*24*60, "")</f>
        <v/>
      </c>
      <c r="O6263" s="24" t="str" cm="1">
        <f t="array" ref="O6263">IFERROR(IF($B6263=O$1, ($A6263+$C6263) - MAX(IF($B$2:$B6262=$B6263, $A$2:$A6262+$C$2:$C6262)), "")*24*60, "")</f>
        <v/>
      </c>
      <c r="P6263" s="24" t="str" cm="1">
        <f t="array" ref="P6263">IFERROR(IF($B6263=P$1, ($A6263+$C6263) - MAX(IF($B$2:$B6262=$B6263, $A$2:$A6262+$C$2:$C6262)), "")*24*60, "")</f>
        <v/>
      </c>
      <c r="Q6263" s="24" t="str" cm="1">
        <f t="array" ref="Q6263">IFERROR(IF($B6263=Q$1, ($A6263+$C6263) - MAX(IF($B$2:$B6262=$B6263, $A$2:$A6262+$C$2:$C6262)), "")*24*60, "")</f>
        <v/>
      </c>
      <c r="R6263" s="24" t="str" cm="1">
        <f t="array" ref="R6263">IFERROR(IF($B6263=R$1, ($A6263+$C6263) - MAX(IF($B$2:$B6262=$B6263, $A$2:$A6262+$C$2:$C6262)), "")*24*60, "")</f>
        <v/>
      </c>
      <c r="S6263" s="24" t="str" cm="1">
        <f t="array" ref="S6263">IFERROR(IF($B6263=S$1, ($A6263+$C6263) - MAX(IF($B$2:$B6262=$B6263, $A$2:$A6262+$C$2:$C6262)), "")*24*60, "")</f>
        <v/>
      </c>
    </row>
    <row r="6264" spans="1:19" x14ac:dyDescent="0.2">
      <c r="A6264" s="12">
        <f t="shared" ref="A6264:C6264" si="1243">A6263</f>
        <v>45988</v>
      </c>
      <c r="B6264" s="5" t="str">
        <f t="shared" si="1243"/>
        <v>Northern Cardinal</v>
      </c>
      <c r="C6264" s="6">
        <f t="shared" si="1243"/>
        <v>0.28472222222222221</v>
      </c>
      <c r="D6264" s="5"/>
      <c r="E6264" s="5"/>
      <c r="F6264" s="5" t="s">
        <v>8</v>
      </c>
      <c r="G6264" s="15" t="s">
        <v>9</v>
      </c>
      <c r="H6264" s="24">
        <f t="shared" si="1213"/>
        <v>0</v>
      </c>
      <c r="I6264" s="24" cm="1">
        <f t="array" ref="I6264">IFERROR(IF($B6264=I$1, ($A6264+$C6264) - MAX(IF($B$2:$B6263=$B6264, $A$2:$A6263+$C$2:$C6263)), "")*24*60, "")</f>
        <v>0</v>
      </c>
      <c r="J6264" s="24" t="str" cm="1">
        <f t="array" ref="J6264">IFERROR(IF($B6264=J$1, ($A6264+$C6264) - MAX(IF($B$2:$B6263=$B6264, $A$2:$A6263+$C$2:$C6263)), "")*24*60, "")</f>
        <v/>
      </c>
      <c r="K6264" s="24" t="str" cm="1">
        <f t="array" ref="K6264">IFERROR(IF($B6264=K$1, ($A6264+$C6264) - MAX(IF($B$2:$B6263=$B6264, $A$2:$A6263+$C$2:$C6263)), "")*24*60, "")</f>
        <v/>
      </c>
      <c r="L6264" s="24" t="str" cm="1">
        <f t="array" ref="L6264">IFERROR(IF($B6264=L$1, ($A6264+$C6264) - MAX(IF($B$2:$B6263=$B6264, $A$2:$A6263+$C$2:$C6263)), "")*24*60, "")</f>
        <v/>
      </c>
      <c r="M6264" s="24" t="str" cm="1">
        <f t="array" ref="M6264">IFERROR(IF($B6264=M$1, ($A6264+$C6264) - MAX(IF($B$2:$B6263=$B6264, $A$2:$A6263+$C$2:$C6263)), "")*24*60, "")</f>
        <v/>
      </c>
      <c r="N6264" s="24" t="str" cm="1">
        <f t="array" ref="N6264">IFERROR(IF($B6264=N$1, ($A6264+$C6264) - MAX(IF($B$2:$B6263=$B6264, $A$2:$A6263+$C$2:$C6263)), "")*24*60, "")</f>
        <v/>
      </c>
      <c r="O6264" s="24" t="str" cm="1">
        <f t="array" ref="O6264">IFERROR(IF($B6264=O$1, ($A6264+$C6264) - MAX(IF($B$2:$B6263=$B6264, $A$2:$A6263+$C$2:$C6263)), "")*24*60, "")</f>
        <v/>
      </c>
      <c r="P6264" s="24" t="str" cm="1">
        <f t="array" ref="P6264">IFERROR(IF($B6264=P$1, ($A6264+$C6264) - MAX(IF($B$2:$B6263=$B6264, $A$2:$A6263+$C$2:$C6263)), "")*24*60, "")</f>
        <v/>
      </c>
      <c r="Q6264" s="24" t="str" cm="1">
        <f t="array" ref="Q6264">IFERROR(IF($B6264=Q$1, ($A6264+$C6264) - MAX(IF($B$2:$B6263=$B6264, $A$2:$A6263+$C$2:$C6263)), "")*24*60, "")</f>
        <v/>
      </c>
      <c r="R6264" s="24" t="str" cm="1">
        <f t="array" ref="R6264">IFERROR(IF($B6264=R$1, ($A6264+$C6264) - MAX(IF($B$2:$B6263=$B6264, $A$2:$A6263+$C$2:$C6263)), "")*24*60, "")</f>
        <v/>
      </c>
      <c r="S6264" s="24" t="str" cm="1">
        <f t="array" ref="S6264">IFERROR(IF($B6264=S$1, ($A6264+$C6264) - MAX(IF($B$2:$B6263=$B6264, $A$2:$A6263+$C$2:$C6263)), "")*24*60, "")</f>
        <v/>
      </c>
    </row>
    <row r="6265" spans="1:19" x14ac:dyDescent="0.2">
      <c r="A6265" s="12">
        <f t="shared" ref="A6265:C6265" si="1244">A6264</f>
        <v>45988</v>
      </c>
      <c r="B6265" s="5" t="str">
        <f t="shared" si="1244"/>
        <v>Northern Cardinal</v>
      </c>
      <c r="C6265" s="6">
        <f t="shared" si="1244"/>
        <v>0.28472222222222221</v>
      </c>
      <c r="D6265" s="5"/>
      <c r="E6265" s="5"/>
      <c r="F6265" s="5" t="s">
        <v>8</v>
      </c>
      <c r="G6265" s="15" t="s">
        <v>9</v>
      </c>
      <c r="H6265" s="24">
        <f t="shared" si="1213"/>
        <v>0</v>
      </c>
      <c r="I6265" s="24" cm="1">
        <f t="array" ref="I6265">IFERROR(IF($B6265=I$1, ($A6265+$C6265) - MAX(IF($B$2:$B6264=$B6265, $A$2:$A6264+$C$2:$C6264)), "")*24*60, "")</f>
        <v>0</v>
      </c>
      <c r="J6265" s="24" t="str" cm="1">
        <f t="array" ref="J6265">IFERROR(IF($B6265=J$1, ($A6265+$C6265) - MAX(IF($B$2:$B6264=$B6265, $A$2:$A6264+$C$2:$C6264)), "")*24*60, "")</f>
        <v/>
      </c>
      <c r="K6265" s="24" t="str" cm="1">
        <f t="array" ref="K6265">IFERROR(IF($B6265=K$1, ($A6265+$C6265) - MAX(IF($B$2:$B6264=$B6265, $A$2:$A6264+$C$2:$C6264)), "")*24*60, "")</f>
        <v/>
      </c>
      <c r="L6265" s="24" t="str" cm="1">
        <f t="array" ref="L6265">IFERROR(IF($B6265=L$1, ($A6265+$C6265) - MAX(IF($B$2:$B6264=$B6265, $A$2:$A6264+$C$2:$C6264)), "")*24*60, "")</f>
        <v/>
      </c>
      <c r="M6265" s="24" t="str" cm="1">
        <f t="array" ref="M6265">IFERROR(IF($B6265=M$1, ($A6265+$C6265) - MAX(IF($B$2:$B6264=$B6265, $A$2:$A6264+$C$2:$C6264)), "")*24*60, "")</f>
        <v/>
      </c>
      <c r="N6265" s="24" t="str" cm="1">
        <f t="array" ref="N6265">IFERROR(IF($B6265=N$1, ($A6265+$C6265) - MAX(IF($B$2:$B6264=$B6265, $A$2:$A6264+$C$2:$C6264)), "")*24*60, "")</f>
        <v/>
      </c>
      <c r="O6265" s="24" t="str" cm="1">
        <f t="array" ref="O6265">IFERROR(IF($B6265=O$1, ($A6265+$C6265) - MAX(IF($B$2:$B6264=$B6265, $A$2:$A6264+$C$2:$C6264)), "")*24*60, "")</f>
        <v/>
      </c>
      <c r="P6265" s="24" t="str" cm="1">
        <f t="array" ref="P6265">IFERROR(IF($B6265=P$1, ($A6265+$C6265) - MAX(IF($B$2:$B6264=$B6265, $A$2:$A6264+$C$2:$C6264)), "")*24*60, "")</f>
        <v/>
      </c>
      <c r="Q6265" s="24" t="str" cm="1">
        <f t="array" ref="Q6265">IFERROR(IF($B6265=Q$1, ($A6265+$C6265) - MAX(IF($B$2:$B6264=$B6265, $A$2:$A6264+$C$2:$C6264)), "")*24*60, "")</f>
        <v/>
      </c>
      <c r="R6265" s="24" t="str" cm="1">
        <f t="array" ref="R6265">IFERROR(IF($B6265=R$1, ($A6265+$C6265) - MAX(IF($B$2:$B6264=$B6265, $A$2:$A6264+$C$2:$C6264)), "")*24*60, "")</f>
        <v/>
      </c>
      <c r="S6265" s="24" t="str" cm="1">
        <f t="array" ref="S6265">IFERROR(IF($B6265=S$1, ($A6265+$C6265) - MAX(IF($B$2:$B6264=$B6265, $A$2:$A6264+$C$2:$C6264)), "")*24*60, "")</f>
        <v/>
      </c>
    </row>
    <row r="6266" spans="1:19" x14ac:dyDescent="0.2">
      <c r="A6266" s="12">
        <f t="shared" ref="A6266:C6266" si="1245">A6265</f>
        <v>45988</v>
      </c>
      <c r="B6266" s="5" t="str">
        <f t="shared" si="1245"/>
        <v>Northern Cardinal</v>
      </c>
      <c r="C6266" s="6">
        <f t="shared" si="1245"/>
        <v>0.28472222222222221</v>
      </c>
      <c r="D6266" s="5"/>
      <c r="E6266" s="5"/>
      <c r="F6266" s="5" t="s">
        <v>8</v>
      </c>
      <c r="G6266" s="15" t="s">
        <v>9</v>
      </c>
      <c r="H6266" s="24">
        <f t="shared" si="1213"/>
        <v>0</v>
      </c>
      <c r="I6266" s="24" cm="1">
        <f t="array" ref="I6266">IFERROR(IF($B6266=I$1, ($A6266+$C6266) - MAX(IF($B$2:$B6265=$B6266, $A$2:$A6265+$C$2:$C6265)), "")*24*60, "")</f>
        <v>0</v>
      </c>
      <c r="J6266" s="24" t="str" cm="1">
        <f t="array" ref="J6266">IFERROR(IF($B6266=J$1, ($A6266+$C6266) - MAX(IF($B$2:$B6265=$B6266, $A$2:$A6265+$C$2:$C6265)), "")*24*60, "")</f>
        <v/>
      </c>
      <c r="K6266" s="24" t="str" cm="1">
        <f t="array" ref="K6266">IFERROR(IF($B6266=K$1, ($A6266+$C6266) - MAX(IF($B$2:$B6265=$B6266, $A$2:$A6265+$C$2:$C6265)), "")*24*60, "")</f>
        <v/>
      </c>
      <c r="L6266" s="24" t="str" cm="1">
        <f t="array" ref="L6266">IFERROR(IF($B6266=L$1, ($A6266+$C6266) - MAX(IF($B$2:$B6265=$B6266, $A$2:$A6265+$C$2:$C6265)), "")*24*60, "")</f>
        <v/>
      </c>
      <c r="M6266" s="24" t="str" cm="1">
        <f t="array" ref="M6266">IFERROR(IF($B6266=M$1, ($A6266+$C6266) - MAX(IF($B$2:$B6265=$B6266, $A$2:$A6265+$C$2:$C6265)), "")*24*60, "")</f>
        <v/>
      </c>
      <c r="N6266" s="24" t="str" cm="1">
        <f t="array" ref="N6266">IFERROR(IF($B6266=N$1, ($A6266+$C6266) - MAX(IF($B$2:$B6265=$B6266, $A$2:$A6265+$C$2:$C6265)), "")*24*60, "")</f>
        <v/>
      </c>
      <c r="O6266" s="24" t="str" cm="1">
        <f t="array" ref="O6266">IFERROR(IF($B6266=O$1, ($A6266+$C6266) - MAX(IF($B$2:$B6265=$B6266, $A$2:$A6265+$C$2:$C6265)), "")*24*60, "")</f>
        <v/>
      </c>
      <c r="P6266" s="24" t="str" cm="1">
        <f t="array" ref="P6266">IFERROR(IF($B6266=P$1, ($A6266+$C6266) - MAX(IF($B$2:$B6265=$B6266, $A$2:$A6265+$C$2:$C6265)), "")*24*60, "")</f>
        <v/>
      </c>
      <c r="Q6266" s="24" t="str" cm="1">
        <f t="array" ref="Q6266">IFERROR(IF($B6266=Q$1, ($A6266+$C6266) - MAX(IF($B$2:$B6265=$B6266, $A$2:$A6265+$C$2:$C6265)), "")*24*60, "")</f>
        <v/>
      </c>
      <c r="R6266" s="24" t="str" cm="1">
        <f t="array" ref="R6266">IFERROR(IF($B6266=R$1, ($A6266+$C6266) - MAX(IF($B$2:$B6265=$B6266, $A$2:$A6265+$C$2:$C6265)), "")*24*60, "")</f>
        <v/>
      </c>
      <c r="S6266" s="24" t="str" cm="1">
        <f t="array" ref="S6266">IFERROR(IF($B6266=S$1, ($A6266+$C6266) - MAX(IF($B$2:$B6265=$B6266, $A$2:$A6265+$C$2:$C6265)), "")*24*60, "")</f>
        <v/>
      </c>
    </row>
    <row r="6267" spans="1:19" x14ac:dyDescent="0.2">
      <c r="A6267" s="12">
        <f t="shared" ref="A6267:C6267" si="1246">A6266</f>
        <v>45988</v>
      </c>
      <c r="B6267" s="5" t="str">
        <f t="shared" si="1246"/>
        <v>Northern Cardinal</v>
      </c>
      <c r="C6267" s="6">
        <f t="shared" si="1246"/>
        <v>0.28472222222222221</v>
      </c>
      <c r="D6267" s="5"/>
      <c r="E6267" s="5"/>
      <c r="F6267" s="5" t="s">
        <v>8</v>
      </c>
      <c r="G6267" s="15" t="s">
        <v>9</v>
      </c>
      <c r="H6267" s="24">
        <f t="shared" si="1213"/>
        <v>0</v>
      </c>
      <c r="I6267" s="24" cm="1">
        <f t="array" ref="I6267">IFERROR(IF($B6267=I$1, ($A6267+$C6267) - MAX(IF($B$2:$B6266=$B6267, $A$2:$A6266+$C$2:$C6266)), "")*24*60, "")</f>
        <v>0</v>
      </c>
      <c r="J6267" s="24" t="str" cm="1">
        <f t="array" ref="J6267">IFERROR(IF($B6267=J$1, ($A6267+$C6267) - MAX(IF($B$2:$B6266=$B6267, $A$2:$A6266+$C$2:$C6266)), "")*24*60, "")</f>
        <v/>
      </c>
      <c r="K6267" s="24" t="str" cm="1">
        <f t="array" ref="K6267">IFERROR(IF($B6267=K$1, ($A6267+$C6267) - MAX(IF($B$2:$B6266=$B6267, $A$2:$A6266+$C$2:$C6266)), "")*24*60, "")</f>
        <v/>
      </c>
      <c r="L6267" s="24" t="str" cm="1">
        <f t="array" ref="L6267">IFERROR(IF($B6267=L$1, ($A6267+$C6267) - MAX(IF($B$2:$B6266=$B6267, $A$2:$A6266+$C$2:$C6266)), "")*24*60, "")</f>
        <v/>
      </c>
      <c r="M6267" s="24" t="str" cm="1">
        <f t="array" ref="M6267">IFERROR(IF($B6267=M$1, ($A6267+$C6267) - MAX(IF($B$2:$B6266=$B6267, $A$2:$A6266+$C$2:$C6266)), "")*24*60, "")</f>
        <v/>
      </c>
      <c r="N6267" s="24" t="str" cm="1">
        <f t="array" ref="N6267">IFERROR(IF($B6267=N$1, ($A6267+$C6267) - MAX(IF($B$2:$B6266=$B6267, $A$2:$A6266+$C$2:$C6266)), "")*24*60, "")</f>
        <v/>
      </c>
      <c r="O6267" s="24" t="str" cm="1">
        <f t="array" ref="O6267">IFERROR(IF($B6267=O$1, ($A6267+$C6267) - MAX(IF($B$2:$B6266=$B6267, $A$2:$A6266+$C$2:$C6266)), "")*24*60, "")</f>
        <v/>
      </c>
      <c r="P6267" s="24" t="str" cm="1">
        <f t="array" ref="P6267">IFERROR(IF($B6267=P$1, ($A6267+$C6267) - MAX(IF($B$2:$B6266=$B6267, $A$2:$A6266+$C$2:$C6266)), "")*24*60, "")</f>
        <v/>
      </c>
      <c r="Q6267" s="24" t="str" cm="1">
        <f t="array" ref="Q6267">IFERROR(IF($B6267=Q$1, ($A6267+$C6267) - MAX(IF($B$2:$B6266=$B6267, $A$2:$A6266+$C$2:$C6266)), "")*24*60, "")</f>
        <v/>
      </c>
      <c r="R6267" s="24" t="str" cm="1">
        <f t="array" ref="R6267">IFERROR(IF($B6267=R$1, ($A6267+$C6267) - MAX(IF($B$2:$B6266=$B6267, $A$2:$A6266+$C$2:$C6266)), "")*24*60, "")</f>
        <v/>
      </c>
      <c r="S6267" s="24" t="str" cm="1">
        <f t="array" ref="S6267">IFERROR(IF($B6267=S$1, ($A6267+$C6267) - MAX(IF($B$2:$B6266=$B6267, $A$2:$A6266+$C$2:$C6266)), "")*24*60, "")</f>
        <v/>
      </c>
    </row>
    <row r="6268" spans="1:19" x14ac:dyDescent="0.2">
      <c r="A6268" s="12">
        <f t="shared" ref="A6268:C6268" si="1247">A6267</f>
        <v>45988</v>
      </c>
      <c r="B6268" s="5" t="str">
        <f t="shared" si="1247"/>
        <v>Northern Cardinal</v>
      </c>
      <c r="C6268" s="6">
        <f t="shared" si="1247"/>
        <v>0.28472222222222221</v>
      </c>
      <c r="D6268" s="5"/>
      <c r="E6268" s="5"/>
      <c r="F6268" s="5" t="s">
        <v>8</v>
      </c>
      <c r="G6268" s="15" t="s">
        <v>9</v>
      </c>
      <c r="H6268" s="24">
        <f t="shared" si="1213"/>
        <v>0</v>
      </c>
      <c r="I6268" s="24" cm="1">
        <f t="array" ref="I6268">IFERROR(IF($B6268=I$1, ($A6268+$C6268) - MAX(IF($B$2:$B6267=$B6268, $A$2:$A6267+$C$2:$C6267)), "")*24*60, "")</f>
        <v>0</v>
      </c>
      <c r="J6268" s="24" t="str" cm="1">
        <f t="array" ref="J6268">IFERROR(IF($B6268=J$1, ($A6268+$C6268) - MAX(IF($B$2:$B6267=$B6268, $A$2:$A6267+$C$2:$C6267)), "")*24*60, "")</f>
        <v/>
      </c>
      <c r="K6268" s="24" t="str" cm="1">
        <f t="array" ref="K6268">IFERROR(IF($B6268=K$1, ($A6268+$C6268) - MAX(IF($B$2:$B6267=$B6268, $A$2:$A6267+$C$2:$C6267)), "")*24*60, "")</f>
        <v/>
      </c>
      <c r="L6268" s="24" t="str" cm="1">
        <f t="array" ref="L6268">IFERROR(IF($B6268=L$1, ($A6268+$C6268) - MAX(IF($B$2:$B6267=$B6268, $A$2:$A6267+$C$2:$C6267)), "")*24*60, "")</f>
        <v/>
      </c>
      <c r="M6268" s="24" t="str" cm="1">
        <f t="array" ref="M6268">IFERROR(IF($B6268=M$1, ($A6268+$C6268) - MAX(IF($B$2:$B6267=$B6268, $A$2:$A6267+$C$2:$C6267)), "")*24*60, "")</f>
        <v/>
      </c>
      <c r="N6268" s="24" t="str" cm="1">
        <f t="array" ref="N6268">IFERROR(IF($B6268=N$1, ($A6268+$C6268) - MAX(IF($B$2:$B6267=$B6268, $A$2:$A6267+$C$2:$C6267)), "")*24*60, "")</f>
        <v/>
      </c>
      <c r="O6268" s="24" t="str" cm="1">
        <f t="array" ref="O6268">IFERROR(IF($B6268=O$1, ($A6268+$C6268) - MAX(IF($B$2:$B6267=$B6268, $A$2:$A6267+$C$2:$C6267)), "")*24*60, "")</f>
        <v/>
      </c>
      <c r="P6268" s="24" t="str" cm="1">
        <f t="array" ref="P6268">IFERROR(IF($B6268=P$1, ($A6268+$C6268) - MAX(IF($B$2:$B6267=$B6268, $A$2:$A6267+$C$2:$C6267)), "")*24*60, "")</f>
        <v/>
      </c>
      <c r="Q6268" s="24" t="str" cm="1">
        <f t="array" ref="Q6268">IFERROR(IF($B6268=Q$1, ($A6268+$C6268) - MAX(IF($B$2:$B6267=$B6268, $A$2:$A6267+$C$2:$C6267)), "")*24*60, "")</f>
        <v/>
      </c>
      <c r="R6268" s="24" t="str" cm="1">
        <f t="array" ref="R6268">IFERROR(IF($B6268=R$1, ($A6268+$C6268) - MAX(IF($B$2:$B6267=$B6268, $A$2:$A6267+$C$2:$C6267)), "")*24*60, "")</f>
        <v/>
      </c>
      <c r="S6268" s="24" t="str" cm="1">
        <f t="array" ref="S6268">IFERROR(IF($B6268=S$1, ($A6268+$C6268) - MAX(IF($B$2:$B6267=$B6268, $A$2:$A6267+$C$2:$C6267)), "")*24*60, "")</f>
        <v/>
      </c>
    </row>
    <row r="6269" spans="1:19" x14ac:dyDescent="0.2">
      <c r="A6269" s="12">
        <f t="shared" ref="A6269:C6269" si="1248">A6268</f>
        <v>45988</v>
      </c>
      <c r="B6269" s="5" t="str">
        <f t="shared" si="1248"/>
        <v>Northern Cardinal</v>
      </c>
      <c r="C6269" s="6">
        <f t="shared" si="1248"/>
        <v>0.28472222222222221</v>
      </c>
      <c r="D6269" s="5"/>
      <c r="E6269" s="5"/>
      <c r="F6269" s="5" t="s">
        <v>8</v>
      </c>
      <c r="G6269" s="15" t="s">
        <v>9</v>
      </c>
      <c r="H6269" s="24">
        <f t="shared" si="1213"/>
        <v>0</v>
      </c>
      <c r="I6269" s="24" cm="1">
        <f t="array" ref="I6269">IFERROR(IF($B6269=I$1, ($A6269+$C6269) - MAX(IF($B$2:$B6268=$B6269, $A$2:$A6268+$C$2:$C6268)), "")*24*60, "")</f>
        <v>0</v>
      </c>
      <c r="J6269" s="24" t="str" cm="1">
        <f t="array" ref="J6269">IFERROR(IF($B6269=J$1, ($A6269+$C6269) - MAX(IF($B$2:$B6268=$B6269, $A$2:$A6268+$C$2:$C6268)), "")*24*60, "")</f>
        <v/>
      </c>
      <c r="K6269" s="24" t="str" cm="1">
        <f t="array" ref="K6269">IFERROR(IF($B6269=K$1, ($A6269+$C6269) - MAX(IF($B$2:$B6268=$B6269, $A$2:$A6268+$C$2:$C6268)), "")*24*60, "")</f>
        <v/>
      </c>
      <c r="L6269" s="24" t="str" cm="1">
        <f t="array" ref="L6269">IFERROR(IF($B6269=L$1, ($A6269+$C6269) - MAX(IF($B$2:$B6268=$B6269, $A$2:$A6268+$C$2:$C6268)), "")*24*60, "")</f>
        <v/>
      </c>
      <c r="M6269" s="24" t="str" cm="1">
        <f t="array" ref="M6269">IFERROR(IF($B6269=M$1, ($A6269+$C6269) - MAX(IF($B$2:$B6268=$B6269, $A$2:$A6268+$C$2:$C6268)), "")*24*60, "")</f>
        <v/>
      </c>
      <c r="N6269" s="24" t="str" cm="1">
        <f t="array" ref="N6269">IFERROR(IF($B6269=N$1, ($A6269+$C6269) - MAX(IF($B$2:$B6268=$B6269, $A$2:$A6268+$C$2:$C6268)), "")*24*60, "")</f>
        <v/>
      </c>
      <c r="O6269" s="24" t="str" cm="1">
        <f t="array" ref="O6269">IFERROR(IF($B6269=O$1, ($A6269+$C6269) - MAX(IF($B$2:$B6268=$B6269, $A$2:$A6268+$C$2:$C6268)), "")*24*60, "")</f>
        <v/>
      </c>
      <c r="P6269" s="24" t="str" cm="1">
        <f t="array" ref="P6269">IFERROR(IF($B6269=P$1, ($A6269+$C6269) - MAX(IF($B$2:$B6268=$B6269, $A$2:$A6268+$C$2:$C6268)), "")*24*60, "")</f>
        <v/>
      </c>
      <c r="Q6269" s="24" t="str" cm="1">
        <f t="array" ref="Q6269">IFERROR(IF($B6269=Q$1, ($A6269+$C6269) - MAX(IF($B$2:$B6268=$B6269, $A$2:$A6268+$C$2:$C6268)), "")*24*60, "")</f>
        <v/>
      </c>
      <c r="R6269" s="24" t="str" cm="1">
        <f t="array" ref="R6269">IFERROR(IF($B6269=R$1, ($A6269+$C6269) - MAX(IF($B$2:$B6268=$B6269, $A$2:$A6268+$C$2:$C6268)), "")*24*60, "")</f>
        <v/>
      </c>
      <c r="S6269" s="24" t="str" cm="1">
        <f t="array" ref="S6269">IFERROR(IF($B6269=S$1, ($A6269+$C6269) - MAX(IF($B$2:$B6268=$B6269, $A$2:$A6268+$C$2:$C6268)), "")*24*60, "")</f>
        <v/>
      </c>
    </row>
    <row r="6270" spans="1:19" x14ac:dyDescent="0.2">
      <c r="A6270" s="12">
        <f t="shared" ref="A6270:C6270" si="1249">A6269</f>
        <v>45988</v>
      </c>
      <c r="B6270" s="5" t="str">
        <f t="shared" si="1249"/>
        <v>Northern Cardinal</v>
      </c>
      <c r="C6270" s="6">
        <f t="shared" si="1249"/>
        <v>0.28472222222222221</v>
      </c>
      <c r="D6270" s="5"/>
      <c r="E6270" s="5"/>
      <c r="F6270" s="5" t="s">
        <v>8</v>
      </c>
      <c r="G6270" s="15" t="s">
        <v>9</v>
      </c>
      <c r="H6270" s="24">
        <f t="shared" si="1213"/>
        <v>0</v>
      </c>
      <c r="I6270" s="24" cm="1">
        <f t="array" ref="I6270">IFERROR(IF($B6270=I$1, ($A6270+$C6270) - MAX(IF($B$2:$B6269=$B6270, $A$2:$A6269+$C$2:$C6269)), "")*24*60, "")</f>
        <v>0</v>
      </c>
      <c r="J6270" s="24" t="str" cm="1">
        <f t="array" ref="J6270">IFERROR(IF($B6270=J$1, ($A6270+$C6270) - MAX(IF($B$2:$B6269=$B6270, $A$2:$A6269+$C$2:$C6269)), "")*24*60, "")</f>
        <v/>
      </c>
      <c r="K6270" s="24" t="str" cm="1">
        <f t="array" ref="K6270">IFERROR(IF($B6270=K$1, ($A6270+$C6270) - MAX(IF($B$2:$B6269=$B6270, $A$2:$A6269+$C$2:$C6269)), "")*24*60, "")</f>
        <v/>
      </c>
      <c r="L6270" s="24" t="str" cm="1">
        <f t="array" ref="L6270">IFERROR(IF($B6270=L$1, ($A6270+$C6270) - MAX(IF($B$2:$B6269=$B6270, $A$2:$A6269+$C$2:$C6269)), "")*24*60, "")</f>
        <v/>
      </c>
      <c r="M6270" s="24" t="str" cm="1">
        <f t="array" ref="M6270">IFERROR(IF($B6270=M$1, ($A6270+$C6270) - MAX(IF($B$2:$B6269=$B6270, $A$2:$A6269+$C$2:$C6269)), "")*24*60, "")</f>
        <v/>
      </c>
      <c r="N6270" s="24" t="str" cm="1">
        <f t="array" ref="N6270">IFERROR(IF($B6270=N$1, ($A6270+$C6270) - MAX(IF($B$2:$B6269=$B6270, $A$2:$A6269+$C$2:$C6269)), "")*24*60, "")</f>
        <v/>
      </c>
      <c r="O6270" s="24" t="str" cm="1">
        <f t="array" ref="O6270">IFERROR(IF($B6270=O$1, ($A6270+$C6270) - MAX(IF($B$2:$B6269=$B6270, $A$2:$A6269+$C$2:$C6269)), "")*24*60, "")</f>
        <v/>
      </c>
      <c r="P6270" s="24" t="str" cm="1">
        <f t="array" ref="P6270">IFERROR(IF($B6270=P$1, ($A6270+$C6270) - MAX(IF($B$2:$B6269=$B6270, $A$2:$A6269+$C$2:$C6269)), "")*24*60, "")</f>
        <v/>
      </c>
      <c r="Q6270" s="24" t="str" cm="1">
        <f t="array" ref="Q6270">IFERROR(IF($B6270=Q$1, ($A6270+$C6270) - MAX(IF($B$2:$B6269=$B6270, $A$2:$A6269+$C$2:$C6269)), "")*24*60, "")</f>
        <v/>
      </c>
      <c r="R6270" s="24" t="str" cm="1">
        <f t="array" ref="R6270">IFERROR(IF($B6270=R$1, ($A6270+$C6270) - MAX(IF($B$2:$B6269=$B6270, $A$2:$A6269+$C$2:$C6269)), "")*24*60, "")</f>
        <v/>
      </c>
      <c r="S6270" s="24" t="str" cm="1">
        <f t="array" ref="S6270">IFERROR(IF($B6270=S$1, ($A6270+$C6270) - MAX(IF($B$2:$B6269=$B6270, $A$2:$A6269+$C$2:$C6269)), "")*24*60, "")</f>
        <v/>
      </c>
    </row>
    <row r="6271" spans="1:19" x14ac:dyDescent="0.2">
      <c r="A6271" s="12">
        <f t="shared" ref="A6271:C6271" si="1250">A6270</f>
        <v>45988</v>
      </c>
      <c r="B6271" s="5" t="str">
        <f t="shared" si="1250"/>
        <v>Northern Cardinal</v>
      </c>
      <c r="C6271" s="6">
        <f t="shared" si="1250"/>
        <v>0.28472222222222221</v>
      </c>
      <c r="D6271" s="5"/>
      <c r="E6271" s="5"/>
      <c r="F6271" s="5" t="s">
        <v>8</v>
      </c>
      <c r="G6271" s="15" t="s">
        <v>9</v>
      </c>
      <c r="H6271" s="24">
        <f t="shared" si="1213"/>
        <v>0</v>
      </c>
      <c r="I6271" s="24" cm="1">
        <f t="array" ref="I6271">IFERROR(IF($B6271=I$1, ($A6271+$C6271) - MAX(IF($B$2:$B6270=$B6271, $A$2:$A6270+$C$2:$C6270)), "")*24*60, "")</f>
        <v>0</v>
      </c>
      <c r="J6271" s="24" t="str" cm="1">
        <f t="array" ref="J6271">IFERROR(IF($B6271=J$1, ($A6271+$C6271) - MAX(IF($B$2:$B6270=$B6271, $A$2:$A6270+$C$2:$C6270)), "")*24*60, "")</f>
        <v/>
      </c>
      <c r="K6271" s="24" t="str" cm="1">
        <f t="array" ref="K6271">IFERROR(IF($B6271=K$1, ($A6271+$C6271) - MAX(IF($B$2:$B6270=$B6271, $A$2:$A6270+$C$2:$C6270)), "")*24*60, "")</f>
        <v/>
      </c>
      <c r="L6271" s="24" t="str" cm="1">
        <f t="array" ref="L6271">IFERROR(IF($B6271=L$1, ($A6271+$C6271) - MAX(IF($B$2:$B6270=$B6271, $A$2:$A6270+$C$2:$C6270)), "")*24*60, "")</f>
        <v/>
      </c>
      <c r="M6271" s="24" t="str" cm="1">
        <f t="array" ref="M6271">IFERROR(IF($B6271=M$1, ($A6271+$C6271) - MAX(IF($B$2:$B6270=$B6271, $A$2:$A6270+$C$2:$C6270)), "")*24*60, "")</f>
        <v/>
      </c>
      <c r="N6271" s="24" t="str" cm="1">
        <f t="array" ref="N6271">IFERROR(IF($B6271=N$1, ($A6271+$C6271) - MAX(IF($B$2:$B6270=$B6271, $A$2:$A6270+$C$2:$C6270)), "")*24*60, "")</f>
        <v/>
      </c>
      <c r="O6271" s="24" t="str" cm="1">
        <f t="array" ref="O6271">IFERROR(IF($B6271=O$1, ($A6271+$C6271) - MAX(IF($B$2:$B6270=$B6271, $A$2:$A6270+$C$2:$C6270)), "")*24*60, "")</f>
        <v/>
      </c>
      <c r="P6271" s="24" t="str" cm="1">
        <f t="array" ref="P6271">IFERROR(IF($B6271=P$1, ($A6271+$C6271) - MAX(IF($B$2:$B6270=$B6271, $A$2:$A6270+$C$2:$C6270)), "")*24*60, "")</f>
        <v/>
      </c>
      <c r="Q6271" s="24" t="str" cm="1">
        <f t="array" ref="Q6271">IFERROR(IF($B6271=Q$1, ($A6271+$C6271) - MAX(IF($B$2:$B6270=$B6271, $A$2:$A6270+$C$2:$C6270)), "")*24*60, "")</f>
        <v/>
      </c>
      <c r="R6271" s="24" t="str" cm="1">
        <f t="array" ref="R6271">IFERROR(IF($B6271=R$1, ($A6271+$C6271) - MAX(IF($B$2:$B6270=$B6271, $A$2:$A6270+$C$2:$C6270)), "")*24*60, "")</f>
        <v/>
      </c>
      <c r="S6271" s="24" t="str" cm="1">
        <f t="array" ref="S6271">IFERROR(IF($B6271=S$1, ($A6271+$C6271) - MAX(IF($B$2:$B6270=$B6271, $A$2:$A6270+$C$2:$C6270)), "")*24*60, "")</f>
        <v/>
      </c>
    </row>
    <row r="6272" spans="1:19" x14ac:dyDescent="0.2">
      <c r="A6272" s="12">
        <f t="shared" ref="A6272:C6272" si="1251">A6271</f>
        <v>45988</v>
      </c>
      <c r="B6272" s="5" t="str">
        <f t="shared" si="1251"/>
        <v>Northern Cardinal</v>
      </c>
      <c r="C6272" s="6">
        <f t="shared" si="1251"/>
        <v>0.28472222222222221</v>
      </c>
      <c r="D6272" s="5"/>
      <c r="E6272" s="5"/>
      <c r="F6272" s="5" t="s">
        <v>8</v>
      </c>
      <c r="G6272" s="15" t="s">
        <v>9</v>
      </c>
      <c r="H6272" s="24">
        <f t="shared" si="1213"/>
        <v>0</v>
      </c>
      <c r="I6272" s="24" cm="1">
        <f t="array" ref="I6272">IFERROR(IF($B6272=I$1, ($A6272+$C6272) - MAX(IF($B$2:$B6271=$B6272, $A$2:$A6271+$C$2:$C6271)), "")*24*60, "")</f>
        <v>0</v>
      </c>
      <c r="J6272" s="24" t="str" cm="1">
        <f t="array" ref="J6272">IFERROR(IF($B6272=J$1, ($A6272+$C6272) - MAX(IF($B$2:$B6271=$B6272, $A$2:$A6271+$C$2:$C6271)), "")*24*60, "")</f>
        <v/>
      </c>
      <c r="K6272" s="24" t="str" cm="1">
        <f t="array" ref="K6272">IFERROR(IF($B6272=K$1, ($A6272+$C6272) - MAX(IF($B$2:$B6271=$B6272, $A$2:$A6271+$C$2:$C6271)), "")*24*60, "")</f>
        <v/>
      </c>
      <c r="L6272" s="24" t="str" cm="1">
        <f t="array" ref="L6272">IFERROR(IF($B6272=L$1, ($A6272+$C6272) - MAX(IF($B$2:$B6271=$B6272, $A$2:$A6271+$C$2:$C6271)), "")*24*60, "")</f>
        <v/>
      </c>
      <c r="M6272" s="24" t="str" cm="1">
        <f t="array" ref="M6272">IFERROR(IF($B6272=M$1, ($A6272+$C6272) - MAX(IF($B$2:$B6271=$B6272, $A$2:$A6271+$C$2:$C6271)), "")*24*60, "")</f>
        <v/>
      </c>
      <c r="N6272" s="24" t="str" cm="1">
        <f t="array" ref="N6272">IFERROR(IF($B6272=N$1, ($A6272+$C6272) - MAX(IF($B$2:$B6271=$B6272, $A$2:$A6271+$C$2:$C6271)), "")*24*60, "")</f>
        <v/>
      </c>
      <c r="O6272" s="24" t="str" cm="1">
        <f t="array" ref="O6272">IFERROR(IF($B6272=O$1, ($A6272+$C6272) - MAX(IF($B$2:$B6271=$B6272, $A$2:$A6271+$C$2:$C6271)), "")*24*60, "")</f>
        <v/>
      </c>
      <c r="P6272" s="24" t="str" cm="1">
        <f t="array" ref="P6272">IFERROR(IF($B6272=P$1, ($A6272+$C6272) - MAX(IF($B$2:$B6271=$B6272, $A$2:$A6271+$C$2:$C6271)), "")*24*60, "")</f>
        <v/>
      </c>
      <c r="Q6272" s="24" t="str" cm="1">
        <f t="array" ref="Q6272">IFERROR(IF($B6272=Q$1, ($A6272+$C6272) - MAX(IF($B$2:$B6271=$B6272, $A$2:$A6271+$C$2:$C6271)), "")*24*60, "")</f>
        <v/>
      </c>
      <c r="R6272" s="24" t="str" cm="1">
        <f t="array" ref="R6272">IFERROR(IF($B6272=R$1, ($A6272+$C6272) - MAX(IF($B$2:$B6271=$B6272, $A$2:$A6271+$C$2:$C6271)), "")*24*60, "")</f>
        <v/>
      </c>
      <c r="S6272" s="24" t="str" cm="1">
        <f t="array" ref="S6272">IFERROR(IF($B6272=S$1, ($A6272+$C6272) - MAX(IF($B$2:$B6271=$B6272, $A$2:$A6271+$C$2:$C6271)), "")*24*60, "")</f>
        <v/>
      </c>
    </row>
    <row r="6273" spans="1:19" x14ac:dyDescent="0.2">
      <c r="A6273" s="12">
        <f t="shared" ref="A6273:C6273" si="1252">A6272</f>
        <v>45988</v>
      </c>
      <c r="B6273" s="5" t="str">
        <f t="shared" si="1252"/>
        <v>Northern Cardinal</v>
      </c>
      <c r="C6273" s="6">
        <f t="shared" si="1252"/>
        <v>0.28472222222222221</v>
      </c>
      <c r="D6273" s="5"/>
      <c r="E6273" s="5"/>
      <c r="F6273" s="5" t="s">
        <v>8</v>
      </c>
      <c r="G6273" s="15" t="s">
        <v>9</v>
      </c>
      <c r="H6273" s="24">
        <f t="shared" si="1213"/>
        <v>0</v>
      </c>
      <c r="I6273" s="24" cm="1">
        <f t="array" ref="I6273">IFERROR(IF($B6273=I$1, ($A6273+$C6273) - MAX(IF($B$2:$B6272=$B6273, $A$2:$A6272+$C$2:$C6272)), "")*24*60, "")</f>
        <v>0</v>
      </c>
      <c r="J6273" s="24" t="str" cm="1">
        <f t="array" ref="J6273">IFERROR(IF($B6273=J$1, ($A6273+$C6273) - MAX(IF($B$2:$B6272=$B6273, $A$2:$A6272+$C$2:$C6272)), "")*24*60, "")</f>
        <v/>
      </c>
      <c r="K6273" s="24" t="str" cm="1">
        <f t="array" ref="K6273">IFERROR(IF($B6273=K$1, ($A6273+$C6273) - MAX(IF($B$2:$B6272=$B6273, $A$2:$A6272+$C$2:$C6272)), "")*24*60, "")</f>
        <v/>
      </c>
      <c r="L6273" s="24" t="str" cm="1">
        <f t="array" ref="L6273">IFERROR(IF($B6273=L$1, ($A6273+$C6273) - MAX(IF($B$2:$B6272=$B6273, $A$2:$A6272+$C$2:$C6272)), "")*24*60, "")</f>
        <v/>
      </c>
      <c r="M6273" s="24" t="str" cm="1">
        <f t="array" ref="M6273">IFERROR(IF($B6273=M$1, ($A6273+$C6273) - MAX(IF($B$2:$B6272=$B6273, $A$2:$A6272+$C$2:$C6272)), "")*24*60, "")</f>
        <v/>
      </c>
      <c r="N6273" s="24" t="str" cm="1">
        <f t="array" ref="N6273">IFERROR(IF($B6273=N$1, ($A6273+$C6273) - MAX(IF($B$2:$B6272=$B6273, $A$2:$A6272+$C$2:$C6272)), "")*24*60, "")</f>
        <v/>
      </c>
      <c r="O6273" s="24" t="str" cm="1">
        <f t="array" ref="O6273">IFERROR(IF($B6273=O$1, ($A6273+$C6273) - MAX(IF($B$2:$B6272=$B6273, $A$2:$A6272+$C$2:$C6272)), "")*24*60, "")</f>
        <v/>
      </c>
      <c r="P6273" s="24" t="str" cm="1">
        <f t="array" ref="P6273">IFERROR(IF($B6273=P$1, ($A6273+$C6273) - MAX(IF($B$2:$B6272=$B6273, $A$2:$A6272+$C$2:$C6272)), "")*24*60, "")</f>
        <v/>
      </c>
      <c r="Q6273" s="24" t="str" cm="1">
        <f t="array" ref="Q6273">IFERROR(IF($B6273=Q$1, ($A6273+$C6273) - MAX(IF($B$2:$B6272=$B6273, $A$2:$A6272+$C$2:$C6272)), "")*24*60, "")</f>
        <v/>
      </c>
      <c r="R6273" s="24" t="str" cm="1">
        <f t="array" ref="R6273">IFERROR(IF($B6273=R$1, ($A6273+$C6273) - MAX(IF($B$2:$B6272=$B6273, $A$2:$A6272+$C$2:$C6272)), "")*24*60, "")</f>
        <v/>
      </c>
      <c r="S6273" s="24" t="str" cm="1">
        <f t="array" ref="S6273">IFERROR(IF($B6273=S$1, ($A6273+$C6273) - MAX(IF($B$2:$B6272=$B6273, $A$2:$A6272+$C$2:$C6272)), "")*24*60, "")</f>
        <v/>
      </c>
    </row>
    <row r="6274" spans="1:19" x14ac:dyDescent="0.2">
      <c r="A6274" s="12">
        <f t="shared" ref="A6274:C6274" si="1253">A6273</f>
        <v>45988</v>
      </c>
      <c r="B6274" s="5" t="str">
        <f t="shared" si="1253"/>
        <v>Northern Cardinal</v>
      </c>
      <c r="C6274" s="6">
        <f t="shared" si="1253"/>
        <v>0.28472222222222221</v>
      </c>
      <c r="D6274" s="5"/>
      <c r="E6274" s="5"/>
      <c r="F6274" s="5" t="s">
        <v>8</v>
      </c>
      <c r="G6274" s="15" t="s">
        <v>9</v>
      </c>
      <c r="H6274" s="24">
        <f t="shared" si="1213"/>
        <v>0</v>
      </c>
      <c r="I6274" s="24" cm="1">
        <f t="array" ref="I6274">IFERROR(IF($B6274=I$1, ($A6274+$C6274) - MAX(IF($B$2:$B6273=$B6274, $A$2:$A6273+$C$2:$C6273)), "")*24*60, "")</f>
        <v>0</v>
      </c>
      <c r="J6274" s="24" t="str" cm="1">
        <f t="array" ref="J6274">IFERROR(IF($B6274=J$1, ($A6274+$C6274) - MAX(IF($B$2:$B6273=$B6274, $A$2:$A6273+$C$2:$C6273)), "")*24*60, "")</f>
        <v/>
      </c>
      <c r="K6274" s="24" t="str" cm="1">
        <f t="array" ref="K6274">IFERROR(IF($B6274=K$1, ($A6274+$C6274) - MAX(IF($B$2:$B6273=$B6274, $A$2:$A6273+$C$2:$C6273)), "")*24*60, "")</f>
        <v/>
      </c>
      <c r="L6274" s="24" t="str" cm="1">
        <f t="array" ref="L6274">IFERROR(IF($B6274=L$1, ($A6274+$C6274) - MAX(IF($B$2:$B6273=$B6274, $A$2:$A6273+$C$2:$C6273)), "")*24*60, "")</f>
        <v/>
      </c>
      <c r="M6274" s="24" t="str" cm="1">
        <f t="array" ref="M6274">IFERROR(IF($B6274=M$1, ($A6274+$C6274) - MAX(IF($B$2:$B6273=$B6274, $A$2:$A6273+$C$2:$C6273)), "")*24*60, "")</f>
        <v/>
      </c>
      <c r="N6274" s="24" t="str" cm="1">
        <f t="array" ref="N6274">IFERROR(IF($B6274=N$1, ($A6274+$C6274) - MAX(IF($B$2:$B6273=$B6274, $A$2:$A6273+$C$2:$C6273)), "")*24*60, "")</f>
        <v/>
      </c>
      <c r="O6274" s="24" t="str" cm="1">
        <f t="array" ref="O6274">IFERROR(IF($B6274=O$1, ($A6274+$C6274) - MAX(IF($B$2:$B6273=$B6274, $A$2:$A6273+$C$2:$C6273)), "")*24*60, "")</f>
        <v/>
      </c>
      <c r="P6274" s="24" t="str" cm="1">
        <f t="array" ref="P6274">IFERROR(IF($B6274=P$1, ($A6274+$C6274) - MAX(IF($B$2:$B6273=$B6274, $A$2:$A6273+$C$2:$C6273)), "")*24*60, "")</f>
        <v/>
      </c>
      <c r="Q6274" s="24" t="str" cm="1">
        <f t="array" ref="Q6274">IFERROR(IF($B6274=Q$1, ($A6274+$C6274) - MAX(IF($B$2:$B6273=$B6274, $A$2:$A6273+$C$2:$C6273)), "")*24*60, "")</f>
        <v/>
      </c>
      <c r="R6274" s="24" t="str" cm="1">
        <f t="array" ref="R6274">IFERROR(IF($B6274=R$1, ($A6274+$C6274) - MAX(IF($B$2:$B6273=$B6274, $A$2:$A6273+$C$2:$C6273)), "")*24*60, "")</f>
        <v/>
      </c>
      <c r="S6274" s="24" t="str" cm="1">
        <f t="array" ref="S6274">IFERROR(IF($B6274=S$1, ($A6274+$C6274) - MAX(IF($B$2:$B6273=$B6274, $A$2:$A6273+$C$2:$C6273)), "")*24*60, "")</f>
        <v/>
      </c>
    </row>
    <row r="6275" spans="1:19" x14ac:dyDescent="0.2">
      <c r="A6275" s="12">
        <f t="shared" ref="A6275:C6275" si="1254">A6274</f>
        <v>45988</v>
      </c>
      <c r="B6275" s="5" t="str">
        <f t="shared" si="1254"/>
        <v>Northern Cardinal</v>
      </c>
      <c r="C6275" s="6">
        <f t="shared" si="1254"/>
        <v>0.28472222222222221</v>
      </c>
      <c r="D6275" s="5"/>
      <c r="E6275" s="5"/>
      <c r="F6275" s="5" t="s">
        <v>8</v>
      </c>
      <c r="G6275" s="15" t="s">
        <v>9</v>
      </c>
      <c r="H6275" s="24">
        <f t="shared" si="1213"/>
        <v>0</v>
      </c>
      <c r="I6275" s="24" cm="1">
        <f t="array" ref="I6275">IFERROR(IF($B6275=I$1, ($A6275+$C6275) - MAX(IF($B$2:$B6274=$B6275, $A$2:$A6274+$C$2:$C6274)), "")*24*60, "")</f>
        <v>0</v>
      </c>
      <c r="J6275" s="24" t="str" cm="1">
        <f t="array" ref="J6275">IFERROR(IF($B6275=J$1, ($A6275+$C6275) - MAX(IF($B$2:$B6274=$B6275, $A$2:$A6274+$C$2:$C6274)), "")*24*60, "")</f>
        <v/>
      </c>
      <c r="K6275" s="24" t="str" cm="1">
        <f t="array" ref="K6275">IFERROR(IF($B6275=K$1, ($A6275+$C6275) - MAX(IF($B$2:$B6274=$B6275, $A$2:$A6274+$C$2:$C6274)), "")*24*60, "")</f>
        <v/>
      </c>
      <c r="L6275" s="24" t="str" cm="1">
        <f t="array" ref="L6275">IFERROR(IF($B6275=L$1, ($A6275+$C6275) - MAX(IF($B$2:$B6274=$B6275, $A$2:$A6274+$C$2:$C6274)), "")*24*60, "")</f>
        <v/>
      </c>
      <c r="M6275" s="24" t="str" cm="1">
        <f t="array" ref="M6275">IFERROR(IF($B6275=M$1, ($A6275+$C6275) - MAX(IF($B$2:$B6274=$B6275, $A$2:$A6274+$C$2:$C6274)), "")*24*60, "")</f>
        <v/>
      </c>
      <c r="N6275" s="24" t="str" cm="1">
        <f t="array" ref="N6275">IFERROR(IF($B6275=N$1, ($A6275+$C6275) - MAX(IF($B$2:$B6274=$B6275, $A$2:$A6274+$C$2:$C6274)), "")*24*60, "")</f>
        <v/>
      </c>
      <c r="O6275" s="24" t="str" cm="1">
        <f t="array" ref="O6275">IFERROR(IF($B6275=O$1, ($A6275+$C6275) - MAX(IF($B$2:$B6274=$B6275, $A$2:$A6274+$C$2:$C6274)), "")*24*60, "")</f>
        <v/>
      </c>
      <c r="P6275" s="24" t="str" cm="1">
        <f t="array" ref="P6275">IFERROR(IF($B6275=P$1, ($A6275+$C6275) - MAX(IF($B$2:$B6274=$B6275, $A$2:$A6274+$C$2:$C6274)), "")*24*60, "")</f>
        <v/>
      </c>
      <c r="Q6275" s="24" t="str" cm="1">
        <f t="array" ref="Q6275">IFERROR(IF($B6275=Q$1, ($A6275+$C6275) - MAX(IF($B$2:$B6274=$B6275, $A$2:$A6274+$C$2:$C6274)), "")*24*60, "")</f>
        <v/>
      </c>
      <c r="R6275" s="24" t="str" cm="1">
        <f t="array" ref="R6275">IFERROR(IF($B6275=R$1, ($A6275+$C6275) - MAX(IF($B$2:$B6274=$B6275, $A$2:$A6274+$C$2:$C6274)), "")*24*60, "")</f>
        <v/>
      </c>
      <c r="S6275" s="24" t="str" cm="1">
        <f t="array" ref="S6275">IFERROR(IF($B6275=S$1, ($A6275+$C6275) - MAX(IF($B$2:$B6274=$B6275, $A$2:$A6274+$C$2:$C6274)), "")*24*60, "")</f>
        <v/>
      </c>
    </row>
    <row r="6276" spans="1:19" x14ac:dyDescent="0.2">
      <c r="A6276" s="12">
        <f t="shared" ref="A6276:C6276" si="1255">A6275</f>
        <v>45988</v>
      </c>
      <c r="B6276" s="5" t="str">
        <f t="shared" si="1255"/>
        <v>Northern Cardinal</v>
      </c>
      <c r="C6276" s="6">
        <f t="shared" si="1255"/>
        <v>0.28472222222222221</v>
      </c>
      <c r="D6276" s="5"/>
      <c r="E6276" s="5"/>
      <c r="F6276" s="5" t="s">
        <v>8</v>
      </c>
      <c r="G6276" s="15" t="s">
        <v>9</v>
      </c>
      <c r="H6276" s="24">
        <f t="shared" si="1213"/>
        <v>0</v>
      </c>
      <c r="I6276" s="24" cm="1">
        <f t="array" ref="I6276">IFERROR(IF($B6276=I$1, ($A6276+$C6276) - MAX(IF($B$2:$B6275=$B6276, $A$2:$A6275+$C$2:$C6275)), "")*24*60, "")</f>
        <v>0</v>
      </c>
      <c r="J6276" s="24" t="str" cm="1">
        <f t="array" ref="J6276">IFERROR(IF($B6276=J$1, ($A6276+$C6276) - MAX(IF($B$2:$B6275=$B6276, $A$2:$A6275+$C$2:$C6275)), "")*24*60, "")</f>
        <v/>
      </c>
      <c r="K6276" s="24" t="str" cm="1">
        <f t="array" ref="K6276">IFERROR(IF($B6276=K$1, ($A6276+$C6276) - MAX(IF($B$2:$B6275=$B6276, $A$2:$A6275+$C$2:$C6275)), "")*24*60, "")</f>
        <v/>
      </c>
      <c r="L6276" s="24" t="str" cm="1">
        <f t="array" ref="L6276">IFERROR(IF($B6276=L$1, ($A6276+$C6276) - MAX(IF($B$2:$B6275=$B6276, $A$2:$A6275+$C$2:$C6275)), "")*24*60, "")</f>
        <v/>
      </c>
      <c r="M6276" s="24" t="str" cm="1">
        <f t="array" ref="M6276">IFERROR(IF($B6276=M$1, ($A6276+$C6276) - MAX(IF($B$2:$B6275=$B6276, $A$2:$A6275+$C$2:$C6275)), "")*24*60, "")</f>
        <v/>
      </c>
      <c r="N6276" s="24" t="str" cm="1">
        <f t="array" ref="N6276">IFERROR(IF($B6276=N$1, ($A6276+$C6276) - MAX(IF($B$2:$B6275=$B6276, $A$2:$A6275+$C$2:$C6275)), "")*24*60, "")</f>
        <v/>
      </c>
      <c r="O6276" s="24" t="str" cm="1">
        <f t="array" ref="O6276">IFERROR(IF($B6276=O$1, ($A6276+$C6276) - MAX(IF($B$2:$B6275=$B6276, $A$2:$A6275+$C$2:$C6275)), "")*24*60, "")</f>
        <v/>
      </c>
      <c r="P6276" s="24" t="str" cm="1">
        <f t="array" ref="P6276">IFERROR(IF($B6276=P$1, ($A6276+$C6276) - MAX(IF($B$2:$B6275=$B6276, $A$2:$A6275+$C$2:$C6275)), "")*24*60, "")</f>
        <v/>
      </c>
      <c r="Q6276" s="24" t="str" cm="1">
        <f t="array" ref="Q6276">IFERROR(IF($B6276=Q$1, ($A6276+$C6276) - MAX(IF($B$2:$B6275=$B6276, $A$2:$A6275+$C$2:$C6275)), "")*24*60, "")</f>
        <v/>
      </c>
      <c r="R6276" s="24" t="str" cm="1">
        <f t="array" ref="R6276">IFERROR(IF($B6276=R$1, ($A6276+$C6276) - MAX(IF($B$2:$B6275=$B6276, $A$2:$A6275+$C$2:$C6275)), "")*24*60, "")</f>
        <v/>
      </c>
      <c r="S6276" s="24" t="str" cm="1">
        <f t="array" ref="S6276">IFERROR(IF($B6276=S$1, ($A6276+$C6276) - MAX(IF($B$2:$B6275=$B6276, $A$2:$A6275+$C$2:$C6275)), "")*24*60, "")</f>
        <v/>
      </c>
    </row>
    <row r="6277" spans="1:19" x14ac:dyDescent="0.2">
      <c r="A6277" s="12">
        <f t="shared" ref="A6277:C6277" si="1256">A6276</f>
        <v>45988</v>
      </c>
      <c r="B6277" s="5" t="str">
        <f t="shared" si="1256"/>
        <v>Northern Cardinal</v>
      </c>
      <c r="C6277" s="6">
        <f t="shared" si="1256"/>
        <v>0.28472222222222221</v>
      </c>
      <c r="D6277" s="5"/>
      <c r="E6277" s="5"/>
      <c r="F6277" s="5" t="s">
        <v>8</v>
      </c>
      <c r="G6277" s="15" t="s">
        <v>9</v>
      </c>
      <c r="H6277" s="24">
        <f t="shared" si="1213"/>
        <v>0</v>
      </c>
      <c r="I6277" s="24" cm="1">
        <f t="array" ref="I6277">IFERROR(IF($B6277=I$1, ($A6277+$C6277) - MAX(IF($B$2:$B6276=$B6277, $A$2:$A6276+$C$2:$C6276)), "")*24*60, "")</f>
        <v>0</v>
      </c>
      <c r="J6277" s="24" t="str" cm="1">
        <f t="array" ref="J6277">IFERROR(IF($B6277=J$1, ($A6277+$C6277) - MAX(IF($B$2:$B6276=$B6277, $A$2:$A6276+$C$2:$C6276)), "")*24*60, "")</f>
        <v/>
      </c>
      <c r="K6277" s="24" t="str" cm="1">
        <f t="array" ref="K6277">IFERROR(IF($B6277=K$1, ($A6277+$C6277) - MAX(IF($B$2:$B6276=$B6277, $A$2:$A6276+$C$2:$C6276)), "")*24*60, "")</f>
        <v/>
      </c>
      <c r="L6277" s="24" t="str" cm="1">
        <f t="array" ref="L6277">IFERROR(IF($B6277=L$1, ($A6277+$C6277) - MAX(IF($B$2:$B6276=$B6277, $A$2:$A6276+$C$2:$C6276)), "")*24*60, "")</f>
        <v/>
      </c>
      <c r="M6277" s="24" t="str" cm="1">
        <f t="array" ref="M6277">IFERROR(IF($B6277=M$1, ($A6277+$C6277) - MAX(IF($B$2:$B6276=$B6277, $A$2:$A6276+$C$2:$C6276)), "")*24*60, "")</f>
        <v/>
      </c>
      <c r="N6277" s="24" t="str" cm="1">
        <f t="array" ref="N6277">IFERROR(IF($B6277=N$1, ($A6277+$C6277) - MAX(IF($B$2:$B6276=$B6277, $A$2:$A6276+$C$2:$C6276)), "")*24*60, "")</f>
        <v/>
      </c>
      <c r="O6277" s="24" t="str" cm="1">
        <f t="array" ref="O6277">IFERROR(IF($B6277=O$1, ($A6277+$C6277) - MAX(IF($B$2:$B6276=$B6277, $A$2:$A6276+$C$2:$C6276)), "")*24*60, "")</f>
        <v/>
      </c>
      <c r="P6277" s="24" t="str" cm="1">
        <f t="array" ref="P6277">IFERROR(IF($B6277=P$1, ($A6277+$C6277) - MAX(IF($B$2:$B6276=$B6277, $A$2:$A6276+$C$2:$C6276)), "")*24*60, "")</f>
        <v/>
      </c>
      <c r="Q6277" s="24" t="str" cm="1">
        <f t="array" ref="Q6277">IFERROR(IF($B6277=Q$1, ($A6277+$C6277) - MAX(IF($B$2:$B6276=$B6277, $A$2:$A6276+$C$2:$C6276)), "")*24*60, "")</f>
        <v/>
      </c>
      <c r="R6277" s="24" t="str" cm="1">
        <f t="array" ref="R6277">IFERROR(IF($B6277=R$1, ($A6277+$C6277) - MAX(IF($B$2:$B6276=$B6277, $A$2:$A6276+$C$2:$C6276)), "")*24*60, "")</f>
        <v/>
      </c>
      <c r="S6277" s="24" t="str" cm="1">
        <f t="array" ref="S6277">IFERROR(IF($B6277=S$1, ($A6277+$C6277) - MAX(IF($B$2:$B6276=$B6277, $A$2:$A6276+$C$2:$C6276)), "")*24*60, "")</f>
        <v/>
      </c>
    </row>
    <row r="6278" spans="1:19" x14ac:dyDescent="0.2">
      <c r="A6278" s="12">
        <f t="shared" ref="A6278:C6278" si="1257">A6277</f>
        <v>45988</v>
      </c>
      <c r="B6278" s="5" t="str">
        <f t="shared" si="1257"/>
        <v>Northern Cardinal</v>
      </c>
      <c r="C6278" s="6">
        <f t="shared" si="1257"/>
        <v>0.28472222222222221</v>
      </c>
      <c r="D6278" s="5"/>
      <c r="E6278" s="5"/>
      <c r="F6278" s="5" t="s">
        <v>8</v>
      </c>
      <c r="G6278" s="15" t="s">
        <v>9</v>
      </c>
      <c r="H6278" s="24">
        <f t="shared" si="1213"/>
        <v>0</v>
      </c>
      <c r="I6278" s="24" cm="1">
        <f t="array" ref="I6278">IFERROR(IF($B6278=I$1, ($A6278+$C6278) - MAX(IF($B$2:$B6277=$B6278, $A$2:$A6277+$C$2:$C6277)), "")*24*60, "")</f>
        <v>0</v>
      </c>
      <c r="J6278" s="24" t="str" cm="1">
        <f t="array" ref="J6278">IFERROR(IF($B6278=J$1, ($A6278+$C6278) - MAX(IF($B$2:$B6277=$B6278, $A$2:$A6277+$C$2:$C6277)), "")*24*60, "")</f>
        <v/>
      </c>
      <c r="K6278" s="24" t="str" cm="1">
        <f t="array" ref="K6278">IFERROR(IF($B6278=K$1, ($A6278+$C6278) - MAX(IF($B$2:$B6277=$B6278, $A$2:$A6277+$C$2:$C6277)), "")*24*60, "")</f>
        <v/>
      </c>
      <c r="L6278" s="24" t="str" cm="1">
        <f t="array" ref="L6278">IFERROR(IF($B6278=L$1, ($A6278+$C6278) - MAX(IF($B$2:$B6277=$B6278, $A$2:$A6277+$C$2:$C6277)), "")*24*60, "")</f>
        <v/>
      </c>
      <c r="M6278" s="24" t="str" cm="1">
        <f t="array" ref="M6278">IFERROR(IF($B6278=M$1, ($A6278+$C6278) - MAX(IF($B$2:$B6277=$B6278, $A$2:$A6277+$C$2:$C6277)), "")*24*60, "")</f>
        <v/>
      </c>
      <c r="N6278" s="24" t="str" cm="1">
        <f t="array" ref="N6278">IFERROR(IF($B6278=N$1, ($A6278+$C6278) - MAX(IF($B$2:$B6277=$B6278, $A$2:$A6277+$C$2:$C6277)), "")*24*60, "")</f>
        <v/>
      </c>
      <c r="O6278" s="24" t="str" cm="1">
        <f t="array" ref="O6278">IFERROR(IF($B6278=O$1, ($A6278+$C6278) - MAX(IF($B$2:$B6277=$B6278, $A$2:$A6277+$C$2:$C6277)), "")*24*60, "")</f>
        <v/>
      </c>
      <c r="P6278" s="24" t="str" cm="1">
        <f t="array" ref="P6278">IFERROR(IF($B6278=P$1, ($A6278+$C6278) - MAX(IF($B$2:$B6277=$B6278, $A$2:$A6277+$C$2:$C6277)), "")*24*60, "")</f>
        <v/>
      </c>
      <c r="Q6278" s="24" t="str" cm="1">
        <f t="array" ref="Q6278">IFERROR(IF($B6278=Q$1, ($A6278+$C6278) - MAX(IF($B$2:$B6277=$B6278, $A$2:$A6277+$C$2:$C6277)), "")*24*60, "")</f>
        <v/>
      </c>
      <c r="R6278" s="24" t="str" cm="1">
        <f t="array" ref="R6278">IFERROR(IF($B6278=R$1, ($A6278+$C6278) - MAX(IF($B$2:$B6277=$B6278, $A$2:$A6277+$C$2:$C6277)), "")*24*60, "")</f>
        <v/>
      </c>
      <c r="S6278" s="24" t="str" cm="1">
        <f t="array" ref="S6278">IFERROR(IF($B6278=S$1, ($A6278+$C6278) - MAX(IF($B$2:$B6277=$B6278, $A$2:$A6277+$C$2:$C6277)), "")*24*60, "")</f>
        <v/>
      </c>
    </row>
    <row r="6279" spans="1:19" x14ac:dyDescent="0.2">
      <c r="A6279" s="12">
        <f t="shared" ref="A6279:C6279" si="1258">A6278</f>
        <v>45988</v>
      </c>
      <c r="B6279" s="5" t="str">
        <f t="shared" si="1258"/>
        <v>Northern Cardinal</v>
      </c>
      <c r="C6279" s="6">
        <f t="shared" si="1258"/>
        <v>0.28472222222222221</v>
      </c>
      <c r="D6279" s="5"/>
      <c r="E6279" s="5"/>
      <c r="F6279" s="5" t="s">
        <v>8</v>
      </c>
      <c r="G6279" s="15" t="s">
        <v>9</v>
      </c>
      <c r="H6279" s="24">
        <f t="shared" si="1213"/>
        <v>0</v>
      </c>
      <c r="I6279" s="24" cm="1">
        <f t="array" ref="I6279">IFERROR(IF($B6279=I$1, ($A6279+$C6279) - MAX(IF($B$2:$B6278=$B6279, $A$2:$A6278+$C$2:$C6278)), "")*24*60, "")</f>
        <v>0</v>
      </c>
      <c r="J6279" s="24" t="str" cm="1">
        <f t="array" ref="J6279">IFERROR(IF($B6279=J$1, ($A6279+$C6279) - MAX(IF($B$2:$B6278=$B6279, $A$2:$A6278+$C$2:$C6278)), "")*24*60, "")</f>
        <v/>
      </c>
      <c r="K6279" s="24" t="str" cm="1">
        <f t="array" ref="K6279">IFERROR(IF($B6279=K$1, ($A6279+$C6279) - MAX(IF($B$2:$B6278=$B6279, $A$2:$A6278+$C$2:$C6278)), "")*24*60, "")</f>
        <v/>
      </c>
      <c r="L6279" s="24" t="str" cm="1">
        <f t="array" ref="L6279">IFERROR(IF($B6279=L$1, ($A6279+$C6279) - MAX(IF($B$2:$B6278=$B6279, $A$2:$A6278+$C$2:$C6278)), "")*24*60, "")</f>
        <v/>
      </c>
      <c r="M6279" s="24" t="str" cm="1">
        <f t="array" ref="M6279">IFERROR(IF($B6279=M$1, ($A6279+$C6279) - MAX(IF($B$2:$B6278=$B6279, $A$2:$A6278+$C$2:$C6278)), "")*24*60, "")</f>
        <v/>
      </c>
      <c r="N6279" s="24" t="str" cm="1">
        <f t="array" ref="N6279">IFERROR(IF($B6279=N$1, ($A6279+$C6279) - MAX(IF($B$2:$B6278=$B6279, $A$2:$A6278+$C$2:$C6278)), "")*24*60, "")</f>
        <v/>
      </c>
      <c r="O6279" s="24" t="str" cm="1">
        <f t="array" ref="O6279">IFERROR(IF($B6279=O$1, ($A6279+$C6279) - MAX(IF($B$2:$B6278=$B6279, $A$2:$A6278+$C$2:$C6278)), "")*24*60, "")</f>
        <v/>
      </c>
      <c r="P6279" s="24" t="str" cm="1">
        <f t="array" ref="P6279">IFERROR(IF($B6279=P$1, ($A6279+$C6279) - MAX(IF($B$2:$B6278=$B6279, $A$2:$A6278+$C$2:$C6278)), "")*24*60, "")</f>
        <v/>
      </c>
      <c r="Q6279" s="24" t="str" cm="1">
        <f t="array" ref="Q6279">IFERROR(IF($B6279=Q$1, ($A6279+$C6279) - MAX(IF($B$2:$B6278=$B6279, $A$2:$A6278+$C$2:$C6278)), "")*24*60, "")</f>
        <v/>
      </c>
      <c r="R6279" s="24" t="str" cm="1">
        <f t="array" ref="R6279">IFERROR(IF($B6279=R$1, ($A6279+$C6279) - MAX(IF($B$2:$B6278=$B6279, $A$2:$A6278+$C$2:$C6278)), "")*24*60, "")</f>
        <v/>
      </c>
      <c r="S6279" s="24" t="str" cm="1">
        <f t="array" ref="S6279">IFERROR(IF($B6279=S$1, ($A6279+$C6279) - MAX(IF($B$2:$B6278=$B6279, $A$2:$A6278+$C$2:$C6278)), "")*24*60, "")</f>
        <v/>
      </c>
    </row>
    <row r="6280" spans="1:19" x14ac:dyDescent="0.2">
      <c r="A6280" s="12">
        <f t="shared" ref="A6280:C6280" si="1259">A6279</f>
        <v>45988</v>
      </c>
      <c r="B6280" s="5" t="str">
        <f t="shared" si="1259"/>
        <v>Northern Cardinal</v>
      </c>
      <c r="C6280" s="6">
        <f t="shared" si="1259"/>
        <v>0.28472222222222221</v>
      </c>
      <c r="D6280" s="5"/>
      <c r="E6280" s="5"/>
      <c r="F6280" s="5" t="s">
        <v>8</v>
      </c>
      <c r="G6280" s="15" t="s">
        <v>9</v>
      </c>
      <c r="H6280" s="24">
        <f t="shared" si="1213"/>
        <v>0</v>
      </c>
      <c r="I6280" s="24" cm="1">
        <f t="array" ref="I6280">IFERROR(IF($B6280=I$1, ($A6280+$C6280) - MAX(IF($B$2:$B6279=$B6280, $A$2:$A6279+$C$2:$C6279)), "")*24*60, "")</f>
        <v>0</v>
      </c>
      <c r="J6280" s="24" t="str" cm="1">
        <f t="array" ref="J6280">IFERROR(IF($B6280=J$1, ($A6280+$C6280) - MAX(IF($B$2:$B6279=$B6280, $A$2:$A6279+$C$2:$C6279)), "")*24*60, "")</f>
        <v/>
      </c>
      <c r="K6280" s="24" t="str" cm="1">
        <f t="array" ref="K6280">IFERROR(IF($B6280=K$1, ($A6280+$C6280) - MAX(IF($B$2:$B6279=$B6280, $A$2:$A6279+$C$2:$C6279)), "")*24*60, "")</f>
        <v/>
      </c>
      <c r="L6280" s="24" t="str" cm="1">
        <f t="array" ref="L6280">IFERROR(IF($B6280=L$1, ($A6280+$C6280) - MAX(IF($B$2:$B6279=$B6280, $A$2:$A6279+$C$2:$C6279)), "")*24*60, "")</f>
        <v/>
      </c>
      <c r="M6280" s="24" t="str" cm="1">
        <f t="array" ref="M6280">IFERROR(IF($B6280=M$1, ($A6280+$C6280) - MAX(IF($B$2:$B6279=$B6280, $A$2:$A6279+$C$2:$C6279)), "")*24*60, "")</f>
        <v/>
      </c>
      <c r="N6280" s="24" t="str" cm="1">
        <f t="array" ref="N6280">IFERROR(IF($B6280=N$1, ($A6280+$C6280) - MAX(IF($B$2:$B6279=$B6280, $A$2:$A6279+$C$2:$C6279)), "")*24*60, "")</f>
        <v/>
      </c>
      <c r="O6280" s="24" t="str" cm="1">
        <f t="array" ref="O6280">IFERROR(IF($B6280=O$1, ($A6280+$C6280) - MAX(IF($B$2:$B6279=$B6280, $A$2:$A6279+$C$2:$C6279)), "")*24*60, "")</f>
        <v/>
      </c>
      <c r="P6280" s="24" t="str" cm="1">
        <f t="array" ref="P6280">IFERROR(IF($B6280=P$1, ($A6280+$C6280) - MAX(IF($B$2:$B6279=$B6280, $A$2:$A6279+$C$2:$C6279)), "")*24*60, "")</f>
        <v/>
      </c>
      <c r="Q6280" s="24" t="str" cm="1">
        <f t="array" ref="Q6280">IFERROR(IF($B6280=Q$1, ($A6280+$C6280) - MAX(IF($B$2:$B6279=$B6280, $A$2:$A6279+$C$2:$C6279)), "")*24*60, "")</f>
        <v/>
      </c>
      <c r="R6280" s="24" t="str" cm="1">
        <f t="array" ref="R6280">IFERROR(IF($B6280=R$1, ($A6280+$C6280) - MAX(IF($B$2:$B6279=$B6280, $A$2:$A6279+$C$2:$C6279)), "")*24*60, "")</f>
        <v/>
      </c>
      <c r="S6280" s="24" t="str" cm="1">
        <f t="array" ref="S6280">IFERROR(IF($B6280=S$1, ($A6280+$C6280) - MAX(IF($B$2:$B6279=$B6280, $A$2:$A6279+$C$2:$C6279)), "")*24*60, "")</f>
        <v/>
      </c>
    </row>
    <row r="6281" spans="1:19" x14ac:dyDescent="0.2">
      <c r="A6281" s="12">
        <f t="shared" ref="A6281:C6281" si="1260">A6280</f>
        <v>45988</v>
      </c>
      <c r="B6281" s="5" t="str">
        <f t="shared" si="1260"/>
        <v>Northern Cardinal</v>
      </c>
      <c r="C6281" s="6">
        <f t="shared" si="1260"/>
        <v>0.28472222222222221</v>
      </c>
      <c r="D6281" s="5"/>
      <c r="E6281" s="5"/>
      <c r="F6281" s="5" t="s">
        <v>8</v>
      </c>
      <c r="G6281" s="15" t="s">
        <v>9</v>
      </c>
      <c r="H6281" s="24">
        <f t="shared" si="1213"/>
        <v>0</v>
      </c>
      <c r="I6281" s="24" cm="1">
        <f t="array" ref="I6281">IFERROR(IF($B6281=I$1, ($A6281+$C6281) - MAX(IF($B$2:$B6280=$B6281, $A$2:$A6280+$C$2:$C6280)), "")*24*60, "")</f>
        <v>0</v>
      </c>
      <c r="J6281" s="24" t="str" cm="1">
        <f t="array" ref="J6281">IFERROR(IF($B6281=J$1, ($A6281+$C6281) - MAX(IF($B$2:$B6280=$B6281, $A$2:$A6280+$C$2:$C6280)), "")*24*60, "")</f>
        <v/>
      </c>
      <c r="K6281" s="24" t="str" cm="1">
        <f t="array" ref="K6281">IFERROR(IF($B6281=K$1, ($A6281+$C6281) - MAX(IF($B$2:$B6280=$B6281, $A$2:$A6280+$C$2:$C6280)), "")*24*60, "")</f>
        <v/>
      </c>
      <c r="L6281" s="24" t="str" cm="1">
        <f t="array" ref="L6281">IFERROR(IF($B6281=L$1, ($A6281+$C6281) - MAX(IF($B$2:$B6280=$B6281, $A$2:$A6280+$C$2:$C6280)), "")*24*60, "")</f>
        <v/>
      </c>
      <c r="M6281" s="24" t="str" cm="1">
        <f t="array" ref="M6281">IFERROR(IF($B6281=M$1, ($A6281+$C6281) - MAX(IF($B$2:$B6280=$B6281, $A$2:$A6280+$C$2:$C6280)), "")*24*60, "")</f>
        <v/>
      </c>
      <c r="N6281" s="24" t="str" cm="1">
        <f t="array" ref="N6281">IFERROR(IF($B6281=N$1, ($A6281+$C6281) - MAX(IF($B$2:$B6280=$B6281, $A$2:$A6280+$C$2:$C6280)), "")*24*60, "")</f>
        <v/>
      </c>
      <c r="O6281" s="24" t="str" cm="1">
        <f t="array" ref="O6281">IFERROR(IF($B6281=O$1, ($A6281+$C6281) - MAX(IF($B$2:$B6280=$B6281, $A$2:$A6280+$C$2:$C6280)), "")*24*60, "")</f>
        <v/>
      </c>
      <c r="P6281" s="24" t="str" cm="1">
        <f t="array" ref="P6281">IFERROR(IF($B6281=P$1, ($A6281+$C6281) - MAX(IF($B$2:$B6280=$B6281, $A$2:$A6280+$C$2:$C6280)), "")*24*60, "")</f>
        <v/>
      </c>
      <c r="Q6281" s="24" t="str" cm="1">
        <f t="array" ref="Q6281">IFERROR(IF($B6281=Q$1, ($A6281+$C6281) - MAX(IF($B$2:$B6280=$B6281, $A$2:$A6280+$C$2:$C6280)), "")*24*60, "")</f>
        <v/>
      </c>
      <c r="R6281" s="24" t="str" cm="1">
        <f t="array" ref="R6281">IFERROR(IF($B6281=R$1, ($A6281+$C6281) - MAX(IF($B$2:$B6280=$B6281, $A$2:$A6280+$C$2:$C6280)), "")*24*60, "")</f>
        <v/>
      </c>
      <c r="S6281" s="24" t="str" cm="1">
        <f t="array" ref="S6281">IFERROR(IF($B6281=S$1, ($A6281+$C6281) - MAX(IF($B$2:$B6280=$B6281, $A$2:$A6280+$C$2:$C6280)), "")*24*60, "")</f>
        <v/>
      </c>
    </row>
    <row r="6282" spans="1:19" x14ac:dyDescent="0.2">
      <c r="A6282" s="12">
        <f t="shared" ref="A6282:C6282" si="1261">A6281</f>
        <v>45988</v>
      </c>
      <c r="B6282" s="5" t="str">
        <f t="shared" si="1261"/>
        <v>Northern Cardinal</v>
      </c>
      <c r="C6282" s="6">
        <f t="shared" si="1261"/>
        <v>0.28472222222222221</v>
      </c>
      <c r="D6282" s="5"/>
      <c r="E6282" s="5"/>
      <c r="F6282" s="5" t="s">
        <v>8</v>
      </c>
      <c r="G6282" s="15" t="s">
        <v>9</v>
      </c>
      <c r="H6282" s="24">
        <f t="shared" si="1213"/>
        <v>0</v>
      </c>
      <c r="I6282" s="24" cm="1">
        <f t="array" ref="I6282">IFERROR(IF($B6282=I$1, ($A6282+$C6282) - MAX(IF($B$2:$B6281=$B6282, $A$2:$A6281+$C$2:$C6281)), "")*24*60, "")</f>
        <v>0</v>
      </c>
      <c r="J6282" s="24" t="str" cm="1">
        <f t="array" ref="J6282">IFERROR(IF($B6282=J$1, ($A6282+$C6282) - MAX(IF($B$2:$B6281=$B6282, $A$2:$A6281+$C$2:$C6281)), "")*24*60, "")</f>
        <v/>
      </c>
      <c r="K6282" s="24" t="str" cm="1">
        <f t="array" ref="K6282">IFERROR(IF($B6282=K$1, ($A6282+$C6282) - MAX(IF($B$2:$B6281=$B6282, $A$2:$A6281+$C$2:$C6281)), "")*24*60, "")</f>
        <v/>
      </c>
      <c r="L6282" s="24" t="str" cm="1">
        <f t="array" ref="L6282">IFERROR(IF($B6282=L$1, ($A6282+$C6282) - MAX(IF($B$2:$B6281=$B6282, $A$2:$A6281+$C$2:$C6281)), "")*24*60, "")</f>
        <v/>
      </c>
      <c r="M6282" s="24" t="str" cm="1">
        <f t="array" ref="M6282">IFERROR(IF($B6282=M$1, ($A6282+$C6282) - MAX(IF($B$2:$B6281=$B6282, $A$2:$A6281+$C$2:$C6281)), "")*24*60, "")</f>
        <v/>
      </c>
      <c r="N6282" s="24" t="str" cm="1">
        <f t="array" ref="N6282">IFERROR(IF($B6282=N$1, ($A6282+$C6282) - MAX(IF($B$2:$B6281=$B6282, $A$2:$A6281+$C$2:$C6281)), "")*24*60, "")</f>
        <v/>
      </c>
      <c r="O6282" s="24" t="str" cm="1">
        <f t="array" ref="O6282">IFERROR(IF($B6282=O$1, ($A6282+$C6282) - MAX(IF($B$2:$B6281=$B6282, $A$2:$A6281+$C$2:$C6281)), "")*24*60, "")</f>
        <v/>
      </c>
      <c r="P6282" s="24" t="str" cm="1">
        <f t="array" ref="P6282">IFERROR(IF($B6282=P$1, ($A6282+$C6282) - MAX(IF($B$2:$B6281=$B6282, $A$2:$A6281+$C$2:$C6281)), "")*24*60, "")</f>
        <v/>
      </c>
      <c r="Q6282" s="24" t="str" cm="1">
        <f t="array" ref="Q6282">IFERROR(IF($B6282=Q$1, ($A6282+$C6282) - MAX(IF($B$2:$B6281=$B6282, $A$2:$A6281+$C$2:$C6281)), "")*24*60, "")</f>
        <v/>
      </c>
      <c r="R6282" s="24" t="str" cm="1">
        <f t="array" ref="R6282">IFERROR(IF($B6282=R$1, ($A6282+$C6282) - MAX(IF($B$2:$B6281=$B6282, $A$2:$A6281+$C$2:$C6281)), "")*24*60, "")</f>
        <v/>
      </c>
      <c r="S6282" s="24" t="str" cm="1">
        <f t="array" ref="S6282">IFERROR(IF($B6282=S$1, ($A6282+$C6282) - MAX(IF($B$2:$B6281=$B6282, $A$2:$A6281+$C$2:$C6281)), "")*24*60, "")</f>
        <v/>
      </c>
    </row>
    <row r="6283" spans="1:19" x14ac:dyDescent="0.2">
      <c r="A6283" s="12">
        <f t="shared" ref="A6283:C6283" si="1262">A6282</f>
        <v>45988</v>
      </c>
      <c r="B6283" s="5" t="str">
        <f t="shared" si="1262"/>
        <v>Northern Cardinal</v>
      </c>
      <c r="C6283" s="6">
        <f t="shared" si="1262"/>
        <v>0.28472222222222221</v>
      </c>
      <c r="D6283" s="5"/>
      <c r="E6283" s="5"/>
      <c r="F6283" s="5" t="s">
        <v>8</v>
      </c>
      <c r="G6283" s="15" t="s">
        <v>9</v>
      </c>
      <c r="H6283" s="24">
        <f t="shared" si="1213"/>
        <v>0</v>
      </c>
      <c r="I6283" s="24" cm="1">
        <f t="array" ref="I6283">IFERROR(IF($B6283=I$1, ($A6283+$C6283) - MAX(IF($B$2:$B6282=$B6283, $A$2:$A6282+$C$2:$C6282)), "")*24*60, "")</f>
        <v>0</v>
      </c>
      <c r="J6283" s="24" t="str" cm="1">
        <f t="array" ref="J6283">IFERROR(IF($B6283=J$1, ($A6283+$C6283) - MAX(IF($B$2:$B6282=$B6283, $A$2:$A6282+$C$2:$C6282)), "")*24*60, "")</f>
        <v/>
      </c>
      <c r="K6283" s="24" t="str" cm="1">
        <f t="array" ref="K6283">IFERROR(IF($B6283=K$1, ($A6283+$C6283) - MAX(IF($B$2:$B6282=$B6283, $A$2:$A6282+$C$2:$C6282)), "")*24*60, "")</f>
        <v/>
      </c>
      <c r="L6283" s="24" t="str" cm="1">
        <f t="array" ref="L6283">IFERROR(IF($B6283=L$1, ($A6283+$C6283) - MAX(IF($B$2:$B6282=$B6283, $A$2:$A6282+$C$2:$C6282)), "")*24*60, "")</f>
        <v/>
      </c>
      <c r="M6283" s="24" t="str" cm="1">
        <f t="array" ref="M6283">IFERROR(IF($B6283=M$1, ($A6283+$C6283) - MAX(IF($B$2:$B6282=$B6283, $A$2:$A6282+$C$2:$C6282)), "")*24*60, "")</f>
        <v/>
      </c>
      <c r="N6283" s="24" t="str" cm="1">
        <f t="array" ref="N6283">IFERROR(IF($B6283=N$1, ($A6283+$C6283) - MAX(IF($B$2:$B6282=$B6283, $A$2:$A6282+$C$2:$C6282)), "")*24*60, "")</f>
        <v/>
      </c>
      <c r="O6283" s="24" t="str" cm="1">
        <f t="array" ref="O6283">IFERROR(IF($B6283=O$1, ($A6283+$C6283) - MAX(IF($B$2:$B6282=$B6283, $A$2:$A6282+$C$2:$C6282)), "")*24*60, "")</f>
        <v/>
      </c>
      <c r="P6283" s="24" t="str" cm="1">
        <f t="array" ref="P6283">IFERROR(IF($B6283=P$1, ($A6283+$C6283) - MAX(IF($B$2:$B6282=$B6283, $A$2:$A6282+$C$2:$C6282)), "")*24*60, "")</f>
        <v/>
      </c>
      <c r="Q6283" s="24" t="str" cm="1">
        <f t="array" ref="Q6283">IFERROR(IF($B6283=Q$1, ($A6283+$C6283) - MAX(IF($B$2:$B6282=$B6283, $A$2:$A6282+$C$2:$C6282)), "")*24*60, "")</f>
        <v/>
      </c>
      <c r="R6283" s="24" t="str" cm="1">
        <f t="array" ref="R6283">IFERROR(IF($B6283=R$1, ($A6283+$C6283) - MAX(IF($B$2:$B6282=$B6283, $A$2:$A6282+$C$2:$C6282)), "")*24*60, "")</f>
        <v/>
      </c>
      <c r="S6283" s="24" t="str" cm="1">
        <f t="array" ref="S6283">IFERROR(IF($B6283=S$1, ($A6283+$C6283) - MAX(IF($B$2:$B6282=$B6283, $A$2:$A6282+$C$2:$C6282)), "")*24*60, "")</f>
        <v/>
      </c>
    </row>
    <row r="6284" spans="1:19" x14ac:dyDescent="0.2">
      <c r="A6284" s="12">
        <f t="shared" ref="A6284:C6284" si="1263">A6283</f>
        <v>45988</v>
      </c>
      <c r="B6284" s="5" t="str">
        <f t="shared" si="1263"/>
        <v>Northern Cardinal</v>
      </c>
      <c r="C6284" s="6">
        <f t="shared" si="1263"/>
        <v>0.28472222222222221</v>
      </c>
      <c r="D6284" s="5"/>
      <c r="E6284" s="5"/>
      <c r="F6284" s="5" t="s">
        <v>8</v>
      </c>
      <c r="G6284" s="15" t="s">
        <v>9</v>
      </c>
      <c r="H6284" s="24">
        <f t="shared" si="1213"/>
        <v>0</v>
      </c>
      <c r="I6284" s="24" cm="1">
        <f t="array" ref="I6284">IFERROR(IF($B6284=I$1, ($A6284+$C6284) - MAX(IF($B$2:$B6283=$B6284, $A$2:$A6283+$C$2:$C6283)), "")*24*60, "")</f>
        <v>0</v>
      </c>
      <c r="J6284" s="24" t="str" cm="1">
        <f t="array" ref="J6284">IFERROR(IF($B6284=J$1, ($A6284+$C6284) - MAX(IF($B$2:$B6283=$B6284, $A$2:$A6283+$C$2:$C6283)), "")*24*60, "")</f>
        <v/>
      </c>
      <c r="K6284" s="24" t="str" cm="1">
        <f t="array" ref="K6284">IFERROR(IF($B6284=K$1, ($A6284+$C6284) - MAX(IF($B$2:$B6283=$B6284, $A$2:$A6283+$C$2:$C6283)), "")*24*60, "")</f>
        <v/>
      </c>
      <c r="L6284" s="24" t="str" cm="1">
        <f t="array" ref="L6284">IFERROR(IF($B6284=L$1, ($A6284+$C6284) - MAX(IF($B$2:$B6283=$B6284, $A$2:$A6283+$C$2:$C6283)), "")*24*60, "")</f>
        <v/>
      </c>
      <c r="M6284" s="24" t="str" cm="1">
        <f t="array" ref="M6284">IFERROR(IF($B6284=M$1, ($A6284+$C6284) - MAX(IF($B$2:$B6283=$B6284, $A$2:$A6283+$C$2:$C6283)), "")*24*60, "")</f>
        <v/>
      </c>
      <c r="N6284" s="24" t="str" cm="1">
        <f t="array" ref="N6284">IFERROR(IF($B6284=N$1, ($A6284+$C6284) - MAX(IF($B$2:$B6283=$B6284, $A$2:$A6283+$C$2:$C6283)), "")*24*60, "")</f>
        <v/>
      </c>
      <c r="O6284" s="24" t="str" cm="1">
        <f t="array" ref="O6284">IFERROR(IF($B6284=O$1, ($A6284+$C6284) - MAX(IF($B$2:$B6283=$B6284, $A$2:$A6283+$C$2:$C6283)), "")*24*60, "")</f>
        <v/>
      </c>
      <c r="P6284" s="24" t="str" cm="1">
        <f t="array" ref="P6284">IFERROR(IF($B6284=P$1, ($A6284+$C6284) - MAX(IF($B$2:$B6283=$B6284, $A$2:$A6283+$C$2:$C6283)), "")*24*60, "")</f>
        <v/>
      </c>
      <c r="Q6284" s="24" t="str" cm="1">
        <f t="array" ref="Q6284">IFERROR(IF($B6284=Q$1, ($A6284+$C6284) - MAX(IF($B$2:$B6283=$B6284, $A$2:$A6283+$C$2:$C6283)), "")*24*60, "")</f>
        <v/>
      </c>
      <c r="R6284" s="24" t="str" cm="1">
        <f t="array" ref="R6284">IFERROR(IF($B6284=R$1, ($A6284+$C6284) - MAX(IF($B$2:$B6283=$B6284, $A$2:$A6283+$C$2:$C6283)), "")*24*60, "")</f>
        <v/>
      </c>
      <c r="S6284" s="24" t="str" cm="1">
        <f t="array" ref="S6284">IFERROR(IF($B6284=S$1, ($A6284+$C6284) - MAX(IF($B$2:$B6283=$B6284, $A$2:$A6283+$C$2:$C6283)), "")*24*60, "")</f>
        <v/>
      </c>
    </row>
    <row r="6285" spans="1:19" x14ac:dyDescent="0.2">
      <c r="A6285" s="12">
        <f t="shared" ref="A6285:C6285" si="1264">A6284</f>
        <v>45988</v>
      </c>
      <c r="B6285" s="5" t="str">
        <f t="shared" si="1264"/>
        <v>Northern Cardinal</v>
      </c>
      <c r="C6285" s="6">
        <f t="shared" si="1264"/>
        <v>0.28472222222222221</v>
      </c>
      <c r="D6285" s="5"/>
      <c r="E6285" s="5"/>
      <c r="F6285" s="5" t="s">
        <v>8</v>
      </c>
      <c r="G6285" s="15" t="s">
        <v>9</v>
      </c>
      <c r="H6285" s="24">
        <f t="shared" si="1213"/>
        <v>0</v>
      </c>
      <c r="I6285" s="24" cm="1">
        <f t="array" ref="I6285">IFERROR(IF($B6285=I$1, ($A6285+$C6285) - MAX(IF($B$2:$B6284=$B6285, $A$2:$A6284+$C$2:$C6284)), "")*24*60, "")</f>
        <v>0</v>
      </c>
      <c r="J6285" s="24" t="str" cm="1">
        <f t="array" ref="J6285">IFERROR(IF($B6285=J$1, ($A6285+$C6285) - MAX(IF($B$2:$B6284=$B6285, $A$2:$A6284+$C$2:$C6284)), "")*24*60, "")</f>
        <v/>
      </c>
      <c r="K6285" s="24" t="str" cm="1">
        <f t="array" ref="K6285">IFERROR(IF($B6285=K$1, ($A6285+$C6285) - MAX(IF($B$2:$B6284=$B6285, $A$2:$A6284+$C$2:$C6284)), "")*24*60, "")</f>
        <v/>
      </c>
      <c r="L6285" s="24" t="str" cm="1">
        <f t="array" ref="L6285">IFERROR(IF($B6285=L$1, ($A6285+$C6285) - MAX(IF($B$2:$B6284=$B6285, $A$2:$A6284+$C$2:$C6284)), "")*24*60, "")</f>
        <v/>
      </c>
      <c r="M6285" s="24" t="str" cm="1">
        <f t="array" ref="M6285">IFERROR(IF($B6285=M$1, ($A6285+$C6285) - MAX(IF($B$2:$B6284=$B6285, $A$2:$A6284+$C$2:$C6284)), "")*24*60, "")</f>
        <v/>
      </c>
      <c r="N6285" s="24" t="str" cm="1">
        <f t="array" ref="N6285">IFERROR(IF($B6285=N$1, ($A6285+$C6285) - MAX(IF($B$2:$B6284=$B6285, $A$2:$A6284+$C$2:$C6284)), "")*24*60, "")</f>
        <v/>
      </c>
      <c r="O6285" s="24" t="str" cm="1">
        <f t="array" ref="O6285">IFERROR(IF($B6285=O$1, ($A6285+$C6285) - MAX(IF($B$2:$B6284=$B6285, $A$2:$A6284+$C$2:$C6284)), "")*24*60, "")</f>
        <v/>
      </c>
      <c r="P6285" s="24" t="str" cm="1">
        <f t="array" ref="P6285">IFERROR(IF($B6285=P$1, ($A6285+$C6285) - MAX(IF($B$2:$B6284=$B6285, $A$2:$A6284+$C$2:$C6284)), "")*24*60, "")</f>
        <v/>
      </c>
      <c r="Q6285" s="24" t="str" cm="1">
        <f t="array" ref="Q6285">IFERROR(IF($B6285=Q$1, ($A6285+$C6285) - MAX(IF($B$2:$B6284=$B6285, $A$2:$A6284+$C$2:$C6284)), "")*24*60, "")</f>
        <v/>
      </c>
      <c r="R6285" s="24" t="str" cm="1">
        <f t="array" ref="R6285">IFERROR(IF($B6285=R$1, ($A6285+$C6285) - MAX(IF($B$2:$B6284=$B6285, $A$2:$A6284+$C$2:$C6284)), "")*24*60, "")</f>
        <v/>
      </c>
      <c r="S6285" s="24" t="str" cm="1">
        <f t="array" ref="S6285">IFERROR(IF($B6285=S$1, ($A6285+$C6285) - MAX(IF($B$2:$B6284=$B6285, $A$2:$A6284+$C$2:$C6284)), "")*24*60, "")</f>
        <v/>
      </c>
    </row>
    <row r="6286" spans="1:19" x14ac:dyDescent="0.2">
      <c r="A6286" s="12">
        <f t="shared" ref="A6286:C6286" si="1265">A6285</f>
        <v>45988</v>
      </c>
      <c r="B6286" s="5" t="str">
        <f t="shared" si="1265"/>
        <v>Northern Cardinal</v>
      </c>
      <c r="C6286" s="6">
        <f t="shared" si="1265"/>
        <v>0.28472222222222221</v>
      </c>
      <c r="D6286" s="5"/>
      <c r="E6286" s="5"/>
      <c r="F6286" s="5" t="s">
        <v>8</v>
      </c>
      <c r="G6286" s="15" t="s">
        <v>9</v>
      </c>
      <c r="H6286" s="24">
        <f t="shared" si="1213"/>
        <v>0</v>
      </c>
      <c r="I6286" s="24" cm="1">
        <f t="array" ref="I6286">IFERROR(IF($B6286=I$1, ($A6286+$C6286) - MAX(IF($B$2:$B6285=$B6286, $A$2:$A6285+$C$2:$C6285)), "")*24*60, "")</f>
        <v>0</v>
      </c>
      <c r="J6286" s="24" t="str" cm="1">
        <f t="array" ref="J6286">IFERROR(IF($B6286=J$1, ($A6286+$C6286) - MAX(IF($B$2:$B6285=$B6286, $A$2:$A6285+$C$2:$C6285)), "")*24*60, "")</f>
        <v/>
      </c>
      <c r="K6286" s="24" t="str" cm="1">
        <f t="array" ref="K6286">IFERROR(IF($B6286=K$1, ($A6286+$C6286) - MAX(IF($B$2:$B6285=$B6286, $A$2:$A6285+$C$2:$C6285)), "")*24*60, "")</f>
        <v/>
      </c>
      <c r="L6286" s="24" t="str" cm="1">
        <f t="array" ref="L6286">IFERROR(IF($B6286=L$1, ($A6286+$C6286) - MAX(IF($B$2:$B6285=$B6286, $A$2:$A6285+$C$2:$C6285)), "")*24*60, "")</f>
        <v/>
      </c>
      <c r="M6286" s="24" t="str" cm="1">
        <f t="array" ref="M6286">IFERROR(IF($B6286=M$1, ($A6286+$C6286) - MAX(IF($B$2:$B6285=$B6286, $A$2:$A6285+$C$2:$C6285)), "")*24*60, "")</f>
        <v/>
      </c>
      <c r="N6286" s="24" t="str" cm="1">
        <f t="array" ref="N6286">IFERROR(IF($B6286=N$1, ($A6286+$C6286) - MAX(IF($B$2:$B6285=$B6286, $A$2:$A6285+$C$2:$C6285)), "")*24*60, "")</f>
        <v/>
      </c>
      <c r="O6286" s="24" t="str" cm="1">
        <f t="array" ref="O6286">IFERROR(IF($B6286=O$1, ($A6286+$C6286) - MAX(IF($B$2:$B6285=$B6286, $A$2:$A6285+$C$2:$C6285)), "")*24*60, "")</f>
        <v/>
      </c>
      <c r="P6286" s="24" t="str" cm="1">
        <f t="array" ref="P6286">IFERROR(IF($B6286=P$1, ($A6286+$C6286) - MAX(IF($B$2:$B6285=$B6286, $A$2:$A6285+$C$2:$C6285)), "")*24*60, "")</f>
        <v/>
      </c>
      <c r="Q6286" s="24" t="str" cm="1">
        <f t="array" ref="Q6286">IFERROR(IF($B6286=Q$1, ($A6286+$C6286) - MAX(IF($B$2:$B6285=$B6286, $A$2:$A6285+$C$2:$C6285)), "")*24*60, "")</f>
        <v/>
      </c>
      <c r="R6286" s="24" t="str" cm="1">
        <f t="array" ref="R6286">IFERROR(IF($B6286=R$1, ($A6286+$C6286) - MAX(IF($B$2:$B6285=$B6286, $A$2:$A6285+$C$2:$C6285)), "")*24*60, "")</f>
        <v/>
      </c>
      <c r="S6286" s="24" t="str" cm="1">
        <f t="array" ref="S6286">IFERROR(IF($B6286=S$1, ($A6286+$C6286) - MAX(IF($B$2:$B6285=$B6286, $A$2:$A6285+$C$2:$C6285)), "")*24*60, "")</f>
        <v/>
      </c>
    </row>
    <row r="6287" spans="1:19" x14ac:dyDescent="0.2">
      <c r="A6287" s="12">
        <f t="shared" ref="A6287:C6287" si="1266">A6286</f>
        <v>45988</v>
      </c>
      <c r="B6287" s="5" t="str">
        <f t="shared" si="1266"/>
        <v>Northern Cardinal</v>
      </c>
      <c r="C6287" s="6">
        <f t="shared" si="1266"/>
        <v>0.28472222222222221</v>
      </c>
      <c r="D6287" s="5"/>
      <c r="E6287" s="5"/>
      <c r="F6287" s="5" t="s">
        <v>8</v>
      </c>
      <c r="G6287" s="15" t="s">
        <v>9</v>
      </c>
      <c r="H6287" s="24">
        <f t="shared" si="1213"/>
        <v>0</v>
      </c>
      <c r="I6287" s="24" cm="1">
        <f t="array" ref="I6287">IFERROR(IF($B6287=I$1, ($A6287+$C6287) - MAX(IF($B$2:$B6286=$B6287, $A$2:$A6286+$C$2:$C6286)), "")*24*60, "")</f>
        <v>0</v>
      </c>
      <c r="J6287" s="24" t="str" cm="1">
        <f t="array" ref="J6287">IFERROR(IF($B6287=J$1, ($A6287+$C6287) - MAX(IF($B$2:$B6286=$B6287, $A$2:$A6286+$C$2:$C6286)), "")*24*60, "")</f>
        <v/>
      </c>
      <c r="K6287" s="24" t="str" cm="1">
        <f t="array" ref="K6287">IFERROR(IF($B6287=K$1, ($A6287+$C6287) - MAX(IF($B$2:$B6286=$B6287, $A$2:$A6286+$C$2:$C6286)), "")*24*60, "")</f>
        <v/>
      </c>
      <c r="L6287" s="24" t="str" cm="1">
        <f t="array" ref="L6287">IFERROR(IF($B6287=L$1, ($A6287+$C6287) - MAX(IF($B$2:$B6286=$B6287, $A$2:$A6286+$C$2:$C6286)), "")*24*60, "")</f>
        <v/>
      </c>
      <c r="M6287" s="24" t="str" cm="1">
        <f t="array" ref="M6287">IFERROR(IF($B6287=M$1, ($A6287+$C6287) - MAX(IF($B$2:$B6286=$B6287, $A$2:$A6286+$C$2:$C6286)), "")*24*60, "")</f>
        <v/>
      </c>
      <c r="N6287" s="24" t="str" cm="1">
        <f t="array" ref="N6287">IFERROR(IF($B6287=N$1, ($A6287+$C6287) - MAX(IF($B$2:$B6286=$B6287, $A$2:$A6286+$C$2:$C6286)), "")*24*60, "")</f>
        <v/>
      </c>
      <c r="O6287" s="24" t="str" cm="1">
        <f t="array" ref="O6287">IFERROR(IF($B6287=O$1, ($A6287+$C6287) - MAX(IF($B$2:$B6286=$B6287, $A$2:$A6286+$C$2:$C6286)), "")*24*60, "")</f>
        <v/>
      </c>
      <c r="P6287" s="24" t="str" cm="1">
        <f t="array" ref="P6287">IFERROR(IF($B6287=P$1, ($A6287+$C6287) - MAX(IF($B$2:$B6286=$B6287, $A$2:$A6286+$C$2:$C6286)), "")*24*60, "")</f>
        <v/>
      </c>
      <c r="Q6287" s="24" t="str" cm="1">
        <f t="array" ref="Q6287">IFERROR(IF($B6287=Q$1, ($A6287+$C6287) - MAX(IF($B$2:$B6286=$B6287, $A$2:$A6286+$C$2:$C6286)), "")*24*60, "")</f>
        <v/>
      </c>
      <c r="R6287" s="24" t="str" cm="1">
        <f t="array" ref="R6287">IFERROR(IF($B6287=R$1, ($A6287+$C6287) - MAX(IF($B$2:$B6286=$B6287, $A$2:$A6286+$C$2:$C6286)), "")*24*60, "")</f>
        <v/>
      </c>
      <c r="S6287" s="24" t="str" cm="1">
        <f t="array" ref="S6287">IFERROR(IF($B6287=S$1, ($A6287+$C6287) - MAX(IF($B$2:$B6286=$B6287, $A$2:$A6286+$C$2:$C6286)), "")*24*60, "")</f>
        <v/>
      </c>
    </row>
    <row r="6288" spans="1:19" x14ac:dyDescent="0.2">
      <c r="A6288" s="12">
        <f t="shared" ref="A6288:C6288" si="1267">A6287</f>
        <v>45988</v>
      </c>
      <c r="B6288" s="5" t="str">
        <f t="shared" si="1267"/>
        <v>Northern Cardinal</v>
      </c>
      <c r="C6288" s="6">
        <f t="shared" si="1267"/>
        <v>0.28472222222222221</v>
      </c>
      <c r="D6288" s="5"/>
      <c r="E6288" s="5"/>
      <c r="F6288" s="5" t="s">
        <v>8</v>
      </c>
      <c r="G6288" s="15" t="s">
        <v>9</v>
      </c>
      <c r="H6288" s="24">
        <f t="shared" si="1213"/>
        <v>0</v>
      </c>
      <c r="I6288" s="24" cm="1">
        <f t="array" ref="I6288">IFERROR(IF($B6288=I$1, ($A6288+$C6288) - MAX(IF($B$2:$B6287=$B6288, $A$2:$A6287+$C$2:$C6287)), "")*24*60, "")</f>
        <v>0</v>
      </c>
      <c r="J6288" s="24" t="str" cm="1">
        <f t="array" ref="J6288">IFERROR(IF($B6288=J$1, ($A6288+$C6288) - MAX(IF($B$2:$B6287=$B6288, $A$2:$A6287+$C$2:$C6287)), "")*24*60, "")</f>
        <v/>
      </c>
      <c r="K6288" s="24" t="str" cm="1">
        <f t="array" ref="K6288">IFERROR(IF($B6288=K$1, ($A6288+$C6288) - MAX(IF($B$2:$B6287=$B6288, $A$2:$A6287+$C$2:$C6287)), "")*24*60, "")</f>
        <v/>
      </c>
      <c r="L6288" s="24" t="str" cm="1">
        <f t="array" ref="L6288">IFERROR(IF($B6288=L$1, ($A6288+$C6288) - MAX(IF($B$2:$B6287=$B6288, $A$2:$A6287+$C$2:$C6287)), "")*24*60, "")</f>
        <v/>
      </c>
      <c r="M6288" s="24" t="str" cm="1">
        <f t="array" ref="M6288">IFERROR(IF($B6288=M$1, ($A6288+$C6288) - MAX(IF($B$2:$B6287=$B6288, $A$2:$A6287+$C$2:$C6287)), "")*24*60, "")</f>
        <v/>
      </c>
      <c r="N6288" s="24" t="str" cm="1">
        <f t="array" ref="N6288">IFERROR(IF($B6288=N$1, ($A6288+$C6288) - MAX(IF($B$2:$B6287=$B6288, $A$2:$A6287+$C$2:$C6287)), "")*24*60, "")</f>
        <v/>
      </c>
      <c r="O6288" s="24" t="str" cm="1">
        <f t="array" ref="O6288">IFERROR(IF($B6288=O$1, ($A6288+$C6288) - MAX(IF($B$2:$B6287=$B6288, $A$2:$A6287+$C$2:$C6287)), "")*24*60, "")</f>
        <v/>
      </c>
      <c r="P6288" s="24" t="str" cm="1">
        <f t="array" ref="P6288">IFERROR(IF($B6288=P$1, ($A6288+$C6288) - MAX(IF($B$2:$B6287=$B6288, $A$2:$A6287+$C$2:$C6287)), "")*24*60, "")</f>
        <v/>
      </c>
      <c r="Q6288" s="24" t="str" cm="1">
        <f t="array" ref="Q6288">IFERROR(IF($B6288=Q$1, ($A6288+$C6288) - MAX(IF($B$2:$B6287=$B6288, $A$2:$A6287+$C$2:$C6287)), "")*24*60, "")</f>
        <v/>
      </c>
      <c r="R6288" s="24" t="str" cm="1">
        <f t="array" ref="R6288">IFERROR(IF($B6288=R$1, ($A6288+$C6288) - MAX(IF($B$2:$B6287=$B6288, $A$2:$A6287+$C$2:$C6287)), "")*24*60, "")</f>
        <v/>
      </c>
      <c r="S6288" s="24" t="str" cm="1">
        <f t="array" ref="S6288">IFERROR(IF($B6288=S$1, ($A6288+$C6288) - MAX(IF($B$2:$B6287=$B6288, $A$2:$A6287+$C$2:$C6287)), "")*24*60, "")</f>
        <v/>
      </c>
    </row>
    <row r="6289" spans="1:19" x14ac:dyDescent="0.2">
      <c r="A6289" s="12">
        <f t="shared" ref="A6289:C6289" si="1268">A6288</f>
        <v>45988</v>
      </c>
      <c r="B6289" s="5" t="str">
        <f t="shared" si="1268"/>
        <v>Northern Cardinal</v>
      </c>
      <c r="C6289" s="6">
        <f t="shared" si="1268"/>
        <v>0.28472222222222221</v>
      </c>
      <c r="D6289" s="5"/>
      <c r="E6289" s="5"/>
      <c r="F6289" s="5" t="s">
        <v>8</v>
      </c>
      <c r="G6289" s="15" t="s">
        <v>9</v>
      </c>
      <c r="H6289" s="24">
        <f t="shared" si="1213"/>
        <v>0</v>
      </c>
      <c r="I6289" s="24" cm="1">
        <f t="array" ref="I6289">IFERROR(IF($B6289=I$1, ($A6289+$C6289) - MAX(IF($B$2:$B6288=$B6289, $A$2:$A6288+$C$2:$C6288)), "")*24*60, "")</f>
        <v>0</v>
      </c>
      <c r="J6289" s="24" t="str" cm="1">
        <f t="array" ref="J6289">IFERROR(IF($B6289=J$1, ($A6289+$C6289) - MAX(IF($B$2:$B6288=$B6289, $A$2:$A6288+$C$2:$C6288)), "")*24*60, "")</f>
        <v/>
      </c>
      <c r="K6289" s="24" t="str" cm="1">
        <f t="array" ref="K6289">IFERROR(IF($B6289=K$1, ($A6289+$C6289) - MAX(IF($B$2:$B6288=$B6289, $A$2:$A6288+$C$2:$C6288)), "")*24*60, "")</f>
        <v/>
      </c>
      <c r="L6289" s="24" t="str" cm="1">
        <f t="array" ref="L6289">IFERROR(IF($B6289=L$1, ($A6289+$C6289) - MAX(IF($B$2:$B6288=$B6289, $A$2:$A6288+$C$2:$C6288)), "")*24*60, "")</f>
        <v/>
      </c>
      <c r="M6289" s="24" t="str" cm="1">
        <f t="array" ref="M6289">IFERROR(IF($B6289=M$1, ($A6289+$C6289) - MAX(IF($B$2:$B6288=$B6289, $A$2:$A6288+$C$2:$C6288)), "")*24*60, "")</f>
        <v/>
      </c>
      <c r="N6289" s="24" t="str" cm="1">
        <f t="array" ref="N6289">IFERROR(IF($B6289=N$1, ($A6289+$C6289) - MAX(IF($B$2:$B6288=$B6289, $A$2:$A6288+$C$2:$C6288)), "")*24*60, "")</f>
        <v/>
      </c>
      <c r="O6289" s="24" t="str" cm="1">
        <f t="array" ref="O6289">IFERROR(IF($B6289=O$1, ($A6289+$C6289) - MAX(IF($B$2:$B6288=$B6289, $A$2:$A6288+$C$2:$C6288)), "")*24*60, "")</f>
        <v/>
      </c>
      <c r="P6289" s="24" t="str" cm="1">
        <f t="array" ref="P6289">IFERROR(IF($B6289=P$1, ($A6289+$C6289) - MAX(IF($B$2:$B6288=$B6289, $A$2:$A6288+$C$2:$C6288)), "")*24*60, "")</f>
        <v/>
      </c>
      <c r="Q6289" s="24" t="str" cm="1">
        <f t="array" ref="Q6289">IFERROR(IF($B6289=Q$1, ($A6289+$C6289) - MAX(IF($B$2:$B6288=$B6289, $A$2:$A6288+$C$2:$C6288)), "")*24*60, "")</f>
        <v/>
      </c>
      <c r="R6289" s="24" t="str" cm="1">
        <f t="array" ref="R6289">IFERROR(IF($B6289=R$1, ($A6289+$C6289) - MAX(IF($B$2:$B6288=$B6289, $A$2:$A6288+$C$2:$C6288)), "")*24*60, "")</f>
        <v/>
      </c>
      <c r="S6289" s="24" t="str" cm="1">
        <f t="array" ref="S6289">IFERROR(IF($B6289=S$1, ($A6289+$C6289) - MAX(IF($B$2:$B6288=$B6289, $A$2:$A6288+$C$2:$C6288)), "")*24*60, "")</f>
        <v/>
      </c>
    </row>
    <row r="6290" spans="1:19" x14ac:dyDescent="0.2">
      <c r="A6290" s="12">
        <f t="shared" ref="A6290:C6290" si="1269">A6289</f>
        <v>45988</v>
      </c>
      <c r="B6290" s="5" t="str">
        <f t="shared" si="1269"/>
        <v>Northern Cardinal</v>
      </c>
      <c r="C6290" s="6">
        <f t="shared" si="1269"/>
        <v>0.28472222222222221</v>
      </c>
      <c r="D6290" s="5"/>
      <c r="E6290" s="5"/>
      <c r="F6290" s="5" t="s">
        <v>8</v>
      </c>
      <c r="G6290" s="15" t="s">
        <v>9</v>
      </c>
      <c r="H6290" s="24">
        <f t="shared" si="1213"/>
        <v>0</v>
      </c>
      <c r="I6290" s="24" cm="1">
        <f t="array" ref="I6290">IFERROR(IF($B6290=I$1, ($A6290+$C6290) - MAX(IF($B$2:$B6289=$B6290, $A$2:$A6289+$C$2:$C6289)), "")*24*60, "")</f>
        <v>0</v>
      </c>
      <c r="J6290" s="24" t="str" cm="1">
        <f t="array" ref="J6290">IFERROR(IF($B6290=J$1, ($A6290+$C6290) - MAX(IF($B$2:$B6289=$B6290, $A$2:$A6289+$C$2:$C6289)), "")*24*60, "")</f>
        <v/>
      </c>
      <c r="K6290" s="24" t="str" cm="1">
        <f t="array" ref="K6290">IFERROR(IF($B6290=K$1, ($A6290+$C6290) - MAX(IF($B$2:$B6289=$B6290, $A$2:$A6289+$C$2:$C6289)), "")*24*60, "")</f>
        <v/>
      </c>
      <c r="L6290" s="24" t="str" cm="1">
        <f t="array" ref="L6290">IFERROR(IF($B6290=L$1, ($A6290+$C6290) - MAX(IF($B$2:$B6289=$B6290, $A$2:$A6289+$C$2:$C6289)), "")*24*60, "")</f>
        <v/>
      </c>
      <c r="M6290" s="24" t="str" cm="1">
        <f t="array" ref="M6290">IFERROR(IF($B6290=M$1, ($A6290+$C6290) - MAX(IF($B$2:$B6289=$B6290, $A$2:$A6289+$C$2:$C6289)), "")*24*60, "")</f>
        <v/>
      </c>
      <c r="N6290" s="24" t="str" cm="1">
        <f t="array" ref="N6290">IFERROR(IF($B6290=N$1, ($A6290+$C6290) - MAX(IF($B$2:$B6289=$B6290, $A$2:$A6289+$C$2:$C6289)), "")*24*60, "")</f>
        <v/>
      </c>
      <c r="O6290" s="24" t="str" cm="1">
        <f t="array" ref="O6290">IFERROR(IF($B6290=O$1, ($A6290+$C6290) - MAX(IF($B$2:$B6289=$B6290, $A$2:$A6289+$C$2:$C6289)), "")*24*60, "")</f>
        <v/>
      </c>
      <c r="P6290" s="24" t="str" cm="1">
        <f t="array" ref="P6290">IFERROR(IF($B6290=P$1, ($A6290+$C6290) - MAX(IF($B$2:$B6289=$B6290, $A$2:$A6289+$C$2:$C6289)), "")*24*60, "")</f>
        <v/>
      </c>
      <c r="Q6290" s="24" t="str" cm="1">
        <f t="array" ref="Q6290">IFERROR(IF($B6290=Q$1, ($A6290+$C6290) - MAX(IF($B$2:$B6289=$B6290, $A$2:$A6289+$C$2:$C6289)), "")*24*60, "")</f>
        <v/>
      </c>
      <c r="R6290" s="24" t="str" cm="1">
        <f t="array" ref="R6290">IFERROR(IF($B6290=R$1, ($A6290+$C6290) - MAX(IF($B$2:$B6289=$B6290, $A$2:$A6289+$C$2:$C6289)), "")*24*60, "")</f>
        <v/>
      </c>
      <c r="S6290" s="24" t="str" cm="1">
        <f t="array" ref="S6290">IFERROR(IF($B6290=S$1, ($A6290+$C6290) - MAX(IF($B$2:$B6289=$B6290, $A$2:$A6289+$C$2:$C6289)), "")*24*60, "")</f>
        <v/>
      </c>
    </row>
    <row r="6291" spans="1:19" x14ac:dyDescent="0.2">
      <c r="A6291" s="12">
        <f t="shared" ref="A6291:C6291" si="1270">A6290</f>
        <v>45988</v>
      </c>
      <c r="B6291" s="5" t="str">
        <f t="shared" si="1270"/>
        <v>Northern Cardinal</v>
      </c>
      <c r="C6291" s="6">
        <f t="shared" si="1270"/>
        <v>0.28472222222222221</v>
      </c>
      <c r="D6291" s="5"/>
      <c r="E6291" s="5"/>
      <c r="F6291" s="5" t="s">
        <v>8</v>
      </c>
      <c r="G6291" s="15" t="s">
        <v>9</v>
      </c>
      <c r="H6291" s="24">
        <f t="shared" si="1213"/>
        <v>0</v>
      </c>
      <c r="I6291" s="24" cm="1">
        <f t="array" ref="I6291">IFERROR(IF($B6291=I$1, ($A6291+$C6291) - MAX(IF($B$2:$B6290=$B6291, $A$2:$A6290+$C$2:$C6290)), "")*24*60, "")</f>
        <v>0</v>
      </c>
      <c r="J6291" s="24" t="str" cm="1">
        <f t="array" ref="J6291">IFERROR(IF($B6291=J$1, ($A6291+$C6291) - MAX(IF($B$2:$B6290=$B6291, $A$2:$A6290+$C$2:$C6290)), "")*24*60, "")</f>
        <v/>
      </c>
      <c r="K6291" s="24" t="str" cm="1">
        <f t="array" ref="K6291">IFERROR(IF($B6291=K$1, ($A6291+$C6291) - MAX(IF($B$2:$B6290=$B6291, $A$2:$A6290+$C$2:$C6290)), "")*24*60, "")</f>
        <v/>
      </c>
      <c r="L6291" s="24" t="str" cm="1">
        <f t="array" ref="L6291">IFERROR(IF($B6291=L$1, ($A6291+$C6291) - MAX(IF($B$2:$B6290=$B6291, $A$2:$A6290+$C$2:$C6290)), "")*24*60, "")</f>
        <v/>
      </c>
      <c r="M6291" s="24" t="str" cm="1">
        <f t="array" ref="M6291">IFERROR(IF($B6291=M$1, ($A6291+$C6291) - MAX(IF($B$2:$B6290=$B6291, $A$2:$A6290+$C$2:$C6290)), "")*24*60, "")</f>
        <v/>
      </c>
      <c r="N6291" s="24" t="str" cm="1">
        <f t="array" ref="N6291">IFERROR(IF($B6291=N$1, ($A6291+$C6291) - MAX(IF($B$2:$B6290=$B6291, $A$2:$A6290+$C$2:$C6290)), "")*24*60, "")</f>
        <v/>
      </c>
      <c r="O6291" s="24" t="str" cm="1">
        <f t="array" ref="O6291">IFERROR(IF($B6291=O$1, ($A6291+$C6291) - MAX(IF($B$2:$B6290=$B6291, $A$2:$A6290+$C$2:$C6290)), "")*24*60, "")</f>
        <v/>
      </c>
      <c r="P6291" s="24" t="str" cm="1">
        <f t="array" ref="P6291">IFERROR(IF($B6291=P$1, ($A6291+$C6291) - MAX(IF($B$2:$B6290=$B6291, $A$2:$A6290+$C$2:$C6290)), "")*24*60, "")</f>
        <v/>
      </c>
      <c r="Q6291" s="24" t="str" cm="1">
        <f t="array" ref="Q6291">IFERROR(IF($B6291=Q$1, ($A6291+$C6291) - MAX(IF($B$2:$B6290=$B6291, $A$2:$A6290+$C$2:$C6290)), "")*24*60, "")</f>
        <v/>
      </c>
      <c r="R6291" s="24" t="str" cm="1">
        <f t="array" ref="R6291">IFERROR(IF($B6291=R$1, ($A6291+$C6291) - MAX(IF($B$2:$B6290=$B6291, $A$2:$A6290+$C$2:$C6290)), "")*24*60, "")</f>
        <v/>
      </c>
      <c r="S6291" s="24" t="str" cm="1">
        <f t="array" ref="S6291">IFERROR(IF($B6291=S$1, ($A6291+$C6291) - MAX(IF($B$2:$B6290=$B6291, $A$2:$A6290+$C$2:$C6290)), "")*24*60, "")</f>
        <v/>
      </c>
    </row>
    <row r="6292" spans="1:19" x14ac:dyDescent="0.2">
      <c r="A6292" s="12">
        <f t="shared" ref="A6292:C6292" si="1271">A6291</f>
        <v>45988</v>
      </c>
      <c r="B6292" s="5" t="str">
        <f t="shared" si="1271"/>
        <v>Northern Cardinal</v>
      </c>
      <c r="C6292" s="6">
        <f t="shared" si="1271"/>
        <v>0.28472222222222221</v>
      </c>
      <c r="D6292" s="5"/>
      <c r="E6292" s="5"/>
      <c r="F6292" s="5" t="s">
        <v>8</v>
      </c>
      <c r="G6292" s="15" t="s">
        <v>9</v>
      </c>
      <c r="H6292" s="24">
        <f t="shared" si="1213"/>
        <v>0</v>
      </c>
      <c r="I6292" s="24" cm="1">
        <f t="array" ref="I6292">IFERROR(IF($B6292=I$1, ($A6292+$C6292) - MAX(IF($B$2:$B6291=$B6292, $A$2:$A6291+$C$2:$C6291)), "")*24*60, "")</f>
        <v>0</v>
      </c>
      <c r="J6292" s="24" t="str" cm="1">
        <f t="array" ref="J6292">IFERROR(IF($B6292=J$1, ($A6292+$C6292) - MAX(IF($B$2:$B6291=$B6292, $A$2:$A6291+$C$2:$C6291)), "")*24*60, "")</f>
        <v/>
      </c>
      <c r="K6292" s="24" t="str" cm="1">
        <f t="array" ref="K6292">IFERROR(IF($B6292=K$1, ($A6292+$C6292) - MAX(IF($B$2:$B6291=$B6292, $A$2:$A6291+$C$2:$C6291)), "")*24*60, "")</f>
        <v/>
      </c>
      <c r="L6292" s="24" t="str" cm="1">
        <f t="array" ref="L6292">IFERROR(IF($B6292=L$1, ($A6292+$C6292) - MAX(IF($B$2:$B6291=$B6292, $A$2:$A6291+$C$2:$C6291)), "")*24*60, "")</f>
        <v/>
      </c>
      <c r="M6292" s="24" t="str" cm="1">
        <f t="array" ref="M6292">IFERROR(IF($B6292=M$1, ($A6292+$C6292) - MAX(IF($B$2:$B6291=$B6292, $A$2:$A6291+$C$2:$C6291)), "")*24*60, "")</f>
        <v/>
      </c>
      <c r="N6292" s="24" t="str" cm="1">
        <f t="array" ref="N6292">IFERROR(IF($B6292=N$1, ($A6292+$C6292) - MAX(IF($B$2:$B6291=$B6292, $A$2:$A6291+$C$2:$C6291)), "")*24*60, "")</f>
        <v/>
      </c>
      <c r="O6292" s="24" t="str" cm="1">
        <f t="array" ref="O6292">IFERROR(IF($B6292=O$1, ($A6292+$C6292) - MAX(IF($B$2:$B6291=$B6292, $A$2:$A6291+$C$2:$C6291)), "")*24*60, "")</f>
        <v/>
      </c>
      <c r="P6292" s="24" t="str" cm="1">
        <f t="array" ref="P6292">IFERROR(IF($B6292=P$1, ($A6292+$C6292) - MAX(IF($B$2:$B6291=$B6292, $A$2:$A6291+$C$2:$C6291)), "")*24*60, "")</f>
        <v/>
      </c>
      <c r="Q6292" s="24" t="str" cm="1">
        <f t="array" ref="Q6292">IFERROR(IF($B6292=Q$1, ($A6292+$C6292) - MAX(IF($B$2:$B6291=$B6292, $A$2:$A6291+$C$2:$C6291)), "")*24*60, "")</f>
        <v/>
      </c>
      <c r="R6292" s="24" t="str" cm="1">
        <f t="array" ref="R6292">IFERROR(IF($B6292=R$1, ($A6292+$C6292) - MAX(IF($B$2:$B6291=$B6292, $A$2:$A6291+$C$2:$C6291)), "")*24*60, "")</f>
        <v/>
      </c>
      <c r="S6292" s="24" t="str" cm="1">
        <f t="array" ref="S6292">IFERROR(IF($B6292=S$1, ($A6292+$C6292) - MAX(IF($B$2:$B6291=$B6292, $A$2:$A6291+$C$2:$C6291)), "")*24*60, "")</f>
        <v/>
      </c>
    </row>
    <row r="6293" spans="1:19" x14ac:dyDescent="0.2">
      <c r="A6293" s="12">
        <f t="shared" ref="A6293:C6293" si="1272">A6292</f>
        <v>45988</v>
      </c>
      <c r="B6293" s="5" t="str">
        <f t="shared" si="1272"/>
        <v>Northern Cardinal</v>
      </c>
      <c r="C6293" s="6">
        <f t="shared" si="1272"/>
        <v>0.28472222222222221</v>
      </c>
      <c r="D6293" s="5"/>
      <c r="E6293" s="5"/>
      <c r="F6293" s="5" t="s">
        <v>8</v>
      </c>
      <c r="G6293" s="15" t="s">
        <v>9</v>
      </c>
      <c r="H6293" s="24">
        <f t="shared" si="1213"/>
        <v>0</v>
      </c>
      <c r="I6293" s="24" cm="1">
        <f t="array" ref="I6293">IFERROR(IF($B6293=I$1, ($A6293+$C6293) - MAX(IF($B$2:$B6292=$B6293, $A$2:$A6292+$C$2:$C6292)), "")*24*60, "")</f>
        <v>0</v>
      </c>
      <c r="J6293" s="24" t="str" cm="1">
        <f t="array" ref="J6293">IFERROR(IF($B6293=J$1, ($A6293+$C6293) - MAX(IF($B$2:$B6292=$B6293, $A$2:$A6292+$C$2:$C6292)), "")*24*60, "")</f>
        <v/>
      </c>
      <c r="K6293" s="24" t="str" cm="1">
        <f t="array" ref="K6293">IFERROR(IF($B6293=K$1, ($A6293+$C6293) - MAX(IF($B$2:$B6292=$B6293, $A$2:$A6292+$C$2:$C6292)), "")*24*60, "")</f>
        <v/>
      </c>
      <c r="L6293" s="24" t="str" cm="1">
        <f t="array" ref="L6293">IFERROR(IF($B6293=L$1, ($A6293+$C6293) - MAX(IF($B$2:$B6292=$B6293, $A$2:$A6292+$C$2:$C6292)), "")*24*60, "")</f>
        <v/>
      </c>
      <c r="M6293" s="24" t="str" cm="1">
        <f t="array" ref="M6293">IFERROR(IF($B6293=M$1, ($A6293+$C6293) - MAX(IF($B$2:$B6292=$B6293, $A$2:$A6292+$C$2:$C6292)), "")*24*60, "")</f>
        <v/>
      </c>
      <c r="N6293" s="24" t="str" cm="1">
        <f t="array" ref="N6293">IFERROR(IF($B6293=N$1, ($A6293+$C6293) - MAX(IF($B$2:$B6292=$B6293, $A$2:$A6292+$C$2:$C6292)), "")*24*60, "")</f>
        <v/>
      </c>
      <c r="O6293" s="24" t="str" cm="1">
        <f t="array" ref="O6293">IFERROR(IF($B6293=O$1, ($A6293+$C6293) - MAX(IF($B$2:$B6292=$B6293, $A$2:$A6292+$C$2:$C6292)), "")*24*60, "")</f>
        <v/>
      </c>
      <c r="P6293" s="24" t="str" cm="1">
        <f t="array" ref="P6293">IFERROR(IF($B6293=P$1, ($A6293+$C6293) - MAX(IF($B$2:$B6292=$B6293, $A$2:$A6292+$C$2:$C6292)), "")*24*60, "")</f>
        <v/>
      </c>
      <c r="Q6293" s="24" t="str" cm="1">
        <f t="array" ref="Q6293">IFERROR(IF($B6293=Q$1, ($A6293+$C6293) - MAX(IF($B$2:$B6292=$B6293, $A$2:$A6292+$C$2:$C6292)), "")*24*60, "")</f>
        <v/>
      </c>
      <c r="R6293" s="24" t="str" cm="1">
        <f t="array" ref="R6293">IFERROR(IF($B6293=R$1, ($A6293+$C6293) - MAX(IF($B$2:$B6292=$B6293, $A$2:$A6292+$C$2:$C6292)), "")*24*60, "")</f>
        <v/>
      </c>
      <c r="S6293" s="24" t="str" cm="1">
        <f t="array" ref="S6293">IFERROR(IF($B6293=S$1, ($A6293+$C6293) - MAX(IF($B$2:$B6292=$B6293, $A$2:$A6292+$C$2:$C6292)), "")*24*60, "")</f>
        <v/>
      </c>
    </row>
    <row r="6294" spans="1:19" x14ac:dyDescent="0.2">
      <c r="A6294" s="12">
        <f t="shared" ref="A6294:C6294" si="1273">A6293</f>
        <v>45988</v>
      </c>
      <c r="B6294" s="5" t="str">
        <f t="shared" si="1273"/>
        <v>Northern Cardinal</v>
      </c>
      <c r="C6294" s="6">
        <f t="shared" si="1273"/>
        <v>0.28472222222222221</v>
      </c>
      <c r="D6294" s="5"/>
      <c r="E6294" s="5"/>
      <c r="F6294" s="5" t="s">
        <v>8</v>
      </c>
      <c r="G6294" s="15" t="s">
        <v>9</v>
      </c>
      <c r="H6294" s="24">
        <f t="shared" si="1213"/>
        <v>0</v>
      </c>
      <c r="I6294" s="24" cm="1">
        <f t="array" ref="I6294">IFERROR(IF($B6294=I$1, ($A6294+$C6294) - MAX(IF($B$2:$B6293=$B6294, $A$2:$A6293+$C$2:$C6293)), "")*24*60, "")</f>
        <v>0</v>
      </c>
      <c r="J6294" s="24" t="str" cm="1">
        <f t="array" ref="J6294">IFERROR(IF($B6294=J$1, ($A6294+$C6294) - MAX(IF($B$2:$B6293=$B6294, $A$2:$A6293+$C$2:$C6293)), "")*24*60, "")</f>
        <v/>
      </c>
      <c r="K6294" s="24" t="str" cm="1">
        <f t="array" ref="K6294">IFERROR(IF($B6294=K$1, ($A6294+$C6294) - MAX(IF($B$2:$B6293=$B6294, $A$2:$A6293+$C$2:$C6293)), "")*24*60, "")</f>
        <v/>
      </c>
      <c r="L6294" s="24" t="str" cm="1">
        <f t="array" ref="L6294">IFERROR(IF($B6294=L$1, ($A6294+$C6294) - MAX(IF($B$2:$B6293=$B6294, $A$2:$A6293+$C$2:$C6293)), "")*24*60, "")</f>
        <v/>
      </c>
      <c r="M6294" s="24" t="str" cm="1">
        <f t="array" ref="M6294">IFERROR(IF($B6294=M$1, ($A6294+$C6294) - MAX(IF($B$2:$B6293=$B6294, $A$2:$A6293+$C$2:$C6293)), "")*24*60, "")</f>
        <v/>
      </c>
      <c r="N6294" s="24" t="str" cm="1">
        <f t="array" ref="N6294">IFERROR(IF($B6294=N$1, ($A6294+$C6294) - MAX(IF($B$2:$B6293=$B6294, $A$2:$A6293+$C$2:$C6293)), "")*24*60, "")</f>
        <v/>
      </c>
      <c r="O6294" s="24" t="str" cm="1">
        <f t="array" ref="O6294">IFERROR(IF($B6294=O$1, ($A6294+$C6294) - MAX(IF($B$2:$B6293=$B6294, $A$2:$A6293+$C$2:$C6293)), "")*24*60, "")</f>
        <v/>
      </c>
      <c r="P6294" s="24" t="str" cm="1">
        <f t="array" ref="P6294">IFERROR(IF($B6294=P$1, ($A6294+$C6294) - MAX(IF($B$2:$B6293=$B6294, $A$2:$A6293+$C$2:$C6293)), "")*24*60, "")</f>
        <v/>
      </c>
      <c r="Q6294" s="24" t="str" cm="1">
        <f t="array" ref="Q6294">IFERROR(IF($B6294=Q$1, ($A6294+$C6294) - MAX(IF($B$2:$B6293=$B6294, $A$2:$A6293+$C$2:$C6293)), "")*24*60, "")</f>
        <v/>
      </c>
      <c r="R6294" s="24" t="str" cm="1">
        <f t="array" ref="R6294">IFERROR(IF($B6294=R$1, ($A6294+$C6294) - MAX(IF($B$2:$B6293=$B6294, $A$2:$A6293+$C$2:$C6293)), "")*24*60, "")</f>
        <v/>
      </c>
      <c r="S6294" s="24" t="str" cm="1">
        <f t="array" ref="S6294">IFERROR(IF($B6294=S$1, ($A6294+$C6294) - MAX(IF($B$2:$B6293=$B6294, $A$2:$A6293+$C$2:$C6293)), "")*24*60, "")</f>
        <v/>
      </c>
    </row>
    <row r="6295" spans="1:19" x14ac:dyDescent="0.2">
      <c r="A6295" s="12">
        <f t="shared" ref="A6295:C6295" si="1274">A6294</f>
        <v>45988</v>
      </c>
      <c r="B6295" s="5" t="str">
        <f t="shared" si="1274"/>
        <v>Northern Cardinal</v>
      </c>
      <c r="C6295" s="6">
        <f t="shared" si="1274"/>
        <v>0.28472222222222221</v>
      </c>
      <c r="D6295" s="5"/>
      <c r="E6295" s="5"/>
      <c r="F6295" s="5" t="s">
        <v>8</v>
      </c>
      <c r="G6295" s="15" t="s">
        <v>9</v>
      </c>
      <c r="H6295" s="24">
        <f t="shared" si="1213"/>
        <v>0</v>
      </c>
      <c r="I6295" s="24" cm="1">
        <f t="array" ref="I6295">IFERROR(IF($B6295=I$1, ($A6295+$C6295) - MAX(IF($B$2:$B6294=$B6295, $A$2:$A6294+$C$2:$C6294)), "")*24*60, "")</f>
        <v>0</v>
      </c>
      <c r="J6295" s="24" t="str" cm="1">
        <f t="array" ref="J6295">IFERROR(IF($B6295=J$1, ($A6295+$C6295) - MAX(IF($B$2:$B6294=$B6295, $A$2:$A6294+$C$2:$C6294)), "")*24*60, "")</f>
        <v/>
      </c>
      <c r="K6295" s="24" t="str" cm="1">
        <f t="array" ref="K6295">IFERROR(IF($B6295=K$1, ($A6295+$C6295) - MAX(IF($B$2:$B6294=$B6295, $A$2:$A6294+$C$2:$C6294)), "")*24*60, "")</f>
        <v/>
      </c>
      <c r="L6295" s="24" t="str" cm="1">
        <f t="array" ref="L6295">IFERROR(IF($B6295=L$1, ($A6295+$C6295) - MAX(IF($B$2:$B6294=$B6295, $A$2:$A6294+$C$2:$C6294)), "")*24*60, "")</f>
        <v/>
      </c>
      <c r="M6295" s="24" t="str" cm="1">
        <f t="array" ref="M6295">IFERROR(IF($B6295=M$1, ($A6295+$C6295) - MAX(IF($B$2:$B6294=$B6295, $A$2:$A6294+$C$2:$C6294)), "")*24*60, "")</f>
        <v/>
      </c>
      <c r="N6295" s="24" t="str" cm="1">
        <f t="array" ref="N6295">IFERROR(IF($B6295=N$1, ($A6295+$C6295) - MAX(IF($B$2:$B6294=$B6295, $A$2:$A6294+$C$2:$C6294)), "")*24*60, "")</f>
        <v/>
      </c>
      <c r="O6295" s="24" t="str" cm="1">
        <f t="array" ref="O6295">IFERROR(IF($B6295=O$1, ($A6295+$C6295) - MAX(IF($B$2:$B6294=$B6295, $A$2:$A6294+$C$2:$C6294)), "")*24*60, "")</f>
        <v/>
      </c>
      <c r="P6295" s="24" t="str" cm="1">
        <f t="array" ref="P6295">IFERROR(IF($B6295=P$1, ($A6295+$C6295) - MAX(IF($B$2:$B6294=$B6295, $A$2:$A6294+$C$2:$C6294)), "")*24*60, "")</f>
        <v/>
      </c>
      <c r="Q6295" s="24" t="str" cm="1">
        <f t="array" ref="Q6295">IFERROR(IF($B6295=Q$1, ($A6295+$C6295) - MAX(IF($B$2:$B6294=$B6295, $A$2:$A6294+$C$2:$C6294)), "")*24*60, "")</f>
        <v/>
      </c>
      <c r="R6295" s="24" t="str" cm="1">
        <f t="array" ref="R6295">IFERROR(IF($B6295=R$1, ($A6295+$C6295) - MAX(IF($B$2:$B6294=$B6295, $A$2:$A6294+$C$2:$C6294)), "")*24*60, "")</f>
        <v/>
      </c>
      <c r="S6295" s="24" t="str" cm="1">
        <f t="array" ref="S6295">IFERROR(IF($B6295=S$1, ($A6295+$C6295) - MAX(IF($B$2:$B6294=$B6295, $A$2:$A6294+$C$2:$C6294)), "")*24*60, "")</f>
        <v/>
      </c>
    </row>
    <row r="6296" spans="1:19" x14ac:dyDescent="0.2">
      <c r="A6296" s="12">
        <f t="shared" ref="A6296:C6296" si="1275">A6295</f>
        <v>45988</v>
      </c>
      <c r="B6296" s="5" t="str">
        <f t="shared" si="1275"/>
        <v>Northern Cardinal</v>
      </c>
      <c r="C6296" s="6">
        <f t="shared" si="1275"/>
        <v>0.28472222222222221</v>
      </c>
      <c r="D6296" s="5"/>
      <c r="E6296" s="5"/>
      <c r="F6296" s="5" t="s">
        <v>8</v>
      </c>
      <c r="G6296" s="15" t="s">
        <v>9</v>
      </c>
      <c r="H6296" s="24">
        <f t="shared" si="1213"/>
        <v>0</v>
      </c>
      <c r="I6296" s="24" cm="1">
        <f t="array" ref="I6296">IFERROR(IF($B6296=I$1, ($A6296+$C6296) - MAX(IF($B$2:$B6295=$B6296, $A$2:$A6295+$C$2:$C6295)), "")*24*60, "")</f>
        <v>0</v>
      </c>
      <c r="J6296" s="24" t="str" cm="1">
        <f t="array" ref="J6296">IFERROR(IF($B6296=J$1, ($A6296+$C6296) - MAX(IF($B$2:$B6295=$B6296, $A$2:$A6295+$C$2:$C6295)), "")*24*60, "")</f>
        <v/>
      </c>
      <c r="K6296" s="24" t="str" cm="1">
        <f t="array" ref="K6296">IFERROR(IF($B6296=K$1, ($A6296+$C6296) - MAX(IF($B$2:$B6295=$B6296, $A$2:$A6295+$C$2:$C6295)), "")*24*60, "")</f>
        <v/>
      </c>
      <c r="L6296" s="24" t="str" cm="1">
        <f t="array" ref="L6296">IFERROR(IF($B6296=L$1, ($A6296+$C6296) - MAX(IF($B$2:$B6295=$B6296, $A$2:$A6295+$C$2:$C6295)), "")*24*60, "")</f>
        <v/>
      </c>
      <c r="M6296" s="24" t="str" cm="1">
        <f t="array" ref="M6296">IFERROR(IF($B6296=M$1, ($A6296+$C6296) - MAX(IF($B$2:$B6295=$B6296, $A$2:$A6295+$C$2:$C6295)), "")*24*60, "")</f>
        <v/>
      </c>
      <c r="N6296" s="24" t="str" cm="1">
        <f t="array" ref="N6296">IFERROR(IF($B6296=N$1, ($A6296+$C6296) - MAX(IF($B$2:$B6295=$B6296, $A$2:$A6295+$C$2:$C6295)), "")*24*60, "")</f>
        <v/>
      </c>
      <c r="O6296" s="24" t="str" cm="1">
        <f t="array" ref="O6296">IFERROR(IF($B6296=O$1, ($A6296+$C6296) - MAX(IF($B$2:$B6295=$B6296, $A$2:$A6295+$C$2:$C6295)), "")*24*60, "")</f>
        <v/>
      </c>
      <c r="P6296" s="24" t="str" cm="1">
        <f t="array" ref="P6296">IFERROR(IF($B6296=P$1, ($A6296+$C6296) - MAX(IF($B$2:$B6295=$B6296, $A$2:$A6295+$C$2:$C6295)), "")*24*60, "")</f>
        <v/>
      </c>
      <c r="Q6296" s="24" t="str" cm="1">
        <f t="array" ref="Q6296">IFERROR(IF($B6296=Q$1, ($A6296+$C6296) - MAX(IF($B$2:$B6295=$B6296, $A$2:$A6295+$C$2:$C6295)), "")*24*60, "")</f>
        <v/>
      </c>
      <c r="R6296" s="24" t="str" cm="1">
        <f t="array" ref="R6296">IFERROR(IF($B6296=R$1, ($A6296+$C6296) - MAX(IF($B$2:$B6295=$B6296, $A$2:$A6295+$C$2:$C6295)), "")*24*60, "")</f>
        <v/>
      </c>
      <c r="S6296" s="24" t="str" cm="1">
        <f t="array" ref="S6296">IFERROR(IF($B6296=S$1, ($A6296+$C6296) - MAX(IF($B$2:$B6295=$B6296, $A$2:$A6295+$C$2:$C6295)), "")*24*60, "")</f>
        <v/>
      </c>
    </row>
    <row r="6297" spans="1:19" x14ac:dyDescent="0.2">
      <c r="A6297" s="12">
        <f t="shared" ref="A6297:C6297" si="1276">A6296</f>
        <v>45988</v>
      </c>
      <c r="B6297" s="5" t="str">
        <f t="shared" si="1276"/>
        <v>Northern Cardinal</v>
      </c>
      <c r="C6297" s="6">
        <f t="shared" si="1276"/>
        <v>0.28472222222222221</v>
      </c>
      <c r="D6297" s="5"/>
      <c r="E6297" s="5"/>
      <c r="F6297" s="5" t="s">
        <v>8</v>
      </c>
      <c r="G6297" s="15" t="s">
        <v>9</v>
      </c>
      <c r="H6297" s="24">
        <f t="shared" si="1213"/>
        <v>0</v>
      </c>
      <c r="I6297" s="24" cm="1">
        <f t="array" ref="I6297">IFERROR(IF($B6297=I$1, ($A6297+$C6297) - MAX(IF($B$2:$B6296=$B6297, $A$2:$A6296+$C$2:$C6296)), "")*24*60, "")</f>
        <v>0</v>
      </c>
      <c r="J6297" s="24" t="str" cm="1">
        <f t="array" ref="J6297">IFERROR(IF($B6297=J$1, ($A6297+$C6297) - MAX(IF($B$2:$B6296=$B6297, $A$2:$A6296+$C$2:$C6296)), "")*24*60, "")</f>
        <v/>
      </c>
      <c r="K6297" s="24" t="str" cm="1">
        <f t="array" ref="K6297">IFERROR(IF($B6297=K$1, ($A6297+$C6297) - MAX(IF($B$2:$B6296=$B6297, $A$2:$A6296+$C$2:$C6296)), "")*24*60, "")</f>
        <v/>
      </c>
      <c r="L6297" s="24" t="str" cm="1">
        <f t="array" ref="L6297">IFERROR(IF($B6297=L$1, ($A6297+$C6297) - MAX(IF($B$2:$B6296=$B6297, $A$2:$A6296+$C$2:$C6296)), "")*24*60, "")</f>
        <v/>
      </c>
      <c r="M6297" s="24" t="str" cm="1">
        <f t="array" ref="M6297">IFERROR(IF($B6297=M$1, ($A6297+$C6297) - MAX(IF($B$2:$B6296=$B6297, $A$2:$A6296+$C$2:$C6296)), "")*24*60, "")</f>
        <v/>
      </c>
      <c r="N6297" s="24" t="str" cm="1">
        <f t="array" ref="N6297">IFERROR(IF($B6297=N$1, ($A6297+$C6297) - MAX(IF($B$2:$B6296=$B6297, $A$2:$A6296+$C$2:$C6296)), "")*24*60, "")</f>
        <v/>
      </c>
      <c r="O6297" s="24" t="str" cm="1">
        <f t="array" ref="O6297">IFERROR(IF($B6297=O$1, ($A6297+$C6297) - MAX(IF($B$2:$B6296=$B6297, $A$2:$A6296+$C$2:$C6296)), "")*24*60, "")</f>
        <v/>
      </c>
      <c r="P6297" s="24" t="str" cm="1">
        <f t="array" ref="P6297">IFERROR(IF($B6297=P$1, ($A6297+$C6297) - MAX(IF($B$2:$B6296=$B6297, $A$2:$A6296+$C$2:$C6296)), "")*24*60, "")</f>
        <v/>
      </c>
      <c r="Q6297" s="24" t="str" cm="1">
        <f t="array" ref="Q6297">IFERROR(IF($B6297=Q$1, ($A6297+$C6297) - MAX(IF($B$2:$B6296=$B6297, $A$2:$A6296+$C$2:$C6296)), "")*24*60, "")</f>
        <v/>
      </c>
      <c r="R6297" s="24" t="str" cm="1">
        <f t="array" ref="R6297">IFERROR(IF($B6297=R$1, ($A6297+$C6297) - MAX(IF($B$2:$B6296=$B6297, $A$2:$A6296+$C$2:$C6296)), "")*24*60, "")</f>
        <v/>
      </c>
      <c r="S6297" s="24" t="str" cm="1">
        <f t="array" ref="S6297">IFERROR(IF($B6297=S$1, ($A6297+$C6297) - MAX(IF($B$2:$B6296=$B6297, $A$2:$A6296+$C$2:$C6296)), "")*24*60, "")</f>
        <v/>
      </c>
    </row>
    <row r="6298" spans="1:19" x14ac:dyDescent="0.2">
      <c r="A6298" s="12">
        <f t="shared" ref="A6298:C6298" si="1277">A6297</f>
        <v>45988</v>
      </c>
      <c r="B6298" s="5" t="str">
        <f t="shared" si="1277"/>
        <v>Northern Cardinal</v>
      </c>
      <c r="C6298" s="6">
        <f t="shared" si="1277"/>
        <v>0.28472222222222221</v>
      </c>
      <c r="D6298" s="5"/>
      <c r="E6298" s="5"/>
      <c r="F6298" s="5" t="s">
        <v>8</v>
      </c>
      <c r="G6298" s="15" t="s">
        <v>9</v>
      </c>
      <c r="H6298" s="24">
        <f t="shared" ref="H6298:H6361" si="1278">IFERROR((($A6298+$C6298) - ($A6297+$C6297))*24*60, "")</f>
        <v>0</v>
      </c>
      <c r="I6298" s="24" cm="1">
        <f t="array" ref="I6298">IFERROR(IF($B6298=I$1, ($A6298+$C6298) - MAX(IF($B$2:$B6297=$B6298, $A$2:$A6297+$C$2:$C6297)), "")*24*60, "")</f>
        <v>0</v>
      </c>
      <c r="J6298" s="24" t="str" cm="1">
        <f t="array" ref="J6298">IFERROR(IF($B6298=J$1, ($A6298+$C6298) - MAX(IF($B$2:$B6297=$B6298, $A$2:$A6297+$C$2:$C6297)), "")*24*60, "")</f>
        <v/>
      </c>
      <c r="K6298" s="24" t="str" cm="1">
        <f t="array" ref="K6298">IFERROR(IF($B6298=K$1, ($A6298+$C6298) - MAX(IF($B$2:$B6297=$B6298, $A$2:$A6297+$C$2:$C6297)), "")*24*60, "")</f>
        <v/>
      </c>
      <c r="L6298" s="24" t="str" cm="1">
        <f t="array" ref="L6298">IFERROR(IF($B6298=L$1, ($A6298+$C6298) - MAX(IF($B$2:$B6297=$B6298, $A$2:$A6297+$C$2:$C6297)), "")*24*60, "")</f>
        <v/>
      </c>
      <c r="M6298" s="24" t="str" cm="1">
        <f t="array" ref="M6298">IFERROR(IF($B6298=M$1, ($A6298+$C6298) - MAX(IF($B$2:$B6297=$B6298, $A$2:$A6297+$C$2:$C6297)), "")*24*60, "")</f>
        <v/>
      </c>
      <c r="N6298" s="24" t="str" cm="1">
        <f t="array" ref="N6298">IFERROR(IF($B6298=N$1, ($A6298+$C6298) - MAX(IF($B$2:$B6297=$B6298, $A$2:$A6297+$C$2:$C6297)), "")*24*60, "")</f>
        <v/>
      </c>
      <c r="O6298" s="24" t="str" cm="1">
        <f t="array" ref="O6298">IFERROR(IF($B6298=O$1, ($A6298+$C6298) - MAX(IF($B$2:$B6297=$B6298, $A$2:$A6297+$C$2:$C6297)), "")*24*60, "")</f>
        <v/>
      </c>
      <c r="P6298" s="24" t="str" cm="1">
        <f t="array" ref="P6298">IFERROR(IF($B6298=P$1, ($A6298+$C6298) - MAX(IF($B$2:$B6297=$B6298, $A$2:$A6297+$C$2:$C6297)), "")*24*60, "")</f>
        <v/>
      </c>
      <c r="Q6298" s="24" t="str" cm="1">
        <f t="array" ref="Q6298">IFERROR(IF($B6298=Q$1, ($A6298+$C6298) - MAX(IF($B$2:$B6297=$B6298, $A$2:$A6297+$C$2:$C6297)), "")*24*60, "")</f>
        <v/>
      </c>
      <c r="R6298" s="24" t="str" cm="1">
        <f t="array" ref="R6298">IFERROR(IF($B6298=R$1, ($A6298+$C6298) - MAX(IF($B$2:$B6297=$B6298, $A$2:$A6297+$C$2:$C6297)), "")*24*60, "")</f>
        <v/>
      </c>
      <c r="S6298" s="24" t="str" cm="1">
        <f t="array" ref="S6298">IFERROR(IF($B6298=S$1, ($A6298+$C6298) - MAX(IF($B$2:$B6297=$B6298, $A$2:$A6297+$C$2:$C6297)), "")*24*60, "")</f>
        <v/>
      </c>
    </row>
    <row r="6299" spans="1:19" x14ac:dyDescent="0.2">
      <c r="A6299" s="12">
        <f t="shared" ref="A6299:C6299" si="1279">A6298</f>
        <v>45988</v>
      </c>
      <c r="B6299" s="5" t="str">
        <f t="shared" si="1279"/>
        <v>Northern Cardinal</v>
      </c>
      <c r="C6299" s="6">
        <f t="shared" si="1279"/>
        <v>0.28472222222222221</v>
      </c>
      <c r="D6299" s="5"/>
      <c r="E6299" s="5"/>
      <c r="F6299" s="5" t="s">
        <v>8</v>
      </c>
      <c r="G6299" s="15" t="s">
        <v>9</v>
      </c>
      <c r="H6299" s="24">
        <f t="shared" si="1278"/>
        <v>0</v>
      </c>
      <c r="I6299" s="24" cm="1">
        <f t="array" ref="I6299">IFERROR(IF($B6299=I$1, ($A6299+$C6299) - MAX(IF($B$2:$B6298=$B6299, $A$2:$A6298+$C$2:$C6298)), "")*24*60, "")</f>
        <v>0</v>
      </c>
      <c r="J6299" s="24" t="str" cm="1">
        <f t="array" ref="J6299">IFERROR(IF($B6299=J$1, ($A6299+$C6299) - MAX(IF($B$2:$B6298=$B6299, $A$2:$A6298+$C$2:$C6298)), "")*24*60, "")</f>
        <v/>
      </c>
      <c r="K6299" s="24" t="str" cm="1">
        <f t="array" ref="K6299">IFERROR(IF($B6299=K$1, ($A6299+$C6299) - MAX(IF($B$2:$B6298=$B6299, $A$2:$A6298+$C$2:$C6298)), "")*24*60, "")</f>
        <v/>
      </c>
      <c r="L6299" s="24" t="str" cm="1">
        <f t="array" ref="L6299">IFERROR(IF($B6299=L$1, ($A6299+$C6299) - MAX(IF($B$2:$B6298=$B6299, $A$2:$A6298+$C$2:$C6298)), "")*24*60, "")</f>
        <v/>
      </c>
      <c r="M6299" s="24" t="str" cm="1">
        <f t="array" ref="M6299">IFERROR(IF($B6299=M$1, ($A6299+$C6299) - MAX(IF($B$2:$B6298=$B6299, $A$2:$A6298+$C$2:$C6298)), "")*24*60, "")</f>
        <v/>
      </c>
      <c r="N6299" s="24" t="str" cm="1">
        <f t="array" ref="N6299">IFERROR(IF($B6299=N$1, ($A6299+$C6299) - MAX(IF($B$2:$B6298=$B6299, $A$2:$A6298+$C$2:$C6298)), "")*24*60, "")</f>
        <v/>
      </c>
      <c r="O6299" s="24" t="str" cm="1">
        <f t="array" ref="O6299">IFERROR(IF($B6299=O$1, ($A6299+$C6299) - MAX(IF($B$2:$B6298=$B6299, $A$2:$A6298+$C$2:$C6298)), "")*24*60, "")</f>
        <v/>
      </c>
      <c r="P6299" s="24" t="str" cm="1">
        <f t="array" ref="P6299">IFERROR(IF($B6299=P$1, ($A6299+$C6299) - MAX(IF($B$2:$B6298=$B6299, $A$2:$A6298+$C$2:$C6298)), "")*24*60, "")</f>
        <v/>
      </c>
      <c r="Q6299" s="24" t="str" cm="1">
        <f t="array" ref="Q6299">IFERROR(IF($B6299=Q$1, ($A6299+$C6299) - MAX(IF($B$2:$B6298=$B6299, $A$2:$A6298+$C$2:$C6298)), "")*24*60, "")</f>
        <v/>
      </c>
      <c r="R6299" s="24" t="str" cm="1">
        <f t="array" ref="R6299">IFERROR(IF($B6299=R$1, ($A6299+$C6299) - MAX(IF($B$2:$B6298=$B6299, $A$2:$A6298+$C$2:$C6298)), "")*24*60, "")</f>
        <v/>
      </c>
      <c r="S6299" s="24" t="str" cm="1">
        <f t="array" ref="S6299">IFERROR(IF($B6299=S$1, ($A6299+$C6299) - MAX(IF($B$2:$B6298=$B6299, $A$2:$A6298+$C$2:$C6298)), "")*24*60, "")</f>
        <v/>
      </c>
    </row>
    <row r="6300" spans="1:19" x14ac:dyDescent="0.2">
      <c r="A6300" s="12">
        <f t="shared" ref="A6300:C6300" si="1280">A6299</f>
        <v>45988</v>
      </c>
      <c r="B6300" s="5" t="str">
        <f t="shared" si="1280"/>
        <v>Northern Cardinal</v>
      </c>
      <c r="C6300" s="6">
        <f t="shared" si="1280"/>
        <v>0.28472222222222221</v>
      </c>
      <c r="D6300" s="5"/>
      <c r="E6300" s="5"/>
      <c r="F6300" s="5" t="s">
        <v>8</v>
      </c>
      <c r="G6300" s="15" t="s">
        <v>9</v>
      </c>
      <c r="H6300" s="24">
        <f t="shared" si="1278"/>
        <v>0</v>
      </c>
      <c r="I6300" s="24" cm="1">
        <f t="array" ref="I6300">IFERROR(IF($B6300=I$1, ($A6300+$C6300) - MAX(IF($B$2:$B6299=$B6300, $A$2:$A6299+$C$2:$C6299)), "")*24*60, "")</f>
        <v>0</v>
      </c>
      <c r="J6300" s="24" t="str" cm="1">
        <f t="array" ref="J6300">IFERROR(IF($B6300=J$1, ($A6300+$C6300) - MAX(IF($B$2:$B6299=$B6300, $A$2:$A6299+$C$2:$C6299)), "")*24*60, "")</f>
        <v/>
      </c>
      <c r="K6300" s="24" t="str" cm="1">
        <f t="array" ref="K6300">IFERROR(IF($B6300=K$1, ($A6300+$C6300) - MAX(IF($B$2:$B6299=$B6300, $A$2:$A6299+$C$2:$C6299)), "")*24*60, "")</f>
        <v/>
      </c>
      <c r="L6300" s="24" t="str" cm="1">
        <f t="array" ref="L6300">IFERROR(IF($B6300=L$1, ($A6300+$C6300) - MAX(IF($B$2:$B6299=$B6300, $A$2:$A6299+$C$2:$C6299)), "")*24*60, "")</f>
        <v/>
      </c>
      <c r="M6300" s="24" t="str" cm="1">
        <f t="array" ref="M6300">IFERROR(IF($B6300=M$1, ($A6300+$C6300) - MAX(IF($B$2:$B6299=$B6300, $A$2:$A6299+$C$2:$C6299)), "")*24*60, "")</f>
        <v/>
      </c>
      <c r="N6300" s="24" t="str" cm="1">
        <f t="array" ref="N6300">IFERROR(IF($B6300=N$1, ($A6300+$C6300) - MAX(IF($B$2:$B6299=$B6300, $A$2:$A6299+$C$2:$C6299)), "")*24*60, "")</f>
        <v/>
      </c>
      <c r="O6300" s="24" t="str" cm="1">
        <f t="array" ref="O6300">IFERROR(IF($B6300=O$1, ($A6300+$C6300) - MAX(IF($B$2:$B6299=$B6300, $A$2:$A6299+$C$2:$C6299)), "")*24*60, "")</f>
        <v/>
      </c>
      <c r="P6300" s="24" t="str" cm="1">
        <f t="array" ref="P6300">IFERROR(IF($B6300=P$1, ($A6300+$C6300) - MAX(IF($B$2:$B6299=$B6300, $A$2:$A6299+$C$2:$C6299)), "")*24*60, "")</f>
        <v/>
      </c>
      <c r="Q6300" s="24" t="str" cm="1">
        <f t="array" ref="Q6300">IFERROR(IF($B6300=Q$1, ($A6300+$C6300) - MAX(IF($B$2:$B6299=$B6300, $A$2:$A6299+$C$2:$C6299)), "")*24*60, "")</f>
        <v/>
      </c>
      <c r="R6300" s="24" t="str" cm="1">
        <f t="array" ref="R6300">IFERROR(IF($B6300=R$1, ($A6300+$C6300) - MAX(IF($B$2:$B6299=$B6300, $A$2:$A6299+$C$2:$C6299)), "")*24*60, "")</f>
        <v/>
      </c>
      <c r="S6300" s="24" t="str" cm="1">
        <f t="array" ref="S6300">IFERROR(IF($B6300=S$1, ($A6300+$C6300) - MAX(IF($B$2:$B6299=$B6300, $A$2:$A6299+$C$2:$C6299)), "")*24*60, "")</f>
        <v/>
      </c>
    </row>
    <row r="6301" spans="1:19" x14ac:dyDescent="0.2">
      <c r="A6301" s="12">
        <f t="shared" ref="A6301:C6301" si="1281">A6300</f>
        <v>45988</v>
      </c>
      <c r="B6301" s="5" t="str">
        <f t="shared" si="1281"/>
        <v>Northern Cardinal</v>
      </c>
      <c r="C6301" s="6">
        <f t="shared" si="1281"/>
        <v>0.28472222222222221</v>
      </c>
      <c r="D6301" s="5"/>
      <c r="E6301" s="5"/>
      <c r="F6301" s="5" t="s">
        <v>8</v>
      </c>
      <c r="G6301" s="15" t="s">
        <v>9</v>
      </c>
      <c r="H6301" s="24">
        <f t="shared" si="1278"/>
        <v>0</v>
      </c>
      <c r="I6301" s="24" cm="1">
        <f t="array" ref="I6301">IFERROR(IF($B6301=I$1, ($A6301+$C6301) - MAX(IF($B$2:$B6300=$B6301, $A$2:$A6300+$C$2:$C6300)), "")*24*60, "")</f>
        <v>0</v>
      </c>
      <c r="J6301" s="24" t="str" cm="1">
        <f t="array" ref="J6301">IFERROR(IF($B6301=J$1, ($A6301+$C6301) - MAX(IF($B$2:$B6300=$B6301, $A$2:$A6300+$C$2:$C6300)), "")*24*60, "")</f>
        <v/>
      </c>
      <c r="K6301" s="24" t="str" cm="1">
        <f t="array" ref="K6301">IFERROR(IF($B6301=K$1, ($A6301+$C6301) - MAX(IF($B$2:$B6300=$B6301, $A$2:$A6300+$C$2:$C6300)), "")*24*60, "")</f>
        <v/>
      </c>
      <c r="L6301" s="24" t="str" cm="1">
        <f t="array" ref="L6301">IFERROR(IF($B6301=L$1, ($A6301+$C6301) - MAX(IF($B$2:$B6300=$B6301, $A$2:$A6300+$C$2:$C6300)), "")*24*60, "")</f>
        <v/>
      </c>
      <c r="M6301" s="24" t="str" cm="1">
        <f t="array" ref="M6301">IFERROR(IF($B6301=M$1, ($A6301+$C6301) - MAX(IF($B$2:$B6300=$B6301, $A$2:$A6300+$C$2:$C6300)), "")*24*60, "")</f>
        <v/>
      </c>
      <c r="N6301" s="24" t="str" cm="1">
        <f t="array" ref="N6301">IFERROR(IF($B6301=N$1, ($A6301+$C6301) - MAX(IF($B$2:$B6300=$B6301, $A$2:$A6300+$C$2:$C6300)), "")*24*60, "")</f>
        <v/>
      </c>
      <c r="O6301" s="24" t="str" cm="1">
        <f t="array" ref="O6301">IFERROR(IF($B6301=O$1, ($A6301+$C6301) - MAX(IF($B$2:$B6300=$B6301, $A$2:$A6300+$C$2:$C6300)), "")*24*60, "")</f>
        <v/>
      </c>
      <c r="P6301" s="24" t="str" cm="1">
        <f t="array" ref="P6301">IFERROR(IF($B6301=P$1, ($A6301+$C6301) - MAX(IF($B$2:$B6300=$B6301, $A$2:$A6300+$C$2:$C6300)), "")*24*60, "")</f>
        <v/>
      </c>
      <c r="Q6301" s="24" t="str" cm="1">
        <f t="array" ref="Q6301">IFERROR(IF($B6301=Q$1, ($A6301+$C6301) - MAX(IF($B$2:$B6300=$B6301, $A$2:$A6300+$C$2:$C6300)), "")*24*60, "")</f>
        <v/>
      </c>
      <c r="R6301" s="24" t="str" cm="1">
        <f t="array" ref="R6301">IFERROR(IF($B6301=R$1, ($A6301+$C6301) - MAX(IF($B$2:$B6300=$B6301, $A$2:$A6300+$C$2:$C6300)), "")*24*60, "")</f>
        <v/>
      </c>
      <c r="S6301" s="24" t="str" cm="1">
        <f t="array" ref="S6301">IFERROR(IF($B6301=S$1, ($A6301+$C6301) - MAX(IF($B$2:$B6300=$B6301, $A$2:$A6300+$C$2:$C6300)), "")*24*60, "")</f>
        <v/>
      </c>
    </row>
    <row r="6302" spans="1:19" x14ac:dyDescent="0.2">
      <c r="A6302" s="12">
        <f t="shared" ref="A6302:C6302" si="1282">A6301</f>
        <v>45988</v>
      </c>
      <c r="B6302" s="5" t="str">
        <f t="shared" si="1282"/>
        <v>Northern Cardinal</v>
      </c>
      <c r="C6302" s="6">
        <f t="shared" si="1282"/>
        <v>0.28472222222222221</v>
      </c>
      <c r="D6302" s="5"/>
      <c r="E6302" s="5"/>
      <c r="F6302" s="5" t="s">
        <v>8</v>
      </c>
      <c r="G6302" s="15" t="s">
        <v>9</v>
      </c>
      <c r="H6302" s="24">
        <f t="shared" si="1278"/>
        <v>0</v>
      </c>
      <c r="I6302" s="24" cm="1">
        <f t="array" ref="I6302">IFERROR(IF($B6302=I$1, ($A6302+$C6302) - MAX(IF($B$2:$B6301=$B6302, $A$2:$A6301+$C$2:$C6301)), "")*24*60, "")</f>
        <v>0</v>
      </c>
      <c r="J6302" s="24" t="str" cm="1">
        <f t="array" ref="J6302">IFERROR(IF($B6302=J$1, ($A6302+$C6302) - MAX(IF($B$2:$B6301=$B6302, $A$2:$A6301+$C$2:$C6301)), "")*24*60, "")</f>
        <v/>
      </c>
      <c r="K6302" s="24" t="str" cm="1">
        <f t="array" ref="K6302">IFERROR(IF($B6302=K$1, ($A6302+$C6302) - MAX(IF($B$2:$B6301=$B6302, $A$2:$A6301+$C$2:$C6301)), "")*24*60, "")</f>
        <v/>
      </c>
      <c r="L6302" s="24" t="str" cm="1">
        <f t="array" ref="L6302">IFERROR(IF($B6302=L$1, ($A6302+$C6302) - MAX(IF($B$2:$B6301=$B6302, $A$2:$A6301+$C$2:$C6301)), "")*24*60, "")</f>
        <v/>
      </c>
      <c r="M6302" s="24" t="str" cm="1">
        <f t="array" ref="M6302">IFERROR(IF($B6302=M$1, ($A6302+$C6302) - MAX(IF($B$2:$B6301=$B6302, $A$2:$A6301+$C$2:$C6301)), "")*24*60, "")</f>
        <v/>
      </c>
      <c r="N6302" s="24" t="str" cm="1">
        <f t="array" ref="N6302">IFERROR(IF($B6302=N$1, ($A6302+$C6302) - MAX(IF($B$2:$B6301=$B6302, $A$2:$A6301+$C$2:$C6301)), "")*24*60, "")</f>
        <v/>
      </c>
      <c r="O6302" s="24" t="str" cm="1">
        <f t="array" ref="O6302">IFERROR(IF($B6302=O$1, ($A6302+$C6302) - MAX(IF($B$2:$B6301=$B6302, $A$2:$A6301+$C$2:$C6301)), "")*24*60, "")</f>
        <v/>
      </c>
      <c r="P6302" s="24" t="str" cm="1">
        <f t="array" ref="P6302">IFERROR(IF($B6302=P$1, ($A6302+$C6302) - MAX(IF($B$2:$B6301=$B6302, $A$2:$A6301+$C$2:$C6301)), "")*24*60, "")</f>
        <v/>
      </c>
      <c r="Q6302" s="24" t="str" cm="1">
        <f t="array" ref="Q6302">IFERROR(IF($B6302=Q$1, ($A6302+$C6302) - MAX(IF($B$2:$B6301=$B6302, $A$2:$A6301+$C$2:$C6301)), "")*24*60, "")</f>
        <v/>
      </c>
      <c r="R6302" s="24" t="str" cm="1">
        <f t="array" ref="R6302">IFERROR(IF($B6302=R$1, ($A6302+$C6302) - MAX(IF($B$2:$B6301=$B6302, $A$2:$A6301+$C$2:$C6301)), "")*24*60, "")</f>
        <v/>
      </c>
      <c r="S6302" s="24" t="str" cm="1">
        <f t="array" ref="S6302">IFERROR(IF($B6302=S$1, ($A6302+$C6302) - MAX(IF($B$2:$B6301=$B6302, $A$2:$A6301+$C$2:$C6301)), "")*24*60, "")</f>
        <v/>
      </c>
    </row>
    <row r="6303" spans="1:19" x14ac:dyDescent="0.2">
      <c r="A6303" s="12">
        <f t="shared" ref="A6303:C6303" si="1283">A6302</f>
        <v>45988</v>
      </c>
      <c r="B6303" s="5" t="str">
        <f t="shared" si="1283"/>
        <v>Northern Cardinal</v>
      </c>
      <c r="C6303" s="6">
        <f t="shared" si="1283"/>
        <v>0.28472222222222221</v>
      </c>
      <c r="D6303" s="5"/>
      <c r="E6303" s="5"/>
      <c r="F6303" s="5" t="s">
        <v>8</v>
      </c>
      <c r="G6303" s="15" t="s">
        <v>9</v>
      </c>
      <c r="H6303" s="24">
        <f t="shared" si="1278"/>
        <v>0</v>
      </c>
      <c r="I6303" s="24" cm="1">
        <f t="array" ref="I6303">IFERROR(IF($B6303=I$1, ($A6303+$C6303) - MAX(IF($B$2:$B6302=$B6303, $A$2:$A6302+$C$2:$C6302)), "")*24*60, "")</f>
        <v>0</v>
      </c>
      <c r="J6303" s="24" t="str" cm="1">
        <f t="array" ref="J6303">IFERROR(IF($B6303=J$1, ($A6303+$C6303) - MAX(IF($B$2:$B6302=$B6303, $A$2:$A6302+$C$2:$C6302)), "")*24*60, "")</f>
        <v/>
      </c>
      <c r="K6303" s="24" t="str" cm="1">
        <f t="array" ref="K6303">IFERROR(IF($B6303=K$1, ($A6303+$C6303) - MAX(IF($B$2:$B6302=$B6303, $A$2:$A6302+$C$2:$C6302)), "")*24*60, "")</f>
        <v/>
      </c>
      <c r="L6303" s="24" t="str" cm="1">
        <f t="array" ref="L6303">IFERROR(IF($B6303=L$1, ($A6303+$C6303) - MAX(IF($B$2:$B6302=$B6303, $A$2:$A6302+$C$2:$C6302)), "")*24*60, "")</f>
        <v/>
      </c>
      <c r="M6303" s="24" t="str" cm="1">
        <f t="array" ref="M6303">IFERROR(IF($B6303=M$1, ($A6303+$C6303) - MAX(IF($B$2:$B6302=$B6303, $A$2:$A6302+$C$2:$C6302)), "")*24*60, "")</f>
        <v/>
      </c>
      <c r="N6303" s="24" t="str" cm="1">
        <f t="array" ref="N6303">IFERROR(IF($B6303=N$1, ($A6303+$C6303) - MAX(IF($B$2:$B6302=$B6303, $A$2:$A6302+$C$2:$C6302)), "")*24*60, "")</f>
        <v/>
      </c>
      <c r="O6303" s="24" t="str" cm="1">
        <f t="array" ref="O6303">IFERROR(IF($B6303=O$1, ($A6303+$C6303) - MAX(IF($B$2:$B6302=$B6303, $A$2:$A6302+$C$2:$C6302)), "")*24*60, "")</f>
        <v/>
      </c>
      <c r="P6303" s="24" t="str" cm="1">
        <f t="array" ref="P6303">IFERROR(IF($B6303=P$1, ($A6303+$C6303) - MAX(IF($B$2:$B6302=$B6303, $A$2:$A6302+$C$2:$C6302)), "")*24*60, "")</f>
        <v/>
      </c>
      <c r="Q6303" s="24" t="str" cm="1">
        <f t="array" ref="Q6303">IFERROR(IF($B6303=Q$1, ($A6303+$C6303) - MAX(IF($B$2:$B6302=$B6303, $A$2:$A6302+$C$2:$C6302)), "")*24*60, "")</f>
        <v/>
      </c>
      <c r="R6303" s="24" t="str" cm="1">
        <f t="array" ref="R6303">IFERROR(IF($B6303=R$1, ($A6303+$C6303) - MAX(IF($B$2:$B6302=$B6303, $A$2:$A6302+$C$2:$C6302)), "")*24*60, "")</f>
        <v/>
      </c>
      <c r="S6303" s="24" t="str" cm="1">
        <f t="array" ref="S6303">IFERROR(IF($B6303=S$1, ($A6303+$C6303) - MAX(IF($B$2:$B6302=$B6303, $A$2:$A6302+$C$2:$C6302)), "")*24*60, "")</f>
        <v/>
      </c>
    </row>
    <row r="6304" spans="1:19" x14ac:dyDescent="0.2">
      <c r="A6304" s="12">
        <f t="shared" ref="A6304:C6304" si="1284">A6303</f>
        <v>45988</v>
      </c>
      <c r="B6304" s="5" t="str">
        <f t="shared" si="1284"/>
        <v>Northern Cardinal</v>
      </c>
      <c r="C6304" s="6">
        <f t="shared" si="1284"/>
        <v>0.28472222222222221</v>
      </c>
      <c r="D6304" s="5"/>
      <c r="E6304" s="5"/>
      <c r="F6304" s="5" t="s">
        <v>8</v>
      </c>
      <c r="G6304" s="15" t="s">
        <v>9</v>
      </c>
      <c r="H6304" s="24">
        <f t="shared" si="1278"/>
        <v>0</v>
      </c>
      <c r="I6304" s="24" cm="1">
        <f t="array" ref="I6304">IFERROR(IF($B6304=I$1, ($A6304+$C6304) - MAX(IF($B$2:$B6303=$B6304, $A$2:$A6303+$C$2:$C6303)), "")*24*60, "")</f>
        <v>0</v>
      </c>
      <c r="J6304" s="24" t="str" cm="1">
        <f t="array" ref="J6304">IFERROR(IF($B6304=J$1, ($A6304+$C6304) - MAX(IF($B$2:$B6303=$B6304, $A$2:$A6303+$C$2:$C6303)), "")*24*60, "")</f>
        <v/>
      </c>
      <c r="K6304" s="24" t="str" cm="1">
        <f t="array" ref="K6304">IFERROR(IF($B6304=K$1, ($A6304+$C6304) - MAX(IF($B$2:$B6303=$B6304, $A$2:$A6303+$C$2:$C6303)), "")*24*60, "")</f>
        <v/>
      </c>
      <c r="L6304" s="24" t="str" cm="1">
        <f t="array" ref="L6304">IFERROR(IF($B6304=L$1, ($A6304+$C6304) - MAX(IF($B$2:$B6303=$B6304, $A$2:$A6303+$C$2:$C6303)), "")*24*60, "")</f>
        <v/>
      </c>
      <c r="M6304" s="24" t="str" cm="1">
        <f t="array" ref="M6304">IFERROR(IF($B6304=M$1, ($A6304+$C6304) - MAX(IF($B$2:$B6303=$B6304, $A$2:$A6303+$C$2:$C6303)), "")*24*60, "")</f>
        <v/>
      </c>
      <c r="N6304" s="24" t="str" cm="1">
        <f t="array" ref="N6304">IFERROR(IF($B6304=N$1, ($A6304+$C6304) - MAX(IF($B$2:$B6303=$B6304, $A$2:$A6303+$C$2:$C6303)), "")*24*60, "")</f>
        <v/>
      </c>
      <c r="O6304" s="24" t="str" cm="1">
        <f t="array" ref="O6304">IFERROR(IF($B6304=O$1, ($A6304+$C6304) - MAX(IF($B$2:$B6303=$B6304, $A$2:$A6303+$C$2:$C6303)), "")*24*60, "")</f>
        <v/>
      </c>
      <c r="P6304" s="24" t="str" cm="1">
        <f t="array" ref="P6304">IFERROR(IF($B6304=P$1, ($A6304+$C6304) - MAX(IF($B$2:$B6303=$B6304, $A$2:$A6303+$C$2:$C6303)), "")*24*60, "")</f>
        <v/>
      </c>
      <c r="Q6304" s="24" t="str" cm="1">
        <f t="array" ref="Q6304">IFERROR(IF($B6304=Q$1, ($A6304+$C6304) - MAX(IF($B$2:$B6303=$B6304, $A$2:$A6303+$C$2:$C6303)), "")*24*60, "")</f>
        <v/>
      </c>
      <c r="R6304" s="24" t="str" cm="1">
        <f t="array" ref="R6304">IFERROR(IF($B6304=R$1, ($A6304+$C6304) - MAX(IF($B$2:$B6303=$B6304, $A$2:$A6303+$C$2:$C6303)), "")*24*60, "")</f>
        <v/>
      </c>
      <c r="S6304" s="24" t="str" cm="1">
        <f t="array" ref="S6304">IFERROR(IF($B6304=S$1, ($A6304+$C6304) - MAX(IF($B$2:$B6303=$B6304, $A$2:$A6303+$C$2:$C6303)), "")*24*60, "")</f>
        <v/>
      </c>
    </row>
    <row r="6305" spans="1:19" x14ac:dyDescent="0.2">
      <c r="A6305" s="12">
        <f t="shared" ref="A6305:C6305" si="1285">A6304</f>
        <v>45988</v>
      </c>
      <c r="B6305" s="5" t="str">
        <f t="shared" si="1285"/>
        <v>Northern Cardinal</v>
      </c>
      <c r="C6305" s="6">
        <f t="shared" si="1285"/>
        <v>0.28472222222222221</v>
      </c>
      <c r="D6305" s="5"/>
      <c r="E6305" s="5"/>
      <c r="F6305" s="5" t="s">
        <v>8</v>
      </c>
      <c r="G6305" s="15" t="s">
        <v>9</v>
      </c>
      <c r="H6305" s="24">
        <f t="shared" si="1278"/>
        <v>0</v>
      </c>
      <c r="I6305" s="24" cm="1">
        <f t="array" ref="I6305">IFERROR(IF($B6305=I$1, ($A6305+$C6305) - MAX(IF($B$2:$B6304=$B6305, $A$2:$A6304+$C$2:$C6304)), "")*24*60, "")</f>
        <v>0</v>
      </c>
      <c r="J6305" s="24" t="str" cm="1">
        <f t="array" ref="J6305">IFERROR(IF($B6305=J$1, ($A6305+$C6305) - MAX(IF($B$2:$B6304=$B6305, $A$2:$A6304+$C$2:$C6304)), "")*24*60, "")</f>
        <v/>
      </c>
      <c r="K6305" s="24" t="str" cm="1">
        <f t="array" ref="K6305">IFERROR(IF($B6305=K$1, ($A6305+$C6305) - MAX(IF($B$2:$B6304=$B6305, $A$2:$A6304+$C$2:$C6304)), "")*24*60, "")</f>
        <v/>
      </c>
      <c r="L6305" s="24" t="str" cm="1">
        <f t="array" ref="L6305">IFERROR(IF($B6305=L$1, ($A6305+$C6305) - MAX(IF($B$2:$B6304=$B6305, $A$2:$A6304+$C$2:$C6304)), "")*24*60, "")</f>
        <v/>
      </c>
      <c r="M6305" s="24" t="str" cm="1">
        <f t="array" ref="M6305">IFERROR(IF($B6305=M$1, ($A6305+$C6305) - MAX(IF($B$2:$B6304=$B6305, $A$2:$A6304+$C$2:$C6304)), "")*24*60, "")</f>
        <v/>
      </c>
      <c r="N6305" s="24" t="str" cm="1">
        <f t="array" ref="N6305">IFERROR(IF($B6305=N$1, ($A6305+$C6305) - MAX(IF($B$2:$B6304=$B6305, $A$2:$A6304+$C$2:$C6304)), "")*24*60, "")</f>
        <v/>
      </c>
      <c r="O6305" s="24" t="str" cm="1">
        <f t="array" ref="O6305">IFERROR(IF($B6305=O$1, ($A6305+$C6305) - MAX(IF($B$2:$B6304=$B6305, $A$2:$A6304+$C$2:$C6304)), "")*24*60, "")</f>
        <v/>
      </c>
      <c r="P6305" s="24" t="str" cm="1">
        <f t="array" ref="P6305">IFERROR(IF($B6305=P$1, ($A6305+$C6305) - MAX(IF($B$2:$B6304=$B6305, $A$2:$A6304+$C$2:$C6304)), "")*24*60, "")</f>
        <v/>
      </c>
      <c r="Q6305" s="24" t="str" cm="1">
        <f t="array" ref="Q6305">IFERROR(IF($B6305=Q$1, ($A6305+$C6305) - MAX(IF($B$2:$B6304=$B6305, $A$2:$A6304+$C$2:$C6304)), "")*24*60, "")</f>
        <v/>
      </c>
      <c r="R6305" s="24" t="str" cm="1">
        <f t="array" ref="R6305">IFERROR(IF($B6305=R$1, ($A6305+$C6305) - MAX(IF($B$2:$B6304=$B6305, $A$2:$A6304+$C$2:$C6304)), "")*24*60, "")</f>
        <v/>
      </c>
      <c r="S6305" s="24" t="str" cm="1">
        <f t="array" ref="S6305">IFERROR(IF($B6305=S$1, ($A6305+$C6305) - MAX(IF($B$2:$B6304=$B6305, $A$2:$A6304+$C$2:$C6304)), "")*24*60, "")</f>
        <v/>
      </c>
    </row>
    <row r="6306" spans="1:19" x14ac:dyDescent="0.2">
      <c r="A6306" s="12">
        <f t="shared" ref="A6306:C6306" si="1286">A6305</f>
        <v>45988</v>
      </c>
      <c r="B6306" s="5" t="str">
        <f t="shared" si="1286"/>
        <v>Northern Cardinal</v>
      </c>
      <c r="C6306" s="6">
        <f t="shared" si="1286"/>
        <v>0.28472222222222221</v>
      </c>
      <c r="D6306" s="5"/>
      <c r="E6306" s="5"/>
      <c r="F6306" s="5" t="s">
        <v>8</v>
      </c>
      <c r="G6306" s="15" t="s">
        <v>9</v>
      </c>
      <c r="H6306" s="24">
        <f t="shared" si="1278"/>
        <v>0</v>
      </c>
      <c r="I6306" s="24" cm="1">
        <f t="array" ref="I6306">IFERROR(IF($B6306=I$1, ($A6306+$C6306) - MAX(IF($B$2:$B6305=$B6306, $A$2:$A6305+$C$2:$C6305)), "")*24*60, "")</f>
        <v>0</v>
      </c>
      <c r="J6306" s="24" t="str" cm="1">
        <f t="array" ref="J6306">IFERROR(IF($B6306=J$1, ($A6306+$C6306) - MAX(IF($B$2:$B6305=$B6306, $A$2:$A6305+$C$2:$C6305)), "")*24*60, "")</f>
        <v/>
      </c>
      <c r="K6306" s="24" t="str" cm="1">
        <f t="array" ref="K6306">IFERROR(IF($B6306=K$1, ($A6306+$C6306) - MAX(IF($B$2:$B6305=$B6306, $A$2:$A6305+$C$2:$C6305)), "")*24*60, "")</f>
        <v/>
      </c>
      <c r="L6306" s="24" t="str" cm="1">
        <f t="array" ref="L6306">IFERROR(IF($B6306=L$1, ($A6306+$C6306) - MAX(IF($B$2:$B6305=$B6306, $A$2:$A6305+$C$2:$C6305)), "")*24*60, "")</f>
        <v/>
      </c>
      <c r="M6306" s="24" t="str" cm="1">
        <f t="array" ref="M6306">IFERROR(IF($B6306=M$1, ($A6306+$C6306) - MAX(IF($B$2:$B6305=$B6306, $A$2:$A6305+$C$2:$C6305)), "")*24*60, "")</f>
        <v/>
      </c>
      <c r="N6306" s="24" t="str" cm="1">
        <f t="array" ref="N6306">IFERROR(IF($B6306=N$1, ($A6306+$C6306) - MAX(IF($B$2:$B6305=$B6306, $A$2:$A6305+$C$2:$C6305)), "")*24*60, "")</f>
        <v/>
      </c>
      <c r="O6306" s="24" t="str" cm="1">
        <f t="array" ref="O6306">IFERROR(IF($B6306=O$1, ($A6306+$C6306) - MAX(IF($B$2:$B6305=$B6306, $A$2:$A6305+$C$2:$C6305)), "")*24*60, "")</f>
        <v/>
      </c>
      <c r="P6306" s="24" t="str" cm="1">
        <f t="array" ref="P6306">IFERROR(IF($B6306=P$1, ($A6306+$C6306) - MAX(IF($B$2:$B6305=$B6306, $A$2:$A6305+$C$2:$C6305)), "")*24*60, "")</f>
        <v/>
      </c>
      <c r="Q6306" s="24" t="str" cm="1">
        <f t="array" ref="Q6306">IFERROR(IF($B6306=Q$1, ($A6306+$C6306) - MAX(IF($B$2:$B6305=$B6306, $A$2:$A6305+$C$2:$C6305)), "")*24*60, "")</f>
        <v/>
      </c>
      <c r="R6306" s="24" t="str" cm="1">
        <f t="array" ref="R6306">IFERROR(IF($B6306=R$1, ($A6306+$C6306) - MAX(IF($B$2:$B6305=$B6306, $A$2:$A6305+$C$2:$C6305)), "")*24*60, "")</f>
        <v/>
      </c>
      <c r="S6306" s="24" t="str" cm="1">
        <f t="array" ref="S6306">IFERROR(IF($B6306=S$1, ($A6306+$C6306) - MAX(IF($B$2:$B6305=$B6306, $A$2:$A6305+$C$2:$C6305)), "")*24*60, "")</f>
        <v/>
      </c>
    </row>
    <row r="6307" spans="1:19" x14ac:dyDescent="0.2">
      <c r="A6307" s="12">
        <f t="shared" ref="A6307:C6307" si="1287">A6306</f>
        <v>45988</v>
      </c>
      <c r="B6307" s="5" t="str">
        <f t="shared" si="1287"/>
        <v>Northern Cardinal</v>
      </c>
      <c r="C6307" s="6">
        <f t="shared" si="1287"/>
        <v>0.28472222222222221</v>
      </c>
      <c r="D6307" s="5"/>
      <c r="E6307" s="5"/>
      <c r="F6307" s="5" t="s">
        <v>8</v>
      </c>
      <c r="G6307" s="15" t="s">
        <v>9</v>
      </c>
      <c r="H6307" s="24">
        <f t="shared" si="1278"/>
        <v>0</v>
      </c>
      <c r="I6307" s="24" cm="1">
        <f t="array" ref="I6307">IFERROR(IF($B6307=I$1, ($A6307+$C6307) - MAX(IF($B$2:$B6306=$B6307, $A$2:$A6306+$C$2:$C6306)), "")*24*60, "")</f>
        <v>0</v>
      </c>
      <c r="J6307" s="24" t="str" cm="1">
        <f t="array" ref="J6307">IFERROR(IF($B6307=J$1, ($A6307+$C6307) - MAX(IF($B$2:$B6306=$B6307, $A$2:$A6306+$C$2:$C6306)), "")*24*60, "")</f>
        <v/>
      </c>
      <c r="K6307" s="24" t="str" cm="1">
        <f t="array" ref="K6307">IFERROR(IF($B6307=K$1, ($A6307+$C6307) - MAX(IF($B$2:$B6306=$B6307, $A$2:$A6306+$C$2:$C6306)), "")*24*60, "")</f>
        <v/>
      </c>
      <c r="L6307" s="24" t="str" cm="1">
        <f t="array" ref="L6307">IFERROR(IF($B6307=L$1, ($A6307+$C6307) - MAX(IF($B$2:$B6306=$B6307, $A$2:$A6306+$C$2:$C6306)), "")*24*60, "")</f>
        <v/>
      </c>
      <c r="M6307" s="24" t="str" cm="1">
        <f t="array" ref="M6307">IFERROR(IF($B6307=M$1, ($A6307+$C6307) - MAX(IF($B$2:$B6306=$B6307, $A$2:$A6306+$C$2:$C6306)), "")*24*60, "")</f>
        <v/>
      </c>
      <c r="N6307" s="24" t="str" cm="1">
        <f t="array" ref="N6307">IFERROR(IF($B6307=N$1, ($A6307+$C6307) - MAX(IF($B$2:$B6306=$B6307, $A$2:$A6306+$C$2:$C6306)), "")*24*60, "")</f>
        <v/>
      </c>
      <c r="O6307" s="24" t="str" cm="1">
        <f t="array" ref="O6307">IFERROR(IF($B6307=O$1, ($A6307+$C6307) - MAX(IF($B$2:$B6306=$B6307, $A$2:$A6306+$C$2:$C6306)), "")*24*60, "")</f>
        <v/>
      </c>
      <c r="P6307" s="24" t="str" cm="1">
        <f t="array" ref="P6307">IFERROR(IF($B6307=P$1, ($A6307+$C6307) - MAX(IF($B$2:$B6306=$B6307, $A$2:$A6306+$C$2:$C6306)), "")*24*60, "")</f>
        <v/>
      </c>
      <c r="Q6307" s="24" t="str" cm="1">
        <f t="array" ref="Q6307">IFERROR(IF($B6307=Q$1, ($A6307+$C6307) - MAX(IF($B$2:$B6306=$B6307, $A$2:$A6306+$C$2:$C6306)), "")*24*60, "")</f>
        <v/>
      </c>
      <c r="R6307" s="24" t="str" cm="1">
        <f t="array" ref="R6307">IFERROR(IF($B6307=R$1, ($A6307+$C6307) - MAX(IF($B$2:$B6306=$B6307, $A$2:$A6306+$C$2:$C6306)), "")*24*60, "")</f>
        <v/>
      </c>
      <c r="S6307" s="24" t="str" cm="1">
        <f t="array" ref="S6307">IFERROR(IF($B6307=S$1, ($A6307+$C6307) - MAX(IF($B$2:$B6306=$B6307, $A$2:$A6306+$C$2:$C6306)), "")*24*60, "")</f>
        <v/>
      </c>
    </row>
    <row r="6308" spans="1:19" x14ac:dyDescent="0.2">
      <c r="A6308" s="12">
        <f t="shared" ref="A6308:C6308" si="1288">A6307</f>
        <v>45988</v>
      </c>
      <c r="B6308" s="5" t="str">
        <f t="shared" si="1288"/>
        <v>Northern Cardinal</v>
      </c>
      <c r="C6308" s="6">
        <f t="shared" si="1288"/>
        <v>0.28472222222222221</v>
      </c>
      <c r="D6308" s="5"/>
      <c r="E6308" s="5"/>
      <c r="F6308" s="5" t="s">
        <v>8</v>
      </c>
      <c r="G6308" s="15" t="s">
        <v>9</v>
      </c>
      <c r="H6308" s="24">
        <f t="shared" si="1278"/>
        <v>0</v>
      </c>
      <c r="I6308" s="24" cm="1">
        <f t="array" ref="I6308">IFERROR(IF($B6308=I$1, ($A6308+$C6308) - MAX(IF($B$2:$B6307=$B6308, $A$2:$A6307+$C$2:$C6307)), "")*24*60, "")</f>
        <v>0</v>
      </c>
      <c r="J6308" s="24" t="str" cm="1">
        <f t="array" ref="J6308">IFERROR(IF($B6308=J$1, ($A6308+$C6308) - MAX(IF($B$2:$B6307=$B6308, $A$2:$A6307+$C$2:$C6307)), "")*24*60, "")</f>
        <v/>
      </c>
      <c r="K6308" s="24" t="str" cm="1">
        <f t="array" ref="K6308">IFERROR(IF($B6308=K$1, ($A6308+$C6308) - MAX(IF($B$2:$B6307=$B6308, $A$2:$A6307+$C$2:$C6307)), "")*24*60, "")</f>
        <v/>
      </c>
      <c r="L6308" s="24" t="str" cm="1">
        <f t="array" ref="L6308">IFERROR(IF($B6308=L$1, ($A6308+$C6308) - MAX(IF($B$2:$B6307=$B6308, $A$2:$A6307+$C$2:$C6307)), "")*24*60, "")</f>
        <v/>
      </c>
      <c r="M6308" s="24" t="str" cm="1">
        <f t="array" ref="M6308">IFERROR(IF($B6308=M$1, ($A6308+$C6308) - MAX(IF($B$2:$B6307=$B6308, $A$2:$A6307+$C$2:$C6307)), "")*24*60, "")</f>
        <v/>
      </c>
      <c r="N6308" s="24" t="str" cm="1">
        <f t="array" ref="N6308">IFERROR(IF($B6308=N$1, ($A6308+$C6308) - MAX(IF($B$2:$B6307=$B6308, $A$2:$A6307+$C$2:$C6307)), "")*24*60, "")</f>
        <v/>
      </c>
      <c r="O6308" s="24" t="str" cm="1">
        <f t="array" ref="O6308">IFERROR(IF($B6308=O$1, ($A6308+$C6308) - MAX(IF($B$2:$B6307=$B6308, $A$2:$A6307+$C$2:$C6307)), "")*24*60, "")</f>
        <v/>
      </c>
      <c r="P6308" s="24" t="str" cm="1">
        <f t="array" ref="P6308">IFERROR(IF($B6308=P$1, ($A6308+$C6308) - MAX(IF($B$2:$B6307=$B6308, $A$2:$A6307+$C$2:$C6307)), "")*24*60, "")</f>
        <v/>
      </c>
      <c r="Q6308" s="24" t="str" cm="1">
        <f t="array" ref="Q6308">IFERROR(IF($B6308=Q$1, ($A6308+$C6308) - MAX(IF($B$2:$B6307=$B6308, $A$2:$A6307+$C$2:$C6307)), "")*24*60, "")</f>
        <v/>
      </c>
      <c r="R6308" s="24" t="str" cm="1">
        <f t="array" ref="R6308">IFERROR(IF($B6308=R$1, ($A6308+$C6308) - MAX(IF($B$2:$B6307=$B6308, $A$2:$A6307+$C$2:$C6307)), "")*24*60, "")</f>
        <v/>
      </c>
      <c r="S6308" s="24" t="str" cm="1">
        <f t="array" ref="S6308">IFERROR(IF($B6308=S$1, ($A6308+$C6308) - MAX(IF($B$2:$B6307=$B6308, $A$2:$A6307+$C$2:$C6307)), "")*24*60, "")</f>
        <v/>
      </c>
    </row>
    <row r="6309" spans="1:19" x14ac:dyDescent="0.2">
      <c r="A6309" s="12">
        <f t="shared" ref="A6309:C6309" si="1289">A6308</f>
        <v>45988</v>
      </c>
      <c r="B6309" s="5" t="str">
        <f t="shared" si="1289"/>
        <v>Northern Cardinal</v>
      </c>
      <c r="C6309" s="6">
        <f t="shared" si="1289"/>
        <v>0.28472222222222221</v>
      </c>
      <c r="D6309" s="5"/>
      <c r="E6309" s="5"/>
      <c r="F6309" s="5" t="s">
        <v>8</v>
      </c>
      <c r="G6309" s="15" t="s">
        <v>9</v>
      </c>
      <c r="H6309" s="24">
        <f t="shared" si="1278"/>
        <v>0</v>
      </c>
      <c r="I6309" s="24" cm="1">
        <f t="array" ref="I6309">IFERROR(IF($B6309=I$1, ($A6309+$C6309) - MAX(IF($B$2:$B6308=$B6309, $A$2:$A6308+$C$2:$C6308)), "")*24*60, "")</f>
        <v>0</v>
      </c>
      <c r="J6309" s="24" t="str" cm="1">
        <f t="array" ref="J6309">IFERROR(IF($B6309=J$1, ($A6309+$C6309) - MAX(IF($B$2:$B6308=$B6309, $A$2:$A6308+$C$2:$C6308)), "")*24*60, "")</f>
        <v/>
      </c>
      <c r="K6309" s="24" t="str" cm="1">
        <f t="array" ref="K6309">IFERROR(IF($B6309=K$1, ($A6309+$C6309) - MAX(IF($B$2:$B6308=$B6309, $A$2:$A6308+$C$2:$C6308)), "")*24*60, "")</f>
        <v/>
      </c>
      <c r="L6309" s="24" t="str" cm="1">
        <f t="array" ref="L6309">IFERROR(IF($B6309=L$1, ($A6309+$C6309) - MAX(IF($B$2:$B6308=$B6309, $A$2:$A6308+$C$2:$C6308)), "")*24*60, "")</f>
        <v/>
      </c>
      <c r="M6309" s="24" t="str" cm="1">
        <f t="array" ref="M6309">IFERROR(IF($B6309=M$1, ($A6309+$C6309) - MAX(IF($B$2:$B6308=$B6309, $A$2:$A6308+$C$2:$C6308)), "")*24*60, "")</f>
        <v/>
      </c>
      <c r="N6309" s="24" t="str" cm="1">
        <f t="array" ref="N6309">IFERROR(IF($B6309=N$1, ($A6309+$C6309) - MAX(IF($B$2:$B6308=$B6309, $A$2:$A6308+$C$2:$C6308)), "")*24*60, "")</f>
        <v/>
      </c>
      <c r="O6309" s="24" t="str" cm="1">
        <f t="array" ref="O6309">IFERROR(IF($B6309=O$1, ($A6309+$C6309) - MAX(IF($B$2:$B6308=$B6309, $A$2:$A6308+$C$2:$C6308)), "")*24*60, "")</f>
        <v/>
      </c>
      <c r="P6309" s="24" t="str" cm="1">
        <f t="array" ref="P6309">IFERROR(IF($B6309=P$1, ($A6309+$C6309) - MAX(IF($B$2:$B6308=$B6309, $A$2:$A6308+$C$2:$C6308)), "")*24*60, "")</f>
        <v/>
      </c>
      <c r="Q6309" s="24" t="str" cm="1">
        <f t="array" ref="Q6309">IFERROR(IF($B6309=Q$1, ($A6309+$C6309) - MAX(IF($B$2:$B6308=$B6309, $A$2:$A6308+$C$2:$C6308)), "")*24*60, "")</f>
        <v/>
      </c>
      <c r="R6309" s="24" t="str" cm="1">
        <f t="array" ref="R6309">IFERROR(IF($B6309=R$1, ($A6309+$C6309) - MAX(IF($B$2:$B6308=$B6309, $A$2:$A6308+$C$2:$C6308)), "")*24*60, "")</f>
        <v/>
      </c>
      <c r="S6309" s="24" t="str" cm="1">
        <f t="array" ref="S6309">IFERROR(IF($B6309=S$1, ($A6309+$C6309) - MAX(IF($B$2:$B6308=$B6309, $A$2:$A6308+$C$2:$C6308)), "")*24*60, "")</f>
        <v/>
      </c>
    </row>
    <row r="6310" spans="1:19" x14ac:dyDescent="0.2">
      <c r="A6310" s="12">
        <f t="shared" ref="A6310:C6310" si="1290">A6309</f>
        <v>45988</v>
      </c>
      <c r="B6310" s="5" t="str">
        <f t="shared" si="1290"/>
        <v>Northern Cardinal</v>
      </c>
      <c r="C6310" s="6">
        <f t="shared" si="1290"/>
        <v>0.28472222222222221</v>
      </c>
      <c r="D6310" s="5"/>
      <c r="E6310" s="5"/>
      <c r="F6310" s="5" t="s">
        <v>8</v>
      </c>
      <c r="G6310" s="15" t="s">
        <v>9</v>
      </c>
      <c r="H6310" s="24">
        <f t="shared" si="1278"/>
        <v>0</v>
      </c>
      <c r="I6310" s="24" cm="1">
        <f t="array" ref="I6310">IFERROR(IF($B6310=I$1, ($A6310+$C6310) - MAX(IF($B$2:$B6309=$B6310, $A$2:$A6309+$C$2:$C6309)), "")*24*60, "")</f>
        <v>0</v>
      </c>
      <c r="J6310" s="24" t="str" cm="1">
        <f t="array" ref="J6310">IFERROR(IF($B6310=J$1, ($A6310+$C6310) - MAX(IF($B$2:$B6309=$B6310, $A$2:$A6309+$C$2:$C6309)), "")*24*60, "")</f>
        <v/>
      </c>
      <c r="K6310" s="24" t="str" cm="1">
        <f t="array" ref="K6310">IFERROR(IF($B6310=K$1, ($A6310+$C6310) - MAX(IF($B$2:$B6309=$B6310, $A$2:$A6309+$C$2:$C6309)), "")*24*60, "")</f>
        <v/>
      </c>
      <c r="L6310" s="24" t="str" cm="1">
        <f t="array" ref="L6310">IFERROR(IF($B6310=L$1, ($A6310+$C6310) - MAX(IF($B$2:$B6309=$B6310, $A$2:$A6309+$C$2:$C6309)), "")*24*60, "")</f>
        <v/>
      </c>
      <c r="M6310" s="24" t="str" cm="1">
        <f t="array" ref="M6310">IFERROR(IF($B6310=M$1, ($A6310+$C6310) - MAX(IF($B$2:$B6309=$B6310, $A$2:$A6309+$C$2:$C6309)), "")*24*60, "")</f>
        <v/>
      </c>
      <c r="N6310" s="24" t="str" cm="1">
        <f t="array" ref="N6310">IFERROR(IF($B6310=N$1, ($A6310+$C6310) - MAX(IF($B$2:$B6309=$B6310, $A$2:$A6309+$C$2:$C6309)), "")*24*60, "")</f>
        <v/>
      </c>
      <c r="O6310" s="24" t="str" cm="1">
        <f t="array" ref="O6310">IFERROR(IF($B6310=O$1, ($A6310+$C6310) - MAX(IF($B$2:$B6309=$B6310, $A$2:$A6309+$C$2:$C6309)), "")*24*60, "")</f>
        <v/>
      </c>
      <c r="P6310" s="24" t="str" cm="1">
        <f t="array" ref="P6310">IFERROR(IF($B6310=P$1, ($A6310+$C6310) - MAX(IF($B$2:$B6309=$B6310, $A$2:$A6309+$C$2:$C6309)), "")*24*60, "")</f>
        <v/>
      </c>
      <c r="Q6310" s="24" t="str" cm="1">
        <f t="array" ref="Q6310">IFERROR(IF($B6310=Q$1, ($A6310+$C6310) - MAX(IF($B$2:$B6309=$B6310, $A$2:$A6309+$C$2:$C6309)), "")*24*60, "")</f>
        <v/>
      </c>
      <c r="R6310" s="24" t="str" cm="1">
        <f t="array" ref="R6310">IFERROR(IF($B6310=R$1, ($A6310+$C6310) - MAX(IF($B$2:$B6309=$B6310, $A$2:$A6309+$C$2:$C6309)), "")*24*60, "")</f>
        <v/>
      </c>
      <c r="S6310" s="24" t="str" cm="1">
        <f t="array" ref="S6310">IFERROR(IF($B6310=S$1, ($A6310+$C6310) - MAX(IF($B$2:$B6309=$B6310, $A$2:$A6309+$C$2:$C6309)), "")*24*60, "")</f>
        <v/>
      </c>
    </row>
    <row r="6311" spans="1:19" x14ac:dyDescent="0.2">
      <c r="A6311" s="12">
        <f t="shared" ref="A6311:C6311" si="1291">A6310</f>
        <v>45988</v>
      </c>
      <c r="B6311" s="5" t="str">
        <f t="shared" si="1291"/>
        <v>Northern Cardinal</v>
      </c>
      <c r="C6311" s="6">
        <f t="shared" si="1291"/>
        <v>0.28472222222222221</v>
      </c>
      <c r="D6311" s="5"/>
      <c r="E6311" s="5"/>
      <c r="F6311" s="5" t="s">
        <v>8</v>
      </c>
      <c r="G6311" s="15" t="s">
        <v>9</v>
      </c>
      <c r="H6311" s="24">
        <f t="shared" si="1278"/>
        <v>0</v>
      </c>
      <c r="I6311" s="24" cm="1">
        <f t="array" ref="I6311">IFERROR(IF($B6311=I$1, ($A6311+$C6311) - MAX(IF($B$2:$B6310=$B6311, $A$2:$A6310+$C$2:$C6310)), "")*24*60, "")</f>
        <v>0</v>
      </c>
      <c r="J6311" s="24" t="str" cm="1">
        <f t="array" ref="J6311">IFERROR(IF($B6311=J$1, ($A6311+$C6311) - MAX(IF($B$2:$B6310=$B6311, $A$2:$A6310+$C$2:$C6310)), "")*24*60, "")</f>
        <v/>
      </c>
      <c r="K6311" s="24" t="str" cm="1">
        <f t="array" ref="K6311">IFERROR(IF($B6311=K$1, ($A6311+$C6311) - MAX(IF($B$2:$B6310=$B6311, $A$2:$A6310+$C$2:$C6310)), "")*24*60, "")</f>
        <v/>
      </c>
      <c r="L6311" s="24" t="str" cm="1">
        <f t="array" ref="L6311">IFERROR(IF($B6311=L$1, ($A6311+$C6311) - MAX(IF($B$2:$B6310=$B6311, $A$2:$A6310+$C$2:$C6310)), "")*24*60, "")</f>
        <v/>
      </c>
      <c r="M6311" s="24" t="str" cm="1">
        <f t="array" ref="M6311">IFERROR(IF($B6311=M$1, ($A6311+$C6311) - MAX(IF($B$2:$B6310=$B6311, $A$2:$A6310+$C$2:$C6310)), "")*24*60, "")</f>
        <v/>
      </c>
      <c r="N6311" s="24" t="str" cm="1">
        <f t="array" ref="N6311">IFERROR(IF($B6311=N$1, ($A6311+$C6311) - MAX(IF($B$2:$B6310=$B6311, $A$2:$A6310+$C$2:$C6310)), "")*24*60, "")</f>
        <v/>
      </c>
      <c r="O6311" s="24" t="str" cm="1">
        <f t="array" ref="O6311">IFERROR(IF($B6311=O$1, ($A6311+$C6311) - MAX(IF($B$2:$B6310=$B6311, $A$2:$A6310+$C$2:$C6310)), "")*24*60, "")</f>
        <v/>
      </c>
      <c r="P6311" s="24" t="str" cm="1">
        <f t="array" ref="P6311">IFERROR(IF($B6311=P$1, ($A6311+$C6311) - MAX(IF($B$2:$B6310=$B6311, $A$2:$A6310+$C$2:$C6310)), "")*24*60, "")</f>
        <v/>
      </c>
      <c r="Q6311" s="24" t="str" cm="1">
        <f t="array" ref="Q6311">IFERROR(IF($B6311=Q$1, ($A6311+$C6311) - MAX(IF($B$2:$B6310=$B6311, $A$2:$A6310+$C$2:$C6310)), "")*24*60, "")</f>
        <v/>
      </c>
      <c r="R6311" s="24" t="str" cm="1">
        <f t="array" ref="R6311">IFERROR(IF($B6311=R$1, ($A6311+$C6311) - MAX(IF($B$2:$B6310=$B6311, $A$2:$A6310+$C$2:$C6310)), "")*24*60, "")</f>
        <v/>
      </c>
      <c r="S6311" s="24" t="str" cm="1">
        <f t="array" ref="S6311">IFERROR(IF($B6311=S$1, ($A6311+$C6311) - MAX(IF($B$2:$B6310=$B6311, $A$2:$A6310+$C$2:$C6310)), "")*24*60, "")</f>
        <v/>
      </c>
    </row>
    <row r="6312" spans="1:19" x14ac:dyDescent="0.2">
      <c r="A6312" s="12">
        <f t="shared" ref="A6312:C6312" si="1292">A6311</f>
        <v>45988</v>
      </c>
      <c r="B6312" s="5" t="str">
        <f t="shared" si="1292"/>
        <v>Northern Cardinal</v>
      </c>
      <c r="C6312" s="6">
        <f t="shared" si="1292"/>
        <v>0.28472222222222221</v>
      </c>
      <c r="D6312" s="5"/>
      <c r="E6312" s="5"/>
      <c r="F6312" s="5" t="s">
        <v>8</v>
      </c>
      <c r="G6312" s="15" t="s">
        <v>9</v>
      </c>
      <c r="H6312" s="24">
        <f t="shared" si="1278"/>
        <v>0</v>
      </c>
      <c r="I6312" s="24" cm="1">
        <f t="array" ref="I6312">IFERROR(IF($B6312=I$1, ($A6312+$C6312) - MAX(IF($B$2:$B6311=$B6312, $A$2:$A6311+$C$2:$C6311)), "")*24*60, "")</f>
        <v>0</v>
      </c>
      <c r="J6312" s="24" t="str" cm="1">
        <f t="array" ref="J6312">IFERROR(IF($B6312=J$1, ($A6312+$C6312) - MAX(IF($B$2:$B6311=$B6312, $A$2:$A6311+$C$2:$C6311)), "")*24*60, "")</f>
        <v/>
      </c>
      <c r="K6312" s="24" t="str" cm="1">
        <f t="array" ref="K6312">IFERROR(IF($B6312=K$1, ($A6312+$C6312) - MAX(IF($B$2:$B6311=$B6312, $A$2:$A6311+$C$2:$C6311)), "")*24*60, "")</f>
        <v/>
      </c>
      <c r="L6312" s="24" t="str" cm="1">
        <f t="array" ref="L6312">IFERROR(IF($B6312=L$1, ($A6312+$C6312) - MAX(IF($B$2:$B6311=$B6312, $A$2:$A6311+$C$2:$C6311)), "")*24*60, "")</f>
        <v/>
      </c>
      <c r="M6312" s="24" t="str" cm="1">
        <f t="array" ref="M6312">IFERROR(IF($B6312=M$1, ($A6312+$C6312) - MAX(IF($B$2:$B6311=$B6312, $A$2:$A6311+$C$2:$C6311)), "")*24*60, "")</f>
        <v/>
      </c>
      <c r="N6312" s="24" t="str" cm="1">
        <f t="array" ref="N6312">IFERROR(IF($B6312=N$1, ($A6312+$C6312) - MAX(IF($B$2:$B6311=$B6312, $A$2:$A6311+$C$2:$C6311)), "")*24*60, "")</f>
        <v/>
      </c>
      <c r="O6312" s="24" t="str" cm="1">
        <f t="array" ref="O6312">IFERROR(IF($B6312=O$1, ($A6312+$C6312) - MAX(IF($B$2:$B6311=$B6312, $A$2:$A6311+$C$2:$C6311)), "")*24*60, "")</f>
        <v/>
      </c>
      <c r="P6312" s="24" t="str" cm="1">
        <f t="array" ref="P6312">IFERROR(IF($B6312=P$1, ($A6312+$C6312) - MAX(IF($B$2:$B6311=$B6312, $A$2:$A6311+$C$2:$C6311)), "")*24*60, "")</f>
        <v/>
      </c>
      <c r="Q6312" s="24" t="str" cm="1">
        <f t="array" ref="Q6312">IFERROR(IF($B6312=Q$1, ($A6312+$C6312) - MAX(IF($B$2:$B6311=$B6312, $A$2:$A6311+$C$2:$C6311)), "")*24*60, "")</f>
        <v/>
      </c>
      <c r="R6312" s="24" t="str" cm="1">
        <f t="array" ref="R6312">IFERROR(IF($B6312=R$1, ($A6312+$C6312) - MAX(IF($B$2:$B6311=$B6312, $A$2:$A6311+$C$2:$C6311)), "")*24*60, "")</f>
        <v/>
      </c>
      <c r="S6312" s="24" t="str" cm="1">
        <f t="array" ref="S6312">IFERROR(IF($B6312=S$1, ($A6312+$C6312) - MAX(IF($B$2:$B6311=$B6312, $A$2:$A6311+$C$2:$C6311)), "")*24*60, "")</f>
        <v/>
      </c>
    </row>
    <row r="6313" spans="1:19" x14ac:dyDescent="0.2">
      <c r="A6313" s="12">
        <f t="shared" ref="A6313:C6313" si="1293">A6312</f>
        <v>45988</v>
      </c>
      <c r="B6313" s="5" t="str">
        <f t="shared" si="1293"/>
        <v>Northern Cardinal</v>
      </c>
      <c r="C6313" s="6">
        <f t="shared" si="1293"/>
        <v>0.28472222222222221</v>
      </c>
      <c r="D6313" s="5"/>
      <c r="E6313" s="5"/>
      <c r="F6313" s="5" t="s">
        <v>8</v>
      </c>
      <c r="G6313" s="15" t="s">
        <v>9</v>
      </c>
      <c r="H6313" s="24">
        <f t="shared" si="1278"/>
        <v>0</v>
      </c>
      <c r="I6313" s="24" cm="1">
        <f t="array" ref="I6313">IFERROR(IF($B6313=I$1, ($A6313+$C6313) - MAX(IF($B$2:$B6312=$B6313, $A$2:$A6312+$C$2:$C6312)), "")*24*60, "")</f>
        <v>0</v>
      </c>
      <c r="J6313" s="24" t="str" cm="1">
        <f t="array" ref="J6313">IFERROR(IF($B6313=J$1, ($A6313+$C6313) - MAX(IF($B$2:$B6312=$B6313, $A$2:$A6312+$C$2:$C6312)), "")*24*60, "")</f>
        <v/>
      </c>
      <c r="K6313" s="24" t="str" cm="1">
        <f t="array" ref="K6313">IFERROR(IF($B6313=K$1, ($A6313+$C6313) - MAX(IF($B$2:$B6312=$B6313, $A$2:$A6312+$C$2:$C6312)), "")*24*60, "")</f>
        <v/>
      </c>
      <c r="L6313" s="24" t="str" cm="1">
        <f t="array" ref="L6313">IFERROR(IF($B6313=L$1, ($A6313+$C6313) - MAX(IF($B$2:$B6312=$B6313, $A$2:$A6312+$C$2:$C6312)), "")*24*60, "")</f>
        <v/>
      </c>
      <c r="M6313" s="24" t="str" cm="1">
        <f t="array" ref="M6313">IFERROR(IF($B6313=M$1, ($A6313+$C6313) - MAX(IF($B$2:$B6312=$B6313, $A$2:$A6312+$C$2:$C6312)), "")*24*60, "")</f>
        <v/>
      </c>
      <c r="N6313" s="24" t="str" cm="1">
        <f t="array" ref="N6313">IFERROR(IF($B6313=N$1, ($A6313+$C6313) - MAX(IF($B$2:$B6312=$B6313, $A$2:$A6312+$C$2:$C6312)), "")*24*60, "")</f>
        <v/>
      </c>
      <c r="O6313" s="24" t="str" cm="1">
        <f t="array" ref="O6313">IFERROR(IF($B6313=O$1, ($A6313+$C6313) - MAX(IF($B$2:$B6312=$B6313, $A$2:$A6312+$C$2:$C6312)), "")*24*60, "")</f>
        <v/>
      </c>
      <c r="P6313" s="24" t="str" cm="1">
        <f t="array" ref="P6313">IFERROR(IF($B6313=P$1, ($A6313+$C6313) - MAX(IF($B$2:$B6312=$B6313, $A$2:$A6312+$C$2:$C6312)), "")*24*60, "")</f>
        <v/>
      </c>
      <c r="Q6313" s="24" t="str" cm="1">
        <f t="array" ref="Q6313">IFERROR(IF($B6313=Q$1, ($A6313+$C6313) - MAX(IF($B$2:$B6312=$B6313, $A$2:$A6312+$C$2:$C6312)), "")*24*60, "")</f>
        <v/>
      </c>
      <c r="R6313" s="24" t="str" cm="1">
        <f t="array" ref="R6313">IFERROR(IF($B6313=R$1, ($A6313+$C6313) - MAX(IF($B$2:$B6312=$B6313, $A$2:$A6312+$C$2:$C6312)), "")*24*60, "")</f>
        <v/>
      </c>
      <c r="S6313" s="24" t="str" cm="1">
        <f t="array" ref="S6313">IFERROR(IF($B6313=S$1, ($A6313+$C6313) - MAX(IF($B$2:$B6312=$B6313, $A$2:$A6312+$C$2:$C6312)), "")*24*60, "")</f>
        <v/>
      </c>
    </row>
    <row r="6314" spans="1:19" x14ac:dyDescent="0.2">
      <c r="A6314" s="12">
        <f t="shared" ref="A6314:C6314" si="1294">A6313</f>
        <v>45988</v>
      </c>
      <c r="B6314" s="5" t="str">
        <f t="shared" si="1294"/>
        <v>Northern Cardinal</v>
      </c>
      <c r="C6314" s="6">
        <f t="shared" si="1294"/>
        <v>0.28472222222222221</v>
      </c>
      <c r="D6314" s="5"/>
      <c r="E6314" s="5"/>
      <c r="F6314" s="5" t="s">
        <v>8</v>
      </c>
      <c r="G6314" s="15" t="s">
        <v>9</v>
      </c>
      <c r="H6314" s="24">
        <f t="shared" si="1278"/>
        <v>0</v>
      </c>
      <c r="I6314" s="24" cm="1">
        <f t="array" ref="I6314">IFERROR(IF($B6314=I$1, ($A6314+$C6314) - MAX(IF($B$2:$B6313=$B6314, $A$2:$A6313+$C$2:$C6313)), "")*24*60, "")</f>
        <v>0</v>
      </c>
      <c r="J6314" s="24" t="str" cm="1">
        <f t="array" ref="J6314">IFERROR(IF($B6314=J$1, ($A6314+$C6314) - MAX(IF($B$2:$B6313=$B6314, $A$2:$A6313+$C$2:$C6313)), "")*24*60, "")</f>
        <v/>
      </c>
      <c r="K6314" s="24" t="str" cm="1">
        <f t="array" ref="K6314">IFERROR(IF($B6314=K$1, ($A6314+$C6314) - MAX(IF($B$2:$B6313=$B6314, $A$2:$A6313+$C$2:$C6313)), "")*24*60, "")</f>
        <v/>
      </c>
      <c r="L6314" s="24" t="str" cm="1">
        <f t="array" ref="L6314">IFERROR(IF($B6314=L$1, ($A6314+$C6314) - MAX(IF($B$2:$B6313=$B6314, $A$2:$A6313+$C$2:$C6313)), "")*24*60, "")</f>
        <v/>
      </c>
      <c r="M6314" s="24" t="str" cm="1">
        <f t="array" ref="M6314">IFERROR(IF($B6314=M$1, ($A6314+$C6314) - MAX(IF($B$2:$B6313=$B6314, $A$2:$A6313+$C$2:$C6313)), "")*24*60, "")</f>
        <v/>
      </c>
      <c r="N6314" s="24" t="str" cm="1">
        <f t="array" ref="N6314">IFERROR(IF($B6314=N$1, ($A6314+$C6314) - MAX(IF($B$2:$B6313=$B6314, $A$2:$A6313+$C$2:$C6313)), "")*24*60, "")</f>
        <v/>
      </c>
      <c r="O6314" s="24" t="str" cm="1">
        <f t="array" ref="O6314">IFERROR(IF($B6314=O$1, ($A6314+$C6314) - MAX(IF($B$2:$B6313=$B6314, $A$2:$A6313+$C$2:$C6313)), "")*24*60, "")</f>
        <v/>
      </c>
      <c r="P6314" s="24" t="str" cm="1">
        <f t="array" ref="P6314">IFERROR(IF($B6314=P$1, ($A6314+$C6314) - MAX(IF($B$2:$B6313=$B6314, $A$2:$A6313+$C$2:$C6313)), "")*24*60, "")</f>
        <v/>
      </c>
      <c r="Q6314" s="24" t="str" cm="1">
        <f t="array" ref="Q6314">IFERROR(IF($B6314=Q$1, ($A6314+$C6314) - MAX(IF($B$2:$B6313=$B6314, $A$2:$A6313+$C$2:$C6313)), "")*24*60, "")</f>
        <v/>
      </c>
      <c r="R6314" s="24" t="str" cm="1">
        <f t="array" ref="R6314">IFERROR(IF($B6314=R$1, ($A6314+$C6314) - MAX(IF($B$2:$B6313=$B6314, $A$2:$A6313+$C$2:$C6313)), "")*24*60, "")</f>
        <v/>
      </c>
      <c r="S6314" s="24" t="str" cm="1">
        <f t="array" ref="S6314">IFERROR(IF($B6314=S$1, ($A6314+$C6314) - MAX(IF($B$2:$B6313=$B6314, $A$2:$A6313+$C$2:$C6313)), "")*24*60, "")</f>
        <v/>
      </c>
    </row>
    <row r="6315" spans="1:19" x14ac:dyDescent="0.2">
      <c r="A6315" s="12">
        <f t="shared" ref="A6315:C6315" si="1295">A6314</f>
        <v>45988</v>
      </c>
      <c r="B6315" s="5" t="str">
        <f t="shared" si="1295"/>
        <v>Northern Cardinal</v>
      </c>
      <c r="C6315" s="6">
        <f t="shared" si="1295"/>
        <v>0.28472222222222221</v>
      </c>
      <c r="D6315" s="5"/>
      <c r="E6315" s="5"/>
      <c r="F6315" s="5" t="s">
        <v>8</v>
      </c>
      <c r="G6315" s="15" t="s">
        <v>9</v>
      </c>
      <c r="H6315" s="24">
        <f t="shared" si="1278"/>
        <v>0</v>
      </c>
      <c r="I6315" s="24" cm="1">
        <f t="array" ref="I6315">IFERROR(IF($B6315=I$1, ($A6315+$C6315) - MAX(IF($B$2:$B6314=$B6315, $A$2:$A6314+$C$2:$C6314)), "")*24*60, "")</f>
        <v>0</v>
      </c>
      <c r="J6315" s="24" t="str" cm="1">
        <f t="array" ref="J6315">IFERROR(IF($B6315=J$1, ($A6315+$C6315) - MAX(IF($B$2:$B6314=$B6315, $A$2:$A6314+$C$2:$C6314)), "")*24*60, "")</f>
        <v/>
      </c>
      <c r="K6315" s="24" t="str" cm="1">
        <f t="array" ref="K6315">IFERROR(IF($B6315=K$1, ($A6315+$C6315) - MAX(IF($B$2:$B6314=$B6315, $A$2:$A6314+$C$2:$C6314)), "")*24*60, "")</f>
        <v/>
      </c>
      <c r="L6315" s="24" t="str" cm="1">
        <f t="array" ref="L6315">IFERROR(IF($B6315=L$1, ($A6315+$C6315) - MAX(IF($B$2:$B6314=$B6315, $A$2:$A6314+$C$2:$C6314)), "")*24*60, "")</f>
        <v/>
      </c>
      <c r="M6315" s="24" t="str" cm="1">
        <f t="array" ref="M6315">IFERROR(IF($B6315=M$1, ($A6315+$C6315) - MAX(IF($B$2:$B6314=$B6315, $A$2:$A6314+$C$2:$C6314)), "")*24*60, "")</f>
        <v/>
      </c>
      <c r="N6315" s="24" t="str" cm="1">
        <f t="array" ref="N6315">IFERROR(IF($B6315=N$1, ($A6315+$C6315) - MAX(IF($B$2:$B6314=$B6315, $A$2:$A6314+$C$2:$C6314)), "")*24*60, "")</f>
        <v/>
      </c>
      <c r="O6315" s="24" t="str" cm="1">
        <f t="array" ref="O6315">IFERROR(IF($B6315=O$1, ($A6315+$C6315) - MAX(IF($B$2:$B6314=$B6315, $A$2:$A6314+$C$2:$C6314)), "")*24*60, "")</f>
        <v/>
      </c>
      <c r="P6315" s="24" t="str" cm="1">
        <f t="array" ref="P6315">IFERROR(IF($B6315=P$1, ($A6315+$C6315) - MAX(IF($B$2:$B6314=$B6315, $A$2:$A6314+$C$2:$C6314)), "")*24*60, "")</f>
        <v/>
      </c>
      <c r="Q6315" s="24" t="str" cm="1">
        <f t="array" ref="Q6315">IFERROR(IF($B6315=Q$1, ($A6315+$C6315) - MAX(IF($B$2:$B6314=$B6315, $A$2:$A6314+$C$2:$C6314)), "")*24*60, "")</f>
        <v/>
      </c>
      <c r="R6315" s="24" t="str" cm="1">
        <f t="array" ref="R6315">IFERROR(IF($B6315=R$1, ($A6315+$C6315) - MAX(IF($B$2:$B6314=$B6315, $A$2:$A6314+$C$2:$C6314)), "")*24*60, "")</f>
        <v/>
      </c>
      <c r="S6315" s="24" t="str" cm="1">
        <f t="array" ref="S6315">IFERROR(IF($B6315=S$1, ($A6315+$C6315) - MAX(IF($B$2:$B6314=$B6315, $A$2:$A6314+$C$2:$C6314)), "")*24*60, "")</f>
        <v/>
      </c>
    </row>
    <row r="6316" spans="1:19" x14ac:dyDescent="0.2">
      <c r="A6316" s="12">
        <f t="shared" ref="A6316:C6316" si="1296">A6315</f>
        <v>45988</v>
      </c>
      <c r="B6316" s="5" t="str">
        <f t="shared" si="1296"/>
        <v>Northern Cardinal</v>
      </c>
      <c r="C6316" s="6">
        <f t="shared" si="1296"/>
        <v>0.28472222222222221</v>
      </c>
      <c r="D6316" s="5"/>
      <c r="E6316" s="5"/>
      <c r="F6316" s="5" t="s">
        <v>8</v>
      </c>
      <c r="G6316" s="15" t="s">
        <v>9</v>
      </c>
      <c r="H6316" s="24">
        <f t="shared" si="1278"/>
        <v>0</v>
      </c>
      <c r="I6316" s="24" cm="1">
        <f t="array" ref="I6316">IFERROR(IF($B6316=I$1, ($A6316+$C6316) - MAX(IF($B$2:$B6315=$B6316, $A$2:$A6315+$C$2:$C6315)), "")*24*60, "")</f>
        <v>0</v>
      </c>
      <c r="J6316" s="24" t="str" cm="1">
        <f t="array" ref="J6316">IFERROR(IF($B6316=J$1, ($A6316+$C6316) - MAX(IF($B$2:$B6315=$B6316, $A$2:$A6315+$C$2:$C6315)), "")*24*60, "")</f>
        <v/>
      </c>
      <c r="K6316" s="24" t="str" cm="1">
        <f t="array" ref="K6316">IFERROR(IF($B6316=K$1, ($A6316+$C6316) - MAX(IF($B$2:$B6315=$B6316, $A$2:$A6315+$C$2:$C6315)), "")*24*60, "")</f>
        <v/>
      </c>
      <c r="L6316" s="24" t="str" cm="1">
        <f t="array" ref="L6316">IFERROR(IF($B6316=L$1, ($A6316+$C6316) - MAX(IF($B$2:$B6315=$B6316, $A$2:$A6315+$C$2:$C6315)), "")*24*60, "")</f>
        <v/>
      </c>
      <c r="M6316" s="24" t="str" cm="1">
        <f t="array" ref="M6316">IFERROR(IF($B6316=M$1, ($A6316+$C6316) - MAX(IF($B$2:$B6315=$B6316, $A$2:$A6315+$C$2:$C6315)), "")*24*60, "")</f>
        <v/>
      </c>
      <c r="N6316" s="24" t="str" cm="1">
        <f t="array" ref="N6316">IFERROR(IF($B6316=N$1, ($A6316+$C6316) - MAX(IF($B$2:$B6315=$B6316, $A$2:$A6315+$C$2:$C6315)), "")*24*60, "")</f>
        <v/>
      </c>
      <c r="O6316" s="24" t="str" cm="1">
        <f t="array" ref="O6316">IFERROR(IF($B6316=O$1, ($A6316+$C6316) - MAX(IF($B$2:$B6315=$B6316, $A$2:$A6315+$C$2:$C6315)), "")*24*60, "")</f>
        <v/>
      </c>
      <c r="P6316" s="24" t="str" cm="1">
        <f t="array" ref="P6316">IFERROR(IF($B6316=P$1, ($A6316+$C6316) - MAX(IF($B$2:$B6315=$B6316, $A$2:$A6315+$C$2:$C6315)), "")*24*60, "")</f>
        <v/>
      </c>
      <c r="Q6316" s="24" t="str" cm="1">
        <f t="array" ref="Q6316">IFERROR(IF($B6316=Q$1, ($A6316+$C6316) - MAX(IF($B$2:$B6315=$B6316, $A$2:$A6315+$C$2:$C6315)), "")*24*60, "")</f>
        <v/>
      </c>
      <c r="R6316" s="24" t="str" cm="1">
        <f t="array" ref="R6316">IFERROR(IF($B6316=R$1, ($A6316+$C6316) - MAX(IF($B$2:$B6315=$B6316, $A$2:$A6315+$C$2:$C6315)), "")*24*60, "")</f>
        <v/>
      </c>
      <c r="S6316" s="24" t="str" cm="1">
        <f t="array" ref="S6316">IFERROR(IF($B6316=S$1, ($A6316+$C6316) - MAX(IF($B$2:$B6315=$B6316, $A$2:$A6315+$C$2:$C6315)), "")*24*60, "")</f>
        <v/>
      </c>
    </row>
    <row r="6317" spans="1:19" x14ac:dyDescent="0.2">
      <c r="A6317" s="12">
        <f t="shared" ref="A6317:C6317" si="1297">A6316</f>
        <v>45988</v>
      </c>
      <c r="B6317" s="5" t="str">
        <f t="shared" si="1297"/>
        <v>Northern Cardinal</v>
      </c>
      <c r="C6317" s="6">
        <f t="shared" si="1297"/>
        <v>0.28472222222222221</v>
      </c>
      <c r="D6317" s="5"/>
      <c r="E6317" s="5"/>
      <c r="F6317" s="5" t="s">
        <v>8</v>
      </c>
      <c r="G6317" s="15" t="s">
        <v>9</v>
      </c>
      <c r="H6317" s="24">
        <f t="shared" si="1278"/>
        <v>0</v>
      </c>
      <c r="I6317" s="24" cm="1">
        <f t="array" ref="I6317">IFERROR(IF($B6317=I$1, ($A6317+$C6317) - MAX(IF($B$2:$B6316=$B6317, $A$2:$A6316+$C$2:$C6316)), "")*24*60, "")</f>
        <v>0</v>
      </c>
      <c r="J6317" s="24" t="str" cm="1">
        <f t="array" ref="J6317">IFERROR(IF($B6317=J$1, ($A6317+$C6317) - MAX(IF($B$2:$B6316=$B6317, $A$2:$A6316+$C$2:$C6316)), "")*24*60, "")</f>
        <v/>
      </c>
      <c r="K6317" s="24" t="str" cm="1">
        <f t="array" ref="K6317">IFERROR(IF($B6317=K$1, ($A6317+$C6317) - MAX(IF($B$2:$B6316=$B6317, $A$2:$A6316+$C$2:$C6316)), "")*24*60, "")</f>
        <v/>
      </c>
      <c r="L6317" s="24" t="str" cm="1">
        <f t="array" ref="L6317">IFERROR(IF($B6317=L$1, ($A6317+$C6317) - MAX(IF($B$2:$B6316=$B6317, $A$2:$A6316+$C$2:$C6316)), "")*24*60, "")</f>
        <v/>
      </c>
      <c r="M6317" s="24" t="str" cm="1">
        <f t="array" ref="M6317">IFERROR(IF($B6317=M$1, ($A6317+$C6317) - MAX(IF($B$2:$B6316=$B6317, $A$2:$A6316+$C$2:$C6316)), "")*24*60, "")</f>
        <v/>
      </c>
      <c r="N6317" s="24" t="str" cm="1">
        <f t="array" ref="N6317">IFERROR(IF($B6317=N$1, ($A6317+$C6317) - MAX(IF($B$2:$B6316=$B6317, $A$2:$A6316+$C$2:$C6316)), "")*24*60, "")</f>
        <v/>
      </c>
      <c r="O6317" s="24" t="str" cm="1">
        <f t="array" ref="O6317">IFERROR(IF($B6317=O$1, ($A6317+$C6317) - MAX(IF($B$2:$B6316=$B6317, $A$2:$A6316+$C$2:$C6316)), "")*24*60, "")</f>
        <v/>
      </c>
      <c r="P6317" s="24" t="str" cm="1">
        <f t="array" ref="P6317">IFERROR(IF($B6317=P$1, ($A6317+$C6317) - MAX(IF($B$2:$B6316=$B6317, $A$2:$A6316+$C$2:$C6316)), "")*24*60, "")</f>
        <v/>
      </c>
      <c r="Q6317" s="24" t="str" cm="1">
        <f t="array" ref="Q6317">IFERROR(IF($B6317=Q$1, ($A6317+$C6317) - MAX(IF($B$2:$B6316=$B6317, $A$2:$A6316+$C$2:$C6316)), "")*24*60, "")</f>
        <v/>
      </c>
      <c r="R6317" s="24" t="str" cm="1">
        <f t="array" ref="R6317">IFERROR(IF($B6317=R$1, ($A6317+$C6317) - MAX(IF($B$2:$B6316=$B6317, $A$2:$A6316+$C$2:$C6316)), "")*24*60, "")</f>
        <v/>
      </c>
      <c r="S6317" s="24" t="str" cm="1">
        <f t="array" ref="S6317">IFERROR(IF($B6317=S$1, ($A6317+$C6317) - MAX(IF($B$2:$B6316=$B6317, $A$2:$A6316+$C$2:$C6316)), "")*24*60, "")</f>
        <v/>
      </c>
    </row>
    <row r="6318" spans="1:19" x14ac:dyDescent="0.2">
      <c r="A6318" s="12">
        <f t="shared" ref="A6318:C6318" si="1298">A6317</f>
        <v>45988</v>
      </c>
      <c r="B6318" s="5" t="str">
        <f t="shared" si="1298"/>
        <v>Northern Cardinal</v>
      </c>
      <c r="C6318" s="6">
        <f t="shared" si="1298"/>
        <v>0.28472222222222221</v>
      </c>
      <c r="D6318" s="5"/>
      <c r="E6318" s="5"/>
      <c r="F6318" s="5" t="s">
        <v>8</v>
      </c>
      <c r="G6318" s="15" t="s">
        <v>9</v>
      </c>
      <c r="H6318" s="24">
        <f t="shared" si="1278"/>
        <v>0</v>
      </c>
      <c r="I6318" s="24" cm="1">
        <f t="array" ref="I6318">IFERROR(IF($B6318=I$1, ($A6318+$C6318) - MAX(IF($B$2:$B6317=$B6318, $A$2:$A6317+$C$2:$C6317)), "")*24*60, "")</f>
        <v>0</v>
      </c>
      <c r="J6318" s="24" t="str" cm="1">
        <f t="array" ref="J6318">IFERROR(IF($B6318=J$1, ($A6318+$C6318) - MAX(IF($B$2:$B6317=$B6318, $A$2:$A6317+$C$2:$C6317)), "")*24*60, "")</f>
        <v/>
      </c>
      <c r="K6318" s="24" t="str" cm="1">
        <f t="array" ref="K6318">IFERROR(IF($B6318=K$1, ($A6318+$C6318) - MAX(IF($B$2:$B6317=$B6318, $A$2:$A6317+$C$2:$C6317)), "")*24*60, "")</f>
        <v/>
      </c>
      <c r="L6318" s="24" t="str" cm="1">
        <f t="array" ref="L6318">IFERROR(IF($B6318=L$1, ($A6318+$C6318) - MAX(IF($B$2:$B6317=$B6318, $A$2:$A6317+$C$2:$C6317)), "")*24*60, "")</f>
        <v/>
      </c>
      <c r="M6318" s="24" t="str" cm="1">
        <f t="array" ref="M6318">IFERROR(IF($B6318=M$1, ($A6318+$C6318) - MAX(IF($B$2:$B6317=$B6318, $A$2:$A6317+$C$2:$C6317)), "")*24*60, "")</f>
        <v/>
      </c>
      <c r="N6318" s="24" t="str" cm="1">
        <f t="array" ref="N6318">IFERROR(IF($B6318=N$1, ($A6318+$C6318) - MAX(IF($B$2:$B6317=$B6318, $A$2:$A6317+$C$2:$C6317)), "")*24*60, "")</f>
        <v/>
      </c>
      <c r="O6318" s="24" t="str" cm="1">
        <f t="array" ref="O6318">IFERROR(IF($B6318=O$1, ($A6318+$C6318) - MAX(IF($B$2:$B6317=$B6318, $A$2:$A6317+$C$2:$C6317)), "")*24*60, "")</f>
        <v/>
      </c>
      <c r="P6318" s="24" t="str" cm="1">
        <f t="array" ref="P6318">IFERROR(IF($B6318=P$1, ($A6318+$C6318) - MAX(IF($B$2:$B6317=$B6318, $A$2:$A6317+$C$2:$C6317)), "")*24*60, "")</f>
        <v/>
      </c>
      <c r="Q6318" s="24" t="str" cm="1">
        <f t="array" ref="Q6318">IFERROR(IF($B6318=Q$1, ($A6318+$C6318) - MAX(IF($B$2:$B6317=$B6318, $A$2:$A6317+$C$2:$C6317)), "")*24*60, "")</f>
        <v/>
      </c>
      <c r="R6318" s="24" t="str" cm="1">
        <f t="array" ref="R6318">IFERROR(IF($B6318=R$1, ($A6318+$C6318) - MAX(IF($B$2:$B6317=$B6318, $A$2:$A6317+$C$2:$C6317)), "")*24*60, "")</f>
        <v/>
      </c>
      <c r="S6318" s="24" t="str" cm="1">
        <f t="array" ref="S6318">IFERROR(IF($B6318=S$1, ($A6318+$C6318) - MAX(IF($B$2:$B6317=$B6318, $A$2:$A6317+$C$2:$C6317)), "")*24*60, "")</f>
        <v/>
      </c>
    </row>
    <row r="6319" spans="1:19" x14ac:dyDescent="0.2">
      <c r="A6319" s="12">
        <f t="shared" ref="A6319:C6319" si="1299">A6318</f>
        <v>45988</v>
      </c>
      <c r="B6319" s="5" t="str">
        <f t="shared" si="1299"/>
        <v>Northern Cardinal</v>
      </c>
      <c r="C6319" s="6">
        <f t="shared" si="1299"/>
        <v>0.28472222222222221</v>
      </c>
      <c r="D6319" s="5"/>
      <c r="E6319" s="5"/>
      <c r="F6319" s="5" t="s">
        <v>8</v>
      </c>
      <c r="G6319" s="15" t="s">
        <v>9</v>
      </c>
      <c r="H6319" s="24">
        <f t="shared" si="1278"/>
        <v>0</v>
      </c>
      <c r="I6319" s="24" cm="1">
        <f t="array" ref="I6319">IFERROR(IF($B6319=I$1, ($A6319+$C6319) - MAX(IF($B$2:$B6318=$B6319, $A$2:$A6318+$C$2:$C6318)), "")*24*60, "")</f>
        <v>0</v>
      </c>
      <c r="J6319" s="24" t="str" cm="1">
        <f t="array" ref="J6319">IFERROR(IF($B6319=J$1, ($A6319+$C6319) - MAX(IF($B$2:$B6318=$B6319, $A$2:$A6318+$C$2:$C6318)), "")*24*60, "")</f>
        <v/>
      </c>
      <c r="K6319" s="24" t="str" cm="1">
        <f t="array" ref="K6319">IFERROR(IF($B6319=K$1, ($A6319+$C6319) - MAX(IF($B$2:$B6318=$B6319, $A$2:$A6318+$C$2:$C6318)), "")*24*60, "")</f>
        <v/>
      </c>
      <c r="L6319" s="24" t="str" cm="1">
        <f t="array" ref="L6319">IFERROR(IF($B6319=L$1, ($A6319+$C6319) - MAX(IF($B$2:$B6318=$B6319, $A$2:$A6318+$C$2:$C6318)), "")*24*60, "")</f>
        <v/>
      </c>
      <c r="M6319" s="24" t="str" cm="1">
        <f t="array" ref="M6319">IFERROR(IF($B6319=M$1, ($A6319+$C6319) - MAX(IF($B$2:$B6318=$B6319, $A$2:$A6318+$C$2:$C6318)), "")*24*60, "")</f>
        <v/>
      </c>
      <c r="N6319" s="24" t="str" cm="1">
        <f t="array" ref="N6319">IFERROR(IF($B6319=N$1, ($A6319+$C6319) - MAX(IF($B$2:$B6318=$B6319, $A$2:$A6318+$C$2:$C6318)), "")*24*60, "")</f>
        <v/>
      </c>
      <c r="O6319" s="24" t="str" cm="1">
        <f t="array" ref="O6319">IFERROR(IF($B6319=O$1, ($A6319+$C6319) - MAX(IF($B$2:$B6318=$B6319, $A$2:$A6318+$C$2:$C6318)), "")*24*60, "")</f>
        <v/>
      </c>
      <c r="P6319" s="24" t="str" cm="1">
        <f t="array" ref="P6319">IFERROR(IF($B6319=P$1, ($A6319+$C6319) - MAX(IF($B$2:$B6318=$B6319, $A$2:$A6318+$C$2:$C6318)), "")*24*60, "")</f>
        <v/>
      </c>
      <c r="Q6319" s="24" t="str" cm="1">
        <f t="array" ref="Q6319">IFERROR(IF($B6319=Q$1, ($A6319+$C6319) - MAX(IF($B$2:$B6318=$B6319, $A$2:$A6318+$C$2:$C6318)), "")*24*60, "")</f>
        <v/>
      </c>
      <c r="R6319" s="24" t="str" cm="1">
        <f t="array" ref="R6319">IFERROR(IF($B6319=R$1, ($A6319+$C6319) - MAX(IF($B$2:$B6318=$B6319, $A$2:$A6318+$C$2:$C6318)), "")*24*60, "")</f>
        <v/>
      </c>
      <c r="S6319" s="24" t="str" cm="1">
        <f t="array" ref="S6319">IFERROR(IF($B6319=S$1, ($A6319+$C6319) - MAX(IF($B$2:$B6318=$B6319, $A$2:$A6318+$C$2:$C6318)), "")*24*60, "")</f>
        <v/>
      </c>
    </row>
    <row r="6320" spans="1:19" x14ac:dyDescent="0.2">
      <c r="A6320" s="12">
        <f t="shared" ref="A6320:C6320" si="1300">A6319</f>
        <v>45988</v>
      </c>
      <c r="B6320" s="5" t="str">
        <f t="shared" si="1300"/>
        <v>Northern Cardinal</v>
      </c>
      <c r="C6320" s="6">
        <f t="shared" si="1300"/>
        <v>0.28472222222222221</v>
      </c>
      <c r="D6320" s="5"/>
      <c r="E6320" s="5"/>
      <c r="F6320" s="5" t="s">
        <v>8</v>
      </c>
      <c r="G6320" s="15" t="s">
        <v>9</v>
      </c>
      <c r="H6320" s="24">
        <f t="shared" si="1278"/>
        <v>0</v>
      </c>
      <c r="I6320" s="24" cm="1">
        <f t="array" ref="I6320">IFERROR(IF($B6320=I$1, ($A6320+$C6320) - MAX(IF($B$2:$B6319=$B6320, $A$2:$A6319+$C$2:$C6319)), "")*24*60, "")</f>
        <v>0</v>
      </c>
      <c r="J6320" s="24" t="str" cm="1">
        <f t="array" ref="J6320">IFERROR(IF($B6320=J$1, ($A6320+$C6320) - MAX(IF($B$2:$B6319=$B6320, $A$2:$A6319+$C$2:$C6319)), "")*24*60, "")</f>
        <v/>
      </c>
      <c r="K6320" s="24" t="str" cm="1">
        <f t="array" ref="K6320">IFERROR(IF($B6320=K$1, ($A6320+$C6320) - MAX(IF($B$2:$B6319=$B6320, $A$2:$A6319+$C$2:$C6319)), "")*24*60, "")</f>
        <v/>
      </c>
      <c r="L6320" s="24" t="str" cm="1">
        <f t="array" ref="L6320">IFERROR(IF($B6320=L$1, ($A6320+$C6320) - MAX(IF($B$2:$B6319=$B6320, $A$2:$A6319+$C$2:$C6319)), "")*24*60, "")</f>
        <v/>
      </c>
      <c r="M6320" s="24" t="str" cm="1">
        <f t="array" ref="M6320">IFERROR(IF($B6320=M$1, ($A6320+$C6320) - MAX(IF($B$2:$B6319=$B6320, $A$2:$A6319+$C$2:$C6319)), "")*24*60, "")</f>
        <v/>
      </c>
      <c r="N6320" s="24" t="str" cm="1">
        <f t="array" ref="N6320">IFERROR(IF($B6320=N$1, ($A6320+$C6320) - MAX(IF($B$2:$B6319=$B6320, $A$2:$A6319+$C$2:$C6319)), "")*24*60, "")</f>
        <v/>
      </c>
      <c r="O6320" s="24" t="str" cm="1">
        <f t="array" ref="O6320">IFERROR(IF($B6320=O$1, ($A6320+$C6320) - MAX(IF($B$2:$B6319=$B6320, $A$2:$A6319+$C$2:$C6319)), "")*24*60, "")</f>
        <v/>
      </c>
      <c r="P6320" s="24" t="str" cm="1">
        <f t="array" ref="P6320">IFERROR(IF($B6320=P$1, ($A6320+$C6320) - MAX(IF($B$2:$B6319=$B6320, $A$2:$A6319+$C$2:$C6319)), "")*24*60, "")</f>
        <v/>
      </c>
      <c r="Q6320" s="24" t="str" cm="1">
        <f t="array" ref="Q6320">IFERROR(IF($B6320=Q$1, ($A6320+$C6320) - MAX(IF($B$2:$B6319=$B6320, $A$2:$A6319+$C$2:$C6319)), "")*24*60, "")</f>
        <v/>
      </c>
      <c r="R6320" s="24" t="str" cm="1">
        <f t="array" ref="R6320">IFERROR(IF($B6320=R$1, ($A6320+$C6320) - MAX(IF($B$2:$B6319=$B6320, $A$2:$A6319+$C$2:$C6319)), "")*24*60, "")</f>
        <v/>
      </c>
      <c r="S6320" s="24" t="str" cm="1">
        <f t="array" ref="S6320">IFERROR(IF($B6320=S$1, ($A6320+$C6320) - MAX(IF($B$2:$B6319=$B6320, $A$2:$A6319+$C$2:$C6319)), "")*24*60, "")</f>
        <v/>
      </c>
    </row>
    <row r="6321" spans="1:19" x14ac:dyDescent="0.2">
      <c r="A6321" s="12">
        <f t="shared" ref="A6321:C6321" si="1301">A6320</f>
        <v>45988</v>
      </c>
      <c r="B6321" s="5" t="str">
        <f t="shared" si="1301"/>
        <v>Northern Cardinal</v>
      </c>
      <c r="C6321" s="6">
        <f t="shared" si="1301"/>
        <v>0.28472222222222221</v>
      </c>
      <c r="D6321" s="5"/>
      <c r="E6321" s="5"/>
      <c r="F6321" s="5" t="s">
        <v>8</v>
      </c>
      <c r="G6321" s="15" t="s">
        <v>9</v>
      </c>
      <c r="H6321" s="24">
        <f t="shared" si="1278"/>
        <v>0</v>
      </c>
      <c r="I6321" s="24" cm="1">
        <f t="array" ref="I6321">IFERROR(IF($B6321=I$1, ($A6321+$C6321) - MAX(IF($B$2:$B6320=$B6321, $A$2:$A6320+$C$2:$C6320)), "")*24*60, "")</f>
        <v>0</v>
      </c>
      <c r="J6321" s="24" t="str" cm="1">
        <f t="array" ref="J6321">IFERROR(IF($B6321=J$1, ($A6321+$C6321) - MAX(IF($B$2:$B6320=$B6321, $A$2:$A6320+$C$2:$C6320)), "")*24*60, "")</f>
        <v/>
      </c>
      <c r="K6321" s="24" t="str" cm="1">
        <f t="array" ref="K6321">IFERROR(IF($B6321=K$1, ($A6321+$C6321) - MAX(IF($B$2:$B6320=$B6321, $A$2:$A6320+$C$2:$C6320)), "")*24*60, "")</f>
        <v/>
      </c>
      <c r="L6321" s="24" t="str" cm="1">
        <f t="array" ref="L6321">IFERROR(IF($B6321=L$1, ($A6321+$C6321) - MAX(IF($B$2:$B6320=$B6321, $A$2:$A6320+$C$2:$C6320)), "")*24*60, "")</f>
        <v/>
      </c>
      <c r="M6321" s="24" t="str" cm="1">
        <f t="array" ref="M6321">IFERROR(IF($B6321=M$1, ($A6321+$C6321) - MAX(IF($B$2:$B6320=$B6321, $A$2:$A6320+$C$2:$C6320)), "")*24*60, "")</f>
        <v/>
      </c>
      <c r="N6321" s="24" t="str" cm="1">
        <f t="array" ref="N6321">IFERROR(IF($B6321=N$1, ($A6321+$C6321) - MAX(IF($B$2:$B6320=$B6321, $A$2:$A6320+$C$2:$C6320)), "")*24*60, "")</f>
        <v/>
      </c>
      <c r="O6321" s="24" t="str" cm="1">
        <f t="array" ref="O6321">IFERROR(IF($B6321=O$1, ($A6321+$C6321) - MAX(IF($B$2:$B6320=$B6321, $A$2:$A6320+$C$2:$C6320)), "")*24*60, "")</f>
        <v/>
      </c>
      <c r="P6321" s="24" t="str" cm="1">
        <f t="array" ref="P6321">IFERROR(IF($B6321=P$1, ($A6321+$C6321) - MAX(IF($B$2:$B6320=$B6321, $A$2:$A6320+$C$2:$C6320)), "")*24*60, "")</f>
        <v/>
      </c>
      <c r="Q6321" s="24" t="str" cm="1">
        <f t="array" ref="Q6321">IFERROR(IF($B6321=Q$1, ($A6321+$C6321) - MAX(IF($B$2:$B6320=$B6321, $A$2:$A6320+$C$2:$C6320)), "")*24*60, "")</f>
        <v/>
      </c>
      <c r="R6321" s="24" t="str" cm="1">
        <f t="array" ref="R6321">IFERROR(IF($B6321=R$1, ($A6321+$C6321) - MAX(IF($B$2:$B6320=$B6321, $A$2:$A6320+$C$2:$C6320)), "")*24*60, "")</f>
        <v/>
      </c>
      <c r="S6321" s="24" t="str" cm="1">
        <f t="array" ref="S6321">IFERROR(IF($B6321=S$1, ($A6321+$C6321) - MAX(IF($B$2:$B6320=$B6321, $A$2:$A6320+$C$2:$C6320)), "")*24*60, "")</f>
        <v/>
      </c>
    </row>
    <row r="6322" spans="1:19" x14ac:dyDescent="0.2">
      <c r="A6322" s="12">
        <f t="shared" ref="A6322:C6322" si="1302">A6321</f>
        <v>45988</v>
      </c>
      <c r="B6322" s="5" t="str">
        <f t="shared" si="1302"/>
        <v>Northern Cardinal</v>
      </c>
      <c r="C6322" s="6">
        <f t="shared" si="1302"/>
        <v>0.28472222222222221</v>
      </c>
      <c r="D6322" s="5"/>
      <c r="E6322" s="5"/>
      <c r="F6322" s="5" t="s">
        <v>8</v>
      </c>
      <c r="G6322" s="15" t="s">
        <v>9</v>
      </c>
      <c r="H6322" s="24">
        <f t="shared" si="1278"/>
        <v>0</v>
      </c>
      <c r="I6322" s="24" cm="1">
        <f t="array" ref="I6322">IFERROR(IF($B6322=I$1, ($A6322+$C6322) - MAX(IF($B$2:$B6321=$B6322, $A$2:$A6321+$C$2:$C6321)), "")*24*60, "")</f>
        <v>0</v>
      </c>
      <c r="J6322" s="24" t="str" cm="1">
        <f t="array" ref="J6322">IFERROR(IF($B6322=J$1, ($A6322+$C6322) - MAX(IF($B$2:$B6321=$B6322, $A$2:$A6321+$C$2:$C6321)), "")*24*60, "")</f>
        <v/>
      </c>
      <c r="K6322" s="24" t="str" cm="1">
        <f t="array" ref="K6322">IFERROR(IF($B6322=K$1, ($A6322+$C6322) - MAX(IF($B$2:$B6321=$B6322, $A$2:$A6321+$C$2:$C6321)), "")*24*60, "")</f>
        <v/>
      </c>
      <c r="L6322" s="24" t="str" cm="1">
        <f t="array" ref="L6322">IFERROR(IF($B6322=L$1, ($A6322+$C6322) - MAX(IF($B$2:$B6321=$B6322, $A$2:$A6321+$C$2:$C6321)), "")*24*60, "")</f>
        <v/>
      </c>
      <c r="M6322" s="24" t="str" cm="1">
        <f t="array" ref="M6322">IFERROR(IF($B6322=M$1, ($A6322+$C6322) - MAX(IF($B$2:$B6321=$B6322, $A$2:$A6321+$C$2:$C6321)), "")*24*60, "")</f>
        <v/>
      </c>
      <c r="N6322" s="24" t="str" cm="1">
        <f t="array" ref="N6322">IFERROR(IF($B6322=N$1, ($A6322+$C6322) - MAX(IF($B$2:$B6321=$B6322, $A$2:$A6321+$C$2:$C6321)), "")*24*60, "")</f>
        <v/>
      </c>
      <c r="O6322" s="24" t="str" cm="1">
        <f t="array" ref="O6322">IFERROR(IF($B6322=O$1, ($A6322+$C6322) - MAX(IF($B$2:$B6321=$B6322, $A$2:$A6321+$C$2:$C6321)), "")*24*60, "")</f>
        <v/>
      </c>
      <c r="P6322" s="24" t="str" cm="1">
        <f t="array" ref="P6322">IFERROR(IF($B6322=P$1, ($A6322+$C6322) - MAX(IF($B$2:$B6321=$B6322, $A$2:$A6321+$C$2:$C6321)), "")*24*60, "")</f>
        <v/>
      </c>
      <c r="Q6322" s="24" t="str" cm="1">
        <f t="array" ref="Q6322">IFERROR(IF($B6322=Q$1, ($A6322+$C6322) - MAX(IF($B$2:$B6321=$B6322, $A$2:$A6321+$C$2:$C6321)), "")*24*60, "")</f>
        <v/>
      </c>
      <c r="R6322" s="24" t="str" cm="1">
        <f t="array" ref="R6322">IFERROR(IF($B6322=R$1, ($A6322+$C6322) - MAX(IF($B$2:$B6321=$B6322, $A$2:$A6321+$C$2:$C6321)), "")*24*60, "")</f>
        <v/>
      </c>
      <c r="S6322" s="24" t="str" cm="1">
        <f t="array" ref="S6322">IFERROR(IF($B6322=S$1, ($A6322+$C6322) - MAX(IF($B$2:$B6321=$B6322, $A$2:$A6321+$C$2:$C6321)), "")*24*60, "")</f>
        <v/>
      </c>
    </row>
    <row r="6323" spans="1:19" x14ac:dyDescent="0.2">
      <c r="A6323" s="12">
        <f t="shared" ref="A6323:C6323" si="1303">A6322</f>
        <v>45988</v>
      </c>
      <c r="B6323" s="5" t="str">
        <f t="shared" si="1303"/>
        <v>Northern Cardinal</v>
      </c>
      <c r="C6323" s="6">
        <f t="shared" si="1303"/>
        <v>0.28472222222222221</v>
      </c>
      <c r="D6323" s="5"/>
      <c r="E6323" s="5"/>
      <c r="F6323" s="5" t="s">
        <v>8</v>
      </c>
      <c r="G6323" s="15" t="s">
        <v>9</v>
      </c>
      <c r="H6323" s="24">
        <f t="shared" si="1278"/>
        <v>0</v>
      </c>
      <c r="I6323" s="24" cm="1">
        <f t="array" ref="I6323">IFERROR(IF($B6323=I$1, ($A6323+$C6323) - MAX(IF($B$2:$B6322=$B6323, $A$2:$A6322+$C$2:$C6322)), "")*24*60, "")</f>
        <v>0</v>
      </c>
      <c r="J6323" s="24" t="str" cm="1">
        <f t="array" ref="J6323">IFERROR(IF($B6323=J$1, ($A6323+$C6323) - MAX(IF($B$2:$B6322=$B6323, $A$2:$A6322+$C$2:$C6322)), "")*24*60, "")</f>
        <v/>
      </c>
      <c r="K6323" s="24" t="str" cm="1">
        <f t="array" ref="K6323">IFERROR(IF($B6323=K$1, ($A6323+$C6323) - MAX(IF($B$2:$B6322=$B6323, $A$2:$A6322+$C$2:$C6322)), "")*24*60, "")</f>
        <v/>
      </c>
      <c r="L6323" s="24" t="str" cm="1">
        <f t="array" ref="L6323">IFERROR(IF($B6323=L$1, ($A6323+$C6323) - MAX(IF($B$2:$B6322=$B6323, $A$2:$A6322+$C$2:$C6322)), "")*24*60, "")</f>
        <v/>
      </c>
      <c r="M6323" s="24" t="str" cm="1">
        <f t="array" ref="M6323">IFERROR(IF($B6323=M$1, ($A6323+$C6323) - MAX(IF($B$2:$B6322=$B6323, $A$2:$A6322+$C$2:$C6322)), "")*24*60, "")</f>
        <v/>
      </c>
      <c r="N6323" s="24" t="str" cm="1">
        <f t="array" ref="N6323">IFERROR(IF($B6323=N$1, ($A6323+$C6323) - MAX(IF($B$2:$B6322=$B6323, $A$2:$A6322+$C$2:$C6322)), "")*24*60, "")</f>
        <v/>
      </c>
      <c r="O6323" s="24" t="str" cm="1">
        <f t="array" ref="O6323">IFERROR(IF($B6323=O$1, ($A6323+$C6323) - MAX(IF($B$2:$B6322=$B6323, $A$2:$A6322+$C$2:$C6322)), "")*24*60, "")</f>
        <v/>
      </c>
      <c r="P6323" s="24" t="str" cm="1">
        <f t="array" ref="P6323">IFERROR(IF($B6323=P$1, ($A6323+$C6323) - MAX(IF($B$2:$B6322=$B6323, $A$2:$A6322+$C$2:$C6322)), "")*24*60, "")</f>
        <v/>
      </c>
      <c r="Q6323" s="24" t="str" cm="1">
        <f t="array" ref="Q6323">IFERROR(IF($B6323=Q$1, ($A6323+$C6323) - MAX(IF($B$2:$B6322=$B6323, $A$2:$A6322+$C$2:$C6322)), "")*24*60, "")</f>
        <v/>
      </c>
      <c r="R6323" s="24" t="str" cm="1">
        <f t="array" ref="R6323">IFERROR(IF($B6323=R$1, ($A6323+$C6323) - MAX(IF($B$2:$B6322=$B6323, $A$2:$A6322+$C$2:$C6322)), "")*24*60, "")</f>
        <v/>
      </c>
      <c r="S6323" s="24" t="str" cm="1">
        <f t="array" ref="S6323">IFERROR(IF($B6323=S$1, ($A6323+$C6323) - MAX(IF($B$2:$B6322=$B6323, $A$2:$A6322+$C$2:$C6322)), "")*24*60, "")</f>
        <v/>
      </c>
    </row>
    <row r="6324" spans="1:19" x14ac:dyDescent="0.2">
      <c r="A6324" s="12">
        <f t="shared" ref="A6324:C6324" si="1304">A6323</f>
        <v>45988</v>
      </c>
      <c r="B6324" s="5" t="str">
        <f t="shared" si="1304"/>
        <v>Northern Cardinal</v>
      </c>
      <c r="C6324" s="6">
        <f t="shared" si="1304"/>
        <v>0.28472222222222221</v>
      </c>
      <c r="D6324" s="5"/>
      <c r="E6324" s="5"/>
      <c r="F6324" s="5" t="s">
        <v>8</v>
      </c>
      <c r="G6324" s="15" t="s">
        <v>9</v>
      </c>
      <c r="H6324" s="24">
        <f t="shared" si="1278"/>
        <v>0</v>
      </c>
      <c r="I6324" s="24" cm="1">
        <f t="array" ref="I6324">IFERROR(IF($B6324=I$1, ($A6324+$C6324) - MAX(IF($B$2:$B6323=$B6324, $A$2:$A6323+$C$2:$C6323)), "")*24*60, "")</f>
        <v>0</v>
      </c>
      <c r="J6324" s="24" t="str" cm="1">
        <f t="array" ref="J6324">IFERROR(IF($B6324=J$1, ($A6324+$C6324) - MAX(IF($B$2:$B6323=$B6324, $A$2:$A6323+$C$2:$C6323)), "")*24*60, "")</f>
        <v/>
      </c>
      <c r="K6324" s="24" t="str" cm="1">
        <f t="array" ref="K6324">IFERROR(IF($B6324=K$1, ($A6324+$C6324) - MAX(IF($B$2:$B6323=$B6324, $A$2:$A6323+$C$2:$C6323)), "")*24*60, "")</f>
        <v/>
      </c>
      <c r="L6324" s="24" t="str" cm="1">
        <f t="array" ref="L6324">IFERROR(IF($B6324=L$1, ($A6324+$C6324) - MAX(IF($B$2:$B6323=$B6324, $A$2:$A6323+$C$2:$C6323)), "")*24*60, "")</f>
        <v/>
      </c>
      <c r="M6324" s="24" t="str" cm="1">
        <f t="array" ref="M6324">IFERROR(IF($B6324=M$1, ($A6324+$C6324) - MAX(IF($B$2:$B6323=$B6324, $A$2:$A6323+$C$2:$C6323)), "")*24*60, "")</f>
        <v/>
      </c>
      <c r="N6324" s="24" t="str" cm="1">
        <f t="array" ref="N6324">IFERROR(IF($B6324=N$1, ($A6324+$C6324) - MAX(IF($B$2:$B6323=$B6324, $A$2:$A6323+$C$2:$C6323)), "")*24*60, "")</f>
        <v/>
      </c>
      <c r="O6324" s="24" t="str" cm="1">
        <f t="array" ref="O6324">IFERROR(IF($B6324=O$1, ($A6324+$C6324) - MAX(IF($B$2:$B6323=$B6324, $A$2:$A6323+$C$2:$C6323)), "")*24*60, "")</f>
        <v/>
      </c>
      <c r="P6324" s="24" t="str" cm="1">
        <f t="array" ref="P6324">IFERROR(IF($B6324=P$1, ($A6324+$C6324) - MAX(IF($B$2:$B6323=$B6324, $A$2:$A6323+$C$2:$C6323)), "")*24*60, "")</f>
        <v/>
      </c>
      <c r="Q6324" s="24" t="str" cm="1">
        <f t="array" ref="Q6324">IFERROR(IF($B6324=Q$1, ($A6324+$C6324) - MAX(IF($B$2:$B6323=$B6324, $A$2:$A6323+$C$2:$C6323)), "")*24*60, "")</f>
        <v/>
      </c>
      <c r="R6324" s="24" t="str" cm="1">
        <f t="array" ref="R6324">IFERROR(IF($B6324=R$1, ($A6324+$C6324) - MAX(IF($B$2:$B6323=$B6324, $A$2:$A6323+$C$2:$C6323)), "")*24*60, "")</f>
        <v/>
      </c>
      <c r="S6324" s="24" t="str" cm="1">
        <f t="array" ref="S6324">IFERROR(IF($B6324=S$1, ($A6324+$C6324) - MAX(IF($B$2:$B6323=$B6324, $A$2:$A6323+$C$2:$C6323)), "")*24*60, "")</f>
        <v/>
      </c>
    </row>
    <row r="6325" spans="1:19" x14ac:dyDescent="0.2">
      <c r="A6325" s="12">
        <f t="shared" ref="A6325:C6325" si="1305">A6324</f>
        <v>45988</v>
      </c>
      <c r="B6325" s="5" t="str">
        <f t="shared" si="1305"/>
        <v>Northern Cardinal</v>
      </c>
      <c r="C6325" s="6">
        <f t="shared" si="1305"/>
        <v>0.28472222222222221</v>
      </c>
      <c r="D6325" s="5"/>
      <c r="E6325" s="5"/>
      <c r="F6325" s="5" t="s">
        <v>8</v>
      </c>
      <c r="G6325" s="15" t="s">
        <v>9</v>
      </c>
      <c r="H6325" s="24">
        <f t="shared" si="1278"/>
        <v>0</v>
      </c>
      <c r="I6325" s="24" cm="1">
        <f t="array" ref="I6325">IFERROR(IF($B6325=I$1, ($A6325+$C6325) - MAX(IF($B$2:$B6324=$B6325, $A$2:$A6324+$C$2:$C6324)), "")*24*60, "")</f>
        <v>0</v>
      </c>
      <c r="J6325" s="24" t="str" cm="1">
        <f t="array" ref="J6325">IFERROR(IF($B6325=J$1, ($A6325+$C6325) - MAX(IF($B$2:$B6324=$B6325, $A$2:$A6324+$C$2:$C6324)), "")*24*60, "")</f>
        <v/>
      </c>
      <c r="K6325" s="24" t="str" cm="1">
        <f t="array" ref="K6325">IFERROR(IF($B6325=K$1, ($A6325+$C6325) - MAX(IF($B$2:$B6324=$B6325, $A$2:$A6324+$C$2:$C6324)), "")*24*60, "")</f>
        <v/>
      </c>
      <c r="L6325" s="24" t="str" cm="1">
        <f t="array" ref="L6325">IFERROR(IF($B6325=L$1, ($A6325+$C6325) - MAX(IF($B$2:$B6324=$B6325, $A$2:$A6324+$C$2:$C6324)), "")*24*60, "")</f>
        <v/>
      </c>
      <c r="M6325" s="24" t="str" cm="1">
        <f t="array" ref="M6325">IFERROR(IF($B6325=M$1, ($A6325+$C6325) - MAX(IF($B$2:$B6324=$B6325, $A$2:$A6324+$C$2:$C6324)), "")*24*60, "")</f>
        <v/>
      </c>
      <c r="N6325" s="24" t="str" cm="1">
        <f t="array" ref="N6325">IFERROR(IF($B6325=N$1, ($A6325+$C6325) - MAX(IF($B$2:$B6324=$B6325, $A$2:$A6324+$C$2:$C6324)), "")*24*60, "")</f>
        <v/>
      </c>
      <c r="O6325" s="24" t="str" cm="1">
        <f t="array" ref="O6325">IFERROR(IF($B6325=O$1, ($A6325+$C6325) - MAX(IF($B$2:$B6324=$B6325, $A$2:$A6324+$C$2:$C6324)), "")*24*60, "")</f>
        <v/>
      </c>
      <c r="P6325" s="24" t="str" cm="1">
        <f t="array" ref="P6325">IFERROR(IF($B6325=P$1, ($A6325+$C6325) - MAX(IF($B$2:$B6324=$B6325, $A$2:$A6324+$C$2:$C6324)), "")*24*60, "")</f>
        <v/>
      </c>
      <c r="Q6325" s="24" t="str" cm="1">
        <f t="array" ref="Q6325">IFERROR(IF($B6325=Q$1, ($A6325+$C6325) - MAX(IF($B$2:$B6324=$B6325, $A$2:$A6324+$C$2:$C6324)), "")*24*60, "")</f>
        <v/>
      </c>
      <c r="R6325" s="24" t="str" cm="1">
        <f t="array" ref="R6325">IFERROR(IF($B6325=R$1, ($A6325+$C6325) - MAX(IF($B$2:$B6324=$B6325, $A$2:$A6324+$C$2:$C6324)), "")*24*60, "")</f>
        <v/>
      </c>
      <c r="S6325" s="24" t="str" cm="1">
        <f t="array" ref="S6325">IFERROR(IF($B6325=S$1, ($A6325+$C6325) - MAX(IF($B$2:$B6324=$B6325, $A$2:$A6324+$C$2:$C6324)), "")*24*60, "")</f>
        <v/>
      </c>
    </row>
    <row r="6326" spans="1:19" x14ac:dyDescent="0.2">
      <c r="A6326" s="12">
        <f t="shared" ref="A6326:C6326" si="1306">A6325</f>
        <v>45988</v>
      </c>
      <c r="B6326" s="5" t="str">
        <f t="shared" si="1306"/>
        <v>Northern Cardinal</v>
      </c>
      <c r="C6326" s="6">
        <f t="shared" si="1306"/>
        <v>0.28472222222222221</v>
      </c>
      <c r="D6326" s="5"/>
      <c r="E6326" s="5"/>
      <c r="F6326" s="5" t="s">
        <v>8</v>
      </c>
      <c r="G6326" s="15" t="s">
        <v>9</v>
      </c>
      <c r="H6326" s="24">
        <f t="shared" si="1278"/>
        <v>0</v>
      </c>
      <c r="I6326" s="24" cm="1">
        <f t="array" ref="I6326">IFERROR(IF($B6326=I$1, ($A6326+$C6326) - MAX(IF($B$2:$B6325=$B6326, $A$2:$A6325+$C$2:$C6325)), "")*24*60, "")</f>
        <v>0</v>
      </c>
      <c r="J6326" s="24" t="str" cm="1">
        <f t="array" ref="J6326">IFERROR(IF($B6326=J$1, ($A6326+$C6326) - MAX(IF($B$2:$B6325=$B6326, $A$2:$A6325+$C$2:$C6325)), "")*24*60, "")</f>
        <v/>
      </c>
      <c r="K6326" s="24" t="str" cm="1">
        <f t="array" ref="K6326">IFERROR(IF($B6326=K$1, ($A6326+$C6326) - MAX(IF($B$2:$B6325=$B6326, $A$2:$A6325+$C$2:$C6325)), "")*24*60, "")</f>
        <v/>
      </c>
      <c r="L6326" s="24" t="str" cm="1">
        <f t="array" ref="L6326">IFERROR(IF($B6326=L$1, ($A6326+$C6326) - MAX(IF($B$2:$B6325=$B6326, $A$2:$A6325+$C$2:$C6325)), "")*24*60, "")</f>
        <v/>
      </c>
      <c r="M6326" s="24" t="str" cm="1">
        <f t="array" ref="M6326">IFERROR(IF($B6326=M$1, ($A6326+$C6326) - MAX(IF($B$2:$B6325=$B6326, $A$2:$A6325+$C$2:$C6325)), "")*24*60, "")</f>
        <v/>
      </c>
      <c r="N6326" s="24" t="str" cm="1">
        <f t="array" ref="N6326">IFERROR(IF($B6326=N$1, ($A6326+$C6326) - MAX(IF($B$2:$B6325=$B6326, $A$2:$A6325+$C$2:$C6325)), "")*24*60, "")</f>
        <v/>
      </c>
      <c r="O6326" s="24" t="str" cm="1">
        <f t="array" ref="O6326">IFERROR(IF($B6326=O$1, ($A6326+$C6326) - MAX(IF($B$2:$B6325=$B6326, $A$2:$A6325+$C$2:$C6325)), "")*24*60, "")</f>
        <v/>
      </c>
      <c r="P6326" s="24" t="str" cm="1">
        <f t="array" ref="P6326">IFERROR(IF($B6326=P$1, ($A6326+$C6326) - MAX(IF($B$2:$B6325=$B6326, $A$2:$A6325+$C$2:$C6325)), "")*24*60, "")</f>
        <v/>
      </c>
      <c r="Q6326" s="24" t="str" cm="1">
        <f t="array" ref="Q6326">IFERROR(IF($B6326=Q$1, ($A6326+$C6326) - MAX(IF($B$2:$B6325=$B6326, $A$2:$A6325+$C$2:$C6325)), "")*24*60, "")</f>
        <v/>
      </c>
      <c r="R6326" s="24" t="str" cm="1">
        <f t="array" ref="R6326">IFERROR(IF($B6326=R$1, ($A6326+$C6326) - MAX(IF($B$2:$B6325=$B6326, $A$2:$A6325+$C$2:$C6325)), "")*24*60, "")</f>
        <v/>
      </c>
      <c r="S6326" s="24" t="str" cm="1">
        <f t="array" ref="S6326">IFERROR(IF($B6326=S$1, ($A6326+$C6326) - MAX(IF($B$2:$B6325=$B6326, $A$2:$A6325+$C$2:$C6325)), "")*24*60, "")</f>
        <v/>
      </c>
    </row>
    <row r="6327" spans="1:19" x14ac:dyDescent="0.2">
      <c r="A6327" s="12">
        <f t="shared" ref="A6327:C6327" si="1307">A6326</f>
        <v>45988</v>
      </c>
      <c r="B6327" s="5" t="str">
        <f t="shared" si="1307"/>
        <v>Northern Cardinal</v>
      </c>
      <c r="C6327" s="6">
        <f t="shared" si="1307"/>
        <v>0.28472222222222221</v>
      </c>
      <c r="D6327" s="5"/>
      <c r="E6327" s="5"/>
      <c r="F6327" s="5" t="s">
        <v>8</v>
      </c>
      <c r="G6327" s="15" t="s">
        <v>9</v>
      </c>
      <c r="H6327" s="24">
        <f t="shared" si="1278"/>
        <v>0</v>
      </c>
      <c r="I6327" s="24" cm="1">
        <f t="array" ref="I6327">IFERROR(IF($B6327=I$1, ($A6327+$C6327) - MAX(IF($B$2:$B6326=$B6327, $A$2:$A6326+$C$2:$C6326)), "")*24*60, "")</f>
        <v>0</v>
      </c>
      <c r="J6327" s="24" t="str" cm="1">
        <f t="array" ref="J6327">IFERROR(IF($B6327=J$1, ($A6327+$C6327) - MAX(IF($B$2:$B6326=$B6327, $A$2:$A6326+$C$2:$C6326)), "")*24*60, "")</f>
        <v/>
      </c>
      <c r="K6327" s="24" t="str" cm="1">
        <f t="array" ref="K6327">IFERROR(IF($B6327=K$1, ($A6327+$C6327) - MAX(IF($B$2:$B6326=$B6327, $A$2:$A6326+$C$2:$C6326)), "")*24*60, "")</f>
        <v/>
      </c>
      <c r="L6327" s="24" t="str" cm="1">
        <f t="array" ref="L6327">IFERROR(IF($B6327=L$1, ($A6327+$C6327) - MAX(IF($B$2:$B6326=$B6327, $A$2:$A6326+$C$2:$C6326)), "")*24*60, "")</f>
        <v/>
      </c>
      <c r="M6327" s="24" t="str" cm="1">
        <f t="array" ref="M6327">IFERROR(IF($B6327=M$1, ($A6327+$C6327) - MAX(IF($B$2:$B6326=$B6327, $A$2:$A6326+$C$2:$C6326)), "")*24*60, "")</f>
        <v/>
      </c>
      <c r="N6327" s="24" t="str" cm="1">
        <f t="array" ref="N6327">IFERROR(IF($B6327=N$1, ($A6327+$C6327) - MAX(IF($B$2:$B6326=$B6327, $A$2:$A6326+$C$2:$C6326)), "")*24*60, "")</f>
        <v/>
      </c>
      <c r="O6327" s="24" t="str" cm="1">
        <f t="array" ref="O6327">IFERROR(IF($B6327=O$1, ($A6327+$C6327) - MAX(IF($B$2:$B6326=$B6327, $A$2:$A6326+$C$2:$C6326)), "")*24*60, "")</f>
        <v/>
      </c>
      <c r="P6327" s="24" t="str" cm="1">
        <f t="array" ref="P6327">IFERROR(IF($B6327=P$1, ($A6327+$C6327) - MAX(IF($B$2:$B6326=$B6327, $A$2:$A6326+$C$2:$C6326)), "")*24*60, "")</f>
        <v/>
      </c>
      <c r="Q6327" s="24" t="str" cm="1">
        <f t="array" ref="Q6327">IFERROR(IF($B6327=Q$1, ($A6327+$C6327) - MAX(IF($B$2:$B6326=$B6327, $A$2:$A6326+$C$2:$C6326)), "")*24*60, "")</f>
        <v/>
      </c>
      <c r="R6327" s="24" t="str" cm="1">
        <f t="array" ref="R6327">IFERROR(IF($B6327=R$1, ($A6327+$C6327) - MAX(IF($B$2:$B6326=$B6327, $A$2:$A6326+$C$2:$C6326)), "")*24*60, "")</f>
        <v/>
      </c>
      <c r="S6327" s="24" t="str" cm="1">
        <f t="array" ref="S6327">IFERROR(IF($B6327=S$1, ($A6327+$C6327) - MAX(IF($B$2:$B6326=$B6327, $A$2:$A6326+$C$2:$C6326)), "")*24*60, "")</f>
        <v/>
      </c>
    </row>
    <row r="6328" spans="1:19" x14ac:dyDescent="0.2">
      <c r="A6328" s="12">
        <f t="shared" ref="A6328:C6328" si="1308">A6327</f>
        <v>45988</v>
      </c>
      <c r="B6328" s="5" t="str">
        <f t="shared" si="1308"/>
        <v>Northern Cardinal</v>
      </c>
      <c r="C6328" s="6">
        <f t="shared" si="1308"/>
        <v>0.28472222222222221</v>
      </c>
      <c r="D6328" s="5"/>
      <c r="E6328" s="5"/>
      <c r="F6328" s="5" t="s">
        <v>8</v>
      </c>
      <c r="G6328" s="15" t="s">
        <v>9</v>
      </c>
      <c r="H6328" s="24">
        <f t="shared" si="1278"/>
        <v>0</v>
      </c>
      <c r="I6328" s="24" cm="1">
        <f t="array" ref="I6328">IFERROR(IF($B6328=I$1, ($A6328+$C6328) - MAX(IF($B$2:$B6327=$B6328, $A$2:$A6327+$C$2:$C6327)), "")*24*60, "")</f>
        <v>0</v>
      </c>
      <c r="J6328" s="24" t="str" cm="1">
        <f t="array" ref="J6328">IFERROR(IF($B6328=J$1, ($A6328+$C6328) - MAX(IF($B$2:$B6327=$B6328, $A$2:$A6327+$C$2:$C6327)), "")*24*60, "")</f>
        <v/>
      </c>
      <c r="K6328" s="24" t="str" cm="1">
        <f t="array" ref="K6328">IFERROR(IF($B6328=K$1, ($A6328+$C6328) - MAX(IF($B$2:$B6327=$B6328, $A$2:$A6327+$C$2:$C6327)), "")*24*60, "")</f>
        <v/>
      </c>
      <c r="L6328" s="24" t="str" cm="1">
        <f t="array" ref="L6328">IFERROR(IF($B6328=L$1, ($A6328+$C6328) - MAX(IF($B$2:$B6327=$B6328, $A$2:$A6327+$C$2:$C6327)), "")*24*60, "")</f>
        <v/>
      </c>
      <c r="M6328" s="24" t="str" cm="1">
        <f t="array" ref="M6328">IFERROR(IF($B6328=M$1, ($A6328+$C6328) - MAX(IF($B$2:$B6327=$B6328, $A$2:$A6327+$C$2:$C6327)), "")*24*60, "")</f>
        <v/>
      </c>
      <c r="N6328" s="24" t="str" cm="1">
        <f t="array" ref="N6328">IFERROR(IF($B6328=N$1, ($A6328+$C6328) - MAX(IF($B$2:$B6327=$B6328, $A$2:$A6327+$C$2:$C6327)), "")*24*60, "")</f>
        <v/>
      </c>
      <c r="O6328" s="24" t="str" cm="1">
        <f t="array" ref="O6328">IFERROR(IF($B6328=O$1, ($A6328+$C6328) - MAX(IF($B$2:$B6327=$B6328, $A$2:$A6327+$C$2:$C6327)), "")*24*60, "")</f>
        <v/>
      </c>
      <c r="P6328" s="24" t="str" cm="1">
        <f t="array" ref="P6328">IFERROR(IF($B6328=P$1, ($A6328+$C6328) - MAX(IF($B$2:$B6327=$B6328, $A$2:$A6327+$C$2:$C6327)), "")*24*60, "")</f>
        <v/>
      </c>
      <c r="Q6328" s="24" t="str" cm="1">
        <f t="array" ref="Q6328">IFERROR(IF($B6328=Q$1, ($A6328+$C6328) - MAX(IF($B$2:$B6327=$B6328, $A$2:$A6327+$C$2:$C6327)), "")*24*60, "")</f>
        <v/>
      </c>
      <c r="R6328" s="24" t="str" cm="1">
        <f t="array" ref="R6328">IFERROR(IF($B6328=R$1, ($A6328+$C6328) - MAX(IF($B$2:$B6327=$B6328, $A$2:$A6327+$C$2:$C6327)), "")*24*60, "")</f>
        <v/>
      </c>
      <c r="S6328" s="24" t="str" cm="1">
        <f t="array" ref="S6328">IFERROR(IF($B6328=S$1, ($A6328+$C6328) - MAX(IF($B$2:$B6327=$B6328, $A$2:$A6327+$C$2:$C6327)), "")*24*60, "")</f>
        <v/>
      </c>
    </row>
    <row r="6329" spans="1:19" x14ac:dyDescent="0.2">
      <c r="A6329" s="12">
        <f t="shared" ref="A6329:C6329" si="1309">A6328</f>
        <v>45988</v>
      </c>
      <c r="B6329" s="5" t="str">
        <f t="shared" si="1309"/>
        <v>Northern Cardinal</v>
      </c>
      <c r="C6329" s="6">
        <f t="shared" si="1309"/>
        <v>0.28472222222222221</v>
      </c>
      <c r="D6329" s="5"/>
      <c r="E6329" s="5"/>
      <c r="F6329" s="5" t="s">
        <v>8</v>
      </c>
      <c r="G6329" s="15" t="s">
        <v>9</v>
      </c>
      <c r="H6329" s="24">
        <f t="shared" si="1278"/>
        <v>0</v>
      </c>
      <c r="I6329" s="24" cm="1">
        <f t="array" ref="I6329">IFERROR(IF($B6329=I$1, ($A6329+$C6329) - MAX(IF($B$2:$B6328=$B6329, $A$2:$A6328+$C$2:$C6328)), "")*24*60, "")</f>
        <v>0</v>
      </c>
      <c r="J6329" s="24" t="str" cm="1">
        <f t="array" ref="J6329">IFERROR(IF($B6329=J$1, ($A6329+$C6329) - MAX(IF($B$2:$B6328=$B6329, $A$2:$A6328+$C$2:$C6328)), "")*24*60, "")</f>
        <v/>
      </c>
      <c r="K6329" s="24" t="str" cm="1">
        <f t="array" ref="K6329">IFERROR(IF($B6329=K$1, ($A6329+$C6329) - MAX(IF($B$2:$B6328=$B6329, $A$2:$A6328+$C$2:$C6328)), "")*24*60, "")</f>
        <v/>
      </c>
      <c r="L6329" s="24" t="str" cm="1">
        <f t="array" ref="L6329">IFERROR(IF($B6329=L$1, ($A6329+$C6329) - MAX(IF($B$2:$B6328=$B6329, $A$2:$A6328+$C$2:$C6328)), "")*24*60, "")</f>
        <v/>
      </c>
      <c r="M6329" s="24" t="str" cm="1">
        <f t="array" ref="M6329">IFERROR(IF($B6329=M$1, ($A6329+$C6329) - MAX(IF($B$2:$B6328=$B6329, $A$2:$A6328+$C$2:$C6328)), "")*24*60, "")</f>
        <v/>
      </c>
      <c r="N6329" s="24" t="str" cm="1">
        <f t="array" ref="N6329">IFERROR(IF($B6329=N$1, ($A6329+$C6329) - MAX(IF($B$2:$B6328=$B6329, $A$2:$A6328+$C$2:$C6328)), "")*24*60, "")</f>
        <v/>
      </c>
      <c r="O6329" s="24" t="str" cm="1">
        <f t="array" ref="O6329">IFERROR(IF($B6329=O$1, ($A6329+$C6329) - MAX(IF($B$2:$B6328=$B6329, $A$2:$A6328+$C$2:$C6328)), "")*24*60, "")</f>
        <v/>
      </c>
      <c r="P6329" s="24" t="str" cm="1">
        <f t="array" ref="P6329">IFERROR(IF($B6329=P$1, ($A6329+$C6329) - MAX(IF($B$2:$B6328=$B6329, $A$2:$A6328+$C$2:$C6328)), "")*24*60, "")</f>
        <v/>
      </c>
      <c r="Q6329" s="24" t="str" cm="1">
        <f t="array" ref="Q6329">IFERROR(IF($B6329=Q$1, ($A6329+$C6329) - MAX(IF($B$2:$B6328=$B6329, $A$2:$A6328+$C$2:$C6328)), "")*24*60, "")</f>
        <v/>
      </c>
      <c r="R6329" s="24" t="str" cm="1">
        <f t="array" ref="R6329">IFERROR(IF($B6329=R$1, ($A6329+$C6329) - MAX(IF($B$2:$B6328=$B6329, $A$2:$A6328+$C$2:$C6328)), "")*24*60, "")</f>
        <v/>
      </c>
      <c r="S6329" s="24" t="str" cm="1">
        <f t="array" ref="S6329">IFERROR(IF($B6329=S$1, ($A6329+$C6329) - MAX(IF($B$2:$B6328=$B6329, $A$2:$A6328+$C$2:$C6328)), "")*24*60, "")</f>
        <v/>
      </c>
    </row>
    <row r="6330" spans="1:19" x14ac:dyDescent="0.2">
      <c r="A6330" s="12">
        <f t="shared" ref="A6330:C6330" si="1310">A6329</f>
        <v>45988</v>
      </c>
      <c r="B6330" s="5" t="str">
        <f t="shared" si="1310"/>
        <v>Northern Cardinal</v>
      </c>
      <c r="C6330" s="6">
        <f t="shared" si="1310"/>
        <v>0.28472222222222221</v>
      </c>
      <c r="D6330" s="5"/>
      <c r="E6330" s="5"/>
      <c r="F6330" s="5" t="s">
        <v>8</v>
      </c>
      <c r="G6330" s="15" t="s">
        <v>9</v>
      </c>
      <c r="H6330" s="24">
        <f t="shared" si="1278"/>
        <v>0</v>
      </c>
      <c r="I6330" s="24" cm="1">
        <f t="array" ref="I6330">IFERROR(IF($B6330=I$1, ($A6330+$C6330) - MAX(IF($B$2:$B6329=$B6330, $A$2:$A6329+$C$2:$C6329)), "")*24*60, "")</f>
        <v>0</v>
      </c>
      <c r="J6330" s="24" t="str" cm="1">
        <f t="array" ref="J6330">IFERROR(IF($B6330=J$1, ($A6330+$C6330) - MAX(IF($B$2:$B6329=$B6330, $A$2:$A6329+$C$2:$C6329)), "")*24*60, "")</f>
        <v/>
      </c>
      <c r="K6330" s="24" t="str" cm="1">
        <f t="array" ref="K6330">IFERROR(IF($B6330=K$1, ($A6330+$C6330) - MAX(IF($B$2:$B6329=$B6330, $A$2:$A6329+$C$2:$C6329)), "")*24*60, "")</f>
        <v/>
      </c>
      <c r="L6330" s="24" t="str" cm="1">
        <f t="array" ref="L6330">IFERROR(IF($B6330=L$1, ($A6330+$C6330) - MAX(IF($B$2:$B6329=$B6330, $A$2:$A6329+$C$2:$C6329)), "")*24*60, "")</f>
        <v/>
      </c>
      <c r="M6330" s="24" t="str" cm="1">
        <f t="array" ref="M6330">IFERROR(IF($B6330=M$1, ($A6330+$C6330) - MAX(IF($B$2:$B6329=$B6330, $A$2:$A6329+$C$2:$C6329)), "")*24*60, "")</f>
        <v/>
      </c>
      <c r="N6330" s="24" t="str" cm="1">
        <f t="array" ref="N6330">IFERROR(IF($B6330=N$1, ($A6330+$C6330) - MAX(IF($B$2:$B6329=$B6330, $A$2:$A6329+$C$2:$C6329)), "")*24*60, "")</f>
        <v/>
      </c>
      <c r="O6330" s="24" t="str" cm="1">
        <f t="array" ref="O6330">IFERROR(IF($B6330=O$1, ($A6330+$C6330) - MAX(IF($B$2:$B6329=$B6330, $A$2:$A6329+$C$2:$C6329)), "")*24*60, "")</f>
        <v/>
      </c>
      <c r="P6330" s="24" t="str" cm="1">
        <f t="array" ref="P6330">IFERROR(IF($B6330=P$1, ($A6330+$C6330) - MAX(IF($B$2:$B6329=$B6330, $A$2:$A6329+$C$2:$C6329)), "")*24*60, "")</f>
        <v/>
      </c>
      <c r="Q6330" s="24" t="str" cm="1">
        <f t="array" ref="Q6330">IFERROR(IF($B6330=Q$1, ($A6330+$C6330) - MAX(IF($B$2:$B6329=$B6330, $A$2:$A6329+$C$2:$C6329)), "")*24*60, "")</f>
        <v/>
      </c>
      <c r="R6330" s="24" t="str" cm="1">
        <f t="array" ref="R6330">IFERROR(IF($B6330=R$1, ($A6330+$C6330) - MAX(IF($B$2:$B6329=$B6330, $A$2:$A6329+$C$2:$C6329)), "")*24*60, "")</f>
        <v/>
      </c>
      <c r="S6330" s="24" t="str" cm="1">
        <f t="array" ref="S6330">IFERROR(IF($B6330=S$1, ($A6330+$C6330) - MAX(IF($B$2:$B6329=$B6330, $A$2:$A6329+$C$2:$C6329)), "")*24*60, "")</f>
        <v/>
      </c>
    </row>
    <row r="6331" spans="1:19" x14ac:dyDescent="0.2">
      <c r="A6331" s="12">
        <f t="shared" ref="A6331:C6331" si="1311">A6330</f>
        <v>45988</v>
      </c>
      <c r="B6331" s="5" t="str">
        <f t="shared" si="1311"/>
        <v>Northern Cardinal</v>
      </c>
      <c r="C6331" s="6">
        <f t="shared" si="1311"/>
        <v>0.28472222222222221</v>
      </c>
      <c r="D6331" s="5"/>
      <c r="E6331" s="5"/>
      <c r="F6331" s="5" t="s">
        <v>8</v>
      </c>
      <c r="G6331" s="15" t="s">
        <v>9</v>
      </c>
      <c r="H6331" s="24">
        <f t="shared" si="1278"/>
        <v>0</v>
      </c>
      <c r="I6331" s="24" cm="1">
        <f t="array" ref="I6331">IFERROR(IF($B6331=I$1, ($A6331+$C6331) - MAX(IF($B$2:$B6330=$B6331, $A$2:$A6330+$C$2:$C6330)), "")*24*60, "")</f>
        <v>0</v>
      </c>
      <c r="J6331" s="24" t="str" cm="1">
        <f t="array" ref="J6331">IFERROR(IF($B6331=J$1, ($A6331+$C6331) - MAX(IF($B$2:$B6330=$B6331, $A$2:$A6330+$C$2:$C6330)), "")*24*60, "")</f>
        <v/>
      </c>
      <c r="K6331" s="24" t="str" cm="1">
        <f t="array" ref="K6331">IFERROR(IF($B6331=K$1, ($A6331+$C6331) - MAX(IF($B$2:$B6330=$B6331, $A$2:$A6330+$C$2:$C6330)), "")*24*60, "")</f>
        <v/>
      </c>
      <c r="L6331" s="24" t="str" cm="1">
        <f t="array" ref="L6331">IFERROR(IF($B6331=L$1, ($A6331+$C6331) - MAX(IF($B$2:$B6330=$B6331, $A$2:$A6330+$C$2:$C6330)), "")*24*60, "")</f>
        <v/>
      </c>
      <c r="M6331" s="24" t="str" cm="1">
        <f t="array" ref="M6331">IFERROR(IF($B6331=M$1, ($A6331+$C6331) - MAX(IF($B$2:$B6330=$B6331, $A$2:$A6330+$C$2:$C6330)), "")*24*60, "")</f>
        <v/>
      </c>
      <c r="N6331" s="24" t="str" cm="1">
        <f t="array" ref="N6331">IFERROR(IF($B6331=N$1, ($A6331+$C6331) - MAX(IF($B$2:$B6330=$B6331, $A$2:$A6330+$C$2:$C6330)), "")*24*60, "")</f>
        <v/>
      </c>
      <c r="O6331" s="24" t="str" cm="1">
        <f t="array" ref="O6331">IFERROR(IF($B6331=O$1, ($A6331+$C6331) - MAX(IF($B$2:$B6330=$B6331, $A$2:$A6330+$C$2:$C6330)), "")*24*60, "")</f>
        <v/>
      </c>
      <c r="P6331" s="24" t="str" cm="1">
        <f t="array" ref="P6331">IFERROR(IF($B6331=P$1, ($A6331+$C6331) - MAX(IF($B$2:$B6330=$B6331, $A$2:$A6330+$C$2:$C6330)), "")*24*60, "")</f>
        <v/>
      </c>
      <c r="Q6331" s="24" t="str" cm="1">
        <f t="array" ref="Q6331">IFERROR(IF($B6331=Q$1, ($A6331+$C6331) - MAX(IF($B$2:$B6330=$B6331, $A$2:$A6330+$C$2:$C6330)), "")*24*60, "")</f>
        <v/>
      </c>
      <c r="R6331" s="24" t="str" cm="1">
        <f t="array" ref="R6331">IFERROR(IF($B6331=R$1, ($A6331+$C6331) - MAX(IF($B$2:$B6330=$B6331, $A$2:$A6330+$C$2:$C6330)), "")*24*60, "")</f>
        <v/>
      </c>
      <c r="S6331" s="24" t="str" cm="1">
        <f t="array" ref="S6331">IFERROR(IF($B6331=S$1, ($A6331+$C6331) - MAX(IF($B$2:$B6330=$B6331, $A$2:$A6330+$C$2:$C6330)), "")*24*60, "")</f>
        <v/>
      </c>
    </row>
    <row r="6332" spans="1:19" x14ac:dyDescent="0.2">
      <c r="A6332" s="12">
        <f t="shared" ref="A6332:C6332" si="1312">A6331</f>
        <v>45988</v>
      </c>
      <c r="B6332" s="5" t="str">
        <f t="shared" si="1312"/>
        <v>Northern Cardinal</v>
      </c>
      <c r="C6332" s="6">
        <f t="shared" si="1312"/>
        <v>0.28472222222222221</v>
      </c>
      <c r="D6332" s="5"/>
      <c r="E6332" s="5"/>
      <c r="F6332" s="5" t="s">
        <v>8</v>
      </c>
      <c r="G6332" s="15" t="s">
        <v>9</v>
      </c>
      <c r="H6332" s="24">
        <f t="shared" si="1278"/>
        <v>0</v>
      </c>
      <c r="I6332" s="24" cm="1">
        <f t="array" ref="I6332">IFERROR(IF($B6332=I$1, ($A6332+$C6332) - MAX(IF($B$2:$B6331=$B6332, $A$2:$A6331+$C$2:$C6331)), "")*24*60, "")</f>
        <v>0</v>
      </c>
      <c r="J6332" s="24" t="str" cm="1">
        <f t="array" ref="J6332">IFERROR(IF($B6332=J$1, ($A6332+$C6332) - MAX(IF($B$2:$B6331=$B6332, $A$2:$A6331+$C$2:$C6331)), "")*24*60, "")</f>
        <v/>
      </c>
      <c r="K6332" s="24" t="str" cm="1">
        <f t="array" ref="K6332">IFERROR(IF($B6332=K$1, ($A6332+$C6332) - MAX(IF($B$2:$B6331=$B6332, $A$2:$A6331+$C$2:$C6331)), "")*24*60, "")</f>
        <v/>
      </c>
      <c r="L6332" s="24" t="str" cm="1">
        <f t="array" ref="L6332">IFERROR(IF($B6332=L$1, ($A6332+$C6332) - MAX(IF($B$2:$B6331=$B6332, $A$2:$A6331+$C$2:$C6331)), "")*24*60, "")</f>
        <v/>
      </c>
      <c r="M6332" s="24" t="str" cm="1">
        <f t="array" ref="M6332">IFERROR(IF($B6332=M$1, ($A6332+$C6332) - MAX(IF($B$2:$B6331=$B6332, $A$2:$A6331+$C$2:$C6331)), "")*24*60, "")</f>
        <v/>
      </c>
      <c r="N6332" s="24" t="str" cm="1">
        <f t="array" ref="N6332">IFERROR(IF($B6332=N$1, ($A6332+$C6332) - MAX(IF($B$2:$B6331=$B6332, $A$2:$A6331+$C$2:$C6331)), "")*24*60, "")</f>
        <v/>
      </c>
      <c r="O6332" s="24" t="str" cm="1">
        <f t="array" ref="O6332">IFERROR(IF($B6332=O$1, ($A6332+$C6332) - MAX(IF($B$2:$B6331=$B6332, $A$2:$A6331+$C$2:$C6331)), "")*24*60, "")</f>
        <v/>
      </c>
      <c r="P6332" s="24" t="str" cm="1">
        <f t="array" ref="P6332">IFERROR(IF($B6332=P$1, ($A6332+$C6332) - MAX(IF($B$2:$B6331=$B6332, $A$2:$A6331+$C$2:$C6331)), "")*24*60, "")</f>
        <v/>
      </c>
      <c r="Q6332" s="24" t="str" cm="1">
        <f t="array" ref="Q6332">IFERROR(IF($B6332=Q$1, ($A6332+$C6332) - MAX(IF($B$2:$B6331=$B6332, $A$2:$A6331+$C$2:$C6331)), "")*24*60, "")</f>
        <v/>
      </c>
      <c r="R6332" s="24" t="str" cm="1">
        <f t="array" ref="R6332">IFERROR(IF($B6332=R$1, ($A6332+$C6332) - MAX(IF($B$2:$B6331=$B6332, $A$2:$A6331+$C$2:$C6331)), "")*24*60, "")</f>
        <v/>
      </c>
      <c r="S6332" s="24" t="str" cm="1">
        <f t="array" ref="S6332">IFERROR(IF($B6332=S$1, ($A6332+$C6332) - MAX(IF($B$2:$B6331=$B6332, $A$2:$A6331+$C$2:$C6331)), "")*24*60, "")</f>
        <v/>
      </c>
    </row>
    <row r="6333" spans="1:19" x14ac:dyDescent="0.2">
      <c r="A6333" s="12">
        <f t="shared" ref="A6333:C6333" si="1313">A6332</f>
        <v>45988</v>
      </c>
      <c r="B6333" s="5" t="str">
        <f t="shared" si="1313"/>
        <v>Northern Cardinal</v>
      </c>
      <c r="C6333" s="6">
        <f t="shared" si="1313"/>
        <v>0.28472222222222221</v>
      </c>
      <c r="D6333" s="5"/>
      <c r="E6333" s="5"/>
      <c r="F6333" s="5" t="s">
        <v>8</v>
      </c>
      <c r="G6333" s="15" t="s">
        <v>9</v>
      </c>
      <c r="H6333" s="24">
        <f t="shared" si="1278"/>
        <v>0</v>
      </c>
      <c r="I6333" s="24" cm="1">
        <f t="array" ref="I6333">IFERROR(IF($B6333=I$1, ($A6333+$C6333) - MAX(IF($B$2:$B6332=$B6333, $A$2:$A6332+$C$2:$C6332)), "")*24*60, "")</f>
        <v>0</v>
      </c>
      <c r="J6333" s="24" t="str" cm="1">
        <f t="array" ref="J6333">IFERROR(IF($B6333=J$1, ($A6333+$C6333) - MAX(IF($B$2:$B6332=$B6333, $A$2:$A6332+$C$2:$C6332)), "")*24*60, "")</f>
        <v/>
      </c>
      <c r="K6333" s="24" t="str" cm="1">
        <f t="array" ref="K6333">IFERROR(IF($B6333=K$1, ($A6333+$C6333) - MAX(IF($B$2:$B6332=$B6333, $A$2:$A6332+$C$2:$C6332)), "")*24*60, "")</f>
        <v/>
      </c>
      <c r="L6333" s="24" t="str" cm="1">
        <f t="array" ref="L6333">IFERROR(IF($B6333=L$1, ($A6333+$C6333) - MAX(IF($B$2:$B6332=$B6333, $A$2:$A6332+$C$2:$C6332)), "")*24*60, "")</f>
        <v/>
      </c>
      <c r="M6333" s="24" t="str" cm="1">
        <f t="array" ref="M6333">IFERROR(IF($B6333=M$1, ($A6333+$C6333) - MAX(IF($B$2:$B6332=$B6333, $A$2:$A6332+$C$2:$C6332)), "")*24*60, "")</f>
        <v/>
      </c>
      <c r="N6333" s="24" t="str" cm="1">
        <f t="array" ref="N6333">IFERROR(IF($B6333=N$1, ($A6333+$C6333) - MAX(IF($B$2:$B6332=$B6333, $A$2:$A6332+$C$2:$C6332)), "")*24*60, "")</f>
        <v/>
      </c>
      <c r="O6333" s="24" t="str" cm="1">
        <f t="array" ref="O6333">IFERROR(IF($B6333=O$1, ($A6333+$C6333) - MAX(IF($B$2:$B6332=$B6333, $A$2:$A6332+$C$2:$C6332)), "")*24*60, "")</f>
        <v/>
      </c>
      <c r="P6333" s="24" t="str" cm="1">
        <f t="array" ref="P6333">IFERROR(IF($B6333=P$1, ($A6333+$C6333) - MAX(IF($B$2:$B6332=$B6333, $A$2:$A6332+$C$2:$C6332)), "")*24*60, "")</f>
        <v/>
      </c>
      <c r="Q6333" s="24" t="str" cm="1">
        <f t="array" ref="Q6333">IFERROR(IF($B6333=Q$1, ($A6333+$C6333) - MAX(IF($B$2:$B6332=$B6333, $A$2:$A6332+$C$2:$C6332)), "")*24*60, "")</f>
        <v/>
      </c>
      <c r="R6333" s="24" t="str" cm="1">
        <f t="array" ref="R6333">IFERROR(IF($B6333=R$1, ($A6333+$C6333) - MAX(IF($B$2:$B6332=$B6333, $A$2:$A6332+$C$2:$C6332)), "")*24*60, "")</f>
        <v/>
      </c>
      <c r="S6333" s="24" t="str" cm="1">
        <f t="array" ref="S6333">IFERROR(IF($B6333=S$1, ($A6333+$C6333) - MAX(IF($B$2:$B6332=$B6333, $A$2:$A6332+$C$2:$C6332)), "")*24*60, "")</f>
        <v/>
      </c>
    </row>
    <row r="6334" spans="1:19" x14ac:dyDescent="0.2">
      <c r="A6334" s="12">
        <f t="shared" ref="A6334:C6334" si="1314">A6333</f>
        <v>45988</v>
      </c>
      <c r="B6334" s="5" t="str">
        <f t="shared" si="1314"/>
        <v>Northern Cardinal</v>
      </c>
      <c r="C6334" s="6">
        <f t="shared" si="1314"/>
        <v>0.28472222222222221</v>
      </c>
      <c r="D6334" s="5"/>
      <c r="E6334" s="5"/>
      <c r="F6334" s="5" t="s">
        <v>8</v>
      </c>
      <c r="G6334" s="15" t="s">
        <v>9</v>
      </c>
      <c r="H6334" s="24">
        <f t="shared" si="1278"/>
        <v>0</v>
      </c>
      <c r="I6334" s="24" cm="1">
        <f t="array" ref="I6334">IFERROR(IF($B6334=I$1, ($A6334+$C6334) - MAX(IF($B$2:$B6333=$B6334, $A$2:$A6333+$C$2:$C6333)), "")*24*60, "")</f>
        <v>0</v>
      </c>
      <c r="J6334" s="24" t="str" cm="1">
        <f t="array" ref="J6334">IFERROR(IF($B6334=J$1, ($A6334+$C6334) - MAX(IF($B$2:$B6333=$B6334, $A$2:$A6333+$C$2:$C6333)), "")*24*60, "")</f>
        <v/>
      </c>
      <c r="K6334" s="24" t="str" cm="1">
        <f t="array" ref="K6334">IFERROR(IF($B6334=K$1, ($A6334+$C6334) - MAX(IF($B$2:$B6333=$B6334, $A$2:$A6333+$C$2:$C6333)), "")*24*60, "")</f>
        <v/>
      </c>
      <c r="L6334" s="24" t="str" cm="1">
        <f t="array" ref="L6334">IFERROR(IF($B6334=L$1, ($A6334+$C6334) - MAX(IF($B$2:$B6333=$B6334, $A$2:$A6333+$C$2:$C6333)), "")*24*60, "")</f>
        <v/>
      </c>
      <c r="M6334" s="24" t="str" cm="1">
        <f t="array" ref="M6334">IFERROR(IF($B6334=M$1, ($A6334+$C6334) - MAX(IF($B$2:$B6333=$B6334, $A$2:$A6333+$C$2:$C6333)), "")*24*60, "")</f>
        <v/>
      </c>
      <c r="N6334" s="24" t="str" cm="1">
        <f t="array" ref="N6334">IFERROR(IF($B6334=N$1, ($A6334+$C6334) - MAX(IF($B$2:$B6333=$B6334, $A$2:$A6333+$C$2:$C6333)), "")*24*60, "")</f>
        <v/>
      </c>
      <c r="O6334" s="24" t="str" cm="1">
        <f t="array" ref="O6334">IFERROR(IF($B6334=O$1, ($A6334+$C6334) - MAX(IF($B$2:$B6333=$B6334, $A$2:$A6333+$C$2:$C6333)), "")*24*60, "")</f>
        <v/>
      </c>
      <c r="P6334" s="24" t="str" cm="1">
        <f t="array" ref="P6334">IFERROR(IF($B6334=P$1, ($A6334+$C6334) - MAX(IF($B$2:$B6333=$B6334, $A$2:$A6333+$C$2:$C6333)), "")*24*60, "")</f>
        <v/>
      </c>
      <c r="Q6334" s="24" t="str" cm="1">
        <f t="array" ref="Q6334">IFERROR(IF($B6334=Q$1, ($A6334+$C6334) - MAX(IF($B$2:$B6333=$B6334, $A$2:$A6333+$C$2:$C6333)), "")*24*60, "")</f>
        <v/>
      </c>
      <c r="R6334" s="24" t="str" cm="1">
        <f t="array" ref="R6334">IFERROR(IF($B6334=R$1, ($A6334+$C6334) - MAX(IF($B$2:$B6333=$B6334, $A$2:$A6333+$C$2:$C6333)), "")*24*60, "")</f>
        <v/>
      </c>
      <c r="S6334" s="24" t="str" cm="1">
        <f t="array" ref="S6334">IFERROR(IF($B6334=S$1, ($A6334+$C6334) - MAX(IF($B$2:$B6333=$B6334, $A$2:$A6333+$C$2:$C6333)), "")*24*60, "")</f>
        <v/>
      </c>
    </row>
    <row r="6335" spans="1:19" x14ac:dyDescent="0.2">
      <c r="A6335" s="12">
        <f t="shared" ref="A6335:C6335" si="1315">A6334</f>
        <v>45988</v>
      </c>
      <c r="B6335" s="5" t="str">
        <f t="shared" si="1315"/>
        <v>Northern Cardinal</v>
      </c>
      <c r="C6335" s="6">
        <f t="shared" si="1315"/>
        <v>0.28472222222222221</v>
      </c>
      <c r="D6335" s="5"/>
      <c r="E6335" s="5"/>
      <c r="F6335" s="5" t="s">
        <v>8</v>
      </c>
      <c r="G6335" s="15" t="s">
        <v>9</v>
      </c>
      <c r="H6335" s="24">
        <f t="shared" si="1278"/>
        <v>0</v>
      </c>
      <c r="I6335" s="24" cm="1">
        <f t="array" ref="I6335">IFERROR(IF($B6335=I$1, ($A6335+$C6335) - MAX(IF($B$2:$B6334=$B6335, $A$2:$A6334+$C$2:$C6334)), "")*24*60, "")</f>
        <v>0</v>
      </c>
      <c r="J6335" s="24" t="str" cm="1">
        <f t="array" ref="J6335">IFERROR(IF($B6335=J$1, ($A6335+$C6335) - MAX(IF($B$2:$B6334=$B6335, $A$2:$A6334+$C$2:$C6334)), "")*24*60, "")</f>
        <v/>
      </c>
      <c r="K6335" s="24" t="str" cm="1">
        <f t="array" ref="K6335">IFERROR(IF($B6335=K$1, ($A6335+$C6335) - MAX(IF($B$2:$B6334=$B6335, $A$2:$A6334+$C$2:$C6334)), "")*24*60, "")</f>
        <v/>
      </c>
      <c r="L6335" s="24" t="str" cm="1">
        <f t="array" ref="L6335">IFERROR(IF($B6335=L$1, ($A6335+$C6335) - MAX(IF($B$2:$B6334=$B6335, $A$2:$A6334+$C$2:$C6334)), "")*24*60, "")</f>
        <v/>
      </c>
      <c r="M6335" s="24" t="str" cm="1">
        <f t="array" ref="M6335">IFERROR(IF($B6335=M$1, ($A6335+$C6335) - MAX(IF($B$2:$B6334=$B6335, $A$2:$A6334+$C$2:$C6334)), "")*24*60, "")</f>
        <v/>
      </c>
      <c r="N6335" s="24" t="str" cm="1">
        <f t="array" ref="N6335">IFERROR(IF($B6335=N$1, ($A6335+$C6335) - MAX(IF($B$2:$B6334=$B6335, $A$2:$A6334+$C$2:$C6334)), "")*24*60, "")</f>
        <v/>
      </c>
      <c r="O6335" s="24" t="str" cm="1">
        <f t="array" ref="O6335">IFERROR(IF($B6335=O$1, ($A6335+$C6335) - MAX(IF($B$2:$B6334=$B6335, $A$2:$A6334+$C$2:$C6334)), "")*24*60, "")</f>
        <v/>
      </c>
      <c r="P6335" s="24" t="str" cm="1">
        <f t="array" ref="P6335">IFERROR(IF($B6335=P$1, ($A6335+$C6335) - MAX(IF($B$2:$B6334=$B6335, $A$2:$A6334+$C$2:$C6334)), "")*24*60, "")</f>
        <v/>
      </c>
      <c r="Q6335" s="24" t="str" cm="1">
        <f t="array" ref="Q6335">IFERROR(IF($B6335=Q$1, ($A6335+$C6335) - MAX(IF($B$2:$B6334=$B6335, $A$2:$A6334+$C$2:$C6334)), "")*24*60, "")</f>
        <v/>
      </c>
      <c r="R6335" s="24" t="str" cm="1">
        <f t="array" ref="R6335">IFERROR(IF($B6335=R$1, ($A6335+$C6335) - MAX(IF($B$2:$B6334=$B6335, $A$2:$A6334+$C$2:$C6334)), "")*24*60, "")</f>
        <v/>
      </c>
      <c r="S6335" s="24" t="str" cm="1">
        <f t="array" ref="S6335">IFERROR(IF($B6335=S$1, ($A6335+$C6335) - MAX(IF($B$2:$B6334=$B6335, $A$2:$A6334+$C$2:$C6334)), "")*24*60, "")</f>
        <v/>
      </c>
    </row>
    <row r="6336" spans="1:19" x14ac:dyDescent="0.2">
      <c r="A6336" s="12">
        <f t="shared" ref="A6336:C6336" si="1316">A6335</f>
        <v>45988</v>
      </c>
      <c r="B6336" s="5" t="str">
        <f t="shared" si="1316"/>
        <v>Northern Cardinal</v>
      </c>
      <c r="C6336" s="6">
        <f t="shared" si="1316"/>
        <v>0.28472222222222221</v>
      </c>
      <c r="D6336" s="5"/>
      <c r="E6336" s="5"/>
      <c r="F6336" s="5" t="s">
        <v>8</v>
      </c>
      <c r="G6336" s="15" t="s">
        <v>9</v>
      </c>
      <c r="H6336" s="24">
        <f t="shared" si="1278"/>
        <v>0</v>
      </c>
      <c r="I6336" s="24" cm="1">
        <f t="array" ref="I6336">IFERROR(IF($B6336=I$1, ($A6336+$C6336) - MAX(IF($B$2:$B6335=$B6336, $A$2:$A6335+$C$2:$C6335)), "")*24*60, "")</f>
        <v>0</v>
      </c>
      <c r="J6336" s="24" t="str" cm="1">
        <f t="array" ref="J6336">IFERROR(IF($B6336=J$1, ($A6336+$C6336) - MAX(IF($B$2:$B6335=$B6336, $A$2:$A6335+$C$2:$C6335)), "")*24*60, "")</f>
        <v/>
      </c>
      <c r="K6336" s="24" t="str" cm="1">
        <f t="array" ref="K6336">IFERROR(IF($B6336=K$1, ($A6336+$C6336) - MAX(IF($B$2:$B6335=$B6336, $A$2:$A6335+$C$2:$C6335)), "")*24*60, "")</f>
        <v/>
      </c>
      <c r="L6336" s="24" t="str" cm="1">
        <f t="array" ref="L6336">IFERROR(IF($B6336=L$1, ($A6336+$C6336) - MAX(IF($B$2:$B6335=$B6336, $A$2:$A6335+$C$2:$C6335)), "")*24*60, "")</f>
        <v/>
      </c>
      <c r="M6336" s="24" t="str" cm="1">
        <f t="array" ref="M6336">IFERROR(IF($B6336=M$1, ($A6336+$C6336) - MAX(IF($B$2:$B6335=$B6336, $A$2:$A6335+$C$2:$C6335)), "")*24*60, "")</f>
        <v/>
      </c>
      <c r="N6336" s="24" t="str" cm="1">
        <f t="array" ref="N6336">IFERROR(IF($B6336=N$1, ($A6336+$C6336) - MAX(IF($B$2:$B6335=$B6336, $A$2:$A6335+$C$2:$C6335)), "")*24*60, "")</f>
        <v/>
      </c>
      <c r="O6336" s="24" t="str" cm="1">
        <f t="array" ref="O6336">IFERROR(IF($B6336=O$1, ($A6336+$C6336) - MAX(IF($B$2:$B6335=$B6336, $A$2:$A6335+$C$2:$C6335)), "")*24*60, "")</f>
        <v/>
      </c>
      <c r="P6336" s="24" t="str" cm="1">
        <f t="array" ref="P6336">IFERROR(IF($B6336=P$1, ($A6336+$C6336) - MAX(IF($B$2:$B6335=$B6336, $A$2:$A6335+$C$2:$C6335)), "")*24*60, "")</f>
        <v/>
      </c>
      <c r="Q6336" s="24" t="str" cm="1">
        <f t="array" ref="Q6336">IFERROR(IF($B6336=Q$1, ($A6336+$C6336) - MAX(IF($B$2:$B6335=$B6336, $A$2:$A6335+$C$2:$C6335)), "")*24*60, "")</f>
        <v/>
      </c>
      <c r="R6336" s="24" t="str" cm="1">
        <f t="array" ref="R6336">IFERROR(IF($B6336=R$1, ($A6336+$C6336) - MAX(IF($B$2:$B6335=$B6336, $A$2:$A6335+$C$2:$C6335)), "")*24*60, "")</f>
        <v/>
      </c>
      <c r="S6336" s="24" t="str" cm="1">
        <f t="array" ref="S6336">IFERROR(IF($B6336=S$1, ($A6336+$C6336) - MAX(IF($B$2:$B6335=$B6336, $A$2:$A6335+$C$2:$C6335)), "")*24*60, "")</f>
        <v/>
      </c>
    </row>
    <row r="6337" spans="1:19" x14ac:dyDescent="0.2">
      <c r="A6337" s="12">
        <f t="shared" ref="A6337:C6337" si="1317">A6336</f>
        <v>45988</v>
      </c>
      <c r="B6337" s="5" t="str">
        <f t="shared" si="1317"/>
        <v>Northern Cardinal</v>
      </c>
      <c r="C6337" s="6">
        <f t="shared" si="1317"/>
        <v>0.28472222222222221</v>
      </c>
      <c r="D6337" s="5"/>
      <c r="E6337" s="5"/>
      <c r="F6337" s="5" t="s">
        <v>8</v>
      </c>
      <c r="G6337" s="15" t="s">
        <v>9</v>
      </c>
      <c r="H6337" s="24">
        <f t="shared" si="1278"/>
        <v>0</v>
      </c>
      <c r="I6337" s="24" cm="1">
        <f t="array" ref="I6337">IFERROR(IF($B6337=I$1, ($A6337+$C6337) - MAX(IF($B$2:$B6336=$B6337, $A$2:$A6336+$C$2:$C6336)), "")*24*60, "")</f>
        <v>0</v>
      </c>
      <c r="J6337" s="24" t="str" cm="1">
        <f t="array" ref="J6337">IFERROR(IF($B6337=J$1, ($A6337+$C6337) - MAX(IF($B$2:$B6336=$B6337, $A$2:$A6336+$C$2:$C6336)), "")*24*60, "")</f>
        <v/>
      </c>
      <c r="K6337" s="24" t="str" cm="1">
        <f t="array" ref="K6337">IFERROR(IF($B6337=K$1, ($A6337+$C6337) - MAX(IF($B$2:$B6336=$B6337, $A$2:$A6336+$C$2:$C6336)), "")*24*60, "")</f>
        <v/>
      </c>
      <c r="L6337" s="24" t="str" cm="1">
        <f t="array" ref="L6337">IFERROR(IF($B6337=L$1, ($A6337+$C6337) - MAX(IF($B$2:$B6336=$B6337, $A$2:$A6336+$C$2:$C6336)), "")*24*60, "")</f>
        <v/>
      </c>
      <c r="M6337" s="24" t="str" cm="1">
        <f t="array" ref="M6337">IFERROR(IF($B6337=M$1, ($A6337+$C6337) - MAX(IF($B$2:$B6336=$B6337, $A$2:$A6336+$C$2:$C6336)), "")*24*60, "")</f>
        <v/>
      </c>
      <c r="N6337" s="24" t="str" cm="1">
        <f t="array" ref="N6337">IFERROR(IF($B6337=N$1, ($A6337+$C6337) - MAX(IF($B$2:$B6336=$B6337, $A$2:$A6336+$C$2:$C6336)), "")*24*60, "")</f>
        <v/>
      </c>
      <c r="O6337" s="24" t="str" cm="1">
        <f t="array" ref="O6337">IFERROR(IF($B6337=O$1, ($A6337+$C6337) - MAX(IF($B$2:$B6336=$B6337, $A$2:$A6336+$C$2:$C6336)), "")*24*60, "")</f>
        <v/>
      </c>
      <c r="P6337" s="24" t="str" cm="1">
        <f t="array" ref="P6337">IFERROR(IF($B6337=P$1, ($A6337+$C6337) - MAX(IF($B$2:$B6336=$B6337, $A$2:$A6336+$C$2:$C6336)), "")*24*60, "")</f>
        <v/>
      </c>
      <c r="Q6337" s="24" t="str" cm="1">
        <f t="array" ref="Q6337">IFERROR(IF($B6337=Q$1, ($A6337+$C6337) - MAX(IF($B$2:$B6336=$B6337, $A$2:$A6336+$C$2:$C6336)), "")*24*60, "")</f>
        <v/>
      </c>
      <c r="R6337" s="24" t="str" cm="1">
        <f t="array" ref="R6337">IFERROR(IF($B6337=R$1, ($A6337+$C6337) - MAX(IF($B$2:$B6336=$B6337, $A$2:$A6336+$C$2:$C6336)), "")*24*60, "")</f>
        <v/>
      </c>
      <c r="S6337" s="24" t="str" cm="1">
        <f t="array" ref="S6337">IFERROR(IF($B6337=S$1, ($A6337+$C6337) - MAX(IF($B$2:$B6336=$B6337, $A$2:$A6336+$C$2:$C6336)), "")*24*60, "")</f>
        <v/>
      </c>
    </row>
    <row r="6338" spans="1:19" x14ac:dyDescent="0.2">
      <c r="A6338" s="12">
        <f t="shared" ref="A6338:C6338" si="1318">A6337</f>
        <v>45988</v>
      </c>
      <c r="B6338" s="5" t="str">
        <f t="shared" si="1318"/>
        <v>Northern Cardinal</v>
      </c>
      <c r="C6338" s="6">
        <f t="shared" si="1318"/>
        <v>0.28472222222222221</v>
      </c>
      <c r="D6338" s="5"/>
      <c r="E6338" s="5"/>
      <c r="F6338" s="5" t="s">
        <v>8</v>
      </c>
      <c r="G6338" s="15" t="s">
        <v>9</v>
      </c>
      <c r="H6338" s="24">
        <f t="shared" si="1278"/>
        <v>0</v>
      </c>
      <c r="I6338" s="24" cm="1">
        <f t="array" ref="I6338">IFERROR(IF($B6338=I$1, ($A6338+$C6338) - MAX(IF($B$2:$B6337=$B6338, $A$2:$A6337+$C$2:$C6337)), "")*24*60, "")</f>
        <v>0</v>
      </c>
      <c r="J6338" s="24" t="str" cm="1">
        <f t="array" ref="J6338">IFERROR(IF($B6338=J$1, ($A6338+$C6338) - MAX(IF($B$2:$B6337=$B6338, $A$2:$A6337+$C$2:$C6337)), "")*24*60, "")</f>
        <v/>
      </c>
      <c r="K6338" s="24" t="str" cm="1">
        <f t="array" ref="K6338">IFERROR(IF($B6338=K$1, ($A6338+$C6338) - MAX(IF($B$2:$B6337=$B6338, $A$2:$A6337+$C$2:$C6337)), "")*24*60, "")</f>
        <v/>
      </c>
      <c r="L6338" s="24" t="str" cm="1">
        <f t="array" ref="L6338">IFERROR(IF($B6338=L$1, ($A6338+$C6338) - MAX(IF($B$2:$B6337=$B6338, $A$2:$A6337+$C$2:$C6337)), "")*24*60, "")</f>
        <v/>
      </c>
      <c r="M6338" s="24" t="str" cm="1">
        <f t="array" ref="M6338">IFERROR(IF($B6338=M$1, ($A6338+$C6338) - MAX(IF($B$2:$B6337=$B6338, $A$2:$A6337+$C$2:$C6337)), "")*24*60, "")</f>
        <v/>
      </c>
      <c r="N6338" s="24" t="str" cm="1">
        <f t="array" ref="N6338">IFERROR(IF($B6338=N$1, ($A6338+$C6338) - MAX(IF($B$2:$B6337=$B6338, $A$2:$A6337+$C$2:$C6337)), "")*24*60, "")</f>
        <v/>
      </c>
      <c r="O6338" s="24" t="str" cm="1">
        <f t="array" ref="O6338">IFERROR(IF($B6338=O$1, ($A6338+$C6338) - MAX(IF($B$2:$B6337=$B6338, $A$2:$A6337+$C$2:$C6337)), "")*24*60, "")</f>
        <v/>
      </c>
      <c r="P6338" s="24" t="str" cm="1">
        <f t="array" ref="P6338">IFERROR(IF($B6338=P$1, ($A6338+$C6338) - MAX(IF($B$2:$B6337=$B6338, $A$2:$A6337+$C$2:$C6337)), "")*24*60, "")</f>
        <v/>
      </c>
      <c r="Q6338" s="24" t="str" cm="1">
        <f t="array" ref="Q6338">IFERROR(IF($B6338=Q$1, ($A6338+$C6338) - MAX(IF($B$2:$B6337=$B6338, $A$2:$A6337+$C$2:$C6337)), "")*24*60, "")</f>
        <v/>
      </c>
      <c r="R6338" s="24" t="str" cm="1">
        <f t="array" ref="R6338">IFERROR(IF($B6338=R$1, ($A6338+$C6338) - MAX(IF($B$2:$B6337=$B6338, $A$2:$A6337+$C$2:$C6337)), "")*24*60, "")</f>
        <v/>
      </c>
      <c r="S6338" s="24" t="str" cm="1">
        <f t="array" ref="S6338">IFERROR(IF($B6338=S$1, ($A6338+$C6338) - MAX(IF($B$2:$B6337=$B6338, $A$2:$A6337+$C$2:$C6337)), "")*24*60, "")</f>
        <v/>
      </c>
    </row>
    <row r="6339" spans="1:19" x14ac:dyDescent="0.2">
      <c r="A6339" s="12">
        <f t="shared" ref="A6339:C6339" si="1319">A6338</f>
        <v>45988</v>
      </c>
      <c r="B6339" s="5" t="str">
        <f t="shared" si="1319"/>
        <v>Northern Cardinal</v>
      </c>
      <c r="C6339" s="6">
        <f t="shared" si="1319"/>
        <v>0.28472222222222221</v>
      </c>
      <c r="D6339" s="5"/>
      <c r="E6339" s="5"/>
      <c r="F6339" s="5" t="s">
        <v>8</v>
      </c>
      <c r="G6339" s="15" t="s">
        <v>9</v>
      </c>
      <c r="H6339" s="24">
        <f t="shared" si="1278"/>
        <v>0</v>
      </c>
      <c r="I6339" s="24" cm="1">
        <f t="array" ref="I6339">IFERROR(IF($B6339=I$1, ($A6339+$C6339) - MAX(IF($B$2:$B6338=$B6339, $A$2:$A6338+$C$2:$C6338)), "")*24*60, "")</f>
        <v>0</v>
      </c>
      <c r="J6339" s="24" t="str" cm="1">
        <f t="array" ref="J6339">IFERROR(IF($B6339=J$1, ($A6339+$C6339) - MAX(IF($B$2:$B6338=$B6339, $A$2:$A6338+$C$2:$C6338)), "")*24*60, "")</f>
        <v/>
      </c>
      <c r="K6339" s="24" t="str" cm="1">
        <f t="array" ref="K6339">IFERROR(IF($B6339=K$1, ($A6339+$C6339) - MAX(IF($B$2:$B6338=$B6339, $A$2:$A6338+$C$2:$C6338)), "")*24*60, "")</f>
        <v/>
      </c>
      <c r="L6339" s="24" t="str" cm="1">
        <f t="array" ref="L6339">IFERROR(IF($B6339=L$1, ($A6339+$C6339) - MAX(IF($B$2:$B6338=$B6339, $A$2:$A6338+$C$2:$C6338)), "")*24*60, "")</f>
        <v/>
      </c>
      <c r="M6339" s="24" t="str" cm="1">
        <f t="array" ref="M6339">IFERROR(IF($B6339=M$1, ($A6339+$C6339) - MAX(IF($B$2:$B6338=$B6339, $A$2:$A6338+$C$2:$C6338)), "")*24*60, "")</f>
        <v/>
      </c>
      <c r="N6339" s="24" t="str" cm="1">
        <f t="array" ref="N6339">IFERROR(IF($B6339=N$1, ($A6339+$C6339) - MAX(IF($B$2:$B6338=$B6339, $A$2:$A6338+$C$2:$C6338)), "")*24*60, "")</f>
        <v/>
      </c>
      <c r="O6339" s="24" t="str" cm="1">
        <f t="array" ref="O6339">IFERROR(IF($B6339=O$1, ($A6339+$C6339) - MAX(IF($B$2:$B6338=$B6339, $A$2:$A6338+$C$2:$C6338)), "")*24*60, "")</f>
        <v/>
      </c>
      <c r="P6339" s="24" t="str" cm="1">
        <f t="array" ref="P6339">IFERROR(IF($B6339=P$1, ($A6339+$C6339) - MAX(IF($B$2:$B6338=$B6339, $A$2:$A6338+$C$2:$C6338)), "")*24*60, "")</f>
        <v/>
      </c>
      <c r="Q6339" s="24" t="str" cm="1">
        <f t="array" ref="Q6339">IFERROR(IF($B6339=Q$1, ($A6339+$C6339) - MAX(IF($B$2:$B6338=$B6339, $A$2:$A6338+$C$2:$C6338)), "")*24*60, "")</f>
        <v/>
      </c>
      <c r="R6339" s="24" t="str" cm="1">
        <f t="array" ref="R6339">IFERROR(IF($B6339=R$1, ($A6339+$C6339) - MAX(IF($B$2:$B6338=$B6339, $A$2:$A6338+$C$2:$C6338)), "")*24*60, "")</f>
        <v/>
      </c>
      <c r="S6339" s="24" t="str" cm="1">
        <f t="array" ref="S6339">IFERROR(IF($B6339=S$1, ($A6339+$C6339) - MAX(IF($B$2:$B6338=$B6339, $A$2:$A6338+$C$2:$C6338)), "")*24*60, "")</f>
        <v/>
      </c>
    </row>
    <row r="6340" spans="1:19" x14ac:dyDescent="0.2">
      <c r="A6340" s="12">
        <f t="shared" ref="A6340:C6340" si="1320">A6339</f>
        <v>45988</v>
      </c>
      <c r="B6340" s="5" t="str">
        <f t="shared" si="1320"/>
        <v>Northern Cardinal</v>
      </c>
      <c r="C6340" s="6">
        <f t="shared" si="1320"/>
        <v>0.28472222222222221</v>
      </c>
      <c r="D6340" s="5"/>
      <c r="E6340" s="5"/>
      <c r="F6340" s="5" t="s">
        <v>8</v>
      </c>
      <c r="G6340" s="15" t="s">
        <v>9</v>
      </c>
      <c r="H6340" s="24">
        <f t="shared" si="1278"/>
        <v>0</v>
      </c>
      <c r="I6340" s="24" cm="1">
        <f t="array" ref="I6340">IFERROR(IF($B6340=I$1, ($A6340+$C6340) - MAX(IF($B$2:$B6339=$B6340, $A$2:$A6339+$C$2:$C6339)), "")*24*60, "")</f>
        <v>0</v>
      </c>
      <c r="J6340" s="24" t="str" cm="1">
        <f t="array" ref="J6340">IFERROR(IF($B6340=J$1, ($A6340+$C6340) - MAX(IF($B$2:$B6339=$B6340, $A$2:$A6339+$C$2:$C6339)), "")*24*60, "")</f>
        <v/>
      </c>
      <c r="K6340" s="24" t="str" cm="1">
        <f t="array" ref="K6340">IFERROR(IF($B6340=K$1, ($A6340+$C6340) - MAX(IF($B$2:$B6339=$B6340, $A$2:$A6339+$C$2:$C6339)), "")*24*60, "")</f>
        <v/>
      </c>
      <c r="L6340" s="24" t="str" cm="1">
        <f t="array" ref="L6340">IFERROR(IF($B6340=L$1, ($A6340+$C6340) - MAX(IF($B$2:$B6339=$B6340, $A$2:$A6339+$C$2:$C6339)), "")*24*60, "")</f>
        <v/>
      </c>
      <c r="M6340" s="24" t="str" cm="1">
        <f t="array" ref="M6340">IFERROR(IF($B6340=M$1, ($A6340+$C6340) - MAX(IF($B$2:$B6339=$B6340, $A$2:$A6339+$C$2:$C6339)), "")*24*60, "")</f>
        <v/>
      </c>
      <c r="N6340" s="24" t="str" cm="1">
        <f t="array" ref="N6340">IFERROR(IF($B6340=N$1, ($A6340+$C6340) - MAX(IF($B$2:$B6339=$B6340, $A$2:$A6339+$C$2:$C6339)), "")*24*60, "")</f>
        <v/>
      </c>
      <c r="O6340" s="24" t="str" cm="1">
        <f t="array" ref="O6340">IFERROR(IF($B6340=O$1, ($A6340+$C6340) - MAX(IF($B$2:$B6339=$B6340, $A$2:$A6339+$C$2:$C6339)), "")*24*60, "")</f>
        <v/>
      </c>
      <c r="P6340" s="24" t="str" cm="1">
        <f t="array" ref="P6340">IFERROR(IF($B6340=P$1, ($A6340+$C6340) - MAX(IF($B$2:$B6339=$B6340, $A$2:$A6339+$C$2:$C6339)), "")*24*60, "")</f>
        <v/>
      </c>
      <c r="Q6340" s="24" t="str" cm="1">
        <f t="array" ref="Q6340">IFERROR(IF($B6340=Q$1, ($A6340+$C6340) - MAX(IF($B$2:$B6339=$B6340, $A$2:$A6339+$C$2:$C6339)), "")*24*60, "")</f>
        <v/>
      </c>
      <c r="R6340" s="24" t="str" cm="1">
        <f t="array" ref="R6340">IFERROR(IF($B6340=R$1, ($A6340+$C6340) - MAX(IF($B$2:$B6339=$B6340, $A$2:$A6339+$C$2:$C6339)), "")*24*60, "")</f>
        <v/>
      </c>
      <c r="S6340" s="24" t="str" cm="1">
        <f t="array" ref="S6340">IFERROR(IF($B6340=S$1, ($A6340+$C6340) - MAX(IF($B$2:$B6339=$B6340, $A$2:$A6339+$C$2:$C6339)), "")*24*60, "")</f>
        <v/>
      </c>
    </row>
    <row r="6341" spans="1:19" x14ac:dyDescent="0.2">
      <c r="A6341" s="12">
        <f t="shared" ref="A6341:C6341" si="1321">A6340</f>
        <v>45988</v>
      </c>
      <c r="B6341" s="5" t="str">
        <f t="shared" si="1321"/>
        <v>Northern Cardinal</v>
      </c>
      <c r="C6341" s="6">
        <f t="shared" si="1321"/>
        <v>0.28472222222222221</v>
      </c>
      <c r="D6341" s="5"/>
      <c r="E6341" s="5"/>
      <c r="F6341" s="5" t="s">
        <v>8</v>
      </c>
      <c r="G6341" s="15" t="s">
        <v>9</v>
      </c>
      <c r="H6341" s="24">
        <f t="shared" si="1278"/>
        <v>0</v>
      </c>
      <c r="I6341" s="24" cm="1">
        <f t="array" ref="I6341">IFERROR(IF($B6341=I$1, ($A6341+$C6341) - MAX(IF($B$2:$B6340=$B6341, $A$2:$A6340+$C$2:$C6340)), "")*24*60, "")</f>
        <v>0</v>
      </c>
      <c r="J6341" s="24" t="str" cm="1">
        <f t="array" ref="J6341">IFERROR(IF($B6341=J$1, ($A6341+$C6341) - MAX(IF($B$2:$B6340=$B6341, $A$2:$A6340+$C$2:$C6340)), "")*24*60, "")</f>
        <v/>
      </c>
      <c r="K6341" s="24" t="str" cm="1">
        <f t="array" ref="K6341">IFERROR(IF($B6341=K$1, ($A6341+$C6341) - MAX(IF($B$2:$B6340=$B6341, $A$2:$A6340+$C$2:$C6340)), "")*24*60, "")</f>
        <v/>
      </c>
      <c r="L6341" s="24" t="str" cm="1">
        <f t="array" ref="L6341">IFERROR(IF($B6341=L$1, ($A6341+$C6341) - MAX(IF($B$2:$B6340=$B6341, $A$2:$A6340+$C$2:$C6340)), "")*24*60, "")</f>
        <v/>
      </c>
      <c r="M6341" s="24" t="str" cm="1">
        <f t="array" ref="M6341">IFERROR(IF($B6341=M$1, ($A6341+$C6341) - MAX(IF($B$2:$B6340=$B6341, $A$2:$A6340+$C$2:$C6340)), "")*24*60, "")</f>
        <v/>
      </c>
      <c r="N6341" s="24" t="str" cm="1">
        <f t="array" ref="N6341">IFERROR(IF($B6341=N$1, ($A6341+$C6341) - MAX(IF($B$2:$B6340=$B6341, $A$2:$A6340+$C$2:$C6340)), "")*24*60, "")</f>
        <v/>
      </c>
      <c r="O6341" s="24" t="str" cm="1">
        <f t="array" ref="O6341">IFERROR(IF($B6341=O$1, ($A6341+$C6341) - MAX(IF($B$2:$B6340=$B6341, $A$2:$A6340+$C$2:$C6340)), "")*24*60, "")</f>
        <v/>
      </c>
      <c r="P6341" s="24" t="str" cm="1">
        <f t="array" ref="P6341">IFERROR(IF($B6341=P$1, ($A6341+$C6341) - MAX(IF($B$2:$B6340=$B6341, $A$2:$A6340+$C$2:$C6340)), "")*24*60, "")</f>
        <v/>
      </c>
      <c r="Q6341" s="24" t="str" cm="1">
        <f t="array" ref="Q6341">IFERROR(IF($B6341=Q$1, ($A6341+$C6341) - MAX(IF($B$2:$B6340=$B6341, $A$2:$A6340+$C$2:$C6340)), "")*24*60, "")</f>
        <v/>
      </c>
      <c r="R6341" s="24" t="str" cm="1">
        <f t="array" ref="R6341">IFERROR(IF($B6341=R$1, ($A6341+$C6341) - MAX(IF($B$2:$B6340=$B6341, $A$2:$A6340+$C$2:$C6340)), "")*24*60, "")</f>
        <v/>
      </c>
      <c r="S6341" s="24" t="str" cm="1">
        <f t="array" ref="S6341">IFERROR(IF($B6341=S$1, ($A6341+$C6341) - MAX(IF($B$2:$B6340=$B6341, $A$2:$A6340+$C$2:$C6340)), "")*24*60, "")</f>
        <v/>
      </c>
    </row>
    <row r="6342" spans="1:19" x14ac:dyDescent="0.2">
      <c r="A6342" s="12">
        <f t="shared" ref="A6342:C6342" si="1322">A6341</f>
        <v>45988</v>
      </c>
      <c r="B6342" s="5" t="str">
        <f t="shared" si="1322"/>
        <v>Northern Cardinal</v>
      </c>
      <c r="C6342" s="6">
        <f t="shared" si="1322"/>
        <v>0.28472222222222221</v>
      </c>
      <c r="D6342" s="5"/>
      <c r="E6342" s="5"/>
      <c r="F6342" s="5" t="s">
        <v>8</v>
      </c>
      <c r="G6342" s="15" t="s">
        <v>9</v>
      </c>
      <c r="H6342" s="24">
        <f t="shared" si="1278"/>
        <v>0</v>
      </c>
      <c r="I6342" s="24" cm="1">
        <f t="array" ref="I6342">IFERROR(IF($B6342=I$1, ($A6342+$C6342) - MAX(IF($B$2:$B6341=$B6342, $A$2:$A6341+$C$2:$C6341)), "")*24*60, "")</f>
        <v>0</v>
      </c>
      <c r="J6342" s="24" t="str" cm="1">
        <f t="array" ref="J6342">IFERROR(IF($B6342=J$1, ($A6342+$C6342) - MAX(IF($B$2:$B6341=$B6342, $A$2:$A6341+$C$2:$C6341)), "")*24*60, "")</f>
        <v/>
      </c>
      <c r="K6342" s="24" t="str" cm="1">
        <f t="array" ref="K6342">IFERROR(IF($B6342=K$1, ($A6342+$C6342) - MAX(IF($B$2:$B6341=$B6342, $A$2:$A6341+$C$2:$C6341)), "")*24*60, "")</f>
        <v/>
      </c>
      <c r="L6342" s="24" t="str" cm="1">
        <f t="array" ref="L6342">IFERROR(IF($B6342=L$1, ($A6342+$C6342) - MAX(IF($B$2:$B6341=$B6342, $A$2:$A6341+$C$2:$C6341)), "")*24*60, "")</f>
        <v/>
      </c>
      <c r="M6342" s="24" t="str" cm="1">
        <f t="array" ref="M6342">IFERROR(IF($B6342=M$1, ($A6342+$C6342) - MAX(IF($B$2:$B6341=$B6342, $A$2:$A6341+$C$2:$C6341)), "")*24*60, "")</f>
        <v/>
      </c>
      <c r="N6342" s="24" t="str" cm="1">
        <f t="array" ref="N6342">IFERROR(IF($B6342=N$1, ($A6342+$C6342) - MAX(IF($B$2:$B6341=$B6342, $A$2:$A6341+$C$2:$C6341)), "")*24*60, "")</f>
        <v/>
      </c>
      <c r="O6342" s="24" t="str" cm="1">
        <f t="array" ref="O6342">IFERROR(IF($B6342=O$1, ($A6342+$C6342) - MAX(IF($B$2:$B6341=$B6342, $A$2:$A6341+$C$2:$C6341)), "")*24*60, "")</f>
        <v/>
      </c>
      <c r="P6342" s="24" t="str" cm="1">
        <f t="array" ref="P6342">IFERROR(IF($B6342=P$1, ($A6342+$C6342) - MAX(IF($B$2:$B6341=$B6342, $A$2:$A6341+$C$2:$C6341)), "")*24*60, "")</f>
        <v/>
      </c>
      <c r="Q6342" s="24" t="str" cm="1">
        <f t="array" ref="Q6342">IFERROR(IF($B6342=Q$1, ($A6342+$C6342) - MAX(IF($B$2:$B6341=$B6342, $A$2:$A6341+$C$2:$C6341)), "")*24*60, "")</f>
        <v/>
      </c>
      <c r="R6342" s="24" t="str" cm="1">
        <f t="array" ref="R6342">IFERROR(IF($B6342=R$1, ($A6342+$C6342) - MAX(IF($B$2:$B6341=$B6342, $A$2:$A6341+$C$2:$C6341)), "")*24*60, "")</f>
        <v/>
      </c>
      <c r="S6342" s="24" t="str" cm="1">
        <f t="array" ref="S6342">IFERROR(IF($B6342=S$1, ($A6342+$C6342) - MAX(IF($B$2:$B6341=$B6342, $A$2:$A6341+$C$2:$C6341)), "")*24*60, "")</f>
        <v/>
      </c>
    </row>
    <row r="6343" spans="1:19" x14ac:dyDescent="0.2">
      <c r="A6343" s="12">
        <f t="shared" ref="A6343:C6343" si="1323">A6342</f>
        <v>45988</v>
      </c>
      <c r="B6343" s="5" t="str">
        <f t="shared" si="1323"/>
        <v>Northern Cardinal</v>
      </c>
      <c r="C6343" s="6">
        <f t="shared" si="1323"/>
        <v>0.28472222222222221</v>
      </c>
      <c r="D6343" s="5"/>
      <c r="E6343" s="5"/>
      <c r="F6343" s="5" t="s">
        <v>8</v>
      </c>
      <c r="G6343" s="15" t="s">
        <v>9</v>
      </c>
      <c r="H6343" s="24">
        <f t="shared" si="1278"/>
        <v>0</v>
      </c>
      <c r="I6343" s="24" cm="1">
        <f t="array" ref="I6343">IFERROR(IF($B6343=I$1, ($A6343+$C6343) - MAX(IF($B$2:$B6342=$B6343, $A$2:$A6342+$C$2:$C6342)), "")*24*60, "")</f>
        <v>0</v>
      </c>
      <c r="J6343" s="24" t="str" cm="1">
        <f t="array" ref="J6343">IFERROR(IF($B6343=J$1, ($A6343+$C6343) - MAX(IF($B$2:$B6342=$B6343, $A$2:$A6342+$C$2:$C6342)), "")*24*60, "")</f>
        <v/>
      </c>
      <c r="K6343" s="24" t="str" cm="1">
        <f t="array" ref="K6343">IFERROR(IF($B6343=K$1, ($A6343+$C6343) - MAX(IF($B$2:$B6342=$B6343, $A$2:$A6342+$C$2:$C6342)), "")*24*60, "")</f>
        <v/>
      </c>
      <c r="L6343" s="24" t="str" cm="1">
        <f t="array" ref="L6343">IFERROR(IF($B6343=L$1, ($A6343+$C6343) - MAX(IF($B$2:$B6342=$B6343, $A$2:$A6342+$C$2:$C6342)), "")*24*60, "")</f>
        <v/>
      </c>
      <c r="M6343" s="24" t="str" cm="1">
        <f t="array" ref="M6343">IFERROR(IF($B6343=M$1, ($A6343+$C6343) - MAX(IF($B$2:$B6342=$B6343, $A$2:$A6342+$C$2:$C6342)), "")*24*60, "")</f>
        <v/>
      </c>
      <c r="N6343" s="24" t="str" cm="1">
        <f t="array" ref="N6343">IFERROR(IF($B6343=N$1, ($A6343+$C6343) - MAX(IF($B$2:$B6342=$B6343, $A$2:$A6342+$C$2:$C6342)), "")*24*60, "")</f>
        <v/>
      </c>
      <c r="O6343" s="24" t="str" cm="1">
        <f t="array" ref="O6343">IFERROR(IF($B6343=O$1, ($A6343+$C6343) - MAX(IF($B$2:$B6342=$B6343, $A$2:$A6342+$C$2:$C6342)), "")*24*60, "")</f>
        <v/>
      </c>
      <c r="P6343" s="24" t="str" cm="1">
        <f t="array" ref="P6343">IFERROR(IF($B6343=P$1, ($A6343+$C6343) - MAX(IF($B$2:$B6342=$B6343, $A$2:$A6342+$C$2:$C6342)), "")*24*60, "")</f>
        <v/>
      </c>
      <c r="Q6343" s="24" t="str" cm="1">
        <f t="array" ref="Q6343">IFERROR(IF($B6343=Q$1, ($A6343+$C6343) - MAX(IF($B$2:$B6342=$B6343, $A$2:$A6342+$C$2:$C6342)), "")*24*60, "")</f>
        <v/>
      </c>
      <c r="R6343" s="24" t="str" cm="1">
        <f t="array" ref="R6343">IFERROR(IF($B6343=R$1, ($A6343+$C6343) - MAX(IF($B$2:$B6342=$B6343, $A$2:$A6342+$C$2:$C6342)), "")*24*60, "")</f>
        <v/>
      </c>
      <c r="S6343" s="24" t="str" cm="1">
        <f t="array" ref="S6343">IFERROR(IF($B6343=S$1, ($A6343+$C6343) - MAX(IF($B$2:$B6342=$B6343, $A$2:$A6342+$C$2:$C6342)), "")*24*60, "")</f>
        <v/>
      </c>
    </row>
    <row r="6344" spans="1:19" x14ac:dyDescent="0.2">
      <c r="A6344" s="12">
        <f t="shared" ref="A6344:C6344" si="1324">A6343</f>
        <v>45988</v>
      </c>
      <c r="B6344" s="5" t="str">
        <f t="shared" si="1324"/>
        <v>Northern Cardinal</v>
      </c>
      <c r="C6344" s="6">
        <f t="shared" si="1324"/>
        <v>0.28472222222222221</v>
      </c>
      <c r="D6344" s="5"/>
      <c r="E6344" s="5"/>
      <c r="F6344" s="5" t="s">
        <v>8</v>
      </c>
      <c r="G6344" s="15" t="s">
        <v>9</v>
      </c>
      <c r="H6344" s="24">
        <f t="shared" si="1278"/>
        <v>0</v>
      </c>
      <c r="I6344" s="24" cm="1">
        <f t="array" ref="I6344">IFERROR(IF($B6344=I$1, ($A6344+$C6344) - MAX(IF($B$2:$B6343=$B6344, $A$2:$A6343+$C$2:$C6343)), "")*24*60, "")</f>
        <v>0</v>
      </c>
      <c r="J6344" s="24" t="str" cm="1">
        <f t="array" ref="J6344">IFERROR(IF($B6344=J$1, ($A6344+$C6344) - MAX(IF($B$2:$B6343=$B6344, $A$2:$A6343+$C$2:$C6343)), "")*24*60, "")</f>
        <v/>
      </c>
      <c r="K6344" s="24" t="str" cm="1">
        <f t="array" ref="K6344">IFERROR(IF($B6344=K$1, ($A6344+$C6344) - MAX(IF($B$2:$B6343=$B6344, $A$2:$A6343+$C$2:$C6343)), "")*24*60, "")</f>
        <v/>
      </c>
      <c r="L6344" s="24" t="str" cm="1">
        <f t="array" ref="L6344">IFERROR(IF($B6344=L$1, ($A6344+$C6344) - MAX(IF($B$2:$B6343=$B6344, $A$2:$A6343+$C$2:$C6343)), "")*24*60, "")</f>
        <v/>
      </c>
      <c r="M6344" s="24" t="str" cm="1">
        <f t="array" ref="M6344">IFERROR(IF($B6344=M$1, ($A6344+$C6344) - MAX(IF($B$2:$B6343=$B6344, $A$2:$A6343+$C$2:$C6343)), "")*24*60, "")</f>
        <v/>
      </c>
      <c r="N6344" s="24" t="str" cm="1">
        <f t="array" ref="N6344">IFERROR(IF($B6344=N$1, ($A6344+$C6344) - MAX(IF($B$2:$B6343=$B6344, $A$2:$A6343+$C$2:$C6343)), "")*24*60, "")</f>
        <v/>
      </c>
      <c r="O6344" s="24" t="str" cm="1">
        <f t="array" ref="O6344">IFERROR(IF($B6344=O$1, ($A6344+$C6344) - MAX(IF($B$2:$B6343=$B6344, $A$2:$A6343+$C$2:$C6343)), "")*24*60, "")</f>
        <v/>
      </c>
      <c r="P6344" s="24" t="str" cm="1">
        <f t="array" ref="P6344">IFERROR(IF($B6344=P$1, ($A6344+$C6344) - MAX(IF($B$2:$B6343=$B6344, $A$2:$A6343+$C$2:$C6343)), "")*24*60, "")</f>
        <v/>
      </c>
      <c r="Q6344" s="24" t="str" cm="1">
        <f t="array" ref="Q6344">IFERROR(IF($B6344=Q$1, ($A6344+$C6344) - MAX(IF($B$2:$B6343=$B6344, $A$2:$A6343+$C$2:$C6343)), "")*24*60, "")</f>
        <v/>
      </c>
      <c r="R6344" s="24" t="str" cm="1">
        <f t="array" ref="R6344">IFERROR(IF($B6344=R$1, ($A6344+$C6344) - MAX(IF($B$2:$B6343=$B6344, $A$2:$A6343+$C$2:$C6343)), "")*24*60, "")</f>
        <v/>
      </c>
      <c r="S6344" s="24" t="str" cm="1">
        <f t="array" ref="S6344">IFERROR(IF($B6344=S$1, ($A6344+$C6344) - MAX(IF($B$2:$B6343=$B6344, $A$2:$A6343+$C$2:$C6343)), "")*24*60, "")</f>
        <v/>
      </c>
    </row>
    <row r="6345" spans="1:19" x14ac:dyDescent="0.2">
      <c r="A6345" s="12">
        <f t="shared" ref="A6345:C6345" si="1325">A6344</f>
        <v>45988</v>
      </c>
      <c r="B6345" s="5" t="str">
        <f t="shared" si="1325"/>
        <v>Northern Cardinal</v>
      </c>
      <c r="C6345" s="6">
        <f t="shared" si="1325"/>
        <v>0.28472222222222221</v>
      </c>
      <c r="D6345" s="5"/>
      <c r="E6345" s="5"/>
      <c r="F6345" s="5" t="s">
        <v>8</v>
      </c>
      <c r="G6345" s="15" t="s">
        <v>9</v>
      </c>
      <c r="H6345" s="24">
        <f t="shared" si="1278"/>
        <v>0</v>
      </c>
      <c r="I6345" s="24" cm="1">
        <f t="array" ref="I6345">IFERROR(IF($B6345=I$1, ($A6345+$C6345) - MAX(IF($B$2:$B6344=$B6345, $A$2:$A6344+$C$2:$C6344)), "")*24*60, "")</f>
        <v>0</v>
      </c>
      <c r="J6345" s="24" t="str" cm="1">
        <f t="array" ref="J6345">IFERROR(IF($B6345=J$1, ($A6345+$C6345) - MAX(IF($B$2:$B6344=$B6345, $A$2:$A6344+$C$2:$C6344)), "")*24*60, "")</f>
        <v/>
      </c>
      <c r="K6345" s="24" t="str" cm="1">
        <f t="array" ref="K6345">IFERROR(IF($B6345=K$1, ($A6345+$C6345) - MAX(IF($B$2:$B6344=$B6345, $A$2:$A6344+$C$2:$C6344)), "")*24*60, "")</f>
        <v/>
      </c>
      <c r="L6345" s="24" t="str" cm="1">
        <f t="array" ref="L6345">IFERROR(IF($B6345=L$1, ($A6345+$C6345) - MAX(IF($B$2:$B6344=$B6345, $A$2:$A6344+$C$2:$C6344)), "")*24*60, "")</f>
        <v/>
      </c>
      <c r="M6345" s="24" t="str" cm="1">
        <f t="array" ref="M6345">IFERROR(IF($B6345=M$1, ($A6345+$C6345) - MAX(IF($B$2:$B6344=$B6345, $A$2:$A6344+$C$2:$C6344)), "")*24*60, "")</f>
        <v/>
      </c>
      <c r="N6345" s="24" t="str" cm="1">
        <f t="array" ref="N6345">IFERROR(IF($B6345=N$1, ($A6345+$C6345) - MAX(IF($B$2:$B6344=$B6345, $A$2:$A6344+$C$2:$C6344)), "")*24*60, "")</f>
        <v/>
      </c>
      <c r="O6345" s="24" t="str" cm="1">
        <f t="array" ref="O6345">IFERROR(IF($B6345=O$1, ($A6345+$C6345) - MAX(IF($B$2:$B6344=$B6345, $A$2:$A6344+$C$2:$C6344)), "")*24*60, "")</f>
        <v/>
      </c>
      <c r="P6345" s="24" t="str" cm="1">
        <f t="array" ref="P6345">IFERROR(IF($B6345=P$1, ($A6345+$C6345) - MAX(IF($B$2:$B6344=$B6345, $A$2:$A6344+$C$2:$C6344)), "")*24*60, "")</f>
        <v/>
      </c>
      <c r="Q6345" s="24" t="str" cm="1">
        <f t="array" ref="Q6345">IFERROR(IF($B6345=Q$1, ($A6345+$C6345) - MAX(IF($B$2:$B6344=$B6345, $A$2:$A6344+$C$2:$C6344)), "")*24*60, "")</f>
        <v/>
      </c>
      <c r="R6345" s="24" t="str" cm="1">
        <f t="array" ref="R6345">IFERROR(IF($B6345=R$1, ($A6345+$C6345) - MAX(IF($B$2:$B6344=$B6345, $A$2:$A6344+$C$2:$C6344)), "")*24*60, "")</f>
        <v/>
      </c>
      <c r="S6345" s="24" t="str" cm="1">
        <f t="array" ref="S6345">IFERROR(IF($B6345=S$1, ($A6345+$C6345) - MAX(IF($B$2:$B6344=$B6345, $A$2:$A6344+$C$2:$C6344)), "")*24*60, "")</f>
        <v/>
      </c>
    </row>
    <row r="6346" spans="1:19" x14ac:dyDescent="0.2">
      <c r="A6346" s="12">
        <f t="shared" ref="A6346:C6346" si="1326">A6345</f>
        <v>45988</v>
      </c>
      <c r="B6346" s="5" t="str">
        <f t="shared" si="1326"/>
        <v>Northern Cardinal</v>
      </c>
      <c r="C6346" s="6">
        <f t="shared" si="1326"/>
        <v>0.28472222222222221</v>
      </c>
      <c r="D6346" s="5"/>
      <c r="E6346" s="5"/>
      <c r="F6346" s="5" t="s">
        <v>8</v>
      </c>
      <c r="G6346" s="15" t="s">
        <v>9</v>
      </c>
      <c r="H6346" s="24">
        <f t="shared" si="1278"/>
        <v>0</v>
      </c>
      <c r="I6346" s="24" cm="1">
        <f t="array" ref="I6346">IFERROR(IF($B6346=I$1, ($A6346+$C6346) - MAX(IF($B$2:$B6345=$B6346, $A$2:$A6345+$C$2:$C6345)), "")*24*60, "")</f>
        <v>0</v>
      </c>
      <c r="J6346" s="24" t="str" cm="1">
        <f t="array" ref="J6346">IFERROR(IF($B6346=J$1, ($A6346+$C6346) - MAX(IF($B$2:$B6345=$B6346, $A$2:$A6345+$C$2:$C6345)), "")*24*60, "")</f>
        <v/>
      </c>
      <c r="K6346" s="24" t="str" cm="1">
        <f t="array" ref="K6346">IFERROR(IF($B6346=K$1, ($A6346+$C6346) - MAX(IF($B$2:$B6345=$B6346, $A$2:$A6345+$C$2:$C6345)), "")*24*60, "")</f>
        <v/>
      </c>
      <c r="L6346" s="24" t="str" cm="1">
        <f t="array" ref="L6346">IFERROR(IF($B6346=L$1, ($A6346+$C6346) - MAX(IF($B$2:$B6345=$B6346, $A$2:$A6345+$C$2:$C6345)), "")*24*60, "")</f>
        <v/>
      </c>
      <c r="M6346" s="24" t="str" cm="1">
        <f t="array" ref="M6346">IFERROR(IF($B6346=M$1, ($A6346+$C6346) - MAX(IF($B$2:$B6345=$B6346, $A$2:$A6345+$C$2:$C6345)), "")*24*60, "")</f>
        <v/>
      </c>
      <c r="N6346" s="24" t="str" cm="1">
        <f t="array" ref="N6346">IFERROR(IF($B6346=N$1, ($A6346+$C6346) - MAX(IF($B$2:$B6345=$B6346, $A$2:$A6345+$C$2:$C6345)), "")*24*60, "")</f>
        <v/>
      </c>
      <c r="O6346" s="24" t="str" cm="1">
        <f t="array" ref="O6346">IFERROR(IF($B6346=O$1, ($A6346+$C6346) - MAX(IF($B$2:$B6345=$B6346, $A$2:$A6345+$C$2:$C6345)), "")*24*60, "")</f>
        <v/>
      </c>
      <c r="P6346" s="24" t="str" cm="1">
        <f t="array" ref="P6346">IFERROR(IF($B6346=P$1, ($A6346+$C6346) - MAX(IF($B$2:$B6345=$B6346, $A$2:$A6345+$C$2:$C6345)), "")*24*60, "")</f>
        <v/>
      </c>
      <c r="Q6346" s="24" t="str" cm="1">
        <f t="array" ref="Q6346">IFERROR(IF($B6346=Q$1, ($A6346+$C6346) - MAX(IF($B$2:$B6345=$B6346, $A$2:$A6345+$C$2:$C6345)), "")*24*60, "")</f>
        <v/>
      </c>
      <c r="R6346" s="24" t="str" cm="1">
        <f t="array" ref="R6346">IFERROR(IF($B6346=R$1, ($A6346+$C6346) - MAX(IF($B$2:$B6345=$B6346, $A$2:$A6345+$C$2:$C6345)), "")*24*60, "")</f>
        <v/>
      </c>
      <c r="S6346" s="24" t="str" cm="1">
        <f t="array" ref="S6346">IFERROR(IF($B6346=S$1, ($A6346+$C6346) - MAX(IF($B$2:$B6345=$B6346, $A$2:$A6345+$C$2:$C6345)), "")*24*60, "")</f>
        <v/>
      </c>
    </row>
    <row r="6347" spans="1:19" x14ac:dyDescent="0.2">
      <c r="A6347" s="12">
        <f t="shared" ref="A6347:C6347" si="1327">A6346</f>
        <v>45988</v>
      </c>
      <c r="B6347" s="5" t="str">
        <f t="shared" si="1327"/>
        <v>Northern Cardinal</v>
      </c>
      <c r="C6347" s="6">
        <f t="shared" si="1327"/>
        <v>0.28472222222222221</v>
      </c>
      <c r="D6347" s="5"/>
      <c r="E6347" s="5"/>
      <c r="F6347" s="5" t="s">
        <v>8</v>
      </c>
      <c r="G6347" s="15" t="s">
        <v>9</v>
      </c>
      <c r="H6347" s="24">
        <f t="shared" si="1278"/>
        <v>0</v>
      </c>
      <c r="I6347" s="24" cm="1">
        <f t="array" ref="I6347">IFERROR(IF($B6347=I$1, ($A6347+$C6347) - MAX(IF($B$2:$B6346=$B6347, $A$2:$A6346+$C$2:$C6346)), "")*24*60, "")</f>
        <v>0</v>
      </c>
      <c r="J6347" s="24" t="str" cm="1">
        <f t="array" ref="J6347">IFERROR(IF($B6347=J$1, ($A6347+$C6347) - MAX(IF($B$2:$B6346=$B6347, $A$2:$A6346+$C$2:$C6346)), "")*24*60, "")</f>
        <v/>
      </c>
      <c r="K6347" s="24" t="str" cm="1">
        <f t="array" ref="K6347">IFERROR(IF($B6347=K$1, ($A6347+$C6347) - MAX(IF($B$2:$B6346=$B6347, $A$2:$A6346+$C$2:$C6346)), "")*24*60, "")</f>
        <v/>
      </c>
      <c r="L6347" s="24" t="str" cm="1">
        <f t="array" ref="L6347">IFERROR(IF($B6347=L$1, ($A6347+$C6347) - MAX(IF($B$2:$B6346=$B6347, $A$2:$A6346+$C$2:$C6346)), "")*24*60, "")</f>
        <v/>
      </c>
      <c r="M6347" s="24" t="str" cm="1">
        <f t="array" ref="M6347">IFERROR(IF($B6347=M$1, ($A6347+$C6347) - MAX(IF($B$2:$B6346=$B6347, $A$2:$A6346+$C$2:$C6346)), "")*24*60, "")</f>
        <v/>
      </c>
      <c r="N6347" s="24" t="str" cm="1">
        <f t="array" ref="N6347">IFERROR(IF($B6347=N$1, ($A6347+$C6347) - MAX(IF($B$2:$B6346=$B6347, $A$2:$A6346+$C$2:$C6346)), "")*24*60, "")</f>
        <v/>
      </c>
      <c r="O6347" s="24" t="str" cm="1">
        <f t="array" ref="O6347">IFERROR(IF($B6347=O$1, ($A6347+$C6347) - MAX(IF($B$2:$B6346=$B6347, $A$2:$A6346+$C$2:$C6346)), "")*24*60, "")</f>
        <v/>
      </c>
      <c r="P6347" s="24" t="str" cm="1">
        <f t="array" ref="P6347">IFERROR(IF($B6347=P$1, ($A6347+$C6347) - MAX(IF($B$2:$B6346=$B6347, $A$2:$A6346+$C$2:$C6346)), "")*24*60, "")</f>
        <v/>
      </c>
      <c r="Q6347" s="24" t="str" cm="1">
        <f t="array" ref="Q6347">IFERROR(IF($B6347=Q$1, ($A6347+$C6347) - MAX(IF($B$2:$B6346=$B6347, $A$2:$A6346+$C$2:$C6346)), "")*24*60, "")</f>
        <v/>
      </c>
      <c r="R6347" s="24" t="str" cm="1">
        <f t="array" ref="R6347">IFERROR(IF($B6347=R$1, ($A6347+$C6347) - MAX(IF($B$2:$B6346=$B6347, $A$2:$A6346+$C$2:$C6346)), "")*24*60, "")</f>
        <v/>
      </c>
      <c r="S6347" s="24" t="str" cm="1">
        <f t="array" ref="S6347">IFERROR(IF($B6347=S$1, ($A6347+$C6347) - MAX(IF($B$2:$B6346=$B6347, $A$2:$A6346+$C$2:$C6346)), "")*24*60, "")</f>
        <v/>
      </c>
    </row>
    <row r="6348" spans="1:19" x14ac:dyDescent="0.2">
      <c r="A6348" s="12">
        <f t="shared" ref="A6348:C6348" si="1328">A6347</f>
        <v>45988</v>
      </c>
      <c r="B6348" s="5" t="str">
        <f t="shared" si="1328"/>
        <v>Northern Cardinal</v>
      </c>
      <c r="C6348" s="6">
        <f t="shared" si="1328"/>
        <v>0.28472222222222221</v>
      </c>
      <c r="D6348" s="5"/>
      <c r="E6348" s="5"/>
      <c r="F6348" s="5" t="s">
        <v>8</v>
      </c>
      <c r="G6348" s="15" t="s">
        <v>9</v>
      </c>
      <c r="H6348" s="24">
        <f t="shared" si="1278"/>
        <v>0</v>
      </c>
      <c r="I6348" s="24" cm="1">
        <f t="array" ref="I6348">IFERROR(IF($B6348=I$1, ($A6348+$C6348) - MAX(IF($B$2:$B6347=$B6348, $A$2:$A6347+$C$2:$C6347)), "")*24*60, "")</f>
        <v>0</v>
      </c>
      <c r="J6348" s="24" t="str" cm="1">
        <f t="array" ref="J6348">IFERROR(IF($B6348=J$1, ($A6348+$C6348) - MAX(IF($B$2:$B6347=$B6348, $A$2:$A6347+$C$2:$C6347)), "")*24*60, "")</f>
        <v/>
      </c>
      <c r="K6348" s="24" t="str" cm="1">
        <f t="array" ref="K6348">IFERROR(IF($B6348=K$1, ($A6348+$C6348) - MAX(IF($B$2:$B6347=$B6348, $A$2:$A6347+$C$2:$C6347)), "")*24*60, "")</f>
        <v/>
      </c>
      <c r="L6348" s="24" t="str" cm="1">
        <f t="array" ref="L6348">IFERROR(IF($B6348=L$1, ($A6348+$C6348) - MAX(IF($B$2:$B6347=$B6348, $A$2:$A6347+$C$2:$C6347)), "")*24*60, "")</f>
        <v/>
      </c>
      <c r="M6348" s="24" t="str" cm="1">
        <f t="array" ref="M6348">IFERROR(IF($B6348=M$1, ($A6348+$C6348) - MAX(IF($B$2:$B6347=$B6348, $A$2:$A6347+$C$2:$C6347)), "")*24*60, "")</f>
        <v/>
      </c>
      <c r="N6348" s="24" t="str" cm="1">
        <f t="array" ref="N6348">IFERROR(IF($B6348=N$1, ($A6348+$C6348) - MAX(IF($B$2:$B6347=$B6348, $A$2:$A6347+$C$2:$C6347)), "")*24*60, "")</f>
        <v/>
      </c>
      <c r="O6348" s="24" t="str" cm="1">
        <f t="array" ref="O6348">IFERROR(IF($B6348=O$1, ($A6348+$C6348) - MAX(IF($B$2:$B6347=$B6348, $A$2:$A6347+$C$2:$C6347)), "")*24*60, "")</f>
        <v/>
      </c>
      <c r="P6348" s="24" t="str" cm="1">
        <f t="array" ref="P6348">IFERROR(IF($B6348=P$1, ($A6348+$C6348) - MAX(IF($B$2:$B6347=$B6348, $A$2:$A6347+$C$2:$C6347)), "")*24*60, "")</f>
        <v/>
      </c>
      <c r="Q6348" s="24" t="str" cm="1">
        <f t="array" ref="Q6348">IFERROR(IF($B6348=Q$1, ($A6348+$C6348) - MAX(IF($B$2:$B6347=$B6348, $A$2:$A6347+$C$2:$C6347)), "")*24*60, "")</f>
        <v/>
      </c>
      <c r="R6348" s="24" t="str" cm="1">
        <f t="array" ref="R6348">IFERROR(IF($B6348=R$1, ($A6348+$C6348) - MAX(IF($B$2:$B6347=$B6348, $A$2:$A6347+$C$2:$C6347)), "")*24*60, "")</f>
        <v/>
      </c>
      <c r="S6348" s="24" t="str" cm="1">
        <f t="array" ref="S6348">IFERROR(IF($B6348=S$1, ($A6348+$C6348) - MAX(IF($B$2:$B6347=$B6348, $A$2:$A6347+$C$2:$C6347)), "")*24*60, "")</f>
        <v/>
      </c>
    </row>
    <row r="6349" spans="1:19" x14ac:dyDescent="0.2">
      <c r="A6349" s="12">
        <f t="shared" ref="A6349:C6349" si="1329">A6348</f>
        <v>45988</v>
      </c>
      <c r="B6349" s="5" t="str">
        <f t="shared" si="1329"/>
        <v>Northern Cardinal</v>
      </c>
      <c r="C6349" s="6">
        <f t="shared" si="1329"/>
        <v>0.28472222222222221</v>
      </c>
      <c r="D6349" s="5"/>
      <c r="E6349" s="5"/>
      <c r="F6349" s="5" t="s">
        <v>8</v>
      </c>
      <c r="G6349" s="15" t="s">
        <v>9</v>
      </c>
      <c r="H6349" s="24">
        <f t="shared" si="1278"/>
        <v>0</v>
      </c>
      <c r="I6349" s="24" cm="1">
        <f t="array" ref="I6349">IFERROR(IF($B6349=I$1, ($A6349+$C6349) - MAX(IF($B$2:$B6348=$B6349, $A$2:$A6348+$C$2:$C6348)), "")*24*60, "")</f>
        <v>0</v>
      </c>
      <c r="J6349" s="24" t="str" cm="1">
        <f t="array" ref="J6349">IFERROR(IF($B6349=J$1, ($A6349+$C6349) - MAX(IF($B$2:$B6348=$B6349, $A$2:$A6348+$C$2:$C6348)), "")*24*60, "")</f>
        <v/>
      </c>
      <c r="K6349" s="24" t="str" cm="1">
        <f t="array" ref="K6349">IFERROR(IF($B6349=K$1, ($A6349+$C6349) - MAX(IF($B$2:$B6348=$B6349, $A$2:$A6348+$C$2:$C6348)), "")*24*60, "")</f>
        <v/>
      </c>
      <c r="L6349" s="24" t="str" cm="1">
        <f t="array" ref="L6349">IFERROR(IF($B6349=L$1, ($A6349+$C6349) - MAX(IF($B$2:$B6348=$B6349, $A$2:$A6348+$C$2:$C6348)), "")*24*60, "")</f>
        <v/>
      </c>
      <c r="M6349" s="24" t="str" cm="1">
        <f t="array" ref="M6349">IFERROR(IF($B6349=M$1, ($A6349+$C6349) - MAX(IF($B$2:$B6348=$B6349, $A$2:$A6348+$C$2:$C6348)), "")*24*60, "")</f>
        <v/>
      </c>
      <c r="N6349" s="24" t="str" cm="1">
        <f t="array" ref="N6349">IFERROR(IF($B6349=N$1, ($A6349+$C6349) - MAX(IF($B$2:$B6348=$B6349, $A$2:$A6348+$C$2:$C6348)), "")*24*60, "")</f>
        <v/>
      </c>
      <c r="O6349" s="24" t="str" cm="1">
        <f t="array" ref="O6349">IFERROR(IF($B6349=O$1, ($A6349+$C6349) - MAX(IF($B$2:$B6348=$B6349, $A$2:$A6348+$C$2:$C6348)), "")*24*60, "")</f>
        <v/>
      </c>
      <c r="P6349" s="24" t="str" cm="1">
        <f t="array" ref="P6349">IFERROR(IF($B6349=P$1, ($A6349+$C6349) - MAX(IF($B$2:$B6348=$B6349, $A$2:$A6348+$C$2:$C6348)), "")*24*60, "")</f>
        <v/>
      </c>
      <c r="Q6349" s="24" t="str" cm="1">
        <f t="array" ref="Q6349">IFERROR(IF($B6349=Q$1, ($A6349+$C6349) - MAX(IF($B$2:$B6348=$B6349, $A$2:$A6348+$C$2:$C6348)), "")*24*60, "")</f>
        <v/>
      </c>
      <c r="R6349" s="24" t="str" cm="1">
        <f t="array" ref="R6349">IFERROR(IF($B6349=R$1, ($A6349+$C6349) - MAX(IF($B$2:$B6348=$B6349, $A$2:$A6348+$C$2:$C6348)), "")*24*60, "")</f>
        <v/>
      </c>
      <c r="S6349" s="24" t="str" cm="1">
        <f t="array" ref="S6349">IFERROR(IF($B6349=S$1, ($A6349+$C6349) - MAX(IF($B$2:$B6348=$B6349, $A$2:$A6348+$C$2:$C6348)), "")*24*60, "")</f>
        <v/>
      </c>
    </row>
    <row r="6350" spans="1:19" x14ac:dyDescent="0.2">
      <c r="A6350" s="12">
        <f t="shared" ref="A6350:C6350" si="1330">A6349</f>
        <v>45988</v>
      </c>
      <c r="B6350" s="5" t="str">
        <f t="shared" si="1330"/>
        <v>Northern Cardinal</v>
      </c>
      <c r="C6350" s="6">
        <f t="shared" si="1330"/>
        <v>0.28472222222222221</v>
      </c>
      <c r="D6350" s="5"/>
      <c r="E6350" s="5"/>
      <c r="F6350" s="5" t="s">
        <v>8</v>
      </c>
      <c r="G6350" s="15" t="s">
        <v>9</v>
      </c>
      <c r="H6350" s="24">
        <f t="shared" si="1278"/>
        <v>0</v>
      </c>
      <c r="I6350" s="24" cm="1">
        <f t="array" ref="I6350">IFERROR(IF($B6350=I$1, ($A6350+$C6350) - MAX(IF($B$2:$B6349=$B6350, $A$2:$A6349+$C$2:$C6349)), "")*24*60, "")</f>
        <v>0</v>
      </c>
      <c r="J6350" s="24" t="str" cm="1">
        <f t="array" ref="J6350">IFERROR(IF($B6350=J$1, ($A6350+$C6350) - MAX(IF($B$2:$B6349=$B6350, $A$2:$A6349+$C$2:$C6349)), "")*24*60, "")</f>
        <v/>
      </c>
      <c r="K6350" s="24" t="str" cm="1">
        <f t="array" ref="K6350">IFERROR(IF($B6350=K$1, ($A6350+$C6350) - MAX(IF($B$2:$B6349=$B6350, $A$2:$A6349+$C$2:$C6349)), "")*24*60, "")</f>
        <v/>
      </c>
      <c r="L6350" s="24" t="str" cm="1">
        <f t="array" ref="L6350">IFERROR(IF($B6350=L$1, ($A6350+$C6350) - MAX(IF($B$2:$B6349=$B6350, $A$2:$A6349+$C$2:$C6349)), "")*24*60, "")</f>
        <v/>
      </c>
      <c r="M6350" s="24" t="str" cm="1">
        <f t="array" ref="M6350">IFERROR(IF($B6350=M$1, ($A6350+$C6350) - MAX(IF($B$2:$B6349=$B6350, $A$2:$A6349+$C$2:$C6349)), "")*24*60, "")</f>
        <v/>
      </c>
      <c r="N6350" s="24" t="str" cm="1">
        <f t="array" ref="N6350">IFERROR(IF($B6350=N$1, ($A6350+$C6350) - MAX(IF($B$2:$B6349=$B6350, $A$2:$A6349+$C$2:$C6349)), "")*24*60, "")</f>
        <v/>
      </c>
      <c r="O6350" s="24" t="str" cm="1">
        <f t="array" ref="O6350">IFERROR(IF($B6350=O$1, ($A6350+$C6350) - MAX(IF($B$2:$B6349=$B6350, $A$2:$A6349+$C$2:$C6349)), "")*24*60, "")</f>
        <v/>
      </c>
      <c r="P6350" s="24" t="str" cm="1">
        <f t="array" ref="P6350">IFERROR(IF($B6350=P$1, ($A6350+$C6350) - MAX(IF($B$2:$B6349=$B6350, $A$2:$A6349+$C$2:$C6349)), "")*24*60, "")</f>
        <v/>
      </c>
      <c r="Q6350" s="24" t="str" cm="1">
        <f t="array" ref="Q6350">IFERROR(IF($B6350=Q$1, ($A6350+$C6350) - MAX(IF($B$2:$B6349=$B6350, $A$2:$A6349+$C$2:$C6349)), "")*24*60, "")</f>
        <v/>
      </c>
      <c r="R6350" s="24" t="str" cm="1">
        <f t="array" ref="R6350">IFERROR(IF($B6350=R$1, ($A6350+$C6350) - MAX(IF($B$2:$B6349=$B6350, $A$2:$A6349+$C$2:$C6349)), "")*24*60, "")</f>
        <v/>
      </c>
      <c r="S6350" s="24" t="str" cm="1">
        <f t="array" ref="S6350">IFERROR(IF($B6350=S$1, ($A6350+$C6350) - MAX(IF($B$2:$B6349=$B6350, $A$2:$A6349+$C$2:$C6349)), "")*24*60, "")</f>
        <v/>
      </c>
    </row>
    <row r="6351" spans="1:19" x14ac:dyDescent="0.2">
      <c r="A6351" s="12">
        <f t="shared" ref="A6351:C6351" si="1331">A6350</f>
        <v>45988</v>
      </c>
      <c r="B6351" s="5" t="str">
        <f t="shared" si="1331"/>
        <v>Northern Cardinal</v>
      </c>
      <c r="C6351" s="6">
        <f t="shared" si="1331"/>
        <v>0.28472222222222221</v>
      </c>
      <c r="D6351" s="5"/>
      <c r="E6351" s="5"/>
      <c r="F6351" s="5" t="s">
        <v>8</v>
      </c>
      <c r="G6351" s="15" t="s">
        <v>9</v>
      </c>
      <c r="H6351" s="24">
        <f t="shared" si="1278"/>
        <v>0</v>
      </c>
      <c r="I6351" s="24" cm="1">
        <f t="array" ref="I6351">IFERROR(IF($B6351=I$1, ($A6351+$C6351) - MAX(IF($B$2:$B6350=$B6351, $A$2:$A6350+$C$2:$C6350)), "")*24*60, "")</f>
        <v>0</v>
      </c>
      <c r="J6351" s="24" t="str" cm="1">
        <f t="array" ref="J6351">IFERROR(IF($B6351=J$1, ($A6351+$C6351) - MAX(IF($B$2:$B6350=$B6351, $A$2:$A6350+$C$2:$C6350)), "")*24*60, "")</f>
        <v/>
      </c>
      <c r="K6351" s="24" t="str" cm="1">
        <f t="array" ref="K6351">IFERROR(IF($B6351=K$1, ($A6351+$C6351) - MAX(IF($B$2:$B6350=$B6351, $A$2:$A6350+$C$2:$C6350)), "")*24*60, "")</f>
        <v/>
      </c>
      <c r="L6351" s="24" t="str" cm="1">
        <f t="array" ref="L6351">IFERROR(IF($B6351=L$1, ($A6351+$C6351) - MAX(IF($B$2:$B6350=$B6351, $A$2:$A6350+$C$2:$C6350)), "")*24*60, "")</f>
        <v/>
      </c>
      <c r="M6351" s="24" t="str" cm="1">
        <f t="array" ref="M6351">IFERROR(IF($B6351=M$1, ($A6351+$C6351) - MAX(IF($B$2:$B6350=$B6351, $A$2:$A6350+$C$2:$C6350)), "")*24*60, "")</f>
        <v/>
      </c>
      <c r="N6351" s="24" t="str" cm="1">
        <f t="array" ref="N6351">IFERROR(IF($B6351=N$1, ($A6351+$C6351) - MAX(IF($B$2:$B6350=$B6351, $A$2:$A6350+$C$2:$C6350)), "")*24*60, "")</f>
        <v/>
      </c>
      <c r="O6351" s="24" t="str" cm="1">
        <f t="array" ref="O6351">IFERROR(IF($B6351=O$1, ($A6351+$C6351) - MAX(IF($B$2:$B6350=$B6351, $A$2:$A6350+$C$2:$C6350)), "")*24*60, "")</f>
        <v/>
      </c>
      <c r="P6351" s="24" t="str" cm="1">
        <f t="array" ref="P6351">IFERROR(IF($B6351=P$1, ($A6351+$C6351) - MAX(IF($B$2:$B6350=$B6351, $A$2:$A6350+$C$2:$C6350)), "")*24*60, "")</f>
        <v/>
      </c>
      <c r="Q6351" s="24" t="str" cm="1">
        <f t="array" ref="Q6351">IFERROR(IF($B6351=Q$1, ($A6351+$C6351) - MAX(IF($B$2:$B6350=$B6351, $A$2:$A6350+$C$2:$C6350)), "")*24*60, "")</f>
        <v/>
      </c>
      <c r="R6351" s="24" t="str" cm="1">
        <f t="array" ref="R6351">IFERROR(IF($B6351=R$1, ($A6351+$C6351) - MAX(IF($B$2:$B6350=$B6351, $A$2:$A6350+$C$2:$C6350)), "")*24*60, "")</f>
        <v/>
      </c>
      <c r="S6351" s="24" t="str" cm="1">
        <f t="array" ref="S6351">IFERROR(IF($B6351=S$1, ($A6351+$C6351) - MAX(IF($B$2:$B6350=$B6351, $A$2:$A6350+$C$2:$C6350)), "")*24*60, "")</f>
        <v/>
      </c>
    </row>
    <row r="6352" spans="1:19" x14ac:dyDescent="0.2">
      <c r="A6352" s="12">
        <f t="shared" ref="A6352:C6352" si="1332">A6351</f>
        <v>45988</v>
      </c>
      <c r="B6352" s="5" t="str">
        <f t="shared" si="1332"/>
        <v>Northern Cardinal</v>
      </c>
      <c r="C6352" s="6">
        <f t="shared" si="1332"/>
        <v>0.28472222222222221</v>
      </c>
      <c r="D6352" s="5"/>
      <c r="E6352" s="5"/>
      <c r="F6352" s="5" t="s">
        <v>8</v>
      </c>
      <c r="G6352" s="15" t="s">
        <v>9</v>
      </c>
      <c r="H6352" s="24">
        <f t="shared" si="1278"/>
        <v>0</v>
      </c>
      <c r="I6352" s="24" cm="1">
        <f t="array" ref="I6352">IFERROR(IF($B6352=I$1, ($A6352+$C6352) - MAX(IF($B$2:$B6351=$B6352, $A$2:$A6351+$C$2:$C6351)), "")*24*60, "")</f>
        <v>0</v>
      </c>
      <c r="J6352" s="24" t="str" cm="1">
        <f t="array" ref="J6352">IFERROR(IF($B6352=J$1, ($A6352+$C6352) - MAX(IF($B$2:$B6351=$B6352, $A$2:$A6351+$C$2:$C6351)), "")*24*60, "")</f>
        <v/>
      </c>
      <c r="K6352" s="24" t="str" cm="1">
        <f t="array" ref="K6352">IFERROR(IF($B6352=K$1, ($A6352+$C6352) - MAX(IF($B$2:$B6351=$B6352, $A$2:$A6351+$C$2:$C6351)), "")*24*60, "")</f>
        <v/>
      </c>
      <c r="L6352" s="24" t="str" cm="1">
        <f t="array" ref="L6352">IFERROR(IF($B6352=L$1, ($A6352+$C6352) - MAX(IF($B$2:$B6351=$B6352, $A$2:$A6351+$C$2:$C6351)), "")*24*60, "")</f>
        <v/>
      </c>
      <c r="M6352" s="24" t="str" cm="1">
        <f t="array" ref="M6352">IFERROR(IF($B6352=M$1, ($A6352+$C6352) - MAX(IF($B$2:$B6351=$B6352, $A$2:$A6351+$C$2:$C6351)), "")*24*60, "")</f>
        <v/>
      </c>
      <c r="N6352" s="24" t="str" cm="1">
        <f t="array" ref="N6352">IFERROR(IF($B6352=N$1, ($A6352+$C6352) - MAX(IF($B$2:$B6351=$B6352, $A$2:$A6351+$C$2:$C6351)), "")*24*60, "")</f>
        <v/>
      </c>
      <c r="O6352" s="24" t="str" cm="1">
        <f t="array" ref="O6352">IFERROR(IF($B6352=O$1, ($A6352+$C6352) - MAX(IF($B$2:$B6351=$B6352, $A$2:$A6351+$C$2:$C6351)), "")*24*60, "")</f>
        <v/>
      </c>
      <c r="P6352" s="24" t="str" cm="1">
        <f t="array" ref="P6352">IFERROR(IF($B6352=P$1, ($A6352+$C6352) - MAX(IF($B$2:$B6351=$B6352, $A$2:$A6351+$C$2:$C6351)), "")*24*60, "")</f>
        <v/>
      </c>
      <c r="Q6352" s="24" t="str" cm="1">
        <f t="array" ref="Q6352">IFERROR(IF($B6352=Q$1, ($A6352+$C6352) - MAX(IF($B$2:$B6351=$B6352, $A$2:$A6351+$C$2:$C6351)), "")*24*60, "")</f>
        <v/>
      </c>
      <c r="R6352" s="24" t="str" cm="1">
        <f t="array" ref="R6352">IFERROR(IF($B6352=R$1, ($A6352+$C6352) - MAX(IF($B$2:$B6351=$B6352, $A$2:$A6351+$C$2:$C6351)), "")*24*60, "")</f>
        <v/>
      </c>
      <c r="S6352" s="24" t="str" cm="1">
        <f t="array" ref="S6352">IFERROR(IF($B6352=S$1, ($A6352+$C6352) - MAX(IF($B$2:$B6351=$B6352, $A$2:$A6351+$C$2:$C6351)), "")*24*60, "")</f>
        <v/>
      </c>
    </row>
    <row r="6353" spans="1:19" x14ac:dyDescent="0.2">
      <c r="A6353" s="12">
        <f t="shared" ref="A6353:C6353" si="1333">A6352</f>
        <v>45988</v>
      </c>
      <c r="B6353" s="5" t="str">
        <f t="shared" si="1333"/>
        <v>Northern Cardinal</v>
      </c>
      <c r="C6353" s="6">
        <f t="shared" si="1333"/>
        <v>0.28472222222222221</v>
      </c>
      <c r="D6353" s="5"/>
      <c r="E6353" s="5"/>
      <c r="F6353" s="5" t="s">
        <v>8</v>
      </c>
      <c r="G6353" s="15" t="s">
        <v>9</v>
      </c>
      <c r="H6353" s="24">
        <f t="shared" si="1278"/>
        <v>0</v>
      </c>
      <c r="I6353" s="24" cm="1">
        <f t="array" ref="I6353">IFERROR(IF($B6353=I$1, ($A6353+$C6353) - MAX(IF($B$2:$B6352=$B6353, $A$2:$A6352+$C$2:$C6352)), "")*24*60, "")</f>
        <v>0</v>
      </c>
      <c r="J6353" s="24" t="str" cm="1">
        <f t="array" ref="J6353">IFERROR(IF($B6353=J$1, ($A6353+$C6353) - MAX(IF($B$2:$B6352=$B6353, $A$2:$A6352+$C$2:$C6352)), "")*24*60, "")</f>
        <v/>
      </c>
      <c r="K6353" s="24" t="str" cm="1">
        <f t="array" ref="K6353">IFERROR(IF($B6353=K$1, ($A6353+$C6353) - MAX(IF($B$2:$B6352=$B6353, $A$2:$A6352+$C$2:$C6352)), "")*24*60, "")</f>
        <v/>
      </c>
      <c r="L6353" s="24" t="str" cm="1">
        <f t="array" ref="L6353">IFERROR(IF($B6353=L$1, ($A6353+$C6353) - MAX(IF($B$2:$B6352=$B6353, $A$2:$A6352+$C$2:$C6352)), "")*24*60, "")</f>
        <v/>
      </c>
      <c r="M6353" s="24" t="str" cm="1">
        <f t="array" ref="M6353">IFERROR(IF($B6353=M$1, ($A6353+$C6353) - MAX(IF($B$2:$B6352=$B6353, $A$2:$A6352+$C$2:$C6352)), "")*24*60, "")</f>
        <v/>
      </c>
      <c r="N6353" s="24" t="str" cm="1">
        <f t="array" ref="N6353">IFERROR(IF($B6353=N$1, ($A6353+$C6353) - MAX(IF($B$2:$B6352=$B6353, $A$2:$A6352+$C$2:$C6352)), "")*24*60, "")</f>
        <v/>
      </c>
      <c r="O6353" s="24" t="str" cm="1">
        <f t="array" ref="O6353">IFERROR(IF($B6353=O$1, ($A6353+$C6353) - MAX(IF($B$2:$B6352=$B6353, $A$2:$A6352+$C$2:$C6352)), "")*24*60, "")</f>
        <v/>
      </c>
      <c r="P6353" s="24" t="str" cm="1">
        <f t="array" ref="P6353">IFERROR(IF($B6353=P$1, ($A6353+$C6353) - MAX(IF($B$2:$B6352=$B6353, $A$2:$A6352+$C$2:$C6352)), "")*24*60, "")</f>
        <v/>
      </c>
      <c r="Q6353" s="24" t="str" cm="1">
        <f t="array" ref="Q6353">IFERROR(IF($B6353=Q$1, ($A6353+$C6353) - MAX(IF($B$2:$B6352=$B6353, $A$2:$A6352+$C$2:$C6352)), "")*24*60, "")</f>
        <v/>
      </c>
      <c r="R6353" s="24" t="str" cm="1">
        <f t="array" ref="R6353">IFERROR(IF($B6353=R$1, ($A6353+$C6353) - MAX(IF($B$2:$B6352=$B6353, $A$2:$A6352+$C$2:$C6352)), "")*24*60, "")</f>
        <v/>
      </c>
      <c r="S6353" s="24" t="str" cm="1">
        <f t="array" ref="S6353">IFERROR(IF($B6353=S$1, ($A6353+$C6353) - MAX(IF($B$2:$B6352=$B6353, $A$2:$A6352+$C$2:$C6352)), "")*24*60, "")</f>
        <v/>
      </c>
    </row>
    <row r="6354" spans="1:19" x14ac:dyDescent="0.2">
      <c r="A6354" s="12">
        <f t="shared" ref="A6354:C6354" si="1334">A6353</f>
        <v>45988</v>
      </c>
      <c r="B6354" s="5" t="str">
        <f t="shared" si="1334"/>
        <v>Northern Cardinal</v>
      </c>
      <c r="C6354" s="6">
        <f t="shared" si="1334"/>
        <v>0.28472222222222221</v>
      </c>
      <c r="D6354" s="5"/>
      <c r="E6354" s="5"/>
      <c r="F6354" s="5" t="s">
        <v>8</v>
      </c>
      <c r="G6354" s="15" t="s">
        <v>9</v>
      </c>
      <c r="H6354" s="24">
        <f t="shared" si="1278"/>
        <v>0</v>
      </c>
      <c r="I6354" s="24" cm="1">
        <f t="array" ref="I6354">IFERROR(IF($B6354=I$1, ($A6354+$C6354) - MAX(IF($B$2:$B6353=$B6354, $A$2:$A6353+$C$2:$C6353)), "")*24*60, "")</f>
        <v>0</v>
      </c>
      <c r="J6354" s="24" t="str" cm="1">
        <f t="array" ref="J6354">IFERROR(IF($B6354=J$1, ($A6354+$C6354) - MAX(IF($B$2:$B6353=$B6354, $A$2:$A6353+$C$2:$C6353)), "")*24*60, "")</f>
        <v/>
      </c>
      <c r="K6354" s="24" t="str" cm="1">
        <f t="array" ref="K6354">IFERROR(IF($B6354=K$1, ($A6354+$C6354) - MAX(IF($B$2:$B6353=$B6354, $A$2:$A6353+$C$2:$C6353)), "")*24*60, "")</f>
        <v/>
      </c>
      <c r="L6354" s="24" t="str" cm="1">
        <f t="array" ref="L6354">IFERROR(IF($B6354=L$1, ($A6354+$C6354) - MAX(IF($B$2:$B6353=$B6354, $A$2:$A6353+$C$2:$C6353)), "")*24*60, "")</f>
        <v/>
      </c>
      <c r="M6354" s="24" t="str" cm="1">
        <f t="array" ref="M6354">IFERROR(IF($B6354=M$1, ($A6354+$C6354) - MAX(IF($B$2:$B6353=$B6354, $A$2:$A6353+$C$2:$C6353)), "")*24*60, "")</f>
        <v/>
      </c>
      <c r="N6354" s="24" t="str" cm="1">
        <f t="array" ref="N6354">IFERROR(IF($B6354=N$1, ($A6354+$C6354) - MAX(IF($B$2:$B6353=$B6354, $A$2:$A6353+$C$2:$C6353)), "")*24*60, "")</f>
        <v/>
      </c>
      <c r="O6354" s="24" t="str" cm="1">
        <f t="array" ref="O6354">IFERROR(IF($B6354=O$1, ($A6354+$C6354) - MAX(IF($B$2:$B6353=$B6354, $A$2:$A6353+$C$2:$C6353)), "")*24*60, "")</f>
        <v/>
      </c>
      <c r="P6354" s="24" t="str" cm="1">
        <f t="array" ref="P6354">IFERROR(IF($B6354=P$1, ($A6354+$C6354) - MAX(IF($B$2:$B6353=$B6354, $A$2:$A6353+$C$2:$C6353)), "")*24*60, "")</f>
        <v/>
      </c>
      <c r="Q6354" s="24" t="str" cm="1">
        <f t="array" ref="Q6354">IFERROR(IF($B6354=Q$1, ($A6354+$C6354) - MAX(IF($B$2:$B6353=$B6354, $A$2:$A6353+$C$2:$C6353)), "")*24*60, "")</f>
        <v/>
      </c>
      <c r="R6354" s="24" t="str" cm="1">
        <f t="array" ref="R6354">IFERROR(IF($B6354=R$1, ($A6354+$C6354) - MAX(IF($B$2:$B6353=$B6354, $A$2:$A6353+$C$2:$C6353)), "")*24*60, "")</f>
        <v/>
      </c>
      <c r="S6354" s="24" t="str" cm="1">
        <f t="array" ref="S6354">IFERROR(IF($B6354=S$1, ($A6354+$C6354) - MAX(IF($B$2:$B6353=$B6354, $A$2:$A6353+$C$2:$C6353)), "")*24*60, "")</f>
        <v/>
      </c>
    </row>
    <row r="6355" spans="1:19" x14ac:dyDescent="0.2">
      <c r="A6355" s="12">
        <f t="shared" ref="A6355:C6355" si="1335">A6354</f>
        <v>45988</v>
      </c>
      <c r="B6355" s="5" t="str">
        <f t="shared" si="1335"/>
        <v>Northern Cardinal</v>
      </c>
      <c r="C6355" s="6">
        <f t="shared" si="1335"/>
        <v>0.28472222222222221</v>
      </c>
      <c r="D6355" s="5"/>
      <c r="E6355" s="5"/>
      <c r="F6355" s="5" t="s">
        <v>8</v>
      </c>
      <c r="G6355" s="15" t="s">
        <v>9</v>
      </c>
      <c r="H6355" s="24">
        <f t="shared" si="1278"/>
        <v>0</v>
      </c>
      <c r="I6355" s="24" cm="1">
        <f t="array" ref="I6355">IFERROR(IF($B6355=I$1, ($A6355+$C6355) - MAX(IF($B$2:$B6354=$B6355, $A$2:$A6354+$C$2:$C6354)), "")*24*60, "")</f>
        <v>0</v>
      </c>
      <c r="J6355" s="24" t="str" cm="1">
        <f t="array" ref="J6355">IFERROR(IF($B6355=J$1, ($A6355+$C6355) - MAX(IF($B$2:$B6354=$B6355, $A$2:$A6354+$C$2:$C6354)), "")*24*60, "")</f>
        <v/>
      </c>
      <c r="K6355" s="24" t="str" cm="1">
        <f t="array" ref="K6355">IFERROR(IF($B6355=K$1, ($A6355+$C6355) - MAX(IF($B$2:$B6354=$B6355, $A$2:$A6354+$C$2:$C6354)), "")*24*60, "")</f>
        <v/>
      </c>
      <c r="L6355" s="24" t="str" cm="1">
        <f t="array" ref="L6355">IFERROR(IF($B6355=L$1, ($A6355+$C6355) - MAX(IF($B$2:$B6354=$B6355, $A$2:$A6354+$C$2:$C6354)), "")*24*60, "")</f>
        <v/>
      </c>
      <c r="M6355" s="24" t="str" cm="1">
        <f t="array" ref="M6355">IFERROR(IF($B6355=M$1, ($A6355+$C6355) - MAX(IF($B$2:$B6354=$B6355, $A$2:$A6354+$C$2:$C6354)), "")*24*60, "")</f>
        <v/>
      </c>
      <c r="N6355" s="24" t="str" cm="1">
        <f t="array" ref="N6355">IFERROR(IF($B6355=N$1, ($A6355+$C6355) - MAX(IF($B$2:$B6354=$B6355, $A$2:$A6354+$C$2:$C6354)), "")*24*60, "")</f>
        <v/>
      </c>
      <c r="O6355" s="24" t="str" cm="1">
        <f t="array" ref="O6355">IFERROR(IF($B6355=O$1, ($A6355+$C6355) - MAX(IF($B$2:$B6354=$B6355, $A$2:$A6354+$C$2:$C6354)), "")*24*60, "")</f>
        <v/>
      </c>
      <c r="P6355" s="24" t="str" cm="1">
        <f t="array" ref="P6355">IFERROR(IF($B6355=P$1, ($A6355+$C6355) - MAX(IF($B$2:$B6354=$B6355, $A$2:$A6354+$C$2:$C6354)), "")*24*60, "")</f>
        <v/>
      </c>
      <c r="Q6355" s="24" t="str" cm="1">
        <f t="array" ref="Q6355">IFERROR(IF($B6355=Q$1, ($A6355+$C6355) - MAX(IF($B$2:$B6354=$B6355, $A$2:$A6354+$C$2:$C6354)), "")*24*60, "")</f>
        <v/>
      </c>
      <c r="R6355" s="24" t="str" cm="1">
        <f t="array" ref="R6355">IFERROR(IF($B6355=R$1, ($A6355+$C6355) - MAX(IF($B$2:$B6354=$B6355, $A$2:$A6354+$C$2:$C6354)), "")*24*60, "")</f>
        <v/>
      </c>
      <c r="S6355" s="24" t="str" cm="1">
        <f t="array" ref="S6355">IFERROR(IF($B6355=S$1, ($A6355+$C6355) - MAX(IF($B$2:$B6354=$B6355, $A$2:$A6354+$C$2:$C6354)), "")*24*60, "")</f>
        <v/>
      </c>
    </row>
    <row r="6356" spans="1:19" x14ac:dyDescent="0.2">
      <c r="A6356" s="12">
        <f t="shared" ref="A6356:C6356" si="1336">A6355</f>
        <v>45988</v>
      </c>
      <c r="B6356" s="5" t="str">
        <f t="shared" si="1336"/>
        <v>Northern Cardinal</v>
      </c>
      <c r="C6356" s="6">
        <f t="shared" si="1336"/>
        <v>0.28472222222222221</v>
      </c>
      <c r="D6356" s="5"/>
      <c r="E6356" s="5"/>
      <c r="F6356" s="5" t="s">
        <v>8</v>
      </c>
      <c r="G6356" s="15" t="s">
        <v>9</v>
      </c>
      <c r="H6356" s="24">
        <f t="shared" si="1278"/>
        <v>0</v>
      </c>
      <c r="I6356" s="24" cm="1">
        <f t="array" ref="I6356">IFERROR(IF($B6356=I$1, ($A6356+$C6356) - MAX(IF($B$2:$B6355=$B6356, $A$2:$A6355+$C$2:$C6355)), "")*24*60, "")</f>
        <v>0</v>
      </c>
      <c r="J6356" s="24" t="str" cm="1">
        <f t="array" ref="J6356">IFERROR(IF($B6356=J$1, ($A6356+$C6356) - MAX(IF($B$2:$B6355=$B6356, $A$2:$A6355+$C$2:$C6355)), "")*24*60, "")</f>
        <v/>
      </c>
      <c r="K6356" s="24" t="str" cm="1">
        <f t="array" ref="K6356">IFERROR(IF($B6356=K$1, ($A6356+$C6356) - MAX(IF($B$2:$B6355=$B6356, $A$2:$A6355+$C$2:$C6355)), "")*24*60, "")</f>
        <v/>
      </c>
      <c r="L6356" s="24" t="str" cm="1">
        <f t="array" ref="L6356">IFERROR(IF($B6356=L$1, ($A6356+$C6356) - MAX(IF($B$2:$B6355=$B6356, $A$2:$A6355+$C$2:$C6355)), "")*24*60, "")</f>
        <v/>
      </c>
      <c r="M6356" s="24" t="str" cm="1">
        <f t="array" ref="M6356">IFERROR(IF($B6356=M$1, ($A6356+$C6356) - MAX(IF($B$2:$B6355=$B6356, $A$2:$A6355+$C$2:$C6355)), "")*24*60, "")</f>
        <v/>
      </c>
      <c r="N6356" s="24" t="str" cm="1">
        <f t="array" ref="N6356">IFERROR(IF($B6356=N$1, ($A6356+$C6356) - MAX(IF($B$2:$B6355=$B6356, $A$2:$A6355+$C$2:$C6355)), "")*24*60, "")</f>
        <v/>
      </c>
      <c r="O6356" s="24" t="str" cm="1">
        <f t="array" ref="O6356">IFERROR(IF($B6356=O$1, ($A6356+$C6356) - MAX(IF($B$2:$B6355=$B6356, $A$2:$A6355+$C$2:$C6355)), "")*24*60, "")</f>
        <v/>
      </c>
      <c r="P6356" s="24" t="str" cm="1">
        <f t="array" ref="P6356">IFERROR(IF($B6356=P$1, ($A6356+$C6356) - MAX(IF($B$2:$B6355=$B6356, $A$2:$A6355+$C$2:$C6355)), "")*24*60, "")</f>
        <v/>
      </c>
      <c r="Q6356" s="24" t="str" cm="1">
        <f t="array" ref="Q6356">IFERROR(IF($B6356=Q$1, ($A6356+$C6356) - MAX(IF($B$2:$B6355=$B6356, $A$2:$A6355+$C$2:$C6355)), "")*24*60, "")</f>
        <v/>
      </c>
      <c r="R6356" s="24" t="str" cm="1">
        <f t="array" ref="R6356">IFERROR(IF($B6356=R$1, ($A6356+$C6356) - MAX(IF($B$2:$B6355=$B6356, $A$2:$A6355+$C$2:$C6355)), "")*24*60, "")</f>
        <v/>
      </c>
      <c r="S6356" s="24" t="str" cm="1">
        <f t="array" ref="S6356">IFERROR(IF($B6356=S$1, ($A6356+$C6356) - MAX(IF($B$2:$B6355=$B6356, $A$2:$A6355+$C$2:$C6355)), "")*24*60, "")</f>
        <v/>
      </c>
    </row>
    <row r="6357" spans="1:19" x14ac:dyDescent="0.2">
      <c r="A6357" s="12">
        <f t="shared" ref="A6357:C6357" si="1337">A6356</f>
        <v>45988</v>
      </c>
      <c r="B6357" s="5" t="str">
        <f t="shared" si="1337"/>
        <v>Northern Cardinal</v>
      </c>
      <c r="C6357" s="6">
        <f t="shared" si="1337"/>
        <v>0.28472222222222221</v>
      </c>
      <c r="D6357" s="5"/>
      <c r="E6357" s="5"/>
      <c r="F6357" s="5" t="s">
        <v>8</v>
      </c>
      <c r="G6357" s="15" t="s">
        <v>9</v>
      </c>
      <c r="H6357" s="24">
        <f t="shared" si="1278"/>
        <v>0</v>
      </c>
      <c r="I6357" s="24" cm="1">
        <f t="array" ref="I6357">IFERROR(IF($B6357=I$1, ($A6357+$C6357) - MAX(IF($B$2:$B6356=$B6357, $A$2:$A6356+$C$2:$C6356)), "")*24*60, "")</f>
        <v>0</v>
      </c>
      <c r="J6357" s="24" t="str" cm="1">
        <f t="array" ref="J6357">IFERROR(IF($B6357=J$1, ($A6357+$C6357) - MAX(IF($B$2:$B6356=$B6357, $A$2:$A6356+$C$2:$C6356)), "")*24*60, "")</f>
        <v/>
      </c>
      <c r="K6357" s="24" t="str" cm="1">
        <f t="array" ref="K6357">IFERROR(IF($B6357=K$1, ($A6357+$C6357) - MAX(IF($B$2:$B6356=$B6357, $A$2:$A6356+$C$2:$C6356)), "")*24*60, "")</f>
        <v/>
      </c>
      <c r="L6357" s="24" t="str" cm="1">
        <f t="array" ref="L6357">IFERROR(IF($B6357=L$1, ($A6357+$C6357) - MAX(IF($B$2:$B6356=$B6357, $A$2:$A6356+$C$2:$C6356)), "")*24*60, "")</f>
        <v/>
      </c>
      <c r="M6357" s="24" t="str" cm="1">
        <f t="array" ref="M6357">IFERROR(IF($B6357=M$1, ($A6357+$C6357) - MAX(IF($B$2:$B6356=$B6357, $A$2:$A6356+$C$2:$C6356)), "")*24*60, "")</f>
        <v/>
      </c>
      <c r="N6357" s="24" t="str" cm="1">
        <f t="array" ref="N6357">IFERROR(IF($B6357=N$1, ($A6357+$C6357) - MAX(IF($B$2:$B6356=$B6357, $A$2:$A6356+$C$2:$C6356)), "")*24*60, "")</f>
        <v/>
      </c>
      <c r="O6357" s="24" t="str" cm="1">
        <f t="array" ref="O6357">IFERROR(IF($B6357=O$1, ($A6357+$C6357) - MAX(IF($B$2:$B6356=$B6357, $A$2:$A6356+$C$2:$C6356)), "")*24*60, "")</f>
        <v/>
      </c>
      <c r="P6357" s="24" t="str" cm="1">
        <f t="array" ref="P6357">IFERROR(IF($B6357=P$1, ($A6357+$C6357) - MAX(IF($B$2:$B6356=$B6357, $A$2:$A6356+$C$2:$C6356)), "")*24*60, "")</f>
        <v/>
      </c>
      <c r="Q6357" s="24" t="str" cm="1">
        <f t="array" ref="Q6357">IFERROR(IF($B6357=Q$1, ($A6357+$C6357) - MAX(IF($B$2:$B6356=$B6357, $A$2:$A6356+$C$2:$C6356)), "")*24*60, "")</f>
        <v/>
      </c>
      <c r="R6357" s="24" t="str" cm="1">
        <f t="array" ref="R6357">IFERROR(IF($B6357=R$1, ($A6357+$C6357) - MAX(IF($B$2:$B6356=$B6357, $A$2:$A6356+$C$2:$C6356)), "")*24*60, "")</f>
        <v/>
      </c>
      <c r="S6357" s="24" t="str" cm="1">
        <f t="array" ref="S6357">IFERROR(IF($B6357=S$1, ($A6357+$C6357) - MAX(IF($B$2:$B6356=$B6357, $A$2:$A6356+$C$2:$C6356)), "")*24*60, "")</f>
        <v/>
      </c>
    </row>
    <row r="6358" spans="1:19" x14ac:dyDescent="0.2">
      <c r="A6358" s="12">
        <f t="shared" ref="A6358:C6358" si="1338">A6357</f>
        <v>45988</v>
      </c>
      <c r="B6358" s="5" t="str">
        <f t="shared" si="1338"/>
        <v>Northern Cardinal</v>
      </c>
      <c r="C6358" s="6">
        <f t="shared" si="1338"/>
        <v>0.28472222222222221</v>
      </c>
      <c r="D6358" s="5"/>
      <c r="E6358" s="5"/>
      <c r="F6358" s="5" t="s">
        <v>8</v>
      </c>
      <c r="G6358" s="15" t="s">
        <v>9</v>
      </c>
      <c r="H6358" s="24">
        <f t="shared" si="1278"/>
        <v>0</v>
      </c>
      <c r="I6358" s="24" cm="1">
        <f t="array" ref="I6358">IFERROR(IF($B6358=I$1, ($A6358+$C6358) - MAX(IF($B$2:$B6357=$B6358, $A$2:$A6357+$C$2:$C6357)), "")*24*60, "")</f>
        <v>0</v>
      </c>
      <c r="J6358" s="24" t="str" cm="1">
        <f t="array" ref="J6358">IFERROR(IF($B6358=J$1, ($A6358+$C6358) - MAX(IF($B$2:$B6357=$B6358, $A$2:$A6357+$C$2:$C6357)), "")*24*60, "")</f>
        <v/>
      </c>
      <c r="K6358" s="24" t="str" cm="1">
        <f t="array" ref="K6358">IFERROR(IF($B6358=K$1, ($A6358+$C6358) - MAX(IF($B$2:$B6357=$B6358, $A$2:$A6357+$C$2:$C6357)), "")*24*60, "")</f>
        <v/>
      </c>
      <c r="L6358" s="24" t="str" cm="1">
        <f t="array" ref="L6358">IFERROR(IF($B6358=L$1, ($A6358+$C6358) - MAX(IF($B$2:$B6357=$B6358, $A$2:$A6357+$C$2:$C6357)), "")*24*60, "")</f>
        <v/>
      </c>
      <c r="M6358" s="24" t="str" cm="1">
        <f t="array" ref="M6358">IFERROR(IF($B6358=M$1, ($A6358+$C6358) - MAX(IF($B$2:$B6357=$B6358, $A$2:$A6357+$C$2:$C6357)), "")*24*60, "")</f>
        <v/>
      </c>
      <c r="N6358" s="24" t="str" cm="1">
        <f t="array" ref="N6358">IFERROR(IF($B6358=N$1, ($A6358+$C6358) - MAX(IF($B$2:$B6357=$B6358, $A$2:$A6357+$C$2:$C6357)), "")*24*60, "")</f>
        <v/>
      </c>
      <c r="O6358" s="24" t="str" cm="1">
        <f t="array" ref="O6358">IFERROR(IF($B6358=O$1, ($A6358+$C6358) - MAX(IF($B$2:$B6357=$B6358, $A$2:$A6357+$C$2:$C6357)), "")*24*60, "")</f>
        <v/>
      </c>
      <c r="P6358" s="24" t="str" cm="1">
        <f t="array" ref="P6358">IFERROR(IF($B6358=P$1, ($A6358+$C6358) - MAX(IF($B$2:$B6357=$B6358, $A$2:$A6357+$C$2:$C6357)), "")*24*60, "")</f>
        <v/>
      </c>
      <c r="Q6358" s="24" t="str" cm="1">
        <f t="array" ref="Q6358">IFERROR(IF($B6358=Q$1, ($A6358+$C6358) - MAX(IF($B$2:$B6357=$B6358, $A$2:$A6357+$C$2:$C6357)), "")*24*60, "")</f>
        <v/>
      </c>
      <c r="R6358" s="24" t="str" cm="1">
        <f t="array" ref="R6358">IFERROR(IF($B6358=R$1, ($A6358+$C6358) - MAX(IF($B$2:$B6357=$B6358, $A$2:$A6357+$C$2:$C6357)), "")*24*60, "")</f>
        <v/>
      </c>
      <c r="S6358" s="24" t="str" cm="1">
        <f t="array" ref="S6358">IFERROR(IF($B6358=S$1, ($A6358+$C6358) - MAX(IF($B$2:$B6357=$B6358, $A$2:$A6357+$C$2:$C6357)), "")*24*60, "")</f>
        <v/>
      </c>
    </row>
    <row r="6359" spans="1:19" x14ac:dyDescent="0.2">
      <c r="A6359" s="12">
        <f t="shared" ref="A6359:C6359" si="1339">A6358</f>
        <v>45988</v>
      </c>
      <c r="B6359" s="5" t="str">
        <f t="shared" si="1339"/>
        <v>Northern Cardinal</v>
      </c>
      <c r="C6359" s="6">
        <f t="shared" si="1339"/>
        <v>0.28472222222222221</v>
      </c>
      <c r="D6359" s="5"/>
      <c r="E6359" s="5"/>
      <c r="F6359" s="5" t="s">
        <v>8</v>
      </c>
      <c r="G6359" s="15" t="s">
        <v>9</v>
      </c>
      <c r="H6359" s="24">
        <f t="shared" si="1278"/>
        <v>0</v>
      </c>
      <c r="I6359" s="24" cm="1">
        <f t="array" ref="I6359">IFERROR(IF($B6359=I$1, ($A6359+$C6359) - MAX(IF($B$2:$B6358=$B6359, $A$2:$A6358+$C$2:$C6358)), "")*24*60, "")</f>
        <v>0</v>
      </c>
      <c r="J6359" s="24" t="str" cm="1">
        <f t="array" ref="J6359">IFERROR(IF($B6359=J$1, ($A6359+$C6359) - MAX(IF($B$2:$B6358=$B6359, $A$2:$A6358+$C$2:$C6358)), "")*24*60, "")</f>
        <v/>
      </c>
      <c r="K6359" s="24" t="str" cm="1">
        <f t="array" ref="K6359">IFERROR(IF($B6359=K$1, ($A6359+$C6359) - MAX(IF($B$2:$B6358=$B6359, $A$2:$A6358+$C$2:$C6358)), "")*24*60, "")</f>
        <v/>
      </c>
      <c r="L6359" s="24" t="str" cm="1">
        <f t="array" ref="L6359">IFERROR(IF($B6359=L$1, ($A6359+$C6359) - MAX(IF($B$2:$B6358=$B6359, $A$2:$A6358+$C$2:$C6358)), "")*24*60, "")</f>
        <v/>
      </c>
      <c r="M6359" s="24" t="str" cm="1">
        <f t="array" ref="M6359">IFERROR(IF($B6359=M$1, ($A6359+$C6359) - MAX(IF($B$2:$B6358=$B6359, $A$2:$A6358+$C$2:$C6358)), "")*24*60, "")</f>
        <v/>
      </c>
      <c r="N6359" s="24" t="str" cm="1">
        <f t="array" ref="N6359">IFERROR(IF($B6359=N$1, ($A6359+$C6359) - MAX(IF($B$2:$B6358=$B6359, $A$2:$A6358+$C$2:$C6358)), "")*24*60, "")</f>
        <v/>
      </c>
      <c r="O6359" s="24" t="str" cm="1">
        <f t="array" ref="O6359">IFERROR(IF($B6359=O$1, ($A6359+$C6359) - MAX(IF($B$2:$B6358=$B6359, $A$2:$A6358+$C$2:$C6358)), "")*24*60, "")</f>
        <v/>
      </c>
      <c r="P6359" s="24" t="str" cm="1">
        <f t="array" ref="P6359">IFERROR(IF($B6359=P$1, ($A6359+$C6359) - MAX(IF($B$2:$B6358=$B6359, $A$2:$A6358+$C$2:$C6358)), "")*24*60, "")</f>
        <v/>
      </c>
      <c r="Q6359" s="24" t="str" cm="1">
        <f t="array" ref="Q6359">IFERROR(IF($B6359=Q$1, ($A6359+$C6359) - MAX(IF($B$2:$B6358=$B6359, $A$2:$A6358+$C$2:$C6358)), "")*24*60, "")</f>
        <v/>
      </c>
      <c r="R6359" s="24" t="str" cm="1">
        <f t="array" ref="R6359">IFERROR(IF($B6359=R$1, ($A6359+$C6359) - MAX(IF($B$2:$B6358=$B6359, $A$2:$A6358+$C$2:$C6358)), "")*24*60, "")</f>
        <v/>
      </c>
      <c r="S6359" s="24" t="str" cm="1">
        <f t="array" ref="S6359">IFERROR(IF($B6359=S$1, ($A6359+$C6359) - MAX(IF($B$2:$B6358=$B6359, $A$2:$A6358+$C$2:$C6358)), "")*24*60, "")</f>
        <v/>
      </c>
    </row>
    <row r="6360" spans="1:19" x14ac:dyDescent="0.2">
      <c r="A6360" s="12">
        <f t="shared" ref="A6360:C6360" si="1340">A6359</f>
        <v>45988</v>
      </c>
      <c r="B6360" s="5" t="str">
        <f t="shared" si="1340"/>
        <v>Northern Cardinal</v>
      </c>
      <c r="C6360" s="6">
        <f t="shared" si="1340"/>
        <v>0.28472222222222221</v>
      </c>
      <c r="D6360" s="5"/>
      <c r="E6360" s="5"/>
      <c r="F6360" s="5" t="s">
        <v>8</v>
      </c>
      <c r="G6360" s="15" t="s">
        <v>9</v>
      </c>
      <c r="H6360" s="24">
        <f t="shared" si="1278"/>
        <v>0</v>
      </c>
      <c r="I6360" s="24" cm="1">
        <f t="array" ref="I6360">IFERROR(IF($B6360=I$1, ($A6360+$C6360) - MAX(IF($B$2:$B6359=$B6360, $A$2:$A6359+$C$2:$C6359)), "")*24*60, "")</f>
        <v>0</v>
      </c>
      <c r="J6360" s="24" t="str" cm="1">
        <f t="array" ref="J6360">IFERROR(IF($B6360=J$1, ($A6360+$C6360) - MAX(IF($B$2:$B6359=$B6360, $A$2:$A6359+$C$2:$C6359)), "")*24*60, "")</f>
        <v/>
      </c>
      <c r="K6360" s="24" t="str" cm="1">
        <f t="array" ref="K6360">IFERROR(IF($B6360=K$1, ($A6360+$C6360) - MAX(IF($B$2:$B6359=$B6360, $A$2:$A6359+$C$2:$C6359)), "")*24*60, "")</f>
        <v/>
      </c>
      <c r="L6360" s="24" t="str" cm="1">
        <f t="array" ref="L6360">IFERROR(IF($B6360=L$1, ($A6360+$C6360) - MAX(IF($B$2:$B6359=$B6360, $A$2:$A6359+$C$2:$C6359)), "")*24*60, "")</f>
        <v/>
      </c>
      <c r="M6360" s="24" t="str" cm="1">
        <f t="array" ref="M6360">IFERROR(IF($B6360=M$1, ($A6360+$C6360) - MAX(IF($B$2:$B6359=$B6360, $A$2:$A6359+$C$2:$C6359)), "")*24*60, "")</f>
        <v/>
      </c>
      <c r="N6360" s="24" t="str" cm="1">
        <f t="array" ref="N6360">IFERROR(IF($B6360=N$1, ($A6360+$C6360) - MAX(IF($B$2:$B6359=$B6360, $A$2:$A6359+$C$2:$C6359)), "")*24*60, "")</f>
        <v/>
      </c>
      <c r="O6360" s="24" t="str" cm="1">
        <f t="array" ref="O6360">IFERROR(IF($B6360=O$1, ($A6360+$C6360) - MAX(IF($B$2:$B6359=$B6360, $A$2:$A6359+$C$2:$C6359)), "")*24*60, "")</f>
        <v/>
      </c>
      <c r="P6360" s="24" t="str" cm="1">
        <f t="array" ref="P6360">IFERROR(IF($B6360=P$1, ($A6360+$C6360) - MAX(IF($B$2:$B6359=$B6360, $A$2:$A6359+$C$2:$C6359)), "")*24*60, "")</f>
        <v/>
      </c>
      <c r="Q6360" s="24" t="str" cm="1">
        <f t="array" ref="Q6360">IFERROR(IF($B6360=Q$1, ($A6360+$C6360) - MAX(IF($B$2:$B6359=$B6360, $A$2:$A6359+$C$2:$C6359)), "")*24*60, "")</f>
        <v/>
      </c>
      <c r="R6360" s="24" t="str" cm="1">
        <f t="array" ref="R6360">IFERROR(IF($B6360=R$1, ($A6360+$C6360) - MAX(IF($B$2:$B6359=$B6360, $A$2:$A6359+$C$2:$C6359)), "")*24*60, "")</f>
        <v/>
      </c>
      <c r="S6360" s="24" t="str" cm="1">
        <f t="array" ref="S6360">IFERROR(IF($B6360=S$1, ($A6360+$C6360) - MAX(IF($B$2:$B6359=$B6360, $A$2:$A6359+$C$2:$C6359)), "")*24*60, "")</f>
        <v/>
      </c>
    </row>
    <row r="6361" spans="1:19" x14ac:dyDescent="0.2">
      <c r="A6361" s="12">
        <f t="shared" ref="A6361:C6361" si="1341">A6360</f>
        <v>45988</v>
      </c>
      <c r="B6361" s="5" t="str">
        <f t="shared" si="1341"/>
        <v>Northern Cardinal</v>
      </c>
      <c r="C6361" s="6">
        <f t="shared" si="1341"/>
        <v>0.28472222222222221</v>
      </c>
      <c r="D6361" s="5"/>
      <c r="E6361" s="5"/>
      <c r="F6361" s="5" t="s">
        <v>8</v>
      </c>
      <c r="G6361" s="15" t="s">
        <v>9</v>
      </c>
      <c r="H6361" s="24">
        <f t="shared" si="1278"/>
        <v>0</v>
      </c>
      <c r="I6361" s="24" cm="1">
        <f t="array" ref="I6361">IFERROR(IF($B6361=I$1, ($A6361+$C6361) - MAX(IF($B$2:$B6360=$B6361, $A$2:$A6360+$C$2:$C6360)), "")*24*60, "")</f>
        <v>0</v>
      </c>
      <c r="J6361" s="24" t="str" cm="1">
        <f t="array" ref="J6361">IFERROR(IF($B6361=J$1, ($A6361+$C6361) - MAX(IF($B$2:$B6360=$B6361, $A$2:$A6360+$C$2:$C6360)), "")*24*60, "")</f>
        <v/>
      </c>
      <c r="K6361" s="24" t="str" cm="1">
        <f t="array" ref="K6361">IFERROR(IF($B6361=K$1, ($A6361+$C6361) - MAX(IF($B$2:$B6360=$B6361, $A$2:$A6360+$C$2:$C6360)), "")*24*60, "")</f>
        <v/>
      </c>
      <c r="L6361" s="24" t="str" cm="1">
        <f t="array" ref="L6361">IFERROR(IF($B6361=L$1, ($A6361+$C6361) - MAX(IF($B$2:$B6360=$B6361, $A$2:$A6360+$C$2:$C6360)), "")*24*60, "")</f>
        <v/>
      </c>
      <c r="M6361" s="24" t="str" cm="1">
        <f t="array" ref="M6361">IFERROR(IF($B6361=M$1, ($A6361+$C6361) - MAX(IF($B$2:$B6360=$B6361, $A$2:$A6360+$C$2:$C6360)), "")*24*60, "")</f>
        <v/>
      </c>
      <c r="N6361" s="24" t="str" cm="1">
        <f t="array" ref="N6361">IFERROR(IF($B6361=N$1, ($A6361+$C6361) - MAX(IF($B$2:$B6360=$B6361, $A$2:$A6360+$C$2:$C6360)), "")*24*60, "")</f>
        <v/>
      </c>
      <c r="O6361" s="24" t="str" cm="1">
        <f t="array" ref="O6361">IFERROR(IF($B6361=O$1, ($A6361+$C6361) - MAX(IF($B$2:$B6360=$B6361, $A$2:$A6360+$C$2:$C6360)), "")*24*60, "")</f>
        <v/>
      </c>
      <c r="P6361" s="24" t="str" cm="1">
        <f t="array" ref="P6361">IFERROR(IF($B6361=P$1, ($A6361+$C6361) - MAX(IF($B$2:$B6360=$B6361, $A$2:$A6360+$C$2:$C6360)), "")*24*60, "")</f>
        <v/>
      </c>
      <c r="Q6361" s="24" t="str" cm="1">
        <f t="array" ref="Q6361">IFERROR(IF($B6361=Q$1, ($A6361+$C6361) - MAX(IF($B$2:$B6360=$B6361, $A$2:$A6360+$C$2:$C6360)), "")*24*60, "")</f>
        <v/>
      </c>
      <c r="R6361" s="24" t="str" cm="1">
        <f t="array" ref="R6361">IFERROR(IF($B6361=R$1, ($A6361+$C6361) - MAX(IF($B$2:$B6360=$B6361, $A$2:$A6360+$C$2:$C6360)), "")*24*60, "")</f>
        <v/>
      </c>
      <c r="S6361" s="24" t="str" cm="1">
        <f t="array" ref="S6361">IFERROR(IF($B6361=S$1, ($A6361+$C6361) - MAX(IF($B$2:$B6360=$B6361, $A$2:$A6360+$C$2:$C6360)), "")*24*60, "")</f>
        <v/>
      </c>
    </row>
    <row r="6362" spans="1:19" x14ac:dyDescent="0.2">
      <c r="A6362" s="12">
        <f t="shared" ref="A6362:C6362" si="1342">A6361</f>
        <v>45988</v>
      </c>
      <c r="B6362" s="5" t="str">
        <f t="shared" si="1342"/>
        <v>Northern Cardinal</v>
      </c>
      <c r="C6362" s="6">
        <f t="shared" si="1342"/>
        <v>0.28472222222222221</v>
      </c>
      <c r="D6362" s="5"/>
      <c r="E6362" s="5"/>
      <c r="F6362" s="5" t="s">
        <v>8</v>
      </c>
      <c r="G6362" s="15" t="s">
        <v>9</v>
      </c>
      <c r="H6362" s="24">
        <f t="shared" ref="H6362:H6413" si="1343">IFERROR((($A6362+$C6362) - ($A6361+$C6361))*24*60, "")</f>
        <v>0</v>
      </c>
      <c r="I6362" s="24" cm="1">
        <f t="array" ref="I6362">IFERROR(IF($B6362=I$1, ($A6362+$C6362) - MAX(IF($B$2:$B6361=$B6362, $A$2:$A6361+$C$2:$C6361)), "")*24*60, "")</f>
        <v>0</v>
      </c>
      <c r="J6362" s="24" t="str" cm="1">
        <f t="array" ref="J6362">IFERROR(IF($B6362=J$1, ($A6362+$C6362) - MAX(IF($B$2:$B6361=$B6362, $A$2:$A6361+$C$2:$C6361)), "")*24*60, "")</f>
        <v/>
      </c>
      <c r="K6362" s="24" t="str" cm="1">
        <f t="array" ref="K6362">IFERROR(IF($B6362=K$1, ($A6362+$C6362) - MAX(IF($B$2:$B6361=$B6362, $A$2:$A6361+$C$2:$C6361)), "")*24*60, "")</f>
        <v/>
      </c>
      <c r="L6362" s="24" t="str" cm="1">
        <f t="array" ref="L6362">IFERROR(IF($B6362=L$1, ($A6362+$C6362) - MAX(IF($B$2:$B6361=$B6362, $A$2:$A6361+$C$2:$C6361)), "")*24*60, "")</f>
        <v/>
      </c>
      <c r="M6362" s="24" t="str" cm="1">
        <f t="array" ref="M6362">IFERROR(IF($B6362=M$1, ($A6362+$C6362) - MAX(IF($B$2:$B6361=$B6362, $A$2:$A6361+$C$2:$C6361)), "")*24*60, "")</f>
        <v/>
      </c>
      <c r="N6362" s="24" t="str" cm="1">
        <f t="array" ref="N6362">IFERROR(IF($B6362=N$1, ($A6362+$C6362) - MAX(IF($B$2:$B6361=$B6362, $A$2:$A6361+$C$2:$C6361)), "")*24*60, "")</f>
        <v/>
      </c>
      <c r="O6362" s="24" t="str" cm="1">
        <f t="array" ref="O6362">IFERROR(IF($B6362=O$1, ($A6362+$C6362) - MAX(IF($B$2:$B6361=$B6362, $A$2:$A6361+$C$2:$C6361)), "")*24*60, "")</f>
        <v/>
      </c>
      <c r="P6362" s="24" t="str" cm="1">
        <f t="array" ref="P6362">IFERROR(IF($B6362=P$1, ($A6362+$C6362) - MAX(IF($B$2:$B6361=$B6362, $A$2:$A6361+$C$2:$C6361)), "")*24*60, "")</f>
        <v/>
      </c>
      <c r="Q6362" s="24" t="str" cm="1">
        <f t="array" ref="Q6362">IFERROR(IF($B6362=Q$1, ($A6362+$C6362) - MAX(IF($B$2:$B6361=$B6362, $A$2:$A6361+$C$2:$C6361)), "")*24*60, "")</f>
        <v/>
      </c>
      <c r="R6362" s="24" t="str" cm="1">
        <f t="array" ref="R6362">IFERROR(IF($B6362=R$1, ($A6362+$C6362) - MAX(IF($B$2:$B6361=$B6362, $A$2:$A6361+$C$2:$C6361)), "")*24*60, "")</f>
        <v/>
      </c>
      <c r="S6362" s="24" t="str" cm="1">
        <f t="array" ref="S6362">IFERROR(IF($B6362=S$1, ($A6362+$C6362) - MAX(IF($B$2:$B6361=$B6362, $A$2:$A6361+$C$2:$C6361)), "")*24*60, "")</f>
        <v/>
      </c>
    </row>
    <row r="6363" spans="1:19" x14ac:dyDescent="0.2">
      <c r="A6363" s="12">
        <f t="shared" ref="A6363:C6363" si="1344">A6362</f>
        <v>45988</v>
      </c>
      <c r="B6363" s="5" t="str">
        <f t="shared" si="1344"/>
        <v>Northern Cardinal</v>
      </c>
      <c r="C6363" s="6">
        <f t="shared" si="1344"/>
        <v>0.28472222222222221</v>
      </c>
      <c r="D6363" s="5"/>
      <c r="E6363" s="5"/>
      <c r="F6363" s="5" t="s">
        <v>8</v>
      </c>
      <c r="G6363" s="15" t="s">
        <v>9</v>
      </c>
      <c r="H6363" s="24">
        <f t="shared" si="1343"/>
        <v>0</v>
      </c>
      <c r="I6363" s="24" cm="1">
        <f t="array" ref="I6363">IFERROR(IF($B6363=I$1, ($A6363+$C6363) - MAX(IF($B$2:$B6362=$B6363, $A$2:$A6362+$C$2:$C6362)), "")*24*60, "")</f>
        <v>0</v>
      </c>
      <c r="J6363" s="24" t="str" cm="1">
        <f t="array" ref="J6363">IFERROR(IF($B6363=J$1, ($A6363+$C6363) - MAX(IF($B$2:$B6362=$B6363, $A$2:$A6362+$C$2:$C6362)), "")*24*60, "")</f>
        <v/>
      </c>
      <c r="K6363" s="24" t="str" cm="1">
        <f t="array" ref="K6363">IFERROR(IF($B6363=K$1, ($A6363+$C6363) - MAX(IF($B$2:$B6362=$B6363, $A$2:$A6362+$C$2:$C6362)), "")*24*60, "")</f>
        <v/>
      </c>
      <c r="L6363" s="24" t="str" cm="1">
        <f t="array" ref="L6363">IFERROR(IF($B6363=L$1, ($A6363+$C6363) - MAX(IF($B$2:$B6362=$B6363, $A$2:$A6362+$C$2:$C6362)), "")*24*60, "")</f>
        <v/>
      </c>
      <c r="M6363" s="24" t="str" cm="1">
        <f t="array" ref="M6363">IFERROR(IF($B6363=M$1, ($A6363+$C6363) - MAX(IF($B$2:$B6362=$B6363, $A$2:$A6362+$C$2:$C6362)), "")*24*60, "")</f>
        <v/>
      </c>
      <c r="N6363" s="24" t="str" cm="1">
        <f t="array" ref="N6363">IFERROR(IF($B6363=N$1, ($A6363+$C6363) - MAX(IF($B$2:$B6362=$B6363, $A$2:$A6362+$C$2:$C6362)), "")*24*60, "")</f>
        <v/>
      </c>
      <c r="O6363" s="24" t="str" cm="1">
        <f t="array" ref="O6363">IFERROR(IF($B6363=O$1, ($A6363+$C6363) - MAX(IF($B$2:$B6362=$B6363, $A$2:$A6362+$C$2:$C6362)), "")*24*60, "")</f>
        <v/>
      </c>
      <c r="P6363" s="24" t="str" cm="1">
        <f t="array" ref="P6363">IFERROR(IF($B6363=P$1, ($A6363+$C6363) - MAX(IF($B$2:$B6362=$B6363, $A$2:$A6362+$C$2:$C6362)), "")*24*60, "")</f>
        <v/>
      </c>
      <c r="Q6363" s="24" t="str" cm="1">
        <f t="array" ref="Q6363">IFERROR(IF($B6363=Q$1, ($A6363+$C6363) - MAX(IF($B$2:$B6362=$B6363, $A$2:$A6362+$C$2:$C6362)), "")*24*60, "")</f>
        <v/>
      </c>
      <c r="R6363" s="24" t="str" cm="1">
        <f t="array" ref="R6363">IFERROR(IF($B6363=R$1, ($A6363+$C6363) - MAX(IF($B$2:$B6362=$B6363, $A$2:$A6362+$C$2:$C6362)), "")*24*60, "")</f>
        <v/>
      </c>
      <c r="S6363" s="24" t="str" cm="1">
        <f t="array" ref="S6363">IFERROR(IF($B6363=S$1, ($A6363+$C6363) - MAX(IF($B$2:$B6362=$B6363, $A$2:$A6362+$C$2:$C6362)), "")*24*60, "")</f>
        <v/>
      </c>
    </row>
    <row r="6364" spans="1:19" x14ac:dyDescent="0.2">
      <c r="A6364" s="12">
        <f t="shared" ref="A6364:C6364" si="1345">A6363</f>
        <v>45988</v>
      </c>
      <c r="B6364" s="5" t="str">
        <f t="shared" si="1345"/>
        <v>Northern Cardinal</v>
      </c>
      <c r="C6364" s="6">
        <f t="shared" si="1345"/>
        <v>0.28472222222222221</v>
      </c>
      <c r="D6364" s="5"/>
      <c r="E6364" s="5"/>
      <c r="F6364" s="5" t="s">
        <v>8</v>
      </c>
      <c r="G6364" s="15" t="s">
        <v>9</v>
      </c>
      <c r="H6364" s="24">
        <f t="shared" si="1343"/>
        <v>0</v>
      </c>
      <c r="I6364" s="24" cm="1">
        <f t="array" ref="I6364">IFERROR(IF($B6364=I$1, ($A6364+$C6364) - MAX(IF($B$2:$B6363=$B6364, $A$2:$A6363+$C$2:$C6363)), "")*24*60, "")</f>
        <v>0</v>
      </c>
      <c r="J6364" s="24" t="str" cm="1">
        <f t="array" ref="J6364">IFERROR(IF($B6364=J$1, ($A6364+$C6364) - MAX(IF($B$2:$B6363=$B6364, $A$2:$A6363+$C$2:$C6363)), "")*24*60, "")</f>
        <v/>
      </c>
      <c r="K6364" s="24" t="str" cm="1">
        <f t="array" ref="K6364">IFERROR(IF($B6364=K$1, ($A6364+$C6364) - MAX(IF($B$2:$B6363=$B6364, $A$2:$A6363+$C$2:$C6363)), "")*24*60, "")</f>
        <v/>
      </c>
      <c r="L6364" s="24" t="str" cm="1">
        <f t="array" ref="L6364">IFERROR(IF($B6364=L$1, ($A6364+$C6364) - MAX(IF($B$2:$B6363=$B6364, $A$2:$A6363+$C$2:$C6363)), "")*24*60, "")</f>
        <v/>
      </c>
      <c r="M6364" s="24" t="str" cm="1">
        <f t="array" ref="M6364">IFERROR(IF($B6364=M$1, ($A6364+$C6364) - MAX(IF($B$2:$B6363=$B6364, $A$2:$A6363+$C$2:$C6363)), "")*24*60, "")</f>
        <v/>
      </c>
      <c r="N6364" s="24" t="str" cm="1">
        <f t="array" ref="N6364">IFERROR(IF($B6364=N$1, ($A6364+$C6364) - MAX(IF($B$2:$B6363=$B6364, $A$2:$A6363+$C$2:$C6363)), "")*24*60, "")</f>
        <v/>
      </c>
      <c r="O6364" s="24" t="str" cm="1">
        <f t="array" ref="O6364">IFERROR(IF($B6364=O$1, ($A6364+$C6364) - MAX(IF($B$2:$B6363=$B6364, $A$2:$A6363+$C$2:$C6363)), "")*24*60, "")</f>
        <v/>
      </c>
      <c r="P6364" s="24" t="str" cm="1">
        <f t="array" ref="P6364">IFERROR(IF($B6364=P$1, ($A6364+$C6364) - MAX(IF($B$2:$B6363=$B6364, $A$2:$A6363+$C$2:$C6363)), "")*24*60, "")</f>
        <v/>
      </c>
      <c r="Q6364" s="24" t="str" cm="1">
        <f t="array" ref="Q6364">IFERROR(IF($B6364=Q$1, ($A6364+$C6364) - MAX(IF($B$2:$B6363=$B6364, $A$2:$A6363+$C$2:$C6363)), "")*24*60, "")</f>
        <v/>
      </c>
      <c r="R6364" s="24" t="str" cm="1">
        <f t="array" ref="R6364">IFERROR(IF($B6364=R$1, ($A6364+$C6364) - MAX(IF($B$2:$B6363=$B6364, $A$2:$A6363+$C$2:$C6363)), "")*24*60, "")</f>
        <v/>
      </c>
      <c r="S6364" s="24" t="str" cm="1">
        <f t="array" ref="S6364">IFERROR(IF($B6364=S$1, ($A6364+$C6364) - MAX(IF($B$2:$B6363=$B6364, $A$2:$A6363+$C$2:$C6363)), "")*24*60, "")</f>
        <v/>
      </c>
    </row>
    <row r="6365" spans="1:19" x14ac:dyDescent="0.2">
      <c r="A6365" s="12">
        <f t="shared" ref="A6365:C6365" si="1346">A6364</f>
        <v>45988</v>
      </c>
      <c r="B6365" s="5" t="str">
        <f t="shared" si="1346"/>
        <v>Northern Cardinal</v>
      </c>
      <c r="C6365" s="6">
        <f t="shared" si="1346"/>
        <v>0.28472222222222221</v>
      </c>
      <c r="D6365" s="5"/>
      <c r="E6365" s="5"/>
      <c r="F6365" s="5" t="s">
        <v>8</v>
      </c>
      <c r="G6365" s="15" t="s">
        <v>9</v>
      </c>
      <c r="H6365" s="24">
        <f t="shared" si="1343"/>
        <v>0</v>
      </c>
      <c r="I6365" s="24" cm="1">
        <f t="array" ref="I6365">IFERROR(IF($B6365=I$1, ($A6365+$C6365) - MAX(IF($B$2:$B6364=$B6365, $A$2:$A6364+$C$2:$C6364)), "")*24*60, "")</f>
        <v>0</v>
      </c>
      <c r="J6365" s="24" t="str" cm="1">
        <f t="array" ref="J6365">IFERROR(IF($B6365=J$1, ($A6365+$C6365) - MAX(IF($B$2:$B6364=$B6365, $A$2:$A6364+$C$2:$C6364)), "")*24*60, "")</f>
        <v/>
      </c>
      <c r="K6365" s="24" t="str" cm="1">
        <f t="array" ref="K6365">IFERROR(IF($B6365=K$1, ($A6365+$C6365) - MAX(IF($B$2:$B6364=$B6365, $A$2:$A6364+$C$2:$C6364)), "")*24*60, "")</f>
        <v/>
      </c>
      <c r="L6365" s="24" t="str" cm="1">
        <f t="array" ref="L6365">IFERROR(IF($B6365=L$1, ($A6365+$C6365) - MAX(IF($B$2:$B6364=$B6365, $A$2:$A6364+$C$2:$C6364)), "")*24*60, "")</f>
        <v/>
      </c>
      <c r="M6365" s="24" t="str" cm="1">
        <f t="array" ref="M6365">IFERROR(IF($B6365=M$1, ($A6365+$C6365) - MAX(IF($B$2:$B6364=$B6365, $A$2:$A6364+$C$2:$C6364)), "")*24*60, "")</f>
        <v/>
      </c>
      <c r="N6365" s="24" t="str" cm="1">
        <f t="array" ref="N6365">IFERROR(IF($B6365=N$1, ($A6365+$C6365) - MAX(IF($B$2:$B6364=$B6365, $A$2:$A6364+$C$2:$C6364)), "")*24*60, "")</f>
        <v/>
      </c>
      <c r="O6365" s="24" t="str" cm="1">
        <f t="array" ref="O6365">IFERROR(IF($B6365=O$1, ($A6365+$C6365) - MAX(IF($B$2:$B6364=$B6365, $A$2:$A6364+$C$2:$C6364)), "")*24*60, "")</f>
        <v/>
      </c>
      <c r="P6365" s="24" t="str" cm="1">
        <f t="array" ref="P6365">IFERROR(IF($B6365=P$1, ($A6365+$C6365) - MAX(IF($B$2:$B6364=$B6365, $A$2:$A6364+$C$2:$C6364)), "")*24*60, "")</f>
        <v/>
      </c>
      <c r="Q6365" s="24" t="str" cm="1">
        <f t="array" ref="Q6365">IFERROR(IF($B6365=Q$1, ($A6365+$C6365) - MAX(IF($B$2:$B6364=$B6365, $A$2:$A6364+$C$2:$C6364)), "")*24*60, "")</f>
        <v/>
      </c>
      <c r="R6365" s="24" t="str" cm="1">
        <f t="array" ref="R6365">IFERROR(IF($B6365=R$1, ($A6365+$C6365) - MAX(IF($B$2:$B6364=$B6365, $A$2:$A6364+$C$2:$C6364)), "")*24*60, "")</f>
        <v/>
      </c>
      <c r="S6365" s="24" t="str" cm="1">
        <f t="array" ref="S6365">IFERROR(IF($B6365=S$1, ($A6365+$C6365) - MAX(IF($B$2:$B6364=$B6365, $A$2:$A6364+$C$2:$C6364)), "")*24*60, "")</f>
        <v/>
      </c>
    </row>
    <row r="6366" spans="1:19" x14ac:dyDescent="0.2">
      <c r="A6366" s="12">
        <f t="shared" ref="A6366:C6366" si="1347">A6365</f>
        <v>45988</v>
      </c>
      <c r="B6366" s="5" t="str">
        <f t="shared" si="1347"/>
        <v>Northern Cardinal</v>
      </c>
      <c r="C6366" s="6">
        <f t="shared" si="1347"/>
        <v>0.28472222222222221</v>
      </c>
      <c r="D6366" s="5"/>
      <c r="E6366" s="5"/>
      <c r="F6366" s="5" t="s">
        <v>8</v>
      </c>
      <c r="G6366" s="15" t="s">
        <v>9</v>
      </c>
      <c r="H6366" s="24">
        <f t="shared" si="1343"/>
        <v>0</v>
      </c>
      <c r="I6366" s="24" cm="1">
        <f t="array" ref="I6366">IFERROR(IF($B6366=I$1, ($A6366+$C6366) - MAX(IF($B$2:$B6365=$B6366, $A$2:$A6365+$C$2:$C6365)), "")*24*60, "")</f>
        <v>0</v>
      </c>
      <c r="J6366" s="24" t="str" cm="1">
        <f t="array" ref="J6366">IFERROR(IF($B6366=J$1, ($A6366+$C6366) - MAX(IF($B$2:$B6365=$B6366, $A$2:$A6365+$C$2:$C6365)), "")*24*60, "")</f>
        <v/>
      </c>
      <c r="K6366" s="24" t="str" cm="1">
        <f t="array" ref="K6366">IFERROR(IF($B6366=K$1, ($A6366+$C6366) - MAX(IF($B$2:$B6365=$B6366, $A$2:$A6365+$C$2:$C6365)), "")*24*60, "")</f>
        <v/>
      </c>
      <c r="L6366" s="24" t="str" cm="1">
        <f t="array" ref="L6366">IFERROR(IF($B6366=L$1, ($A6366+$C6366) - MAX(IF($B$2:$B6365=$B6366, $A$2:$A6365+$C$2:$C6365)), "")*24*60, "")</f>
        <v/>
      </c>
      <c r="M6366" s="24" t="str" cm="1">
        <f t="array" ref="M6366">IFERROR(IF($B6366=M$1, ($A6366+$C6366) - MAX(IF($B$2:$B6365=$B6366, $A$2:$A6365+$C$2:$C6365)), "")*24*60, "")</f>
        <v/>
      </c>
      <c r="N6366" s="24" t="str" cm="1">
        <f t="array" ref="N6366">IFERROR(IF($B6366=N$1, ($A6366+$C6366) - MAX(IF($B$2:$B6365=$B6366, $A$2:$A6365+$C$2:$C6365)), "")*24*60, "")</f>
        <v/>
      </c>
      <c r="O6366" s="24" t="str" cm="1">
        <f t="array" ref="O6366">IFERROR(IF($B6366=O$1, ($A6366+$C6366) - MAX(IF($B$2:$B6365=$B6366, $A$2:$A6365+$C$2:$C6365)), "")*24*60, "")</f>
        <v/>
      </c>
      <c r="P6366" s="24" t="str" cm="1">
        <f t="array" ref="P6366">IFERROR(IF($B6366=P$1, ($A6366+$C6366) - MAX(IF($B$2:$B6365=$B6366, $A$2:$A6365+$C$2:$C6365)), "")*24*60, "")</f>
        <v/>
      </c>
      <c r="Q6366" s="24" t="str" cm="1">
        <f t="array" ref="Q6366">IFERROR(IF($B6366=Q$1, ($A6366+$C6366) - MAX(IF($B$2:$B6365=$B6366, $A$2:$A6365+$C$2:$C6365)), "")*24*60, "")</f>
        <v/>
      </c>
      <c r="R6366" s="24" t="str" cm="1">
        <f t="array" ref="R6366">IFERROR(IF($B6366=R$1, ($A6366+$C6366) - MAX(IF($B$2:$B6365=$B6366, $A$2:$A6365+$C$2:$C6365)), "")*24*60, "")</f>
        <v/>
      </c>
      <c r="S6366" s="24" t="str" cm="1">
        <f t="array" ref="S6366">IFERROR(IF($B6366=S$1, ($A6366+$C6366) - MAX(IF($B$2:$B6365=$B6366, $A$2:$A6365+$C$2:$C6365)), "")*24*60, "")</f>
        <v/>
      </c>
    </row>
    <row r="6367" spans="1:19" x14ac:dyDescent="0.2">
      <c r="A6367" s="12">
        <f t="shared" ref="A6367:C6367" si="1348">A6366</f>
        <v>45988</v>
      </c>
      <c r="B6367" s="5" t="str">
        <f t="shared" si="1348"/>
        <v>Northern Cardinal</v>
      </c>
      <c r="C6367" s="6">
        <f t="shared" si="1348"/>
        <v>0.28472222222222221</v>
      </c>
      <c r="D6367" s="5"/>
      <c r="E6367" s="5"/>
      <c r="F6367" s="5" t="s">
        <v>8</v>
      </c>
      <c r="G6367" s="15" t="s">
        <v>9</v>
      </c>
      <c r="H6367" s="24">
        <f t="shared" si="1343"/>
        <v>0</v>
      </c>
      <c r="I6367" s="24" cm="1">
        <f t="array" ref="I6367">IFERROR(IF($B6367=I$1, ($A6367+$C6367) - MAX(IF($B$2:$B6366=$B6367, $A$2:$A6366+$C$2:$C6366)), "")*24*60, "")</f>
        <v>0</v>
      </c>
      <c r="J6367" s="24" t="str" cm="1">
        <f t="array" ref="J6367">IFERROR(IF($B6367=J$1, ($A6367+$C6367) - MAX(IF($B$2:$B6366=$B6367, $A$2:$A6366+$C$2:$C6366)), "")*24*60, "")</f>
        <v/>
      </c>
      <c r="K6367" s="24" t="str" cm="1">
        <f t="array" ref="K6367">IFERROR(IF($B6367=K$1, ($A6367+$C6367) - MAX(IF($B$2:$B6366=$B6367, $A$2:$A6366+$C$2:$C6366)), "")*24*60, "")</f>
        <v/>
      </c>
      <c r="L6367" s="24" t="str" cm="1">
        <f t="array" ref="L6367">IFERROR(IF($B6367=L$1, ($A6367+$C6367) - MAX(IF($B$2:$B6366=$B6367, $A$2:$A6366+$C$2:$C6366)), "")*24*60, "")</f>
        <v/>
      </c>
      <c r="M6367" s="24" t="str" cm="1">
        <f t="array" ref="M6367">IFERROR(IF($B6367=M$1, ($A6367+$C6367) - MAX(IF($B$2:$B6366=$B6367, $A$2:$A6366+$C$2:$C6366)), "")*24*60, "")</f>
        <v/>
      </c>
      <c r="N6367" s="24" t="str" cm="1">
        <f t="array" ref="N6367">IFERROR(IF($B6367=N$1, ($A6367+$C6367) - MAX(IF($B$2:$B6366=$B6367, $A$2:$A6366+$C$2:$C6366)), "")*24*60, "")</f>
        <v/>
      </c>
      <c r="O6367" s="24" t="str" cm="1">
        <f t="array" ref="O6367">IFERROR(IF($B6367=O$1, ($A6367+$C6367) - MAX(IF($B$2:$B6366=$B6367, $A$2:$A6366+$C$2:$C6366)), "")*24*60, "")</f>
        <v/>
      </c>
      <c r="P6367" s="24" t="str" cm="1">
        <f t="array" ref="P6367">IFERROR(IF($B6367=P$1, ($A6367+$C6367) - MAX(IF($B$2:$B6366=$B6367, $A$2:$A6366+$C$2:$C6366)), "")*24*60, "")</f>
        <v/>
      </c>
      <c r="Q6367" s="24" t="str" cm="1">
        <f t="array" ref="Q6367">IFERROR(IF($B6367=Q$1, ($A6367+$C6367) - MAX(IF($B$2:$B6366=$B6367, $A$2:$A6366+$C$2:$C6366)), "")*24*60, "")</f>
        <v/>
      </c>
      <c r="R6367" s="24" t="str" cm="1">
        <f t="array" ref="R6367">IFERROR(IF($B6367=R$1, ($A6367+$C6367) - MAX(IF($B$2:$B6366=$B6367, $A$2:$A6366+$C$2:$C6366)), "")*24*60, "")</f>
        <v/>
      </c>
      <c r="S6367" s="24" t="str" cm="1">
        <f t="array" ref="S6367">IFERROR(IF($B6367=S$1, ($A6367+$C6367) - MAX(IF($B$2:$B6366=$B6367, $A$2:$A6366+$C$2:$C6366)), "")*24*60, "")</f>
        <v/>
      </c>
    </row>
    <row r="6368" spans="1:19" x14ac:dyDescent="0.2">
      <c r="A6368" s="12">
        <f t="shared" ref="A6368:C6368" si="1349">A6367</f>
        <v>45988</v>
      </c>
      <c r="B6368" s="5" t="str">
        <f t="shared" si="1349"/>
        <v>Northern Cardinal</v>
      </c>
      <c r="C6368" s="6">
        <f t="shared" si="1349"/>
        <v>0.28472222222222221</v>
      </c>
      <c r="D6368" s="5"/>
      <c r="E6368" s="5"/>
      <c r="F6368" s="5" t="s">
        <v>8</v>
      </c>
      <c r="G6368" s="15" t="s">
        <v>9</v>
      </c>
      <c r="H6368" s="24">
        <f t="shared" si="1343"/>
        <v>0</v>
      </c>
      <c r="I6368" s="24" cm="1">
        <f t="array" ref="I6368">IFERROR(IF($B6368=I$1, ($A6368+$C6368) - MAX(IF($B$2:$B6367=$B6368, $A$2:$A6367+$C$2:$C6367)), "")*24*60, "")</f>
        <v>0</v>
      </c>
      <c r="J6368" s="24" t="str" cm="1">
        <f t="array" ref="J6368">IFERROR(IF($B6368=J$1, ($A6368+$C6368) - MAX(IF($B$2:$B6367=$B6368, $A$2:$A6367+$C$2:$C6367)), "")*24*60, "")</f>
        <v/>
      </c>
      <c r="K6368" s="24" t="str" cm="1">
        <f t="array" ref="K6368">IFERROR(IF($B6368=K$1, ($A6368+$C6368) - MAX(IF($B$2:$B6367=$B6368, $A$2:$A6367+$C$2:$C6367)), "")*24*60, "")</f>
        <v/>
      </c>
      <c r="L6368" s="24" t="str" cm="1">
        <f t="array" ref="L6368">IFERROR(IF($B6368=L$1, ($A6368+$C6368) - MAX(IF($B$2:$B6367=$B6368, $A$2:$A6367+$C$2:$C6367)), "")*24*60, "")</f>
        <v/>
      </c>
      <c r="M6368" s="24" t="str" cm="1">
        <f t="array" ref="M6368">IFERROR(IF($B6368=M$1, ($A6368+$C6368) - MAX(IF($B$2:$B6367=$B6368, $A$2:$A6367+$C$2:$C6367)), "")*24*60, "")</f>
        <v/>
      </c>
      <c r="N6368" s="24" t="str" cm="1">
        <f t="array" ref="N6368">IFERROR(IF($B6368=N$1, ($A6368+$C6368) - MAX(IF($B$2:$B6367=$B6368, $A$2:$A6367+$C$2:$C6367)), "")*24*60, "")</f>
        <v/>
      </c>
      <c r="O6368" s="24" t="str" cm="1">
        <f t="array" ref="O6368">IFERROR(IF($B6368=O$1, ($A6368+$C6368) - MAX(IF($B$2:$B6367=$B6368, $A$2:$A6367+$C$2:$C6367)), "")*24*60, "")</f>
        <v/>
      </c>
      <c r="P6368" s="24" t="str" cm="1">
        <f t="array" ref="P6368">IFERROR(IF($B6368=P$1, ($A6368+$C6368) - MAX(IF($B$2:$B6367=$B6368, $A$2:$A6367+$C$2:$C6367)), "")*24*60, "")</f>
        <v/>
      </c>
      <c r="Q6368" s="24" t="str" cm="1">
        <f t="array" ref="Q6368">IFERROR(IF($B6368=Q$1, ($A6368+$C6368) - MAX(IF($B$2:$B6367=$B6368, $A$2:$A6367+$C$2:$C6367)), "")*24*60, "")</f>
        <v/>
      </c>
      <c r="R6368" s="24" t="str" cm="1">
        <f t="array" ref="R6368">IFERROR(IF($B6368=R$1, ($A6368+$C6368) - MAX(IF($B$2:$B6367=$B6368, $A$2:$A6367+$C$2:$C6367)), "")*24*60, "")</f>
        <v/>
      </c>
      <c r="S6368" s="24" t="str" cm="1">
        <f t="array" ref="S6368">IFERROR(IF($B6368=S$1, ($A6368+$C6368) - MAX(IF($B$2:$B6367=$B6368, $A$2:$A6367+$C$2:$C6367)), "")*24*60, "")</f>
        <v/>
      </c>
    </row>
    <row r="6369" spans="1:19" x14ac:dyDescent="0.2">
      <c r="A6369" s="12">
        <f t="shared" ref="A6369:C6369" si="1350">A6368</f>
        <v>45988</v>
      </c>
      <c r="B6369" s="5" t="str">
        <f t="shared" si="1350"/>
        <v>Northern Cardinal</v>
      </c>
      <c r="C6369" s="6">
        <f t="shared" si="1350"/>
        <v>0.28472222222222221</v>
      </c>
      <c r="D6369" s="5"/>
      <c r="E6369" s="5"/>
      <c r="F6369" s="5" t="s">
        <v>8</v>
      </c>
      <c r="G6369" s="15" t="s">
        <v>9</v>
      </c>
      <c r="H6369" s="24">
        <f t="shared" si="1343"/>
        <v>0</v>
      </c>
      <c r="I6369" s="24" cm="1">
        <f t="array" ref="I6369">IFERROR(IF($B6369=I$1, ($A6369+$C6369) - MAX(IF($B$2:$B6368=$B6369, $A$2:$A6368+$C$2:$C6368)), "")*24*60, "")</f>
        <v>0</v>
      </c>
      <c r="J6369" s="24" t="str" cm="1">
        <f t="array" ref="J6369">IFERROR(IF($B6369=J$1, ($A6369+$C6369) - MAX(IF($B$2:$B6368=$B6369, $A$2:$A6368+$C$2:$C6368)), "")*24*60, "")</f>
        <v/>
      </c>
      <c r="K6369" s="24" t="str" cm="1">
        <f t="array" ref="K6369">IFERROR(IF($B6369=K$1, ($A6369+$C6369) - MAX(IF($B$2:$B6368=$B6369, $A$2:$A6368+$C$2:$C6368)), "")*24*60, "")</f>
        <v/>
      </c>
      <c r="L6369" s="24" t="str" cm="1">
        <f t="array" ref="L6369">IFERROR(IF($B6369=L$1, ($A6369+$C6369) - MAX(IF($B$2:$B6368=$B6369, $A$2:$A6368+$C$2:$C6368)), "")*24*60, "")</f>
        <v/>
      </c>
      <c r="M6369" s="24" t="str" cm="1">
        <f t="array" ref="M6369">IFERROR(IF($B6369=M$1, ($A6369+$C6369) - MAX(IF($B$2:$B6368=$B6369, $A$2:$A6368+$C$2:$C6368)), "")*24*60, "")</f>
        <v/>
      </c>
      <c r="N6369" s="24" t="str" cm="1">
        <f t="array" ref="N6369">IFERROR(IF($B6369=N$1, ($A6369+$C6369) - MAX(IF($B$2:$B6368=$B6369, $A$2:$A6368+$C$2:$C6368)), "")*24*60, "")</f>
        <v/>
      </c>
      <c r="O6369" s="24" t="str" cm="1">
        <f t="array" ref="O6369">IFERROR(IF($B6369=O$1, ($A6369+$C6369) - MAX(IF($B$2:$B6368=$B6369, $A$2:$A6368+$C$2:$C6368)), "")*24*60, "")</f>
        <v/>
      </c>
      <c r="P6369" s="24" t="str" cm="1">
        <f t="array" ref="P6369">IFERROR(IF($B6369=P$1, ($A6369+$C6369) - MAX(IF($B$2:$B6368=$B6369, $A$2:$A6368+$C$2:$C6368)), "")*24*60, "")</f>
        <v/>
      </c>
      <c r="Q6369" s="24" t="str" cm="1">
        <f t="array" ref="Q6369">IFERROR(IF($B6369=Q$1, ($A6369+$C6369) - MAX(IF($B$2:$B6368=$B6369, $A$2:$A6368+$C$2:$C6368)), "")*24*60, "")</f>
        <v/>
      </c>
      <c r="R6369" s="24" t="str" cm="1">
        <f t="array" ref="R6369">IFERROR(IF($B6369=R$1, ($A6369+$C6369) - MAX(IF($B$2:$B6368=$B6369, $A$2:$A6368+$C$2:$C6368)), "")*24*60, "")</f>
        <v/>
      </c>
      <c r="S6369" s="24" t="str" cm="1">
        <f t="array" ref="S6369">IFERROR(IF($B6369=S$1, ($A6369+$C6369) - MAX(IF($B$2:$B6368=$B6369, $A$2:$A6368+$C$2:$C6368)), "")*24*60, "")</f>
        <v/>
      </c>
    </row>
    <row r="6370" spans="1:19" x14ac:dyDescent="0.2">
      <c r="A6370" s="12">
        <f t="shared" ref="A6370:C6370" si="1351">A6369</f>
        <v>45988</v>
      </c>
      <c r="B6370" s="5" t="str">
        <f t="shared" si="1351"/>
        <v>Northern Cardinal</v>
      </c>
      <c r="C6370" s="6">
        <f t="shared" si="1351"/>
        <v>0.28472222222222221</v>
      </c>
      <c r="D6370" s="5"/>
      <c r="E6370" s="5"/>
      <c r="F6370" s="5" t="s">
        <v>8</v>
      </c>
      <c r="G6370" s="15" t="s">
        <v>9</v>
      </c>
      <c r="H6370" s="24">
        <f t="shared" si="1343"/>
        <v>0</v>
      </c>
      <c r="I6370" s="24" cm="1">
        <f t="array" ref="I6370">IFERROR(IF($B6370=I$1, ($A6370+$C6370) - MAX(IF($B$2:$B6369=$B6370, $A$2:$A6369+$C$2:$C6369)), "")*24*60, "")</f>
        <v>0</v>
      </c>
      <c r="J6370" s="24" t="str" cm="1">
        <f t="array" ref="J6370">IFERROR(IF($B6370=J$1, ($A6370+$C6370) - MAX(IF($B$2:$B6369=$B6370, $A$2:$A6369+$C$2:$C6369)), "")*24*60, "")</f>
        <v/>
      </c>
      <c r="K6370" s="24" t="str" cm="1">
        <f t="array" ref="K6370">IFERROR(IF($B6370=K$1, ($A6370+$C6370) - MAX(IF($B$2:$B6369=$B6370, $A$2:$A6369+$C$2:$C6369)), "")*24*60, "")</f>
        <v/>
      </c>
      <c r="L6370" s="24" t="str" cm="1">
        <f t="array" ref="L6370">IFERROR(IF($B6370=L$1, ($A6370+$C6370) - MAX(IF($B$2:$B6369=$B6370, $A$2:$A6369+$C$2:$C6369)), "")*24*60, "")</f>
        <v/>
      </c>
      <c r="M6370" s="24" t="str" cm="1">
        <f t="array" ref="M6370">IFERROR(IF($B6370=M$1, ($A6370+$C6370) - MAX(IF($B$2:$B6369=$B6370, $A$2:$A6369+$C$2:$C6369)), "")*24*60, "")</f>
        <v/>
      </c>
      <c r="N6370" s="24" t="str" cm="1">
        <f t="array" ref="N6370">IFERROR(IF($B6370=N$1, ($A6370+$C6370) - MAX(IF($B$2:$B6369=$B6370, $A$2:$A6369+$C$2:$C6369)), "")*24*60, "")</f>
        <v/>
      </c>
      <c r="O6370" s="24" t="str" cm="1">
        <f t="array" ref="O6370">IFERROR(IF($B6370=O$1, ($A6370+$C6370) - MAX(IF($B$2:$B6369=$B6370, $A$2:$A6369+$C$2:$C6369)), "")*24*60, "")</f>
        <v/>
      </c>
      <c r="P6370" s="24" t="str" cm="1">
        <f t="array" ref="P6370">IFERROR(IF($B6370=P$1, ($A6370+$C6370) - MAX(IF($B$2:$B6369=$B6370, $A$2:$A6369+$C$2:$C6369)), "")*24*60, "")</f>
        <v/>
      </c>
      <c r="Q6370" s="24" t="str" cm="1">
        <f t="array" ref="Q6370">IFERROR(IF($B6370=Q$1, ($A6370+$C6370) - MAX(IF($B$2:$B6369=$B6370, $A$2:$A6369+$C$2:$C6369)), "")*24*60, "")</f>
        <v/>
      </c>
      <c r="R6370" s="24" t="str" cm="1">
        <f t="array" ref="R6370">IFERROR(IF($B6370=R$1, ($A6370+$C6370) - MAX(IF($B$2:$B6369=$B6370, $A$2:$A6369+$C$2:$C6369)), "")*24*60, "")</f>
        <v/>
      </c>
      <c r="S6370" s="24" t="str" cm="1">
        <f t="array" ref="S6370">IFERROR(IF($B6370=S$1, ($A6370+$C6370) - MAX(IF($B$2:$B6369=$B6370, $A$2:$A6369+$C$2:$C6369)), "")*24*60, "")</f>
        <v/>
      </c>
    </row>
    <row r="6371" spans="1:19" x14ac:dyDescent="0.2">
      <c r="A6371" s="12">
        <f t="shared" ref="A6371:C6371" si="1352">A6370</f>
        <v>45988</v>
      </c>
      <c r="B6371" s="5" t="str">
        <f t="shared" si="1352"/>
        <v>Northern Cardinal</v>
      </c>
      <c r="C6371" s="6">
        <f t="shared" si="1352"/>
        <v>0.28472222222222221</v>
      </c>
      <c r="D6371" s="5"/>
      <c r="E6371" s="5"/>
      <c r="F6371" s="5" t="s">
        <v>8</v>
      </c>
      <c r="G6371" s="15" t="s">
        <v>9</v>
      </c>
      <c r="H6371" s="24">
        <f t="shared" si="1343"/>
        <v>0</v>
      </c>
      <c r="I6371" s="24" cm="1">
        <f t="array" ref="I6371">IFERROR(IF($B6371=I$1, ($A6371+$C6371) - MAX(IF($B$2:$B6370=$B6371, $A$2:$A6370+$C$2:$C6370)), "")*24*60, "")</f>
        <v>0</v>
      </c>
      <c r="J6371" s="24" t="str" cm="1">
        <f t="array" ref="J6371">IFERROR(IF($B6371=J$1, ($A6371+$C6371) - MAX(IF($B$2:$B6370=$B6371, $A$2:$A6370+$C$2:$C6370)), "")*24*60, "")</f>
        <v/>
      </c>
      <c r="K6371" s="24" t="str" cm="1">
        <f t="array" ref="K6371">IFERROR(IF($B6371=K$1, ($A6371+$C6371) - MAX(IF($B$2:$B6370=$B6371, $A$2:$A6370+$C$2:$C6370)), "")*24*60, "")</f>
        <v/>
      </c>
      <c r="L6371" s="24" t="str" cm="1">
        <f t="array" ref="L6371">IFERROR(IF($B6371=L$1, ($A6371+$C6371) - MAX(IF($B$2:$B6370=$B6371, $A$2:$A6370+$C$2:$C6370)), "")*24*60, "")</f>
        <v/>
      </c>
      <c r="M6371" s="24" t="str" cm="1">
        <f t="array" ref="M6371">IFERROR(IF($B6371=M$1, ($A6371+$C6371) - MAX(IF($B$2:$B6370=$B6371, $A$2:$A6370+$C$2:$C6370)), "")*24*60, "")</f>
        <v/>
      </c>
      <c r="N6371" s="24" t="str" cm="1">
        <f t="array" ref="N6371">IFERROR(IF($B6371=N$1, ($A6371+$C6371) - MAX(IF($B$2:$B6370=$B6371, $A$2:$A6370+$C$2:$C6370)), "")*24*60, "")</f>
        <v/>
      </c>
      <c r="O6371" s="24" t="str" cm="1">
        <f t="array" ref="O6371">IFERROR(IF($B6371=O$1, ($A6371+$C6371) - MAX(IF($B$2:$B6370=$B6371, $A$2:$A6370+$C$2:$C6370)), "")*24*60, "")</f>
        <v/>
      </c>
      <c r="P6371" s="24" t="str" cm="1">
        <f t="array" ref="P6371">IFERROR(IF($B6371=P$1, ($A6371+$C6371) - MAX(IF($B$2:$B6370=$B6371, $A$2:$A6370+$C$2:$C6370)), "")*24*60, "")</f>
        <v/>
      </c>
      <c r="Q6371" s="24" t="str" cm="1">
        <f t="array" ref="Q6371">IFERROR(IF($B6371=Q$1, ($A6371+$C6371) - MAX(IF($B$2:$B6370=$B6371, $A$2:$A6370+$C$2:$C6370)), "")*24*60, "")</f>
        <v/>
      </c>
      <c r="R6371" s="24" t="str" cm="1">
        <f t="array" ref="R6371">IFERROR(IF($B6371=R$1, ($A6371+$C6371) - MAX(IF($B$2:$B6370=$B6371, $A$2:$A6370+$C$2:$C6370)), "")*24*60, "")</f>
        <v/>
      </c>
      <c r="S6371" s="24" t="str" cm="1">
        <f t="array" ref="S6371">IFERROR(IF($B6371=S$1, ($A6371+$C6371) - MAX(IF($B$2:$B6370=$B6371, $A$2:$A6370+$C$2:$C6370)), "")*24*60, "")</f>
        <v/>
      </c>
    </row>
    <row r="6372" spans="1:19" x14ac:dyDescent="0.2">
      <c r="A6372" s="12">
        <f t="shared" ref="A6372:C6372" si="1353">A6371</f>
        <v>45988</v>
      </c>
      <c r="B6372" s="5" t="str">
        <f t="shared" si="1353"/>
        <v>Northern Cardinal</v>
      </c>
      <c r="C6372" s="6">
        <f t="shared" si="1353"/>
        <v>0.28472222222222221</v>
      </c>
      <c r="D6372" s="5"/>
      <c r="E6372" s="5"/>
      <c r="F6372" s="5" t="s">
        <v>8</v>
      </c>
      <c r="G6372" s="15" t="s">
        <v>9</v>
      </c>
      <c r="H6372" s="24">
        <f t="shared" si="1343"/>
        <v>0</v>
      </c>
      <c r="I6372" s="24" cm="1">
        <f t="array" ref="I6372">IFERROR(IF($B6372=I$1, ($A6372+$C6372) - MAX(IF($B$2:$B6371=$B6372, $A$2:$A6371+$C$2:$C6371)), "")*24*60, "")</f>
        <v>0</v>
      </c>
      <c r="J6372" s="24" t="str" cm="1">
        <f t="array" ref="J6372">IFERROR(IF($B6372=J$1, ($A6372+$C6372) - MAX(IF($B$2:$B6371=$B6372, $A$2:$A6371+$C$2:$C6371)), "")*24*60, "")</f>
        <v/>
      </c>
      <c r="K6372" s="24" t="str" cm="1">
        <f t="array" ref="K6372">IFERROR(IF($B6372=K$1, ($A6372+$C6372) - MAX(IF($B$2:$B6371=$B6372, $A$2:$A6371+$C$2:$C6371)), "")*24*60, "")</f>
        <v/>
      </c>
      <c r="L6372" s="24" t="str" cm="1">
        <f t="array" ref="L6372">IFERROR(IF($B6372=L$1, ($A6372+$C6372) - MAX(IF($B$2:$B6371=$B6372, $A$2:$A6371+$C$2:$C6371)), "")*24*60, "")</f>
        <v/>
      </c>
      <c r="M6372" s="24" t="str" cm="1">
        <f t="array" ref="M6372">IFERROR(IF($B6372=M$1, ($A6372+$C6372) - MAX(IF($B$2:$B6371=$B6372, $A$2:$A6371+$C$2:$C6371)), "")*24*60, "")</f>
        <v/>
      </c>
      <c r="N6372" s="24" t="str" cm="1">
        <f t="array" ref="N6372">IFERROR(IF($B6372=N$1, ($A6372+$C6372) - MAX(IF($B$2:$B6371=$B6372, $A$2:$A6371+$C$2:$C6371)), "")*24*60, "")</f>
        <v/>
      </c>
      <c r="O6372" s="24" t="str" cm="1">
        <f t="array" ref="O6372">IFERROR(IF($B6372=O$1, ($A6372+$C6372) - MAX(IF($B$2:$B6371=$B6372, $A$2:$A6371+$C$2:$C6371)), "")*24*60, "")</f>
        <v/>
      </c>
      <c r="P6372" s="24" t="str" cm="1">
        <f t="array" ref="P6372">IFERROR(IF($B6372=P$1, ($A6372+$C6372) - MAX(IF($B$2:$B6371=$B6372, $A$2:$A6371+$C$2:$C6371)), "")*24*60, "")</f>
        <v/>
      </c>
      <c r="Q6372" s="24" t="str" cm="1">
        <f t="array" ref="Q6372">IFERROR(IF($B6372=Q$1, ($A6372+$C6372) - MAX(IF($B$2:$B6371=$B6372, $A$2:$A6371+$C$2:$C6371)), "")*24*60, "")</f>
        <v/>
      </c>
      <c r="R6372" s="24" t="str" cm="1">
        <f t="array" ref="R6372">IFERROR(IF($B6372=R$1, ($A6372+$C6372) - MAX(IF($B$2:$B6371=$B6372, $A$2:$A6371+$C$2:$C6371)), "")*24*60, "")</f>
        <v/>
      </c>
      <c r="S6372" s="24" t="str" cm="1">
        <f t="array" ref="S6372">IFERROR(IF($B6372=S$1, ($A6372+$C6372) - MAX(IF($B$2:$B6371=$B6372, $A$2:$A6371+$C$2:$C6371)), "")*24*60, "")</f>
        <v/>
      </c>
    </row>
    <row r="6373" spans="1:19" x14ac:dyDescent="0.2">
      <c r="A6373" s="12">
        <f t="shared" ref="A6373:C6373" si="1354">A6372</f>
        <v>45988</v>
      </c>
      <c r="B6373" s="5" t="str">
        <f t="shared" si="1354"/>
        <v>Northern Cardinal</v>
      </c>
      <c r="C6373" s="6">
        <f t="shared" si="1354"/>
        <v>0.28472222222222221</v>
      </c>
      <c r="D6373" s="5"/>
      <c r="E6373" s="5"/>
      <c r="F6373" s="5" t="s">
        <v>8</v>
      </c>
      <c r="G6373" s="15" t="s">
        <v>9</v>
      </c>
      <c r="H6373" s="24">
        <f t="shared" si="1343"/>
        <v>0</v>
      </c>
      <c r="I6373" s="24" cm="1">
        <f t="array" ref="I6373">IFERROR(IF($B6373=I$1, ($A6373+$C6373) - MAX(IF($B$2:$B6372=$B6373, $A$2:$A6372+$C$2:$C6372)), "")*24*60, "")</f>
        <v>0</v>
      </c>
      <c r="J6373" s="24" t="str" cm="1">
        <f t="array" ref="J6373">IFERROR(IF($B6373=J$1, ($A6373+$C6373) - MAX(IF($B$2:$B6372=$B6373, $A$2:$A6372+$C$2:$C6372)), "")*24*60, "")</f>
        <v/>
      </c>
      <c r="K6373" s="24" t="str" cm="1">
        <f t="array" ref="K6373">IFERROR(IF($B6373=K$1, ($A6373+$C6373) - MAX(IF($B$2:$B6372=$B6373, $A$2:$A6372+$C$2:$C6372)), "")*24*60, "")</f>
        <v/>
      </c>
      <c r="L6373" s="24" t="str" cm="1">
        <f t="array" ref="L6373">IFERROR(IF($B6373=L$1, ($A6373+$C6373) - MAX(IF($B$2:$B6372=$B6373, $A$2:$A6372+$C$2:$C6372)), "")*24*60, "")</f>
        <v/>
      </c>
      <c r="M6373" s="24" t="str" cm="1">
        <f t="array" ref="M6373">IFERROR(IF($B6373=M$1, ($A6373+$C6373) - MAX(IF($B$2:$B6372=$B6373, $A$2:$A6372+$C$2:$C6372)), "")*24*60, "")</f>
        <v/>
      </c>
      <c r="N6373" s="24" t="str" cm="1">
        <f t="array" ref="N6373">IFERROR(IF($B6373=N$1, ($A6373+$C6373) - MAX(IF($B$2:$B6372=$B6373, $A$2:$A6372+$C$2:$C6372)), "")*24*60, "")</f>
        <v/>
      </c>
      <c r="O6373" s="24" t="str" cm="1">
        <f t="array" ref="O6373">IFERROR(IF($B6373=O$1, ($A6373+$C6373) - MAX(IF($B$2:$B6372=$B6373, $A$2:$A6372+$C$2:$C6372)), "")*24*60, "")</f>
        <v/>
      </c>
      <c r="P6373" s="24" t="str" cm="1">
        <f t="array" ref="P6373">IFERROR(IF($B6373=P$1, ($A6373+$C6373) - MAX(IF($B$2:$B6372=$B6373, $A$2:$A6372+$C$2:$C6372)), "")*24*60, "")</f>
        <v/>
      </c>
      <c r="Q6373" s="24" t="str" cm="1">
        <f t="array" ref="Q6373">IFERROR(IF($B6373=Q$1, ($A6373+$C6373) - MAX(IF($B$2:$B6372=$B6373, $A$2:$A6372+$C$2:$C6372)), "")*24*60, "")</f>
        <v/>
      </c>
      <c r="R6373" s="24" t="str" cm="1">
        <f t="array" ref="R6373">IFERROR(IF($B6373=R$1, ($A6373+$C6373) - MAX(IF($B$2:$B6372=$B6373, $A$2:$A6372+$C$2:$C6372)), "")*24*60, "")</f>
        <v/>
      </c>
      <c r="S6373" s="24" t="str" cm="1">
        <f t="array" ref="S6373">IFERROR(IF($B6373=S$1, ($A6373+$C6373) - MAX(IF($B$2:$B6372=$B6373, $A$2:$A6372+$C$2:$C6372)), "")*24*60, "")</f>
        <v/>
      </c>
    </row>
    <row r="6374" spans="1:19" x14ac:dyDescent="0.2">
      <c r="A6374" s="12">
        <f t="shared" ref="A6374:C6374" si="1355">A6373</f>
        <v>45988</v>
      </c>
      <c r="B6374" s="5" t="str">
        <f t="shared" si="1355"/>
        <v>Northern Cardinal</v>
      </c>
      <c r="C6374" s="6">
        <f t="shared" si="1355"/>
        <v>0.28472222222222221</v>
      </c>
      <c r="D6374" s="5"/>
      <c r="E6374" s="5"/>
      <c r="F6374" s="5" t="s">
        <v>8</v>
      </c>
      <c r="G6374" s="15" t="s">
        <v>9</v>
      </c>
      <c r="H6374" s="24">
        <f t="shared" si="1343"/>
        <v>0</v>
      </c>
      <c r="I6374" s="24" cm="1">
        <f t="array" ref="I6374">IFERROR(IF($B6374=I$1, ($A6374+$C6374) - MAX(IF($B$2:$B6373=$B6374, $A$2:$A6373+$C$2:$C6373)), "")*24*60, "")</f>
        <v>0</v>
      </c>
      <c r="J6374" s="24" t="str" cm="1">
        <f t="array" ref="J6374">IFERROR(IF($B6374=J$1, ($A6374+$C6374) - MAX(IF($B$2:$B6373=$B6374, $A$2:$A6373+$C$2:$C6373)), "")*24*60, "")</f>
        <v/>
      </c>
      <c r="K6374" s="24" t="str" cm="1">
        <f t="array" ref="K6374">IFERROR(IF($B6374=K$1, ($A6374+$C6374) - MAX(IF($B$2:$B6373=$B6374, $A$2:$A6373+$C$2:$C6373)), "")*24*60, "")</f>
        <v/>
      </c>
      <c r="L6374" s="24" t="str" cm="1">
        <f t="array" ref="L6374">IFERROR(IF($B6374=L$1, ($A6374+$C6374) - MAX(IF($B$2:$B6373=$B6374, $A$2:$A6373+$C$2:$C6373)), "")*24*60, "")</f>
        <v/>
      </c>
      <c r="M6374" s="24" t="str" cm="1">
        <f t="array" ref="M6374">IFERROR(IF($B6374=M$1, ($A6374+$C6374) - MAX(IF($B$2:$B6373=$B6374, $A$2:$A6373+$C$2:$C6373)), "")*24*60, "")</f>
        <v/>
      </c>
      <c r="N6374" s="24" t="str" cm="1">
        <f t="array" ref="N6374">IFERROR(IF($B6374=N$1, ($A6374+$C6374) - MAX(IF($B$2:$B6373=$B6374, $A$2:$A6373+$C$2:$C6373)), "")*24*60, "")</f>
        <v/>
      </c>
      <c r="O6374" s="24" t="str" cm="1">
        <f t="array" ref="O6374">IFERROR(IF($B6374=O$1, ($A6374+$C6374) - MAX(IF($B$2:$B6373=$B6374, $A$2:$A6373+$C$2:$C6373)), "")*24*60, "")</f>
        <v/>
      </c>
      <c r="P6374" s="24" t="str" cm="1">
        <f t="array" ref="P6374">IFERROR(IF($B6374=P$1, ($A6374+$C6374) - MAX(IF($B$2:$B6373=$B6374, $A$2:$A6373+$C$2:$C6373)), "")*24*60, "")</f>
        <v/>
      </c>
      <c r="Q6374" s="24" t="str" cm="1">
        <f t="array" ref="Q6374">IFERROR(IF($B6374=Q$1, ($A6374+$C6374) - MAX(IF($B$2:$B6373=$B6374, $A$2:$A6373+$C$2:$C6373)), "")*24*60, "")</f>
        <v/>
      </c>
      <c r="R6374" s="24" t="str" cm="1">
        <f t="array" ref="R6374">IFERROR(IF($B6374=R$1, ($A6374+$C6374) - MAX(IF($B$2:$B6373=$B6374, $A$2:$A6373+$C$2:$C6373)), "")*24*60, "")</f>
        <v/>
      </c>
      <c r="S6374" s="24" t="str" cm="1">
        <f t="array" ref="S6374">IFERROR(IF($B6374=S$1, ($A6374+$C6374) - MAX(IF($B$2:$B6373=$B6374, $A$2:$A6373+$C$2:$C6373)), "")*24*60, "")</f>
        <v/>
      </c>
    </row>
    <row r="6375" spans="1:19" x14ac:dyDescent="0.2">
      <c r="A6375" s="12">
        <f t="shared" ref="A6375:C6375" si="1356">A6374</f>
        <v>45988</v>
      </c>
      <c r="B6375" s="5" t="str">
        <f t="shared" si="1356"/>
        <v>Northern Cardinal</v>
      </c>
      <c r="C6375" s="6">
        <f t="shared" si="1356"/>
        <v>0.28472222222222221</v>
      </c>
      <c r="D6375" s="5"/>
      <c r="E6375" s="5"/>
      <c r="F6375" s="5" t="s">
        <v>8</v>
      </c>
      <c r="G6375" s="15" t="s">
        <v>9</v>
      </c>
      <c r="H6375" s="24">
        <f t="shared" si="1343"/>
        <v>0</v>
      </c>
      <c r="I6375" s="24" cm="1">
        <f t="array" ref="I6375">IFERROR(IF($B6375=I$1, ($A6375+$C6375) - MAX(IF($B$2:$B6374=$B6375, $A$2:$A6374+$C$2:$C6374)), "")*24*60, "")</f>
        <v>0</v>
      </c>
      <c r="J6375" s="24" t="str" cm="1">
        <f t="array" ref="J6375">IFERROR(IF($B6375=J$1, ($A6375+$C6375) - MAX(IF($B$2:$B6374=$B6375, $A$2:$A6374+$C$2:$C6374)), "")*24*60, "")</f>
        <v/>
      </c>
      <c r="K6375" s="24" t="str" cm="1">
        <f t="array" ref="K6375">IFERROR(IF($B6375=K$1, ($A6375+$C6375) - MAX(IF($B$2:$B6374=$B6375, $A$2:$A6374+$C$2:$C6374)), "")*24*60, "")</f>
        <v/>
      </c>
      <c r="L6375" s="24" t="str" cm="1">
        <f t="array" ref="L6375">IFERROR(IF($B6375=L$1, ($A6375+$C6375) - MAX(IF($B$2:$B6374=$B6375, $A$2:$A6374+$C$2:$C6374)), "")*24*60, "")</f>
        <v/>
      </c>
      <c r="M6375" s="24" t="str" cm="1">
        <f t="array" ref="M6375">IFERROR(IF($B6375=M$1, ($A6375+$C6375) - MAX(IF($B$2:$B6374=$B6375, $A$2:$A6374+$C$2:$C6374)), "")*24*60, "")</f>
        <v/>
      </c>
      <c r="N6375" s="24" t="str" cm="1">
        <f t="array" ref="N6375">IFERROR(IF($B6375=N$1, ($A6375+$C6375) - MAX(IF($B$2:$B6374=$B6375, $A$2:$A6374+$C$2:$C6374)), "")*24*60, "")</f>
        <v/>
      </c>
      <c r="O6375" s="24" t="str" cm="1">
        <f t="array" ref="O6375">IFERROR(IF($B6375=O$1, ($A6375+$C6375) - MAX(IF($B$2:$B6374=$B6375, $A$2:$A6374+$C$2:$C6374)), "")*24*60, "")</f>
        <v/>
      </c>
      <c r="P6375" s="24" t="str" cm="1">
        <f t="array" ref="P6375">IFERROR(IF($B6375=P$1, ($A6375+$C6375) - MAX(IF($B$2:$B6374=$B6375, $A$2:$A6374+$C$2:$C6374)), "")*24*60, "")</f>
        <v/>
      </c>
      <c r="Q6375" s="24" t="str" cm="1">
        <f t="array" ref="Q6375">IFERROR(IF($B6375=Q$1, ($A6375+$C6375) - MAX(IF($B$2:$B6374=$B6375, $A$2:$A6374+$C$2:$C6374)), "")*24*60, "")</f>
        <v/>
      </c>
      <c r="R6375" s="24" t="str" cm="1">
        <f t="array" ref="R6375">IFERROR(IF($B6375=R$1, ($A6375+$C6375) - MAX(IF($B$2:$B6374=$B6375, $A$2:$A6374+$C$2:$C6374)), "")*24*60, "")</f>
        <v/>
      </c>
      <c r="S6375" s="24" t="str" cm="1">
        <f t="array" ref="S6375">IFERROR(IF($B6375=S$1, ($A6375+$C6375) - MAX(IF($B$2:$B6374=$B6375, $A$2:$A6374+$C$2:$C6374)), "")*24*60, "")</f>
        <v/>
      </c>
    </row>
    <row r="6376" spans="1:19" x14ac:dyDescent="0.2">
      <c r="A6376" s="12">
        <f t="shared" ref="A6376:C6376" si="1357">A6375</f>
        <v>45988</v>
      </c>
      <c r="B6376" s="5" t="str">
        <f t="shared" si="1357"/>
        <v>Northern Cardinal</v>
      </c>
      <c r="C6376" s="6">
        <f t="shared" si="1357"/>
        <v>0.28472222222222221</v>
      </c>
      <c r="D6376" s="5"/>
      <c r="E6376" s="5"/>
      <c r="F6376" s="5" t="s">
        <v>8</v>
      </c>
      <c r="G6376" s="15" t="s">
        <v>9</v>
      </c>
      <c r="H6376" s="24">
        <f t="shared" si="1343"/>
        <v>0</v>
      </c>
      <c r="I6376" s="24" cm="1">
        <f t="array" ref="I6376">IFERROR(IF($B6376=I$1, ($A6376+$C6376) - MAX(IF($B$2:$B6375=$B6376, $A$2:$A6375+$C$2:$C6375)), "")*24*60, "")</f>
        <v>0</v>
      </c>
      <c r="J6376" s="24" t="str" cm="1">
        <f t="array" ref="J6376">IFERROR(IF($B6376=J$1, ($A6376+$C6376) - MAX(IF($B$2:$B6375=$B6376, $A$2:$A6375+$C$2:$C6375)), "")*24*60, "")</f>
        <v/>
      </c>
      <c r="K6376" s="24" t="str" cm="1">
        <f t="array" ref="K6376">IFERROR(IF($B6376=K$1, ($A6376+$C6376) - MAX(IF($B$2:$B6375=$B6376, $A$2:$A6375+$C$2:$C6375)), "")*24*60, "")</f>
        <v/>
      </c>
      <c r="L6376" s="24" t="str" cm="1">
        <f t="array" ref="L6376">IFERROR(IF($B6376=L$1, ($A6376+$C6376) - MAX(IF($B$2:$B6375=$B6376, $A$2:$A6375+$C$2:$C6375)), "")*24*60, "")</f>
        <v/>
      </c>
      <c r="M6376" s="24" t="str" cm="1">
        <f t="array" ref="M6376">IFERROR(IF($B6376=M$1, ($A6376+$C6376) - MAX(IF($B$2:$B6375=$B6376, $A$2:$A6375+$C$2:$C6375)), "")*24*60, "")</f>
        <v/>
      </c>
      <c r="N6376" s="24" t="str" cm="1">
        <f t="array" ref="N6376">IFERROR(IF($B6376=N$1, ($A6376+$C6376) - MAX(IF($B$2:$B6375=$B6376, $A$2:$A6375+$C$2:$C6375)), "")*24*60, "")</f>
        <v/>
      </c>
      <c r="O6376" s="24" t="str" cm="1">
        <f t="array" ref="O6376">IFERROR(IF($B6376=O$1, ($A6376+$C6376) - MAX(IF($B$2:$B6375=$B6376, $A$2:$A6375+$C$2:$C6375)), "")*24*60, "")</f>
        <v/>
      </c>
      <c r="P6376" s="24" t="str" cm="1">
        <f t="array" ref="P6376">IFERROR(IF($B6376=P$1, ($A6376+$C6376) - MAX(IF($B$2:$B6375=$B6376, $A$2:$A6375+$C$2:$C6375)), "")*24*60, "")</f>
        <v/>
      </c>
      <c r="Q6376" s="24" t="str" cm="1">
        <f t="array" ref="Q6376">IFERROR(IF($B6376=Q$1, ($A6376+$C6376) - MAX(IF($B$2:$B6375=$B6376, $A$2:$A6375+$C$2:$C6375)), "")*24*60, "")</f>
        <v/>
      </c>
      <c r="R6376" s="24" t="str" cm="1">
        <f t="array" ref="R6376">IFERROR(IF($B6376=R$1, ($A6376+$C6376) - MAX(IF($B$2:$B6375=$B6376, $A$2:$A6375+$C$2:$C6375)), "")*24*60, "")</f>
        <v/>
      </c>
      <c r="S6376" s="24" t="str" cm="1">
        <f t="array" ref="S6376">IFERROR(IF($B6376=S$1, ($A6376+$C6376) - MAX(IF($B$2:$B6375=$B6376, $A$2:$A6375+$C$2:$C6375)), "")*24*60, "")</f>
        <v/>
      </c>
    </row>
    <row r="6377" spans="1:19" x14ac:dyDescent="0.2">
      <c r="A6377" s="12">
        <f t="shared" ref="A6377:C6377" si="1358">A6376</f>
        <v>45988</v>
      </c>
      <c r="B6377" s="5" t="str">
        <f t="shared" si="1358"/>
        <v>Northern Cardinal</v>
      </c>
      <c r="C6377" s="6">
        <f t="shared" si="1358"/>
        <v>0.28472222222222221</v>
      </c>
      <c r="D6377" s="5"/>
      <c r="E6377" s="5"/>
      <c r="F6377" s="5" t="s">
        <v>8</v>
      </c>
      <c r="G6377" s="15" t="s">
        <v>9</v>
      </c>
      <c r="H6377" s="24">
        <f t="shared" si="1343"/>
        <v>0</v>
      </c>
      <c r="I6377" s="24" cm="1">
        <f t="array" ref="I6377">IFERROR(IF($B6377=I$1, ($A6377+$C6377) - MAX(IF($B$2:$B6376=$B6377, $A$2:$A6376+$C$2:$C6376)), "")*24*60, "")</f>
        <v>0</v>
      </c>
      <c r="J6377" s="24" t="str" cm="1">
        <f t="array" ref="J6377">IFERROR(IF($B6377=J$1, ($A6377+$C6377) - MAX(IF($B$2:$B6376=$B6377, $A$2:$A6376+$C$2:$C6376)), "")*24*60, "")</f>
        <v/>
      </c>
      <c r="K6377" s="24" t="str" cm="1">
        <f t="array" ref="K6377">IFERROR(IF($B6377=K$1, ($A6377+$C6377) - MAX(IF($B$2:$B6376=$B6377, $A$2:$A6376+$C$2:$C6376)), "")*24*60, "")</f>
        <v/>
      </c>
      <c r="L6377" s="24" t="str" cm="1">
        <f t="array" ref="L6377">IFERROR(IF($B6377=L$1, ($A6377+$C6377) - MAX(IF($B$2:$B6376=$B6377, $A$2:$A6376+$C$2:$C6376)), "")*24*60, "")</f>
        <v/>
      </c>
      <c r="M6377" s="24" t="str" cm="1">
        <f t="array" ref="M6377">IFERROR(IF($B6377=M$1, ($A6377+$C6377) - MAX(IF($B$2:$B6376=$B6377, $A$2:$A6376+$C$2:$C6376)), "")*24*60, "")</f>
        <v/>
      </c>
      <c r="N6377" s="24" t="str" cm="1">
        <f t="array" ref="N6377">IFERROR(IF($B6377=N$1, ($A6377+$C6377) - MAX(IF($B$2:$B6376=$B6377, $A$2:$A6376+$C$2:$C6376)), "")*24*60, "")</f>
        <v/>
      </c>
      <c r="O6377" s="24" t="str" cm="1">
        <f t="array" ref="O6377">IFERROR(IF($B6377=O$1, ($A6377+$C6377) - MAX(IF($B$2:$B6376=$B6377, $A$2:$A6376+$C$2:$C6376)), "")*24*60, "")</f>
        <v/>
      </c>
      <c r="P6377" s="24" t="str" cm="1">
        <f t="array" ref="P6377">IFERROR(IF($B6377=P$1, ($A6377+$C6377) - MAX(IF($B$2:$B6376=$B6377, $A$2:$A6376+$C$2:$C6376)), "")*24*60, "")</f>
        <v/>
      </c>
      <c r="Q6377" s="24" t="str" cm="1">
        <f t="array" ref="Q6377">IFERROR(IF($B6377=Q$1, ($A6377+$C6377) - MAX(IF($B$2:$B6376=$B6377, $A$2:$A6376+$C$2:$C6376)), "")*24*60, "")</f>
        <v/>
      </c>
      <c r="R6377" s="24" t="str" cm="1">
        <f t="array" ref="R6377">IFERROR(IF($B6377=R$1, ($A6377+$C6377) - MAX(IF($B$2:$B6376=$B6377, $A$2:$A6376+$C$2:$C6376)), "")*24*60, "")</f>
        <v/>
      </c>
      <c r="S6377" s="24" t="str" cm="1">
        <f t="array" ref="S6377">IFERROR(IF($B6377=S$1, ($A6377+$C6377) - MAX(IF($B$2:$B6376=$B6377, $A$2:$A6376+$C$2:$C6376)), "")*24*60, "")</f>
        <v/>
      </c>
    </row>
    <row r="6378" spans="1:19" x14ac:dyDescent="0.2">
      <c r="A6378" s="12">
        <f t="shared" ref="A6378:C6378" si="1359">A6377</f>
        <v>45988</v>
      </c>
      <c r="B6378" s="5" t="str">
        <f t="shared" si="1359"/>
        <v>Northern Cardinal</v>
      </c>
      <c r="C6378" s="6">
        <f t="shared" si="1359"/>
        <v>0.28472222222222221</v>
      </c>
      <c r="D6378" s="5"/>
      <c r="E6378" s="5"/>
      <c r="F6378" s="5" t="s">
        <v>8</v>
      </c>
      <c r="G6378" s="15" t="s">
        <v>9</v>
      </c>
      <c r="H6378" s="24">
        <f t="shared" si="1343"/>
        <v>0</v>
      </c>
      <c r="I6378" s="24" cm="1">
        <f t="array" ref="I6378">IFERROR(IF($B6378=I$1, ($A6378+$C6378) - MAX(IF($B$2:$B6377=$B6378, $A$2:$A6377+$C$2:$C6377)), "")*24*60, "")</f>
        <v>0</v>
      </c>
      <c r="J6378" s="24" t="str" cm="1">
        <f t="array" ref="J6378">IFERROR(IF($B6378=J$1, ($A6378+$C6378) - MAX(IF($B$2:$B6377=$B6378, $A$2:$A6377+$C$2:$C6377)), "")*24*60, "")</f>
        <v/>
      </c>
      <c r="K6378" s="24" t="str" cm="1">
        <f t="array" ref="K6378">IFERROR(IF($B6378=K$1, ($A6378+$C6378) - MAX(IF($B$2:$B6377=$B6378, $A$2:$A6377+$C$2:$C6377)), "")*24*60, "")</f>
        <v/>
      </c>
      <c r="L6378" s="24" t="str" cm="1">
        <f t="array" ref="L6378">IFERROR(IF($B6378=L$1, ($A6378+$C6378) - MAX(IF($B$2:$B6377=$B6378, $A$2:$A6377+$C$2:$C6377)), "")*24*60, "")</f>
        <v/>
      </c>
      <c r="M6378" s="24" t="str" cm="1">
        <f t="array" ref="M6378">IFERROR(IF($B6378=M$1, ($A6378+$C6378) - MAX(IF($B$2:$B6377=$B6378, $A$2:$A6377+$C$2:$C6377)), "")*24*60, "")</f>
        <v/>
      </c>
      <c r="N6378" s="24" t="str" cm="1">
        <f t="array" ref="N6378">IFERROR(IF($B6378=N$1, ($A6378+$C6378) - MAX(IF($B$2:$B6377=$B6378, $A$2:$A6377+$C$2:$C6377)), "")*24*60, "")</f>
        <v/>
      </c>
      <c r="O6378" s="24" t="str" cm="1">
        <f t="array" ref="O6378">IFERROR(IF($B6378=O$1, ($A6378+$C6378) - MAX(IF($B$2:$B6377=$B6378, $A$2:$A6377+$C$2:$C6377)), "")*24*60, "")</f>
        <v/>
      </c>
      <c r="P6378" s="24" t="str" cm="1">
        <f t="array" ref="P6378">IFERROR(IF($B6378=P$1, ($A6378+$C6378) - MAX(IF($B$2:$B6377=$B6378, $A$2:$A6377+$C$2:$C6377)), "")*24*60, "")</f>
        <v/>
      </c>
      <c r="Q6378" s="24" t="str" cm="1">
        <f t="array" ref="Q6378">IFERROR(IF($B6378=Q$1, ($A6378+$C6378) - MAX(IF($B$2:$B6377=$B6378, $A$2:$A6377+$C$2:$C6377)), "")*24*60, "")</f>
        <v/>
      </c>
      <c r="R6378" s="24" t="str" cm="1">
        <f t="array" ref="R6378">IFERROR(IF($B6378=R$1, ($A6378+$C6378) - MAX(IF($B$2:$B6377=$B6378, $A$2:$A6377+$C$2:$C6377)), "")*24*60, "")</f>
        <v/>
      </c>
      <c r="S6378" s="24" t="str" cm="1">
        <f t="array" ref="S6378">IFERROR(IF($B6378=S$1, ($A6378+$C6378) - MAX(IF($B$2:$B6377=$B6378, $A$2:$A6377+$C$2:$C6377)), "")*24*60, "")</f>
        <v/>
      </c>
    </row>
    <row r="6379" spans="1:19" x14ac:dyDescent="0.2">
      <c r="A6379" s="12">
        <f t="shared" ref="A6379:C6379" si="1360">A6378</f>
        <v>45988</v>
      </c>
      <c r="B6379" s="5" t="str">
        <f t="shared" si="1360"/>
        <v>Northern Cardinal</v>
      </c>
      <c r="C6379" s="6">
        <f t="shared" si="1360"/>
        <v>0.28472222222222221</v>
      </c>
      <c r="D6379" s="5"/>
      <c r="E6379" s="5"/>
      <c r="F6379" s="5" t="s">
        <v>8</v>
      </c>
      <c r="G6379" s="15" t="s">
        <v>9</v>
      </c>
      <c r="H6379" s="24">
        <f t="shared" si="1343"/>
        <v>0</v>
      </c>
      <c r="I6379" s="24" cm="1">
        <f t="array" ref="I6379">IFERROR(IF($B6379=I$1, ($A6379+$C6379) - MAX(IF($B$2:$B6378=$B6379, $A$2:$A6378+$C$2:$C6378)), "")*24*60, "")</f>
        <v>0</v>
      </c>
      <c r="J6379" s="24" t="str" cm="1">
        <f t="array" ref="J6379">IFERROR(IF($B6379=J$1, ($A6379+$C6379) - MAX(IF($B$2:$B6378=$B6379, $A$2:$A6378+$C$2:$C6378)), "")*24*60, "")</f>
        <v/>
      </c>
      <c r="K6379" s="24" t="str" cm="1">
        <f t="array" ref="K6379">IFERROR(IF($B6379=K$1, ($A6379+$C6379) - MAX(IF($B$2:$B6378=$B6379, $A$2:$A6378+$C$2:$C6378)), "")*24*60, "")</f>
        <v/>
      </c>
      <c r="L6379" s="24" t="str" cm="1">
        <f t="array" ref="L6379">IFERROR(IF($B6379=L$1, ($A6379+$C6379) - MAX(IF($B$2:$B6378=$B6379, $A$2:$A6378+$C$2:$C6378)), "")*24*60, "")</f>
        <v/>
      </c>
      <c r="M6379" s="24" t="str" cm="1">
        <f t="array" ref="M6379">IFERROR(IF($B6379=M$1, ($A6379+$C6379) - MAX(IF($B$2:$B6378=$B6379, $A$2:$A6378+$C$2:$C6378)), "")*24*60, "")</f>
        <v/>
      </c>
      <c r="N6379" s="24" t="str" cm="1">
        <f t="array" ref="N6379">IFERROR(IF($B6379=N$1, ($A6379+$C6379) - MAX(IF($B$2:$B6378=$B6379, $A$2:$A6378+$C$2:$C6378)), "")*24*60, "")</f>
        <v/>
      </c>
      <c r="O6379" s="24" t="str" cm="1">
        <f t="array" ref="O6379">IFERROR(IF($B6379=O$1, ($A6379+$C6379) - MAX(IF($B$2:$B6378=$B6379, $A$2:$A6378+$C$2:$C6378)), "")*24*60, "")</f>
        <v/>
      </c>
      <c r="P6379" s="24" t="str" cm="1">
        <f t="array" ref="P6379">IFERROR(IF($B6379=P$1, ($A6379+$C6379) - MAX(IF($B$2:$B6378=$B6379, $A$2:$A6378+$C$2:$C6378)), "")*24*60, "")</f>
        <v/>
      </c>
      <c r="Q6379" s="24" t="str" cm="1">
        <f t="array" ref="Q6379">IFERROR(IF($B6379=Q$1, ($A6379+$C6379) - MAX(IF($B$2:$B6378=$B6379, $A$2:$A6378+$C$2:$C6378)), "")*24*60, "")</f>
        <v/>
      </c>
      <c r="R6379" s="24" t="str" cm="1">
        <f t="array" ref="R6379">IFERROR(IF($B6379=R$1, ($A6379+$C6379) - MAX(IF($B$2:$B6378=$B6379, $A$2:$A6378+$C$2:$C6378)), "")*24*60, "")</f>
        <v/>
      </c>
      <c r="S6379" s="24" t="str" cm="1">
        <f t="array" ref="S6379">IFERROR(IF($B6379=S$1, ($A6379+$C6379) - MAX(IF($B$2:$B6378=$B6379, $A$2:$A6378+$C$2:$C6378)), "")*24*60, "")</f>
        <v/>
      </c>
    </row>
    <row r="6380" spans="1:19" x14ac:dyDescent="0.2">
      <c r="A6380" s="12">
        <f t="shared" ref="A6380:C6380" si="1361">A6379</f>
        <v>45988</v>
      </c>
      <c r="B6380" s="5" t="str">
        <f t="shared" si="1361"/>
        <v>Northern Cardinal</v>
      </c>
      <c r="C6380" s="6">
        <f t="shared" si="1361"/>
        <v>0.28472222222222221</v>
      </c>
      <c r="D6380" s="5"/>
      <c r="E6380" s="5"/>
      <c r="F6380" s="5" t="s">
        <v>8</v>
      </c>
      <c r="G6380" s="15" t="s">
        <v>9</v>
      </c>
      <c r="H6380" s="24">
        <f t="shared" si="1343"/>
        <v>0</v>
      </c>
      <c r="I6380" s="24" cm="1">
        <f t="array" ref="I6380">IFERROR(IF($B6380=I$1, ($A6380+$C6380) - MAX(IF($B$2:$B6379=$B6380, $A$2:$A6379+$C$2:$C6379)), "")*24*60, "")</f>
        <v>0</v>
      </c>
      <c r="J6380" s="24" t="str" cm="1">
        <f t="array" ref="J6380">IFERROR(IF($B6380=J$1, ($A6380+$C6380) - MAX(IF($B$2:$B6379=$B6380, $A$2:$A6379+$C$2:$C6379)), "")*24*60, "")</f>
        <v/>
      </c>
      <c r="K6380" s="24" t="str" cm="1">
        <f t="array" ref="K6380">IFERROR(IF($B6380=K$1, ($A6380+$C6380) - MAX(IF($B$2:$B6379=$B6380, $A$2:$A6379+$C$2:$C6379)), "")*24*60, "")</f>
        <v/>
      </c>
      <c r="L6380" s="24" t="str" cm="1">
        <f t="array" ref="L6380">IFERROR(IF($B6380=L$1, ($A6380+$C6380) - MAX(IF($B$2:$B6379=$B6380, $A$2:$A6379+$C$2:$C6379)), "")*24*60, "")</f>
        <v/>
      </c>
      <c r="M6380" s="24" t="str" cm="1">
        <f t="array" ref="M6380">IFERROR(IF($B6380=M$1, ($A6380+$C6380) - MAX(IF($B$2:$B6379=$B6380, $A$2:$A6379+$C$2:$C6379)), "")*24*60, "")</f>
        <v/>
      </c>
      <c r="N6380" s="24" t="str" cm="1">
        <f t="array" ref="N6380">IFERROR(IF($B6380=N$1, ($A6380+$C6380) - MAX(IF($B$2:$B6379=$B6380, $A$2:$A6379+$C$2:$C6379)), "")*24*60, "")</f>
        <v/>
      </c>
      <c r="O6380" s="24" t="str" cm="1">
        <f t="array" ref="O6380">IFERROR(IF($B6380=O$1, ($A6380+$C6380) - MAX(IF($B$2:$B6379=$B6380, $A$2:$A6379+$C$2:$C6379)), "")*24*60, "")</f>
        <v/>
      </c>
      <c r="P6380" s="24" t="str" cm="1">
        <f t="array" ref="P6380">IFERROR(IF($B6380=P$1, ($A6380+$C6380) - MAX(IF($B$2:$B6379=$B6380, $A$2:$A6379+$C$2:$C6379)), "")*24*60, "")</f>
        <v/>
      </c>
      <c r="Q6380" s="24" t="str" cm="1">
        <f t="array" ref="Q6380">IFERROR(IF($B6380=Q$1, ($A6380+$C6380) - MAX(IF($B$2:$B6379=$B6380, $A$2:$A6379+$C$2:$C6379)), "")*24*60, "")</f>
        <v/>
      </c>
      <c r="R6380" s="24" t="str" cm="1">
        <f t="array" ref="R6380">IFERROR(IF($B6380=R$1, ($A6380+$C6380) - MAX(IF($B$2:$B6379=$B6380, $A$2:$A6379+$C$2:$C6379)), "")*24*60, "")</f>
        <v/>
      </c>
      <c r="S6380" s="24" t="str" cm="1">
        <f t="array" ref="S6380">IFERROR(IF($B6380=S$1, ($A6380+$C6380) - MAX(IF($B$2:$B6379=$B6380, $A$2:$A6379+$C$2:$C6379)), "")*24*60, "")</f>
        <v/>
      </c>
    </row>
    <row r="6381" spans="1:19" x14ac:dyDescent="0.2">
      <c r="A6381" s="12">
        <f t="shared" ref="A6381:C6381" si="1362">A6380</f>
        <v>45988</v>
      </c>
      <c r="B6381" s="5" t="str">
        <f t="shared" si="1362"/>
        <v>Northern Cardinal</v>
      </c>
      <c r="C6381" s="6">
        <f t="shared" si="1362"/>
        <v>0.28472222222222221</v>
      </c>
      <c r="D6381" s="5"/>
      <c r="E6381" s="5"/>
      <c r="F6381" s="5" t="s">
        <v>8</v>
      </c>
      <c r="G6381" s="15" t="s">
        <v>9</v>
      </c>
      <c r="H6381" s="24">
        <f t="shared" si="1343"/>
        <v>0</v>
      </c>
      <c r="I6381" s="24" cm="1">
        <f t="array" ref="I6381">IFERROR(IF($B6381=I$1, ($A6381+$C6381) - MAX(IF($B$2:$B6380=$B6381, $A$2:$A6380+$C$2:$C6380)), "")*24*60, "")</f>
        <v>0</v>
      </c>
      <c r="J6381" s="24" t="str" cm="1">
        <f t="array" ref="J6381">IFERROR(IF($B6381=J$1, ($A6381+$C6381) - MAX(IF($B$2:$B6380=$B6381, $A$2:$A6380+$C$2:$C6380)), "")*24*60, "")</f>
        <v/>
      </c>
      <c r="K6381" s="24" t="str" cm="1">
        <f t="array" ref="K6381">IFERROR(IF($B6381=K$1, ($A6381+$C6381) - MAX(IF($B$2:$B6380=$B6381, $A$2:$A6380+$C$2:$C6380)), "")*24*60, "")</f>
        <v/>
      </c>
      <c r="L6381" s="24" t="str" cm="1">
        <f t="array" ref="L6381">IFERROR(IF($B6381=L$1, ($A6381+$C6381) - MAX(IF($B$2:$B6380=$B6381, $A$2:$A6380+$C$2:$C6380)), "")*24*60, "")</f>
        <v/>
      </c>
      <c r="M6381" s="24" t="str" cm="1">
        <f t="array" ref="M6381">IFERROR(IF($B6381=M$1, ($A6381+$C6381) - MAX(IF($B$2:$B6380=$B6381, $A$2:$A6380+$C$2:$C6380)), "")*24*60, "")</f>
        <v/>
      </c>
      <c r="N6381" s="24" t="str" cm="1">
        <f t="array" ref="N6381">IFERROR(IF($B6381=N$1, ($A6381+$C6381) - MAX(IF($B$2:$B6380=$B6381, $A$2:$A6380+$C$2:$C6380)), "")*24*60, "")</f>
        <v/>
      </c>
      <c r="O6381" s="24" t="str" cm="1">
        <f t="array" ref="O6381">IFERROR(IF($B6381=O$1, ($A6381+$C6381) - MAX(IF($B$2:$B6380=$B6381, $A$2:$A6380+$C$2:$C6380)), "")*24*60, "")</f>
        <v/>
      </c>
      <c r="P6381" s="24" t="str" cm="1">
        <f t="array" ref="P6381">IFERROR(IF($B6381=P$1, ($A6381+$C6381) - MAX(IF($B$2:$B6380=$B6381, $A$2:$A6380+$C$2:$C6380)), "")*24*60, "")</f>
        <v/>
      </c>
      <c r="Q6381" s="24" t="str" cm="1">
        <f t="array" ref="Q6381">IFERROR(IF($B6381=Q$1, ($A6381+$C6381) - MAX(IF($B$2:$B6380=$B6381, $A$2:$A6380+$C$2:$C6380)), "")*24*60, "")</f>
        <v/>
      </c>
      <c r="R6381" s="24" t="str" cm="1">
        <f t="array" ref="R6381">IFERROR(IF($B6381=R$1, ($A6381+$C6381) - MAX(IF($B$2:$B6380=$B6381, $A$2:$A6380+$C$2:$C6380)), "")*24*60, "")</f>
        <v/>
      </c>
      <c r="S6381" s="24" t="str" cm="1">
        <f t="array" ref="S6381">IFERROR(IF($B6381=S$1, ($A6381+$C6381) - MAX(IF($B$2:$B6380=$B6381, $A$2:$A6380+$C$2:$C6380)), "")*24*60, "")</f>
        <v/>
      </c>
    </row>
    <row r="6382" spans="1:19" x14ac:dyDescent="0.2">
      <c r="A6382" s="12">
        <f t="shared" ref="A6382:C6382" si="1363">A6381</f>
        <v>45988</v>
      </c>
      <c r="B6382" s="5" t="str">
        <f t="shared" si="1363"/>
        <v>Northern Cardinal</v>
      </c>
      <c r="C6382" s="6">
        <f t="shared" si="1363"/>
        <v>0.28472222222222221</v>
      </c>
      <c r="D6382" s="5"/>
      <c r="E6382" s="5"/>
      <c r="F6382" s="5" t="s">
        <v>8</v>
      </c>
      <c r="G6382" s="15" t="s">
        <v>9</v>
      </c>
      <c r="H6382" s="24">
        <f t="shared" si="1343"/>
        <v>0</v>
      </c>
      <c r="I6382" s="24" cm="1">
        <f t="array" ref="I6382">IFERROR(IF($B6382=I$1, ($A6382+$C6382) - MAX(IF($B$2:$B6381=$B6382, $A$2:$A6381+$C$2:$C6381)), "")*24*60, "")</f>
        <v>0</v>
      </c>
      <c r="J6382" s="24" t="str" cm="1">
        <f t="array" ref="J6382">IFERROR(IF($B6382=J$1, ($A6382+$C6382) - MAX(IF($B$2:$B6381=$B6382, $A$2:$A6381+$C$2:$C6381)), "")*24*60, "")</f>
        <v/>
      </c>
      <c r="K6382" s="24" t="str" cm="1">
        <f t="array" ref="K6382">IFERROR(IF($B6382=K$1, ($A6382+$C6382) - MAX(IF($B$2:$B6381=$B6382, $A$2:$A6381+$C$2:$C6381)), "")*24*60, "")</f>
        <v/>
      </c>
      <c r="L6382" s="24" t="str" cm="1">
        <f t="array" ref="L6382">IFERROR(IF($B6382=L$1, ($A6382+$C6382) - MAX(IF($B$2:$B6381=$B6382, $A$2:$A6381+$C$2:$C6381)), "")*24*60, "")</f>
        <v/>
      </c>
      <c r="M6382" s="24" t="str" cm="1">
        <f t="array" ref="M6382">IFERROR(IF($B6382=M$1, ($A6382+$C6382) - MAX(IF($B$2:$B6381=$B6382, $A$2:$A6381+$C$2:$C6381)), "")*24*60, "")</f>
        <v/>
      </c>
      <c r="N6382" s="24" t="str" cm="1">
        <f t="array" ref="N6382">IFERROR(IF($B6382=N$1, ($A6382+$C6382) - MAX(IF($B$2:$B6381=$B6382, $A$2:$A6381+$C$2:$C6381)), "")*24*60, "")</f>
        <v/>
      </c>
      <c r="O6382" s="24" t="str" cm="1">
        <f t="array" ref="O6382">IFERROR(IF($B6382=O$1, ($A6382+$C6382) - MAX(IF($B$2:$B6381=$B6382, $A$2:$A6381+$C$2:$C6381)), "")*24*60, "")</f>
        <v/>
      </c>
      <c r="P6382" s="24" t="str" cm="1">
        <f t="array" ref="P6382">IFERROR(IF($B6382=P$1, ($A6382+$C6382) - MAX(IF($B$2:$B6381=$B6382, $A$2:$A6381+$C$2:$C6381)), "")*24*60, "")</f>
        <v/>
      </c>
      <c r="Q6382" s="24" t="str" cm="1">
        <f t="array" ref="Q6382">IFERROR(IF($B6382=Q$1, ($A6382+$C6382) - MAX(IF($B$2:$B6381=$B6382, $A$2:$A6381+$C$2:$C6381)), "")*24*60, "")</f>
        <v/>
      </c>
      <c r="R6382" s="24" t="str" cm="1">
        <f t="array" ref="R6382">IFERROR(IF($B6382=R$1, ($A6382+$C6382) - MAX(IF($B$2:$B6381=$B6382, $A$2:$A6381+$C$2:$C6381)), "")*24*60, "")</f>
        <v/>
      </c>
      <c r="S6382" s="24" t="str" cm="1">
        <f t="array" ref="S6382">IFERROR(IF($B6382=S$1, ($A6382+$C6382) - MAX(IF($B$2:$B6381=$B6382, $A$2:$A6381+$C$2:$C6381)), "")*24*60, "")</f>
        <v/>
      </c>
    </row>
    <row r="6383" spans="1:19" x14ac:dyDescent="0.2">
      <c r="A6383" s="12">
        <f t="shared" ref="A6383:C6383" si="1364">A6382</f>
        <v>45988</v>
      </c>
      <c r="B6383" s="5" t="str">
        <f t="shared" si="1364"/>
        <v>Northern Cardinal</v>
      </c>
      <c r="C6383" s="6">
        <f t="shared" si="1364"/>
        <v>0.28472222222222221</v>
      </c>
      <c r="D6383" s="5"/>
      <c r="E6383" s="5"/>
      <c r="F6383" s="5" t="s">
        <v>8</v>
      </c>
      <c r="G6383" s="15" t="s">
        <v>9</v>
      </c>
      <c r="H6383" s="24">
        <f t="shared" si="1343"/>
        <v>0</v>
      </c>
      <c r="I6383" s="24" cm="1">
        <f t="array" ref="I6383">IFERROR(IF($B6383=I$1, ($A6383+$C6383) - MAX(IF($B$2:$B6382=$B6383, $A$2:$A6382+$C$2:$C6382)), "")*24*60, "")</f>
        <v>0</v>
      </c>
      <c r="J6383" s="24" t="str" cm="1">
        <f t="array" ref="J6383">IFERROR(IF($B6383=J$1, ($A6383+$C6383) - MAX(IF($B$2:$B6382=$B6383, $A$2:$A6382+$C$2:$C6382)), "")*24*60, "")</f>
        <v/>
      </c>
      <c r="K6383" s="24" t="str" cm="1">
        <f t="array" ref="K6383">IFERROR(IF($B6383=K$1, ($A6383+$C6383) - MAX(IF($B$2:$B6382=$B6383, $A$2:$A6382+$C$2:$C6382)), "")*24*60, "")</f>
        <v/>
      </c>
      <c r="L6383" s="24" t="str" cm="1">
        <f t="array" ref="L6383">IFERROR(IF($B6383=L$1, ($A6383+$C6383) - MAX(IF($B$2:$B6382=$B6383, $A$2:$A6382+$C$2:$C6382)), "")*24*60, "")</f>
        <v/>
      </c>
      <c r="M6383" s="24" t="str" cm="1">
        <f t="array" ref="M6383">IFERROR(IF($B6383=M$1, ($A6383+$C6383) - MAX(IF($B$2:$B6382=$B6383, $A$2:$A6382+$C$2:$C6382)), "")*24*60, "")</f>
        <v/>
      </c>
      <c r="N6383" s="24" t="str" cm="1">
        <f t="array" ref="N6383">IFERROR(IF($B6383=N$1, ($A6383+$C6383) - MAX(IF($B$2:$B6382=$B6383, $A$2:$A6382+$C$2:$C6382)), "")*24*60, "")</f>
        <v/>
      </c>
      <c r="O6383" s="24" t="str" cm="1">
        <f t="array" ref="O6383">IFERROR(IF($B6383=O$1, ($A6383+$C6383) - MAX(IF($B$2:$B6382=$B6383, $A$2:$A6382+$C$2:$C6382)), "")*24*60, "")</f>
        <v/>
      </c>
      <c r="P6383" s="24" t="str" cm="1">
        <f t="array" ref="P6383">IFERROR(IF($B6383=P$1, ($A6383+$C6383) - MAX(IF($B$2:$B6382=$B6383, $A$2:$A6382+$C$2:$C6382)), "")*24*60, "")</f>
        <v/>
      </c>
      <c r="Q6383" s="24" t="str" cm="1">
        <f t="array" ref="Q6383">IFERROR(IF($B6383=Q$1, ($A6383+$C6383) - MAX(IF($B$2:$B6382=$B6383, $A$2:$A6382+$C$2:$C6382)), "")*24*60, "")</f>
        <v/>
      </c>
      <c r="R6383" s="24" t="str" cm="1">
        <f t="array" ref="R6383">IFERROR(IF($B6383=R$1, ($A6383+$C6383) - MAX(IF($B$2:$B6382=$B6383, $A$2:$A6382+$C$2:$C6382)), "")*24*60, "")</f>
        <v/>
      </c>
      <c r="S6383" s="24" t="str" cm="1">
        <f t="array" ref="S6383">IFERROR(IF($B6383=S$1, ($A6383+$C6383) - MAX(IF($B$2:$B6382=$B6383, $A$2:$A6382+$C$2:$C6382)), "")*24*60, "")</f>
        <v/>
      </c>
    </row>
    <row r="6384" spans="1:19" x14ac:dyDescent="0.2">
      <c r="A6384" s="12">
        <f t="shared" ref="A6384:C6384" si="1365">A6383</f>
        <v>45988</v>
      </c>
      <c r="B6384" s="5" t="str">
        <f t="shared" si="1365"/>
        <v>Northern Cardinal</v>
      </c>
      <c r="C6384" s="6">
        <f t="shared" si="1365"/>
        <v>0.28472222222222221</v>
      </c>
      <c r="D6384" s="5"/>
      <c r="E6384" s="5"/>
      <c r="F6384" s="5" t="s">
        <v>8</v>
      </c>
      <c r="G6384" s="15" t="s">
        <v>9</v>
      </c>
      <c r="H6384" s="24">
        <f t="shared" si="1343"/>
        <v>0</v>
      </c>
      <c r="I6384" s="24" cm="1">
        <f t="array" ref="I6384">IFERROR(IF($B6384=I$1, ($A6384+$C6384) - MAX(IF($B$2:$B6383=$B6384, $A$2:$A6383+$C$2:$C6383)), "")*24*60, "")</f>
        <v>0</v>
      </c>
      <c r="J6384" s="24" t="str" cm="1">
        <f t="array" ref="J6384">IFERROR(IF($B6384=J$1, ($A6384+$C6384) - MAX(IF($B$2:$B6383=$B6384, $A$2:$A6383+$C$2:$C6383)), "")*24*60, "")</f>
        <v/>
      </c>
      <c r="K6384" s="24" t="str" cm="1">
        <f t="array" ref="K6384">IFERROR(IF($B6384=K$1, ($A6384+$C6384) - MAX(IF($B$2:$B6383=$B6384, $A$2:$A6383+$C$2:$C6383)), "")*24*60, "")</f>
        <v/>
      </c>
      <c r="L6384" s="24" t="str" cm="1">
        <f t="array" ref="L6384">IFERROR(IF($B6384=L$1, ($A6384+$C6384) - MAX(IF($B$2:$B6383=$B6384, $A$2:$A6383+$C$2:$C6383)), "")*24*60, "")</f>
        <v/>
      </c>
      <c r="M6384" s="24" t="str" cm="1">
        <f t="array" ref="M6384">IFERROR(IF($B6384=M$1, ($A6384+$C6384) - MAX(IF($B$2:$B6383=$B6384, $A$2:$A6383+$C$2:$C6383)), "")*24*60, "")</f>
        <v/>
      </c>
      <c r="N6384" s="24" t="str" cm="1">
        <f t="array" ref="N6384">IFERROR(IF($B6384=N$1, ($A6384+$C6384) - MAX(IF($B$2:$B6383=$B6384, $A$2:$A6383+$C$2:$C6383)), "")*24*60, "")</f>
        <v/>
      </c>
      <c r="O6384" s="24" t="str" cm="1">
        <f t="array" ref="O6384">IFERROR(IF($B6384=O$1, ($A6384+$C6384) - MAX(IF($B$2:$B6383=$B6384, $A$2:$A6383+$C$2:$C6383)), "")*24*60, "")</f>
        <v/>
      </c>
      <c r="P6384" s="24" t="str" cm="1">
        <f t="array" ref="P6384">IFERROR(IF($B6384=P$1, ($A6384+$C6384) - MAX(IF($B$2:$B6383=$B6384, $A$2:$A6383+$C$2:$C6383)), "")*24*60, "")</f>
        <v/>
      </c>
      <c r="Q6384" s="24" t="str" cm="1">
        <f t="array" ref="Q6384">IFERROR(IF($B6384=Q$1, ($A6384+$C6384) - MAX(IF($B$2:$B6383=$B6384, $A$2:$A6383+$C$2:$C6383)), "")*24*60, "")</f>
        <v/>
      </c>
      <c r="R6384" s="24" t="str" cm="1">
        <f t="array" ref="R6384">IFERROR(IF($B6384=R$1, ($A6384+$C6384) - MAX(IF($B$2:$B6383=$B6384, $A$2:$A6383+$C$2:$C6383)), "")*24*60, "")</f>
        <v/>
      </c>
      <c r="S6384" s="24" t="str" cm="1">
        <f t="array" ref="S6384">IFERROR(IF($B6384=S$1, ($A6384+$C6384) - MAX(IF($B$2:$B6383=$B6384, $A$2:$A6383+$C$2:$C6383)), "")*24*60, "")</f>
        <v/>
      </c>
    </row>
    <row r="6385" spans="1:19" x14ac:dyDescent="0.2">
      <c r="A6385" s="12">
        <f t="shared" ref="A6385:C6385" si="1366">A6384</f>
        <v>45988</v>
      </c>
      <c r="B6385" s="5" t="str">
        <f t="shared" si="1366"/>
        <v>Northern Cardinal</v>
      </c>
      <c r="C6385" s="6">
        <f t="shared" si="1366"/>
        <v>0.28472222222222221</v>
      </c>
      <c r="D6385" s="5"/>
      <c r="E6385" s="5"/>
      <c r="F6385" s="5" t="s">
        <v>8</v>
      </c>
      <c r="G6385" s="15" t="s">
        <v>9</v>
      </c>
      <c r="H6385" s="24">
        <f t="shared" si="1343"/>
        <v>0</v>
      </c>
      <c r="I6385" s="24" cm="1">
        <f t="array" ref="I6385">IFERROR(IF($B6385=I$1, ($A6385+$C6385) - MAX(IF($B$2:$B6384=$B6385, $A$2:$A6384+$C$2:$C6384)), "")*24*60, "")</f>
        <v>0</v>
      </c>
      <c r="J6385" s="24" t="str" cm="1">
        <f t="array" ref="J6385">IFERROR(IF($B6385=J$1, ($A6385+$C6385) - MAX(IF($B$2:$B6384=$B6385, $A$2:$A6384+$C$2:$C6384)), "")*24*60, "")</f>
        <v/>
      </c>
      <c r="K6385" s="24" t="str" cm="1">
        <f t="array" ref="K6385">IFERROR(IF($B6385=K$1, ($A6385+$C6385) - MAX(IF($B$2:$B6384=$B6385, $A$2:$A6384+$C$2:$C6384)), "")*24*60, "")</f>
        <v/>
      </c>
      <c r="L6385" s="24" t="str" cm="1">
        <f t="array" ref="L6385">IFERROR(IF($B6385=L$1, ($A6385+$C6385) - MAX(IF($B$2:$B6384=$B6385, $A$2:$A6384+$C$2:$C6384)), "")*24*60, "")</f>
        <v/>
      </c>
      <c r="M6385" s="24" t="str" cm="1">
        <f t="array" ref="M6385">IFERROR(IF($B6385=M$1, ($A6385+$C6385) - MAX(IF($B$2:$B6384=$B6385, $A$2:$A6384+$C$2:$C6384)), "")*24*60, "")</f>
        <v/>
      </c>
      <c r="N6385" s="24" t="str" cm="1">
        <f t="array" ref="N6385">IFERROR(IF($B6385=N$1, ($A6385+$C6385) - MAX(IF($B$2:$B6384=$B6385, $A$2:$A6384+$C$2:$C6384)), "")*24*60, "")</f>
        <v/>
      </c>
      <c r="O6385" s="24" t="str" cm="1">
        <f t="array" ref="O6385">IFERROR(IF($B6385=O$1, ($A6385+$C6385) - MAX(IF($B$2:$B6384=$B6385, $A$2:$A6384+$C$2:$C6384)), "")*24*60, "")</f>
        <v/>
      </c>
      <c r="P6385" s="24" t="str" cm="1">
        <f t="array" ref="P6385">IFERROR(IF($B6385=P$1, ($A6385+$C6385) - MAX(IF($B$2:$B6384=$B6385, $A$2:$A6384+$C$2:$C6384)), "")*24*60, "")</f>
        <v/>
      </c>
      <c r="Q6385" s="24" t="str" cm="1">
        <f t="array" ref="Q6385">IFERROR(IF($B6385=Q$1, ($A6385+$C6385) - MAX(IF($B$2:$B6384=$B6385, $A$2:$A6384+$C$2:$C6384)), "")*24*60, "")</f>
        <v/>
      </c>
      <c r="R6385" s="24" t="str" cm="1">
        <f t="array" ref="R6385">IFERROR(IF($B6385=R$1, ($A6385+$C6385) - MAX(IF($B$2:$B6384=$B6385, $A$2:$A6384+$C$2:$C6384)), "")*24*60, "")</f>
        <v/>
      </c>
      <c r="S6385" s="24" t="str" cm="1">
        <f t="array" ref="S6385">IFERROR(IF($B6385=S$1, ($A6385+$C6385) - MAX(IF($B$2:$B6384=$B6385, $A$2:$A6384+$C$2:$C6384)), "")*24*60, "")</f>
        <v/>
      </c>
    </row>
    <row r="6386" spans="1:19" x14ac:dyDescent="0.2">
      <c r="A6386" s="12">
        <f t="shared" ref="A6386:C6386" si="1367">A6385</f>
        <v>45988</v>
      </c>
      <c r="B6386" s="5" t="str">
        <f t="shared" si="1367"/>
        <v>Northern Cardinal</v>
      </c>
      <c r="C6386" s="6">
        <f t="shared" si="1367"/>
        <v>0.28472222222222221</v>
      </c>
      <c r="D6386" s="5"/>
      <c r="E6386" s="5"/>
      <c r="F6386" s="5" t="s">
        <v>8</v>
      </c>
      <c r="G6386" s="15" t="s">
        <v>9</v>
      </c>
      <c r="H6386" s="24">
        <f t="shared" si="1343"/>
        <v>0</v>
      </c>
      <c r="I6386" s="24" cm="1">
        <f t="array" ref="I6386">IFERROR(IF($B6386=I$1, ($A6386+$C6386) - MAX(IF($B$2:$B6385=$B6386, $A$2:$A6385+$C$2:$C6385)), "")*24*60, "")</f>
        <v>0</v>
      </c>
      <c r="J6386" s="24" t="str" cm="1">
        <f t="array" ref="J6386">IFERROR(IF($B6386=J$1, ($A6386+$C6386) - MAX(IF($B$2:$B6385=$B6386, $A$2:$A6385+$C$2:$C6385)), "")*24*60, "")</f>
        <v/>
      </c>
      <c r="K6386" s="24" t="str" cm="1">
        <f t="array" ref="K6386">IFERROR(IF($B6386=K$1, ($A6386+$C6386) - MAX(IF($B$2:$B6385=$B6386, $A$2:$A6385+$C$2:$C6385)), "")*24*60, "")</f>
        <v/>
      </c>
      <c r="L6386" s="24" t="str" cm="1">
        <f t="array" ref="L6386">IFERROR(IF($B6386=L$1, ($A6386+$C6386) - MAX(IF($B$2:$B6385=$B6386, $A$2:$A6385+$C$2:$C6385)), "")*24*60, "")</f>
        <v/>
      </c>
      <c r="M6386" s="24" t="str" cm="1">
        <f t="array" ref="M6386">IFERROR(IF($B6386=M$1, ($A6386+$C6386) - MAX(IF($B$2:$B6385=$B6386, $A$2:$A6385+$C$2:$C6385)), "")*24*60, "")</f>
        <v/>
      </c>
      <c r="N6386" s="24" t="str" cm="1">
        <f t="array" ref="N6386">IFERROR(IF($B6386=N$1, ($A6386+$C6386) - MAX(IF($B$2:$B6385=$B6386, $A$2:$A6385+$C$2:$C6385)), "")*24*60, "")</f>
        <v/>
      </c>
      <c r="O6386" s="24" t="str" cm="1">
        <f t="array" ref="O6386">IFERROR(IF($B6386=O$1, ($A6386+$C6386) - MAX(IF($B$2:$B6385=$B6386, $A$2:$A6385+$C$2:$C6385)), "")*24*60, "")</f>
        <v/>
      </c>
      <c r="P6386" s="24" t="str" cm="1">
        <f t="array" ref="P6386">IFERROR(IF($B6386=P$1, ($A6386+$C6386) - MAX(IF($B$2:$B6385=$B6386, $A$2:$A6385+$C$2:$C6385)), "")*24*60, "")</f>
        <v/>
      </c>
      <c r="Q6386" s="24" t="str" cm="1">
        <f t="array" ref="Q6386">IFERROR(IF($B6386=Q$1, ($A6386+$C6386) - MAX(IF($B$2:$B6385=$B6386, $A$2:$A6385+$C$2:$C6385)), "")*24*60, "")</f>
        <v/>
      </c>
      <c r="R6386" s="24" t="str" cm="1">
        <f t="array" ref="R6386">IFERROR(IF($B6386=R$1, ($A6386+$C6386) - MAX(IF($B$2:$B6385=$B6386, $A$2:$A6385+$C$2:$C6385)), "")*24*60, "")</f>
        <v/>
      </c>
      <c r="S6386" s="24" t="str" cm="1">
        <f t="array" ref="S6386">IFERROR(IF($B6386=S$1, ($A6386+$C6386) - MAX(IF($B$2:$B6385=$B6386, $A$2:$A6385+$C$2:$C6385)), "")*24*60, "")</f>
        <v/>
      </c>
    </row>
    <row r="6387" spans="1:19" x14ac:dyDescent="0.2">
      <c r="A6387" s="12">
        <f t="shared" ref="A6387:C6387" si="1368">A6386</f>
        <v>45988</v>
      </c>
      <c r="B6387" s="5" t="str">
        <f t="shared" si="1368"/>
        <v>Northern Cardinal</v>
      </c>
      <c r="C6387" s="6">
        <f t="shared" si="1368"/>
        <v>0.28472222222222221</v>
      </c>
      <c r="D6387" s="5"/>
      <c r="E6387" s="5"/>
      <c r="F6387" s="5" t="s">
        <v>8</v>
      </c>
      <c r="G6387" s="15" t="s">
        <v>9</v>
      </c>
      <c r="H6387" s="24">
        <f t="shared" si="1343"/>
        <v>0</v>
      </c>
      <c r="I6387" s="24" cm="1">
        <f t="array" ref="I6387">IFERROR(IF($B6387=I$1, ($A6387+$C6387) - MAX(IF($B$2:$B6386=$B6387, $A$2:$A6386+$C$2:$C6386)), "")*24*60, "")</f>
        <v>0</v>
      </c>
      <c r="J6387" s="24" t="str" cm="1">
        <f t="array" ref="J6387">IFERROR(IF($B6387=J$1, ($A6387+$C6387) - MAX(IF($B$2:$B6386=$B6387, $A$2:$A6386+$C$2:$C6386)), "")*24*60, "")</f>
        <v/>
      </c>
      <c r="K6387" s="24" t="str" cm="1">
        <f t="array" ref="K6387">IFERROR(IF($B6387=K$1, ($A6387+$C6387) - MAX(IF($B$2:$B6386=$B6387, $A$2:$A6386+$C$2:$C6386)), "")*24*60, "")</f>
        <v/>
      </c>
      <c r="L6387" s="24" t="str" cm="1">
        <f t="array" ref="L6387">IFERROR(IF($B6387=L$1, ($A6387+$C6387) - MAX(IF($B$2:$B6386=$B6387, $A$2:$A6386+$C$2:$C6386)), "")*24*60, "")</f>
        <v/>
      </c>
      <c r="M6387" s="24" t="str" cm="1">
        <f t="array" ref="M6387">IFERROR(IF($B6387=M$1, ($A6387+$C6387) - MAX(IF($B$2:$B6386=$B6387, $A$2:$A6386+$C$2:$C6386)), "")*24*60, "")</f>
        <v/>
      </c>
      <c r="N6387" s="24" t="str" cm="1">
        <f t="array" ref="N6387">IFERROR(IF($B6387=N$1, ($A6387+$C6387) - MAX(IF($B$2:$B6386=$B6387, $A$2:$A6386+$C$2:$C6386)), "")*24*60, "")</f>
        <v/>
      </c>
      <c r="O6387" s="24" t="str" cm="1">
        <f t="array" ref="O6387">IFERROR(IF($B6387=O$1, ($A6387+$C6387) - MAX(IF($B$2:$B6386=$B6387, $A$2:$A6386+$C$2:$C6386)), "")*24*60, "")</f>
        <v/>
      </c>
      <c r="P6387" s="24" t="str" cm="1">
        <f t="array" ref="P6387">IFERROR(IF($B6387=P$1, ($A6387+$C6387) - MAX(IF($B$2:$B6386=$B6387, $A$2:$A6386+$C$2:$C6386)), "")*24*60, "")</f>
        <v/>
      </c>
      <c r="Q6387" s="24" t="str" cm="1">
        <f t="array" ref="Q6387">IFERROR(IF($B6387=Q$1, ($A6387+$C6387) - MAX(IF($B$2:$B6386=$B6387, $A$2:$A6386+$C$2:$C6386)), "")*24*60, "")</f>
        <v/>
      </c>
      <c r="R6387" s="24" t="str" cm="1">
        <f t="array" ref="R6387">IFERROR(IF($B6387=R$1, ($A6387+$C6387) - MAX(IF($B$2:$B6386=$B6387, $A$2:$A6386+$C$2:$C6386)), "")*24*60, "")</f>
        <v/>
      </c>
      <c r="S6387" s="24" t="str" cm="1">
        <f t="array" ref="S6387">IFERROR(IF($B6387=S$1, ($A6387+$C6387) - MAX(IF($B$2:$B6386=$B6387, $A$2:$A6386+$C$2:$C6386)), "")*24*60, "")</f>
        <v/>
      </c>
    </row>
    <row r="6388" spans="1:19" x14ac:dyDescent="0.2">
      <c r="A6388" s="12">
        <f t="shared" ref="A6388:C6388" si="1369">A6387</f>
        <v>45988</v>
      </c>
      <c r="B6388" s="5" t="str">
        <f t="shared" si="1369"/>
        <v>Northern Cardinal</v>
      </c>
      <c r="C6388" s="6">
        <f t="shared" si="1369"/>
        <v>0.28472222222222221</v>
      </c>
      <c r="D6388" s="5"/>
      <c r="E6388" s="5"/>
      <c r="F6388" s="5" t="s">
        <v>8</v>
      </c>
      <c r="G6388" s="15" t="s">
        <v>9</v>
      </c>
      <c r="H6388" s="24">
        <f t="shared" si="1343"/>
        <v>0</v>
      </c>
      <c r="I6388" s="24" cm="1">
        <f t="array" ref="I6388">IFERROR(IF($B6388=I$1, ($A6388+$C6388) - MAX(IF($B$2:$B6387=$B6388, $A$2:$A6387+$C$2:$C6387)), "")*24*60, "")</f>
        <v>0</v>
      </c>
      <c r="J6388" s="24" t="str" cm="1">
        <f t="array" ref="J6388">IFERROR(IF($B6388=J$1, ($A6388+$C6388) - MAX(IF($B$2:$B6387=$B6388, $A$2:$A6387+$C$2:$C6387)), "")*24*60, "")</f>
        <v/>
      </c>
      <c r="K6388" s="24" t="str" cm="1">
        <f t="array" ref="K6388">IFERROR(IF($B6388=K$1, ($A6388+$C6388) - MAX(IF($B$2:$B6387=$B6388, $A$2:$A6387+$C$2:$C6387)), "")*24*60, "")</f>
        <v/>
      </c>
      <c r="L6388" s="24" t="str" cm="1">
        <f t="array" ref="L6388">IFERROR(IF($B6388=L$1, ($A6388+$C6388) - MAX(IF($B$2:$B6387=$B6388, $A$2:$A6387+$C$2:$C6387)), "")*24*60, "")</f>
        <v/>
      </c>
      <c r="M6388" s="24" t="str" cm="1">
        <f t="array" ref="M6388">IFERROR(IF($B6388=M$1, ($A6388+$C6388) - MAX(IF($B$2:$B6387=$B6388, $A$2:$A6387+$C$2:$C6387)), "")*24*60, "")</f>
        <v/>
      </c>
      <c r="N6388" s="24" t="str" cm="1">
        <f t="array" ref="N6388">IFERROR(IF($B6388=N$1, ($A6388+$C6388) - MAX(IF($B$2:$B6387=$B6388, $A$2:$A6387+$C$2:$C6387)), "")*24*60, "")</f>
        <v/>
      </c>
      <c r="O6388" s="24" t="str" cm="1">
        <f t="array" ref="O6388">IFERROR(IF($B6388=O$1, ($A6388+$C6388) - MAX(IF($B$2:$B6387=$B6388, $A$2:$A6387+$C$2:$C6387)), "")*24*60, "")</f>
        <v/>
      </c>
      <c r="P6388" s="24" t="str" cm="1">
        <f t="array" ref="P6388">IFERROR(IF($B6388=P$1, ($A6388+$C6388) - MAX(IF($B$2:$B6387=$B6388, $A$2:$A6387+$C$2:$C6387)), "")*24*60, "")</f>
        <v/>
      </c>
      <c r="Q6388" s="24" t="str" cm="1">
        <f t="array" ref="Q6388">IFERROR(IF($B6388=Q$1, ($A6388+$C6388) - MAX(IF($B$2:$B6387=$B6388, $A$2:$A6387+$C$2:$C6387)), "")*24*60, "")</f>
        <v/>
      </c>
      <c r="R6388" s="24" t="str" cm="1">
        <f t="array" ref="R6388">IFERROR(IF($B6388=R$1, ($A6388+$C6388) - MAX(IF($B$2:$B6387=$B6388, $A$2:$A6387+$C$2:$C6387)), "")*24*60, "")</f>
        <v/>
      </c>
      <c r="S6388" s="24" t="str" cm="1">
        <f t="array" ref="S6388">IFERROR(IF($B6388=S$1, ($A6388+$C6388) - MAX(IF($B$2:$B6387=$B6388, $A$2:$A6387+$C$2:$C6387)), "")*24*60, "")</f>
        <v/>
      </c>
    </row>
    <row r="6389" spans="1:19" x14ac:dyDescent="0.2">
      <c r="A6389" s="12">
        <f t="shared" ref="A6389:C6389" si="1370">A6388</f>
        <v>45988</v>
      </c>
      <c r="B6389" s="5" t="str">
        <f t="shared" si="1370"/>
        <v>Northern Cardinal</v>
      </c>
      <c r="C6389" s="6">
        <f t="shared" si="1370"/>
        <v>0.28472222222222221</v>
      </c>
      <c r="D6389" s="5"/>
      <c r="E6389" s="5"/>
      <c r="F6389" s="5" t="s">
        <v>8</v>
      </c>
      <c r="G6389" s="15" t="s">
        <v>9</v>
      </c>
      <c r="H6389" s="24">
        <f t="shared" si="1343"/>
        <v>0</v>
      </c>
      <c r="I6389" s="24" cm="1">
        <f t="array" ref="I6389">IFERROR(IF($B6389=I$1, ($A6389+$C6389) - MAX(IF($B$2:$B6388=$B6389, $A$2:$A6388+$C$2:$C6388)), "")*24*60, "")</f>
        <v>0</v>
      </c>
      <c r="J6389" s="24" t="str" cm="1">
        <f t="array" ref="J6389">IFERROR(IF($B6389=J$1, ($A6389+$C6389) - MAX(IF($B$2:$B6388=$B6389, $A$2:$A6388+$C$2:$C6388)), "")*24*60, "")</f>
        <v/>
      </c>
      <c r="K6389" s="24" t="str" cm="1">
        <f t="array" ref="K6389">IFERROR(IF($B6389=K$1, ($A6389+$C6389) - MAX(IF($B$2:$B6388=$B6389, $A$2:$A6388+$C$2:$C6388)), "")*24*60, "")</f>
        <v/>
      </c>
      <c r="L6389" s="24" t="str" cm="1">
        <f t="array" ref="L6389">IFERROR(IF($B6389=L$1, ($A6389+$C6389) - MAX(IF($B$2:$B6388=$B6389, $A$2:$A6388+$C$2:$C6388)), "")*24*60, "")</f>
        <v/>
      </c>
      <c r="M6389" s="24" t="str" cm="1">
        <f t="array" ref="M6389">IFERROR(IF($B6389=M$1, ($A6389+$C6389) - MAX(IF($B$2:$B6388=$B6389, $A$2:$A6388+$C$2:$C6388)), "")*24*60, "")</f>
        <v/>
      </c>
      <c r="N6389" s="24" t="str" cm="1">
        <f t="array" ref="N6389">IFERROR(IF($B6389=N$1, ($A6389+$C6389) - MAX(IF($B$2:$B6388=$B6389, $A$2:$A6388+$C$2:$C6388)), "")*24*60, "")</f>
        <v/>
      </c>
      <c r="O6389" s="24" t="str" cm="1">
        <f t="array" ref="O6389">IFERROR(IF($B6389=O$1, ($A6389+$C6389) - MAX(IF($B$2:$B6388=$B6389, $A$2:$A6388+$C$2:$C6388)), "")*24*60, "")</f>
        <v/>
      </c>
      <c r="P6389" s="24" t="str" cm="1">
        <f t="array" ref="P6389">IFERROR(IF($B6389=P$1, ($A6389+$C6389) - MAX(IF($B$2:$B6388=$B6389, $A$2:$A6388+$C$2:$C6388)), "")*24*60, "")</f>
        <v/>
      </c>
      <c r="Q6389" s="24" t="str" cm="1">
        <f t="array" ref="Q6389">IFERROR(IF($B6389=Q$1, ($A6389+$C6389) - MAX(IF($B$2:$B6388=$B6389, $A$2:$A6388+$C$2:$C6388)), "")*24*60, "")</f>
        <v/>
      </c>
      <c r="R6389" s="24" t="str" cm="1">
        <f t="array" ref="R6389">IFERROR(IF($B6389=R$1, ($A6389+$C6389) - MAX(IF($B$2:$B6388=$B6389, $A$2:$A6388+$C$2:$C6388)), "")*24*60, "")</f>
        <v/>
      </c>
      <c r="S6389" s="24" t="str" cm="1">
        <f t="array" ref="S6389">IFERROR(IF($B6389=S$1, ($A6389+$C6389) - MAX(IF($B$2:$B6388=$B6389, $A$2:$A6388+$C$2:$C6388)), "")*24*60, "")</f>
        <v/>
      </c>
    </row>
    <row r="6390" spans="1:19" x14ac:dyDescent="0.2">
      <c r="A6390" s="12">
        <f t="shared" ref="A6390:C6390" si="1371">A6389</f>
        <v>45988</v>
      </c>
      <c r="B6390" s="5" t="str">
        <f t="shared" si="1371"/>
        <v>Northern Cardinal</v>
      </c>
      <c r="C6390" s="6">
        <f t="shared" si="1371"/>
        <v>0.28472222222222221</v>
      </c>
      <c r="D6390" s="5"/>
      <c r="E6390" s="5"/>
      <c r="F6390" s="5" t="s">
        <v>8</v>
      </c>
      <c r="G6390" s="15" t="s">
        <v>9</v>
      </c>
      <c r="H6390" s="24">
        <f t="shared" si="1343"/>
        <v>0</v>
      </c>
      <c r="I6390" s="24" cm="1">
        <f t="array" ref="I6390">IFERROR(IF($B6390=I$1, ($A6390+$C6390) - MAX(IF($B$2:$B6389=$B6390, $A$2:$A6389+$C$2:$C6389)), "")*24*60, "")</f>
        <v>0</v>
      </c>
      <c r="J6390" s="24" t="str" cm="1">
        <f t="array" ref="J6390">IFERROR(IF($B6390=J$1, ($A6390+$C6390) - MAX(IF($B$2:$B6389=$B6390, $A$2:$A6389+$C$2:$C6389)), "")*24*60, "")</f>
        <v/>
      </c>
      <c r="K6390" s="24" t="str" cm="1">
        <f t="array" ref="K6390">IFERROR(IF($B6390=K$1, ($A6390+$C6390) - MAX(IF($B$2:$B6389=$B6390, $A$2:$A6389+$C$2:$C6389)), "")*24*60, "")</f>
        <v/>
      </c>
      <c r="L6390" s="24" t="str" cm="1">
        <f t="array" ref="L6390">IFERROR(IF($B6390=L$1, ($A6390+$C6390) - MAX(IF($B$2:$B6389=$B6390, $A$2:$A6389+$C$2:$C6389)), "")*24*60, "")</f>
        <v/>
      </c>
      <c r="M6390" s="24" t="str" cm="1">
        <f t="array" ref="M6390">IFERROR(IF($B6390=M$1, ($A6390+$C6390) - MAX(IF($B$2:$B6389=$B6390, $A$2:$A6389+$C$2:$C6389)), "")*24*60, "")</f>
        <v/>
      </c>
      <c r="N6390" s="24" t="str" cm="1">
        <f t="array" ref="N6390">IFERROR(IF($B6390=N$1, ($A6390+$C6390) - MAX(IF($B$2:$B6389=$B6390, $A$2:$A6389+$C$2:$C6389)), "")*24*60, "")</f>
        <v/>
      </c>
      <c r="O6390" s="24" t="str" cm="1">
        <f t="array" ref="O6390">IFERROR(IF($B6390=O$1, ($A6390+$C6390) - MAX(IF($B$2:$B6389=$B6390, $A$2:$A6389+$C$2:$C6389)), "")*24*60, "")</f>
        <v/>
      </c>
      <c r="P6390" s="24" t="str" cm="1">
        <f t="array" ref="P6390">IFERROR(IF($B6390=P$1, ($A6390+$C6390) - MAX(IF($B$2:$B6389=$B6390, $A$2:$A6389+$C$2:$C6389)), "")*24*60, "")</f>
        <v/>
      </c>
      <c r="Q6390" s="24" t="str" cm="1">
        <f t="array" ref="Q6390">IFERROR(IF($B6390=Q$1, ($A6390+$C6390) - MAX(IF($B$2:$B6389=$B6390, $A$2:$A6389+$C$2:$C6389)), "")*24*60, "")</f>
        <v/>
      </c>
      <c r="R6390" s="24" t="str" cm="1">
        <f t="array" ref="R6390">IFERROR(IF($B6390=R$1, ($A6390+$C6390) - MAX(IF($B$2:$B6389=$B6390, $A$2:$A6389+$C$2:$C6389)), "")*24*60, "")</f>
        <v/>
      </c>
      <c r="S6390" s="24" t="str" cm="1">
        <f t="array" ref="S6390">IFERROR(IF($B6390=S$1, ($A6390+$C6390) - MAX(IF($B$2:$B6389=$B6390, $A$2:$A6389+$C$2:$C6389)), "")*24*60, "")</f>
        <v/>
      </c>
    </row>
    <row r="6391" spans="1:19" x14ac:dyDescent="0.2">
      <c r="A6391" s="12">
        <f t="shared" ref="A6391:C6391" si="1372">A6390</f>
        <v>45988</v>
      </c>
      <c r="B6391" s="5" t="str">
        <f t="shared" si="1372"/>
        <v>Northern Cardinal</v>
      </c>
      <c r="C6391" s="6">
        <f t="shared" si="1372"/>
        <v>0.28472222222222221</v>
      </c>
      <c r="D6391" s="5"/>
      <c r="E6391" s="5"/>
      <c r="F6391" s="5" t="s">
        <v>8</v>
      </c>
      <c r="G6391" s="15" t="s">
        <v>9</v>
      </c>
      <c r="H6391" s="24">
        <f t="shared" si="1343"/>
        <v>0</v>
      </c>
      <c r="I6391" s="24" cm="1">
        <f t="array" ref="I6391">IFERROR(IF($B6391=I$1, ($A6391+$C6391) - MAX(IF($B$2:$B6390=$B6391, $A$2:$A6390+$C$2:$C6390)), "")*24*60, "")</f>
        <v>0</v>
      </c>
      <c r="J6391" s="24" t="str" cm="1">
        <f t="array" ref="J6391">IFERROR(IF($B6391=J$1, ($A6391+$C6391) - MAX(IF($B$2:$B6390=$B6391, $A$2:$A6390+$C$2:$C6390)), "")*24*60, "")</f>
        <v/>
      </c>
      <c r="K6391" s="24" t="str" cm="1">
        <f t="array" ref="K6391">IFERROR(IF($B6391=K$1, ($A6391+$C6391) - MAX(IF($B$2:$B6390=$B6391, $A$2:$A6390+$C$2:$C6390)), "")*24*60, "")</f>
        <v/>
      </c>
      <c r="L6391" s="24" t="str" cm="1">
        <f t="array" ref="L6391">IFERROR(IF($B6391=L$1, ($A6391+$C6391) - MAX(IF($B$2:$B6390=$B6391, $A$2:$A6390+$C$2:$C6390)), "")*24*60, "")</f>
        <v/>
      </c>
      <c r="M6391" s="24" t="str" cm="1">
        <f t="array" ref="M6391">IFERROR(IF($B6391=M$1, ($A6391+$C6391) - MAX(IF($B$2:$B6390=$B6391, $A$2:$A6390+$C$2:$C6390)), "")*24*60, "")</f>
        <v/>
      </c>
      <c r="N6391" s="24" t="str" cm="1">
        <f t="array" ref="N6391">IFERROR(IF($B6391=N$1, ($A6391+$C6391) - MAX(IF($B$2:$B6390=$B6391, $A$2:$A6390+$C$2:$C6390)), "")*24*60, "")</f>
        <v/>
      </c>
      <c r="O6391" s="24" t="str" cm="1">
        <f t="array" ref="O6391">IFERROR(IF($B6391=O$1, ($A6391+$C6391) - MAX(IF($B$2:$B6390=$B6391, $A$2:$A6390+$C$2:$C6390)), "")*24*60, "")</f>
        <v/>
      </c>
      <c r="P6391" s="24" t="str" cm="1">
        <f t="array" ref="P6391">IFERROR(IF($B6391=P$1, ($A6391+$C6391) - MAX(IF($B$2:$B6390=$B6391, $A$2:$A6390+$C$2:$C6390)), "")*24*60, "")</f>
        <v/>
      </c>
      <c r="Q6391" s="24" t="str" cm="1">
        <f t="array" ref="Q6391">IFERROR(IF($B6391=Q$1, ($A6391+$C6391) - MAX(IF($B$2:$B6390=$B6391, $A$2:$A6390+$C$2:$C6390)), "")*24*60, "")</f>
        <v/>
      </c>
      <c r="R6391" s="24" t="str" cm="1">
        <f t="array" ref="R6391">IFERROR(IF($B6391=R$1, ($A6391+$C6391) - MAX(IF($B$2:$B6390=$B6391, $A$2:$A6390+$C$2:$C6390)), "")*24*60, "")</f>
        <v/>
      </c>
      <c r="S6391" s="24" t="str" cm="1">
        <f t="array" ref="S6391">IFERROR(IF($B6391=S$1, ($A6391+$C6391) - MAX(IF($B$2:$B6390=$B6391, $A$2:$A6390+$C$2:$C6390)), "")*24*60, "")</f>
        <v/>
      </c>
    </row>
    <row r="6392" spans="1:19" x14ac:dyDescent="0.2">
      <c r="A6392" s="12">
        <f t="shared" ref="A6392:C6392" si="1373">A6391</f>
        <v>45988</v>
      </c>
      <c r="B6392" s="5" t="str">
        <f t="shared" si="1373"/>
        <v>Northern Cardinal</v>
      </c>
      <c r="C6392" s="6">
        <f t="shared" si="1373"/>
        <v>0.28472222222222221</v>
      </c>
      <c r="D6392" s="5"/>
      <c r="E6392" s="5"/>
      <c r="F6392" s="5" t="s">
        <v>8</v>
      </c>
      <c r="G6392" s="15" t="s">
        <v>9</v>
      </c>
      <c r="H6392" s="24">
        <f t="shared" si="1343"/>
        <v>0</v>
      </c>
      <c r="I6392" s="24" cm="1">
        <f t="array" ref="I6392">IFERROR(IF($B6392=I$1, ($A6392+$C6392) - MAX(IF($B$2:$B6391=$B6392, $A$2:$A6391+$C$2:$C6391)), "")*24*60, "")</f>
        <v>0</v>
      </c>
      <c r="J6392" s="24" t="str" cm="1">
        <f t="array" ref="J6392">IFERROR(IF($B6392=J$1, ($A6392+$C6392) - MAX(IF($B$2:$B6391=$B6392, $A$2:$A6391+$C$2:$C6391)), "")*24*60, "")</f>
        <v/>
      </c>
      <c r="K6392" s="24" t="str" cm="1">
        <f t="array" ref="K6392">IFERROR(IF($B6392=K$1, ($A6392+$C6392) - MAX(IF($B$2:$B6391=$B6392, $A$2:$A6391+$C$2:$C6391)), "")*24*60, "")</f>
        <v/>
      </c>
      <c r="L6392" s="24" t="str" cm="1">
        <f t="array" ref="L6392">IFERROR(IF($B6392=L$1, ($A6392+$C6392) - MAX(IF($B$2:$B6391=$B6392, $A$2:$A6391+$C$2:$C6391)), "")*24*60, "")</f>
        <v/>
      </c>
      <c r="M6392" s="24" t="str" cm="1">
        <f t="array" ref="M6392">IFERROR(IF($B6392=M$1, ($A6392+$C6392) - MAX(IF($B$2:$B6391=$B6392, $A$2:$A6391+$C$2:$C6391)), "")*24*60, "")</f>
        <v/>
      </c>
      <c r="N6392" s="24" t="str" cm="1">
        <f t="array" ref="N6392">IFERROR(IF($B6392=N$1, ($A6392+$C6392) - MAX(IF($B$2:$B6391=$B6392, $A$2:$A6391+$C$2:$C6391)), "")*24*60, "")</f>
        <v/>
      </c>
      <c r="O6392" s="24" t="str" cm="1">
        <f t="array" ref="O6392">IFERROR(IF($B6392=O$1, ($A6392+$C6392) - MAX(IF($B$2:$B6391=$B6392, $A$2:$A6391+$C$2:$C6391)), "")*24*60, "")</f>
        <v/>
      </c>
      <c r="P6392" s="24" t="str" cm="1">
        <f t="array" ref="P6392">IFERROR(IF($B6392=P$1, ($A6392+$C6392) - MAX(IF($B$2:$B6391=$B6392, $A$2:$A6391+$C$2:$C6391)), "")*24*60, "")</f>
        <v/>
      </c>
      <c r="Q6392" s="24" t="str" cm="1">
        <f t="array" ref="Q6392">IFERROR(IF($B6392=Q$1, ($A6392+$C6392) - MAX(IF($B$2:$B6391=$B6392, $A$2:$A6391+$C$2:$C6391)), "")*24*60, "")</f>
        <v/>
      </c>
      <c r="R6392" s="24" t="str" cm="1">
        <f t="array" ref="R6392">IFERROR(IF($B6392=R$1, ($A6392+$C6392) - MAX(IF($B$2:$B6391=$B6392, $A$2:$A6391+$C$2:$C6391)), "")*24*60, "")</f>
        <v/>
      </c>
      <c r="S6392" s="24" t="str" cm="1">
        <f t="array" ref="S6392">IFERROR(IF($B6392=S$1, ($A6392+$C6392) - MAX(IF($B$2:$B6391=$B6392, $A$2:$A6391+$C$2:$C6391)), "")*24*60, "")</f>
        <v/>
      </c>
    </row>
    <row r="6393" spans="1:19" x14ac:dyDescent="0.2">
      <c r="A6393" s="12">
        <f t="shared" ref="A6393:C6393" si="1374">A6392</f>
        <v>45988</v>
      </c>
      <c r="B6393" s="5" t="str">
        <f t="shared" si="1374"/>
        <v>Northern Cardinal</v>
      </c>
      <c r="C6393" s="6">
        <f t="shared" si="1374"/>
        <v>0.28472222222222221</v>
      </c>
      <c r="D6393" s="5"/>
      <c r="E6393" s="5"/>
      <c r="F6393" s="5" t="s">
        <v>8</v>
      </c>
      <c r="G6393" s="15" t="s">
        <v>9</v>
      </c>
      <c r="H6393" s="24">
        <f t="shared" si="1343"/>
        <v>0</v>
      </c>
      <c r="I6393" s="24" cm="1">
        <f t="array" ref="I6393">IFERROR(IF($B6393=I$1, ($A6393+$C6393) - MAX(IF($B$2:$B6392=$B6393, $A$2:$A6392+$C$2:$C6392)), "")*24*60, "")</f>
        <v>0</v>
      </c>
      <c r="J6393" s="24" t="str" cm="1">
        <f t="array" ref="J6393">IFERROR(IF($B6393=J$1, ($A6393+$C6393) - MAX(IF($B$2:$B6392=$B6393, $A$2:$A6392+$C$2:$C6392)), "")*24*60, "")</f>
        <v/>
      </c>
      <c r="K6393" s="24" t="str" cm="1">
        <f t="array" ref="K6393">IFERROR(IF($B6393=K$1, ($A6393+$C6393) - MAX(IF($B$2:$B6392=$B6393, $A$2:$A6392+$C$2:$C6392)), "")*24*60, "")</f>
        <v/>
      </c>
      <c r="L6393" s="24" t="str" cm="1">
        <f t="array" ref="L6393">IFERROR(IF($B6393=L$1, ($A6393+$C6393) - MAX(IF($B$2:$B6392=$B6393, $A$2:$A6392+$C$2:$C6392)), "")*24*60, "")</f>
        <v/>
      </c>
      <c r="M6393" s="24" t="str" cm="1">
        <f t="array" ref="M6393">IFERROR(IF($B6393=M$1, ($A6393+$C6393) - MAX(IF($B$2:$B6392=$B6393, $A$2:$A6392+$C$2:$C6392)), "")*24*60, "")</f>
        <v/>
      </c>
      <c r="N6393" s="24" t="str" cm="1">
        <f t="array" ref="N6393">IFERROR(IF($B6393=N$1, ($A6393+$C6393) - MAX(IF($B$2:$B6392=$B6393, $A$2:$A6392+$C$2:$C6392)), "")*24*60, "")</f>
        <v/>
      </c>
      <c r="O6393" s="24" t="str" cm="1">
        <f t="array" ref="O6393">IFERROR(IF($B6393=O$1, ($A6393+$C6393) - MAX(IF($B$2:$B6392=$B6393, $A$2:$A6392+$C$2:$C6392)), "")*24*60, "")</f>
        <v/>
      </c>
      <c r="P6393" s="24" t="str" cm="1">
        <f t="array" ref="P6393">IFERROR(IF($B6393=P$1, ($A6393+$C6393) - MAX(IF($B$2:$B6392=$B6393, $A$2:$A6392+$C$2:$C6392)), "")*24*60, "")</f>
        <v/>
      </c>
      <c r="Q6393" s="24" t="str" cm="1">
        <f t="array" ref="Q6393">IFERROR(IF($B6393=Q$1, ($A6393+$C6393) - MAX(IF($B$2:$B6392=$B6393, $A$2:$A6392+$C$2:$C6392)), "")*24*60, "")</f>
        <v/>
      </c>
      <c r="R6393" s="24" t="str" cm="1">
        <f t="array" ref="R6393">IFERROR(IF($B6393=R$1, ($A6393+$C6393) - MAX(IF($B$2:$B6392=$B6393, $A$2:$A6392+$C$2:$C6392)), "")*24*60, "")</f>
        <v/>
      </c>
      <c r="S6393" s="24" t="str" cm="1">
        <f t="array" ref="S6393">IFERROR(IF($B6393=S$1, ($A6393+$C6393) - MAX(IF($B$2:$B6392=$B6393, $A$2:$A6392+$C$2:$C6392)), "")*24*60, "")</f>
        <v/>
      </c>
    </row>
    <row r="6394" spans="1:19" x14ac:dyDescent="0.2">
      <c r="A6394" s="12">
        <f t="shared" ref="A6394:C6394" si="1375">A6393</f>
        <v>45988</v>
      </c>
      <c r="B6394" s="5" t="str">
        <f t="shared" si="1375"/>
        <v>Northern Cardinal</v>
      </c>
      <c r="C6394" s="6">
        <f t="shared" si="1375"/>
        <v>0.28472222222222221</v>
      </c>
      <c r="D6394" s="5"/>
      <c r="E6394" s="5"/>
      <c r="F6394" s="5" t="s">
        <v>8</v>
      </c>
      <c r="G6394" s="15" t="s">
        <v>9</v>
      </c>
      <c r="H6394" s="24">
        <f t="shared" si="1343"/>
        <v>0</v>
      </c>
      <c r="I6394" s="24" cm="1">
        <f t="array" ref="I6394">IFERROR(IF($B6394=I$1, ($A6394+$C6394) - MAX(IF($B$2:$B6393=$B6394, $A$2:$A6393+$C$2:$C6393)), "")*24*60, "")</f>
        <v>0</v>
      </c>
      <c r="J6394" s="24" t="str" cm="1">
        <f t="array" ref="J6394">IFERROR(IF($B6394=J$1, ($A6394+$C6394) - MAX(IF($B$2:$B6393=$B6394, $A$2:$A6393+$C$2:$C6393)), "")*24*60, "")</f>
        <v/>
      </c>
      <c r="K6394" s="24" t="str" cm="1">
        <f t="array" ref="K6394">IFERROR(IF($B6394=K$1, ($A6394+$C6394) - MAX(IF($B$2:$B6393=$B6394, $A$2:$A6393+$C$2:$C6393)), "")*24*60, "")</f>
        <v/>
      </c>
      <c r="L6394" s="24" t="str" cm="1">
        <f t="array" ref="L6394">IFERROR(IF($B6394=L$1, ($A6394+$C6394) - MAX(IF($B$2:$B6393=$B6394, $A$2:$A6393+$C$2:$C6393)), "")*24*60, "")</f>
        <v/>
      </c>
      <c r="M6394" s="24" t="str" cm="1">
        <f t="array" ref="M6394">IFERROR(IF($B6394=M$1, ($A6394+$C6394) - MAX(IF($B$2:$B6393=$B6394, $A$2:$A6393+$C$2:$C6393)), "")*24*60, "")</f>
        <v/>
      </c>
      <c r="N6394" s="24" t="str" cm="1">
        <f t="array" ref="N6394">IFERROR(IF($B6394=N$1, ($A6394+$C6394) - MAX(IF($B$2:$B6393=$B6394, $A$2:$A6393+$C$2:$C6393)), "")*24*60, "")</f>
        <v/>
      </c>
      <c r="O6394" s="24" t="str" cm="1">
        <f t="array" ref="O6394">IFERROR(IF($B6394=O$1, ($A6394+$C6394) - MAX(IF($B$2:$B6393=$B6394, $A$2:$A6393+$C$2:$C6393)), "")*24*60, "")</f>
        <v/>
      </c>
      <c r="P6394" s="24" t="str" cm="1">
        <f t="array" ref="P6394">IFERROR(IF($B6394=P$1, ($A6394+$C6394) - MAX(IF($B$2:$B6393=$B6394, $A$2:$A6393+$C$2:$C6393)), "")*24*60, "")</f>
        <v/>
      </c>
      <c r="Q6394" s="24" t="str" cm="1">
        <f t="array" ref="Q6394">IFERROR(IF($B6394=Q$1, ($A6394+$C6394) - MAX(IF($B$2:$B6393=$B6394, $A$2:$A6393+$C$2:$C6393)), "")*24*60, "")</f>
        <v/>
      </c>
      <c r="R6394" s="24" t="str" cm="1">
        <f t="array" ref="R6394">IFERROR(IF($B6394=R$1, ($A6394+$C6394) - MAX(IF($B$2:$B6393=$B6394, $A$2:$A6393+$C$2:$C6393)), "")*24*60, "")</f>
        <v/>
      </c>
      <c r="S6394" s="24" t="str" cm="1">
        <f t="array" ref="S6394">IFERROR(IF($B6394=S$1, ($A6394+$C6394) - MAX(IF($B$2:$B6393=$B6394, $A$2:$A6393+$C$2:$C6393)), "")*24*60, "")</f>
        <v/>
      </c>
    </row>
    <row r="6395" spans="1:19" x14ac:dyDescent="0.2">
      <c r="A6395" s="12">
        <f t="shared" ref="A6395:C6395" si="1376">A6394</f>
        <v>45988</v>
      </c>
      <c r="B6395" s="5" t="str">
        <f t="shared" si="1376"/>
        <v>Northern Cardinal</v>
      </c>
      <c r="C6395" s="6">
        <f t="shared" si="1376"/>
        <v>0.28472222222222221</v>
      </c>
      <c r="D6395" s="5"/>
      <c r="E6395" s="5"/>
      <c r="F6395" s="5" t="s">
        <v>8</v>
      </c>
      <c r="G6395" s="15" t="s">
        <v>9</v>
      </c>
      <c r="H6395" s="24">
        <f t="shared" si="1343"/>
        <v>0</v>
      </c>
      <c r="I6395" s="24" cm="1">
        <f t="array" ref="I6395">IFERROR(IF($B6395=I$1, ($A6395+$C6395) - MAX(IF($B$2:$B6394=$B6395, $A$2:$A6394+$C$2:$C6394)), "")*24*60, "")</f>
        <v>0</v>
      </c>
      <c r="J6395" s="24" t="str" cm="1">
        <f t="array" ref="J6395">IFERROR(IF($B6395=J$1, ($A6395+$C6395) - MAX(IF($B$2:$B6394=$B6395, $A$2:$A6394+$C$2:$C6394)), "")*24*60, "")</f>
        <v/>
      </c>
      <c r="K6395" s="24" t="str" cm="1">
        <f t="array" ref="K6395">IFERROR(IF($B6395=K$1, ($A6395+$C6395) - MAX(IF($B$2:$B6394=$B6395, $A$2:$A6394+$C$2:$C6394)), "")*24*60, "")</f>
        <v/>
      </c>
      <c r="L6395" s="24" t="str" cm="1">
        <f t="array" ref="L6395">IFERROR(IF($B6395=L$1, ($A6395+$C6395) - MAX(IF($B$2:$B6394=$B6395, $A$2:$A6394+$C$2:$C6394)), "")*24*60, "")</f>
        <v/>
      </c>
      <c r="M6395" s="24" t="str" cm="1">
        <f t="array" ref="M6395">IFERROR(IF($B6395=M$1, ($A6395+$C6395) - MAX(IF($B$2:$B6394=$B6395, $A$2:$A6394+$C$2:$C6394)), "")*24*60, "")</f>
        <v/>
      </c>
      <c r="N6395" s="24" t="str" cm="1">
        <f t="array" ref="N6395">IFERROR(IF($B6395=N$1, ($A6395+$C6395) - MAX(IF($B$2:$B6394=$B6395, $A$2:$A6394+$C$2:$C6394)), "")*24*60, "")</f>
        <v/>
      </c>
      <c r="O6395" s="24" t="str" cm="1">
        <f t="array" ref="O6395">IFERROR(IF($B6395=O$1, ($A6395+$C6395) - MAX(IF($B$2:$B6394=$B6395, $A$2:$A6394+$C$2:$C6394)), "")*24*60, "")</f>
        <v/>
      </c>
      <c r="P6395" s="24" t="str" cm="1">
        <f t="array" ref="P6395">IFERROR(IF($B6395=P$1, ($A6395+$C6395) - MAX(IF($B$2:$B6394=$B6395, $A$2:$A6394+$C$2:$C6394)), "")*24*60, "")</f>
        <v/>
      </c>
      <c r="Q6395" s="24" t="str" cm="1">
        <f t="array" ref="Q6395">IFERROR(IF($B6395=Q$1, ($A6395+$C6395) - MAX(IF($B$2:$B6394=$B6395, $A$2:$A6394+$C$2:$C6394)), "")*24*60, "")</f>
        <v/>
      </c>
      <c r="R6395" s="24" t="str" cm="1">
        <f t="array" ref="R6395">IFERROR(IF($B6395=R$1, ($A6395+$C6395) - MAX(IF($B$2:$B6394=$B6395, $A$2:$A6394+$C$2:$C6394)), "")*24*60, "")</f>
        <v/>
      </c>
      <c r="S6395" s="24" t="str" cm="1">
        <f t="array" ref="S6395">IFERROR(IF($B6395=S$1, ($A6395+$C6395) - MAX(IF($B$2:$B6394=$B6395, $A$2:$A6394+$C$2:$C6394)), "")*24*60, "")</f>
        <v/>
      </c>
    </row>
    <row r="6396" spans="1:19" x14ac:dyDescent="0.2">
      <c r="A6396" s="12">
        <f t="shared" ref="A6396:C6396" si="1377">A6395</f>
        <v>45988</v>
      </c>
      <c r="B6396" s="5" t="str">
        <f t="shared" si="1377"/>
        <v>Northern Cardinal</v>
      </c>
      <c r="C6396" s="6">
        <f t="shared" si="1377"/>
        <v>0.28472222222222221</v>
      </c>
      <c r="D6396" s="5"/>
      <c r="E6396" s="5"/>
      <c r="F6396" s="5" t="s">
        <v>8</v>
      </c>
      <c r="G6396" s="15" t="s">
        <v>9</v>
      </c>
      <c r="H6396" s="24">
        <f t="shared" si="1343"/>
        <v>0</v>
      </c>
      <c r="I6396" s="24" cm="1">
        <f t="array" ref="I6396">IFERROR(IF($B6396=I$1, ($A6396+$C6396) - MAX(IF($B$2:$B6395=$B6396, $A$2:$A6395+$C$2:$C6395)), "")*24*60, "")</f>
        <v>0</v>
      </c>
      <c r="J6396" s="24" t="str" cm="1">
        <f t="array" ref="J6396">IFERROR(IF($B6396=J$1, ($A6396+$C6396) - MAX(IF($B$2:$B6395=$B6396, $A$2:$A6395+$C$2:$C6395)), "")*24*60, "")</f>
        <v/>
      </c>
      <c r="K6396" s="24" t="str" cm="1">
        <f t="array" ref="K6396">IFERROR(IF($B6396=K$1, ($A6396+$C6396) - MAX(IF($B$2:$B6395=$B6396, $A$2:$A6395+$C$2:$C6395)), "")*24*60, "")</f>
        <v/>
      </c>
      <c r="L6396" s="24" t="str" cm="1">
        <f t="array" ref="L6396">IFERROR(IF($B6396=L$1, ($A6396+$C6396) - MAX(IF($B$2:$B6395=$B6396, $A$2:$A6395+$C$2:$C6395)), "")*24*60, "")</f>
        <v/>
      </c>
      <c r="M6396" s="24" t="str" cm="1">
        <f t="array" ref="M6396">IFERROR(IF($B6396=M$1, ($A6396+$C6396) - MAX(IF($B$2:$B6395=$B6396, $A$2:$A6395+$C$2:$C6395)), "")*24*60, "")</f>
        <v/>
      </c>
      <c r="N6396" s="24" t="str" cm="1">
        <f t="array" ref="N6396">IFERROR(IF($B6396=N$1, ($A6396+$C6396) - MAX(IF($B$2:$B6395=$B6396, $A$2:$A6395+$C$2:$C6395)), "")*24*60, "")</f>
        <v/>
      </c>
      <c r="O6396" s="24" t="str" cm="1">
        <f t="array" ref="O6396">IFERROR(IF($B6396=O$1, ($A6396+$C6396) - MAX(IF($B$2:$B6395=$B6396, $A$2:$A6395+$C$2:$C6395)), "")*24*60, "")</f>
        <v/>
      </c>
      <c r="P6396" s="24" t="str" cm="1">
        <f t="array" ref="P6396">IFERROR(IF($B6396=P$1, ($A6396+$C6396) - MAX(IF($B$2:$B6395=$B6396, $A$2:$A6395+$C$2:$C6395)), "")*24*60, "")</f>
        <v/>
      </c>
      <c r="Q6396" s="24" t="str" cm="1">
        <f t="array" ref="Q6396">IFERROR(IF($B6396=Q$1, ($A6396+$C6396) - MAX(IF($B$2:$B6395=$B6396, $A$2:$A6395+$C$2:$C6395)), "")*24*60, "")</f>
        <v/>
      </c>
      <c r="R6396" s="24" t="str" cm="1">
        <f t="array" ref="R6396">IFERROR(IF($B6396=R$1, ($A6396+$C6396) - MAX(IF($B$2:$B6395=$B6396, $A$2:$A6395+$C$2:$C6395)), "")*24*60, "")</f>
        <v/>
      </c>
      <c r="S6396" s="24" t="str" cm="1">
        <f t="array" ref="S6396">IFERROR(IF($B6396=S$1, ($A6396+$C6396) - MAX(IF($B$2:$B6395=$B6396, $A$2:$A6395+$C$2:$C6395)), "")*24*60, "")</f>
        <v/>
      </c>
    </row>
    <row r="6397" spans="1:19" x14ac:dyDescent="0.2">
      <c r="A6397" s="12">
        <f t="shared" ref="A6397:C6397" si="1378">A6396</f>
        <v>45988</v>
      </c>
      <c r="B6397" s="5" t="str">
        <f t="shared" si="1378"/>
        <v>Northern Cardinal</v>
      </c>
      <c r="C6397" s="6">
        <f t="shared" si="1378"/>
        <v>0.28472222222222221</v>
      </c>
      <c r="D6397" s="5"/>
      <c r="E6397" s="5"/>
      <c r="F6397" s="5" t="s">
        <v>8</v>
      </c>
      <c r="G6397" s="15" t="s">
        <v>9</v>
      </c>
      <c r="H6397" s="24">
        <f t="shared" si="1343"/>
        <v>0</v>
      </c>
      <c r="I6397" s="24" cm="1">
        <f t="array" ref="I6397">IFERROR(IF($B6397=I$1, ($A6397+$C6397) - MAX(IF($B$2:$B6396=$B6397, $A$2:$A6396+$C$2:$C6396)), "")*24*60, "")</f>
        <v>0</v>
      </c>
      <c r="J6397" s="24" t="str" cm="1">
        <f t="array" ref="J6397">IFERROR(IF($B6397=J$1, ($A6397+$C6397) - MAX(IF($B$2:$B6396=$B6397, $A$2:$A6396+$C$2:$C6396)), "")*24*60, "")</f>
        <v/>
      </c>
      <c r="K6397" s="24" t="str" cm="1">
        <f t="array" ref="K6397">IFERROR(IF($B6397=K$1, ($A6397+$C6397) - MAX(IF($B$2:$B6396=$B6397, $A$2:$A6396+$C$2:$C6396)), "")*24*60, "")</f>
        <v/>
      </c>
      <c r="L6397" s="24" t="str" cm="1">
        <f t="array" ref="L6397">IFERROR(IF($B6397=L$1, ($A6397+$C6397) - MAX(IF($B$2:$B6396=$B6397, $A$2:$A6396+$C$2:$C6396)), "")*24*60, "")</f>
        <v/>
      </c>
      <c r="M6397" s="24" t="str" cm="1">
        <f t="array" ref="M6397">IFERROR(IF($B6397=M$1, ($A6397+$C6397) - MAX(IF($B$2:$B6396=$B6397, $A$2:$A6396+$C$2:$C6396)), "")*24*60, "")</f>
        <v/>
      </c>
      <c r="N6397" s="24" t="str" cm="1">
        <f t="array" ref="N6397">IFERROR(IF($B6397=N$1, ($A6397+$C6397) - MAX(IF($B$2:$B6396=$B6397, $A$2:$A6396+$C$2:$C6396)), "")*24*60, "")</f>
        <v/>
      </c>
      <c r="O6397" s="24" t="str" cm="1">
        <f t="array" ref="O6397">IFERROR(IF($B6397=O$1, ($A6397+$C6397) - MAX(IF($B$2:$B6396=$B6397, $A$2:$A6396+$C$2:$C6396)), "")*24*60, "")</f>
        <v/>
      </c>
      <c r="P6397" s="24" t="str" cm="1">
        <f t="array" ref="P6397">IFERROR(IF($B6397=P$1, ($A6397+$C6397) - MAX(IF($B$2:$B6396=$B6397, $A$2:$A6396+$C$2:$C6396)), "")*24*60, "")</f>
        <v/>
      </c>
      <c r="Q6397" s="24" t="str" cm="1">
        <f t="array" ref="Q6397">IFERROR(IF($B6397=Q$1, ($A6397+$C6397) - MAX(IF($B$2:$B6396=$B6397, $A$2:$A6396+$C$2:$C6396)), "")*24*60, "")</f>
        <v/>
      </c>
      <c r="R6397" s="24" t="str" cm="1">
        <f t="array" ref="R6397">IFERROR(IF($B6397=R$1, ($A6397+$C6397) - MAX(IF($B$2:$B6396=$B6397, $A$2:$A6396+$C$2:$C6396)), "")*24*60, "")</f>
        <v/>
      </c>
      <c r="S6397" s="24" t="str" cm="1">
        <f t="array" ref="S6397">IFERROR(IF($B6397=S$1, ($A6397+$C6397) - MAX(IF($B$2:$B6396=$B6397, $A$2:$A6396+$C$2:$C6396)), "")*24*60, "")</f>
        <v/>
      </c>
    </row>
    <row r="6398" spans="1:19" x14ac:dyDescent="0.2">
      <c r="A6398" s="12">
        <f t="shared" ref="A6398:C6398" si="1379">A6397</f>
        <v>45988</v>
      </c>
      <c r="B6398" s="5" t="str">
        <f t="shared" si="1379"/>
        <v>Northern Cardinal</v>
      </c>
      <c r="C6398" s="6">
        <f t="shared" si="1379"/>
        <v>0.28472222222222221</v>
      </c>
      <c r="D6398" s="5"/>
      <c r="E6398" s="5"/>
      <c r="F6398" s="5" t="s">
        <v>8</v>
      </c>
      <c r="G6398" s="15" t="s">
        <v>9</v>
      </c>
      <c r="H6398" s="24">
        <f t="shared" si="1343"/>
        <v>0</v>
      </c>
      <c r="I6398" s="24" cm="1">
        <f t="array" ref="I6398">IFERROR(IF($B6398=I$1, ($A6398+$C6398) - MAX(IF($B$2:$B6397=$B6398, $A$2:$A6397+$C$2:$C6397)), "")*24*60, "")</f>
        <v>0</v>
      </c>
      <c r="J6398" s="24" t="str" cm="1">
        <f t="array" ref="J6398">IFERROR(IF($B6398=J$1, ($A6398+$C6398) - MAX(IF($B$2:$B6397=$B6398, $A$2:$A6397+$C$2:$C6397)), "")*24*60, "")</f>
        <v/>
      </c>
      <c r="K6398" s="24" t="str" cm="1">
        <f t="array" ref="K6398">IFERROR(IF($B6398=K$1, ($A6398+$C6398) - MAX(IF($B$2:$B6397=$B6398, $A$2:$A6397+$C$2:$C6397)), "")*24*60, "")</f>
        <v/>
      </c>
      <c r="L6398" s="24" t="str" cm="1">
        <f t="array" ref="L6398">IFERROR(IF($B6398=L$1, ($A6398+$C6398) - MAX(IF($B$2:$B6397=$B6398, $A$2:$A6397+$C$2:$C6397)), "")*24*60, "")</f>
        <v/>
      </c>
      <c r="M6398" s="24" t="str" cm="1">
        <f t="array" ref="M6398">IFERROR(IF($B6398=M$1, ($A6398+$C6398) - MAX(IF($B$2:$B6397=$B6398, $A$2:$A6397+$C$2:$C6397)), "")*24*60, "")</f>
        <v/>
      </c>
      <c r="N6398" s="24" t="str" cm="1">
        <f t="array" ref="N6398">IFERROR(IF($B6398=N$1, ($A6398+$C6398) - MAX(IF($B$2:$B6397=$B6398, $A$2:$A6397+$C$2:$C6397)), "")*24*60, "")</f>
        <v/>
      </c>
      <c r="O6398" s="24" t="str" cm="1">
        <f t="array" ref="O6398">IFERROR(IF($B6398=O$1, ($A6398+$C6398) - MAX(IF($B$2:$B6397=$B6398, $A$2:$A6397+$C$2:$C6397)), "")*24*60, "")</f>
        <v/>
      </c>
      <c r="P6398" s="24" t="str" cm="1">
        <f t="array" ref="P6398">IFERROR(IF($B6398=P$1, ($A6398+$C6398) - MAX(IF($B$2:$B6397=$B6398, $A$2:$A6397+$C$2:$C6397)), "")*24*60, "")</f>
        <v/>
      </c>
      <c r="Q6398" s="24" t="str" cm="1">
        <f t="array" ref="Q6398">IFERROR(IF($B6398=Q$1, ($A6398+$C6398) - MAX(IF($B$2:$B6397=$B6398, $A$2:$A6397+$C$2:$C6397)), "")*24*60, "")</f>
        <v/>
      </c>
      <c r="R6398" s="24" t="str" cm="1">
        <f t="array" ref="R6398">IFERROR(IF($B6398=R$1, ($A6398+$C6398) - MAX(IF($B$2:$B6397=$B6398, $A$2:$A6397+$C$2:$C6397)), "")*24*60, "")</f>
        <v/>
      </c>
      <c r="S6398" s="24" t="str" cm="1">
        <f t="array" ref="S6398">IFERROR(IF($B6398=S$1, ($A6398+$C6398) - MAX(IF($B$2:$B6397=$B6398, $A$2:$A6397+$C$2:$C6397)), "")*24*60, "")</f>
        <v/>
      </c>
    </row>
    <row r="6399" spans="1:19" x14ac:dyDescent="0.2">
      <c r="A6399" s="12">
        <f t="shared" ref="A6399:C6399" si="1380">A6398</f>
        <v>45988</v>
      </c>
      <c r="B6399" s="5" t="str">
        <f t="shared" si="1380"/>
        <v>Northern Cardinal</v>
      </c>
      <c r="C6399" s="6">
        <f t="shared" si="1380"/>
        <v>0.28472222222222221</v>
      </c>
      <c r="D6399" s="5"/>
      <c r="E6399" s="5"/>
      <c r="F6399" s="5" t="s">
        <v>8</v>
      </c>
      <c r="G6399" s="15" t="s">
        <v>9</v>
      </c>
      <c r="H6399" s="24">
        <f t="shared" si="1343"/>
        <v>0</v>
      </c>
      <c r="I6399" s="24" cm="1">
        <f t="array" ref="I6399">IFERROR(IF($B6399=I$1, ($A6399+$C6399) - MAX(IF($B$2:$B6398=$B6399, $A$2:$A6398+$C$2:$C6398)), "")*24*60, "")</f>
        <v>0</v>
      </c>
      <c r="J6399" s="24" t="str" cm="1">
        <f t="array" ref="J6399">IFERROR(IF($B6399=J$1, ($A6399+$C6399) - MAX(IF($B$2:$B6398=$B6399, $A$2:$A6398+$C$2:$C6398)), "")*24*60, "")</f>
        <v/>
      </c>
      <c r="K6399" s="24" t="str" cm="1">
        <f t="array" ref="K6399">IFERROR(IF($B6399=K$1, ($A6399+$C6399) - MAX(IF($B$2:$B6398=$B6399, $A$2:$A6398+$C$2:$C6398)), "")*24*60, "")</f>
        <v/>
      </c>
      <c r="L6399" s="24" t="str" cm="1">
        <f t="array" ref="L6399">IFERROR(IF($B6399=L$1, ($A6399+$C6399) - MAX(IF($B$2:$B6398=$B6399, $A$2:$A6398+$C$2:$C6398)), "")*24*60, "")</f>
        <v/>
      </c>
      <c r="M6399" s="24" t="str" cm="1">
        <f t="array" ref="M6399">IFERROR(IF($B6399=M$1, ($A6399+$C6399) - MAX(IF($B$2:$B6398=$B6399, $A$2:$A6398+$C$2:$C6398)), "")*24*60, "")</f>
        <v/>
      </c>
      <c r="N6399" s="24" t="str" cm="1">
        <f t="array" ref="N6399">IFERROR(IF($B6399=N$1, ($A6399+$C6399) - MAX(IF($B$2:$B6398=$B6399, $A$2:$A6398+$C$2:$C6398)), "")*24*60, "")</f>
        <v/>
      </c>
      <c r="O6399" s="24" t="str" cm="1">
        <f t="array" ref="O6399">IFERROR(IF($B6399=O$1, ($A6399+$C6399) - MAX(IF($B$2:$B6398=$B6399, $A$2:$A6398+$C$2:$C6398)), "")*24*60, "")</f>
        <v/>
      </c>
      <c r="P6399" s="24" t="str" cm="1">
        <f t="array" ref="P6399">IFERROR(IF($B6399=P$1, ($A6399+$C6399) - MAX(IF($B$2:$B6398=$B6399, $A$2:$A6398+$C$2:$C6398)), "")*24*60, "")</f>
        <v/>
      </c>
      <c r="Q6399" s="24" t="str" cm="1">
        <f t="array" ref="Q6399">IFERROR(IF($B6399=Q$1, ($A6399+$C6399) - MAX(IF($B$2:$B6398=$B6399, $A$2:$A6398+$C$2:$C6398)), "")*24*60, "")</f>
        <v/>
      </c>
      <c r="R6399" s="24" t="str" cm="1">
        <f t="array" ref="R6399">IFERROR(IF($B6399=R$1, ($A6399+$C6399) - MAX(IF($B$2:$B6398=$B6399, $A$2:$A6398+$C$2:$C6398)), "")*24*60, "")</f>
        <v/>
      </c>
      <c r="S6399" s="24" t="str" cm="1">
        <f t="array" ref="S6399">IFERROR(IF($B6399=S$1, ($A6399+$C6399) - MAX(IF($B$2:$B6398=$B6399, $A$2:$A6398+$C$2:$C6398)), "")*24*60, "")</f>
        <v/>
      </c>
    </row>
    <row r="6400" spans="1:19" x14ac:dyDescent="0.2">
      <c r="A6400" s="12">
        <f t="shared" ref="A6400:C6400" si="1381">A6399</f>
        <v>45988</v>
      </c>
      <c r="B6400" s="5" t="str">
        <f t="shared" si="1381"/>
        <v>Northern Cardinal</v>
      </c>
      <c r="C6400" s="6">
        <f t="shared" si="1381"/>
        <v>0.28472222222222221</v>
      </c>
      <c r="D6400" s="5"/>
      <c r="E6400" s="5"/>
      <c r="F6400" s="5" t="s">
        <v>8</v>
      </c>
      <c r="G6400" s="15" t="s">
        <v>9</v>
      </c>
      <c r="H6400" s="24">
        <f t="shared" si="1343"/>
        <v>0</v>
      </c>
      <c r="I6400" s="24" cm="1">
        <f t="array" ref="I6400">IFERROR(IF($B6400=I$1, ($A6400+$C6400) - MAX(IF($B$2:$B6399=$B6400, $A$2:$A6399+$C$2:$C6399)), "")*24*60, "")</f>
        <v>0</v>
      </c>
      <c r="J6400" s="24" t="str" cm="1">
        <f t="array" ref="J6400">IFERROR(IF($B6400=J$1, ($A6400+$C6400) - MAX(IF($B$2:$B6399=$B6400, $A$2:$A6399+$C$2:$C6399)), "")*24*60, "")</f>
        <v/>
      </c>
      <c r="K6400" s="24" t="str" cm="1">
        <f t="array" ref="K6400">IFERROR(IF($B6400=K$1, ($A6400+$C6400) - MAX(IF($B$2:$B6399=$B6400, $A$2:$A6399+$C$2:$C6399)), "")*24*60, "")</f>
        <v/>
      </c>
      <c r="L6400" s="24" t="str" cm="1">
        <f t="array" ref="L6400">IFERROR(IF($B6400=L$1, ($A6400+$C6400) - MAX(IF($B$2:$B6399=$B6400, $A$2:$A6399+$C$2:$C6399)), "")*24*60, "")</f>
        <v/>
      </c>
      <c r="M6400" s="24" t="str" cm="1">
        <f t="array" ref="M6400">IFERROR(IF($B6400=M$1, ($A6400+$C6400) - MAX(IF($B$2:$B6399=$B6400, $A$2:$A6399+$C$2:$C6399)), "")*24*60, "")</f>
        <v/>
      </c>
      <c r="N6400" s="24" t="str" cm="1">
        <f t="array" ref="N6400">IFERROR(IF($B6400=N$1, ($A6400+$C6400) - MAX(IF($B$2:$B6399=$B6400, $A$2:$A6399+$C$2:$C6399)), "")*24*60, "")</f>
        <v/>
      </c>
      <c r="O6400" s="24" t="str" cm="1">
        <f t="array" ref="O6400">IFERROR(IF($B6400=O$1, ($A6400+$C6400) - MAX(IF($B$2:$B6399=$B6400, $A$2:$A6399+$C$2:$C6399)), "")*24*60, "")</f>
        <v/>
      </c>
      <c r="P6400" s="24" t="str" cm="1">
        <f t="array" ref="P6400">IFERROR(IF($B6400=P$1, ($A6400+$C6400) - MAX(IF($B$2:$B6399=$B6400, $A$2:$A6399+$C$2:$C6399)), "")*24*60, "")</f>
        <v/>
      </c>
      <c r="Q6400" s="24" t="str" cm="1">
        <f t="array" ref="Q6400">IFERROR(IF($B6400=Q$1, ($A6400+$C6400) - MAX(IF($B$2:$B6399=$B6400, $A$2:$A6399+$C$2:$C6399)), "")*24*60, "")</f>
        <v/>
      </c>
      <c r="R6400" s="24" t="str" cm="1">
        <f t="array" ref="R6400">IFERROR(IF($B6400=R$1, ($A6400+$C6400) - MAX(IF($B$2:$B6399=$B6400, $A$2:$A6399+$C$2:$C6399)), "")*24*60, "")</f>
        <v/>
      </c>
      <c r="S6400" s="24" t="str" cm="1">
        <f t="array" ref="S6400">IFERROR(IF($B6400=S$1, ($A6400+$C6400) - MAX(IF($B$2:$B6399=$B6400, $A$2:$A6399+$C$2:$C6399)), "")*24*60, "")</f>
        <v/>
      </c>
    </row>
    <row r="6401" spans="1:19" x14ac:dyDescent="0.2">
      <c r="A6401" s="12">
        <f t="shared" ref="A6401:C6401" si="1382">A6400</f>
        <v>45988</v>
      </c>
      <c r="B6401" s="5" t="str">
        <f t="shared" si="1382"/>
        <v>Northern Cardinal</v>
      </c>
      <c r="C6401" s="6">
        <f t="shared" si="1382"/>
        <v>0.28472222222222221</v>
      </c>
      <c r="D6401" s="5"/>
      <c r="E6401" s="5"/>
      <c r="F6401" s="5" t="s">
        <v>8</v>
      </c>
      <c r="G6401" s="15" t="s">
        <v>9</v>
      </c>
      <c r="H6401" s="24">
        <f t="shared" si="1343"/>
        <v>0</v>
      </c>
      <c r="I6401" s="24" cm="1">
        <f t="array" ref="I6401">IFERROR(IF($B6401=I$1, ($A6401+$C6401) - MAX(IF($B$2:$B6400=$B6401, $A$2:$A6400+$C$2:$C6400)), "")*24*60, "")</f>
        <v>0</v>
      </c>
      <c r="J6401" s="24" t="str" cm="1">
        <f t="array" ref="J6401">IFERROR(IF($B6401=J$1, ($A6401+$C6401) - MAX(IF($B$2:$B6400=$B6401, $A$2:$A6400+$C$2:$C6400)), "")*24*60, "")</f>
        <v/>
      </c>
      <c r="K6401" s="24" t="str" cm="1">
        <f t="array" ref="K6401">IFERROR(IF($B6401=K$1, ($A6401+$C6401) - MAX(IF($B$2:$B6400=$B6401, $A$2:$A6400+$C$2:$C6400)), "")*24*60, "")</f>
        <v/>
      </c>
      <c r="L6401" s="24" t="str" cm="1">
        <f t="array" ref="L6401">IFERROR(IF($B6401=L$1, ($A6401+$C6401) - MAX(IF($B$2:$B6400=$B6401, $A$2:$A6400+$C$2:$C6400)), "")*24*60, "")</f>
        <v/>
      </c>
      <c r="M6401" s="24" t="str" cm="1">
        <f t="array" ref="M6401">IFERROR(IF($B6401=M$1, ($A6401+$C6401) - MAX(IF($B$2:$B6400=$B6401, $A$2:$A6400+$C$2:$C6400)), "")*24*60, "")</f>
        <v/>
      </c>
      <c r="N6401" s="24" t="str" cm="1">
        <f t="array" ref="N6401">IFERROR(IF($B6401=N$1, ($A6401+$C6401) - MAX(IF($B$2:$B6400=$B6401, $A$2:$A6400+$C$2:$C6400)), "")*24*60, "")</f>
        <v/>
      </c>
      <c r="O6401" s="24" t="str" cm="1">
        <f t="array" ref="O6401">IFERROR(IF($B6401=O$1, ($A6401+$C6401) - MAX(IF($B$2:$B6400=$B6401, $A$2:$A6400+$C$2:$C6400)), "")*24*60, "")</f>
        <v/>
      </c>
      <c r="P6401" s="24" t="str" cm="1">
        <f t="array" ref="P6401">IFERROR(IF($B6401=P$1, ($A6401+$C6401) - MAX(IF($B$2:$B6400=$B6401, $A$2:$A6400+$C$2:$C6400)), "")*24*60, "")</f>
        <v/>
      </c>
      <c r="Q6401" s="24" t="str" cm="1">
        <f t="array" ref="Q6401">IFERROR(IF($B6401=Q$1, ($A6401+$C6401) - MAX(IF($B$2:$B6400=$B6401, $A$2:$A6400+$C$2:$C6400)), "")*24*60, "")</f>
        <v/>
      </c>
      <c r="R6401" s="24" t="str" cm="1">
        <f t="array" ref="R6401">IFERROR(IF($B6401=R$1, ($A6401+$C6401) - MAX(IF($B$2:$B6400=$B6401, $A$2:$A6400+$C$2:$C6400)), "")*24*60, "")</f>
        <v/>
      </c>
      <c r="S6401" s="24" t="str" cm="1">
        <f t="array" ref="S6401">IFERROR(IF($B6401=S$1, ($A6401+$C6401) - MAX(IF($B$2:$B6400=$B6401, $A$2:$A6400+$C$2:$C6400)), "")*24*60, "")</f>
        <v/>
      </c>
    </row>
    <row r="6402" spans="1:19" x14ac:dyDescent="0.2">
      <c r="A6402" s="12">
        <f t="shared" ref="A6402:C6402" si="1383">A6401</f>
        <v>45988</v>
      </c>
      <c r="B6402" s="5" t="str">
        <f t="shared" si="1383"/>
        <v>Northern Cardinal</v>
      </c>
      <c r="C6402" s="6">
        <f t="shared" si="1383"/>
        <v>0.28472222222222221</v>
      </c>
      <c r="D6402" s="5"/>
      <c r="E6402" s="5"/>
      <c r="F6402" s="5" t="s">
        <v>8</v>
      </c>
      <c r="G6402" s="15" t="s">
        <v>9</v>
      </c>
      <c r="H6402" s="24">
        <f t="shared" si="1343"/>
        <v>0</v>
      </c>
      <c r="I6402" s="24" cm="1">
        <f t="array" ref="I6402">IFERROR(IF($B6402=I$1, ($A6402+$C6402) - MAX(IF($B$2:$B6401=$B6402, $A$2:$A6401+$C$2:$C6401)), "")*24*60, "")</f>
        <v>0</v>
      </c>
      <c r="J6402" s="24" t="str" cm="1">
        <f t="array" ref="J6402">IFERROR(IF($B6402=J$1, ($A6402+$C6402) - MAX(IF($B$2:$B6401=$B6402, $A$2:$A6401+$C$2:$C6401)), "")*24*60, "")</f>
        <v/>
      </c>
      <c r="K6402" s="24" t="str" cm="1">
        <f t="array" ref="K6402">IFERROR(IF($B6402=K$1, ($A6402+$C6402) - MAX(IF($B$2:$B6401=$B6402, $A$2:$A6401+$C$2:$C6401)), "")*24*60, "")</f>
        <v/>
      </c>
      <c r="L6402" s="24" t="str" cm="1">
        <f t="array" ref="L6402">IFERROR(IF($B6402=L$1, ($A6402+$C6402) - MAX(IF($B$2:$B6401=$B6402, $A$2:$A6401+$C$2:$C6401)), "")*24*60, "")</f>
        <v/>
      </c>
      <c r="M6402" s="24" t="str" cm="1">
        <f t="array" ref="M6402">IFERROR(IF($B6402=M$1, ($A6402+$C6402) - MAX(IF($B$2:$B6401=$B6402, $A$2:$A6401+$C$2:$C6401)), "")*24*60, "")</f>
        <v/>
      </c>
      <c r="N6402" s="24" t="str" cm="1">
        <f t="array" ref="N6402">IFERROR(IF($B6402=N$1, ($A6402+$C6402) - MAX(IF($B$2:$B6401=$B6402, $A$2:$A6401+$C$2:$C6401)), "")*24*60, "")</f>
        <v/>
      </c>
      <c r="O6402" s="24" t="str" cm="1">
        <f t="array" ref="O6402">IFERROR(IF($B6402=O$1, ($A6402+$C6402) - MAX(IF($B$2:$B6401=$B6402, $A$2:$A6401+$C$2:$C6401)), "")*24*60, "")</f>
        <v/>
      </c>
      <c r="P6402" s="24" t="str" cm="1">
        <f t="array" ref="P6402">IFERROR(IF($B6402=P$1, ($A6402+$C6402) - MAX(IF($B$2:$B6401=$B6402, $A$2:$A6401+$C$2:$C6401)), "")*24*60, "")</f>
        <v/>
      </c>
      <c r="Q6402" s="24" t="str" cm="1">
        <f t="array" ref="Q6402">IFERROR(IF($B6402=Q$1, ($A6402+$C6402) - MAX(IF($B$2:$B6401=$B6402, $A$2:$A6401+$C$2:$C6401)), "")*24*60, "")</f>
        <v/>
      </c>
      <c r="R6402" s="24" t="str" cm="1">
        <f t="array" ref="R6402">IFERROR(IF($B6402=R$1, ($A6402+$C6402) - MAX(IF($B$2:$B6401=$B6402, $A$2:$A6401+$C$2:$C6401)), "")*24*60, "")</f>
        <v/>
      </c>
      <c r="S6402" s="24" t="str" cm="1">
        <f t="array" ref="S6402">IFERROR(IF($B6402=S$1, ($A6402+$C6402) - MAX(IF($B$2:$B6401=$B6402, $A$2:$A6401+$C$2:$C6401)), "")*24*60, "")</f>
        <v/>
      </c>
    </row>
    <row r="6403" spans="1:19" x14ac:dyDescent="0.2">
      <c r="A6403" s="12">
        <f t="shared" ref="A6403:C6403" si="1384">A6402</f>
        <v>45988</v>
      </c>
      <c r="B6403" s="5" t="str">
        <f t="shared" si="1384"/>
        <v>Northern Cardinal</v>
      </c>
      <c r="C6403" s="6">
        <f t="shared" si="1384"/>
        <v>0.28472222222222221</v>
      </c>
      <c r="D6403" s="5"/>
      <c r="E6403" s="5"/>
      <c r="F6403" s="5" t="s">
        <v>8</v>
      </c>
      <c r="G6403" s="15" t="s">
        <v>9</v>
      </c>
      <c r="H6403" s="24">
        <f t="shared" si="1343"/>
        <v>0</v>
      </c>
      <c r="I6403" s="24" cm="1">
        <f t="array" ref="I6403">IFERROR(IF($B6403=I$1, ($A6403+$C6403) - MAX(IF($B$2:$B6402=$B6403, $A$2:$A6402+$C$2:$C6402)), "")*24*60, "")</f>
        <v>0</v>
      </c>
      <c r="J6403" s="24" t="str" cm="1">
        <f t="array" ref="J6403">IFERROR(IF($B6403=J$1, ($A6403+$C6403) - MAX(IF($B$2:$B6402=$B6403, $A$2:$A6402+$C$2:$C6402)), "")*24*60, "")</f>
        <v/>
      </c>
      <c r="K6403" s="24" t="str" cm="1">
        <f t="array" ref="K6403">IFERROR(IF($B6403=K$1, ($A6403+$C6403) - MAX(IF($B$2:$B6402=$B6403, $A$2:$A6402+$C$2:$C6402)), "")*24*60, "")</f>
        <v/>
      </c>
      <c r="L6403" s="24" t="str" cm="1">
        <f t="array" ref="L6403">IFERROR(IF($B6403=L$1, ($A6403+$C6403) - MAX(IF($B$2:$B6402=$B6403, $A$2:$A6402+$C$2:$C6402)), "")*24*60, "")</f>
        <v/>
      </c>
      <c r="M6403" s="24" t="str" cm="1">
        <f t="array" ref="M6403">IFERROR(IF($B6403=M$1, ($A6403+$C6403) - MAX(IF($B$2:$B6402=$B6403, $A$2:$A6402+$C$2:$C6402)), "")*24*60, "")</f>
        <v/>
      </c>
      <c r="N6403" s="24" t="str" cm="1">
        <f t="array" ref="N6403">IFERROR(IF($B6403=N$1, ($A6403+$C6403) - MAX(IF($B$2:$B6402=$B6403, $A$2:$A6402+$C$2:$C6402)), "")*24*60, "")</f>
        <v/>
      </c>
      <c r="O6403" s="24" t="str" cm="1">
        <f t="array" ref="O6403">IFERROR(IF($B6403=O$1, ($A6403+$C6403) - MAX(IF($B$2:$B6402=$B6403, $A$2:$A6402+$C$2:$C6402)), "")*24*60, "")</f>
        <v/>
      </c>
      <c r="P6403" s="24" t="str" cm="1">
        <f t="array" ref="P6403">IFERROR(IF($B6403=P$1, ($A6403+$C6403) - MAX(IF($B$2:$B6402=$B6403, $A$2:$A6402+$C$2:$C6402)), "")*24*60, "")</f>
        <v/>
      </c>
      <c r="Q6403" s="24" t="str" cm="1">
        <f t="array" ref="Q6403">IFERROR(IF($B6403=Q$1, ($A6403+$C6403) - MAX(IF($B$2:$B6402=$B6403, $A$2:$A6402+$C$2:$C6402)), "")*24*60, "")</f>
        <v/>
      </c>
      <c r="R6403" s="24" t="str" cm="1">
        <f t="array" ref="R6403">IFERROR(IF($B6403=R$1, ($A6403+$C6403) - MAX(IF($B$2:$B6402=$B6403, $A$2:$A6402+$C$2:$C6402)), "")*24*60, "")</f>
        <v/>
      </c>
      <c r="S6403" s="24" t="str" cm="1">
        <f t="array" ref="S6403">IFERROR(IF($B6403=S$1, ($A6403+$C6403) - MAX(IF($B$2:$B6402=$B6403, $A$2:$A6402+$C$2:$C6402)), "")*24*60, "")</f>
        <v/>
      </c>
    </row>
    <row r="6404" spans="1:19" x14ac:dyDescent="0.2">
      <c r="A6404" s="12">
        <f t="shared" ref="A6404:C6404" si="1385">A6403</f>
        <v>45988</v>
      </c>
      <c r="B6404" s="5" t="str">
        <f t="shared" si="1385"/>
        <v>Northern Cardinal</v>
      </c>
      <c r="C6404" s="6">
        <f t="shared" si="1385"/>
        <v>0.28472222222222221</v>
      </c>
      <c r="D6404" s="5"/>
      <c r="E6404" s="5"/>
      <c r="F6404" s="5" t="s">
        <v>8</v>
      </c>
      <c r="G6404" s="15" t="s">
        <v>9</v>
      </c>
      <c r="H6404" s="24">
        <f t="shared" si="1343"/>
        <v>0</v>
      </c>
      <c r="I6404" s="24" cm="1">
        <f t="array" ref="I6404">IFERROR(IF($B6404=I$1, ($A6404+$C6404) - MAX(IF($B$2:$B6403=$B6404, $A$2:$A6403+$C$2:$C6403)), "")*24*60, "")</f>
        <v>0</v>
      </c>
      <c r="J6404" s="24" t="str" cm="1">
        <f t="array" ref="J6404">IFERROR(IF($B6404=J$1, ($A6404+$C6404) - MAX(IF($B$2:$B6403=$B6404, $A$2:$A6403+$C$2:$C6403)), "")*24*60, "")</f>
        <v/>
      </c>
      <c r="K6404" s="24" t="str" cm="1">
        <f t="array" ref="K6404">IFERROR(IF($B6404=K$1, ($A6404+$C6404) - MAX(IF($B$2:$B6403=$B6404, $A$2:$A6403+$C$2:$C6403)), "")*24*60, "")</f>
        <v/>
      </c>
      <c r="L6404" s="24" t="str" cm="1">
        <f t="array" ref="L6404">IFERROR(IF($B6404=L$1, ($A6404+$C6404) - MAX(IF($B$2:$B6403=$B6404, $A$2:$A6403+$C$2:$C6403)), "")*24*60, "")</f>
        <v/>
      </c>
      <c r="M6404" s="24" t="str" cm="1">
        <f t="array" ref="M6404">IFERROR(IF($B6404=M$1, ($A6404+$C6404) - MAX(IF($B$2:$B6403=$B6404, $A$2:$A6403+$C$2:$C6403)), "")*24*60, "")</f>
        <v/>
      </c>
      <c r="N6404" s="24" t="str" cm="1">
        <f t="array" ref="N6404">IFERROR(IF($B6404=N$1, ($A6404+$C6404) - MAX(IF($B$2:$B6403=$B6404, $A$2:$A6403+$C$2:$C6403)), "")*24*60, "")</f>
        <v/>
      </c>
      <c r="O6404" s="24" t="str" cm="1">
        <f t="array" ref="O6404">IFERROR(IF($B6404=O$1, ($A6404+$C6404) - MAX(IF($B$2:$B6403=$B6404, $A$2:$A6403+$C$2:$C6403)), "")*24*60, "")</f>
        <v/>
      </c>
      <c r="P6404" s="24" t="str" cm="1">
        <f t="array" ref="P6404">IFERROR(IF($B6404=P$1, ($A6404+$C6404) - MAX(IF($B$2:$B6403=$B6404, $A$2:$A6403+$C$2:$C6403)), "")*24*60, "")</f>
        <v/>
      </c>
      <c r="Q6404" s="24" t="str" cm="1">
        <f t="array" ref="Q6404">IFERROR(IF($B6404=Q$1, ($A6404+$C6404) - MAX(IF($B$2:$B6403=$B6404, $A$2:$A6403+$C$2:$C6403)), "")*24*60, "")</f>
        <v/>
      </c>
      <c r="R6404" s="24" t="str" cm="1">
        <f t="array" ref="R6404">IFERROR(IF($B6404=R$1, ($A6404+$C6404) - MAX(IF($B$2:$B6403=$B6404, $A$2:$A6403+$C$2:$C6403)), "")*24*60, "")</f>
        <v/>
      </c>
      <c r="S6404" s="24" t="str" cm="1">
        <f t="array" ref="S6404">IFERROR(IF($B6404=S$1, ($A6404+$C6404) - MAX(IF($B$2:$B6403=$B6404, $A$2:$A6403+$C$2:$C6403)), "")*24*60, "")</f>
        <v/>
      </c>
    </row>
    <row r="6405" spans="1:19" x14ac:dyDescent="0.2">
      <c r="A6405" s="12">
        <f t="shared" ref="A6405:C6405" si="1386">A6404</f>
        <v>45988</v>
      </c>
      <c r="B6405" s="5" t="str">
        <f t="shared" si="1386"/>
        <v>Northern Cardinal</v>
      </c>
      <c r="C6405" s="6">
        <f t="shared" si="1386"/>
        <v>0.28472222222222221</v>
      </c>
      <c r="D6405" s="5"/>
      <c r="E6405" s="5"/>
      <c r="F6405" s="5" t="s">
        <v>8</v>
      </c>
      <c r="G6405" s="15" t="s">
        <v>9</v>
      </c>
      <c r="H6405" s="24">
        <f t="shared" si="1343"/>
        <v>0</v>
      </c>
      <c r="I6405" s="24" cm="1">
        <f t="array" ref="I6405">IFERROR(IF($B6405=I$1, ($A6405+$C6405) - MAX(IF($B$2:$B6404=$B6405, $A$2:$A6404+$C$2:$C6404)), "")*24*60, "")</f>
        <v>0</v>
      </c>
      <c r="J6405" s="24" t="str" cm="1">
        <f t="array" ref="J6405">IFERROR(IF($B6405=J$1, ($A6405+$C6405) - MAX(IF($B$2:$B6404=$B6405, $A$2:$A6404+$C$2:$C6404)), "")*24*60, "")</f>
        <v/>
      </c>
      <c r="K6405" s="24" t="str" cm="1">
        <f t="array" ref="K6405">IFERROR(IF($B6405=K$1, ($A6405+$C6405) - MAX(IF($B$2:$B6404=$B6405, $A$2:$A6404+$C$2:$C6404)), "")*24*60, "")</f>
        <v/>
      </c>
      <c r="L6405" s="24" t="str" cm="1">
        <f t="array" ref="L6405">IFERROR(IF($B6405=L$1, ($A6405+$C6405) - MAX(IF($B$2:$B6404=$B6405, $A$2:$A6404+$C$2:$C6404)), "")*24*60, "")</f>
        <v/>
      </c>
      <c r="M6405" s="24" t="str" cm="1">
        <f t="array" ref="M6405">IFERROR(IF($B6405=M$1, ($A6405+$C6405) - MAX(IF($B$2:$B6404=$B6405, $A$2:$A6404+$C$2:$C6404)), "")*24*60, "")</f>
        <v/>
      </c>
      <c r="N6405" s="24" t="str" cm="1">
        <f t="array" ref="N6405">IFERROR(IF($B6405=N$1, ($A6405+$C6405) - MAX(IF($B$2:$B6404=$B6405, $A$2:$A6404+$C$2:$C6404)), "")*24*60, "")</f>
        <v/>
      </c>
      <c r="O6405" s="24" t="str" cm="1">
        <f t="array" ref="O6405">IFERROR(IF($B6405=O$1, ($A6405+$C6405) - MAX(IF($B$2:$B6404=$B6405, $A$2:$A6404+$C$2:$C6404)), "")*24*60, "")</f>
        <v/>
      </c>
      <c r="P6405" s="24" t="str" cm="1">
        <f t="array" ref="P6405">IFERROR(IF($B6405=P$1, ($A6405+$C6405) - MAX(IF($B$2:$B6404=$B6405, $A$2:$A6404+$C$2:$C6404)), "")*24*60, "")</f>
        <v/>
      </c>
      <c r="Q6405" s="24" t="str" cm="1">
        <f t="array" ref="Q6405">IFERROR(IF($B6405=Q$1, ($A6405+$C6405) - MAX(IF($B$2:$B6404=$B6405, $A$2:$A6404+$C$2:$C6404)), "")*24*60, "")</f>
        <v/>
      </c>
      <c r="R6405" s="24" t="str" cm="1">
        <f t="array" ref="R6405">IFERROR(IF($B6405=R$1, ($A6405+$C6405) - MAX(IF($B$2:$B6404=$B6405, $A$2:$A6404+$C$2:$C6404)), "")*24*60, "")</f>
        <v/>
      </c>
      <c r="S6405" s="24" t="str" cm="1">
        <f t="array" ref="S6405">IFERROR(IF($B6405=S$1, ($A6405+$C6405) - MAX(IF($B$2:$B6404=$B6405, $A$2:$A6404+$C$2:$C6404)), "")*24*60, "")</f>
        <v/>
      </c>
    </row>
    <row r="6406" spans="1:19" x14ac:dyDescent="0.2">
      <c r="A6406" s="12">
        <f t="shared" ref="A6406:C6406" si="1387">A6405</f>
        <v>45988</v>
      </c>
      <c r="B6406" s="5" t="str">
        <f t="shared" si="1387"/>
        <v>Northern Cardinal</v>
      </c>
      <c r="C6406" s="6">
        <f t="shared" si="1387"/>
        <v>0.28472222222222221</v>
      </c>
      <c r="D6406" s="5"/>
      <c r="E6406" s="5"/>
      <c r="F6406" s="5" t="s">
        <v>8</v>
      </c>
      <c r="G6406" s="15" t="s">
        <v>9</v>
      </c>
      <c r="H6406" s="24">
        <f t="shared" si="1343"/>
        <v>0</v>
      </c>
      <c r="I6406" s="24" cm="1">
        <f t="array" ref="I6406">IFERROR(IF($B6406=I$1, ($A6406+$C6406) - MAX(IF($B$2:$B6405=$B6406, $A$2:$A6405+$C$2:$C6405)), "")*24*60, "")</f>
        <v>0</v>
      </c>
      <c r="J6406" s="24" t="str" cm="1">
        <f t="array" ref="J6406">IFERROR(IF($B6406=J$1, ($A6406+$C6406) - MAX(IF($B$2:$B6405=$B6406, $A$2:$A6405+$C$2:$C6405)), "")*24*60, "")</f>
        <v/>
      </c>
      <c r="K6406" s="24" t="str" cm="1">
        <f t="array" ref="K6406">IFERROR(IF($B6406=K$1, ($A6406+$C6406) - MAX(IF($B$2:$B6405=$B6406, $A$2:$A6405+$C$2:$C6405)), "")*24*60, "")</f>
        <v/>
      </c>
      <c r="L6406" s="24" t="str" cm="1">
        <f t="array" ref="L6406">IFERROR(IF($B6406=L$1, ($A6406+$C6406) - MAX(IF($B$2:$B6405=$B6406, $A$2:$A6405+$C$2:$C6405)), "")*24*60, "")</f>
        <v/>
      </c>
      <c r="M6406" s="24" t="str" cm="1">
        <f t="array" ref="M6406">IFERROR(IF($B6406=M$1, ($A6406+$C6406) - MAX(IF($B$2:$B6405=$B6406, $A$2:$A6405+$C$2:$C6405)), "")*24*60, "")</f>
        <v/>
      </c>
      <c r="N6406" s="24" t="str" cm="1">
        <f t="array" ref="N6406">IFERROR(IF($B6406=N$1, ($A6406+$C6406) - MAX(IF($B$2:$B6405=$B6406, $A$2:$A6405+$C$2:$C6405)), "")*24*60, "")</f>
        <v/>
      </c>
      <c r="O6406" s="24" t="str" cm="1">
        <f t="array" ref="O6406">IFERROR(IF($B6406=O$1, ($A6406+$C6406) - MAX(IF($B$2:$B6405=$B6406, $A$2:$A6405+$C$2:$C6405)), "")*24*60, "")</f>
        <v/>
      </c>
      <c r="P6406" s="24" t="str" cm="1">
        <f t="array" ref="P6406">IFERROR(IF($B6406=P$1, ($A6406+$C6406) - MAX(IF($B$2:$B6405=$B6406, $A$2:$A6405+$C$2:$C6405)), "")*24*60, "")</f>
        <v/>
      </c>
      <c r="Q6406" s="24" t="str" cm="1">
        <f t="array" ref="Q6406">IFERROR(IF($B6406=Q$1, ($A6406+$C6406) - MAX(IF($B$2:$B6405=$B6406, $A$2:$A6405+$C$2:$C6405)), "")*24*60, "")</f>
        <v/>
      </c>
      <c r="R6406" s="24" t="str" cm="1">
        <f t="array" ref="R6406">IFERROR(IF($B6406=R$1, ($A6406+$C6406) - MAX(IF($B$2:$B6405=$B6406, $A$2:$A6405+$C$2:$C6405)), "")*24*60, "")</f>
        <v/>
      </c>
      <c r="S6406" s="24" t="str" cm="1">
        <f t="array" ref="S6406">IFERROR(IF($B6406=S$1, ($A6406+$C6406) - MAX(IF($B$2:$B6405=$B6406, $A$2:$A6405+$C$2:$C6405)), "")*24*60, "")</f>
        <v/>
      </c>
    </row>
    <row r="6407" spans="1:19" x14ac:dyDescent="0.2">
      <c r="A6407" s="12">
        <f t="shared" ref="A6407:C6407" si="1388">A6406</f>
        <v>45988</v>
      </c>
      <c r="B6407" s="5" t="str">
        <f t="shared" si="1388"/>
        <v>Northern Cardinal</v>
      </c>
      <c r="C6407" s="6">
        <f t="shared" si="1388"/>
        <v>0.28472222222222221</v>
      </c>
      <c r="D6407" s="5"/>
      <c r="E6407" s="5"/>
      <c r="F6407" s="5" t="s">
        <v>8</v>
      </c>
      <c r="G6407" s="15" t="s">
        <v>9</v>
      </c>
      <c r="H6407" s="24">
        <f t="shared" si="1343"/>
        <v>0</v>
      </c>
      <c r="I6407" s="24" cm="1">
        <f t="array" ref="I6407">IFERROR(IF($B6407=I$1, ($A6407+$C6407) - MAX(IF($B$2:$B6406=$B6407, $A$2:$A6406+$C$2:$C6406)), "")*24*60, "")</f>
        <v>0</v>
      </c>
      <c r="J6407" s="24" t="str" cm="1">
        <f t="array" ref="J6407">IFERROR(IF($B6407=J$1, ($A6407+$C6407) - MAX(IF($B$2:$B6406=$B6407, $A$2:$A6406+$C$2:$C6406)), "")*24*60, "")</f>
        <v/>
      </c>
      <c r="K6407" s="24" t="str" cm="1">
        <f t="array" ref="K6407">IFERROR(IF($B6407=K$1, ($A6407+$C6407) - MAX(IF($B$2:$B6406=$B6407, $A$2:$A6406+$C$2:$C6406)), "")*24*60, "")</f>
        <v/>
      </c>
      <c r="L6407" s="24" t="str" cm="1">
        <f t="array" ref="L6407">IFERROR(IF($B6407=L$1, ($A6407+$C6407) - MAX(IF($B$2:$B6406=$B6407, $A$2:$A6406+$C$2:$C6406)), "")*24*60, "")</f>
        <v/>
      </c>
      <c r="M6407" s="24" t="str" cm="1">
        <f t="array" ref="M6407">IFERROR(IF($B6407=M$1, ($A6407+$C6407) - MAX(IF($B$2:$B6406=$B6407, $A$2:$A6406+$C$2:$C6406)), "")*24*60, "")</f>
        <v/>
      </c>
      <c r="N6407" s="24" t="str" cm="1">
        <f t="array" ref="N6407">IFERROR(IF($B6407=N$1, ($A6407+$C6407) - MAX(IF($B$2:$B6406=$B6407, $A$2:$A6406+$C$2:$C6406)), "")*24*60, "")</f>
        <v/>
      </c>
      <c r="O6407" s="24" t="str" cm="1">
        <f t="array" ref="O6407">IFERROR(IF($B6407=O$1, ($A6407+$C6407) - MAX(IF($B$2:$B6406=$B6407, $A$2:$A6406+$C$2:$C6406)), "")*24*60, "")</f>
        <v/>
      </c>
      <c r="P6407" s="24" t="str" cm="1">
        <f t="array" ref="P6407">IFERROR(IF($B6407=P$1, ($A6407+$C6407) - MAX(IF($B$2:$B6406=$B6407, $A$2:$A6406+$C$2:$C6406)), "")*24*60, "")</f>
        <v/>
      </c>
      <c r="Q6407" s="24" t="str" cm="1">
        <f t="array" ref="Q6407">IFERROR(IF($B6407=Q$1, ($A6407+$C6407) - MAX(IF($B$2:$B6406=$B6407, $A$2:$A6406+$C$2:$C6406)), "")*24*60, "")</f>
        <v/>
      </c>
      <c r="R6407" s="24" t="str" cm="1">
        <f t="array" ref="R6407">IFERROR(IF($B6407=R$1, ($A6407+$C6407) - MAX(IF($B$2:$B6406=$B6407, $A$2:$A6406+$C$2:$C6406)), "")*24*60, "")</f>
        <v/>
      </c>
      <c r="S6407" s="24" t="str" cm="1">
        <f t="array" ref="S6407">IFERROR(IF($B6407=S$1, ($A6407+$C6407) - MAX(IF($B$2:$B6406=$B6407, $A$2:$A6406+$C$2:$C6406)), "")*24*60, "")</f>
        <v/>
      </c>
    </row>
    <row r="6408" spans="1:19" x14ac:dyDescent="0.2">
      <c r="A6408" s="12">
        <f t="shared" ref="A6408:C6408" si="1389">A6407</f>
        <v>45988</v>
      </c>
      <c r="B6408" s="5" t="str">
        <f t="shared" si="1389"/>
        <v>Northern Cardinal</v>
      </c>
      <c r="C6408" s="6">
        <f t="shared" si="1389"/>
        <v>0.28472222222222221</v>
      </c>
      <c r="D6408" s="5"/>
      <c r="E6408" s="5"/>
      <c r="F6408" s="5" t="s">
        <v>8</v>
      </c>
      <c r="G6408" s="15" t="s">
        <v>9</v>
      </c>
      <c r="H6408" s="24">
        <f t="shared" si="1343"/>
        <v>0</v>
      </c>
      <c r="I6408" s="24" cm="1">
        <f t="array" ref="I6408">IFERROR(IF($B6408=I$1, ($A6408+$C6408) - MAX(IF($B$2:$B6407=$B6408, $A$2:$A6407+$C$2:$C6407)), "")*24*60, "")</f>
        <v>0</v>
      </c>
      <c r="J6408" s="24" t="str" cm="1">
        <f t="array" ref="J6408">IFERROR(IF($B6408=J$1, ($A6408+$C6408) - MAX(IF($B$2:$B6407=$B6408, $A$2:$A6407+$C$2:$C6407)), "")*24*60, "")</f>
        <v/>
      </c>
      <c r="K6408" s="24" t="str" cm="1">
        <f t="array" ref="K6408">IFERROR(IF($B6408=K$1, ($A6408+$C6408) - MAX(IF($B$2:$B6407=$B6408, $A$2:$A6407+$C$2:$C6407)), "")*24*60, "")</f>
        <v/>
      </c>
      <c r="L6408" s="24" t="str" cm="1">
        <f t="array" ref="L6408">IFERROR(IF($B6408=L$1, ($A6408+$C6408) - MAX(IF($B$2:$B6407=$B6408, $A$2:$A6407+$C$2:$C6407)), "")*24*60, "")</f>
        <v/>
      </c>
      <c r="M6408" s="24" t="str" cm="1">
        <f t="array" ref="M6408">IFERROR(IF($B6408=M$1, ($A6408+$C6408) - MAX(IF($B$2:$B6407=$B6408, $A$2:$A6407+$C$2:$C6407)), "")*24*60, "")</f>
        <v/>
      </c>
      <c r="N6408" s="24" t="str" cm="1">
        <f t="array" ref="N6408">IFERROR(IF($B6408=N$1, ($A6408+$C6408) - MAX(IF($B$2:$B6407=$B6408, $A$2:$A6407+$C$2:$C6407)), "")*24*60, "")</f>
        <v/>
      </c>
      <c r="O6408" s="24" t="str" cm="1">
        <f t="array" ref="O6408">IFERROR(IF($B6408=O$1, ($A6408+$C6408) - MAX(IF($B$2:$B6407=$B6408, $A$2:$A6407+$C$2:$C6407)), "")*24*60, "")</f>
        <v/>
      </c>
      <c r="P6408" s="24" t="str" cm="1">
        <f t="array" ref="P6408">IFERROR(IF($B6408=P$1, ($A6408+$C6408) - MAX(IF($B$2:$B6407=$B6408, $A$2:$A6407+$C$2:$C6407)), "")*24*60, "")</f>
        <v/>
      </c>
      <c r="Q6408" s="24" t="str" cm="1">
        <f t="array" ref="Q6408">IFERROR(IF($B6408=Q$1, ($A6408+$C6408) - MAX(IF($B$2:$B6407=$B6408, $A$2:$A6407+$C$2:$C6407)), "")*24*60, "")</f>
        <v/>
      </c>
      <c r="R6408" s="24" t="str" cm="1">
        <f t="array" ref="R6408">IFERROR(IF($B6408=R$1, ($A6408+$C6408) - MAX(IF($B$2:$B6407=$B6408, $A$2:$A6407+$C$2:$C6407)), "")*24*60, "")</f>
        <v/>
      </c>
      <c r="S6408" s="24" t="str" cm="1">
        <f t="array" ref="S6408">IFERROR(IF($B6408=S$1, ($A6408+$C6408) - MAX(IF($B$2:$B6407=$B6408, $A$2:$A6407+$C$2:$C6407)), "")*24*60, "")</f>
        <v/>
      </c>
    </row>
    <row r="6409" spans="1:19" x14ac:dyDescent="0.2">
      <c r="A6409" s="12">
        <f t="shared" ref="A6409:C6409" si="1390">A6408</f>
        <v>45988</v>
      </c>
      <c r="B6409" s="5" t="str">
        <f t="shared" si="1390"/>
        <v>Northern Cardinal</v>
      </c>
      <c r="C6409" s="6">
        <f t="shared" si="1390"/>
        <v>0.28472222222222221</v>
      </c>
      <c r="D6409" s="5"/>
      <c r="E6409" s="5"/>
      <c r="F6409" s="5" t="s">
        <v>8</v>
      </c>
      <c r="G6409" s="15" t="s">
        <v>9</v>
      </c>
      <c r="H6409" s="24">
        <f t="shared" si="1343"/>
        <v>0</v>
      </c>
      <c r="I6409" s="24" cm="1">
        <f t="array" ref="I6409">IFERROR(IF($B6409=I$1, ($A6409+$C6409) - MAX(IF($B$2:$B6408=$B6409, $A$2:$A6408+$C$2:$C6408)), "")*24*60, "")</f>
        <v>0</v>
      </c>
      <c r="J6409" s="24" t="str" cm="1">
        <f t="array" ref="J6409">IFERROR(IF($B6409=J$1, ($A6409+$C6409) - MAX(IF($B$2:$B6408=$B6409, $A$2:$A6408+$C$2:$C6408)), "")*24*60, "")</f>
        <v/>
      </c>
      <c r="K6409" s="24" t="str" cm="1">
        <f t="array" ref="K6409">IFERROR(IF($B6409=K$1, ($A6409+$C6409) - MAX(IF($B$2:$B6408=$B6409, $A$2:$A6408+$C$2:$C6408)), "")*24*60, "")</f>
        <v/>
      </c>
      <c r="L6409" s="24" t="str" cm="1">
        <f t="array" ref="L6409">IFERROR(IF($B6409=L$1, ($A6409+$C6409) - MAX(IF($B$2:$B6408=$B6409, $A$2:$A6408+$C$2:$C6408)), "")*24*60, "")</f>
        <v/>
      </c>
      <c r="M6409" s="24" t="str" cm="1">
        <f t="array" ref="M6409">IFERROR(IF($B6409=M$1, ($A6409+$C6409) - MAX(IF($B$2:$B6408=$B6409, $A$2:$A6408+$C$2:$C6408)), "")*24*60, "")</f>
        <v/>
      </c>
      <c r="N6409" s="24" t="str" cm="1">
        <f t="array" ref="N6409">IFERROR(IF($B6409=N$1, ($A6409+$C6409) - MAX(IF($B$2:$B6408=$B6409, $A$2:$A6408+$C$2:$C6408)), "")*24*60, "")</f>
        <v/>
      </c>
      <c r="O6409" s="24" t="str" cm="1">
        <f t="array" ref="O6409">IFERROR(IF($B6409=O$1, ($A6409+$C6409) - MAX(IF($B$2:$B6408=$B6409, $A$2:$A6408+$C$2:$C6408)), "")*24*60, "")</f>
        <v/>
      </c>
      <c r="P6409" s="24" t="str" cm="1">
        <f t="array" ref="P6409">IFERROR(IF($B6409=P$1, ($A6409+$C6409) - MAX(IF($B$2:$B6408=$B6409, $A$2:$A6408+$C$2:$C6408)), "")*24*60, "")</f>
        <v/>
      </c>
      <c r="Q6409" s="24" t="str" cm="1">
        <f t="array" ref="Q6409">IFERROR(IF($B6409=Q$1, ($A6409+$C6409) - MAX(IF($B$2:$B6408=$B6409, $A$2:$A6408+$C$2:$C6408)), "")*24*60, "")</f>
        <v/>
      </c>
      <c r="R6409" s="24" t="str" cm="1">
        <f t="array" ref="R6409">IFERROR(IF($B6409=R$1, ($A6409+$C6409) - MAX(IF($B$2:$B6408=$B6409, $A$2:$A6408+$C$2:$C6408)), "")*24*60, "")</f>
        <v/>
      </c>
      <c r="S6409" s="24" t="str" cm="1">
        <f t="array" ref="S6409">IFERROR(IF($B6409=S$1, ($A6409+$C6409) - MAX(IF($B$2:$B6408=$B6409, $A$2:$A6408+$C$2:$C6408)), "")*24*60, "")</f>
        <v/>
      </c>
    </row>
    <row r="6410" spans="1:19" x14ac:dyDescent="0.2">
      <c r="A6410" s="12">
        <f t="shared" ref="A6410:C6410" si="1391">A6409</f>
        <v>45988</v>
      </c>
      <c r="B6410" s="5" t="str">
        <f t="shared" si="1391"/>
        <v>Northern Cardinal</v>
      </c>
      <c r="C6410" s="6">
        <f t="shared" si="1391"/>
        <v>0.28472222222222221</v>
      </c>
      <c r="D6410" s="5"/>
      <c r="E6410" s="5"/>
      <c r="F6410" s="5" t="s">
        <v>8</v>
      </c>
      <c r="G6410" s="15" t="s">
        <v>9</v>
      </c>
      <c r="H6410" s="24">
        <f t="shared" si="1343"/>
        <v>0</v>
      </c>
      <c r="I6410" s="24" cm="1">
        <f t="array" ref="I6410">IFERROR(IF($B6410=I$1, ($A6410+$C6410) - MAX(IF($B$2:$B6409=$B6410, $A$2:$A6409+$C$2:$C6409)), "")*24*60, "")</f>
        <v>0</v>
      </c>
      <c r="J6410" s="24" t="str" cm="1">
        <f t="array" ref="J6410">IFERROR(IF($B6410=J$1, ($A6410+$C6410) - MAX(IF($B$2:$B6409=$B6410, $A$2:$A6409+$C$2:$C6409)), "")*24*60, "")</f>
        <v/>
      </c>
      <c r="K6410" s="24" t="str" cm="1">
        <f t="array" ref="K6410">IFERROR(IF($B6410=K$1, ($A6410+$C6410) - MAX(IF($B$2:$B6409=$B6410, $A$2:$A6409+$C$2:$C6409)), "")*24*60, "")</f>
        <v/>
      </c>
      <c r="L6410" s="24" t="str" cm="1">
        <f t="array" ref="L6410">IFERROR(IF($B6410=L$1, ($A6410+$C6410) - MAX(IF($B$2:$B6409=$B6410, $A$2:$A6409+$C$2:$C6409)), "")*24*60, "")</f>
        <v/>
      </c>
      <c r="M6410" s="24" t="str" cm="1">
        <f t="array" ref="M6410">IFERROR(IF($B6410=M$1, ($A6410+$C6410) - MAX(IF($B$2:$B6409=$B6410, $A$2:$A6409+$C$2:$C6409)), "")*24*60, "")</f>
        <v/>
      </c>
      <c r="N6410" s="24" t="str" cm="1">
        <f t="array" ref="N6410">IFERROR(IF($B6410=N$1, ($A6410+$C6410) - MAX(IF($B$2:$B6409=$B6410, $A$2:$A6409+$C$2:$C6409)), "")*24*60, "")</f>
        <v/>
      </c>
      <c r="O6410" s="24" t="str" cm="1">
        <f t="array" ref="O6410">IFERROR(IF($B6410=O$1, ($A6410+$C6410) - MAX(IF($B$2:$B6409=$B6410, $A$2:$A6409+$C$2:$C6409)), "")*24*60, "")</f>
        <v/>
      </c>
      <c r="P6410" s="24" t="str" cm="1">
        <f t="array" ref="P6410">IFERROR(IF($B6410=P$1, ($A6410+$C6410) - MAX(IF($B$2:$B6409=$B6410, $A$2:$A6409+$C$2:$C6409)), "")*24*60, "")</f>
        <v/>
      </c>
      <c r="Q6410" s="24" t="str" cm="1">
        <f t="array" ref="Q6410">IFERROR(IF($B6410=Q$1, ($A6410+$C6410) - MAX(IF($B$2:$B6409=$B6410, $A$2:$A6409+$C$2:$C6409)), "")*24*60, "")</f>
        <v/>
      </c>
      <c r="R6410" s="24" t="str" cm="1">
        <f t="array" ref="R6410">IFERROR(IF($B6410=R$1, ($A6410+$C6410) - MAX(IF($B$2:$B6409=$B6410, $A$2:$A6409+$C$2:$C6409)), "")*24*60, "")</f>
        <v/>
      </c>
      <c r="S6410" s="24" t="str" cm="1">
        <f t="array" ref="S6410">IFERROR(IF($B6410=S$1, ($A6410+$C6410) - MAX(IF($B$2:$B6409=$B6410, $A$2:$A6409+$C$2:$C6409)), "")*24*60, "")</f>
        <v/>
      </c>
    </row>
    <row r="6411" spans="1:19" x14ac:dyDescent="0.2">
      <c r="A6411" s="12">
        <f t="shared" ref="A6411:C6411" si="1392">A6410</f>
        <v>45988</v>
      </c>
      <c r="B6411" s="5" t="str">
        <f t="shared" si="1392"/>
        <v>Northern Cardinal</v>
      </c>
      <c r="C6411" s="6">
        <f t="shared" si="1392"/>
        <v>0.28472222222222221</v>
      </c>
      <c r="D6411" s="5"/>
      <c r="E6411" s="5"/>
      <c r="F6411" s="5" t="s">
        <v>8</v>
      </c>
      <c r="G6411" s="15" t="s">
        <v>9</v>
      </c>
      <c r="H6411" s="24">
        <f t="shared" si="1343"/>
        <v>0</v>
      </c>
      <c r="I6411" s="24" cm="1">
        <f t="array" ref="I6411">IFERROR(IF($B6411=I$1, ($A6411+$C6411) - MAX(IF($B$2:$B6410=$B6411, $A$2:$A6410+$C$2:$C6410)), "")*24*60, "")</f>
        <v>0</v>
      </c>
      <c r="J6411" s="24" t="str" cm="1">
        <f t="array" ref="J6411">IFERROR(IF($B6411=J$1, ($A6411+$C6411) - MAX(IF($B$2:$B6410=$B6411, $A$2:$A6410+$C$2:$C6410)), "")*24*60, "")</f>
        <v/>
      </c>
      <c r="K6411" s="24" t="str" cm="1">
        <f t="array" ref="K6411">IFERROR(IF($B6411=K$1, ($A6411+$C6411) - MAX(IF($B$2:$B6410=$B6411, $A$2:$A6410+$C$2:$C6410)), "")*24*60, "")</f>
        <v/>
      </c>
      <c r="L6411" s="24" t="str" cm="1">
        <f t="array" ref="L6411">IFERROR(IF($B6411=L$1, ($A6411+$C6411) - MAX(IF($B$2:$B6410=$B6411, $A$2:$A6410+$C$2:$C6410)), "")*24*60, "")</f>
        <v/>
      </c>
      <c r="M6411" s="24" t="str" cm="1">
        <f t="array" ref="M6411">IFERROR(IF($B6411=M$1, ($A6411+$C6411) - MAX(IF($B$2:$B6410=$B6411, $A$2:$A6410+$C$2:$C6410)), "")*24*60, "")</f>
        <v/>
      </c>
      <c r="N6411" s="24" t="str" cm="1">
        <f t="array" ref="N6411">IFERROR(IF($B6411=N$1, ($A6411+$C6411) - MAX(IF($B$2:$B6410=$B6411, $A$2:$A6410+$C$2:$C6410)), "")*24*60, "")</f>
        <v/>
      </c>
      <c r="O6411" s="24" t="str" cm="1">
        <f t="array" ref="O6411">IFERROR(IF($B6411=O$1, ($A6411+$C6411) - MAX(IF($B$2:$B6410=$B6411, $A$2:$A6410+$C$2:$C6410)), "")*24*60, "")</f>
        <v/>
      </c>
      <c r="P6411" s="24" t="str" cm="1">
        <f t="array" ref="P6411">IFERROR(IF($B6411=P$1, ($A6411+$C6411) - MAX(IF($B$2:$B6410=$B6411, $A$2:$A6410+$C$2:$C6410)), "")*24*60, "")</f>
        <v/>
      </c>
      <c r="Q6411" s="24" t="str" cm="1">
        <f t="array" ref="Q6411">IFERROR(IF($B6411=Q$1, ($A6411+$C6411) - MAX(IF($B$2:$B6410=$B6411, $A$2:$A6410+$C$2:$C6410)), "")*24*60, "")</f>
        <v/>
      </c>
      <c r="R6411" s="24" t="str" cm="1">
        <f t="array" ref="R6411">IFERROR(IF($B6411=R$1, ($A6411+$C6411) - MAX(IF($B$2:$B6410=$B6411, $A$2:$A6410+$C$2:$C6410)), "")*24*60, "")</f>
        <v/>
      </c>
      <c r="S6411" s="24" t="str" cm="1">
        <f t="array" ref="S6411">IFERROR(IF($B6411=S$1, ($A6411+$C6411) - MAX(IF($B$2:$B6410=$B6411, $A$2:$A6410+$C$2:$C6410)), "")*24*60, "")</f>
        <v/>
      </c>
    </row>
    <row r="6412" spans="1:19" x14ac:dyDescent="0.2">
      <c r="A6412" s="12">
        <f t="shared" ref="A6412:C6412" si="1393">A6411</f>
        <v>45988</v>
      </c>
      <c r="B6412" s="5" t="str">
        <f t="shared" si="1393"/>
        <v>Northern Cardinal</v>
      </c>
      <c r="C6412" s="6">
        <f t="shared" si="1393"/>
        <v>0.28472222222222221</v>
      </c>
      <c r="D6412" s="5"/>
      <c r="E6412" s="5"/>
      <c r="F6412" s="5" t="s">
        <v>8</v>
      </c>
      <c r="G6412" s="15" t="s">
        <v>9</v>
      </c>
      <c r="H6412" s="24">
        <f t="shared" si="1343"/>
        <v>0</v>
      </c>
      <c r="I6412" s="24" cm="1">
        <f t="array" ref="I6412">IFERROR(IF($B6412=I$1, ($A6412+$C6412) - MAX(IF($B$2:$B6411=$B6412, $A$2:$A6411+$C$2:$C6411)), "")*24*60, "")</f>
        <v>0</v>
      </c>
      <c r="J6412" s="24" t="str" cm="1">
        <f t="array" ref="J6412">IFERROR(IF($B6412=J$1, ($A6412+$C6412) - MAX(IF($B$2:$B6411=$B6412, $A$2:$A6411+$C$2:$C6411)), "")*24*60, "")</f>
        <v/>
      </c>
      <c r="K6412" s="24" t="str" cm="1">
        <f t="array" ref="K6412">IFERROR(IF($B6412=K$1, ($A6412+$C6412) - MAX(IF($B$2:$B6411=$B6412, $A$2:$A6411+$C$2:$C6411)), "")*24*60, "")</f>
        <v/>
      </c>
      <c r="L6412" s="24" t="str" cm="1">
        <f t="array" ref="L6412">IFERROR(IF($B6412=L$1, ($A6412+$C6412) - MAX(IF($B$2:$B6411=$B6412, $A$2:$A6411+$C$2:$C6411)), "")*24*60, "")</f>
        <v/>
      </c>
      <c r="M6412" s="24" t="str" cm="1">
        <f t="array" ref="M6412">IFERROR(IF($B6412=M$1, ($A6412+$C6412) - MAX(IF($B$2:$B6411=$B6412, $A$2:$A6411+$C$2:$C6411)), "")*24*60, "")</f>
        <v/>
      </c>
      <c r="N6412" s="24" t="str" cm="1">
        <f t="array" ref="N6412">IFERROR(IF($B6412=N$1, ($A6412+$C6412) - MAX(IF($B$2:$B6411=$B6412, $A$2:$A6411+$C$2:$C6411)), "")*24*60, "")</f>
        <v/>
      </c>
      <c r="O6412" s="24" t="str" cm="1">
        <f t="array" ref="O6412">IFERROR(IF($B6412=O$1, ($A6412+$C6412) - MAX(IF($B$2:$B6411=$B6412, $A$2:$A6411+$C$2:$C6411)), "")*24*60, "")</f>
        <v/>
      </c>
      <c r="P6412" s="24" t="str" cm="1">
        <f t="array" ref="P6412">IFERROR(IF($B6412=P$1, ($A6412+$C6412) - MAX(IF($B$2:$B6411=$B6412, $A$2:$A6411+$C$2:$C6411)), "")*24*60, "")</f>
        <v/>
      </c>
      <c r="Q6412" s="24" t="str" cm="1">
        <f t="array" ref="Q6412">IFERROR(IF($B6412=Q$1, ($A6412+$C6412) - MAX(IF($B$2:$B6411=$B6412, $A$2:$A6411+$C$2:$C6411)), "")*24*60, "")</f>
        <v/>
      </c>
      <c r="R6412" s="24" t="str" cm="1">
        <f t="array" ref="R6412">IFERROR(IF($B6412=R$1, ($A6412+$C6412) - MAX(IF($B$2:$B6411=$B6412, $A$2:$A6411+$C$2:$C6411)), "")*24*60, "")</f>
        <v/>
      </c>
      <c r="S6412" s="24" t="str" cm="1">
        <f t="array" ref="S6412">IFERROR(IF($B6412=S$1, ($A6412+$C6412) - MAX(IF($B$2:$B6411=$B6412, $A$2:$A6411+$C$2:$C6411)), "")*24*60, "")</f>
        <v/>
      </c>
    </row>
    <row r="6413" spans="1:19" x14ac:dyDescent="0.2">
      <c r="A6413" s="12">
        <f t="shared" ref="A6413:C6413" si="1394">A6412</f>
        <v>45988</v>
      </c>
      <c r="B6413" s="5" t="str">
        <f t="shared" si="1394"/>
        <v>Northern Cardinal</v>
      </c>
      <c r="C6413" s="6">
        <f t="shared" si="1394"/>
        <v>0.28472222222222221</v>
      </c>
      <c r="D6413" s="5"/>
      <c r="E6413" s="5"/>
      <c r="F6413" s="5" t="s">
        <v>8</v>
      </c>
      <c r="G6413" s="15" t="s">
        <v>9</v>
      </c>
      <c r="H6413" s="24">
        <f t="shared" si="1343"/>
        <v>0</v>
      </c>
      <c r="I6413" s="24" cm="1">
        <f t="array" ref="I6413">IFERROR(IF($B6413=I$1, ($A6413+$C6413) - MAX(IF($B$2:$B6412=$B6413, $A$2:$A6412+$C$2:$C6412)), "")*24*60, "")</f>
        <v>0</v>
      </c>
      <c r="J6413" s="24" t="str" cm="1">
        <f t="array" ref="J6413">IFERROR(IF($B6413=J$1, ($A6413+$C6413) - MAX(IF($B$2:$B6412=$B6413, $A$2:$A6412+$C$2:$C6412)), "")*24*60, "")</f>
        <v/>
      </c>
      <c r="K6413" s="24" t="str" cm="1">
        <f t="array" ref="K6413">IFERROR(IF($B6413=K$1, ($A6413+$C6413) - MAX(IF($B$2:$B6412=$B6413, $A$2:$A6412+$C$2:$C6412)), "")*24*60, "")</f>
        <v/>
      </c>
      <c r="L6413" s="24" t="str" cm="1">
        <f t="array" ref="L6413">IFERROR(IF($B6413=L$1, ($A6413+$C6413) - MAX(IF($B$2:$B6412=$B6413, $A$2:$A6412+$C$2:$C6412)), "")*24*60, "")</f>
        <v/>
      </c>
      <c r="M6413" s="24" t="str" cm="1">
        <f t="array" ref="M6413">IFERROR(IF($B6413=M$1, ($A6413+$C6413) - MAX(IF($B$2:$B6412=$B6413, $A$2:$A6412+$C$2:$C6412)), "")*24*60, "")</f>
        <v/>
      </c>
      <c r="N6413" s="24" t="str" cm="1">
        <f t="array" ref="N6413">IFERROR(IF($B6413=N$1, ($A6413+$C6413) - MAX(IF($B$2:$B6412=$B6413, $A$2:$A6412+$C$2:$C6412)), "")*24*60, "")</f>
        <v/>
      </c>
      <c r="O6413" s="24" t="str" cm="1">
        <f t="array" ref="O6413">IFERROR(IF($B6413=O$1, ($A6413+$C6413) - MAX(IF($B$2:$B6412=$B6413, $A$2:$A6412+$C$2:$C6412)), "")*24*60, "")</f>
        <v/>
      </c>
      <c r="P6413" s="24" t="str" cm="1">
        <f t="array" ref="P6413">IFERROR(IF($B6413=P$1, ($A6413+$C6413) - MAX(IF($B$2:$B6412=$B6413, $A$2:$A6412+$C$2:$C6412)), "")*24*60, "")</f>
        <v/>
      </c>
      <c r="Q6413" s="24" t="str" cm="1">
        <f t="array" ref="Q6413">IFERROR(IF($B6413=Q$1, ($A6413+$C6413) - MAX(IF($B$2:$B6412=$B6413, $A$2:$A6412+$C$2:$C6412)), "")*24*60, "")</f>
        <v/>
      </c>
      <c r="R6413" s="24" t="str" cm="1">
        <f t="array" ref="R6413">IFERROR(IF($B6413=R$1, ($A6413+$C6413) - MAX(IF($B$2:$B6412=$B6413, $A$2:$A6412+$C$2:$C6412)), "")*24*60, "")</f>
        <v/>
      </c>
      <c r="S6413" s="24" t="str" cm="1">
        <f t="array" ref="S6413">IFERROR(IF($B6413=S$1, ($A6413+$C6413) - MAX(IF($B$2:$B6412=$B6413, $A$2:$A6412+$C$2:$C6412)),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11"/>
  <sheetViews>
    <sheetView tabSelected="1" zoomScale="120" zoomScaleNormal="120" workbookViewId="0">
      <pane ySplit="1" topLeftCell="A186" activePane="bottomLeft" state="frozen"/>
      <selection pane="bottomLeft" activeCell="A207" sqref="A207:E211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26">
        <v>45985</v>
      </c>
      <c r="B201" s="27" t="s">
        <v>25</v>
      </c>
      <c r="C201" s="27">
        <f>COUNTIFS(RawData!$B:$B, $B201, RawData!$A:$A, DailySummaries!$A201)</f>
        <v>2</v>
      </c>
      <c r="D201" s="27">
        <f>SUMIFS(RawData!$D:$D,RawData!$B:$B,$B201,RawData!$A:$A,DailySummaries!$A201)+1</f>
        <v>13</v>
      </c>
      <c r="E201" s="27">
        <f>SUMIFS(RawData!$E:$E,RawData!$B:$B,$B201,RawData!$A:$A,DailySummaries!$A201)+1</f>
        <v>8</v>
      </c>
    </row>
    <row r="202" spans="1:5" x14ac:dyDescent="0.25">
      <c r="A202" s="10">
        <v>45986</v>
      </c>
      <c r="B202" s="11" t="s">
        <v>3</v>
      </c>
      <c r="C202" s="11">
        <f>COUNTIFS(RawData!$B:$B, $B202, RawData!$A:$A, DailySummaries!$A202)</f>
        <v>28</v>
      </c>
      <c r="D202" s="11">
        <f>SUMIFS(RawData!$D:$D,RawData!$B:$B,$B202,RawData!$A:$A,DailySummaries!$A202)+1</f>
        <v>41</v>
      </c>
      <c r="E202" s="11">
        <f>SUMIFS(RawData!$E:$E,RawData!$B:$B,$B202,RawData!$A:$A,DailySummaries!$A202)+1</f>
        <v>71</v>
      </c>
    </row>
    <row r="203" spans="1:5" x14ac:dyDescent="0.25">
      <c r="A203" s="10">
        <v>45986</v>
      </c>
      <c r="B203" s="11" t="s">
        <v>14</v>
      </c>
      <c r="C203" s="11">
        <f>COUNTIFS(RawData!$B:$B, $B203, RawData!$A:$A, DailySummaries!$A203)</f>
        <v>8</v>
      </c>
      <c r="D203" s="11">
        <f>SUMIFS(RawData!$D:$D,RawData!$B:$B,$B203,RawData!$A:$A,DailySummaries!$A203)+1</f>
        <v>15</v>
      </c>
      <c r="E203" s="11">
        <f>SUMIFS(RawData!$E:$E,RawData!$B:$B,$B203,RawData!$A:$A,DailySummaries!$A203)+1</f>
        <v>1</v>
      </c>
    </row>
    <row r="204" spans="1:5" x14ac:dyDescent="0.25">
      <c r="A204" s="10">
        <v>45986</v>
      </c>
      <c r="B204" s="11" t="s">
        <v>16</v>
      </c>
      <c r="C204" s="11">
        <f>COUNTIFS(RawData!$B:$B, $B204, RawData!$A:$A, DailySummaries!$A204)</f>
        <v>28</v>
      </c>
      <c r="D204" s="11">
        <f>SUMIFS(RawData!$D:$D,RawData!$B:$B,$B204,RawData!$A:$A,DailySummaries!$A204)+1</f>
        <v>10</v>
      </c>
      <c r="E204" s="11">
        <f>SUMIFS(RawData!$E:$E,RawData!$B:$B,$B204,RawData!$A:$A,DailySummaries!$A204)+1</f>
        <v>251</v>
      </c>
    </row>
    <row r="205" spans="1:5" x14ac:dyDescent="0.25">
      <c r="A205" s="10">
        <v>45986</v>
      </c>
      <c r="B205" s="11" t="s">
        <v>20</v>
      </c>
      <c r="C205" s="11">
        <f>COUNTIFS(RawData!$B:$B, $B205, RawData!$A:$A, DailySummaries!$A205)</f>
        <v>92</v>
      </c>
      <c r="D205" s="11">
        <f>SUMIFS(RawData!$D:$D,RawData!$B:$B,$B205,RawData!$A:$A,DailySummaries!$A205)+1</f>
        <v>29</v>
      </c>
      <c r="E205" s="11">
        <f>SUMIFS(RawData!$E:$E,RawData!$B:$B,$B205,RawData!$A:$A,DailySummaries!$A205)+1</f>
        <v>1257</v>
      </c>
    </row>
    <row r="206" spans="1:5" x14ac:dyDescent="0.25">
      <c r="A206" s="26">
        <v>45986</v>
      </c>
      <c r="B206" s="27" t="s">
        <v>10</v>
      </c>
      <c r="C206" s="27">
        <f>COUNTIFS(RawData!$B:$B, $B206, RawData!$A:$A, DailySummaries!$A206)</f>
        <v>25</v>
      </c>
      <c r="D206" s="27">
        <f>SUMIFS(RawData!$D:$D,RawData!$B:$B,$B206,RawData!$A:$A,DailySummaries!$A206)+1</f>
        <v>42</v>
      </c>
      <c r="E206" s="27">
        <f>SUMIFS(RawData!$E:$E,RawData!$B:$B,$B206,RawData!$A:$A,DailySummaries!$A206)+1</f>
        <v>25</v>
      </c>
    </row>
    <row r="207" spans="1:5" x14ac:dyDescent="0.25">
      <c r="A207" s="10">
        <v>45987</v>
      </c>
      <c r="B207" s="11" t="s">
        <v>3</v>
      </c>
      <c r="C207" s="11">
        <f>COUNTIFS(RawData!$B:$B, $B207, RawData!$A:$A, DailySummaries!$A207)</f>
        <v>18</v>
      </c>
      <c r="D207" s="11">
        <f>SUMIFS(RawData!$D:$D,RawData!$B:$B,$B207,RawData!$A:$A,DailySummaries!$A207)+1</f>
        <v>23</v>
      </c>
      <c r="E207" s="11">
        <f>SUMIFS(RawData!$E:$E,RawData!$B:$B,$B207,RawData!$A:$A,DailySummaries!$A207)+1</f>
        <v>66</v>
      </c>
    </row>
    <row r="208" spans="1:5" x14ac:dyDescent="0.25">
      <c r="A208" s="10">
        <v>45987</v>
      </c>
      <c r="B208" s="11" t="s">
        <v>14</v>
      </c>
      <c r="C208" s="11">
        <f>COUNTIFS(RawData!$B:$B, $B208, RawData!$A:$A, DailySummaries!$A208)</f>
        <v>2</v>
      </c>
      <c r="D208" s="11">
        <f>SUMIFS(RawData!$D:$D,RawData!$B:$B,$B208,RawData!$A:$A,DailySummaries!$A208)+1</f>
        <v>3</v>
      </c>
      <c r="E208" s="11">
        <f>SUMIFS(RawData!$E:$E,RawData!$B:$B,$B208,RawData!$A:$A,DailySummaries!$A208)+1</f>
        <v>1</v>
      </c>
    </row>
    <row r="209" spans="1:5" x14ac:dyDescent="0.25">
      <c r="A209" s="10">
        <v>45987</v>
      </c>
      <c r="B209" s="11" t="s">
        <v>16</v>
      </c>
      <c r="C209" s="11">
        <f>COUNTIFS(RawData!$B:$B, $B209, RawData!$A:$A, DailySummaries!$A209)</f>
        <v>9</v>
      </c>
      <c r="D209" s="11">
        <f>SUMIFS(RawData!$D:$D,RawData!$B:$B,$B209,RawData!$A:$A,DailySummaries!$A209)+1</f>
        <v>3</v>
      </c>
      <c r="E209" s="11">
        <f>SUMIFS(RawData!$E:$E,RawData!$B:$B,$B209,RawData!$A:$A,DailySummaries!$A209)+1</f>
        <v>101</v>
      </c>
    </row>
    <row r="210" spans="1:5" x14ac:dyDescent="0.25">
      <c r="A210" s="10">
        <v>45987</v>
      </c>
      <c r="B210" s="11" t="s">
        <v>10</v>
      </c>
      <c r="C210" s="11">
        <f>COUNTIFS(RawData!$B:$B, $B210, RawData!$A:$A, DailySummaries!$A210)</f>
        <v>41</v>
      </c>
      <c r="D210" s="11">
        <f>SUMIFS(RawData!$D:$D,RawData!$B:$B,$B210,RawData!$A:$A,DailySummaries!$A210)+1</f>
        <v>68</v>
      </c>
      <c r="E210" s="11">
        <f>SUMIFS(RawData!$E:$E,RawData!$B:$B,$B210,RawData!$A:$A,DailySummaries!$A210)+1</f>
        <v>3</v>
      </c>
    </row>
    <row r="211" spans="1:5" x14ac:dyDescent="0.25">
      <c r="A211" s="10">
        <v>45987</v>
      </c>
      <c r="B211" s="11" t="s">
        <v>20</v>
      </c>
      <c r="C211" s="11">
        <f>COUNTIFS(RawData!$B:$B, $B211, RawData!$A:$A, DailySummaries!$A211)</f>
        <v>95</v>
      </c>
      <c r="D211" s="11">
        <f>SUMIFS(RawData!$D:$D,RawData!$B:$B,$B211,RawData!$A:$A,DailySummaries!$A211)+1</f>
        <v>195</v>
      </c>
      <c r="E211" s="11">
        <f>SUMIFS(RawData!$E:$E,RawData!$B:$B,$B211,RawData!$A:$A,DailySummaries!$A211)+1</f>
        <v>1045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2025-11-27T14:23:37Z</dcterms:modified>
</cp:coreProperties>
</file>